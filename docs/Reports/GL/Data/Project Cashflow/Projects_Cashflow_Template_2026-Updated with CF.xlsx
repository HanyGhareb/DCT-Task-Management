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ctad.sharepoint.com/teams/FinanceBusinessPartners/Shared Documents/2026/2026 Reports for FBP/"/>
    </mc:Choice>
  </mc:AlternateContent>
  <xr:revisionPtr revIDLastSave="0" documentId="8_{8571E770-DA0C-462E-9E02-4ED5DB761878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Projects Cashflow" sheetId="1" r:id="rId1"/>
    <sheet name="How to use" sheetId="2" r:id="rId2"/>
    <sheet name="Details" sheetId="3" r:id="rId3"/>
  </sheets>
  <externalReferences>
    <externalReference r:id="rId4"/>
  </externalReferences>
  <definedNames>
    <definedName name="_xlnm._FilterDatabase" localSheetId="2" hidden="1">Details!$C$3:$AI$1366</definedName>
    <definedName name="_xlnm._FilterDatabase" localSheetId="0" hidden="1">'Projects Cashflow'!$B$2:$AH$1741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66" i="3" l="1"/>
  <c r="B1366" i="3"/>
  <c r="Z1365" i="3"/>
  <c r="B1365" i="3"/>
  <c r="Z1364" i="3"/>
  <c r="B1364" i="3"/>
  <c r="Z1363" i="3"/>
  <c r="B1363" i="3"/>
  <c r="Z1362" i="3"/>
  <c r="B1362" i="3"/>
  <c r="Z1361" i="3"/>
  <c r="B1361" i="3"/>
  <c r="Z1360" i="3"/>
  <c r="B1360" i="3"/>
  <c r="Z1359" i="3"/>
  <c r="B1359" i="3"/>
  <c r="Z1358" i="3"/>
  <c r="B1358" i="3"/>
  <c r="Z1357" i="3"/>
  <c r="B1357" i="3"/>
  <c r="Z1356" i="3"/>
  <c r="B1356" i="3"/>
  <c r="Z1355" i="3"/>
  <c r="B1355" i="3"/>
  <c r="Z1354" i="3"/>
  <c r="B1354" i="3"/>
  <c r="Z1353" i="3"/>
  <c r="B1353" i="3"/>
  <c r="Z1352" i="3"/>
  <c r="B1352" i="3"/>
  <c r="Z1351" i="3"/>
  <c r="B1351" i="3"/>
  <c r="Z1350" i="3"/>
  <c r="B1350" i="3"/>
  <c r="Z1349" i="3"/>
  <c r="B1349" i="3"/>
  <c r="Z1348" i="3"/>
  <c r="B1348" i="3"/>
  <c r="Z1347" i="3"/>
  <c r="B1347" i="3"/>
  <c r="Z1346" i="3"/>
  <c r="B1346" i="3"/>
  <c r="Z1345" i="3"/>
  <c r="B1345" i="3"/>
  <c r="Z1344" i="3"/>
  <c r="B1344" i="3"/>
  <c r="Z1343" i="3"/>
  <c r="B1343" i="3"/>
  <c r="Z1342" i="3"/>
  <c r="B1342" i="3"/>
  <c r="Z1341" i="3"/>
  <c r="B1341" i="3"/>
  <c r="Z1340" i="3"/>
  <c r="B1340" i="3"/>
  <c r="Z1339" i="3"/>
  <c r="B1339" i="3"/>
  <c r="Z1338" i="3"/>
  <c r="B1338" i="3"/>
  <c r="Z1337" i="3"/>
  <c r="B1337" i="3"/>
  <c r="Z1336" i="3"/>
  <c r="B1336" i="3"/>
  <c r="Z1335" i="3"/>
  <c r="B1335" i="3"/>
  <c r="Z1334" i="3"/>
  <c r="B1334" i="3"/>
  <c r="Z1333" i="3"/>
  <c r="B1333" i="3"/>
  <c r="Z1332" i="3"/>
  <c r="B1332" i="3"/>
  <c r="Z1331" i="3"/>
  <c r="B1331" i="3"/>
  <c r="Z1330" i="3"/>
  <c r="B1330" i="3"/>
  <c r="Z1329" i="3"/>
  <c r="B1329" i="3"/>
  <c r="Z1328" i="3"/>
  <c r="B1328" i="3"/>
  <c r="Z1327" i="3"/>
  <c r="B1327" i="3"/>
  <c r="Z1326" i="3"/>
  <c r="B1326" i="3"/>
  <c r="Z1325" i="3"/>
  <c r="B1325" i="3"/>
  <c r="Z1324" i="3"/>
  <c r="B1324" i="3"/>
  <c r="Z1323" i="3"/>
  <c r="B1323" i="3"/>
  <c r="Z1322" i="3"/>
  <c r="B1322" i="3"/>
  <c r="Z1321" i="3"/>
  <c r="B1321" i="3"/>
  <c r="Z1320" i="3"/>
  <c r="B1320" i="3"/>
  <c r="Z1319" i="3"/>
  <c r="B1319" i="3"/>
  <c r="Z1318" i="3"/>
  <c r="B1318" i="3"/>
  <c r="Z1317" i="3"/>
  <c r="B1317" i="3"/>
  <c r="Z1316" i="3"/>
  <c r="B1316" i="3"/>
  <c r="Z1315" i="3"/>
  <c r="B1315" i="3"/>
  <c r="Z1314" i="3"/>
  <c r="B1314" i="3"/>
  <c r="Z1313" i="3"/>
  <c r="B1313" i="3"/>
  <c r="Z1312" i="3"/>
  <c r="B1312" i="3"/>
  <c r="Z1311" i="3"/>
  <c r="B1311" i="3"/>
  <c r="Z1310" i="3"/>
  <c r="B1310" i="3"/>
  <c r="Z1309" i="3"/>
  <c r="B1309" i="3"/>
  <c r="Z1308" i="3"/>
  <c r="B1308" i="3"/>
  <c r="Z1307" i="3"/>
  <c r="B1307" i="3"/>
  <c r="Z1306" i="3"/>
  <c r="B1306" i="3"/>
  <c r="Z1305" i="3"/>
  <c r="B1305" i="3"/>
  <c r="Z1304" i="3"/>
  <c r="B1304" i="3"/>
  <c r="Z1303" i="3"/>
  <c r="B1303" i="3"/>
  <c r="Z1302" i="3"/>
  <c r="B1302" i="3"/>
  <c r="Z1301" i="3"/>
  <c r="B1301" i="3"/>
  <c r="Z1300" i="3"/>
  <c r="B1300" i="3"/>
  <c r="Z1299" i="3"/>
  <c r="B1299" i="3"/>
  <c r="Z1298" i="3"/>
  <c r="B1298" i="3"/>
  <c r="Z1297" i="3"/>
  <c r="B1297" i="3"/>
  <c r="Z1296" i="3"/>
  <c r="B1296" i="3"/>
  <c r="Z1295" i="3"/>
  <c r="B1295" i="3"/>
  <c r="Z1294" i="3"/>
  <c r="B1294" i="3"/>
  <c r="Z1293" i="3"/>
  <c r="B1293" i="3"/>
  <c r="Z1292" i="3"/>
  <c r="B1292" i="3"/>
  <c r="Z1291" i="3"/>
  <c r="B1291" i="3"/>
  <c r="Z1290" i="3"/>
  <c r="B1290" i="3"/>
  <c r="Z1289" i="3"/>
  <c r="B1289" i="3"/>
  <c r="Z1288" i="3"/>
  <c r="B1288" i="3"/>
  <c r="Z1287" i="3"/>
  <c r="B1287" i="3"/>
  <c r="Z1286" i="3"/>
  <c r="B1286" i="3"/>
  <c r="Z1285" i="3"/>
  <c r="B1285" i="3"/>
  <c r="Z1284" i="3"/>
  <c r="B1284" i="3"/>
  <c r="Z1283" i="3"/>
  <c r="B1283" i="3"/>
  <c r="Z1282" i="3"/>
  <c r="B1282" i="3"/>
  <c r="Z1281" i="3"/>
  <c r="B1281" i="3"/>
  <c r="Z1280" i="3"/>
  <c r="B1280" i="3"/>
  <c r="Z1279" i="3"/>
  <c r="B1279" i="3"/>
  <c r="Z1278" i="3"/>
  <c r="B1278" i="3"/>
  <c r="Z1277" i="3"/>
  <c r="B1277" i="3"/>
  <c r="Z1276" i="3"/>
  <c r="B1276" i="3"/>
  <c r="Z1275" i="3"/>
  <c r="B1275" i="3"/>
  <c r="Z1274" i="3"/>
  <c r="B1274" i="3"/>
  <c r="Z1273" i="3"/>
  <c r="B1273" i="3"/>
  <c r="Z1272" i="3"/>
  <c r="B1272" i="3"/>
  <c r="Z1271" i="3"/>
  <c r="B1271" i="3"/>
  <c r="Z1270" i="3"/>
  <c r="B1270" i="3"/>
  <c r="Z1269" i="3"/>
  <c r="B1269" i="3"/>
  <c r="Z1268" i="3"/>
  <c r="B1268" i="3"/>
  <c r="Z1267" i="3"/>
  <c r="B1267" i="3"/>
  <c r="Z1266" i="3"/>
  <c r="B1266" i="3"/>
  <c r="Z1265" i="3"/>
  <c r="B1265" i="3"/>
  <c r="Z1264" i="3"/>
  <c r="B1264" i="3"/>
  <c r="Z1263" i="3"/>
  <c r="B1263" i="3"/>
  <c r="Z1262" i="3"/>
  <c r="B1262" i="3"/>
  <c r="Z1261" i="3"/>
  <c r="B1261" i="3"/>
  <c r="Z1260" i="3"/>
  <c r="B1260" i="3"/>
  <c r="Z1259" i="3"/>
  <c r="B1259" i="3"/>
  <c r="Z1258" i="3"/>
  <c r="B1258" i="3"/>
  <c r="Z1257" i="3"/>
  <c r="B1257" i="3"/>
  <c r="Z1256" i="3"/>
  <c r="B1256" i="3"/>
  <c r="Z1255" i="3"/>
  <c r="B1255" i="3"/>
  <c r="Z1254" i="3"/>
  <c r="B1254" i="3"/>
  <c r="Z1253" i="3"/>
  <c r="B1253" i="3"/>
  <c r="Z1252" i="3"/>
  <c r="B1252" i="3"/>
  <c r="Z1251" i="3"/>
  <c r="B1251" i="3"/>
  <c r="Z1250" i="3"/>
  <c r="B1250" i="3"/>
  <c r="Z1249" i="3"/>
  <c r="B1249" i="3"/>
  <c r="Z1248" i="3"/>
  <c r="B1248" i="3"/>
  <c r="Z1247" i="3"/>
  <c r="B1247" i="3"/>
  <c r="Z1246" i="3"/>
  <c r="B1246" i="3"/>
  <c r="Z1245" i="3"/>
  <c r="B1245" i="3"/>
  <c r="Z1244" i="3"/>
  <c r="B1244" i="3"/>
  <c r="Z1243" i="3"/>
  <c r="B1243" i="3"/>
  <c r="Z1242" i="3"/>
  <c r="B1242" i="3"/>
  <c r="Z1241" i="3"/>
  <c r="B1241" i="3"/>
  <c r="Z1240" i="3"/>
  <c r="B1240" i="3"/>
  <c r="Z1239" i="3"/>
  <c r="B1239" i="3"/>
  <c r="Z1238" i="3"/>
  <c r="B1238" i="3"/>
  <c r="Z1237" i="3"/>
  <c r="B1237" i="3"/>
  <c r="Z1236" i="3"/>
  <c r="B1236" i="3"/>
  <c r="Z1235" i="3"/>
  <c r="B1235" i="3"/>
  <c r="Z1234" i="3"/>
  <c r="B1234" i="3"/>
  <c r="Z1233" i="3"/>
  <c r="B1233" i="3"/>
  <c r="Z1232" i="3"/>
  <c r="B1232" i="3"/>
  <c r="Z1231" i="3"/>
  <c r="B1231" i="3"/>
  <c r="Z1230" i="3"/>
  <c r="B1230" i="3"/>
  <c r="Z1229" i="3"/>
  <c r="B1229" i="3"/>
  <c r="Z1228" i="3"/>
  <c r="B1228" i="3"/>
  <c r="Z1227" i="3"/>
  <c r="B1227" i="3"/>
  <c r="Z1226" i="3"/>
  <c r="B1226" i="3"/>
  <c r="Z1225" i="3"/>
  <c r="B1225" i="3"/>
  <c r="Z1224" i="3"/>
  <c r="B1224" i="3"/>
  <c r="Z1223" i="3"/>
  <c r="B1223" i="3"/>
  <c r="Z1222" i="3"/>
  <c r="B1222" i="3"/>
  <c r="Z1221" i="3"/>
  <c r="B1221" i="3"/>
  <c r="Z1220" i="3"/>
  <c r="B1220" i="3"/>
  <c r="Z1219" i="3"/>
  <c r="B1219" i="3"/>
  <c r="Z1218" i="3"/>
  <c r="B1218" i="3"/>
  <c r="Z1217" i="3"/>
  <c r="B1217" i="3"/>
  <c r="Z1216" i="3"/>
  <c r="B1216" i="3"/>
  <c r="Z1215" i="3"/>
  <c r="B1215" i="3"/>
  <c r="Z1214" i="3"/>
  <c r="B1214" i="3"/>
  <c r="Z1213" i="3"/>
  <c r="B1213" i="3"/>
  <c r="Z1212" i="3"/>
  <c r="B1212" i="3"/>
  <c r="Z1211" i="3"/>
  <c r="B1211" i="3"/>
  <c r="Z1210" i="3"/>
  <c r="B1210" i="3"/>
  <c r="Z1209" i="3"/>
  <c r="B1209" i="3"/>
  <c r="Z1208" i="3"/>
  <c r="B1208" i="3"/>
  <c r="Z1207" i="3"/>
  <c r="B1207" i="3"/>
  <c r="Z1206" i="3"/>
  <c r="B1206" i="3"/>
  <c r="Z1205" i="3"/>
  <c r="B1205" i="3"/>
  <c r="Z1204" i="3"/>
  <c r="B1204" i="3"/>
  <c r="Z1203" i="3"/>
  <c r="B1203" i="3"/>
  <c r="Z1202" i="3"/>
  <c r="B1202" i="3"/>
  <c r="Z1201" i="3"/>
  <c r="B1201" i="3"/>
  <c r="Z1200" i="3"/>
  <c r="B1200" i="3"/>
  <c r="Z1199" i="3"/>
  <c r="B1199" i="3"/>
  <c r="Z1198" i="3"/>
  <c r="B1198" i="3"/>
  <c r="Z1197" i="3"/>
  <c r="B1197" i="3"/>
  <c r="Z1196" i="3"/>
  <c r="B1196" i="3"/>
  <c r="Z1195" i="3"/>
  <c r="B1195" i="3"/>
  <c r="Z1194" i="3"/>
  <c r="B1194" i="3"/>
  <c r="Z1193" i="3"/>
  <c r="B1193" i="3"/>
  <c r="Z1192" i="3"/>
  <c r="B1192" i="3"/>
  <c r="Z1191" i="3"/>
  <c r="B1191" i="3"/>
  <c r="Z1190" i="3"/>
  <c r="B1190" i="3"/>
  <c r="Z1189" i="3"/>
  <c r="B1189" i="3"/>
  <c r="Z1188" i="3"/>
  <c r="B1188" i="3"/>
  <c r="Z1187" i="3"/>
  <c r="B1187" i="3"/>
  <c r="Z1186" i="3"/>
  <c r="B1186" i="3"/>
  <c r="Z1185" i="3"/>
  <c r="B1185" i="3"/>
  <c r="Z1184" i="3"/>
  <c r="B1184" i="3"/>
  <c r="Z1183" i="3"/>
  <c r="B1183" i="3"/>
  <c r="Z1182" i="3"/>
  <c r="B1182" i="3"/>
  <c r="Z1181" i="3"/>
  <c r="B1181" i="3"/>
  <c r="Z1180" i="3"/>
  <c r="B1180" i="3"/>
  <c r="Z1179" i="3"/>
  <c r="B1179" i="3"/>
  <c r="Z1178" i="3"/>
  <c r="B1178" i="3"/>
  <c r="Z1177" i="3"/>
  <c r="B1177" i="3"/>
  <c r="Z1176" i="3"/>
  <c r="B1176" i="3"/>
  <c r="Z1175" i="3"/>
  <c r="B1175" i="3"/>
  <c r="Z1174" i="3"/>
  <c r="B1174" i="3"/>
  <c r="Z1173" i="3"/>
  <c r="B1173" i="3"/>
  <c r="Z1172" i="3"/>
  <c r="B1172" i="3"/>
  <c r="Z1171" i="3"/>
  <c r="B1171" i="3"/>
  <c r="Z1170" i="3"/>
  <c r="B1170" i="3"/>
  <c r="Z1169" i="3"/>
  <c r="B1169" i="3"/>
  <c r="Z1168" i="3"/>
  <c r="B1168" i="3"/>
  <c r="Z1167" i="3"/>
  <c r="B1167" i="3"/>
  <c r="Z1166" i="3"/>
  <c r="B1166" i="3"/>
  <c r="Z1165" i="3"/>
  <c r="B1165" i="3"/>
  <c r="Z1164" i="3"/>
  <c r="B1164" i="3"/>
  <c r="Z1163" i="3"/>
  <c r="B1163" i="3"/>
  <c r="Z1162" i="3"/>
  <c r="B1162" i="3"/>
  <c r="Z1161" i="3"/>
  <c r="B1161" i="3"/>
  <c r="Z1160" i="3"/>
  <c r="B1160" i="3"/>
  <c r="Z1159" i="3"/>
  <c r="B1159" i="3"/>
  <c r="Z1158" i="3"/>
  <c r="B1158" i="3"/>
  <c r="Z1157" i="3"/>
  <c r="B1157" i="3"/>
  <c r="Z1156" i="3"/>
  <c r="B1156" i="3"/>
  <c r="Z1155" i="3"/>
  <c r="B1155" i="3"/>
  <c r="Z1154" i="3"/>
  <c r="B1154" i="3"/>
  <c r="Z1153" i="3"/>
  <c r="B1153" i="3"/>
  <c r="Z1152" i="3"/>
  <c r="B1152" i="3"/>
  <c r="Z1151" i="3"/>
  <c r="B1151" i="3"/>
  <c r="Z1150" i="3"/>
  <c r="B1150" i="3"/>
  <c r="Z1149" i="3"/>
  <c r="B1149" i="3"/>
  <c r="Z1148" i="3"/>
  <c r="B1148" i="3"/>
  <c r="Z1147" i="3"/>
  <c r="B1147" i="3"/>
  <c r="Z1146" i="3"/>
  <c r="B1146" i="3"/>
  <c r="Z1145" i="3"/>
  <c r="B1145" i="3"/>
  <c r="Z1144" i="3"/>
  <c r="B1144" i="3"/>
  <c r="Z1143" i="3"/>
  <c r="B1143" i="3"/>
  <c r="Z1142" i="3"/>
  <c r="B1142" i="3"/>
  <c r="Z1141" i="3"/>
  <c r="B1141" i="3"/>
  <c r="Z1140" i="3"/>
  <c r="B1140" i="3"/>
  <c r="Z1139" i="3"/>
  <c r="B1139" i="3"/>
  <c r="Z1138" i="3"/>
  <c r="B1138" i="3"/>
  <c r="Z1137" i="3"/>
  <c r="B1137" i="3"/>
  <c r="Z1136" i="3"/>
  <c r="B1136" i="3"/>
  <c r="Z1135" i="3"/>
  <c r="B1135" i="3"/>
  <c r="Z1134" i="3"/>
  <c r="B1134" i="3"/>
  <c r="Z1133" i="3"/>
  <c r="B1133" i="3"/>
  <c r="Z1132" i="3"/>
  <c r="B1132" i="3"/>
  <c r="Z1131" i="3"/>
  <c r="B1131" i="3"/>
  <c r="Z1130" i="3"/>
  <c r="B1130" i="3"/>
  <c r="Z1129" i="3"/>
  <c r="B1129" i="3"/>
  <c r="Z1128" i="3"/>
  <c r="B1128" i="3"/>
  <c r="Z1127" i="3"/>
  <c r="B1127" i="3"/>
  <c r="Z1126" i="3"/>
  <c r="B1126" i="3"/>
  <c r="Z1125" i="3"/>
  <c r="B1125" i="3"/>
  <c r="Z1124" i="3"/>
  <c r="B1124" i="3"/>
  <c r="Z1123" i="3"/>
  <c r="B1123" i="3"/>
  <c r="Z1122" i="3"/>
  <c r="B1122" i="3"/>
  <c r="Z1121" i="3"/>
  <c r="B1121" i="3"/>
  <c r="Z1120" i="3"/>
  <c r="B1120" i="3"/>
  <c r="Z1119" i="3"/>
  <c r="B1119" i="3"/>
  <c r="Z1118" i="3"/>
  <c r="B1118" i="3"/>
  <c r="Z1117" i="3"/>
  <c r="B1117" i="3"/>
  <c r="Z1116" i="3"/>
  <c r="B1116" i="3"/>
  <c r="Z1115" i="3"/>
  <c r="B1115" i="3"/>
  <c r="Z1114" i="3"/>
  <c r="B1114" i="3"/>
  <c r="Z1113" i="3"/>
  <c r="B1113" i="3"/>
  <c r="Z1112" i="3"/>
  <c r="B1112" i="3"/>
  <c r="Z1111" i="3"/>
  <c r="B1111" i="3"/>
  <c r="Z1110" i="3"/>
  <c r="B1110" i="3"/>
  <c r="Z1109" i="3"/>
  <c r="B1109" i="3"/>
  <c r="Z1108" i="3"/>
  <c r="B1108" i="3"/>
  <c r="Z1107" i="3"/>
  <c r="B1107" i="3"/>
  <c r="Z1106" i="3"/>
  <c r="B1106" i="3"/>
  <c r="Z1105" i="3"/>
  <c r="B1105" i="3"/>
  <c r="Z1104" i="3"/>
  <c r="B1104" i="3"/>
  <c r="Z1103" i="3"/>
  <c r="B1103" i="3"/>
  <c r="Z1102" i="3"/>
  <c r="B1102" i="3"/>
  <c r="Z1101" i="3"/>
  <c r="B1101" i="3"/>
  <c r="Z1100" i="3"/>
  <c r="B1100" i="3"/>
  <c r="Z1099" i="3"/>
  <c r="B1099" i="3"/>
  <c r="Z1098" i="3"/>
  <c r="B1098" i="3"/>
  <c r="Z1097" i="3"/>
  <c r="B1097" i="3"/>
  <c r="Z1096" i="3"/>
  <c r="B1096" i="3"/>
  <c r="Z1095" i="3"/>
  <c r="B1095" i="3"/>
  <c r="Z1094" i="3"/>
  <c r="B1094" i="3"/>
  <c r="Z1093" i="3"/>
  <c r="B1093" i="3"/>
  <c r="Z1092" i="3"/>
  <c r="B1092" i="3"/>
  <c r="Z1091" i="3"/>
  <c r="B1091" i="3"/>
  <c r="Z1090" i="3"/>
  <c r="B1090" i="3"/>
  <c r="Z1089" i="3"/>
  <c r="B1089" i="3"/>
  <c r="Z1088" i="3"/>
  <c r="B1088" i="3"/>
  <c r="Z1087" i="3"/>
  <c r="B1087" i="3"/>
  <c r="Z1086" i="3"/>
  <c r="B1086" i="3"/>
  <c r="Z1085" i="3"/>
  <c r="B1085" i="3"/>
  <c r="Z1084" i="3"/>
  <c r="B1084" i="3"/>
  <c r="Z1083" i="3"/>
  <c r="B1083" i="3"/>
  <c r="Z1082" i="3"/>
  <c r="B1082" i="3"/>
  <c r="Z1081" i="3"/>
  <c r="B1081" i="3"/>
  <c r="Z1080" i="3"/>
  <c r="B1080" i="3"/>
  <c r="Z1079" i="3"/>
  <c r="B1079" i="3"/>
  <c r="Z1078" i="3"/>
  <c r="B1078" i="3"/>
  <c r="Z1077" i="3"/>
  <c r="B1077" i="3"/>
  <c r="Z1076" i="3"/>
  <c r="B1076" i="3"/>
  <c r="Z1075" i="3"/>
  <c r="B1075" i="3"/>
  <c r="Z1074" i="3"/>
  <c r="B1074" i="3"/>
  <c r="Z1073" i="3"/>
  <c r="B1073" i="3"/>
  <c r="Z1072" i="3"/>
  <c r="B1072" i="3"/>
  <c r="Z1071" i="3"/>
  <c r="B1071" i="3"/>
  <c r="Z1070" i="3"/>
  <c r="B1070" i="3"/>
  <c r="Z1069" i="3"/>
  <c r="B1069" i="3"/>
  <c r="Z1068" i="3"/>
  <c r="B1068" i="3"/>
  <c r="Z1067" i="3"/>
  <c r="B1067" i="3"/>
  <c r="Z1066" i="3"/>
  <c r="B1066" i="3"/>
  <c r="Z1065" i="3"/>
  <c r="B1065" i="3"/>
  <c r="Z1064" i="3"/>
  <c r="B1064" i="3"/>
  <c r="Z1063" i="3"/>
  <c r="B1063" i="3"/>
  <c r="Z1062" i="3"/>
  <c r="B1062" i="3"/>
  <c r="Z1061" i="3"/>
  <c r="B1061" i="3"/>
  <c r="Z1060" i="3"/>
  <c r="B1060" i="3"/>
  <c r="Z1059" i="3"/>
  <c r="B1059" i="3"/>
  <c r="Z1058" i="3"/>
  <c r="B1058" i="3"/>
  <c r="Z1057" i="3"/>
  <c r="B1057" i="3"/>
  <c r="Z1056" i="3"/>
  <c r="B1056" i="3"/>
  <c r="Z1055" i="3"/>
  <c r="B1055" i="3"/>
  <c r="Z1054" i="3"/>
  <c r="B1054" i="3"/>
  <c r="Z1053" i="3"/>
  <c r="B1053" i="3"/>
  <c r="Z1052" i="3"/>
  <c r="B1052" i="3"/>
  <c r="Z1051" i="3"/>
  <c r="B1051" i="3"/>
  <c r="Z1050" i="3"/>
  <c r="B1050" i="3"/>
  <c r="Z1049" i="3"/>
  <c r="B1049" i="3"/>
  <c r="Z1048" i="3"/>
  <c r="B1048" i="3"/>
  <c r="Z1047" i="3"/>
  <c r="B1047" i="3"/>
  <c r="Z1046" i="3"/>
  <c r="B1046" i="3"/>
  <c r="Z1045" i="3"/>
  <c r="B1045" i="3"/>
  <c r="Z1044" i="3"/>
  <c r="B1044" i="3"/>
  <c r="Z1043" i="3"/>
  <c r="B1043" i="3"/>
  <c r="Z1042" i="3"/>
  <c r="B1042" i="3"/>
  <c r="Z1041" i="3"/>
  <c r="B1041" i="3"/>
  <c r="Z1040" i="3"/>
  <c r="B1040" i="3"/>
  <c r="Z1039" i="3"/>
  <c r="B1039" i="3"/>
  <c r="Z1038" i="3"/>
  <c r="B1038" i="3"/>
  <c r="Z1037" i="3"/>
  <c r="B1037" i="3"/>
  <c r="Z1036" i="3"/>
  <c r="B1036" i="3"/>
  <c r="Z1035" i="3"/>
  <c r="B1035" i="3"/>
  <c r="Z1034" i="3"/>
  <c r="B1034" i="3"/>
  <c r="Z1033" i="3"/>
  <c r="B1033" i="3"/>
  <c r="Z1032" i="3"/>
  <c r="B1032" i="3"/>
  <c r="Z1031" i="3"/>
  <c r="B1031" i="3"/>
  <c r="Z1030" i="3"/>
  <c r="B1030" i="3"/>
  <c r="Z1029" i="3"/>
  <c r="B1029" i="3"/>
  <c r="Z1028" i="3"/>
  <c r="B1028" i="3"/>
  <c r="Z1027" i="3"/>
  <c r="B1027" i="3"/>
  <c r="Z1026" i="3"/>
  <c r="B1026" i="3"/>
  <c r="Z1025" i="3"/>
  <c r="B1025" i="3"/>
  <c r="Z1024" i="3"/>
  <c r="B1024" i="3"/>
  <c r="Z1023" i="3"/>
  <c r="B1023" i="3"/>
  <c r="Z1022" i="3"/>
  <c r="B1022" i="3"/>
  <c r="Z1021" i="3"/>
  <c r="B1021" i="3"/>
  <c r="Z1020" i="3"/>
  <c r="B1020" i="3"/>
  <c r="Z1019" i="3"/>
  <c r="B1019" i="3"/>
  <c r="Z1018" i="3"/>
  <c r="B1018" i="3"/>
  <c r="Z1017" i="3"/>
  <c r="B1017" i="3"/>
  <c r="Z1016" i="3"/>
  <c r="B1016" i="3"/>
  <c r="Z1015" i="3"/>
  <c r="B1015" i="3"/>
  <c r="Z1014" i="3"/>
  <c r="B1014" i="3"/>
  <c r="Z1013" i="3"/>
  <c r="B1013" i="3"/>
  <c r="Z1012" i="3"/>
  <c r="B1012" i="3"/>
  <c r="Z1011" i="3"/>
  <c r="B1011" i="3"/>
  <c r="Z1010" i="3"/>
  <c r="B1010" i="3"/>
  <c r="Z1009" i="3"/>
  <c r="B1009" i="3"/>
  <c r="Z1008" i="3"/>
  <c r="B1008" i="3"/>
  <c r="Z1007" i="3"/>
  <c r="B1007" i="3"/>
  <c r="Z1006" i="3"/>
  <c r="B1006" i="3"/>
  <c r="Z1005" i="3"/>
  <c r="B1005" i="3"/>
  <c r="Z1004" i="3"/>
  <c r="B1004" i="3"/>
  <c r="Z1003" i="3"/>
  <c r="B1003" i="3"/>
  <c r="Z1002" i="3"/>
  <c r="B1002" i="3"/>
  <c r="Z1001" i="3"/>
  <c r="B1001" i="3"/>
  <c r="Z1000" i="3"/>
  <c r="B1000" i="3"/>
  <c r="Z999" i="3"/>
  <c r="B999" i="3"/>
  <c r="Z998" i="3"/>
  <c r="B998" i="3"/>
  <c r="Z997" i="3"/>
  <c r="B997" i="3"/>
  <c r="Z996" i="3"/>
  <c r="B996" i="3"/>
  <c r="Z995" i="3"/>
  <c r="B995" i="3"/>
  <c r="Z994" i="3"/>
  <c r="B994" i="3"/>
  <c r="Z993" i="3"/>
  <c r="B993" i="3"/>
  <c r="Z992" i="3"/>
  <c r="B992" i="3"/>
  <c r="Z991" i="3"/>
  <c r="B991" i="3"/>
  <c r="Z990" i="3"/>
  <c r="B990" i="3"/>
  <c r="Z989" i="3"/>
  <c r="B989" i="3"/>
  <c r="Z988" i="3"/>
  <c r="B988" i="3"/>
  <c r="Z987" i="3"/>
  <c r="B987" i="3"/>
  <c r="Z986" i="3"/>
  <c r="B986" i="3"/>
  <c r="Z985" i="3"/>
  <c r="B985" i="3"/>
  <c r="Z984" i="3"/>
  <c r="B984" i="3"/>
  <c r="Z983" i="3"/>
  <c r="B983" i="3"/>
  <c r="Z982" i="3"/>
  <c r="B982" i="3"/>
  <c r="Z981" i="3"/>
  <c r="B981" i="3"/>
  <c r="Z980" i="3"/>
  <c r="B980" i="3"/>
  <c r="Z979" i="3"/>
  <c r="B979" i="3"/>
  <c r="Z978" i="3"/>
  <c r="B978" i="3"/>
  <c r="Z977" i="3"/>
  <c r="B977" i="3"/>
  <c r="Z976" i="3"/>
  <c r="B976" i="3"/>
  <c r="Z975" i="3"/>
  <c r="B975" i="3"/>
  <c r="Z974" i="3"/>
  <c r="B974" i="3"/>
  <c r="Z973" i="3"/>
  <c r="B973" i="3"/>
  <c r="Z972" i="3"/>
  <c r="B972" i="3"/>
  <c r="Z971" i="3"/>
  <c r="B971" i="3"/>
  <c r="Z970" i="3"/>
  <c r="B970" i="3"/>
  <c r="Z969" i="3"/>
  <c r="B969" i="3"/>
  <c r="Z968" i="3"/>
  <c r="B968" i="3"/>
  <c r="Z967" i="3"/>
  <c r="B967" i="3"/>
  <c r="Z966" i="3"/>
  <c r="B966" i="3"/>
  <c r="Z965" i="3"/>
  <c r="B965" i="3"/>
  <c r="Z964" i="3"/>
  <c r="B964" i="3"/>
  <c r="Z963" i="3"/>
  <c r="B963" i="3"/>
  <c r="Z962" i="3"/>
  <c r="B962" i="3"/>
  <c r="Z961" i="3"/>
  <c r="B961" i="3"/>
  <c r="Z960" i="3"/>
  <c r="B960" i="3"/>
  <c r="Z959" i="3"/>
  <c r="B959" i="3"/>
  <c r="Z958" i="3"/>
  <c r="B958" i="3"/>
  <c r="Z957" i="3"/>
  <c r="B957" i="3"/>
  <c r="Z956" i="3"/>
  <c r="B956" i="3"/>
  <c r="Z955" i="3"/>
  <c r="B955" i="3"/>
  <c r="Z954" i="3"/>
  <c r="B954" i="3"/>
  <c r="Z953" i="3"/>
  <c r="B953" i="3"/>
  <c r="Z952" i="3"/>
  <c r="B952" i="3"/>
  <c r="Z951" i="3"/>
  <c r="B951" i="3"/>
  <c r="Z950" i="3"/>
  <c r="B950" i="3"/>
  <c r="Z949" i="3"/>
  <c r="B949" i="3"/>
  <c r="Z948" i="3"/>
  <c r="B948" i="3"/>
  <c r="Z947" i="3"/>
  <c r="B947" i="3"/>
  <c r="Z946" i="3"/>
  <c r="B946" i="3"/>
  <c r="Z945" i="3"/>
  <c r="B945" i="3"/>
  <c r="Z944" i="3"/>
  <c r="B944" i="3"/>
  <c r="Z943" i="3"/>
  <c r="B943" i="3"/>
  <c r="Z942" i="3"/>
  <c r="B942" i="3"/>
  <c r="Z941" i="3"/>
  <c r="B941" i="3"/>
  <c r="Z940" i="3"/>
  <c r="B940" i="3"/>
  <c r="Z939" i="3"/>
  <c r="B939" i="3"/>
  <c r="Z938" i="3"/>
  <c r="B938" i="3"/>
  <c r="Z937" i="3"/>
  <c r="B937" i="3"/>
  <c r="Z936" i="3"/>
  <c r="B936" i="3"/>
  <c r="Z935" i="3"/>
  <c r="B935" i="3"/>
  <c r="Z934" i="3"/>
  <c r="B934" i="3"/>
  <c r="Z933" i="3"/>
  <c r="B933" i="3"/>
  <c r="Z932" i="3"/>
  <c r="B932" i="3"/>
  <c r="Z931" i="3"/>
  <c r="B931" i="3"/>
  <c r="Z930" i="3"/>
  <c r="B930" i="3"/>
  <c r="Z929" i="3"/>
  <c r="B929" i="3"/>
  <c r="Z928" i="3"/>
  <c r="B928" i="3"/>
  <c r="Z927" i="3"/>
  <c r="B927" i="3"/>
  <c r="Z926" i="3"/>
  <c r="B926" i="3"/>
  <c r="Z925" i="3"/>
  <c r="B925" i="3"/>
  <c r="Z924" i="3"/>
  <c r="B924" i="3"/>
  <c r="Z923" i="3"/>
  <c r="B923" i="3"/>
  <c r="Z922" i="3"/>
  <c r="B922" i="3"/>
  <c r="Z921" i="3"/>
  <c r="B921" i="3"/>
  <c r="Z920" i="3"/>
  <c r="B920" i="3"/>
  <c r="Z919" i="3"/>
  <c r="B919" i="3"/>
  <c r="Z918" i="3"/>
  <c r="B918" i="3"/>
  <c r="Z917" i="3"/>
  <c r="B917" i="3"/>
  <c r="Z916" i="3"/>
  <c r="B916" i="3"/>
  <c r="Z915" i="3"/>
  <c r="B915" i="3"/>
  <c r="Z914" i="3"/>
  <c r="B914" i="3"/>
  <c r="Z913" i="3"/>
  <c r="B913" i="3"/>
  <c r="Z912" i="3"/>
  <c r="B912" i="3"/>
  <c r="Z911" i="3"/>
  <c r="B911" i="3"/>
  <c r="Z910" i="3"/>
  <c r="B910" i="3"/>
  <c r="Z909" i="3"/>
  <c r="B909" i="3"/>
  <c r="Z908" i="3"/>
  <c r="B908" i="3"/>
  <c r="Z907" i="3"/>
  <c r="B907" i="3"/>
  <c r="Z906" i="3"/>
  <c r="B906" i="3"/>
  <c r="Z905" i="3"/>
  <c r="B905" i="3"/>
  <c r="Z904" i="3"/>
  <c r="B904" i="3"/>
  <c r="Z903" i="3"/>
  <c r="B903" i="3"/>
  <c r="Z902" i="3"/>
  <c r="B902" i="3"/>
  <c r="Z901" i="3"/>
  <c r="B901" i="3"/>
  <c r="Z900" i="3"/>
  <c r="B900" i="3"/>
  <c r="Z899" i="3"/>
  <c r="B899" i="3"/>
  <c r="Z898" i="3"/>
  <c r="B898" i="3"/>
  <c r="Z897" i="3"/>
  <c r="B897" i="3"/>
  <c r="Z896" i="3"/>
  <c r="B896" i="3"/>
  <c r="Z895" i="3"/>
  <c r="B895" i="3"/>
  <c r="Z894" i="3"/>
  <c r="B894" i="3"/>
  <c r="Z893" i="3"/>
  <c r="B893" i="3"/>
  <c r="Z892" i="3"/>
  <c r="B892" i="3"/>
  <c r="Z891" i="3"/>
  <c r="B891" i="3"/>
  <c r="Z890" i="3"/>
  <c r="B890" i="3"/>
  <c r="Z889" i="3"/>
  <c r="B889" i="3"/>
  <c r="Z888" i="3"/>
  <c r="B888" i="3"/>
  <c r="Z887" i="3"/>
  <c r="B887" i="3"/>
  <c r="Z886" i="3"/>
  <c r="B886" i="3"/>
  <c r="Z885" i="3"/>
  <c r="B885" i="3"/>
  <c r="Z884" i="3"/>
  <c r="B884" i="3"/>
  <c r="Z883" i="3"/>
  <c r="B883" i="3"/>
  <c r="Z882" i="3"/>
  <c r="B882" i="3"/>
  <c r="Z881" i="3"/>
  <c r="B881" i="3"/>
  <c r="Z880" i="3"/>
  <c r="B880" i="3"/>
  <c r="Z879" i="3"/>
  <c r="B879" i="3"/>
  <c r="Z878" i="3"/>
  <c r="B878" i="3"/>
  <c r="Z877" i="3"/>
  <c r="B877" i="3"/>
  <c r="Z876" i="3"/>
  <c r="B876" i="3"/>
  <c r="Z875" i="3"/>
  <c r="B875" i="3"/>
  <c r="Z874" i="3"/>
  <c r="B874" i="3"/>
  <c r="Z873" i="3"/>
  <c r="B873" i="3"/>
  <c r="Z872" i="3"/>
  <c r="B872" i="3"/>
  <c r="Z871" i="3"/>
  <c r="B871" i="3"/>
  <c r="Z870" i="3"/>
  <c r="B870" i="3"/>
  <c r="Z869" i="3"/>
  <c r="B869" i="3"/>
  <c r="Z868" i="3"/>
  <c r="B868" i="3"/>
  <c r="Z867" i="3"/>
  <c r="B867" i="3"/>
  <c r="Z866" i="3"/>
  <c r="B866" i="3"/>
  <c r="Z865" i="3"/>
  <c r="B865" i="3"/>
  <c r="Z864" i="3"/>
  <c r="B864" i="3"/>
  <c r="Z863" i="3"/>
  <c r="B863" i="3"/>
  <c r="Z862" i="3"/>
  <c r="B862" i="3"/>
  <c r="Z861" i="3"/>
  <c r="B861" i="3"/>
  <c r="Z860" i="3"/>
  <c r="B860" i="3"/>
  <c r="Z859" i="3"/>
  <c r="B859" i="3"/>
  <c r="Z858" i="3"/>
  <c r="B858" i="3"/>
  <c r="Z857" i="3"/>
  <c r="B857" i="3"/>
  <c r="Z856" i="3"/>
  <c r="B856" i="3"/>
  <c r="Z855" i="3"/>
  <c r="B855" i="3"/>
  <c r="Z854" i="3"/>
  <c r="B854" i="3"/>
  <c r="Z853" i="3"/>
  <c r="B853" i="3"/>
  <c r="Z852" i="3"/>
  <c r="B852" i="3"/>
  <c r="Z851" i="3"/>
  <c r="B851" i="3"/>
  <c r="Z850" i="3"/>
  <c r="B850" i="3"/>
  <c r="Z849" i="3"/>
  <c r="B849" i="3"/>
  <c r="Z848" i="3"/>
  <c r="B848" i="3"/>
  <c r="Z847" i="3"/>
  <c r="B847" i="3"/>
  <c r="Z846" i="3"/>
  <c r="B846" i="3"/>
  <c r="Z845" i="3"/>
  <c r="B845" i="3"/>
  <c r="Z844" i="3"/>
  <c r="B844" i="3"/>
  <c r="Z843" i="3"/>
  <c r="B843" i="3"/>
  <c r="Z842" i="3"/>
  <c r="B842" i="3"/>
  <c r="Z841" i="3"/>
  <c r="B841" i="3"/>
  <c r="Z840" i="3"/>
  <c r="B840" i="3"/>
  <c r="Z839" i="3"/>
  <c r="B839" i="3"/>
  <c r="Z838" i="3"/>
  <c r="B838" i="3"/>
  <c r="Z837" i="3"/>
  <c r="B837" i="3"/>
  <c r="Z836" i="3"/>
  <c r="B836" i="3"/>
  <c r="Z835" i="3"/>
  <c r="B835" i="3"/>
  <c r="Z834" i="3"/>
  <c r="B834" i="3"/>
  <c r="Z833" i="3"/>
  <c r="B833" i="3"/>
  <c r="Z832" i="3"/>
  <c r="B832" i="3"/>
  <c r="Z831" i="3"/>
  <c r="B831" i="3"/>
  <c r="Z830" i="3"/>
  <c r="B830" i="3"/>
  <c r="Z829" i="3"/>
  <c r="B829" i="3"/>
  <c r="Z828" i="3"/>
  <c r="B828" i="3"/>
  <c r="Z827" i="3"/>
  <c r="B827" i="3"/>
  <c r="Z826" i="3"/>
  <c r="B826" i="3"/>
  <c r="Z825" i="3"/>
  <c r="B825" i="3"/>
  <c r="Z824" i="3"/>
  <c r="B824" i="3"/>
  <c r="Z823" i="3"/>
  <c r="B823" i="3"/>
  <c r="Z822" i="3"/>
  <c r="B822" i="3"/>
  <c r="Z821" i="3"/>
  <c r="B821" i="3"/>
  <c r="Z820" i="3"/>
  <c r="B820" i="3"/>
  <c r="Z819" i="3"/>
  <c r="B819" i="3"/>
  <c r="Z818" i="3"/>
  <c r="B818" i="3"/>
  <c r="Z817" i="3"/>
  <c r="B817" i="3"/>
  <c r="Z816" i="3"/>
  <c r="B816" i="3"/>
  <c r="Z815" i="3"/>
  <c r="B815" i="3"/>
  <c r="Z814" i="3"/>
  <c r="B814" i="3"/>
  <c r="Z813" i="3"/>
  <c r="B813" i="3"/>
  <c r="Z812" i="3"/>
  <c r="B812" i="3"/>
  <c r="Z811" i="3"/>
  <c r="B811" i="3"/>
  <c r="Z810" i="3"/>
  <c r="B810" i="3"/>
  <c r="Z809" i="3"/>
  <c r="B809" i="3"/>
  <c r="Z808" i="3"/>
  <c r="B808" i="3"/>
  <c r="Z807" i="3"/>
  <c r="B807" i="3"/>
  <c r="Z806" i="3"/>
  <c r="B806" i="3"/>
  <c r="Z805" i="3"/>
  <c r="B805" i="3"/>
  <c r="Z804" i="3"/>
  <c r="B804" i="3"/>
  <c r="Z803" i="3"/>
  <c r="B803" i="3"/>
  <c r="Z802" i="3"/>
  <c r="B802" i="3"/>
  <c r="Z801" i="3"/>
  <c r="B801" i="3"/>
  <c r="Z800" i="3"/>
  <c r="B800" i="3"/>
  <c r="Z799" i="3"/>
  <c r="B799" i="3"/>
  <c r="Z798" i="3"/>
  <c r="B798" i="3"/>
  <c r="Z797" i="3"/>
  <c r="B797" i="3"/>
  <c r="Z796" i="3"/>
  <c r="B796" i="3"/>
  <c r="Z795" i="3"/>
  <c r="B795" i="3"/>
  <c r="Z794" i="3"/>
  <c r="B794" i="3"/>
  <c r="Z793" i="3"/>
  <c r="B793" i="3"/>
  <c r="Z792" i="3"/>
  <c r="B792" i="3"/>
  <c r="Z791" i="3"/>
  <c r="B791" i="3"/>
  <c r="Z790" i="3"/>
  <c r="B790" i="3"/>
  <c r="Z789" i="3"/>
  <c r="B789" i="3"/>
  <c r="Z788" i="3"/>
  <c r="B788" i="3"/>
  <c r="Z787" i="3"/>
  <c r="B787" i="3"/>
  <c r="Z786" i="3"/>
  <c r="B786" i="3"/>
  <c r="Z785" i="3"/>
  <c r="B785" i="3"/>
  <c r="Z784" i="3"/>
  <c r="B784" i="3"/>
  <c r="Z783" i="3"/>
  <c r="B783" i="3"/>
  <c r="Z782" i="3"/>
  <c r="B782" i="3"/>
  <c r="Z781" i="3"/>
  <c r="B781" i="3"/>
  <c r="Z780" i="3"/>
  <c r="B780" i="3"/>
  <c r="Z779" i="3"/>
  <c r="B779" i="3"/>
  <c r="Z778" i="3"/>
  <c r="B778" i="3"/>
  <c r="Z777" i="3"/>
  <c r="B777" i="3"/>
  <c r="Z776" i="3"/>
  <c r="B776" i="3"/>
  <c r="Z775" i="3"/>
  <c r="B775" i="3"/>
  <c r="Z774" i="3"/>
  <c r="B774" i="3"/>
  <c r="Z773" i="3"/>
  <c r="B773" i="3"/>
  <c r="Z772" i="3"/>
  <c r="B772" i="3"/>
  <c r="Z771" i="3"/>
  <c r="B771" i="3"/>
  <c r="Z770" i="3"/>
  <c r="B770" i="3"/>
  <c r="Z769" i="3"/>
  <c r="B769" i="3"/>
  <c r="Z768" i="3"/>
  <c r="B768" i="3"/>
  <c r="Z767" i="3"/>
  <c r="B767" i="3"/>
  <c r="Z766" i="3"/>
  <c r="B766" i="3"/>
  <c r="Z765" i="3"/>
  <c r="B765" i="3"/>
  <c r="Z764" i="3"/>
  <c r="B764" i="3"/>
  <c r="Z763" i="3"/>
  <c r="B763" i="3"/>
  <c r="Z762" i="3"/>
  <c r="B762" i="3"/>
  <c r="Z761" i="3"/>
  <c r="B761" i="3"/>
  <c r="Z760" i="3"/>
  <c r="B760" i="3"/>
  <c r="Z759" i="3"/>
  <c r="B759" i="3"/>
  <c r="Z758" i="3"/>
  <c r="B758" i="3"/>
  <c r="Z757" i="3"/>
  <c r="B757" i="3"/>
  <c r="Z756" i="3"/>
  <c r="B756" i="3"/>
  <c r="Z755" i="3"/>
  <c r="B755" i="3"/>
  <c r="Z754" i="3"/>
  <c r="B754" i="3"/>
  <c r="Z753" i="3"/>
  <c r="B753" i="3"/>
  <c r="Z752" i="3"/>
  <c r="B752" i="3"/>
  <c r="Z751" i="3"/>
  <c r="B751" i="3"/>
  <c r="Z750" i="3"/>
  <c r="B750" i="3"/>
  <c r="Z749" i="3"/>
  <c r="B749" i="3"/>
  <c r="Z748" i="3"/>
  <c r="B748" i="3"/>
  <c r="Z747" i="3"/>
  <c r="B747" i="3"/>
  <c r="Z746" i="3"/>
  <c r="B746" i="3"/>
  <c r="Z745" i="3"/>
  <c r="B745" i="3"/>
  <c r="Z744" i="3"/>
  <c r="B744" i="3"/>
  <c r="Z743" i="3"/>
  <c r="B743" i="3"/>
  <c r="Z742" i="3"/>
  <c r="B742" i="3"/>
  <c r="Z741" i="3"/>
  <c r="B741" i="3"/>
  <c r="Z740" i="3"/>
  <c r="B740" i="3"/>
  <c r="Z739" i="3"/>
  <c r="B739" i="3"/>
  <c r="Z738" i="3"/>
  <c r="B738" i="3"/>
  <c r="Z737" i="3"/>
  <c r="B737" i="3"/>
  <c r="Z736" i="3"/>
  <c r="B736" i="3"/>
  <c r="Z735" i="3"/>
  <c r="B735" i="3"/>
  <c r="Z734" i="3"/>
  <c r="B734" i="3"/>
  <c r="Z733" i="3"/>
  <c r="B733" i="3"/>
  <c r="Z732" i="3"/>
  <c r="B732" i="3"/>
  <c r="Z731" i="3"/>
  <c r="B731" i="3"/>
  <c r="Z730" i="3"/>
  <c r="B730" i="3"/>
  <c r="Z729" i="3"/>
  <c r="B729" i="3"/>
  <c r="Z728" i="3"/>
  <c r="B728" i="3"/>
  <c r="Z727" i="3"/>
  <c r="B727" i="3"/>
  <c r="Z726" i="3"/>
  <c r="B726" i="3"/>
  <c r="Z725" i="3"/>
  <c r="B725" i="3"/>
  <c r="Z724" i="3"/>
  <c r="B724" i="3"/>
  <c r="Z723" i="3"/>
  <c r="B723" i="3"/>
  <c r="Z722" i="3"/>
  <c r="B722" i="3"/>
  <c r="Z721" i="3"/>
  <c r="B721" i="3"/>
  <c r="Z720" i="3"/>
  <c r="B720" i="3"/>
  <c r="Z719" i="3"/>
  <c r="B719" i="3"/>
  <c r="Z718" i="3"/>
  <c r="B718" i="3"/>
  <c r="Z717" i="3"/>
  <c r="B717" i="3"/>
  <c r="Z716" i="3"/>
  <c r="B716" i="3"/>
  <c r="Z715" i="3"/>
  <c r="B715" i="3"/>
  <c r="Z714" i="3"/>
  <c r="B714" i="3"/>
  <c r="Z713" i="3"/>
  <c r="B713" i="3"/>
  <c r="Z712" i="3"/>
  <c r="B712" i="3"/>
  <c r="Z711" i="3"/>
  <c r="B711" i="3"/>
  <c r="Z710" i="3"/>
  <c r="B710" i="3"/>
  <c r="Z709" i="3"/>
  <c r="B709" i="3"/>
  <c r="Z708" i="3"/>
  <c r="B708" i="3"/>
  <c r="Z707" i="3"/>
  <c r="B707" i="3"/>
  <c r="Z706" i="3"/>
  <c r="B706" i="3"/>
  <c r="Z705" i="3"/>
  <c r="B705" i="3"/>
  <c r="Z704" i="3"/>
  <c r="B704" i="3"/>
  <c r="Z703" i="3"/>
  <c r="B703" i="3"/>
  <c r="Z702" i="3"/>
  <c r="B702" i="3"/>
  <c r="Z701" i="3"/>
  <c r="B701" i="3"/>
  <c r="Z700" i="3"/>
  <c r="B700" i="3"/>
  <c r="Z699" i="3"/>
  <c r="B699" i="3"/>
  <c r="Z698" i="3"/>
  <c r="B698" i="3"/>
  <c r="Z697" i="3"/>
  <c r="B697" i="3"/>
  <c r="Z696" i="3"/>
  <c r="B696" i="3"/>
  <c r="Z695" i="3"/>
  <c r="B695" i="3"/>
  <c r="Z694" i="3"/>
  <c r="B694" i="3"/>
  <c r="Z693" i="3"/>
  <c r="B693" i="3"/>
  <c r="Z692" i="3"/>
  <c r="B692" i="3"/>
  <c r="Z691" i="3"/>
  <c r="B691" i="3"/>
  <c r="Z690" i="3"/>
  <c r="B690" i="3"/>
  <c r="Z689" i="3"/>
  <c r="B689" i="3"/>
  <c r="Z688" i="3"/>
  <c r="B688" i="3"/>
  <c r="Z687" i="3"/>
  <c r="B687" i="3"/>
  <c r="Z686" i="3"/>
  <c r="B686" i="3"/>
  <c r="Z685" i="3"/>
  <c r="B685" i="3"/>
  <c r="Z684" i="3"/>
  <c r="B684" i="3"/>
  <c r="Z683" i="3"/>
  <c r="B683" i="3"/>
  <c r="Z682" i="3"/>
  <c r="B682" i="3"/>
  <c r="Z681" i="3"/>
  <c r="B681" i="3"/>
  <c r="Z680" i="3"/>
  <c r="B680" i="3"/>
  <c r="Z679" i="3"/>
  <c r="B679" i="3"/>
  <c r="Z678" i="3"/>
  <c r="B678" i="3"/>
  <c r="Z677" i="3"/>
  <c r="B677" i="3"/>
  <c r="Z676" i="3"/>
  <c r="B676" i="3"/>
  <c r="Z675" i="3"/>
  <c r="B675" i="3"/>
  <c r="Z674" i="3"/>
  <c r="B674" i="3"/>
  <c r="Z673" i="3"/>
  <c r="B673" i="3"/>
  <c r="Z672" i="3"/>
  <c r="B672" i="3"/>
  <c r="Z671" i="3"/>
  <c r="B671" i="3"/>
  <c r="Z670" i="3"/>
  <c r="B670" i="3"/>
  <c r="Z669" i="3"/>
  <c r="B669" i="3"/>
  <c r="Z668" i="3"/>
  <c r="B668" i="3"/>
  <c r="Z667" i="3"/>
  <c r="B667" i="3"/>
  <c r="Z666" i="3"/>
  <c r="B666" i="3"/>
  <c r="Z665" i="3"/>
  <c r="B665" i="3"/>
  <c r="Z664" i="3"/>
  <c r="B664" i="3"/>
  <c r="Z663" i="3"/>
  <c r="B663" i="3"/>
  <c r="Z662" i="3"/>
  <c r="B662" i="3"/>
  <c r="Z661" i="3"/>
  <c r="B661" i="3"/>
  <c r="Z660" i="3"/>
  <c r="B660" i="3"/>
  <c r="Z659" i="3"/>
  <c r="B659" i="3"/>
  <c r="Z658" i="3"/>
  <c r="B658" i="3"/>
  <c r="Z657" i="3"/>
  <c r="B657" i="3"/>
  <c r="Z656" i="3"/>
  <c r="B656" i="3"/>
  <c r="Z655" i="3"/>
  <c r="B655" i="3"/>
  <c r="Z654" i="3"/>
  <c r="B654" i="3"/>
  <c r="Z653" i="3"/>
  <c r="B653" i="3"/>
  <c r="Z652" i="3"/>
  <c r="B652" i="3"/>
  <c r="Z651" i="3"/>
  <c r="B651" i="3"/>
  <c r="Z650" i="3"/>
  <c r="B650" i="3"/>
  <c r="Z649" i="3"/>
  <c r="B649" i="3"/>
  <c r="Z648" i="3"/>
  <c r="B648" i="3"/>
  <c r="Z647" i="3"/>
  <c r="B647" i="3"/>
  <c r="Z646" i="3"/>
  <c r="B646" i="3"/>
  <c r="Z645" i="3"/>
  <c r="B645" i="3"/>
  <c r="Z644" i="3"/>
  <c r="B644" i="3"/>
  <c r="Z643" i="3"/>
  <c r="B643" i="3"/>
  <c r="Z642" i="3"/>
  <c r="B642" i="3"/>
  <c r="Z641" i="3"/>
  <c r="B641" i="3"/>
  <c r="Z640" i="3"/>
  <c r="B640" i="3"/>
  <c r="Z639" i="3"/>
  <c r="B639" i="3"/>
  <c r="Z638" i="3"/>
  <c r="B638" i="3"/>
  <c r="Z637" i="3"/>
  <c r="B637" i="3"/>
  <c r="Z636" i="3"/>
  <c r="B636" i="3"/>
  <c r="Z635" i="3"/>
  <c r="B635" i="3"/>
  <c r="Z634" i="3"/>
  <c r="B634" i="3"/>
  <c r="Z633" i="3"/>
  <c r="B633" i="3"/>
  <c r="Z632" i="3"/>
  <c r="B632" i="3"/>
  <c r="Z631" i="3"/>
  <c r="B631" i="3"/>
  <c r="Z630" i="3"/>
  <c r="B630" i="3"/>
  <c r="Z629" i="3"/>
  <c r="B629" i="3"/>
  <c r="Z628" i="3"/>
  <c r="B628" i="3"/>
  <c r="Z627" i="3"/>
  <c r="B627" i="3"/>
  <c r="Z626" i="3"/>
  <c r="B626" i="3"/>
  <c r="Z625" i="3"/>
  <c r="B625" i="3"/>
  <c r="Z624" i="3"/>
  <c r="B624" i="3"/>
  <c r="Z623" i="3"/>
  <c r="B623" i="3"/>
  <c r="Z622" i="3"/>
  <c r="B622" i="3"/>
  <c r="Z621" i="3"/>
  <c r="B621" i="3"/>
  <c r="Z620" i="3"/>
  <c r="B620" i="3"/>
  <c r="Z619" i="3"/>
  <c r="B619" i="3"/>
  <c r="Z618" i="3"/>
  <c r="B618" i="3"/>
  <c r="Z617" i="3"/>
  <c r="B617" i="3"/>
  <c r="Z616" i="3"/>
  <c r="B616" i="3"/>
  <c r="Z615" i="3"/>
  <c r="B615" i="3"/>
  <c r="Z614" i="3"/>
  <c r="B614" i="3"/>
  <c r="Z613" i="3"/>
  <c r="B613" i="3"/>
  <c r="Z612" i="3"/>
  <c r="B612" i="3"/>
  <c r="Z611" i="3"/>
  <c r="B611" i="3"/>
  <c r="Z610" i="3"/>
  <c r="B610" i="3"/>
  <c r="Z609" i="3"/>
  <c r="B609" i="3"/>
  <c r="Z608" i="3"/>
  <c r="B608" i="3"/>
  <c r="Z607" i="3"/>
  <c r="B607" i="3"/>
  <c r="Z606" i="3"/>
  <c r="B606" i="3"/>
  <c r="Z605" i="3"/>
  <c r="B605" i="3"/>
  <c r="Z604" i="3"/>
  <c r="B604" i="3"/>
  <c r="Z603" i="3"/>
  <c r="B603" i="3"/>
  <c r="Z602" i="3"/>
  <c r="B602" i="3"/>
  <c r="Z601" i="3"/>
  <c r="B601" i="3"/>
  <c r="Z600" i="3"/>
  <c r="B600" i="3"/>
  <c r="Z599" i="3"/>
  <c r="B599" i="3"/>
  <c r="Z598" i="3"/>
  <c r="B598" i="3"/>
  <c r="Z597" i="3"/>
  <c r="B597" i="3"/>
  <c r="Z596" i="3"/>
  <c r="B596" i="3"/>
  <c r="Z595" i="3"/>
  <c r="B595" i="3"/>
  <c r="Z594" i="3"/>
  <c r="B594" i="3"/>
  <c r="Z593" i="3"/>
  <c r="B593" i="3"/>
  <c r="Z592" i="3"/>
  <c r="B592" i="3"/>
  <c r="Z591" i="3"/>
  <c r="B591" i="3"/>
  <c r="Z590" i="3"/>
  <c r="B590" i="3"/>
  <c r="Z589" i="3"/>
  <c r="B589" i="3"/>
  <c r="Z588" i="3"/>
  <c r="B588" i="3"/>
  <c r="Z587" i="3"/>
  <c r="B587" i="3"/>
  <c r="Z586" i="3"/>
  <c r="B586" i="3"/>
  <c r="Z585" i="3"/>
  <c r="B585" i="3"/>
  <c r="Z584" i="3"/>
  <c r="B584" i="3"/>
  <c r="Z583" i="3"/>
  <c r="B583" i="3"/>
  <c r="Z582" i="3"/>
  <c r="B582" i="3"/>
  <c r="Z581" i="3"/>
  <c r="B581" i="3"/>
  <c r="Z580" i="3"/>
  <c r="B580" i="3"/>
  <c r="Z579" i="3"/>
  <c r="B579" i="3"/>
  <c r="Z578" i="3"/>
  <c r="B578" i="3"/>
  <c r="Z577" i="3"/>
  <c r="B577" i="3"/>
  <c r="Z576" i="3"/>
  <c r="B576" i="3"/>
  <c r="Z575" i="3"/>
  <c r="B575" i="3"/>
  <c r="Z574" i="3"/>
  <c r="B574" i="3"/>
  <c r="Z573" i="3"/>
  <c r="B573" i="3"/>
  <c r="Z572" i="3"/>
  <c r="B572" i="3"/>
  <c r="Z571" i="3"/>
  <c r="B571" i="3"/>
  <c r="Z570" i="3"/>
  <c r="B570" i="3"/>
  <c r="Z569" i="3"/>
  <c r="B569" i="3"/>
  <c r="Z568" i="3"/>
  <c r="B568" i="3"/>
  <c r="Z567" i="3"/>
  <c r="B567" i="3"/>
  <c r="Z566" i="3"/>
  <c r="B566" i="3"/>
  <c r="Z565" i="3"/>
  <c r="B565" i="3"/>
  <c r="Z564" i="3"/>
  <c r="B564" i="3"/>
  <c r="Z563" i="3"/>
  <c r="B563" i="3"/>
  <c r="Z562" i="3"/>
  <c r="B562" i="3"/>
  <c r="Z561" i="3"/>
  <c r="B561" i="3"/>
  <c r="Z560" i="3"/>
  <c r="B560" i="3"/>
  <c r="Z559" i="3"/>
  <c r="B559" i="3"/>
  <c r="Z558" i="3"/>
  <c r="B558" i="3"/>
  <c r="Z557" i="3"/>
  <c r="B557" i="3"/>
  <c r="Z556" i="3"/>
  <c r="B556" i="3"/>
  <c r="Z555" i="3"/>
  <c r="B555" i="3"/>
  <c r="Z554" i="3"/>
  <c r="B554" i="3"/>
  <c r="Z553" i="3"/>
  <c r="B553" i="3"/>
  <c r="Z552" i="3"/>
  <c r="B552" i="3"/>
  <c r="Z551" i="3"/>
  <c r="B551" i="3"/>
  <c r="Z550" i="3"/>
  <c r="B550" i="3"/>
  <c r="Z549" i="3"/>
  <c r="B549" i="3"/>
  <c r="Z548" i="3"/>
  <c r="B548" i="3"/>
  <c r="Z547" i="3"/>
  <c r="B547" i="3"/>
  <c r="Z546" i="3"/>
  <c r="B546" i="3"/>
  <c r="Z545" i="3"/>
  <c r="B545" i="3"/>
  <c r="Z544" i="3"/>
  <c r="B544" i="3"/>
  <c r="Z543" i="3"/>
  <c r="B543" i="3"/>
  <c r="Z542" i="3"/>
  <c r="B542" i="3"/>
  <c r="Z541" i="3"/>
  <c r="B541" i="3"/>
  <c r="Z540" i="3"/>
  <c r="B540" i="3"/>
  <c r="Z539" i="3"/>
  <c r="B539" i="3"/>
  <c r="Z538" i="3"/>
  <c r="B538" i="3"/>
  <c r="Z537" i="3"/>
  <c r="B537" i="3"/>
  <c r="Z536" i="3"/>
  <c r="B536" i="3"/>
  <c r="Z535" i="3"/>
  <c r="B535" i="3"/>
  <c r="Z534" i="3"/>
  <c r="B534" i="3"/>
  <c r="Z533" i="3"/>
  <c r="B533" i="3"/>
  <c r="Z532" i="3"/>
  <c r="B532" i="3"/>
  <c r="Z531" i="3"/>
  <c r="B531" i="3"/>
  <c r="Z530" i="3"/>
  <c r="B530" i="3"/>
  <c r="Z529" i="3"/>
  <c r="B529" i="3"/>
  <c r="Z528" i="3"/>
  <c r="B528" i="3"/>
  <c r="Z527" i="3"/>
  <c r="B527" i="3"/>
  <c r="Z526" i="3"/>
  <c r="B526" i="3"/>
  <c r="Z525" i="3"/>
  <c r="B525" i="3"/>
  <c r="Z524" i="3"/>
  <c r="B524" i="3"/>
  <c r="Z523" i="3"/>
  <c r="B523" i="3"/>
  <c r="Z522" i="3"/>
  <c r="B522" i="3"/>
  <c r="Z521" i="3"/>
  <c r="B521" i="3"/>
  <c r="Z520" i="3"/>
  <c r="B520" i="3"/>
  <c r="Z519" i="3"/>
  <c r="B519" i="3"/>
  <c r="Z518" i="3"/>
  <c r="B518" i="3"/>
  <c r="Z517" i="3"/>
  <c r="B517" i="3"/>
  <c r="Z516" i="3"/>
  <c r="B516" i="3"/>
  <c r="Z515" i="3"/>
  <c r="B515" i="3"/>
  <c r="Z514" i="3"/>
  <c r="B514" i="3"/>
  <c r="Z513" i="3"/>
  <c r="B513" i="3"/>
  <c r="Z512" i="3"/>
  <c r="B512" i="3"/>
  <c r="Z511" i="3"/>
  <c r="B511" i="3"/>
  <c r="Z510" i="3"/>
  <c r="B510" i="3"/>
  <c r="Z509" i="3"/>
  <c r="B509" i="3"/>
  <c r="Z508" i="3"/>
  <c r="B508" i="3"/>
  <c r="Z507" i="3"/>
  <c r="B507" i="3"/>
  <c r="Z506" i="3"/>
  <c r="B506" i="3"/>
  <c r="Z505" i="3"/>
  <c r="B505" i="3"/>
  <c r="Z504" i="3"/>
  <c r="B504" i="3"/>
  <c r="Z503" i="3"/>
  <c r="B503" i="3"/>
  <c r="Z502" i="3"/>
  <c r="B502" i="3"/>
  <c r="Z501" i="3"/>
  <c r="B501" i="3"/>
  <c r="Z500" i="3"/>
  <c r="B500" i="3"/>
  <c r="Z499" i="3"/>
  <c r="B499" i="3"/>
  <c r="Z498" i="3"/>
  <c r="B498" i="3"/>
  <c r="Z497" i="3"/>
  <c r="B497" i="3"/>
  <c r="Z496" i="3"/>
  <c r="B496" i="3"/>
  <c r="Z495" i="3"/>
  <c r="B495" i="3"/>
  <c r="Z494" i="3"/>
  <c r="B494" i="3"/>
  <c r="Z493" i="3"/>
  <c r="B493" i="3"/>
  <c r="Z492" i="3"/>
  <c r="B492" i="3"/>
  <c r="Z491" i="3"/>
  <c r="B491" i="3"/>
  <c r="Z490" i="3"/>
  <c r="B490" i="3"/>
  <c r="Z489" i="3"/>
  <c r="B489" i="3"/>
  <c r="Z488" i="3"/>
  <c r="B488" i="3"/>
  <c r="Z487" i="3"/>
  <c r="B487" i="3"/>
  <c r="Z486" i="3"/>
  <c r="B486" i="3"/>
  <c r="Z485" i="3"/>
  <c r="B485" i="3"/>
  <c r="Z484" i="3"/>
  <c r="B484" i="3"/>
  <c r="Z483" i="3"/>
  <c r="B483" i="3"/>
  <c r="Z482" i="3"/>
  <c r="B482" i="3"/>
  <c r="Z481" i="3"/>
  <c r="B481" i="3"/>
  <c r="Z480" i="3"/>
  <c r="B480" i="3"/>
  <c r="Z479" i="3"/>
  <c r="B479" i="3"/>
  <c r="Z478" i="3"/>
  <c r="B478" i="3"/>
  <c r="Z477" i="3"/>
  <c r="B477" i="3"/>
  <c r="Z476" i="3"/>
  <c r="B476" i="3"/>
  <c r="Z475" i="3"/>
  <c r="B475" i="3"/>
  <c r="Z474" i="3"/>
  <c r="B474" i="3"/>
  <c r="Z473" i="3"/>
  <c r="B473" i="3"/>
  <c r="Z472" i="3"/>
  <c r="B472" i="3"/>
  <c r="Z471" i="3"/>
  <c r="B471" i="3"/>
  <c r="Z470" i="3"/>
  <c r="B470" i="3"/>
  <c r="Z469" i="3"/>
  <c r="B469" i="3"/>
  <c r="Z468" i="3"/>
  <c r="B468" i="3"/>
  <c r="Z467" i="3"/>
  <c r="B467" i="3"/>
  <c r="Z466" i="3"/>
  <c r="B466" i="3"/>
  <c r="Z465" i="3"/>
  <c r="B465" i="3"/>
  <c r="Z464" i="3"/>
  <c r="B464" i="3"/>
  <c r="Z463" i="3"/>
  <c r="B463" i="3"/>
  <c r="Z462" i="3"/>
  <c r="B462" i="3"/>
  <c r="Z461" i="3"/>
  <c r="B461" i="3"/>
  <c r="Z460" i="3"/>
  <c r="B460" i="3"/>
  <c r="Z459" i="3"/>
  <c r="B459" i="3"/>
  <c r="Z458" i="3"/>
  <c r="B458" i="3"/>
  <c r="Z457" i="3"/>
  <c r="B457" i="3"/>
  <c r="Z456" i="3"/>
  <c r="B456" i="3"/>
  <c r="Z455" i="3"/>
  <c r="B455" i="3"/>
  <c r="Z454" i="3"/>
  <c r="B454" i="3"/>
  <c r="Z453" i="3"/>
  <c r="B453" i="3"/>
  <c r="Z452" i="3"/>
  <c r="B452" i="3"/>
  <c r="Z451" i="3"/>
  <c r="B451" i="3"/>
  <c r="Z450" i="3"/>
  <c r="B450" i="3"/>
  <c r="Z449" i="3"/>
  <c r="B449" i="3"/>
  <c r="Z448" i="3"/>
  <c r="B448" i="3"/>
  <c r="Z447" i="3"/>
  <c r="B447" i="3"/>
  <c r="Z446" i="3"/>
  <c r="B446" i="3"/>
  <c r="Z445" i="3"/>
  <c r="B445" i="3"/>
  <c r="Z444" i="3"/>
  <c r="B444" i="3"/>
  <c r="Z443" i="3"/>
  <c r="B443" i="3"/>
  <c r="Z442" i="3"/>
  <c r="B442" i="3"/>
  <c r="Z441" i="3"/>
  <c r="B441" i="3"/>
  <c r="Z440" i="3"/>
  <c r="B440" i="3"/>
  <c r="Z439" i="3"/>
  <c r="B439" i="3"/>
  <c r="Z438" i="3"/>
  <c r="B438" i="3"/>
  <c r="Z437" i="3"/>
  <c r="B437" i="3"/>
  <c r="Z436" i="3"/>
  <c r="B436" i="3"/>
  <c r="Z435" i="3"/>
  <c r="B435" i="3"/>
  <c r="Z434" i="3"/>
  <c r="B434" i="3"/>
  <c r="Z433" i="3"/>
  <c r="B433" i="3"/>
  <c r="Z432" i="3"/>
  <c r="B432" i="3"/>
  <c r="Z431" i="3"/>
  <c r="B431" i="3"/>
  <c r="Z430" i="3"/>
  <c r="B430" i="3"/>
  <c r="Z429" i="3"/>
  <c r="B429" i="3"/>
  <c r="Z428" i="3"/>
  <c r="B428" i="3"/>
  <c r="Z427" i="3"/>
  <c r="B427" i="3"/>
  <c r="Z426" i="3"/>
  <c r="B426" i="3"/>
  <c r="Z425" i="3"/>
  <c r="B425" i="3"/>
  <c r="Z424" i="3"/>
  <c r="B424" i="3"/>
  <c r="Z423" i="3"/>
  <c r="B423" i="3"/>
  <c r="Z422" i="3"/>
  <c r="B422" i="3"/>
  <c r="Z421" i="3"/>
  <c r="B421" i="3"/>
  <c r="Z420" i="3"/>
  <c r="B420" i="3"/>
  <c r="Z419" i="3"/>
  <c r="B419" i="3"/>
  <c r="Z418" i="3"/>
  <c r="B418" i="3"/>
  <c r="Z417" i="3"/>
  <c r="B417" i="3"/>
  <c r="Z416" i="3"/>
  <c r="B416" i="3"/>
  <c r="Z415" i="3"/>
  <c r="B415" i="3"/>
  <c r="Z414" i="3"/>
  <c r="B414" i="3"/>
  <c r="Z413" i="3"/>
  <c r="B413" i="3"/>
  <c r="Z412" i="3"/>
  <c r="B412" i="3"/>
  <c r="Z411" i="3"/>
  <c r="B411" i="3"/>
  <c r="Z410" i="3"/>
  <c r="B410" i="3"/>
  <c r="Z409" i="3"/>
  <c r="B409" i="3"/>
  <c r="Z408" i="3"/>
  <c r="B408" i="3"/>
  <c r="Z407" i="3"/>
  <c r="B407" i="3"/>
  <c r="Z406" i="3"/>
  <c r="B406" i="3"/>
  <c r="Z405" i="3"/>
  <c r="B405" i="3"/>
  <c r="Z404" i="3"/>
  <c r="B404" i="3"/>
  <c r="Z403" i="3"/>
  <c r="B403" i="3"/>
  <c r="Z402" i="3"/>
  <c r="B402" i="3"/>
  <c r="Z401" i="3"/>
  <c r="B401" i="3"/>
  <c r="Z400" i="3"/>
  <c r="B400" i="3"/>
  <c r="Z399" i="3"/>
  <c r="B399" i="3"/>
  <c r="Z398" i="3"/>
  <c r="B398" i="3"/>
  <c r="Z397" i="3"/>
  <c r="B397" i="3"/>
  <c r="Z396" i="3"/>
  <c r="B396" i="3"/>
  <c r="Z395" i="3"/>
  <c r="B395" i="3"/>
  <c r="Z394" i="3"/>
  <c r="B394" i="3"/>
  <c r="Z393" i="3"/>
  <c r="B393" i="3"/>
  <c r="Z392" i="3"/>
  <c r="B392" i="3"/>
  <c r="Z391" i="3"/>
  <c r="B391" i="3"/>
  <c r="Z390" i="3"/>
  <c r="B390" i="3"/>
  <c r="Z389" i="3"/>
  <c r="B389" i="3"/>
  <c r="Z388" i="3"/>
  <c r="B388" i="3"/>
  <c r="Z387" i="3"/>
  <c r="B387" i="3"/>
  <c r="Z386" i="3"/>
  <c r="B386" i="3"/>
  <c r="Z385" i="3"/>
  <c r="B385" i="3"/>
  <c r="Z384" i="3"/>
  <c r="B384" i="3"/>
  <c r="Z383" i="3"/>
  <c r="B383" i="3"/>
  <c r="Z382" i="3"/>
  <c r="B382" i="3"/>
  <c r="Z381" i="3"/>
  <c r="B381" i="3"/>
  <c r="Z380" i="3"/>
  <c r="B380" i="3"/>
  <c r="Z379" i="3"/>
  <c r="B379" i="3"/>
  <c r="Z378" i="3"/>
  <c r="B378" i="3"/>
  <c r="Z377" i="3"/>
  <c r="B377" i="3"/>
  <c r="Z376" i="3"/>
  <c r="B376" i="3"/>
  <c r="Z375" i="3"/>
  <c r="B375" i="3"/>
  <c r="Z374" i="3"/>
  <c r="B374" i="3"/>
  <c r="Z373" i="3"/>
  <c r="B373" i="3"/>
  <c r="Z372" i="3"/>
  <c r="B372" i="3"/>
  <c r="Z371" i="3"/>
  <c r="B371" i="3"/>
  <c r="Z370" i="3"/>
  <c r="B370" i="3"/>
  <c r="Z369" i="3"/>
  <c r="B369" i="3"/>
  <c r="Z368" i="3"/>
  <c r="B368" i="3"/>
  <c r="Z367" i="3"/>
  <c r="B367" i="3"/>
  <c r="Z366" i="3"/>
  <c r="B366" i="3"/>
  <c r="Z365" i="3"/>
  <c r="B365" i="3"/>
  <c r="Z364" i="3"/>
  <c r="B364" i="3"/>
  <c r="Z363" i="3"/>
  <c r="B363" i="3"/>
  <c r="Z362" i="3"/>
  <c r="B362" i="3"/>
  <c r="Z361" i="3"/>
  <c r="B361" i="3"/>
  <c r="Z360" i="3"/>
  <c r="B360" i="3"/>
  <c r="Z359" i="3"/>
  <c r="B359" i="3"/>
  <c r="Z358" i="3"/>
  <c r="B358" i="3"/>
  <c r="Z357" i="3"/>
  <c r="B357" i="3"/>
  <c r="Z356" i="3"/>
  <c r="B356" i="3"/>
  <c r="Z355" i="3"/>
  <c r="B355" i="3"/>
  <c r="Z354" i="3"/>
  <c r="B354" i="3"/>
  <c r="Z353" i="3"/>
  <c r="B353" i="3"/>
  <c r="Z352" i="3"/>
  <c r="B352" i="3"/>
  <c r="Z351" i="3"/>
  <c r="B351" i="3"/>
  <c r="Z350" i="3"/>
  <c r="B350" i="3"/>
  <c r="Z349" i="3"/>
  <c r="B349" i="3"/>
  <c r="Z348" i="3"/>
  <c r="B348" i="3"/>
  <c r="Z347" i="3"/>
  <c r="B347" i="3"/>
  <c r="Z346" i="3"/>
  <c r="B346" i="3"/>
  <c r="Z345" i="3"/>
  <c r="B345" i="3"/>
  <c r="Z344" i="3"/>
  <c r="B344" i="3"/>
  <c r="Z343" i="3"/>
  <c r="B343" i="3"/>
  <c r="Z342" i="3"/>
  <c r="B342" i="3"/>
  <c r="Z341" i="3"/>
  <c r="B341" i="3"/>
  <c r="Z340" i="3"/>
  <c r="B340" i="3"/>
  <c r="Z339" i="3"/>
  <c r="B339" i="3"/>
  <c r="Z338" i="3"/>
  <c r="B338" i="3"/>
  <c r="Z337" i="3"/>
  <c r="B337" i="3"/>
  <c r="Z336" i="3"/>
  <c r="B336" i="3"/>
  <c r="Z335" i="3"/>
  <c r="B335" i="3"/>
  <c r="Z334" i="3"/>
  <c r="B334" i="3"/>
  <c r="Z333" i="3"/>
  <c r="B333" i="3"/>
  <c r="Z332" i="3"/>
  <c r="B332" i="3"/>
  <c r="Z331" i="3"/>
  <c r="B331" i="3"/>
  <c r="Z330" i="3"/>
  <c r="B330" i="3"/>
  <c r="Z329" i="3"/>
  <c r="B329" i="3"/>
  <c r="Z328" i="3"/>
  <c r="B328" i="3"/>
  <c r="Z327" i="3"/>
  <c r="B327" i="3"/>
  <c r="Z326" i="3"/>
  <c r="B326" i="3"/>
  <c r="Z325" i="3"/>
  <c r="B325" i="3"/>
  <c r="Z324" i="3"/>
  <c r="B324" i="3"/>
  <c r="Z323" i="3"/>
  <c r="B323" i="3"/>
  <c r="Z322" i="3"/>
  <c r="B322" i="3"/>
  <c r="Z321" i="3"/>
  <c r="B321" i="3"/>
  <c r="Z320" i="3"/>
  <c r="B320" i="3"/>
  <c r="Z319" i="3"/>
  <c r="B319" i="3"/>
  <c r="Z318" i="3"/>
  <c r="B318" i="3"/>
  <c r="Z317" i="3"/>
  <c r="B317" i="3"/>
  <c r="Z316" i="3"/>
  <c r="B316" i="3"/>
  <c r="Z315" i="3"/>
  <c r="B315" i="3"/>
  <c r="Z314" i="3"/>
  <c r="B314" i="3"/>
  <c r="Z313" i="3"/>
  <c r="B313" i="3"/>
  <c r="Z312" i="3"/>
  <c r="B312" i="3"/>
  <c r="Z311" i="3"/>
  <c r="B311" i="3"/>
  <c r="Z310" i="3"/>
  <c r="B310" i="3"/>
  <c r="Z309" i="3"/>
  <c r="B309" i="3"/>
  <c r="Z308" i="3"/>
  <c r="B308" i="3"/>
  <c r="Z307" i="3"/>
  <c r="B307" i="3"/>
  <c r="Z306" i="3"/>
  <c r="B306" i="3"/>
  <c r="Z305" i="3"/>
  <c r="B305" i="3"/>
  <c r="Z304" i="3"/>
  <c r="B304" i="3"/>
  <c r="Z303" i="3"/>
  <c r="B303" i="3"/>
  <c r="Z302" i="3"/>
  <c r="B302" i="3"/>
  <c r="Z301" i="3"/>
  <c r="B301" i="3"/>
  <c r="Z300" i="3"/>
  <c r="B300" i="3"/>
  <c r="Z299" i="3"/>
  <c r="B299" i="3"/>
  <c r="Z298" i="3"/>
  <c r="B298" i="3"/>
  <c r="Z297" i="3"/>
  <c r="B297" i="3"/>
  <c r="Z296" i="3"/>
  <c r="B296" i="3"/>
  <c r="Z295" i="3"/>
  <c r="B295" i="3"/>
  <c r="Z294" i="3"/>
  <c r="B294" i="3"/>
  <c r="Z293" i="3"/>
  <c r="B293" i="3"/>
  <c r="Z292" i="3"/>
  <c r="B292" i="3"/>
  <c r="Z291" i="3"/>
  <c r="B291" i="3"/>
  <c r="Z290" i="3"/>
  <c r="B290" i="3"/>
  <c r="Z289" i="3"/>
  <c r="B289" i="3"/>
  <c r="Z288" i="3"/>
  <c r="B288" i="3"/>
  <c r="Z287" i="3"/>
  <c r="B287" i="3"/>
  <c r="Z286" i="3"/>
  <c r="B286" i="3"/>
  <c r="Z285" i="3"/>
  <c r="B285" i="3"/>
  <c r="Z284" i="3"/>
  <c r="B284" i="3"/>
  <c r="Z283" i="3"/>
  <c r="B283" i="3"/>
  <c r="Z282" i="3"/>
  <c r="B282" i="3"/>
  <c r="Z281" i="3"/>
  <c r="B281" i="3"/>
  <c r="Z280" i="3"/>
  <c r="B280" i="3"/>
  <c r="Z279" i="3"/>
  <c r="B279" i="3"/>
  <c r="Z278" i="3"/>
  <c r="B278" i="3"/>
  <c r="Z277" i="3"/>
  <c r="B277" i="3"/>
  <c r="Z276" i="3"/>
  <c r="B276" i="3"/>
  <c r="Z275" i="3"/>
  <c r="B275" i="3"/>
  <c r="Z274" i="3"/>
  <c r="B274" i="3"/>
  <c r="Z273" i="3"/>
  <c r="B273" i="3"/>
  <c r="Z272" i="3"/>
  <c r="B272" i="3"/>
  <c r="Z271" i="3"/>
  <c r="B271" i="3"/>
  <c r="Z270" i="3"/>
  <c r="B270" i="3"/>
  <c r="Z269" i="3"/>
  <c r="B269" i="3"/>
  <c r="Z268" i="3"/>
  <c r="B268" i="3"/>
  <c r="Z267" i="3"/>
  <c r="B267" i="3"/>
  <c r="Z266" i="3"/>
  <c r="B266" i="3"/>
  <c r="Z265" i="3"/>
  <c r="B265" i="3"/>
  <c r="Z264" i="3"/>
  <c r="B264" i="3"/>
  <c r="Z263" i="3"/>
  <c r="B263" i="3"/>
  <c r="Z262" i="3"/>
  <c r="B262" i="3"/>
  <c r="Z261" i="3"/>
  <c r="B261" i="3"/>
  <c r="Z260" i="3"/>
  <c r="B260" i="3"/>
  <c r="Z259" i="3"/>
  <c r="B259" i="3"/>
  <c r="Z258" i="3"/>
  <c r="B258" i="3"/>
  <c r="Z257" i="3"/>
  <c r="B257" i="3"/>
  <c r="Z256" i="3"/>
  <c r="B256" i="3"/>
  <c r="Z255" i="3"/>
  <c r="B255" i="3"/>
  <c r="Z254" i="3"/>
  <c r="B254" i="3"/>
  <c r="Z253" i="3"/>
  <c r="B253" i="3"/>
  <c r="Z252" i="3"/>
  <c r="B252" i="3"/>
  <c r="Z251" i="3"/>
  <c r="B251" i="3"/>
  <c r="Z250" i="3"/>
  <c r="B250" i="3"/>
  <c r="Z249" i="3"/>
  <c r="B249" i="3"/>
  <c r="Z248" i="3"/>
  <c r="B248" i="3"/>
  <c r="Z247" i="3"/>
  <c r="B247" i="3"/>
  <c r="Z246" i="3"/>
  <c r="B246" i="3"/>
  <c r="Z245" i="3"/>
  <c r="B245" i="3"/>
  <c r="Z244" i="3"/>
  <c r="B244" i="3"/>
  <c r="Z243" i="3"/>
  <c r="B243" i="3"/>
  <c r="Z242" i="3"/>
  <c r="B242" i="3"/>
  <c r="Z241" i="3"/>
  <c r="B241" i="3"/>
  <c r="Z240" i="3"/>
  <c r="B240" i="3"/>
  <c r="Z239" i="3"/>
  <c r="B239" i="3"/>
  <c r="Z238" i="3"/>
  <c r="B238" i="3"/>
  <c r="Z237" i="3"/>
  <c r="B237" i="3"/>
  <c r="Z236" i="3"/>
  <c r="B236" i="3"/>
  <c r="Z235" i="3"/>
  <c r="B235" i="3"/>
  <c r="Z234" i="3"/>
  <c r="B234" i="3"/>
  <c r="Z233" i="3"/>
  <c r="B233" i="3"/>
  <c r="Z232" i="3"/>
  <c r="B232" i="3"/>
  <c r="Z231" i="3"/>
  <c r="B231" i="3"/>
  <c r="Z230" i="3"/>
  <c r="B230" i="3"/>
  <c r="Z229" i="3"/>
  <c r="B229" i="3"/>
  <c r="Z228" i="3"/>
  <c r="B228" i="3"/>
  <c r="Z227" i="3"/>
  <c r="B227" i="3"/>
  <c r="Z226" i="3"/>
  <c r="B226" i="3"/>
  <c r="Z225" i="3"/>
  <c r="B225" i="3"/>
  <c r="Z224" i="3"/>
  <c r="B224" i="3"/>
  <c r="Z223" i="3"/>
  <c r="B223" i="3"/>
  <c r="Z222" i="3"/>
  <c r="B222" i="3"/>
  <c r="Z221" i="3"/>
  <c r="B221" i="3"/>
  <c r="Z220" i="3"/>
  <c r="B220" i="3"/>
  <c r="Z219" i="3"/>
  <c r="B219" i="3"/>
  <c r="Z218" i="3"/>
  <c r="B218" i="3"/>
  <c r="Z217" i="3"/>
  <c r="B217" i="3"/>
  <c r="Z216" i="3"/>
  <c r="B216" i="3"/>
  <c r="Z215" i="3"/>
  <c r="B215" i="3"/>
  <c r="Z214" i="3"/>
  <c r="B214" i="3"/>
  <c r="Z213" i="3"/>
  <c r="B213" i="3"/>
  <c r="Z212" i="3"/>
  <c r="B212" i="3"/>
  <c r="Z211" i="3"/>
  <c r="B211" i="3"/>
  <c r="Z210" i="3"/>
  <c r="B210" i="3"/>
  <c r="Z209" i="3"/>
  <c r="B209" i="3"/>
  <c r="Z208" i="3"/>
  <c r="B208" i="3"/>
  <c r="Z207" i="3"/>
  <c r="B207" i="3"/>
  <c r="Z206" i="3"/>
  <c r="B206" i="3"/>
  <c r="Z205" i="3"/>
  <c r="B205" i="3"/>
  <c r="Z204" i="3"/>
  <c r="B204" i="3"/>
  <c r="Z203" i="3"/>
  <c r="B203" i="3"/>
  <c r="Z202" i="3"/>
  <c r="B202" i="3"/>
  <c r="Z201" i="3"/>
  <c r="B201" i="3"/>
  <c r="Z200" i="3"/>
  <c r="B200" i="3"/>
  <c r="Z199" i="3"/>
  <c r="B199" i="3"/>
  <c r="Z198" i="3"/>
  <c r="B198" i="3"/>
  <c r="Z197" i="3"/>
  <c r="B197" i="3"/>
  <c r="Z196" i="3"/>
  <c r="B196" i="3"/>
  <c r="Z195" i="3"/>
  <c r="B195" i="3"/>
  <c r="Z194" i="3"/>
  <c r="B194" i="3"/>
  <c r="Z193" i="3"/>
  <c r="B193" i="3"/>
  <c r="Z192" i="3"/>
  <c r="B192" i="3"/>
  <c r="Z191" i="3"/>
  <c r="B191" i="3"/>
  <c r="Z190" i="3"/>
  <c r="B190" i="3"/>
  <c r="Z189" i="3"/>
  <c r="B189" i="3"/>
  <c r="Z188" i="3"/>
  <c r="B188" i="3"/>
  <c r="Z187" i="3"/>
  <c r="B187" i="3"/>
  <c r="Z186" i="3"/>
  <c r="B186" i="3"/>
  <c r="Z185" i="3"/>
  <c r="B185" i="3"/>
  <c r="Z184" i="3"/>
  <c r="B184" i="3"/>
  <c r="Z183" i="3"/>
  <c r="B183" i="3"/>
  <c r="Z182" i="3"/>
  <c r="B182" i="3"/>
  <c r="Z181" i="3"/>
  <c r="B181" i="3"/>
  <c r="Z180" i="3"/>
  <c r="B180" i="3"/>
  <c r="Z179" i="3"/>
  <c r="B179" i="3"/>
  <c r="Z178" i="3"/>
  <c r="B178" i="3"/>
  <c r="Z177" i="3"/>
  <c r="B177" i="3"/>
  <c r="Z176" i="3"/>
  <c r="B176" i="3"/>
  <c r="Z175" i="3"/>
  <c r="B175" i="3"/>
  <c r="Z174" i="3"/>
  <c r="B174" i="3"/>
  <c r="Z173" i="3"/>
  <c r="B173" i="3"/>
  <c r="Z172" i="3"/>
  <c r="B172" i="3"/>
  <c r="Z171" i="3"/>
  <c r="B171" i="3"/>
  <c r="Z170" i="3"/>
  <c r="B170" i="3"/>
  <c r="Z169" i="3"/>
  <c r="B169" i="3"/>
  <c r="Z168" i="3"/>
  <c r="B168" i="3"/>
  <c r="Z167" i="3"/>
  <c r="B167" i="3"/>
  <c r="Z166" i="3"/>
  <c r="B166" i="3"/>
  <c r="Z165" i="3"/>
  <c r="B165" i="3"/>
  <c r="Z164" i="3"/>
  <c r="B164" i="3"/>
  <c r="Z163" i="3"/>
  <c r="B163" i="3"/>
  <c r="Z162" i="3"/>
  <c r="B162" i="3"/>
  <c r="Z161" i="3"/>
  <c r="B161" i="3"/>
  <c r="Z160" i="3"/>
  <c r="B160" i="3"/>
  <c r="Z159" i="3"/>
  <c r="B159" i="3"/>
  <c r="Z158" i="3"/>
  <c r="B158" i="3"/>
  <c r="Z157" i="3"/>
  <c r="B157" i="3"/>
  <c r="Z156" i="3"/>
  <c r="B156" i="3"/>
  <c r="Z155" i="3"/>
  <c r="B155" i="3"/>
  <c r="Z154" i="3"/>
  <c r="B154" i="3"/>
  <c r="Z153" i="3"/>
  <c r="B153" i="3"/>
  <c r="Z152" i="3"/>
  <c r="B152" i="3"/>
  <c r="Z151" i="3"/>
  <c r="B151" i="3"/>
  <c r="Z150" i="3"/>
  <c r="B150" i="3"/>
  <c r="Z149" i="3"/>
  <c r="B149" i="3"/>
  <c r="Z148" i="3"/>
  <c r="B148" i="3"/>
  <c r="Z147" i="3"/>
  <c r="B147" i="3"/>
  <c r="Z146" i="3"/>
  <c r="B146" i="3"/>
  <c r="Z145" i="3"/>
  <c r="B145" i="3"/>
  <c r="Z144" i="3"/>
  <c r="B144" i="3"/>
  <c r="Z143" i="3"/>
  <c r="B143" i="3"/>
  <c r="Z142" i="3"/>
  <c r="B142" i="3"/>
  <c r="Z141" i="3"/>
  <c r="B141" i="3"/>
  <c r="Z140" i="3"/>
  <c r="B140" i="3"/>
  <c r="Z139" i="3"/>
  <c r="B139" i="3"/>
  <c r="Z138" i="3"/>
  <c r="B138" i="3"/>
  <c r="Z137" i="3"/>
  <c r="B137" i="3"/>
  <c r="Z136" i="3"/>
  <c r="B136" i="3"/>
  <c r="Z135" i="3"/>
  <c r="B135" i="3"/>
  <c r="Z134" i="3"/>
  <c r="B134" i="3"/>
  <c r="Z133" i="3"/>
  <c r="B133" i="3"/>
  <c r="Z132" i="3"/>
  <c r="B132" i="3"/>
  <c r="Z131" i="3"/>
  <c r="B131" i="3"/>
  <c r="Z130" i="3"/>
  <c r="B130" i="3"/>
  <c r="Z129" i="3"/>
  <c r="B129" i="3"/>
  <c r="Z128" i="3"/>
  <c r="B128" i="3"/>
  <c r="Z127" i="3"/>
  <c r="B127" i="3"/>
  <c r="Z126" i="3"/>
  <c r="B126" i="3"/>
  <c r="Z125" i="3"/>
  <c r="B125" i="3"/>
  <c r="Z124" i="3"/>
  <c r="B124" i="3"/>
  <c r="Z123" i="3"/>
  <c r="B123" i="3"/>
  <c r="Z122" i="3"/>
  <c r="B122" i="3"/>
  <c r="Z121" i="3"/>
  <c r="B121" i="3"/>
  <c r="Z120" i="3"/>
  <c r="B120" i="3"/>
  <c r="Z119" i="3"/>
  <c r="B119" i="3"/>
  <c r="Z118" i="3"/>
  <c r="B118" i="3"/>
  <c r="Z117" i="3"/>
  <c r="B117" i="3"/>
  <c r="Z116" i="3"/>
  <c r="B116" i="3"/>
  <c r="Z115" i="3"/>
  <c r="B115" i="3"/>
  <c r="Z114" i="3"/>
  <c r="B114" i="3"/>
  <c r="Z113" i="3"/>
  <c r="B113" i="3"/>
  <c r="Z112" i="3"/>
  <c r="B112" i="3"/>
  <c r="Z111" i="3"/>
  <c r="B111" i="3"/>
  <c r="Z110" i="3"/>
  <c r="B110" i="3"/>
  <c r="Z109" i="3"/>
  <c r="B109" i="3"/>
  <c r="Z108" i="3"/>
  <c r="B108" i="3"/>
  <c r="Z107" i="3"/>
  <c r="B107" i="3"/>
  <c r="Z106" i="3"/>
  <c r="B106" i="3"/>
  <c r="Z105" i="3"/>
  <c r="B105" i="3"/>
  <c r="Z104" i="3"/>
  <c r="B104" i="3"/>
  <c r="Z103" i="3"/>
  <c r="B103" i="3"/>
  <c r="Z102" i="3"/>
  <c r="B102" i="3"/>
  <c r="Z101" i="3"/>
  <c r="B101" i="3"/>
  <c r="Z100" i="3"/>
  <c r="B100" i="3"/>
  <c r="Z99" i="3"/>
  <c r="B99" i="3"/>
  <c r="Z98" i="3"/>
  <c r="B98" i="3"/>
  <c r="Z97" i="3"/>
  <c r="B97" i="3"/>
  <c r="Z96" i="3"/>
  <c r="B96" i="3"/>
  <c r="Z95" i="3"/>
  <c r="B95" i="3"/>
  <c r="Z94" i="3"/>
  <c r="B94" i="3"/>
  <c r="Z93" i="3"/>
  <c r="B93" i="3"/>
  <c r="Z92" i="3"/>
  <c r="B92" i="3"/>
  <c r="Z91" i="3"/>
  <c r="B91" i="3"/>
  <c r="Z90" i="3"/>
  <c r="B90" i="3"/>
  <c r="Z89" i="3"/>
  <c r="B89" i="3"/>
  <c r="Z88" i="3"/>
  <c r="B88" i="3"/>
  <c r="Z87" i="3"/>
  <c r="B87" i="3"/>
  <c r="Z86" i="3"/>
  <c r="B86" i="3"/>
  <c r="Z85" i="3"/>
  <c r="B85" i="3"/>
  <c r="Z84" i="3"/>
  <c r="B84" i="3"/>
  <c r="Z83" i="3"/>
  <c r="B83" i="3"/>
  <c r="Z82" i="3"/>
  <c r="B82" i="3"/>
  <c r="Z81" i="3"/>
  <c r="B81" i="3"/>
  <c r="Z80" i="3"/>
  <c r="B80" i="3"/>
  <c r="Z79" i="3"/>
  <c r="B79" i="3"/>
  <c r="Z78" i="3"/>
  <c r="B78" i="3"/>
  <c r="Z77" i="3"/>
  <c r="B77" i="3"/>
  <c r="Z76" i="3"/>
  <c r="B76" i="3"/>
  <c r="Z75" i="3"/>
  <c r="B75" i="3"/>
  <c r="Z74" i="3"/>
  <c r="B74" i="3"/>
  <c r="Z73" i="3"/>
  <c r="B73" i="3"/>
  <c r="Z72" i="3"/>
  <c r="B72" i="3"/>
  <c r="Z71" i="3"/>
  <c r="B71" i="3"/>
  <c r="Z70" i="3"/>
  <c r="B70" i="3"/>
  <c r="Z69" i="3"/>
  <c r="B69" i="3"/>
  <c r="Z68" i="3"/>
  <c r="B68" i="3"/>
  <c r="Z67" i="3"/>
  <c r="B67" i="3"/>
  <c r="Z66" i="3"/>
  <c r="B66" i="3"/>
  <c r="Z65" i="3"/>
  <c r="B65" i="3"/>
  <c r="Z64" i="3"/>
  <c r="B64" i="3"/>
  <c r="Z63" i="3"/>
  <c r="B63" i="3"/>
  <c r="Z62" i="3"/>
  <c r="B62" i="3"/>
  <c r="Z61" i="3"/>
  <c r="B61" i="3"/>
  <c r="Z60" i="3"/>
  <c r="B60" i="3"/>
  <c r="Z59" i="3"/>
  <c r="B59" i="3"/>
  <c r="Z58" i="3"/>
  <c r="B58" i="3"/>
  <c r="Z57" i="3"/>
  <c r="B57" i="3"/>
  <c r="Z56" i="3"/>
  <c r="B56" i="3"/>
  <c r="Z55" i="3"/>
  <c r="B55" i="3"/>
  <c r="Z54" i="3"/>
  <c r="B54" i="3"/>
  <c r="Z53" i="3"/>
  <c r="B53" i="3"/>
  <c r="Z52" i="3"/>
  <c r="B52" i="3"/>
  <c r="Z51" i="3"/>
  <c r="B51" i="3"/>
  <c r="Z50" i="3"/>
  <c r="B50" i="3"/>
  <c r="Z49" i="3"/>
  <c r="B49" i="3"/>
  <c r="Z48" i="3"/>
  <c r="B48" i="3"/>
  <c r="Z47" i="3"/>
  <c r="B47" i="3"/>
  <c r="Z46" i="3"/>
  <c r="B46" i="3"/>
  <c r="Z45" i="3"/>
  <c r="B45" i="3"/>
  <c r="Z44" i="3"/>
  <c r="B44" i="3"/>
  <c r="Z43" i="3"/>
  <c r="B43" i="3"/>
  <c r="Z42" i="3"/>
  <c r="B42" i="3"/>
  <c r="Z41" i="3"/>
  <c r="B41" i="3"/>
  <c r="Z40" i="3"/>
  <c r="B40" i="3"/>
  <c r="Z39" i="3"/>
  <c r="B39" i="3"/>
  <c r="Z38" i="3"/>
  <c r="B38" i="3"/>
  <c r="Z37" i="3"/>
  <c r="B37" i="3"/>
  <c r="Z36" i="3"/>
  <c r="B36" i="3"/>
  <c r="Z35" i="3"/>
  <c r="B35" i="3"/>
  <c r="Z34" i="3"/>
  <c r="B34" i="3"/>
  <c r="Z33" i="3"/>
  <c r="B33" i="3"/>
  <c r="Z32" i="3"/>
  <c r="B32" i="3"/>
  <c r="Z31" i="3"/>
  <c r="B31" i="3"/>
  <c r="Z30" i="3"/>
  <c r="B30" i="3"/>
  <c r="Z29" i="3"/>
  <c r="B29" i="3"/>
  <c r="Z28" i="3"/>
  <c r="B28" i="3"/>
  <c r="Z27" i="3"/>
  <c r="B27" i="3"/>
  <c r="Z26" i="3"/>
  <c r="B26" i="3"/>
  <c r="Z25" i="3"/>
  <c r="B25" i="3"/>
  <c r="Z24" i="3"/>
  <c r="B24" i="3"/>
  <c r="Z23" i="3"/>
  <c r="B23" i="3"/>
  <c r="Z22" i="3"/>
  <c r="B22" i="3"/>
  <c r="Z21" i="3"/>
  <c r="B21" i="3"/>
  <c r="Z20" i="3"/>
  <c r="B20" i="3"/>
  <c r="Z19" i="3"/>
  <c r="B19" i="3"/>
  <c r="Z18" i="3"/>
  <c r="B18" i="3"/>
  <c r="Z17" i="3"/>
  <c r="B17" i="3"/>
  <c r="Z16" i="3"/>
  <c r="B16" i="3"/>
  <c r="Z15" i="3"/>
  <c r="B15" i="3"/>
  <c r="Z14" i="3"/>
  <c r="B14" i="3"/>
  <c r="Z13" i="3"/>
  <c r="B13" i="3"/>
  <c r="Z12" i="3"/>
  <c r="B12" i="3"/>
  <c r="Z11" i="3"/>
  <c r="B11" i="3"/>
  <c r="Z10" i="3"/>
  <c r="B10" i="3"/>
  <c r="Z9" i="3"/>
  <c r="B9" i="3"/>
  <c r="Z8" i="3"/>
  <c r="B8" i="3"/>
  <c r="Z7" i="3"/>
  <c r="B7" i="3"/>
  <c r="Z6" i="3"/>
  <c r="B6" i="3"/>
  <c r="Z5" i="3"/>
  <c r="B5" i="3"/>
  <c r="Z4" i="3"/>
  <c r="Z2" i="3" s="1"/>
  <c r="B4" i="3"/>
  <c r="AD2" i="3"/>
  <c r="AC2" i="3"/>
  <c r="AB2" i="3"/>
  <c r="Y2" i="3"/>
  <c r="X2" i="3"/>
  <c r="W2" i="3"/>
  <c r="V2" i="3"/>
  <c r="U2" i="3"/>
  <c r="T2" i="3"/>
  <c r="S2" i="3"/>
  <c r="R2" i="3"/>
  <c r="Q2" i="3"/>
  <c r="P2" i="3"/>
  <c r="O2" i="3"/>
  <c r="N2" i="3"/>
  <c r="AG1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3" i="1"/>
  <c r="AE356" i="3" l="1"/>
  <c r="AF356" i="3" s="1"/>
  <c r="AE433" i="3"/>
  <c r="AF433" i="3" s="1"/>
  <c r="AE379" i="3"/>
  <c r="AF379" i="3" s="1"/>
  <c r="AE369" i="3"/>
  <c r="AF369" i="3" s="1"/>
  <c r="AE346" i="3"/>
  <c r="AF346" i="3" s="1"/>
  <c r="AE824" i="3"/>
  <c r="AF824" i="3" s="1"/>
  <c r="AE747" i="3"/>
  <c r="AF747" i="3" s="1"/>
  <c r="AE561" i="3"/>
  <c r="AF561" i="3" s="1"/>
  <c r="AE416" i="3"/>
  <c r="AF416" i="3" s="1"/>
  <c r="AE42" i="3"/>
  <c r="AF42" i="3" s="1"/>
  <c r="AE133" i="3"/>
  <c r="AF133" i="3" s="1"/>
  <c r="AE173" i="3"/>
  <c r="AF173" i="3" s="1"/>
  <c r="AE255" i="3"/>
  <c r="AF255" i="3" s="1"/>
  <c r="AE58" i="3"/>
  <c r="AF58" i="3" s="1"/>
  <c r="AE114" i="3"/>
  <c r="AF114" i="3" s="1"/>
  <c r="AE118" i="3"/>
  <c r="AF118" i="3" s="1"/>
  <c r="AE121" i="3"/>
  <c r="AF121" i="3" s="1"/>
  <c r="AE184" i="3"/>
  <c r="AF184" i="3" s="1"/>
  <c r="AE204" i="3"/>
  <c r="AF204" i="3" s="1"/>
  <c r="AE208" i="3"/>
  <c r="AF208" i="3" s="1"/>
  <c r="AE231" i="3"/>
  <c r="AF231" i="3" s="1"/>
  <c r="AE16" i="3"/>
  <c r="AF16" i="3" s="1"/>
  <c r="AE158" i="3"/>
  <c r="AF158" i="3" s="1"/>
  <c r="AE162" i="3"/>
  <c r="AF162" i="3" s="1"/>
  <c r="AE166" i="3"/>
  <c r="AF166" i="3" s="1"/>
  <c r="AE248" i="3"/>
  <c r="AF248" i="3" s="1"/>
  <c r="AE19" i="3"/>
  <c r="AF19" i="3" s="1"/>
  <c r="AE32" i="3"/>
  <c r="AF32" i="3" s="1"/>
  <c r="AE35" i="3"/>
  <c r="AF35" i="3" s="1"/>
  <c r="AE99" i="3"/>
  <c r="AF99" i="3" s="1"/>
  <c r="AE103" i="3"/>
  <c r="AF103" i="3" s="1"/>
  <c r="AE197" i="3"/>
  <c r="AF197" i="3" s="1"/>
  <c r="AE201" i="3"/>
  <c r="AF201" i="3" s="1"/>
  <c r="AE48" i="3"/>
  <c r="AF48" i="3" s="1"/>
  <c r="AE51" i="3"/>
  <c r="AF51" i="3" s="1"/>
  <c r="AE155" i="3"/>
  <c r="AF155" i="3" s="1"/>
  <c r="AE193" i="3"/>
  <c r="AF193" i="3" s="1"/>
  <c r="AE84" i="3"/>
  <c r="AF84" i="3" s="1"/>
  <c r="AE88" i="3"/>
  <c r="AF88" i="3" s="1"/>
  <c r="AE10" i="3"/>
  <c r="AF10" i="3" s="1"/>
  <c r="AE140" i="3"/>
  <c r="AF140" i="3" s="1"/>
  <c r="AE238" i="3"/>
  <c r="AF238" i="3" s="1"/>
  <c r="AE258" i="3"/>
  <c r="AF258" i="3" s="1"/>
  <c r="AE386" i="3"/>
  <c r="AF386" i="3" s="1"/>
  <c r="AE796" i="3"/>
  <c r="AF796" i="3" s="1"/>
  <c r="AE26" i="3"/>
  <c r="AF26" i="3" s="1"/>
  <c r="AE69" i="3"/>
  <c r="AF69" i="3" s="1"/>
  <c r="AE261" i="3"/>
  <c r="AF261" i="3" s="1"/>
  <c r="AE284" i="3"/>
  <c r="AF284" i="3" s="1"/>
  <c r="AE312" i="3"/>
  <c r="AF312" i="3" s="1"/>
  <c r="AE373" i="3"/>
  <c r="AF373" i="3" s="1"/>
  <c r="AE383" i="3"/>
  <c r="AF383" i="3" s="1"/>
  <c r="AE406" i="3"/>
  <c r="AF406" i="3" s="1"/>
  <c r="AE530" i="3"/>
  <c r="AF530" i="3" s="1"/>
  <c r="AE647" i="3"/>
  <c r="AF647" i="3" s="1"/>
  <c r="AE813" i="3"/>
  <c r="AF813" i="3" s="1"/>
  <c r="AE1009" i="3"/>
  <c r="AF1009" i="3" s="1"/>
  <c r="AE1120" i="3"/>
  <c r="AF1120" i="3" s="1"/>
  <c r="AE1251" i="3"/>
  <c r="AF1251" i="3" s="1"/>
  <c r="AE7" i="3"/>
  <c r="AF7" i="3" s="1"/>
  <c r="AE23" i="3"/>
  <c r="AF23" i="3" s="1"/>
  <c r="AE39" i="3"/>
  <c r="AF39" i="3" s="1"/>
  <c r="AE55" i="3"/>
  <c r="AF55" i="3" s="1"/>
  <c r="AE62" i="3"/>
  <c r="AF62" i="3" s="1"/>
  <c r="AE65" i="3"/>
  <c r="AF65" i="3" s="1"/>
  <c r="AE77" i="3"/>
  <c r="AF77" i="3" s="1"/>
  <c r="AE92" i="3"/>
  <c r="AF92" i="3" s="1"/>
  <c r="AE96" i="3"/>
  <c r="AF96" i="3" s="1"/>
  <c r="AE107" i="3"/>
  <c r="AF107" i="3" s="1"/>
  <c r="AE111" i="3"/>
  <c r="AF111" i="3" s="1"/>
  <c r="AE122" i="3"/>
  <c r="AF122" i="3" s="1"/>
  <c r="AE126" i="3"/>
  <c r="AF126" i="3" s="1"/>
  <c r="AE129" i="3"/>
  <c r="AF129" i="3" s="1"/>
  <c r="AE137" i="3"/>
  <c r="AF137" i="3" s="1"/>
  <c r="AE144" i="3"/>
  <c r="AF144" i="3" s="1"/>
  <c r="AE148" i="3"/>
  <c r="AF148" i="3" s="1"/>
  <c r="AE170" i="3"/>
  <c r="AF170" i="3" s="1"/>
  <c r="AE179" i="3"/>
  <c r="AF179" i="3" s="1"/>
  <c r="AE182" i="3"/>
  <c r="AF182" i="3" s="1"/>
  <c r="AE185" i="3"/>
  <c r="AF185" i="3" s="1"/>
  <c r="AE187" i="3"/>
  <c r="AF187" i="3" s="1"/>
  <c r="AE194" i="3"/>
  <c r="AF194" i="3" s="1"/>
  <c r="AE218" i="3"/>
  <c r="AF218" i="3" s="1"/>
  <c r="AE228" i="3"/>
  <c r="AF228" i="3" s="1"/>
  <c r="AE232" i="3"/>
  <c r="AF232" i="3" s="1"/>
  <c r="AE241" i="3"/>
  <c r="AF241" i="3" s="1"/>
  <c r="AE244" i="3"/>
  <c r="AF244" i="3" s="1"/>
  <c r="AE251" i="3"/>
  <c r="AF251" i="3" s="1"/>
  <c r="AE265" i="3"/>
  <c r="AF265" i="3" s="1"/>
  <c r="AE267" i="3"/>
  <c r="AF267" i="3" s="1"/>
  <c r="AE271" i="3"/>
  <c r="AF271" i="3" s="1"/>
  <c r="AE278" i="3"/>
  <c r="AF278" i="3" s="1"/>
  <c r="AE308" i="3"/>
  <c r="AF308" i="3" s="1"/>
  <c r="AE319" i="3"/>
  <c r="AF319" i="3" s="1"/>
  <c r="AE326" i="3"/>
  <c r="AF326" i="3" s="1"/>
  <c r="AE333" i="3"/>
  <c r="AF333" i="3" s="1"/>
  <c r="AE343" i="3"/>
  <c r="AF343" i="3" s="1"/>
  <c r="AE350" i="3"/>
  <c r="AF350" i="3" s="1"/>
  <c r="AE353" i="3"/>
  <c r="AF353" i="3" s="1"/>
  <c r="AE357" i="3"/>
  <c r="AF357" i="3" s="1"/>
  <c r="AE363" i="3"/>
  <c r="AF363" i="3" s="1"/>
  <c r="AE367" i="3"/>
  <c r="AF367" i="3" s="1"/>
  <c r="AE370" i="3"/>
  <c r="AF370" i="3" s="1"/>
  <c r="AE377" i="3"/>
  <c r="AF377" i="3" s="1"/>
  <c r="AE380" i="3"/>
  <c r="AF380" i="3" s="1"/>
  <c r="AE390" i="3"/>
  <c r="AF390" i="3" s="1"/>
  <c r="AE403" i="3"/>
  <c r="AF403" i="3" s="1"/>
  <c r="AE424" i="3"/>
  <c r="AF424" i="3" s="1"/>
  <c r="AE437" i="3"/>
  <c r="AF437" i="3" s="1"/>
  <c r="AE589" i="3"/>
  <c r="AF589" i="3" s="1"/>
  <c r="AE643" i="3"/>
  <c r="AF643" i="3" s="1"/>
  <c r="AE679" i="3"/>
  <c r="AF679" i="3" s="1"/>
  <c r="AE756" i="3"/>
  <c r="AF756" i="3" s="1"/>
  <c r="AE852" i="3"/>
  <c r="AF852" i="3" s="1"/>
  <c r="AE914" i="3"/>
  <c r="AF914" i="3" s="1"/>
  <c r="AE294" i="3"/>
  <c r="AF294" i="3" s="1"/>
  <c r="AE393" i="3"/>
  <c r="AF393" i="3" s="1"/>
  <c r="AE447" i="3"/>
  <c r="AF447" i="3" s="1"/>
  <c r="AE4" i="3"/>
  <c r="AE11" i="3"/>
  <c r="AF11" i="3" s="1"/>
  <c r="AE17" i="3"/>
  <c r="AF17" i="3" s="1"/>
  <c r="AE20" i="3"/>
  <c r="AF20" i="3" s="1"/>
  <c r="AE27" i="3"/>
  <c r="AF27" i="3" s="1"/>
  <c r="AE33" i="3"/>
  <c r="AF33" i="3" s="1"/>
  <c r="AE36" i="3"/>
  <c r="AF36" i="3" s="1"/>
  <c r="AE43" i="3"/>
  <c r="AF43" i="3" s="1"/>
  <c r="AE49" i="3"/>
  <c r="AF49" i="3" s="1"/>
  <c r="AE52" i="3"/>
  <c r="AF52" i="3" s="1"/>
  <c r="AE59" i="3"/>
  <c r="AF59" i="3" s="1"/>
  <c r="AE66" i="3"/>
  <c r="AF66" i="3" s="1"/>
  <c r="AE70" i="3"/>
  <c r="AF70" i="3" s="1"/>
  <c r="AE73" i="3"/>
  <c r="AF73" i="3" s="1"/>
  <c r="AE85" i="3"/>
  <c r="AF85" i="3" s="1"/>
  <c r="AE100" i="3"/>
  <c r="AF100" i="3" s="1"/>
  <c r="AE104" i="3"/>
  <c r="AF104" i="3" s="1"/>
  <c r="AE115" i="3"/>
  <c r="AF115" i="3" s="1"/>
  <c r="AE119" i="3"/>
  <c r="AF119" i="3" s="1"/>
  <c r="AE130" i="3"/>
  <c r="AF130" i="3" s="1"/>
  <c r="AE134" i="3"/>
  <c r="AF134" i="3" s="1"/>
  <c r="AE141" i="3"/>
  <c r="AF141" i="3" s="1"/>
  <c r="AE152" i="3"/>
  <c r="AF152" i="3" s="1"/>
  <c r="AE159" i="3"/>
  <c r="AF159" i="3" s="1"/>
  <c r="AE163" i="3"/>
  <c r="AF163" i="3" s="1"/>
  <c r="AE167" i="3"/>
  <c r="AF167" i="3" s="1"/>
  <c r="AE188" i="3"/>
  <c r="AF188" i="3" s="1"/>
  <c r="AE191" i="3"/>
  <c r="AF191" i="3" s="1"/>
  <c r="AE198" i="3"/>
  <c r="AF198" i="3" s="1"/>
  <c r="AE205" i="3"/>
  <c r="AF205" i="3" s="1"/>
  <c r="AE215" i="3"/>
  <c r="AF215" i="3" s="1"/>
  <c r="AE222" i="3"/>
  <c r="AF222" i="3" s="1"/>
  <c r="AE225" i="3"/>
  <c r="AF225" i="3" s="1"/>
  <c r="AE229" i="3"/>
  <c r="AF229" i="3" s="1"/>
  <c r="AE235" i="3"/>
  <c r="AF235" i="3" s="1"/>
  <c r="AE239" i="3"/>
  <c r="AF239" i="3" s="1"/>
  <c r="AE242" i="3"/>
  <c r="AF242" i="3" s="1"/>
  <c r="AE245" i="3"/>
  <c r="AF245" i="3" s="1"/>
  <c r="AE249" i="3"/>
  <c r="AF249" i="3" s="1"/>
  <c r="AE252" i="3"/>
  <c r="AF252" i="3" s="1"/>
  <c r="AE259" i="3"/>
  <c r="AF259" i="3" s="1"/>
  <c r="AE262" i="3"/>
  <c r="AF262" i="3" s="1"/>
  <c r="AE268" i="3"/>
  <c r="AF268" i="3" s="1"/>
  <c r="AE275" i="3"/>
  <c r="AF275" i="3" s="1"/>
  <c r="AE285" i="3"/>
  <c r="AF285" i="3" s="1"/>
  <c r="AE288" i="3"/>
  <c r="AF288" i="3" s="1"/>
  <c r="AE295" i="3"/>
  <c r="AF295" i="3" s="1"/>
  <c r="AE298" i="3"/>
  <c r="AF298" i="3" s="1"/>
  <c r="AE302" i="3"/>
  <c r="AF302" i="3" s="1"/>
  <c r="AE305" i="3"/>
  <c r="AF305" i="3" s="1"/>
  <c r="AE309" i="3"/>
  <c r="AF309" i="3" s="1"/>
  <c r="AE313" i="3"/>
  <c r="AF313" i="3" s="1"/>
  <c r="AE315" i="3"/>
  <c r="AF315" i="3" s="1"/>
  <c r="AE323" i="3"/>
  <c r="AF323" i="3" s="1"/>
  <c r="AE340" i="3"/>
  <c r="AF340" i="3" s="1"/>
  <c r="AE344" i="3"/>
  <c r="AF344" i="3" s="1"/>
  <c r="AE354" i="3"/>
  <c r="AF354" i="3" s="1"/>
  <c r="AE361" i="3"/>
  <c r="AF361" i="3" s="1"/>
  <c r="AE364" i="3"/>
  <c r="AF364" i="3" s="1"/>
  <c r="AE374" i="3"/>
  <c r="AF374" i="3" s="1"/>
  <c r="AE387" i="3"/>
  <c r="AF387" i="3" s="1"/>
  <c r="AE397" i="3"/>
  <c r="AF397" i="3" s="1"/>
  <c r="AE414" i="3"/>
  <c r="AF414" i="3" s="1"/>
  <c r="AE420" i="3"/>
  <c r="AF420" i="3" s="1"/>
  <c r="AE427" i="3"/>
  <c r="AF427" i="3" s="1"/>
  <c r="AE454" i="3"/>
  <c r="AF454" i="3" s="1"/>
  <c r="AE523" i="3"/>
  <c r="AF523" i="3" s="1"/>
  <c r="AE578" i="3"/>
  <c r="AF578" i="3" s="1"/>
  <c r="AE675" i="3"/>
  <c r="AF675" i="3" s="1"/>
  <c r="AE730" i="3"/>
  <c r="AF730" i="3" s="1"/>
  <c r="AE764" i="3"/>
  <c r="AF764" i="3" s="1"/>
  <c r="AE899" i="3"/>
  <c r="AF899" i="3" s="1"/>
  <c r="AE907" i="3"/>
  <c r="AF907" i="3" s="1"/>
  <c r="AE910" i="3"/>
  <c r="AF910" i="3" s="1"/>
  <c r="AE1228" i="3"/>
  <c r="AF1228" i="3" s="1"/>
  <c r="AE274" i="3"/>
  <c r="AF274" i="3" s="1"/>
  <c r="AE301" i="3"/>
  <c r="AF301" i="3" s="1"/>
  <c r="AE322" i="3"/>
  <c r="AF322" i="3" s="1"/>
  <c r="AE360" i="3"/>
  <c r="AF360" i="3" s="1"/>
  <c r="AE396" i="3"/>
  <c r="AF396" i="3" s="1"/>
  <c r="AE14" i="3"/>
  <c r="AF14" i="3" s="1"/>
  <c r="AE30" i="3"/>
  <c r="AF30" i="3" s="1"/>
  <c r="AE46" i="3"/>
  <c r="AF46" i="3" s="1"/>
  <c r="AE63" i="3"/>
  <c r="AF63" i="3" s="1"/>
  <c r="AE74" i="3"/>
  <c r="AF74" i="3" s="1"/>
  <c r="AE78" i="3"/>
  <c r="AF78" i="3" s="1"/>
  <c r="AE81" i="3"/>
  <c r="AF81" i="3" s="1"/>
  <c r="AE93" i="3"/>
  <c r="AF93" i="3" s="1"/>
  <c r="AE108" i="3"/>
  <c r="AF108" i="3" s="1"/>
  <c r="AE112" i="3"/>
  <c r="AF112" i="3" s="1"/>
  <c r="AE123" i="3"/>
  <c r="AF123" i="3" s="1"/>
  <c r="AE127" i="3"/>
  <c r="AF127" i="3" s="1"/>
  <c r="AE138" i="3"/>
  <c r="AF138" i="3" s="1"/>
  <c r="AE145" i="3"/>
  <c r="AF145" i="3" s="1"/>
  <c r="AE149" i="3"/>
  <c r="AF149" i="3" s="1"/>
  <c r="AE156" i="3"/>
  <c r="AF156" i="3" s="1"/>
  <c r="AE171" i="3"/>
  <c r="AF171" i="3" s="1"/>
  <c r="AE174" i="3"/>
  <c r="AF174" i="3" s="1"/>
  <c r="AE176" i="3"/>
  <c r="AF176" i="3" s="1"/>
  <c r="AE195" i="3"/>
  <c r="AF195" i="3" s="1"/>
  <c r="AE212" i="3"/>
  <c r="AF212" i="3" s="1"/>
  <c r="AE216" i="3"/>
  <c r="AF216" i="3" s="1"/>
  <c r="AE226" i="3"/>
  <c r="AF226" i="3" s="1"/>
  <c r="AE233" i="3"/>
  <c r="AF233" i="3" s="1"/>
  <c r="AE236" i="3"/>
  <c r="AF236" i="3" s="1"/>
  <c r="AE272" i="3"/>
  <c r="AF272" i="3" s="1"/>
  <c r="AE279" i="3"/>
  <c r="AF279" i="3" s="1"/>
  <c r="AE306" i="3"/>
  <c r="AF306" i="3" s="1"/>
  <c r="AE316" i="3"/>
  <c r="AF316" i="3" s="1"/>
  <c r="AE320" i="3"/>
  <c r="AF320" i="3" s="1"/>
  <c r="AE327" i="3"/>
  <c r="AF327" i="3" s="1"/>
  <c r="AE330" i="3"/>
  <c r="AF330" i="3" s="1"/>
  <c r="AE334" i="3"/>
  <c r="AF334" i="3" s="1"/>
  <c r="AE337" i="3"/>
  <c r="AF337" i="3" s="1"/>
  <c r="AE341" i="3"/>
  <c r="AF341" i="3" s="1"/>
  <c r="AE347" i="3"/>
  <c r="AF347" i="3" s="1"/>
  <c r="AE351" i="3"/>
  <c r="AF351" i="3" s="1"/>
  <c r="AE358" i="3"/>
  <c r="AF358" i="3" s="1"/>
  <c r="AE371" i="3"/>
  <c r="AF371" i="3" s="1"/>
  <c r="AE381" i="3"/>
  <c r="AF381" i="3" s="1"/>
  <c r="AE400" i="3"/>
  <c r="AF400" i="3" s="1"/>
  <c r="AE417" i="3"/>
  <c r="AF417" i="3" s="1"/>
  <c r="AE421" i="3"/>
  <c r="AF421" i="3" s="1"/>
  <c r="AE425" i="3"/>
  <c r="AF425" i="3" s="1"/>
  <c r="AE428" i="3"/>
  <c r="AF428" i="3" s="1"/>
  <c r="AE431" i="3"/>
  <c r="AF431" i="3" s="1"/>
  <c r="AE441" i="3"/>
  <c r="AF441" i="3" s="1"/>
  <c r="AE476" i="3"/>
  <c r="AF476" i="3" s="1"/>
  <c r="AE512" i="3"/>
  <c r="AF512" i="3" s="1"/>
  <c r="AE516" i="3"/>
  <c r="AF516" i="3" s="1"/>
  <c r="AE700" i="3"/>
  <c r="AF700" i="3" s="1"/>
  <c r="AE772" i="3"/>
  <c r="AF772" i="3" s="1"/>
  <c r="AE787" i="3"/>
  <c r="AF787" i="3" s="1"/>
  <c r="AE849" i="3"/>
  <c r="AF849" i="3" s="1"/>
  <c r="AE861" i="3"/>
  <c r="AF861" i="3" s="1"/>
  <c r="AE1062" i="3"/>
  <c r="AF1062" i="3" s="1"/>
  <c r="AE291" i="3"/>
  <c r="AF291" i="3" s="1"/>
  <c r="AE413" i="3"/>
  <c r="AF413" i="3" s="1"/>
  <c r="AE18" i="3"/>
  <c r="AF18" i="3" s="1"/>
  <c r="AE34" i="3"/>
  <c r="AF34" i="3" s="1"/>
  <c r="AE50" i="3"/>
  <c r="AF50" i="3" s="1"/>
  <c r="AE67" i="3"/>
  <c r="AF67" i="3" s="1"/>
  <c r="AE71" i="3"/>
  <c r="AF71" i="3" s="1"/>
  <c r="AE82" i="3"/>
  <c r="AF82" i="3" s="1"/>
  <c r="AE86" i="3"/>
  <c r="AF86" i="3" s="1"/>
  <c r="AE89" i="3"/>
  <c r="AF89" i="3" s="1"/>
  <c r="AE101" i="3"/>
  <c r="AF101" i="3" s="1"/>
  <c r="AE116" i="3"/>
  <c r="AF116" i="3" s="1"/>
  <c r="AE120" i="3"/>
  <c r="AF120" i="3" s="1"/>
  <c r="AE131" i="3"/>
  <c r="AF131" i="3" s="1"/>
  <c r="AE135" i="3"/>
  <c r="AF135" i="3" s="1"/>
  <c r="AE153" i="3"/>
  <c r="AF153" i="3" s="1"/>
  <c r="AE160" i="3"/>
  <c r="AF160" i="3" s="1"/>
  <c r="AE164" i="3"/>
  <c r="AF164" i="3" s="1"/>
  <c r="AE189" i="3"/>
  <c r="AF189" i="3" s="1"/>
  <c r="AE192" i="3"/>
  <c r="AF192" i="3" s="1"/>
  <c r="AE199" i="3"/>
  <c r="AF199" i="3" s="1"/>
  <c r="AE202" i="3"/>
  <c r="AF202" i="3" s="1"/>
  <c r="AE206" i="3"/>
  <c r="AF206" i="3" s="1"/>
  <c r="AE209" i="3"/>
  <c r="AF209" i="3" s="1"/>
  <c r="AE213" i="3"/>
  <c r="AF213" i="3" s="1"/>
  <c r="AE219" i="3"/>
  <c r="AF219" i="3" s="1"/>
  <c r="AE223" i="3"/>
  <c r="AF223" i="3" s="1"/>
  <c r="AE230" i="3"/>
  <c r="AF230" i="3" s="1"/>
  <c r="AE243" i="3"/>
  <c r="AF243" i="3" s="1"/>
  <c r="AE246" i="3"/>
  <c r="AF246" i="3" s="1"/>
  <c r="AE253" i="3"/>
  <c r="AF253" i="3" s="1"/>
  <c r="AE256" i="3"/>
  <c r="AF256" i="3" s="1"/>
  <c r="AE269" i="3"/>
  <c r="AF269" i="3" s="1"/>
  <c r="AE282" i="3"/>
  <c r="AF282" i="3" s="1"/>
  <c r="AE286" i="3"/>
  <c r="AF286" i="3" s="1"/>
  <c r="AE296" i="3"/>
  <c r="AF296" i="3" s="1"/>
  <c r="AE303" i="3"/>
  <c r="AF303" i="3" s="1"/>
  <c r="AE310" i="3"/>
  <c r="AF310" i="3" s="1"/>
  <c r="AE338" i="3"/>
  <c r="AF338" i="3" s="1"/>
  <c r="AE345" i="3"/>
  <c r="AF345" i="3" s="1"/>
  <c r="AE348" i="3"/>
  <c r="AF348" i="3" s="1"/>
  <c r="AE355" i="3"/>
  <c r="AF355" i="3" s="1"/>
  <c r="AE365" i="3"/>
  <c r="AF365" i="3" s="1"/>
  <c r="AE384" i="3"/>
  <c r="AF384" i="3" s="1"/>
  <c r="AE394" i="3"/>
  <c r="AF394" i="3" s="1"/>
  <c r="AE407" i="3"/>
  <c r="AF407" i="3" s="1"/>
  <c r="AE415" i="3"/>
  <c r="AF415" i="3" s="1"/>
  <c r="AE418" i="3"/>
  <c r="AF418" i="3" s="1"/>
  <c r="AE432" i="3"/>
  <c r="AF432" i="3" s="1"/>
  <c r="AE434" i="3"/>
  <c r="AF434" i="3" s="1"/>
  <c r="AE448" i="3"/>
  <c r="AF448" i="3" s="1"/>
  <c r="AE473" i="3"/>
  <c r="AF473" i="3" s="1"/>
  <c r="AE544" i="3"/>
  <c r="AF544" i="3" s="1"/>
  <c r="AE548" i="3"/>
  <c r="AF548" i="3" s="1"/>
  <c r="AE552" i="3"/>
  <c r="AF552" i="3" s="1"/>
  <c r="AE602" i="3"/>
  <c r="AF602" i="3" s="1"/>
  <c r="AE605" i="3"/>
  <c r="AF605" i="3" s="1"/>
  <c r="AE665" i="3"/>
  <c r="AF665" i="3" s="1"/>
  <c r="AE873" i="3"/>
  <c r="AF873" i="3" s="1"/>
  <c r="AE892" i="3"/>
  <c r="AF892" i="3" s="1"/>
  <c r="AE991" i="3"/>
  <c r="AF991" i="3" s="1"/>
  <c r="AE1197" i="3"/>
  <c r="AF1197" i="3" s="1"/>
  <c r="AE8" i="3"/>
  <c r="AF8" i="3" s="1"/>
  <c r="AE24" i="3"/>
  <c r="AF24" i="3" s="1"/>
  <c r="AE40" i="3"/>
  <c r="AF40" i="3" s="1"/>
  <c r="AE56" i="3"/>
  <c r="AF56" i="3" s="1"/>
  <c r="AE64" i="3"/>
  <c r="AF64" i="3" s="1"/>
  <c r="AE75" i="3"/>
  <c r="AF75" i="3" s="1"/>
  <c r="AE79" i="3"/>
  <c r="AF79" i="3" s="1"/>
  <c r="AE90" i="3"/>
  <c r="AF90" i="3" s="1"/>
  <c r="AE94" i="3"/>
  <c r="AF94" i="3" s="1"/>
  <c r="AE97" i="3"/>
  <c r="AF97" i="3" s="1"/>
  <c r="AE109" i="3"/>
  <c r="AF109" i="3" s="1"/>
  <c r="AE124" i="3"/>
  <c r="AF124" i="3" s="1"/>
  <c r="AE128" i="3"/>
  <c r="AF128" i="3" s="1"/>
  <c r="AE139" i="3"/>
  <c r="AF139" i="3" s="1"/>
  <c r="AE142" i="3"/>
  <c r="AF142" i="3" s="1"/>
  <c r="AE146" i="3"/>
  <c r="AF146" i="3" s="1"/>
  <c r="AE150" i="3"/>
  <c r="AF150" i="3" s="1"/>
  <c r="AE157" i="3"/>
  <c r="AF157" i="3" s="1"/>
  <c r="AE168" i="3"/>
  <c r="AF168" i="3" s="1"/>
  <c r="AE183" i="3"/>
  <c r="AF183" i="3" s="1"/>
  <c r="AE210" i="3"/>
  <c r="AF210" i="3" s="1"/>
  <c r="AE217" i="3"/>
  <c r="AF217" i="3" s="1"/>
  <c r="AE220" i="3"/>
  <c r="AF220" i="3" s="1"/>
  <c r="AE227" i="3"/>
  <c r="AF227" i="3" s="1"/>
  <c r="AE237" i="3"/>
  <c r="AF237" i="3" s="1"/>
  <c r="AE280" i="3"/>
  <c r="AF280" i="3" s="1"/>
  <c r="AE289" i="3"/>
  <c r="AF289" i="3" s="1"/>
  <c r="AE292" i="3"/>
  <c r="AF292" i="3" s="1"/>
  <c r="AE299" i="3"/>
  <c r="AF299" i="3" s="1"/>
  <c r="AE307" i="3"/>
  <c r="AF307" i="3" s="1"/>
  <c r="AE317" i="3"/>
  <c r="AF317" i="3" s="1"/>
  <c r="AE328" i="3"/>
  <c r="AF328" i="3" s="1"/>
  <c r="AE335" i="3"/>
  <c r="AF335" i="3" s="1"/>
  <c r="AE342" i="3"/>
  <c r="AF342" i="3" s="1"/>
  <c r="AE352" i="3"/>
  <c r="AF352" i="3" s="1"/>
  <c r="AE368" i="3"/>
  <c r="AF368" i="3" s="1"/>
  <c r="AE378" i="3"/>
  <c r="AF378" i="3" s="1"/>
  <c r="AE391" i="3"/>
  <c r="AF391" i="3" s="1"/>
  <c r="AE398" i="3"/>
  <c r="AF398" i="3" s="1"/>
  <c r="AE404" i="3"/>
  <c r="AF404" i="3" s="1"/>
  <c r="AE408" i="3"/>
  <c r="AF408" i="3" s="1"/>
  <c r="AE411" i="3"/>
  <c r="AF411" i="3" s="1"/>
  <c r="AE422" i="3"/>
  <c r="AF422" i="3" s="1"/>
  <c r="AE445" i="3"/>
  <c r="AF445" i="3" s="1"/>
  <c r="AE459" i="3"/>
  <c r="AF459" i="3" s="1"/>
  <c r="AE466" i="3"/>
  <c r="AF466" i="3" s="1"/>
  <c r="AE505" i="3"/>
  <c r="AF505" i="3" s="1"/>
  <c r="AE630" i="3"/>
  <c r="AF630" i="3" s="1"/>
  <c r="AE634" i="3"/>
  <c r="AF634" i="3" s="1"/>
  <c r="AE715" i="3"/>
  <c r="AF715" i="3" s="1"/>
  <c r="AE761" i="3"/>
  <c r="AF761" i="3" s="1"/>
  <c r="AE781" i="3"/>
  <c r="AF781" i="3" s="1"/>
  <c r="AE888" i="3"/>
  <c r="AF888" i="3" s="1"/>
  <c r="AE5" i="3"/>
  <c r="AF5" i="3" s="1"/>
  <c r="AE9" i="3"/>
  <c r="AF9" i="3" s="1"/>
  <c r="AE12" i="3"/>
  <c r="AF12" i="3" s="1"/>
  <c r="AE15" i="3"/>
  <c r="AF15" i="3" s="1"/>
  <c r="AE21" i="3"/>
  <c r="AF21" i="3" s="1"/>
  <c r="AE25" i="3"/>
  <c r="AF25" i="3" s="1"/>
  <c r="AE28" i="3"/>
  <c r="AF28" i="3" s="1"/>
  <c r="AE31" i="3"/>
  <c r="AF31" i="3" s="1"/>
  <c r="AE37" i="3"/>
  <c r="AF37" i="3" s="1"/>
  <c r="AE41" i="3"/>
  <c r="AF41" i="3" s="1"/>
  <c r="AE44" i="3"/>
  <c r="AF44" i="3" s="1"/>
  <c r="AE47" i="3"/>
  <c r="AF47" i="3" s="1"/>
  <c r="AE53" i="3"/>
  <c r="AF53" i="3" s="1"/>
  <c r="AE57" i="3"/>
  <c r="AF57" i="3" s="1"/>
  <c r="AE60" i="3"/>
  <c r="AF60" i="3" s="1"/>
  <c r="AE68" i="3"/>
  <c r="AF68" i="3" s="1"/>
  <c r="AE72" i="3"/>
  <c r="AF72" i="3" s="1"/>
  <c r="AE83" i="3"/>
  <c r="AF83" i="3" s="1"/>
  <c r="AE87" i="3"/>
  <c r="AF87" i="3" s="1"/>
  <c r="AE98" i="3"/>
  <c r="AF98" i="3" s="1"/>
  <c r="AE102" i="3"/>
  <c r="AF102" i="3" s="1"/>
  <c r="AE105" i="3"/>
  <c r="AF105" i="3" s="1"/>
  <c r="AE117" i="3"/>
  <c r="AF117" i="3" s="1"/>
  <c r="AE132" i="3"/>
  <c r="AF132" i="3" s="1"/>
  <c r="AE154" i="3"/>
  <c r="AF154" i="3" s="1"/>
  <c r="AE161" i="3"/>
  <c r="AF161" i="3" s="1"/>
  <c r="AE165" i="3"/>
  <c r="AF165" i="3" s="1"/>
  <c r="AE172" i="3"/>
  <c r="AF172" i="3" s="1"/>
  <c r="AE177" i="3"/>
  <c r="AF177" i="3" s="1"/>
  <c r="AE180" i="3"/>
  <c r="AF180" i="3" s="1"/>
  <c r="AE186" i="3"/>
  <c r="AF186" i="3" s="1"/>
  <c r="AE190" i="3"/>
  <c r="AF190" i="3" s="1"/>
  <c r="AE200" i="3"/>
  <c r="AF200" i="3" s="1"/>
  <c r="AE207" i="3"/>
  <c r="AF207" i="3" s="1"/>
  <c r="AE214" i="3"/>
  <c r="AF214" i="3" s="1"/>
  <c r="AE224" i="3"/>
  <c r="AF224" i="3" s="1"/>
  <c r="AE240" i="3"/>
  <c r="AF240" i="3" s="1"/>
  <c r="AE247" i="3"/>
  <c r="AF247" i="3" s="1"/>
  <c r="AE250" i="3"/>
  <c r="AF250" i="3" s="1"/>
  <c r="AE254" i="3"/>
  <c r="AF254" i="3" s="1"/>
  <c r="AE263" i="3"/>
  <c r="AF263" i="3" s="1"/>
  <c r="AE266" i="3"/>
  <c r="AF266" i="3" s="1"/>
  <c r="AE276" i="3"/>
  <c r="AF276" i="3" s="1"/>
  <c r="AE287" i="3"/>
  <c r="AF287" i="3" s="1"/>
  <c r="AE290" i="3"/>
  <c r="AF290" i="3" s="1"/>
  <c r="AE293" i="3"/>
  <c r="AF293" i="3" s="1"/>
  <c r="AE297" i="3"/>
  <c r="AF297" i="3" s="1"/>
  <c r="AE300" i="3"/>
  <c r="AF300" i="3" s="1"/>
  <c r="AE304" i="3"/>
  <c r="AF304" i="3" s="1"/>
  <c r="AE311" i="3"/>
  <c r="AF311" i="3" s="1"/>
  <c r="AE324" i="3"/>
  <c r="AF324" i="3" s="1"/>
  <c r="AE331" i="3"/>
  <c r="AF331" i="3" s="1"/>
  <c r="AE339" i="3"/>
  <c r="AF339" i="3" s="1"/>
  <c r="AE349" i="3"/>
  <c r="AF349" i="3" s="1"/>
  <c r="AE362" i="3"/>
  <c r="AF362" i="3" s="1"/>
  <c r="AE375" i="3"/>
  <c r="AF375" i="3" s="1"/>
  <c r="AE382" i="3"/>
  <c r="AF382" i="3" s="1"/>
  <c r="AE388" i="3"/>
  <c r="AF388" i="3" s="1"/>
  <c r="AE392" i="3"/>
  <c r="AF392" i="3" s="1"/>
  <c r="AE401" i="3"/>
  <c r="AF401" i="3" s="1"/>
  <c r="AE405" i="3"/>
  <c r="AF405" i="3" s="1"/>
  <c r="AE412" i="3"/>
  <c r="AF412" i="3" s="1"/>
  <c r="AE419" i="3"/>
  <c r="AF419" i="3" s="1"/>
  <c r="AE442" i="3"/>
  <c r="AF442" i="3" s="1"/>
  <c r="AE446" i="3"/>
  <c r="AF446" i="3" s="1"/>
  <c r="AE501" i="3"/>
  <c r="AF501" i="3" s="1"/>
  <c r="AE658" i="3"/>
  <c r="AF658" i="3" s="1"/>
  <c r="AE769" i="3"/>
  <c r="AF769" i="3" s="1"/>
  <c r="AE831" i="3"/>
  <c r="AF831" i="3" s="1"/>
  <c r="AE870" i="3"/>
  <c r="AF870" i="3" s="1"/>
  <c r="AE1143" i="3"/>
  <c r="AF1143" i="3" s="1"/>
  <c r="AE1270" i="3"/>
  <c r="AF1270" i="3" s="1"/>
  <c r="AE1359" i="3"/>
  <c r="AF1359" i="3" s="1"/>
  <c r="AE1341" i="3"/>
  <c r="AF1341" i="3" s="1"/>
  <c r="AE1335" i="3"/>
  <c r="AF1335" i="3" s="1"/>
  <c r="AE1287" i="3"/>
  <c r="AF1287" i="3" s="1"/>
  <c r="AE1281" i="3"/>
  <c r="AF1281" i="3" s="1"/>
  <c r="AE1125" i="3"/>
  <c r="AF1125" i="3" s="1"/>
  <c r="AE1080" i="3"/>
  <c r="AF1080" i="3" s="1"/>
  <c r="AE1024" i="3"/>
  <c r="AF1024" i="3" s="1"/>
  <c r="AE1365" i="3"/>
  <c r="AF1365" i="3" s="1"/>
  <c r="AE1329" i="3"/>
  <c r="AF1329" i="3" s="1"/>
  <c r="AE1305" i="3"/>
  <c r="AF1305" i="3" s="1"/>
  <c r="AE1293" i="3"/>
  <c r="AF1293" i="3" s="1"/>
  <c r="AE1217" i="3"/>
  <c r="AF1217" i="3" s="1"/>
  <c r="AE1193" i="3"/>
  <c r="AF1193" i="3" s="1"/>
  <c r="AE1181" i="3"/>
  <c r="AF1181" i="3" s="1"/>
  <c r="AE1145" i="3"/>
  <c r="AF1145" i="3" s="1"/>
  <c r="AE1139" i="3"/>
  <c r="AF1139" i="3" s="1"/>
  <c r="AE1113" i="3"/>
  <c r="AF1113" i="3" s="1"/>
  <c r="AE1086" i="3"/>
  <c r="AF1086" i="3" s="1"/>
  <c r="AE1070" i="3"/>
  <c r="AF1070" i="3" s="1"/>
  <c r="AE1048" i="3"/>
  <c r="AF1048" i="3" s="1"/>
  <c r="AE944" i="3"/>
  <c r="AF944" i="3" s="1"/>
  <c r="AE928" i="3"/>
  <c r="AF928" i="3" s="1"/>
  <c r="AE1331" i="3"/>
  <c r="AF1331" i="3" s="1"/>
  <c r="AE1319" i="3"/>
  <c r="AF1319" i="3" s="1"/>
  <c r="AE1271" i="3"/>
  <c r="AF1271" i="3" s="1"/>
  <c r="AE1265" i="3"/>
  <c r="AF1265" i="3" s="1"/>
  <c r="AE1247" i="3"/>
  <c r="AF1247" i="3" s="1"/>
  <c r="AE1241" i="3"/>
  <c r="AF1241" i="3" s="1"/>
  <c r="AE1177" i="3"/>
  <c r="AF1177" i="3" s="1"/>
  <c r="AE1133" i="3"/>
  <c r="AF1133" i="3" s="1"/>
  <c r="AE1101" i="3"/>
  <c r="AF1101" i="3" s="1"/>
  <c r="AE1054" i="3"/>
  <c r="AF1054" i="3" s="1"/>
  <c r="AE1032" i="3"/>
  <c r="AF1032" i="3" s="1"/>
  <c r="AE986" i="3"/>
  <c r="AF986" i="3" s="1"/>
  <c r="AE974" i="3"/>
  <c r="AF974" i="3" s="1"/>
  <c r="AE956" i="3"/>
  <c r="AF956" i="3" s="1"/>
  <c r="AE1337" i="3"/>
  <c r="AF1337" i="3" s="1"/>
  <c r="AE1325" i="3"/>
  <c r="AF1325" i="3" s="1"/>
  <c r="AE1313" i="3"/>
  <c r="AF1313" i="3" s="1"/>
  <c r="AE1277" i="3"/>
  <c r="AF1277" i="3" s="1"/>
  <c r="AE1249" i="3"/>
  <c r="AF1249" i="3" s="1"/>
  <c r="AE1243" i="3"/>
  <c r="AF1243" i="3" s="1"/>
  <c r="AE1229" i="3"/>
  <c r="AF1229" i="3" s="1"/>
  <c r="AE1207" i="3"/>
  <c r="AF1207" i="3" s="1"/>
  <c r="AE1183" i="3"/>
  <c r="AF1183" i="3" s="1"/>
  <c r="AE1141" i="3"/>
  <c r="AF1141" i="3" s="1"/>
  <c r="AE1091" i="3"/>
  <c r="AF1091" i="3" s="1"/>
  <c r="AE992" i="3"/>
  <c r="AF992" i="3" s="1"/>
  <c r="AE924" i="3"/>
  <c r="AF924" i="3" s="1"/>
  <c r="AE912" i="3"/>
  <c r="AF912" i="3" s="1"/>
  <c r="AE1351" i="3"/>
  <c r="AF1351" i="3" s="1"/>
  <c r="AE1315" i="3"/>
  <c r="AF1315" i="3" s="1"/>
  <c r="AE1267" i="3"/>
  <c r="AF1267" i="3" s="1"/>
  <c r="AE1261" i="3"/>
  <c r="AF1261" i="3" s="1"/>
  <c r="AE1219" i="3"/>
  <c r="AF1219" i="3" s="1"/>
  <c r="AE1213" i="3"/>
  <c r="AF1213" i="3" s="1"/>
  <c r="AE1201" i="3"/>
  <c r="AF1201" i="3" s="1"/>
  <c r="AE1195" i="3"/>
  <c r="AF1195" i="3" s="1"/>
  <c r="AE1189" i="3"/>
  <c r="AF1189" i="3" s="1"/>
  <c r="AE1165" i="3"/>
  <c r="AF1165" i="3" s="1"/>
  <c r="AE1135" i="3"/>
  <c r="AF1135" i="3" s="1"/>
  <c r="AE1115" i="3"/>
  <c r="AF1115" i="3" s="1"/>
  <c r="AE1103" i="3"/>
  <c r="AF1103" i="3" s="1"/>
  <c r="AE1088" i="3"/>
  <c r="AF1088" i="3" s="1"/>
  <c r="AE1072" i="3"/>
  <c r="AF1072" i="3" s="1"/>
  <c r="AE1038" i="3"/>
  <c r="AF1038" i="3" s="1"/>
  <c r="AE1016" i="3"/>
  <c r="AF1016" i="3" s="1"/>
  <c r="AE976" i="3"/>
  <c r="AF976" i="3" s="1"/>
  <c r="AE958" i="3"/>
  <c r="AF958" i="3" s="1"/>
  <c r="AE940" i="3"/>
  <c r="AF940" i="3" s="1"/>
  <c r="AE1357" i="3"/>
  <c r="AF1357" i="3" s="1"/>
  <c r="AE1321" i="3"/>
  <c r="AF1321" i="3" s="1"/>
  <c r="AE1309" i="3"/>
  <c r="AF1309" i="3" s="1"/>
  <c r="AE1255" i="3"/>
  <c r="AF1255" i="3" s="1"/>
  <c r="AE1203" i="3"/>
  <c r="AF1203" i="3" s="1"/>
  <c r="AE1167" i="3"/>
  <c r="AF1167" i="3" s="1"/>
  <c r="AE1161" i="3"/>
  <c r="AF1161" i="3" s="1"/>
  <c r="AE1129" i="3"/>
  <c r="AF1129" i="3" s="1"/>
  <c r="AE1123" i="3"/>
  <c r="AF1123" i="3" s="1"/>
  <c r="AE1117" i="3"/>
  <c r="AF1117" i="3" s="1"/>
  <c r="AE1056" i="3"/>
  <c r="AF1056" i="3" s="1"/>
  <c r="AE1022" i="3"/>
  <c r="AF1022" i="3" s="1"/>
  <c r="AE988" i="3"/>
  <c r="AF988" i="3" s="1"/>
  <c r="AE920" i="3"/>
  <c r="AF920" i="3" s="1"/>
  <c r="AE1345" i="3"/>
  <c r="AF1345" i="3" s="1"/>
  <c r="AE1303" i="3"/>
  <c r="AF1303" i="3" s="1"/>
  <c r="AE1297" i="3"/>
  <c r="AF1297" i="3" s="1"/>
  <c r="AE1231" i="3"/>
  <c r="AF1231" i="3" s="1"/>
  <c r="AE1155" i="3"/>
  <c r="AF1155" i="3" s="1"/>
  <c r="AE1093" i="3"/>
  <c r="AF1093" i="3" s="1"/>
  <c r="AE1084" i="3"/>
  <c r="AF1084" i="3" s="1"/>
  <c r="AE1018" i="3"/>
  <c r="AF1018" i="3" s="1"/>
  <c r="AE1006" i="3"/>
  <c r="AF1006" i="3" s="1"/>
  <c r="AE1000" i="3"/>
  <c r="AF1000" i="3" s="1"/>
  <c r="AE970" i="3"/>
  <c r="AF970" i="3" s="1"/>
  <c r="AE926" i="3"/>
  <c r="AF926" i="3" s="1"/>
  <c r="AE904" i="3"/>
  <c r="AF904" i="3" s="1"/>
  <c r="AE1347" i="3"/>
  <c r="AF1347" i="3" s="1"/>
  <c r="AE1111" i="3"/>
  <c r="AF1111" i="3" s="1"/>
  <c r="AE1008" i="3"/>
  <c r="AF1008" i="3" s="1"/>
  <c r="AE990" i="3"/>
  <c r="AF990" i="3" s="1"/>
  <c r="AE878" i="3"/>
  <c r="AF878" i="3" s="1"/>
  <c r="AE872" i="3"/>
  <c r="AF872" i="3" s="1"/>
  <c r="AE866" i="3"/>
  <c r="AF866" i="3" s="1"/>
  <c r="AE848" i="3"/>
  <c r="AF848" i="3" s="1"/>
  <c r="AE830" i="3"/>
  <c r="AF830" i="3" s="1"/>
  <c r="AE815" i="3"/>
  <c r="AF815" i="3" s="1"/>
  <c r="AE801" i="3"/>
  <c r="AF801" i="3" s="1"/>
  <c r="AE741" i="3"/>
  <c r="AF741" i="3" s="1"/>
  <c r="AE735" i="3"/>
  <c r="AF735" i="3" s="1"/>
  <c r="AE729" i="3"/>
  <c r="AF729" i="3" s="1"/>
  <c r="AE709" i="3"/>
  <c r="AF709" i="3" s="1"/>
  <c r="AE699" i="3"/>
  <c r="AF699" i="3" s="1"/>
  <c r="AE689" i="3"/>
  <c r="AF689" i="3" s="1"/>
  <c r="AE657" i="3"/>
  <c r="AF657" i="3" s="1"/>
  <c r="AE567" i="3"/>
  <c r="AF567" i="3" s="1"/>
  <c r="AE529" i="3"/>
  <c r="AF529" i="3" s="1"/>
  <c r="AE463" i="3"/>
  <c r="AF463" i="3" s="1"/>
  <c r="AE423" i="3"/>
  <c r="AF423" i="3" s="1"/>
  <c r="AE410" i="3"/>
  <c r="AF410" i="3" s="1"/>
  <c r="AE1257" i="3"/>
  <c r="AF1257" i="3" s="1"/>
  <c r="AE1149" i="3"/>
  <c r="AF1149" i="3" s="1"/>
  <c r="AE1068" i="3"/>
  <c r="AF1068" i="3" s="1"/>
  <c r="AE960" i="3"/>
  <c r="AF960" i="3" s="1"/>
  <c r="AE894" i="3"/>
  <c r="AF894" i="3" s="1"/>
  <c r="AE812" i="3"/>
  <c r="AF812" i="3" s="1"/>
  <c r="AE806" i="3"/>
  <c r="AF806" i="3" s="1"/>
  <c r="AE798" i="3"/>
  <c r="AF798" i="3" s="1"/>
  <c r="AE780" i="3"/>
  <c r="AF780" i="3" s="1"/>
  <c r="AE771" i="3"/>
  <c r="AF771" i="3" s="1"/>
  <c r="AE763" i="3"/>
  <c r="AF763" i="3" s="1"/>
  <c r="AE755" i="3"/>
  <c r="AF755" i="3" s="1"/>
  <c r="AE723" i="3"/>
  <c r="AF723" i="3" s="1"/>
  <c r="AE667" i="3"/>
  <c r="AF667" i="3" s="1"/>
  <c r="AE629" i="3"/>
  <c r="AF629" i="3" s="1"/>
  <c r="AE591" i="3"/>
  <c r="AF591" i="3" s="1"/>
  <c r="AE535" i="3"/>
  <c r="AF535" i="3" s="1"/>
  <c r="AE497" i="3"/>
  <c r="AF497" i="3" s="1"/>
  <c r="AE491" i="3"/>
  <c r="AF491" i="3" s="1"/>
  <c r="AE438" i="3"/>
  <c r="AF438" i="3" s="1"/>
  <c r="AE429" i="3"/>
  <c r="AF429" i="3" s="1"/>
  <c r="AE1353" i="3"/>
  <c r="AF1353" i="3" s="1"/>
  <c r="AE1052" i="3"/>
  <c r="AF1052" i="3" s="1"/>
  <c r="AE942" i="3"/>
  <c r="AF942" i="3" s="1"/>
  <c r="AE890" i="3"/>
  <c r="AF890" i="3" s="1"/>
  <c r="AE880" i="3"/>
  <c r="AF880" i="3" s="1"/>
  <c r="AE874" i="3"/>
  <c r="AF874" i="3" s="1"/>
  <c r="AE803" i="3"/>
  <c r="AF803" i="3" s="1"/>
  <c r="AE792" i="3"/>
  <c r="AF792" i="3" s="1"/>
  <c r="AE789" i="3"/>
  <c r="AF789" i="3" s="1"/>
  <c r="AE749" i="3"/>
  <c r="AF749" i="3" s="1"/>
  <c r="AE743" i="3"/>
  <c r="AF743" i="3" s="1"/>
  <c r="AE737" i="3"/>
  <c r="AF737" i="3" s="1"/>
  <c r="AE717" i="3"/>
  <c r="AF717" i="3" s="1"/>
  <c r="AE711" i="3"/>
  <c r="AF711" i="3" s="1"/>
  <c r="AE705" i="3"/>
  <c r="AF705" i="3" s="1"/>
  <c r="AE621" i="3"/>
  <c r="AF621" i="3" s="1"/>
  <c r="AE597" i="3"/>
  <c r="AF597" i="3" s="1"/>
  <c r="AE573" i="3"/>
  <c r="AF573" i="3" s="1"/>
  <c r="AE563" i="3"/>
  <c r="AF563" i="3" s="1"/>
  <c r="AE521" i="3"/>
  <c r="AF521" i="3" s="1"/>
  <c r="AE503" i="3"/>
  <c r="AF503" i="3" s="1"/>
  <c r="AE481" i="3"/>
  <c r="AF481" i="3" s="1"/>
  <c r="AE444" i="3"/>
  <c r="AF444" i="3" s="1"/>
  <c r="AE1233" i="3"/>
  <c r="AF1233" i="3" s="1"/>
  <c r="AE1040" i="3"/>
  <c r="AF1040" i="3" s="1"/>
  <c r="AE862" i="3"/>
  <c r="AF862" i="3" s="1"/>
  <c r="AE856" i="3"/>
  <c r="AF856" i="3" s="1"/>
  <c r="AE850" i="3"/>
  <c r="AF850" i="3" s="1"/>
  <c r="AE832" i="3"/>
  <c r="AF832" i="3" s="1"/>
  <c r="AE814" i="3"/>
  <c r="AF814" i="3" s="1"/>
  <c r="AE808" i="3"/>
  <c r="AF808" i="3" s="1"/>
  <c r="AE782" i="3"/>
  <c r="AF782" i="3" s="1"/>
  <c r="AE776" i="3"/>
  <c r="AF776" i="3" s="1"/>
  <c r="AE773" i="3"/>
  <c r="AF773" i="3" s="1"/>
  <c r="AE765" i="3"/>
  <c r="AF765" i="3" s="1"/>
  <c r="AE757" i="3"/>
  <c r="AF757" i="3" s="1"/>
  <c r="AE731" i="3"/>
  <c r="AF731" i="3" s="1"/>
  <c r="AE691" i="3"/>
  <c r="AF691" i="3" s="1"/>
  <c r="AE659" i="3"/>
  <c r="AF659" i="3" s="1"/>
  <c r="AE635" i="3"/>
  <c r="AF635" i="3" s="1"/>
  <c r="AE553" i="3"/>
  <c r="AF553" i="3" s="1"/>
  <c r="AE531" i="3"/>
  <c r="AF531" i="3" s="1"/>
  <c r="AE465" i="3"/>
  <c r="AF465" i="3" s="1"/>
  <c r="AE896" i="3"/>
  <c r="AF896" i="3" s="1"/>
  <c r="AE840" i="3"/>
  <c r="AF840" i="3" s="1"/>
  <c r="AE805" i="3"/>
  <c r="AF805" i="3" s="1"/>
  <c r="AE800" i="3"/>
  <c r="AF800" i="3" s="1"/>
  <c r="AE794" i="3"/>
  <c r="AF794" i="3" s="1"/>
  <c r="AE785" i="3"/>
  <c r="AF785" i="3" s="1"/>
  <c r="AE751" i="3"/>
  <c r="AF751" i="3" s="1"/>
  <c r="AE745" i="3"/>
  <c r="AF745" i="3" s="1"/>
  <c r="AE725" i="3"/>
  <c r="AF725" i="3" s="1"/>
  <c r="AE719" i="3"/>
  <c r="AF719" i="3" s="1"/>
  <c r="AE713" i="3"/>
  <c r="AF713" i="3" s="1"/>
  <c r="AE673" i="3"/>
  <c r="AF673" i="3" s="1"/>
  <c r="AE641" i="3"/>
  <c r="AF641" i="3" s="1"/>
  <c r="AE613" i="3"/>
  <c r="AF613" i="3" s="1"/>
  <c r="AE593" i="3"/>
  <c r="AF593" i="3" s="1"/>
  <c r="AE559" i="3"/>
  <c r="AF559" i="3" s="1"/>
  <c r="AE541" i="3"/>
  <c r="AF541" i="3" s="1"/>
  <c r="AE499" i="3"/>
  <c r="AF499" i="3" s="1"/>
  <c r="AE493" i="3"/>
  <c r="AF493" i="3" s="1"/>
  <c r="AE490" i="3"/>
  <c r="AF490" i="3" s="1"/>
  <c r="AE477" i="3"/>
  <c r="AF477" i="3" s="1"/>
  <c r="AE474" i="3"/>
  <c r="AF474" i="3" s="1"/>
  <c r="AE449" i="3"/>
  <c r="AF449" i="3" s="1"/>
  <c r="AE858" i="3"/>
  <c r="AF858" i="3" s="1"/>
  <c r="AE846" i="3"/>
  <c r="AF846" i="3" s="1"/>
  <c r="AE834" i="3"/>
  <c r="AF834" i="3" s="1"/>
  <c r="AE816" i="3"/>
  <c r="AF816" i="3" s="1"/>
  <c r="AE802" i="3"/>
  <c r="AF802" i="3" s="1"/>
  <c r="AE791" i="3"/>
  <c r="AF791" i="3" s="1"/>
  <c r="AE767" i="3"/>
  <c r="AF767" i="3" s="1"/>
  <c r="AE759" i="3"/>
  <c r="AF759" i="3" s="1"/>
  <c r="AE739" i="3"/>
  <c r="AF739" i="3" s="1"/>
  <c r="AE707" i="3"/>
  <c r="AF707" i="3" s="1"/>
  <c r="AE697" i="3"/>
  <c r="AF697" i="3" s="1"/>
  <c r="AE683" i="3"/>
  <c r="AF683" i="3" s="1"/>
  <c r="AE651" i="3"/>
  <c r="AF651" i="3" s="1"/>
  <c r="AE599" i="3"/>
  <c r="AF599" i="3" s="1"/>
  <c r="AE565" i="3"/>
  <c r="AF565" i="3" s="1"/>
  <c r="AE527" i="3"/>
  <c r="AF527" i="3" s="1"/>
  <c r="AE509" i="3"/>
  <c r="AF509" i="3" s="1"/>
  <c r="AE486" i="3"/>
  <c r="AF486" i="3" s="1"/>
  <c r="AE480" i="3"/>
  <c r="AF480" i="3" s="1"/>
  <c r="AE1002" i="3"/>
  <c r="AF1002" i="3" s="1"/>
  <c r="AE954" i="3"/>
  <c r="AF954" i="3" s="1"/>
  <c r="AE864" i="3"/>
  <c r="AF864" i="3" s="1"/>
  <c r="AE818" i="3"/>
  <c r="AF818" i="3" s="1"/>
  <c r="AE810" i="3"/>
  <c r="AF810" i="3" s="1"/>
  <c r="AE807" i="3"/>
  <c r="AF807" i="3" s="1"/>
  <c r="AE778" i="3"/>
  <c r="AF778" i="3" s="1"/>
  <c r="AE775" i="3"/>
  <c r="AF775" i="3" s="1"/>
  <c r="AE753" i="3"/>
  <c r="AF753" i="3" s="1"/>
  <c r="AE733" i="3"/>
  <c r="AF733" i="3" s="1"/>
  <c r="AE727" i="3"/>
  <c r="AF727" i="3" s="1"/>
  <c r="AE721" i="3"/>
  <c r="AF721" i="3" s="1"/>
  <c r="AE637" i="3"/>
  <c r="AF637" i="3" s="1"/>
  <c r="AE585" i="3"/>
  <c r="AF585" i="3" s="1"/>
  <c r="AE555" i="3"/>
  <c r="AF555" i="3" s="1"/>
  <c r="AE533" i="3"/>
  <c r="AF533" i="3" s="1"/>
  <c r="AE495" i="3"/>
  <c r="AF495" i="3" s="1"/>
  <c r="AE470" i="3"/>
  <c r="AF470" i="3" s="1"/>
  <c r="AE461" i="3"/>
  <c r="AF461" i="3" s="1"/>
  <c r="AE458" i="3"/>
  <c r="AF458" i="3" s="1"/>
  <c r="AE6" i="3"/>
  <c r="AF6" i="3" s="1"/>
  <c r="AE13" i="3"/>
  <c r="AF13" i="3" s="1"/>
  <c r="AE22" i="3"/>
  <c r="AF22" i="3" s="1"/>
  <c r="AE29" i="3"/>
  <c r="AF29" i="3" s="1"/>
  <c r="AE38" i="3"/>
  <c r="AF38" i="3" s="1"/>
  <c r="AE45" i="3"/>
  <c r="AF45" i="3" s="1"/>
  <c r="AE54" i="3"/>
  <c r="AF54" i="3" s="1"/>
  <c r="AE61" i="3"/>
  <c r="AF61" i="3" s="1"/>
  <c r="AE76" i="3"/>
  <c r="AF76" i="3" s="1"/>
  <c r="AE80" i="3"/>
  <c r="AF80" i="3" s="1"/>
  <c r="AE91" i="3"/>
  <c r="AF91" i="3" s="1"/>
  <c r="AE95" i="3"/>
  <c r="AF95" i="3" s="1"/>
  <c r="AE106" i="3"/>
  <c r="AF106" i="3" s="1"/>
  <c r="AE110" i="3"/>
  <c r="AF110" i="3" s="1"/>
  <c r="AE113" i="3"/>
  <c r="AF113" i="3" s="1"/>
  <c r="AE125" i="3"/>
  <c r="AF125" i="3" s="1"/>
  <c r="AE136" i="3"/>
  <c r="AF136" i="3" s="1"/>
  <c r="AE143" i="3"/>
  <c r="AF143" i="3" s="1"/>
  <c r="AE147" i="3"/>
  <c r="AF147" i="3" s="1"/>
  <c r="AE151" i="3"/>
  <c r="AF151" i="3" s="1"/>
  <c r="AE169" i="3"/>
  <c r="AF169" i="3" s="1"/>
  <c r="AE175" i="3"/>
  <c r="AF175" i="3" s="1"/>
  <c r="AE178" i="3"/>
  <c r="AF178" i="3" s="1"/>
  <c r="AE181" i="3"/>
  <c r="AF181" i="3" s="1"/>
  <c r="AE196" i="3"/>
  <c r="AF196" i="3" s="1"/>
  <c r="AE203" i="3"/>
  <c r="AF203" i="3" s="1"/>
  <c r="AE211" i="3"/>
  <c r="AF211" i="3" s="1"/>
  <c r="AE221" i="3"/>
  <c r="AF221" i="3" s="1"/>
  <c r="AE234" i="3"/>
  <c r="AF234" i="3" s="1"/>
  <c r="AE257" i="3"/>
  <c r="AF257" i="3" s="1"/>
  <c r="AE260" i="3"/>
  <c r="AF260" i="3" s="1"/>
  <c r="AE264" i="3"/>
  <c r="AF264" i="3" s="1"/>
  <c r="AE270" i="3"/>
  <c r="AF270" i="3" s="1"/>
  <c r="AE273" i="3"/>
  <c r="AF273" i="3" s="1"/>
  <c r="AE277" i="3"/>
  <c r="AF277" i="3" s="1"/>
  <c r="AE281" i="3"/>
  <c r="AF281" i="3" s="1"/>
  <c r="AE283" i="3"/>
  <c r="AF283" i="3" s="1"/>
  <c r="AE314" i="3"/>
  <c r="AF314" i="3" s="1"/>
  <c r="AE318" i="3"/>
  <c r="AF318" i="3" s="1"/>
  <c r="AE321" i="3"/>
  <c r="AF321" i="3" s="1"/>
  <c r="AE325" i="3"/>
  <c r="AF325" i="3" s="1"/>
  <c r="AE329" i="3"/>
  <c r="AF329" i="3" s="1"/>
  <c r="AE332" i="3"/>
  <c r="AF332" i="3" s="1"/>
  <c r="AE336" i="3"/>
  <c r="AF336" i="3" s="1"/>
  <c r="AE359" i="3"/>
  <c r="AF359" i="3" s="1"/>
  <c r="AE366" i="3"/>
  <c r="AF366" i="3" s="1"/>
  <c r="AE372" i="3"/>
  <c r="AF372" i="3" s="1"/>
  <c r="AE376" i="3"/>
  <c r="AF376" i="3" s="1"/>
  <c r="AE385" i="3"/>
  <c r="AF385" i="3" s="1"/>
  <c r="AE389" i="3"/>
  <c r="AF389" i="3" s="1"/>
  <c r="AE395" i="3"/>
  <c r="AF395" i="3" s="1"/>
  <c r="AE399" i="3"/>
  <c r="AF399" i="3" s="1"/>
  <c r="AE402" i="3"/>
  <c r="AF402" i="3" s="1"/>
  <c r="AE409" i="3"/>
  <c r="AF409" i="3" s="1"/>
  <c r="AE426" i="3"/>
  <c r="AF426" i="3" s="1"/>
  <c r="AE430" i="3"/>
  <c r="AF430" i="3" s="1"/>
  <c r="AE436" i="3"/>
  <c r="AF436" i="3" s="1"/>
  <c r="AE440" i="3"/>
  <c r="AF440" i="3" s="1"/>
  <c r="AE443" i="3"/>
  <c r="AF443" i="3" s="1"/>
  <c r="AE464" i="3"/>
  <c r="AF464" i="3" s="1"/>
  <c r="AE595" i="3"/>
  <c r="AF595" i="3" s="1"/>
  <c r="AE623" i="3"/>
  <c r="AF623" i="3" s="1"/>
  <c r="AE627" i="3"/>
  <c r="AF627" i="3" s="1"/>
  <c r="AE690" i="3"/>
  <c r="AF690" i="3" s="1"/>
  <c r="AE804" i="3"/>
  <c r="AF804" i="3" s="1"/>
  <c r="AE882" i="3"/>
  <c r="AF882" i="3" s="1"/>
  <c r="AE921" i="3"/>
  <c r="AF921" i="3" s="1"/>
  <c r="AE929" i="3"/>
  <c r="AF929" i="3" s="1"/>
  <c r="AE972" i="3"/>
  <c r="AF972" i="3" s="1"/>
  <c r="AE452" i="3"/>
  <c r="AF452" i="3" s="1"/>
  <c r="AE455" i="3"/>
  <c r="AF455" i="3" s="1"/>
  <c r="AE467" i="3"/>
  <c r="AF467" i="3" s="1"/>
  <c r="AE483" i="3"/>
  <c r="AF483" i="3" s="1"/>
  <c r="AE502" i="3"/>
  <c r="AF502" i="3" s="1"/>
  <c r="AE520" i="3"/>
  <c r="AF520" i="3" s="1"/>
  <c r="AE537" i="3"/>
  <c r="AF537" i="3" s="1"/>
  <c r="AE562" i="3"/>
  <c r="AF562" i="3" s="1"/>
  <c r="AE568" i="3"/>
  <c r="AF568" i="3" s="1"/>
  <c r="AE572" i="3"/>
  <c r="AF572" i="3" s="1"/>
  <c r="AE575" i="3"/>
  <c r="AF575" i="3" s="1"/>
  <c r="AE582" i="3"/>
  <c r="AF582" i="3" s="1"/>
  <c r="AE596" i="3"/>
  <c r="AF596" i="3" s="1"/>
  <c r="AE609" i="3"/>
  <c r="AF609" i="3" s="1"/>
  <c r="AE616" i="3"/>
  <c r="AF616" i="3" s="1"/>
  <c r="AE620" i="3"/>
  <c r="AF620" i="3" s="1"/>
  <c r="AE644" i="3"/>
  <c r="AF644" i="3" s="1"/>
  <c r="AE655" i="3"/>
  <c r="AF655" i="3" s="1"/>
  <c r="AE669" i="3"/>
  <c r="AF669" i="3" s="1"/>
  <c r="AE676" i="3"/>
  <c r="AF676" i="3" s="1"/>
  <c r="AE687" i="3"/>
  <c r="AF687" i="3" s="1"/>
  <c r="AE704" i="3"/>
  <c r="AF704" i="3" s="1"/>
  <c r="AE710" i="3"/>
  <c r="AF710" i="3" s="1"/>
  <c r="AE716" i="3"/>
  <c r="AF716" i="3" s="1"/>
  <c r="AE736" i="3"/>
  <c r="AF736" i="3" s="1"/>
  <c r="AE742" i="3"/>
  <c r="AF742" i="3" s="1"/>
  <c r="AE748" i="3"/>
  <c r="AF748" i="3" s="1"/>
  <c r="AE788" i="3"/>
  <c r="AF788" i="3" s="1"/>
  <c r="AE825" i="3"/>
  <c r="AF825" i="3" s="1"/>
  <c r="AE828" i="3"/>
  <c r="AF828" i="3" s="1"/>
  <c r="AE837" i="3"/>
  <c r="AF837" i="3" s="1"/>
  <c r="AE843" i="3"/>
  <c r="AF843" i="3" s="1"/>
  <c r="AE867" i="3"/>
  <c r="AF867" i="3" s="1"/>
  <c r="AE876" i="3"/>
  <c r="AF876" i="3" s="1"/>
  <c r="AE879" i="3"/>
  <c r="AF879" i="3" s="1"/>
  <c r="AE889" i="3"/>
  <c r="AF889" i="3" s="1"/>
  <c r="AE911" i="3"/>
  <c r="AF911" i="3" s="1"/>
  <c r="AE918" i="3"/>
  <c r="AF918" i="3" s="1"/>
  <c r="AE1078" i="3"/>
  <c r="AF1078" i="3" s="1"/>
  <c r="AE1090" i="3"/>
  <c r="AF1090" i="3" s="1"/>
  <c r="AE1132" i="3"/>
  <c r="AF1132" i="3" s="1"/>
  <c r="AE1179" i="3"/>
  <c r="AF1179" i="3" s="1"/>
  <c r="AE1333" i="3"/>
  <c r="AF1333" i="3" s="1"/>
  <c r="AE471" i="3"/>
  <c r="AF471" i="3" s="1"/>
  <c r="AE496" i="3"/>
  <c r="AF496" i="3" s="1"/>
  <c r="AE506" i="3"/>
  <c r="AF506" i="3" s="1"/>
  <c r="AE513" i="3"/>
  <c r="AF513" i="3" s="1"/>
  <c r="AE517" i="3"/>
  <c r="AF517" i="3" s="1"/>
  <c r="AE524" i="3"/>
  <c r="AF524" i="3" s="1"/>
  <c r="AE534" i="3"/>
  <c r="AF534" i="3" s="1"/>
  <c r="AE545" i="3"/>
  <c r="AF545" i="3" s="1"/>
  <c r="AE549" i="3"/>
  <c r="AF549" i="3" s="1"/>
  <c r="AE556" i="3"/>
  <c r="AF556" i="3" s="1"/>
  <c r="AE579" i="3"/>
  <c r="AF579" i="3" s="1"/>
  <c r="AE586" i="3"/>
  <c r="AF586" i="3" s="1"/>
  <c r="AE590" i="3"/>
  <c r="AF590" i="3" s="1"/>
  <c r="AE603" i="3"/>
  <c r="AF603" i="3" s="1"/>
  <c r="AE606" i="3"/>
  <c r="AF606" i="3" s="1"/>
  <c r="AE624" i="3"/>
  <c r="AF624" i="3" s="1"/>
  <c r="AE628" i="3"/>
  <c r="AF628" i="3" s="1"/>
  <c r="AE631" i="3"/>
  <c r="AF631" i="3" s="1"/>
  <c r="AE648" i="3"/>
  <c r="AF648" i="3" s="1"/>
  <c r="AE662" i="3"/>
  <c r="AF662" i="3" s="1"/>
  <c r="AE666" i="3"/>
  <c r="AF666" i="3" s="1"/>
  <c r="AE680" i="3"/>
  <c r="AF680" i="3" s="1"/>
  <c r="AE694" i="3"/>
  <c r="AF694" i="3" s="1"/>
  <c r="AE701" i="3"/>
  <c r="AF701" i="3" s="1"/>
  <c r="AE722" i="3"/>
  <c r="AF722" i="3" s="1"/>
  <c r="AE754" i="3"/>
  <c r="AF754" i="3" s="1"/>
  <c r="AE762" i="3"/>
  <c r="AF762" i="3" s="1"/>
  <c r="AE770" i="3"/>
  <c r="AF770" i="3" s="1"/>
  <c r="AE779" i="3"/>
  <c r="AF779" i="3" s="1"/>
  <c r="AE797" i="3"/>
  <c r="AF797" i="3" s="1"/>
  <c r="AE811" i="3"/>
  <c r="AF811" i="3" s="1"/>
  <c r="AE819" i="3"/>
  <c r="AF819" i="3" s="1"/>
  <c r="AE822" i="3"/>
  <c r="AF822" i="3" s="1"/>
  <c r="AE853" i="3"/>
  <c r="AF853" i="3" s="1"/>
  <c r="AE871" i="3"/>
  <c r="AF871" i="3" s="1"/>
  <c r="AE886" i="3"/>
  <c r="AF886" i="3" s="1"/>
  <c r="AE900" i="3"/>
  <c r="AF900" i="3" s="1"/>
  <c r="AE915" i="3"/>
  <c r="AF915" i="3" s="1"/>
  <c r="AE934" i="3"/>
  <c r="AF934" i="3" s="1"/>
  <c r="AE948" i="3"/>
  <c r="AF948" i="3" s="1"/>
  <c r="AE1059" i="3"/>
  <c r="AF1059" i="3" s="1"/>
  <c r="AE1206" i="3"/>
  <c r="AF1206" i="3" s="1"/>
  <c r="AE1360" i="3"/>
  <c r="AF1360" i="3" s="1"/>
  <c r="AE453" i="3"/>
  <c r="AF453" i="3" s="1"/>
  <c r="AE456" i="3"/>
  <c r="AF456" i="3" s="1"/>
  <c r="AE462" i="3"/>
  <c r="AF462" i="3" s="1"/>
  <c r="AE468" i="3"/>
  <c r="AF468" i="3" s="1"/>
  <c r="AE484" i="3"/>
  <c r="AF484" i="3" s="1"/>
  <c r="AE487" i="3"/>
  <c r="AF487" i="3" s="1"/>
  <c r="AE510" i="3"/>
  <c r="AF510" i="3" s="1"/>
  <c r="AE528" i="3"/>
  <c r="AF528" i="3" s="1"/>
  <c r="AE538" i="3"/>
  <c r="AF538" i="3" s="1"/>
  <c r="AE566" i="3"/>
  <c r="AF566" i="3" s="1"/>
  <c r="AE569" i="3"/>
  <c r="AF569" i="3" s="1"/>
  <c r="AE583" i="3"/>
  <c r="AF583" i="3" s="1"/>
  <c r="AE610" i="3"/>
  <c r="AF610" i="3" s="1"/>
  <c r="AE617" i="3"/>
  <c r="AF617" i="3" s="1"/>
  <c r="AE638" i="3"/>
  <c r="AF638" i="3" s="1"/>
  <c r="AE645" i="3"/>
  <c r="AF645" i="3" s="1"/>
  <c r="AE652" i="3"/>
  <c r="AF652" i="3" s="1"/>
  <c r="AE656" i="3"/>
  <c r="AF656" i="3" s="1"/>
  <c r="AE670" i="3"/>
  <c r="AF670" i="3" s="1"/>
  <c r="AE677" i="3"/>
  <c r="AF677" i="3" s="1"/>
  <c r="AE684" i="3"/>
  <c r="AF684" i="3" s="1"/>
  <c r="AE688" i="3"/>
  <c r="AF688" i="3" s="1"/>
  <c r="AE698" i="3"/>
  <c r="AF698" i="3" s="1"/>
  <c r="AE708" i="3"/>
  <c r="AF708" i="3" s="1"/>
  <c r="AE728" i="3"/>
  <c r="AF728" i="3" s="1"/>
  <c r="AE734" i="3"/>
  <c r="AF734" i="3" s="1"/>
  <c r="AE740" i="3"/>
  <c r="AF740" i="3" s="1"/>
  <c r="AE829" i="3"/>
  <c r="AF829" i="3" s="1"/>
  <c r="AE847" i="3"/>
  <c r="AF847" i="3" s="1"/>
  <c r="AE859" i="3"/>
  <c r="AF859" i="3" s="1"/>
  <c r="AE865" i="3"/>
  <c r="AF865" i="3" s="1"/>
  <c r="AE868" i="3"/>
  <c r="AF868" i="3" s="1"/>
  <c r="AE877" i="3"/>
  <c r="AF877" i="3" s="1"/>
  <c r="AE883" i="3"/>
  <c r="AF883" i="3" s="1"/>
  <c r="AE945" i="3"/>
  <c r="AF945" i="3" s="1"/>
  <c r="AE981" i="3"/>
  <c r="AF981" i="3" s="1"/>
  <c r="AE985" i="3"/>
  <c r="AF985" i="3" s="1"/>
  <c r="AE1176" i="3"/>
  <c r="AF1176" i="3" s="1"/>
  <c r="AE1264" i="3"/>
  <c r="AF1264" i="3" s="1"/>
  <c r="AE1318" i="3"/>
  <c r="AF1318" i="3" s="1"/>
  <c r="AE1330" i="3"/>
  <c r="AF1330" i="3" s="1"/>
  <c r="AE1342" i="3"/>
  <c r="AF1342" i="3" s="1"/>
  <c r="AE472" i="3"/>
  <c r="AF472" i="3" s="1"/>
  <c r="AE475" i="3"/>
  <c r="AF475" i="3" s="1"/>
  <c r="AE478" i="3"/>
  <c r="AF478" i="3" s="1"/>
  <c r="AE500" i="3"/>
  <c r="AF500" i="3" s="1"/>
  <c r="AE507" i="3"/>
  <c r="AF507" i="3" s="1"/>
  <c r="AE514" i="3"/>
  <c r="AF514" i="3" s="1"/>
  <c r="AE518" i="3"/>
  <c r="AF518" i="3" s="1"/>
  <c r="AE525" i="3"/>
  <c r="AF525" i="3" s="1"/>
  <c r="AE542" i="3"/>
  <c r="AF542" i="3" s="1"/>
  <c r="AE546" i="3"/>
  <c r="AF546" i="3" s="1"/>
  <c r="AE550" i="3"/>
  <c r="AF550" i="3" s="1"/>
  <c r="AE557" i="3"/>
  <c r="AF557" i="3" s="1"/>
  <c r="AE560" i="3"/>
  <c r="AF560" i="3" s="1"/>
  <c r="AE576" i="3"/>
  <c r="AF576" i="3" s="1"/>
  <c r="AE580" i="3"/>
  <c r="AF580" i="3" s="1"/>
  <c r="AE587" i="3"/>
  <c r="AF587" i="3" s="1"/>
  <c r="AE594" i="3"/>
  <c r="AF594" i="3" s="1"/>
  <c r="AE600" i="3"/>
  <c r="AF600" i="3" s="1"/>
  <c r="AE604" i="3"/>
  <c r="AF604" i="3" s="1"/>
  <c r="AE607" i="3"/>
  <c r="AF607" i="3" s="1"/>
  <c r="AE625" i="3"/>
  <c r="AF625" i="3" s="1"/>
  <c r="AE632" i="3"/>
  <c r="AF632" i="3" s="1"/>
  <c r="AE642" i="3"/>
  <c r="AF642" i="3" s="1"/>
  <c r="AE649" i="3"/>
  <c r="AF649" i="3" s="1"/>
  <c r="AE663" i="3"/>
  <c r="AF663" i="3" s="1"/>
  <c r="AE674" i="3"/>
  <c r="AF674" i="3" s="1"/>
  <c r="AE681" i="3"/>
  <c r="AF681" i="3" s="1"/>
  <c r="AE695" i="3"/>
  <c r="AF695" i="3" s="1"/>
  <c r="AE702" i="3"/>
  <c r="AF702" i="3" s="1"/>
  <c r="AE714" i="3"/>
  <c r="AF714" i="3" s="1"/>
  <c r="AE746" i="3"/>
  <c r="AF746" i="3" s="1"/>
  <c r="AE760" i="3"/>
  <c r="AF760" i="3" s="1"/>
  <c r="AE768" i="3"/>
  <c r="AF768" i="3" s="1"/>
  <c r="AE786" i="3"/>
  <c r="AF786" i="3" s="1"/>
  <c r="AE795" i="3"/>
  <c r="AF795" i="3" s="1"/>
  <c r="AE817" i="3"/>
  <c r="AF817" i="3" s="1"/>
  <c r="AE823" i="3"/>
  <c r="AF823" i="3" s="1"/>
  <c r="AE826" i="3"/>
  <c r="AF826" i="3" s="1"/>
  <c r="AE835" i="3"/>
  <c r="AF835" i="3" s="1"/>
  <c r="AE838" i="3"/>
  <c r="AF838" i="3" s="1"/>
  <c r="AE841" i="3"/>
  <c r="AF841" i="3" s="1"/>
  <c r="AE844" i="3"/>
  <c r="AF844" i="3" s="1"/>
  <c r="AE901" i="3"/>
  <c r="AF901" i="3" s="1"/>
  <c r="AE909" i="3"/>
  <c r="AF909" i="3" s="1"/>
  <c r="AE923" i="3"/>
  <c r="AF923" i="3" s="1"/>
  <c r="AE967" i="3"/>
  <c r="AF967" i="3" s="1"/>
  <c r="AE450" i="3"/>
  <c r="AF450" i="3" s="1"/>
  <c r="AE457" i="3"/>
  <c r="AF457" i="3" s="1"/>
  <c r="AE460" i="3"/>
  <c r="AF460" i="3" s="1"/>
  <c r="AE469" i="3"/>
  <c r="AF469" i="3" s="1"/>
  <c r="AE485" i="3"/>
  <c r="AF485" i="3" s="1"/>
  <c r="AE488" i="3"/>
  <c r="AF488" i="3" s="1"/>
  <c r="AE494" i="3"/>
  <c r="AF494" i="3" s="1"/>
  <c r="AE511" i="3"/>
  <c r="AF511" i="3" s="1"/>
  <c r="AE532" i="3"/>
  <c r="AF532" i="3" s="1"/>
  <c r="AE539" i="3"/>
  <c r="AF539" i="3" s="1"/>
  <c r="AE554" i="3"/>
  <c r="AF554" i="3" s="1"/>
  <c r="AE570" i="3"/>
  <c r="AF570" i="3" s="1"/>
  <c r="AE584" i="3"/>
  <c r="AF584" i="3" s="1"/>
  <c r="AE611" i="3"/>
  <c r="AF611" i="3" s="1"/>
  <c r="AE614" i="3"/>
  <c r="AF614" i="3" s="1"/>
  <c r="AE618" i="3"/>
  <c r="AF618" i="3" s="1"/>
  <c r="AE636" i="3"/>
  <c r="AF636" i="3" s="1"/>
  <c r="AE639" i="3"/>
  <c r="AF639" i="3" s="1"/>
  <c r="AE653" i="3"/>
  <c r="AF653" i="3" s="1"/>
  <c r="AE660" i="3"/>
  <c r="AF660" i="3" s="1"/>
  <c r="AE671" i="3"/>
  <c r="AF671" i="3" s="1"/>
  <c r="AE685" i="3"/>
  <c r="AF685" i="3" s="1"/>
  <c r="AE692" i="3"/>
  <c r="AF692" i="3" s="1"/>
  <c r="AE720" i="3"/>
  <c r="AF720" i="3" s="1"/>
  <c r="AE726" i="3"/>
  <c r="AF726" i="3" s="1"/>
  <c r="AE732" i="3"/>
  <c r="AF732" i="3" s="1"/>
  <c r="AE752" i="3"/>
  <c r="AF752" i="3" s="1"/>
  <c r="AE774" i="3"/>
  <c r="AF774" i="3" s="1"/>
  <c r="AE777" i="3"/>
  <c r="AF777" i="3" s="1"/>
  <c r="AE783" i="3"/>
  <c r="AF783" i="3" s="1"/>
  <c r="AE809" i="3"/>
  <c r="AF809" i="3" s="1"/>
  <c r="AE820" i="3"/>
  <c r="AF820" i="3" s="1"/>
  <c r="AE854" i="3"/>
  <c r="AF854" i="3" s="1"/>
  <c r="AE857" i="3"/>
  <c r="AF857" i="3" s="1"/>
  <c r="AE863" i="3"/>
  <c r="AF863" i="3" s="1"/>
  <c r="AE869" i="3"/>
  <c r="AF869" i="3" s="1"/>
  <c r="AE884" i="3"/>
  <c r="AF884" i="3" s="1"/>
  <c r="AE939" i="3"/>
  <c r="AF939" i="3" s="1"/>
  <c r="AE978" i="3"/>
  <c r="AF978" i="3" s="1"/>
  <c r="AE997" i="3"/>
  <c r="AF997" i="3" s="1"/>
  <c r="AE1096" i="3"/>
  <c r="AF1096" i="3" s="1"/>
  <c r="AE1173" i="3"/>
  <c r="AF1173" i="3" s="1"/>
  <c r="AE1276" i="3"/>
  <c r="AF1276" i="3" s="1"/>
  <c r="AE1339" i="3"/>
  <c r="AF1339" i="3" s="1"/>
  <c r="AE435" i="3"/>
  <c r="AF435" i="3" s="1"/>
  <c r="AE479" i="3"/>
  <c r="AF479" i="3" s="1"/>
  <c r="AE504" i="3"/>
  <c r="AF504" i="3" s="1"/>
  <c r="AE508" i="3"/>
  <c r="AF508" i="3" s="1"/>
  <c r="AE515" i="3"/>
  <c r="AF515" i="3" s="1"/>
  <c r="AE519" i="3"/>
  <c r="AF519" i="3" s="1"/>
  <c r="AE522" i="3"/>
  <c r="AF522" i="3" s="1"/>
  <c r="AE526" i="3"/>
  <c r="AF526" i="3" s="1"/>
  <c r="AE543" i="3"/>
  <c r="AF543" i="3" s="1"/>
  <c r="AE547" i="3"/>
  <c r="AF547" i="3" s="1"/>
  <c r="AE551" i="3"/>
  <c r="AF551" i="3" s="1"/>
  <c r="AE564" i="3"/>
  <c r="AF564" i="3" s="1"/>
  <c r="AE577" i="3"/>
  <c r="AF577" i="3" s="1"/>
  <c r="AE581" i="3"/>
  <c r="AF581" i="3" s="1"/>
  <c r="AE588" i="3"/>
  <c r="AF588" i="3" s="1"/>
  <c r="AE598" i="3"/>
  <c r="AF598" i="3" s="1"/>
  <c r="AE601" i="3"/>
  <c r="AF601" i="3" s="1"/>
  <c r="AE622" i="3"/>
  <c r="AF622" i="3" s="1"/>
  <c r="AE626" i="3"/>
  <c r="AF626" i="3" s="1"/>
  <c r="AE633" i="3"/>
  <c r="AF633" i="3" s="1"/>
  <c r="AE646" i="3"/>
  <c r="AF646" i="3" s="1"/>
  <c r="AE650" i="3"/>
  <c r="AF650" i="3" s="1"/>
  <c r="AE664" i="3"/>
  <c r="AF664" i="3" s="1"/>
  <c r="AE678" i="3"/>
  <c r="AF678" i="3" s="1"/>
  <c r="AE682" i="3"/>
  <c r="AF682" i="3" s="1"/>
  <c r="AE696" i="3"/>
  <c r="AF696" i="3" s="1"/>
  <c r="AE703" i="3"/>
  <c r="AF703" i="3" s="1"/>
  <c r="AE706" i="3"/>
  <c r="AF706" i="3" s="1"/>
  <c r="AE738" i="3"/>
  <c r="AF738" i="3" s="1"/>
  <c r="AE758" i="3"/>
  <c r="AF758" i="3" s="1"/>
  <c r="AE766" i="3"/>
  <c r="AF766" i="3" s="1"/>
  <c r="AE790" i="3"/>
  <c r="AF790" i="3" s="1"/>
  <c r="AE827" i="3"/>
  <c r="AF827" i="3" s="1"/>
  <c r="AE833" i="3"/>
  <c r="AF833" i="3" s="1"/>
  <c r="AE839" i="3"/>
  <c r="AF839" i="3" s="1"/>
  <c r="AE845" i="3"/>
  <c r="AF845" i="3" s="1"/>
  <c r="AE851" i="3"/>
  <c r="AF851" i="3" s="1"/>
  <c r="AE860" i="3"/>
  <c r="AF860" i="3" s="1"/>
  <c r="AE891" i="3"/>
  <c r="AF891" i="3" s="1"/>
  <c r="AE898" i="3"/>
  <c r="AF898" i="3" s="1"/>
  <c r="AE906" i="3"/>
  <c r="AF906" i="3" s="1"/>
  <c r="AE932" i="3"/>
  <c r="AF932" i="3" s="1"/>
  <c r="AE957" i="3"/>
  <c r="AF957" i="3" s="1"/>
  <c r="AE975" i="3"/>
  <c r="AF975" i="3" s="1"/>
  <c r="AE1288" i="3"/>
  <c r="AF1288" i="3" s="1"/>
  <c r="AE1300" i="3"/>
  <c r="AF1300" i="3" s="1"/>
  <c r="AE439" i="3"/>
  <c r="AF439" i="3" s="1"/>
  <c r="AE451" i="3"/>
  <c r="AF451" i="3" s="1"/>
  <c r="AE482" i="3"/>
  <c r="AF482" i="3" s="1"/>
  <c r="AE489" i="3"/>
  <c r="AF489" i="3" s="1"/>
  <c r="AE492" i="3"/>
  <c r="AF492" i="3" s="1"/>
  <c r="AE498" i="3"/>
  <c r="AF498" i="3" s="1"/>
  <c r="AE536" i="3"/>
  <c r="AF536" i="3" s="1"/>
  <c r="AE540" i="3"/>
  <c r="AF540" i="3" s="1"/>
  <c r="AE558" i="3"/>
  <c r="AF558" i="3" s="1"/>
  <c r="AE571" i="3"/>
  <c r="AF571" i="3" s="1"/>
  <c r="AE574" i="3"/>
  <c r="AF574" i="3" s="1"/>
  <c r="AE592" i="3"/>
  <c r="AF592" i="3" s="1"/>
  <c r="AE608" i="3"/>
  <c r="AF608" i="3" s="1"/>
  <c r="AE612" i="3"/>
  <c r="AF612" i="3" s="1"/>
  <c r="AE615" i="3"/>
  <c r="AF615" i="3" s="1"/>
  <c r="AE619" i="3"/>
  <c r="AF619" i="3" s="1"/>
  <c r="AE640" i="3"/>
  <c r="AF640" i="3" s="1"/>
  <c r="AE654" i="3"/>
  <c r="AF654" i="3" s="1"/>
  <c r="AE661" i="3"/>
  <c r="AF661" i="3" s="1"/>
  <c r="AE668" i="3"/>
  <c r="AF668" i="3" s="1"/>
  <c r="AE672" i="3"/>
  <c r="AF672" i="3" s="1"/>
  <c r="AE686" i="3"/>
  <c r="AF686" i="3" s="1"/>
  <c r="AE693" i="3"/>
  <c r="AF693" i="3" s="1"/>
  <c r="AE712" i="3"/>
  <c r="AF712" i="3" s="1"/>
  <c r="AE718" i="3"/>
  <c r="AF718" i="3" s="1"/>
  <c r="AE724" i="3"/>
  <c r="AF724" i="3" s="1"/>
  <c r="AE744" i="3"/>
  <c r="AF744" i="3" s="1"/>
  <c r="AE750" i="3"/>
  <c r="AF750" i="3" s="1"/>
  <c r="AE784" i="3"/>
  <c r="AF784" i="3" s="1"/>
  <c r="AE793" i="3"/>
  <c r="AF793" i="3" s="1"/>
  <c r="AE799" i="3"/>
  <c r="AF799" i="3" s="1"/>
  <c r="AE821" i="3"/>
  <c r="AF821" i="3" s="1"/>
  <c r="AE836" i="3"/>
  <c r="AF836" i="3" s="1"/>
  <c r="AE842" i="3"/>
  <c r="AF842" i="3" s="1"/>
  <c r="AE855" i="3"/>
  <c r="AF855" i="3" s="1"/>
  <c r="AE875" i="3"/>
  <c r="AF875" i="3" s="1"/>
  <c r="AE885" i="3"/>
  <c r="AF885" i="3" s="1"/>
  <c r="AE917" i="3"/>
  <c r="AF917" i="3" s="1"/>
  <c r="AE936" i="3"/>
  <c r="AF936" i="3" s="1"/>
  <c r="AE994" i="3"/>
  <c r="AF994" i="3" s="1"/>
  <c r="AE1031" i="3"/>
  <c r="AF1031" i="3" s="1"/>
  <c r="AE1081" i="3"/>
  <c r="AF1081" i="3" s="1"/>
  <c r="AE1170" i="3"/>
  <c r="AF1170" i="3" s="1"/>
  <c r="AE1182" i="3"/>
  <c r="AF1182" i="3" s="1"/>
  <c r="AE1324" i="3"/>
  <c r="AF1324" i="3" s="1"/>
  <c r="AE1336" i="3"/>
  <c r="AF1336" i="3" s="1"/>
  <c r="AE895" i="3"/>
  <c r="AF895" i="3" s="1"/>
  <c r="AE908" i="3"/>
  <c r="AF908" i="3" s="1"/>
  <c r="AE933" i="3"/>
  <c r="AF933" i="3" s="1"/>
  <c r="AE952" i="3"/>
  <c r="AF952" i="3" s="1"/>
  <c r="AE955" i="3"/>
  <c r="AF955" i="3" s="1"/>
  <c r="AE961" i="3"/>
  <c r="AF961" i="3" s="1"/>
  <c r="AE964" i="3"/>
  <c r="AF964" i="3" s="1"/>
  <c r="AE973" i="3"/>
  <c r="AF973" i="3" s="1"/>
  <c r="AE982" i="3"/>
  <c r="AF982" i="3" s="1"/>
  <c r="AE1003" i="3"/>
  <c r="AF1003" i="3" s="1"/>
  <c r="AE1013" i="3"/>
  <c r="AF1013" i="3" s="1"/>
  <c r="AE1025" i="3"/>
  <c r="AF1025" i="3" s="1"/>
  <c r="AE1028" i="3"/>
  <c r="AF1028" i="3" s="1"/>
  <c r="AE1034" i="3"/>
  <c r="AF1034" i="3" s="1"/>
  <c r="AE1047" i="3"/>
  <c r="AF1047" i="3" s="1"/>
  <c r="AE1053" i="3"/>
  <c r="AF1053" i="3" s="1"/>
  <c r="AE1075" i="3"/>
  <c r="AF1075" i="3" s="1"/>
  <c r="AE1100" i="3"/>
  <c r="AF1100" i="3" s="1"/>
  <c r="AE1106" i="3"/>
  <c r="AF1106" i="3" s="1"/>
  <c r="AE1109" i="3"/>
  <c r="AF1109" i="3" s="1"/>
  <c r="AE1126" i="3"/>
  <c r="AF1126" i="3" s="1"/>
  <c r="AE1138" i="3"/>
  <c r="AF1138" i="3" s="1"/>
  <c r="AE1147" i="3"/>
  <c r="AF1147" i="3" s="1"/>
  <c r="AE1153" i="3"/>
  <c r="AF1153" i="3" s="1"/>
  <c r="AE1186" i="3"/>
  <c r="AF1186" i="3" s="1"/>
  <c r="AE1210" i="3"/>
  <c r="AF1210" i="3" s="1"/>
  <c r="AE1225" i="3"/>
  <c r="AF1225" i="3" s="1"/>
  <c r="AE1237" i="3"/>
  <c r="AF1237" i="3" s="1"/>
  <c r="AE1240" i="3"/>
  <c r="AF1240" i="3" s="1"/>
  <c r="AE1246" i="3"/>
  <c r="AF1246" i="3" s="1"/>
  <c r="AE1273" i="3"/>
  <c r="AF1273" i="3" s="1"/>
  <c r="AE1282" i="3"/>
  <c r="AF1282" i="3" s="1"/>
  <c r="AE1292" i="3"/>
  <c r="AF1292" i="3" s="1"/>
  <c r="AE1295" i="3"/>
  <c r="AF1295" i="3" s="1"/>
  <c r="AE1328" i="3"/>
  <c r="AF1328" i="3" s="1"/>
  <c r="AE1348" i="3"/>
  <c r="AF1348" i="3" s="1"/>
  <c r="AE902" i="3"/>
  <c r="AF902" i="3" s="1"/>
  <c r="AE905" i="3"/>
  <c r="AF905" i="3" s="1"/>
  <c r="AE927" i="3"/>
  <c r="AF927" i="3" s="1"/>
  <c r="AE930" i="3"/>
  <c r="AF930" i="3" s="1"/>
  <c r="AE937" i="3"/>
  <c r="AF937" i="3" s="1"/>
  <c r="AE943" i="3"/>
  <c r="AF943" i="3" s="1"/>
  <c r="AE949" i="3"/>
  <c r="AF949" i="3" s="1"/>
  <c r="AE968" i="3"/>
  <c r="AF968" i="3" s="1"/>
  <c r="AE998" i="3"/>
  <c r="AF998" i="3" s="1"/>
  <c r="AE1001" i="3"/>
  <c r="AF1001" i="3" s="1"/>
  <c r="AE1010" i="3"/>
  <c r="AF1010" i="3" s="1"/>
  <c r="AE1019" i="3"/>
  <c r="AF1019" i="3" s="1"/>
  <c r="AE1041" i="3"/>
  <c r="AF1041" i="3" s="1"/>
  <c r="AE1044" i="3"/>
  <c r="AF1044" i="3" s="1"/>
  <c r="AE1050" i="3"/>
  <c r="AF1050" i="3" s="1"/>
  <c r="AE1063" i="3"/>
  <c r="AF1063" i="3" s="1"/>
  <c r="AE1066" i="3"/>
  <c r="AF1066" i="3" s="1"/>
  <c r="AE1069" i="3"/>
  <c r="AF1069" i="3" s="1"/>
  <c r="AE1079" i="3"/>
  <c r="AF1079" i="3" s="1"/>
  <c r="AE1085" i="3"/>
  <c r="AF1085" i="3" s="1"/>
  <c r="AE1112" i="3"/>
  <c r="AF1112" i="3" s="1"/>
  <c r="AE1144" i="3"/>
  <c r="AF1144" i="3" s="1"/>
  <c r="AE1150" i="3"/>
  <c r="AF1150" i="3" s="1"/>
  <c r="AE1156" i="3"/>
  <c r="AF1156" i="3" s="1"/>
  <c r="AE1159" i="3"/>
  <c r="AF1159" i="3" s="1"/>
  <c r="AE1174" i="3"/>
  <c r="AF1174" i="3" s="1"/>
  <c r="AE1180" i="3"/>
  <c r="AF1180" i="3" s="1"/>
  <c r="AE1192" i="3"/>
  <c r="AF1192" i="3" s="1"/>
  <c r="AE1198" i="3"/>
  <c r="AF1198" i="3" s="1"/>
  <c r="AE1216" i="3"/>
  <c r="AF1216" i="3" s="1"/>
  <c r="AE1222" i="3"/>
  <c r="AF1222" i="3" s="1"/>
  <c r="AE1234" i="3"/>
  <c r="AF1234" i="3" s="1"/>
  <c r="AE1252" i="3"/>
  <c r="AF1252" i="3" s="1"/>
  <c r="AE1258" i="3"/>
  <c r="AF1258" i="3" s="1"/>
  <c r="AE1280" i="3"/>
  <c r="AF1280" i="3" s="1"/>
  <c r="AE1286" i="3"/>
  <c r="AF1286" i="3" s="1"/>
  <c r="AE1289" i="3"/>
  <c r="AF1289" i="3" s="1"/>
  <c r="AE1301" i="3"/>
  <c r="AF1301" i="3" s="1"/>
  <c r="AE1304" i="3"/>
  <c r="AF1304" i="3" s="1"/>
  <c r="AE1307" i="3"/>
  <c r="AF1307" i="3" s="1"/>
  <c r="AE1334" i="3"/>
  <c r="AF1334" i="3" s="1"/>
  <c r="AE1340" i="3"/>
  <c r="AF1340" i="3" s="1"/>
  <c r="AE1343" i="3"/>
  <c r="AF1343" i="3" s="1"/>
  <c r="AE1354" i="3"/>
  <c r="AF1354" i="3" s="1"/>
  <c r="AE1364" i="3"/>
  <c r="AF1364" i="3" s="1"/>
  <c r="AE946" i="3"/>
  <c r="AF946" i="3" s="1"/>
  <c r="AE953" i="3"/>
  <c r="AF953" i="3" s="1"/>
  <c r="AE965" i="3"/>
  <c r="AF965" i="3" s="1"/>
  <c r="AE971" i="3"/>
  <c r="AF971" i="3" s="1"/>
  <c r="AE979" i="3"/>
  <c r="AF979" i="3" s="1"/>
  <c r="AE983" i="3"/>
  <c r="AF983" i="3" s="1"/>
  <c r="AE989" i="3"/>
  <c r="AF989" i="3" s="1"/>
  <c r="AE995" i="3"/>
  <c r="AF995" i="3" s="1"/>
  <c r="AE1004" i="3"/>
  <c r="AF1004" i="3" s="1"/>
  <c r="AE1007" i="3"/>
  <c r="AF1007" i="3" s="1"/>
  <c r="AE1023" i="3"/>
  <c r="AF1023" i="3" s="1"/>
  <c r="AE1026" i="3"/>
  <c r="AF1026" i="3" s="1"/>
  <c r="AE1029" i="3"/>
  <c r="AF1029" i="3" s="1"/>
  <c r="AE1035" i="3"/>
  <c r="AF1035" i="3" s="1"/>
  <c r="AE1060" i="3"/>
  <c r="AF1060" i="3" s="1"/>
  <c r="AE1076" i="3"/>
  <c r="AF1076" i="3" s="1"/>
  <c r="AE1082" i="3"/>
  <c r="AF1082" i="3" s="1"/>
  <c r="AE1094" i="3"/>
  <c r="AF1094" i="3" s="1"/>
  <c r="AE1097" i="3"/>
  <c r="AF1097" i="3" s="1"/>
  <c r="AE1110" i="3"/>
  <c r="AF1110" i="3" s="1"/>
  <c r="AE1121" i="3"/>
  <c r="AF1121" i="3" s="1"/>
  <c r="AE1124" i="3"/>
  <c r="AF1124" i="3" s="1"/>
  <c r="AE1148" i="3"/>
  <c r="AF1148" i="3" s="1"/>
  <c r="AE1162" i="3"/>
  <c r="AF1162" i="3" s="1"/>
  <c r="AE1168" i="3"/>
  <c r="AF1168" i="3" s="1"/>
  <c r="AE1171" i="3"/>
  <c r="AF1171" i="3" s="1"/>
  <c r="AE1204" i="3"/>
  <c r="AF1204" i="3" s="1"/>
  <c r="AE1226" i="3"/>
  <c r="AF1226" i="3" s="1"/>
  <c r="AE1232" i="3"/>
  <c r="AF1232" i="3" s="1"/>
  <c r="AE1256" i="3"/>
  <c r="AF1256" i="3" s="1"/>
  <c r="AE1274" i="3"/>
  <c r="AF1274" i="3" s="1"/>
  <c r="AE1283" i="3"/>
  <c r="AF1283" i="3" s="1"/>
  <c r="AE1298" i="3"/>
  <c r="AF1298" i="3" s="1"/>
  <c r="AE1310" i="3"/>
  <c r="AF1310" i="3" s="1"/>
  <c r="AE1322" i="3"/>
  <c r="AF1322" i="3" s="1"/>
  <c r="AE1346" i="3"/>
  <c r="AF1346" i="3" s="1"/>
  <c r="AE1349" i="3"/>
  <c r="AF1349" i="3" s="1"/>
  <c r="AE1358" i="3"/>
  <c r="AF1358" i="3" s="1"/>
  <c r="AE1361" i="3"/>
  <c r="AF1361" i="3" s="1"/>
  <c r="AE887" i="3"/>
  <c r="AF887" i="3" s="1"/>
  <c r="AE893" i="3"/>
  <c r="AF893" i="3" s="1"/>
  <c r="AE903" i="3"/>
  <c r="AF903" i="3" s="1"/>
  <c r="AE931" i="3"/>
  <c r="AF931" i="3" s="1"/>
  <c r="AE941" i="3"/>
  <c r="AF941" i="3" s="1"/>
  <c r="AE950" i="3"/>
  <c r="AF950" i="3" s="1"/>
  <c r="AE959" i="3"/>
  <c r="AF959" i="3" s="1"/>
  <c r="AE962" i="3"/>
  <c r="AF962" i="3" s="1"/>
  <c r="AE969" i="3"/>
  <c r="AF969" i="3" s="1"/>
  <c r="AE999" i="3"/>
  <c r="AF999" i="3" s="1"/>
  <c r="AE1014" i="3"/>
  <c r="AF1014" i="3" s="1"/>
  <c r="AE1017" i="3"/>
  <c r="AF1017" i="3" s="1"/>
  <c r="AE1020" i="3"/>
  <c r="AF1020" i="3" s="1"/>
  <c r="AE1039" i="3"/>
  <c r="AF1039" i="3" s="1"/>
  <c r="AE1042" i="3"/>
  <c r="AF1042" i="3" s="1"/>
  <c r="AE1045" i="3"/>
  <c r="AF1045" i="3" s="1"/>
  <c r="AE1051" i="3"/>
  <c r="AF1051" i="3" s="1"/>
  <c r="AE1057" i="3"/>
  <c r="AF1057" i="3" s="1"/>
  <c r="AE1067" i="3"/>
  <c r="AF1067" i="3" s="1"/>
  <c r="AE1104" i="3"/>
  <c r="AF1104" i="3" s="1"/>
  <c r="AE1107" i="3"/>
  <c r="AF1107" i="3" s="1"/>
  <c r="AE1118" i="3"/>
  <c r="AF1118" i="3" s="1"/>
  <c r="AE1127" i="3"/>
  <c r="AF1127" i="3" s="1"/>
  <c r="AE1130" i="3"/>
  <c r="AF1130" i="3" s="1"/>
  <c r="AE1136" i="3"/>
  <c r="AF1136" i="3" s="1"/>
  <c r="AE1154" i="3"/>
  <c r="AF1154" i="3" s="1"/>
  <c r="AE1187" i="3"/>
  <c r="AF1187" i="3" s="1"/>
  <c r="AE1190" i="3"/>
  <c r="AF1190" i="3" s="1"/>
  <c r="AE1196" i="3"/>
  <c r="AF1196" i="3" s="1"/>
  <c r="AE1199" i="3"/>
  <c r="AF1199" i="3" s="1"/>
  <c r="AE1211" i="3"/>
  <c r="AF1211" i="3" s="1"/>
  <c r="AE1220" i="3"/>
  <c r="AF1220" i="3" s="1"/>
  <c r="AE1223" i="3"/>
  <c r="AF1223" i="3" s="1"/>
  <c r="AE1235" i="3"/>
  <c r="AF1235" i="3" s="1"/>
  <c r="AE1238" i="3"/>
  <c r="AF1238" i="3" s="1"/>
  <c r="AE1253" i="3"/>
  <c r="AF1253" i="3" s="1"/>
  <c r="AE1262" i="3"/>
  <c r="AF1262" i="3" s="1"/>
  <c r="AE1268" i="3"/>
  <c r="AF1268" i="3" s="1"/>
  <c r="AE1290" i="3"/>
  <c r="AF1290" i="3" s="1"/>
  <c r="AE1296" i="3"/>
  <c r="AF1296" i="3" s="1"/>
  <c r="AE1302" i="3"/>
  <c r="AF1302" i="3" s="1"/>
  <c r="AE1316" i="3"/>
  <c r="AF1316" i="3" s="1"/>
  <c r="AE1344" i="3"/>
  <c r="AF1344" i="3" s="1"/>
  <c r="AE1352" i="3"/>
  <c r="AF1352" i="3" s="1"/>
  <c r="AE1355" i="3"/>
  <c r="AF1355" i="3" s="1"/>
  <c r="AE919" i="3"/>
  <c r="AF919" i="3" s="1"/>
  <c r="AE925" i="3"/>
  <c r="AF925" i="3" s="1"/>
  <c r="AE935" i="3"/>
  <c r="AF935" i="3" s="1"/>
  <c r="AE938" i="3"/>
  <c r="AF938" i="3" s="1"/>
  <c r="AE947" i="3"/>
  <c r="AF947" i="3" s="1"/>
  <c r="AE966" i="3"/>
  <c r="AF966" i="3" s="1"/>
  <c r="AE977" i="3"/>
  <c r="AF977" i="3" s="1"/>
  <c r="AE980" i="3"/>
  <c r="AF980" i="3" s="1"/>
  <c r="AE993" i="3"/>
  <c r="AF993" i="3" s="1"/>
  <c r="AE996" i="3"/>
  <c r="AF996" i="3" s="1"/>
  <c r="AE1005" i="3"/>
  <c r="AF1005" i="3" s="1"/>
  <c r="AE1011" i="3"/>
  <c r="AF1011" i="3" s="1"/>
  <c r="AE1036" i="3"/>
  <c r="AF1036" i="3" s="1"/>
  <c r="AE1061" i="3"/>
  <c r="AF1061" i="3" s="1"/>
  <c r="AE1064" i="3"/>
  <c r="AF1064" i="3" s="1"/>
  <c r="AE1073" i="3"/>
  <c r="AF1073" i="3" s="1"/>
  <c r="AE1077" i="3"/>
  <c r="AF1077" i="3" s="1"/>
  <c r="AE1083" i="3"/>
  <c r="AF1083" i="3" s="1"/>
  <c r="AE1089" i="3"/>
  <c r="AF1089" i="3" s="1"/>
  <c r="AE1092" i="3"/>
  <c r="AF1092" i="3" s="1"/>
  <c r="AE1098" i="3"/>
  <c r="AF1098" i="3" s="1"/>
  <c r="AE1116" i="3"/>
  <c r="AF1116" i="3" s="1"/>
  <c r="AE1122" i="3"/>
  <c r="AF1122" i="3" s="1"/>
  <c r="AE1142" i="3"/>
  <c r="AF1142" i="3" s="1"/>
  <c r="AE1151" i="3"/>
  <c r="AF1151" i="3" s="1"/>
  <c r="AE1157" i="3"/>
  <c r="AF1157" i="3" s="1"/>
  <c r="AE1160" i="3"/>
  <c r="AF1160" i="3" s="1"/>
  <c r="AE1163" i="3"/>
  <c r="AF1163" i="3" s="1"/>
  <c r="AE1166" i="3"/>
  <c r="AF1166" i="3" s="1"/>
  <c r="AE1169" i="3"/>
  <c r="AF1169" i="3" s="1"/>
  <c r="AE1172" i="3"/>
  <c r="AF1172" i="3" s="1"/>
  <c r="AE1175" i="3"/>
  <c r="AF1175" i="3" s="1"/>
  <c r="AE1184" i="3"/>
  <c r="AF1184" i="3" s="1"/>
  <c r="AE1202" i="3"/>
  <c r="AF1202" i="3" s="1"/>
  <c r="AE1208" i="3"/>
  <c r="AF1208" i="3" s="1"/>
  <c r="AE1214" i="3"/>
  <c r="AF1214" i="3" s="1"/>
  <c r="AE1230" i="3"/>
  <c r="AF1230" i="3" s="1"/>
  <c r="AE1244" i="3"/>
  <c r="AF1244" i="3" s="1"/>
  <c r="AE1250" i="3"/>
  <c r="AF1250" i="3" s="1"/>
  <c r="AE1259" i="3"/>
  <c r="AF1259" i="3" s="1"/>
  <c r="AE1278" i="3"/>
  <c r="AF1278" i="3" s="1"/>
  <c r="AE1284" i="3"/>
  <c r="AF1284" i="3" s="1"/>
  <c r="AE1308" i="3"/>
  <c r="AF1308" i="3" s="1"/>
  <c r="AE1311" i="3"/>
  <c r="AF1311" i="3" s="1"/>
  <c r="AE1326" i="3"/>
  <c r="AF1326" i="3" s="1"/>
  <c r="AE1338" i="3"/>
  <c r="AF1338" i="3" s="1"/>
  <c r="AE1362" i="3"/>
  <c r="AF1362" i="3" s="1"/>
  <c r="AE881" i="3"/>
  <c r="AF881" i="3" s="1"/>
  <c r="AE897" i="3"/>
  <c r="AF897" i="3" s="1"/>
  <c r="AE913" i="3"/>
  <c r="AF913" i="3" s="1"/>
  <c r="AE916" i="3"/>
  <c r="AF916" i="3" s="1"/>
  <c r="AE922" i="3"/>
  <c r="AF922" i="3" s="1"/>
  <c r="AE951" i="3"/>
  <c r="AF951" i="3" s="1"/>
  <c r="AE963" i="3"/>
  <c r="AF963" i="3" s="1"/>
  <c r="AE984" i="3"/>
  <c r="AF984" i="3" s="1"/>
  <c r="AE987" i="3"/>
  <c r="AF987" i="3" s="1"/>
  <c r="AE1015" i="3"/>
  <c r="AF1015" i="3" s="1"/>
  <c r="AE1021" i="3"/>
  <c r="AF1021" i="3" s="1"/>
  <c r="AE1027" i="3"/>
  <c r="AF1027" i="3" s="1"/>
  <c r="AE1030" i="3"/>
  <c r="AF1030" i="3" s="1"/>
  <c r="AE1033" i="3"/>
  <c r="AF1033" i="3" s="1"/>
  <c r="AE1055" i="3"/>
  <c r="AF1055" i="3" s="1"/>
  <c r="AE1058" i="3"/>
  <c r="AF1058" i="3" s="1"/>
  <c r="AE1095" i="3"/>
  <c r="AF1095" i="3" s="1"/>
  <c r="AE1105" i="3"/>
  <c r="AF1105" i="3" s="1"/>
  <c r="AE1108" i="3"/>
  <c r="AF1108" i="3" s="1"/>
  <c r="AE1119" i="3"/>
  <c r="AF1119" i="3" s="1"/>
  <c r="AE1128" i="3"/>
  <c r="AF1128" i="3" s="1"/>
  <c r="AE1131" i="3"/>
  <c r="AF1131" i="3" s="1"/>
  <c r="AE1137" i="3"/>
  <c r="AF1137" i="3" s="1"/>
  <c r="AE1178" i="3"/>
  <c r="AF1178" i="3" s="1"/>
  <c r="AE1188" i="3"/>
  <c r="AF1188" i="3" s="1"/>
  <c r="AE1200" i="3"/>
  <c r="AF1200" i="3" s="1"/>
  <c r="AE1205" i="3"/>
  <c r="AF1205" i="3" s="1"/>
  <c r="AE1212" i="3"/>
  <c r="AF1212" i="3" s="1"/>
  <c r="AE1224" i="3"/>
  <c r="AF1224" i="3" s="1"/>
  <c r="AE1227" i="3"/>
  <c r="AF1227" i="3" s="1"/>
  <c r="AE1236" i="3"/>
  <c r="AF1236" i="3" s="1"/>
  <c r="AE1254" i="3"/>
  <c r="AF1254" i="3" s="1"/>
  <c r="AE1263" i="3"/>
  <c r="AF1263" i="3" s="1"/>
  <c r="AE1266" i="3"/>
  <c r="AF1266" i="3" s="1"/>
  <c r="AE1269" i="3"/>
  <c r="AF1269" i="3" s="1"/>
  <c r="AE1272" i="3"/>
  <c r="AF1272" i="3" s="1"/>
  <c r="AE1275" i="3"/>
  <c r="AF1275" i="3" s="1"/>
  <c r="AE1299" i="3"/>
  <c r="AF1299" i="3" s="1"/>
  <c r="AE1314" i="3"/>
  <c r="AF1314" i="3" s="1"/>
  <c r="AE1317" i="3"/>
  <c r="AF1317" i="3" s="1"/>
  <c r="AE1320" i="3"/>
  <c r="AF1320" i="3" s="1"/>
  <c r="AE1323" i="3"/>
  <c r="AF1323" i="3" s="1"/>
  <c r="AE1332" i="3"/>
  <c r="AF1332" i="3" s="1"/>
  <c r="AE1350" i="3"/>
  <c r="AF1350" i="3" s="1"/>
  <c r="AE1356" i="3"/>
  <c r="AF1356" i="3" s="1"/>
  <c r="AE1012" i="3"/>
  <c r="AF1012" i="3" s="1"/>
  <c r="AE1037" i="3"/>
  <c r="AF1037" i="3" s="1"/>
  <c r="AE1043" i="3"/>
  <c r="AF1043" i="3" s="1"/>
  <c r="AE1046" i="3"/>
  <c r="AF1046" i="3" s="1"/>
  <c r="AE1049" i="3"/>
  <c r="AF1049" i="3" s="1"/>
  <c r="AE1065" i="3"/>
  <c r="AF1065" i="3" s="1"/>
  <c r="AE1071" i="3"/>
  <c r="AF1071" i="3" s="1"/>
  <c r="AE1074" i="3"/>
  <c r="AF1074" i="3" s="1"/>
  <c r="AE1087" i="3"/>
  <c r="AF1087" i="3" s="1"/>
  <c r="AE1099" i="3"/>
  <c r="AF1099" i="3" s="1"/>
  <c r="AE1102" i="3"/>
  <c r="AF1102" i="3" s="1"/>
  <c r="AE1114" i="3"/>
  <c r="AF1114" i="3" s="1"/>
  <c r="AE1134" i="3"/>
  <c r="AF1134" i="3" s="1"/>
  <c r="AE1140" i="3"/>
  <c r="AF1140" i="3" s="1"/>
  <c r="AE1146" i="3"/>
  <c r="AF1146" i="3" s="1"/>
  <c r="AE1152" i="3"/>
  <c r="AF1152" i="3" s="1"/>
  <c r="AE1158" i="3"/>
  <c r="AF1158" i="3" s="1"/>
  <c r="AE1164" i="3"/>
  <c r="AF1164" i="3" s="1"/>
  <c r="AE1185" i="3"/>
  <c r="AF1185" i="3" s="1"/>
  <c r="AE1191" i="3"/>
  <c r="AF1191" i="3" s="1"/>
  <c r="AE1194" i="3"/>
  <c r="AF1194" i="3" s="1"/>
  <c r="AE1209" i="3"/>
  <c r="AF1209" i="3" s="1"/>
  <c r="AE1215" i="3"/>
  <c r="AF1215" i="3" s="1"/>
  <c r="AE1218" i="3"/>
  <c r="AF1218" i="3" s="1"/>
  <c r="AE1221" i="3"/>
  <c r="AF1221" i="3" s="1"/>
  <c r="AE1239" i="3"/>
  <c r="AF1239" i="3" s="1"/>
  <c r="AE1242" i="3"/>
  <c r="AF1242" i="3" s="1"/>
  <c r="AE1245" i="3"/>
  <c r="AF1245" i="3" s="1"/>
  <c r="AE1248" i="3"/>
  <c r="AF1248" i="3" s="1"/>
  <c r="AE1260" i="3"/>
  <c r="AF1260" i="3" s="1"/>
  <c r="AE1279" i="3"/>
  <c r="AF1279" i="3" s="1"/>
  <c r="AE1285" i="3"/>
  <c r="AF1285" i="3" s="1"/>
  <c r="AE1291" i="3"/>
  <c r="AF1291" i="3" s="1"/>
  <c r="AE1294" i="3"/>
  <c r="AF1294" i="3" s="1"/>
  <c r="AE1306" i="3"/>
  <c r="AF1306" i="3" s="1"/>
  <c r="AE1312" i="3"/>
  <c r="AF1312" i="3" s="1"/>
  <c r="AE1327" i="3"/>
  <c r="AF1327" i="3" s="1"/>
  <c r="AE1366" i="3"/>
  <c r="AF1366" i="3" s="1"/>
  <c r="AE1363" i="3"/>
  <c r="AF1363" i="3" s="1"/>
  <c r="AF4" i="3"/>
  <c r="AH1737" i="1"/>
  <c r="AH1729" i="1"/>
  <c r="AH1721" i="1"/>
  <c r="AH1713" i="1"/>
  <c r="S1705" i="1"/>
  <c r="N1697" i="1"/>
  <c r="S1689" i="1"/>
  <c r="K1681" i="1"/>
  <c r="O1673" i="1"/>
  <c r="R1665" i="1"/>
  <c r="O1657" i="1"/>
  <c r="R1649" i="1"/>
  <c r="O1641" i="1"/>
  <c r="R1633" i="1"/>
  <c r="R1625" i="1"/>
  <c r="R1617" i="1"/>
  <c r="AH1739" i="1"/>
  <c r="AH1731" i="1"/>
  <c r="AH1738" i="1"/>
  <c r="AH1730" i="1"/>
  <c r="AH1722" i="1"/>
  <c r="AH1714" i="1"/>
  <c r="T1706" i="1"/>
  <c r="O1698" i="1"/>
  <c r="V1690" i="1"/>
  <c r="O1682" i="1"/>
  <c r="S1674" i="1"/>
  <c r="R1609" i="1"/>
  <c r="R1601" i="1"/>
  <c r="R1593" i="1"/>
  <c r="R1585" i="1"/>
  <c r="R1577" i="1"/>
  <c r="R1569" i="1"/>
  <c r="R1561" i="1"/>
  <c r="R1553" i="1"/>
  <c r="R1545" i="1"/>
  <c r="R1537" i="1"/>
  <c r="R1529" i="1"/>
  <c r="R1521" i="1"/>
  <c r="R1513" i="1"/>
  <c r="R1505" i="1"/>
  <c r="R1497" i="1"/>
  <c r="R1489" i="1"/>
  <c r="R1481" i="1"/>
  <c r="R1473" i="1"/>
  <c r="R1465" i="1"/>
  <c r="R1457" i="1"/>
  <c r="R1449" i="1"/>
  <c r="R1441" i="1"/>
  <c r="R1433" i="1"/>
  <c r="R1425" i="1"/>
  <c r="R1417" i="1"/>
  <c r="R1409" i="1"/>
  <c r="R1401" i="1"/>
  <c r="R1393" i="1"/>
  <c r="R1385" i="1"/>
  <c r="R1377" i="1"/>
  <c r="R1369" i="1"/>
  <c r="R1361" i="1"/>
  <c r="R1353" i="1"/>
  <c r="O1345" i="1"/>
  <c r="Q1337" i="1"/>
  <c r="O1329" i="1"/>
  <c r="K1321" i="1"/>
  <c r="Q1313" i="1"/>
  <c r="Q1305" i="1"/>
  <c r="Q1297" i="1"/>
  <c r="Q1289" i="1"/>
  <c r="Q1281" i="1"/>
  <c r="O1273" i="1"/>
  <c r="O1257" i="1"/>
  <c r="O1241" i="1"/>
  <c r="Q1169" i="1"/>
  <c r="Q1105" i="1"/>
  <c r="Q1089" i="1"/>
  <c r="Q1041" i="1"/>
  <c r="Q977" i="1"/>
  <c r="AH1736" i="1"/>
  <c r="AH1728" i="1"/>
  <c r="AH1720" i="1"/>
  <c r="AH1712" i="1"/>
  <c r="R1704" i="1"/>
  <c r="K1696" i="1"/>
  <c r="R1688" i="1"/>
  <c r="V1680" i="1"/>
  <c r="S1672" i="1"/>
  <c r="K1664" i="1"/>
  <c r="S1656" i="1"/>
  <c r="K1648" i="1"/>
  <c r="S1640" i="1"/>
  <c r="K1632" i="1"/>
  <c r="L1624" i="1"/>
  <c r="L1616" i="1"/>
  <c r="L1608" i="1"/>
  <c r="L1600" i="1"/>
  <c r="L1592" i="1"/>
  <c r="L1584" i="1"/>
  <c r="L1576" i="1"/>
  <c r="L1568" i="1"/>
  <c r="L1560" i="1"/>
  <c r="L1552" i="1"/>
  <c r="L1544" i="1"/>
  <c r="L1536" i="1"/>
  <c r="L1528" i="1"/>
  <c r="L1520" i="1"/>
  <c r="L1512" i="1"/>
  <c r="L1504" i="1"/>
  <c r="L1496" i="1"/>
  <c r="L1488" i="1"/>
  <c r="L1480" i="1"/>
  <c r="L1472" i="1"/>
  <c r="L1464" i="1"/>
  <c r="L1456" i="1"/>
  <c r="L1448" i="1"/>
  <c r="L1440" i="1"/>
  <c r="L1432" i="1"/>
  <c r="L1424" i="1"/>
  <c r="L1416" i="1"/>
  <c r="L1408" i="1"/>
  <c r="L1400" i="1"/>
  <c r="L1392" i="1"/>
  <c r="L1384" i="1"/>
  <c r="L1376" i="1"/>
  <c r="L1368" i="1"/>
  <c r="L1360" i="1"/>
  <c r="L1352" i="1"/>
  <c r="O1344" i="1"/>
  <c r="O1336" i="1"/>
  <c r="O1328" i="1"/>
  <c r="K1320" i="1"/>
  <c r="M1312" i="1"/>
  <c r="M1304" i="1"/>
  <c r="M1296" i="1"/>
  <c r="M1288" i="1"/>
  <c r="M1280" i="1"/>
  <c r="K1272" i="1"/>
  <c r="M1264" i="1"/>
  <c r="K1256" i="1"/>
  <c r="M1248" i="1"/>
  <c r="K1240" i="1"/>
  <c r="K1232" i="1"/>
  <c r="K1224" i="1"/>
  <c r="K1216" i="1"/>
  <c r="K1208" i="1"/>
  <c r="K1200" i="1"/>
  <c r="K1192" i="1"/>
  <c r="K1184" i="1"/>
  <c r="S1160" i="1"/>
  <c r="S1112" i="1"/>
  <c r="S1096" i="1"/>
  <c r="S1048" i="1"/>
  <c r="Q1032" i="1"/>
  <c r="O1024" i="1"/>
  <c r="P1016" i="1"/>
  <c r="U928" i="1"/>
  <c r="N872" i="1"/>
  <c r="T704" i="1"/>
  <c r="AH1735" i="1"/>
  <c r="AH1727" i="1"/>
  <c r="AH1719" i="1"/>
  <c r="AH1711" i="1"/>
  <c r="Q3" i="1"/>
  <c r="AH1741" i="1"/>
  <c r="AH1734" i="1"/>
  <c r="AH1726" i="1"/>
  <c r="AH1718" i="1"/>
  <c r="AH1710" i="1"/>
  <c r="L1702" i="1"/>
  <c r="S1694" i="1"/>
  <c r="L1686" i="1"/>
  <c r="K1678" i="1"/>
  <c r="N1670" i="1"/>
  <c r="N1654" i="1"/>
  <c r="N1638" i="1"/>
  <c r="L1622" i="1"/>
  <c r="L1614" i="1"/>
  <c r="L1606" i="1"/>
  <c r="L1598" i="1"/>
  <c r="L1590" i="1"/>
  <c r="L1582" i="1"/>
  <c r="L1574" i="1"/>
  <c r="L1566" i="1"/>
  <c r="L1558" i="1"/>
  <c r="L1550" i="1"/>
  <c r="L1542" i="1"/>
  <c r="L1534" i="1"/>
  <c r="L1526" i="1"/>
  <c r="L1518" i="1"/>
  <c r="L1510" i="1"/>
  <c r="L1502" i="1"/>
  <c r="L1494" i="1"/>
  <c r="L1486" i="1"/>
  <c r="L1478" i="1"/>
  <c r="L1470" i="1"/>
  <c r="L1462" i="1"/>
  <c r="L1454" i="1"/>
  <c r="L1446" i="1"/>
  <c r="L1438" i="1"/>
  <c r="L1430" i="1"/>
  <c r="L1422" i="1"/>
  <c r="L1414" i="1"/>
  <c r="L1406" i="1"/>
  <c r="L1398" i="1"/>
  <c r="L1390" i="1"/>
  <c r="L1382" i="1"/>
  <c r="L1374" i="1"/>
  <c r="L1366" i="1"/>
  <c r="L1358" i="1"/>
  <c r="U1310" i="1"/>
  <c r="U1294" i="1"/>
  <c r="U1278" i="1"/>
  <c r="S1174" i="1"/>
  <c r="K1118" i="1"/>
  <c r="AH1733" i="1"/>
  <c r="AH1725" i="1"/>
  <c r="AH1717" i="1"/>
  <c r="AH1709" i="1"/>
  <c r="K1701" i="1"/>
  <c r="P1693" i="1"/>
  <c r="K1685" i="1"/>
  <c r="S1677" i="1"/>
  <c r="O1661" i="1"/>
  <c r="O1645" i="1"/>
  <c r="O1629" i="1"/>
  <c r="R1621" i="1"/>
  <c r="R1613" i="1"/>
  <c r="R1605" i="1"/>
  <c r="R1597" i="1"/>
  <c r="R1589" i="1"/>
  <c r="R1581" i="1"/>
  <c r="R1573" i="1"/>
  <c r="R1565" i="1"/>
  <c r="R1557" i="1"/>
  <c r="R1549" i="1"/>
  <c r="R1541" i="1"/>
  <c r="R1533" i="1"/>
  <c r="R1525" i="1"/>
  <c r="R1517" i="1"/>
  <c r="R1509" i="1"/>
  <c r="R1501" i="1"/>
  <c r="R1493" i="1"/>
  <c r="R1485" i="1"/>
  <c r="R1477" i="1"/>
  <c r="R1469" i="1"/>
  <c r="R1461" i="1"/>
  <c r="R1453" i="1"/>
  <c r="R1445" i="1"/>
  <c r="R1437" i="1"/>
  <c r="R1429" i="1"/>
  <c r="R1421" i="1"/>
  <c r="R1413" i="1"/>
  <c r="R1405" i="1"/>
  <c r="R1397" i="1"/>
  <c r="R1389" i="1"/>
  <c r="R1381" i="1"/>
  <c r="R1373" i="1"/>
  <c r="R1365" i="1"/>
  <c r="R1357" i="1"/>
  <c r="O1349" i="1"/>
  <c r="O1325" i="1"/>
  <c r="Q1237" i="1"/>
  <c r="O1229" i="1"/>
  <c r="O1197" i="1"/>
  <c r="N1141" i="1"/>
  <c r="N1061" i="1"/>
  <c r="R893" i="1"/>
  <c r="AH1740" i="1"/>
  <c r="AH1732" i="1"/>
  <c r="AH1724" i="1"/>
  <c r="AH1716" i="1"/>
  <c r="T1708" i="1"/>
  <c r="T1700" i="1"/>
  <c r="N1692" i="1"/>
  <c r="T1684" i="1"/>
  <c r="N1676" i="1"/>
  <c r="L1668" i="1"/>
  <c r="V1660" i="1"/>
  <c r="L1652" i="1"/>
  <c r="V1644" i="1"/>
  <c r="L1636" i="1"/>
  <c r="V1628" i="1"/>
  <c r="K1340" i="1"/>
  <c r="K1332" i="1"/>
  <c r="M1324" i="1"/>
  <c r="M1316" i="1"/>
  <c r="M1300" i="1"/>
  <c r="M1284" i="1"/>
  <c r="K1252" i="1"/>
  <c r="T1244" i="1"/>
  <c r="K1236" i="1"/>
  <c r="M1084" i="1"/>
  <c r="M988" i="1"/>
  <c r="AH1723" i="1"/>
  <c r="AH1715" i="1"/>
  <c r="U1707" i="1"/>
  <c r="R1699" i="1"/>
  <c r="K1691" i="1"/>
  <c r="R1683" i="1"/>
  <c r="K1675" i="1"/>
  <c r="O1659" i="1"/>
  <c r="O1643" i="1"/>
  <c r="P1627" i="1"/>
  <c r="P1619" i="1"/>
  <c r="P1611" i="1"/>
  <c r="P1603" i="1"/>
  <c r="P1595" i="1"/>
  <c r="P1587" i="1"/>
  <c r="P1579" i="1"/>
  <c r="P1571" i="1"/>
  <c r="P1563" i="1"/>
  <c r="P1555" i="1"/>
  <c r="P1547" i="1"/>
  <c r="P1539" i="1"/>
  <c r="P1531" i="1"/>
  <c r="P1523" i="1"/>
  <c r="P1515" i="1"/>
  <c r="P1507" i="1"/>
  <c r="P1499" i="1"/>
  <c r="P1491" i="1"/>
  <c r="P1483" i="1"/>
  <c r="P1475" i="1"/>
  <c r="P1467" i="1"/>
  <c r="P1459" i="1"/>
  <c r="P1451" i="1"/>
  <c r="P1443" i="1"/>
  <c r="P1435" i="1"/>
  <c r="P1427" i="1"/>
  <c r="P1419" i="1"/>
  <c r="P1411" i="1"/>
  <c r="P1403" i="1"/>
  <c r="P1395" i="1"/>
  <c r="P1387" i="1"/>
  <c r="P1379" i="1"/>
  <c r="P1371" i="1"/>
  <c r="P1363" i="1"/>
  <c r="P1355" i="1"/>
  <c r="K1339" i="1"/>
  <c r="O1331" i="1"/>
  <c r="P1323" i="1"/>
  <c r="O1315" i="1"/>
  <c r="O1299" i="1"/>
  <c r="O1283" i="1"/>
  <c r="P1243" i="1"/>
  <c r="O1227" i="1"/>
  <c r="O1203" i="1"/>
  <c r="O1195" i="1"/>
  <c r="O1139" i="1"/>
  <c r="K1666" i="1"/>
  <c r="T1658" i="1"/>
  <c r="K1650" i="1"/>
  <c r="T1642" i="1"/>
  <c r="K1634" i="1"/>
  <c r="L1626" i="1"/>
  <c r="L1618" i="1"/>
  <c r="L1610" i="1"/>
  <c r="L1602" i="1"/>
  <c r="L1594" i="1"/>
  <c r="L1586" i="1"/>
  <c r="L1578" i="1"/>
  <c r="L1570" i="1"/>
  <c r="L1562" i="1"/>
  <c r="L1554" i="1"/>
  <c r="L1546" i="1"/>
  <c r="L1538" i="1"/>
  <c r="L1530" i="1"/>
  <c r="L1522" i="1"/>
  <c r="L1514" i="1"/>
  <c r="L1506" i="1"/>
  <c r="L1498" i="1"/>
  <c r="L1490" i="1"/>
  <c r="L1482" i="1"/>
  <c r="L1474" i="1"/>
  <c r="L1466" i="1"/>
  <c r="L1458" i="1"/>
  <c r="L1450" i="1"/>
  <c r="L1442" i="1"/>
  <c r="L1434" i="1"/>
  <c r="L1426" i="1"/>
  <c r="L1418" i="1"/>
  <c r="L1410" i="1"/>
  <c r="L1402" i="1"/>
  <c r="L1394" i="1"/>
  <c r="L1386" i="1"/>
  <c r="L1378" i="1"/>
  <c r="L1370" i="1"/>
  <c r="L1362" i="1"/>
  <c r="L1354" i="1"/>
  <c r="L1346" i="1"/>
  <c r="M1338" i="1"/>
  <c r="K1314" i="1"/>
  <c r="K1298" i="1"/>
  <c r="K1282" i="1"/>
  <c r="L1266" i="1"/>
  <c r="U1258" i="1"/>
  <c r="L1250" i="1"/>
  <c r="U1242" i="1"/>
  <c r="L1234" i="1"/>
  <c r="S1226" i="1"/>
  <c r="S1218" i="1"/>
  <c r="S1202" i="1"/>
  <c r="S1194" i="1"/>
  <c r="S1186" i="1"/>
  <c r="R1162" i="1"/>
  <c r="R1146" i="1"/>
  <c r="R1082" i="1"/>
  <c r="P1026" i="1"/>
  <c r="N1018" i="1"/>
  <c r="K1721" i="1"/>
  <c r="K1713" i="1"/>
  <c r="O1705" i="1"/>
  <c r="K1674" i="1"/>
  <c r="K1658" i="1"/>
  <c r="K1642" i="1"/>
  <c r="T1624" i="1"/>
  <c r="T1560" i="1"/>
  <c r="T1496" i="1"/>
  <c r="T1432" i="1"/>
  <c r="T1368" i="1"/>
  <c r="U1346" i="1"/>
  <c r="O1720" i="1"/>
  <c r="O1712" i="1"/>
  <c r="N1704" i="1"/>
  <c r="R1693" i="1"/>
  <c r="K1684" i="1"/>
  <c r="L1672" i="1"/>
  <c r="L1656" i="1"/>
  <c r="L1640" i="1"/>
  <c r="T1600" i="1"/>
  <c r="T1536" i="1"/>
  <c r="T1472" i="1"/>
  <c r="T1408" i="1"/>
  <c r="O1718" i="1"/>
  <c r="O1710" i="1"/>
  <c r="R1692" i="1"/>
  <c r="V1682" i="1"/>
  <c r="T1576" i="1"/>
  <c r="T1512" i="1"/>
  <c r="T1448" i="1"/>
  <c r="T1384" i="1"/>
  <c r="O1724" i="1"/>
  <c r="O1716" i="1"/>
  <c r="S1709" i="1"/>
  <c r="P1691" i="1"/>
  <c r="V1681" i="1"/>
  <c r="S1668" i="1"/>
  <c r="S1652" i="1"/>
  <c r="S1636" i="1"/>
  <c r="T1616" i="1"/>
  <c r="T1552" i="1"/>
  <c r="T1488" i="1"/>
  <c r="T1424" i="1"/>
  <c r="T1360" i="1"/>
  <c r="U1332" i="1"/>
  <c r="S1723" i="1"/>
  <c r="S1715" i="1"/>
  <c r="K1709" i="1"/>
  <c r="K1700" i="1"/>
  <c r="O1690" i="1"/>
  <c r="S1680" i="1"/>
  <c r="T1666" i="1"/>
  <c r="T1650" i="1"/>
  <c r="T1634" i="1"/>
  <c r="T1592" i="1"/>
  <c r="T1528" i="1"/>
  <c r="T1464" i="1"/>
  <c r="T1400" i="1"/>
  <c r="K1723" i="1"/>
  <c r="K1715" i="1"/>
  <c r="L1708" i="1"/>
  <c r="V1698" i="1"/>
  <c r="O1689" i="1"/>
  <c r="V1664" i="1"/>
  <c r="V1648" i="1"/>
  <c r="V1632" i="1"/>
  <c r="T1568" i="1"/>
  <c r="T1504" i="1"/>
  <c r="T1440" i="1"/>
  <c r="T1376" i="1"/>
  <c r="O1722" i="1"/>
  <c r="O1714" i="1"/>
  <c r="N1707" i="1"/>
  <c r="V1697" i="1"/>
  <c r="N1688" i="1"/>
  <c r="S1676" i="1"/>
  <c r="P1661" i="1"/>
  <c r="P1645" i="1"/>
  <c r="P1629" i="1"/>
  <c r="T1608" i="1"/>
  <c r="T1544" i="1"/>
  <c r="T1480" i="1"/>
  <c r="T1416" i="1"/>
  <c r="T1352" i="1"/>
  <c r="S1721" i="1"/>
  <c r="S1713" i="1"/>
  <c r="O1706" i="1"/>
  <c r="T1696" i="1"/>
  <c r="O1675" i="1"/>
  <c r="R1659" i="1"/>
  <c r="R1643" i="1"/>
  <c r="T1584" i="1"/>
  <c r="T1520" i="1"/>
  <c r="T1456" i="1"/>
  <c r="T1392" i="1"/>
  <c r="U1349" i="1"/>
  <c r="AH1703" i="1"/>
  <c r="L1703" i="1"/>
  <c r="T1703" i="1"/>
  <c r="M1703" i="1"/>
  <c r="U1703" i="1"/>
  <c r="Q1703" i="1"/>
  <c r="AH1695" i="1"/>
  <c r="L1695" i="1"/>
  <c r="T1695" i="1"/>
  <c r="M1695" i="1"/>
  <c r="U1695" i="1"/>
  <c r="Q1695" i="1"/>
  <c r="AH1687" i="1"/>
  <c r="L1687" i="1"/>
  <c r="T1687" i="1"/>
  <c r="M1687" i="1"/>
  <c r="U1687" i="1"/>
  <c r="Q1687" i="1"/>
  <c r="AH1679" i="1"/>
  <c r="L1679" i="1"/>
  <c r="T1679" i="1"/>
  <c r="M1679" i="1"/>
  <c r="U1679" i="1"/>
  <c r="N1679" i="1"/>
  <c r="V1679" i="1"/>
  <c r="Q1679" i="1"/>
  <c r="AH1671" i="1"/>
  <c r="K1671" i="1"/>
  <c r="S1671" i="1"/>
  <c r="L1671" i="1"/>
  <c r="T1671" i="1"/>
  <c r="M1671" i="1"/>
  <c r="U1671" i="1"/>
  <c r="N1671" i="1"/>
  <c r="V1671" i="1"/>
  <c r="Q1671" i="1"/>
  <c r="AH1663" i="1"/>
  <c r="K1663" i="1"/>
  <c r="S1663" i="1"/>
  <c r="L1663" i="1"/>
  <c r="T1663" i="1"/>
  <c r="M1663" i="1"/>
  <c r="U1663" i="1"/>
  <c r="N1663" i="1"/>
  <c r="V1663" i="1"/>
  <c r="Q1663" i="1"/>
  <c r="AH1655" i="1"/>
  <c r="K1655" i="1"/>
  <c r="S1655" i="1"/>
  <c r="L1655" i="1"/>
  <c r="T1655" i="1"/>
  <c r="M1655" i="1"/>
  <c r="U1655" i="1"/>
  <c r="N1655" i="1"/>
  <c r="V1655" i="1"/>
  <c r="Q1655" i="1"/>
  <c r="AH1647" i="1"/>
  <c r="K1647" i="1"/>
  <c r="S1647" i="1"/>
  <c r="L1647" i="1"/>
  <c r="T1647" i="1"/>
  <c r="M1647" i="1"/>
  <c r="U1647" i="1"/>
  <c r="N1647" i="1"/>
  <c r="V1647" i="1"/>
  <c r="Q1647" i="1"/>
  <c r="AH1639" i="1"/>
  <c r="K1639" i="1"/>
  <c r="S1639" i="1"/>
  <c r="L1639" i="1"/>
  <c r="T1639" i="1"/>
  <c r="M1639" i="1"/>
  <c r="U1639" i="1"/>
  <c r="N1639" i="1"/>
  <c r="V1639" i="1"/>
  <c r="Q1639" i="1"/>
  <c r="AH1631" i="1"/>
  <c r="K1631" i="1"/>
  <c r="S1631" i="1"/>
  <c r="L1631" i="1"/>
  <c r="T1631" i="1"/>
  <c r="M1631" i="1"/>
  <c r="U1631" i="1"/>
  <c r="N1631" i="1"/>
  <c r="V1631" i="1"/>
  <c r="Q1631" i="1"/>
  <c r="AH1623" i="1"/>
  <c r="K1623" i="1"/>
  <c r="S1623" i="1"/>
  <c r="L1623" i="1"/>
  <c r="T1623" i="1"/>
  <c r="M1623" i="1"/>
  <c r="U1623" i="1"/>
  <c r="N1623" i="1"/>
  <c r="V1623" i="1"/>
  <c r="O1623" i="1"/>
  <c r="Q1623" i="1"/>
  <c r="AH1615" i="1"/>
  <c r="K1615" i="1"/>
  <c r="S1615" i="1"/>
  <c r="L1615" i="1"/>
  <c r="T1615" i="1"/>
  <c r="M1615" i="1"/>
  <c r="U1615" i="1"/>
  <c r="N1615" i="1"/>
  <c r="V1615" i="1"/>
  <c r="O1615" i="1"/>
  <c r="Q1615" i="1"/>
  <c r="AH1607" i="1"/>
  <c r="K1607" i="1"/>
  <c r="S1607" i="1"/>
  <c r="L1607" i="1"/>
  <c r="T1607" i="1"/>
  <c r="M1607" i="1"/>
  <c r="U1607" i="1"/>
  <c r="N1607" i="1"/>
  <c r="V1607" i="1"/>
  <c r="O1607" i="1"/>
  <c r="Q1607" i="1"/>
  <c r="AH1599" i="1"/>
  <c r="K1599" i="1"/>
  <c r="S1599" i="1"/>
  <c r="L1599" i="1"/>
  <c r="T1599" i="1"/>
  <c r="M1599" i="1"/>
  <c r="U1599" i="1"/>
  <c r="N1599" i="1"/>
  <c r="V1599" i="1"/>
  <c r="O1599" i="1"/>
  <c r="Q1599" i="1"/>
  <c r="AH1591" i="1"/>
  <c r="K1591" i="1"/>
  <c r="S1591" i="1"/>
  <c r="L1591" i="1"/>
  <c r="T1591" i="1"/>
  <c r="M1591" i="1"/>
  <c r="U1591" i="1"/>
  <c r="N1591" i="1"/>
  <c r="V1591" i="1"/>
  <c r="O1591" i="1"/>
  <c r="Q1591" i="1"/>
  <c r="AH1583" i="1"/>
  <c r="K1583" i="1"/>
  <c r="S1583" i="1"/>
  <c r="L1583" i="1"/>
  <c r="T1583" i="1"/>
  <c r="M1583" i="1"/>
  <c r="U1583" i="1"/>
  <c r="N1583" i="1"/>
  <c r="V1583" i="1"/>
  <c r="O1583" i="1"/>
  <c r="Q1583" i="1"/>
  <c r="AH1575" i="1"/>
  <c r="K1575" i="1"/>
  <c r="S1575" i="1"/>
  <c r="L1575" i="1"/>
  <c r="T1575" i="1"/>
  <c r="M1575" i="1"/>
  <c r="U1575" i="1"/>
  <c r="N1575" i="1"/>
  <c r="V1575" i="1"/>
  <c r="O1575" i="1"/>
  <c r="Q1575" i="1"/>
  <c r="AH1567" i="1"/>
  <c r="K1567" i="1"/>
  <c r="S1567" i="1"/>
  <c r="L1567" i="1"/>
  <c r="T1567" i="1"/>
  <c r="M1567" i="1"/>
  <c r="U1567" i="1"/>
  <c r="N1567" i="1"/>
  <c r="V1567" i="1"/>
  <c r="O1567" i="1"/>
  <c r="Q1567" i="1"/>
  <c r="AH1559" i="1"/>
  <c r="K1559" i="1"/>
  <c r="S1559" i="1"/>
  <c r="L1559" i="1"/>
  <c r="T1559" i="1"/>
  <c r="M1559" i="1"/>
  <c r="U1559" i="1"/>
  <c r="N1559" i="1"/>
  <c r="V1559" i="1"/>
  <c r="O1559" i="1"/>
  <c r="Q1559" i="1"/>
  <c r="AH1551" i="1"/>
  <c r="K1551" i="1"/>
  <c r="S1551" i="1"/>
  <c r="L1551" i="1"/>
  <c r="T1551" i="1"/>
  <c r="M1551" i="1"/>
  <c r="U1551" i="1"/>
  <c r="N1551" i="1"/>
  <c r="V1551" i="1"/>
  <c r="O1551" i="1"/>
  <c r="Q1551" i="1"/>
  <c r="AH1543" i="1"/>
  <c r="K1543" i="1"/>
  <c r="S1543" i="1"/>
  <c r="L1543" i="1"/>
  <c r="T1543" i="1"/>
  <c r="M1543" i="1"/>
  <c r="U1543" i="1"/>
  <c r="N1543" i="1"/>
  <c r="V1543" i="1"/>
  <c r="O1543" i="1"/>
  <c r="Q1543" i="1"/>
  <c r="AH1535" i="1"/>
  <c r="K1535" i="1"/>
  <c r="S1535" i="1"/>
  <c r="L1535" i="1"/>
  <c r="T1535" i="1"/>
  <c r="M1535" i="1"/>
  <c r="U1535" i="1"/>
  <c r="N1535" i="1"/>
  <c r="V1535" i="1"/>
  <c r="O1535" i="1"/>
  <c r="Q1535" i="1"/>
  <c r="AH1527" i="1"/>
  <c r="K1527" i="1"/>
  <c r="S1527" i="1"/>
  <c r="L1527" i="1"/>
  <c r="T1527" i="1"/>
  <c r="M1527" i="1"/>
  <c r="U1527" i="1"/>
  <c r="N1527" i="1"/>
  <c r="V1527" i="1"/>
  <c r="O1527" i="1"/>
  <c r="Q1527" i="1"/>
  <c r="AH1519" i="1"/>
  <c r="K1519" i="1"/>
  <c r="S1519" i="1"/>
  <c r="L1519" i="1"/>
  <c r="T1519" i="1"/>
  <c r="M1519" i="1"/>
  <c r="U1519" i="1"/>
  <c r="N1519" i="1"/>
  <c r="V1519" i="1"/>
  <c r="O1519" i="1"/>
  <c r="Q1519" i="1"/>
  <c r="AH1511" i="1"/>
  <c r="K1511" i="1"/>
  <c r="S1511" i="1"/>
  <c r="L1511" i="1"/>
  <c r="T1511" i="1"/>
  <c r="M1511" i="1"/>
  <c r="U1511" i="1"/>
  <c r="N1511" i="1"/>
  <c r="V1511" i="1"/>
  <c r="O1511" i="1"/>
  <c r="Q1511" i="1"/>
  <c r="AH1503" i="1"/>
  <c r="K1503" i="1"/>
  <c r="S1503" i="1"/>
  <c r="L1503" i="1"/>
  <c r="T1503" i="1"/>
  <c r="M1503" i="1"/>
  <c r="U1503" i="1"/>
  <c r="N1503" i="1"/>
  <c r="V1503" i="1"/>
  <c r="O1503" i="1"/>
  <c r="Q1503" i="1"/>
  <c r="AH1495" i="1"/>
  <c r="K1495" i="1"/>
  <c r="S1495" i="1"/>
  <c r="L1495" i="1"/>
  <c r="T1495" i="1"/>
  <c r="M1495" i="1"/>
  <c r="U1495" i="1"/>
  <c r="N1495" i="1"/>
  <c r="V1495" i="1"/>
  <c r="O1495" i="1"/>
  <c r="Q1495" i="1"/>
  <c r="AH1487" i="1"/>
  <c r="K1487" i="1"/>
  <c r="S1487" i="1"/>
  <c r="L1487" i="1"/>
  <c r="T1487" i="1"/>
  <c r="M1487" i="1"/>
  <c r="U1487" i="1"/>
  <c r="N1487" i="1"/>
  <c r="V1487" i="1"/>
  <c r="O1487" i="1"/>
  <c r="Q1487" i="1"/>
  <c r="AH1479" i="1"/>
  <c r="K1479" i="1"/>
  <c r="S1479" i="1"/>
  <c r="L1479" i="1"/>
  <c r="T1479" i="1"/>
  <c r="M1479" i="1"/>
  <c r="U1479" i="1"/>
  <c r="N1479" i="1"/>
  <c r="V1479" i="1"/>
  <c r="O1479" i="1"/>
  <c r="Q1479" i="1"/>
  <c r="AH1471" i="1"/>
  <c r="K1471" i="1"/>
  <c r="S1471" i="1"/>
  <c r="L1471" i="1"/>
  <c r="T1471" i="1"/>
  <c r="M1471" i="1"/>
  <c r="U1471" i="1"/>
  <c r="N1471" i="1"/>
  <c r="V1471" i="1"/>
  <c r="O1471" i="1"/>
  <c r="Q1471" i="1"/>
  <c r="AH1463" i="1"/>
  <c r="K1463" i="1"/>
  <c r="S1463" i="1"/>
  <c r="L1463" i="1"/>
  <c r="T1463" i="1"/>
  <c r="M1463" i="1"/>
  <c r="U1463" i="1"/>
  <c r="N1463" i="1"/>
  <c r="V1463" i="1"/>
  <c r="O1463" i="1"/>
  <c r="Q1463" i="1"/>
  <c r="AH1455" i="1"/>
  <c r="K1455" i="1"/>
  <c r="S1455" i="1"/>
  <c r="L1455" i="1"/>
  <c r="T1455" i="1"/>
  <c r="M1455" i="1"/>
  <c r="U1455" i="1"/>
  <c r="N1455" i="1"/>
  <c r="V1455" i="1"/>
  <c r="O1455" i="1"/>
  <c r="Q1455" i="1"/>
  <c r="AH1447" i="1"/>
  <c r="K1447" i="1"/>
  <c r="S1447" i="1"/>
  <c r="L1447" i="1"/>
  <c r="T1447" i="1"/>
  <c r="M1447" i="1"/>
  <c r="U1447" i="1"/>
  <c r="N1447" i="1"/>
  <c r="V1447" i="1"/>
  <c r="O1447" i="1"/>
  <c r="Q1447" i="1"/>
  <c r="AH1439" i="1"/>
  <c r="K1439" i="1"/>
  <c r="S1439" i="1"/>
  <c r="L1439" i="1"/>
  <c r="T1439" i="1"/>
  <c r="M1439" i="1"/>
  <c r="U1439" i="1"/>
  <c r="N1439" i="1"/>
  <c r="V1439" i="1"/>
  <c r="O1439" i="1"/>
  <c r="Q1439" i="1"/>
  <c r="AH1431" i="1"/>
  <c r="K1431" i="1"/>
  <c r="S1431" i="1"/>
  <c r="L1431" i="1"/>
  <c r="T1431" i="1"/>
  <c r="M1431" i="1"/>
  <c r="U1431" i="1"/>
  <c r="N1431" i="1"/>
  <c r="V1431" i="1"/>
  <c r="O1431" i="1"/>
  <c r="Q1431" i="1"/>
  <c r="AH1423" i="1"/>
  <c r="K1423" i="1"/>
  <c r="S1423" i="1"/>
  <c r="L1423" i="1"/>
  <c r="T1423" i="1"/>
  <c r="M1423" i="1"/>
  <c r="U1423" i="1"/>
  <c r="N1423" i="1"/>
  <c r="V1423" i="1"/>
  <c r="O1423" i="1"/>
  <c r="Q1423" i="1"/>
  <c r="AH1415" i="1"/>
  <c r="K1415" i="1"/>
  <c r="S1415" i="1"/>
  <c r="L1415" i="1"/>
  <c r="T1415" i="1"/>
  <c r="M1415" i="1"/>
  <c r="U1415" i="1"/>
  <c r="N1415" i="1"/>
  <c r="V1415" i="1"/>
  <c r="O1415" i="1"/>
  <c r="Q1415" i="1"/>
  <c r="AH1407" i="1"/>
  <c r="K1407" i="1"/>
  <c r="S1407" i="1"/>
  <c r="L1407" i="1"/>
  <c r="T1407" i="1"/>
  <c r="M1407" i="1"/>
  <c r="U1407" i="1"/>
  <c r="N1407" i="1"/>
  <c r="V1407" i="1"/>
  <c r="O1407" i="1"/>
  <c r="Q1407" i="1"/>
  <c r="AH1399" i="1"/>
  <c r="K1399" i="1"/>
  <c r="S1399" i="1"/>
  <c r="L1399" i="1"/>
  <c r="T1399" i="1"/>
  <c r="M1399" i="1"/>
  <c r="U1399" i="1"/>
  <c r="N1399" i="1"/>
  <c r="V1399" i="1"/>
  <c r="O1399" i="1"/>
  <c r="Q1399" i="1"/>
  <c r="AH1391" i="1"/>
  <c r="K1391" i="1"/>
  <c r="S1391" i="1"/>
  <c r="L1391" i="1"/>
  <c r="T1391" i="1"/>
  <c r="M1391" i="1"/>
  <c r="U1391" i="1"/>
  <c r="N1391" i="1"/>
  <c r="V1391" i="1"/>
  <c r="O1391" i="1"/>
  <c r="Q1391" i="1"/>
  <c r="AH1383" i="1"/>
  <c r="K1383" i="1"/>
  <c r="S1383" i="1"/>
  <c r="L1383" i="1"/>
  <c r="T1383" i="1"/>
  <c r="M1383" i="1"/>
  <c r="U1383" i="1"/>
  <c r="N1383" i="1"/>
  <c r="V1383" i="1"/>
  <c r="O1383" i="1"/>
  <c r="Q1383" i="1"/>
  <c r="AH1375" i="1"/>
  <c r="K1375" i="1"/>
  <c r="S1375" i="1"/>
  <c r="L1375" i="1"/>
  <c r="T1375" i="1"/>
  <c r="M1375" i="1"/>
  <c r="U1375" i="1"/>
  <c r="N1375" i="1"/>
  <c r="V1375" i="1"/>
  <c r="O1375" i="1"/>
  <c r="Q1375" i="1"/>
  <c r="AH1367" i="1"/>
  <c r="K1367" i="1"/>
  <c r="S1367" i="1"/>
  <c r="L1367" i="1"/>
  <c r="T1367" i="1"/>
  <c r="M1367" i="1"/>
  <c r="U1367" i="1"/>
  <c r="N1367" i="1"/>
  <c r="V1367" i="1"/>
  <c r="O1367" i="1"/>
  <c r="Q1367" i="1"/>
  <c r="AH1359" i="1"/>
  <c r="K1359" i="1"/>
  <c r="S1359" i="1"/>
  <c r="L1359" i="1"/>
  <c r="T1359" i="1"/>
  <c r="M1359" i="1"/>
  <c r="U1359" i="1"/>
  <c r="N1359" i="1"/>
  <c r="V1359" i="1"/>
  <c r="O1359" i="1"/>
  <c r="Q1359" i="1"/>
  <c r="AH1351" i="1"/>
  <c r="N1351" i="1"/>
  <c r="S1351" i="1"/>
  <c r="K1351" i="1"/>
  <c r="T1351" i="1"/>
  <c r="L1351" i="1"/>
  <c r="U1351" i="1"/>
  <c r="M1351" i="1"/>
  <c r="V1351" i="1"/>
  <c r="O1351" i="1"/>
  <c r="Q1351" i="1"/>
  <c r="AH1343" i="1"/>
  <c r="L1343" i="1"/>
  <c r="T1343" i="1"/>
  <c r="N1343" i="1"/>
  <c r="V1343" i="1"/>
  <c r="U1343" i="1"/>
  <c r="K1343" i="1"/>
  <c r="M1343" i="1"/>
  <c r="O1343" i="1"/>
  <c r="P1343" i="1"/>
  <c r="R1343" i="1"/>
  <c r="AH1335" i="1"/>
  <c r="L1335" i="1"/>
  <c r="T1335" i="1"/>
  <c r="N1335" i="1"/>
  <c r="V1335" i="1"/>
  <c r="U1335" i="1"/>
  <c r="K1335" i="1"/>
  <c r="M1335" i="1"/>
  <c r="O1335" i="1"/>
  <c r="P1335" i="1"/>
  <c r="R1335" i="1"/>
  <c r="AH1327" i="1"/>
  <c r="R1327" i="1"/>
  <c r="L1327" i="1"/>
  <c r="T1327" i="1"/>
  <c r="N1327" i="1"/>
  <c r="V1327" i="1"/>
  <c r="U1327" i="1"/>
  <c r="K1327" i="1"/>
  <c r="M1327" i="1"/>
  <c r="O1327" i="1"/>
  <c r="Q1327" i="1"/>
  <c r="AH1319" i="1"/>
  <c r="R1319" i="1"/>
  <c r="L1319" i="1"/>
  <c r="T1319" i="1"/>
  <c r="N1319" i="1"/>
  <c r="V1319" i="1"/>
  <c r="O1319" i="1"/>
  <c r="P1319" i="1"/>
  <c r="Q1319" i="1"/>
  <c r="S1319" i="1"/>
  <c r="U1319" i="1"/>
  <c r="K1319" i="1"/>
  <c r="AH1311" i="1"/>
  <c r="R1311" i="1"/>
  <c r="L1311" i="1"/>
  <c r="T1311" i="1"/>
  <c r="M1311" i="1"/>
  <c r="U1311" i="1"/>
  <c r="N1311" i="1"/>
  <c r="V1311" i="1"/>
  <c r="P1311" i="1"/>
  <c r="Q1311" i="1"/>
  <c r="S1311" i="1"/>
  <c r="K1311" i="1"/>
  <c r="AH1303" i="1"/>
  <c r="R1303" i="1"/>
  <c r="L1303" i="1"/>
  <c r="T1303" i="1"/>
  <c r="M1303" i="1"/>
  <c r="U1303" i="1"/>
  <c r="N1303" i="1"/>
  <c r="V1303" i="1"/>
  <c r="P1303" i="1"/>
  <c r="Q1303" i="1"/>
  <c r="S1303" i="1"/>
  <c r="K1303" i="1"/>
  <c r="AH1295" i="1"/>
  <c r="R1295" i="1"/>
  <c r="L1295" i="1"/>
  <c r="T1295" i="1"/>
  <c r="M1295" i="1"/>
  <c r="U1295" i="1"/>
  <c r="N1295" i="1"/>
  <c r="V1295" i="1"/>
  <c r="P1295" i="1"/>
  <c r="Q1295" i="1"/>
  <c r="S1295" i="1"/>
  <c r="K1295" i="1"/>
  <c r="AH1287" i="1"/>
  <c r="R1287" i="1"/>
  <c r="L1287" i="1"/>
  <c r="T1287" i="1"/>
  <c r="M1287" i="1"/>
  <c r="U1287" i="1"/>
  <c r="N1287" i="1"/>
  <c r="V1287" i="1"/>
  <c r="P1287" i="1"/>
  <c r="Q1287" i="1"/>
  <c r="S1287" i="1"/>
  <c r="K1287" i="1"/>
  <c r="AH1279" i="1"/>
  <c r="R1279" i="1"/>
  <c r="L1279" i="1"/>
  <c r="T1279" i="1"/>
  <c r="M1279" i="1"/>
  <c r="U1279" i="1"/>
  <c r="N1279" i="1"/>
  <c r="V1279" i="1"/>
  <c r="P1279" i="1"/>
  <c r="Q1279" i="1"/>
  <c r="S1279" i="1"/>
  <c r="K1279" i="1"/>
  <c r="AH1271" i="1"/>
  <c r="R1271" i="1"/>
  <c r="K1271" i="1"/>
  <c r="S1271" i="1"/>
  <c r="L1271" i="1"/>
  <c r="T1271" i="1"/>
  <c r="M1271" i="1"/>
  <c r="U1271" i="1"/>
  <c r="N1271" i="1"/>
  <c r="V1271" i="1"/>
  <c r="O1271" i="1"/>
  <c r="Q1271" i="1"/>
  <c r="AH1263" i="1"/>
  <c r="R1263" i="1"/>
  <c r="K1263" i="1"/>
  <c r="S1263" i="1"/>
  <c r="L1263" i="1"/>
  <c r="T1263" i="1"/>
  <c r="M1263" i="1"/>
  <c r="U1263" i="1"/>
  <c r="N1263" i="1"/>
  <c r="V1263" i="1"/>
  <c r="O1263" i="1"/>
  <c r="P1263" i="1"/>
  <c r="Q1263" i="1"/>
  <c r="AH1255" i="1"/>
  <c r="R1255" i="1"/>
  <c r="K1255" i="1"/>
  <c r="S1255" i="1"/>
  <c r="L1255" i="1"/>
  <c r="T1255" i="1"/>
  <c r="M1255" i="1"/>
  <c r="U1255" i="1"/>
  <c r="N1255" i="1"/>
  <c r="V1255" i="1"/>
  <c r="O1255" i="1"/>
  <c r="Q1255" i="1"/>
  <c r="AH1247" i="1"/>
  <c r="R1247" i="1"/>
  <c r="K1247" i="1"/>
  <c r="S1247" i="1"/>
  <c r="L1247" i="1"/>
  <c r="T1247" i="1"/>
  <c r="M1247" i="1"/>
  <c r="U1247" i="1"/>
  <c r="N1247" i="1"/>
  <c r="V1247" i="1"/>
  <c r="O1247" i="1"/>
  <c r="P1247" i="1"/>
  <c r="Q1247" i="1"/>
  <c r="AH1239" i="1"/>
  <c r="R1239" i="1"/>
  <c r="K1239" i="1"/>
  <c r="S1239" i="1"/>
  <c r="L1239" i="1"/>
  <c r="T1239" i="1"/>
  <c r="M1239" i="1"/>
  <c r="U1239" i="1"/>
  <c r="N1239" i="1"/>
  <c r="V1239" i="1"/>
  <c r="O1239" i="1"/>
  <c r="Q1239" i="1"/>
  <c r="AH1231" i="1"/>
  <c r="Q1231" i="1"/>
  <c r="R1231" i="1"/>
  <c r="K1231" i="1"/>
  <c r="S1231" i="1"/>
  <c r="L1231" i="1"/>
  <c r="T1231" i="1"/>
  <c r="M1231" i="1"/>
  <c r="U1231" i="1"/>
  <c r="N1231" i="1"/>
  <c r="V1231" i="1"/>
  <c r="O1231" i="1"/>
  <c r="P1231" i="1"/>
  <c r="AH1223" i="1"/>
  <c r="Q1223" i="1"/>
  <c r="R1223" i="1"/>
  <c r="K1223" i="1"/>
  <c r="S1223" i="1"/>
  <c r="L1223" i="1"/>
  <c r="T1223" i="1"/>
  <c r="M1223" i="1"/>
  <c r="U1223" i="1"/>
  <c r="N1223" i="1"/>
  <c r="V1223" i="1"/>
  <c r="O1223" i="1"/>
  <c r="P1223" i="1"/>
  <c r="AH1215" i="1"/>
  <c r="Q1215" i="1"/>
  <c r="R1215" i="1"/>
  <c r="K1215" i="1"/>
  <c r="S1215" i="1"/>
  <c r="L1215" i="1"/>
  <c r="T1215" i="1"/>
  <c r="M1215" i="1"/>
  <c r="U1215" i="1"/>
  <c r="N1215" i="1"/>
  <c r="V1215" i="1"/>
  <c r="O1215" i="1"/>
  <c r="P1215" i="1"/>
  <c r="AH1207" i="1"/>
  <c r="Q1207" i="1"/>
  <c r="R1207" i="1"/>
  <c r="K1207" i="1"/>
  <c r="S1207" i="1"/>
  <c r="L1207" i="1"/>
  <c r="T1207" i="1"/>
  <c r="M1207" i="1"/>
  <c r="U1207" i="1"/>
  <c r="N1207" i="1"/>
  <c r="V1207" i="1"/>
  <c r="O1207" i="1"/>
  <c r="P1207" i="1"/>
  <c r="AH1199" i="1"/>
  <c r="Q1199" i="1"/>
  <c r="R1199" i="1"/>
  <c r="K1199" i="1"/>
  <c r="S1199" i="1"/>
  <c r="L1199" i="1"/>
  <c r="T1199" i="1"/>
  <c r="M1199" i="1"/>
  <c r="U1199" i="1"/>
  <c r="N1199" i="1"/>
  <c r="V1199" i="1"/>
  <c r="O1199" i="1"/>
  <c r="P1199" i="1"/>
  <c r="AH1191" i="1"/>
  <c r="Q1191" i="1"/>
  <c r="R1191" i="1"/>
  <c r="K1191" i="1"/>
  <c r="S1191" i="1"/>
  <c r="L1191" i="1"/>
  <c r="T1191" i="1"/>
  <c r="M1191" i="1"/>
  <c r="U1191" i="1"/>
  <c r="N1191" i="1"/>
  <c r="V1191" i="1"/>
  <c r="O1191" i="1"/>
  <c r="P1191" i="1"/>
  <c r="AH1183" i="1"/>
  <c r="Q1183" i="1"/>
  <c r="R1183" i="1"/>
  <c r="K1183" i="1"/>
  <c r="S1183" i="1"/>
  <c r="L1183" i="1"/>
  <c r="T1183" i="1"/>
  <c r="M1183" i="1"/>
  <c r="U1183" i="1"/>
  <c r="N1183" i="1"/>
  <c r="V1183" i="1"/>
  <c r="O1183" i="1"/>
  <c r="P1183" i="1"/>
  <c r="AH1175" i="1"/>
  <c r="R1175" i="1"/>
  <c r="K1175" i="1"/>
  <c r="S1175" i="1"/>
  <c r="L1175" i="1"/>
  <c r="T1175" i="1"/>
  <c r="P1175" i="1"/>
  <c r="M1175" i="1"/>
  <c r="N1175" i="1"/>
  <c r="O1175" i="1"/>
  <c r="Q1175" i="1"/>
  <c r="U1175" i="1"/>
  <c r="V1175" i="1"/>
  <c r="AH1167" i="1"/>
  <c r="R1167" i="1"/>
  <c r="K1167" i="1"/>
  <c r="S1167" i="1"/>
  <c r="L1167" i="1"/>
  <c r="T1167" i="1"/>
  <c r="M1167" i="1"/>
  <c r="U1167" i="1"/>
  <c r="P1167" i="1"/>
  <c r="N1167" i="1"/>
  <c r="O1167" i="1"/>
  <c r="Q1167" i="1"/>
  <c r="AH1159" i="1"/>
  <c r="R1159" i="1"/>
  <c r="K1159" i="1"/>
  <c r="S1159" i="1"/>
  <c r="L1159" i="1"/>
  <c r="T1159" i="1"/>
  <c r="M1159" i="1"/>
  <c r="U1159" i="1"/>
  <c r="P1159" i="1"/>
  <c r="O1159" i="1"/>
  <c r="Q1159" i="1"/>
  <c r="V1159" i="1"/>
  <c r="N1159" i="1"/>
  <c r="AH1151" i="1"/>
  <c r="R1151" i="1"/>
  <c r="K1151" i="1"/>
  <c r="S1151" i="1"/>
  <c r="L1151" i="1"/>
  <c r="T1151" i="1"/>
  <c r="M1151" i="1"/>
  <c r="U1151" i="1"/>
  <c r="P1151" i="1"/>
  <c r="N1151" i="1"/>
  <c r="O1151" i="1"/>
  <c r="Q1151" i="1"/>
  <c r="V1151" i="1"/>
  <c r="AH1143" i="1"/>
  <c r="R1143" i="1"/>
  <c r="K1143" i="1"/>
  <c r="S1143" i="1"/>
  <c r="L1143" i="1"/>
  <c r="T1143" i="1"/>
  <c r="M1143" i="1"/>
  <c r="U1143" i="1"/>
  <c r="P1143" i="1"/>
  <c r="O1143" i="1"/>
  <c r="Q1143" i="1"/>
  <c r="V1143" i="1"/>
  <c r="N1143" i="1"/>
  <c r="AH1135" i="1"/>
  <c r="R1135" i="1"/>
  <c r="K1135" i="1"/>
  <c r="S1135" i="1"/>
  <c r="L1135" i="1"/>
  <c r="T1135" i="1"/>
  <c r="M1135" i="1"/>
  <c r="U1135" i="1"/>
  <c r="P1135" i="1"/>
  <c r="N1135" i="1"/>
  <c r="O1135" i="1"/>
  <c r="Q1135" i="1"/>
  <c r="V1135" i="1"/>
  <c r="AH1127" i="1"/>
  <c r="R1127" i="1"/>
  <c r="K1127" i="1"/>
  <c r="S1127" i="1"/>
  <c r="L1127" i="1"/>
  <c r="T1127" i="1"/>
  <c r="M1127" i="1"/>
  <c r="U1127" i="1"/>
  <c r="P1127" i="1"/>
  <c r="O1127" i="1"/>
  <c r="Q1127" i="1"/>
  <c r="V1127" i="1"/>
  <c r="N1127" i="1"/>
  <c r="AH1119" i="1"/>
  <c r="R1119" i="1"/>
  <c r="K1119" i="1"/>
  <c r="S1119" i="1"/>
  <c r="L1119" i="1"/>
  <c r="T1119" i="1"/>
  <c r="M1119" i="1"/>
  <c r="U1119" i="1"/>
  <c r="P1119" i="1"/>
  <c r="N1119" i="1"/>
  <c r="O1119" i="1"/>
  <c r="Q1119" i="1"/>
  <c r="AH1111" i="1"/>
  <c r="R1111" i="1"/>
  <c r="K1111" i="1"/>
  <c r="S1111" i="1"/>
  <c r="L1111" i="1"/>
  <c r="T1111" i="1"/>
  <c r="M1111" i="1"/>
  <c r="U1111" i="1"/>
  <c r="P1111" i="1"/>
  <c r="O1111" i="1"/>
  <c r="Q1111" i="1"/>
  <c r="V1111" i="1"/>
  <c r="N1111" i="1"/>
  <c r="AH1103" i="1"/>
  <c r="R1103" i="1"/>
  <c r="K1103" i="1"/>
  <c r="S1103" i="1"/>
  <c r="L1103" i="1"/>
  <c r="T1103" i="1"/>
  <c r="M1103" i="1"/>
  <c r="U1103" i="1"/>
  <c r="P1103" i="1"/>
  <c r="N1103" i="1"/>
  <c r="O1103" i="1"/>
  <c r="Q1103" i="1"/>
  <c r="AH1095" i="1"/>
  <c r="R1095" i="1"/>
  <c r="K1095" i="1"/>
  <c r="S1095" i="1"/>
  <c r="L1095" i="1"/>
  <c r="T1095" i="1"/>
  <c r="M1095" i="1"/>
  <c r="U1095" i="1"/>
  <c r="P1095" i="1"/>
  <c r="O1095" i="1"/>
  <c r="Q1095" i="1"/>
  <c r="V1095" i="1"/>
  <c r="N1095" i="1"/>
  <c r="AH1087" i="1"/>
  <c r="R1087" i="1"/>
  <c r="K1087" i="1"/>
  <c r="S1087" i="1"/>
  <c r="L1087" i="1"/>
  <c r="T1087" i="1"/>
  <c r="M1087" i="1"/>
  <c r="U1087" i="1"/>
  <c r="P1087" i="1"/>
  <c r="N1087" i="1"/>
  <c r="O1087" i="1"/>
  <c r="Q1087" i="1"/>
  <c r="V1087" i="1"/>
  <c r="AH1079" i="1"/>
  <c r="R1079" i="1"/>
  <c r="K1079" i="1"/>
  <c r="S1079" i="1"/>
  <c r="L1079" i="1"/>
  <c r="T1079" i="1"/>
  <c r="M1079" i="1"/>
  <c r="U1079" i="1"/>
  <c r="P1079" i="1"/>
  <c r="O1079" i="1"/>
  <c r="Q1079" i="1"/>
  <c r="V1079" i="1"/>
  <c r="N1079" i="1"/>
  <c r="AH1071" i="1"/>
  <c r="R1071" i="1"/>
  <c r="K1071" i="1"/>
  <c r="S1071" i="1"/>
  <c r="L1071" i="1"/>
  <c r="T1071" i="1"/>
  <c r="M1071" i="1"/>
  <c r="U1071" i="1"/>
  <c r="P1071" i="1"/>
  <c r="N1071" i="1"/>
  <c r="O1071" i="1"/>
  <c r="Q1071" i="1"/>
  <c r="V1071" i="1"/>
  <c r="AH1063" i="1"/>
  <c r="R1063" i="1"/>
  <c r="K1063" i="1"/>
  <c r="S1063" i="1"/>
  <c r="L1063" i="1"/>
  <c r="T1063" i="1"/>
  <c r="M1063" i="1"/>
  <c r="U1063" i="1"/>
  <c r="P1063" i="1"/>
  <c r="O1063" i="1"/>
  <c r="Q1063" i="1"/>
  <c r="V1063" i="1"/>
  <c r="N1063" i="1"/>
  <c r="AH1055" i="1"/>
  <c r="R1055" i="1"/>
  <c r="K1055" i="1"/>
  <c r="S1055" i="1"/>
  <c r="L1055" i="1"/>
  <c r="T1055" i="1"/>
  <c r="M1055" i="1"/>
  <c r="U1055" i="1"/>
  <c r="P1055" i="1"/>
  <c r="N1055" i="1"/>
  <c r="O1055" i="1"/>
  <c r="Q1055" i="1"/>
  <c r="AH1047" i="1"/>
  <c r="R1047" i="1"/>
  <c r="K1047" i="1"/>
  <c r="S1047" i="1"/>
  <c r="L1047" i="1"/>
  <c r="T1047" i="1"/>
  <c r="M1047" i="1"/>
  <c r="U1047" i="1"/>
  <c r="P1047" i="1"/>
  <c r="O1047" i="1"/>
  <c r="Q1047" i="1"/>
  <c r="V1047" i="1"/>
  <c r="N1047" i="1"/>
  <c r="AH1039" i="1"/>
  <c r="R1039" i="1"/>
  <c r="K1039" i="1"/>
  <c r="S1039" i="1"/>
  <c r="L1039" i="1"/>
  <c r="T1039" i="1"/>
  <c r="M1039" i="1"/>
  <c r="U1039" i="1"/>
  <c r="P1039" i="1"/>
  <c r="N1039" i="1"/>
  <c r="O1039" i="1"/>
  <c r="Q1039" i="1"/>
  <c r="AH1031" i="1"/>
  <c r="P1031" i="1"/>
  <c r="N1031" i="1"/>
  <c r="O1031" i="1"/>
  <c r="Q1031" i="1"/>
  <c r="R1031" i="1"/>
  <c r="L1031" i="1"/>
  <c r="U1031" i="1"/>
  <c r="K1031" i="1"/>
  <c r="M1031" i="1"/>
  <c r="S1031" i="1"/>
  <c r="T1031" i="1"/>
  <c r="V1031" i="1"/>
  <c r="AH1023" i="1"/>
  <c r="P1023" i="1"/>
  <c r="S1023" i="1"/>
  <c r="K1023" i="1"/>
  <c r="T1023" i="1"/>
  <c r="L1023" i="1"/>
  <c r="U1023" i="1"/>
  <c r="M1023" i="1"/>
  <c r="V1023" i="1"/>
  <c r="Q1023" i="1"/>
  <c r="N1023" i="1"/>
  <c r="O1023" i="1"/>
  <c r="R1023" i="1"/>
  <c r="AH1015" i="1"/>
  <c r="L1015" i="1"/>
  <c r="T1015" i="1"/>
  <c r="N1015" i="1"/>
  <c r="O1015" i="1"/>
  <c r="P1015" i="1"/>
  <c r="K1015" i="1"/>
  <c r="M1015" i="1"/>
  <c r="Q1015" i="1"/>
  <c r="U1015" i="1"/>
  <c r="R1015" i="1"/>
  <c r="S1015" i="1"/>
  <c r="V1015" i="1"/>
  <c r="AH1007" i="1"/>
  <c r="L1007" i="1"/>
  <c r="T1007" i="1"/>
  <c r="N1007" i="1"/>
  <c r="V1007" i="1"/>
  <c r="O1007" i="1"/>
  <c r="P1007" i="1"/>
  <c r="K1007" i="1"/>
  <c r="M1007" i="1"/>
  <c r="Q1007" i="1"/>
  <c r="U1007" i="1"/>
  <c r="R1007" i="1"/>
  <c r="S1007" i="1"/>
  <c r="AH999" i="1"/>
  <c r="L999" i="1"/>
  <c r="T999" i="1"/>
  <c r="N999" i="1"/>
  <c r="V999" i="1"/>
  <c r="O999" i="1"/>
  <c r="P999" i="1"/>
  <c r="K999" i="1"/>
  <c r="M999" i="1"/>
  <c r="Q999" i="1"/>
  <c r="U999" i="1"/>
  <c r="S999" i="1"/>
  <c r="R999" i="1"/>
  <c r="AH991" i="1"/>
  <c r="L991" i="1"/>
  <c r="T991" i="1"/>
  <c r="N991" i="1"/>
  <c r="V991" i="1"/>
  <c r="O991" i="1"/>
  <c r="P991" i="1"/>
  <c r="K991" i="1"/>
  <c r="M991" i="1"/>
  <c r="Q991" i="1"/>
  <c r="U991" i="1"/>
  <c r="R991" i="1"/>
  <c r="AH983" i="1"/>
  <c r="L983" i="1"/>
  <c r="T983" i="1"/>
  <c r="N983" i="1"/>
  <c r="V983" i="1"/>
  <c r="O983" i="1"/>
  <c r="P983" i="1"/>
  <c r="K983" i="1"/>
  <c r="M983" i="1"/>
  <c r="Q983" i="1"/>
  <c r="U983" i="1"/>
  <c r="R983" i="1"/>
  <c r="S983" i="1"/>
  <c r="AH975" i="1"/>
  <c r="L975" i="1"/>
  <c r="T975" i="1"/>
  <c r="N975" i="1"/>
  <c r="V975" i="1"/>
  <c r="O975" i="1"/>
  <c r="P975" i="1"/>
  <c r="K975" i="1"/>
  <c r="M975" i="1"/>
  <c r="Q975" i="1"/>
  <c r="U975" i="1"/>
  <c r="R975" i="1"/>
  <c r="S975" i="1"/>
  <c r="AH967" i="1"/>
  <c r="K967" i="1"/>
  <c r="S967" i="1"/>
  <c r="L967" i="1"/>
  <c r="T967" i="1"/>
  <c r="M967" i="1"/>
  <c r="U967" i="1"/>
  <c r="N967" i="1"/>
  <c r="V967" i="1"/>
  <c r="O967" i="1"/>
  <c r="P967" i="1"/>
  <c r="Q967" i="1"/>
  <c r="R967" i="1"/>
  <c r="AH959" i="1"/>
  <c r="K959" i="1"/>
  <c r="S959" i="1"/>
  <c r="L959" i="1"/>
  <c r="T959" i="1"/>
  <c r="M959" i="1"/>
  <c r="U959" i="1"/>
  <c r="N959" i="1"/>
  <c r="V959" i="1"/>
  <c r="O959" i="1"/>
  <c r="P959" i="1"/>
  <c r="Q959" i="1"/>
  <c r="R959" i="1"/>
  <c r="AH951" i="1"/>
  <c r="K951" i="1"/>
  <c r="S951" i="1"/>
  <c r="L951" i="1"/>
  <c r="T951" i="1"/>
  <c r="M951" i="1"/>
  <c r="U951" i="1"/>
  <c r="N951" i="1"/>
  <c r="V951" i="1"/>
  <c r="O951" i="1"/>
  <c r="P951" i="1"/>
  <c r="Q951" i="1"/>
  <c r="R951" i="1"/>
  <c r="AH943" i="1"/>
  <c r="K943" i="1"/>
  <c r="S943" i="1"/>
  <c r="L943" i="1"/>
  <c r="T943" i="1"/>
  <c r="M943" i="1"/>
  <c r="U943" i="1"/>
  <c r="N943" i="1"/>
  <c r="V943" i="1"/>
  <c r="O943" i="1"/>
  <c r="P943" i="1"/>
  <c r="Q943" i="1"/>
  <c r="R943" i="1"/>
  <c r="AH935" i="1"/>
  <c r="K935" i="1"/>
  <c r="S935" i="1"/>
  <c r="L935" i="1"/>
  <c r="T935" i="1"/>
  <c r="M935" i="1"/>
  <c r="U935" i="1"/>
  <c r="N935" i="1"/>
  <c r="V935" i="1"/>
  <c r="O935" i="1"/>
  <c r="P935" i="1"/>
  <c r="Q935" i="1"/>
  <c r="R935" i="1"/>
  <c r="AH927" i="1"/>
  <c r="K927" i="1"/>
  <c r="S927" i="1"/>
  <c r="L927" i="1"/>
  <c r="T927" i="1"/>
  <c r="M927" i="1"/>
  <c r="U927" i="1"/>
  <c r="N927" i="1"/>
  <c r="V927" i="1"/>
  <c r="O927" i="1"/>
  <c r="P927" i="1"/>
  <c r="Q927" i="1"/>
  <c r="R927" i="1"/>
  <c r="AH919" i="1"/>
  <c r="K919" i="1"/>
  <c r="S919" i="1"/>
  <c r="L919" i="1"/>
  <c r="T919" i="1"/>
  <c r="M919" i="1"/>
  <c r="U919" i="1"/>
  <c r="N919" i="1"/>
  <c r="V919" i="1"/>
  <c r="O919" i="1"/>
  <c r="P919" i="1"/>
  <c r="Q919" i="1"/>
  <c r="R919" i="1"/>
  <c r="AH911" i="1"/>
  <c r="K911" i="1"/>
  <c r="S911" i="1"/>
  <c r="L911" i="1"/>
  <c r="T911" i="1"/>
  <c r="M911" i="1"/>
  <c r="U911" i="1"/>
  <c r="N911" i="1"/>
  <c r="V911" i="1"/>
  <c r="O911" i="1"/>
  <c r="P911" i="1"/>
  <c r="Q911" i="1"/>
  <c r="R911" i="1"/>
  <c r="AH903" i="1"/>
  <c r="K903" i="1"/>
  <c r="S903" i="1"/>
  <c r="L903" i="1"/>
  <c r="T903" i="1"/>
  <c r="M903" i="1"/>
  <c r="U903" i="1"/>
  <c r="N903" i="1"/>
  <c r="V903" i="1"/>
  <c r="O903" i="1"/>
  <c r="P903" i="1"/>
  <c r="Q903" i="1"/>
  <c r="R903" i="1"/>
  <c r="AH895" i="1"/>
  <c r="K895" i="1"/>
  <c r="S895" i="1"/>
  <c r="L895" i="1"/>
  <c r="T895" i="1"/>
  <c r="M895" i="1"/>
  <c r="U895" i="1"/>
  <c r="N895" i="1"/>
  <c r="V895" i="1"/>
  <c r="O895" i="1"/>
  <c r="P895" i="1"/>
  <c r="Q895" i="1"/>
  <c r="R895" i="1"/>
  <c r="AH887" i="1"/>
  <c r="K887" i="1"/>
  <c r="S887" i="1"/>
  <c r="L887" i="1"/>
  <c r="T887" i="1"/>
  <c r="M887" i="1"/>
  <c r="U887" i="1"/>
  <c r="N887" i="1"/>
  <c r="V887" i="1"/>
  <c r="O887" i="1"/>
  <c r="P887" i="1"/>
  <c r="Q887" i="1"/>
  <c r="R887" i="1"/>
  <c r="AH879" i="1"/>
  <c r="K879" i="1"/>
  <c r="S879" i="1"/>
  <c r="L879" i="1"/>
  <c r="T879" i="1"/>
  <c r="M879" i="1"/>
  <c r="U879" i="1"/>
  <c r="N879" i="1"/>
  <c r="V879" i="1"/>
  <c r="O879" i="1"/>
  <c r="P879" i="1"/>
  <c r="Q879" i="1"/>
  <c r="R879" i="1"/>
  <c r="AH871" i="1"/>
  <c r="K871" i="1"/>
  <c r="S871" i="1"/>
  <c r="L871" i="1"/>
  <c r="T871" i="1"/>
  <c r="M871" i="1"/>
  <c r="U871" i="1"/>
  <c r="N871" i="1"/>
  <c r="V871" i="1"/>
  <c r="O871" i="1"/>
  <c r="P871" i="1"/>
  <c r="Q871" i="1"/>
  <c r="R871" i="1"/>
  <c r="AH863" i="1"/>
  <c r="M863" i="1"/>
  <c r="U863" i="1"/>
  <c r="R863" i="1"/>
  <c r="N863" i="1"/>
  <c r="O863" i="1"/>
  <c r="P863" i="1"/>
  <c r="Q863" i="1"/>
  <c r="S863" i="1"/>
  <c r="T863" i="1"/>
  <c r="L863" i="1"/>
  <c r="V863" i="1"/>
  <c r="AH855" i="1"/>
  <c r="M855" i="1"/>
  <c r="U855" i="1"/>
  <c r="R855" i="1"/>
  <c r="N855" i="1"/>
  <c r="O855" i="1"/>
  <c r="P855" i="1"/>
  <c r="Q855" i="1"/>
  <c r="S855" i="1"/>
  <c r="T855" i="1"/>
  <c r="K855" i="1"/>
  <c r="V855" i="1"/>
  <c r="L855" i="1"/>
  <c r="AH847" i="1"/>
  <c r="M847" i="1"/>
  <c r="U847" i="1"/>
  <c r="R847" i="1"/>
  <c r="N847" i="1"/>
  <c r="O847" i="1"/>
  <c r="P847" i="1"/>
  <c r="Q847" i="1"/>
  <c r="S847" i="1"/>
  <c r="T847" i="1"/>
  <c r="K847" i="1"/>
  <c r="L847" i="1"/>
  <c r="V847" i="1"/>
  <c r="AH839" i="1"/>
  <c r="M839" i="1"/>
  <c r="U839" i="1"/>
  <c r="N839" i="1"/>
  <c r="V839" i="1"/>
  <c r="Q839" i="1"/>
  <c r="R839" i="1"/>
  <c r="K839" i="1"/>
  <c r="L839" i="1"/>
  <c r="O839" i="1"/>
  <c r="P839" i="1"/>
  <c r="S839" i="1"/>
  <c r="T839" i="1"/>
  <c r="AH831" i="1"/>
  <c r="M831" i="1"/>
  <c r="U831" i="1"/>
  <c r="N831" i="1"/>
  <c r="V831" i="1"/>
  <c r="Q831" i="1"/>
  <c r="R831" i="1"/>
  <c r="K831" i="1"/>
  <c r="L831" i="1"/>
  <c r="O831" i="1"/>
  <c r="P831" i="1"/>
  <c r="T831" i="1"/>
  <c r="S831" i="1"/>
  <c r="AH823" i="1"/>
  <c r="M823" i="1"/>
  <c r="U823" i="1"/>
  <c r="N823" i="1"/>
  <c r="V823" i="1"/>
  <c r="Q823" i="1"/>
  <c r="R823" i="1"/>
  <c r="K823" i="1"/>
  <c r="L823" i="1"/>
  <c r="O823" i="1"/>
  <c r="P823" i="1"/>
  <c r="S823" i="1"/>
  <c r="T823" i="1"/>
  <c r="AH815" i="1"/>
  <c r="M815" i="1"/>
  <c r="U815" i="1"/>
  <c r="N815" i="1"/>
  <c r="V815" i="1"/>
  <c r="Q815" i="1"/>
  <c r="R815" i="1"/>
  <c r="K815" i="1"/>
  <c r="L815" i="1"/>
  <c r="O815" i="1"/>
  <c r="P815" i="1"/>
  <c r="T815" i="1"/>
  <c r="AH807" i="1"/>
  <c r="M807" i="1"/>
  <c r="U807" i="1"/>
  <c r="N807" i="1"/>
  <c r="V807" i="1"/>
  <c r="O807" i="1"/>
  <c r="Q807" i="1"/>
  <c r="R807" i="1"/>
  <c r="P807" i="1"/>
  <c r="S807" i="1"/>
  <c r="T807" i="1"/>
  <c r="L807" i="1"/>
  <c r="K807" i="1"/>
  <c r="AH799" i="1"/>
  <c r="M799" i="1"/>
  <c r="U799" i="1"/>
  <c r="N799" i="1"/>
  <c r="V799" i="1"/>
  <c r="O799" i="1"/>
  <c r="Q799" i="1"/>
  <c r="R799" i="1"/>
  <c r="K799" i="1"/>
  <c r="L799" i="1"/>
  <c r="P799" i="1"/>
  <c r="S799" i="1"/>
  <c r="T799" i="1"/>
  <c r="AH791" i="1"/>
  <c r="M791" i="1"/>
  <c r="U791" i="1"/>
  <c r="N791" i="1"/>
  <c r="V791" i="1"/>
  <c r="O791" i="1"/>
  <c r="Q791" i="1"/>
  <c r="R791" i="1"/>
  <c r="P791" i="1"/>
  <c r="S791" i="1"/>
  <c r="T791" i="1"/>
  <c r="K791" i="1"/>
  <c r="L791" i="1"/>
  <c r="AH783" i="1"/>
  <c r="M783" i="1"/>
  <c r="U783" i="1"/>
  <c r="N783" i="1"/>
  <c r="V783" i="1"/>
  <c r="O783" i="1"/>
  <c r="Q783" i="1"/>
  <c r="R783" i="1"/>
  <c r="K783" i="1"/>
  <c r="L783" i="1"/>
  <c r="P783" i="1"/>
  <c r="S783" i="1"/>
  <c r="T783" i="1"/>
  <c r="AH775" i="1"/>
  <c r="K775" i="1"/>
  <c r="L775" i="1"/>
  <c r="T775" i="1"/>
  <c r="N775" i="1"/>
  <c r="O775" i="1"/>
  <c r="P775" i="1"/>
  <c r="Q775" i="1"/>
  <c r="R775" i="1"/>
  <c r="S775" i="1"/>
  <c r="V775" i="1"/>
  <c r="M775" i="1"/>
  <c r="U775" i="1"/>
  <c r="AH767" i="1"/>
  <c r="K767" i="1"/>
  <c r="S767" i="1"/>
  <c r="L767" i="1"/>
  <c r="T767" i="1"/>
  <c r="N767" i="1"/>
  <c r="O767" i="1"/>
  <c r="P767" i="1"/>
  <c r="Q767" i="1"/>
  <c r="R767" i="1"/>
  <c r="U767" i="1"/>
  <c r="M767" i="1"/>
  <c r="V767" i="1"/>
  <c r="AH759" i="1"/>
  <c r="K759" i="1"/>
  <c r="S759" i="1"/>
  <c r="L759" i="1"/>
  <c r="T759" i="1"/>
  <c r="N759" i="1"/>
  <c r="O759" i="1"/>
  <c r="P759" i="1"/>
  <c r="Q759" i="1"/>
  <c r="R759" i="1"/>
  <c r="U759" i="1"/>
  <c r="M759" i="1"/>
  <c r="V759" i="1"/>
  <c r="AH751" i="1"/>
  <c r="K751" i="1"/>
  <c r="S751" i="1"/>
  <c r="L751" i="1"/>
  <c r="T751" i="1"/>
  <c r="N751" i="1"/>
  <c r="O751" i="1"/>
  <c r="P751" i="1"/>
  <c r="Q751" i="1"/>
  <c r="R751" i="1"/>
  <c r="U751" i="1"/>
  <c r="M751" i="1"/>
  <c r="V751" i="1"/>
  <c r="AH743" i="1"/>
  <c r="K743" i="1"/>
  <c r="S743" i="1"/>
  <c r="L743" i="1"/>
  <c r="T743" i="1"/>
  <c r="N743" i="1"/>
  <c r="O743" i="1"/>
  <c r="P743" i="1"/>
  <c r="Q743" i="1"/>
  <c r="R743" i="1"/>
  <c r="U743" i="1"/>
  <c r="M743" i="1"/>
  <c r="V743" i="1"/>
  <c r="AH735" i="1"/>
  <c r="K735" i="1"/>
  <c r="S735" i="1"/>
  <c r="L735" i="1"/>
  <c r="T735" i="1"/>
  <c r="N735" i="1"/>
  <c r="O735" i="1"/>
  <c r="P735" i="1"/>
  <c r="Q735" i="1"/>
  <c r="R735" i="1"/>
  <c r="U735" i="1"/>
  <c r="M735" i="1"/>
  <c r="V735" i="1"/>
  <c r="AH727" i="1"/>
  <c r="K727" i="1"/>
  <c r="S727" i="1"/>
  <c r="L727" i="1"/>
  <c r="T727" i="1"/>
  <c r="N727" i="1"/>
  <c r="O727" i="1"/>
  <c r="P727" i="1"/>
  <c r="Q727" i="1"/>
  <c r="R727" i="1"/>
  <c r="U727" i="1"/>
  <c r="M727" i="1"/>
  <c r="V727" i="1"/>
  <c r="AH719" i="1"/>
  <c r="K719" i="1"/>
  <c r="S719" i="1"/>
  <c r="L719" i="1"/>
  <c r="T719" i="1"/>
  <c r="N719" i="1"/>
  <c r="O719" i="1"/>
  <c r="P719" i="1"/>
  <c r="Q719" i="1"/>
  <c r="R719" i="1"/>
  <c r="U719" i="1"/>
  <c r="M719" i="1"/>
  <c r="V719" i="1"/>
  <c r="AH711" i="1"/>
  <c r="K711" i="1"/>
  <c r="S711" i="1"/>
  <c r="L711" i="1"/>
  <c r="T711" i="1"/>
  <c r="N711" i="1"/>
  <c r="O711" i="1"/>
  <c r="P711" i="1"/>
  <c r="Q711" i="1"/>
  <c r="R711" i="1"/>
  <c r="U711" i="1"/>
  <c r="V711" i="1"/>
  <c r="M711" i="1"/>
  <c r="AH703" i="1"/>
  <c r="K703" i="1"/>
  <c r="S703" i="1"/>
  <c r="L703" i="1"/>
  <c r="T703" i="1"/>
  <c r="N703" i="1"/>
  <c r="O703" i="1"/>
  <c r="P703" i="1"/>
  <c r="Q703" i="1"/>
  <c r="R703" i="1"/>
  <c r="U703" i="1"/>
  <c r="M703" i="1"/>
  <c r="V703" i="1"/>
  <c r="AH695" i="1"/>
  <c r="K695" i="1"/>
  <c r="S695" i="1"/>
  <c r="L695" i="1"/>
  <c r="T695" i="1"/>
  <c r="N695" i="1"/>
  <c r="O695" i="1"/>
  <c r="P695" i="1"/>
  <c r="Q695" i="1"/>
  <c r="R695" i="1"/>
  <c r="U695" i="1"/>
  <c r="M695" i="1"/>
  <c r="V695" i="1"/>
  <c r="AH687" i="1"/>
  <c r="K687" i="1"/>
  <c r="S687" i="1"/>
  <c r="L687" i="1"/>
  <c r="T687" i="1"/>
  <c r="N687" i="1"/>
  <c r="O687" i="1"/>
  <c r="P687" i="1"/>
  <c r="Q687" i="1"/>
  <c r="R687" i="1"/>
  <c r="U687" i="1"/>
  <c r="M687" i="1"/>
  <c r="V687" i="1"/>
  <c r="AH679" i="1"/>
  <c r="K679" i="1"/>
  <c r="S679" i="1"/>
  <c r="L679" i="1"/>
  <c r="T679" i="1"/>
  <c r="N679" i="1"/>
  <c r="O679" i="1"/>
  <c r="P679" i="1"/>
  <c r="Q679" i="1"/>
  <c r="R679" i="1"/>
  <c r="U679" i="1"/>
  <c r="V679" i="1"/>
  <c r="M679" i="1"/>
  <c r="AH671" i="1"/>
  <c r="K671" i="1"/>
  <c r="S671" i="1"/>
  <c r="L671" i="1"/>
  <c r="T671" i="1"/>
  <c r="O671" i="1"/>
  <c r="U671" i="1"/>
  <c r="V671" i="1"/>
  <c r="M671" i="1"/>
  <c r="N671" i="1"/>
  <c r="P671" i="1"/>
  <c r="Q671" i="1"/>
  <c r="R671" i="1"/>
  <c r="AH663" i="1"/>
  <c r="K663" i="1"/>
  <c r="S663" i="1"/>
  <c r="L663" i="1"/>
  <c r="T663" i="1"/>
  <c r="O663" i="1"/>
  <c r="N663" i="1"/>
  <c r="P663" i="1"/>
  <c r="Q663" i="1"/>
  <c r="R663" i="1"/>
  <c r="U663" i="1"/>
  <c r="V663" i="1"/>
  <c r="M663" i="1"/>
  <c r="AH655" i="1"/>
  <c r="K655" i="1"/>
  <c r="S655" i="1"/>
  <c r="L655" i="1"/>
  <c r="T655" i="1"/>
  <c r="O655" i="1"/>
  <c r="U655" i="1"/>
  <c r="V655" i="1"/>
  <c r="M655" i="1"/>
  <c r="N655" i="1"/>
  <c r="P655" i="1"/>
  <c r="R655" i="1"/>
  <c r="Q655" i="1"/>
  <c r="AH647" i="1"/>
  <c r="K647" i="1"/>
  <c r="S647" i="1"/>
  <c r="L647" i="1"/>
  <c r="T647" i="1"/>
  <c r="O647" i="1"/>
  <c r="N647" i="1"/>
  <c r="P647" i="1"/>
  <c r="Q647" i="1"/>
  <c r="R647" i="1"/>
  <c r="U647" i="1"/>
  <c r="V647" i="1"/>
  <c r="M647" i="1"/>
  <c r="AH639" i="1"/>
  <c r="K639" i="1"/>
  <c r="S639" i="1"/>
  <c r="L639" i="1"/>
  <c r="T639" i="1"/>
  <c r="O639" i="1"/>
  <c r="U639" i="1"/>
  <c r="V639" i="1"/>
  <c r="M639" i="1"/>
  <c r="N639" i="1"/>
  <c r="P639" i="1"/>
  <c r="Q639" i="1"/>
  <c r="R639" i="1"/>
  <c r="AH631" i="1"/>
  <c r="K631" i="1"/>
  <c r="S631" i="1"/>
  <c r="L631" i="1"/>
  <c r="T631" i="1"/>
  <c r="O631" i="1"/>
  <c r="N631" i="1"/>
  <c r="P631" i="1"/>
  <c r="Q631" i="1"/>
  <c r="R631" i="1"/>
  <c r="U631" i="1"/>
  <c r="V631" i="1"/>
  <c r="M631" i="1"/>
  <c r="AH623" i="1"/>
  <c r="K623" i="1"/>
  <c r="S623" i="1"/>
  <c r="L623" i="1"/>
  <c r="T623" i="1"/>
  <c r="O623" i="1"/>
  <c r="U623" i="1"/>
  <c r="V623" i="1"/>
  <c r="M623" i="1"/>
  <c r="N623" i="1"/>
  <c r="P623" i="1"/>
  <c r="Q623" i="1"/>
  <c r="R623" i="1"/>
  <c r="AH615" i="1"/>
  <c r="K615" i="1"/>
  <c r="S615" i="1"/>
  <c r="Q615" i="1"/>
  <c r="R615" i="1"/>
  <c r="M615" i="1"/>
  <c r="V615" i="1"/>
  <c r="N615" i="1"/>
  <c r="L615" i="1"/>
  <c r="O615" i="1"/>
  <c r="P615" i="1"/>
  <c r="T615" i="1"/>
  <c r="U615" i="1"/>
  <c r="AH607" i="1"/>
  <c r="K607" i="1"/>
  <c r="S607" i="1"/>
  <c r="M607" i="1"/>
  <c r="V607" i="1"/>
  <c r="N607" i="1"/>
  <c r="Q607" i="1"/>
  <c r="R607" i="1"/>
  <c r="O607" i="1"/>
  <c r="P607" i="1"/>
  <c r="T607" i="1"/>
  <c r="U607" i="1"/>
  <c r="L607" i="1"/>
  <c r="AH599" i="1"/>
  <c r="K599" i="1"/>
  <c r="S599" i="1"/>
  <c r="P599" i="1"/>
  <c r="M599" i="1"/>
  <c r="N599" i="1"/>
  <c r="R599" i="1"/>
  <c r="T599" i="1"/>
  <c r="L599" i="1"/>
  <c r="O599" i="1"/>
  <c r="Q599" i="1"/>
  <c r="U599" i="1"/>
  <c r="V599" i="1"/>
  <c r="AH591" i="1"/>
  <c r="K591" i="1"/>
  <c r="S591" i="1"/>
  <c r="P591" i="1"/>
  <c r="M591" i="1"/>
  <c r="N591" i="1"/>
  <c r="O591" i="1"/>
  <c r="R591" i="1"/>
  <c r="T591" i="1"/>
  <c r="U591" i="1"/>
  <c r="V591" i="1"/>
  <c r="L591" i="1"/>
  <c r="Q591" i="1"/>
  <c r="AH583" i="1"/>
  <c r="K583" i="1"/>
  <c r="S583" i="1"/>
  <c r="P583" i="1"/>
  <c r="M583" i="1"/>
  <c r="N583" i="1"/>
  <c r="O583" i="1"/>
  <c r="R583" i="1"/>
  <c r="T583" i="1"/>
  <c r="L583" i="1"/>
  <c r="Q583" i="1"/>
  <c r="U583" i="1"/>
  <c r="V583" i="1"/>
  <c r="AH575" i="1"/>
  <c r="K575" i="1"/>
  <c r="S575" i="1"/>
  <c r="M575" i="1"/>
  <c r="U575" i="1"/>
  <c r="P575" i="1"/>
  <c r="L575" i="1"/>
  <c r="N575" i="1"/>
  <c r="O575" i="1"/>
  <c r="Q575" i="1"/>
  <c r="R575" i="1"/>
  <c r="T575" i="1"/>
  <c r="V575" i="1"/>
  <c r="AH567" i="1"/>
  <c r="K567" i="1"/>
  <c r="S567" i="1"/>
  <c r="M567" i="1"/>
  <c r="U567" i="1"/>
  <c r="P567" i="1"/>
  <c r="R567" i="1"/>
  <c r="T567" i="1"/>
  <c r="V567" i="1"/>
  <c r="L567" i="1"/>
  <c r="N567" i="1"/>
  <c r="O567" i="1"/>
  <c r="Q567" i="1"/>
  <c r="AH559" i="1"/>
  <c r="K559" i="1"/>
  <c r="S559" i="1"/>
  <c r="L559" i="1"/>
  <c r="T559" i="1"/>
  <c r="M559" i="1"/>
  <c r="U559" i="1"/>
  <c r="P559" i="1"/>
  <c r="N559" i="1"/>
  <c r="O559" i="1"/>
  <c r="Q559" i="1"/>
  <c r="R559" i="1"/>
  <c r="V559" i="1"/>
  <c r="AH551" i="1"/>
  <c r="O551" i="1"/>
  <c r="R551" i="1"/>
  <c r="S551" i="1"/>
  <c r="K551" i="1"/>
  <c r="T551" i="1"/>
  <c r="L551" i="1"/>
  <c r="U551" i="1"/>
  <c r="P551" i="1"/>
  <c r="Q551" i="1"/>
  <c r="V551" i="1"/>
  <c r="N551" i="1"/>
  <c r="M551" i="1"/>
  <c r="AH543" i="1"/>
  <c r="M543" i="1"/>
  <c r="U543" i="1"/>
  <c r="O543" i="1"/>
  <c r="P543" i="1"/>
  <c r="R543" i="1"/>
  <c r="S543" i="1"/>
  <c r="K543" i="1"/>
  <c r="L543" i="1"/>
  <c r="T543" i="1"/>
  <c r="N543" i="1"/>
  <c r="Q543" i="1"/>
  <c r="V543" i="1"/>
  <c r="AH535" i="1"/>
  <c r="M535" i="1"/>
  <c r="U535" i="1"/>
  <c r="S535" i="1"/>
  <c r="K535" i="1"/>
  <c r="T535" i="1"/>
  <c r="N535" i="1"/>
  <c r="O535" i="1"/>
  <c r="L535" i="1"/>
  <c r="P535" i="1"/>
  <c r="Q535" i="1"/>
  <c r="R535" i="1"/>
  <c r="V535" i="1"/>
  <c r="AH527" i="1"/>
  <c r="M527" i="1"/>
  <c r="U527" i="1"/>
  <c r="O527" i="1"/>
  <c r="P527" i="1"/>
  <c r="R527" i="1"/>
  <c r="S527" i="1"/>
  <c r="N527" i="1"/>
  <c r="Q527" i="1"/>
  <c r="T527" i="1"/>
  <c r="V527" i="1"/>
  <c r="K527" i="1"/>
  <c r="L527" i="1"/>
  <c r="AH519" i="1"/>
  <c r="M519" i="1"/>
  <c r="U519" i="1"/>
  <c r="S519" i="1"/>
  <c r="K519" i="1"/>
  <c r="T519" i="1"/>
  <c r="N519" i="1"/>
  <c r="O519" i="1"/>
  <c r="R519" i="1"/>
  <c r="V519" i="1"/>
  <c r="P519" i="1"/>
  <c r="L519" i="1"/>
  <c r="Q519" i="1"/>
  <c r="AH511" i="1"/>
  <c r="M511" i="1"/>
  <c r="U511" i="1"/>
  <c r="O511" i="1"/>
  <c r="P511" i="1"/>
  <c r="R511" i="1"/>
  <c r="S511" i="1"/>
  <c r="K511" i="1"/>
  <c r="L511" i="1"/>
  <c r="T511" i="1"/>
  <c r="N511" i="1"/>
  <c r="Q511" i="1"/>
  <c r="V511" i="1"/>
  <c r="AH503" i="1"/>
  <c r="M503" i="1"/>
  <c r="U503" i="1"/>
  <c r="S503" i="1"/>
  <c r="K503" i="1"/>
  <c r="T503" i="1"/>
  <c r="N503" i="1"/>
  <c r="O503" i="1"/>
  <c r="L503" i="1"/>
  <c r="P503" i="1"/>
  <c r="Q503" i="1"/>
  <c r="V503" i="1"/>
  <c r="R503" i="1"/>
  <c r="AH495" i="1"/>
  <c r="K495" i="1"/>
  <c r="S495" i="1"/>
  <c r="M495" i="1"/>
  <c r="U495" i="1"/>
  <c r="O495" i="1"/>
  <c r="Q495" i="1"/>
  <c r="R495" i="1"/>
  <c r="V495" i="1"/>
  <c r="P495" i="1"/>
  <c r="T495" i="1"/>
  <c r="L495" i="1"/>
  <c r="N495" i="1"/>
  <c r="AH487" i="1"/>
  <c r="K487" i="1"/>
  <c r="S487" i="1"/>
  <c r="M487" i="1"/>
  <c r="U487" i="1"/>
  <c r="O487" i="1"/>
  <c r="L487" i="1"/>
  <c r="P487" i="1"/>
  <c r="Q487" i="1"/>
  <c r="N487" i="1"/>
  <c r="R487" i="1"/>
  <c r="T487" i="1"/>
  <c r="V487" i="1"/>
  <c r="AH479" i="1"/>
  <c r="K479" i="1"/>
  <c r="S479" i="1"/>
  <c r="M479" i="1"/>
  <c r="U479" i="1"/>
  <c r="O479" i="1"/>
  <c r="Q479" i="1"/>
  <c r="R479" i="1"/>
  <c r="V479" i="1"/>
  <c r="L479" i="1"/>
  <c r="N479" i="1"/>
  <c r="P479" i="1"/>
  <c r="T479" i="1"/>
  <c r="AH471" i="1"/>
  <c r="K471" i="1"/>
  <c r="S471" i="1"/>
  <c r="M471" i="1"/>
  <c r="U471" i="1"/>
  <c r="O471" i="1"/>
  <c r="L471" i="1"/>
  <c r="P471" i="1"/>
  <c r="Q471" i="1"/>
  <c r="V471" i="1"/>
  <c r="R471" i="1"/>
  <c r="T471" i="1"/>
  <c r="N471" i="1"/>
  <c r="AH463" i="1"/>
  <c r="K463" i="1"/>
  <c r="S463" i="1"/>
  <c r="M463" i="1"/>
  <c r="U463" i="1"/>
  <c r="O463" i="1"/>
  <c r="Q463" i="1"/>
  <c r="R463" i="1"/>
  <c r="V463" i="1"/>
  <c r="P463" i="1"/>
  <c r="T463" i="1"/>
  <c r="L463" i="1"/>
  <c r="N463" i="1"/>
  <c r="AH455" i="1"/>
  <c r="K455" i="1"/>
  <c r="S455" i="1"/>
  <c r="M455" i="1"/>
  <c r="U455" i="1"/>
  <c r="O455" i="1"/>
  <c r="L455" i="1"/>
  <c r="P455" i="1"/>
  <c r="Q455" i="1"/>
  <c r="N455" i="1"/>
  <c r="R455" i="1"/>
  <c r="T455" i="1"/>
  <c r="V455" i="1"/>
  <c r="AH447" i="1"/>
  <c r="L447" i="1"/>
  <c r="M447" i="1"/>
  <c r="U447" i="1"/>
  <c r="N447" i="1"/>
  <c r="R447" i="1"/>
  <c r="T447" i="1"/>
  <c r="K447" i="1"/>
  <c r="P447" i="1"/>
  <c r="Q447" i="1"/>
  <c r="V447" i="1"/>
  <c r="O447" i="1"/>
  <c r="S447" i="1"/>
  <c r="AH439" i="1"/>
  <c r="L439" i="1"/>
  <c r="T439" i="1"/>
  <c r="M439" i="1"/>
  <c r="U439" i="1"/>
  <c r="N439" i="1"/>
  <c r="V439" i="1"/>
  <c r="K439" i="1"/>
  <c r="P439" i="1"/>
  <c r="R439" i="1"/>
  <c r="Q439" i="1"/>
  <c r="S439" i="1"/>
  <c r="O439" i="1"/>
  <c r="AH431" i="1"/>
  <c r="L431" i="1"/>
  <c r="T431" i="1"/>
  <c r="M431" i="1"/>
  <c r="U431" i="1"/>
  <c r="N431" i="1"/>
  <c r="V431" i="1"/>
  <c r="R431" i="1"/>
  <c r="K431" i="1"/>
  <c r="O431" i="1"/>
  <c r="S431" i="1"/>
  <c r="P431" i="1"/>
  <c r="Q431" i="1"/>
  <c r="AH423" i="1"/>
  <c r="L423" i="1"/>
  <c r="T423" i="1"/>
  <c r="M423" i="1"/>
  <c r="U423" i="1"/>
  <c r="N423" i="1"/>
  <c r="V423" i="1"/>
  <c r="K423" i="1"/>
  <c r="P423" i="1"/>
  <c r="R423" i="1"/>
  <c r="Q423" i="1"/>
  <c r="S423" i="1"/>
  <c r="O423" i="1"/>
  <c r="AH415" i="1"/>
  <c r="L415" i="1"/>
  <c r="T415" i="1"/>
  <c r="M415" i="1"/>
  <c r="U415" i="1"/>
  <c r="N415" i="1"/>
  <c r="V415" i="1"/>
  <c r="R415" i="1"/>
  <c r="K415" i="1"/>
  <c r="O415" i="1"/>
  <c r="Q415" i="1"/>
  <c r="S415" i="1"/>
  <c r="P415" i="1"/>
  <c r="AH407" i="1"/>
  <c r="L407" i="1"/>
  <c r="T407" i="1"/>
  <c r="M407" i="1"/>
  <c r="U407" i="1"/>
  <c r="N407" i="1"/>
  <c r="V407" i="1"/>
  <c r="K407" i="1"/>
  <c r="P407" i="1"/>
  <c r="R407" i="1"/>
  <c r="O407" i="1"/>
  <c r="Q407" i="1"/>
  <c r="S407" i="1"/>
  <c r="AH399" i="1"/>
  <c r="L399" i="1"/>
  <c r="T399" i="1"/>
  <c r="M399" i="1"/>
  <c r="U399" i="1"/>
  <c r="N399" i="1"/>
  <c r="V399" i="1"/>
  <c r="R399" i="1"/>
  <c r="K399" i="1"/>
  <c r="Q399" i="1"/>
  <c r="S399" i="1"/>
  <c r="O399" i="1"/>
  <c r="P399" i="1"/>
  <c r="AH391" i="1"/>
  <c r="L391" i="1"/>
  <c r="T391" i="1"/>
  <c r="M391" i="1"/>
  <c r="U391" i="1"/>
  <c r="N391" i="1"/>
  <c r="V391" i="1"/>
  <c r="K391" i="1"/>
  <c r="P391" i="1"/>
  <c r="R391" i="1"/>
  <c r="O391" i="1"/>
  <c r="S391" i="1"/>
  <c r="Q391" i="1"/>
  <c r="AH383" i="1"/>
  <c r="L383" i="1"/>
  <c r="T383" i="1"/>
  <c r="M383" i="1"/>
  <c r="U383" i="1"/>
  <c r="N383" i="1"/>
  <c r="V383" i="1"/>
  <c r="R383" i="1"/>
  <c r="K383" i="1"/>
  <c r="O383" i="1"/>
  <c r="P383" i="1"/>
  <c r="Q383" i="1"/>
  <c r="S383" i="1"/>
  <c r="AH375" i="1"/>
  <c r="Q375" i="1"/>
  <c r="K375" i="1"/>
  <c r="S375" i="1"/>
  <c r="R375" i="1"/>
  <c r="T375" i="1"/>
  <c r="U375" i="1"/>
  <c r="V375" i="1"/>
  <c r="M375" i="1"/>
  <c r="L375" i="1"/>
  <c r="P375" i="1"/>
  <c r="N375" i="1"/>
  <c r="O375" i="1"/>
  <c r="AH367" i="1"/>
  <c r="Q367" i="1"/>
  <c r="R367" i="1"/>
  <c r="K367" i="1"/>
  <c r="S367" i="1"/>
  <c r="N367" i="1"/>
  <c r="O367" i="1"/>
  <c r="P367" i="1"/>
  <c r="V367" i="1"/>
  <c r="L367" i="1"/>
  <c r="M367" i="1"/>
  <c r="U367" i="1"/>
  <c r="T367" i="1"/>
  <c r="AH359" i="1"/>
  <c r="Q359" i="1"/>
  <c r="R359" i="1"/>
  <c r="K359" i="1"/>
  <c r="S359" i="1"/>
  <c r="L359" i="1"/>
  <c r="T359" i="1"/>
  <c r="O359" i="1"/>
  <c r="V359" i="1"/>
  <c r="N359" i="1"/>
  <c r="P359" i="1"/>
  <c r="M359" i="1"/>
  <c r="U359" i="1"/>
  <c r="AH351" i="1"/>
  <c r="Q351" i="1"/>
  <c r="R351" i="1"/>
  <c r="K351" i="1"/>
  <c r="S351" i="1"/>
  <c r="L351" i="1"/>
  <c r="T351" i="1"/>
  <c r="O351" i="1"/>
  <c r="M351" i="1"/>
  <c r="N351" i="1"/>
  <c r="P351" i="1"/>
  <c r="U351" i="1"/>
  <c r="V351" i="1"/>
  <c r="AH343" i="1"/>
  <c r="Q343" i="1"/>
  <c r="R343" i="1"/>
  <c r="K343" i="1"/>
  <c r="S343" i="1"/>
  <c r="L343" i="1"/>
  <c r="T343" i="1"/>
  <c r="O343" i="1"/>
  <c r="V343" i="1"/>
  <c r="N343" i="1"/>
  <c r="U343" i="1"/>
  <c r="M343" i="1"/>
  <c r="P343" i="1"/>
  <c r="AH335" i="1"/>
  <c r="Q335" i="1"/>
  <c r="R335" i="1"/>
  <c r="K335" i="1"/>
  <c r="S335" i="1"/>
  <c r="L335" i="1"/>
  <c r="T335" i="1"/>
  <c r="O335" i="1"/>
  <c r="M335" i="1"/>
  <c r="N335" i="1"/>
  <c r="P335" i="1"/>
  <c r="U335" i="1"/>
  <c r="V335" i="1"/>
  <c r="AH327" i="1"/>
  <c r="Q327" i="1"/>
  <c r="R327" i="1"/>
  <c r="K327" i="1"/>
  <c r="S327" i="1"/>
  <c r="L327" i="1"/>
  <c r="T327" i="1"/>
  <c r="O327" i="1"/>
  <c r="V327" i="1"/>
  <c r="N327" i="1"/>
  <c r="P327" i="1"/>
  <c r="M327" i="1"/>
  <c r="U327" i="1"/>
  <c r="AH319" i="1"/>
  <c r="Q319" i="1"/>
  <c r="R319" i="1"/>
  <c r="K319" i="1"/>
  <c r="S319" i="1"/>
  <c r="L319" i="1"/>
  <c r="T319" i="1"/>
  <c r="O319" i="1"/>
  <c r="M319" i="1"/>
  <c r="N319" i="1"/>
  <c r="P319" i="1"/>
  <c r="U319" i="1"/>
  <c r="V319" i="1"/>
  <c r="AH311" i="1"/>
  <c r="M311" i="1"/>
  <c r="U311" i="1"/>
  <c r="N311" i="1"/>
  <c r="O311" i="1"/>
  <c r="P311" i="1"/>
  <c r="Q311" i="1"/>
  <c r="K311" i="1"/>
  <c r="T311" i="1"/>
  <c r="L311" i="1"/>
  <c r="R311" i="1"/>
  <c r="S311" i="1"/>
  <c r="V311" i="1"/>
  <c r="AH303" i="1"/>
  <c r="M303" i="1"/>
  <c r="U303" i="1"/>
  <c r="R303" i="1"/>
  <c r="S303" i="1"/>
  <c r="P303" i="1"/>
  <c r="Q303" i="1"/>
  <c r="T303" i="1"/>
  <c r="V303" i="1"/>
  <c r="N303" i="1"/>
  <c r="K303" i="1"/>
  <c r="L303" i="1"/>
  <c r="O303" i="1"/>
  <c r="AH295" i="1"/>
  <c r="M295" i="1"/>
  <c r="U295" i="1"/>
  <c r="N295" i="1"/>
  <c r="O295" i="1"/>
  <c r="Q295" i="1"/>
  <c r="R295" i="1"/>
  <c r="S295" i="1"/>
  <c r="T295" i="1"/>
  <c r="V295" i="1"/>
  <c r="L295" i="1"/>
  <c r="K295" i="1"/>
  <c r="P295" i="1"/>
  <c r="AH287" i="1"/>
  <c r="M287" i="1"/>
  <c r="U287" i="1"/>
  <c r="R287" i="1"/>
  <c r="S287" i="1"/>
  <c r="L287" i="1"/>
  <c r="V287" i="1"/>
  <c r="N287" i="1"/>
  <c r="K287" i="1"/>
  <c r="O287" i="1"/>
  <c r="P287" i="1"/>
  <c r="Q287" i="1"/>
  <c r="T287" i="1"/>
  <c r="AH279" i="1"/>
  <c r="M279" i="1"/>
  <c r="U279" i="1"/>
  <c r="N279" i="1"/>
  <c r="O279" i="1"/>
  <c r="Q279" i="1"/>
  <c r="R279" i="1"/>
  <c r="L279" i="1"/>
  <c r="P279" i="1"/>
  <c r="S279" i="1"/>
  <c r="T279" i="1"/>
  <c r="K279" i="1"/>
  <c r="V279" i="1"/>
  <c r="AH271" i="1"/>
  <c r="M271" i="1"/>
  <c r="U271" i="1"/>
  <c r="R271" i="1"/>
  <c r="S271" i="1"/>
  <c r="L271" i="1"/>
  <c r="V271" i="1"/>
  <c r="N271" i="1"/>
  <c r="Q271" i="1"/>
  <c r="T271" i="1"/>
  <c r="O271" i="1"/>
  <c r="K271" i="1"/>
  <c r="P271" i="1"/>
  <c r="AH263" i="1"/>
  <c r="M263" i="1"/>
  <c r="U263" i="1"/>
  <c r="N263" i="1"/>
  <c r="O263" i="1"/>
  <c r="Q263" i="1"/>
  <c r="R263" i="1"/>
  <c r="V263" i="1"/>
  <c r="K263" i="1"/>
  <c r="S263" i="1"/>
  <c r="L263" i="1"/>
  <c r="P263" i="1"/>
  <c r="T263" i="1"/>
  <c r="AH255" i="1"/>
  <c r="M255" i="1"/>
  <c r="U255" i="1"/>
  <c r="Q255" i="1"/>
  <c r="N255" i="1"/>
  <c r="O255" i="1"/>
  <c r="R255" i="1"/>
  <c r="S255" i="1"/>
  <c r="L255" i="1"/>
  <c r="P255" i="1"/>
  <c r="T255" i="1"/>
  <c r="V255" i="1"/>
  <c r="K255" i="1"/>
  <c r="AH247" i="1"/>
  <c r="L247" i="1"/>
  <c r="T247" i="1"/>
  <c r="N247" i="1"/>
  <c r="V247" i="1"/>
  <c r="P247" i="1"/>
  <c r="U247" i="1"/>
  <c r="S247" i="1"/>
  <c r="K247" i="1"/>
  <c r="M247" i="1"/>
  <c r="R247" i="1"/>
  <c r="O247" i="1"/>
  <c r="Q247" i="1"/>
  <c r="AH239" i="1"/>
  <c r="L239" i="1"/>
  <c r="T239" i="1"/>
  <c r="N239" i="1"/>
  <c r="V239" i="1"/>
  <c r="P239" i="1"/>
  <c r="U239" i="1"/>
  <c r="M239" i="1"/>
  <c r="R239" i="1"/>
  <c r="S239" i="1"/>
  <c r="Q239" i="1"/>
  <c r="K239" i="1"/>
  <c r="O239" i="1"/>
  <c r="AH231" i="1"/>
  <c r="L231" i="1"/>
  <c r="T231" i="1"/>
  <c r="N231" i="1"/>
  <c r="V231" i="1"/>
  <c r="P231" i="1"/>
  <c r="M231" i="1"/>
  <c r="S231" i="1"/>
  <c r="Q231" i="1"/>
  <c r="R231" i="1"/>
  <c r="K231" i="1"/>
  <c r="O231" i="1"/>
  <c r="U231" i="1"/>
  <c r="AH223" i="1"/>
  <c r="L223" i="1"/>
  <c r="T223" i="1"/>
  <c r="N223" i="1"/>
  <c r="V223" i="1"/>
  <c r="P223" i="1"/>
  <c r="S223" i="1"/>
  <c r="M223" i="1"/>
  <c r="Q223" i="1"/>
  <c r="K223" i="1"/>
  <c r="R223" i="1"/>
  <c r="U223" i="1"/>
  <c r="O223" i="1"/>
  <c r="AH215" i="1"/>
  <c r="L215" i="1"/>
  <c r="T215" i="1"/>
  <c r="N215" i="1"/>
  <c r="V215" i="1"/>
  <c r="P215" i="1"/>
  <c r="M215" i="1"/>
  <c r="R215" i="1"/>
  <c r="S215" i="1"/>
  <c r="O215" i="1"/>
  <c r="Q215" i="1"/>
  <c r="K215" i="1"/>
  <c r="U215" i="1"/>
  <c r="AH207" i="1"/>
  <c r="N207" i="1"/>
  <c r="V207" i="1"/>
  <c r="O207" i="1"/>
  <c r="P207" i="1"/>
  <c r="Q207" i="1"/>
  <c r="U207" i="1"/>
  <c r="K207" i="1"/>
  <c r="M207" i="1"/>
  <c r="R207" i="1"/>
  <c r="S207" i="1"/>
  <c r="L207" i="1"/>
  <c r="T207" i="1"/>
  <c r="AH199" i="1"/>
  <c r="N199" i="1"/>
  <c r="V199" i="1"/>
  <c r="O199" i="1"/>
  <c r="P199" i="1"/>
  <c r="Q199" i="1"/>
  <c r="U199" i="1"/>
  <c r="K199" i="1"/>
  <c r="M199" i="1"/>
  <c r="L199" i="1"/>
  <c r="S199" i="1"/>
  <c r="R199" i="1"/>
  <c r="T199" i="1"/>
  <c r="AH191" i="1"/>
  <c r="N191" i="1"/>
  <c r="V191" i="1"/>
  <c r="O191" i="1"/>
  <c r="P191" i="1"/>
  <c r="Q191" i="1"/>
  <c r="U191" i="1"/>
  <c r="K191" i="1"/>
  <c r="M191" i="1"/>
  <c r="S191" i="1"/>
  <c r="L191" i="1"/>
  <c r="T191" i="1"/>
  <c r="R191" i="1"/>
  <c r="AH183" i="1"/>
  <c r="N183" i="1"/>
  <c r="V183" i="1"/>
  <c r="O183" i="1"/>
  <c r="P183" i="1"/>
  <c r="Q183" i="1"/>
  <c r="L183" i="1"/>
  <c r="T183" i="1"/>
  <c r="K183" i="1"/>
  <c r="R183" i="1"/>
  <c r="U183" i="1"/>
  <c r="M183" i="1"/>
  <c r="S183" i="1"/>
  <c r="AH175" i="1"/>
  <c r="N175" i="1"/>
  <c r="V175" i="1"/>
  <c r="O175" i="1"/>
  <c r="P175" i="1"/>
  <c r="Q175" i="1"/>
  <c r="L175" i="1"/>
  <c r="T175" i="1"/>
  <c r="U175" i="1"/>
  <c r="K175" i="1"/>
  <c r="R175" i="1"/>
  <c r="S175" i="1"/>
  <c r="M175" i="1"/>
  <c r="AH167" i="1"/>
  <c r="N167" i="1"/>
  <c r="V167" i="1"/>
  <c r="O167" i="1"/>
  <c r="P167" i="1"/>
  <c r="Q167" i="1"/>
  <c r="L167" i="1"/>
  <c r="T167" i="1"/>
  <c r="K167" i="1"/>
  <c r="R167" i="1"/>
  <c r="U167" i="1"/>
  <c r="S167" i="1"/>
  <c r="M167" i="1"/>
  <c r="AH159" i="1"/>
  <c r="N159" i="1"/>
  <c r="V159" i="1"/>
  <c r="O159" i="1"/>
  <c r="P159" i="1"/>
  <c r="Q159" i="1"/>
  <c r="L159" i="1"/>
  <c r="T159" i="1"/>
  <c r="U159" i="1"/>
  <c r="K159" i="1"/>
  <c r="M159" i="1"/>
  <c r="R159" i="1"/>
  <c r="S159" i="1"/>
  <c r="AH151" i="1"/>
  <c r="N151" i="1"/>
  <c r="V151" i="1"/>
  <c r="O151" i="1"/>
  <c r="P151" i="1"/>
  <c r="Q151" i="1"/>
  <c r="L151" i="1"/>
  <c r="T151" i="1"/>
  <c r="M151" i="1"/>
  <c r="U151" i="1"/>
  <c r="K151" i="1"/>
  <c r="S151" i="1"/>
  <c r="R151" i="1"/>
  <c r="AH143" i="1"/>
  <c r="N143" i="1"/>
  <c r="V143" i="1"/>
  <c r="O143" i="1"/>
  <c r="P143" i="1"/>
  <c r="Q143" i="1"/>
  <c r="K143" i="1"/>
  <c r="L143" i="1"/>
  <c r="T143" i="1"/>
  <c r="M143" i="1"/>
  <c r="U143" i="1"/>
  <c r="S143" i="1"/>
  <c r="R143" i="1"/>
  <c r="AH135" i="1"/>
  <c r="N135" i="1"/>
  <c r="V135" i="1"/>
  <c r="O135" i="1"/>
  <c r="P135" i="1"/>
  <c r="Q135" i="1"/>
  <c r="K135" i="1"/>
  <c r="S135" i="1"/>
  <c r="L135" i="1"/>
  <c r="T135" i="1"/>
  <c r="M135" i="1"/>
  <c r="U135" i="1"/>
  <c r="R135" i="1"/>
  <c r="AH127" i="1"/>
  <c r="O127" i="1"/>
  <c r="P127" i="1"/>
  <c r="M127" i="1"/>
  <c r="U127" i="1"/>
  <c r="T127" i="1"/>
  <c r="V127" i="1"/>
  <c r="K127" i="1"/>
  <c r="L127" i="1"/>
  <c r="Q127" i="1"/>
  <c r="R127" i="1"/>
  <c r="S127" i="1"/>
  <c r="N127" i="1"/>
  <c r="AH119" i="1"/>
  <c r="O119" i="1"/>
  <c r="P119" i="1"/>
  <c r="L119" i="1"/>
  <c r="T119" i="1"/>
  <c r="M119" i="1"/>
  <c r="U119" i="1"/>
  <c r="V119" i="1"/>
  <c r="K119" i="1"/>
  <c r="N119" i="1"/>
  <c r="Q119" i="1"/>
  <c r="R119" i="1"/>
  <c r="S119" i="1"/>
  <c r="AH111" i="1"/>
  <c r="O111" i="1"/>
  <c r="P111" i="1"/>
  <c r="L111" i="1"/>
  <c r="T111" i="1"/>
  <c r="M111" i="1"/>
  <c r="U111" i="1"/>
  <c r="V111" i="1"/>
  <c r="K111" i="1"/>
  <c r="N111" i="1"/>
  <c r="Q111" i="1"/>
  <c r="R111" i="1"/>
  <c r="S111" i="1"/>
  <c r="AH103" i="1"/>
  <c r="O103" i="1"/>
  <c r="P103" i="1"/>
  <c r="L103" i="1"/>
  <c r="T103" i="1"/>
  <c r="M103" i="1"/>
  <c r="U103" i="1"/>
  <c r="V103" i="1"/>
  <c r="K103" i="1"/>
  <c r="N103" i="1"/>
  <c r="Q103" i="1"/>
  <c r="R103" i="1"/>
  <c r="S103" i="1"/>
  <c r="AH95" i="1"/>
  <c r="O95" i="1"/>
  <c r="P95" i="1"/>
  <c r="L95" i="1"/>
  <c r="T95" i="1"/>
  <c r="M95" i="1"/>
  <c r="U95" i="1"/>
  <c r="V95" i="1"/>
  <c r="K95" i="1"/>
  <c r="N95" i="1"/>
  <c r="Q95" i="1"/>
  <c r="R95" i="1"/>
  <c r="S95" i="1"/>
  <c r="AH87" i="1"/>
  <c r="M87" i="1"/>
  <c r="U87" i="1"/>
  <c r="N87" i="1"/>
  <c r="V87" i="1"/>
  <c r="P87" i="1"/>
  <c r="T87" i="1"/>
  <c r="Q87" i="1"/>
  <c r="R87" i="1"/>
  <c r="K87" i="1"/>
  <c r="L87" i="1"/>
  <c r="O87" i="1"/>
  <c r="S87" i="1"/>
  <c r="AH79" i="1"/>
  <c r="M79" i="1"/>
  <c r="U79" i="1"/>
  <c r="N79" i="1"/>
  <c r="V79" i="1"/>
  <c r="O79" i="1"/>
  <c r="P79" i="1"/>
  <c r="Q79" i="1"/>
  <c r="K79" i="1"/>
  <c r="S79" i="1"/>
  <c r="L79" i="1"/>
  <c r="R79" i="1"/>
  <c r="T79" i="1"/>
  <c r="AH71" i="1"/>
  <c r="M71" i="1"/>
  <c r="U71" i="1"/>
  <c r="N71" i="1"/>
  <c r="V71" i="1"/>
  <c r="O71" i="1"/>
  <c r="P71" i="1"/>
  <c r="Q71" i="1"/>
  <c r="K71" i="1"/>
  <c r="S71" i="1"/>
  <c r="L71" i="1"/>
  <c r="R71" i="1"/>
  <c r="T71" i="1"/>
  <c r="AH63" i="1"/>
  <c r="M63" i="1"/>
  <c r="U63" i="1"/>
  <c r="N63" i="1"/>
  <c r="V63" i="1"/>
  <c r="O63" i="1"/>
  <c r="P63" i="1"/>
  <c r="Q63" i="1"/>
  <c r="K63" i="1"/>
  <c r="S63" i="1"/>
  <c r="L63" i="1"/>
  <c r="R63" i="1"/>
  <c r="T63" i="1"/>
  <c r="AH55" i="1"/>
  <c r="M55" i="1"/>
  <c r="U55" i="1"/>
  <c r="N55" i="1"/>
  <c r="V55" i="1"/>
  <c r="P55" i="1"/>
  <c r="K55" i="1"/>
  <c r="L55" i="1"/>
  <c r="O55" i="1"/>
  <c r="Q55" i="1"/>
  <c r="S55" i="1"/>
  <c r="R55" i="1"/>
  <c r="T55" i="1"/>
  <c r="AH47" i="1"/>
  <c r="M47" i="1"/>
  <c r="U47" i="1"/>
  <c r="N47" i="1"/>
  <c r="V47" i="1"/>
  <c r="P47" i="1"/>
  <c r="Q47" i="1"/>
  <c r="R47" i="1"/>
  <c r="S47" i="1"/>
  <c r="T47" i="1"/>
  <c r="L47" i="1"/>
  <c r="K47" i="1"/>
  <c r="O47" i="1"/>
  <c r="AH39" i="1"/>
  <c r="R39" i="1"/>
  <c r="M39" i="1"/>
  <c r="U39" i="1"/>
  <c r="N39" i="1"/>
  <c r="V39" i="1"/>
  <c r="P39" i="1"/>
  <c r="K39" i="1"/>
  <c r="L39" i="1"/>
  <c r="O39" i="1"/>
  <c r="S39" i="1"/>
  <c r="Q39" i="1"/>
  <c r="T39" i="1"/>
  <c r="AH31" i="1"/>
  <c r="R31" i="1"/>
  <c r="M31" i="1"/>
  <c r="U31" i="1"/>
  <c r="N31" i="1"/>
  <c r="V31" i="1"/>
  <c r="P31" i="1"/>
  <c r="Q31" i="1"/>
  <c r="T31" i="1"/>
  <c r="K31" i="1"/>
  <c r="O31" i="1"/>
  <c r="L31" i="1"/>
  <c r="S31" i="1"/>
  <c r="AH23" i="1"/>
  <c r="R23" i="1"/>
  <c r="M23" i="1"/>
  <c r="U23" i="1"/>
  <c r="N23" i="1"/>
  <c r="V23" i="1"/>
  <c r="P23" i="1"/>
  <c r="Q23" i="1"/>
  <c r="K23" i="1"/>
  <c r="L23" i="1"/>
  <c r="O23" i="1"/>
  <c r="S23" i="1"/>
  <c r="T23" i="1"/>
  <c r="AH15" i="1"/>
  <c r="R15" i="1"/>
  <c r="M15" i="1"/>
  <c r="U15" i="1"/>
  <c r="N15" i="1"/>
  <c r="V15" i="1"/>
  <c r="P15" i="1"/>
  <c r="Q15" i="1"/>
  <c r="T15" i="1"/>
  <c r="K15" i="1"/>
  <c r="O15" i="1"/>
  <c r="S15" i="1"/>
  <c r="L15" i="1"/>
  <c r="AH7" i="1"/>
  <c r="R7" i="1"/>
  <c r="M7" i="1"/>
  <c r="U7" i="1"/>
  <c r="N7" i="1"/>
  <c r="V7" i="1"/>
  <c r="P7" i="1"/>
  <c r="Q7" i="1"/>
  <c r="K7" i="1"/>
  <c r="L7" i="1"/>
  <c r="O7" i="1"/>
  <c r="S7" i="1"/>
  <c r="T7" i="1"/>
  <c r="S1741" i="1"/>
  <c r="K1741" i="1"/>
  <c r="O1740" i="1"/>
  <c r="S1739" i="1"/>
  <c r="K1739" i="1"/>
  <c r="O1738" i="1"/>
  <c r="S1737" i="1"/>
  <c r="K1737" i="1"/>
  <c r="O1736" i="1"/>
  <c r="S1735" i="1"/>
  <c r="K1735" i="1"/>
  <c r="O1734" i="1"/>
  <c r="S1733" i="1"/>
  <c r="K1733" i="1"/>
  <c r="O1732" i="1"/>
  <c r="S1731" i="1"/>
  <c r="K1731" i="1"/>
  <c r="O1730" i="1"/>
  <c r="S1729" i="1"/>
  <c r="K1729" i="1"/>
  <c r="O1728" i="1"/>
  <c r="S1727" i="1"/>
  <c r="K1727" i="1"/>
  <c r="O1726" i="1"/>
  <c r="S1725" i="1"/>
  <c r="K1725" i="1"/>
  <c r="S1719" i="1"/>
  <c r="K1719" i="1"/>
  <c r="S1717" i="1"/>
  <c r="K1717" i="1"/>
  <c r="S1711" i="1"/>
  <c r="K1711" i="1"/>
  <c r="N1703" i="1"/>
  <c r="S1695" i="1"/>
  <c r="N1687" i="1"/>
  <c r="O1679" i="1"/>
  <c r="O1663" i="1"/>
  <c r="O1647" i="1"/>
  <c r="O1631" i="1"/>
  <c r="Q1343" i="1"/>
  <c r="AH1702" i="1"/>
  <c r="P1702" i="1"/>
  <c r="Q1702" i="1"/>
  <c r="M1702" i="1"/>
  <c r="U1702" i="1"/>
  <c r="AH1694" i="1"/>
  <c r="P1694" i="1"/>
  <c r="Q1694" i="1"/>
  <c r="M1694" i="1"/>
  <c r="U1694" i="1"/>
  <c r="AH1686" i="1"/>
  <c r="P1686" i="1"/>
  <c r="Q1686" i="1"/>
  <c r="M1686" i="1"/>
  <c r="U1686" i="1"/>
  <c r="AH1678" i="1"/>
  <c r="P1678" i="1"/>
  <c r="Q1678" i="1"/>
  <c r="R1678" i="1"/>
  <c r="M1678" i="1"/>
  <c r="U1678" i="1"/>
  <c r="AH1670" i="1"/>
  <c r="O1670" i="1"/>
  <c r="P1670" i="1"/>
  <c r="Q1670" i="1"/>
  <c r="R1670" i="1"/>
  <c r="M1670" i="1"/>
  <c r="U1670" i="1"/>
  <c r="AH1662" i="1"/>
  <c r="O1662" i="1"/>
  <c r="P1662" i="1"/>
  <c r="Q1662" i="1"/>
  <c r="R1662" i="1"/>
  <c r="M1662" i="1"/>
  <c r="U1662" i="1"/>
  <c r="AH1654" i="1"/>
  <c r="O1654" i="1"/>
  <c r="P1654" i="1"/>
  <c r="Q1654" i="1"/>
  <c r="R1654" i="1"/>
  <c r="M1654" i="1"/>
  <c r="U1654" i="1"/>
  <c r="AH1646" i="1"/>
  <c r="O1646" i="1"/>
  <c r="P1646" i="1"/>
  <c r="Q1646" i="1"/>
  <c r="R1646" i="1"/>
  <c r="M1646" i="1"/>
  <c r="U1646" i="1"/>
  <c r="AH1638" i="1"/>
  <c r="O1638" i="1"/>
  <c r="P1638" i="1"/>
  <c r="Q1638" i="1"/>
  <c r="R1638" i="1"/>
  <c r="M1638" i="1"/>
  <c r="U1638" i="1"/>
  <c r="AH1630" i="1"/>
  <c r="O1630" i="1"/>
  <c r="P1630" i="1"/>
  <c r="Q1630" i="1"/>
  <c r="R1630" i="1"/>
  <c r="M1630" i="1"/>
  <c r="U1630" i="1"/>
  <c r="AH1622" i="1"/>
  <c r="O1622" i="1"/>
  <c r="P1622" i="1"/>
  <c r="Q1622" i="1"/>
  <c r="R1622" i="1"/>
  <c r="K1622" i="1"/>
  <c r="S1622" i="1"/>
  <c r="M1622" i="1"/>
  <c r="U1622" i="1"/>
  <c r="AH1614" i="1"/>
  <c r="O1614" i="1"/>
  <c r="P1614" i="1"/>
  <c r="Q1614" i="1"/>
  <c r="R1614" i="1"/>
  <c r="K1614" i="1"/>
  <c r="S1614" i="1"/>
  <c r="M1614" i="1"/>
  <c r="U1614" i="1"/>
  <c r="AH1606" i="1"/>
  <c r="O1606" i="1"/>
  <c r="P1606" i="1"/>
  <c r="Q1606" i="1"/>
  <c r="R1606" i="1"/>
  <c r="K1606" i="1"/>
  <c r="S1606" i="1"/>
  <c r="M1606" i="1"/>
  <c r="U1606" i="1"/>
  <c r="AH1598" i="1"/>
  <c r="O1598" i="1"/>
  <c r="P1598" i="1"/>
  <c r="Q1598" i="1"/>
  <c r="R1598" i="1"/>
  <c r="K1598" i="1"/>
  <c r="S1598" i="1"/>
  <c r="M1598" i="1"/>
  <c r="U1598" i="1"/>
  <c r="AH1590" i="1"/>
  <c r="O1590" i="1"/>
  <c r="P1590" i="1"/>
  <c r="Q1590" i="1"/>
  <c r="R1590" i="1"/>
  <c r="K1590" i="1"/>
  <c r="S1590" i="1"/>
  <c r="M1590" i="1"/>
  <c r="U1590" i="1"/>
  <c r="AH1582" i="1"/>
  <c r="O1582" i="1"/>
  <c r="P1582" i="1"/>
  <c r="Q1582" i="1"/>
  <c r="R1582" i="1"/>
  <c r="K1582" i="1"/>
  <c r="S1582" i="1"/>
  <c r="M1582" i="1"/>
  <c r="U1582" i="1"/>
  <c r="AH1574" i="1"/>
  <c r="O1574" i="1"/>
  <c r="P1574" i="1"/>
  <c r="Q1574" i="1"/>
  <c r="R1574" i="1"/>
  <c r="K1574" i="1"/>
  <c r="S1574" i="1"/>
  <c r="M1574" i="1"/>
  <c r="U1574" i="1"/>
  <c r="AH1566" i="1"/>
  <c r="O1566" i="1"/>
  <c r="P1566" i="1"/>
  <c r="Q1566" i="1"/>
  <c r="R1566" i="1"/>
  <c r="K1566" i="1"/>
  <c r="S1566" i="1"/>
  <c r="M1566" i="1"/>
  <c r="U1566" i="1"/>
  <c r="AH1558" i="1"/>
  <c r="O1558" i="1"/>
  <c r="P1558" i="1"/>
  <c r="Q1558" i="1"/>
  <c r="R1558" i="1"/>
  <c r="K1558" i="1"/>
  <c r="S1558" i="1"/>
  <c r="M1558" i="1"/>
  <c r="U1558" i="1"/>
  <c r="AH1550" i="1"/>
  <c r="O1550" i="1"/>
  <c r="P1550" i="1"/>
  <c r="Q1550" i="1"/>
  <c r="R1550" i="1"/>
  <c r="K1550" i="1"/>
  <c r="S1550" i="1"/>
  <c r="M1550" i="1"/>
  <c r="U1550" i="1"/>
  <c r="AH1542" i="1"/>
  <c r="O1542" i="1"/>
  <c r="P1542" i="1"/>
  <c r="Q1542" i="1"/>
  <c r="R1542" i="1"/>
  <c r="K1542" i="1"/>
  <c r="S1542" i="1"/>
  <c r="M1542" i="1"/>
  <c r="U1542" i="1"/>
  <c r="AH1534" i="1"/>
  <c r="O1534" i="1"/>
  <c r="P1534" i="1"/>
  <c r="Q1534" i="1"/>
  <c r="R1534" i="1"/>
  <c r="K1534" i="1"/>
  <c r="S1534" i="1"/>
  <c r="M1534" i="1"/>
  <c r="U1534" i="1"/>
  <c r="AH1526" i="1"/>
  <c r="O1526" i="1"/>
  <c r="P1526" i="1"/>
  <c r="Q1526" i="1"/>
  <c r="R1526" i="1"/>
  <c r="K1526" i="1"/>
  <c r="S1526" i="1"/>
  <c r="M1526" i="1"/>
  <c r="U1526" i="1"/>
  <c r="AH1518" i="1"/>
  <c r="O1518" i="1"/>
  <c r="P1518" i="1"/>
  <c r="Q1518" i="1"/>
  <c r="R1518" i="1"/>
  <c r="K1518" i="1"/>
  <c r="S1518" i="1"/>
  <c r="M1518" i="1"/>
  <c r="U1518" i="1"/>
  <c r="AH1510" i="1"/>
  <c r="O1510" i="1"/>
  <c r="P1510" i="1"/>
  <c r="Q1510" i="1"/>
  <c r="R1510" i="1"/>
  <c r="K1510" i="1"/>
  <c r="S1510" i="1"/>
  <c r="M1510" i="1"/>
  <c r="U1510" i="1"/>
  <c r="AH1502" i="1"/>
  <c r="O1502" i="1"/>
  <c r="P1502" i="1"/>
  <c r="Q1502" i="1"/>
  <c r="R1502" i="1"/>
  <c r="K1502" i="1"/>
  <c r="S1502" i="1"/>
  <c r="M1502" i="1"/>
  <c r="U1502" i="1"/>
  <c r="AH1494" i="1"/>
  <c r="O1494" i="1"/>
  <c r="P1494" i="1"/>
  <c r="Q1494" i="1"/>
  <c r="R1494" i="1"/>
  <c r="K1494" i="1"/>
  <c r="S1494" i="1"/>
  <c r="M1494" i="1"/>
  <c r="U1494" i="1"/>
  <c r="AH1486" i="1"/>
  <c r="O1486" i="1"/>
  <c r="P1486" i="1"/>
  <c r="Q1486" i="1"/>
  <c r="R1486" i="1"/>
  <c r="K1486" i="1"/>
  <c r="S1486" i="1"/>
  <c r="M1486" i="1"/>
  <c r="U1486" i="1"/>
  <c r="AH1478" i="1"/>
  <c r="O1478" i="1"/>
  <c r="P1478" i="1"/>
  <c r="Q1478" i="1"/>
  <c r="R1478" i="1"/>
  <c r="K1478" i="1"/>
  <c r="S1478" i="1"/>
  <c r="M1478" i="1"/>
  <c r="U1478" i="1"/>
  <c r="AH1470" i="1"/>
  <c r="O1470" i="1"/>
  <c r="P1470" i="1"/>
  <c r="Q1470" i="1"/>
  <c r="R1470" i="1"/>
  <c r="K1470" i="1"/>
  <c r="S1470" i="1"/>
  <c r="M1470" i="1"/>
  <c r="U1470" i="1"/>
  <c r="AH1462" i="1"/>
  <c r="O1462" i="1"/>
  <c r="P1462" i="1"/>
  <c r="Q1462" i="1"/>
  <c r="R1462" i="1"/>
  <c r="K1462" i="1"/>
  <c r="S1462" i="1"/>
  <c r="M1462" i="1"/>
  <c r="U1462" i="1"/>
  <c r="AH1454" i="1"/>
  <c r="O1454" i="1"/>
  <c r="P1454" i="1"/>
  <c r="Q1454" i="1"/>
  <c r="R1454" i="1"/>
  <c r="K1454" i="1"/>
  <c r="S1454" i="1"/>
  <c r="M1454" i="1"/>
  <c r="U1454" i="1"/>
  <c r="AH1446" i="1"/>
  <c r="O1446" i="1"/>
  <c r="P1446" i="1"/>
  <c r="Q1446" i="1"/>
  <c r="R1446" i="1"/>
  <c r="K1446" i="1"/>
  <c r="S1446" i="1"/>
  <c r="M1446" i="1"/>
  <c r="U1446" i="1"/>
  <c r="AH1438" i="1"/>
  <c r="O1438" i="1"/>
  <c r="P1438" i="1"/>
  <c r="Q1438" i="1"/>
  <c r="R1438" i="1"/>
  <c r="K1438" i="1"/>
  <c r="S1438" i="1"/>
  <c r="M1438" i="1"/>
  <c r="U1438" i="1"/>
  <c r="AH1430" i="1"/>
  <c r="O1430" i="1"/>
  <c r="P1430" i="1"/>
  <c r="Q1430" i="1"/>
  <c r="R1430" i="1"/>
  <c r="K1430" i="1"/>
  <c r="S1430" i="1"/>
  <c r="M1430" i="1"/>
  <c r="U1430" i="1"/>
  <c r="AH1422" i="1"/>
  <c r="O1422" i="1"/>
  <c r="P1422" i="1"/>
  <c r="Q1422" i="1"/>
  <c r="R1422" i="1"/>
  <c r="K1422" i="1"/>
  <c r="S1422" i="1"/>
  <c r="M1422" i="1"/>
  <c r="U1422" i="1"/>
  <c r="AH1414" i="1"/>
  <c r="O1414" i="1"/>
  <c r="P1414" i="1"/>
  <c r="Q1414" i="1"/>
  <c r="R1414" i="1"/>
  <c r="K1414" i="1"/>
  <c r="S1414" i="1"/>
  <c r="M1414" i="1"/>
  <c r="U1414" i="1"/>
  <c r="AH1406" i="1"/>
  <c r="O1406" i="1"/>
  <c r="P1406" i="1"/>
  <c r="Q1406" i="1"/>
  <c r="R1406" i="1"/>
  <c r="K1406" i="1"/>
  <c r="S1406" i="1"/>
  <c r="M1406" i="1"/>
  <c r="U1406" i="1"/>
  <c r="AH1398" i="1"/>
  <c r="O1398" i="1"/>
  <c r="P1398" i="1"/>
  <c r="Q1398" i="1"/>
  <c r="R1398" i="1"/>
  <c r="K1398" i="1"/>
  <c r="S1398" i="1"/>
  <c r="M1398" i="1"/>
  <c r="U1398" i="1"/>
  <c r="AH1390" i="1"/>
  <c r="O1390" i="1"/>
  <c r="P1390" i="1"/>
  <c r="Q1390" i="1"/>
  <c r="R1390" i="1"/>
  <c r="K1390" i="1"/>
  <c r="S1390" i="1"/>
  <c r="M1390" i="1"/>
  <c r="U1390" i="1"/>
  <c r="AH1382" i="1"/>
  <c r="O1382" i="1"/>
  <c r="P1382" i="1"/>
  <c r="Q1382" i="1"/>
  <c r="R1382" i="1"/>
  <c r="K1382" i="1"/>
  <c r="S1382" i="1"/>
  <c r="M1382" i="1"/>
  <c r="U1382" i="1"/>
  <c r="AH1374" i="1"/>
  <c r="O1374" i="1"/>
  <c r="P1374" i="1"/>
  <c r="Q1374" i="1"/>
  <c r="R1374" i="1"/>
  <c r="K1374" i="1"/>
  <c r="S1374" i="1"/>
  <c r="M1374" i="1"/>
  <c r="U1374" i="1"/>
  <c r="AH1366" i="1"/>
  <c r="O1366" i="1"/>
  <c r="P1366" i="1"/>
  <c r="Q1366" i="1"/>
  <c r="R1366" i="1"/>
  <c r="K1366" i="1"/>
  <c r="S1366" i="1"/>
  <c r="M1366" i="1"/>
  <c r="U1366" i="1"/>
  <c r="AH1358" i="1"/>
  <c r="O1358" i="1"/>
  <c r="P1358" i="1"/>
  <c r="Q1358" i="1"/>
  <c r="R1358" i="1"/>
  <c r="K1358" i="1"/>
  <c r="S1358" i="1"/>
  <c r="M1358" i="1"/>
  <c r="U1358" i="1"/>
  <c r="AH1350" i="1"/>
  <c r="R1350" i="1"/>
  <c r="M1350" i="1"/>
  <c r="V1350" i="1"/>
  <c r="N1350" i="1"/>
  <c r="O1350" i="1"/>
  <c r="P1350" i="1"/>
  <c r="Q1350" i="1"/>
  <c r="K1350" i="1"/>
  <c r="T1350" i="1"/>
  <c r="AH1342" i="1"/>
  <c r="P1342" i="1"/>
  <c r="R1342" i="1"/>
  <c r="L1342" i="1"/>
  <c r="V1342" i="1"/>
  <c r="M1342" i="1"/>
  <c r="N1342" i="1"/>
  <c r="O1342" i="1"/>
  <c r="Q1342" i="1"/>
  <c r="T1342" i="1"/>
  <c r="AH1334" i="1"/>
  <c r="P1334" i="1"/>
  <c r="R1334" i="1"/>
  <c r="L1334" i="1"/>
  <c r="V1334" i="1"/>
  <c r="M1334" i="1"/>
  <c r="N1334" i="1"/>
  <c r="O1334" i="1"/>
  <c r="Q1334" i="1"/>
  <c r="T1334" i="1"/>
  <c r="AH1326" i="1"/>
  <c r="N1326" i="1"/>
  <c r="V1326" i="1"/>
  <c r="P1326" i="1"/>
  <c r="R1326" i="1"/>
  <c r="T1326" i="1"/>
  <c r="U1326" i="1"/>
  <c r="K1326" i="1"/>
  <c r="L1326" i="1"/>
  <c r="M1326" i="1"/>
  <c r="Q1326" i="1"/>
  <c r="AH1318" i="1"/>
  <c r="N1318" i="1"/>
  <c r="V1318" i="1"/>
  <c r="P1318" i="1"/>
  <c r="Q1318" i="1"/>
  <c r="R1318" i="1"/>
  <c r="L1318" i="1"/>
  <c r="M1318" i="1"/>
  <c r="O1318" i="1"/>
  <c r="S1318" i="1"/>
  <c r="T1318" i="1"/>
  <c r="AH1310" i="1"/>
  <c r="N1310" i="1"/>
  <c r="V1310" i="1"/>
  <c r="P1310" i="1"/>
  <c r="Q1310" i="1"/>
  <c r="R1310" i="1"/>
  <c r="L1310" i="1"/>
  <c r="M1310" i="1"/>
  <c r="O1310" i="1"/>
  <c r="S1310" i="1"/>
  <c r="T1310" i="1"/>
  <c r="AH1302" i="1"/>
  <c r="N1302" i="1"/>
  <c r="V1302" i="1"/>
  <c r="P1302" i="1"/>
  <c r="Q1302" i="1"/>
  <c r="R1302" i="1"/>
  <c r="L1302" i="1"/>
  <c r="M1302" i="1"/>
  <c r="O1302" i="1"/>
  <c r="S1302" i="1"/>
  <c r="T1302" i="1"/>
  <c r="AH1294" i="1"/>
  <c r="N1294" i="1"/>
  <c r="V1294" i="1"/>
  <c r="P1294" i="1"/>
  <c r="Q1294" i="1"/>
  <c r="R1294" i="1"/>
  <c r="L1294" i="1"/>
  <c r="M1294" i="1"/>
  <c r="O1294" i="1"/>
  <c r="S1294" i="1"/>
  <c r="T1294" i="1"/>
  <c r="AH1286" i="1"/>
  <c r="N1286" i="1"/>
  <c r="V1286" i="1"/>
  <c r="P1286" i="1"/>
  <c r="Q1286" i="1"/>
  <c r="R1286" i="1"/>
  <c r="L1286" i="1"/>
  <c r="M1286" i="1"/>
  <c r="O1286" i="1"/>
  <c r="S1286" i="1"/>
  <c r="T1286" i="1"/>
  <c r="AH1278" i="1"/>
  <c r="N1278" i="1"/>
  <c r="V1278" i="1"/>
  <c r="P1278" i="1"/>
  <c r="Q1278" i="1"/>
  <c r="R1278" i="1"/>
  <c r="L1278" i="1"/>
  <c r="M1278" i="1"/>
  <c r="O1278" i="1"/>
  <c r="S1278" i="1"/>
  <c r="T1278" i="1"/>
  <c r="AH1270" i="1"/>
  <c r="N1270" i="1"/>
  <c r="V1270" i="1"/>
  <c r="O1270" i="1"/>
  <c r="P1270" i="1"/>
  <c r="Q1270" i="1"/>
  <c r="R1270" i="1"/>
  <c r="M1270" i="1"/>
  <c r="S1270" i="1"/>
  <c r="T1270" i="1"/>
  <c r="U1270" i="1"/>
  <c r="K1270" i="1"/>
  <c r="AH1262" i="1"/>
  <c r="N1262" i="1"/>
  <c r="V1262" i="1"/>
  <c r="O1262" i="1"/>
  <c r="P1262" i="1"/>
  <c r="Q1262" i="1"/>
  <c r="R1262" i="1"/>
  <c r="K1262" i="1"/>
  <c r="L1262" i="1"/>
  <c r="M1262" i="1"/>
  <c r="T1262" i="1"/>
  <c r="AH1254" i="1"/>
  <c r="N1254" i="1"/>
  <c r="V1254" i="1"/>
  <c r="O1254" i="1"/>
  <c r="P1254" i="1"/>
  <c r="Q1254" i="1"/>
  <c r="R1254" i="1"/>
  <c r="M1254" i="1"/>
  <c r="S1254" i="1"/>
  <c r="T1254" i="1"/>
  <c r="U1254" i="1"/>
  <c r="K1254" i="1"/>
  <c r="AH1246" i="1"/>
  <c r="N1246" i="1"/>
  <c r="V1246" i="1"/>
  <c r="O1246" i="1"/>
  <c r="P1246" i="1"/>
  <c r="Q1246" i="1"/>
  <c r="R1246" i="1"/>
  <c r="K1246" i="1"/>
  <c r="L1246" i="1"/>
  <c r="M1246" i="1"/>
  <c r="T1246" i="1"/>
  <c r="AH1238" i="1"/>
  <c r="N1238" i="1"/>
  <c r="V1238" i="1"/>
  <c r="O1238" i="1"/>
  <c r="P1238" i="1"/>
  <c r="Q1238" i="1"/>
  <c r="R1238" i="1"/>
  <c r="M1238" i="1"/>
  <c r="S1238" i="1"/>
  <c r="T1238" i="1"/>
  <c r="U1238" i="1"/>
  <c r="K1238" i="1"/>
  <c r="AH1230" i="1"/>
  <c r="M1230" i="1"/>
  <c r="U1230" i="1"/>
  <c r="N1230" i="1"/>
  <c r="V1230" i="1"/>
  <c r="O1230" i="1"/>
  <c r="P1230" i="1"/>
  <c r="Q1230" i="1"/>
  <c r="R1230" i="1"/>
  <c r="L1230" i="1"/>
  <c r="S1230" i="1"/>
  <c r="T1230" i="1"/>
  <c r="AH1222" i="1"/>
  <c r="M1222" i="1"/>
  <c r="U1222" i="1"/>
  <c r="N1222" i="1"/>
  <c r="V1222" i="1"/>
  <c r="O1222" i="1"/>
  <c r="P1222" i="1"/>
  <c r="Q1222" i="1"/>
  <c r="R1222" i="1"/>
  <c r="L1222" i="1"/>
  <c r="S1222" i="1"/>
  <c r="T1222" i="1"/>
  <c r="AH1214" i="1"/>
  <c r="M1214" i="1"/>
  <c r="U1214" i="1"/>
  <c r="N1214" i="1"/>
  <c r="V1214" i="1"/>
  <c r="O1214" i="1"/>
  <c r="P1214" i="1"/>
  <c r="Q1214" i="1"/>
  <c r="R1214" i="1"/>
  <c r="L1214" i="1"/>
  <c r="S1214" i="1"/>
  <c r="T1214" i="1"/>
  <c r="AH1206" i="1"/>
  <c r="M1206" i="1"/>
  <c r="U1206" i="1"/>
  <c r="N1206" i="1"/>
  <c r="V1206" i="1"/>
  <c r="O1206" i="1"/>
  <c r="P1206" i="1"/>
  <c r="Q1206" i="1"/>
  <c r="R1206" i="1"/>
  <c r="L1206" i="1"/>
  <c r="S1206" i="1"/>
  <c r="T1206" i="1"/>
  <c r="AH1198" i="1"/>
  <c r="M1198" i="1"/>
  <c r="U1198" i="1"/>
  <c r="N1198" i="1"/>
  <c r="V1198" i="1"/>
  <c r="O1198" i="1"/>
  <c r="P1198" i="1"/>
  <c r="Q1198" i="1"/>
  <c r="R1198" i="1"/>
  <c r="L1198" i="1"/>
  <c r="S1198" i="1"/>
  <c r="T1198" i="1"/>
  <c r="AH1190" i="1"/>
  <c r="M1190" i="1"/>
  <c r="U1190" i="1"/>
  <c r="N1190" i="1"/>
  <c r="V1190" i="1"/>
  <c r="O1190" i="1"/>
  <c r="P1190" i="1"/>
  <c r="Q1190" i="1"/>
  <c r="R1190" i="1"/>
  <c r="L1190" i="1"/>
  <c r="S1190" i="1"/>
  <c r="T1190" i="1"/>
  <c r="AH1182" i="1"/>
  <c r="M1182" i="1"/>
  <c r="U1182" i="1"/>
  <c r="N1182" i="1"/>
  <c r="V1182" i="1"/>
  <c r="O1182" i="1"/>
  <c r="P1182" i="1"/>
  <c r="Q1182" i="1"/>
  <c r="R1182" i="1"/>
  <c r="L1182" i="1"/>
  <c r="S1182" i="1"/>
  <c r="T1182" i="1"/>
  <c r="AH1174" i="1"/>
  <c r="N1174" i="1"/>
  <c r="V1174" i="1"/>
  <c r="O1174" i="1"/>
  <c r="P1174" i="1"/>
  <c r="L1174" i="1"/>
  <c r="T1174" i="1"/>
  <c r="K1174" i="1"/>
  <c r="M1174" i="1"/>
  <c r="Q1174" i="1"/>
  <c r="R1174" i="1"/>
  <c r="U1174" i="1"/>
  <c r="AH1166" i="1"/>
  <c r="N1166" i="1"/>
  <c r="V1166" i="1"/>
  <c r="O1166" i="1"/>
  <c r="P1166" i="1"/>
  <c r="Q1166" i="1"/>
  <c r="L1166" i="1"/>
  <c r="T1166" i="1"/>
  <c r="R1166" i="1"/>
  <c r="S1166" i="1"/>
  <c r="U1166" i="1"/>
  <c r="K1166" i="1"/>
  <c r="M1166" i="1"/>
  <c r="AH1158" i="1"/>
  <c r="N1158" i="1"/>
  <c r="V1158" i="1"/>
  <c r="O1158" i="1"/>
  <c r="P1158" i="1"/>
  <c r="Q1158" i="1"/>
  <c r="L1158" i="1"/>
  <c r="T1158" i="1"/>
  <c r="K1158" i="1"/>
  <c r="M1158" i="1"/>
  <c r="R1158" i="1"/>
  <c r="S1158" i="1"/>
  <c r="U1158" i="1"/>
  <c r="AH1150" i="1"/>
  <c r="N1150" i="1"/>
  <c r="V1150" i="1"/>
  <c r="O1150" i="1"/>
  <c r="P1150" i="1"/>
  <c r="Q1150" i="1"/>
  <c r="L1150" i="1"/>
  <c r="T1150" i="1"/>
  <c r="R1150" i="1"/>
  <c r="S1150" i="1"/>
  <c r="U1150" i="1"/>
  <c r="K1150" i="1"/>
  <c r="M1150" i="1"/>
  <c r="AH1142" i="1"/>
  <c r="N1142" i="1"/>
  <c r="V1142" i="1"/>
  <c r="O1142" i="1"/>
  <c r="P1142" i="1"/>
  <c r="Q1142" i="1"/>
  <c r="L1142" i="1"/>
  <c r="T1142" i="1"/>
  <c r="K1142" i="1"/>
  <c r="M1142" i="1"/>
  <c r="R1142" i="1"/>
  <c r="S1142" i="1"/>
  <c r="U1142" i="1"/>
  <c r="AH1134" i="1"/>
  <c r="N1134" i="1"/>
  <c r="V1134" i="1"/>
  <c r="O1134" i="1"/>
  <c r="P1134" i="1"/>
  <c r="Q1134" i="1"/>
  <c r="L1134" i="1"/>
  <c r="T1134" i="1"/>
  <c r="R1134" i="1"/>
  <c r="S1134" i="1"/>
  <c r="U1134" i="1"/>
  <c r="M1134" i="1"/>
  <c r="AH1126" i="1"/>
  <c r="N1126" i="1"/>
  <c r="V1126" i="1"/>
  <c r="O1126" i="1"/>
  <c r="P1126" i="1"/>
  <c r="Q1126" i="1"/>
  <c r="L1126" i="1"/>
  <c r="T1126" i="1"/>
  <c r="K1126" i="1"/>
  <c r="M1126" i="1"/>
  <c r="R1126" i="1"/>
  <c r="S1126" i="1"/>
  <c r="AH1118" i="1"/>
  <c r="N1118" i="1"/>
  <c r="V1118" i="1"/>
  <c r="O1118" i="1"/>
  <c r="P1118" i="1"/>
  <c r="Q1118" i="1"/>
  <c r="L1118" i="1"/>
  <c r="T1118" i="1"/>
  <c r="R1118" i="1"/>
  <c r="S1118" i="1"/>
  <c r="U1118" i="1"/>
  <c r="M1118" i="1"/>
  <c r="AH1110" i="1"/>
  <c r="N1110" i="1"/>
  <c r="V1110" i="1"/>
  <c r="O1110" i="1"/>
  <c r="P1110" i="1"/>
  <c r="Q1110" i="1"/>
  <c r="L1110" i="1"/>
  <c r="T1110" i="1"/>
  <c r="K1110" i="1"/>
  <c r="M1110" i="1"/>
  <c r="R1110" i="1"/>
  <c r="S1110" i="1"/>
  <c r="AH1102" i="1"/>
  <c r="N1102" i="1"/>
  <c r="V1102" i="1"/>
  <c r="O1102" i="1"/>
  <c r="P1102" i="1"/>
  <c r="Q1102" i="1"/>
  <c r="L1102" i="1"/>
  <c r="T1102" i="1"/>
  <c r="R1102" i="1"/>
  <c r="S1102" i="1"/>
  <c r="U1102" i="1"/>
  <c r="K1102" i="1"/>
  <c r="M1102" i="1"/>
  <c r="AH1094" i="1"/>
  <c r="N1094" i="1"/>
  <c r="V1094" i="1"/>
  <c r="O1094" i="1"/>
  <c r="P1094" i="1"/>
  <c r="Q1094" i="1"/>
  <c r="L1094" i="1"/>
  <c r="T1094" i="1"/>
  <c r="K1094" i="1"/>
  <c r="M1094" i="1"/>
  <c r="R1094" i="1"/>
  <c r="S1094" i="1"/>
  <c r="U1094" i="1"/>
  <c r="AH1086" i="1"/>
  <c r="N1086" i="1"/>
  <c r="V1086" i="1"/>
  <c r="O1086" i="1"/>
  <c r="P1086" i="1"/>
  <c r="Q1086" i="1"/>
  <c r="L1086" i="1"/>
  <c r="T1086" i="1"/>
  <c r="R1086" i="1"/>
  <c r="S1086" i="1"/>
  <c r="U1086" i="1"/>
  <c r="K1086" i="1"/>
  <c r="M1086" i="1"/>
  <c r="AH1078" i="1"/>
  <c r="N1078" i="1"/>
  <c r="V1078" i="1"/>
  <c r="O1078" i="1"/>
  <c r="P1078" i="1"/>
  <c r="Q1078" i="1"/>
  <c r="L1078" i="1"/>
  <c r="T1078" i="1"/>
  <c r="K1078" i="1"/>
  <c r="M1078" i="1"/>
  <c r="R1078" i="1"/>
  <c r="S1078" i="1"/>
  <c r="U1078" i="1"/>
  <c r="AH1070" i="1"/>
  <c r="N1070" i="1"/>
  <c r="V1070" i="1"/>
  <c r="O1070" i="1"/>
  <c r="P1070" i="1"/>
  <c r="Q1070" i="1"/>
  <c r="L1070" i="1"/>
  <c r="T1070" i="1"/>
  <c r="R1070" i="1"/>
  <c r="S1070" i="1"/>
  <c r="U1070" i="1"/>
  <c r="M1070" i="1"/>
  <c r="AH1062" i="1"/>
  <c r="N1062" i="1"/>
  <c r="V1062" i="1"/>
  <c r="O1062" i="1"/>
  <c r="P1062" i="1"/>
  <c r="Q1062" i="1"/>
  <c r="L1062" i="1"/>
  <c r="T1062" i="1"/>
  <c r="K1062" i="1"/>
  <c r="M1062" i="1"/>
  <c r="R1062" i="1"/>
  <c r="S1062" i="1"/>
  <c r="AH1054" i="1"/>
  <c r="N1054" i="1"/>
  <c r="V1054" i="1"/>
  <c r="O1054" i="1"/>
  <c r="P1054" i="1"/>
  <c r="Q1054" i="1"/>
  <c r="L1054" i="1"/>
  <c r="T1054" i="1"/>
  <c r="R1054" i="1"/>
  <c r="S1054" i="1"/>
  <c r="U1054" i="1"/>
  <c r="M1054" i="1"/>
  <c r="AH1046" i="1"/>
  <c r="N1046" i="1"/>
  <c r="V1046" i="1"/>
  <c r="O1046" i="1"/>
  <c r="P1046" i="1"/>
  <c r="Q1046" i="1"/>
  <c r="L1046" i="1"/>
  <c r="T1046" i="1"/>
  <c r="K1046" i="1"/>
  <c r="M1046" i="1"/>
  <c r="R1046" i="1"/>
  <c r="S1046" i="1"/>
  <c r="AH1038" i="1"/>
  <c r="N1038" i="1"/>
  <c r="V1038" i="1"/>
  <c r="O1038" i="1"/>
  <c r="P1038" i="1"/>
  <c r="Q1038" i="1"/>
  <c r="L1038" i="1"/>
  <c r="T1038" i="1"/>
  <c r="R1038" i="1"/>
  <c r="S1038" i="1"/>
  <c r="U1038" i="1"/>
  <c r="K1038" i="1"/>
  <c r="M1038" i="1"/>
  <c r="AH1030" i="1"/>
  <c r="L1030" i="1"/>
  <c r="T1030" i="1"/>
  <c r="Q1030" i="1"/>
  <c r="R1030" i="1"/>
  <c r="S1030" i="1"/>
  <c r="K1030" i="1"/>
  <c r="U1030" i="1"/>
  <c r="O1030" i="1"/>
  <c r="M1030" i="1"/>
  <c r="N1030" i="1"/>
  <c r="P1030" i="1"/>
  <c r="V1030" i="1"/>
  <c r="AH1022" i="1"/>
  <c r="L1022" i="1"/>
  <c r="T1022" i="1"/>
  <c r="M1022" i="1"/>
  <c r="V1022" i="1"/>
  <c r="N1022" i="1"/>
  <c r="O1022" i="1"/>
  <c r="P1022" i="1"/>
  <c r="S1022" i="1"/>
  <c r="U1022" i="1"/>
  <c r="K1022" i="1"/>
  <c r="Q1022" i="1"/>
  <c r="R1022" i="1"/>
  <c r="AH1014" i="1"/>
  <c r="P1014" i="1"/>
  <c r="R1014" i="1"/>
  <c r="K1014" i="1"/>
  <c r="S1014" i="1"/>
  <c r="L1014" i="1"/>
  <c r="T1014" i="1"/>
  <c r="V1014" i="1"/>
  <c r="M1014" i="1"/>
  <c r="Q1014" i="1"/>
  <c r="N1014" i="1"/>
  <c r="O1014" i="1"/>
  <c r="U1014" i="1"/>
  <c r="AH1006" i="1"/>
  <c r="P1006" i="1"/>
  <c r="R1006" i="1"/>
  <c r="K1006" i="1"/>
  <c r="S1006" i="1"/>
  <c r="L1006" i="1"/>
  <c r="T1006" i="1"/>
  <c r="V1006" i="1"/>
  <c r="M1006" i="1"/>
  <c r="Q1006" i="1"/>
  <c r="U1006" i="1"/>
  <c r="O1006" i="1"/>
  <c r="AH998" i="1"/>
  <c r="P998" i="1"/>
  <c r="R998" i="1"/>
  <c r="K998" i="1"/>
  <c r="S998" i="1"/>
  <c r="L998" i="1"/>
  <c r="T998" i="1"/>
  <c r="V998" i="1"/>
  <c r="M998" i="1"/>
  <c r="Q998" i="1"/>
  <c r="N998" i="1"/>
  <c r="O998" i="1"/>
  <c r="U998" i="1"/>
  <c r="AH990" i="1"/>
  <c r="P990" i="1"/>
  <c r="R990" i="1"/>
  <c r="K990" i="1"/>
  <c r="S990" i="1"/>
  <c r="L990" i="1"/>
  <c r="T990" i="1"/>
  <c r="V990" i="1"/>
  <c r="M990" i="1"/>
  <c r="Q990" i="1"/>
  <c r="N990" i="1"/>
  <c r="O990" i="1"/>
  <c r="U990" i="1"/>
  <c r="AH982" i="1"/>
  <c r="P982" i="1"/>
  <c r="R982" i="1"/>
  <c r="K982" i="1"/>
  <c r="S982" i="1"/>
  <c r="L982" i="1"/>
  <c r="T982" i="1"/>
  <c r="V982" i="1"/>
  <c r="M982" i="1"/>
  <c r="Q982" i="1"/>
  <c r="N982" i="1"/>
  <c r="O982" i="1"/>
  <c r="U982" i="1"/>
  <c r="AH974" i="1"/>
  <c r="P974" i="1"/>
  <c r="R974" i="1"/>
  <c r="K974" i="1"/>
  <c r="S974" i="1"/>
  <c r="L974" i="1"/>
  <c r="T974" i="1"/>
  <c r="V974" i="1"/>
  <c r="M974" i="1"/>
  <c r="Q974" i="1"/>
  <c r="U974" i="1"/>
  <c r="O974" i="1"/>
  <c r="AH966" i="1"/>
  <c r="O966" i="1"/>
  <c r="P966" i="1"/>
  <c r="Q966" i="1"/>
  <c r="R966" i="1"/>
  <c r="K966" i="1"/>
  <c r="S966" i="1"/>
  <c r="L966" i="1"/>
  <c r="T966" i="1"/>
  <c r="V966" i="1"/>
  <c r="N966" i="1"/>
  <c r="M966" i="1"/>
  <c r="U966" i="1"/>
  <c r="AH958" i="1"/>
  <c r="O958" i="1"/>
  <c r="P958" i="1"/>
  <c r="Q958" i="1"/>
  <c r="R958" i="1"/>
  <c r="K958" i="1"/>
  <c r="S958" i="1"/>
  <c r="L958" i="1"/>
  <c r="T958" i="1"/>
  <c r="V958" i="1"/>
  <c r="N958" i="1"/>
  <c r="U958" i="1"/>
  <c r="M958" i="1"/>
  <c r="AH950" i="1"/>
  <c r="O950" i="1"/>
  <c r="P950" i="1"/>
  <c r="Q950" i="1"/>
  <c r="R950" i="1"/>
  <c r="K950" i="1"/>
  <c r="S950" i="1"/>
  <c r="L950" i="1"/>
  <c r="T950" i="1"/>
  <c r="V950" i="1"/>
  <c r="N950" i="1"/>
  <c r="U950" i="1"/>
  <c r="AH942" i="1"/>
  <c r="O942" i="1"/>
  <c r="P942" i="1"/>
  <c r="Q942" i="1"/>
  <c r="R942" i="1"/>
  <c r="K942" i="1"/>
  <c r="S942" i="1"/>
  <c r="L942" i="1"/>
  <c r="T942" i="1"/>
  <c r="V942" i="1"/>
  <c r="N942" i="1"/>
  <c r="M942" i="1"/>
  <c r="U942" i="1"/>
  <c r="AH934" i="1"/>
  <c r="O934" i="1"/>
  <c r="P934" i="1"/>
  <c r="Q934" i="1"/>
  <c r="R934" i="1"/>
  <c r="K934" i="1"/>
  <c r="S934" i="1"/>
  <c r="L934" i="1"/>
  <c r="T934" i="1"/>
  <c r="V934" i="1"/>
  <c r="N934" i="1"/>
  <c r="M934" i="1"/>
  <c r="U934" i="1"/>
  <c r="AH926" i="1"/>
  <c r="O926" i="1"/>
  <c r="P926" i="1"/>
  <c r="Q926" i="1"/>
  <c r="R926" i="1"/>
  <c r="K926" i="1"/>
  <c r="S926" i="1"/>
  <c r="L926" i="1"/>
  <c r="T926" i="1"/>
  <c r="V926" i="1"/>
  <c r="N926" i="1"/>
  <c r="M926" i="1"/>
  <c r="U926" i="1"/>
  <c r="AH918" i="1"/>
  <c r="O918" i="1"/>
  <c r="P918" i="1"/>
  <c r="Q918" i="1"/>
  <c r="R918" i="1"/>
  <c r="K918" i="1"/>
  <c r="S918" i="1"/>
  <c r="L918" i="1"/>
  <c r="T918" i="1"/>
  <c r="V918" i="1"/>
  <c r="N918" i="1"/>
  <c r="M918" i="1"/>
  <c r="U918" i="1"/>
  <c r="AH910" i="1"/>
  <c r="O910" i="1"/>
  <c r="P910" i="1"/>
  <c r="Q910" i="1"/>
  <c r="R910" i="1"/>
  <c r="K910" i="1"/>
  <c r="S910" i="1"/>
  <c r="L910" i="1"/>
  <c r="T910" i="1"/>
  <c r="V910" i="1"/>
  <c r="N910" i="1"/>
  <c r="M910" i="1"/>
  <c r="U910" i="1"/>
  <c r="AH902" i="1"/>
  <c r="O902" i="1"/>
  <c r="P902" i="1"/>
  <c r="Q902" i="1"/>
  <c r="R902" i="1"/>
  <c r="K902" i="1"/>
  <c r="S902" i="1"/>
  <c r="L902" i="1"/>
  <c r="T902" i="1"/>
  <c r="V902" i="1"/>
  <c r="N902" i="1"/>
  <c r="M902" i="1"/>
  <c r="U902" i="1"/>
  <c r="AH894" i="1"/>
  <c r="O894" i="1"/>
  <c r="P894" i="1"/>
  <c r="Q894" i="1"/>
  <c r="R894" i="1"/>
  <c r="K894" i="1"/>
  <c r="S894" i="1"/>
  <c r="L894" i="1"/>
  <c r="T894" i="1"/>
  <c r="V894" i="1"/>
  <c r="N894" i="1"/>
  <c r="U894" i="1"/>
  <c r="M894" i="1"/>
  <c r="AH886" i="1"/>
  <c r="O886" i="1"/>
  <c r="P886" i="1"/>
  <c r="Q886" i="1"/>
  <c r="R886" i="1"/>
  <c r="K886" i="1"/>
  <c r="S886" i="1"/>
  <c r="L886" i="1"/>
  <c r="T886" i="1"/>
  <c r="V886" i="1"/>
  <c r="N886" i="1"/>
  <c r="M886" i="1"/>
  <c r="U886" i="1"/>
  <c r="AH878" i="1"/>
  <c r="O878" i="1"/>
  <c r="P878" i="1"/>
  <c r="Q878" i="1"/>
  <c r="R878" i="1"/>
  <c r="K878" i="1"/>
  <c r="S878" i="1"/>
  <c r="L878" i="1"/>
  <c r="T878" i="1"/>
  <c r="V878" i="1"/>
  <c r="N878" i="1"/>
  <c r="M878" i="1"/>
  <c r="U878" i="1"/>
  <c r="AH870" i="1"/>
  <c r="N870" i="1"/>
  <c r="O870" i="1"/>
  <c r="P870" i="1"/>
  <c r="Q870" i="1"/>
  <c r="R870" i="1"/>
  <c r="S870" i="1"/>
  <c r="K870" i="1"/>
  <c r="T870" i="1"/>
  <c r="V870" i="1"/>
  <c r="M870" i="1"/>
  <c r="L870" i="1"/>
  <c r="U870" i="1"/>
  <c r="AH862" i="1"/>
  <c r="Q862" i="1"/>
  <c r="N862" i="1"/>
  <c r="V862" i="1"/>
  <c r="O862" i="1"/>
  <c r="P862" i="1"/>
  <c r="R862" i="1"/>
  <c r="S862" i="1"/>
  <c r="T862" i="1"/>
  <c r="K862" i="1"/>
  <c r="U862" i="1"/>
  <c r="L862" i="1"/>
  <c r="M862" i="1"/>
  <c r="AH854" i="1"/>
  <c r="Q854" i="1"/>
  <c r="N854" i="1"/>
  <c r="V854" i="1"/>
  <c r="O854" i="1"/>
  <c r="P854" i="1"/>
  <c r="R854" i="1"/>
  <c r="S854" i="1"/>
  <c r="T854" i="1"/>
  <c r="K854" i="1"/>
  <c r="U854" i="1"/>
  <c r="L854" i="1"/>
  <c r="M854" i="1"/>
  <c r="AH846" i="1"/>
  <c r="Q846" i="1"/>
  <c r="N846" i="1"/>
  <c r="V846" i="1"/>
  <c r="O846" i="1"/>
  <c r="P846" i="1"/>
  <c r="R846" i="1"/>
  <c r="S846" i="1"/>
  <c r="T846" i="1"/>
  <c r="K846" i="1"/>
  <c r="U846" i="1"/>
  <c r="M846" i="1"/>
  <c r="L846" i="1"/>
  <c r="AH838" i="1"/>
  <c r="Q838" i="1"/>
  <c r="R838" i="1"/>
  <c r="M838" i="1"/>
  <c r="U838" i="1"/>
  <c r="N838" i="1"/>
  <c r="V838" i="1"/>
  <c r="S838" i="1"/>
  <c r="T838" i="1"/>
  <c r="K838" i="1"/>
  <c r="L838" i="1"/>
  <c r="O838" i="1"/>
  <c r="P838" i="1"/>
  <c r="AH830" i="1"/>
  <c r="Q830" i="1"/>
  <c r="R830" i="1"/>
  <c r="M830" i="1"/>
  <c r="U830" i="1"/>
  <c r="N830" i="1"/>
  <c r="V830" i="1"/>
  <c r="S830" i="1"/>
  <c r="T830" i="1"/>
  <c r="K830" i="1"/>
  <c r="L830" i="1"/>
  <c r="P830" i="1"/>
  <c r="AH822" i="1"/>
  <c r="Q822" i="1"/>
  <c r="R822" i="1"/>
  <c r="M822" i="1"/>
  <c r="U822" i="1"/>
  <c r="N822" i="1"/>
  <c r="V822" i="1"/>
  <c r="S822" i="1"/>
  <c r="T822" i="1"/>
  <c r="K822" i="1"/>
  <c r="L822" i="1"/>
  <c r="O822" i="1"/>
  <c r="P822" i="1"/>
  <c r="AH814" i="1"/>
  <c r="Q814" i="1"/>
  <c r="R814" i="1"/>
  <c r="K814" i="1"/>
  <c r="S814" i="1"/>
  <c r="M814" i="1"/>
  <c r="U814" i="1"/>
  <c r="N814" i="1"/>
  <c r="V814" i="1"/>
  <c r="P814" i="1"/>
  <c r="T814" i="1"/>
  <c r="O814" i="1"/>
  <c r="L814" i="1"/>
  <c r="AH806" i="1"/>
  <c r="Q806" i="1"/>
  <c r="R806" i="1"/>
  <c r="K806" i="1"/>
  <c r="S806" i="1"/>
  <c r="M806" i="1"/>
  <c r="U806" i="1"/>
  <c r="N806" i="1"/>
  <c r="V806" i="1"/>
  <c r="L806" i="1"/>
  <c r="O806" i="1"/>
  <c r="P806" i="1"/>
  <c r="T806" i="1"/>
  <c r="AH798" i="1"/>
  <c r="Q798" i="1"/>
  <c r="R798" i="1"/>
  <c r="K798" i="1"/>
  <c r="S798" i="1"/>
  <c r="M798" i="1"/>
  <c r="U798" i="1"/>
  <c r="N798" i="1"/>
  <c r="V798" i="1"/>
  <c r="P798" i="1"/>
  <c r="T798" i="1"/>
  <c r="L798" i="1"/>
  <c r="O798" i="1"/>
  <c r="AH790" i="1"/>
  <c r="Q790" i="1"/>
  <c r="R790" i="1"/>
  <c r="K790" i="1"/>
  <c r="S790" i="1"/>
  <c r="M790" i="1"/>
  <c r="U790" i="1"/>
  <c r="N790" i="1"/>
  <c r="V790" i="1"/>
  <c r="L790" i="1"/>
  <c r="O790" i="1"/>
  <c r="P790" i="1"/>
  <c r="T790" i="1"/>
  <c r="AH782" i="1"/>
  <c r="Q782" i="1"/>
  <c r="R782" i="1"/>
  <c r="K782" i="1"/>
  <c r="S782" i="1"/>
  <c r="M782" i="1"/>
  <c r="U782" i="1"/>
  <c r="N782" i="1"/>
  <c r="V782" i="1"/>
  <c r="P782" i="1"/>
  <c r="T782" i="1"/>
  <c r="L782" i="1"/>
  <c r="O782" i="1"/>
  <c r="AH774" i="1"/>
  <c r="O774" i="1"/>
  <c r="P774" i="1"/>
  <c r="N774" i="1"/>
  <c r="Q774" i="1"/>
  <c r="R774" i="1"/>
  <c r="S774" i="1"/>
  <c r="T774" i="1"/>
  <c r="K774" i="1"/>
  <c r="U774" i="1"/>
  <c r="L774" i="1"/>
  <c r="M774" i="1"/>
  <c r="V774" i="1"/>
  <c r="AH766" i="1"/>
  <c r="O766" i="1"/>
  <c r="P766" i="1"/>
  <c r="N766" i="1"/>
  <c r="Q766" i="1"/>
  <c r="R766" i="1"/>
  <c r="S766" i="1"/>
  <c r="T766" i="1"/>
  <c r="K766" i="1"/>
  <c r="U766" i="1"/>
  <c r="L766" i="1"/>
  <c r="M766" i="1"/>
  <c r="V766" i="1"/>
  <c r="AH758" i="1"/>
  <c r="O758" i="1"/>
  <c r="P758" i="1"/>
  <c r="N758" i="1"/>
  <c r="Q758" i="1"/>
  <c r="R758" i="1"/>
  <c r="S758" i="1"/>
  <c r="T758" i="1"/>
  <c r="K758" i="1"/>
  <c r="U758" i="1"/>
  <c r="M758" i="1"/>
  <c r="V758" i="1"/>
  <c r="L758" i="1"/>
  <c r="AH750" i="1"/>
  <c r="O750" i="1"/>
  <c r="P750" i="1"/>
  <c r="N750" i="1"/>
  <c r="Q750" i="1"/>
  <c r="R750" i="1"/>
  <c r="S750" i="1"/>
  <c r="T750" i="1"/>
  <c r="K750" i="1"/>
  <c r="U750" i="1"/>
  <c r="L750" i="1"/>
  <c r="V750" i="1"/>
  <c r="M750" i="1"/>
  <c r="AH742" i="1"/>
  <c r="O742" i="1"/>
  <c r="P742" i="1"/>
  <c r="N742" i="1"/>
  <c r="Q742" i="1"/>
  <c r="R742" i="1"/>
  <c r="S742" i="1"/>
  <c r="T742" i="1"/>
  <c r="K742" i="1"/>
  <c r="U742" i="1"/>
  <c r="L742" i="1"/>
  <c r="M742" i="1"/>
  <c r="V742" i="1"/>
  <c r="AH734" i="1"/>
  <c r="O734" i="1"/>
  <c r="P734" i="1"/>
  <c r="N734" i="1"/>
  <c r="Q734" i="1"/>
  <c r="R734" i="1"/>
  <c r="S734" i="1"/>
  <c r="T734" i="1"/>
  <c r="K734" i="1"/>
  <c r="U734" i="1"/>
  <c r="L734" i="1"/>
  <c r="M734" i="1"/>
  <c r="V734" i="1"/>
  <c r="AH726" i="1"/>
  <c r="O726" i="1"/>
  <c r="P726" i="1"/>
  <c r="N726" i="1"/>
  <c r="Q726" i="1"/>
  <c r="R726" i="1"/>
  <c r="S726" i="1"/>
  <c r="T726" i="1"/>
  <c r="K726" i="1"/>
  <c r="U726" i="1"/>
  <c r="M726" i="1"/>
  <c r="V726" i="1"/>
  <c r="L726" i="1"/>
  <c r="AH718" i="1"/>
  <c r="O718" i="1"/>
  <c r="P718" i="1"/>
  <c r="N718" i="1"/>
  <c r="Q718" i="1"/>
  <c r="R718" i="1"/>
  <c r="S718" i="1"/>
  <c r="T718" i="1"/>
  <c r="K718" i="1"/>
  <c r="U718" i="1"/>
  <c r="L718" i="1"/>
  <c r="M718" i="1"/>
  <c r="V718" i="1"/>
  <c r="AH710" i="1"/>
  <c r="O710" i="1"/>
  <c r="P710" i="1"/>
  <c r="N710" i="1"/>
  <c r="Q710" i="1"/>
  <c r="R710" i="1"/>
  <c r="S710" i="1"/>
  <c r="T710" i="1"/>
  <c r="K710" i="1"/>
  <c r="U710" i="1"/>
  <c r="L710" i="1"/>
  <c r="M710" i="1"/>
  <c r="V710" i="1"/>
  <c r="AH702" i="1"/>
  <c r="O702" i="1"/>
  <c r="P702" i="1"/>
  <c r="N702" i="1"/>
  <c r="Q702" i="1"/>
  <c r="R702" i="1"/>
  <c r="S702" i="1"/>
  <c r="T702" i="1"/>
  <c r="K702" i="1"/>
  <c r="U702" i="1"/>
  <c r="L702" i="1"/>
  <c r="M702" i="1"/>
  <c r="V702" i="1"/>
  <c r="AH694" i="1"/>
  <c r="O694" i="1"/>
  <c r="P694" i="1"/>
  <c r="N694" i="1"/>
  <c r="Q694" i="1"/>
  <c r="R694" i="1"/>
  <c r="S694" i="1"/>
  <c r="T694" i="1"/>
  <c r="K694" i="1"/>
  <c r="U694" i="1"/>
  <c r="M694" i="1"/>
  <c r="V694" i="1"/>
  <c r="L694" i="1"/>
  <c r="AH686" i="1"/>
  <c r="O686" i="1"/>
  <c r="P686" i="1"/>
  <c r="N686" i="1"/>
  <c r="Q686" i="1"/>
  <c r="R686" i="1"/>
  <c r="S686" i="1"/>
  <c r="T686" i="1"/>
  <c r="K686" i="1"/>
  <c r="U686" i="1"/>
  <c r="L686" i="1"/>
  <c r="M686" i="1"/>
  <c r="V686" i="1"/>
  <c r="AH678" i="1"/>
  <c r="O678" i="1"/>
  <c r="P678" i="1"/>
  <c r="N678" i="1"/>
  <c r="Q678" i="1"/>
  <c r="R678" i="1"/>
  <c r="S678" i="1"/>
  <c r="T678" i="1"/>
  <c r="K678" i="1"/>
  <c r="U678" i="1"/>
  <c r="L678" i="1"/>
  <c r="M678" i="1"/>
  <c r="V678" i="1"/>
  <c r="AH670" i="1"/>
  <c r="O670" i="1"/>
  <c r="P670" i="1"/>
  <c r="K670" i="1"/>
  <c r="S670" i="1"/>
  <c r="T670" i="1"/>
  <c r="U670" i="1"/>
  <c r="V670" i="1"/>
  <c r="L670" i="1"/>
  <c r="M670" i="1"/>
  <c r="N670" i="1"/>
  <c r="Q670" i="1"/>
  <c r="R670" i="1"/>
  <c r="AH662" i="1"/>
  <c r="O662" i="1"/>
  <c r="P662" i="1"/>
  <c r="K662" i="1"/>
  <c r="S662" i="1"/>
  <c r="M662" i="1"/>
  <c r="N662" i="1"/>
  <c r="Q662" i="1"/>
  <c r="R662" i="1"/>
  <c r="T662" i="1"/>
  <c r="U662" i="1"/>
  <c r="L662" i="1"/>
  <c r="V662" i="1"/>
  <c r="AH654" i="1"/>
  <c r="O654" i="1"/>
  <c r="P654" i="1"/>
  <c r="K654" i="1"/>
  <c r="S654" i="1"/>
  <c r="T654" i="1"/>
  <c r="U654" i="1"/>
  <c r="V654" i="1"/>
  <c r="L654" i="1"/>
  <c r="M654" i="1"/>
  <c r="N654" i="1"/>
  <c r="Q654" i="1"/>
  <c r="R654" i="1"/>
  <c r="AH646" i="1"/>
  <c r="O646" i="1"/>
  <c r="P646" i="1"/>
  <c r="K646" i="1"/>
  <c r="S646" i="1"/>
  <c r="M646" i="1"/>
  <c r="N646" i="1"/>
  <c r="Q646" i="1"/>
  <c r="R646" i="1"/>
  <c r="T646" i="1"/>
  <c r="U646" i="1"/>
  <c r="V646" i="1"/>
  <c r="L646" i="1"/>
  <c r="AH638" i="1"/>
  <c r="O638" i="1"/>
  <c r="P638" i="1"/>
  <c r="K638" i="1"/>
  <c r="S638" i="1"/>
  <c r="T638" i="1"/>
  <c r="U638" i="1"/>
  <c r="V638" i="1"/>
  <c r="L638" i="1"/>
  <c r="M638" i="1"/>
  <c r="N638" i="1"/>
  <c r="R638" i="1"/>
  <c r="Q638" i="1"/>
  <c r="AH630" i="1"/>
  <c r="O630" i="1"/>
  <c r="P630" i="1"/>
  <c r="K630" i="1"/>
  <c r="S630" i="1"/>
  <c r="M630" i="1"/>
  <c r="N630" i="1"/>
  <c r="Q630" i="1"/>
  <c r="R630" i="1"/>
  <c r="T630" i="1"/>
  <c r="U630" i="1"/>
  <c r="L630" i="1"/>
  <c r="V630" i="1"/>
  <c r="AH622" i="1"/>
  <c r="O622" i="1"/>
  <c r="P622" i="1"/>
  <c r="K622" i="1"/>
  <c r="S622" i="1"/>
  <c r="T622" i="1"/>
  <c r="U622" i="1"/>
  <c r="V622" i="1"/>
  <c r="L622" i="1"/>
  <c r="M622" i="1"/>
  <c r="N622" i="1"/>
  <c r="Q622" i="1"/>
  <c r="R622" i="1"/>
  <c r="AH614" i="1"/>
  <c r="O614" i="1"/>
  <c r="K614" i="1"/>
  <c r="T614" i="1"/>
  <c r="L614" i="1"/>
  <c r="U614" i="1"/>
  <c r="P614" i="1"/>
  <c r="Q614" i="1"/>
  <c r="V614" i="1"/>
  <c r="M614" i="1"/>
  <c r="N614" i="1"/>
  <c r="R614" i="1"/>
  <c r="S614" i="1"/>
  <c r="AH606" i="1"/>
  <c r="O606" i="1"/>
  <c r="L606" i="1"/>
  <c r="T606" i="1"/>
  <c r="N606" i="1"/>
  <c r="P606" i="1"/>
  <c r="S606" i="1"/>
  <c r="U606" i="1"/>
  <c r="K606" i="1"/>
  <c r="M606" i="1"/>
  <c r="Q606" i="1"/>
  <c r="R606" i="1"/>
  <c r="V606" i="1"/>
  <c r="AH598" i="1"/>
  <c r="O598" i="1"/>
  <c r="L598" i="1"/>
  <c r="T598" i="1"/>
  <c r="N598" i="1"/>
  <c r="P598" i="1"/>
  <c r="S598" i="1"/>
  <c r="U598" i="1"/>
  <c r="Q598" i="1"/>
  <c r="R598" i="1"/>
  <c r="V598" i="1"/>
  <c r="K598" i="1"/>
  <c r="M598" i="1"/>
  <c r="AH590" i="1"/>
  <c r="O590" i="1"/>
  <c r="L590" i="1"/>
  <c r="T590" i="1"/>
  <c r="N590" i="1"/>
  <c r="P590" i="1"/>
  <c r="Q590" i="1"/>
  <c r="S590" i="1"/>
  <c r="U590" i="1"/>
  <c r="K590" i="1"/>
  <c r="M590" i="1"/>
  <c r="R590" i="1"/>
  <c r="V590" i="1"/>
  <c r="AH582" i="1"/>
  <c r="O582" i="1"/>
  <c r="L582" i="1"/>
  <c r="T582" i="1"/>
  <c r="N582" i="1"/>
  <c r="P582" i="1"/>
  <c r="Q582" i="1"/>
  <c r="S582" i="1"/>
  <c r="U582" i="1"/>
  <c r="M582" i="1"/>
  <c r="R582" i="1"/>
  <c r="V582" i="1"/>
  <c r="K582" i="1"/>
  <c r="AH574" i="1"/>
  <c r="O574" i="1"/>
  <c r="Q574" i="1"/>
  <c r="L574" i="1"/>
  <c r="T574" i="1"/>
  <c r="K574" i="1"/>
  <c r="M574" i="1"/>
  <c r="N574" i="1"/>
  <c r="P574" i="1"/>
  <c r="R574" i="1"/>
  <c r="S574" i="1"/>
  <c r="V574" i="1"/>
  <c r="U574" i="1"/>
  <c r="AH566" i="1"/>
  <c r="O566" i="1"/>
  <c r="Q566" i="1"/>
  <c r="L566" i="1"/>
  <c r="T566" i="1"/>
  <c r="R566" i="1"/>
  <c r="S566" i="1"/>
  <c r="U566" i="1"/>
  <c r="V566" i="1"/>
  <c r="K566" i="1"/>
  <c r="M566" i="1"/>
  <c r="P566" i="1"/>
  <c r="N566" i="1"/>
  <c r="AH558" i="1"/>
  <c r="O558" i="1"/>
  <c r="P558" i="1"/>
  <c r="Q558" i="1"/>
  <c r="L558" i="1"/>
  <c r="T558" i="1"/>
  <c r="S558" i="1"/>
  <c r="U558" i="1"/>
  <c r="V558" i="1"/>
  <c r="K558" i="1"/>
  <c r="M558" i="1"/>
  <c r="N558" i="1"/>
  <c r="R558" i="1"/>
  <c r="AH550" i="1"/>
  <c r="K550" i="1"/>
  <c r="S550" i="1"/>
  <c r="N550" i="1"/>
  <c r="V550" i="1"/>
  <c r="T550" i="1"/>
  <c r="U550" i="1"/>
  <c r="L550" i="1"/>
  <c r="M550" i="1"/>
  <c r="Q550" i="1"/>
  <c r="O550" i="1"/>
  <c r="P550" i="1"/>
  <c r="R550" i="1"/>
  <c r="AH542" i="1"/>
  <c r="Q542" i="1"/>
  <c r="R542" i="1"/>
  <c r="S542" i="1"/>
  <c r="L542" i="1"/>
  <c r="U542" i="1"/>
  <c r="M542" i="1"/>
  <c r="V542" i="1"/>
  <c r="P542" i="1"/>
  <c r="T542" i="1"/>
  <c r="N542" i="1"/>
  <c r="K542" i="1"/>
  <c r="O542" i="1"/>
  <c r="AH534" i="1"/>
  <c r="Q534" i="1"/>
  <c r="M534" i="1"/>
  <c r="V534" i="1"/>
  <c r="N534" i="1"/>
  <c r="P534" i="1"/>
  <c r="R534" i="1"/>
  <c r="U534" i="1"/>
  <c r="K534" i="1"/>
  <c r="S534" i="1"/>
  <c r="L534" i="1"/>
  <c r="O534" i="1"/>
  <c r="T534" i="1"/>
  <c r="AH526" i="1"/>
  <c r="Q526" i="1"/>
  <c r="R526" i="1"/>
  <c r="S526" i="1"/>
  <c r="L526" i="1"/>
  <c r="U526" i="1"/>
  <c r="M526" i="1"/>
  <c r="V526" i="1"/>
  <c r="K526" i="1"/>
  <c r="N526" i="1"/>
  <c r="O526" i="1"/>
  <c r="P526" i="1"/>
  <c r="T526" i="1"/>
  <c r="AH518" i="1"/>
  <c r="Q518" i="1"/>
  <c r="M518" i="1"/>
  <c r="V518" i="1"/>
  <c r="N518" i="1"/>
  <c r="P518" i="1"/>
  <c r="R518" i="1"/>
  <c r="L518" i="1"/>
  <c r="O518" i="1"/>
  <c r="S518" i="1"/>
  <c r="T518" i="1"/>
  <c r="K518" i="1"/>
  <c r="U518" i="1"/>
  <c r="AH510" i="1"/>
  <c r="Q510" i="1"/>
  <c r="R510" i="1"/>
  <c r="S510" i="1"/>
  <c r="L510" i="1"/>
  <c r="U510" i="1"/>
  <c r="M510" i="1"/>
  <c r="V510" i="1"/>
  <c r="P510" i="1"/>
  <c r="T510" i="1"/>
  <c r="N510" i="1"/>
  <c r="K510" i="1"/>
  <c r="O510" i="1"/>
  <c r="AH502" i="1"/>
  <c r="Q502" i="1"/>
  <c r="M502" i="1"/>
  <c r="V502" i="1"/>
  <c r="N502" i="1"/>
  <c r="P502" i="1"/>
  <c r="R502" i="1"/>
  <c r="U502" i="1"/>
  <c r="K502" i="1"/>
  <c r="S502" i="1"/>
  <c r="L502" i="1"/>
  <c r="O502" i="1"/>
  <c r="T502" i="1"/>
  <c r="AH494" i="1"/>
  <c r="O494" i="1"/>
  <c r="Q494" i="1"/>
  <c r="K494" i="1"/>
  <c r="S494" i="1"/>
  <c r="P494" i="1"/>
  <c r="R494" i="1"/>
  <c r="U494" i="1"/>
  <c r="V494" i="1"/>
  <c r="L494" i="1"/>
  <c r="M494" i="1"/>
  <c r="T494" i="1"/>
  <c r="N494" i="1"/>
  <c r="AH486" i="1"/>
  <c r="O486" i="1"/>
  <c r="Q486" i="1"/>
  <c r="K486" i="1"/>
  <c r="S486" i="1"/>
  <c r="V486" i="1"/>
  <c r="L486" i="1"/>
  <c r="N486" i="1"/>
  <c r="P486" i="1"/>
  <c r="U486" i="1"/>
  <c r="R486" i="1"/>
  <c r="M486" i="1"/>
  <c r="T486" i="1"/>
  <c r="AH478" i="1"/>
  <c r="O478" i="1"/>
  <c r="Q478" i="1"/>
  <c r="K478" i="1"/>
  <c r="S478" i="1"/>
  <c r="P478" i="1"/>
  <c r="R478" i="1"/>
  <c r="U478" i="1"/>
  <c r="V478" i="1"/>
  <c r="N478" i="1"/>
  <c r="T478" i="1"/>
  <c r="L478" i="1"/>
  <c r="M478" i="1"/>
  <c r="AH470" i="1"/>
  <c r="O470" i="1"/>
  <c r="Q470" i="1"/>
  <c r="K470" i="1"/>
  <c r="S470" i="1"/>
  <c r="V470" i="1"/>
  <c r="L470" i="1"/>
  <c r="N470" i="1"/>
  <c r="P470" i="1"/>
  <c r="M470" i="1"/>
  <c r="R470" i="1"/>
  <c r="T470" i="1"/>
  <c r="U470" i="1"/>
  <c r="AH462" i="1"/>
  <c r="O462" i="1"/>
  <c r="Q462" i="1"/>
  <c r="K462" i="1"/>
  <c r="S462" i="1"/>
  <c r="P462" i="1"/>
  <c r="R462" i="1"/>
  <c r="U462" i="1"/>
  <c r="V462" i="1"/>
  <c r="L462" i="1"/>
  <c r="M462" i="1"/>
  <c r="N462" i="1"/>
  <c r="T462" i="1"/>
  <c r="AH454" i="1"/>
  <c r="O454" i="1"/>
  <c r="Q454" i="1"/>
  <c r="K454" i="1"/>
  <c r="S454" i="1"/>
  <c r="V454" i="1"/>
  <c r="L454" i="1"/>
  <c r="N454" i="1"/>
  <c r="P454" i="1"/>
  <c r="U454" i="1"/>
  <c r="R454" i="1"/>
  <c r="M454" i="1"/>
  <c r="T454" i="1"/>
  <c r="AH446" i="1"/>
  <c r="P446" i="1"/>
  <c r="Q446" i="1"/>
  <c r="R446" i="1"/>
  <c r="S446" i="1"/>
  <c r="U446" i="1"/>
  <c r="L446" i="1"/>
  <c r="K446" i="1"/>
  <c r="N446" i="1"/>
  <c r="O446" i="1"/>
  <c r="M446" i="1"/>
  <c r="T446" i="1"/>
  <c r="V446" i="1"/>
  <c r="AH438" i="1"/>
  <c r="P438" i="1"/>
  <c r="Q438" i="1"/>
  <c r="R438" i="1"/>
  <c r="L438" i="1"/>
  <c r="N438" i="1"/>
  <c r="S438" i="1"/>
  <c r="U438" i="1"/>
  <c r="V438" i="1"/>
  <c r="K438" i="1"/>
  <c r="T438" i="1"/>
  <c r="M438" i="1"/>
  <c r="O438" i="1"/>
  <c r="AH430" i="1"/>
  <c r="P430" i="1"/>
  <c r="Q430" i="1"/>
  <c r="R430" i="1"/>
  <c r="S430" i="1"/>
  <c r="U430" i="1"/>
  <c r="L430" i="1"/>
  <c r="N430" i="1"/>
  <c r="O430" i="1"/>
  <c r="V430" i="1"/>
  <c r="K430" i="1"/>
  <c r="M430" i="1"/>
  <c r="T430" i="1"/>
  <c r="AH422" i="1"/>
  <c r="P422" i="1"/>
  <c r="Q422" i="1"/>
  <c r="R422" i="1"/>
  <c r="L422" i="1"/>
  <c r="N422" i="1"/>
  <c r="S422" i="1"/>
  <c r="K422" i="1"/>
  <c r="O422" i="1"/>
  <c r="T422" i="1"/>
  <c r="M422" i="1"/>
  <c r="U422" i="1"/>
  <c r="V422" i="1"/>
  <c r="AH414" i="1"/>
  <c r="P414" i="1"/>
  <c r="Q414" i="1"/>
  <c r="R414" i="1"/>
  <c r="S414" i="1"/>
  <c r="U414" i="1"/>
  <c r="L414" i="1"/>
  <c r="V414" i="1"/>
  <c r="K414" i="1"/>
  <c r="M414" i="1"/>
  <c r="T414" i="1"/>
  <c r="N414" i="1"/>
  <c r="O414" i="1"/>
  <c r="AH406" i="1"/>
  <c r="P406" i="1"/>
  <c r="Q406" i="1"/>
  <c r="R406" i="1"/>
  <c r="L406" i="1"/>
  <c r="N406" i="1"/>
  <c r="S406" i="1"/>
  <c r="O406" i="1"/>
  <c r="T406" i="1"/>
  <c r="V406" i="1"/>
  <c r="K406" i="1"/>
  <c r="M406" i="1"/>
  <c r="U406" i="1"/>
  <c r="AH398" i="1"/>
  <c r="P398" i="1"/>
  <c r="Q398" i="1"/>
  <c r="R398" i="1"/>
  <c r="S398" i="1"/>
  <c r="U398" i="1"/>
  <c r="L398" i="1"/>
  <c r="K398" i="1"/>
  <c r="M398" i="1"/>
  <c r="O398" i="1"/>
  <c r="T398" i="1"/>
  <c r="N398" i="1"/>
  <c r="V398" i="1"/>
  <c r="AH390" i="1"/>
  <c r="P390" i="1"/>
  <c r="Q390" i="1"/>
  <c r="R390" i="1"/>
  <c r="L390" i="1"/>
  <c r="N390" i="1"/>
  <c r="S390" i="1"/>
  <c r="V390" i="1"/>
  <c r="K390" i="1"/>
  <c r="M390" i="1"/>
  <c r="U390" i="1"/>
  <c r="O390" i="1"/>
  <c r="T390" i="1"/>
  <c r="AH382" i="1"/>
  <c r="P382" i="1"/>
  <c r="Q382" i="1"/>
  <c r="R382" i="1"/>
  <c r="S382" i="1"/>
  <c r="U382" i="1"/>
  <c r="L382" i="1"/>
  <c r="O382" i="1"/>
  <c r="T382" i="1"/>
  <c r="K382" i="1"/>
  <c r="M382" i="1"/>
  <c r="N382" i="1"/>
  <c r="V382" i="1"/>
  <c r="AH374" i="1"/>
  <c r="M374" i="1"/>
  <c r="U374" i="1"/>
  <c r="N374" i="1"/>
  <c r="O374" i="1"/>
  <c r="S374" i="1"/>
  <c r="T374" i="1"/>
  <c r="V374" i="1"/>
  <c r="P374" i="1"/>
  <c r="R374" i="1"/>
  <c r="K374" i="1"/>
  <c r="Q374" i="1"/>
  <c r="L374" i="1"/>
  <c r="AH366" i="1"/>
  <c r="M366" i="1"/>
  <c r="U366" i="1"/>
  <c r="N366" i="1"/>
  <c r="V366" i="1"/>
  <c r="O366" i="1"/>
  <c r="L366" i="1"/>
  <c r="P366" i="1"/>
  <c r="Q366" i="1"/>
  <c r="R366" i="1"/>
  <c r="T366" i="1"/>
  <c r="K366" i="1"/>
  <c r="S366" i="1"/>
  <c r="AH358" i="1"/>
  <c r="M358" i="1"/>
  <c r="U358" i="1"/>
  <c r="N358" i="1"/>
  <c r="V358" i="1"/>
  <c r="O358" i="1"/>
  <c r="P358" i="1"/>
  <c r="K358" i="1"/>
  <c r="S358" i="1"/>
  <c r="L358" i="1"/>
  <c r="Q358" i="1"/>
  <c r="R358" i="1"/>
  <c r="T358" i="1"/>
  <c r="AH350" i="1"/>
  <c r="M350" i="1"/>
  <c r="U350" i="1"/>
  <c r="N350" i="1"/>
  <c r="V350" i="1"/>
  <c r="O350" i="1"/>
  <c r="P350" i="1"/>
  <c r="K350" i="1"/>
  <c r="S350" i="1"/>
  <c r="Q350" i="1"/>
  <c r="L350" i="1"/>
  <c r="T350" i="1"/>
  <c r="R350" i="1"/>
  <c r="AH342" i="1"/>
  <c r="M342" i="1"/>
  <c r="U342" i="1"/>
  <c r="N342" i="1"/>
  <c r="V342" i="1"/>
  <c r="O342" i="1"/>
  <c r="P342" i="1"/>
  <c r="K342" i="1"/>
  <c r="S342" i="1"/>
  <c r="L342" i="1"/>
  <c r="Q342" i="1"/>
  <c r="R342" i="1"/>
  <c r="T342" i="1"/>
  <c r="AH334" i="1"/>
  <c r="M334" i="1"/>
  <c r="U334" i="1"/>
  <c r="N334" i="1"/>
  <c r="V334" i="1"/>
  <c r="O334" i="1"/>
  <c r="P334" i="1"/>
  <c r="K334" i="1"/>
  <c r="S334" i="1"/>
  <c r="Q334" i="1"/>
  <c r="R334" i="1"/>
  <c r="L334" i="1"/>
  <c r="T334" i="1"/>
  <c r="AH326" i="1"/>
  <c r="M326" i="1"/>
  <c r="U326" i="1"/>
  <c r="N326" i="1"/>
  <c r="V326" i="1"/>
  <c r="O326" i="1"/>
  <c r="P326" i="1"/>
  <c r="K326" i="1"/>
  <c r="S326" i="1"/>
  <c r="L326" i="1"/>
  <c r="Q326" i="1"/>
  <c r="R326" i="1"/>
  <c r="T326" i="1"/>
  <c r="AH318" i="1"/>
  <c r="Q318" i="1"/>
  <c r="L318" i="1"/>
  <c r="U318" i="1"/>
  <c r="M318" i="1"/>
  <c r="V318" i="1"/>
  <c r="N318" i="1"/>
  <c r="O318" i="1"/>
  <c r="S318" i="1"/>
  <c r="P318" i="1"/>
  <c r="K318" i="1"/>
  <c r="T318" i="1"/>
  <c r="R318" i="1"/>
  <c r="AH310" i="1"/>
  <c r="Q310" i="1"/>
  <c r="P310" i="1"/>
  <c r="R310" i="1"/>
  <c r="S310" i="1"/>
  <c r="K310" i="1"/>
  <c r="T310" i="1"/>
  <c r="N310" i="1"/>
  <c r="V310" i="1"/>
  <c r="M310" i="1"/>
  <c r="L310" i="1"/>
  <c r="O310" i="1"/>
  <c r="U310" i="1"/>
  <c r="AH302" i="1"/>
  <c r="Q302" i="1"/>
  <c r="L302" i="1"/>
  <c r="U302" i="1"/>
  <c r="M302" i="1"/>
  <c r="V302" i="1"/>
  <c r="P302" i="1"/>
  <c r="R302" i="1"/>
  <c r="S302" i="1"/>
  <c r="T302" i="1"/>
  <c r="N302" i="1"/>
  <c r="O302" i="1"/>
  <c r="K302" i="1"/>
  <c r="AH294" i="1"/>
  <c r="Q294" i="1"/>
  <c r="P294" i="1"/>
  <c r="R294" i="1"/>
  <c r="K294" i="1"/>
  <c r="T294" i="1"/>
  <c r="N294" i="1"/>
  <c r="O294" i="1"/>
  <c r="S294" i="1"/>
  <c r="U294" i="1"/>
  <c r="L294" i="1"/>
  <c r="M294" i="1"/>
  <c r="V294" i="1"/>
  <c r="AH286" i="1"/>
  <c r="Q286" i="1"/>
  <c r="L286" i="1"/>
  <c r="U286" i="1"/>
  <c r="M286" i="1"/>
  <c r="V286" i="1"/>
  <c r="O286" i="1"/>
  <c r="P286" i="1"/>
  <c r="T286" i="1"/>
  <c r="R286" i="1"/>
  <c r="N286" i="1"/>
  <c r="S286" i="1"/>
  <c r="K286" i="1"/>
  <c r="AH278" i="1"/>
  <c r="Q278" i="1"/>
  <c r="P278" i="1"/>
  <c r="R278" i="1"/>
  <c r="K278" i="1"/>
  <c r="T278" i="1"/>
  <c r="L278" i="1"/>
  <c r="U278" i="1"/>
  <c r="M278" i="1"/>
  <c r="N278" i="1"/>
  <c r="V278" i="1"/>
  <c r="O278" i="1"/>
  <c r="S278" i="1"/>
  <c r="AH270" i="1"/>
  <c r="Q270" i="1"/>
  <c r="L270" i="1"/>
  <c r="U270" i="1"/>
  <c r="M270" i="1"/>
  <c r="V270" i="1"/>
  <c r="O270" i="1"/>
  <c r="P270" i="1"/>
  <c r="K270" i="1"/>
  <c r="N270" i="1"/>
  <c r="R270" i="1"/>
  <c r="S270" i="1"/>
  <c r="T270" i="1"/>
  <c r="AH262" i="1"/>
  <c r="Q262" i="1"/>
  <c r="M262" i="1"/>
  <c r="U262" i="1"/>
  <c r="O262" i="1"/>
  <c r="P262" i="1"/>
  <c r="S262" i="1"/>
  <c r="T262" i="1"/>
  <c r="N262" i="1"/>
  <c r="R262" i="1"/>
  <c r="V262" i="1"/>
  <c r="K262" i="1"/>
  <c r="L262" i="1"/>
  <c r="AH254" i="1"/>
  <c r="Q254" i="1"/>
  <c r="M254" i="1"/>
  <c r="U254" i="1"/>
  <c r="O254" i="1"/>
  <c r="P254" i="1"/>
  <c r="S254" i="1"/>
  <c r="T254" i="1"/>
  <c r="K254" i="1"/>
  <c r="L254" i="1"/>
  <c r="V254" i="1"/>
  <c r="N254" i="1"/>
  <c r="R254" i="1"/>
  <c r="AH246" i="1"/>
  <c r="P246" i="1"/>
  <c r="R246" i="1"/>
  <c r="Q246" i="1"/>
  <c r="L246" i="1"/>
  <c r="V246" i="1"/>
  <c r="S246" i="1"/>
  <c r="T246" i="1"/>
  <c r="K246" i="1"/>
  <c r="M246" i="1"/>
  <c r="N246" i="1"/>
  <c r="O246" i="1"/>
  <c r="U246" i="1"/>
  <c r="AH238" i="1"/>
  <c r="P238" i="1"/>
  <c r="R238" i="1"/>
  <c r="Q238" i="1"/>
  <c r="L238" i="1"/>
  <c r="V238" i="1"/>
  <c r="N238" i="1"/>
  <c r="M238" i="1"/>
  <c r="O238" i="1"/>
  <c r="T238" i="1"/>
  <c r="U238" i="1"/>
  <c r="S238" i="1"/>
  <c r="K238" i="1"/>
  <c r="AH230" i="1"/>
  <c r="P230" i="1"/>
  <c r="R230" i="1"/>
  <c r="L230" i="1"/>
  <c r="T230" i="1"/>
  <c r="M230" i="1"/>
  <c r="S230" i="1"/>
  <c r="V230" i="1"/>
  <c r="K230" i="1"/>
  <c r="O230" i="1"/>
  <c r="Q230" i="1"/>
  <c r="N230" i="1"/>
  <c r="U230" i="1"/>
  <c r="AH222" i="1"/>
  <c r="P222" i="1"/>
  <c r="R222" i="1"/>
  <c r="L222" i="1"/>
  <c r="T222" i="1"/>
  <c r="S222" i="1"/>
  <c r="M222" i="1"/>
  <c r="O222" i="1"/>
  <c r="V222" i="1"/>
  <c r="K222" i="1"/>
  <c r="U222" i="1"/>
  <c r="N222" i="1"/>
  <c r="Q222" i="1"/>
  <c r="AH214" i="1"/>
  <c r="P214" i="1"/>
  <c r="R214" i="1"/>
  <c r="L214" i="1"/>
  <c r="T214" i="1"/>
  <c r="M214" i="1"/>
  <c r="Q214" i="1"/>
  <c r="S214" i="1"/>
  <c r="V214" i="1"/>
  <c r="K214" i="1"/>
  <c r="N214" i="1"/>
  <c r="O214" i="1"/>
  <c r="U214" i="1"/>
  <c r="AH206" i="1"/>
  <c r="R206" i="1"/>
  <c r="K206" i="1"/>
  <c r="S206" i="1"/>
  <c r="L206" i="1"/>
  <c r="T206" i="1"/>
  <c r="M206" i="1"/>
  <c r="U206" i="1"/>
  <c r="Q206" i="1"/>
  <c r="P206" i="1"/>
  <c r="N206" i="1"/>
  <c r="O206" i="1"/>
  <c r="V206" i="1"/>
  <c r="AH198" i="1"/>
  <c r="R198" i="1"/>
  <c r="K198" i="1"/>
  <c r="S198" i="1"/>
  <c r="L198" i="1"/>
  <c r="T198" i="1"/>
  <c r="M198" i="1"/>
  <c r="U198" i="1"/>
  <c r="Q198" i="1"/>
  <c r="N198" i="1"/>
  <c r="V198" i="1"/>
  <c r="O198" i="1"/>
  <c r="P198" i="1"/>
  <c r="AH190" i="1"/>
  <c r="R190" i="1"/>
  <c r="K190" i="1"/>
  <c r="S190" i="1"/>
  <c r="L190" i="1"/>
  <c r="T190" i="1"/>
  <c r="M190" i="1"/>
  <c r="U190" i="1"/>
  <c r="Q190" i="1"/>
  <c r="O190" i="1"/>
  <c r="P190" i="1"/>
  <c r="N190" i="1"/>
  <c r="V190" i="1"/>
  <c r="AH182" i="1"/>
  <c r="R182" i="1"/>
  <c r="K182" i="1"/>
  <c r="S182" i="1"/>
  <c r="L182" i="1"/>
  <c r="T182" i="1"/>
  <c r="M182" i="1"/>
  <c r="U182" i="1"/>
  <c r="P182" i="1"/>
  <c r="N182" i="1"/>
  <c r="V182" i="1"/>
  <c r="O182" i="1"/>
  <c r="Q182" i="1"/>
  <c r="AH174" i="1"/>
  <c r="R174" i="1"/>
  <c r="K174" i="1"/>
  <c r="S174" i="1"/>
  <c r="L174" i="1"/>
  <c r="T174" i="1"/>
  <c r="M174" i="1"/>
  <c r="U174" i="1"/>
  <c r="P174" i="1"/>
  <c r="N174" i="1"/>
  <c r="Q174" i="1"/>
  <c r="O174" i="1"/>
  <c r="V174" i="1"/>
  <c r="AH166" i="1"/>
  <c r="R166" i="1"/>
  <c r="K166" i="1"/>
  <c r="S166" i="1"/>
  <c r="L166" i="1"/>
  <c r="T166" i="1"/>
  <c r="M166" i="1"/>
  <c r="U166" i="1"/>
  <c r="P166" i="1"/>
  <c r="N166" i="1"/>
  <c r="O166" i="1"/>
  <c r="V166" i="1"/>
  <c r="Q166" i="1"/>
  <c r="AH158" i="1"/>
  <c r="R158" i="1"/>
  <c r="K158" i="1"/>
  <c r="S158" i="1"/>
  <c r="L158" i="1"/>
  <c r="T158" i="1"/>
  <c r="M158" i="1"/>
  <c r="U158" i="1"/>
  <c r="P158" i="1"/>
  <c r="N158" i="1"/>
  <c r="Q158" i="1"/>
  <c r="O158" i="1"/>
  <c r="V158" i="1"/>
  <c r="AH150" i="1"/>
  <c r="R150" i="1"/>
  <c r="K150" i="1"/>
  <c r="S150" i="1"/>
  <c r="L150" i="1"/>
  <c r="T150" i="1"/>
  <c r="M150" i="1"/>
  <c r="U150" i="1"/>
  <c r="P150" i="1"/>
  <c r="Q150" i="1"/>
  <c r="O150" i="1"/>
  <c r="N150" i="1"/>
  <c r="V150" i="1"/>
  <c r="AH142" i="1"/>
  <c r="R142" i="1"/>
  <c r="K142" i="1"/>
  <c r="S142" i="1"/>
  <c r="L142" i="1"/>
  <c r="T142" i="1"/>
  <c r="M142" i="1"/>
  <c r="U142" i="1"/>
  <c r="O142" i="1"/>
  <c r="P142" i="1"/>
  <c r="Q142" i="1"/>
  <c r="V142" i="1"/>
  <c r="N142" i="1"/>
  <c r="AH134" i="1"/>
  <c r="R134" i="1"/>
  <c r="K134" i="1"/>
  <c r="S134" i="1"/>
  <c r="L134" i="1"/>
  <c r="T134" i="1"/>
  <c r="M134" i="1"/>
  <c r="U134" i="1"/>
  <c r="O134" i="1"/>
  <c r="P134" i="1"/>
  <c r="Q134" i="1"/>
  <c r="N134" i="1"/>
  <c r="V134" i="1"/>
  <c r="AH126" i="1"/>
  <c r="K126" i="1"/>
  <c r="S126" i="1"/>
  <c r="L126" i="1"/>
  <c r="T126" i="1"/>
  <c r="Q126" i="1"/>
  <c r="U126" i="1"/>
  <c r="V126" i="1"/>
  <c r="M126" i="1"/>
  <c r="O126" i="1"/>
  <c r="P126" i="1"/>
  <c r="R126" i="1"/>
  <c r="N126" i="1"/>
  <c r="AH118" i="1"/>
  <c r="K118" i="1"/>
  <c r="S118" i="1"/>
  <c r="L118" i="1"/>
  <c r="T118" i="1"/>
  <c r="P118" i="1"/>
  <c r="Q118" i="1"/>
  <c r="R118" i="1"/>
  <c r="U118" i="1"/>
  <c r="V118" i="1"/>
  <c r="M118" i="1"/>
  <c r="N118" i="1"/>
  <c r="O118" i="1"/>
  <c r="AH110" i="1"/>
  <c r="K110" i="1"/>
  <c r="S110" i="1"/>
  <c r="L110" i="1"/>
  <c r="T110" i="1"/>
  <c r="P110" i="1"/>
  <c r="Q110" i="1"/>
  <c r="R110" i="1"/>
  <c r="U110" i="1"/>
  <c r="V110" i="1"/>
  <c r="M110" i="1"/>
  <c r="N110" i="1"/>
  <c r="O110" i="1"/>
  <c r="AH102" i="1"/>
  <c r="K102" i="1"/>
  <c r="S102" i="1"/>
  <c r="L102" i="1"/>
  <c r="T102" i="1"/>
  <c r="P102" i="1"/>
  <c r="Q102" i="1"/>
  <c r="R102" i="1"/>
  <c r="U102" i="1"/>
  <c r="V102" i="1"/>
  <c r="M102" i="1"/>
  <c r="N102" i="1"/>
  <c r="O102" i="1"/>
  <c r="AH94" i="1"/>
  <c r="K94" i="1"/>
  <c r="S94" i="1"/>
  <c r="L94" i="1"/>
  <c r="T94" i="1"/>
  <c r="P94" i="1"/>
  <c r="Q94" i="1"/>
  <c r="R94" i="1"/>
  <c r="U94" i="1"/>
  <c r="V94" i="1"/>
  <c r="M94" i="1"/>
  <c r="N94" i="1"/>
  <c r="O94" i="1"/>
  <c r="AH86" i="1"/>
  <c r="Q86" i="1"/>
  <c r="R86" i="1"/>
  <c r="L86" i="1"/>
  <c r="T86" i="1"/>
  <c r="U86" i="1"/>
  <c r="V86" i="1"/>
  <c r="O86" i="1"/>
  <c r="P86" i="1"/>
  <c r="S86" i="1"/>
  <c r="K86" i="1"/>
  <c r="M86" i="1"/>
  <c r="N86" i="1"/>
  <c r="AH78" i="1"/>
  <c r="Q78" i="1"/>
  <c r="R78" i="1"/>
  <c r="K78" i="1"/>
  <c r="S78" i="1"/>
  <c r="L78" i="1"/>
  <c r="T78" i="1"/>
  <c r="M78" i="1"/>
  <c r="U78" i="1"/>
  <c r="O78" i="1"/>
  <c r="V78" i="1"/>
  <c r="N78" i="1"/>
  <c r="P78" i="1"/>
  <c r="AH70" i="1"/>
  <c r="Q70" i="1"/>
  <c r="R70" i="1"/>
  <c r="K70" i="1"/>
  <c r="S70" i="1"/>
  <c r="L70" i="1"/>
  <c r="T70" i="1"/>
  <c r="M70" i="1"/>
  <c r="U70" i="1"/>
  <c r="O70" i="1"/>
  <c r="V70" i="1"/>
  <c r="N70" i="1"/>
  <c r="P70" i="1"/>
  <c r="AH62" i="1"/>
  <c r="Q62" i="1"/>
  <c r="R62" i="1"/>
  <c r="K62" i="1"/>
  <c r="S62" i="1"/>
  <c r="L62" i="1"/>
  <c r="T62" i="1"/>
  <c r="M62" i="1"/>
  <c r="U62" i="1"/>
  <c r="O62" i="1"/>
  <c r="V62" i="1"/>
  <c r="N62" i="1"/>
  <c r="P62" i="1"/>
  <c r="AH54" i="1"/>
  <c r="Q54" i="1"/>
  <c r="R54" i="1"/>
  <c r="L54" i="1"/>
  <c r="T54" i="1"/>
  <c r="V54" i="1"/>
  <c r="K54" i="1"/>
  <c r="M54" i="1"/>
  <c r="N54" i="1"/>
  <c r="O54" i="1"/>
  <c r="S54" i="1"/>
  <c r="U54" i="1"/>
  <c r="P54" i="1"/>
  <c r="AH46" i="1"/>
  <c r="Q46" i="1"/>
  <c r="R46" i="1"/>
  <c r="L46" i="1"/>
  <c r="T46" i="1"/>
  <c r="O46" i="1"/>
  <c r="P46" i="1"/>
  <c r="S46" i="1"/>
  <c r="U46" i="1"/>
  <c r="V46" i="1"/>
  <c r="M46" i="1"/>
  <c r="N46" i="1"/>
  <c r="K46" i="1"/>
  <c r="AH38" i="1"/>
  <c r="N38" i="1"/>
  <c r="V38" i="1"/>
  <c r="Q38" i="1"/>
  <c r="R38" i="1"/>
  <c r="L38" i="1"/>
  <c r="T38" i="1"/>
  <c r="S38" i="1"/>
  <c r="U38" i="1"/>
  <c r="K38" i="1"/>
  <c r="O38" i="1"/>
  <c r="M38" i="1"/>
  <c r="P38" i="1"/>
  <c r="AH30" i="1"/>
  <c r="N30" i="1"/>
  <c r="V30" i="1"/>
  <c r="Q30" i="1"/>
  <c r="R30" i="1"/>
  <c r="L30" i="1"/>
  <c r="T30" i="1"/>
  <c r="M30" i="1"/>
  <c r="U30" i="1"/>
  <c r="K30" i="1"/>
  <c r="O30" i="1"/>
  <c r="P30" i="1"/>
  <c r="S30" i="1"/>
  <c r="AH22" i="1"/>
  <c r="N22" i="1"/>
  <c r="V22" i="1"/>
  <c r="Q22" i="1"/>
  <c r="R22" i="1"/>
  <c r="L22" i="1"/>
  <c r="T22" i="1"/>
  <c r="M22" i="1"/>
  <c r="U22" i="1"/>
  <c r="K22" i="1"/>
  <c r="P22" i="1"/>
  <c r="S22" i="1"/>
  <c r="O22" i="1"/>
  <c r="AH14" i="1"/>
  <c r="N14" i="1"/>
  <c r="V14" i="1"/>
  <c r="Q14" i="1"/>
  <c r="R14" i="1"/>
  <c r="L14" i="1"/>
  <c r="T14" i="1"/>
  <c r="M14" i="1"/>
  <c r="U14" i="1"/>
  <c r="K14" i="1"/>
  <c r="O14" i="1"/>
  <c r="P14" i="1"/>
  <c r="S14" i="1"/>
  <c r="AH6" i="1"/>
  <c r="N6" i="1"/>
  <c r="V6" i="1"/>
  <c r="Q6" i="1"/>
  <c r="R6" i="1"/>
  <c r="L6" i="1"/>
  <c r="T6" i="1"/>
  <c r="M6" i="1"/>
  <c r="U6" i="1"/>
  <c r="K6" i="1"/>
  <c r="P6" i="1"/>
  <c r="O6" i="1"/>
  <c r="S6" i="1"/>
  <c r="R1741" i="1"/>
  <c r="V1740" i="1"/>
  <c r="N1740" i="1"/>
  <c r="R1739" i="1"/>
  <c r="V1738" i="1"/>
  <c r="N1738" i="1"/>
  <c r="R1737" i="1"/>
  <c r="V1736" i="1"/>
  <c r="N1736" i="1"/>
  <c r="R1735" i="1"/>
  <c r="V1734" i="1"/>
  <c r="N1734" i="1"/>
  <c r="R1733" i="1"/>
  <c r="V1732" i="1"/>
  <c r="N1732" i="1"/>
  <c r="R1731" i="1"/>
  <c r="V1730" i="1"/>
  <c r="N1730" i="1"/>
  <c r="R1729" i="1"/>
  <c r="V1728" i="1"/>
  <c r="N1728" i="1"/>
  <c r="R1727" i="1"/>
  <c r="V1726" i="1"/>
  <c r="N1726" i="1"/>
  <c r="R1725" i="1"/>
  <c r="V1724" i="1"/>
  <c r="N1724" i="1"/>
  <c r="R1723" i="1"/>
  <c r="V1722" i="1"/>
  <c r="N1722" i="1"/>
  <c r="R1721" i="1"/>
  <c r="V1720" i="1"/>
  <c r="N1720" i="1"/>
  <c r="R1719" i="1"/>
  <c r="V1718" i="1"/>
  <c r="N1718" i="1"/>
  <c r="R1717" i="1"/>
  <c r="V1716" i="1"/>
  <c r="N1716" i="1"/>
  <c r="R1715" i="1"/>
  <c r="V1714" i="1"/>
  <c r="N1714" i="1"/>
  <c r="R1713" i="1"/>
  <c r="V1712" i="1"/>
  <c r="N1712" i="1"/>
  <c r="R1711" i="1"/>
  <c r="V1710" i="1"/>
  <c r="N1710" i="1"/>
  <c r="R1709" i="1"/>
  <c r="V1708" i="1"/>
  <c r="K1708" i="1"/>
  <c r="M1707" i="1"/>
  <c r="N1706" i="1"/>
  <c r="N1705" i="1"/>
  <c r="L1704" i="1"/>
  <c r="K1703" i="1"/>
  <c r="K1702" i="1"/>
  <c r="V1700" i="1"/>
  <c r="V1699" i="1"/>
  <c r="T1698" i="1"/>
  <c r="S1697" i="1"/>
  <c r="S1696" i="1"/>
  <c r="R1695" i="1"/>
  <c r="R1694" i="1"/>
  <c r="O1692" i="1"/>
  <c r="O1691" i="1"/>
  <c r="N1690" i="1"/>
  <c r="N1689" i="1"/>
  <c r="L1688" i="1"/>
  <c r="K1687" i="1"/>
  <c r="K1686" i="1"/>
  <c r="V1684" i="1"/>
  <c r="V1683" i="1"/>
  <c r="T1682" i="1"/>
  <c r="S1681" i="1"/>
  <c r="O1680" i="1"/>
  <c r="K1679" i="1"/>
  <c r="O1676" i="1"/>
  <c r="R1673" i="1"/>
  <c r="K1672" i="1"/>
  <c r="L1670" i="1"/>
  <c r="N1668" i="1"/>
  <c r="S1666" i="1"/>
  <c r="T1664" i="1"/>
  <c r="V1662" i="1"/>
  <c r="P1659" i="1"/>
  <c r="R1657" i="1"/>
  <c r="K1656" i="1"/>
  <c r="L1654" i="1"/>
  <c r="N1652" i="1"/>
  <c r="S1650" i="1"/>
  <c r="T1648" i="1"/>
  <c r="V1646" i="1"/>
  <c r="P1643" i="1"/>
  <c r="R1641" i="1"/>
  <c r="K1640" i="1"/>
  <c r="L1638" i="1"/>
  <c r="N1636" i="1"/>
  <c r="S1634" i="1"/>
  <c r="T1632" i="1"/>
  <c r="V1630" i="1"/>
  <c r="V1626" i="1"/>
  <c r="N1624" i="1"/>
  <c r="V1618" i="1"/>
  <c r="N1616" i="1"/>
  <c r="V1610" i="1"/>
  <c r="N1608" i="1"/>
  <c r="V1602" i="1"/>
  <c r="N1600" i="1"/>
  <c r="V1594" i="1"/>
  <c r="N1592" i="1"/>
  <c r="V1586" i="1"/>
  <c r="N1584" i="1"/>
  <c r="V1578" i="1"/>
  <c r="N1576" i="1"/>
  <c r="V1570" i="1"/>
  <c r="N1568" i="1"/>
  <c r="V1562" i="1"/>
  <c r="N1560" i="1"/>
  <c r="V1554" i="1"/>
  <c r="N1552" i="1"/>
  <c r="V1546" i="1"/>
  <c r="N1544" i="1"/>
  <c r="V1538" i="1"/>
  <c r="N1536" i="1"/>
  <c r="V1530" i="1"/>
  <c r="N1528" i="1"/>
  <c r="V1522" i="1"/>
  <c r="N1520" i="1"/>
  <c r="V1514" i="1"/>
  <c r="N1512" i="1"/>
  <c r="V1506" i="1"/>
  <c r="N1504" i="1"/>
  <c r="V1498" i="1"/>
  <c r="N1496" i="1"/>
  <c r="V1490" i="1"/>
  <c r="N1488" i="1"/>
  <c r="V1482" i="1"/>
  <c r="N1480" i="1"/>
  <c r="V1474" i="1"/>
  <c r="N1472" i="1"/>
  <c r="V1466" i="1"/>
  <c r="N1464" i="1"/>
  <c r="V1458" i="1"/>
  <c r="N1456" i="1"/>
  <c r="V1450" i="1"/>
  <c r="N1448" i="1"/>
  <c r="V1442" i="1"/>
  <c r="N1440" i="1"/>
  <c r="V1434" i="1"/>
  <c r="N1432" i="1"/>
  <c r="V1426" i="1"/>
  <c r="N1424" i="1"/>
  <c r="V1418" i="1"/>
  <c r="N1416" i="1"/>
  <c r="V1410" i="1"/>
  <c r="N1408" i="1"/>
  <c r="V1402" i="1"/>
  <c r="N1400" i="1"/>
  <c r="V1394" i="1"/>
  <c r="N1392" i="1"/>
  <c r="V1386" i="1"/>
  <c r="N1384" i="1"/>
  <c r="V1378" i="1"/>
  <c r="N1376" i="1"/>
  <c r="V1370" i="1"/>
  <c r="N1368" i="1"/>
  <c r="V1362" i="1"/>
  <c r="N1360" i="1"/>
  <c r="V1354" i="1"/>
  <c r="N1352" i="1"/>
  <c r="N1346" i="1"/>
  <c r="U1342" i="1"/>
  <c r="O1339" i="1"/>
  <c r="S1335" i="1"/>
  <c r="M1332" i="1"/>
  <c r="S1328" i="1"/>
  <c r="Q1324" i="1"/>
  <c r="M1320" i="1"/>
  <c r="K1310" i="1"/>
  <c r="S1304" i="1"/>
  <c r="K1294" i="1"/>
  <c r="S1288" i="1"/>
  <c r="K1278" i="1"/>
  <c r="T1264" i="1"/>
  <c r="Q1257" i="1"/>
  <c r="S1250" i="1"/>
  <c r="M1236" i="1"/>
  <c r="S1216" i="1"/>
  <c r="K1206" i="1"/>
  <c r="S1184" i="1"/>
  <c r="V1055" i="1"/>
  <c r="AH1701" i="1"/>
  <c r="L1701" i="1"/>
  <c r="T1701" i="1"/>
  <c r="M1701" i="1"/>
  <c r="U1701" i="1"/>
  <c r="Q1701" i="1"/>
  <c r="AH1693" i="1"/>
  <c r="L1693" i="1"/>
  <c r="T1693" i="1"/>
  <c r="M1693" i="1"/>
  <c r="U1693" i="1"/>
  <c r="Q1693" i="1"/>
  <c r="AH1685" i="1"/>
  <c r="L1685" i="1"/>
  <c r="T1685" i="1"/>
  <c r="M1685" i="1"/>
  <c r="U1685" i="1"/>
  <c r="Q1685" i="1"/>
  <c r="AH1677" i="1"/>
  <c r="L1677" i="1"/>
  <c r="T1677" i="1"/>
  <c r="M1677" i="1"/>
  <c r="U1677" i="1"/>
  <c r="N1677" i="1"/>
  <c r="V1677" i="1"/>
  <c r="Q1677" i="1"/>
  <c r="AH1669" i="1"/>
  <c r="K1669" i="1"/>
  <c r="S1669" i="1"/>
  <c r="L1669" i="1"/>
  <c r="T1669" i="1"/>
  <c r="M1669" i="1"/>
  <c r="U1669" i="1"/>
  <c r="N1669" i="1"/>
  <c r="V1669" i="1"/>
  <c r="Q1669" i="1"/>
  <c r="AH1661" i="1"/>
  <c r="K1661" i="1"/>
  <c r="S1661" i="1"/>
  <c r="L1661" i="1"/>
  <c r="T1661" i="1"/>
  <c r="M1661" i="1"/>
  <c r="U1661" i="1"/>
  <c r="N1661" i="1"/>
  <c r="V1661" i="1"/>
  <c r="Q1661" i="1"/>
  <c r="AH1653" i="1"/>
  <c r="K1653" i="1"/>
  <c r="S1653" i="1"/>
  <c r="L1653" i="1"/>
  <c r="T1653" i="1"/>
  <c r="M1653" i="1"/>
  <c r="U1653" i="1"/>
  <c r="N1653" i="1"/>
  <c r="V1653" i="1"/>
  <c r="Q1653" i="1"/>
  <c r="AH1645" i="1"/>
  <c r="K1645" i="1"/>
  <c r="S1645" i="1"/>
  <c r="L1645" i="1"/>
  <c r="T1645" i="1"/>
  <c r="M1645" i="1"/>
  <c r="U1645" i="1"/>
  <c r="N1645" i="1"/>
  <c r="V1645" i="1"/>
  <c r="Q1645" i="1"/>
  <c r="AH1637" i="1"/>
  <c r="K1637" i="1"/>
  <c r="S1637" i="1"/>
  <c r="L1637" i="1"/>
  <c r="T1637" i="1"/>
  <c r="M1637" i="1"/>
  <c r="U1637" i="1"/>
  <c r="N1637" i="1"/>
  <c r="V1637" i="1"/>
  <c r="Q1637" i="1"/>
  <c r="AH1629" i="1"/>
  <c r="K1629" i="1"/>
  <c r="S1629" i="1"/>
  <c r="L1629" i="1"/>
  <c r="T1629" i="1"/>
  <c r="M1629" i="1"/>
  <c r="U1629" i="1"/>
  <c r="N1629" i="1"/>
  <c r="V1629" i="1"/>
  <c r="Q1629" i="1"/>
  <c r="AH1621" i="1"/>
  <c r="K1621" i="1"/>
  <c r="S1621" i="1"/>
  <c r="L1621" i="1"/>
  <c r="T1621" i="1"/>
  <c r="M1621" i="1"/>
  <c r="U1621" i="1"/>
  <c r="N1621" i="1"/>
  <c r="V1621" i="1"/>
  <c r="O1621" i="1"/>
  <c r="Q1621" i="1"/>
  <c r="AH1613" i="1"/>
  <c r="K1613" i="1"/>
  <c r="S1613" i="1"/>
  <c r="L1613" i="1"/>
  <c r="T1613" i="1"/>
  <c r="M1613" i="1"/>
  <c r="U1613" i="1"/>
  <c r="N1613" i="1"/>
  <c r="V1613" i="1"/>
  <c r="O1613" i="1"/>
  <c r="Q1613" i="1"/>
  <c r="AH1605" i="1"/>
  <c r="K1605" i="1"/>
  <c r="S1605" i="1"/>
  <c r="L1605" i="1"/>
  <c r="T1605" i="1"/>
  <c r="M1605" i="1"/>
  <c r="U1605" i="1"/>
  <c r="N1605" i="1"/>
  <c r="V1605" i="1"/>
  <c r="O1605" i="1"/>
  <c r="Q1605" i="1"/>
  <c r="AH1597" i="1"/>
  <c r="K1597" i="1"/>
  <c r="S1597" i="1"/>
  <c r="L1597" i="1"/>
  <c r="T1597" i="1"/>
  <c r="M1597" i="1"/>
  <c r="U1597" i="1"/>
  <c r="N1597" i="1"/>
  <c r="V1597" i="1"/>
  <c r="O1597" i="1"/>
  <c r="Q1597" i="1"/>
  <c r="AH1589" i="1"/>
  <c r="K1589" i="1"/>
  <c r="S1589" i="1"/>
  <c r="L1589" i="1"/>
  <c r="T1589" i="1"/>
  <c r="M1589" i="1"/>
  <c r="U1589" i="1"/>
  <c r="N1589" i="1"/>
  <c r="V1589" i="1"/>
  <c r="O1589" i="1"/>
  <c r="Q1589" i="1"/>
  <c r="AH1581" i="1"/>
  <c r="K1581" i="1"/>
  <c r="S1581" i="1"/>
  <c r="L1581" i="1"/>
  <c r="T1581" i="1"/>
  <c r="M1581" i="1"/>
  <c r="U1581" i="1"/>
  <c r="N1581" i="1"/>
  <c r="V1581" i="1"/>
  <c r="O1581" i="1"/>
  <c r="Q1581" i="1"/>
  <c r="AH1573" i="1"/>
  <c r="K1573" i="1"/>
  <c r="S1573" i="1"/>
  <c r="L1573" i="1"/>
  <c r="T1573" i="1"/>
  <c r="M1573" i="1"/>
  <c r="U1573" i="1"/>
  <c r="N1573" i="1"/>
  <c r="V1573" i="1"/>
  <c r="O1573" i="1"/>
  <c r="Q1573" i="1"/>
  <c r="AH1565" i="1"/>
  <c r="K1565" i="1"/>
  <c r="S1565" i="1"/>
  <c r="L1565" i="1"/>
  <c r="T1565" i="1"/>
  <c r="M1565" i="1"/>
  <c r="U1565" i="1"/>
  <c r="N1565" i="1"/>
  <c r="V1565" i="1"/>
  <c r="O1565" i="1"/>
  <c r="Q1565" i="1"/>
  <c r="AH1557" i="1"/>
  <c r="K1557" i="1"/>
  <c r="S1557" i="1"/>
  <c r="L1557" i="1"/>
  <c r="T1557" i="1"/>
  <c r="M1557" i="1"/>
  <c r="U1557" i="1"/>
  <c r="N1557" i="1"/>
  <c r="V1557" i="1"/>
  <c r="O1557" i="1"/>
  <c r="Q1557" i="1"/>
  <c r="AH1549" i="1"/>
  <c r="K1549" i="1"/>
  <c r="S1549" i="1"/>
  <c r="L1549" i="1"/>
  <c r="T1549" i="1"/>
  <c r="M1549" i="1"/>
  <c r="U1549" i="1"/>
  <c r="N1549" i="1"/>
  <c r="V1549" i="1"/>
  <c r="O1549" i="1"/>
  <c r="Q1549" i="1"/>
  <c r="AH1541" i="1"/>
  <c r="K1541" i="1"/>
  <c r="S1541" i="1"/>
  <c r="L1541" i="1"/>
  <c r="T1541" i="1"/>
  <c r="M1541" i="1"/>
  <c r="U1541" i="1"/>
  <c r="N1541" i="1"/>
  <c r="V1541" i="1"/>
  <c r="O1541" i="1"/>
  <c r="Q1541" i="1"/>
  <c r="AH1533" i="1"/>
  <c r="K1533" i="1"/>
  <c r="S1533" i="1"/>
  <c r="L1533" i="1"/>
  <c r="T1533" i="1"/>
  <c r="M1533" i="1"/>
  <c r="U1533" i="1"/>
  <c r="N1533" i="1"/>
  <c r="V1533" i="1"/>
  <c r="O1533" i="1"/>
  <c r="Q1533" i="1"/>
  <c r="AH1525" i="1"/>
  <c r="K1525" i="1"/>
  <c r="S1525" i="1"/>
  <c r="L1525" i="1"/>
  <c r="T1525" i="1"/>
  <c r="M1525" i="1"/>
  <c r="U1525" i="1"/>
  <c r="N1525" i="1"/>
  <c r="V1525" i="1"/>
  <c r="O1525" i="1"/>
  <c r="Q1525" i="1"/>
  <c r="AH1517" i="1"/>
  <c r="K1517" i="1"/>
  <c r="S1517" i="1"/>
  <c r="L1517" i="1"/>
  <c r="T1517" i="1"/>
  <c r="M1517" i="1"/>
  <c r="U1517" i="1"/>
  <c r="N1517" i="1"/>
  <c r="V1517" i="1"/>
  <c r="O1517" i="1"/>
  <c r="Q1517" i="1"/>
  <c r="AH1509" i="1"/>
  <c r="K1509" i="1"/>
  <c r="S1509" i="1"/>
  <c r="L1509" i="1"/>
  <c r="T1509" i="1"/>
  <c r="M1509" i="1"/>
  <c r="U1509" i="1"/>
  <c r="N1509" i="1"/>
  <c r="V1509" i="1"/>
  <c r="O1509" i="1"/>
  <c r="Q1509" i="1"/>
  <c r="AH1501" i="1"/>
  <c r="K1501" i="1"/>
  <c r="S1501" i="1"/>
  <c r="L1501" i="1"/>
  <c r="T1501" i="1"/>
  <c r="M1501" i="1"/>
  <c r="U1501" i="1"/>
  <c r="N1501" i="1"/>
  <c r="V1501" i="1"/>
  <c r="O1501" i="1"/>
  <c r="Q1501" i="1"/>
  <c r="AH1493" i="1"/>
  <c r="K1493" i="1"/>
  <c r="S1493" i="1"/>
  <c r="L1493" i="1"/>
  <c r="T1493" i="1"/>
  <c r="M1493" i="1"/>
  <c r="U1493" i="1"/>
  <c r="N1493" i="1"/>
  <c r="V1493" i="1"/>
  <c r="O1493" i="1"/>
  <c r="Q1493" i="1"/>
  <c r="AH1485" i="1"/>
  <c r="K1485" i="1"/>
  <c r="S1485" i="1"/>
  <c r="L1485" i="1"/>
  <c r="T1485" i="1"/>
  <c r="M1485" i="1"/>
  <c r="U1485" i="1"/>
  <c r="N1485" i="1"/>
  <c r="V1485" i="1"/>
  <c r="O1485" i="1"/>
  <c r="Q1485" i="1"/>
  <c r="AH1477" i="1"/>
  <c r="K1477" i="1"/>
  <c r="S1477" i="1"/>
  <c r="L1477" i="1"/>
  <c r="T1477" i="1"/>
  <c r="M1477" i="1"/>
  <c r="U1477" i="1"/>
  <c r="N1477" i="1"/>
  <c r="V1477" i="1"/>
  <c r="O1477" i="1"/>
  <c r="Q1477" i="1"/>
  <c r="AH1469" i="1"/>
  <c r="K1469" i="1"/>
  <c r="S1469" i="1"/>
  <c r="L1469" i="1"/>
  <c r="T1469" i="1"/>
  <c r="M1469" i="1"/>
  <c r="U1469" i="1"/>
  <c r="N1469" i="1"/>
  <c r="V1469" i="1"/>
  <c r="O1469" i="1"/>
  <c r="Q1469" i="1"/>
  <c r="AH1461" i="1"/>
  <c r="K1461" i="1"/>
  <c r="S1461" i="1"/>
  <c r="L1461" i="1"/>
  <c r="T1461" i="1"/>
  <c r="M1461" i="1"/>
  <c r="U1461" i="1"/>
  <c r="N1461" i="1"/>
  <c r="V1461" i="1"/>
  <c r="O1461" i="1"/>
  <c r="Q1461" i="1"/>
  <c r="AH1453" i="1"/>
  <c r="K1453" i="1"/>
  <c r="S1453" i="1"/>
  <c r="L1453" i="1"/>
  <c r="T1453" i="1"/>
  <c r="M1453" i="1"/>
  <c r="U1453" i="1"/>
  <c r="N1453" i="1"/>
  <c r="V1453" i="1"/>
  <c r="O1453" i="1"/>
  <c r="Q1453" i="1"/>
  <c r="AH1445" i="1"/>
  <c r="K1445" i="1"/>
  <c r="S1445" i="1"/>
  <c r="L1445" i="1"/>
  <c r="T1445" i="1"/>
  <c r="M1445" i="1"/>
  <c r="U1445" i="1"/>
  <c r="N1445" i="1"/>
  <c r="V1445" i="1"/>
  <c r="O1445" i="1"/>
  <c r="Q1445" i="1"/>
  <c r="AH1437" i="1"/>
  <c r="K1437" i="1"/>
  <c r="S1437" i="1"/>
  <c r="L1437" i="1"/>
  <c r="T1437" i="1"/>
  <c r="M1437" i="1"/>
  <c r="U1437" i="1"/>
  <c r="N1437" i="1"/>
  <c r="V1437" i="1"/>
  <c r="O1437" i="1"/>
  <c r="Q1437" i="1"/>
  <c r="AH1429" i="1"/>
  <c r="K1429" i="1"/>
  <c r="S1429" i="1"/>
  <c r="L1429" i="1"/>
  <c r="T1429" i="1"/>
  <c r="M1429" i="1"/>
  <c r="U1429" i="1"/>
  <c r="N1429" i="1"/>
  <c r="V1429" i="1"/>
  <c r="O1429" i="1"/>
  <c r="Q1429" i="1"/>
  <c r="AH1421" i="1"/>
  <c r="K1421" i="1"/>
  <c r="S1421" i="1"/>
  <c r="L1421" i="1"/>
  <c r="T1421" i="1"/>
  <c r="M1421" i="1"/>
  <c r="U1421" i="1"/>
  <c r="N1421" i="1"/>
  <c r="V1421" i="1"/>
  <c r="O1421" i="1"/>
  <c r="Q1421" i="1"/>
  <c r="AH1413" i="1"/>
  <c r="K1413" i="1"/>
  <c r="S1413" i="1"/>
  <c r="L1413" i="1"/>
  <c r="T1413" i="1"/>
  <c r="M1413" i="1"/>
  <c r="U1413" i="1"/>
  <c r="N1413" i="1"/>
  <c r="V1413" i="1"/>
  <c r="O1413" i="1"/>
  <c r="Q1413" i="1"/>
  <c r="AH1405" i="1"/>
  <c r="K1405" i="1"/>
  <c r="S1405" i="1"/>
  <c r="L1405" i="1"/>
  <c r="T1405" i="1"/>
  <c r="M1405" i="1"/>
  <c r="U1405" i="1"/>
  <c r="N1405" i="1"/>
  <c r="V1405" i="1"/>
  <c r="O1405" i="1"/>
  <c r="Q1405" i="1"/>
  <c r="AH1397" i="1"/>
  <c r="K1397" i="1"/>
  <c r="S1397" i="1"/>
  <c r="L1397" i="1"/>
  <c r="T1397" i="1"/>
  <c r="M1397" i="1"/>
  <c r="U1397" i="1"/>
  <c r="N1397" i="1"/>
  <c r="V1397" i="1"/>
  <c r="O1397" i="1"/>
  <c r="Q1397" i="1"/>
  <c r="AH1389" i="1"/>
  <c r="K1389" i="1"/>
  <c r="S1389" i="1"/>
  <c r="L1389" i="1"/>
  <c r="T1389" i="1"/>
  <c r="M1389" i="1"/>
  <c r="U1389" i="1"/>
  <c r="N1389" i="1"/>
  <c r="V1389" i="1"/>
  <c r="O1389" i="1"/>
  <c r="Q1389" i="1"/>
  <c r="AH1381" i="1"/>
  <c r="K1381" i="1"/>
  <c r="S1381" i="1"/>
  <c r="L1381" i="1"/>
  <c r="T1381" i="1"/>
  <c r="M1381" i="1"/>
  <c r="U1381" i="1"/>
  <c r="N1381" i="1"/>
  <c r="V1381" i="1"/>
  <c r="O1381" i="1"/>
  <c r="Q1381" i="1"/>
  <c r="AH1373" i="1"/>
  <c r="K1373" i="1"/>
  <c r="S1373" i="1"/>
  <c r="L1373" i="1"/>
  <c r="T1373" i="1"/>
  <c r="M1373" i="1"/>
  <c r="U1373" i="1"/>
  <c r="N1373" i="1"/>
  <c r="V1373" i="1"/>
  <c r="O1373" i="1"/>
  <c r="Q1373" i="1"/>
  <c r="AH1365" i="1"/>
  <c r="K1365" i="1"/>
  <c r="S1365" i="1"/>
  <c r="L1365" i="1"/>
  <c r="T1365" i="1"/>
  <c r="M1365" i="1"/>
  <c r="U1365" i="1"/>
  <c r="N1365" i="1"/>
  <c r="V1365" i="1"/>
  <c r="O1365" i="1"/>
  <c r="Q1365" i="1"/>
  <c r="AH1357" i="1"/>
  <c r="K1357" i="1"/>
  <c r="S1357" i="1"/>
  <c r="L1357" i="1"/>
  <c r="T1357" i="1"/>
  <c r="M1357" i="1"/>
  <c r="U1357" i="1"/>
  <c r="N1357" i="1"/>
  <c r="V1357" i="1"/>
  <c r="O1357" i="1"/>
  <c r="Q1357" i="1"/>
  <c r="AH1349" i="1"/>
  <c r="N1349" i="1"/>
  <c r="V1349" i="1"/>
  <c r="P1349" i="1"/>
  <c r="Q1349" i="1"/>
  <c r="R1349" i="1"/>
  <c r="S1349" i="1"/>
  <c r="K1349" i="1"/>
  <c r="T1349" i="1"/>
  <c r="M1349" i="1"/>
  <c r="AH1341" i="1"/>
  <c r="L1341" i="1"/>
  <c r="T1341" i="1"/>
  <c r="N1341" i="1"/>
  <c r="V1341" i="1"/>
  <c r="M1341" i="1"/>
  <c r="O1341" i="1"/>
  <c r="P1341" i="1"/>
  <c r="Q1341" i="1"/>
  <c r="R1341" i="1"/>
  <c r="U1341" i="1"/>
  <c r="AH1333" i="1"/>
  <c r="L1333" i="1"/>
  <c r="T1333" i="1"/>
  <c r="N1333" i="1"/>
  <c r="V1333" i="1"/>
  <c r="M1333" i="1"/>
  <c r="O1333" i="1"/>
  <c r="P1333" i="1"/>
  <c r="Q1333" i="1"/>
  <c r="R1333" i="1"/>
  <c r="U1333" i="1"/>
  <c r="AH1325" i="1"/>
  <c r="R1325" i="1"/>
  <c r="L1325" i="1"/>
  <c r="T1325" i="1"/>
  <c r="N1325" i="1"/>
  <c r="V1325" i="1"/>
  <c r="S1325" i="1"/>
  <c r="U1325" i="1"/>
  <c r="K1325" i="1"/>
  <c r="M1325" i="1"/>
  <c r="P1325" i="1"/>
  <c r="AH1317" i="1"/>
  <c r="R1317" i="1"/>
  <c r="L1317" i="1"/>
  <c r="T1317" i="1"/>
  <c r="M1317" i="1"/>
  <c r="U1317" i="1"/>
  <c r="N1317" i="1"/>
  <c r="V1317" i="1"/>
  <c r="K1317" i="1"/>
  <c r="O1317" i="1"/>
  <c r="P1317" i="1"/>
  <c r="S1317" i="1"/>
  <c r="AH1309" i="1"/>
  <c r="R1309" i="1"/>
  <c r="L1309" i="1"/>
  <c r="T1309" i="1"/>
  <c r="M1309" i="1"/>
  <c r="U1309" i="1"/>
  <c r="N1309" i="1"/>
  <c r="V1309" i="1"/>
  <c r="K1309" i="1"/>
  <c r="O1309" i="1"/>
  <c r="P1309" i="1"/>
  <c r="S1309" i="1"/>
  <c r="AH1301" i="1"/>
  <c r="R1301" i="1"/>
  <c r="L1301" i="1"/>
  <c r="T1301" i="1"/>
  <c r="M1301" i="1"/>
  <c r="U1301" i="1"/>
  <c r="N1301" i="1"/>
  <c r="V1301" i="1"/>
  <c r="K1301" i="1"/>
  <c r="O1301" i="1"/>
  <c r="P1301" i="1"/>
  <c r="S1301" i="1"/>
  <c r="AH1293" i="1"/>
  <c r="R1293" i="1"/>
  <c r="L1293" i="1"/>
  <c r="T1293" i="1"/>
  <c r="M1293" i="1"/>
  <c r="U1293" i="1"/>
  <c r="N1293" i="1"/>
  <c r="V1293" i="1"/>
  <c r="K1293" i="1"/>
  <c r="O1293" i="1"/>
  <c r="P1293" i="1"/>
  <c r="S1293" i="1"/>
  <c r="AH1285" i="1"/>
  <c r="R1285" i="1"/>
  <c r="L1285" i="1"/>
  <c r="T1285" i="1"/>
  <c r="M1285" i="1"/>
  <c r="U1285" i="1"/>
  <c r="N1285" i="1"/>
  <c r="V1285" i="1"/>
  <c r="K1285" i="1"/>
  <c r="O1285" i="1"/>
  <c r="P1285" i="1"/>
  <c r="S1285" i="1"/>
  <c r="AH1277" i="1"/>
  <c r="R1277" i="1"/>
  <c r="L1277" i="1"/>
  <c r="T1277" i="1"/>
  <c r="M1277" i="1"/>
  <c r="U1277" i="1"/>
  <c r="N1277" i="1"/>
  <c r="V1277" i="1"/>
  <c r="K1277" i="1"/>
  <c r="O1277" i="1"/>
  <c r="P1277" i="1"/>
  <c r="S1277" i="1"/>
  <c r="AH1269" i="1"/>
  <c r="R1269" i="1"/>
  <c r="K1269" i="1"/>
  <c r="S1269" i="1"/>
  <c r="L1269" i="1"/>
  <c r="T1269" i="1"/>
  <c r="M1269" i="1"/>
  <c r="U1269" i="1"/>
  <c r="N1269" i="1"/>
  <c r="V1269" i="1"/>
  <c r="O1269" i="1"/>
  <c r="P1269" i="1"/>
  <c r="AH1261" i="1"/>
  <c r="R1261" i="1"/>
  <c r="K1261" i="1"/>
  <c r="S1261" i="1"/>
  <c r="L1261" i="1"/>
  <c r="T1261" i="1"/>
  <c r="M1261" i="1"/>
  <c r="U1261" i="1"/>
  <c r="N1261" i="1"/>
  <c r="V1261" i="1"/>
  <c r="P1261" i="1"/>
  <c r="Q1261" i="1"/>
  <c r="AH1253" i="1"/>
  <c r="R1253" i="1"/>
  <c r="K1253" i="1"/>
  <c r="S1253" i="1"/>
  <c r="L1253" i="1"/>
  <c r="T1253" i="1"/>
  <c r="M1253" i="1"/>
  <c r="U1253" i="1"/>
  <c r="N1253" i="1"/>
  <c r="V1253" i="1"/>
  <c r="O1253" i="1"/>
  <c r="P1253" i="1"/>
  <c r="AH1245" i="1"/>
  <c r="R1245" i="1"/>
  <c r="K1245" i="1"/>
  <c r="S1245" i="1"/>
  <c r="L1245" i="1"/>
  <c r="T1245" i="1"/>
  <c r="M1245" i="1"/>
  <c r="U1245" i="1"/>
  <c r="N1245" i="1"/>
  <c r="V1245" i="1"/>
  <c r="P1245" i="1"/>
  <c r="Q1245" i="1"/>
  <c r="AH1237" i="1"/>
  <c r="R1237" i="1"/>
  <c r="K1237" i="1"/>
  <c r="S1237" i="1"/>
  <c r="L1237" i="1"/>
  <c r="T1237" i="1"/>
  <c r="M1237" i="1"/>
  <c r="U1237" i="1"/>
  <c r="N1237" i="1"/>
  <c r="V1237" i="1"/>
  <c r="O1237" i="1"/>
  <c r="P1237" i="1"/>
  <c r="AH1229" i="1"/>
  <c r="Q1229" i="1"/>
  <c r="R1229" i="1"/>
  <c r="K1229" i="1"/>
  <c r="S1229" i="1"/>
  <c r="L1229" i="1"/>
  <c r="T1229" i="1"/>
  <c r="M1229" i="1"/>
  <c r="U1229" i="1"/>
  <c r="N1229" i="1"/>
  <c r="V1229" i="1"/>
  <c r="P1229" i="1"/>
  <c r="AH1221" i="1"/>
  <c r="Q1221" i="1"/>
  <c r="R1221" i="1"/>
  <c r="K1221" i="1"/>
  <c r="S1221" i="1"/>
  <c r="L1221" i="1"/>
  <c r="T1221" i="1"/>
  <c r="M1221" i="1"/>
  <c r="U1221" i="1"/>
  <c r="N1221" i="1"/>
  <c r="V1221" i="1"/>
  <c r="P1221" i="1"/>
  <c r="AH1213" i="1"/>
  <c r="Q1213" i="1"/>
  <c r="R1213" i="1"/>
  <c r="K1213" i="1"/>
  <c r="S1213" i="1"/>
  <c r="L1213" i="1"/>
  <c r="T1213" i="1"/>
  <c r="M1213" i="1"/>
  <c r="U1213" i="1"/>
  <c r="N1213" i="1"/>
  <c r="V1213" i="1"/>
  <c r="P1213" i="1"/>
  <c r="AH1205" i="1"/>
  <c r="Q1205" i="1"/>
  <c r="R1205" i="1"/>
  <c r="K1205" i="1"/>
  <c r="S1205" i="1"/>
  <c r="L1205" i="1"/>
  <c r="T1205" i="1"/>
  <c r="M1205" i="1"/>
  <c r="U1205" i="1"/>
  <c r="N1205" i="1"/>
  <c r="V1205" i="1"/>
  <c r="P1205" i="1"/>
  <c r="AH1197" i="1"/>
  <c r="Q1197" i="1"/>
  <c r="R1197" i="1"/>
  <c r="K1197" i="1"/>
  <c r="S1197" i="1"/>
  <c r="L1197" i="1"/>
  <c r="T1197" i="1"/>
  <c r="M1197" i="1"/>
  <c r="U1197" i="1"/>
  <c r="N1197" i="1"/>
  <c r="V1197" i="1"/>
  <c r="P1197" i="1"/>
  <c r="AH1189" i="1"/>
  <c r="Q1189" i="1"/>
  <c r="R1189" i="1"/>
  <c r="K1189" i="1"/>
  <c r="S1189" i="1"/>
  <c r="L1189" i="1"/>
  <c r="T1189" i="1"/>
  <c r="M1189" i="1"/>
  <c r="U1189" i="1"/>
  <c r="N1189" i="1"/>
  <c r="V1189" i="1"/>
  <c r="P1189" i="1"/>
  <c r="AH1181" i="1"/>
  <c r="Q1181" i="1"/>
  <c r="R1181" i="1"/>
  <c r="K1181" i="1"/>
  <c r="S1181" i="1"/>
  <c r="L1181" i="1"/>
  <c r="T1181" i="1"/>
  <c r="M1181" i="1"/>
  <c r="U1181" i="1"/>
  <c r="N1181" i="1"/>
  <c r="V1181" i="1"/>
  <c r="P1181" i="1"/>
  <c r="AH1173" i="1"/>
  <c r="R1173" i="1"/>
  <c r="K1173" i="1"/>
  <c r="S1173" i="1"/>
  <c r="L1173" i="1"/>
  <c r="T1173" i="1"/>
  <c r="M1173" i="1"/>
  <c r="U1173" i="1"/>
  <c r="P1173" i="1"/>
  <c r="Q1173" i="1"/>
  <c r="V1173" i="1"/>
  <c r="N1173" i="1"/>
  <c r="O1173" i="1"/>
  <c r="AH1165" i="1"/>
  <c r="R1165" i="1"/>
  <c r="K1165" i="1"/>
  <c r="S1165" i="1"/>
  <c r="L1165" i="1"/>
  <c r="T1165" i="1"/>
  <c r="M1165" i="1"/>
  <c r="U1165" i="1"/>
  <c r="P1165" i="1"/>
  <c r="N1165" i="1"/>
  <c r="O1165" i="1"/>
  <c r="Q1165" i="1"/>
  <c r="V1165" i="1"/>
  <c r="AH1157" i="1"/>
  <c r="R1157" i="1"/>
  <c r="K1157" i="1"/>
  <c r="S1157" i="1"/>
  <c r="L1157" i="1"/>
  <c r="T1157" i="1"/>
  <c r="M1157" i="1"/>
  <c r="U1157" i="1"/>
  <c r="P1157" i="1"/>
  <c r="Q1157" i="1"/>
  <c r="V1157" i="1"/>
  <c r="N1157" i="1"/>
  <c r="O1157" i="1"/>
  <c r="AH1149" i="1"/>
  <c r="R1149" i="1"/>
  <c r="K1149" i="1"/>
  <c r="S1149" i="1"/>
  <c r="L1149" i="1"/>
  <c r="T1149" i="1"/>
  <c r="M1149" i="1"/>
  <c r="U1149" i="1"/>
  <c r="P1149" i="1"/>
  <c r="N1149" i="1"/>
  <c r="O1149" i="1"/>
  <c r="Q1149" i="1"/>
  <c r="V1149" i="1"/>
  <c r="AH1141" i="1"/>
  <c r="R1141" i="1"/>
  <c r="K1141" i="1"/>
  <c r="S1141" i="1"/>
  <c r="L1141" i="1"/>
  <c r="T1141" i="1"/>
  <c r="M1141" i="1"/>
  <c r="U1141" i="1"/>
  <c r="P1141" i="1"/>
  <c r="Q1141" i="1"/>
  <c r="V1141" i="1"/>
  <c r="O1141" i="1"/>
  <c r="AH1133" i="1"/>
  <c r="R1133" i="1"/>
  <c r="K1133" i="1"/>
  <c r="S1133" i="1"/>
  <c r="L1133" i="1"/>
  <c r="T1133" i="1"/>
  <c r="M1133" i="1"/>
  <c r="U1133" i="1"/>
  <c r="P1133" i="1"/>
  <c r="N1133" i="1"/>
  <c r="O1133" i="1"/>
  <c r="Q1133" i="1"/>
  <c r="V1133" i="1"/>
  <c r="AH1125" i="1"/>
  <c r="R1125" i="1"/>
  <c r="K1125" i="1"/>
  <c r="S1125" i="1"/>
  <c r="L1125" i="1"/>
  <c r="T1125" i="1"/>
  <c r="M1125" i="1"/>
  <c r="U1125" i="1"/>
  <c r="P1125" i="1"/>
  <c r="Q1125" i="1"/>
  <c r="V1125" i="1"/>
  <c r="O1125" i="1"/>
  <c r="AH1117" i="1"/>
  <c r="R1117" i="1"/>
  <c r="K1117" i="1"/>
  <c r="S1117" i="1"/>
  <c r="L1117" i="1"/>
  <c r="T1117" i="1"/>
  <c r="M1117" i="1"/>
  <c r="U1117" i="1"/>
  <c r="P1117" i="1"/>
  <c r="N1117" i="1"/>
  <c r="O1117" i="1"/>
  <c r="Q1117" i="1"/>
  <c r="V1117" i="1"/>
  <c r="AH1109" i="1"/>
  <c r="R1109" i="1"/>
  <c r="K1109" i="1"/>
  <c r="S1109" i="1"/>
  <c r="L1109" i="1"/>
  <c r="T1109" i="1"/>
  <c r="M1109" i="1"/>
  <c r="U1109" i="1"/>
  <c r="P1109" i="1"/>
  <c r="Q1109" i="1"/>
  <c r="V1109" i="1"/>
  <c r="N1109" i="1"/>
  <c r="O1109" i="1"/>
  <c r="AH1101" i="1"/>
  <c r="R1101" i="1"/>
  <c r="K1101" i="1"/>
  <c r="S1101" i="1"/>
  <c r="L1101" i="1"/>
  <c r="T1101" i="1"/>
  <c r="M1101" i="1"/>
  <c r="U1101" i="1"/>
  <c r="P1101" i="1"/>
  <c r="N1101" i="1"/>
  <c r="O1101" i="1"/>
  <c r="Q1101" i="1"/>
  <c r="V1101" i="1"/>
  <c r="AH1093" i="1"/>
  <c r="R1093" i="1"/>
  <c r="K1093" i="1"/>
  <c r="S1093" i="1"/>
  <c r="L1093" i="1"/>
  <c r="T1093" i="1"/>
  <c r="M1093" i="1"/>
  <c r="U1093" i="1"/>
  <c r="P1093" i="1"/>
  <c r="Q1093" i="1"/>
  <c r="V1093" i="1"/>
  <c r="N1093" i="1"/>
  <c r="O1093" i="1"/>
  <c r="AH1085" i="1"/>
  <c r="R1085" i="1"/>
  <c r="K1085" i="1"/>
  <c r="S1085" i="1"/>
  <c r="L1085" i="1"/>
  <c r="T1085" i="1"/>
  <c r="M1085" i="1"/>
  <c r="U1085" i="1"/>
  <c r="P1085" i="1"/>
  <c r="N1085" i="1"/>
  <c r="O1085" i="1"/>
  <c r="Q1085" i="1"/>
  <c r="V1085" i="1"/>
  <c r="AH1077" i="1"/>
  <c r="R1077" i="1"/>
  <c r="K1077" i="1"/>
  <c r="S1077" i="1"/>
  <c r="L1077" i="1"/>
  <c r="T1077" i="1"/>
  <c r="M1077" i="1"/>
  <c r="U1077" i="1"/>
  <c r="P1077" i="1"/>
  <c r="Q1077" i="1"/>
  <c r="V1077" i="1"/>
  <c r="O1077" i="1"/>
  <c r="AH1069" i="1"/>
  <c r="R1069" i="1"/>
  <c r="K1069" i="1"/>
  <c r="S1069" i="1"/>
  <c r="L1069" i="1"/>
  <c r="T1069" i="1"/>
  <c r="M1069" i="1"/>
  <c r="U1069" i="1"/>
  <c r="P1069" i="1"/>
  <c r="N1069" i="1"/>
  <c r="O1069" i="1"/>
  <c r="Q1069" i="1"/>
  <c r="V1069" i="1"/>
  <c r="AH1061" i="1"/>
  <c r="R1061" i="1"/>
  <c r="K1061" i="1"/>
  <c r="S1061" i="1"/>
  <c r="L1061" i="1"/>
  <c r="T1061" i="1"/>
  <c r="M1061" i="1"/>
  <c r="U1061" i="1"/>
  <c r="P1061" i="1"/>
  <c r="Q1061" i="1"/>
  <c r="V1061" i="1"/>
  <c r="O1061" i="1"/>
  <c r="AH1053" i="1"/>
  <c r="R1053" i="1"/>
  <c r="K1053" i="1"/>
  <c r="S1053" i="1"/>
  <c r="L1053" i="1"/>
  <c r="T1053" i="1"/>
  <c r="M1053" i="1"/>
  <c r="U1053" i="1"/>
  <c r="P1053" i="1"/>
  <c r="N1053" i="1"/>
  <c r="O1053" i="1"/>
  <c r="Q1053" i="1"/>
  <c r="V1053" i="1"/>
  <c r="AH1045" i="1"/>
  <c r="R1045" i="1"/>
  <c r="K1045" i="1"/>
  <c r="S1045" i="1"/>
  <c r="L1045" i="1"/>
  <c r="T1045" i="1"/>
  <c r="M1045" i="1"/>
  <c r="U1045" i="1"/>
  <c r="P1045" i="1"/>
  <c r="Q1045" i="1"/>
  <c r="V1045" i="1"/>
  <c r="N1045" i="1"/>
  <c r="O1045" i="1"/>
  <c r="AH1037" i="1"/>
  <c r="R1037" i="1"/>
  <c r="K1037" i="1"/>
  <c r="S1037" i="1"/>
  <c r="L1037" i="1"/>
  <c r="T1037" i="1"/>
  <c r="M1037" i="1"/>
  <c r="U1037" i="1"/>
  <c r="P1037" i="1"/>
  <c r="N1037" i="1"/>
  <c r="O1037" i="1"/>
  <c r="Q1037" i="1"/>
  <c r="V1037" i="1"/>
  <c r="AH1029" i="1"/>
  <c r="P1029" i="1"/>
  <c r="K1029" i="1"/>
  <c r="T1029" i="1"/>
  <c r="L1029" i="1"/>
  <c r="U1029" i="1"/>
  <c r="M1029" i="1"/>
  <c r="V1029" i="1"/>
  <c r="N1029" i="1"/>
  <c r="R1029" i="1"/>
  <c r="O1029" i="1"/>
  <c r="Q1029" i="1"/>
  <c r="S1029" i="1"/>
  <c r="AH1021" i="1"/>
  <c r="P1021" i="1"/>
  <c r="O1021" i="1"/>
  <c r="Q1021" i="1"/>
  <c r="R1021" i="1"/>
  <c r="S1021" i="1"/>
  <c r="M1021" i="1"/>
  <c r="V1021" i="1"/>
  <c r="K1021" i="1"/>
  <c r="L1021" i="1"/>
  <c r="N1021" i="1"/>
  <c r="T1021" i="1"/>
  <c r="U1021" i="1"/>
  <c r="AH1013" i="1"/>
  <c r="L1013" i="1"/>
  <c r="T1013" i="1"/>
  <c r="N1013" i="1"/>
  <c r="V1013" i="1"/>
  <c r="O1013" i="1"/>
  <c r="P1013" i="1"/>
  <c r="R1013" i="1"/>
  <c r="S1013" i="1"/>
  <c r="U1013" i="1"/>
  <c r="M1013" i="1"/>
  <c r="K1013" i="1"/>
  <c r="Q1013" i="1"/>
  <c r="AH1005" i="1"/>
  <c r="L1005" i="1"/>
  <c r="T1005" i="1"/>
  <c r="N1005" i="1"/>
  <c r="V1005" i="1"/>
  <c r="O1005" i="1"/>
  <c r="P1005" i="1"/>
  <c r="R1005" i="1"/>
  <c r="S1005" i="1"/>
  <c r="U1005" i="1"/>
  <c r="M1005" i="1"/>
  <c r="K1005" i="1"/>
  <c r="Q1005" i="1"/>
  <c r="AH997" i="1"/>
  <c r="L997" i="1"/>
  <c r="T997" i="1"/>
  <c r="N997" i="1"/>
  <c r="V997" i="1"/>
  <c r="O997" i="1"/>
  <c r="P997" i="1"/>
  <c r="R997" i="1"/>
  <c r="S997" i="1"/>
  <c r="U997" i="1"/>
  <c r="M997" i="1"/>
  <c r="K997" i="1"/>
  <c r="Q997" i="1"/>
  <c r="AH989" i="1"/>
  <c r="L989" i="1"/>
  <c r="T989" i="1"/>
  <c r="N989" i="1"/>
  <c r="V989" i="1"/>
  <c r="O989" i="1"/>
  <c r="P989" i="1"/>
  <c r="R989" i="1"/>
  <c r="S989" i="1"/>
  <c r="U989" i="1"/>
  <c r="M989" i="1"/>
  <c r="K989" i="1"/>
  <c r="Q989" i="1"/>
  <c r="AH981" i="1"/>
  <c r="L981" i="1"/>
  <c r="T981" i="1"/>
  <c r="N981" i="1"/>
  <c r="V981" i="1"/>
  <c r="O981" i="1"/>
  <c r="P981" i="1"/>
  <c r="R981" i="1"/>
  <c r="S981" i="1"/>
  <c r="U981" i="1"/>
  <c r="M981" i="1"/>
  <c r="K981" i="1"/>
  <c r="Q981" i="1"/>
  <c r="AH973" i="1"/>
  <c r="L973" i="1"/>
  <c r="T973" i="1"/>
  <c r="N973" i="1"/>
  <c r="V973" i="1"/>
  <c r="O973" i="1"/>
  <c r="P973" i="1"/>
  <c r="R973" i="1"/>
  <c r="S973" i="1"/>
  <c r="U973" i="1"/>
  <c r="M973" i="1"/>
  <c r="K973" i="1"/>
  <c r="Q973" i="1"/>
  <c r="AH965" i="1"/>
  <c r="K965" i="1"/>
  <c r="S965" i="1"/>
  <c r="L965" i="1"/>
  <c r="T965" i="1"/>
  <c r="M965" i="1"/>
  <c r="U965" i="1"/>
  <c r="N965" i="1"/>
  <c r="V965" i="1"/>
  <c r="O965" i="1"/>
  <c r="P965" i="1"/>
  <c r="Q965" i="1"/>
  <c r="R965" i="1"/>
  <c r="AH957" i="1"/>
  <c r="K957" i="1"/>
  <c r="S957" i="1"/>
  <c r="L957" i="1"/>
  <c r="T957" i="1"/>
  <c r="M957" i="1"/>
  <c r="U957" i="1"/>
  <c r="N957" i="1"/>
  <c r="V957" i="1"/>
  <c r="O957" i="1"/>
  <c r="P957" i="1"/>
  <c r="Q957" i="1"/>
  <c r="AH949" i="1"/>
  <c r="K949" i="1"/>
  <c r="S949" i="1"/>
  <c r="L949" i="1"/>
  <c r="T949" i="1"/>
  <c r="M949" i="1"/>
  <c r="U949" i="1"/>
  <c r="N949" i="1"/>
  <c r="V949" i="1"/>
  <c r="O949" i="1"/>
  <c r="P949" i="1"/>
  <c r="Q949" i="1"/>
  <c r="R949" i="1"/>
  <c r="AH941" i="1"/>
  <c r="K941" i="1"/>
  <c r="S941" i="1"/>
  <c r="L941" i="1"/>
  <c r="T941" i="1"/>
  <c r="M941" i="1"/>
  <c r="U941" i="1"/>
  <c r="N941" i="1"/>
  <c r="V941" i="1"/>
  <c r="O941" i="1"/>
  <c r="P941" i="1"/>
  <c r="Q941" i="1"/>
  <c r="R941" i="1"/>
  <c r="AH933" i="1"/>
  <c r="K933" i="1"/>
  <c r="S933" i="1"/>
  <c r="L933" i="1"/>
  <c r="T933" i="1"/>
  <c r="M933" i="1"/>
  <c r="U933" i="1"/>
  <c r="N933" i="1"/>
  <c r="V933" i="1"/>
  <c r="O933" i="1"/>
  <c r="P933" i="1"/>
  <c r="Q933" i="1"/>
  <c r="R933" i="1"/>
  <c r="AH925" i="1"/>
  <c r="K925" i="1"/>
  <c r="S925" i="1"/>
  <c r="L925" i="1"/>
  <c r="T925" i="1"/>
  <c r="M925" i="1"/>
  <c r="U925" i="1"/>
  <c r="N925" i="1"/>
  <c r="V925" i="1"/>
  <c r="O925" i="1"/>
  <c r="P925" i="1"/>
  <c r="Q925" i="1"/>
  <c r="R925" i="1"/>
  <c r="AH917" i="1"/>
  <c r="K917" i="1"/>
  <c r="S917" i="1"/>
  <c r="L917" i="1"/>
  <c r="T917" i="1"/>
  <c r="M917" i="1"/>
  <c r="U917" i="1"/>
  <c r="N917" i="1"/>
  <c r="V917" i="1"/>
  <c r="O917" i="1"/>
  <c r="P917" i="1"/>
  <c r="Q917" i="1"/>
  <c r="R917" i="1"/>
  <c r="AH909" i="1"/>
  <c r="K909" i="1"/>
  <c r="S909" i="1"/>
  <c r="L909" i="1"/>
  <c r="T909" i="1"/>
  <c r="M909" i="1"/>
  <c r="U909" i="1"/>
  <c r="N909" i="1"/>
  <c r="V909" i="1"/>
  <c r="O909" i="1"/>
  <c r="P909" i="1"/>
  <c r="Q909" i="1"/>
  <c r="R909" i="1"/>
  <c r="AH901" i="1"/>
  <c r="K901" i="1"/>
  <c r="S901" i="1"/>
  <c r="L901" i="1"/>
  <c r="T901" i="1"/>
  <c r="M901" i="1"/>
  <c r="U901" i="1"/>
  <c r="N901" i="1"/>
  <c r="V901" i="1"/>
  <c r="O901" i="1"/>
  <c r="P901" i="1"/>
  <c r="Q901" i="1"/>
  <c r="R901" i="1"/>
  <c r="AH893" i="1"/>
  <c r="K893" i="1"/>
  <c r="S893" i="1"/>
  <c r="L893" i="1"/>
  <c r="T893" i="1"/>
  <c r="M893" i="1"/>
  <c r="U893" i="1"/>
  <c r="N893" i="1"/>
  <c r="V893" i="1"/>
  <c r="O893" i="1"/>
  <c r="P893" i="1"/>
  <c r="Q893" i="1"/>
  <c r="AH885" i="1"/>
  <c r="K885" i="1"/>
  <c r="S885" i="1"/>
  <c r="L885" i="1"/>
  <c r="T885" i="1"/>
  <c r="M885" i="1"/>
  <c r="U885" i="1"/>
  <c r="N885" i="1"/>
  <c r="V885" i="1"/>
  <c r="O885" i="1"/>
  <c r="P885" i="1"/>
  <c r="Q885" i="1"/>
  <c r="R885" i="1"/>
  <c r="AH877" i="1"/>
  <c r="K877" i="1"/>
  <c r="S877" i="1"/>
  <c r="L877" i="1"/>
  <c r="T877" i="1"/>
  <c r="M877" i="1"/>
  <c r="U877" i="1"/>
  <c r="N877" i="1"/>
  <c r="V877" i="1"/>
  <c r="O877" i="1"/>
  <c r="P877" i="1"/>
  <c r="Q877" i="1"/>
  <c r="R877" i="1"/>
  <c r="AH869" i="1"/>
  <c r="M869" i="1"/>
  <c r="U869" i="1"/>
  <c r="R869" i="1"/>
  <c r="P869" i="1"/>
  <c r="Q869" i="1"/>
  <c r="S869" i="1"/>
  <c r="T869" i="1"/>
  <c r="K869" i="1"/>
  <c r="V869" i="1"/>
  <c r="L869" i="1"/>
  <c r="N869" i="1"/>
  <c r="O869" i="1"/>
  <c r="AH861" i="1"/>
  <c r="M861" i="1"/>
  <c r="U861" i="1"/>
  <c r="R861" i="1"/>
  <c r="P861" i="1"/>
  <c r="Q861" i="1"/>
  <c r="S861" i="1"/>
  <c r="T861" i="1"/>
  <c r="K861" i="1"/>
  <c r="V861" i="1"/>
  <c r="L861" i="1"/>
  <c r="N861" i="1"/>
  <c r="O861" i="1"/>
  <c r="AH853" i="1"/>
  <c r="M853" i="1"/>
  <c r="U853" i="1"/>
  <c r="R853" i="1"/>
  <c r="P853" i="1"/>
  <c r="Q853" i="1"/>
  <c r="S853" i="1"/>
  <c r="T853" i="1"/>
  <c r="K853" i="1"/>
  <c r="V853" i="1"/>
  <c r="L853" i="1"/>
  <c r="O853" i="1"/>
  <c r="N853" i="1"/>
  <c r="AH845" i="1"/>
  <c r="M845" i="1"/>
  <c r="U845" i="1"/>
  <c r="N845" i="1"/>
  <c r="V845" i="1"/>
  <c r="R845" i="1"/>
  <c r="O845" i="1"/>
  <c r="P845" i="1"/>
  <c r="Q845" i="1"/>
  <c r="S845" i="1"/>
  <c r="T845" i="1"/>
  <c r="L845" i="1"/>
  <c r="K845" i="1"/>
  <c r="AH837" i="1"/>
  <c r="M837" i="1"/>
  <c r="U837" i="1"/>
  <c r="N837" i="1"/>
  <c r="V837" i="1"/>
  <c r="Q837" i="1"/>
  <c r="R837" i="1"/>
  <c r="O837" i="1"/>
  <c r="P837" i="1"/>
  <c r="S837" i="1"/>
  <c r="T837" i="1"/>
  <c r="L837" i="1"/>
  <c r="K837" i="1"/>
  <c r="AH829" i="1"/>
  <c r="M829" i="1"/>
  <c r="U829" i="1"/>
  <c r="N829" i="1"/>
  <c r="V829" i="1"/>
  <c r="Q829" i="1"/>
  <c r="R829" i="1"/>
  <c r="O829" i="1"/>
  <c r="P829" i="1"/>
  <c r="S829" i="1"/>
  <c r="T829" i="1"/>
  <c r="K829" i="1"/>
  <c r="L829" i="1"/>
  <c r="AH821" i="1"/>
  <c r="M821" i="1"/>
  <c r="U821" i="1"/>
  <c r="N821" i="1"/>
  <c r="V821" i="1"/>
  <c r="Q821" i="1"/>
  <c r="R821" i="1"/>
  <c r="O821" i="1"/>
  <c r="P821" i="1"/>
  <c r="S821" i="1"/>
  <c r="T821" i="1"/>
  <c r="L821" i="1"/>
  <c r="K821" i="1"/>
  <c r="AH813" i="1"/>
  <c r="M813" i="1"/>
  <c r="U813" i="1"/>
  <c r="N813" i="1"/>
  <c r="V813" i="1"/>
  <c r="O813" i="1"/>
  <c r="Q813" i="1"/>
  <c r="R813" i="1"/>
  <c r="K813" i="1"/>
  <c r="L813" i="1"/>
  <c r="P813" i="1"/>
  <c r="S813" i="1"/>
  <c r="T813" i="1"/>
  <c r="AH805" i="1"/>
  <c r="M805" i="1"/>
  <c r="U805" i="1"/>
  <c r="N805" i="1"/>
  <c r="V805" i="1"/>
  <c r="O805" i="1"/>
  <c r="Q805" i="1"/>
  <c r="R805" i="1"/>
  <c r="S805" i="1"/>
  <c r="T805" i="1"/>
  <c r="K805" i="1"/>
  <c r="L805" i="1"/>
  <c r="P805" i="1"/>
  <c r="AH797" i="1"/>
  <c r="M797" i="1"/>
  <c r="U797" i="1"/>
  <c r="N797" i="1"/>
  <c r="V797" i="1"/>
  <c r="O797" i="1"/>
  <c r="Q797" i="1"/>
  <c r="R797" i="1"/>
  <c r="K797" i="1"/>
  <c r="L797" i="1"/>
  <c r="P797" i="1"/>
  <c r="S797" i="1"/>
  <c r="T797" i="1"/>
  <c r="AH789" i="1"/>
  <c r="M789" i="1"/>
  <c r="U789" i="1"/>
  <c r="N789" i="1"/>
  <c r="V789" i="1"/>
  <c r="O789" i="1"/>
  <c r="Q789" i="1"/>
  <c r="R789" i="1"/>
  <c r="S789" i="1"/>
  <c r="T789" i="1"/>
  <c r="K789" i="1"/>
  <c r="L789" i="1"/>
  <c r="P789" i="1"/>
  <c r="AH781" i="1"/>
  <c r="M781" i="1"/>
  <c r="U781" i="1"/>
  <c r="N781" i="1"/>
  <c r="V781" i="1"/>
  <c r="O781" i="1"/>
  <c r="Q781" i="1"/>
  <c r="R781" i="1"/>
  <c r="K781" i="1"/>
  <c r="L781" i="1"/>
  <c r="P781" i="1"/>
  <c r="S781" i="1"/>
  <c r="T781" i="1"/>
  <c r="AH773" i="1"/>
  <c r="K773" i="1"/>
  <c r="S773" i="1"/>
  <c r="L773" i="1"/>
  <c r="T773" i="1"/>
  <c r="P773" i="1"/>
  <c r="Q773" i="1"/>
  <c r="R773" i="1"/>
  <c r="U773" i="1"/>
  <c r="V773" i="1"/>
  <c r="M773" i="1"/>
  <c r="N773" i="1"/>
  <c r="O773" i="1"/>
  <c r="AH765" i="1"/>
  <c r="K765" i="1"/>
  <c r="S765" i="1"/>
  <c r="L765" i="1"/>
  <c r="T765" i="1"/>
  <c r="P765" i="1"/>
  <c r="Q765" i="1"/>
  <c r="R765" i="1"/>
  <c r="U765" i="1"/>
  <c r="V765" i="1"/>
  <c r="M765" i="1"/>
  <c r="O765" i="1"/>
  <c r="N765" i="1"/>
  <c r="AH757" i="1"/>
  <c r="K757" i="1"/>
  <c r="S757" i="1"/>
  <c r="L757" i="1"/>
  <c r="T757" i="1"/>
  <c r="P757" i="1"/>
  <c r="Q757" i="1"/>
  <c r="R757" i="1"/>
  <c r="U757" i="1"/>
  <c r="V757" i="1"/>
  <c r="M757" i="1"/>
  <c r="N757" i="1"/>
  <c r="O757" i="1"/>
  <c r="AH749" i="1"/>
  <c r="K749" i="1"/>
  <c r="S749" i="1"/>
  <c r="L749" i="1"/>
  <c r="T749" i="1"/>
  <c r="P749" i="1"/>
  <c r="Q749" i="1"/>
  <c r="R749" i="1"/>
  <c r="U749" i="1"/>
  <c r="V749" i="1"/>
  <c r="M749" i="1"/>
  <c r="N749" i="1"/>
  <c r="O749" i="1"/>
  <c r="AH741" i="1"/>
  <c r="K741" i="1"/>
  <c r="S741" i="1"/>
  <c r="L741" i="1"/>
  <c r="T741" i="1"/>
  <c r="P741" i="1"/>
  <c r="Q741" i="1"/>
  <c r="R741" i="1"/>
  <c r="U741" i="1"/>
  <c r="V741" i="1"/>
  <c r="M741" i="1"/>
  <c r="N741" i="1"/>
  <c r="O741" i="1"/>
  <c r="AH733" i="1"/>
  <c r="K733" i="1"/>
  <c r="S733" i="1"/>
  <c r="L733" i="1"/>
  <c r="T733" i="1"/>
  <c r="P733" i="1"/>
  <c r="Q733" i="1"/>
  <c r="R733" i="1"/>
  <c r="U733" i="1"/>
  <c r="V733" i="1"/>
  <c r="M733" i="1"/>
  <c r="O733" i="1"/>
  <c r="N733" i="1"/>
  <c r="AH725" i="1"/>
  <c r="K725" i="1"/>
  <c r="S725" i="1"/>
  <c r="L725" i="1"/>
  <c r="T725" i="1"/>
  <c r="P725" i="1"/>
  <c r="Q725" i="1"/>
  <c r="R725" i="1"/>
  <c r="U725" i="1"/>
  <c r="V725" i="1"/>
  <c r="M725" i="1"/>
  <c r="N725" i="1"/>
  <c r="O725" i="1"/>
  <c r="AH717" i="1"/>
  <c r="K717" i="1"/>
  <c r="S717" i="1"/>
  <c r="L717" i="1"/>
  <c r="T717" i="1"/>
  <c r="P717" i="1"/>
  <c r="Q717" i="1"/>
  <c r="R717" i="1"/>
  <c r="U717" i="1"/>
  <c r="V717" i="1"/>
  <c r="M717" i="1"/>
  <c r="N717" i="1"/>
  <c r="O717" i="1"/>
  <c r="AH709" i="1"/>
  <c r="K709" i="1"/>
  <c r="S709" i="1"/>
  <c r="L709" i="1"/>
  <c r="T709" i="1"/>
  <c r="P709" i="1"/>
  <c r="Q709" i="1"/>
  <c r="R709" i="1"/>
  <c r="U709" i="1"/>
  <c r="V709" i="1"/>
  <c r="M709" i="1"/>
  <c r="N709" i="1"/>
  <c r="O709" i="1"/>
  <c r="AH701" i="1"/>
  <c r="K701" i="1"/>
  <c r="S701" i="1"/>
  <c r="L701" i="1"/>
  <c r="T701" i="1"/>
  <c r="P701" i="1"/>
  <c r="Q701" i="1"/>
  <c r="R701" i="1"/>
  <c r="U701" i="1"/>
  <c r="V701" i="1"/>
  <c r="M701" i="1"/>
  <c r="O701" i="1"/>
  <c r="N701" i="1"/>
  <c r="AH693" i="1"/>
  <c r="K693" i="1"/>
  <c r="S693" i="1"/>
  <c r="L693" i="1"/>
  <c r="T693" i="1"/>
  <c r="P693" i="1"/>
  <c r="Q693" i="1"/>
  <c r="R693" i="1"/>
  <c r="U693" i="1"/>
  <c r="V693" i="1"/>
  <c r="M693" i="1"/>
  <c r="N693" i="1"/>
  <c r="O693" i="1"/>
  <c r="AH685" i="1"/>
  <c r="K685" i="1"/>
  <c r="S685" i="1"/>
  <c r="L685" i="1"/>
  <c r="T685" i="1"/>
  <c r="P685" i="1"/>
  <c r="Q685" i="1"/>
  <c r="R685" i="1"/>
  <c r="U685" i="1"/>
  <c r="V685" i="1"/>
  <c r="M685" i="1"/>
  <c r="N685" i="1"/>
  <c r="O685" i="1"/>
  <c r="AH677" i="1"/>
  <c r="K677" i="1"/>
  <c r="S677" i="1"/>
  <c r="L677" i="1"/>
  <c r="T677" i="1"/>
  <c r="P677" i="1"/>
  <c r="Q677" i="1"/>
  <c r="R677" i="1"/>
  <c r="U677" i="1"/>
  <c r="V677" i="1"/>
  <c r="M677" i="1"/>
  <c r="N677" i="1"/>
  <c r="O677" i="1"/>
  <c r="AH669" i="1"/>
  <c r="K669" i="1"/>
  <c r="S669" i="1"/>
  <c r="L669" i="1"/>
  <c r="T669" i="1"/>
  <c r="O669" i="1"/>
  <c r="R669" i="1"/>
  <c r="U669" i="1"/>
  <c r="V669" i="1"/>
  <c r="M669" i="1"/>
  <c r="N669" i="1"/>
  <c r="P669" i="1"/>
  <c r="Q669" i="1"/>
  <c r="AH661" i="1"/>
  <c r="K661" i="1"/>
  <c r="S661" i="1"/>
  <c r="L661" i="1"/>
  <c r="T661" i="1"/>
  <c r="O661" i="1"/>
  <c r="M661" i="1"/>
  <c r="N661" i="1"/>
  <c r="P661" i="1"/>
  <c r="Q661" i="1"/>
  <c r="R661" i="1"/>
  <c r="U661" i="1"/>
  <c r="V661" i="1"/>
  <c r="AH653" i="1"/>
  <c r="K653" i="1"/>
  <c r="S653" i="1"/>
  <c r="L653" i="1"/>
  <c r="T653" i="1"/>
  <c r="O653" i="1"/>
  <c r="R653" i="1"/>
  <c r="U653" i="1"/>
  <c r="V653" i="1"/>
  <c r="M653" i="1"/>
  <c r="N653" i="1"/>
  <c r="P653" i="1"/>
  <c r="Q653" i="1"/>
  <c r="AH645" i="1"/>
  <c r="K645" i="1"/>
  <c r="S645" i="1"/>
  <c r="L645" i="1"/>
  <c r="T645" i="1"/>
  <c r="O645" i="1"/>
  <c r="M645" i="1"/>
  <c r="N645" i="1"/>
  <c r="P645" i="1"/>
  <c r="Q645" i="1"/>
  <c r="R645" i="1"/>
  <c r="U645" i="1"/>
  <c r="V645" i="1"/>
  <c r="AH637" i="1"/>
  <c r="K637" i="1"/>
  <c r="S637" i="1"/>
  <c r="L637" i="1"/>
  <c r="T637" i="1"/>
  <c r="O637" i="1"/>
  <c r="R637" i="1"/>
  <c r="U637" i="1"/>
  <c r="V637" i="1"/>
  <c r="M637" i="1"/>
  <c r="N637" i="1"/>
  <c r="P637" i="1"/>
  <c r="Q637" i="1"/>
  <c r="AH629" i="1"/>
  <c r="K629" i="1"/>
  <c r="S629" i="1"/>
  <c r="L629" i="1"/>
  <c r="T629" i="1"/>
  <c r="O629" i="1"/>
  <c r="M629" i="1"/>
  <c r="N629" i="1"/>
  <c r="P629" i="1"/>
  <c r="Q629" i="1"/>
  <c r="R629" i="1"/>
  <c r="U629" i="1"/>
  <c r="V629" i="1"/>
  <c r="AH621" i="1"/>
  <c r="K621" i="1"/>
  <c r="S621" i="1"/>
  <c r="L621" i="1"/>
  <c r="T621" i="1"/>
  <c r="O621" i="1"/>
  <c r="R621" i="1"/>
  <c r="U621" i="1"/>
  <c r="V621" i="1"/>
  <c r="M621" i="1"/>
  <c r="N621" i="1"/>
  <c r="Q621" i="1"/>
  <c r="P621" i="1"/>
  <c r="AH613" i="1"/>
  <c r="K613" i="1"/>
  <c r="S613" i="1"/>
  <c r="N613" i="1"/>
  <c r="O613" i="1"/>
  <c r="R613" i="1"/>
  <c r="T613" i="1"/>
  <c r="P613" i="1"/>
  <c r="Q613" i="1"/>
  <c r="U613" i="1"/>
  <c r="V613" i="1"/>
  <c r="L613" i="1"/>
  <c r="M613" i="1"/>
  <c r="AH605" i="1"/>
  <c r="K605" i="1"/>
  <c r="S605" i="1"/>
  <c r="P605" i="1"/>
  <c r="O605" i="1"/>
  <c r="Q605" i="1"/>
  <c r="U605" i="1"/>
  <c r="L605" i="1"/>
  <c r="V605" i="1"/>
  <c r="R605" i="1"/>
  <c r="T605" i="1"/>
  <c r="M605" i="1"/>
  <c r="N605" i="1"/>
  <c r="AH597" i="1"/>
  <c r="K597" i="1"/>
  <c r="S597" i="1"/>
  <c r="P597" i="1"/>
  <c r="O597" i="1"/>
  <c r="Q597" i="1"/>
  <c r="U597" i="1"/>
  <c r="L597" i="1"/>
  <c r="V597" i="1"/>
  <c r="M597" i="1"/>
  <c r="N597" i="1"/>
  <c r="R597" i="1"/>
  <c r="T597" i="1"/>
  <c r="AH589" i="1"/>
  <c r="K589" i="1"/>
  <c r="S589" i="1"/>
  <c r="P589" i="1"/>
  <c r="O589" i="1"/>
  <c r="Q589" i="1"/>
  <c r="R589" i="1"/>
  <c r="U589" i="1"/>
  <c r="L589" i="1"/>
  <c r="V589" i="1"/>
  <c r="N589" i="1"/>
  <c r="T589" i="1"/>
  <c r="M589" i="1"/>
  <c r="AH581" i="1"/>
  <c r="K581" i="1"/>
  <c r="S581" i="1"/>
  <c r="P581" i="1"/>
  <c r="O581" i="1"/>
  <c r="Q581" i="1"/>
  <c r="R581" i="1"/>
  <c r="U581" i="1"/>
  <c r="L581" i="1"/>
  <c r="V581" i="1"/>
  <c r="M581" i="1"/>
  <c r="N581" i="1"/>
  <c r="T581" i="1"/>
  <c r="AH573" i="1"/>
  <c r="K573" i="1"/>
  <c r="S573" i="1"/>
  <c r="M573" i="1"/>
  <c r="U573" i="1"/>
  <c r="P573" i="1"/>
  <c r="L573" i="1"/>
  <c r="N573" i="1"/>
  <c r="O573" i="1"/>
  <c r="Q573" i="1"/>
  <c r="R573" i="1"/>
  <c r="T573" i="1"/>
  <c r="V573" i="1"/>
  <c r="AH565" i="1"/>
  <c r="K565" i="1"/>
  <c r="S565" i="1"/>
  <c r="M565" i="1"/>
  <c r="U565" i="1"/>
  <c r="P565" i="1"/>
  <c r="Q565" i="1"/>
  <c r="R565" i="1"/>
  <c r="T565" i="1"/>
  <c r="V565" i="1"/>
  <c r="L565" i="1"/>
  <c r="N565" i="1"/>
  <c r="O565" i="1"/>
  <c r="AH557" i="1"/>
  <c r="K557" i="1"/>
  <c r="S557" i="1"/>
  <c r="L557" i="1"/>
  <c r="T557" i="1"/>
  <c r="M557" i="1"/>
  <c r="U557" i="1"/>
  <c r="P557" i="1"/>
  <c r="O557" i="1"/>
  <c r="Q557" i="1"/>
  <c r="R557" i="1"/>
  <c r="V557" i="1"/>
  <c r="N557" i="1"/>
  <c r="AH549" i="1"/>
  <c r="O549" i="1"/>
  <c r="R549" i="1"/>
  <c r="K549" i="1"/>
  <c r="S549" i="1"/>
  <c r="U549" i="1"/>
  <c r="V549" i="1"/>
  <c r="L549" i="1"/>
  <c r="M549" i="1"/>
  <c r="Q549" i="1"/>
  <c r="N549" i="1"/>
  <c r="P549" i="1"/>
  <c r="T549" i="1"/>
  <c r="AH541" i="1"/>
  <c r="M541" i="1"/>
  <c r="U541" i="1"/>
  <c r="K541" i="1"/>
  <c r="T541" i="1"/>
  <c r="L541" i="1"/>
  <c r="V541" i="1"/>
  <c r="O541" i="1"/>
  <c r="P541" i="1"/>
  <c r="N541" i="1"/>
  <c r="Q541" i="1"/>
  <c r="R541" i="1"/>
  <c r="S541" i="1"/>
  <c r="AH533" i="1"/>
  <c r="M533" i="1"/>
  <c r="U533" i="1"/>
  <c r="P533" i="1"/>
  <c r="Q533" i="1"/>
  <c r="S533" i="1"/>
  <c r="K533" i="1"/>
  <c r="T533" i="1"/>
  <c r="O533" i="1"/>
  <c r="R533" i="1"/>
  <c r="V533" i="1"/>
  <c r="L533" i="1"/>
  <c r="N533" i="1"/>
  <c r="AH525" i="1"/>
  <c r="M525" i="1"/>
  <c r="U525" i="1"/>
  <c r="K525" i="1"/>
  <c r="T525" i="1"/>
  <c r="L525" i="1"/>
  <c r="V525" i="1"/>
  <c r="O525" i="1"/>
  <c r="P525" i="1"/>
  <c r="S525" i="1"/>
  <c r="Q525" i="1"/>
  <c r="N525" i="1"/>
  <c r="R525" i="1"/>
  <c r="AH517" i="1"/>
  <c r="M517" i="1"/>
  <c r="U517" i="1"/>
  <c r="P517" i="1"/>
  <c r="Q517" i="1"/>
  <c r="S517" i="1"/>
  <c r="K517" i="1"/>
  <c r="T517" i="1"/>
  <c r="L517" i="1"/>
  <c r="N517" i="1"/>
  <c r="V517" i="1"/>
  <c r="O517" i="1"/>
  <c r="R517" i="1"/>
  <c r="AH509" i="1"/>
  <c r="M509" i="1"/>
  <c r="U509" i="1"/>
  <c r="K509" i="1"/>
  <c r="T509" i="1"/>
  <c r="L509" i="1"/>
  <c r="V509" i="1"/>
  <c r="O509" i="1"/>
  <c r="P509" i="1"/>
  <c r="N509" i="1"/>
  <c r="Q509" i="1"/>
  <c r="R509" i="1"/>
  <c r="S509" i="1"/>
  <c r="AH501" i="1"/>
  <c r="M501" i="1"/>
  <c r="U501" i="1"/>
  <c r="P501" i="1"/>
  <c r="Q501" i="1"/>
  <c r="S501" i="1"/>
  <c r="K501" i="1"/>
  <c r="T501" i="1"/>
  <c r="O501" i="1"/>
  <c r="R501" i="1"/>
  <c r="V501" i="1"/>
  <c r="L501" i="1"/>
  <c r="N501" i="1"/>
  <c r="AH493" i="1"/>
  <c r="K493" i="1"/>
  <c r="S493" i="1"/>
  <c r="M493" i="1"/>
  <c r="U493" i="1"/>
  <c r="O493" i="1"/>
  <c r="P493" i="1"/>
  <c r="Q493" i="1"/>
  <c r="T493" i="1"/>
  <c r="V493" i="1"/>
  <c r="N493" i="1"/>
  <c r="R493" i="1"/>
  <c r="L493" i="1"/>
  <c r="AH485" i="1"/>
  <c r="K485" i="1"/>
  <c r="S485" i="1"/>
  <c r="M485" i="1"/>
  <c r="U485" i="1"/>
  <c r="O485" i="1"/>
  <c r="V485" i="1"/>
  <c r="N485" i="1"/>
  <c r="P485" i="1"/>
  <c r="L485" i="1"/>
  <c r="Q485" i="1"/>
  <c r="R485" i="1"/>
  <c r="T485" i="1"/>
  <c r="AH477" i="1"/>
  <c r="K477" i="1"/>
  <c r="S477" i="1"/>
  <c r="M477" i="1"/>
  <c r="U477" i="1"/>
  <c r="O477" i="1"/>
  <c r="P477" i="1"/>
  <c r="Q477" i="1"/>
  <c r="T477" i="1"/>
  <c r="V477" i="1"/>
  <c r="L477" i="1"/>
  <c r="R477" i="1"/>
  <c r="N477" i="1"/>
  <c r="AH469" i="1"/>
  <c r="K469" i="1"/>
  <c r="S469" i="1"/>
  <c r="M469" i="1"/>
  <c r="U469" i="1"/>
  <c r="O469" i="1"/>
  <c r="V469" i="1"/>
  <c r="N469" i="1"/>
  <c r="P469" i="1"/>
  <c r="T469" i="1"/>
  <c r="Q469" i="1"/>
  <c r="L469" i="1"/>
  <c r="R469" i="1"/>
  <c r="AH461" i="1"/>
  <c r="K461" i="1"/>
  <c r="S461" i="1"/>
  <c r="M461" i="1"/>
  <c r="U461" i="1"/>
  <c r="O461" i="1"/>
  <c r="P461" i="1"/>
  <c r="Q461" i="1"/>
  <c r="T461" i="1"/>
  <c r="V461" i="1"/>
  <c r="N461" i="1"/>
  <c r="R461" i="1"/>
  <c r="L461" i="1"/>
  <c r="AH453" i="1"/>
  <c r="K453" i="1"/>
  <c r="S453" i="1"/>
  <c r="M453" i="1"/>
  <c r="U453" i="1"/>
  <c r="O453" i="1"/>
  <c r="V453" i="1"/>
  <c r="N453" i="1"/>
  <c r="P453" i="1"/>
  <c r="L453" i="1"/>
  <c r="Q453" i="1"/>
  <c r="R453" i="1"/>
  <c r="T453" i="1"/>
  <c r="AH445" i="1"/>
  <c r="L445" i="1"/>
  <c r="T445" i="1"/>
  <c r="M445" i="1"/>
  <c r="U445" i="1"/>
  <c r="N445" i="1"/>
  <c r="V445" i="1"/>
  <c r="Q445" i="1"/>
  <c r="S445" i="1"/>
  <c r="R445" i="1"/>
  <c r="P445" i="1"/>
  <c r="K445" i="1"/>
  <c r="O445" i="1"/>
  <c r="AH437" i="1"/>
  <c r="L437" i="1"/>
  <c r="T437" i="1"/>
  <c r="M437" i="1"/>
  <c r="U437" i="1"/>
  <c r="N437" i="1"/>
  <c r="V437" i="1"/>
  <c r="O437" i="1"/>
  <c r="Q437" i="1"/>
  <c r="K437" i="1"/>
  <c r="P437" i="1"/>
  <c r="S437" i="1"/>
  <c r="R437" i="1"/>
  <c r="AH429" i="1"/>
  <c r="L429" i="1"/>
  <c r="T429" i="1"/>
  <c r="M429" i="1"/>
  <c r="U429" i="1"/>
  <c r="N429" i="1"/>
  <c r="V429" i="1"/>
  <c r="Q429" i="1"/>
  <c r="S429" i="1"/>
  <c r="O429" i="1"/>
  <c r="P429" i="1"/>
  <c r="K429" i="1"/>
  <c r="R429" i="1"/>
  <c r="AH421" i="1"/>
  <c r="L421" i="1"/>
  <c r="T421" i="1"/>
  <c r="M421" i="1"/>
  <c r="U421" i="1"/>
  <c r="N421" i="1"/>
  <c r="V421" i="1"/>
  <c r="O421" i="1"/>
  <c r="Q421" i="1"/>
  <c r="S421" i="1"/>
  <c r="R421" i="1"/>
  <c r="K421" i="1"/>
  <c r="P421" i="1"/>
  <c r="AH413" i="1"/>
  <c r="L413" i="1"/>
  <c r="T413" i="1"/>
  <c r="M413" i="1"/>
  <c r="U413" i="1"/>
  <c r="N413" i="1"/>
  <c r="V413" i="1"/>
  <c r="Q413" i="1"/>
  <c r="S413" i="1"/>
  <c r="O413" i="1"/>
  <c r="P413" i="1"/>
  <c r="K413" i="1"/>
  <c r="R413" i="1"/>
  <c r="AH405" i="1"/>
  <c r="L405" i="1"/>
  <c r="T405" i="1"/>
  <c r="M405" i="1"/>
  <c r="U405" i="1"/>
  <c r="N405" i="1"/>
  <c r="V405" i="1"/>
  <c r="O405" i="1"/>
  <c r="Q405" i="1"/>
  <c r="P405" i="1"/>
  <c r="R405" i="1"/>
  <c r="K405" i="1"/>
  <c r="S405" i="1"/>
  <c r="AH397" i="1"/>
  <c r="L397" i="1"/>
  <c r="T397" i="1"/>
  <c r="M397" i="1"/>
  <c r="U397" i="1"/>
  <c r="N397" i="1"/>
  <c r="V397" i="1"/>
  <c r="Q397" i="1"/>
  <c r="S397" i="1"/>
  <c r="K397" i="1"/>
  <c r="R397" i="1"/>
  <c r="O397" i="1"/>
  <c r="P397" i="1"/>
  <c r="AH389" i="1"/>
  <c r="L389" i="1"/>
  <c r="T389" i="1"/>
  <c r="M389" i="1"/>
  <c r="U389" i="1"/>
  <c r="N389" i="1"/>
  <c r="V389" i="1"/>
  <c r="O389" i="1"/>
  <c r="Q389" i="1"/>
  <c r="P389" i="1"/>
  <c r="R389" i="1"/>
  <c r="K389" i="1"/>
  <c r="S389" i="1"/>
  <c r="AH381" i="1"/>
  <c r="Q381" i="1"/>
  <c r="K381" i="1"/>
  <c r="T381" i="1"/>
  <c r="L381" i="1"/>
  <c r="U381" i="1"/>
  <c r="M381" i="1"/>
  <c r="V381" i="1"/>
  <c r="P381" i="1"/>
  <c r="S381" i="1"/>
  <c r="O381" i="1"/>
  <c r="R381" i="1"/>
  <c r="N381" i="1"/>
  <c r="AH373" i="1"/>
  <c r="Q373" i="1"/>
  <c r="R373" i="1"/>
  <c r="K373" i="1"/>
  <c r="S373" i="1"/>
  <c r="T373" i="1"/>
  <c r="U373" i="1"/>
  <c r="V373" i="1"/>
  <c r="N373" i="1"/>
  <c r="L373" i="1"/>
  <c r="O373" i="1"/>
  <c r="P373" i="1"/>
  <c r="M373" i="1"/>
  <c r="AH365" i="1"/>
  <c r="Q365" i="1"/>
  <c r="R365" i="1"/>
  <c r="K365" i="1"/>
  <c r="S365" i="1"/>
  <c r="M365" i="1"/>
  <c r="N365" i="1"/>
  <c r="O365" i="1"/>
  <c r="P365" i="1"/>
  <c r="U365" i="1"/>
  <c r="T365" i="1"/>
  <c r="L365" i="1"/>
  <c r="V365" i="1"/>
  <c r="AH357" i="1"/>
  <c r="Q357" i="1"/>
  <c r="R357" i="1"/>
  <c r="K357" i="1"/>
  <c r="S357" i="1"/>
  <c r="L357" i="1"/>
  <c r="T357" i="1"/>
  <c r="O357" i="1"/>
  <c r="M357" i="1"/>
  <c r="P357" i="1"/>
  <c r="V357" i="1"/>
  <c r="N357" i="1"/>
  <c r="U357" i="1"/>
  <c r="AH349" i="1"/>
  <c r="Q349" i="1"/>
  <c r="R349" i="1"/>
  <c r="K349" i="1"/>
  <c r="S349" i="1"/>
  <c r="L349" i="1"/>
  <c r="T349" i="1"/>
  <c r="O349" i="1"/>
  <c r="N349" i="1"/>
  <c r="P349" i="1"/>
  <c r="U349" i="1"/>
  <c r="V349" i="1"/>
  <c r="M349" i="1"/>
  <c r="AH341" i="1"/>
  <c r="Q341" i="1"/>
  <c r="R341" i="1"/>
  <c r="K341" i="1"/>
  <c r="S341" i="1"/>
  <c r="L341" i="1"/>
  <c r="T341" i="1"/>
  <c r="O341" i="1"/>
  <c r="M341" i="1"/>
  <c r="P341" i="1"/>
  <c r="U341" i="1"/>
  <c r="V341" i="1"/>
  <c r="N341" i="1"/>
  <c r="AH333" i="1"/>
  <c r="Q333" i="1"/>
  <c r="R333" i="1"/>
  <c r="K333" i="1"/>
  <c r="S333" i="1"/>
  <c r="L333" i="1"/>
  <c r="T333" i="1"/>
  <c r="O333" i="1"/>
  <c r="N333" i="1"/>
  <c r="P333" i="1"/>
  <c r="U333" i="1"/>
  <c r="V333" i="1"/>
  <c r="M333" i="1"/>
  <c r="AH325" i="1"/>
  <c r="Q325" i="1"/>
  <c r="R325" i="1"/>
  <c r="K325" i="1"/>
  <c r="S325" i="1"/>
  <c r="L325" i="1"/>
  <c r="T325" i="1"/>
  <c r="O325" i="1"/>
  <c r="M325" i="1"/>
  <c r="P325" i="1"/>
  <c r="N325" i="1"/>
  <c r="V325" i="1"/>
  <c r="U325" i="1"/>
  <c r="AH317" i="1"/>
  <c r="M317" i="1"/>
  <c r="U317" i="1"/>
  <c r="O317" i="1"/>
  <c r="P317" i="1"/>
  <c r="Q317" i="1"/>
  <c r="R317" i="1"/>
  <c r="L317" i="1"/>
  <c r="V317" i="1"/>
  <c r="K317" i="1"/>
  <c r="N317" i="1"/>
  <c r="S317" i="1"/>
  <c r="T317" i="1"/>
  <c r="AH309" i="1"/>
  <c r="M309" i="1"/>
  <c r="U309" i="1"/>
  <c r="S309" i="1"/>
  <c r="K309" i="1"/>
  <c r="T309" i="1"/>
  <c r="L309" i="1"/>
  <c r="V309" i="1"/>
  <c r="N309" i="1"/>
  <c r="Q309" i="1"/>
  <c r="O309" i="1"/>
  <c r="P309" i="1"/>
  <c r="R309" i="1"/>
  <c r="AH301" i="1"/>
  <c r="M301" i="1"/>
  <c r="U301" i="1"/>
  <c r="O301" i="1"/>
  <c r="P301" i="1"/>
  <c r="Q301" i="1"/>
  <c r="R301" i="1"/>
  <c r="S301" i="1"/>
  <c r="T301" i="1"/>
  <c r="L301" i="1"/>
  <c r="N301" i="1"/>
  <c r="K301" i="1"/>
  <c r="V301" i="1"/>
  <c r="AH293" i="1"/>
  <c r="M293" i="1"/>
  <c r="U293" i="1"/>
  <c r="S293" i="1"/>
  <c r="K293" i="1"/>
  <c r="T293" i="1"/>
  <c r="N293" i="1"/>
  <c r="L293" i="1"/>
  <c r="O293" i="1"/>
  <c r="P293" i="1"/>
  <c r="Q293" i="1"/>
  <c r="R293" i="1"/>
  <c r="V293" i="1"/>
  <c r="AH285" i="1"/>
  <c r="M285" i="1"/>
  <c r="U285" i="1"/>
  <c r="O285" i="1"/>
  <c r="P285" i="1"/>
  <c r="R285" i="1"/>
  <c r="S285" i="1"/>
  <c r="N285" i="1"/>
  <c r="Q285" i="1"/>
  <c r="T285" i="1"/>
  <c r="V285" i="1"/>
  <c r="K285" i="1"/>
  <c r="L285" i="1"/>
  <c r="AH277" i="1"/>
  <c r="M277" i="1"/>
  <c r="U277" i="1"/>
  <c r="S277" i="1"/>
  <c r="K277" i="1"/>
  <c r="T277" i="1"/>
  <c r="N277" i="1"/>
  <c r="O277" i="1"/>
  <c r="R277" i="1"/>
  <c r="V277" i="1"/>
  <c r="P277" i="1"/>
  <c r="L277" i="1"/>
  <c r="Q277" i="1"/>
  <c r="AH269" i="1"/>
  <c r="M269" i="1"/>
  <c r="U269" i="1"/>
  <c r="O269" i="1"/>
  <c r="P269" i="1"/>
  <c r="R269" i="1"/>
  <c r="S269" i="1"/>
  <c r="K269" i="1"/>
  <c r="L269" i="1"/>
  <c r="T269" i="1"/>
  <c r="Q269" i="1"/>
  <c r="V269" i="1"/>
  <c r="N269" i="1"/>
  <c r="AH261" i="1"/>
  <c r="M261" i="1"/>
  <c r="U261" i="1"/>
  <c r="Q261" i="1"/>
  <c r="P261" i="1"/>
  <c r="R261" i="1"/>
  <c r="T261" i="1"/>
  <c r="K261" i="1"/>
  <c r="V261" i="1"/>
  <c r="L261" i="1"/>
  <c r="N261" i="1"/>
  <c r="O261" i="1"/>
  <c r="S261" i="1"/>
  <c r="AH253" i="1"/>
  <c r="M253" i="1"/>
  <c r="U253" i="1"/>
  <c r="Q253" i="1"/>
  <c r="P253" i="1"/>
  <c r="R253" i="1"/>
  <c r="T253" i="1"/>
  <c r="K253" i="1"/>
  <c r="V253" i="1"/>
  <c r="O253" i="1"/>
  <c r="S253" i="1"/>
  <c r="L253" i="1"/>
  <c r="N253" i="1"/>
  <c r="AH245" i="1"/>
  <c r="L245" i="1"/>
  <c r="T245" i="1"/>
  <c r="N245" i="1"/>
  <c r="V245" i="1"/>
  <c r="R245" i="1"/>
  <c r="M245" i="1"/>
  <c r="P245" i="1"/>
  <c r="O245" i="1"/>
  <c r="Q245" i="1"/>
  <c r="U245" i="1"/>
  <c r="K245" i="1"/>
  <c r="S245" i="1"/>
  <c r="AH237" i="1"/>
  <c r="L237" i="1"/>
  <c r="T237" i="1"/>
  <c r="N237" i="1"/>
  <c r="V237" i="1"/>
  <c r="P237" i="1"/>
  <c r="R237" i="1"/>
  <c r="K237" i="1"/>
  <c r="O237" i="1"/>
  <c r="M237" i="1"/>
  <c r="Q237" i="1"/>
  <c r="S237" i="1"/>
  <c r="U237" i="1"/>
  <c r="AH229" i="1"/>
  <c r="L229" i="1"/>
  <c r="T229" i="1"/>
  <c r="N229" i="1"/>
  <c r="V229" i="1"/>
  <c r="P229" i="1"/>
  <c r="K229" i="1"/>
  <c r="R229" i="1"/>
  <c r="U229" i="1"/>
  <c r="S229" i="1"/>
  <c r="Q229" i="1"/>
  <c r="M229" i="1"/>
  <c r="O229" i="1"/>
  <c r="AH221" i="1"/>
  <c r="L221" i="1"/>
  <c r="T221" i="1"/>
  <c r="N221" i="1"/>
  <c r="V221" i="1"/>
  <c r="P221" i="1"/>
  <c r="R221" i="1"/>
  <c r="K221" i="1"/>
  <c r="O221" i="1"/>
  <c r="M221" i="1"/>
  <c r="Q221" i="1"/>
  <c r="U221" i="1"/>
  <c r="S221" i="1"/>
  <c r="AH213" i="1"/>
  <c r="L213" i="1"/>
  <c r="T213" i="1"/>
  <c r="N213" i="1"/>
  <c r="V213" i="1"/>
  <c r="P213" i="1"/>
  <c r="K213" i="1"/>
  <c r="Q213" i="1"/>
  <c r="R213" i="1"/>
  <c r="U213" i="1"/>
  <c r="M213" i="1"/>
  <c r="O213" i="1"/>
  <c r="S213" i="1"/>
  <c r="AH205" i="1"/>
  <c r="N205" i="1"/>
  <c r="V205" i="1"/>
  <c r="O205" i="1"/>
  <c r="P205" i="1"/>
  <c r="Q205" i="1"/>
  <c r="M205" i="1"/>
  <c r="S205" i="1"/>
  <c r="U205" i="1"/>
  <c r="L205" i="1"/>
  <c r="R205" i="1"/>
  <c r="K205" i="1"/>
  <c r="T205" i="1"/>
  <c r="AH197" i="1"/>
  <c r="N197" i="1"/>
  <c r="V197" i="1"/>
  <c r="O197" i="1"/>
  <c r="P197" i="1"/>
  <c r="Q197" i="1"/>
  <c r="M197" i="1"/>
  <c r="S197" i="1"/>
  <c r="U197" i="1"/>
  <c r="K197" i="1"/>
  <c r="R197" i="1"/>
  <c r="T197" i="1"/>
  <c r="L197" i="1"/>
  <c r="AH189" i="1"/>
  <c r="N189" i="1"/>
  <c r="V189" i="1"/>
  <c r="O189" i="1"/>
  <c r="P189" i="1"/>
  <c r="Q189" i="1"/>
  <c r="M189" i="1"/>
  <c r="S189" i="1"/>
  <c r="U189" i="1"/>
  <c r="R189" i="1"/>
  <c r="K189" i="1"/>
  <c r="L189" i="1"/>
  <c r="T189" i="1"/>
  <c r="AH181" i="1"/>
  <c r="N181" i="1"/>
  <c r="V181" i="1"/>
  <c r="O181" i="1"/>
  <c r="P181" i="1"/>
  <c r="Q181" i="1"/>
  <c r="L181" i="1"/>
  <c r="T181" i="1"/>
  <c r="M181" i="1"/>
  <c r="S181" i="1"/>
  <c r="U181" i="1"/>
  <c r="K181" i="1"/>
  <c r="R181" i="1"/>
  <c r="AH173" i="1"/>
  <c r="N173" i="1"/>
  <c r="V173" i="1"/>
  <c r="O173" i="1"/>
  <c r="P173" i="1"/>
  <c r="Q173" i="1"/>
  <c r="L173" i="1"/>
  <c r="T173" i="1"/>
  <c r="M173" i="1"/>
  <c r="R173" i="1"/>
  <c r="K173" i="1"/>
  <c r="S173" i="1"/>
  <c r="U173" i="1"/>
  <c r="AH165" i="1"/>
  <c r="N165" i="1"/>
  <c r="V165" i="1"/>
  <c r="O165" i="1"/>
  <c r="P165" i="1"/>
  <c r="Q165" i="1"/>
  <c r="L165" i="1"/>
  <c r="T165" i="1"/>
  <c r="M165" i="1"/>
  <c r="S165" i="1"/>
  <c r="U165" i="1"/>
  <c r="K165" i="1"/>
  <c r="R165" i="1"/>
  <c r="AH157" i="1"/>
  <c r="N157" i="1"/>
  <c r="V157" i="1"/>
  <c r="O157" i="1"/>
  <c r="P157" i="1"/>
  <c r="Q157" i="1"/>
  <c r="L157" i="1"/>
  <c r="T157" i="1"/>
  <c r="M157" i="1"/>
  <c r="K157" i="1"/>
  <c r="R157" i="1"/>
  <c r="S157" i="1"/>
  <c r="U157" i="1"/>
  <c r="AH149" i="1"/>
  <c r="N149" i="1"/>
  <c r="V149" i="1"/>
  <c r="O149" i="1"/>
  <c r="P149" i="1"/>
  <c r="Q149" i="1"/>
  <c r="L149" i="1"/>
  <c r="T149" i="1"/>
  <c r="M149" i="1"/>
  <c r="U149" i="1"/>
  <c r="K149" i="1"/>
  <c r="R149" i="1"/>
  <c r="S149" i="1"/>
  <c r="AH141" i="1"/>
  <c r="N141" i="1"/>
  <c r="V141" i="1"/>
  <c r="O141" i="1"/>
  <c r="P141" i="1"/>
  <c r="Q141" i="1"/>
  <c r="K141" i="1"/>
  <c r="S141" i="1"/>
  <c r="L141" i="1"/>
  <c r="T141" i="1"/>
  <c r="M141" i="1"/>
  <c r="U141" i="1"/>
  <c r="R141" i="1"/>
  <c r="AH133" i="1"/>
  <c r="N133" i="1"/>
  <c r="V133" i="1"/>
  <c r="O133" i="1"/>
  <c r="P133" i="1"/>
  <c r="Q133" i="1"/>
  <c r="K133" i="1"/>
  <c r="S133" i="1"/>
  <c r="L133" i="1"/>
  <c r="T133" i="1"/>
  <c r="M133" i="1"/>
  <c r="U133" i="1"/>
  <c r="R133" i="1"/>
  <c r="AH125" i="1"/>
  <c r="O125" i="1"/>
  <c r="P125" i="1"/>
  <c r="M125" i="1"/>
  <c r="U125" i="1"/>
  <c r="S125" i="1"/>
  <c r="T125" i="1"/>
  <c r="V125" i="1"/>
  <c r="K125" i="1"/>
  <c r="N125" i="1"/>
  <c r="Q125" i="1"/>
  <c r="R125" i="1"/>
  <c r="L125" i="1"/>
  <c r="AH117" i="1"/>
  <c r="O117" i="1"/>
  <c r="P117" i="1"/>
  <c r="L117" i="1"/>
  <c r="T117" i="1"/>
  <c r="M117" i="1"/>
  <c r="U117" i="1"/>
  <c r="N117" i="1"/>
  <c r="Q117" i="1"/>
  <c r="R117" i="1"/>
  <c r="S117" i="1"/>
  <c r="V117" i="1"/>
  <c r="K117" i="1"/>
  <c r="AH109" i="1"/>
  <c r="O109" i="1"/>
  <c r="P109" i="1"/>
  <c r="L109" i="1"/>
  <c r="T109" i="1"/>
  <c r="M109" i="1"/>
  <c r="U109" i="1"/>
  <c r="N109" i="1"/>
  <c r="Q109" i="1"/>
  <c r="R109" i="1"/>
  <c r="S109" i="1"/>
  <c r="V109" i="1"/>
  <c r="K109" i="1"/>
  <c r="AH101" i="1"/>
  <c r="O101" i="1"/>
  <c r="P101" i="1"/>
  <c r="L101" i="1"/>
  <c r="T101" i="1"/>
  <c r="M101" i="1"/>
  <c r="U101" i="1"/>
  <c r="N101" i="1"/>
  <c r="Q101" i="1"/>
  <c r="R101" i="1"/>
  <c r="S101" i="1"/>
  <c r="V101" i="1"/>
  <c r="K101" i="1"/>
  <c r="AH93" i="1"/>
  <c r="O93" i="1"/>
  <c r="P93" i="1"/>
  <c r="L93" i="1"/>
  <c r="T93" i="1"/>
  <c r="M93" i="1"/>
  <c r="U93" i="1"/>
  <c r="N93" i="1"/>
  <c r="Q93" i="1"/>
  <c r="R93" i="1"/>
  <c r="S93" i="1"/>
  <c r="V93" i="1"/>
  <c r="K93" i="1"/>
  <c r="AH85" i="1"/>
  <c r="M85" i="1"/>
  <c r="U85" i="1"/>
  <c r="N85" i="1"/>
  <c r="V85" i="1"/>
  <c r="P85" i="1"/>
  <c r="S85" i="1"/>
  <c r="T85" i="1"/>
  <c r="O85" i="1"/>
  <c r="Q85" i="1"/>
  <c r="K85" i="1"/>
  <c r="L85" i="1"/>
  <c r="R85" i="1"/>
  <c r="AH77" i="1"/>
  <c r="M77" i="1"/>
  <c r="U77" i="1"/>
  <c r="N77" i="1"/>
  <c r="V77" i="1"/>
  <c r="O77" i="1"/>
  <c r="P77" i="1"/>
  <c r="Q77" i="1"/>
  <c r="K77" i="1"/>
  <c r="S77" i="1"/>
  <c r="T77" i="1"/>
  <c r="L77" i="1"/>
  <c r="R77" i="1"/>
  <c r="AH69" i="1"/>
  <c r="M69" i="1"/>
  <c r="U69" i="1"/>
  <c r="N69" i="1"/>
  <c r="V69" i="1"/>
  <c r="O69" i="1"/>
  <c r="P69" i="1"/>
  <c r="Q69" i="1"/>
  <c r="K69" i="1"/>
  <c r="S69" i="1"/>
  <c r="T69" i="1"/>
  <c r="L69" i="1"/>
  <c r="R69" i="1"/>
  <c r="AH61" i="1"/>
  <c r="M61" i="1"/>
  <c r="U61" i="1"/>
  <c r="N61" i="1"/>
  <c r="V61" i="1"/>
  <c r="O61" i="1"/>
  <c r="P61" i="1"/>
  <c r="Q61" i="1"/>
  <c r="K61" i="1"/>
  <c r="S61" i="1"/>
  <c r="T61" i="1"/>
  <c r="L61" i="1"/>
  <c r="R61" i="1"/>
  <c r="AH53" i="1"/>
  <c r="M53" i="1"/>
  <c r="U53" i="1"/>
  <c r="N53" i="1"/>
  <c r="V53" i="1"/>
  <c r="P53" i="1"/>
  <c r="T53" i="1"/>
  <c r="K53" i="1"/>
  <c r="L53" i="1"/>
  <c r="O53" i="1"/>
  <c r="R53" i="1"/>
  <c r="Q53" i="1"/>
  <c r="S53" i="1"/>
  <c r="AH45" i="1"/>
  <c r="M45" i="1"/>
  <c r="U45" i="1"/>
  <c r="N45" i="1"/>
  <c r="V45" i="1"/>
  <c r="P45" i="1"/>
  <c r="O45" i="1"/>
  <c r="Q45" i="1"/>
  <c r="R45" i="1"/>
  <c r="S45" i="1"/>
  <c r="T45" i="1"/>
  <c r="K45" i="1"/>
  <c r="L45" i="1"/>
  <c r="AH37" i="1"/>
  <c r="R37" i="1"/>
  <c r="M37" i="1"/>
  <c r="U37" i="1"/>
  <c r="N37" i="1"/>
  <c r="V37" i="1"/>
  <c r="P37" i="1"/>
  <c r="O37" i="1"/>
  <c r="Q37" i="1"/>
  <c r="S37" i="1"/>
  <c r="T37" i="1"/>
  <c r="K37" i="1"/>
  <c r="L37" i="1"/>
  <c r="AH29" i="1"/>
  <c r="R29" i="1"/>
  <c r="M29" i="1"/>
  <c r="U29" i="1"/>
  <c r="N29" i="1"/>
  <c r="V29" i="1"/>
  <c r="P29" i="1"/>
  <c r="Q29" i="1"/>
  <c r="K29" i="1"/>
  <c r="L29" i="1"/>
  <c r="S29" i="1"/>
  <c r="T29" i="1"/>
  <c r="O29" i="1"/>
  <c r="AH21" i="1"/>
  <c r="R21" i="1"/>
  <c r="M21" i="1"/>
  <c r="U21" i="1"/>
  <c r="N21" i="1"/>
  <c r="V21" i="1"/>
  <c r="P21" i="1"/>
  <c r="Q21" i="1"/>
  <c r="L21" i="1"/>
  <c r="O21" i="1"/>
  <c r="S21" i="1"/>
  <c r="T21" i="1"/>
  <c r="K21" i="1"/>
  <c r="AH13" i="1"/>
  <c r="R13" i="1"/>
  <c r="M13" i="1"/>
  <c r="U13" i="1"/>
  <c r="N13" i="1"/>
  <c r="V13" i="1"/>
  <c r="P13" i="1"/>
  <c r="Q13" i="1"/>
  <c r="K13" i="1"/>
  <c r="L13" i="1"/>
  <c r="S13" i="1"/>
  <c r="O13" i="1"/>
  <c r="T13" i="1"/>
  <c r="AH5" i="1"/>
  <c r="R5" i="1"/>
  <c r="M5" i="1"/>
  <c r="U5" i="1"/>
  <c r="N5" i="1"/>
  <c r="V5" i="1"/>
  <c r="P5" i="1"/>
  <c r="Q5" i="1"/>
  <c r="L5" i="1"/>
  <c r="O5" i="1"/>
  <c r="S5" i="1"/>
  <c r="T5" i="1"/>
  <c r="K5" i="1"/>
  <c r="Q1741" i="1"/>
  <c r="U1740" i="1"/>
  <c r="M1740" i="1"/>
  <c r="Q1739" i="1"/>
  <c r="U1738" i="1"/>
  <c r="M1738" i="1"/>
  <c r="Q1737" i="1"/>
  <c r="U1736" i="1"/>
  <c r="M1736" i="1"/>
  <c r="Q1735" i="1"/>
  <c r="U1734" i="1"/>
  <c r="M1734" i="1"/>
  <c r="Q1733" i="1"/>
  <c r="U1732" i="1"/>
  <c r="M1732" i="1"/>
  <c r="Q1731" i="1"/>
  <c r="U1730" i="1"/>
  <c r="M1730" i="1"/>
  <c r="Q1729" i="1"/>
  <c r="U1728" i="1"/>
  <c r="M1728" i="1"/>
  <c r="Q1727" i="1"/>
  <c r="U1726" i="1"/>
  <c r="M1726" i="1"/>
  <c r="Q1725" i="1"/>
  <c r="U1724" i="1"/>
  <c r="M1724" i="1"/>
  <c r="Q1723" i="1"/>
  <c r="U1722" i="1"/>
  <c r="M1722" i="1"/>
  <c r="Q1721" i="1"/>
  <c r="U1720" i="1"/>
  <c r="M1720" i="1"/>
  <c r="Q1719" i="1"/>
  <c r="U1718" i="1"/>
  <c r="M1718" i="1"/>
  <c r="Q1717" i="1"/>
  <c r="U1716" i="1"/>
  <c r="M1716" i="1"/>
  <c r="Q1715" i="1"/>
  <c r="U1714" i="1"/>
  <c r="M1714" i="1"/>
  <c r="Q1713" i="1"/>
  <c r="U1712" i="1"/>
  <c r="M1712" i="1"/>
  <c r="Q1711" i="1"/>
  <c r="U1710" i="1"/>
  <c r="M1710" i="1"/>
  <c r="Q1709" i="1"/>
  <c r="V1707" i="1"/>
  <c r="K1707" i="1"/>
  <c r="L1706" i="1"/>
  <c r="K1705" i="1"/>
  <c r="K1704" i="1"/>
  <c r="V1702" i="1"/>
  <c r="V1701" i="1"/>
  <c r="S1699" i="1"/>
  <c r="S1698" i="1"/>
  <c r="R1697" i="1"/>
  <c r="R1696" i="1"/>
  <c r="P1695" i="1"/>
  <c r="O1694" i="1"/>
  <c r="O1693" i="1"/>
  <c r="N1691" i="1"/>
  <c r="L1690" i="1"/>
  <c r="K1689" i="1"/>
  <c r="K1688" i="1"/>
  <c r="V1686" i="1"/>
  <c r="V1685" i="1"/>
  <c r="S1683" i="1"/>
  <c r="S1682" i="1"/>
  <c r="R1681" i="1"/>
  <c r="N1680" i="1"/>
  <c r="V1678" i="1"/>
  <c r="R1677" i="1"/>
  <c r="V1674" i="1"/>
  <c r="P1673" i="1"/>
  <c r="R1671" i="1"/>
  <c r="K1670" i="1"/>
  <c r="N1666" i="1"/>
  <c r="S1664" i="1"/>
  <c r="T1662" i="1"/>
  <c r="P1657" i="1"/>
  <c r="R1655" i="1"/>
  <c r="K1654" i="1"/>
  <c r="N1650" i="1"/>
  <c r="S1648" i="1"/>
  <c r="T1646" i="1"/>
  <c r="P1641" i="1"/>
  <c r="R1639" i="1"/>
  <c r="K1638" i="1"/>
  <c r="N1634" i="1"/>
  <c r="S1632" i="1"/>
  <c r="T1630" i="1"/>
  <c r="T1626" i="1"/>
  <c r="P1621" i="1"/>
  <c r="T1618" i="1"/>
  <c r="P1613" i="1"/>
  <c r="T1610" i="1"/>
  <c r="P1605" i="1"/>
  <c r="T1602" i="1"/>
  <c r="P1597" i="1"/>
  <c r="T1594" i="1"/>
  <c r="P1589" i="1"/>
  <c r="T1586" i="1"/>
  <c r="P1581" i="1"/>
  <c r="T1578" i="1"/>
  <c r="P1573" i="1"/>
  <c r="T1570" i="1"/>
  <c r="P1565" i="1"/>
  <c r="T1562" i="1"/>
  <c r="P1557" i="1"/>
  <c r="T1554" i="1"/>
  <c r="P1549" i="1"/>
  <c r="T1546" i="1"/>
  <c r="P1541" i="1"/>
  <c r="T1538" i="1"/>
  <c r="P1533" i="1"/>
  <c r="T1530" i="1"/>
  <c r="P1525" i="1"/>
  <c r="T1522" i="1"/>
  <c r="P1517" i="1"/>
  <c r="T1514" i="1"/>
  <c r="P1509" i="1"/>
  <c r="T1506" i="1"/>
  <c r="P1501" i="1"/>
  <c r="T1498" i="1"/>
  <c r="P1493" i="1"/>
  <c r="T1490" i="1"/>
  <c r="P1485" i="1"/>
  <c r="T1482" i="1"/>
  <c r="P1477" i="1"/>
  <c r="T1474" i="1"/>
  <c r="P1469" i="1"/>
  <c r="T1466" i="1"/>
  <c r="P1461" i="1"/>
  <c r="T1458" i="1"/>
  <c r="P1453" i="1"/>
  <c r="T1450" i="1"/>
  <c r="P1445" i="1"/>
  <c r="T1442" i="1"/>
  <c r="P1437" i="1"/>
  <c r="T1434" i="1"/>
  <c r="P1429" i="1"/>
  <c r="T1426" i="1"/>
  <c r="P1421" i="1"/>
  <c r="T1418" i="1"/>
  <c r="P1413" i="1"/>
  <c r="T1410" i="1"/>
  <c r="P1405" i="1"/>
  <c r="T1402" i="1"/>
  <c r="P1397" i="1"/>
  <c r="T1394" i="1"/>
  <c r="P1389" i="1"/>
  <c r="T1386" i="1"/>
  <c r="P1381" i="1"/>
  <c r="T1378" i="1"/>
  <c r="P1373" i="1"/>
  <c r="T1370" i="1"/>
  <c r="P1365" i="1"/>
  <c r="T1362" i="1"/>
  <c r="P1357" i="1"/>
  <c r="T1354" i="1"/>
  <c r="L1349" i="1"/>
  <c r="S1342" i="1"/>
  <c r="Q1335" i="1"/>
  <c r="U1314" i="1"/>
  <c r="Q1309" i="1"/>
  <c r="U1298" i="1"/>
  <c r="Q1293" i="1"/>
  <c r="U1282" i="1"/>
  <c r="Q1277" i="1"/>
  <c r="P1271" i="1"/>
  <c r="O1205" i="1"/>
  <c r="V1167" i="1"/>
  <c r="U1110" i="1"/>
  <c r="K1054" i="1"/>
  <c r="N974" i="1"/>
  <c r="K863" i="1"/>
  <c r="AH1708" i="1"/>
  <c r="P1708" i="1"/>
  <c r="M1708" i="1"/>
  <c r="U1708" i="1"/>
  <c r="AH1700" i="1"/>
  <c r="P1700" i="1"/>
  <c r="Q1700" i="1"/>
  <c r="M1700" i="1"/>
  <c r="U1700" i="1"/>
  <c r="AH1692" i="1"/>
  <c r="P1692" i="1"/>
  <c r="Q1692" i="1"/>
  <c r="M1692" i="1"/>
  <c r="U1692" i="1"/>
  <c r="AH1684" i="1"/>
  <c r="P1684" i="1"/>
  <c r="Q1684" i="1"/>
  <c r="M1684" i="1"/>
  <c r="U1684" i="1"/>
  <c r="AH1676" i="1"/>
  <c r="P1676" i="1"/>
  <c r="Q1676" i="1"/>
  <c r="R1676" i="1"/>
  <c r="M1676" i="1"/>
  <c r="U1676" i="1"/>
  <c r="AH1668" i="1"/>
  <c r="O1668" i="1"/>
  <c r="P1668" i="1"/>
  <c r="Q1668" i="1"/>
  <c r="R1668" i="1"/>
  <c r="M1668" i="1"/>
  <c r="U1668" i="1"/>
  <c r="AH1660" i="1"/>
  <c r="O1660" i="1"/>
  <c r="P1660" i="1"/>
  <c r="Q1660" i="1"/>
  <c r="R1660" i="1"/>
  <c r="M1660" i="1"/>
  <c r="U1660" i="1"/>
  <c r="AH1652" i="1"/>
  <c r="O1652" i="1"/>
  <c r="P1652" i="1"/>
  <c r="Q1652" i="1"/>
  <c r="R1652" i="1"/>
  <c r="M1652" i="1"/>
  <c r="U1652" i="1"/>
  <c r="AH1644" i="1"/>
  <c r="O1644" i="1"/>
  <c r="P1644" i="1"/>
  <c r="Q1644" i="1"/>
  <c r="R1644" i="1"/>
  <c r="M1644" i="1"/>
  <c r="U1644" i="1"/>
  <c r="AH1636" i="1"/>
  <c r="O1636" i="1"/>
  <c r="P1636" i="1"/>
  <c r="Q1636" i="1"/>
  <c r="R1636" i="1"/>
  <c r="M1636" i="1"/>
  <c r="U1636" i="1"/>
  <c r="AH1628" i="1"/>
  <c r="O1628" i="1"/>
  <c r="P1628" i="1"/>
  <c r="Q1628" i="1"/>
  <c r="R1628" i="1"/>
  <c r="K1628" i="1"/>
  <c r="M1628" i="1"/>
  <c r="U1628" i="1"/>
  <c r="AH1620" i="1"/>
  <c r="O1620" i="1"/>
  <c r="P1620" i="1"/>
  <c r="Q1620" i="1"/>
  <c r="R1620" i="1"/>
  <c r="K1620" i="1"/>
  <c r="S1620" i="1"/>
  <c r="M1620" i="1"/>
  <c r="U1620" i="1"/>
  <c r="AH1612" i="1"/>
  <c r="O1612" i="1"/>
  <c r="P1612" i="1"/>
  <c r="Q1612" i="1"/>
  <c r="R1612" i="1"/>
  <c r="K1612" i="1"/>
  <c r="S1612" i="1"/>
  <c r="M1612" i="1"/>
  <c r="U1612" i="1"/>
  <c r="AH1604" i="1"/>
  <c r="O1604" i="1"/>
  <c r="P1604" i="1"/>
  <c r="Q1604" i="1"/>
  <c r="R1604" i="1"/>
  <c r="K1604" i="1"/>
  <c r="S1604" i="1"/>
  <c r="M1604" i="1"/>
  <c r="U1604" i="1"/>
  <c r="AH1596" i="1"/>
  <c r="O1596" i="1"/>
  <c r="P1596" i="1"/>
  <c r="Q1596" i="1"/>
  <c r="R1596" i="1"/>
  <c r="K1596" i="1"/>
  <c r="S1596" i="1"/>
  <c r="M1596" i="1"/>
  <c r="U1596" i="1"/>
  <c r="AH1588" i="1"/>
  <c r="O1588" i="1"/>
  <c r="P1588" i="1"/>
  <c r="Q1588" i="1"/>
  <c r="R1588" i="1"/>
  <c r="K1588" i="1"/>
  <c r="S1588" i="1"/>
  <c r="M1588" i="1"/>
  <c r="U1588" i="1"/>
  <c r="AH1580" i="1"/>
  <c r="O1580" i="1"/>
  <c r="P1580" i="1"/>
  <c r="Q1580" i="1"/>
  <c r="R1580" i="1"/>
  <c r="K1580" i="1"/>
  <c r="S1580" i="1"/>
  <c r="M1580" i="1"/>
  <c r="U1580" i="1"/>
  <c r="AH1572" i="1"/>
  <c r="O1572" i="1"/>
  <c r="P1572" i="1"/>
  <c r="Q1572" i="1"/>
  <c r="R1572" i="1"/>
  <c r="K1572" i="1"/>
  <c r="S1572" i="1"/>
  <c r="M1572" i="1"/>
  <c r="U1572" i="1"/>
  <c r="AH1564" i="1"/>
  <c r="O1564" i="1"/>
  <c r="P1564" i="1"/>
  <c r="Q1564" i="1"/>
  <c r="R1564" i="1"/>
  <c r="K1564" i="1"/>
  <c r="S1564" i="1"/>
  <c r="M1564" i="1"/>
  <c r="U1564" i="1"/>
  <c r="AH1556" i="1"/>
  <c r="O1556" i="1"/>
  <c r="P1556" i="1"/>
  <c r="Q1556" i="1"/>
  <c r="R1556" i="1"/>
  <c r="K1556" i="1"/>
  <c r="S1556" i="1"/>
  <c r="M1556" i="1"/>
  <c r="U1556" i="1"/>
  <c r="AH1548" i="1"/>
  <c r="O1548" i="1"/>
  <c r="P1548" i="1"/>
  <c r="Q1548" i="1"/>
  <c r="R1548" i="1"/>
  <c r="K1548" i="1"/>
  <c r="S1548" i="1"/>
  <c r="M1548" i="1"/>
  <c r="U1548" i="1"/>
  <c r="AH1540" i="1"/>
  <c r="O1540" i="1"/>
  <c r="P1540" i="1"/>
  <c r="Q1540" i="1"/>
  <c r="R1540" i="1"/>
  <c r="K1540" i="1"/>
  <c r="S1540" i="1"/>
  <c r="M1540" i="1"/>
  <c r="U1540" i="1"/>
  <c r="AH1532" i="1"/>
  <c r="O1532" i="1"/>
  <c r="P1532" i="1"/>
  <c r="Q1532" i="1"/>
  <c r="R1532" i="1"/>
  <c r="K1532" i="1"/>
  <c r="S1532" i="1"/>
  <c r="M1532" i="1"/>
  <c r="U1532" i="1"/>
  <c r="AH1524" i="1"/>
  <c r="O1524" i="1"/>
  <c r="P1524" i="1"/>
  <c r="Q1524" i="1"/>
  <c r="R1524" i="1"/>
  <c r="K1524" i="1"/>
  <c r="S1524" i="1"/>
  <c r="M1524" i="1"/>
  <c r="U1524" i="1"/>
  <c r="AH1516" i="1"/>
  <c r="O1516" i="1"/>
  <c r="P1516" i="1"/>
  <c r="Q1516" i="1"/>
  <c r="R1516" i="1"/>
  <c r="K1516" i="1"/>
  <c r="S1516" i="1"/>
  <c r="M1516" i="1"/>
  <c r="U1516" i="1"/>
  <c r="AH1508" i="1"/>
  <c r="O1508" i="1"/>
  <c r="P1508" i="1"/>
  <c r="Q1508" i="1"/>
  <c r="R1508" i="1"/>
  <c r="K1508" i="1"/>
  <c r="S1508" i="1"/>
  <c r="M1508" i="1"/>
  <c r="U1508" i="1"/>
  <c r="AH1500" i="1"/>
  <c r="O1500" i="1"/>
  <c r="P1500" i="1"/>
  <c r="Q1500" i="1"/>
  <c r="R1500" i="1"/>
  <c r="K1500" i="1"/>
  <c r="S1500" i="1"/>
  <c r="M1500" i="1"/>
  <c r="U1500" i="1"/>
  <c r="AH1492" i="1"/>
  <c r="O1492" i="1"/>
  <c r="P1492" i="1"/>
  <c r="Q1492" i="1"/>
  <c r="R1492" i="1"/>
  <c r="K1492" i="1"/>
  <c r="S1492" i="1"/>
  <c r="M1492" i="1"/>
  <c r="U1492" i="1"/>
  <c r="AH1484" i="1"/>
  <c r="O1484" i="1"/>
  <c r="P1484" i="1"/>
  <c r="Q1484" i="1"/>
  <c r="R1484" i="1"/>
  <c r="K1484" i="1"/>
  <c r="S1484" i="1"/>
  <c r="M1484" i="1"/>
  <c r="U1484" i="1"/>
  <c r="AH1476" i="1"/>
  <c r="O1476" i="1"/>
  <c r="P1476" i="1"/>
  <c r="Q1476" i="1"/>
  <c r="R1476" i="1"/>
  <c r="K1476" i="1"/>
  <c r="S1476" i="1"/>
  <c r="M1476" i="1"/>
  <c r="U1476" i="1"/>
  <c r="AH1468" i="1"/>
  <c r="O1468" i="1"/>
  <c r="P1468" i="1"/>
  <c r="Q1468" i="1"/>
  <c r="R1468" i="1"/>
  <c r="K1468" i="1"/>
  <c r="S1468" i="1"/>
  <c r="M1468" i="1"/>
  <c r="U1468" i="1"/>
  <c r="AH1460" i="1"/>
  <c r="O1460" i="1"/>
  <c r="P1460" i="1"/>
  <c r="Q1460" i="1"/>
  <c r="R1460" i="1"/>
  <c r="K1460" i="1"/>
  <c r="S1460" i="1"/>
  <c r="M1460" i="1"/>
  <c r="U1460" i="1"/>
  <c r="AH1452" i="1"/>
  <c r="O1452" i="1"/>
  <c r="P1452" i="1"/>
  <c r="Q1452" i="1"/>
  <c r="R1452" i="1"/>
  <c r="K1452" i="1"/>
  <c r="S1452" i="1"/>
  <c r="M1452" i="1"/>
  <c r="U1452" i="1"/>
  <c r="AH1444" i="1"/>
  <c r="O1444" i="1"/>
  <c r="P1444" i="1"/>
  <c r="Q1444" i="1"/>
  <c r="R1444" i="1"/>
  <c r="K1444" i="1"/>
  <c r="S1444" i="1"/>
  <c r="M1444" i="1"/>
  <c r="U1444" i="1"/>
  <c r="AH1436" i="1"/>
  <c r="O1436" i="1"/>
  <c r="P1436" i="1"/>
  <c r="Q1436" i="1"/>
  <c r="R1436" i="1"/>
  <c r="K1436" i="1"/>
  <c r="S1436" i="1"/>
  <c r="M1436" i="1"/>
  <c r="U1436" i="1"/>
  <c r="AH1428" i="1"/>
  <c r="O1428" i="1"/>
  <c r="P1428" i="1"/>
  <c r="Q1428" i="1"/>
  <c r="R1428" i="1"/>
  <c r="K1428" i="1"/>
  <c r="S1428" i="1"/>
  <c r="M1428" i="1"/>
  <c r="U1428" i="1"/>
  <c r="AH1420" i="1"/>
  <c r="O1420" i="1"/>
  <c r="P1420" i="1"/>
  <c r="Q1420" i="1"/>
  <c r="R1420" i="1"/>
  <c r="K1420" i="1"/>
  <c r="S1420" i="1"/>
  <c r="M1420" i="1"/>
  <c r="U1420" i="1"/>
  <c r="AH1412" i="1"/>
  <c r="O1412" i="1"/>
  <c r="P1412" i="1"/>
  <c r="Q1412" i="1"/>
  <c r="R1412" i="1"/>
  <c r="K1412" i="1"/>
  <c r="S1412" i="1"/>
  <c r="M1412" i="1"/>
  <c r="U1412" i="1"/>
  <c r="AH1404" i="1"/>
  <c r="O1404" i="1"/>
  <c r="P1404" i="1"/>
  <c r="Q1404" i="1"/>
  <c r="R1404" i="1"/>
  <c r="K1404" i="1"/>
  <c r="S1404" i="1"/>
  <c r="M1404" i="1"/>
  <c r="U1404" i="1"/>
  <c r="AH1396" i="1"/>
  <c r="O1396" i="1"/>
  <c r="P1396" i="1"/>
  <c r="Q1396" i="1"/>
  <c r="R1396" i="1"/>
  <c r="K1396" i="1"/>
  <c r="S1396" i="1"/>
  <c r="M1396" i="1"/>
  <c r="U1396" i="1"/>
  <c r="AH1388" i="1"/>
  <c r="O1388" i="1"/>
  <c r="P1388" i="1"/>
  <c r="Q1388" i="1"/>
  <c r="R1388" i="1"/>
  <c r="K1388" i="1"/>
  <c r="S1388" i="1"/>
  <c r="M1388" i="1"/>
  <c r="U1388" i="1"/>
  <c r="AH1380" i="1"/>
  <c r="O1380" i="1"/>
  <c r="P1380" i="1"/>
  <c r="Q1380" i="1"/>
  <c r="R1380" i="1"/>
  <c r="K1380" i="1"/>
  <c r="S1380" i="1"/>
  <c r="M1380" i="1"/>
  <c r="U1380" i="1"/>
  <c r="AH1372" i="1"/>
  <c r="O1372" i="1"/>
  <c r="P1372" i="1"/>
  <c r="Q1372" i="1"/>
  <c r="R1372" i="1"/>
  <c r="K1372" i="1"/>
  <c r="S1372" i="1"/>
  <c r="M1372" i="1"/>
  <c r="U1372" i="1"/>
  <c r="AH1364" i="1"/>
  <c r="O1364" i="1"/>
  <c r="P1364" i="1"/>
  <c r="Q1364" i="1"/>
  <c r="R1364" i="1"/>
  <c r="K1364" i="1"/>
  <c r="S1364" i="1"/>
  <c r="M1364" i="1"/>
  <c r="U1364" i="1"/>
  <c r="AH1356" i="1"/>
  <c r="O1356" i="1"/>
  <c r="P1356" i="1"/>
  <c r="Q1356" i="1"/>
  <c r="R1356" i="1"/>
  <c r="K1356" i="1"/>
  <c r="S1356" i="1"/>
  <c r="M1356" i="1"/>
  <c r="U1356" i="1"/>
  <c r="AH1348" i="1"/>
  <c r="R1348" i="1"/>
  <c r="S1348" i="1"/>
  <c r="K1348" i="1"/>
  <c r="T1348" i="1"/>
  <c r="L1348" i="1"/>
  <c r="U1348" i="1"/>
  <c r="M1348" i="1"/>
  <c r="V1348" i="1"/>
  <c r="N1348" i="1"/>
  <c r="P1348" i="1"/>
  <c r="AH1340" i="1"/>
  <c r="P1340" i="1"/>
  <c r="R1340" i="1"/>
  <c r="N1340" i="1"/>
  <c r="O1340" i="1"/>
  <c r="Q1340" i="1"/>
  <c r="S1340" i="1"/>
  <c r="T1340" i="1"/>
  <c r="L1340" i="1"/>
  <c r="V1340" i="1"/>
  <c r="AH1332" i="1"/>
  <c r="P1332" i="1"/>
  <c r="R1332" i="1"/>
  <c r="N1332" i="1"/>
  <c r="O1332" i="1"/>
  <c r="Q1332" i="1"/>
  <c r="S1332" i="1"/>
  <c r="T1332" i="1"/>
  <c r="L1332" i="1"/>
  <c r="V1332" i="1"/>
  <c r="AH1324" i="1"/>
  <c r="N1324" i="1"/>
  <c r="V1324" i="1"/>
  <c r="P1324" i="1"/>
  <c r="R1324" i="1"/>
  <c r="S1324" i="1"/>
  <c r="T1324" i="1"/>
  <c r="U1324" i="1"/>
  <c r="K1324" i="1"/>
  <c r="L1324" i="1"/>
  <c r="O1324" i="1"/>
  <c r="AH1316" i="1"/>
  <c r="N1316" i="1"/>
  <c r="V1316" i="1"/>
  <c r="P1316" i="1"/>
  <c r="Q1316" i="1"/>
  <c r="R1316" i="1"/>
  <c r="T1316" i="1"/>
  <c r="U1316" i="1"/>
  <c r="K1316" i="1"/>
  <c r="L1316" i="1"/>
  <c r="O1316" i="1"/>
  <c r="AH1308" i="1"/>
  <c r="N1308" i="1"/>
  <c r="V1308" i="1"/>
  <c r="P1308" i="1"/>
  <c r="Q1308" i="1"/>
  <c r="R1308" i="1"/>
  <c r="T1308" i="1"/>
  <c r="U1308" i="1"/>
  <c r="K1308" i="1"/>
  <c r="L1308" i="1"/>
  <c r="O1308" i="1"/>
  <c r="AH1300" i="1"/>
  <c r="N1300" i="1"/>
  <c r="V1300" i="1"/>
  <c r="P1300" i="1"/>
  <c r="Q1300" i="1"/>
  <c r="R1300" i="1"/>
  <c r="T1300" i="1"/>
  <c r="U1300" i="1"/>
  <c r="K1300" i="1"/>
  <c r="L1300" i="1"/>
  <c r="O1300" i="1"/>
  <c r="AH1292" i="1"/>
  <c r="N1292" i="1"/>
  <c r="V1292" i="1"/>
  <c r="P1292" i="1"/>
  <c r="Q1292" i="1"/>
  <c r="R1292" i="1"/>
  <c r="T1292" i="1"/>
  <c r="U1292" i="1"/>
  <c r="K1292" i="1"/>
  <c r="L1292" i="1"/>
  <c r="O1292" i="1"/>
  <c r="AH1284" i="1"/>
  <c r="N1284" i="1"/>
  <c r="V1284" i="1"/>
  <c r="P1284" i="1"/>
  <c r="Q1284" i="1"/>
  <c r="R1284" i="1"/>
  <c r="T1284" i="1"/>
  <c r="U1284" i="1"/>
  <c r="K1284" i="1"/>
  <c r="L1284" i="1"/>
  <c r="O1284" i="1"/>
  <c r="AH1276" i="1"/>
  <c r="N1276" i="1"/>
  <c r="V1276" i="1"/>
  <c r="P1276" i="1"/>
  <c r="Q1276" i="1"/>
  <c r="R1276" i="1"/>
  <c r="T1276" i="1"/>
  <c r="U1276" i="1"/>
  <c r="K1276" i="1"/>
  <c r="L1276" i="1"/>
  <c r="O1276" i="1"/>
  <c r="AH1268" i="1"/>
  <c r="N1268" i="1"/>
  <c r="V1268" i="1"/>
  <c r="O1268" i="1"/>
  <c r="P1268" i="1"/>
  <c r="Q1268" i="1"/>
  <c r="R1268" i="1"/>
  <c r="S1268" i="1"/>
  <c r="T1268" i="1"/>
  <c r="U1268" i="1"/>
  <c r="L1268" i="1"/>
  <c r="AH1260" i="1"/>
  <c r="N1260" i="1"/>
  <c r="V1260" i="1"/>
  <c r="O1260" i="1"/>
  <c r="P1260" i="1"/>
  <c r="Q1260" i="1"/>
  <c r="R1260" i="1"/>
  <c r="K1260" i="1"/>
  <c r="L1260" i="1"/>
  <c r="M1260" i="1"/>
  <c r="S1260" i="1"/>
  <c r="U1260" i="1"/>
  <c r="AH1252" i="1"/>
  <c r="N1252" i="1"/>
  <c r="V1252" i="1"/>
  <c r="O1252" i="1"/>
  <c r="P1252" i="1"/>
  <c r="Q1252" i="1"/>
  <c r="R1252" i="1"/>
  <c r="S1252" i="1"/>
  <c r="T1252" i="1"/>
  <c r="U1252" i="1"/>
  <c r="L1252" i="1"/>
  <c r="AH1244" i="1"/>
  <c r="N1244" i="1"/>
  <c r="V1244" i="1"/>
  <c r="O1244" i="1"/>
  <c r="P1244" i="1"/>
  <c r="Q1244" i="1"/>
  <c r="R1244" i="1"/>
  <c r="K1244" i="1"/>
  <c r="L1244" i="1"/>
  <c r="M1244" i="1"/>
  <c r="S1244" i="1"/>
  <c r="U1244" i="1"/>
  <c r="AH1236" i="1"/>
  <c r="N1236" i="1"/>
  <c r="V1236" i="1"/>
  <c r="O1236" i="1"/>
  <c r="P1236" i="1"/>
  <c r="Q1236" i="1"/>
  <c r="R1236" i="1"/>
  <c r="S1236" i="1"/>
  <c r="T1236" i="1"/>
  <c r="U1236" i="1"/>
  <c r="L1236" i="1"/>
  <c r="AH1228" i="1"/>
  <c r="M1228" i="1"/>
  <c r="U1228" i="1"/>
  <c r="N1228" i="1"/>
  <c r="V1228" i="1"/>
  <c r="O1228" i="1"/>
  <c r="P1228" i="1"/>
  <c r="Q1228" i="1"/>
  <c r="R1228" i="1"/>
  <c r="K1228" i="1"/>
  <c r="L1228" i="1"/>
  <c r="S1228" i="1"/>
  <c r="T1228" i="1"/>
  <c r="AH1220" i="1"/>
  <c r="M1220" i="1"/>
  <c r="U1220" i="1"/>
  <c r="N1220" i="1"/>
  <c r="V1220" i="1"/>
  <c r="O1220" i="1"/>
  <c r="P1220" i="1"/>
  <c r="Q1220" i="1"/>
  <c r="R1220" i="1"/>
  <c r="K1220" i="1"/>
  <c r="L1220" i="1"/>
  <c r="S1220" i="1"/>
  <c r="T1220" i="1"/>
  <c r="AH1212" i="1"/>
  <c r="M1212" i="1"/>
  <c r="U1212" i="1"/>
  <c r="N1212" i="1"/>
  <c r="V1212" i="1"/>
  <c r="O1212" i="1"/>
  <c r="P1212" i="1"/>
  <c r="Q1212" i="1"/>
  <c r="R1212" i="1"/>
  <c r="K1212" i="1"/>
  <c r="L1212" i="1"/>
  <c r="S1212" i="1"/>
  <c r="T1212" i="1"/>
  <c r="AH1204" i="1"/>
  <c r="M1204" i="1"/>
  <c r="U1204" i="1"/>
  <c r="N1204" i="1"/>
  <c r="V1204" i="1"/>
  <c r="O1204" i="1"/>
  <c r="P1204" i="1"/>
  <c r="Q1204" i="1"/>
  <c r="R1204" i="1"/>
  <c r="K1204" i="1"/>
  <c r="L1204" i="1"/>
  <c r="S1204" i="1"/>
  <c r="T1204" i="1"/>
  <c r="AH1196" i="1"/>
  <c r="M1196" i="1"/>
  <c r="U1196" i="1"/>
  <c r="N1196" i="1"/>
  <c r="V1196" i="1"/>
  <c r="O1196" i="1"/>
  <c r="P1196" i="1"/>
  <c r="Q1196" i="1"/>
  <c r="R1196" i="1"/>
  <c r="K1196" i="1"/>
  <c r="L1196" i="1"/>
  <c r="S1196" i="1"/>
  <c r="T1196" i="1"/>
  <c r="AH1188" i="1"/>
  <c r="M1188" i="1"/>
  <c r="U1188" i="1"/>
  <c r="N1188" i="1"/>
  <c r="V1188" i="1"/>
  <c r="O1188" i="1"/>
  <c r="P1188" i="1"/>
  <c r="Q1188" i="1"/>
  <c r="R1188" i="1"/>
  <c r="K1188" i="1"/>
  <c r="L1188" i="1"/>
  <c r="S1188" i="1"/>
  <c r="T1188" i="1"/>
  <c r="AH1180" i="1"/>
  <c r="M1180" i="1"/>
  <c r="U1180" i="1"/>
  <c r="N1180" i="1"/>
  <c r="V1180" i="1"/>
  <c r="O1180" i="1"/>
  <c r="P1180" i="1"/>
  <c r="Q1180" i="1"/>
  <c r="R1180" i="1"/>
  <c r="K1180" i="1"/>
  <c r="L1180" i="1"/>
  <c r="S1180" i="1"/>
  <c r="T1180" i="1"/>
  <c r="AH1172" i="1"/>
  <c r="N1172" i="1"/>
  <c r="V1172" i="1"/>
  <c r="O1172" i="1"/>
  <c r="P1172" i="1"/>
  <c r="Q1172" i="1"/>
  <c r="L1172" i="1"/>
  <c r="T1172" i="1"/>
  <c r="K1172" i="1"/>
  <c r="M1172" i="1"/>
  <c r="R1172" i="1"/>
  <c r="S1172" i="1"/>
  <c r="U1172" i="1"/>
  <c r="AH1164" i="1"/>
  <c r="N1164" i="1"/>
  <c r="V1164" i="1"/>
  <c r="O1164" i="1"/>
  <c r="P1164" i="1"/>
  <c r="Q1164" i="1"/>
  <c r="L1164" i="1"/>
  <c r="T1164" i="1"/>
  <c r="S1164" i="1"/>
  <c r="U1164" i="1"/>
  <c r="K1164" i="1"/>
  <c r="M1164" i="1"/>
  <c r="R1164" i="1"/>
  <c r="AH1156" i="1"/>
  <c r="N1156" i="1"/>
  <c r="V1156" i="1"/>
  <c r="O1156" i="1"/>
  <c r="P1156" i="1"/>
  <c r="Q1156" i="1"/>
  <c r="L1156" i="1"/>
  <c r="T1156" i="1"/>
  <c r="K1156" i="1"/>
  <c r="M1156" i="1"/>
  <c r="R1156" i="1"/>
  <c r="S1156" i="1"/>
  <c r="U1156" i="1"/>
  <c r="AH1148" i="1"/>
  <c r="N1148" i="1"/>
  <c r="V1148" i="1"/>
  <c r="O1148" i="1"/>
  <c r="P1148" i="1"/>
  <c r="Q1148" i="1"/>
  <c r="L1148" i="1"/>
  <c r="T1148" i="1"/>
  <c r="S1148" i="1"/>
  <c r="U1148" i="1"/>
  <c r="K1148" i="1"/>
  <c r="R1148" i="1"/>
  <c r="AH1140" i="1"/>
  <c r="N1140" i="1"/>
  <c r="V1140" i="1"/>
  <c r="O1140" i="1"/>
  <c r="P1140" i="1"/>
  <c r="Q1140" i="1"/>
  <c r="L1140" i="1"/>
  <c r="T1140" i="1"/>
  <c r="K1140" i="1"/>
  <c r="M1140" i="1"/>
  <c r="R1140" i="1"/>
  <c r="S1140" i="1"/>
  <c r="U1140" i="1"/>
  <c r="AH1132" i="1"/>
  <c r="N1132" i="1"/>
  <c r="V1132" i="1"/>
  <c r="O1132" i="1"/>
  <c r="P1132" i="1"/>
  <c r="Q1132" i="1"/>
  <c r="L1132" i="1"/>
  <c r="T1132" i="1"/>
  <c r="S1132" i="1"/>
  <c r="U1132" i="1"/>
  <c r="K1132" i="1"/>
  <c r="R1132" i="1"/>
  <c r="AH1124" i="1"/>
  <c r="N1124" i="1"/>
  <c r="V1124" i="1"/>
  <c r="O1124" i="1"/>
  <c r="P1124" i="1"/>
  <c r="Q1124" i="1"/>
  <c r="L1124" i="1"/>
  <c r="T1124" i="1"/>
  <c r="K1124" i="1"/>
  <c r="M1124" i="1"/>
  <c r="R1124" i="1"/>
  <c r="S1124" i="1"/>
  <c r="U1124" i="1"/>
  <c r="AH1116" i="1"/>
  <c r="N1116" i="1"/>
  <c r="V1116" i="1"/>
  <c r="O1116" i="1"/>
  <c r="P1116" i="1"/>
  <c r="Q1116" i="1"/>
  <c r="L1116" i="1"/>
  <c r="T1116" i="1"/>
  <c r="S1116" i="1"/>
  <c r="U1116" i="1"/>
  <c r="K1116" i="1"/>
  <c r="M1116" i="1"/>
  <c r="R1116" i="1"/>
  <c r="AH1108" i="1"/>
  <c r="N1108" i="1"/>
  <c r="V1108" i="1"/>
  <c r="O1108" i="1"/>
  <c r="P1108" i="1"/>
  <c r="Q1108" i="1"/>
  <c r="L1108" i="1"/>
  <c r="T1108" i="1"/>
  <c r="K1108" i="1"/>
  <c r="M1108" i="1"/>
  <c r="R1108" i="1"/>
  <c r="S1108" i="1"/>
  <c r="U1108" i="1"/>
  <c r="AH1100" i="1"/>
  <c r="N1100" i="1"/>
  <c r="V1100" i="1"/>
  <c r="O1100" i="1"/>
  <c r="P1100" i="1"/>
  <c r="Q1100" i="1"/>
  <c r="L1100" i="1"/>
  <c r="T1100" i="1"/>
  <c r="S1100" i="1"/>
  <c r="U1100" i="1"/>
  <c r="K1100" i="1"/>
  <c r="M1100" i="1"/>
  <c r="R1100" i="1"/>
  <c r="AH1092" i="1"/>
  <c r="N1092" i="1"/>
  <c r="V1092" i="1"/>
  <c r="O1092" i="1"/>
  <c r="P1092" i="1"/>
  <c r="Q1092" i="1"/>
  <c r="L1092" i="1"/>
  <c r="T1092" i="1"/>
  <c r="K1092" i="1"/>
  <c r="M1092" i="1"/>
  <c r="R1092" i="1"/>
  <c r="S1092" i="1"/>
  <c r="U1092" i="1"/>
  <c r="AH1084" i="1"/>
  <c r="N1084" i="1"/>
  <c r="V1084" i="1"/>
  <c r="O1084" i="1"/>
  <c r="P1084" i="1"/>
  <c r="Q1084" i="1"/>
  <c r="L1084" i="1"/>
  <c r="T1084" i="1"/>
  <c r="S1084" i="1"/>
  <c r="U1084" i="1"/>
  <c r="K1084" i="1"/>
  <c r="R1084" i="1"/>
  <c r="AH1076" i="1"/>
  <c r="N1076" i="1"/>
  <c r="V1076" i="1"/>
  <c r="O1076" i="1"/>
  <c r="P1076" i="1"/>
  <c r="Q1076" i="1"/>
  <c r="L1076" i="1"/>
  <c r="T1076" i="1"/>
  <c r="K1076" i="1"/>
  <c r="M1076" i="1"/>
  <c r="R1076" i="1"/>
  <c r="S1076" i="1"/>
  <c r="U1076" i="1"/>
  <c r="AH1068" i="1"/>
  <c r="N1068" i="1"/>
  <c r="V1068" i="1"/>
  <c r="O1068" i="1"/>
  <c r="P1068" i="1"/>
  <c r="Q1068" i="1"/>
  <c r="L1068" i="1"/>
  <c r="T1068" i="1"/>
  <c r="S1068" i="1"/>
  <c r="U1068" i="1"/>
  <c r="K1068" i="1"/>
  <c r="R1068" i="1"/>
  <c r="AH1060" i="1"/>
  <c r="N1060" i="1"/>
  <c r="V1060" i="1"/>
  <c r="O1060" i="1"/>
  <c r="P1060" i="1"/>
  <c r="Q1060" i="1"/>
  <c r="L1060" i="1"/>
  <c r="T1060" i="1"/>
  <c r="K1060" i="1"/>
  <c r="M1060" i="1"/>
  <c r="R1060" i="1"/>
  <c r="S1060" i="1"/>
  <c r="U1060" i="1"/>
  <c r="AH1052" i="1"/>
  <c r="N1052" i="1"/>
  <c r="V1052" i="1"/>
  <c r="O1052" i="1"/>
  <c r="P1052" i="1"/>
  <c r="Q1052" i="1"/>
  <c r="L1052" i="1"/>
  <c r="T1052" i="1"/>
  <c r="S1052" i="1"/>
  <c r="U1052" i="1"/>
  <c r="K1052" i="1"/>
  <c r="M1052" i="1"/>
  <c r="R1052" i="1"/>
  <c r="AH1044" i="1"/>
  <c r="N1044" i="1"/>
  <c r="V1044" i="1"/>
  <c r="O1044" i="1"/>
  <c r="P1044" i="1"/>
  <c r="Q1044" i="1"/>
  <c r="L1044" i="1"/>
  <c r="T1044" i="1"/>
  <c r="K1044" i="1"/>
  <c r="M1044" i="1"/>
  <c r="R1044" i="1"/>
  <c r="S1044" i="1"/>
  <c r="U1044" i="1"/>
  <c r="AH1036" i="1"/>
  <c r="N1036" i="1"/>
  <c r="V1036" i="1"/>
  <c r="O1036" i="1"/>
  <c r="P1036" i="1"/>
  <c r="Q1036" i="1"/>
  <c r="L1036" i="1"/>
  <c r="T1036" i="1"/>
  <c r="S1036" i="1"/>
  <c r="U1036" i="1"/>
  <c r="K1036" i="1"/>
  <c r="M1036" i="1"/>
  <c r="R1036" i="1"/>
  <c r="AH1028" i="1"/>
  <c r="L1028" i="1"/>
  <c r="T1028" i="1"/>
  <c r="N1028" i="1"/>
  <c r="O1028" i="1"/>
  <c r="P1028" i="1"/>
  <c r="Q1028" i="1"/>
  <c r="K1028" i="1"/>
  <c r="U1028" i="1"/>
  <c r="V1028" i="1"/>
  <c r="M1028" i="1"/>
  <c r="R1028" i="1"/>
  <c r="S1028" i="1"/>
  <c r="AH1020" i="1"/>
  <c r="L1020" i="1"/>
  <c r="T1020" i="1"/>
  <c r="R1020" i="1"/>
  <c r="S1020" i="1"/>
  <c r="K1020" i="1"/>
  <c r="U1020" i="1"/>
  <c r="M1020" i="1"/>
  <c r="V1020" i="1"/>
  <c r="P1020" i="1"/>
  <c r="N1020" i="1"/>
  <c r="O1020" i="1"/>
  <c r="Q1020" i="1"/>
  <c r="AH1012" i="1"/>
  <c r="P1012" i="1"/>
  <c r="R1012" i="1"/>
  <c r="K1012" i="1"/>
  <c r="S1012" i="1"/>
  <c r="L1012" i="1"/>
  <c r="T1012" i="1"/>
  <c r="N1012" i="1"/>
  <c r="O1012" i="1"/>
  <c r="Q1012" i="1"/>
  <c r="U1012" i="1"/>
  <c r="M1012" i="1"/>
  <c r="V1012" i="1"/>
  <c r="AH1004" i="1"/>
  <c r="P1004" i="1"/>
  <c r="R1004" i="1"/>
  <c r="K1004" i="1"/>
  <c r="S1004" i="1"/>
  <c r="L1004" i="1"/>
  <c r="T1004" i="1"/>
  <c r="N1004" i="1"/>
  <c r="O1004" i="1"/>
  <c r="Q1004" i="1"/>
  <c r="U1004" i="1"/>
  <c r="M1004" i="1"/>
  <c r="V1004" i="1"/>
  <c r="AH996" i="1"/>
  <c r="P996" i="1"/>
  <c r="R996" i="1"/>
  <c r="K996" i="1"/>
  <c r="S996" i="1"/>
  <c r="L996" i="1"/>
  <c r="T996" i="1"/>
  <c r="N996" i="1"/>
  <c r="O996" i="1"/>
  <c r="Q996" i="1"/>
  <c r="U996" i="1"/>
  <c r="M996" i="1"/>
  <c r="V996" i="1"/>
  <c r="AH988" i="1"/>
  <c r="P988" i="1"/>
  <c r="R988" i="1"/>
  <c r="K988" i="1"/>
  <c r="S988" i="1"/>
  <c r="L988" i="1"/>
  <c r="T988" i="1"/>
  <c r="N988" i="1"/>
  <c r="O988" i="1"/>
  <c r="Q988" i="1"/>
  <c r="U988" i="1"/>
  <c r="V988" i="1"/>
  <c r="AH980" i="1"/>
  <c r="P980" i="1"/>
  <c r="R980" i="1"/>
  <c r="K980" i="1"/>
  <c r="S980" i="1"/>
  <c r="L980" i="1"/>
  <c r="T980" i="1"/>
  <c r="N980" i="1"/>
  <c r="O980" i="1"/>
  <c r="Q980" i="1"/>
  <c r="U980" i="1"/>
  <c r="M980" i="1"/>
  <c r="V980" i="1"/>
  <c r="AH972" i="1"/>
  <c r="P972" i="1"/>
  <c r="R972" i="1"/>
  <c r="K972" i="1"/>
  <c r="S972" i="1"/>
  <c r="L972" i="1"/>
  <c r="T972" i="1"/>
  <c r="N972" i="1"/>
  <c r="O972" i="1"/>
  <c r="Q972" i="1"/>
  <c r="U972" i="1"/>
  <c r="M972" i="1"/>
  <c r="V972" i="1"/>
  <c r="AH964" i="1"/>
  <c r="O964" i="1"/>
  <c r="P964" i="1"/>
  <c r="Q964" i="1"/>
  <c r="R964" i="1"/>
  <c r="K964" i="1"/>
  <c r="S964" i="1"/>
  <c r="L964" i="1"/>
  <c r="T964" i="1"/>
  <c r="N964" i="1"/>
  <c r="U964" i="1"/>
  <c r="V964" i="1"/>
  <c r="M964" i="1"/>
  <c r="AH956" i="1"/>
  <c r="O956" i="1"/>
  <c r="P956" i="1"/>
  <c r="Q956" i="1"/>
  <c r="R956" i="1"/>
  <c r="K956" i="1"/>
  <c r="S956" i="1"/>
  <c r="L956" i="1"/>
  <c r="T956" i="1"/>
  <c r="N956" i="1"/>
  <c r="U956" i="1"/>
  <c r="V956" i="1"/>
  <c r="M956" i="1"/>
  <c r="AH948" i="1"/>
  <c r="O948" i="1"/>
  <c r="P948" i="1"/>
  <c r="Q948" i="1"/>
  <c r="R948" i="1"/>
  <c r="K948" i="1"/>
  <c r="S948" i="1"/>
  <c r="L948" i="1"/>
  <c r="T948" i="1"/>
  <c r="N948" i="1"/>
  <c r="U948" i="1"/>
  <c r="V948" i="1"/>
  <c r="M948" i="1"/>
  <c r="AH940" i="1"/>
  <c r="O940" i="1"/>
  <c r="P940" i="1"/>
  <c r="Q940" i="1"/>
  <c r="R940" i="1"/>
  <c r="K940" i="1"/>
  <c r="S940" i="1"/>
  <c r="L940" i="1"/>
  <c r="T940" i="1"/>
  <c r="N940" i="1"/>
  <c r="U940" i="1"/>
  <c r="V940" i="1"/>
  <c r="M940" i="1"/>
  <c r="AH932" i="1"/>
  <c r="O932" i="1"/>
  <c r="P932" i="1"/>
  <c r="Q932" i="1"/>
  <c r="R932" i="1"/>
  <c r="K932" i="1"/>
  <c r="S932" i="1"/>
  <c r="L932" i="1"/>
  <c r="T932" i="1"/>
  <c r="N932" i="1"/>
  <c r="U932" i="1"/>
  <c r="V932" i="1"/>
  <c r="M932" i="1"/>
  <c r="AH924" i="1"/>
  <c r="O924" i="1"/>
  <c r="P924" i="1"/>
  <c r="Q924" i="1"/>
  <c r="R924" i="1"/>
  <c r="K924" i="1"/>
  <c r="S924" i="1"/>
  <c r="L924" i="1"/>
  <c r="T924" i="1"/>
  <c r="N924" i="1"/>
  <c r="U924" i="1"/>
  <c r="V924" i="1"/>
  <c r="M924" i="1"/>
  <c r="AH916" i="1"/>
  <c r="O916" i="1"/>
  <c r="P916" i="1"/>
  <c r="Q916" i="1"/>
  <c r="R916" i="1"/>
  <c r="K916" i="1"/>
  <c r="S916" i="1"/>
  <c r="L916" i="1"/>
  <c r="T916" i="1"/>
  <c r="N916" i="1"/>
  <c r="U916" i="1"/>
  <c r="V916" i="1"/>
  <c r="M916" i="1"/>
  <c r="AH908" i="1"/>
  <c r="O908" i="1"/>
  <c r="P908" i="1"/>
  <c r="Q908" i="1"/>
  <c r="R908" i="1"/>
  <c r="K908" i="1"/>
  <c r="S908" i="1"/>
  <c r="L908" i="1"/>
  <c r="T908" i="1"/>
  <c r="N908" i="1"/>
  <c r="U908" i="1"/>
  <c r="V908" i="1"/>
  <c r="M908" i="1"/>
  <c r="AH900" i="1"/>
  <c r="O900" i="1"/>
  <c r="P900" i="1"/>
  <c r="Q900" i="1"/>
  <c r="R900" i="1"/>
  <c r="K900" i="1"/>
  <c r="S900" i="1"/>
  <c r="L900" i="1"/>
  <c r="T900" i="1"/>
  <c r="N900" i="1"/>
  <c r="U900" i="1"/>
  <c r="V900" i="1"/>
  <c r="AH892" i="1"/>
  <c r="O892" i="1"/>
  <c r="P892" i="1"/>
  <c r="Q892" i="1"/>
  <c r="R892" i="1"/>
  <c r="K892" i="1"/>
  <c r="S892" i="1"/>
  <c r="L892" i="1"/>
  <c r="T892" i="1"/>
  <c r="N892" i="1"/>
  <c r="U892" i="1"/>
  <c r="V892" i="1"/>
  <c r="M892" i="1"/>
  <c r="AH884" i="1"/>
  <c r="O884" i="1"/>
  <c r="P884" i="1"/>
  <c r="Q884" i="1"/>
  <c r="R884" i="1"/>
  <c r="K884" i="1"/>
  <c r="S884" i="1"/>
  <c r="L884" i="1"/>
  <c r="T884" i="1"/>
  <c r="N884" i="1"/>
  <c r="U884" i="1"/>
  <c r="V884" i="1"/>
  <c r="M884" i="1"/>
  <c r="AH876" i="1"/>
  <c r="O876" i="1"/>
  <c r="P876" i="1"/>
  <c r="Q876" i="1"/>
  <c r="R876" i="1"/>
  <c r="K876" i="1"/>
  <c r="S876" i="1"/>
  <c r="L876" i="1"/>
  <c r="T876" i="1"/>
  <c r="N876" i="1"/>
  <c r="U876" i="1"/>
  <c r="V876" i="1"/>
  <c r="M876" i="1"/>
  <c r="AH868" i="1"/>
  <c r="Q868" i="1"/>
  <c r="N868" i="1"/>
  <c r="V868" i="1"/>
  <c r="R868" i="1"/>
  <c r="S868" i="1"/>
  <c r="T868" i="1"/>
  <c r="K868" i="1"/>
  <c r="U868" i="1"/>
  <c r="L868" i="1"/>
  <c r="M868" i="1"/>
  <c r="O868" i="1"/>
  <c r="P868" i="1"/>
  <c r="AH860" i="1"/>
  <c r="Q860" i="1"/>
  <c r="N860" i="1"/>
  <c r="V860" i="1"/>
  <c r="R860" i="1"/>
  <c r="S860" i="1"/>
  <c r="T860" i="1"/>
  <c r="K860" i="1"/>
  <c r="U860" i="1"/>
  <c r="L860" i="1"/>
  <c r="M860" i="1"/>
  <c r="P860" i="1"/>
  <c r="O860" i="1"/>
  <c r="AH852" i="1"/>
  <c r="Q852" i="1"/>
  <c r="N852" i="1"/>
  <c r="V852" i="1"/>
  <c r="R852" i="1"/>
  <c r="S852" i="1"/>
  <c r="T852" i="1"/>
  <c r="K852" i="1"/>
  <c r="U852" i="1"/>
  <c r="L852" i="1"/>
  <c r="M852" i="1"/>
  <c r="P852" i="1"/>
  <c r="O852" i="1"/>
  <c r="AH844" i="1"/>
  <c r="Q844" i="1"/>
  <c r="R844" i="1"/>
  <c r="N844" i="1"/>
  <c r="V844" i="1"/>
  <c r="M844" i="1"/>
  <c r="O844" i="1"/>
  <c r="P844" i="1"/>
  <c r="S844" i="1"/>
  <c r="T844" i="1"/>
  <c r="U844" i="1"/>
  <c r="K844" i="1"/>
  <c r="L844" i="1"/>
  <c r="AH836" i="1"/>
  <c r="Q836" i="1"/>
  <c r="R836" i="1"/>
  <c r="M836" i="1"/>
  <c r="U836" i="1"/>
  <c r="N836" i="1"/>
  <c r="V836" i="1"/>
  <c r="K836" i="1"/>
  <c r="L836" i="1"/>
  <c r="O836" i="1"/>
  <c r="P836" i="1"/>
  <c r="S836" i="1"/>
  <c r="T836" i="1"/>
  <c r="AH828" i="1"/>
  <c r="Q828" i="1"/>
  <c r="R828" i="1"/>
  <c r="M828" i="1"/>
  <c r="U828" i="1"/>
  <c r="N828" i="1"/>
  <c r="V828" i="1"/>
  <c r="K828" i="1"/>
  <c r="L828" i="1"/>
  <c r="O828" i="1"/>
  <c r="P828" i="1"/>
  <c r="S828" i="1"/>
  <c r="T828" i="1"/>
  <c r="AH820" i="1"/>
  <c r="Q820" i="1"/>
  <c r="R820" i="1"/>
  <c r="M820" i="1"/>
  <c r="U820" i="1"/>
  <c r="N820" i="1"/>
  <c r="V820" i="1"/>
  <c r="K820" i="1"/>
  <c r="L820" i="1"/>
  <c r="O820" i="1"/>
  <c r="P820" i="1"/>
  <c r="S820" i="1"/>
  <c r="T820" i="1"/>
  <c r="AH812" i="1"/>
  <c r="Q812" i="1"/>
  <c r="R812" i="1"/>
  <c r="K812" i="1"/>
  <c r="S812" i="1"/>
  <c r="M812" i="1"/>
  <c r="U812" i="1"/>
  <c r="N812" i="1"/>
  <c r="V812" i="1"/>
  <c r="T812" i="1"/>
  <c r="L812" i="1"/>
  <c r="O812" i="1"/>
  <c r="P812" i="1"/>
  <c r="AH804" i="1"/>
  <c r="Q804" i="1"/>
  <c r="R804" i="1"/>
  <c r="K804" i="1"/>
  <c r="S804" i="1"/>
  <c r="M804" i="1"/>
  <c r="U804" i="1"/>
  <c r="N804" i="1"/>
  <c r="V804" i="1"/>
  <c r="L804" i="1"/>
  <c r="O804" i="1"/>
  <c r="P804" i="1"/>
  <c r="T804" i="1"/>
  <c r="AH796" i="1"/>
  <c r="Q796" i="1"/>
  <c r="R796" i="1"/>
  <c r="K796" i="1"/>
  <c r="S796" i="1"/>
  <c r="M796" i="1"/>
  <c r="U796" i="1"/>
  <c r="N796" i="1"/>
  <c r="V796" i="1"/>
  <c r="T796" i="1"/>
  <c r="L796" i="1"/>
  <c r="O796" i="1"/>
  <c r="P796" i="1"/>
  <c r="AH788" i="1"/>
  <c r="Q788" i="1"/>
  <c r="R788" i="1"/>
  <c r="K788" i="1"/>
  <c r="S788" i="1"/>
  <c r="M788" i="1"/>
  <c r="U788" i="1"/>
  <c r="N788" i="1"/>
  <c r="V788" i="1"/>
  <c r="L788" i="1"/>
  <c r="O788" i="1"/>
  <c r="P788" i="1"/>
  <c r="T788" i="1"/>
  <c r="AH780" i="1"/>
  <c r="Q780" i="1"/>
  <c r="R780" i="1"/>
  <c r="K780" i="1"/>
  <c r="S780" i="1"/>
  <c r="M780" i="1"/>
  <c r="U780" i="1"/>
  <c r="N780" i="1"/>
  <c r="V780" i="1"/>
  <c r="T780" i="1"/>
  <c r="L780" i="1"/>
  <c r="P780" i="1"/>
  <c r="O780" i="1"/>
  <c r="AH772" i="1"/>
  <c r="O772" i="1"/>
  <c r="P772" i="1"/>
  <c r="R772" i="1"/>
  <c r="S772" i="1"/>
  <c r="T772" i="1"/>
  <c r="K772" i="1"/>
  <c r="U772" i="1"/>
  <c r="L772" i="1"/>
  <c r="V772" i="1"/>
  <c r="M772" i="1"/>
  <c r="Q772" i="1"/>
  <c r="N772" i="1"/>
  <c r="AH764" i="1"/>
  <c r="O764" i="1"/>
  <c r="P764" i="1"/>
  <c r="R764" i="1"/>
  <c r="S764" i="1"/>
  <c r="T764" i="1"/>
  <c r="K764" i="1"/>
  <c r="U764" i="1"/>
  <c r="L764" i="1"/>
  <c r="V764" i="1"/>
  <c r="M764" i="1"/>
  <c r="N764" i="1"/>
  <c r="Q764" i="1"/>
  <c r="AH756" i="1"/>
  <c r="O756" i="1"/>
  <c r="P756" i="1"/>
  <c r="R756" i="1"/>
  <c r="S756" i="1"/>
  <c r="T756" i="1"/>
  <c r="K756" i="1"/>
  <c r="U756" i="1"/>
  <c r="L756" i="1"/>
  <c r="V756" i="1"/>
  <c r="M756" i="1"/>
  <c r="N756" i="1"/>
  <c r="Q756" i="1"/>
  <c r="AH748" i="1"/>
  <c r="O748" i="1"/>
  <c r="P748" i="1"/>
  <c r="R748" i="1"/>
  <c r="S748" i="1"/>
  <c r="T748" i="1"/>
  <c r="K748" i="1"/>
  <c r="U748" i="1"/>
  <c r="L748" i="1"/>
  <c r="V748" i="1"/>
  <c r="M748" i="1"/>
  <c r="N748" i="1"/>
  <c r="Q748" i="1"/>
  <c r="AH740" i="1"/>
  <c r="O740" i="1"/>
  <c r="P740" i="1"/>
  <c r="R740" i="1"/>
  <c r="S740" i="1"/>
  <c r="T740" i="1"/>
  <c r="K740" i="1"/>
  <c r="U740" i="1"/>
  <c r="L740" i="1"/>
  <c r="V740" i="1"/>
  <c r="M740" i="1"/>
  <c r="Q740" i="1"/>
  <c r="N740" i="1"/>
  <c r="AH732" i="1"/>
  <c r="O732" i="1"/>
  <c r="P732" i="1"/>
  <c r="R732" i="1"/>
  <c r="S732" i="1"/>
  <c r="T732" i="1"/>
  <c r="K732" i="1"/>
  <c r="U732" i="1"/>
  <c r="L732" i="1"/>
  <c r="V732" i="1"/>
  <c r="M732" i="1"/>
  <c r="N732" i="1"/>
  <c r="Q732" i="1"/>
  <c r="AH724" i="1"/>
  <c r="O724" i="1"/>
  <c r="P724" i="1"/>
  <c r="R724" i="1"/>
  <c r="S724" i="1"/>
  <c r="T724" i="1"/>
  <c r="K724" i="1"/>
  <c r="U724" i="1"/>
  <c r="L724" i="1"/>
  <c r="V724" i="1"/>
  <c r="M724" i="1"/>
  <c r="N724" i="1"/>
  <c r="Q724" i="1"/>
  <c r="AH716" i="1"/>
  <c r="O716" i="1"/>
  <c r="P716" i="1"/>
  <c r="R716" i="1"/>
  <c r="S716" i="1"/>
  <c r="T716" i="1"/>
  <c r="K716" i="1"/>
  <c r="U716" i="1"/>
  <c r="L716" i="1"/>
  <c r="V716" i="1"/>
  <c r="M716" i="1"/>
  <c r="N716" i="1"/>
  <c r="Q716" i="1"/>
  <c r="AH708" i="1"/>
  <c r="O708" i="1"/>
  <c r="P708" i="1"/>
  <c r="R708" i="1"/>
  <c r="S708" i="1"/>
  <c r="T708" i="1"/>
  <c r="K708" i="1"/>
  <c r="U708" i="1"/>
  <c r="L708" i="1"/>
  <c r="V708" i="1"/>
  <c r="M708" i="1"/>
  <c r="Q708" i="1"/>
  <c r="N708" i="1"/>
  <c r="AH700" i="1"/>
  <c r="O700" i="1"/>
  <c r="P700" i="1"/>
  <c r="R700" i="1"/>
  <c r="S700" i="1"/>
  <c r="T700" i="1"/>
  <c r="K700" i="1"/>
  <c r="U700" i="1"/>
  <c r="L700" i="1"/>
  <c r="V700" i="1"/>
  <c r="M700" i="1"/>
  <c r="N700" i="1"/>
  <c r="Q700" i="1"/>
  <c r="AH692" i="1"/>
  <c r="O692" i="1"/>
  <c r="P692" i="1"/>
  <c r="R692" i="1"/>
  <c r="S692" i="1"/>
  <c r="T692" i="1"/>
  <c r="K692" i="1"/>
  <c r="U692" i="1"/>
  <c r="L692" i="1"/>
  <c r="V692" i="1"/>
  <c r="M692" i="1"/>
  <c r="N692" i="1"/>
  <c r="Q692" i="1"/>
  <c r="AH684" i="1"/>
  <c r="O684" i="1"/>
  <c r="P684" i="1"/>
  <c r="R684" i="1"/>
  <c r="S684" i="1"/>
  <c r="T684" i="1"/>
  <c r="K684" i="1"/>
  <c r="U684" i="1"/>
  <c r="L684" i="1"/>
  <c r="V684" i="1"/>
  <c r="M684" i="1"/>
  <c r="N684" i="1"/>
  <c r="Q684" i="1"/>
  <c r="AH676" i="1"/>
  <c r="O676" i="1"/>
  <c r="P676" i="1"/>
  <c r="R676" i="1"/>
  <c r="S676" i="1"/>
  <c r="T676" i="1"/>
  <c r="K676" i="1"/>
  <c r="U676" i="1"/>
  <c r="L676" i="1"/>
  <c r="V676" i="1"/>
  <c r="M676" i="1"/>
  <c r="Q676" i="1"/>
  <c r="N676" i="1"/>
  <c r="AH668" i="1"/>
  <c r="O668" i="1"/>
  <c r="P668" i="1"/>
  <c r="K668" i="1"/>
  <c r="S668" i="1"/>
  <c r="R668" i="1"/>
  <c r="T668" i="1"/>
  <c r="U668" i="1"/>
  <c r="V668" i="1"/>
  <c r="L668" i="1"/>
  <c r="M668" i="1"/>
  <c r="Q668" i="1"/>
  <c r="N668" i="1"/>
  <c r="AH660" i="1"/>
  <c r="O660" i="1"/>
  <c r="P660" i="1"/>
  <c r="K660" i="1"/>
  <c r="S660" i="1"/>
  <c r="L660" i="1"/>
  <c r="M660" i="1"/>
  <c r="N660" i="1"/>
  <c r="Q660" i="1"/>
  <c r="R660" i="1"/>
  <c r="T660" i="1"/>
  <c r="U660" i="1"/>
  <c r="V660" i="1"/>
  <c r="AH652" i="1"/>
  <c r="O652" i="1"/>
  <c r="P652" i="1"/>
  <c r="K652" i="1"/>
  <c r="S652" i="1"/>
  <c r="R652" i="1"/>
  <c r="T652" i="1"/>
  <c r="U652" i="1"/>
  <c r="V652" i="1"/>
  <c r="L652" i="1"/>
  <c r="M652" i="1"/>
  <c r="N652" i="1"/>
  <c r="Q652" i="1"/>
  <c r="AH644" i="1"/>
  <c r="O644" i="1"/>
  <c r="P644" i="1"/>
  <c r="K644" i="1"/>
  <c r="S644" i="1"/>
  <c r="L644" i="1"/>
  <c r="M644" i="1"/>
  <c r="N644" i="1"/>
  <c r="Q644" i="1"/>
  <c r="R644" i="1"/>
  <c r="T644" i="1"/>
  <c r="U644" i="1"/>
  <c r="V644" i="1"/>
  <c r="AH636" i="1"/>
  <c r="O636" i="1"/>
  <c r="P636" i="1"/>
  <c r="K636" i="1"/>
  <c r="S636" i="1"/>
  <c r="R636" i="1"/>
  <c r="T636" i="1"/>
  <c r="U636" i="1"/>
  <c r="V636" i="1"/>
  <c r="L636" i="1"/>
  <c r="M636" i="1"/>
  <c r="N636" i="1"/>
  <c r="Q636" i="1"/>
  <c r="AH628" i="1"/>
  <c r="O628" i="1"/>
  <c r="P628" i="1"/>
  <c r="K628" i="1"/>
  <c r="S628" i="1"/>
  <c r="L628" i="1"/>
  <c r="M628" i="1"/>
  <c r="N628" i="1"/>
  <c r="Q628" i="1"/>
  <c r="R628" i="1"/>
  <c r="T628" i="1"/>
  <c r="U628" i="1"/>
  <c r="V628" i="1"/>
  <c r="AH620" i="1"/>
  <c r="O620" i="1"/>
  <c r="P620" i="1"/>
  <c r="K620" i="1"/>
  <c r="S620" i="1"/>
  <c r="L620" i="1"/>
  <c r="T620" i="1"/>
  <c r="Q620" i="1"/>
  <c r="R620" i="1"/>
  <c r="U620" i="1"/>
  <c r="V620" i="1"/>
  <c r="M620" i="1"/>
  <c r="N620" i="1"/>
  <c r="AH612" i="1"/>
  <c r="O612" i="1"/>
  <c r="Q612" i="1"/>
  <c r="R612" i="1"/>
  <c r="L612" i="1"/>
  <c r="U612" i="1"/>
  <c r="M612" i="1"/>
  <c r="V612" i="1"/>
  <c r="K612" i="1"/>
  <c r="N612" i="1"/>
  <c r="P612" i="1"/>
  <c r="S612" i="1"/>
  <c r="T612" i="1"/>
  <c r="AH604" i="1"/>
  <c r="O604" i="1"/>
  <c r="L604" i="1"/>
  <c r="T604" i="1"/>
  <c r="Q604" i="1"/>
  <c r="R604" i="1"/>
  <c r="K604" i="1"/>
  <c r="V604" i="1"/>
  <c r="M604" i="1"/>
  <c r="N604" i="1"/>
  <c r="P604" i="1"/>
  <c r="S604" i="1"/>
  <c r="U604" i="1"/>
  <c r="AH596" i="1"/>
  <c r="O596" i="1"/>
  <c r="L596" i="1"/>
  <c r="T596" i="1"/>
  <c r="Q596" i="1"/>
  <c r="R596" i="1"/>
  <c r="S596" i="1"/>
  <c r="K596" i="1"/>
  <c r="V596" i="1"/>
  <c r="M596" i="1"/>
  <c r="P596" i="1"/>
  <c r="U596" i="1"/>
  <c r="N596" i="1"/>
  <c r="AH588" i="1"/>
  <c r="O588" i="1"/>
  <c r="L588" i="1"/>
  <c r="T588" i="1"/>
  <c r="Q588" i="1"/>
  <c r="R588" i="1"/>
  <c r="S588" i="1"/>
  <c r="K588" i="1"/>
  <c r="V588" i="1"/>
  <c r="M588" i="1"/>
  <c r="N588" i="1"/>
  <c r="P588" i="1"/>
  <c r="U588" i="1"/>
  <c r="AH580" i="1"/>
  <c r="O580" i="1"/>
  <c r="Q580" i="1"/>
  <c r="L580" i="1"/>
  <c r="T580" i="1"/>
  <c r="P580" i="1"/>
  <c r="R580" i="1"/>
  <c r="S580" i="1"/>
  <c r="V580" i="1"/>
  <c r="K580" i="1"/>
  <c r="M580" i="1"/>
  <c r="N580" i="1"/>
  <c r="U580" i="1"/>
  <c r="AH572" i="1"/>
  <c r="O572" i="1"/>
  <c r="Q572" i="1"/>
  <c r="L572" i="1"/>
  <c r="T572" i="1"/>
  <c r="V572" i="1"/>
  <c r="K572" i="1"/>
  <c r="M572" i="1"/>
  <c r="N572" i="1"/>
  <c r="P572" i="1"/>
  <c r="R572" i="1"/>
  <c r="S572" i="1"/>
  <c r="U572" i="1"/>
  <c r="AH564" i="1"/>
  <c r="O564" i="1"/>
  <c r="Q564" i="1"/>
  <c r="L564" i="1"/>
  <c r="T564" i="1"/>
  <c r="P564" i="1"/>
  <c r="R564" i="1"/>
  <c r="S564" i="1"/>
  <c r="U564" i="1"/>
  <c r="V564" i="1"/>
  <c r="K564" i="1"/>
  <c r="M564" i="1"/>
  <c r="N564" i="1"/>
  <c r="AH556" i="1"/>
  <c r="O556" i="1"/>
  <c r="P556" i="1"/>
  <c r="Q556" i="1"/>
  <c r="L556" i="1"/>
  <c r="T556" i="1"/>
  <c r="K556" i="1"/>
  <c r="M556" i="1"/>
  <c r="N556" i="1"/>
  <c r="R556" i="1"/>
  <c r="S556" i="1"/>
  <c r="U556" i="1"/>
  <c r="V556" i="1"/>
  <c r="AH548" i="1"/>
  <c r="Q548" i="1"/>
  <c r="S548" i="1"/>
  <c r="K548" i="1"/>
  <c r="T548" i="1"/>
  <c r="M548" i="1"/>
  <c r="V548" i="1"/>
  <c r="N548" i="1"/>
  <c r="R548" i="1"/>
  <c r="U548" i="1"/>
  <c r="O548" i="1"/>
  <c r="L548" i="1"/>
  <c r="P548" i="1"/>
  <c r="AH540" i="1"/>
  <c r="Q540" i="1"/>
  <c r="N540" i="1"/>
  <c r="O540" i="1"/>
  <c r="R540" i="1"/>
  <c r="S540" i="1"/>
  <c r="V540" i="1"/>
  <c r="K540" i="1"/>
  <c r="L540" i="1"/>
  <c r="T540" i="1"/>
  <c r="U540" i="1"/>
  <c r="M540" i="1"/>
  <c r="P540" i="1"/>
  <c r="AH532" i="1"/>
  <c r="Q532" i="1"/>
  <c r="S532" i="1"/>
  <c r="K532" i="1"/>
  <c r="T532" i="1"/>
  <c r="M532" i="1"/>
  <c r="V532" i="1"/>
  <c r="N532" i="1"/>
  <c r="L532" i="1"/>
  <c r="O532" i="1"/>
  <c r="P532" i="1"/>
  <c r="U532" i="1"/>
  <c r="R532" i="1"/>
  <c r="AH524" i="1"/>
  <c r="Q524" i="1"/>
  <c r="N524" i="1"/>
  <c r="O524" i="1"/>
  <c r="R524" i="1"/>
  <c r="S524" i="1"/>
  <c r="M524" i="1"/>
  <c r="P524" i="1"/>
  <c r="T524" i="1"/>
  <c r="U524" i="1"/>
  <c r="K524" i="1"/>
  <c r="V524" i="1"/>
  <c r="L524" i="1"/>
  <c r="AH516" i="1"/>
  <c r="Q516" i="1"/>
  <c r="S516" i="1"/>
  <c r="K516" i="1"/>
  <c r="T516" i="1"/>
  <c r="M516" i="1"/>
  <c r="V516" i="1"/>
  <c r="N516" i="1"/>
  <c r="R516" i="1"/>
  <c r="U516" i="1"/>
  <c r="O516" i="1"/>
  <c r="P516" i="1"/>
  <c r="L516" i="1"/>
  <c r="AH508" i="1"/>
  <c r="Q508" i="1"/>
  <c r="N508" i="1"/>
  <c r="O508" i="1"/>
  <c r="R508" i="1"/>
  <c r="S508" i="1"/>
  <c r="V508" i="1"/>
  <c r="K508" i="1"/>
  <c r="L508" i="1"/>
  <c r="T508" i="1"/>
  <c r="P508" i="1"/>
  <c r="U508" i="1"/>
  <c r="M508" i="1"/>
  <c r="AH500" i="1"/>
  <c r="Q500" i="1"/>
  <c r="K500" i="1"/>
  <c r="S500" i="1"/>
  <c r="R500" i="1"/>
  <c r="T500" i="1"/>
  <c r="L500" i="1"/>
  <c r="V500" i="1"/>
  <c r="M500" i="1"/>
  <c r="N500" i="1"/>
  <c r="O500" i="1"/>
  <c r="P500" i="1"/>
  <c r="U500" i="1"/>
  <c r="AH492" i="1"/>
  <c r="O492" i="1"/>
  <c r="Q492" i="1"/>
  <c r="K492" i="1"/>
  <c r="S492" i="1"/>
  <c r="N492" i="1"/>
  <c r="P492" i="1"/>
  <c r="T492" i="1"/>
  <c r="U492" i="1"/>
  <c r="L492" i="1"/>
  <c r="V492" i="1"/>
  <c r="M492" i="1"/>
  <c r="R492" i="1"/>
  <c r="AH484" i="1"/>
  <c r="O484" i="1"/>
  <c r="Q484" i="1"/>
  <c r="K484" i="1"/>
  <c r="S484" i="1"/>
  <c r="U484" i="1"/>
  <c r="V484" i="1"/>
  <c r="M484" i="1"/>
  <c r="N484" i="1"/>
  <c r="T484" i="1"/>
  <c r="P484" i="1"/>
  <c r="L484" i="1"/>
  <c r="R484" i="1"/>
  <c r="AH476" i="1"/>
  <c r="O476" i="1"/>
  <c r="Q476" i="1"/>
  <c r="K476" i="1"/>
  <c r="S476" i="1"/>
  <c r="N476" i="1"/>
  <c r="P476" i="1"/>
  <c r="T476" i="1"/>
  <c r="U476" i="1"/>
  <c r="M476" i="1"/>
  <c r="R476" i="1"/>
  <c r="V476" i="1"/>
  <c r="L476" i="1"/>
  <c r="AH468" i="1"/>
  <c r="O468" i="1"/>
  <c r="Q468" i="1"/>
  <c r="K468" i="1"/>
  <c r="S468" i="1"/>
  <c r="U468" i="1"/>
  <c r="V468" i="1"/>
  <c r="M468" i="1"/>
  <c r="N468" i="1"/>
  <c r="L468" i="1"/>
  <c r="P468" i="1"/>
  <c r="R468" i="1"/>
  <c r="T468" i="1"/>
  <c r="AH460" i="1"/>
  <c r="O460" i="1"/>
  <c r="Q460" i="1"/>
  <c r="K460" i="1"/>
  <c r="S460" i="1"/>
  <c r="N460" i="1"/>
  <c r="P460" i="1"/>
  <c r="T460" i="1"/>
  <c r="U460" i="1"/>
  <c r="L460" i="1"/>
  <c r="M460" i="1"/>
  <c r="V460" i="1"/>
  <c r="R460" i="1"/>
  <c r="AH452" i="1"/>
  <c r="O452" i="1"/>
  <c r="Q452" i="1"/>
  <c r="K452" i="1"/>
  <c r="S452" i="1"/>
  <c r="U452" i="1"/>
  <c r="V452" i="1"/>
  <c r="M452" i="1"/>
  <c r="N452" i="1"/>
  <c r="T452" i="1"/>
  <c r="P452" i="1"/>
  <c r="L452" i="1"/>
  <c r="R452" i="1"/>
  <c r="AH444" i="1"/>
  <c r="P444" i="1"/>
  <c r="Q444" i="1"/>
  <c r="R444" i="1"/>
  <c r="O444" i="1"/>
  <c r="T444" i="1"/>
  <c r="K444" i="1"/>
  <c r="V444" i="1"/>
  <c r="L444" i="1"/>
  <c r="M444" i="1"/>
  <c r="S444" i="1"/>
  <c r="U444" i="1"/>
  <c r="N444" i="1"/>
  <c r="AH436" i="1"/>
  <c r="P436" i="1"/>
  <c r="Q436" i="1"/>
  <c r="R436" i="1"/>
  <c r="K436" i="1"/>
  <c r="V436" i="1"/>
  <c r="M436" i="1"/>
  <c r="O436" i="1"/>
  <c r="L436" i="1"/>
  <c r="N436" i="1"/>
  <c r="S436" i="1"/>
  <c r="T436" i="1"/>
  <c r="U436" i="1"/>
  <c r="AH428" i="1"/>
  <c r="P428" i="1"/>
  <c r="Q428" i="1"/>
  <c r="R428" i="1"/>
  <c r="O428" i="1"/>
  <c r="T428" i="1"/>
  <c r="K428" i="1"/>
  <c r="V428" i="1"/>
  <c r="S428" i="1"/>
  <c r="U428" i="1"/>
  <c r="N428" i="1"/>
  <c r="L428" i="1"/>
  <c r="M428" i="1"/>
  <c r="AH420" i="1"/>
  <c r="P420" i="1"/>
  <c r="Q420" i="1"/>
  <c r="R420" i="1"/>
  <c r="K420" i="1"/>
  <c r="V420" i="1"/>
  <c r="M420" i="1"/>
  <c r="O420" i="1"/>
  <c r="L420" i="1"/>
  <c r="N420" i="1"/>
  <c r="T420" i="1"/>
  <c r="U420" i="1"/>
  <c r="S420" i="1"/>
  <c r="AH412" i="1"/>
  <c r="P412" i="1"/>
  <c r="Q412" i="1"/>
  <c r="R412" i="1"/>
  <c r="O412" i="1"/>
  <c r="T412" i="1"/>
  <c r="K412" i="1"/>
  <c r="V412" i="1"/>
  <c r="M412" i="1"/>
  <c r="N412" i="1"/>
  <c r="L412" i="1"/>
  <c r="S412" i="1"/>
  <c r="U412" i="1"/>
  <c r="AH404" i="1"/>
  <c r="P404" i="1"/>
  <c r="Q404" i="1"/>
  <c r="R404" i="1"/>
  <c r="K404" i="1"/>
  <c r="V404" i="1"/>
  <c r="M404" i="1"/>
  <c r="O404" i="1"/>
  <c r="T404" i="1"/>
  <c r="U404" i="1"/>
  <c r="S404" i="1"/>
  <c r="L404" i="1"/>
  <c r="N404" i="1"/>
  <c r="AH396" i="1"/>
  <c r="P396" i="1"/>
  <c r="Q396" i="1"/>
  <c r="R396" i="1"/>
  <c r="O396" i="1"/>
  <c r="T396" i="1"/>
  <c r="K396" i="1"/>
  <c r="V396" i="1"/>
  <c r="M396" i="1"/>
  <c r="N396" i="1"/>
  <c r="U396" i="1"/>
  <c r="L396" i="1"/>
  <c r="S396" i="1"/>
  <c r="AH388" i="1"/>
  <c r="P388" i="1"/>
  <c r="Q388" i="1"/>
  <c r="R388" i="1"/>
  <c r="K388" i="1"/>
  <c r="V388" i="1"/>
  <c r="M388" i="1"/>
  <c r="O388" i="1"/>
  <c r="N388" i="1"/>
  <c r="S388" i="1"/>
  <c r="L388" i="1"/>
  <c r="T388" i="1"/>
  <c r="U388" i="1"/>
  <c r="AH380" i="1"/>
  <c r="M380" i="1"/>
  <c r="U380" i="1"/>
  <c r="O380" i="1"/>
  <c r="K380" i="1"/>
  <c r="V380" i="1"/>
  <c r="L380" i="1"/>
  <c r="N380" i="1"/>
  <c r="Q380" i="1"/>
  <c r="S380" i="1"/>
  <c r="R380" i="1"/>
  <c r="T380" i="1"/>
  <c r="P380" i="1"/>
  <c r="AH372" i="1"/>
  <c r="M372" i="1"/>
  <c r="U372" i="1"/>
  <c r="N372" i="1"/>
  <c r="V372" i="1"/>
  <c r="O372" i="1"/>
  <c r="R372" i="1"/>
  <c r="S372" i="1"/>
  <c r="T372" i="1"/>
  <c r="L372" i="1"/>
  <c r="P372" i="1"/>
  <c r="K372" i="1"/>
  <c r="Q372" i="1"/>
  <c r="AH364" i="1"/>
  <c r="M364" i="1"/>
  <c r="U364" i="1"/>
  <c r="N364" i="1"/>
  <c r="V364" i="1"/>
  <c r="O364" i="1"/>
  <c r="K364" i="1"/>
  <c r="L364" i="1"/>
  <c r="P364" i="1"/>
  <c r="Q364" i="1"/>
  <c r="S364" i="1"/>
  <c r="R364" i="1"/>
  <c r="T364" i="1"/>
  <c r="AH356" i="1"/>
  <c r="M356" i="1"/>
  <c r="U356" i="1"/>
  <c r="N356" i="1"/>
  <c r="V356" i="1"/>
  <c r="O356" i="1"/>
  <c r="P356" i="1"/>
  <c r="K356" i="1"/>
  <c r="S356" i="1"/>
  <c r="Q356" i="1"/>
  <c r="R356" i="1"/>
  <c r="T356" i="1"/>
  <c r="L356" i="1"/>
  <c r="AH348" i="1"/>
  <c r="M348" i="1"/>
  <c r="U348" i="1"/>
  <c r="N348" i="1"/>
  <c r="V348" i="1"/>
  <c r="O348" i="1"/>
  <c r="P348" i="1"/>
  <c r="K348" i="1"/>
  <c r="S348" i="1"/>
  <c r="L348" i="1"/>
  <c r="R348" i="1"/>
  <c r="T348" i="1"/>
  <c r="Q348" i="1"/>
  <c r="AH340" i="1"/>
  <c r="M340" i="1"/>
  <c r="U340" i="1"/>
  <c r="N340" i="1"/>
  <c r="V340" i="1"/>
  <c r="O340" i="1"/>
  <c r="P340" i="1"/>
  <c r="K340" i="1"/>
  <c r="S340" i="1"/>
  <c r="Q340" i="1"/>
  <c r="R340" i="1"/>
  <c r="T340" i="1"/>
  <c r="L340" i="1"/>
  <c r="AH332" i="1"/>
  <c r="M332" i="1"/>
  <c r="U332" i="1"/>
  <c r="N332" i="1"/>
  <c r="V332" i="1"/>
  <c r="O332" i="1"/>
  <c r="P332" i="1"/>
  <c r="K332" i="1"/>
  <c r="S332" i="1"/>
  <c r="L332" i="1"/>
  <c r="R332" i="1"/>
  <c r="Q332" i="1"/>
  <c r="T332" i="1"/>
  <c r="AH324" i="1"/>
  <c r="M324" i="1"/>
  <c r="U324" i="1"/>
  <c r="N324" i="1"/>
  <c r="V324" i="1"/>
  <c r="O324" i="1"/>
  <c r="P324" i="1"/>
  <c r="K324" i="1"/>
  <c r="S324" i="1"/>
  <c r="Q324" i="1"/>
  <c r="R324" i="1"/>
  <c r="T324" i="1"/>
  <c r="L324" i="1"/>
  <c r="AH316" i="1"/>
  <c r="Q316" i="1"/>
  <c r="R316" i="1"/>
  <c r="S316" i="1"/>
  <c r="K316" i="1"/>
  <c r="T316" i="1"/>
  <c r="L316" i="1"/>
  <c r="U316" i="1"/>
  <c r="O316" i="1"/>
  <c r="N316" i="1"/>
  <c r="P316" i="1"/>
  <c r="M316" i="1"/>
  <c r="V316" i="1"/>
  <c r="AH308" i="1"/>
  <c r="Q308" i="1"/>
  <c r="M308" i="1"/>
  <c r="V308" i="1"/>
  <c r="N308" i="1"/>
  <c r="O308" i="1"/>
  <c r="P308" i="1"/>
  <c r="K308" i="1"/>
  <c r="T308" i="1"/>
  <c r="U308" i="1"/>
  <c r="L308" i="1"/>
  <c r="S308" i="1"/>
  <c r="R308" i="1"/>
  <c r="AH300" i="1"/>
  <c r="Q300" i="1"/>
  <c r="R300" i="1"/>
  <c r="S300" i="1"/>
  <c r="L300" i="1"/>
  <c r="O300" i="1"/>
  <c r="P300" i="1"/>
  <c r="T300" i="1"/>
  <c r="U300" i="1"/>
  <c r="M300" i="1"/>
  <c r="K300" i="1"/>
  <c r="N300" i="1"/>
  <c r="V300" i="1"/>
  <c r="AH292" i="1"/>
  <c r="Q292" i="1"/>
  <c r="M292" i="1"/>
  <c r="V292" i="1"/>
  <c r="N292" i="1"/>
  <c r="P292" i="1"/>
  <c r="K292" i="1"/>
  <c r="L292" i="1"/>
  <c r="O292" i="1"/>
  <c r="T292" i="1"/>
  <c r="U292" i="1"/>
  <c r="R292" i="1"/>
  <c r="S292" i="1"/>
  <c r="AH284" i="1"/>
  <c r="Q284" i="1"/>
  <c r="R284" i="1"/>
  <c r="S284" i="1"/>
  <c r="L284" i="1"/>
  <c r="U284" i="1"/>
  <c r="M284" i="1"/>
  <c r="V284" i="1"/>
  <c r="K284" i="1"/>
  <c r="N284" i="1"/>
  <c r="O284" i="1"/>
  <c r="T284" i="1"/>
  <c r="P284" i="1"/>
  <c r="AH276" i="1"/>
  <c r="Q276" i="1"/>
  <c r="M276" i="1"/>
  <c r="V276" i="1"/>
  <c r="N276" i="1"/>
  <c r="P276" i="1"/>
  <c r="R276" i="1"/>
  <c r="L276" i="1"/>
  <c r="O276" i="1"/>
  <c r="S276" i="1"/>
  <c r="T276" i="1"/>
  <c r="U276" i="1"/>
  <c r="K276" i="1"/>
  <c r="AH268" i="1"/>
  <c r="Q268" i="1"/>
  <c r="R268" i="1"/>
  <c r="S268" i="1"/>
  <c r="L268" i="1"/>
  <c r="U268" i="1"/>
  <c r="M268" i="1"/>
  <c r="V268" i="1"/>
  <c r="P268" i="1"/>
  <c r="T268" i="1"/>
  <c r="N268" i="1"/>
  <c r="O268" i="1"/>
  <c r="K268" i="1"/>
  <c r="AH260" i="1"/>
  <c r="Q260" i="1"/>
  <c r="M260" i="1"/>
  <c r="U260" i="1"/>
  <c r="R260" i="1"/>
  <c r="S260" i="1"/>
  <c r="K260" i="1"/>
  <c r="V260" i="1"/>
  <c r="L260" i="1"/>
  <c r="P260" i="1"/>
  <c r="T260" i="1"/>
  <c r="N260" i="1"/>
  <c r="O260" i="1"/>
  <c r="AH252" i="1"/>
  <c r="Q252" i="1"/>
  <c r="M252" i="1"/>
  <c r="U252" i="1"/>
  <c r="R252" i="1"/>
  <c r="S252" i="1"/>
  <c r="K252" i="1"/>
  <c r="V252" i="1"/>
  <c r="L252" i="1"/>
  <c r="N252" i="1"/>
  <c r="O252" i="1"/>
  <c r="P252" i="1"/>
  <c r="T252" i="1"/>
  <c r="AH244" i="1"/>
  <c r="P244" i="1"/>
  <c r="R244" i="1"/>
  <c r="T244" i="1"/>
  <c r="N244" i="1"/>
  <c r="Q244" i="1"/>
  <c r="K244" i="1"/>
  <c r="L244" i="1"/>
  <c r="O244" i="1"/>
  <c r="S244" i="1"/>
  <c r="U244" i="1"/>
  <c r="M244" i="1"/>
  <c r="V244" i="1"/>
  <c r="AH236" i="1"/>
  <c r="P236" i="1"/>
  <c r="R236" i="1"/>
  <c r="L236" i="1"/>
  <c r="T236" i="1"/>
  <c r="Q236" i="1"/>
  <c r="K236" i="1"/>
  <c r="N236" i="1"/>
  <c r="S236" i="1"/>
  <c r="U236" i="1"/>
  <c r="O236" i="1"/>
  <c r="V236" i="1"/>
  <c r="M236" i="1"/>
  <c r="AH228" i="1"/>
  <c r="P228" i="1"/>
  <c r="R228" i="1"/>
  <c r="L228" i="1"/>
  <c r="T228" i="1"/>
  <c r="K228" i="1"/>
  <c r="Q228" i="1"/>
  <c r="U228" i="1"/>
  <c r="M228" i="1"/>
  <c r="N228" i="1"/>
  <c r="S228" i="1"/>
  <c r="V228" i="1"/>
  <c r="O228" i="1"/>
  <c r="AH220" i="1"/>
  <c r="P220" i="1"/>
  <c r="R220" i="1"/>
  <c r="L220" i="1"/>
  <c r="T220" i="1"/>
  <c r="Q220" i="1"/>
  <c r="K220" i="1"/>
  <c r="N220" i="1"/>
  <c r="M220" i="1"/>
  <c r="O220" i="1"/>
  <c r="S220" i="1"/>
  <c r="U220" i="1"/>
  <c r="V220" i="1"/>
  <c r="AH212" i="1"/>
  <c r="P212" i="1"/>
  <c r="R212" i="1"/>
  <c r="L212" i="1"/>
  <c r="T212" i="1"/>
  <c r="K212" i="1"/>
  <c r="O212" i="1"/>
  <c r="Q212" i="1"/>
  <c r="U212" i="1"/>
  <c r="M212" i="1"/>
  <c r="N212" i="1"/>
  <c r="S212" i="1"/>
  <c r="V212" i="1"/>
  <c r="AH204" i="1"/>
  <c r="R204" i="1"/>
  <c r="K204" i="1"/>
  <c r="S204" i="1"/>
  <c r="L204" i="1"/>
  <c r="T204" i="1"/>
  <c r="M204" i="1"/>
  <c r="U204" i="1"/>
  <c r="O204" i="1"/>
  <c r="Q204" i="1"/>
  <c r="P204" i="1"/>
  <c r="V204" i="1"/>
  <c r="N204" i="1"/>
  <c r="AH196" i="1"/>
  <c r="R196" i="1"/>
  <c r="K196" i="1"/>
  <c r="S196" i="1"/>
  <c r="L196" i="1"/>
  <c r="T196" i="1"/>
  <c r="M196" i="1"/>
  <c r="U196" i="1"/>
  <c r="O196" i="1"/>
  <c r="Q196" i="1"/>
  <c r="V196" i="1"/>
  <c r="N196" i="1"/>
  <c r="P196" i="1"/>
  <c r="AH188" i="1"/>
  <c r="R188" i="1"/>
  <c r="K188" i="1"/>
  <c r="S188" i="1"/>
  <c r="L188" i="1"/>
  <c r="T188" i="1"/>
  <c r="M188" i="1"/>
  <c r="U188" i="1"/>
  <c r="O188" i="1"/>
  <c r="Q188" i="1"/>
  <c r="N188" i="1"/>
  <c r="P188" i="1"/>
  <c r="V188" i="1"/>
  <c r="AH180" i="1"/>
  <c r="R180" i="1"/>
  <c r="K180" i="1"/>
  <c r="S180" i="1"/>
  <c r="L180" i="1"/>
  <c r="T180" i="1"/>
  <c r="M180" i="1"/>
  <c r="U180" i="1"/>
  <c r="P180" i="1"/>
  <c r="O180" i="1"/>
  <c r="N180" i="1"/>
  <c r="Q180" i="1"/>
  <c r="V180" i="1"/>
  <c r="AH172" i="1"/>
  <c r="R172" i="1"/>
  <c r="K172" i="1"/>
  <c r="S172" i="1"/>
  <c r="L172" i="1"/>
  <c r="T172" i="1"/>
  <c r="M172" i="1"/>
  <c r="U172" i="1"/>
  <c r="P172" i="1"/>
  <c r="O172" i="1"/>
  <c r="V172" i="1"/>
  <c r="Q172" i="1"/>
  <c r="N172" i="1"/>
  <c r="AH164" i="1"/>
  <c r="R164" i="1"/>
  <c r="K164" i="1"/>
  <c r="S164" i="1"/>
  <c r="L164" i="1"/>
  <c r="T164" i="1"/>
  <c r="M164" i="1"/>
  <c r="U164" i="1"/>
  <c r="P164" i="1"/>
  <c r="O164" i="1"/>
  <c r="V164" i="1"/>
  <c r="N164" i="1"/>
  <c r="Q164" i="1"/>
  <c r="AH156" i="1"/>
  <c r="R156" i="1"/>
  <c r="K156" i="1"/>
  <c r="S156" i="1"/>
  <c r="L156" i="1"/>
  <c r="T156" i="1"/>
  <c r="M156" i="1"/>
  <c r="U156" i="1"/>
  <c r="P156" i="1"/>
  <c r="Q156" i="1"/>
  <c r="O156" i="1"/>
  <c r="N156" i="1"/>
  <c r="V156" i="1"/>
  <c r="AH148" i="1"/>
  <c r="R148" i="1"/>
  <c r="K148" i="1"/>
  <c r="S148" i="1"/>
  <c r="L148" i="1"/>
  <c r="T148" i="1"/>
  <c r="M148" i="1"/>
  <c r="U148" i="1"/>
  <c r="P148" i="1"/>
  <c r="Q148" i="1"/>
  <c r="O148" i="1"/>
  <c r="V148" i="1"/>
  <c r="N148" i="1"/>
  <c r="AH140" i="1"/>
  <c r="R140" i="1"/>
  <c r="K140" i="1"/>
  <c r="S140" i="1"/>
  <c r="L140" i="1"/>
  <c r="T140" i="1"/>
  <c r="M140" i="1"/>
  <c r="U140" i="1"/>
  <c r="O140" i="1"/>
  <c r="P140" i="1"/>
  <c r="Q140" i="1"/>
  <c r="N140" i="1"/>
  <c r="V140" i="1"/>
  <c r="AH132" i="1"/>
  <c r="R132" i="1"/>
  <c r="K132" i="1"/>
  <c r="S132" i="1"/>
  <c r="L132" i="1"/>
  <c r="T132" i="1"/>
  <c r="M132" i="1"/>
  <c r="U132" i="1"/>
  <c r="O132" i="1"/>
  <c r="P132" i="1"/>
  <c r="Q132" i="1"/>
  <c r="N132" i="1"/>
  <c r="V132" i="1"/>
  <c r="AH124" i="1"/>
  <c r="K124" i="1"/>
  <c r="S124" i="1"/>
  <c r="L124" i="1"/>
  <c r="T124" i="1"/>
  <c r="Q124" i="1"/>
  <c r="R124" i="1"/>
  <c r="U124" i="1"/>
  <c r="V124" i="1"/>
  <c r="N124" i="1"/>
  <c r="O124" i="1"/>
  <c r="P124" i="1"/>
  <c r="M124" i="1"/>
  <c r="AH116" i="1"/>
  <c r="K116" i="1"/>
  <c r="S116" i="1"/>
  <c r="L116" i="1"/>
  <c r="T116" i="1"/>
  <c r="P116" i="1"/>
  <c r="Q116" i="1"/>
  <c r="M116" i="1"/>
  <c r="N116" i="1"/>
  <c r="O116" i="1"/>
  <c r="R116" i="1"/>
  <c r="U116" i="1"/>
  <c r="V116" i="1"/>
  <c r="AH108" i="1"/>
  <c r="K108" i="1"/>
  <c r="S108" i="1"/>
  <c r="L108" i="1"/>
  <c r="T108" i="1"/>
  <c r="P108" i="1"/>
  <c r="Q108" i="1"/>
  <c r="M108" i="1"/>
  <c r="N108" i="1"/>
  <c r="O108" i="1"/>
  <c r="R108" i="1"/>
  <c r="U108" i="1"/>
  <c r="V108" i="1"/>
  <c r="AH100" i="1"/>
  <c r="K100" i="1"/>
  <c r="S100" i="1"/>
  <c r="L100" i="1"/>
  <c r="T100" i="1"/>
  <c r="P100" i="1"/>
  <c r="Q100" i="1"/>
  <c r="M100" i="1"/>
  <c r="N100" i="1"/>
  <c r="O100" i="1"/>
  <c r="R100" i="1"/>
  <c r="U100" i="1"/>
  <c r="V100" i="1"/>
  <c r="AH92" i="1"/>
  <c r="K92" i="1"/>
  <c r="S92" i="1"/>
  <c r="L92" i="1"/>
  <c r="T92" i="1"/>
  <c r="P92" i="1"/>
  <c r="Q92" i="1"/>
  <c r="M92" i="1"/>
  <c r="N92" i="1"/>
  <c r="O92" i="1"/>
  <c r="R92" i="1"/>
  <c r="U92" i="1"/>
  <c r="V92" i="1"/>
  <c r="AH84" i="1"/>
  <c r="Q84" i="1"/>
  <c r="R84" i="1"/>
  <c r="L84" i="1"/>
  <c r="T84" i="1"/>
  <c r="S84" i="1"/>
  <c r="U84" i="1"/>
  <c r="N84" i="1"/>
  <c r="O84" i="1"/>
  <c r="P84" i="1"/>
  <c r="V84" i="1"/>
  <c r="K84" i="1"/>
  <c r="M84" i="1"/>
  <c r="AH76" i="1"/>
  <c r="Q76" i="1"/>
  <c r="R76" i="1"/>
  <c r="K76" i="1"/>
  <c r="S76" i="1"/>
  <c r="L76" i="1"/>
  <c r="T76" i="1"/>
  <c r="M76" i="1"/>
  <c r="U76" i="1"/>
  <c r="O76" i="1"/>
  <c r="N76" i="1"/>
  <c r="P76" i="1"/>
  <c r="V76" i="1"/>
  <c r="AH68" i="1"/>
  <c r="Q68" i="1"/>
  <c r="R68" i="1"/>
  <c r="K68" i="1"/>
  <c r="S68" i="1"/>
  <c r="L68" i="1"/>
  <c r="T68" i="1"/>
  <c r="M68" i="1"/>
  <c r="U68" i="1"/>
  <c r="O68" i="1"/>
  <c r="N68" i="1"/>
  <c r="P68" i="1"/>
  <c r="V68" i="1"/>
  <c r="AH60" i="1"/>
  <c r="Q60" i="1"/>
  <c r="R60" i="1"/>
  <c r="K60" i="1"/>
  <c r="S60" i="1"/>
  <c r="L60" i="1"/>
  <c r="T60" i="1"/>
  <c r="M60" i="1"/>
  <c r="U60" i="1"/>
  <c r="O60" i="1"/>
  <c r="N60" i="1"/>
  <c r="P60" i="1"/>
  <c r="V60" i="1"/>
  <c r="AH52" i="1"/>
  <c r="Q52" i="1"/>
  <c r="R52" i="1"/>
  <c r="L52" i="1"/>
  <c r="T52" i="1"/>
  <c r="U52" i="1"/>
  <c r="V52" i="1"/>
  <c r="K52" i="1"/>
  <c r="M52" i="1"/>
  <c r="N52" i="1"/>
  <c r="P52" i="1"/>
  <c r="O52" i="1"/>
  <c r="S52" i="1"/>
  <c r="AH44" i="1"/>
  <c r="N44" i="1"/>
  <c r="V44" i="1"/>
  <c r="Q44" i="1"/>
  <c r="R44" i="1"/>
  <c r="L44" i="1"/>
  <c r="T44" i="1"/>
  <c r="K44" i="1"/>
  <c r="M44" i="1"/>
  <c r="O44" i="1"/>
  <c r="P44" i="1"/>
  <c r="S44" i="1"/>
  <c r="U44" i="1"/>
  <c r="AH36" i="1"/>
  <c r="N36" i="1"/>
  <c r="V36" i="1"/>
  <c r="Q36" i="1"/>
  <c r="R36" i="1"/>
  <c r="L36" i="1"/>
  <c r="T36" i="1"/>
  <c r="K36" i="1"/>
  <c r="M36" i="1"/>
  <c r="O36" i="1"/>
  <c r="P36" i="1"/>
  <c r="S36" i="1"/>
  <c r="U36" i="1"/>
  <c r="AH28" i="1"/>
  <c r="N28" i="1"/>
  <c r="V28" i="1"/>
  <c r="Q28" i="1"/>
  <c r="R28" i="1"/>
  <c r="L28" i="1"/>
  <c r="T28" i="1"/>
  <c r="M28" i="1"/>
  <c r="U28" i="1"/>
  <c r="O28" i="1"/>
  <c r="P28" i="1"/>
  <c r="S28" i="1"/>
  <c r="K28" i="1"/>
  <c r="AH20" i="1"/>
  <c r="N20" i="1"/>
  <c r="V20" i="1"/>
  <c r="Q20" i="1"/>
  <c r="R20" i="1"/>
  <c r="L20" i="1"/>
  <c r="T20" i="1"/>
  <c r="M20" i="1"/>
  <c r="U20" i="1"/>
  <c r="K20" i="1"/>
  <c r="O20" i="1"/>
  <c r="S20" i="1"/>
  <c r="P20" i="1"/>
  <c r="AH12" i="1"/>
  <c r="N12" i="1"/>
  <c r="V12" i="1"/>
  <c r="Q12" i="1"/>
  <c r="R12" i="1"/>
  <c r="L12" i="1"/>
  <c r="T12" i="1"/>
  <c r="M12" i="1"/>
  <c r="U12" i="1"/>
  <c r="O12" i="1"/>
  <c r="P12" i="1"/>
  <c r="S12" i="1"/>
  <c r="K12" i="1"/>
  <c r="AH4" i="1"/>
  <c r="N4" i="1"/>
  <c r="V4" i="1"/>
  <c r="Q4" i="1"/>
  <c r="R4" i="1"/>
  <c r="L4" i="1"/>
  <c r="T4" i="1"/>
  <c r="M4" i="1"/>
  <c r="U4" i="1"/>
  <c r="K4" i="1"/>
  <c r="O4" i="1"/>
  <c r="S4" i="1"/>
  <c r="P4" i="1"/>
  <c r="P1741" i="1"/>
  <c r="T1740" i="1"/>
  <c r="L1740" i="1"/>
  <c r="P1739" i="1"/>
  <c r="T1738" i="1"/>
  <c r="L1738" i="1"/>
  <c r="P1737" i="1"/>
  <c r="T1736" i="1"/>
  <c r="L1736" i="1"/>
  <c r="P1735" i="1"/>
  <c r="T1734" i="1"/>
  <c r="L1734" i="1"/>
  <c r="P1733" i="1"/>
  <c r="T1732" i="1"/>
  <c r="L1732" i="1"/>
  <c r="P1731" i="1"/>
  <c r="T1730" i="1"/>
  <c r="L1730" i="1"/>
  <c r="P1729" i="1"/>
  <c r="T1728" i="1"/>
  <c r="L1728" i="1"/>
  <c r="P1727" i="1"/>
  <c r="T1726" i="1"/>
  <c r="L1726" i="1"/>
  <c r="P1725" i="1"/>
  <c r="T1724" i="1"/>
  <c r="L1724" i="1"/>
  <c r="P1723" i="1"/>
  <c r="T1722" i="1"/>
  <c r="L1722" i="1"/>
  <c r="P1721" i="1"/>
  <c r="T1720" i="1"/>
  <c r="L1720" i="1"/>
  <c r="P1719" i="1"/>
  <c r="T1718" i="1"/>
  <c r="L1718" i="1"/>
  <c r="P1717" i="1"/>
  <c r="T1716" i="1"/>
  <c r="L1716" i="1"/>
  <c r="P1715" i="1"/>
  <c r="T1714" i="1"/>
  <c r="L1714" i="1"/>
  <c r="P1713" i="1"/>
  <c r="T1712" i="1"/>
  <c r="L1712" i="1"/>
  <c r="P1711" i="1"/>
  <c r="T1710" i="1"/>
  <c r="L1710" i="1"/>
  <c r="P1709" i="1"/>
  <c r="S1708" i="1"/>
  <c r="V1706" i="1"/>
  <c r="K1706" i="1"/>
  <c r="V1704" i="1"/>
  <c r="V1703" i="1"/>
  <c r="T1702" i="1"/>
  <c r="S1701" i="1"/>
  <c r="S1700" i="1"/>
  <c r="R1698" i="1"/>
  <c r="P1697" i="1"/>
  <c r="O1696" i="1"/>
  <c r="O1695" i="1"/>
  <c r="N1694" i="1"/>
  <c r="N1693" i="1"/>
  <c r="L1692" i="1"/>
  <c r="K1690" i="1"/>
  <c r="V1688" i="1"/>
  <c r="V1687" i="1"/>
  <c r="T1686" i="1"/>
  <c r="S1685" i="1"/>
  <c r="S1684" i="1"/>
  <c r="R1682" i="1"/>
  <c r="P1681" i="1"/>
  <c r="L1680" i="1"/>
  <c r="T1678" i="1"/>
  <c r="P1677" i="1"/>
  <c r="L1676" i="1"/>
  <c r="T1674" i="1"/>
  <c r="P1671" i="1"/>
  <c r="R1669" i="1"/>
  <c r="K1668" i="1"/>
  <c r="L1666" i="1"/>
  <c r="N1664" i="1"/>
  <c r="S1662" i="1"/>
  <c r="T1660" i="1"/>
  <c r="V1658" i="1"/>
  <c r="P1655" i="1"/>
  <c r="R1653" i="1"/>
  <c r="K1652" i="1"/>
  <c r="L1650" i="1"/>
  <c r="N1648" i="1"/>
  <c r="S1646" i="1"/>
  <c r="T1644" i="1"/>
  <c r="V1642" i="1"/>
  <c r="P1639" i="1"/>
  <c r="R1637" i="1"/>
  <c r="K1636" i="1"/>
  <c r="L1634" i="1"/>
  <c r="N1632" i="1"/>
  <c r="S1630" i="1"/>
  <c r="T1628" i="1"/>
  <c r="N1626" i="1"/>
  <c r="R1623" i="1"/>
  <c r="V1620" i="1"/>
  <c r="N1618" i="1"/>
  <c r="R1615" i="1"/>
  <c r="V1612" i="1"/>
  <c r="N1610" i="1"/>
  <c r="R1607" i="1"/>
  <c r="V1604" i="1"/>
  <c r="N1602" i="1"/>
  <c r="R1599" i="1"/>
  <c r="V1596" i="1"/>
  <c r="N1594" i="1"/>
  <c r="R1591" i="1"/>
  <c r="V1588" i="1"/>
  <c r="N1586" i="1"/>
  <c r="R1583" i="1"/>
  <c r="V1580" i="1"/>
  <c r="N1578" i="1"/>
  <c r="R1575" i="1"/>
  <c r="V1572" i="1"/>
  <c r="N1570" i="1"/>
  <c r="R1567" i="1"/>
  <c r="V1564" i="1"/>
  <c r="N1562" i="1"/>
  <c r="R1559" i="1"/>
  <c r="V1556" i="1"/>
  <c r="N1554" i="1"/>
  <c r="R1551" i="1"/>
  <c r="V1548" i="1"/>
  <c r="N1546" i="1"/>
  <c r="R1543" i="1"/>
  <c r="V1540" i="1"/>
  <c r="N1538" i="1"/>
  <c r="R1535" i="1"/>
  <c r="V1532" i="1"/>
  <c r="N1530" i="1"/>
  <c r="R1527" i="1"/>
  <c r="V1524" i="1"/>
  <c r="N1522" i="1"/>
  <c r="R1519" i="1"/>
  <c r="V1516" i="1"/>
  <c r="N1514" i="1"/>
  <c r="R1511" i="1"/>
  <c r="V1508" i="1"/>
  <c r="N1506" i="1"/>
  <c r="R1503" i="1"/>
  <c r="V1500" i="1"/>
  <c r="N1498" i="1"/>
  <c r="R1495" i="1"/>
  <c r="V1492" i="1"/>
  <c r="N1490" i="1"/>
  <c r="R1487" i="1"/>
  <c r="V1484" i="1"/>
  <c r="N1482" i="1"/>
  <c r="R1479" i="1"/>
  <c r="V1476" i="1"/>
  <c r="N1474" i="1"/>
  <c r="R1471" i="1"/>
  <c r="V1468" i="1"/>
  <c r="N1466" i="1"/>
  <c r="R1463" i="1"/>
  <c r="V1460" i="1"/>
  <c r="N1458" i="1"/>
  <c r="R1455" i="1"/>
  <c r="V1452" i="1"/>
  <c r="N1450" i="1"/>
  <c r="R1447" i="1"/>
  <c r="V1444" i="1"/>
  <c r="N1442" i="1"/>
  <c r="R1439" i="1"/>
  <c r="V1436" i="1"/>
  <c r="N1434" i="1"/>
  <c r="R1431" i="1"/>
  <c r="V1428" i="1"/>
  <c r="N1426" i="1"/>
  <c r="R1423" i="1"/>
  <c r="V1420" i="1"/>
  <c r="N1418" i="1"/>
  <c r="R1415" i="1"/>
  <c r="V1412" i="1"/>
  <c r="N1410" i="1"/>
  <c r="R1407" i="1"/>
  <c r="V1404" i="1"/>
  <c r="N1402" i="1"/>
  <c r="R1399" i="1"/>
  <c r="V1396" i="1"/>
  <c r="N1394" i="1"/>
  <c r="R1391" i="1"/>
  <c r="V1388" i="1"/>
  <c r="N1386" i="1"/>
  <c r="R1383" i="1"/>
  <c r="V1380" i="1"/>
  <c r="N1378" i="1"/>
  <c r="R1375" i="1"/>
  <c r="V1372" i="1"/>
  <c r="N1370" i="1"/>
  <c r="R1367" i="1"/>
  <c r="V1364" i="1"/>
  <c r="N1362" i="1"/>
  <c r="R1359" i="1"/>
  <c r="V1356" i="1"/>
  <c r="N1354" i="1"/>
  <c r="R1351" i="1"/>
  <c r="Q1348" i="1"/>
  <c r="Q1345" i="1"/>
  <c r="K1342" i="1"/>
  <c r="O1338" i="1"/>
  <c r="U1334" i="1"/>
  <c r="S1327" i="1"/>
  <c r="M1319" i="1"/>
  <c r="S1308" i="1"/>
  <c r="O1303" i="1"/>
  <c r="S1292" i="1"/>
  <c r="O1287" i="1"/>
  <c r="S1276" i="1"/>
  <c r="L1270" i="1"/>
  <c r="U1262" i="1"/>
  <c r="T1248" i="1"/>
  <c r="Q1241" i="1"/>
  <c r="S1234" i="1"/>
  <c r="S1224" i="1"/>
  <c r="K1214" i="1"/>
  <c r="S1192" i="1"/>
  <c r="K1182" i="1"/>
  <c r="K1134" i="1"/>
  <c r="N1077" i="1"/>
  <c r="R957" i="1"/>
  <c r="O830" i="1"/>
  <c r="AH1707" i="1"/>
  <c r="L1707" i="1"/>
  <c r="T1707" i="1"/>
  <c r="Q1707" i="1"/>
  <c r="AH1699" i="1"/>
  <c r="L1699" i="1"/>
  <c r="T1699" i="1"/>
  <c r="M1699" i="1"/>
  <c r="U1699" i="1"/>
  <c r="Q1699" i="1"/>
  <c r="AH1691" i="1"/>
  <c r="L1691" i="1"/>
  <c r="T1691" i="1"/>
  <c r="M1691" i="1"/>
  <c r="U1691" i="1"/>
  <c r="Q1691" i="1"/>
  <c r="AH1683" i="1"/>
  <c r="L1683" i="1"/>
  <c r="T1683" i="1"/>
  <c r="M1683" i="1"/>
  <c r="U1683" i="1"/>
  <c r="Q1683" i="1"/>
  <c r="AH1675" i="1"/>
  <c r="L1675" i="1"/>
  <c r="T1675" i="1"/>
  <c r="M1675" i="1"/>
  <c r="U1675" i="1"/>
  <c r="N1675" i="1"/>
  <c r="V1675" i="1"/>
  <c r="Q1675" i="1"/>
  <c r="AH1667" i="1"/>
  <c r="K1667" i="1"/>
  <c r="S1667" i="1"/>
  <c r="L1667" i="1"/>
  <c r="T1667" i="1"/>
  <c r="M1667" i="1"/>
  <c r="U1667" i="1"/>
  <c r="N1667" i="1"/>
  <c r="V1667" i="1"/>
  <c r="Q1667" i="1"/>
  <c r="AH1659" i="1"/>
  <c r="K1659" i="1"/>
  <c r="S1659" i="1"/>
  <c r="L1659" i="1"/>
  <c r="T1659" i="1"/>
  <c r="M1659" i="1"/>
  <c r="U1659" i="1"/>
  <c r="N1659" i="1"/>
  <c r="V1659" i="1"/>
  <c r="Q1659" i="1"/>
  <c r="AH1651" i="1"/>
  <c r="K1651" i="1"/>
  <c r="S1651" i="1"/>
  <c r="L1651" i="1"/>
  <c r="T1651" i="1"/>
  <c r="M1651" i="1"/>
  <c r="U1651" i="1"/>
  <c r="N1651" i="1"/>
  <c r="V1651" i="1"/>
  <c r="Q1651" i="1"/>
  <c r="AH1643" i="1"/>
  <c r="K1643" i="1"/>
  <c r="S1643" i="1"/>
  <c r="L1643" i="1"/>
  <c r="T1643" i="1"/>
  <c r="M1643" i="1"/>
  <c r="U1643" i="1"/>
  <c r="N1643" i="1"/>
  <c r="V1643" i="1"/>
  <c r="Q1643" i="1"/>
  <c r="AH1635" i="1"/>
  <c r="K1635" i="1"/>
  <c r="S1635" i="1"/>
  <c r="L1635" i="1"/>
  <c r="T1635" i="1"/>
  <c r="M1635" i="1"/>
  <c r="U1635" i="1"/>
  <c r="N1635" i="1"/>
  <c r="V1635" i="1"/>
  <c r="Q1635" i="1"/>
  <c r="AH1627" i="1"/>
  <c r="K1627" i="1"/>
  <c r="S1627" i="1"/>
  <c r="L1627" i="1"/>
  <c r="T1627" i="1"/>
  <c r="M1627" i="1"/>
  <c r="U1627" i="1"/>
  <c r="N1627" i="1"/>
  <c r="V1627" i="1"/>
  <c r="O1627" i="1"/>
  <c r="Q1627" i="1"/>
  <c r="AH1619" i="1"/>
  <c r="K1619" i="1"/>
  <c r="S1619" i="1"/>
  <c r="L1619" i="1"/>
  <c r="T1619" i="1"/>
  <c r="M1619" i="1"/>
  <c r="U1619" i="1"/>
  <c r="N1619" i="1"/>
  <c r="V1619" i="1"/>
  <c r="O1619" i="1"/>
  <c r="Q1619" i="1"/>
  <c r="AH1611" i="1"/>
  <c r="K1611" i="1"/>
  <c r="S1611" i="1"/>
  <c r="L1611" i="1"/>
  <c r="T1611" i="1"/>
  <c r="M1611" i="1"/>
  <c r="U1611" i="1"/>
  <c r="N1611" i="1"/>
  <c r="V1611" i="1"/>
  <c r="O1611" i="1"/>
  <c r="Q1611" i="1"/>
  <c r="AH1603" i="1"/>
  <c r="K1603" i="1"/>
  <c r="S1603" i="1"/>
  <c r="L1603" i="1"/>
  <c r="T1603" i="1"/>
  <c r="M1603" i="1"/>
  <c r="U1603" i="1"/>
  <c r="N1603" i="1"/>
  <c r="V1603" i="1"/>
  <c r="O1603" i="1"/>
  <c r="Q1603" i="1"/>
  <c r="AH1595" i="1"/>
  <c r="K1595" i="1"/>
  <c r="S1595" i="1"/>
  <c r="L1595" i="1"/>
  <c r="T1595" i="1"/>
  <c r="M1595" i="1"/>
  <c r="U1595" i="1"/>
  <c r="N1595" i="1"/>
  <c r="V1595" i="1"/>
  <c r="O1595" i="1"/>
  <c r="Q1595" i="1"/>
  <c r="AH1587" i="1"/>
  <c r="K1587" i="1"/>
  <c r="S1587" i="1"/>
  <c r="L1587" i="1"/>
  <c r="T1587" i="1"/>
  <c r="M1587" i="1"/>
  <c r="U1587" i="1"/>
  <c r="N1587" i="1"/>
  <c r="V1587" i="1"/>
  <c r="O1587" i="1"/>
  <c r="Q1587" i="1"/>
  <c r="AH1579" i="1"/>
  <c r="K1579" i="1"/>
  <c r="S1579" i="1"/>
  <c r="L1579" i="1"/>
  <c r="T1579" i="1"/>
  <c r="M1579" i="1"/>
  <c r="U1579" i="1"/>
  <c r="N1579" i="1"/>
  <c r="V1579" i="1"/>
  <c r="O1579" i="1"/>
  <c r="Q1579" i="1"/>
  <c r="AH1571" i="1"/>
  <c r="K1571" i="1"/>
  <c r="S1571" i="1"/>
  <c r="L1571" i="1"/>
  <c r="T1571" i="1"/>
  <c r="M1571" i="1"/>
  <c r="U1571" i="1"/>
  <c r="N1571" i="1"/>
  <c r="V1571" i="1"/>
  <c r="O1571" i="1"/>
  <c r="Q1571" i="1"/>
  <c r="AH1563" i="1"/>
  <c r="K1563" i="1"/>
  <c r="S1563" i="1"/>
  <c r="L1563" i="1"/>
  <c r="T1563" i="1"/>
  <c r="M1563" i="1"/>
  <c r="U1563" i="1"/>
  <c r="N1563" i="1"/>
  <c r="V1563" i="1"/>
  <c r="O1563" i="1"/>
  <c r="Q1563" i="1"/>
  <c r="AH1555" i="1"/>
  <c r="K1555" i="1"/>
  <c r="S1555" i="1"/>
  <c r="L1555" i="1"/>
  <c r="T1555" i="1"/>
  <c r="M1555" i="1"/>
  <c r="U1555" i="1"/>
  <c r="N1555" i="1"/>
  <c r="V1555" i="1"/>
  <c r="O1555" i="1"/>
  <c r="Q1555" i="1"/>
  <c r="AH1547" i="1"/>
  <c r="K1547" i="1"/>
  <c r="S1547" i="1"/>
  <c r="L1547" i="1"/>
  <c r="T1547" i="1"/>
  <c r="M1547" i="1"/>
  <c r="U1547" i="1"/>
  <c r="N1547" i="1"/>
  <c r="V1547" i="1"/>
  <c r="O1547" i="1"/>
  <c r="Q1547" i="1"/>
  <c r="AH1539" i="1"/>
  <c r="K1539" i="1"/>
  <c r="S1539" i="1"/>
  <c r="L1539" i="1"/>
  <c r="T1539" i="1"/>
  <c r="M1539" i="1"/>
  <c r="U1539" i="1"/>
  <c r="N1539" i="1"/>
  <c r="V1539" i="1"/>
  <c r="O1539" i="1"/>
  <c r="Q1539" i="1"/>
  <c r="AH1531" i="1"/>
  <c r="K1531" i="1"/>
  <c r="S1531" i="1"/>
  <c r="L1531" i="1"/>
  <c r="T1531" i="1"/>
  <c r="M1531" i="1"/>
  <c r="U1531" i="1"/>
  <c r="N1531" i="1"/>
  <c r="V1531" i="1"/>
  <c r="O1531" i="1"/>
  <c r="Q1531" i="1"/>
  <c r="AH1523" i="1"/>
  <c r="K1523" i="1"/>
  <c r="S1523" i="1"/>
  <c r="L1523" i="1"/>
  <c r="T1523" i="1"/>
  <c r="M1523" i="1"/>
  <c r="U1523" i="1"/>
  <c r="N1523" i="1"/>
  <c r="V1523" i="1"/>
  <c r="O1523" i="1"/>
  <c r="Q1523" i="1"/>
  <c r="AH1515" i="1"/>
  <c r="K1515" i="1"/>
  <c r="S1515" i="1"/>
  <c r="L1515" i="1"/>
  <c r="T1515" i="1"/>
  <c r="M1515" i="1"/>
  <c r="U1515" i="1"/>
  <c r="N1515" i="1"/>
  <c r="V1515" i="1"/>
  <c r="O1515" i="1"/>
  <c r="Q1515" i="1"/>
  <c r="AH1507" i="1"/>
  <c r="K1507" i="1"/>
  <c r="S1507" i="1"/>
  <c r="L1507" i="1"/>
  <c r="T1507" i="1"/>
  <c r="M1507" i="1"/>
  <c r="U1507" i="1"/>
  <c r="N1507" i="1"/>
  <c r="V1507" i="1"/>
  <c r="O1507" i="1"/>
  <c r="Q1507" i="1"/>
  <c r="AH1499" i="1"/>
  <c r="K1499" i="1"/>
  <c r="S1499" i="1"/>
  <c r="L1499" i="1"/>
  <c r="T1499" i="1"/>
  <c r="M1499" i="1"/>
  <c r="U1499" i="1"/>
  <c r="N1499" i="1"/>
  <c r="V1499" i="1"/>
  <c r="O1499" i="1"/>
  <c r="Q1499" i="1"/>
  <c r="AH1491" i="1"/>
  <c r="K1491" i="1"/>
  <c r="S1491" i="1"/>
  <c r="L1491" i="1"/>
  <c r="T1491" i="1"/>
  <c r="M1491" i="1"/>
  <c r="U1491" i="1"/>
  <c r="N1491" i="1"/>
  <c r="V1491" i="1"/>
  <c r="O1491" i="1"/>
  <c r="Q1491" i="1"/>
  <c r="AH1483" i="1"/>
  <c r="K1483" i="1"/>
  <c r="S1483" i="1"/>
  <c r="L1483" i="1"/>
  <c r="T1483" i="1"/>
  <c r="M1483" i="1"/>
  <c r="U1483" i="1"/>
  <c r="N1483" i="1"/>
  <c r="V1483" i="1"/>
  <c r="O1483" i="1"/>
  <c r="Q1483" i="1"/>
  <c r="AH1475" i="1"/>
  <c r="K1475" i="1"/>
  <c r="S1475" i="1"/>
  <c r="L1475" i="1"/>
  <c r="T1475" i="1"/>
  <c r="M1475" i="1"/>
  <c r="U1475" i="1"/>
  <c r="N1475" i="1"/>
  <c r="V1475" i="1"/>
  <c r="O1475" i="1"/>
  <c r="Q1475" i="1"/>
  <c r="AH1467" i="1"/>
  <c r="K1467" i="1"/>
  <c r="S1467" i="1"/>
  <c r="L1467" i="1"/>
  <c r="T1467" i="1"/>
  <c r="M1467" i="1"/>
  <c r="U1467" i="1"/>
  <c r="N1467" i="1"/>
  <c r="V1467" i="1"/>
  <c r="O1467" i="1"/>
  <c r="Q1467" i="1"/>
  <c r="AH1459" i="1"/>
  <c r="K1459" i="1"/>
  <c r="S1459" i="1"/>
  <c r="L1459" i="1"/>
  <c r="T1459" i="1"/>
  <c r="M1459" i="1"/>
  <c r="U1459" i="1"/>
  <c r="N1459" i="1"/>
  <c r="V1459" i="1"/>
  <c r="O1459" i="1"/>
  <c r="Q1459" i="1"/>
  <c r="AH1451" i="1"/>
  <c r="K1451" i="1"/>
  <c r="S1451" i="1"/>
  <c r="L1451" i="1"/>
  <c r="T1451" i="1"/>
  <c r="M1451" i="1"/>
  <c r="U1451" i="1"/>
  <c r="N1451" i="1"/>
  <c r="V1451" i="1"/>
  <c r="O1451" i="1"/>
  <c r="Q1451" i="1"/>
  <c r="AH1443" i="1"/>
  <c r="K1443" i="1"/>
  <c r="S1443" i="1"/>
  <c r="L1443" i="1"/>
  <c r="T1443" i="1"/>
  <c r="M1443" i="1"/>
  <c r="U1443" i="1"/>
  <c r="N1443" i="1"/>
  <c r="V1443" i="1"/>
  <c r="O1443" i="1"/>
  <c r="Q1443" i="1"/>
  <c r="AH1435" i="1"/>
  <c r="K1435" i="1"/>
  <c r="S1435" i="1"/>
  <c r="L1435" i="1"/>
  <c r="T1435" i="1"/>
  <c r="M1435" i="1"/>
  <c r="U1435" i="1"/>
  <c r="N1435" i="1"/>
  <c r="V1435" i="1"/>
  <c r="O1435" i="1"/>
  <c r="Q1435" i="1"/>
  <c r="AH1427" i="1"/>
  <c r="K1427" i="1"/>
  <c r="S1427" i="1"/>
  <c r="L1427" i="1"/>
  <c r="T1427" i="1"/>
  <c r="M1427" i="1"/>
  <c r="U1427" i="1"/>
  <c r="N1427" i="1"/>
  <c r="V1427" i="1"/>
  <c r="O1427" i="1"/>
  <c r="Q1427" i="1"/>
  <c r="AH1419" i="1"/>
  <c r="K1419" i="1"/>
  <c r="S1419" i="1"/>
  <c r="L1419" i="1"/>
  <c r="T1419" i="1"/>
  <c r="M1419" i="1"/>
  <c r="U1419" i="1"/>
  <c r="N1419" i="1"/>
  <c r="V1419" i="1"/>
  <c r="O1419" i="1"/>
  <c r="Q1419" i="1"/>
  <c r="AH1411" i="1"/>
  <c r="K1411" i="1"/>
  <c r="S1411" i="1"/>
  <c r="L1411" i="1"/>
  <c r="T1411" i="1"/>
  <c r="M1411" i="1"/>
  <c r="U1411" i="1"/>
  <c r="N1411" i="1"/>
  <c r="V1411" i="1"/>
  <c r="O1411" i="1"/>
  <c r="Q1411" i="1"/>
  <c r="AH1403" i="1"/>
  <c r="K1403" i="1"/>
  <c r="S1403" i="1"/>
  <c r="L1403" i="1"/>
  <c r="T1403" i="1"/>
  <c r="M1403" i="1"/>
  <c r="U1403" i="1"/>
  <c r="N1403" i="1"/>
  <c r="V1403" i="1"/>
  <c r="O1403" i="1"/>
  <c r="Q1403" i="1"/>
  <c r="AH1395" i="1"/>
  <c r="K1395" i="1"/>
  <c r="S1395" i="1"/>
  <c r="L1395" i="1"/>
  <c r="T1395" i="1"/>
  <c r="M1395" i="1"/>
  <c r="U1395" i="1"/>
  <c r="N1395" i="1"/>
  <c r="V1395" i="1"/>
  <c r="O1395" i="1"/>
  <c r="Q1395" i="1"/>
  <c r="AH1387" i="1"/>
  <c r="K1387" i="1"/>
  <c r="S1387" i="1"/>
  <c r="L1387" i="1"/>
  <c r="T1387" i="1"/>
  <c r="M1387" i="1"/>
  <c r="U1387" i="1"/>
  <c r="N1387" i="1"/>
  <c r="V1387" i="1"/>
  <c r="O1387" i="1"/>
  <c r="Q1387" i="1"/>
  <c r="AH1379" i="1"/>
  <c r="K1379" i="1"/>
  <c r="S1379" i="1"/>
  <c r="L1379" i="1"/>
  <c r="T1379" i="1"/>
  <c r="M1379" i="1"/>
  <c r="U1379" i="1"/>
  <c r="N1379" i="1"/>
  <c r="V1379" i="1"/>
  <c r="O1379" i="1"/>
  <c r="Q1379" i="1"/>
  <c r="AH1371" i="1"/>
  <c r="K1371" i="1"/>
  <c r="S1371" i="1"/>
  <c r="L1371" i="1"/>
  <c r="T1371" i="1"/>
  <c r="M1371" i="1"/>
  <c r="U1371" i="1"/>
  <c r="N1371" i="1"/>
  <c r="V1371" i="1"/>
  <c r="O1371" i="1"/>
  <c r="Q1371" i="1"/>
  <c r="AH1363" i="1"/>
  <c r="K1363" i="1"/>
  <c r="S1363" i="1"/>
  <c r="L1363" i="1"/>
  <c r="T1363" i="1"/>
  <c r="M1363" i="1"/>
  <c r="U1363" i="1"/>
  <c r="N1363" i="1"/>
  <c r="V1363" i="1"/>
  <c r="O1363" i="1"/>
  <c r="Q1363" i="1"/>
  <c r="AH1355" i="1"/>
  <c r="K1355" i="1"/>
  <c r="S1355" i="1"/>
  <c r="L1355" i="1"/>
  <c r="T1355" i="1"/>
  <c r="M1355" i="1"/>
  <c r="U1355" i="1"/>
  <c r="N1355" i="1"/>
  <c r="V1355" i="1"/>
  <c r="O1355" i="1"/>
  <c r="Q1355" i="1"/>
  <c r="AH1347" i="1"/>
  <c r="N1347" i="1"/>
  <c r="V1347" i="1"/>
  <c r="L1347" i="1"/>
  <c r="U1347" i="1"/>
  <c r="M1347" i="1"/>
  <c r="O1347" i="1"/>
  <c r="P1347" i="1"/>
  <c r="Q1347" i="1"/>
  <c r="S1347" i="1"/>
  <c r="AH1339" i="1"/>
  <c r="L1339" i="1"/>
  <c r="T1339" i="1"/>
  <c r="N1339" i="1"/>
  <c r="V1339" i="1"/>
  <c r="P1339" i="1"/>
  <c r="Q1339" i="1"/>
  <c r="R1339" i="1"/>
  <c r="S1339" i="1"/>
  <c r="U1339" i="1"/>
  <c r="M1339" i="1"/>
  <c r="AH1331" i="1"/>
  <c r="L1331" i="1"/>
  <c r="T1331" i="1"/>
  <c r="N1331" i="1"/>
  <c r="V1331" i="1"/>
  <c r="P1331" i="1"/>
  <c r="Q1331" i="1"/>
  <c r="R1331" i="1"/>
  <c r="S1331" i="1"/>
  <c r="U1331" i="1"/>
  <c r="M1331" i="1"/>
  <c r="AH1323" i="1"/>
  <c r="R1323" i="1"/>
  <c r="L1323" i="1"/>
  <c r="T1323" i="1"/>
  <c r="N1323" i="1"/>
  <c r="V1323" i="1"/>
  <c r="Q1323" i="1"/>
  <c r="S1323" i="1"/>
  <c r="U1323" i="1"/>
  <c r="K1323" i="1"/>
  <c r="O1323" i="1"/>
  <c r="AH1315" i="1"/>
  <c r="R1315" i="1"/>
  <c r="L1315" i="1"/>
  <c r="T1315" i="1"/>
  <c r="M1315" i="1"/>
  <c r="U1315" i="1"/>
  <c r="N1315" i="1"/>
  <c r="V1315" i="1"/>
  <c r="P1315" i="1"/>
  <c r="Q1315" i="1"/>
  <c r="S1315" i="1"/>
  <c r="K1315" i="1"/>
  <c r="AH1307" i="1"/>
  <c r="R1307" i="1"/>
  <c r="L1307" i="1"/>
  <c r="T1307" i="1"/>
  <c r="M1307" i="1"/>
  <c r="U1307" i="1"/>
  <c r="N1307" i="1"/>
  <c r="V1307" i="1"/>
  <c r="P1307" i="1"/>
  <c r="Q1307" i="1"/>
  <c r="S1307" i="1"/>
  <c r="K1307" i="1"/>
  <c r="AH1299" i="1"/>
  <c r="R1299" i="1"/>
  <c r="L1299" i="1"/>
  <c r="T1299" i="1"/>
  <c r="M1299" i="1"/>
  <c r="U1299" i="1"/>
  <c r="N1299" i="1"/>
  <c r="V1299" i="1"/>
  <c r="P1299" i="1"/>
  <c r="Q1299" i="1"/>
  <c r="S1299" i="1"/>
  <c r="K1299" i="1"/>
  <c r="AH1291" i="1"/>
  <c r="R1291" i="1"/>
  <c r="L1291" i="1"/>
  <c r="T1291" i="1"/>
  <c r="M1291" i="1"/>
  <c r="U1291" i="1"/>
  <c r="N1291" i="1"/>
  <c r="V1291" i="1"/>
  <c r="P1291" i="1"/>
  <c r="Q1291" i="1"/>
  <c r="S1291" i="1"/>
  <c r="K1291" i="1"/>
  <c r="AH1283" i="1"/>
  <c r="R1283" i="1"/>
  <c r="L1283" i="1"/>
  <c r="T1283" i="1"/>
  <c r="M1283" i="1"/>
  <c r="U1283" i="1"/>
  <c r="N1283" i="1"/>
  <c r="V1283" i="1"/>
  <c r="P1283" i="1"/>
  <c r="Q1283" i="1"/>
  <c r="S1283" i="1"/>
  <c r="K1283" i="1"/>
  <c r="AH1275" i="1"/>
  <c r="R1275" i="1"/>
  <c r="L1275" i="1"/>
  <c r="T1275" i="1"/>
  <c r="M1275" i="1"/>
  <c r="U1275" i="1"/>
  <c r="N1275" i="1"/>
  <c r="V1275" i="1"/>
  <c r="P1275" i="1"/>
  <c r="Q1275" i="1"/>
  <c r="S1275" i="1"/>
  <c r="K1275" i="1"/>
  <c r="AH1267" i="1"/>
  <c r="R1267" i="1"/>
  <c r="K1267" i="1"/>
  <c r="S1267" i="1"/>
  <c r="L1267" i="1"/>
  <c r="T1267" i="1"/>
  <c r="M1267" i="1"/>
  <c r="U1267" i="1"/>
  <c r="N1267" i="1"/>
  <c r="V1267" i="1"/>
  <c r="O1267" i="1"/>
  <c r="P1267" i="1"/>
  <c r="Q1267" i="1"/>
  <c r="AH1259" i="1"/>
  <c r="R1259" i="1"/>
  <c r="K1259" i="1"/>
  <c r="S1259" i="1"/>
  <c r="L1259" i="1"/>
  <c r="T1259" i="1"/>
  <c r="M1259" i="1"/>
  <c r="U1259" i="1"/>
  <c r="N1259" i="1"/>
  <c r="V1259" i="1"/>
  <c r="Q1259" i="1"/>
  <c r="O1259" i="1"/>
  <c r="AH1251" i="1"/>
  <c r="R1251" i="1"/>
  <c r="K1251" i="1"/>
  <c r="S1251" i="1"/>
  <c r="L1251" i="1"/>
  <c r="T1251" i="1"/>
  <c r="M1251" i="1"/>
  <c r="U1251" i="1"/>
  <c r="N1251" i="1"/>
  <c r="V1251" i="1"/>
  <c r="O1251" i="1"/>
  <c r="P1251" i="1"/>
  <c r="Q1251" i="1"/>
  <c r="AH1243" i="1"/>
  <c r="R1243" i="1"/>
  <c r="K1243" i="1"/>
  <c r="S1243" i="1"/>
  <c r="L1243" i="1"/>
  <c r="T1243" i="1"/>
  <c r="M1243" i="1"/>
  <c r="U1243" i="1"/>
  <c r="N1243" i="1"/>
  <c r="V1243" i="1"/>
  <c r="Q1243" i="1"/>
  <c r="O1243" i="1"/>
  <c r="AH1235" i="1"/>
  <c r="R1235" i="1"/>
  <c r="K1235" i="1"/>
  <c r="S1235" i="1"/>
  <c r="L1235" i="1"/>
  <c r="T1235" i="1"/>
  <c r="M1235" i="1"/>
  <c r="U1235" i="1"/>
  <c r="N1235" i="1"/>
  <c r="V1235" i="1"/>
  <c r="O1235" i="1"/>
  <c r="P1235" i="1"/>
  <c r="Q1235" i="1"/>
  <c r="AH1227" i="1"/>
  <c r="Q1227" i="1"/>
  <c r="R1227" i="1"/>
  <c r="K1227" i="1"/>
  <c r="S1227" i="1"/>
  <c r="L1227" i="1"/>
  <c r="T1227" i="1"/>
  <c r="M1227" i="1"/>
  <c r="U1227" i="1"/>
  <c r="N1227" i="1"/>
  <c r="V1227" i="1"/>
  <c r="P1227" i="1"/>
  <c r="AH1219" i="1"/>
  <c r="Q1219" i="1"/>
  <c r="R1219" i="1"/>
  <c r="K1219" i="1"/>
  <c r="S1219" i="1"/>
  <c r="L1219" i="1"/>
  <c r="T1219" i="1"/>
  <c r="M1219" i="1"/>
  <c r="U1219" i="1"/>
  <c r="N1219" i="1"/>
  <c r="V1219" i="1"/>
  <c r="P1219" i="1"/>
  <c r="AH1211" i="1"/>
  <c r="Q1211" i="1"/>
  <c r="R1211" i="1"/>
  <c r="K1211" i="1"/>
  <c r="S1211" i="1"/>
  <c r="L1211" i="1"/>
  <c r="T1211" i="1"/>
  <c r="M1211" i="1"/>
  <c r="U1211" i="1"/>
  <c r="N1211" i="1"/>
  <c r="V1211" i="1"/>
  <c r="P1211" i="1"/>
  <c r="AH1203" i="1"/>
  <c r="Q1203" i="1"/>
  <c r="R1203" i="1"/>
  <c r="K1203" i="1"/>
  <c r="S1203" i="1"/>
  <c r="L1203" i="1"/>
  <c r="T1203" i="1"/>
  <c r="M1203" i="1"/>
  <c r="U1203" i="1"/>
  <c r="N1203" i="1"/>
  <c r="V1203" i="1"/>
  <c r="P1203" i="1"/>
  <c r="AH1195" i="1"/>
  <c r="Q1195" i="1"/>
  <c r="R1195" i="1"/>
  <c r="K1195" i="1"/>
  <c r="S1195" i="1"/>
  <c r="L1195" i="1"/>
  <c r="T1195" i="1"/>
  <c r="M1195" i="1"/>
  <c r="U1195" i="1"/>
  <c r="N1195" i="1"/>
  <c r="V1195" i="1"/>
  <c r="P1195" i="1"/>
  <c r="AH1187" i="1"/>
  <c r="Q1187" i="1"/>
  <c r="R1187" i="1"/>
  <c r="K1187" i="1"/>
  <c r="S1187" i="1"/>
  <c r="L1187" i="1"/>
  <c r="T1187" i="1"/>
  <c r="M1187" i="1"/>
  <c r="U1187" i="1"/>
  <c r="N1187" i="1"/>
  <c r="V1187" i="1"/>
  <c r="P1187" i="1"/>
  <c r="AH1179" i="1"/>
  <c r="Q1179" i="1"/>
  <c r="R1179" i="1"/>
  <c r="K1179" i="1"/>
  <c r="S1179" i="1"/>
  <c r="L1179" i="1"/>
  <c r="T1179" i="1"/>
  <c r="M1179" i="1"/>
  <c r="U1179" i="1"/>
  <c r="N1179" i="1"/>
  <c r="V1179" i="1"/>
  <c r="P1179" i="1"/>
  <c r="AH1171" i="1"/>
  <c r="R1171" i="1"/>
  <c r="K1171" i="1"/>
  <c r="S1171" i="1"/>
  <c r="L1171" i="1"/>
  <c r="T1171" i="1"/>
  <c r="M1171" i="1"/>
  <c r="U1171" i="1"/>
  <c r="P1171" i="1"/>
  <c r="V1171" i="1"/>
  <c r="N1171" i="1"/>
  <c r="O1171" i="1"/>
  <c r="Q1171" i="1"/>
  <c r="AH1163" i="1"/>
  <c r="R1163" i="1"/>
  <c r="K1163" i="1"/>
  <c r="S1163" i="1"/>
  <c r="L1163" i="1"/>
  <c r="T1163" i="1"/>
  <c r="M1163" i="1"/>
  <c r="U1163" i="1"/>
  <c r="P1163" i="1"/>
  <c r="N1163" i="1"/>
  <c r="O1163" i="1"/>
  <c r="Q1163" i="1"/>
  <c r="V1163" i="1"/>
  <c r="AH1155" i="1"/>
  <c r="R1155" i="1"/>
  <c r="K1155" i="1"/>
  <c r="S1155" i="1"/>
  <c r="L1155" i="1"/>
  <c r="T1155" i="1"/>
  <c r="M1155" i="1"/>
  <c r="U1155" i="1"/>
  <c r="P1155" i="1"/>
  <c r="V1155" i="1"/>
  <c r="N1155" i="1"/>
  <c r="Q1155" i="1"/>
  <c r="AH1147" i="1"/>
  <c r="R1147" i="1"/>
  <c r="K1147" i="1"/>
  <c r="S1147" i="1"/>
  <c r="L1147" i="1"/>
  <c r="T1147" i="1"/>
  <c r="M1147" i="1"/>
  <c r="U1147" i="1"/>
  <c r="P1147" i="1"/>
  <c r="N1147" i="1"/>
  <c r="O1147" i="1"/>
  <c r="Q1147" i="1"/>
  <c r="V1147" i="1"/>
  <c r="AH1139" i="1"/>
  <c r="R1139" i="1"/>
  <c r="K1139" i="1"/>
  <c r="S1139" i="1"/>
  <c r="L1139" i="1"/>
  <c r="T1139" i="1"/>
  <c r="M1139" i="1"/>
  <c r="U1139" i="1"/>
  <c r="P1139" i="1"/>
  <c r="V1139" i="1"/>
  <c r="N1139" i="1"/>
  <c r="Q1139" i="1"/>
  <c r="AH1131" i="1"/>
  <c r="R1131" i="1"/>
  <c r="K1131" i="1"/>
  <c r="S1131" i="1"/>
  <c r="L1131" i="1"/>
  <c r="T1131" i="1"/>
  <c r="M1131" i="1"/>
  <c r="U1131" i="1"/>
  <c r="P1131" i="1"/>
  <c r="N1131" i="1"/>
  <c r="O1131" i="1"/>
  <c r="Q1131" i="1"/>
  <c r="V1131" i="1"/>
  <c r="AH1123" i="1"/>
  <c r="R1123" i="1"/>
  <c r="K1123" i="1"/>
  <c r="S1123" i="1"/>
  <c r="L1123" i="1"/>
  <c r="T1123" i="1"/>
  <c r="M1123" i="1"/>
  <c r="U1123" i="1"/>
  <c r="P1123" i="1"/>
  <c r="V1123" i="1"/>
  <c r="N1123" i="1"/>
  <c r="O1123" i="1"/>
  <c r="Q1123" i="1"/>
  <c r="AH1115" i="1"/>
  <c r="R1115" i="1"/>
  <c r="K1115" i="1"/>
  <c r="S1115" i="1"/>
  <c r="L1115" i="1"/>
  <c r="T1115" i="1"/>
  <c r="M1115" i="1"/>
  <c r="U1115" i="1"/>
  <c r="P1115" i="1"/>
  <c r="N1115" i="1"/>
  <c r="O1115" i="1"/>
  <c r="Q1115" i="1"/>
  <c r="V1115" i="1"/>
  <c r="AH1107" i="1"/>
  <c r="R1107" i="1"/>
  <c r="K1107" i="1"/>
  <c r="S1107" i="1"/>
  <c r="L1107" i="1"/>
  <c r="T1107" i="1"/>
  <c r="M1107" i="1"/>
  <c r="U1107" i="1"/>
  <c r="P1107" i="1"/>
  <c r="V1107" i="1"/>
  <c r="N1107" i="1"/>
  <c r="O1107" i="1"/>
  <c r="Q1107" i="1"/>
  <c r="AH1099" i="1"/>
  <c r="R1099" i="1"/>
  <c r="K1099" i="1"/>
  <c r="S1099" i="1"/>
  <c r="L1099" i="1"/>
  <c r="T1099" i="1"/>
  <c r="M1099" i="1"/>
  <c r="U1099" i="1"/>
  <c r="P1099" i="1"/>
  <c r="N1099" i="1"/>
  <c r="O1099" i="1"/>
  <c r="Q1099" i="1"/>
  <c r="V1099" i="1"/>
  <c r="AH1091" i="1"/>
  <c r="R1091" i="1"/>
  <c r="K1091" i="1"/>
  <c r="S1091" i="1"/>
  <c r="L1091" i="1"/>
  <c r="T1091" i="1"/>
  <c r="M1091" i="1"/>
  <c r="U1091" i="1"/>
  <c r="P1091" i="1"/>
  <c r="V1091" i="1"/>
  <c r="N1091" i="1"/>
  <c r="Q1091" i="1"/>
  <c r="AH1083" i="1"/>
  <c r="R1083" i="1"/>
  <c r="K1083" i="1"/>
  <c r="S1083" i="1"/>
  <c r="L1083" i="1"/>
  <c r="T1083" i="1"/>
  <c r="M1083" i="1"/>
  <c r="U1083" i="1"/>
  <c r="P1083" i="1"/>
  <c r="N1083" i="1"/>
  <c r="O1083" i="1"/>
  <c r="Q1083" i="1"/>
  <c r="V1083" i="1"/>
  <c r="AH1075" i="1"/>
  <c r="R1075" i="1"/>
  <c r="K1075" i="1"/>
  <c r="S1075" i="1"/>
  <c r="L1075" i="1"/>
  <c r="T1075" i="1"/>
  <c r="M1075" i="1"/>
  <c r="U1075" i="1"/>
  <c r="P1075" i="1"/>
  <c r="V1075" i="1"/>
  <c r="N1075" i="1"/>
  <c r="Q1075" i="1"/>
  <c r="AH1067" i="1"/>
  <c r="R1067" i="1"/>
  <c r="K1067" i="1"/>
  <c r="S1067" i="1"/>
  <c r="L1067" i="1"/>
  <c r="T1067" i="1"/>
  <c r="M1067" i="1"/>
  <c r="U1067" i="1"/>
  <c r="P1067" i="1"/>
  <c r="N1067" i="1"/>
  <c r="O1067" i="1"/>
  <c r="Q1067" i="1"/>
  <c r="V1067" i="1"/>
  <c r="AH1059" i="1"/>
  <c r="R1059" i="1"/>
  <c r="K1059" i="1"/>
  <c r="S1059" i="1"/>
  <c r="L1059" i="1"/>
  <c r="T1059" i="1"/>
  <c r="M1059" i="1"/>
  <c r="U1059" i="1"/>
  <c r="P1059" i="1"/>
  <c r="V1059" i="1"/>
  <c r="N1059" i="1"/>
  <c r="O1059" i="1"/>
  <c r="Q1059" i="1"/>
  <c r="AH1051" i="1"/>
  <c r="R1051" i="1"/>
  <c r="K1051" i="1"/>
  <c r="S1051" i="1"/>
  <c r="L1051" i="1"/>
  <c r="T1051" i="1"/>
  <c r="M1051" i="1"/>
  <c r="U1051" i="1"/>
  <c r="P1051" i="1"/>
  <c r="N1051" i="1"/>
  <c r="O1051" i="1"/>
  <c r="Q1051" i="1"/>
  <c r="V1051" i="1"/>
  <c r="AH1043" i="1"/>
  <c r="R1043" i="1"/>
  <c r="K1043" i="1"/>
  <c r="S1043" i="1"/>
  <c r="L1043" i="1"/>
  <c r="T1043" i="1"/>
  <c r="M1043" i="1"/>
  <c r="U1043" i="1"/>
  <c r="P1043" i="1"/>
  <c r="V1043" i="1"/>
  <c r="N1043" i="1"/>
  <c r="O1043" i="1"/>
  <c r="Q1043" i="1"/>
  <c r="AH1035" i="1"/>
  <c r="R1035" i="1"/>
  <c r="K1035" i="1"/>
  <c r="S1035" i="1"/>
  <c r="L1035" i="1"/>
  <c r="T1035" i="1"/>
  <c r="M1035" i="1"/>
  <c r="U1035" i="1"/>
  <c r="P1035" i="1"/>
  <c r="N1035" i="1"/>
  <c r="O1035" i="1"/>
  <c r="Q1035" i="1"/>
  <c r="V1035" i="1"/>
  <c r="AH1027" i="1"/>
  <c r="P1027" i="1"/>
  <c r="Q1027" i="1"/>
  <c r="R1027" i="1"/>
  <c r="S1027" i="1"/>
  <c r="K1027" i="1"/>
  <c r="T1027" i="1"/>
  <c r="N1027" i="1"/>
  <c r="L1027" i="1"/>
  <c r="M1027" i="1"/>
  <c r="O1027" i="1"/>
  <c r="U1027" i="1"/>
  <c r="V1027" i="1"/>
  <c r="AH1019" i="1"/>
  <c r="P1019" i="1"/>
  <c r="L1019" i="1"/>
  <c r="U1019" i="1"/>
  <c r="M1019" i="1"/>
  <c r="V1019" i="1"/>
  <c r="N1019" i="1"/>
  <c r="O1019" i="1"/>
  <c r="S1019" i="1"/>
  <c r="K1019" i="1"/>
  <c r="Q1019" i="1"/>
  <c r="R1019" i="1"/>
  <c r="T1019" i="1"/>
  <c r="AH1011" i="1"/>
  <c r="L1011" i="1"/>
  <c r="T1011" i="1"/>
  <c r="N1011" i="1"/>
  <c r="V1011" i="1"/>
  <c r="O1011" i="1"/>
  <c r="P1011" i="1"/>
  <c r="K1011" i="1"/>
  <c r="M1011" i="1"/>
  <c r="Q1011" i="1"/>
  <c r="U1011" i="1"/>
  <c r="R1011" i="1"/>
  <c r="S1011" i="1"/>
  <c r="AH1003" i="1"/>
  <c r="L1003" i="1"/>
  <c r="T1003" i="1"/>
  <c r="N1003" i="1"/>
  <c r="V1003" i="1"/>
  <c r="O1003" i="1"/>
  <c r="P1003" i="1"/>
  <c r="K1003" i="1"/>
  <c r="M1003" i="1"/>
  <c r="Q1003" i="1"/>
  <c r="U1003" i="1"/>
  <c r="R1003" i="1"/>
  <c r="S1003" i="1"/>
  <c r="AH995" i="1"/>
  <c r="L995" i="1"/>
  <c r="T995" i="1"/>
  <c r="N995" i="1"/>
  <c r="V995" i="1"/>
  <c r="O995" i="1"/>
  <c r="P995" i="1"/>
  <c r="K995" i="1"/>
  <c r="M995" i="1"/>
  <c r="Q995" i="1"/>
  <c r="U995" i="1"/>
  <c r="R995" i="1"/>
  <c r="S995" i="1"/>
  <c r="AH987" i="1"/>
  <c r="L987" i="1"/>
  <c r="T987" i="1"/>
  <c r="N987" i="1"/>
  <c r="V987" i="1"/>
  <c r="O987" i="1"/>
  <c r="P987" i="1"/>
  <c r="K987" i="1"/>
  <c r="M987" i="1"/>
  <c r="Q987" i="1"/>
  <c r="U987" i="1"/>
  <c r="R987" i="1"/>
  <c r="S987" i="1"/>
  <c r="AH979" i="1"/>
  <c r="L979" i="1"/>
  <c r="T979" i="1"/>
  <c r="N979" i="1"/>
  <c r="V979" i="1"/>
  <c r="O979" i="1"/>
  <c r="P979" i="1"/>
  <c r="K979" i="1"/>
  <c r="M979" i="1"/>
  <c r="Q979" i="1"/>
  <c r="U979" i="1"/>
  <c r="R979" i="1"/>
  <c r="S979" i="1"/>
  <c r="AH971" i="1"/>
  <c r="L971" i="1"/>
  <c r="T971" i="1"/>
  <c r="N971" i="1"/>
  <c r="V971" i="1"/>
  <c r="O971" i="1"/>
  <c r="P971" i="1"/>
  <c r="K971" i="1"/>
  <c r="M971" i="1"/>
  <c r="Q971" i="1"/>
  <c r="U971" i="1"/>
  <c r="R971" i="1"/>
  <c r="S971" i="1"/>
  <c r="AH963" i="1"/>
  <c r="K963" i="1"/>
  <c r="S963" i="1"/>
  <c r="L963" i="1"/>
  <c r="T963" i="1"/>
  <c r="M963" i="1"/>
  <c r="U963" i="1"/>
  <c r="N963" i="1"/>
  <c r="V963" i="1"/>
  <c r="O963" i="1"/>
  <c r="P963" i="1"/>
  <c r="R963" i="1"/>
  <c r="Q963" i="1"/>
  <c r="AH955" i="1"/>
  <c r="K955" i="1"/>
  <c r="S955" i="1"/>
  <c r="L955" i="1"/>
  <c r="T955" i="1"/>
  <c r="M955" i="1"/>
  <c r="U955" i="1"/>
  <c r="N955" i="1"/>
  <c r="V955" i="1"/>
  <c r="O955" i="1"/>
  <c r="P955" i="1"/>
  <c r="R955" i="1"/>
  <c r="Q955" i="1"/>
  <c r="AH947" i="1"/>
  <c r="K947" i="1"/>
  <c r="S947" i="1"/>
  <c r="L947" i="1"/>
  <c r="T947" i="1"/>
  <c r="M947" i="1"/>
  <c r="U947" i="1"/>
  <c r="N947" i="1"/>
  <c r="V947" i="1"/>
  <c r="O947" i="1"/>
  <c r="P947" i="1"/>
  <c r="R947" i="1"/>
  <c r="Q947" i="1"/>
  <c r="AH939" i="1"/>
  <c r="K939" i="1"/>
  <c r="S939" i="1"/>
  <c r="L939" i="1"/>
  <c r="T939" i="1"/>
  <c r="M939" i="1"/>
  <c r="U939" i="1"/>
  <c r="N939" i="1"/>
  <c r="V939" i="1"/>
  <c r="O939" i="1"/>
  <c r="P939" i="1"/>
  <c r="R939" i="1"/>
  <c r="Q939" i="1"/>
  <c r="AH931" i="1"/>
  <c r="K931" i="1"/>
  <c r="S931" i="1"/>
  <c r="L931" i="1"/>
  <c r="T931" i="1"/>
  <c r="M931" i="1"/>
  <c r="U931" i="1"/>
  <c r="N931" i="1"/>
  <c r="V931" i="1"/>
  <c r="O931" i="1"/>
  <c r="P931" i="1"/>
  <c r="R931" i="1"/>
  <c r="Q931" i="1"/>
  <c r="AH923" i="1"/>
  <c r="K923" i="1"/>
  <c r="S923" i="1"/>
  <c r="L923" i="1"/>
  <c r="T923" i="1"/>
  <c r="M923" i="1"/>
  <c r="U923" i="1"/>
  <c r="N923" i="1"/>
  <c r="V923" i="1"/>
  <c r="O923" i="1"/>
  <c r="P923" i="1"/>
  <c r="R923" i="1"/>
  <c r="Q923" i="1"/>
  <c r="AH915" i="1"/>
  <c r="K915" i="1"/>
  <c r="S915" i="1"/>
  <c r="L915" i="1"/>
  <c r="T915" i="1"/>
  <c r="M915" i="1"/>
  <c r="U915" i="1"/>
  <c r="N915" i="1"/>
  <c r="V915" i="1"/>
  <c r="O915" i="1"/>
  <c r="P915" i="1"/>
  <c r="R915" i="1"/>
  <c r="Q915" i="1"/>
  <c r="AH907" i="1"/>
  <c r="K907" i="1"/>
  <c r="S907" i="1"/>
  <c r="L907" i="1"/>
  <c r="T907" i="1"/>
  <c r="M907" i="1"/>
  <c r="U907" i="1"/>
  <c r="N907" i="1"/>
  <c r="V907" i="1"/>
  <c r="O907" i="1"/>
  <c r="P907" i="1"/>
  <c r="R907" i="1"/>
  <c r="Q907" i="1"/>
  <c r="AH899" i="1"/>
  <c r="K899" i="1"/>
  <c r="S899" i="1"/>
  <c r="L899" i="1"/>
  <c r="T899" i="1"/>
  <c r="M899" i="1"/>
  <c r="U899" i="1"/>
  <c r="N899" i="1"/>
  <c r="V899" i="1"/>
  <c r="O899" i="1"/>
  <c r="P899" i="1"/>
  <c r="R899" i="1"/>
  <c r="Q899" i="1"/>
  <c r="AH891" i="1"/>
  <c r="K891" i="1"/>
  <c r="S891" i="1"/>
  <c r="L891" i="1"/>
  <c r="T891" i="1"/>
  <c r="M891" i="1"/>
  <c r="U891" i="1"/>
  <c r="N891" i="1"/>
  <c r="V891" i="1"/>
  <c r="O891" i="1"/>
  <c r="P891" i="1"/>
  <c r="R891" i="1"/>
  <c r="Q891" i="1"/>
  <c r="AH883" i="1"/>
  <c r="K883" i="1"/>
  <c r="S883" i="1"/>
  <c r="L883" i="1"/>
  <c r="T883" i="1"/>
  <c r="M883" i="1"/>
  <c r="U883" i="1"/>
  <c r="N883" i="1"/>
  <c r="V883" i="1"/>
  <c r="O883" i="1"/>
  <c r="P883" i="1"/>
  <c r="R883" i="1"/>
  <c r="Q883" i="1"/>
  <c r="AH875" i="1"/>
  <c r="K875" i="1"/>
  <c r="S875" i="1"/>
  <c r="L875" i="1"/>
  <c r="T875" i="1"/>
  <c r="M875" i="1"/>
  <c r="U875" i="1"/>
  <c r="N875" i="1"/>
  <c r="V875" i="1"/>
  <c r="O875" i="1"/>
  <c r="P875" i="1"/>
  <c r="R875" i="1"/>
  <c r="Q875" i="1"/>
  <c r="AH867" i="1"/>
  <c r="M867" i="1"/>
  <c r="U867" i="1"/>
  <c r="R867" i="1"/>
  <c r="S867" i="1"/>
  <c r="T867" i="1"/>
  <c r="K867" i="1"/>
  <c r="V867" i="1"/>
  <c r="L867" i="1"/>
  <c r="N867" i="1"/>
  <c r="O867" i="1"/>
  <c r="Q867" i="1"/>
  <c r="P867" i="1"/>
  <c r="AH859" i="1"/>
  <c r="M859" i="1"/>
  <c r="U859" i="1"/>
  <c r="R859" i="1"/>
  <c r="S859" i="1"/>
  <c r="T859" i="1"/>
  <c r="K859" i="1"/>
  <c r="V859" i="1"/>
  <c r="L859" i="1"/>
  <c r="N859" i="1"/>
  <c r="O859" i="1"/>
  <c r="Q859" i="1"/>
  <c r="P859" i="1"/>
  <c r="AH851" i="1"/>
  <c r="M851" i="1"/>
  <c r="U851" i="1"/>
  <c r="R851" i="1"/>
  <c r="S851" i="1"/>
  <c r="T851" i="1"/>
  <c r="K851" i="1"/>
  <c r="V851" i="1"/>
  <c r="L851" i="1"/>
  <c r="N851" i="1"/>
  <c r="O851" i="1"/>
  <c r="P851" i="1"/>
  <c r="Q851" i="1"/>
  <c r="AH843" i="1"/>
  <c r="M843" i="1"/>
  <c r="U843" i="1"/>
  <c r="N843" i="1"/>
  <c r="V843" i="1"/>
  <c r="R843" i="1"/>
  <c r="L843" i="1"/>
  <c r="O843" i="1"/>
  <c r="P843" i="1"/>
  <c r="Q843" i="1"/>
  <c r="S843" i="1"/>
  <c r="T843" i="1"/>
  <c r="K843" i="1"/>
  <c r="AH835" i="1"/>
  <c r="M835" i="1"/>
  <c r="U835" i="1"/>
  <c r="N835" i="1"/>
  <c r="V835" i="1"/>
  <c r="Q835" i="1"/>
  <c r="R835" i="1"/>
  <c r="K835" i="1"/>
  <c r="L835" i="1"/>
  <c r="O835" i="1"/>
  <c r="P835" i="1"/>
  <c r="T835" i="1"/>
  <c r="S835" i="1"/>
  <c r="AH827" i="1"/>
  <c r="M827" i="1"/>
  <c r="U827" i="1"/>
  <c r="N827" i="1"/>
  <c r="V827" i="1"/>
  <c r="Q827" i="1"/>
  <c r="R827" i="1"/>
  <c r="K827" i="1"/>
  <c r="L827" i="1"/>
  <c r="O827" i="1"/>
  <c r="P827" i="1"/>
  <c r="S827" i="1"/>
  <c r="T827" i="1"/>
  <c r="AH819" i="1"/>
  <c r="M819" i="1"/>
  <c r="U819" i="1"/>
  <c r="N819" i="1"/>
  <c r="V819" i="1"/>
  <c r="Q819" i="1"/>
  <c r="R819" i="1"/>
  <c r="K819" i="1"/>
  <c r="L819" i="1"/>
  <c r="O819" i="1"/>
  <c r="P819" i="1"/>
  <c r="T819" i="1"/>
  <c r="S819" i="1"/>
  <c r="AH811" i="1"/>
  <c r="M811" i="1"/>
  <c r="U811" i="1"/>
  <c r="N811" i="1"/>
  <c r="V811" i="1"/>
  <c r="O811" i="1"/>
  <c r="Q811" i="1"/>
  <c r="R811" i="1"/>
  <c r="K811" i="1"/>
  <c r="L811" i="1"/>
  <c r="P811" i="1"/>
  <c r="S811" i="1"/>
  <c r="T811" i="1"/>
  <c r="AH803" i="1"/>
  <c r="M803" i="1"/>
  <c r="U803" i="1"/>
  <c r="N803" i="1"/>
  <c r="V803" i="1"/>
  <c r="O803" i="1"/>
  <c r="Q803" i="1"/>
  <c r="R803" i="1"/>
  <c r="T803" i="1"/>
  <c r="K803" i="1"/>
  <c r="L803" i="1"/>
  <c r="P803" i="1"/>
  <c r="S803" i="1"/>
  <c r="AH795" i="1"/>
  <c r="M795" i="1"/>
  <c r="U795" i="1"/>
  <c r="N795" i="1"/>
  <c r="V795" i="1"/>
  <c r="O795" i="1"/>
  <c r="Q795" i="1"/>
  <c r="R795" i="1"/>
  <c r="K795" i="1"/>
  <c r="L795" i="1"/>
  <c r="P795" i="1"/>
  <c r="S795" i="1"/>
  <c r="T795" i="1"/>
  <c r="AH787" i="1"/>
  <c r="M787" i="1"/>
  <c r="U787" i="1"/>
  <c r="N787" i="1"/>
  <c r="V787" i="1"/>
  <c r="O787" i="1"/>
  <c r="Q787" i="1"/>
  <c r="R787" i="1"/>
  <c r="T787" i="1"/>
  <c r="K787" i="1"/>
  <c r="L787" i="1"/>
  <c r="S787" i="1"/>
  <c r="P787" i="1"/>
  <c r="AH779" i="1"/>
  <c r="L779" i="1"/>
  <c r="T779" i="1"/>
  <c r="K779" i="1"/>
  <c r="U779" i="1"/>
  <c r="M779" i="1"/>
  <c r="V779" i="1"/>
  <c r="N779" i="1"/>
  <c r="P779" i="1"/>
  <c r="Q779" i="1"/>
  <c r="O779" i="1"/>
  <c r="R779" i="1"/>
  <c r="S779" i="1"/>
  <c r="AH771" i="1"/>
  <c r="K771" i="1"/>
  <c r="S771" i="1"/>
  <c r="L771" i="1"/>
  <c r="T771" i="1"/>
  <c r="R771" i="1"/>
  <c r="U771" i="1"/>
  <c r="V771" i="1"/>
  <c r="M771" i="1"/>
  <c r="N771" i="1"/>
  <c r="O771" i="1"/>
  <c r="P771" i="1"/>
  <c r="Q771" i="1"/>
  <c r="AH763" i="1"/>
  <c r="K763" i="1"/>
  <c r="S763" i="1"/>
  <c r="L763" i="1"/>
  <c r="T763" i="1"/>
  <c r="R763" i="1"/>
  <c r="U763" i="1"/>
  <c r="V763" i="1"/>
  <c r="M763" i="1"/>
  <c r="N763" i="1"/>
  <c r="O763" i="1"/>
  <c r="P763" i="1"/>
  <c r="Q763" i="1"/>
  <c r="AH755" i="1"/>
  <c r="K755" i="1"/>
  <c r="S755" i="1"/>
  <c r="L755" i="1"/>
  <c r="T755" i="1"/>
  <c r="R755" i="1"/>
  <c r="U755" i="1"/>
  <c r="V755" i="1"/>
  <c r="M755" i="1"/>
  <c r="N755" i="1"/>
  <c r="O755" i="1"/>
  <c r="P755" i="1"/>
  <c r="Q755" i="1"/>
  <c r="AH747" i="1"/>
  <c r="K747" i="1"/>
  <c r="S747" i="1"/>
  <c r="L747" i="1"/>
  <c r="T747" i="1"/>
  <c r="R747" i="1"/>
  <c r="U747" i="1"/>
  <c r="V747" i="1"/>
  <c r="M747" i="1"/>
  <c r="N747" i="1"/>
  <c r="O747" i="1"/>
  <c r="Q747" i="1"/>
  <c r="P747" i="1"/>
  <c r="AH739" i="1"/>
  <c r="K739" i="1"/>
  <c r="S739" i="1"/>
  <c r="L739" i="1"/>
  <c r="T739" i="1"/>
  <c r="R739" i="1"/>
  <c r="U739" i="1"/>
  <c r="V739" i="1"/>
  <c r="M739" i="1"/>
  <c r="N739" i="1"/>
  <c r="O739" i="1"/>
  <c r="P739" i="1"/>
  <c r="AH731" i="1"/>
  <c r="K731" i="1"/>
  <c r="S731" i="1"/>
  <c r="L731" i="1"/>
  <c r="T731" i="1"/>
  <c r="R731" i="1"/>
  <c r="U731" i="1"/>
  <c r="V731" i="1"/>
  <c r="M731" i="1"/>
  <c r="N731" i="1"/>
  <c r="O731" i="1"/>
  <c r="P731" i="1"/>
  <c r="Q731" i="1"/>
  <c r="AH723" i="1"/>
  <c r="K723" i="1"/>
  <c r="S723" i="1"/>
  <c r="L723" i="1"/>
  <c r="T723" i="1"/>
  <c r="R723" i="1"/>
  <c r="U723" i="1"/>
  <c r="V723" i="1"/>
  <c r="M723" i="1"/>
  <c r="N723" i="1"/>
  <c r="O723" i="1"/>
  <c r="P723" i="1"/>
  <c r="Q723" i="1"/>
  <c r="AH715" i="1"/>
  <c r="K715" i="1"/>
  <c r="S715" i="1"/>
  <c r="L715" i="1"/>
  <c r="T715" i="1"/>
  <c r="R715" i="1"/>
  <c r="U715" i="1"/>
  <c r="V715" i="1"/>
  <c r="M715" i="1"/>
  <c r="N715" i="1"/>
  <c r="O715" i="1"/>
  <c r="Q715" i="1"/>
  <c r="P715" i="1"/>
  <c r="AH707" i="1"/>
  <c r="K707" i="1"/>
  <c r="S707" i="1"/>
  <c r="L707" i="1"/>
  <c r="T707" i="1"/>
  <c r="R707" i="1"/>
  <c r="U707" i="1"/>
  <c r="V707" i="1"/>
  <c r="M707" i="1"/>
  <c r="N707" i="1"/>
  <c r="O707" i="1"/>
  <c r="P707" i="1"/>
  <c r="Q707" i="1"/>
  <c r="AH699" i="1"/>
  <c r="K699" i="1"/>
  <c r="S699" i="1"/>
  <c r="L699" i="1"/>
  <c r="T699" i="1"/>
  <c r="R699" i="1"/>
  <c r="U699" i="1"/>
  <c r="V699" i="1"/>
  <c r="M699" i="1"/>
  <c r="N699" i="1"/>
  <c r="O699" i="1"/>
  <c r="P699" i="1"/>
  <c r="Q699" i="1"/>
  <c r="AH691" i="1"/>
  <c r="K691" i="1"/>
  <c r="S691" i="1"/>
  <c r="L691" i="1"/>
  <c r="T691" i="1"/>
  <c r="R691" i="1"/>
  <c r="U691" i="1"/>
  <c r="V691" i="1"/>
  <c r="M691" i="1"/>
  <c r="N691" i="1"/>
  <c r="O691" i="1"/>
  <c r="P691" i="1"/>
  <c r="Q691" i="1"/>
  <c r="AH683" i="1"/>
  <c r="K683" i="1"/>
  <c r="S683" i="1"/>
  <c r="L683" i="1"/>
  <c r="T683" i="1"/>
  <c r="R683" i="1"/>
  <c r="U683" i="1"/>
  <c r="V683" i="1"/>
  <c r="M683" i="1"/>
  <c r="N683" i="1"/>
  <c r="O683" i="1"/>
  <c r="Q683" i="1"/>
  <c r="P683" i="1"/>
  <c r="AH675" i="1"/>
  <c r="K675" i="1"/>
  <c r="S675" i="1"/>
  <c r="L675" i="1"/>
  <c r="T675" i="1"/>
  <c r="R675" i="1"/>
  <c r="U675" i="1"/>
  <c r="V675" i="1"/>
  <c r="M675" i="1"/>
  <c r="N675" i="1"/>
  <c r="O675" i="1"/>
  <c r="P675" i="1"/>
  <c r="Q675" i="1"/>
  <c r="AH667" i="1"/>
  <c r="K667" i="1"/>
  <c r="S667" i="1"/>
  <c r="L667" i="1"/>
  <c r="T667" i="1"/>
  <c r="O667" i="1"/>
  <c r="Q667" i="1"/>
  <c r="R667" i="1"/>
  <c r="U667" i="1"/>
  <c r="V667" i="1"/>
  <c r="M667" i="1"/>
  <c r="N667" i="1"/>
  <c r="P667" i="1"/>
  <c r="AH659" i="1"/>
  <c r="K659" i="1"/>
  <c r="S659" i="1"/>
  <c r="L659" i="1"/>
  <c r="T659" i="1"/>
  <c r="O659" i="1"/>
  <c r="M659" i="1"/>
  <c r="N659" i="1"/>
  <c r="P659" i="1"/>
  <c r="Q659" i="1"/>
  <c r="R659" i="1"/>
  <c r="V659" i="1"/>
  <c r="U659" i="1"/>
  <c r="AH651" i="1"/>
  <c r="K651" i="1"/>
  <c r="S651" i="1"/>
  <c r="L651" i="1"/>
  <c r="T651" i="1"/>
  <c r="O651" i="1"/>
  <c r="Q651" i="1"/>
  <c r="R651" i="1"/>
  <c r="U651" i="1"/>
  <c r="V651" i="1"/>
  <c r="M651" i="1"/>
  <c r="P651" i="1"/>
  <c r="N651" i="1"/>
  <c r="AH643" i="1"/>
  <c r="K643" i="1"/>
  <c r="S643" i="1"/>
  <c r="L643" i="1"/>
  <c r="T643" i="1"/>
  <c r="O643" i="1"/>
  <c r="M643" i="1"/>
  <c r="N643" i="1"/>
  <c r="P643" i="1"/>
  <c r="Q643" i="1"/>
  <c r="R643" i="1"/>
  <c r="U643" i="1"/>
  <c r="V643" i="1"/>
  <c r="AH635" i="1"/>
  <c r="K635" i="1"/>
  <c r="S635" i="1"/>
  <c r="L635" i="1"/>
  <c r="T635" i="1"/>
  <c r="O635" i="1"/>
  <c r="Q635" i="1"/>
  <c r="R635" i="1"/>
  <c r="U635" i="1"/>
  <c r="V635" i="1"/>
  <c r="M635" i="1"/>
  <c r="N635" i="1"/>
  <c r="P635" i="1"/>
  <c r="AH627" i="1"/>
  <c r="K627" i="1"/>
  <c r="S627" i="1"/>
  <c r="L627" i="1"/>
  <c r="T627" i="1"/>
  <c r="O627" i="1"/>
  <c r="M627" i="1"/>
  <c r="N627" i="1"/>
  <c r="P627" i="1"/>
  <c r="Q627" i="1"/>
  <c r="R627" i="1"/>
  <c r="U627" i="1"/>
  <c r="V627" i="1"/>
  <c r="AH619" i="1"/>
  <c r="K619" i="1"/>
  <c r="S619" i="1"/>
  <c r="L619" i="1"/>
  <c r="T619" i="1"/>
  <c r="O619" i="1"/>
  <c r="P619" i="1"/>
  <c r="M619" i="1"/>
  <c r="N619" i="1"/>
  <c r="Q619" i="1"/>
  <c r="R619" i="1"/>
  <c r="U619" i="1"/>
  <c r="V619" i="1"/>
  <c r="AH611" i="1"/>
  <c r="K611" i="1"/>
  <c r="S611" i="1"/>
  <c r="T611" i="1"/>
  <c r="L611" i="1"/>
  <c r="U611" i="1"/>
  <c r="O611" i="1"/>
  <c r="P611" i="1"/>
  <c r="V611" i="1"/>
  <c r="M611" i="1"/>
  <c r="N611" i="1"/>
  <c r="Q611" i="1"/>
  <c r="R611" i="1"/>
  <c r="AH603" i="1"/>
  <c r="K603" i="1"/>
  <c r="S603" i="1"/>
  <c r="P603" i="1"/>
  <c r="R603" i="1"/>
  <c r="T603" i="1"/>
  <c r="M603" i="1"/>
  <c r="N603" i="1"/>
  <c r="U603" i="1"/>
  <c r="V603" i="1"/>
  <c r="L603" i="1"/>
  <c r="Q603" i="1"/>
  <c r="O603" i="1"/>
  <c r="AH595" i="1"/>
  <c r="K595" i="1"/>
  <c r="S595" i="1"/>
  <c r="P595" i="1"/>
  <c r="R595" i="1"/>
  <c r="T595" i="1"/>
  <c r="U595" i="1"/>
  <c r="M595" i="1"/>
  <c r="N595" i="1"/>
  <c r="L595" i="1"/>
  <c r="O595" i="1"/>
  <c r="Q595" i="1"/>
  <c r="V595" i="1"/>
  <c r="AH587" i="1"/>
  <c r="K587" i="1"/>
  <c r="S587" i="1"/>
  <c r="P587" i="1"/>
  <c r="R587" i="1"/>
  <c r="T587" i="1"/>
  <c r="U587" i="1"/>
  <c r="M587" i="1"/>
  <c r="N587" i="1"/>
  <c r="L587" i="1"/>
  <c r="O587" i="1"/>
  <c r="Q587" i="1"/>
  <c r="V587" i="1"/>
  <c r="AH579" i="1"/>
  <c r="K579" i="1"/>
  <c r="S579" i="1"/>
  <c r="M579" i="1"/>
  <c r="U579" i="1"/>
  <c r="P579" i="1"/>
  <c r="O579" i="1"/>
  <c r="Q579" i="1"/>
  <c r="R579" i="1"/>
  <c r="T579" i="1"/>
  <c r="V579" i="1"/>
  <c r="N579" i="1"/>
  <c r="L579" i="1"/>
  <c r="AH571" i="1"/>
  <c r="K571" i="1"/>
  <c r="S571" i="1"/>
  <c r="M571" i="1"/>
  <c r="U571" i="1"/>
  <c r="P571" i="1"/>
  <c r="V571" i="1"/>
  <c r="L571" i="1"/>
  <c r="N571" i="1"/>
  <c r="O571" i="1"/>
  <c r="Q571" i="1"/>
  <c r="R571" i="1"/>
  <c r="T571" i="1"/>
  <c r="AH563" i="1"/>
  <c r="K563" i="1"/>
  <c r="S563" i="1"/>
  <c r="M563" i="1"/>
  <c r="U563" i="1"/>
  <c r="P563" i="1"/>
  <c r="O563" i="1"/>
  <c r="Q563" i="1"/>
  <c r="R563" i="1"/>
  <c r="T563" i="1"/>
  <c r="V563" i="1"/>
  <c r="L563" i="1"/>
  <c r="N563" i="1"/>
  <c r="AH555" i="1"/>
  <c r="K555" i="1"/>
  <c r="S555" i="1"/>
  <c r="L555" i="1"/>
  <c r="T555" i="1"/>
  <c r="M555" i="1"/>
  <c r="U555" i="1"/>
  <c r="P555" i="1"/>
  <c r="N555" i="1"/>
  <c r="O555" i="1"/>
  <c r="Q555" i="1"/>
  <c r="R555" i="1"/>
  <c r="V555" i="1"/>
  <c r="AH547" i="1"/>
  <c r="M547" i="1"/>
  <c r="U547" i="1"/>
  <c r="L547" i="1"/>
  <c r="V547" i="1"/>
  <c r="N547" i="1"/>
  <c r="P547" i="1"/>
  <c r="Q547" i="1"/>
  <c r="K547" i="1"/>
  <c r="O547" i="1"/>
  <c r="R547" i="1"/>
  <c r="S547" i="1"/>
  <c r="T547" i="1"/>
  <c r="AH539" i="1"/>
  <c r="M539" i="1"/>
  <c r="U539" i="1"/>
  <c r="Q539" i="1"/>
  <c r="R539" i="1"/>
  <c r="K539" i="1"/>
  <c r="T539" i="1"/>
  <c r="L539" i="1"/>
  <c r="V539" i="1"/>
  <c r="P539" i="1"/>
  <c r="S539" i="1"/>
  <c r="N539" i="1"/>
  <c r="O539" i="1"/>
  <c r="AH531" i="1"/>
  <c r="M531" i="1"/>
  <c r="U531" i="1"/>
  <c r="L531" i="1"/>
  <c r="V531" i="1"/>
  <c r="N531" i="1"/>
  <c r="P531" i="1"/>
  <c r="Q531" i="1"/>
  <c r="T531" i="1"/>
  <c r="R531" i="1"/>
  <c r="K531" i="1"/>
  <c r="O531" i="1"/>
  <c r="S531" i="1"/>
  <c r="AH523" i="1"/>
  <c r="M523" i="1"/>
  <c r="U523" i="1"/>
  <c r="Q523" i="1"/>
  <c r="R523" i="1"/>
  <c r="K523" i="1"/>
  <c r="T523" i="1"/>
  <c r="L523" i="1"/>
  <c r="V523" i="1"/>
  <c r="N523" i="1"/>
  <c r="O523" i="1"/>
  <c r="P523" i="1"/>
  <c r="S523" i="1"/>
  <c r="AH515" i="1"/>
  <c r="M515" i="1"/>
  <c r="U515" i="1"/>
  <c r="L515" i="1"/>
  <c r="V515" i="1"/>
  <c r="N515" i="1"/>
  <c r="P515" i="1"/>
  <c r="Q515" i="1"/>
  <c r="K515" i="1"/>
  <c r="O515" i="1"/>
  <c r="R515" i="1"/>
  <c r="S515" i="1"/>
  <c r="T515" i="1"/>
  <c r="AH507" i="1"/>
  <c r="M507" i="1"/>
  <c r="U507" i="1"/>
  <c r="Q507" i="1"/>
  <c r="R507" i="1"/>
  <c r="K507" i="1"/>
  <c r="T507" i="1"/>
  <c r="L507" i="1"/>
  <c r="V507" i="1"/>
  <c r="P507" i="1"/>
  <c r="S507" i="1"/>
  <c r="N507" i="1"/>
  <c r="O507" i="1"/>
  <c r="AH499" i="1"/>
  <c r="K499" i="1"/>
  <c r="M499" i="1"/>
  <c r="U499" i="1"/>
  <c r="O499" i="1"/>
  <c r="S499" i="1"/>
  <c r="T499" i="1"/>
  <c r="L499" i="1"/>
  <c r="N499" i="1"/>
  <c r="R499" i="1"/>
  <c r="V499" i="1"/>
  <c r="P499" i="1"/>
  <c r="Q499" i="1"/>
  <c r="AH491" i="1"/>
  <c r="K491" i="1"/>
  <c r="S491" i="1"/>
  <c r="M491" i="1"/>
  <c r="U491" i="1"/>
  <c r="O491" i="1"/>
  <c r="N491" i="1"/>
  <c r="P491" i="1"/>
  <c r="R491" i="1"/>
  <c r="T491" i="1"/>
  <c r="L491" i="1"/>
  <c r="Q491" i="1"/>
  <c r="V491" i="1"/>
  <c r="AH483" i="1"/>
  <c r="K483" i="1"/>
  <c r="S483" i="1"/>
  <c r="M483" i="1"/>
  <c r="U483" i="1"/>
  <c r="O483" i="1"/>
  <c r="T483" i="1"/>
  <c r="V483" i="1"/>
  <c r="L483" i="1"/>
  <c r="N483" i="1"/>
  <c r="P483" i="1"/>
  <c r="Q483" i="1"/>
  <c r="R483" i="1"/>
  <c r="AH475" i="1"/>
  <c r="K475" i="1"/>
  <c r="S475" i="1"/>
  <c r="M475" i="1"/>
  <c r="U475" i="1"/>
  <c r="O475" i="1"/>
  <c r="N475" i="1"/>
  <c r="P475" i="1"/>
  <c r="R475" i="1"/>
  <c r="T475" i="1"/>
  <c r="V475" i="1"/>
  <c r="L475" i="1"/>
  <c r="Q475" i="1"/>
  <c r="AH467" i="1"/>
  <c r="K467" i="1"/>
  <c r="S467" i="1"/>
  <c r="M467" i="1"/>
  <c r="U467" i="1"/>
  <c r="O467" i="1"/>
  <c r="T467" i="1"/>
  <c r="V467" i="1"/>
  <c r="L467" i="1"/>
  <c r="N467" i="1"/>
  <c r="R467" i="1"/>
  <c r="P467" i="1"/>
  <c r="Q467" i="1"/>
  <c r="AH459" i="1"/>
  <c r="K459" i="1"/>
  <c r="S459" i="1"/>
  <c r="M459" i="1"/>
  <c r="U459" i="1"/>
  <c r="O459" i="1"/>
  <c r="N459" i="1"/>
  <c r="P459" i="1"/>
  <c r="R459" i="1"/>
  <c r="T459" i="1"/>
  <c r="L459" i="1"/>
  <c r="Q459" i="1"/>
  <c r="V459" i="1"/>
  <c r="AH451" i="1"/>
  <c r="K451" i="1"/>
  <c r="S451" i="1"/>
  <c r="M451" i="1"/>
  <c r="U451" i="1"/>
  <c r="O451" i="1"/>
  <c r="T451" i="1"/>
  <c r="V451" i="1"/>
  <c r="L451" i="1"/>
  <c r="N451" i="1"/>
  <c r="P451" i="1"/>
  <c r="Q451" i="1"/>
  <c r="R451" i="1"/>
  <c r="AH443" i="1"/>
  <c r="L443" i="1"/>
  <c r="T443" i="1"/>
  <c r="M443" i="1"/>
  <c r="U443" i="1"/>
  <c r="N443" i="1"/>
  <c r="V443" i="1"/>
  <c r="P443" i="1"/>
  <c r="R443" i="1"/>
  <c r="K443" i="1"/>
  <c r="O443" i="1"/>
  <c r="Q443" i="1"/>
  <c r="S443" i="1"/>
  <c r="AH435" i="1"/>
  <c r="L435" i="1"/>
  <c r="T435" i="1"/>
  <c r="M435" i="1"/>
  <c r="U435" i="1"/>
  <c r="N435" i="1"/>
  <c r="V435" i="1"/>
  <c r="K435" i="1"/>
  <c r="P435" i="1"/>
  <c r="Q435" i="1"/>
  <c r="R435" i="1"/>
  <c r="O435" i="1"/>
  <c r="S435" i="1"/>
  <c r="AH427" i="1"/>
  <c r="L427" i="1"/>
  <c r="T427" i="1"/>
  <c r="M427" i="1"/>
  <c r="U427" i="1"/>
  <c r="N427" i="1"/>
  <c r="V427" i="1"/>
  <c r="P427" i="1"/>
  <c r="R427" i="1"/>
  <c r="K427" i="1"/>
  <c r="Q427" i="1"/>
  <c r="S427" i="1"/>
  <c r="O427" i="1"/>
  <c r="AH419" i="1"/>
  <c r="L419" i="1"/>
  <c r="T419" i="1"/>
  <c r="M419" i="1"/>
  <c r="U419" i="1"/>
  <c r="N419" i="1"/>
  <c r="V419" i="1"/>
  <c r="K419" i="1"/>
  <c r="P419" i="1"/>
  <c r="O419" i="1"/>
  <c r="Q419" i="1"/>
  <c r="R419" i="1"/>
  <c r="S419" i="1"/>
  <c r="AH411" i="1"/>
  <c r="L411" i="1"/>
  <c r="T411" i="1"/>
  <c r="M411" i="1"/>
  <c r="U411" i="1"/>
  <c r="N411" i="1"/>
  <c r="V411" i="1"/>
  <c r="P411" i="1"/>
  <c r="R411" i="1"/>
  <c r="Q411" i="1"/>
  <c r="S411" i="1"/>
  <c r="O411" i="1"/>
  <c r="K411" i="1"/>
  <c r="AH403" i="1"/>
  <c r="L403" i="1"/>
  <c r="T403" i="1"/>
  <c r="M403" i="1"/>
  <c r="U403" i="1"/>
  <c r="N403" i="1"/>
  <c r="V403" i="1"/>
  <c r="K403" i="1"/>
  <c r="P403" i="1"/>
  <c r="O403" i="1"/>
  <c r="R403" i="1"/>
  <c r="S403" i="1"/>
  <c r="Q403" i="1"/>
  <c r="AH395" i="1"/>
  <c r="L395" i="1"/>
  <c r="T395" i="1"/>
  <c r="M395" i="1"/>
  <c r="U395" i="1"/>
  <c r="N395" i="1"/>
  <c r="V395" i="1"/>
  <c r="P395" i="1"/>
  <c r="R395" i="1"/>
  <c r="K395" i="1"/>
  <c r="O395" i="1"/>
  <c r="Q395" i="1"/>
  <c r="S395" i="1"/>
  <c r="AH387" i="1"/>
  <c r="L387" i="1"/>
  <c r="T387" i="1"/>
  <c r="M387" i="1"/>
  <c r="U387" i="1"/>
  <c r="N387" i="1"/>
  <c r="V387" i="1"/>
  <c r="K387" i="1"/>
  <c r="P387" i="1"/>
  <c r="R387" i="1"/>
  <c r="S387" i="1"/>
  <c r="Q387" i="1"/>
  <c r="O387" i="1"/>
  <c r="AH379" i="1"/>
  <c r="Q379" i="1"/>
  <c r="K379" i="1"/>
  <c r="S379" i="1"/>
  <c r="M379" i="1"/>
  <c r="N379" i="1"/>
  <c r="O379" i="1"/>
  <c r="V379" i="1"/>
  <c r="P379" i="1"/>
  <c r="L379" i="1"/>
  <c r="R379" i="1"/>
  <c r="T379" i="1"/>
  <c r="U379" i="1"/>
  <c r="AH371" i="1"/>
  <c r="Q371" i="1"/>
  <c r="R371" i="1"/>
  <c r="K371" i="1"/>
  <c r="S371" i="1"/>
  <c r="P371" i="1"/>
  <c r="T371" i="1"/>
  <c r="U371" i="1"/>
  <c r="M371" i="1"/>
  <c r="N371" i="1"/>
  <c r="O371" i="1"/>
  <c r="V371" i="1"/>
  <c r="L371" i="1"/>
  <c r="AH363" i="1"/>
  <c r="Q363" i="1"/>
  <c r="R363" i="1"/>
  <c r="K363" i="1"/>
  <c r="S363" i="1"/>
  <c r="L363" i="1"/>
  <c r="M363" i="1"/>
  <c r="N363" i="1"/>
  <c r="O363" i="1"/>
  <c r="T363" i="1"/>
  <c r="P363" i="1"/>
  <c r="V363" i="1"/>
  <c r="U363" i="1"/>
  <c r="AH355" i="1"/>
  <c r="Q355" i="1"/>
  <c r="R355" i="1"/>
  <c r="K355" i="1"/>
  <c r="S355" i="1"/>
  <c r="L355" i="1"/>
  <c r="T355" i="1"/>
  <c r="O355" i="1"/>
  <c r="M355" i="1"/>
  <c r="N355" i="1"/>
  <c r="U355" i="1"/>
  <c r="V355" i="1"/>
  <c r="P355" i="1"/>
  <c r="AH347" i="1"/>
  <c r="Q347" i="1"/>
  <c r="R347" i="1"/>
  <c r="K347" i="1"/>
  <c r="S347" i="1"/>
  <c r="L347" i="1"/>
  <c r="T347" i="1"/>
  <c r="O347" i="1"/>
  <c r="P347" i="1"/>
  <c r="U347" i="1"/>
  <c r="V347" i="1"/>
  <c r="M347" i="1"/>
  <c r="N347" i="1"/>
  <c r="AH339" i="1"/>
  <c r="Q339" i="1"/>
  <c r="R339" i="1"/>
  <c r="K339" i="1"/>
  <c r="S339" i="1"/>
  <c r="L339" i="1"/>
  <c r="T339" i="1"/>
  <c r="O339" i="1"/>
  <c r="M339" i="1"/>
  <c r="N339" i="1"/>
  <c r="U339" i="1"/>
  <c r="P339" i="1"/>
  <c r="V339" i="1"/>
  <c r="AH331" i="1"/>
  <c r="Q331" i="1"/>
  <c r="R331" i="1"/>
  <c r="K331" i="1"/>
  <c r="S331" i="1"/>
  <c r="L331" i="1"/>
  <c r="T331" i="1"/>
  <c r="O331" i="1"/>
  <c r="P331" i="1"/>
  <c r="U331" i="1"/>
  <c r="V331" i="1"/>
  <c r="M331" i="1"/>
  <c r="N331" i="1"/>
  <c r="AH323" i="1"/>
  <c r="Q323" i="1"/>
  <c r="R323" i="1"/>
  <c r="K323" i="1"/>
  <c r="S323" i="1"/>
  <c r="L323" i="1"/>
  <c r="T323" i="1"/>
  <c r="O323" i="1"/>
  <c r="M323" i="1"/>
  <c r="N323" i="1"/>
  <c r="U323" i="1"/>
  <c r="V323" i="1"/>
  <c r="P323" i="1"/>
  <c r="AH315" i="1"/>
  <c r="M315" i="1"/>
  <c r="U315" i="1"/>
  <c r="K315" i="1"/>
  <c r="T315" i="1"/>
  <c r="L315" i="1"/>
  <c r="V315" i="1"/>
  <c r="N315" i="1"/>
  <c r="O315" i="1"/>
  <c r="R315" i="1"/>
  <c r="P315" i="1"/>
  <c r="Q315" i="1"/>
  <c r="S315" i="1"/>
  <c r="AH307" i="1"/>
  <c r="M307" i="1"/>
  <c r="U307" i="1"/>
  <c r="P307" i="1"/>
  <c r="Q307" i="1"/>
  <c r="R307" i="1"/>
  <c r="S307" i="1"/>
  <c r="N307" i="1"/>
  <c r="K307" i="1"/>
  <c r="L307" i="1"/>
  <c r="O307" i="1"/>
  <c r="T307" i="1"/>
  <c r="V307" i="1"/>
  <c r="AH299" i="1"/>
  <c r="M299" i="1"/>
  <c r="U299" i="1"/>
  <c r="K299" i="1"/>
  <c r="T299" i="1"/>
  <c r="L299" i="1"/>
  <c r="V299" i="1"/>
  <c r="O299" i="1"/>
  <c r="N299" i="1"/>
  <c r="P299" i="1"/>
  <c r="Q299" i="1"/>
  <c r="R299" i="1"/>
  <c r="S299" i="1"/>
  <c r="AH291" i="1"/>
  <c r="M291" i="1"/>
  <c r="U291" i="1"/>
  <c r="P291" i="1"/>
  <c r="Q291" i="1"/>
  <c r="S291" i="1"/>
  <c r="V291" i="1"/>
  <c r="K291" i="1"/>
  <c r="L291" i="1"/>
  <c r="R291" i="1"/>
  <c r="N291" i="1"/>
  <c r="T291" i="1"/>
  <c r="O291" i="1"/>
  <c r="AH283" i="1"/>
  <c r="M283" i="1"/>
  <c r="U283" i="1"/>
  <c r="K283" i="1"/>
  <c r="T283" i="1"/>
  <c r="L283" i="1"/>
  <c r="V283" i="1"/>
  <c r="O283" i="1"/>
  <c r="P283" i="1"/>
  <c r="S283" i="1"/>
  <c r="Q283" i="1"/>
  <c r="N283" i="1"/>
  <c r="R283" i="1"/>
  <c r="AH275" i="1"/>
  <c r="M275" i="1"/>
  <c r="U275" i="1"/>
  <c r="P275" i="1"/>
  <c r="Q275" i="1"/>
  <c r="S275" i="1"/>
  <c r="K275" i="1"/>
  <c r="T275" i="1"/>
  <c r="L275" i="1"/>
  <c r="N275" i="1"/>
  <c r="V275" i="1"/>
  <c r="O275" i="1"/>
  <c r="R275" i="1"/>
  <c r="AH267" i="1"/>
  <c r="M267" i="1"/>
  <c r="U267" i="1"/>
  <c r="K267" i="1"/>
  <c r="T267" i="1"/>
  <c r="L267" i="1"/>
  <c r="V267" i="1"/>
  <c r="O267" i="1"/>
  <c r="P267" i="1"/>
  <c r="N267" i="1"/>
  <c r="Q267" i="1"/>
  <c r="R267" i="1"/>
  <c r="S267" i="1"/>
  <c r="AH259" i="1"/>
  <c r="M259" i="1"/>
  <c r="U259" i="1"/>
  <c r="Q259" i="1"/>
  <c r="S259" i="1"/>
  <c r="T259" i="1"/>
  <c r="L259" i="1"/>
  <c r="N259" i="1"/>
  <c r="K259" i="1"/>
  <c r="O259" i="1"/>
  <c r="P259" i="1"/>
  <c r="V259" i="1"/>
  <c r="R259" i="1"/>
  <c r="AH251" i="1"/>
  <c r="M251" i="1"/>
  <c r="U251" i="1"/>
  <c r="Q251" i="1"/>
  <c r="S251" i="1"/>
  <c r="T251" i="1"/>
  <c r="L251" i="1"/>
  <c r="N251" i="1"/>
  <c r="R251" i="1"/>
  <c r="V251" i="1"/>
  <c r="O251" i="1"/>
  <c r="P251" i="1"/>
  <c r="K251" i="1"/>
  <c r="AH243" i="1"/>
  <c r="L243" i="1"/>
  <c r="T243" i="1"/>
  <c r="N243" i="1"/>
  <c r="V243" i="1"/>
  <c r="U243" i="1"/>
  <c r="P243" i="1"/>
  <c r="R243" i="1"/>
  <c r="K243" i="1"/>
  <c r="M243" i="1"/>
  <c r="O243" i="1"/>
  <c r="Q243" i="1"/>
  <c r="S243" i="1"/>
  <c r="AH235" i="1"/>
  <c r="L235" i="1"/>
  <c r="T235" i="1"/>
  <c r="N235" i="1"/>
  <c r="V235" i="1"/>
  <c r="P235" i="1"/>
  <c r="Q235" i="1"/>
  <c r="M235" i="1"/>
  <c r="K235" i="1"/>
  <c r="R235" i="1"/>
  <c r="S235" i="1"/>
  <c r="U235" i="1"/>
  <c r="O235" i="1"/>
  <c r="AH227" i="1"/>
  <c r="L227" i="1"/>
  <c r="T227" i="1"/>
  <c r="N227" i="1"/>
  <c r="V227" i="1"/>
  <c r="P227" i="1"/>
  <c r="Q227" i="1"/>
  <c r="S227" i="1"/>
  <c r="K227" i="1"/>
  <c r="M227" i="1"/>
  <c r="O227" i="1"/>
  <c r="R227" i="1"/>
  <c r="U227" i="1"/>
  <c r="AH219" i="1"/>
  <c r="L219" i="1"/>
  <c r="T219" i="1"/>
  <c r="N219" i="1"/>
  <c r="V219" i="1"/>
  <c r="P219" i="1"/>
  <c r="Q219" i="1"/>
  <c r="M219" i="1"/>
  <c r="R219" i="1"/>
  <c r="S219" i="1"/>
  <c r="O219" i="1"/>
  <c r="U219" i="1"/>
  <c r="K219" i="1"/>
  <c r="AH211" i="1"/>
  <c r="L211" i="1"/>
  <c r="T211" i="1"/>
  <c r="N211" i="1"/>
  <c r="V211" i="1"/>
  <c r="P211" i="1"/>
  <c r="O211" i="1"/>
  <c r="Q211" i="1"/>
  <c r="S211" i="1"/>
  <c r="K211" i="1"/>
  <c r="M211" i="1"/>
  <c r="U211" i="1"/>
  <c r="R211" i="1"/>
  <c r="AH203" i="1"/>
  <c r="N203" i="1"/>
  <c r="V203" i="1"/>
  <c r="O203" i="1"/>
  <c r="P203" i="1"/>
  <c r="Q203" i="1"/>
  <c r="U203" i="1"/>
  <c r="K203" i="1"/>
  <c r="M203" i="1"/>
  <c r="L203" i="1"/>
  <c r="R203" i="1"/>
  <c r="T203" i="1"/>
  <c r="S203" i="1"/>
  <c r="AH195" i="1"/>
  <c r="N195" i="1"/>
  <c r="V195" i="1"/>
  <c r="O195" i="1"/>
  <c r="P195" i="1"/>
  <c r="Q195" i="1"/>
  <c r="U195" i="1"/>
  <c r="K195" i="1"/>
  <c r="M195" i="1"/>
  <c r="T195" i="1"/>
  <c r="R195" i="1"/>
  <c r="S195" i="1"/>
  <c r="L195" i="1"/>
  <c r="AH187" i="1"/>
  <c r="N187" i="1"/>
  <c r="V187" i="1"/>
  <c r="O187" i="1"/>
  <c r="P187" i="1"/>
  <c r="Q187" i="1"/>
  <c r="U187" i="1"/>
  <c r="K187" i="1"/>
  <c r="M187" i="1"/>
  <c r="R187" i="1"/>
  <c r="S187" i="1"/>
  <c r="T187" i="1"/>
  <c r="L187" i="1"/>
  <c r="AH179" i="1"/>
  <c r="N179" i="1"/>
  <c r="V179" i="1"/>
  <c r="O179" i="1"/>
  <c r="P179" i="1"/>
  <c r="Q179" i="1"/>
  <c r="L179" i="1"/>
  <c r="T179" i="1"/>
  <c r="R179" i="1"/>
  <c r="U179" i="1"/>
  <c r="K179" i="1"/>
  <c r="M179" i="1"/>
  <c r="S179" i="1"/>
  <c r="AH171" i="1"/>
  <c r="N171" i="1"/>
  <c r="V171" i="1"/>
  <c r="O171" i="1"/>
  <c r="P171" i="1"/>
  <c r="Q171" i="1"/>
  <c r="L171" i="1"/>
  <c r="T171" i="1"/>
  <c r="K171" i="1"/>
  <c r="R171" i="1"/>
  <c r="S171" i="1"/>
  <c r="U171" i="1"/>
  <c r="M171" i="1"/>
  <c r="AH163" i="1"/>
  <c r="N163" i="1"/>
  <c r="V163" i="1"/>
  <c r="O163" i="1"/>
  <c r="P163" i="1"/>
  <c r="Q163" i="1"/>
  <c r="L163" i="1"/>
  <c r="T163" i="1"/>
  <c r="R163" i="1"/>
  <c r="U163" i="1"/>
  <c r="K163" i="1"/>
  <c r="M163" i="1"/>
  <c r="S163" i="1"/>
  <c r="AH155" i="1"/>
  <c r="N155" i="1"/>
  <c r="V155" i="1"/>
  <c r="O155" i="1"/>
  <c r="P155" i="1"/>
  <c r="Q155" i="1"/>
  <c r="L155" i="1"/>
  <c r="T155" i="1"/>
  <c r="M155" i="1"/>
  <c r="U155" i="1"/>
  <c r="S155" i="1"/>
  <c r="R155" i="1"/>
  <c r="K155" i="1"/>
  <c r="AH147" i="1"/>
  <c r="N147" i="1"/>
  <c r="V147" i="1"/>
  <c r="O147" i="1"/>
  <c r="P147" i="1"/>
  <c r="Q147" i="1"/>
  <c r="L147" i="1"/>
  <c r="T147" i="1"/>
  <c r="M147" i="1"/>
  <c r="U147" i="1"/>
  <c r="S147" i="1"/>
  <c r="K147" i="1"/>
  <c r="R147" i="1"/>
  <c r="AH139" i="1"/>
  <c r="N139" i="1"/>
  <c r="V139" i="1"/>
  <c r="O139" i="1"/>
  <c r="P139" i="1"/>
  <c r="Q139" i="1"/>
  <c r="K139" i="1"/>
  <c r="S139" i="1"/>
  <c r="L139" i="1"/>
  <c r="T139" i="1"/>
  <c r="M139" i="1"/>
  <c r="U139" i="1"/>
  <c r="R139" i="1"/>
  <c r="AH131" i="1"/>
  <c r="N131" i="1"/>
  <c r="V131" i="1"/>
  <c r="O131" i="1"/>
  <c r="P131" i="1"/>
  <c r="Q131" i="1"/>
  <c r="K131" i="1"/>
  <c r="S131" i="1"/>
  <c r="L131" i="1"/>
  <c r="T131" i="1"/>
  <c r="M131" i="1"/>
  <c r="U131" i="1"/>
  <c r="R131" i="1"/>
  <c r="AH123" i="1"/>
  <c r="O123" i="1"/>
  <c r="P123" i="1"/>
  <c r="M123" i="1"/>
  <c r="U123" i="1"/>
  <c r="R123" i="1"/>
  <c r="S123" i="1"/>
  <c r="T123" i="1"/>
  <c r="V123" i="1"/>
  <c r="K123" i="1"/>
  <c r="L123" i="1"/>
  <c r="N123" i="1"/>
  <c r="Q123" i="1"/>
  <c r="AH115" i="1"/>
  <c r="O115" i="1"/>
  <c r="P115" i="1"/>
  <c r="L115" i="1"/>
  <c r="T115" i="1"/>
  <c r="M115" i="1"/>
  <c r="U115" i="1"/>
  <c r="V115" i="1"/>
  <c r="K115" i="1"/>
  <c r="N115" i="1"/>
  <c r="Q115" i="1"/>
  <c r="R115" i="1"/>
  <c r="S115" i="1"/>
  <c r="AH107" i="1"/>
  <c r="O107" i="1"/>
  <c r="P107" i="1"/>
  <c r="L107" i="1"/>
  <c r="T107" i="1"/>
  <c r="M107" i="1"/>
  <c r="U107" i="1"/>
  <c r="V107" i="1"/>
  <c r="K107" i="1"/>
  <c r="N107" i="1"/>
  <c r="Q107" i="1"/>
  <c r="R107" i="1"/>
  <c r="S107" i="1"/>
  <c r="AH99" i="1"/>
  <c r="O99" i="1"/>
  <c r="P99" i="1"/>
  <c r="L99" i="1"/>
  <c r="T99" i="1"/>
  <c r="M99" i="1"/>
  <c r="U99" i="1"/>
  <c r="V99" i="1"/>
  <c r="K99" i="1"/>
  <c r="N99" i="1"/>
  <c r="Q99" i="1"/>
  <c r="R99" i="1"/>
  <c r="S99" i="1"/>
  <c r="AH91" i="1"/>
  <c r="O91" i="1"/>
  <c r="P91" i="1"/>
  <c r="L91" i="1"/>
  <c r="T91" i="1"/>
  <c r="M91" i="1"/>
  <c r="U91" i="1"/>
  <c r="V91" i="1"/>
  <c r="K91" i="1"/>
  <c r="N91" i="1"/>
  <c r="Q91" i="1"/>
  <c r="R91" i="1"/>
  <c r="S91" i="1"/>
  <c r="AH83" i="1"/>
  <c r="M83" i="1"/>
  <c r="U83" i="1"/>
  <c r="N83" i="1"/>
  <c r="V83" i="1"/>
  <c r="P83" i="1"/>
  <c r="Q83" i="1"/>
  <c r="K83" i="1"/>
  <c r="R83" i="1"/>
  <c r="S83" i="1"/>
  <c r="L83" i="1"/>
  <c r="O83" i="1"/>
  <c r="T83" i="1"/>
  <c r="AH75" i="1"/>
  <c r="M75" i="1"/>
  <c r="U75" i="1"/>
  <c r="N75" i="1"/>
  <c r="V75" i="1"/>
  <c r="O75" i="1"/>
  <c r="P75" i="1"/>
  <c r="Q75" i="1"/>
  <c r="K75" i="1"/>
  <c r="S75" i="1"/>
  <c r="L75" i="1"/>
  <c r="R75" i="1"/>
  <c r="T75" i="1"/>
  <c r="AH67" i="1"/>
  <c r="M67" i="1"/>
  <c r="U67" i="1"/>
  <c r="N67" i="1"/>
  <c r="V67" i="1"/>
  <c r="O67" i="1"/>
  <c r="P67" i="1"/>
  <c r="Q67" i="1"/>
  <c r="K67" i="1"/>
  <c r="S67" i="1"/>
  <c r="L67" i="1"/>
  <c r="R67" i="1"/>
  <c r="T67" i="1"/>
  <c r="AH59" i="1"/>
  <c r="M59" i="1"/>
  <c r="P59" i="1"/>
  <c r="K59" i="1"/>
  <c r="U59" i="1"/>
  <c r="L59" i="1"/>
  <c r="V59" i="1"/>
  <c r="N59" i="1"/>
  <c r="O59" i="1"/>
  <c r="Q59" i="1"/>
  <c r="S59" i="1"/>
  <c r="R59" i="1"/>
  <c r="T59" i="1"/>
  <c r="AH51" i="1"/>
  <c r="M51" i="1"/>
  <c r="U51" i="1"/>
  <c r="N51" i="1"/>
  <c r="V51" i="1"/>
  <c r="P51" i="1"/>
  <c r="S51" i="1"/>
  <c r="T51" i="1"/>
  <c r="K51" i="1"/>
  <c r="L51" i="1"/>
  <c r="Q51" i="1"/>
  <c r="O51" i="1"/>
  <c r="R51" i="1"/>
  <c r="AH43" i="1"/>
  <c r="R43" i="1"/>
  <c r="M43" i="1"/>
  <c r="U43" i="1"/>
  <c r="N43" i="1"/>
  <c r="V43" i="1"/>
  <c r="P43" i="1"/>
  <c r="K43" i="1"/>
  <c r="L43" i="1"/>
  <c r="O43" i="1"/>
  <c r="S43" i="1"/>
  <c r="Q43" i="1"/>
  <c r="T43" i="1"/>
  <c r="AH35" i="1"/>
  <c r="R35" i="1"/>
  <c r="M35" i="1"/>
  <c r="U35" i="1"/>
  <c r="N35" i="1"/>
  <c r="V35" i="1"/>
  <c r="P35" i="1"/>
  <c r="K35" i="1"/>
  <c r="L35" i="1"/>
  <c r="O35" i="1"/>
  <c r="S35" i="1"/>
  <c r="T35" i="1"/>
  <c r="Q35" i="1"/>
  <c r="AH27" i="1"/>
  <c r="R27" i="1"/>
  <c r="M27" i="1"/>
  <c r="U27" i="1"/>
  <c r="N27" i="1"/>
  <c r="V27" i="1"/>
  <c r="P27" i="1"/>
  <c r="Q27" i="1"/>
  <c r="K27" i="1"/>
  <c r="L27" i="1"/>
  <c r="O27" i="1"/>
  <c r="T27" i="1"/>
  <c r="S27" i="1"/>
  <c r="AH19" i="1"/>
  <c r="R19" i="1"/>
  <c r="M19" i="1"/>
  <c r="U19" i="1"/>
  <c r="N19" i="1"/>
  <c r="V19" i="1"/>
  <c r="P19" i="1"/>
  <c r="Q19" i="1"/>
  <c r="O19" i="1"/>
  <c r="S19" i="1"/>
  <c r="T19" i="1"/>
  <c r="K19" i="1"/>
  <c r="L19" i="1"/>
  <c r="AH11" i="1"/>
  <c r="R11" i="1"/>
  <c r="M11" i="1"/>
  <c r="U11" i="1"/>
  <c r="N11" i="1"/>
  <c r="V11" i="1"/>
  <c r="P11" i="1"/>
  <c r="Q11" i="1"/>
  <c r="K11" i="1"/>
  <c r="L11" i="1"/>
  <c r="O11" i="1"/>
  <c r="T11" i="1"/>
  <c r="S11" i="1"/>
  <c r="O1741" i="1"/>
  <c r="S1740" i="1"/>
  <c r="K1740" i="1"/>
  <c r="O1739" i="1"/>
  <c r="S1738" i="1"/>
  <c r="K1738" i="1"/>
  <c r="O1737" i="1"/>
  <c r="S1736" i="1"/>
  <c r="K1736" i="1"/>
  <c r="O1735" i="1"/>
  <c r="S1734" i="1"/>
  <c r="K1734" i="1"/>
  <c r="O1733" i="1"/>
  <c r="S1732" i="1"/>
  <c r="K1732" i="1"/>
  <c r="O1731" i="1"/>
  <c r="S1730" i="1"/>
  <c r="K1730" i="1"/>
  <c r="O1729" i="1"/>
  <c r="S1728" i="1"/>
  <c r="K1728" i="1"/>
  <c r="O1727" i="1"/>
  <c r="S1726" i="1"/>
  <c r="K1726" i="1"/>
  <c r="O1725" i="1"/>
  <c r="S1724" i="1"/>
  <c r="K1724" i="1"/>
  <c r="O1723" i="1"/>
  <c r="S1722" i="1"/>
  <c r="K1722" i="1"/>
  <c r="O1721" i="1"/>
  <c r="S1720" i="1"/>
  <c r="K1720" i="1"/>
  <c r="O1719" i="1"/>
  <c r="S1718" i="1"/>
  <c r="K1718" i="1"/>
  <c r="O1717" i="1"/>
  <c r="S1716" i="1"/>
  <c r="K1716" i="1"/>
  <c r="O1715" i="1"/>
  <c r="S1714" i="1"/>
  <c r="K1714" i="1"/>
  <c r="O1713" i="1"/>
  <c r="S1712" i="1"/>
  <c r="K1712" i="1"/>
  <c r="O1711" i="1"/>
  <c r="S1710" i="1"/>
  <c r="K1710" i="1"/>
  <c r="O1709" i="1"/>
  <c r="R1708" i="1"/>
  <c r="S1707" i="1"/>
  <c r="V1705" i="1"/>
  <c r="T1704" i="1"/>
  <c r="S1703" i="1"/>
  <c r="S1702" i="1"/>
  <c r="R1701" i="1"/>
  <c r="R1700" i="1"/>
  <c r="P1699" i="1"/>
  <c r="O1697" i="1"/>
  <c r="N1696" i="1"/>
  <c r="N1695" i="1"/>
  <c r="L1694" i="1"/>
  <c r="K1693" i="1"/>
  <c r="K1692" i="1"/>
  <c r="V1689" i="1"/>
  <c r="T1688" i="1"/>
  <c r="S1687" i="1"/>
  <c r="S1686" i="1"/>
  <c r="R1685" i="1"/>
  <c r="R1684" i="1"/>
  <c r="P1683" i="1"/>
  <c r="O1681" i="1"/>
  <c r="K1680" i="1"/>
  <c r="S1678" i="1"/>
  <c r="O1677" i="1"/>
  <c r="K1676" i="1"/>
  <c r="V1672" i="1"/>
  <c r="O1671" i="1"/>
  <c r="P1669" i="1"/>
  <c r="R1667" i="1"/>
  <c r="L1664" i="1"/>
  <c r="N1662" i="1"/>
  <c r="S1660" i="1"/>
  <c r="V1656" i="1"/>
  <c r="O1655" i="1"/>
  <c r="P1653" i="1"/>
  <c r="R1651" i="1"/>
  <c r="L1648" i="1"/>
  <c r="N1646" i="1"/>
  <c r="S1644" i="1"/>
  <c r="V1640" i="1"/>
  <c r="O1639" i="1"/>
  <c r="P1637" i="1"/>
  <c r="R1635" i="1"/>
  <c r="L1632" i="1"/>
  <c r="N1630" i="1"/>
  <c r="S1628" i="1"/>
  <c r="P1623" i="1"/>
  <c r="T1620" i="1"/>
  <c r="P1615" i="1"/>
  <c r="T1612" i="1"/>
  <c r="P1607" i="1"/>
  <c r="T1604" i="1"/>
  <c r="P1599" i="1"/>
  <c r="T1596" i="1"/>
  <c r="P1591" i="1"/>
  <c r="T1588" i="1"/>
  <c r="P1583" i="1"/>
  <c r="T1580" i="1"/>
  <c r="P1575" i="1"/>
  <c r="T1572" i="1"/>
  <c r="P1567" i="1"/>
  <c r="T1564" i="1"/>
  <c r="P1559" i="1"/>
  <c r="T1556" i="1"/>
  <c r="P1551" i="1"/>
  <c r="T1548" i="1"/>
  <c r="P1543" i="1"/>
  <c r="T1540" i="1"/>
  <c r="P1535" i="1"/>
  <c r="T1532" i="1"/>
  <c r="P1527" i="1"/>
  <c r="T1524" i="1"/>
  <c r="P1519" i="1"/>
  <c r="T1516" i="1"/>
  <c r="P1511" i="1"/>
  <c r="T1508" i="1"/>
  <c r="P1503" i="1"/>
  <c r="T1500" i="1"/>
  <c r="P1495" i="1"/>
  <c r="T1492" i="1"/>
  <c r="P1487" i="1"/>
  <c r="T1484" i="1"/>
  <c r="P1479" i="1"/>
  <c r="T1476" i="1"/>
  <c r="P1471" i="1"/>
  <c r="T1468" i="1"/>
  <c r="P1463" i="1"/>
  <c r="T1460" i="1"/>
  <c r="P1455" i="1"/>
  <c r="T1452" i="1"/>
  <c r="P1447" i="1"/>
  <c r="T1444" i="1"/>
  <c r="P1439" i="1"/>
  <c r="T1436" i="1"/>
  <c r="P1431" i="1"/>
  <c r="T1428" i="1"/>
  <c r="P1423" i="1"/>
  <c r="T1420" i="1"/>
  <c r="P1415" i="1"/>
  <c r="T1412" i="1"/>
  <c r="P1407" i="1"/>
  <c r="T1404" i="1"/>
  <c r="P1399" i="1"/>
  <c r="T1396" i="1"/>
  <c r="P1391" i="1"/>
  <c r="T1388" i="1"/>
  <c r="P1383" i="1"/>
  <c r="T1380" i="1"/>
  <c r="P1375" i="1"/>
  <c r="T1372" i="1"/>
  <c r="P1367" i="1"/>
  <c r="T1364" i="1"/>
  <c r="P1359" i="1"/>
  <c r="T1356" i="1"/>
  <c r="P1351" i="1"/>
  <c r="O1348" i="1"/>
  <c r="S1341" i="1"/>
  <c r="S1334" i="1"/>
  <c r="K1331" i="1"/>
  <c r="P1327" i="1"/>
  <c r="M1323" i="1"/>
  <c r="U1318" i="1"/>
  <c r="M1308" i="1"/>
  <c r="U1302" i="1"/>
  <c r="M1292" i="1"/>
  <c r="U1286" i="1"/>
  <c r="M1276" i="1"/>
  <c r="Q1269" i="1"/>
  <c r="S1262" i="1"/>
  <c r="P1255" i="1"/>
  <c r="O1213" i="1"/>
  <c r="O1181" i="1"/>
  <c r="M1132" i="1"/>
  <c r="V1103" i="1"/>
  <c r="O1075" i="1"/>
  <c r="U1046" i="1"/>
  <c r="M950" i="1"/>
  <c r="S815" i="1"/>
  <c r="AH1706" i="1"/>
  <c r="P1706" i="1"/>
  <c r="M1706" i="1"/>
  <c r="U1706" i="1"/>
  <c r="AH1698" i="1"/>
  <c r="P1698" i="1"/>
  <c r="Q1698" i="1"/>
  <c r="M1698" i="1"/>
  <c r="U1698" i="1"/>
  <c r="AH1690" i="1"/>
  <c r="P1690" i="1"/>
  <c r="Q1690" i="1"/>
  <c r="M1690" i="1"/>
  <c r="U1690" i="1"/>
  <c r="AH1682" i="1"/>
  <c r="P1682" i="1"/>
  <c r="Q1682" i="1"/>
  <c r="M1682" i="1"/>
  <c r="U1682" i="1"/>
  <c r="AH1674" i="1"/>
  <c r="P1674" i="1"/>
  <c r="Q1674" i="1"/>
  <c r="R1674" i="1"/>
  <c r="M1674" i="1"/>
  <c r="U1674" i="1"/>
  <c r="AH1666" i="1"/>
  <c r="O1666" i="1"/>
  <c r="P1666" i="1"/>
  <c r="Q1666" i="1"/>
  <c r="R1666" i="1"/>
  <c r="M1666" i="1"/>
  <c r="U1666" i="1"/>
  <c r="AH1658" i="1"/>
  <c r="O1658" i="1"/>
  <c r="P1658" i="1"/>
  <c r="Q1658" i="1"/>
  <c r="R1658" i="1"/>
  <c r="M1658" i="1"/>
  <c r="U1658" i="1"/>
  <c r="AH1650" i="1"/>
  <c r="O1650" i="1"/>
  <c r="P1650" i="1"/>
  <c r="Q1650" i="1"/>
  <c r="R1650" i="1"/>
  <c r="M1650" i="1"/>
  <c r="U1650" i="1"/>
  <c r="AH1642" i="1"/>
  <c r="O1642" i="1"/>
  <c r="P1642" i="1"/>
  <c r="Q1642" i="1"/>
  <c r="R1642" i="1"/>
  <c r="M1642" i="1"/>
  <c r="U1642" i="1"/>
  <c r="AH1634" i="1"/>
  <c r="O1634" i="1"/>
  <c r="P1634" i="1"/>
  <c r="Q1634" i="1"/>
  <c r="R1634" i="1"/>
  <c r="M1634" i="1"/>
  <c r="U1634" i="1"/>
  <c r="AH1626" i="1"/>
  <c r="O1626" i="1"/>
  <c r="P1626" i="1"/>
  <c r="Q1626" i="1"/>
  <c r="R1626" i="1"/>
  <c r="K1626" i="1"/>
  <c r="S1626" i="1"/>
  <c r="M1626" i="1"/>
  <c r="U1626" i="1"/>
  <c r="AH1618" i="1"/>
  <c r="O1618" i="1"/>
  <c r="P1618" i="1"/>
  <c r="Q1618" i="1"/>
  <c r="R1618" i="1"/>
  <c r="K1618" i="1"/>
  <c r="S1618" i="1"/>
  <c r="M1618" i="1"/>
  <c r="U1618" i="1"/>
  <c r="AH1610" i="1"/>
  <c r="O1610" i="1"/>
  <c r="P1610" i="1"/>
  <c r="Q1610" i="1"/>
  <c r="R1610" i="1"/>
  <c r="K1610" i="1"/>
  <c r="S1610" i="1"/>
  <c r="M1610" i="1"/>
  <c r="U1610" i="1"/>
  <c r="AH1602" i="1"/>
  <c r="O1602" i="1"/>
  <c r="P1602" i="1"/>
  <c r="Q1602" i="1"/>
  <c r="R1602" i="1"/>
  <c r="K1602" i="1"/>
  <c r="S1602" i="1"/>
  <c r="M1602" i="1"/>
  <c r="U1602" i="1"/>
  <c r="AH1594" i="1"/>
  <c r="O1594" i="1"/>
  <c r="P1594" i="1"/>
  <c r="Q1594" i="1"/>
  <c r="R1594" i="1"/>
  <c r="K1594" i="1"/>
  <c r="S1594" i="1"/>
  <c r="M1594" i="1"/>
  <c r="U1594" i="1"/>
  <c r="AH1586" i="1"/>
  <c r="O1586" i="1"/>
  <c r="P1586" i="1"/>
  <c r="Q1586" i="1"/>
  <c r="R1586" i="1"/>
  <c r="K1586" i="1"/>
  <c r="S1586" i="1"/>
  <c r="M1586" i="1"/>
  <c r="U1586" i="1"/>
  <c r="AH1578" i="1"/>
  <c r="O1578" i="1"/>
  <c r="P1578" i="1"/>
  <c r="Q1578" i="1"/>
  <c r="R1578" i="1"/>
  <c r="K1578" i="1"/>
  <c r="S1578" i="1"/>
  <c r="M1578" i="1"/>
  <c r="U1578" i="1"/>
  <c r="AH1570" i="1"/>
  <c r="O1570" i="1"/>
  <c r="P1570" i="1"/>
  <c r="Q1570" i="1"/>
  <c r="R1570" i="1"/>
  <c r="K1570" i="1"/>
  <c r="S1570" i="1"/>
  <c r="M1570" i="1"/>
  <c r="U1570" i="1"/>
  <c r="AH1562" i="1"/>
  <c r="O1562" i="1"/>
  <c r="P1562" i="1"/>
  <c r="Q1562" i="1"/>
  <c r="R1562" i="1"/>
  <c r="K1562" i="1"/>
  <c r="S1562" i="1"/>
  <c r="M1562" i="1"/>
  <c r="U1562" i="1"/>
  <c r="AH1554" i="1"/>
  <c r="O1554" i="1"/>
  <c r="P1554" i="1"/>
  <c r="Q1554" i="1"/>
  <c r="R1554" i="1"/>
  <c r="K1554" i="1"/>
  <c r="S1554" i="1"/>
  <c r="M1554" i="1"/>
  <c r="U1554" i="1"/>
  <c r="AH1546" i="1"/>
  <c r="O1546" i="1"/>
  <c r="P1546" i="1"/>
  <c r="Q1546" i="1"/>
  <c r="R1546" i="1"/>
  <c r="K1546" i="1"/>
  <c r="S1546" i="1"/>
  <c r="M1546" i="1"/>
  <c r="U1546" i="1"/>
  <c r="AH1538" i="1"/>
  <c r="O1538" i="1"/>
  <c r="P1538" i="1"/>
  <c r="Q1538" i="1"/>
  <c r="R1538" i="1"/>
  <c r="K1538" i="1"/>
  <c r="S1538" i="1"/>
  <c r="M1538" i="1"/>
  <c r="U1538" i="1"/>
  <c r="AH1530" i="1"/>
  <c r="O1530" i="1"/>
  <c r="P1530" i="1"/>
  <c r="Q1530" i="1"/>
  <c r="R1530" i="1"/>
  <c r="K1530" i="1"/>
  <c r="S1530" i="1"/>
  <c r="M1530" i="1"/>
  <c r="U1530" i="1"/>
  <c r="AH1522" i="1"/>
  <c r="O1522" i="1"/>
  <c r="P1522" i="1"/>
  <c r="Q1522" i="1"/>
  <c r="R1522" i="1"/>
  <c r="K1522" i="1"/>
  <c r="S1522" i="1"/>
  <c r="M1522" i="1"/>
  <c r="U1522" i="1"/>
  <c r="AH1514" i="1"/>
  <c r="O1514" i="1"/>
  <c r="P1514" i="1"/>
  <c r="Q1514" i="1"/>
  <c r="R1514" i="1"/>
  <c r="K1514" i="1"/>
  <c r="S1514" i="1"/>
  <c r="M1514" i="1"/>
  <c r="U1514" i="1"/>
  <c r="AH1506" i="1"/>
  <c r="O1506" i="1"/>
  <c r="P1506" i="1"/>
  <c r="Q1506" i="1"/>
  <c r="R1506" i="1"/>
  <c r="K1506" i="1"/>
  <c r="S1506" i="1"/>
  <c r="M1506" i="1"/>
  <c r="U1506" i="1"/>
  <c r="AH1498" i="1"/>
  <c r="O1498" i="1"/>
  <c r="P1498" i="1"/>
  <c r="Q1498" i="1"/>
  <c r="R1498" i="1"/>
  <c r="K1498" i="1"/>
  <c r="S1498" i="1"/>
  <c r="M1498" i="1"/>
  <c r="U1498" i="1"/>
  <c r="AH1490" i="1"/>
  <c r="O1490" i="1"/>
  <c r="P1490" i="1"/>
  <c r="Q1490" i="1"/>
  <c r="R1490" i="1"/>
  <c r="K1490" i="1"/>
  <c r="S1490" i="1"/>
  <c r="M1490" i="1"/>
  <c r="U1490" i="1"/>
  <c r="AH1482" i="1"/>
  <c r="O1482" i="1"/>
  <c r="P1482" i="1"/>
  <c r="Q1482" i="1"/>
  <c r="R1482" i="1"/>
  <c r="K1482" i="1"/>
  <c r="S1482" i="1"/>
  <c r="M1482" i="1"/>
  <c r="U1482" i="1"/>
  <c r="AH1474" i="1"/>
  <c r="O1474" i="1"/>
  <c r="P1474" i="1"/>
  <c r="Q1474" i="1"/>
  <c r="R1474" i="1"/>
  <c r="K1474" i="1"/>
  <c r="S1474" i="1"/>
  <c r="M1474" i="1"/>
  <c r="U1474" i="1"/>
  <c r="AH1466" i="1"/>
  <c r="O1466" i="1"/>
  <c r="P1466" i="1"/>
  <c r="Q1466" i="1"/>
  <c r="R1466" i="1"/>
  <c r="K1466" i="1"/>
  <c r="S1466" i="1"/>
  <c r="M1466" i="1"/>
  <c r="U1466" i="1"/>
  <c r="AH1458" i="1"/>
  <c r="O1458" i="1"/>
  <c r="P1458" i="1"/>
  <c r="Q1458" i="1"/>
  <c r="R1458" i="1"/>
  <c r="K1458" i="1"/>
  <c r="S1458" i="1"/>
  <c r="M1458" i="1"/>
  <c r="U1458" i="1"/>
  <c r="AH1450" i="1"/>
  <c r="O1450" i="1"/>
  <c r="P1450" i="1"/>
  <c r="Q1450" i="1"/>
  <c r="R1450" i="1"/>
  <c r="K1450" i="1"/>
  <c r="S1450" i="1"/>
  <c r="M1450" i="1"/>
  <c r="U1450" i="1"/>
  <c r="AH1442" i="1"/>
  <c r="O1442" i="1"/>
  <c r="P1442" i="1"/>
  <c r="Q1442" i="1"/>
  <c r="R1442" i="1"/>
  <c r="K1442" i="1"/>
  <c r="S1442" i="1"/>
  <c r="M1442" i="1"/>
  <c r="U1442" i="1"/>
  <c r="AH1434" i="1"/>
  <c r="O1434" i="1"/>
  <c r="P1434" i="1"/>
  <c r="Q1434" i="1"/>
  <c r="R1434" i="1"/>
  <c r="K1434" i="1"/>
  <c r="S1434" i="1"/>
  <c r="M1434" i="1"/>
  <c r="U1434" i="1"/>
  <c r="AH1426" i="1"/>
  <c r="O1426" i="1"/>
  <c r="P1426" i="1"/>
  <c r="Q1426" i="1"/>
  <c r="R1426" i="1"/>
  <c r="K1426" i="1"/>
  <c r="S1426" i="1"/>
  <c r="M1426" i="1"/>
  <c r="U1426" i="1"/>
  <c r="AH1418" i="1"/>
  <c r="O1418" i="1"/>
  <c r="P1418" i="1"/>
  <c r="Q1418" i="1"/>
  <c r="R1418" i="1"/>
  <c r="K1418" i="1"/>
  <c r="S1418" i="1"/>
  <c r="M1418" i="1"/>
  <c r="U1418" i="1"/>
  <c r="AH1410" i="1"/>
  <c r="O1410" i="1"/>
  <c r="P1410" i="1"/>
  <c r="Q1410" i="1"/>
  <c r="R1410" i="1"/>
  <c r="K1410" i="1"/>
  <c r="S1410" i="1"/>
  <c r="M1410" i="1"/>
  <c r="U1410" i="1"/>
  <c r="AH1402" i="1"/>
  <c r="O1402" i="1"/>
  <c r="P1402" i="1"/>
  <c r="Q1402" i="1"/>
  <c r="R1402" i="1"/>
  <c r="K1402" i="1"/>
  <c r="S1402" i="1"/>
  <c r="M1402" i="1"/>
  <c r="U1402" i="1"/>
  <c r="AH1394" i="1"/>
  <c r="O1394" i="1"/>
  <c r="P1394" i="1"/>
  <c r="Q1394" i="1"/>
  <c r="R1394" i="1"/>
  <c r="K1394" i="1"/>
  <c r="S1394" i="1"/>
  <c r="M1394" i="1"/>
  <c r="U1394" i="1"/>
  <c r="AH1386" i="1"/>
  <c r="O1386" i="1"/>
  <c r="P1386" i="1"/>
  <c r="Q1386" i="1"/>
  <c r="R1386" i="1"/>
  <c r="K1386" i="1"/>
  <c r="S1386" i="1"/>
  <c r="M1386" i="1"/>
  <c r="U1386" i="1"/>
  <c r="AH1378" i="1"/>
  <c r="O1378" i="1"/>
  <c r="P1378" i="1"/>
  <c r="Q1378" i="1"/>
  <c r="R1378" i="1"/>
  <c r="K1378" i="1"/>
  <c r="S1378" i="1"/>
  <c r="M1378" i="1"/>
  <c r="U1378" i="1"/>
  <c r="AH1370" i="1"/>
  <c r="O1370" i="1"/>
  <c r="P1370" i="1"/>
  <c r="Q1370" i="1"/>
  <c r="R1370" i="1"/>
  <c r="K1370" i="1"/>
  <c r="S1370" i="1"/>
  <c r="M1370" i="1"/>
  <c r="U1370" i="1"/>
  <c r="AH1362" i="1"/>
  <c r="O1362" i="1"/>
  <c r="P1362" i="1"/>
  <c r="Q1362" i="1"/>
  <c r="R1362" i="1"/>
  <c r="K1362" i="1"/>
  <c r="S1362" i="1"/>
  <c r="M1362" i="1"/>
  <c r="U1362" i="1"/>
  <c r="AH1354" i="1"/>
  <c r="O1354" i="1"/>
  <c r="P1354" i="1"/>
  <c r="Q1354" i="1"/>
  <c r="R1354" i="1"/>
  <c r="K1354" i="1"/>
  <c r="S1354" i="1"/>
  <c r="M1354" i="1"/>
  <c r="U1354" i="1"/>
  <c r="AH1346" i="1"/>
  <c r="R1346" i="1"/>
  <c r="O1346" i="1"/>
  <c r="P1346" i="1"/>
  <c r="Q1346" i="1"/>
  <c r="S1346" i="1"/>
  <c r="K1346" i="1"/>
  <c r="T1346" i="1"/>
  <c r="M1346" i="1"/>
  <c r="V1346" i="1"/>
  <c r="AH1338" i="1"/>
  <c r="P1338" i="1"/>
  <c r="R1338" i="1"/>
  <c r="Q1338" i="1"/>
  <c r="S1338" i="1"/>
  <c r="T1338" i="1"/>
  <c r="K1338" i="1"/>
  <c r="U1338" i="1"/>
  <c r="L1338" i="1"/>
  <c r="V1338" i="1"/>
  <c r="N1338" i="1"/>
  <c r="AH1330" i="1"/>
  <c r="P1330" i="1"/>
  <c r="R1330" i="1"/>
  <c r="Q1330" i="1"/>
  <c r="S1330" i="1"/>
  <c r="T1330" i="1"/>
  <c r="K1330" i="1"/>
  <c r="U1330" i="1"/>
  <c r="L1330" i="1"/>
  <c r="V1330" i="1"/>
  <c r="N1330" i="1"/>
  <c r="AH1322" i="1"/>
  <c r="N1322" i="1"/>
  <c r="V1322" i="1"/>
  <c r="P1322" i="1"/>
  <c r="R1322" i="1"/>
  <c r="Q1322" i="1"/>
  <c r="S1322" i="1"/>
  <c r="T1322" i="1"/>
  <c r="U1322" i="1"/>
  <c r="K1322" i="1"/>
  <c r="M1322" i="1"/>
  <c r="AH1314" i="1"/>
  <c r="N1314" i="1"/>
  <c r="V1314" i="1"/>
  <c r="P1314" i="1"/>
  <c r="Q1314" i="1"/>
  <c r="R1314" i="1"/>
  <c r="L1314" i="1"/>
  <c r="M1314" i="1"/>
  <c r="O1314" i="1"/>
  <c r="S1314" i="1"/>
  <c r="T1314" i="1"/>
  <c r="AH1306" i="1"/>
  <c r="N1306" i="1"/>
  <c r="V1306" i="1"/>
  <c r="P1306" i="1"/>
  <c r="Q1306" i="1"/>
  <c r="R1306" i="1"/>
  <c r="L1306" i="1"/>
  <c r="M1306" i="1"/>
  <c r="O1306" i="1"/>
  <c r="S1306" i="1"/>
  <c r="T1306" i="1"/>
  <c r="AH1298" i="1"/>
  <c r="N1298" i="1"/>
  <c r="V1298" i="1"/>
  <c r="P1298" i="1"/>
  <c r="Q1298" i="1"/>
  <c r="R1298" i="1"/>
  <c r="L1298" i="1"/>
  <c r="M1298" i="1"/>
  <c r="O1298" i="1"/>
  <c r="S1298" i="1"/>
  <c r="T1298" i="1"/>
  <c r="AH1290" i="1"/>
  <c r="N1290" i="1"/>
  <c r="V1290" i="1"/>
  <c r="P1290" i="1"/>
  <c r="Q1290" i="1"/>
  <c r="R1290" i="1"/>
  <c r="L1290" i="1"/>
  <c r="M1290" i="1"/>
  <c r="O1290" i="1"/>
  <c r="S1290" i="1"/>
  <c r="T1290" i="1"/>
  <c r="AH1282" i="1"/>
  <c r="N1282" i="1"/>
  <c r="V1282" i="1"/>
  <c r="P1282" i="1"/>
  <c r="Q1282" i="1"/>
  <c r="R1282" i="1"/>
  <c r="L1282" i="1"/>
  <c r="M1282" i="1"/>
  <c r="O1282" i="1"/>
  <c r="S1282" i="1"/>
  <c r="T1282" i="1"/>
  <c r="AH1274" i="1"/>
  <c r="N1274" i="1"/>
  <c r="V1274" i="1"/>
  <c r="O1274" i="1"/>
  <c r="P1274" i="1"/>
  <c r="Q1274" i="1"/>
  <c r="R1274" i="1"/>
  <c r="K1274" i="1"/>
  <c r="L1274" i="1"/>
  <c r="M1274" i="1"/>
  <c r="S1274" i="1"/>
  <c r="T1274" i="1"/>
  <c r="AH1266" i="1"/>
  <c r="N1266" i="1"/>
  <c r="V1266" i="1"/>
  <c r="O1266" i="1"/>
  <c r="P1266" i="1"/>
  <c r="Q1266" i="1"/>
  <c r="R1266" i="1"/>
  <c r="T1266" i="1"/>
  <c r="U1266" i="1"/>
  <c r="K1266" i="1"/>
  <c r="M1266" i="1"/>
  <c r="AH1258" i="1"/>
  <c r="N1258" i="1"/>
  <c r="V1258" i="1"/>
  <c r="O1258" i="1"/>
  <c r="P1258" i="1"/>
  <c r="Q1258" i="1"/>
  <c r="R1258" i="1"/>
  <c r="K1258" i="1"/>
  <c r="L1258" i="1"/>
  <c r="M1258" i="1"/>
  <c r="S1258" i="1"/>
  <c r="T1258" i="1"/>
  <c r="AH1250" i="1"/>
  <c r="N1250" i="1"/>
  <c r="V1250" i="1"/>
  <c r="O1250" i="1"/>
  <c r="P1250" i="1"/>
  <c r="Q1250" i="1"/>
  <c r="R1250" i="1"/>
  <c r="T1250" i="1"/>
  <c r="U1250" i="1"/>
  <c r="K1250" i="1"/>
  <c r="M1250" i="1"/>
  <c r="AH1242" i="1"/>
  <c r="N1242" i="1"/>
  <c r="V1242" i="1"/>
  <c r="O1242" i="1"/>
  <c r="P1242" i="1"/>
  <c r="Q1242" i="1"/>
  <c r="R1242" i="1"/>
  <c r="K1242" i="1"/>
  <c r="L1242" i="1"/>
  <c r="M1242" i="1"/>
  <c r="S1242" i="1"/>
  <c r="T1242" i="1"/>
  <c r="AH1234" i="1"/>
  <c r="N1234" i="1"/>
  <c r="V1234" i="1"/>
  <c r="O1234" i="1"/>
  <c r="P1234" i="1"/>
  <c r="Q1234" i="1"/>
  <c r="R1234" i="1"/>
  <c r="T1234" i="1"/>
  <c r="U1234" i="1"/>
  <c r="K1234" i="1"/>
  <c r="M1234" i="1"/>
  <c r="AH1226" i="1"/>
  <c r="M1226" i="1"/>
  <c r="U1226" i="1"/>
  <c r="N1226" i="1"/>
  <c r="V1226" i="1"/>
  <c r="O1226" i="1"/>
  <c r="P1226" i="1"/>
  <c r="Q1226" i="1"/>
  <c r="R1226" i="1"/>
  <c r="K1226" i="1"/>
  <c r="L1226" i="1"/>
  <c r="T1226" i="1"/>
  <c r="AH1218" i="1"/>
  <c r="M1218" i="1"/>
  <c r="U1218" i="1"/>
  <c r="N1218" i="1"/>
  <c r="V1218" i="1"/>
  <c r="O1218" i="1"/>
  <c r="P1218" i="1"/>
  <c r="Q1218" i="1"/>
  <c r="R1218" i="1"/>
  <c r="K1218" i="1"/>
  <c r="L1218" i="1"/>
  <c r="T1218" i="1"/>
  <c r="AH1210" i="1"/>
  <c r="M1210" i="1"/>
  <c r="U1210" i="1"/>
  <c r="N1210" i="1"/>
  <c r="V1210" i="1"/>
  <c r="O1210" i="1"/>
  <c r="P1210" i="1"/>
  <c r="Q1210" i="1"/>
  <c r="R1210" i="1"/>
  <c r="K1210" i="1"/>
  <c r="L1210" i="1"/>
  <c r="T1210" i="1"/>
  <c r="AH1202" i="1"/>
  <c r="M1202" i="1"/>
  <c r="U1202" i="1"/>
  <c r="N1202" i="1"/>
  <c r="V1202" i="1"/>
  <c r="O1202" i="1"/>
  <c r="P1202" i="1"/>
  <c r="Q1202" i="1"/>
  <c r="R1202" i="1"/>
  <c r="K1202" i="1"/>
  <c r="L1202" i="1"/>
  <c r="T1202" i="1"/>
  <c r="AH1194" i="1"/>
  <c r="M1194" i="1"/>
  <c r="U1194" i="1"/>
  <c r="N1194" i="1"/>
  <c r="V1194" i="1"/>
  <c r="O1194" i="1"/>
  <c r="P1194" i="1"/>
  <c r="Q1194" i="1"/>
  <c r="R1194" i="1"/>
  <c r="K1194" i="1"/>
  <c r="L1194" i="1"/>
  <c r="T1194" i="1"/>
  <c r="AH1186" i="1"/>
  <c r="M1186" i="1"/>
  <c r="U1186" i="1"/>
  <c r="N1186" i="1"/>
  <c r="V1186" i="1"/>
  <c r="O1186" i="1"/>
  <c r="P1186" i="1"/>
  <c r="Q1186" i="1"/>
  <c r="R1186" i="1"/>
  <c r="K1186" i="1"/>
  <c r="L1186" i="1"/>
  <c r="T1186" i="1"/>
  <c r="AH1178" i="1"/>
  <c r="M1178" i="1"/>
  <c r="U1178" i="1"/>
  <c r="N1178" i="1"/>
  <c r="V1178" i="1"/>
  <c r="O1178" i="1"/>
  <c r="P1178" i="1"/>
  <c r="Q1178" i="1"/>
  <c r="R1178" i="1"/>
  <c r="K1178" i="1"/>
  <c r="L1178" i="1"/>
  <c r="T1178" i="1"/>
  <c r="AH1170" i="1"/>
  <c r="N1170" i="1"/>
  <c r="V1170" i="1"/>
  <c r="O1170" i="1"/>
  <c r="P1170" i="1"/>
  <c r="Q1170" i="1"/>
  <c r="L1170" i="1"/>
  <c r="T1170" i="1"/>
  <c r="K1170" i="1"/>
  <c r="M1170" i="1"/>
  <c r="R1170" i="1"/>
  <c r="S1170" i="1"/>
  <c r="U1170" i="1"/>
  <c r="AH1162" i="1"/>
  <c r="N1162" i="1"/>
  <c r="V1162" i="1"/>
  <c r="O1162" i="1"/>
  <c r="P1162" i="1"/>
  <c r="Q1162" i="1"/>
  <c r="L1162" i="1"/>
  <c r="T1162" i="1"/>
  <c r="U1162" i="1"/>
  <c r="K1162" i="1"/>
  <c r="M1162" i="1"/>
  <c r="S1162" i="1"/>
  <c r="AH1154" i="1"/>
  <c r="N1154" i="1"/>
  <c r="V1154" i="1"/>
  <c r="O1154" i="1"/>
  <c r="P1154" i="1"/>
  <c r="Q1154" i="1"/>
  <c r="L1154" i="1"/>
  <c r="T1154" i="1"/>
  <c r="K1154" i="1"/>
  <c r="M1154" i="1"/>
  <c r="R1154" i="1"/>
  <c r="S1154" i="1"/>
  <c r="U1154" i="1"/>
  <c r="AH1146" i="1"/>
  <c r="N1146" i="1"/>
  <c r="V1146" i="1"/>
  <c r="O1146" i="1"/>
  <c r="P1146" i="1"/>
  <c r="Q1146" i="1"/>
  <c r="L1146" i="1"/>
  <c r="T1146" i="1"/>
  <c r="U1146" i="1"/>
  <c r="K1146" i="1"/>
  <c r="M1146" i="1"/>
  <c r="S1146" i="1"/>
  <c r="AH1138" i="1"/>
  <c r="N1138" i="1"/>
  <c r="V1138" i="1"/>
  <c r="O1138" i="1"/>
  <c r="P1138" i="1"/>
  <c r="Q1138" i="1"/>
  <c r="L1138" i="1"/>
  <c r="T1138" i="1"/>
  <c r="K1138" i="1"/>
  <c r="M1138" i="1"/>
  <c r="R1138" i="1"/>
  <c r="S1138" i="1"/>
  <c r="U1138" i="1"/>
  <c r="AH1130" i="1"/>
  <c r="N1130" i="1"/>
  <c r="V1130" i="1"/>
  <c r="O1130" i="1"/>
  <c r="P1130" i="1"/>
  <c r="Q1130" i="1"/>
  <c r="L1130" i="1"/>
  <c r="T1130" i="1"/>
  <c r="U1130" i="1"/>
  <c r="K1130" i="1"/>
  <c r="M1130" i="1"/>
  <c r="R1130" i="1"/>
  <c r="S1130" i="1"/>
  <c r="AH1122" i="1"/>
  <c r="N1122" i="1"/>
  <c r="V1122" i="1"/>
  <c r="O1122" i="1"/>
  <c r="P1122" i="1"/>
  <c r="Q1122" i="1"/>
  <c r="L1122" i="1"/>
  <c r="T1122" i="1"/>
  <c r="K1122" i="1"/>
  <c r="M1122" i="1"/>
  <c r="R1122" i="1"/>
  <c r="S1122" i="1"/>
  <c r="U1122" i="1"/>
  <c r="AH1114" i="1"/>
  <c r="N1114" i="1"/>
  <c r="V1114" i="1"/>
  <c r="O1114" i="1"/>
  <c r="P1114" i="1"/>
  <c r="Q1114" i="1"/>
  <c r="L1114" i="1"/>
  <c r="T1114" i="1"/>
  <c r="U1114" i="1"/>
  <c r="K1114" i="1"/>
  <c r="M1114" i="1"/>
  <c r="R1114" i="1"/>
  <c r="S1114" i="1"/>
  <c r="AH1106" i="1"/>
  <c r="N1106" i="1"/>
  <c r="V1106" i="1"/>
  <c r="O1106" i="1"/>
  <c r="P1106" i="1"/>
  <c r="Q1106" i="1"/>
  <c r="L1106" i="1"/>
  <c r="T1106" i="1"/>
  <c r="K1106" i="1"/>
  <c r="M1106" i="1"/>
  <c r="R1106" i="1"/>
  <c r="S1106" i="1"/>
  <c r="U1106" i="1"/>
  <c r="AH1098" i="1"/>
  <c r="N1098" i="1"/>
  <c r="V1098" i="1"/>
  <c r="O1098" i="1"/>
  <c r="P1098" i="1"/>
  <c r="Q1098" i="1"/>
  <c r="L1098" i="1"/>
  <c r="T1098" i="1"/>
  <c r="U1098" i="1"/>
  <c r="K1098" i="1"/>
  <c r="M1098" i="1"/>
  <c r="S1098" i="1"/>
  <c r="AH1090" i="1"/>
  <c r="N1090" i="1"/>
  <c r="V1090" i="1"/>
  <c r="O1090" i="1"/>
  <c r="P1090" i="1"/>
  <c r="Q1090" i="1"/>
  <c r="L1090" i="1"/>
  <c r="T1090" i="1"/>
  <c r="K1090" i="1"/>
  <c r="M1090" i="1"/>
  <c r="R1090" i="1"/>
  <c r="S1090" i="1"/>
  <c r="U1090" i="1"/>
  <c r="AH1082" i="1"/>
  <c r="N1082" i="1"/>
  <c r="V1082" i="1"/>
  <c r="O1082" i="1"/>
  <c r="P1082" i="1"/>
  <c r="Q1082" i="1"/>
  <c r="L1082" i="1"/>
  <c r="T1082" i="1"/>
  <c r="U1082" i="1"/>
  <c r="K1082" i="1"/>
  <c r="M1082" i="1"/>
  <c r="S1082" i="1"/>
  <c r="AH1074" i="1"/>
  <c r="N1074" i="1"/>
  <c r="V1074" i="1"/>
  <c r="O1074" i="1"/>
  <c r="P1074" i="1"/>
  <c r="Q1074" i="1"/>
  <c r="L1074" i="1"/>
  <c r="T1074" i="1"/>
  <c r="K1074" i="1"/>
  <c r="M1074" i="1"/>
  <c r="R1074" i="1"/>
  <c r="S1074" i="1"/>
  <c r="U1074" i="1"/>
  <c r="AH1066" i="1"/>
  <c r="N1066" i="1"/>
  <c r="V1066" i="1"/>
  <c r="O1066" i="1"/>
  <c r="P1066" i="1"/>
  <c r="Q1066" i="1"/>
  <c r="L1066" i="1"/>
  <c r="T1066" i="1"/>
  <c r="U1066" i="1"/>
  <c r="K1066" i="1"/>
  <c r="M1066" i="1"/>
  <c r="R1066" i="1"/>
  <c r="S1066" i="1"/>
  <c r="AH1058" i="1"/>
  <c r="N1058" i="1"/>
  <c r="V1058" i="1"/>
  <c r="O1058" i="1"/>
  <c r="P1058" i="1"/>
  <c r="Q1058" i="1"/>
  <c r="L1058" i="1"/>
  <c r="T1058" i="1"/>
  <c r="K1058" i="1"/>
  <c r="M1058" i="1"/>
  <c r="R1058" i="1"/>
  <c r="S1058" i="1"/>
  <c r="U1058" i="1"/>
  <c r="AH1050" i="1"/>
  <c r="N1050" i="1"/>
  <c r="V1050" i="1"/>
  <c r="O1050" i="1"/>
  <c r="P1050" i="1"/>
  <c r="Q1050" i="1"/>
  <c r="L1050" i="1"/>
  <c r="T1050" i="1"/>
  <c r="U1050" i="1"/>
  <c r="K1050" i="1"/>
  <c r="M1050" i="1"/>
  <c r="R1050" i="1"/>
  <c r="S1050" i="1"/>
  <c r="AH1042" i="1"/>
  <c r="N1042" i="1"/>
  <c r="V1042" i="1"/>
  <c r="O1042" i="1"/>
  <c r="P1042" i="1"/>
  <c r="Q1042" i="1"/>
  <c r="L1042" i="1"/>
  <c r="T1042" i="1"/>
  <c r="K1042" i="1"/>
  <c r="M1042" i="1"/>
  <c r="R1042" i="1"/>
  <c r="S1042" i="1"/>
  <c r="U1042" i="1"/>
  <c r="AH1034" i="1"/>
  <c r="N1034" i="1"/>
  <c r="V1034" i="1"/>
  <c r="O1034" i="1"/>
  <c r="P1034" i="1"/>
  <c r="Q1034" i="1"/>
  <c r="L1034" i="1"/>
  <c r="T1034" i="1"/>
  <c r="U1034" i="1"/>
  <c r="K1034" i="1"/>
  <c r="M1034" i="1"/>
  <c r="S1034" i="1"/>
  <c r="AH1026" i="1"/>
  <c r="L1026" i="1"/>
  <c r="T1026" i="1"/>
  <c r="S1026" i="1"/>
  <c r="K1026" i="1"/>
  <c r="U1026" i="1"/>
  <c r="M1026" i="1"/>
  <c r="V1026" i="1"/>
  <c r="N1026" i="1"/>
  <c r="Q1026" i="1"/>
  <c r="O1026" i="1"/>
  <c r="R1026" i="1"/>
  <c r="AH1018" i="1"/>
  <c r="L1018" i="1"/>
  <c r="T1018" i="1"/>
  <c r="O1018" i="1"/>
  <c r="P1018" i="1"/>
  <c r="Q1018" i="1"/>
  <c r="R1018" i="1"/>
  <c r="M1018" i="1"/>
  <c r="V1018" i="1"/>
  <c r="U1018" i="1"/>
  <c r="K1018" i="1"/>
  <c r="S1018" i="1"/>
  <c r="AH1010" i="1"/>
  <c r="P1010" i="1"/>
  <c r="R1010" i="1"/>
  <c r="K1010" i="1"/>
  <c r="S1010" i="1"/>
  <c r="L1010" i="1"/>
  <c r="T1010" i="1"/>
  <c r="V1010" i="1"/>
  <c r="M1010" i="1"/>
  <c r="Q1010" i="1"/>
  <c r="O1010" i="1"/>
  <c r="U1010" i="1"/>
  <c r="N1010" i="1"/>
  <c r="AH1002" i="1"/>
  <c r="P1002" i="1"/>
  <c r="R1002" i="1"/>
  <c r="K1002" i="1"/>
  <c r="S1002" i="1"/>
  <c r="L1002" i="1"/>
  <c r="T1002" i="1"/>
  <c r="V1002" i="1"/>
  <c r="M1002" i="1"/>
  <c r="Q1002" i="1"/>
  <c r="N1002" i="1"/>
  <c r="U1002" i="1"/>
  <c r="AH994" i="1"/>
  <c r="P994" i="1"/>
  <c r="R994" i="1"/>
  <c r="K994" i="1"/>
  <c r="S994" i="1"/>
  <c r="L994" i="1"/>
  <c r="T994" i="1"/>
  <c r="V994" i="1"/>
  <c r="M994" i="1"/>
  <c r="Q994" i="1"/>
  <c r="N994" i="1"/>
  <c r="O994" i="1"/>
  <c r="U994" i="1"/>
  <c r="AH986" i="1"/>
  <c r="P986" i="1"/>
  <c r="R986" i="1"/>
  <c r="K986" i="1"/>
  <c r="S986" i="1"/>
  <c r="L986" i="1"/>
  <c r="T986" i="1"/>
  <c r="V986" i="1"/>
  <c r="M986" i="1"/>
  <c r="Q986" i="1"/>
  <c r="N986" i="1"/>
  <c r="O986" i="1"/>
  <c r="U986" i="1"/>
  <c r="AH978" i="1"/>
  <c r="P978" i="1"/>
  <c r="R978" i="1"/>
  <c r="K978" i="1"/>
  <c r="S978" i="1"/>
  <c r="L978" i="1"/>
  <c r="T978" i="1"/>
  <c r="V978" i="1"/>
  <c r="M978" i="1"/>
  <c r="Q978" i="1"/>
  <c r="O978" i="1"/>
  <c r="U978" i="1"/>
  <c r="N978" i="1"/>
  <c r="AH970" i="1"/>
  <c r="P970" i="1"/>
  <c r="R970" i="1"/>
  <c r="K970" i="1"/>
  <c r="S970" i="1"/>
  <c r="L970" i="1"/>
  <c r="T970" i="1"/>
  <c r="V970" i="1"/>
  <c r="M970" i="1"/>
  <c r="Q970" i="1"/>
  <c r="N970" i="1"/>
  <c r="O970" i="1"/>
  <c r="U970" i="1"/>
  <c r="AH962" i="1"/>
  <c r="O962" i="1"/>
  <c r="P962" i="1"/>
  <c r="Q962" i="1"/>
  <c r="R962" i="1"/>
  <c r="K962" i="1"/>
  <c r="S962" i="1"/>
  <c r="L962" i="1"/>
  <c r="T962" i="1"/>
  <c r="M962" i="1"/>
  <c r="N962" i="1"/>
  <c r="U962" i="1"/>
  <c r="V962" i="1"/>
  <c r="AH954" i="1"/>
  <c r="O954" i="1"/>
  <c r="P954" i="1"/>
  <c r="Q954" i="1"/>
  <c r="R954" i="1"/>
  <c r="K954" i="1"/>
  <c r="S954" i="1"/>
  <c r="L954" i="1"/>
  <c r="T954" i="1"/>
  <c r="M954" i="1"/>
  <c r="N954" i="1"/>
  <c r="U954" i="1"/>
  <c r="V954" i="1"/>
  <c r="AH946" i="1"/>
  <c r="O946" i="1"/>
  <c r="P946" i="1"/>
  <c r="Q946" i="1"/>
  <c r="R946" i="1"/>
  <c r="K946" i="1"/>
  <c r="S946" i="1"/>
  <c r="L946" i="1"/>
  <c r="T946" i="1"/>
  <c r="M946" i="1"/>
  <c r="N946" i="1"/>
  <c r="U946" i="1"/>
  <c r="V946" i="1"/>
  <c r="AH938" i="1"/>
  <c r="O938" i="1"/>
  <c r="P938" i="1"/>
  <c r="Q938" i="1"/>
  <c r="R938" i="1"/>
  <c r="K938" i="1"/>
  <c r="S938" i="1"/>
  <c r="L938" i="1"/>
  <c r="T938" i="1"/>
  <c r="M938" i="1"/>
  <c r="N938" i="1"/>
  <c r="U938" i="1"/>
  <c r="V938" i="1"/>
  <c r="AH930" i="1"/>
  <c r="O930" i="1"/>
  <c r="P930" i="1"/>
  <c r="Q930" i="1"/>
  <c r="R930" i="1"/>
  <c r="K930" i="1"/>
  <c r="S930" i="1"/>
  <c r="L930" i="1"/>
  <c r="T930" i="1"/>
  <c r="M930" i="1"/>
  <c r="N930" i="1"/>
  <c r="U930" i="1"/>
  <c r="V930" i="1"/>
  <c r="AH922" i="1"/>
  <c r="O922" i="1"/>
  <c r="P922" i="1"/>
  <c r="Q922" i="1"/>
  <c r="R922" i="1"/>
  <c r="K922" i="1"/>
  <c r="S922" i="1"/>
  <c r="L922" i="1"/>
  <c r="T922" i="1"/>
  <c r="M922" i="1"/>
  <c r="N922" i="1"/>
  <c r="U922" i="1"/>
  <c r="V922" i="1"/>
  <c r="AH914" i="1"/>
  <c r="O914" i="1"/>
  <c r="P914" i="1"/>
  <c r="Q914" i="1"/>
  <c r="R914" i="1"/>
  <c r="K914" i="1"/>
  <c r="S914" i="1"/>
  <c r="L914" i="1"/>
  <c r="T914" i="1"/>
  <c r="M914" i="1"/>
  <c r="N914" i="1"/>
  <c r="U914" i="1"/>
  <c r="V914" i="1"/>
  <c r="AH906" i="1"/>
  <c r="O906" i="1"/>
  <c r="P906" i="1"/>
  <c r="Q906" i="1"/>
  <c r="R906" i="1"/>
  <c r="K906" i="1"/>
  <c r="S906" i="1"/>
  <c r="L906" i="1"/>
  <c r="T906" i="1"/>
  <c r="M906" i="1"/>
  <c r="N906" i="1"/>
  <c r="U906" i="1"/>
  <c r="V906" i="1"/>
  <c r="AH898" i="1"/>
  <c r="O898" i="1"/>
  <c r="P898" i="1"/>
  <c r="Q898" i="1"/>
  <c r="R898" i="1"/>
  <c r="K898" i="1"/>
  <c r="S898" i="1"/>
  <c r="L898" i="1"/>
  <c r="T898" i="1"/>
  <c r="M898" i="1"/>
  <c r="N898" i="1"/>
  <c r="U898" i="1"/>
  <c r="V898" i="1"/>
  <c r="AH890" i="1"/>
  <c r="O890" i="1"/>
  <c r="P890" i="1"/>
  <c r="Q890" i="1"/>
  <c r="R890" i="1"/>
  <c r="K890" i="1"/>
  <c r="S890" i="1"/>
  <c r="L890" i="1"/>
  <c r="T890" i="1"/>
  <c r="M890" i="1"/>
  <c r="N890" i="1"/>
  <c r="U890" i="1"/>
  <c r="V890" i="1"/>
  <c r="AH882" i="1"/>
  <c r="O882" i="1"/>
  <c r="P882" i="1"/>
  <c r="Q882" i="1"/>
  <c r="R882" i="1"/>
  <c r="K882" i="1"/>
  <c r="S882" i="1"/>
  <c r="L882" i="1"/>
  <c r="T882" i="1"/>
  <c r="M882" i="1"/>
  <c r="N882" i="1"/>
  <c r="U882" i="1"/>
  <c r="V882" i="1"/>
  <c r="AH874" i="1"/>
  <c r="O874" i="1"/>
  <c r="P874" i="1"/>
  <c r="Q874" i="1"/>
  <c r="R874" i="1"/>
  <c r="K874" i="1"/>
  <c r="S874" i="1"/>
  <c r="L874" i="1"/>
  <c r="T874" i="1"/>
  <c r="M874" i="1"/>
  <c r="N874" i="1"/>
  <c r="U874" i="1"/>
  <c r="V874" i="1"/>
  <c r="AH866" i="1"/>
  <c r="Q866" i="1"/>
  <c r="N866" i="1"/>
  <c r="V866" i="1"/>
  <c r="T866" i="1"/>
  <c r="K866" i="1"/>
  <c r="U866" i="1"/>
  <c r="L866" i="1"/>
  <c r="M866" i="1"/>
  <c r="O866" i="1"/>
  <c r="P866" i="1"/>
  <c r="S866" i="1"/>
  <c r="R866" i="1"/>
  <c r="AH858" i="1"/>
  <c r="Q858" i="1"/>
  <c r="N858" i="1"/>
  <c r="V858" i="1"/>
  <c r="T858" i="1"/>
  <c r="K858" i="1"/>
  <c r="U858" i="1"/>
  <c r="L858" i="1"/>
  <c r="M858" i="1"/>
  <c r="O858" i="1"/>
  <c r="P858" i="1"/>
  <c r="R858" i="1"/>
  <c r="S858" i="1"/>
  <c r="AH850" i="1"/>
  <c r="Q850" i="1"/>
  <c r="N850" i="1"/>
  <c r="V850" i="1"/>
  <c r="T850" i="1"/>
  <c r="K850" i="1"/>
  <c r="U850" i="1"/>
  <c r="L850" i="1"/>
  <c r="M850" i="1"/>
  <c r="O850" i="1"/>
  <c r="P850" i="1"/>
  <c r="R850" i="1"/>
  <c r="S850" i="1"/>
  <c r="AH842" i="1"/>
  <c r="Q842" i="1"/>
  <c r="R842" i="1"/>
  <c r="N842" i="1"/>
  <c r="V842" i="1"/>
  <c r="L842" i="1"/>
  <c r="M842" i="1"/>
  <c r="O842" i="1"/>
  <c r="P842" i="1"/>
  <c r="S842" i="1"/>
  <c r="T842" i="1"/>
  <c r="K842" i="1"/>
  <c r="U842" i="1"/>
  <c r="AH834" i="1"/>
  <c r="Q834" i="1"/>
  <c r="R834" i="1"/>
  <c r="M834" i="1"/>
  <c r="U834" i="1"/>
  <c r="N834" i="1"/>
  <c r="V834" i="1"/>
  <c r="S834" i="1"/>
  <c r="T834" i="1"/>
  <c r="K834" i="1"/>
  <c r="L834" i="1"/>
  <c r="O834" i="1"/>
  <c r="P834" i="1"/>
  <c r="AH826" i="1"/>
  <c r="Q826" i="1"/>
  <c r="R826" i="1"/>
  <c r="M826" i="1"/>
  <c r="U826" i="1"/>
  <c r="N826" i="1"/>
  <c r="V826" i="1"/>
  <c r="S826" i="1"/>
  <c r="T826" i="1"/>
  <c r="K826" i="1"/>
  <c r="L826" i="1"/>
  <c r="P826" i="1"/>
  <c r="O826" i="1"/>
  <c r="AH818" i="1"/>
  <c r="Q818" i="1"/>
  <c r="R818" i="1"/>
  <c r="M818" i="1"/>
  <c r="U818" i="1"/>
  <c r="N818" i="1"/>
  <c r="V818" i="1"/>
  <c r="S818" i="1"/>
  <c r="T818" i="1"/>
  <c r="K818" i="1"/>
  <c r="L818" i="1"/>
  <c r="O818" i="1"/>
  <c r="P818" i="1"/>
  <c r="AH810" i="1"/>
  <c r="Q810" i="1"/>
  <c r="R810" i="1"/>
  <c r="K810" i="1"/>
  <c r="S810" i="1"/>
  <c r="M810" i="1"/>
  <c r="U810" i="1"/>
  <c r="N810" i="1"/>
  <c r="V810" i="1"/>
  <c r="L810" i="1"/>
  <c r="O810" i="1"/>
  <c r="P810" i="1"/>
  <c r="T810" i="1"/>
  <c r="AH802" i="1"/>
  <c r="Q802" i="1"/>
  <c r="R802" i="1"/>
  <c r="K802" i="1"/>
  <c r="S802" i="1"/>
  <c r="M802" i="1"/>
  <c r="U802" i="1"/>
  <c r="N802" i="1"/>
  <c r="V802" i="1"/>
  <c r="L802" i="1"/>
  <c r="O802" i="1"/>
  <c r="P802" i="1"/>
  <c r="T802" i="1"/>
  <c r="AH794" i="1"/>
  <c r="Q794" i="1"/>
  <c r="R794" i="1"/>
  <c r="K794" i="1"/>
  <c r="S794" i="1"/>
  <c r="M794" i="1"/>
  <c r="U794" i="1"/>
  <c r="N794" i="1"/>
  <c r="V794" i="1"/>
  <c r="L794" i="1"/>
  <c r="O794" i="1"/>
  <c r="T794" i="1"/>
  <c r="P794" i="1"/>
  <c r="AH786" i="1"/>
  <c r="Q786" i="1"/>
  <c r="R786" i="1"/>
  <c r="K786" i="1"/>
  <c r="S786" i="1"/>
  <c r="M786" i="1"/>
  <c r="U786" i="1"/>
  <c r="N786" i="1"/>
  <c r="V786" i="1"/>
  <c r="L786" i="1"/>
  <c r="O786" i="1"/>
  <c r="P786" i="1"/>
  <c r="T786" i="1"/>
  <c r="AH778" i="1"/>
  <c r="P778" i="1"/>
  <c r="N778" i="1"/>
  <c r="O778" i="1"/>
  <c r="Q778" i="1"/>
  <c r="S778" i="1"/>
  <c r="K778" i="1"/>
  <c r="T778" i="1"/>
  <c r="U778" i="1"/>
  <c r="V778" i="1"/>
  <c r="L778" i="1"/>
  <c r="R778" i="1"/>
  <c r="M778" i="1"/>
  <c r="AH770" i="1"/>
  <c r="O770" i="1"/>
  <c r="P770" i="1"/>
  <c r="T770" i="1"/>
  <c r="K770" i="1"/>
  <c r="U770" i="1"/>
  <c r="L770" i="1"/>
  <c r="V770" i="1"/>
  <c r="M770" i="1"/>
  <c r="N770" i="1"/>
  <c r="Q770" i="1"/>
  <c r="R770" i="1"/>
  <c r="S770" i="1"/>
  <c r="AH762" i="1"/>
  <c r="O762" i="1"/>
  <c r="P762" i="1"/>
  <c r="T762" i="1"/>
  <c r="K762" i="1"/>
  <c r="U762" i="1"/>
  <c r="L762" i="1"/>
  <c r="V762" i="1"/>
  <c r="M762" i="1"/>
  <c r="N762" i="1"/>
  <c r="Q762" i="1"/>
  <c r="R762" i="1"/>
  <c r="S762" i="1"/>
  <c r="AH754" i="1"/>
  <c r="O754" i="1"/>
  <c r="P754" i="1"/>
  <c r="T754" i="1"/>
  <c r="K754" i="1"/>
  <c r="U754" i="1"/>
  <c r="L754" i="1"/>
  <c r="V754" i="1"/>
  <c r="M754" i="1"/>
  <c r="N754" i="1"/>
  <c r="Q754" i="1"/>
  <c r="S754" i="1"/>
  <c r="R754" i="1"/>
  <c r="AH746" i="1"/>
  <c r="O746" i="1"/>
  <c r="P746" i="1"/>
  <c r="T746" i="1"/>
  <c r="K746" i="1"/>
  <c r="U746" i="1"/>
  <c r="L746" i="1"/>
  <c r="V746" i="1"/>
  <c r="M746" i="1"/>
  <c r="N746" i="1"/>
  <c r="Q746" i="1"/>
  <c r="R746" i="1"/>
  <c r="S746" i="1"/>
  <c r="AH738" i="1"/>
  <c r="O738" i="1"/>
  <c r="P738" i="1"/>
  <c r="T738" i="1"/>
  <c r="K738" i="1"/>
  <c r="U738" i="1"/>
  <c r="L738" i="1"/>
  <c r="V738" i="1"/>
  <c r="M738" i="1"/>
  <c r="N738" i="1"/>
  <c r="Q738" i="1"/>
  <c r="R738" i="1"/>
  <c r="S738" i="1"/>
  <c r="AH730" i="1"/>
  <c r="O730" i="1"/>
  <c r="P730" i="1"/>
  <c r="T730" i="1"/>
  <c r="K730" i="1"/>
  <c r="U730" i="1"/>
  <c r="L730" i="1"/>
  <c r="V730" i="1"/>
  <c r="M730" i="1"/>
  <c r="N730" i="1"/>
  <c r="Q730" i="1"/>
  <c r="R730" i="1"/>
  <c r="S730" i="1"/>
  <c r="AH722" i="1"/>
  <c r="O722" i="1"/>
  <c r="P722" i="1"/>
  <c r="T722" i="1"/>
  <c r="K722" i="1"/>
  <c r="U722" i="1"/>
  <c r="L722" i="1"/>
  <c r="V722" i="1"/>
  <c r="M722" i="1"/>
  <c r="N722" i="1"/>
  <c r="Q722" i="1"/>
  <c r="S722" i="1"/>
  <c r="R722" i="1"/>
  <c r="AH714" i="1"/>
  <c r="O714" i="1"/>
  <c r="P714" i="1"/>
  <c r="T714" i="1"/>
  <c r="K714" i="1"/>
  <c r="U714" i="1"/>
  <c r="L714" i="1"/>
  <c r="V714" i="1"/>
  <c r="M714" i="1"/>
  <c r="N714" i="1"/>
  <c r="Q714" i="1"/>
  <c r="R714" i="1"/>
  <c r="S714" i="1"/>
  <c r="AH706" i="1"/>
  <c r="O706" i="1"/>
  <c r="P706" i="1"/>
  <c r="T706" i="1"/>
  <c r="K706" i="1"/>
  <c r="U706" i="1"/>
  <c r="L706" i="1"/>
  <c r="V706" i="1"/>
  <c r="M706" i="1"/>
  <c r="N706" i="1"/>
  <c r="Q706" i="1"/>
  <c r="R706" i="1"/>
  <c r="S706" i="1"/>
  <c r="AH698" i="1"/>
  <c r="O698" i="1"/>
  <c r="P698" i="1"/>
  <c r="T698" i="1"/>
  <c r="K698" i="1"/>
  <c r="U698" i="1"/>
  <c r="L698" i="1"/>
  <c r="V698" i="1"/>
  <c r="M698" i="1"/>
  <c r="N698" i="1"/>
  <c r="Q698" i="1"/>
  <c r="R698" i="1"/>
  <c r="S698" i="1"/>
  <c r="AH690" i="1"/>
  <c r="O690" i="1"/>
  <c r="P690" i="1"/>
  <c r="T690" i="1"/>
  <c r="K690" i="1"/>
  <c r="U690" i="1"/>
  <c r="L690" i="1"/>
  <c r="V690" i="1"/>
  <c r="M690" i="1"/>
  <c r="N690" i="1"/>
  <c r="Q690" i="1"/>
  <c r="S690" i="1"/>
  <c r="R690" i="1"/>
  <c r="AH682" i="1"/>
  <c r="O682" i="1"/>
  <c r="P682" i="1"/>
  <c r="T682" i="1"/>
  <c r="K682" i="1"/>
  <c r="U682" i="1"/>
  <c r="L682" i="1"/>
  <c r="V682" i="1"/>
  <c r="M682" i="1"/>
  <c r="N682" i="1"/>
  <c r="Q682" i="1"/>
  <c r="R682" i="1"/>
  <c r="S682" i="1"/>
  <c r="AH674" i="1"/>
  <c r="O674" i="1"/>
  <c r="P674" i="1"/>
  <c r="T674" i="1"/>
  <c r="K674" i="1"/>
  <c r="U674" i="1"/>
  <c r="L674" i="1"/>
  <c r="V674" i="1"/>
  <c r="M674" i="1"/>
  <c r="N674" i="1"/>
  <c r="Q674" i="1"/>
  <c r="R674" i="1"/>
  <c r="S674" i="1"/>
  <c r="AH666" i="1"/>
  <c r="O666" i="1"/>
  <c r="P666" i="1"/>
  <c r="K666" i="1"/>
  <c r="S666" i="1"/>
  <c r="Q666" i="1"/>
  <c r="R666" i="1"/>
  <c r="T666" i="1"/>
  <c r="U666" i="1"/>
  <c r="V666" i="1"/>
  <c r="L666" i="1"/>
  <c r="M666" i="1"/>
  <c r="N666" i="1"/>
  <c r="AH658" i="1"/>
  <c r="O658" i="1"/>
  <c r="P658" i="1"/>
  <c r="K658" i="1"/>
  <c r="S658" i="1"/>
  <c r="V658" i="1"/>
  <c r="L658" i="1"/>
  <c r="M658" i="1"/>
  <c r="N658" i="1"/>
  <c r="Q658" i="1"/>
  <c r="R658" i="1"/>
  <c r="T658" i="1"/>
  <c r="U658" i="1"/>
  <c r="AH650" i="1"/>
  <c r="O650" i="1"/>
  <c r="P650" i="1"/>
  <c r="K650" i="1"/>
  <c r="S650" i="1"/>
  <c r="Q650" i="1"/>
  <c r="R650" i="1"/>
  <c r="T650" i="1"/>
  <c r="U650" i="1"/>
  <c r="V650" i="1"/>
  <c r="L650" i="1"/>
  <c r="M650" i="1"/>
  <c r="N650" i="1"/>
  <c r="AH642" i="1"/>
  <c r="O642" i="1"/>
  <c r="P642" i="1"/>
  <c r="K642" i="1"/>
  <c r="S642" i="1"/>
  <c r="V642" i="1"/>
  <c r="L642" i="1"/>
  <c r="M642" i="1"/>
  <c r="N642" i="1"/>
  <c r="Q642" i="1"/>
  <c r="R642" i="1"/>
  <c r="U642" i="1"/>
  <c r="T642" i="1"/>
  <c r="AH634" i="1"/>
  <c r="O634" i="1"/>
  <c r="P634" i="1"/>
  <c r="K634" i="1"/>
  <c r="S634" i="1"/>
  <c r="Q634" i="1"/>
  <c r="R634" i="1"/>
  <c r="T634" i="1"/>
  <c r="U634" i="1"/>
  <c r="V634" i="1"/>
  <c r="L634" i="1"/>
  <c r="N634" i="1"/>
  <c r="M634" i="1"/>
  <c r="AH626" i="1"/>
  <c r="O626" i="1"/>
  <c r="P626" i="1"/>
  <c r="K626" i="1"/>
  <c r="S626" i="1"/>
  <c r="V626" i="1"/>
  <c r="L626" i="1"/>
  <c r="M626" i="1"/>
  <c r="N626" i="1"/>
  <c r="Q626" i="1"/>
  <c r="R626" i="1"/>
  <c r="T626" i="1"/>
  <c r="U626" i="1"/>
  <c r="AH618" i="1"/>
  <c r="O618" i="1"/>
  <c r="P618" i="1"/>
  <c r="K618" i="1"/>
  <c r="S618" i="1"/>
  <c r="L618" i="1"/>
  <c r="T618" i="1"/>
  <c r="M618" i="1"/>
  <c r="N618" i="1"/>
  <c r="Q618" i="1"/>
  <c r="R618" i="1"/>
  <c r="U618" i="1"/>
  <c r="V618" i="1"/>
  <c r="AH610" i="1"/>
  <c r="O610" i="1"/>
  <c r="M610" i="1"/>
  <c r="V610" i="1"/>
  <c r="N610" i="1"/>
  <c r="R610" i="1"/>
  <c r="S610" i="1"/>
  <c r="P610" i="1"/>
  <c r="Q610" i="1"/>
  <c r="T610" i="1"/>
  <c r="U610" i="1"/>
  <c r="L610" i="1"/>
  <c r="K610" i="1"/>
  <c r="AH602" i="1"/>
  <c r="O602" i="1"/>
  <c r="L602" i="1"/>
  <c r="T602" i="1"/>
  <c r="S602" i="1"/>
  <c r="U602" i="1"/>
  <c r="N602" i="1"/>
  <c r="P602" i="1"/>
  <c r="K602" i="1"/>
  <c r="M602" i="1"/>
  <c r="Q602" i="1"/>
  <c r="R602" i="1"/>
  <c r="V602" i="1"/>
  <c r="AH594" i="1"/>
  <c r="O594" i="1"/>
  <c r="L594" i="1"/>
  <c r="T594" i="1"/>
  <c r="S594" i="1"/>
  <c r="U594" i="1"/>
  <c r="K594" i="1"/>
  <c r="V594" i="1"/>
  <c r="N594" i="1"/>
  <c r="P594" i="1"/>
  <c r="M594" i="1"/>
  <c r="Q594" i="1"/>
  <c r="R594" i="1"/>
  <c r="AH586" i="1"/>
  <c r="O586" i="1"/>
  <c r="L586" i="1"/>
  <c r="T586" i="1"/>
  <c r="S586" i="1"/>
  <c r="U586" i="1"/>
  <c r="K586" i="1"/>
  <c r="V586" i="1"/>
  <c r="N586" i="1"/>
  <c r="P586" i="1"/>
  <c r="M586" i="1"/>
  <c r="R586" i="1"/>
  <c r="Q586" i="1"/>
  <c r="AH578" i="1"/>
  <c r="O578" i="1"/>
  <c r="Q578" i="1"/>
  <c r="L578" i="1"/>
  <c r="T578" i="1"/>
  <c r="N578" i="1"/>
  <c r="P578" i="1"/>
  <c r="R578" i="1"/>
  <c r="S578" i="1"/>
  <c r="U578" i="1"/>
  <c r="V578" i="1"/>
  <c r="K578" i="1"/>
  <c r="M578" i="1"/>
  <c r="AH570" i="1"/>
  <c r="O570" i="1"/>
  <c r="Q570" i="1"/>
  <c r="L570" i="1"/>
  <c r="T570" i="1"/>
  <c r="U570" i="1"/>
  <c r="V570" i="1"/>
  <c r="K570" i="1"/>
  <c r="M570" i="1"/>
  <c r="N570" i="1"/>
  <c r="P570" i="1"/>
  <c r="S570" i="1"/>
  <c r="R570" i="1"/>
  <c r="AH562" i="1"/>
  <c r="O562" i="1"/>
  <c r="Q562" i="1"/>
  <c r="L562" i="1"/>
  <c r="T562" i="1"/>
  <c r="N562" i="1"/>
  <c r="P562" i="1"/>
  <c r="R562" i="1"/>
  <c r="S562" i="1"/>
  <c r="U562" i="1"/>
  <c r="V562" i="1"/>
  <c r="M562" i="1"/>
  <c r="K562" i="1"/>
  <c r="AH554" i="1"/>
  <c r="O554" i="1"/>
  <c r="P554" i="1"/>
  <c r="Q554" i="1"/>
  <c r="L554" i="1"/>
  <c r="T554" i="1"/>
  <c r="S554" i="1"/>
  <c r="U554" i="1"/>
  <c r="V554" i="1"/>
  <c r="K554" i="1"/>
  <c r="M554" i="1"/>
  <c r="N554" i="1"/>
  <c r="R554" i="1"/>
  <c r="AH546" i="1"/>
  <c r="Q546" i="1"/>
  <c r="O546" i="1"/>
  <c r="P546" i="1"/>
  <c r="S546" i="1"/>
  <c r="K546" i="1"/>
  <c r="T546" i="1"/>
  <c r="L546" i="1"/>
  <c r="M546" i="1"/>
  <c r="U546" i="1"/>
  <c r="N546" i="1"/>
  <c r="R546" i="1"/>
  <c r="V546" i="1"/>
  <c r="AH538" i="1"/>
  <c r="Q538" i="1"/>
  <c r="K538" i="1"/>
  <c r="T538" i="1"/>
  <c r="L538" i="1"/>
  <c r="U538" i="1"/>
  <c r="N538" i="1"/>
  <c r="O538" i="1"/>
  <c r="M538" i="1"/>
  <c r="P538" i="1"/>
  <c r="R538" i="1"/>
  <c r="S538" i="1"/>
  <c r="V538" i="1"/>
  <c r="AH530" i="1"/>
  <c r="Q530" i="1"/>
  <c r="O530" i="1"/>
  <c r="P530" i="1"/>
  <c r="S530" i="1"/>
  <c r="K530" i="1"/>
  <c r="T530" i="1"/>
  <c r="N530" i="1"/>
  <c r="R530" i="1"/>
  <c r="U530" i="1"/>
  <c r="V530" i="1"/>
  <c r="L530" i="1"/>
  <c r="M530" i="1"/>
  <c r="AH522" i="1"/>
  <c r="Q522" i="1"/>
  <c r="K522" i="1"/>
  <c r="T522" i="1"/>
  <c r="L522" i="1"/>
  <c r="U522" i="1"/>
  <c r="N522" i="1"/>
  <c r="O522" i="1"/>
  <c r="S522" i="1"/>
  <c r="V522" i="1"/>
  <c r="P522" i="1"/>
  <c r="M522" i="1"/>
  <c r="R522" i="1"/>
  <c r="AH514" i="1"/>
  <c r="Q514" i="1"/>
  <c r="O514" i="1"/>
  <c r="P514" i="1"/>
  <c r="S514" i="1"/>
  <c r="K514" i="1"/>
  <c r="T514" i="1"/>
  <c r="L514" i="1"/>
  <c r="M514" i="1"/>
  <c r="U514" i="1"/>
  <c r="N514" i="1"/>
  <c r="R514" i="1"/>
  <c r="V514" i="1"/>
  <c r="AH506" i="1"/>
  <c r="Q506" i="1"/>
  <c r="K506" i="1"/>
  <c r="T506" i="1"/>
  <c r="L506" i="1"/>
  <c r="U506" i="1"/>
  <c r="N506" i="1"/>
  <c r="O506" i="1"/>
  <c r="M506" i="1"/>
  <c r="P506" i="1"/>
  <c r="R506" i="1"/>
  <c r="S506" i="1"/>
  <c r="V506" i="1"/>
  <c r="AH498" i="1"/>
  <c r="O498" i="1"/>
  <c r="Q498" i="1"/>
  <c r="K498" i="1"/>
  <c r="S498" i="1"/>
  <c r="T498" i="1"/>
  <c r="U498" i="1"/>
  <c r="L498" i="1"/>
  <c r="M498" i="1"/>
  <c r="N498" i="1"/>
  <c r="P498" i="1"/>
  <c r="R498" i="1"/>
  <c r="V498" i="1"/>
  <c r="AH490" i="1"/>
  <c r="O490" i="1"/>
  <c r="Q490" i="1"/>
  <c r="K490" i="1"/>
  <c r="S490" i="1"/>
  <c r="M490" i="1"/>
  <c r="N490" i="1"/>
  <c r="R490" i="1"/>
  <c r="T490" i="1"/>
  <c r="U490" i="1"/>
  <c r="L490" i="1"/>
  <c r="P490" i="1"/>
  <c r="V490" i="1"/>
  <c r="AH482" i="1"/>
  <c r="O482" i="1"/>
  <c r="Q482" i="1"/>
  <c r="K482" i="1"/>
  <c r="S482" i="1"/>
  <c r="T482" i="1"/>
  <c r="U482" i="1"/>
  <c r="L482" i="1"/>
  <c r="M482" i="1"/>
  <c r="R482" i="1"/>
  <c r="V482" i="1"/>
  <c r="N482" i="1"/>
  <c r="P482" i="1"/>
  <c r="AH474" i="1"/>
  <c r="O474" i="1"/>
  <c r="Q474" i="1"/>
  <c r="K474" i="1"/>
  <c r="S474" i="1"/>
  <c r="M474" i="1"/>
  <c r="N474" i="1"/>
  <c r="R474" i="1"/>
  <c r="T474" i="1"/>
  <c r="L474" i="1"/>
  <c r="P474" i="1"/>
  <c r="U474" i="1"/>
  <c r="V474" i="1"/>
  <c r="AH466" i="1"/>
  <c r="O466" i="1"/>
  <c r="Q466" i="1"/>
  <c r="K466" i="1"/>
  <c r="S466" i="1"/>
  <c r="T466" i="1"/>
  <c r="U466" i="1"/>
  <c r="L466" i="1"/>
  <c r="M466" i="1"/>
  <c r="N466" i="1"/>
  <c r="P466" i="1"/>
  <c r="R466" i="1"/>
  <c r="V466" i="1"/>
  <c r="AH458" i="1"/>
  <c r="O458" i="1"/>
  <c r="Q458" i="1"/>
  <c r="K458" i="1"/>
  <c r="S458" i="1"/>
  <c r="M458" i="1"/>
  <c r="N458" i="1"/>
  <c r="R458" i="1"/>
  <c r="T458" i="1"/>
  <c r="L458" i="1"/>
  <c r="U458" i="1"/>
  <c r="P458" i="1"/>
  <c r="V458" i="1"/>
  <c r="AH450" i="1"/>
  <c r="O450" i="1"/>
  <c r="Q450" i="1"/>
  <c r="K450" i="1"/>
  <c r="S450" i="1"/>
  <c r="T450" i="1"/>
  <c r="U450" i="1"/>
  <c r="L450" i="1"/>
  <c r="M450" i="1"/>
  <c r="R450" i="1"/>
  <c r="V450" i="1"/>
  <c r="N450" i="1"/>
  <c r="P450" i="1"/>
  <c r="AH442" i="1"/>
  <c r="P442" i="1"/>
  <c r="Q442" i="1"/>
  <c r="R442" i="1"/>
  <c r="N442" i="1"/>
  <c r="S442" i="1"/>
  <c r="U442" i="1"/>
  <c r="M442" i="1"/>
  <c r="O442" i="1"/>
  <c r="V442" i="1"/>
  <c r="L442" i="1"/>
  <c r="T442" i="1"/>
  <c r="K442" i="1"/>
  <c r="AH434" i="1"/>
  <c r="P434" i="1"/>
  <c r="Q434" i="1"/>
  <c r="R434" i="1"/>
  <c r="U434" i="1"/>
  <c r="L434" i="1"/>
  <c r="N434" i="1"/>
  <c r="K434" i="1"/>
  <c r="O434" i="1"/>
  <c r="S434" i="1"/>
  <c r="T434" i="1"/>
  <c r="V434" i="1"/>
  <c r="M434" i="1"/>
  <c r="AH426" i="1"/>
  <c r="P426" i="1"/>
  <c r="Q426" i="1"/>
  <c r="R426" i="1"/>
  <c r="N426" i="1"/>
  <c r="S426" i="1"/>
  <c r="U426" i="1"/>
  <c r="V426" i="1"/>
  <c r="K426" i="1"/>
  <c r="L426" i="1"/>
  <c r="M426" i="1"/>
  <c r="O426" i="1"/>
  <c r="T426" i="1"/>
  <c r="AH418" i="1"/>
  <c r="P418" i="1"/>
  <c r="Q418" i="1"/>
  <c r="R418" i="1"/>
  <c r="U418" i="1"/>
  <c r="L418" i="1"/>
  <c r="N418" i="1"/>
  <c r="O418" i="1"/>
  <c r="S418" i="1"/>
  <c r="V418" i="1"/>
  <c r="M418" i="1"/>
  <c r="T418" i="1"/>
  <c r="K418" i="1"/>
  <c r="AH410" i="1"/>
  <c r="P410" i="1"/>
  <c r="Q410" i="1"/>
  <c r="R410" i="1"/>
  <c r="N410" i="1"/>
  <c r="S410" i="1"/>
  <c r="U410" i="1"/>
  <c r="K410" i="1"/>
  <c r="L410" i="1"/>
  <c r="O410" i="1"/>
  <c r="T410" i="1"/>
  <c r="V410" i="1"/>
  <c r="M410" i="1"/>
  <c r="AH402" i="1"/>
  <c r="P402" i="1"/>
  <c r="Q402" i="1"/>
  <c r="R402" i="1"/>
  <c r="U402" i="1"/>
  <c r="L402" i="1"/>
  <c r="N402" i="1"/>
  <c r="V402" i="1"/>
  <c r="K402" i="1"/>
  <c r="M402" i="1"/>
  <c r="O402" i="1"/>
  <c r="S402" i="1"/>
  <c r="T402" i="1"/>
  <c r="AH394" i="1"/>
  <c r="P394" i="1"/>
  <c r="Q394" i="1"/>
  <c r="R394" i="1"/>
  <c r="N394" i="1"/>
  <c r="S394" i="1"/>
  <c r="U394" i="1"/>
  <c r="O394" i="1"/>
  <c r="T394" i="1"/>
  <c r="M394" i="1"/>
  <c r="V394" i="1"/>
  <c r="K394" i="1"/>
  <c r="L394" i="1"/>
  <c r="AH386" i="1"/>
  <c r="P386" i="1"/>
  <c r="Q386" i="1"/>
  <c r="R386" i="1"/>
  <c r="U386" i="1"/>
  <c r="L386" i="1"/>
  <c r="N386" i="1"/>
  <c r="K386" i="1"/>
  <c r="M386" i="1"/>
  <c r="S386" i="1"/>
  <c r="T386" i="1"/>
  <c r="V386" i="1"/>
  <c r="O386" i="1"/>
  <c r="AH378" i="1"/>
  <c r="M378" i="1"/>
  <c r="U378" i="1"/>
  <c r="O378" i="1"/>
  <c r="N378" i="1"/>
  <c r="P378" i="1"/>
  <c r="Q378" i="1"/>
  <c r="S378" i="1"/>
  <c r="V378" i="1"/>
  <c r="L378" i="1"/>
  <c r="R378" i="1"/>
  <c r="K378" i="1"/>
  <c r="T378" i="1"/>
  <c r="AH370" i="1"/>
  <c r="M370" i="1"/>
  <c r="U370" i="1"/>
  <c r="N370" i="1"/>
  <c r="V370" i="1"/>
  <c r="O370" i="1"/>
  <c r="Q370" i="1"/>
  <c r="R370" i="1"/>
  <c r="S370" i="1"/>
  <c r="K370" i="1"/>
  <c r="L370" i="1"/>
  <c r="T370" i="1"/>
  <c r="P370" i="1"/>
  <c r="AH362" i="1"/>
  <c r="M362" i="1"/>
  <c r="U362" i="1"/>
  <c r="N362" i="1"/>
  <c r="V362" i="1"/>
  <c r="O362" i="1"/>
  <c r="P362" i="1"/>
  <c r="K362" i="1"/>
  <c r="L362" i="1"/>
  <c r="R362" i="1"/>
  <c r="S362" i="1"/>
  <c r="Q362" i="1"/>
  <c r="T362" i="1"/>
  <c r="AH354" i="1"/>
  <c r="M354" i="1"/>
  <c r="U354" i="1"/>
  <c r="N354" i="1"/>
  <c r="V354" i="1"/>
  <c r="O354" i="1"/>
  <c r="P354" i="1"/>
  <c r="K354" i="1"/>
  <c r="S354" i="1"/>
  <c r="R354" i="1"/>
  <c r="T354" i="1"/>
  <c r="Q354" i="1"/>
  <c r="L354" i="1"/>
  <c r="AH346" i="1"/>
  <c r="M346" i="1"/>
  <c r="U346" i="1"/>
  <c r="N346" i="1"/>
  <c r="V346" i="1"/>
  <c r="O346" i="1"/>
  <c r="P346" i="1"/>
  <c r="K346" i="1"/>
  <c r="S346" i="1"/>
  <c r="L346" i="1"/>
  <c r="Q346" i="1"/>
  <c r="T346" i="1"/>
  <c r="R346" i="1"/>
  <c r="AH338" i="1"/>
  <c r="M338" i="1"/>
  <c r="U338" i="1"/>
  <c r="N338" i="1"/>
  <c r="V338" i="1"/>
  <c r="O338" i="1"/>
  <c r="P338" i="1"/>
  <c r="K338" i="1"/>
  <c r="S338" i="1"/>
  <c r="R338" i="1"/>
  <c r="T338" i="1"/>
  <c r="Q338" i="1"/>
  <c r="L338" i="1"/>
  <c r="AH330" i="1"/>
  <c r="M330" i="1"/>
  <c r="U330" i="1"/>
  <c r="N330" i="1"/>
  <c r="V330" i="1"/>
  <c r="O330" i="1"/>
  <c r="P330" i="1"/>
  <c r="K330" i="1"/>
  <c r="S330" i="1"/>
  <c r="L330" i="1"/>
  <c r="Q330" i="1"/>
  <c r="T330" i="1"/>
  <c r="R330" i="1"/>
  <c r="AH322" i="1"/>
  <c r="M322" i="1"/>
  <c r="U322" i="1"/>
  <c r="N322" i="1"/>
  <c r="V322" i="1"/>
  <c r="O322" i="1"/>
  <c r="P322" i="1"/>
  <c r="K322" i="1"/>
  <c r="S322" i="1"/>
  <c r="R322" i="1"/>
  <c r="T322" i="1"/>
  <c r="Q322" i="1"/>
  <c r="L322" i="1"/>
  <c r="AH314" i="1"/>
  <c r="Q314" i="1"/>
  <c r="N314" i="1"/>
  <c r="O314" i="1"/>
  <c r="P314" i="1"/>
  <c r="R314" i="1"/>
  <c r="L314" i="1"/>
  <c r="U314" i="1"/>
  <c r="V314" i="1"/>
  <c r="M314" i="1"/>
  <c r="T314" i="1"/>
  <c r="S314" i="1"/>
  <c r="K314" i="1"/>
  <c r="AH306" i="1"/>
  <c r="Q306" i="1"/>
  <c r="S306" i="1"/>
  <c r="K306" i="1"/>
  <c r="T306" i="1"/>
  <c r="L306" i="1"/>
  <c r="U306" i="1"/>
  <c r="M306" i="1"/>
  <c r="V306" i="1"/>
  <c r="P306" i="1"/>
  <c r="N306" i="1"/>
  <c r="R306" i="1"/>
  <c r="O306" i="1"/>
  <c r="AH298" i="1"/>
  <c r="Q298" i="1"/>
  <c r="N298" i="1"/>
  <c r="O298" i="1"/>
  <c r="R298" i="1"/>
  <c r="K298" i="1"/>
  <c r="L298" i="1"/>
  <c r="M298" i="1"/>
  <c r="P298" i="1"/>
  <c r="U298" i="1"/>
  <c r="S298" i="1"/>
  <c r="T298" i="1"/>
  <c r="V298" i="1"/>
  <c r="AH290" i="1"/>
  <c r="Q290" i="1"/>
  <c r="S290" i="1"/>
  <c r="K290" i="1"/>
  <c r="T290" i="1"/>
  <c r="M290" i="1"/>
  <c r="V290" i="1"/>
  <c r="R290" i="1"/>
  <c r="U290" i="1"/>
  <c r="O290" i="1"/>
  <c r="L290" i="1"/>
  <c r="N290" i="1"/>
  <c r="P290" i="1"/>
  <c r="AH282" i="1"/>
  <c r="Q282" i="1"/>
  <c r="N282" i="1"/>
  <c r="O282" i="1"/>
  <c r="R282" i="1"/>
  <c r="S282" i="1"/>
  <c r="M282" i="1"/>
  <c r="P282" i="1"/>
  <c r="T282" i="1"/>
  <c r="U282" i="1"/>
  <c r="K282" i="1"/>
  <c r="L282" i="1"/>
  <c r="V282" i="1"/>
  <c r="AH274" i="1"/>
  <c r="Q274" i="1"/>
  <c r="S274" i="1"/>
  <c r="K274" i="1"/>
  <c r="T274" i="1"/>
  <c r="M274" i="1"/>
  <c r="V274" i="1"/>
  <c r="N274" i="1"/>
  <c r="R274" i="1"/>
  <c r="U274" i="1"/>
  <c r="O274" i="1"/>
  <c r="L274" i="1"/>
  <c r="P274" i="1"/>
  <c r="AH266" i="1"/>
  <c r="Q266" i="1"/>
  <c r="N266" i="1"/>
  <c r="O266" i="1"/>
  <c r="R266" i="1"/>
  <c r="S266" i="1"/>
  <c r="V266" i="1"/>
  <c r="K266" i="1"/>
  <c r="L266" i="1"/>
  <c r="T266" i="1"/>
  <c r="M266" i="1"/>
  <c r="P266" i="1"/>
  <c r="U266" i="1"/>
  <c r="AH258" i="1"/>
  <c r="Q258" i="1"/>
  <c r="M258" i="1"/>
  <c r="U258" i="1"/>
  <c r="T258" i="1"/>
  <c r="K258" i="1"/>
  <c r="V258" i="1"/>
  <c r="N258" i="1"/>
  <c r="O258" i="1"/>
  <c r="S258" i="1"/>
  <c r="P258" i="1"/>
  <c r="L258" i="1"/>
  <c r="R258" i="1"/>
  <c r="AH250" i="1"/>
  <c r="Q250" i="1"/>
  <c r="M250" i="1"/>
  <c r="U250" i="1"/>
  <c r="T250" i="1"/>
  <c r="K250" i="1"/>
  <c r="V250" i="1"/>
  <c r="N250" i="1"/>
  <c r="O250" i="1"/>
  <c r="L250" i="1"/>
  <c r="P250" i="1"/>
  <c r="R250" i="1"/>
  <c r="S250" i="1"/>
  <c r="AH242" i="1"/>
  <c r="P242" i="1"/>
  <c r="R242" i="1"/>
  <c r="L242" i="1"/>
  <c r="V242" i="1"/>
  <c r="Q242" i="1"/>
  <c r="T242" i="1"/>
  <c r="O242" i="1"/>
  <c r="S242" i="1"/>
  <c r="N242" i="1"/>
  <c r="U242" i="1"/>
  <c r="K242" i="1"/>
  <c r="M242" i="1"/>
  <c r="AH234" i="1"/>
  <c r="P234" i="1"/>
  <c r="R234" i="1"/>
  <c r="L234" i="1"/>
  <c r="T234" i="1"/>
  <c r="O234" i="1"/>
  <c r="V234" i="1"/>
  <c r="M234" i="1"/>
  <c r="U234" i="1"/>
  <c r="K234" i="1"/>
  <c r="N234" i="1"/>
  <c r="Q234" i="1"/>
  <c r="S234" i="1"/>
  <c r="AH226" i="1"/>
  <c r="P226" i="1"/>
  <c r="R226" i="1"/>
  <c r="L226" i="1"/>
  <c r="T226" i="1"/>
  <c r="V226" i="1"/>
  <c r="O226" i="1"/>
  <c r="S226" i="1"/>
  <c r="N226" i="1"/>
  <c r="Q226" i="1"/>
  <c r="M226" i="1"/>
  <c r="U226" i="1"/>
  <c r="K226" i="1"/>
  <c r="AH218" i="1"/>
  <c r="P218" i="1"/>
  <c r="R218" i="1"/>
  <c r="L218" i="1"/>
  <c r="T218" i="1"/>
  <c r="O218" i="1"/>
  <c r="U218" i="1"/>
  <c r="V218" i="1"/>
  <c r="M218" i="1"/>
  <c r="N218" i="1"/>
  <c r="Q218" i="1"/>
  <c r="S218" i="1"/>
  <c r="K218" i="1"/>
  <c r="AH210" i="1"/>
  <c r="P210" i="1"/>
  <c r="R210" i="1"/>
  <c r="L210" i="1"/>
  <c r="T210" i="1"/>
  <c r="V210" i="1"/>
  <c r="N210" i="1"/>
  <c r="O210" i="1"/>
  <c r="S210" i="1"/>
  <c r="K210" i="1"/>
  <c r="U210" i="1"/>
  <c r="M210" i="1"/>
  <c r="Q210" i="1"/>
  <c r="AH202" i="1"/>
  <c r="R202" i="1"/>
  <c r="K202" i="1"/>
  <c r="S202" i="1"/>
  <c r="L202" i="1"/>
  <c r="T202" i="1"/>
  <c r="M202" i="1"/>
  <c r="U202" i="1"/>
  <c r="Q202" i="1"/>
  <c r="O202" i="1"/>
  <c r="N202" i="1"/>
  <c r="P202" i="1"/>
  <c r="V202" i="1"/>
  <c r="AH194" i="1"/>
  <c r="R194" i="1"/>
  <c r="K194" i="1"/>
  <c r="S194" i="1"/>
  <c r="L194" i="1"/>
  <c r="T194" i="1"/>
  <c r="M194" i="1"/>
  <c r="U194" i="1"/>
  <c r="Q194" i="1"/>
  <c r="P194" i="1"/>
  <c r="V194" i="1"/>
  <c r="N194" i="1"/>
  <c r="O194" i="1"/>
  <c r="AH186" i="1"/>
  <c r="R186" i="1"/>
  <c r="K186" i="1"/>
  <c r="S186" i="1"/>
  <c r="L186" i="1"/>
  <c r="T186" i="1"/>
  <c r="M186" i="1"/>
  <c r="U186" i="1"/>
  <c r="P186" i="1"/>
  <c r="Q186" i="1"/>
  <c r="N186" i="1"/>
  <c r="V186" i="1"/>
  <c r="O186" i="1"/>
  <c r="AH178" i="1"/>
  <c r="R178" i="1"/>
  <c r="K178" i="1"/>
  <c r="S178" i="1"/>
  <c r="L178" i="1"/>
  <c r="T178" i="1"/>
  <c r="M178" i="1"/>
  <c r="U178" i="1"/>
  <c r="P178" i="1"/>
  <c r="N178" i="1"/>
  <c r="Q178" i="1"/>
  <c r="O178" i="1"/>
  <c r="V178" i="1"/>
  <c r="AH170" i="1"/>
  <c r="R170" i="1"/>
  <c r="K170" i="1"/>
  <c r="S170" i="1"/>
  <c r="L170" i="1"/>
  <c r="T170" i="1"/>
  <c r="M170" i="1"/>
  <c r="U170" i="1"/>
  <c r="P170" i="1"/>
  <c r="Q170" i="1"/>
  <c r="O170" i="1"/>
  <c r="V170" i="1"/>
  <c r="N170" i="1"/>
  <c r="AH162" i="1"/>
  <c r="R162" i="1"/>
  <c r="K162" i="1"/>
  <c r="S162" i="1"/>
  <c r="L162" i="1"/>
  <c r="T162" i="1"/>
  <c r="M162" i="1"/>
  <c r="U162" i="1"/>
  <c r="P162" i="1"/>
  <c r="N162" i="1"/>
  <c r="Q162" i="1"/>
  <c r="O162" i="1"/>
  <c r="V162" i="1"/>
  <c r="AH154" i="1"/>
  <c r="R154" i="1"/>
  <c r="K154" i="1"/>
  <c r="S154" i="1"/>
  <c r="L154" i="1"/>
  <c r="T154" i="1"/>
  <c r="M154" i="1"/>
  <c r="U154" i="1"/>
  <c r="P154" i="1"/>
  <c r="Q154" i="1"/>
  <c r="O154" i="1"/>
  <c r="V154" i="1"/>
  <c r="N154" i="1"/>
  <c r="AH146" i="1"/>
  <c r="R146" i="1"/>
  <c r="K146" i="1"/>
  <c r="S146" i="1"/>
  <c r="L146" i="1"/>
  <c r="T146" i="1"/>
  <c r="M146" i="1"/>
  <c r="U146" i="1"/>
  <c r="P146" i="1"/>
  <c r="Q146" i="1"/>
  <c r="O146" i="1"/>
  <c r="N146" i="1"/>
  <c r="V146" i="1"/>
  <c r="AH138" i="1"/>
  <c r="R138" i="1"/>
  <c r="K138" i="1"/>
  <c r="S138" i="1"/>
  <c r="L138" i="1"/>
  <c r="T138" i="1"/>
  <c r="M138" i="1"/>
  <c r="U138" i="1"/>
  <c r="O138" i="1"/>
  <c r="P138" i="1"/>
  <c r="Q138" i="1"/>
  <c r="V138" i="1"/>
  <c r="N138" i="1"/>
  <c r="AH130" i="1"/>
  <c r="R130" i="1"/>
  <c r="K130" i="1"/>
  <c r="S130" i="1"/>
  <c r="L130" i="1"/>
  <c r="T130" i="1"/>
  <c r="M130" i="1"/>
  <c r="U130" i="1"/>
  <c r="O130" i="1"/>
  <c r="P130" i="1"/>
  <c r="Q130" i="1"/>
  <c r="V130" i="1"/>
  <c r="N130" i="1"/>
  <c r="AH122" i="1"/>
  <c r="K122" i="1"/>
  <c r="S122" i="1"/>
  <c r="L122" i="1"/>
  <c r="T122" i="1"/>
  <c r="Q122" i="1"/>
  <c r="P122" i="1"/>
  <c r="R122" i="1"/>
  <c r="U122" i="1"/>
  <c r="V122" i="1"/>
  <c r="M122" i="1"/>
  <c r="N122" i="1"/>
  <c r="O122" i="1"/>
  <c r="AH114" i="1"/>
  <c r="K114" i="1"/>
  <c r="S114" i="1"/>
  <c r="L114" i="1"/>
  <c r="T114" i="1"/>
  <c r="P114" i="1"/>
  <c r="Q114" i="1"/>
  <c r="R114" i="1"/>
  <c r="U114" i="1"/>
  <c r="V114" i="1"/>
  <c r="M114" i="1"/>
  <c r="N114" i="1"/>
  <c r="O114" i="1"/>
  <c r="AH106" i="1"/>
  <c r="K106" i="1"/>
  <c r="S106" i="1"/>
  <c r="L106" i="1"/>
  <c r="T106" i="1"/>
  <c r="P106" i="1"/>
  <c r="Q106" i="1"/>
  <c r="R106" i="1"/>
  <c r="U106" i="1"/>
  <c r="V106" i="1"/>
  <c r="M106" i="1"/>
  <c r="N106" i="1"/>
  <c r="O106" i="1"/>
  <c r="AH98" i="1"/>
  <c r="K98" i="1"/>
  <c r="S98" i="1"/>
  <c r="L98" i="1"/>
  <c r="T98" i="1"/>
  <c r="P98" i="1"/>
  <c r="Q98" i="1"/>
  <c r="R98" i="1"/>
  <c r="U98" i="1"/>
  <c r="V98" i="1"/>
  <c r="M98" i="1"/>
  <c r="N98" i="1"/>
  <c r="O98" i="1"/>
  <c r="AH90" i="1"/>
  <c r="L90" i="1"/>
  <c r="T90" i="1"/>
  <c r="R90" i="1"/>
  <c r="S90" i="1"/>
  <c r="O90" i="1"/>
  <c r="P90" i="1"/>
  <c r="Q90" i="1"/>
  <c r="U90" i="1"/>
  <c r="V90" i="1"/>
  <c r="K90" i="1"/>
  <c r="M90" i="1"/>
  <c r="N90" i="1"/>
  <c r="AH82" i="1"/>
  <c r="Q82" i="1"/>
  <c r="R82" i="1"/>
  <c r="K82" i="1"/>
  <c r="L82" i="1"/>
  <c r="T82" i="1"/>
  <c r="M82" i="1"/>
  <c r="U82" i="1"/>
  <c r="O82" i="1"/>
  <c r="V82" i="1"/>
  <c r="N82" i="1"/>
  <c r="P82" i="1"/>
  <c r="S82" i="1"/>
  <c r="AH74" i="1"/>
  <c r="Q74" i="1"/>
  <c r="R74" i="1"/>
  <c r="K74" i="1"/>
  <c r="S74" i="1"/>
  <c r="L74" i="1"/>
  <c r="T74" i="1"/>
  <c r="M74" i="1"/>
  <c r="U74" i="1"/>
  <c r="O74" i="1"/>
  <c r="N74" i="1"/>
  <c r="P74" i="1"/>
  <c r="V74" i="1"/>
  <c r="AH66" i="1"/>
  <c r="Q66" i="1"/>
  <c r="R66" i="1"/>
  <c r="K66" i="1"/>
  <c r="S66" i="1"/>
  <c r="L66" i="1"/>
  <c r="T66" i="1"/>
  <c r="M66" i="1"/>
  <c r="U66" i="1"/>
  <c r="O66" i="1"/>
  <c r="N66" i="1"/>
  <c r="P66" i="1"/>
  <c r="V66" i="1"/>
  <c r="AH58" i="1"/>
  <c r="Q58" i="1"/>
  <c r="L58" i="1"/>
  <c r="T58" i="1"/>
  <c r="M58" i="1"/>
  <c r="N58" i="1"/>
  <c r="O58" i="1"/>
  <c r="P58" i="1"/>
  <c r="R58" i="1"/>
  <c r="U58" i="1"/>
  <c r="V58" i="1"/>
  <c r="K58" i="1"/>
  <c r="S58" i="1"/>
  <c r="AH50" i="1"/>
  <c r="Q50" i="1"/>
  <c r="R50" i="1"/>
  <c r="L50" i="1"/>
  <c r="T50" i="1"/>
  <c r="S50" i="1"/>
  <c r="U50" i="1"/>
  <c r="V50" i="1"/>
  <c r="K50" i="1"/>
  <c r="M50" i="1"/>
  <c r="O50" i="1"/>
  <c r="P50" i="1"/>
  <c r="N50" i="1"/>
  <c r="AH42" i="1"/>
  <c r="N42" i="1"/>
  <c r="V42" i="1"/>
  <c r="Q42" i="1"/>
  <c r="R42" i="1"/>
  <c r="L42" i="1"/>
  <c r="T42" i="1"/>
  <c r="S42" i="1"/>
  <c r="U42" i="1"/>
  <c r="K42" i="1"/>
  <c r="O42" i="1"/>
  <c r="M42" i="1"/>
  <c r="P42" i="1"/>
  <c r="AH34" i="1"/>
  <c r="N34" i="1"/>
  <c r="V34" i="1"/>
  <c r="Q34" i="1"/>
  <c r="R34" i="1"/>
  <c r="L34" i="1"/>
  <c r="T34" i="1"/>
  <c r="S34" i="1"/>
  <c r="U34" i="1"/>
  <c r="K34" i="1"/>
  <c r="O34" i="1"/>
  <c r="M34" i="1"/>
  <c r="P34" i="1"/>
  <c r="AH26" i="1"/>
  <c r="N26" i="1"/>
  <c r="V26" i="1"/>
  <c r="Q26" i="1"/>
  <c r="R26" i="1"/>
  <c r="L26" i="1"/>
  <c r="T26" i="1"/>
  <c r="M26" i="1"/>
  <c r="U26" i="1"/>
  <c r="P26" i="1"/>
  <c r="S26" i="1"/>
  <c r="K26" i="1"/>
  <c r="O26" i="1"/>
  <c r="AH18" i="1"/>
  <c r="N18" i="1"/>
  <c r="V18" i="1"/>
  <c r="Q18" i="1"/>
  <c r="R18" i="1"/>
  <c r="L18" i="1"/>
  <c r="T18" i="1"/>
  <c r="M18" i="1"/>
  <c r="U18" i="1"/>
  <c r="K18" i="1"/>
  <c r="O18" i="1"/>
  <c r="P18" i="1"/>
  <c r="S18" i="1"/>
  <c r="AH10" i="1"/>
  <c r="N10" i="1"/>
  <c r="V10" i="1"/>
  <c r="Q10" i="1"/>
  <c r="R10" i="1"/>
  <c r="L10" i="1"/>
  <c r="T10" i="1"/>
  <c r="M10" i="1"/>
  <c r="U10" i="1"/>
  <c r="P10" i="1"/>
  <c r="S10" i="1"/>
  <c r="K10" i="1"/>
  <c r="O10" i="1"/>
  <c r="V1741" i="1"/>
  <c r="N1741" i="1"/>
  <c r="R1740" i="1"/>
  <c r="V1739" i="1"/>
  <c r="N1739" i="1"/>
  <c r="R1738" i="1"/>
  <c r="V1737" i="1"/>
  <c r="N1737" i="1"/>
  <c r="R1736" i="1"/>
  <c r="V1735" i="1"/>
  <c r="N1735" i="1"/>
  <c r="R1734" i="1"/>
  <c r="V1733" i="1"/>
  <c r="N1733" i="1"/>
  <c r="R1732" i="1"/>
  <c r="V1731" i="1"/>
  <c r="N1731" i="1"/>
  <c r="R1730" i="1"/>
  <c r="V1729" i="1"/>
  <c r="N1729" i="1"/>
  <c r="R1728" i="1"/>
  <c r="V1727" i="1"/>
  <c r="N1727" i="1"/>
  <c r="R1726" i="1"/>
  <c r="V1725" i="1"/>
  <c r="N1725" i="1"/>
  <c r="R1724" i="1"/>
  <c r="V1723" i="1"/>
  <c r="N1723" i="1"/>
  <c r="R1722" i="1"/>
  <c r="V1721" i="1"/>
  <c r="N1721" i="1"/>
  <c r="R1720" i="1"/>
  <c r="V1719" i="1"/>
  <c r="N1719" i="1"/>
  <c r="R1718" i="1"/>
  <c r="V1717" i="1"/>
  <c r="N1717" i="1"/>
  <c r="R1716" i="1"/>
  <c r="V1715" i="1"/>
  <c r="N1715" i="1"/>
  <c r="R1714" i="1"/>
  <c r="V1713" i="1"/>
  <c r="N1713" i="1"/>
  <c r="R1712" i="1"/>
  <c r="V1711" i="1"/>
  <c r="N1711" i="1"/>
  <c r="R1710" i="1"/>
  <c r="V1709" i="1"/>
  <c r="N1709" i="1"/>
  <c r="Q1708" i="1"/>
  <c r="R1707" i="1"/>
  <c r="S1706" i="1"/>
  <c r="S1704" i="1"/>
  <c r="R1703" i="1"/>
  <c r="R1702" i="1"/>
  <c r="P1701" i="1"/>
  <c r="O1700" i="1"/>
  <c r="O1699" i="1"/>
  <c r="N1698" i="1"/>
  <c r="L1696" i="1"/>
  <c r="K1695" i="1"/>
  <c r="K1694" i="1"/>
  <c r="V1692" i="1"/>
  <c r="V1691" i="1"/>
  <c r="T1690" i="1"/>
  <c r="S1688" i="1"/>
  <c r="R1687" i="1"/>
  <c r="R1686" i="1"/>
  <c r="P1685" i="1"/>
  <c r="O1684" i="1"/>
  <c r="O1683" i="1"/>
  <c r="N1682" i="1"/>
  <c r="S1679" i="1"/>
  <c r="O1678" i="1"/>
  <c r="K1677" i="1"/>
  <c r="S1675" i="1"/>
  <c r="O1674" i="1"/>
  <c r="T1672" i="1"/>
  <c r="V1670" i="1"/>
  <c r="O1669" i="1"/>
  <c r="P1667" i="1"/>
  <c r="L1662" i="1"/>
  <c r="N1660" i="1"/>
  <c r="S1658" i="1"/>
  <c r="T1656" i="1"/>
  <c r="V1654" i="1"/>
  <c r="O1653" i="1"/>
  <c r="P1651" i="1"/>
  <c r="L1646" i="1"/>
  <c r="N1644" i="1"/>
  <c r="S1642" i="1"/>
  <c r="T1640" i="1"/>
  <c r="V1638" i="1"/>
  <c r="O1637" i="1"/>
  <c r="P1635" i="1"/>
  <c r="L1630" i="1"/>
  <c r="N1628" i="1"/>
  <c r="V1622" i="1"/>
  <c r="N1620" i="1"/>
  <c r="V1614" i="1"/>
  <c r="N1612" i="1"/>
  <c r="V1606" i="1"/>
  <c r="N1604" i="1"/>
  <c r="V1598" i="1"/>
  <c r="N1596" i="1"/>
  <c r="V1590" i="1"/>
  <c r="N1588" i="1"/>
  <c r="V1582" i="1"/>
  <c r="N1580" i="1"/>
  <c r="V1574" i="1"/>
  <c r="N1572" i="1"/>
  <c r="V1566" i="1"/>
  <c r="N1564" i="1"/>
  <c r="V1558" i="1"/>
  <c r="N1556" i="1"/>
  <c r="V1550" i="1"/>
  <c r="N1548" i="1"/>
  <c r="V1542" i="1"/>
  <c r="N1540" i="1"/>
  <c r="V1534" i="1"/>
  <c r="N1532" i="1"/>
  <c r="V1526" i="1"/>
  <c r="N1524" i="1"/>
  <c r="V1518" i="1"/>
  <c r="N1516" i="1"/>
  <c r="V1510" i="1"/>
  <c r="N1508" i="1"/>
  <c r="V1502" i="1"/>
  <c r="N1500" i="1"/>
  <c r="V1494" i="1"/>
  <c r="N1492" i="1"/>
  <c r="V1486" i="1"/>
  <c r="N1484" i="1"/>
  <c r="V1478" i="1"/>
  <c r="N1476" i="1"/>
  <c r="V1470" i="1"/>
  <c r="N1468" i="1"/>
  <c r="V1462" i="1"/>
  <c r="N1460" i="1"/>
  <c r="V1454" i="1"/>
  <c r="N1452" i="1"/>
  <c r="V1446" i="1"/>
  <c r="N1444" i="1"/>
  <c r="V1438" i="1"/>
  <c r="N1436" i="1"/>
  <c r="V1430" i="1"/>
  <c r="N1428" i="1"/>
  <c r="V1422" i="1"/>
  <c r="N1420" i="1"/>
  <c r="V1414" i="1"/>
  <c r="N1412" i="1"/>
  <c r="V1406" i="1"/>
  <c r="N1404" i="1"/>
  <c r="V1398" i="1"/>
  <c r="N1396" i="1"/>
  <c r="V1390" i="1"/>
  <c r="N1388" i="1"/>
  <c r="V1382" i="1"/>
  <c r="N1380" i="1"/>
  <c r="V1374" i="1"/>
  <c r="N1372" i="1"/>
  <c r="V1366" i="1"/>
  <c r="N1364" i="1"/>
  <c r="V1358" i="1"/>
  <c r="N1356" i="1"/>
  <c r="U1350" i="1"/>
  <c r="T1347" i="1"/>
  <c r="S1344" i="1"/>
  <c r="K1341" i="1"/>
  <c r="K1334" i="1"/>
  <c r="O1330" i="1"/>
  <c r="S1326" i="1"/>
  <c r="O1322" i="1"/>
  <c r="K1318" i="1"/>
  <c r="S1312" i="1"/>
  <c r="O1307" i="1"/>
  <c r="K1302" i="1"/>
  <c r="S1296" i="1"/>
  <c r="O1291" i="1"/>
  <c r="K1286" i="1"/>
  <c r="S1280" i="1"/>
  <c r="O1275" i="1"/>
  <c r="M1268" i="1"/>
  <c r="O1261" i="1"/>
  <c r="L1254" i="1"/>
  <c r="U1246" i="1"/>
  <c r="S1232" i="1"/>
  <c r="K1222" i="1"/>
  <c r="O1211" i="1"/>
  <c r="S1200" i="1"/>
  <c r="K1190" i="1"/>
  <c r="O1179" i="1"/>
  <c r="O1155" i="1"/>
  <c r="U1126" i="1"/>
  <c r="R1098" i="1"/>
  <c r="K1070" i="1"/>
  <c r="N1006" i="1"/>
  <c r="Q739" i="1"/>
  <c r="AH1705" i="1"/>
  <c r="L1705" i="1"/>
  <c r="T1705" i="1"/>
  <c r="M1705" i="1"/>
  <c r="U1705" i="1"/>
  <c r="Q1705" i="1"/>
  <c r="AH1697" i="1"/>
  <c r="L1697" i="1"/>
  <c r="T1697" i="1"/>
  <c r="M1697" i="1"/>
  <c r="U1697" i="1"/>
  <c r="Q1697" i="1"/>
  <c r="AH1689" i="1"/>
  <c r="L1689" i="1"/>
  <c r="T1689" i="1"/>
  <c r="M1689" i="1"/>
  <c r="U1689" i="1"/>
  <c r="Q1689" i="1"/>
  <c r="AH1681" i="1"/>
  <c r="L1681" i="1"/>
  <c r="T1681" i="1"/>
  <c r="M1681" i="1"/>
  <c r="U1681" i="1"/>
  <c r="N1681" i="1"/>
  <c r="Q1681" i="1"/>
  <c r="AH1673" i="1"/>
  <c r="K1673" i="1"/>
  <c r="S1673" i="1"/>
  <c r="L1673" i="1"/>
  <c r="T1673" i="1"/>
  <c r="M1673" i="1"/>
  <c r="U1673" i="1"/>
  <c r="N1673" i="1"/>
  <c r="V1673" i="1"/>
  <c r="Q1673" i="1"/>
  <c r="AH1665" i="1"/>
  <c r="K1665" i="1"/>
  <c r="S1665" i="1"/>
  <c r="L1665" i="1"/>
  <c r="T1665" i="1"/>
  <c r="M1665" i="1"/>
  <c r="U1665" i="1"/>
  <c r="N1665" i="1"/>
  <c r="V1665" i="1"/>
  <c r="Q1665" i="1"/>
  <c r="AH1657" i="1"/>
  <c r="K1657" i="1"/>
  <c r="S1657" i="1"/>
  <c r="L1657" i="1"/>
  <c r="T1657" i="1"/>
  <c r="M1657" i="1"/>
  <c r="U1657" i="1"/>
  <c r="N1657" i="1"/>
  <c r="V1657" i="1"/>
  <c r="Q1657" i="1"/>
  <c r="AH1649" i="1"/>
  <c r="K1649" i="1"/>
  <c r="S1649" i="1"/>
  <c r="L1649" i="1"/>
  <c r="T1649" i="1"/>
  <c r="M1649" i="1"/>
  <c r="U1649" i="1"/>
  <c r="N1649" i="1"/>
  <c r="V1649" i="1"/>
  <c r="Q1649" i="1"/>
  <c r="AH1641" i="1"/>
  <c r="K1641" i="1"/>
  <c r="S1641" i="1"/>
  <c r="L1641" i="1"/>
  <c r="T1641" i="1"/>
  <c r="M1641" i="1"/>
  <c r="U1641" i="1"/>
  <c r="N1641" i="1"/>
  <c r="V1641" i="1"/>
  <c r="Q1641" i="1"/>
  <c r="AH1633" i="1"/>
  <c r="K1633" i="1"/>
  <c r="S1633" i="1"/>
  <c r="L1633" i="1"/>
  <c r="T1633" i="1"/>
  <c r="M1633" i="1"/>
  <c r="U1633" i="1"/>
  <c r="N1633" i="1"/>
  <c r="V1633" i="1"/>
  <c r="Q1633" i="1"/>
  <c r="AH1625" i="1"/>
  <c r="K1625" i="1"/>
  <c r="S1625" i="1"/>
  <c r="L1625" i="1"/>
  <c r="T1625" i="1"/>
  <c r="M1625" i="1"/>
  <c r="U1625" i="1"/>
  <c r="N1625" i="1"/>
  <c r="V1625" i="1"/>
  <c r="O1625" i="1"/>
  <c r="Q1625" i="1"/>
  <c r="AH1617" i="1"/>
  <c r="K1617" i="1"/>
  <c r="S1617" i="1"/>
  <c r="L1617" i="1"/>
  <c r="T1617" i="1"/>
  <c r="M1617" i="1"/>
  <c r="U1617" i="1"/>
  <c r="N1617" i="1"/>
  <c r="V1617" i="1"/>
  <c r="O1617" i="1"/>
  <c r="Q1617" i="1"/>
  <c r="AH1609" i="1"/>
  <c r="K1609" i="1"/>
  <c r="S1609" i="1"/>
  <c r="L1609" i="1"/>
  <c r="T1609" i="1"/>
  <c r="M1609" i="1"/>
  <c r="U1609" i="1"/>
  <c r="N1609" i="1"/>
  <c r="V1609" i="1"/>
  <c r="O1609" i="1"/>
  <c r="Q1609" i="1"/>
  <c r="AH1601" i="1"/>
  <c r="K1601" i="1"/>
  <c r="S1601" i="1"/>
  <c r="L1601" i="1"/>
  <c r="T1601" i="1"/>
  <c r="M1601" i="1"/>
  <c r="U1601" i="1"/>
  <c r="N1601" i="1"/>
  <c r="V1601" i="1"/>
  <c r="O1601" i="1"/>
  <c r="Q1601" i="1"/>
  <c r="AH1593" i="1"/>
  <c r="K1593" i="1"/>
  <c r="S1593" i="1"/>
  <c r="L1593" i="1"/>
  <c r="T1593" i="1"/>
  <c r="M1593" i="1"/>
  <c r="U1593" i="1"/>
  <c r="N1593" i="1"/>
  <c r="V1593" i="1"/>
  <c r="O1593" i="1"/>
  <c r="Q1593" i="1"/>
  <c r="AH1585" i="1"/>
  <c r="K1585" i="1"/>
  <c r="S1585" i="1"/>
  <c r="L1585" i="1"/>
  <c r="T1585" i="1"/>
  <c r="M1585" i="1"/>
  <c r="U1585" i="1"/>
  <c r="N1585" i="1"/>
  <c r="V1585" i="1"/>
  <c r="O1585" i="1"/>
  <c r="Q1585" i="1"/>
  <c r="AH1577" i="1"/>
  <c r="K1577" i="1"/>
  <c r="S1577" i="1"/>
  <c r="L1577" i="1"/>
  <c r="T1577" i="1"/>
  <c r="M1577" i="1"/>
  <c r="U1577" i="1"/>
  <c r="N1577" i="1"/>
  <c r="V1577" i="1"/>
  <c r="O1577" i="1"/>
  <c r="Q1577" i="1"/>
  <c r="AH1569" i="1"/>
  <c r="K1569" i="1"/>
  <c r="S1569" i="1"/>
  <c r="L1569" i="1"/>
  <c r="T1569" i="1"/>
  <c r="M1569" i="1"/>
  <c r="U1569" i="1"/>
  <c r="N1569" i="1"/>
  <c r="V1569" i="1"/>
  <c r="O1569" i="1"/>
  <c r="Q1569" i="1"/>
  <c r="AH1561" i="1"/>
  <c r="K1561" i="1"/>
  <c r="S1561" i="1"/>
  <c r="L1561" i="1"/>
  <c r="T1561" i="1"/>
  <c r="M1561" i="1"/>
  <c r="U1561" i="1"/>
  <c r="N1561" i="1"/>
  <c r="V1561" i="1"/>
  <c r="O1561" i="1"/>
  <c r="Q1561" i="1"/>
  <c r="AH1553" i="1"/>
  <c r="K1553" i="1"/>
  <c r="S1553" i="1"/>
  <c r="L1553" i="1"/>
  <c r="T1553" i="1"/>
  <c r="M1553" i="1"/>
  <c r="U1553" i="1"/>
  <c r="N1553" i="1"/>
  <c r="V1553" i="1"/>
  <c r="O1553" i="1"/>
  <c r="Q1553" i="1"/>
  <c r="AH1545" i="1"/>
  <c r="K1545" i="1"/>
  <c r="S1545" i="1"/>
  <c r="L1545" i="1"/>
  <c r="T1545" i="1"/>
  <c r="M1545" i="1"/>
  <c r="U1545" i="1"/>
  <c r="N1545" i="1"/>
  <c r="V1545" i="1"/>
  <c r="O1545" i="1"/>
  <c r="Q1545" i="1"/>
  <c r="AH1537" i="1"/>
  <c r="K1537" i="1"/>
  <c r="S1537" i="1"/>
  <c r="L1537" i="1"/>
  <c r="T1537" i="1"/>
  <c r="M1537" i="1"/>
  <c r="U1537" i="1"/>
  <c r="N1537" i="1"/>
  <c r="V1537" i="1"/>
  <c r="O1537" i="1"/>
  <c r="Q1537" i="1"/>
  <c r="AH1529" i="1"/>
  <c r="K1529" i="1"/>
  <c r="S1529" i="1"/>
  <c r="L1529" i="1"/>
  <c r="T1529" i="1"/>
  <c r="M1529" i="1"/>
  <c r="U1529" i="1"/>
  <c r="N1529" i="1"/>
  <c r="V1529" i="1"/>
  <c r="O1529" i="1"/>
  <c r="Q1529" i="1"/>
  <c r="AH1521" i="1"/>
  <c r="K1521" i="1"/>
  <c r="S1521" i="1"/>
  <c r="L1521" i="1"/>
  <c r="T1521" i="1"/>
  <c r="M1521" i="1"/>
  <c r="U1521" i="1"/>
  <c r="N1521" i="1"/>
  <c r="V1521" i="1"/>
  <c r="O1521" i="1"/>
  <c r="Q1521" i="1"/>
  <c r="AH1513" i="1"/>
  <c r="K1513" i="1"/>
  <c r="S1513" i="1"/>
  <c r="L1513" i="1"/>
  <c r="T1513" i="1"/>
  <c r="M1513" i="1"/>
  <c r="U1513" i="1"/>
  <c r="N1513" i="1"/>
  <c r="V1513" i="1"/>
  <c r="O1513" i="1"/>
  <c r="Q1513" i="1"/>
  <c r="AH1505" i="1"/>
  <c r="K1505" i="1"/>
  <c r="S1505" i="1"/>
  <c r="L1505" i="1"/>
  <c r="T1505" i="1"/>
  <c r="M1505" i="1"/>
  <c r="U1505" i="1"/>
  <c r="N1505" i="1"/>
  <c r="V1505" i="1"/>
  <c r="O1505" i="1"/>
  <c r="Q1505" i="1"/>
  <c r="AH1497" i="1"/>
  <c r="K1497" i="1"/>
  <c r="S1497" i="1"/>
  <c r="L1497" i="1"/>
  <c r="T1497" i="1"/>
  <c r="M1497" i="1"/>
  <c r="U1497" i="1"/>
  <c r="N1497" i="1"/>
  <c r="V1497" i="1"/>
  <c r="O1497" i="1"/>
  <c r="Q1497" i="1"/>
  <c r="AH1489" i="1"/>
  <c r="K1489" i="1"/>
  <c r="S1489" i="1"/>
  <c r="L1489" i="1"/>
  <c r="T1489" i="1"/>
  <c r="M1489" i="1"/>
  <c r="U1489" i="1"/>
  <c r="N1489" i="1"/>
  <c r="V1489" i="1"/>
  <c r="O1489" i="1"/>
  <c r="Q1489" i="1"/>
  <c r="AH1481" i="1"/>
  <c r="K1481" i="1"/>
  <c r="S1481" i="1"/>
  <c r="L1481" i="1"/>
  <c r="T1481" i="1"/>
  <c r="M1481" i="1"/>
  <c r="U1481" i="1"/>
  <c r="N1481" i="1"/>
  <c r="V1481" i="1"/>
  <c r="O1481" i="1"/>
  <c r="Q1481" i="1"/>
  <c r="AH1473" i="1"/>
  <c r="K1473" i="1"/>
  <c r="S1473" i="1"/>
  <c r="L1473" i="1"/>
  <c r="T1473" i="1"/>
  <c r="M1473" i="1"/>
  <c r="U1473" i="1"/>
  <c r="N1473" i="1"/>
  <c r="V1473" i="1"/>
  <c r="O1473" i="1"/>
  <c r="Q1473" i="1"/>
  <c r="AH1465" i="1"/>
  <c r="K1465" i="1"/>
  <c r="S1465" i="1"/>
  <c r="L1465" i="1"/>
  <c r="T1465" i="1"/>
  <c r="M1465" i="1"/>
  <c r="U1465" i="1"/>
  <c r="N1465" i="1"/>
  <c r="V1465" i="1"/>
  <c r="O1465" i="1"/>
  <c r="Q1465" i="1"/>
  <c r="AH1457" i="1"/>
  <c r="K1457" i="1"/>
  <c r="S1457" i="1"/>
  <c r="L1457" i="1"/>
  <c r="T1457" i="1"/>
  <c r="M1457" i="1"/>
  <c r="U1457" i="1"/>
  <c r="N1457" i="1"/>
  <c r="V1457" i="1"/>
  <c r="O1457" i="1"/>
  <c r="Q1457" i="1"/>
  <c r="AH1449" i="1"/>
  <c r="K1449" i="1"/>
  <c r="S1449" i="1"/>
  <c r="L1449" i="1"/>
  <c r="T1449" i="1"/>
  <c r="M1449" i="1"/>
  <c r="U1449" i="1"/>
  <c r="N1449" i="1"/>
  <c r="V1449" i="1"/>
  <c r="O1449" i="1"/>
  <c r="Q1449" i="1"/>
  <c r="AH1441" i="1"/>
  <c r="K1441" i="1"/>
  <c r="S1441" i="1"/>
  <c r="L1441" i="1"/>
  <c r="T1441" i="1"/>
  <c r="M1441" i="1"/>
  <c r="U1441" i="1"/>
  <c r="N1441" i="1"/>
  <c r="V1441" i="1"/>
  <c r="O1441" i="1"/>
  <c r="Q1441" i="1"/>
  <c r="AH1433" i="1"/>
  <c r="K1433" i="1"/>
  <c r="S1433" i="1"/>
  <c r="L1433" i="1"/>
  <c r="T1433" i="1"/>
  <c r="M1433" i="1"/>
  <c r="U1433" i="1"/>
  <c r="N1433" i="1"/>
  <c r="V1433" i="1"/>
  <c r="O1433" i="1"/>
  <c r="Q1433" i="1"/>
  <c r="AH1425" i="1"/>
  <c r="K1425" i="1"/>
  <c r="S1425" i="1"/>
  <c r="L1425" i="1"/>
  <c r="T1425" i="1"/>
  <c r="M1425" i="1"/>
  <c r="U1425" i="1"/>
  <c r="N1425" i="1"/>
  <c r="V1425" i="1"/>
  <c r="O1425" i="1"/>
  <c r="Q1425" i="1"/>
  <c r="AH1417" i="1"/>
  <c r="K1417" i="1"/>
  <c r="S1417" i="1"/>
  <c r="L1417" i="1"/>
  <c r="T1417" i="1"/>
  <c r="M1417" i="1"/>
  <c r="U1417" i="1"/>
  <c r="N1417" i="1"/>
  <c r="V1417" i="1"/>
  <c r="O1417" i="1"/>
  <c r="Q1417" i="1"/>
  <c r="AH1409" i="1"/>
  <c r="K1409" i="1"/>
  <c r="S1409" i="1"/>
  <c r="L1409" i="1"/>
  <c r="T1409" i="1"/>
  <c r="M1409" i="1"/>
  <c r="U1409" i="1"/>
  <c r="N1409" i="1"/>
  <c r="V1409" i="1"/>
  <c r="O1409" i="1"/>
  <c r="Q1409" i="1"/>
  <c r="AH1401" i="1"/>
  <c r="K1401" i="1"/>
  <c r="S1401" i="1"/>
  <c r="L1401" i="1"/>
  <c r="T1401" i="1"/>
  <c r="M1401" i="1"/>
  <c r="U1401" i="1"/>
  <c r="N1401" i="1"/>
  <c r="V1401" i="1"/>
  <c r="O1401" i="1"/>
  <c r="Q1401" i="1"/>
  <c r="AH1393" i="1"/>
  <c r="K1393" i="1"/>
  <c r="S1393" i="1"/>
  <c r="L1393" i="1"/>
  <c r="T1393" i="1"/>
  <c r="M1393" i="1"/>
  <c r="U1393" i="1"/>
  <c r="N1393" i="1"/>
  <c r="V1393" i="1"/>
  <c r="O1393" i="1"/>
  <c r="Q1393" i="1"/>
  <c r="AH1385" i="1"/>
  <c r="K1385" i="1"/>
  <c r="S1385" i="1"/>
  <c r="L1385" i="1"/>
  <c r="T1385" i="1"/>
  <c r="M1385" i="1"/>
  <c r="U1385" i="1"/>
  <c r="N1385" i="1"/>
  <c r="V1385" i="1"/>
  <c r="O1385" i="1"/>
  <c r="Q1385" i="1"/>
  <c r="AH1377" i="1"/>
  <c r="K1377" i="1"/>
  <c r="S1377" i="1"/>
  <c r="L1377" i="1"/>
  <c r="T1377" i="1"/>
  <c r="M1377" i="1"/>
  <c r="U1377" i="1"/>
  <c r="N1377" i="1"/>
  <c r="V1377" i="1"/>
  <c r="O1377" i="1"/>
  <c r="Q1377" i="1"/>
  <c r="AH1369" i="1"/>
  <c r="K1369" i="1"/>
  <c r="S1369" i="1"/>
  <c r="L1369" i="1"/>
  <c r="T1369" i="1"/>
  <c r="M1369" i="1"/>
  <c r="U1369" i="1"/>
  <c r="N1369" i="1"/>
  <c r="V1369" i="1"/>
  <c r="O1369" i="1"/>
  <c r="Q1369" i="1"/>
  <c r="AH1361" i="1"/>
  <c r="K1361" i="1"/>
  <c r="S1361" i="1"/>
  <c r="L1361" i="1"/>
  <c r="T1361" i="1"/>
  <c r="M1361" i="1"/>
  <c r="U1361" i="1"/>
  <c r="N1361" i="1"/>
  <c r="V1361" i="1"/>
  <c r="O1361" i="1"/>
  <c r="Q1361" i="1"/>
  <c r="AH1353" i="1"/>
  <c r="K1353" i="1"/>
  <c r="S1353" i="1"/>
  <c r="L1353" i="1"/>
  <c r="T1353" i="1"/>
  <c r="M1353" i="1"/>
  <c r="U1353" i="1"/>
  <c r="N1353" i="1"/>
  <c r="V1353" i="1"/>
  <c r="O1353" i="1"/>
  <c r="Q1353" i="1"/>
  <c r="AH1345" i="1"/>
  <c r="L1345" i="1"/>
  <c r="N1345" i="1"/>
  <c r="V1345" i="1"/>
  <c r="R1345" i="1"/>
  <c r="S1345" i="1"/>
  <c r="T1345" i="1"/>
  <c r="K1345" i="1"/>
  <c r="U1345" i="1"/>
  <c r="M1345" i="1"/>
  <c r="P1345" i="1"/>
  <c r="AH1337" i="1"/>
  <c r="L1337" i="1"/>
  <c r="T1337" i="1"/>
  <c r="N1337" i="1"/>
  <c r="V1337" i="1"/>
  <c r="R1337" i="1"/>
  <c r="S1337" i="1"/>
  <c r="U1337" i="1"/>
  <c r="K1337" i="1"/>
  <c r="M1337" i="1"/>
  <c r="P1337" i="1"/>
  <c r="AH1329" i="1"/>
  <c r="L1329" i="1"/>
  <c r="T1329" i="1"/>
  <c r="N1329" i="1"/>
  <c r="V1329" i="1"/>
  <c r="R1329" i="1"/>
  <c r="S1329" i="1"/>
  <c r="U1329" i="1"/>
  <c r="K1329" i="1"/>
  <c r="M1329" i="1"/>
  <c r="P1329" i="1"/>
  <c r="AH1321" i="1"/>
  <c r="R1321" i="1"/>
  <c r="L1321" i="1"/>
  <c r="T1321" i="1"/>
  <c r="N1321" i="1"/>
  <c r="V1321" i="1"/>
  <c r="P1321" i="1"/>
  <c r="Q1321" i="1"/>
  <c r="S1321" i="1"/>
  <c r="U1321" i="1"/>
  <c r="M1321" i="1"/>
  <c r="AH1313" i="1"/>
  <c r="R1313" i="1"/>
  <c r="L1313" i="1"/>
  <c r="T1313" i="1"/>
  <c r="M1313" i="1"/>
  <c r="U1313" i="1"/>
  <c r="N1313" i="1"/>
  <c r="V1313" i="1"/>
  <c r="K1313" i="1"/>
  <c r="O1313" i="1"/>
  <c r="P1313" i="1"/>
  <c r="S1313" i="1"/>
  <c r="AH1305" i="1"/>
  <c r="R1305" i="1"/>
  <c r="L1305" i="1"/>
  <c r="T1305" i="1"/>
  <c r="M1305" i="1"/>
  <c r="U1305" i="1"/>
  <c r="N1305" i="1"/>
  <c r="V1305" i="1"/>
  <c r="K1305" i="1"/>
  <c r="O1305" i="1"/>
  <c r="P1305" i="1"/>
  <c r="S1305" i="1"/>
  <c r="AH1297" i="1"/>
  <c r="R1297" i="1"/>
  <c r="L1297" i="1"/>
  <c r="T1297" i="1"/>
  <c r="M1297" i="1"/>
  <c r="U1297" i="1"/>
  <c r="N1297" i="1"/>
  <c r="V1297" i="1"/>
  <c r="K1297" i="1"/>
  <c r="O1297" i="1"/>
  <c r="P1297" i="1"/>
  <c r="S1297" i="1"/>
  <c r="AH1289" i="1"/>
  <c r="R1289" i="1"/>
  <c r="L1289" i="1"/>
  <c r="T1289" i="1"/>
  <c r="M1289" i="1"/>
  <c r="U1289" i="1"/>
  <c r="N1289" i="1"/>
  <c r="V1289" i="1"/>
  <c r="K1289" i="1"/>
  <c r="O1289" i="1"/>
  <c r="P1289" i="1"/>
  <c r="S1289" i="1"/>
  <c r="AH1281" i="1"/>
  <c r="R1281" i="1"/>
  <c r="L1281" i="1"/>
  <c r="T1281" i="1"/>
  <c r="M1281" i="1"/>
  <c r="U1281" i="1"/>
  <c r="N1281" i="1"/>
  <c r="V1281" i="1"/>
  <c r="K1281" i="1"/>
  <c r="O1281" i="1"/>
  <c r="P1281" i="1"/>
  <c r="S1281" i="1"/>
  <c r="AH1273" i="1"/>
  <c r="R1273" i="1"/>
  <c r="K1273" i="1"/>
  <c r="S1273" i="1"/>
  <c r="L1273" i="1"/>
  <c r="T1273" i="1"/>
  <c r="M1273" i="1"/>
  <c r="U1273" i="1"/>
  <c r="N1273" i="1"/>
  <c r="V1273" i="1"/>
  <c r="P1273" i="1"/>
  <c r="AH1265" i="1"/>
  <c r="R1265" i="1"/>
  <c r="K1265" i="1"/>
  <c r="S1265" i="1"/>
  <c r="L1265" i="1"/>
  <c r="T1265" i="1"/>
  <c r="M1265" i="1"/>
  <c r="U1265" i="1"/>
  <c r="N1265" i="1"/>
  <c r="V1265" i="1"/>
  <c r="O1265" i="1"/>
  <c r="P1265" i="1"/>
  <c r="Q1265" i="1"/>
  <c r="AH1257" i="1"/>
  <c r="R1257" i="1"/>
  <c r="K1257" i="1"/>
  <c r="S1257" i="1"/>
  <c r="L1257" i="1"/>
  <c r="T1257" i="1"/>
  <c r="M1257" i="1"/>
  <c r="U1257" i="1"/>
  <c r="N1257" i="1"/>
  <c r="V1257" i="1"/>
  <c r="P1257" i="1"/>
  <c r="AH1249" i="1"/>
  <c r="R1249" i="1"/>
  <c r="K1249" i="1"/>
  <c r="S1249" i="1"/>
  <c r="L1249" i="1"/>
  <c r="T1249" i="1"/>
  <c r="M1249" i="1"/>
  <c r="U1249" i="1"/>
  <c r="N1249" i="1"/>
  <c r="V1249" i="1"/>
  <c r="O1249" i="1"/>
  <c r="P1249" i="1"/>
  <c r="Q1249" i="1"/>
  <c r="AH1241" i="1"/>
  <c r="R1241" i="1"/>
  <c r="K1241" i="1"/>
  <c r="S1241" i="1"/>
  <c r="L1241" i="1"/>
  <c r="T1241" i="1"/>
  <c r="M1241" i="1"/>
  <c r="U1241" i="1"/>
  <c r="N1241" i="1"/>
  <c r="V1241" i="1"/>
  <c r="P1241" i="1"/>
  <c r="AH1233" i="1"/>
  <c r="R1233" i="1"/>
  <c r="K1233" i="1"/>
  <c r="S1233" i="1"/>
  <c r="L1233" i="1"/>
  <c r="T1233" i="1"/>
  <c r="M1233" i="1"/>
  <c r="U1233" i="1"/>
  <c r="N1233" i="1"/>
  <c r="V1233" i="1"/>
  <c r="O1233" i="1"/>
  <c r="P1233" i="1"/>
  <c r="Q1233" i="1"/>
  <c r="AH1225" i="1"/>
  <c r="Q1225" i="1"/>
  <c r="R1225" i="1"/>
  <c r="K1225" i="1"/>
  <c r="S1225" i="1"/>
  <c r="L1225" i="1"/>
  <c r="T1225" i="1"/>
  <c r="M1225" i="1"/>
  <c r="U1225" i="1"/>
  <c r="N1225" i="1"/>
  <c r="V1225" i="1"/>
  <c r="O1225" i="1"/>
  <c r="P1225" i="1"/>
  <c r="AH1217" i="1"/>
  <c r="Q1217" i="1"/>
  <c r="R1217" i="1"/>
  <c r="K1217" i="1"/>
  <c r="S1217" i="1"/>
  <c r="L1217" i="1"/>
  <c r="T1217" i="1"/>
  <c r="M1217" i="1"/>
  <c r="U1217" i="1"/>
  <c r="N1217" i="1"/>
  <c r="V1217" i="1"/>
  <c r="O1217" i="1"/>
  <c r="P1217" i="1"/>
  <c r="AH1209" i="1"/>
  <c r="Q1209" i="1"/>
  <c r="R1209" i="1"/>
  <c r="K1209" i="1"/>
  <c r="S1209" i="1"/>
  <c r="L1209" i="1"/>
  <c r="T1209" i="1"/>
  <c r="M1209" i="1"/>
  <c r="U1209" i="1"/>
  <c r="N1209" i="1"/>
  <c r="V1209" i="1"/>
  <c r="O1209" i="1"/>
  <c r="P1209" i="1"/>
  <c r="AH1201" i="1"/>
  <c r="Q1201" i="1"/>
  <c r="R1201" i="1"/>
  <c r="K1201" i="1"/>
  <c r="S1201" i="1"/>
  <c r="L1201" i="1"/>
  <c r="T1201" i="1"/>
  <c r="M1201" i="1"/>
  <c r="U1201" i="1"/>
  <c r="N1201" i="1"/>
  <c r="V1201" i="1"/>
  <c r="O1201" i="1"/>
  <c r="P1201" i="1"/>
  <c r="AH1193" i="1"/>
  <c r="Q1193" i="1"/>
  <c r="R1193" i="1"/>
  <c r="K1193" i="1"/>
  <c r="S1193" i="1"/>
  <c r="L1193" i="1"/>
  <c r="T1193" i="1"/>
  <c r="M1193" i="1"/>
  <c r="U1193" i="1"/>
  <c r="N1193" i="1"/>
  <c r="V1193" i="1"/>
  <c r="O1193" i="1"/>
  <c r="P1193" i="1"/>
  <c r="AH1185" i="1"/>
  <c r="Q1185" i="1"/>
  <c r="R1185" i="1"/>
  <c r="K1185" i="1"/>
  <c r="S1185" i="1"/>
  <c r="L1185" i="1"/>
  <c r="T1185" i="1"/>
  <c r="M1185" i="1"/>
  <c r="U1185" i="1"/>
  <c r="N1185" i="1"/>
  <c r="V1185" i="1"/>
  <c r="O1185" i="1"/>
  <c r="P1185" i="1"/>
  <c r="AH1177" i="1"/>
  <c r="K1177" i="1"/>
  <c r="S1177" i="1"/>
  <c r="P1177" i="1"/>
  <c r="Q1177" i="1"/>
  <c r="R1177" i="1"/>
  <c r="T1177" i="1"/>
  <c r="L1177" i="1"/>
  <c r="U1177" i="1"/>
  <c r="M1177" i="1"/>
  <c r="V1177" i="1"/>
  <c r="N1177" i="1"/>
  <c r="O1177" i="1"/>
  <c r="AH1169" i="1"/>
  <c r="R1169" i="1"/>
  <c r="K1169" i="1"/>
  <c r="S1169" i="1"/>
  <c r="L1169" i="1"/>
  <c r="T1169" i="1"/>
  <c r="M1169" i="1"/>
  <c r="U1169" i="1"/>
  <c r="P1169" i="1"/>
  <c r="N1169" i="1"/>
  <c r="O1169" i="1"/>
  <c r="V1169" i="1"/>
  <c r="AH1161" i="1"/>
  <c r="R1161" i="1"/>
  <c r="K1161" i="1"/>
  <c r="S1161" i="1"/>
  <c r="L1161" i="1"/>
  <c r="T1161" i="1"/>
  <c r="M1161" i="1"/>
  <c r="U1161" i="1"/>
  <c r="P1161" i="1"/>
  <c r="N1161" i="1"/>
  <c r="O1161" i="1"/>
  <c r="Q1161" i="1"/>
  <c r="V1161" i="1"/>
  <c r="AH1153" i="1"/>
  <c r="R1153" i="1"/>
  <c r="K1153" i="1"/>
  <c r="S1153" i="1"/>
  <c r="L1153" i="1"/>
  <c r="T1153" i="1"/>
  <c r="M1153" i="1"/>
  <c r="U1153" i="1"/>
  <c r="P1153" i="1"/>
  <c r="N1153" i="1"/>
  <c r="O1153" i="1"/>
  <c r="V1153" i="1"/>
  <c r="AH1145" i="1"/>
  <c r="R1145" i="1"/>
  <c r="K1145" i="1"/>
  <c r="S1145" i="1"/>
  <c r="L1145" i="1"/>
  <c r="T1145" i="1"/>
  <c r="M1145" i="1"/>
  <c r="U1145" i="1"/>
  <c r="P1145" i="1"/>
  <c r="N1145" i="1"/>
  <c r="O1145" i="1"/>
  <c r="Q1145" i="1"/>
  <c r="V1145" i="1"/>
  <c r="AH1137" i="1"/>
  <c r="R1137" i="1"/>
  <c r="K1137" i="1"/>
  <c r="S1137" i="1"/>
  <c r="L1137" i="1"/>
  <c r="T1137" i="1"/>
  <c r="M1137" i="1"/>
  <c r="U1137" i="1"/>
  <c r="P1137" i="1"/>
  <c r="N1137" i="1"/>
  <c r="O1137" i="1"/>
  <c r="Q1137" i="1"/>
  <c r="V1137" i="1"/>
  <c r="AH1129" i="1"/>
  <c r="R1129" i="1"/>
  <c r="K1129" i="1"/>
  <c r="S1129" i="1"/>
  <c r="L1129" i="1"/>
  <c r="T1129" i="1"/>
  <c r="M1129" i="1"/>
  <c r="U1129" i="1"/>
  <c r="P1129" i="1"/>
  <c r="N1129" i="1"/>
  <c r="O1129" i="1"/>
  <c r="Q1129" i="1"/>
  <c r="V1129" i="1"/>
  <c r="AH1121" i="1"/>
  <c r="R1121" i="1"/>
  <c r="K1121" i="1"/>
  <c r="S1121" i="1"/>
  <c r="L1121" i="1"/>
  <c r="T1121" i="1"/>
  <c r="M1121" i="1"/>
  <c r="U1121" i="1"/>
  <c r="P1121" i="1"/>
  <c r="N1121" i="1"/>
  <c r="O1121" i="1"/>
  <c r="Q1121" i="1"/>
  <c r="V1121" i="1"/>
  <c r="AH1113" i="1"/>
  <c r="R1113" i="1"/>
  <c r="K1113" i="1"/>
  <c r="S1113" i="1"/>
  <c r="L1113" i="1"/>
  <c r="T1113" i="1"/>
  <c r="M1113" i="1"/>
  <c r="U1113" i="1"/>
  <c r="P1113" i="1"/>
  <c r="N1113" i="1"/>
  <c r="O1113" i="1"/>
  <c r="Q1113" i="1"/>
  <c r="V1113" i="1"/>
  <c r="AH1105" i="1"/>
  <c r="R1105" i="1"/>
  <c r="K1105" i="1"/>
  <c r="S1105" i="1"/>
  <c r="L1105" i="1"/>
  <c r="T1105" i="1"/>
  <c r="M1105" i="1"/>
  <c r="U1105" i="1"/>
  <c r="P1105" i="1"/>
  <c r="N1105" i="1"/>
  <c r="O1105" i="1"/>
  <c r="V1105" i="1"/>
  <c r="AH1097" i="1"/>
  <c r="R1097" i="1"/>
  <c r="K1097" i="1"/>
  <c r="S1097" i="1"/>
  <c r="L1097" i="1"/>
  <c r="T1097" i="1"/>
  <c r="M1097" i="1"/>
  <c r="U1097" i="1"/>
  <c r="P1097" i="1"/>
  <c r="N1097" i="1"/>
  <c r="O1097" i="1"/>
  <c r="Q1097" i="1"/>
  <c r="V1097" i="1"/>
  <c r="AH1089" i="1"/>
  <c r="R1089" i="1"/>
  <c r="K1089" i="1"/>
  <c r="S1089" i="1"/>
  <c r="L1089" i="1"/>
  <c r="T1089" i="1"/>
  <c r="M1089" i="1"/>
  <c r="U1089" i="1"/>
  <c r="P1089" i="1"/>
  <c r="N1089" i="1"/>
  <c r="O1089" i="1"/>
  <c r="V1089" i="1"/>
  <c r="AH1081" i="1"/>
  <c r="R1081" i="1"/>
  <c r="K1081" i="1"/>
  <c r="S1081" i="1"/>
  <c r="L1081" i="1"/>
  <c r="T1081" i="1"/>
  <c r="M1081" i="1"/>
  <c r="U1081" i="1"/>
  <c r="P1081" i="1"/>
  <c r="N1081" i="1"/>
  <c r="O1081" i="1"/>
  <c r="Q1081" i="1"/>
  <c r="V1081" i="1"/>
  <c r="AH1073" i="1"/>
  <c r="R1073" i="1"/>
  <c r="K1073" i="1"/>
  <c r="S1073" i="1"/>
  <c r="L1073" i="1"/>
  <c r="T1073" i="1"/>
  <c r="M1073" i="1"/>
  <c r="U1073" i="1"/>
  <c r="P1073" i="1"/>
  <c r="N1073" i="1"/>
  <c r="O1073" i="1"/>
  <c r="Q1073" i="1"/>
  <c r="V1073" i="1"/>
  <c r="AH1065" i="1"/>
  <c r="R1065" i="1"/>
  <c r="K1065" i="1"/>
  <c r="S1065" i="1"/>
  <c r="L1065" i="1"/>
  <c r="T1065" i="1"/>
  <c r="M1065" i="1"/>
  <c r="U1065" i="1"/>
  <c r="P1065" i="1"/>
  <c r="N1065" i="1"/>
  <c r="O1065" i="1"/>
  <c r="Q1065" i="1"/>
  <c r="V1065" i="1"/>
  <c r="AH1057" i="1"/>
  <c r="R1057" i="1"/>
  <c r="K1057" i="1"/>
  <c r="S1057" i="1"/>
  <c r="L1057" i="1"/>
  <c r="T1057" i="1"/>
  <c r="M1057" i="1"/>
  <c r="U1057" i="1"/>
  <c r="P1057" i="1"/>
  <c r="N1057" i="1"/>
  <c r="O1057" i="1"/>
  <c r="Q1057" i="1"/>
  <c r="V1057" i="1"/>
  <c r="AH1049" i="1"/>
  <c r="R1049" i="1"/>
  <c r="K1049" i="1"/>
  <c r="S1049" i="1"/>
  <c r="L1049" i="1"/>
  <c r="T1049" i="1"/>
  <c r="M1049" i="1"/>
  <c r="U1049" i="1"/>
  <c r="P1049" i="1"/>
  <c r="N1049" i="1"/>
  <c r="O1049" i="1"/>
  <c r="Q1049" i="1"/>
  <c r="V1049" i="1"/>
  <c r="AH1041" i="1"/>
  <c r="R1041" i="1"/>
  <c r="K1041" i="1"/>
  <c r="S1041" i="1"/>
  <c r="L1041" i="1"/>
  <c r="T1041" i="1"/>
  <c r="M1041" i="1"/>
  <c r="U1041" i="1"/>
  <c r="P1041" i="1"/>
  <c r="N1041" i="1"/>
  <c r="O1041" i="1"/>
  <c r="V1041" i="1"/>
  <c r="AH1033" i="1"/>
  <c r="P1033" i="1"/>
  <c r="R1033" i="1"/>
  <c r="S1033" i="1"/>
  <c r="K1033" i="1"/>
  <c r="T1033" i="1"/>
  <c r="L1033" i="1"/>
  <c r="U1033" i="1"/>
  <c r="O1033" i="1"/>
  <c r="M1033" i="1"/>
  <c r="N1033" i="1"/>
  <c r="Q1033" i="1"/>
  <c r="V1033" i="1"/>
  <c r="AH1025" i="1"/>
  <c r="P1025" i="1"/>
  <c r="M1025" i="1"/>
  <c r="V1025" i="1"/>
  <c r="N1025" i="1"/>
  <c r="O1025" i="1"/>
  <c r="Q1025" i="1"/>
  <c r="K1025" i="1"/>
  <c r="T1025" i="1"/>
  <c r="L1025" i="1"/>
  <c r="R1025" i="1"/>
  <c r="S1025" i="1"/>
  <c r="U1025" i="1"/>
  <c r="AH1017" i="1"/>
  <c r="P1017" i="1"/>
  <c r="R1017" i="1"/>
  <c r="S1017" i="1"/>
  <c r="K1017" i="1"/>
  <c r="T1017" i="1"/>
  <c r="L1017" i="1"/>
  <c r="U1017" i="1"/>
  <c r="O1017" i="1"/>
  <c r="M1017" i="1"/>
  <c r="N1017" i="1"/>
  <c r="Q1017" i="1"/>
  <c r="V1017" i="1"/>
  <c r="AH1009" i="1"/>
  <c r="L1009" i="1"/>
  <c r="T1009" i="1"/>
  <c r="N1009" i="1"/>
  <c r="V1009" i="1"/>
  <c r="O1009" i="1"/>
  <c r="P1009" i="1"/>
  <c r="R1009" i="1"/>
  <c r="S1009" i="1"/>
  <c r="U1009" i="1"/>
  <c r="M1009" i="1"/>
  <c r="K1009" i="1"/>
  <c r="Q1009" i="1"/>
  <c r="AH1001" i="1"/>
  <c r="L1001" i="1"/>
  <c r="T1001" i="1"/>
  <c r="N1001" i="1"/>
  <c r="V1001" i="1"/>
  <c r="O1001" i="1"/>
  <c r="P1001" i="1"/>
  <c r="R1001" i="1"/>
  <c r="S1001" i="1"/>
  <c r="U1001" i="1"/>
  <c r="M1001" i="1"/>
  <c r="K1001" i="1"/>
  <c r="Q1001" i="1"/>
  <c r="AH993" i="1"/>
  <c r="L993" i="1"/>
  <c r="T993" i="1"/>
  <c r="N993" i="1"/>
  <c r="V993" i="1"/>
  <c r="O993" i="1"/>
  <c r="P993" i="1"/>
  <c r="R993" i="1"/>
  <c r="S993" i="1"/>
  <c r="U993" i="1"/>
  <c r="M993" i="1"/>
  <c r="K993" i="1"/>
  <c r="Q993" i="1"/>
  <c r="AH985" i="1"/>
  <c r="L985" i="1"/>
  <c r="T985" i="1"/>
  <c r="N985" i="1"/>
  <c r="V985" i="1"/>
  <c r="O985" i="1"/>
  <c r="P985" i="1"/>
  <c r="R985" i="1"/>
  <c r="S985" i="1"/>
  <c r="U985" i="1"/>
  <c r="M985" i="1"/>
  <c r="Q985" i="1"/>
  <c r="K985" i="1"/>
  <c r="AH977" i="1"/>
  <c r="L977" i="1"/>
  <c r="T977" i="1"/>
  <c r="N977" i="1"/>
  <c r="V977" i="1"/>
  <c r="O977" i="1"/>
  <c r="P977" i="1"/>
  <c r="R977" i="1"/>
  <c r="S977" i="1"/>
  <c r="U977" i="1"/>
  <c r="M977" i="1"/>
  <c r="K977" i="1"/>
  <c r="AH969" i="1"/>
  <c r="L969" i="1"/>
  <c r="T969" i="1"/>
  <c r="M969" i="1"/>
  <c r="U969" i="1"/>
  <c r="N969" i="1"/>
  <c r="V969" i="1"/>
  <c r="O969" i="1"/>
  <c r="P969" i="1"/>
  <c r="Q969" i="1"/>
  <c r="R969" i="1"/>
  <c r="S969" i="1"/>
  <c r="K969" i="1"/>
  <c r="AH961" i="1"/>
  <c r="K961" i="1"/>
  <c r="S961" i="1"/>
  <c r="L961" i="1"/>
  <c r="T961" i="1"/>
  <c r="M961" i="1"/>
  <c r="U961" i="1"/>
  <c r="N961" i="1"/>
  <c r="V961" i="1"/>
  <c r="O961" i="1"/>
  <c r="P961" i="1"/>
  <c r="R961" i="1"/>
  <c r="Q961" i="1"/>
  <c r="AH953" i="1"/>
  <c r="K953" i="1"/>
  <c r="S953" i="1"/>
  <c r="L953" i="1"/>
  <c r="T953" i="1"/>
  <c r="M953" i="1"/>
  <c r="U953" i="1"/>
  <c r="N953" i="1"/>
  <c r="V953" i="1"/>
  <c r="O953" i="1"/>
  <c r="P953" i="1"/>
  <c r="R953" i="1"/>
  <c r="Q953" i="1"/>
  <c r="AH945" i="1"/>
  <c r="K945" i="1"/>
  <c r="S945" i="1"/>
  <c r="L945" i="1"/>
  <c r="T945" i="1"/>
  <c r="M945" i="1"/>
  <c r="U945" i="1"/>
  <c r="N945" i="1"/>
  <c r="V945" i="1"/>
  <c r="O945" i="1"/>
  <c r="P945" i="1"/>
  <c r="R945" i="1"/>
  <c r="Q945" i="1"/>
  <c r="AH937" i="1"/>
  <c r="K937" i="1"/>
  <c r="S937" i="1"/>
  <c r="L937" i="1"/>
  <c r="T937" i="1"/>
  <c r="M937" i="1"/>
  <c r="U937" i="1"/>
  <c r="N937" i="1"/>
  <c r="V937" i="1"/>
  <c r="O937" i="1"/>
  <c r="P937" i="1"/>
  <c r="R937" i="1"/>
  <c r="Q937" i="1"/>
  <c r="AH929" i="1"/>
  <c r="K929" i="1"/>
  <c r="S929" i="1"/>
  <c r="L929" i="1"/>
  <c r="T929" i="1"/>
  <c r="M929" i="1"/>
  <c r="U929" i="1"/>
  <c r="N929" i="1"/>
  <c r="V929" i="1"/>
  <c r="O929" i="1"/>
  <c r="P929" i="1"/>
  <c r="R929" i="1"/>
  <c r="Q929" i="1"/>
  <c r="AH921" i="1"/>
  <c r="K921" i="1"/>
  <c r="S921" i="1"/>
  <c r="L921" i="1"/>
  <c r="T921" i="1"/>
  <c r="M921" i="1"/>
  <c r="U921" i="1"/>
  <c r="N921" i="1"/>
  <c r="V921" i="1"/>
  <c r="O921" i="1"/>
  <c r="P921" i="1"/>
  <c r="R921" i="1"/>
  <c r="AH913" i="1"/>
  <c r="K913" i="1"/>
  <c r="S913" i="1"/>
  <c r="L913" i="1"/>
  <c r="T913" i="1"/>
  <c r="M913" i="1"/>
  <c r="U913" i="1"/>
  <c r="N913" i="1"/>
  <c r="V913" i="1"/>
  <c r="O913" i="1"/>
  <c r="P913" i="1"/>
  <c r="R913" i="1"/>
  <c r="Q913" i="1"/>
  <c r="AH905" i="1"/>
  <c r="K905" i="1"/>
  <c r="S905" i="1"/>
  <c r="L905" i="1"/>
  <c r="T905" i="1"/>
  <c r="M905" i="1"/>
  <c r="U905" i="1"/>
  <c r="N905" i="1"/>
  <c r="V905" i="1"/>
  <c r="O905" i="1"/>
  <c r="P905" i="1"/>
  <c r="R905" i="1"/>
  <c r="Q905" i="1"/>
  <c r="AH897" i="1"/>
  <c r="K897" i="1"/>
  <c r="S897" i="1"/>
  <c r="L897" i="1"/>
  <c r="T897" i="1"/>
  <c r="M897" i="1"/>
  <c r="U897" i="1"/>
  <c r="N897" i="1"/>
  <c r="V897" i="1"/>
  <c r="O897" i="1"/>
  <c r="P897" i="1"/>
  <c r="R897" i="1"/>
  <c r="Q897" i="1"/>
  <c r="AH889" i="1"/>
  <c r="K889" i="1"/>
  <c r="S889" i="1"/>
  <c r="L889" i="1"/>
  <c r="T889" i="1"/>
  <c r="M889" i="1"/>
  <c r="U889" i="1"/>
  <c r="N889" i="1"/>
  <c r="V889" i="1"/>
  <c r="O889" i="1"/>
  <c r="P889" i="1"/>
  <c r="R889" i="1"/>
  <c r="Q889" i="1"/>
  <c r="AH881" i="1"/>
  <c r="K881" i="1"/>
  <c r="S881" i="1"/>
  <c r="L881" i="1"/>
  <c r="T881" i="1"/>
  <c r="M881" i="1"/>
  <c r="U881" i="1"/>
  <c r="N881" i="1"/>
  <c r="V881" i="1"/>
  <c r="O881" i="1"/>
  <c r="P881" i="1"/>
  <c r="R881" i="1"/>
  <c r="Q881" i="1"/>
  <c r="AH873" i="1"/>
  <c r="K873" i="1"/>
  <c r="S873" i="1"/>
  <c r="L873" i="1"/>
  <c r="T873" i="1"/>
  <c r="M873" i="1"/>
  <c r="U873" i="1"/>
  <c r="N873" i="1"/>
  <c r="V873" i="1"/>
  <c r="O873" i="1"/>
  <c r="P873" i="1"/>
  <c r="R873" i="1"/>
  <c r="Q873" i="1"/>
  <c r="AH865" i="1"/>
  <c r="M865" i="1"/>
  <c r="U865" i="1"/>
  <c r="R865" i="1"/>
  <c r="K865" i="1"/>
  <c r="V865" i="1"/>
  <c r="L865" i="1"/>
  <c r="N865" i="1"/>
  <c r="O865" i="1"/>
  <c r="P865" i="1"/>
  <c r="Q865" i="1"/>
  <c r="S865" i="1"/>
  <c r="T865" i="1"/>
  <c r="AH857" i="1"/>
  <c r="M857" i="1"/>
  <c r="U857" i="1"/>
  <c r="R857" i="1"/>
  <c r="K857" i="1"/>
  <c r="V857" i="1"/>
  <c r="L857" i="1"/>
  <c r="N857" i="1"/>
  <c r="O857" i="1"/>
  <c r="P857" i="1"/>
  <c r="Q857" i="1"/>
  <c r="S857" i="1"/>
  <c r="T857" i="1"/>
  <c r="AH849" i="1"/>
  <c r="M849" i="1"/>
  <c r="U849" i="1"/>
  <c r="R849" i="1"/>
  <c r="K849" i="1"/>
  <c r="V849" i="1"/>
  <c r="L849" i="1"/>
  <c r="N849" i="1"/>
  <c r="O849" i="1"/>
  <c r="P849" i="1"/>
  <c r="Q849" i="1"/>
  <c r="T849" i="1"/>
  <c r="S849" i="1"/>
  <c r="AH841" i="1"/>
  <c r="M841" i="1"/>
  <c r="U841" i="1"/>
  <c r="N841" i="1"/>
  <c r="V841" i="1"/>
  <c r="R841" i="1"/>
  <c r="K841" i="1"/>
  <c r="L841" i="1"/>
  <c r="O841" i="1"/>
  <c r="P841" i="1"/>
  <c r="Q841" i="1"/>
  <c r="S841" i="1"/>
  <c r="T841" i="1"/>
  <c r="AH833" i="1"/>
  <c r="M833" i="1"/>
  <c r="U833" i="1"/>
  <c r="N833" i="1"/>
  <c r="V833" i="1"/>
  <c r="Q833" i="1"/>
  <c r="R833" i="1"/>
  <c r="O833" i="1"/>
  <c r="P833" i="1"/>
  <c r="S833" i="1"/>
  <c r="T833" i="1"/>
  <c r="K833" i="1"/>
  <c r="L833" i="1"/>
  <c r="AH825" i="1"/>
  <c r="M825" i="1"/>
  <c r="U825" i="1"/>
  <c r="N825" i="1"/>
  <c r="V825" i="1"/>
  <c r="Q825" i="1"/>
  <c r="R825" i="1"/>
  <c r="O825" i="1"/>
  <c r="P825" i="1"/>
  <c r="S825" i="1"/>
  <c r="T825" i="1"/>
  <c r="L825" i="1"/>
  <c r="K825" i="1"/>
  <c r="AH817" i="1"/>
  <c r="M817" i="1"/>
  <c r="U817" i="1"/>
  <c r="N817" i="1"/>
  <c r="V817" i="1"/>
  <c r="Q817" i="1"/>
  <c r="R817" i="1"/>
  <c r="O817" i="1"/>
  <c r="P817" i="1"/>
  <c r="S817" i="1"/>
  <c r="T817" i="1"/>
  <c r="K817" i="1"/>
  <c r="L817" i="1"/>
  <c r="AH809" i="1"/>
  <c r="M809" i="1"/>
  <c r="U809" i="1"/>
  <c r="N809" i="1"/>
  <c r="V809" i="1"/>
  <c r="O809" i="1"/>
  <c r="Q809" i="1"/>
  <c r="R809" i="1"/>
  <c r="L809" i="1"/>
  <c r="P809" i="1"/>
  <c r="S809" i="1"/>
  <c r="T809" i="1"/>
  <c r="K809" i="1"/>
  <c r="AH801" i="1"/>
  <c r="M801" i="1"/>
  <c r="U801" i="1"/>
  <c r="N801" i="1"/>
  <c r="V801" i="1"/>
  <c r="O801" i="1"/>
  <c r="Q801" i="1"/>
  <c r="R801" i="1"/>
  <c r="K801" i="1"/>
  <c r="L801" i="1"/>
  <c r="P801" i="1"/>
  <c r="T801" i="1"/>
  <c r="S801" i="1"/>
  <c r="AH793" i="1"/>
  <c r="M793" i="1"/>
  <c r="U793" i="1"/>
  <c r="N793" i="1"/>
  <c r="V793" i="1"/>
  <c r="O793" i="1"/>
  <c r="Q793" i="1"/>
  <c r="R793" i="1"/>
  <c r="L793" i="1"/>
  <c r="P793" i="1"/>
  <c r="S793" i="1"/>
  <c r="T793" i="1"/>
  <c r="K793" i="1"/>
  <c r="AH785" i="1"/>
  <c r="M785" i="1"/>
  <c r="U785" i="1"/>
  <c r="N785" i="1"/>
  <c r="V785" i="1"/>
  <c r="O785" i="1"/>
  <c r="Q785" i="1"/>
  <c r="R785" i="1"/>
  <c r="K785" i="1"/>
  <c r="L785" i="1"/>
  <c r="P785" i="1"/>
  <c r="T785" i="1"/>
  <c r="S785" i="1"/>
  <c r="AH777" i="1"/>
  <c r="L777" i="1"/>
  <c r="T777" i="1"/>
  <c r="Q777" i="1"/>
  <c r="R777" i="1"/>
  <c r="S777" i="1"/>
  <c r="K777" i="1"/>
  <c r="U777" i="1"/>
  <c r="M777" i="1"/>
  <c r="V777" i="1"/>
  <c r="N777" i="1"/>
  <c r="O777" i="1"/>
  <c r="P777" i="1"/>
  <c r="AH769" i="1"/>
  <c r="K769" i="1"/>
  <c r="S769" i="1"/>
  <c r="L769" i="1"/>
  <c r="T769" i="1"/>
  <c r="V769" i="1"/>
  <c r="M769" i="1"/>
  <c r="N769" i="1"/>
  <c r="O769" i="1"/>
  <c r="P769" i="1"/>
  <c r="Q769" i="1"/>
  <c r="R769" i="1"/>
  <c r="U769" i="1"/>
  <c r="AH761" i="1"/>
  <c r="K761" i="1"/>
  <c r="S761" i="1"/>
  <c r="L761" i="1"/>
  <c r="T761" i="1"/>
  <c r="V761" i="1"/>
  <c r="M761" i="1"/>
  <c r="N761" i="1"/>
  <c r="O761" i="1"/>
  <c r="P761" i="1"/>
  <c r="Q761" i="1"/>
  <c r="U761" i="1"/>
  <c r="R761" i="1"/>
  <c r="AH753" i="1"/>
  <c r="K753" i="1"/>
  <c r="S753" i="1"/>
  <c r="L753" i="1"/>
  <c r="T753" i="1"/>
  <c r="V753" i="1"/>
  <c r="M753" i="1"/>
  <c r="N753" i="1"/>
  <c r="O753" i="1"/>
  <c r="P753" i="1"/>
  <c r="Q753" i="1"/>
  <c r="R753" i="1"/>
  <c r="U753" i="1"/>
  <c r="AH745" i="1"/>
  <c r="K745" i="1"/>
  <c r="S745" i="1"/>
  <c r="L745" i="1"/>
  <c r="T745" i="1"/>
  <c r="V745" i="1"/>
  <c r="M745" i="1"/>
  <c r="N745" i="1"/>
  <c r="O745" i="1"/>
  <c r="P745" i="1"/>
  <c r="Q745" i="1"/>
  <c r="R745" i="1"/>
  <c r="U745" i="1"/>
  <c r="AH737" i="1"/>
  <c r="K737" i="1"/>
  <c r="S737" i="1"/>
  <c r="L737" i="1"/>
  <c r="T737" i="1"/>
  <c r="V737" i="1"/>
  <c r="M737" i="1"/>
  <c r="N737" i="1"/>
  <c r="O737" i="1"/>
  <c r="P737" i="1"/>
  <c r="Q737" i="1"/>
  <c r="R737" i="1"/>
  <c r="U737" i="1"/>
  <c r="AH729" i="1"/>
  <c r="K729" i="1"/>
  <c r="S729" i="1"/>
  <c r="L729" i="1"/>
  <c r="T729" i="1"/>
  <c r="V729" i="1"/>
  <c r="M729" i="1"/>
  <c r="N729" i="1"/>
  <c r="O729" i="1"/>
  <c r="P729" i="1"/>
  <c r="Q729" i="1"/>
  <c r="U729" i="1"/>
  <c r="R729" i="1"/>
  <c r="AH721" i="1"/>
  <c r="K721" i="1"/>
  <c r="S721" i="1"/>
  <c r="L721" i="1"/>
  <c r="T721" i="1"/>
  <c r="V721" i="1"/>
  <c r="M721" i="1"/>
  <c r="N721" i="1"/>
  <c r="O721" i="1"/>
  <c r="P721" i="1"/>
  <c r="Q721" i="1"/>
  <c r="R721" i="1"/>
  <c r="U721" i="1"/>
  <c r="AH713" i="1"/>
  <c r="K713" i="1"/>
  <c r="S713" i="1"/>
  <c r="L713" i="1"/>
  <c r="T713" i="1"/>
  <c r="V713" i="1"/>
  <c r="M713" i="1"/>
  <c r="N713" i="1"/>
  <c r="O713" i="1"/>
  <c r="P713" i="1"/>
  <c r="Q713" i="1"/>
  <c r="R713" i="1"/>
  <c r="U713" i="1"/>
  <c r="AH705" i="1"/>
  <c r="K705" i="1"/>
  <c r="S705" i="1"/>
  <c r="L705" i="1"/>
  <c r="T705" i="1"/>
  <c r="V705" i="1"/>
  <c r="M705" i="1"/>
  <c r="N705" i="1"/>
  <c r="O705" i="1"/>
  <c r="P705" i="1"/>
  <c r="Q705" i="1"/>
  <c r="R705" i="1"/>
  <c r="U705" i="1"/>
  <c r="AH697" i="1"/>
  <c r="K697" i="1"/>
  <c r="S697" i="1"/>
  <c r="L697" i="1"/>
  <c r="T697" i="1"/>
  <c r="V697" i="1"/>
  <c r="M697" i="1"/>
  <c r="N697" i="1"/>
  <c r="O697" i="1"/>
  <c r="P697" i="1"/>
  <c r="Q697" i="1"/>
  <c r="U697" i="1"/>
  <c r="R697" i="1"/>
  <c r="AH689" i="1"/>
  <c r="K689" i="1"/>
  <c r="S689" i="1"/>
  <c r="L689" i="1"/>
  <c r="T689" i="1"/>
  <c r="V689" i="1"/>
  <c r="M689" i="1"/>
  <c r="N689" i="1"/>
  <c r="O689" i="1"/>
  <c r="P689" i="1"/>
  <c r="Q689" i="1"/>
  <c r="R689" i="1"/>
  <c r="U689" i="1"/>
  <c r="AH681" i="1"/>
  <c r="K681" i="1"/>
  <c r="S681" i="1"/>
  <c r="L681" i="1"/>
  <c r="T681" i="1"/>
  <c r="V681" i="1"/>
  <c r="M681" i="1"/>
  <c r="N681" i="1"/>
  <c r="O681" i="1"/>
  <c r="P681" i="1"/>
  <c r="Q681" i="1"/>
  <c r="R681" i="1"/>
  <c r="U681" i="1"/>
  <c r="AH673" i="1"/>
  <c r="K673" i="1"/>
  <c r="S673" i="1"/>
  <c r="L673" i="1"/>
  <c r="T673" i="1"/>
  <c r="O673" i="1"/>
  <c r="V673" i="1"/>
  <c r="M673" i="1"/>
  <c r="N673" i="1"/>
  <c r="P673" i="1"/>
  <c r="Q673" i="1"/>
  <c r="R673" i="1"/>
  <c r="U673" i="1"/>
  <c r="AH665" i="1"/>
  <c r="K665" i="1"/>
  <c r="S665" i="1"/>
  <c r="L665" i="1"/>
  <c r="T665" i="1"/>
  <c r="O665" i="1"/>
  <c r="P665" i="1"/>
  <c r="Q665" i="1"/>
  <c r="R665" i="1"/>
  <c r="U665" i="1"/>
  <c r="V665" i="1"/>
  <c r="M665" i="1"/>
  <c r="N665" i="1"/>
  <c r="AH657" i="1"/>
  <c r="K657" i="1"/>
  <c r="S657" i="1"/>
  <c r="L657" i="1"/>
  <c r="T657" i="1"/>
  <c r="O657" i="1"/>
  <c r="V657" i="1"/>
  <c r="M657" i="1"/>
  <c r="N657" i="1"/>
  <c r="P657" i="1"/>
  <c r="Q657" i="1"/>
  <c r="R657" i="1"/>
  <c r="U657" i="1"/>
  <c r="AH649" i="1"/>
  <c r="K649" i="1"/>
  <c r="S649" i="1"/>
  <c r="L649" i="1"/>
  <c r="T649" i="1"/>
  <c r="O649" i="1"/>
  <c r="P649" i="1"/>
  <c r="Q649" i="1"/>
  <c r="R649" i="1"/>
  <c r="U649" i="1"/>
  <c r="V649" i="1"/>
  <c r="M649" i="1"/>
  <c r="N649" i="1"/>
  <c r="AH641" i="1"/>
  <c r="K641" i="1"/>
  <c r="S641" i="1"/>
  <c r="L641" i="1"/>
  <c r="T641" i="1"/>
  <c r="O641" i="1"/>
  <c r="V641" i="1"/>
  <c r="M641" i="1"/>
  <c r="N641" i="1"/>
  <c r="P641" i="1"/>
  <c r="Q641" i="1"/>
  <c r="R641" i="1"/>
  <c r="U641" i="1"/>
  <c r="AH633" i="1"/>
  <c r="K633" i="1"/>
  <c r="S633" i="1"/>
  <c r="L633" i="1"/>
  <c r="T633" i="1"/>
  <c r="O633" i="1"/>
  <c r="P633" i="1"/>
  <c r="Q633" i="1"/>
  <c r="R633" i="1"/>
  <c r="U633" i="1"/>
  <c r="V633" i="1"/>
  <c r="M633" i="1"/>
  <c r="N633" i="1"/>
  <c r="AH625" i="1"/>
  <c r="K625" i="1"/>
  <c r="S625" i="1"/>
  <c r="L625" i="1"/>
  <c r="T625" i="1"/>
  <c r="O625" i="1"/>
  <c r="V625" i="1"/>
  <c r="M625" i="1"/>
  <c r="N625" i="1"/>
  <c r="P625" i="1"/>
  <c r="Q625" i="1"/>
  <c r="U625" i="1"/>
  <c r="R625" i="1"/>
  <c r="AH617" i="1"/>
  <c r="K617" i="1"/>
  <c r="S617" i="1"/>
  <c r="L617" i="1"/>
  <c r="T617" i="1"/>
  <c r="O617" i="1"/>
  <c r="P617" i="1"/>
  <c r="U617" i="1"/>
  <c r="V617" i="1"/>
  <c r="M617" i="1"/>
  <c r="N617" i="1"/>
  <c r="Q617" i="1"/>
  <c r="R617" i="1"/>
  <c r="AH609" i="1"/>
  <c r="K609" i="1"/>
  <c r="S609" i="1"/>
  <c r="P609" i="1"/>
  <c r="Q609" i="1"/>
  <c r="L609" i="1"/>
  <c r="U609" i="1"/>
  <c r="M609" i="1"/>
  <c r="V609" i="1"/>
  <c r="N609" i="1"/>
  <c r="O609" i="1"/>
  <c r="R609" i="1"/>
  <c r="T609" i="1"/>
  <c r="AH601" i="1"/>
  <c r="K601" i="1"/>
  <c r="S601" i="1"/>
  <c r="P601" i="1"/>
  <c r="U601" i="1"/>
  <c r="L601" i="1"/>
  <c r="V601" i="1"/>
  <c r="O601" i="1"/>
  <c r="Q601" i="1"/>
  <c r="M601" i="1"/>
  <c r="N601" i="1"/>
  <c r="R601" i="1"/>
  <c r="T601" i="1"/>
  <c r="AH593" i="1"/>
  <c r="K593" i="1"/>
  <c r="S593" i="1"/>
  <c r="P593" i="1"/>
  <c r="U593" i="1"/>
  <c r="L593" i="1"/>
  <c r="V593" i="1"/>
  <c r="M593" i="1"/>
  <c r="O593" i="1"/>
  <c r="Q593" i="1"/>
  <c r="N593" i="1"/>
  <c r="R593" i="1"/>
  <c r="T593" i="1"/>
  <c r="AH585" i="1"/>
  <c r="K585" i="1"/>
  <c r="S585" i="1"/>
  <c r="P585" i="1"/>
  <c r="U585" i="1"/>
  <c r="L585" i="1"/>
  <c r="V585" i="1"/>
  <c r="M585" i="1"/>
  <c r="O585" i="1"/>
  <c r="Q585" i="1"/>
  <c r="N585" i="1"/>
  <c r="R585" i="1"/>
  <c r="T585" i="1"/>
  <c r="AH577" i="1"/>
  <c r="K577" i="1"/>
  <c r="S577" i="1"/>
  <c r="M577" i="1"/>
  <c r="U577" i="1"/>
  <c r="P577" i="1"/>
  <c r="N577" i="1"/>
  <c r="O577" i="1"/>
  <c r="Q577" i="1"/>
  <c r="R577" i="1"/>
  <c r="T577" i="1"/>
  <c r="V577" i="1"/>
  <c r="L577" i="1"/>
  <c r="AH569" i="1"/>
  <c r="K569" i="1"/>
  <c r="S569" i="1"/>
  <c r="M569" i="1"/>
  <c r="U569" i="1"/>
  <c r="P569" i="1"/>
  <c r="T569" i="1"/>
  <c r="V569" i="1"/>
  <c r="L569" i="1"/>
  <c r="N569" i="1"/>
  <c r="O569" i="1"/>
  <c r="Q569" i="1"/>
  <c r="R569" i="1"/>
  <c r="AH561" i="1"/>
  <c r="K561" i="1"/>
  <c r="S561" i="1"/>
  <c r="M561" i="1"/>
  <c r="U561" i="1"/>
  <c r="P561" i="1"/>
  <c r="N561" i="1"/>
  <c r="O561" i="1"/>
  <c r="Q561" i="1"/>
  <c r="R561" i="1"/>
  <c r="T561" i="1"/>
  <c r="V561" i="1"/>
  <c r="L561" i="1"/>
  <c r="AH553" i="1"/>
  <c r="K553" i="1"/>
  <c r="S553" i="1"/>
  <c r="L553" i="1"/>
  <c r="T553" i="1"/>
  <c r="M553" i="1"/>
  <c r="U553" i="1"/>
  <c r="P553" i="1"/>
  <c r="O553" i="1"/>
  <c r="Q553" i="1"/>
  <c r="R553" i="1"/>
  <c r="V553" i="1"/>
  <c r="N553" i="1"/>
  <c r="AH545" i="1"/>
  <c r="M545" i="1"/>
  <c r="U545" i="1"/>
  <c r="R545" i="1"/>
  <c r="S545" i="1"/>
  <c r="L545" i="1"/>
  <c r="V545" i="1"/>
  <c r="N545" i="1"/>
  <c r="Q545" i="1"/>
  <c r="T545" i="1"/>
  <c r="O545" i="1"/>
  <c r="K545" i="1"/>
  <c r="P545" i="1"/>
  <c r="AH537" i="1"/>
  <c r="M537" i="1"/>
  <c r="U537" i="1"/>
  <c r="N537" i="1"/>
  <c r="O537" i="1"/>
  <c r="Q537" i="1"/>
  <c r="R537" i="1"/>
  <c r="V537" i="1"/>
  <c r="K537" i="1"/>
  <c r="S537" i="1"/>
  <c r="L537" i="1"/>
  <c r="P537" i="1"/>
  <c r="T537" i="1"/>
  <c r="AH529" i="1"/>
  <c r="M529" i="1"/>
  <c r="U529" i="1"/>
  <c r="R529" i="1"/>
  <c r="S529" i="1"/>
  <c r="L529" i="1"/>
  <c r="V529" i="1"/>
  <c r="N529" i="1"/>
  <c r="K529" i="1"/>
  <c r="O529" i="1"/>
  <c r="P529" i="1"/>
  <c r="Q529" i="1"/>
  <c r="T529" i="1"/>
  <c r="AH521" i="1"/>
  <c r="M521" i="1"/>
  <c r="U521" i="1"/>
  <c r="N521" i="1"/>
  <c r="O521" i="1"/>
  <c r="Q521" i="1"/>
  <c r="R521" i="1"/>
  <c r="L521" i="1"/>
  <c r="P521" i="1"/>
  <c r="S521" i="1"/>
  <c r="T521" i="1"/>
  <c r="K521" i="1"/>
  <c r="V521" i="1"/>
  <c r="AH513" i="1"/>
  <c r="M513" i="1"/>
  <c r="U513" i="1"/>
  <c r="R513" i="1"/>
  <c r="S513" i="1"/>
  <c r="L513" i="1"/>
  <c r="V513" i="1"/>
  <c r="N513" i="1"/>
  <c r="Q513" i="1"/>
  <c r="T513" i="1"/>
  <c r="O513" i="1"/>
  <c r="K513" i="1"/>
  <c r="P513" i="1"/>
  <c r="AH505" i="1"/>
  <c r="M505" i="1"/>
  <c r="U505" i="1"/>
  <c r="N505" i="1"/>
  <c r="O505" i="1"/>
  <c r="Q505" i="1"/>
  <c r="R505" i="1"/>
  <c r="V505" i="1"/>
  <c r="K505" i="1"/>
  <c r="S505" i="1"/>
  <c r="L505" i="1"/>
  <c r="P505" i="1"/>
  <c r="T505" i="1"/>
  <c r="AH497" i="1"/>
  <c r="K497" i="1"/>
  <c r="S497" i="1"/>
  <c r="M497" i="1"/>
  <c r="U497" i="1"/>
  <c r="O497" i="1"/>
  <c r="R497" i="1"/>
  <c r="T497" i="1"/>
  <c r="L497" i="1"/>
  <c r="Q497" i="1"/>
  <c r="V497" i="1"/>
  <c r="N497" i="1"/>
  <c r="P497" i="1"/>
  <c r="AH489" i="1"/>
  <c r="K489" i="1"/>
  <c r="S489" i="1"/>
  <c r="M489" i="1"/>
  <c r="U489" i="1"/>
  <c r="O489" i="1"/>
  <c r="L489" i="1"/>
  <c r="N489" i="1"/>
  <c r="Q489" i="1"/>
  <c r="R489" i="1"/>
  <c r="P489" i="1"/>
  <c r="T489" i="1"/>
  <c r="V489" i="1"/>
  <c r="AH481" i="1"/>
  <c r="K481" i="1"/>
  <c r="S481" i="1"/>
  <c r="M481" i="1"/>
  <c r="U481" i="1"/>
  <c r="O481" i="1"/>
  <c r="R481" i="1"/>
  <c r="T481" i="1"/>
  <c r="L481" i="1"/>
  <c r="N481" i="1"/>
  <c r="P481" i="1"/>
  <c r="Q481" i="1"/>
  <c r="V481" i="1"/>
  <c r="AH473" i="1"/>
  <c r="K473" i="1"/>
  <c r="S473" i="1"/>
  <c r="M473" i="1"/>
  <c r="U473" i="1"/>
  <c r="O473" i="1"/>
  <c r="L473" i="1"/>
  <c r="N473" i="1"/>
  <c r="Q473" i="1"/>
  <c r="R473" i="1"/>
  <c r="T473" i="1"/>
  <c r="P473" i="1"/>
  <c r="V473" i="1"/>
  <c r="AH465" i="1"/>
  <c r="K465" i="1"/>
  <c r="S465" i="1"/>
  <c r="M465" i="1"/>
  <c r="U465" i="1"/>
  <c r="O465" i="1"/>
  <c r="R465" i="1"/>
  <c r="T465" i="1"/>
  <c r="L465" i="1"/>
  <c r="Q465" i="1"/>
  <c r="V465" i="1"/>
  <c r="N465" i="1"/>
  <c r="P465" i="1"/>
  <c r="AH457" i="1"/>
  <c r="K457" i="1"/>
  <c r="S457" i="1"/>
  <c r="M457" i="1"/>
  <c r="U457" i="1"/>
  <c r="O457" i="1"/>
  <c r="L457" i="1"/>
  <c r="N457" i="1"/>
  <c r="Q457" i="1"/>
  <c r="R457" i="1"/>
  <c r="P457" i="1"/>
  <c r="T457" i="1"/>
  <c r="V457" i="1"/>
  <c r="AH449" i="1"/>
  <c r="K449" i="1"/>
  <c r="S449" i="1"/>
  <c r="M449" i="1"/>
  <c r="U449" i="1"/>
  <c r="O449" i="1"/>
  <c r="R449" i="1"/>
  <c r="T449" i="1"/>
  <c r="L449" i="1"/>
  <c r="N449" i="1"/>
  <c r="P449" i="1"/>
  <c r="Q449" i="1"/>
  <c r="V449" i="1"/>
  <c r="AH441" i="1"/>
  <c r="L441" i="1"/>
  <c r="T441" i="1"/>
  <c r="M441" i="1"/>
  <c r="U441" i="1"/>
  <c r="N441" i="1"/>
  <c r="V441" i="1"/>
  <c r="O441" i="1"/>
  <c r="Q441" i="1"/>
  <c r="S441" i="1"/>
  <c r="K441" i="1"/>
  <c r="P441" i="1"/>
  <c r="R441" i="1"/>
  <c r="AH433" i="1"/>
  <c r="L433" i="1"/>
  <c r="T433" i="1"/>
  <c r="M433" i="1"/>
  <c r="U433" i="1"/>
  <c r="N433" i="1"/>
  <c r="V433" i="1"/>
  <c r="S433" i="1"/>
  <c r="O433" i="1"/>
  <c r="R433" i="1"/>
  <c r="K433" i="1"/>
  <c r="P433" i="1"/>
  <c r="Q433" i="1"/>
  <c r="AH425" i="1"/>
  <c r="L425" i="1"/>
  <c r="T425" i="1"/>
  <c r="M425" i="1"/>
  <c r="U425" i="1"/>
  <c r="N425" i="1"/>
  <c r="V425" i="1"/>
  <c r="O425" i="1"/>
  <c r="Q425" i="1"/>
  <c r="S425" i="1"/>
  <c r="K425" i="1"/>
  <c r="P425" i="1"/>
  <c r="R425" i="1"/>
  <c r="AH417" i="1"/>
  <c r="L417" i="1"/>
  <c r="T417" i="1"/>
  <c r="M417" i="1"/>
  <c r="U417" i="1"/>
  <c r="N417" i="1"/>
  <c r="V417" i="1"/>
  <c r="S417" i="1"/>
  <c r="O417" i="1"/>
  <c r="P417" i="1"/>
  <c r="Q417" i="1"/>
  <c r="R417" i="1"/>
  <c r="K417" i="1"/>
  <c r="AH409" i="1"/>
  <c r="L409" i="1"/>
  <c r="T409" i="1"/>
  <c r="M409" i="1"/>
  <c r="U409" i="1"/>
  <c r="N409" i="1"/>
  <c r="V409" i="1"/>
  <c r="O409" i="1"/>
  <c r="Q409" i="1"/>
  <c r="S409" i="1"/>
  <c r="K409" i="1"/>
  <c r="P409" i="1"/>
  <c r="R409" i="1"/>
  <c r="AH401" i="1"/>
  <c r="L401" i="1"/>
  <c r="T401" i="1"/>
  <c r="M401" i="1"/>
  <c r="U401" i="1"/>
  <c r="N401" i="1"/>
  <c r="V401" i="1"/>
  <c r="S401" i="1"/>
  <c r="O401" i="1"/>
  <c r="P401" i="1"/>
  <c r="Q401" i="1"/>
  <c r="K401" i="1"/>
  <c r="R401" i="1"/>
  <c r="AH393" i="1"/>
  <c r="L393" i="1"/>
  <c r="T393" i="1"/>
  <c r="M393" i="1"/>
  <c r="U393" i="1"/>
  <c r="N393" i="1"/>
  <c r="V393" i="1"/>
  <c r="O393" i="1"/>
  <c r="Q393" i="1"/>
  <c r="S393" i="1"/>
  <c r="P393" i="1"/>
  <c r="R393" i="1"/>
  <c r="K393" i="1"/>
  <c r="AH385" i="1"/>
  <c r="L385" i="1"/>
  <c r="T385" i="1"/>
  <c r="M385" i="1"/>
  <c r="U385" i="1"/>
  <c r="N385" i="1"/>
  <c r="V385" i="1"/>
  <c r="S385" i="1"/>
  <c r="O385" i="1"/>
  <c r="K385" i="1"/>
  <c r="P385" i="1"/>
  <c r="Q385" i="1"/>
  <c r="R385" i="1"/>
  <c r="AH377" i="1"/>
  <c r="Q377" i="1"/>
  <c r="K377" i="1"/>
  <c r="S377" i="1"/>
  <c r="O377" i="1"/>
  <c r="P377" i="1"/>
  <c r="R377" i="1"/>
  <c r="M377" i="1"/>
  <c r="T377" i="1"/>
  <c r="V377" i="1"/>
  <c r="L377" i="1"/>
  <c r="N377" i="1"/>
  <c r="U377" i="1"/>
  <c r="AH369" i="1"/>
  <c r="Q369" i="1"/>
  <c r="R369" i="1"/>
  <c r="K369" i="1"/>
  <c r="S369" i="1"/>
  <c r="O369" i="1"/>
  <c r="P369" i="1"/>
  <c r="T369" i="1"/>
  <c r="L369" i="1"/>
  <c r="M369" i="1"/>
  <c r="V369" i="1"/>
  <c r="U369" i="1"/>
  <c r="N369" i="1"/>
  <c r="AH361" i="1"/>
  <c r="Q361" i="1"/>
  <c r="R361" i="1"/>
  <c r="K361" i="1"/>
  <c r="S361" i="1"/>
  <c r="L361" i="1"/>
  <c r="T361" i="1"/>
  <c r="O361" i="1"/>
  <c r="U361" i="1"/>
  <c r="V361" i="1"/>
  <c r="M361" i="1"/>
  <c r="P361" i="1"/>
  <c r="N361" i="1"/>
  <c r="AH353" i="1"/>
  <c r="Q353" i="1"/>
  <c r="R353" i="1"/>
  <c r="K353" i="1"/>
  <c r="S353" i="1"/>
  <c r="L353" i="1"/>
  <c r="T353" i="1"/>
  <c r="O353" i="1"/>
  <c r="M353" i="1"/>
  <c r="N353" i="1"/>
  <c r="P353" i="1"/>
  <c r="V353" i="1"/>
  <c r="U353" i="1"/>
  <c r="AH345" i="1"/>
  <c r="Q345" i="1"/>
  <c r="R345" i="1"/>
  <c r="K345" i="1"/>
  <c r="S345" i="1"/>
  <c r="L345" i="1"/>
  <c r="T345" i="1"/>
  <c r="O345" i="1"/>
  <c r="U345" i="1"/>
  <c r="V345" i="1"/>
  <c r="M345" i="1"/>
  <c r="N345" i="1"/>
  <c r="P345" i="1"/>
  <c r="AH337" i="1"/>
  <c r="Q337" i="1"/>
  <c r="R337" i="1"/>
  <c r="K337" i="1"/>
  <c r="S337" i="1"/>
  <c r="L337" i="1"/>
  <c r="T337" i="1"/>
  <c r="O337" i="1"/>
  <c r="M337" i="1"/>
  <c r="N337" i="1"/>
  <c r="P337" i="1"/>
  <c r="V337" i="1"/>
  <c r="U337" i="1"/>
  <c r="AH329" i="1"/>
  <c r="Q329" i="1"/>
  <c r="R329" i="1"/>
  <c r="K329" i="1"/>
  <c r="S329" i="1"/>
  <c r="L329" i="1"/>
  <c r="T329" i="1"/>
  <c r="O329" i="1"/>
  <c r="U329" i="1"/>
  <c r="V329" i="1"/>
  <c r="M329" i="1"/>
  <c r="P329" i="1"/>
  <c r="N329" i="1"/>
  <c r="AH321" i="1"/>
  <c r="Q321" i="1"/>
  <c r="R321" i="1"/>
  <c r="K321" i="1"/>
  <c r="S321" i="1"/>
  <c r="L321" i="1"/>
  <c r="T321" i="1"/>
  <c r="O321" i="1"/>
  <c r="M321" i="1"/>
  <c r="N321" i="1"/>
  <c r="P321" i="1"/>
  <c r="V321" i="1"/>
  <c r="U321" i="1"/>
  <c r="AH313" i="1"/>
  <c r="M313" i="1"/>
  <c r="U313" i="1"/>
  <c r="Q313" i="1"/>
  <c r="R313" i="1"/>
  <c r="S313" i="1"/>
  <c r="K313" i="1"/>
  <c r="T313" i="1"/>
  <c r="O313" i="1"/>
  <c r="L313" i="1"/>
  <c r="N313" i="1"/>
  <c r="P313" i="1"/>
  <c r="V313" i="1"/>
  <c r="AH305" i="1"/>
  <c r="M305" i="1"/>
  <c r="U305" i="1"/>
  <c r="L305" i="1"/>
  <c r="V305" i="1"/>
  <c r="N305" i="1"/>
  <c r="O305" i="1"/>
  <c r="P305" i="1"/>
  <c r="S305" i="1"/>
  <c r="K305" i="1"/>
  <c r="Q305" i="1"/>
  <c r="R305" i="1"/>
  <c r="T305" i="1"/>
  <c r="AH297" i="1"/>
  <c r="M297" i="1"/>
  <c r="U297" i="1"/>
  <c r="Q297" i="1"/>
  <c r="R297" i="1"/>
  <c r="K297" i="1"/>
  <c r="T297" i="1"/>
  <c r="L297" i="1"/>
  <c r="N297" i="1"/>
  <c r="S297" i="1"/>
  <c r="O297" i="1"/>
  <c r="P297" i="1"/>
  <c r="V297" i="1"/>
  <c r="AH289" i="1"/>
  <c r="M289" i="1"/>
  <c r="U289" i="1"/>
  <c r="L289" i="1"/>
  <c r="V289" i="1"/>
  <c r="N289" i="1"/>
  <c r="P289" i="1"/>
  <c r="Q289" i="1"/>
  <c r="R289" i="1"/>
  <c r="S289" i="1"/>
  <c r="T289" i="1"/>
  <c r="K289" i="1"/>
  <c r="O289" i="1"/>
  <c r="AH281" i="1"/>
  <c r="M281" i="1"/>
  <c r="U281" i="1"/>
  <c r="Q281" i="1"/>
  <c r="R281" i="1"/>
  <c r="K281" i="1"/>
  <c r="T281" i="1"/>
  <c r="L281" i="1"/>
  <c r="V281" i="1"/>
  <c r="N281" i="1"/>
  <c r="O281" i="1"/>
  <c r="S281" i="1"/>
  <c r="P281" i="1"/>
  <c r="AH273" i="1"/>
  <c r="M273" i="1"/>
  <c r="U273" i="1"/>
  <c r="L273" i="1"/>
  <c r="V273" i="1"/>
  <c r="N273" i="1"/>
  <c r="P273" i="1"/>
  <c r="Q273" i="1"/>
  <c r="K273" i="1"/>
  <c r="O273" i="1"/>
  <c r="R273" i="1"/>
  <c r="S273" i="1"/>
  <c r="T273" i="1"/>
  <c r="AH265" i="1"/>
  <c r="M265" i="1"/>
  <c r="U265" i="1"/>
  <c r="Q265" i="1"/>
  <c r="R265" i="1"/>
  <c r="K265" i="1"/>
  <c r="T265" i="1"/>
  <c r="L265" i="1"/>
  <c r="V265" i="1"/>
  <c r="P265" i="1"/>
  <c r="S265" i="1"/>
  <c r="N265" i="1"/>
  <c r="O265" i="1"/>
  <c r="AH257" i="1"/>
  <c r="M257" i="1"/>
  <c r="U257" i="1"/>
  <c r="Q257" i="1"/>
  <c r="K257" i="1"/>
  <c r="V257" i="1"/>
  <c r="L257" i="1"/>
  <c r="O257" i="1"/>
  <c r="P257" i="1"/>
  <c r="N257" i="1"/>
  <c r="R257" i="1"/>
  <c r="S257" i="1"/>
  <c r="T257" i="1"/>
  <c r="AH249" i="1"/>
  <c r="L249" i="1"/>
  <c r="M249" i="1"/>
  <c r="U249" i="1"/>
  <c r="Q249" i="1"/>
  <c r="V249" i="1"/>
  <c r="K249" i="1"/>
  <c r="O249" i="1"/>
  <c r="P249" i="1"/>
  <c r="T249" i="1"/>
  <c r="R249" i="1"/>
  <c r="N249" i="1"/>
  <c r="S249" i="1"/>
  <c r="AH241" i="1"/>
  <c r="L241" i="1"/>
  <c r="T241" i="1"/>
  <c r="N241" i="1"/>
  <c r="V241" i="1"/>
  <c r="M241" i="1"/>
  <c r="R241" i="1"/>
  <c r="U241" i="1"/>
  <c r="K241" i="1"/>
  <c r="O241" i="1"/>
  <c r="Q241" i="1"/>
  <c r="S241" i="1"/>
  <c r="P241" i="1"/>
  <c r="AH233" i="1"/>
  <c r="L233" i="1"/>
  <c r="T233" i="1"/>
  <c r="N233" i="1"/>
  <c r="V233" i="1"/>
  <c r="P233" i="1"/>
  <c r="O233" i="1"/>
  <c r="U233" i="1"/>
  <c r="K233" i="1"/>
  <c r="M233" i="1"/>
  <c r="Q233" i="1"/>
  <c r="S233" i="1"/>
  <c r="R233" i="1"/>
  <c r="AH225" i="1"/>
  <c r="L225" i="1"/>
  <c r="T225" i="1"/>
  <c r="N225" i="1"/>
  <c r="V225" i="1"/>
  <c r="P225" i="1"/>
  <c r="U225" i="1"/>
  <c r="O225" i="1"/>
  <c r="R225" i="1"/>
  <c r="M225" i="1"/>
  <c r="Q225" i="1"/>
  <c r="S225" i="1"/>
  <c r="K225" i="1"/>
  <c r="AH217" i="1"/>
  <c r="L217" i="1"/>
  <c r="T217" i="1"/>
  <c r="N217" i="1"/>
  <c r="V217" i="1"/>
  <c r="P217" i="1"/>
  <c r="O217" i="1"/>
  <c r="S217" i="1"/>
  <c r="U217" i="1"/>
  <c r="K217" i="1"/>
  <c r="Q217" i="1"/>
  <c r="R217" i="1"/>
  <c r="M217" i="1"/>
  <c r="AH209" i="1"/>
  <c r="L209" i="1"/>
  <c r="T209" i="1"/>
  <c r="N209" i="1"/>
  <c r="V209" i="1"/>
  <c r="P209" i="1"/>
  <c r="U209" i="1"/>
  <c r="M209" i="1"/>
  <c r="O209" i="1"/>
  <c r="R209" i="1"/>
  <c r="K209" i="1"/>
  <c r="S209" i="1"/>
  <c r="Q209" i="1"/>
  <c r="AH201" i="1"/>
  <c r="N201" i="1"/>
  <c r="V201" i="1"/>
  <c r="O201" i="1"/>
  <c r="P201" i="1"/>
  <c r="Q201" i="1"/>
  <c r="M201" i="1"/>
  <c r="S201" i="1"/>
  <c r="U201" i="1"/>
  <c r="K201" i="1"/>
  <c r="L201" i="1"/>
  <c r="T201" i="1"/>
  <c r="R201" i="1"/>
  <c r="AH193" i="1"/>
  <c r="N193" i="1"/>
  <c r="V193" i="1"/>
  <c r="O193" i="1"/>
  <c r="P193" i="1"/>
  <c r="Q193" i="1"/>
  <c r="M193" i="1"/>
  <c r="S193" i="1"/>
  <c r="U193" i="1"/>
  <c r="T193" i="1"/>
  <c r="L193" i="1"/>
  <c r="R193" i="1"/>
  <c r="K193" i="1"/>
  <c r="AH185" i="1"/>
  <c r="N185" i="1"/>
  <c r="V185" i="1"/>
  <c r="O185" i="1"/>
  <c r="P185" i="1"/>
  <c r="Q185" i="1"/>
  <c r="L185" i="1"/>
  <c r="T185" i="1"/>
  <c r="M185" i="1"/>
  <c r="S185" i="1"/>
  <c r="U185" i="1"/>
  <c r="K185" i="1"/>
  <c r="R185" i="1"/>
  <c r="AH177" i="1"/>
  <c r="N177" i="1"/>
  <c r="V177" i="1"/>
  <c r="O177" i="1"/>
  <c r="P177" i="1"/>
  <c r="Q177" i="1"/>
  <c r="L177" i="1"/>
  <c r="T177" i="1"/>
  <c r="S177" i="1"/>
  <c r="M177" i="1"/>
  <c r="R177" i="1"/>
  <c r="K177" i="1"/>
  <c r="U177" i="1"/>
  <c r="AH169" i="1"/>
  <c r="N169" i="1"/>
  <c r="V169" i="1"/>
  <c r="O169" i="1"/>
  <c r="P169" i="1"/>
  <c r="Q169" i="1"/>
  <c r="L169" i="1"/>
  <c r="T169" i="1"/>
  <c r="M169" i="1"/>
  <c r="S169" i="1"/>
  <c r="K169" i="1"/>
  <c r="U169" i="1"/>
  <c r="R169" i="1"/>
  <c r="AH161" i="1"/>
  <c r="N161" i="1"/>
  <c r="V161" i="1"/>
  <c r="O161" i="1"/>
  <c r="P161" i="1"/>
  <c r="Q161" i="1"/>
  <c r="L161" i="1"/>
  <c r="T161" i="1"/>
  <c r="S161" i="1"/>
  <c r="U161" i="1"/>
  <c r="M161" i="1"/>
  <c r="R161" i="1"/>
  <c r="K161" i="1"/>
  <c r="AH153" i="1"/>
  <c r="N153" i="1"/>
  <c r="V153" i="1"/>
  <c r="O153" i="1"/>
  <c r="P153" i="1"/>
  <c r="Q153" i="1"/>
  <c r="L153" i="1"/>
  <c r="T153" i="1"/>
  <c r="M153" i="1"/>
  <c r="U153" i="1"/>
  <c r="K153" i="1"/>
  <c r="S153" i="1"/>
  <c r="R153" i="1"/>
  <c r="AH145" i="1"/>
  <c r="N145" i="1"/>
  <c r="V145" i="1"/>
  <c r="O145" i="1"/>
  <c r="P145" i="1"/>
  <c r="Q145" i="1"/>
  <c r="L145" i="1"/>
  <c r="T145" i="1"/>
  <c r="M145" i="1"/>
  <c r="U145" i="1"/>
  <c r="K145" i="1"/>
  <c r="S145" i="1"/>
  <c r="R145" i="1"/>
  <c r="AH137" i="1"/>
  <c r="N137" i="1"/>
  <c r="V137" i="1"/>
  <c r="O137" i="1"/>
  <c r="P137" i="1"/>
  <c r="Q137" i="1"/>
  <c r="K137" i="1"/>
  <c r="S137" i="1"/>
  <c r="L137" i="1"/>
  <c r="T137" i="1"/>
  <c r="M137" i="1"/>
  <c r="U137" i="1"/>
  <c r="R137" i="1"/>
  <c r="AH129" i="1"/>
  <c r="O129" i="1"/>
  <c r="P129" i="1"/>
  <c r="M129" i="1"/>
  <c r="U129" i="1"/>
  <c r="V129" i="1"/>
  <c r="K129" i="1"/>
  <c r="L129" i="1"/>
  <c r="N129" i="1"/>
  <c r="R129" i="1"/>
  <c r="S129" i="1"/>
  <c r="T129" i="1"/>
  <c r="Q129" i="1"/>
  <c r="AH121" i="1"/>
  <c r="O121" i="1"/>
  <c r="P121" i="1"/>
  <c r="L121" i="1"/>
  <c r="T121" i="1"/>
  <c r="M121" i="1"/>
  <c r="U121" i="1"/>
  <c r="N121" i="1"/>
  <c r="Q121" i="1"/>
  <c r="R121" i="1"/>
  <c r="S121" i="1"/>
  <c r="V121" i="1"/>
  <c r="K121" i="1"/>
  <c r="AH113" i="1"/>
  <c r="O113" i="1"/>
  <c r="P113" i="1"/>
  <c r="L113" i="1"/>
  <c r="T113" i="1"/>
  <c r="M113" i="1"/>
  <c r="U113" i="1"/>
  <c r="N113" i="1"/>
  <c r="Q113" i="1"/>
  <c r="R113" i="1"/>
  <c r="S113" i="1"/>
  <c r="V113" i="1"/>
  <c r="K113" i="1"/>
  <c r="AH105" i="1"/>
  <c r="O105" i="1"/>
  <c r="P105" i="1"/>
  <c r="L105" i="1"/>
  <c r="T105" i="1"/>
  <c r="M105" i="1"/>
  <c r="U105" i="1"/>
  <c r="N105" i="1"/>
  <c r="Q105" i="1"/>
  <c r="R105" i="1"/>
  <c r="S105" i="1"/>
  <c r="V105" i="1"/>
  <c r="K105" i="1"/>
  <c r="AH97" i="1"/>
  <c r="O97" i="1"/>
  <c r="P97" i="1"/>
  <c r="L97" i="1"/>
  <c r="T97" i="1"/>
  <c r="M97" i="1"/>
  <c r="U97" i="1"/>
  <c r="N97" i="1"/>
  <c r="Q97" i="1"/>
  <c r="R97" i="1"/>
  <c r="S97" i="1"/>
  <c r="V97" i="1"/>
  <c r="K97" i="1"/>
  <c r="AH89" i="1"/>
  <c r="M89" i="1"/>
  <c r="U89" i="1"/>
  <c r="P89" i="1"/>
  <c r="T89" i="1"/>
  <c r="K89" i="1"/>
  <c r="V89" i="1"/>
  <c r="Q89" i="1"/>
  <c r="R89" i="1"/>
  <c r="L89" i="1"/>
  <c r="N89" i="1"/>
  <c r="O89" i="1"/>
  <c r="S89" i="1"/>
  <c r="AH81" i="1"/>
  <c r="M81" i="1"/>
  <c r="U81" i="1"/>
  <c r="N81" i="1"/>
  <c r="V81" i="1"/>
  <c r="O81" i="1"/>
  <c r="P81" i="1"/>
  <c r="Q81" i="1"/>
  <c r="K81" i="1"/>
  <c r="S81" i="1"/>
  <c r="R81" i="1"/>
  <c r="T81" i="1"/>
  <c r="L81" i="1"/>
  <c r="AH73" i="1"/>
  <c r="M73" i="1"/>
  <c r="U73" i="1"/>
  <c r="N73" i="1"/>
  <c r="V73" i="1"/>
  <c r="O73" i="1"/>
  <c r="P73" i="1"/>
  <c r="Q73" i="1"/>
  <c r="K73" i="1"/>
  <c r="S73" i="1"/>
  <c r="R73" i="1"/>
  <c r="T73" i="1"/>
  <c r="L73" i="1"/>
  <c r="AH65" i="1"/>
  <c r="M65" i="1"/>
  <c r="U65" i="1"/>
  <c r="N65" i="1"/>
  <c r="V65" i="1"/>
  <c r="O65" i="1"/>
  <c r="P65" i="1"/>
  <c r="Q65" i="1"/>
  <c r="K65" i="1"/>
  <c r="S65" i="1"/>
  <c r="R65" i="1"/>
  <c r="T65" i="1"/>
  <c r="L65" i="1"/>
  <c r="AH57" i="1"/>
  <c r="M57" i="1"/>
  <c r="U57" i="1"/>
  <c r="N57" i="1"/>
  <c r="V57" i="1"/>
  <c r="P57" i="1"/>
  <c r="K57" i="1"/>
  <c r="L57" i="1"/>
  <c r="O57" i="1"/>
  <c r="Q57" i="1"/>
  <c r="R57" i="1"/>
  <c r="T57" i="1"/>
  <c r="S57" i="1"/>
  <c r="AH49" i="1"/>
  <c r="M49" i="1"/>
  <c r="U49" i="1"/>
  <c r="N49" i="1"/>
  <c r="V49" i="1"/>
  <c r="P49" i="1"/>
  <c r="R49" i="1"/>
  <c r="S49" i="1"/>
  <c r="T49" i="1"/>
  <c r="K49" i="1"/>
  <c r="O49" i="1"/>
  <c r="L49" i="1"/>
  <c r="Q49" i="1"/>
  <c r="AH41" i="1"/>
  <c r="R41" i="1"/>
  <c r="M41" i="1"/>
  <c r="U41" i="1"/>
  <c r="N41" i="1"/>
  <c r="V41" i="1"/>
  <c r="P41" i="1"/>
  <c r="O41" i="1"/>
  <c r="Q41" i="1"/>
  <c r="S41" i="1"/>
  <c r="T41" i="1"/>
  <c r="K41" i="1"/>
  <c r="L41" i="1"/>
  <c r="AH33" i="1"/>
  <c r="R33" i="1"/>
  <c r="M33" i="1"/>
  <c r="U33" i="1"/>
  <c r="N33" i="1"/>
  <c r="V33" i="1"/>
  <c r="P33" i="1"/>
  <c r="O33" i="1"/>
  <c r="Q33" i="1"/>
  <c r="S33" i="1"/>
  <c r="T33" i="1"/>
  <c r="K33" i="1"/>
  <c r="L33" i="1"/>
  <c r="AH25" i="1"/>
  <c r="R25" i="1"/>
  <c r="M25" i="1"/>
  <c r="U25" i="1"/>
  <c r="N25" i="1"/>
  <c r="V25" i="1"/>
  <c r="P25" i="1"/>
  <c r="Q25" i="1"/>
  <c r="K25" i="1"/>
  <c r="L25" i="1"/>
  <c r="O25" i="1"/>
  <c r="S25" i="1"/>
  <c r="T25" i="1"/>
  <c r="AH17" i="1"/>
  <c r="R17" i="1"/>
  <c r="M17" i="1"/>
  <c r="U17" i="1"/>
  <c r="N17" i="1"/>
  <c r="V17" i="1"/>
  <c r="P17" i="1"/>
  <c r="Q17" i="1"/>
  <c r="S17" i="1"/>
  <c r="T17" i="1"/>
  <c r="L17" i="1"/>
  <c r="K17" i="1"/>
  <c r="O17" i="1"/>
  <c r="AH9" i="1"/>
  <c r="R9" i="1"/>
  <c r="M9" i="1"/>
  <c r="U9" i="1"/>
  <c r="N9" i="1"/>
  <c r="V9" i="1"/>
  <c r="P9" i="1"/>
  <c r="Q9" i="1"/>
  <c r="K9" i="1"/>
  <c r="L9" i="1"/>
  <c r="O9" i="1"/>
  <c r="S9" i="1"/>
  <c r="T9" i="1"/>
  <c r="U1741" i="1"/>
  <c r="M1741" i="1"/>
  <c r="Q1740" i="1"/>
  <c r="U1739" i="1"/>
  <c r="M1739" i="1"/>
  <c r="Q1738" i="1"/>
  <c r="U1737" i="1"/>
  <c r="M1737" i="1"/>
  <c r="Q1736" i="1"/>
  <c r="U1735" i="1"/>
  <c r="M1735" i="1"/>
  <c r="Q1734" i="1"/>
  <c r="U1733" i="1"/>
  <c r="M1733" i="1"/>
  <c r="Q1732" i="1"/>
  <c r="U1731" i="1"/>
  <c r="M1731" i="1"/>
  <c r="Q1730" i="1"/>
  <c r="U1729" i="1"/>
  <c r="M1729" i="1"/>
  <c r="Q1728" i="1"/>
  <c r="U1727" i="1"/>
  <c r="M1727" i="1"/>
  <c r="Q1726" i="1"/>
  <c r="U1725" i="1"/>
  <c r="M1725" i="1"/>
  <c r="Q1724" i="1"/>
  <c r="U1723" i="1"/>
  <c r="M1723" i="1"/>
  <c r="Q1722" i="1"/>
  <c r="U1721" i="1"/>
  <c r="M1721" i="1"/>
  <c r="Q1720" i="1"/>
  <c r="U1719" i="1"/>
  <c r="M1719" i="1"/>
  <c r="Q1718" i="1"/>
  <c r="U1717" i="1"/>
  <c r="M1717" i="1"/>
  <c r="Q1716" i="1"/>
  <c r="U1715" i="1"/>
  <c r="M1715" i="1"/>
  <c r="Q1714" i="1"/>
  <c r="U1713" i="1"/>
  <c r="M1713" i="1"/>
  <c r="Q1712" i="1"/>
  <c r="U1711" i="1"/>
  <c r="M1711" i="1"/>
  <c r="Q1710" i="1"/>
  <c r="U1709" i="1"/>
  <c r="M1709" i="1"/>
  <c r="O1708" i="1"/>
  <c r="P1707" i="1"/>
  <c r="R1706" i="1"/>
  <c r="R1705" i="1"/>
  <c r="P1703" i="1"/>
  <c r="O1702" i="1"/>
  <c r="O1701" i="1"/>
  <c r="N1700" i="1"/>
  <c r="N1699" i="1"/>
  <c r="L1698" i="1"/>
  <c r="K1697" i="1"/>
  <c r="V1694" i="1"/>
  <c r="V1693" i="1"/>
  <c r="T1692" i="1"/>
  <c r="S1691" i="1"/>
  <c r="S1690" i="1"/>
  <c r="R1689" i="1"/>
  <c r="P1687" i="1"/>
  <c r="O1686" i="1"/>
  <c r="O1685" i="1"/>
  <c r="N1684" i="1"/>
  <c r="N1683" i="1"/>
  <c r="L1682" i="1"/>
  <c r="R1679" i="1"/>
  <c r="N1678" i="1"/>
  <c r="V1676" i="1"/>
  <c r="R1675" i="1"/>
  <c r="N1674" i="1"/>
  <c r="T1670" i="1"/>
  <c r="V1668" i="1"/>
  <c r="O1667" i="1"/>
  <c r="P1665" i="1"/>
  <c r="R1663" i="1"/>
  <c r="K1662" i="1"/>
  <c r="L1660" i="1"/>
  <c r="N1658" i="1"/>
  <c r="T1654" i="1"/>
  <c r="V1652" i="1"/>
  <c r="O1651" i="1"/>
  <c r="P1649" i="1"/>
  <c r="R1647" i="1"/>
  <c r="K1646" i="1"/>
  <c r="L1644" i="1"/>
  <c r="N1642" i="1"/>
  <c r="T1638" i="1"/>
  <c r="V1636" i="1"/>
  <c r="O1635" i="1"/>
  <c r="P1633" i="1"/>
  <c r="R1631" i="1"/>
  <c r="K1630" i="1"/>
  <c r="L1628" i="1"/>
  <c r="P1625" i="1"/>
  <c r="T1622" i="1"/>
  <c r="L1620" i="1"/>
  <c r="P1617" i="1"/>
  <c r="T1614" i="1"/>
  <c r="L1612" i="1"/>
  <c r="P1609" i="1"/>
  <c r="T1606" i="1"/>
  <c r="L1604" i="1"/>
  <c r="P1601" i="1"/>
  <c r="T1598" i="1"/>
  <c r="L1596" i="1"/>
  <c r="P1593" i="1"/>
  <c r="T1590" i="1"/>
  <c r="L1588" i="1"/>
  <c r="P1585" i="1"/>
  <c r="T1582" i="1"/>
  <c r="L1580" i="1"/>
  <c r="P1577" i="1"/>
  <c r="T1574" i="1"/>
  <c r="L1572" i="1"/>
  <c r="P1569" i="1"/>
  <c r="T1566" i="1"/>
  <c r="L1564" i="1"/>
  <c r="P1561" i="1"/>
  <c r="T1558" i="1"/>
  <c r="L1556" i="1"/>
  <c r="P1553" i="1"/>
  <c r="T1550" i="1"/>
  <c r="L1548" i="1"/>
  <c r="P1545" i="1"/>
  <c r="T1542" i="1"/>
  <c r="L1540" i="1"/>
  <c r="P1537" i="1"/>
  <c r="T1534" i="1"/>
  <c r="L1532" i="1"/>
  <c r="P1529" i="1"/>
  <c r="T1526" i="1"/>
  <c r="L1524" i="1"/>
  <c r="P1521" i="1"/>
  <c r="T1518" i="1"/>
  <c r="L1516" i="1"/>
  <c r="P1513" i="1"/>
  <c r="T1510" i="1"/>
  <c r="L1508" i="1"/>
  <c r="P1505" i="1"/>
  <c r="T1502" i="1"/>
  <c r="L1500" i="1"/>
  <c r="P1497" i="1"/>
  <c r="T1494" i="1"/>
  <c r="L1492" i="1"/>
  <c r="P1489" i="1"/>
  <c r="T1486" i="1"/>
  <c r="L1484" i="1"/>
  <c r="P1481" i="1"/>
  <c r="T1478" i="1"/>
  <c r="L1476" i="1"/>
  <c r="P1473" i="1"/>
  <c r="T1470" i="1"/>
  <c r="L1468" i="1"/>
  <c r="P1465" i="1"/>
  <c r="T1462" i="1"/>
  <c r="L1460" i="1"/>
  <c r="P1457" i="1"/>
  <c r="T1454" i="1"/>
  <c r="L1452" i="1"/>
  <c r="P1449" i="1"/>
  <c r="T1446" i="1"/>
  <c r="L1444" i="1"/>
  <c r="P1441" i="1"/>
  <c r="T1438" i="1"/>
  <c r="L1436" i="1"/>
  <c r="P1433" i="1"/>
  <c r="T1430" i="1"/>
  <c r="L1428" i="1"/>
  <c r="P1425" i="1"/>
  <c r="T1422" i="1"/>
  <c r="L1420" i="1"/>
  <c r="P1417" i="1"/>
  <c r="T1414" i="1"/>
  <c r="L1412" i="1"/>
  <c r="P1409" i="1"/>
  <c r="T1406" i="1"/>
  <c r="L1404" i="1"/>
  <c r="P1401" i="1"/>
  <c r="T1398" i="1"/>
  <c r="L1396" i="1"/>
  <c r="P1393" i="1"/>
  <c r="T1390" i="1"/>
  <c r="L1388" i="1"/>
  <c r="P1385" i="1"/>
  <c r="T1382" i="1"/>
  <c r="L1380" i="1"/>
  <c r="P1377" i="1"/>
  <c r="T1374" i="1"/>
  <c r="L1372" i="1"/>
  <c r="P1369" i="1"/>
  <c r="T1366" i="1"/>
  <c r="L1364" i="1"/>
  <c r="P1361" i="1"/>
  <c r="T1358" i="1"/>
  <c r="L1356" i="1"/>
  <c r="P1353" i="1"/>
  <c r="S1350" i="1"/>
  <c r="R1347" i="1"/>
  <c r="U1340" i="1"/>
  <c r="O1337" i="1"/>
  <c r="S1333" i="1"/>
  <c r="M1330" i="1"/>
  <c r="O1326" i="1"/>
  <c r="L1322" i="1"/>
  <c r="Q1317" i="1"/>
  <c r="U1306" i="1"/>
  <c r="Q1301" i="1"/>
  <c r="U1290" i="1"/>
  <c r="Q1285" i="1"/>
  <c r="U1274" i="1"/>
  <c r="K1268" i="1"/>
  <c r="T1260" i="1"/>
  <c r="Q1253" i="1"/>
  <c r="S1246" i="1"/>
  <c r="P1239" i="1"/>
  <c r="O1221" i="1"/>
  <c r="S1210" i="1"/>
  <c r="O1189" i="1"/>
  <c r="S1178" i="1"/>
  <c r="Q1153" i="1"/>
  <c r="N1125" i="1"/>
  <c r="M1068" i="1"/>
  <c r="V1039" i="1"/>
  <c r="O1002" i="1"/>
  <c r="Q921" i="1"/>
  <c r="AH1704" i="1"/>
  <c r="P1704" i="1"/>
  <c r="Q1704" i="1"/>
  <c r="M1704" i="1"/>
  <c r="U1704" i="1"/>
  <c r="AH1696" i="1"/>
  <c r="P1696" i="1"/>
  <c r="Q1696" i="1"/>
  <c r="M1696" i="1"/>
  <c r="U1696" i="1"/>
  <c r="AH1688" i="1"/>
  <c r="P1688" i="1"/>
  <c r="Q1688" i="1"/>
  <c r="M1688" i="1"/>
  <c r="U1688" i="1"/>
  <c r="AH1680" i="1"/>
  <c r="P1680" i="1"/>
  <c r="Q1680" i="1"/>
  <c r="R1680" i="1"/>
  <c r="M1680" i="1"/>
  <c r="U1680" i="1"/>
  <c r="AH1672" i="1"/>
  <c r="O1672" i="1"/>
  <c r="P1672" i="1"/>
  <c r="Q1672" i="1"/>
  <c r="R1672" i="1"/>
  <c r="M1672" i="1"/>
  <c r="U1672" i="1"/>
  <c r="AH1664" i="1"/>
  <c r="O1664" i="1"/>
  <c r="P1664" i="1"/>
  <c r="Q1664" i="1"/>
  <c r="R1664" i="1"/>
  <c r="M1664" i="1"/>
  <c r="U1664" i="1"/>
  <c r="AH1656" i="1"/>
  <c r="O1656" i="1"/>
  <c r="P1656" i="1"/>
  <c r="Q1656" i="1"/>
  <c r="R1656" i="1"/>
  <c r="M1656" i="1"/>
  <c r="U1656" i="1"/>
  <c r="AH1648" i="1"/>
  <c r="O1648" i="1"/>
  <c r="P1648" i="1"/>
  <c r="Q1648" i="1"/>
  <c r="R1648" i="1"/>
  <c r="M1648" i="1"/>
  <c r="U1648" i="1"/>
  <c r="AH1640" i="1"/>
  <c r="O1640" i="1"/>
  <c r="P1640" i="1"/>
  <c r="Q1640" i="1"/>
  <c r="R1640" i="1"/>
  <c r="M1640" i="1"/>
  <c r="U1640" i="1"/>
  <c r="AH1632" i="1"/>
  <c r="O1632" i="1"/>
  <c r="P1632" i="1"/>
  <c r="Q1632" i="1"/>
  <c r="R1632" i="1"/>
  <c r="M1632" i="1"/>
  <c r="U1632" i="1"/>
  <c r="AH1624" i="1"/>
  <c r="O1624" i="1"/>
  <c r="P1624" i="1"/>
  <c r="Q1624" i="1"/>
  <c r="R1624" i="1"/>
  <c r="K1624" i="1"/>
  <c r="S1624" i="1"/>
  <c r="M1624" i="1"/>
  <c r="U1624" i="1"/>
  <c r="AH1616" i="1"/>
  <c r="O1616" i="1"/>
  <c r="P1616" i="1"/>
  <c r="Q1616" i="1"/>
  <c r="R1616" i="1"/>
  <c r="K1616" i="1"/>
  <c r="S1616" i="1"/>
  <c r="M1616" i="1"/>
  <c r="U1616" i="1"/>
  <c r="AH1608" i="1"/>
  <c r="O1608" i="1"/>
  <c r="P1608" i="1"/>
  <c r="Q1608" i="1"/>
  <c r="R1608" i="1"/>
  <c r="K1608" i="1"/>
  <c r="S1608" i="1"/>
  <c r="M1608" i="1"/>
  <c r="U1608" i="1"/>
  <c r="AH1600" i="1"/>
  <c r="O1600" i="1"/>
  <c r="P1600" i="1"/>
  <c r="Q1600" i="1"/>
  <c r="R1600" i="1"/>
  <c r="K1600" i="1"/>
  <c r="S1600" i="1"/>
  <c r="M1600" i="1"/>
  <c r="U1600" i="1"/>
  <c r="AH1592" i="1"/>
  <c r="O1592" i="1"/>
  <c r="P1592" i="1"/>
  <c r="Q1592" i="1"/>
  <c r="R1592" i="1"/>
  <c r="K1592" i="1"/>
  <c r="S1592" i="1"/>
  <c r="M1592" i="1"/>
  <c r="U1592" i="1"/>
  <c r="AH1584" i="1"/>
  <c r="O1584" i="1"/>
  <c r="P1584" i="1"/>
  <c r="Q1584" i="1"/>
  <c r="R1584" i="1"/>
  <c r="K1584" i="1"/>
  <c r="S1584" i="1"/>
  <c r="M1584" i="1"/>
  <c r="U1584" i="1"/>
  <c r="AH1576" i="1"/>
  <c r="O1576" i="1"/>
  <c r="P1576" i="1"/>
  <c r="Q1576" i="1"/>
  <c r="R1576" i="1"/>
  <c r="K1576" i="1"/>
  <c r="S1576" i="1"/>
  <c r="M1576" i="1"/>
  <c r="U1576" i="1"/>
  <c r="AH1568" i="1"/>
  <c r="O1568" i="1"/>
  <c r="P1568" i="1"/>
  <c r="Q1568" i="1"/>
  <c r="R1568" i="1"/>
  <c r="K1568" i="1"/>
  <c r="S1568" i="1"/>
  <c r="M1568" i="1"/>
  <c r="U1568" i="1"/>
  <c r="AH1560" i="1"/>
  <c r="O1560" i="1"/>
  <c r="P1560" i="1"/>
  <c r="Q1560" i="1"/>
  <c r="R1560" i="1"/>
  <c r="K1560" i="1"/>
  <c r="S1560" i="1"/>
  <c r="M1560" i="1"/>
  <c r="U1560" i="1"/>
  <c r="AH1552" i="1"/>
  <c r="O1552" i="1"/>
  <c r="P1552" i="1"/>
  <c r="Q1552" i="1"/>
  <c r="R1552" i="1"/>
  <c r="K1552" i="1"/>
  <c r="S1552" i="1"/>
  <c r="M1552" i="1"/>
  <c r="U1552" i="1"/>
  <c r="AH1544" i="1"/>
  <c r="O1544" i="1"/>
  <c r="P1544" i="1"/>
  <c r="Q1544" i="1"/>
  <c r="R1544" i="1"/>
  <c r="K1544" i="1"/>
  <c r="S1544" i="1"/>
  <c r="M1544" i="1"/>
  <c r="U1544" i="1"/>
  <c r="AH1536" i="1"/>
  <c r="O1536" i="1"/>
  <c r="P1536" i="1"/>
  <c r="Q1536" i="1"/>
  <c r="R1536" i="1"/>
  <c r="K1536" i="1"/>
  <c r="S1536" i="1"/>
  <c r="M1536" i="1"/>
  <c r="U1536" i="1"/>
  <c r="AH1528" i="1"/>
  <c r="O1528" i="1"/>
  <c r="P1528" i="1"/>
  <c r="Q1528" i="1"/>
  <c r="R1528" i="1"/>
  <c r="K1528" i="1"/>
  <c r="S1528" i="1"/>
  <c r="M1528" i="1"/>
  <c r="U1528" i="1"/>
  <c r="AH1520" i="1"/>
  <c r="O1520" i="1"/>
  <c r="P1520" i="1"/>
  <c r="Q1520" i="1"/>
  <c r="R1520" i="1"/>
  <c r="K1520" i="1"/>
  <c r="S1520" i="1"/>
  <c r="M1520" i="1"/>
  <c r="U1520" i="1"/>
  <c r="AH1512" i="1"/>
  <c r="O1512" i="1"/>
  <c r="P1512" i="1"/>
  <c r="Q1512" i="1"/>
  <c r="R1512" i="1"/>
  <c r="K1512" i="1"/>
  <c r="S1512" i="1"/>
  <c r="M1512" i="1"/>
  <c r="U1512" i="1"/>
  <c r="AH1504" i="1"/>
  <c r="O1504" i="1"/>
  <c r="P1504" i="1"/>
  <c r="Q1504" i="1"/>
  <c r="R1504" i="1"/>
  <c r="K1504" i="1"/>
  <c r="S1504" i="1"/>
  <c r="M1504" i="1"/>
  <c r="U1504" i="1"/>
  <c r="AH1496" i="1"/>
  <c r="O1496" i="1"/>
  <c r="P1496" i="1"/>
  <c r="Q1496" i="1"/>
  <c r="R1496" i="1"/>
  <c r="K1496" i="1"/>
  <c r="S1496" i="1"/>
  <c r="M1496" i="1"/>
  <c r="U1496" i="1"/>
  <c r="AH1488" i="1"/>
  <c r="O1488" i="1"/>
  <c r="P1488" i="1"/>
  <c r="Q1488" i="1"/>
  <c r="R1488" i="1"/>
  <c r="K1488" i="1"/>
  <c r="S1488" i="1"/>
  <c r="M1488" i="1"/>
  <c r="U1488" i="1"/>
  <c r="AH1480" i="1"/>
  <c r="O1480" i="1"/>
  <c r="P1480" i="1"/>
  <c r="Q1480" i="1"/>
  <c r="R1480" i="1"/>
  <c r="K1480" i="1"/>
  <c r="S1480" i="1"/>
  <c r="M1480" i="1"/>
  <c r="U1480" i="1"/>
  <c r="AH1472" i="1"/>
  <c r="O1472" i="1"/>
  <c r="P1472" i="1"/>
  <c r="Q1472" i="1"/>
  <c r="R1472" i="1"/>
  <c r="K1472" i="1"/>
  <c r="S1472" i="1"/>
  <c r="M1472" i="1"/>
  <c r="U1472" i="1"/>
  <c r="AH1464" i="1"/>
  <c r="O1464" i="1"/>
  <c r="P1464" i="1"/>
  <c r="Q1464" i="1"/>
  <c r="R1464" i="1"/>
  <c r="K1464" i="1"/>
  <c r="S1464" i="1"/>
  <c r="M1464" i="1"/>
  <c r="U1464" i="1"/>
  <c r="AH1456" i="1"/>
  <c r="O1456" i="1"/>
  <c r="P1456" i="1"/>
  <c r="Q1456" i="1"/>
  <c r="R1456" i="1"/>
  <c r="K1456" i="1"/>
  <c r="S1456" i="1"/>
  <c r="M1456" i="1"/>
  <c r="U1456" i="1"/>
  <c r="AH1448" i="1"/>
  <c r="O1448" i="1"/>
  <c r="P1448" i="1"/>
  <c r="Q1448" i="1"/>
  <c r="R1448" i="1"/>
  <c r="K1448" i="1"/>
  <c r="S1448" i="1"/>
  <c r="M1448" i="1"/>
  <c r="U1448" i="1"/>
  <c r="AH1440" i="1"/>
  <c r="O1440" i="1"/>
  <c r="P1440" i="1"/>
  <c r="Q1440" i="1"/>
  <c r="R1440" i="1"/>
  <c r="K1440" i="1"/>
  <c r="S1440" i="1"/>
  <c r="M1440" i="1"/>
  <c r="U1440" i="1"/>
  <c r="AH1432" i="1"/>
  <c r="O1432" i="1"/>
  <c r="P1432" i="1"/>
  <c r="Q1432" i="1"/>
  <c r="R1432" i="1"/>
  <c r="K1432" i="1"/>
  <c r="S1432" i="1"/>
  <c r="M1432" i="1"/>
  <c r="U1432" i="1"/>
  <c r="AH1424" i="1"/>
  <c r="O1424" i="1"/>
  <c r="P1424" i="1"/>
  <c r="Q1424" i="1"/>
  <c r="R1424" i="1"/>
  <c r="K1424" i="1"/>
  <c r="S1424" i="1"/>
  <c r="M1424" i="1"/>
  <c r="U1424" i="1"/>
  <c r="AH1416" i="1"/>
  <c r="O1416" i="1"/>
  <c r="P1416" i="1"/>
  <c r="Q1416" i="1"/>
  <c r="R1416" i="1"/>
  <c r="K1416" i="1"/>
  <c r="S1416" i="1"/>
  <c r="M1416" i="1"/>
  <c r="U1416" i="1"/>
  <c r="AH1408" i="1"/>
  <c r="O1408" i="1"/>
  <c r="P1408" i="1"/>
  <c r="Q1408" i="1"/>
  <c r="R1408" i="1"/>
  <c r="K1408" i="1"/>
  <c r="S1408" i="1"/>
  <c r="M1408" i="1"/>
  <c r="U1408" i="1"/>
  <c r="AH1400" i="1"/>
  <c r="O1400" i="1"/>
  <c r="P1400" i="1"/>
  <c r="Q1400" i="1"/>
  <c r="R1400" i="1"/>
  <c r="K1400" i="1"/>
  <c r="S1400" i="1"/>
  <c r="M1400" i="1"/>
  <c r="U1400" i="1"/>
  <c r="AH1392" i="1"/>
  <c r="O1392" i="1"/>
  <c r="P1392" i="1"/>
  <c r="Q1392" i="1"/>
  <c r="R1392" i="1"/>
  <c r="K1392" i="1"/>
  <c r="S1392" i="1"/>
  <c r="M1392" i="1"/>
  <c r="U1392" i="1"/>
  <c r="AH1384" i="1"/>
  <c r="O1384" i="1"/>
  <c r="P1384" i="1"/>
  <c r="Q1384" i="1"/>
  <c r="R1384" i="1"/>
  <c r="K1384" i="1"/>
  <c r="S1384" i="1"/>
  <c r="M1384" i="1"/>
  <c r="U1384" i="1"/>
  <c r="AH1376" i="1"/>
  <c r="O1376" i="1"/>
  <c r="P1376" i="1"/>
  <c r="Q1376" i="1"/>
  <c r="R1376" i="1"/>
  <c r="K1376" i="1"/>
  <c r="S1376" i="1"/>
  <c r="M1376" i="1"/>
  <c r="U1376" i="1"/>
  <c r="AH1368" i="1"/>
  <c r="O1368" i="1"/>
  <c r="P1368" i="1"/>
  <c r="Q1368" i="1"/>
  <c r="R1368" i="1"/>
  <c r="K1368" i="1"/>
  <c r="S1368" i="1"/>
  <c r="M1368" i="1"/>
  <c r="U1368" i="1"/>
  <c r="AH1360" i="1"/>
  <c r="O1360" i="1"/>
  <c r="P1360" i="1"/>
  <c r="Q1360" i="1"/>
  <c r="R1360" i="1"/>
  <c r="K1360" i="1"/>
  <c r="S1360" i="1"/>
  <c r="M1360" i="1"/>
  <c r="U1360" i="1"/>
  <c r="AH1352" i="1"/>
  <c r="O1352" i="1"/>
  <c r="P1352" i="1"/>
  <c r="Q1352" i="1"/>
  <c r="R1352" i="1"/>
  <c r="K1352" i="1"/>
  <c r="S1352" i="1"/>
  <c r="M1352" i="1"/>
  <c r="U1352" i="1"/>
  <c r="AH1344" i="1"/>
  <c r="P1344" i="1"/>
  <c r="R1344" i="1"/>
  <c r="T1344" i="1"/>
  <c r="K1344" i="1"/>
  <c r="U1344" i="1"/>
  <c r="L1344" i="1"/>
  <c r="V1344" i="1"/>
  <c r="M1344" i="1"/>
  <c r="N1344" i="1"/>
  <c r="Q1344" i="1"/>
  <c r="AH1336" i="1"/>
  <c r="P1336" i="1"/>
  <c r="R1336" i="1"/>
  <c r="T1336" i="1"/>
  <c r="K1336" i="1"/>
  <c r="U1336" i="1"/>
  <c r="L1336" i="1"/>
  <c r="V1336" i="1"/>
  <c r="M1336" i="1"/>
  <c r="N1336" i="1"/>
  <c r="Q1336" i="1"/>
  <c r="AH1328" i="1"/>
  <c r="P1328" i="1"/>
  <c r="R1328" i="1"/>
  <c r="T1328" i="1"/>
  <c r="K1328" i="1"/>
  <c r="U1328" i="1"/>
  <c r="L1328" i="1"/>
  <c r="V1328" i="1"/>
  <c r="M1328" i="1"/>
  <c r="N1328" i="1"/>
  <c r="Q1328" i="1"/>
  <c r="AH1320" i="1"/>
  <c r="N1320" i="1"/>
  <c r="V1320" i="1"/>
  <c r="P1320" i="1"/>
  <c r="R1320" i="1"/>
  <c r="O1320" i="1"/>
  <c r="Q1320" i="1"/>
  <c r="S1320" i="1"/>
  <c r="T1320" i="1"/>
  <c r="U1320" i="1"/>
  <c r="L1320" i="1"/>
  <c r="AH1312" i="1"/>
  <c r="N1312" i="1"/>
  <c r="V1312" i="1"/>
  <c r="P1312" i="1"/>
  <c r="Q1312" i="1"/>
  <c r="R1312" i="1"/>
  <c r="T1312" i="1"/>
  <c r="U1312" i="1"/>
  <c r="K1312" i="1"/>
  <c r="L1312" i="1"/>
  <c r="O1312" i="1"/>
  <c r="AH1304" i="1"/>
  <c r="N1304" i="1"/>
  <c r="V1304" i="1"/>
  <c r="P1304" i="1"/>
  <c r="Q1304" i="1"/>
  <c r="R1304" i="1"/>
  <c r="T1304" i="1"/>
  <c r="U1304" i="1"/>
  <c r="K1304" i="1"/>
  <c r="L1304" i="1"/>
  <c r="O1304" i="1"/>
  <c r="AH1296" i="1"/>
  <c r="N1296" i="1"/>
  <c r="V1296" i="1"/>
  <c r="P1296" i="1"/>
  <c r="Q1296" i="1"/>
  <c r="R1296" i="1"/>
  <c r="T1296" i="1"/>
  <c r="U1296" i="1"/>
  <c r="K1296" i="1"/>
  <c r="L1296" i="1"/>
  <c r="O1296" i="1"/>
  <c r="AH1288" i="1"/>
  <c r="N1288" i="1"/>
  <c r="V1288" i="1"/>
  <c r="P1288" i="1"/>
  <c r="Q1288" i="1"/>
  <c r="R1288" i="1"/>
  <c r="T1288" i="1"/>
  <c r="U1288" i="1"/>
  <c r="K1288" i="1"/>
  <c r="L1288" i="1"/>
  <c r="O1288" i="1"/>
  <c r="AH1280" i="1"/>
  <c r="N1280" i="1"/>
  <c r="V1280" i="1"/>
  <c r="P1280" i="1"/>
  <c r="Q1280" i="1"/>
  <c r="R1280" i="1"/>
  <c r="T1280" i="1"/>
  <c r="U1280" i="1"/>
  <c r="K1280" i="1"/>
  <c r="L1280" i="1"/>
  <c r="O1280" i="1"/>
  <c r="AH1272" i="1"/>
  <c r="N1272" i="1"/>
  <c r="V1272" i="1"/>
  <c r="O1272" i="1"/>
  <c r="P1272" i="1"/>
  <c r="Q1272" i="1"/>
  <c r="R1272" i="1"/>
  <c r="L1272" i="1"/>
  <c r="M1272" i="1"/>
  <c r="S1272" i="1"/>
  <c r="T1272" i="1"/>
  <c r="U1272" i="1"/>
  <c r="AH1264" i="1"/>
  <c r="N1264" i="1"/>
  <c r="V1264" i="1"/>
  <c r="O1264" i="1"/>
  <c r="P1264" i="1"/>
  <c r="Q1264" i="1"/>
  <c r="R1264" i="1"/>
  <c r="U1264" i="1"/>
  <c r="K1264" i="1"/>
  <c r="L1264" i="1"/>
  <c r="S1264" i="1"/>
  <c r="AH1256" i="1"/>
  <c r="N1256" i="1"/>
  <c r="V1256" i="1"/>
  <c r="O1256" i="1"/>
  <c r="P1256" i="1"/>
  <c r="Q1256" i="1"/>
  <c r="R1256" i="1"/>
  <c r="L1256" i="1"/>
  <c r="M1256" i="1"/>
  <c r="S1256" i="1"/>
  <c r="T1256" i="1"/>
  <c r="U1256" i="1"/>
  <c r="AH1248" i="1"/>
  <c r="N1248" i="1"/>
  <c r="V1248" i="1"/>
  <c r="O1248" i="1"/>
  <c r="P1248" i="1"/>
  <c r="Q1248" i="1"/>
  <c r="R1248" i="1"/>
  <c r="U1248" i="1"/>
  <c r="K1248" i="1"/>
  <c r="L1248" i="1"/>
  <c r="S1248" i="1"/>
  <c r="AH1240" i="1"/>
  <c r="N1240" i="1"/>
  <c r="V1240" i="1"/>
  <c r="O1240" i="1"/>
  <c r="P1240" i="1"/>
  <c r="Q1240" i="1"/>
  <c r="R1240" i="1"/>
  <c r="L1240" i="1"/>
  <c r="M1240" i="1"/>
  <c r="S1240" i="1"/>
  <c r="T1240" i="1"/>
  <c r="U1240" i="1"/>
  <c r="AH1232" i="1"/>
  <c r="M1232" i="1"/>
  <c r="U1232" i="1"/>
  <c r="N1232" i="1"/>
  <c r="V1232" i="1"/>
  <c r="O1232" i="1"/>
  <c r="P1232" i="1"/>
  <c r="Q1232" i="1"/>
  <c r="R1232" i="1"/>
  <c r="T1232" i="1"/>
  <c r="L1232" i="1"/>
  <c r="AH1224" i="1"/>
  <c r="M1224" i="1"/>
  <c r="U1224" i="1"/>
  <c r="N1224" i="1"/>
  <c r="V1224" i="1"/>
  <c r="O1224" i="1"/>
  <c r="P1224" i="1"/>
  <c r="Q1224" i="1"/>
  <c r="R1224" i="1"/>
  <c r="T1224" i="1"/>
  <c r="L1224" i="1"/>
  <c r="AH1216" i="1"/>
  <c r="M1216" i="1"/>
  <c r="U1216" i="1"/>
  <c r="N1216" i="1"/>
  <c r="V1216" i="1"/>
  <c r="O1216" i="1"/>
  <c r="P1216" i="1"/>
  <c r="Q1216" i="1"/>
  <c r="R1216" i="1"/>
  <c r="T1216" i="1"/>
  <c r="L1216" i="1"/>
  <c r="AH1208" i="1"/>
  <c r="M1208" i="1"/>
  <c r="U1208" i="1"/>
  <c r="N1208" i="1"/>
  <c r="V1208" i="1"/>
  <c r="O1208" i="1"/>
  <c r="P1208" i="1"/>
  <c r="Q1208" i="1"/>
  <c r="R1208" i="1"/>
  <c r="T1208" i="1"/>
  <c r="L1208" i="1"/>
  <c r="AH1200" i="1"/>
  <c r="M1200" i="1"/>
  <c r="U1200" i="1"/>
  <c r="N1200" i="1"/>
  <c r="V1200" i="1"/>
  <c r="O1200" i="1"/>
  <c r="P1200" i="1"/>
  <c r="Q1200" i="1"/>
  <c r="R1200" i="1"/>
  <c r="T1200" i="1"/>
  <c r="L1200" i="1"/>
  <c r="AH1192" i="1"/>
  <c r="M1192" i="1"/>
  <c r="U1192" i="1"/>
  <c r="N1192" i="1"/>
  <c r="V1192" i="1"/>
  <c r="O1192" i="1"/>
  <c r="P1192" i="1"/>
  <c r="Q1192" i="1"/>
  <c r="R1192" i="1"/>
  <c r="T1192" i="1"/>
  <c r="L1192" i="1"/>
  <c r="AH1184" i="1"/>
  <c r="M1184" i="1"/>
  <c r="U1184" i="1"/>
  <c r="N1184" i="1"/>
  <c r="V1184" i="1"/>
  <c r="O1184" i="1"/>
  <c r="P1184" i="1"/>
  <c r="Q1184" i="1"/>
  <c r="R1184" i="1"/>
  <c r="T1184" i="1"/>
  <c r="L1184" i="1"/>
  <c r="AH1176" i="1"/>
  <c r="N1176" i="1"/>
  <c r="V1176" i="1"/>
  <c r="O1176" i="1"/>
  <c r="P1176" i="1"/>
  <c r="L1176" i="1"/>
  <c r="T1176" i="1"/>
  <c r="Q1176" i="1"/>
  <c r="R1176" i="1"/>
  <c r="S1176" i="1"/>
  <c r="U1176" i="1"/>
  <c r="M1176" i="1"/>
  <c r="AH1168" i="1"/>
  <c r="N1168" i="1"/>
  <c r="V1168" i="1"/>
  <c r="O1168" i="1"/>
  <c r="P1168" i="1"/>
  <c r="Q1168" i="1"/>
  <c r="L1168" i="1"/>
  <c r="T1168" i="1"/>
  <c r="M1168" i="1"/>
  <c r="R1168" i="1"/>
  <c r="S1168" i="1"/>
  <c r="U1168" i="1"/>
  <c r="K1168" i="1"/>
  <c r="AH1160" i="1"/>
  <c r="N1160" i="1"/>
  <c r="V1160" i="1"/>
  <c r="O1160" i="1"/>
  <c r="P1160" i="1"/>
  <c r="Q1160" i="1"/>
  <c r="L1160" i="1"/>
  <c r="T1160" i="1"/>
  <c r="K1160" i="1"/>
  <c r="M1160" i="1"/>
  <c r="R1160" i="1"/>
  <c r="U1160" i="1"/>
  <c r="AH1152" i="1"/>
  <c r="N1152" i="1"/>
  <c r="V1152" i="1"/>
  <c r="O1152" i="1"/>
  <c r="P1152" i="1"/>
  <c r="Q1152" i="1"/>
  <c r="L1152" i="1"/>
  <c r="T1152" i="1"/>
  <c r="M1152" i="1"/>
  <c r="R1152" i="1"/>
  <c r="S1152" i="1"/>
  <c r="U1152" i="1"/>
  <c r="K1152" i="1"/>
  <c r="AH1144" i="1"/>
  <c r="N1144" i="1"/>
  <c r="V1144" i="1"/>
  <c r="O1144" i="1"/>
  <c r="P1144" i="1"/>
  <c r="Q1144" i="1"/>
  <c r="L1144" i="1"/>
  <c r="T1144" i="1"/>
  <c r="K1144" i="1"/>
  <c r="M1144" i="1"/>
  <c r="R1144" i="1"/>
  <c r="S1144" i="1"/>
  <c r="U1144" i="1"/>
  <c r="AH1136" i="1"/>
  <c r="N1136" i="1"/>
  <c r="V1136" i="1"/>
  <c r="O1136" i="1"/>
  <c r="P1136" i="1"/>
  <c r="Q1136" i="1"/>
  <c r="L1136" i="1"/>
  <c r="T1136" i="1"/>
  <c r="M1136" i="1"/>
  <c r="R1136" i="1"/>
  <c r="S1136" i="1"/>
  <c r="U1136" i="1"/>
  <c r="K1136" i="1"/>
  <c r="AH1128" i="1"/>
  <c r="N1128" i="1"/>
  <c r="V1128" i="1"/>
  <c r="O1128" i="1"/>
  <c r="P1128" i="1"/>
  <c r="Q1128" i="1"/>
  <c r="L1128" i="1"/>
  <c r="T1128" i="1"/>
  <c r="K1128" i="1"/>
  <c r="M1128" i="1"/>
  <c r="R1128" i="1"/>
  <c r="S1128" i="1"/>
  <c r="U1128" i="1"/>
  <c r="AH1120" i="1"/>
  <c r="N1120" i="1"/>
  <c r="V1120" i="1"/>
  <c r="O1120" i="1"/>
  <c r="P1120" i="1"/>
  <c r="Q1120" i="1"/>
  <c r="L1120" i="1"/>
  <c r="T1120" i="1"/>
  <c r="M1120" i="1"/>
  <c r="R1120" i="1"/>
  <c r="S1120" i="1"/>
  <c r="U1120" i="1"/>
  <c r="K1120" i="1"/>
  <c r="AH1112" i="1"/>
  <c r="N1112" i="1"/>
  <c r="V1112" i="1"/>
  <c r="O1112" i="1"/>
  <c r="P1112" i="1"/>
  <c r="Q1112" i="1"/>
  <c r="L1112" i="1"/>
  <c r="T1112" i="1"/>
  <c r="K1112" i="1"/>
  <c r="M1112" i="1"/>
  <c r="R1112" i="1"/>
  <c r="U1112" i="1"/>
  <c r="AH1104" i="1"/>
  <c r="N1104" i="1"/>
  <c r="V1104" i="1"/>
  <c r="O1104" i="1"/>
  <c r="P1104" i="1"/>
  <c r="Q1104" i="1"/>
  <c r="L1104" i="1"/>
  <c r="T1104" i="1"/>
  <c r="M1104" i="1"/>
  <c r="R1104" i="1"/>
  <c r="S1104" i="1"/>
  <c r="U1104" i="1"/>
  <c r="K1104" i="1"/>
  <c r="AH1096" i="1"/>
  <c r="N1096" i="1"/>
  <c r="V1096" i="1"/>
  <c r="O1096" i="1"/>
  <c r="P1096" i="1"/>
  <c r="Q1096" i="1"/>
  <c r="L1096" i="1"/>
  <c r="T1096" i="1"/>
  <c r="K1096" i="1"/>
  <c r="M1096" i="1"/>
  <c r="R1096" i="1"/>
  <c r="U1096" i="1"/>
  <c r="AH1088" i="1"/>
  <c r="N1088" i="1"/>
  <c r="V1088" i="1"/>
  <c r="O1088" i="1"/>
  <c r="P1088" i="1"/>
  <c r="Q1088" i="1"/>
  <c r="L1088" i="1"/>
  <c r="T1088" i="1"/>
  <c r="M1088" i="1"/>
  <c r="R1088" i="1"/>
  <c r="S1088" i="1"/>
  <c r="U1088" i="1"/>
  <c r="K1088" i="1"/>
  <c r="AH1080" i="1"/>
  <c r="N1080" i="1"/>
  <c r="V1080" i="1"/>
  <c r="O1080" i="1"/>
  <c r="P1080" i="1"/>
  <c r="Q1080" i="1"/>
  <c r="L1080" i="1"/>
  <c r="T1080" i="1"/>
  <c r="K1080" i="1"/>
  <c r="M1080" i="1"/>
  <c r="R1080" i="1"/>
  <c r="S1080" i="1"/>
  <c r="U1080" i="1"/>
  <c r="AH1072" i="1"/>
  <c r="N1072" i="1"/>
  <c r="V1072" i="1"/>
  <c r="O1072" i="1"/>
  <c r="P1072" i="1"/>
  <c r="Q1072" i="1"/>
  <c r="L1072" i="1"/>
  <c r="T1072" i="1"/>
  <c r="M1072" i="1"/>
  <c r="R1072" i="1"/>
  <c r="S1072" i="1"/>
  <c r="U1072" i="1"/>
  <c r="K1072" i="1"/>
  <c r="AH1064" i="1"/>
  <c r="N1064" i="1"/>
  <c r="V1064" i="1"/>
  <c r="O1064" i="1"/>
  <c r="P1064" i="1"/>
  <c r="Q1064" i="1"/>
  <c r="L1064" i="1"/>
  <c r="T1064" i="1"/>
  <c r="K1064" i="1"/>
  <c r="M1064" i="1"/>
  <c r="R1064" i="1"/>
  <c r="S1064" i="1"/>
  <c r="U1064" i="1"/>
  <c r="AH1056" i="1"/>
  <c r="N1056" i="1"/>
  <c r="V1056" i="1"/>
  <c r="O1056" i="1"/>
  <c r="P1056" i="1"/>
  <c r="Q1056" i="1"/>
  <c r="L1056" i="1"/>
  <c r="T1056" i="1"/>
  <c r="M1056" i="1"/>
  <c r="R1056" i="1"/>
  <c r="S1056" i="1"/>
  <c r="U1056" i="1"/>
  <c r="K1056" i="1"/>
  <c r="AH1048" i="1"/>
  <c r="N1048" i="1"/>
  <c r="V1048" i="1"/>
  <c r="O1048" i="1"/>
  <c r="P1048" i="1"/>
  <c r="Q1048" i="1"/>
  <c r="L1048" i="1"/>
  <c r="T1048" i="1"/>
  <c r="K1048" i="1"/>
  <c r="M1048" i="1"/>
  <c r="R1048" i="1"/>
  <c r="U1048" i="1"/>
  <c r="AH1040" i="1"/>
  <c r="N1040" i="1"/>
  <c r="V1040" i="1"/>
  <c r="O1040" i="1"/>
  <c r="P1040" i="1"/>
  <c r="Q1040" i="1"/>
  <c r="L1040" i="1"/>
  <c r="T1040" i="1"/>
  <c r="M1040" i="1"/>
  <c r="R1040" i="1"/>
  <c r="S1040" i="1"/>
  <c r="U1040" i="1"/>
  <c r="K1040" i="1"/>
  <c r="AH1032" i="1"/>
  <c r="L1032" i="1"/>
  <c r="T1032" i="1"/>
  <c r="K1032" i="1"/>
  <c r="U1032" i="1"/>
  <c r="M1032" i="1"/>
  <c r="V1032" i="1"/>
  <c r="N1032" i="1"/>
  <c r="O1032" i="1"/>
  <c r="R1032" i="1"/>
  <c r="P1032" i="1"/>
  <c r="S1032" i="1"/>
  <c r="AH1024" i="1"/>
  <c r="L1024" i="1"/>
  <c r="T1024" i="1"/>
  <c r="P1024" i="1"/>
  <c r="Q1024" i="1"/>
  <c r="R1024" i="1"/>
  <c r="S1024" i="1"/>
  <c r="N1024" i="1"/>
  <c r="V1024" i="1"/>
  <c r="K1024" i="1"/>
  <c r="M1024" i="1"/>
  <c r="U1024" i="1"/>
  <c r="AH1016" i="1"/>
  <c r="L1016" i="1"/>
  <c r="T1016" i="1"/>
  <c r="K1016" i="1"/>
  <c r="U1016" i="1"/>
  <c r="M1016" i="1"/>
  <c r="V1016" i="1"/>
  <c r="N1016" i="1"/>
  <c r="O1016" i="1"/>
  <c r="R1016" i="1"/>
  <c r="S1016" i="1"/>
  <c r="Q1016" i="1"/>
  <c r="AH1008" i="1"/>
  <c r="P1008" i="1"/>
  <c r="R1008" i="1"/>
  <c r="K1008" i="1"/>
  <c r="S1008" i="1"/>
  <c r="L1008" i="1"/>
  <c r="T1008" i="1"/>
  <c r="N1008" i="1"/>
  <c r="O1008" i="1"/>
  <c r="Q1008" i="1"/>
  <c r="U1008" i="1"/>
  <c r="M1008" i="1"/>
  <c r="V1008" i="1"/>
  <c r="AH1000" i="1"/>
  <c r="P1000" i="1"/>
  <c r="R1000" i="1"/>
  <c r="K1000" i="1"/>
  <c r="S1000" i="1"/>
  <c r="L1000" i="1"/>
  <c r="T1000" i="1"/>
  <c r="N1000" i="1"/>
  <c r="O1000" i="1"/>
  <c r="Q1000" i="1"/>
  <c r="U1000" i="1"/>
  <c r="M1000" i="1"/>
  <c r="V1000" i="1"/>
  <c r="AH992" i="1"/>
  <c r="P992" i="1"/>
  <c r="R992" i="1"/>
  <c r="K992" i="1"/>
  <c r="S992" i="1"/>
  <c r="L992" i="1"/>
  <c r="T992" i="1"/>
  <c r="N992" i="1"/>
  <c r="O992" i="1"/>
  <c r="Q992" i="1"/>
  <c r="U992" i="1"/>
  <c r="V992" i="1"/>
  <c r="M992" i="1"/>
  <c r="AH984" i="1"/>
  <c r="P984" i="1"/>
  <c r="R984" i="1"/>
  <c r="K984" i="1"/>
  <c r="S984" i="1"/>
  <c r="L984" i="1"/>
  <c r="T984" i="1"/>
  <c r="N984" i="1"/>
  <c r="O984" i="1"/>
  <c r="Q984" i="1"/>
  <c r="U984" i="1"/>
  <c r="M984" i="1"/>
  <c r="V984" i="1"/>
  <c r="AH976" i="1"/>
  <c r="P976" i="1"/>
  <c r="R976" i="1"/>
  <c r="K976" i="1"/>
  <c r="S976" i="1"/>
  <c r="L976" i="1"/>
  <c r="T976" i="1"/>
  <c r="N976" i="1"/>
  <c r="O976" i="1"/>
  <c r="Q976" i="1"/>
  <c r="U976" i="1"/>
  <c r="M976" i="1"/>
  <c r="V976" i="1"/>
  <c r="AH968" i="1"/>
  <c r="O968" i="1"/>
  <c r="P968" i="1"/>
  <c r="Q968" i="1"/>
  <c r="R968" i="1"/>
  <c r="K968" i="1"/>
  <c r="S968" i="1"/>
  <c r="L968" i="1"/>
  <c r="T968" i="1"/>
  <c r="M968" i="1"/>
  <c r="V968" i="1"/>
  <c r="N968" i="1"/>
  <c r="U968" i="1"/>
  <c r="AH960" i="1"/>
  <c r="O960" i="1"/>
  <c r="P960" i="1"/>
  <c r="Q960" i="1"/>
  <c r="R960" i="1"/>
  <c r="K960" i="1"/>
  <c r="S960" i="1"/>
  <c r="L960" i="1"/>
  <c r="T960" i="1"/>
  <c r="M960" i="1"/>
  <c r="V960" i="1"/>
  <c r="N960" i="1"/>
  <c r="U960" i="1"/>
  <c r="AH952" i="1"/>
  <c r="O952" i="1"/>
  <c r="P952" i="1"/>
  <c r="Q952" i="1"/>
  <c r="R952" i="1"/>
  <c r="K952" i="1"/>
  <c r="S952" i="1"/>
  <c r="L952" i="1"/>
  <c r="T952" i="1"/>
  <c r="M952" i="1"/>
  <c r="V952" i="1"/>
  <c r="N952" i="1"/>
  <c r="U952" i="1"/>
  <c r="AH944" i="1"/>
  <c r="O944" i="1"/>
  <c r="P944" i="1"/>
  <c r="Q944" i="1"/>
  <c r="R944" i="1"/>
  <c r="K944" i="1"/>
  <c r="S944" i="1"/>
  <c r="L944" i="1"/>
  <c r="T944" i="1"/>
  <c r="M944" i="1"/>
  <c r="V944" i="1"/>
  <c r="U944" i="1"/>
  <c r="N944" i="1"/>
  <c r="AH936" i="1"/>
  <c r="O936" i="1"/>
  <c r="P936" i="1"/>
  <c r="Q936" i="1"/>
  <c r="R936" i="1"/>
  <c r="K936" i="1"/>
  <c r="S936" i="1"/>
  <c r="L936" i="1"/>
  <c r="T936" i="1"/>
  <c r="M936" i="1"/>
  <c r="V936" i="1"/>
  <c r="N936" i="1"/>
  <c r="U936" i="1"/>
  <c r="AH928" i="1"/>
  <c r="O928" i="1"/>
  <c r="P928" i="1"/>
  <c r="Q928" i="1"/>
  <c r="R928" i="1"/>
  <c r="K928" i="1"/>
  <c r="S928" i="1"/>
  <c r="L928" i="1"/>
  <c r="T928" i="1"/>
  <c r="M928" i="1"/>
  <c r="V928" i="1"/>
  <c r="N928" i="1"/>
  <c r="AH920" i="1"/>
  <c r="O920" i="1"/>
  <c r="P920" i="1"/>
  <c r="Q920" i="1"/>
  <c r="R920" i="1"/>
  <c r="K920" i="1"/>
  <c r="S920" i="1"/>
  <c r="L920" i="1"/>
  <c r="T920" i="1"/>
  <c r="M920" i="1"/>
  <c r="V920" i="1"/>
  <c r="N920" i="1"/>
  <c r="U920" i="1"/>
  <c r="AH912" i="1"/>
  <c r="O912" i="1"/>
  <c r="P912" i="1"/>
  <c r="Q912" i="1"/>
  <c r="R912" i="1"/>
  <c r="K912" i="1"/>
  <c r="S912" i="1"/>
  <c r="L912" i="1"/>
  <c r="T912" i="1"/>
  <c r="M912" i="1"/>
  <c r="V912" i="1"/>
  <c r="N912" i="1"/>
  <c r="U912" i="1"/>
  <c r="AH904" i="1"/>
  <c r="O904" i="1"/>
  <c r="P904" i="1"/>
  <c r="Q904" i="1"/>
  <c r="R904" i="1"/>
  <c r="K904" i="1"/>
  <c r="S904" i="1"/>
  <c r="L904" i="1"/>
  <c r="T904" i="1"/>
  <c r="M904" i="1"/>
  <c r="V904" i="1"/>
  <c r="N904" i="1"/>
  <c r="U904" i="1"/>
  <c r="AH896" i="1"/>
  <c r="O896" i="1"/>
  <c r="P896" i="1"/>
  <c r="Q896" i="1"/>
  <c r="R896" i="1"/>
  <c r="K896" i="1"/>
  <c r="S896" i="1"/>
  <c r="L896" i="1"/>
  <c r="T896" i="1"/>
  <c r="M896" i="1"/>
  <c r="V896" i="1"/>
  <c r="N896" i="1"/>
  <c r="U896" i="1"/>
  <c r="AH888" i="1"/>
  <c r="O888" i="1"/>
  <c r="P888" i="1"/>
  <c r="Q888" i="1"/>
  <c r="R888" i="1"/>
  <c r="K888" i="1"/>
  <c r="S888" i="1"/>
  <c r="L888" i="1"/>
  <c r="T888" i="1"/>
  <c r="M888" i="1"/>
  <c r="V888" i="1"/>
  <c r="N888" i="1"/>
  <c r="U888" i="1"/>
  <c r="AH880" i="1"/>
  <c r="O880" i="1"/>
  <c r="P880" i="1"/>
  <c r="Q880" i="1"/>
  <c r="R880" i="1"/>
  <c r="K880" i="1"/>
  <c r="S880" i="1"/>
  <c r="L880" i="1"/>
  <c r="T880" i="1"/>
  <c r="M880" i="1"/>
  <c r="V880" i="1"/>
  <c r="U880" i="1"/>
  <c r="N880" i="1"/>
  <c r="AH872" i="1"/>
  <c r="O872" i="1"/>
  <c r="P872" i="1"/>
  <c r="Q872" i="1"/>
  <c r="R872" i="1"/>
  <c r="K872" i="1"/>
  <c r="S872" i="1"/>
  <c r="L872" i="1"/>
  <c r="T872" i="1"/>
  <c r="M872" i="1"/>
  <c r="V872" i="1"/>
  <c r="U872" i="1"/>
  <c r="AH864" i="1"/>
  <c r="Q864" i="1"/>
  <c r="N864" i="1"/>
  <c r="V864" i="1"/>
  <c r="L864" i="1"/>
  <c r="M864" i="1"/>
  <c r="O864" i="1"/>
  <c r="P864" i="1"/>
  <c r="R864" i="1"/>
  <c r="S864" i="1"/>
  <c r="K864" i="1"/>
  <c r="T864" i="1"/>
  <c r="U864" i="1"/>
  <c r="AH856" i="1"/>
  <c r="Q856" i="1"/>
  <c r="N856" i="1"/>
  <c r="V856" i="1"/>
  <c r="L856" i="1"/>
  <c r="M856" i="1"/>
  <c r="O856" i="1"/>
  <c r="P856" i="1"/>
  <c r="R856" i="1"/>
  <c r="S856" i="1"/>
  <c r="U856" i="1"/>
  <c r="K856" i="1"/>
  <c r="T856" i="1"/>
  <c r="AH848" i="1"/>
  <c r="Q848" i="1"/>
  <c r="N848" i="1"/>
  <c r="V848" i="1"/>
  <c r="L848" i="1"/>
  <c r="M848" i="1"/>
  <c r="O848" i="1"/>
  <c r="P848" i="1"/>
  <c r="R848" i="1"/>
  <c r="S848" i="1"/>
  <c r="U848" i="1"/>
  <c r="K848" i="1"/>
  <c r="T848" i="1"/>
  <c r="AH840" i="1"/>
  <c r="Q840" i="1"/>
  <c r="R840" i="1"/>
  <c r="N840" i="1"/>
  <c r="V840" i="1"/>
  <c r="K840" i="1"/>
  <c r="L840" i="1"/>
  <c r="M840" i="1"/>
  <c r="O840" i="1"/>
  <c r="P840" i="1"/>
  <c r="S840" i="1"/>
  <c r="U840" i="1"/>
  <c r="T840" i="1"/>
  <c r="AH832" i="1"/>
  <c r="Q832" i="1"/>
  <c r="R832" i="1"/>
  <c r="M832" i="1"/>
  <c r="U832" i="1"/>
  <c r="N832" i="1"/>
  <c r="V832" i="1"/>
  <c r="K832" i="1"/>
  <c r="L832" i="1"/>
  <c r="O832" i="1"/>
  <c r="P832" i="1"/>
  <c r="S832" i="1"/>
  <c r="T832" i="1"/>
  <c r="AH824" i="1"/>
  <c r="Q824" i="1"/>
  <c r="R824" i="1"/>
  <c r="M824" i="1"/>
  <c r="U824" i="1"/>
  <c r="N824" i="1"/>
  <c r="V824" i="1"/>
  <c r="K824" i="1"/>
  <c r="L824" i="1"/>
  <c r="O824" i="1"/>
  <c r="P824" i="1"/>
  <c r="S824" i="1"/>
  <c r="T824" i="1"/>
  <c r="AH816" i="1"/>
  <c r="Q816" i="1"/>
  <c r="R816" i="1"/>
  <c r="M816" i="1"/>
  <c r="U816" i="1"/>
  <c r="N816" i="1"/>
  <c r="V816" i="1"/>
  <c r="K816" i="1"/>
  <c r="L816" i="1"/>
  <c r="O816" i="1"/>
  <c r="P816" i="1"/>
  <c r="S816" i="1"/>
  <c r="T816" i="1"/>
  <c r="AH808" i="1"/>
  <c r="Q808" i="1"/>
  <c r="R808" i="1"/>
  <c r="K808" i="1"/>
  <c r="S808" i="1"/>
  <c r="M808" i="1"/>
  <c r="U808" i="1"/>
  <c r="N808" i="1"/>
  <c r="V808" i="1"/>
  <c r="L808" i="1"/>
  <c r="O808" i="1"/>
  <c r="P808" i="1"/>
  <c r="T808" i="1"/>
  <c r="AH800" i="1"/>
  <c r="Q800" i="1"/>
  <c r="R800" i="1"/>
  <c r="K800" i="1"/>
  <c r="S800" i="1"/>
  <c r="M800" i="1"/>
  <c r="U800" i="1"/>
  <c r="N800" i="1"/>
  <c r="V800" i="1"/>
  <c r="O800" i="1"/>
  <c r="P800" i="1"/>
  <c r="T800" i="1"/>
  <c r="L800" i="1"/>
  <c r="AH792" i="1"/>
  <c r="Q792" i="1"/>
  <c r="R792" i="1"/>
  <c r="K792" i="1"/>
  <c r="S792" i="1"/>
  <c r="M792" i="1"/>
  <c r="U792" i="1"/>
  <c r="N792" i="1"/>
  <c r="V792" i="1"/>
  <c r="L792" i="1"/>
  <c r="O792" i="1"/>
  <c r="P792" i="1"/>
  <c r="T792" i="1"/>
  <c r="AH784" i="1"/>
  <c r="Q784" i="1"/>
  <c r="R784" i="1"/>
  <c r="K784" i="1"/>
  <c r="S784" i="1"/>
  <c r="M784" i="1"/>
  <c r="U784" i="1"/>
  <c r="N784" i="1"/>
  <c r="V784" i="1"/>
  <c r="O784" i="1"/>
  <c r="P784" i="1"/>
  <c r="T784" i="1"/>
  <c r="L784" i="1"/>
  <c r="AH776" i="1"/>
  <c r="P776" i="1"/>
  <c r="K776" i="1"/>
  <c r="T776" i="1"/>
  <c r="L776" i="1"/>
  <c r="U776" i="1"/>
  <c r="M776" i="1"/>
  <c r="V776" i="1"/>
  <c r="N776" i="1"/>
  <c r="O776" i="1"/>
  <c r="Q776" i="1"/>
  <c r="R776" i="1"/>
  <c r="S776" i="1"/>
  <c r="AH768" i="1"/>
  <c r="O768" i="1"/>
  <c r="P768" i="1"/>
  <c r="L768" i="1"/>
  <c r="V768" i="1"/>
  <c r="M768" i="1"/>
  <c r="N768" i="1"/>
  <c r="Q768" i="1"/>
  <c r="R768" i="1"/>
  <c r="S768" i="1"/>
  <c r="U768" i="1"/>
  <c r="T768" i="1"/>
  <c r="K768" i="1"/>
  <c r="AH760" i="1"/>
  <c r="O760" i="1"/>
  <c r="P760" i="1"/>
  <c r="L760" i="1"/>
  <c r="V760" i="1"/>
  <c r="M760" i="1"/>
  <c r="N760" i="1"/>
  <c r="Q760" i="1"/>
  <c r="R760" i="1"/>
  <c r="S760" i="1"/>
  <c r="K760" i="1"/>
  <c r="T760" i="1"/>
  <c r="U760" i="1"/>
  <c r="AH752" i="1"/>
  <c r="O752" i="1"/>
  <c r="P752" i="1"/>
  <c r="L752" i="1"/>
  <c r="V752" i="1"/>
  <c r="M752" i="1"/>
  <c r="N752" i="1"/>
  <c r="Q752" i="1"/>
  <c r="R752" i="1"/>
  <c r="S752" i="1"/>
  <c r="K752" i="1"/>
  <c r="T752" i="1"/>
  <c r="U752" i="1"/>
  <c r="AH744" i="1"/>
  <c r="O744" i="1"/>
  <c r="P744" i="1"/>
  <c r="L744" i="1"/>
  <c r="V744" i="1"/>
  <c r="M744" i="1"/>
  <c r="N744" i="1"/>
  <c r="Q744" i="1"/>
  <c r="R744" i="1"/>
  <c r="S744" i="1"/>
  <c r="K744" i="1"/>
  <c r="T744" i="1"/>
  <c r="U744" i="1"/>
  <c r="AH736" i="1"/>
  <c r="O736" i="1"/>
  <c r="P736" i="1"/>
  <c r="L736" i="1"/>
  <c r="V736" i="1"/>
  <c r="M736" i="1"/>
  <c r="N736" i="1"/>
  <c r="Q736" i="1"/>
  <c r="R736" i="1"/>
  <c r="S736" i="1"/>
  <c r="U736" i="1"/>
  <c r="T736" i="1"/>
  <c r="K736" i="1"/>
  <c r="AH728" i="1"/>
  <c r="O728" i="1"/>
  <c r="P728" i="1"/>
  <c r="L728" i="1"/>
  <c r="V728" i="1"/>
  <c r="M728" i="1"/>
  <c r="N728" i="1"/>
  <c r="Q728" i="1"/>
  <c r="R728" i="1"/>
  <c r="S728" i="1"/>
  <c r="K728" i="1"/>
  <c r="T728" i="1"/>
  <c r="U728" i="1"/>
  <c r="AH720" i="1"/>
  <c r="O720" i="1"/>
  <c r="P720" i="1"/>
  <c r="L720" i="1"/>
  <c r="V720" i="1"/>
  <c r="M720" i="1"/>
  <c r="N720" i="1"/>
  <c r="Q720" i="1"/>
  <c r="R720" i="1"/>
  <c r="S720" i="1"/>
  <c r="K720" i="1"/>
  <c r="T720" i="1"/>
  <c r="U720" i="1"/>
  <c r="AH712" i="1"/>
  <c r="O712" i="1"/>
  <c r="P712" i="1"/>
  <c r="L712" i="1"/>
  <c r="V712" i="1"/>
  <c r="M712" i="1"/>
  <c r="N712" i="1"/>
  <c r="Q712" i="1"/>
  <c r="R712" i="1"/>
  <c r="S712" i="1"/>
  <c r="K712" i="1"/>
  <c r="T712" i="1"/>
  <c r="U712" i="1"/>
  <c r="AH704" i="1"/>
  <c r="O704" i="1"/>
  <c r="P704" i="1"/>
  <c r="L704" i="1"/>
  <c r="V704" i="1"/>
  <c r="M704" i="1"/>
  <c r="N704" i="1"/>
  <c r="Q704" i="1"/>
  <c r="R704" i="1"/>
  <c r="S704" i="1"/>
  <c r="U704" i="1"/>
  <c r="K704" i="1"/>
  <c r="AH696" i="1"/>
  <c r="O696" i="1"/>
  <c r="P696" i="1"/>
  <c r="L696" i="1"/>
  <c r="V696" i="1"/>
  <c r="M696" i="1"/>
  <c r="N696" i="1"/>
  <c r="Q696" i="1"/>
  <c r="R696" i="1"/>
  <c r="S696" i="1"/>
  <c r="K696" i="1"/>
  <c r="T696" i="1"/>
  <c r="U696" i="1"/>
  <c r="AH688" i="1"/>
  <c r="O688" i="1"/>
  <c r="P688" i="1"/>
  <c r="L688" i="1"/>
  <c r="V688" i="1"/>
  <c r="M688" i="1"/>
  <c r="N688" i="1"/>
  <c r="Q688" i="1"/>
  <c r="R688" i="1"/>
  <c r="S688" i="1"/>
  <c r="K688" i="1"/>
  <c r="T688" i="1"/>
  <c r="U688" i="1"/>
  <c r="AH680" i="1"/>
  <c r="O680" i="1"/>
  <c r="P680" i="1"/>
  <c r="L680" i="1"/>
  <c r="V680" i="1"/>
  <c r="M680" i="1"/>
  <c r="N680" i="1"/>
  <c r="Q680" i="1"/>
  <c r="R680" i="1"/>
  <c r="S680" i="1"/>
  <c r="K680" i="1"/>
  <c r="T680" i="1"/>
  <c r="U680" i="1"/>
  <c r="AH672" i="1"/>
  <c r="O672" i="1"/>
  <c r="P672" i="1"/>
  <c r="K672" i="1"/>
  <c r="S672" i="1"/>
  <c r="U672" i="1"/>
  <c r="V672" i="1"/>
  <c r="L672" i="1"/>
  <c r="M672" i="1"/>
  <c r="N672" i="1"/>
  <c r="Q672" i="1"/>
  <c r="T672" i="1"/>
  <c r="R672" i="1"/>
  <c r="AH664" i="1"/>
  <c r="O664" i="1"/>
  <c r="P664" i="1"/>
  <c r="K664" i="1"/>
  <c r="S664" i="1"/>
  <c r="N664" i="1"/>
  <c r="Q664" i="1"/>
  <c r="R664" i="1"/>
  <c r="T664" i="1"/>
  <c r="U664" i="1"/>
  <c r="V664" i="1"/>
  <c r="M664" i="1"/>
  <c r="L664" i="1"/>
  <c r="AH656" i="1"/>
  <c r="O656" i="1"/>
  <c r="P656" i="1"/>
  <c r="K656" i="1"/>
  <c r="S656" i="1"/>
  <c r="U656" i="1"/>
  <c r="V656" i="1"/>
  <c r="L656" i="1"/>
  <c r="M656" i="1"/>
  <c r="N656" i="1"/>
  <c r="Q656" i="1"/>
  <c r="R656" i="1"/>
  <c r="T656" i="1"/>
  <c r="AH648" i="1"/>
  <c r="O648" i="1"/>
  <c r="P648" i="1"/>
  <c r="K648" i="1"/>
  <c r="S648" i="1"/>
  <c r="N648" i="1"/>
  <c r="Q648" i="1"/>
  <c r="R648" i="1"/>
  <c r="T648" i="1"/>
  <c r="U648" i="1"/>
  <c r="V648" i="1"/>
  <c r="L648" i="1"/>
  <c r="M648" i="1"/>
  <c r="AH640" i="1"/>
  <c r="O640" i="1"/>
  <c r="P640" i="1"/>
  <c r="K640" i="1"/>
  <c r="S640" i="1"/>
  <c r="U640" i="1"/>
  <c r="V640" i="1"/>
  <c r="L640" i="1"/>
  <c r="M640" i="1"/>
  <c r="N640" i="1"/>
  <c r="Q640" i="1"/>
  <c r="R640" i="1"/>
  <c r="T640" i="1"/>
  <c r="AH632" i="1"/>
  <c r="O632" i="1"/>
  <c r="P632" i="1"/>
  <c r="K632" i="1"/>
  <c r="S632" i="1"/>
  <c r="N632" i="1"/>
  <c r="Q632" i="1"/>
  <c r="R632" i="1"/>
  <c r="T632" i="1"/>
  <c r="U632" i="1"/>
  <c r="V632" i="1"/>
  <c r="L632" i="1"/>
  <c r="M632" i="1"/>
  <c r="AH624" i="1"/>
  <c r="O624" i="1"/>
  <c r="P624" i="1"/>
  <c r="K624" i="1"/>
  <c r="S624" i="1"/>
  <c r="U624" i="1"/>
  <c r="V624" i="1"/>
  <c r="L624" i="1"/>
  <c r="M624" i="1"/>
  <c r="N624" i="1"/>
  <c r="Q624" i="1"/>
  <c r="R624" i="1"/>
  <c r="T624" i="1"/>
  <c r="AH616" i="1"/>
  <c r="O616" i="1"/>
  <c r="N616" i="1"/>
  <c r="P616" i="1"/>
  <c r="S616" i="1"/>
  <c r="K616" i="1"/>
  <c r="T616" i="1"/>
  <c r="Q616" i="1"/>
  <c r="R616" i="1"/>
  <c r="U616" i="1"/>
  <c r="V616" i="1"/>
  <c r="M616" i="1"/>
  <c r="L616" i="1"/>
  <c r="AH608" i="1"/>
  <c r="O608" i="1"/>
  <c r="S608" i="1"/>
  <c r="K608" i="1"/>
  <c r="T608" i="1"/>
  <c r="N608" i="1"/>
  <c r="P608" i="1"/>
  <c r="U608" i="1"/>
  <c r="V608" i="1"/>
  <c r="L608" i="1"/>
  <c r="M608" i="1"/>
  <c r="Q608" i="1"/>
  <c r="R608" i="1"/>
  <c r="AH600" i="1"/>
  <c r="O600" i="1"/>
  <c r="L600" i="1"/>
  <c r="T600" i="1"/>
  <c r="K600" i="1"/>
  <c r="V600" i="1"/>
  <c r="M600" i="1"/>
  <c r="Q600" i="1"/>
  <c r="R600" i="1"/>
  <c r="N600" i="1"/>
  <c r="P600" i="1"/>
  <c r="S600" i="1"/>
  <c r="U600" i="1"/>
  <c r="AH592" i="1"/>
  <c r="O592" i="1"/>
  <c r="L592" i="1"/>
  <c r="T592" i="1"/>
  <c r="K592" i="1"/>
  <c r="V592" i="1"/>
  <c r="M592" i="1"/>
  <c r="N592" i="1"/>
  <c r="Q592" i="1"/>
  <c r="R592" i="1"/>
  <c r="P592" i="1"/>
  <c r="S592" i="1"/>
  <c r="U592" i="1"/>
  <c r="AH584" i="1"/>
  <c r="O584" i="1"/>
  <c r="L584" i="1"/>
  <c r="T584" i="1"/>
  <c r="K584" i="1"/>
  <c r="V584" i="1"/>
  <c r="M584" i="1"/>
  <c r="N584" i="1"/>
  <c r="Q584" i="1"/>
  <c r="R584" i="1"/>
  <c r="S584" i="1"/>
  <c r="U584" i="1"/>
  <c r="P584" i="1"/>
  <c r="AH576" i="1"/>
  <c r="O576" i="1"/>
  <c r="Q576" i="1"/>
  <c r="L576" i="1"/>
  <c r="T576" i="1"/>
  <c r="M576" i="1"/>
  <c r="N576" i="1"/>
  <c r="P576" i="1"/>
  <c r="R576" i="1"/>
  <c r="S576" i="1"/>
  <c r="U576" i="1"/>
  <c r="K576" i="1"/>
  <c r="V576" i="1"/>
  <c r="AH568" i="1"/>
  <c r="O568" i="1"/>
  <c r="Q568" i="1"/>
  <c r="L568" i="1"/>
  <c r="T568" i="1"/>
  <c r="S568" i="1"/>
  <c r="U568" i="1"/>
  <c r="V568" i="1"/>
  <c r="K568" i="1"/>
  <c r="M568" i="1"/>
  <c r="N568" i="1"/>
  <c r="P568" i="1"/>
  <c r="R568" i="1"/>
  <c r="AH560" i="1"/>
  <c r="O560" i="1"/>
  <c r="P560" i="1"/>
  <c r="Q560" i="1"/>
  <c r="L560" i="1"/>
  <c r="T560" i="1"/>
  <c r="K560" i="1"/>
  <c r="M560" i="1"/>
  <c r="N560" i="1"/>
  <c r="R560" i="1"/>
  <c r="S560" i="1"/>
  <c r="U560" i="1"/>
  <c r="V560" i="1"/>
  <c r="AH552" i="1"/>
  <c r="N552" i="1"/>
  <c r="V552" i="1"/>
  <c r="O552" i="1"/>
  <c r="P552" i="1"/>
  <c r="Q552" i="1"/>
  <c r="L552" i="1"/>
  <c r="T552" i="1"/>
  <c r="K552" i="1"/>
  <c r="M552" i="1"/>
  <c r="R552" i="1"/>
  <c r="S552" i="1"/>
  <c r="U552" i="1"/>
  <c r="AH544" i="1"/>
  <c r="Q544" i="1"/>
  <c r="L544" i="1"/>
  <c r="U544" i="1"/>
  <c r="M544" i="1"/>
  <c r="V544" i="1"/>
  <c r="O544" i="1"/>
  <c r="P544" i="1"/>
  <c r="K544" i="1"/>
  <c r="N544" i="1"/>
  <c r="R544" i="1"/>
  <c r="S544" i="1"/>
  <c r="T544" i="1"/>
  <c r="AH536" i="1"/>
  <c r="Q536" i="1"/>
  <c r="P536" i="1"/>
  <c r="R536" i="1"/>
  <c r="K536" i="1"/>
  <c r="T536" i="1"/>
  <c r="L536" i="1"/>
  <c r="U536" i="1"/>
  <c r="O536" i="1"/>
  <c r="S536" i="1"/>
  <c r="V536" i="1"/>
  <c r="M536" i="1"/>
  <c r="N536" i="1"/>
  <c r="AH528" i="1"/>
  <c r="Q528" i="1"/>
  <c r="L528" i="1"/>
  <c r="U528" i="1"/>
  <c r="M528" i="1"/>
  <c r="V528" i="1"/>
  <c r="O528" i="1"/>
  <c r="P528" i="1"/>
  <c r="T528" i="1"/>
  <c r="R528" i="1"/>
  <c r="S528" i="1"/>
  <c r="K528" i="1"/>
  <c r="N528" i="1"/>
  <c r="AH520" i="1"/>
  <c r="Q520" i="1"/>
  <c r="P520" i="1"/>
  <c r="R520" i="1"/>
  <c r="K520" i="1"/>
  <c r="T520" i="1"/>
  <c r="L520" i="1"/>
  <c r="U520" i="1"/>
  <c r="M520" i="1"/>
  <c r="N520" i="1"/>
  <c r="V520" i="1"/>
  <c r="S520" i="1"/>
  <c r="O520" i="1"/>
  <c r="AH512" i="1"/>
  <c r="Q512" i="1"/>
  <c r="L512" i="1"/>
  <c r="U512" i="1"/>
  <c r="M512" i="1"/>
  <c r="V512" i="1"/>
  <c r="O512" i="1"/>
  <c r="P512" i="1"/>
  <c r="K512" i="1"/>
  <c r="N512" i="1"/>
  <c r="R512" i="1"/>
  <c r="S512" i="1"/>
  <c r="T512" i="1"/>
  <c r="AH504" i="1"/>
  <c r="Q504" i="1"/>
  <c r="P504" i="1"/>
  <c r="R504" i="1"/>
  <c r="K504" i="1"/>
  <c r="T504" i="1"/>
  <c r="L504" i="1"/>
  <c r="U504" i="1"/>
  <c r="O504" i="1"/>
  <c r="S504" i="1"/>
  <c r="V504" i="1"/>
  <c r="M504" i="1"/>
  <c r="N504" i="1"/>
  <c r="AH496" i="1"/>
  <c r="O496" i="1"/>
  <c r="Q496" i="1"/>
  <c r="K496" i="1"/>
  <c r="S496" i="1"/>
  <c r="R496" i="1"/>
  <c r="T496" i="1"/>
  <c r="V496" i="1"/>
  <c r="L496" i="1"/>
  <c r="M496" i="1"/>
  <c r="N496" i="1"/>
  <c r="P496" i="1"/>
  <c r="U496" i="1"/>
  <c r="AH488" i="1"/>
  <c r="O488" i="1"/>
  <c r="Q488" i="1"/>
  <c r="K488" i="1"/>
  <c r="S488" i="1"/>
  <c r="L488" i="1"/>
  <c r="M488" i="1"/>
  <c r="P488" i="1"/>
  <c r="R488" i="1"/>
  <c r="V488" i="1"/>
  <c r="T488" i="1"/>
  <c r="U488" i="1"/>
  <c r="N488" i="1"/>
  <c r="AH480" i="1"/>
  <c r="O480" i="1"/>
  <c r="Q480" i="1"/>
  <c r="K480" i="1"/>
  <c r="S480" i="1"/>
  <c r="R480" i="1"/>
  <c r="T480" i="1"/>
  <c r="V480" i="1"/>
  <c r="L480" i="1"/>
  <c r="P480" i="1"/>
  <c r="U480" i="1"/>
  <c r="M480" i="1"/>
  <c r="N480" i="1"/>
  <c r="AH472" i="1"/>
  <c r="O472" i="1"/>
  <c r="Q472" i="1"/>
  <c r="K472" i="1"/>
  <c r="S472" i="1"/>
  <c r="L472" i="1"/>
  <c r="M472" i="1"/>
  <c r="P472" i="1"/>
  <c r="R472" i="1"/>
  <c r="N472" i="1"/>
  <c r="T472" i="1"/>
  <c r="U472" i="1"/>
  <c r="V472" i="1"/>
  <c r="AH464" i="1"/>
  <c r="O464" i="1"/>
  <c r="Q464" i="1"/>
  <c r="K464" i="1"/>
  <c r="S464" i="1"/>
  <c r="R464" i="1"/>
  <c r="T464" i="1"/>
  <c r="V464" i="1"/>
  <c r="L464" i="1"/>
  <c r="M464" i="1"/>
  <c r="N464" i="1"/>
  <c r="P464" i="1"/>
  <c r="U464" i="1"/>
  <c r="AH456" i="1"/>
  <c r="O456" i="1"/>
  <c r="Q456" i="1"/>
  <c r="K456" i="1"/>
  <c r="S456" i="1"/>
  <c r="L456" i="1"/>
  <c r="M456" i="1"/>
  <c r="P456" i="1"/>
  <c r="R456" i="1"/>
  <c r="V456" i="1"/>
  <c r="T456" i="1"/>
  <c r="U456" i="1"/>
  <c r="N456" i="1"/>
  <c r="AH448" i="1"/>
  <c r="O448" i="1"/>
  <c r="Q448" i="1"/>
  <c r="K448" i="1"/>
  <c r="S448" i="1"/>
  <c r="R448" i="1"/>
  <c r="T448" i="1"/>
  <c r="V448" i="1"/>
  <c r="L448" i="1"/>
  <c r="P448" i="1"/>
  <c r="U448" i="1"/>
  <c r="M448" i="1"/>
  <c r="N448" i="1"/>
  <c r="AH440" i="1"/>
  <c r="P440" i="1"/>
  <c r="Q440" i="1"/>
  <c r="R440" i="1"/>
  <c r="M440" i="1"/>
  <c r="O440" i="1"/>
  <c r="T440" i="1"/>
  <c r="S440" i="1"/>
  <c r="U440" i="1"/>
  <c r="K440" i="1"/>
  <c r="L440" i="1"/>
  <c r="N440" i="1"/>
  <c r="V440" i="1"/>
  <c r="AH432" i="1"/>
  <c r="P432" i="1"/>
  <c r="Q432" i="1"/>
  <c r="R432" i="1"/>
  <c r="T432" i="1"/>
  <c r="K432" i="1"/>
  <c r="V432" i="1"/>
  <c r="M432" i="1"/>
  <c r="L432" i="1"/>
  <c r="N432" i="1"/>
  <c r="S432" i="1"/>
  <c r="U432" i="1"/>
  <c r="O432" i="1"/>
  <c r="AH424" i="1"/>
  <c r="P424" i="1"/>
  <c r="Q424" i="1"/>
  <c r="R424" i="1"/>
  <c r="M424" i="1"/>
  <c r="O424" i="1"/>
  <c r="T424" i="1"/>
  <c r="L424" i="1"/>
  <c r="N424" i="1"/>
  <c r="V424" i="1"/>
  <c r="S424" i="1"/>
  <c r="K424" i="1"/>
  <c r="U424" i="1"/>
  <c r="AH416" i="1"/>
  <c r="P416" i="1"/>
  <c r="Q416" i="1"/>
  <c r="R416" i="1"/>
  <c r="T416" i="1"/>
  <c r="K416" i="1"/>
  <c r="V416" i="1"/>
  <c r="M416" i="1"/>
  <c r="S416" i="1"/>
  <c r="U416" i="1"/>
  <c r="L416" i="1"/>
  <c r="N416" i="1"/>
  <c r="O416" i="1"/>
  <c r="AH408" i="1"/>
  <c r="P408" i="1"/>
  <c r="Q408" i="1"/>
  <c r="R408" i="1"/>
  <c r="M408" i="1"/>
  <c r="O408" i="1"/>
  <c r="T408" i="1"/>
  <c r="L408" i="1"/>
  <c r="N408" i="1"/>
  <c r="U408" i="1"/>
  <c r="V408" i="1"/>
  <c r="K408" i="1"/>
  <c r="S408" i="1"/>
  <c r="AH400" i="1"/>
  <c r="P400" i="1"/>
  <c r="Q400" i="1"/>
  <c r="R400" i="1"/>
  <c r="T400" i="1"/>
  <c r="K400" i="1"/>
  <c r="V400" i="1"/>
  <c r="M400" i="1"/>
  <c r="N400" i="1"/>
  <c r="O400" i="1"/>
  <c r="S400" i="1"/>
  <c r="L400" i="1"/>
  <c r="U400" i="1"/>
  <c r="AH392" i="1"/>
  <c r="P392" i="1"/>
  <c r="Q392" i="1"/>
  <c r="R392" i="1"/>
  <c r="M392" i="1"/>
  <c r="O392" i="1"/>
  <c r="T392" i="1"/>
  <c r="U392" i="1"/>
  <c r="V392" i="1"/>
  <c r="K392" i="1"/>
  <c r="L392" i="1"/>
  <c r="N392" i="1"/>
  <c r="S392" i="1"/>
  <c r="AH384" i="1"/>
  <c r="P384" i="1"/>
  <c r="Q384" i="1"/>
  <c r="R384" i="1"/>
  <c r="T384" i="1"/>
  <c r="K384" i="1"/>
  <c r="V384" i="1"/>
  <c r="M384" i="1"/>
  <c r="N384" i="1"/>
  <c r="O384" i="1"/>
  <c r="U384" i="1"/>
  <c r="L384" i="1"/>
  <c r="S384" i="1"/>
  <c r="AH376" i="1"/>
  <c r="M376" i="1"/>
  <c r="U376" i="1"/>
  <c r="O376" i="1"/>
  <c r="Q376" i="1"/>
  <c r="R376" i="1"/>
  <c r="S376" i="1"/>
  <c r="L376" i="1"/>
  <c r="P376" i="1"/>
  <c r="K376" i="1"/>
  <c r="N376" i="1"/>
  <c r="V376" i="1"/>
  <c r="T376" i="1"/>
  <c r="AH368" i="1"/>
  <c r="M368" i="1"/>
  <c r="U368" i="1"/>
  <c r="N368" i="1"/>
  <c r="V368" i="1"/>
  <c r="O368" i="1"/>
  <c r="P368" i="1"/>
  <c r="Q368" i="1"/>
  <c r="R368" i="1"/>
  <c r="K368" i="1"/>
  <c r="S368" i="1"/>
  <c r="L368" i="1"/>
  <c r="T368" i="1"/>
  <c r="AH360" i="1"/>
  <c r="M360" i="1"/>
  <c r="U360" i="1"/>
  <c r="N360" i="1"/>
  <c r="V360" i="1"/>
  <c r="O360" i="1"/>
  <c r="P360" i="1"/>
  <c r="K360" i="1"/>
  <c r="S360" i="1"/>
  <c r="L360" i="1"/>
  <c r="Q360" i="1"/>
  <c r="R360" i="1"/>
  <c r="T360" i="1"/>
  <c r="AH352" i="1"/>
  <c r="M352" i="1"/>
  <c r="U352" i="1"/>
  <c r="N352" i="1"/>
  <c r="V352" i="1"/>
  <c r="O352" i="1"/>
  <c r="P352" i="1"/>
  <c r="K352" i="1"/>
  <c r="S352" i="1"/>
  <c r="T352" i="1"/>
  <c r="L352" i="1"/>
  <c r="Q352" i="1"/>
  <c r="R352" i="1"/>
  <c r="AH344" i="1"/>
  <c r="M344" i="1"/>
  <c r="U344" i="1"/>
  <c r="N344" i="1"/>
  <c r="V344" i="1"/>
  <c r="O344" i="1"/>
  <c r="P344" i="1"/>
  <c r="K344" i="1"/>
  <c r="S344" i="1"/>
  <c r="L344" i="1"/>
  <c r="Q344" i="1"/>
  <c r="R344" i="1"/>
  <c r="T344" i="1"/>
  <c r="AH336" i="1"/>
  <c r="M336" i="1"/>
  <c r="U336" i="1"/>
  <c r="N336" i="1"/>
  <c r="V336" i="1"/>
  <c r="O336" i="1"/>
  <c r="P336" i="1"/>
  <c r="K336" i="1"/>
  <c r="S336" i="1"/>
  <c r="T336" i="1"/>
  <c r="L336" i="1"/>
  <c r="R336" i="1"/>
  <c r="Q336" i="1"/>
  <c r="AH328" i="1"/>
  <c r="M328" i="1"/>
  <c r="U328" i="1"/>
  <c r="N328" i="1"/>
  <c r="V328" i="1"/>
  <c r="O328" i="1"/>
  <c r="P328" i="1"/>
  <c r="K328" i="1"/>
  <c r="S328" i="1"/>
  <c r="L328" i="1"/>
  <c r="Q328" i="1"/>
  <c r="R328" i="1"/>
  <c r="T328" i="1"/>
  <c r="AH320" i="1"/>
  <c r="M320" i="1"/>
  <c r="U320" i="1"/>
  <c r="N320" i="1"/>
  <c r="V320" i="1"/>
  <c r="O320" i="1"/>
  <c r="P320" i="1"/>
  <c r="K320" i="1"/>
  <c r="S320" i="1"/>
  <c r="T320" i="1"/>
  <c r="L320" i="1"/>
  <c r="Q320" i="1"/>
  <c r="R320" i="1"/>
  <c r="AH312" i="1"/>
  <c r="Q312" i="1"/>
  <c r="K312" i="1"/>
  <c r="T312" i="1"/>
  <c r="L312" i="1"/>
  <c r="U312" i="1"/>
  <c r="M312" i="1"/>
  <c r="V312" i="1"/>
  <c r="N312" i="1"/>
  <c r="R312" i="1"/>
  <c r="O312" i="1"/>
  <c r="P312" i="1"/>
  <c r="S312" i="1"/>
  <c r="AH304" i="1"/>
  <c r="Q304" i="1"/>
  <c r="O304" i="1"/>
  <c r="P304" i="1"/>
  <c r="R304" i="1"/>
  <c r="S304" i="1"/>
  <c r="M304" i="1"/>
  <c r="V304" i="1"/>
  <c r="U304" i="1"/>
  <c r="L304" i="1"/>
  <c r="N304" i="1"/>
  <c r="T304" i="1"/>
  <c r="K304" i="1"/>
  <c r="AH296" i="1"/>
  <c r="Q296" i="1"/>
  <c r="K296" i="1"/>
  <c r="T296" i="1"/>
  <c r="L296" i="1"/>
  <c r="U296" i="1"/>
  <c r="N296" i="1"/>
  <c r="S296" i="1"/>
  <c r="V296" i="1"/>
  <c r="P296" i="1"/>
  <c r="O296" i="1"/>
  <c r="R296" i="1"/>
  <c r="M296" i="1"/>
  <c r="AH288" i="1"/>
  <c r="Q288" i="1"/>
  <c r="O288" i="1"/>
  <c r="P288" i="1"/>
  <c r="S288" i="1"/>
  <c r="M288" i="1"/>
  <c r="N288" i="1"/>
  <c r="R288" i="1"/>
  <c r="T288" i="1"/>
  <c r="K288" i="1"/>
  <c r="U288" i="1"/>
  <c r="L288" i="1"/>
  <c r="V288" i="1"/>
  <c r="AH280" i="1"/>
  <c r="Q280" i="1"/>
  <c r="K280" i="1"/>
  <c r="T280" i="1"/>
  <c r="L280" i="1"/>
  <c r="U280" i="1"/>
  <c r="N280" i="1"/>
  <c r="O280" i="1"/>
  <c r="S280" i="1"/>
  <c r="V280" i="1"/>
  <c r="P280" i="1"/>
  <c r="R280" i="1"/>
  <c r="M280" i="1"/>
  <c r="AH272" i="1"/>
  <c r="Q272" i="1"/>
  <c r="O272" i="1"/>
  <c r="P272" i="1"/>
  <c r="S272" i="1"/>
  <c r="K272" i="1"/>
  <c r="T272" i="1"/>
  <c r="L272" i="1"/>
  <c r="M272" i="1"/>
  <c r="U272" i="1"/>
  <c r="R272" i="1"/>
  <c r="N272" i="1"/>
  <c r="V272" i="1"/>
  <c r="AH264" i="1"/>
  <c r="Q264" i="1"/>
  <c r="K264" i="1"/>
  <c r="T264" i="1"/>
  <c r="L264" i="1"/>
  <c r="U264" i="1"/>
  <c r="N264" i="1"/>
  <c r="O264" i="1"/>
  <c r="M264" i="1"/>
  <c r="P264" i="1"/>
  <c r="R264" i="1"/>
  <c r="S264" i="1"/>
  <c r="V264" i="1"/>
  <c r="AH256" i="1"/>
  <c r="Q256" i="1"/>
  <c r="M256" i="1"/>
  <c r="U256" i="1"/>
  <c r="L256" i="1"/>
  <c r="N256" i="1"/>
  <c r="P256" i="1"/>
  <c r="R256" i="1"/>
  <c r="V256" i="1"/>
  <c r="S256" i="1"/>
  <c r="O256" i="1"/>
  <c r="T256" i="1"/>
  <c r="K256" i="1"/>
  <c r="AH248" i="1"/>
  <c r="P248" i="1"/>
  <c r="R248" i="1"/>
  <c r="N248" i="1"/>
  <c r="T248" i="1"/>
  <c r="V248" i="1"/>
  <c r="K248" i="1"/>
  <c r="M248" i="1"/>
  <c r="O248" i="1"/>
  <c r="L248" i="1"/>
  <c r="Q248" i="1"/>
  <c r="S248" i="1"/>
  <c r="U248" i="1"/>
  <c r="AH240" i="1"/>
  <c r="P240" i="1"/>
  <c r="R240" i="1"/>
  <c r="N240" i="1"/>
  <c r="T240" i="1"/>
  <c r="L240" i="1"/>
  <c r="V240" i="1"/>
  <c r="M240" i="1"/>
  <c r="O240" i="1"/>
  <c r="K240" i="1"/>
  <c r="Q240" i="1"/>
  <c r="S240" i="1"/>
  <c r="U240" i="1"/>
  <c r="AH232" i="1"/>
  <c r="P232" i="1"/>
  <c r="R232" i="1"/>
  <c r="L232" i="1"/>
  <c r="T232" i="1"/>
  <c r="N232" i="1"/>
  <c r="U232" i="1"/>
  <c r="K232" i="1"/>
  <c r="M232" i="1"/>
  <c r="O232" i="1"/>
  <c r="V232" i="1"/>
  <c r="Q232" i="1"/>
  <c r="S232" i="1"/>
  <c r="AH224" i="1"/>
  <c r="P224" i="1"/>
  <c r="R224" i="1"/>
  <c r="L224" i="1"/>
  <c r="T224" i="1"/>
  <c r="U224" i="1"/>
  <c r="N224" i="1"/>
  <c r="Q224" i="1"/>
  <c r="S224" i="1"/>
  <c r="V224" i="1"/>
  <c r="K224" i="1"/>
  <c r="M224" i="1"/>
  <c r="O224" i="1"/>
  <c r="AH216" i="1"/>
  <c r="P216" i="1"/>
  <c r="R216" i="1"/>
  <c r="L216" i="1"/>
  <c r="T216" i="1"/>
  <c r="N216" i="1"/>
  <c r="S216" i="1"/>
  <c r="U216" i="1"/>
  <c r="K216" i="1"/>
  <c r="M216" i="1"/>
  <c r="O216" i="1"/>
  <c r="Q216" i="1"/>
  <c r="V216" i="1"/>
  <c r="AH208" i="1"/>
  <c r="R208" i="1"/>
  <c r="K208" i="1"/>
  <c r="S208" i="1"/>
  <c r="L208" i="1"/>
  <c r="M208" i="1"/>
  <c r="U208" i="1"/>
  <c r="O208" i="1"/>
  <c r="Q208" i="1"/>
  <c r="T208" i="1"/>
  <c r="N208" i="1"/>
  <c r="V208" i="1"/>
  <c r="P208" i="1"/>
  <c r="AH200" i="1"/>
  <c r="R200" i="1"/>
  <c r="K200" i="1"/>
  <c r="S200" i="1"/>
  <c r="L200" i="1"/>
  <c r="T200" i="1"/>
  <c r="M200" i="1"/>
  <c r="U200" i="1"/>
  <c r="O200" i="1"/>
  <c r="Q200" i="1"/>
  <c r="N200" i="1"/>
  <c r="P200" i="1"/>
  <c r="V200" i="1"/>
  <c r="AH192" i="1"/>
  <c r="R192" i="1"/>
  <c r="K192" i="1"/>
  <c r="S192" i="1"/>
  <c r="L192" i="1"/>
  <c r="T192" i="1"/>
  <c r="M192" i="1"/>
  <c r="U192" i="1"/>
  <c r="O192" i="1"/>
  <c r="Q192" i="1"/>
  <c r="P192" i="1"/>
  <c r="V192" i="1"/>
  <c r="N192" i="1"/>
  <c r="AH184" i="1"/>
  <c r="R184" i="1"/>
  <c r="K184" i="1"/>
  <c r="S184" i="1"/>
  <c r="L184" i="1"/>
  <c r="T184" i="1"/>
  <c r="M184" i="1"/>
  <c r="U184" i="1"/>
  <c r="P184" i="1"/>
  <c r="V184" i="1"/>
  <c r="Q184" i="1"/>
  <c r="N184" i="1"/>
  <c r="O184" i="1"/>
  <c r="AH176" i="1"/>
  <c r="R176" i="1"/>
  <c r="K176" i="1"/>
  <c r="S176" i="1"/>
  <c r="L176" i="1"/>
  <c r="T176" i="1"/>
  <c r="M176" i="1"/>
  <c r="U176" i="1"/>
  <c r="P176" i="1"/>
  <c r="O176" i="1"/>
  <c r="V176" i="1"/>
  <c r="N176" i="1"/>
  <c r="Q176" i="1"/>
  <c r="AH168" i="1"/>
  <c r="R168" i="1"/>
  <c r="K168" i="1"/>
  <c r="S168" i="1"/>
  <c r="L168" i="1"/>
  <c r="T168" i="1"/>
  <c r="M168" i="1"/>
  <c r="U168" i="1"/>
  <c r="P168" i="1"/>
  <c r="V168" i="1"/>
  <c r="Q168" i="1"/>
  <c r="N168" i="1"/>
  <c r="O168" i="1"/>
  <c r="AH160" i="1"/>
  <c r="R160" i="1"/>
  <c r="K160" i="1"/>
  <c r="S160" i="1"/>
  <c r="L160" i="1"/>
  <c r="T160" i="1"/>
  <c r="M160" i="1"/>
  <c r="U160" i="1"/>
  <c r="P160" i="1"/>
  <c r="O160" i="1"/>
  <c r="V160" i="1"/>
  <c r="N160" i="1"/>
  <c r="Q160" i="1"/>
  <c r="AH152" i="1"/>
  <c r="R152" i="1"/>
  <c r="K152" i="1"/>
  <c r="S152" i="1"/>
  <c r="L152" i="1"/>
  <c r="T152" i="1"/>
  <c r="M152" i="1"/>
  <c r="U152" i="1"/>
  <c r="P152" i="1"/>
  <c r="Q152" i="1"/>
  <c r="V152" i="1"/>
  <c r="N152" i="1"/>
  <c r="O152" i="1"/>
  <c r="AH144" i="1"/>
  <c r="R144" i="1"/>
  <c r="K144" i="1"/>
  <c r="S144" i="1"/>
  <c r="L144" i="1"/>
  <c r="T144" i="1"/>
  <c r="M144" i="1"/>
  <c r="U144" i="1"/>
  <c r="P144" i="1"/>
  <c r="Q144" i="1"/>
  <c r="O144" i="1"/>
  <c r="V144" i="1"/>
  <c r="N144" i="1"/>
  <c r="AH136" i="1"/>
  <c r="R136" i="1"/>
  <c r="K136" i="1"/>
  <c r="S136" i="1"/>
  <c r="L136" i="1"/>
  <c r="T136" i="1"/>
  <c r="M136" i="1"/>
  <c r="U136" i="1"/>
  <c r="O136" i="1"/>
  <c r="P136" i="1"/>
  <c r="Q136" i="1"/>
  <c r="N136" i="1"/>
  <c r="V136" i="1"/>
  <c r="AH128" i="1"/>
  <c r="K128" i="1"/>
  <c r="S128" i="1"/>
  <c r="L128" i="1"/>
  <c r="T128" i="1"/>
  <c r="Q128" i="1"/>
  <c r="V128" i="1"/>
  <c r="M128" i="1"/>
  <c r="N128" i="1"/>
  <c r="P128" i="1"/>
  <c r="R128" i="1"/>
  <c r="U128" i="1"/>
  <c r="O128" i="1"/>
  <c r="AH120" i="1"/>
  <c r="K120" i="1"/>
  <c r="S120" i="1"/>
  <c r="L120" i="1"/>
  <c r="T120" i="1"/>
  <c r="P120" i="1"/>
  <c r="Q120" i="1"/>
  <c r="M120" i="1"/>
  <c r="N120" i="1"/>
  <c r="O120" i="1"/>
  <c r="R120" i="1"/>
  <c r="U120" i="1"/>
  <c r="V120" i="1"/>
  <c r="AH112" i="1"/>
  <c r="K112" i="1"/>
  <c r="S112" i="1"/>
  <c r="L112" i="1"/>
  <c r="T112" i="1"/>
  <c r="P112" i="1"/>
  <c r="Q112" i="1"/>
  <c r="M112" i="1"/>
  <c r="N112" i="1"/>
  <c r="O112" i="1"/>
  <c r="R112" i="1"/>
  <c r="U112" i="1"/>
  <c r="V112" i="1"/>
  <c r="AH104" i="1"/>
  <c r="K104" i="1"/>
  <c r="S104" i="1"/>
  <c r="L104" i="1"/>
  <c r="T104" i="1"/>
  <c r="P104" i="1"/>
  <c r="Q104" i="1"/>
  <c r="M104" i="1"/>
  <c r="N104" i="1"/>
  <c r="O104" i="1"/>
  <c r="R104" i="1"/>
  <c r="U104" i="1"/>
  <c r="V104" i="1"/>
  <c r="AH96" i="1"/>
  <c r="K96" i="1"/>
  <c r="S96" i="1"/>
  <c r="L96" i="1"/>
  <c r="T96" i="1"/>
  <c r="P96" i="1"/>
  <c r="Q96" i="1"/>
  <c r="M96" i="1"/>
  <c r="N96" i="1"/>
  <c r="O96" i="1"/>
  <c r="R96" i="1"/>
  <c r="U96" i="1"/>
  <c r="V96" i="1"/>
  <c r="AH88" i="1"/>
  <c r="Q88" i="1"/>
  <c r="R88" i="1"/>
  <c r="L88" i="1"/>
  <c r="T88" i="1"/>
  <c r="V88" i="1"/>
  <c r="K88" i="1"/>
  <c r="P88" i="1"/>
  <c r="S88" i="1"/>
  <c r="U88" i="1"/>
  <c r="M88" i="1"/>
  <c r="N88" i="1"/>
  <c r="O88" i="1"/>
  <c r="AH80" i="1"/>
  <c r="Q80" i="1"/>
  <c r="R80" i="1"/>
  <c r="K80" i="1"/>
  <c r="S80" i="1"/>
  <c r="L80" i="1"/>
  <c r="T80" i="1"/>
  <c r="M80" i="1"/>
  <c r="U80" i="1"/>
  <c r="O80" i="1"/>
  <c r="P80" i="1"/>
  <c r="V80" i="1"/>
  <c r="N80" i="1"/>
  <c r="AH72" i="1"/>
  <c r="Q72" i="1"/>
  <c r="R72" i="1"/>
  <c r="K72" i="1"/>
  <c r="S72" i="1"/>
  <c r="L72" i="1"/>
  <c r="T72" i="1"/>
  <c r="M72" i="1"/>
  <c r="U72" i="1"/>
  <c r="O72" i="1"/>
  <c r="P72" i="1"/>
  <c r="V72" i="1"/>
  <c r="N72" i="1"/>
  <c r="AH64" i="1"/>
  <c r="Q64" i="1"/>
  <c r="R64" i="1"/>
  <c r="K64" i="1"/>
  <c r="S64" i="1"/>
  <c r="L64" i="1"/>
  <c r="T64" i="1"/>
  <c r="M64" i="1"/>
  <c r="U64" i="1"/>
  <c r="O64" i="1"/>
  <c r="P64" i="1"/>
  <c r="V64" i="1"/>
  <c r="N64" i="1"/>
  <c r="AH56" i="1"/>
  <c r="Q56" i="1"/>
  <c r="R56" i="1"/>
  <c r="L56" i="1"/>
  <c r="T56" i="1"/>
  <c r="K56" i="1"/>
  <c r="M56" i="1"/>
  <c r="N56" i="1"/>
  <c r="O56" i="1"/>
  <c r="P56" i="1"/>
  <c r="U56" i="1"/>
  <c r="S56" i="1"/>
  <c r="V56" i="1"/>
  <c r="AH48" i="1"/>
  <c r="Q48" i="1"/>
  <c r="R48" i="1"/>
  <c r="L48" i="1"/>
  <c r="T48" i="1"/>
  <c r="P48" i="1"/>
  <c r="S48" i="1"/>
  <c r="U48" i="1"/>
  <c r="V48" i="1"/>
  <c r="K48" i="1"/>
  <c r="N48" i="1"/>
  <c r="M48" i="1"/>
  <c r="O48" i="1"/>
  <c r="AH40" i="1"/>
  <c r="N40" i="1"/>
  <c r="V40" i="1"/>
  <c r="Q40" i="1"/>
  <c r="R40" i="1"/>
  <c r="L40" i="1"/>
  <c r="T40" i="1"/>
  <c r="K40" i="1"/>
  <c r="M40" i="1"/>
  <c r="O40" i="1"/>
  <c r="P40" i="1"/>
  <c r="S40" i="1"/>
  <c r="U40" i="1"/>
  <c r="AH32" i="1"/>
  <c r="N32" i="1"/>
  <c r="V32" i="1"/>
  <c r="Q32" i="1"/>
  <c r="R32" i="1"/>
  <c r="L32" i="1"/>
  <c r="T32" i="1"/>
  <c r="M32" i="1"/>
  <c r="K32" i="1"/>
  <c r="O32" i="1"/>
  <c r="P32" i="1"/>
  <c r="S32" i="1"/>
  <c r="U32" i="1"/>
  <c r="AH24" i="1"/>
  <c r="N24" i="1"/>
  <c r="V24" i="1"/>
  <c r="Q24" i="1"/>
  <c r="R24" i="1"/>
  <c r="L24" i="1"/>
  <c r="T24" i="1"/>
  <c r="M24" i="1"/>
  <c r="U24" i="1"/>
  <c r="S24" i="1"/>
  <c r="O24" i="1"/>
  <c r="K24" i="1"/>
  <c r="P24" i="1"/>
  <c r="AH16" i="1"/>
  <c r="N16" i="1"/>
  <c r="V16" i="1"/>
  <c r="Q16" i="1"/>
  <c r="R16" i="1"/>
  <c r="L16" i="1"/>
  <c r="T16" i="1"/>
  <c r="M16" i="1"/>
  <c r="U16" i="1"/>
  <c r="K16" i="1"/>
  <c r="O16" i="1"/>
  <c r="P16" i="1"/>
  <c r="S16" i="1"/>
  <c r="AH8" i="1"/>
  <c r="N8" i="1"/>
  <c r="V8" i="1"/>
  <c r="Q8" i="1"/>
  <c r="R8" i="1"/>
  <c r="L8" i="1"/>
  <c r="T8" i="1"/>
  <c r="M8" i="1"/>
  <c r="U8" i="1"/>
  <c r="S8" i="1"/>
  <c r="O8" i="1"/>
  <c r="P8" i="1"/>
  <c r="K8" i="1"/>
  <c r="T1741" i="1"/>
  <c r="L1741" i="1"/>
  <c r="P1740" i="1"/>
  <c r="T1739" i="1"/>
  <c r="L1739" i="1"/>
  <c r="P1738" i="1"/>
  <c r="T1737" i="1"/>
  <c r="L1737" i="1"/>
  <c r="P1736" i="1"/>
  <c r="T1735" i="1"/>
  <c r="L1735" i="1"/>
  <c r="P1734" i="1"/>
  <c r="T1733" i="1"/>
  <c r="L1733" i="1"/>
  <c r="P1732" i="1"/>
  <c r="T1731" i="1"/>
  <c r="L1731" i="1"/>
  <c r="P1730" i="1"/>
  <c r="T1729" i="1"/>
  <c r="L1729" i="1"/>
  <c r="P1728" i="1"/>
  <c r="T1727" i="1"/>
  <c r="L1727" i="1"/>
  <c r="P1726" i="1"/>
  <c r="T1725" i="1"/>
  <c r="L1725" i="1"/>
  <c r="P1724" i="1"/>
  <c r="T1723" i="1"/>
  <c r="L1723" i="1"/>
  <c r="P1722" i="1"/>
  <c r="T1721" i="1"/>
  <c r="L1721" i="1"/>
  <c r="P1720" i="1"/>
  <c r="T1719" i="1"/>
  <c r="L1719" i="1"/>
  <c r="P1718" i="1"/>
  <c r="T1717" i="1"/>
  <c r="L1717" i="1"/>
  <c r="P1716" i="1"/>
  <c r="T1715" i="1"/>
  <c r="L1715" i="1"/>
  <c r="P1714" i="1"/>
  <c r="T1713" i="1"/>
  <c r="L1713" i="1"/>
  <c r="P1712" i="1"/>
  <c r="T1711" i="1"/>
  <c r="L1711" i="1"/>
  <c r="P1710" i="1"/>
  <c r="T1709" i="1"/>
  <c r="L1709" i="1"/>
  <c r="N1708" i="1"/>
  <c r="O1707" i="1"/>
  <c r="Q1706" i="1"/>
  <c r="P1705" i="1"/>
  <c r="O1704" i="1"/>
  <c r="O1703" i="1"/>
  <c r="N1702" i="1"/>
  <c r="N1701" i="1"/>
  <c r="L1700" i="1"/>
  <c r="K1699" i="1"/>
  <c r="K1698" i="1"/>
  <c r="V1696" i="1"/>
  <c r="V1695" i="1"/>
  <c r="T1694" i="1"/>
  <c r="S1693" i="1"/>
  <c r="S1692" i="1"/>
  <c r="R1691" i="1"/>
  <c r="R1690" i="1"/>
  <c r="P1689" i="1"/>
  <c r="O1688" i="1"/>
  <c r="O1687" i="1"/>
  <c r="N1686" i="1"/>
  <c r="N1685" i="1"/>
  <c r="L1684" i="1"/>
  <c r="K1683" i="1"/>
  <c r="K1682" i="1"/>
  <c r="T1680" i="1"/>
  <c r="P1679" i="1"/>
  <c r="L1678" i="1"/>
  <c r="T1676" i="1"/>
  <c r="P1675" i="1"/>
  <c r="L1674" i="1"/>
  <c r="N1672" i="1"/>
  <c r="S1670" i="1"/>
  <c r="T1668" i="1"/>
  <c r="V1666" i="1"/>
  <c r="O1665" i="1"/>
  <c r="P1663" i="1"/>
  <c r="R1661" i="1"/>
  <c r="K1660" i="1"/>
  <c r="L1658" i="1"/>
  <c r="N1656" i="1"/>
  <c r="S1654" i="1"/>
  <c r="T1652" i="1"/>
  <c r="V1650" i="1"/>
  <c r="O1649" i="1"/>
  <c r="P1647" i="1"/>
  <c r="R1645" i="1"/>
  <c r="K1644" i="1"/>
  <c r="L1642" i="1"/>
  <c r="N1640" i="1"/>
  <c r="S1638" i="1"/>
  <c r="T1636" i="1"/>
  <c r="V1634" i="1"/>
  <c r="O1633" i="1"/>
  <c r="P1631" i="1"/>
  <c r="R1629" i="1"/>
  <c r="R1627" i="1"/>
  <c r="V1624" i="1"/>
  <c r="N1622" i="1"/>
  <c r="R1619" i="1"/>
  <c r="V1616" i="1"/>
  <c r="N1614" i="1"/>
  <c r="R1611" i="1"/>
  <c r="V1608" i="1"/>
  <c r="N1606" i="1"/>
  <c r="R1603" i="1"/>
  <c r="V1600" i="1"/>
  <c r="N1598" i="1"/>
  <c r="R1595" i="1"/>
  <c r="V1592" i="1"/>
  <c r="N1590" i="1"/>
  <c r="R1587" i="1"/>
  <c r="V1584" i="1"/>
  <c r="N1582" i="1"/>
  <c r="R1579" i="1"/>
  <c r="V1576" i="1"/>
  <c r="N1574" i="1"/>
  <c r="R1571" i="1"/>
  <c r="V1568" i="1"/>
  <c r="N1566" i="1"/>
  <c r="R1563" i="1"/>
  <c r="V1560" i="1"/>
  <c r="N1558" i="1"/>
  <c r="R1555" i="1"/>
  <c r="V1552" i="1"/>
  <c r="N1550" i="1"/>
  <c r="R1547" i="1"/>
  <c r="V1544" i="1"/>
  <c r="N1542" i="1"/>
  <c r="R1539" i="1"/>
  <c r="V1536" i="1"/>
  <c r="N1534" i="1"/>
  <c r="R1531" i="1"/>
  <c r="V1528" i="1"/>
  <c r="N1526" i="1"/>
  <c r="R1523" i="1"/>
  <c r="V1520" i="1"/>
  <c r="N1518" i="1"/>
  <c r="R1515" i="1"/>
  <c r="V1512" i="1"/>
  <c r="N1510" i="1"/>
  <c r="R1507" i="1"/>
  <c r="V1504" i="1"/>
  <c r="N1502" i="1"/>
  <c r="R1499" i="1"/>
  <c r="V1496" i="1"/>
  <c r="N1494" i="1"/>
  <c r="R1491" i="1"/>
  <c r="V1488" i="1"/>
  <c r="N1486" i="1"/>
  <c r="R1483" i="1"/>
  <c r="V1480" i="1"/>
  <c r="N1478" i="1"/>
  <c r="R1475" i="1"/>
  <c r="V1472" i="1"/>
  <c r="N1470" i="1"/>
  <c r="R1467" i="1"/>
  <c r="V1464" i="1"/>
  <c r="N1462" i="1"/>
  <c r="R1459" i="1"/>
  <c r="V1456" i="1"/>
  <c r="N1454" i="1"/>
  <c r="R1451" i="1"/>
  <c r="V1448" i="1"/>
  <c r="N1446" i="1"/>
  <c r="R1443" i="1"/>
  <c r="V1440" i="1"/>
  <c r="N1438" i="1"/>
  <c r="R1435" i="1"/>
  <c r="V1432" i="1"/>
  <c r="N1430" i="1"/>
  <c r="R1427" i="1"/>
  <c r="V1424" i="1"/>
  <c r="N1422" i="1"/>
  <c r="R1419" i="1"/>
  <c r="V1416" i="1"/>
  <c r="N1414" i="1"/>
  <c r="R1411" i="1"/>
  <c r="V1408" i="1"/>
  <c r="N1406" i="1"/>
  <c r="R1403" i="1"/>
  <c r="V1400" i="1"/>
  <c r="N1398" i="1"/>
  <c r="R1395" i="1"/>
  <c r="V1392" i="1"/>
  <c r="N1390" i="1"/>
  <c r="R1387" i="1"/>
  <c r="V1384" i="1"/>
  <c r="N1382" i="1"/>
  <c r="R1379" i="1"/>
  <c r="V1376" i="1"/>
  <c r="N1374" i="1"/>
  <c r="R1371" i="1"/>
  <c r="V1368" i="1"/>
  <c r="N1366" i="1"/>
  <c r="R1363" i="1"/>
  <c r="V1360" i="1"/>
  <c r="N1358" i="1"/>
  <c r="R1355" i="1"/>
  <c r="V1352" i="1"/>
  <c r="L1350" i="1"/>
  <c r="K1347" i="1"/>
  <c r="S1343" i="1"/>
  <c r="M1340" i="1"/>
  <c r="S1336" i="1"/>
  <c r="K1333" i="1"/>
  <c r="Q1329" i="1"/>
  <c r="Q1325" i="1"/>
  <c r="O1321" i="1"/>
  <c r="S1316" i="1"/>
  <c r="O1311" i="1"/>
  <c r="K1306" i="1"/>
  <c r="S1300" i="1"/>
  <c r="O1295" i="1"/>
  <c r="K1290" i="1"/>
  <c r="S1284" i="1"/>
  <c r="O1279" i="1"/>
  <c r="Q1273" i="1"/>
  <c r="S1266" i="1"/>
  <c r="P1259" i="1"/>
  <c r="M1252" i="1"/>
  <c r="O1245" i="1"/>
  <c r="L1238" i="1"/>
  <c r="K1230" i="1"/>
  <c r="O1219" i="1"/>
  <c r="S1208" i="1"/>
  <c r="K1198" i="1"/>
  <c r="O1187" i="1"/>
  <c r="K1176" i="1"/>
  <c r="M1148" i="1"/>
  <c r="V1119" i="1"/>
  <c r="O1091" i="1"/>
  <c r="U1062" i="1"/>
  <c r="R1034" i="1"/>
  <c r="S991" i="1"/>
  <c r="M900" i="1"/>
  <c r="K3" i="1"/>
  <c r="L3" i="1"/>
  <c r="P3" i="1"/>
  <c r="AH3" i="1"/>
  <c r="O3" i="1"/>
  <c r="V3" i="1"/>
  <c r="N3" i="1"/>
  <c r="U3" i="1"/>
  <c r="M3" i="1"/>
  <c r="S3" i="1"/>
  <c r="R3" i="1"/>
  <c r="T3" i="1"/>
  <c r="AE2" i="3" l="1"/>
  <c r="AF2" i="3"/>
  <c r="W1697" i="1"/>
  <c r="W1644" i="1"/>
  <c r="W1666" i="1"/>
  <c r="W344" i="1"/>
  <c r="W760" i="1"/>
  <c r="W800" i="1"/>
  <c r="W832" i="1"/>
  <c r="W960" i="1"/>
  <c r="W1040" i="1"/>
  <c r="W25" i="1"/>
  <c r="W337" i="1"/>
  <c r="W385" i="1"/>
  <c r="W401" i="1"/>
  <c r="W449" i="1"/>
  <c r="W777" i="1"/>
  <c r="W937" i="1"/>
  <c r="W1137" i="1"/>
  <c r="W1177" i="1"/>
  <c r="W1193" i="1"/>
  <c r="W1521" i="1"/>
  <c r="W1585" i="1"/>
  <c r="W1286" i="1"/>
  <c r="W178" i="1"/>
  <c r="W298" i="1"/>
  <c r="W874" i="1"/>
  <c r="W1322" i="1"/>
  <c r="W155" i="1"/>
  <c r="W411" i="1"/>
  <c r="W907" i="1"/>
  <c r="W1091" i="1"/>
  <c r="W1563" i="1"/>
  <c r="W1342" i="1"/>
  <c r="W212" i="1"/>
  <c r="W444" i="1"/>
  <c r="W700" i="1"/>
  <c r="W764" i="1"/>
  <c r="W868" i="1"/>
  <c r="W93" i="1"/>
  <c r="W613" i="1"/>
  <c r="W677" i="1"/>
  <c r="W1662" i="1"/>
  <c r="W1333" i="1"/>
  <c r="W632" i="1"/>
  <c r="W920" i="1"/>
  <c r="W1248" i="1"/>
  <c r="W17" i="1"/>
  <c r="W137" i="1"/>
  <c r="W425" i="1"/>
  <c r="W537" i="1"/>
  <c r="W577" i="1"/>
  <c r="W825" i="1"/>
  <c r="W1025" i="1"/>
  <c r="W1057" i="1"/>
  <c r="W1222" i="1"/>
  <c r="W26" i="1"/>
  <c r="W666" i="1"/>
  <c r="W938" i="1"/>
  <c r="W1066" i="1"/>
  <c r="W1106" i="1"/>
  <c r="W1506" i="1"/>
  <c r="W1570" i="1"/>
  <c r="W1738" i="1"/>
  <c r="W611" i="1"/>
  <c r="W827" i="1"/>
  <c r="W851" i="1"/>
  <c r="W1499" i="1"/>
  <c r="W1627" i="1"/>
  <c r="W36" i="1"/>
  <c r="W252" i="1"/>
  <c r="W572" i="1"/>
  <c r="W956" i="1"/>
  <c r="W1084" i="1"/>
  <c r="W1164" i="1"/>
  <c r="W1054" i="1"/>
  <c r="W125" i="1"/>
  <c r="W245" i="1"/>
  <c r="W909" i="1"/>
  <c r="W206" i="1"/>
  <c r="W286" i="1"/>
  <c r="W630" i="1"/>
  <c r="W766" i="1"/>
  <c r="W846" i="1"/>
  <c r="W1494" i="1"/>
  <c r="W1622" i="1"/>
  <c r="W143" i="1"/>
  <c r="W215" i="1"/>
  <c r="W255" i="1"/>
  <c r="W303" i="1"/>
  <c r="W311" i="1"/>
  <c r="W439" i="1"/>
  <c r="W583" i="1"/>
  <c r="W711" i="1"/>
  <c r="W855" i="1"/>
  <c r="W1007" i="1"/>
  <c r="W1327" i="1"/>
  <c r="S1" i="1"/>
  <c r="W144" i="1"/>
  <c r="W512" i="1"/>
  <c r="W560" i="1"/>
  <c r="W1048" i="1"/>
  <c r="W1128" i="1"/>
  <c r="W1192" i="1"/>
  <c r="W121" i="1"/>
  <c r="W169" i="1"/>
  <c r="W841" i="1"/>
  <c r="W897" i="1"/>
  <c r="W993" i="1"/>
  <c r="W1097" i="1"/>
  <c r="W1345" i="1"/>
  <c r="W1393" i="1"/>
  <c r="W1070" i="1"/>
  <c r="W570" i="1"/>
  <c r="W594" i="1"/>
  <c r="W706" i="1"/>
  <c r="W1314" i="1"/>
  <c r="W1378" i="1"/>
  <c r="W1442" i="1"/>
  <c r="W1722" i="1"/>
  <c r="W83" i="1"/>
  <c r="W219" i="1"/>
  <c r="W403" i="1"/>
  <c r="W1659" i="1"/>
  <c r="W1214" i="1"/>
  <c r="W356" i="1"/>
  <c r="W644" i="1"/>
  <c r="W1188" i="1"/>
  <c r="W1324" i="1"/>
  <c r="W1396" i="1"/>
  <c r="W1460" i="1"/>
  <c r="W1524" i="1"/>
  <c r="W1588" i="1"/>
  <c r="W61" i="1"/>
  <c r="W181" i="1"/>
  <c r="W741" i="1"/>
  <c r="W1149" i="1"/>
  <c r="W1405" i="1"/>
  <c r="W1533" i="1"/>
  <c r="W38" i="1"/>
  <c r="W142" i="1"/>
  <c r="W254" i="1"/>
  <c r="W342" i="1"/>
  <c r="W550" i="1"/>
  <c r="W702" i="1"/>
  <c r="W878" i="1"/>
  <c r="W942" i="1"/>
  <c r="W1366" i="1"/>
  <c r="W1430" i="1"/>
  <c r="W1558" i="1"/>
  <c r="W95" i="1"/>
  <c r="W287" i="1"/>
  <c r="W343" i="1"/>
  <c r="W415" i="1"/>
  <c r="W647" i="1"/>
  <c r="W775" i="1"/>
  <c r="W791" i="1"/>
  <c r="W799" i="1"/>
  <c r="W1039" i="1"/>
  <c r="W1079" i="1"/>
  <c r="W1159" i="1"/>
  <c r="W1239" i="1"/>
  <c r="W1008" i="1"/>
  <c r="W1592" i="1"/>
  <c r="W1457" i="1"/>
  <c r="W1696" i="1"/>
  <c r="W1464" i="1"/>
  <c r="W770" i="1"/>
  <c r="W1400" i="1"/>
  <c r="W1528" i="1"/>
  <c r="W641" i="1"/>
  <c r="W474" i="1"/>
  <c r="W1681" i="1"/>
  <c r="W208" i="1"/>
  <c r="W705" i="1"/>
  <c r="W104" i="1"/>
  <c r="W769" i="1"/>
  <c r="W1033" i="1"/>
  <c r="W452" i="1"/>
  <c r="W8" i="1"/>
  <c r="W312" i="1"/>
  <c r="W520" i="1"/>
  <c r="W696" i="1"/>
  <c r="W1472" i="1"/>
  <c r="W553" i="1"/>
  <c r="W681" i="1"/>
  <c r="W1153" i="1"/>
  <c r="W1545" i="1"/>
  <c r="W1665" i="1"/>
  <c r="W1677" i="1"/>
  <c r="W66" i="1"/>
  <c r="W90" i="1"/>
  <c r="W114" i="1"/>
  <c r="W154" i="1"/>
  <c r="W282" i="1"/>
  <c r="W354" i="1"/>
  <c r="W370" i="1"/>
  <c r="W450" i="1"/>
  <c r="W530" i="1"/>
  <c r="W538" i="1"/>
  <c r="W1306" i="1"/>
  <c r="W1678" i="1"/>
  <c r="W40" i="1"/>
  <c r="W72" i="1"/>
  <c r="W120" i="1"/>
  <c r="W160" i="1"/>
  <c r="W224" i="1"/>
  <c r="W232" i="1"/>
  <c r="W304" i="1"/>
  <c r="W360" i="1"/>
  <c r="W376" i="1"/>
  <c r="W440" i="1"/>
  <c r="W456" i="1"/>
  <c r="W648" i="1"/>
  <c r="W712" i="1"/>
  <c r="W776" i="1"/>
  <c r="W872" i="1"/>
  <c r="W1024" i="1"/>
  <c r="W1064" i="1"/>
  <c r="W1144" i="1"/>
  <c r="W1312" i="1"/>
  <c r="W1344" i="1"/>
  <c r="W1352" i="1"/>
  <c r="W1416" i="1"/>
  <c r="W1480" i="1"/>
  <c r="W1544" i="1"/>
  <c r="W1608" i="1"/>
  <c r="W33" i="1"/>
  <c r="W233" i="1"/>
  <c r="W289" i="1"/>
  <c r="W353" i="1"/>
  <c r="W377" i="1"/>
  <c r="W393" i="1"/>
  <c r="W441" i="1"/>
  <c r="W465" i="1"/>
  <c r="W545" i="1"/>
  <c r="W593" i="1"/>
  <c r="W657" i="1"/>
  <c r="W721" i="1"/>
  <c r="W913" i="1"/>
  <c r="W953" i="1"/>
  <c r="W985" i="1"/>
  <c r="W1009" i="1"/>
  <c r="W1073" i="1"/>
  <c r="W1169" i="1"/>
  <c r="W1209" i="1"/>
  <c r="W1233" i="1"/>
  <c r="W1249" i="1"/>
  <c r="W1265" i="1"/>
  <c r="W1377" i="1"/>
  <c r="W1441" i="1"/>
  <c r="W1505" i="1"/>
  <c r="W1569" i="1"/>
  <c r="W1334" i="1"/>
  <c r="W50" i="1"/>
  <c r="W130" i="1"/>
  <c r="W194" i="1"/>
  <c r="W250" i="1"/>
  <c r="W266" i="1"/>
  <c r="W330" i="1"/>
  <c r="W490" i="1"/>
  <c r="W618" i="1"/>
  <c r="W722" i="1"/>
  <c r="W810" i="1"/>
  <c r="W890" i="1"/>
  <c r="W954" i="1"/>
  <c r="W1042" i="1"/>
  <c r="W1098" i="1"/>
  <c r="W1122" i="1"/>
  <c r="W1242" i="1"/>
  <c r="W1266" i="1"/>
  <c r="W1298" i="1"/>
  <c r="W1394" i="1"/>
  <c r="W1458" i="1"/>
  <c r="W1522" i="1"/>
  <c r="W1586" i="1"/>
  <c r="W1676" i="1"/>
  <c r="W1718" i="1"/>
  <c r="W1734" i="1"/>
  <c r="W11" i="1"/>
  <c r="W35" i="1"/>
  <c r="W75" i="1"/>
  <c r="W291" i="1"/>
  <c r="W323" i="1"/>
  <c r="W419" i="1"/>
  <c r="W499" i="1"/>
  <c r="W563" i="1"/>
  <c r="W627" i="1"/>
  <c r="W691" i="1"/>
  <c r="W867" i="1"/>
  <c r="W923" i="1"/>
  <c r="W971" i="1"/>
  <c r="W1107" i="1"/>
  <c r="W1147" i="1"/>
  <c r="W1251" i="1"/>
  <c r="W1283" i="1"/>
  <c r="W1299" i="1"/>
  <c r="W1315" i="1"/>
  <c r="W1355" i="1"/>
  <c r="W1419" i="1"/>
  <c r="W1483" i="1"/>
  <c r="W1547" i="1"/>
  <c r="W1611" i="1"/>
  <c r="W1635" i="1"/>
  <c r="W1667" i="1"/>
  <c r="W1675" i="1"/>
  <c r="W4" i="1"/>
  <c r="W52" i="1"/>
  <c r="W84" i="1"/>
  <c r="W172" i="1"/>
  <c r="W1236" i="1"/>
  <c r="W986" i="1"/>
  <c r="W371" i="1"/>
  <c r="W1435" i="1"/>
  <c r="W116" i="1"/>
  <c r="W156" i="1"/>
  <c r="W1702" i="1"/>
  <c r="W1739" i="1"/>
  <c r="W1375" i="1"/>
  <c r="W1503" i="1"/>
  <c r="W1176" i="1"/>
  <c r="W16" i="1"/>
  <c r="W88" i="1"/>
  <c r="W184" i="1"/>
  <c r="W320" i="1"/>
  <c r="W672" i="1"/>
  <c r="W896" i="1"/>
  <c r="W936" i="1"/>
  <c r="W1408" i="1"/>
  <c r="W1600" i="1"/>
  <c r="W873" i="1"/>
  <c r="W1113" i="1"/>
  <c r="W136" i="1"/>
  <c r="W200" i="1"/>
  <c r="W264" i="1"/>
  <c r="W288" i="1"/>
  <c r="W336" i="1"/>
  <c r="W384" i="1"/>
  <c r="W496" i="1"/>
  <c r="W536" i="1"/>
  <c r="W568" i="1"/>
  <c r="W600" i="1"/>
  <c r="W624" i="1"/>
  <c r="W752" i="1"/>
  <c r="W768" i="1"/>
  <c r="W792" i="1"/>
  <c r="W824" i="1"/>
  <c r="W856" i="1"/>
  <c r="W912" i="1"/>
  <c r="W952" i="1"/>
  <c r="W1000" i="1"/>
  <c r="W1072" i="1"/>
  <c r="W1152" i="1"/>
  <c r="W1160" i="1"/>
  <c r="W1200" i="1"/>
  <c r="W1320" i="1"/>
  <c r="W1360" i="1"/>
  <c r="W1424" i="1"/>
  <c r="W1488" i="1"/>
  <c r="W1552" i="1"/>
  <c r="W1616" i="1"/>
  <c r="W81" i="1"/>
  <c r="W89" i="1"/>
  <c r="W113" i="1"/>
  <c r="W129" i="1"/>
  <c r="W273" i="1"/>
  <c r="W281" i="1"/>
  <c r="W329" i="1"/>
  <c r="W521" i="1"/>
  <c r="W529" i="1"/>
  <c r="W569" i="1"/>
  <c r="W633" i="1"/>
  <c r="W697" i="1"/>
  <c r="W761" i="1"/>
  <c r="W785" i="1"/>
  <c r="W889" i="1"/>
  <c r="W929" i="1"/>
  <c r="W1049" i="1"/>
  <c r="W1089" i="1"/>
  <c r="W1129" i="1"/>
  <c r="W1185" i="1"/>
  <c r="W1281" i="1"/>
  <c r="W1297" i="1"/>
  <c r="W1313" i="1"/>
  <c r="W1401" i="1"/>
  <c r="W1465" i="1"/>
  <c r="W1529" i="1"/>
  <c r="W1593" i="1"/>
  <c r="W1641" i="1"/>
  <c r="W1673" i="1"/>
  <c r="W1302" i="1"/>
  <c r="W1341" i="1"/>
  <c r="W82" i="1"/>
  <c r="W170" i="1"/>
  <c r="W274" i="1"/>
  <c r="W314" i="1"/>
  <c r="W434" i="1"/>
  <c r="W442" i="1"/>
  <c r="W466" i="1"/>
  <c r="W1347" i="1"/>
  <c r="W1698" i="1"/>
  <c r="W24" i="1"/>
  <c r="W32" i="1"/>
  <c r="W176" i="1"/>
  <c r="W256" i="1"/>
  <c r="W392" i="1"/>
  <c r="W408" i="1"/>
  <c r="W472" i="1"/>
  <c r="W544" i="1"/>
  <c r="W616" i="1"/>
  <c r="W664" i="1"/>
  <c r="W688" i="1"/>
  <c r="W704" i="1"/>
  <c r="W728" i="1"/>
  <c r="W888" i="1"/>
  <c r="W928" i="1"/>
  <c r="W976" i="1"/>
  <c r="W1016" i="1"/>
  <c r="W1032" i="1"/>
  <c r="W1080" i="1"/>
  <c r="W1168" i="1"/>
  <c r="W1224" i="1"/>
  <c r="W1272" i="1"/>
  <c r="W1296" i="1"/>
  <c r="W1328" i="1"/>
  <c r="W1368" i="1"/>
  <c r="W1432" i="1"/>
  <c r="W1496" i="1"/>
  <c r="W1560" i="1"/>
  <c r="W1624" i="1"/>
  <c r="W177" i="1"/>
  <c r="W369" i="1"/>
  <c r="W481" i="1"/>
  <c r="W505" i="1"/>
  <c r="W609" i="1"/>
  <c r="W673" i="1"/>
  <c r="W737" i="1"/>
  <c r="W793" i="1"/>
  <c r="W817" i="1"/>
  <c r="W857" i="1"/>
  <c r="W1105" i="1"/>
  <c r="W1225" i="1"/>
  <c r="W1321" i="1"/>
  <c r="W1337" i="1"/>
  <c r="W1361" i="1"/>
  <c r="W1425" i="1"/>
  <c r="W1489" i="1"/>
  <c r="W1553" i="1"/>
  <c r="W1617" i="1"/>
  <c r="W42" i="1"/>
  <c r="W58" i="1"/>
  <c r="W106" i="1"/>
  <c r="W146" i="1"/>
  <c r="W226" i="1"/>
  <c r="W234" i="1"/>
  <c r="W346" i="1"/>
  <c r="W378" i="1"/>
  <c r="W410" i="1"/>
  <c r="W418" i="1"/>
  <c r="W68" i="1"/>
  <c r="W373" i="1"/>
  <c r="W1469" i="1"/>
  <c r="W455" i="1"/>
  <c r="W919" i="1"/>
  <c r="W1439" i="1"/>
  <c r="W3" i="1"/>
  <c r="W1056" i="1"/>
  <c r="W65" i="1"/>
  <c r="W97" i="1"/>
  <c r="W225" i="1"/>
  <c r="W417" i="1"/>
  <c r="W745" i="1"/>
  <c r="W865" i="1"/>
  <c r="W1329" i="1"/>
  <c r="W1353" i="1"/>
  <c r="W1417" i="1"/>
  <c r="W1481" i="1"/>
  <c r="W1633" i="1"/>
  <c r="W1699" i="1"/>
  <c r="W112" i="1"/>
  <c r="W248" i="1"/>
  <c r="W368" i="1"/>
  <c r="W576" i="1"/>
  <c r="W808" i="1"/>
  <c r="W968" i="1"/>
  <c r="W1088" i="1"/>
  <c r="W1096" i="1"/>
  <c r="W1184" i="1"/>
  <c r="W1256" i="1"/>
  <c r="W1376" i="1"/>
  <c r="W1440" i="1"/>
  <c r="W1504" i="1"/>
  <c r="W1568" i="1"/>
  <c r="W193" i="1"/>
  <c r="W201" i="1"/>
  <c r="W257" i="1"/>
  <c r="W297" i="1"/>
  <c r="W345" i="1"/>
  <c r="W433" i="1"/>
  <c r="W457" i="1"/>
  <c r="W585" i="1"/>
  <c r="W649" i="1"/>
  <c r="W713" i="1"/>
  <c r="W801" i="1"/>
  <c r="W905" i="1"/>
  <c r="W945" i="1"/>
  <c r="W1001" i="1"/>
  <c r="W1065" i="1"/>
  <c r="W1145" i="1"/>
  <c r="W1201" i="1"/>
  <c r="W1241" i="1"/>
  <c r="W1257" i="1"/>
  <c r="W1273" i="1"/>
  <c r="W1385" i="1"/>
  <c r="W1449" i="1"/>
  <c r="W1513" i="1"/>
  <c r="W1577" i="1"/>
  <c r="W1649" i="1"/>
  <c r="W1190" i="1"/>
  <c r="W18" i="1"/>
  <c r="W186" i="1"/>
  <c r="W210" i="1"/>
  <c r="W290" i="1"/>
  <c r="W322" i="1"/>
  <c r="W386" i="1"/>
  <c r="W426" i="1"/>
  <c r="W482" i="1"/>
  <c r="W506" i="1"/>
  <c r="W714" i="1"/>
  <c r="W802" i="1"/>
  <c r="W882" i="1"/>
  <c r="W946" i="1"/>
  <c r="W994" i="1"/>
  <c r="W1026" i="1"/>
  <c r="W1154" i="1"/>
  <c r="W1186" i="1"/>
  <c r="W1202" i="1"/>
  <c r="W1218" i="1"/>
  <c r="W1354" i="1"/>
  <c r="W1418" i="1"/>
  <c r="W1482" i="1"/>
  <c r="W1546" i="1"/>
  <c r="W1610" i="1"/>
  <c r="W1664" i="1"/>
  <c r="W1680" i="1"/>
  <c r="W1720" i="1"/>
  <c r="W1736" i="1"/>
  <c r="W59" i="1"/>
  <c r="W67" i="1"/>
  <c r="W259" i="1"/>
  <c r="W315" i="1"/>
  <c r="W427" i="1"/>
  <c r="W491" i="1"/>
  <c r="W515" i="1"/>
  <c r="W523" i="1"/>
  <c r="W531" i="1"/>
  <c r="W555" i="1"/>
  <c r="W619" i="1"/>
  <c r="W683" i="1"/>
  <c r="W787" i="1"/>
  <c r="W811" i="1"/>
  <c r="W835" i="1"/>
  <c r="W843" i="1"/>
  <c r="W859" i="1"/>
  <c r="W915" i="1"/>
  <c r="W1099" i="1"/>
  <c r="W1139" i="1"/>
  <c r="W1243" i="1"/>
  <c r="W1339" i="1"/>
  <c r="W1363" i="1"/>
  <c r="W1427" i="1"/>
  <c r="W1491" i="1"/>
  <c r="W1555" i="1"/>
  <c r="W1619" i="1"/>
  <c r="W1134" i="1"/>
  <c r="W44" i="1"/>
  <c r="W76" i="1"/>
  <c r="W124" i="1"/>
  <c r="W164" i="1"/>
  <c r="W260" i="1"/>
  <c r="W436" i="1"/>
  <c r="W460" i="1"/>
  <c r="W652" i="1"/>
  <c r="W708" i="1"/>
  <c r="W772" i="1"/>
  <c r="W780" i="1"/>
  <c r="W844" i="1"/>
  <c r="W900" i="1"/>
  <c r="W964" i="1"/>
  <c r="W988" i="1"/>
  <c r="W1060" i="1"/>
  <c r="W1132" i="1"/>
  <c r="W1156" i="1"/>
  <c r="W1196" i="1"/>
  <c r="W1316" i="1"/>
  <c r="W1372" i="1"/>
  <c r="W1436" i="1"/>
  <c r="W1500" i="1"/>
  <c r="W1564" i="1"/>
  <c r="W69" i="1"/>
  <c r="W85" i="1"/>
  <c r="W101" i="1"/>
  <c r="W149" i="1"/>
  <c r="W221" i="1"/>
  <c r="W293" i="1"/>
  <c r="W445" i="1"/>
  <c r="W493" i="1"/>
  <c r="W501" i="1"/>
  <c r="W509" i="1"/>
  <c r="W557" i="1"/>
  <c r="W621" i="1"/>
  <c r="W685" i="1"/>
  <c r="W794" i="1"/>
  <c r="W1274" i="1"/>
  <c r="W516" i="1"/>
  <c r="W485" i="1"/>
  <c r="W279" i="1"/>
  <c r="W1567" i="1"/>
  <c r="W552" i="1"/>
  <c r="W1288" i="1"/>
  <c r="W145" i="1"/>
  <c r="W265" i="1"/>
  <c r="W489" i="1"/>
  <c r="W1609" i="1"/>
  <c r="W1682" i="1"/>
  <c r="W48" i="1"/>
  <c r="W240" i="1"/>
  <c r="W280" i="1"/>
  <c r="W448" i="1"/>
  <c r="W1683" i="1"/>
  <c r="W56" i="1"/>
  <c r="W328" i="1"/>
  <c r="W592" i="1"/>
  <c r="W744" i="1"/>
  <c r="W784" i="1"/>
  <c r="W904" i="1"/>
  <c r="W944" i="1"/>
  <c r="W1104" i="1"/>
  <c r="W1112" i="1"/>
  <c r="W1208" i="1"/>
  <c r="W1280" i="1"/>
  <c r="W1448" i="1"/>
  <c r="W1512" i="1"/>
  <c r="W1630" i="1"/>
  <c r="W9" i="1"/>
  <c r="W49" i="1"/>
  <c r="W73" i="1"/>
  <c r="W105" i="1"/>
  <c r="W153" i="1"/>
  <c r="W249" i="1"/>
  <c r="W305" i="1"/>
  <c r="W313" i="1"/>
  <c r="W321" i="1"/>
  <c r="W409" i="1"/>
  <c r="W497" i="1"/>
  <c r="W513" i="1"/>
  <c r="W561" i="1"/>
  <c r="W625" i="1"/>
  <c r="W689" i="1"/>
  <c r="W753" i="1"/>
  <c r="W809" i="1"/>
  <c r="W833" i="1"/>
  <c r="W881" i="1"/>
  <c r="W921" i="1"/>
  <c r="W977" i="1"/>
  <c r="W1017" i="1"/>
  <c r="W1041" i="1"/>
  <c r="W1121" i="1"/>
  <c r="W1161" i="1"/>
  <c r="W1409" i="1"/>
  <c r="W1473" i="1"/>
  <c r="W1537" i="1"/>
  <c r="W1601" i="1"/>
  <c r="W1318" i="1"/>
  <c r="W1694" i="1"/>
  <c r="W10" i="1"/>
  <c r="W74" i="1"/>
  <c r="W122" i="1"/>
  <c r="W162" i="1"/>
  <c r="W362" i="1"/>
  <c r="W394" i="1"/>
  <c r="W402" i="1"/>
  <c r="W458" i="1"/>
  <c r="W562" i="1"/>
  <c r="W650" i="1"/>
  <c r="W690" i="1"/>
  <c r="W754" i="1"/>
  <c r="W826" i="1"/>
  <c r="W842" i="1"/>
  <c r="W858" i="1"/>
  <c r="W922" i="1"/>
  <c r="W970" i="1"/>
  <c r="W1010" i="1"/>
  <c r="W1050" i="1"/>
  <c r="W1074" i="1"/>
  <c r="W1130" i="1"/>
  <c r="W1170" i="1"/>
  <c r="W1330" i="1"/>
  <c r="W1362" i="1"/>
  <c r="W1426" i="1"/>
  <c r="W1490" i="1"/>
  <c r="W1554" i="1"/>
  <c r="W1618" i="1"/>
  <c r="W1648" i="1"/>
  <c r="W1692" i="1"/>
  <c r="W1710" i="1"/>
  <c r="W1726" i="1"/>
  <c r="W107" i="1"/>
  <c r="W171" i="1"/>
  <c r="W195" i="1"/>
  <c r="W211" i="1"/>
  <c r="W235" i="1"/>
  <c r="W355" i="1"/>
  <c r="W379" i="1"/>
  <c r="W387" i="1"/>
  <c r="W467" i="1"/>
  <c r="W595" i="1"/>
  <c r="W659" i="1"/>
  <c r="W723" i="1"/>
  <c r="W763" i="1"/>
  <c r="W779" i="1"/>
  <c r="W891" i="1"/>
  <c r="W955" i="1"/>
  <c r="W1003" i="1"/>
  <c r="W1019" i="1"/>
  <c r="W1059" i="1"/>
  <c r="W1155" i="1"/>
  <c r="W1259" i="1"/>
  <c r="W1275" i="1"/>
  <c r="W1291" i="1"/>
  <c r="W1307" i="1"/>
  <c r="W1387" i="1"/>
  <c r="W1451" i="1"/>
  <c r="W1515" i="1"/>
  <c r="W1579" i="1"/>
  <c r="W1651" i="1"/>
  <c r="W1691" i="1"/>
  <c r="W1182" i="1"/>
  <c r="W1634" i="1"/>
  <c r="W1650" i="1"/>
  <c r="W1690" i="1"/>
  <c r="W28" i="1"/>
  <c r="W100" i="1"/>
  <c r="W140" i="1"/>
  <c r="W204" i="1"/>
  <c r="W236" i="1"/>
  <c r="W340" i="1"/>
  <c r="W364" i="1"/>
  <c r="W372" i="1"/>
  <c r="W428" i="1"/>
  <c r="W524" i="1"/>
  <c r="W556" i="1"/>
  <c r="W596" i="1"/>
  <c r="W628" i="1"/>
  <c r="W684" i="1"/>
  <c r="W748" i="1"/>
  <c r="W852" i="1"/>
  <c r="W940" i="1"/>
  <c r="W1052" i="1"/>
  <c r="W1076" i="1"/>
  <c r="W1148" i="1"/>
  <c r="W1276" i="1"/>
  <c r="W1380" i="1"/>
  <c r="W1444" i="1"/>
  <c r="W1508" i="1"/>
  <c r="W1572" i="1"/>
  <c r="W863" i="1"/>
  <c r="W1638" i="1"/>
  <c r="W1688" i="1"/>
  <c r="W1707" i="1"/>
  <c r="W37" i="1"/>
  <c r="W165" i="1"/>
  <c r="W189" i="1"/>
  <c r="W261" i="1"/>
  <c r="W357" i="1"/>
  <c r="W381" i="1"/>
  <c r="W421" i="1"/>
  <c r="W469" i="1"/>
  <c r="W549" i="1"/>
  <c r="W597" i="1"/>
  <c r="W661" i="1"/>
  <c r="W1700" i="1"/>
  <c r="W1162" i="1"/>
  <c r="W483" i="1"/>
  <c r="W675" i="1"/>
  <c r="W1171" i="1"/>
  <c r="W1371" i="1"/>
  <c r="Q1" i="1"/>
  <c r="W1053" i="1"/>
  <c r="W1597" i="1"/>
  <c r="W102" i="1"/>
  <c r="W432" i="1"/>
  <c r="W480" i="1"/>
  <c r="W584" i="1"/>
  <c r="W608" i="1"/>
  <c r="W864" i="1"/>
  <c r="W984" i="1"/>
  <c r="W1136" i="1"/>
  <c r="W1216" i="1"/>
  <c r="W1536" i="1"/>
  <c r="W161" i="1"/>
  <c r="W185" i="1"/>
  <c r="W209" i="1"/>
  <c r="W617" i="1"/>
  <c r="W969" i="1"/>
  <c r="W1198" i="1"/>
  <c r="W96" i="1"/>
  <c r="W64" i="1"/>
  <c r="W152" i="1"/>
  <c r="W272" i="1"/>
  <c r="W352" i="1"/>
  <c r="W400" i="1"/>
  <c r="W640" i="1"/>
  <c r="W1230" i="1"/>
  <c r="W192" i="1"/>
  <c r="W424" i="1"/>
  <c r="W488" i="1"/>
  <c r="W816" i="1"/>
  <c r="W848" i="1"/>
  <c r="W992" i="1"/>
  <c r="W1240" i="1"/>
  <c r="W1384" i="1"/>
  <c r="W1576" i="1"/>
  <c r="W1646" i="1"/>
  <c r="W57" i="1"/>
  <c r="W1290" i="1"/>
  <c r="W1660" i="1"/>
  <c r="W80" i="1"/>
  <c r="W128" i="1"/>
  <c r="W168" i="1"/>
  <c r="W216" i="1"/>
  <c r="W296" i="1"/>
  <c r="W416" i="1"/>
  <c r="W464" i="1"/>
  <c r="W504" i="1"/>
  <c r="W528" i="1"/>
  <c r="W656" i="1"/>
  <c r="W680" i="1"/>
  <c r="W720" i="1"/>
  <c r="W736" i="1"/>
  <c r="W840" i="1"/>
  <c r="W880" i="1"/>
  <c r="W1120" i="1"/>
  <c r="W1232" i="1"/>
  <c r="W1264" i="1"/>
  <c r="W1304" i="1"/>
  <c r="W1336" i="1"/>
  <c r="W1392" i="1"/>
  <c r="W1456" i="1"/>
  <c r="W1520" i="1"/>
  <c r="W1584" i="1"/>
  <c r="W1268" i="1"/>
  <c r="W41" i="1"/>
  <c r="W217" i="1"/>
  <c r="W241" i="1"/>
  <c r="W361" i="1"/>
  <c r="W473" i="1"/>
  <c r="W601" i="1"/>
  <c r="W665" i="1"/>
  <c r="W729" i="1"/>
  <c r="W849" i="1"/>
  <c r="W961" i="1"/>
  <c r="W1081" i="1"/>
  <c r="W1217" i="1"/>
  <c r="W1289" i="1"/>
  <c r="W1305" i="1"/>
  <c r="W1369" i="1"/>
  <c r="W1433" i="1"/>
  <c r="W1497" i="1"/>
  <c r="W1561" i="1"/>
  <c r="W1625" i="1"/>
  <c r="W1657" i="1"/>
  <c r="W1695" i="1"/>
  <c r="W34" i="1"/>
  <c r="W98" i="1"/>
  <c r="W138" i="1"/>
  <c r="W202" i="1"/>
  <c r="W218" i="1"/>
  <c r="W242" i="1"/>
  <c r="W258" i="1"/>
  <c r="W306" i="1"/>
  <c r="W338" i="1"/>
  <c r="W498" i="1"/>
  <c r="W514" i="1"/>
  <c r="W522" i="1"/>
  <c r="W626" i="1"/>
  <c r="W730" i="1"/>
  <c r="W898" i="1"/>
  <c r="W962" i="1"/>
  <c r="W1090" i="1"/>
  <c r="W1146" i="1"/>
  <c r="W1370" i="1"/>
  <c r="W1434" i="1"/>
  <c r="W1498" i="1"/>
  <c r="W1562" i="1"/>
  <c r="W1626" i="1"/>
  <c r="W1632" i="1"/>
  <c r="W1693" i="1"/>
  <c r="W1716" i="1"/>
  <c r="W1732" i="1"/>
  <c r="W43" i="1"/>
  <c r="W123" i="1"/>
  <c r="W131" i="1"/>
  <c r="W163" i="1"/>
  <c r="W267" i="1"/>
  <c r="W331" i="1"/>
  <c r="W443" i="1"/>
  <c r="W539" i="1"/>
  <c r="W571" i="1"/>
  <c r="W635" i="1"/>
  <c r="W699" i="1"/>
  <c r="W739" i="1"/>
  <c r="W803" i="1"/>
  <c r="W931" i="1"/>
  <c r="W979" i="1"/>
  <c r="W1027" i="1"/>
  <c r="W1035" i="1"/>
  <c r="W1075" i="1"/>
  <c r="W1115" i="1"/>
  <c r="W1187" i="1"/>
  <c r="W1203" i="1"/>
  <c r="W1219" i="1"/>
  <c r="W1323" i="1"/>
  <c r="W1411" i="1"/>
  <c r="W1475" i="1"/>
  <c r="W1539" i="1"/>
  <c r="W1603" i="1"/>
  <c r="W1636" i="1"/>
  <c r="W1652" i="1"/>
  <c r="W1668" i="1"/>
  <c r="W180" i="1"/>
  <c r="W388" i="1"/>
  <c r="W476" i="1"/>
  <c r="W500" i="1"/>
  <c r="W508" i="1"/>
  <c r="W564" i="1"/>
  <c r="W612" i="1"/>
  <c r="W668" i="1"/>
  <c r="W724" i="1"/>
  <c r="W796" i="1"/>
  <c r="W828" i="1"/>
  <c r="W876" i="1"/>
  <c r="W916" i="1"/>
  <c r="W1004" i="1"/>
  <c r="W1020" i="1"/>
  <c r="W1068" i="1"/>
  <c r="W1092" i="1"/>
  <c r="W1172" i="1"/>
  <c r="W1212" i="1"/>
  <c r="W1300" i="1"/>
  <c r="W1388" i="1"/>
  <c r="W1452" i="1"/>
  <c r="W1516" i="1"/>
  <c r="W1580" i="1"/>
  <c r="W1689" i="1"/>
  <c r="W117" i="1"/>
  <c r="W133" i="1"/>
  <c r="W205" i="1"/>
  <c r="W237" i="1"/>
  <c r="W309" i="1"/>
  <c r="W317" i="1"/>
  <c r="W333" i="1"/>
  <c r="W517" i="1"/>
  <c r="W525" i="1"/>
  <c r="W573" i="1"/>
  <c r="W637" i="1"/>
  <c r="W701" i="1"/>
  <c r="W765" i="1"/>
  <c r="W805" i="1"/>
  <c r="W821" i="1"/>
  <c r="W853" i="1"/>
  <c r="W933" i="1"/>
  <c r="W989" i="1"/>
  <c r="W1093" i="1"/>
  <c r="W1133" i="1"/>
  <c r="W1173" i="1"/>
  <c r="W1237" i="1"/>
  <c r="W1253" i="1"/>
  <c r="W1269" i="1"/>
  <c r="W1381" i="1"/>
  <c r="W1445" i="1"/>
  <c r="W1509" i="1"/>
  <c r="W1573" i="1"/>
  <c r="W1645" i="1"/>
  <c r="W1701" i="1"/>
  <c r="W78" i="1"/>
  <c r="W126" i="1"/>
  <c r="W166" i="1"/>
  <c r="W382" i="1"/>
  <c r="W462" i="1"/>
  <c r="W534" i="1"/>
  <c r="W614" i="1"/>
  <c r="W654" i="1"/>
  <c r="W726" i="1"/>
  <c r="W782" i="1"/>
  <c r="W902" i="1"/>
  <c r="W1006" i="1"/>
  <c r="W1102" i="1"/>
  <c r="W1142" i="1"/>
  <c r="W1238" i="1"/>
  <c r="W1358" i="1"/>
  <c r="W1422" i="1"/>
  <c r="W1486" i="1"/>
  <c r="W1550" i="1"/>
  <c r="W1614" i="1"/>
  <c r="W1717" i="1"/>
  <c r="W1733" i="1"/>
  <c r="W31" i="1"/>
  <c r="W47" i="1"/>
  <c r="W119" i="1"/>
  <c r="W159" i="1"/>
  <c r="W183" i="1"/>
  <c r="W207" i="1"/>
  <c r="W223" i="1"/>
  <c r="W239" i="1"/>
  <c r="W247" i="1"/>
  <c r="W367" i="1"/>
  <c r="W479" i="1"/>
  <c r="W535" i="1"/>
  <c r="W607" i="1"/>
  <c r="W671" i="1"/>
  <c r="W735" i="1"/>
  <c r="W823" i="1"/>
  <c r="W879" i="1"/>
  <c r="W943" i="1"/>
  <c r="W1119" i="1"/>
  <c r="W1199" i="1"/>
  <c r="W1343" i="1"/>
  <c r="W1415" i="1"/>
  <c r="W1479" i="1"/>
  <c r="W1543" i="1"/>
  <c r="W1607" i="1"/>
  <c r="W1631" i="1"/>
  <c r="W1663" i="1"/>
  <c r="W578" i="1"/>
  <c r="W642" i="1"/>
  <c r="W682" i="1"/>
  <c r="W746" i="1"/>
  <c r="W818" i="1"/>
  <c r="W850" i="1"/>
  <c r="W914" i="1"/>
  <c r="W1002" i="1"/>
  <c r="W1082" i="1"/>
  <c r="W1178" i="1"/>
  <c r="W1194" i="1"/>
  <c r="W1210" i="1"/>
  <c r="W1226" i="1"/>
  <c r="W1258" i="1"/>
  <c r="W1338" i="1"/>
  <c r="W1386" i="1"/>
  <c r="W1450" i="1"/>
  <c r="W1514" i="1"/>
  <c r="W1578" i="1"/>
  <c r="W1712" i="1"/>
  <c r="W1728" i="1"/>
  <c r="W99" i="1"/>
  <c r="W179" i="1"/>
  <c r="W187" i="1"/>
  <c r="W227" i="1"/>
  <c r="W275" i="1"/>
  <c r="W283" i="1"/>
  <c r="W347" i="1"/>
  <c r="W395" i="1"/>
  <c r="W459" i="1"/>
  <c r="W547" i="1"/>
  <c r="W587" i="1"/>
  <c r="W651" i="1"/>
  <c r="W715" i="1"/>
  <c r="W755" i="1"/>
  <c r="W883" i="1"/>
  <c r="W947" i="1"/>
  <c r="W995" i="1"/>
  <c r="W1051" i="1"/>
  <c r="W1131" i="1"/>
  <c r="W1235" i="1"/>
  <c r="W1395" i="1"/>
  <c r="W1459" i="1"/>
  <c r="W1523" i="1"/>
  <c r="W1587" i="1"/>
  <c r="W92" i="1"/>
  <c r="W132" i="1"/>
  <c r="W196" i="1"/>
  <c r="W276" i="1"/>
  <c r="W292" i="1"/>
  <c r="W332" i="1"/>
  <c r="W404" i="1"/>
  <c r="W492" i="1"/>
  <c r="W588" i="1"/>
  <c r="W620" i="1"/>
  <c r="W676" i="1"/>
  <c r="W740" i="1"/>
  <c r="W812" i="1"/>
  <c r="W892" i="1"/>
  <c r="W932" i="1"/>
  <c r="W980" i="1"/>
  <c r="W1108" i="1"/>
  <c r="W1228" i="1"/>
  <c r="W1260" i="1"/>
  <c r="W1284" i="1"/>
  <c r="W1404" i="1"/>
  <c r="W1468" i="1"/>
  <c r="W1532" i="1"/>
  <c r="W1596" i="1"/>
  <c r="W5" i="1"/>
  <c r="W213" i="1"/>
  <c r="W253" i="1"/>
  <c r="W285" i="1"/>
  <c r="W349" i="1"/>
  <c r="W397" i="1"/>
  <c r="W413" i="1"/>
  <c r="W461" i="1"/>
  <c r="W533" i="1"/>
  <c r="W541" i="1"/>
  <c r="W589" i="1"/>
  <c r="W653" i="1"/>
  <c r="W1709" i="1"/>
  <c r="W228" i="1"/>
  <c r="W284" i="1"/>
  <c r="W300" i="1"/>
  <c r="W308" i="1"/>
  <c r="W316" i="1"/>
  <c r="W380" i="1"/>
  <c r="W396" i="1"/>
  <c r="W468" i="1"/>
  <c r="W532" i="1"/>
  <c r="W580" i="1"/>
  <c r="W660" i="1"/>
  <c r="W716" i="1"/>
  <c r="W788" i="1"/>
  <c r="W820" i="1"/>
  <c r="W908" i="1"/>
  <c r="W996" i="1"/>
  <c r="W1028" i="1"/>
  <c r="W1100" i="1"/>
  <c r="W1204" i="1"/>
  <c r="W1244" i="1"/>
  <c r="W1252" i="1"/>
  <c r="W1308" i="1"/>
  <c r="W1332" i="1"/>
  <c r="W1412" i="1"/>
  <c r="W1476" i="1"/>
  <c r="W1540" i="1"/>
  <c r="W1604" i="1"/>
  <c r="W1670" i="1"/>
  <c r="W13" i="1"/>
  <c r="W77" i="1"/>
  <c r="W109" i="1"/>
  <c r="W325" i="1"/>
  <c r="W389" i="1"/>
  <c r="W437" i="1"/>
  <c r="W565" i="1"/>
  <c r="W629" i="1"/>
  <c r="W693" i="1"/>
  <c r="W757" i="1"/>
  <c r="W781" i="1"/>
  <c r="W885" i="1"/>
  <c r="W925" i="1"/>
  <c r="W965" i="1"/>
  <c r="W981" i="1"/>
  <c r="W1085" i="1"/>
  <c r="W1125" i="1"/>
  <c r="W1165" i="1"/>
  <c r="W1181" i="1"/>
  <c r="W1197" i="1"/>
  <c r="W1213" i="1"/>
  <c r="W1229" i="1"/>
  <c r="W1389" i="1"/>
  <c r="W1453" i="1"/>
  <c r="W1517" i="1"/>
  <c r="W1581" i="1"/>
  <c r="W1686" i="1"/>
  <c r="W46" i="1"/>
  <c r="W70" i="1"/>
  <c r="W118" i="1"/>
  <c r="W158" i="1"/>
  <c r="W238" i="1"/>
  <c r="W262" i="1"/>
  <c r="W270" i="1"/>
  <c r="W302" i="1"/>
  <c r="W358" i="1"/>
  <c r="W422" i="1"/>
  <c r="W438" i="1"/>
  <c r="W454" i="1"/>
  <c r="W518" i="1"/>
  <c r="W526" i="1"/>
  <c r="W566" i="1"/>
  <c r="W646" i="1"/>
  <c r="W718" i="1"/>
  <c r="W822" i="1"/>
  <c r="W862" i="1"/>
  <c r="W894" i="1"/>
  <c r="W1022" i="1"/>
  <c r="W1046" i="1"/>
  <c r="W1062" i="1"/>
  <c r="W1382" i="1"/>
  <c r="W1446" i="1"/>
  <c r="W1510" i="1"/>
  <c r="W1574" i="1"/>
  <c r="W1735" i="1"/>
  <c r="W87" i="1"/>
  <c r="W111" i="1"/>
  <c r="W199" i="1"/>
  <c r="W295" i="1"/>
  <c r="W359" i="1"/>
  <c r="W391" i="1"/>
  <c r="W431" i="1"/>
  <c r="W471" i="1"/>
  <c r="W599" i="1"/>
  <c r="W663" i="1"/>
  <c r="W727" i="1"/>
  <c r="W815" i="1"/>
  <c r="W871" i="1"/>
  <c r="W935" i="1"/>
  <c r="W983" i="1"/>
  <c r="W1095" i="1"/>
  <c r="W1191" i="1"/>
  <c r="W1271" i="1"/>
  <c r="W1359" i="1"/>
  <c r="W1423" i="1"/>
  <c r="W1487" i="1"/>
  <c r="W1551" i="1"/>
  <c r="W1615" i="1"/>
  <c r="W546" i="1"/>
  <c r="W586" i="1"/>
  <c r="W602" i="1"/>
  <c r="W658" i="1"/>
  <c r="W698" i="1"/>
  <c r="W762" i="1"/>
  <c r="W778" i="1"/>
  <c r="W786" i="1"/>
  <c r="W834" i="1"/>
  <c r="W866" i="1"/>
  <c r="W930" i="1"/>
  <c r="W978" i="1"/>
  <c r="W1018" i="1"/>
  <c r="W1250" i="1"/>
  <c r="W1346" i="1"/>
  <c r="W1402" i="1"/>
  <c r="W1466" i="1"/>
  <c r="W1530" i="1"/>
  <c r="W1594" i="1"/>
  <c r="W1724" i="1"/>
  <c r="W1740" i="1"/>
  <c r="W51" i="1"/>
  <c r="W115" i="1"/>
  <c r="W203" i="1"/>
  <c r="W243" i="1"/>
  <c r="W299" i="1"/>
  <c r="W307" i="1"/>
  <c r="W363" i="1"/>
  <c r="W475" i="1"/>
  <c r="W507" i="1"/>
  <c r="W603" i="1"/>
  <c r="W667" i="1"/>
  <c r="W731" i="1"/>
  <c r="W771" i="1"/>
  <c r="W795" i="1"/>
  <c r="W819" i="1"/>
  <c r="W899" i="1"/>
  <c r="W963" i="1"/>
  <c r="W1011" i="1"/>
  <c r="W1067" i="1"/>
  <c r="W1163" i="1"/>
  <c r="W1179" i="1"/>
  <c r="W1195" i="1"/>
  <c r="W1211" i="1"/>
  <c r="W1227" i="1"/>
  <c r="W1267" i="1"/>
  <c r="W1379" i="1"/>
  <c r="W1443" i="1"/>
  <c r="W1507" i="1"/>
  <c r="W1571" i="1"/>
  <c r="W1706" i="1"/>
  <c r="W60" i="1"/>
  <c r="W108" i="1"/>
  <c r="W148" i="1"/>
  <c r="W244" i="1"/>
  <c r="W348" i="1"/>
  <c r="W420" i="1"/>
  <c r="W540" i="1"/>
  <c r="W636" i="1"/>
  <c r="W692" i="1"/>
  <c r="W756" i="1"/>
  <c r="W860" i="1"/>
  <c r="W948" i="1"/>
  <c r="W1044" i="1"/>
  <c r="W1124" i="1"/>
  <c r="W1180" i="1"/>
  <c r="W1356" i="1"/>
  <c r="W1420" i="1"/>
  <c r="W1484" i="1"/>
  <c r="W1548" i="1"/>
  <c r="W1612" i="1"/>
  <c r="W1704" i="1"/>
  <c r="W21" i="1"/>
  <c r="W45" i="1"/>
  <c r="W157" i="1"/>
  <c r="W229" i="1"/>
  <c r="W269" i="1"/>
  <c r="W277" i="1"/>
  <c r="W301" i="1"/>
  <c r="W365" i="1"/>
  <c r="W429" i="1"/>
  <c r="W477" i="1"/>
  <c r="W605" i="1"/>
  <c r="W669" i="1"/>
  <c r="W1685" i="1"/>
  <c r="W554" i="1"/>
  <c r="W610" i="1"/>
  <c r="W634" i="1"/>
  <c r="W674" i="1"/>
  <c r="W738" i="1"/>
  <c r="W906" i="1"/>
  <c r="W1034" i="1"/>
  <c r="W1058" i="1"/>
  <c r="W1114" i="1"/>
  <c r="W1138" i="1"/>
  <c r="W1234" i="1"/>
  <c r="W1282" i="1"/>
  <c r="W1410" i="1"/>
  <c r="W1474" i="1"/>
  <c r="W1538" i="1"/>
  <c r="W1602" i="1"/>
  <c r="W1331" i="1"/>
  <c r="W1714" i="1"/>
  <c r="W1730" i="1"/>
  <c r="W19" i="1"/>
  <c r="W27" i="1"/>
  <c r="W91" i="1"/>
  <c r="W139" i="1"/>
  <c r="W147" i="1"/>
  <c r="W251" i="1"/>
  <c r="W339" i="1"/>
  <c r="W435" i="1"/>
  <c r="W451" i="1"/>
  <c r="W579" i="1"/>
  <c r="W643" i="1"/>
  <c r="W707" i="1"/>
  <c r="W747" i="1"/>
  <c r="W875" i="1"/>
  <c r="W939" i="1"/>
  <c r="W987" i="1"/>
  <c r="W1043" i="1"/>
  <c r="W1083" i="1"/>
  <c r="W1123" i="1"/>
  <c r="W1403" i="1"/>
  <c r="W1467" i="1"/>
  <c r="W1531" i="1"/>
  <c r="W1595" i="1"/>
  <c r="W1643" i="1"/>
  <c r="W12" i="1"/>
  <c r="W20" i="1"/>
  <c r="W188" i="1"/>
  <c r="W220" i="1"/>
  <c r="W268" i="1"/>
  <c r="W324" i="1"/>
  <c r="W412" i="1"/>
  <c r="W484" i="1"/>
  <c r="W548" i="1"/>
  <c r="W604" i="1"/>
  <c r="W732" i="1"/>
  <c r="W804" i="1"/>
  <c r="W836" i="1"/>
  <c r="W884" i="1"/>
  <c r="W924" i="1"/>
  <c r="W972" i="1"/>
  <c r="W1012" i="1"/>
  <c r="W1036" i="1"/>
  <c r="W1116" i="1"/>
  <c r="W1140" i="1"/>
  <c r="W1220" i="1"/>
  <c r="W1292" i="1"/>
  <c r="W1340" i="1"/>
  <c r="W1348" i="1"/>
  <c r="W1364" i="1"/>
  <c r="W1428" i="1"/>
  <c r="W1492" i="1"/>
  <c r="W1556" i="1"/>
  <c r="W1620" i="1"/>
  <c r="W1628" i="1"/>
  <c r="W1654" i="1"/>
  <c r="W1705" i="1"/>
  <c r="W29" i="1"/>
  <c r="W53" i="1"/>
  <c r="W141" i="1"/>
  <c r="W173" i="1"/>
  <c r="W197" i="1"/>
  <c r="W341" i="1"/>
  <c r="W405" i="1"/>
  <c r="W453" i="1"/>
  <c r="W581" i="1"/>
  <c r="W645" i="1"/>
  <c r="W709" i="1"/>
  <c r="W1118" i="1"/>
  <c r="W1715" i="1"/>
  <c r="W1713" i="1"/>
  <c r="W717" i="1"/>
  <c r="W837" i="1"/>
  <c r="W869" i="1"/>
  <c r="W949" i="1"/>
  <c r="W1005" i="1"/>
  <c r="W1029" i="1"/>
  <c r="W1069" i="1"/>
  <c r="W1109" i="1"/>
  <c r="W1285" i="1"/>
  <c r="W1301" i="1"/>
  <c r="W1317" i="1"/>
  <c r="W1365" i="1"/>
  <c r="W1429" i="1"/>
  <c r="W1493" i="1"/>
  <c r="W1557" i="1"/>
  <c r="W1621" i="1"/>
  <c r="W1653" i="1"/>
  <c r="W1278" i="1"/>
  <c r="W1640" i="1"/>
  <c r="W1656" i="1"/>
  <c r="W1672" i="1"/>
  <c r="W1703" i="1"/>
  <c r="W14" i="1"/>
  <c r="W182" i="1"/>
  <c r="W230" i="1"/>
  <c r="W374" i="1"/>
  <c r="W446" i="1"/>
  <c r="W478" i="1"/>
  <c r="W542" i="1"/>
  <c r="W582" i="1"/>
  <c r="W590" i="1"/>
  <c r="W670" i="1"/>
  <c r="W678" i="1"/>
  <c r="W742" i="1"/>
  <c r="W798" i="1"/>
  <c r="W870" i="1"/>
  <c r="W918" i="1"/>
  <c r="W958" i="1"/>
  <c r="W982" i="1"/>
  <c r="W1150" i="1"/>
  <c r="W1158" i="1"/>
  <c r="W1374" i="1"/>
  <c r="W1438" i="1"/>
  <c r="W1502" i="1"/>
  <c r="W1566" i="1"/>
  <c r="W1719" i="1"/>
  <c r="W1729" i="1"/>
  <c r="W7" i="1"/>
  <c r="W55" i="1"/>
  <c r="W71" i="1"/>
  <c r="W151" i="1"/>
  <c r="W175" i="1"/>
  <c r="W263" i="1"/>
  <c r="W319" i="1"/>
  <c r="W495" i="1"/>
  <c r="W543" i="1"/>
  <c r="W551" i="1"/>
  <c r="W559" i="1"/>
  <c r="W623" i="1"/>
  <c r="W687" i="1"/>
  <c r="W751" i="1"/>
  <c r="W807" i="1"/>
  <c r="W839" i="1"/>
  <c r="W895" i="1"/>
  <c r="W959" i="1"/>
  <c r="W1055" i="1"/>
  <c r="W1135" i="1"/>
  <c r="W1175" i="1"/>
  <c r="W1215" i="1"/>
  <c r="W1255" i="1"/>
  <c r="W1287" i="1"/>
  <c r="W1303" i="1"/>
  <c r="W1319" i="1"/>
  <c r="W1399" i="1"/>
  <c r="W1463" i="1"/>
  <c r="W1527" i="1"/>
  <c r="W1591" i="1"/>
  <c r="W1639" i="1"/>
  <c r="W1671" i="1"/>
  <c r="W1723" i="1"/>
  <c r="W1684" i="1"/>
  <c r="W1721" i="1"/>
  <c r="W733" i="1"/>
  <c r="W901" i="1"/>
  <c r="W1045" i="1"/>
  <c r="W1141" i="1"/>
  <c r="W1245" i="1"/>
  <c r="W1261" i="1"/>
  <c r="W1413" i="1"/>
  <c r="W1477" i="1"/>
  <c r="W1541" i="1"/>
  <c r="W1605" i="1"/>
  <c r="W1629" i="1"/>
  <c r="W1661" i="1"/>
  <c r="W1206" i="1"/>
  <c r="W1294" i="1"/>
  <c r="W1687" i="1"/>
  <c r="W30" i="1"/>
  <c r="W94" i="1"/>
  <c r="W134" i="1"/>
  <c r="W198" i="1"/>
  <c r="W222" i="1"/>
  <c r="W246" i="1"/>
  <c r="W278" i="1"/>
  <c r="W334" i="1"/>
  <c r="W366" i="1"/>
  <c r="W398" i="1"/>
  <c r="W494" i="1"/>
  <c r="W502" i="1"/>
  <c r="W574" i="1"/>
  <c r="W622" i="1"/>
  <c r="W694" i="1"/>
  <c r="W758" i="1"/>
  <c r="W814" i="1"/>
  <c r="W838" i="1"/>
  <c r="W934" i="1"/>
  <c r="W998" i="1"/>
  <c r="W1030" i="1"/>
  <c r="W1038" i="1"/>
  <c r="W1078" i="1"/>
  <c r="W1166" i="1"/>
  <c r="W1174" i="1"/>
  <c r="W1350" i="1"/>
  <c r="W1390" i="1"/>
  <c r="W1454" i="1"/>
  <c r="W1518" i="1"/>
  <c r="W1582" i="1"/>
  <c r="W1725" i="1"/>
  <c r="W1741" i="1"/>
  <c r="W23" i="1"/>
  <c r="W135" i="1"/>
  <c r="W231" i="1"/>
  <c r="W271" i="1"/>
  <c r="W335" i="1"/>
  <c r="W503" i="1"/>
  <c r="W527" i="1"/>
  <c r="W575" i="1"/>
  <c r="W639" i="1"/>
  <c r="W703" i="1"/>
  <c r="W767" i="1"/>
  <c r="W847" i="1"/>
  <c r="W911" i="1"/>
  <c r="W999" i="1"/>
  <c r="W1071" i="1"/>
  <c r="W1111" i="1"/>
  <c r="W1151" i="1"/>
  <c r="W1231" i="1"/>
  <c r="W1383" i="1"/>
  <c r="W1447" i="1"/>
  <c r="W1511" i="1"/>
  <c r="W1575" i="1"/>
  <c r="W1647" i="1"/>
  <c r="W773" i="1"/>
  <c r="W797" i="1"/>
  <c r="W861" i="1"/>
  <c r="W941" i="1"/>
  <c r="W997" i="1"/>
  <c r="W1061" i="1"/>
  <c r="W1101" i="1"/>
  <c r="W1325" i="1"/>
  <c r="W1373" i="1"/>
  <c r="W1437" i="1"/>
  <c r="W1501" i="1"/>
  <c r="W1565" i="1"/>
  <c r="W1679" i="1"/>
  <c r="W6" i="1"/>
  <c r="W174" i="1"/>
  <c r="W414" i="1"/>
  <c r="W430" i="1"/>
  <c r="W470" i="1"/>
  <c r="W598" i="1"/>
  <c r="W606" i="1"/>
  <c r="W662" i="1"/>
  <c r="W734" i="1"/>
  <c r="W790" i="1"/>
  <c r="W910" i="1"/>
  <c r="W950" i="1"/>
  <c r="W974" i="1"/>
  <c r="W1014" i="1"/>
  <c r="W1398" i="1"/>
  <c r="W1462" i="1"/>
  <c r="W1526" i="1"/>
  <c r="W1590" i="1"/>
  <c r="W1731" i="1"/>
  <c r="W63" i="1"/>
  <c r="W383" i="1"/>
  <c r="W407" i="1"/>
  <c r="W487" i="1"/>
  <c r="W615" i="1"/>
  <c r="W679" i="1"/>
  <c r="W743" i="1"/>
  <c r="W831" i="1"/>
  <c r="W887" i="1"/>
  <c r="W951" i="1"/>
  <c r="W1127" i="1"/>
  <c r="W1167" i="1"/>
  <c r="W1207" i="1"/>
  <c r="W1335" i="1"/>
  <c r="W1407" i="1"/>
  <c r="W1471" i="1"/>
  <c r="W1535" i="1"/>
  <c r="W1599" i="1"/>
  <c r="W1642" i="1"/>
  <c r="W749" i="1"/>
  <c r="W789" i="1"/>
  <c r="W829" i="1"/>
  <c r="W877" i="1"/>
  <c r="W917" i="1"/>
  <c r="W957" i="1"/>
  <c r="W973" i="1"/>
  <c r="W1077" i="1"/>
  <c r="W1157" i="1"/>
  <c r="W1277" i="1"/>
  <c r="W1293" i="1"/>
  <c r="W1309" i="1"/>
  <c r="W1349" i="1"/>
  <c r="W1397" i="1"/>
  <c r="W1461" i="1"/>
  <c r="W1525" i="1"/>
  <c r="W1589" i="1"/>
  <c r="W1637" i="1"/>
  <c r="W1669" i="1"/>
  <c r="W1310" i="1"/>
  <c r="W54" i="1"/>
  <c r="W62" i="1"/>
  <c r="W86" i="1"/>
  <c r="W110" i="1"/>
  <c r="W150" i="1"/>
  <c r="W294" i="1"/>
  <c r="W350" i="1"/>
  <c r="W390" i="1"/>
  <c r="W406" i="1"/>
  <c r="W510" i="1"/>
  <c r="W558" i="1"/>
  <c r="W638" i="1"/>
  <c r="W710" i="1"/>
  <c r="W774" i="1"/>
  <c r="W854" i="1"/>
  <c r="W886" i="1"/>
  <c r="W1086" i="1"/>
  <c r="W1094" i="1"/>
  <c r="W1262" i="1"/>
  <c r="W1270" i="1"/>
  <c r="W1406" i="1"/>
  <c r="W1470" i="1"/>
  <c r="W1534" i="1"/>
  <c r="W1598" i="1"/>
  <c r="W1711" i="1"/>
  <c r="W1737" i="1"/>
  <c r="W15" i="1"/>
  <c r="W103" i="1"/>
  <c r="W127" i="1"/>
  <c r="W167" i="1"/>
  <c r="W191" i="1"/>
  <c r="W351" i="1"/>
  <c r="W375" i="1"/>
  <c r="W447" i="1"/>
  <c r="W463" i="1"/>
  <c r="W511" i="1"/>
  <c r="W519" i="1"/>
  <c r="W591" i="1"/>
  <c r="W655" i="1"/>
  <c r="W719" i="1"/>
  <c r="W927" i="1"/>
  <c r="W975" i="1"/>
  <c r="W1047" i="1"/>
  <c r="W1087" i="1"/>
  <c r="W1183" i="1"/>
  <c r="W1247" i="1"/>
  <c r="W1279" i="1"/>
  <c r="W1295" i="1"/>
  <c r="W1311" i="1"/>
  <c r="W1351" i="1"/>
  <c r="W1367" i="1"/>
  <c r="W1431" i="1"/>
  <c r="W1495" i="1"/>
  <c r="W1559" i="1"/>
  <c r="W1623" i="1"/>
  <c r="W1655" i="1"/>
  <c r="W1658" i="1"/>
  <c r="W725" i="1"/>
  <c r="W813" i="1"/>
  <c r="W845" i="1"/>
  <c r="W893" i="1"/>
  <c r="W1013" i="1"/>
  <c r="W1021" i="1"/>
  <c r="W1037" i="1"/>
  <c r="W1117" i="1"/>
  <c r="W1189" i="1"/>
  <c r="W1205" i="1"/>
  <c r="W1221" i="1"/>
  <c r="W1357" i="1"/>
  <c r="W1421" i="1"/>
  <c r="W1485" i="1"/>
  <c r="W1549" i="1"/>
  <c r="W1613" i="1"/>
  <c r="W1708" i="1"/>
  <c r="W22" i="1"/>
  <c r="W190" i="1"/>
  <c r="W214" i="1"/>
  <c r="W310" i="1"/>
  <c r="W318" i="1"/>
  <c r="W326" i="1"/>
  <c r="W486" i="1"/>
  <c r="W686" i="1"/>
  <c r="W750" i="1"/>
  <c r="W806" i="1"/>
  <c r="W830" i="1"/>
  <c r="W926" i="1"/>
  <c r="W966" i="1"/>
  <c r="W990" i="1"/>
  <c r="W1110" i="1"/>
  <c r="W1126" i="1"/>
  <c r="W1246" i="1"/>
  <c r="W1254" i="1"/>
  <c r="W1326" i="1"/>
  <c r="W1414" i="1"/>
  <c r="W1478" i="1"/>
  <c r="W1542" i="1"/>
  <c r="W1606" i="1"/>
  <c r="W1727" i="1"/>
  <c r="W39" i="1"/>
  <c r="W79" i="1"/>
  <c r="W327" i="1"/>
  <c r="W399" i="1"/>
  <c r="W423" i="1"/>
  <c r="W567" i="1"/>
  <c r="W631" i="1"/>
  <c r="W695" i="1"/>
  <c r="W759" i="1"/>
  <c r="W783" i="1"/>
  <c r="W903" i="1"/>
  <c r="W967" i="1"/>
  <c r="W991" i="1"/>
  <c r="W1015" i="1"/>
  <c r="W1023" i="1"/>
  <c r="W1031" i="1"/>
  <c r="W1063" i="1"/>
  <c r="W1103" i="1"/>
  <c r="W1143" i="1"/>
  <c r="W1223" i="1"/>
  <c r="W1263" i="1"/>
  <c r="W1391" i="1"/>
  <c r="W1455" i="1"/>
  <c r="W1519" i="1"/>
  <c r="W1583" i="1"/>
  <c r="W1674" i="1"/>
  <c r="L1" i="1"/>
  <c r="U1" i="1"/>
  <c r="N1" i="1"/>
  <c r="V1" i="1"/>
  <c r="T1" i="1"/>
  <c r="K1" i="1"/>
  <c r="AH1" i="1"/>
  <c r="R1" i="1"/>
  <c r="P1" i="1"/>
  <c r="M1" i="1"/>
  <c r="O1" i="1"/>
  <c r="W1" i="1" l="1"/>
</calcChain>
</file>

<file path=xl/sharedStrings.xml><?xml version="1.0" encoding="utf-8"?>
<sst xmlns="http://schemas.openxmlformats.org/spreadsheetml/2006/main" count="37901" uniqueCount="3135">
  <si>
    <t>PROJECT_NAME</t>
  </si>
  <si>
    <t>TASK</t>
  </si>
  <si>
    <t>EXPENDITURE_TYPE</t>
  </si>
  <si>
    <t>CF_TYPE</t>
  </si>
  <si>
    <t>01-2026</t>
  </si>
  <si>
    <t>02-2026</t>
  </si>
  <si>
    <t>03-2026</t>
  </si>
  <si>
    <t>04-2026</t>
  </si>
  <si>
    <t>05-2026</t>
  </si>
  <si>
    <t>06-2026</t>
  </si>
  <si>
    <t>07-2026</t>
  </si>
  <si>
    <t>08-2026</t>
  </si>
  <si>
    <t>09-2026</t>
  </si>
  <si>
    <t>10-2026</t>
  </si>
  <si>
    <t>11-2026</t>
  </si>
  <si>
    <t>12-2026</t>
  </si>
  <si>
    <t>GL_COMBINATION</t>
  </si>
  <si>
    <t>SECTOR</t>
  </si>
  <si>
    <t>DEPARTMENT</t>
  </si>
  <si>
    <t>COST_CENTER</t>
  </si>
  <si>
    <t>GL_ACCOUNT</t>
  </si>
  <si>
    <t>APPROPRIATION</t>
  </si>
  <si>
    <t>CHAPTER</t>
  </si>
  <si>
    <t>PROGRAM</t>
  </si>
  <si>
    <t>BUSINESS_UNIT</t>
  </si>
  <si>
    <t>PROJECT_TYPE</t>
  </si>
  <si>
    <t>ANNUAL_BUDGET</t>
  </si>
  <si>
    <t>4511000015</t>
  </si>
  <si>
    <t>Ex-SH-MNS</t>
  </si>
  <si>
    <t>Sponsorship Fees-N1</t>
  </si>
  <si>
    <t>424811 - Sponsorship expenses/contributions</t>
  </si>
  <si>
    <t>APPROVED</t>
  </si>
  <si>
    <t>451.070101.4510011.1.424811.4510000.200104.000.000000.000000</t>
  </si>
  <si>
    <t>Executive Office</t>
  </si>
  <si>
    <t>DCT - Executive Affairs Department</t>
  </si>
  <si>
    <t>4510011</t>
  </si>
  <si>
    <t>200104 - FA104-Opex Expense</t>
  </si>
  <si>
    <t>Chapter 2</t>
  </si>
  <si>
    <t>070101 - Corporate Office</t>
  </si>
  <si>
    <t>Department of Culture and Tourism</t>
  </si>
  <si>
    <t>DCT OPEX Project Type</t>
  </si>
  <si>
    <t>4511000016</t>
  </si>
  <si>
    <t>EX-INR Audit</t>
  </si>
  <si>
    <t>Audit Services-N</t>
  </si>
  <si>
    <t>421125 - Professional Operational Service  expenses</t>
  </si>
  <si>
    <t>451.070109.4510140.1.421125.4510000.200104.000.000000.000000</t>
  </si>
  <si>
    <t>Internal Audit</t>
  </si>
  <si>
    <t>DCT - Internal Audit Dept</t>
  </si>
  <si>
    <t>4510140</t>
  </si>
  <si>
    <t>070109 - Internal Audit and Risk Management</t>
  </si>
  <si>
    <t>Freelancers-N</t>
  </si>
  <si>
    <t>424521 - Manpower supply "Other Than IT Related"</t>
  </si>
  <si>
    <t>451.070109.4510140.1.424521.4510000.200104.000.000000.000000</t>
  </si>
  <si>
    <t>424521 - Manpower supply Other Than IT Related</t>
  </si>
  <si>
    <t>Mission &amp; Travel-N</t>
  </si>
  <si>
    <t>423821 - Business Travel - Per Diem Allowances</t>
  </si>
  <si>
    <t>451.070109.4510140.1.423821.4510000.200104.000.000000.000000</t>
  </si>
  <si>
    <t>Other Expenses-N</t>
  </si>
  <si>
    <t>424991 - Other services, not specifically mentioned elsewhere</t>
  </si>
  <si>
    <t>451.070109.4510140.1.424991.4510000.200104.000.000000.000000</t>
  </si>
  <si>
    <t>4511000019</t>
  </si>
  <si>
    <t>CS-Art Comm-Qatara</t>
  </si>
  <si>
    <t>Activation&amp;Prog-N</t>
  </si>
  <si>
    <t>422401 - Conferences, seminars, exhib ,events: -deactivate</t>
  </si>
  <si>
    <t>451.070205.4511250.1.422401.4510000.200104.000.000000.000000</t>
  </si>
  <si>
    <t>Culture</t>
  </si>
  <si>
    <t>DCT - Culture Sites Management Department</t>
  </si>
  <si>
    <t>4511250</t>
  </si>
  <si>
    <t>422401 - Conferences, seminars and exhibitions and other events: -deactivate</t>
  </si>
  <si>
    <t>070205 - Cultural site management</t>
  </si>
  <si>
    <t>Ad-hoc Repairs-N</t>
  </si>
  <si>
    <t>426427 - Maintenance &amp; repair-Exhibition Stands, etc</t>
  </si>
  <si>
    <t>451.070205.4511250.1.426427.4510000.200104.000.000000.000000</t>
  </si>
  <si>
    <t>Admin Expenses-N1</t>
  </si>
  <si>
    <t>451.070205.4511250.1.421125.4510000.200104.000.000000.000000</t>
  </si>
  <si>
    <t>Art Materials-N1</t>
  </si>
  <si>
    <t>432626 - Music Band related items</t>
  </si>
  <si>
    <t>451.070205.4511250.1.432626.4510000.200104.000.000000.000000</t>
  </si>
  <si>
    <t>432626 - Music Band  related items</t>
  </si>
  <si>
    <t>Cleaning Service-N</t>
  </si>
  <si>
    <t>422311 - Cleaning Services: Business premises</t>
  </si>
  <si>
    <t>451.070205.4511250.1.422311.4510000.200104.000.000000.000000</t>
  </si>
  <si>
    <t>451.070205.4511250.1.424521.4510000.200104.000.000000.000000</t>
  </si>
  <si>
    <t>Hospitality-N</t>
  </si>
  <si>
    <t>424761 - Entertainment and hospitality</t>
  </si>
  <si>
    <t>451.070205.4511250.1.424761.4510000.200104.000.000000.000000</t>
  </si>
  <si>
    <t>Landscaping-N</t>
  </si>
  <si>
    <t>432614 - Landscaping and other horticulturematerials</t>
  </si>
  <si>
    <t>451.070205.4511250.1.432614.4510000.200104.000.000000.000000</t>
  </si>
  <si>
    <t>Lease Improve-N</t>
  </si>
  <si>
    <t>490600 - Leaseholds - Other Infrastructure assets</t>
  </si>
  <si>
    <t>451.070205.4511250.1.490600.4510000.300105.000.000000.000000</t>
  </si>
  <si>
    <t>490600 - Right of Use Assets - Leaseholds - Other Infrastructure assets</t>
  </si>
  <si>
    <t>300105 - FA105-Capex Expense</t>
  </si>
  <si>
    <t>Chapter 3</t>
  </si>
  <si>
    <t>Maintenance-N</t>
  </si>
  <si>
    <t>426212 - Bldg maintenance-Business premises</t>
  </si>
  <si>
    <t>451.070205.4511250.1.426212.4510000.200104.000.000000.000000</t>
  </si>
  <si>
    <t>Manpower-N</t>
  </si>
  <si>
    <t>PR Mgmnt E-E-N</t>
  </si>
  <si>
    <t>424781 - Public relations expenses</t>
  </si>
  <si>
    <t>451.070206.4511250.1.424781.4510000.200104.000.000000.000000</t>
  </si>
  <si>
    <t>070206 - Cultural Events</t>
  </si>
  <si>
    <t>Pest Control-N</t>
  </si>
  <si>
    <t>422321 - Cleaning and Pest control Services-Public</t>
  </si>
  <si>
    <t>451.070205.4511250.1.422321.4510000.200104.000.000000.000000</t>
  </si>
  <si>
    <t>422321 - Cleaning and Pest control Services (Public places)</t>
  </si>
  <si>
    <t>Security Service-N</t>
  </si>
  <si>
    <t>424551 - Security service  expenses</t>
  </si>
  <si>
    <t>451.070205.4511250.1.424551.4510000.200104.000.000000.000000</t>
  </si>
  <si>
    <t>Utilities-N</t>
  </si>
  <si>
    <t>423931 - Consumption charges-Water &amp; Electricity combined</t>
  </si>
  <si>
    <t>451.070205.4511250.1.423931.4510000.200104.000.000000.000000</t>
  </si>
  <si>
    <t>4511000020</t>
  </si>
  <si>
    <t>CS-Int Her-Festival</t>
  </si>
  <si>
    <t>Event Management-N3</t>
  </si>
  <si>
    <t>451.070204.4511750.1.422401.4510000.200104.000.000000.000000</t>
  </si>
  <si>
    <t>DCT – Culture Festivals &amp; Platforms Dept</t>
  </si>
  <si>
    <t>4511750</t>
  </si>
  <si>
    <t>070204 - Cultural Preservation</t>
  </si>
  <si>
    <t>4511000022</t>
  </si>
  <si>
    <t>CS-Int Her-Protect</t>
  </si>
  <si>
    <t>Event Management-N1</t>
  </si>
  <si>
    <t>451.070201.4511600.1.422401.4510000.200104.000.000000.000000</t>
  </si>
  <si>
    <t>DCT - Intangible Heritage Dept</t>
  </si>
  <si>
    <t>4511600</t>
  </si>
  <si>
    <t>070201 - Heritage Site Management</t>
  </si>
  <si>
    <t>451.070201.4511600.1.424991.4510000.200104.000.000000.000000</t>
  </si>
  <si>
    <t>4511000023</t>
  </si>
  <si>
    <t>BSS-HR-Opr-Cost</t>
  </si>
  <si>
    <t>Admin Expenses-N</t>
  </si>
  <si>
    <t>451.070103.4510220.1.421125.4510000.200104.000.000000.000000</t>
  </si>
  <si>
    <t>Support Service</t>
  </si>
  <si>
    <t>DCT - People &amp; Performance Dept</t>
  </si>
  <si>
    <t>4510220</t>
  </si>
  <si>
    <t>070103 - Human Resource (HR)</t>
  </si>
  <si>
    <t>451.070103.4510220.1.424521.4510000.200104.000.000000.000000</t>
  </si>
  <si>
    <t>451.070103.4510220.1.423821.4510000.200104.000.000000.000000</t>
  </si>
  <si>
    <t>4511000037</t>
  </si>
  <si>
    <t>TS-SRL-EHSMS-License</t>
  </si>
  <si>
    <t>451.070502.4510170.1.421125.4510000.200104.000.000000.000000</t>
  </si>
  <si>
    <t>DCT-Licensing &amp; Regulatory Compliance Department</t>
  </si>
  <si>
    <t>4510170</t>
  </si>
  <si>
    <t>070502 - Regulatory and Capacity Building (Tourism)</t>
  </si>
  <si>
    <t>451.070502.4510170.1.423821.4510000.200104.000.000000.000000</t>
  </si>
  <si>
    <t>4511000038</t>
  </si>
  <si>
    <t>CS-Int Her-Opr</t>
  </si>
  <si>
    <t>451.070204.4511600.1.423821.4510000.200104.000.000000.000000</t>
  </si>
  <si>
    <t>4511000063</t>
  </si>
  <si>
    <t>CS-Mus-Jahli</t>
  </si>
  <si>
    <t>Collaterals-N</t>
  </si>
  <si>
    <t>422511 - Advertising Services (General)</t>
  </si>
  <si>
    <t>451.070205.4511550.1.422511.4510000.200104.000.000000.000000</t>
  </si>
  <si>
    <t>DCT - Marketing &amp; Communication Dept.</t>
  </si>
  <si>
    <t>4511550</t>
  </si>
  <si>
    <t>Edu &amp; Outreach-N</t>
  </si>
  <si>
    <t>4511000064</t>
  </si>
  <si>
    <t>CS-Mus-QM</t>
  </si>
  <si>
    <t>4511000086</t>
  </si>
  <si>
    <t>CS-Art Comm-Bit AL OUD</t>
  </si>
  <si>
    <t>4511000087</t>
  </si>
  <si>
    <t>CS-Int Her-Element</t>
  </si>
  <si>
    <t>Event Management-N</t>
  </si>
  <si>
    <t>451.070206.4511600.1.422401.4510000.200104.000.000000.000000</t>
  </si>
  <si>
    <t>4511000088</t>
  </si>
  <si>
    <t>CS-Prog-Dep-AD-Art</t>
  </si>
  <si>
    <t>Media Mgmnt &amp;Buy-N</t>
  </si>
  <si>
    <t>451.070206.4511550.1.422511.4510000.200104.000.000000.000000</t>
  </si>
  <si>
    <t>4511000113</t>
  </si>
  <si>
    <t>Ex-PMO</t>
  </si>
  <si>
    <t>451.070101.4510150.1.421125.4510000.200104.000.000000.000000</t>
  </si>
  <si>
    <t>Projects Management &amp; Engineering</t>
  </si>
  <si>
    <t>DCT - Projects Management &amp; Engineering Dept</t>
  </si>
  <si>
    <t>4510150</t>
  </si>
  <si>
    <t>Construct Advice-N</t>
  </si>
  <si>
    <t>421126 - Project Management Serv</t>
  </si>
  <si>
    <t>451.070101.4510150.1.421126.4510000.200104.000.000000.000000</t>
  </si>
  <si>
    <t>421126 - I T Project Management Services</t>
  </si>
  <si>
    <t>451.070101.4510150.1.424761.4510000.200104.000.000000.000000</t>
  </si>
  <si>
    <t>451.070101.4510150.1.423821.4510000.200104.000.000000.000000</t>
  </si>
  <si>
    <t>System Licenses-N</t>
  </si>
  <si>
    <t>425252 - Rental - Computer SW-Rental/Subscription - Computer SW</t>
  </si>
  <si>
    <t>451.070101.4510150.1.425252.4510000.200104.000.000000.000000</t>
  </si>
  <si>
    <t>425252 - Rental - Computer software-Rental/Subscription - Computer software</t>
  </si>
  <si>
    <t>Systems Develop-NC</t>
  </si>
  <si>
    <t>493140 - Computer software-Application, Platform - Capital Expenditure</t>
  </si>
  <si>
    <t>451.070101.4510150.1.493140.4510000.300105.000.000000.000000</t>
  </si>
  <si>
    <t>4511000119</t>
  </si>
  <si>
    <t>CS-Edu&amp;Prof</t>
  </si>
  <si>
    <t>451.070202.4511800.1.421125.4510000.200104.000.000000.000000</t>
  </si>
  <si>
    <t>DCT - Education &amp; Outreach Dept</t>
  </si>
  <si>
    <t>4511800</t>
  </si>
  <si>
    <t>070202 - Cultural Education</t>
  </si>
  <si>
    <t>4511000162</t>
  </si>
  <si>
    <t>BSS-Proc</t>
  </si>
  <si>
    <t>451.070105.4510240.1.421125.4510000.200104.000.000000.000000</t>
  </si>
  <si>
    <t>DCT - Supply Management Dept</t>
  </si>
  <si>
    <t>4510240</t>
  </si>
  <si>
    <t>070105 - Procurement</t>
  </si>
  <si>
    <t>4511000165</t>
  </si>
  <si>
    <t>BSS-HR-Career</t>
  </si>
  <si>
    <t>Recruitment - N1</t>
  </si>
  <si>
    <t>413610 - Recruitment expenses</t>
  </si>
  <si>
    <t>451.070103.4510220.1.413610.4510000.100103.000.000000.000000</t>
  </si>
  <si>
    <t>100103 - FA103-Manpower Expense</t>
  </si>
  <si>
    <t>Chapter 1</t>
  </si>
  <si>
    <t>4511000175</t>
  </si>
  <si>
    <t>TS-PRO-IMEX</t>
  </si>
  <si>
    <t>Design &amp; Build-N</t>
  </si>
  <si>
    <t>424221 - Events - Production costs</t>
  </si>
  <si>
    <t>451.070602.4515400.1.424221.4510000.200104.000.000000.000000</t>
  </si>
  <si>
    <t>Tourism</t>
  </si>
  <si>
    <t>DCT - Abu Dhabi Conventions &amp; Exhibition Bureau</t>
  </si>
  <si>
    <t>4515400</t>
  </si>
  <si>
    <t>070602 - Global Awareness and Outreach</t>
  </si>
  <si>
    <t>451.070602.4515400.1.424761.4510000.200104.000.000000.000000</t>
  </si>
  <si>
    <t>451.070602.4515400.1.423821.4510000.200104.000.000000.000000</t>
  </si>
  <si>
    <t>451.070602.4515400.1.424991.4510000.200104.000.000000.000000</t>
  </si>
  <si>
    <t>Venue&amp;Room Rent-N</t>
  </si>
  <si>
    <t>451.070602.4515400.1.422401.4510000.200104.000.000000.000000</t>
  </si>
  <si>
    <t>4511000181</t>
  </si>
  <si>
    <t>EX-DG-Opr</t>
  </si>
  <si>
    <t>451.070101.4510110.1.421125.4510000.200104.000.000000.000000</t>
  </si>
  <si>
    <t>DCT - Executive Management Office (Central)</t>
  </si>
  <si>
    <t>4510110</t>
  </si>
  <si>
    <t>CAPEX Management-N1</t>
  </si>
  <si>
    <t>491811 - Heritage culture assts</t>
  </si>
  <si>
    <t>451.070101.4510011.1.491811.4510000.300105.000.000000.000000</t>
  </si>
  <si>
    <t>491811 - Heritage and cultural assets - Capital Expenditure</t>
  </si>
  <si>
    <t>451.070101.4510110.1.424521.4510000.200104.000.000000.000000</t>
  </si>
  <si>
    <t>ManagementAdvice-N</t>
  </si>
  <si>
    <t>451.070101.4510110.1.423821.4510000.200104.000.000000.000000</t>
  </si>
  <si>
    <t>OPEX Management-N1</t>
  </si>
  <si>
    <t>422191 - Operations management expenses not elsewhere</t>
  </si>
  <si>
    <t>451.070101.4510011.1.422191.4510000.200104.000.000000.000000</t>
  </si>
  <si>
    <t>422191 - Operations management expenses not mentioned elsewhere</t>
  </si>
  <si>
    <t>Strategy Advice-N</t>
  </si>
  <si>
    <t>421123 - Strategic planning consultancy  expenses</t>
  </si>
  <si>
    <t>451.070101.4510110.1.421123.4510000.200104.000.000000.000000</t>
  </si>
  <si>
    <t>4511000184</t>
  </si>
  <si>
    <t>EX-Legal-Opr</t>
  </si>
  <si>
    <t>451.070108.4510160.1.424521.4510000.200104.000.000000.000000</t>
  </si>
  <si>
    <t>Legal &amp; Government Affairs</t>
  </si>
  <si>
    <t>DCT - Legal &amp; Government Affairs Dept</t>
  </si>
  <si>
    <t>4510160</t>
  </si>
  <si>
    <t>070108 - Legal Affairs</t>
  </si>
  <si>
    <t>Legal Advice-N</t>
  </si>
  <si>
    <t>421121 - Legal services  expenses</t>
  </si>
  <si>
    <t>451.070108.4510160.1.421121.4510000.200104.000.000000.000000</t>
  </si>
  <si>
    <t>Legal Services-N</t>
  </si>
  <si>
    <t>451.070108.4510160.1.423821.4510000.200104.000.000000.000000</t>
  </si>
  <si>
    <t>4511000186</t>
  </si>
  <si>
    <t>CS-Mus-SZP</t>
  </si>
  <si>
    <t>4511000187</t>
  </si>
  <si>
    <t>CS-Art Comm-Manarat</t>
  </si>
  <si>
    <t>SM Managnt E-E-N</t>
  </si>
  <si>
    <t>4511000188</t>
  </si>
  <si>
    <t>CS-Art-Dep-Music</t>
  </si>
  <si>
    <t>451.070206.4511700.1.422401.4510000.200104.000.000000.000000</t>
  </si>
  <si>
    <t>DCT - Cultural Programs Dept</t>
  </si>
  <si>
    <t>4511700</t>
  </si>
  <si>
    <t>451.070206.4511700.1.423821.4510000.200104.000.000000.000000</t>
  </si>
  <si>
    <t>Talent Fees-N</t>
  </si>
  <si>
    <t>451.070206.4511700.1.422511.4510000.200104.000.000000.000000</t>
  </si>
  <si>
    <t>4511000208</t>
  </si>
  <si>
    <t>CS- EO- operation</t>
  </si>
  <si>
    <t>451.070205.4511010.1.421125.4510000.200104.000.000000.000000</t>
  </si>
  <si>
    <t>DCT - Culture (Central) Dept</t>
  </si>
  <si>
    <t>4511010</t>
  </si>
  <si>
    <t>451.070303.4511010.1.422401.4510000.200104.000.000000.000000</t>
  </si>
  <si>
    <t>070303 - Cultural Industries Development</t>
  </si>
  <si>
    <t>451.070303.4511010.1.424521.4510000.200104.000.000000.000000</t>
  </si>
  <si>
    <t>451.070303.4511010.1.424761.4510000.200104.000.000000.000000</t>
  </si>
  <si>
    <t>451.070303.4511010.1.423821.4510000.200104.000.000000.000000</t>
  </si>
  <si>
    <t>451.070303.4511010.1.421123.4510000.200104.000.000000.000000</t>
  </si>
  <si>
    <t>4511000217</t>
  </si>
  <si>
    <t>CS-Al Ain Oasis</t>
  </si>
  <si>
    <t>4511000218</t>
  </si>
  <si>
    <t>CS-Al Marsam al Hor</t>
  </si>
  <si>
    <t>451.070202.4511250.1.432626.4510000.200104.000.000000.000000</t>
  </si>
  <si>
    <t>451.070202.4511250.1.424521.4510000.200104.000.000000.000000</t>
  </si>
  <si>
    <t>4511000219</t>
  </si>
  <si>
    <t>CS-Children's Art Centre</t>
  </si>
  <si>
    <t>Art Materials-N</t>
  </si>
  <si>
    <t>4511000227</t>
  </si>
  <si>
    <t>CS-HE Operations</t>
  </si>
  <si>
    <t>451.070201.4511300.1.421125.4510000.200104.000.000000.000000</t>
  </si>
  <si>
    <t>DCT - Historical Environment Dept</t>
  </si>
  <si>
    <t>4511300</t>
  </si>
  <si>
    <t>451.070201.4511300.1.424761.4510000.200104.000.000000.000000</t>
  </si>
  <si>
    <t>451.070201.4511300.1.423821.4510000.200104.000.000000.000000</t>
  </si>
  <si>
    <t>Plant &amp; Tools-N</t>
  </si>
  <si>
    <t>491351 - Plant,Machinery&amp;Equip - Workshop equipment - Capital Expenditure</t>
  </si>
  <si>
    <t>451.070201.4511300.1.491351.4510000.300105.000.000000.000000</t>
  </si>
  <si>
    <t>4511000231</t>
  </si>
  <si>
    <t>CS-Culture Sector Publications</t>
  </si>
  <si>
    <t>Cultural Advice-N</t>
  </si>
  <si>
    <t>451.070303.4511150.1.424521.4510000.200104.000.000000.000000</t>
  </si>
  <si>
    <t>DCT - Culture Planning &amp; Development Dept.</t>
  </si>
  <si>
    <t>4511150</t>
  </si>
  <si>
    <t>451.070303.4511020.1.424521.4510000.200104.000.000000.000000</t>
  </si>
  <si>
    <t>DCT - Culture Sector Policy and Development Office</t>
  </si>
  <si>
    <t>4511020</t>
  </si>
  <si>
    <t>Freelancers-N1</t>
  </si>
  <si>
    <t>Print Runs-N</t>
  </si>
  <si>
    <t>424791 - Printing and publishing</t>
  </si>
  <si>
    <t>451.070303.4511020.1.424791.4510000.200104.000.000000.000000</t>
  </si>
  <si>
    <t>Print Runs-N1</t>
  </si>
  <si>
    <t>451.070303.4511150.1.424791.4510000.200104.000.000000.000000</t>
  </si>
  <si>
    <t>4511000240</t>
  </si>
  <si>
    <t>CS-Abu Dhabi Classics</t>
  </si>
  <si>
    <t>Gen Logistics-N</t>
  </si>
  <si>
    <t>424671 - Freight and shipping costs, not elsewhere</t>
  </si>
  <si>
    <t>451.070206.4511700.1.424671.4510000.200104.000.000000.000000</t>
  </si>
  <si>
    <t>424671 - Freight and shipping costs, not included elsewhere under purchase costs</t>
  </si>
  <si>
    <t>451.070206.4511700.1.424761.4510000.200104.000.000000.000000</t>
  </si>
  <si>
    <t>4511000243</t>
  </si>
  <si>
    <t>MC-Sector Management</t>
  </si>
  <si>
    <t>451.070601.4513130.1.421125.4510000.200104.000.000000.000000</t>
  </si>
  <si>
    <t>Strategic Marketing &amp; Communication</t>
  </si>
  <si>
    <t>DCT - Planning, Strategy &amp; Operations Department</t>
  </si>
  <si>
    <t>4513130</t>
  </si>
  <si>
    <t>070601 - Destination Marketing</t>
  </si>
  <si>
    <t>Awards submission-L</t>
  </si>
  <si>
    <t>424231 - Events - Awards, prizes and gifts</t>
  </si>
  <si>
    <t>451.070601.4513130.1.424231.4510000.201931.000.000000.000000</t>
  </si>
  <si>
    <t>424231 - Events - Awards, prizes &amp; gifts</t>
  </si>
  <si>
    <t>201931 - FA1931-Abu Dhabi Tourism Strategy</t>
  </si>
  <si>
    <t>451.070601.4513130.1.423821.4510000.200104.000.000000.000000</t>
  </si>
  <si>
    <t>Research&amp;Survey-L</t>
  </si>
  <si>
    <t>423411 - General research  expenses</t>
  </si>
  <si>
    <t>451.070601.4513130.1.423411.4510000.201931.000.000000.000000</t>
  </si>
  <si>
    <t>Strategy Advice-L1</t>
  </si>
  <si>
    <t>451.070601.4513140.1.421123.4510000.201931.000.000000.000000</t>
  </si>
  <si>
    <t>DCT - Sector Marketing Department</t>
  </si>
  <si>
    <t>4513140</t>
  </si>
  <si>
    <t>4511000245</t>
  </si>
  <si>
    <t>MC-Abu Dhabi Destination</t>
  </si>
  <si>
    <t>ManagementAdvice-N3</t>
  </si>
  <si>
    <t>451.070501.4515700.1.424521.4510000.200104.000.000000.000000</t>
  </si>
  <si>
    <t>DCT-Destination Management Department</t>
  </si>
  <si>
    <t>4515700</t>
  </si>
  <si>
    <t>070501 - Tourism attraction and activities</t>
  </si>
  <si>
    <t>4511000246</t>
  </si>
  <si>
    <t>MC-Brand Operations</t>
  </si>
  <si>
    <t>CampaignProductn-L</t>
  </si>
  <si>
    <t>451.070601.4513110.1.422511.4510000.201931.000.000000.000000</t>
  </si>
  <si>
    <t>DCT - Creative and Production Department</t>
  </si>
  <si>
    <t>4513110</t>
  </si>
  <si>
    <t>Collaterals-L</t>
  </si>
  <si>
    <t>Gifts-N</t>
  </si>
  <si>
    <t>451.070601.4513110.1.424231.4510000.200104.000.000000.000000</t>
  </si>
  <si>
    <t>4511000251</t>
  </si>
  <si>
    <t>MC-Digital Operations</t>
  </si>
  <si>
    <t>451.070601.4513130.1.424521.4510000.200104.000.000000.000000</t>
  </si>
  <si>
    <t>Translation-N</t>
  </si>
  <si>
    <t>424701 - Translation and interpretation service</t>
  </si>
  <si>
    <t>451.070601.4513110.1.424701.4510000.200104.000.000000.000000</t>
  </si>
  <si>
    <t>4511000265</t>
  </si>
  <si>
    <t>BSS-TPC</t>
  </si>
  <si>
    <t>451.070101.4510155.1.421125.4510000.200104.000.000000.000000</t>
  </si>
  <si>
    <t>Tendering and Projects Control</t>
  </si>
  <si>
    <t>DCT – Tendering &amp; Projects Control Dept.</t>
  </si>
  <si>
    <t>4510155</t>
  </si>
  <si>
    <t>451.070101.4510155.1.421126.4510000.200104.000.000000.000000</t>
  </si>
  <si>
    <t>Licenses Fees-N</t>
  </si>
  <si>
    <t>424131 - License Fee support - Related business</t>
  </si>
  <si>
    <t>451.070101.4510155.1.424131.4510000.200104.000.000000.000000</t>
  </si>
  <si>
    <t>451.070101.4510155.1.423821.4510000.200104.000.000000.000000</t>
  </si>
  <si>
    <t>4511000266</t>
  </si>
  <si>
    <t>CS-Int Her-QatSouq</t>
  </si>
  <si>
    <t>Activation&amp;Prog-N1</t>
  </si>
  <si>
    <t>Talent Fees-N1</t>
  </si>
  <si>
    <t>451.070205.4511250.1.422511.4510000.200104.000.000000.000000</t>
  </si>
  <si>
    <t>4511000277</t>
  </si>
  <si>
    <t>CS-Art Zone</t>
  </si>
  <si>
    <t>4511000283</t>
  </si>
  <si>
    <t>Qasr Al Hosn</t>
  </si>
  <si>
    <t>Concept Develop-N</t>
  </si>
  <si>
    <t>451.070205.4511250.1.423411.4510000.200104.000.000000.000000</t>
  </si>
  <si>
    <t>FM Mgmnt (E-E)-N</t>
  </si>
  <si>
    <t>Research&amp;Survey-N</t>
  </si>
  <si>
    <t>Waste Mgmnt-N</t>
  </si>
  <si>
    <t>424591 - Waste management service</t>
  </si>
  <si>
    <t>451.070205.4511250.1.424591.4510000.200104.000.000000.000000</t>
  </si>
  <si>
    <t>4511000285</t>
  </si>
  <si>
    <t>Event- SZHF</t>
  </si>
  <si>
    <t>Event Management-N2</t>
  </si>
  <si>
    <t>451.070206.4511750.1.422401.4510000.200104.000.000000.000000</t>
  </si>
  <si>
    <t>4511000291</t>
  </si>
  <si>
    <t>Qalam</t>
  </si>
  <si>
    <t>451.070704.4519199.1.422401.4510600.200104.000.000000.000000</t>
  </si>
  <si>
    <t>ALC</t>
  </si>
  <si>
    <t>ALC- Creative Content Department</t>
  </si>
  <si>
    <t>4519199</t>
  </si>
  <si>
    <t>070704 - ALC Advancing readership</t>
  </si>
  <si>
    <t>Cover Design-N1</t>
  </si>
  <si>
    <t>451.070704.4519199.1.424791.4510600.200104.000.000000.000000</t>
  </si>
  <si>
    <t>Editing &amp; Proof-N1</t>
  </si>
  <si>
    <t>Hospitality-N1</t>
  </si>
  <si>
    <t>451.070704.4519199.1.424761.4510600.200104.000.000000.000000</t>
  </si>
  <si>
    <t>Print Permit-N1</t>
  </si>
  <si>
    <t>422951 - Other licenses, not mentioned elsewhere</t>
  </si>
  <si>
    <t>451.070704.4519199.1.422951.4510600.200104.000.000000.000000</t>
  </si>
  <si>
    <t>Typesetting-N1</t>
  </si>
  <si>
    <t>431114 - Text books and library books</t>
  </si>
  <si>
    <t>451.070704.4519199.1.431114.4510600.200104.000.000000.000000</t>
  </si>
  <si>
    <t>4511000299</t>
  </si>
  <si>
    <t>Sir Bani Yas</t>
  </si>
  <si>
    <t>4511000306</t>
  </si>
  <si>
    <t>Museography and Scenography</t>
  </si>
  <si>
    <t>491211 - Capital expense - Buildings</t>
  </si>
  <si>
    <t>451.070203.4511150.1.491211.4510000.300105.000.000000.000000</t>
  </si>
  <si>
    <t>070203 - Collection management</t>
  </si>
  <si>
    <t>451.070203.4511020.1.424521.4510000.200104.000.000000.000000</t>
  </si>
  <si>
    <t>451.070203.4511150.1.424521.4510000.200104.000.000000.000000</t>
  </si>
  <si>
    <t>4511000318</t>
  </si>
  <si>
    <t>CS-CF</t>
  </si>
  <si>
    <t>Audio &amp; Visual-N</t>
  </si>
  <si>
    <t>491335 - Photographic &amp; theatre equip cameras, film processors</t>
  </si>
  <si>
    <t>451.070205.4511250.1.491335.4510000.300105.000.000000.000000</t>
  </si>
  <si>
    <t>491335 - Photographic &amp; theatre equip (including cameras, film processors, etc)</t>
  </si>
  <si>
    <t>4511000324</t>
  </si>
  <si>
    <t>BSS-EO</t>
  </si>
  <si>
    <t>451.070101.4510201.1.421125.4510000.200104.000.000000.000000</t>
  </si>
  <si>
    <t>DCT - Support Services (Central) Dept</t>
  </si>
  <si>
    <t>4510201</t>
  </si>
  <si>
    <t>451.070101.4510201.1.423821.4510000.200104.000.000000.000000</t>
  </si>
  <si>
    <t>451.070101.4510201.1.421123.4510000.200104.000.000000.000000</t>
  </si>
  <si>
    <t>4511000339</t>
  </si>
  <si>
    <t>CS - Curatorial Research</t>
  </si>
  <si>
    <t>4511000340</t>
  </si>
  <si>
    <t>CS - Bait Al Gahwa</t>
  </si>
  <si>
    <t>451.070202.4511750.1.424521.4510000.200104.000.000000.000000</t>
  </si>
  <si>
    <t>451.070202.4511550.1.422511.4510000.200104.000.000000.000000</t>
  </si>
  <si>
    <t>SM Prodct&amp;Develp-N</t>
  </si>
  <si>
    <t>4511000341</t>
  </si>
  <si>
    <t>CS - House of Artisans</t>
  </si>
  <si>
    <t>Printed Material-N1</t>
  </si>
  <si>
    <t>451.070205.4511250.1.424791.4510000.200104.000.000000.000000</t>
  </si>
  <si>
    <t>4511000344</t>
  </si>
  <si>
    <t>CS - Special Programmes</t>
  </si>
  <si>
    <t>451.070206.4511700.1.421125.4510000.200104.000.000000.000000</t>
  </si>
  <si>
    <t>451.070206.4511700.1.424521.4510000.200104.000.000000.000000</t>
  </si>
  <si>
    <t>4511000346</t>
  </si>
  <si>
    <t>BS - Finance Operations</t>
  </si>
  <si>
    <t>451.070102.4510210.1.421125.4510000.200104.000.000000.000000</t>
  </si>
  <si>
    <t>DCT - Finance Dept</t>
  </si>
  <si>
    <t>4510210</t>
  </si>
  <si>
    <t>070102 - Finance</t>
  </si>
  <si>
    <t>Bank Charges-N</t>
  </si>
  <si>
    <t>437111 - Banking service charges</t>
  </si>
  <si>
    <t>451.070102.4510210.1.437111.4510000.200104.000.000000.000000</t>
  </si>
  <si>
    <t>451.070102.4510210.1.424521.4510000.200104.000.000000.000000</t>
  </si>
  <si>
    <t>Insurance-N</t>
  </si>
  <si>
    <t>422749 - Insurance - Other</t>
  </si>
  <si>
    <t>451.070102.4510210.1.422749.4510000.200104.000.000000.000000</t>
  </si>
  <si>
    <t>451.070102.4510210.1.423821.4510000.200104.000.000000.000000</t>
  </si>
  <si>
    <t>Tagging Material-N</t>
  </si>
  <si>
    <t>431812 - Stationery supplies</t>
  </si>
  <si>
    <t>451.070102.4510210.1.431812.4510000.200104.000.000000.000000</t>
  </si>
  <si>
    <t>4511000348</t>
  </si>
  <si>
    <t>BS - GS Operations</t>
  </si>
  <si>
    <t>Fuel-N1</t>
  </si>
  <si>
    <t>431614 - Fuel, oil and lubricants: Motor vehicles</t>
  </si>
  <si>
    <t>451.070107.4510230.1.431614.4510000.200104.000.000000.000000</t>
  </si>
  <si>
    <t>DCT - Facility &amp; General Services Management</t>
  </si>
  <si>
    <t>4510230</t>
  </si>
  <si>
    <t>070107 - General services</t>
  </si>
  <si>
    <t>451.070107.4510230.1.424761.4510000.200104.000.000000.000000</t>
  </si>
  <si>
    <t>Manpower-N1</t>
  </si>
  <si>
    <t>451.070107.4510230.1.424521.4510000.200104.000.000000.000000</t>
  </si>
  <si>
    <t>Mission &amp; Travel-N1</t>
  </si>
  <si>
    <t>451.070107.4510230.1.423821.4510000.200104.000.000000.000000</t>
  </si>
  <si>
    <t>4511000354</t>
  </si>
  <si>
    <t>BS - IT Security</t>
  </si>
  <si>
    <t>Managed Service-N</t>
  </si>
  <si>
    <t>422212 - IT Systems - Support expenses-Application/Systems Operation</t>
  </si>
  <si>
    <t>451.070106.4510250.1.422212.4510000.200104.000.000000.000000</t>
  </si>
  <si>
    <t>DCT - Smart Systems &amp; GovernmentServices Dept</t>
  </si>
  <si>
    <t>4510250</t>
  </si>
  <si>
    <t>422212 - IT Systems &amp; Support expenses-Application/Systems Operation</t>
  </si>
  <si>
    <t>070106 - Information and Communication Technology (ICT)</t>
  </si>
  <si>
    <t>Security Comply-N</t>
  </si>
  <si>
    <t>422213 - IT Systems - Support expenses-Security Services Operation</t>
  </si>
  <si>
    <t>451.070106.4510250.1.422213.4510000.200104.000.000000.000000</t>
  </si>
  <si>
    <t>422213 - IT Systems &amp; Support expenses-Security Services Operation</t>
  </si>
  <si>
    <t>451.070106.4510250.1.425252.4510000.200104.000.000000.000000</t>
  </si>
  <si>
    <t>System Maintain-N</t>
  </si>
  <si>
    <t>4511000356</t>
  </si>
  <si>
    <t>CS - Prog. - Music - Umsiyat</t>
  </si>
  <si>
    <t>4511000357</t>
  </si>
  <si>
    <t>CS - CP - Sounds of the UAE</t>
  </si>
  <si>
    <t>4511000360</t>
  </si>
  <si>
    <t>CS - CF - CL</t>
  </si>
  <si>
    <t>Book Acquisition-N</t>
  </si>
  <si>
    <t>431113 - Library books supplies</t>
  </si>
  <si>
    <t>451.070205.4511250.1.431113.4510000.200104.000.000000.000000</t>
  </si>
  <si>
    <t>4511000362</t>
  </si>
  <si>
    <t>CS- CF - PA</t>
  </si>
  <si>
    <t>4511000364</t>
  </si>
  <si>
    <t>MC - DM - China</t>
  </si>
  <si>
    <t>SM Mgmnt Rtnr-N</t>
  </si>
  <si>
    <t>451.070601.4513110.1.421125.4510000.200104.000.000000.000000</t>
  </si>
  <si>
    <t>4511000373</t>
  </si>
  <si>
    <t>MC - Spon. - Jiu Jitsu</t>
  </si>
  <si>
    <t>Sponsorship Fees-N</t>
  </si>
  <si>
    <t>451.070601.4513130.1.424811.4510000.200104.000.000000.000000</t>
  </si>
  <si>
    <t>4511000386</t>
  </si>
  <si>
    <t>TS - EB- UFC</t>
  </si>
  <si>
    <t>Co-Invest Events-L</t>
  </si>
  <si>
    <t>451.070501.4515500.1.422401.4510000.050723.000.000000.000000</t>
  </si>
  <si>
    <t>DCT - Abu Dhabi Events Bureau</t>
  </si>
  <si>
    <t>4515500</t>
  </si>
  <si>
    <t>050723 - FA50723-Ultimate Fighting Championship (UFC)</t>
  </si>
  <si>
    <t>IP Events-L1</t>
  </si>
  <si>
    <t>4511000388</t>
  </si>
  <si>
    <t>G21 - TS - T10 Cricket</t>
  </si>
  <si>
    <t>451.070501.4515500.1.424811.4510000.200104.000.000000.000000</t>
  </si>
  <si>
    <t>4511000394</t>
  </si>
  <si>
    <t>TS - CB - G21 - BD/CE</t>
  </si>
  <si>
    <t>4511000403</t>
  </si>
  <si>
    <t>TS - EB - G21 - M JV</t>
  </si>
  <si>
    <t>Co-Invest Events-N</t>
  </si>
  <si>
    <t>451.070501.4515500.1.422401.4510000.200104.000.000000.000000</t>
  </si>
  <si>
    <t>451.070501.4515500.1.422511.4510000.200104.000.000000.000000</t>
  </si>
  <si>
    <t>4511000422</t>
  </si>
  <si>
    <t>CS-CF-BAH</t>
  </si>
  <si>
    <t>4511000423</t>
  </si>
  <si>
    <t>CS-CF-QAH fest.</t>
  </si>
  <si>
    <t>4511000434</t>
  </si>
  <si>
    <t>CS-CS&amp;M-BAD</t>
  </si>
  <si>
    <t>Facilities Rent-N</t>
  </si>
  <si>
    <t>425112 - Rental - Buildings, other than staff residences</t>
  </si>
  <si>
    <t>451.070205.4511250.1.425112.4510000.200104.000.000000.000000</t>
  </si>
  <si>
    <t>451.070206.4511550.1.424781.4510000.200104.000.000000.000000</t>
  </si>
  <si>
    <t>Scholarships-N</t>
  </si>
  <si>
    <t>422619 - Scholarships &amp; other financial aid</t>
  </si>
  <si>
    <t>451.070205.4511250.1.422619.4510000.200104.000.000000.000000</t>
  </si>
  <si>
    <t>4511000439</t>
  </si>
  <si>
    <t>BS - SM - PI</t>
  </si>
  <si>
    <t>451.070105.4510240.1.424521.4510000.200104.000.000000.000000</t>
  </si>
  <si>
    <t>451.070101.4510240.1.423821.4510000.200104.000.000000.000000</t>
  </si>
  <si>
    <t>4511000445</t>
  </si>
  <si>
    <t>BS - SM - SPP</t>
  </si>
  <si>
    <t>AccreditationFee-N1</t>
  </si>
  <si>
    <t>424561 - Standards Certification Services. e.g. ISO</t>
  </si>
  <si>
    <t>451.070107.4510240.1.424561.4510000.200104.000.000000.000000</t>
  </si>
  <si>
    <t>424561 - Standards Certification Services (e.g. ISO)</t>
  </si>
  <si>
    <t>Procuremt Advice-N</t>
  </si>
  <si>
    <t>421191 - Other specialised professional services, not elsewhere</t>
  </si>
  <si>
    <t>451.070105.4510240.1.421191.4510000.200104.000.000000.000000</t>
  </si>
  <si>
    <t>421191 - Other specialised professional services, not mentioned elsewhere</t>
  </si>
  <si>
    <t>4511000450</t>
  </si>
  <si>
    <t>Destination Campaign - Cross Market</t>
  </si>
  <si>
    <t>Activation&amp;Prog-L</t>
  </si>
  <si>
    <t>451.070601.4513140.1.422401.4510000.201931.000.000000.000000</t>
  </si>
  <si>
    <t>General Retainer-L</t>
  </si>
  <si>
    <t>451.070601.4513130.1.421125.4510000.201931.000.000000.000000</t>
  </si>
  <si>
    <t>Media Mgmnt &amp;Buy-L</t>
  </si>
  <si>
    <t>451.070601.4513130.1.422511.4510000.201931.000.000000.000000</t>
  </si>
  <si>
    <t>Media outreach-N</t>
  </si>
  <si>
    <t>451.070601.4513120.1.422511.4510000.200104.000.000000.000000</t>
  </si>
  <si>
    <t>DCT - Strategic Communications Department</t>
  </si>
  <si>
    <t>4513120</t>
  </si>
  <si>
    <t>451.070601.4513120.1.424781.4510000.200104.000.000000.000000</t>
  </si>
  <si>
    <t>PRMgmnt E-E Rtnr-N</t>
  </si>
  <si>
    <t>451.070601.4513120.1.421125.4510000.200104.000.000000.000000</t>
  </si>
  <si>
    <t>Trade Partners-L</t>
  </si>
  <si>
    <t>424251 - Tourism Promotion (include site improvements)</t>
  </si>
  <si>
    <t>451.070501.4513130.1.424251.4510000.201931.000.000000.000000</t>
  </si>
  <si>
    <t>4511000453</t>
  </si>
  <si>
    <t>TS - DM - MS</t>
  </si>
  <si>
    <t>MediaBuyRetainer-L</t>
  </si>
  <si>
    <t>451.070501.4513130.1.421125.4510000.201931.000.000000.000000</t>
  </si>
  <si>
    <t>4511000467</t>
  </si>
  <si>
    <t>MT - CB - MICE Awareness</t>
  </si>
  <si>
    <t>PR&amp;MediaCoverage-L</t>
  </si>
  <si>
    <t>451.070602.4515400.1.424781.4510000.201931.000.000000.000000</t>
  </si>
  <si>
    <t>451.070602.4515400.1.423411.4510000.200104.000.000000.000000</t>
  </si>
  <si>
    <t>4511000488</t>
  </si>
  <si>
    <t>NL - LM - Library Management</t>
  </si>
  <si>
    <t>451.070205.4516100.1.421125.4510000.200104.000.000000.000000</t>
  </si>
  <si>
    <t>DCT - Library Management Department</t>
  </si>
  <si>
    <t>4516100</t>
  </si>
  <si>
    <t>451.070205.4516100.1.422401.4510000.200104.000.000000.000000</t>
  </si>
  <si>
    <t>451.070205.4516100.1.424521.4510000.200104.000.000000.000000</t>
  </si>
  <si>
    <t>451.070205.4516100.1.423821.4510000.200104.000.000000.000000</t>
  </si>
  <si>
    <t>4511000490</t>
  </si>
  <si>
    <t>NL - LM - Little Writer</t>
  </si>
  <si>
    <t>Awards &amp; Prizes-N</t>
  </si>
  <si>
    <t>451.070205.4516100.1.424231.4510000.200104.000.000000.000000</t>
  </si>
  <si>
    <t>451.070205.4516100.1.424791.4510000.200104.000.000000.000000</t>
  </si>
  <si>
    <t>4511000491</t>
  </si>
  <si>
    <t>NL - LM - Creative Writer</t>
  </si>
  <si>
    <t>4511000492</t>
  </si>
  <si>
    <t>NL - LM - Manuscripts Conf</t>
  </si>
  <si>
    <t>451.070205.4516100.1.424671.4510000.200104.000.000000.000000</t>
  </si>
  <si>
    <t>Manuscripts-N</t>
  </si>
  <si>
    <t>431512 - Heritage and historical</t>
  </si>
  <si>
    <t>451.070205.4516100.1.431512.4510000.200104.000.000000.000000</t>
  </si>
  <si>
    <t>4511000494</t>
  </si>
  <si>
    <t>NL - LM - Operations</t>
  </si>
  <si>
    <t>451.070203.4516100.1.491211.4510000.300105.000.000000.000000</t>
  </si>
  <si>
    <t>451.070205.4516100.1.422511.4510000.200104.000.000000.000000</t>
  </si>
  <si>
    <t>4511000499</t>
  </si>
  <si>
    <t>NL - LM - Acquisitions</t>
  </si>
  <si>
    <t>451.070205.4516100.1.431113.4510000.200104.000.000000.000000</t>
  </si>
  <si>
    <t>451.070205.4516100.1.424131.4510000.200104.000.000000.000000</t>
  </si>
  <si>
    <t>4511000500</t>
  </si>
  <si>
    <t>NL - LM - Technical Services</t>
  </si>
  <si>
    <t>Editing &amp; Proof-N</t>
  </si>
  <si>
    <t>4511000501</t>
  </si>
  <si>
    <t>CS - EO - TDP</t>
  </si>
  <si>
    <t>451.070202.4511800.1.432626.4510000.200104.000.000000.000000</t>
  </si>
  <si>
    <t>451.070202.4511800.1.422401.4510000.200104.000.000000.000000</t>
  </si>
  <si>
    <t>451.070202.4511800.1.424521.4510000.200104.000.000000.000000</t>
  </si>
  <si>
    <t>451.070202.4511800.1.424761.4510000.200104.000.000000.000000</t>
  </si>
  <si>
    <t>451.070202.4511800.1.423821.4510000.200104.000.000000.000000</t>
  </si>
  <si>
    <t>4511000502</t>
  </si>
  <si>
    <t>BS - FM - Bahia Park Library</t>
  </si>
  <si>
    <t>Ad-hoc Repairs-N1</t>
  </si>
  <si>
    <t>451.070107.4510230.1.426427.4510000.200104.000.000000.000000</t>
  </si>
  <si>
    <t>Cleaning Service-N1</t>
  </si>
  <si>
    <t>451.070107.4510230.1.422311.4510000.200104.000.000000.000000</t>
  </si>
  <si>
    <t>Maintenance-N1</t>
  </si>
  <si>
    <t>451.070107.4510230.1.426212.4510000.200104.000.000000.000000</t>
  </si>
  <si>
    <t>Security Service-N1</t>
  </si>
  <si>
    <t>451.070107.4510230.1.424551.4510000.200104.000.000000.000000</t>
  </si>
  <si>
    <t>4511000504</t>
  </si>
  <si>
    <t>BS - FM - Mirfa Library</t>
  </si>
  <si>
    <t>Facilities Rent-N1</t>
  </si>
  <si>
    <t>451.070107.4510230.1.425112.4510000.200104.000.000000.000000</t>
  </si>
  <si>
    <t>4511000505</t>
  </si>
  <si>
    <t>BS - FM - Muwaiji Villa</t>
  </si>
  <si>
    <t>Cleaning Service-N2</t>
  </si>
  <si>
    <t>Facilities Rent-N2</t>
  </si>
  <si>
    <t>Hospitality-N2</t>
  </si>
  <si>
    <t>Interior Fit Out-NC1</t>
  </si>
  <si>
    <t>491711 - Furniture &amp; Fixtures - Offices - Capital Expenditure</t>
  </si>
  <si>
    <t>451.070107.4510230.1.491711.4510000.300105.000.000000.000000</t>
  </si>
  <si>
    <t>Maintenance-N2</t>
  </si>
  <si>
    <t>Security Service-N2</t>
  </si>
  <si>
    <t>4511000507</t>
  </si>
  <si>
    <t>BS - FM - Wathba Library</t>
  </si>
  <si>
    <t>4511000508</t>
  </si>
  <si>
    <t>BS- FM -BMBK</t>
  </si>
  <si>
    <t>4511000509</t>
  </si>
  <si>
    <t>BS - FM - Delma Facilities</t>
  </si>
  <si>
    <t>Hospitality -N1</t>
  </si>
  <si>
    <t>Interior Fit Out-NC2</t>
  </si>
  <si>
    <t>4511000510</t>
  </si>
  <si>
    <t>BS - FM - Delma Museum</t>
  </si>
  <si>
    <t>4511000511</t>
  </si>
  <si>
    <t>BS -FM - Warehouse - M25</t>
  </si>
  <si>
    <t>FM Mgmnt (E-E)-N1</t>
  </si>
  <si>
    <t>4511000512</t>
  </si>
  <si>
    <t>BS - FM - Hosn Al Sarrah</t>
  </si>
  <si>
    <t>4511000514</t>
  </si>
  <si>
    <t>BS - FM - Jebel Hafit - P1</t>
  </si>
  <si>
    <t>4511000515</t>
  </si>
  <si>
    <t>BS - FM - Khalifa Park Library</t>
  </si>
  <si>
    <t>4511000517</t>
  </si>
  <si>
    <t>BS -FM - Nation Tower</t>
  </si>
  <si>
    <t>Ad-hoc Repairs-N3</t>
  </si>
  <si>
    <t>Cooling Bills-N1</t>
  </si>
  <si>
    <t>451.070107.4510230.1.423931.4510000.200104.000.000000.000000</t>
  </si>
  <si>
    <t>Other Expenses-N1</t>
  </si>
  <si>
    <t>451.070107.4510230.1.424991.4510000.200104.000.000000.000000</t>
  </si>
  <si>
    <t>Pantry Supplies-N1</t>
  </si>
  <si>
    <t>431316 - Catering supplies</t>
  </si>
  <si>
    <t>451.070107.4510230.1.431316.4510000.200104.000.000000.000000</t>
  </si>
  <si>
    <t>431316 - Catering supplies- Kitchen</t>
  </si>
  <si>
    <t>Parking Fees-N1</t>
  </si>
  <si>
    <t>4511000519</t>
  </si>
  <si>
    <t>BS - FM - National Archive</t>
  </si>
  <si>
    <t>4511000521</t>
  </si>
  <si>
    <t>BS - FM - Qasr Al Watan</t>
  </si>
  <si>
    <t>4511000522</t>
  </si>
  <si>
    <t>BS - FM - Rumaliah Complex</t>
  </si>
  <si>
    <t>4511000525</t>
  </si>
  <si>
    <t>BS-FM-Berklee Music College</t>
  </si>
  <si>
    <t>Cooling Bills-N</t>
  </si>
  <si>
    <t>4511000526</t>
  </si>
  <si>
    <t>CS - CS - BMBK</t>
  </si>
  <si>
    <t>4511000527</t>
  </si>
  <si>
    <t>BS - FM - Umm Khanoor Fort</t>
  </si>
  <si>
    <t>4511000528</t>
  </si>
  <si>
    <t>CS - CS - JHDP</t>
  </si>
  <si>
    <t>DestinationMgmnt-N1</t>
  </si>
  <si>
    <t>4511000529</t>
  </si>
  <si>
    <t>BS-FM-Archaeologist Housing</t>
  </si>
  <si>
    <t>4511000530</t>
  </si>
  <si>
    <t>BS-FM-Zayed Central Library</t>
  </si>
  <si>
    <t>Landscaping-N1</t>
  </si>
  <si>
    <t>451.070107.4510230.1.432614.4510000.200104.000.000000.000000</t>
  </si>
  <si>
    <t>4511000532</t>
  </si>
  <si>
    <t>BS - FM - Qasr Al Manhal</t>
  </si>
  <si>
    <t>4511000534</t>
  </si>
  <si>
    <t>BS - FM - Falaj Hazza Villa</t>
  </si>
  <si>
    <t>4511000538</t>
  </si>
  <si>
    <t>BS - FM - Vehicle Management</t>
  </si>
  <si>
    <t>Transportation -N2</t>
  </si>
  <si>
    <t>425203 - Rental - Motor vehicles</t>
  </si>
  <si>
    <t>451.070107.4510230.1.425203.4510000.200104.000.000000.000000</t>
  </si>
  <si>
    <t>4511000540</t>
  </si>
  <si>
    <t>CS - CMC - MA</t>
  </si>
  <si>
    <t>451.070603.4511550.1.421125.4510000.200104.000.000000.000000</t>
  </si>
  <si>
    <t>070603 - Culture awareness and outreach</t>
  </si>
  <si>
    <t>Campaign Mgmnt-N</t>
  </si>
  <si>
    <t>451.070603.4511550.1.422511.4510000.200104.000.000000.000000</t>
  </si>
  <si>
    <t>451.070603.4511550.1.424521.4510000.200104.000.000000.000000</t>
  </si>
  <si>
    <t>Hospitality -N</t>
  </si>
  <si>
    <t>451.070603.4511550.1.424761.4510000.200104.000.000000.000000</t>
  </si>
  <si>
    <t>451.070603.4511550.1.423821.4510000.200104.000.000000.000000</t>
  </si>
  <si>
    <t>451.070603.4511550.1.424781.4510000.200104.000.000000.000000</t>
  </si>
  <si>
    <t>4511000541</t>
  </si>
  <si>
    <t>EO – MA – PREO</t>
  </si>
  <si>
    <t>4511000542</t>
  </si>
  <si>
    <t>SP - CE - BR</t>
  </si>
  <si>
    <t>451.070110.4512300.1.424131.4510000.200104.000.000000.000000</t>
  </si>
  <si>
    <t>Strategic Affairs</t>
  </si>
  <si>
    <t>DCT - Business Continuity Dept</t>
  </si>
  <si>
    <t>4512300</t>
  </si>
  <si>
    <t>070110 - Strategic Planning</t>
  </si>
  <si>
    <t>ManagementAdvice-N1</t>
  </si>
  <si>
    <t>451.070110.4512300.1.424521.4510000.200104.000.000000.000000</t>
  </si>
  <si>
    <t>4511000547</t>
  </si>
  <si>
    <t>SP - BI - Research</t>
  </si>
  <si>
    <t>451.070111.4512200.1.424131.4510000.200104.000.000000.000000</t>
  </si>
  <si>
    <t>DCT - Business Intelligence Dept</t>
  </si>
  <si>
    <t>4512200</t>
  </si>
  <si>
    <t>070111 - Digital Transformation, Data Management &amp; AI</t>
  </si>
  <si>
    <t>451.070111.4512200.1.423411.4510000.200104.000.000000.000000</t>
  </si>
  <si>
    <t>4511000549</t>
  </si>
  <si>
    <t>SP - CS &amp; PMO - PMPI</t>
  </si>
  <si>
    <t>451.070110.4512100.1.424521.4510000.200104.000.000000.000000</t>
  </si>
  <si>
    <t>DCT - Strategy Planning Dept</t>
  </si>
  <si>
    <t>4512100</t>
  </si>
  <si>
    <t>421119 - IT consultancy, not software develop</t>
  </si>
  <si>
    <t>451.070101.4512100.1.421119.4510000.200104.000.000000.000000</t>
  </si>
  <si>
    <t>421119 - IT consultancy, other than software development  expenses</t>
  </si>
  <si>
    <t>4511000572</t>
  </si>
  <si>
    <t>TTMD Global Partnerships</t>
  </si>
  <si>
    <t>451.070602.4515100.1.421125.4510000.200104.000.000000.000000</t>
  </si>
  <si>
    <t>DCT-International Operations Department</t>
  </si>
  <si>
    <t>4515100</t>
  </si>
  <si>
    <t>451.070602.4515100.1.424251.4510000.201931.000.000000.000000</t>
  </si>
  <si>
    <t>Trade Promotion-N</t>
  </si>
  <si>
    <t>451.070602.4515100.1.424251.4510000.200104.000.000000.000000</t>
  </si>
  <si>
    <t>4511000575</t>
  </si>
  <si>
    <t>IO Office Operations</t>
  </si>
  <si>
    <t>451.070602.4515100.1.424521.4510000.200104.000.000000.000000</t>
  </si>
  <si>
    <t>451.070602.4515100.1.423821.4510000.200104.000.000000.000000</t>
  </si>
  <si>
    <t>4511000576</t>
  </si>
  <si>
    <t>CS - MC - Cult App</t>
  </si>
  <si>
    <t>4511000578</t>
  </si>
  <si>
    <t>BS - PP - T&amp;D</t>
  </si>
  <si>
    <t>Training &amp; Dev -N</t>
  </si>
  <si>
    <t>413710 - Tuition fees Non IT Related</t>
  </si>
  <si>
    <t>451.070103.4510220.1.413710.4510000.100103.000.000000.000000</t>
  </si>
  <si>
    <t>413710 - Tuition fees "Other Than IT Related"</t>
  </si>
  <si>
    <t>4511000580</t>
  </si>
  <si>
    <t>CS - CF - Main Exhibitions</t>
  </si>
  <si>
    <t>4511000581</t>
  </si>
  <si>
    <t>CS - CF - Art Residenecy</t>
  </si>
  <si>
    <t>4511000583</t>
  </si>
  <si>
    <t>CS-CF-Community Exhibitions</t>
  </si>
  <si>
    <t>4511000592</t>
  </si>
  <si>
    <t>CS-CPD-Operational Planning</t>
  </si>
  <si>
    <t>451.070103.4511020.1.424521.4510000.200104.000.000000.000000</t>
  </si>
  <si>
    <t>451.070103.4511020.1.423821.4510000.200104.000.000000.000000</t>
  </si>
  <si>
    <t>451.070103.4511150.1.423821.4510000.200104.000.000000.000000</t>
  </si>
  <si>
    <t>4511000593</t>
  </si>
  <si>
    <t>CS-CPD-Maritime Festival</t>
  </si>
  <si>
    <t>4511000623</t>
  </si>
  <si>
    <t>CS - CSM - BAO</t>
  </si>
  <si>
    <t>4511000635</t>
  </si>
  <si>
    <t>CS - IH - ADAR</t>
  </si>
  <si>
    <t>451.070201.4511600.1.424521.4510000.200104.000.000000.000000</t>
  </si>
  <si>
    <t>4511000637</t>
  </si>
  <si>
    <t>CS - HE - A</t>
  </si>
  <si>
    <t>451.070201.4511300.1.422401.4510000.200104.000.000000.000000</t>
  </si>
  <si>
    <t>451.070201.4511300.1.424521.4510000.200104.000.000000.000000</t>
  </si>
  <si>
    <t>4511000638</t>
  </si>
  <si>
    <t>CS - IH - ATP</t>
  </si>
  <si>
    <t>Training &amp; Dev-N</t>
  </si>
  <si>
    <t>451.070202.4511600.1.421191.4510000.200104.000.000000.000000</t>
  </si>
  <si>
    <t>4511000639</t>
  </si>
  <si>
    <t>CS - HE - C</t>
  </si>
  <si>
    <t>Architect Advice-N</t>
  </si>
  <si>
    <t>Conserv-Restore-N3</t>
  </si>
  <si>
    <t>FeasibilityStudy-N</t>
  </si>
  <si>
    <t>451.070201.4511300.1.421119.4510000.200104.000.000000.000000</t>
  </si>
  <si>
    <t>451.070201.4511300.1.423411.4510000.200104.000.000000.000000</t>
  </si>
  <si>
    <t>4511000640</t>
  </si>
  <si>
    <t>CS - IH - HRI</t>
  </si>
  <si>
    <t>451.070201.4511600.1.432626.4510000.200104.000.000000.000000</t>
  </si>
  <si>
    <t>4511000641</t>
  </si>
  <si>
    <t>CS - HE - HBL</t>
  </si>
  <si>
    <t>CollectionConsrv-N</t>
  </si>
  <si>
    <t>451.070201.4511300.1.421191.4510000.200104.000.000000.000000</t>
  </si>
  <si>
    <t>4511000642</t>
  </si>
  <si>
    <t>CS - IH -ICHE</t>
  </si>
  <si>
    <t>ICH Management-N</t>
  </si>
  <si>
    <t>451.070204.4511600.1.431512.4510000.200104.000.000000.000000</t>
  </si>
  <si>
    <t>4511000643</t>
  </si>
  <si>
    <t>CS - IH - IPE ICH</t>
  </si>
  <si>
    <t>4511000644</t>
  </si>
  <si>
    <t>CS - HE - MH</t>
  </si>
  <si>
    <t>451.070201.4511550.1.422511.4510000.200104.000.000000.000000</t>
  </si>
  <si>
    <t>4511000645</t>
  </si>
  <si>
    <t>CS - IH - TPABCP</t>
  </si>
  <si>
    <t>4511000646</t>
  </si>
  <si>
    <t>CS - HE - WHM</t>
  </si>
  <si>
    <t>4511000656</t>
  </si>
  <si>
    <t>Visit Abu Dhabi</t>
  </si>
  <si>
    <t>WebSupportRtnr-L</t>
  </si>
  <si>
    <t>451.070601.4513110.1.421125.4510000.201931.000.000000.000000</t>
  </si>
  <si>
    <t>4511000657</t>
  </si>
  <si>
    <t>Brand Tracker</t>
  </si>
  <si>
    <t>Brand Tracking-N</t>
  </si>
  <si>
    <t>451.070601.4513130.1.423411.4510000.200104.000.000000.000000</t>
  </si>
  <si>
    <t>4511000663</t>
  </si>
  <si>
    <t>G21-Aviation</t>
  </si>
  <si>
    <t>451.070602.4515900.1.424131.4510000.200104.000.000000.000000</t>
  </si>
  <si>
    <t>DCT - Tourism Products Development Department</t>
  </si>
  <si>
    <t>4515900</t>
  </si>
  <si>
    <t>451.070602.4515900.1.423821.4510000.200104.000.000000.000000</t>
  </si>
  <si>
    <t>Trade Promotion-N1</t>
  </si>
  <si>
    <t>451.070602.4515900.1.424251.4510000.200104.000.000000.000000</t>
  </si>
  <si>
    <t>4511000666</t>
  </si>
  <si>
    <t>ALC ED Office</t>
  </si>
  <si>
    <t>451.070101.4510195.1.422401.4510600.200104.000.000000.000000</t>
  </si>
  <si>
    <t>ALC - Arabic Language Centre (Central)</t>
  </si>
  <si>
    <t>4510195</t>
  </si>
  <si>
    <t>451.070101.4510195.1.424521.4510600.200104.000.000000.000000</t>
  </si>
  <si>
    <t>451.070101.4510195.1.423821.4510600.200104.000.000000.000000</t>
  </si>
  <si>
    <t>4511000667</t>
  </si>
  <si>
    <t>ALC Marketing</t>
  </si>
  <si>
    <t>CampaignProductn-N1</t>
  </si>
  <si>
    <t>451.070705.4519196.1.422511.4510600.200104.000.000000.000000</t>
  </si>
  <si>
    <t>ALC- Marketing &amp; Communications Department</t>
  </si>
  <si>
    <t>4519196</t>
  </si>
  <si>
    <t>070705 - ALC Promotion</t>
  </si>
  <si>
    <t>4511000673</t>
  </si>
  <si>
    <t>ABP-Publishing</t>
  </si>
  <si>
    <t>451.070701.4519199.1.424791.4510600.200104.000.000000.000000</t>
  </si>
  <si>
    <t>070701 - ALC Development &amp; Research</t>
  </si>
  <si>
    <t>451.070701.4519199.1.422951.4510600.200104.000.000000.000000</t>
  </si>
  <si>
    <t>451.070701.4519199.1.431114.4510600.200104.000.000000.000000</t>
  </si>
  <si>
    <t>4511000675</t>
  </si>
  <si>
    <t>ABP- QAW</t>
  </si>
  <si>
    <t>Activation&amp;Prog-N2</t>
  </si>
  <si>
    <t>451.070704.4519202.1.422401.4510600.200104.000.000000.000000</t>
  </si>
  <si>
    <t>ALC- Specialized Library Department</t>
  </si>
  <si>
    <t>4519202</t>
  </si>
  <si>
    <t>Book Acquisition-NC2</t>
  </si>
  <si>
    <t>451.070703.4519202.1.491811.4510600.300105.000.000000.000000</t>
  </si>
  <si>
    <t>070703 - ALC Events</t>
  </si>
  <si>
    <t>FreelancerN1</t>
  </si>
  <si>
    <t>451.070704.4519202.1.424521.4510600.200104.000.000000.000000</t>
  </si>
  <si>
    <t>451.070702.4519202.1.424761.4510600.200104.000.000000.000000</t>
  </si>
  <si>
    <t>070702 - ALC Awards and grants</t>
  </si>
  <si>
    <t>451.070703.4519202.1.491711.4510600.300105.000.000000.000000</t>
  </si>
  <si>
    <t>Licenses Fees-N2</t>
  </si>
  <si>
    <t>451.070702.4519202.1.424131.4510600.200104.000.000000.000000</t>
  </si>
  <si>
    <t>Mission &amp; Travel-N2</t>
  </si>
  <si>
    <t>451.070702.4519202.1.423821.4510600.200104.000.000000.000000</t>
  </si>
  <si>
    <t>Photo &amp; Video-N2</t>
  </si>
  <si>
    <t>451.070703.4519202.1.424221.4510600.200104.000.000000.000000</t>
  </si>
  <si>
    <t>4511000676</t>
  </si>
  <si>
    <t>ABP- SZBA</t>
  </si>
  <si>
    <t>Awards &amp; Prizes-N2</t>
  </si>
  <si>
    <t>451.070703.4519201.1.424231.4510600.200104.000.000000.000000</t>
  </si>
  <si>
    <t>ALC- Literature Awards Department</t>
  </si>
  <si>
    <t>4519201</t>
  </si>
  <si>
    <t>Committee Member-N2</t>
  </si>
  <si>
    <t>421115 - Academic Advisory Service  expenses</t>
  </si>
  <si>
    <t>451.070702.4519201.1.421115.4510600.200104.000.000000.000000</t>
  </si>
  <si>
    <t>451.070703.4519201.1.422401.4510600.200104.000.000000.000000</t>
  </si>
  <si>
    <t>Gen Logistics-N2</t>
  </si>
  <si>
    <t>451.070703.4519201.1.424671.4510600.200104.000.000000.000000</t>
  </si>
  <si>
    <t>451.070703.4519201.1.424761.4510600.200104.000.000000.000000</t>
  </si>
  <si>
    <t>PR&amp;MediaCoverage-N2</t>
  </si>
  <si>
    <t>451.070703.4519201.1.424781.4510600.200104.000.000000.000000</t>
  </si>
  <si>
    <t>Prizes &amp; Comps-N2</t>
  </si>
  <si>
    <t>TranslationGrant-N2</t>
  </si>
  <si>
    <t>451.070702.4519201.1.424701.4510600.200104.000.000000.000000</t>
  </si>
  <si>
    <t>4511000677</t>
  </si>
  <si>
    <t>ABP- Translation (Kalima)</t>
  </si>
  <si>
    <t>Committee Member-N1</t>
  </si>
  <si>
    <t>451.070704.4519199.1.421115.4510600.200104.000.000000.000000</t>
  </si>
  <si>
    <t>451.070702.4519199.1.424791.4510600.200104.000.000000.000000</t>
  </si>
  <si>
    <t>451.070704.4519199.1.424521.4510600.200104.000.000000.000000</t>
  </si>
  <si>
    <t>451.070702.4519199.1.422951.4510600.200104.000.000000.000000</t>
  </si>
  <si>
    <t>Translation-N1</t>
  </si>
  <si>
    <t>451.070702.4519199.1.424701.4510600.200104.000.000000.000000</t>
  </si>
  <si>
    <t>451.070702.4519199.1.431114.4510600.200104.000.000000.000000</t>
  </si>
  <si>
    <t>4511000681</t>
  </si>
  <si>
    <t>AL  Education &amp; Research</t>
  </si>
  <si>
    <t>451.070701.4519197.1.423821.4510600.200104.000.000000.000000</t>
  </si>
  <si>
    <t>ALC- Arabic Language Education &amp; Research Department</t>
  </si>
  <si>
    <t>4519197</t>
  </si>
  <si>
    <t>4511000685</t>
  </si>
  <si>
    <t>C. C. Office Operations</t>
  </si>
  <si>
    <t>PR&amp;MediaCoverage-N1</t>
  </si>
  <si>
    <t>451.070705.4519196.1.424781.4510600.200104.000.000000.000000</t>
  </si>
  <si>
    <t>4511000686</t>
  </si>
  <si>
    <t>Creative Content Ope</t>
  </si>
  <si>
    <t>451.070701.4519199.1.423821.4510600.200104.000.000000.000000</t>
  </si>
  <si>
    <t>4511000692</t>
  </si>
  <si>
    <t>Strategic Planning Operations</t>
  </si>
  <si>
    <t>Freelancers-N2</t>
  </si>
  <si>
    <t>451.070701.4519203.1.424521.4510600.200104.000.000000.000000</t>
  </si>
  <si>
    <t>ALC- Strategic Planning Office</t>
  </si>
  <si>
    <t>4519203</t>
  </si>
  <si>
    <t>451.070701.4519203.1.424761.4510600.200104.000.000000.000000</t>
  </si>
  <si>
    <t>Market Research-N2</t>
  </si>
  <si>
    <t>451.070701.4519203.1.423411.4510600.200104.000.000000.000000</t>
  </si>
  <si>
    <t>451.070701.4519203.1.423821.4510600.200104.000.000000.000000</t>
  </si>
  <si>
    <t>Strategy Advice-N2</t>
  </si>
  <si>
    <t>451.070701.4519203.1.421123.4510600.200104.000.000000.000000</t>
  </si>
  <si>
    <t>Translation-N2</t>
  </si>
  <si>
    <t>451.070701.4519203.1.424701.4510600.200104.000.000000.000000</t>
  </si>
  <si>
    <t>4511000695</t>
  </si>
  <si>
    <t>Zayed Poetry Encyclopedia</t>
  </si>
  <si>
    <t>Photo &amp; Video-N</t>
  </si>
  <si>
    <t>451.070704.4519196.1.424221.4510600.200104.000.000000.000000</t>
  </si>
  <si>
    <t>4511000708</t>
  </si>
  <si>
    <t>FM - BUAH</t>
  </si>
  <si>
    <t>4511000709</t>
  </si>
  <si>
    <t>FM - Al Ain Warehouse</t>
  </si>
  <si>
    <t>4511000718</t>
  </si>
  <si>
    <t>UAE warriors</t>
  </si>
  <si>
    <t>Sponsorship Fees-L</t>
  </si>
  <si>
    <t>451.070502.4515500.1.424811.4510000.201096.000.000000.000000</t>
  </si>
  <si>
    <t>201096 - FA1096-UAE Warriors</t>
  </si>
  <si>
    <t>4511000721</t>
  </si>
  <si>
    <t>AD Culture Digital Platform</t>
  </si>
  <si>
    <t>451.070204.4511550.1.422511.4510000.200104.000.000000.000000</t>
  </si>
  <si>
    <t>4511000723</t>
  </si>
  <si>
    <t>Comic Con</t>
  </si>
  <si>
    <t>IP Events-N</t>
  </si>
  <si>
    <t>4511000725</t>
  </si>
  <si>
    <t>NBA- Basket Ball Development</t>
  </si>
  <si>
    <t>Co-Invest Events-N1</t>
  </si>
  <si>
    <t>451.070501.4515500.1.422401.4510000.050729.000.000000.000000</t>
  </si>
  <si>
    <t>050729 - FA50729-NBA- Basket Ball Development</t>
  </si>
  <si>
    <t>IP Rights-L</t>
  </si>
  <si>
    <t>423531 - International sports Events</t>
  </si>
  <si>
    <t>451.070501.4515500.1.423531.4510000.050729.000.000000.000000</t>
  </si>
  <si>
    <t>4511000727</t>
  </si>
  <si>
    <t>ALP Exam</t>
  </si>
  <si>
    <t>451.070701.4519197.1.424811.4510600.200104.000.000000.000000</t>
  </si>
  <si>
    <t>4511000728</t>
  </si>
  <si>
    <t>Moderna Arabic lexicon</t>
  </si>
  <si>
    <t>451.070704.4519197.1.424521.4510600.200104.000.000000.000000</t>
  </si>
  <si>
    <t>4511000729</t>
  </si>
  <si>
    <t>ABP- Al Dhafra Exhibition</t>
  </si>
  <si>
    <t>451.070703.4519200.1.422401.4510600.200104.000.000000.000000</t>
  </si>
  <si>
    <t>ALC- Bookfairs &amp; Events Department</t>
  </si>
  <si>
    <t>4519200</t>
  </si>
  <si>
    <t>Design &amp; Build-N2</t>
  </si>
  <si>
    <t>451.070703.4519200.1.424221.4510600.200104.000.000000.000000</t>
  </si>
  <si>
    <t>451.070703.4519200.1.424761.4510600.200104.000.000000.000000</t>
  </si>
  <si>
    <t>451.070703.4519200.1.424131.4510600.200104.000.000000.000000</t>
  </si>
  <si>
    <t>451.070703.4519200.1.423821.4510600.200104.000.000000.000000</t>
  </si>
  <si>
    <t>451.070704.4519196.1.424781.4510600.200104.000.000000.000000</t>
  </si>
  <si>
    <t>4511000730</t>
  </si>
  <si>
    <t>ABP- AlAin Exhibition</t>
  </si>
  <si>
    <t>Event Consumable-N3</t>
  </si>
  <si>
    <t>451.070703.4519200.1.421125.4510600.200104.000.000000.000000</t>
  </si>
  <si>
    <t>451.070703.4519196.1.424781.4510600.200104.000.000000.000000</t>
  </si>
  <si>
    <t>4511000731</t>
  </si>
  <si>
    <t>IPAF Award</t>
  </si>
  <si>
    <t>Sponsorship Fees-N2</t>
  </si>
  <si>
    <t>451.070704.4519201.1.424811.4510600.200104.000.000000.000000</t>
  </si>
  <si>
    <t>4511000733</t>
  </si>
  <si>
    <t>50 Best</t>
  </si>
  <si>
    <t>4511000735</t>
  </si>
  <si>
    <t>Culinary Fund</t>
  </si>
  <si>
    <t>Co-Invest Events-L1</t>
  </si>
  <si>
    <t>451.070501.4515500.1.422401.4510000.050730.000.000000.000000</t>
  </si>
  <si>
    <t>050730 - FA50730-Culinary Fund</t>
  </si>
  <si>
    <t>4511000744</t>
  </si>
  <si>
    <t>Michellin Audit</t>
  </si>
  <si>
    <t>451.070501.4515500.1.421125.4510000.200104.000.000000.000000</t>
  </si>
  <si>
    <t>4511000751</t>
  </si>
  <si>
    <t>Compliance &amp; Quality</t>
  </si>
  <si>
    <t>Freelancer-N</t>
  </si>
  <si>
    <t>451.070502.4510170.1.424521.4510000.200104.000.000000.000000</t>
  </si>
  <si>
    <t>451.070502.4510170.1.424131.4510000.200104.000.000000.000000</t>
  </si>
  <si>
    <t>4511000752</t>
  </si>
  <si>
    <t>EHS - Corporate</t>
  </si>
  <si>
    <t>Clinic Services-N</t>
  </si>
  <si>
    <t>423351 - Medical services</t>
  </si>
  <si>
    <t>451.070502.4510170.1.423351.4510000.200104.000.000000.000000</t>
  </si>
  <si>
    <t>423351 - Medical services provided at workplace</t>
  </si>
  <si>
    <t>Health &amp; Safety-NC</t>
  </si>
  <si>
    <t>491911 - Other fixed assets - Capital Expenditure</t>
  </si>
  <si>
    <t>451.070101.4510170.1.491911.4510000.300105.000.000000.000000</t>
  </si>
  <si>
    <t>4511000753</t>
  </si>
  <si>
    <t>EHS - Sector</t>
  </si>
  <si>
    <t>4511000754</t>
  </si>
  <si>
    <t>Inspection Section</t>
  </si>
  <si>
    <t>4511000758</t>
  </si>
  <si>
    <t>IT Governance</t>
  </si>
  <si>
    <t>EndUser Software-N</t>
  </si>
  <si>
    <t>422911 - Computer SW licenses-and  Renewal</t>
  </si>
  <si>
    <t>451.070106.4510250.1.422911.4510000.200104.000.000000.000000</t>
  </si>
  <si>
    <t>422911 - Computer software licenses-Software License Renewal</t>
  </si>
  <si>
    <t>4511000760</t>
  </si>
  <si>
    <t>Technology PMO</t>
  </si>
  <si>
    <t>451.070106.4510250.1.424521.4510000.200104.000.000000.000000</t>
  </si>
  <si>
    <t>4511000761</t>
  </si>
  <si>
    <t>451.070101.4512010.1.424521.4510000.200104.000.000000.000000</t>
  </si>
  <si>
    <t>DCT - Strategy Affairs (Central) DEPT.</t>
  </si>
  <si>
    <t>4512010</t>
  </si>
  <si>
    <t>451.070110.4512010.1.424761.4510000.200104.000.000000.000000</t>
  </si>
  <si>
    <t>451.070110.4512010.1.424521.4510000.200104.000.000000.000000</t>
  </si>
  <si>
    <t>451.070110.4512010.1.423821.4510000.200104.000.000000.000000</t>
  </si>
  <si>
    <t>4511000764</t>
  </si>
  <si>
    <t>ALC ACI&amp;D EP</t>
  </si>
  <si>
    <t>AudioBook Create-N1</t>
  </si>
  <si>
    <t>E-bookConversion-N1</t>
  </si>
  <si>
    <t>eBook Distribute-N1</t>
  </si>
  <si>
    <t>425301 - Pass Integ platform</t>
  </si>
  <si>
    <t>451.070702.4519199.1.425301.4510600.200104.000.000000.000000</t>
  </si>
  <si>
    <t>425301 - PaaS - Integration Platforms and Tools Subscription</t>
  </si>
  <si>
    <t>4511000765</t>
  </si>
  <si>
    <t>ALC ALE&amp;R 101BL</t>
  </si>
  <si>
    <t>451.070701.4519197.1.424791.4510600.200104.000.000000.000000</t>
  </si>
  <si>
    <t>Research&amp;Survey-N1</t>
  </si>
  <si>
    <t>451.070701.4519197.1.423411.4510600.200104.000.000000.000000</t>
  </si>
  <si>
    <t>4511000766</t>
  </si>
  <si>
    <t>ALC ALE&amp;R WSA</t>
  </si>
  <si>
    <t>Awards &amp; Prizes-N1</t>
  </si>
  <si>
    <t>451.070702.4519197.1.424231.4510600.200104.000.000000.000000</t>
  </si>
  <si>
    <t>451.070703.4519197.1.422511.4510600.200104.000.000000.000000</t>
  </si>
  <si>
    <t>4511000768</t>
  </si>
  <si>
    <t>ALC MECD CD</t>
  </si>
  <si>
    <t>451.070701.4519200.1.422401.4510600.200104.000.000000.000000</t>
  </si>
  <si>
    <t>4511000769</t>
  </si>
  <si>
    <t>ALC MECD ADIBF</t>
  </si>
  <si>
    <t>Event Consumable-N2</t>
  </si>
  <si>
    <t>451.070704.4519200.1.421125.4510600.200104.000.000000.000000</t>
  </si>
  <si>
    <t>Media Coverage-N1</t>
  </si>
  <si>
    <t>451.070702.4519196.1.422511.4510600.200104.000.000000.000000</t>
  </si>
  <si>
    <t>Offline Ads-N1</t>
  </si>
  <si>
    <t>451.070704.4519196.1.422511.4510600.200104.000.000000.000000</t>
  </si>
  <si>
    <t>Venue&amp;Room Rent-N2</t>
  </si>
  <si>
    <t>4511000770</t>
  </si>
  <si>
    <t>IT Director Office</t>
  </si>
  <si>
    <t>451.070106.4510250.1.421125.4510000.200104.000.000000.000000</t>
  </si>
  <si>
    <t>451.070106.4510250.1.423821.4510000.200104.000.000000.000000</t>
  </si>
  <si>
    <t>TechnologyAdvice-N</t>
  </si>
  <si>
    <t>4511000773</t>
  </si>
  <si>
    <t>Al Naghfa site</t>
  </si>
  <si>
    <t>4511000779</t>
  </si>
  <si>
    <t>Internal Communications</t>
  </si>
  <si>
    <t>451.070103.4510220.1.422401.4510000.200104.000.000000.000000</t>
  </si>
  <si>
    <t>4511000782</t>
  </si>
  <si>
    <t>Rewards &amp; Policy</t>
  </si>
  <si>
    <t>451.070103.4510220.1.424231.4510000.200104.000.000000.000000</t>
  </si>
  <si>
    <t>4511000785</t>
  </si>
  <si>
    <t>Tech Engineering</t>
  </si>
  <si>
    <t>System Maintain-N1</t>
  </si>
  <si>
    <t>Systems Develop-N</t>
  </si>
  <si>
    <t>451.070106.4510250.1.425301.4510000.200104.000.000000.000000</t>
  </si>
  <si>
    <t>451.070106.4510250.1.493140.4510000.300105.000.000000.000000</t>
  </si>
  <si>
    <t>4511000789</t>
  </si>
  <si>
    <t>Destination Mystery Shopper</t>
  </si>
  <si>
    <t>451.070501.4515300.1.421125.4510000.200104.000.000000.000000</t>
  </si>
  <si>
    <t>DCT - Visitor Experience &amp; Tourism Products Development Dept.</t>
  </si>
  <si>
    <t>4515300</t>
  </si>
  <si>
    <t>451.070503.4515300.1.424521.4510000.200104.000.000000.000000</t>
  </si>
  <si>
    <t>070503 - Enhance Visitor Experience</t>
  </si>
  <si>
    <t>Mystery Shopper-N</t>
  </si>
  <si>
    <t>451.070503.4515300.1.421191.4510000.200104.000.000000.000000</t>
  </si>
  <si>
    <t>4511000794</t>
  </si>
  <si>
    <t>Business Development</t>
  </si>
  <si>
    <t>451.070503.4515300.1.423821.4510000.200104.000.000000.000000</t>
  </si>
  <si>
    <t>4511000798</t>
  </si>
  <si>
    <t>Develop Meeting &amp; Incentives</t>
  </si>
  <si>
    <t>Mission &amp; Travel-L</t>
  </si>
  <si>
    <t>451.070502.4515400.1.423821.4510000.201931.000.000000.000000</t>
  </si>
  <si>
    <t>Partnership Fees-N</t>
  </si>
  <si>
    <t>4511000809</t>
  </si>
  <si>
    <t>Liwa Festival</t>
  </si>
  <si>
    <t>Event Management-ND</t>
  </si>
  <si>
    <t>451.070501.4515010.1.422401.4510000.200104.000.000000.000000</t>
  </si>
  <si>
    <t>DCT - Tourism (Central) Dept</t>
  </si>
  <si>
    <t>4515010</t>
  </si>
  <si>
    <t>451.070501.4515010.1.424521.4510000.200104.000.000000.000000</t>
  </si>
  <si>
    <t>4511000810</t>
  </si>
  <si>
    <t>Partners Onboarding</t>
  </si>
  <si>
    <t>451.070501.4515500.1.424521.4510000.200104.000.000000.000000</t>
  </si>
  <si>
    <t>451.070501.4515500.1.423821.4510000.200104.000.000000.000000</t>
  </si>
  <si>
    <t>451.070501.4515500.1.421123.4510000.200104.000.000000.000000</t>
  </si>
  <si>
    <t>4511000815</t>
  </si>
  <si>
    <t>SP-BI-Data Engineering</t>
  </si>
  <si>
    <t>Audit Services-N1</t>
  </si>
  <si>
    <t>451.070111.4512200.1.421125.4510000.200104.000.000000.000000</t>
  </si>
  <si>
    <t>General Retainer-N</t>
  </si>
  <si>
    <t>451.070111.4512200.1.424521.4510000.200104.000.000000.000000</t>
  </si>
  <si>
    <t>Systems Develop-NC1</t>
  </si>
  <si>
    <t>451.070111.4512200.1.493140.4510000.300105.000.000000.000000</t>
  </si>
  <si>
    <t>4511000816</t>
  </si>
  <si>
    <t>The Abu Dhabi Culture Award</t>
  </si>
  <si>
    <t>451.070206.4511010.1.422401.4510000.200104.000.000000.000000</t>
  </si>
  <si>
    <t>4511000819</t>
  </si>
  <si>
    <t>Urban Treasures</t>
  </si>
  <si>
    <t>4511000820</t>
  </si>
  <si>
    <t>Al Ain Museum</t>
  </si>
  <si>
    <t>Media Mgmnt &amp;Buy-N2</t>
  </si>
  <si>
    <t>451.070205.4511250.1.423821.4510000.200104.000.000000.000000</t>
  </si>
  <si>
    <t>4511000826</t>
  </si>
  <si>
    <t>TSM-Sector Management</t>
  </si>
  <si>
    <t>451.070501.4515010.1.424761.4510000.200104.000.000000.000000</t>
  </si>
  <si>
    <t>451.070501.4515010.1.423821.4510000.200104.000.000000.000000</t>
  </si>
  <si>
    <t>451.070501.4515010.1.424991.4510000.200104.000.000000.000000</t>
  </si>
  <si>
    <t>4511000829</t>
  </si>
  <si>
    <t>Master piece</t>
  </si>
  <si>
    <t>Acquisitions-L</t>
  </si>
  <si>
    <t>451.070101.4510110.1.491811.4510000.301439.000.000000.000000</t>
  </si>
  <si>
    <t>301439 - FA1439-art collectibles fund</t>
  </si>
  <si>
    <t>4511000849</t>
  </si>
  <si>
    <t>Formula 1 Grand Prix</t>
  </si>
  <si>
    <t>451.070501.4515500.1.424761.4510000.200104.000.000000.000000</t>
  </si>
  <si>
    <t>4511000854</t>
  </si>
  <si>
    <t>Arabic Concerts</t>
  </si>
  <si>
    <t>4511000859</t>
  </si>
  <si>
    <t>Egyptian Super Cup</t>
  </si>
  <si>
    <t>4511000860</t>
  </si>
  <si>
    <t>Al Ain Destination Strategy</t>
  </si>
  <si>
    <t>451.070501.4515700.1.422191.4510000.200104.000.000000.000000</t>
  </si>
  <si>
    <t>CampaignProductn-N</t>
  </si>
  <si>
    <t>451.070501.4515700.1.422511.4510000.200104.000.000000.000000</t>
  </si>
  <si>
    <t>451.070501.4515700.1.422401.4510000.200104.000.000000.000000</t>
  </si>
  <si>
    <t>451.070501.4515700.1.426212.4510000.200104.000.000000.000000</t>
  </si>
  <si>
    <t>451.070501.4515700.1.421119.4510000.200104.000.000000.000000</t>
  </si>
  <si>
    <t>451.070501.4515700.1.423821.4510000.200104.000.000000.000000</t>
  </si>
  <si>
    <t>451.070501.4515700.1.424811.4510000.200104.000.000000.000000</t>
  </si>
  <si>
    <t>Trade Partners-N</t>
  </si>
  <si>
    <t>451.070501.4515700.1.424251.4510000.200104.000.000000.000000</t>
  </si>
  <si>
    <t>Transportation-N</t>
  </si>
  <si>
    <t>4511000864</t>
  </si>
  <si>
    <t>Saadiyat Cultural District</t>
  </si>
  <si>
    <t>Interior Fit Out-N</t>
  </si>
  <si>
    <t>451.070205.4511150.1.491711.4510000.300105.000.000000.000000</t>
  </si>
  <si>
    <t>4511000871</t>
  </si>
  <si>
    <t>ALC-IT</t>
  </si>
  <si>
    <t>MobileAppSupport-N</t>
  </si>
  <si>
    <t>Network Service-N</t>
  </si>
  <si>
    <t>422214 - IT Systems-Support expenses-Network Services Operation</t>
  </si>
  <si>
    <t>451.070106.4510250.1.422214.4510000.200104.000.000000.000000</t>
  </si>
  <si>
    <t>422214 - IT Systems &amp; Support expenses-Network Services Operation</t>
  </si>
  <si>
    <t>Peripherals-NC1</t>
  </si>
  <si>
    <t>491320 - Hardware &amp; peripherals - Capital Expenditure</t>
  </si>
  <si>
    <t>451.070106.4510250.1.491320.4510000.300105.000.000000.000000</t>
  </si>
  <si>
    <t>Website Support-N</t>
  </si>
  <si>
    <t>4511000872</t>
  </si>
  <si>
    <t>Business Support - IT</t>
  </si>
  <si>
    <t>4511000873</t>
  </si>
  <si>
    <t>Culture - IT</t>
  </si>
  <si>
    <t>Peripherals-NC</t>
  </si>
  <si>
    <t>System Licenses-NC</t>
  </si>
  <si>
    <t>Website Design-NC</t>
  </si>
  <si>
    <t>4511000875</t>
  </si>
  <si>
    <t>Marketing - IT</t>
  </si>
  <si>
    <t>4511000876</t>
  </si>
  <si>
    <t>Strategy &amp; Planning - IT</t>
  </si>
  <si>
    <t>Cloud Services-N</t>
  </si>
  <si>
    <t>422218 - Cloud-Infrastructure</t>
  </si>
  <si>
    <t>451.070106.4510250.1.422218.4510000.200104.000.000000.000000</t>
  </si>
  <si>
    <t>422218 - Cloud and Infrastructure Operation</t>
  </si>
  <si>
    <t>4511000877</t>
  </si>
  <si>
    <t>Tourism - IT</t>
  </si>
  <si>
    <t>Systems Develop -N1</t>
  </si>
  <si>
    <t>Website Support-NC</t>
  </si>
  <si>
    <t>4511000878</t>
  </si>
  <si>
    <t>Undersectretary Office - IT</t>
  </si>
  <si>
    <t>4511000880</t>
  </si>
  <si>
    <t>KAJ - Kanz Al Jeel</t>
  </si>
  <si>
    <t>Gen Logistics-N3</t>
  </si>
  <si>
    <t>4511000881</t>
  </si>
  <si>
    <t>International Congress (ICP)</t>
  </si>
  <si>
    <t>451.070704.4519203.1.421125.4510600.200104.000.000000.000000</t>
  </si>
  <si>
    <t>451.070704.4519203.1.422401.4510600.200104.000.000000.000000</t>
  </si>
  <si>
    <t>451.070704.4519203.1.424521.4510600.200104.000.000000.000000</t>
  </si>
  <si>
    <t>451.070704.4519203.1.424761.4510600.200104.000.000000.000000</t>
  </si>
  <si>
    <t>451.070704.4519203.1.422511.4510600.200104.000.000000.000000</t>
  </si>
  <si>
    <t>Talent Mgmnt-N2</t>
  </si>
  <si>
    <t>4511000882</t>
  </si>
  <si>
    <t>AlMaknaz</t>
  </si>
  <si>
    <t>451.070702.4519197.1.424811.4510600.200104.000.000000.000000</t>
  </si>
  <si>
    <t>4511000883</t>
  </si>
  <si>
    <t>Bookfairs &amp; Events Operations</t>
  </si>
  <si>
    <t>451.070704.4519200.1.424521.4510600.200104.000.000000.000000</t>
  </si>
  <si>
    <t>4511000886</t>
  </si>
  <si>
    <t>Digital Content Production</t>
  </si>
  <si>
    <t>Online Ads-N1</t>
  </si>
  <si>
    <t>Photo &amp; Video-N1</t>
  </si>
  <si>
    <t>451.070705.4519196.1.424221.4510600.200104.000.000000.000000</t>
  </si>
  <si>
    <t>SM Managnt E-E-N1</t>
  </si>
  <si>
    <t>SM Prodct&amp;Develp-N1</t>
  </si>
  <si>
    <t>4511000887</t>
  </si>
  <si>
    <t>Marketing &amp; Communications</t>
  </si>
  <si>
    <t>E-E Ops and Prod-N1</t>
  </si>
  <si>
    <t>451.070705.4519196.1.421125.4510600.200104.000.000000.000000</t>
  </si>
  <si>
    <t>451.070705.4519196.1.424521.4510600.200104.000.000000.000000</t>
  </si>
  <si>
    <t>451.070705.4519196.1.424761.4510600.200104.000.000000.000000</t>
  </si>
  <si>
    <t>451.070705.4519196.1.423821.4510600.200104.000.000000.000000</t>
  </si>
  <si>
    <t>4511000888</t>
  </si>
  <si>
    <t>Spotlight on Rights (SOR)</t>
  </si>
  <si>
    <t>TranslationGrant-N1</t>
  </si>
  <si>
    <t>451.070703.4519199.1.424701.4510600.200104.000.000000.000000</t>
  </si>
  <si>
    <t>4511000890</t>
  </si>
  <si>
    <t>Marketing Operations</t>
  </si>
  <si>
    <t>Brand Management-N1</t>
  </si>
  <si>
    <t>4511000892</t>
  </si>
  <si>
    <t>ALC Internal Communications</t>
  </si>
  <si>
    <t>Edit &amp; Copywrite-N2</t>
  </si>
  <si>
    <t>451.070704.4510195.1.421115.4510600.200104.000.000000.000000</t>
  </si>
  <si>
    <t>4511000902</t>
  </si>
  <si>
    <t>Licensing Section</t>
  </si>
  <si>
    <t>451.070502.4510170.1.424761.4510000.200104.000.000000.000000</t>
  </si>
  <si>
    <t>4511000903</t>
  </si>
  <si>
    <t>Al Murabba Fort</t>
  </si>
  <si>
    <t>4511000907</t>
  </si>
  <si>
    <t>Museum Educators Alliance</t>
  </si>
  <si>
    <t>4511000909</t>
  </si>
  <si>
    <t>Outreach Programmes</t>
  </si>
  <si>
    <t>4511000910</t>
  </si>
  <si>
    <t>Teaching Artist Residency</t>
  </si>
  <si>
    <t>451.070202.4511800.1.422511.4510000.200104.000.000000.000000</t>
  </si>
  <si>
    <t>451.070202.4511800.1.424701.4510000.200104.000.000000.000000</t>
  </si>
  <si>
    <t>4511000914</t>
  </si>
  <si>
    <t>Handicrafts Heritage Festival</t>
  </si>
  <si>
    <t>4511000920</t>
  </si>
  <si>
    <t>City of Music</t>
  </si>
  <si>
    <t>4511000926</t>
  </si>
  <si>
    <t>Hype Beast - BRED</t>
  </si>
  <si>
    <t>4511000927</t>
  </si>
  <si>
    <t>Michelin Food Festival</t>
  </si>
  <si>
    <t>4511000935</t>
  </si>
  <si>
    <t>Cruise Partnerships</t>
  </si>
  <si>
    <t>451.070602.4515900.1.421125.4510000.200104.000.000000.000000</t>
  </si>
  <si>
    <t>Trade Partners-N1</t>
  </si>
  <si>
    <t>4511000942</t>
  </si>
  <si>
    <t>Destination Wedding</t>
  </si>
  <si>
    <t>451.070602.4515900.1.422401.4510000.200104.000.000000.000000</t>
  </si>
  <si>
    <t>GSA Retainer-N1</t>
  </si>
  <si>
    <t>MICE-M&amp;I-N1</t>
  </si>
  <si>
    <t>461412 - Support to AD tourism development program</t>
  </si>
  <si>
    <t>451.070602.4515900.1.461412.4510000.200104.000.000000.000000</t>
  </si>
  <si>
    <t>451.070602.4515900.1.424781.4510000.200104.000.000000.000000</t>
  </si>
  <si>
    <t>Partnership Fees-N1</t>
  </si>
  <si>
    <t>4511000943</t>
  </si>
  <si>
    <t>B.D - Association Convention</t>
  </si>
  <si>
    <t>MICE-Association-N</t>
  </si>
  <si>
    <t>451.070602.4515400.1.461412.4510000.200104.000.000000.000000</t>
  </si>
  <si>
    <t>451.070602.4515400.1.424251.4510000.200104.000.000000.000000</t>
  </si>
  <si>
    <t>4511000944</t>
  </si>
  <si>
    <t>Culture Festivals &amp; Platforms</t>
  </si>
  <si>
    <t>451.070206.4511750.1.423821.4510000.200104.000.000000.000000</t>
  </si>
  <si>
    <t>4511000946</t>
  </si>
  <si>
    <t>Culture Summit</t>
  </si>
  <si>
    <t>4511000947</t>
  </si>
  <si>
    <t>Creative Agency</t>
  </si>
  <si>
    <t>CampaignProdRtnr-N1</t>
  </si>
  <si>
    <t>451.070601.4513140.1.422511.4510000.200104.000.000000.000000</t>
  </si>
  <si>
    <t>4511000972</t>
  </si>
  <si>
    <t>Tourism Tactical research</t>
  </si>
  <si>
    <t>451.070501.4515010.1.421123.4510000.200104.000.000000.000000</t>
  </si>
  <si>
    <t>4511000977</t>
  </si>
  <si>
    <t>Visitor journey experiences</t>
  </si>
  <si>
    <t>451.070503.4515300.1.424231.4510000.200104.000.000000.000000</t>
  </si>
  <si>
    <t>451.070503.4515300.1.424131.4510000.200104.000.000000.000000</t>
  </si>
  <si>
    <t>451.070503.4515300.1.423411.4510000.200104.000.000000.000000</t>
  </si>
  <si>
    <t>4511000978</t>
  </si>
  <si>
    <t>Service standards Manual</t>
  </si>
  <si>
    <t>4511000979</t>
  </si>
  <si>
    <t>Kiosk</t>
  </si>
  <si>
    <t>Design &amp; Build-NC</t>
  </si>
  <si>
    <t>451.070501.4515300.1.491211.4510000.300105.000.000000.000000</t>
  </si>
  <si>
    <t>422211 -  IT Systems- Support expenses:Maintenance</t>
  </si>
  <si>
    <t>451.070503.4515300.1.422211.4510000.200104.000.000000.000000</t>
  </si>
  <si>
    <t>422211 - IT Systems &amp; Support expenses:Maintenance</t>
  </si>
  <si>
    <t>4511000981</t>
  </si>
  <si>
    <t>Advantage AD Scheme</t>
  </si>
  <si>
    <t>MICE-Association-L</t>
  </si>
  <si>
    <t>451.070502.4515400.1.461412.4510000.201931.000.000000.000000</t>
  </si>
  <si>
    <t>MICE-M&amp;I-N</t>
  </si>
  <si>
    <t>MICE-Trade Shows-L</t>
  </si>
  <si>
    <t>451.070502.4515400.1.422401.4510000.201931.000.000000.000000</t>
  </si>
  <si>
    <t>MICE-Trade Shows-N</t>
  </si>
  <si>
    <t>4511000984</t>
  </si>
  <si>
    <t>VIC 24/7 staff</t>
  </si>
  <si>
    <t>4511000985</t>
  </si>
  <si>
    <t>Al Souq Al Shaabi</t>
  </si>
  <si>
    <t>4511000987</t>
  </si>
  <si>
    <t>Revenue Section</t>
  </si>
  <si>
    <t>451.070502.4510210.1.421125.4510000.200104.000.000000.000000</t>
  </si>
  <si>
    <t>ComplianceAdvice-N1</t>
  </si>
  <si>
    <t>451.070502.4510210.1.424521.4510000.200104.000.000000.000000</t>
  </si>
  <si>
    <t>451.070502.4510210.1.423821.4510000.200104.000.000000.000000</t>
  </si>
  <si>
    <t>4511000988</t>
  </si>
  <si>
    <t>Events &amp; SP Inspection Section</t>
  </si>
  <si>
    <t>4511001004</t>
  </si>
  <si>
    <t>Visitor information centre</t>
  </si>
  <si>
    <t>451.070503.4515300.1.426212.4510000.200104.000.000000.000000</t>
  </si>
  <si>
    <t>Parking Fees-N</t>
  </si>
  <si>
    <t>451.070503.4515300.1.425112.4510000.200104.000.000000.000000</t>
  </si>
  <si>
    <t>4511001005</t>
  </si>
  <si>
    <t>VX consultancy services</t>
  </si>
  <si>
    <t>4511001038</t>
  </si>
  <si>
    <t>Al Maqta’a Museum</t>
  </si>
  <si>
    <t>4511001041</t>
  </si>
  <si>
    <t>Al Murabba Police Museum</t>
  </si>
  <si>
    <t>Design &amp; Build-N1</t>
  </si>
  <si>
    <t>451.070205.4511150.1.491211.4510000.300105.000.000000.000000</t>
  </si>
  <si>
    <t>4511001049</t>
  </si>
  <si>
    <t>Kids Animation</t>
  </si>
  <si>
    <t>CampaignProductn-N2</t>
  </si>
  <si>
    <t>451.070702.4519199.1.422511.4510600.200104.000.000000.000000</t>
  </si>
  <si>
    <t>4511001051</t>
  </si>
  <si>
    <t>Sard Al Thahab</t>
  </si>
  <si>
    <t>4511001052</t>
  </si>
  <si>
    <t>50 Best World</t>
  </si>
  <si>
    <t>4511001055</t>
  </si>
  <si>
    <t>Fight Night</t>
  </si>
  <si>
    <t>451.070501.4515500.1.423531.4510000.201760.000.000000.000000</t>
  </si>
  <si>
    <t>201760 - FA1760-Fight Night.Event</t>
  </si>
  <si>
    <t>4511001060</t>
  </si>
  <si>
    <t>MELT Golf Classic Steve Harvey</t>
  </si>
  <si>
    <t>4511001062</t>
  </si>
  <si>
    <t>Taste of Abu Dhabi</t>
  </si>
  <si>
    <t>4511001067</t>
  </si>
  <si>
    <t>Accommodation for VIP guests</t>
  </si>
  <si>
    <t>Talent Accom-N</t>
  </si>
  <si>
    <t>423831 - Business Travel - Accommodation expenses</t>
  </si>
  <si>
    <t>451.070501.4515010.1.423831.4510000.200104.000.000000.000000</t>
  </si>
  <si>
    <t>4511001070</t>
  </si>
  <si>
    <t>Capital Briefing</t>
  </si>
  <si>
    <t>4511001078</t>
  </si>
  <si>
    <t>Hotel GMs Meetings</t>
  </si>
  <si>
    <t>4511001082</t>
  </si>
  <si>
    <t>Stakeholder Engagement</t>
  </si>
  <si>
    <t>451.070101.4515010.1.422401.4510000.200104.000.000000.000000</t>
  </si>
  <si>
    <t>4511001083</t>
  </si>
  <si>
    <t>Stakeholder Eng. Activities</t>
  </si>
  <si>
    <t>Entertainment-N</t>
  </si>
  <si>
    <t>4511001095</t>
  </si>
  <si>
    <t>Activation</t>
  </si>
  <si>
    <t>451.070501.4513130.1.424811.4510000.201931.000.000000.000000</t>
  </si>
  <si>
    <t>4511001117</t>
  </si>
  <si>
    <t>Saadiyat distract Global</t>
  </si>
  <si>
    <t>451.070501.4513130.1.422511.4510000.201931.000.000000.000000</t>
  </si>
  <si>
    <t>4511001118</t>
  </si>
  <si>
    <t>VIP &amp; Stakeholder</t>
  </si>
  <si>
    <t>4511001119</t>
  </si>
  <si>
    <t>Festival &amp; Celebration Concert</t>
  </si>
  <si>
    <t>4511001120</t>
  </si>
  <si>
    <t>Fireworks</t>
  </si>
  <si>
    <t>Fireworks-N</t>
  </si>
  <si>
    <t>4511001128</t>
  </si>
  <si>
    <t>Product Development-Consultant</t>
  </si>
  <si>
    <t>451.070602.4515900.1.424521.4510000.200104.000.000000.000000</t>
  </si>
  <si>
    <t>451.070602.4515900.1.421123.4510000.200104.000.000000.000000</t>
  </si>
  <si>
    <t>4511001134</t>
  </si>
  <si>
    <t>Investment-Investor Pitch Book</t>
  </si>
  <si>
    <t>Admin Expenses-N3</t>
  </si>
  <si>
    <t>451.070501.4515010.1.421125.4510000.200104.000.000000.000000</t>
  </si>
  <si>
    <t>451.070501.4515010.1.422511.4510000.200104.000.000000.000000</t>
  </si>
  <si>
    <t>4511001136</t>
  </si>
  <si>
    <t>Saadiyat Festival</t>
  </si>
  <si>
    <t>4511001137</t>
  </si>
  <si>
    <t>Studies</t>
  </si>
  <si>
    <t>451.070303.4518113.1.424521.4510000.200104.000.000000.000000</t>
  </si>
  <si>
    <t>DCT - AD Gaming Business Development Department</t>
  </si>
  <si>
    <t>4518113</t>
  </si>
  <si>
    <t>451.070303.4518113.1.421123.4510000.200104.000.000000.000000</t>
  </si>
  <si>
    <t>4511001141</t>
  </si>
  <si>
    <t>Esports</t>
  </si>
  <si>
    <t>451.070303.4518113.1.422401.4510000.200104.000.000000.000000</t>
  </si>
  <si>
    <t>4511001143</t>
  </si>
  <si>
    <t>Training and Talent Devel.</t>
  </si>
  <si>
    <t>451.070303.4518113.1.423411.4510000.200104.000.000000.000000</t>
  </si>
  <si>
    <t>451.070303.4518113.1.424761.4510000.200104.000.000000.000000</t>
  </si>
  <si>
    <t>4511001144</t>
  </si>
  <si>
    <t>Platform and Operations</t>
  </si>
  <si>
    <t>451.070303.4518113.1.421125.4510000.200104.000.000000.000000</t>
  </si>
  <si>
    <t>Furniture-N</t>
  </si>
  <si>
    <t>451.070301.4518113.1.491711.4510000.300105.000.000000.000000</t>
  </si>
  <si>
    <t>070301 - Creative Industry development</t>
  </si>
  <si>
    <t>451.070303.4518113.1.423821.4510000.200104.000.000000.000000</t>
  </si>
  <si>
    <t>451.070303.4518113.1.425252.4510000.200104.000.000000.000000</t>
  </si>
  <si>
    <t>4511001146</t>
  </si>
  <si>
    <t>Marketing</t>
  </si>
  <si>
    <t>451.070303.4518113.1.424781.4510000.200104.000.000000.000000</t>
  </si>
  <si>
    <t>4511001148</t>
  </si>
  <si>
    <t>ADGaming Subsidy Support</t>
  </si>
  <si>
    <t>Subsidies-N</t>
  </si>
  <si>
    <t>462512 - Grants towards Public-private partnerships</t>
  </si>
  <si>
    <t>451.070303.4518113.1.462512.4510000.200104.000.000000.000000</t>
  </si>
  <si>
    <t>4511001149</t>
  </si>
  <si>
    <t>Lease &amp; other support</t>
  </si>
  <si>
    <t>451.070303.4518113.1.425112.4510000.200104.000.000000.000000</t>
  </si>
  <si>
    <t>4511001151</t>
  </si>
  <si>
    <t>Comics Content Production</t>
  </si>
  <si>
    <t>451.070301.4512600.1.424521.4510000.200104.000.000000.000000</t>
  </si>
  <si>
    <t>DCT - Sandstorm Comics Department</t>
  </si>
  <si>
    <t>4512600</t>
  </si>
  <si>
    <t>451.070301.4512600.1.424791.4510000.200104.000.000000.000000</t>
  </si>
  <si>
    <t>4511001161</t>
  </si>
  <si>
    <t>Jujitsu Fitness District</t>
  </si>
  <si>
    <t>4511001169</t>
  </si>
  <si>
    <t>AUH Int. Boat Show</t>
  </si>
  <si>
    <t>4511001170</t>
  </si>
  <si>
    <t>Sheikh Zayed Festival</t>
  </si>
  <si>
    <t>4511001179</t>
  </si>
  <si>
    <t>Arabian Days</t>
  </si>
  <si>
    <t>451.070704.4519203.1.424221.4510600.200104.000.000000.000000</t>
  </si>
  <si>
    <t>PR Mgmnt E-E-N2</t>
  </si>
  <si>
    <t>451.070704.4519203.1.424781.4510600.200104.000.000000.000000</t>
  </si>
  <si>
    <t>4511001180</t>
  </si>
  <si>
    <t>PAAD - Public Arts</t>
  </si>
  <si>
    <t>Art Acquisition-NC1</t>
  </si>
  <si>
    <t>451.070206.4511700.1.491811.4510000.300105.000.000000.000000</t>
  </si>
  <si>
    <t>Art Commission-NC1</t>
  </si>
  <si>
    <t>FeasibilityStudy-N1</t>
  </si>
  <si>
    <t>Plant &amp; Tools-NC1</t>
  </si>
  <si>
    <t>451.070206.4511700.1.491351.4510000.300105.000.000000.000000</t>
  </si>
  <si>
    <t>Strategy Advice-N1</t>
  </si>
  <si>
    <t>451.070206.4511700.1.421123.4510000.200104.000.000000.000000</t>
  </si>
  <si>
    <t>4511001183</t>
  </si>
  <si>
    <t>Comics Operations</t>
  </si>
  <si>
    <t>451.070101.4512600.1.421125.4510000.200104.000.000000.000000</t>
  </si>
  <si>
    <t>451.070101.4512600.1.425112.4510000.200104.000.000000.000000</t>
  </si>
  <si>
    <t>Furniture-N1</t>
  </si>
  <si>
    <t>451.070101.4512600.1.491711.4510000.300105.000.000000.000000</t>
  </si>
  <si>
    <t>451.070101.4512600.1.423821.4510000.200104.000.000000.000000</t>
  </si>
  <si>
    <t>4511001184</t>
  </si>
  <si>
    <t>Business Excellence research</t>
  </si>
  <si>
    <t>451.070110.4512300.1.424761.4510000.200104.000.000000.000000</t>
  </si>
  <si>
    <t>4511001185</t>
  </si>
  <si>
    <t>Customer Satisfaction Survey</t>
  </si>
  <si>
    <t>451.070110.4512300.1.421123.4510000.200104.000.000000.000000</t>
  </si>
  <si>
    <t>4511001187</t>
  </si>
  <si>
    <t>Process Improvement</t>
  </si>
  <si>
    <t>4511001189</t>
  </si>
  <si>
    <t>Capability Development</t>
  </si>
  <si>
    <t>451.070502.4510170.1.421191.4510000.200104.000.000000.000000</t>
  </si>
  <si>
    <t>4511001194</t>
  </si>
  <si>
    <t>UNWTO Renewal</t>
  </si>
  <si>
    <t>451.070501.4515010.1.424131.4510000.200104.000.000000.000000</t>
  </si>
  <si>
    <t>4511001195</t>
  </si>
  <si>
    <t>360 Consulting</t>
  </si>
  <si>
    <t>4511001208</t>
  </si>
  <si>
    <t>Exhibition - Monaco Yacht Show</t>
  </si>
  <si>
    <t>451.070602.4515900.1.424221.4510000.200104.000.000000.000000</t>
  </si>
  <si>
    <t>451.070602.4515900.1.424761.4510000.200104.000.000000.000000</t>
  </si>
  <si>
    <t>Venue&amp;Room Rent-N1</t>
  </si>
  <si>
    <t>4511001209</t>
  </si>
  <si>
    <t>Exhibition - SeaTrade Global</t>
  </si>
  <si>
    <t>4511001210</t>
  </si>
  <si>
    <t>Exhibition - SeaTrade MED, DXB</t>
  </si>
  <si>
    <t>4511001213</t>
  </si>
  <si>
    <t>B2B PR and Marketing</t>
  </si>
  <si>
    <t>Content Partner-N</t>
  </si>
  <si>
    <t>4511001214</t>
  </si>
  <si>
    <t>Interpretation &amp; Mediation</t>
  </si>
  <si>
    <t>Printed Material-N</t>
  </si>
  <si>
    <t>424790 - Printing and publishing (to be deactivated</t>
  </si>
  <si>
    <t>451.070202.4511800.1.424790.4510000.200104.000.000000.000000</t>
  </si>
  <si>
    <t>451.070202.4511800.1.421123.4510000.200104.000.000000.000000</t>
  </si>
  <si>
    <t>4511001217</t>
  </si>
  <si>
    <t>Nation Tower Galleria Office</t>
  </si>
  <si>
    <t>4511001218</t>
  </si>
  <si>
    <t>Nation Tower Mall office</t>
  </si>
  <si>
    <t>4511001221</t>
  </si>
  <si>
    <t>Power Slap</t>
  </si>
  <si>
    <t>Event Management-L</t>
  </si>
  <si>
    <t>IP Events-L</t>
  </si>
  <si>
    <t>4511001223</t>
  </si>
  <si>
    <t>Wellness Festival</t>
  </si>
  <si>
    <t>4511001229</t>
  </si>
  <si>
    <t>Bostin Celtics</t>
  </si>
  <si>
    <t>4511001235</t>
  </si>
  <si>
    <t>Shuttle bus across Tourist</t>
  </si>
  <si>
    <t>Gen Logistics-N1</t>
  </si>
  <si>
    <t>451.070501.4515700.1.424671.4510000.200104.000.000000.000000</t>
  </si>
  <si>
    <t>4511001237</t>
  </si>
  <si>
    <t>Anime Festival</t>
  </si>
  <si>
    <t>4511001239</t>
  </si>
  <si>
    <t>Afterlife concert</t>
  </si>
  <si>
    <t>4511001246</t>
  </si>
  <si>
    <t>Coldplay Concert</t>
  </si>
  <si>
    <t>4511001248</t>
  </si>
  <si>
    <t>Abu Dhabi Hunting Exhibition</t>
  </si>
  <si>
    <t>4511001251</t>
  </si>
  <si>
    <t>Support Services Affairs</t>
  </si>
  <si>
    <t>451.070701.4510195.1.422401.4510600.200104.000.000000.000000</t>
  </si>
  <si>
    <t>4511001252</t>
  </si>
  <si>
    <t>Euro League</t>
  </si>
  <si>
    <t>4511001260</t>
  </si>
  <si>
    <t>Sponsorship Management</t>
  </si>
  <si>
    <t>General Retainer-N2</t>
  </si>
  <si>
    <t>451.070501.4515500.1.424131.4510000.200104.000.000000.000000</t>
  </si>
  <si>
    <t>4511001261</t>
  </si>
  <si>
    <t>Emirates Heritage Village</t>
  </si>
  <si>
    <t>4511001263</t>
  </si>
  <si>
    <t>Sir Bani Yas VC</t>
  </si>
  <si>
    <t>4511001265</t>
  </si>
  <si>
    <t>GDS Index</t>
  </si>
  <si>
    <t>4511001267</t>
  </si>
  <si>
    <t>Central Technical</t>
  </si>
  <si>
    <t>ComplianceAdvice-N</t>
  </si>
  <si>
    <t>4511001268</t>
  </si>
  <si>
    <t>Culture Site Management -Centr</t>
  </si>
  <si>
    <t>4511001269</t>
  </si>
  <si>
    <t>Central Business Support</t>
  </si>
  <si>
    <t>4511001270</t>
  </si>
  <si>
    <t>Central Commercial Development</t>
  </si>
  <si>
    <t>4511001271</t>
  </si>
  <si>
    <t>Girona Laliga sponsorship</t>
  </si>
  <si>
    <t>4511001272</t>
  </si>
  <si>
    <t>FM Al Mirfa Library 2</t>
  </si>
  <si>
    <t>4511001273</t>
  </si>
  <si>
    <t>AD Gaming</t>
  </si>
  <si>
    <t>4511001274</t>
  </si>
  <si>
    <t>Sandstorm Studio</t>
  </si>
  <si>
    <t>4511001292</t>
  </si>
  <si>
    <t>Development Control &amp; Document</t>
  </si>
  <si>
    <t>4511001300</t>
  </si>
  <si>
    <t>YOAD</t>
  </si>
  <si>
    <t>451.070205.4511010.1.491211.4510000.300105.000.000000.000000</t>
  </si>
  <si>
    <t>451.070205.4511010.1.422401.4510000.200104.000.000000.000000</t>
  </si>
  <si>
    <t>451.070205.4511010.1.426212.4510000.200104.000.000000.000000</t>
  </si>
  <si>
    <t>451.070205.4511010.1.424521.4510000.200104.000.000000.000000</t>
  </si>
  <si>
    <t>451.070205.4511010.1.422511.4510000.200104.000.000000.000000</t>
  </si>
  <si>
    <t>4511001301</t>
  </si>
  <si>
    <t>HOPA(House of Performing Arts)</t>
  </si>
  <si>
    <t>Cultural Advice-N1</t>
  </si>
  <si>
    <t>4511001308</t>
  </si>
  <si>
    <t>Sponsorships</t>
  </si>
  <si>
    <t>4511001309</t>
  </si>
  <si>
    <t>UNESCO International Jazz Day</t>
  </si>
  <si>
    <t>4511001310</t>
  </si>
  <si>
    <t>ICOM 2025</t>
  </si>
  <si>
    <t>495511 - Survey and planning - Capital Expenditure</t>
  </si>
  <si>
    <t>451.070206.4511010.1.495511.4510000.300105.000.000000.000000</t>
  </si>
  <si>
    <t>4511001312</t>
  </si>
  <si>
    <t>Announcement / Exhibition C&amp;I</t>
  </si>
  <si>
    <t>4511001317</t>
  </si>
  <si>
    <t>Sponsorship events</t>
  </si>
  <si>
    <t>4511001322</t>
  </si>
  <si>
    <t>The Sphere</t>
  </si>
  <si>
    <t>451.070101.4510011.1.424521.4510000.200104.000.000000.000000</t>
  </si>
  <si>
    <t>Sponsorship Fees-L1</t>
  </si>
  <si>
    <t>451.070501.4513130.1.424811.4510000.201932.000.000000.000000</t>
  </si>
  <si>
    <t>201932 - FA1932-The Sphere</t>
  </si>
  <si>
    <t>4511001325</t>
  </si>
  <si>
    <t>Montreux Jazz Festival</t>
  </si>
  <si>
    <t>4511001326</t>
  </si>
  <si>
    <t>CSR</t>
  </si>
  <si>
    <t>4511001328</t>
  </si>
  <si>
    <t>MOTN-Abu Dhabi</t>
  </si>
  <si>
    <t>451.070501.4515500.1.425112.4510000.200104.000.000000.000000</t>
  </si>
  <si>
    <t>4511001329</t>
  </si>
  <si>
    <t>MOTN-Al Ain</t>
  </si>
  <si>
    <t>4511001330</t>
  </si>
  <si>
    <t>MOTN-Al Dhafra</t>
  </si>
  <si>
    <t>4511001332</t>
  </si>
  <si>
    <t>GHAITAH ALAIN</t>
  </si>
  <si>
    <t>451.070206.4515700.1.422401.4510000.200104.000.000000.000000</t>
  </si>
  <si>
    <t>4511001335</t>
  </si>
  <si>
    <t>Global Brand Ambassador 1.0</t>
  </si>
  <si>
    <t>Talent Fees-L</t>
  </si>
  <si>
    <t>4511001339</t>
  </si>
  <si>
    <t>Global Brand Ambassador Tier 2</t>
  </si>
  <si>
    <t>4511001340</t>
  </si>
  <si>
    <t>Formula 1</t>
  </si>
  <si>
    <t>Celebrities-L</t>
  </si>
  <si>
    <t>4511001343</t>
  </si>
  <si>
    <t>Visit Abu Dhabi AON</t>
  </si>
  <si>
    <t>Celebrities-N</t>
  </si>
  <si>
    <t>451.070601.4513130.1.422511.4510000.200104.000.000000.000000</t>
  </si>
  <si>
    <t>4511001346</t>
  </si>
  <si>
    <t>Airports - UAE</t>
  </si>
  <si>
    <t>Offline Ads-L</t>
  </si>
  <si>
    <t>4511001347</t>
  </si>
  <si>
    <t>Tripadvisor</t>
  </si>
  <si>
    <t>4511001349</t>
  </si>
  <si>
    <t>Airports - USA</t>
  </si>
  <si>
    <t>4511001350</t>
  </si>
  <si>
    <t>Airports - UK</t>
  </si>
  <si>
    <t>4511001352</t>
  </si>
  <si>
    <t>UAE OOH annual deal</t>
  </si>
  <si>
    <t>4511001355</t>
  </si>
  <si>
    <t>Airports - Germany</t>
  </si>
  <si>
    <t>4511001356</t>
  </si>
  <si>
    <t>Airports - China</t>
  </si>
  <si>
    <t>4511001358</t>
  </si>
  <si>
    <t>Euroleague</t>
  </si>
  <si>
    <t>4511001359</t>
  </si>
  <si>
    <t>Airports - France</t>
  </si>
  <si>
    <t>4511001361</t>
  </si>
  <si>
    <t>Small Campaigns - Tactical</t>
  </si>
  <si>
    <t>CampaignProductn-l1</t>
  </si>
  <si>
    <t>451.070501.4513140.1.422511.4510000.201931.000.000000.000000</t>
  </si>
  <si>
    <t>4511001362</t>
  </si>
  <si>
    <t>NBA Campaign</t>
  </si>
  <si>
    <t>4511001367</t>
  </si>
  <si>
    <t>Airports - Italy</t>
  </si>
  <si>
    <t>4511001369</t>
  </si>
  <si>
    <t>UFC campaign</t>
  </si>
  <si>
    <t>4511001370</t>
  </si>
  <si>
    <t>Airports - Russia</t>
  </si>
  <si>
    <t>4511001371</t>
  </si>
  <si>
    <t>Diwali</t>
  </si>
  <si>
    <t>4511001372</t>
  </si>
  <si>
    <t>Social Always-On Activations</t>
  </si>
  <si>
    <t>451.070601.4513110.1.422401.4510000.200104.000.000000.000000</t>
  </si>
  <si>
    <t>4511001373</t>
  </si>
  <si>
    <t>Golden Week</t>
  </si>
  <si>
    <t>4511001379</t>
  </si>
  <si>
    <t>Hili Archaeological Park</t>
  </si>
  <si>
    <t>4511001380</t>
  </si>
  <si>
    <t>ADMAF</t>
  </si>
  <si>
    <t>Sponsership - N1</t>
  </si>
  <si>
    <t>462616 - AD Music Arts</t>
  </si>
  <si>
    <t>451.070101.4511010.1.462616.4510000.502026.000.000000.000000</t>
  </si>
  <si>
    <t>462616 - Grants to Abu Dhabi Music and Arts Foundation</t>
  </si>
  <si>
    <t>502026 - FA2026: Abu Dhabi Group for Culture &amp; Arts</t>
  </si>
  <si>
    <t>Chapter 5</t>
  </si>
  <si>
    <t>4511001391</t>
  </si>
  <si>
    <t>Bassam Freiha Art Foundation</t>
  </si>
  <si>
    <t>Gov. Grant - N</t>
  </si>
  <si>
    <t>462611 - Cultural Religious</t>
  </si>
  <si>
    <t>451.070101.4511010.1.462611.4510000.402025.000.000000.000000</t>
  </si>
  <si>
    <t>462611 - Grants to Cultural, religious and art organisations</t>
  </si>
  <si>
    <t>402025 - FA2025:Bassam Freiha Foundation for Arts</t>
  </si>
  <si>
    <t>Chapter 4</t>
  </si>
  <si>
    <t>4511001394</t>
  </si>
  <si>
    <t>UNESCO Initiatives</t>
  </si>
  <si>
    <t>451.070206.4511010.1.421125.4510000.200104.000.000000.000000</t>
  </si>
  <si>
    <t>4511001395</t>
  </si>
  <si>
    <t>Layali Ramadan</t>
  </si>
  <si>
    <t>4511001397</t>
  </si>
  <si>
    <t>VX Monitoring Hub</t>
  </si>
  <si>
    <t>4511001398</t>
  </si>
  <si>
    <t>Drones Service</t>
  </si>
  <si>
    <t>451.070501.4515500.1.422401.4510000.202061.000.000000.000000</t>
  </si>
  <si>
    <t>202061 - FA2061:Drones show lease agreement</t>
  </si>
  <si>
    <t>4511001399</t>
  </si>
  <si>
    <t>Tourism Sustainability</t>
  </si>
  <si>
    <t>4511001400</t>
  </si>
  <si>
    <t>Mid Scale Sport Event</t>
  </si>
  <si>
    <t>451.070501.4515500.1.423531.4510000.200104.000.000000.000000</t>
  </si>
  <si>
    <t>4511001401</t>
  </si>
  <si>
    <t>F1 Music Festival</t>
  </si>
  <si>
    <t>4511001404</t>
  </si>
  <si>
    <t>Industrial Professional Dev.</t>
  </si>
  <si>
    <t>451.070502.4515020.1.421125.4510000.200104.000.000000.000000</t>
  </si>
  <si>
    <t>DCT- Emiratization &amp; Capability Development Office</t>
  </si>
  <si>
    <t>4515020</t>
  </si>
  <si>
    <t>451.070502.4515020.1.424521.4510000.200104.000.000000.000000</t>
  </si>
  <si>
    <t>451.070502.4515020.1.423821.4510000.200104.000.000000.000000</t>
  </si>
  <si>
    <t>451.070502.4515020.1.422401.4510000.200104.000.000000.000000</t>
  </si>
  <si>
    <t>4511001405</t>
  </si>
  <si>
    <t>Strategic Emiratization</t>
  </si>
  <si>
    <t>4511001406</t>
  </si>
  <si>
    <t>Emiratization Market Campaings</t>
  </si>
  <si>
    <t>451.070502.4515020.1.422511.4510000.200104.000.000000.000000</t>
  </si>
  <si>
    <t>4511001407</t>
  </si>
  <si>
    <t>IT eSupport</t>
  </si>
  <si>
    <t>451.070111.4510250.1.424231.4510000.200104.000.000000.000000</t>
  </si>
  <si>
    <t>Laptop  Desktop-NC</t>
  </si>
  <si>
    <t>NetworkHardware-NC</t>
  </si>
  <si>
    <t>491356 - Hardware &amp; peripherals-Network Devices - Capital Expenditure</t>
  </si>
  <si>
    <t>451.070106.4510250.1.491356.4510000.300105.000.000000.000000</t>
  </si>
  <si>
    <t>4511001408</t>
  </si>
  <si>
    <t>IT infrastructure</t>
  </si>
  <si>
    <t>Network Service-NC</t>
  </si>
  <si>
    <t>4511001409</t>
  </si>
  <si>
    <t>IT Architecture</t>
  </si>
  <si>
    <t>4511001410</t>
  </si>
  <si>
    <t>Content Partnership</t>
  </si>
  <si>
    <t>Content Partner-N1</t>
  </si>
  <si>
    <t>4511001417</t>
  </si>
  <si>
    <t>D&amp;AI Director Office</t>
  </si>
  <si>
    <t>451.070111.4512200.1.423821.4510000.200104.000.000000.000000</t>
  </si>
  <si>
    <t>451.070111.4512200.1.424991.4510000.200104.000.000000.000000</t>
  </si>
  <si>
    <t>4511001418</t>
  </si>
  <si>
    <t>D&amp;AI - AI</t>
  </si>
  <si>
    <t>Licenses Fees-N1</t>
  </si>
  <si>
    <t>451.070111.4512200.1.424251.4510000.200104.000.000000.000000</t>
  </si>
  <si>
    <t>4511001419</t>
  </si>
  <si>
    <t>D&amp;AI - BI</t>
  </si>
  <si>
    <t>4511001424</t>
  </si>
  <si>
    <t>Open Fire Food Festival</t>
  </si>
  <si>
    <t>4511001427</t>
  </si>
  <si>
    <t>Digital Arabic Library</t>
  </si>
  <si>
    <t>Committee Member-N</t>
  </si>
  <si>
    <t>451.070705.4519203.1.421115.4510600.202067.000.000000.000000</t>
  </si>
  <si>
    <t>202067 - FA2067:Arabic Digital Library</t>
  </si>
  <si>
    <t>451.070705.4519203.1.424521.4510600.202067.000.000000.000000</t>
  </si>
  <si>
    <t>451.070705.4519203.1.422212.4510600.202067.000.000000.000000</t>
  </si>
  <si>
    <t>4511001428</t>
  </si>
  <si>
    <t>Ghagha Island</t>
  </si>
  <si>
    <t>Lease Improve-NC1</t>
  </si>
  <si>
    <t>451.070205.4511010.1.490600.4510000.300105.000.000000.000000</t>
  </si>
  <si>
    <t>4511001431</t>
  </si>
  <si>
    <t>Home Based Operator - Wizz Air</t>
  </si>
  <si>
    <t>Trade Partners-TDP - L2</t>
  </si>
  <si>
    <t>451.070503.4512100.1.461412.4510000.402066.000.000000.000000</t>
  </si>
  <si>
    <t>402066 - FA2066:Tourism Development Program</t>
  </si>
  <si>
    <t>4511001433</t>
  </si>
  <si>
    <t>TDP Operationalization</t>
  </si>
  <si>
    <t>Manpower-TDP - L2</t>
  </si>
  <si>
    <t>4511001434</t>
  </si>
  <si>
    <t>Celestyal Cruises</t>
  </si>
  <si>
    <t>Trade Partners-PD1</t>
  </si>
  <si>
    <t>451.070503.4515900.1.461412.4510000.402066.000.000000.000000</t>
  </si>
  <si>
    <t>4511001435</t>
  </si>
  <si>
    <t>Accelerated Growth of EY</t>
  </si>
  <si>
    <t>4511001448</t>
  </si>
  <si>
    <t>OTAs - Space Travel -2P</t>
  </si>
  <si>
    <t>Trade Partners-IO</t>
  </si>
  <si>
    <t>451.070503.4515100.1.461412.4510000.402066.000.000000.000000</t>
  </si>
  <si>
    <t>4511001449</t>
  </si>
  <si>
    <t>OTAs - Easy Booking - 2R</t>
  </si>
  <si>
    <t>4511001450</t>
  </si>
  <si>
    <t>OTAs - Fun &amp; Sun - 2O</t>
  </si>
  <si>
    <t>4511001452</t>
  </si>
  <si>
    <t>AD Airport - British Airways</t>
  </si>
  <si>
    <t>4511001453</t>
  </si>
  <si>
    <t>OTAs - Der Touristik - 2T</t>
  </si>
  <si>
    <t>4511001454</t>
  </si>
  <si>
    <t>OTAs - Coral Travel - 2U</t>
  </si>
  <si>
    <t>4511001455</t>
  </si>
  <si>
    <t>OTAs - Schauinsland - 2N</t>
  </si>
  <si>
    <t>4511001456</t>
  </si>
  <si>
    <t>Home Based Oper. - Air Arabia</t>
  </si>
  <si>
    <t>Freelancer-PD1</t>
  </si>
  <si>
    <t>Freelancer-TDP - L2</t>
  </si>
  <si>
    <t>4511001458</t>
  </si>
  <si>
    <t>Incentivize AD Airport-Flynas</t>
  </si>
  <si>
    <t>4511001459</t>
  </si>
  <si>
    <t>Independent 3rd Party Auditor</t>
  </si>
  <si>
    <t>Audit services-TDP - L2</t>
  </si>
  <si>
    <t>4511001461</t>
  </si>
  <si>
    <t>OTAs - Russian Express - 2X</t>
  </si>
  <si>
    <t>Trade Partners-TDP - L3</t>
  </si>
  <si>
    <t>4511001463</t>
  </si>
  <si>
    <t>AD Airport - Aeroflot</t>
  </si>
  <si>
    <t>4511001464</t>
  </si>
  <si>
    <t>AD Airport - EY MU - JV</t>
  </si>
  <si>
    <t>4511001465</t>
  </si>
  <si>
    <t>Culture strategy</t>
  </si>
  <si>
    <t>CampaignProductn-L1</t>
  </si>
  <si>
    <t>451.070601.4513140.1.422511.4510000.201931.000.000000.000000</t>
  </si>
  <si>
    <t>PR Mgmnt E-E-L1</t>
  </si>
  <si>
    <t>451.070601.4513140.1.424781.4510000.201931.000.000000.000000</t>
  </si>
  <si>
    <t>PRMgmnt E-E Rtnr-L</t>
  </si>
  <si>
    <t>451.070603.4513140.1.421125.4510000.201931.000.000000.000000</t>
  </si>
  <si>
    <t>4511001467</t>
  </si>
  <si>
    <t>Rehab &amp; Adaptation of HE</t>
  </si>
  <si>
    <t>4511001469</t>
  </si>
  <si>
    <t>We are Ona &amp; Salt Camp</t>
  </si>
  <si>
    <t>4511001471</t>
  </si>
  <si>
    <t>APAC-Tier-1</t>
  </si>
  <si>
    <t>GSA Retainer-N</t>
  </si>
  <si>
    <t>4511001472</t>
  </si>
  <si>
    <t>Europe-Tier-1</t>
  </si>
  <si>
    <t>4511001473</t>
  </si>
  <si>
    <t>APAC-Tier-2</t>
  </si>
  <si>
    <t>4511001474</t>
  </si>
  <si>
    <t>Exhibitions</t>
  </si>
  <si>
    <t>Design &amp; Build-L</t>
  </si>
  <si>
    <t>451.070602.4515100.1.424221.4510000.201931.000.000000.000000</t>
  </si>
  <si>
    <t>451.070602.4515100.1.424221.4510000.200104.000.000000.000000</t>
  </si>
  <si>
    <t>451.070602.4515100.1.424761.4510000.200104.000.000000.000000</t>
  </si>
  <si>
    <t>451.070602.4515100.1.422401.4510000.200104.000.000000.000000</t>
  </si>
  <si>
    <t>4511001475</t>
  </si>
  <si>
    <t>Europe-Tier-2</t>
  </si>
  <si>
    <t>4511001476</t>
  </si>
  <si>
    <t>GCC &amp; MEA-Tier-1</t>
  </si>
  <si>
    <t>4511001477</t>
  </si>
  <si>
    <t>Domestic-Tier-1</t>
  </si>
  <si>
    <t>4511001478</t>
  </si>
  <si>
    <t>UK &amp; US-Tier-1</t>
  </si>
  <si>
    <t>4511001479</t>
  </si>
  <si>
    <t>GCC &amp; MEA-Tier-2</t>
  </si>
  <si>
    <t>4511001480</t>
  </si>
  <si>
    <t>UK &amp; US-Tier-2</t>
  </si>
  <si>
    <t>4511001481</t>
  </si>
  <si>
    <t>Live Summit</t>
  </si>
  <si>
    <t>4511001482</t>
  </si>
  <si>
    <t>Enhance AD Stopover - Etihad 2024-25</t>
  </si>
  <si>
    <t>4511001483</t>
  </si>
  <si>
    <t>Enhance AD Stopover - Etihad 2026</t>
  </si>
  <si>
    <t>4511001486</t>
  </si>
  <si>
    <t>Awards Dept. Operations</t>
  </si>
  <si>
    <t>451.070703.4519201.1.423821.4510600.200104.000.000000.000000</t>
  </si>
  <si>
    <t>4511001487</t>
  </si>
  <si>
    <t>Collection Management - Abu Dhabi</t>
  </si>
  <si>
    <t>Collection Mgmnt-N</t>
  </si>
  <si>
    <t>451.070203.4511150.1.423411.4510000.200104.000.000000.000000</t>
  </si>
  <si>
    <t>451.070203.4511150.1.424761.4510000.200104.000.000000.000000</t>
  </si>
  <si>
    <t>451.070203.4511150.1.423821.4510000.200104.000.000000.000000</t>
  </si>
  <si>
    <t>4511001488</t>
  </si>
  <si>
    <t>Collection Management - Al Ain</t>
  </si>
  <si>
    <t>4511001489</t>
  </si>
  <si>
    <t>FMGS  Operations</t>
  </si>
  <si>
    <t>AccreditationFee-N</t>
  </si>
  <si>
    <t>451.070107.4510230.1.424561.4510000.200104.000.000000.000000</t>
  </si>
  <si>
    <t>451.070107.4510230.1.424671.4510000.200104.000.000000.000000</t>
  </si>
  <si>
    <t>Health &amp; Safety-N</t>
  </si>
  <si>
    <t>424721 - Health,safety environment awareness</t>
  </si>
  <si>
    <t>451.070107.4510230.1.424721.4510000.200104.000.000000.000000</t>
  </si>
  <si>
    <t>424721 - Health,safety&amp;environment awareness</t>
  </si>
  <si>
    <t>Intrnt Telecom-N</t>
  </si>
  <si>
    <t>423711 - Telephone,telefax charges-Telecom, Satellite  services</t>
  </si>
  <si>
    <t>451.070107.4510230.1.423711.4510000.200104.000.000000.000000</t>
  </si>
  <si>
    <t>423711 - Telephone and telefax charges-Telecommunication, Satellite  services</t>
  </si>
  <si>
    <t>Office Supplies-N</t>
  </si>
  <si>
    <t>451.070107.4510230.1.431812.4510000.200104.000.000000.000000</t>
  </si>
  <si>
    <t>451.070107.4510230.1.424591.4510000.200104.000.000000.000000</t>
  </si>
  <si>
    <t>4511001490</t>
  </si>
  <si>
    <t>PD Office Operations</t>
  </si>
  <si>
    <t>451.070501.4515900.1.421125.4510000.200104.000.000000.000000</t>
  </si>
  <si>
    <t>451.070501.4515900.1.422511.4510000.200104.000.000000.000000</t>
  </si>
  <si>
    <t>451.070501.4515900.1.424761.4510000.200104.000.000000.000000</t>
  </si>
  <si>
    <t>4511001491</t>
  </si>
  <si>
    <t>Holiday Home</t>
  </si>
  <si>
    <t>451.070501.4515900.1.424251.4510000.200104.000.000000.000000</t>
  </si>
  <si>
    <t>4511001492</t>
  </si>
  <si>
    <t>Niche Tourism</t>
  </si>
  <si>
    <t>4511001493</t>
  </si>
  <si>
    <t>Al Bait Al Arabi</t>
  </si>
  <si>
    <t>4511001494</t>
  </si>
  <si>
    <t>Culture Policy &amp; Research</t>
  </si>
  <si>
    <t>451.070101.4511020.1.424521.4510000.200104.000.000000.000000</t>
  </si>
  <si>
    <t>451.070101.4511020.1.422401.4510000.200104.000.000000.000000</t>
  </si>
  <si>
    <t>451.070101.4511020.1.423821.4510000.200104.000.000000.000000</t>
  </si>
  <si>
    <t>4511001495</t>
  </si>
  <si>
    <t>Strategic Partnership</t>
  </si>
  <si>
    <t>4511001496</t>
  </si>
  <si>
    <t>DIGITAL LEARNING PLATFORMS</t>
  </si>
  <si>
    <t>4511001497</t>
  </si>
  <si>
    <t>Organizational Development (OD)</t>
  </si>
  <si>
    <t>451.070101.4512500.1.424521.4510000.200104.000.000000.000000</t>
  </si>
  <si>
    <t>DCT - Organization Developments &amp; Change Enablement Department</t>
  </si>
  <si>
    <t>4512500</t>
  </si>
  <si>
    <t>4511001498</t>
  </si>
  <si>
    <t>Ramadan Festival</t>
  </si>
  <si>
    <t>4511001499</t>
  </si>
  <si>
    <t>MSG Sponsorship</t>
  </si>
  <si>
    <t>451.070601.4513130.1.424811.4510000.201932.000.000000.000000</t>
  </si>
  <si>
    <t>4511001500</t>
  </si>
  <si>
    <t>101 Tales: Voices of Arabic Literature</t>
  </si>
  <si>
    <t>4511001501</t>
  </si>
  <si>
    <t>Research Grants</t>
  </si>
  <si>
    <t>Editing&amp;Proof-N</t>
  </si>
  <si>
    <t>451.070702.4519197.1.424791.4510600.200104.000.000000.000000</t>
  </si>
  <si>
    <t>Research Grants-N</t>
  </si>
  <si>
    <t>451.070702.4519197.1.423411.4510600.200104.000.000000.000000</t>
  </si>
  <si>
    <t>4511001502</t>
  </si>
  <si>
    <t>Policy Development</t>
  </si>
  <si>
    <t>Management Advice-N2</t>
  </si>
  <si>
    <t>451.070701.4519197.1.424521.4510600.200104.000.000000.000000</t>
  </si>
  <si>
    <t>4511001503</t>
  </si>
  <si>
    <t>Al Markaz Jounral</t>
  </si>
  <si>
    <t>451.070704.4519197.1.424791.4510600.200104.000.000000.000000</t>
  </si>
  <si>
    <t>4511001504</t>
  </si>
  <si>
    <t>Curriculum Project</t>
  </si>
  <si>
    <t>451.070704.4519197.1.423411.4510600.200104.000.000000.000000</t>
  </si>
  <si>
    <t>4511001505</t>
  </si>
  <si>
    <t>Kalima Book Library</t>
  </si>
  <si>
    <t>Book Acquisition-NC</t>
  </si>
  <si>
    <t>451.070704.4519199.1.491811.4510600.300105.000.000000.000000</t>
  </si>
  <si>
    <t>4511001506</t>
  </si>
  <si>
    <t>Abu Dhabi MICE Strategy Refresh</t>
  </si>
  <si>
    <t>451.070602.4515400.1.424521.4510000.200104.000.000000.000000</t>
  </si>
  <si>
    <t>4511001507</t>
  </si>
  <si>
    <t>GSA Retainer - China</t>
  </si>
  <si>
    <t>451.070602.4515400.1.421125.4510000.200104.000.000000.000000</t>
  </si>
  <si>
    <t>4511001508</t>
  </si>
  <si>
    <t>GSA Retainer - Egypt</t>
  </si>
  <si>
    <t>4511001510</t>
  </si>
  <si>
    <t>GSA Retainer - France</t>
  </si>
  <si>
    <t>4511001511</t>
  </si>
  <si>
    <t>GSA Retainer - Germany</t>
  </si>
  <si>
    <t>4511001512</t>
  </si>
  <si>
    <t>CS Strategy 2026 implementation</t>
  </si>
  <si>
    <t>451.070101.4511010.1.421123.4510000.200104.000.000000.000000</t>
  </si>
  <si>
    <t>4511001513</t>
  </si>
  <si>
    <t>GSA Retainer - India</t>
  </si>
  <si>
    <t>4511001514</t>
  </si>
  <si>
    <t>GSA Retainer - UK</t>
  </si>
  <si>
    <t>4511001515</t>
  </si>
  <si>
    <t>GSA Retainer - Korea</t>
  </si>
  <si>
    <t>4511001516</t>
  </si>
  <si>
    <t>GSA Retainer - KSA</t>
  </si>
  <si>
    <t>4511001517</t>
  </si>
  <si>
    <t>GSA Retainer - Italy</t>
  </si>
  <si>
    <t>4511001518</t>
  </si>
  <si>
    <t>GSA Retainer - USA</t>
  </si>
  <si>
    <t>4511001519</t>
  </si>
  <si>
    <t>GSA Retainer - Spain</t>
  </si>
  <si>
    <t>4511001520</t>
  </si>
  <si>
    <t>GSA Retainer - Russia</t>
  </si>
  <si>
    <t>4511001521</t>
  </si>
  <si>
    <t>Medical Tourism</t>
  </si>
  <si>
    <t>4511001522</t>
  </si>
  <si>
    <t>NOMAD Partnership</t>
  </si>
  <si>
    <t>451.070206.4511010.1.421123.4510000.200104.000.000000.000000</t>
  </si>
  <si>
    <t>4511001523</t>
  </si>
  <si>
    <t>OSO - India</t>
  </si>
  <si>
    <t>Trade Promotion-L1</t>
  </si>
  <si>
    <t>451.070602.4515400.1.424251.4510000.201931.000.000000.000000</t>
  </si>
  <si>
    <t>4511001524</t>
  </si>
  <si>
    <t>OSO - France</t>
  </si>
  <si>
    <t>4511001525</t>
  </si>
  <si>
    <t>OSO - Korea</t>
  </si>
  <si>
    <t>4511001526</t>
  </si>
  <si>
    <t>OSO - Germany</t>
  </si>
  <si>
    <t>4511001527</t>
  </si>
  <si>
    <t>OSO - Italy</t>
  </si>
  <si>
    <t>4511001528</t>
  </si>
  <si>
    <t>OSO - UK</t>
  </si>
  <si>
    <t>4511001529</t>
  </si>
  <si>
    <t>OSO - USA</t>
  </si>
  <si>
    <t>4511001530</t>
  </si>
  <si>
    <t>OSO - China</t>
  </si>
  <si>
    <t>Trade Promotion-L</t>
  </si>
  <si>
    <t>4511001531</t>
  </si>
  <si>
    <t>OSO - Russia</t>
  </si>
  <si>
    <t>4511001532</t>
  </si>
  <si>
    <t>OSO - Spain</t>
  </si>
  <si>
    <t>4511001533</t>
  </si>
  <si>
    <t>OSO - Egypt</t>
  </si>
  <si>
    <t>4511001534</t>
  </si>
  <si>
    <t>OSO - KSA</t>
  </si>
  <si>
    <t>4511001535</t>
  </si>
  <si>
    <t>Padel Event</t>
  </si>
  <si>
    <t>Event Management-N  </t>
  </si>
  <si>
    <t>4511001536</t>
  </si>
  <si>
    <t>VX Award</t>
  </si>
  <si>
    <t>451.070503.4515300.1.422401.4510000.200104.000.000000.000000</t>
  </si>
  <si>
    <t>System Develop-NC1</t>
  </si>
  <si>
    <t>493180 - System development &amp; implemention costs - Capital Expenditure</t>
  </si>
  <si>
    <t>451.070503.4515300.1.493180.4510000.300105.000.000000.000000</t>
  </si>
  <si>
    <t>4511001537</t>
  </si>
  <si>
    <t>VX Signature Moments</t>
  </si>
  <si>
    <t>451.070503.4515300.1.491211.4510000.300105.000.000000.000000</t>
  </si>
  <si>
    <t>4511001538</t>
  </si>
  <si>
    <t>Branding guidelines for Al Ain Palace Museum</t>
  </si>
  <si>
    <t>4511001539</t>
  </si>
  <si>
    <t>VX Incentives &amp; Control</t>
  </si>
  <si>
    <t>4511001540</t>
  </si>
  <si>
    <t>VX POD</t>
  </si>
  <si>
    <t>4511001541</t>
  </si>
  <si>
    <t>VX Insights &amp; studies</t>
  </si>
  <si>
    <t>Market Research-N</t>
  </si>
  <si>
    <t>4511001542</t>
  </si>
  <si>
    <t>Archaeology - HED Publishing</t>
  </si>
  <si>
    <t>451.070204.4511300.1.424791.4510000.200104.000.000000.000000</t>
  </si>
  <si>
    <t>4511001543</t>
  </si>
  <si>
    <t>Archaeology- Maritime</t>
  </si>
  <si>
    <t>451.070204.4511300.1.423411.4510000.200104.000.000000.000000</t>
  </si>
  <si>
    <t>4511001544</t>
  </si>
  <si>
    <t>Archaeology - Terrestrial</t>
  </si>
  <si>
    <t>4511001545</t>
  </si>
  <si>
    <t>Flagship projects</t>
  </si>
  <si>
    <t>4511001546</t>
  </si>
  <si>
    <t>Al Ain and al Dhafra Projects</t>
  </si>
  <si>
    <t>4511001547</t>
  </si>
  <si>
    <t>Liwa Festival - Tier1</t>
  </si>
  <si>
    <t>4511001548</t>
  </si>
  <si>
    <t>DCT Corporate Always on - Tier1</t>
  </si>
  <si>
    <t>451.070104.4513130.1.422511.4510000.201931.000.000000.000000</t>
  </si>
  <si>
    <t>070104 - Communication &amp; Public Relations (PR)</t>
  </si>
  <si>
    <t>4511001549</t>
  </si>
  <si>
    <t>DCT Corporate Always on - Tier2</t>
  </si>
  <si>
    <t>4511001550</t>
  </si>
  <si>
    <t>Liwa Festival - UAE</t>
  </si>
  <si>
    <t>4511001551</t>
  </si>
  <si>
    <t>Liwa Festival - Tier2</t>
  </si>
  <si>
    <t>4511001552</t>
  </si>
  <si>
    <t>Abu Dhabi Culture &amp; Destination Content (ΑΟΝ) - Tier1</t>
  </si>
  <si>
    <t>4511001553</t>
  </si>
  <si>
    <t>Abu Dhabi Culture &amp; Destination Content (ΑΟΝ) - Tier2</t>
  </si>
  <si>
    <t>4511001554</t>
  </si>
  <si>
    <t>Abu Dhabi Museum</t>
  </si>
  <si>
    <t>4511001555</t>
  </si>
  <si>
    <t>AD Culture Content</t>
  </si>
  <si>
    <t>4511001556</t>
  </si>
  <si>
    <t>Market Specific Social</t>
  </si>
  <si>
    <t>SM Mgmnt Rtnr-L</t>
  </si>
  <si>
    <t>4511001558</t>
  </si>
  <si>
    <t>Influencers - Tier1</t>
  </si>
  <si>
    <t>Influencers-L</t>
  </si>
  <si>
    <t>4511001559</t>
  </si>
  <si>
    <t>Sponsorship Agency</t>
  </si>
  <si>
    <t>4511001560</t>
  </si>
  <si>
    <t>Influencers - Tier2</t>
  </si>
  <si>
    <t>4511001561</t>
  </si>
  <si>
    <t>Global Brand Ambassador 2.0 - Tier1</t>
  </si>
  <si>
    <t>4511001562</t>
  </si>
  <si>
    <t>Global Brand Campaign 2.0 - Tier1</t>
  </si>
  <si>
    <t>4511001563</t>
  </si>
  <si>
    <t>Global Brand Ambassador 1.0 - Tier1</t>
  </si>
  <si>
    <t>CampaignProductn-l</t>
  </si>
  <si>
    <t>4511001564</t>
  </si>
  <si>
    <t>Global Brand Ambassador 2.0 - Tier2</t>
  </si>
  <si>
    <t>4511001565</t>
  </si>
  <si>
    <t>Global Brand Ambassador 1.0 - Tier2</t>
  </si>
  <si>
    <t>4511001566</t>
  </si>
  <si>
    <t>Global Brand Campaign 2.0 - Tier2</t>
  </si>
  <si>
    <t>4511001567</t>
  </si>
  <si>
    <t>Summer (and Spring) - Tier1</t>
  </si>
  <si>
    <t>4511001568</t>
  </si>
  <si>
    <t>India Brand &amp; Tactical campaign - Tier1</t>
  </si>
  <si>
    <t>4511001569</t>
  </si>
  <si>
    <t>Culture Awareness (Inc Domain Moments)</t>
  </si>
  <si>
    <t>4511001570</t>
  </si>
  <si>
    <t>SEM - Product (Brand Terms) - Tier1</t>
  </si>
  <si>
    <t>4511001571</t>
  </si>
  <si>
    <t>Dubai Visitor Capture - Tier1</t>
  </si>
  <si>
    <t>4511001572</t>
  </si>
  <si>
    <t>Abu Dhabi Culture &amp; Tourism Events (ΑΟΝ) - UAE</t>
  </si>
  <si>
    <t>4511001573</t>
  </si>
  <si>
    <t>Ramadan 2026 - Tier1</t>
  </si>
  <si>
    <t>4511001574</t>
  </si>
  <si>
    <t>SEM - Product (Brand Terms) - Tier2</t>
  </si>
  <si>
    <t>4511001575</t>
  </si>
  <si>
    <t>Summer (and Spring) - UAE</t>
  </si>
  <si>
    <t>4511001576</t>
  </si>
  <si>
    <t>Ramadan 2026 - UAE</t>
  </si>
  <si>
    <t>4511001577</t>
  </si>
  <si>
    <t>Summer (and Spring) - Tier2</t>
  </si>
  <si>
    <t>4511001578</t>
  </si>
  <si>
    <t>Innovation</t>
  </si>
  <si>
    <t>4511001579</t>
  </si>
  <si>
    <t>Global Brand Campaign 2.0 - UAE</t>
  </si>
  <si>
    <t>4511001580</t>
  </si>
  <si>
    <t>Eid Al Adha - UAE</t>
  </si>
  <si>
    <t>4511001581</t>
  </si>
  <si>
    <t>Abu Dhabi Culture &amp; Destination Content (ΑΟΝ) - UAE</t>
  </si>
  <si>
    <t>4511001582</t>
  </si>
  <si>
    <t>SEM - Product (Brand Terms) - UAE</t>
  </si>
  <si>
    <t>4511001583</t>
  </si>
  <si>
    <t>SEM - Destination (Generic Terms) - Tier1</t>
  </si>
  <si>
    <t>4511001584</t>
  </si>
  <si>
    <t>Dubai Visitor Capture - UAE</t>
  </si>
  <si>
    <t>4511001585</t>
  </si>
  <si>
    <t>Abu Dhabi Culture &amp; Tourism Events (ΑΟΝ) - Tier2</t>
  </si>
  <si>
    <t>4511001586</t>
  </si>
  <si>
    <t>Chinese New Year 2026 - Tier1</t>
  </si>
  <si>
    <t>4511001587</t>
  </si>
  <si>
    <t>DCT Corporate Always on - UAE</t>
  </si>
  <si>
    <t>4511001588</t>
  </si>
  <si>
    <t>Abu Dhabi Culture &amp; Tourism Events (ΑΟΝ) - Tier1</t>
  </si>
  <si>
    <t>4511001589</t>
  </si>
  <si>
    <t>Eid Al Fitr - UAE</t>
  </si>
  <si>
    <t>4511001590</t>
  </si>
  <si>
    <t>Culture Strategy Launch</t>
  </si>
  <si>
    <t>451.070603.4513130.1.422511.4510000.201931.000.000000.000000</t>
  </si>
  <si>
    <t>451.070603.4513130.1.422511.4510000.200104.000.000000.000000</t>
  </si>
  <si>
    <t>4511001591</t>
  </si>
  <si>
    <t>Ramadan 2026 - Tier2</t>
  </si>
  <si>
    <t>4511001592</t>
  </si>
  <si>
    <t>Dubai Visitor Capture - Tier2</t>
  </si>
  <si>
    <t>4511001593</t>
  </si>
  <si>
    <t>Eid Al Adha - Tier2</t>
  </si>
  <si>
    <t>4511001594</t>
  </si>
  <si>
    <t>SEM - Destination (Generic Terms) - UAE</t>
  </si>
  <si>
    <t>4511001595</t>
  </si>
  <si>
    <t>SEM - Destination (Generic Terms) - Tier2</t>
  </si>
  <si>
    <t>4511001596</t>
  </si>
  <si>
    <t>Eid Al Adha - Tier1</t>
  </si>
  <si>
    <t>4511001597</t>
  </si>
  <si>
    <t>Eid Al Fitr - Tier2</t>
  </si>
  <si>
    <t>4511001598</t>
  </si>
  <si>
    <t>Eid Al Fitr - Tier1</t>
  </si>
  <si>
    <t>4511001599</t>
  </si>
  <si>
    <t>China Brand Campaign Celebrity</t>
  </si>
  <si>
    <t>4511001600</t>
  </si>
  <si>
    <t>EAD 2.0 Production</t>
  </si>
  <si>
    <t>4511001601</t>
  </si>
  <si>
    <t>Summer Creative Fees</t>
  </si>
  <si>
    <t>4511001602</t>
  </si>
  <si>
    <t>Skift Sponsorship</t>
  </si>
  <si>
    <t>451.070601.4513140.1.424811.4510000.201931.000.000000.000000</t>
  </si>
  <si>
    <t>4511001604</t>
  </si>
  <si>
    <t>IT Digital</t>
  </si>
  <si>
    <t>4511001605</t>
  </si>
  <si>
    <t>Comics Content Production (Events)</t>
  </si>
  <si>
    <t>451.070301.4512600.1.422401.4510000.200104.000.000000.000000</t>
  </si>
  <si>
    <t>451.070301.4512600.1.424761.4510000.200104.000.000000.000000</t>
  </si>
  <si>
    <t>Permits Fees-N</t>
  </si>
  <si>
    <t>451.070301.4512600.1.422951.4510000.200104.000.000000.000000</t>
  </si>
  <si>
    <t>4511001608</t>
  </si>
  <si>
    <t>Financial sustainaibility Study - CCI</t>
  </si>
  <si>
    <t>451.070302.4511010.1.424521.4510000.200104.000.000000.000000</t>
  </si>
  <si>
    <t>070302 - Regulatory and Capacity Building (Culture)</t>
  </si>
  <si>
    <t>4511001611</t>
  </si>
  <si>
    <t>OTAs - Etihad Holidays -2D</t>
  </si>
  <si>
    <t>4511001612</t>
  </si>
  <si>
    <t>Saadiyat Island</t>
  </si>
  <si>
    <t>WebSupportRtnr-N</t>
  </si>
  <si>
    <t>4511001613</t>
  </si>
  <si>
    <t>AD Airport - Eurowings</t>
  </si>
  <si>
    <t>4511001615</t>
  </si>
  <si>
    <t>Comics Content Production (Mktg &amp; PR)</t>
  </si>
  <si>
    <t>Brand Strategy-N</t>
  </si>
  <si>
    <t>451.070301.4512600.1.422511.4510000.200104.000.000000.000000</t>
  </si>
  <si>
    <t>451.070301.4512600.1.424781.4510000.200104.000.000000.000000</t>
  </si>
  <si>
    <t>4511001616</t>
  </si>
  <si>
    <t>Comics Content Production (Distribution)</t>
  </si>
  <si>
    <t>451.070301.4512600.1.424671.4510000.200104.000.000000.000000</t>
  </si>
  <si>
    <t>eBook Distribute-N</t>
  </si>
  <si>
    <t>451.070301.4512600.1.425301.4510000.200104.000.000000.000000</t>
  </si>
  <si>
    <t>4511001617</t>
  </si>
  <si>
    <t>Comics Content Production (Digital)</t>
  </si>
  <si>
    <t>451.070301.4512600.1.424131.4510000.200104.000.000000.000000</t>
  </si>
  <si>
    <t>4511001618</t>
  </si>
  <si>
    <t>Comics Content Production (IP)</t>
  </si>
  <si>
    <t>IP Rights-N</t>
  </si>
  <si>
    <t>451.070301.4512600.1.423531.4510000.200104.000.000000.000000</t>
  </si>
  <si>
    <t>4511001619</t>
  </si>
  <si>
    <t>B2B and Educational Events</t>
  </si>
  <si>
    <t>4511001623</t>
  </si>
  <si>
    <t>Laser Show</t>
  </si>
  <si>
    <t>4511001631</t>
  </si>
  <si>
    <t>T-Rex Documentary</t>
  </si>
  <si>
    <t>4511001635</t>
  </si>
  <si>
    <t>Destination Marketing Corporate Social</t>
  </si>
  <si>
    <t>4511001636</t>
  </si>
  <si>
    <t>Destination Marketing Global Social</t>
  </si>
  <si>
    <t>4511001691</t>
  </si>
  <si>
    <t>Nightlife Activation</t>
  </si>
  <si>
    <t>4511001706</t>
  </si>
  <si>
    <t>Frieze AD</t>
  </si>
  <si>
    <t>451.070206.4511010.1.422401.4510000.202185.000.000000.000000</t>
  </si>
  <si>
    <t>202185 - FA2185:Frieze Abu Dhabi – (IP and Management Fee)</t>
  </si>
  <si>
    <t>451.070206.4511010.1.424131.4510000.202185.000.000000.000000</t>
  </si>
  <si>
    <t>4511001709</t>
  </si>
  <si>
    <t>DCAD</t>
  </si>
  <si>
    <t>Event Management</t>
  </si>
  <si>
    <t>451.070303.4511010.1.462611.4510000.502175.000.000000.000000</t>
  </si>
  <si>
    <t>502175 - FA2175:Design Committee – Abu Dhabi</t>
  </si>
  <si>
    <t>4511001710</t>
  </si>
  <si>
    <t>Unified Rating System</t>
  </si>
  <si>
    <t>4511001713</t>
  </si>
  <si>
    <t>Smart Check-in</t>
  </si>
  <si>
    <t>451.070206.4510170.1.424131.4510000.200104.000.000000.000000</t>
  </si>
  <si>
    <t>Peripherals-N</t>
  </si>
  <si>
    <t>451.070206.4510170.1.422212.4510000.200104.000.000000.000000</t>
  </si>
  <si>
    <t>4511001730</t>
  </si>
  <si>
    <t>Kompass TO/TA - HBO</t>
  </si>
  <si>
    <t>4514000019</t>
  </si>
  <si>
    <t>Free Zone Fees</t>
  </si>
  <si>
    <t>FZ fees</t>
  </si>
  <si>
    <t>251413 - Payable to AD GLbl Mrkt</t>
  </si>
  <si>
    <t>451.000000.4510210.1.251413.4510000.000000.000.000000.000000</t>
  </si>
  <si>
    <t>251413 - Long-term Payable to Abu Dhabi Global Market</t>
  </si>
  <si>
    <t>000000 - Un Specified</t>
  </si>
  <si>
    <t xml:space="preserve"> </t>
  </si>
  <si>
    <t>000000 - Unspecified</t>
  </si>
  <si>
    <t>DCT Trust Project Type</t>
  </si>
  <si>
    <t>4514000067</t>
  </si>
  <si>
    <t>DCT Culture Program</t>
  </si>
  <si>
    <t>Admin</t>
  </si>
  <si>
    <t>221390 - Other accrued expenses not mentioned elsewhere</t>
  </si>
  <si>
    <t>451.000000.4511010.1.221390.4510000.000000.000.000000.000000</t>
  </si>
  <si>
    <t>4514000074</t>
  </si>
  <si>
    <t>Mubadala Partnership</t>
  </si>
  <si>
    <t>Event</t>
  </si>
  <si>
    <t>Manpower</t>
  </si>
  <si>
    <t>4514000078</t>
  </si>
  <si>
    <t>ADEO</t>
  </si>
  <si>
    <t>Unidentified</t>
  </si>
  <si>
    <t>451.000000.4510210.1.221390.4510000.000000.000.000000.000000</t>
  </si>
  <si>
    <t>4514000084</t>
  </si>
  <si>
    <t>My story world</t>
  </si>
  <si>
    <t>4514000086</t>
  </si>
  <si>
    <t>Yas Bay Arena</t>
  </si>
  <si>
    <t>4514000087</t>
  </si>
  <si>
    <t>Hotel Payments</t>
  </si>
  <si>
    <t>Extend Stay</t>
  </si>
  <si>
    <t>Privet Host</t>
  </si>
  <si>
    <t>4514000088</t>
  </si>
  <si>
    <t>ADMAF - Trust</t>
  </si>
  <si>
    <t>CPC</t>
  </si>
  <si>
    <t>4514000089</t>
  </si>
  <si>
    <t>ADSS - Hyrox</t>
  </si>
  <si>
    <t>Sponsorship Fees</t>
  </si>
  <si>
    <t>451.000000.4515500.1.221390.4510000.000000.000.000000.000000</t>
  </si>
  <si>
    <t>4517000001</t>
  </si>
  <si>
    <t>Museums - Director's Office</t>
  </si>
  <si>
    <t>4510789</t>
  </si>
  <si>
    <t>451.070101.4514000.1.424521.4510700.200104.000.000000.000000</t>
  </si>
  <si>
    <t>Museum Shared Services</t>
  </si>
  <si>
    <t>Museums - Director’s Office</t>
  </si>
  <si>
    <t>4514000</t>
  </si>
  <si>
    <t>MSS OPEX Project Type</t>
  </si>
  <si>
    <t>4510808</t>
  </si>
  <si>
    <t>421122 - Management consultancy expenses</t>
  </si>
  <si>
    <t>451.070101.4514000.1.421122.4510700.200104.000.000000.000000</t>
  </si>
  <si>
    <t>421122 - Management consultancy  expenses</t>
  </si>
  <si>
    <t>4517000002</t>
  </si>
  <si>
    <t>Museums - Finance Planning and Business Partnership</t>
  </si>
  <si>
    <t>4510723</t>
  </si>
  <si>
    <t>451.070103.4514120.1.424521.4510700.200104.000.000000.000000</t>
  </si>
  <si>
    <t>Museums - Finance</t>
  </si>
  <si>
    <t>4514120</t>
  </si>
  <si>
    <t>4517000003</t>
  </si>
  <si>
    <t>Museums - Finance Operations</t>
  </si>
  <si>
    <t>4510715</t>
  </si>
  <si>
    <t>451.070102.4514120.1.437111.4510700.200104.000.000000.000000</t>
  </si>
  <si>
    <t>4510720</t>
  </si>
  <si>
    <t>421112 - Internal Audit service expenses</t>
  </si>
  <si>
    <t>451.070102.4514120.1.421112.4510700.200104.000.000000.000000</t>
  </si>
  <si>
    <t>4517000004</t>
  </si>
  <si>
    <t>Museums - Payables Operations</t>
  </si>
  <si>
    <t>4517000005</t>
  </si>
  <si>
    <t>Museums - Receivables Operations</t>
  </si>
  <si>
    <t>451.070102.4514120.1.424521.4510700.200104.000.000000.000000</t>
  </si>
  <si>
    <t>4510750</t>
  </si>
  <si>
    <t>4517000007</t>
  </si>
  <si>
    <t>Museums - Talent Development</t>
  </si>
  <si>
    <t>451.070103.4514140.1.424521.4510700.200104.000.000000.000000</t>
  </si>
  <si>
    <t>Museums - People and Performance</t>
  </si>
  <si>
    <t>4514140</t>
  </si>
  <si>
    <t>4510802</t>
  </si>
  <si>
    <t>451.070103.4514140.1.413710.4510700.100103.000.000000.000000</t>
  </si>
  <si>
    <t>4517000008</t>
  </si>
  <si>
    <t>Museums - P&amp;P Operations</t>
  </si>
  <si>
    <t>4510725</t>
  </si>
  <si>
    <t>451.070103.4514180.1.424231.4510700.200104.000.000000.000000</t>
  </si>
  <si>
    <t>4514180</t>
  </si>
  <si>
    <t>4510726</t>
  </si>
  <si>
    <t>451.070103.4514180.1.423821.4510700.200104.000.000000.000000</t>
  </si>
  <si>
    <t>4510770</t>
  </si>
  <si>
    <t>451.070103.4514140.1.413610.4510700.100103.000.000000.000000</t>
  </si>
  <si>
    <t>4510771</t>
  </si>
  <si>
    <t>4510772</t>
  </si>
  <si>
    <t>4517000009</t>
  </si>
  <si>
    <t>Museums - Talent Acquisition</t>
  </si>
  <si>
    <t>4517000010</t>
  </si>
  <si>
    <t>Museums - General Services</t>
  </si>
  <si>
    <t>4510712</t>
  </si>
  <si>
    <t>424760 - Entertainment and hospitality expenses</t>
  </si>
  <si>
    <t>451.070107.4514140.1.424760.4510700.200104.000.000000.000000</t>
  </si>
  <si>
    <t>4510716</t>
  </si>
  <si>
    <t>451.070107.4514140.1.421191.4510700.200104.000.000000.000000</t>
  </si>
  <si>
    <t>424681 - Postal, courier and other doc delivery expenses</t>
  </si>
  <si>
    <t>451.070107.4514140.1.424681.4510700.200104.000.000000.000000</t>
  </si>
  <si>
    <t>424681 - Postal, courier and other document delivery expenses</t>
  </si>
  <si>
    <t>4510727</t>
  </si>
  <si>
    <t>451.070107.4514140.1.431316.4510700.200104.000.000000.000000</t>
  </si>
  <si>
    <t>451.070107.4514140.1.431812.4510700.200104.000.000000.000000</t>
  </si>
  <si>
    <t>4510740</t>
  </si>
  <si>
    <t>451.070107.4514140.1.425203.4510700.200104.000.000000.000000</t>
  </si>
  <si>
    <t>4510787</t>
  </si>
  <si>
    <t>451.070402.4514140.1.491711.4510700.300105.000.000000.000000</t>
  </si>
  <si>
    <t>070402 - Museums development</t>
  </si>
  <si>
    <t>4517000011</t>
  </si>
  <si>
    <t>Museums - Contracts, Systems, &amp; Reporting</t>
  </si>
  <si>
    <t>451.070105.4514160.1.424521.4510700.200104.000.000000.000000</t>
  </si>
  <si>
    <t>Museums - Supply Management</t>
  </si>
  <si>
    <t>4514160</t>
  </si>
  <si>
    <t>4517000012</t>
  </si>
  <si>
    <t>Museums - Supply Management Operations</t>
  </si>
  <si>
    <t>4510710</t>
  </si>
  <si>
    <t>451.070105.4514160.1.421122.4510700.200104.000.000000.000000</t>
  </si>
  <si>
    <t>451.070105.4514160.1.424760.4510700.200104.000.000000.000000</t>
  </si>
  <si>
    <t>4517000013</t>
  </si>
  <si>
    <t>Museums - Business Partner</t>
  </si>
  <si>
    <t>4517000015</t>
  </si>
  <si>
    <t>Museums - Project Management and Business Partnership</t>
  </si>
  <si>
    <t>4510718</t>
  </si>
  <si>
    <t>451.070106.4514180.1.421126.4510700.200104.000.000000.000000</t>
  </si>
  <si>
    <t>Museums - Information Technology</t>
  </si>
  <si>
    <t>451.070106.4514180.1.422911.4510700.200104.000.000000.000000</t>
  </si>
  <si>
    <t>451.070106.4514180.1.423711.4510700.200104.000.000000.000000</t>
  </si>
  <si>
    <t>4510746</t>
  </si>
  <si>
    <t>451.070106.4514180.1.491320.4510700.300105.000.000000.000000</t>
  </si>
  <si>
    <t>4510753</t>
  </si>
  <si>
    <t>451.070106.4514180.1.422213.4510700.200104.000.000000.000000</t>
  </si>
  <si>
    <t>451.070106.4514180.1.422218.4510700.200104.000.000000.000000</t>
  </si>
  <si>
    <t>425308 - SaaS - Business Specific Solutions Subscription</t>
  </si>
  <si>
    <t>451.070106.4514180.1.425308.4510700.200104.000.000000.000000</t>
  </si>
  <si>
    <t>4510754</t>
  </si>
  <si>
    <t>425303 - SaaS - Network &amp; Infrastructure Software Subscription</t>
  </si>
  <si>
    <t>451.070106.4514180.1.425303.4510700.200104.000.000000.000000</t>
  </si>
  <si>
    <t>4510755</t>
  </si>
  <si>
    <t>4510756</t>
  </si>
  <si>
    <t>4510757</t>
  </si>
  <si>
    <t>4510763</t>
  </si>
  <si>
    <t>493120 - Computer software-Operating System, Virtualization</t>
  </si>
  <si>
    <t>451.070106.4514180.1.493120.4510700.300105.000.000000.000000</t>
  </si>
  <si>
    <t>4510764</t>
  </si>
  <si>
    <t>4510765</t>
  </si>
  <si>
    <t>4510766</t>
  </si>
  <si>
    <t>4510767</t>
  </si>
  <si>
    <t>4510810</t>
  </si>
  <si>
    <t>4510811</t>
  </si>
  <si>
    <t>4510812</t>
  </si>
  <si>
    <t>4510813</t>
  </si>
  <si>
    <t>4510814</t>
  </si>
  <si>
    <t>4510815</t>
  </si>
  <si>
    <t>4517000018</t>
  </si>
  <si>
    <t>LAD - Director's Office</t>
  </si>
  <si>
    <t>451.070101.4510121.1.424760.4510700.200104.000.000000.000000</t>
  </si>
  <si>
    <t>Louvre Abu Dhabi</t>
  </si>
  <si>
    <t>Museums - LAD - Director's Office</t>
  </si>
  <si>
    <t>4510121</t>
  </si>
  <si>
    <t>451.070101.4510121.1.422191.4510700.200104.000.000000.000000</t>
  </si>
  <si>
    <t>4510721</t>
  </si>
  <si>
    <t>451.070101.4510121.1.421121.4510700.200104.000.000000.000000</t>
  </si>
  <si>
    <t>451.070101.4510121.1.424521.4510700.200104.000.000000.000000</t>
  </si>
  <si>
    <t>451.070101.4510121.1.423821.4510700.200104.000.000000.000000</t>
  </si>
  <si>
    <t>4510728</t>
  </si>
  <si>
    <t>451.070101.4510121.1.424791.4510700.200104.000.000000.000000</t>
  </si>
  <si>
    <t>4510749</t>
  </si>
  <si>
    <t>451.070403.4510121.1.491811.4510700.300105.000.000000.000000</t>
  </si>
  <si>
    <t>070403 - Museum Obligation code</t>
  </si>
  <si>
    <t>451.070101.4510121.1.421123.4510700.200104.000.000000.000000</t>
  </si>
  <si>
    <t>4517000019</t>
  </si>
  <si>
    <t>LAD - Facility Management</t>
  </si>
  <si>
    <t>451.070401.4510127.1.421122.4510700.200104.000.000000.000000</t>
  </si>
  <si>
    <t>Museums - LAD - Technical Operations</t>
  </si>
  <si>
    <t>4510127</t>
  </si>
  <si>
    <t>070401 - Museums Operations</t>
  </si>
  <si>
    <t>4510714</t>
  </si>
  <si>
    <t>451.070401.4510127.1.426212.4510700.200104.000.000000.000000</t>
  </si>
  <si>
    <t>426214 - Public buildings  maintenance</t>
  </si>
  <si>
    <t>451.070401.4510127.1.426214.4510700.200104.000.000000.000000</t>
  </si>
  <si>
    <t>426319 - Maintenance : Plant, machinery heavy equip, nme</t>
  </si>
  <si>
    <t>451.070401.4510127.1.426319.4510700.200104.000.000000.000000</t>
  </si>
  <si>
    <t>426319 - Maintenance : Plant, machinery and heavy equipment, nme</t>
  </si>
  <si>
    <t>451.070401.4510127.1.432614.4510700.200104.000.000000.000000</t>
  </si>
  <si>
    <t>4510719</t>
  </si>
  <si>
    <t>422718 - Insurance - Fixed Assets</t>
  </si>
  <si>
    <t>451.070401.4510127.1.422718.4510700.200104.000.000000.000000</t>
  </si>
  <si>
    <t>451.070401.4510127.1.424521.4510700.200104.000.000000.000000</t>
  </si>
  <si>
    <t>451.070401.4510127.1.423821.4510700.200104.000.000000.000000</t>
  </si>
  <si>
    <t>4510730</t>
  </si>
  <si>
    <t>451.070401.4510127.1.425112.4510700.200104.000.000000.000000</t>
  </si>
  <si>
    <t>4510744</t>
  </si>
  <si>
    <t>491321 - Heavy equipment Capital Expenditure</t>
  </si>
  <si>
    <t>451.070402.4510127.1.491321.4510700.300105.000.000000.000000</t>
  </si>
  <si>
    <t>491321 - Heavy equipment, plant &amp; machinery - Capital Expenditure</t>
  </si>
  <si>
    <t>451.070402.4510127.1.491351.4510700.300105.000.000000.000000</t>
  </si>
  <si>
    <t>491411 - Electricity distribution spares - Capital Expenditure</t>
  </si>
  <si>
    <t>451.070402.4510127.1.491411.4510700.300105.000.000000.000000</t>
  </si>
  <si>
    <t>451.070401.4510127.1.422211.4510700.200104.000.000000.000000</t>
  </si>
  <si>
    <t>4510768</t>
  </si>
  <si>
    <t>423911 - Electricity consumption charges</t>
  </si>
  <si>
    <t>451.070401.4510127.1.423911.4510700.200104.000.000000.000000</t>
  </si>
  <si>
    <t>423921 - Water consumption charges</t>
  </si>
  <si>
    <t>451.070401.4510127.1.423921.4510700.200104.000.000000.000000</t>
  </si>
  <si>
    <t>451.070401.4510127.1.423931.4510700.200104.000.000000.000000</t>
  </si>
  <si>
    <t>4510786</t>
  </si>
  <si>
    <t>4517000020</t>
  </si>
  <si>
    <t>LAD - Safety &amp; Security</t>
  </si>
  <si>
    <t>451.070401.4510127.1.424551.4510700.200104.000.000000.000000</t>
  </si>
  <si>
    <t>451.070402.4510127.1.491711.4510700.300105.000.000000.000000</t>
  </si>
  <si>
    <t>4517000021</t>
  </si>
  <si>
    <t>LAD - International &amp; Institutional Affairs</t>
  </si>
  <si>
    <t>451.070401.4510123.1.422191.4510700.200104.000.000000.000000</t>
  </si>
  <si>
    <t>Museums - LAD - Education and Cultural Engagement</t>
  </si>
  <si>
    <t>4510123</t>
  </si>
  <si>
    <t>451.070401.4510123.1.423821.4510700.200104.000.000000.000000</t>
  </si>
  <si>
    <t>4517000022</t>
  </si>
  <si>
    <t>LAD - Cultural Programming</t>
  </si>
  <si>
    <t>4510713</t>
  </si>
  <si>
    <t>422411 - Conferences, seminars and exhib  events: - Local Events</t>
  </si>
  <si>
    <t>451.070101.4510123.1.422411.4510700.200104.000.000000.000000</t>
  </si>
  <si>
    <t>422411 - Conferences, seminars and exhibitions and other events: - Local Events</t>
  </si>
  <si>
    <t>451.070401.4510123.1.424521.4510700.200104.000.000000.000000</t>
  </si>
  <si>
    <t>4517000023</t>
  </si>
  <si>
    <t>LAD - Interpretation &amp; Creative Content</t>
  </si>
  <si>
    <t>4510736</t>
  </si>
  <si>
    <t>451.070401.4510123.1.421125.4510700.200104.000.000000.000000</t>
  </si>
  <si>
    <t>4510762</t>
  </si>
  <si>
    <t>451.070402.4510123.1.491811.4510700.300105.000.000000.000000</t>
  </si>
  <si>
    <t>493110 - Computer software - Capital Expenditure</t>
  </si>
  <si>
    <t>451.070106.4510123.1.493110.4510700.300105.000.000000.000000</t>
  </si>
  <si>
    <t>4517000024</t>
  </si>
  <si>
    <t>LAD - Publication</t>
  </si>
  <si>
    <t>451.070401.4510123.1.424221.4510700.200104.000.000000.000000</t>
  </si>
  <si>
    <t>431111 - Newspapers, magazines, journals, etc</t>
  </si>
  <si>
    <t>451.070401.4510123.1.431111.4510700.200104.000.000000.000000</t>
  </si>
  <si>
    <t>431115 - Academic Publications</t>
  </si>
  <si>
    <t>451.070401.4510123.1.431115.4510700.200104.000.000000.000000</t>
  </si>
  <si>
    <t>4517000025</t>
  </si>
  <si>
    <t>LAD - Education &amp; Learning Resources</t>
  </si>
  <si>
    <t>4510711</t>
  </si>
  <si>
    <t>422621 - Higher education and specialisation incentives</t>
  </si>
  <si>
    <t>451.070401.4510123.1.422621.4510700.200104.000.000000.000000</t>
  </si>
  <si>
    <t>424511 - Catering service  expenses</t>
  </si>
  <si>
    <t>451.070401.4510123.1.424511.4510700.200104.000.000000.000000</t>
  </si>
  <si>
    <t>4517000026</t>
  </si>
  <si>
    <t>LAD - Visitor Operations</t>
  </si>
  <si>
    <t>451.070401.4510125.1.424221.4510700.200104.000.000000.000000</t>
  </si>
  <si>
    <t>Museums - LAD - Visitor Experience and Event Management</t>
  </si>
  <si>
    <t>4510125</t>
  </si>
  <si>
    <t>451.070401.4510125.1.424521.4510700.200104.000.000000.000000</t>
  </si>
  <si>
    <t>4510731</t>
  </si>
  <si>
    <t>451.070401.4510125.1.423411.4510700.200104.000.000000.000000</t>
  </si>
  <si>
    <t>451.070402.4510125.1.491321.4510700.300105.000.000000.000000</t>
  </si>
  <si>
    <t>4510761</t>
  </si>
  <si>
    <t>424141 - Other Sales expenditure not mentioned elsewere</t>
  </si>
  <si>
    <t>451.070401.4510125.1.424141.4510700.200104.000.000000.000000</t>
  </si>
  <si>
    <t>424141 - Other Sales expenditure not mentioned elsewhere</t>
  </si>
  <si>
    <t>4517000027</t>
  </si>
  <si>
    <t>LAD - Sales</t>
  </si>
  <si>
    <t>451.070401.4510125.1.423821.4510700.200104.000.000000.000000</t>
  </si>
  <si>
    <t>4517000028</t>
  </si>
  <si>
    <t>LAD - Events</t>
  </si>
  <si>
    <t>4517000029</t>
  </si>
  <si>
    <t>LAD - Digital Marketing</t>
  </si>
  <si>
    <t>451.070401.4510124.1.423821.4510700.200104.000.000000.000000</t>
  </si>
  <si>
    <t>Museums - LAD - Marketing and Communication</t>
  </si>
  <si>
    <t>4510124</t>
  </si>
  <si>
    <t>4510795</t>
  </si>
  <si>
    <t>451.070401.4510124.1.422511.4510700.200104.000.000000.000000</t>
  </si>
  <si>
    <t>4517000030</t>
  </si>
  <si>
    <t>LAD - Marketing</t>
  </si>
  <si>
    <t>4510796</t>
  </si>
  <si>
    <t>451.070401.4510124.1.424231.4510700.200104.000.000000.000000</t>
  </si>
  <si>
    <t>4510797</t>
  </si>
  <si>
    <t>451.070401.4510124.1.431111.4510700.200104.000.000000.000000</t>
  </si>
  <si>
    <t>4517000031</t>
  </si>
  <si>
    <t>LAD - Communications</t>
  </si>
  <si>
    <t>4510798</t>
  </si>
  <si>
    <t>424661 - Emergency, Crisis and Disaster Management</t>
  </si>
  <si>
    <t>451.070401.4510124.1.424661.4510700.200104.000.000000.000000</t>
  </si>
  <si>
    <t>4510799</t>
  </si>
  <si>
    <t>451.070401.4510124.1.424781.4510700.200104.000.000000.000000</t>
  </si>
  <si>
    <t>4510800</t>
  </si>
  <si>
    <t>451.070401.4510124.1.424701.4510700.200104.000.000000.000000</t>
  </si>
  <si>
    <t>4517000032</t>
  </si>
  <si>
    <t>LAD - Development &amp; Partnership</t>
  </si>
  <si>
    <t>451.070401.4510124.1.424811.4510700.200104.000.000000.000000</t>
  </si>
  <si>
    <t>4517000037</t>
  </si>
  <si>
    <t>LAD - Research &amp; Development</t>
  </si>
  <si>
    <t>451.070401.4510122.1.424521.4510700.200104.000.000000.000000</t>
  </si>
  <si>
    <t>Museums - LAD - Scientific, Curatorial and Collection Management</t>
  </si>
  <si>
    <t>4510122</t>
  </si>
  <si>
    <t>451.070401.4510122.1.423411.4510700.200104.000.000000.000000</t>
  </si>
  <si>
    <t>4510760</t>
  </si>
  <si>
    <t>491326 - Laboratory equipment - Capital Expenditure</t>
  </si>
  <si>
    <t>451.070402.4510122.1.491326.4510700.300105.000.000000.000000</t>
  </si>
  <si>
    <t>4510783</t>
  </si>
  <si>
    <t>491821 - Library Books - Capital Expenditure</t>
  </si>
  <si>
    <t>451.070402.4510122.1.491821.4510700.300105.000.000000.000000</t>
  </si>
  <si>
    <t>4510784</t>
  </si>
  <si>
    <t>431413 - Laboratory - Scientific</t>
  </si>
  <si>
    <t>451.070401.4510122.1.431413.4510700.200104.000.000000.000000</t>
  </si>
  <si>
    <t>4517000038</t>
  </si>
  <si>
    <t>LAD - Temporary Exhibition &amp; Special Projects</t>
  </si>
  <si>
    <t>4510702</t>
  </si>
  <si>
    <t>432625 - Charges for Artwork/Exhibits on Loan</t>
  </si>
  <si>
    <t>451.070401.4510122.1.432625.4510700.200104.000.000000.000000</t>
  </si>
  <si>
    <t>451.070401.4510122.1.422718.4510700.200104.000.000000.000000</t>
  </si>
  <si>
    <t>4510747</t>
  </si>
  <si>
    <t>451.070403.4510122.1.491811.4510700.300105.000.000000.000000</t>
  </si>
  <si>
    <t>4517000039</t>
  </si>
  <si>
    <t>LAD - Conservation &amp; Collections Management</t>
  </si>
  <si>
    <t>451.070401.4510122.1.422749.4510700.200104.000.000000.000000</t>
  </si>
  <si>
    <t>451.070401.4510122.1.423821.4510700.200104.000.000000.000000</t>
  </si>
  <si>
    <t>4510785</t>
  </si>
  <si>
    <t>451.070402.4510122.1.491811.4510700.300105.000.000000.000000</t>
  </si>
  <si>
    <t>4517000040</t>
  </si>
  <si>
    <t>NHM - Director's Office</t>
  </si>
  <si>
    <t>451.070101.4510311.1.422411.4510700.200104.000.000000.000000</t>
  </si>
  <si>
    <t>Natural History Museum</t>
  </si>
  <si>
    <t>Museums - NHM - Director's Office</t>
  </si>
  <si>
    <t>4510311</t>
  </si>
  <si>
    <t>451.070101.4510311.1.424521.4510700.200104.000.000000.000000</t>
  </si>
  <si>
    <t>451.070101.4510311.1.423821.4510700.200104.000.000000.000000</t>
  </si>
  <si>
    <t>4517000041</t>
  </si>
  <si>
    <t>NHM - Geoscience</t>
  </si>
  <si>
    <t>423441 - Scientific &amp; Technology research  expenses</t>
  </si>
  <si>
    <t>451.070401.4510321.1.423441.4510700.200104.000.000000.000000</t>
  </si>
  <si>
    <t>Museums - NHM - Curatorial</t>
  </si>
  <si>
    <t>4510321</t>
  </si>
  <si>
    <t>4517000044</t>
  </si>
  <si>
    <t>NHM - Research Laboratory</t>
  </si>
  <si>
    <t>4510790</t>
  </si>
  <si>
    <t>451.070402.4510321.1.491326.4510700.300105.000.000000.000000</t>
  </si>
  <si>
    <t>4517000045</t>
  </si>
  <si>
    <t>NHM - Collections Management</t>
  </si>
  <si>
    <t>451.070401.4510322.1.432625.4510700.200104.000.000000.000000</t>
  </si>
  <si>
    <t>Museums - NHM - Collections</t>
  </si>
  <si>
    <t>4510322</t>
  </si>
  <si>
    <t>451.070401.4510322.1.422749.4510700.200104.000.000000.000000</t>
  </si>
  <si>
    <t>4510743</t>
  </si>
  <si>
    <t>451.070402.4510322.1.491811.4510700.300105.000.000000.000000</t>
  </si>
  <si>
    <t>4517000046</t>
  </si>
  <si>
    <t>NHM - Conservation</t>
  </si>
  <si>
    <t>451.070401.4510322.1.424521.4510700.200104.000.000000.000000</t>
  </si>
  <si>
    <t>4517000047</t>
  </si>
  <si>
    <t>NHM - Educational Programmes</t>
  </si>
  <si>
    <t>422612 - Education-Outsourced training service</t>
  </si>
  <si>
    <t>451.070401.4510331.1.422612.4510700.200104.000.000000.000000</t>
  </si>
  <si>
    <t>Museums - NHM - Education</t>
  </si>
  <si>
    <t>4510331</t>
  </si>
  <si>
    <t>451.070401.4510331.1.424791.4510700.200104.000.000000.000000</t>
  </si>
  <si>
    <t>4517000048</t>
  </si>
  <si>
    <t>NHM - Public Engagement</t>
  </si>
  <si>
    <t>4510752</t>
  </si>
  <si>
    <t>451.070401.4510331.1.424701.4510700.200104.000.000000.000000</t>
  </si>
  <si>
    <t>4517000049</t>
  </si>
  <si>
    <t>NHM - Visitor Services</t>
  </si>
  <si>
    <t>451.070401.4510332.1.424521.4510700.200104.000.000000.000000</t>
  </si>
  <si>
    <t>Museums - NHM - Visitor Experience &amp; Communications</t>
  </si>
  <si>
    <t>4510332</t>
  </si>
  <si>
    <t>4517000050</t>
  </si>
  <si>
    <t>NHM - Exhibitions &amp; Digital Experience</t>
  </si>
  <si>
    <t>451.070401.4510332.1.421122.4510700.200104.000.000000.000000</t>
  </si>
  <si>
    <t>451.070401.4510332.1.422411.4510700.200104.000.000000.000000</t>
  </si>
  <si>
    <t>451.070402.4510332.1.491211.4510700.300105.000.000000.000000</t>
  </si>
  <si>
    <t>4510791</t>
  </si>
  <si>
    <t>451.070402.4510332.1.491320.4510700.300105.000.000000.000000</t>
  </si>
  <si>
    <t>4517000051</t>
  </si>
  <si>
    <t>NHM - Marketing &amp; Communications</t>
  </si>
  <si>
    <t>4510701</t>
  </si>
  <si>
    <t>451.070401.4510332.1.422511.4510700.200104.000.000000.000000</t>
  </si>
  <si>
    <t>4510705</t>
  </si>
  <si>
    <t>451.070401.4510332.1.424231.4510700.200104.000.000000.000000</t>
  </si>
  <si>
    <t>4510737</t>
  </si>
  <si>
    <t>451.070401.4510332.1.421125.4510700.200104.000.000000.000000</t>
  </si>
  <si>
    <t>4510738</t>
  </si>
  <si>
    <t>4517000052</t>
  </si>
  <si>
    <t>NHM - International &amp; Institutional Affairs</t>
  </si>
  <si>
    <t>451.070401.4510341.1.422411.4510700.200104.000.000000.000000</t>
  </si>
  <si>
    <t>Museums - NHM - Partnerships and Commercial</t>
  </si>
  <si>
    <t>4510341</t>
  </si>
  <si>
    <t>4517000054</t>
  </si>
  <si>
    <t>NHM - Events &amp; Retail</t>
  </si>
  <si>
    <t>451.070401.4510341.1.424231.4510700.200104.000.000000.000000</t>
  </si>
  <si>
    <t>4517000055</t>
  </si>
  <si>
    <t>NHM - Facilities Management</t>
  </si>
  <si>
    <t>4510708</t>
  </si>
  <si>
    <t>451.070401.4510342.1.422321.4510700.200104.000.000000.000000</t>
  </si>
  <si>
    <t>Museums - NHM - Technical Operations</t>
  </si>
  <si>
    <t>4510342</t>
  </si>
  <si>
    <t>451.070401.4510342.1.422718.4510700.200104.000.000000.000000</t>
  </si>
  <si>
    <t>451.070402.4510342.1.491211.4510700.300105.000.000000.000000</t>
  </si>
  <si>
    <t>451.070402.4510342.1.491321.4510700.300105.000.000000.000000</t>
  </si>
  <si>
    <t>451.070402.4510342.1.491711.4510700.300105.000.000000.000000</t>
  </si>
  <si>
    <t>451.070401.4510342.1.423911.4510700.200104.000.000000.000000</t>
  </si>
  <si>
    <t>451.070401.4510342.1.423921.4510700.200104.000.000000.000000</t>
  </si>
  <si>
    <t>451.070401.4510342.1.423931.4510700.200104.000.000000.000000</t>
  </si>
  <si>
    <t>4510777</t>
  </si>
  <si>
    <t>451.070401.4510342.1.421122.4510700.200104.000.000000.000000</t>
  </si>
  <si>
    <t>451.070401.4510342.1.426212.4510700.200104.000.000000.000000</t>
  </si>
  <si>
    <t>451.070401.4510342.1.426319.4510700.200104.000.000000.000000</t>
  </si>
  <si>
    <t>4517000056</t>
  </si>
  <si>
    <t>NHM - Safety &amp; Security</t>
  </si>
  <si>
    <t>451.070401.4510342.1.424551.4510700.200104.000.000000.000000</t>
  </si>
  <si>
    <t>4517000057</t>
  </si>
  <si>
    <t>ZNM - Director's Office</t>
  </si>
  <si>
    <t>451.070101.4510181.1.424521.4510700.200104.000.000000.000000</t>
  </si>
  <si>
    <t>Zayed National Museum</t>
  </si>
  <si>
    <t>Museums - ZNM - Director's office</t>
  </si>
  <si>
    <t>4510181</t>
  </si>
  <si>
    <t>423891 - Business Travel - Combined expenses</t>
  </si>
  <si>
    <t>451.070101.4514140.1.423891.4510700.200104.000.000000.000000</t>
  </si>
  <si>
    <t>451.070101.4510180.1.423411.4510700.200104.000.000000.000000</t>
  </si>
  <si>
    <t>4510180</t>
  </si>
  <si>
    <t>4510792</t>
  </si>
  <si>
    <t>451.070101.4510180.1.422619.4510700.200104.000.000000.000000</t>
  </si>
  <si>
    <t>4517000058</t>
  </si>
  <si>
    <t>ZNM - Strategy</t>
  </si>
  <si>
    <t>4510803</t>
  </si>
  <si>
    <t>451.070101.4510180.1.421123.4510700.200104.000.000000.000000</t>
  </si>
  <si>
    <t>4517000059</t>
  </si>
  <si>
    <t>ZNM - Institutional &amp; International Affairs</t>
  </si>
  <si>
    <t>4510759</t>
  </si>
  <si>
    <t>421116 - Academic Collaborative Partnership Serv Expense</t>
  </si>
  <si>
    <t>451.070101.4510180.1.421116.4510700.200104.000.000000.000000</t>
  </si>
  <si>
    <t>421116 - Academic Collaborative Partnership Services  expenses</t>
  </si>
  <si>
    <t>451.070101.4510180.1.424221.4510700.200104.000.000000.000000</t>
  </si>
  <si>
    <t>4517000060</t>
  </si>
  <si>
    <t>ZNM - Curatorial</t>
  </si>
  <si>
    <t>451.070401.4510181.1.431115.4510700.200104.000.000000.000000</t>
  </si>
  <si>
    <t>Museums - ZNM - Curatorial &amp; Collection Management</t>
  </si>
  <si>
    <t>423421 - Historical research  expenses</t>
  </si>
  <si>
    <t>451.070401.4510181.1.423421.4510700.200104.000.000000.000000</t>
  </si>
  <si>
    <t>4517000061</t>
  </si>
  <si>
    <t>ZNM - Collection Management &amp; Conservation</t>
  </si>
  <si>
    <t>451.070401.4510181.1.432625.4510700.200104.000.000000.000000</t>
  </si>
  <si>
    <t>451.070401.4510181.1.422749.4510700.200104.000.000000.000000</t>
  </si>
  <si>
    <t>451.070401.4514140.1.424521.4510700.200104.000.000000.000000</t>
  </si>
  <si>
    <t>Museums - ZNM - Learning &amp; Public Engagement</t>
  </si>
  <si>
    <t>451.070401.4510410.1.423891.4510700.200104.000.000000.000000</t>
  </si>
  <si>
    <t>4510410</t>
  </si>
  <si>
    <t>451.070401.4510181.1.424671.4510700.200104.000.000000.000000</t>
  </si>
  <si>
    <t>451.070402.4510181.1.491811.4510700.300105.000.000000.000000</t>
  </si>
  <si>
    <t>4510751</t>
  </si>
  <si>
    <t>491360 - Hardware &amp; peripherals-Conferencing &amp; AV - Capital Expenditure</t>
  </si>
  <si>
    <t>451.070402.4510181.1.491360.4510700.300105.000.000000.000000</t>
  </si>
  <si>
    <t>451.070402.4514140.1.491326.4510700.300105.000.000000.000000</t>
  </si>
  <si>
    <t>4510779</t>
  </si>
  <si>
    <t>4517000062</t>
  </si>
  <si>
    <t>ZNM - Exhibitions &amp; Display</t>
  </si>
  <si>
    <t>4510773</t>
  </si>
  <si>
    <t>451.070401.4510181.1.422411.4510700.200104.000.000000.000000</t>
  </si>
  <si>
    <t>4517000063</t>
  </si>
  <si>
    <t>ZNM - Learning &amp; Audience Engagement</t>
  </si>
  <si>
    <t>451.070401.4510182.1.422621.4510700.200104.000.000000.000000</t>
  </si>
  <si>
    <t>4510182</t>
  </si>
  <si>
    <t>451.070401.4514140.1.423891.4510700.200104.000.000000.000000</t>
  </si>
  <si>
    <t>4517000064</t>
  </si>
  <si>
    <t>ZNM - Interpretation</t>
  </si>
  <si>
    <t>4510778</t>
  </si>
  <si>
    <t>4517000065</t>
  </si>
  <si>
    <t>ZNM - Public Events</t>
  </si>
  <si>
    <t>451.070401.4510182.1.422411.4510700.200104.000.000000.000000</t>
  </si>
  <si>
    <t>4517000066</t>
  </si>
  <si>
    <t>ZNM - Digital Learning</t>
  </si>
  <si>
    <t>4510780</t>
  </si>
  <si>
    <t>4517000067</t>
  </si>
  <si>
    <t>ZNM - Publications</t>
  </si>
  <si>
    <t>451.070401.4510182.1.424791.4510700.200104.000.000000.000000</t>
  </si>
  <si>
    <t>4517000068</t>
  </si>
  <si>
    <t>ZNM - Partnerships &amp; Development</t>
  </si>
  <si>
    <t>451.070401.4510183.1.424811.4510700.200104.000.000000.000000</t>
  </si>
  <si>
    <t>Museums - ZNM - Development &amp; Commercial Services</t>
  </si>
  <si>
    <t>4510183</t>
  </si>
  <si>
    <t>4517000069</t>
  </si>
  <si>
    <t>ZNM - F&amp;B</t>
  </si>
  <si>
    <t>4510782</t>
  </si>
  <si>
    <t>451.070401.4510183.1.422411.4510700.200104.000.000000.000000</t>
  </si>
  <si>
    <t>4517000071</t>
  </si>
  <si>
    <t>ZNM - Marketing</t>
  </si>
  <si>
    <t>451.070401.4510185.1.422511.4510700.200104.000.000000.000000</t>
  </si>
  <si>
    <t>Museums - ZNM - Marketing &amp; Communications</t>
  </si>
  <si>
    <t>4510185</t>
  </si>
  <si>
    <t>4510706</t>
  </si>
  <si>
    <t>424151 - Other Marketing expenditure not mentioned elsewhere</t>
  </si>
  <si>
    <t>451.070401.4510185.1.424151.4510700.200104.000.000000.000000</t>
  </si>
  <si>
    <t>451.070401.4510185.1.422411.4510700.200104.000.000000.000000</t>
  </si>
  <si>
    <t>451.070401.4510185.1.424521.4510700.200104.000.000000.000000</t>
  </si>
  <si>
    <t>451.070401.4510185.1.423891.4510700.200104.000.000000.000000</t>
  </si>
  <si>
    <t>431811 - Printing supplies</t>
  </si>
  <si>
    <t>451.070401.4510185.1.431811.4510700.200104.000.000000.000000</t>
  </si>
  <si>
    <t>451.070401.4510185.1.423411.4510700.200104.000.000000.000000</t>
  </si>
  <si>
    <t>4510732</t>
  </si>
  <si>
    <t>451.070401.4510185.1.421125.4510700.200104.000.000000.000000</t>
  </si>
  <si>
    <t>451.070401.4510185.1.424811.4510700.200104.000.000000.000000</t>
  </si>
  <si>
    <t>4517000072</t>
  </si>
  <si>
    <t>ZNM - Digital Marketing</t>
  </si>
  <si>
    <t>451.070401.4510185.1.421123.4510700.200104.000.000000.000000</t>
  </si>
  <si>
    <t>4517000073</t>
  </si>
  <si>
    <t>ZNM - Communications</t>
  </si>
  <si>
    <t>451.070401.4510185.1.424701.4510700.200104.000.000000.000000</t>
  </si>
  <si>
    <t>4517000074</t>
  </si>
  <si>
    <t>ZNM - Visitor Services</t>
  </si>
  <si>
    <t>451.070401.4510185.1.421122.4510700.200104.000.000000.000000</t>
  </si>
  <si>
    <t>432623 - Supplies  other purpose, not  elsewhere</t>
  </si>
  <si>
    <t>451.070401.4510185.1.432623.4510700.200104.000.000000.000000</t>
  </si>
  <si>
    <t>432623 - Supplies for other purpose, not specified elsewhere</t>
  </si>
  <si>
    <t>432411 - Uniforms and accessories for Employees</t>
  </si>
  <si>
    <t>451.070401.4510185.1.432411.4510700.200104.000.000000.000000</t>
  </si>
  <si>
    <t>4517000075</t>
  </si>
  <si>
    <t>ZNM - Safety &amp; Security</t>
  </si>
  <si>
    <t>4510801</t>
  </si>
  <si>
    <t>451.070401.4510184.1.424551.4510700.200104.000.000000.000000</t>
  </si>
  <si>
    <t>Museums - ZNM - Technical Operations</t>
  </si>
  <si>
    <t>4510184</t>
  </si>
  <si>
    <t>4517000076</t>
  </si>
  <si>
    <t>ZNM - Facilities Management</t>
  </si>
  <si>
    <t>451.070401.4510184.1.422311.4510700.200104.000.000000.000000</t>
  </si>
  <si>
    <t>451.070401.4510184.1.422321.4510700.200104.000.000000.000000</t>
  </si>
  <si>
    <t>422111 - Public Facility operations  expenses</t>
  </si>
  <si>
    <t>451.070401.4510184.1.422111.4510700.200104.000.000000.000000</t>
  </si>
  <si>
    <t>451.070401.4510184.1.422718.4510700.200104.000.000000.000000</t>
  </si>
  <si>
    <t>451.070401.4510184.1.424521.4510700.200104.000.000000.000000</t>
  </si>
  <si>
    <t>451.070401.4510184.1.423891.4510700.200104.000.000000.000000</t>
  </si>
  <si>
    <t>451.070402.4510184.1.491711.4510700.300105.000.000000.000000</t>
  </si>
  <si>
    <t>451.070401.4510184.1.423911.4510700.200104.000.000000.000000</t>
  </si>
  <si>
    <t>451.070401.4510184.1.423921.4510700.200104.000.000000.000000</t>
  </si>
  <si>
    <t>451.070401.4510184.1.423931.4510700.200104.000.000000.000000</t>
  </si>
  <si>
    <t>451.070401.4510184.1.426212.4510700.200104.000.000000.000000</t>
  </si>
  <si>
    <t>451.070401.4510184.1.426214.4510700.200104.000.000000.000000</t>
  </si>
  <si>
    <t>4517000077</t>
  </si>
  <si>
    <t>GAD - Director's Office</t>
  </si>
  <si>
    <t>451.070401.4510410.1.422511.4510700.200104.000.000000.000000</t>
  </si>
  <si>
    <t>AD-Guggenheim Museum</t>
  </si>
  <si>
    <t>Museums - GAD - Director's Office</t>
  </si>
  <si>
    <t>451.070401.4510410.1.432625.4510700.200104.000.000000.000000</t>
  </si>
  <si>
    <t>4510709</t>
  </si>
  <si>
    <t>451.070401.4510410.1.424661.4510700.200104.000.000000.000000</t>
  </si>
  <si>
    <t>451.070401.4510410.1.422411.4510700.200104.000.000000.000000</t>
  </si>
  <si>
    <t>451.070401.4510410.1.424551.4510700.200104.000.000000.000000</t>
  </si>
  <si>
    <t>451.070401.4510410.1.424721.4510700.200104.000.000000.000000</t>
  </si>
  <si>
    <t>451.070401.4510410.1.422718.4510700.200104.000.000000.000000</t>
  </si>
  <si>
    <t>451.070401.4510410.1.422749.4510700.200104.000.000000.000000</t>
  </si>
  <si>
    <t>451.070401.4510410.1.424521.4510700.200104.000.000000.000000</t>
  </si>
  <si>
    <t>4510724</t>
  </si>
  <si>
    <t>451.070401.4510410.1.424151.4510700.200104.000.000000.000000</t>
  </si>
  <si>
    <t>451.070401.4510410.1.423821.4510700.200104.000.000000.000000</t>
  </si>
  <si>
    <t>451.070401.4510410.1.424791.4510700.200104.000.000000.000000</t>
  </si>
  <si>
    <t>451.070401.4510410.1.421125.4510700.200104.000.000000.000000</t>
  </si>
  <si>
    <t>4510742</t>
  </si>
  <si>
    <t>451.070401.4510410.1.423911.4510700.200104.000.000000.000000</t>
  </si>
  <si>
    <t>451.070401.4510410.1.423921.4510700.200104.000.000000.000000</t>
  </si>
  <si>
    <t>451.070401.4510410.1.423931.4510700.200104.000.000000.000000</t>
  </si>
  <si>
    <t>451.070402.4510410.1.491811.4510700.300105.000.000000.000000</t>
  </si>
  <si>
    <t>451.070402.4510410.1.491321.4510700.300105.000.000000.000000</t>
  </si>
  <si>
    <t>451.070402.4510410.1.491711.4510700.300105.000.000000.000000</t>
  </si>
  <si>
    <t>451.070403.4510410.1.421122.4510700.200104.000.000000.000000</t>
  </si>
  <si>
    <t>4510774</t>
  </si>
  <si>
    <t>4510775</t>
  </si>
  <si>
    <t>451.070401.4510410.1.426212.4510700.200104.000.000000.000000</t>
  </si>
  <si>
    <t>4510809</t>
  </si>
  <si>
    <t>451.070402.4510410.1.491211.4510700.300105.000.000000.000000</t>
  </si>
  <si>
    <t>4517000078</t>
  </si>
  <si>
    <t>Museums - Facilities Management</t>
  </si>
  <si>
    <t>451.070107.4514130.1.421122.4510700.200104.000.000000.000000</t>
  </si>
  <si>
    <t>Museums - Technical Operations</t>
  </si>
  <si>
    <t>4514130</t>
  </si>
  <si>
    <t>451.070401.4514130.1.422411.4510700.200104.000.000000.000000</t>
  </si>
  <si>
    <t>451.070401.4514130.1.424591.4510700.200104.000.000000.000000</t>
  </si>
  <si>
    <t>451.070103.4514130.1.424521.4510700.200104.000.000000.000000</t>
  </si>
  <si>
    <t>451.070107.4514130.1.425203.4510700.200104.000.000000.000000</t>
  </si>
  <si>
    <t>451.070401.4514130.1.426212.4510700.200104.000.000000.000000</t>
  </si>
  <si>
    <t>495215 - Saadiyat Museums Roads &amp; Parking - Capital Expenditure</t>
  </si>
  <si>
    <t>451.070402.4514130.1.495215.4510700.300105.000.000000.000000</t>
  </si>
  <si>
    <t>4517000079</t>
  </si>
  <si>
    <t>Museums - Visitor Services</t>
  </si>
  <si>
    <t>451.070401.4514150.1.421122.4510700.200104.000.000000.000000</t>
  </si>
  <si>
    <t>Museums - Visitor Experience</t>
  </si>
  <si>
    <t>4514150</t>
  </si>
  <si>
    <t>451.070401.4514150.1.422411.4510700.200104.000.000000.000000</t>
  </si>
  <si>
    <t>451.070103.4514150.1.424521.4510700.200104.000.000000.000000</t>
  </si>
  <si>
    <t>451.070401.4514150.1.425203.4510700.200104.000.000000.000000</t>
  </si>
  <si>
    <t>4517000080</t>
  </si>
  <si>
    <t>Museums - Marketing &amp; Communications</t>
  </si>
  <si>
    <t>451.070401.4514150.1.422511.4510700.200104.000.000000.000000</t>
  </si>
  <si>
    <t>4517000081</t>
  </si>
  <si>
    <t>TLP - Team Lab Phenomena</t>
  </si>
  <si>
    <t>451.070402.4510142.1.491811.4510700.300105.000.000000.000000</t>
  </si>
  <si>
    <t>TeamLab</t>
  </si>
  <si>
    <t>Museums - TLP - Team Lab Phenomena</t>
  </si>
  <si>
    <t>4510142</t>
  </si>
  <si>
    <t>4510794</t>
  </si>
  <si>
    <t>451.070401.4510142.1.422191.4510700.200104.000.000000.000000</t>
  </si>
  <si>
    <t>4517000082</t>
  </si>
  <si>
    <t>ZNM - Community Engagement &amp; Accessibility</t>
  </si>
  <si>
    <t>4510781</t>
  </si>
  <si>
    <t>4517000083</t>
  </si>
  <si>
    <t>ZNM - Events</t>
  </si>
  <si>
    <t>451.070401.4510183.1.424221.4510700.200104.000.000000.000000</t>
  </si>
  <si>
    <t>451.070401.4510183.1.423891.4510700.200104.000.000000.000000</t>
  </si>
  <si>
    <t>451.070401.4510183.1.424521.4510700.200104.000.000000.000000</t>
  </si>
  <si>
    <t>451.070402.4510183.1.491711.4510700.300105.000.000000.000000</t>
  </si>
  <si>
    <t>4517000084</t>
  </si>
  <si>
    <t>LAD - Strategy Department</t>
  </si>
  <si>
    <t>451.070101.4510121.1.421122.4510700.200104.000.000000.000000</t>
  </si>
  <si>
    <t>4517000085</t>
  </si>
  <si>
    <t>Museums - P&amp;P Planning and Business Partnership</t>
  </si>
  <si>
    <t>4517000086</t>
  </si>
  <si>
    <t>Museums - LAD - Project Management and Business Partnership</t>
  </si>
  <si>
    <t>451.070106.4514180.1.421119.4510700.200104.000.000000.000000</t>
  </si>
  <si>
    <t>451.070106.4514180.1.422212.4510700.200104.000.000000.000000</t>
  </si>
  <si>
    <t>4517000087</t>
  </si>
  <si>
    <t>Museums - ZNM - Project Management and Business Partnership</t>
  </si>
  <si>
    <t>4517000088</t>
  </si>
  <si>
    <t>Museums - NHM - Project Management and Business Partnership</t>
  </si>
  <si>
    <t>4517000089</t>
  </si>
  <si>
    <t>Museums - GAD - Project Management and Business Partnership</t>
  </si>
  <si>
    <t>4517000090</t>
  </si>
  <si>
    <t>Museums - AAM - Project Management and Business Partnership</t>
  </si>
  <si>
    <t>4517000110</t>
  </si>
  <si>
    <t>Museum's Operations</t>
  </si>
  <si>
    <t>4510819</t>
  </si>
  <si>
    <t>451.070401.4514000.1.422191.4510700.200104.000.000000.000000</t>
  </si>
  <si>
    <t>4510820</t>
  </si>
  <si>
    <t>451.070402.4514000.1.491811.4510700.300105.000.000000.000000</t>
  </si>
  <si>
    <t>The template is pre-filled with every project / task / expenditure type of the selected budget year, its full 10-segment GL combination and any cashflow amounts already saved — type the monthly amounts and upload the same file back.</t>
  </si>
  <si>
    <t/>
  </si>
  <si>
    <t>Budget year: 2026  |  budget lines: 1739</t>
  </si>
  <si>
    <t>Keys (must not be edited): PROJECT, TASK, EXPENDITURE_TYPE.</t>
  </si>
  <si>
    <t>CF_TYPE = APPROVED or REVISED — copy a row and switch it to plan both.</t>
  </si>
  <si>
    <t>One column per accounting period (MM-YYYY): type the amount in the month cell.</t>
  </si>
  <si>
    <t>Blank month cells are ignored on upload; a typed 0 clears a saved amount.</t>
  </si>
  <si>
    <t>Columns after the months (GL_COMBINATION, SECTOR, ...) are reference only.</t>
  </si>
  <si>
    <t>PROJECT2</t>
  </si>
  <si>
    <t>Com</t>
  </si>
  <si>
    <t>424811</t>
  </si>
  <si>
    <t>421125</t>
  </si>
  <si>
    <t>424521</t>
  </si>
  <si>
    <t>423821</t>
  </si>
  <si>
    <t>424991</t>
  </si>
  <si>
    <t>422401</t>
  </si>
  <si>
    <t>426427</t>
  </si>
  <si>
    <t>432626</t>
  </si>
  <si>
    <t>422311</t>
  </si>
  <si>
    <t>424761</t>
  </si>
  <si>
    <t>432614</t>
  </si>
  <si>
    <t>490600</t>
  </si>
  <si>
    <t>426212</t>
  </si>
  <si>
    <t>424781</t>
  </si>
  <si>
    <t>422321</t>
  </si>
  <si>
    <t>424551</t>
  </si>
  <si>
    <t>423931</t>
  </si>
  <si>
    <t>422511</t>
  </si>
  <si>
    <t>421126</t>
  </si>
  <si>
    <t>425252</t>
  </si>
  <si>
    <t>493140</t>
  </si>
  <si>
    <t>413610</t>
  </si>
  <si>
    <t>424221</t>
  </si>
  <si>
    <t>491811</t>
  </si>
  <si>
    <t>422191</t>
  </si>
  <si>
    <t>421123</t>
  </si>
  <si>
    <t>421121</t>
  </si>
  <si>
    <t>491351</t>
  </si>
  <si>
    <t>424791</t>
  </si>
  <si>
    <t>424671</t>
  </si>
  <si>
    <t>424231</t>
  </si>
  <si>
    <t>423411</t>
  </si>
  <si>
    <t>424701</t>
  </si>
  <si>
    <t>424131</t>
  </si>
  <si>
    <t>424591</t>
  </si>
  <si>
    <t>422951</t>
  </si>
  <si>
    <t>431114</t>
  </si>
  <si>
    <t>491211</t>
  </si>
  <si>
    <t>491335</t>
  </si>
  <si>
    <t>437111</t>
  </si>
  <si>
    <t>422749</t>
  </si>
  <si>
    <t>431812</t>
  </si>
  <si>
    <t>431614</t>
  </si>
  <si>
    <t>422212</t>
  </si>
  <si>
    <t>422213</t>
  </si>
  <si>
    <t>431113</t>
  </si>
  <si>
    <t>425112</t>
  </si>
  <si>
    <t>422619</t>
  </si>
  <si>
    <t>424561</t>
  </si>
  <si>
    <t>421191</t>
  </si>
  <si>
    <t>424251</t>
  </si>
  <si>
    <t>431512</t>
  </si>
  <si>
    <t>491711</t>
  </si>
  <si>
    <t>431316</t>
  </si>
  <si>
    <t>425203</t>
  </si>
  <si>
    <t>421119</t>
  </si>
  <si>
    <t>413710</t>
  </si>
  <si>
    <t>421115</t>
  </si>
  <si>
    <t>423531</t>
  </si>
  <si>
    <t>423351</t>
  </si>
  <si>
    <t>491911</t>
  </si>
  <si>
    <t>422911</t>
  </si>
  <si>
    <t>425301</t>
  </si>
  <si>
    <t>422214</t>
  </si>
  <si>
    <t>491320</t>
  </si>
  <si>
    <t>422218</t>
  </si>
  <si>
    <t>461412</t>
  </si>
  <si>
    <t>422211</t>
  </si>
  <si>
    <t>423831</t>
  </si>
  <si>
    <t>462512</t>
  </si>
  <si>
    <t>424790</t>
  </si>
  <si>
    <t>495511</t>
  </si>
  <si>
    <t>462616</t>
  </si>
  <si>
    <t>462611</t>
  </si>
  <si>
    <t>491356</t>
  </si>
  <si>
    <t>424721</t>
  </si>
  <si>
    <t>423711</t>
  </si>
  <si>
    <t>493180</t>
  </si>
  <si>
    <t>251413</t>
  </si>
  <si>
    <t>221390</t>
  </si>
  <si>
    <t>421122</t>
  </si>
  <si>
    <t>421112</t>
  </si>
  <si>
    <t>424760</t>
  </si>
  <si>
    <t>424681</t>
  </si>
  <si>
    <t>425308</t>
  </si>
  <si>
    <t>425303</t>
  </si>
  <si>
    <t>493120</t>
  </si>
  <si>
    <t>426214</t>
  </si>
  <si>
    <t>426319</t>
  </si>
  <si>
    <t>422718</t>
  </si>
  <si>
    <t>491321</t>
  </si>
  <si>
    <t>491411</t>
  </si>
  <si>
    <t>423911</t>
  </si>
  <si>
    <t>423921</t>
  </si>
  <si>
    <t>422411</t>
  </si>
  <si>
    <t>493110</t>
  </si>
  <si>
    <t>431111</t>
  </si>
  <si>
    <t>431115</t>
  </si>
  <si>
    <t>422621</t>
  </si>
  <si>
    <t>424511</t>
  </si>
  <si>
    <t>424141</t>
  </si>
  <si>
    <t>424661</t>
  </si>
  <si>
    <t>491326</t>
  </si>
  <si>
    <t>491821</t>
  </si>
  <si>
    <t>431413</t>
  </si>
  <si>
    <t>432625</t>
  </si>
  <si>
    <t>423441</t>
  </si>
  <si>
    <t>422612</t>
  </si>
  <si>
    <t>423891</t>
  </si>
  <si>
    <t>421116</t>
  </si>
  <si>
    <t>423421</t>
  </si>
  <si>
    <t>491360</t>
  </si>
  <si>
    <t>424151</t>
  </si>
  <si>
    <t>431811</t>
  </si>
  <si>
    <t>432623</t>
  </si>
  <si>
    <t>432411</t>
  </si>
  <si>
    <t>422111</t>
  </si>
  <si>
    <t>495215</t>
  </si>
  <si>
    <t>GL</t>
  </si>
  <si>
    <t>Future</t>
  </si>
  <si>
    <t>200104</t>
  </si>
  <si>
    <t>300105</t>
  </si>
  <si>
    <t>100103</t>
  </si>
  <si>
    <t>201931</t>
  </si>
  <si>
    <t>050723</t>
  </si>
  <si>
    <t>201096</t>
  </si>
  <si>
    <t>050729</t>
  </si>
  <si>
    <t>050730</t>
  </si>
  <si>
    <t>301439</t>
  </si>
  <si>
    <t>201760</t>
  </si>
  <si>
    <t>201932</t>
  </si>
  <si>
    <t>502026</t>
  </si>
  <si>
    <t>402025</t>
  </si>
  <si>
    <t>202061</t>
  </si>
  <si>
    <t>202067</t>
  </si>
  <si>
    <t>402066</t>
  </si>
  <si>
    <t>202185</t>
  </si>
  <si>
    <t>502175</t>
  </si>
  <si>
    <t>000000</t>
  </si>
  <si>
    <t>Total</t>
  </si>
  <si>
    <t>Total V3</t>
  </si>
  <si>
    <t>Sector</t>
  </si>
  <si>
    <t>Cost Center</t>
  </si>
  <si>
    <t>Department</t>
  </si>
  <si>
    <t>Project Number</t>
  </si>
  <si>
    <t>Project Name</t>
  </si>
  <si>
    <t>Task</t>
  </si>
  <si>
    <t>Chapter</t>
  </si>
  <si>
    <t>PBB</t>
  </si>
  <si>
    <t>Strategy type</t>
  </si>
  <si>
    <t>Final Allocation with Revised CF</t>
  </si>
  <si>
    <t>Revised CF after Budget Transfer</t>
  </si>
  <si>
    <t>System Old Report</t>
  </si>
  <si>
    <t>Diff. CF after budget transfer Vs System</t>
  </si>
  <si>
    <t>Total Hany</t>
  </si>
  <si>
    <t>Arabic Language Centre</t>
  </si>
  <si>
    <t>ALC Executive Director's Office Operations</t>
  </si>
  <si>
    <t>Opex</t>
  </si>
  <si>
    <t>Operational</t>
  </si>
  <si>
    <t>Internal Strategic</t>
  </si>
  <si>
    <t>Support Services Affairsq</t>
  </si>
  <si>
    <t>Corporate Communication Office Operations</t>
  </si>
  <si>
    <t>ADIBF - Abu Dhabi International Book Fair</t>
  </si>
  <si>
    <t>AL Education &amp; Research Operations</t>
  </si>
  <si>
    <t>Arabic Language Proficiency Exam</t>
  </si>
  <si>
    <t>101 Book List</t>
  </si>
  <si>
    <t>We Speak Arabic</t>
  </si>
  <si>
    <t>ADEO Strategic</t>
  </si>
  <si>
    <t>Creative Content Operations</t>
  </si>
  <si>
    <t>E-Publishing</t>
  </si>
  <si>
    <t>Capex</t>
  </si>
  <si>
    <t>Commercial Development</t>
  </si>
  <si>
    <t>Expert Linguistics and Academics Committee Honorariums</t>
  </si>
  <si>
    <t>CS - Executive Office</t>
  </si>
  <si>
    <t>Concept Develop-NC</t>
  </si>
  <si>
    <t>ICOM 2025 in Dubai - DCT participation</t>
  </si>
  <si>
    <t>CPD Operational Planning</t>
  </si>
  <si>
    <t>DCT - Scientific, Curatorial and Collection Department</t>
  </si>
  <si>
    <t>Culture Sector Publications</t>
  </si>
  <si>
    <t>Curatorial Research</t>
  </si>
  <si>
    <t>Al Qattara Art Centre</t>
  </si>
  <si>
    <t>Al Jahili Fort</t>
  </si>
  <si>
    <t>Support Services</t>
  </si>
  <si>
    <t>Sustainable Public Procurement</t>
  </si>
  <si>
    <t>Qasr Al Muwaji</t>
  </si>
  <si>
    <t>Bait Al Oud.</t>
  </si>
  <si>
    <t>Al Ain Palace Museum</t>
  </si>
  <si>
    <t>Manarat Al Saadiyat</t>
  </si>
  <si>
    <t>Beit Mohammed Bin Khalifa</t>
  </si>
  <si>
    <t>Al Ain Oasis</t>
  </si>
  <si>
    <t>CF Community Exhibitions</t>
  </si>
  <si>
    <t>Al Marsam al Hor</t>
  </si>
  <si>
    <t>Children's Art Centre</t>
  </si>
  <si>
    <t>Al Qattara Souq</t>
  </si>
  <si>
    <t>Art Studio</t>
  </si>
  <si>
    <t>DCT Centeral Warehouse - M25</t>
  </si>
  <si>
    <t>FM Hosn Al Sarrah</t>
  </si>
  <si>
    <t>Cultural Foundation</t>
  </si>
  <si>
    <t>House of Artisans</t>
  </si>
  <si>
    <t>Children's Library</t>
  </si>
  <si>
    <t>Performing Arts</t>
  </si>
  <si>
    <t>Bait Al Khatt</t>
  </si>
  <si>
    <t>Berklee Abu Dhabi</t>
  </si>
  <si>
    <t>FM - Beit Mohammed Bin Khalifa</t>
  </si>
  <si>
    <t>Delma Museum</t>
  </si>
  <si>
    <t>DCT - International Operations Department</t>
  </si>
  <si>
    <t>FM Jebel Hafit Desert Park - Phase 1</t>
  </si>
  <si>
    <t>UAE Pavilion - Berklee College of Music</t>
  </si>
  <si>
    <t>FM Umm Khanoor Fort</t>
  </si>
  <si>
    <t>Jebel Hafit Desert Park</t>
  </si>
  <si>
    <t>CF Main Exhibitions</t>
  </si>
  <si>
    <t>CF Art Residenecy</t>
  </si>
  <si>
    <t>Bait Al Oud Site</t>
  </si>
  <si>
    <t>Bait Al Oud</t>
  </si>
  <si>
    <t>FM - Burj Um Al Hoson</t>
  </si>
  <si>
    <t>DCT - Technology Department</t>
  </si>
  <si>
    <t>Al Maqta'a Museum</t>
  </si>
  <si>
    <t>Culture Site Management -Central</t>
  </si>
  <si>
    <t>Tangible Heritage Operations.</t>
  </si>
  <si>
    <t>Archaeology</t>
  </si>
  <si>
    <t>Conservation</t>
  </si>
  <si>
    <t>Historic Buildings &amp; Landscapes</t>
  </si>
  <si>
    <t>Modern Heritage</t>
  </si>
  <si>
    <t>World Heritage Management</t>
  </si>
  <si>
    <t>Development Control &amp; Documentation</t>
  </si>
  <si>
    <t>DCT - Culture Sector Marketing Department</t>
  </si>
  <si>
    <t>Abu Dhabi Art</t>
  </si>
  <si>
    <t>Bait Al Gahwa</t>
  </si>
  <si>
    <t>Al Hosn Festival</t>
  </si>
  <si>
    <t>CS - Marketing Ageny</t>
  </si>
  <si>
    <t>Abu Dhabi Culture Site/App</t>
  </si>
  <si>
    <t>CPD Maritime Festival</t>
  </si>
  <si>
    <t>Abu Dhabi Culture Digital Platform Expansion</t>
  </si>
  <si>
    <t>DCT - Intangible Cultural Heritage Department</t>
  </si>
  <si>
    <t>Oral History Protection</t>
  </si>
  <si>
    <t>Intangible Heritage Operations</t>
  </si>
  <si>
    <t>UNESCO Heritage Elements</t>
  </si>
  <si>
    <t>Abu Dhabi Artisans Registeration</t>
  </si>
  <si>
    <t>Artisan Training Programme</t>
  </si>
  <si>
    <t>Handicraft Retail Implementation</t>
  </si>
  <si>
    <t>Intangible Culture Heritage Elements</t>
  </si>
  <si>
    <t>Interpretation of and Public Engagement with ICH elements</t>
  </si>
  <si>
    <t>Traditional Performing Art Bands Certification Programme</t>
  </si>
  <si>
    <t>DCT - Culture Programming Department</t>
  </si>
  <si>
    <t>Music Programmes</t>
  </si>
  <si>
    <t>Abu Dhabi Classics</t>
  </si>
  <si>
    <t>Special Programmes</t>
  </si>
  <si>
    <t>Umsiyat</t>
  </si>
  <si>
    <t>Sounds of the UAE</t>
  </si>
  <si>
    <t>Traditional Handicrafts</t>
  </si>
  <si>
    <t>Event- Sheikh Zayed Heritage Festival</t>
  </si>
  <si>
    <t>Gahwa Championship</t>
  </si>
  <si>
    <t>Education &amp; Outreach Operations</t>
  </si>
  <si>
    <t>Talent Development Programme</t>
  </si>
  <si>
    <t>LM - Library Programmes</t>
  </si>
  <si>
    <t>Little Writer in Big Book</t>
  </si>
  <si>
    <t>Creative Writer</t>
  </si>
  <si>
    <t>Manuscripts Conference</t>
  </si>
  <si>
    <t>NL Operations</t>
  </si>
  <si>
    <t>Content Acquisitions</t>
  </si>
  <si>
    <t>Library Mgmt. Technical Services</t>
  </si>
  <si>
    <t>HH.Sheikh Mansoor Bin Zayed</t>
  </si>
  <si>
    <t>Executive Management (Operation )</t>
  </si>
  <si>
    <t>DCT - Internal Audit Office</t>
  </si>
  <si>
    <t>Tendering &amp; Project Control</t>
  </si>
  <si>
    <t>Legal operating Cost</t>
  </si>
  <si>
    <t>CS &amp; PMO - Performance Management Practice Implementation</t>
  </si>
  <si>
    <t>DCT - Data &amp; AI Department</t>
  </si>
  <si>
    <t>BI Research</t>
  </si>
  <si>
    <t>DCT - Business Excellence and Continuity Department</t>
  </si>
  <si>
    <t>CE Business Resillience</t>
  </si>
  <si>
    <t>-</t>
  </si>
  <si>
    <t>DCT - Creative, Social, &amp; Digital Department</t>
  </si>
  <si>
    <t>Brand Operations</t>
  </si>
  <si>
    <t>Digital Operations</t>
  </si>
  <si>
    <t>Destinations Marketing China</t>
  </si>
  <si>
    <t>Saddiyat Island</t>
  </si>
  <si>
    <t>Media Event-N</t>
  </si>
  <si>
    <t>Public Relations - Executive Office</t>
  </si>
  <si>
    <t>Sector Management</t>
  </si>
  <si>
    <t>UAE Jiu Jitsu Federation</t>
  </si>
  <si>
    <t>Media Services</t>
  </si>
  <si>
    <t>Starzplay UFC</t>
  </si>
  <si>
    <t>Global Brand Ambassador Tier 1</t>
  </si>
  <si>
    <t>Licensing Planning and Regulation</t>
  </si>
  <si>
    <t>Compliance &amp; Quality Monitoring</t>
  </si>
  <si>
    <t>BSS - Executive Office</t>
  </si>
  <si>
    <t>Finance Operations</t>
  </si>
  <si>
    <t>HR operating Cost</t>
  </si>
  <si>
    <t>Corporate Social Responsibility</t>
  </si>
  <si>
    <t>General Services Operations</t>
  </si>
  <si>
    <t>FM Al Bahia Park Library</t>
  </si>
  <si>
    <t>FM Al Mirfa Library</t>
  </si>
  <si>
    <t>FM Al Muwaiji Villa</t>
  </si>
  <si>
    <t>FM Al Wathba Library</t>
  </si>
  <si>
    <t>FM Delma Facilities (Villa 1 &amp; Villa 2)</t>
  </si>
  <si>
    <t>Khalifa Park Library</t>
  </si>
  <si>
    <t>FM Nation Tower</t>
  </si>
  <si>
    <t>FM National Archive</t>
  </si>
  <si>
    <t>FM Qasr Al Watan</t>
  </si>
  <si>
    <t>FM Rumaliah Complex</t>
  </si>
  <si>
    <t>FM Archaeologist Accommodation</t>
  </si>
  <si>
    <t>Zayed Central Library (DCT HQ AAN)</t>
  </si>
  <si>
    <t>FM Qasr Al Manhal</t>
  </si>
  <si>
    <t>FM Falaj Hazza Villa</t>
  </si>
  <si>
    <t>FM - Vehicle Management</t>
  </si>
  <si>
    <t>FMGS Operations</t>
  </si>
  <si>
    <t>BSS Procurement</t>
  </si>
  <si>
    <t>Process Improvement SM</t>
  </si>
  <si>
    <t>IT Security</t>
  </si>
  <si>
    <t>Technical Engineering</t>
  </si>
  <si>
    <t>Cyber Security-NC</t>
  </si>
  <si>
    <t>DCT - Tourism Sector Management Office</t>
  </si>
  <si>
    <t>Investment-Investors Pitch Book</t>
  </si>
  <si>
    <t>WTTC Membership</t>
  </si>
  <si>
    <t>TTMD Manpower</t>
  </si>
  <si>
    <t>DCT - Visitor Experience Department</t>
  </si>
  <si>
    <t>Exhibition - IMEX, Frankfurt</t>
  </si>
  <si>
    <t>Business Development - Convention &amp; Exhibition</t>
  </si>
  <si>
    <t>MICE Destination Awareness</t>
  </si>
  <si>
    <t>Business Development - Meeting &amp; Incentives</t>
  </si>
  <si>
    <t>Ultimate Fighting Championship - UFC</t>
  </si>
  <si>
    <t>T10 League - Cricket Tournament</t>
  </si>
  <si>
    <t>DCT / Miral Joint Venture</t>
  </si>
  <si>
    <t>Louvre Concert</t>
  </si>
  <si>
    <t>AUH Comedy Week</t>
  </si>
  <si>
    <t>Abu Dhabi Destination</t>
  </si>
  <si>
    <t>Aviation</t>
  </si>
  <si>
    <t>Product Development- Consultants</t>
  </si>
  <si>
    <t>Exhibition - Monaco Yacht Show, Dubai</t>
  </si>
  <si>
    <t>Exhibition - SeaTrade Global, Dubai</t>
  </si>
  <si>
    <t>Exhibition - SeaTrade MED, Dubai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</si>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</sst>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* #,##0.0_-;\-* #,##0.0_-;_-* &quot;-&quot;??_-;_-@_-"/>
    <numFmt numFmtId="166" formatCode="_-* #,##0_-;\-* #,##0_-;_-* &quot;-&quot;??_-;_-@_-"/>
    <numFmt numFmtId="167" formatCode="_(* #,##0_);_(* \(#,##0\);_(* &quot;-&quot;??_);_(@_)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</font>
    <font>
      <sz val="12"/>
      <color rgb="FFFF000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/>
      </patternFill>
    </fill>
    <fill>
      <patternFill patternType="solid">
        <fgColor rgb="FFC0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57">
    <xf numFmtId="0" fontId="0" fillId="0" borderId="0" xfId="0"/>
    <xf numFmtId="0" fontId="5" fillId="2" borderId="0" xfId="0" applyFont="1" applyFill="1" applyBorder="1"/>
    <xf numFmtId="0" fontId="5" fillId="2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164" fontId="0" fillId="3" borderId="3" xfId="1" applyNumberFormat="1" applyFont="1" applyFill="1" applyBorder="1"/>
    <xf numFmtId="0" fontId="0" fillId="4" borderId="4" xfId="0" applyFont="1" applyFill="1" applyBorder="1"/>
    <xf numFmtId="164" fontId="0" fillId="4" borderId="4" xfId="1" applyNumberFormat="1" applyFont="1" applyFill="1" applyBorder="1"/>
    <xf numFmtId="0" fontId="0" fillId="3" borderId="4" xfId="0" applyFont="1" applyFill="1" applyBorder="1"/>
    <xf numFmtId="164" fontId="0" fillId="3" borderId="4" xfId="1" applyNumberFormat="1" applyFont="1" applyFill="1" applyBorder="1"/>
    <xf numFmtId="0" fontId="6" fillId="5" borderId="1" xfId="0" applyFont="1" applyFill="1" applyBorder="1"/>
    <xf numFmtId="166" fontId="0" fillId="0" borderId="0" xfId="1" applyNumberFormat="1" applyFont="1"/>
    <xf numFmtId="165" fontId="0" fillId="3" borderId="3" xfId="1" applyNumberFormat="1" applyFont="1" applyFill="1" applyBorder="1"/>
    <xf numFmtId="166" fontId="7" fillId="0" borderId="0" xfId="1" applyNumberFormat="1" applyFont="1"/>
    <xf numFmtId="0" fontId="1" fillId="0" borderId="0" xfId="2"/>
    <xf numFmtId="167" fontId="4" fillId="0" borderId="0" xfId="3" applyNumberFormat="1" applyFont="1"/>
    <xf numFmtId="0" fontId="1" fillId="0" borderId="0" xfId="2" applyAlignment="1">
      <alignment wrapText="1"/>
    </xf>
    <xf numFmtId="0" fontId="8" fillId="6" borderId="5" xfId="2" applyFont="1" applyFill="1" applyBorder="1" applyAlignment="1">
      <alignment horizontal="center" vertical="center" wrapText="1"/>
    </xf>
    <xf numFmtId="16" fontId="9" fillId="7" borderId="5" xfId="2" applyNumberFormat="1" applyFont="1" applyFill="1" applyBorder="1" applyAlignment="1">
      <alignment horizontal="center" vertical="center" wrapText="1"/>
    </xf>
    <xf numFmtId="0" fontId="2" fillId="8" borderId="5" xfId="2" applyFont="1" applyFill="1" applyBorder="1" applyAlignment="1">
      <alignment horizontal="center" vertical="center" wrapText="1"/>
    </xf>
    <xf numFmtId="0" fontId="8" fillId="9" borderId="5" xfId="2" applyFont="1" applyFill="1" applyBorder="1" applyAlignment="1">
      <alignment horizontal="center" vertical="center" wrapText="1"/>
    </xf>
    <xf numFmtId="0" fontId="1" fillId="0" borderId="5" xfId="2" applyBorder="1" applyAlignment="1">
      <alignment horizontal="left" vertical="top"/>
    </xf>
    <xf numFmtId="0" fontId="1" fillId="0" borderId="5" xfId="2" applyBorder="1" applyAlignment="1">
      <alignment horizontal="center" vertical="top"/>
    </xf>
    <xf numFmtId="0" fontId="1" fillId="0" borderId="5" xfId="2" applyBorder="1" applyAlignment="1">
      <alignment horizontal="center" vertical="center"/>
    </xf>
    <xf numFmtId="167" fontId="1" fillId="0" borderId="5" xfId="2" applyNumberFormat="1" applyBorder="1" applyAlignment="1">
      <alignment horizontal="left" vertical="top"/>
    </xf>
    <xf numFmtId="167" fontId="1" fillId="0" borderId="6" xfId="2" applyNumberFormat="1" applyBorder="1" applyAlignment="1">
      <alignment horizontal="left" vertical="top"/>
    </xf>
    <xf numFmtId="167" fontId="1" fillId="0" borderId="5" xfId="3" applyNumberFormat="1" applyFont="1" applyFill="1" applyBorder="1" applyAlignment="1">
      <alignment horizontal="left" vertical="top"/>
    </xf>
    <xf numFmtId="167" fontId="0" fillId="0" borderId="0" xfId="3" applyNumberFormat="1" applyFont="1"/>
    <xf numFmtId="167" fontId="1" fillId="0" borderId="0" xfId="2" applyNumberFormat="1"/>
    <xf numFmtId="0" fontId="1" fillId="0" borderId="5" xfId="2" applyBorder="1" applyAlignment="1">
      <alignment horizontal="left" vertical="center"/>
    </xf>
    <xf numFmtId="0" fontId="9" fillId="0" borderId="5" xfId="2" applyFont="1" applyBorder="1" applyAlignment="1">
      <alignment horizontal="center" vertical="top"/>
    </xf>
    <xf numFmtId="0" fontId="10" fillId="0" borderId="7" xfId="2" applyFont="1" applyBorder="1" applyAlignment="1">
      <alignment horizontal="left" vertical="center"/>
    </xf>
    <xf numFmtId="167" fontId="3" fillId="0" borderId="5" xfId="2" applyNumberFormat="1" applyFont="1" applyBorder="1" applyAlignment="1">
      <alignment horizontal="left" vertical="top"/>
    </xf>
    <xf numFmtId="0" fontId="3" fillId="0" borderId="5" xfId="2" applyFont="1" applyBorder="1" applyAlignment="1">
      <alignment horizontal="center" vertical="top"/>
    </xf>
    <xf numFmtId="0" fontId="2" fillId="0" borderId="5" xfId="2" applyFont="1" applyBorder="1" applyAlignment="1">
      <alignment horizontal="left" vertical="top"/>
    </xf>
    <xf numFmtId="0" fontId="2" fillId="0" borderId="5" xfId="2" applyFont="1" applyBorder="1" applyAlignment="1">
      <alignment horizontal="center" vertical="top"/>
    </xf>
    <xf numFmtId="0" fontId="2" fillId="0" borderId="5" xfId="2" applyFont="1" applyBorder="1" applyAlignment="1">
      <alignment horizontal="center" vertical="center"/>
    </xf>
    <xf numFmtId="167" fontId="2" fillId="0" borderId="6" xfId="2" applyNumberFormat="1" applyFont="1" applyBorder="1" applyAlignment="1">
      <alignment horizontal="left" vertical="top"/>
    </xf>
    <xf numFmtId="167" fontId="2" fillId="0" borderId="5" xfId="3" applyNumberFormat="1" applyFont="1" applyFill="1" applyBorder="1" applyAlignment="1">
      <alignment horizontal="left" vertical="top"/>
    </xf>
    <xf numFmtId="167" fontId="11" fillId="0" borderId="5" xfId="2" applyNumberFormat="1" applyFont="1" applyBorder="1" applyAlignment="1">
      <alignment horizontal="left" vertical="top"/>
    </xf>
    <xf numFmtId="167" fontId="1" fillId="0" borderId="0" xfId="2" applyNumberFormat="1" applyAlignment="1">
      <alignment horizontal="left" vertical="top"/>
    </xf>
    <xf numFmtId="2" fontId="1" fillId="0" borderId="5" xfId="2" applyNumberFormat="1" applyBorder="1" applyAlignment="1">
      <alignment horizontal="center" vertical="top"/>
    </xf>
    <xf numFmtId="167" fontId="3" fillId="0" borderId="5" xfId="3" applyNumberFormat="1" applyFont="1" applyFill="1" applyBorder="1" applyAlignment="1">
      <alignment horizontal="left" vertical="top"/>
    </xf>
    <xf numFmtId="0" fontId="1" fillId="0" borderId="5" xfId="2" applyBorder="1"/>
    <xf numFmtId="167" fontId="9" fillId="0" borderId="5" xfId="4" applyNumberFormat="1" applyFont="1" applyFill="1" applyBorder="1" applyAlignment="1">
      <alignment horizontal="right"/>
    </xf>
    <xf numFmtId="167" fontId="13" fillId="0" borderId="5" xfId="3" applyNumberFormat="1" applyFont="1" applyFill="1" applyBorder="1" applyAlignment="1" applyProtection="1">
      <alignment horizontal="left"/>
      <protection locked="0"/>
    </xf>
    <xf numFmtId="0" fontId="3" fillId="0" borderId="5" xfId="2" applyFont="1" applyBorder="1" applyAlignment="1">
      <alignment horizontal="left" vertical="top"/>
    </xf>
    <xf numFmtId="167" fontId="9" fillId="0" borderId="5" xfId="5" applyNumberFormat="1" applyFont="1" applyFill="1" applyBorder="1" applyAlignment="1">
      <alignment horizontal="right"/>
    </xf>
    <xf numFmtId="167" fontId="2" fillId="0" borderId="5" xfId="2" applyNumberFormat="1" applyFont="1" applyBorder="1" applyAlignment="1">
      <alignment horizontal="left" vertical="top"/>
    </xf>
    <xf numFmtId="0" fontId="1" fillId="3" borderId="3" xfId="2" applyFill="1" applyBorder="1"/>
    <xf numFmtId="1" fontId="10" fillId="0" borderId="5" xfId="2" applyNumberFormat="1" applyFont="1" applyBorder="1" applyAlignment="1">
      <alignment horizontal="center" vertical="center"/>
    </xf>
    <xf numFmtId="0" fontId="10" fillId="0" borderId="5" xfId="2" applyFont="1" applyBorder="1" applyAlignment="1">
      <alignment horizontal="left" vertical="center"/>
    </xf>
    <xf numFmtId="0" fontId="1" fillId="0" borderId="5" xfId="2" applyBorder="1" applyAlignment="1">
      <alignment horizontal="center"/>
    </xf>
    <xf numFmtId="0" fontId="2" fillId="0" borderId="5" xfId="2" applyFont="1" applyBorder="1" applyAlignment="1">
      <alignment horizontal="left" vertical="center"/>
    </xf>
    <xf numFmtId="167" fontId="4" fillId="0" borderId="5" xfId="2" applyNumberFormat="1" applyFont="1" applyBorder="1" applyAlignment="1">
      <alignment horizontal="left" vertical="top"/>
    </xf>
    <xf numFmtId="0" fontId="1" fillId="0" borderId="0" xfId="2" applyAlignment="1">
      <alignment horizontal="center" vertical="center" wrapText="1"/>
    </xf>
    <xf numFmtId="167" fontId="0" fillId="0" borderId="0" xfId="3" applyNumberFormat="1" applyFont="1" applyAlignment="1">
      <alignment horizontal="center" vertical="center" wrapText="1"/>
    </xf>
  </cellXfs>
  <cellStyles count="6">
    <cellStyle name="Comma" xfId="1" builtinId="3"/>
    <cellStyle name="Comma 2" xfId="3" xr:uid="{85A2D409-F1BC-41BE-8BB7-84207E278FB0}"/>
    <cellStyle name="Comma 5" xfId="5" xr:uid="{470254B4-6F0A-4465-9F89-1F22EAFD7298}"/>
    <cellStyle name="Comma 7" xfId="4" xr:uid="{647C2E5A-AB9F-4F64-8C6B-20C2667E000E}"/>
    <cellStyle name="Normal" xfId="0" builtinId="0"/>
    <cellStyle name="Normal 2" xfId="2" xr:uid="{E46410A3-6085-4BE5-8746-B3B4EC4203B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20843\AppData\Local\Microsoft\Windows\INetCache\Content.Outlook\0X2RS8QG\2026%20Budget%20with%20CF%20(002).xlsx" TargetMode="External"/><Relationship Id="rId1" Type="http://schemas.openxmlformats.org/officeDocument/2006/relationships/externalLinkPath" Target="file:///C:\Users\ME20843\AppData\Local\Microsoft\Windows\INetCache\Content.Outlook\0X2RS8QG\2026%20Budget%20with%20CF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N2">
            <v>1574767</v>
          </cell>
          <cell r="O2">
            <v>10563366.530000001</v>
          </cell>
          <cell r="P2">
            <v>1255725888.5401249</v>
          </cell>
          <cell r="Q2">
            <v>555839571.34920752</v>
          </cell>
          <cell r="R2">
            <v>441008643.54824054</v>
          </cell>
          <cell r="S2">
            <v>499726246.52885282</v>
          </cell>
          <cell r="T2">
            <v>251083270.22406355</v>
          </cell>
          <cell r="U2">
            <v>327748570.72564995</v>
          </cell>
          <cell r="V2">
            <v>332081080.93620235</v>
          </cell>
          <cell r="W2">
            <v>486108650.94104481</v>
          </cell>
          <cell r="X2">
            <v>492293809.79035461</v>
          </cell>
          <cell r="Y2">
            <v>486378265.12143046</v>
          </cell>
          <cell r="AB2">
            <v>5365074943.8626719</v>
          </cell>
        </row>
        <row r="3">
          <cell r="B3" t="str">
            <v>Com</v>
          </cell>
          <cell r="N3">
            <v>46048</v>
          </cell>
          <cell r="O3">
            <v>46079</v>
          </cell>
          <cell r="P3">
            <v>46107</v>
          </cell>
          <cell r="Q3">
            <v>46138</v>
          </cell>
          <cell r="R3">
            <v>46168</v>
          </cell>
          <cell r="S3">
            <v>46199</v>
          </cell>
          <cell r="T3">
            <v>46229</v>
          </cell>
          <cell r="U3">
            <v>46260</v>
          </cell>
          <cell r="V3">
            <v>46291</v>
          </cell>
          <cell r="W3">
            <v>46321</v>
          </cell>
          <cell r="X3">
            <v>46352</v>
          </cell>
          <cell r="Y3">
            <v>46382</v>
          </cell>
          <cell r="AB3" t="str">
            <v>Revised CF after Budget Transfer</v>
          </cell>
        </row>
        <row r="4">
          <cell r="B4" t="str">
            <v>45101954511000666Activation&amp;Prog-N1422401200104</v>
          </cell>
          <cell r="N4">
            <v>0</v>
          </cell>
          <cell r="O4">
            <v>4460</v>
          </cell>
          <cell r="P4">
            <v>0</v>
          </cell>
          <cell r="Q4">
            <v>0</v>
          </cell>
          <cell r="R4">
            <v>0</v>
          </cell>
          <cell r="S4">
            <v>245540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300000</v>
          </cell>
          <cell r="Y4">
            <v>450000</v>
          </cell>
          <cell r="AB4">
            <v>959000</v>
          </cell>
        </row>
        <row r="5">
          <cell r="B5" t="str">
            <v>45101954511000666Mission &amp; Travel-N1423821200104</v>
          </cell>
          <cell r="N5">
            <v>0</v>
          </cell>
          <cell r="O5">
            <v>233750</v>
          </cell>
          <cell r="P5">
            <v>0</v>
          </cell>
          <cell r="Q5">
            <v>161622</v>
          </cell>
          <cell r="R5">
            <v>153500</v>
          </cell>
          <cell r="S5">
            <v>77000</v>
          </cell>
          <cell r="T5">
            <v>0</v>
          </cell>
          <cell r="U5">
            <v>0</v>
          </cell>
          <cell r="V5">
            <v>0</v>
          </cell>
          <cell r="W5">
            <v>125000</v>
          </cell>
          <cell r="X5">
            <v>95000</v>
          </cell>
          <cell r="Y5">
            <v>0</v>
          </cell>
          <cell r="AB5">
            <v>1245872</v>
          </cell>
        </row>
        <row r="6">
          <cell r="B6" t="str">
            <v>45101954511000666Freelancers-N1424521200104</v>
          </cell>
          <cell r="N6">
            <v>0</v>
          </cell>
          <cell r="O6">
            <v>15000</v>
          </cell>
          <cell r="P6">
            <v>15000</v>
          </cell>
          <cell r="Q6">
            <v>30000</v>
          </cell>
          <cell r="R6">
            <v>15000</v>
          </cell>
          <cell r="S6">
            <v>15000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AB6">
            <v>75500</v>
          </cell>
        </row>
        <row r="7">
          <cell r="B7" t="str">
            <v>45101954511000892Freelancers-N2424521200104</v>
          </cell>
          <cell r="N7">
            <v>0</v>
          </cell>
          <cell r="O7">
            <v>0</v>
          </cell>
          <cell r="P7">
            <v>15000</v>
          </cell>
          <cell r="Q7">
            <v>45000</v>
          </cell>
          <cell r="R7">
            <v>25000</v>
          </cell>
          <cell r="S7">
            <v>25000</v>
          </cell>
          <cell r="T7">
            <v>25000</v>
          </cell>
          <cell r="U7">
            <v>25000</v>
          </cell>
          <cell r="V7">
            <v>35000</v>
          </cell>
          <cell r="W7">
            <v>35000</v>
          </cell>
          <cell r="X7">
            <v>35000</v>
          </cell>
          <cell r="Y7">
            <v>35000</v>
          </cell>
          <cell r="AB7">
            <v>315500</v>
          </cell>
        </row>
        <row r="8">
          <cell r="B8" t="str">
            <v>45101954511000892Event Management-N2422401200104</v>
          </cell>
          <cell r="N8">
            <v>0</v>
          </cell>
          <cell r="O8">
            <v>0</v>
          </cell>
          <cell r="P8">
            <v>0</v>
          </cell>
          <cell r="Q8">
            <v>158938</v>
          </cell>
          <cell r="R8">
            <v>0</v>
          </cell>
          <cell r="S8">
            <v>0</v>
          </cell>
          <cell r="T8">
            <v>0</v>
          </cell>
          <cell r="U8">
            <v>8000</v>
          </cell>
          <cell r="V8">
            <v>0</v>
          </cell>
          <cell r="W8">
            <v>0</v>
          </cell>
          <cell r="X8">
            <v>7000</v>
          </cell>
          <cell r="Y8">
            <v>9000</v>
          </cell>
          <cell r="AB8">
            <v>182938</v>
          </cell>
        </row>
        <row r="9">
          <cell r="B9" t="str">
            <v>45101954511000892Edit &amp; Copywrite-N2421115200104</v>
          </cell>
          <cell r="N9">
            <v>0</v>
          </cell>
          <cell r="O9">
            <v>0</v>
          </cell>
          <cell r="P9">
            <v>0</v>
          </cell>
          <cell r="Q9">
            <v>68000</v>
          </cell>
          <cell r="R9">
            <v>4000</v>
          </cell>
          <cell r="S9">
            <v>4000</v>
          </cell>
          <cell r="T9">
            <v>4000</v>
          </cell>
          <cell r="U9">
            <v>4000</v>
          </cell>
          <cell r="V9">
            <v>4000</v>
          </cell>
          <cell r="W9">
            <v>4000</v>
          </cell>
          <cell r="X9">
            <v>4000</v>
          </cell>
          <cell r="Y9">
            <v>4000</v>
          </cell>
          <cell r="AB9">
            <v>100000</v>
          </cell>
        </row>
        <row r="10">
          <cell r="B10" t="str">
            <v>45101954511001251Event Management-N1422401200104</v>
          </cell>
          <cell r="N10">
            <v>0</v>
          </cell>
          <cell r="O10">
            <v>0</v>
          </cell>
          <cell r="P10">
            <v>0</v>
          </cell>
          <cell r="Q10">
            <v>63000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99000</v>
          </cell>
          <cell r="X10">
            <v>0</v>
          </cell>
          <cell r="Y10">
            <v>0</v>
          </cell>
          <cell r="AB10">
            <v>212000</v>
          </cell>
        </row>
        <row r="11">
          <cell r="B11" t="str">
            <v>45191964511000667CampaignProductn-N1422511200104</v>
          </cell>
          <cell r="N11">
            <v>0</v>
          </cell>
          <cell r="O11">
            <v>0</v>
          </cell>
          <cell r="P11">
            <v>0</v>
          </cell>
          <cell r="Q11">
            <v>18000</v>
          </cell>
          <cell r="R11">
            <v>100000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32000</v>
          </cell>
          <cell r="AB11">
            <v>150000</v>
          </cell>
        </row>
        <row r="12">
          <cell r="B12" t="str">
            <v>45191964511000685PR&amp;MediaCoverage-N1424781200104</v>
          </cell>
          <cell r="N12">
            <v>0</v>
          </cell>
          <cell r="O12">
            <v>0</v>
          </cell>
          <cell r="P12">
            <v>0</v>
          </cell>
          <cell r="Q12">
            <v>298080</v>
          </cell>
          <cell r="R12">
            <v>74520</v>
          </cell>
          <cell r="S12">
            <v>74520</v>
          </cell>
          <cell r="T12">
            <v>74520</v>
          </cell>
          <cell r="U12">
            <v>74520</v>
          </cell>
          <cell r="V12">
            <v>74520</v>
          </cell>
          <cell r="W12">
            <v>74520</v>
          </cell>
          <cell r="X12">
            <v>74520</v>
          </cell>
          <cell r="Y12">
            <v>173880</v>
          </cell>
          <cell r="AB12">
            <v>993600</v>
          </cell>
        </row>
        <row r="13">
          <cell r="B13" t="str">
            <v>45191964511000695Photo &amp; Video-N424221200104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285000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AB13">
            <v>285000</v>
          </cell>
        </row>
        <row r="14">
          <cell r="B14" t="str">
            <v>45191964511000729PR&amp;MediaCoverage-N1424781200104</v>
          </cell>
          <cell r="N14">
            <v>0</v>
          </cell>
          <cell r="O14">
            <v>0</v>
          </cell>
          <cell r="P14">
            <v>0</v>
          </cell>
          <cell r="Q14">
            <v>115000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AB14">
            <v>290000</v>
          </cell>
        </row>
        <row r="15">
          <cell r="B15" t="str">
            <v>45191964511000730PR&amp;MediaCoverage-N1424781200104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625000</v>
          </cell>
          <cell r="Y15">
            <v>0</v>
          </cell>
          <cell r="AB15">
            <v>625000</v>
          </cell>
        </row>
        <row r="16">
          <cell r="B16" t="str">
            <v>45191964511000769Media Coverage-N1422511200104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1250000</v>
          </cell>
          <cell r="X16">
            <v>0</v>
          </cell>
          <cell r="Y16">
            <v>0</v>
          </cell>
          <cell r="AB16">
            <v>1250000</v>
          </cell>
        </row>
        <row r="17">
          <cell r="B17" t="str">
            <v>45191964511000769PR&amp;MediaCoverage-N1424781200104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600000</v>
          </cell>
          <cell r="W17">
            <v>0</v>
          </cell>
          <cell r="X17">
            <v>0</v>
          </cell>
          <cell r="Y17">
            <v>0</v>
          </cell>
          <cell r="AB17">
            <v>600000</v>
          </cell>
        </row>
        <row r="18">
          <cell r="B18" t="str">
            <v>45191964511000769Offline Ads-N1422511200104</v>
          </cell>
          <cell r="N18">
            <v>0</v>
          </cell>
          <cell r="O18">
            <v>0</v>
          </cell>
          <cell r="P18">
            <v>0</v>
          </cell>
          <cell r="Q18">
            <v>250000</v>
          </cell>
          <cell r="R18">
            <v>250000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AB18">
            <v>500000</v>
          </cell>
        </row>
        <row r="19">
          <cell r="B19" t="str">
            <v>45191964511000886SM Managnt E-E-N1422511200104</v>
          </cell>
          <cell r="N19">
            <v>0</v>
          </cell>
          <cell r="O19">
            <v>0</v>
          </cell>
          <cell r="P19">
            <v>736200</v>
          </cell>
          <cell r="R19">
            <v>736200</v>
          </cell>
          <cell r="S19">
            <v>736200</v>
          </cell>
          <cell r="T19">
            <v>368100</v>
          </cell>
          <cell r="U19">
            <v>368100</v>
          </cell>
          <cell r="V19">
            <v>368100</v>
          </cell>
          <cell r="W19">
            <v>368100</v>
          </cell>
          <cell r="X19">
            <v>368100</v>
          </cell>
          <cell r="Y19">
            <v>1840500</v>
          </cell>
          <cell r="AB19">
            <v>5889600</v>
          </cell>
        </row>
        <row r="20">
          <cell r="B20" t="str">
            <v>45191964511000886Online Ads-N1422511200104</v>
          </cell>
          <cell r="N20">
            <v>0</v>
          </cell>
          <cell r="O20">
            <v>0</v>
          </cell>
          <cell r="P20">
            <v>0</v>
          </cell>
          <cell r="Q20">
            <v>500000</v>
          </cell>
          <cell r="R20">
            <v>0</v>
          </cell>
          <cell r="S20">
            <v>334748</v>
          </cell>
          <cell r="T20">
            <v>0</v>
          </cell>
          <cell r="U20">
            <v>0</v>
          </cell>
          <cell r="V20">
            <v>300000</v>
          </cell>
          <cell r="W20">
            <v>0</v>
          </cell>
          <cell r="X20">
            <v>0</v>
          </cell>
          <cell r="Y20">
            <v>510036</v>
          </cell>
          <cell r="AB20">
            <v>1930416</v>
          </cell>
        </row>
        <row r="21">
          <cell r="B21" t="str">
            <v>45191964511000886SM Prodct&amp;Develp-N1422511200104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750000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AB21">
            <v>750000</v>
          </cell>
        </row>
        <row r="22">
          <cell r="B22" t="str">
            <v>45191964511000886Photo &amp; Video-N1424221200104</v>
          </cell>
          <cell r="N22">
            <v>0</v>
          </cell>
          <cell r="O22">
            <v>0</v>
          </cell>
          <cell r="P22">
            <v>0</v>
          </cell>
          <cell r="Q22">
            <v>250000</v>
          </cell>
          <cell r="R22">
            <v>250000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AB22">
            <v>500000</v>
          </cell>
        </row>
        <row r="23">
          <cell r="B23" t="str">
            <v>45191964511000887Freelancers-N1424521200104</v>
          </cell>
          <cell r="N23">
            <v>0</v>
          </cell>
          <cell r="O23">
            <v>40000</v>
          </cell>
          <cell r="P23">
            <v>21333</v>
          </cell>
          <cell r="Q23">
            <v>41332</v>
          </cell>
          <cell r="R23">
            <v>40000</v>
          </cell>
          <cell r="S23">
            <v>58667</v>
          </cell>
          <cell r="T23">
            <v>58278</v>
          </cell>
          <cell r="U23">
            <v>58278</v>
          </cell>
          <cell r="V23">
            <v>58278</v>
          </cell>
          <cell r="W23">
            <v>58278</v>
          </cell>
          <cell r="X23">
            <v>58278</v>
          </cell>
          <cell r="Y23">
            <v>58278</v>
          </cell>
          <cell r="AB23">
            <v>460500</v>
          </cell>
        </row>
        <row r="24">
          <cell r="B24" t="str">
            <v>45191964511000887Mission &amp; Travel-N1423821200104</v>
          </cell>
          <cell r="N24">
            <v>0</v>
          </cell>
          <cell r="O24">
            <v>41500</v>
          </cell>
          <cell r="P24">
            <v>0</v>
          </cell>
          <cell r="Q24">
            <v>144000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22500</v>
          </cell>
          <cell r="Y24">
            <v>177000</v>
          </cell>
          <cell r="AB24">
            <v>385000</v>
          </cell>
        </row>
        <row r="25">
          <cell r="B25" t="str">
            <v>45191964511000887E-E Ops and Prod-N1421125200104</v>
          </cell>
          <cell r="N25">
            <v>0</v>
          </cell>
          <cell r="O25">
            <v>0</v>
          </cell>
          <cell r="P25">
            <v>0</v>
          </cell>
          <cell r="Q25">
            <v>16000</v>
          </cell>
          <cell r="R25">
            <v>0</v>
          </cell>
          <cell r="S25">
            <v>16000</v>
          </cell>
          <cell r="T25">
            <v>0</v>
          </cell>
          <cell r="U25">
            <v>10000</v>
          </cell>
          <cell r="V25">
            <v>16000</v>
          </cell>
          <cell r="W25">
            <v>16000</v>
          </cell>
          <cell r="X25">
            <v>16000</v>
          </cell>
          <cell r="Y25">
            <v>10069</v>
          </cell>
          <cell r="AB25">
            <v>100069</v>
          </cell>
        </row>
        <row r="26">
          <cell r="B26" t="str">
            <v>45191964511000887Hospitality-N1424761200104</v>
          </cell>
          <cell r="N26">
            <v>0</v>
          </cell>
          <cell r="O26">
            <v>61333</v>
          </cell>
          <cell r="P26">
            <v>0</v>
          </cell>
          <cell r="Q26">
            <v>8667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30000</v>
          </cell>
          <cell r="Y26">
            <v>0</v>
          </cell>
          <cell r="AB26">
            <v>100000</v>
          </cell>
        </row>
        <row r="27">
          <cell r="B27" t="str">
            <v>45191964511000890Brand Management-N1422511200104</v>
          </cell>
          <cell r="N27">
            <v>0</v>
          </cell>
          <cell r="O27">
            <v>12555</v>
          </cell>
          <cell r="P27">
            <v>79147.5</v>
          </cell>
          <cell r="Q27">
            <v>15877.5</v>
          </cell>
          <cell r="R27">
            <v>37745</v>
          </cell>
          <cell r="S27">
            <v>25190</v>
          </cell>
          <cell r="T27">
            <v>20263</v>
          </cell>
          <cell r="U27">
            <v>20263</v>
          </cell>
          <cell r="V27">
            <v>20263</v>
          </cell>
          <cell r="W27">
            <v>20263</v>
          </cell>
          <cell r="X27">
            <v>20263</v>
          </cell>
          <cell r="Y27">
            <v>9000</v>
          </cell>
          <cell r="AB27">
            <v>371330</v>
          </cell>
        </row>
        <row r="28">
          <cell r="B28" t="str">
            <v>45191964511001500CampaignProductn-N422511200104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500000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AB28">
            <v>500000</v>
          </cell>
        </row>
        <row r="29">
          <cell r="B29" t="str">
            <v>45191974511000681Mission &amp; Travel-N1423821200104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39000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24000</v>
          </cell>
          <cell r="X29">
            <v>37000</v>
          </cell>
          <cell r="Y29">
            <v>0</v>
          </cell>
          <cell r="AB29">
            <v>100000</v>
          </cell>
        </row>
        <row r="30">
          <cell r="B30" t="str">
            <v>45191974511000727Sponsorship Fees-N1424811200104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2500000</v>
          </cell>
          <cell r="W30">
            <v>0</v>
          </cell>
          <cell r="X30">
            <v>0</v>
          </cell>
          <cell r="Y30">
            <v>0</v>
          </cell>
          <cell r="AB30">
            <v>2500000</v>
          </cell>
        </row>
        <row r="31">
          <cell r="B31" t="str">
            <v>45191974511000728Freelancers-N424521200104</v>
          </cell>
          <cell r="N31">
            <v>0</v>
          </cell>
          <cell r="O31">
            <v>36500</v>
          </cell>
          <cell r="P31">
            <v>36500</v>
          </cell>
          <cell r="Q31">
            <v>73000</v>
          </cell>
          <cell r="R31">
            <v>36500</v>
          </cell>
          <cell r="S31">
            <v>36500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AB31">
            <v>219000</v>
          </cell>
        </row>
        <row r="32">
          <cell r="B32" t="str">
            <v>45191974511000765Print Runs-N1424791200104</v>
          </cell>
          <cell r="N32">
            <v>0</v>
          </cell>
          <cell r="O32">
            <v>0</v>
          </cell>
          <cell r="P32">
            <v>0</v>
          </cell>
          <cell r="Q32">
            <v>100000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AB32">
            <v>100000</v>
          </cell>
        </row>
        <row r="33">
          <cell r="B33" t="str">
            <v>45191974511000765Research&amp;Survey-N1423411200104</v>
          </cell>
          <cell r="N33">
            <v>0</v>
          </cell>
          <cell r="O33">
            <v>0</v>
          </cell>
          <cell r="P33">
            <v>0</v>
          </cell>
          <cell r="Q33">
            <v>21500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71580</v>
          </cell>
          <cell r="Y33">
            <v>0</v>
          </cell>
          <cell r="AB33">
            <v>93080</v>
          </cell>
        </row>
        <row r="34">
          <cell r="B34" t="str">
            <v>45191974511000766CampaignProductn-N1422511200104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200000</v>
          </cell>
          <cell r="V34">
            <v>0</v>
          </cell>
          <cell r="W34">
            <v>0</v>
          </cell>
          <cell r="X34">
            <v>200000</v>
          </cell>
          <cell r="Y34">
            <v>0</v>
          </cell>
          <cell r="AB34">
            <v>400000</v>
          </cell>
        </row>
        <row r="35">
          <cell r="B35" t="str">
            <v>45191974511000766Awards &amp; Prizes-N1424231200104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45000</v>
          </cell>
          <cell r="W35">
            <v>0</v>
          </cell>
          <cell r="X35">
            <v>0</v>
          </cell>
          <cell r="Y35">
            <v>0</v>
          </cell>
          <cell r="AB35">
            <v>45000</v>
          </cell>
        </row>
        <row r="36">
          <cell r="B36" t="str">
            <v>45191974511000882Sponsorship Fees-N1424811200104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200000</v>
          </cell>
          <cell r="T36">
            <v>0</v>
          </cell>
          <cell r="U36">
            <v>0</v>
          </cell>
          <cell r="V36">
            <v>340000</v>
          </cell>
          <cell r="W36">
            <v>0</v>
          </cell>
          <cell r="X36">
            <v>340000</v>
          </cell>
          <cell r="Y36">
            <v>0</v>
          </cell>
          <cell r="AB36">
            <v>880000</v>
          </cell>
        </row>
        <row r="37">
          <cell r="B37" t="str">
            <v>45191974511001501Research Grants-N423411200104</v>
          </cell>
          <cell r="N37">
            <v>0</v>
          </cell>
          <cell r="O37">
            <v>0</v>
          </cell>
          <cell r="P37">
            <v>4000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446000</v>
          </cell>
          <cell r="AB37">
            <v>450000</v>
          </cell>
        </row>
        <row r="38">
          <cell r="B38" t="str">
            <v>45191974511001501Print Runs-N424791200104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130000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AB38">
            <v>130000</v>
          </cell>
        </row>
        <row r="39">
          <cell r="B39" t="str">
            <v>45191974511001501Editing&amp;Proof-N424791200104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90000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AB39">
            <v>90000</v>
          </cell>
        </row>
        <row r="40">
          <cell r="B40" t="str">
            <v>45191974511001502Management Advice-N2424521200104</v>
          </cell>
          <cell r="N40">
            <v>0</v>
          </cell>
          <cell r="O40">
            <v>0</v>
          </cell>
          <cell r="P40">
            <v>0</v>
          </cell>
          <cell r="Q40">
            <v>225000</v>
          </cell>
          <cell r="R40">
            <v>0</v>
          </cell>
          <cell r="S40">
            <v>425000</v>
          </cell>
          <cell r="T40">
            <v>0</v>
          </cell>
          <cell r="U40">
            <v>750000</v>
          </cell>
          <cell r="V40">
            <v>0</v>
          </cell>
          <cell r="W40">
            <v>120000</v>
          </cell>
          <cell r="X40">
            <v>0</v>
          </cell>
          <cell r="Y40">
            <v>0</v>
          </cell>
          <cell r="AB40">
            <v>1520000</v>
          </cell>
        </row>
        <row r="41">
          <cell r="B41" t="str">
            <v>45191974511001503Print Runs-N424791200104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550000</v>
          </cell>
          <cell r="AB41">
            <v>550000</v>
          </cell>
        </row>
        <row r="42">
          <cell r="B42" t="str">
            <v>45191974511001504Research&amp;Survey-N423411200104</v>
          </cell>
          <cell r="N42">
            <v>0</v>
          </cell>
          <cell r="O42">
            <v>0</v>
          </cell>
          <cell r="P42">
            <v>310000</v>
          </cell>
          <cell r="Q42">
            <v>120000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AB42">
            <v>430000</v>
          </cell>
        </row>
        <row r="43">
          <cell r="B43" t="str">
            <v>45191974511001504Print Runs-N424791200104</v>
          </cell>
          <cell r="N43">
            <v>0</v>
          </cell>
          <cell r="O43">
            <v>0</v>
          </cell>
          <cell r="P43">
            <v>0</v>
          </cell>
          <cell r="Q43">
            <v>100000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AB43">
            <v>100000</v>
          </cell>
        </row>
        <row r="44">
          <cell r="B44" t="str">
            <v>45191994511000291Print Runs-N1424791200104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40000</v>
          </cell>
          <cell r="S44">
            <v>0</v>
          </cell>
          <cell r="T44">
            <v>0</v>
          </cell>
          <cell r="U44">
            <v>38923</v>
          </cell>
          <cell r="V44">
            <v>0</v>
          </cell>
          <cell r="W44">
            <v>35000</v>
          </cell>
          <cell r="X44">
            <v>35000</v>
          </cell>
          <cell r="Y44">
            <v>0</v>
          </cell>
          <cell r="AB44">
            <v>148923</v>
          </cell>
        </row>
        <row r="45">
          <cell r="B45" t="str">
            <v>45191994511000291Hospitality-N1424761200104</v>
          </cell>
          <cell r="N45">
            <v>0</v>
          </cell>
          <cell r="O45">
            <v>0</v>
          </cell>
          <cell r="P45">
            <v>0</v>
          </cell>
          <cell r="Q45">
            <v>36000</v>
          </cell>
          <cell r="R45">
            <v>0</v>
          </cell>
          <cell r="S45">
            <v>6000</v>
          </cell>
          <cell r="T45">
            <v>6000</v>
          </cell>
          <cell r="U45">
            <v>6000</v>
          </cell>
          <cell r="V45">
            <v>0</v>
          </cell>
          <cell r="W45">
            <v>0</v>
          </cell>
          <cell r="X45">
            <v>56000</v>
          </cell>
          <cell r="Y45">
            <v>20000</v>
          </cell>
          <cell r="AB45">
            <v>107500</v>
          </cell>
        </row>
        <row r="46">
          <cell r="B46" t="str">
            <v>45191994511000291Print Permit-N1422951200104</v>
          </cell>
          <cell r="N46">
            <v>0</v>
          </cell>
          <cell r="O46">
            <v>0</v>
          </cell>
          <cell r="P46">
            <v>0</v>
          </cell>
          <cell r="Q46">
            <v>50000</v>
          </cell>
          <cell r="R46">
            <v>0</v>
          </cell>
          <cell r="S46">
            <v>20000</v>
          </cell>
          <cell r="T46">
            <v>0</v>
          </cell>
          <cell r="U46">
            <v>30000</v>
          </cell>
          <cell r="V46">
            <v>0</v>
          </cell>
          <cell r="W46">
            <v>0</v>
          </cell>
          <cell r="X46">
            <v>30000</v>
          </cell>
          <cell r="Y46">
            <v>0</v>
          </cell>
          <cell r="AB46">
            <v>130000</v>
          </cell>
        </row>
        <row r="47">
          <cell r="B47" t="str">
            <v>45191994511000291Activation&amp;Prog-N1422401200104</v>
          </cell>
          <cell r="N47">
            <v>0</v>
          </cell>
          <cell r="O47">
            <v>5000</v>
          </cell>
          <cell r="P47">
            <v>0</v>
          </cell>
          <cell r="Q47">
            <v>20000</v>
          </cell>
          <cell r="R47">
            <v>0</v>
          </cell>
          <cell r="S47">
            <v>0</v>
          </cell>
          <cell r="T47">
            <v>10000</v>
          </cell>
          <cell r="U47">
            <v>0</v>
          </cell>
          <cell r="V47">
            <v>5000</v>
          </cell>
          <cell r="W47">
            <v>0</v>
          </cell>
          <cell r="X47">
            <v>5000</v>
          </cell>
          <cell r="Y47">
            <v>5000</v>
          </cell>
          <cell r="AB47">
            <v>50000</v>
          </cell>
        </row>
        <row r="48">
          <cell r="B48" t="str">
            <v>45191994511000291Editing &amp; Proof-N1424791200104</v>
          </cell>
          <cell r="N48">
            <v>0</v>
          </cell>
          <cell r="O48">
            <v>0</v>
          </cell>
          <cell r="P48">
            <v>0</v>
          </cell>
          <cell r="Q48">
            <v>7000</v>
          </cell>
          <cell r="R48">
            <v>0</v>
          </cell>
          <cell r="S48">
            <v>15000</v>
          </cell>
          <cell r="T48">
            <v>0</v>
          </cell>
          <cell r="U48">
            <v>0</v>
          </cell>
          <cell r="V48">
            <v>8000</v>
          </cell>
          <cell r="W48">
            <v>0</v>
          </cell>
          <cell r="X48">
            <v>0</v>
          </cell>
          <cell r="Y48">
            <v>20000</v>
          </cell>
          <cell r="AB48">
            <v>50000</v>
          </cell>
        </row>
        <row r="49">
          <cell r="B49" t="str">
            <v>45191994511000291Typesetting-N1431114200104</v>
          </cell>
          <cell r="N49">
            <v>0</v>
          </cell>
          <cell r="O49">
            <v>0</v>
          </cell>
          <cell r="P49">
            <v>0</v>
          </cell>
          <cell r="Q49">
            <v>14000</v>
          </cell>
          <cell r="R49">
            <v>0</v>
          </cell>
          <cell r="S49">
            <v>0</v>
          </cell>
          <cell r="T49">
            <v>7500</v>
          </cell>
          <cell r="U49">
            <v>0</v>
          </cell>
          <cell r="V49">
            <v>0</v>
          </cell>
          <cell r="W49">
            <v>8500</v>
          </cell>
          <cell r="X49">
            <v>0</v>
          </cell>
          <cell r="Y49">
            <v>0</v>
          </cell>
          <cell r="AB49">
            <v>30000</v>
          </cell>
        </row>
        <row r="50">
          <cell r="B50" t="str">
            <v>45191994511000291Cover Design-N1424791200104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8100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AB50">
            <v>8100</v>
          </cell>
        </row>
        <row r="51">
          <cell r="B51" t="str">
            <v>45191994511000673Print Permit-N1422951200104</v>
          </cell>
          <cell r="N51">
            <v>0</v>
          </cell>
          <cell r="O51">
            <v>0</v>
          </cell>
          <cell r="P51">
            <v>0</v>
          </cell>
          <cell r="Q51">
            <v>67500</v>
          </cell>
          <cell r="R51">
            <v>54000</v>
          </cell>
          <cell r="S51">
            <v>13500</v>
          </cell>
          <cell r="T51">
            <v>16200</v>
          </cell>
          <cell r="U51">
            <v>24300</v>
          </cell>
          <cell r="V51">
            <v>21600</v>
          </cell>
          <cell r="W51">
            <v>27000</v>
          </cell>
          <cell r="X51">
            <v>37800</v>
          </cell>
          <cell r="Y51">
            <v>58100</v>
          </cell>
          <cell r="AB51">
            <v>320000</v>
          </cell>
        </row>
        <row r="52">
          <cell r="B52" t="str">
            <v>45191994511000673Print Runs-N1424791200104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112500</v>
          </cell>
          <cell r="S52">
            <v>12500</v>
          </cell>
          <cell r="T52">
            <v>15000</v>
          </cell>
          <cell r="U52">
            <v>22500</v>
          </cell>
          <cell r="V52">
            <v>20000</v>
          </cell>
          <cell r="W52">
            <v>25000</v>
          </cell>
          <cell r="X52">
            <v>35000</v>
          </cell>
          <cell r="Y52">
            <v>57500</v>
          </cell>
          <cell r="AB52">
            <v>300000</v>
          </cell>
        </row>
        <row r="53">
          <cell r="B53" t="str">
            <v>45191994511000673Editing &amp; Proof-N1424791200104</v>
          </cell>
          <cell r="N53">
            <v>0</v>
          </cell>
          <cell r="O53">
            <v>0</v>
          </cell>
          <cell r="P53">
            <v>0</v>
          </cell>
          <cell r="Q53">
            <v>22500</v>
          </cell>
          <cell r="R53">
            <v>18000</v>
          </cell>
          <cell r="S53">
            <v>4500</v>
          </cell>
          <cell r="T53">
            <v>5400</v>
          </cell>
          <cell r="U53">
            <v>8100</v>
          </cell>
          <cell r="V53">
            <v>7200</v>
          </cell>
          <cell r="W53">
            <v>9000</v>
          </cell>
          <cell r="X53">
            <v>15300</v>
          </cell>
          <cell r="Y53">
            <v>90000</v>
          </cell>
          <cell r="AB53">
            <v>180000</v>
          </cell>
        </row>
        <row r="54">
          <cell r="B54" t="str">
            <v>45191994511000673Typesetting-N1431114200104</v>
          </cell>
          <cell r="N54">
            <v>0</v>
          </cell>
          <cell r="O54">
            <v>0</v>
          </cell>
          <cell r="P54">
            <v>0</v>
          </cell>
          <cell r="Q54">
            <v>11250</v>
          </cell>
          <cell r="R54">
            <v>9000</v>
          </cell>
          <cell r="S54">
            <v>2250</v>
          </cell>
          <cell r="T54">
            <v>2700</v>
          </cell>
          <cell r="U54">
            <v>4050</v>
          </cell>
          <cell r="V54">
            <v>3600</v>
          </cell>
          <cell r="W54">
            <v>4500</v>
          </cell>
          <cell r="X54">
            <v>6300</v>
          </cell>
          <cell r="Y54">
            <v>1350</v>
          </cell>
          <cell r="AB54">
            <v>45000</v>
          </cell>
        </row>
        <row r="55">
          <cell r="B55" t="str">
            <v>45191994511000673Cover Design-N1424791200104</v>
          </cell>
          <cell r="N55">
            <v>0</v>
          </cell>
          <cell r="O55">
            <v>0</v>
          </cell>
          <cell r="P55">
            <v>0</v>
          </cell>
          <cell r="Q55">
            <v>4500</v>
          </cell>
          <cell r="R55">
            <v>3600</v>
          </cell>
          <cell r="S55">
            <v>900</v>
          </cell>
          <cell r="T55">
            <v>1080</v>
          </cell>
          <cell r="U55">
            <v>1620</v>
          </cell>
          <cell r="V55">
            <v>1440</v>
          </cell>
          <cell r="W55">
            <v>1800</v>
          </cell>
          <cell r="X55">
            <v>2520</v>
          </cell>
          <cell r="Y55">
            <v>540</v>
          </cell>
          <cell r="AB55">
            <v>18000</v>
          </cell>
        </row>
        <row r="56">
          <cell r="B56" t="str">
            <v>45191994511000677Translation-N1424701200104</v>
          </cell>
          <cell r="N56">
            <v>0</v>
          </cell>
          <cell r="O56">
            <v>0</v>
          </cell>
          <cell r="P56">
            <v>0</v>
          </cell>
          <cell r="Q56">
            <v>257110</v>
          </cell>
          <cell r="R56">
            <v>275475</v>
          </cell>
          <cell r="S56">
            <v>91825</v>
          </cell>
          <cell r="T56">
            <v>55095</v>
          </cell>
          <cell r="U56">
            <v>55095</v>
          </cell>
          <cell r="V56">
            <v>275475</v>
          </cell>
          <cell r="W56">
            <v>275475</v>
          </cell>
          <cell r="X56">
            <v>275475</v>
          </cell>
          <cell r="Y56">
            <v>275475</v>
          </cell>
          <cell r="AB56">
            <v>1836500</v>
          </cell>
        </row>
        <row r="57">
          <cell r="B57" t="str">
            <v>45191994511000677Editing &amp; Proof-N1424791200104</v>
          </cell>
          <cell r="N57">
            <v>0</v>
          </cell>
          <cell r="O57">
            <v>0</v>
          </cell>
          <cell r="P57">
            <v>0</v>
          </cell>
          <cell r="Q57">
            <v>167737</v>
          </cell>
          <cell r="R57">
            <v>154000</v>
          </cell>
          <cell r="S57">
            <v>44730</v>
          </cell>
          <cell r="T57">
            <v>181475</v>
          </cell>
          <cell r="U57">
            <v>33547.5</v>
          </cell>
          <cell r="V57">
            <v>33547.5</v>
          </cell>
          <cell r="W57">
            <v>167737.5</v>
          </cell>
          <cell r="X57">
            <v>167737.5</v>
          </cell>
          <cell r="Y57">
            <v>167737.5</v>
          </cell>
          <cell r="AB57">
            <v>1118249.5</v>
          </cell>
        </row>
        <row r="58">
          <cell r="B58" t="str">
            <v>45191994511000677Print Runs-N1424791200104</v>
          </cell>
          <cell r="N58">
            <v>0</v>
          </cell>
          <cell r="O58">
            <v>2014.3</v>
          </cell>
          <cell r="P58">
            <v>2820.0199999999995</v>
          </cell>
          <cell r="Q58">
            <v>160165.70000000001</v>
          </cell>
          <cell r="R58">
            <v>110000</v>
          </cell>
          <cell r="S58">
            <v>44000</v>
          </cell>
          <cell r="T58">
            <v>220000</v>
          </cell>
          <cell r="U58">
            <v>33000</v>
          </cell>
          <cell r="V58">
            <v>33000</v>
          </cell>
          <cell r="W58">
            <v>165000</v>
          </cell>
          <cell r="X58">
            <v>165000</v>
          </cell>
          <cell r="Y58">
            <v>165000</v>
          </cell>
          <cell r="AB58">
            <v>1100000.02</v>
          </cell>
        </row>
        <row r="59">
          <cell r="B59" t="str">
            <v>45191994511000677Committee Member-N1421115200104</v>
          </cell>
          <cell r="N59">
            <v>0</v>
          </cell>
          <cell r="O59">
            <v>0</v>
          </cell>
          <cell r="P59">
            <v>0</v>
          </cell>
          <cell r="Q59">
            <v>240000</v>
          </cell>
          <cell r="R59">
            <v>0</v>
          </cell>
          <cell r="S59">
            <v>0</v>
          </cell>
          <cell r="T59">
            <v>240000</v>
          </cell>
          <cell r="U59">
            <v>0</v>
          </cell>
          <cell r="V59">
            <v>0</v>
          </cell>
          <cell r="W59">
            <v>240000</v>
          </cell>
          <cell r="X59">
            <v>0</v>
          </cell>
          <cell r="Y59">
            <v>180000</v>
          </cell>
          <cell r="AB59">
            <v>900000</v>
          </cell>
        </row>
        <row r="60">
          <cell r="B60" t="str">
            <v>45191994511000677Print Permit-N1422951200104</v>
          </cell>
          <cell r="N60">
            <v>0</v>
          </cell>
          <cell r="O60">
            <v>19097</v>
          </cell>
          <cell r="P60">
            <v>0</v>
          </cell>
          <cell r="Q60">
            <v>55903</v>
          </cell>
          <cell r="R60">
            <v>55000</v>
          </cell>
          <cell r="S60">
            <v>100000</v>
          </cell>
          <cell r="T60">
            <v>0</v>
          </cell>
          <cell r="U60">
            <v>0</v>
          </cell>
          <cell r="V60">
            <v>211475</v>
          </cell>
          <cell r="W60">
            <v>0</v>
          </cell>
          <cell r="X60">
            <v>0</v>
          </cell>
          <cell r="Y60">
            <v>176775</v>
          </cell>
          <cell r="AB60">
            <v>618250</v>
          </cell>
        </row>
        <row r="61">
          <cell r="B61" t="str">
            <v>45191994511000677Activation&amp;Prog-N1422401200104</v>
          </cell>
          <cell r="N61">
            <v>0</v>
          </cell>
          <cell r="O61">
            <v>0</v>
          </cell>
          <cell r="P61">
            <v>0</v>
          </cell>
          <cell r="Q61">
            <v>20000</v>
          </cell>
          <cell r="R61">
            <v>60000</v>
          </cell>
          <cell r="S61">
            <v>20000</v>
          </cell>
          <cell r="T61">
            <v>20000</v>
          </cell>
          <cell r="U61">
            <v>60000</v>
          </cell>
          <cell r="V61">
            <v>20000</v>
          </cell>
          <cell r="W61">
            <v>40000</v>
          </cell>
          <cell r="X61">
            <v>40000</v>
          </cell>
          <cell r="Y61">
            <v>20000</v>
          </cell>
          <cell r="AB61">
            <v>300000</v>
          </cell>
        </row>
        <row r="62">
          <cell r="B62" t="str">
            <v>45191994511000677Freelancers-N424521200104</v>
          </cell>
          <cell r="N62">
            <v>0</v>
          </cell>
          <cell r="O62">
            <v>25000</v>
          </cell>
          <cell r="P62">
            <v>0</v>
          </cell>
          <cell r="Q62">
            <v>75000</v>
          </cell>
          <cell r="R62">
            <v>25000</v>
          </cell>
          <cell r="S62">
            <v>25000</v>
          </cell>
          <cell r="T62">
            <v>25000</v>
          </cell>
          <cell r="U62">
            <v>25000</v>
          </cell>
          <cell r="V62">
            <v>25000</v>
          </cell>
          <cell r="W62">
            <v>25000</v>
          </cell>
          <cell r="X62">
            <v>25000</v>
          </cell>
          <cell r="Y62">
            <v>25000</v>
          </cell>
          <cell r="AB62">
            <v>300000</v>
          </cell>
        </row>
        <row r="63">
          <cell r="B63" t="str">
            <v>45191994511000677Typesetting-N1431114200104</v>
          </cell>
          <cell r="N63">
            <v>0</v>
          </cell>
          <cell r="O63">
            <v>0</v>
          </cell>
          <cell r="P63">
            <v>0</v>
          </cell>
          <cell r="Q63">
            <v>30000</v>
          </cell>
          <cell r="R63">
            <v>60000</v>
          </cell>
          <cell r="S63">
            <v>30000</v>
          </cell>
          <cell r="T63">
            <v>30000</v>
          </cell>
          <cell r="U63">
            <v>0</v>
          </cell>
          <cell r="V63">
            <v>60000</v>
          </cell>
          <cell r="W63">
            <v>0</v>
          </cell>
          <cell r="X63">
            <v>60000</v>
          </cell>
          <cell r="Y63">
            <v>30000</v>
          </cell>
          <cell r="AB63">
            <v>300000</v>
          </cell>
        </row>
        <row r="64">
          <cell r="B64" t="str">
            <v>45191994511000686Mission &amp; Travel-N1423821200104</v>
          </cell>
          <cell r="N64">
            <v>0</v>
          </cell>
          <cell r="O64">
            <v>24000</v>
          </cell>
          <cell r="P64">
            <v>20000</v>
          </cell>
          <cell r="Q64">
            <v>0</v>
          </cell>
          <cell r="R64">
            <v>10500</v>
          </cell>
          <cell r="S64">
            <v>27500</v>
          </cell>
          <cell r="T64">
            <v>0</v>
          </cell>
          <cell r="U64">
            <v>0</v>
          </cell>
          <cell r="V64">
            <v>44000</v>
          </cell>
          <cell r="W64">
            <v>28000</v>
          </cell>
          <cell r="X64">
            <v>56000</v>
          </cell>
          <cell r="Y64">
            <v>0</v>
          </cell>
          <cell r="AB64">
            <v>184000</v>
          </cell>
        </row>
        <row r="65">
          <cell r="B65" t="str">
            <v>45191994511000764E-bookConversion-N1424791200104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116509</v>
          </cell>
          <cell r="S65">
            <v>0</v>
          </cell>
          <cell r="T65">
            <v>0</v>
          </cell>
          <cell r="U65">
            <v>100000</v>
          </cell>
          <cell r="V65">
            <v>0</v>
          </cell>
          <cell r="W65">
            <v>0</v>
          </cell>
          <cell r="X65">
            <v>100000</v>
          </cell>
          <cell r="Y65">
            <v>0</v>
          </cell>
          <cell r="AB65">
            <v>316509</v>
          </cell>
        </row>
        <row r="66">
          <cell r="B66" t="str">
            <v>45191994511000764eBook Distribute-N1425301200104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80000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57700</v>
          </cell>
          <cell r="Y66">
            <v>0</v>
          </cell>
          <cell r="AB66">
            <v>137700</v>
          </cell>
        </row>
        <row r="67">
          <cell r="B67" t="str">
            <v>45191994511000764AudioBook Create-N1424791200104</v>
          </cell>
          <cell r="N67">
            <v>0</v>
          </cell>
          <cell r="O67">
            <v>0</v>
          </cell>
          <cell r="P67">
            <v>0</v>
          </cell>
          <cell r="Q67">
            <v>40000</v>
          </cell>
          <cell r="R67">
            <v>0</v>
          </cell>
          <cell r="S67">
            <v>40000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50410</v>
          </cell>
          <cell r="Y67">
            <v>0</v>
          </cell>
          <cell r="AB67">
            <v>130410</v>
          </cell>
        </row>
        <row r="68">
          <cell r="B68" t="str">
            <v>45191994511000888TranslationGrant-N1424701200104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184200</v>
          </cell>
          <cell r="V68">
            <v>184200</v>
          </cell>
          <cell r="W68">
            <v>184200</v>
          </cell>
          <cell r="X68">
            <v>184200</v>
          </cell>
          <cell r="Y68">
            <v>184200</v>
          </cell>
          <cell r="AB68">
            <v>921000</v>
          </cell>
        </row>
        <row r="69">
          <cell r="B69" t="str">
            <v>45191994511001049CampaignProductn-N2422511200104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350000</v>
          </cell>
          <cell r="W69">
            <v>0</v>
          </cell>
          <cell r="X69">
            <v>0</v>
          </cell>
          <cell r="Y69">
            <v>0</v>
          </cell>
          <cell r="AB69">
            <v>350000</v>
          </cell>
        </row>
        <row r="70">
          <cell r="B70" t="str">
            <v>45191994511001505Book Acquisition-NC491811300105</v>
          </cell>
          <cell r="N70">
            <v>0</v>
          </cell>
          <cell r="O70">
            <v>0</v>
          </cell>
          <cell r="P70">
            <v>0</v>
          </cell>
          <cell r="Q70">
            <v>45000</v>
          </cell>
          <cell r="R70">
            <v>35000</v>
          </cell>
          <cell r="S70">
            <v>25000</v>
          </cell>
          <cell r="T70">
            <v>15000</v>
          </cell>
          <cell r="U70">
            <v>25000</v>
          </cell>
          <cell r="V70">
            <v>0</v>
          </cell>
          <cell r="W70">
            <v>50000</v>
          </cell>
          <cell r="X70">
            <v>60000</v>
          </cell>
          <cell r="Y70">
            <v>75568</v>
          </cell>
          <cell r="AB70">
            <v>330568</v>
          </cell>
        </row>
        <row r="71">
          <cell r="B71" t="str">
            <v>45192004511000729Design &amp; Build-N2424221200104</v>
          </cell>
          <cell r="N71">
            <v>0</v>
          </cell>
          <cell r="O71">
            <v>0</v>
          </cell>
          <cell r="P71">
            <v>0</v>
          </cell>
          <cell r="Q71">
            <v>3941465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AB71">
            <v>3766465</v>
          </cell>
        </row>
        <row r="72">
          <cell r="B72" t="str">
            <v>45192004511000729Activation&amp;Prog-N2422401200104</v>
          </cell>
          <cell r="N72">
            <v>0</v>
          </cell>
          <cell r="O72">
            <v>0</v>
          </cell>
          <cell r="P72">
            <v>0</v>
          </cell>
          <cell r="Q72">
            <v>1461316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AB72">
            <v>1461316</v>
          </cell>
        </row>
        <row r="73">
          <cell r="B73" t="str">
            <v>45192004511000729Mission &amp; Travel-N2423821200104</v>
          </cell>
          <cell r="N73">
            <v>0</v>
          </cell>
          <cell r="O73">
            <v>51200</v>
          </cell>
          <cell r="P73">
            <v>900</v>
          </cell>
          <cell r="Q73">
            <v>266207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AB73">
            <v>312579</v>
          </cell>
        </row>
        <row r="74">
          <cell r="B74" t="str">
            <v>45192004511000729Hospitality-N2424761200104</v>
          </cell>
          <cell r="N74">
            <v>0</v>
          </cell>
          <cell r="O74">
            <v>0</v>
          </cell>
          <cell r="P74">
            <v>0</v>
          </cell>
          <cell r="Q74">
            <v>46850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AB74">
            <v>52578</v>
          </cell>
        </row>
        <row r="75">
          <cell r="B75" t="str">
            <v>45192004511000730Design &amp; Build-N2424221200104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3448848</v>
          </cell>
          <cell r="AB75">
            <v>3448848</v>
          </cell>
        </row>
        <row r="76">
          <cell r="B76" t="str">
            <v>45192004511000730Licenses Fees-N424131200104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646000</v>
          </cell>
          <cell r="AB76">
            <v>646000</v>
          </cell>
        </row>
        <row r="77">
          <cell r="B77" t="str">
            <v>45192004511000730Activation&amp;Prog-N2422401200104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550000</v>
          </cell>
          <cell r="AB77">
            <v>550000</v>
          </cell>
        </row>
        <row r="78">
          <cell r="B78" t="str">
            <v>45192004511000730Mission &amp; Travel-N2423821200104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407000</v>
          </cell>
          <cell r="Y78">
            <v>0</v>
          </cell>
          <cell r="AB78">
            <v>407000</v>
          </cell>
        </row>
        <row r="79">
          <cell r="B79" t="str">
            <v>45192004511000730Hospitality-N2424761200104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171000</v>
          </cell>
          <cell r="AB79">
            <v>171000</v>
          </cell>
        </row>
        <row r="80">
          <cell r="B80" t="str">
            <v>45192004511000730Event Consumable-N3421125200104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170000</v>
          </cell>
          <cell r="AB80">
            <v>170000</v>
          </cell>
        </row>
        <row r="81">
          <cell r="B81" t="str">
            <v>45192004511000768Activation&amp;Prog-N1422401200104</v>
          </cell>
          <cell r="N81">
            <v>0</v>
          </cell>
          <cell r="O81">
            <v>4000</v>
          </cell>
          <cell r="P81">
            <v>23209</v>
          </cell>
          <cell r="Q81">
            <v>58132</v>
          </cell>
          <cell r="R81">
            <v>28447</v>
          </cell>
          <cell r="S81">
            <v>28447</v>
          </cell>
          <cell r="T81">
            <v>28447</v>
          </cell>
          <cell r="U81">
            <v>28447</v>
          </cell>
          <cell r="V81">
            <v>28447</v>
          </cell>
          <cell r="W81">
            <v>28447</v>
          </cell>
          <cell r="X81">
            <v>28447</v>
          </cell>
          <cell r="Y81">
            <v>28446</v>
          </cell>
          <cell r="AB81">
            <v>516916</v>
          </cell>
        </row>
        <row r="82">
          <cell r="B82" t="str">
            <v>45192004511000769Design &amp; Build-N2424221200104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10708691</v>
          </cell>
          <cell r="Y82">
            <v>0</v>
          </cell>
          <cell r="AB82">
            <v>10708691</v>
          </cell>
        </row>
        <row r="83">
          <cell r="B83" t="str">
            <v>45192004511000769Venue&amp;Room Rent-N2422401200104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9725309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AB83">
            <v>7067685</v>
          </cell>
        </row>
        <row r="84">
          <cell r="B84" t="str">
            <v>45154004511000943MICE-Association-N461412200104</v>
          </cell>
          <cell r="N84">
            <v>0</v>
          </cell>
          <cell r="O84">
            <v>0</v>
          </cell>
          <cell r="P84">
            <v>0</v>
          </cell>
          <cell r="Q84">
            <v>42339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B84">
            <v>42339</v>
          </cell>
        </row>
        <row r="85">
          <cell r="B85" t="str">
            <v>45192004511000769Event Consumable-N2421125200104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1388029</v>
          </cell>
          <cell r="X85">
            <v>1388029</v>
          </cell>
          <cell r="Y85">
            <v>0</v>
          </cell>
          <cell r="AB85">
            <v>3407000</v>
          </cell>
        </row>
        <row r="86">
          <cell r="B86" t="str">
            <v>45192004511000769Hospitality-N2424761200104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2000000</v>
          </cell>
          <cell r="X86">
            <v>0</v>
          </cell>
          <cell r="Y86">
            <v>0</v>
          </cell>
          <cell r="AB86">
            <v>2500000</v>
          </cell>
        </row>
        <row r="87">
          <cell r="B87" t="str">
            <v>45192004511000769Activation&amp;Prog-N2422401200104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1534890</v>
          </cell>
          <cell r="X87">
            <v>0</v>
          </cell>
          <cell r="Y87">
            <v>0</v>
          </cell>
          <cell r="AB87">
            <v>2428412</v>
          </cell>
        </row>
        <row r="88">
          <cell r="B88" t="str">
            <v>45157004511000860Co-Invest Events-N422401200104</v>
          </cell>
          <cell r="AB88">
            <v>10000000</v>
          </cell>
        </row>
        <row r="89">
          <cell r="B89" t="str">
            <v>45192004511000883Mission &amp; Travel-N1423821200104</v>
          </cell>
          <cell r="N89">
            <v>0</v>
          </cell>
          <cell r="O89">
            <v>182000</v>
          </cell>
          <cell r="P89">
            <v>0</v>
          </cell>
          <cell r="Q89">
            <v>18000</v>
          </cell>
          <cell r="R89">
            <v>50000</v>
          </cell>
          <cell r="S89">
            <v>50000</v>
          </cell>
          <cell r="T89">
            <v>50000</v>
          </cell>
          <cell r="U89">
            <v>50000</v>
          </cell>
          <cell r="V89">
            <v>50000</v>
          </cell>
          <cell r="W89">
            <v>150000</v>
          </cell>
          <cell r="X89">
            <v>25000</v>
          </cell>
          <cell r="Y89">
            <v>50000</v>
          </cell>
          <cell r="AB89">
            <v>649000</v>
          </cell>
        </row>
        <row r="90">
          <cell r="B90" t="str">
            <v>45192004511000883Freelancers-N1424521200104</v>
          </cell>
          <cell r="N90">
            <v>0</v>
          </cell>
          <cell r="O90">
            <v>36000</v>
          </cell>
          <cell r="P90">
            <v>0</v>
          </cell>
          <cell r="Q90">
            <v>36000</v>
          </cell>
          <cell r="R90">
            <v>18000</v>
          </cell>
          <cell r="S90">
            <v>18000</v>
          </cell>
          <cell r="T90">
            <v>18000</v>
          </cell>
          <cell r="U90">
            <v>18000</v>
          </cell>
          <cell r="V90">
            <v>18000</v>
          </cell>
          <cell r="W90">
            <v>18000</v>
          </cell>
          <cell r="X90">
            <v>18000</v>
          </cell>
          <cell r="Y90">
            <v>18000</v>
          </cell>
          <cell r="AB90">
            <v>216000</v>
          </cell>
        </row>
        <row r="91">
          <cell r="B91" t="str">
            <v>45192014511000676Awards &amp; Prizes-N2424231200104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500000</v>
          </cell>
          <cell r="U91">
            <v>5250000</v>
          </cell>
          <cell r="V91">
            <v>1000000</v>
          </cell>
          <cell r="W91">
            <v>0</v>
          </cell>
          <cell r="X91">
            <v>750000</v>
          </cell>
          <cell r="Y91">
            <v>0</v>
          </cell>
          <cell r="AB91">
            <v>7500000</v>
          </cell>
        </row>
        <row r="92">
          <cell r="B92" t="str">
            <v>45192014511000676Event Management-N2422401200104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4400000</v>
          </cell>
          <cell r="W92">
            <v>0</v>
          </cell>
          <cell r="X92">
            <v>0</v>
          </cell>
          <cell r="Y92">
            <v>0</v>
          </cell>
          <cell r="AB92">
            <v>4400000</v>
          </cell>
        </row>
        <row r="93">
          <cell r="B93" t="str">
            <v>45192014511000676PR&amp;MediaCoverage-N2424781200104</v>
          </cell>
          <cell r="N93">
            <v>0</v>
          </cell>
          <cell r="O93">
            <v>0</v>
          </cell>
          <cell r="P93">
            <v>0</v>
          </cell>
          <cell r="Q93">
            <v>582000</v>
          </cell>
          <cell r="R93">
            <v>0</v>
          </cell>
          <cell r="S93">
            <v>0</v>
          </cell>
          <cell r="T93">
            <v>582000</v>
          </cell>
          <cell r="U93">
            <v>117500</v>
          </cell>
          <cell r="V93">
            <v>0</v>
          </cell>
          <cell r="W93">
            <v>0</v>
          </cell>
          <cell r="X93">
            <v>0</v>
          </cell>
          <cell r="Y93">
            <v>1000000</v>
          </cell>
          <cell r="AB93">
            <v>2281500</v>
          </cell>
        </row>
        <row r="94">
          <cell r="B94" t="str">
            <v>45192014511000676Committee Member-N2421115200104</v>
          </cell>
          <cell r="N94">
            <v>0</v>
          </cell>
          <cell r="O94">
            <v>0</v>
          </cell>
          <cell r="P94">
            <v>550000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275000</v>
          </cell>
          <cell r="V94">
            <v>635000</v>
          </cell>
          <cell r="W94">
            <v>460000</v>
          </cell>
          <cell r="X94">
            <v>0</v>
          </cell>
          <cell r="Y94">
            <v>0</v>
          </cell>
          <cell r="AB94">
            <v>1920000</v>
          </cell>
        </row>
        <row r="95">
          <cell r="B95" t="str">
            <v>45192014511000676Hospitality-N2424761200104</v>
          </cell>
          <cell r="N95">
            <v>0</v>
          </cell>
          <cell r="O95">
            <v>0</v>
          </cell>
          <cell r="P95">
            <v>0</v>
          </cell>
          <cell r="Q95">
            <v>200000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433000</v>
          </cell>
          <cell r="X95">
            <v>0</v>
          </cell>
          <cell r="Y95">
            <v>0</v>
          </cell>
          <cell r="AB95">
            <v>633000</v>
          </cell>
        </row>
        <row r="96">
          <cell r="B96" t="str">
            <v>45192014511000676TranslationGrant-N2424701200104</v>
          </cell>
          <cell r="N96">
            <v>0</v>
          </cell>
          <cell r="O96">
            <v>0</v>
          </cell>
          <cell r="P96">
            <v>0</v>
          </cell>
          <cell r="Q96">
            <v>75000</v>
          </cell>
          <cell r="R96">
            <v>50000</v>
          </cell>
          <cell r="S96">
            <v>75000</v>
          </cell>
          <cell r="T96">
            <v>0</v>
          </cell>
          <cell r="U96">
            <v>75000</v>
          </cell>
          <cell r="V96">
            <v>75000</v>
          </cell>
          <cell r="W96">
            <v>20000</v>
          </cell>
          <cell r="X96">
            <v>0</v>
          </cell>
          <cell r="Y96">
            <v>0</v>
          </cell>
          <cell r="AB96">
            <v>370000</v>
          </cell>
        </row>
        <row r="97">
          <cell r="B97" t="str">
            <v>45192014511000676Prizes &amp; Comps-N2424231200104</v>
          </cell>
          <cell r="N97">
            <v>0</v>
          </cell>
          <cell r="O97">
            <v>0</v>
          </cell>
          <cell r="P97">
            <v>0</v>
          </cell>
          <cell r="Q97">
            <v>20000</v>
          </cell>
          <cell r="R97">
            <v>0</v>
          </cell>
          <cell r="S97">
            <v>0</v>
          </cell>
          <cell r="T97">
            <v>130000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AB97">
            <v>150000</v>
          </cell>
        </row>
        <row r="98">
          <cell r="B98" t="str">
            <v>45192014511000676Gen Logistics-N2424671200104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10000</v>
          </cell>
          <cell r="W98">
            <v>0</v>
          </cell>
          <cell r="X98">
            <v>10000</v>
          </cell>
          <cell r="Y98">
            <v>5000</v>
          </cell>
          <cell r="AB98">
            <v>25000</v>
          </cell>
        </row>
        <row r="99">
          <cell r="B99" t="str">
            <v>45192014511000731Sponsorship Fees-N2424811200104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1652940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AB99">
            <v>1652940</v>
          </cell>
        </row>
        <row r="100">
          <cell r="B100" t="str">
            <v>45192014511000880Awards &amp; Prizes-N2424231200104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750000</v>
          </cell>
          <cell r="Y100">
            <v>750000</v>
          </cell>
          <cell r="AB100">
            <v>1500000</v>
          </cell>
        </row>
        <row r="101">
          <cell r="B101" t="str">
            <v>45192014511000880Event Management-N2422401200104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1500000</v>
          </cell>
          <cell r="Y101">
            <v>0</v>
          </cell>
          <cell r="AB101">
            <v>1500000</v>
          </cell>
        </row>
        <row r="102">
          <cell r="B102" t="str">
            <v>45192014511000880Committee Member-N2421115200104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45000</v>
          </cell>
          <cell r="U102">
            <v>0</v>
          </cell>
          <cell r="V102">
            <v>0</v>
          </cell>
          <cell r="W102">
            <v>605000</v>
          </cell>
          <cell r="X102">
            <v>0</v>
          </cell>
          <cell r="Y102">
            <v>0</v>
          </cell>
          <cell r="AB102">
            <v>650000</v>
          </cell>
        </row>
        <row r="103">
          <cell r="B103" t="str">
            <v>45192014511000880Gen Logistics-N3424671200104</v>
          </cell>
          <cell r="N103">
            <v>0</v>
          </cell>
          <cell r="O103">
            <v>0</v>
          </cell>
          <cell r="P103">
            <v>0</v>
          </cell>
          <cell r="Q103">
            <v>244100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AB103">
            <v>244100</v>
          </cell>
        </row>
        <row r="104">
          <cell r="B104" t="str">
            <v>45192014511000880Hospitality-N2424761200104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70000</v>
          </cell>
          <cell r="T104">
            <v>0</v>
          </cell>
          <cell r="U104">
            <v>50000</v>
          </cell>
          <cell r="V104">
            <v>0</v>
          </cell>
          <cell r="W104">
            <v>52000</v>
          </cell>
          <cell r="X104">
            <v>28000</v>
          </cell>
          <cell r="Y104">
            <v>0</v>
          </cell>
          <cell r="AB104">
            <v>200000</v>
          </cell>
        </row>
        <row r="105">
          <cell r="B105" t="str">
            <v>45192014511000880Prizes &amp; Comps-N2424231200104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20000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20000</v>
          </cell>
          <cell r="Y105">
            <v>0</v>
          </cell>
          <cell r="AB105">
            <v>40000</v>
          </cell>
        </row>
        <row r="106">
          <cell r="B106" t="str">
            <v>45192014511001051Awards &amp; Prizes-N2424231200104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385000</v>
          </cell>
          <cell r="X106">
            <v>0</v>
          </cell>
          <cell r="Y106">
            <v>2000000</v>
          </cell>
          <cell r="AB106">
            <v>2355000</v>
          </cell>
        </row>
        <row r="107">
          <cell r="B107" t="str">
            <v>45192014511001051Event Management-N2422401200104</v>
          </cell>
          <cell r="N107">
            <v>0</v>
          </cell>
          <cell r="O107">
            <v>0</v>
          </cell>
          <cell r="P107">
            <v>0</v>
          </cell>
          <cell r="Q107">
            <v>2000700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AB107">
            <v>2000700</v>
          </cell>
        </row>
        <row r="108">
          <cell r="B108" t="str">
            <v>45192014511001051Committee Member-N2421115200104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45000</v>
          </cell>
          <cell r="U108">
            <v>0</v>
          </cell>
          <cell r="V108">
            <v>0</v>
          </cell>
          <cell r="W108">
            <v>555000</v>
          </cell>
          <cell r="X108">
            <v>0</v>
          </cell>
          <cell r="Y108">
            <v>0</v>
          </cell>
          <cell r="AB108">
            <v>600000</v>
          </cell>
        </row>
        <row r="109">
          <cell r="B109" t="str">
            <v>45192014511001051Hospitality-N2424761200104</v>
          </cell>
          <cell r="N109">
            <v>0</v>
          </cell>
          <cell r="O109">
            <v>0</v>
          </cell>
          <cell r="P109">
            <v>0</v>
          </cell>
          <cell r="Q109">
            <v>75000</v>
          </cell>
          <cell r="R109">
            <v>90000</v>
          </cell>
          <cell r="S109">
            <v>45000</v>
          </cell>
          <cell r="T109">
            <v>0</v>
          </cell>
          <cell r="U109">
            <v>0</v>
          </cell>
          <cell r="V109">
            <v>40000</v>
          </cell>
          <cell r="W109">
            <v>0</v>
          </cell>
          <cell r="X109">
            <v>0</v>
          </cell>
          <cell r="Y109">
            <v>0</v>
          </cell>
          <cell r="AB109">
            <v>250000</v>
          </cell>
        </row>
        <row r="110">
          <cell r="B110" t="str">
            <v>45192014511001486Mission &amp; Travel-N423821200104</v>
          </cell>
          <cell r="N110">
            <v>0</v>
          </cell>
          <cell r="O110">
            <v>0</v>
          </cell>
          <cell r="P110">
            <v>47500</v>
          </cell>
          <cell r="Q110">
            <v>72500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130000</v>
          </cell>
          <cell r="X110">
            <v>50000</v>
          </cell>
          <cell r="Y110">
            <v>0</v>
          </cell>
          <cell r="AB110">
            <v>300000</v>
          </cell>
        </row>
        <row r="111">
          <cell r="B111" t="str">
            <v>45192024511000675Book Acquisition-NC2491811300105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750000</v>
          </cell>
          <cell r="U111">
            <v>0</v>
          </cell>
          <cell r="V111">
            <v>0</v>
          </cell>
          <cell r="W111">
            <v>750000</v>
          </cell>
          <cell r="X111">
            <v>0</v>
          </cell>
          <cell r="Y111">
            <v>0</v>
          </cell>
          <cell r="AB111">
            <v>1500000</v>
          </cell>
        </row>
        <row r="112">
          <cell r="B112" t="str">
            <v>45192024511000675Interior Fit Out-NC2491711300105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150000</v>
          </cell>
          <cell r="W112">
            <v>0</v>
          </cell>
          <cell r="X112">
            <v>0</v>
          </cell>
          <cell r="Y112">
            <v>0</v>
          </cell>
          <cell r="AB112">
            <v>150000</v>
          </cell>
        </row>
        <row r="113">
          <cell r="B113" t="str">
            <v>45192024511000675Activation&amp;Prog-N2422401200104</v>
          </cell>
          <cell r="N113">
            <v>0</v>
          </cell>
          <cell r="O113">
            <v>0</v>
          </cell>
          <cell r="P113">
            <v>0</v>
          </cell>
          <cell r="Q113">
            <v>25000</v>
          </cell>
          <cell r="R113">
            <v>25000</v>
          </cell>
          <cell r="S113">
            <v>25000</v>
          </cell>
          <cell r="T113">
            <v>25000</v>
          </cell>
          <cell r="U113">
            <v>50000</v>
          </cell>
          <cell r="V113">
            <v>50000</v>
          </cell>
          <cell r="W113">
            <v>50000</v>
          </cell>
          <cell r="X113">
            <v>125000</v>
          </cell>
          <cell r="Y113">
            <v>75000</v>
          </cell>
          <cell r="AB113">
            <v>380000</v>
          </cell>
        </row>
        <row r="114">
          <cell r="B114" t="str">
            <v>45192024511000675Licenses Fees-N2424131200104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60000</v>
          </cell>
          <cell r="S114">
            <v>86467</v>
          </cell>
          <cell r="T114">
            <v>0</v>
          </cell>
          <cell r="U114">
            <v>0</v>
          </cell>
          <cell r="V114">
            <v>67333</v>
          </cell>
          <cell r="W114">
            <v>151200</v>
          </cell>
          <cell r="X114">
            <v>0</v>
          </cell>
          <cell r="Y114">
            <v>0</v>
          </cell>
          <cell r="AB114">
            <v>365000</v>
          </cell>
        </row>
        <row r="115">
          <cell r="B115" t="str">
            <v>45192024511000675Mission &amp; Travel-N2423821200104</v>
          </cell>
          <cell r="N115">
            <v>0</v>
          </cell>
          <cell r="O115">
            <v>0</v>
          </cell>
          <cell r="P115">
            <v>130700</v>
          </cell>
          <cell r="Q115">
            <v>0</v>
          </cell>
          <cell r="R115">
            <v>0</v>
          </cell>
          <cell r="S115">
            <v>67200</v>
          </cell>
          <cell r="T115">
            <v>0</v>
          </cell>
          <cell r="U115">
            <v>40000</v>
          </cell>
          <cell r="V115">
            <v>0</v>
          </cell>
          <cell r="W115">
            <v>0</v>
          </cell>
          <cell r="X115">
            <v>122100</v>
          </cell>
          <cell r="Y115">
            <v>0</v>
          </cell>
          <cell r="AB115">
            <v>308000</v>
          </cell>
        </row>
        <row r="116">
          <cell r="B116" t="str">
            <v>45192024511000675FreelancerN1424521200104</v>
          </cell>
          <cell r="AB116">
            <v>70000</v>
          </cell>
        </row>
        <row r="117">
          <cell r="B117" t="str">
            <v>45192024511000675Hospitality-N2424761200104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50000</v>
          </cell>
          <cell r="T117">
            <v>0</v>
          </cell>
          <cell r="U117">
            <v>15000</v>
          </cell>
          <cell r="V117">
            <v>0</v>
          </cell>
          <cell r="W117">
            <v>69718</v>
          </cell>
          <cell r="X117">
            <v>20000</v>
          </cell>
          <cell r="Y117">
            <v>34000</v>
          </cell>
          <cell r="AB117">
            <v>188718</v>
          </cell>
        </row>
        <row r="118">
          <cell r="B118" t="str">
            <v>45192024511000675Photo &amp; Video-N2424221200104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50000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AB118">
            <v>50000</v>
          </cell>
        </row>
        <row r="119">
          <cell r="B119" t="str">
            <v>45192034511000687Committee Member-N2421115200104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1000000</v>
          </cell>
          <cell r="Y119">
            <v>0</v>
          </cell>
          <cell r="AB119">
            <v>0</v>
          </cell>
        </row>
        <row r="120">
          <cell r="B120" t="str">
            <v>45192034511000692Strategy Advice-N2421123200104</v>
          </cell>
          <cell r="N120">
            <v>0</v>
          </cell>
          <cell r="O120">
            <v>0</v>
          </cell>
          <cell r="P120">
            <v>0</v>
          </cell>
          <cell r="Q120">
            <v>1285999.3333333333</v>
          </cell>
          <cell r="R120">
            <v>0</v>
          </cell>
          <cell r="S120">
            <v>0</v>
          </cell>
          <cell r="T120">
            <v>1285999.3333333333</v>
          </cell>
          <cell r="U120">
            <v>0</v>
          </cell>
          <cell r="V120">
            <v>0</v>
          </cell>
          <cell r="W120">
            <v>1285999.3333333333</v>
          </cell>
          <cell r="X120">
            <v>0</v>
          </cell>
          <cell r="Y120">
            <v>0</v>
          </cell>
          <cell r="AB120">
            <v>4005998</v>
          </cell>
        </row>
        <row r="121">
          <cell r="B121" t="str">
            <v>45192034511000692Market Research-N2423411200104</v>
          </cell>
          <cell r="N121">
            <v>0</v>
          </cell>
          <cell r="O121">
            <v>0</v>
          </cell>
          <cell r="P121">
            <v>0</v>
          </cell>
          <cell r="Q121">
            <v>491163</v>
          </cell>
          <cell r="R121">
            <v>0</v>
          </cell>
          <cell r="S121">
            <v>100000</v>
          </cell>
          <cell r="T121">
            <v>72091</v>
          </cell>
          <cell r="U121">
            <v>200000</v>
          </cell>
          <cell r="V121">
            <v>293373</v>
          </cell>
          <cell r="W121">
            <v>0</v>
          </cell>
          <cell r="X121">
            <v>0</v>
          </cell>
          <cell r="Y121">
            <v>293373</v>
          </cell>
          <cell r="AB121">
            <v>1450000</v>
          </cell>
        </row>
        <row r="122">
          <cell r="B122" t="str">
            <v>45192034511000692Freelancers-N2424521200104</v>
          </cell>
          <cell r="N122">
            <v>0</v>
          </cell>
          <cell r="O122">
            <v>50000</v>
          </cell>
          <cell r="P122">
            <v>50000</v>
          </cell>
          <cell r="Q122">
            <v>100000</v>
          </cell>
          <cell r="R122">
            <v>50000</v>
          </cell>
          <cell r="S122">
            <v>50000</v>
          </cell>
          <cell r="T122">
            <v>50000</v>
          </cell>
          <cell r="U122">
            <v>50000</v>
          </cell>
          <cell r="V122">
            <v>49000</v>
          </cell>
          <cell r="W122">
            <v>40000</v>
          </cell>
          <cell r="X122">
            <v>40000</v>
          </cell>
          <cell r="Y122">
            <v>0</v>
          </cell>
          <cell r="AB122">
            <v>579000</v>
          </cell>
        </row>
        <row r="123">
          <cell r="B123" t="str">
            <v>45192034511000692Translation-N2424701200104</v>
          </cell>
          <cell r="N123">
            <v>0</v>
          </cell>
          <cell r="O123">
            <v>0</v>
          </cell>
          <cell r="P123">
            <v>0</v>
          </cell>
          <cell r="Q123">
            <v>116500</v>
          </cell>
          <cell r="R123">
            <v>0</v>
          </cell>
          <cell r="S123">
            <v>0</v>
          </cell>
          <cell r="T123">
            <v>14000</v>
          </cell>
          <cell r="U123">
            <v>0</v>
          </cell>
          <cell r="V123">
            <v>100000</v>
          </cell>
          <cell r="W123">
            <v>90000</v>
          </cell>
          <cell r="X123">
            <v>0</v>
          </cell>
          <cell r="Y123">
            <v>179500</v>
          </cell>
          <cell r="AB123">
            <v>500000</v>
          </cell>
        </row>
        <row r="124">
          <cell r="B124" t="str">
            <v>45192034511000692Mission &amp; Travel-N2423821200104</v>
          </cell>
          <cell r="N124">
            <v>0</v>
          </cell>
          <cell r="O124">
            <v>4000</v>
          </cell>
          <cell r="P124">
            <v>0</v>
          </cell>
          <cell r="Q124">
            <v>46000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50000</v>
          </cell>
          <cell r="X124">
            <v>0</v>
          </cell>
          <cell r="Y124">
            <v>0</v>
          </cell>
          <cell r="AB124">
            <v>160000</v>
          </cell>
        </row>
        <row r="125">
          <cell r="B125" t="str">
            <v>45192034511000692Hospitality-N2424761200104</v>
          </cell>
          <cell r="N125">
            <v>0</v>
          </cell>
          <cell r="O125">
            <v>0</v>
          </cell>
          <cell r="P125">
            <v>0</v>
          </cell>
          <cell r="Q125">
            <v>10000</v>
          </cell>
          <cell r="R125">
            <v>0</v>
          </cell>
          <cell r="S125">
            <v>10000</v>
          </cell>
          <cell r="T125">
            <v>0</v>
          </cell>
          <cell r="U125">
            <v>10000</v>
          </cell>
          <cell r="V125">
            <v>20000</v>
          </cell>
          <cell r="W125">
            <v>5000</v>
          </cell>
          <cell r="X125">
            <v>10000</v>
          </cell>
          <cell r="Y125">
            <v>10000</v>
          </cell>
          <cell r="AB125">
            <v>75000</v>
          </cell>
        </row>
        <row r="126">
          <cell r="B126" t="str">
            <v>45192034511000881Event Management-N2422401200104</v>
          </cell>
          <cell r="N126">
            <v>0</v>
          </cell>
          <cell r="O126">
            <v>0</v>
          </cell>
          <cell r="P126">
            <v>0</v>
          </cell>
          <cell r="Q126">
            <v>750000</v>
          </cell>
          <cell r="R126">
            <v>0</v>
          </cell>
          <cell r="S126">
            <v>0</v>
          </cell>
          <cell r="T126">
            <v>0</v>
          </cell>
          <cell r="U126">
            <v>1500000</v>
          </cell>
          <cell r="V126">
            <v>2750000</v>
          </cell>
          <cell r="W126">
            <v>0</v>
          </cell>
          <cell r="X126">
            <v>0</v>
          </cell>
          <cell r="Y126">
            <v>0</v>
          </cell>
          <cell r="AB126">
            <v>5000000</v>
          </cell>
        </row>
        <row r="127">
          <cell r="B127" t="str">
            <v>45192034511000881Hospitality-N2424761200104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200000</v>
          </cell>
          <cell r="W127">
            <v>610373</v>
          </cell>
          <cell r="X127">
            <v>0</v>
          </cell>
          <cell r="Y127">
            <v>0</v>
          </cell>
          <cell r="AB127">
            <v>810373</v>
          </cell>
        </row>
        <row r="128">
          <cell r="B128" t="str">
            <v>45192034511000881Venue&amp;Room Rent-N2422401200104</v>
          </cell>
          <cell r="N128">
            <v>0</v>
          </cell>
          <cell r="O128">
            <v>0</v>
          </cell>
          <cell r="P128">
            <v>0</v>
          </cell>
          <cell r="Q128">
            <v>377816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377816</v>
          </cell>
          <cell r="W128">
            <v>0</v>
          </cell>
          <cell r="X128">
            <v>0</v>
          </cell>
          <cell r="Y128">
            <v>0</v>
          </cell>
          <cell r="AB128">
            <v>500000</v>
          </cell>
        </row>
        <row r="129">
          <cell r="B129" t="str">
            <v>45192034511000881Media Mgmnt &amp;Buy-N422511200104</v>
          </cell>
          <cell r="N129">
            <v>0</v>
          </cell>
          <cell r="O129">
            <v>0</v>
          </cell>
          <cell r="P129">
            <v>0</v>
          </cell>
          <cell r="Q129">
            <v>100000</v>
          </cell>
          <cell r="R129">
            <v>0</v>
          </cell>
          <cell r="S129">
            <v>0</v>
          </cell>
          <cell r="T129">
            <v>192887</v>
          </cell>
          <cell r="U129">
            <v>0</v>
          </cell>
          <cell r="V129">
            <v>200000</v>
          </cell>
          <cell r="W129">
            <v>0</v>
          </cell>
          <cell r="X129">
            <v>0</v>
          </cell>
          <cell r="Y129">
            <v>0</v>
          </cell>
          <cell r="AB129">
            <v>492887</v>
          </cell>
        </row>
        <row r="130">
          <cell r="B130" t="str">
            <v>45192034511000881Freelancers-N424521200104</v>
          </cell>
          <cell r="AB130">
            <v>212000</v>
          </cell>
        </row>
        <row r="131">
          <cell r="B131" t="str">
            <v>45192034511000881Talent Mgmnt-N2422401200104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386192</v>
          </cell>
          <cell r="W131">
            <v>0</v>
          </cell>
          <cell r="X131">
            <v>0</v>
          </cell>
          <cell r="Y131">
            <v>0</v>
          </cell>
          <cell r="AB131">
            <v>386192</v>
          </cell>
        </row>
        <row r="132">
          <cell r="B132" t="str">
            <v>45192034511000881Event Consumable-N2421125200104</v>
          </cell>
          <cell r="N132">
            <v>0</v>
          </cell>
          <cell r="O132">
            <v>0</v>
          </cell>
          <cell r="P132">
            <v>0</v>
          </cell>
          <cell r="Q132">
            <v>75000</v>
          </cell>
          <cell r="R132">
            <v>0</v>
          </cell>
          <cell r="S132">
            <v>0</v>
          </cell>
          <cell r="T132">
            <v>0</v>
          </cell>
          <cell r="U132">
            <v>25000</v>
          </cell>
          <cell r="V132">
            <v>27729</v>
          </cell>
          <cell r="W132">
            <v>0</v>
          </cell>
          <cell r="X132">
            <v>0</v>
          </cell>
          <cell r="Y132">
            <v>0</v>
          </cell>
          <cell r="AB132">
            <v>16729</v>
          </cell>
        </row>
        <row r="133">
          <cell r="B133" t="str">
            <v>45192034511001179Design &amp; Build-N2424221200104</v>
          </cell>
          <cell r="N133">
            <v>0</v>
          </cell>
          <cell r="O133">
            <v>0</v>
          </cell>
          <cell r="P133">
            <v>0</v>
          </cell>
          <cell r="Q133">
            <v>995000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1005000</v>
          </cell>
          <cell r="X133">
            <v>2191498.5</v>
          </cell>
          <cell r="Y133">
            <v>2191498.5</v>
          </cell>
          <cell r="AB133">
            <v>6382997</v>
          </cell>
        </row>
        <row r="134">
          <cell r="B134" t="str">
            <v>45192034511001179Activation&amp;Prog-N2422401200104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2677458</v>
          </cell>
          <cell r="X134">
            <v>2677458</v>
          </cell>
          <cell r="Y134">
            <v>0</v>
          </cell>
          <cell r="AB134">
            <v>5354916</v>
          </cell>
        </row>
        <row r="135">
          <cell r="B135" t="str">
            <v>45192034511001179Media Mgmnt &amp;Buy-N2422511200104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3296222</v>
          </cell>
          <cell r="Y135">
            <v>0</v>
          </cell>
          <cell r="AB135">
            <v>3296222</v>
          </cell>
        </row>
        <row r="136">
          <cell r="B136" t="str">
            <v>45192034511001179Event Consumable-N2421125200104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500000</v>
          </cell>
          <cell r="W136">
            <v>0</v>
          </cell>
          <cell r="X136">
            <v>0</v>
          </cell>
          <cell r="Y136">
            <v>0</v>
          </cell>
          <cell r="AB136">
            <v>500000</v>
          </cell>
        </row>
        <row r="137">
          <cell r="B137" t="str">
            <v>45192034511001179PR Mgmnt E-E-N2424781200104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155288.33333333334</v>
          </cell>
          <cell r="X137">
            <v>155288.33333333334</v>
          </cell>
          <cell r="Y137">
            <v>155288.33333333334</v>
          </cell>
          <cell r="AB137">
            <v>465865</v>
          </cell>
        </row>
        <row r="138">
          <cell r="B138" t="str">
            <v>45192034511001427Managed Service-N422212202067</v>
          </cell>
          <cell r="N138">
            <v>0</v>
          </cell>
          <cell r="O138">
            <v>0</v>
          </cell>
          <cell r="P138">
            <v>5891624.8348749997</v>
          </cell>
          <cell r="Q138">
            <v>8375.1651250002906</v>
          </cell>
          <cell r="R138">
            <v>0</v>
          </cell>
          <cell r="S138">
            <v>0</v>
          </cell>
          <cell r="T138">
            <v>4720000</v>
          </cell>
          <cell r="U138">
            <v>0</v>
          </cell>
          <cell r="V138">
            <v>0</v>
          </cell>
          <cell r="W138">
            <v>0</v>
          </cell>
          <cell r="X138">
            <v>1180000</v>
          </cell>
          <cell r="Y138">
            <v>0</v>
          </cell>
          <cell r="AB138">
            <v>11800000</v>
          </cell>
        </row>
        <row r="139">
          <cell r="B139" t="str">
            <v>45192034511001427Freelancers-N2424521202067</v>
          </cell>
          <cell r="N139">
            <v>0</v>
          </cell>
          <cell r="O139">
            <v>0</v>
          </cell>
          <cell r="P139">
            <v>0</v>
          </cell>
          <cell r="Q139">
            <v>222222.22222222222</v>
          </cell>
          <cell r="R139">
            <v>222222.22222222222</v>
          </cell>
          <cell r="S139">
            <v>222222.22222222222</v>
          </cell>
          <cell r="T139">
            <v>222222.22222222222</v>
          </cell>
          <cell r="U139">
            <v>222222.22222222222</v>
          </cell>
          <cell r="V139">
            <v>222222.22222222222</v>
          </cell>
          <cell r="W139">
            <v>222222.22222222222</v>
          </cell>
          <cell r="X139">
            <v>222222.22222222222</v>
          </cell>
          <cell r="Y139">
            <v>222222.22222222222</v>
          </cell>
          <cell r="AB139">
            <v>2000000</v>
          </cell>
        </row>
        <row r="140">
          <cell r="B140" t="str">
            <v>45192034511001427Committee Member-N421115202067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1000000</v>
          </cell>
          <cell r="Y140">
            <v>0</v>
          </cell>
          <cell r="AB140">
            <v>1000000</v>
          </cell>
        </row>
        <row r="141">
          <cell r="B141" t="str">
            <v>45110104511000208Strategy Advice-N421123200104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4000000</v>
          </cell>
          <cell r="X141">
            <v>7321945</v>
          </cell>
          <cell r="Y141">
            <v>0</v>
          </cell>
          <cell r="AB141">
            <v>11321945</v>
          </cell>
        </row>
        <row r="142">
          <cell r="B142" t="str">
            <v>45110104511000208Event Management-N422401200104</v>
          </cell>
          <cell r="N142">
            <v>0</v>
          </cell>
          <cell r="O142">
            <v>0</v>
          </cell>
          <cell r="P142">
            <v>154025.19</v>
          </cell>
          <cell r="Q142">
            <v>0</v>
          </cell>
          <cell r="R142">
            <v>0</v>
          </cell>
          <cell r="S142">
            <v>0</v>
          </cell>
          <cell r="T142">
            <v>1047033.39047619</v>
          </cell>
          <cell r="U142">
            <v>0</v>
          </cell>
          <cell r="V142">
            <v>751755.60952380998</v>
          </cell>
          <cell r="W142">
            <v>280000</v>
          </cell>
          <cell r="X142">
            <v>3000000</v>
          </cell>
          <cell r="Y142">
            <v>5000000</v>
          </cell>
          <cell r="AB142">
            <v>4648813.1899999995</v>
          </cell>
        </row>
        <row r="143">
          <cell r="B143" t="str">
            <v>45110104511000208Mission &amp; Travel-N423821200104</v>
          </cell>
          <cell r="N143">
            <v>0</v>
          </cell>
          <cell r="O143">
            <v>0</v>
          </cell>
          <cell r="P143">
            <v>12000</v>
          </cell>
          <cell r="Q143">
            <v>188000</v>
          </cell>
          <cell r="R143">
            <v>200000</v>
          </cell>
          <cell r="S143">
            <v>200000</v>
          </cell>
          <cell r="T143">
            <v>200000</v>
          </cell>
          <cell r="U143">
            <v>200000</v>
          </cell>
          <cell r="V143">
            <v>200000</v>
          </cell>
          <cell r="W143">
            <v>200000</v>
          </cell>
          <cell r="X143">
            <v>200000</v>
          </cell>
          <cell r="Y143">
            <v>636251</v>
          </cell>
          <cell r="AB143">
            <v>2236251</v>
          </cell>
        </row>
        <row r="144">
          <cell r="B144" t="str">
            <v>45110104511000208Freelancers-N424521200104</v>
          </cell>
          <cell r="N144">
            <v>0</v>
          </cell>
          <cell r="O144">
            <v>0</v>
          </cell>
          <cell r="P144">
            <v>422654.15</v>
          </cell>
          <cell r="Q144">
            <v>69345.850000000006</v>
          </cell>
          <cell r="R144">
            <v>164000</v>
          </cell>
          <cell r="S144">
            <v>164000</v>
          </cell>
          <cell r="T144">
            <v>164000</v>
          </cell>
          <cell r="U144">
            <v>164000</v>
          </cell>
          <cell r="V144">
            <v>164000</v>
          </cell>
          <cell r="W144">
            <v>164000</v>
          </cell>
          <cell r="X144">
            <v>164000</v>
          </cell>
          <cell r="Y144">
            <v>328000</v>
          </cell>
          <cell r="AB144">
            <v>1811917</v>
          </cell>
        </row>
        <row r="145">
          <cell r="B145" t="str">
            <v>45110104511000208Admin Expenses-N421125200104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50000</v>
          </cell>
          <cell r="S145">
            <v>0</v>
          </cell>
          <cell r="T145">
            <v>50000</v>
          </cell>
          <cell r="U145">
            <v>0</v>
          </cell>
          <cell r="V145">
            <v>100000</v>
          </cell>
          <cell r="W145">
            <v>89424</v>
          </cell>
          <cell r="X145">
            <v>100000</v>
          </cell>
          <cell r="Y145">
            <v>100000</v>
          </cell>
          <cell r="AB145">
            <v>489424</v>
          </cell>
        </row>
        <row r="146">
          <cell r="B146" t="str">
            <v>45110104511000208Hospitality-N424761200104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200000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AB146">
            <v>181000</v>
          </cell>
        </row>
        <row r="147">
          <cell r="B147" t="str">
            <v>45110104511000816Event Management-N422401200104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3038800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AB147">
            <v>3038800</v>
          </cell>
        </row>
        <row r="148">
          <cell r="B148" t="str">
            <v>45110104511001300Design &amp; Build-NC491211300105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1800000</v>
          </cell>
          <cell r="Y148">
            <v>0</v>
          </cell>
          <cell r="AB148">
            <v>1800000</v>
          </cell>
        </row>
        <row r="149">
          <cell r="B149" t="str">
            <v>45110104511001300Concept Develop-NC495511300105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800000</v>
          </cell>
          <cell r="X149">
            <v>0</v>
          </cell>
          <cell r="Y149">
            <v>0</v>
          </cell>
          <cell r="AB149">
            <v>0</v>
          </cell>
        </row>
        <row r="150">
          <cell r="B150" t="str">
            <v>45110104511001300Event Management-N422401200104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2740000</v>
          </cell>
          <cell r="AB150">
            <v>2740000</v>
          </cell>
        </row>
        <row r="151">
          <cell r="B151" t="str">
            <v>45110104511001300Freelancers-N424521200104</v>
          </cell>
          <cell r="N151">
            <v>0</v>
          </cell>
          <cell r="O151">
            <v>0</v>
          </cell>
          <cell r="P151">
            <v>91000</v>
          </cell>
          <cell r="Q151">
            <v>0</v>
          </cell>
          <cell r="R151">
            <v>169539</v>
          </cell>
          <cell r="S151">
            <v>260539</v>
          </cell>
          <cell r="T151">
            <v>260539</v>
          </cell>
          <cell r="U151">
            <v>260539</v>
          </cell>
          <cell r="V151">
            <v>260539</v>
          </cell>
          <cell r="W151">
            <v>260539</v>
          </cell>
          <cell r="X151">
            <v>260539</v>
          </cell>
          <cell r="Y151">
            <v>260539</v>
          </cell>
          <cell r="AB151">
            <v>2084312</v>
          </cell>
        </row>
        <row r="152">
          <cell r="B152" t="str">
            <v>45110104511001300SM Managnt E-E-N422511200104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1500000</v>
          </cell>
          <cell r="AB152">
            <v>1041533</v>
          </cell>
        </row>
        <row r="153">
          <cell r="B153" t="str">
            <v>45110104511001300Admin Expenses-N421125200104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15000</v>
          </cell>
          <cell r="V153">
            <v>15000</v>
          </cell>
          <cell r="W153">
            <v>15000</v>
          </cell>
          <cell r="X153">
            <v>15000</v>
          </cell>
          <cell r="Y153">
            <v>15000</v>
          </cell>
          <cell r="AB153">
            <v>75000</v>
          </cell>
        </row>
        <row r="154">
          <cell r="B154" t="str">
            <v>45110104511001301Cultural Advice-N1424521200104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4443197</v>
          </cell>
          <cell r="X154">
            <v>0</v>
          </cell>
          <cell r="Y154">
            <v>0</v>
          </cell>
          <cell r="AB154">
            <v>4443197</v>
          </cell>
        </row>
        <row r="155">
          <cell r="B155" t="str">
            <v>45110104511001301Freelancers-N424521200104</v>
          </cell>
          <cell r="N155">
            <v>0</v>
          </cell>
          <cell r="O155">
            <v>0</v>
          </cell>
          <cell r="P155">
            <v>0</v>
          </cell>
          <cell r="Q155">
            <v>161000</v>
          </cell>
          <cell r="R155">
            <v>161000</v>
          </cell>
          <cell r="S155">
            <v>161000</v>
          </cell>
          <cell r="T155">
            <v>161000</v>
          </cell>
          <cell r="U155">
            <v>161000</v>
          </cell>
          <cell r="V155">
            <v>161000</v>
          </cell>
          <cell r="W155">
            <v>161000</v>
          </cell>
          <cell r="X155">
            <v>161000</v>
          </cell>
          <cell r="Y155">
            <v>322000</v>
          </cell>
          <cell r="AB155">
            <v>1610000</v>
          </cell>
        </row>
        <row r="156">
          <cell r="B156" t="str">
            <v>45110104511001310Concept Develop-N495511300105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300000</v>
          </cell>
          <cell r="S156">
            <v>0</v>
          </cell>
          <cell r="T156">
            <v>0</v>
          </cell>
          <cell r="U156">
            <v>420000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AB156">
            <v>340000</v>
          </cell>
        </row>
        <row r="157">
          <cell r="B157" t="str">
            <v>45110104511001312Concept Develop-N495511300105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2020000</v>
          </cell>
          <cell r="V157">
            <v>0</v>
          </cell>
          <cell r="W157">
            <v>2600000</v>
          </cell>
          <cell r="X157">
            <v>0</v>
          </cell>
          <cell r="Y157">
            <v>0</v>
          </cell>
          <cell r="AB157">
            <v>1000000</v>
          </cell>
        </row>
        <row r="158">
          <cell r="B158" t="str">
            <v>45110104511001394Freelancers-N424521200104</v>
          </cell>
          <cell r="N158">
            <v>0</v>
          </cell>
          <cell r="O158">
            <v>0</v>
          </cell>
          <cell r="P158">
            <v>41499.25</v>
          </cell>
          <cell r="Q158">
            <v>34216</v>
          </cell>
          <cell r="R158">
            <v>25238.416666666668</v>
          </cell>
          <cell r="S158">
            <v>25238.416666666668</v>
          </cell>
          <cell r="T158">
            <v>25238.416666666668</v>
          </cell>
          <cell r="U158">
            <v>25238.416666666668</v>
          </cell>
          <cell r="V158">
            <v>25238.416666666668</v>
          </cell>
          <cell r="W158">
            <v>25238.416666666668</v>
          </cell>
          <cell r="X158">
            <v>25238.416666666668</v>
          </cell>
          <cell r="Y158">
            <v>50477</v>
          </cell>
          <cell r="AB158">
            <v>902861.16666666663</v>
          </cell>
        </row>
        <row r="159">
          <cell r="B159" t="str">
            <v>45110104511001428Lease Improve-NC1490600300105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6000000</v>
          </cell>
          <cell r="V159">
            <v>0</v>
          </cell>
          <cell r="W159">
            <v>6000000</v>
          </cell>
          <cell r="X159">
            <v>0</v>
          </cell>
          <cell r="Y159">
            <v>0</v>
          </cell>
          <cell r="AB159">
            <v>12000000</v>
          </cell>
        </row>
        <row r="160">
          <cell r="B160" t="str">
            <v>45110104511001493Freelancers-N424521200104</v>
          </cell>
          <cell r="N160">
            <v>0</v>
          </cell>
          <cell r="O160">
            <v>0</v>
          </cell>
          <cell r="P160">
            <v>0</v>
          </cell>
          <cell r="Q160">
            <v>48400</v>
          </cell>
          <cell r="R160">
            <v>24200</v>
          </cell>
          <cell r="S160">
            <v>24200</v>
          </cell>
          <cell r="T160">
            <v>24200</v>
          </cell>
          <cell r="U160">
            <v>24200</v>
          </cell>
          <cell r="V160">
            <v>24200</v>
          </cell>
          <cell r="W160">
            <v>24200</v>
          </cell>
          <cell r="X160">
            <v>24200</v>
          </cell>
          <cell r="Y160">
            <v>24200</v>
          </cell>
          <cell r="AB160">
            <v>242000</v>
          </cell>
        </row>
        <row r="161">
          <cell r="B161" t="str">
            <v>45110104511001512Strategy Advice-N421123200104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2500000</v>
          </cell>
          <cell r="X161">
            <v>2881782</v>
          </cell>
          <cell r="Y161">
            <v>2500000</v>
          </cell>
          <cell r="AB161">
            <v>3081782</v>
          </cell>
        </row>
        <row r="162">
          <cell r="B162" t="str">
            <v>45110104511001522Strategy Advice-N421123200104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500000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500000</v>
          </cell>
          <cell r="Y162">
            <v>0</v>
          </cell>
          <cell r="AB162">
            <v>1000000</v>
          </cell>
        </row>
        <row r="163">
          <cell r="B163" t="str">
            <v>45110104511001608Cultural Advice-N424521200104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1000000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AB163">
            <v>1000000</v>
          </cell>
        </row>
        <row r="164">
          <cell r="B164" t="str">
            <v>45110204511000592Freelancers-N424521200104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82000</v>
          </cell>
          <cell r="S164">
            <v>82000</v>
          </cell>
          <cell r="T164">
            <v>82000</v>
          </cell>
          <cell r="U164">
            <v>82000</v>
          </cell>
          <cell r="V164">
            <v>328000</v>
          </cell>
          <cell r="W164">
            <v>200000</v>
          </cell>
          <cell r="X164">
            <v>217271</v>
          </cell>
          <cell r="Y164">
            <v>300000</v>
          </cell>
          <cell r="AB164">
            <v>1373271</v>
          </cell>
        </row>
        <row r="165">
          <cell r="B165" t="str">
            <v>45110204511000592Mission &amp; Travel-N423821200104</v>
          </cell>
          <cell r="N165">
            <v>0</v>
          </cell>
          <cell r="O165">
            <v>0</v>
          </cell>
          <cell r="P165">
            <v>0</v>
          </cell>
          <cell r="Q165">
            <v>75000</v>
          </cell>
          <cell r="R165">
            <v>75000</v>
          </cell>
          <cell r="S165">
            <v>75000</v>
          </cell>
          <cell r="T165">
            <v>75000</v>
          </cell>
          <cell r="U165">
            <v>75000</v>
          </cell>
          <cell r="V165">
            <v>86300</v>
          </cell>
          <cell r="W165">
            <v>75000</v>
          </cell>
          <cell r="X165">
            <v>150000</v>
          </cell>
          <cell r="Y165">
            <v>150000</v>
          </cell>
          <cell r="AB165">
            <v>836300</v>
          </cell>
        </row>
        <row r="166">
          <cell r="B166" t="str">
            <v>45110204511001494Freelancers-N424521200104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36700</v>
          </cell>
          <cell r="S166">
            <v>136700</v>
          </cell>
          <cell r="T166">
            <v>36700</v>
          </cell>
          <cell r="U166">
            <v>36700</v>
          </cell>
          <cell r="V166">
            <v>36700</v>
          </cell>
          <cell r="W166">
            <v>36700</v>
          </cell>
          <cell r="X166">
            <v>176700</v>
          </cell>
          <cell r="Y166">
            <v>433400</v>
          </cell>
          <cell r="AB166">
            <v>930300</v>
          </cell>
        </row>
        <row r="167">
          <cell r="B167" t="str">
            <v>45110204511001494Event Management-N422401200104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250000</v>
          </cell>
          <cell r="W167">
            <v>250000</v>
          </cell>
          <cell r="X167">
            <v>100000</v>
          </cell>
          <cell r="Y167">
            <v>250000</v>
          </cell>
          <cell r="AB167">
            <v>850000</v>
          </cell>
        </row>
        <row r="168">
          <cell r="B168" t="str">
            <v>45110204511001494Cultural Advice-N424521200104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50000</v>
          </cell>
          <cell r="S168">
            <v>100000</v>
          </cell>
          <cell r="T168">
            <v>100000</v>
          </cell>
          <cell r="U168">
            <v>0</v>
          </cell>
          <cell r="V168">
            <v>0</v>
          </cell>
          <cell r="W168">
            <v>0</v>
          </cell>
          <cell r="X168">
            <v>100000</v>
          </cell>
          <cell r="Y168">
            <v>0</v>
          </cell>
          <cell r="AB168">
            <v>350000</v>
          </cell>
        </row>
        <row r="169">
          <cell r="B169" t="str">
            <v>45110204511001494Mission &amp; Travel-N423821200104</v>
          </cell>
          <cell r="N169">
            <v>0</v>
          </cell>
          <cell r="O169">
            <v>0</v>
          </cell>
          <cell r="P169">
            <v>0</v>
          </cell>
          <cell r="Q169">
            <v>30000</v>
          </cell>
          <cell r="R169">
            <v>0</v>
          </cell>
          <cell r="S169">
            <v>0</v>
          </cell>
          <cell r="T169">
            <v>0</v>
          </cell>
          <cell r="U169">
            <v>60000</v>
          </cell>
          <cell r="V169">
            <v>60000</v>
          </cell>
          <cell r="W169">
            <v>60000</v>
          </cell>
          <cell r="X169">
            <v>60000</v>
          </cell>
          <cell r="Y169">
            <v>0</v>
          </cell>
          <cell r="AB169">
            <v>270000</v>
          </cell>
        </row>
        <row r="170">
          <cell r="B170" t="str">
            <v>45110204511001495Freelancers-N424521200104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44000</v>
          </cell>
          <cell r="S170">
            <v>44000</v>
          </cell>
          <cell r="T170">
            <v>44000</v>
          </cell>
          <cell r="U170">
            <v>44000</v>
          </cell>
          <cell r="V170">
            <v>44000</v>
          </cell>
          <cell r="W170">
            <v>44000</v>
          </cell>
          <cell r="X170">
            <v>116000</v>
          </cell>
          <cell r="Y170">
            <v>60000</v>
          </cell>
          <cell r="AB170">
            <v>440000</v>
          </cell>
        </row>
        <row r="171">
          <cell r="B171" t="str">
            <v>45110204511001495Event Management-N422401200104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351000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AB171">
            <v>351000</v>
          </cell>
        </row>
        <row r="172">
          <cell r="B172" t="str">
            <v>45110204511001538Cultural Advice-N424521200104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200000</v>
          </cell>
          <cell r="Y172">
            <v>0</v>
          </cell>
          <cell r="AB172">
            <v>200000</v>
          </cell>
        </row>
        <row r="173">
          <cell r="B173" t="str">
            <v>45111504511000231Cultural Advice-N424521200104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3343932</v>
          </cell>
          <cell r="Y173">
            <v>0</v>
          </cell>
          <cell r="AB173">
            <v>3343932</v>
          </cell>
        </row>
        <row r="174">
          <cell r="B174" t="str">
            <v>45111504511000231Print Runs-N1424791200104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110000</v>
          </cell>
          <cell r="U174">
            <v>160000</v>
          </cell>
          <cell r="V174">
            <v>50000</v>
          </cell>
          <cell r="W174">
            <v>180000</v>
          </cell>
          <cell r="X174">
            <v>350000</v>
          </cell>
          <cell r="Y174">
            <v>350000</v>
          </cell>
          <cell r="AB174">
            <v>1200000</v>
          </cell>
        </row>
        <row r="175">
          <cell r="B175" t="str">
            <v>45111504511000231Freelancers-N1424521200104</v>
          </cell>
          <cell r="N175">
            <v>0</v>
          </cell>
          <cell r="O175">
            <v>0</v>
          </cell>
          <cell r="P175">
            <v>6882</v>
          </cell>
          <cell r="Q175">
            <v>0</v>
          </cell>
          <cell r="R175">
            <v>28118</v>
          </cell>
          <cell r="S175">
            <v>0</v>
          </cell>
          <cell r="T175">
            <v>0</v>
          </cell>
          <cell r="U175">
            <v>55000</v>
          </cell>
          <cell r="V175">
            <v>35000</v>
          </cell>
          <cell r="W175">
            <v>0</v>
          </cell>
          <cell r="X175">
            <v>35000</v>
          </cell>
          <cell r="Y175">
            <v>0</v>
          </cell>
          <cell r="AB175">
            <v>160000</v>
          </cell>
        </row>
        <row r="176">
          <cell r="B176" t="str">
            <v>45111504511000306Freelancers-N1424521200104</v>
          </cell>
          <cell r="N176">
            <v>0</v>
          </cell>
          <cell r="O176">
            <v>0</v>
          </cell>
          <cell r="P176">
            <v>30000</v>
          </cell>
          <cell r="Q176">
            <v>59000</v>
          </cell>
          <cell r="R176">
            <v>114500</v>
          </cell>
          <cell r="S176">
            <v>114500</v>
          </cell>
          <cell r="T176">
            <v>114500</v>
          </cell>
          <cell r="U176">
            <v>114500</v>
          </cell>
          <cell r="V176">
            <v>114500</v>
          </cell>
          <cell r="W176">
            <v>114500</v>
          </cell>
          <cell r="X176">
            <v>164500</v>
          </cell>
          <cell r="Y176">
            <v>100000</v>
          </cell>
          <cell r="AB176">
            <v>910300</v>
          </cell>
        </row>
        <row r="177">
          <cell r="B177" t="str">
            <v>45111504511000339Freelancers-N1424521200104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36000</v>
          </cell>
          <cell r="S177">
            <v>36000</v>
          </cell>
          <cell r="T177">
            <v>36000</v>
          </cell>
          <cell r="U177">
            <v>36000</v>
          </cell>
          <cell r="V177">
            <v>36000</v>
          </cell>
          <cell r="W177">
            <v>36000</v>
          </cell>
          <cell r="X177">
            <v>36000</v>
          </cell>
          <cell r="Y177">
            <v>95325</v>
          </cell>
          <cell r="AB177">
            <v>347325</v>
          </cell>
        </row>
        <row r="178">
          <cell r="B178" t="str">
            <v>45111504511000592Mission &amp; Travel-N1423821200104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168000</v>
          </cell>
          <cell r="Y178">
            <v>0</v>
          </cell>
          <cell r="AB178">
            <v>168000</v>
          </cell>
        </row>
        <row r="179">
          <cell r="B179" t="str">
            <v>45111504511000864Interior Fit Out-N491711300105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500000</v>
          </cell>
          <cell r="U179">
            <v>0</v>
          </cell>
          <cell r="V179">
            <v>0</v>
          </cell>
          <cell r="W179">
            <v>600000</v>
          </cell>
          <cell r="X179">
            <v>600000</v>
          </cell>
          <cell r="Y179">
            <v>0</v>
          </cell>
          <cell r="AB179">
            <v>1700000</v>
          </cell>
        </row>
        <row r="180">
          <cell r="B180" t="str">
            <v>45111504511001041Design &amp; Build-N1491211300105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5500000</v>
          </cell>
          <cell r="V180">
            <v>6500000</v>
          </cell>
          <cell r="W180">
            <v>7000000</v>
          </cell>
          <cell r="X180">
            <v>400000</v>
          </cell>
          <cell r="Y180">
            <v>4849000</v>
          </cell>
          <cell r="AB180">
            <v>4249000</v>
          </cell>
        </row>
        <row r="181">
          <cell r="B181" t="str">
            <v>45111504511001487Design &amp; Build-NC491211300105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200000</v>
          </cell>
          <cell r="W181">
            <v>0</v>
          </cell>
          <cell r="X181">
            <v>0</v>
          </cell>
          <cell r="Y181">
            <v>0</v>
          </cell>
          <cell r="AB181">
            <v>200000</v>
          </cell>
        </row>
        <row r="182">
          <cell r="B182" t="str">
            <v>45111504511001487Collection Mgmnt-N423411200104</v>
          </cell>
          <cell r="N182">
            <v>0</v>
          </cell>
          <cell r="O182">
            <v>0</v>
          </cell>
          <cell r="P182">
            <v>4038.15</v>
          </cell>
          <cell r="Q182">
            <v>0</v>
          </cell>
          <cell r="R182">
            <v>534263.5</v>
          </cell>
          <cell r="S182">
            <v>0</v>
          </cell>
          <cell r="T182">
            <v>492000</v>
          </cell>
          <cell r="U182">
            <v>1374300</v>
          </cell>
          <cell r="V182">
            <v>386000</v>
          </cell>
          <cell r="W182">
            <v>1877000</v>
          </cell>
          <cell r="X182">
            <v>1517000</v>
          </cell>
          <cell r="Y182">
            <v>1110700</v>
          </cell>
          <cell r="AB182">
            <v>7195301.6500000004</v>
          </cell>
        </row>
        <row r="183">
          <cell r="B183" t="str">
            <v>45111504511001487Freelancers-N1424521200104</v>
          </cell>
          <cell r="N183">
            <v>0</v>
          </cell>
          <cell r="O183">
            <v>0</v>
          </cell>
          <cell r="P183">
            <v>0</v>
          </cell>
          <cell r="Q183">
            <v>661451</v>
          </cell>
          <cell r="R183">
            <v>224249</v>
          </cell>
          <cell r="S183">
            <v>378900</v>
          </cell>
          <cell r="T183">
            <v>855600</v>
          </cell>
          <cell r="U183">
            <v>265600</v>
          </cell>
          <cell r="V183">
            <v>388900</v>
          </cell>
          <cell r="W183">
            <v>265600</v>
          </cell>
          <cell r="X183">
            <v>521200</v>
          </cell>
          <cell r="Y183">
            <v>558900</v>
          </cell>
          <cell r="AB183">
            <v>4120400</v>
          </cell>
        </row>
        <row r="184">
          <cell r="B184" t="str">
            <v>45111504511001487Mission &amp; Travel-N1423821200104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50000</v>
          </cell>
          <cell r="S184">
            <v>20000</v>
          </cell>
          <cell r="T184">
            <v>50000</v>
          </cell>
          <cell r="U184">
            <v>0</v>
          </cell>
          <cell r="V184">
            <v>60000</v>
          </cell>
          <cell r="W184">
            <v>40431.5</v>
          </cell>
          <cell r="X184">
            <v>0</v>
          </cell>
          <cell r="Y184">
            <v>0</v>
          </cell>
          <cell r="AB184">
            <v>220431.5</v>
          </cell>
        </row>
        <row r="185">
          <cell r="B185" t="str">
            <v>45111504511001488Design &amp; Build-NC491211300105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250000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AB185">
            <v>250000</v>
          </cell>
        </row>
        <row r="186">
          <cell r="B186" t="str">
            <v>45111504511001488Freelancers-N1424521200104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156000</v>
          </cell>
          <cell r="Y186">
            <v>500000</v>
          </cell>
          <cell r="AB186">
            <v>556000</v>
          </cell>
        </row>
        <row r="187">
          <cell r="B187" t="str">
            <v>45111504511001488Collection Mgmnt-N423411200104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202000</v>
          </cell>
          <cell r="Y187">
            <v>202000</v>
          </cell>
          <cell r="AB187">
            <v>1134000</v>
          </cell>
        </row>
        <row r="188">
          <cell r="B188" t="str">
            <v>45111504511001488Mission &amp; Travel-N1423821200104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20000</v>
          </cell>
          <cell r="U188">
            <v>0</v>
          </cell>
          <cell r="V188">
            <v>20000</v>
          </cell>
          <cell r="W188">
            <v>0</v>
          </cell>
          <cell r="X188">
            <v>10000</v>
          </cell>
          <cell r="Y188">
            <v>0</v>
          </cell>
          <cell r="AB188">
            <v>150000</v>
          </cell>
        </row>
        <row r="189">
          <cell r="B189" t="str">
            <v>45112504511000019Lease Improve-N490600300105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250000</v>
          </cell>
          <cell r="S189">
            <v>0</v>
          </cell>
          <cell r="T189">
            <v>250000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AB189">
            <v>500000</v>
          </cell>
        </row>
        <row r="190">
          <cell r="B190" t="str">
            <v>45192004511000769Licenses Fees-N424131200104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4981552</v>
          </cell>
          <cell r="X190">
            <v>0</v>
          </cell>
          <cell r="Y190">
            <v>0</v>
          </cell>
          <cell r="AB190">
            <v>4981552</v>
          </cell>
        </row>
        <row r="191">
          <cell r="B191" t="str">
            <v>45112504511000019Freelancers-N424521200104</v>
          </cell>
          <cell r="N191">
            <v>0</v>
          </cell>
          <cell r="O191">
            <v>0</v>
          </cell>
          <cell r="P191">
            <v>223600</v>
          </cell>
          <cell r="Q191">
            <v>71600</v>
          </cell>
          <cell r="R191">
            <v>98400</v>
          </cell>
          <cell r="S191">
            <v>98400</v>
          </cell>
          <cell r="T191">
            <v>98400</v>
          </cell>
          <cell r="U191">
            <v>98400</v>
          </cell>
          <cell r="V191">
            <v>98400</v>
          </cell>
          <cell r="W191">
            <v>150400</v>
          </cell>
          <cell r="X191">
            <v>150400</v>
          </cell>
          <cell r="Y191">
            <v>150400</v>
          </cell>
          <cell r="AB191">
            <v>1238400</v>
          </cell>
        </row>
        <row r="192">
          <cell r="B192" t="str">
            <v>45112504511000019Activation&amp;Prog-N422401200104</v>
          </cell>
          <cell r="N192">
            <v>0</v>
          </cell>
          <cell r="O192">
            <v>0</v>
          </cell>
          <cell r="P192">
            <v>562600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430400</v>
          </cell>
          <cell r="AB192">
            <v>993000</v>
          </cell>
        </row>
        <row r="193">
          <cell r="B193" t="str">
            <v>45112504511000019Utilities-N423931200104</v>
          </cell>
          <cell r="N193">
            <v>0</v>
          </cell>
          <cell r="O193">
            <v>0</v>
          </cell>
          <cell r="P193">
            <v>53524.41</v>
          </cell>
          <cell r="Q193">
            <v>88015.59</v>
          </cell>
          <cell r="R193">
            <v>70770</v>
          </cell>
          <cell r="S193">
            <v>70770</v>
          </cell>
          <cell r="T193">
            <v>70770</v>
          </cell>
          <cell r="U193">
            <v>70770</v>
          </cell>
          <cell r="V193">
            <v>70775</v>
          </cell>
          <cell r="W193">
            <v>35000</v>
          </cell>
          <cell r="X193">
            <v>35000</v>
          </cell>
          <cell r="Y193">
            <v>0</v>
          </cell>
          <cell r="AB193">
            <v>565395</v>
          </cell>
        </row>
        <row r="194">
          <cell r="B194" t="str">
            <v>45112504511000019Security Service-N424551200104</v>
          </cell>
          <cell r="N194">
            <v>0</v>
          </cell>
          <cell r="O194">
            <v>0</v>
          </cell>
          <cell r="P194">
            <v>0</v>
          </cell>
          <cell r="Q194">
            <v>180000</v>
          </cell>
          <cell r="R194">
            <v>60000</v>
          </cell>
          <cell r="S194">
            <v>60000</v>
          </cell>
          <cell r="T194">
            <v>60000</v>
          </cell>
          <cell r="U194">
            <v>60000</v>
          </cell>
          <cell r="V194">
            <v>60000</v>
          </cell>
          <cell r="W194">
            <v>36005</v>
          </cell>
          <cell r="X194">
            <v>0</v>
          </cell>
          <cell r="Y194">
            <v>0</v>
          </cell>
          <cell r="AB194">
            <v>516005</v>
          </cell>
        </row>
        <row r="195">
          <cell r="B195" t="str">
            <v>45112504511000019Maintenance-N426212200104</v>
          </cell>
          <cell r="N195">
            <v>0</v>
          </cell>
          <cell r="O195">
            <v>0</v>
          </cell>
          <cell r="P195">
            <v>0</v>
          </cell>
          <cell r="Q195">
            <v>117213.02</v>
          </cell>
          <cell r="R195">
            <v>58606.51</v>
          </cell>
          <cell r="S195">
            <v>58606.51</v>
          </cell>
          <cell r="T195">
            <v>58606.51</v>
          </cell>
          <cell r="U195">
            <v>58606.51</v>
          </cell>
          <cell r="V195">
            <v>58606.51</v>
          </cell>
          <cell r="W195">
            <v>31356</v>
          </cell>
          <cell r="X195">
            <v>0</v>
          </cell>
          <cell r="Y195">
            <v>0</v>
          </cell>
          <cell r="AB195">
            <v>441601.57</v>
          </cell>
        </row>
        <row r="196">
          <cell r="B196" t="str">
            <v>45112504511000019Admin Expenses-N1421125200104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40000</v>
          </cell>
          <cell r="S196">
            <v>40000</v>
          </cell>
          <cell r="T196">
            <v>40000</v>
          </cell>
          <cell r="U196">
            <v>40000</v>
          </cell>
          <cell r="V196">
            <v>40000</v>
          </cell>
          <cell r="W196">
            <v>71800</v>
          </cell>
          <cell r="X196">
            <v>0</v>
          </cell>
          <cell r="Y196">
            <v>0</v>
          </cell>
          <cell r="AB196">
            <v>271800</v>
          </cell>
        </row>
        <row r="197">
          <cell r="B197" t="str">
            <v>45112504511000019Hospitality-N424761200104</v>
          </cell>
          <cell r="N197">
            <v>0</v>
          </cell>
          <cell r="O197">
            <v>0</v>
          </cell>
          <cell r="P197">
            <v>0</v>
          </cell>
          <cell r="Q197">
            <v>60000</v>
          </cell>
          <cell r="R197">
            <v>30000</v>
          </cell>
          <cell r="S197">
            <v>30000</v>
          </cell>
          <cell r="T197">
            <v>30000</v>
          </cell>
          <cell r="U197">
            <v>30000</v>
          </cell>
          <cell r="V197">
            <v>30000</v>
          </cell>
          <cell r="W197">
            <v>30000</v>
          </cell>
          <cell r="X197">
            <v>25000</v>
          </cell>
          <cell r="Y197">
            <v>0</v>
          </cell>
          <cell r="AB197">
            <v>265000</v>
          </cell>
        </row>
        <row r="198">
          <cell r="B198" t="str">
            <v>45112504511000019Cleaning Service-N422311200104</v>
          </cell>
          <cell r="N198">
            <v>0</v>
          </cell>
          <cell r="O198">
            <v>0</v>
          </cell>
          <cell r="P198">
            <v>0</v>
          </cell>
          <cell r="Q198">
            <v>45000</v>
          </cell>
          <cell r="R198">
            <v>15000</v>
          </cell>
          <cell r="S198">
            <v>15000</v>
          </cell>
          <cell r="T198">
            <v>15000</v>
          </cell>
          <cell r="U198">
            <v>15000</v>
          </cell>
          <cell r="V198">
            <v>15000</v>
          </cell>
          <cell r="W198">
            <v>30000</v>
          </cell>
          <cell r="X198">
            <v>30000</v>
          </cell>
          <cell r="Y198">
            <v>38430</v>
          </cell>
          <cell r="AB198">
            <v>218430</v>
          </cell>
        </row>
        <row r="199">
          <cell r="B199" t="str">
            <v>45112504511000019Ad-hoc Repairs-N426427200104</v>
          </cell>
          <cell r="N199">
            <v>0</v>
          </cell>
          <cell r="O199">
            <v>0</v>
          </cell>
          <cell r="P199">
            <v>0</v>
          </cell>
          <cell r="Q199">
            <v>30000</v>
          </cell>
          <cell r="R199">
            <v>30000</v>
          </cell>
          <cell r="S199">
            <v>30000</v>
          </cell>
          <cell r="T199">
            <v>30000</v>
          </cell>
          <cell r="U199">
            <v>5316</v>
          </cell>
          <cell r="V199">
            <v>17658</v>
          </cell>
          <cell r="W199">
            <v>19368</v>
          </cell>
          <cell r="X199">
            <v>0</v>
          </cell>
          <cell r="Y199">
            <v>0</v>
          </cell>
          <cell r="AB199">
            <v>162342</v>
          </cell>
        </row>
        <row r="200">
          <cell r="B200" t="str">
            <v>45112504511000019Art Materials-N1432626200104</v>
          </cell>
          <cell r="N200">
            <v>0</v>
          </cell>
          <cell r="O200">
            <v>0</v>
          </cell>
          <cell r="P200">
            <v>0</v>
          </cell>
          <cell r="Q200">
            <v>75000</v>
          </cell>
          <cell r="R200">
            <v>0</v>
          </cell>
          <cell r="S200">
            <v>50000</v>
          </cell>
          <cell r="T200">
            <v>0</v>
          </cell>
          <cell r="U200">
            <v>0</v>
          </cell>
          <cell r="V200">
            <v>0</v>
          </cell>
          <cell r="W200">
            <v>25000</v>
          </cell>
          <cell r="X200">
            <v>0</v>
          </cell>
          <cell r="Y200">
            <v>0</v>
          </cell>
          <cell r="AB200">
            <v>150000</v>
          </cell>
        </row>
        <row r="201">
          <cell r="B201" t="str">
            <v>45112504511000019Landscaping-N432614200104</v>
          </cell>
          <cell r="N201">
            <v>0</v>
          </cell>
          <cell r="O201">
            <v>0</v>
          </cell>
          <cell r="P201">
            <v>0</v>
          </cell>
          <cell r="Q201">
            <v>20000</v>
          </cell>
          <cell r="R201">
            <v>20000</v>
          </cell>
          <cell r="S201">
            <v>20000</v>
          </cell>
          <cell r="T201">
            <v>20000</v>
          </cell>
          <cell r="U201">
            <v>20000</v>
          </cell>
          <cell r="V201">
            <v>20000</v>
          </cell>
          <cell r="W201">
            <v>4500</v>
          </cell>
          <cell r="X201">
            <v>0</v>
          </cell>
          <cell r="Y201">
            <v>0</v>
          </cell>
          <cell r="AB201">
            <v>124500</v>
          </cell>
        </row>
        <row r="202">
          <cell r="B202" t="str">
            <v>45112504511000019Pest Control-N422321200104</v>
          </cell>
          <cell r="N202">
            <v>0</v>
          </cell>
          <cell r="O202">
            <v>0</v>
          </cell>
          <cell r="P202">
            <v>0</v>
          </cell>
          <cell r="Q202">
            <v>30000</v>
          </cell>
          <cell r="R202">
            <v>10000</v>
          </cell>
          <cell r="S202">
            <v>10000</v>
          </cell>
          <cell r="T202">
            <v>10000</v>
          </cell>
          <cell r="U202">
            <v>1938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AB202">
            <v>57188</v>
          </cell>
        </row>
        <row r="203">
          <cell r="B203" t="str">
            <v>45112504511000063Activation&amp;Prog-N422401200104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1254037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AB203">
            <v>1254037</v>
          </cell>
        </row>
        <row r="204">
          <cell r="B204" t="str">
            <v>45102404511000445Procuremt Advice-N421191200104</v>
          </cell>
          <cell r="N204">
            <v>0</v>
          </cell>
          <cell r="O204">
            <v>0</v>
          </cell>
          <cell r="P204">
            <v>0</v>
          </cell>
          <cell r="Q204">
            <v>1980000</v>
          </cell>
          <cell r="R204">
            <v>990000</v>
          </cell>
          <cell r="S204">
            <v>0</v>
          </cell>
          <cell r="T204">
            <v>500000</v>
          </cell>
          <cell r="U204">
            <v>0</v>
          </cell>
          <cell r="V204">
            <v>0</v>
          </cell>
          <cell r="W204">
            <v>180000</v>
          </cell>
          <cell r="X204">
            <v>0</v>
          </cell>
          <cell r="Y204">
            <v>0</v>
          </cell>
          <cell r="AB204">
            <v>3470000</v>
          </cell>
        </row>
        <row r="205">
          <cell r="B205" t="str">
            <v>45112504511000063Security Service-N424551200104</v>
          </cell>
          <cell r="N205">
            <v>0</v>
          </cell>
          <cell r="O205">
            <v>0</v>
          </cell>
          <cell r="P205">
            <v>0</v>
          </cell>
          <cell r="Q205">
            <v>120000</v>
          </cell>
          <cell r="R205">
            <v>60000</v>
          </cell>
          <cell r="S205">
            <v>60000</v>
          </cell>
          <cell r="T205">
            <v>60000</v>
          </cell>
          <cell r="U205">
            <v>60000</v>
          </cell>
          <cell r="V205">
            <v>60000</v>
          </cell>
          <cell r="W205">
            <v>60000</v>
          </cell>
          <cell r="X205">
            <v>28881</v>
          </cell>
          <cell r="Y205">
            <v>0</v>
          </cell>
          <cell r="AB205">
            <v>508881</v>
          </cell>
        </row>
        <row r="206">
          <cell r="B206" t="str">
            <v>45112504511000063Maintenance-N426212200104</v>
          </cell>
          <cell r="N206">
            <v>0</v>
          </cell>
          <cell r="O206">
            <v>0</v>
          </cell>
          <cell r="P206">
            <v>0</v>
          </cell>
          <cell r="Q206">
            <v>139638.72</v>
          </cell>
          <cell r="R206">
            <v>69819.360000000001</v>
          </cell>
          <cell r="S206">
            <v>69819.360000000001</v>
          </cell>
          <cell r="T206">
            <v>69819.360000000001</v>
          </cell>
          <cell r="U206">
            <v>59906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AB206">
            <v>409002.8</v>
          </cell>
        </row>
        <row r="207">
          <cell r="B207" t="str">
            <v>45112504511000063Utilities-N423931200104</v>
          </cell>
          <cell r="N207">
            <v>0</v>
          </cell>
          <cell r="O207">
            <v>0</v>
          </cell>
          <cell r="P207">
            <v>0</v>
          </cell>
          <cell r="Q207">
            <v>40000</v>
          </cell>
          <cell r="R207">
            <v>20000</v>
          </cell>
          <cell r="S207">
            <v>20000</v>
          </cell>
          <cell r="T207">
            <v>20000</v>
          </cell>
          <cell r="U207">
            <v>25000</v>
          </cell>
          <cell r="V207">
            <v>25000</v>
          </cell>
          <cell r="W207">
            <v>25000</v>
          </cell>
          <cell r="X207">
            <v>37377</v>
          </cell>
          <cell r="Y207">
            <v>0</v>
          </cell>
          <cell r="AB207">
            <v>212377</v>
          </cell>
        </row>
        <row r="208">
          <cell r="B208" t="str">
            <v>45112504511000063Cleaning Service-N422311200104</v>
          </cell>
          <cell r="N208">
            <v>0</v>
          </cell>
          <cell r="O208">
            <v>0</v>
          </cell>
          <cell r="P208">
            <v>0</v>
          </cell>
          <cell r="Q208">
            <v>60000</v>
          </cell>
          <cell r="R208">
            <v>20000</v>
          </cell>
          <cell r="S208">
            <v>20000</v>
          </cell>
          <cell r="T208">
            <v>20000</v>
          </cell>
          <cell r="U208">
            <v>20000</v>
          </cell>
          <cell r="V208">
            <v>20000</v>
          </cell>
          <cell r="W208">
            <v>20698</v>
          </cell>
          <cell r="X208">
            <v>0</v>
          </cell>
          <cell r="Y208">
            <v>0</v>
          </cell>
          <cell r="AB208">
            <v>180698</v>
          </cell>
        </row>
        <row r="209">
          <cell r="B209" t="str">
            <v>45112504511000063Admin Expenses-N1421125200104</v>
          </cell>
          <cell r="N209">
            <v>0</v>
          </cell>
          <cell r="O209">
            <v>0</v>
          </cell>
          <cell r="P209">
            <v>0</v>
          </cell>
          <cell r="Q209">
            <v>40000</v>
          </cell>
          <cell r="R209">
            <v>40000</v>
          </cell>
          <cell r="S209">
            <v>40000</v>
          </cell>
          <cell r="T209">
            <v>51500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AB209">
            <v>171500</v>
          </cell>
        </row>
        <row r="210">
          <cell r="B210" t="str">
            <v>45112504511000063Landscaping-N432614200104</v>
          </cell>
          <cell r="N210">
            <v>0</v>
          </cell>
          <cell r="O210">
            <v>0</v>
          </cell>
          <cell r="P210">
            <v>0</v>
          </cell>
          <cell r="Q210">
            <v>45000</v>
          </cell>
          <cell r="R210">
            <v>15000</v>
          </cell>
          <cell r="S210">
            <v>15000</v>
          </cell>
          <cell r="T210">
            <v>15000</v>
          </cell>
          <cell r="U210">
            <v>15000</v>
          </cell>
          <cell r="V210">
            <v>15000</v>
          </cell>
          <cell r="W210">
            <v>16679</v>
          </cell>
          <cell r="X210">
            <v>0</v>
          </cell>
          <cell r="Y210">
            <v>0</v>
          </cell>
          <cell r="AB210">
            <v>136679</v>
          </cell>
        </row>
        <row r="211">
          <cell r="B211" t="str">
            <v>45112504511000063Edu &amp; Outreach-N422401200104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135000</v>
          </cell>
          <cell r="Y211">
            <v>0</v>
          </cell>
          <cell r="AB211">
            <v>120000</v>
          </cell>
        </row>
        <row r="212">
          <cell r="B212" t="str">
            <v>45112504511000063Pest Control-N422321200104</v>
          </cell>
          <cell r="N212">
            <v>0</v>
          </cell>
          <cell r="O212">
            <v>0</v>
          </cell>
          <cell r="P212">
            <v>0</v>
          </cell>
          <cell r="Q212">
            <v>20000</v>
          </cell>
          <cell r="R212">
            <v>10000</v>
          </cell>
          <cell r="S212">
            <v>10000</v>
          </cell>
          <cell r="T212">
            <v>10000</v>
          </cell>
          <cell r="U212">
            <v>10000</v>
          </cell>
          <cell r="V212">
            <v>10000</v>
          </cell>
          <cell r="W212">
            <v>10000</v>
          </cell>
          <cell r="X212">
            <v>12340</v>
          </cell>
          <cell r="Y212">
            <v>0</v>
          </cell>
          <cell r="AB212">
            <v>92340</v>
          </cell>
        </row>
        <row r="213">
          <cell r="B213" t="str">
            <v>45112504511000063Hospitality-N424761200104</v>
          </cell>
          <cell r="N213">
            <v>0</v>
          </cell>
          <cell r="O213">
            <v>0</v>
          </cell>
          <cell r="P213">
            <v>0</v>
          </cell>
          <cell r="Q213">
            <v>30000</v>
          </cell>
          <cell r="R213">
            <v>10000</v>
          </cell>
          <cell r="S213">
            <v>10000</v>
          </cell>
          <cell r="T213">
            <v>10000</v>
          </cell>
          <cell r="U213">
            <v>10000</v>
          </cell>
          <cell r="V213">
            <v>10529</v>
          </cell>
          <cell r="W213">
            <v>0</v>
          </cell>
          <cell r="X213">
            <v>0</v>
          </cell>
          <cell r="Y213">
            <v>0</v>
          </cell>
          <cell r="AB213">
            <v>80529</v>
          </cell>
        </row>
        <row r="214">
          <cell r="B214" t="str">
            <v>45112504511000064Lease Improve-N490600300105</v>
          </cell>
          <cell r="N214">
            <v>0</v>
          </cell>
          <cell r="O214">
            <v>0</v>
          </cell>
          <cell r="P214">
            <v>0</v>
          </cell>
          <cell r="Q214">
            <v>482713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AB214">
            <v>482713</v>
          </cell>
        </row>
        <row r="215">
          <cell r="B215" t="str">
            <v>45112504511000064Activation&amp;Prog-N422401200104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1350000</v>
          </cell>
          <cell r="AB215">
            <v>1350000</v>
          </cell>
        </row>
        <row r="216">
          <cell r="B216" t="str">
            <v>45112504511000283Manpower-N424521200104</v>
          </cell>
          <cell r="N216">
            <v>0</v>
          </cell>
          <cell r="O216">
            <v>0</v>
          </cell>
          <cell r="P216">
            <v>0</v>
          </cell>
          <cell r="Q216">
            <v>829505</v>
          </cell>
          <cell r="R216">
            <v>207376.25</v>
          </cell>
          <cell r="S216">
            <v>207376.25</v>
          </cell>
          <cell r="T216">
            <v>207376.25</v>
          </cell>
          <cell r="U216">
            <v>207376.25</v>
          </cell>
          <cell r="V216">
            <v>207376.25</v>
          </cell>
          <cell r="W216">
            <v>207376.25</v>
          </cell>
          <cell r="X216">
            <v>207376.25</v>
          </cell>
          <cell r="Y216">
            <v>207376.25</v>
          </cell>
          <cell r="AB216">
            <v>2501605</v>
          </cell>
        </row>
        <row r="217">
          <cell r="B217" t="str">
            <v>45112504511000064Maintenance-N426212200104</v>
          </cell>
          <cell r="N217">
            <v>0</v>
          </cell>
          <cell r="O217">
            <v>0</v>
          </cell>
          <cell r="P217">
            <v>0</v>
          </cell>
          <cell r="Q217">
            <v>103601.99</v>
          </cell>
          <cell r="R217">
            <v>103601.99</v>
          </cell>
          <cell r="S217">
            <v>103601.99</v>
          </cell>
          <cell r="T217">
            <v>103601.99</v>
          </cell>
          <cell r="U217">
            <v>103601.99</v>
          </cell>
          <cell r="V217">
            <v>94031</v>
          </cell>
          <cell r="W217">
            <v>0</v>
          </cell>
          <cell r="X217">
            <v>0</v>
          </cell>
          <cell r="Y217">
            <v>0</v>
          </cell>
          <cell r="AB217">
            <v>612040.94999999995</v>
          </cell>
        </row>
        <row r="218">
          <cell r="B218" t="str">
            <v>45112504511000064Security Service-N424551200104</v>
          </cell>
          <cell r="N218">
            <v>0</v>
          </cell>
          <cell r="O218">
            <v>0</v>
          </cell>
          <cell r="P218">
            <v>0</v>
          </cell>
          <cell r="Q218">
            <v>120000</v>
          </cell>
          <cell r="R218">
            <v>60000</v>
          </cell>
          <cell r="S218">
            <v>60000</v>
          </cell>
          <cell r="T218">
            <v>60000</v>
          </cell>
          <cell r="U218">
            <v>60000</v>
          </cell>
          <cell r="V218">
            <v>60000</v>
          </cell>
          <cell r="W218">
            <v>60000</v>
          </cell>
          <cell r="X218">
            <v>77135</v>
          </cell>
          <cell r="Y218">
            <v>0</v>
          </cell>
          <cell r="AB218">
            <v>557135</v>
          </cell>
        </row>
        <row r="219">
          <cell r="B219" t="str">
            <v>45112504511000064Ad-hoc Repairs-N426427200104</v>
          </cell>
          <cell r="N219">
            <v>0</v>
          </cell>
          <cell r="O219">
            <v>0</v>
          </cell>
          <cell r="P219">
            <v>0</v>
          </cell>
          <cell r="Q219">
            <v>120000</v>
          </cell>
          <cell r="R219">
            <v>60000</v>
          </cell>
          <cell r="S219">
            <v>60000</v>
          </cell>
          <cell r="T219">
            <v>60000</v>
          </cell>
          <cell r="U219">
            <v>60000</v>
          </cell>
          <cell r="V219">
            <v>60000</v>
          </cell>
          <cell r="W219">
            <v>43872</v>
          </cell>
          <cell r="X219">
            <v>0</v>
          </cell>
          <cell r="Y219">
            <v>0</v>
          </cell>
          <cell r="AB219">
            <v>463872</v>
          </cell>
        </row>
        <row r="220">
          <cell r="B220" t="str">
            <v>45112504511000064Cleaning Service-N422311200104</v>
          </cell>
          <cell r="N220">
            <v>0</v>
          </cell>
          <cell r="O220">
            <v>0</v>
          </cell>
          <cell r="P220">
            <v>0</v>
          </cell>
          <cell r="Q220">
            <v>60000</v>
          </cell>
          <cell r="R220">
            <v>30000</v>
          </cell>
          <cell r="S220">
            <v>30000</v>
          </cell>
          <cell r="T220">
            <v>30000</v>
          </cell>
          <cell r="U220">
            <v>30000</v>
          </cell>
          <cell r="V220">
            <v>30000</v>
          </cell>
          <cell r="W220">
            <v>30000</v>
          </cell>
          <cell r="X220">
            <v>48599</v>
          </cell>
          <cell r="Y220">
            <v>0</v>
          </cell>
          <cell r="AB220">
            <v>288599</v>
          </cell>
        </row>
        <row r="221">
          <cell r="B221" t="str">
            <v>45112504511000064Landscaping-N432614200104</v>
          </cell>
          <cell r="N221">
            <v>0</v>
          </cell>
          <cell r="O221">
            <v>0</v>
          </cell>
          <cell r="P221">
            <v>0</v>
          </cell>
          <cell r="Q221">
            <v>60000</v>
          </cell>
          <cell r="R221">
            <v>30000</v>
          </cell>
          <cell r="S221">
            <v>30000</v>
          </cell>
          <cell r="T221">
            <v>30000</v>
          </cell>
          <cell r="U221">
            <v>30000</v>
          </cell>
          <cell r="V221">
            <v>30000</v>
          </cell>
          <cell r="W221">
            <v>30000</v>
          </cell>
          <cell r="X221">
            <v>36212</v>
          </cell>
          <cell r="Y221">
            <v>0</v>
          </cell>
          <cell r="AB221">
            <v>276212</v>
          </cell>
        </row>
        <row r="222">
          <cell r="B222" t="str">
            <v>45112504511000064Hospitality-N424761200104</v>
          </cell>
          <cell r="N222">
            <v>0</v>
          </cell>
          <cell r="O222">
            <v>0</v>
          </cell>
          <cell r="P222">
            <v>0</v>
          </cell>
          <cell r="Q222">
            <v>40000</v>
          </cell>
          <cell r="R222">
            <v>20000</v>
          </cell>
          <cell r="S222">
            <v>20000</v>
          </cell>
          <cell r="T222">
            <v>20000</v>
          </cell>
          <cell r="U222">
            <v>20000</v>
          </cell>
          <cell r="V222">
            <v>20000</v>
          </cell>
          <cell r="W222">
            <v>5067</v>
          </cell>
          <cell r="X222">
            <v>0</v>
          </cell>
          <cell r="Y222">
            <v>0</v>
          </cell>
          <cell r="AB222">
            <v>145067</v>
          </cell>
        </row>
        <row r="223">
          <cell r="B223" t="str">
            <v>45131304511001559General Retainer-L421125201931</v>
          </cell>
          <cell r="N223">
            <v>0</v>
          </cell>
          <cell r="O223">
            <v>0</v>
          </cell>
          <cell r="P223">
            <v>0</v>
          </cell>
          <cell r="Q223">
            <v>1188704</v>
          </cell>
          <cell r="R223">
            <v>297176</v>
          </cell>
          <cell r="S223">
            <v>297176</v>
          </cell>
          <cell r="T223">
            <v>297176</v>
          </cell>
          <cell r="U223">
            <v>297176</v>
          </cell>
          <cell r="V223">
            <v>297176</v>
          </cell>
          <cell r="W223">
            <v>297176</v>
          </cell>
          <cell r="X223">
            <v>297176</v>
          </cell>
          <cell r="Y223">
            <v>297176</v>
          </cell>
          <cell r="AB223">
            <v>3566112</v>
          </cell>
        </row>
        <row r="224">
          <cell r="B224" t="str">
            <v>45112504511000064Pest Control-N422321200104</v>
          </cell>
          <cell r="N224">
            <v>0</v>
          </cell>
          <cell r="O224">
            <v>0</v>
          </cell>
          <cell r="P224">
            <v>0</v>
          </cell>
          <cell r="Q224">
            <v>20000</v>
          </cell>
          <cell r="R224">
            <v>10000</v>
          </cell>
          <cell r="S224">
            <v>10000</v>
          </cell>
          <cell r="T224">
            <v>10000</v>
          </cell>
          <cell r="U224">
            <v>10000</v>
          </cell>
          <cell r="V224">
            <v>329</v>
          </cell>
          <cell r="W224">
            <v>0</v>
          </cell>
          <cell r="X224">
            <v>0</v>
          </cell>
          <cell r="Y224">
            <v>0</v>
          </cell>
          <cell r="AB224">
            <v>60329</v>
          </cell>
        </row>
        <row r="225">
          <cell r="B225" t="str">
            <v>45112504511000086Freelancers-N424521200104</v>
          </cell>
          <cell r="N225">
            <v>0</v>
          </cell>
          <cell r="O225">
            <v>224000</v>
          </cell>
          <cell r="P225">
            <v>112000</v>
          </cell>
          <cell r="Q225">
            <v>112000</v>
          </cell>
          <cell r="R225">
            <v>112000</v>
          </cell>
          <cell r="S225">
            <v>112000</v>
          </cell>
          <cell r="T225">
            <v>112000</v>
          </cell>
          <cell r="U225">
            <v>112000</v>
          </cell>
          <cell r="V225">
            <v>112000</v>
          </cell>
          <cell r="W225">
            <v>112000</v>
          </cell>
          <cell r="X225">
            <v>112000</v>
          </cell>
          <cell r="Y225">
            <v>112000</v>
          </cell>
          <cell r="AB225">
            <v>1344000</v>
          </cell>
        </row>
        <row r="226">
          <cell r="B226" t="str">
            <v>45112504511000086Activation&amp;Prog-N422401200104</v>
          </cell>
          <cell r="N226">
            <v>0</v>
          </cell>
          <cell r="O226">
            <v>0</v>
          </cell>
          <cell r="P226">
            <v>0</v>
          </cell>
          <cell r="Q226">
            <v>29400</v>
          </cell>
          <cell r="R226">
            <v>40000</v>
          </cell>
          <cell r="S226">
            <v>0</v>
          </cell>
          <cell r="T226">
            <v>0</v>
          </cell>
          <cell r="U226">
            <v>0</v>
          </cell>
          <cell r="V226">
            <v>80000</v>
          </cell>
          <cell r="W226">
            <v>155000</v>
          </cell>
          <cell r="X226">
            <v>45000</v>
          </cell>
          <cell r="Y226">
            <v>91000</v>
          </cell>
          <cell r="AB226">
            <v>440400</v>
          </cell>
        </row>
        <row r="227">
          <cell r="B227" t="str">
            <v>45112504511000086Manpower-N424521200104</v>
          </cell>
          <cell r="N227">
            <v>0</v>
          </cell>
          <cell r="O227">
            <v>0</v>
          </cell>
          <cell r="P227">
            <v>0</v>
          </cell>
          <cell r="Q227">
            <v>75012</v>
          </cell>
          <cell r="R227">
            <v>19396</v>
          </cell>
          <cell r="S227">
            <v>19396</v>
          </cell>
          <cell r="T227">
            <v>19396</v>
          </cell>
          <cell r="U227">
            <v>19396</v>
          </cell>
          <cell r="V227">
            <v>19396</v>
          </cell>
          <cell r="W227">
            <v>19396</v>
          </cell>
          <cell r="X227">
            <v>19396</v>
          </cell>
          <cell r="Y227">
            <v>19396</v>
          </cell>
          <cell r="AB227">
            <v>230180</v>
          </cell>
        </row>
        <row r="228">
          <cell r="B228" t="str">
            <v>45112504511000820Manpower-N424521200104</v>
          </cell>
          <cell r="N228">
            <v>0</v>
          </cell>
          <cell r="O228">
            <v>243456.71</v>
          </cell>
          <cell r="P228">
            <v>0</v>
          </cell>
          <cell r="Q228">
            <v>838470.31</v>
          </cell>
          <cell r="R228">
            <v>279490.01</v>
          </cell>
          <cell r="S228">
            <v>279490.01</v>
          </cell>
          <cell r="T228">
            <v>279490.01</v>
          </cell>
          <cell r="U228">
            <v>279490.01</v>
          </cell>
          <cell r="V228">
            <v>279490.01</v>
          </cell>
          <cell r="W228">
            <v>279490.01</v>
          </cell>
          <cell r="X228">
            <v>279490.01</v>
          </cell>
          <cell r="Y228">
            <v>279490.01</v>
          </cell>
          <cell r="AB228">
            <v>3317847.0999999996</v>
          </cell>
        </row>
        <row r="229">
          <cell r="B229" t="str">
            <v>45112504511000186Utilities-N423931200104</v>
          </cell>
          <cell r="N229">
            <v>0</v>
          </cell>
          <cell r="O229">
            <v>0</v>
          </cell>
          <cell r="P229">
            <v>0</v>
          </cell>
          <cell r="Q229">
            <v>40000</v>
          </cell>
          <cell r="R229">
            <v>20000</v>
          </cell>
          <cell r="S229">
            <v>30000</v>
          </cell>
          <cell r="T229">
            <v>30000</v>
          </cell>
          <cell r="U229">
            <v>30000</v>
          </cell>
          <cell r="V229">
            <v>30000</v>
          </cell>
          <cell r="W229">
            <v>30000</v>
          </cell>
          <cell r="X229">
            <v>37416</v>
          </cell>
          <cell r="Y229">
            <v>0</v>
          </cell>
          <cell r="AB229">
            <v>247416</v>
          </cell>
        </row>
        <row r="230">
          <cell r="B230" t="str">
            <v>45112504511000187Lease Improve-N490600300105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967287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AB230">
            <v>967287</v>
          </cell>
        </row>
        <row r="231">
          <cell r="B231" t="str">
            <v>45112504511000187Activation&amp;Prog-N422401200104</v>
          </cell>
          <cell r="N231">
            <v>0</v>
          </cell>
          <cell r="O231">
            <v>0</v>
          </cell>
          <cell r="P231">
            <v>0</v>
          </cell>
          <cell r="Q231">
            <v>915000</v>
          </cell>
          <cell r="R231">
            <v>250000</v>
          </cell>
          <cell r="S231">
            <v>90000</v>
          </cell>
          <cell r="T231">
            <v>300000</v>
          </cell>
          <cell r="U231">
            <v>130000</v>
          </cell>
          <cell r="V231">
            <v>90000</v>
          </cell>
          <cell r="W231">
            <v>140000</v>
          </cell>
          <cell r="X231">
            <v>465000</v>
          </cell>
          <cell r="Y231">
            <v>180000</v>
          </cell>
          <cell r="AB231">
            <v>2161760</v>
          </cell>
        </row>
        <row r="232">
          <cell r="B232" t="str">
            <v>45112504511000187Maintenance-N426212200104</v>
          </cell>
          <cell r="N232">
            <v>0</v>
          </cell>
          <cell r="O232">
            <v>0</v>
          </cell>
          <cell r="P232">
            <v>0</v>
          </cell>
          <cell r="Q232">
            <v>634615.02</v>
          </cell>
          <cell r="R232">
            <v>211538.34</v>
          </cell>
          <cell r="S232">
            <v>211538.34</v>
          </cell>
          <cell r="T232">
            <v>211538.34</v>
          </cell>
          <cell r="U232">
            <v>211538.34</v>
          </cell>
          <cell r="V232">
            <v>211538.34</v>
          </cell>
          <cell r="W232">
            <v>211538.34</v>
          </cell>
          <cell r="X232">
            <v>245104</v>
          </cell>
          <cell r="Y232">
            <v>0</v>
          </cell>
          <cell r="AB232">
            <v>2148949.0600000005</v>
          </cell>
        </row>
        <row r="233">
          <cell r="B233" t="str">
            <v>45112504511000187Utilities-N423931200104</v>
          </cell>
          <cell r="N233">
            <v>0</v>
          </cell>
          <cell r="O233">
            <v>0</v>
          </cell>
          <cell r="P233">
            <v>0</v>
          </cell>
          <cell r="Q233">
            <v>577544</v>
          </cell>
          <cell r="R233">
            <v>288772</v>
          </cell>
          <cell r="S233">
            <v>288772</v>
          </cell>
          <cell r="T233">
            <v>288772</v>
          </cell>
          <cell r="U233">
            <v>288772</v>
          </cell>
          <cell r="V233">
            <v>304185</v>
          </cell>
          <cell r="W233">
            <v>0</v>
          </cell>
          <cell r="X233">
            <v>0</v>
          </cell>
          <cell r="Y233">
            <v>0</v>
          </cell>
          <cell r="AB233">
            <v>2036817</v>
          </cell>
        </row>
        <row r="234">
          <cell r="B234" t="str">
            <v>45112504511000526Manpower-N424521200104</v>
          </cell>
          <cell r="N234">
            <v>0</v>
          </cell>
          <cell r="O234">
            <v>0</v>
          </cell>
          <cell r="P234">
            <v>268021.15999999997</v>
          </cell>
          <cell r="Q234">
            <v>134010.58000000002</v>
          </cell>
          <cell r="R234">
            <v>134010.57999999999</v>
          </cell>
          <cell r="S234">
            <v>134010.57999999999</v>
          </cell>
          <cell r="T234">
            <v>134010.57999999999</v>
          </cell>
          <cell r="U234">
            <v>134010.57999999999</v>
          </cell>
          <cell r="V234">
            <v>134010.57999999999</v>
          </cell>
          <cell r="W234">
            <v>134010.57999999999</v>
          </cell>
          <cell r="X234">
            <v>134010.57999999999</v>
          </cell>
          <cell r="Y234">
            <v>134010.57999999999</v>
          </cell>
          <cell r="AB234">
            <v>1474116.3800000001</v>
          </cell>
        </row>
        <row r="235">
          <cell r="B235" t="str">
            <v>45112504511000187Cleaning Service-N422311200104</v>
          </cell>
          <cell r="N235">
            <v>0</v>
          </cell>
          <cell r="O235">
            <v>0</v>
          </cell>
          <cell r="P235">
            <v>0</v>
          </cell>
          <cell r="Q235">
            <v>265584.25</v>
          </cell>
          <cell r="R235">
            <v>88528.083333333328</v>
          </cell>
          <cell r="S235">
            <v>88528.083333333328</v>
          </cell>
          <cell r="T235">
            <v>88528.083333333328</v>
          </cell>
          <cell r="U235">
            <v>88528.083333333328</v>
          </cell>
          <cell r="V235">
            <v>88528.083333333328</v>
          </cell>
          <cell r="W235">
            <v>88528.083333333328</v>
          </cell>
          <cell r="X235">
            <v>88528.083333333328</v>
          </cell>
          <cell r="Y235">
            <v>177056.16666666666</v>
          </cell>
          <cell r="AB235">
            <v>1062337.0000000002</v>
          </cell>
        </row>
        <row r="236">
          <cell r="B236" t="str">
            <v>45112504511000187Security Service-N424551200104</v>
          </cell>
          <cell r="N236">
            <v>0</v>
          </cell>
          <cell r="O236">
            <v>0</v>
          </cell>
          <cell r="P236">
            <v>0</v>
          </cell>
          <cell r="Q236">
            <v>268650</v>
          </cell>
          <cell r="R236">
            <v>89550</v>
          </cell>
          <cell r="S236">
            <v>89550</v>
          </cell>
          <cell r="T236">
            <v>89550</v>
          </cell>
          <cell r="U236">
            <v>89550</v>
          </cell>
          <cell r="V236">
            <v>89550</v>
          </cell>
          <cell r="W236">
            <v>89550</v>
          </cell>
          <cell r="X236">
            <v>25555</v>
          </cell>
          <cell r="Y236">
            <v>0</v>
          </cell>
          <cell r="AB236">
            <v>837746</v>
          </cell>
        </row>
        <row r="237">
          <cell r="B237" t="str">
            <v>45112504511000187Landscaping-N432614200104</v>
          </cell>
          <cell r="N237">
            <v>0</v>
          </cell>
          <cell r="O237">
            <v>0</v>
          </cell>
          <cell r="P237">
            <v>0</v>
          </cell>
          <cell r="Q237">
            <v>154363.74</v>
          </cell>
          <cell r="R237">
            <v>51454.58</v>
          </cell>
          <cell r="S237">
            <v>51454.58</v>
          </cell>
          <cell r="T237">
            <v>51454.58</v>
          </cell>
          <cell r="U237">
            <v>51454.58</v>
          </cell>
          <cell r="V237">
            <v>51454.58</v>
          </cell>
          <cell r="W237">
            <v>51454.58</v>
          </cell>
          <cell r="X237">
            <v>51454.58</v>
          </cell>
          <cell r="Y237">
            <v>102904</v>
          </cell>
          <cell r="AB237">
            <v>617449.80000000005</v>
          </cell>
        </row>
        <row r="238">
          <cell r="B238" t="str">
            <v>45112504511000187Admin Expenses-N1421125200104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124000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200000</v>
          </cell>
          <cell r="AB238">
            <v>324000</v>
          </cell>
        </row>
        <row r="239">
          <cell r="B239" t="str">
            <v>45112504511000187Freelancers-N424521200104</v>
          </cell>
          <cell r="N239">
            <v>0</v>
          </cell>
          <cell r="O239">
            <v>0</v>
          </cell>
          <cell r="P239">
            <v>36000</v>
          </cell>
          <cell r="Q239">
            <v>12000</v>
          </cell>
          <cell r="R239">
            <v>12000</v>
          </cell>
          <cell r="S239">
            <v>12000</v>
          </cell>
          <cell r="T239">
            <v>12000</v>
          </cell>
          <cell r="U239">
            <v>12000</v>
          </cell>
          <cell r="V239">
            <v>12000</v>
          </cell>
          <cell r="W239">
            <v>12000</v>
          </cell>
          <cell r="X239">
            <v>12000</v>
          </cell>
          <cell r="Y239">
            <v>12000</v>
          </cell>
          <cell r="AB239">
            <v>536000</v>
          </cell>
        </row>
        <row r="240">
          <cell r="B240" t="str">
            <v>45112504511000187Pest Control-N422321200104</v>
          </cell>
          <cell r="N240">
            <v>0</v>
          </cell>
          <cell r="O240">
            <v>0</v>
          </cell>
          <cell r="P240">
            <v>0</v>
          </cell>
          <cell r="Q240">
            <v>31050</v>
          </cell>
          <cell r="R240">
            <v>10350</v>
          </cell>
          <cell r="S240">
            <v>10350</v>
          </cell>
          <cell r="T240">
            <v>10350</v>
          </cell>
          <cell r="U240">
            <v>10350</v>
          </cell>
          <cell r="V240">
            <v>10350</v>
          </cell>
          <cell r="W240">
            <v>10350</v>
          </cell>
          <cell r="X240">
            <v>10350</v>
          </cell>
          <cell r="Y240">
            <v>20700</v>
          </cell>
          <cell r="AB240">
            <v>124200</v>
          </cell>
        </row>
        <row r="241">
          <cell r="B241" t="str">
            <v>45112504511000187Hospitality-N424761200104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69455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AB241">
            <v>69455</v>
          </cell>
        </row>
        <row r="242">
          <cell r="B242" t="str">
            <v>45112504511000217Activation&amp;Prog-N422401200104</v>
          </cell>
          <cell r="N242">
            <v>0</v>
          </cell>
          <cell r="O242">
            <v>0</v>
          </cell>
          <cell r="P242">
            <v>0</v>
          </cell>
          <cell r="Q242">
            <v>350000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1503400</v>
          </cell>
          <cell r="AB242">
            <v>1853400</v>
          </cell>
        </row>
        <row r="243">
          <cell r="B243" t="str">
            <v>45112504511000217Security Service-N424551200104</v>
          </cell>
          <cell r="N243">
            <v>0</v>
          </cell>
          <cell r="O243">
            <v>0</v>
          </cell>
          <cell r="P243">
            <v>0</v>
          </cell>
          <cell r="Q243">
            <v>165000</v>
          </cell>
          <cell r="R243">
            <v>55000</v>
          </cell>
          <cell r="S243">
            <v>60000</v>
          </cell>
          <cell r="T243">
            <v>60000</v>
          </cell>
          <cell r="U243">
            <v>60000</v>
          </cell>
          <cell r="V243">
            <v>60000</v>
          </cell>
          <cell r="W243">
            <v>65000</v>
          </cell>
          <cell r="X243">
            <v>70000</v>
          </cell>
          <cell r="Y243">
            <v>52152</v>
          </cell>
          <cell r="AB243">
            <v>647152</v>
          </cell>
        </row>
        <row r="244">
          <cell r="B244" t="str">
            <v>45112504511000583Activation&amp;Prog-N422401200104</v>
          </cell>
          <cell r="N244">
            <v>0</v>
          </cell>
          <cell r="O244">
            <v>0</v>
          </cell>
          <cell r="P244">
            <v>0</v>
          </cell>
          <cell r="Q244">
            <v>427400</v>
          </cell>
          <cell r="R244">
            <v>50000</v>
          </cell>
          <cell r="S244">
            <v>400000</v>
          </cell>
          <cell r="T244">
            <v>0</v>
          </cell>
          <cell r="U244">
            <v>0</v>
          </cell>
          <cell r="V244">
            <v>32600</v>
          </cell>
          <cell r="W244">
            <v>0</v>
          </cell>
          <cell r="X244">
            <v>290000</v>
          </cell>
          <cell r="Y244">
            <v>0</v>
          </cell>
          <cell r="AB244">
            <v>1200000</v>
          </cell>
        </row>
        <row r="245">
          <cell r="B245" t="str">
            <v>45112504511000217Maintenance-N426212200104</v>
          </cell>
          <cell r="N245">
            <v>0</v>
          </cell>
          <cell r="O245">
            <v>0</v>
          </cell>
          <cell r="P245">
            <v>0</v>
          </cell>
          <cell r="Q245">
            <v>120000</v>
          </cell>
          <cell r="R245">
            <v>60000</v>
          </cell>
          <cell r="S245">
            <v>60000</v>
          </cell>
          <cell r="T245">
            <v>60000</v>
          </cell>
          <cell r="U245">
            <v>60000</v>
          </cell>
          <cell r="V245">
            <v>60000</v>
          </cell>
          <cell r="W245">
            <v>2242</v>
          </cell>
          <cell r="X245">
            <v>0</v>
          </cell>
          <cell r="Y245">
            <v>0</v>
          </cell>
          <cell r="AB245">
            <v>422242</v>
          </cell>
        </row>
        <row r="246">
          <cell r="B246" t="str">
            <v>45112504511000217Cleaning Service-N422311200104</v>
          </cell>
          <cell r="N246">
            <v>0</v>
          </cell>
          <cell r="O246">
            <v>0</v>
          </cell>
          <cell r="P246">
            <v>0</v>
          </cell>
          <cell r="Q246">
            <v>80000</v>
          </cell>
          <cell r="R246">
            <v>40000</v>
          </cell>
          <cell r="S246">
            <v>40000</v>
          </cell>
          <cell r="T246">
            <v>40000</v>
          </cell>
          <cell r="U246">
            <v>40000</v>
          </cell>
          <cell r="V246">
            <v>40000</v>
          </cell>
          <cell r="W246">
            <v>40000</v>
          </cell>
          <cell r="X246">
            <v>40000</v>
          </cell>
          <cell r="Y246">
            <v>1594</v>
          </cell>
          <cell r="AB246">
            <v>361594</v>
          </cell>
        </row>
        <row r="247">
          <cell r="B247" t="str">
            <v>45112504511000217Admin Expenses-N1421125200104</v>
          </cell>
          <cell r="N247">
            <v>0</v>
          </cell>
          <cell r="O247">
            <v>0</v>
          </cell>
          <cell r="P247">
            <v>0</v>
          </cell>
          <cell r="Q247">
            <v>39200</v>
          </cell>
          <cell r="R247">
            <v>40000</v>
          </cell>
          <cell r="S247">
            <v>40000</v>
          </cell>
          <cell r="T247">
            <v>40000</v>
          </cell>
          <cell r="U247">
            <v>40000</v>
          </cell>
          <cell r="V247">
            <v>40000</v>
          </cell>
          <cell r="W247">
            <v>21600</v>
          </cell>
          <cell r="X247">
            <v>0</v>
          </cell>
          <cell r="Y247">
            <v>0</v>
          </cell>
          <cell r="AB247">
            <v>260800</v>
          </cell>
        </row>
        <row r="248">
          <cell r="B248" t="str">
            <v>45112504511000217Utilities-N423931200104</v>
          </cell>
          <cell r="N248">
            <v>0</v>
          </cell>
          <cell r="O248">
            <v>0</v>
          </cell>
          <cell r="P248">
            <v>0</v>
          </cell>
          <cell r="Q248">
            <v>50000</v>
          </cell>
          <cell r="R248">
            <v>25000</v>
          </cell>
          <cell r="S248">
            <v>25000</v>
          </cell>
          <cell r="T248">
            <v>25000</v>
          </cell>
          <cell r="U248">
            <v>25000</v>
          </cell>
          <cell r="V248">
            <v>25500</v>
          </cell>
          <cell r="W248">
            <v>29500</v>
          </cell>
          <cell r="X248">
            <v>28520</v>
          </cell>
          <cell r="Y248">
            <v>0</v>
          </cell>
          <cell r="AB248">
            <v>233520</v>
          </cell>
        </row>
        <row r="249">
          <cell r="B249" t="str">
            <v>45112504511000217Ad-hoc Repairs-N426427200104</v>
          </cell>
          <cell r="N249">
            <v>0</v>
          </cell>
          <cell r="O249">
            <v>0</v>
          </cell>
          <cell r="P249">
            <v>0</v>
          </cell>
          <cell r="Q249">
            <v>60000</v>
          </cell>
          <cell r="R249">
            <v>30000</v>
          </cell>
          <cell r="S249">
            <v>30000</v>
          </cell>
          <cell r="T249">
            <v>30000</v>
          </cell>
          <cell r="U249">
            <v>30000</v>
          </cell>
          <cell r="V249">
            <v>12347</v>
          </cell>
          <cell r="W249">
            <v>0</v>
          </cell>
          <cell r="X249">
            <v>0</v>
          </cell>
          <cell r="Y249">
            <v>0</v>
          </cell>
          <cell r="AB249">
            <v>192347</v>
          </cell>
        </row>
        <row r="250">
          <cell r="B250" t="str">
            <v>45112504511000217Landscaping-N432614200104</v>
          </cell>
          <cell r="N250">
            <v>0</v>
          </cell>
          <cell r="O250">
            <v>0</v>
          </cell>
          <cell r="P250">
            <v>0</v>
          </cell>
          <cell r="Q250">
            <v>60000</v>
          </cell>
          <cell r="R250">
            <v>30000</v>
          </cell>
          <cell r="S250">
            <v>30000</v>
          </cell>
          <cell r="T250">
            <v>30000</v>
          </cell>
          <cell r="U250">
            <v>19860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AB250">
            <v>169860</v>
          </cell>
        </row>
        <row r="251">
          <cell r="B251" t="str">
            <v>45112504511000217Hospitality-N424761200104</v>
          </cell>
          <cell r="N251">
            <v>0</v>
          </cell>
          <cell r="O251">
            <v>0</v>
          </cell>
          <cell r="P251">
            <v>0</v>
          </cell>
          <cell r="Q251">
            <v>60000</v>
          </cell>
          <cell r="R251">
            <v>30000</v>
          </cell>
          <cell r="S251">
            <v>30000</v>
          </cell>
          <cell r="T251">
            <v>30000</v>
          </cell>
          <cell r="U251">
            <v>1485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AB251">
            <v>151485</v>
          </cell>
        </row>
        <row r="252">
          <cell r="B252" t="str">
            <v>45112504511000217Edu &amp; Outreach-N422401200104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135000</v>
          </cell>
          <cell r="Y252">
            <v>0</v>
          </cell>
          <cell r="AB252">
            <v>150000</v>
          </cell>
        </row>
        <row r="253">
          <cell r="B253" t="str">
            <v>45112504511000218Freelancers-N424521200104</v>
          </cell>
          <cell r="N253">
            <v>0</v>
          </cell>
          <cell r="O253">
            <v>0</v>
          </cell>
          <cell r="P253">
            <v>125200</v>
          </cell>
          <cell r="Q253">
            <v>174800</v>
          </cell>
          <cell r="R253">
            <v>75000</v>
          </cell>
          <cell r="S253">
            <v>127462</v>
          </cell>
          <cell r="T253">
            <v>75000</v>
          </cell>
          <cell r="U253">
            <v>75000</v>
          </cell>
          <cell r="V253">
            <v>75000</v>
          </cell>
          <cell r="W253">
            <v>75000</v>
          </cell>
          <cell r="X253">
            <v>75000</v>
          </cell>
          <cell r="Y253">
            <v>127462</v>
          </cell>
          <cell r="AB253">
            <v>1004924</v>
          </cell>
        </row>
        <row r="254">
          <cell r="B254" t="str">
            <v>45112504511000218Art Materials-N1432626200104</v>
          </cell>
          <cell r="N254">
            <v>0</v>
          </cell>
          <cell r="O254">
            <v>0</v>
          </cell>
          <cell r="P254">
            <v>0</v>
          </cell>
          <cell r="Q254">
            <v>25696.6</v>
          </cell>
          <cell r="R254">
            <v>0</v>
          </cell>
          <cell r="S254">
            <v>0</v>
          </cell>
          <cell r="T254">
            <v>0</v>
          </cell>
          <cell r="U254">
            <v>25696.6</v>
          </cell>
          <cell r="V254">
            <v>0</v>
          </cell>
          <cell r="W254">
            <v>0</v>
          </cell>
          <cell r="X254">
            <v>0</v>
          </cell>
          <cell r="Y254">
            <v>25696.6</v>
          </cell>
          <cell r="AB254">
            <v>77089.799999999988</v>
          </cell>
        </row>
        <row r="255">
          <cell r="B255" t="str">
            <v>45112504511000219Freelancers-N424521200104</v>
          </cell>
          <cell r="N255">
            <v>0</v>
          </cell>
          <cell r="O255">
            <v>291000</v>
          </cell>
          <cell r="P255">
            <v>138400</v>
          </cell>
          <cell r="Q255">
            <v>158200</v>
          </cell>
          <cell r="R255">
            <v>144400</v>
          </cell>
          <cell r="S255">
            <v>129600</v>
          </cell>
          <cell r="T255">
            <v>144400</v>
          </cell>
          <cell r="U255">
            <v>144400</v>
          </cell>
          <cell r="V255">
            <v>143000</v>
          </cell>
          <cell r="W255">
            <v>134800</v>
          </cell>
          <cell r="X255">
            <v>144400</v>
          </cell>
          <cell r="Y255">
            <v>144400</v>
          </cell>
          <cell r="AB255">
            <v>1717000</v>
          </cell>
        </row>
        <row r="256">
          <cell r="B256" t="str">
            <v>45112504511000219Art Materials-N432626200104</v>
          </cell>
          <cell r="N256">
            <v>0</v>
          </cell>
          <cell r="O256">
            <v>0</v>
          </cell>
          <cell r="P256">
            <v>9852.32</v>
          </cell>
          <cell r="Q256">
            <v>20147.68</v>
          </cell>
          <cell r="R256">
            <v>0</v>
          </cell>
          <cell r="S256">
            <v>0</v>
          </cell>
          <cell r="T256">
            <v>0</v>
          </cell>
          <cell r="U256">
            <v>30000</v>
          </cell>
          <cell r="V256">
            <v>0</v>
          </cell>
          <cell r="W256">
            <v>0</v>
          </cell>
          <cell r="X256">
            <v>0</v>
          </cell>
          <cell r="Y256">
            <v>30000</v>
          </cell>
          <cell r="AB256">
            <v>90000</v>
          </cell>
        </row>
        <row r="257">
          <cell r="B257" t="str">
            <v>45112504511000266Activation&amp;Prog-N1422401200104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142695</v>
          </cell>
          <cell r="X257">
            <v>142695</v>
          </cell>
          <cell r="Y257">
            <v>142694</v>
          </cell>
          <cell r="AB257">
            <v>428084</v>
          </cell>
        </row>
        <row r="258">
          <cell r="B258" t="str">
            <v>45112504511000266Event Management-N1422401200104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156250</v>
          </cell>
          <cell r="Y258">
            <v>156250</v>
          </cell>
          <cell r="AB258">
            <v>312500</v>
          </cell>
        </row>
        <row r="259">
          <cell r="B259" t="str">
            <v>45112504511000266Utilities-N423931200104</v>
          </cell>
          <cell r="N259">
            <v>0</v>
          </cell>
          <cell r="O259">
            <v>0</v>
          </cell>
          <cell r="P259">
            <v>0</v>
          </cell>
          <cell r="Q259">
            <v>100000</v>
          </cell>
          <cell r="R259">
            <v>25000</v>
          </cell>
          <cell r="S259">
            <v>25000</v>
          </cell>
          <cell r="T259">
            <v>25000</v>
          </cell>
          <cell r="U259">
            <v>25000</v>
          </cell>
          <cell r="V259">
            <v>25000</v>
          </cell>
          <cell r="W259">
            <v>25000</v>
          </cell>
          <cell r="X259">
            <v>25000</v>
          </cell>
          <cell r="Y259">
            <v>25000</v>
          </cell>
          <cell r="AB259">
            <v>300000</v>
          </cell>
        </row>
        <row r="260">
          <cell r="B260" t="str">
            <v>45112504511000266Talent Fees-N1422511200104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200000</v>
          </cell>
          <cell r="AB260">
            <v>200000</v>
          </cell>
        </row>
        <row r="261">
          <cell r="B261" t="str">
            <v>45112504511000266Security Service-N424551200104</v>
          </cell>
          <cell r="N261">
            <v>0</v>
          </cell>
          <cell r="O261">
            <v>0</v>
          </cell>
          <cell r="P261">
            <v>0</v>
          </cell>
          <cell r="Q261">
            <v>66666.666666666672</v>
          </cell>
          <cell r="R261">
            <v>16666.666666666668</v>
          </cell>
          <cell r="S261">
            <v>16666.666666666668</v>
          </cell>
          <cell r="T261">
            <v>16666.666666666668</v>
          </cell>
          <cell r="U261">
            <v>16666.666666666668</v>
          </cell>
          <cell r="V261">
            <v>16666.666666666668</v>
          </cell>
          <cell r="W261">
            <v>16666.666666666668</v>
          </cell>
          <cell r="X261">
            <v>16666.666666666668</v>
          </cell>
          <cell r="Y261">
            <v>16666.666666666668</v>
          </cell>
          <cell r="AB261">
            <v>199999.99999999997</v>
          </cell>
        </row>
        <row r="262">
          <cell r="B262" t="str">
            <v>45112504511000266Cleaning Service-N422311200104</v>
          </cell>
          <cell r="N262">
            <v>0</v>
          </cell>
          <cell r="O262">
            <v>0</v>
          </cell>
          <cell r="P262">
            <v>0</v>
          </cell>
          <cell r="Q262">
            <v>60000</v>
          </cell>
          <cell r="R262">
            <v>15000</v>
          </cell>
          <cell r="S262">
            <v>15000</v>
          </cell>
          <cell r="T262">
            <v>15000</v>
          </cell>
          <cell r="U262">
            <v>15000</v>
          </cell>
          <cell r="V262">
            <v>15000</v>
          </cell>
          <cell r="W262">
            <v>15000</v>
          </cell>
          <cell r="X262">
            <v>15000</v>
          </cell>
          <cell r="Y262">
            <v>15000</v>
          </cell>
          <cell r="AB262">
            <v>180000</v>
          </cell>
        </row>
        <row r="263">
          <cell r="B263" t="str">
            <v>45112504511000266Maintenance-N426212200104</v>
          </cell>
          <cell r="N263">
            <v>0</v>
          </cell>
          <cell r="O263">
            <v>0</v>
          </cell>
          <cell r="P263">
            <v>0</v>
          </cell>
          <cell r="Q263">
            <v>50000</v>
          </cell>
          <cell r="R263">
            <v>12500</v>
          </cell>
          <cell r="S263">
            <v>12500</v>
          </cell>
          <cell r="T263">
            <v>12500</v>
          </cell>
          <cell r="U263">
            <v>12500</v>
          </cell>
          <cell r="V263">
            <v>12500</v>
          </cell>
          <cell r="W263">
            <v>12500</v>
          </cell>
          <cell r="X263">
            <v>12500</v>
          </cell>
          <cell r="Y263">
            <v>12500</v>
          </cell>
          <cell r="AB263">
            <v>150000</v>
          </cell>
        </row>
        <row r="264">
          <cell r="B264" t="str">
            <v>45112504511000266Hospitality-N424761200104</v>
          </cell>
          <cell r="N264">
            <v>0</v>
          </cell>
          <cell r="O264">
            <v>0</v>
          </cell>
          <cell r="P264">
            <v>0</v>
          </cell>
          <cell r="Q264">
            <v>20000</v>
          </cell>
          <cell r="R264">
            <v>5000</v>
          </cell>
          <cell r="S264">
            <v>5000</v>
          </cell>
          <cell r="T264">
            <v>5000</v>
          </cell>
          <cell r="U264">
            <v>5000</v>
          </cell>
          <cell r="V264">
            <v>5000</v>
          </cell>
          <cell r="W264">
            <v>5000</v>
          </cell>
          <cell r="X264">
            <v>5000</v>
          </cell>
          <cell r="Y264">
            <v>5000</v>
          </cell>
          <cell r="AB264">
            <v>60000</v>
          </cell>
        </row>
        <row r="265">
          <cell r="B265" t="str">
            <v>45112504511000266Ad-hoc Repairs-N426427200104</v>
          </cell>
          <cell r="N265">
            <v>0</v>
          </cell>
          <cell r="O265">
            <v>0</v>
          </cell>
          <cell r="P265">
            <v>0</v>
          </cell>
          <cell r="Q265">
            <v>16666.666666666668</v>
          </cell>
          <cell r="R265">
            <v>4166.666666666667</v>
          </cell>
          <cell r="S265">
            <v>4166.666666666667</v>
          </cell>
          <cell r="T265">
            <v>4166.666666666667</v>
          </cell>
          <cell r="U265">
            <v>4166.666666666667</v>
          </cell>
          <cell r="V265">
            <v>4166.666666666667</v>
          </cell>
          <cell r="W265">
            <v>4166.666666666667</v>
          </cell>
          <cell r="X265">
            <v>4166.666666666667</v>
          </cell>
          <cell r="Y265">
            <v>4166.666666666667</v>
          </cell>
          <cell r="AB265">
            <v>49999.999999999993</v>
          </cell>
        </row>
        <row r="266">
          <cell r="B266" t="str">
            <v>45112504511000266Landscaping-N432614200104</v>
          </cell>
          <cell r="N266">
            <v>0</v>
          </cell>
          <cell r="O266">
            <v>0</v>
          </cell>
          <cell r="P266">
            <v>0</v>
          </cell>
          <cell r="Q266">
            <v>16666.666666666668</v>
          </cell>
          <cell r="R266">
            <v>4166.666666666667</v>
          </cell>
          <cell r="S266">
            <v>4166.666666666667</v>
          </cell>
          <cell r="T266">
            <v>4166.666666666667</v>
          </cell>
          <cell r="U266">
            <v>4166.666666666667</v>
          </cell>
          <cell r="V266">
            <v>4166.666666666667</v>
          </cell>
          <cell r="W266">
            <v>4166.666666666667</v>
          </cell>
          <cell r="X266">
            <v>4166.666666666667</v>
          </cell>
          <cell r="Y266">
            <v>4166.666666666667</v>
          </cell>
          <cell r="AB266">
            <v>49999.999999999993</v>
          </cell>
        </row>
        <row r="267">
          <cell r="B267" t="str">
            <v>45112504511000266Pest Control-N422321200104</v>
          </cell>
          <cell r="N267">
            <v>0</v>
          </cell>
          <cell r="O267">
            <v>0</v>
          </cell>
          <cell r="P267">
            <v>0</v>
          </cell>
          <cell r="Q267">
            <v>3336</v>
          </cell>
          <cell r="R267">
            <v>833</v>
          </cell>
          <cell r="S267">
            <v>833</v>
          </cell>
          <cell r="T267">
            <v>833</v>
          </cell>
          <cell r="U267">
            <v>833</v>
          </cell>
          <cell r="V267">
            <v>833</v>
          </cell>
          <cell r="W267">
            <v>833</v>
          </cell>
          <cell r="X267">
            <v>833</v>
          </cell>
          <cell r="Y267">
            <v>833</v>
          </cell>
          <cell r="AB267">
            <v>10000</v>
          </cell>
        </row>
        <row r="268">
          <cell r="B268" t="str">
            <v>45112504511000277Freelancers-N424521200104</v>
          </cell>
          <cell r="N268">
            <v>0</v>
          </cell>
          <cell r="O268">
            <v>54200</v>
          </cell>
          <cell r="P268">
            <v>24650</v>
          </cell>
          <cell r="Q268">
            <v>291150</v>
          </cell>
          <cell r="R268">
            <v>105000</v>
          </cell>
          <cell r="S268">
            <v>100000</v>
          </cell>
          <cell r="T268">
            <v>105000</v>
          </cell>
          <cell r="U268">
            <v>100000</v>
          </cell>
          <cell r="V268">
            <v>100000</v>
          </cell>
          <cell r="W268">
            <v>105000</v>
          </cell>
          <cell r="X268">
            <v>115000</v>
          </cell>
          <cell r="Y268">
            <v>100000</v>
          </cell>
          <cell r="AB268">
            <v>695600</v>
          </cell>
        </row>
        <row r="269">
          <cell r="B269" t="str">
            <v>45112504511000277Art Materials-N1432626200104</v>
          </cell>
          <cell r="N269">
            <v>0</v>
          </cell>
          <cell r="O269">
            <v>0</v>
          </cell>
          <cell r="P269">
            <v>0</v>
          </cell>
          <cell r="Q269">
            <v>15000</v>
          </cell>
          <cell r="R269">
            <v>0</v>
          </cell>
          <cell r="S269">
            <v>12000</v>
          </cell>
          <cell r="T269">
            <v>0</v>
          </cell>
          <cell r="U269">
            <v>0</v>
          </cell>
          <cell r="V269">
            <v>13000</v>
          </cell>
          <cell r="W269">
            <v>0</v>
          </cell>
          <cell r="X269">
            <v>0</v>
          </cell>
          <cell r="Y269">
            <v>15000</v>
          </cell>
          <cell r="AB269">
            <v>135000</v>
          </cell>
        </row>
        <row r="270">
          <cell r="B270" t="str">
            <v>45112504511000283Lease Improve-N490600300105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1500000</v>
          </cell>
          <cell r="X270">
            <v>0</v>
          </cell>
          <cell r="Y270">
            <v>0</v>
          </cell>
          <cell r="AB270">
            <v>1500000</v>
          </cell>
        </row>
        <row r="271">
          <cell r="B271" t="str">
            <v>45112504511000283Utilities-N423931200104</v>
          </cell>
          <cell r="N271">
            <v>0</v>
          </cell>
          <cell r="O271">
            <v>0</v>
          </cell>
          <cell r="P271">
            <v>0</v>
          </cell>
          <cell r="Q271">
            <v>2276121.3499999996</v>
          </cell>
          <cell r="R271">
            <v>569030.32999999996</v>
          </cell>
          <cell r="S271">
            <v>569030.34</v>
          </cell>
          <cell r="T271">
            <v>569030.32999999996</v>
          </cell>
          <cell r="U271">
            <v>569030.32999999996</v>
          </cell>
          <cell r="V271">
            <v>569030.32999999996</v>
          </cell>
          <cell r="W271">
            <v>569030.32999999996</v>
          </cell>
          <cell r="X271">
            <v>569030.32999999996</v>
          </cell>
          <cell r="Y271">
            <v>569030.32999999996</v>
          </cell>
          <cell r="AB271">
            <v>6828364</v>
          </cell>
        </row>
        <row r="272">
          <cell r="B272" t="str">
            <v>45112504511000283Cleaning Service-N422311200104</v>
          </cell>
          <cell r="N272">
            <v>0</v>
          </cell>
          <cell r="O272">
            <v>0</v>
          </cell>
          <cell r="P272">
            <v>0</v>
          </cell>
          <cell r="Q272">
            <v>1738112.68</v>
          </cell>
          <cell r="R272">
            <v>434528.17</v>
          </cell>
          <cell r="S272">
            <v>434528.17</v>
          </cell>
          <cell r="T272">
            <v>434528.17</v>
          </cell>
          <cell r="U272">
            <v>434528.17</v>
          </cell>
          <cell r="V272">
            <v>434528.16</v>
          </cell>
          <cell r="W272">
            <v>434528.16</v>
          </cell>
          <cell r="X272">
            <v>434528.16</v>
          </cell>
          <cell r="Y272">
            <v>434528.16</v>
          </cell>
          <cell r="AB272">
            <v>5214338</v>
          </cell>
        </row>
        <row r="273">
          <cell r="B273" t="str">
            <v>45112504511000283Security Service-N424551200104</v>
          </cell>
          <cell r="N273">
            <v>0</v>
          </cell>
          <cell r="O273">
            <v>0</v>
          </cell>
          <cell r="P273">
            <v>0</v>
          </cell>
          <cell r="Q273">
            <v>1509080</v>
          </cell>
          <cell r="R273">
            <v>377270</v>
          </cell>
          <cell r="S273">
            <v>377270</v>
          </cell>
          <cell r="T273">
            <v>377270</v>
          </cell>
          <cell r="U273">
            <v>377270</v>
          </cell>
          <cell r="V273">
            <v>377270</v>
          </cell>
          <cell r="W273">
            <v>377270</v>
          </cell>
          <cell r="X273">
            <v>377270</v>
          </cell>
          <cell r="Y273">
            <v>377270</v>
          </cell>
          <cell r="AB273">
            <v>4527240</v>
          </cell>
        </row>
        <row r="274">
          <cell r="B274" t="str">
            <v>45112504511000283Activation&amp;Prog-N422401200104</v>
          </cell>
          <cell r="N274">
            <v>0</v>
          </cell>
          <cell r="O274">
            <v>0</v>
          </cell>
          <cell r="P274">
            <v>0</v>
          </cell>
          <cell r="Q274">
            <v>2000000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160000</v>
          </cell>
          <cell r="X274">
            <v>240000</v>
          </cell>
          <cell r="Y274">
            <v>1800000</v>
          </cell>
          <cell r="AB274">
            <v>4443435</v>
          </cell>
        </row>
        <row r="275">
          <cell r="B275" t="str">
            <v>45112504511000283Maintenance-N426212200104</v>
          </cell>
          <cell r="N275">
            <v>0</v>
          </cell>
          <cell r="O275">
            <v>0</v>
          </cell>
          <cell r="P275">
            <v>0</v>
          </cell>
          <cell r="Q275">
            <v>1151010.68</v>
          </cell>
          <cell r="R275">
            <v>287752.67</v>
          </cell>
          <cell r="S275">
            <v>287752.67</v>
          </cell>
          <cell r="T275">
            <v>287752.67</v>
          </cell>
          <cell r="U275">
            <v>287752.67</v>
          </cell>
          <cell r="V275">
            <v>287752.65999999997</v>
          </cell>
          <cell r="W275">
            <v>287752.65999999997</v>
          </cell>
          <cell r="X275">
            <v>287752.65999999997</v>
          </cell>
          <cell r="Y275">
            <v>287752.65999999997</v>
          </cell>
          <cell r="AB275">
            <v>3453032.0000000005</v>
          </cell>
        </row>
        <row r="276">
          <cell r="B276" t="str">
            <v>45102304511000511FM Mgmnt (E-E)-N1426212200104</v>
          </cell>
          <cell r="N276">
            <v>0</v>
          </cell>
          <cell r="O276">
            <v>0</v>
          </cell>
          <cell r="P276">
            <v>0</v>
          </cell>
          <cell r="Q276">
            <v>640000</v>
          </cell>
          <cell r="R276">
            <v>160000</v>
          </cell>
          <cell r="S276">
            <v>160000</v>
          </cell>
          <cell r="T276">
            <v>160000</v>
          </cell>
          <cell r="U276">
            <v>160000</v>
          </cell>
          <cell r="V276">
            <v>160000</v>
          </cell>
          <cell r="W276">
            <v>160000</v>
          </cell>
          <cell r="X276">
            <v>160000</v>
          </cell>
          <cell r="Y276">
            <v>0</v>
          </cell>
          <cell r="AB276">
            <v>1760000</v>
          </cell>
        </row>
        <row r="277">
          <cell r="B277" t="str">
            <v>45112504511000283Admin Expenses-N1421125200104</v>
          </cell>
          <cell r="N277">
            <v>0</v>
          </cell>
          <cell r="O277">
            <v>0</v>
          </cell>
          <cell r="P277">
            <v>40000</v>
          </cell>
          <cell r="Q277">
            <v>663334</v>
          </cell>
          <cell r="R277">
            <v>175833.5</v>
          </cell>
          <cell r="S277">
            <v>175833.5</v>
          </cell>
          <cell r="T277">
            <v>175833.5</v>
          </cell>
          <cell r="U277">
            <v>175833.5</v>
          </cell>
          <cell r="V277">
            <v>175833.5</v>
          </cell>
          <cell r="W277">
            <v>175833.5</v>
          </cell>
          <cell r="X277">
            <v>175833.5</v>
          </cell>
          <cell r="Y277">
            <v>175833.5</v>
          </cell>
          <cell r="AB277">
            <v>2110002</v>
          </cell>
        </row>
        <row r="278">
          <cell r="B278" t="str">
            <v>45112504511000283FM Mgmnt (E-E)-N426212200104</v>
          </cell>
          <cell r="N278">
            <v>0</v>
          </cell>
          <cell r="O278">
            <v>0</v>
          </cell>
          <cell r="P278">
            <v>0</v>
          </cell>
          <cell r="Q278">
            <v>408434.68</v>
          </cell>
          <cell r="R278">
            <v>102108.67</v>
          </cell>
          <cell r="S278">
            <v>102108.67</v>
          </cell>
          <cell r="T278">
            <v>102108.67</v>
          </cell>
          <cell r="U278">
            <v>102108.67</v>
          </cell>
          <cell r="V278">
            <v>102108.66</v>
          </cell>
          <cell r="W278">
            <v>102108.66</v>
          </cell>
          <cell r="X278">
            <v>102108.66</v>
          </cell>
          <cell r="Y278">
            <v>102108.66</v>
          </cell>
          <cell r="AB278">
            <v>1225304</v>
          </cell>
        </row>
        <row r="279">
          <cell r="B279" t="str">
            <v>45112504511000283Ad-hoc Repairs-N426427200104</v>
          </cell>
          <cell r="N279">
            <v>0</v>
          </cell>
          <cell r="O279">
            <v>0</v>
          </cell>
          <cell r="P279">
            <v>0</v>
          </cell>
          <cell r="Q279">
            <v>333333.32799999998</v>
          </cell>
          <cell r="R279">
            <v>83333.334000000003</v>
          </cell>
          <cell r="S279">
            <v>83333.334000000003</v>
          </cell>
          <cell r="T279">
            <v>83333.334000000003</v>
          </cell>
          <cell r="U279">
            <v>83333.334000000003</v>
          </cell>
          <cell r="V279">
            <v>83333.334000000003</v>
          </cell>
          <cell r="W279">
            <v>83333.334000000003</v>
          </cell>
          <cell r="X279">
            <v>83333.334000000003</v>
          </cell>
          <cell r="Y279">
            <v>83333.334000000003</v>
          </cell>
          <cell r="AB279">
            <v>1000000.0000000002</v>
          </cell>
        </row>
        <row r="280">
          <cell r="B280" t="str">
            <v>45112504511000512Manpower-N424521200104</v>
          </cell>
          <cell r="N280">
            <v>0</v>
          </cell>
          <cell r="O280">
            <v>0</v>
          </cell>
          <cell r="P280">
            <v>0</v>
          </cell>
          <cell r="Q280">
            <v>298355</v>
          </cell>
          <cell r="R280">
            <v>74589</v>
          </cell>
          <cell r="S280">
            <v>74589</v>
          </cell>
          <cell r="T280">
            <v>74589</v>
          </cell>
          <cell r="U280">
            <v>74589</v>
          </cell>
          <cell r="V280">
            <v>74589</v>
          </cell>
          <cell r="W280">
            <v>74589</v>
          </cell>
          <cell r="X280">
            <v>74589</v>
          </cell>
          <cell r="Y280">
            <v>74586</v>
          </cell>
          <cell r="AB280">
            <v>895064</v>
          </cell>
        </row>
        <row r="281">
          <cell r="B281" t="str">
            <v>45112504511000283Concept Develop-N423411200104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360000</v>
          </cell>
          <cell r="AB281">
            <v>315000</v>
          </cell>
        </row>
        <row r="282">
          <cell r="B282" t="str">
            <v>45112504511000283Hospitality-N424761200104</v>
          </cell>
          <cell r="N282">
            <v>0</v>
          </cell>
          <cell r="O282">
            <v>0</v>
          </cell>
          <cell r="P282">
            <v>0</v>
          </cell>
          <cell r="Q282">
            <v>111926</v>
          </cell>
          <cell r="R282">
            <v>27981.5</v>
          </cell>
          <cell r="S282">
            <v>27981.5</v>
          </cell>
          <cell r="T282">
            <v>27981.5</v>
          </cell>
          <cell r="U282">
            <v>27981.5</v>
          </cell>
          <cell r="V282">
            <v>27981.5</v>
          </cell>
          <cell r="W282">
            <v>27981.5</v>
          </cell>
          <cell r="X282">
            <v>27981.5</v>
          </cell>
          <cell r="Y282">
            <v>27981.5</v>
          </cell>
          <cell r="AB282">
            <v>335778</v>
          </cell>
        </row>
        <row r="283">
          <cell r="B283" t="str">
            <v>45112504511000283Research&amp;Survey-N423411200104</v>
          </cell>
          <cell r="N283">
            <v>0</v>
          </cell>
          <cell r="O283">
            <v>0</v>
          </cell>
          <cell r="P283">
            <v>0</v>
          </cell>
          <cell r="Q283">
            <v>72000</v>
          </cell>
          <cell r="R283">
            <v>18000</v>
          </cell>
          <cell r="S283">
            <v>18000</v>
          </cell>
          <cell r="T283">
            <v>18000</v>
          </cell>
          <cell r="U283">
            <v>18000</v>
          </cell>
          <cell r="V283">
            <v>18000</v>
          </cell>
          <cell r="W283">
            <v>18000</v>
          </cell>
          <cell r="X283">
            <v>18000</v>
          </cell>
          <cell r="Y283">
            <v>27000</v>
          </cell>
          <cell r="AB283">
            <v>162000</v>
          </cell>
        </row>
        <row r="284">
          <cell r="B284" t="str">
            <v>45112504511000283Edu &amp; Outreach-N422401200104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90000</v>
          </cell>
          <cell r="V284">
            <v>0</v>
          </cell>
          <cell r="W284">
            <v>45000</v>
          </cell>
          <cell r="X284">
            <v>0</v>
          </cell>
          <cell r="Y284">
            <v>0</v>
          </cell>
          <cell r="AB284">
            <v>0</v>
          </cell>
        </row>
        <row r="285">
          <cell r="B285" t="str">
            <v>45112504511000283Freelancers-N424521200104</v>
          </cell>
          <cell r="N285">
            <v>0</v>
          </cell>
          <cell r="O285">
            <v>0</v>
          </cell>
          <cell r="P285">
            <v>20000</v>
          </cell>
          <cell r="Q285">
            <v>20000</v>
          </cell>
          <cell r="R285">
            <v>10000</v>
          </cell>
          <cell r="S285">
            <v>10000</v>
          </cell>
          <cell r="T285">
            <v>10000</v>
          </cell>
          <cell r="U285">
            <v>10000</v>
          </cell>
          <cell r="V285">
            <v>10000</v>
          </cell>
          <cell r="W285">
            <v>10000</v>
          </cell>
          <cell r="X285">
            <v>10000</v>
          </cell>
          <cell r="Y285">
            <v>10000</v>
          </cell>
          <cell r="AB285">
            <v>228000</v>
          </cell>
        </row>
        <row r="286">
          <cell r="B286" t="str">
            <v>45112504511000283Pest Control-N422321200104</v>
          </cell>
          <cell r="N286">
            <v>0</v>
          </cell>
          <cell r="O286">
            <v>0</v>
          </cell>
          <cell r="P286">
            <v>0</v>
          </cell>
          <cell r="Q286">
            <v>36231.360000000001</v>
          </cell>
          <cell r="R286">
            <v>9057.83</v>
          </cell>
          <cell r="S286">
            <v>9057.83</v>
          </cell>
          <cell r="T286">
            <v>9057.83</v>
          </cell>
          <cell r="U286">
            <v>9057.83</v>
          </cell>
          <cell r="V286">
            <v>9057.83</v>
          </cell>
          <cell r="W286">
            <v>9057.83</v>
          </cell>
          <cell r="X286">
            <v>9057.83</v>
          </cell>
          <cell r="Y286">
            <v>9057.83</v>
          </cell>
          <cell r="AB286">
            <v>108694.00000000001</v>
          </cell>
        </row>
        <row r="287">
          <cell r="B287" t="str">
            <v>45112504511000283Waste Mgmnt-N424591200104</v>
          </cell>
          <cell r="N287">
            <v>0</v>
          </cell>
          <cell r="O287">
            <v>0</v>
          </cell>
          <cell r="P287">
            <v>0</v>
          </cell>
          <cell r="Q287">
            <v>7426.68</v>
          </cell>
          <cell r="R287">
            <v>1856.67</v>
          </cell>
          <cell r="S287">
            <v>1856.67</v>
          </cell>
          <cell r="T287">
            <v>1856.67</v>
          </cell>
          <cell r="U287">
            <v>1856.67</v>
          </cell>
          <cell r="V287">
            <v>1856.66</v>
          </cell>
          <cell r="W287">
            <v>1856.66</v>
          </cell>
          <cell r="X287">
            <v>1856.66</v>
          </cell>
          <cell r="Y287">
            <v>1856.66</v>
          </cell>
          <cell r="AB287">
            <v>22280</v>
          </cell>
        </row>
        <row r="288">
          <cell r="B288" t="str">
            <v>45112504511000299Admin Expenses-N1421125200104</v>
          </cell>
          <cell r="N288">
            <v>0</v>
          </cell>
          <cell r="O288">
            <v>0</v>
          </cell>
          <cell r="P288">
            <v>0</v>
          </cell>
          <cell r="Q288">
            <v>27000</v>
          </cell>
          <cell r="R288">
            <v>13500</v>
          </cell>
          <cell r="S288">
            <v>13500</v>
          </cell>
          <cell r="T288">
            <v>13500</v>
          </cell>
          <cell r="U288">
            <v>13500</v>
          </cell>
          <cell r="V288">
            <v>13500</v>
          </cell>
          <cell r="W288">
            <v>13500</v>
          </cell>
          <cell r="X288">
            <v>13500</v>
          </cell>
          <cell r="Y288">
            <v>40500</v>
          </cell>
          <cell r="AB288">
            <v>162000</v>
          </cell>
        </row>
        <row r="289">
          <cell r="B289" t="str">
            <v>45112504511000318Audio &amp; Visual-N491335300105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2418017</v>
          </cell>
          <cell r="X289">
            <v>0</v>
          </cell>
          <cell r="Y289">
            <v>0</v>
          </cell>
          <cell r="AB289">
            <v>2418017</v>
          </cell>
        </row>
        <row r="290">
          <cell r="B290" t="str">
            <v>45112504511000318Manpower-N424521200104</v>
          </cell>
          <cell r="N290">
            <v>0</v>
          </cell>
          <cell r="O290">
            <v>0</v>
          </cell>
          <cell r="P290">
            <v>0</v>
          </cell>
          <cell r="Q290">
            <v>963333.35</v>
          </cell>
          <cell r="R290">
            <v>240833.34</v>
          </cell>
          <cell r="S290">
            <v>240833.33</v>
          </cell>
          <cell r="T290">
            <v>240833.33</v>
          </cell>
          <cell r="U290">
            <v>240833.33</v>
          </cell>
          <cell r="V290">
            <v>240833.33</v>
          </cell>
          <cell r="W290">
            <v>240833.33</v>
          </cell>
          <cell r="X290">
            <v>240833.33</v>
          </cell>
          <cell r="Y290">
            <v>240833.33</v>
          </cell>
          <cell r="AB290">
            <v>2890000.0000000005</v>
          </cell>
        </row>
        <row r="291">
          <cell r="B291" t="str">
            <v>45112504511000341Activation&amp;Prog-N422401200104</v>
          </cell>
          <cell r="N291">
            <v>0</v>
          </cell>
          <cell r="O291">
            <v>0</v>
          </cell>
          <cell r="P291">
            <v>0</v>
          </cell>
          <cell r="Q291">
            <v>775000</v>
          </cell>
          <cell r="R291">
            <v>150000</v>
          </cell>
          <cell r="S291">
            <v>375000</v>
          </cell>
          <cell r="T291">
            <v>200000</v>
          </cell>
          <cell r="U291">
            <v>200000</v>
          </cell>
          <cell r="V291">
            <v>150000</v>
          </cell>
          <cell r="W291">
            <v>150000</v>
          </cell>
          <cell r="X291">
            <v>150000</v>
          </cell>
          <cell r="Y291">
            <v>787215.8</v>
          </cell>
          <cell r="AB291">
            <v>2937215.8</v>
          </cell>
        </row>
        <row r="292">
          <cell r="B292" t="str">
            <v>45112504511000341Freelancers-N424521200104</v>
          </cell>
          <cell r="N292">
            <v>0</v>
          </cell>
          <cell r="O292">
            <v>0</v>
          </cell>
          <cell r="P292">
            <v>528000</v>
          </cell>
          <cell r="Q292">
            <v>136000</v>
          </cell>
          <cell r="R292">
            <v>183500</v>
          </cell>
          <cell r="S292">
            <v>183500</v>
          </cell>
          <cell r="T292">
            <v>156000</v>
          </cell>
          <cell r="U292">
            <v>156000</v>
          </cell>
          <cell r="V292">
            <v>156000</v>
          </cell>
          <cell r="W292">
            <v>156000</v>
          </cell>
          <cell r="X292">
            <v>156000</v>
          </cell>
          <cell r="Y292">
            <v>156000</v>
          </cell>
          <cell r="AB292">
            <v>1967000</v>
          </cell>
        </row>
        <row r="293">
          <cell r="B293" t="str">
            <v>45112504511000341Printed Material-N1424791200104</v>
          </cell>
          <cell r="N293">
            <v>0</v>
          </cell>
          <cell r="O293">
            <v>0</v>
          </cell>
          <cell r="P293">
            <v>0</v>
          </cell>
          <cell r="Q293">
            <v>15420</v>
          </cell>
          <cell r="R293">
            <v>20000</v>
          </cell>
          <cell r="S293">
            <v>110000</v>
          </cell>
          <cell r="T293">
            <v>110000</v>
          </cell>
          <cell r="U293">
            <v>30000</v>
          </cell>
          <cell r="V293">
            <v>85000</v>
          </cell>
          <cell r="W293">
            <v>40000</v>
          </cell>
          <cell r="X293">
            <v>155000</v>
          </cell>
          <cell r="Y293">
            <v>76130</v>
          </cell>
          <cell r="AB293">
            <v>641550</v>
          </cell>
        </row>
        <row r="294">
          <cell r="B294" t="str">
            <v>45112504511000341Manpower-N424521200104</v>
          </cell>
          <cell r="N294">
            <v>0</v>
          </cell>
          <cell r="O294">
            <v>0</v>
          </cell>
          <cell r="P294">
            <v>0</v>
          </cell>
          <cell r="Q294">
            <v>127394.44</v>
          </cell>
          <cell r="R294">
            <v>45722.22</v>
          </cell>
          <cell r="S294">
            <v>45722.22</v>
          </cell>
          <cell r="T294">
            <v>45722.22</v>
          </cell>
          <cell r="U294">
            <v>45722.22</v>
          </cell>
          <cell r="V294">
            <v>45722.22</v>
          </cell>
          <cell r="W294">
            <v>45722.22</v>
          </cell>
          <cell r="X294">
            <v>45722.22</v>
          </cell>
          <cell r="Y294">
            <v>45722.22</v>
          </cell>
          <cell r="AB294">
            <v>493172.19999999984</v>
          </cell>
        </row>
        <row r="295">
          <cell r="B295" t="str">
            <v>45112504511000341Edu &amp; Outreach-N422401200104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360000</v>
          </cell>
          <cell r="Y295">
            <v>0</v>
          </cell>
          <cell r="AB295">
            <v>360000</v>
          </cell>
        </row>
        <row r="296">
          <cell r="B296" t="str">
            <v>45112504511000360Manpower-N424521200104</v>
          </cell>
          <cell r="N296">
            <v>0</v>
          </cell>
          <cell r="O296">
            <v>0</v>
          </cell>
          <cell r="P296">
            <v>0</v>
          </cell>
          <cell r="Q296">
            <v>667735.15</v>
          </cell>
          <cell r="R296">
            <v>227795.15</v>
          </cell>
          <cell r="S296">
            <v>239095.15</v>
          </cell>
          <cell r="T296">
            <v>227795.15</v>
          </cell>
          <cell r="U296">
            <v>227795.15</v>
          </cell>
          <cell r="V296">
            <v>248135.15</v>
          </cell>
          <cell r="W296">
            <v>227795.15</v>
          </cell>
          <cell r="X296">
            <v>227795.15</v>
          </cell>
          <cell r="Y296">
            <v>477962.5</v>
          </cell>
          <cell r="AB296">
            <v>2821553.6999999997</v>
          </cell>
        </row>
        <row r="297">
          <cell r="B297" t="str">
            <v>45112504511000360Activation&amp;Prog-N422401200104</v>
          </cell>
          <cell r="N297">
            <v>0</v>
          </cell>
          <cell r="O297">
            <v>0</v>
          </cell>
          <cell r="P297">
            <v>0</v>
          </cell>
          <cell r="Q297">
            <v>167720</v>
          </cell>
          <cell r="R297">
            <v>17040</v>
          </cell>
          <cell r="S297">
            <v>350000</v>
          </cell>
          <cell r="T297">
            <v>524140</v>
          </cell>
          <cell r="U297">
            <v>570000</v>
          </cell>
          <cell r="V297">
            <v>17040</v>
          </cell>
          <cell r="W297">
            <v>0</v>
          </cell>
          <cell r="X297">
            <v>91140</v>
          </cell>
          <cell r="Y297">
            <v>187420</v>
          </cell>
          <cell r="AB297">
            <v>2259500</v>
          </cell>
        </row>
        <row r="298">
          <cell r="B298" t="str">
            <v>45112504511000360Book Acquisition-N431113200104</v>
          </cell>
          <cell r="N298">
            <v>0</v>
          </cell>
          <cell r="O298">
            <v>0</v>
          </cell>
          <cell r="P298">
            <v>0</v>
          </cell>
          <cell r="Q298">
            <v>100000</v>
          </cell>
          <cell r="R298">
            <v>100000</v>
          </cell>
          <cell r="S298">
            <v>0</v>
          </cell>
          <cell r="T298">
            <v>200000</v>
          </cell>
          <cell r="U298">
            <v>0</v>
          </cell>
          <cell r="V298">
            <v>0</v>
          </cell>
          <cell r="W298">
            <v>100000</v>
          </cell>
          <cell r="X298">
            <v>0</v>
          </cell>
          <cell r="Y298">
            <v>200000</v>
          </cell>
          <cell r="AB298">
            <v>700000</v>
          </cell>
        </row>
        <row r="299">
          <cell r="B299" t="str">
            <v>45112504511000360Freelancers-N424521200104</v>
          </cell>
          <cell r="N299">
            <v>0</v>
          </cell>
          <cell r="O299">
            <v>0</v>
          </cell>
          <cell r="P299">
            <v>0</v>
          </cell>
          <cell r="Q299">
            <v>72150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AB299">
            <v>22500</v>
          </cell>
        </row>
        <row r="300">
          <cell r="B300" t="str">
            <v>45112504511000362Activation&amp;Prog-N422401200104</v>
          </cell>
          <cell r="N300">
            <v>0</v>
          </cell>
          <cell r="O300">
            <v>0</v>
          </cell>
          <cell r="P300">
            <v>60000</v>
          </cell>
          <cell r="Q300">
            <v>540000</v>
          </cell>
          <cell r="R300">
            <v>200000</v>
          </cell>
          <cell r="S300">
            <v>200000</v>
          </cell>
          <cell r="T300">
            <v>300000</v>
          </cell>
          <cell r="U300">
            <v>100000</v>
          </cell>
          <cell r="V300">
            <v>200000</v>
          </cell>
          <cell r="W300">
            <v>500000</v>
          </cell>
          <cell r="X300">
            <v>700000</v>
          </cell>
          <cell r="Y300">
            <v>750000</v>
          </cell>
          <cell r="AB300">
            <v>3350000</v>
          </cell>
        </row>
        <row r="301">
          <cell r="B301" t="str">
            <v>45112504511000362Manpower-N424521200104</v>
          </cell>
          <cell r="N301">
            <v>0</v>
          </cell>
          <cell r="O301">
            <v>0</v>
          </cell>
          <cell r="P301">
            <v>0</v>
          </cell>
          <cell r="Q301">
            <v>269400</v>
          </cell>
          <cell r="R301">
            <v>75000</v>
          </cell>
          <cell r="S301">
            <v>75000</v>
          </cell>
          <cell r="T301">
            <v>75000</v>
          </cell>
          <cell r="U301">
            <v>75000</v>
          </cell>
          <cell r="V301">
            <v>75000</v>
          </cell>
          <cell r="W301">
            <v>75000</v>
          </cell>
          <cell r="X301">
            <v>75000</v>
          </cell>
          <cell r="Y301">
            <v>75000</v>
          </cell>
          <cell r="AB301">
            <v>869400</v>
          </cell>
        </row>
        <row r="302">
          <cell r="B302" t="str">
            <v>45112504511000362Freelancers-N424521200104</v>
          </cell>
          <cell r="N302">
            <v>0</v>
          </cell>
          <cell r="O302">
            <v>0</v>
          </cell>
          <cell r="P302">
            <v>0</v>
          </cell>
          <cell r="Q302">
            <v>30600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AB302">
            <v>30600</v>
          </cell>
        </row>
        <row r="303">
          <cell r="B303" t="str">
            <v>45112504511000422Freelancers-N424521200104</v>
          </cell>
          <cell r="N303">
            <v>0</v>
          </cell>
          <cell r="O303">
            <v>0</v>
          </cell>
          <cell r="P303">
            <v>174352</v>
          </cell>
          <cell r="Q303">
            <v>202152</v>
          </cell>
          <cell r="R303">
            <v>93876</v>
          </cell>
          <cell r="S303">
            <v>160120</v>
          </cell>
          <cell r="T303">
            <v>93876</v>
          </cell>
          <cell r="U303">
            <v>93876</v>
          </cell>
          <cell r="V303">
            <v>93876</v>
          </cell>
          <cell r="W303">
            <v>93876</v>
          </cell>
          <cell r="X303">
            <v>93876</v>
          </cell>
          <cell r="Y303">
            <v>160120</v>
          </cell>
          <cell r="AB303">
            <v>1125000</v>
          </cell>
        </row>
        <row r="304">
          <cell r="B304" t="str">
            <v>45112504511000422Art Materials-N1432626200104</v>
          </cell>
          <cell r="N304">
            <v>0</v>
          </cell>
          <cell r="O304">
            <v>0</v>
          </cell>
          <cell r="P304">
            <v>0</v>
          </cell>
          <cell r="Q304">
            <v>16333</v>
          </cell>
          <cell r="R304">
            <v>0</v>
          </cell>
          <cell r="S304">
            <v>0</v>
          </cell>
          <cell r="T304">
            <v>0</v>
          </cell>
          <cell r="U304">
            <v>16501</v>
          </cell>
          <cell r="V304">
            <v>0</v>
          </cell>
          <cell r="W304">
            <v>0</v>
          </cell>
          <cell r="X304">
            <v>0</v>
          </cell>
          <cell r="Y304">
            <v>16666</v>
          </cell>
          <cell r="AB304">
            <v>49500</v>
          </cell>
        </row>
        <row r="305">
          <cell r="B305" t="str">
            <v>45112504511000434Admin Expenses-N1421125200104</v>
          </cell>
          <cell r="N305">
            <v>0</v>
          </cell>
          <cell r="O305">
            <v>0</v>
          </cell>
          <cell r="P305">
            <v>0</v>
          </cell>
          <cell r="Q305">
            <v>2754375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2758195</v>
          </cell>
          <cell r="X305">
            <v>0</v>
          </cell>
          <cell r="Y305">
            <v>0</v>
          </cell>
          <cell r="AB305">
            <v>5512570</v>
          </cell>
        </row>
        <row r="306">
          <cell r="B306" t="str">
            <v>45112504511000434Scholarships-N422619200104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3700000</v>
          </cell>
          <cell r="Y306">
            <v>0</v>
          </cell>
          <cell r="AB306">
            <v>3700000</v>
          </cell>
        </row>
        <row r="307">
          <cell r="B307" t="str">
            <v>45112504511000434Facilities Rent-N425112200104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864000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AB307">
            <v>864000</v>
          </cell>
        </row>
        <row r="308">
          <cell r="B308" t="str">
            <v>45112504511000019Manpower-N424521200104</v>
          </cell>
          <cell r="N308">
            <v>0</v>
          </cell>
          <cell r="O308">
            <v>0</v>
          </cell>
          <cell r="P308">
            <v>160439.18</v>
          </cell>
          <cell r="Q308">
            <v>136789.60000000003</v>
          </cell>
          <cell r="R308">
            <v>136789.6</v>
          </cell>
          <cell r="S308">
            <v>136789.6</v>
          </cell>
          <cell r="T308">
            <v>136789.6</v>
          </cell>
          <cell r="U308">
            <v>136789.6</v>
          </cell>
          <cell r="V308">
            <v>136789.6</v>
          </cell>
          <cell r="W308">
            <v>136789.6</v>
          </cell>
          <cell r="X308">
            <v>136789.6</v>
          </cell>
          <cell r="Y308">
            <v>136789.6</v>
          </cell>
          <cell r="AB308">
            <v>1391545.58</v>
          </cell>
        </row>
        <row r="309">
          <cell r="B309" t="str">
            <v>45112504511000434Freelancers-N424521200104</v>
          </cell>
          <cell r="N309">
            <v>0</v>
          </cell>
          <cell r="O309">
            <v>0</v>
          </cell>
          <cell r="P309">
            <v>0</v>
          </cell>
          <cell r="Q309">
            <v>48000</v>
          </cell>
          <cell r="R309">
            <v>12000</v>
          </cell>
          <cell r="S309">
            <v>12000</v>
          </cell>
          <cell r="T309">
            <v>12000</v>
          </cell>
          <cell r="U309">
            <v>12000</v>
          </cell>
          <cell r="V309">
            <v>12000</v>
          </cell>
          <cell r="W309">
            <v>12000</v>
          </cell>
          <cell r="X309">
            <v>12000</v>
          </cell>
          <cell r="Y309">
            <v>12000</v>
          </cell>
          <cell r="AB309">
            <v>144000</v>
          </cell>
        </row>
        <row r="310">
          <cell r="B310" t="str">
            <v>45112504511000508Lease Improve-N490600300105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500000</v>
          </cell>
          <cell r="X310">
            <v>0</v>
          </cell>
          <cell r="Y310">
            <v>0</v>
          </cell>
          <cell r="AB310">
            <v>500000</v>
          </cell>
        </row>
        <row r="311">
          <cell r="B311" t="str">
            <v>45112504511000508Security Service-N424551200104</v>
          </cell>
          <cell r="N311">
            <v>0</v>
          </cell>
          <cell r="O311">
            <v>0</v>
          </cell>
          <cell r="P311">
            <v>0</v>
          </cell>
          <cell r="Q311">
            <v>120000</v>
          </cell>
          <cell r="R311">
            <v>60000</v>
          </cell>
          <cell r="S311">
            <v>60000</v>
          </cell>
          <cell r="T311">
            <v>60000</v>
          </cell>
          <cell r="U311">
            <v>60000</v>
          </cell>
          <cell r="V311">
            <v>60000</v>
          </cell>
          <cell r="W311">
            <v>60000</v>
          </cell>
          <cell r="X311">
            <v>46607</v>
          </cell>
          <cell r="Y311">
            <v>0</v>
          </cell>
          <cell r="AB311">
            <v>526607</v>
          </cell>
        </row>
        <row r="312">
          <cell r="B312" t="str">
            <v>45112504511000508Maintenance-N426212200104</v>
          </cell>
          <cell r="N312">
            <v>0</v>
          </cell>
          <cell r="O312">
            <v>0</v>
          </cell>
          <cell r="P312">
            <v>0</v>
          </cell>
          <cell r="Q312">
            <v>160000</v>
          </cell>
          <cell r="R312">
            <v>100000</v>
          </cell>
          <cell r="S312">
            <v>100000</v>
          </cell>
          <cell r="T312">
            <v>10000</v>
          </cell>
          <cell r="U312">
            <v>135202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AB312">
            <v>505202</v>
          </cell>
        </row>
        <row r="313">
          <cell r="B313" t="str">
            <v>45112504511000508Ad-hoc Repairs-N426427200104</v>
          </cell>
          <cell r="N313">
            <v>0</v>
          </cell>
          <cell r="O313">
            <v>0</v>
          </cell>
          <cell r="P313">
            <v>0</v>
          </cell>
          <cell r="Q313">
            <v>80000</v>
          </cell>
          <cell r="R313">
            <v>40000</v>
          </cell>
          <cell r="S313">
            <v>40000</v>
          </cell>
          <cell r="T313">
            <v>40000</v>
          </cell>
          <cell r="U313">
            <v>40000</v>
          </cell>
          <cell r="V313">
            <v>40000</v>
          </cell>
          <cell r="W313">
            <v>40000</v>
          </cell>
          <cell r="X313">
            <v>59667</v>
          </cell>
          <cell r="Y313">
            <v>0</v>
          </cell>
          <cell r="AB313">
            <v>379667</v>
          </cell>
        </row>
        <row r="314">
          <cell r="B314" t="str">
            <v>45112504511000508Cleaning Service-N422311200104</v>
          </cell>
          <cell r="N314">
            <v>0</v>
          </cell>
          <cell r="O314">
            <v>0</v>
          </cell>
          <cell r="P314">
            <v>0</v>
          </cell>
          <cell r="Q314">
            <v>60000</v>
          </cell>
          <cell r="R314">
            <v>30000</v>
          </cell>
          <cell r="S314">
            <v>30000</v>
          </cell>
          <cell r="T314">
            <v>30000</v>
          </cell>
          <cell r="U314">
            <v>30000</v>
          </cell>
          <cell r="V314">
            <v>30000</v>
          </cell>
          <cell r="W314">
            <v>30000</v>
          </cell>
          <cell r="X314">
            <v>10766</v>
          </cell>
          <cell r="Y314">
            <v>0</v>
          </cell>
          <cell r="AB314">
            <v>250766</v>
          </cell>
        </row>
        <row r="315">
          <cell r="B315" t="str">
            <v>45112504511000508Utilities-N423931200104</v>
          </cell>
          <cell r="N315">
            <v>0</v>
          </cell>
          <cell r="O315">
            <v>0</v>
          </cell>
          <cell r="P315">
            <v>0</v>
          </cell>
          <cell r="Q315">
            <v>50000</v>
          </cell>
          <cell r="R315">
            <v>25000</v>
          </cell>
          <cell r="S315">
            <v>25000</v>
          </cell>
          <cell r="T315">
            <v>25000</v>
          </cell>
          <cell r="U315">
            <v>25000</v>
          </cell>
          <cell r="V315">
            <v>25000</v>
          </cell>
          <cell r="W315">
            <v>36000</v>
          </cell>
          <cell r="X315">
            <v>35655</v>
          </cell>
          <cell r="Y315">
            <v>0</v>
          </cell>
          <cell r="AB315">
            <v>246655</v>
          </cell>
        </row>
        <row r="316">
          <cell r="B316" t="str">
            <v>45112504511000508Landscaping-N432614200104</v>
          </cell>
          <cell r="N316">
            <v>0</v>
          </cell>
          <cell r="O316">
            <v>0</v>
          </cell>
          <cell r="P316">
            <v>0</v>
          </cell>
          <cell r="Q316">
            <v>50000</v>
          </cell>
          <cell r="R316">
            <v>25000</v>
          </cell>
          <cell r="S316">
            <v>25000</v>
          </cell>
          <cell r="T316">
            <v>25000</v>
          </cell>
          <cell r="U316">
            <v>25000</v>
          </cell>
          <cell r="V316">
            <v>25000</v>
          </cell>
          <cell r="W316">
            <v>22998</v>
          </cell>
          <cell r="X316">
            <v>0</v>
          </cell>
          <cell r="Y316">
            <v>0</v>
          </cell>
          <cell r="AB316">
            <v>197998</v>
          </cell>
        </row>
        <row r="317">
          <cell r="B317" t="str">
            <v>45112504511000508Hospitality-N424761200104</v>
          </cell>
          <cell r="N317">
            <v>0</v>
          </cell>
          <cell r="O317">
            <v>0</v>
          </cell>
          <cell r="P317">
            <v>0</v>
          </cell>
          <cell r="Q317">
            <v>30000</v>
          </cell>
          <cell r="R317">
            <v>15000</v>
          </cell>
          <cell r="S317">
            <v>15000</v>
          </cell>
          <cell r="T317">
            <v>15000</v>
          </cell>
          <cell r="U317">
            <v>13576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AB317">
            <v>88576</v>
          </cell>
        </row>
        <row r="318">
          <cell r="B318" t="str">
            <v>45112504511000510Manpower-N424521200104</v>
          </cell>
          <cell r="N318">
            <v>0</v>
          </cell>
          <cell r="O318">
            <v>0</v>
          </cell>
          <cell r="P318">
            <v>0</v>
          </cell>
          <cell r="Q318">
            <v>200413</v>
          </cell>
          <cell r="R318">
            <v>50103</v>
          </cell>
          <cell r="S318">
            <v>50103</v>
          </cell>
          <cell r="T318">
            <v>50103</v>
          </cell>
          <cell r="U318">
            <v>50103</v>
          </cell>
          <cell r="V318">
            <v>50103</v>
          </cell>
          <cell r="W318">
            <v>50103</v>
          </cell>
          <cell r="X318">
            <v>50103</v>
          </cell>
          <cell r="Y318">
            <v>50107</v>
          </cell>
          <cell r="AB318">
            <v>601241</v>
          </cell>
        </row>
        <row r="319">
          <cell r="B319" t="str">
            <v>45112504511000510Activation&amp;Prog-N422401200104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75000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75000</v>
          </cell>
          <cell r="AB319">
            <v>150000</v>
          </cell>
        </row>
        <row r="320">
          <cell r="B320" t="str">
            <v>45112504511000510Security Service-N424551200104</v>
          </cell>
          <cell r="N320">
            <v>0</v>
          </cell>
          <cell r="O320">
            <v>0</v>
          </cell>
          <cell r="P320">
            <v>0</v>
          </cell>
          <cell r="Q320">
            <v>40485</v>
          </cell>
          <cell r="R320">
            <v>10121</v>
          </cell>
          <cell r="S320">
            <v>10121</v>
          </cell>
          <cell r="T320">
            <v>10121</v>
          </cell>
          <cell r="U320">
            <v>10121</v>
          </cell>
          <cell r="V320">
            <v>10121</v>
          </cell>
          <cell r="W320">
            <v>10121</v>
          </cell>
          <cell r="X320">
            <v>10121</v>
          </cell>
          <cell r="Y320">
            <v>10124</v>
          </cell>
          <cell r="AB320">
            <v>121456</v>
          </cell>
        </row>
        <row r="321">
          <cell r="B321" t="str">
            <v>45112504511000510Utilities-N423931200104</v>
          </cell>
          <cell r="N321">
            <v>0</v>
          </cell>
          <cell r="O321">
            <v>0</v>
          </cell>
          <cell r="P321">
            <v>0</v>
          </cell>
          <cell r="Q321">
            <v>17500</v>
          </cell>
          <cell r="R321">
            <v>8750</v>
          </cell>
          <cell r="S321">
            <v>8750</v>
          </cell>
          <cell r="T321">
            <v>8750</v>
          </cell>
          <cell r="U321">
            <v>8750</v>
          </cell>
          <cell r="V321">
            <v>8750</v>
          </cell>
          <cell r="W321">
            <v>8750</v>
          </cell>
          <cell r="X321">
            <v>8750</v>
          </cell>
          <cell r="Y321">
            <v>26250</v>
          </cell>
          <cell r="AB321">
            <v>105000</v>
          </cell>
        </row>
        <row r="322">
          <cell r="B322" t="str">
            <v>45192004511000883Activation&amp;Prog-N1422401200104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617000</v>
          </cell>
          <cell r="S322">
            <v>233000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1101236</v>
          </cell>
          <cell r="Y322">
            <v>0</v>
          </cell>
          <cell r="AB322">
            <v>1951236</v>
          </cell>
        </row>
        <row r="323">
          <cell r="B323" t="str">
            <v>45112504511000063Manpower-N424521200104</v>
          </cell>
          <cell r="N323">
            <v>0</v>
          </cell>
          <cell r="O323">
            <v>0</v>
          </cell>
          <cell r="P323">
            <v>44233.34</v>
          </cell>
          <cell r="Q323">
            <v>122675.82</v>
          </cell>
          <cell r="R323">
            <v>41727.29</v>
          </cell>
          <cell r="S323">
            <v>41727.29</v>
          </cell>
          <cell r="T323">
            <v>41727.29</v>
          </cell>
          <cell r="U323">
            <v>41727.29</v>
          </cell>
          <cell r="V323">
            <v>41727.29</v>
          </cell>
          <cell r="W323">
            <v>41727.29</v>
          </cell>
          <cell r="X323">
            <v>41727.29</v>
          </cell>
          <cell r="Y323">
            <v>283149.81</v>
          </cell>
          <cell r="AB323">
            <v>742150</v>
          </cell>
        </row>
        <row r="324">
          <cell r="B324" t="str">
            <v>45112504511000510Landscaping-N432614200104</v>
          </cell>
          <cell r="N324">
            <v>0</v>
          </cell>
          <cell r="O324">
            <v>0</v>
          </cell>
          <cell r="P324">
            <v>0</v>
          </cell>
          <cell r="Q324">
            <v>23416</v>
          </cell>
          <cell r="R324">
            <v>5854</v>
          </cell>
          <cell r="S324">
            <v>5854</v>
          </cell>
          <cell r="T324">
            <v>5854</v>
          </cell>
          <cell r="U324">
            <v>5854</v>
          </cell>
          <cell r="V324">
            <v>5854</v>
          </cell>
          <cell r="W324">
            <v>5854</v>
          </cell>
          <cell r="X324">
            <v>5854</v>
          </cell>
          <cell r="Y324">
            <v>5853</v>
          </cell>
          <cell r="AB324">
            <v>70247</v>
          </cell>
        </row>
        <row r="325">
          <cell r="B325" t="str">
            <v>45112504511000510Hospitality-N424761200104</v>
          </cell>
          <cell r="N325">
            <v>0</v>
          </cell>
          <cell r="O325">
            <v>0</v>
          </cell>
          <cell r="P325">
            <v>0</v>
          </cell>
          <cell r="Q325">
            <v>14425</v>
          </cell>
          <cell r="R325">
            <v>3604</v>
          </cell>
          <cell r="S325">
            <v>3604</v>
          </cell>
          <cell r="T325">
            <v>3604</v>
          </cell>
          <cell r="U325">
            <v>3604</v>
          </cell>
          <cell r="V325">
            <v>3604</v>
          </cell>
          <cell r="W325">
            <v>3604</v>
          </cell>
          <cell r="X325">
            <v>3604</v>
          </cell>
          <cell r="Y325">
            <v>3604</v>
          </cell>
          <cell r="AB325">
            <v>43257</v>
          </cell>
        </row>
        <row r="326">
          <cell r="B326" t="str">
            <v>45112504511000187Manpower-N424521200104</v>
          </cell>
          <cell r="N326">
            <v>0</v>
          </cell>
          <cell r="O326">
            <v>0</v>
          </cell>
          <cell r="P326">
            <v>182565.02</v>
          </cell>
          <cell r="Q326">
            <v>450690.98</v>
          </cell>
          <cell r="R326">
            <v>158128</v>
          </cell>
          <cell r="S326">
            <v>158128</v>
          </cell>
          <cell r="T326">
            <v>158128</v>
          </cell>
          <cell r="U326">
            <v>158128</v>
          </cell>
          <cell r="V326">
            <v>158128</v>
          </cell>
          <cell r="W326">
            <v>158128</v>
          </cell>
          <cell r="X326">
            <v>158128</v>
          </cell>
          <cell r="Y326">
            <v>157388</v>
          </cell>
          <cell r="AB326">
            <v>1897540</v>
          </cell>
        </row>
        <row r="327">
          <cell r="B327" t="str">
            <v>45112504511000512Activation&amp;Prog-N422401200104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664750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664750</v>
          </cell>
          <cell r="AB327">
            <v>1329500</v>
          </cell>
        </row>
        <row r="328">
          <cell r="B328" t="str">
            <v>45112504511000064Manpower-N424521200104</v>
          </cell>
          <cell r="N328">
            <v>0</v>
          </cell>
          <cell r="O328">
            <v>117980.02</v>
          </cell>
          <cell r="P328">
            <v>0</v>
          </cell>
          <cell r="Q328">
            <v>189093.33999999997</v>
          </cell>
          <cell r="R328">
            <v>76768.34</v>
          </cell>
          <cell r="S328">
            <v>76768.34</v>
          </cell>
          <cell r="T328">
            <v>76768.34</v>
          </cell>
          <cell r="U328">
            <v>76768.34</v>
          </cell>
          <cell r="V328">
            <v>76768.34</v>
          </cell>
          <cell r="W328">
            <v>76768.34</v>
          </cell>
          <cell r="X328">
            <v>76768.34</v>
          </cell>
          <cell r="Y328">
            <v>147782.26</v>
          </cell>
          <cell r="AB328">
            <v>992233.99999999977</v>
          </cell>
        </row>
        <row r="329">
          <cell r="B329" t="str">
            <v>45151004511001471GSA Retainer-N421125200104</v>
          </cell>
          <cell r="N329">
            <v>0</v>
          </cell>
          <cell r="O329">
            <v>0</v>
          </cell>
          <cell r="P329">
            <v>0</v>
          </cell>
          <cell r="Q329">
            <v>850897.46</v>
          </cell>
          <cell r="R329">
            <v>212724.36499999999</v>
          </cell>
          <cell r="S329">
            <v>212724.36499999999</v>
          </cell>
          <cell r="T329">
            <v>212724.36499999999</v>
          </cell>
          <cell r="U329">
            <v>212724.36499999999</v>
          </cell>
          <cell r="V329">
            <v>212724.36499999999</v>
          </cell>
          <cell r="W329">
            <v>212724.36499999999</v>
          </cell>
          <cell r="X329">
            <v>212724.36499999999</v>
          </cell>
          <cell r="Y329">
            <v>227176.9850000001</v>
          </cell>
          <cell r="AB329">
            <v>2567145</v>
          </cell>
        </row>
        <row r="330">
          <cell r="B330" t="str">
            <v>45112504511000186Manpower-N424521200104</v>
          </cell>
          <cell r="N330">
            <v>0</v>
          </cell>
          <cell r="O330">
            <v>0</v>
          </cell>
          <cell r="P330">
            <v>44233.34</v>
          </cell>
          <cell r="Q330">
            <v>44233.34</v>
          </cell>
          <cell r="R330">
            <v>22116.67</v>
          </cell>
          <cell r="S330">
            <v>22116.67</v>
          </cell>
          <cell r="T330">
            <v>22116.67</v>
          </cell>
          <cell r="U330">
            <v>22116.67</v>
          </cell>
          <cell r="V330">
            <v>22116.67</v>
          </cell>
          <cell r="W330">
            <v>22116.67</v>
          </cell>
          <cell r="X330">
            <v>22116.67</v>
          </cell>
          <cell r="Y330">
            <v>22116.67</v>
          </cell>
          <cell r="AB330">
            <v>265400.03999999992</v>
          </cell>
        </row>
        <row r="331">
          <cell r="B331" t="str">
            <v>45112504511000512Utilities-N423931200104</v>
          </cell>
          <cell r="N331">
            <v>0</v>
          </cell>
          <cell r="O331">
            <v>0</v>
          </cell>
          <cell r="P331">
            <v>0</v>
          </cell>
          <cell r="Q331">
            <v>44665.166599999997</v>
          </cell>
          <cell r="R331">
            <v>22332.583299999998</v>
          </cell>
          <cell r="S331">
            <v>22332.583299999998</v>
          </cell>
          <cell r="T331">
            <v>22332.583299999998</v>
          </cell>
          <cell r="U331">
            <v>22332.583299999998</v>
          </cell>
          <cell r="V331">
            <v>22332.583299999998</v>
          </cell>
          <cell r="W331">
            <v>22332.583299999998</v>
          </cell>
          <cell r="X331">
            <v>22332.583299999998</v>
          </cell>
          <cell r="Y331">
            <v>66997.75</v>
          </cell>
          <cell r="AB331">
            <v>267990.99969999999</v>
          </cell>
        </row>
        <row r="332">
          <cell r="B332" t="str">
            <v>45112504511000512Security Service-N424551200104</v>
          </cell>
          <cell r="N332">
            <v>0</v>
          </cell>
          <cell r="O332">
            <v>0</v>
          </cell>
          <cell r="P332">
            <v>0</v>
          </cell>
          <cell r="Q332">
            <v>66355</v>
          </cell>
          <cell r="R332">
            <v>16588.75</v>
          </cell>
          <cell r="S332">
            <v>16588.75</v>
          </cell>
          <cell r="T332">
            <v>16588.75</v>
          </cell>
          <cell r="U332">
            <v>16588.75</v>
          </cell>
          <cell r="V332">
            <v>16588.75</v>
          </cell>
          <cell r="W332">
            <v>16588.75</v>
          </cell>
          <cell r="X332">
            <v>16588.75</v>
          </cell>
          <cell r="Y332">
            <v>17128.75</v>
          </cell>
          <cell r="AB332">
            <v>199605</v>
          </cell>
        </row>
        <row r="333">
          <cell r="B333" t="str">
            <v>45112504511000512FM Mgmnt (E-E)-N1426212200104</v>
          </cell>
          <cell r="N333">
            <v>0</v>
          </cell>
          <cell r="O333">
            <v>0</v>
          </cell>
          <cell r="P333">
            <v>0</v>
          </cell>
          <cell r="Q333">
            <v>28752</v>
          </cell>
          <cell r="R333">
            <v>14376</v>
          </cell>
          <cell r="S333">
            <v>14376</v>
          </cell>
          <cell r="T333">
            <v>14376</v>
          </cell>
          <cell r="U333">
            <v>14376</v>
          </cell>
          <cell r="V333">
            <v>43129</v>
          </cell>
          <cell r="W333">
            <v>14376</v>
          </cell>
          <cell r="X333">
            <v>14376</v>
          </cell>
          <cell r="Y333">
            <v>14378</v>
          </cell>
          <cell r="AB333">
            <v>172515</v>
          </cell>
        </row>
        <row r="334">
          <cell r="B334" t="str">
            <v>45101504511000113Systems Develop-NC493140300105</v>
          </cell>
          <cell r="N334">
            <v>0</v>
          </cell>
          <cell r="O334">
            <v>0</v>
          </cell>
          <cell r="P334">
            <v>0</v>
          </cell>
          <cell r="Q334">
            <v>200000</v>
          </cell>
          <cell r="R334">
            <v>100000</v>
          </cell>
          <cell r="S334">
            <v>0</v>
          </cell>
          <cell r="T334">
            <v>130000</v>
          </cell>
          <cell r="U334">
            <v>18000</v>
          </cell>
          <cell r="V334">
            <v>138000</v>
          </cell>
          <cell r="W334">
            <v>138000</v>
          </cell>
          <cell r="X334">
            <v>138000</v>
          </cell>
          <cell r="Y334">
            <v>138000</v>
          </cell>
          <cell r="AB334">
            <v>1000000</v>
          </cell>
        </row>
        <row r="335">
          <cell r="B335" t="str">
            <v>45112504511000512Landscaping-N432614200104</v>
          </cell>
          <cell r="N335">
            <v>0</v>
          </cell>
          <cell r="O335">
            <v>0</v>
          </cell>
          <cell r="P335">
            <v>0</v>
          </cell>
          <cell r="Q335">
            <v>34839</v>
          </cell>
          <cell r="R335">
            <v>8710</v>
          </cell>
          <cell r="S335">
            <v>8710</v>
          </cell>
          <cell r="T335">
            <v>8710</v>
          </cell>
          <cell r="U335">
            <v>8710</v>
          </cell>
          <cell r="V335">
            <v>8710</v>
          </cell>
          <cell r="W335">
            <v>8710</v>
          </cell>
          <cell r="X335">
            <v>8710</v>
          </cell>
          <cell r="Y335">
            <v>8707</v>
          </cell>
          <cell r="AB335">
            <v>104516</v>
          </cell>
        </row>
        <row r="336">
          <cell r="B336" t="str">
            <v>45112504511000512Hospitality-N424761200104</v>
          </cell>
          <cell r="N336">
            <v>0</v>
          </cell>
          <cell r="O336">
            <v>0</v>
          </cell>
          <cell r="P336">
            <v>0</v>
          </cell>
          <cell r="Q336">
            <v>17755</v>
          </cell>
          <cell r="R336">
            <v>4439</v>
          </cell>
          <cell r="S336">
            <v>4439</v>
          </cell>
          <cell r="T336">
            <v>4439</v>
          </cell>
          <cell r="U336">
            <v>4439</v>
          </cell>
          <cell r="V336">
            <v>4439</v>
          </cell>
          <cell r="W336">
            <v>4439</v>
          </cell>
          <cell r="X336">
            <v>4439</v>
          </cell>
          <cell r="Y336">
            <v>4437</v>
          </cell>
          <cell r="AB336">
            <v>53265</v>
          </cell>
        </row>
        <row r="337">
          <cell r="B337" t="str">
            <v>45112504511000512Pest Control-N422321200104</v>
          </cell>
          <cell r="N337">
            <v>0</v>
          </cell>
          <cell r="O337">
            <v>0</v>
          </cell>
          <cell r="P337">
            <v>0</v>
          </cell>
          <cell r="Q337">
            <v>16989</v>
          </cell>
          <cell r="R337">
            <v>4247</v>
          </cell>
          <cell r="S337">
            <v>4247</v>
          </cell>
          <cell r="T337">
            <v>4247</v>
          </cell>
          <cell r="U337">
            <v>4247</v>
          </cell>
          <cell r="V337">
            <v>4247</v>
          </cell>
          <cell r="W337">
            <v>4247</v>
          </cell>
          <cell r="X337">
            <v>4247</v>
          </cell>
          <cell r="Y337">
            <v>4251</v>
          </cell>
          <cell r="AB337">
            <v>50969</v>
          </cell>
        </row>
        <row r="338">
          <cell r="B338" t="str">
            <v>45112504511000512Waste Mgmnt-N424591200104</v>
          </cell>
          <cell r="N338">
            <v>0</v>
          </cell>
          <cell r="O338">
            <v>0</v>
          </cell>
          <cell r="P338">
            <v>0</v>
          </cell>
          <cell r="Q338">
            <v>1848</v>
          </cell>
          <cell r="R338">
            <v>0</v>
          </cell>
          <cell r="S338">
            <v>0</v>
          </cell>
          <cell r="T338">
            <v>0</v>
          </cell>
          <cell r="U338">
            <v>1848</v>
          </cell>
          <cell r="V338">
            <v>0</v>
          </cell>
          <cell r="W338">
            <v>0</v>
          </cell>
          <cell r="X338">
            <v>0</v>
          </cell>
          <cell r="Y338">
            <v>1849</v>
          </cell>
          <cell r="AB338">
            <v>5545</v>
          </cell>
        </row>
        <row r="339">
          <cell r="B339" t="str">
            <v>45112504511000514Security Service-N424551200104</v>
          </cell>
          <cell r="N339">
            <v>0</v>
          </cell>
          <cell r="O339">
            <v>0</v>
          </cell>
          <cell r="P339">
            <v>0</v>
          </cell>
          <cell r="Q339">
            <v>170000</v>
          </cell>
          <cell r="R339">
            <v>85000</v>
          </cell>
          <cell r="S339">
            <v>85000</v>
          </cell>
          <cell r="T339">
            <v>85000</v>
          </cell>
          <cell r="U339">
            <v>85000</v>
          </cell>
          <cell r="V339">
            <v>85000</v>
          </cell>
          <cell r="W339">
            <v>85000</v>
          </cell>
          <cell r="X339">
            <v>75000</v>
          </cell>
          <cell r="Y339">
            <v>76600</v>
          </cell>
          <cell r="AB339">
            <v>831600</v>
          </cell>
        </row>
        <row r="340">
          <cell r="B340" t="str">
            <v>45112504511000514Utilities-N423931200104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6387</v>
          </cell>
          <cell r="AB340">
            <v>6387</v>
          </cell>
        </row>
        <row r="341">
          <cell r="B341" t="str">
            <v>45112504511000525Maintenance-N426212200104</v>
          </cell>
          <cell r="N341">
            <v>0</v>
          </cell>
          <cell r="O341">
            <v>0</v>
          </cell>
          <cell r="P341">
            <v>0</v>
          </cell>
          <cell r="Q341">
            <v>217587.49996666668</v>
          </cell>
          <cell r="R341">
            <v>72529.166666666672</v>
          </cell>
          <cell r="S341">
            <v>72529.166666666672</v>
          </cell>
          <cell r="T341">
            <v>72529.166666666672</v>
          </cell>
          <cell r="U341">
            <v>72529.166666666672</v>
          </cell>
          <cell r="V341">
            <v>72529.166666666672</v>
          </cell>
          <cell r="W341">
            <v>72529.166666666672</v>
          </cell>
          <cell r="X341">
            <v>72529.166666666672</v>
          </cell>
          <cell r="Y341">
            <v>145058.33333333334</v>
          </cell>
          <cell r="AB341">
            <v>870349.99996666668</v>
          </cell>
        </row>
        <row r="342">
          <cell r="B342" t="str">
            <v>45112504511000525Cooling Bills-N423931200104</v>
          </cell>
          <cell r="N342">
            <v>0</v>
          </cell>
          <cell r="O342">
            <v>0</v>
          </cell>
          <cell r="P342">
            <v>0</v>
          </cell>
          <cell r="Q342">
            <v>270000</v>
          </cell>
          <cell r="R342">
            <v>90000</v>
          </cell>
          <cell r="S342">
            <v>90000</v>
          </cell>
          <cell r="T342">
            <v>90000</v>
          </cell>
          <cell r="U342">
            <v>90000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AB342">
            <v>630000</v>
          </cell>
        </row>
        <row r="343">
          <cell r="B343" t="str">
            <v>45112504511000525Cleaning Service-N422311200104</v>
          </cell>
          <cell r="N343">
            <v>0</v>
          </cell>
          <cell r="O343">
            <v>0</v>
          </cell>
          <cell r="P343">
            <v>0</v>
          </cell>
          <cell r="Q343">
            <v>68343</v>
          </cell>
          <cell r="R343">
            <v>22781</v>
          </cell>
          <cell r="S343">
            <v>22781</v>
          </cell>
          <cell r="T343">
            <v>22781</v>
          </cell>
          <cell r="U343">
            <v>22781</v>
          </cell>
          <cell r="V343">
            <v>22781</v>
          </cell>
          <cell r="W343">
            <v>22781</v>
          </cell>
          <cell r="X343">
            <v>22781</v>
          </cell>
          <cell r="Y343">
            <v>45562</v>
          </cell>
          <cell r="AB343">
            <v>273372</v>
          </cell>
        </row>
        <row r="344">
          <cell r="B344" t="str">
            <v>45112504511000525Utilities-N423931200104</v>
          </cell>
          <cell r="N344">
            <v>0</v>
          </cell>
          <cell r="O344">
            <v>0</v>
          </cell>
          <cell r="P344">
            <v>0</v>
          </cell>
          <cell r="Q344">
            <v>62392</v>
          </cell>
          <cell r="R344">
            <v>31196</v>
          </cell>
          <cell r="S344">
            <v>31196</v>
          </cell>
          <cell r="T344">
            <v>31196</v>
          </cell>
          <cell r="U344">
            <v>31196</v>
          </cell>
          <cell r="V344">
            <v>31197</v>
          </cell>
          <cell r="W344">
            <v>0</v>
          </cell>
          <cell r="X344">
            <v>0</v>
          </cell>
          <cell r="Y344">
            <v>0</v>
          </cell>
          <cell r="AB344">
            <v>218373</v>
          </cell>
        </row>
        <row r="345">
          <cell r="B345" t="str">
            <v>45112504511000525Security Service-N424551200104</v>
          </cell>
          <cell r="N345">
            <v>0</v>
          </cell>
          <cell r="O345">
            <v>0</v>
          </cell>
          <cell r="P345">
            <v>0</v>
          </cell>
          <cell r="Q345">
            <v>35600</v>
          </cell>
          <cell r="R345">
            <v>8900</v>
          </cell>
          <cell r="S345">
            <v>8900</v>
          </cell>
          <cell r="T345">
            <v>8900</v>
          </cell>
          <cell r="U345">
            <v>8900</v>
          </cell>
          <cell r="V345">
            <v>8900</v>
          </cell>
          <cell r="W345">
            <v>8900</v>
          </cell>
          <cell r="X345">
            <v>8900</v>
          </cell>
          <cell r="Y345">
            <v>27500</v>
          </cell>
          <cell r="AB345">
            <v>125400</v>
          </cell>
        </row>
        <row r="346">
          <cell r="B346" t="str">
            <v>45112504511000525Ad-hoc Repairs-N426427200104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26200</v>
          </cell>
          <cell r="T346">
            <v>0</v>
          </cell>
          <cell r="U346">
            <v>0</v>
          </cell>
          <cell r="V346">
            <v>0</v>
          </cell>
          <cell r="W346">
            <v>20000</v>
          </cell>
          <cell r="X346">
            <v>0</v>
          </cell>
          <cell r="Y346">
            <v>0</v>
          </cell>
          <cell r="AB346">
            <v>46200</v>
          </cell>
        </row>
        <row r="347">
          <cell r="B347" t="str">
            <v>45112504511000525Pest Control-N422321200104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7920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AB347">
            <v>7920</v>
          </cell>
        </row>
        <row r="348">
          <cell r="B348" t="str">
            <v>45112504511001261Maintenance-N426212200104</v>
          </cell>
          <cell r="N348">
            <v>0</v>
          </cell>
          <cell r="O348">
            <v>0</v>
          </cell>
          <cell r="P348">
            <v>0</v>
          </cell>
          <cell r="Q348">
            <v>154961.20000000001</v>
          </cell>
          <cell r="R348">
            <v>38740.300000000003</v>
          </cell>
          <cell r="S348">
            <v>26877.3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AB348">
            <v>220578.8</v>
          </cell>
        </row>
        <row r="349">
          <cell r="B349" t="str">
            <v>45112504511000526Activation&amp;Prog-N422401200104</v>
          </cell>
          <cell r="N349">
            <v>0</v>
          </cell>
          <cell r="O349">
            <v>0</v>
          </cell>
          <cell r="P349">
            <v>373100</v>
          </cell>
          <cell r="Q349">
            <v>0</v>
          </cell>
          <cell r="R349">
            <v>0</v>
          </cell>
          <cell r="S349">
            <v>597400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AB349">
            <v>970500</v>
          </cell>
        </row>
        <row r="350">
          <cell r="B350" t="str">
            <v>45112504511000526Admin Expenses-N1421125200104</v>
          </cell>
          <cell r="N350">
            <v>0</v>
          </cell>
          <cell r="O350">
            <v>0</v>
          </cell>
          <cell r="P350">
            <v>0</v>
          </cell>
          <cell r="Q350">
            <v>60000</v>
          </cell>
          <cell r="R350">
            <v>60000</v>
          </cell>
          <cell r="S350">
            <v>60000</v>
          </cell>
          <cell r="T350">
            <v>57950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AB350">
            <v>237950</v>
          </cell>
        </row>
        <row r="351">
          <cell r="B351" t="str">
            <v>45112504511000526Edu &amp; Outreach-N422401200104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135000</v>
          </cell>
          <cell r="Y351">
            <v>0</v>
          </cell>
          <cell r="AB351">
            <v>135000</v>
          </cell>
        </row>
        <row r="352">
          <cell r="B352" t="str">
            <v>45112504511000527Utilities-N423931200104</v>
          </cell>
          <cell r="N352">
            <v>0</v>
          </cell>
          <cell r="O352">
            <v>0</v>
          </cell>
          <cell r="P352">
            <v>0</v>
          </cell>
          <cell r="Q352">
            <v>23333.333200000001</v>
          </cell>
          <cell r="R352">
            <v>11666.6666</v>
          </cell>
          <cell r="S352">
            <v>11666.6666</v>
          </cell>
          <cell r="T352">
            <v>11666.6666</v>
          </cell>
          <cell r="U352">
            <v>11666.6666</v>
          </cell>
          <cell r="V352">
            <v>11666.6666</v>
          </cell>
          <cell r="W352">
            <v>11666.6666</v>
          </cell>
          <cell r="X352">
            <v>11666.6666</v>
          </cell>
          <cell r="Y352">
            <v>35000</v>
          </cell>
          <cell r="AB352">
            <v>139999.99939999997</v>
          </cell>
        </row>
        <row r="353">
          <cell r="B353" t="str">
            <v>45112504511000527Security Service-N424551200104</v>
          </cell>
          <cell r="N353">
            <v>0</v>
          </cell>
          <cell r="O353">
            <v>0</v>
          </cell>
          <cell r="P353">
            <v>0</v>
          </cell>
          <cell r="Q353">
            <v>41580</v>
          </cell>
          <cell r="R353">
            <v>10395</v>
          </cell>
          <cell r="S353">
            <v>10395</v>
          </cell>
          <cell r="T353">
            <v>10395</v>
          </cell>
          <cell r="U353">
            <v>10395</v>
          </cell>
          <cell r="V353">
            <v>10395</v>
          </cell>
          <cell r="W353">
            <v>10395</v>
          </cell>
          <cell r="X353">
            <v>10394</v>
          </cell>
          <cell r="Y353">
            <v>10395</v>
          </cell>
          <cell r="AB353">
            <v>124739</v>
          </cell>
        </row>
        <row r="354">
          <cell r="B354" t="str">
            <v>45112504511000217Manpower-N424521200104</v>
          </cell>
          <cell r="N354">
            <v>0</v>
          </cell>
          <cell r="O354">
            <v>43753.34</v>
          </cell>
          <cell r="P354">
            <v>0</v>
          </cell>
          <cell r="Q354">
            <v>43754.66</v>
          </cell>
          <cell r="R354">
            <v>43754</v>
          </cell>
          <cell r="S354">
            <v>43754</v>
          </cell>
          <cell r="T354">
            <v>43754</v>
          </cell>
          <cell r="U354">
            <v>43754</v>
          </cell>
          <cell r="V354">
            <v>43754</v>
          </cell>
          <cell r="W354">
            <v>74753</v>
          </cell>
          <cell r="X354">
            <v>92878</v>
          </cell>
          <cell r="Y354">
            <v>92878</v>
          </cell>
          <cell r="AB354">
            <v>566787</v>
          </cell>
        </row>
        <row r="355">
          <cell r="B355" t="str">
            <v>45112504511000527Cleaning Service-N422311200104</v>
          </cell>
          <cell r="N355">
            <v>0</v>
          </cell>
          <cell r="O355">
            <v>0</v>
          </cell>
          <cell r="P355">
            <v>0</v>
          </cell>
          <cell r="Q355">
            <v>26199</v>
          </cell>
          <cell r="R355">
            <v>6548</v>
          </cell>
          <cell r="S355">
            <v>6550</v>
          </cell>
          <cell r="T355">
            <v>6550</v>
          </cell>
          <cell r="U355">
            <v>6550</v>
          </cell>
          <cell r="V355">
            <v>6550</v>
          </cell>
          <cell r="W355">
            <v>6550</v>
          </cell>
          <cell r="X355">
            <v>6550</v>
          </cell>
          <cell r="Y355">
            <v>6550</v>
          </cell>
          <cell r="AB355">
            <v>78597</v>
          </cell>
        </row>
        <row r="356">
          <cell r="B356" t="str">
            <v>45112504511000512Cleaning Service-N422311200104</v>
          </cell>
          <cell r="N356">
            <v>0</v>
          </cell>
          <cell r="O356">
            <v>0</v>
          </cell>
          <cell r="P356">
            <v>0</v>
          </cell>
          <cell r="Q356">
            <v>91215</v>
          </cell>
          <cell r="R356">
            <v>22804</v>
          </cell>
          <cell r="S356">
            <v>22804</v>
          </cell>
          <cell r="T356">
            <v>22804</v>
          </cell>
          <cell r="U356">
            <v>22804</v>
          </cell>
          <cell r="V356">
            <v>22804</v>
          </cell>
          <cell r="W356">
            <v>22804</v>
          </cell>
          <cell r="X356">
            <v>22804</v>
          </cell>
          <cell r="Y356">
            <v>22802</v>
          </cell>
          <cell r="AB356">
            <v>273645</v>
          </cell>
        </row>
        <row r="357">
          <cell r="B357" t="str">
            <v>45112504511000527Pest Control-N422321200104</v>
          </cell>
          <cell r="N357">
            <v>0</v>
          </cell>
          <cell r="O357">
            <v>0</v>
          </cell>
          <cell r="P357">
            <v>0</v>
          </cell>
          <cell r="Q357">
            <v>3589</v>
          </cell>
          <cell r="R357">
            <v>3589</v>
          </cell>
          <cell r="S357">
            <v>0</v>
          </cell>
          <cell r="T357">
            <v>3589</v>
          </cell>
          <cell r="U357">
            <v>0</v>
          </cell>
          <cell r="V357">
            <v>3589</v>
          </cell>
          <cell r="W357">
            <v>0</v>
          </cell>
          <cell r="X357">
            <v>3588</v>
          </cell>
          <cell r="Y357">
            <v>0</v>
          </cell>
          <cell r="AB357">
            <v>17944</v>
          </cell>
        </row>
        <row r="358">
          <cell r="B358" t="str">
            <v>45112504511000527Landscaping-N432614200104</v>
          </cell>
          <cell r="N358">
            <v>0</v>
          </cell>
          <cell r="O358">
            <v>0</v>
          </cell>
          <cell r="P358">
            <v>0</v>
          </cell>
          <cell r="Q358">
            <v>3520</v>
          </cell>
          <cell r="R358">
            <v>880</v>
          </cell>
          <cell r="S358">
            <v>880</v>
          </cell>
          <cell r="T358">
            <v>880</v>
          </cell>
          <cell r="U358">
            <v>880</v>
          </cell>
          <cell r="V358">
            <v>880</v>
          </cell>
          <cell r="W358">
            <v>880</v>
          </cell>
          <cell r="X358">
            <v>880</v>
          </cell>
          <cell r="Y358">
            <v>879</v>
          </cell>
          <cell r="AB358">
            <v>10559</v>
          </cell>
        </row>
        <row r="359">
          <cell r="B359" t="str">
            <v>45112504511000528DestinationMgmnt-N1421125200104</v>
          </cell>
          <cell r="N359">
            <v>0</v>
          </cell>
          <cell r="O359">
            <v>0</v>
          </cell>
          <cell r="P359">
            <v>0</v>
          </cell>
          <cell r="Q359">
            <v>2162574.8476190479</v>
          </cell>
          <cell r="R359">
            <v>1222425</v>
          </cell>
          <cell r="S359">
            <v>685000</v>
          </cell>
          <cell r="T359">
            <v>585000</v>
          </cell>
          <cell r="U359">
            <v>586600</v>
          </cell>
          <cell r="V359">
            <v>735000</v>
          </cell>
          <cell r="W359">
            <v>835000</v>
          </cell>
          <cell r="X359">
            <v>885000</v>
          </cell>
          <cell r="Y359">
            <v>985000</v>
          </cell>
          <cell r="AB359">
            <v>8681599.8476190474</v>
          </cell>
        </row>
        <row r="360">
          <cell r="B360" t="str">
            <v>45112504511000528Manpower-N424521200104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15000</v>
          </cell>
          <cell r="S360">
            <v>15000</v>
          </cell>
          <cell r="T360">
            <v>15000</v>
          </cell>
          <cell r="U360">
            <v>15000</v>
          </cell>
          <cell r="V360">
            <v>15000</v>
          </cell>
          <cell r="W360">
            <v>15000</v>
          </cell>
          <cell r="X360">
            <v>15000</v>
          </cell>
          <cell r="Y360">
            <v>15000</v>
          </cell>
          <cell r="AB360">
            <v>120000</v>
          </cell>
        </row>
        <row r="361">
          <cell r="B361" t="str">
            <v>45112504511000580Activation&amp;Prog-N422401200104</v>
          </cell>
          <cell r="N361">
            <v>0</v>
          </cell>
          <cell r="O361">
            <v>534234</v>
          </cell>
          <cell r="P361">
            <v>0</v>
          </cell>
          <cell r="R361">
            <v>0</v>
          </cell>
          <cell r="S361">
            <v>927136</v>
          </cell>
          <cell r="T361">
            <v>0</v>
          </cell>
          <cell r="U361">
            <v>50000</v>
          </cell>
          <cell r="V361">
            <v>475000</v>
          </cell>
          <cell r="W361">
            <v>1314482</v>
          </cell>
          <cell r="X361">
            <v>432000</v>
          </cell>
          <cell r="Y361">
            <v>187726</v>
          </cell>
          <cell r="AB361">
            <v>3920578</v>
          </cell>
        </row>
        <row r="362">
          <cell r="B362" t="str">
            <v>45112504511000580Freelancers-N424521200104</v>
          </cell>
          <cell r="N362">
            <v>0</v>
          </cell>
          <cell r="O362">
            <v>0</v>
          </cell>
          <cell r="P362">
            <v>39000</v>
          </cell>
          <cell r="Q362">
            <v>117000</v>
          </cell>
          <cell r="R362">
            <v>39000</v>
          </cell>
          <cell r="S362">
            <v>39000</v>
          </cell>
          <cell r="T362">
            <v>39000</v>
          </cell>
          <cell r="U362">
            <v>39000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AB362">
            <v>234000</v>
          </cell>
        </row>
        <row r="363">
          <cell r="B363" t="str">
            <v>45112504511000580Manpower-N424521200104</v>
          </cell>
          <cell r="N363">
            <v>0</v>
          </cell>
          <cell r="O363">
            <v>0</v>
          </cell>
          <cell r="P363">
            <v>0</v>
          </cell>
          <cell r="Q363">
            <v>40000</v>
          </cell>
          <cell r="R363">
            <v>12000</v>
          </cell>
          <cell r="S363">
            <v>12000</v>
          </cell>
          <cell r="T363">
            <v>12000</v>
          </cell>
          <cell r="U363">
            <v>12000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AB363">
            <v>166000</v>
          </cell>
        </row>
        <row r="364">
          <cell r="B364" t="str">
            <v>45112504511000581Activation&amp;Prog-N422401200104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101500</v>
          </cell>
          <cell r="X364">
            <v>0</v>
          </cell>
          <cell r="Y364">
            <v>168500</v>
          </cell>
          <cell r="AB364">
            <v>270000</v>
          </cell>
        </row>
        <row r="365">
          <cell r="B365" t="str">
            <v>45112504511000581Freelancers-N424521200104</v>
          </cell>
          <cell r="N365">
            <v>0</v>
          </cell>
          <cell r="O365">
            <v>0</v>
          </cell>
          <cell r="P365">
            <v>39000</v>
          </cell>
          <cell r="Q365">
            <v>0</v>
          </cell>
          <cell r="R365">
            <v>23500</v>
          </cell>
          <cell r="S365">
            <v>0</v>
          </cell>
          <cell r="T365">
            <v>0</v>
          </cell>
          <cell r="U365">
            <v>62500</v>
          </cell>
          <cell r="V365">
            <v>0</v>
          </cell>
          <cell r="W365">
            <v>0</v>
          </cell>
          <cell r="X365">
            <v>0</v>
          </cell>
          <cell r="Y365">
            <v>125000</v>
          </cell>
          <cell r="AB365">
            <v>250000</v>
          </cell>
        </row>
        <row r="366">
          <cell r="B366" t="str">
            <v>45112504511000510Maintenance-N426212200104</v>
          </cell>
          <cell r="N366">
            <v>0</v>
          </cell>
          <cell r="O366">
            <v>0</v>
          </cell>
          <cell r="P366">
            <v>0</v>
          </cell>
          <cell r="Q366">
            <v>31715</v>
          </cell>
          <cell r="R366">
            <v>7929</v>
          </cell>
          <cell r="S366">
            <v>7929</v>
          </cell>
          <cell r="T366">
            <v>7929</v>
          </cell>
          <cell r="U366">
            <v>7929</v>
          </cell>
          <cell r="V366">
            <v>7929</v>
          </cell>
          <cell r="W366">
            <v>7929</v>
          </cell>
          <cell r="X366">
            <v>7929</v>
          </cell>
          <cell r="Y366">
            <v>7924</v>
          </cell>
          <cell r="AB366">
            <v>95142</v>
          </cell>
        </row>
        <row r="367">
          <cell r="B367" t="str">
            <v>45112504511000583Manpower-N424521200104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9600</v>
          </cell>
          <cell r="U367">
            <v>80000</v>
          </cell>
          <cell r="V367">
            <v>25000</v>
          </cell>
          <cell r="W367">
            <v>10000</v>
          </cell>
          <cell r="X367">
            <v>15000</v>
          </cell>
          <cell r="Y367">
            <v>200000</v>
          </cell>
          <cell r="AB367">
            <v>339600</v>
          </cell>
        </row>
        <row r="368">
          <cell r="B368" t="str">
            <v>45112504511000623Facilities Rent-N425112200104</v>
          </cell>
          <cell r="N368">
            <v>0</v>
          </cell>
          <cell r="O368">
            <v>0</v>
          </cell>
          <cell r="P368">
            <v>833490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AB368">
            <v>833490</v>
          </cell>
        </row>
        <row r="369">
          <cell r="B369" t="str">
            <v>45112504511000434Manpower-N424521200104</v>
          </cell>
          <cell r="N369">
            <v>0</v>
          </cell>
          <cell r="O369">
            <v>0</v>
          </cell>
          <cell r="P369">
            <v>51788.88</v>
          </cell>
          <cell r="Q369">
            <v>89683</v>
          </cell>
          <cell r="R369">
            <v>25894.440000000002</v>
          </cell>
          <cell r="S369">
            <v>25894.440000000002</v>
          </cell>
          <cell r="T369">
            <v>25894.440000000002</v>
          </cell>
          <cell r="U369">
            <v>25894.440000000002</v>
          </cell>
          <cell r="V369">
            <v>101683.32</v>
          </cell>
          <cell r="W369">
            <v>25894.440000000002</v>
          </cell>
          <cell r="X369">
            <v>139956</v>
          </cell>
          <cell r="Y369">
            <v>71157</v>
          </cell>
          <cell r="AB369">
            <v>583740.4</v>
          </cell>
        </row>
        <row r="370">
          <cell r="B370" t="str">
            <v>45112504511000064Edu &amp; Outreach-N422401200104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135000</v>
          </cell>
          <cell r="AB370">
            <v>135000</v>
          </cell>
        </row>
        <row r="371">
          <cell r="B371" t="str">
            <v>45112504511000623Cleaning Service-N422311200104</v>
          </cell>
          <cell r="N371">
            <v>0</v>
          </cell>
          <cell r="O371">
            <v>0</v>
          </cell>
          <cell r="P371">
            <v>0</v>
          </cell>
          <cell r="Q371">
            <v>30532</v>
          </cell>
          <cell r="R371">
            <v>7633</v>
          </cell>
          <cell r="S371">
            <v>7633</v>
          </cell>
          <cell r="T371">
            <v>7633</v>
          </cell>
          <cell r="U371">
            <v>7633</v>
          </cell>
          <cell r="V371">
            <v>7633</v>
          </cell>
          <cell r="W371">
            <v>7633</v>
          </cell>
          <cell r="X371">
            <v>7633</v>
          </cell>
          <cell r="Y371">
            <v>7613</v>
          </cell>
          <cell r="AB371">
            <v>91576</v>
          </cell>
        </row>
        <row r="372">
          <cell r="B372" t="str">
            <v>45112504511000283Landscaping-N432614200104</v>
          </cell>
          <cell r="N372">
            <v>0</v>
          </cell>
          <cell r="O372">
            <v>0</v>
          </cell>
          <cell r="P372">
            <v>0</v>
          </cell>
          <cell r="Q372">
            <v>194444.68</v>
          </cell>
          <cell r="R372">
            <v>48611.17</v>
          </cell>
          <cell r="S372">
            <v>48611.17</v>
          </cell>
          <cell r="T372">
            <v>48611.17</v>
          </cell>
          <cell r="U372">
            <v>48611.17</v>
          </cell>
          <cell r="V372">
            <v>48611.16</v>
          </cell>
          <cell r="W372">
            <v>48611.16</v>
          </cell>
          <cell r="X372">
            <v>48611.16</v>
          </cell>
          <cell r="Y372">
            <v>48611.16</v>
          </cell>
          <cell r="AB372">
            <v>583334</v>
          </cell>
        </row>
        <row r="373">
          <cell r="B373" t="str">
            <v>45112504511000623Landscaping-N432614200104</v>
          </cell>
          <cell r="N373">
            <v>0</v>
          </cell>
          <cell r="O373">
            <v>0</v>
          </cell>
          <cell r="P373">
            <v>0</v>
          </cell>
          <cell r="Q373">
            <v>3992</v>
          </cell>
          <cell r="R373">
            <v>998</v>
          </cell>
          <cell r="S373">
            <v>998</v>
          </cell>
          <cell r="T373">
            <v>998</v>
          </cell>
          <cell r="U373">
            <v>998</v>
          </cell>
          <cell r="V373">
            <v>998</v>
          </cell>
          <cell r="W373">
            <v>998</v>
          </cell>
          <cell r="X373">
            <v>998</v>
          </cell>
          <cell r="Y373">
            <v>998</v>
          </cell>
          <cell r="AB373">
            <v>11976</v>
          </cell>
        </row>
        <row r="374">
          <cell r="B374" t="str">
            <v>45112504511000623Ad-hoc Repairs-N426427200104</v>
          </cell>
          <cell r="N374">
            <v>0</v>
          </cell>
          <cell r="O374">
            <v>0</v>
          </cell>
          <cell r="P374">
            <v>0</v>
          </cell>
          <cell r="Q374">
            <v>5940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AB374">
            <v>5940</v>
          </cell>
        </row>
        <row r="375">
          <cell r="B375" t="str">
            <v>45112504511000623Utilities-N423931200104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AB375">
            <v>5</v>
          </cell>
        </row>
        <row r="376">
          <cell r="B376" t="str">
            <v>45112504511000708Utilities-N423931200104</v>
          </cell>
          <cell r="N376">
            <v>0</v>
          </cell>
          <cell r="O376">
            <v>0</v>
          </cell>
          <cell r="P376">
            <v>0</v>
          </cell>
          <cell r="Q376">
            <v>31222.1666</v>
          </cell>
          <cell r="R376">
            <v>15611.0833</v>
          </cell>
          <cell r="S376">
            <v>15611.0833</v>
          </cell>
          <cell r="T376">
            <v>15611.0833</v>
          </cell>
          <cell r="U376">
            <v>15611.0833</v>
          </cell>
          <cell r="V376">
            <v>15611.0833</v>
          </cell>
          <cell r="W376">
            <v>15611.0833</v>
          </cell>
          <cell r="X376">
            <v>15611.0833</v>
          </cell>
          <cell r="Y376">
            <v>46833.25</v>
          </cell>
          <cell r="AB376">
            <v>187332.99970000001</v>
          </cell>
        </row>
        <row r="377">
          <cell r="B377" t="str">
            <v>45112504511000708Security Service-N424551200104</v>
          </cell>
          <cell r="N377">
            <v>0</v>
          </cell>
          <cell r="O377">
            <v>0</v>
          </cell>
          <cell r="P377">
            <v>0</v>
          </cell>
          <cell r="Q377">
            <v>33200</v>
          </cell>
          <cell r="R377">
            <v>8300</v>
          </cell>
          <cell r="S377">
            <v>8300</v>
          </cell>
          <cell r="T377">
            <v>8300</v>
          </cell>
          <cell r="U377">
            <v>8300</v>
          </cell>
          <cell r="V377">
            <v>8300</v>
          </cell>
          <cell r="W377">
            <v>8300</v>
          </cell>
          <cell r="X377">
            <v>8300</v>
          </cell>
          <cell r="Y377">
            <v>8300</v>
          </cell>
          <cell r="AB377">
            <v>99600</v>
          </cell>
        </row>
        <row r="378">
          <cell r="B378" t="str">
            <v>45112504511000708Pest Control-N422321200104</v>
          </cell>
          <cell r="N378">
            <v>0</v>
          </cell>
          <cell r="O378">
            <v>0</v>
          </cell>
          <cell r="P378">
            <v>0</v>
          </cell>
          <cell r="Q378">
            <v>10000</v>
          </cell>
          <cell r="R378">
            <v>10000</v>
          </cell>
          <cell r="S378">
            <v>0</v>
          </cell>
          <cell r="T378">
            <v>10000</v>
          </cell>
          <cell r="U378">
            <v>0</v>
          </cell>
          <cell r="V378">
            <v>10000</v>
          </cell>
          <cell r="W378">
            <v>0</v>
          </cell>
          <cell r="X378">
            <v>10000</v>
          </cell>
          <cell r="Y378">
            <v>0</v>
          </cell>
          <cell r="AB378">
            <v>50000</v>
          </cell>
        </row>
        <row r="379">
          <cell r="B379" t="str">
            <v>45112504511000512Maintenance-N426212200104</v>
          </cell>
          <cell r="N379">
            <v>0</v>
          </cell>
          <cell r="O379">
            <v>0</v>
          </cell>
          <cell r="P379">
            <v>0</v>
          </cell>
          <cell r="Q379">
            <v>91355</v>
          </cell>
          <cell r="R379">
            <v>22839</v>
          </cell>
          <cell r="S379">
            <v>22839</v>
          </cell>
          <cell r="T379">
            <v>22839</v>
          </cell>
          <cell r="U379">
            <v>22839</v>
          </cell>
          <cell r="V379">
            <v>22839</v>
          </cell>
          <cell r="W379">
            <v>22839</v>
          </cell>
          <cell r="X379">
            <v>22839</v>
          </cell>
          <cell r="Y379">
            <v>22834</v>
          </cell>
          <cell r="AB379">
            <v>274062</v>
          </cell>
        </row>
        <row r="380">
          <cell r="B380" t="str">
            <v>45112504511001261Hospitality-N424761200104</v>
          </cell>
          <cell r="N380">
            <v>0</v>
          </cell>
          <cell r="O380">
            <v>0</v>
          </cell>
          <cell r="P380">
            <v>0</v>
          </cell>
          <cell r="Q380">
            <v>43939.360000000001</v>
          </cell>
          <cell r="R380">
            <v>10984.69</v>
          </cell>
          <cell r="S380">
            <v>10984.69</v>
          </cell>
          <cell r="T380">
            <v>10984.69</v>
          </cell>
          <cell r="U380">
            <v>12746.69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AB380">
            <v>89640.12000000001</v>
          </cell>
        </row>
        <row r="381">
          <cell r="B381" t="str">
            <v>45155004511001325Event Management-N422401200104</v>
          </cell>
          <cell r="N381">
            <v>0</v>
          </cell>
          <cell r="O381">
            <v>0</v>
          </cell>
          <cell r="P381">
            <v>8532500</v>
          </cell>
          <cell r="Q381">
            <v>3400000</v>
          </cell>
          <cell r="R381">
            <v>2040000</v>
          </cell>
          <cell r="S381">
            <v>0</v>
          </cell>
          <cell r="T381">
            <v>1000000</v>
          </cell>
          <cell r="U381">
            <v>190000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AB381">
            <v>11932500</v>
          </cell>
        </row>
        <row r="382">
          <cell r="B382" t="str">
            <v>45112504511000820Lease Improve-N490600300105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269498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AB382">
            <v>4469498</v>
          </cell>
        </row>
        <row r="383">
          <cell r="B383" t="str">
            <v>45112504511000820Activation&amp;Prog-N422401200104</v>
          </cell>
          <cell r="N383">
            <v>0</v>
          </cell>
          <cell r="O383">
            <v>0</v>
          </cell>
          <cell r="P383">
            <v>0</v>
          </cell>
          <cell r="Q383">
            <v>1045100</v>
          </cell>
          <cell r="R383">
            <v>121300</v>
          </cell>
          <cell r="S383">
            <v>85000</v>
          </cell>
          <cell r="T383">
            <v>65000</v>
          </cell>
          <cell r="U383">
            <v>16300</v>
          </cell>
          <cell r="V383">
            <v>108000</v>
          </cell>
          <cell r="W383">
            <v>345000</v>
          </cell>
          <cell r="X383">
            <v>2359300</v>
          </cell>
          <cell r="Y383">
            <v>1635000</v>
          </cell>
          <cell r="AB383">
            <v>5790800</v>
          </cell>
        </row>
        <row r="384">
          <cell r="B384" t="str">
            <v>45102504511000770Mission &amp; Travel-N423821200104</v>
          </cell>
          <cell r="N384">
            <v>0</v>
          </cell>
          <cell r="O384">
            <v>0</v>
          </cell>
          <cell r="P384">
            <v>0</v>
          </cell>
          <cell r="Q384">
            <v>45906.25</v>
          </cell>
          <cell r="R384">
            <v>0</v>
          </cell>
          <cell r="S384">
            <v>0</v>
          </cell>
          <cell r="T384">
            <v>45906.25</v>
          </cell>
          <cell r="U384">
            <v>0</v>
          </cell>
          <cell r="V384">
            <v>45906.25</v>
          </cell>
          <cell r="W384">
            <v>0</v>
          </cell>
          <cell r="X384">
            <v>49781.25</v>
          </cell>
          <cell r="Y384">
            <v>0</v>
          </cell>
          <cell r="AB384">
            <v>187500</v>
          </cell>
        </row>
        <row r="385">
          <cell r="B385" t="str">
            <v>45112504511000820Security Service-N424551200104</v>
          </cell>
          <cell r="N385">
            <v>0</v>
          </cell>
          <cell r="O385">
            <v>0</v>
          </cell>
          <cell r="P385">
            <v>0</v>
          </cell>
          <cell r="Q385">
            <v>340000</v>
          </cell>
          <cell r="R385">
            <v>170000</v>
          </cell>
          <cell r="S385">
            <v>170000</v>
          </cell>
          <cell r="T385">
            <v>170000</v>
          </cell>
          <cell r="U385">
            <v>170000</v>
          </cell>
          <cell r="V385">
            <v>170000</v>
          </cell>
          <cell r="W385">
            <v>170000</v>
          </cell>
          <cell r="X385">
            <v>154600</v>
          </cell>
          <cell r="Y385">
            <v>0</v>
          </cell>
          <cell r="AB385">
            <v>1514600</v>
          </cell>
        </row>
        <row r="386">
          <cell r="B386" t="str">
            <v>45112504511000820Utilities-N423931200104</v>
          </cell>
          <cell r="N386">
            <v>0</v>
          </cell>
          <cell r="O386">
            <v>0</v>
          </cell>
          <cell r="P386">
            <v>0</v>
          </cell>
          <cell r="Q386">
            <v>285000</v>
          </cell>
          <cell r="R386">
            <v>95000</v>
          </cell>
          <cell r="S386">
            <v>95000</v>
          </cell>
          <cell r="T386">
            <v>95000</v>
          </cell>
          <cell r="U386">
            <v>95000</v>
          </cell>
          <cell r="V386">
            <v>95000</v>
          </cell>
          <cell r="W386">
            <v>95000</v>
          </cell>
          <cell r="X386">
            <v>115000</v>
          </cell>
          <cell r="Y386">
            <v>114140</v>
          </cell>
          <cell r="AB386">
            <v>1084140</v>
          </cell>
        </row>
        <row r="387">
          <cell r="B387" t="str">
            <v>45112504511000820Maintenance-N426212200104</v>
          </cell>
          <cell r="N387">
            <v>0</v>
          </cell>
          <cell r="O387">
            <v>0</v>
          </cell>
          <cell r="P387">
            <v>0</v>
          </cell>
          <cell r="Q387">
            <v>110000</v>
          </cell>
          <cell r="R387">
            <v>55000</v>
          </cell>
          <cell r="S387">
            <v>55000</v>
          </cell>
          <cell r="T387">
            <v>55000</v>
          </cell>
          <cell r="U387">
            <v>55000</v>
          </cell>
          <cell r="V387">
            <v>55000</v>
          </cell>
          <cell r="W387">
            <v>55000</v>
          </cell>
          <cell r="X387">
            <v>70000</v>
          </cell>
          <cell r="Y387">
            <v>0</v>
          </cell>
          <cell r="AB387">
            <v>510000</v>
          </cell>
        </row>
        <row r="388">
          <cell r="B388" t="str">
            <v>45112504511000820Admin Expenses-N1421125200104</v>
          </cell>
          <cell r="N388">
            <v>0</v>
          </cell>
          <cell r="O388">
            <v>0</v>
          </cell>
          <cell r="P388">
            <v>0</v>
          </cell>
          <cell r="Q388">
            <v>73520</v>
          </cell>
          <cell r="R388">
            <v>35000</v>
          </cell>
          <cell r="S388">
            <v>48000</v>
          </cell>
          <cell r="T388">
            <v>60000</v>
          </cell>
          <cell r="U388">
            <v>60000</v>
          </cell>
          <cell r="V388">
            <v>60000</v>
          </cell>
          <cell r="W388">
            <v>50000</v>
          </cell>
          <cell r="X388">
            <v>60000</v>
          </cell>
          <cell r="Y388">
            <v>60000</v>
          </cell>
          <cell r="AB388">
            <v>201520</v>
          </cell>
        </row>
        <row r="389">
          <cell r="B389" t="str">
            <v>45112504511000820Edu &amp; Outreach-N422401200104</v>
          </cell>
          <cell r="N389">
            <v>0</v>
          </cell>
          <cell r="O389">
            <v>0</v>
          </cell>
          <cell r="P389">
            <v>0</v>
          </cell>
          <cell r="Q389">
            <v>100000</v>
          </cell>
          <cell r="R389">
            <v>50000</v>
          </cell>
          <cell r="S389">
            <v>50000</v>
          </cell>
          <cell r="T389">
            <v>90000</v>
          </cell>
          <cell r="U389">
            <v>70000</v>
          </cell>
          <cell r="V389">
            <v>0</v>
          </cell>
          <cell r="W389">
            <v>40000</v>
          </cell>
          <cell r="X389">
            <v>0</v>
          </cell>
          <cell r="Y389">
            <v>100000</v>
          </cell>
          <cell r="AB389">
            <v>500000</v>
          </cell>
        </row>
        <row r="390">
          <cell r="B390" t="str">
            <v>45112504511000820Cleaning Service-N422311200104</v>
          </cell>
          <cell r="N390">
            <v>0</v>
          </cell>
          <cell r="O390">
            <v>0</v>
          </cell>
          <cell r="P390">
            <v>0</v>
          </cell>
          <cell r="Q390">
            <v>130000</v>
          </cell>
          <cell r="R390">
            <v>65000</v>
          </cell>
          <cell r="S390">
            <v>65000</v>
          </cell>
          <cell r="T390">
            <v>65000</v>
          </cell>
          <cell r="U390">
            <v>65000</v>
          </cell>
          <cell r="V390">
            <v>48000</v>
          </cell>
          <cell r="W390">
            <v>0</v>
          </cell>
          <cell r="X390">
            <v>0</v>
          </cell>
          <cell r="Y390">
            <v>0</v>
          </cell>
          <cell r="AB390">
            <v>438000</v>
          </cell>
        </row>
        <row r="391">
          <cell r="B391" t="str">
            <v>45112504511000820Landscaping-N432614200104</v>
          </cell>
          <cell r="N391">
            <v>0</v>
          </cell>
          <cell r="O391">
            <v>0</v>
          </cell>
          <cell r="P391">
            <v>0</v>
          </cell>
          <cell r="Q391">
            <v>80000</v>
          </cell>
          <cell r="R391">
            <v>40000</v>
          </cell>
          <cell r="S391">
            <v>40000</v>
          </cell>
          <cell r="T391">
            <v>40000</v>
          </cell>
          <cell r="U391">
            <v>40000</v>
          </cell>
          <cell r="V391">
            <v>40000</v>
          </cell>
          <cell r="W391">
            <v>32000</v>
          </cell>
          <cell r="X391">
            <v>0</v>
          </cell>
          <cell r="Y391">
            <v>0</v>
          </cell>
          <cell r="AB391">
            <v>312000</v>
          </cell>
        </row>
        <row r="392">
          <cell r="B392" t="str">
            <v>45112504511000820Freelancers-N424521200104</v>
          </cell>
          <cell r="N392">
            <v>0</v>
          </cell>
          <cell r="O392">
            <v>0</v>
          </cell>
          <cell r="P392">
            <v>0</v>
          </cell>
          <cell r="Q392">
            <v>84000</v>
          </cell>
          <cell r="R392">
            <v>21000</v>
          </cell>
          <cell r="S392">
            <v>21000</v>
          </cell>
          <cell r="T392">
            <v>21000</v>
          </cell>
          <cell r="U392">
            <v>21000</v>
          </cell>
          <cell r="V392">
            <v>21000</v>
          </cell>
          <cell r="W392">
            <v>21000</v>
          </cell>
          <cell r="X392">
            <v>21000</v>
          </cell>
          <cell r="Y392">
            <v>21000</v>
          </cell>
          <cell r="AB392">
            <v>252000</v>
          </cell>
        </row>
        <row r="393">
          <cell r="B393" t="str">
            <v>45112504511000820FM Mgmnt (E-E)-N426212200104</v>
          </cell>
          <cell r="N393">
            <v>0</v>
          </cell>
          <cell r="O393">
            <v>0</v>
          </cell>
          <cell r="P393">
            <v>0</v>
          </cell>
          <cell r="Q393">
            <v>60000</v>
          </cell>
          <cell r="R393">
            <v>30000</v>
          </cell>
          <cell r="S393">
            <v>30000</v>
          </cell>
          <cell r="T393">
            <v>30000</v>
          </cell>
          <cell r="U393">
            <v>30000</v>
          </cell>
          <cell r="V393">
            <v>900</v>
          </cell>
          <cell r="W393">
            <v>0</v>
          </cell>
          <cell r="X393">
            <v>0</v>
          </cell>
          <cell r="Y393">
            <v>0</v>
          </cell>
          <cell r="AB393">
            <v>180900</v>
          </cell>
        </row>
        <row r="394">
          <cell r="B394" t="str">
            <v>45112504511000820Pest Control-N422321200104</v>
          </cell>
          <cell r="N394">
            <v>0</v>
          </cell>
          <cell r="O394">
            <v>0</v>
          </cell>
          <cell r="P394">
            <v>0</v>
          </cell>
          <cell r="Q394">
            <v>40000</v>
          </cell>
          <cell r="R394">
            <v>20000</v>
          </cell>
          <cell r="S394">
            <v>20000</v>
          </cell>
          <cell r="T394">
            <v>20000</v>
          </cell>
          <cell r="U394">
            <v>20000</v>
          </cell>
          <cell r="V394">
            <v>20000</v>
          </cell>
          <cell r="W394">
            <v>20000</v>
          </cell>
          <cell r="X394">
            <v>20000</v>
          </cell>
          <cell r="Y394">
            <v>900</v>
          </cell>
          <cell r="AB394">
            <v>180900</v>
          </cell>
        </row>
        <row r="395">
          <cell r="B395" t="str">
            <v>45112504511000820Hospitality-N424761200104</v>
          </cell>
          <cell r="N395">
            <v>0</v>
          </cell>
          <cell r="O395">
            <v>0</v>
          </cell>
          <cell r="P395">
            <v>0</v>
          </cell>
          <cell r="Q395">
            <v>60000</v>
          </cell>
          <cell r="R395">
            <v>30000</v>
          </cell>
          <cell r="S395">
            <v>30000</v>
          </cell>
          <cell r="T395">
            <v>30000</v>
          </cell>
          <cell r="U395">
            <v>20900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AB395">
            <v>170900</v>
          </cell>
        </row>
        <row r="396">
          <cell r="B396" t="str">
            <v>45112504511000820Waste Mgmnt-N424591200104</v>
          </cell>
          <cell r="N396">
            <v>0</v>
          </cell>
          <cell r="O396">
            <v>0</v>
          </cell>
          <cell r="P396">
            <v>0</v>
          </cell>
          <cell r="Q396">
            <v>16180</v>
          </cell>
          <cell r="R396">
            <v>10000</v>
          </cell>
          <cell r="S396">
            <v>10000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AB396">
            <v>36180</v>
          </cell>
        </row>
        <row r="397">
          <cell r="B397" t="str">
            <v>45112504511000903Activation&amp;Prog-N422401200104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1000000</v>
          </cell>
          <cell r="AB397">
            <v>1000000</v>
          </cell>
        </row>
        <row r="398">
          <cell r="B398" t="str">
            <v>45112504511000903Maintenance-N426212200104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179791</v>
          </cell>
          <cell r="X398">
            <v>179791</v>
          </cell>
          <cell r="Y398">
            <v>179792</v>
          </cell>
          <cell r="AB398">
            <v>539374</v>
          </cell>
        </row>
        <row r="399">
          <cell r="B399" t="str">
            <v>45112504511000903Security Service-N424551200104</v>
          </cell>
          <cell r="N399">
            <v>0</v>
          </cell>
          <cell r="O399">
            <v>0</v>
          </cell>
          <cell r="P399">
            <v>0</v>
          </cell>
          <cell r="Q399">
            <v>80000</v>
          </cell>
          <cell r="R399">
            <v>40000</v>
          </cell>
          <cell r="S399">
            <v>40000</v>
          </cell>
          <cell r="T399">
            <v>40000</v>
          </cell>
          <cell r="U399">
            <v>40000</v>
          </cell>
          <cell r="V399">
            <v>40000</v>
          </cell>
          <cell r="W399">
            <v>40000</v>
          </cell>
          <cell r="X399">
            <v>11640</v>
          </cell>
          <cell r="Y399">
            <v>0</v>
          </cell>
          <cell r="AB399">
            <v>331640</v>
          </cell>
        </row>
        <row r="400">
          <cell r="B400" t="str">
            <v>45112504511000903Cleaning Service-N422311200104</v>
          </cell>
          <cell r="N400">
            <v>0</v>
          </cell>
          <cell r="O400">
            <v>0</v>
          </cell>
          <cell r="P400">
            <v>0</v>
          </cell>
          <cell r="Q400">
            <v>50000</v>
          </cell>
          <cell r="R400">
            <v>25000</v>
          </cell>
          <cell r="S400">
            <v>25000</v>
          </cell>
          <cell r="T400">
            <v>25000</v>
          </cell>
          <cell r="U400">
            <v>25000</v>
          </cell>
          <cell r="V400">
            <v>25000</v>
          </cell>
          <cell r="W400">
            <v>25000</v>
          </cell>
          <cell r="X400">
            <v>25000</v>
          </cell>
          <cell r="Y400">
            <v>3992</v>
          </cell>
          <cell r="AB400">
            <v>228992</v>
          </cell>
        </row>
        <row r="401">
          <cell r="B401" t="str">
            <v>45112504511000903Utilities-N423931200104</v>
          </cell>
          <cell r="N401">
            <v>0</v>
          </cell>
          <cell r="O401">
            <v>0</v>
          </cell>
          <cell r="P401">
            <v>0</v>
          </cell>
          <cell r="Q401">
            <v>65000</v>
          </cell>
          <cell r="R401">
            <v>20000</v>
          </cell>
          <cell r="S401">
            <v>20000</v>
          </cell>
          <cell r="T401">
            <v>20000</v>
          </cell>
          <cell r="U401">
            <v>20000</v>
          </cell>
          <cell r="V401">
            <v>20000</v>
          </cell>
          <cell r="W401">
            <v>20000</v>
          </cell>
          <cell r="X401">
            <v>20000</v>
          </cell>
          <cell r="Y401">
            <v>23024</v>
          </cell>
          <cell r="AB401">
            <v>228024</v>
          </cell>
        </row>
        <row r="402">
          <cell r="B402" t="str">
            <v>45112504511000903Landscaping-N432614200104</v>
          </cell>
          <cell r="N402">
            <v>0</v>
          </cell>
          <cell r="O402">
            <v>0</v>
          </cell>
          <cell r="P402">
            <v>0</v>
          </cell>
          <cell r="Q402">
            <v>30000</v>
          </cell>
          <cell r="R402">
            <v>15000</v>
          </cell>
          <cell r="S402">
            <v>15000</v>
          </cell>
          <cell r="T402">
            <v>15000</v>
          </cell>
          <cell r="U402">
            <v>15000</v>
          </cell>
          <cell r="V402">
            <v>15000</v>
          </cell>
          <cell r="W402">
            <v>15000</v>
          </cell>
          <cell r="X402">
            <v>15000</v>
          </cell>
          <cell r="Y402">
            <v>15000</v>
          </cell>
          <cell r="AB402">
            <v>150000</v>
          </cell>
        </row>
        <row r="403">
          <cell r="B403" t="str">
            <v>45112504511001038Activation&amp;Prog-N422401200104</v>
          </cell>
          <cell r="N403">
            <v>0</v>
          </cell>
          <cell r="O403">
            <v>0</v>
          </cell>
          <cell r="P403">
            <v>0</v>
          </cell>
          <cell r="Q403">
            <v>7000</v>
          </cell>
          <cell r="R403">
            <v>0</v>
          </cell>
          <cell r="S403">
            <v>75000</v>
          </cell>
          <cell r="T403">
            <v>0</v>
          </cell>
          <cell r="U403">
            <v>0</v>
          </cell>
          <cell r="V403">
            <v>45000</v>
          </cell>
          <cell r="W403">
            <v>0</v>
          </cell>
          <cell r="X403">
            <v>0</v>
          </cell>
          <cell r="Y403">
            <v>1373000</v>
          </cell>
          <cell r="AB403">
            <v>1500000</v>
          </cell>
        </row>
        <row r="404">
          <cell r="B404" t="str">
            <v>45112504511001038Manpower-N424521200104</v>
          </cell>
          <cell r="N404">
            <v>0</v>
          </cell>
          <cell r="O404">
            <v>0</v>
          </cell>
          <cell r="P404">
            <v>0</v>
          </cell>
          <cell r="Q404">
            <v>159190</v>
          </cell>
          <cell r="R404">
            <v>94595</v>
          </cell>
          <cell r="S404">
            <v>94595</v>
          </cell>
          <cell r="T404">
            <v>94595</v>
          </cell>
          <cell r="U404">
            <v>94595</v>
          </cell>
          <cell r="V404">
            <v>41869</v>
          </cell>
          <cell r="W404">
            <v>0</v>
          </cell>
          <cell r="X404">
            <v>0</v>
          </cell>
          <cell r="Y404">
            <v>0</v>
          </cell>
          <cell r="AB404">
            <v>579439</v>
          </cell>
        </row>
        <row r="405">
          <cell r="B405" t="str">
            <v>45112504511001038Admin Expenses-N1421125200104</v>
          </cell>
          <cell r="N405">
            <v>0</v>
          </cell>
          <cell r="O405">
            <v>0</v>
          </cell>
          <cell r="P405">
            <v>0</v>
          </cell>
          <cell r="Q405">
            <v>89000</v>
          </cell>
          <cell r="R405">
            <v>22250</v>
          </cell>
          <cell r="S405">
            <v>22250</v>
          </cell>
          <cell r="T405">
            <v>22250</v>
          </cell>
          <cell r="U405">
            <v>22250</v>
          </cell>
          <cell r="V405">
            <v>47250.44</v>
          </cell>
          <cell r="W405">
            <v>66750</v>
          </cell>
          <cell r="X405">
            <v>64410</v>
          </cell>
          <cell r="Y405">
            <v>87569</v>
          </cell>
          <cell r="AB405">
            <v>443979.44</v>
          </cell>
        </row>
        <row r="406">
          <cell r="B406" t="str">
            <v>45112504511001038FM Mgmnt (E-E)-N426212200104</v>
          </cell>
          <cell r="N406">
            <v>0</v>
          </cell>
          <cell r="O406">
            <v>0</v>
          </cell>
          <cell r="P406">
            <v>0</v>
          </cell>
          <cell r="Q406">
            <v>103043.44</v>
          </cell>
          <cell r="R406">
            <v>25760.86</v>
          </cell>
          <cell r="S406">
            <v>25760.86</v>
          </cell>
          <cell r="T406">
            <v>25760.86</v>
          </cell>
          <cell r="U406">
            <v>25760.86</v>
          </cell>
          <cell r="V406">
            <v>25760.86</v>
          </cell>
          <cell r="W406">
            <v>25760.86</v>
          </cell>
          <cell r="X406">
            <v>25760.86</v>
          </cell>
          <cell r="Y406">
            <v>18131</v>
          </cell>
          <cell r="AB406">
            <v>301500.45999999996</v>
          </cell>
        </row>
        <row r="407">
          <cell r="B407" t="str">
            <v>45112504511001038Freelancers-N424521200104</v>
          </cell>
          <cell r="N407">
            <v>0</v>
          </cell>
          <cell r="O407">
            <v>0</v>
          </cell>
          <cell r="P407">
            <v>0</v>
          </cell>
          <cell r="Q407">
            <v>60000</v>
          </cell>
          <cell r="R407">
            <v>15000</v>
          </cell>
          <cell r="S407">
            <v>15000</v>
          </cell>
          <cell r="T407">
            <v>15000</v>
          </cell>
          <cell r="U407">
            <v>15000</v>
          </cell>
          <cell r="V407">
            <v>15000</v>
          </cell>
          <cell r="W407">
            <v>0</v>
          </cell>
          <cell r="X407">
            <v>0</v>
          </cell>
          <cell r="Y407">
            <v>0</v>
          </cell>
          <cell r="AB407">
            <v>135000</v>
          </cell>
        </row>
        <row r="408">
          <cell r="B408" t="str">
            <v>45112504511001038Utilities-N423931200104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2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AB408">
            <v>2</v>
          </cell>
        </row>
        <row r="409">
          <cell r="B409" t="str">
            <v>45112504511001261Lease Improve-N490600300105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2249201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2249201</v>
          </cell>
          <cell r="AB409">
            <v>8883402</v>
          </cell>
        </row>
        <row r="410">
          <cell r="B410" t="str">
            <v>45112504511001261Activation&amp;Prog-N422401200104</v>
          </cell>
          <cell r="N410">
            <v>0</v>
          </cell>
          <cell r="O410">
            <v>0</v>
          </cell>
          <cell r="P410">
            <v>0</v>
          </cell>
          <cell r="Q410">
            <v>1600000</v>
          </cell>
          <cell r="R410">
            <v>100000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525184</v>
          </cell>
          <cell r="X410">
            <v>0</v>
          </cell>
          <cell r="Y410">
            <v>0</v>
          </cell>
          <cell r="AB410">
            <v>2225184</v>
          </cell>
        </row>
        <row r="411">
          <cell r="B411" t="str">
            <v>45112504511001261Manpower-N424521200104</v>
          </cell>
          <cell r="N411">
            <v>0</v>
          </cell>
          <cell r="O411">
            <v>0</v>
          </cell>
          <cell r="P411">
            <v>0</v>
          </cell>
          <cell r="Q411">
            <v>358155.24</v>
          </cell>
          <cell r="R411">
            <v>179077.62</v>
          </cell>
          <cell r="S411">
            <v>179077.62</v>
          </cell>
          <cell r="T411">
            <v>179077.62</v>
          </cell>
          <cell r="U411">
            <v>179077.62</v>
          </cell>
          <cell r="V411">
            <v>179077.62</v>
          </cell>
          <cell r="W411">
            <v>179077.62</v>
          </cell>
          <cell r="X411">
            <v>384921</v>
          </cell>
          <cell r="Y411">
            <v>384922</v>
          </cell>
          <cell r="AB411">
            <v>2202463.96</v>
          </cell>
        </row>
        <row r="412">
          <cell r="B412" t="str">
            <v>45112504511001261Security Service-N424551200104</v>
          </cell>
          <cell r="N412">
            <v>0</v>
          </cell>
          <cell r="O412">
            <v>0</v>
          </cell>
          <cell r="P412">
            <v>0</v>
          </cell>
          <cell r="Q412">
            <v>128820</v>
          </cell>
          <cell r="R412">
            <v>32205</v>
          </cell>
          <cell r="S412">
            <v>32205</v>
          </cell>
          <cell r="T412">
            <v>32205</v>
          </cell>
          <cell r="U412">
            <v>32205</v>
          </cell>
          <cell r="V412">
            <v>32205</v>
          </cell>
          <cell r="W412">
            <v>33259</v>
          </cell>
          <cell r="X412">
            <v>0</v>
          </cell>
          <cell r="Y412">
            <v>0</v>
          </cell>
          <cell r="AB412">
            <v>323104</v>
          </cell>
        </row>
        <row r="413">
          <cell r="B413" t="str">
            <v>45112504511001261Freelancers-N424521200104</v>
          </cell>
          <cell r="N413">
            <v>0</v>
          </cell>
          <cell r="O413">
            <v>0</v>
          </cell>
          <cell r="P413">
            <v>84498.7</v>
          </cell>
          <cell r="Q413">
            <v>215501.3</v>
          </cell>
          <cell r="R413">
            <v>14000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AB413">
            <v>314000</v>
          </cell>
        </row>
        <row r="414">
          <cell r="B414" t="str">
            <v>45112504511001261Utilities-N423931200104</v>
          </cell>
          <cell r="N414">
            <v>0</v>
          </cell>
          <cell r="O414">
            <v>0</v>
          </cell>
          <cell r="P414">
            <v>0</v>
          </cell>
          <cell r="Q414">
            <v>82500</v>
          </cell>
          <cell r="R414">
            <v>20625</v>
          </cell>
          <cell r="S414">
            <v>20625</v>
          </cell>
          <cell r="T414">
            <v>20625</v>
          </cell>
          <cell r="U414">
            <v>20625</v>
          </cell>
          <cell r="V414">
            <v>20625</v>
          </cell>
          <cell r="W414">
            <v>20625</v>
          </cell>
          <cell r="X414">
            <v>20625</v>
          </cell>
          <cell r="Y414">
            <v>20625</v>
          </cell>
          <cell r="AB414">
            <v>247500</v>
          </cell>
        </row>
        <row r="415">
          <cell r="B415" t="str">
            <v>45112504511000623Maintenance-N426212200104</v>
          </cell>
          <cell r="N415">
            <v>0</v>
          </cell>
          <cell r="O415">
            <v>0</v>
          </cell>
          <cell r="P415">
            <v>0</v>
          </cell>
          <cell r="Q415">
            <v>38404</v>
          </cell>
          <cell r="R415">
            <v>9601</v>
          </cell>
          <cell r="S415">
            <v>9601</v>
          </cell>
          <cell r="T415">
            <v>9601</v>
          </cell>
          <cell r="U415">
            <v>9604</v>
          </cell>
          <cell r="V415">
            <v>9601</v>
          </cell>
          <cell r="W415">
            <v>9601</v>
          </cell>
          <cell r="X415">
            <v>7538</v>
          </cell>
          <cell r="Y415">
            <v>0</v>
          </cell>
          <cell r="AB415">
            <v>103551</v>
          </cell>
        </row>
        <row r="416">
          <cell r="B416" t="str">
            <v>45112504511001261Admin Expenses-N1421125200104</v>
          </cell>
          <cell r="N416">
            <v>0</v>
          </cell>
          <cell r="O416">
            <v>0</v>
          </cell>
          <cell r="P416">
            <v>0</v>
          </cell>
          <cell r="Q416">
            <v>54000</v>
          </cell>
          <cell r="R416">
            <v>13500</v>
          </cell>
          <cell r="S416">
            <v>13500</v>
          </cell>
          <cell r="T416">
            <v>13500</v>
          </cell>
          <cell r="U416">
            <v>13500</v>
          </cell>
          <cell r="V416">
            <v>13500</v>
          </cell>
          <cell r="W416">
            <v>13500</v>
          </cell>
          <cell r="X416">
            <v>13500</v>
          </cell>
          <cell r="Y416">
            <v>13500</v>
          </cell>
          <cell r="AB416">
            <v>162000</v>
          </cell>
        </row>
        <row r="417">
          <cell r="B417" t="str">
            <v>45112504511001261Ad-hoc Repairs-N426427200104</v>
          </cell>
          <cell r="N417">
            <v>0</v>
          </cell>
          <cell r="O417">
            <v>0</v>
          </cell>
          <cell r="P417">
            <v>0</v>
          </cell>
          <cell r="Q417">
            <v>39240</v>
          </cell>
          <cell r="R417">
            <v>9810</v>
          </cell>
          <cell r="S417">
            <v>9810</v>
          </cell>
          <cell r="T417">
            <v>9810</v>
          </cell>
          <cell r="U417">
            <v>9810</v>
          </cell>
          <cell r="V417">
            <v>9810</v>
          </cell>
          <cell r="W417">
            <v>9810</v>
          </cell>
          <cell r="X417">
            <v>9810</v>
          </cell>
          <cell r="Y417">
            <v>9810</v>
          </cell>
          <cell r="AB417">
            <v>117720</v>
          </cell>
        </row>
        <row r="418">
          <cell r="B418" t="str">
            <v>45112504511001261Cleaning Service-N422311200104</v>
          </cell>
          <cell r="N418">
            <v>0</v>
          </cell>
          <cell r="O418">
            <v>0</v>
          </cell>
          <cell r="P418">
            <v>0</v>
          </cell>
          <cell r="Q418">
            <v>108000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AB418">
            <v>108000</v>
          </cell>
        </row>
        <row r="419">
          <cell r="B419" t="str">
            <v>45112504511000527FM Mgmnt (E-E)-N426212200104</v>
          </cell>
          <cell r="N419">
            <v>0</v>
          </cell>
          <cell r="O419">
            <v>0</v>
          </cell>
          <cell r="P419">
            <v>0</v>
          </cell>
          <cell r="Q419">
            <v>27134</v>
          </cell>
          <cell r="R419">
            <v>6784</v>
          </cell>
          <cell r="S419">
            <v>6784</v>
          </cell>
          <cell r="T419">
            <v>6784</v>
          </cell>
          <cell r="U419">
            <v>6784</v>
          </cell>
          <cell r="V419">
            <v>6784</v>
          </cell>
          <cell r="W419">
            <v>6784</v>
          </cell>
          <cell r="X419">
            <v>6780</v>
          </cell>
          <cell r="Y419">
            <v>6784</v>
          </cell>
          <cell r="AB419">
            <v>81402</v>
          </cell>
        </row>
        <row r="420">
          <cell r="B420" t="str">
            <v>45112504511001261Landscaping-N432614200104</v>
          </cell>
          <cell r="N420">
            <v>0</v>
          </cell>
          <cell r="O420">
            <v>0</v>
          </cell>
          <cell r="P420">
            <v>0</v>
          </cell>
          <cell r="Q420">
            <v>76571.92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AB420">
            <v>76571.92</v>
          </cell>
        </row>
        <row r="421">
          <cell r="B421" t="str">
            <v>45112504511001261Pest Control-N422321200104</v>
          </cell>
          <cell r="N421">
            <v>0</v>
          </cell>
          <cell r="O421">
            <v>0</v>
          </cell>
          <cell r="P421">
            <v>0</v>
          </cell>
          <cell r="Q421">
            <v>7500</v>
          </cell>
          <cell r="R421">
            <v>1875</v>
          </cell>
          <cell r="S421">
            <v>1875</v>
          </cell>
          <cell r="T421">
            <v>1875</v>
          </cell>
          <cell r="U421">
            <v>1875</v>
          </cell>
          <cell r="V421">
            <v>1875</v>
          </cell>
          <cell r="W421">
            <v>1875</v>
          </cell>
          <cell r="X421">
            <v>1875</v>
          </cell>
          <cell r="Y421">
            <v>1874</v>
          </cell>
          <cell r="AB421">
            <v>22499</v>
          </cell>
        </row>
        <row r="422">
          <cell r="B422" t="str">
            <v>45112504511001263Security Service-N424551200104</v>
          </cell>
          <cell r="N422">
            <v>0</v>
          </cell>
          <cell r="O422">
            <v>0</v>
          </cell>
          <cell r="P422">
            <v>0</v>
          </cell>
          <cell r="Q422">
            <v>60000</v>
          </cell>
          <cell r="R422">
            <v>15000</v>
          </cell>
          <cell r="S422">
            <v>15000</v>
          </cell>
          <cell r="T422">
            <v>15000</v>
          </cell>
          <cell r="U422">
            <v>15000</v>
          </cell>
          <cell r="V422">
            <v>15000</v>
          </cell>
          <cell r="W422">
            <v>15000</v>
          </cell>
          <cell r="X422">
            <v>15000</v>
          </cell>
          <cell r="Y422">
            <v>15000</v>
          </cell>
          <cell r="AB422">
            <v>180000</v>
          </cell>
        </row>
        <row r="423">
          <cell r="B423" t="str">
            <v>45112504511001263Utilities-N423931200104</v>
          </cell>
          <cell r="N423">
            <v>0</v>
          </cell>
          <cell r="O423">
            <v>0</v>
          </cell>
          <cell r="P423">
            <v>0</v>
          </cell>
          <cell r="Q423">
            <v>23645</v>
          </cell>
          <cell r="R423">
            <v>11822.5</v>
          </cell>
          <cell r="S423">
            <v>11822.5</v>
          </cell>
          <cell r="T423">
            <v>11822.5</v>
          </cell>
          <cell r="U423">
            <v>11822.5</v>
          </cell>
          <cell r="V423">
            <v>11822.5</v>
          </cell>
          <cell r="W423">
            <v>11822.5</v>
          </cell>
          <cell r="X423">
            <v>11822.5</v>
          </cell>
          <cell r="Y423">
            <v>35467.5</v>
          </cell>
          <cell r="AB423">
            <v>141870</v>
          </cell>
        </row>
        <row r="424">
          <cell r="B424" t="str">
            <v>45112504511001263Ad-hoc Repairs-N426427200104</v>
          </cell>
          <cell r="N424">
            <v>0</v>
          </cell>
          <cell r="O424">
            <v>0</v>
          </cell>
          <cell r="P424">
            <v>0</v>
          </cell>
          <cell r="Q424">
            <v>24436</v>
          </cell>
          <cell r="R424">
            <v>6109</v>
          </cell>
          <cell r="S424">
            <v>6109</v>
          </cell>
          <cell r="T424">
            <v>6109</v>
          </cell>
          <cell r="U424">
            <v>6109</v>
          </cell>
          <cell r="V424">
            <v>6109</v>
          </cell>
          <cell r="W424">
            <v>6109</v>
          </cell>
          <cell r="X424">
            <v>6109</v>
          </cell>
          <cell r="Y424">
            <v>6110</v>
          </cell>
          <cell r="AB424">
            <v>73309</v>
          </cell>
        </row>
        <row r="425">
          <cell r="B425" t="str">
            <v>45112504511001263Cleaning Service-N422311200104</v>
          </cell>
          <cell r="N425">
            <v>0</v>
          </cell>
          <cell r="O425">
            <v>0</v>
          </cell>
          <cell r="P425">
            <v>0</v>
          </cell>
          <cell r="Q425">
            <v>15741</v>
          </cell>
          <cell r="R425">
            <v>3935</v>
          </cell>
          <cell r="S425">
            <v>3935</v>
          </cell>
          <cell r="T425">
            <v>3935</v>
          </cell>
          <cell r="U425">
            <v>3935</v>
          </cell>
          <cell r="V425">
            <v>3935</v>
          </cell>
          <cell r="W425">
            <v>3935</v>
          </cell>
          <cell r="X425">
            <v>3935</v>
          </cell>
          <cell r="Y425">
            <v>3936</v>
          </cell>
          <cell r="AB425">
            <v>47222</v>
          </cell>
        </row>
        <row r="426">
          <cell r="B426" t="str">
            <v>45112504511001263Landscaping-N432614200104</v>
          </cell>
          <cell r="N426">
            <v>0</v>
          </cell>
          <cell r="O426">
            <v>0</v>
          </cell>
          <cell r="P426">
            <v>0</v>
          </cell>
          <cell r="Q426">
            <v>15208</v>
          </cell>
          <cell r="R426">
            <v>3802</v>
          </cell>
          <cell r="S426">
            <v>3802</v>
          </cell>
          <cell r="T426">
            <v>3802</v>
          </cell>
          <cell r="U426">
            <v>3802</v>
          </cell>
          <cell r="V426">
            <v>3802</v>
          </cell>
          <cell r="W426">
            <v>3802</v>
          </cell>
          <cell r="X426">
            <v>3802</v>
          </cell>
          <cell r="Y426">
            <v>3803</v>
          </cell>
          <cell r="AB426">
            <v>45625</v>
          </cell>
        </row>
        <row r="427">
          <cell r="B427" t="str">
            <v>45112504511001263Maintenance-N426212200104</v>
          </cell>
          <cell r="N427">
            <v>0</v>
          </cell>
          <cell r="O427">
            <v>0</v>
          </cell>
          <cell r="P427">
            <v>0</v>
          </cell>
          <cell r="Q427">
            <v>10409</v>
          </cell>
          <cell r="R427">
            <v>2602</v>
          </cell>
          <cell r="S427">
            <v>2602</v>
          </cell>
          <cell r="T427">
            <v>2602</v>
          </cell>
          <cell r="U427">
            <v>2602</v>
          </cell>
          <cell r="V427">
            <v>2602</v>
          </cell>
          <cell r="W427">
            <v>2602</v>
          </cell>
          <cell r="X427">
            <v>2603</v>
          </cell>
          <cell r="Y427">
            <v>2601</v>
          </cell>
          <cell r="AB427">
            <v>31225</v>
          </cell>
        </row>
        <row r="428">
          <cell r="B428" t="str">
            <v>45112504511001263Pest Control-N422321200104</v>
          </cell>
          <cell r="N428">
            <v>0</v>
          </cell>
          <cell r="O428">
            <v>0</v>
          </cell>
          <cell r="P428">
            <v>0</v>
          </cell>
          <cell r="Q428">
            <v>3244</v>
          </cell>
          <cell r="R428">
            <v>811</v>
          </cell>
          <cell r="S428">
            <v>811</v>
          </cell>
          <cell r="T428">
            <v>811</v>
          </cell>
          <cell r="U428">
            <v>811</v>
          </cell>
          <cell r="V428">
            <v>811</v>
          </cell>
          <cell r="W428">
            <v>811</v>
          </cell>
          <cell r="X428">
            <v>811</v>
          </cell>
          <cell r="Y428">
            <v>809</v>
          </cell>
          <cell r="AB428">
            <v>9730</v>
          </cell>
        </row>
        <row r="429">
          <cell r="B429" t="str">
            <v>45112504511001263Waste Mgmnt-N424591200104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1848</v>
          </cell>
          <cell r="S429">
            <v>0</v>
          </cell>
          <cell r="T429">
            <v>0</v>
          </cell>
          <cell r="U429">
            <v>1848</v>
          </cell>
          <cell r="V429">
            <v>0</v>
          </cell>
          <cell r="W429">
            <v>0</v>
          </cell>
          <cell r="X429">
            <v>1849</v>
          </cell>
          <cell r="Y429">
            <v>0</v>
          </cell>
          <cell r="AB429">
            <v>5545</v>
          </cell>
        </row>
        <row r="430">
          <cell r="B430" t="str">
            <v>45112504511001267ComplianceAdvice-N424521200104</v>
          </cell>
          <cell r="N430">
            <v>0</v>
          </cell>
          <cell r="O430">
            <v>0</v>
          </cell>
          <cell r="P430">
            <v>8720.2800000000007</v>
          </cell>
          <cell r="Q430">
            <v>0</v>
          </cell>
          <cell r="R430">
            <v>0</v>
          </cell>
          <cell r="S430">
            <v>258780</v>
          </cell>
          <cell r="T430">
            <v>0</v>
          </cell>
          <cell r="U430">
            <v>0</v>
          </cell>
          <cell r="V430">
            <v>287500</v>
          </cell>
          <cell r="W430">
            <v>0</v>
          </cell>
          <cell r="X430">
            <v>263227</v>
          </cell>
          <cell r="Y430">
            <v>0</v>
          </cell>
          <cell r="AB430">
            <v>687268.28</v>
          </cell>
        </row>
        <row r="431">
          <cell r="B431" t="str">
            <v>45112504511001267Manpower-N424521200104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43601.4</v>
          </cell>
          <cell r="S431">
            <v>8720.2800000000007</v>
          </cell>
          <cell r="T431">
            <v>8720.2800000000007</v>
          </cell>
          <cell r="U431">
            <v>8720.2800000000007</v>
          </cell>
          <cell r="V431">
            <v>8720.2800000000007</v>
          </cell>
          <cell r="W431">
            <v>8720.2800000000007</v>
          </cell>
          <cell r="X431">
            <v>17440.560000000001</v>
          </cell>
          <cell r="Y431">
            <v>0</v>
          </cell>
          <cell r="AB431">
            <v>104643.36</v>
          </cell>
        </row>
        <row r="432">
          <cell r="B432" t="str">
            <v>45112504511001267Freelancers-N424521200104</v>
          </cell>
          <cell r="N432">
            <v>0</v>
          </cell>
          <cell r="O432">
            <v>0</v>
          </cell>
          <cell r="P432">
            <v>0</v>
          </cell>
          <cell r="Q432">
            <v>25000</v>
          </cell>
          <cell r="R432">
            <v>12500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AB432">
            <v>37500</v>
          </cell>
        </row>
        <row r="433">
          <cell r="B433" t="str">
            <v>45112504511001268Mission &amp; Travel-N423821200104</v>
          </cell>
          <cell r="N433">
            <v>0</v>
          </cell>
          <cell r="O433">
            <v>26200</v>
          </cell>
          <cell r="P433">
            <v>1600</v>
          </cell>
          <cell r="Q433">
            <v>23000</v>
          </cell>
          <cell r="R433">
            <v>0</v>
          </cell>
          <cell r="S433">
            <v>399670</v>
          </cell>
          <cell r="T433">
            <v>0</v>
          </cell>
          <cell r="U433">
            <v>0</v>
          </cell>
          <cell r="V433">
            <v>399670</v>
          </cell>
          <cell r="W433">
            <v>0</v>
          </cell>
          <cell r="X433">
            <v>0</v>
          </cell>
          <cell r="Y433">
            <v>799340</v>
          </cell>
          <cell r="AB433">
            <v>1664480</v>
          </cell>
        </row>
        <row r="434">
          <cell r="B434" t="str">
            <v>45112504511001268Hospitality-N424761200104</v>
          </cell>
          <cell r="N434">
            <v>0</v>
          </cell>
          <cell r="O434">
            <v>0</v>
          </cell>
          <cell r="P434">
            <v>0</v>
          </cell>
          <cell r="Q434">
            <v>530000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AB434">
            <v>505000</v>
          </cell>
        </row>
        <row r="435">
          <cell r="B435" t="str">
            <v>45112504511001269Freelancers-N424521200104</v>
          </cell>
          <cell r="N435">
            <v>0</v>
          </cell>
          <cell r="O435">
            <v>281000</v>
          </cell>
          <cell r="P435">
            <v>0</v>
          </cell>
          <cell r="Q435">
            <v>195000</v>
          </cell>
          <cell r="R435">
            <v>119000</v>
          </cell>
          <cell r="S435">
            <v>119000</v>
          </cell>
          <cell r="T435">
            <v>119000</v>
          </cell>
          <cell r="U435">
            <v>119000</v>
          </cell>
          <cell r="V435">
            <v>119000</v>
          </cell>
          <cell r="W435">
            <v>119000</v>
          </cell>
          <cell r="X435">
            <v>119000</v>
          </cell>
          <cell r="Y435">
            <v>119000</v>
          </cell>
          <cell r="AB435">
            <v>1399310</v>
          </cell>
        </row>
        <row r="436">
          <cell r="B436" t="str">
            <v>45112504511001269Manpower-N424521200104</v>
          </cell>
          <cell r="N436">
            <v>0</v>
          </cell>
          <cell r="O436">
            <v>0</v>
          </cell>
          <cell r="P436">
            <v>0</v>
          </cell>
          <cell r="Q436">
            <v>450800</v>
          </cell>
          <cell r="R436">
            <v>112700</v>
          </cell>
          <cell r="S436">
            <v>112700</v>
          </cell>
          <cell r="T436">
            <v>112700</v>
          </cell>
          <cell r="U436">
            <v>112700</v>
          </cell>
          <cell r="V436">
            <v>112700</v>
          </cell>
          <cell r="W436">
            <v>112700</v>
          </cell>
          <cell r="X436">
            <v>112700</v>
          </cell>
          <cell r="Y436">
            <v>112700</v>
          </cell>
          <cell r="AB436">
            <v>1352400</v>
          </cell>
        </row>
        <row r="437">
          <cell r="B437" t="str">
            <v>45112504511001269Admin Expenses-N1421125200104</v>
          </cell>
          <cell r="N437">
            <v>0</v>
          </cell>
          <cell r="O437">
            <v>0</v>
          </cell>
          <cell r="P437">
            <v>49930</v>
          </cell>
          <cell r="Q437">
            <v>70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247497</v>
          </cell>
          <cell r="X437">
            <v>397917</v>
          </cell>
          <cell r="Y437">
            <v>397919</v>
          </cell>
          <cell r="AB437">
            <v>1093333</v>
          </cell>
        </row>
        <row r="438">
          <cell r="B438" t="str">
            <v>45112504511001269E-E Ops and Prod-N1421125200104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213310</v>
          </cell>
          <cell r="X438">
            <v>213313</v>
          </cell>
          <cell r="Y438">
            <v>213315</v>
          </cell>
          <cell r="AB438">
            <v>687462</v>
          </cell>
        </row>
        <row r="439">
          <cell r="B439" t="str">
            <v>45112504511001270Manpower-N424521200104</v>
          </cell>
          <cell r="N439">
            <v>0</v>
          </cell>
          <cell r="O439">
            <v>0</v>
          </cell>
          <cell r="P439">
            <v>0</v>
          </cell>
          <cell r="Q439">
            <v>106439</v>
          </cell>
          <cell r="R439">
            <v>33468</v>
          </cell>
          <cell r="S439">
            <v>33468</v>
          </cell>
          <cell r="T439">
            <v>33468</v>
          </cell>
          <cell r="U439">
            <v>33468</v>
          </cell>
          <cell r="V439">
            <v>33468</v>
          </cell>
          <cell r="W439">
            <v>62307</v>
          </cell>
          <cell r="X439">
            <v>62307</v>
          </cell>
          <cell r="Y439">
            <v>62307</v>
          </cell>
          <cell r="AB439">
            <v>480700</v>
          </cell>
        </row>
        <row r="440">
          <cell r="B440" t="str">
            <v>45112504511001270Freelancers-N424521200104</v>
          </cell>
          <cell r="N440">
            <v>0</v>
          </cell>
          <cell r="O440">
            <v>0</v>
          </cell>
          <cell r="P440">
            <v>0</v>
          </cell>
          <cell r="Q440">
            <v>30000</v>
          </cell>
          <cell r="R440">
            <v>30000</v>
          </cell>
          <cell r="S440">
            <v>30000</v>
          </cell>
          <cell r="T440">
            <v>30000</v>
          </cell>
          <cell r="U440">
            <v>30000</v>
          </cell>
          <cell r="V440">
            <v>30000</v>
          </cell>
          <cell r="W440">
            <v>30000</v>
          </cell>
          <cell r="X440">
            <v>30000</v>
          </cell>
          <cell r="Y440">
            <v>30000</v>
          </cell>
          <cell r="AB440">
            <v>270000</v>
          </cell>
        </row>
        <row r="441">
          <cell r="B441" t="str">
            <v>45112504511001270E-E Ops and Prod-N1421125200104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30000</v>
          </cell>
          <cell r="AB441">
            <v>41025</v>
          </cell>
        </row>
        <row r="442">
          <cell r="B442" t="str">
            <v>45113004511000227Plant &amp; Tools-N491351300105</v>
          </cell>
          <cell r="N442">
            <v>0</v>
          </cell>
          <cell r="O442">
            <v>0</v>
          </cell>
          <cell r="P442">
            <v>7700</v>
          </cell>
          <cell r="Q442">
            <v>0</v>
          </cell>
          <cell r="R442">
            <v>0</v>
          </cell>
          <cell r="S442">
            <v>108833.54</v>
          </cell>
          <cell r="T442">
            <v>9558.0400000000009</v>
          </cell>
          <cell r="U442">
            <v>326670</v>
          </cell>
          <cell r="V442">
            <v>667238</v>
          </cell>
          <cell r="W442">
            <v>630000</v>
          </cell>
          <cell r="X442">
            <v>550000</v>
          </cell>
          <cell r="Y442">
            <v>700000</v>
          </cell>
          <cell r="AB442">
            <v>8999999.5800000001</v>
          </cell>
        </row>
        <row r="443">
          <cell r="B443" t="str">
            <v>45113004511000227Admin Expenses-N421125200104</v>
          </cell>
          <cell r="N443">
            <v>0</v>
          </cell>
          <cell r="O443">
            <v>71939.5</v>
          </cell>
          <cell r="P443">
            <v>75777.50999999998</v>
          </cell>
          <cell r="R443">
            <v>100029</v>
          </cell>
          <cell r="S443">
            <v>50000</v>
          </cell>
          <cell r="T443">
            <v>200000</v>
          </cell>
          <cell r="U443">
            <v>200000</v>
          </cell>
          <cell r="V443">
            <v>200000</v>
          </cell>
          <cell r="W443">
            <v>300000</v>
          </cell>
          <cell r="X443">
            <v>400000</v>
          </cell>
          <cell r="Y443">
            <v>502254</v>
          </cell>
          <cell r="AB443">
            <v>1748354.0099999998</v>
          </cell>
        </row>
        <row r="444">
          <cell r="B444" t="str">
            <v>45113004511000227Mission &amp; Travel-N423821200104</v>
          </cell>
          <cell r="N444">
            <v>0</v>
          </cell>
          <cell r="O444">
            <v>73850</v>
          </cell>
          <cell r="P444">
            <v>36600</v>
          </cell>
          <cell r="Q444">
            <v>29800</v>
          </cell>
          <cell r="R444">
            <v>144750</v>
          </cell>
          <cell r="S444">
            <v>0</v>
          </cell>
          <cell r="T444">
            <v>200000</v>
          </cell>
          <cell r="U444">
            <v>100000</v>
          </cell>
          <cell r="V444">
            <v>100000</v>
          </cell>
          <cell r="W444">
            <v>100000</v>
          </cell>
          <cell r="X444">
            <v>100000</v>
          </cell>
          <cell r="Y444">
            <v>411049</v>
          </cell>
          <cell r="AB444">
            <v>1296049</v>
          </cell>
        </row>
        <row r="445">
          <cell r="B445" t="str">
            <v>45113004511000637Freelancers-N424521200104</v>
          </cell>
          <cell r="N445">
            <v>0</v>
          </cell>
          <cell r="O445">
            <v>0</v>
          </cell>
          <cell r="P445">
            <v>1488593.42</v>
          </cell>
          <cell r="Q445">
            <v>0</v>
          </cell>
          <cell r="R445">
            <v>0</v>
          </cell>
          <cell r="S445">
            <v>185506.26</v>
          </cell>
          <cell r="T445">
            <v>515572.83999999997</v>
          </cell>
          <cell r="U445">
            <v>412569.83999999997</v>
          </cell>
          <cell r="V445">
            <v>1055631</v>
          </cell>
          <cell r="W445">
            <v>2878421</v>
          </cell>
          <cell r="X445">
            <v>1172410</v>
          </cell>
          <cell r="Y445">
            <v>1181761.6399999999</v>
          </cell>
          <cell r="AB445">
            <v>7890466</v>
          </cell>
        </row>
        <row r="446">
          <cell r="B446" t="str">
            <v>45113004511000637Event Management-N422401200104</v>
          </cell>
          <cell r="N446">
            <v>0</v>
          </cell>
          <cell r="O446">
            <v>0</v>
          </cell>
          <cell r="P446">
            <v>0</v>
          </cell>
          <cell r="Q446">
            <v>42000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AB446">
            <v>42000</v>
          </cell>
        </row>
        <row r="447">
          <cell r="B447" t="str">
            <v>45113004511000639Event Management-N422401200104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1245684</v>
          </cell>
          <cell r="U447">
            <v>400000</v>
          </cell>
          <cell r="V447">
            <v>4772921</v>
          </cell>
          <cell r="W447">
            <v>581395</v>
          </cell>
          <cell r="X447">
            <v>0</v>
          </cell>
          <cell r="Y447">
            <v>0</v>
          </cell>
          <cell r="AB447">
            <v>4555000</v>
          </cell>
        </row>
        <row r="448">
          <cell r="B448" t="str">
            <v>45113004511000639Research&amp;Survey-N423411200104</v>
          </cell>
          <cell r="N448">
            <v>0</v>
          </cell>
          <cell r="O448">
            <v>0</v>
          </cell>
          <cell r="P448">
            <v>0</v>
          </cell>
          <cell r="Q448">
            <v>120412</v>
          </cell>
          <cell r="R448">
            <v>259515</v>
          </cell>
          <cell r="S448">
            <v>410000</v>
          </cell>
          <cell r="T448">
            <v>530000</v>
          </cell>
          <cell r="U448">
            <v>0</v>
          </cell>
          <cell r="V448">
            <v>1220000</v>
          </cell>
          <cell r="W448">
            <v>90000</v>
          </cell>
          <cell r="X448">
            <v>860000</v>
          </cell>
          <cell r="Y448">
            <v>1321996</v>
          </cell>
          <cell r="AB448">
            <v>5181396</v>
          </cell>
        </row>
        <row r="449">
          <cell r="B449" t="str">
            <v>45113004511000639Freelancers-N424521200104</v>
          </cell>
          <cell r="N449">
            <v>0</v>
          </cell>
          <cell r="O449">
            <v>279017.5</v>
          </cell>
          <cell r="P449">
            <v>124625.5</v>
          </cell>
          <cell r="Q449">
            <v>0</v>
          </cell>
          <cell r="R449">
            <v>0</v>
          </cell>
          <cell r="S449">
            <v>31701</v>
          </cell>
          <cell r="T449">
            <v>80418</v>
          </cell>
          <cell r="U449">
            <v>74268</v>
          </cell>
          <cell r="V449">
            <v>74268</v>
          </cell>
          <cell r="W449">
            <v>139268</v>
          </cell>
          <cell r="X449">
            <v>99268</v>
          </cell>
          <cell r="Y449">
            <v>104719</v>
          </cell>
          <cell r="AB449">
            <v>1267553</v>
          </cell>
        </row>
        <row r="450">
          <cell r="B450" t="str">
            <v>45113004511000639Conserv-Restore-N3421125200104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149500</v>
          </cell>
          <cell r="S450">
            <v>50000</v>
          </cell>
          <cell r="T450">
            <v>3000</v>
          </cell>
          <cell r="U450">
            <v>143000</v>
          </cell>
          <cell r="V450">
            <v>148000</v>
          </cell>
          <cell r="W450">
            <v>52175</v>
          </cell>
          <cell r="X450">
            <v>35000</v>
          </cell>
          <cell r="Y450">
            <v>231488</v>
          </cell>
          <cell r="AB450">
            <v>1133458</v>
          </cell>
        </row>
        <row r="451">
          <cell r="B451" t="str">
            <v>45113004511000639Cultural Advice-N424521200104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391500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193500</v>
          </cell>
          <cell r="Y451">
            <v>0</v>
          </cell>
          <cell r="AB451">
            <v>991000</v>
          </cell>
        </row>
        <row r="452">
          <cell r="B452" t="str">
            <v>45113004511000639Architect Advice-N424521200104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125000</v>
          </cell>
          <cell r="U452">
            <v>25000</v>
          </cell>
          <cell r="V452">
            <v>25000</v>
          </cell>
          <cell r="W452">
            <v>25000</v>
          </cell>
          <cell r="X452">
            <v>15000</v>
          </cell>
          <cell r="Y452">
            <v>0</v>
          </cell>
          <cell r="AB452">
            <v>1430000</v>
          </cell>
        </row>
        <row r="453">
          <cell r="B453" t="str">
            <v>45113004511000641CollectionConsrv-N421191200104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300000</v>
          </cell>
          <cell r="S453">
            <v>300000</v>
          </cell>
          <cell r="T453">
            <v>0</v>
          </cell>
          <cell r="U453">
            <v>400000</v>
          </cell>
          <cell r="V453">
            <v>400000</v>
          </cell>
          <cell r="W453">
            <v>0</v>
          </cell>
          <cell r="X453">
            <v>250000</v>
          </cell>
          <cell r="Y453">
            <v>0</v>
          </cell>
          <cell r="AB453">
            <v>1333821</v>
          </cell>
        </row>
        <row r="454">
          <cell r="B454" t="str">
            <v>45113004511000641Freelancers-N424521200104</v>
          </cell>
          <cell r="N454">
            <v>0</v>
          </cell>
          <cell r="O454">
            <v>0</v>
          </cell>
          <cell r="P454">
            <v>93000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50000</v>
          </cell>
          <cell r="V454">
            <v>0</v>
          </cell>
          <cell r="W454">
            <v>557000</v>
          </cell>
          <cell r="X454">
            <v>0</v>
          </cell>
          <cell r="Y454">
            <v>0</v>
          </cell>
          <cell r="AB454">
            <v>522000</v>
          </cell>
        </row>
        <row r="455">
          <cell r="B455" t="str">
            <v>45113004511000644FeasibilityStudy-N424521200104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627488</v>
          </cell>
          <cell r="T455">
            <v>250000</v>
          </cell>
          <cell r="U455">
            <v>800000</v>
          </cell>
          <cell r="V455">
            <v>627488</v>
          </cell>
          <cell r="W455">
            <v>250000</v>
          </cell>
          <cell r="X455">
            <v>663884</v>
          </cell>
          <cell r="Y455">
            <v>0</v>
          </cell>
          <cell r="AB455">
            <v>3758860</v>
          </cell>
        </row>
        <row r="456">
          <cell r="B456" t="str">
            <v>45113004511000646Research&amp;Survey-N423411200104</v>
          </cell>
          <cell r="N456">
            <v>0</v>
          </cell>
          <cell r="O456">
            <v>0</v>
          </cell>
          <cell r="P456">
            <v>0</v>
          </cell>
          <cell r="Q456">
            <v>30000</v>
          </cell>
          <cell r="R456">
            <v>0</v>
          </cell>
          <cell r="S456">
            <v>30000</v>
          </cell>
          <cell r="T456">
            <v>0</v>
          </cell>
          <cell r="U456">
            <v>30000</v>
          </cell>
          <cell r="V456">
            <v>0</v>
          </cell>
          <cell r="W456">
            <v>30000</v>
          </cell>
          <cell r="X456">
            <v>802080</v>
          </cell>
          <cell r="Y456">
            <v>400000</v>
          </cell>
          <cell r="AB456">
            <v>1322080</v>
          </cell>
        </row>
        <row r="457">
          <cell r="B457" t="str">
            <v>45113004511000646Freelancers-N424521200104</v>
          </cell>
          <cell r="N457">
            <v>0</v>
          </cell>
          <cell r="O457">
            <v>0</v>
          </cell>
          <cell r="P457">
            <v>0</v>
          </cell>
          <cell r="Q457">
            <v>35000</v>
          </cell>
          <cell r="R457">
            <v>35000</v>
          </cell>
          <cell r="S457">
            <v>35000</v>
          </cell>
          <cell r="T457">
            <v>35400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AB457">
            <v>80000</v>
          </cell>
        </row>
        <row r="458">
          <cell r="B458" t="str">
            <v>45113004511001292Research&amp;Survey-N423411200104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200000</v>
          </cell>
          <cell r="AB458">
            <v>186710</v>
          </cell>
        </row>
        <row r="459">
          <cell r="B459" t="str">
            <v>45113004511001379Research&amp;Survey-N423411200104</v>
          </cell>
          <cell r="N459">
            <v>0</v>
          </cell>
          <cell r="O459">
            <v>0</v>
          </cell>
          <cell r="P459">
            <v>0</v>
          </cell>
          <cell r="Q459">
            <v>229188</v>
          </cell>
          <cell r="R459">
            <v>317056</v>
          </cell>
          <cell r="S459">
            <v>796378</v>
          </cell>
          <cell r="T459">
            <v>317056</v>
          </cell>
          <cell r="U459">
            <v>382008</v>
          </cell>
          <cell r="V459">
            <v>1312528</v>
          </cell>
          <cell r="W459">
            <v>892836</v>
          </cell>
          <cell r="X459">
            <v>1221614</v>
          </cell>
          <cell r="Y459">
            <v>398189</v>
          </cell>
          <cell r="AB459">
            <v>4370395.9399999995</v>
          </cell>
        </row>
        <row r="460">
          <cell r="B460" t="str">
            <v>45113004511001467Freelancers-N424521200104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125000</v>
          </cell>
          <cell r="S460">
            <v>0</v>
          </cell>
          <cell r="T460">
            <v>0</v>
          </cell>
          <cell r="U460">
            <v>125000</v>
          </cell>
          <cell r="V460">
            <v>0</v>
          </cell>
          <cell r="W460">
            <v>125000</v>
          </cell>
          <cell r="X460">
            <v>125000</v>
          </cell>
          <cell r="Y460">
            <v>0</v>
          </cell>
          <cell r="AB460">
            <v>500000</v>
          </cell>
        </row>
        <row r="461">
          <cell r="B461" t="str">
            <v>45113004511001542Print Runs-N424791200104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200000</v>
          </cell>
          <cell r="U461">
            <v>0</v>
          </cell>
          <cell r="V461">
            <v>200000</v>
          </cell>
          <cell r="W461">
            <v>0</v>
          </cell>
          <cell r="X461">
            <v>200000</v>
          </cell>
          <cell r="Y461">
            <v>0</v>
          </cell>
          <cell r="AB461">
            <v>600000</v>
          </cell>
        </row>
        <row r="462">
          <cell r="B462" t="str">
            <v>45113004511001543Research&amp;Survey-N423411200104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524073</v>
          </cell>
          <cell r="T462">
            <v>2087708.37</v>
          </cell>
          <cell r="U462">
            <v>92256.33</v>
          </cell>
          <cell r="V462">
            <v>978218.26</v>
          </cell>
          <cell r="W462">
            <v>575742.32999999996</v>
          </cell>
          <cell r="X462">
            <v>3424850.33</v>
          </cell>
          <cell r="Y462">
            <v>2394277</v>
          </cell>
          <cell r="AB462">
            <v>6180899.620000001</v>
          </cell>
        </row>
        <row r="463">
          <cell r="B463" t="str">
            <v>45113004511001544Research&amp;Survey-N423411200104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70000</v>
          </cell>
          <cell r="T463">
            <v>105235</v>
          </cell>
          <cell r="U463">
            <v>190000</v>
          </cell>
          <cell r="V463">
            <v>172500</v>
          </cell>
          <cell r="W463">
            <v>317000</v>
          </cell>
          <cell r="X463">
            <v>1165000</v>
          </cell>
          <cell r="Y463">
            <v>0</v>
          </cell>
          <cell r="AB463">
            <v>2019735</v>
          </cell>
        </row>
        <row r="464">
          <cell r="B464" t="str">
            <v>45115504511000019PR Mgmnt E-E-N424781200104</v>
          </cell>
          <cell r="AB464">
            <v>4750</v>
          </cell>
        </row>
        <row r="465">
          <cell r="B465" t="str">
            <v>45115504511000063Collaterals-N422511200104</v>
          </cell>
          <cell r="AB465">
            <v>16800</v>
          </cell>
        </row>
        <row r="466">
          <cell r="B466" t="str">
            <v>45115504511000088Media Mgmnt &amp;Buy-N422511200104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299240</v>
          </cell>
          <cell r="U466">
            <v>100000</v>
          </cell>
          <cell r="V466">
            <v>300000</v>
          </cell>
          <cell r="W466">
            <v>250000</v>
          </cell>
          <cell r="X466">
            <v>350000</v>
          </cell>
          <cell r="Y466">
            <v>0</v>
          </cell>
          <cell r="AB466">
            <v>100000</v>
          </cell>
        </row>
        <row r="467">
          <cell r="B467" t="str">
            <v>45115504511000088Collaterals-N422511200104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37260</v>
          </cell>
          <cell r="X467">
            <v>0</v>
          </cell>
          <cell r="Y467">
            <v>0</v>
          </cell>
          <cell r="AB467">
            <v>20460</v>
          </cell>
        </row>
        <row r="468">
          <cell r="B468" t="str">
            <v>45115504511000187SM Managnt E-E-N422511200104</v>
          </cell>
          <cell r="N468">
            <v>0</v>
          </cell>
          <cell r="O468">
            <v>0</v>
          </cell>
          <cell r="P468">
            <v>0</v>
          </cell>
          <cell r="Q468">
            <v>113333.33333333323</v>
          </cell>
          <cell r="R468">
            <v>28333.333333333332</v>
          </cell>
          <cell r="S468">
            <v>28333.333333333332</v>
          </cell>
          <cell r="T468">
            <v>28333.333333333332</v>
          </cell>
          <cell r="U468">
            <v>28333.333333333332</v>
          </cell>
          <cell r="V468">
            <v>28333.333333333332</v>
          </cell>
          <cell r="W468">
            <v>28333.333333333332</v>
          </cell>
          <cell r="X468">
            <v>28333.333333333332</v>
          </cell>
          <cell r="Y468">
            <v>28333.333333333332</v>
          </cell>
          <cell r="AB468">
            <v>339999.99999999988</v>
          </cell>
        </row>
        <row r="469">
          <cell r="B469" t="str">
            <v>45115504511000187Media Mgmnt &amp;Buy-N422511200104</v>
          </cell>
          <cell r="N469">
            <v>0</v>
          </cell>
          <cell r="O469">
            <v>0</v>
          </cell>
          <cell r="P469">
            <v>0</v>
          </cell>
          <cell r="Q469">
            <v>87126.666666666773</v>
          </cell>
          <cell r="R469">
            <v>21781.666666666675</v>
          </cell>
          <cell r="S469">
            <v>21781.666666666675</v>
          </cell>
          <cell r="T469">
            <v>21781.666666666675</v>
          </cell>
          <cell r="U469">
            <v>21781.666666666675</v>
          </cell>
          <cell r="V469">
            <v>21781.666666666675</v>
          </cell>
          <cell r="W469">
            <v>21781.666666666675</v>
          </cell>
          <cell r="X469">
            <v>21781.666666666675</v>
          </cell>
          <cell r="Y469">
            <v>21781.666666666701</v>
          </cell>
          <cell r="AB469">
            <v>261380.00000000023</v>
          </cell>
        </row>
        <row r="470">
          <cell r="B470" t="str">
            <v>45115504511000283Media Mgmnt &amp;Buy-N422511200104</v>
          </cell>
          <cell r="N470">
            <v>0</v>
          </cell>
          <cell r="O470">
            <v>0</v>
          </cell>
          <cell r="P470">
            <v>0</v>
          </cell>
          <cell r="Q470">
            <v>203834</v>
          </cell>
          <cell r="R470">
            <v>50958.5</v>
          </cell>
          <cell r="S470">
            <v>50958.5</v>
          </cell>
          <cell r="T470">
            <v>50958.5</v>
          </cell>
          <cell r="U470">
            <v>50958.5</v>
          </cell>
          <cell r="V470">
            <v>50958.5</v>
          </cell>
          <cell r="W470">
            <v>50958.5</v>
          </cell>
          <cell r="X470">
            <v>50958.5</v>
          </cell>
          <cell r="Y470">
            <v>50958.5</v>
          </cell>
          <cell r="AB470">
            <v>611502</v>
          </cell>
        </row>
        <row r="471">
          <cell r="B471" t="str">
            <v>45115504511000283SM Managnt E-E-N422511200104</v>
          </cell>
          <cell r="N471">
            <v>0</v>
          </cell>
          <cell r="O471">
            <v>0</v>
          </cell>
          <cell r="P471">
            <v>0</v>
          </cell>
          <cell r="Q471">
            <v>133333.33333333323</v>
          </cell>
          <cell r="R471">
            <v>33333.333333333336</v>
          </cell>
          <cell r="S471">
            <v>33333.333333333336</v>
          </cell>
          <cell r="T471">
            <v>33333.333333333336</v>
          </cell>
          <cell r="U471">
            <v>33333.333333333336</v>
          </cell>
          <cell r="V471">
            <v>33333.333333333336</v>
          </cell>
          <cell r="W471">
            <v>33333.333333333336</v>
          </cell>
          <cell r="X471">
            <v>33333.333333333336</v>
          </cell>
          <cell r="Y471">
            <v>33333.333333333336</v>
          </cell>
          <cell r="AB471">
            <v>399999.99999999983</v>
          </cell>
        </row>
        <row r="472">
          <cell r="B472" t="str">
            <v>45115504511000318Media Mgmnt &amp;Buy-N422511200104</v>
          </cell>
          <cell r="N472">
            <v>0</v>
          </cell>
          <cell r="O472">
            <v>0</v>
          </cell>
          <cell r="P472">
            <v>0</v>
          </cell>
          <cell r="Q472">
            <v>206152.6666666668</v>
          </cell>
          <cell r="R472">
            <v>51538.166666666686</v>
          </cell>
          <cell r="S472">
            <v>51538.166666666686</v>
          </cell>
          <cell r="T472">
            <v>51538.166666666686</v>
          </cell>
          <cell r="U472">
            <v>51538.166666666686</v>
          </cell>
          <cell r="V472">
            <v>51538.166666666686</v>
          </cell>
          <cell r="W472">
            <v>51538.166666666686</v>
          </cell>
          <cell r="X472">
            <v>51538.166666666686</v>
          </cell>
          <cell r="Y472">
            <v>51538.166666666686</v>
          </cell>
          <cell r="AB472">
            <v>618458.00000000023</v>
          </cell>
        </row>
        <row r="473">
          <cell r="B473" t="str">
            <v>45115504511000318SM Managnt E-E-N422511200104</v>
          </cell>
          <cell r="N473">
            <v>0</v>
          </cell>
          <cell r="O473">
            <v>0</v>
          </cell>
          <cell r="P473">
            <v>0</v>
          </cell>
          <cell r="Q473">
            <v>133333.33333333323</v>
          </cell>
          <cell r="R473">
            <v>33333.333333333336</v>
          </cell>
          <cell r="S473">
            <v>33333.333333333336</v>
          </cell>
          <cell r="T473">
            <v>33333.333333333336</v>
          </cell>
          <cell r="U473">
            <v>33333.333333333336</v>
          </cell>
          <cell r="V473">
            <v>33333.333333333336</v>
          </cell>
          <cell r="W473">
            <v>33333.333333333336</v>
          </cell>
          <cell r="X473">
            <v>33333.333333333336</v>
          </cell>
          <cell r="Y473">
            <v>33333.333333333336</v>
          </cell>
          <cell r="AB473">
            <v>399999.99999999983</v>
          </cell>
        </row>
        <row r="474">
          <cell r="B474" t="str">
            <v>45115504511000340Media Mgmnt &amp;Buy-N422511200104</v>
          </cell>
          <cell r="N474">
            <v>0</v>
          </cell>
          <cell r="O474">
            <v>0</v>
          </cell>
          <cell r="P474">
            <v>0</v>
          </cell>
          <cell r="Q474">
            <v>41062.333333333336</v>
          </cell>
          <cell r="R474">
            <v>41062.333333333336</v>
          </cell>
          <cell r="S474">
            <v>41062.333333333336</v>
          </cell>
          <cell r="T474">
            <v>41062.333333333336</v>
          </cell>
          <cell r="U474">
            <v>41062.333333333336</v>
          </cell>
          <cell r="V474">
            <v>41062.333333333336</v>
          </cell>
          <cell r="W474">
            <v>41062.333333333336</v>
          </cell>
          <cell r="X474">
            <v>41062.333333333336</v>
          </cell>
          <cell r="Y474">
            <v>41062.333333333336</v>
          </cell>
          <cell r="AB474">
            <v>369561</v>
          </cell>
        </row>
        <row r="475">
          <cell r="B475" t="str">
            <v>45115504511000340SM Prodct&amp;Develp-N422511200104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200000</v>
          </cell>
          <cell r="X475">
            <v>0</v>
          </cell>
          <cell r="Y475">
            <v>0</v>
          </cell>
          <cell r="AB475">
            <v>200000</v>
          </cell>
        </row>
        <row r="476">
          <cell r="B476" t="str">
            <v>45115504511000423Media Mgmnt &amp;Buy-N422511200104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508100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200000</v>
          </cell>
          <cell r="AB476">
            <v>708100</v>
          </cell>
        </row>
        <row r="477">
          <cell r="B477" t="str">
            <v>45115504511000423SM Managnt E-E-N422511200104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425000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AB477">
            <v>425000</v>
          </cell>
        </row>
        <row r="478">
          <cell r="B478" t="str">
            <v>45115504511000434SM Managnt E-E-N422511200104</v>
          </cell>
          <cell r="N478">
            <v>0</v>
          </cell>
          <cell r="O478">
            <v>0</v>
          </cell>
          <cell r="P478">
            <v>0</v>
          </cell>
          <cell r="Q478">
            <v>156000</v>
          </cell>
          <cell r="R478">
            <v>39000</v>
          </cell>
          <cell r="S478">
            <v>39000</v>
          </cell>
          <cell r="T478">
            <v>39000</v>
          </cell>
          <cell r="U478">
            <v>39000</v>
          </cell>
          <cell r="V478">
            <v>39000</v>
          </cell>
          <cell r="W478">
            <v>39000</v>
          </cell>
          <cell r="X478">
            <v>39000</v>
          </cell>
          <cell r="Y478">
            <v>39000</v>
          </cell>
          <cell r="AB478">
            <v>468000</v>
          </cell>
        </row>
        <row r="479">
          <cell r="B479" t="str">
            <v>45115504511000434Media Mgmnt &amp;Buy-N422511200104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50000</v>
          </cell>
          <cell r="U479">
            <v>50000</v>
          </cell>
          <cell r="V479">
            <v>50000</v>
          </cell>
          <cell r="W479">
            <v>67926</v>
          </cell>
          <cell r="X479">
            <v>0</v>
          </cell>
          <cell r="Y479">
            <v>0</v>
          </cell>
          <cell r="AB479">
            <v>217926</v>
          </cell>
        </row>
        <row r="480">
          <cell r="B480" t="str">
            <v>45115504511000434PR Mgmnt E-E-N424781200104</v>
          </cell>
          <cell r="AB480">
            <v>0</v>
          </cell>
        </row>
        <row r="481">
          <cell r="B481" t="str">
            <v>45115504511000540Media Mgmnt &amp;Buy-N422511200104</v>
          </cell>
          <cell r="N481">
            <v>0</v>
          </cell>
          <cell r="O481">
            <v>0</v>
          </cell>
          <cell r="P481">
            <v>0</v>
          </cell>
          <cell r="Q481">
            <v>652885.22222222225</v>
          </cell>
          <cell r="R481">
            <v>652885.22222222225</v>
          </cell>
          <cell r="S481">
            <v>652885.22222222225</v>
          </cell>
          <cell r="T481">
            <v>652885.22222222225</v>
          </cell>
          <cell r="U481">
            <v>652885.22222222225</v>
          </cell>
          <cell r="V481">
            <v>652885.22222222225</v>
          </cell>
          <cell r="W481">
            <v>652885.22222222225</v>
          </cell>
          <cell r="X481">
            <v>2499999.9999999991</v>
          </cell>
          <cell r="Y481">
            <v>1305770</v>
          </cell>
          <cell r="AB481">
            <v>7325966.5555555541</v>
          </cell>
        </row>
        <row r="482">
          <cell r="B482" t="str">
            <v>45115504511000540Freelancers-N424521200104</v>
          </cell>
          <cell r="N482">
            <v>0</v>
          </cell>
          <cell r="O482">
            <v>0</v>
          </cell>
          <cell r="P482">
            <v>440333.33</v>
          </cell>
          <cell r="Q482">
            <v>7022.1699999999837</v>
          </cell>
          <cell r="R482">
            <v>223677.75</v>
          </cell>
          <cell r="S482">
            <v>223677.75</v>
          </cell>
          <cell r="T482">
            <v>223677.75</v>
          </cell>
          <cell r="U482">
            <v>223677.75</v>
          </cell>
          <cell r="V482">
            <v>223677.75</v>
          </cell>
          <cell r="W482">
            <v>223677.75</v>
          </cell>
          <cell r="X482">
            <v>447356</v>
          </cell>
          <cell r="Y482">
            <v>447355.5</v>
          </cell>
          <cell r="AB482">
            <v>2684133.5</v>
          </cell>
        </row>
        <row r="483">
          <cell r="B483" t="str">
            <v>45115504511000540Campaign Mgmnt-N422511200104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208333.33333333334</v>
          </cell>
          <cell r="T483">
            <v>208333.33333333334</v>
          </cell>
          <cell r="U483">
            <v>208333.33333333334</v>
          </cell>
          <cell r="V483">
            <v>208333.33333333334</v>
          </cell>
          <cell r="W483">
            <v>208333.33333333334</v>
          </cell>
          <cell r="X483">
            <v>208333.33333333334</v>
          </cell>
          <cell r="Y483">
            <v>1250000</v>
          </cell>
          <cell r="AB483">
            <v>3300000</v>
          </cell>
        </row>
        <row r="484">
          <cell r="B484" t="str">
            <v>45115504511000540PR Mgmnt E-E-N424781200104</v>
          </cell>
          <cell r="N484">
            <v>0</v>
          </cell>
          <cell r="O484">
            <v>0</v>
          </cell>
          <cell r="P484">
            <v>0</v>
          </cell>
          <cell r="Q484">
            <v>179400</v>
          </cell>
          <cell r="R484">
            <v>179400</v>
          </cell>
          <cell r="S484">
            <v>179400</v>
          </cell>
          <cell r="T484">
            <v>179400</v>
          </cell>
          <cell r="U484">
            <v>179400</v>
          </cell>
          <cell r="V484">
            <v>179400</v>
          </cell>
          <cell r="W484">
            <v>179400</v>
          </cell>
          <cell r="X484">
            <v>179400</v>
          </cell>
          <cell r="Y484">
            <v>799800</v>
          </cell>
          <cell r="AB484">
            <v>2235000</v>
          </cell>
        </row>
        <row r="485">
          <cell r="B485" t="str">
            <v>45115504511000540Mission &amp; Travel-N423821200104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50000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50000</v>
          </cell>
          <cell r="X485">
            <v>52800</v>
          </cell>
          <cell r="Y485">
            <v>0</v>
          </cell>
          <cell r="AB485">
            <v>152800</v>
          </cell>
        </row>
        <row r="486">
          <cell r="B486" t="str">
            <v>45115504511000576SM Managnt E-E-N422511200104</v>
          </cell>
          <cell r="N486">
            <v>0</v>
          </cell>
          <cell r="O486">
            <v>0</v>
          </cell>
          <cell r="P486">
            <v>0</v>
          </cell>
          <cell r="Q486">
            <v>176640</v>
          </cell>
          <cell r="R486">
            <v>88320</v>
          </cell>
          <cell r="S486">
            <v>88320</v>
          </cell>
          <cell r="T486">
            <v>88320</v>
          </cell>
          <cell r="U486">
            <v>88320</v>
          </cell>
          <cell r="V486">
            <v>88320</v>
          </cell>
          <cell r="W486">
            <v>88320</v>
          </cell>
          <cell r="X486">
            <v>88320</v>
          </cell>
          <cell r="Y486">
            <v>88320</v>
          </cell>
          <cell r="AB486">
            <v>883200</v>
          </cell>
        </row>
        <row r="487">
          <cell r="B487" t="str">
            <v>45115504511000593Media Mgmnt &amp;Buy-N422511200104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239380.5</v>
          </cell>
          <cell r="Y487">
            <v>239380.5</v>
          </cell>
          <cell r="AB487">
            <v>478761</v>
          </cell>
        </row>
        <row r="488">
          <cell r="B488" t="str">
            <v>45115504511000593SM Managnt E-E-N422511200104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133333.33333333334</v>
          </cell>
          <cell r="X488">
            <v>133333.33333333334</v>
          </cell>
          <cell r="Y488">
            <v>133333.33333333334</v>
          </cell>
          <cell r="AB488">
            <v>400000</v>
          </cell>
        </row>
        <row r="489">
          <cell r="B489" t="str">
            <v>45115504511000644SM Prodct&amp;Develp-N422511200104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192510</v>
          </cell>
          <cell r="X489">
            <v>0</v>
          </cell>
          <cell r="Y489">
            <v>0</v>
          </cell>
          <cell r="AB489">
            <v>192510</v>
          </cell>
        </row>
        <row r="490">
          <cell r="B490" t="str">
            <v>45115504511000721SM Prodct&amp;Develp-N422511200104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100000</v>
          </cell>
          <cell r="S490">
            <v>100000</v>
          </cell>
          <cell r="T490">
            <v>100000</v>
          </cell>
          <cell r="U490">
            <v>300000</v>
          </cell>
          <cell r="V490">
            <v>200000</v>
          </cell>
          <cell r="W490">
            <v>300000</v>
          </cell>
          <cell r="X490">
            <v>300000</v>
          </cell>
          <cell r="Y490">
            <v>312788</v>
          </cell>
          <cell r="AB490">
            <v>1712788</v>
          </cell>
        </row>
        <row r="491">
          <cell r="B491" t="str">
            <v>45115504511000819SM Prodct&amp;Develp-N422511200104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116411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AB491">
            <v>116411</v>
          </cell>
        </row>
        <row r="492">
          <cell r="B492" t="str">
            <v>45115504511000820Media Mgmnt &amp;Buy-N2422511200104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10000</v>
          </cell>
          <cell r="AB492">
            <v>1010000</v>
          </cell>
        </row>
        <row r="493">
          <cell r="B493" t="str">
            <v>45115504511000914Media Mgmnt &amp;Buy-N422511200104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200000</v>
          </cell>
          <cell r="X493">
            <v>249604</v>
          </cell>
          <cell r="Y493">
            <v>0</v>
          </cell>
          <cell r="AB493">
            <v>449604</v>
          </cell>
        </row>
        <row r="494">
          <cell r="B494" t="str">
            <v>45115504511000920Media Mgmnt &amp;Buy-N422511200104</v>
          </cell>
          <cell r="N494">
            <v>0</v>
          </cell>
          <cell r="O494">
            <v>0</v>
          </cell>
          <cell r="P494">
            <v>0</v>
          </cell>
          <cell r="Q494">
            <v>50000</v>
          </cell>
          <cell r="R494">
            <v>250000</v>
          </cell>
          <cell r="S494">
            <v>250000</v>
          </cell>
          <cell r="T494">
            <v>0</v>
          </cell>
          <cell r="U494">
            <v>0</v>
          </cell>
          <cell r="V494">
            <v>0</v>
          </cell>
          <cell r="W494">
            <v>72668</v>
          </cell>
          <cell r="X494">
            <v>55890</v>
          </cell>
          <cell r="Y494">
            <v>0</v>
          </cell>
          <cell r="AB494">
            <v>678558</v>
          </cell>
        </row>
        <row r="495">
          <cell r="B495" t="str">
            <v>45115504511001261SM Managnt E-E-N422511200104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9997.6200000009994</v>
          </cell>
          <cell r="AB495">
            <v>9997.6200000009994</v>
          </cell>
        </row>
        <row r="496">
          <cell r="B496" t="str">
            <v>45115504511001545PR Mgmnt E-E-N424781200104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125000</v>
          </cell>
          <cell r="S496">
            <v>125000</v>
          </cell>
          <cell r="T496">
            <v>125000</v>
          </cell>
          <cell r="U496">
            <v>125000</v>
          </cell>
          <cell r="V496">
            <v>125000</v>
          </cell>
          <cell r="W496">
            <v>125000</v>
          </cell>
          <cell r="X496">
            <v>125000</v>
          </cell>
          <cell r="Y496">
            <v>150351</v>
          </cell>
          <cell r="AB496">
            <v>1025351</v>
          </cell>
        </row>
        <row r="497">
          <cell r="B497" t="str">
            <v>45115504511001545SM Managnt E-E-N422511200104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75000</v>
          </cell>
          <cell r="S497">
            <v>75000</v>
          </cell>
          <cell r="T497">
            <v>75000</v>
          </cell>
          <cell r="U497">
            <v>75000</v>
          </cell>
          <cell r="V497">
            <v>75000</v>
          </cell>
          <cell r="W497">
            <v>75000</v>
          </cell>
          <cell r="X497">
            <v>75000</v>
          </cell>
          <cell r="Y497">
            <v>75000</v>
          </cell>
          <cell r="AB497">
            <v>600000</v>
          </cell>
        </row>
        <row r="498">
          <cell r="B498" t="str">
            <v>45115504511001545Media Mgmnt &amp;Buy-N422511200104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10000</v>
          </cell>
          <cell r="AB498">
            <v>10000</v>
          </cell>
        </row>
        <row r="499">
          <cell r="B499" t="str">
            <v>45115504511001546SM Managnt E-E-N422511200104</v>
          </cell>
          <cell r="N499">
            <v>0</v>
          </cell>
          <cell r="O499">
            <v>0</v>
          </cell>
          <cell r="P499">
            <v>0</v>
          </cell>
          <cell r="Q499">
            <v>140000</v>
          </cell>
          <cell r="R499">
            <v>35000</v>
          </cell>
          <cell r="S499">
            <v>35000</v>
          </cell>
          <cell r="T499">
            <v>35000</v>
          </cell>
          <cell r="U499">
            <v>35000</v>
          </cell>
          <cell r="V499">
            <v>35000</v>
          </cell>
          <cell r="W499">
            <v>35000</v>
          </cell>
          <cell r="X499">
            <v>35000</v>
          </cell>
          <cell r="Y499">
            <v>35000</v>
          </cell>
          <cell r="AB499">
            <v>420000</v>
          </cell>
        </row>
        <row r="500">
          <cell r="B500" t="str">
            <v>45115504511001546PR Mgmnt E-E-N424781200104</v>
          </cell>
          <cell r="N500">
            <v>0</v>
          </cell>
          <cell r="O500">
            <v>0</v>
          </cell>
          <cell r="P500">
            <v>0</v>
          </cell>
          <cell r="Q500">
            <v>50000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129868</v>
          </cell>
          <cell r="X500">
            <v>0</v>
          </cell>
          <cell r="Y500">
            <v>0</v>
          </cell>
          <cell r="AB500">
            <v>179868</v>
          </cell>
        </row>
        <row r="501">
          <cell r="B501" t="str">
            <v>45115504511001554SM Prodct&amp;Develp-N422511200104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486000</v>
          </cell>
          <cell r="X501">
            <v>0</v>
          </cell>
          <cell r="Y501">
            <v>0</v>
          </cell>
          <cell r="AB501">
            <v>348740</v>
          </cell>
        </row>
        <row r="502">
          <cell r="B502" t="str">
            <v>45115504511001555SM Prodct&amp;Develp-N422511200104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478350</v>
          </cell>
          <cell r="X502">
            <v>0</v>
          </cell>
          <cell r="Y502">
            <v>0</v>
          </cell>
          <cell r="AB502">
            <v>478350</v>
          </cell>
        </row>
        <row r="503">
          <cell r="B503" t="str">
            <v>45116004511000022Event Management-N1422401200104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231900</v>
          </cell>
          <cell r="X503">
            <v>0</v>
          </cell>
          <cell r="Y503">
            <v>0</v>
          </cell>
          <cell r="AB503">
            <v>231900</v>
          </cell>
        </row>
        <row r="504">
          <cell r="B504" t="str">
            <v>45116004511000022Other Expenses-N424991200104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180000</v>
          </cell>
          <cell r="X504">
            <v>0</v>
          </cell>
          <cell r="Y504">
            <v>0</v>
          </cell>
          <cell r="AB504">
            <v>180000</v>
          </cell>
        </row>
        <row r="505">
          <cell r="B505" t="str">
            <v>45116004511000038Mission &amp; Travel-N423821200104</v>
          </cell>
          <cell r="N505">
            <v>0</v>
          </cell>
          <cell r="O505">
            <v>0</v>
          </cell>
          <cell r="P505">
            <v>17900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282100</v>
          </cell>
          <cell r="V505">
            <v>0</v>
          </cell>
          <cell r="W505">
            <v>0</v>
          </cell>
          <cell r="X505">
            <v>400000</v>
          </cell>
          <cell r="Y505">
            <v>0</v>
          </cell>
          <cell r="AB505">
            <v>700000</v>
          </cell>
        </row>
        <row r="506">
          <cell r="B506" t="str">
            <v>45116004511000087Event Management-N422401200104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180000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AB506">
            <v>180000</v>
          </cell>
        </row>
        <row r="507">
          <cell r="B507" t="str">
            <v>45116004511000087Other Expenses-N424991200104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20000</v>
          </cell>
          <cell r="S507">
            <v>60000</v>
          </cell>
          <cell r="T507">
            <v>0</v>
          </cell>
          <cell r="U507">
            <v>0</v>
          </cell>
          <cell r="V507">
            <v>50000</v>
          </cell>
          <cell r="W507">
            <v>0</v>
          </cell>
          <cell r="X507">
            <v>50000</v>
          </cell>
          <cell r="Y507">
            <v>0</v>
          </cell>
          <cell r="AB507">
            <v>180000</v>
          </cell>
        </row>
        <row r="508">
          <cell r="B508" t="str">
            <v>45116004511000635Freelancers-N424521200104</v>
          </cell>
          <cell r="N508">
            <v>0</v>
          </cell>
          <cell r="O508">
            <v>0</v>
          </cell>
          <cell r="P508">
            <v>0</v>
          </cell>
          <cell r="Q508">
            <v>35000</v>
          </cell>
          <cell r="R508">
            <v>25000</v>
          </cell>
          <cell r="S508">
            <v>25000</v>
          </cell>
          <cell r="T508">
            <v>25000</v>
          </cell>
          <cell r="U508">
            <v>26228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AB508">
            <v>136228</v>
          </cell>
        </row>
        <row r="509">
          <cell r="B509" t="str">
            <v>45116004511000638Training &amp; Dev-N421191200104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15000</v>
          </cell>
          <cell r="S509">
            <v>30000</v>
          </cell>
          <cell r="T509">
            <v>20000</v>
          </cell>
          <cell r="U509">
            <v>20000</v>
          </cell>
          <cell r="V509">
            <v>20000</v>
          </cell>
          <cell r="W509">
            <v>13772</v>
          </cell>
          <cell r="X509">
            <v>115000</v>
          </cell>
          <cell r="Y509">
            <v>10000</v>
          </cell>
          <cell r="AB509">
            <v>440772</v>
          </cell>
        </row>
        <row r="510">
          <cell r="B510" t="str">
            <v>45116004511000640Art Materials-N1432626200104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210000</v>
          </cell>
          <cell r="S510">
            <v>215000</v>
          </cell>
          <cell r="T510">
            <v>210000</v>
          </cell>
          <cell r="U510">
            <v>215000</v>
          </cell>
          <cell r="V510">
            <v>210000</v>
          </cell>
          <cell r="W510">
            <v>215000</v>
          </cell>
          <cell r="X510">
            <v>210000</v>
          </cell>
          <cell r="Y510">
            <v>527000</v>
          </cell>
          <cell r="AB510">
            <v>2040600</v>
          </cell>
        </row>
        <row r="511">
          <cell r="B511" t="str">
            <v>45116004511000642ICH Management-N431512200104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200000</v>
          </cell>
          <cell r="U511">
            <v>0</v>
          </cell>
          <cell r="V511">
            <v>390000</v>
          </cell>
          <cell r="W511">
            <v>0</v>
          </cell>
          <cell r="X511">
            <v>0</v>
          </cell>
          <cell r="Y511">
            <v>0</v>
          </cell>
          <cell r="AB511">
            <v>590000</v>
          </cell>
        </row>
        <row r="512">
          <cell r="B512" t="str">
            <v>45116004511000643ICH Management-N431512200104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30000</v>
          </cell>
          <cell r="T512">
            <v>0</v>
          </cell>
          <cell r="U512">
            <v>0</v>
          </cell>
          <cell r="V512">
            <v>0</v>
          </cell>
          <cell r="W512">
            <v>30000</v>
          </cell>
          <cell r="X512">
            <v>30000</v>
          </cell>
          <cell r="Y512">
            <v>0</v>
          </cell>
          <cell r="AB512">
            <v>1140000</v>
          </cell>
        </row>
        <row r="513">
          <cell r="B513" t="str">
            <v>45116004511000645ICH Management-N431512200104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25000</v>
          </cell>
          <cell r="W513">
            <v>25000</v>
          </cell>
          <cell r="X513">
            <v>0</v>
          </cell>
          <cell r="Y513">
            <v>0</v>
          </cell>
          <cell r="AB513">
            <v>50000</v>
          </cell>
        </row>
        <row r="514">
          <cell r="B514" t="str">
            <v>45117004511000088Event Management-N422401200104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7234510</v>
          </cell>
          <cell r="Y514">
            <v>0</v>
          </cell>
          <cell r="AB514">
            <v>0</v>
          </cell>
        </row>
        <row r="515">
          <cell r="B515" t="str">
            <v>45117004511000088Mission &amp; Travel-N423821200104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80000</v>
          </cell>
          <cell r="Y515">
            <v>0</v>
          </cell>
          <cell r="AB515">
            <v>0</v>
          </cell>
        </row>
        <row r="516">
          <cell r="B516" t="str">
            <v>45117004511000188Activation&amp;Prog-N422401200104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200000</v>
          </cell>
          <cell r="S516">
            <v>300000</v>
          </cell>
          <cell r="T516">
            <v>145000</v>
          </cell>
          <cell r="U516">
            <v>0</v>
          </cell>
          <cell r="V516">
            <v>100000</v>
          </cell>
          <cell r="W516">
            <v>0</v>
          </cell>
          <cell r="X516">
            <v>0</v>
          </cell>
          <cell r="Y516">
            <v>0</v>
          </cell>
          <cell r="AB516">
            <v>745000</v>
          </cell>
        </row>
        <row r="517">
          <cell r="B517" t="str">
            <v>45117004511000188Talent Fees-N422511200104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70000</v>
          </cell>
          <cell r="S517">
            <v>21185</v>
          </cell>
          <cell r="T517">
            <v>200000</v>
          </cell>
          <cell r="U517">
            <v>0</v>
          </cell>
          <cell r="V517">
            <v>0</v>
          </cell>
          <cell r="W517">
            <v>100000</v>
          </cell>
          <cell r="X517">
            <v>0</v>
          </cell>
          <cell r="Y517">
            <v>0</v>
          </cell>
          <cell r="AB517">
            <v>391185</v>
          </cell>
        </row>
        <row r="518">
          <cell r="B518" t="str">
            <v>45117004511000188Mission &amp; Travel-N423821200104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145000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AB518">
            <v>145000</v>
          </cell>
        </row>
        <row r="519">
          <cell r="B519" t="str">
            <v>45117004511000240Talent Fees-N422511200104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150000</v>
          </cell>
          <cell r="S519">
            <v>150000</v>
          </cell>
          <cell r="T519">
            <v>0</v>
          </cell>
          <cell r="U519">
            <v>0</v>
          </cell>
          <cell r="V519">
            <v>100000</v>
          </cell>
          <cell r="W519">
            <v>100000</v>
          </cell>
          <cell r="X519">
            <v>485055</v>
          </cell>
          <cell r="Y519">
            <v>0</v>
          </cell>
          <cell r="AB519">
            <v>985055</v>
          </cell>
        </row>
        <row r="520">
          <cell r="B520" t="str">
            <v>45117004511000240Event Management-N422401200104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142000</v>
          </cell>
          <cell r="S520">
            <v>0</v>
          </cell>
          <cell r="T520">
            <v>0</v>
          </cell>
          <cell r="U520">
            <v>0</v>
          </cell>
          <cell r="V520">
            <v>100000</v>
          </cell>
          <cell r="W520">
            <v>0</v>
          </cell>
          <cell r="X520">
            <v>300000</v>
          </cell>
          <cell r="Y520">
            <v>0</v>
          </cell>
          <cell r="AB520">
            <v>542000</v>
          </cell>
        </row>
        <row r="521">
          <cell r="B521" t="str">
            <v>45117004511000240Hospitality-N424761200104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50000</v>
          </cell>
          <cell r="S521">
            <v>0</v>
          </cell>
          <cell r="T521">
            <v>0</v>
          </cell>
          <cell r="U521">
            <v>0</v>
          </cell>
          <cell r="V521">
            <v>34568</v>
          </cell>
          <cell r="W521">
            <v>50000</v>
          </cell>
          <cell r="X521">
            <v>250000</v>
          </cell>
          <cell r="Y521">
            <v>0</v>
          </cell>
          <cell r="AB521">
            <v>384568</v>
          </cell>
        </row>
        <row r="522">
          <cell r="B522" t="str">
            <v>45117004511000240Gen Logistics-N424671200104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72600</v>
          </cell>
          <cell r="S522">
            <v>0</v>
          </cell>
          <cell r="T522">
            <v>0</v>
          </cell>
          <cell r="U522">
            <v>0</v>
          </cell>
          <cell r="V522">
            <v>50000</v>
          </cell>
          <cell r="W522">
            <v>150000</v>
          </cell>
          <cell r="X522">
            <v>100000</v>
          </cell>
          <cell r="Y522">
            <v>0</v>
          </cell>
          <cell r="AB522">
            <v>372600</v>
          </cell>
        </row>
        <row r="523">
          <cell r="B523" t="str">
            <v>45117004511000344Admin Expenses-N421125200104</v>
          </cell>
          <cell r="N523">
            <v>0</v>
          </cell>
          <cell r="O523">
            <v>0</v>
          </cell>
          <cell r="P523">
            <v>16675.230000000003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57241.8</v>
          </cell>
          <cell r="W523">
            <v>236083</v>
          </cell>
          <cell r="X523">
            <v>250000</v>
          </cell>
          <cell r="Y523">
            <v>100000</v>
          </cell>
          <cell r="AB523">
            <v>660000.03</v>
          </cell>
        </row>
        <row r="524">
          <cell r="B524" t="str">
            <v>45117004511000344Freelancers-N424521200104</v>
          </cell>
          <cell r="N524">
            <v>0</v>
          </cell>
          <cell r="O524">
            <v>0</v>
          </cell>
          <cell r="P524">
            <v>125000</v>
          </cell>
          <cell r="Q524">
            <v>25000</v>
          </cell>
          <cell r="R524">
            <v>50000</v>
          </cell>
          <cell r="S524">
            <v>50000</v>
          </cell>
          <cell r="T524">
            <v>50000</v>
          </cell>
          <cell r="U524">
            <v>50000</v>
          </cell>
          <cell r="V524">
            <v>50000</v>
          </cell>
          <cell r="W524">
            <v>25000</v>
          </cell>
          <cell r="X524">
            <v>50000</v>
          </cell>
          <cell r="Y524">
            <v>0</v>
          </cell>
          <cell r="AB524">
            <v>475000</v>
          </cell>
        </row>
        <row r="525">
          <cell r="B525" t="str">
            <v>45117004511000344Mission &amp; Travel-N423821200104</v>
          </cell>
          <cell r="N525">
            <v>0</v>
          </cell>
          <cell r="O525">
            <v>0</v>
          </cell>
          <cell r="P525">
            <v>30000</v>
          </cell>
          <cell r="Q525">
            <v>0</v>
          </cell>
          <cell r="R525">
            <v>21245</v>
          </cell>
          <cell r="S525">
            <v>148755</v>
          </cell>
          <cell r="T525">
            <v>50000</v>
          </cell>
          <cell r="U525">
            <v>0</v>
          </cell>
          <cell r="V525">
            <v>60000</v>
          </cell>
          <cell r="W525">
            <v>50000</v>
          </cell>
          <cell r="X525">
            <v>0</v>
          </cell>
          <cell r="Y525">
            <v>0</v>
          </cell>
          <cell r="AB525">
            <v>360000</v>
          </cell>
        </row>
        <row r="526">
          <cell r="B526" t="str">
            <v>45117004511000356Talent Fees-N422511200104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100000</v>
          </cell>
          <cell r="U526">
            <v>0</v>
          </cell>
          <cell r="V526">
            <v>0</v>
          </cell>
          <cell r="W526">
            <v>0</v>
          </cell>
          <cell r="X526">
            <v>193773</v>
          </cell>
          <cell r="Y526">
            <v>0</v>
          </cell>
          <cell r="AB526">
            <v>293773</v>
          </cell>
        </row>
        <row r="527">
          <cell r="B527" t="str">
            <v>45117004511000356Activation&amp;Prog-N422401200104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76422</v>
          </cell>
          <cell r="Y527">
            <v>0</v>
          </cell>
          <cell r="AB527">
            <v>76422</v>
          </cell>
        </row>
        <row r="528">
          <cell r="B528" t="str">
            <v>45117004511000356Hospitality-N424761200104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70000</v>
          </cell>
          <cell r="Y528">
            <v>0</v>
          </cell>
          <cell r="AB528">
            <v>70000</v>
          </cell>
        </row>
        <row r="529">
          <cell r="B529" t="str">
            <v>45117004511000357Event Management-N422401200104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700000</v>
          </cell>
          <cell r="Y529">
            <v>0</v>
          </cell>
          <cell r="AB529">
            <v>700000</v>
          </cell>
        </row>
        <row r="530">
          <cell r="B530" t="str">
            <v>45117004511000357Talent Fees-N422511200104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305000</v>
          </cell>
          <cell r="Y530">
            <v>0</v>
          </cell>
          <cell r="AB530">
            <v>305000</v>
          </cell>
        </row>
        <row r="531">
          <cell r="B531" t="str">
            <v>45117004511000946Event Management-N422401200104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3633864.94</v>
          </cell>
          <cell r="U531">
            <v>0</v>
          </cell>
          <cell r="V531">
            <v>0</v>
          </cell>
          <cell r="W531">
            <v>0</v>
          </cell>
          <cell r="X531">
            <v>3049720.7</v>
          </cell>
          <cell r="Y531">
            <v>851301</v>
          </cell>
          <cell r="AB531">
            <v>7534886.6400000006</v>
          </cell>
        </row>
        <row r="532">
          <cell r="B532" t="str">
            <v>45117004511000946Hospitality-N424761200104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3683590</v>
          </cell>
          <cell r="Y532">
            <v>2910150.8</v>
          </cell>
          <cell r="AB532">
            <v>6593740.7999999998</v>
          </cell>
        </row>
        <row r="533">
          <cell r="B533" t="str">
            <v>45117004511000946Partnership Fees-N422401200104</v>
          </cell>
          <cell r="N533">
            <v>0</v>
          </cell>
          <cell r="O533">
            <v>0</v>
          </cell>
          <cell r="P533">
            <v>0</v>
          </cell>
          <cell r="Q533">
            <v>77130.899999999994</v>
          </cell>
          <cell r="R533">
            <v>82665.5</v>
          </cell>
          <cell r="S533">
            <v>82665.5</v>
          </cell>
          <cell r="T533">
            <v>77130.899999999994</v>
          </cell>
          <cell r="U533">
            <v>0</v>
          </cell>
          <cell r="V533">
            <v>400000</v>
          </cell>
          <cell r="W533">
            <v>77130.899999999994</v>
          </cell>
          <cell r="X533">
            <v>0</v>
          </cell>
          <cell r="Y533">
            <v>1138817.8</v>
          </cell>
          <cell r="AB533">
            <v>1935541.5</v>
          </cell>
        </row>
        <row r="534">
          <cell r="B534" t="str">
            <v>45117004511000946Freelancers-N424521200104</v>
          </cell>
          <cell r="N534">
            <v>0</v>
          </cell>
          <cell r="O534">
            <v>0</v>
          </cell>
          <cell r="P534">
            <v>80000</v>
          </cell>
          <cell r="Q534">
            <v>0</v>
          </cell>
          <cell r="R534">
            <v>112000</v>
          </cell>
          <cell r="S534">
            <v>192000</v>
          </cell>
          <cell r="T534">
            <v>192000</v>
          </cell>
          <cell r="U534">
            <v>192000</v>
          </cell>
          <cell r="V534">
            <v>177000</v>
          </cell>
          <cell r="W534">
            <v>434000</v>
          </cell>
          <cell r="X534">
            <v>136000</v>
          </cell>
          <cell r="Y534">
            <v>256000</v>
          </cell>
          <cell r="AB534">
            <v>1771000</v>
          </cell>
        </row>
        <row r="535">
          <cell r="B535" t="str">
            <v>45117004511001180Art Acquisition-NC1491811300105</v>
          </cell>
          <cell r="N535">
            <v>0</v>
          </cell>
          <cell r="O535">
            <v>0</v>
          </cell>
          <cell r="P535">
            <v>0</v>
          </cell>
          <cell r="Q535">
            <v>1769850</v>
          </cell>
          <cell r="R535">
            <v>0</v>
          </cell>
          <cell r="S535">
            <v>1322100.1499999999</v>
          </cell>
          <cell r="T535">
            <v>0</v>
          </cell>
          <cell r="U535">
            <v>0</v>
          </cell>
          <cell r="V535">
            <v>0</v>
          </cell>
          <cell r="W535">
            <v>5508750</v>
          </cell>
          <cell r="X535">
            <v>1218975</v>
          </cell>
          <cell r="Y535">
            <v>0</v>
          </cell>
          <cell r="AB535">
            <v>9819675.1500000004</v>
          </cell>
        </row>
        <row r="536">
          <cell r="B536" t="str">
            <v>45117004511001180Art Commission-NC1491811300105</v>
          </cell>
          <cell r="N536">
            <v>0</v>
          </cell>
          <cell r="O536">
            <v>0</v>
          </cell>
          <cell r="P536">
            <v>0</v>
          </cell>
          <cell r="Q536">
            <v>1064555</v>
          </cell>
          <cell r="R536">
            <v>1064555</v>
          </cell>
          <cell r="S536">
            <v>1064555</v>
          </cell>
          <cell r="T536">
            <v>1064555</v>
          </cell>
          <cell r="U536">
            <v>1064555</v>
          </cell>
          <cell r="V536">
            <v>1064555</v>
          </cell>
          <cell r="W536">
            <v>1064555</v>
          </cell>
          <cell r="X536">
            <v>1064555</v>
          </cell>
          <cell r="Y536">
            <v>1064560</v>
          </cell>
          <cell r="AB536">
            <v>9581000</v>
          </cell>
        </row>
        <row r="537">
          <cell r="B537" t="str">
            <v>45117004511001180Plant &amp; Tools-NC1491351300105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155347</v>
          </cell>
          <cell r="S537">
            <v>1278401</v>
          </cell>
          <cell r="T537">
            <v>0</v>
          </cell>
          <cell r="U537">
            <v>0</v>
          </cell>
          <cell r="V537">
            <v>6165577</v>
          </cell>
          <cell r="W537">
            <v>0</v>
          </cell>
          <cell r="X537">
            <v>500000</v>
          </cell>
          <cell r="Y537">
            <v>0</v>
          </cell>
          <cell r="AB537">
            <v>8099325</v>
          </cell>
        </row>
        <row r="538">
          <cell r="B538" t="str">
            <v>45117004511001180Event Management-N1422401200104</v>
          </cell>
          <cell r="N538">
            <v>0</v>
          </cell>
          <cell r="O538">
            <v>3678000</v>
          </cell>
          <cell r="P538">
            <v>100372.36000000034</v>
          </cell>
          <cell r="Q538">
            <v>0</v>
          </cell>
          <cell r="R538">
            <v>42272401.159999996</v>
          </cell>
          <cell r="S538">
            <v>6046381.54</v>
          </cell>
          <cell r="T538">
            <v>0</v>
          </cell>
          <cell r="U538">
            <v>6718198.5999999996</v>
          </cell>
          <cell r="V538">
            <v>0</v>
          </cell>
          <cell r="W538">
            <v>10500000</v>
          </cell>
          <cell r="X538">
            <v>0</v>
          </cell>
          <cell r="Y538">
            <v>0</v>
          </cell>
          <cell r="AB538">
            <v>69260353</v>
          </cell>
        </row>
        <row r="539">
          <cell r="B539" t="str">
            <v>45117004511001180Strategy Advice-N1421123200104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2242498.1800000002</v>
          </cell>
          <cell r="S539">
            <v>9750000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9550000</v>
          </cell>
          <cell r="Y539">
            <v>0</v>
          </cell>
          <cell r="AB539">
            <v>21542498.18</v>
          </cell>
        </row>
        <row r="540">
          <cell r="B540" t="str">
            <v>45117004511001180Freelancers-N1424521200104</v>
          </cell>
          <cell r="N540">
            <v>0</v>
          </cell>
          <cell r="O540">
            <v>0</v>
          </cell>
          <cell r="P540">
            <v>873274.64</v>
          </cell>
          <cell r="R540">
            <v>207441</v>
          </cell>
          <cell r="S540">
            <v>270179</v>
          </cell>
          <cell r="T540">
            <v>270179</v>
          </cell>
          <cell r="U540">
            <v>270179</v>
          </cell>
          <cell r="V540">
            <v>270179</v>
          </cell>
          <cell r="W540">
            <v>270179</v>
          </cell>
          <cell r="X540">
            <v>270179</v>
          </cell>
          <cell r="Y540">
            <v>340358</v>
          </cell>
          <cell r="AB540">
            <v>3308147.64</v>
          </cell>
        </row>
        <row r="541">
          <cell r="B541" t="str">
            <v>45117004511001180Hospitality-N1424761200104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450000</v>
          </cell>
          <cell r="U541">
            <v>0</v>
          </cell>
          <cell r="V541">
            <v>0</v>
          </cell>
          <cell r="W541">
            <v>450000</v>
          </cell>
          <cell r="X541">
            <v>0</v>
          </cell>
          <cell r="Y541">
            <v>0</v>
          </cell>
          <cell r="AB541">
            <v>900000</v>
          </cell>
        </row>
        <row r="542">
          <cell r="B542" t="str">
            <v>45117004511001180FeasibilityStudy-N1424521200104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150000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150000</v>
          </cell>
          <cell r="Y542">
            <v>0</v>
          </cell>
          <cell r="AB542">
            <v>300000</v>
          </cell>
        </row>
        <row r="543">
          <cell r="B543" t="str">
            <v>45117504511000020Event Management-N3422401200104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2000000</v>
          </cell>
          <cell r="X543">
            <v>1918468</v>
          </cell>
          <cell r="Y543">
            <v>0</v>
          </cell>
          <cell r="AB543">
            <v>3918468</v>
          </cell>
        </row>
        <row r="544">
          <cell r="B544" t="str">
            <v>45117504511000285Event Management-N2422401200104</v>
          </cell>
          <cell r="N544">
            <v>0</v>
          </cell>
          <cell r="O544">
            <v>0</v>
          </cell>
          <cell r="P544">
            <v>0</v>
          </cell>
          <cell r="Q544">
            <v>1485000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1485000</v>
          </cell>
          <cell r="X544">
            <v>0</v>
          </cell>
          <cell r="Y544">
            <v>0</v>
          </cell>
          <cell r="AB544">
            <v>2970000</v>
          </cell>
        </row>
        <row r="545">
          <cell r="B545" t="str">
            <v>45117504511000340Event Management-N422401200104</v>
          </cell>
          <cell r="N545">
            <v>0</v>
          </cell>
          <cell r="O545">
            <v>0</v>
          </cell>
          <cell r="P545">
            <v>7690.06</v>
          </cell>
          <cell r="Q545">
            <v>0</v>
          </cell>
          <cell r="R545">
            <v>1392309.94</v>
          </cell>
          <cell r="S545">
            <v>0</v>
          </cell>
          <cell r="T545">
            <v>0</v>
          </cell>
          <cell r="U545">
            <v>517000</v>
          </cell>
          <cell r="V545">
            <v>1900000</v>
          </cell>
          <cell r="W545">
            <v>1467000</v>
          </cell>
          <cell r="X545">
            <v>2000000</v>
          </cell>
          <cell r="Y545">
            <v>0</v>
          </cell>
          <cell r="AB545">
            <v>3284000</v>
          </cell>
        </row>
        <row r="546">
          <cell r="B546" t="str">
            <v>45117504511000340Freelancers-N424521200104</v>
          </cell>
          <cell r="N546">
            <v>0</v>
          </cell>
          <cell r="O546">
            <v>0</v>
          </cell>
          <cell r="P546">
            <v>111000</v>
          </cell>
          <cell r="Q546">
            <v>0</v>
          </cell>
          <cell r="R546">
            <v>33000</v>
          </cell>
          <cell r="S546">
            <v>72000</v>
          </cell>
          <cell r="T546">
            <v>72000</v>
          </cell>
          <cell r="U546">
            <v>37000</v>
          </cell>
          <cell r="V546">
            <v>66000</v>
          </cell>
          <cell r="W546">
            <v>0</v>
          </cell>
          <cell r="X546">
            <v>0</v>
          </cell>
          <cell r="Y546">
            <v>0</v>
          </cell>
          <cell r="AB546">
            <v>391000</v>
          </cell>
        </row>
        <row r="547">
          <cell r="B547" t="str">
            <v>45117504511000408Event Management-N422401200104</v>
          </cell>
          <cell r="N547">
            <v>0</v>
          </cell>
          <cell r="O547">
            <v>0</v>
          </cell>
          <cell r="P547">
            <v>0</v>
          </cell>
          <cell r="Q547">
            <v>2188591</v>
          </cell>
          <cell r="R547">
            <v>1298118</v>
          </cell>
          <cell r="S547">
            <v>865412</v>
          </cell>
          <cell r="T547">
            <v>3246537</v>
          </cell>
          <cell r="U547">
            <v>0</v>
          </cell>
          <cell r="V547">
            <v>6899538</v>
          </cell>
          <cell r="W547">
            <v>3350000</v>
          </cell>
          <cell r="X547">
            <v>3346864</v>
          </cell>
          <cell r="Y547">
            <v>0</v>
          </cell>
          <cell r="AB547">
            <v>0</v>
          </cell>
        </row>
        <row r="548">
          <cell r="B548" t="str">
            <v>45117504511000423Event Management-N422401200104</v>
          </cell>
          <cell r="N548">
            <v>0</v>
          </cell>
          <cell r="O548">
            <v>0</v>
          </cell>
          <cell r="P548">
            <v>0</v>
          </cell>
          <cell r="Q548">
            <v>14845516.699999999</v>
          </cell>
          <cell r="R548">
            <v>8907310.0199999996</v>
          </cell>
          <cell r="S548">
            <v>5938206.6799999997</v>
          </cell>
          <cell r="T548">
            <v>3308967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AB548">
            <v>27214475</v>
          </cell>
        </row>
        <row r="549">
          <cell r="B549" t="str">
            <v>45117504511000593Event Management-N422401200104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3055996</v>
          </cell>
          <cell r="T549">
            <v>0</v>
          </cell>
          <cell r="U549">
            <v>5357000</v>
          </cell>
          <cell r="V549">
            <v>10000000</v>
          </cell>
          <cell r="W549">
            <v>6090591</v>
          </cell>
          <cell r="X549">
            <v>0</v>
          </cell>
          <cell r="Y549">
            <v>0</v>
          </cell>
          <cell r="AB549">
            <v>20003587</v>
          </cell>
        </row>
        <row r="550">
          <cell r="B550" t="str">
            <v>45117504511000944Mission &amp; Travel-N423821200104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250000</v>
          </cell>
          <cell r="Y550">
            <v>250000</v>
          </cell>
          <cell r="AB550">
            <v>500000</v>
          </cell>
        </row>
        <row r="551">
          <cell r="B551" t="str">
            <v>45118004511000119Admin Expenses-N421125200104</v>
          </cell>
          <cell r="N551">
            <v>0</v>
          </cell>
          <cell r="O551">
            <v>0</v>
          </cell>
          <cell r="P551">
            <v>0</v>
          </cell>
          <cell r="Q551">
            <v>25000</v>
          </cell>
          <cell r="R551">
            <v>0</v>
          </cell>
          <cell r="S551">
            <v>120000</v>
          </cell>
          <cell r="T551">
            <v>0</v>
          </cell>
          <cell r="U551">
            <v>25000</v>
          </cell>
          <cell r="V551">
            <v>106215</v>
          </cell>
          <cell r="W551">
            <v>36900</v>
          </cell>
          <cell r="X551">
            <v>0</v>
          </cell>
          <cell r="Y551">
            <v>100000</v>
          </cell>
          <cell r="AB551">
            <v>413115</v>
          </cell>
        </row>
        <row r="552">
          <cell r="B552" t="str">
            <v>45118004511000501Freelancers-N424521200104</v>
          </cell>
          <cell r="N552">
            <v>0</v>
          </cell>
          <cell r="O552">
            <v>244500</v>
          </cell>
          <cell r="P552">
            <v>347500</v>
          </cell>
          <cell r="R552">
            <v>0</v>
          </cell>
          <cell r="S552">
            <v>0</v>
          </cell>
          <cell r="T552">
            <v>248000</v>
          </cell>
          <cell r="U552">
            <v>280000</v>
          </cell>
          <cell r="V552">
            <v>280000</v>
          </cell>
          <cell r="W552">
            <v>840000</v>
          </cell>
          <cell r="X552">
            <v>560000</v>
          </cell>
          <cell r="Y552">
            <v>560000</v>
          </cell>
          <cell r="AB552">
            <v>2560000</v>
          </cell>
        </row>
        <row r="553">
          <cell r="B553" t="str">
            <v>45118004511000501Event Management-N422401200104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900000</v>
          </cell>
          <cell r="X553">
            <v>0</v>
          </cell>
          <cell r="Y553">
            <v>600000</v>
          </cell>
          <cell r="AB553">
            <v>1500000</v>
          </cell>
        </row>
        <row r="554">
          <cell r="B554" t="str">
            <v>45118004511000501Mission &amp; Travel-N423821200104</v>
          </cell>
          <cell r="N554">
            <v>0</v>
          </cell>
          <cell r="O554">
            <v>0</v>
          </cell>
          <cell r="P554">
            <v>6400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843600</v>
          </cell>
          <cell r="AB554">
            <v>850000</v>
          </cell>
        </row>
        <row r="555">
          <cell r="B555" t="str">
            <v>45118004511000501Art Materials-N432626200104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50000</v>
          </cell>
          <cell r="V555">
            <v>50000</v>
          </cell>
          <cell r="W555">
            <v>0</v>
          </cell>
          <cell r="X555">
            <v>50000</v>
          </cell>
          <cell r="Y555">
            <v>0</v>
          </cell>
          <cell r="AB555">
            <v>150000</v>
          </cell>
        </row>
        <row r="556">
          <cell r="B556" t="str">
            <v>45118004511000501Hospitality-N424761200104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30000</v>
          </cell>
          <cell r="U556">
            <v>0</v>
          </cell>
          <cell r="V556">
            <v>0</v>
          </cell>
          <cell r="W556">
            <v>30000</v>
          </cell>
          <cell r="X556">
            <v>0</v>
          </cell>
          <cell r="Y556">
            <v>0</v>
          </cell>
          <cell r="AB556">
            <v>60000</v>
          </cell>
        </row>
        <row r="557">
          <cell r="B557" t="str">
            <v>45118004511000907Freelancers-N424521200104</v>
          </cell>
          <cell r="N557">
            <v>0</v>
          </cell>
          <cell r="O557">
            <v>0</v>
          </cell>
          <cell r="P557">
            <v>0</v>
          </cell>
          <cell r="Q557">
            <v>71000</v>
          </cell>
          <cell r="R557">
            <v>71000</v>
          </cell>
          <cell r="S557">
            <v>177000</v>
          </cell>
          <cell r="T557">
            <v>71000</v>
          </cell>
          <cell r="U557">
            <v>71000</v>
          </cell>
          <cell r="V557">
            <v>71000</v>
          </cell>
          <cell r="W557">
            <v>71000</v>
          </cell>
          <cell r="X557">
            <v>71000</v>
          </cell>
          <cell r="Y557">
            <v>106000</v>
          </cell>
          <cell r="AB557">
            <v>780000</v>
          </cell>
        </row>
        <row r="558">
          <cell r="B558" t="str">
            <v>45118004511000909Freelancers-N424521200104</v>
          </cell>
          <cell r="N558">
            <v>0</v>
          </cell>
          <cell r="O558">
            <v>0</v>
          </cell>
          <cell r="P558">
            <v>156000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1344000</v>
          </cell>
          <cell r="Y558">
            <v>0</v>
          </cell>
          <cell r="AB558">
            <v>1300000</v>
          </cell>
        </row>
        <row r="559">
          <cell r="B559" t="str">
            <v>45118004511000909Art Materials-N432626200104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500000</v>
          </cell>
          <cell r="Y559">
            <v>0</v>
          </cell>
          <cell r="AB559">
            <v>350000</v>
          </cell>
        </row>
        <row r="560">
          <cell r="B560" t="str">
            <v>45118004511000909Event Management-N422401200104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330000</v>
          </cell>
          <cell r="W560">
            <v>0</v>
          </cell>
          <cell r="X560">
            <v>0</v>
          </cell>
          <cell r="Y560">
            <v>30000</v>
          </cell>
          <cell r="AB560">
            <v>360000</v>
          </cell>
        </row>
        <row r="561">
          <cell r="B561" t="str">
            <v>45118004511000910Freelancers-N424521200104</v>
          </cell>
          <cell r="N561">
            <v>0</v>
          </cell>
          <cell r="O561">
            <v>0</v>
          </cell>
          <cell r="P561">
            <v>51500</v>
          </cell>
          <cell r="Q561">
            <v>0</v>
          </cell>
          <cell r="R561">
            <v>35500</v>
          </cell>
          <cell r="S561">
            <v>23000</v>
          </cell>
          <cell r="T561">
            <v>43000</v>
          </cell>
          <cell r="U561">
            <v>45000</v>
          </cell>
          <cell r="V561">
            <v>25000</v>
          </cell>
          <cell r="W561">
            <v>31000</v>
          </cell>
          <cell r="X561">
            <v>172500</v>
          </cell>
          <cell r="Y561">
            <v>65000</v>
          </cell>
          <cell r="AB561">
            <v>491500</v>
          </cell>
        </row>
        <row r="562">
          <cell r="B562" t="str">
            <v>45118004511000910Activation&amp;Prog-N422401200104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34000</v>
          </cell>
          <cell r="S562">
            <v>90000</v>
          </cell>
          <cell r="T562">
            <v>25000</v>
          </cell>
          <cell r="U562">
            <v>90000</v>
          </cell>
          <cell r="V562">
            <v>39000</v>
          </cell>
          <cell r="W562">
            <v>90000</v>
          </cell>
          <cell r="X562">
            <v>40000</v>
          </cell>
          <cell r="Y562">
            <v>40000</v>
          </cell>
          <cell r="AB562">
            <v>448000</v>
          </cell>
        </row>
        <row r="563">
          <cell r="B563" t="str">
            <v>45118004511000910Mission &amp; Travel-N423821200104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6000</v>
          </cell>
          <cell r="S563">
            <v>6000</v>
          </cell>
          <cell r="T563">
            <v>0</v>
          </cell>
          <cell r="U563">
            <v>12000</v>
          </cell>
          <cell r="V563">
            <v>6000</v>
          </cell>
          <cell r="W563">
            <v>0</v>
          </cell>
          <cell r="X563">
            <v>25000</v>
          </cell>
          <cell r="Y563">
            <v>20000</v>
          </cell>
          <cell r="AB563">
            <v>75000</v>
          </cell>
        </row>
        <row r="564">
          <cell r="B564" t="str">
            <v>45118004511000910Media Mgmnt &amp;Buy-N422511200104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20000</v>
          </cell>
          <cell r="X564">
            <v>20000</v>
          </cell>
          <cell r="Y564">
            <v>25000</v>
          </cell>
          <cell r="AB564">
            <v>65000</v>
          </cell>
        </row>
        <row r="565">
          <cell r="B565" t="str">
            <v>45118004511000910Event Management-N422401200104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10000</v>
          </cell>
          <cell r="T565">
            <v>0</v>
          </cell>
          <cell r="U565">
            <v>0</v>
          </cell>
          <cell r="V565">
            <v>0</v>
          </cell>
          <cell r="W565">
            <v>11000</v>
          </cell>
          <cell r="X565">
            <v>16000</v>
          </cell>
          <cell r="Y565">
            <v>11000</v>
          </cell>
          <cell r="AB565">
            <v>48000</v>
          </cell>
        </row>
        <row r="566">
          <cell r="B566" t="str">
            <v>45118004511000910Art Materials-N432626200104</v>
          </cell>
          <cell r="N566">
            <v>0</v>
          </cell>
          <cell r="O566">
            <v>0</v>
          </cell>
          <cell r="P566">
            <v>0</v>
          </cell>
          <cell r="Q566">
            <v>10000</v>
          </cell>
          <cell r="R566">
            <v>4500</v>
          </cell>
          <cell r="S566">
            <v>0</v>
          </cell>
          <cell r="T566">
            <v>0</v>
          </cell>
          <cell r="U566">
            <v>4500</v>
          </cell>
          <cell r="V566">
            <v>0</v>
          </cell>
          <cell r="W566">
            <v>0</v>
          </cell>
          <cell r="X566">
            <v>5000</v>
          </cell>
          <cell r="Y566">
            <v>0</v>
          </cell>
          <cell r="AB566">
            <v>0</v>
          </cell>
        </row>
        <row r="567">
          <cell r="B567" t="str">
            <v>45118004511000910Translation-N424701200104</v>
          </cell>
          <cell r="N567">
            <v>0</v>
          </cell>
          <cell r="O567">
            <v>0</v>
          </cell>
          <cell r="P567">
            <v>0</v>
          </cell>
          <cell r="Q567">
            <v>600</v>
          </cell>
          <cell r="R567">
            <v>0</v>
          </cell>
          <cell r="S567">
            <v>600</v>
          </cell>
          <cell r="T567">
            <v>0</v>
          </cell>
          <cell r="U567">
            <v>600</v>
          </cell>
          <cell r="V567">
            <v>0</v>
          </cell>
          <cell r="W567">
            <v>2000</v>
          </cell>
          <cell r="X567">
            <v>600</v>
          </cell>
          <cell r="Y567">
            <v>600</v>
          </cell>
          <cell r="AB567">
            <v>5000</v>
          </cell>
        </row>
        <row r="568">
          <cell r="B568" t="str">
            <v>45118004511001214Strategy Advice-N421123200104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72000</v>
          </cell>
          <cell r="S568">
            <v>72000</v>
          </cell>
          <cell r="T568">
            <v>72000</v>
          </cell>
          <cell r="U568">
            <v>72000</v>
          </cell>
          <cell r="V568">
            <v>72000</v>
          </cell>
          <cell r="W568">
            <v>72000</v>
          </cell>
          <cell r="X568">
            <v>72000</v>
          </cell>
          <cell r="Y568">
            <v>216000</v>
          </cell>
          <cell r="AB568">
            <v>53800</v>
          </cell>
        </row>
        <row r="569">
          <cell r="B569" t="str">
            <v>45118004511001214Printed Material-N424790200104</v>
          </cell>
          <cell r="N569">
            <v>0</v>
          </cell>
          <cell r="O569">
            <v>0</v>
          </cell>
          <cell r="P569">
            <v>1225</v>
          </cell>
          <cell r="Q569">
            <v>10675</v>
          </cell>
          <cell r="R569">
            <v>210300</v>
          </cell>
          <cell r="S569">
            <v>23800</v>
          </cell>
          <cell r="T569">
            <v>11900</v>
          </cell>
          <cell r="U569">
            <v>74700</v>
          </cell>
          <cell r="V569">
            <v>21000</v>
          </cell>
          <cell r="W569">
            <v>30900</v>
          </cell>
          <cell r="X569">
            <v>36200</v>
          </cell>
          <cell r="Y569">
            <v>49400</v>
          </cell>
          <cell r="AB569">
            <v>470100</v>
          </cell>
        </row>
        <row r="570">
          <cell r="B570" t="str">
            <v>45118004511001496Strategy Advice-N421123200104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250000</v>
          </cell>
          <cell r="T570">
            <v>0</v>
          </cell>
          <cell r="U570">
            <v>250000</v>
          </cell>
          <cell r="V570">
            <v>0</v>
          </cell>
          <cell r="W570">
            <v>250000</v>
          </cell>
          <cell r="X570">
            <v>0</v>
          </cell>
          <cell r="Y570">
            <v>250000</v>
          </cell>
          <cell r="AB570">
            <v>2840200</v>
          </cell>
        </row>
        <row r="571">
          <cell r="B571" t="str">
            <v>45118004511001496Freelancers-N424521200104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35000</v>
          </cell>
          <cell r="S571">
            <v>35000</v>
          </cell>
          <cell r="T571">
            <v>35000</v>
          </cell>
          <cell r="U571">
            <v>35000</v>
          </cell>
          <cell r="V571">
            <v>35000</v>
          </cell>
          <cell r="W571">
            <v>35000</v>
          </cell>
          <cell r="X571">
            <v>140000</v>
          </cell>
          <cell r="Y571">
            <v>70000</v>
          </cell>
          <cell r="AB571">
            <v>420000</v>
          </cell>
        </row>
        <row r="572">
          <cell r="B572" t="str">
            <v>45161004511000488Event Management-N422401200104</v>
          </cell>
          <cell r="N572">
            <v>0</v>
          </cell>
          <cell r="O572">
            <v>0</v>
          </cell>
          <cell r="P572">
            <v>143700</v>
          </cell>
          <cell r="Q572">
            <v>0</v>
          </cell>
          <cell r="R572">
            <v>0</v>
          </cell>
          <cell r="S572">
            <v>686550</v>
          </cell>
          <cell r="T572">
            <v>550000</v>
          </cell>
          <cell r="U572">
            <v>124000</v>
          </cell>
          <cell r="V572">
            <v>25080</v>
          </cell>
          <cell r="W572">
            <v>600000</v>
          </cell>
          <cell r="X572">
            <v>283931</v>
          </cell>
          <cell r="Y572">
            <v>323421</v>
          </cell>
          <cell r="AB572">
            <v>2736682</v>
          </cell>
        </row>
        <row r="573">
          <cell r="B573" t="str">
            <v>45161004511000488Mission &amp; Travel-N423821200104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112750</v>
          </cell>
          <cell r="T573">
            <v>0</v>
          </cell>
          <cell r="U573">
            <v>112750</v>
          </cell>
          <cell r="V573">
            <v>0</v>
          </cell>
          <cell r="W573">
            <v>112750</v>
          </cell>
          <cell r="X573">
            <v>113250</v>
          </cell>
          <cell r="Y573">
            <v>0</v>
          </cell>
          <cell r="AB573">
            <v>451500</v>
          </cell>
        </row>
        <row r="574">
          <cell r="B574" t="str">
            <v>45161004511000488Admin Expenses-N421125200104</v>
          </cell>
          <cell r="N574">
            <v>0</v>
          </cell>
          <cell r="O574">
            <v>0</v>
          </cell>
          <cell r="P574">
            <v>38543.130000000005</v>
          </cell>
          <cell r="Q574">
            <v>1274.08</v>
          </cell>
          <cell r="R574">
            <v>17542</v>
          </cell>
          <cell r="S574">
            <v>3921</v>
          </cell>
          <cell r="T574">
            <v>28480</v>
          </cell>
          <cell r="U574">
            <v>49457</v>
          </cell>
          <cell r="V574">
            <v>100315</v>
          </cell>
          <cell r="W574">
            <v>25117</v>
          </cell>
          <cell r="X574">
            <v>54712</v>
          </cell>
          <cell r="Y574">
            <v>4639</v>
          </cell>
          <cell r="AB574">
            <v>324000.21000000002</v>
          </cell>
        </row>
        <row r="575">
          <cell r="B575" t="str">
            <v>45161004511000488Freelancers-N424521200104</v>
          </cell>
          <cell r="N575">
            <v>0</v>
          </cell>
          <cell r="O575">
            <v>0</v>
          </cell>
          <cell r="P575">
            <v>45867</v>
          </cell>
          <cell r="Q575">
            <v>0</v>
          </cell>
          <cell r="R575">
            <v>0</v>
          </cell>
          <cell r="S575">
            <v>39133</v>
          </cell>
          <cell r="T575">
            <v>12500</v>
          </cell>
          <cell r="U575">
            <v>13500</v>
          </cell>
          <cell r="V575">
            <v>0</v>
          </cell>
          <cell r="W575">
            <v>54784</v>
          </cell>
          <cell r="X575">
            <v>50000</v>
          </cell>
          <cell r="Y575">
            <v>0</v>
          </cell>
          <cell r="AB575">
            <v>215784</v>
          </cell>
        </row>
        <row r="576">
          <cell r="B576" t="str">
            <v>45161004511000490Print Runs-N424791200104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47762</v>
          </cell>
          <cell r="T576">
            <v>0</v>
          </cell>
          <cell r="U576">
            <v>0</v>
          </cell>
          <cell r="V576">
            <v>139150</v>
          </cell>
          <cell r="W576">
            <v>47618</v>
          </cell>
          <cell r="X576">
            <v>71470</v>
          </cell>
          <cell r="Y576">
            <v>0</v>
          </cell>
          <cell r="AB576">
            <v>306000</v>
          </cell>
        </row>
        <row r="577">
          <cell r="B577" t="str">
            <v>45161004511000490Awards &amp; Prizes-N424231200104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103026</v>
          </cell>
          <cell r="T577">
            <v>6900</v>
          </cell>
          <cell r="U577">
            <v>16000</v>
          </cell>
          <cell r="V577">
            <v>24500</v>
          </cell>
          <cell r="W577">
            <v>0</v>
          </cell>
          <cell r="X577">
            <v>2574</v>
          </cell>
          <cell r="Y577">
            <v>0</v>
          </cell>
          <cell r="AB577">
            <v>153000</v>
          </cell>
        </row>
        <row r="578">
          <cell r="B578" t="str">
            <v>45161004511000491Event Management-N422401200104</v>
          </cell>
          <cell r="N578">
            <v>0</v>
          </cell>
          <cell r="O578">
            <v>0</v>
          </cell>
          <cell r="P578">
            <v>0</v>
          </cell>
          <cell r="Q578">
            <v>50942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222540</v>
          </cell>
          <cell r="Y578">
            <v>22438</v>
          </cell>
          <cell r="AB578">
            <v>295920</v>
          </cell>
        </row>
        <row r="579">
          <cell r="B579" t="str">
            <v>45161004511000492Manuscripts-N431512200104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716231.25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716231.25</v>
          </cell>
          <cell r="X579">
            <v>716231.02</v>
          </cell>
          <cell r="Y579">
            <v>716231</v>
          </cell>
          <cell r="AB579">
            <v>2864924.52</v>
          </cell>
        </row>
        <row r="580">
          <cell r="B580" t="str">
            <v>45161004511000492Freelancers-N424521200104</v>
          </cell>
          <cell r="N580">
            <v>0</v>
          </cell>
          <cell r="O580">
            <v>0</v>
          </cell>
          <cell r="P580">
            <v>60000</v>
          </cell>
          <cell r="Q580">
            <v>0</v>
          </cell>
          <cell r="R580">
            <v>46859.7</v>
          </cell>
          <cell r="S580">
            <v>74859.7</v>
          </cell>
          <cell r="T580">
            <v>74859.7</v>
          </cell>
          <cell r="U580">
            <v>74859.7</v>
          </cell>
          <cell r="V580">
            <v>74859.7</v>
          </cell>
          <cell r="W580">
            <v>250579</v>
          </cell>
          <cell r="X580">
            <v>74859.7</v>
          </cell>
          <cell r="Y580">
            <v>74859.7</v>
          </cell>
          <cell r="AB580">
            <v>806596.89999999991</v>
          </cell>
        </row>
        <row r="581">
          <cell r="B581" t="str">
            <v>45161004511000492Gen Logistics-N424671200104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8490</v>
          </cell>
          <cell r="S581">
            <v>0</v>
          </cell>
          <cell r="T581">
            <v>0</v>
          </cell>
          <cell r="U581">
            <v>0</v>
          </cell>
          <cell r="V581">
            <v>49510</v>
          </cell>
          <cell r="W581">
            <v>401900</v>
          </cell>
          <cell r="X581">
            <v>0</v>
          </cell>
          <cell r="Y581">
            <v>0</v>
          </cell>
          <cell r="AB581">
            <v>459900</v>
          </cell>
        </row>
        <row r="582">
          <cell r="B582" t="str">
            <v>45161004511000494Freelancers-N424521200104</v>
          </cell>
          <cell r="N582">
            <v>0</v>
          </cell>
          <cell r="O582">
            <v>0</v>
          </cell>
          <cell r="P582">
            <v>136449.99</v>
          </cell>
          <cell r="Q582">
            <v>68694.010000000009</v>
          </cell>
          <cell r="R582">
            <v>102572</v>
          </cell>
          <cell r="S582">
            <v>102572</v>
          </cell>
          <cell r="T582">
            <v>102572</v>
          </cell>
          <cell r="U582">
            <v>102572</v>
          </cell>
          <cell r="V582">
            <v>102572</v>
          </cell>
          <cell r="W582">
            <v>102572</v>
          </cell>
          <cell r="X582">
            <v>102572</v>
          </cell>
          <cell r="Y582">
            <v>307716</v>
          </cell>
          <cell r="AB582">
            <v>1230864</v>
          </cell>
        </row>
        <row r="583">
          <cell r="B583" t="str">
            <v>45161004511000494SM Prodct&amp;Develp-N422511200104</v>
          </cell>
          <cell r="N583">
            <v>0</v>
          </cell>
          <cell r="O583">
            <v>0</v>
          </cell>
          <cell r="P583">
            <v>71805.600000000006</v>
          </cell>
          <cell r="Q583">
            <v>111527.73000000001</v>
          </cell>
          <cell r="R583">
            <v>45833.33</v>
          </cell>
          <cell r="S583">
            <v>45833.33</v>
          </cell>
          <cell r="T583">
            <v>45833.33</v>
          </cell>
          <cell r="U583">
            <v>45833.33</v>
          </cell>
          <cell r="V583">
            <v>45833.33</v>
          </cell>
          <cell r="W583">
            <v>45833.33</v>
          </cell>
          <cell r="X583">
            <v>45833.33</v>
          </cell>
          <cell r="Y583">
            <v>45833.33</v>
          </cell>
          <cell r="AB583">
            <v>549999.97000000009</v>
          </cell>
        </row>
        <row r="584">
          <cell r="B584" t="str">
            <v>45161004511000494Gen Logistics-N424671200104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22305</v>
          </cell>
          <cell r="U584">
            <v>0</v>
          </cell>
          <cell r="V584">
            <v>0</v>
          </cell>
          <cell r="W584">
            <v>27100</v>
          </cell>
          <cell r="X584">
            <v>0</v>
          </cell>
          <cell r="Y584">
            <v>0</v>
          </cell>
          <cell r="AB584">
            <v>49405</v>
          </cell>
        </row>
        <row r="585">
          <cell r="B585" t="str">
            <v>45161004511000499Licenses Fees-N424131200104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848841</v>
          </cell>
          <cell r="T585">
            <v>125920</v>
          </cell>
          <cell r="U585">
            <v>301570</v>
          </cell>
          <cell r="V585">
            <v>594940</v>
          </cell>
          <cell r="W585">
            <v>153729</v>
          </cell>
          <cell r="X585">
            <v>0</v>
          </cell>
          <cell r="Y585">
            <v>0</v>
          </cell>
          <cell r="AB585">
            <v>2071750</v>
          </cell>
        </row>
        <row r="586">
          <cell r="B586" t="str">
            <v>45161004511000499Book Acquisition-N431113200104</v>
          </cell>
          <cell r="N586">
            <v>0</v>
          </cell>
          <cell r="O586">
            <v>0</v>
          </cell>
          <cell r="P586">
            <v>0</v>
          </cell>
          <cell r="Q586">
            <v>8000</v>
          </cell>
          <cell r="R586">
            <v>79618</v>
          </cell>
          <cell r="S586">
            <v>64838</v>
          </cell>
          <cell r="T586">
            <v>27587</v>
          </cell>
          <cell r="U586">
            <v>179772</v>
          </cell>
          <cell r="V586">
            <v>313374</v>
          </cell>
          <cell r="W586">
            <v>19048</v>
          </cell>
          <cell r="X586">
            <v>207763</v>
          </cell>
          <cell r="Y586">
            <v>0</v>
          </cell>
          <cell r="AB586">
            <v>853250</v>
          </cell>
        </row>
        <row r="587">
          <cell r="B587" t="str">
            <v>45161004511000500Editing &amp; Proof-N424791200104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41396</v>
          </cell>
          <cell r="X587">
            <v>54560</v>
          </cell>
          <cell r="Y587">
            <v>25544</v>
          </cell>
          <cell r="AB587">
            <v>121500</v>
          </cell>
        </row>
        <row r="588">
          <cell r="B588" t="str">
            <v>45161004511001493Freelancers-N1424521200104</v>
          </cell>
          <cell r="N588">
            <v>0</v>
          </cell>
          <cell r="O588">
            <v>0</v>
          </cell>
          <cell r="P588">
            <v>11000</v>
          </cell>
          <cell r="Q588">
            <v>25000</v>
          </cell>
          <cell r="R588">
            <v>108000</v>
          </cell>
          <cell r="S588">
            <v>36000</v>
          </cell>
          <cell r="T588">
            <v>36000</v>
          </cell>
          <cell r="U588">
            <v>24000</v>
          </cell>
          <cell r="V588">
            <v>24000</v>
          </cell>
          <cell r="W588">
            <v>24000</v>
          </cell>
          <cell r="X588">
            <v>24000</v>
          </cell>
          <cell r="Y588">
            <v>24000</v>
          </cell>
          <cell r="AB588">
            <v>336000</v>
          </cell>
        </row>
        <row r="589">
          <cell r="B589" t="str">
            <v>45100114511000015Sponsorship Fees-N1424811200104</v>
          </cell>
          <cell r="N589">
            <v>0</v>
          </cell>
          <cell r="O589">
            <v>0</v>
          </cell>
          <cell r="P589">
            <v>30000000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AB589">
            <v>30000000</v>
          </cell>
        </row>
        <row r="590">
          <cell r="B590" t="str">
            <v>45100114511000181CAPEX Management-N1491811300105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2237470</v>
          </cell>
          <cell r="AB590">
            <v>2116604</v>
          </cell>
        </row>
        <row r="591">
          <cell r="B591" t="str">
            <v>45100114511000181OPEX Management-N1422191200104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70260105</v>
          </cell>
          <cell r="AB591">
            <v>59488225</v>
          </cell>
        </row>
        <row r="592">
          <cell r="B592" t="str">
            <v>45100114511001308Sponsorship Fees-N1424811200104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179000000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AB592">
            <v>179000000</v>
          </cell>
        </row>
        <row r="593">
          <cell r="B593" t="str">
            <v>45101104511000181ManagementAdvice-N424521200104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32051376</v>
          </cell>
          <cell r="S593">
            <v>0</v>
          </cell>
          <cell r="T593">
            <v>10000000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AB593">
            <v>58624458</v>
          </cell>
        </row>
        <row r="594">
          <cell r="B594" t="str">
            <v>45101104511000181Freelancers-N424521200104</v>
          </cell>
          <cell r="N594">
            <v>502000</v>
          </cell>
          <cell r="O594">
            <v>502000</v>
          </cell>
          <cell r="P594">
            <v>373000</v>
          </cell>
          <cell r="Q594">
            <v>4607000</v>
          </cell>
          <cell r="R594">
            <v>502000</v>
          </cell>
          <cell r="S594">
            <v>502000</v>
          </cell>
          <cell r="T594">
            <v>502000</v>
          </cell>
          <cell r="U594">
            <v>502000</v>
          </cell>
          <cell r="V594">
            <v>502000</v>
          </cell>
          <cell r="W594">
            <v>502000</v>
          </cell>
          <cell r="X594">
            <v>502000</v>
          </cell>
          <cell r="Y594">
            <v>502000</v>
          </cell>
          <cell r="AB594">
            <v>4000000</v>
          </cell>
        </row>
        <row r="595">
          <cell r="B595" t="str">
            <v>45101104511000181Admin Expenses-N421125200104</v>
          </cell>
          <cell r="N595">
            <v>0</v>
          </cell>
          <cell r="O595">
            <v>0</v>
          </cell>
          <cell r="P595">
            <v>0</v>
          </cell>
          <cell r="Q595">
            <v>38455</v>
          </cell>
          <cell r="R595">
            <v>3000</v>
          </cell>
          <cell r="S595">
            <v>3317.28</v>
          </cell>
          <cell r="T595">
            <v>77318.540000000008</v>
          </cell>
          <cell r="U595">
            <v>22550</v>
          </cell>
          <cell r="V595">
            <v>4475.119999999999</v>
          </cell>
          <cell r="W595">
            <v>28659.439999999999</v>
          </cell>
          <cell r="X595">
            <v>1409112.31</v>
          </cell>
          <cell r="Y595">
            <v>1413112.31</v>
          </cell>
          <cell r="AB595">
            <v>3000000</v>
          </cell>
        </row>
        <row r="596">
          <cell r="B596" t="str">
            <v>45101104511000181Mission &amp; Travel-N423821200104</v>
          </cell>
          <cell r="N596">
            <v>0</v>
          </cell>
          <cell r="O596">
            <v>0</v>
          </cell>
          <cell r="P596">
            <v>800</v>
          </cell>
          <cell r="Q596">
            <v>53200</v>
          </cell>
          <cell r="R596">
            <v>50000</v>
          </cell>
          <cell r="S596">
            <v>184476</v>
          </cell>
          <cell r="T596">
            <v>57894</v>
          </cell>
          <cell r="U596">
            <v>142658</v>
          </cell>
          <cell r="V596">
            <v>10000</v>
          </cell>
          <cell r="W596">
            <v>82231</v>
          </cell>
          <cell r="X596">
            <v>311610</v>
          </cell>
          <cell r="Y596">
            <v>1107131</v>
          </cell>
          <cell r="AB596">
            <v>2000000</v>
          </cell>
        </row>
        <row r="597">
          <cell r="B597" t="str">
            <v>45101104511000829Acquisitions-L491811301439</v>
          </cell>
          <cell r="N597">
            <v>0</v>
          </cell>
          <cell r="O597">
            <v>0</v>
          </cell>
          <cell r="P597">
            <v>868032100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AB597">
            <v>1077724774</v>
          </cell>
        </row>
        <row r="598">
          <cell r="B598" t="str">
            <v>45101404511000016Audit Services-N421125200104</v>
          </cell>
          <cell r="N598">
            <v>0</v>
          </cell>
          <cell r="O598">
            <v>0</v>
          </cell>
          <cell r="P598">
            <v>0</v>
          </cell>
          <cell r="Q598">
            <v>454200</v>
          </cell>
          <cell r="R598">
            <v>142800</v>
          </cell>
          <cell r="S598">
            <v>142800</v>
          </cell>
          <cell r="T598">
            <v>142800</v>
          </cell>
          <cell r="U598">
            <v>142800</v>
          </cell>
          <cell r="V598">
            <v>464500</v>
          </cell>
          <cell r="W598">
            <v>342800</v>
          </cell>
          <cell r="X598">
            <v>802800</v>
          </cell>
          <cell r="Y598">
            <v>464500</v>
          </cell>
          <cell r="AB598">
            <v>2669667</v>
          </cell>
        </row>
        <row r="599">
          <cell r="B599" t="str">
            <v>45101404511000016Other Expenses-N424991200104</v>
          </cell>
          <cell r="N599">
            <v>0</v>
          </cell>
          <cell r="O599">
            <v>0</v>
          </cell>
          <cell r="P599">
            <v>2926.04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59574</v>
          </cell>
          <cell r="W599">
            <v>0</v>
          </cell>
          <cell r="X599">
            <v>62500</v>
          </cell>
          <cell r="Y599">
            <v>0</v>
          </cell>
          <cell r="AB599">
            <v>125000.04000000001</v>
          </cell>
        </row>
        <row r="600">
          <cell r="B600" t="str">
            <v>45101404511000016Mission &amp; Travel-N423821200104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125000</v>
          </cell>
          <cell r="Y600">
            <v>0</v>
          </cell>
          <cell r="AB600">
            <v>125000</v>
          </cell>
        </row>
        <row r="601">
          <cell r="B601" t="str">
            <v>45112504511000623Security Service-N424551200104</v>
          </cell>
          <cell r="N601">
            <v>0</v>
          </cell>
          <cell r="O601">
            <v>0</v>
          </cell>
          <cell r="P601">
            <v>0</v>
          </cell>
          <cell r="Q601">
            <v>34000</v>
          </cell>
          <cell r="R601">
            <v>8500</v>
          </cell>
          <cell r="S601">
            <v>8500</v>
          </cell>
          <cell r="T601">
            <v>8500</v>
          </cell>
          <cell r="U601">
            <v>8500</v>
          </cell>
          <cell r="V601">
            <v>8500</v>
          </cell>
          <cell r="W601">
            <v>25500</v>
          </cell>
          <cell r="X601">
            <v>10860</v>
          </cell>
          <cell r="Y601">
            <v>0</v>
          </cell>
          <cell r="AB601">
            <v>112860</v>
          </cell>
        </row>
        <row r="602">
          <cell r="B602" t="str">
            <v>45101504511000113Construct Advice-N421126200104</v>
          </cell>
          <cell r="N602">
            <v>0</v>
          </cell>
          <cell r="O602">
            <v>0</v>
          </cell>
          <cell r="P602">
            <v>0</v>
          </cell>
          <cell r="Q602">
            <v>1311000</v>
          </cell>
          <cell r="R602">
            <v>1020000</v>
          </cell>
          <cell r="S602">
            <v>420000</v>
          </cell>
          <cell r="T602">
            <v>559000</v>
          </cell>
          <cell r="U602">
            <v>1200000</v>
          </cell>
          <cell r="V602">
            <v>370000</v>
          </cell>
          <cell r="W602">
            <v>270000</v>
          </cell>
          <cell r="X602">
            <v>320000</v>
          </cell>
          <cell r="Y602">
            <v>270000</v>
          </cell>
          <cell r="AB602">
            <v>5740000</v>
          </cell>
        </row>
        <row r="603">
          <cell r="B603" t="str">
            <v>45101504511000113System Licenses-N425252200104</v>
          </cell>
          <cell r="N603">
            <v>0</v>
          </cell>
          <cell r="O603">
            <v>0</v>
          </cell>
          <cell r="P603">
            <v>0</v>
          </cell>
          <cell r="Q603">
            <v>535900.14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2929678.8600000003</v>
          </cell>
          <cell r="Y603">
            <v>0</v>
          </cell>
          <cell r="AB603">
            <v>3465579.0000000005</v>
          </cell>
        </row>
        <row r="604">
          <cell r="B604" t="str">
            <v>45101504511000113Hospitality-N424761200104</v>
          </cell>
          <cell r="N604">
            <v>0</v>
          </cell>
          <cell r="O604">
            <v>0</v>
          </cell>
          <cell r="P604">
            <v>0</v>
          </cell>
          <cell r="Q604">
            <v>492291</v>
          </cell>
          <cell r="R604">
            <v>310100</v>
          </cell>
          <cell r="S604">
            <v>0</v>
          </cell>
          <cell r="T604">
            <v>0</v>
          </cell>
          <cell r="U604">
            <v>251200</v>
          </cell>
          <cell r="V604">
            <v>0</v>
          </cell>
          <cell r="W604">
            <v>251200</v>
          </cell>
          <cell r="X604">
            <v>251200</v>
          </cell>
          <cell r="Y604">
            <v>251200</v>
          </cell>
          <cell r="AB604">
            <v>1807191</v>
          </cell>
        </row>
        <row r="605">
          <cell r="B605" t="str">
            <v>45101504511000113Mission &amp; Travel-N423821200104</v>
          </cell>
          <cell r="N605">
            <v>0</v>
          </cell>
          <cell r="O605">
            <v>0</v>
          </cell>
          <cell r="P605">
            <v>41400</v>
          </cell>
          <cell r="Q605">
            <v>833100</v>
          </cell>
          <cell r="R605">
            <v>36000</v>
          </cell>
          <cell r="S605">
            <v>0</v>
          </cell>
          <cell r="T605">
            <v>100500</v>
          </cell>
          <cell r="U605">
            <v>0</v>
          </cell>
          <cell r="V605">
            <v>0</v>
          </cell>
          <cell r="W605">
            <v>102000</v>
          </cell>
          <cell r="X605">
            <v>0</v>
          </cell>
          <cell r="Y605">
            <v>0</v>
          </cell>
          <cell r="AB605">
            <v>1113000</v>
          </cell>
        </row>
        <row r="606">
          <cell r="B606" t="str">
            <v>45101504511000113Admin Expenses-N421125200104</v>
          </cell>
          <cell r="N606">
            <v>0</v>
          </cell>
          <cell r="O606">
            <v>0</v>
          </cell>
          <cell r="P606">
            <v>4944.8999999999996</v>
          </cell>
          <cell r="Q606">
            <v>47055.1</v>
          </cell>
          <cell r="R606">
            <v>17000</v>
          </cell>
          <cell r="S606">
            <v>0</v>
          </cell>
          <cell r="T606">
            <v>19500</v>
          </cell>
          <cell r="U606">
            <v>10000</v>
          </cell>
          <cell r="V606">
            <v>7000</v>
          </cell>
          <cell r="W606">
            <v>12500</v>
          </cell>
          <cell r="X606">
            <v>17000</v>
          </cell>
          <cell r="Y606">
            <v>0</v>
          </cell>
          <cell r="AB606">
            <v>135000</v>
          </cell>
        </row>
        <row r="607">
          <cell r="B607" t="str">
            <v>45101554511000265Construct Advice-N421126200104</v>
          </cell>
          <cell r="N607">
            <v>0</v>
          </cell>
          <cell r="O607">
            <v>0</v>
          </cell>
          <cell r="P607">
            <v>0</v>
          </cell>
          <cell r="Q607">
            <v>975000</v>
          </cell>
          <cell r="R607">
            <v>625000</v>
          </cell>
          <cell r="S607">
            <v>575000</v>
          </cell>
          <cell r="T607">
            <v>363230</v>
          </cell>
          <cell r="U607">
            <v>575000</v>
          </cell>
          <cell r="V607">
            <v>604000</v>
          </cell>
          <cell r="W607">
            <v>575000</v>
          </cell>
          <cell r="X607">
            <v>625000</v>
          </cell>
          <cell r="Y607">
            <v>536000</v>
          </cell>
          <cell r="AB607">
            <v>5453230</v>
          </cell>
        </row>
        <row r="608">
          <cell r="B608" t="str">
            <v>45101554511000265Mission &amp; Travel-N423821200104</v>
          </cell>
          <cell r="N608">
            <v>0</v>
          </cell>
          <cell r="O608">
            <v>0</v>
          </cell>
          <cell r="P608">
            <v>16800</v>
          </cell>
          <cell r="Q608">
            <v>634700</v>
          </cell>
          <cell r="R608">
            <v>191500</v>
          </cell>
          <cell r="S608">
            <v>1500</v>
          </cell>
          <cell r="T608">
            <v>1500</v>
          </cell>
          <cell r="U608">
            <v>1500</v>
          </cell>
          <cell r="V608">
            <v>86937</v>
          </cell>
          <cell r="W608">
            <v>1500</v>
          </cell>
          <cell r="X608">
            <v>66500</v>
          </cell>
          <cell r="Y608">
            <v>0</v>
          </cell>
          <cell r="AB608">
            <v>1002437</v>
          </cell>
        </row>
        <row r="609">
          <cell r="B609" t="str">
            <v>45101554511000265Admin Expenses-N421125200104</v>
          </cell>
          <cell r="N609">
            <v>0</v>
          </cell>
          <cell r="O609">
            <v>0</v>
          </cell>
          <cell r="P609">
            <v>0</v>
          </cell>
          <cell r="Q609">
            <v>70000</v>
          </cell>
          <cell r="R609">
            <v>15000</v>
          </cell>
          <cell r="S609">
            <v>20000</v>
          </cell>
          <cell r="T609">
            <v>10000</v>
          </cell>
          <cell r="U609">
            <v>15000</v>
          </cell>
          <cell r="V609">
            <v>15000</v>
          </cell>
          <cell r="W609">
            <v>25000</v>
          </cell>
          <cell r="X609">
            <v>29466</v>
          </cell>
          <cell r="Y609">
            <v>40000</v>
          </cell>
          <cell r="AB609">
            <v>52303</v>
          </cell>
        </row>
        <row r="610">
          <cell r="B610" t="str">
            <v>45101554511000265Licenses Fees-N424131200104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10534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AB610">
            <v>10534</v>
          </cell>
        </row>
        <row r="611">
          <cell r="B611" t="str">
            <v>45101604511000184Freelancers-N424521200104</v>
          </cell>
          <cell r="N611">
            <v>0</v>
          </cell>
          <cell r="O611">
            <v>37000</v>
          </cell>
          <cell r="P611">
            <v>118789.33000000002</v>
          </cell>
          <cell r="R611">
            <v>127131</v>
          </cell>
          <cell r="S611">
            <v>130960</v>
          </cell>
          <cell r="T611">
            <v>114000</v>
          </cell>
          <cell r="U611">
            <v>114000</v>
          </cell>
          <cell r="V611">
            <v>114000</v>
          </cell>
          <cell r="W611">
            <v>114000</v>
          </cell>
          <cell r="X611">
            <v>114000</v>
          </cell>
          <cell r="Y611">
            <v>228000</v>
          </cell>
          <cell r="AB611">
            <v>629280.33000000007</v>
          </cell>
        </row>
        <row r="612">
          <cell r="B612" t="str">
            <v>45101604511000184Legal Advice-N421121200104</v>
          </cell>
          <cell r="N612">
            <v>0</v>
          </cell>
          <cell r="O612">
            <v>0</v>
          </cell>
          <cell r="P612">
            <v>183224.88</v>
          </cell>
          <cell r="Q612">
            <v>264775.12</v>
          </cell>
          <cell r="R612">
            <v>1048000</v>
          </cell>
          <cell r="S612">
            <v>153000</v>
          </cell>
          <cell r="T612">
            <v>183000</v>
          </cell>
          <cell r="U612">
            <v>1138000</v>
          </cell>
          <cell r="V612">
            <v>183000</v>
          </cell>
          <cell r="W612">
            <v>1153000</v>
          </cell>
          <cell r="X612">
            <v>248000</v>
          </cell>
          <cell r="Y612">
            <v>779836</v>
          </cell>
          <cell r="AB612">
            <v>7540090</v>
          </cell>
        </row>
        <row r="613">
          <cell r="B613" t="str">
            <v>45101604511000184Legal Services-N421121200104</v>
          </cell>
          <cell r="N613">
            <v>0</v>
          </cell>
          <cell r="O613">
            <v>0</v>
          </cell>
          <cell r="P613">
            <v>113700.39749999999</v>
          </cell>
          <cell r="R613">
            <v>0</v>
          </cell>
          <cell r="S613">
            <v>0</v>
          </cell>
          <cell r="T613">
            <v>53180</v>
          </cell>
          <cell r="U613">
            <v>0</v>
          </cell>
          <cell r="V613">
            <v>55720</v>
          </cell>
          <cell r="W613">
            <v>35000</v>
          </cell>
          <cell r="X613">
            <v>187400</v>
          </cell>
          <cell r="Y613">
            <v>137240</v>
          </cell>
          <cell r="AB613">
            <v>1595680.3975</v>
          </cell>
        </row>
        <row r="614">
          <cell r="B614" t="str">
            <v>45101604511000184Manpower-N424521200104</v>
          </cell>
          <cell r="AB614">
            <v>582600</v>
          </cell>
        </row>
        <row r="615">
          <cell r="B615" t="str">
            <v>45101604511000184Mission &amp; Travel-N423821200104</v>
          </cell>
          <cell r="N615">
            <v>0</v>
          </cell>
          <cell r="O615">
            <v>0</v>
          </cell>
          <cell r="P615">
            <v>0</v>
          </cell>
          <cell r="Q615">
            <v>50000</v>
          </cell>
          <cell r="R615">
            <v>0</v>
          </cell>
          <cell r="S615">
            <v>80000</v>
          </cell>
          <cell r="T615">
            <v>0</v>
          </cell>
          <cell r="U615">
            <v>150000</v>
          </cell>
          <cell r="V615">
            <v>100000</v>
          </cell>
          <cell r="W615">
            <v>100000</v>
          </cell>
          <cell r="X615">
            <v>200000</v>
          </cell>
          <cell r="Y615">
            <v>120000</v>
          </cell>
          <cell r="AB615">
            <v>767500</v>
          </cell>
        </row>
        <row r="616">
          <cell r="B616" t="str">
            <v>45120104511000761ManagementAdvice-N1424521200104</v>
          </cell>
          <cell r="N616">
            <v>0</v>
          </cell>
          <cell r="O616">
            <v>0</v>
          </cell>
          <cell r="P616">
            <v>0</v>
          </cell>
          <cell r="Q616">
            <v>300000</v>
          </cell>
          <cell r="R616">
            <v>150000</v>
          </cell>
          <cell r="S616">
            <v>150000</v>
          </cell>
          <cell r="T616">
            <v>150000</v>
          </cell>
          <cell r="U616">
            <v>150000</v>
          </cell>
          <cell r="V616">
            <v>150000</v>
          </cell>
          <cell r="W616">
            <v>150000</v>
          </cell>
          <cell r="X616">
            <v>150000</v>
          </cell>
          <cell r="Y616">
            <v>150000</v>
          </cell>
          <cell r="AB616">
            <v>836000</v>
          </cell>
        </row>
        <row r="617">
          <cell r="B617" t="str">
            <v>45120104511000761Hospitality-N424761200104</v>
          </cell>
          <cell r="N617">
            <v>0</v>
          </cell>
          <cell r="O617">
            <v>7345</v>
          </cell>
          <cell r="P617">
            <v>0</v>
          </cell>
          <cell r="Q617">
            <v>12655</v>
          </cell>
          <cell r="R617">
            <v>0</v>
          </cell>
          <cell r="S617">
            <v>30000</v>
          </cell>
          <cell r="T617">
            <v>0</v>
          </cell>
          <cell r="U617">
            <v>30000</v>
          </cell>
          <cell r="V617">
            <v>30000</v>
          </cell>
          <cell r="W617">
            <v>30000</v>
          </cell>
          <cell r="X617">
            <v>30000</v>
          </cell>
          <cell r="Y617">
            <v>30000</v>
          </cell>
          <cell r="AB617">
            <v>139600</v>
          </cell>
        </row>
        <row r="618">
          <cell r="B618" t="str">
            <v>45120104511000761Mission &amp; Travel-N423821200104</v>
          </cell>
          <cell r="N618">
            <v>0</v>
          </cell>
          <cell r="O618">
            <v>25000</v>
          </cell>
          <cell r="P618">
            <v>0</v>
          </cell>
          <cell r="Q618">
            <v>0</v>
          </cell>
          <cell r="R618">
            <v>40000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35000</v>
          </cell>
          <cell r="Y618">
            <v>0</v>
          </cell>
          <cell r="AB618">
            <v>200000</v>
          </cell>
        </row>
        <row r="619">
          <cell r="B619" t="str">
            <v>45121004511000549Freelancers-N424521200104</v>
          </cell>
          <cell r="N619">
            <v>452500</v>
          </cell>
          <cell r="O619">
            <v>551666</v>
          </cell>
          <cell r="P619">
            <v>1002291</v>
          </cell>
          <cell r="Q619">
            <v>565292</v>
          </cell>
          <cell r="R619">
            <v>834250</v>
          </cell>
          <cell r="S619">
            <v>834250</v>
          </cell>
          <cell r="T619">
            <v>884250</v>
          </cell>
          <cell r="U619">
            <v>884250</v>
          </cell>
          <cell r="V619">
            <v>884250</v>
          </cell>
          <cell r="W619">
            <v>925703</v>
          </cell>
          <cell r="X619">
            <v>884250</v>
          </cell>
          <cell r="Y619">
            <v>884250</v>
          </cell>
          <cell r="AB619">
            <v>9587202</v>
          </cell>
        </row>
        <row r="620">
          <cell r="B620" t="str">
            <v>45122004511000547Research&amp;Survey-N423411200104</v>
          </cell>
          <cell r="N620">
            <v>0</v>
          </cell>
          <cell r="O620">
            <v>0</v>
          </cell>
          <cell r="P620">
            <v>0</v>
          </cell>
          <cell r="Q620">
            <v>868500</v>
          </cell>
          <cell r="R620">
            <v>1085645</v>
          </cell>
          <cell r="S620">
            <v>0</v>
          </cell>
          <cell r="T620">
            <v>868500</v>
          </cell>
          <cell r="U620">
            <v>0</v>
          </cell>
          <cell r="V620">
            <v>0</v>
          </cell>
          <cell r="W620">
            <v>1085645</v>
          </cell>
          <cell r="X620">
            <v>0</v>
          </cell>
          <cell r="Y620">
            <v>1737000</v>
          </cell>
          <cell r="AB620">
            <v>6555780</v>
          </cell>
        </row>
        <row r="621">
          <cell r="B621" t="str">
            <v>45122004511000547Licenses Fees-N424131200104</v>
          </cell>
          <cell r="N621">
            <v>0</v>
          </cell>
          <cell r="O621">
            <v>0</v>
          </cell>
          <cell r="P621">
            <v>0</v>
          </cell>
          <cell r="Q621">
            <v>256900</v>
          </cell>
          <cell r="R621">
            <v>207864</v>
          </cell>
          <cell r="S621">
            <v>526964</v>
          </cell>
          <cell r="T621">
            <v>203875</v>
          </cell>
          <cell r="U621">
            <v>64225</v>
          </cell>
          <cell r="V621">
            <v>434682</v>
          </cell>
          <cell r="W621">
            <v>276742</v>
          </cell>
          <cell r="X621">
            <v>411229</v>
          </cell>
          <cell r="Y621">
            <v>1094394</v>
          </cell>
          <cell r="AB621">
            <v>3476875</v>
          </cell>
        </row>
        <row r="622">
          <cell r="B622" t="str">
            <v>45122004511000815Systems Develop-NC1493140300105</v>
          </cell>
          <cell r="N622">
            <v>0</v>
          </cell>
          <cell r="O622">
            <v>0</v>
          </cell>
          <cell r="P622">
            <v>0</v>
          </cell>
          <cell r="Q622">
            <v>3600000</v>
          </cell>
          <cell r="R622">
            <v>5000000</v>
          </cell>
          <cell r="S622">
            <v>5800000</v>
          </cell>
          <cell r="T622">
            <v>5800000</v>
          </cell>
          <cell r="U622">
            <v>5800000</v>
          </cell>
          <cell r="V622">
            <v>4800000</v>
          </cell>
          <cell r="W622">
            <v>4500000</v>
          </cell>
          <cell r="X622">
            <v>3500000</v>
          </cell>
          <cell r="Y622">
            <v>0</v>
          </cell>
          <cell r="AB622">
            <v>41961001</v>
          </cell>
        </row>
        <row r="623">
          <cell r="B623" t="str">
            <v>45122004511000815Manpower-N1424521200104</v>
          </cell>
          <cell r="N623">
            <v>0</v>
          </cell>
          <cell r="O623">
            <v>0</v>
          </cell>
          <cell r="P623">
            <v>0</v>
          </cell>
          <cell r="Q623">
            <v>4113040</v>
          </cell>
          <cell r="R623">
            <v>1199266</v>
          </cell>
          <cell r="S623">
            <v>2599266</v>
          </cell>
          <cell r="T623">
            <v>2201694</v>
          </cell>
          <cell r="U623">
            <v>1199266</v>
          </cell>
          <cell r="V623">
            <v>2199266</v>
          </cell>
          <cell r="W623">
            <v>1199266</v>
          </cell>
          <cell r="X623">
            <v>1199267</v>
          </cell>
          <cell r="Y623">
            <v>1402714</v>
          </cell>
          <cell r="AB623">
            <v>13751081</v>
          </cell>
        </row>
        <row r="624">
          <cell r="B624" t="str">
            <v>45122004511000815General Retainer-N421125200104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1000000</v>
          </cell>
          <cell r="S624">
            <v>0</v>
          </cell>
          <cell r="T624">
            <v>0</v>
          </cell>
          <cell r="U624">
            <v>1000000</v>
          </cell>
          <cell r="V624">
            <v>0</v>
          </cell>
          <cell r="W624">
            <v>0</v>
          </cell>
          <cell r="X624">
            <v>2000000</v>
          </cell>
          <cell r="Y624">
            <v>0</v>
          </cell>
          <cell r="AB624">
            <v>4000000</v>
          </cell>
        </row>
        <row r="625">
          <cell r="B625" t="str">
            <v>45122004511000815Audit Services-N1421125200104</v>
          </cell>
          <cell r="N625">
            <v>0</v>
          </cell>
          <cell r="O625">
            <v>0</v>
          </cell>
          <cell r="P625">
            <v>0</v>
          </cell>
          <cell r="Q625">
            <v>380000</v>
          </cell>
          <cell r="R625">
            <v>190000</v>
          </cell>
          <cell r="S625">
            <v>190000</v>
          </cell>
          <cell r="T625">
            <v>190000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AB625">
            <v>950000</v>
          </cell>
        </row>
        <row r="626">
          <cell r="B626" t="str">
            <v>45122004511001397Manpower-N424521200104</v>
          </cell>
          <cell r="N626">
            <v>0</v>
          </cell>
          <cell r="O626">
            <v>0</v>
          </cell>
          <cell r="P626">
            <v>0</v>
          </cell>
          <cell r="Q626">
            <v>680000</v>
          </cell>
          <cell r="R626">
            <v>170000</v>
          </cell>
          <cell r="S626">
            <v>170000</v>
          </cell>
          <cell r="T626">
            <v>170000</v>
          </cell>
          <cell r="U626">
            <v>170000</v>
          </cell>
          <cell r="V626">
            <v>170000</v>
          </cell>
          <cell r="W626">
            <v>170000</v>
          </cell>
          <cell r="X626">
            <v>170000</v>
          </cell>
          <cell r="Y626">
            <v>170000</v>
          </cell>
          <cell r="AB626">
            <v>2040000</v>
          </cell>
        </row>
        <row r="627">
          <cell r="B627" t="str">
            <v>45122004511001417Admin Expenses-N1421125200104</v>
          </cell>
          <cell r="N627">
            <v>0</v>
          </cell>
          <cell r="O627">
            <v>0</v>
          </cell>
          <cell r="P627">
            <v>0</v>
          </cell>
          <cell r="Q627">
            <v>54000</v>
          </cell>
          <cell r="R627">
            <v>6000</v>
          </cell>
          <cell r="S627">
            <v>1000</v>
          </cell>
          <cell r="T627">
            <v>121000</v>
          </cell>
          <cell r="U627">
            <v>6000</v>
          </cell>
          <cell r="V627">
            <v>1000</v>
          </cell>
          <cell r="W627">
            <v>1000</v>
          </cell>
          <cell r="X627">
            <v>6000</v>
          </cell>
          <cell r="Y627">
            <v>4000</v>
          </cell>
          <cell r="AB627">
            <v>200000</v>
          </cell>
        </row>
        <row r="628">
          <cell r="B628" t="str">
            <v>45122004511001417Mission &amp; Travel-N1423821200104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27000</v>
          </cell>
          <cell r="U628">
            <v>0</v>
          </cell>
          <cell r="V628">
            <v>0</v>
          </cell>
          <cell r="W628">
            <v>100000</v>
          </cell>
          <cell r="X628">
            <v>0</v>
          </cell>
          <cell r="Y628">
            <v>0</v>
          </cell>
          <cell r="AB628">
            <v>127000</v>
          </cell>
        </row>
        <row r="629">
          <cell r="B629" t="str">
            <v>45122004511001417Other Expenses-N1424991200104</v>
          </cell>
          <cell r="N629">
            <v>0</v>
          </cell>
          <cell r="O629">
            <v>0</v>
          </cell>
          <cell r="P629">
            <v>0</v>
          </cell>
          <cell r="Q629">
            <v>16000</v>
          </cell>
          <cell r="R629">
            <v>8000</v>
          </cell>
          <cell r="S629">
            <v>8000</v>
          </cell>
          <cell r="T629">
            <v>8000</v>
          </cell>
          <cell r="U629">
            <v>8000</v>
          </cell>
          <cell r="V629">
            <v>8000</v>
          </cell>
          <cell r="W629">
            <v>8000</v>
          </cell>
          <cell r="X629">
            <v>8000</v>
          </cell>
          <cell r="Y629">
            <v>8000</v>
          </cell>
          <cell r="AB629">
            <v>80000</v>
          </cell>
        </row>
        <row r="630">
          <cell r="B630" t="str">
            <v>45122004511001418Licenses Fees-N1424131200104</v>
          </cell>
          <cell r="N630">
            <v>0</v>
          </cell>
          <cell r="O630">
            <v>0</v>
          </cell>
          <cell r="P630">
            <v>0</v>
          </cell>
          <cell r="Q630">
            <v>2311543</v>
          </cell>
          <cell r="R630">
            <v>92000</v>
          </cell>
          <cell r="S630">
            <v>623900</v>
          </cell>
          <cell r="T630">
            <v>73400</v>
          </cell>
          <cell r="U630">
            <v>920000</v>
          </cell>
          <cell r="V630">
            <v>91750</v>
          </cell>
          <cell r="W630">
            <v>1354924</v>
          </cell>
          <cell r="X630">
            <v>220800</v>
          </cell>
          <cell r="Y630">
            <v>623900</v>
          </cell>
          <cell r="AB630">
            <v>11029279</v>
          </cell>
        </row>
        <row r="631">
          <cell r="B631" t="str">
            <v>45122004511001418Freelancers-N1424521200104</v>
          </cell>
          <cell r="N631">
            <v>0</v>
          </cell>
          <cell r="O631">
            <v>0</v>
          </cell>
          <cell r="P631">
            <v>0</v>
          </cell>
          <cell r="Q631">
            <v>413800</v>
          </cell>
          <cell r="R631">
            <v>199450</v>
          </cell>
          <cell r="S631">
            <v>199450</v>
          </cell>
          <cell r="T631">
            <v>199450</v>
          </cell>
          <cell r="U631">
            <v>199450</v>
          </cell>
          <cell r="V631">
            <v>199450</v>
          </cell>
          <cell r="W631">
            <v>199450</v>
          </cell>
          <cell r="X631">
            <v>199450</v>
          </cell>
          <cell r="Y631">
            <v>190050</v>
          </cell>
          <cell r="AB631">
            <v>2000000</v>
          </cell>
        </row>
        <row r="632">
          <cell r="B632" t="str">
            <v>45122004511001418Trade Promotion-N1424251200104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99360</v>
          </cell>
          <cell r="U632">
            <v>0</v>
          </cell>
          <cell r="V632">
            <v>0</v>
          </cell>
          <cell r="W632">
            <v>99360</v>
          </cell>
          <cell r="X632">
            <v>0</v>
          </cell>
          <cell r="Y632">
            <v>0</v>
          </cell>
          <cell r="AB632">
            <v>198720</v>
          </cell>
        </row>
        <row r="633">
          <cell r="B633" t="str">
            <v>45122004511001419ManagementAdvice-N1424521200104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30000</v>
          </cell>
          <cell r="S633">
            <v>30000</v>
          </cell>
          <cell r="T633">
            <v>40000</v>
          </cell>
          <cell r="U633">
            <v>42000</v>
          </cell>
          <cell r="V633">
            <v>42000</v>
          </cell>
          <cell r="W633">
            <v>0</v>
          </cell>
          <cell r="X633">
            <v>0</v>
          </cell>
          <cell r="Y633">
            <v>0</v>
          </cell>
          <cell r="AB633">
            <v>184000</v>
          </cell>
        </row>
        <row r="634">
          <cell r="B634" t="str">
            <v>45123004511000542ManagementAdvice-N1424521200104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530000</v>
          </cell>
          <cell r="U634">
            <v>0</v>
          </cell>
          <cell r="V634">
            <v>770000</v>
          </cell>
          <cell r="W634">
            <v>0</v>
          </cell>
          <cell r="X634">
            <v>800000</v>
          </cell>
          <cell r="Y634">
            <v>0</v>
          </cell>
          <cell r="AB634">
            <v>2100000</v>
          </cell>
        </row>
        <row r="635">
          <cell r="B635" t="str">
            <v>45123004511000542Licenses Fees-N424131200104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100000</v>
          </cell>
          <cell r="T635">
            <v>0</v>
          </cell>
          <cell r="U635">
            <v>105000</v>
          </cell>
          <cell r="V635">
            <v>0</v>
          </cell>
          <cell r="W635">
            <v>0</v>
          </cell>
          <cell r="X635">
            <v>110000</v>
          </cell>
          <cell r="Y635">
            <v>0</v>
          </cell>
          <cell r="AB635">
            <v>315000</v>
          </cell>
        </row>
        <row r="636">
          <cell r="B636" t="str">
            <v>45123004511001184Freelancers-N424521200104</v>
          </cell>
          <cell r="N636">
            <v>0</v>
          </cell>
          <cell r="O636">
            <v>136000</v>
          </cell>
          <cell r="P636">
            <v>68000</v>
          </cell>
          <cell r="Q636">
            <v>68000</v>
          </cell>
          <cell r="R636">
            <v>68000</v>
          </cell>
          <cell r="S636">
            <v>68000</v>
          </cell>
          <cell r="T636">
            <v>68000</v>
          </cell>
          <cell r="U636">
            <v>68000</v>
          </cell>
          <cell r="V636">
            <v>68000</v>
          </cell>
          <cell r="W636">
            <v>68000</v>
          </cell>
          <cell r="X636">
            <v>0</v>
          </cell>
          <cell r="Y636">
            <v>0</v>
          </cell>
          <cell r="AB636">
            <v>680000</v>
          </cell>
        </row>
        <row r="637">
          <cell r="B637" t="str">
            <v>45123004511001184Hospitality-N424761200104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46995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AB637">
            <v>46995</v>
          </cell>
        </row>
        <row r="638">
          <cell r="B638" t="str">
            <v>45123004511001185Strategy Advice-N421123200104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890000</v>
          </cell>
          <cell r="T638">
            <v>500000</v>
          </cell>
          <cell r="U638">
            <v>500000</v>
          </cell>
          <cell r="V638">
            <v>1000000</v>
          </cell>
          <cell r="W638">
            <v>1000000</v>
          </cell>
          <cell r="X638">
            <v>1000000</v>
          </cell>
          <cell r="Y638">
            <v>1000000</v>
          </cell>
          <cell r="AB638">
            <v>5890000</v>
          </cell>
        </row>
        <row r="639">
          <cell r="B639" t="str">
            <v>45123004511001187ManagementAdvice-N1424521200104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1967771</v>
          </cell>
          <cell r="U639">
            <v>0</v>
          </cell>
          <cell r="V639">
            <v>1500000</v>
          </cell>
          <cell r="W639">
            <v>0</v>
          </cell>
          <cell r="X639">
            <v>1500000</v>
          </cell>
          <cell r="Y639">
            <v>0</v>
          </cell>
          <cell r="AB639">
            <v>4967771</v>
          </cell>
        </row>
        <row r="640">
          <cell r="B640" t="str">
            <v>45125004511001497ManagementAdvice-N424521200104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1967295</v>
          </cell>
          <cell r="AB640">
            <v>1967295</v>
          </cell>
        </row>
        <row r="641">
          <cell r="B641" t="str">
            <v>45125004511001497Freelancers-N424521200104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92705</v>
          </cell>
          <cell r="AB641">
            <v>92705</v>
          </cell>
        </row>
        <row r="642">
          <cell r="B642" t="str">
            <v>45126004511001151Manpower-N1424521200104</v>
          </cell>
          <cell r="N642">
            <v>0</v>
          </cell>
          <cell r="O642">
            <v>0</v>
          </cell>
          <cell r="P642">
            <v>0</v>
          </cell>
          <cell r="Q642">
            <v>260136.67</v>
          </cell>
          <cell r="R642">
            <v>260136.67</v>
          </cell>
          <cell r="S642">
            <v>260136.67</v>
          </cell>
          <cell r="T642">
            <v>260136.67</v>
          </cell>
          <cell r="U642">
            <v>260136.67</v>
          </cell>
          <cell r="V642">
            <v>260136.67</v>
          </cell>
          <cell r="W642">
            <v>260136.67</v>
          </cell>
          <cell r="X642">
            <v>260136.67</v>
          </cell>
          <cell r="Y642">
            <v>260136.67</v>
          </cell>
          <cell r="AB642">
            <v>2341230.0299999998</v>
          </cell>
        </row>
        <row r="643">
          <cell r="B643" t="str">
            <v>45126004511001151Freelancers-N1424521200104</v>
          </cell>
          <cell r="N643">
            <v>200600</v>
          </cell>
          <cell r="O643">
            <v>200600</v>
          </cell>
          <cell r="P643">
            <v>290131.88</v>
          </cell>
          <cell r="Q643">
            <v>89079.12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AB643">
            <v>780411</v>
          </cell>
        </row>
        <row r="644">
          <cell r="B644" t="str">
            <v>45126004511001151Print Runs-N1424791200104</v>
          </cell>
          <cell r="N644">
            <v>0</v>
          </cell>
          <cell r="O644">
            <v>0</v>
          </cell>
          <cell r="P644">
            <v>0</v>
          </cell>
          <cell r="Q644">
            <v>150000</v>
          </cell>
          <cell r="R644">
            <v>70000</v>
          </cell>
          <cell r="S644">
            <v>70000</v>
          </cell>
          <cell r="T644">
            <v>70000</v>
          </cell>
          <cell r="U644">
            <v>70000</v>
          </cell>
          <cell r="V644">
            <v>70000</v>
          </cell>
          <cell r="W644">
            <v>0</v>
          </cell>
          <cell r="X644">
            <v>0</v>
          </cell>
          <cell r="Y644">
            <v>0</v>
          </cell>
          <cell r="AB644">
            <v>500000</v>
          </cell>
        </row>
        <row r="645">
          <cell r="B645" t="str">
            <v>45126004511001183Furniture-N1491711300105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220000</v>
          </cell>
          <cell r="S645">
            <v>0</v>
          </cell>
          <cell r="T645">
            <v>0</v>
          </cell>
          <cell r="U645">
            <v>0</v>
          </cell>
          <cell r="V645">
            <v>660000</v>
          </cell>
          <cell r="W645">
            <v>0</v>
          </cell>
          <cell r="X645">
            <v>1320000</v>
          </cell>
          <cell r="Y645">
            <v>0</v>
          </cell>
          <cell r="AB645">
            <v>497222</v>
          </cell>
        </row>
        <row r="646">
          <cell r="B646" t="str">
            <v>45126004511001183Facilities Rent-N1425112200104</v>
          </cell>
          <cell r="N646">
            <v>0</v>
          </cell>
          <cell r="O646">
            <v>0</v>
          </cell>
          <cell r="P646">
            <v>0</v>
          </cell>
          <cell r="Q646">
            <v>148435.91999999998</v>
          </cell>
          <cell r="R646">
            <v>37108.92</v>
          </cell>
          <cell r="S646">
            <v>37108.92</v>
          </cell>
          <cell r="T646">
            <v>37108.92</v>
          </cell>
          <cell r="U646">
            <v>37108.92</v>
          </cell>
          <cell r="V646">
            <v>37108.92</v>
          </cell>
          <cell r="W646">
            <v>37108.92</v>
          </cell>
          <cell r="X646">
            <v>37108.92</v>
          </cell>
          <cell r="Y646">
            <v>37108.92</v>
          </cell>
          <cell r="AB646">
            <v>653807.2799999998</v>
          </cell>
        </row>
        <row r="647">
          <cell r="B647" t="str">
            <v>45126004511001183Admin Expenses-N1421125200104</v>
          </cell>
          <cell r="N647">
            <v>0</v>
          </cell>
          <cell r="O647">
            <v>0</v>
          </cell>
          <cell r="P647">
            <v>0</v>
          </cell>
          <cell r="Q647">
            <v>62867</v>
          </cell>
          <cell r="R647">
            <v>32867</v>
          </cell>
          <cell r="S647">
            <v>32867</v>
          </cell>
          <cell r="T647">
            <v>32867</v>
          </cell>
          <cell r="U647">
            <v>32867</v>
          </cell>
          <cell r="V647">
            <v>32867</v>
          </cell>
          <cell r="W647">
            <v>32867</v>
          </cell>
          <cell r="X647">
            <v>32867</v>
          </cell>
          <cell r="Y647">
            <v>32867</v>
          </cell>
          <cell r="AB647">
            <v>117303</v>
          </cell>
        </row>
        <row r="648">
          <cell r="B648" t="str">
            <v>45126004511001183Mission &amp; Travel-N1423821200104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100000</v>
          </cell>
          <cell r="V648">
            <v>150000</v>
          </cell>
          <cell r="W648">
            <v>0</v>
          </cell>
          <cell r="X648">
            <v>0</v>
          </cell>
          <cell r="Y648">
            <v>0</v>
          </cell>
          <cell r="AB648">
            <v>250000</v>
          </cell>
        </row>
        <row r="649">
          <cell r="B649" t="str">
            <v>45126004511001605Activation&amp;Prog-N422401200104</v>
          </cell>
          <cell r="N649">
            <v>0</v>
          </cell>
          <cell r="O649">
            <v>0</v>
          </cell>
          <cell r="P649">
            <v>0</v>
          </cell>
          <cell r="Q649">
            <v>684920</v>
          </cell>
          <cell r="R649">
            <v>227125.76000000001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1190126</v>
          </cell>
          <cell r="X649">
            <v>0</v>
          </cell>
          <cell r="Y649">
            <v>0</v>
          </cell>
          <cell r="AB649">
            <v>2102171.7599999998</v>
          </cell>
        </row>
        <row r="650">
          <cell r="B650" t="str">
            <v>45126004511001605Hospitality-N424761200104</v>
          </cell>
          <cell r="N650">
            <v>0</v>
          </cell>
          <cell r="O650">
            <v>0</v>
          </cell>
          <cell r="P650">
            <v>0</v>
          </cell>
          <cell r="Q650">
            <v>52250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197750</v>
          </cell>
          <cell r="W650">
            <v>0</v>
          </cell>
          <cell r="X650">
            <v>0</v>
          </cell>
          <cell r="Y650">
            <v>0</v>
          </cell>
          <cell r="AB650">
            <v>250000</v>
          </cell>
        </row>
        <row r="651">
          <cell r="B651" t="str">
            <v>45126004511001605Event Management-N422401200104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25000</v>
          </cell>
          <cell r="S651">
            <v>0</v>
          </cell>
          <cell r="T651">
            <v>10000</v>
          </cell>
          <cell r="U651">
            <v>0</v>
          </cell>
          <cell r="V651">
            <v>25000</v>
          </cell>
          <cell r="W651">
            <v>0</v>
          </cell>
          <cell r="X651">
            <v>0</v>
          </cell>
          <cell r="Y651">
            <v>10000</v>
          </cell>
          <cell r="AB651">
            <v>70000</v>
          </cell>
        </row>
        <row r="652">
          <cell r="B652" t="str">
            <v>45126004511001605Permits Fees-N422951200104</v>
          </cell>
          <cell r="N652">
            <v>0</v>
          </cell>
          <cell r="O652">
            <v>0</v>
          </cell>
          <cell r="P652">
            <v>0</v>
          </cell>
          <cell r="Q652">
            <v>1007</v>
          </cell>
          <cell r="R652">
            <v>2500</v>
          </cell>
          <cell r="S652">
            <v>0</v>
          </cell>
          <cell r="T652">
            <v>2500</v>
          </cell>
          <cell r="U652">
            <v>0</v>
          </cell>
          <cell r="V652">
            <v>2500</v>
          </cell>
          <cell r="W652">
            <v>0</v>
          </cell>
          <cell r="X652">
            <v>0</v>
          </cell>
          <cell r="Y652">
            <v>2500</v>
          </cell>
          <cell r="AB652">
            <v>11007</v>
          </cell>
        </row>
        <row r="653">
          <cell r="B653" t="str">
            <v>45126004511001615Brand Strategy-N422511200104</v>
          </cell>
          <cell r="N653">
            <v>0</v>
          </cell>
          <cell r="O653">
            <v>0</v>
          </cell>
          <cell r="P653">
            <v>0</v>
          </cell>
          <cell r="Q653">
            <v>600000</v>
          </cell>
          <cell r="R653">
            <v>150000</v>
          </cell>
          <cell r="S653">
            <v>150000</v>
          </cell>
          <cell r="T653">
            <v>150000</v>
          </cell>
          <cell r="U653">
            <v>150000</v>
          </cell>
          <cell r="V653">
            <v>0</v>
          </cell>
          <cell r="W653">
            <v>0</v>
          </cell>
          <cell r="X653">
            <v>300000</v>
          </cell>
          <cell r="Y653">
            <v>0</v>
          </cell>
          <cell r="AB653">
            <v>1308000</v>
          </cell>
        </row>
        <row r="654">
          <cell r="B654" t="str">
            <v>45126004511001615PR Mgmnt E-E-N424781200104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500000</v>
          </cell>
          <cell r="X654">
            <v>0</v>
          </cell>
          <cell r="Y654">
            <v>0</v>
          </cell>
          <cell r="AB654">
            <v>500000</v>
          </cell>
        </row>
        <row r="655">
          <cell r="B655" t="str">
            <v>45126004511001616eBook Distribute-N425301200104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51666.666666666664</v>
          </cell>
          <cell r="U655">
            <v>51666.666666666664</v>
          </cell>
          <cell r="V655">
            <v>51666.666666666664</v>
          </cell>
          <cell r="W655">
            <v>51666.666666666664</v>
          </cell>
          <cell r="X655">
            <v>51666.666666666664</v>
          </cell>
          <cell r="Y655">
            <v>51666.666666666664</v>
          </cell>
          <cell r="AB655">
            <v>310000</v>
          </cell>
        </row>
        <row r="656">
          <cell r="B656" t="str">
            <v>45126004511001616Gen Logistics-N424671200104</v>
          </cell>
          <cell r="N656">
            <v>0</v>
          </cell>
          <cell r="O656">
            <v>0</v>
          </cell>
          <cell r="P656">
            <v>0</v>
          </cell>
          <cell r="Q656">
            <v>45000</v>
          </cell>
          <cell r="R656">
            <v>0</v>
          </cell>
          <cell r="S656">
            <v>0</v>
          </cell>
          <cell r="T656">
            <v>0</v>
          </cell>
          <cell r="U656">
            <v>35000</v>
          </cell>
          <cell r="V656">
            <v>50000</v>
          </cell>
          <cell r="W656">
            <v>0</v>
          </cell>
          <cell r="X656">
            <v>0</v>
          </cell>
          <cell r="Y656">
            <v>0</v>
          </cell>
          <cell r="AB656">
            <v>130000</v>
          </cell>
        </row>
        <row r="657">
          <cell r="B657" t="str">
            <v>45126004511001617Licenses Fees-N424131200104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66105</v>
          </cell>
          <cell r="V657">
            <v>0</v>
          </cell>
          <cell r="W657">
            <v>0</v>
          </cell>
          <cell r="X657">
            <v>27075.24</v>
          </cell>
          <cell r="Y657">
            <v>0</v>
          </cell>
          <cell r="AB657">
            <v>93180.24</v>
          </cell>
        </row>
        <row r="658">
          <cell r="B658" t="str">
            <v>45126004511001618IP Rights-N423531200104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384000</v>
          </cell>
          <cell r="S658">
            <v>384000</v>
          </cell>
          <cell r="T658">
            <v>384000</v>
          </cell>
          <cell r="U658">
            <v>384000</v>
          </cell>
          <cell r="V658">
            <v>384000</v>
          </cell>
          <cell r="W658">
            <v>640000</v>
          </cell>
          <cell r="X658">
            <v>3000000</v>
          </cell>
          <cell r="Y658">
            <v>797232</v>
          </cell>
          <cell r="AB658">
            <v>6549232</v>
          </cell>
        </row>
        <row r="659">
          <cell r="B659" t="str">
            <v>45181134511001137Strategy Advice-N421123200104</v>
          </cell>
          <cell r="N659">
            <v>0</v>
          </cell>
          <cell r="O659">
            <v>0</v>
          </cell>
          <cell r="P659">
            <v>0</v>
          </cell>
          <cell r="Q659">
            <v>6108462</v>
          </cell>
          <cell r="R659">
            <v>59909</v>
          </cell>
          <cell r="S659">
            <v>59909</v>
          </cell>
          <cell r="T659">
            <v>59909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AB659">
            <v>6288189</v>
          </cell>
        </row>
        <row r="660">
          <cell r="B660" t="str">
            <v>45181134511001137Freelancers-N1424521200104</v>
          </cell>
          <cell r="N660">
            <v>116167</v>
          </cell>
          <cell r="O660">
            <v>210333</v>
          </cell>
          <cell r="P660">
            <v>286500</v>
          </cell>
          <cell r="Q660">
            <v>0</v>
          </cell>
          <cell r="R660">
            <v>69000</v>
          </cell>
          <cell r="S660">
            <v>239000</v>
          </cell>
          <cell r="T660">
            <v>98500</v>
          </cell>
          <cell r="U660">
            <v>98500</v>
          </cell>
          <cell r="V660">
            <v>358000</v>
          </cell>
          <cell r="W660">
            <v>350000</v>
          </cell>
          <cell r="X660">
            <v>231666</v>
          </cell>
          <cell r="Y660">
            <v>231667</v>
          </cell>
          <cell r="AB660">
            <v>8960003</v>
          </cell>
        </row>
        <row r="661">
          <cell r="B661" t="str">
            <v>45181134511001141Event Management-N422401200104</v>
          </cell>
          <cell r="N661">
            <v>0</v>
          </cell>
          <cell r="O661">
            <v>0</v>
          </cell>
          <cell r="P661">
            <v>0</v>
          </cell>
          <cell r="Q661">
            <v>660110</v>
          </cell>
          <cell r="R661">
            <v>50000</v>
          </cell>
          <cell r="S661">
            <v>50000</v>
          </cell>
          <cell r="T661">
            <v>50000</v>
          </cell>
          <cell r="U661">
            <v>1100000</v>
          </cell>
          <cell r="V661">
            <v>50000</v>
          </cell>
          <cell r="W661">
            <v>3805382</v>
          </cell>
          <cell r="X661">
            <v>1804922</v>
          </cell>
          <cell r="Y661">
            <v>99890</v>
          </cell>
          <cell r="AB661">
            <v>7339779</v>
          </cell>
        </row>
        <row r="662">
          <cell r="B662" t="str">
            <v>45181134511001143Concept Develop-N423411200104</v>
          </cell>
          <cell r="N662">
            <v>0</v>
          </cell>
          <cell r="O662" t="str">
            <v>-</v>
          </cell>
          <cell r="P662">
            <v>3672500</v>
          </cell>
          <cell r="Q662">
            <v>223370</v>
          </cell>
          <cell r="R662">
            <v>0</v>
          </cell>
          <cell r="S662">
            <v>0</v>
          </cell>
          <cell r="T662">
            <v>3672500</v>
          </cell>
          <cell r="U662">
            <v>0</v>
          </cell>
          <cell r="V662">
            <v>223370</v>
          </cell>
          <cell r="W662">
            <v>0</v>
          </cell>
          <cell r="X662">
            <v>951630</v>
          </cell>
          <cell r="Y662">
            <v>0</v>
          </cell>
          <cell r="AB662">
            <v>8743370</v>
          </cell>
        </row>
        <row r="663">
          <cell r="B663" t="str">
            <v>45181134511001143Event Management-N422401200104</v>
          </cell>
          <cell r="N663">
            <v>0</v>
          </cell>
          <cell r="O663">
            <v>0</v>
          </cell>
          <cell r="P663">
            <v>22800</v>
          </cell>
          <cell r="Q663">
            <v>16800</v>
          </cell>
          <cell r="R663">
            <v>25000</v>
          </cell>
          <cell r="S663">
            <v>25000</v>
          </cell>
          <cell r="T663">
            <v>25000</v>
          </cell>
          <cell r="U663">
            <v>25000</v>
          </cell>
          <cell r="V663">
            <v>25000</v>
          </cell>
          <cell r="W663">
            <v>770000</v>
          </cell>
          <cell r="X663">
            <v>1037698</v>
          </cell>
          <cell r="Y663">
            <v>0</v>
          </cell>
          <cell r="AB663">
            <v>408784</v>
          </cell>
        </row>
        <row r="664">
          <cell r="B664" t="str">
            <v>45181134511001143Hospitality-N424761200104</v>
          </cell>
          <cell r="N664">
            <v>0</v>
          </cell>
          <cell r="O664">
            <v>0</v>
          </cell>
          <cell r="P664">
            <v>0</v>
          </cell>
          <cell r="Q664">
            <v>88400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AB664">
            <v>143690</v>
          </cell>
        </row>
        <row r="665">
          <cell r="B665" t="str">
            <v>45181134511001144Furniture-N491711300105</v>
          </cell>
          <cell r="N665">
            <v>0</v>
          </cell>
          <cell r="O665">
            <v>0</v>
          </cell>
          <cell r="P665">
            <v>0</v>
          </cell>
          <cell r="Q665">
            <v>115791</v>
          </cell>
          <cell r="R665">
            <v>0</v>
          </cell>
          <cell r="S665">
            <v>500000</v>
          </cell>
          <cell r="T665">
            <v>0</v>
          </cell>
          <cell r="U665">
            <v>500000</v>
          </cell>
          <cell r="V665">
            <v>562104</v>
          </cell>
          <cell r="W665">
            <v>0</v>
          </cell>
          <cell r="X665">
            <v>0</v>
          </cell>
          <cell r="Y665">
            <v>562105</v>
          </cell>
          <cell r="AB665">
            <v>1716263</v>
          </cell>
        </row>
        <row r="666">
          <cell r="B666" t="str">
            <v>45181134511001144FeasibilityStudy-N424521200104</v>
          </cell>
          <cell r="N666">
            <v>0</v>
          </cell>
          <cell r="O666">
            <v>0</v>
          </cell>
          <cell r="P666">
            <v>0</v>
          </cell>
          <cell r="Q666">
            <v>2321666</v>
          </cell>
          <cell r="R666">
            <v>2270833</v>
          </cell>
          <cell r="S666">
            <v>3081458</v>
          </cell>
          <cell r="T666">
            <v>2270833</v>
          </cell>
          <cell r="U666">
            <v>3081458</v>
          </cell>
          <cell r="V666">
            <v>1185833</v>
          </cell>
          <cell r="W666">
            <v>1996458</v>
          </cell>
          <cell r="X666">
            <v>1320000</v>
          </cell>
          <cell r="Y666">
            <v>1400625</v>
          </cell>
          <cell r="AB666">
            <v>12218894</v>
          </cell>
        </row>
        <row r="667">
          <cell r="B667" t="str">
            <v>45181134511001144Mission &amp; Travel-N423821200104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100000</v>
          </cell>
          <cell r="U667">
            <v>155000</v>
          </cell>
          <cell r="V667">
            <v>100000</v>
          </cell>
          <cell r="W667">
            <v>0</v>
          </cell>
          <cell r="X667">
            <v>0</v>
          </cell>
          <cell r="Y667">
            <v>0</v>
          </cell>
          <cell r="AB667">
            <v>355000</v>
          </cell>
        </row>
        <row r="668">
          <cell r="B668" t="str">
            <v>45181134511001144Admin Expenses-N421125200104</v>
          </cell>
          <cell r="N668">
            <v>0</v>
          </cell>
          <cell r="O668">
            <v>0</v>
          </cell>
          <cell r="P668">
            <v>2330</v>
          </cell>
          <cell r="Q668">
            <v>105670</v>
          </cell>
          <cell r="R668">
            <v>12000</v>
          </cell>
          <cell r="S668">
            <v>12000</v>
          </cell>
          <cell r="T668">
            <v>12000</v>
          </cell>
          <cell r="U668">
            <v>12000</v>
          </cell>
          <cell r="V668">
            <v>12000</v>
          </cell>
          <cell r="W668">
            <v>12000</v>
          </cell>
          <cell r="X668">
            <v>12000</v>
          </cell>
          <cell r="Y668">
            <v>12000</v>
          </cell>
          <cell r="AB668">
            <v>204000</v>
          </cell>
        </row>
        <row r="669">
          <cell r="B669" t="str">
            <v>45181134511001144Hospitality-N424761200104</v>
          </cell>
          <cell r="N669">
            <v>0</v>
          </cell>
          <cell r="O669">
            <v>0</v>
          </cell>
          <cell r="P669">
            <v>0</v>
          </cell>
          <cell r="Q669">
            <v>20000</v>
          </cell>
          <cell r="R669">
            <v>10000</v>
          </cell>
          <cell r="S669">
            <v>10000</v>
          </cell>
          <cell r="T669">
            <v>10000</v>
          </cell>
          <cell r="U669">
            <v>10000</v>
          </cell>
          <cell r="V669">
            <v>10000</v>
          </cell>
          <cell r="W669">
            <v>10000</v>
          </cell>
          <cell r="X669">
            <v>10000</v>
          </cell>
          <cell r="Y669">
            <v>10000</v>
          </cell>
          <cell r="AB669">
            <v>100000</v>
          </cell>
        </row>
        <row r="670">
          <cell r="B670" t="str">
            <v>45181134511001146PR Mgmnt E-E-N424781200104</v>
          </cell>
          <cell r="N670">
            <v>0</v>
          </cell>
          <cell r="O670">
            <v>0</v>
          </cell>
          <cell r="P670">
            <v>0</v>
          </cell>
          <cell r="Q670">
            <v>1274810</v>
          </cell>
          <cell r="R670">
            <v>750779</v>
          </cell>
          <cell r="S670">
            <v>980658</v>
          </cell>
          <cell r="T670">
            <v>285140</v>
          </cell>
          <cell r="U670">
            <v>285140</v>
          </cell>
          <cell r="V670">
            <v>802640</v>
          </cell>
          <cell r="W670">
            <v>82640</v>
          </cell>
          <cell r="X670">
            <v>262640</v>
          </cell>
          <cell r="Y670">
            <v>82640</v>
          </cell>
          <cell r="AB670">
            <v>4807087</v>
          </cell>
        </row>
        <row r="671">
          <cell r="B671" t="str">
            <v>45181134511001148Subsidies-N462512200104</v>
          </cell>
          <cell r="N671">
            <v>0</v>
          </cell>
          <cell r="O671">
            <v>0</v>
          </cell>
          <cell r="P671">
            <v>1265719</v>
          </cell>
          <cell r="Q671">
            <v>3219236</v>
          </cell>
          <cell r="R671">
            <v>3379025</v>
          </cell>
          <cell r="S671">
            <v>2675989</v>
          </cell>
          <cell r="T671">
            <v>3142122</v>
          </cell>
          <cell r="U671">
            <v>2317156</v>
          </cell>
          <cell r="V671">
            <v>1298940</v>
          </cell>
          <cell r="W671">
            <v>1840285</v>
          </cell>
          <cell r="X671">
            <v>2376194</v>
          </cell>
          <cell r="Y671">
            <v>1133700</v>
          </cell>
          <cell r="AB671">
            <v>22648366</v>
          </cell>
        </row>
        <row r="672">
          <cell r="B672" t="str">
            <v>45181134511001149Facilities Rent-N425112200104</v>
          </cell>
          <cell r="N672">
            <v>0</v>
          </cell>
          <cell r="O672">
            <v>0</v>
          </cell>
          <cell r="P672">
            <v>20000</v>
          </cell>
          <cell r="Q672">
            <v>2669776</v>
          </cell>
          <cell r="R672">
            <v>0</v>
          </cell>
          <cell r="S672">
            <v>1394339</v>
          </cell>
          <cell r="T672">
            <v>20000</v>
          </cell>
          <cell r="U672">
            <v>1807517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AB672">
            <v>6882554</v>
          </cell>
        </row>
        <row r="673">
          <cell r="B673" t="str">
            <v>45131104511000246CampaignProductn-l422511201931</v>
          </cell>
          <cell r="N673">
            <v>0</v>
          </cell>
          <cell r="O673">
            <v>0</v>
          </cell>
          <cell r="P673">
            <v>518760</v>
          </cell>
          <cell r="Q673">
            <v>1181240</v>
          </cell>
          <cell r="R673">
            <v>200000</v>
          </cell>
          <cell r="S673">
            <v>200000</v>
          </cell>
          <cell r="T673">
            <v>1000000</v>
          </cell>
          <cell r="U673">
            <v>300000</v>
          </cell>
          <cell r="V673">
            <v>1000000</v>
          </cell>
          <cell r="W673">
            <v>600000</v>
          </cell>
          <cell r="X673">
            <v>1500000</v>
          </cell>
          <cell r="Y673">
            <v>500000</v>
          </cell>
          <cell r="AB673">
            <v>7000000</v>
          </cell>
        </row>
        <row r="674">
          <cell r="B674" t="str">
            <v>45131104511000246Collaterals-L422511201931</v>
          </cell>
          <cell r="N674">
            <v>0</v>
          </cell>
          <cell r="O674">
            <v>0</v>
          </cell>
          <cell r="P674">
            <v>0</v>
          </cell>
          <cell r="Q674">
            <v>250000</v>
          </cell>
          <cell r="R674">
            <v>0</v>
          </cell>
          <cell r="S674">
            <v>50000</v>
          </cell>
          <cell r="T674">
            <v>0</v>
          </cell>
          <cell r="U674">
            <v>50000</v>
          </cell>
          <cell r="V674">
            <v>0</v>
          </cell>
          <cell r="W674">
            <v>100000</v>
          </cell>
          <cell r="X674">
            <v>50000</v>
          </cell>
          <cell r="Y674">
            <v>0</v>
          </cell>
          <cell r="AB674">
            <v>500000</v>
          </cell>
        </row>
        <row r="675">
          <cell r="B675" t="str">
            <v>45131104511000246Gifts-N424231200104</v>
          </cell>
          <cell r="N675">
            <v>0</v>
          </cell>
          <cell r="O675">
            <v>0</v>
          </cell>
          <cell r="P675">
            <v>0</v>
          </cell>
          <cell r="Q675">
            <v>100000</v>
          </cell>
          <cell r="R675">
            <v>25000</v>
          </cell>
          <cell r="S675">
            <v>50000</v>
          </cell>
          <cell r="T675">
            <v>25000</v>
          </cell>
          <cell r="U675">
            <v>50000</v>
          </cell>
          <cell r="V675">
            <v>0</v>
          </cell>
          <cell r="W675">
            <v>100000</v>
          </cell>
          <cell r="X675">
            <v>100000</v>
          </cell>
          <cell r="Y675">
            <v>50000</v>
          </cell>
          <cell r="AB675">
            <v>500000</v>
          </cell>
        </row>
        <row r="676">
          <cell r="B676" t="str">
            <v>45131104511000251Translation-N424701200104</v>
          </cell>
          <cell r="N676">
            <v>0</v>
          </cell>
          <cell r="O676">
            <v>0</v>
          </cell>
          <cell r="P676">
            <v>0</v>
          </cell>
          <cell r="Q676">
            <v>250000</v>
          </cell>
          <cell r="R676">
            <v>0</v>
          </cell>
          <cell r="S676">
            <v>0</v>
          </cell>
          <cell r="T676">
            <v>500000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AB676">
            <v>750000</v>
          </cell>
        </row>
        <row r="677">
          <cell r="B677" t="str">
            <v>45131104511000364SM Mgmnt Rtnr-N421125200104</v>
          </cell>
          <cell r="N677">
            <v>0</v>
          </cell>
          <cell r="O677">
            <v>0</v>
          </cell>
          <cell r="P677">
            <v>0</v>
          </cell>
          <cell r="Q677">
            <v>3387431.32</v>
          </cell>
          <cell r="R677">
            <v>846857.83</v>
          </cell>
          <cell r="S677">
            <v>846857.83</v>
          </cell>
          <cell r="T677">
            <v>846857.83</v>
          </cell>
          <cell r="U677">
            <v>846857.83</v>
          </cell>
          <cell r="V677">
            <v>846857.83</v>
          </cell>
          <cell r="W677">
            <v>846857.83</v>
          </cell>
          <cell r="X677">
            <v>846857.83</v>
          </cell>
          <cell r="Y677">
            <v>846857.83</v>
          </cell>
          <cell r="AB677">
            <v>0</v>
          </cell>
        </row>
        <row r="678">
          <cell r="B678" t="str">
            <v>45131104511000656WebSupportRtnr-L421125201931</v>
          </cell>
          <cell r="N678">
            <v>0</v>
          </cell>
          <cell r="O678">
            <v>0</v>
          </cell>
          <cell r="P678">
            <v>0</v>
          </cell>
          <cell r="Q678">
            <v>833332</v>
          </cell>
          <cell r="R678">
            <v>208333</v>
          </cell>
          <cell r="S678">
            <v>208333</v>
          </cell>
          <cell r="T678">
            <v>208333</v>
          </cell>
          <cell r="U678">
            <v>208333</v>
          </cell>
          <cell r="V678">
            <v>208333</v>
          </cell>
          <cell r="W678">
            <v>208333</v>
          </cell>
          <cell r="X678">
            <v>208333</v>
          </cell>
          <cell r="Y678">
            <v>208333</v>
          </cell>
          <cell r="AB678">
            <v>2895042</v>
          </cell>
        </row>
        <row r="679">
          <cell r="B679" t="str">
            <v>45131104511001372Activation&amp;Prog-N422401200104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250000</v>
          </cell>
          <cell r="S679">
            <v>0</v>
          </cell>
          <cell r="T679">
            <v>0</v>
          </cell>
          <cell r="U679">
            <v>250000</v>
          </cell>
          <cell r="V679">
            <v>250000</v>
          </cell>
          <cell r="W679">
            <v>500000</v>
          </cell>
          <cell r="X679">
            <v>500000</v>
          </cell>
          <cell r="Y679">
            <v>250000</v>
          </cell>
          <cell r="AB679">
            <v>2000000</v>
          </cell>
        </row>
        <row r="680">
          <cell r="B680" t="str">
            <v>45131104511001556SM Mgmnt Rtnr-L421125201931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250000</v>
          </cell>
          <cell r="S680">
            <v>250000</v>
          </cell>
          <cell r="T680">
            <v>250000</v>
          </cell>
          <cell r="U680">
            <v>250000</v>
          </cell>
          <cell r="V680">
            <v>250000</v>
          </cell>
          <cell r="W680">
            <v>250000</v>
          </cell>
          <cell r="X680">
            <v>250000</v>
          </cell>
          <cell r="Y680">
            <v>250000</v>
          </cell>
          <cell r="AB680">
            <v>2000000</v>
          </cell>
        </row>
        <row r="681">
          <cell r="B681" t="str">
            <v>45131104511001612SM Mgmnt Rtnr-N421125200104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250000</v>
          </cell>
          <cell r="S681">
            <v>250000</v>
          </cell>
          <cell r="T681">
            <v>250000</v>
          </cell>
          <cell r="U681">
            <v>250000</v>
          </cell>
          <cell r="V681">
            <v>250000</v>
          </cell>
          <cell r="W681">
            <v>250000</v>
          </cell>
          <cell r="X681">
            <v>250000</v>
          </cell>
          <cell r="Y681">
            <v>250000</v>
          </cell>
          <cell r="AB681">
            <v>2000000</v>
          </cell>
        </row>
        <row r="682">
          <cell r="B682" t="str">
            <v>45131104511001612WebSupportRtnr-N421125200104</v>
          </cell>
          <cell r="N682">
            <v>0</v>
          </cell>
          <cell r="O682">
            <v>0</v>
          </cell>
          <cell r="P682">
            <v>0</v>
          </cell>
          <cell r="Q682">
            <v>300000</v>
          </cell>
          <cell r="R682">
            <v>150000</v>
          </cell>
          <cell r="S682">
            <v>150000</v>
          </cell>
          <cell r="T682">
            <v>150000</v>
          </cell>
          <cell r="U682">
            <v>150000</v>
          </cell>
          <cell r="V682">
            <v>150000</v>
          </cell>
          <cell r="W682">
            <v>150000</v>
          </cell>
          <cell r="X682">
            <v>150000</v>
          </cell>
          <cell r="Y682">
            <v>150000</v>
          </cell>
          <cell r="AB682">
            <v>1500000</v>
          </cell>
        </row>
        <row r="683">
          <cell r="B683" t="str">
            <v>45131204511000450PRMgmnt E-E Rtnr-N421125200104</v>
          </cell>
          <cell r="N683">
            <v>0</v>
          </cell>
          <cell r="O683">
            <v>0</v>
          </cell>
          <cell r="P683">
            <v>0</v>
          </cell>
          <cell r="Q683">
            <v>3758838.75</v>
          </cell>
          <cell r="R683">
            <v>939709.75</v>
          </cell>
          <cell r="S683">
            <v>939709.75</v>
          </cell>
          <cell r="T683">
            <v>939709.75</v>
          </cell>
          <cell r="U683">
            <v>939709.75</v>
          </cell>
          <cell r="V683">
            <v>939709.75</v>
          </cell>
          <cell r="W683">
            <v>939709.75</v>
          </cell>
          <cell r="X683">
            <v>939709.75</v>
          </cell>
          <cell r="Y683">
            <v>939709.75</v>
          </cell>
          <cell r="AB683">
            <v>11276516.75</v>
          </cell>
        </row>
        <row r="684">
          <cell r="B684" t="str">
            <v>45131204511000450PR Mgmnt E-E-N424781200104</v>
          </cell>
          <cell r="N684">
            <v>0</v>
          </cell>
          <cell r="O684">
            <v>0</v>
          </cell>
          <cell r="P684">
            <v>0</v>
          </cell>
          <cell r="Q684">
            <v>3952970</v>
          </cell>
          <cell r="R684">
            <v>908416</v>
          </cell>
          <cell r="S684">
            <v>386139</v>
          </cell>
          <cell r="T684">
            <v>193069</v>
          </cell>
          <cell r="U684">
            <v>193069</v>
          </cell>
          <cell r="V684">
            <v>193069</v>
          </cell>
          <cell r="W684">
            <v>386139</v>
          </cell>
          <cell r="X684">
            <v>321782</v>
          </cell>
          <cell r="Y684">
            <v>965347</v>
          </cell>
          <cell r="AB684">
            <v>8050000</v>
          </cell>
        </row>
        <row r="685">
          <cell r="B685" t="str">
            <v>45131204511000450Media outreach-N422511200104</v>
          </cell>
          <cell r="N685">
            <v>0</v>
          </cell>
          <cell r="O685">
            <v>0</v>
          </cell>
          <cell r="P685">
            <v>0</v>
          </cell>
          <cell r="Q685">
            <v>440000</v>
          </cell>
          <cell r="R685">
            <v>110000</v>
          </cell>
          <cell r="S685">
            <v>110000</v>
          </cell>
          <cell r="T685">
            <v>36666</v>
          </cell>
          <cell r="U685">
            <v>36667</v>
          </cell>
          <cell r="V685">
            <v>36667</v>
          </cell>
          <cell r="W685">
            <v>110000</v>
          </cell>
          <cell r="X685">
            <v>110000</v>
          </cell>
          <cell r="Y685">
            <v>110000</v>
          </cell>
          <cell r="AB685">
            <v>550000</v>
          </cell>
        </row>
        <row r="686">
          <cell r="B686" t="str">
            <v>45131204511000450Media Event-N422511200104</v>
          </cell>
          <cell r="N686">
            <v>0</v>
          </cell>
          <cell r="O686">
            <v>0</v>
          </cell>
          <cell r="P686">
            <v>0</v>
          </cell>
          <cell r="Q686">
            <v>280000</v>
          </cell>
          <cell r="R686">
            <v>70000</v>
          </cell>
          <cell r="S686">
            <v>70000</v>
          </cell>
          <cell r="T686">
            <v>23334</v>
          </cell>
          <cell r="U686">
            <v>23333</v>
          </cell>
          <cell r="V686">
            <v>23333</v>
          </cell>
          <cell r="W686">
            <v>70000</v>
          </cell>
          <cell r="X686">
            <v>70000</v>
          </cell>
          <cell r="Y686">
            <v>70000</v>
          </cell>
          <cell r="AB686">
            <v>0</v>
          </cell>
        </row>
        <row r="687">
          <cell r="B687" t="str">
            <v>45131204511000541PRMgmnt E-E Rtnr-N421125200104</v>
          </cell>
          <cell r="N687">
            <v>0</v>
          </cell>
          <cell r="O687">
            <v>0</v>
          </cell>
          <cell r="P687">
            <v>0</v>
          </cell>
          <cell r="Q687">
            <v>1204444.45</v>
          </cell>
          <cell r="R687">
            <v>724444.45</v>
          </cell>
          <cell r="S687">
            <v>724444.45</v>
          </cell>
          <cell r="T687">
            <v>724444.45</v>
          </cell>
          <cell r="U687">
            <v>724444.45</v>
          </cell>
          <cell r="V687">
            <v>724444.45</v>
          </cell>
          <cell r="W687">
            <v>724444.45</v>
          </cell>
          <cell r="X687">
            <v>724444.45</v>
          </cell>
          <cell r="Y687">
            <v>724444.45</v>
          </cell>
          <cell r="AB687">
            <v>7000000.0500000007</v>
          </cell>
        </row>
        <row r="688">
          <cell r="B688" t="str">
            <v>45131204511001612PR Mgmnt E-E-N424781200104</v>
          </cell>
          <cell r="N688">
            <v>0</v>
          </cell>
          <cell r="O688">
            <v>0</v>
          </cell>
          <cell r="P688">
            <v>0</v>
          </cell>
          <cell r="Q688">
            <v>250000</v>
          </cell>
          <cell r="R688">
            <v>250000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AB688">
            <v>500000</v>
          </cell>
        </row>
        <row r="689">
          <cell r="B689" t="str">
            <v>45131204511001612PRMgmnt E-E Rtnr-N421125200104</v>
          </cell>
          <cell r="N689">
            <v>0</v>
          </cell>
          <cell r="O689">
            <v>0</v>
          </cell>
          <cell r="P689">
            <v>0</v>
          </cell>
          <cell r="Q689">
            <v>200000</v>
          </cell>
          <cell r="R689">
            <v>50000</v>
          </cell>
          <cell r="S689">
            <v>50000</v>
          </cell>
          <cell r="T689">
            <v>16666.66</v>
          </cell>
          <cell r="U689">
            <v>16666.66</v>
          </cell>
          <cell r="V689">
            <v>16666.66</v>
          </cell>
          <cell r="W689">
            <v>50000</v>
          </cell>
          <cell r="X689">
            <v>50000</v>
          </cell>
          <cell r="Y689">
            <v>50000</v>
          </cell>
          <cell r="AB689">
            <v>0</v>
          </cell>
        </row>
        <row r="690">
          <cell r="B690" t="str">
            <v>45131304511000243Mission &amp; Travel-N423821200104</v>
          </cell>
          <cell r="N690">
            <v>0</v>
          </cell>
          <cell r="O690">
            <v>0</v>
          </cell>
          <cell r="P690">
            <v>34000</v>
          </cell>
          <cell r="Q690">
            <v>1026000</v>
          </cell>
          <cell r="R690">
            <v>595000</v>
          </cell>
          <cell r="S690">
            <v>165000</v>
          </cell>
          <cell r="T690">
            <v>0</v>
          </cell>
          <cell r="U690">
            <v>570000</v>
          </cell>
          <cell r="V690">
            <v>400000</v>
          </cell>
          <cell r="W690">
            <v>0</v>
          </cell>
          <cell r="X690">
            <v>584496</v>
          </cell>
          <cell r="Y690">
            <v>0</v>
          </cell>
          <cell r="AB690">
            <v>3374496</v>
          </cell>
        </row>
        <row r="691">
          <cell r="B691" t="str">
            <v>45131304511000243Research&amp;Survey-L423411201931</v>
          </cell>
          <cell r="N691">
            <v>0</v>
          </cell>
          <cell r="O691">
            <v>0</v>
          </cell>
          <cell r="P691">
            <v>0</v>
          </cell>
          <cell r="Q691">
            <v>500000</v>
          </cell>
          <cell r="R691">
            <v>0</v>
          </cell>
          <cell r="S691">
            <v>500000</v>
          </cell>
          <cell r="T691">
            <v>0</v>
          </cell>
          <cell r="U691">
            <v>0</v>
          </cell>
          <cell r="V691">
            <v>500000</v>
          </cell>
          <cell r="W691">
            <v>0</v>
          </cell>
          <cell r="X691">
            <v>0</v>
          </cell>
          <cell r="Y691">
            <v>500000</v>
          </cell>
          <cell r="AB691">
            <v>2000000</v>
          </cell>
        </row>
        <row r="692">
          <cell r="B692" t="str">
            <v>45131304511000243Admin Expenses-N421125200104</v>
          </cell>
          <cell r="N692">
            <v>0</v>
          </cell>
          <cell r="O692">
            <v>0</v>
          </cell>
          <cell r="P692">
            <v>123407.48000000001</v>
          </cell>
          <cell r="Q692">
            <v>646564.52</v>
          </cell>
          <cell r="R692">
            <v>64000</v>
          </cell>
          <cell r="S692">
            <v>64000</v>
          </cell>
          <cell r="T692">
            <v>64000</v>
          </cell>
          <cell r="U692">
            <v>64000</v>
          </cell>
          <cell r="V692">
            <v>76000</v>
          </cell>
          <cell r="W692">
            <v>76000</v>
          </cell>
          <cell r="X692">
            <v>76000</v>
          </cell>
          <cell r="Y692">
            <v>76000</v>
          </cell>
          <cell r="AB692">
            <v>1329972</v>
          </cell>
        </row>
        <row r="693">
          <cell r="B693" t="str">
            <v>45131304511000243Awards submission-L424231201931</v>
          </cell>
          <cell r="N693">
            <v>0</v>
          </cell>
          <cell r="O693">
            <v>0</v>
          </cell>
          <cell r="P693">
            <v>0</v>
          </cell>
          <cell r="Q693">
            <v>60600</v>
          </cell>
          <cell r="R693">
            <v>38000</v>
          </cell>
          <cell r="S693">
            <v>52000</v>
          </cell>
          <cell r="T693">
            <v>12000</v>
          </cell>
          <cell r="U693">
            <v>18000</v>
          </cell>
          <cell r="V693">
            <v>101000</v>
          </cell>
          <cell r="W693">
            <v>12800</v>
          </cell>
          <cell r="X693">
            <v>0</v>
          </cell>
          <cell r="Y693">
            <v>6000</v>
          </cell>
          <cell r="AB693">
            <v>300400</v>
          </cell>
        </row>
        <row r="694">
          <cell r="B694" t="str">
            <v>45131304511000251Freelancers-N424521200104</v>
          </cell>
          <cell r="N694">
            <v>0</v>
          </cell>
          <cell r="O694">
            <v>638500</v>
          </cell>
          <cell r="P694">
            <v>1154833.33</v>
          </cell>
          <cell r="Q694">
            <v>1257733.67</v>
          </cell>
          <cell r="R694">
            <v>1033000</v>
          </cell>
          <cell r="S694">
            <v>1033000</v>
          </cell>
          <cell r="T694">
            <v>1033000</v>
          </cell>
          <cell r="U694">
            <v>1033000</v>
          </cell>
          <cell r="V694">
            <v>1033000</v>
          </cell>
          <cell r="W694">
            <v>1033000</v>
          </cell>
          <cell r="X694">
            <v>1033000</v>
          </cell>
          <cell r="Y694">
            <v>1033000</v>
          </cell>
          <cell r="AB694">
            <v>11315067</v>
          </cell>
        </row>
        <row r="695">
          <cell r="B695" t="str">
            <v>45131304511000373Sponsorship Fees-N424811200104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250000</v>
          </cell>
          <cell r="V695">
            <v>0</v>
          </cell>
          <cell r="W695">
            <v>0</v>
          </cell>
          <cell r="X695">
            <v>0</v>
          </cell>
          <cell r="Y695">
            <v>250000</v>
          </cell>
          <cell r="AB695">
            <v>500000</v>
          </cell>
        </row>
        <row r="696">
          <cell r="B696" t="str">
            <v>45131304511000450Trade Partners-L424251201931</v>
          </cell>
          <cell r="N696">
            <v>0</v>
          </cell>
          <cell r="O696">
            <v>0</v>
          </cell>
          <cell r="P696">
            <v>0</v>
          </cell>
          <cell r="Q696">
            <v>5761548</v>
          </cell>
          <cell r="R696">
            <v>6713481</v>
          </cell>
          <cell r="S696">
            <v>1468960</v>
          </cell>
          <cell r="T696">
            <v>1285340</v>
          </cell>
          <cell r="U696">
            <v>1101720</v>
          </cell>
          <cell r="V696">
            <v>1101720</v>
          </cell>
          <cell r="W696">
            <v>1451720</v>
          </cell>
          <cell r="X696">
            <v>2728451</v>
          </cell>
          <cell r="Y696">
            <v>2387060</v>
          </cell>
          <cell r="AB696">
            <v>14855233</v>
          </cell>
        </row>
        <row r="697">
          <cell r="B697" t="str">
            <v>45131304511000450Media Mgmnt &amp;Buy-L422511201931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6981796</v>
          </cell>
          <cell r="S697">
            <v>2570000</v>
          </cell>
          <cell r="T697">
            <v>2570000</v>
          </cell>
          <cell r="U697">
            <v>2570000</v>
          </cell>
          <cell r="V697">
            <v>3570000</v>
          </cell>
          <cell r="W697">
            <v>3530000</v>
          </cell>
          <cell r="X697">
            <v>0</v>
          </cell>
          <cell r="Y697">
            <v>0</v>
          </cell>
          <cell r="AB697">
            <v>21791796</v>
          </cell>
        </row>
        <row r="698">
          <cell r="B698" t="str">
            <v>45131304511000450General Retainer-L421125201931</v>
          </cell>
          <cell r="N698">
            <v>0</v>
          </cell>
          <cell r="O698">
            <v>0</v>
          </cell>
          <cell r="P698">
            <v>0</v>
          </cell>
          <cell r="Q698">
            <v>1348288.5</v>
          </cell>
          <cell r="R698">
            <v>293071.5</v>
          </cell>
          <cell r="S698">
            <v>293071.5</v>
          </cell>
          <cell r="T698">
            <v>293071.5</v>
          </cell>
          <cell r="U698">
            <v>293071.5</v>
          </cell>
          <cell r="V698">
            <v>293071.5</v>
          </cell>
          <cell r="W698">
            <v>293071.5</v>
          </cell>
          <cell r="X698">
            <v>293071.5</v>
          </cell>
          <cell r="Y698">
            <v>293071.5</v>
          </cell>
          <cell r="AB698">
            <v>3692860.5</v>
          </cell>
        </row>
        <row r="699">
          <cell r="B699" t="str">
            <v>45131304511000453MediaBuyRetainer-L421125201931</v>
          </cell>
          <cell r="N699">
            <v>0</v>
          </cell>
          <cell r="O699">
            <v>0</v>
          </cell>
          <cell r="P699">
            <v>0</v>
          </cell>
          <cell r="Q699">
            <v>420001</v>
          </cell>
          <cell r="R699">
            <v>105000.25</v>
          </cell>
          <cell r="S699">
            <v>105000.25</v>
          </cell>
          <cell r="T699">
            <v>105000.25</v>
          </cell>
          <cell r="U699">
            <v>105000.25</v>
          </cell>
          <cell r="V699">
            <v>105000.25</v>
          </cell>
          <cell r="W699">
            <v>105000.25</v>
          </cell>
          <cell r="X699">
            <v>105000.25</v>
          </cell>
          <cell r="Y699">
            <v>105000.25</v>
          </cell>
          <cell r="AB699">
            <v>1260003</v>
          </cell>
        </row>
        <row r="700">
          <cell r="B700" t="str">
            <v>45131304511000657Brand Tracking-N423411200104</v>
          </cell>
          <cell r="N700">
            <v>0</v>
          </cell>
          <cell r="O700">
            <v>0</v>
          </cell>
          <cell r="P700">
            <v>0</v>
          </cell>
          <cell r="Q700">
            <v>3095672</v>
          </cell>
          <cell r="R700">
            <v>249584</v>
          </cell>
          <cell r="S700">
            <v>1642084</v>
          </cell>
          <cell r="T700">
            <v>1359732</v>
          </cell>
          <cell r="U700">
            <v>99584</v>
          </cell>
          <cell r="V700">
            <v>1852084</v>
          </cell>
          <cell r="W700">
            <v>249584</v>
          </cell>
          <cell r="X700">
            <v>99584</v>
          </cell>
          <cell r="Y700">
            <v>1852092</v>
          </cell>
          <cell r="AB700">
            <v>10289000</v>
          </cell>
        </row>
        <row r="701">
          <cell r="B701" t="str">
            <v>45131304511001095Sponsorship Fees-L424811201931</v>
          </cell>
          <cell r="N701">
            <v>0</v>
          </cell>
          <cell r="O701">
            <v>0</v>
          </cell>
          <cell r="P701">
            <v>0</v>
          </cell>
          <cell r="Q701">
            <v>2530000</v>
          </cell>
          <cell r="R701">
            <v>875000</v>
          </cell>
          <cell r="S701">
            <v>450000</v>
          </cell>
          <cell r="T701">
            <v>0</v>
          </cell>
          <cell r="U701">
            <v>90000</v>
          </cell>
          <cell r="V701">
            <v>500000</v>
          </cell>
          <cell r="W701">
            <v>1200000</v>
          </cell>
          <cell r="X701">
            <v>450000</v>
          </cell>
          <cell r="Y701">
            <v>905000</v>
          </cell>
          <cell r="AB701">
            <v>6604954</v>
          </cell>
        </row>
        <row r="702">
          <cell r="B702" t="str">
            <v>45131304511001117Media Mgmnt &amp;Buy-L422511201931</v>
          </cell>
          <cell r="N702">
            <v>0</v>
          </cell>
          <cell r="O702">
            <v>0</v>
          </cell>
          <cell r="P702">
            <v>0</v>
          </cell>
          <cell r="Q702">
            <v>189891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AB702">
            <v>189891</v>
          </cell>
        </row>
        <row r="703">
          <cell r="B703" t="str">
            <v>45131304511001118General Retainer-N421125200104</v>
          </cell>
          <cell r="N703">
            <v>0</v>
          </cell>
          <cell r="O703">
            <v>0</v>
          </cell>
          <cell r="P703">
            <v>0</v>
          </cell>
          <cell r="Q703">
            <v>2136887.4</v>
          </cell>
          <cell r="R703">
            <v>424054</v>
          </cell>
          <cell r="S703">
            <v>424054</v>
          </cell>
          <cell r="T703">
            <v>424054</v>
          </cell>
          <cell r="U703">
            <v>424054</v>
          </cell>
          <cell r="V703">
            <v>424054</v>
          </cell>
          <cell r="W703">
            <v>424054</v>
          </cell>
          <cell r="X703">
            <v>424054</v>
          </cell>
          <cell r="Y703">
            <v>424054</v>
          </cell>
          <cell r="AB703">
            <v>5529319.4000000004</v>
          </cell>
        </row>
        <row r="704">
          <cell r="B704" t="str">
            <v>45131304511001229Sponsorship Fees-L424811201931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1138320</v>
          </cell>
          <cell r="T704">
            <v>0</v>
          </cell>
          <cell r="U704">
            <v>15422400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AB704">
            <v>16560720</v>
          </cell>
        </row>
        <row r="705">
          <cell r="B705" t="str">
            <v>45131304511001271Sponsorship Fees-L424811201931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1372700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1372700</v>
          </cell>
          <cell r="AB705">
            <v>2745400</v>
          </cell>
        </row>
        <row r="706">
          <cell r="B706" t="str">
            <v>45131304511001320Sponsorship Fees-N1424811200104</v>
          </cell>
          <cell r="N706">
            <v>0</v>
          </cell>
          <cell r="O706">
            <v>0</v>
          </cell>
          <cell r="P706">
            <v>0</v>
          </cell>
          <cell r="Q706">
            <v>9250000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AB706">
            <v>0</v>
          </cell>
        </row>
        <row r="707">
          <cell r="B707" t="str">
            <v>45131304511001322Sponsorship Fees-L1424811201932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73500000</v>
          </cell>
          <cell r="X707">
            <v>0</v>
          </cell>
          <cell r="Y707">
            <v>0</v>
          </cell>
          <cell r="AB707">
            <v>73500000</v>
          </cell>
        </row>
        <row r="708">
          <cell r="B708" t="str">
            <v>45131304511001335Talent Fees-L422511201931</v>
          </cell>
          <cell r="N708">
            <v>0</v>
          </cell>
          <cell r="O708">
            <v>0</v>
          </cell>
          <cell r="P708">
            <v>0</v>
          </cell>
          <cell r="Q708">
            <v>20185000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4373100</v>
          </cell>
          <cell r="X708">
            <v>0</v>
          </cell>
          <cell r="Y708">
            <v>0</v>
          </cell>
          <cell r="AB708">
            <v>24558100</v>
          </cell>
        </row>
        <row r="709">
          <cell r="B709" t="str">
            <v>45131304511001335Media Mgmnt &amp;Buy-L422511201931</v>
          </cell>
          <cell r="N709">
            <v>0</v>
          </cell>
          <cell r="O709">
            <v>0</v>
          </cell>
          <cell r="P709">
            <v>0</v>
          </cell>
          <cell r="Q709">
            <v>22954412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AB709">
            <v>22954412</v>
          </cell>
        </row>
        <row r="710">
          <cell r="B710" t="str">
            <v>45131304511001339Media Mgmnt &amp;Buy-L422511201931</v>
          </cell>
          <cell r="N710">
            <v>0</v>
          </cell>
          <cell r="O710">
            <v>0</v>
          </cell>
          <cell r="P710">
            <v>0</v>
          </cell>
          <cell r="Q710">
            <v>18479379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AB710">
            <v>18479379</v>
          </cell>
        </row>
        <row r="711">
          <cell r="B711" t="str">
            <v>45131304511001340Celebrities-L422511201931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26217746</v>
          </cell>
          <cell r="AB711">
            <v>26217746</v>
          </cell>
        </row>
        <row r="712">
          <cell r="B712" t="str">
            <v>45131304511001343Celebrities-N422511200104</v>
          </cell>
          <cell r="N712">
            <v>0</v>
          </cell>
          <cell r="O712">
            <v>0</v>
          </cell>
          <cell r="P712">
            <v>0</v>
          </cell>
          <cell r="Q712">
            <v>5049759.7</v>
          </cell>
          <cell r="R712">
            <v>1207430</v>
          </cell>
          <cell r="S712">
            <v>51380</v>
          </cell>
          <cell r="T712">
            <v>154140</v>
          </cell>
          <cell r="U712">
            <v>102760</v>
          </cell>
          <cell r="V712">
            <v>411040</v>
          </cell>
          <cell r="W712">
            <v>3725050</v>
          </cell>
          <cell r="X712">
            <v>13163373</v>
          </cell>
          <cell r="Y712">
            <v>513800</v>
          </cell>
          <cell r="AB712">
            <v>11206876.699999999</v>
          </cell>
        </row>
        <row r="713">
          <cell r="B713" t="str">
            <v>45131304511001346Offline Ads-L422511201931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7500000</v>
          </cell>
          <cell r="AB713">
            <v>7500000</v>
          </cell>
        </row>
        <row r="714">
          <cell r="B714" t="str">
            <v>45131304511001347Media Mgmnt &amp;Buy-L422511201931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4800000</v>
          </cell>
          <cell r="S714">
            <v>1600000</v>
          </cell>
          <cell r="T714">
            <v>1600000</v>
          </cell>
          <cell r="U714">
            <v>1600000</v>
          </cell>
          <cell r="V714">
            <v>1600000</v>
          </cell>
          <cell r="W714">
            <v>1600000</v>
          </cell>
          <cell r="X714">
            <v>1600000</v>
          </cell>
          <cell r="Y714">
            <v>1600000</v>
          </cell>
          <cell r="AB714">
            <v>16000000</v>
          </cell>
        </row>
        <row r="715">
          <cell r="B715" t="str">
            <v>45131304511001349Offline Ads-L422511201931</v>
          </cell>
          <cell r="N715">
            <v>0</v>
          </cell>
          <cell r="O715">
            <v>0</v>
          </cell>
          <cell r="P715">
            <v>0</v>
          </cell>
          <cell r="Q715">
            <v>3344056.4000000004</v>
          </cell>
          <cell r="R715">
            <v>0</v>
          </cell>
          <cell r="S715">
            <v>0</v>
          </cell>
          <cell r="T715">
            <v>0</v>
          </cell>
          <cell r="U715">
            <v>836014.10000000009</v>
          </cell>
          <cell r="V715">
            <v>836014.10000000009</v>
          </cell>
          <cell r="W715">
            <v>836014.10000000009</v>
          </cell>
          <cell r="X715">
            <v>836014.10000000009</v>
          </cell>
          <cell r="Y715">
            <v>836014.10000000009</v>
          </cell>
          <cell r="AB715">
            <v>7524126.9000000004</v>
          </cell>
        </row>
        <row r="716">
          <cell r="B716" t="str">
            <v>45131304511001350Offline Ads-L422511201931</v>
          </cell>
          <cell r="N716">
            <v>0</v>
          </cell>
          <cell r="O716">
            <v>0</v>
          </cell>
          <cell r="P716">
            <v>0</v>
          </cell>
          <cell r="Q716">
            <v>3372372</v>
          </cell>
          <cell r="R716">
            <v>0</v>
          </cell>
          <cell r="S716">
            <v>0</v>
          </cell>
          <cell r="T716">
            <v>0</v>
          </cell>
          <cell r="U716">
            <v>843093</v>
          </cell>
          <cell r="V716">
            <v>843093</v>
          </cell>
          <cell r="W716">
            <v>843093</v>
          </cell>
          <cell r="X716">
            <v>843093</v>
          </cell>
          <cell r="Y716">
            <v>843093</v>
          </cell>
          <cell r="AB716">
            <v>7587837</v>
          </cell>
        </row>
        <row r="717">
          <cell r="B717" t="str">
            <v>45131304511001352Offline Ads-L422511201931</v>
          </cell>
          <cell r="N717">
            <v>0</v>
          </cell>
          <cell r="O717">
            <v>0</v>
          </cell>
          <cell r="P717">
            <v>0</v>
          </cell>
          <cell r="Q717">
            <v>3118849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AB717">
            <v>3118849</v>
          </cell>
        </row>
        <row r="718">
          <cell r="B718" t="str">
            <v>45131304511001355Offline Ads-L422511201931</v>
          </cell>
          <cell r="N718">
            <v>0</v>
          </cell>
          <cell r="O718">
            <v>0</v>
          </cell>
          <cell r="P718">
            <v>0</v>
          </cell>
          <cell r="Q718">
            <v>1886025.6</v>
          </cell>
          <cell r="R718">
            <v>0</v>
          </cell>
          <cell r="S718">
            <v>0</v>
          </cell>
          <cell r="T718">
            <v>0</v>
          </cell>
          <cell r="U718">
            <v>471506.4</v>
          </cell>
          <cell r="V718">
            <v>471506.4</v>
          </cell>
          <cell r="W718">
            <v>471506.4</v>
          </cell>
          <cell r="X718">
            <v>471506.4</v>
          </cell>
          <cell r="Y718">
            <v>471506.4</v>
          </cell>
          <cell r="AB718">
            <v>4243557.5999999996</v>
          </cell>
        </row>
        <row r="719">
          <cell r="B719" t="str">
            <v>45131304511001356Offline Ads-L422511201931</v>
          </cell>
          <cell r="N719">
            <v>0</v>
          </cell>
          <cell r="O719">
            <v>0</v>
          </cell>
          <cell r="P719">
            <v>0</v>
          </cell>
          <cell r="Q719">
            <v>1721720.4000000001</v>
          </cell>
          <cell r="R719">
            <v>0</v>
          </cell>
          <cell r="S719">
            <v>0</v>
          </cell>
          <cell r="T719">
            <v>0</v>
          </cell>
          <cell r="U719">
            <v>430430.10000000003</v>
          </cell>
          <cell r="V719">
            <v>430430.10000000003</v>
          </cell>
          <cell r="W719">
            <v>430430.10000000003</v>
          </cell>
          <cell r="X719">
            <v>430430.10000000003</v>
          </cell>
          <cell r="Y719">
            <v>430430.10000000003</v>
          </cell>
          <cell r="AB719">
            <v>3873870.9000000004</v>
          </cell>
        </row>
        <row r="720">
          <cell r="B720" t="str">
            <v>45131304511001358Sponsorship Fees-L424811201931</v>
          </cell>
          <cell r="N720">
            <v>0</v>
          </cell>
          <cell r="O720">
            <v>0</v>
          </cell>
          <cell r="P720">
            <v>0</v>
          </cell>
          <cell r="Q720">
            <v>10500000</v>
          </cell>
          <cell r="R720">
            <v>0</v>
          </cell>
          <cell r="S720">
            <v>0</v>
          </cell>
          <cell r="T720">
            <v>10657500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AB720">
            <v>21571795</v>
          </cell>
        </row>
        <row r="721">
          <cell r="B721" t="str">
            <v>45131304511001359Offline Ads-L422511201931</v>
          </cell>
          <cell r="N721">
            <v>0</v>
          </cell>
          <cell r="O721">
            <v>0</v>
          </cell>
          <cell r="P721">
            <v>0</v>
          </cell>
          <cell r="Q721">
            <v>1571694.8</v>
          </cell>
          <cell r="R721">
            <v>0</v>
          </cell>
          <cell r="S721">
            <v>0</v>
          </cell>
          <cell r="T721">
            <v>0</v>
          </cell>
          <cell r="U721">
            <v>392923.7</v>
          </cell>
          <cell r="V721">
            <v>392923.7</v>
          </cell>
          <cell r="W721">
            <v>392923.7</v>
          </cell>
          <cell r="X721">
            <v>392923.7</v>
          </cell>
          <cell r="Y721">
            <v>392923.7</v>
          </cell>
          <cell r="AB721">
            <v>3536313.3000000007</v>
          </cell>
        </row>
        <row r="722">
          <cell r="B722" t="str">
            <v>45131304511001362Celebrities-L422511201931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13909851</v>
          </cell>
          <cell r="X722">
            <v>0</v>
          </cell>
          <cell r="Y722">
            <v>0</v>
          </cell>
          <cell r="AB722">
            <v>13909851</v>
          </cell>
        </row>
        <row r="723">
          <cell r="B723" t="str">
            <v>45131304511001367Offline Ads-L422511201931</v>
          </cell>
          <cell r="N723">
            <v>0</v>
          </cell>
          <cell r="O723">
            <v>0</v>
          </cell>
          <cell r="P723">
            <v>0</v>
          </cell>
          <cell r="Q723">
            <v>1072597.2</v>
          </cell>
          <cell r="R723">
            <v>0</v>
          </cell>
          <cell r="S723">
            <v>0</v>
          </cell>
          <cell r="T723">
            <v>0</v>
          </cell>
          <cell r="U723">
            <v>268149.3</v>
          </cell>
          <cell r="V723">
            <v>268149.3</v>
          </cell>
          <cell r="W723">
            <v>268149.3</v>
          </cell>
          <cell r="X723">
            <v>268149.3</v>
          </cell>
          <cell r="Y723">
            <v>268149.3</v>
          </cell>
          <cell r="AB723">
            <v>2413343.6999999997</v>
          </cell>
        </row>
        <row r="724">
          <cell r="B724" t="str">
            <v>45131304511001369Celebrities-L422511201931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2195027</v>
          </cell>
          <cell r="X724">
            <v>0</v>
          </cell>
          <cell r="Y724">
            <v>0</v>
          </cell>
          <cell r="AB724">
            <v>2195027</v>
          </cell>
        </row>
        <row r="725">
          <cell r="B725" t="str">
            <v>45131304511001370Offline Ads-L422511201931</v>
          </cell>
          <cell r="N725">
            <v>0</v>
          </cell>
          <cell r="O725">
            <v>0</v>
          </cell>
          <cell r="P725">
            <v>0</v>
          </cell>
          <cell r="Q725">
            <v>799165.60000000009</v>
          </cell>
          <cell r="R725">
            <v>0</v>
          </cell>
          <cell r="S725">
            <v>0</v>
          </cell>
          <cell r="T725">
            <v>0</v>
          </cell>
          <cell r="U725">
            <v>199791.40000000002</v>
          </cell>
          <cell r="V725">
            <v>199791.40000000002</v>
          </cell>
          <cell r="W725">
            <v>199791.40000000002</v>
          </cell>
          <cell r="X725">
            <v>199791.40000000002</v>
          </cell>
          <cell r="Y725">
            <v>199791.40000000002</v>
          </cell>
          <cell r="AB725">
            <v>1798122.6</v>
          </cell>
        </row>
        <row r="726">
          <cell r="B726" t="str">
            <v>45131304511001371Media Mgmnt &amp;Buy-L422511201931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81579.792055720347</v>
          </cell>
          <cell r="Y726">
            <v>54386.528037146898</v>
          </cell>
          <cell r="AB726">
            <v>135966.32009286724</v>
          </cell>
        </row>
        <row r="727">
          <cell r="B727" t="str">
            <v>45131304511001373Media Mgmnt &amp;Buy-L422511201931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879552.17682778463</v>
          </cell>
          <cell r="X727">
            <v>527731.3060966708</v>
          </cell>
          <cell r="Y727">
            <v>351820.87073111389</v>
          </cell>
          <cell r="AB727">
            <v>1759104.3536555693</v>
          </cell>
        </row>
        <row r="728">
          <cell r="B728" t="str">
            <v>45131304511001499Sponsorship Fees-L424811201932</v>
          </cell>
          <cell r="N728">
            <v>0</v>
          </cell>
          <cell r="O728">
            <v>0</v>
          </cell>
          <cell r="P728">
            <v>27543750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27511250</v>
          </cell>
          <cell r="Y728">
            <v>0</v>
          </cell>
          <cell r="AB728">
            <v>55055000</v>
          </cell>
        </row>
        <row r="729">
          <cell r="B729" t="str">
            <v>45131304511001499Sponsorship Fees-N424811200104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245000</v>
          </cell>
          <cell r="Y729">
            <v>0</v>
          </cell>
          <cell r="AB729">
            <v>245000</v>
          </cell>
        </row>
        <row r="730">
          <cell r="B730" t="str">
            <v>45131304511001547Celebrities-L422511201931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106614</v>
          </cell>
          <cell r="AB730">
            <v>106614</v>
          </cell>
        </row>
        <row r="731">
          <cell r="B731" t="str">
            <v>45131304511001547Media Mgmnt &amp;Buy-L422511201931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55951.704021809404</v>
          </cell>
          <cell r="AB731">
            <v>55951.704021809404</v>
          </cell>
        </row>
        <row r="732">
          <cell r="B732" t="str">
            <v>45131304511001548Media Mgmnt &amp;Buy-L422511201931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342820.84798029787</v>
          </cell>
          <cell r="S732">
            <v>79112.343341019354</v>
          </cell>
          <cell r="T732">
            <v>79112.343341019354</v>
          </cell>
          <cell r="U732">
            <v>79112.343341019354</v>
          </cell>
          <cell r="V732">
            <v>79112.343341019354</v>
          </cell>
          <cell r="W732">
            <v>79112.343341019354</v>
          </cell>
          <cell r="X732">
            <v>131854.25231963926</v>
          </cell>
          <cell r="Y732">
            <v>158225.20680894921</v>
          </cell>
          <cell r="AB732">
            <v>1028462.0238139831</v>
          </cell>
        </row>
        <row r="733">
          <cell r="B733" t="str">
            <v>45131304511001549Media Mgmnt &amp;Buy-L422511201931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57743.263100790879</v>
          </cell>
          <cell r="S733">
            <v>13325.341451588498</v>
          </cell>
          <cell r="T733">
            <v>13325.341451588498</v>
          </cell>
          <cell r="U733">
            <v>13325.341451588498</v>
          </cell>
          <cell r="V733">
            <v>13325.341451588498</v>
          </cell>
          <cell r="W733">
            <v>13325.341451588498</v>
          </cell>
          <cell r="X733">
            <v>22208.960824601192</v>
          </cell>
          <cell r="Y733">
            <v>26650.770511107541</v>
          </cell>
          <cell r="AB733">
            <v>173229.7016944421</v>
          </cell>
        </row>
        <row r="734">
          <cell r="B734" t="str">
            <v>45131304511001550Media Mgmnt &amp;Buy-L422511201931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680254.50774194254</v>
          </cell>
          <cell r="AB734">
            <v>680254.50774194254</v>
          </cell>
        </row>
        <row r="735">
          <cell r="B735" t="str">
            <v>45131304511001551Media Mgmnt &amp;Buy-L422511201931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111044.70223498273</v>
          </cell>
          <cell r="AB735">
            <v>111044.70223498273</v>
          </cell>
        </row>
        <row r="736">
          <cell r="B736" t="str">
            <v>45131304511001552Media Mgmnt &amp;Buy-L422511201931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1526330.5514518274</v>
          </cell>
          <cell r="S736">
            <v>352230.12725811399</v>
          </cell>
          <cell r="T736">
            <v>352230.12725811399</v>
          </cell>
          <cell r="U736">
            <v>352230.12725811399</v>
          </cell>
          <cell r="V736">
            <v>352230.12725811399</v>
          </cell>
          <cell r="W736">
            <v>352230.12725811399</v>
          </cell>
          <cell r="X736">
            <v>587050.21209685667</v>
          </cell>
          <cell r="Y736">
            <v>704460.25451622799</v>
          </cell>
          <cell r="AB736">
            <v>4578991.6543554822</v>
          </cell>
        </row>
        <row r="737">
          <cell r="B737" t="str">
            <v>45131304511001553Media Mgmnt &amp;Buy-L422511201931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103335.57990441225</v>
          </cell>
          <cell r="S737">
            <v>23846.672285633598</v>
          </cell>
          <cell r="T737">
            <v>23846.672285633598</v>
          </cell>
          <cell r="U737">
            <v>23846.672285633598</v>
          </cell>
          <cell r="V737">
            <v>23846.672285633598</v>
          </cell>
          <cell r="W737">
            <v>23846.672285633598</v>
          </cell>
          <cell r="X737">
            <v>39744.453809389328</v>
          </cell>
          <cell r="Y737">
            <v>47693.344571267196</v>
          </cell>
          <cell r="AB737">
            <v>310006.73971323681</v>
          </cell>
        </row>
        <row r="738">
          <cell r="B738" t="str">
            <v>45131304511001558Influencers-L422511201931</v>
          </cell>
          <cell r="N738">
            <v>0</v>
          </cell>
          <cell r="O738">
            <v>0</v>
          </cell>
          <cell r="P738">
            <v>0</v>
          </cell>
          <cell r="Q738">
            <v>5200000.09</v>
          </cell>
          <cell r="R738">
            <v>14269958.800000001</v>
          </cell>
          <cell r="S738">
            <v>4282765.22</v>
          </cell>
          <cell r="T738">
            <v>4282765.22</v>
          </cell>
          <cell r="U738">
            <v>4282765.22</v>
          </cell>
          <cell r="V738">
            <v>5571034.3099999996</v>
          </cell>
          <cell r="W738">
            <v>8166678.5099999998</v>
          </cell>
          <cell r="X738">
            <v>7522542.1299999999</v>
          </cell>
          <cell r="Y738">
            <v>8166678.5099999998</v>
          </cell>
          <cell r="AB738">
            <v>61745188.009999998</v>
          </cell>
        </row>
        <row r="739">
          <cell r="B739" t="str">
            <v>45131304511001558General Retainer-L421125201931</v>
          </cell>
          <cell r="N739">
            <v>0</v>
          </cell>
          <cell r="O739">
            <v>0</v>
          </cell>
          <cell r="P739">
            <v>0</v>
          </cell>
          <cell r="Q739">
            <v>2523736</v>
          </cell>
          <cell r="R739">
            <v>630934</v>
          </cell>
          <cell r="S739">
            <v>630934</v>
          </cell>
          <cell r="T739">
            <v>850000</v>
          </cell>
          <cell r="U739">
            <v>850000</v>
          </cell>
          <cell r="V739">
            <v>850000</v>
          </cell>
          <cell r="W739">
            <v>850000</v>
          </cell>
          <cell r="X739">
            <v>850000</v>
          </cell>
          <cell r="Y739">
            <v>850000</v>
          </cell>
          <cell r="AB739">
            <v>8885604</v>
          </cell>
        </row>
        <row r="740">
          <cell r="B740" t="str">
            <v>45112504511000510Cleaning Service-N422311200104</v>
          </cell>
          <cell r="N740">
            <v>0</v>
          </cell>
          <cell r="O740">
            <v>0</v>
          </cell>
          <cell r="P740">
            <v>0</v>
          </cell>
          <cell r="Q740">
            <v>24368.6666</v>
          </cell>
          <cell r="R740">
            <v>6092.1665999999996</v>
          </cell>
          <cell r="S740">
            <v>6092.1665999999996</v>
          </cell>
          <cell r="T740">
            <v>6092.1665999999996</v>
          </cell>
          <cell r="U740">
            <v>6092.1665999999996</v>
          </cell>
          <cell r="V740">
            <v>6092.1665999999996</v>
          </cell>
          <cell r="W740">
            <v>6092.1665999999996</v>
          </cell>
          <cell r="X740">
            <v>6092.1665999999996</v>
          </cell>
          <cell r="Y740">
            <v>6092.1665999999996</v>
          </cell>
          <cell r="AB740">
            <v>73105.999399999986</v>
          </cell>
        </row>
        <row r="741">
          <cell r="B741" t="str">
            <v>45131304511001560Influencers-L422511201931</v>
          </cell>
          <cell r="N741">
            <v>0</v>
          </cell>
          <cell r="O741">
            <v>0</v>
          </cell>
          <cell r="P741">
            <v>0</v>
          </cell>
          <cell r="Q741">
            <v>4339753.6399999997</v>
          </cell>
          <cell r="R741">
            <v>793353.07499999995</v>
          </cell>
          <cell r="S741">
            <v>1129870.06</v>
          </cell>
          <cell r="T741">
            <v>1129870.06</v>
          </cell>
          <cell r="U741">
            <v>1129870.06</v>
          </cell>
          <cell r="V741">
            <v>1466394.38</v>
          </cell>
          <cell r="W741">
            <v>2158541.7000000002</v>
          </cell>
          <cell r="X741">
            <v>1990275.87</v>
          </cell>
          <cell r="Y741">
            <v>2116883.4700000002</v>
          </cell>
          <cell r="AB741">
            <v>16254812.315000003</v>
          </cell>
        </row>
        <row r="742">
          <cell r="B742" t="str">
            <v>45131304511001561Media Mgmnt &amp;Buy-L422511201931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30997558.23036306</v>
          </cell>
          <cell r="S742">
            <v>21698291.403895594</v>
          </cell>
          <cell r="T742">
            <v>15498779.11518153</v>
          </cell>
          <cell r="U742">
            <v>12399023.774126314</v>
          </cell>
          <cell r="V742">
            <v>12399023.774126314</v>
          </cell>
          <cell r="W742">
            <v>10332519.41012102</v>
          </cell>
          <cell r="X742">
            <v>0</v>
          </cell>
          <cell r="Y742">
            <v>0</v>
          </cell>
          <cell r="AB742">
            <v>103325195.70781386</v>
          </cell>
        </row>
        <row r="743">
          <cell r="B743" t="str">
            <v>45131304511001562Media Mgmnt &amp;Buy-L422511201931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34113021.917937502</v>
          </cell>
          <cell r="Y743">
            <v>7491109.8200000003</v>
          </cell>
          <cell r="AB743">
            <v>41604131.737937503</v>
          </cell>
        </row>
        <row r="744">
          <cell r="B744" t="str">
            <v>45131304511001563Media Mgmnt &amp;Buy-L422511201931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35593116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AB744">
            <v>35593116</v>
          </cell>
        </row>
        <row r="745">
          <cell r="B745" t="str">
            <v>45131304511001564Media Mgmnt &amp;Buy-L422511201931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8302467.3583361516</v>
          </cell>
          <cell r="S745">
            <v>5811727.3229620792</v>
          </cell>
          <cell r="T745">
            <v>4151233.6791680758</v>
          </cell>
          <cell r="U745">
            <v>3320987.0724295406</v>
          </cell>
          <cell r="V745">
            <v>3320987.0724295406</v>
          </cell>
          <cell r="W745">
            <v>2767489.1194453835</v>
          </cell>
          <cell r="X745">
            <v>0</v>
          </cell>
          <cell r="Y745">
            <v>0</v>
          </cell>
          <cell r="AB745">
            <v>27674891.624770772</v>
          </cell>
        </row>
        <row r="746">
          <cell r="B746" t="str">
            <v>45131304511001565Media Mgmnt &amp;Buy-L422511201931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19631222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AB746">
            <v>19631222</v>
          </cell>
        </row>
        <row r="747">
          <cell r="B747" t="str">
            <v>45131304511001566Media Mgmnt &amp;Buy-L422511201931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15714076.802101061</v>
          </cell>
          <cell r="Y747">
            <v>0</v>
          </cell>
          <cell r="AB747">
            <v>15714076.802101061</v>
          </cell>
        </row>
        <row r="748">
          <cell r="B748" t="str">
            <v>45131304511001567Media Mgmnt &amp;Buy-L422511201931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4487518.4721926767</v>
          </cell>
          <cell r="S748">
            <v>2804699.5569725153</v>
          </cell>
          <cell r="T748">
            <v>2243759.7798041557</v>
          </cell>
          <cell r="U748">
            <v>1682820.0026357959</v>
          </cell>
          <cell r="V748">
            <v>1402349.7823927193</v>
          </cell>
          <cell r="W748">
            <v>1402349.7823927193</v>
          </cell>
          <cell r="X748">
            <v>0</v>
          </cell>
          <cell r="Y748">
            <v>0</v>
          </cell>
          <cell r="AB748">
            <v>14023497.376390582</v>
          </cell>
        </row>
        <row r="749">
          <cell r="B749" t="str">
            <v>45131304511001568Media Mgmnt &amp;Buy-L422511201931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7651644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AB749">
            <v>7651644</v>
          </cell>
        </row>
        <row r="750">
          <cell r="B750" t="str">
            <v>45131304511001568Talent Fees-L422511201931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7046400</v>
          </cell>
          <cell r="Y750">
            <v>0</v>
          </cell>
          <cell r="AB750">
            <v>7051900</v>
          </cell>
        </row>
        <row r="751">
          <cell r="B751" t="str">
            <v>45131304511001569Media Mgmnt &amp;Buy-L422511201931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920651.92965688184</v>
          </cell>
          <cell r="S751">
            <v>920651.92965688184</v>
          </cell>
          <cell r="T751">
            <v>920651.92965688184</v>
          </cell>
          <cell r="U751">
            <v>920651.92965688184</v>
          </cell>
          <cell r="V751">
            <v>920651.92965688184</v>
          </cell>
          <cell r="W751">
            <v>920651.92965688184</v>
          </cell>
          <cell r="X751">
            <v>920651.92965688184</v>
          </cell>
          <cell r="Y751">
            <v>920651.92965688184</v>
          </cell>
          <cell r="AB751">
            <v>7365215.4372550547</v>
          </cell>
        </row>
        <row r="752">
          <cell r="B752" t="str">
            <v>45131304511001570Media Mgmnt &amp;Buy-L422511201931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2301642.5208128928</v>
          </cell>
          <cell r="S752">
            <v>552394.64093838399</v>
          </cell>
          <cell r="T752">
            <v>552394.64093838399</v>
          </cell>
          <cell r="U752">
            <v>460327.05101827963</v>
          </cell>
          <cell r="V752">
            <v>460327.05101827963</v>
          </cell>
          <cell r="W752">
            <v>460327.05101827963</v>
          </cell>
          <cell r="X752">
            <v>1104785.6490160206</v>
          </cell>
          <cell r="Y752">
            <v>1105023.6490160199</v>
          </cell>
          <cell r="AB752">
            <v>6997222.253776541</v>
          </cell>
        </row>
        <row r="753">
          <cell r="B753" t="str">
            <v>45131304511001571Media Mgmnt &amp;Buy-L422511201931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1431604.7386653926</v>
          </cell>
          <cell r="W753">
            <v>1431604.7386653926</v>
          </cell>
          <cell r="X753">
            <v>1431604.7386653926</v>
          </cell>
          <cell r="Y753">
            <v>1431604.7386653926</v>
          </cell>
          <cell r="AB753">
            <v>5726418.9546615705</v>
          </cell>
        </row>
        <row r="754">
          <cell r="B754" t="str">
            <v>45131304511001572Media Mgmnt &amp;Buy-L422511201931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1768661.5251267049</v>
          </cell>
          <cell r="S754">
            <v>408152.65964462422</v>
          </cell>
          <cell r="T754">
            <v>408152.65964462422</v>
          </cell>
          <cell r="U754">
            <v>408152.65964462422</v>
          </cell>
          <cell r="V754">
            <v>408152.65964462422</v>
          </cell>
          <cell r="W754">
            <v>408152.65964462422</v>
          </cell>
          <cell r="X754">
            <v>680254.43274104036</v>
          </cell>
          <cell r="Y754">
            <v>816305.31928924844</v>
          </cell>
          <cell r="AB754">
            <v>5305984.5753801148</v>
          </cell>
        </row>
        <row r="755">
          <cell r="B755" t="str">
            <v>45131304511001573Media Mgmnt &amp;Buy-L422511201931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5225096.5493218023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AB755">
            <v>5225096.5493218023</v>
          </cell>
        </row>
        <row r="756">
          <cell r="B756" t="str">
            <v>45131304511001574Media Mgmnt &amp;Buy-L422511201931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1686637.2256919059</v>
          </cell>
          <cell r="S756">
            <v>404793.2536240854</v>
          </cell>
          <cell r="T756">
            <v>404793.2536240854</v>
          </cell>
          <cell r="U756">
            <v>337326.3802782881</v>
          </cell>
          <cell r="V756">
            <v>337326.3802782881</v>
          </cell>
          <cell r="W756">
            <v>337326.3802782881</v>
          </cell>
          <cell r="X756">
            <v>809583.84509793809</v>
          </cell>
          <cell r="Y756">
            <v>809583.84509793809</v>
          </cell>
          <cell r="AB756">
            <v>5127370.5639708173</v>
          </cell>
        </row>
        <row r="757">
          <cell r="B757" t="str">
            <v>45131304511001575Media Mgmnt &amp;Buy-L422511201931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1514201.449646214</v>
          </cell>
          <cell r="S757">
            <v>946376.07874063647</v>
          </cell>
          <cell r="T757">
            <v>757100.90828378126</v>
          </cell>
          <cell r="U757">
            <v>567825.73782692628</v>
          </cell>
          <cell r="V757">
            <v>473188.04068845644</v>
          </cell>
          <cell r="W757">
            <v>473188.04068845644</v>
          </cell>
          <cell r="X757">
            <v>0</v>
          </cell>
          <cell r="Y757">
            <v>0</v>
          </cell>
          <cell r="AB757">
            <v>4731880.2558744699</v>
          </cell>
        </row>
        <row r="758">
          <cell r="B758" t="str">
            <v>45131304511001576Media Mgmnt &amp;Buy-L422511201931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2556560.8972279606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AB758">
            <v>2556560.8972279606</v>
          </cell>
        </row>
        <row r="759">
          <cell r="B759" t="str">
            <v>45131304511001577Media Mgmnt &amp;Buy-L422511201931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753600.37238312198</v>
          </cell>
          <cell r="S759">
            <v>471000.31869607291</v>
          </cell>
          <cell r="T759">
            <v>376800.27749779535</v>
          </cell>
          <cell r="U759">
            <v>282600.23629951786</v>
          </cell>
          <cell r="V759">
            <v>235500.16000405845</v>
          </cell>
          <cell r="W759">
            <v>235500.16000405845</v>
          </cell>
          <cell r="X759">
            <v>0</v>
          </cell>
          <cell r="Y759">
            <v>0</v>
          </cell>
          <cell r="AB759">
            <v>2355001.5248846249</v>
          </cell>
        </row>
        <row r="760">
          <cell r="B760" t="str">
            <v>45131304511001578Media Mgmnt &amp;Buy-L422511201931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2000000</v>
          </cell>
          <cell r="X760">
            <v>0</v>
          </cell>
          <cell r="Y760">
            <v>0</v>
          </cell>
          <cell r="AB760">
            <v>2000000</v>
          </cell>
        </row>
        <row r="761">
          <cell r="B761" t="str">
            <v>45131304511001579Media Mgmnt &amp;Buy-L422511201931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1825713.6851920979</v>
          </cell>
          <cell r="Y761">
            <v>0</v>
          </cell>
          <cell r="AB761">
            <v>1825713.6851920979</v>
          </cell>
        </row>
        <row r="762">
          <cell r="B762" t="str">
            <v>45131304511001580Media Mgmnt &amp;Buy-L422511201931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1031594.7480042643</v>
          </cell>
          <cell r="T762">
            <v>687729.83200284292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AB762">
            <v>1719324.5800071072</v>
          </cell>
        </row>
        <row r="763">
          <cell r="B763" t="str">
            <v>45131304511001581Media Mgmnt &amp;Buy-L422511201931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530598.45753801148</v>
          </cell>
          <cell r="S763">
            <v>122445.79789338728</v>
          </cell>
          <cell r="T763">
            <v>122445.79789338728</v>
          </cell>
          <cell r="U763">
            <v>122445.79789338728</v>
          </cell>
          <cell r="V763">
            <v>122445.79789338728</v>
          </cell>
          <cell r="W763">
            <v>122445.79789338728</v>
          </cell>
          <cell r="X763">
            <v>204076.32982231211</v>
          </cell>
          <cell r="Y763">
            <v>244891.59578677456</v>
          </cell>
          <cell r="AB763">
            <v>1591795.3726140345</v>
          </cell>
        </row>
        <row r="764">
          <cell r="B764" t="str">
            <v>45131304511001582Media Mgmnt &amp;Buy-L422511201931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494506.47937689041</v>
          </cell>
          <cell r="S764">
            <v>118681.64871260125</v>
          </cell>
          <cell r="T764">
            <v>118681.64871260125</v>
          </cell>
          <cell r="U764">
            <v>98900.983668219575</v>
          </cell>
          <cell r="V764">
            <v>98900.983668219575</v>
          </cell>
          <cell r="W764">
            <v>98900.983668219575</v>
          </cell>
          <cell r="X764">
            <v>237362.51690730627</v>
          </cell>
          <cell r="Y764">
            <v>237362.51690730627</v>
          </cell>
          <cell r="AB764">
            <v>1503297.7616213639</v>
          </cell>
        </row>
        <row r="765">
          <cell r="B765" t="str">
            <v>45131304511001583Media Mgmnt &amp;Buy-L422511201931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461222.41180251725</v>
          </cell>
          <cell r="S765">
            <v>110693.46619057293</v>
          </cell>
          <cell r="T765">
            <v>110693.46619057293</v>
          </cell>
          <cell r="U765">
            <v>92244.191167274184</v>
          </cell>
          <cell r="V765">
            <v>92244.191167274184</v>
          </cell>
          <cell r="W765">
            <v>92244.191167274184</v>
          </cell>
          <cell r="X765">
            <v>221386.2043980727</v>
          </cell>
          <cell r="Y765">
            <v>221386.2043980727</v>
          </cell>
          <cell r="AB765">
            <v>1402114.326481631</v>
          </cell>
        </row>
        <row r="766">
          <cell r="B766" t="str">
            <v>45131304511001584Media Mgmnt &amp;Buy-L422511201931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322589.00898955564</v>
          </cell>
          <cell r="W766">
            <v>322589.00898955564</v>
          </cell>
          <cell r="X766">
            <v>322589.00898955564</v>
          </cell>
          <cell r="Y766">
            <v>322589.00898955564</v>
          </cell>
          <cell r="AB766">
            <v>1290356.0359582226</v>
          </cell>
        </row>
        <row r="767">
          <cell r="B767" t="str">
            <v>45131304511001585Media Mgmnt &amp;Buy-L422511201931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335584.37804084294</v>
          </cell>
          <cell r="S767">
            <v>77442.54877865607</v>
          </cell>
          <cell r="T767">
            <v>77442.54877865607</v>
          </cell>
          <cell r="U767">
            <v>77442.54877865607</v>
          </cell>
          <cell r="V767">
            <v>77442.54877865607</v>
          </cell>
          <cell r="W767">
            <v>77442.54877865607</v>
          </cell>
          <cell r="X767">
            <v>129070.91463109344</v>
          </cell>
          <cell r="Y767">
            <v>154885.09755731214</v>
          </cell>
          <cell r="AB767">
            <v>1006753.1341225288</v>
          </cell>
        </row>
        <row r="768">
          <cell r="B768" t="str">
            <v>45131304511001586Media Mgmnt &amp;Buy-L422511201931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799625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AB768">
            <v>799625</v>
          </cell>
        </row>
        <row r="769">
          <cell r="B769" t="str">
            <v>45131304511001587Media Mgmnt &amp;Buy-L422511201931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265299.3404376079</v>
          </cell>
          <cell r="S769">
            <v>61222.800866685437</v>
          </cell>
          <cell r="T769">
            <v>61222.800866685437</v>
          </cell>
          <cell r="U769">
            <v>61222.800866685437</v>
          </cell>
          <cell r="V769">
            <v>61222.800866685437</v>
          </cell>
          <cell r="W769">
            <v>61222.800866685437</v>
          </cell>
          <cell r="X769">
            <v>102038.26978546123</v>
          </cell>
          <cell r="Y769">
            <v>122446.00424484913</v>
          </cell>
          <cell r="AB769">
            <v>795897.61880134547</v>
          </cell>
        </row>
        <row r="770">
          <cell r="B770" t="str">
            <v>45131304511001588Media Mgmnt &amp;Buy-L422511201931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252706.5070413276</v>
          </cell>
          <cell r="S770">
            <v>58316.886240306369</v>
          </cell>
          <cell r="T770">
            <v>58316.886240306369</v>
          </cell>
          <cell r="U770">
            <v>58316.886240306369</v>
          </cell>
          <cell r="V770">
            <v>58316.886240306369</v>
          </cell>
          <cell r="W770">
            <v>58316.886240306369</v>
          </cell>
          <cell r="X770">
            <v>97194.810400510614</v>
          </cell>
          <cell r="Y770">
            <v>116633.77248061274</v>
          </cell>
          <cell r="AB770">
            <v>758119.52112398285</v>
          </cell>
        </row>
        <row r="771">
          <cell r="B771" t="str">
            <v>45131304511001589Media Mgmnt &amp;Buy-L422511201931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635402.56217653968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AB771">
            <v>635402.56217653968</v>
          </cell>
        </row>
        <row r="772">
          <cell r="B772" t="str">
            <v>45131304511001590Media Mgmnt &amp;Buy-N422511200104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506453.69722181576</v>
          </cell>
          <cell r="U772">
            <v>2337599.91041453</v>
          </cell>
          <cell r="V772">
            <v>5064536.9722181577</v>
          </cell>
          <cell r="W772">
            <v>4431469.8506908873</v>
          </cell>
          <cell r="X772">
            <v>0</v>
          </cell>
          <cell r="Y772">
            <v>0</v>
          </cell>
          <cell r="AB772">
            <v>12340060.43054539</v>
          </cell>
        </row>
        <row r="773">
          <cell r="B773" t="str">
            <v>45131304511001590Media Mgmnt &amp;Buy-L422511201931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521282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AB773">
            <v>521282</v>
          </cell>
        </row>
        <row r="774">
          <cell r="B774" t="str">
            <v>45131304511001591Media Mgmnt &amp;Buy-L422511201931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417332.836971034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AB774">
            <v>417332.836971034</v>
          </cell>
        </row>
        <row r="775">
          <cell r="B775" t="str">
            <v>45131304511001592Media Mgmnt &amp;Buy-L422511201931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104307.38001186062</v>
          </cell>
          <cell r="W775">
            <v>104307.38001186062</v>
          </cell>
          <cell r="X775">
            <v>104307.38001186062</v>
          </cell>
          <cell r="Y775">
            <v>104307.38001186062</v>
          </cell>
          <cell r="AB775">
            <v>417229.52004744246</v>
          </cell>
        </row>
        <row r="776">
          <cell r="B776" t="str">
            <v>45131304511001593Media Mgmnt &amp;Buy-L422511201931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195733.93607598872</v>
          </cell>
          <cell r="T776">
            <v>130489.29071732583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AB776">
            <v>326223.22679331456</v>
          </cell>
        </row>
        <row r="777">
          <cell r="B777" t="str">
            <v>45131304511001594Media Mgmnt &amp;Buy-L422511201931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91487.885966511574</v>
          </cell>
          <cell r="S777">
            <v>21957.109960253169</v>
          </cell>
          <cell r="T777">
            <v>21957.109960253169</v>
          </cell>
          <cell r="U777">
            <v>18297.519432334349</v>
          </cell>
          <cell r="V777">
            <v>18297.519432334349</v>
          </cell>
          <cell r="W777">
            <v>18297.519432334349</v>
          </cell>
          <cell r="X777">
            <v>43914.075518086422</v>
          </cell>
          <cell r="Y777">
            <v>43914.075518086422</v>
          </cell>
          <cell r="AB777">
            <v>278122.81522019382</v>
          </cell>
        </row>
        <row r="778">
          <cell r="B778" t="str">
            <v>45131304511001595Media Mgmnt &amp;Buy-L422511201931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87852.504611579498</v>
          </cell>
          <cell r="S778">
            <v>21084.617746508982</v>
          </cell>
          <cell r="T778">
            <v>21084.617746508982</v>
          </cell>
          <cell r="U778">
            <v>17570.445456549576</v>
          </cell>
          <cell r="V778">
            <v>17570.445456549576</v>
          </cell>
          <cell r="W778">
            <v>17570.445456549576</v>
          </cell>
          <cell r="X778">
            <v>42169.096828602153</v>
          </cell>
          <cell r="Y778">
            <v>42169.096828602153</v>
          </cell>
          <cell r="AB778">
            <v>267071.2701314505</v>
          </cell>
        </row>
        <row r="779">
          <cell r="B779" t="str">
            <v>45131304511001596Media Mgmnt &amp;Buy-L422511201931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84849.836868238432</v>
          </cell>
          <cell r="T779">
            <v>56566.557912158954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AB779">
            <v>141416.39478039739</v>
          </cell>
        </row>
        <row r="780">
          <cell r="B780" t="str">
            <v>45131304511001597Media Mgmnt &amp;Buy-L422511201931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120560.75772796407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AB780">
            <v>120560.75772796407</v>
          </cell>
        </row>
        <row r="781">
          <cell r="B781" t="str">
            <v>45131304511001598Media Mgmnt &amp;Buy-L422511201931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52262.580679712075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AB781">
            <v>52262.580679712075</v>
          </cell>
        </row>
        <row r="782">
          <cell r="B782" t="str">
            <v>45131304511001599Talent Fees-N422511200104</v>
          </cell>
          <cell r="N782">
            <v>0</v>
          </cell>
          <cell r="O782">
            <v>0</v>
          </cell>
          <cell r="P782">
            <v>0</v>
          </cell>
          <cell r="Q782">
            <v>1339550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8037300</v>
          </cell>
          <cell r="Y782">
            <v>4018650</v>
          </cell>
          <cell r="AB782">
            <v>13395500</v>
          </cell>
        </row>
        <row r="783">
          <cell r="B783" t="str">
            <v>45131304511001612Media Mgmnt &amp;Buy-L422511201931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1212000</v>
          </cell>
          <cell r="T783">
            <v>1212000</v>
          </cell>
          <cell r="U783">
            <v>1212000</v>
          </cell>
          <cell r="V783">
            <v>1010000</v>
          </cell>
          <cell r="W783">
            <v>1010000</v>
          </cell>
          <cell r="X783">
            <v>1010000</v>
          </cell>
          <cell r="Y783">
            <v>1212000</v>
          </cell>
          <cell r="AB783">
            <v>7878000</v>
          </cell>
        </row>
        <row r="784">
          <cell r="B784" t="str">
            <v>45131304511001612Influencers-L422511201931</v>
          </cell>
          <cell r="N784">
            <v>0</v>
          </cell>
          <cell r="O784">
            <v>0</v>
          </cell>
          <cell r="P784">
            <v>0</v>
          </cell>
          <cell r="Q784">
            <v>435996</v>
          </cell>
          <cell r="R784">
            <v>145332</v>
          </cell>
          <cell r="S784">
            <v>145332</v>
          </cell>
          <cell r="T784">
            <v>145332</v>
          </cell>
          <cell r="U784">
            <v>145332</v>
          </cell>
          <cell r="V784">
            <v>145332</v>
          </cell>
          <cell r="W784">
            <v>145332</v>
          </cell>
          <cell r="X784">
            <v>145332</v>
          </cell>
          <cell r="Y784">
            <v>146680</v>
          </cell>
          <cell r="AB784">
            <v>1600000</v>
          </cell>
        </row>
        <row r="785">
          <cell r="B785" t="str">
            <v>45131304511001631Sponsorship Fees-L424811201931</v>
          </cell>
          <cell r="AB785">
            <v>4240000</v>
          </cell>
        </row>
        <row r="786">
          <cell r="B786" t="str">
            <v>45131404511000243Strategy Advice-L1421123201931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2000000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AB786">
            <v>2000000</v>
          </cell>
        </row>
        <row r="787">
          <cell r="B787" t="str">
            <v>45131404511000450Activation&amp;Prog-L422401201931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2000000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2000000</v>
          </cell>
          <cell r="AB787">
            <v>4000000</v>
          </cell>
        </row>
        <row r="788">
          <cell r="B788" t="str">
            <v>45131404511000947CampaignProdRtnr-N1422511200104</v>
          </cell>
          <cell r="N788">
            <v>0</v>
          </cell>
          <cell r="O788">
            <v>0</v>
          </cell>
          <cell r="P788">
            <v>0</v>
          </cell>
          <cell r="Q788">
            <v>4149797.54</v>
          </cell>
          <cell r="R788">
            <v>911471.54</v>
          </cell>
          <cell r="S788">
            <v>911471.54</v>
          </cell>
          <cell r="T788">
            <v>911471.54</v>
          </cell>
          <cell r="U788">
            <v>911471.54</v>
          </cell>
          <cell r="V788">
            <v>911471.54</v>
          </cell>
          <cell r="W788">
            <v>911471.54</v>
          </cell>
          <cell r="X788">
            <v>911471.54</v>
          </cell>
          <cell r="Y788">
            <v>1822943.09</v>
          </cell>
          <cell r="AB788">
            <v>8982590.4100000001</v>
          </cell>
        </row>
        <row r="789">
          <cell r="B789" t="str">
            <v>45131404511001361CampaignProductn-L1422511201931</v>
          </cell>
          <cell r="N789">
            <v>0</v>
          </cell>
          <cell r="O789">
            <v>0</v>
          </cell>
          <cell r="P789">
            <v>0</v>
          </cell>
          <cell r="Q789">
            <v>100000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200000</v>
          </cell>
          <cell r="X789">
            <v>200000</v>
          </cell>
          <cell r="Y789">
            <v>200000</v>
          </cell>
          <cell r="AB789">
            <v>700000</v>
          </cell>
        </row>
        <row r="790">
          <cell r="B790" t="str">
            <v>45131404511001465PRMgmnt E-E Rtnr-L421125201931</v>
          </cell>
          <cell r="N790">
            <v>0</v>
          </cell>
          <cell r="O790">
            <v>0</v>
          </cell>
          <cell r="P790">
            <v>0</v>
          </cell>
          <cell r="Q790">
            <v>1300000</v>
          </cell>
          <cell r="R790">
            <v>0</v>
          </cell>
          <cell r="S790">
            <v>4400000</v>
          </cell>
          <cell r="T790">
            <v>183333.33333333334</v>
          </cell>
          <cell r="U790">
            <v>183333.33333333334</v>
          </cell>
          <cell r="V790">
            <v>183333.33333333334</v>
          </cell>
          <cell r="W790">
            <v>183333.33333333334</v>
          </cell>
          <cell r="X790">
            <v>183333.33333333334</v>
          </cell>
          <cell r="Y790">
            <v>183333.33333333334</v>
          </cell>
          <cell r="AB790">
            <v>6058507.9999999981</v>
          </cell>
        </row>
        <row r="791">
          <cell r="B791" t="str">
            <v>45131404511001465CampaignProductn-L1422511201931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4000000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AB791">
            <v>4000000</v>
          </cell>
        </row>
        <row r="792">
          <cell r="B792" t="str">
            <v>45131404511001547CampaignProductn-l422511201931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2000000</v>
          </cell>
          <cell r="AB792">
            <v>4022112</v>
          </cell>
        </row>
        <row r="793">
          <cell r="B793" t="str">
            <v>45131404511001563CampaignProductn-l422511201931</v>
          </cell>
          <cell r="N793">
            <v>0</v>
          </cell>
          <cell r="O793">
            <v>0</v>
          </cell>
          <cell r="P793">
            <v>0</v>
          </cell>
          <cell r="Q793">
            <v>9000000</v>
          </cell>
          <cell r="R793">
            <v>0</v>
          </cell>
          <cell r="S793">
            <v>1424533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AB793">
            <v>10424533</v>
          </cell>
        </row>
        <row r="794">
          <cell r="B794" t="str">
            <v>45131404511001567CampaignProductn-l422511201931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5000000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AB794">
            <v>5000000</v>
          </cell>
        </row>
        <row r="795">
          <cell r="B795" t="str">
            <v>45131404511001568CampaignProductn-l422511201931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6000000</v>
          </cell>
          <cell r="AB795">
            <v>6000000</v>
          </cell>
        </row>
        <row r="796">
          <cell r="B796" t="str">
            <v>45131404511001599CampaignProductn-l422511201931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5500000</v>
          </cell>
          <cell r="AB796">
            <v>5500000</v>
          </cell>
        </row>
        <row r="797">
          <cell r="B797" t="str">
            <v>45131404511001600CampaignProductn-l422511201931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7868506</v>
          </cell>
          <cell r="Y797">
            <v>0</v>
          </cell>
          <cell r="AB797">
            <v>9918506</v>
          </cell>
        </row>
        <row r="798">
          <cell r="B798" t="str">
            <v>45131404511001601CampaignProductn-l422511201931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1853920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AB798">
            <v>1853920</v>
          </cell>
        </row>
        <row r="799">
          <cell r="B799" t="str">
            <v>45131404511001602Sponsorship Fees-L424811201931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850000</v>
          </cell>
          <cell r="Y799">
            <v>0</v>
          </cell>
          <cell r="AB799">
            <v>874000</v>
          </cell>
        </row>
        <row r="800">
          <cell r="B800" t="str">
            <v>45101704511000037Mission &amp; Travel-N423821200104</v>
          </cell>
          <cell r="N800">
            <v>0</v>
          </cell>
          <cell r="O800">
            <v>0</v>
          </cell>
          <cell r="P800">
            <v>0</v>
          </cell>
          <cell r="Q800">
            <v>54800</v>
          </cell>
          <cell r="R800">
            <v>0</v>
          </cell>
          <cell r="S800">
            <v>0</v>
          </cell>
          <cell r="T800">
            <v>3000</v>
          </cell>
          <cell r="U800">
            <v>0</v>
          </cell>
          <cell r="V800">
            <v>0</v>
          </cell>
          <cell r="W800">
            <v>3000</v>
          </cell>
          <cell r="X800">
            <v>70404</v>
          </cell>
          <cell r="Y800">
            <v>13000</v>
          </cell>
          <cell r="AB800">
            <v>144204</v>
          </cell>
        </row>
        <row r="801">
          <cell r="B801" t="str">
            <v>45101704511000037Admin Expenses-N421125200104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5000</v>
          </cell>
          <cell r="T801">
            <v>5000</v>
          </cell>
          <cell r="U801">
            <v>0</v>
          </cell>
          <cell r="V801">
            <v>0</v>
          </cell>
          <cell r="W801">
            <v>0</v>
          </cell>
          <cell r="X801">
            <v>52000</v>
          </cell>
          <cell r="Y801">
            <v>0</v>
          </cell>
          <cell r="AB801">
            <v>62000</v>
          </cell>
        </row>
        <row r="802">
          <cell r="B802" t="str">
            <v>45101704511000751ManagementAdvice-N424521200104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226846</v>
          </cell>
          <cell r="S802">
            <v>258559</v>
          </cell>
          <cell r="T802">
            <v>0</v>
          </cell>
          <cell r="U802">
            <v>0</v>
          </cell>
          <cell r="V802">
            <v>300000</v>
          </cell>
          <cell r="W802">
            <v>0</v>
          </cell>
          <cell r="X802">
            <v>193070</v>
          </cell>
          <cell r="Y802">
            <v>0</v>
          </cell>
          <cell r="AB802">
            <v>838975</v>
          </cell>
        </row>
        <row r="803">
          <cell r="B803" t="str">
            <v>45101704511000751Audit Services-N421125200104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57405</v>
          </cell>
          <cell r="S803">
            <v>0</v>
          </cell>
          <cell r="T803">
            <v>0</v>
          </cell>
          <cell r="U803">
            <v>22500</v>
          </cell>
          <cell r="V803">
            <v>5464</v>
          </cell>
          <cell r="W803">
            <v>0</v>
          </cell>
          <cell r="X803">
            <v>106700</v>
          </cell>
          <cell r="Y803">
            <v>0</v>
          </cell>
          <cell r="AB803">
            <v>192069</v>
          </cell>
        </row>
        <row r="804">
          <cell r="B804" t="str">
            <v>45101704511000751Freelancer-N424521200104</v>
          </cell>
          <cell r="N804">
            <v>0</v>
          </cell>
          <cell r="O804">
            <v>42400</v>
          </cell>
          <cell r="P804">
            <v>0</v>
          </cell>
          <cell r="Q804">
            <v>44000</v>
          </cell>
          <cell r="R804">
            <v>22000</v>
          </cell>
          <cell r="S804">
            <v>22000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AB804">
            <v>394400</v>
          </cell>
        </row>
        <row r="805">
          <cell r="B805" t="str">
            <v>45101704511000751Licenses Fees-N424131200104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107892</v>
          </cell>
          <cell r="V805">
            <v>0</v>
          </cell>
          <cell r="W805">
            <v>0</v>
          </cell>
          <cell r="X805">
            <v>8600</v>
          </cell>
          <cell r="Y805">
            <v>0</v>
          </cell>
          <cell r="AB805">
            <v>116492</v>
          </cell>
        </row>
        <row r="806">
          <cell r="B806" t="str">
            <v>45101704511000751Mission &amp; Travel-N423821200104</v>
          </cell>
          <cell r="N806">
            <v>0</v>
          </cell>
          <cell r="O806">
            <v>0</v>
          </cell>
          <cell r="P806">
            <v>1000</v>
          </cell>
          <cell r="Q806">
            <v>7750</v>
          </cell>
          <cell r="R806">
            <v>0</v>
          </cell>
          <cell r="S806">
            <v>1950</v>
          </cell>
          <cell r="T806">
            <v>0</v>
          </cell>
          <cell r="U806">
            <v>1200</v>
          </cell>
          <cell r="V806">
            <v>0</v>
          </cell>
          <cell r="W806">
            <v>0</v>
          </cell>
          <cell r="X806">
            <v>0</v>
          </cell>
          <cell r="Y806">
            <v>13000</v>
          </cell>
          <cell r="AB806">
            <v>24900</v>
          </cell>
        </row>
        <row r="807">
          <cell r="B807" t="str">
            <v>45101704511000751Admin Expenses-N421125200104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8205</v>
          </cell>
          <cell r="Y807">
            <v>0</v>
          </cell>
          <cell r="AB807">
            <v>8205</v>
          </cell>
        </row>
        <row r="808">
          <cell r="B808" t="str">
            <v>45101704511000752Health &amp; Safety-NC491911300105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2500</v>
          </cell>
          <cell r="S808">
            <v>0</v>
          </cell>
          <cell r="T808">
            <v>0</v>
          </cell>
          <cell r="U808">
            <v>2500</v>
          </cell>
          <cell r="V808">
            <v>0</v>
          </cell>
          <cell r="W808">
            <v>4000</v>
          </cell>
          <cell r="X808">
            <v>0</v>
          </cell>
          <cell r="Y808">
            <v>0</v>
          </cell>
          <cell r="AB808">
            <v>9000</v>
          </cell>
        </row>
        <row r="809">
          <cell r="B809" t="str">
            <v>45101704511000752Freelancers-N424521200104</v>
          </cell>
          <cell r="N809">
            <v>0</v>
          </cell>
          <cell r="O809">
            <v>19333</v>
          </cell>
          <cell r="P809">
            <v>40000</v>
          </cell>
          <cell r="Q809">
            <v>20000</v>
          </cell>
          <cell r="R809">
            <v>20000</v>
          </cell>
          <cell r="S809">
            <v>20000</v>
          </cell>
          <cell r="T809">
            <v>20000</v>
          </cell>
          <cell r="U809">
            <v>20000</v>
          </cell>
          <cell r="V809">
            <v>20000</v>
          </cell>
          <cell r="W809">
            <v>20000</v>
          </cell>
          <cell r="X809">
            <v>20000</v>
          </cell>
          <cell r="Y809">
            <v>20000</v>
          </cell>
          <cell r="AB809">
            <v>239333</v>
          </cell>
        </row>
        <row r="810">
          <cell r="B810" t="str">
            <v>45101704511000752Clinic Services-N423351200104</v>
          </cell>
          <cell r="N810">
            <v>0</v>
          </cell>
          <cell r="O810">
            <v>0</v>
          </cell>
          <cell r="P810">
            <v>0</v>
          </cell>
          <cell r="Q810">
            <v>35000</v>
          </cell>
          <cell r="R810">
            <v>8750</v>
          </cell>
          <cell r="S810">
            <v>8750</v>
          </cell>
          <cell r="T810">
            <v>8750</v>
          </cell>
          <cell r="U810">
            <v>8750</v>
          </cell>
          <cell r="V810">
            <v>8750</v>
          </cell>
          <cell r="W810">
            <v>8750</v>
          </cell>
          <cell r="X810">
            <v>11356</v>
          </cell>
          <cell r="Y810">
            <v>31550</v>
          </cell>
          <cell r="AB810">
            <v>130406</v>
          </cell>
        </row>
        <row r="811">
          <cell r="B811" t="str">
            <v>45101704511000752Admin Expenses-N421125200104</v>
          </cell>
          <cell r="N811">
            <v>0</v>
          </cell>
          <cell r="O811">
            <v>0</v>
          </cell>
          <cell r="P811">
            <v>0</v>
          </cell>
          <cell r="Q811">
            <v>9375</v>
          </cell>
          <cell r="R811">
            <v>3000</v>
          </cell>
          <cell r="S811">
            <v>8375</v>
          </cell>
          <cell r="T811">
            <v>10000</v>
          </cell>
          <cell r="U811">
            <v>4000</v>
          </cell>
          <cell r="V811">
            <v>13375</v>
          </cell>
          <cell r="W811">
            <v>0</v>
          </cell>
          <cell r="X811">
            <v>30935</v>
          </cell>
          <cell r="Y811">
            <v>0</v>
          </cell>
          <cell r="AB811">
            <v>79060</v>
          </cell>
        </row>
        <row r="812">
          <cell r="B812" t="str">
            <v>45101704511000752Mission &amp; Travel-N423821200104</v>
          </cell>
          <cell r="N812">
            <v>0</v>
          </cell>
          <cell r="O812">
            <v>0</v>
          </cell>
          <cell r="P812">
            <v>800</v>
          </cell>
          <cell r="Q812">
            <v>11950</v>
          </cell>
          <cell r="R812">
            <v>4000</v>
          </cell>
          <cell r="S812">
            <v>4000</v>
          </cell>
          <cell r="T812">
            <v>1800</v>
          </cell>
          <cell r="U812">
            <v>0</v>
          </cell>
          <cell r="V812">
            <v>10000</v>
          </cell>
          <cell r="W812">
            <v>5200</v>
          </cell>
          <cell r="X812">
            <v>2550</v>
          </cell>
          <cell r="Y812">
            <v>7200</v>
          </cell>
          <cell r="AB812">
            <v>47500</v>
          </cell>
        </row>
        <row r="813">
          <cell r="B813" t="str">
            <v>45101704511000753Audit Services-N421125200104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15000</v>
          </cell>
          <cell r="S813">
            <v>15000</v>
          </cell>
          <cell r="T813">
            <v>15000</v>
          </cell>
          <cell r="U813">
            <v>28500</v>
          </cell>
          <cell r="V813">
            <v>15000</v>
          </cell>
          <cell r="W813">
            <v>15000</v>
          </cell>
          <cell r="X813">
            <v>43500</v>
          </cell>
          <cell r="Y813">
            <v>0</v>
          </cell>
          <cell r="AB813">
            <v>147000</v>
          </cell>
        </row>
        <row r="814">
          <cell r="B814" t="str">
            <v>45101704511000754Mission &amp; Travel-N423821200104</v>
          </cell>
          <cell r="N814">
            <v>0</v>
          </cell>
          <cell r="O814">
            <v>0</v>
          </cell>
          <cell r="P814">
            <v>0</v>
          </cell>
          <cell r="Q814">
            <v>13000</v>
          </cell>
          <cell r="R814">
            <v>0</v>
          </cell>
          <cell r="S814">
            <v>1800</v>
          </cell>
          <cell r="T814">
            <v>0</v>
          </cell>
          <cell r="U814">
            <v>0</v>
          </cell>
          <cell r="V814">
            <v>1200</v>
          </cell>
          <cell r="W814">
            <v>1800</v>
          </cell>
          <cell r="X814">
            <v>26200</v>
          </cell>
          <cell r="Y814">
            <v>125450</v>
          </cell>
          <cell r="AB814">
            <v>169450</v>
          </cell>
        </row>
        <row r="815">
          <cell r="B815" t="str">
            <v>45101704511000754Admin Expenses-N421125200104</v>
          </cell>
          <cell r="N815">
            <v>0</v>
          </cell>
          <cell r="O815">
            <v>0</v>
          </cell>
          <cell r="P815">
            <v>1688</v>
          </cell>
          <cell r="Q815">
            <v>712</v>
          </cell>
          <cell r="R815">
            <v>500</v>
          </cell>
          <cell r="S815">
            <v>500</v>
          </cell>
          <cell r="T815">
            <v>500</v>
          </cell>
          <cell r="U815">
            <v>500</v>
          </cell>
          <cell r="V815">
            <v>500</v>
          </cell>
          <cell r="W815">
            <v>500</v>
          </cell>
          <cell r="X815">
            <v>5600</v>
          </cell>
          <cell r="Y815">
            <v>0</v>
          </cell>
          <cell r="AB815">
            <v>11000</v>
          </cell>
        </row>
        <row r="816">
          <cell r="B816" t="str">
            <v>45101704511000902Hospitality-N424761200104</v>
          </cell>
          <cell r="N816">
            <v>0</v>
          </cell>
          <cell r="O816">
            <v>0</v>
          </cell>
          <cell r="P816">
            <v>0</v>
          </cell>
          <cell r="Q816">
            <v>29000</v>
          </cell>
          <cell r="R816">
            <v>15000</v>
          </cell>
          <cell r="S816">
            <v>0</v>
          </cell>
          <cell r="T816">
            <v>0</v>
          </cell>
          <cell r="U816">
            <v>15000</v>
          </cell>
          <cell r="V816">
            <v>15000</v>
          </cell>
          <cell r="W816">
            <v>0</v>
          </cell>
          <cell r="X816">
            <v>29912</v>
          </cell>
          <cell r="Y816">
            <v>0</v>
          </cell>
          <cell r="AB816">
            <v>103912</v>
          </cell>
        </row>
        <row r="817">
          <cell r="B817" t="str">
            <v>45101704511000902Mission &amp; Travel-N423821200104</v>
          </cell>
          <cell r="N817">
            <v>0</v>
          </cell>
          <cell r="O817">
            <v>0</v>
          </cell>
          <cell r="P817">
            <v>0</v>
          </cell>
          <cell r="Q817">
            <v>600</v>
          </cell>
          <cell r="R817">
            <v>9000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13500</v>
          </cell>
          <cell r="X817">
            <v>64455</v>
          </cell>
          <cell r="Y817">
            <v>0</v>
          </cell>
          <cell r="AB817">
            <v>87555</v>
          </cell>
        </row>
        <row r="818">
          <cell r="B818" t="str">
            <v>45101704511000988Audit Services-N421125200104</v>
          </cell>
          <cell r="N818">
            <v>0</v>
          </cell>
          <cell r="O818">
            <v>0</v>
          </cell>
          <cell r="P818">
            <v>0</v>
          </cell>
          <cell r="Q818">
            <v>228000</v>
          </cell>
          <cell r="R818">
            <v>99000</v>
          </cell>
          <cell r="S818">
            <v>99000</v>
          </cell>
          <cell r="T818">
            <v>99000</v>
          </cell>
          <cell r="U818">
            <v>99000</v>
          </cell>
          <cell r="V818">
            <v>99000</v>
          </cell>
          <cell r="W818">
            <v>93000</v>
          </cell>
          <cell r="X818">
            <v>90000</v>
          </cell>
          <cell r="Y818">
            <v>0</v>
          </cell>
          <cell r="AB818">
            <v>906000</v>
          </cell>
        </row>
        <row r="819">
          <cell r="B819" t="str">
            <v>45101704511000988Admin Expenses-N421125200104</v>
          </cell>
          <cell r="N819">
            <v>0</v>
          </cell>
          <cell r="O819">
            <v>0</v>
          </cell>
          <cell r="P819">
            <v>17510.599999999999</v>
          </cell>
          <cell r="Q819">
            <v>0</v>
          </cell>
          <cell r="R819">
            <v>0</v>
          </cell>
          <cell r="S819">
            <v>4889</v>
          </cell>
          <cell r="T819">
            <v>153000</v>
          </cell>
          <cell r="U819">
            <v>7300</v>
          </cell>
          <cell r="V819">
            <v>7300</v>
          </cell>
          <cell r="W819">
            <v>164100</v>
          </cell>
          <cell r="X819">
            <v>12900</v>
          </cell>
          <cell r="Y819">
            <v>0</v>
          </cell>
          <cell r="AB819">
            <v>366999.6</v>
          </cell>
        </row>
        <row r="820">
          <cell r="B820" t="str">
            <v>45101704511000988Mission &amp; Travel-N423821200104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31500</v>
          </cell>
          <cell r="S820">
            <v>0</v>
          </cell>
          <cell r="T820">
            <v>0</v>
          </cell>
          <cell r="U820">
            <v>19000</v>
          </cell>
          <cell r="V820">
            <v>33000</v>
          </cell>
          <cell r="W820">
            <v>66500</v>
          </cell>
          <cell r="X820">
            <v>0</v>
          </cell>
          <cell r="Y820">
            <v>76650</v>
          </cell>
          <cell r="AB820">
            <v>226650</v>
          </cell>
        </row>
        <row r="821">
          <cell r="B821" t="str">
            <v>45101704511001189Training &amp; Dev-N421191200104</v>
          </cell>
          <cell r="N821">
            <v>0</v>
          </cell>
          <cell r="O821">
            <v>0</v>
          </cell>
          <cell r="P821">
            <v>0</v>
          </cell>
          <cell r="Q821">
            <v>527629</v>
          </cell>
          <cell r="R821">
            <v>68025</v>
          </cell>
          <cell r="S821">
            <v>33503</v>
          </cell>
          <cell r="T821">
            <v>28500</v>
          </cell>
          <cell r="U821">
            <v>0</v>
          </cell>
          <cell r="V821">
            <v>29000</v>
          </cell>
          <cell r="W821">
            <v>22500</v>
          </cell>
          <cell r="X821">
            <v>193200</v>
          </cell>
          <cell r="Y821">
            <v>0</v>
          </cell>
          <cell r="AB821">
            <v>784457</v>
          </cell>
        </row>
        <row r="822">
          <cell r="B822" t="str">
            <v>45101704511001189Admin Expenses-N421125200104</v>
          </cell>
          <cell r="N822">
            <v>0</v>
          </cell>
          <cell r="O822">
            <v>0</v>
          </cell>
          <cell r="P822">
            <v>18201.25</v>
          </cell>
          <cell r="Q822">
            <v>1998.75</v>
          </cell>
          <cell r="R822">
            <v>2400</v>
          </cell>
          <cell r="S822">
            <v>800</v>
          </cell>
          <cell r="T822">
            <v>800</v>
          </cell>
          <cell r="U822">
            <v>0</v>
          </cell>
          <cell r="V822">
            <v>800</v>
          </cell>
          <cell r="W822">
            <v>800</v>
          </cell>
          <cell r="X822">
            <v>2400</v>
          </cell>
          <cell r="Y822">
            <v>0</v>
          </cell>
          <cell r="AB822">
            <v>23000</v>
          </cell>
        </row>
        <row r="823">
          <cell r="B823" t="str">
            <v>45101704511001189Mission &amp; Travel-N423821200104</v>
          </cell>
          <cell r="N823">
            <v>0</v>
          </cell>
          <cell r="O823">
            <v>0</v>
          </cell>
          <cell r="P823">
            <v>0</v>
          </cell>
          <cell r="Q823">
            <v>3000</v>
          </cell>
          <cell r="R823">
            <v>0</v>
          </cell>
          <cell r="S823">
            <v>0</v>
          </cell>
          <cell r="T823">
            <v>0</v>
          </cell>
          <cell r="U823">
            <v>3600</v>
          </cell>
          <cell r="V823">
            <v>0</v>
          </cell>
          <cell r="W823">
            <v>1800</v>
          </cell>
          <cell r="X823">
            <v>2400</v>
          </cell>
          <cell r="Y823">
            <v>0</v>
          </cell>
          <cell r="AB823">
            <v>9400</v>
          </cell>
        </row>
        <row r="824">
          <cell r="B824" t="str">
            <v>45102014511000324Strategy Advice-N421123200104</v>
          </cell>
          <cell r="N824">
            <v>0</v>
          </cell>
          <cell r="O824">
            <v>0</v>
          </cell>
          <cell r="P824">
            <v>0</v>
          </cell>
          <cell r="Q824">
            <v>775000</v>
          </cell>
          <cell r="R824">
            <v>100000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500000</v>
          </cell>
          <cell r="X824">
            <v>1000000</v>
          </cell>
          <cell r="Y824">
            <v>2519464</v>
          </cell>
          <cell r="AB824">
            <v>2560464</v>
          </cell>
        </row>
        <row r="825">
          <cell r="B825" t="str">
            <v>45102014511000324Mission &amp; Travel-N423821200104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50000</v>
          </cell>
          <cell r="T825">
            <v>0</v>
          </cell>
          <cell r="U825">
            <v>0</v>
          </cell>
          <cell r="V825">
            <v>0</v>
          </cell>
          <cell r="W825">
            <v>100000</v>
          </cell>
          <cell r="X825">
            <v>0</v>
          </cell>
          <cell r="Y825">
            <v>150000</v>
          </cell>
          <cell r="AB825">
            <v>300000</v>
          </cell>
        </row>
        <row r="826">
          <cell r="B826" t="str">
            <v>45102014511000324Admin Expenses-N421125200104</v>
          </cell>
          <cell r="N826">
            <v>0</v>
          </cell>
          <cell r="O826">
            <v>0</v>
          </cell>
          <cell r="P826">
            <v>0</v>
          </cell>
          <cell r="Q826">
            <v>30000</v>
          </cell>
          <cell r="R826">
            <v>0</v>
          </cell>
          <cell r="S826">
            <v>0</v>
          </cell>
          <cell r="T826">
            <v>30000</v>
          </cell>
          <cell r="U826">
            <v>0</v>
          </cell>
          <cell r="V826">
            <v>0</v>
          </cell>
          <cell r="W826">
            <v>0</v>
          </cell>
          <cell r="X826">
            <v>30000</v>
          </cell>
          <cell r="Y826">
            <v>36249</v>
          </cell>
          <cell r="AB826">
            <v>126249</v>
          </cell>
        </row>
        <row r="827">
          <cell r="B827" t="str">
            <v>45112504511000512Ad-hoc Repairs-N426427200104</v>
          </cell>
          <cell r="N827">
            <v>0</v>
          </cell>
          <cell r="O827">
            <v>0</v>
          </cell>
          <cell r="P827">
            <v>0</v>
          </cell>
          <cell r="Q827">
            <v>15000</v>
          </cell>
          <cell r="R827">
            <v>0</v>
          </cell>
          <cell r="S827">
            <v>0</v>
          </cell>
          <cell r="T827">
            <v>55000</v>
          </cell>
          <cell r="U827">
            <v>0</v>
          </cell>
          <cell r="V827">
            <v>0</v>
          </cell>
          <cell r="W827">
            <v>0</v>
          </cell>
          <cell r="X827">
            <v>92081</v>
          </cell>
          <cell r="Y827">
            <v>0</v>
          </cell>
          <cell r="AB827">
            <v>162081</v>
          </cell>
        </row>
        <row r="828">
          <cell r="B828" t="str">
            <v>45102104511000346Manpower-N424521200104</v>
          </cell>
          <cell r="N828">
            <v>0</v>
          </cell>
          <cell r="O828">
            <v>0</v>
          </cell>
          <cell r="P828">
            <v>641863</v>
          </cell>
          <cell r="Q828">
            <v>296121</v>
          </cell>
          <cell r="R828">
            <v>234496</v>
          </cell>
          <cell r="S828">
            <v>234496</v>
          </cell>
          <cell r="T828">
            <v>234496</v>
          </cell>
          <cell r="U828">
            <v>234496</v>
          </cell>
          <cell r="V828">
            <v>234496</v>
          </cell>
          <cell r="W828">
            <v>234496</v>
          </cell>
          <cell r="X828">
            <v>234496</v>
          </cell>
          <cell r="Y828">
            <v>234496</v>
          </cell>
          <cell r="AB828">
            <v>2606623</v>
          </cell>
        </row>
        <row r="829">
          <cell r="B829" t="str">
            <v>45102104511000346Bank Charges-N437111200104</v>
          </cell>
          <cell r="N829">
            <v>0</v>
          </cell>
          <cell r="O829">
            <v>0</v>
          </cell>
          <cell r="P829">
            <v>567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99433</v>
          </cell>
          <cell r="X829">
            <v>213800</v>
          </cell>
          <cell r="Y829">
            <v>209462</v>
          </cell>
          <cell r="AB829">
            <v>423262</v>
          </cell>
        </row>
        <row r="830">
          <cell r="B830" t="str">
            <v>45102104511000346Admin Expenses-N421125200104</v>
          </cell>
          <cell r="N830">
            <v>0</v>
          </cell>
          <cell r="O830">
            <v>0</v>
          </cell>
          <cell r="P830">
            <v>17242</v>
          </cell>
          <cell r="Q830">
            <v>45571.75</v>
          </cell>
          <cell r="R830">
            <v>0</v>
          </cell>
          <cell r="S830">
            <v>62813.75</v>
          </cell>
          <cell r="T830">
            <v>0</v>
          </cell>
          <cell r="U830">
            <v>0</v>
          </cell>
          <cell r="V830">
            <v>62813.75</v>
          </cell>
          <cell r="W830">
            <v>0</v>
          </cell>
          <cell r="X830">
            <v>0</v>
          </cell>
          <cell r="Y830">
            <v>54615.75</v>
          </cell>
          <cell r="AB830">
            <v>184057</v>
          </cell>
        </row>
        <row r="831">
          <cell r="B831" t="str">
            <v>45102104511000346Audit Services-N421125200104</v>
          </cell>
          <cell r="N831">
            <v>0</v>
          </cell>
          <cell r="O831">
            <v>0</v>
          </cell>
          <cell r="P831">
            <v>0</v>
          </cell>
          <cell r="Q831">
            <v>99000</v>
          </cell>
          <cell r="R831">
            <v>0</v>
          </cell>
          <cell r="S831">
            <v>0</v>
          </cell>
          <cell r="T831">
            <v>99000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AB831">
            <v>198000</v>
          </cell>
        </row>
        <row r="832">
          <cell r="B832" t="str">
            <v>45102104511000346Freelancers-N424521200104</v>
          </cell>
          <cell r="N832">
            <v>0</v>
          </cell>
          <cell r="O832">
            <v>18800</v>
          </cell>
          <cell r="P832">
            <v>27253.260000000002</v>
          </cell>
          <cell r="Q832">
            <v>0</v>
          </cell>
          <cell r="R832">
            <v>8747</v>
          </cell>
          <cell r="S832">
            <v>12000</v>
          </cell>
          <cell r="T832">
            <v>12000</v>
          </cell>
          <cell r="U832">
            <v>12000</v>
          </cell>
          <cell r="V832">
            <v>12000</v>
          </cell>
          <cell r="W832">
            <v>12000</v>
          </cell>
          <cell r="X832">
            <v>12000</v>
          </cell>
          <cell r="Y832">
            <v>12000</v>
          </cell>
          <cell r="AB832">
            <v>346129.26</v>
          </cell>
        </row>
        <row r="833">
          <cell r="B833" t="str">
            <v>45102104511000346Mission &amp; Travel-N423821200104</v>
          </cell>
          <cell r="N833">
            <v>0</v>
          </cell>
          <cell r="O833">
            <v>0</v>
          </cell>
          <cell r="P833">
            <v>12000</v>
          </cell>
          <cell r="Q833">
            <v>72000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10000</v>
          </cell>
          <cell r="AB833">
            <v>64000</v>
          </cell>
        </row>
        <row r="834">
          <cell r="B834" t="str">
            <v>45102104511000987Audit Services-N1421125200104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243200</v>
          </cell>
          <cell r="U834">
            <v>121600</v>
          </cell>
          <cell r="V834">
            <v>121600</v>
          </cell>
          <cell r="W834">
            <v>0</v>
          </cell>
          <cell r="X834">
            <v>212800</v>
          </cell>
          <cell r="Y834">
            <v>477280</v>
          </cell>
          <cell r="AB834">
            <v>1176480</v>
          </cell>
        </row>
        <row r="835">
          <cell r="B835" t="str">
            <v>45102104511000987Freelancers-N1424521200104</v>
          </cell>
          <cell r="N835">
            <v>0</v>
          </cell>
          <cell r="O835">
            <v>88000</v>
          </cell>
          <cell r="P835">
            <v>22000</v>
          </cell>
          <cell r="Q835">
            <v>66000</v>
          </cell>
          <cell r="R835">
            <v>44000</v>
          </cell>
          <cell r="S835">
            <v>44000</v>
          </cell>
          <cell r="T835">
            <v>44000</v>
          </cell>
          <cell r="U835">
            <v>44000</v>
          </cell>
          <cell r="V835">
            <v>44000</v>
          </cell>
          <cell r="W835">
            <v>44000</v>
          </cell>
          <cell r="X835">
            <v>44000</v>
          </cell>
          <cell r="Y835">
            <v>44000</v>
          </cell>
          <cell r="AB835">
            <v>724400</v>
          </cell>
        </row>
        <row r="836">
          <cell r="B836" t="str">
            <v>45102104511000987ComplianceAdvice-N1424521200104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150000</v>
          </cell>
          <cell r="Y836">
            <v>0</v>
          </cell>
          <cell r="AB836">
            <v>150000</v>
          </cell>
        </row>
        <row r="837">
          <cell r="B837" t="str">
            <v>45102104511000987Mission &amp; Travel-N1423821200104</v>
          </cell>
          <cell r="N837">
            <v>0</v>
          </cell>
          <cell r="O837">
            <v>0</v>
          </cell>
          <cell r="P837">
            <v>0</v>
          </cell>
          <cell r="Q837">
            <v>4000</v>
          </cell>
          <cell r="R837">
            <v>0</v>
          </cell>
          <cell r="S837">
            <v>52500</v>
          </cell>
          <cell r="T837">
            <v>41200</v>
          </cell>
          <cell r="U837">
            <v>1200</v>
          </cell>
          <cell r="V837">
            <v>4600</v>
          </cell>
          <cell r="W837">
            <v>8310</v>
          </cell>
          <cell r="X837">
            <v>17600</v>
          </cell>
          <cell r="Y837">
            <v>0</v>
          </cell>
          <cell r="AB837">
            <v>129410</v>
          </cell>
        </row>
        <row r="838">
          <cell r="B838" t="str">
            <v>45102104511000987Admin Expenses-N1421125200104</v>
          </cell>
          <cell r="N838">
            <v>0</v>
          </cell>
          <cell r="O838">
            <v>0</v>
          </cell>
          <cell r="P838">
            <v>0</v>
          </cell>
          <cell r="Q838">
            <v>4000</v>
          </cell>
          <cell r="R838">
            <v>0</v>
          </cell>
          <cell r="S838">
            <v>5000</v>
          </cell>
          <cell r="T838">
            <v>48035</v>
          </cell>
          <cell r="U838">
            <v>5000</v>
          </cell>
          <cell r="V838">
            <v>0</v>
          </cell>
          <cell r="W838">
            <v>0</v>
          </cell>
          <cell r="X838">
            <v>5000</v>
          </cell>
          <cell r="Y838">
            <v>0</v>
          </cell>
          <cell r="AB838">
            <v>67035</v>
          </cell>
        </row>
        <row r="839">
          <cell r="B839" t="str">
            <v>45102204511000023Freelancers-N424521200104</v>
          </cell>
          <cell r="N839">
            <v>0</v>
          </cell>
          <cell r="O839">
            <v>218633</v>
          </cell>
          <cell r="P839">
            <v>267300</v>
          </cell>
          <cell r="Q839">
            <v>193500</v>
          </cell>
          <cell r="R839">
            <v>86000</v>
          </cell>
          <cell r="S839">
            <v>86000</v>
          </cell>
          <cell r="T839">
            <v>86000</v>
          </cell>
          <cell r="U839">
            <v>86000</v>
          </cell>
          <cell r="V839">
            <v>86000</v>
          </cell>
          <cell r="W839">
            <v>86000</v>
          </cell>
          <cell r="X839">
            <v>86000</v>
          </cell>
          <cell r="Y839">
            <v>75857</v>
          </cell>
          <cell r="AB839">
            <v>1357290</v>
          </cell>
        </row>
        <row r="840">
          <cell r="B840" t="str">
            <v>45102204511000023Admin Expenses-N421125200104</v>
          </cell>
          <cell r="N840">
            <v>0</v>
          </cell>
          <cell r="O840">
            <v>0</v>
          </cell>
          <cell r="P840">
            <v>13054.26</v>
          </cell>
          <cell r="Q840">
            <v>26945.739999999998</v>
          </cell>
          <cell r="R840">
            <v>0</v>
          </cell>
          <cell r="S840">
            <v>20000</v>
          </cell>
          <cell r="T840">
            <v>0</v>
          </cell>
          <cell r="U840">
            <v>0</v>
          </cell>
          <cell r="V840">
            <v>30000</v>
          </cell>
          <cell r="W840">
            <v>0</v>
          </cell>
          <cell r="X840">
            <v>18097</v>
          </cell>
          <cell r="Y840">
            <v>40000</v>
          </cell>
          <cell r="AB840">
            <v>148097</v>
          </cell>
        </row>
        <row r="841">
          <cell r="B841" t="str">
            <v>45102204511000023Mission &amp; Travel-N423821200104</v>
          </cell>
          <cell r="N841">
            <v>0</v>
          </cell>
          <cell r="O841">
            <v>7500</v>
          </cell>
          <cell r="P841">
            <v>0</v>
          </cell>
          <cell r="Q841">
            <v>57500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AB841">
            <v>65000</v>
          </cell>
        </row>
        <row r="842">
          <cell r="B842" t="str">
            <v>45102204511000779Event Management-N422401200104</v>
          </cell>
          <cell r="N842">
            <v>0</v>
          </cell>
          <cell r="O842">
            <v>0</v>
          </cell>
          <cell r="P842">
            <v>73075</v>
          </cell>
          <cell r="Q842">
            <v>54375</v>
          </cell>
          <cell r="R842">
            <v>204500</v>
          </cell>
          <cell r="S842">
            <v>0</v>
          </cell>
          <cell r="T842">
            <v>123000</v>
          </cell>
          <cell r="U842">
            <v>0</v>
          </cell>
          <cell r="V842">
            <v>23500</v>
          </cell>
          <cell r="W842">
            <v>0</v>
          </cell>
          <cell r="X842">
            <v>355000</v>
          </cell>
          <cell r="Y842">
            <v>355000</v>
          </cell>
          <cell r="AB842">
            <v>3230450</v>
          </cell>
        </row>
        <row r="843">
          <cell r="B843" t="str">
            <v>45102204511000782Awards &amp; Prizes-N424231200104</v>
          </cell>
          <cell r="N843">
            <v>0</v>
          </cell>
          <cell r="O843">
            <v>0</v>
          </cell>
          <cell r="P843">
            <v>92000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5319</v>
          </cell>
          <cell r="AB843">
            <v>2874819</v>
          </cell>
        </row>
        <row r="844">
          <cell r="B844" t="str">
            <v>45102204511001326Event Management-N422401200104</v>
          </cell>
          <cell r="N844">
            <v>0</v>
          </cell>
          <cell r="O844">
            <v>0</v>
          </cell>
          <cell r="P844">
            <v>1600</v>
          </cell>
          <cell r="Q844">
            <v>38400</v>
          </cell>
          <cell r="R844">
            <v>32000</v>
          </cell>
          <cell r="S844">
            <v>0</v>
          </cell>
          <cell r="T844">
            <v>0</v>
          </cell>
          <cell r="U844">
            <v>9500</v>
          </cell>
          <cell r="V844">
            <v>0</v>
          </cell>
          <cell r="W844">
            <v>235000</v>
          </cell>
          <cell r="X844">
            <v>200000</v>
          </cell>
          <cell r="Y844">
            <v>28000</v>
          </cell>
          <cell r="AB844">
            <v>840650</v>
          </cell>
        </row>
        <row r="845">
          <cell r="B845" t="str">
            <v>45102304511000348Manpower-N1424521200104</v>
          </cell>
          <cell r="N845">
            <v>0</v>
          </cell>
          <cell r="O845">
            <v>0</v>
          </cell>
          <cell r="P845">
            <v>0</v>
          </cell>
          <cell r="Q845">
            <v>587540</v>
          </cell>
          <cell r="R845">
            <v>146885</v>
          </cell>
          <cell r="S845">
            <v>146885</v>
          </cell>
          <cell r="T845">
            <v>146885</v>
          </cell>
          <cell r="U845">
            <v>146885</v>
          </cell>
          <cell r="V845">
            <v>146885</v>
          </cell>
          <cell r="W845">
            <v>146885</v>
          </cell>
          <cell r="X845">
            <v>146885</v>
          </cell>
          <cell r="Y845">
            <v>146885</v>
          </cell>
          <cell r="AB845">
            <v>1762620</v>
          </cell>
        </row>
        <row r="846">
          <cell r="B846" t="str">
            <v>45102304511000348Fuel-N1431614200104</v>
          </cell>
          <cell r="N846">
            <v>0</v>
          </cell>
          <cell r="O846">
            <v>0</v>
          </cell>
          <cell r="P846">
            <v>0</v>
          </cell>
          <cell r="Q846">
            <v>480206</v>
          </cell>
          <cell r="R846">
            <v>100000</v>
          </cell>
          <cell r="S846">
            <v>100000</v>
          </cell>
          <cell r="T846">
            <v>100000</v>
          </cell>
          <cell r="U846">
            <v>100000</v>
          </cell>
          <cell r="V846">
            <v>100000</v>
          </cell>
          <cell r="W846">
            <v>100000</v>
          </cell>
          <cell r="X846">
            <v>100000</v>
          </cell>
          <cell r="Y846">
            <v>0</v>
          </cell>
          <cell r="AB846">
            <v>1415432</v>
          </cell>
        </row>
        <row r="847">
          <cell r="B847" t="str">
            <v>45102304511000348Hospitality-N1424761200104</v>
          </cell>
          <cell r="N847">
            <v>0</v>
          </cell>
          <cell r="O847">
            <v>0</v>
          </cell>
          <cell r="P847">
            <v>0</v>
          </cell>
          <cell r="Q847">
            <v>290000</v>
          </cell>
          <cell r="R847">
            <v>0</v>
          </cell>
          <cell r="S847">
            <v>57500</v>
          </cell>
          <cell r="T847">
            <v>0</v>
          </cell>
          <cell r="U847">
            <v>0</v>
          </cell>
          <cell r="V847">
            <v>0</v>
          </cell>
          <cell r="W847">
            <v>127500</v>
          </cell>
          <cell r="X847">
            <v>0</v>
          </cell>
          <cell r="Y847">
            <v>10000</v>
          </cell>
          <cell r="AB847">
            <v>485000</v>
          </cell>
        </row>
        <row r="848">
          <cell r="B848" t="str">
            <v>45102304511000348Mission &amp; Travel-N1423821200104</v>
          </cell>
          <cell r="N848">
            <v>0</v>
          </cell>
          <cell r="O848">
            <v>0</v>
          </cell>
          <cell r="P848">
            <v>0</v>
          </cell>
          <cell r="Q848">
            <v>8000</v>
          </cell>
          <cell r="R848">
            <v>17000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12000</v>
          </cell>
          <cell r="X848">
            <v>22500</v>
          </cell>
          <cell r="Y848">
            <v>30500</v>
          </cell>
          <cell r="AB848">
            <v>90000</v>
          </cell>
        </row>
        <row r="849">
          <cell r="B849" t="str">
            <v>45112504511000527Ad-hoc Repairs-N426427200104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10232</v>
          </cell>
          <cell r="S849">
            <v>0</v>
          </cell>
          <cell r="T849">
            <v>10233</v>
          </cell>
          <cell r="U849">
            <v>0</v>
          </cell>
          <cell r="V849">
            <v>10233</v>
          </cell>
          <cell r="W849">
            <v>0</v>
          </cell>
          <cell r="X849">
            <v>10233</v>
          </cell>
          <cell r="Y849">
            <v>0</v>
          </cell>
          <cell r="AB849">
            <v>40931</v>
          </cell>
        </row>
        <row r="850">
          <cell r="B850" t="str">
            <v>45102304511000502Cleaning Service-N1422311200104</v>
          </cell>
          <cell r="N850">
            <v>0</v>
          </cell>
          <cell r="O850">
            <v>0</v>
          </cell>
          <cell r="P850">
            <v>0</v>
          </cell>
          <cell r="Q850">
            <v>28000</v>
          </cell>
          <cell r="R850">
            <v>7000</v>
          </cell>
          <cell r="S850">
            <v>7000</v>
          </cell>
          <cell r="T850">
            <v>7000</v>
          </cell>
          <cell r="U850">
            <v>7000</v>
          </cell>
          <cell r="V850">
            <v>7000</v>
          </cell>
          <cell r="W850">
            <v>7000</v>
          </cell>
          <cell r="X850">
            <v>7000</v>
          </cell>
          <cell r="Y850">
            <v>7000</v>
          </cell>
          <cell r="AB850">
            <v>84000</v>
          </cell>
        </row>
        <row r="851">
          <cell r="B851" t="str">
            <v>45102304511000502Hospitality-N1424761200104</v>
          </cell>
          <cell r="N851">
            <v>0</v>
          </cell>
          <cell r="O851">
            <v>0</v>
          </cell>
          <cell r="P851">
            <v>0</v>
          </cell>
          <cell r="Q851">
            <v>16664</v>
          </cell>
          <cell r="R851">
            <v>4167</v>
          </cell>
          <cell r="S851">
            <v>4167</v>
          </cell>
          <cell r="T851">
            <v>4167</v>
          </cell>
          <cell r="U851">
            <v>4167</v>
          </cell>
          <cell r="V851">
            <v>4167</v>
          </cell>
          <cell r="W851">
            <v>4167</v>
          </cell>
          <cell r="X851">
            <v>4167</v>
          </cell>
          <cell r="Y851">
            <v>4167</v>
          </cell>
          <cell r="AB851">
            <v>50000</v>
          </cell>
        </row>
        <row r="852">
          <cell r="B852" t="str">
            <v>45102304511000502Maintenance-N1426212200104</v>
          </cell>
          <cell r="N852">
            <v>0</v>
          </cell>
          <cell r="O852">
            <v>0</v>
          </cell>
          <cell r="P852">
            <v>0</v>
          </cell>
          <cell r="Q852">
            <v>9400</v>
          </cell>
          <cell r="R852">
            <v>2350</v>
          </cell>
          <cell r="S852">
            <v>2350</v>
          </cell>
          <cell r="T852">
            <v>2350</v>
          </cell>
          <cell r="U852">
            <v>2350</v>
          </cell>
          <cell r="V852">
            <v>2350</v>
          </cell>
          <cell r="W852">
            <v>2350</v>
          </cell>
          <cell r="X852">
            <v>2350</v>
          </cell>
          <cell r="Y852">
            <v>2350</v>
          </cell>
          <cell r="AB852">
            <v>28200</v>
          </cell>
        </row>
        <row r="853">
          <cell r="B853" t="str">
            <v>45102304511000502Ad-hoc Repairs-N1426427200104</v>
          </cell>
          <cell r="N853">
            <v>0</v>
          </cell>
          <cell r="O853">
            <v>0</v>
          </cell>
          <cell r="P853">
            <v>0</v>
          </cell>
          <cell r="Q853">
            <v>1200</v>
          </cell>
          <cell r="R853">
            <v>0</v>
          </cell>
          <cell r="S853">
            <v>1200</v>
          </cell>
          <cell r="T853">
            <v>0</v>
          </cell>
          <cell r="U853">
            <v>0</v>
          </cell>
          <cell r="V853">
            <v>1200</v>
          </cell>
          <cell r="W853">
            <v>0</v>
          </cell>
          <cell r="X853">
            <v>0</v>
          </cell>
          <cell r="Y853">
            <v>0</v>
          </cell>
          <cell r="AB853">
            <v>3600</v>
          </cell>
        </row>
        <row r="854">
          <cell r="B854" t="str">
            <v>45102304511000504Security Service-N1424551200104</v>
          </cell>
          <cell r="N854">
            <v>0</v>
          </cell>
          <cell r="O854">
            <v>0</v>
          </cell>
          <cell r="P854">
            <v>0</v>
          </cell>
          <cell r="Q854">
            <v>29880</v>
          </cell>
          <cell r="R854">
            <v>7470</v>
          </cell>
          <cell r="S854">
            <v>7470</v>
          </cell>
          <cell r="T854">
            <v>7470</v>
          </cell>
          <cell r="U854">
            <v>7470</v>
          </cell>
          <cell r="V854">
            <v>7470</v>
          </cell>
          <cell r="W854">
            <v>7470</v>
          </cell>
          <cell r="X854">
            <v>7470</v>
          </cell>
          <cell r="Y854">
            <v>7470</v>
          </cell>
          <cell r="AB854">
            <v>89640</v>
          </cell>
        </row>
        <row r="855">
          <cell r="B855" t="str">
            <v>45102304511000504Facilities Rent-N1425112200104</v>
          </cell>
          <cell r="N855">
            <v>0</v>
          </cell>
          <cell r="O855">
            <v>0</v>
          </cell>
          <cell r="P855">
            <v>0</v>
          </cell>
          <cell r="Q855">
            <v>61560.45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AB855">
            <v>61560.45</v>
          </cell>
        </row>
        <row r="856">
          <cell r="B856" t="str">
            <v>45102304511000504Cleaning Service-N1422311200104</v>
          </cell>
          <cell r="N856">
            <v>0</v>
          </cell>
          <cell r="O856">
            <v>0</v>
          </cell>
          <cell r="P856">
            <v>0</v>
          </cell>
          <cell r="Q856">
            <v>14660</v>
          </cell>
          <cell r="R856">
            <v>3667</v>
          </cell>
          <cell r="S856">
            <v>3667</v>
          </cell>
          <cell r="T856">
            <v>3667</v>
          </cell>
          <cell r="U856">
            <v>3667</v>
          </cell>
          <cell r="V856">
            <v>3667</v>
          </cell>
          <cell r="W856">
            <v>3667</v>
          </cell>
          <cell r="X856">
            <v>3668</v>
          </cell>
          <cell r="Y856">
            <v>3670</v>
          </cell>
          <cell r="AB856">
            <v>44000</v>
          </cell>
        </row>
        <row r="857">
          <cell r="B857" t="str">
            <v>45102304511000504Hospitality-N1424761200104</v>
          </cell>
          <cell r="N857">
            <v>0</v>
          </cell>
          <cell r="O857">
            <v>0</v>
          </cell>
          <cell r="P857">
            <v>0</v>
          </cell>
          <cell r="Q857">
            <v>12433</v>
          </cell>
          <cell r="R857">
            <v>3108</v>
          </cell>
          <cell r="S857">
            <v>3108</v>
          </cell>
          <cell r="T857">
            <v>3108</v>
          </cell>
          <cell r="U857">
            <v>3108</v>
          </cell>
          <cell r="V857">
            <v>3108</v>
          </cell>
          <cell r="W857">
            <v>3108</v>
          </cell>
          <cell r="X857">
            <v>3108</v>
          </cell>
          <cell r="Y857">
            <v>3111</v>
          </cell>
          <cell r="AB857">
            <v>37300</v>
          </cell>
        </row>
        <row r="858">
          <cell r="B858" t="str">
            <v>45102304511000504Maintenance-N1426212200104</v>
          </cell>
          <cell r="N858">
            <v>0</v>
          </cell>
          <cell r="O858">
            <v>0</v>
          </cell>
          <cell r="P858">
            <v>0</v>
          </cell>
          <cell r="Q858">
            <v>12000</v>
          </cell>
          <cell r="R858">
            <v>3000</v>
          </cell>
          <cell r="S858">
            <v>3000</v>
          </cell>
          <cell r="T858">
            <v>3000</v>
          </cell>
          <cell r="U858">
            <v>3000</v>
          </cell>
          <cell r="V858">
            <v>3000</v>
          </cell>
          <cell r="W858">
            <v>3000</v>
          </cell>
          <cell r="X858">
            <v>3000</v>
          </cell>
          <cell r="Y858">
            <v>3000</v>
          </cell>
          <cell r="AB858">
            <v>36000</v>
          </cell>
        </row>
        <row r="859">
          <cell r="B859" t="str">
            <v>45102304511000504Ad-hoc Repairs-N1426427200104</v>
          </cell>
          <cell r="N859">
            <v>0</v>
          </cell>
          <cell r="O859">
            <v>0</v>
          </cell>
          <cell r="P859">
            <v>0</v>
          </cell>
          <cell r="Q859">
            <v>4000</v>
          </cell>
          <cell r="R859">
            <v>1000</v>
          </cell>
          <cell r="S859">
            <v>1000</v>
          </cell>
          <cell r="T859">
            <v>1000</v>
          </cell>
          <cell r="U859">
            <v>1000</v>
          </cell>
          <cell r="V859">
            <v>1000</v>
          </cell>
          <cell r="W859">
            <v>1000</v>
          </cell>
          <cell r="X859">
            <v>1000</v>
          </cell>
          <cell r="Y859">
            <v>1000</v>
          </cell>
          <cell r="AB859">
            <v>12000</v>
          </cell>
        </row>
        <row r="860">
          <cell r="B860" t="str">
            <v>45102304511000505Interior Fit Out-NC1491711300105</v>
          </cell>
          <cell r="N860">
            <v>0</v>
          </cell>
          <cell r="O860">
            <v>0</v>
          </cell>
          <cell r="P860">
            <v>0</v>
          </cell>
          <cell r="Q860">
            <v>48922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50000</v>
          </cell>
          <cell r="W860">
            <v>0</v>
          </cell>
          <cell r="X860">
            <v>43578</v>
          </cell>
          <cell r="Y860">
            <v>0</v>
          </cell>
          <cell r="AB860">
            <v>142500</v>
          </cell>
        </row>
        <row r="861">
          <cell r="B861" t="str">
            <v>45102304511000505Facilities Rent-N2425112200104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296166.78000000003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AB861">
            <v>296166.78000000003</v>
          </cell>
        </row>
        <row r="862">
          <cell r="B862" t="str">
            <v>45102304511000505Security Service-N2424551200104</v>
          </cell>
          <cell r="N862">
            <v>0</v>
          </cell>
          <cell r="O862">
            <v>0</v>
          </cell>
          <cell r="P862">
            <v>0</v>
          </cell>
          <cell r="Q862">
            <v>73976</v>
          </cell>
          <cell r="R862">
            <v>18494</v>
          </cell>
          <cell r="S862">
            <v>18494</v>
          </cell>
          <cell r="T862">
            <v>18494</v>
          </cell>
          <cell r="U862">
            <v>18494</v>
          </cell>
          <cell r="V862">
            <v>18494</v>
          </cell>
          <cell r="W862">
            <v>18494</v>
          </cell>
          <cell r="X862">
            <v>18494</v>
          </cell>
          <cell r="Y862">
            <v>18494</v>
          </cell>
          <cell r="AB862">
            <v>221928</v>
          </cell>
        </row>
        <row r="863">
          <cell r="B863" t="str">
            <v>45102304511000505Cleaning Service-N2422311200104</v>
          </cell>
          <cell r="N863">
            <v>0</v>
          </cell>
          <cell r="O863">
            <v>0</v>
          </cell>
          <cell r="P863">
            <v>0</v>
          </cell>
          <cell r="Q863">
            <v>46800</v>
          </cell>
          <cell r="R863">
            <v>11700</v>
          </cell>
          <cell r="S863">
            <v>11700</v>
          </cell>
          <cell r="T863">
            <v>11700</v>
          </cell>
          <cell r="U863">
            <v>11700</v>
          </cell>
          <cell r="V863">
            <v>11700</v>
          </cell>
          <cell r="W863">
            <v>11700</v>
          </cell>
          <cell r="X863">
            <v>11700</v>
          </cell>
          <cell r="Y863">
            <v>11700</v>
          </cell>
          <cell r="AB863">
            <v>140400</v>
          </cell>
        </row>
        <row r="864">
          <cell r="B864" t="str">
            <v>45102304511000505Maintenance-N2426212200104</v>
          </cell>
          <cell r="N864">
            <v>0</v>
          </cell>
          <cell r="O864">
            <v>0</v>
          </cell>
          <cell r="P864">
            <v>0</v>
          </cell>
          <cell r="Q864">
            <v>20000</v>
          </cell>
          <cell r="R864">
            <v>5000</v>
          </cell>
          <cell r="S864">
            <v>5000</v>
          </cell>
          <cell r="T864">
            <v>5000</v>
          </cell>
          <cell r="U864">
            <v>5000</v>
          </cell>
          <cell r="V864">
            <v>5000</v>
          </cell>
          <cell r="W864">
            <v>5000</v>
          </cell>
          <cell r="X864">
            <v>5000</v>
          </cell>
          <cell r="Y864">
            <v>5000</v>
          </cell>
          <cell r="AB864">
            <v>60000</v>
          </cell>
        </row>
        <row r="865">
          <cell r="B865" t="str">
            <v>45102304511000505Hospitality-N2424761200104</v>
          </cell>
          <cell r="N865">
            <v>0</v>
          </cell>
          <cell r="O865">
            <v>0</v>
          </cell>
          <cell r="P865">
            <v>0</v>
          </cell>
          <cell r="Q865">
            <v>17200</v>
          </cell>
          <cell r="R865">
            <v>4300</v>
          </cell>
          <cell r="S865">
            <v>4300</v>
          </cell>
          <cell r="T865">
            <v>4300</v>
          </cell>
          <cell r="U865">
            <v>4300</v>
          </cell>
          <cell r="V865">
            <v>4300</v>
          </cell>
          <cell r="W865">
            <v>4300</v>
          </cell>
          <cell r="X865">
            <v>4300</v>
          </cell>
          <cell r="Y865">
            <v>4300</v>
          </cell>
          <cell r="AB865">
            <v>51600</v>
          </cell>
        </row>
        <row r="866">
          <cell r="B866" t="str">
            <v>45102304511000505Ad-hoc Repairs-N1426427200104</v>
          </cell>
          <cell r="N866">
            <v>0</v>
          </cell>
          <cell r="O866">
            <v>0</v>
          </cell>
          <cell r="P866">
            <v>0</v>
          </cell>
          <cell r="Q866">
            <v>4600</v>
          </cell>
          <cell r="R866">
            <v>1150</v>
          </cell>
          <cell r="S866">
            <v>1150</v>
          </cell>
          <cell r="T866">
            <v>1150</v>
          </cell>
          <cell r="U866">
            <v>1150</v>
          </cell>
          <cell r="V866">
            <v>1150</v>
          </cell>
          <cell r="W866">
            <v>1150</v>
          </cell>
          <cell r="X866">
            <v>1150</v>
          </cell>
          <cell r="Y866">
            <v>1150</v>
          </cell>
          <cell r="AB866">
            <v>13800</v>
          </cell>
        </row>
        <row r="867">
          <cell r="B867" t="str">
            <v>45102104511000346Insurance-N422749200104</v>
          </cell>
          <cell r="N867">
            <v>0</v>
          </cell>
          <cell r="O867">
            <v>0</v>
          </cell>
          <cell r="P867">
            <v>0</v>
          </cell>
          <cell r="Q867">
            <v>1500000</v>
          </cell>
          <cell r="R867">
            <v>609912</v>
          </cell>
          <cell r="S867">
            <v>0</v>
          </cell>
          <cell r="T867">
            <v>126234.11</v>
          </cell>
          <cell r="U867">
            <v>0</v>
          </cell>
          <cell r="V867">
            <v>0</v>
          </cell>
          <cell r="W867">
            <v>836332</v>
          </cell>
          <cell r="X867">
            <v>0</v>
          </cell>
          <cell r="Y867">
            <v>7166</v>
          </cell>
          <cell r="AB867">
            <v>13371044.109999999</v>
          </cell>
        </row>
        <row r="868">
          <cell r="B868" t="str">
            <v>45102304511000507Cleaning Service-N1422311200104</v>
          </cell>
          <cell r="N868">
            <v>0</v>
          </cell>
          <cell r="O868">
            <v>0</v>
          </cell>
          <cell r="P868">
            <v>0</v>
          </cell>
          <cell r="Q868">
            <v>27500</v>
          </cell>
          <cell r="R868">
            <v>6875</v>
          </cell>
          <cell r="S868">
            <v>6875</v>
          </cell>
          <cell r="T868">
            <v>6875</v>
          </cell>
          <cell r="U868">
            <v>6875</v>
          </cell>
          <cell r="V868">
            <v>6875</v>
          </cell>
          <cell r="W868">
            <v>6875</v>
          </cell>
          <cell r="X868">
            <v>6875</v>
          </cell>
          <cell r="Y868">
            <v>6875</v>
          </cell>
          <cell r="AB868">
            <v>82500</v>
          </cell>
        </row>
        <row r="869">
          <cell r="B869" t="str">
            <v>45102304511000507Hospitality-N1424761200104</v>
          </cell>
          <cell r="N869">
            <v>0</v>
          </cell>
          <cell r="O869">
            <v>0</v>
          </cell>
          <cell r="P869">
            <v>0</v>
          </cell>
          <cell r="Q869">
            <v>18500</v>
          </cell>
          <cell r="R869">
            <v>4625</v>
          </cell>
          <cell r="S869">
            <v>4625</v>
          </cell>
          <cell r="T869">
            <v>4625</v>
          </cell>
          <cell r="U869">
            <v>4625</v>
          </cell>
          <cell r="V869">
            <v>4625</v>
          </cell>
          <cell r="W869">
            <v>4625</v>
          </cell>
          <cell r="X869">
            <v>4625</v>
          </cell>
          <cell r="Y869">
            <v>4625</v>
          </cell>
          <cell r="AB869">
            <v>55500</v>
          </cell>
        </row>
        <row r="870">
          <cell r="B870" t="str">
            <v>45102304511000507Ad-hoc Repairs-N1426427200104</v>
          </cell>
          <cell r="N870">
            <v>0</v>
          </cell>
          <cell r="O870">
            <v>0</v>
          </cell>
          <cell r="P870">
            <v>0</v>
          </cell>
          <cell r="Q870">
            <v>3500</v>
          </cell>
          <cell r="R870">
            <v>875</v>
          </cell>
          <cell r="S870">
            <v>875</v>
          </cell>
          <cell r="T870">
            <v>875</v>
          </cell>
          <cell r="U870">
            <v>875</v>
          </cell>
          <cell r="V870">
            <v>875</v>
          </cell>
          <cell r="W870">
            <v>875</v>
          </cell>
          <cell r="X870">
            <v>875</v>
          </cell>
          <cell r="Y870">
            <v>875</v>
          </cell>
          <cell r="AB870">
            <v>10500</v>
          </cell>
        </row>
        <row r="871">
          <cell r="B871" t="str">
            <v>45102304511000507Maintenance-N1426212200104</v>
          </cell>
          <cell r="N871">
            <v>0</v>
          </cell>
          <cell r="O871">
            <v>0</v>
          </cell>
          <cell r="P871">
            <v>0</v>
          </cell>
          <cell r="Q871">
            <v>3333</v>
          </cell>
          <cell r="R871">
            <v>833</v>
          </cell>
          <cell r="S871">
            <v>833</v>
          </cell>
          <cell r="T871">
            <v>833</v>
          </cell>
          <cell r="U871">
            <v>833</v>
          </cell>
          <cell r="V871">
            <v>833</v>
          </cell>
          <cell r="W871">
            <v>833</v>
          </cell>
          <cell r="X871">
            <v>833</v>
          </cell>
          <cell r="Y871">
            <v>836</v>
          </cell>
          <cell r="AB871">
            <v>10000</v>
          </cell>
        </row>
        <row r="872">
          <cell r="B872" t="str">
            <v>45102304511000509Interior Fit Out-NC2491711300105</v>
          </cell>
          <cell r="N872">
            <v>0</v>
          </cell>
          <cell r="O872">
            <v>0</v>
          </cell>
          <cell r="P872">
            <v>0</v>
          </cell>
          <cell r="Q872">
            <v>18000</v>
          </cell>
          <cell r="R872">
            <v>0</v>
          </cell>
          <cell r="S872">
            <v>10000</v>
          </cell>
          <cell r="T872">
            <v>0</v>
          </cell>
          <cell r="U872">
            <v>5000</v>
          </cell>
          <cell r="V872">
            <v>0</v>
          </cell>
          <cell r="W872">
            <v>9000</v>
          </cell>
          <cell r="X872">
            <v>5500</v>
          </cell>
          <cell r="Y872">
            <v>0</v>
          </cell>
          <cell r="AB872">
            <v>47500</v>
          </cell>
        </row>
        <row r="873">
          <cell r="B873" t="str">
            <v>45102304511000509Maintenance-N1426212200104</v>
          </cell>
          <cell r="N873">
            <v>0</v>
          </cell>
          <cell r="O873">
            <v>0</v>
          </cell>
          <cell r="P873">
            <v>0</v>
          </cell>
          <cell r="Q873">
            <v>33600</v>
          </cell>
          <cell r="R873">
            <v>8400</v>
          </cell>
          <cell r="S873">
            <v>8400</v>
          </cell>
          <cell r="T873">
            <v>8400</v>
          </cell>
          <cell r="U873">
            <v>8400</v>
          </cell>
          <cell r="V873">
            <v>8400</v>
          </cell>
          <cell r="W873">
            <v>8400</v>
          </cell>
          <cell r="X873">
            <v>8400</v>
          </cell>
          <cell r="Y873">
            <v>8400</v>
          </cell>
          <cell r="AB873">
            <v>100800</v>
          </cell>
        </row>
        <row r="874">
          <cell r="B874" t="str">
            <v>45102304511000509Cleaning Service-N1422311200104</v>
          </cell>
          <cell r="N874">
            <v>0</v>
          </cell>
          <cell r="O874">
            <v>0</v>
          </cell>
          <cell r="P874">
            <v>0</v>
          </cell>
          <cell r="Q874">
            <v>31664</v>
          </cell>
          <cell r="R874">
            <v>7917</v>
          </cell>
          <cell r="S874">
            <v>7917</v>
          </cell>
          <cell r="T874">
            <v>7917</v>
          </cell>
          <cell r="U874">
            <v>7917</v>
          </cell>
          <cell r="V874">
            <v>7917</v>
          </cell>
          <cell r="W874">
            <v>7917</v>
          </cell>
          <cell r="X874">
            <v>7917</v>
          </cell>
          <cell r="Y874">
            <v>7917</v>
          </cell>
          <cell r="AB874">
            <v>95000</v>
          </cell>
        </row>
        <row r="875">
          <cell r="B875" t="str">
            <v>45102304511000509Hospitality -N1424761200104</v>
          </cell>
          <cell r="N875">
            <v>0</v>
          </cell>
          <cell r="O875">
            <v>0</v>
          </cell>
          <cell r="P875">
            <v>0</v>
          </cell>
          <cell r="Q875">
            <v>12800</v>
          </cell>
          <cell r="R875">
            <v>3200</v>
          </cell>
          <cell r="S875">
            <v>3200</v>
          </cell>
          <cell r="T875">
            <v>3200</v>
          </cell>
          <cell r="U875">
            <v>3200</v>
          </cell>
          <cell r="V875">
            <v>3200</v>
          </cell>
          <cell r="W875">
            <v>3200</v>
          </cell>
          <cell r="X875">
            <v>3200</v>
          </cell>
          <cell r="Y875">
            <v>3200</v>
          </cell>
          <cell r="AB875">
            <v>38400</v>
          </cell>
        </row>
        <row r="876">
          <cell r="B876" t="str">
            <v>45102304511000509Ad-hoc Repairs-N1426427200104</v>
          </cell>
          <cell r="N876">
            <v>0</v>
          </cell>
          <cell r="O876">
            <v>0</v>
          </cell>
          <cell r="P876">
            <v>0</v>
          </cell>
          <cell r="Q876">
            <v>4640</v>
          </cell>
          <cell r="R876">
            <v>1170</v>
          </cell>
          <cell r="S876">
            <v>1170</v>
          </cell>
          <cell r="T876">
            <v>1170</v>
          </cell>
          <cell r="U876">
            <v>1170</v>
          </cell>
          <cell r="V876">
            <v>1170</v>
          </cell>
          <cell r="W876">
            <v>1170</v>
          </cell>
          <cell r="X876">
            <v>1170</v>
          </cell>
          <cell r="Y876">
            <v>1170</v>
          </cell>
          <cell r="AB876">
            <v>14000</v>
          </cell>
        </row>
        <row r="877">
          <cell r="B877" t="str">
            <v>45102304511000511Facilities Rent-N1425112200104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2021090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AB877">
            <v>2021090</v>
          </cell>
        </row>
        <row r="878">
          <cell r="B878" t="str">
            <v>45112504511000623Hospitality-N424761200104</v>
          </cell>
          <cell r="N878">
            <v>0</v>
          </cell>
          <cell r="O878">
            <v>0</v>
          </cell>
          <cell r="P878">
            <v>0</v>
          </cell>
          <cell r="Q878">
            <v>20000</v>
          </cell>
          <cell r="R878">
            <v>5000</v>
          </cell>
          <cell r="S878">
            <v>5000</v>
          </cell>
          <cell r="T878">
            <v>5938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AB878">
            <v>35938</v>
          </cell>
        </row>
        <row r="879">
          <cell r="B879" t="str">
            <v>45102304511000511Hospitality-N1424761200104</v>
          </cell>
          <cell r="N879">
            <v>0</v>
          </cell>
          <cell r="O879">
            <v>0</v>
          </cell>
          <cell r="P879">
            <v>0</v>
          </cell>
          <cell r="Q879">
            <v>43200</v>
          </cell>
          <cell r="R879">
            <v>10800</v>
          </cell>
          <cell r="S879">
            <v>10800</v>
          </cell>
          <cell r="T879">
            <v>10800</v>
          </cell>
          <cell r="U879">
            <v>10800</v>
          </cell>
          <cell r="V879">
            <v>10800</v>
          </cell>
          <cell r="W879">
            <v>10800</v>
          </cell>
          <cell r="X879">
            <v>10800</v>
          </cell>
          <cell r="Y879">
            <v>10800</v>
          </cell>
          <cell r="AB879">
            <v>129600</v>
          </cell>
        </row>
        <row r="880">
          <cell r="B880" t="str">
            <v>45102304511000511Security Service-N1424551200104</v>
          </cell>
          <cell r="N880">
            <v>0</v>
          </cell>
          <cell r="O880">
            <v>0</v>
          </cell>
          <cell r="P880">
            <v>0</v>
          </cell>
          <cell r="Q880">
            <v>33200</v>
          </cell>
          <cell r="R880">
            <v>8300</v>
          </cell>
          <cell r="S880">
            <v>8300</v>
          </cell>
          <cell r="T880">
            <v>8300</v>
          </cell>
          <cell r="U880">
            <v>8300</v>
          </cell>
          <cell r="V880">
            <v>8300</v>
          </cell>
          <cell r="W880">
            <v>8300</v>
          </cell>
          <cell r="X880">
            <v>8300</v>
          </cell>
          <cell r="Y880">
            <v>8300</v>
          </cell>
          <cell r="AB880">
            <v>99600</v>
          </cell>
        </row>
        <row r="881">
          <cell r="B881" t="str">
            <v>45102304511000511Cleaning Service-N1422311200104</v>
          </cell>
          <cell r="N881">
            <v>0</v>
          </cell>
          <cell r="O881">
            <v>0</v>
          </cell>
          <cell r="P881">
            <v>0</v>
          </cell>
          <cell r="Q881">
            <v>31657</v>
          </cell>
          <cell r="R881">
            <v>7917</v>
          </cell>
          <cell r="S881">
            <v>7917</v>
          </cell>
          <cell r="T881">
            <v>7917</v>
          </cell>
          <cell r="U881">
            <v>7917</v>
          </cell>
          <cell r="V881">
            <v>7917</v>
          </cell>
          <cell r="W881">
            <v>7917</v>
          </cell>
          <cell r="X881">
            <v>7917</v>
          </cell>
          <cell r="Y881">
            <v>7924</v>
          </cell>
          <cell r="AB881">
            <v>95000</v>
          </cell>
        </row>
        <row r="882">
          <cell r="B882" t="str">
            <v>45102304511000515Security Service-N1424551200104</v>
          </cell>
          <cell r="N882">
            <v>0</v>
          </cell>
          <cell r="O882">
            <v>0</v>
          </cell>
          <cell r="P882">
            <v>0</v>
          </cell>
          <cell r="Q882">
            <v>74920</v>
          </cell>
          <cell r="R882">
            <v>18730</v>
          </cell>
          <cell r="S882">
            <v>18730</v>
          </cell>
          <cell r="T882">
            <v>18730</v>
          </cell>
          <cell r="U882">
            <v>18730</v>
          </cell>
          <cell r="V882">
            <v>18730</v>
          </cell>
          <cell r="W882">
            <v>18730</v>
          </cell>
          <cell r="X882">
            <v>18600</v>
          </cell>
          <cell r="Y882">
            <v>18600</v>
          </cell>
          <cell r="AB882">
            <v>224500</v>
          </cell>
        </row>
        <row r="883">
          <cell r="B883" t="str">
            <v>45102304511000515Cleaning Service-N2422311200104</v>
          </cell>
          <cell r="N883">
            <v>0</v>
          </cell>
          <cell r="O883">
            <v>0</v>
          </cell>
          <cell r="P883">
            <v>0</v>
          </cell>
          <cell r="Q883">
            <v>53000</v>
          </cell>
          <cell r="R883">
            <v>13250</v>
          </cell>
          <cell r="S883">
            <v>13250</v>
          </cell>
          <cell r="T883">
            <v>13250</v>
          </cell>
          <cell r="U883">
            <v>13250</v>
          </cell>
          <cell r="V883">
            <v>13250</v>
          </cell>
          <cell r="W883">
            <v>13250</v>
          </cell>
          <cell r="X883">
            <v>13250</v>
          </cell>
          <cell r="Y883">
            <v>13250</v>
          </cell>
          <cell r="AB883">
            <v>159000</v>
          </cell>
        </row>
        <row r="884">
          <cell r="B884" t="str">
            <v>45102304511000515Hospitality-N1424761200104</v>
          </cell>
          <cell r="N884">
            <v>0</v>
          </cell>
          <cell r="O884">
            <v>0</v>
          </cell>
          <cell r="P884">
            <v>0</v>
          </cell>
          <cell r="Q884">
            <v>29200</v>
          </cell>
          <cell r="R884">
            <v>7300</v>
          </cell>
          <cell r="S884">
            <v>7300</v>
          </cell>
          <cell r="T884">
            <v>7300</v>
          </cell>
          <cell r="U884">
            <v>7300</v>
          </cell>
          <cell r="V884">
            <v>7300</v>
          </cell>
          <cell r="W884">
            <v>7300</v>
          </cell>
          <cell r="X884">
            <v>7300</v>
          </cell>
          <cell r="Y884">
            <v>7300</v>
          </cell>
          <cell r="AB884">
            <v>87600</v>
          </cell>
        </row>
        <row r="885">
          <cell r="B885" t="str">
            <v>45102304511000515Maintenance-N1426212200104</v>
          </cell>
          <cell r="N885">
            <v>0</v>
          </cell>
          <cell r="O885">
            <v>0</v>
          </cell>
          <cell r="P885">
            <v>0</v>
          </cell>
          <cell r="Q885">
            <v>12000</v>
          </cell>
          <cell r="R885">
            <v>3000</v>
          </cell>
          <cell r="S885">
            <v>3000</v>
          </cell>
          <cell r="T885">
            <v>3000</v>
          </cell>
          <cell r="U885">
            <v>3000</v>
          </cell>
          <cell r="V885">
            <v>3000</v>
          </cell>
          <cell r="W885">
            <v>3000</v>
          </cell>
          <cell r="X885">
            <v>3000</v>
          </cell>
          <cell r="Y885">
            <v>3000</v>
          </cell>
          <cell r="AB885">
            <v>36000</v>
          </cell>
        </row>
        <row r="886">
          <cell r="B886" t="str">
            <v>45102304511000517Interior Fit Out-NC2491711300105</v>
          </cell>
          <cell r="N886">
            <v>0</v>
          </cell>
          <cell r="O886">
            <v>0</v>
          </cell>
          <cell r="P886">
            <v>0</v>
          </cell>
          <cell r="Q886">
            <v>50000</v>
          </cell>
          <cell r="R886">
            <v>50000</v>
          </cell>
          <cell r="S886">
            <v>0</v>
          </cell>
          <cell r="T886">
            <v>183000</v>
          </cell>
          <cell r="U886">
            <v>0</v>
          </cell>
          <cell r="V886">
            <v>0</v>
          </cell>
          <cell r="W886">
            <v>50000</v>
          </cell>
          <cell r="X886">
            <v>0</v>
          </cell>
          <cell r="Y886">
            <v>0</v>
          </cell>
          <cell r="AB886">
            <v>333000</v>
          </cell>
        </row>
        <row r="887">
          <cell r="B887" t="str">
            <v>45102304511000517Facilities Rent-N1425112200104</v>
          </cell>
          <cell r="N887">
            <v>0</v>
          </cell>
          <cell r="O887">
            <v>0</v>
          </cell>
          <cell r="P887">
            <v>0</v>
          </cell>
          <cell r="Q887">
            <v>22206831.420000002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AB887">
            <v>22380686.420000002</v>
          </cell>
        </row>
        <row r="888">
          <cell r="B888" t="str">
            <v>45102304511000517Parking Fees-N1425112200104</v>
          </cell>
          <cell r="N888">
            <v>0</v>
          </cell>
          <cell r="O888">
            <v>0</v>
          </cell>
          <cell r="P888">
            <v>96000</v>
          </cell>
          <cell r="Q888">
            <v>652400</v>
          </cell>
          <cell r="R888">
            <v>25100</v>
          </cell>
          <cell r="S888">
            <v>32300</v>
          </cell>
          <cell r="T888">
            <v>38300</v>
          </cell>
          <cell r="U888">
            <v>56300</v>
          </cell>
          <cell r="V888">
            <v>46700</v>
          </cell>
          <cell r="W888">
            <v>61100</v>
          </cell>
          <cell r="X888">
            <v>63500</v>
          </cell>
          <cell r="Y888">
            <v>73100</v>
          </cell>
          <cell r="AB888">
            <v>1144800</v>
          </cell>
        </row>
        <row r="889">
          <cell r="B889" t="str">
            <v>45102304511000517Hospitality-N1424761200104</v>
          </cell>
          <cell r="N889">
            <v>0</v>
          </cell>
          <cell r="O889">
            <v>0</v>
          </cell>
          <cell r="P889">
            <v>0</v>
          </cell>
          <cell r="Q889">
            <v>280800</v>
          </cell>
          <cell r="R889">
            <v>70200</v>
          </cell>
          <cell r="S889">
            <v>70200</v>
          </cell>
          <cell r="T889">
            <v>70200</v>
          </cell>
          <cell r="U889">
            <v>70200</v>
          </cell>
          <cell r="V889">
            <v>70200</v>
          </cell>
          <cell r="W889">
            <v>70200</v>
          </cell>
          <cell r="X889">
            <v>70200</v>
          </cell>
          <cell r="Y889">
            <v>70200</v>
          </cell>
          <cell r="AB889">
            <v>842400</v>
          </cell>
        </row>
        <row r="890">
          <cell r="B890" t="str">
            <v>45102304511000517Pantry Supplies-N1431316200104</v>
          </cell>
          <cell r="N890">
            <v>0</v>
          </cell>
          <cell r="O890">
            <v>0</v>
          </cell>
          <cell r="P890">
            <v>0</v>
          </cell>
          <cell r="Q890">
            <v>270000</v>
          </cell>
          <cell r="R890">
            <v>70000</v>
          </cell>
          <cell r="S890">
            <v>70000</v>
          </cell>
          <cell r="T890">
            <v>70000</v>
          </cell>
          <cell r="U890">
            <v>70000</v>
          </cell>
          <cell r="V890">
            <v>70000</v>
          </cell>
          <cell r="W890">
            <v>70000</v>
          </cell>
          <cell r="X890">
            <v>70000</v>
          </cell>
          <cell r="Y890">
            <v>70000</v>
          </cell>
          <cell r="AB890">
            <v>830000</v>
          </cell>
        </row>
        <row r="891">
          <cell r="B891" t="str">
            <v>45102304511000517Cleaning Service-N1422311200104</v>
          </cell>
          <cell r="N891">
            <v>0</v>
          </cell>
          <cell r="O891">
            <v>0</v>
          </cell>
          <cell r="P891">
            <v>0</v>
          </cell>
          <cell r="Q891">
            <v>256664</v>
          </cell>
          <cell r="R891">
            <v>64167</v>
          </cell>
          <cell r="S891">
            <v>64167</v>
          </cell>
          <cell r="T891">
            <v>64167</v>
          </cell>
          <cell r="U891">
            <v>64167</v>
          </cell>
          <cell r="V891">
            <v>64167</v>
          </cell>
          <cell r="W891">
            <v>64167</v>
          </cell>
          <cell r="X891">
            <v>64167</v>
          </cell>
          <cell r="Y891">
            <v>64167</v>
          </cell>
          <cell r="AB891">
            <v>770000</v>
          </cell>
        </row>
        <row r="892">
          <cell r="B892" t="str">
            <v>45102304511000517Security Service-N1424551200104</v>
          </cell>
          <cell r="N892">
            <v>0</v>
          </cell>
          <cell r="O892">
            <v>0</v>
          </cell>
          <cell r="P892">
            <v>0</v>
          </cell>
          <cell r="Q892">
            <v>178000</v>
          </cell>
          <cell r="R892">
            <v>44500</v>
          </cell>
          <cell r="S892">
            <v>44500</v>
          </cell>
          <cell r="T892">
            <v>44500</v>
          </cell>
          <cell r="U892">
            <v>44500</v>
          </cell>
          <cell r="V892">
            <v>44500</v>
          </cell>
          <cell r="W892">
            <v>44500</v>
          </cell>
          <cell r="X892">
            <v>44500</v>
          </cell>
          <cell r="Y892">
            <v>44500</v>
          </cell>
          <cell r="AB892">
            <v>534000</v>
          </cell>
        </row>
        <row r="893">
          <cell r="B893" t="str">
            <v>45102304511000517Manpower-N424521200104</v>
          </cell>
          <cell r="N893">
            <v>0</v>
          </cell>
          <cell r="O893">
            <v>0</v>
          </cell>
          <cell r="P893">
            <v>0</v>
          </cell>
          <cell r="Q893">
            <v>175600</v>
          </cell>
          <cell r="R893">
            <v>43900</v>
          </cell>
          <cell r="S893">
            <v>43900</v>
          </cell>
          <cell r="T893">
            <v>43900</v>
          </cell>
          <cell r="U893">
            <v>43900</v>
          </cell>
          <cell r="V893">
            <v>43900</v>
          </cell>
          <cell r="W893">
            <v>43900</v>
          </cell>
          <cell r="X893">
            <v>43900</v>
          </cell>
          <cell r="Y893">
            <v>43900</v>
          </cell>
          <cell r="AB893">
            <v>526800</v>
          </cell>
        </row>
        <row r="894">
          <cell r="B894" t="str">
            <v>45102304511000517Maintenance-N1426212200104</v>
          </cell>
          <cell r="N894">
            <v>0</v>
          </cell>
          <cell r="O894">
            <v>0</v>
          </cell>
          <cell r="P894">
            <v>0</v>
          </cell>
          <cell r="Q894">
            <v>157327.67999999999</v>
          </cell>
          <cell r="R894">
            <v>39331.919999999998</v>
          </cell>
          <cell r="S894">
            <v>39331.919999999998</v>
          </cell>
          <cell r="T894">
            <v>39331.919999999998</v>
          </cell>
          <cell r="U894">
            <v>39331.919999999998</v>
          </cell>
          <cell r="V894">
            <v>39331.919999999998</v>
          </cell>
          <cell r="W894">
            <v>39331.919999999998</v>
          </cell>
          <cell r="X894">
            <v>39331.919999999998</v>
          </cell>
          <cell r="Y894">
            <v>39331.919999999998</v>
          </cell>
          <cell r="AB894">
            <v>471983.03999999986</v>
          </cell>
        </row>
        <row r="895">
          <cell r="B895" t="str">
            <v>45102304511000517Cooling Bills-N1423931200104</v>
          </cell>
          <cell r="N895">
            <v>0</v>
          </cell>
          <cell r="O895">
            <v>0</v>
          </cell>
          <cell r="P895">
            <v>0</v>
          </cell>
          <cell r="Q895">
            <v>141473.33333333334</v>
          </cell>
          <cell r="R895">
            <v>35743.333333333336</v>
          </cell>
          <cell r="S895">
            <v>35743.333333333336</v>
          </cell>
          <cell r="T895">
            <v>35743.333333333336</v>
          </cell>
          <cell r="U895">
            <v>35743.333333333336</v>
          </cell>
          <cell r="V895">
            <v>35743.333333333336</v>
          </cell>
          <cell r="W895">
            <v>35743.333333333336</v>
          </cell>
          <cell r="X895">
            <v>35743.333333333336</v>
          </cell>
          <cell r="Y895">
            <v>37243.333333333336</v>
          </cell>
          <cell r="AB895">
            <v>428919.99999999994</v>
          </cell>
        </row>
        <row r="896">
          <cell r="B896" t="str">
            <v>45102304511000517Ad-hoc Repairs-N3426427200104</v>
          </cell>
          <cell r="N896">
            <v>0</v>
          </cell>
          <cell r="O896">
            <v>0</v>
          </cell>
          <cell r="P896">
            <v>0</v>
          </cell>
          <cell r="Q896">
            <v>106000</v>
          </cell>
          <cell r="R896">
            <v>30500</v>
          </cell>
          <cell r="S896">
            <v>30500</v>
          </cell>
          <cell r="T896">
            <v>30500</v>
          </cell>
          <cell r="U896">
            <v>30500</v>
          </cell>
          <cell r="V896">
            <v>30500</v>
          </cell>
          <cell r="W896">
            <v>30500</v>
          </cell>
          <cell r="X896">
            <v>30500</v>
          </cell>
          <cell r="Y896">
            <v>30500</v>
          </cell>
          <cell r="AB896">
            <v>350000</v>
          </cell>
        </row>
        <row r="897">
          <cell r="B897" t="str">
            <v>45102304511000517FM Mgmnt (E-E)-N1426212200104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250000</v>
          </cell>
          <cell r="W897">
            <v>0</v>
          </cell>
          <cell r="X897">
            <v>0</v>
          </cell>
          <cell r="Y897">
            <v>0</v>
          </cell>
          <cell r="AB897">
            <v>250000</v>
          </cell>
        </row>
        <row r="898">
          <cell r="B898" t="str">
            <v>45102304511000517Other Expenses-N1424991200104</v>
          </cell>
          <cell r="N898">
            <v>0</v>
          </cell>
          <cell r="O898">
            <v>0</v>
          </cell>
          <cell r="P898">
            <v>0</v>
          </cell>
          <cell r="Q898">
            <v>18240</v>
          </cell>
          <cell r="R898">
            <v>4560</v>
          </cell>
          <cell r="S898">
            <v>4560</v>
          </cell>
          <cell r="T898">
            <v>4560</v>
          </cell>
          <cell r="U898">
            <v>4560</v>
          </cell>
          <cell r="V898">
            <v>4560</v>
          </cell>
          <cell r="W898">
            <v>4560</v>
          </cell>
          <cell r="X898">
            <v>4560</v>
          </cell>
          <cell r="Y898">
            <v>4595</v>
          </cell>
          <cell r="AB898">
            <v>54755</v>
          </cell>
        </row>
        <row r="899">
          <cell r="B899" t="str">
            <v>45102304511000502Security Service-N1424551200104</v>
          </cell>
          <cell r="N899">
            <v>0</v>
          </cell>
          <cell r="O899">
            <v>0</v>
          </cell>
          <cell r="P899">
            <v>0</v>
          </cell>
          <cell r="Q899">
            <v>34000</v>
          </cell>
          <cell r="R899">
            <v>8500</v>
          </cell>
          <cell r="S899">
            <v>8500</v>
          </cell>
          <cell r="T899">
            <v>8500</v>
          </cell>
          <cell r="U899">
            <v>8500</v>
          </cell>
          <cell r="V899">
            <v>8500</v>
          </cell>
          <cell r="W899">
            <v>8500</v>
          </cell>
          <cell r="X899">
            <v>8500</v>
          </cell>
          <cell r="Y899">
            <v>8500</v>
          </cell>
          <cell r="AB899">
            <v>102000</v>
          </cell>
        </row>
        <row r="900">
          <cell r="B900" t="str">
            <v>45102304511000519Maintenance-N1426212200104</v>
          </cell>
          <cell r="N900">
            <v>0</v>
          </cell>
          <cell r="O900">
            <v>0</v>
          </cell>
          <cell r="P900">
            <v>0</v>
          </cell>
          <cell r="Q900">
            <v>9334</v>
          </cell>
          <cell r="R900">
            <v>4667</v>
          </cell>
          <cell r="S900">
            <v>4667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AB900">
            <v>18668</v>
          </cell>
        </row>
        <row r="901">
          <cell r="B901" t="str">
            <v>45102304511000519Cleaning Service-N2422311200104</v>
          </cell>
          <cell r="N901">
            <v>0</v>
          </cell>
          <cell r="O901">
            <v>0</v>
          </cell>
          <cell r="P901">
            <v>0</v>
          </cell>
          <cell r="Q901">
            <v>8300</v>
          </cell>
          <cell r="R901">
            <v>4150</v>
          </cell>
          <cell r="S901">
            <v>4150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AB901">
            <v>16600</v>
          </cell>
        </row>
        <row r="902">
          <cell r="B902" t="str">
            <v>45102304511000519Ad-hoc Repairs-N1426427200104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8589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AB902">
            <v>8589</v>
          </cell>
        </row>
        <row r="903">
          <cell r="B903" t="str">
            <v>45102304511000521Hospitality-N1424761200104</v>
          </cell>
          <cell r="N903">
            <v>0</v>
          </cell>
          <cell r="O903">
            <v>0</v>
          </cell>
          <cell r="P903">
            <v>0</v>
          </cell>
          <cell r="Q903">
            <v>34000</v>
          </cell>
          <cell r="R903">
            <v>8500</v>
          </cell>
          <cell r="S903">
            <v>8500</v>
          </cell>
          <cell r="T903">
            <v>8500</v>
          </cell>
          <cell r="U903">
            <v>8500</v>
          </cell>
          <cell r="V903">
            <v>8500</v>
          </cell>
          <cell r="W903">
            <v>8500</v>
          </cell>
          <cell r="X903">
            <v>8500</v>
          </cell>
          <cell r="Y903">
            <v>8500</v>
          </cell>
          <cell r="AB903">
            <v>102000</v>
          </cell>
        </row>
        <row r="904">
          <cell r="B904" t="str">
            <v>45102304511000522Security Service-N1424551200104</v>
          </cell>
          <cell r="N904">
            <v>0</v>
          </cell>
          <cell r="O904">
            <v>0</v>
          </cell>
          <cell r="P904">
            <v>0</v>
          </cell>
          <cell r="Q904">
            <v>36048</v>
          </cell>
          <cell r="R904">
            <v>9012</v>
          </cell>
          <cell r="S904">
            <v>9012</v>
          </cell>
          <cell r="T904">
            <v>9012</v>
          </cell>
          <cell r="U904">
            <v>9012</v>
          </cell>
          <cell r="V904">
            <v>9012</v>
          </cell>
          <cell r="W904">
            <v>9012</v>
          </cell>
          <cell r="X904">
            <v>9012</v>
          </cell>
          <cell r="Y904">
            <v>9012</v>
          </cell>
          <cell r="AB904">
            <v>108144</v>
          </cell>
        </row>
        <row r="905">
          <cell r="B905" t="str">
            <v>45102304511000522Cleaning Service-N1422311200104</v>
          </cell>
          <cell r="N905">
            <v>0</v>
          </cell>
          <cell r="O905">
            <v>0</v>
          </cell>
          <cell r="P905">
            <v>0</v>
          </cell>
          <cell r="Q905">
            <v>24400</v>
          </cell>
          <cell r="R905">
            <v>6100</v>
          </cell>
          <cell r="S905">
            <v>6100</v>
          </cell>
          <cell r="T905">
            <v>6100</v>
          </cell>
          <cell r="U905">
            <v>6100</v>
          </cell>
          <cell r="V905">
            <v>6100</v>
          </cell>
          <cell r="W905">
            <v>6100</v>
          </cell>
          <cell r="X905">
            <v>6100</v>
          </cell>
          <cell r="Y905">
            <v>6100</v>
          </cell>
          <cell r="AB905">
            <v>73200</v>
          </cell>
        </row>
        <row r="906">
          <cell r="B906" t="str">
            <v>45102304511000522Maintenance-N1426212200104</v>
          </cell>
          <cell r="N906">
            <v>0</v>
          </cell>
          <cell r="O906">
            <v>0</v>
          </cell>
          <cell r="P906">
            <v>0</v>
          </cell>
          <cell r="Q906">
            <v>21200</v>
          </cell>
          <cell r="R906">
            <v>5300</v>
          </cell>
          <cell r="S906">
            <v>5300</v>
          </cell>
          <cell r="T906">
            <v>5300</v>
          </cell>
          <cell r="U906">
            <v>5300</v>
          </cell>
          <cell r="V906">
            <v>5300</v>
          </cell>
          <cell r="W906">
            <v>5300</v>
          </cell>
          <cell r="X906">
            <v>5300</v>
          </cell>
          <cell r="Y906">
            <v>5300</v>
          </cell>
          <cell r="AB906">
            <v>63600</v>
          </cell>
        </row>
        <row r="907">
          <cell r="B907" t="str">
            <v>45102304511000522Hospitality-N1424761200104</v>
          </cell>
          <cell r="N907">
            <v>0</v>
          </cell>
          <cell r="O907">
            <v>0</v>
          </cell>
          <cell r="P907">
            <v>0</v>
          </cell>
          <cell r="Q907">
            <v>15400</v>
          </cell>
          <cell r="R907">
            <v>3850</v>
          </cell>
          <cell r="S907">
            <v>3850</v>
          </cell>
          <cell r="T907">
            <v>3850</v>
          </cell>
          <cell r="U907">
            <v>3850</v>
          </cell>
          <cell r="V907">
            <v>3850</v>
          </cell>
          <cell r="W907">
            <v>3850</v>
          </cell>
          <cell r="X907">
            <v>3850</v>
          </cell>
          <cell r="Y907">
            <v>3850</v>
          </cell>
          <cell r="AB907">
            <v>46200</v>
          </cell>
        </row>
        <row r="908">
          <cell r="B908" t="str">
            <v>45102304511000522Ad-hoc Repairs-N1426427200104</v>
          </cell>
          <cell r="N908">
            <v>0</v>
          </cell>
          <cell r="O908">
            <v>0</v>
          </cell>
          <cell r="P908">
            <v>0</v>
          </cell>
          <cell r="Q908">
            <v>2420</v>
          </cell>
          <cell r="R908">
            <v>630</v>
          </cell>
          <cell r="S908">
            <v>630</v>
          </cell>
          <cell r="T908">
            <v>630</v>
          </cell>
          <cell r="U908">
            <v>630</v>
          </cell>
          <cell r="V908">
            <v>630</v>
          </cell>
          <cell r="W908">
            <v>630</v>
          </cell>
          <cell r="X908">
            <v>630</v>
          </cell>
          <cell r="Y908">
            <v>630</v>
          </cell>
          <cell r="AB908">
            <v>7460</v>
          </cell>
        </row>
        <row r="909">
          <cell r="B909" t="str">
            <v>45102304511000529Facilities Rent-N1425112200104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790079.85</v>
          </cell>
          <cell r="Y909">
            <v>0</v>
          </cell>
          <cell r="AB909">
            <v>790079.85</v>
          </cell>
        </row>
        <row r="910">
          <cell r="B910" t="str">
            <v>45102304511000529Security Service-N1424551200104</v>
          </cell>
          <cell r="N910">
            <v>0</v>
          </cell>
          <cell r="O910">
            <v>0</v>
          </cell>
          <cell r="P910">
            <v>0</v>
          </cell>
          <cell r="Q910">
            <v>36048</v>
          </cell>
          <cell r="R910">
            <v>9012</v>
          </cell>
          <cell r="S910">
            <v>9012</v>
          </cell>
          <cell r="T910">
            <v>9012</v>
          </cell>
          <cell r="U910">
            <v>9012</v>
          </cell>
          <cell r="V910">
            <v>9012</v>
          </cell>
          <cell r="W910">
            <v>9012</v>
          </cell>
          <cell r="X910">
            <v>9012</v>
          </cell>
          <cell r="Y910">
            <v>9012</v>
          </cell>
          <cell r="AB910">
            <v>108144</v>
          </cell>
        </row>
        <row r="911">
          <cell r="B911" t="str">
            <v>45102304511000529Cleaning Service-N1422311200104</v>
          </cell>
          <cell r="N911">
            <v>0</v>
          </cell>
          <cell r="O911">
            <v>0</v>
          </cell>
          <cell r="P911">
            <v>0</v>
          </cell>
          <cell r="Q911">
            <v>30833</v>
          </cell>
          <cell r="R911">
            <v>7708</v>
          </cell>
          <cell r="S911">
            <v>7708</v>
          </cell>
          <cell r="T911">
            <v>7708</v>
          </cell>
          <cell r="U911">
            <v>7708</v>
          </cell>
          <cell r="V911">
            <v>7708</v>
          </cell>
          <cell r="W911">
            <v>7708</v>
          </cell>
          <cell r="X911">
            <v>7708</v>
          </cell>
          <cell r="Y911">
            <v>7711</v>
          </cell>
          <cell r="AB911">
            <v>92500</v>
          </cell>
        </row>
        <row r="912">
          <cell r="B912" t="str">
            <v>45102304511000529Maintenance-N1426212200104</v>
          </cell>
          <cell r="N912">
            <v>0</v>
          </cell>
          <cell r="O912">
            <v>0</v>
          </cell>
          <cell r="P912">
            <v>0</v>
          </cell>
          <cell r="Q912">
            <v>22400</v>
          </cell>
          <cell r="R912">
            <v>5600</v>
          </cell>
          <cell r="S912">
            <v>5600</v>
          </cell>
          <cell r="T912">
            <v>5600</v>
          </cell>
          <cell r="U912">
            <v>5600</v>
          </cell>
          <cell r="V912">
            <v>5600</v>
          </cell>
          <cell r="W912">
            <v>5600</v>
          </cell>
          <cell r="X912">
            <v>5600</v>
          </cell>
          <cell r="Y912">
            <v>5600</v>
          </cell>
          <cell r="AB912">
            <v>67200</v>
          </cell>
        </row>
        <row r="913">
          <cell r="B913" t="str">
            <v>45102304511000529Ad-hoc Repairs-N1426427200104</v>
          </cell>
          <cell r="N913">
            <v>0</v>
          </cell>
          <cell r="O913">
            <v>0</v>
          </cell>
          <cell r="P913">
            <v>0</v>
          </cell>
          <cell r="Q913">
            <v>3080</v>
          </cell>
          <cell r="R913">
            <v>770</v>
          </cell>
          <cell r="S913">
            <v>770</v>
          </cell>
          <cell r="T913">
            <v>770</v>
          </cell>
          <cell r="U913">
            <v>770</v>
          </cell>
          <cell r="V913">
            <v>770</v>
          </cell>
          <cell r="W913">
            <v>770</v>
          </cell>
          <cell r="X913">
            <v>770</v>
          </cell>
          <cell r="Y913">
            <v>770</v>
          </cell>
          <cell r="AB913">
            <v>9240</v>
          </cell>
        </row>
        <row r="914">
          <cell r="B914" t="str">
            <v>45102304511000530Interior Fit Out-NC2491711300105</v>
          </cell>
          <cell r="N914">
            <v>0</v>
          </cell>
          <cell r="O914">
            <v>0</v>
          </cell>
          <cell r="P914">
            <v>0</v>
          </cell>
          <cell r="Q914">
            <v>153402</v>
          </cell>
          <cell r="R914">
            <v>0</v>
          </cell>
          <cell r="S914">
            <v>633500</v>
          </cell>
          <cell r="T914">
            <v>69098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AB914">
            <v>856000</v>
          </cell>
        </row>
        <row r="915">
          <cell r="B915" t="str">
            <v>45102304511000530Security Service-N1424551200104</v>
          </cell>
          <cell r="N915">
            <v>0</v>
          </cell>
          <cell r="O915">
            <v>0</v>
          </cell>
          <cell r="P915">
            <v>0</v>
          </cell>
          <cell r="Q915">
            <v>128848</v>
          </cell>
          <cell r="R915">
            <v>32212</v>
          </cell>
          <cell r="S915">
            <v>32212</v>
          </cell>
          <cell r="T915">
            <v>32212</v>
          </cell>
          <cell r="U915">
            <v>32212</v>
          </cell>
          <cell r="V915">
            <v>32212</v>
          </cell>
          <cell r="W915">
            <v>32212</v>
          </cell>
          <cell r="X915">
            <v>32212</v>
          </cell>
          <cell r="Y915">
            <v>32212</v>
          </cell>
          <cell r="AB915">
            <v>386544</v>
          </cell>
        </row>
        <row r="916">
          <cell r="B916" t="str">
            <v>45102304511000530Cleaning Service-N2422311200104</v>
          </cell>
          <cell r="N916">
            <v>0</v>
          </cell>
          <cell r="O916">
            <v>0</v>
          </cell>
          <cell r="P916">
            <v>0</v>
          </cell>
          <cell r="Q916">
            <v>120000</v>
          </cell>
          <cell r="R916">
            <v>30000</v>
          </cell>
          <cell r="S916">
            <v>30000</v>
          </cell>
          <cell r="T916">
            <v>30000</v>
          </cell>
          <cell r="U916">
            <v>30000</v>
          </cell>
          <cell r="V916">
            <v>30000</v>
          </cell>
          <cell r="W916">
            <v>30000</v>
          </cell>
          <cell r="X916">
            <v>30000</v>
          </cell>
          <cell r="Y916">
            <v>30000</v>
          </cell>
          <cell r="AB916">
            <v>360000</v>
          </cell>
        </row>
        <row r="917">
          <cell r="B917" t="str">
            <v>45102304511000530Maintenance-N1426212200104</v>
          </cell>
          <cell r="N917">
            <v>0</v>
          </cell>
          <cell r="O917">
            <v>0</v>
          </cell>
          <cell r="P917">
            <v>0</v>
          </cell>
          <cell r="Q917">
            <v>100000</v>
          </cell>
          <cell r="R917">
            <v>25000</v>
          </cell>
          <cell r="S917">
            <v>25000</v>
          </cell>
          <cell r="T917">
            <v>25000</v>
          </cell>
          <cell r="U917">
            <v>25000</v>
          </cell>
          <cell r="V917">
            <v>25000</v>
          </cell>
          <cell r="W917">
            <v>25000</v>
          </cell>
          <cell r="X917">
            <v>25000</v>
          </cell>
          <cell r="Y917">
            <v>25000</v>
          </cell>
          <cell r="AB917">
            <v>300000</v>
          </cell>
        </row>
        <row r="918">
          <cell r="B918" t="str">
            <v>45102304511000530Hospitality-N1424761200104</v>
          </cell>
          <cell r="N918">
            <v>0</v>
          </cell>
          <cell r="O918">
            <v>0</v>
          </cell>
          <cell r="P918">
            <v>0</v>
          </cell>
          <cell r="Q918">
            <v>43330</v>
          </cell>
          <cell r="R918">
            <v>10830</v>
          </cell>
          <cell r="S918">
            <v>10830</v>
          </cell>
          <cell r="T918">
            <v>10830</v>
          </cell>
          <cell r="U918">
            <v>10830</v>
          </cell>
          <cell r="V918">
            <v>10830</v>
          </cell>
          <cell r="W918">
            <v>10830</v>
          </cell>
          <cell r="X918">
            <v>10830</v>
          </cell>
          <cell r="Y918">
            <v>10860</v>
          </cell>
          <cell r="AB918">
            <v>130000</v>
          </cell>
        </row>
        <row r="919">
          <cell r="B919" t="str">
            <v>45102304511000530Landscaping-N1432614200104</v>
          </cell>
          <cell r="N919">
            <v>0</v>
          </cell>
          <cell r="O919">
            <v>0</v>
          </cell>
          <cell r="P919">
            <v>0</v>
          </cell>
          <cell r="Q919">
            <v>36664</v>
          </cell>
          <cell r="R919">
            <v>9167</v>
          </cell>
          <cell r="S919">
            <v>9167</v>
          </cell>
          <cell r="T919">
            <v>9167</v>
          </cell>
          <cell r="U919">
            <v>9167</v>
          </cell>
          <cell r="V919">
            <v>9167</v>
          </cell>
          <cell r="W919">
            <v>9167</v>
          </cell>
          <cell r="X919">
            <v>9167</v>
          </cell>
          <cell r="Y919">
            <v>9167</v>
          </cell>
          <cell r="AB919">
            <v>110000</v>
          </cell>
        </row>
        <row r="920">
          <cell r="B920" t="str">
            <v>45102304511000530Ad-hoc Repairs-N1426427200104</v>
          </cell>
          <cell r="N920">
            <v>0</v>
          </cell>
          <cell r="O920">
            <v>0</v>
          </cell>
          <cell r="P920">
            <v>0</v>
          </cell>
          <cell r="Q920">
            <v>32333</v>
          </cell>
          <cell r="R920">
            <v>8333</v>
          </cell>
          <cell r="S920">
            <v>8333</v>
          </cell>
          <cell r="T920">
            <v>8333</v>
          </cell>
          <cell r="U920">
            <v>8333</v>
          </cell>
          <cell r="V920">
            <v>8333</v>
          </cell>
          <cell r="W920">
            <v>8333</v>
          </cell>
          <cell r="X920">
            <v>8336</v>
          </cell>
          <cell r="Y920">
            <v>9333</v>
          </cell>
          <cell r="AB920">
            <v>100000</v>
          </cell>
        </row>
        <row r="921">
          <cell r="B921" t="str">
            <v>45102304511000507Security Service-N1424551200104</v>
          </cell>
          <cell r="N921">
            <v>0</v>
          </cell>
          <cell r="O921">
            <v>0</v>
          </cell>
          <cell r="P921">
            <v>0</v>
          </cell>
          <cell r="Q921">
            <v>34000</v>
          </cell>
          <cell r="R921">
            <v>8500</v>
          </cell>
          <cell r="S921">
            <v>8500</v>
          </cell>
          <cell r="T921">
            <v>8500</v>
          </cell>
          <cell r="U921">
            <v>8500</v>
          </cell>
          <cell r="V921">
            <v>8500</v>
          </cell>
          <cell r="W921">
            <v>8500</v>
          </cell>
          <cell r="X921">
            <v>8500</v>
          </cell>
          <cell r="Y921">
            <v>8500</v>
          </cell>
          <cell r="AB921">
            <v>102000</v>
          </cell>
        </row>
        <row r="922">
          <cell r="B922" t="str">
            <v>45102304511000532Cleaning Service-N1422311200104</v>
          </cell>
          <cell r="N922">
            <v>0</v>
          </cell>
          <cell r="O922">
            <v>0</v>
          </cell>
          <cell r="P922">
            <v>0</v>
          </cell>
          <cell r="Q922">
            <v>20000</v>
          </cell>
          <cell r="R922">
            <v>5000</v>
          </cell>
          <cell r="S922">
            <v>5000</v>
          </cell>
          <cell r="T922">
            <v>5000</v>
          </cell>
          <cell r="U922">
            <v>5000</v>
          </cell>
          <cell r="V922">
            <v>5000</v>
          </cell>
          <cell r="W922">
            <v>5000</v>
          </cell>
          <cell r="X922">
            <v>5000</v>
          </cell>
          <cell r="Y922">
            <v>5000</v>
          </cell>
          <cell r="AB922">
            <v>60000</v>
          </cell>
        </row>
        <row r="923">
          <cell r="B923" t="str">
            <v>45102304511000534Facilities Rent-N1425112200104</v>
          </cell>
          <cell r="N923">
            <v>0</v>
          </cell>
          <cell r="O923">
            <v>0</v>
          </cell>
          <cell r="P923">
            <v>0</v>
          </cell>
          <cell r="Q923">
            <v>110250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AB923">
            <v>110250</v>
          </cell>
        </row>
        <row r="924">
          <cell r="B924" t="str">
            <v>45102304511000534Cleaning Service-N1422311200104</v>
          </cell>
          <cell r="N924">
            <v>0</v>
          </cell>
          <cell r="O924">
            <v>0</v>
          </cell>
          <cell r="P924">
            <v>0</v>
          </cell>
          <cell r="Q924">
            <v>14333</v>
          </cell>
          <cell r="R924">
            <v>3583</v>
          </cell>
          <cell r="S924">
            <v>3583</v>
          </cell>
          <cell r="T924">
            <v>3583</v>
          </cell>
          <cell r="U924">
            <v>3583</v>
          </cell>
          <cell r="V924">
            <v>3583</v>
          </cell>
          <cell r="W924">
            <v>3583</v>
          </cell>
          <cell r="X924">
            <v>3583</v>
          </cell>
          <cell r="Y924">
            <v>3586</v>
          </cell>
          <cell r="AB924">
            <v>43000</v>
          </cell>
        </row>
        <row r="925">
          <cell r="B925" t="str">
            <v>45102304511000534Ad-hoc Repairs-N426427200104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62230</v>
          </cell>
          <cell r="Y925">
            <v>0</v>
          </cell>
          <cell r="AB925">
            <v>62230</v>
          </cell>
        </row>
        <row r="926">
          <cell r="B926" t="str">
            <v>45102304511000538Transportation -N2425203200104</v>
          </cell>
          <cell r="N926">
            <v>0</v>
          </cell>
          <cell r="O926">
            <v>0</v>
          </cell>
          <cell r="P926">
            <v>0</v>
          </cell>
          <cell r="Q926">
            <v>1652444.13</v>
          </cell>
          <cell r="R926">
            <v>429404</v>
          </cell>
          <cell r="S926">
            <v>451826.1</v>
          </cell>
          <cell r="T926">
            <v>436826</v>
          </cell>
          <cell r="U926">
            <v>451826.1</v>
          </cell>
          <cell r="V926">
            <v>436826</v>
          </cell>
          <cell r="W926">
            <v>436826</v>
          </cell>
          <cell r="X926">
            <v>451826.1</v>
          </cell>
          <cell r="Y926">
            <v>466854</v>
          </cell>
          <cell r="AB926">
            <v>5235223.43</v>
          </cell>
        </row>
        <row r="927">
          <cell r="B927" t="str">
            <v>45102304511000709Maintenance-N1426212200104</v>
          </cell>
          <cell r="N927">
            <v>0</v>
          </cell>
          <cell r="O927">
            <v>0</v>
          </cell>
          <cell r="P927">
            <v>0</v>
          </cell>
          <cell r="Q927">
            <v>26664</v>
          </cell>
          <cell r="R927">
            <v>6667</v>
          </cell>
          <cell r="S927">
            <v>6667</v>
          </cell>
          <cell r="T927">
            <v>6667</v>
          </cell>
          <cell r="U927">
            <v>6667</v>
          </cell>
          <cell r="V927">
            <v>6667</v>
          </cell>
          <cell r="W927">
            <v>6667</v>
          </cell>
          <cell r="X927">
            <v>6667</v>
          </cell>
          <cell r="Y927">
            <v>6667</v>
          </cell>
          <cell r="AB927">
            <v>80000</v>
          </cell>
        </row>
        <row r="928">
          <cell r="B928" t="str">
            <v>45102304511000773Interior Fit Out-NC1491711300105</v>
          </cell>
          <cell r="N928">
            <v>0</v>
          </cell>
          <cell r="O928">
            <v>0</v>
          </cell>
          <cell r="P928">
            <v>0</v>
          </cell>
          <cell r="Q928">
            <v>25000</v>
          </cell>
          <cell r="R928">
            <v>0</v>
          </cell>
          <cell r="S928">
            <v>22500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AB928">
            <v>47500</v>
          </cell>
        </row>
        <row r="929">
          <cell r="B929" t="str">
            <v>45102304511000773Security Service-N1424551200104</v>
          </cell>
          <cell r="N929">
            <v>0</v>
          </cell>
          <cell r="O929">
            <v>0</v>
          </cell>
          <cell r="P929">
            <v>0</v>
          </cell>
          <cell r="Q929">
            <v>36048</v>
          </cell>
          <cell r="R929">
            <v>9012</v>
          </cell>
          <cell r="S929">
            <v>9012</v>
          </cell>
          <cell r="T929">
            <v>9012</v>
          </cell>
          <cell r="U929">
            <v>9012</v>
          </cell>
          <cell r="V929">
            <v>9012</v>
          </cell>
          <cell r="W929">
            <v>9012</v>
          </cell>
          <cell r="X929">
            <v>9012</v>
          </cell>
          <cell r="Y929">
            <v>9012</v>
          </cell>
          <cell r="AB929">
            <v>108144</v>
          </cell>
        </row>
        <row r="930">
          <cell r="B930" t="str">
            <v>45102304511000773Cleaning Service-N1422311200104</v>
          </cell>
          <cell r="N930">
            <v>0</v>
          </cell>
          <cell r="O930">
            <v>0</v>
          </cell>
          <cell r="P930">
            <v>0</v>
          </cell>
          <cell r="Q930">
            <v>12400</v>
          </cell>
          <cell r="R930">
            <v>3100</v>
          </cell>
          <cell r="S930">
            <v>3100</v>
          </cell>
          <cell r="T930">
            <v>3100</v>
          </cell>
          <cell r="U930">
            <v>3100</v>
          </cell>
          <cell r="V930">
            <v>3100</v>
          </cell>
          <cell r="W930">
            <v>3100</v>
          </cell>
          <cell r="X930">
            <v>3100</v>
          </cell>
          <cell r="Y930">
            <v>3100</v>
          </cell>
          <cell r="AB930">
            <v>37200</v>
          </cell>
        </row>
        <row r="931">
          <cell r="B931" t="str">
            <v>45102304511000773Maintenance-N1426212200104</v>
          </cell>
          <cell r="N931">
            <v>0</v>
          </cell>
          <cell r="O931">
            <v>0</v>
          </cell>
          <cell r="P931">
            <v>0</v>
          </cell>
          <cell r="Q931">
            <v>7600</v>
          </cell>
          <cell r="R931">
            <v>1900</v>
          </cell>
          <cell r="S931">
            <v>1900</v>
          </cell>
          <cell r="T931">
            <v>1900</v>
          </cell>
          <cell r="U931">
            <v>1900</v>
          </cell>
          <cell r="V931">
            <v>1900</v>
          </cell>
          <cell r="W931">
            <v>1900</v>
          </cell>
          <cell r="X931">
            <v>1900</v>
          </cell>
          <cell r="Y931">
            <v>1900</v>
          </cell>
          <cell r="AB931">
            <v>22800</v>
          </cell>
        </row>
        <row r="932">
          <cell r="B932" t="str">
            <v>45102304511000773Ad-hoc Repairs-N426427200104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62230</v>
          </cell>
          <cell r="Y932">
            <v>0</v>
          </cell>
          <cell r="AB932">
            <v>62230</v>
          </cell>
        </row>
        <row r="933">
          <cell r="B933" t="str">
            <v>45102304511000985Interior Fit Out-NC1491711300105</v>
          </cell>
          <cell r="N933">
            <v>0</v>
          </cell>
          <cell r="O933">
            <v>0</v>
          </cell>
          <cell r="P933">
            <v>0</v>
          </cell>
          <cell r="Q933">
            <v>19000</v>
          </cell>
          <cell r="R933">
            <v>0</v>
          </cell>
          <cell r="S933">
            <v>0</v>
          </cell>
          <cell r="T933">
            <v>10000</v>
          </cell>
          <cell r="U933">
            <v>0</v>
          </cell>
          <cell r="V933">
            <v>18500</v>
          </cell>
          <cell r="W933">
            <v>0</v>
          </cell>
          <cell r="X933">
            <v>0</v>
          </cell>
          <cell r="Y933">
            <v>0</v>
          </cell>
          <cell r="AB933">
            <v>47500</v>
          </cell>
        </row>
        <row r="934">
          <cell r="B934" t="str">
            <v>45102304511000985Security Service-N1424551200104</v>
          </cell>
          <cell r="N934">
            <v>0</v>
          </cell>
          <cell r="O934">
            <v>0</v>
          </cell>
          <cell r="P934">
            <v>0</v>
          </cell>
          <cell r="Q934">
            <v>99600</v>
          </cell>
          <cell r="R934">
            <v>24900</v>
          </cell>
          <cell r="S934">
            <v>24900</v>
          </cell>
          <cell r="T934">
            <v>24900</v>
          </cell>
          <cell r="U934">
            <v>24900</v>
          </cell>
          <cell r="V934">
            <v>24900</v>
          </cell>
          <cell r="W934">
            <v>24900</v>
          </cell>
          <cell r="X934">
            <v>24900</v>
          </cell>
          <cell r="Y934">
            <v>24900</v>
          </cell>
          <cell r="AB934">
            <v>298800</v>
          </cell>
        </row>
        <row r="935">
          <cell r="B935" t="str">
            <v>45102304511000985Ad-hoc Repairs-N1426427200104</v>
          </cell>
          <cell r="N935">
            <v>0</v>
          </cell>
          <cell r="O935">
            <v>0</v>
          </cell>
          <cell r="P935">
            <v>0</v>
          </cell>
          <cell r="Q935">
            <v>16400</v>
          </cell>
          <cell r="R935">
            <v>4100</v>
          </cell>
          <cell r="S935">
            <v>4100</v>
          </cell>
          <cell r="T935">
            <v>4100</v>
          </cell>
          <cell r="U935">
            <v>4100</v>
          </cell>
          <cell r="V935">
            <v>4300</v>
          </cell>
          <cell r="W935">
            <v>4300</v>
          </cell>
          <cell r="X935">
            <v>4300</v>
          </cell>
          <cell r="Y935">
            <v>4300</v>
          </cell>
          <cell r="AB935">
            <v>50000</v>
          </cell>
        </row>
        <row r="936">
          <cell r="B936" t="str">
            <v>45102304511000985Maintenance-N1426212200104</v>
          </cell>
          <cell r="N936">
            <v>0</v>
          </cell>
          <cell r="O936">
            <v>0</v>
          </cell>
          <cell r="P936">
            <v>0</v>
          </cell>
          <cell r="Q936">
            <v>16000</v>
          </cell>
          <cell r="R936">
            <v>4000</v>
          </cell>
          <cell r="S936">
            <v>4000</v>
          </cell>
          <cell r="T936">
            <v>4000</v>
          </cell>
          <cell r="U936">
            <v>4000</v>
          </cell>
          <cell r="V936">
            <v>4000</v>
          </cell>
          <cell r="W936">
            <v>4000</v>
          </cell>
          <cell r="X936">
            <v>4000</v>
          </cell>
          <cell r="Y936">
            <v>4000</v>
          </cell>
          <cell r="AB936">
            <v>48000</v>
          </cell>
        </row>
        <row r="937">
          <cell r="B937" t="str">
            <v>45102304511001217Interior Fit Out-NC1491711300105</v>
          </cell>
          <cell r="N937">
            <v>0</v>
          </cell>
          <cell r="O937">
            <v>0</v>
          </cell>
          <cell r="P937">
            <v>0</v>
          </cell>
          <cell r="Q937">
            <v>130000</v>
          </cell>
          <cell r="R937">
            <v>30000</v>
          </cell>
          <cell r="S937">
            <v>0</v>
          </cell>
          <cell r="T937">
            <v>0</v>
          </cell>
          <cell r="U937">
            <v>75000</v>
          </cell>
          <cell r="V937">
            <v>0</v>
          </cell>
          <cell r="W937">
            <v>0</v>
          </cell>
          <cell r="X937">
            <v>50000</v>
          </cell>
          <cell r="Y937">
            <v>0</v>
          </cell>
          <cell r="AB937">
            <v>285000</v>
          </cell>
        </row>
        <row r="938">
          <cell r="B938" t="str">
            <v>45102304511001217Facilities Rent-N1425112200104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3826680</v>
          </cell>
          <cell r="Y938">
            <v>0</v>
          </cell>
          <cell r="AB938">
            <v>3826680</v>
          </cell>
        </row>
        <row r="939">
          <cell r="B939" t="str">
            <v>45102304511001217Cleaning Service-N1422311200104</v>
          </cell>
          <cell r="N939">
            <v>0</v>
          </cell>
          <cell r="O939">
            <v>0</v>
          </cell>
          <cell r="P939">
            <v>0</v>
          </cell>
          <cell r="Q939">
            <v>61000</v>
          </cell>
          <cell r="R939">
            <v>15250</v>
          </cell>
          <cell r="S939">
            <v>15250</v>
          </cell>
          <cell r="T939">
            <v>15250</v>
          </cell>
          <cell r="U939">
            <v>15250</v>
          </cell>
          <cell r="V939">
            <v>15250</v>
          </cell>
          <cell r="W939">
            <v>15250</v>
          </cell>
          <cell r="X939">
            <v>15250</v>
          </cell>
          <cell r="Y939">
            <v>15250</v>
          </cell>
          <cell r="AB939">
            <v>183000</v>
          </cell>
        </row>
        <row r="940">
          <cell r="B940" t="str">
            <v>45102304511001217Maintenance-N1426212200104</v>
          </cell>
          <cell r="N940">
            <v>0</v>
          </cell>
          <cell r="O940">
            <v>0</v>
          </cell>
          <cell r="P940">
            <v>0</v>
          </cell>
          <cell r="Q940">
            <v>55662</v>
          </cell>
          <cell r="R940">
            <v>13917</v>
          </cell>
          <cell r="S940">
            <v>13917</v>
          </cell>
          <cell r="T940">
            <v>13917</v>
          </cell>
          <cell r="U940">
            <v>13917</v>
          </cell>
          <cell r="V940">
            <v>13917</v>
          </cell>
          <cell r="W940">
            <v>13917</v>
          </cell>
          <cell r="X940">
            <v>13917</v>
          </cell>
          <cell r="Y940">
            <v>13919</v>
          </cell>
          <cell r="AB940">
            <v>167000</v>
          </cell>
        </row>
        <row r="941">
          <cell r="B941" t="str">
            <v>45102304511001217Ad-hoc Repairs-N1426427200104</v>
          </cell>
          <cell r="N941">
            <v>0</v>
          </cell>
          <cell r="O941">
            <v>0</v>
          </cell>
          <cell r="P941">
            <v>0</v>
          </cell>
          <cell r="Q941">
            <v>16400</v>
          </cell>
          <cell r="R941">
            <v>4100</v>
          </cell>
          <cell r="S941">
            <v>4100</v>
          </cell>
          <cell r="T941">
            <v>4100</v>
          </cell>
          <cell r="U941">
            <v>4100</v>
          </cell>
          <cell r="V941">
            <v>4300</v>
          </cell>
          <cell r="W941">
            <v>4300</v>
          </cell>
          <cell r="X941">
            <v>4300</v>
          </cell>
          <cell r="Y941">
            <v>4300</v>
          </cell>
          <cell r="AB941">
            <v>50000</v>
          </cell>
        </row>
        <row r="942">
          <cell r="B942" t="str">
            <v>45102304511001218Interior Fit Out-NC1491711300105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143000</v>
          </cell>
          <cell r="Y942">
            <v>0</v>
          </cell>
          <cell r="AB942">
            <v>143000</v>
          </cell>
        </row>
        <row r="943">
          <cell r="B943" t="str">
            <v>45102304511001218Facilities Rent-N1425112200104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624104.25</v>
          </cell>
          <cell r="W943">
            <v>0</v>
          </cell>
          <cell r="X943">
            <v>0</v>
          </cell>
          <cell r="Y943">
            <v>0</v>
          </cell>
          <cell r="AB943">
            <v>624104.25</v>
          </cell>
        </row>
        <row r="944">
          <cell r="B944" t="str">
            <v>45102304511001218Cleaning Service-N1422311200104</v>
          </cell>
          <cell r="N944">
            <v>0</v>
          </cell>
          <cell r="O944">
            <v>0</v>
          </cell>
          <cell r="P944">
            <v>0</v>
          </cell>
          <cell r="Q944">
            <v>22400</v>
          </cell>
          <cell r="R944">
            <v>5600</v>
          </cell>
          <cell r="S944">
            <v>5600</v>
          </cell>
          <cell r="T944">
            <v>5600</v>
          </cell>
          <cell r="U944">
            <v>5600</v>
          </cell>
          <cell r="V944">
            <v>5600</v>
          </cell>
          <cell r="W944">
            <v>5600</v>
          </cell>
          <cell r="X944">
            <v>5600</v>
          </cell>
          <cell r="Y944">
            <v>5600</v>
          </cell>
          <cell r="AB944">
            <v>67200</v>
          </cell>
        </row>
        <row r="945">
          <cell r="B945" t="str">
            <v>45102304511001218Hospitality-N1424761200104</v>
          </cell>
          <cell r="N945">
            <v>0</v>
          </cell>
          <cell r="O945">
            <v>0</v>
          </cell>
          <cell r="P945">
            <v>0</v>
          </cell>
          <cell r="Q945">
            <v>20000</v>
          </cell>
          <cell r="R945">
            <v>5000</v>
          </cell>
          <cell r="S945">
            <v>5000</v>
          </cell>
          <cell r="T945">
            <v>5000</v>
          </cell>
          <cell r="U945">
            <v>5000</v>
          </cell>
          <cell r="V945">
            <v>5000</v>
          </cell>
          <cell r="W945">
            <v>5000</v>
          </cell>
          <cell r="X945">
            <v>5000</v>
          </cell>
          <cell r="Y945">
            <v>5000</v>
          </cell>
          <cell r="AB945">
            <v>60000</v>
          </cell>
        </row>
        <row r="946">
          <cell r="B946" t="str">
            <v>45102304511001218Maintenance-N1426212200104</v>
          </cell>
          <cell r="N946">
            <v>0</v>
          </cell>
          <cell r="O946">
            <v>0</v>
          </cell>
          <cell r="P946">
            <v>0</v>
          </cell>
          <cell r="Q946">
            <v>4400</v>
          </cell>
          <cell r="R946">
            <v>1100</v>
          </cell>
          <cell r="S946">
            <v>1100</v>
          </cell>
          <cell r="T946">
            <v>1100</v>
          </cell>
          <cell r="U946">
            <v>1100</v>
          </cell>
          <cell r="V946">
            <v>1100</v>
          </cell>
          <cell r="W946">
            <v>1100</v>
          </cell>
          <cell r="X946">
            <v>1100</v>
          </cell>
          <cell r="Y946">
            <v>1100</v>
          </cell>
          <cell r="AB946">
            <v>13200</v>
          </cell>
        </row>
        <row r="947">
          <cell r="B947" t="str">
            <v>45102304511001218Ad-hoc Repairs-N1426427200104</v>
          </cell>
          <cell r="N947">
            <v>0</v>
          </cell>
          <cell r="O947">
            <v>0</v>
          </cell>
          <cell r="P947">
            <v>0</v>
          </cell>
          <cell r="Q947">
            <v>4000</v>
          </cell>
          <cell r="R947">
            <v>1000</v>
          </cell>
          <cell r="S947">
            <v>1000</v>
          </cell>
          <cell r="T947">
            <v>1000</v>
          </cell>
          <cell r="U947">
            <v>1000</v>
          </cell>
          <cell r="V947">
            <v>1000</v>
          </cell>
          <cell r="W947">
            <v>1000</v>
          </cell>
          <cell r="X947">
            <v>1000</v>
          </cell>
          <cell r="Y947">
            <v>1000</v>
          </cell>
          <cell r="AB947">
            <v>12000</v>
          </cell>
        </row>
        <row r="948">
          <cell r="B948" t="str">
            <v>45102304511001272Maintenance-N1426212200104</v>
          </cell>
          <cell r="N948">
            <v>0</v>
          </cell>
          <cell r="O948">
            <v>0</v>
          </cell>
          <cell r="P948">
            <v>0</v>
          </cell>
          <cell r="Q948">
            <v>108120</v>
          </cell>
          <cell r="R948">
            <v>27030</v>
          </cell>
          <cell r="S948">
            <v>27030</v>
          </cell>
          <cell r="T948">
            <v>27030</v>
          </cell>
          <cell r="U948">
            <v>27030</v>
          </cell>
          <cell r="V948">
            <v>27030</v>
          </cell>
          <cell r="W948">
            <v>27030</v>
          </cell>
          <cell r="X948">
            <v>27030</v>
          </cell>
          <cell r="Y948">
            <v>27030</v>
          </cell>
          <cell r="AB948">
            <v>324360</v>
          </cell>
        </row>
        <row r="949">
          <cell r="B949" t="str">
            <v>45102304511001272Hospitality-N1424761200104</v>
          </cell>
          <cell r="N949">
            <v>0</v>
          </cell>
          <cell r="O949">
            <v>0</v>
          </cell>
          <cell r="P949">
            <v>0</v>
          </cell>
          <cell r="Q949">
            <v>57600</v>
          </cell>
          <cell r="R949">
            <v>14400</v>
          </cell>
          <cell r="S949">
            <v>14400</v>
          </cell>
          <cell r="T949">
            <v>14400</v>
          </cell>
          <cell r="U949">
            <v>14400</v>
          </cell>
          <cell r="V949">
            <v>14400</v>
          </cell>
          <cell r="W949">
            <v>14400</v>
          </cell>
          <cell r="X949">
            <v>14400</v>
          </cell>
          <cell r="Y949">
            <v>14400</v>
          </cell>
          <cell r="AB949">
            <v>172800</v>
          </cell>
        </row>
        <row r="950">
          <cell r="B950" t="str">
            <v>45102304511001272Cleaning Service-N1422311200104</v>
          </cell>
          <cell r="N950">
            <v>0</v>
          </cell>
          <cell r="O950">
            <v>0</v>
          </cell>
          <cell r="P950">
            <v>0</v>
          </cell>
          <cell r="Q950">
            <v>45000</v>
          </cell>
          <cell r="R950">
            <v>11250</v>
          </cell>
          <cell r="S950">
            <v>11250</v>
          </cell>
          <cell r="T950">
            <v>11250</v>
          </cell>
          <cell r="U950">
            <v>11250</v>
          </cell>
          <cell r="V950">
            <v>11250</v>
          </cell>
          <cell r="W950">
            <v>11250</v>
          </cell>
          <cell r="X950">
            <v>11250</v>
          </cell>
          <cell r="Y950">
            <v>11250</v>
          </cell>
          <cell r="AB950">
            <v>135000</v>
          </cell>
        </row>
        <row r="951">
          <cell r="B951" t="str">
            <v>45102304511001272Facilities Rent-N1425112200104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53666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AB951">
            <v>53666</v>
          </cell>
        </row>
        <row r="952">
          <cell r="B952" t="str">
            <v>45102304511001272Security Service-N1424551200104</v>
          </cell>
          <cell r="N952">
            <v>0</v>
          </cell>
          <cell r="O952">
            <v>0</v>
          </cell>
          <cell r="P952">
            <v>0</v>
          </cell>
          <cell r="Q952">
            <v>16600</v>
          </cell>
          <cell r="R952">
            <v>4150</v>
          </cell>
          <cell r="S952">
            <v>4150</v>
          </cell>
          <cell r="T952">
            <v>4150</v>
          </cell>
          <cell r="U952">
            <v>4150</v>
          </cell>
          <cell r="V952">
            <v>4150</v>
          </cell>
          <cell r="W952">
            <v>4150</v>
          </cell>
          <cell r="X952">
            <v>4150</v>
          </cell>
          <cell r="Y952">
            <v>4150</v>
          </cell>
          <cell r="AB952">
            <v>49800</v>
          </cell>
        </row>
        <row r="953">
          <cell r="B953" t="str">
            <v>45102304511001272Landscaping-N1432614200104</v>
          </cell>
          <cell r="N953">
            <v>0</v>
          </cell>
          <cell r="O953">
            <v>0</v>
          </cell>
          <cell r="P953">
            <v>0</v>
          </cell>
          <cell r="Q953">
            <v>15000</v>
          </cell>
          <cell r="R953">
            <v>3750</v>
          </cell>
          <cell r="S953">
            <v>3750</v>
          </cell>
          <cell r="T953">
            <v>3750</v>
          </cell>
          <cell r="U953">
            <v>3750</v>
          </cell>
          <cell r="V953">
            <v>3750</v>
          </cell>
          <cell r="W953">
            <v>3750</v>
          </cell>
          <cell r="X953">
            <v>3750</v>
          </cell>
          <cell r="Y953">
            <v>3750</v>
          </cell>
          <cell r="AB953">
            <v>45000</v>
          </cell>
        </row>
        <row r="954">
          <cell r="B954" t="str">
            <v>45102304511001272Ad-hoc Repairs-N1426427200104</v>
          </cell>
          <cell r="N954">
            <v>0</v>
          </cell>
          <cell r="O954">
            <v>0</v>
          </cell>
          <cell r="P954">
            <v>0</v>
          </cell>
          <cell r="Q954">
            <v>10800</v>
          </cell>
          <cell r="R954">
            <v>2700</v>
          </cell>
          <cell r="S954">
            <v>2700</v>
          </cell>
          <cell r="T954">
            <v>2700</v>
          </cell>
          <cell r="U954">
            <v>2700</v>
          </cell>
          <cell r="V954">
            <v>2700</v>
          </cell>
          <cell r="W954">
            <v>2700</v>
          </cell>
          <cell r="X954">
            <v>2700</v>
          </cell>
          <cell r="Y954">
            <v>2700</v>
          </cell>
          <cell r="AB954">
            <v>32400</v>
          </cell>
        </row>
        <row r="955">
          <cell r="B955" t="str">
            <v>45102304511001273Hospitality-N1424761200104</v>
          </cell>
          <cell r="N955">
            <v>0</v>
          </cell>
          <cell r="O955">
            <v>0</v>
          </cell>
          <cell r="P955">
            <v>0</v>
          </cell>
          <cell r="Q955">
            <v>17632</v>
          </cell>
          <cell r="R955">
            <v>4408</v>
          </cell>
          <cell r="S955">
            <v>4408</v>
          </cell>
          <cell r="T955">
            <v>4408</v>
          </cell>
          <cell r="U955">
            <v>4408</v>
          </cell>
          <cell r="V955">
            <v>4408</v>
          </cell>
          <cell r="W955">
            <v>4410</v>
          </cell>
          <cell r="X955">
            <v>4410</v>
          </cell>
          <cell r="Y955">
            <v>4408</v>
          </cell>
          <cell r="AB955">
            <v>52900</v>
          </cell>
        </row>
        <row r="956">
          <cell r="B956" t="str">
            <v>45102304511001273Cleaning Service-N1422311200104</v>
          </cell>
          <cell r="N956">
            <v>0</v>
          </cell>
          <cell r="O956">
            <v>0</v>
          </cell>
          <cell r="P956">
            <v>0</v>
          </cell>
          <cell r="Q956">
            <v>12600</v>
          </cell>
          <cell r="R956">
            <v>3150</v>
          </cell>
          <cell r="S956">
            <v>3150</v>
          </cell>
          <cell r="T956">
            <v>3150</v>
          </cell>
          <cell r="U956">
            <v>3150</v>
          </cell>
          <cell r="V956">
            <v>3150</v>
          </cell>
          <cell r="W956">
            <v>3150</v>
          </cell>
          <cell r="X956">
            <v>3150</v>
          </cell>
          <cell r="Y956">
            <v>3150</v>
          </cell>
          <cell r="AB956">
            <v>37800</v>
          </cell>
        </row>
        <row r="957">
          <cell r="B957" t="str">
            <v>45102304511001273Maintenance-N1426212200104</v>
          </cell>
          <cell r="N957">
            <v>0</v>
          </cell>
          <cell r="O957">
            <v>0</v>
          </cell>
          <cell r="P957">
            <v>0</v>
          </cell>
          <cell r="Q957">
            <v>6336</v>
          </cell>
          <cell r="R957">
            <v>1583</v>
          </cell>
          <cell r="S957">
            <v>1583</v>
          </cell>
          <cell r="T957">
            <v>1583</v>
          </cell>
          <cell r="U957">
            <v>1583</v>
          </cell>
          <cell r="V957">
            <v>1583</v>
          </cell>
          <cell r="W957">
            <v>1583</v>
          </cell>
          <cell r="X957">
            <v>1583</v>
          </cell>
          <cell r="Y957">
            <v>1583</v>
          </cell>
          <cell r="AB957">
            <v>19000</v>
          </cell>
        </row>
        <row r="958">
          <cell r="B958" t="str">
            <v>45102304511001273Ad-hoc Repairs-N1426427200104</v>
          </cell>
          <cell r="N958">
            <v>0</v>
          </cell>
          <cell r="O958">
            <v>0</v>
          </cell>
          <cell r="P958">
            <v>0</v>
          </cell>
          <cell r="Q958">
            <v>2000</v>
          </cell>
          <cell r="R958">
            <v>0</v>
          </cell>
          <cell r="S958">
            <v>0</v>
          </cell>
          <cell r="T958">
            <v>2000</v>
          </cell>
          <cell r="U958">
            <v>0</v>
          </cell>
          <cell r="V958">
            <v>2000</v>
          </cell>
          <cell r="W958">
            <v>0</v>
          </cell>
          <cell r="X958">
            <v>0</v>
          </cell>
          <cell r="Y958">
            <v>0</v>
          </cell>
          <cell r="AB958">
            <v>6000</v>
          </cell>
        </row>
        <row r="959">
          <cell r="B959" t="str">
            <v>45102304511001274Interior Fit Out-NC1491711300105</v>
          </cell>
          <cell r="N959">
            <v>0</v>
          </cell>
          <cell r="O959">
            <v>0</v>
          </cell>
          <cell r="P959">
            <v>0</v>
          </cell>
          <cell r="Q959">
            <v>5000</v>
          </cell>
          <cell r="R959">
            <v>0</v>
          </cell>
          <cell r="S959">
            <v>5000</v>
          </cell>
          <cell r="T959">
            <v>0</v>
          </cell>
          <cell r="U959">
            <v>0</v>
          </cell>
          <cell r="V959">
            <v>5000</v>
          </cell>
          <cell r="W959">
            <v>0</v>
          </cell>
          <cell r="X959">
            <v>4000</v>
          </cell>
          <cell r="Y959">
            <v>0</v>
          </cell>
          <cell r="AB959">
            <v>19000</v>
          </cell>
        </row>
        <row r="960">
          <cell r="B960" t="str">
            <v>45102304511000519Security Service-N1424551200104</v>
          </cell>
          <cell r="N960">
            <v>0</v>
          </cell>
          <cell r="O960">
            <v>0</v>
          </cell>
          <cell r="P960">
            <v>0</v>
          </cell>
          <cell r="Q960">
            <v>34000</v>
          </cell>
          <cell r="R960">
            <v>8500</v>
          </cell>
          <cell r="S960">
            <v>8500</v>
          </cell>
          <cell r="T960">
            <v>8500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AB960">
            <v>59500</v>
          </cell>
        </row>
        <row r="961">
          <cell r="B961" t="str">
            <v>45102304511001274Cleaning Service-N1422311200104</v>
          </cell>
          <cell r="N961">
            <v>0</v>
          </cell>
          <cell r="O961">
            <v>0</v>
          </cell>
          <cell r="P961">
            <v>0</v>
          </cell>
          <cell r="Q961">
            <v>24800</v>
          </cell>
          <cell r="R961">
            <v>6200</v>
          </cell>
          <cell r="S961">
            <v>6200</v>
          </cell>
          <cell r="T961">
            <v>6200</v>
          </cell>
          <cell r="U961">
            <v>6200</v>
          </cell>
          <cell r="V961">
            <v>6200</v>
          </cell>
          <cell r="W961">
            <v>6200</v>
          </cell>
          <cell r="X961">
            <v>6200</v>
          </cell>
          <cell r="Y961">
            <v>6200</v>
          </cell>
          <cell r="AB961">
            <v>74400</v>
          </cell>
        </row>
        <row r="962">
          <cell r="B962" t="str">
            <v>45102304511001274Hospitality-N1424761200104</v>
          </cell>
          <cell r="N962">
            <v>0</v>
          </cell>
          <cell r="O962">
            <v>0</v>
          </cell>
          <cell r="P962">
            <v>0</v>
          </cell>
          <cell r="Q962">
            <v>21332</v>
          </cell>
          <cell r="R962">
            <v>5333</v>
          </cell>
          <cell r="S962">
            <v>5333</v>
          </cell>
          <cell r="T962">
            <v>5333</v>
          </cell>
          <cell r="U962">
            <v>5333</v>
          </cell>
          <cell r="V962">
            <v>5333</v>
          </cell>
          <cell r="W962">
            <v>5333</v>
          </cell>
          <cell r="X962">
            <v>5333</v>
          </cell>
          <cell r="Y962">
            <v>5337</v>
          </cell>
          <cell r="AB962">
            <v>64000</v>
          </cell>
        </row>
        <row r="963">
          <cell r="B963" t="str">
            <v>45102304511001274Maintenance-N1426212200104</v>
          </cell>
          <cell r="N963">
            <v>0</v>
          </cell>
          <cell r="O963">
            <v>0</v>
          </cell>
          <cell r="P963">
            <v>0</v>
          </cell>
          <cell r="Q963">
            <v>20000</v>
          </cell>
          <cell r="R963">
            <v>5000</v>
          </cell>
          <cell r="S963">
            <v>5000</v>
          </cell>
          <cell r="T963">
            <v>5000</v>
          </cell>
          <cell r="U963">
            <v>5000</v>
          </cell>
          <cell r="V963">
            <v>5000</v>
          </cell>
          <cell r="W963">
            <v>5000</v>
          </cell>
          <cell r="X963">
            <v>5000</v>
          </cell>
          <cell r="Y963">
            <v>5000</v>
          </cell>
          <cell r="AB963">
            <v>60000</v>
          </cell>
        </row>
        <row r="964">
          <cell r="B964" t="str">
            <v>45102304511001274Ad-hoc Repairs-N1426427200104</v>
          </cell>
          <cell r="N964">
            <v>0</v>
          </cell>
          <cell r="O964">
            <v>0</v>
          </cell>
          <cell r="P964">
            <v>0</v>
          </cell>
          <cell r="Q964">
            <v>1000</v>
          </cell>
          <cell r="R964">
            <v>0</v>
          </cell>
          <cell r="S964">
            <v>0</v>
          </cell>
          <cell r="T964">
            <v>1000</v>
          </cell>
          <cell r="U964">
            <v>0</v>
          </cell>
          <cell r="V964">
            <v>0</v>
          </cell>
          <cell r="W964">
            <v>1000</v>
          </cell>
          <cell r="X964">
            <v>0</v>
          </cell>
          <cell r="Y964">
            <v>0</v>
          </cell>
          <cell r="AB964">
            <v>3000</v>
          </cell>
        </row>
        <row r="965">
          <cell r="B965" t="str">
            <v>45102304511001489Intrnt Telecom-N423711200104</v>
          </cell>
          <cell r="N965">
            <v>0</v>
          </cell>
          <cell r="O965">
            <v>0</v>
          </cell>
          <cell r="P965">
            <v>0</v>
          </cell>
          <cell r="Q965">
            <v>1600000</v>
          </cell>
          <cell r="R965">
            <v>400000</v>
          </cell>
          <cell r="S965">
            <v>400000</v>
          </cell>
          <cell r="T965">
            <v>400000</v>
          </cell>
          <cell r="U965">
            <v>400000</v>
          </cell>
          <cell r="V965">
            <v>400000</v>
          </cell>
          <cell r="W965">
            <v>400000</v>
          </cell>
          <cell r="X965">
            <v>400000</v>
          </cell>
          <cell r="Y965">
            <v>300000</v>
          </cell>
          <cell r="AB965">
            <v>4700000</v>
          </cell>
        </row>
        <row r="966">
          <cell r="B966" t="str">
            <v>45102304511001489Utilities-N423931200104</v>
          </cell>
          <cell r="N966">
            <v>0</v>
          </cell>
          <cell r="O966">
            <v>0</v>
          </cell>
          <cell r="P966">
            <v>282194.86</v>
          </cell>
          <cell r="Q966">
            <v>484641.14</v>
          </cell>
          <cell r="R966">
            <v>214058</v>
          </cell>
          <cell r="S966">
            <v>214058</v>
          </cell>
          <cell r="T966">
            <v>214058</v>
          </cell>
          <cell r="U966">
            <v>214058</v>
          </cell>
          <cell r="V966">
            <v>291158</v>
          </cell>
          <cell r="W966">
            <v>214058</v>
          </cell>
          <cell r="X966">
            <v>214058</v>
          </cell>
          <cell r="Y966">
            <v>206163.39333333261</v>
          </cell>
          <cell r="AB966">
            <v>2548505.3933333326</v>
          </cell>
        </row>
        <row r="967">
          <cell r="B967" t="str">
            <v>45102304511001489Office Supplies-N431812200104</v>
          </cell>
          <cell r="N967">
            <v>0</v>
          </cell>
          <cell r="O967">
            <v>0</v>
          </cell>
          <cell r="P967">
            <v>0</v>
          </cell>
          <cell r="Q967">
            <v>94000</v>
          </cell>
          <cell r="R967">
            <v>0</v>
          </cell>
          <cell r="S967">
            <v>92000</v>
          </cell>
          <cell r="T967">
            <v>0</v>
          </cell>
          <cell r="U967">
            <v>0</v>
          </cell>
          <cell r="V967">
            <v>92000</v>
          </cell>
          <cell r="W967">
            <v>0</v>
          </cell>
          <cell r="X967">
            <v>0</v>
          </cell>
          <cell r="Y967">
            <v>0</v>
          </cell>
          <cell r="AB967">
            <v>278000</v>
          </cell>
        </row>
        <row r="968">
          <cell r="B968" t="str">
            <v>45102304511001489Other Expenses-N424991200104</v>
          </cell>
          <cell r="N968">
            <v>0</v>
          </cell>
          <cell r="O968">
            <v>0</v>
          </cell>
          <cell r="P968">
            <v>0</v>
          </cell>
          <cell r="Q968">
            <v>44000</v>
          </cell>
          <cell r="R968">
            <v>11000</v>
          </cell>
          <cell r="S968">
            <v>11000</v>
          </cell>
          <cell r="T968">
            <v>11000</v>
          </cell>
          <cell r="U968">
            <v>11000</v>
          </cell>
          <cell r="V968">
            <v>11000</v>
          </cell>
          <cell r="W968">
            <v>11000</v>
          </cell>
          <cell r="X968">
            <v>11000</v>
          </cell>
          <cell r="Y968">
            <v>11000</v>
          </cell>
          <cell r="AB968">
            <v>132000</v>
          </cell>
        </row>
        <row r="969">
          <cell r="B969" t="str">
            <v>45102304511001489Mission &amp; Travel-N423821200104</v>
          </cell>
          <cell r="N969">
            <v>0</v>
          </cell>
          <cell r="O969">
            <v>0</v>
          </cell>
          <cell r="P969">
            <v>8500</v>
          </cell>
          <cell r="Q969">
            <v>64100</v>
          </cell>
          <cell r="R969">
            <v>0</v>
          </cell>
          <cell r="S969">
            <v>0</v>
          </cell>
          <cell r="T969">
            <v>0</v>
          </cell>
          <cell r="U969">
            <v>37510</v>
          </cell>
          <cell r="V969">
            <v>0</v>
          </cell>
          <cell r="W969">
            <v>0</v>
          </cell>
          <cell r="X969">
            <v>10890</v>
          </cell>
          <cell r="Y969">
            <v>0</v>
          </cell>
          <cell r="AB969">
            <v>121000</v>
          </cell>
        </row>
        <row r="970">
          <cell r="B970" t="str">
            <v>45102304511001489Gen Logistics-N424671200104</v>
          </cell>
          <cell r="N970">
            <v>0</v>
          </cell>
          <cell r="O970">
            <v>0</v>
          </cell>
          <cell r="P970">
            <v>0</v>
          </cell>
          <cell r="Q970">
            <v>22100</v>
          </cell>
          <cell r="R970">
            <v>11050</v>
          </cell>
          <cell r="S970">
            <v>11050</v>
          </cell>
          <cell r="T970">
            <v>11050</v>
          </cell>
          <cell r="U970">
            <v>11050</v>
          </cell>
          <cell r="V970">
            <v>11050</v>
          </cell>
          <cell r="W970">
            <v>11050</v>
          </cell>
          <cell r="X970">
            <v>11050</v>
          </cell>
          <cell r="Y970">
            <v>13150</v>
          </cell>
          <cell r="AB970">
            <v>112600</v>
          </cell>
        </row>
        <row r="971">
          <cell r="B971" t="str">
            <v>45102304511001489Health &amp; Safety-N424721200104</v>
          </cell>
          <cell r="N971">
            <v>0</v>
          </cell>
          <cell r="O971">
            <v>0</v>
          </cell>
          <cell r="P971">
            <v>0</v>
          </cell>
          <cell r="Q971">
            <v>61500</v>
          </cell>
          <cell r="R971">
            <v>0</v>
          </cell>
          <cell r="S971">
            <v>30500</v>
          </cell>
          <cell r="T971">
            <v>0</v>
          </cell>
          <cell r="U971">
            <v>0</v>
          </cell>
          <cell r="V971">
            <v>8000</v>
          </cell>
          <cell r="W971">
            <v>0</v>
          </cell>
          <cell r="X971">
            <v>0</v>
          </cell>
          <cell r="Y971">
            <v>0</v>
          </cell>
          <cell r="AB971">
            <v>100000</v>
          </cell>
        </row>
        <row r="972">
          <cell r="B972" t="str">
            <v>45102304511001489AccreditationFee-N424561200104</v>
          </cell>
          <cell r="N972">
            <v>0</v>
          </cell>
          <cell r="O972">
            <v>0</v>
          </cell>
          <cell r="P972">
            <v>0</v>
          </cell>
          <cell r="Q972">
            <v>21700</v>
          </cell>
          <cell r="R972">
            <v>0</v>
          </cell>
          <cell r="S972">
            <v>0</v>
          </cell>
          <cell r="T972">
            <v>9000</v>
          </cell>
          <cell r="U972">
            <v>0</v>
          </cell>
          <cell r="V972">
            <v>9000</v>
          </cell>
          <cell r="W972">
            <v>0</v>
          </cell>
          <cell r="X972">
            <v>5300</v>
          </cell>
          <cell r="Y972">
            <v>0</v>
          </cell>
          <cell r="AB972">
            <v>45000</v>
          </cell>
        </row>
        <row r="973">
          <cell r="B973" t="str">
            <v>45102304511001489Waste Mgmnt-N424591200104</v>
          </cell>
          <cell r="N973">
            <v>0</v>
          </cell>
          <cell r="O973">
            <v>0</v>
          </cell>
          <cell r="P973">
            <v>0</v>
          </cell>
          <cell r="Q973">
            <v>15000</v>
          </cell>
          <cell r="R973">
            <v>3750</v>
          </cell>
          <cell r="S973">
            <v>3750</v>
          </cell>
          <cell r="T973">
            <v>3750</v>
          </cell>
          <cell r="U973">
            <v>3750</v>
          </cell>
          <cell r="V973">
            <v>3750</v>
          </cell>
          <cell r="W973">
            <v>3750</v>
          </cell>
          <cell r="X973">
            <v>3750</v>
          </cell>
          <cell r="Y973">
            <v>3750</v>
          </cell>
          <cell r="AB973">
            <v>45000</v>
          </cell>
        </row>
        <row r="974">
          <cell r="B974" t="str">
            <v>45102404511000162Admin Expenses-N421125200104</v>
          </cell>
          <cell r="N974">
            <v>0</v>
          </cell>
          <cell r="O974">
            <v>0</v>
          </cell>
          <cell r="P974">
            <v>0</v>
          </cell>
          <cell r="Q974">
            <v>25000</v>
          </cell>
          <cell r="R974">
            <v>30000</v>
          </cell>
          <cell r="S974">
            <v>29399</v>
          </cell>
          <cell r="T974">
            <v>15000</v>
          </cell>
          <cell r="U974">
            <v>0</v>
          </cell>
          <cell r="V974">
            <v>10000</v>
          </cell>
          <cell r="W974">
            <v>4500</v>
          </cell>
          <cell r="X974">
            <v>70000</v>
          </cell>
          <cell r="Y974">
            <v>114298</v>
          </cell>
          <cell r="AB974">
            <v>294197</v>
          </cell>
        </row>
        <row r="975">
          <cell r="B975" t="str">
            <v>45102404511000439Manpower-N424521200104</v>
          </cell>
          <cell r="N975">
            <v>0</v>
          </cell>
          <cell r="O975">
            <v>0</v>
          </cell>
          <cell r="P975">
            <v>582421.39</v>
          </cell>
          <cell r="Q975">
            <v>210243.43000000005</v>
          </cell>
          <cell r="R975">
            <v>196715</v>
          </cell>
          <cell r="S975">
            <v>196715</v>
          </cell>
          <cell r="T975">
            <v>196715</v>
          </cell>
          <cell r="U975">
            <v>196715</v>
          </cell>
          <cell r="V975">
            <v>196715</v>
          </cell>
          <cell r="W975">
            <v>196715</v>
          </cell>
          <cell r="X975">
            <v>196715</v>
          </cell>
          <cell r="Y975">
            <v>196715</v>
          </cell>
          <cell r="AB975">
            <v>2396384.8200000003</v>
          </cell>
        </row>
        <row r="976">
          <cell r="B976" t="str">
            <v>45102404511000439Mission &amp; Travel-N423821200104</v>
          </cell>
          <cell r="N976">
            <v>0</v>
          </cell>
          <cell r="O976">
            <v>0</v>
          </cell>
          <cell r="P976">
            <v>21600</v>
          </cell>
          <cell r="Q976">
            <v>0</v>
          </cell>
          <cell r="R976">
            <v>61500</v>
          </cell>
          <cell r="S976">
            <v>6000</v>
          </cell>
          <cell r="T976">
            <v>0</v>
          </cell>
          <cell r="U976">
            <v>0</v>
          </cell>
          <cell r="V976">
            <v>18000</v>
          </cell>
          <cell r="W976">
            <v>27600</v>
          </cell>
          <cell r="X976">
            <v>6000</v>
          </cell>
          <cell r="Y976">
            <v>6000</v>
          </cell>
          <cell r="AB976">
            <v>146700</v>
          </cell>
        </row>
        <row r="977">
          <cell r="B977" t="str">
            <v>45102404511000439Freelancers-N424521200104</v>
          </cell>
          <cell r="AB977">
            <v>154000</v>
          </cell>
        </row>
        <row r="978">
          <cell r="B978" t="str">
            <v>45102304511000532Security Service-N1424551200104</v>
          </cell>
          <cell r="N978">
            <v>0</v>
          </cell>
          <cell r="O978">
            <v>0</v>
          </cell>
          <cell r="P978">
            <v>0</v>
          </cell>
          <cell r="Q978">
            <v>34000</v>
          </cell>
          <cell r="R978">
            <v>8500</v>
          </cell>
          <cell r="S978">
            <v>8500</v>
          </cell>
          <cell r="T978">
            <v>8500</v>
          </cell>
          <cell r="U978">
            <v>8500</v>
          </cell>
          <cell r="V978">
            <v>8500</v>
          </cell>
          <cell r="W978">
            <v>8500</v>
          </cell>
          <cell r="X978">
            <v>8500</v>
          </cell>
          <cell r="Y978">
            <v>8500</v>
          </cell>
          <cell r="AB978">
            <v>102000</v>
          </cell>
        </row>
        <row r="979">
          <cell r="B979" t="str">
            <v>45102404511000445AccreditationFee-N1424561200104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5000</v>
          </cell>
          <cell r="U979">
            <v>304950</v>
          </cell>
          <cell r="V979">
            <v>0</v>
          </cell>
          <cell r="W979">
            <v>0</v>
          </cell>
          <cell r="X979">
            <v>105000</v>
          </cell>
          <cell r="Y979">
            <v>45000</v>
          </cell>
          <cell r="AB979">
            <v>459950</v>
          </cell>
        </row>
        <row r="980">
          <cell r="B980" t="str">
            <v>45102504511000354Managed Service-N422212200104</v>
          </cell>
          <cell r="N980">
            <v>0</v>
          </cell>
          <cell r="O980">
            <v>0</v>
          </cell>
          <cell r="P980">
            <v>0</v>
          </cell>
          <cell r="Q980">
            <v>1050835.6299999999</v>
          </cell>
          <cell r="R980">
            <v>0</v>
          </cell>
          <cell r="S980">
            <v>677645.13</v>
          </cell>
          <cell r="T980">
            <v>0</v>
          </cell>
          <cell r="U980">
            <v>0</v>
          </cell>
          <cell r="V980">
            <v>586445.13</v>
          </cell>
          <cell r="W980">
            <v>0</v>
          </cell>
          <cell r="X980">
            <v>0</v>
          </cell>
          <cell r="Y980">
            <v>586445.13</v>
          </cell>
          <cell r="AB980">
            <v>2901371.0199999996</v>
          </cell>
        </row>
        <row r="981">
          <cell r="B981" t="str">
            <v>45102504511000354System Maintain-N422212200104</v>
          </cell>
          <cell r="N981">
            <v>0</v>
          </cell>
          <cell r="O981">
            <v>0</v>
          </cell>
          <cell r="P981">
            <v>0</v>
          </cell>
          <cell r="Q981">
            <v>644264</v>
          </cell>
          <cell r="R981">
            <v>161066</v>
          </cell>
          <cell r="S981">
            <v>161066</v>
          </cell>
          <cell r="T981">
            <v>161066</v>
          </cell>
          <cell r="U981">
            <v>161066</v>
          </cell>
          <cell r="V981">
            <v>161066</v>
          </cell>
          <cell r="W981">
            <v>161066</v>
          </cell>
          <cell r="X981">
            <v>161066</v>
          </cell>
          <cell r="Y981">
            <v>161066</v>
          </cell>
          <cell r="AB981">
            <v>1932792</v>
          </cell>
        </row>
        <row r="982">
          <cell r="B982" t="str">
            <v>45102504511000354System Licenses-N425252200104</v>
          </cell>
          <cell r="N982">
            <v>0</v>
          </cell>
          <cell r="O982">
            <v>0</v>
          </cell>
          <cell r="P982">
            <v>0</v>
          </cell>
          <cell r="Q982">
            <v>659000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164989</v>
          </cell>
          <cell r="W982">
            <v>0</v>
          </cell>
          <cell r="X982">
            <v>0</v>
          </cell>
          <cell r="Y982">
            <v>0</v>
          </cell>
          <cell r="AB982">
            <v>823989</v>
          </cell>
        </row>
        <row r="983">
          <cell r="B983" t="str">
            <v>45102504511000354Security Comply-N422213200104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200000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AB983">
            <v>200000</v>
          </cell>
        </row>
        <row r="984">
          <cell r="B984" t="str">
            <v>45102504511000758EndUser Software-N422911200104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214278</v>
          </cell>
          <cell r="Y984">
            <v>0</v>
          </cell>
          <cell r="AB984">
            <v>214278</v>
          </cell>
        </row>
        <row r="985">
          <cell r="B985" t="str">
            <v>45102504511000758System Licenses-N425252200104</v>
          </cell>
          <cell r="N985">
            <v>0</v>
          </cell>
          <cell r="O985">
            <v>0</v>
          </cell>
          <cell r="P985">
            <v>0</v>
          </cell>
          <cell r="Q985">
            <v>5300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AB985">
            <v>5300</v>
          </cell>
        </row>
        <row r="986">
          <cell r="B986" t="str">
            <v>45102504511000760System Licenses-N425252200104</v>
          </cell>
          <cell r="N986">
            <v>0</v>
          </cell>
          <cell r="O986">
            <v>0</v>
          </cell>
          <cell r="P986">
            <v>0</v>
          </cell>
          <cell r="Q986">
            <v>21250</v>
          </cell>
          <cell r="R986">
            <v>0</v>
          </cell>
          <cell r="S986">
            <v>21250</v>
          </cell>
          <cell r="T986">
            <v>0</v>
          </cell>
          <cell r="U986">
            <v>0</v>
          </cell>
          <cell r="V986">
            <v>21250</v>
          </cell>
          <cell r="W986">
            <v>0</v>
          </cell>
          <cell r="X986">
            <v>151250</v>
          </cell>
          <cell r="Y986">
            <v>0</v>
          </cell>
          <cell r="AB986">
            <v>298750</v>
          </cell>
        </row>
        <row r="987">
          <cell r="B987" t="str">
            <v>45102504511000770TechnologyAdvice-N424521200104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1913524.2</v>
          </cell>
          <cell r="U987">
            <v>0</v>
          </cell>
          <cell r="V987">
            <v>1913524.2</v>
          </cell>
          <cell r="W987">
            <v>0</v>
          </cell>
          <cell r="X987">
            <v>2551365.6</v>
          </cell>
          <cell r="Y987">
            <v>0</v>
          </cell>
          <cell r="AB987">
            <v>6378414</v>
          </cell>
        </row>
        <row r="988">
          <cell r="B988" t="str">
            <v>45102504511000770Freelancers-N424521200104</v>
          </cell>
          <cell r="N988">
            <v>0</v>
          </cell>
          <cell r="O988">
            <v>0</v>
          </cell>
          <cell r="P988">
            <v>135000</v>
          </cell>
          <cell r="Q988">
            <v>75000</v>
          </cell>
          <cell r="R988">
            <v>60000</v>
          </cell>
          <cell r="S988">
            <v>60000</v>
          </cell>
          <cell r="T988">
            <v>60000</v>
          </cell>
          <cell r="U988">
            <v>60000</v>
          </cell>
          <cell r="V988">
            <v>60000</v>
          </cell>
          <cell r="W988">
            <v>60000</v>
          </cell>
          <cell r="X988">
            <v>60000</v>
          </cell>
          <cell r="Y988">
            <v>75000</v>
          </cell>
          <cell r="AB988">
            <v>2289194</v>
          </cell>
        </row>
        <row r="989">
          <cell r="B989" t="str">
            <v>45102504511000770Admin Expenses-N421125200104</v>
          </cell>
          <cell r="N989">
            <v>0</v>
          </cell>
          <cell r="O989">
            <v>0</v>
          </cell>
          <cell r="P989">
            <v>67675.899999999994</v>
          </cell>
          <cell r="Q989">
            <v>134324.1</v>
          </cell>
          <cell r="R989">
            <v>64000</v>
          </cell>
          <cell r="S989">
            <v>0</v>
          </cell>
          <cell r="T989">
            <v>228000</v>
          </cell>
          <cell r="U989">
            <v>0</v>
          </cell>
          <cell r="V989">
            <v>78000</v>
          </cell>
          <cell r="W989">
            <v>0</v>
          </cell>
          <cell r="X989">
            <v>132857</v>
          </cell>
          <cell r="Y989">
            <v>0</v>
          </cell>
          <cell r="AB989">
            <v>704857</v>
          </cell>
        </row>
        <row r="990">
          <cell r="B990" t="str">
            <v>45102304511001274Security Service-N1424551200104</v>
          </cell>
          <cell r="N990">
            <v>0</v>
          </cell>
          <cell r="O990">
            <v>0</v>
          </cell>
          <cell r="P990">
            <v>0</v>
          </cell>
          <cell r="Q990">
            <v>34000</v>
          </cell>
          <cell r="R990">
            <v>8500</v>
          </cell>
          <cell r="S990">
            <v>8500</v>
          </cell>
          <cell r="T990">
            <v>8500</v>
          </cell>
          <cell r="U990">
            <v>8500</v>
          </cell>
          <cell r="V990">
            <v>8500</v>
          </cell>
          <cell r="W990">
            <v>8500</v>
          </cell>
          <cell r="X990">
            <v>8500</v>
          </cell>
          <cell r="Y990">
            <v>8500</v>
          </cell>
          <cell r="AB990">
            <v>102000</v>
          </cell>
        </row>
        <row r="991">
          <cell r="B991" t="str">
            <v>45102504511000785Systems Develop-NC493140300105</v>
          </cell>
          <cell r="N991">
            <v>0</v>
          </cell>
          <cell r="O991">
            <v>0</v>
          </cell>
          <cell r="P991">
            <v>0</v>
          </cell>
          <cell r="Q991">
            <v>982361.11</v>
          </cell>
          <cell r="R991">
            <v>290111.11</v>
          </cell>
          <cell r="S991">
            <v>236111.11</v>
          </cell>
          <cell r="T991">
            <v>236111.11</v>
          </cell>
          <cell r="U991">
            <v>236111.11</v>
          </cell>
          <cell r="V991">
            <v>436111.11</v>
          </cell>
          <cell r="W991">
            <v>236111.11</v>
          </cell>
          <cell r="X991">
            <v>1279735.1099999999</v>
          </cell>
          <cell r="Y991">
            <v>236111.12</v>
          </cell>
          <cell r="AB991">
            <v>4168873.9999999995</v>
          </cell>
        </row>
        <row r="992">
          <cell r="B992" t="str">
            <v>45102504511000785Managed Service-N422212200104</v>
          </cell>
          <cell r="N992">
            <v>0</v>
          </cell>
          <cell r="O992">
            <v>0</v>
          </cell>
          <cell r="P992">
            <v>0</v>
          </cell>
          <cell r="Q992">
            <v>3445865.64</v>
          </cell>
          <cell r="R992">
            <v>890975.72000000009</v>
          </cell>
          <cell r="S992">
            <v>890975.72000000009</v>
          </cell>
          <cell r="T992">
            <v>890975.72000000009</v>
          </cell>
          <cell r="U992">
            <v>890975.72000000009</v>
          </cell>
          <cell r="V992">
            <v>890975.72000000009</v>
          </cell>
          <cell r="W992">
            <v>890975.72000000009</v>
          </cell>
          <cell r="X992">
            <v>890975.72000000009</v>
          </cell>
          <cell r="Y992">
            <v>890975.72000000009</v>
          </cell>
          <cell r="AB992">
            <v>10573671.4</v>
          </cell>
        </row>
        <row r="993">
          <cell r="B993" t="str">
            <v>45102504511000785System Licenses-N425252200104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70000</v>
          </cell>
          <cell r="S993">
            <v>166708</v>
          </cell>
          <cell r="T993">
            <v>142756</v>
          </cell>
          <cell r="U993">
            <v>142756</v>
          </cell>
          <cell r="V993">
            <v>1932756</v>
          </cell>
          <cell r="W993">
            <v>1197657</v>
          </cell>
          <cell r="X993">
            <v>3995260</v>
          </cell>
          <cell r="Y993">
            <v>2180317</v>
          </cell>
          <cell r="AB993">
            <v>9780969</v>
          </cell>
        </row>
        <row r="994">
          <cell r="B994" t="str">
            <v>45102504511000785Systems Develop-N425301200104</v>
          </cell>
          <cell r="N994">
            <v>0</v>
          </cell>
          <cell r="O994">
            <v>0</v>
          </cell>
          <cell r="P994">
            <v>0</v>
          </cell>
          <cell r="Q994">
            <v>1976293.3172727274</v>
          </cell>
          <cell r="R994">
            <v>597306.60909090913</v>
          </cell>
          <cell r="S994">
            <v>597306.60909090913</v>
          </cell>
          <cell r="T994">
            <v>597306.60909090913</v>
          </cell>
          <cell r="U994">
            <v>597306.60909090913</v>
          </cell>
          <cell r="V994">
            <v>597306.60909090913</v>
          </cell>
          <cell r="W994">
            <v>597306.60909090913</v>
          </cell>
          <cell r="X994">
            <v>597306.60909090913</v>
          </cell>
          <cell r="Y994">
            <v>597307.66909090907</v>
          </cell>
          <cell r="AB994">
            <v>8399773.2500000019</v>
          </cell>
        </row>
        <row r="995">
          <cell r="B995" t="str">
            <v>45102504511000785Freelancers-N424521200104</v>
          </cell>
          <cell r="N995">
            <v>0</v>
          </cell>
          <cell r="O995">
            <v>154000</v>
          </cell>
          <cell r="P995">
            <v>55000</v>
          </cell>
          <cell r="Q995">
            <v>102000</v>
          </cell>
          <cell r="R995">
            <v>80258</v>
          </cell>
          <cell r="S995">
            <v>126000</v>
          </cell>
          <cell r="T995">
            <v>151000</v>
          </cell>
          <cell r="U995">
            <v>151000</v>
          </cell>
          <cell r="V995">
            <v>151000</v>
          </cell>
          <cell r="W995">
            <v>151000</v>
          </cell>
          <cell r="X995">
            <v>151000</v>
          </cell>
          <cell r="Y995">
            <v>151742</v>
          </cell>
          <cell r="AB995">
            <v>1755387</v>
          </cell>
        </row>
        <row r="996">
          <cell r="B996" t="str">
            <v>45102504511000785System Maintain-N1422212200104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666369.55000000005</v>
          </cell>
          <cell r="X996">
            <v>0</v>
          </cell>
          <cell r="Y996">
            <v>0</v>
          </cell>
          <cell r="AB996">
            <v>666369.55000000005</v>
          </cell>
        </row>
        <row r="997">
          <cell r="B997" t="str">
            <v>45102504511000871Systems Develop-NC493140300105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2826080</v>
          </cell>
          <cell r="X997">
            <v>0</v>
          </cell>
          <cell r="Y997">
            <v>0</v>
          </cell>
          <cell r="AB997">
            <v>2326080</v>
          </cell>
        </row>
        <row r="998">
          <cell r="B998" t="str">
            <v>45102504511000871Peripherals-NC1491320300105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90100</v>
          </cell>
          <cell r="Y998">
            <v>0</v>
          </cell>
          <cell r="AB998">
            <v>90100</v>
          </cell>
        </row>
        <row r="999">
          <cell r="B999" t="str">
            <v>45102504511000871System Maintain-N1422212200104</v>
          </cell>
          <cell r="N999">
            <v>0</v>
          </cell>
          <cell r="O999">
            <v>0</v>
          </cell>
          <cell r="P999">
            <v>0</v>
          </cell>
          <cell r="Q999">
            <v>59745.84</v>
          </cell>
          <cell r="R999">
            <v>22672.92</v>
          </cell>
          <cell r="S999">
            <v>115282.92</v>
          </cell>
          <cell r="T999">
            <v>61672.92</v>
          </cell>
          <cell r="U999">
            <v>14400</v>
          </cell>
          <cell r="V999">
            <v>60705</v>
          </cell>
          <cell r="W999">
            <v>889996</v>
          </cell>
          <cell r="X999">
            <v>370640.4</v>
          </cell>
          <cell r="Y999">
            <v>0</v>
          </cell>
          <cell r="AB999">
            <v>1595116</v>
          </cell>
        </row>
        <row r="1000">
          <cell r="B1000" t="str">
            <v>45102504511000871Website Support-N422212200104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55590</v>
          </cell>
          <cell r="U1000">
            <v>0</v>
          </cell>
          <cell r="V1000">
            <v>0</v>
          </cell>
          <cell r="W1000">
            <v>0</v>
          </cell>
          <cell r="X1000">
            <v>1017110</v>
          </cell>
          <cell r="Y1000">
            <v>0</v>
          </cell>
          <cell r="AB1000">
            <v>1072700</v>
          </cell>
        </row>
        <row r="1001">
          <cell r="B1001" t="str">
            <v>45102504511000871Managed Service-N422212200104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479880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480000</v>
          </cell>
          <cell r="X1001">
            <v>0</v>
          </cell>
          <cell r="Y1001">
            <v>0</v>
          </cell>
          <cell r="AB1001">
            <v>959880</v>
          </cell>
        </row>
        <row r="1002">
          <cell r="B1002" t="str">
            <v>45102504511000871MobileAppSupport-N422212200104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455000</v>
          </cell>
          <cell r="Y1002">
            <v>0</v>
          </cell>
          <cell r="AB1002">
            <v>455000</v>
          </cell>
        </row>
        <row r="1003">
          <cell r="B1003" t="str">
            <v>45102504511000871System Licenses-N425252200104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209199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AB1003">
            <v>209199</v>
          </cell>
        </row>
        <row r="1004">
          <cell r="B1004" t="str">
            <v>45102504511000871Network Service-N422214200104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200000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AB1004">
            <v>200000</v>
          </cell>
        </row>
        <row r="1005">
          <cell r="B1005" t="str">
            <v>45102504511000872Systems Develop-NC493140300105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75000</v>
          </cell>
          <cell r="V1005">
            <v>911500</v>
          </cell>
          <cell r="W1005">
            <v>500000</v>
          </cell>
          <cell r="X1005">
            <v>661500</v>
          </cell>
          <cell r="Y1005">
            <v>0</v>
          </cell>
          <cell r="AB1005">
            <v>2113000</v>
          </cell>
        </row>
        <row r="1006">
          <cell r="B1006" t="str">
            <v>45102504511000872System Maintain-N1422212200104</v>
          </cell>
          <cell r="N1006">
            <v>0</v>
          </cell>
          <cell r="O1006">
            <v>0</v>
          </cell>
          <cell r="P1006">
            <v>0</v>
          </cell>
          <cell r="Q1006">
            <v>396293.95</v>
          </cell>
          <cell r="R1006">
            <v>11500</v>
          </cell>
          <cell r="S1006">
            <v>538670</v>
          </cell>
          <cell r="T1006">
            <v>186646.95</v>
          </cell>
          <cell r="U1006">
            <v>11500</v>
          </cell>
          <cell r="V1006">
            <v>11500</v>
          </cell>
          <cell r="W1006">
            <v>516746.95</v>
          </cell>
          <cell r="X1006">
            <v>138540</v>
          </cell>
          <cell r="Y1006">
            <v>186646.95</v>
          </cell>
          <cell r="AB1006">
            <v>1910874.7999999998</v>
          </cell>
        </row>
        <row r="1007">
          <cell r="B1007" t="str">
            <v>45102504511000872System Licenses-N425252200104</v>
          </cell>
          <cell r="N1007">
            <v>0</v>
          </cell>
          <cell r="O1007">
            <v>0</v>
          </cell>
          <cell r="P1007">
            <v>0</v>
          </cell>
          <cell r="Q1007">
            <v>693000</v>
          </cell>
          <cell r="R1007">
            <v>0</v>
          </cell>
          <cell r="S1007">
            <v>2825</v>
          </cell>
          <cell r="T1007">
            <v>40000</v>
          </cell>
          <cell r="U1007">
            <v>0</v>
          </cell>
          <cell r="V1007">
            <v>0</v>
          </cell>
          <cell r="W1007">
            <v>0</v>
          </cell>
          <cell r="X1007">
            <v>392266</v>
          </cell>
          <cell r="Y1007">
            <v>0</v>
          </cell>
          <cell r="AB1007">
            <v>1128091</v>
          </cell>
        </row>
        <row r="1008">
          <cell r="B1008" t="str">
            <v>45102504511000873Website Design-NC493140300105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3319000</v>
          </cell>
          <cell r="X1008">
            <v>1153705</v>
          </cell>
          <cell r="Y1008">
            <v>0</v>
          </cell>
          <cell r="AB1008">
            <v>3835705</v>
          </cell>
        </row>
        <row r="1009">
          <cell r="B1009" t="str">
            <v>45102504511000873Systems Develop-NC493140300105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201280</v>
          </cell>
          <cell r="U1009">
            <v>186000</v>
          </cell>
          <cell r="V1009">
            <v>303000</v>
          </cell>
          <cell r="W1009">
            <v>1600000</v>
          </cell>
          <cell r="X1009">
            <v>800000</v>
          </cell>
          <cell r="Y1009">
            <v>0</v>
          </cell>
          <cell r="AB1009">
            <v>2532139</v>
          </cell>
        </row>
        <row r="1010">
          <cell r="B1010" t="str">
            <v>45102504511000873System Licenses-NC493140300105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570000</v>
          </cell>
          <cell r="W1010">
            <v>0</v>
          </cell>
          <cell r="X1010">
            <v>205750</v>
          </cell>
          <cell r="Y1010">
            <v>0</v>
          </cell>
          <cell r="AB1010">
            <v>775750</v>
          </cell>
        </row>
        <row r="1011">
          <cell r="B1011" t="str">
            <v>45102504511000873Peripherals-NC491320300105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600000</v>
          </cell>
          <cell r="Y1011">
            <v>0</v>
          </cell>
          <cell r="AB1011">
            <v>600000</v>
          </cell>
        </row>
        <row r="1012">
          <cell r="B1012" t="str">
            <v>45102504511000873System Licenses-N425252200104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209199</v>
          </cell>
          <cell r="U1012">
            <v>0</v>
          </cell>
          <cell r="V1012">
            <v>0</v>
          </cell>
          <cell r="W1012">
            <v>605871.51</v>
          </cell>
          <cell r="X1012">
            <v>3700000</v>
          </cell>
          <cell r="Y1012">
            <v>0</v>
          </cell>
          <cell r="AB1012">
            <v>4132212.51</v>
          </cell>
        </row>
        <row r="1013">
          <cell r="B1013" t="str">
            <v>45102504511000873System Maintain-N1422212200104</v>
          </cell>
          <cell r="N1013">
            <v>0</v>
          </cell>
          <cell r="O1013">
            <v>0</v>
          </cell>
          <cell r="P1013">
            <v>0</v>
          </cell>
          <cell r="Q1013">
            <v>35046.6</v>
          </cell>
          <cell r="R1013">
            <v>3282.3</v>
          </cell>
          <cell r="S1013">
            <v>358282.3</v>
          </cell>
          <cell r="T1013">
            <v>129482.3</v>
          </cell>
          <cell r="U1013">
            <v>106662.45</v>
          </cell>
          <cell r="V1013">
            <v>3282.3</v>
          </cell>
          <cell r="W1013">
            <v>2828564.3</v>
          </cell>
          <cell r="X1013">
            <v>50623.3</v>
          </cell>
          <cell r="Y1013">
            <v>0</v>
          </cell>
          <cell r="AB1013">
            <v>1813119.8499999996</v>
          </cell>
        </row>
        <row r="1014">
          <cell r="B1014" t="str">
            <v>45102504511000873Website Support-N422212200104</v>
          </cell>
          <cell r="N1014">
            <v>0</v>
          </cell>
          <cell r="O1014">
            <v>0</v>
          </cell>
          <cell r="P1014">
            <v>0</v>
          </cell>
          <cell r="Q1014">
            <v>392724.66000000003</v>
          </cell>
          <cell r="R1014">
            <v>14708.33</v>
          </cell>
          <cell r="S1014">
            <v>14708.33</v>
          </cell>
          <cell r="T1014">
            <v>14708.33</v>
          </cell>
          <cell r="U1014">
            <v>14708.33</v>
          </cell>
          <cell r="V1014">
            <v>14708.33</v>
          </cell>
          <cell r="W1014">
            <v>14708.33</v>
          </cell>
          <cell r="X1014">
            <v>48625.03</v>
          </cell>
          <cell r="Y1014">
            <v>0</v>
          </cell>
          <cell r="AB1014">
            <v>529599.67000000016</v>
          </cell>
        </row>
        <row r="1015">
          <cell r="B1015" t="str">
            <v>45102504511000875Systems Develop-NC1493140300105</v>
          </cell>
          <cell r="AB1015">
            <v>350000</v>
          </cell>
        </row>
        <row r="1016">
          <cell r="B1016" t="str">
            <v>45102504511000875Website Support-N422212200104</v>
          </cell>
          <cell r="N1016">
            <v>0</v>
          </cell>
          <cell r="O1016">
            <v>0</v>
          </cell>
          <cell r="P1016">
            <v>0</v>
          </cell>
          <cell r="Q1016">
            <v>397494</v>
          </cell>
          <cell r="R1016">
            <v>1192482</v>
          </cell>
          <cell r="S1016">
            <v>0</v>
          </cell>
          <cell r="T1016">
            <v>1500000</v>
          </cell>
          <cell r="U1016">
            <v>1192482</v>
          </cell>
          <cell r="V1016">
            <v>0</v>
          </cell>
          <cell r="W1016">
            <v>517946</v>
          </cell>
          <cell r="X1016">
            <v>1987470</v>
          </cell>
          <cell r="Y1016">
            <v>0</v>
          </cell>
          <cell r="AB1016">
            <v>6798260</v>
          </cell>
        </row>
        <row r="1017">
          <cell r="B1017" t="str">
            <v>45102504511000875System Licenses-N425252200104</v>
          </cell>
          <cell r="N1017">
            <v>0</v>
          </cell>
          <cell r="O1017">
            <v>0</v>
          </cell>
          <cell r="P1017">
            <v>64290.17</v>
          </cell>
          <cell r="Q1017">
            <v>1844929.83</v>
          </cell>
          <cell r="R1017">
            <v>50000</v>
          </cell>
          <cell r="S1017">
            <v>50000</v>
          </cell>
          <cell r="T1017">
            <v>50000</v>
          </cell>
          <cell r="U1017">
            <v>118122</v>
          </cell>
          <cell r="V1017">
            <v>50000</v>
          </cell>
          <cell r="W1017">
            <v>1250907.5</v>
          </cell>
          <cell r="X1017">
            <v>2004006</v>
          </cell>
          <cell r="Y1017">
            <v>164000</v>
          </cell>
          <cell r="AB1017">
            <v>6542255.5</v>
          </cell>
        </row>
        <row r="1018">
          <cell r="B1018" t="str">
            <v>45102504511000876Systems Develop-NC493140300105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200000</v>
          </cell>
          <cell r="T1018">
            <v>50000</v>
          </cell>
          <cell r="U1018">
            <v>0</v>
          </cell>
          <cell r="V1018">
            <v>570000</v>
          </cell>
          <cell r="W1018">
            <v>4947706</v>
          </cell>
          <cell r="X1018">
            <v>100000</v>
          </cell>
          <cell r="Y1018">
            <v>0</v>
          </cell>
          <cell r="AB1018">
            <v>2645706</v>
          </cell>
        </row>
        <row r="1019">
          <cell r="B1019" t="str">
            <v>45102504511000876System Licenses-NC493140300105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400000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AB1019">
            <v>400000</v>
          </cell>
        </row>
        <row r="1020">
          <cell r="B1020" t="str">
            <v>45102504511000876System Licenses-N425252200104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12000</v>
          </cell>
          <cell r="T1020">
            <v>0</v>
          </cell>
          <cell r="U1020">
            <v>225000</v>
          </cell>
          <cell r="V1020">
            <v>642429</v>
          </cell>
          <cell r="W1020">
            <v>45928</v>
          </cell>
          <cell r="X1020">
            <v>3412116</v>
          </cell>
          <cell r="Y1020">
            <v>0</v>
          </cell>
          <cell r="AB1020">
            <v>4090384</v>
          </cell>
        </row>
        <row r="1021">
          <cell r="B1021" t="str">
            <v>45102504511000876Cloud Services-N422218200104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2016</v>
          </cell>
          <cell r="X1021">
            <v>2305891</v>
          </cell>
          <cell r="Y1021">
            <v>0</v>
          </cell>
          <cell r="AB1021">
            <v>2307907</v>
          </cell>
        </row>
        <row r="1022">
          <cell r="B1022" t="str">
            <v>45102504511000876System Maintain-N1422212200104</v>
          </cell>
          <cell r="N1022">
            <v>0</v>
          </cell>
          <cell r="O1022">
            <v>0</v>
          </cell>
          <cell r="P1022">
            <v>0</v>
          </cell>
          <cell r="Q1022">
            <v>124060</v>
          </cell>
          <cell r="R1022">
            <v>0</v>
          </cell>
          <cell r="S1022">
            <v>0</v>
          </cell>
          <cell r="T1022">
            <v>0</v>
          </cell>
          <cell r="U1022">
            <v>65000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AB1022">
            <v>184569</v>
          </cell>
        </row>
        <row r="1023">
          <cell r="B1023" t="str">
            <v>45102504511000877Systems Develop-NC493140300105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497259</v>
          </cell>
          <cell r="T1023">
            <v>200000</v>
          </cell>
          <cell r="U1023">
            <v>303333</v>
          </cell>
          <cell r="V1023">
            <v>500000</v>
          </cell>
          <cell r="W1023">
            <v>1100592</v>
          </cell>
          <cell r="X1023">
            <v>0</v>
          </cell>
          <cell r="Y1023">
            <v>303334</v>
          </cell>
          <cell r="AB1023">
            <v>6159600</v>
          </cell>
        </row>
        <row r="1024">
          <cell r="B1024" t="str">
            <v>45102504511000877Website Support-NC493140300105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200000</v>
          </cell>
          <cell r="U1024">
            <v>0</v>
          </cell>
          <cell r="V1024">
            <v>200000</v>
          </cell>
          <cell r="W1024">
            <v>0</v>
          </cell>
          <cell r="X1024">
            <v>0</v>
          </cell>
          <cell r="Y1024">
            <v>0</v>
          </cell>
          <cell r="AB1024">
            <v>400000</v>
          </cell>
        </row>
        <row r="1025">
          <cell r="B1025" t="str">
            <v>45102504511000877System Maintain-N422212200104</v>
          </cell>
          <cell r="N1025">
            <v>0</v>
          </cell>
          <cell r="O1025">
            <v>0</v>
          </cell>
          <cell r="P1025">
            <v>0</v>
          </cell>
          <cell r="Q1025">
            <v>111985.5</v>
          </cell>
          <cell r="R1025">
            <v>0</v>
          </cell>
          <cell r="S1025">
            <v>972065.5</v>
          </cell>
          <cell r="T1025">
            <v>279272</v>
          </cell>
          <cell r="U1025">
            <v>497358</v>
          </cell>
          <cell r="V1025">
            <v>361985.5</v>
          </cell>
          <cell r="W1025">
            <v>1043875</v>
          </cell>
          <cell r="X1025">
            <v>1175000</v>
          </cell>
          <cell r="Y1025">
            <v>275685.5</v>
          </cell>
          <cell r="AB1025">
            <v>3695841</v>
          </cell>
        </row>
        <row r="1026">
          <cell r="B1026" t="str">
            <v>45102504511000877System Licenses-N425252200104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100000</v>
          </cell>
          <cell r="S1026">
            <v>609238.5</v>
          </cell>
          <cell r="T1026">
            <v>0</v>
          </cell>
          <cell r="U1026">
            <v>0</v>
          </cell>
          <cell r="V1026">
            <v>0</v>
          </cell>
          <cell r="W1026">
            <v>100000</v>
          </cell>
          <cell r="X1026">
            <v>1022608</v>
          </cell>
          <cell r="Y1026">
            <v>0</v>
          </cell>
          <cell r="AB1026">
            <v>1862246.5</v>
          </cell>
        </row>
        <row r="1027">
          <cell r="B1027" t="str">
            <v>45102504511000877Website Support-N422212200104</v>
          </cell>
          <cell r="N1027">
            <v>0</v>
          </cell>
          <cell r="O1027">
            <v>0</v>
          </cell>
          <cell r="P1027">
            <v>0</v>
          </cell>
          <cell r="Q1027">
            <v>208291.13</v>
          </cell>
          <cell r="R1027">
            <v>0</v>
          </cell>
          <cell r="S1027">
            <v>61758.13</v>
          </cell>
          <cell r="T1027">
            <v>0</v>
          </cell>
          <cell r="U1027">
            <v>148500</v>
          </cell>
          <cell r="V1027">
            <v>60108.740000000005</v>
          </cell>
          <cell r="W1027">
            <v>0</v>
          </cell>
          <cell r="X1027">
            <v>776380</v>
          </cell>
          <cell r="Y1027">
            <v>303000</v>
          </cell>
          <cell r="AB1027">
            <v>1558038</v>
          </cell>
        </row>
        <row r="1028">
          <cell r="B1028" t="str">
            <v>45102504511000877Systems Develop -N1425301200104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225000</v>
          </cell>
          <cell r="T1028">
            <v>0</v>
          </cell>
          <cell r="U1028">
            <v>0</v>
          </cell>
          <cell r="V1028">
            <v>0</v>
          </cell>
          <cell r="W1028">
            <v>225000</v>
          </cell>
          <cell r="X1028">
            <v>0</v>
          </cell>
          <cell r="Y1028">
            <v>0</v>
          </cell>
          <cell r="AB1028">
            <v>589550</v>
          </cell>
        </row>
        <row r="1029">
          <cell r="B1029" t="str">
            <v>45102504511000877Network Service-N422214200104</v>
          </cell>
          <cell r="N1029">
            <v>0</v>
          </cell>
          <cell r="O1029">
            <v>0</v>
          </cell>
          <cell r="P1029">
            <v>0</v>
          </cell>
          <cell r="Q1029">
            <v>52000</v>
          </cell>
          <cell r="R1029">
            <v>13000</v>
          </cell>
          <cell r="S1029">
            <v>13000</v>
          </cell>
          <cell r="T1029">
            <v>13000</v>
          </cell>
          <cell r="U1029">
            <v>13000</v>
          </cell>
          <cell r="V1029">
            <v>13000</v>
          </cell>
          <cell r="W1029">
            <v>13000</v>
          </cell>
          <cell r="X1029">
            <v>13000</v>
          </cell>
          <cell r="Y1029">
            <v>13000</v>
          </cell>
          <cell r="AB1029">
            <v>156000</v>
          </cell>
        </row>
        <row r="1030">
          <cell r="B1030" t="str">
            <v>45102504511000878Systems Develop-NC493140300105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420000</v>
          </cell>
          <cell r="T1030">
            <v>0</v>
          </cell>
          <cell r="U1030">
            <v>0</v>
          </cell>
          <cell r="V1030">
            <v>198315</v>
          </cell>
          <cell r="W1030">
            <v>250000</v>
          </cell>
          <cell r="X1030">
            <v>220000</v>
          </cell>
          <cell r="Y1030">
            <v>0</v>
          </cell>
          <cell r="AB1030">
            <v>2788315</v>
          </cell>
        </row>
        <row r="1031">
          <cell r="B1031" t="str">
            <v>45102504511000878System Licenses-N425252200104</v>
          </cell>
          <cell r="N1031">
            <v>0</v>
          </cell>
          <cell r="O1031">
            <v>0</v>
          </cell>
          <cell r="P1031">
            <v>0</v>
          </cell>
          <cell r="Q1031">
            <v>156400</v>
          </cell>
          <cell r="R1031">
            <v>40000</v>
          </cell>
          <cell r="S1031">
            <v>0</v>
          </cell>
          <cell r="T1031">
            <v>685600</v>
          </cell>
          <cell r="U1031">
            <v>66000</v>
          </cell>
          <cell r="V1031">
            <v>174800</v>
          </cell>
          <cell r="W1031">
            <v>176170</v>
          </cell>
          <cell r="X1031">
            <v>1029488</v>
          </cell>
          <cell r="Y1031">
            <v>0</v>
          </cell>
          <cell r="AB1031">
            <v>2028458</v>
          </cell>
        </row>
        <row r="1032">
          <cell r="B1032" t="str">
            <v>45102504511001407Laptop  Desktop-NC491320300105</v>
          </cell>
          <cell r="N1032">
            <v>0</v>
          </cell>
          <cell r="O1032">
            <v>0</v>
          </cell>
          <cell r="P1032">
            <v>0</v>
          </cell>
          <cell r="Q1032">
            <v>2546100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AB1032">
            <v>4645048</v>
          </cell>
        </row>
        <row r="1033">
          <cell r="B1033" t="str">
            <v>45102504511001407NetworkHardware-NC491356300105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1450000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AB1033">
            <v>990000</v>
          </cell>
        </row>
        <row r="1034">
          <cell r="B1034" t="str">
            <v>45102504511001407Peripherals-NC491320300105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550000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AB1034">
            <v>263765</v>
          </cell>
        </row>
        <row r="1035">
          <cell r="B1035" t="str">
            <v>45102504511001407EndUser Software-N422911200104</v>
          </cell>
          <cell r="N1035">
            <v>0</v>
          </cell>
          <cell r="O1035">
            <v>0</v>
          </cell>
          <cell r="P1035">
            <v>0</v>
          </cell>
          <cell r="Q1035">
            <v>298927</v>
          </cell>
          <cell r="R1035">
            <v>1650987.47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1929724</v>
          </cell>
          <cell r="X1035">
            <v>0</v>
          </cell>
          <cell r="Y1035">
            <v>0</v>
          </cell>
          <cell r="AB1035">
            <v>4390228.47</v>
          </cell>
        </row>
        <row r="1036">
          <cell r="B1036" t="str">
            <v>45102504511001407System Maintain-N1422212200104</v>
          </cell>
          <cell r="N1036">
            <v>0</v>
          </cell>
          <cell r="O1036">
            <v>0</v>
          </cell>
          <cell r="P1036">
            <v>0</v>
          </cell>
          <cell r="Q1036">
            <v>68000</v>
          </cell>
          <cell r="R1036">
            <v>0</v>
          </cell>
          <cell r="S1036">
            <v>68000</v>
          </cell>
          <cell r="T1036">
            <v>0</v>
          </cell>
          <cell r="U1036">
            <v>0</v>
          </cell>
          <cell r="V1036">
            <v>68000</v>
          </cell>
          <cell r="W1036">
            <v>0</v>
          </cell>
          <cell r="X1036">
            <v>0</v>
          </cell>
          <cell r="Y1036">
            <v>68000</v>
          </cell>
          <cell r="AB1036">
            <v>272000</v>
          </cell>
        </row>
        <row r="1037">
          <cell r="B1037" t="str">
            <v>45102504511001407Managed Service-N422212200104</v>
          </cell>
          <cell r="N1037">
            <v>0</v>
          </cell>
          <cell r="O1037">
            <v>0</v>
          </cell>
          <cell r="P1037">
            <v>0</v>
          </cell>
          <cell r="Q1037">
            <v>24750</v>
          </cell>
          <cell r="R1037">
            <v>0</v>
          </cell>
          <cell r="S1037">
            <v>24750</v>
          </cell>
          <cell r="T1037">
            <v>0</v>
          </cell>
          <cell r="U1037">
            <v>0</v>
          </cell>
          <cell r="V1037">
            <v>24750</v>
          </cell>
          <cell r="W1037">
            <v>0</v>
          </cell>
          <cell r="X1037">
            <v>0</v>
          </cell>
          <cell r="Y1037">
            <v>24750</v>
          </cell>
          <cell r="AB1037">
            <v>99000</v>
          </cell>
        </row>
        <row r="1038">
          <cell r="B1038" t="str">
            <v>45102504511001408NetworkHardware-NC491356300105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1000000</v>
          </cell>
          <cell r="U1038">
            <v>100000</v>
          </cell>
          <cell r="V1038">
            <v>0</v>
          </cell>
          <cell r="W1038">
            <v>2800000</v>
          </cell>
          <cell r="X1038">
            <v>0</v>
          </cell>
          <cell r="Y1038">
            <v>0</v>
          </cell>
          <cell r="AB1038">
            <v>4976483</v>
          </cell>
        </row>
        <row r="1039">
          <cell r="B1039" t="str">
            <v>45102504511001408Network Service-NC491356300105</v>
          </cell>
          <cell r="N1039">
            <v>0</v>
          </cell>
          <cell r="O1039">
            <v>0</v>
          </cell>
          <cell r="P1039">
            <v>0</v>
          </cell>
          <cell r="Q1039">
            <v>120000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AB1039">
            <v>120000</v>
          </cell>
        </row>
        <row r="1040">
          <cell r="B1040" t="str">
            <v>45102504511001408Cyber Security-NC493150300105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76483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AB1040">
            <v>0</v>
          </cell>
        </row>
        <row r="1041">
          <cell r="B1041" t="str">
            <v>45102504511001408Cloud Services-N422218200104</v>
          </cell>
          <cell r="N1041">
            <v>0</v>
          </cell>
          <cell r="O1041">
            <v>0</v>
          </cell>
          <cell r="P1041">
            <v>0</v>
          </cell>
          <cell r="Q1041">
            <v>4743336</v>
          </cell>
          <cell r="R1041">
            <v>1185834</v>
          </cell>
          <cell r="S1041">
            <v>1185834</v>
          </cell>
          <cell r="T1041">
            <v>1185834</v>
          </cell>
          <cell r="U1041">
            <v>1185834</v>
          </cell>
          <cell r="V1041">
            <v>1185834</v>
          </cell>
          <cell r="W1041">
            <v>1185834</v>
          </cell>
          <cell r="X1041">
            <v>1185834</v>
          </cell>
          <cell r="Y1041">
            <v>1185834</v>
          </cell>
          <cell r="AB1041">
            <v>15192866</v>
          </cell>
        </row>
        <row r="1042">
          <cell r="B1042" t="str">
            <v>45102504511001408System Licenses-N425252200104</v>
          </cell>
          <cell r="N1042">
            <v>0</v>
          </cell>
          <cell r="O1042">
            <v>0</v>
          </cell>
          <cell r="P1042">
            <v>2126929.06</v>
          </cell>
          <cell r="Q1042">
            <v>339737.25</v>
          </cell>
          <cell r="R1042">
            <v>299150</v>
          </cell>
          <cell r="S1042">
            <v>28400</v>
          </cell>
          <cell r="T1042">
            <v>28400</v>
          </cell>
          <cell r="U1042">
            <v>608400</v>
          </cell>
          <cell r="V1042">
            <v>9066822</v>
          </cell>
          <cell r="W1042">
            <v>56400</v>
          </cell>
          <cell r="X1042">
            <v>28400</v>
          </cell>
          <cell r="Y1042">
            <v>28400</v>
          </cell>
          <cell r="AB1042">
            <v>14028675.310000001</v>
          </cell>
        </row>
        <row r="1043">
          <cell r="B1043" t="str">
            <v>45102504511001408Managed Service-N422212200104</v>
          </cell>
          <cell r="N1043">
            <v>0</v>
          </cell>
          <cell r="O1043">
            <v>0</v>
          </cell>
          <cell r="P1043">
            <v>0</v>
          </cell>
          <cell r="Q1043">
            <v>2952582.3333333335</v>
          </cell>
          <cell r="R1043">
            <v>738145.66666666663</v>
          </cell>
          <cell r="S1043">
            <v>738145.66666666663</v>
          </cell>
          <cell r="T1043">
            <v>738145.66666666663</v>
          </cell>
          <cell r="U1043">
            <v>738145.66666666663</v>
          </cell>
          <cell r="V1043">
            <v>738145.66666666663</v>
          </cell>
          <cell r="W1043">
            <v>738145.66666666663</v>
          </cell>
          <cell r="X1043">
            <v>738145.66666666663</v>
          </cell>
          <cell r="Y1043">
            <v>738145.66666666663</v>
          </cell>
          <cell r="AB1043">
            <v>8857747.6666666679</v>
          </cell>
        </row>
        <row r="1044">
          <cell r="B1044" t="str">
            <v>45102504511001408System Maintain-N1422212200104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42000</v>
          </cell>
          <cell r="W1044">
            <v>0</v>
          </cell>
          <cell r="X1044">
            <v>0</v>
          </cell>
          <cell r="Y1044">
            <v>0</v>
          </cell>
          <cell r="AB1044">
            <v>42000</v>
          </cell>
        </row>
        <row r="1045">
          <cell r="B1045" t="str">
            <v>45102504511001409Managed Service-N422212200104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500000</v>
          </cell>
          <cell r="T1045">
            <v>0</v>
          </cell>
          <cell r="U1045">
            <v>500000</v>
          </cell>
          <cell r="V1045">
            <v>0</v>
          </cell>
          <cell r="W1045">
            <v>0</v>
          </cell>
          <cell r="X1045">
            <v>500000</v>
          </cell>
          <cell r="Y1045">
            <v>0</v>
          </cell>
          <cell r="AB1045">
            <v>0</v>
          </cell>
        </row>
        <row r="1046">
          <cell r="B1046" t="str">
            <v>45102504511001409System Licenses-N425252200104</v>
          </cell>
          <cell r="N1046">
            <v>0</v>
          </cell>
          <cell r="O1046">
            <v>0</v>
          </cell>
          <cell r="P1046">
            <v>0</v>
          </cell>
          <cell r="Q1046">
            <v>5000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AB1046">
            <v>17628</v>
          </cell>
        </row>
        <row r="1047">
          <cell r="B1047" t="str">
            <v>45102504511001604Systems Develop-NC493140300105</v>
          </cell>
          <cell r="N1047">
            <v>0</v>
          </cell>
          <cell r="O1047">
            <v>0</v>
          </cell>
          <cell r="P1047">
            <v>0</v>
          </cell>
          <cell r="Q1047">
            <v>3000000</v>
          </cell>
          <cell r="R1047">
            <v>1000000</v>
          </cell>
          <cell r="S1047">
            <v>1000000</v>
          </cell>
          <cell r="T1047">
            <v>1000000</v>
          </cell>
          <cell r="U1047">
            <v>1500000</v>
          </cell>
          <cell r="V1047">
            <v>2500000</v>
          </cell>
          <cell r="W1047">
            <v>1500000</v>
          </cell>
          <cell r="X1047">
            <v>1500000</v>
          </cell>
          <cell r="Y1047">
            <v>1000000</v>
          </cell>
          <cell r="AB1047">
            <v>4391944</v>
          </cell>
        </row>
        <row r="1048">
          <cell r="B1048" t="str">
            <v>45102504511001604System Maintain-N422212200104</v>
          </cell>
          <cell r="N1048">
            <v>0</v>
          </cell>
          <cell r="O1048">
            <v>0</v>
          </cell>
          <cell r="P1048">
            <v>0</v>
          </cell>
          <cell r="Q1048">
            <v>1500000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500000</v>
          </cell>
          <cell r="W1048">
            <v>2000000</v>
          </cell>
          <cell r="X1048">
            <v>2000000</v>
          </cell>
          <cell r="Y1048">
            <v>500000</v>
          </cell>
          <cell r="AB1048">
            <v>0</v>
          </cell>
        </row>
        <row r="1049">
          <cell r="B1049" t="str">
            <v>45102504511001604Systems Develop-N425301200104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500000</v>
          </cell>
          <cell r="W1049">
            <v>500000</v>
          </cell>
          <cell r="X1049">
            <v>500000</v>
          </cell>
          <cell r="Y1049">
            <v>500000</v>
          </cell>
          <cell r="AB1049">
            <v>6583475</v>
          </cell>
        </row>
        <row r="1050">
          <cell r="B1050" t="str">
            <v>45155004511000810Freelancers-N424521200104</v>
          </cell>
          <cell r="N1050">
            <v>189500</v>
          </cell>
          <cell r="O1050">
            <v>111416.65999999997</v>
          </cell>
          <cell r="P1050">
            <v>0</v>
          </cell>
          <cell r="Q1050">
            <v>560874</v>
          </cell>
          <cell r="R1050">
            <v>254500</v>
          </cell>
          <cell r="S1050">
            <v>254500</v>
          </cell>
          <cell r="T1050">
            <v>254500</v>
          </cell>
          <cell r="U1050">
            <v>254500</v>
          </cell>
          <cell r="V1050">
            <v>254500</v>
          </cell>
          <cell r="W1050">
            <v>254500</v>
          </cell>
          <cell r="X1050">
            <v>279500</v>
          </cell>
          <cell r="Y1050">
            <v>280477</v>
          </cell>
          <cell r="AB1050">
            <v>1973104.6600000001</v>
          </cell>
        </row>
        <row r="1051">
          <cell r="B1051" t="str">
            <v>45150104511000826Freelancers-N424521200104</v>
          </cell>
          <cell r="N1051">
            <v>0</v>
          </cell>
          <cell r="O1051">
            <v>502000</v>
          </cell>
          <cell r="P1051">
            <v>23000</v>
          </cell>
          <cell r="Q1051">
            <v>245000</v>
          </cell>
          <cell r="R1051">
            <v>230741.93</v>
          </cell>
          <cell r="S1051">
            <v>200000</v>
          </cell>
          <cell r="T1051">
            <v>200000</v>
          </cell>
          <cell r="U1051">
            <v>142903.22580645161</v>
          </cell>
          <cell r="V1051">
            <v>126666.66666666667</v>
          </cell>
          <cell r="W1051">
            <v>103548.3870967742</v>
          </cell>
          <cell r="X1051">
            <v>70000</v>
          </cell>
          <cell r="Y1051">
            <v>70000</v>
          </cell>
          <cell r="AB1051">
            <v>2858860.2095698928</v>
          </cell>
        </row>
        <row r="1052">
          <cell r="B1052" t="str">
            <v>45150104511000826Mission &amp; Travel-N423821200104</v>
          </cell>
          <cell r="N1052">
            <v>0</v>
          </cell>
          <cell r="O1052">
            <v>0</v>
          </cell>
          <cell r="P1052">
            <v>36750</v>
          </cell>
          <cell r="Q1052">
            <v>0</v>
          </cell>
          <cell r="R1052">
            <v>122750</v>
          </cell>
          <cell r="S1052">
            <v>0</v>
          </cell>
          <cell r="T1052">
            <v>53200</v>
          </cell>
          <cell r="U1052">
            <v>0</v>
          </cell>
          <cell r="V1052">
            <v>80000</v>
          </cell>
          <cell r="W1052">
            <v>0</v>
          </cell>
          <cell r="X1052">
            <v>82500</v>
          </cell>
          <cell r="Y1052">
            <v>374800</v>
          </cell>
          <cell r="AB1052">
            <v>750000</v>
          </cell>
        </row>
        <row r="1053">
          <cell r="B1053" t="str">
            <v>45155004511000810Strategy Advice-N421123200104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400000</v>
          </cell>
          <cell r="S1053">
            <v>0</v>
          </cell>
          <cell r="T1053">
            <v>0</v>
          </cell>
          <cell r="U1053">
            <v>0</v>
          </cell>
          <cell r="V1053">
            <v>400000</v>
          </cell>
          <cell r="W1053">
            <v>0</v>
          </cell>
          <cell r="X1053">
            <v>400000</v>
          </cell>
          <cell r="Y1053">
            <v>0</v>
          </cell>
          <cell r="AB1053">
            <v>1340015</v>
          </cell>
        </row>
        <row r="1054">
          <cell r="B1054" t="str">
            <v>45155004511000810Admin Expenses-N421125200104</v>
          </cell>
          <cell r="N1054">
            <v>0</v>
          </cell>
          <cell r="O1054">
            <v>0</v>
          </cell>
          <cell r="P1054">
            <v>0</v>
          </cell>
          <cell r="Q1054">
            <v>77778</v>
          </cell>
          <cell r="R1054">
            <v>75000</v>
          </cell>
          <cell r="S1054">
            <v>75000</v>
          </cell>
          <cell r="T1054">
            <v>100000</v>
          </cell>
          <cell r="U1054">
            <v>100000</v>
          </cell>
          <cell r="V1054">
            <v>200000</v>
          </cell>
          <cell r="W1054">
            <v>200000</v>
          </cell>
          <cell r="X1054">
            <v>100000</v>
          </cell>
          <cell r="Y1054">
            <v>35649</v>
          </cell>
          <cell r="AB1054">
            <v>1263427</v>
          </cell>
        </row>
        <row r="1055">
          <cell r="B1055" t="str">
            <v>45150104511000972Strategy Advice-N421123200104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392688</v>
          </cell>
          <cell r="V1055">
            <v>0</v>
          </cell>
          <cell r="W1055">
            <v>0</v>
          </cell>
          <cell r="X1055">
            <v>1570755</v>
          </cell>
          <cell r="Y1055">
            <v>1963446</v>
          </cell>
          <cell r="AB1055">
            <v>2215889</v>
          </cell>
        </row>
        <row r="1056">
          <cell r="B1056" t="str">
            <v>45155004511001119Event Management-N422401200104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1267351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AB1056">
            <v>795297</v>
          </cell>
        </row>
        <row r="1057">
          <cell r="B1057" t="str">
            <v>45150104511001070Hospitality-N424761200104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1000000</v>
          </cell>
          <cell r="AB1057">
            <v>1000000</v>
          </cell>
        </row>
        <row r="1058">
          <cell r="B1058" t="str">
            <v>45150104511001078Hospitality-N424761200104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80000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60000</v>
          </cell>
          <cell r="AB1058">
            <v>140000</v>
          </cell>
        </row>
        <row r="1059">
          <cell r="B1059" t="str">
            <v>45150104511001082Activation&amp;Prog-N422401200104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150000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AB1059">
            <v>150000</v>
          </cell>
        </row>
        <row r="1060">
          <cell r="B1060" t="str">
            <v>45150104511001083Entertainment-N422401200104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30000</v>
          </cell>
          <cell r="AB1060">
            <v>30000</v>
          </cell>
        </row>
        <row r="1061">
          <cell r="B1061" t="str">
            <v>45155004511001136Event Management-N422401200104</v>
          </cell>
          <cell r="N1061">
            <v>0</v>
          </cell>
          <cell r="O1061">
            <v>0</v>
          </cell>
          <cell r="P1061">
            <v>88324364</v>
          </cell>
          <cell r="Q1061">
            <v>0</v>
          </cell>
          <cell r="R1061">
            <v>809100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3463923.23</v>
          </cell>
          <cell r="X1061">
            <v>0</v>
          </cell>
          <cell r="Y1061">
            <v>3666731.3999999901</v>
          </cell>
          <cell r="AB1061">
            <v>96264118.629999995</v>
          </cell>
        </row>
        <row r="1062">
          <cell r="B1062" t="str">
            <v>45150104511001134ManagementAdvice-N424521200104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350000</v>
          </cell>
          <cell r="T1062">
            <v>350000</v>
          </cell>
          <cell r="U1062">
            <v>550000</v>
          </cell>
          <cell r="V1062">
            <v>0</v>
          </cell>
          <cell r="W1062">
            <v>0</v>
          </cell>
          <cell r="X1062">
            <v>0</v>
          </cell>
          <cell r="Y1062">
            <v>550000</v>
          </cell>
          <cell r="AB1062">
            <v>1800000</v>
          </cell>
        </row>
        <row r="1063">
          <cell r="B1063" t="str">
            <v>45150104511001134Mission &amp; Travel-N1423821200104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93610</v>
          </cell>
          <cell r="Y1063">
            <v>76390</v>
          </cell>
          <cell r="AB1063">
            <v>170000</v>
          </cell>
        </row>
        <row r="1064">
          <cell r="B1064" t="str">
            <v>45150104511001134Hospitality-N1424761200104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40000</v>
          </cell>
          <cell r="X1064">
            <v>0</v>
          </cell>
          <cell r="Y1064">
            <v>40000</v>
          </cell>
          <cell r="AB1064">
            <v>80000</v>
          </cell>
        </row>
        <row r="1065">
          <cell r="B1065" t="str">
            <v>45150104511001134Admin Expenses-N3421125200104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5000</v>
          </cell>
          <cell r="Y1065">
            <v>15000</v>
          </cell>
          <cell r="AB1065">
            <v>20000</v>
          </cell>
        </row>
        <row r="1066">
          <cell r="B1066" t="str">
            <v>45150104511001194Licenses Fees-N424131200104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158000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AB1066">
            <v>164000</v>
          </cell>
        </row>
        <row r="1067">
          <cell r="B1067" t="str">
            <v>45150104511001195Strategy Advice-N421123200104</v>
          </cell>
          <cell r="N1067">
            <v>0</v>
          </cell>
          <cell r="O1067">
            <v>0</v>
          </cell>
          <cell r="P1067">
            <v>0</v>
          </cell>
          <cell r="Q1067">
            <v>72763.199999999997</v>
          </cell>
          <cell r="R1067">
            <v>36381.599999999999</v>
          </cell>
          <cell r="S1067">
            <v>36381.599999999999</v>
          </cell>
          <cell r="T1067">
            <v>56611.6</v>
          </cell>
          <cell r="U1067">
            <v>36381.599999999999</v>
          </cell>
          <cell r="V1067">
            <v>36381.599999999999</v>
          </cell>
          <cell r="W1067">
            <v>36381.599999999999</v>
          </cell>
          <cell r="X1067">
            <v>36381.599999999999</v>
          </cell>
          <cell r="Y1067">
            <v>137423.6</v>
          </cell>
          <cell r="AB1067">
            <v>485088</v>
          </cell>
        </row>
        <row r="1068">
          <cell r="B1068" t="str">
            <v>45150104511001256Licenses Fees-N424131200104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155000</v>
          </cell>
          <cell r="W1068">
            <v>0</v>
          </cell>
          <cell r="X1068">
            <v>0</v>
          </cell>
          <cell r="Y1068">
            <v>0</v>
          </cell>
          <cell r="AB1068">
            <v>0</v>
          </cell>
        </row>
        <row r="1069">
          <cell r="B1069" t="str">
            <v>45150104511001265Licenses Fees-N424131200104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35600</v>
          </cell>
          <cell r="AB1069">
            <v>35600</v>
          </cell>
        </row>
        <row r="1070">
          <cell r="B1070" t="str">
            <v>45150104511001399Activation&amp;Prog-N422401200104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80000</v>
          </cell>
          <cell r="U1070">
            <v>0</v>
          </cell>
          <cell r="V1070">
            <v>0</v>
          </cell>
          <cell r="W1070">
            <v>364030</v>
          </cell>
          <cell r="X1070">
            <v>0</v>
          </cell>
          <cell r="Y1070">
            <v>364030</v>
          </cell>
          <cell r="AB1070">
            <v>1100000</v>
          </cell>
        </row>
        <row r="1071">
          <cell r="B1071" t="str">
            <v>45150204511001404ManagementAdvice-N424521200104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581574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48950.333333333336</v>
          </cell>
          <cell r="X1071">
            <v>48950.333333333336</v>
          </cell>
          <cell r="Y1071">
            <v>48950.333333333336</v>
          </cell>
          <cell r="AB1071">
            <v>493425.00000000012</v>
          </cell>
        </row>
        <row r="1072">
          <cell r="B1072" t="str">
            <v>45150204511001404Venue&amp;Room Rent-N422401200104</v>
          </cell>
          <cell r="N1072">
            <v>0</v>
          </cell>
          <cell r="O1072">
            <v>0</v>
          </cell>
          <cell r="P1072">
            <v>0</v>
          </cell>
          <cell r="Q1072">
            <v>32575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AB1072">
            <v>32575</v>
          </cell>
        </row>
        <row r="1073">
          <cell r="B1073" t="str">
            <v>45150204511001404Admin Expenses-N421125200104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3000</v>
          </cell>
          <cell r="AB1073">
            <v>3000</v>
          </cell>
        </row>
        <row r="1074">
          <cell r="B1074" t="str">
            <v>45150204511001404Mission &amp; Travel-N423821200104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600</v>
          </cell>
          <cell r="Y1074">
            <v>600</v>
          </cell>
          <cell r="AB1074">
            <v>1200</v>
          </cell>
        </row>
        <row r="1075">
          <cell r="B1075" t="str">
            <v>45150204511001405Event Management-N422401200104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400000</v>
          </cell>
          <cell r="W1075">
            <v>673000</v>
          </cell>
          <cell r="X1075">
            <v>0</v>
          </cell>
          <cell r="Y1075">
            <v>438250</v>
          </cell>
          <cell r="AB1075">
            <v>1691250</v>
          </cell>
        </row>
        <row r="1076">
          <cell r="B1076" t="str">
            <v>45150204511001405Freelancers-N424521200104</v>
          </cell>
          <cell r="N1076">
            <v>0</v>
          </cell>
          <cell r="O1076">
            <v>0</v>
          </cell>
          <cell r="P1076">
            <v>120000</v>
          </cell>
          <cell r="Q1076">
            <v>0</v>
          </cell>
          <cell r="R1076">
            <v>49000</v>
          </cell>
          <cell r="S1076">
            <v>77000</v>
          </cell>
          <cell r="T1076">
            <v>77000</v>
          </cell>
          <cell r="U1076">
            <v>77000</v>
          </cell>
          <cell r="V1076">
            <v>77000</v>
          </cell>
          <cell r="W1076">
            <v>32000</v>
          </cell>
          <cell r="X1076">
            <v>32000</v>
          </cell>
          <cell r="Y1076">
            <v>32000</v>
          </cell>
          <cell r="AB1076">
            <v>639000</v>
          </cell>
        </row>
        <row r="1077">
          <cell r="B1077" t="str">
            <v>45150204511001405Venue&amp;Room Rent-N422401200104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80000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AB1077">
            <v>80000</v>
          </cell>
        </row>
        <row r="1078">
          <cell r="B1078" t="str">
            <v>45150204511001405Mission &amp; Travel-N423821200104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8000</v>
          </cell>
          <cell r="S1078">
            <v>8000</v>
          </cell>
          <cell r="T1078">
            <v>0</v>
          </cell>
          <cell r="U1078">
            <v>0</v>
          </cell>
          <cell r="V1078">
            <v>0</v>
          </cell>
          <cell r="W1078">
            <v>8000</v>
          </cell>
          <cell r="X1078">
            <v>8000</v>
          </cell>
          <cell r="Y1078">
            <v>0</v>
          </cell>
          <cell r="AB1078">
            <v>87000</v>
          </cell>
        </row>
        <row r="1079">
          <cell r="B1079" t="str">
            <v>45150204511001405Admin Expenses-N421125200104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5000</v>
          </cell>
          <cell r="V1079">
            <v>0</v>
          </cell>
          <cell r="W1079">
            <v>0</v>
          </cell>
          <cell r="X1079">
            <v>0</v>
          </cell>
          <cell r="Y1079">
            <v>5000</v>
          </cell>
          <cell r="AB1079">
            <v>10000</v>
          </cell>
        </row>
        <row r="1080">
          <cell r="B1080" t="str">
            <v>45150204511001406Campaign Mgmnt-N422511200104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45000</v>
          </cell>
          <cell r="V1080">
            <v>0</v>
          </cell>
          <cell r="W1080">
            <v>45000</v>
          </cell>
          <cell r="X1080">
            <v>0</v>
          </cell>
          <cell r="Y1080">
            <v>60000</v>
          </cell>
          <cell r="AB1080">
            <v>150000</v>
          </cell>
        </row>
        <row r="1081">
          <cell r="B1081" t="str">
            <v>45151004511000572Trade Partners-L424251201931</v>
          </cell>
          <cell r="N1081">
            <v>0</v>
          </cell>
          <cell r="O1081">
            <v>0</v>
          </cell>
          <cell r="P1081">
            <v>0</v>
          </cell>
          <cell r="Q1081">
            <v>2352600</v>
          </cell>
          <cell r="R1081">
            <v>570451</v>
          </cell>
          <cell r="S1081">
            <v>0</v>
          </cell>
          <cell r="T1081">
            <v>210406</v>
          </cell>
          <cell r="U1081">
            <v>0</v>
          </cell>
          <cell r="V1081">
            <v>0</v>
          </cell>
          <cell r="W1081">
            <v>18086834</v>
          </cell>
          <cell r="X1081">
            <v>0</v>
          </cell>
          <cell r="Y1081">
            <v>0</v>
          </cell>
          <cell r="AB1081">
            <v>19987231</v>
          </cell>
        </row>
        <row r="1082">
          <cell r="B1082" t="str">
            <v>45151004511000572Admin Expenses-N1421125200104</v>
          </cell>
          <cell r="N1082">
            <v>0</v>
          </cell>
          <cell r="O1082">
            <v>0</v>
          </cell>
          <cell r="P1082">
            <v>0</v>
          </cell>
          <cell r="Q1082">
            <v>20000</v>
          </cell>
          <cell r="R1082">
            <v>200000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250000</v>
          </cell>
          <cell r="X1082">
            <v>0</v>
          </cell>
          <cell r="Y1082">
            <v>0</v>
          </cell>
          <cell r="AB1082">
            <v>470000</v>
          </cell>
        </row>
        <row r="1083">
          <cell r="B1083" t="str">
            <v>45151004511000572Trade Promotion-N424251200104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44000</v>
          </cell>
          <cell r="S1083">
            <v>0</v>
          </cell>
          <cell r="T1083">
            <v>0</v>
          </cell>
          <cell r="U1083">
            <v>44000</v>
          </cell>
          <cell r="V1083">
            <v>0</v>
          </cell>
          <cell r="W1083">
            <v>40000</v>
          </cell>
          <cell r="X1083">
            <v>0</v>
          </cell>
          <cell r="Y1083">
            <v>0</v>
          </cell>
          <cell r="AB1083">
            <v>128000</v>
          </cell>
        </row>
        <row r="1084">
          <cell r="B1084" t="str">
            <v>45151004511000575ManagementAdvice-N1424521200104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1836500</v>
          </cell>
          <cell r="W1084">
            <v>804000</v>
          </cell>
          <cell r="X1084">
            <v>0</v>
          </cell>
          <cell r="Y1084">
            <v>0</v>
          </cell>
          <cell r="AB1084">
            <v>2640500</v>
          </cell>
        </row>
        <row r="1085">
          <cell r="B1085" t="str">
            <v>45151004511000575Mission &amp; Travel-N423821200104</v>
          </cell>
          <cell r="N1085">
            <v>0</v>
          </cell>
          <cell r="O1085">
            <v>0</v>
          </cell>
          <cell r="P1085">
            <v>10000</v>
          </cell>
          <cell r="Q1085">
            <v>0</v>
          </cell>
          <cell r="R1085">
            <v>205300</v>
          </cell>
          <cell r="S1085">
            <v>54500</v>
          </cell>
          <cell r="T1085">
            <v>187500</v>
          </cell>
          <cell r="U1085">
            <v>64500</v>
          </cell>
          <cell r="V1085">
            <v>527938</v>
          </cell>
          <cell r="W1085">
            <v>162500</v>
          </cell>
          <cell r="X1085">
            <v>21500</v>
          </cell>
          <cell r="Y1085">
            <v>0</v>
          </cell>
          <cell r="AB1085">
            <v>1233738</v>
          </cell>
        </row>
        <row r="1086">
          <cell r="B1086" t="str">
            <v>45151004511000575Freelancers-N424521200104</v>
          </cell>
          <cell r="N1086">
            <v>0</v>
          </cell>
          <cell r="O1086">
            <v>0</v>
          </cell>
          <cell r="P1086">
            <v>180850</v>
          </cell>
          <cell r="Q1086">
            <v>5575</v>
          </cell>
          <cell r="R1086">
            <v>20000</v>
          </cell>
          <cell r="S1086">
            <v>20000</v>
          </cell>
          <cell r="T1086">
            <v>20000</v>
          </cell>
          <cell r="U1086">
            <v>20000</v>
          </cell>
          <cell r="V1086">
            <v>20000</v>
          </cell>
          <cell r="W1086">
            <v>20000</v>
          </cell>
          <cell r="X1086">
            <v>20000</v>
          </cell>
          <cell r="Y1086">
            <v>20000</v>
          </cell>
          <cell r="AB1086">
            <v>498360</v>
          </cell>
        </row>
        <row r="1087">
          <cell r="B1087" t="str">
            <v>45151004511000575Trade Promotion-N424251200104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200000</v>
          </cell>
          <cell r="X1087">
            <v>0</v>
          </cell>
          <cell r="Y1087">
            <v>0</v>
          </cell>
          <cell r="AB1087">
            <v>200000</v>
          </cell>
        </row>
        <row r="1088">
          <cell r="B1088" t="str">
            <v>45151004511000575Admin Expenses-N1421125200104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29483</v>
          </cell>
          <cell r="T1088">
            <v>0</v>
          </cell>
          <cell r="U1088">
            <v>74651</v>
          </cell>
          <cell r="V1088">
            <v>0</v>
          </cell>
          <cell r="W1088">
            <v>74650</v>
          </cell>
          <cell r="X1088">
            <v>0</v>
          </cell>
          <cell r="Y1088">
            <v>0</v>
          </cell>
          <cell r="AB1088">
            <v>143849</v>
          </cell>
        </row>
        <row r="1089">
          <cell r="B1089" t="str">
            <v>45151004511001213PRMgmnt E-E Rtnr-N421125200104</v>
          </cell>
          <cell r="N1089">
            <v>0</v>
          </cell>
          <cell r="O1089">
            <v>0</v>
          </cell>
          <cell r="P1089">
            <v>0</v>
          </cell>
          <cell r="Q1089">
            <v>1101600</v>
          </cell>
          <cell r="R1089">
            <v>275400</v>
          </cell>
          <cell r="S1089">
            <v>275400</v>
          </cell>
          <cell r="T1089">
            <v>275400</v>
          </cell>
          <cell r="U1089">
            <v>275400</v>
          </cell>
          <cell r="V1089">
            <v>275400</v>
          </cell>
          <cell r="W1089">
            <v>275400</v>
          </cell>
          <cell r="X1089">
            <v>275400</v>
          </cell>
          <cell r="Y1089">
            <v>275400</v>
          </cell>
          <cell r="AB1089">
            <v>3304800</v>
          </cell>
        </row>
        <row r="1090">
          <cell r="B1090" t="str">
            <v>45151004511001213Trade Promotion-N424251200104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150000</v>
          </cell>
          <cell r="T1090">
            <v>250000</v>
          </cell>
          <cell r="U1090">
            <v>245000</v>
          </cell>
          <cell r="V1090">
            <v>0</v>
          </cell>
          <cell r="W1090">
            <v>1860000</v>
          </cell>
          <cell r="X1090">
            <v>0</v>
          </cell>
          <cell r="Y1090">
            <v>490000</v>
          </cell>
          <cell r="AB1090">
            <v>2995000</v>
          </cell>
        </row>
        <row r="1091">
          <cell r="B1091" t="str">
            <v>45151004511001213Admin Expenses-N1421125200104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525000</v>
          </cell>
          <cell r="T1091">
            <v>810000</v>
          </cell>
          <cell r="U1091">
            <v>0</v>
          </cell>
          <cell r="V1091">
            <v>108000</v>
          </cell>
          <cell r="W1091">
            <v>108000</v>
          </cell>
          <cell r="X1091">
            <v>0</v>
          </cell>
          <cell r="Y1091">
            <v>0</v>
          </cell>
          <cell r="AB1091">
            <v>1001250</v>
          </cell>
        </row>
        <row r="1092">
          <cell r="B1092" t="str">
            <v>45151004511001213Content Partner-N421125200104</v>
          </cell>
          <cell r="N1092">
            <v>0</v>
          </cell>
          <cell r="O1092">
            <v>0</v>
          </cell>
          <cell r="P1092">
            <v>0</v>
          </cell>
          <cell r="Q1092">
            <v>75000</v>
          </cell>
          <cell r="R1092">
            <v>0</v>
          </cell>
          <cell r="S1092">
            <v>1020000</v>
          </cell>
          <cell r="T1092">
            <v>0</v>
          </cell>
          <cell r="U1092">
            <v>0</v>
          </cell>
          <cell r="V1092">
            <v>0</v>
          </cell>
          <cell r="W1092">
            <v>75000</v>
          </cell>
          <cell r="X1092">
            <v>0</v>
          </cell>
          <cell r="Y1092">
            <v>0</v>
          </cell>
          <cell r="AB1092">
            <v>1170000</v>
          </cell>
        </row>
        <row r="1093">
          <cell r="B1093" t="str">
            <v>45151004511001471Trade Partners-L424251201931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1925061</v>
          </cell>
          <cell r="V1093">
            <v>5759600</v>
          </cell>
          <cell r="W1093">
            <v>450000</v>
          </cell>
          <cell r="X1093">
            <v>0</v>
          </cell>
          <cell r="Y1093">
            <v>0</v>
          </cell>
          <cell r="AB1093">
            <v>12700721</v>
          </cell>
        </row>
        <row r="1094">
          <cell r="B1094" t="str">
            <v>45151004511001471Trade Promotion-N424251200104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347500</v>
          </cell>
          <cell r="T1094">
            <v>150000</v>
          </cell>
          <cell r="U1094">
            <v>586500</v>
          </cell>
          <cell r="V1094">
            <v>500000</v>
          </cell>
          <cell r="W1094">
            <v>650000</v>
          </cell>
          <cell r="X1094">
            <v>567000</v>
          </cell>
          <cell r="Y1094">
            <v>0</v>
          </cell>
          <cell r="AB1094">
            <v>2801000</v>
          </cell>
        </row>
        <row r="1095">
          <cell r="B1095" t="str">
            <v>45112504511000708Maintenance-N426212200104</v>
          </cell>
          <cell r="N1095">
            <v>0</v>
          </cell>
          <cell r="O1095">
            <v>0</v>
          </cell>
          <cell r="P1095">
            <v>0</v>
          </cell>
          <cell r="Q1095">
            <v>7423</v>
          </cell>
          <cell r="R1095">
            <v>1856</v>
          </cell>
          <cell r="S1095">
            <v>1856</v>
          </cell>
          <cell r="T1095">
            <v>1856</v>
          </cell>
          <cell r="U1095">
            <v>1856</v>
          </cell>
          <cell r="V1095">
            <v>1856</v>
          </cell>
          <cell r="W1095">
            <v>1856</v>
          </cell>
          <cell r="X1095">
            <v>1856</v>
          </cell>
          <cell r="Y1095">
            <v>1855</v>
          </cell>
          <cell r="AB1095">
            <v>22270</v>
          </cell>
        </row>
        <row r="1096">
          <cell r="B1096" t="str">
            <v>45151004511001471Admin Expenses-N421125200104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140000</v>
          </cell>
          <cell r="S1096">
            <v>0</v>
          </cell>
          <cell r="T1096">
            <v>80000</v>
          </cell>
          <cell r="U1096">
            <v>60000</v>
          </cell>
          <cell r="V1096">
            <v>80000</v>
          </cell>
          <cell r="W1096">
            <v>70000</v>
          </cell>
          <cell r="X1096">
            <v>50000</v>
          </cell>
          <cell r="Y1096">
            <v>0</v>
          </cell>
          <cell r="AB1096">
            <v>480000</v>
          </cell>
        </row>
        <row r="1097">
          <cell r="B1097" t="str">
            <v>45155004511001237IP Events-N422401200104</v>
          </cell>
          <cell r="N1097">
            <v>0</v>
          </cell>
          <cell r="O1097">
            <v>0</v>
          </cell>
          <cell r="P1097">
            <v>7200000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2025000</v>
          </cell>
          <cell r="V1097">
            <v>0</v>
          </cell>
          <cell r="W1097">
            <v>0</v>
          </cell>
          <cell r="X1097">
            <v>5554500</v>
          </cell>
          <cell r="Y1097">
            <v>0</v>
          </cell>
          <cell r="AB1097">
            <v>13729500</v>
          </cell>
        </row>
        <row r="1098">
          <cell r="B1098" t="str">
            <v>45151004511001472Trade Promotion-N424251200104</v>
          </cell>
          <cell r="N1098">
            <v>0</v>
          </cell>
          <cell r="O1098">
            <v>0</v>
          </cell>
          <cell r="P1098">
            <v>158404</v>
          </cell>
          <cell r="Q1098">
            <v>158404</v>
          </cell>
          <cell r="R1098">
            <v>673192</v>
          </cell>
          <cell r="S1098">
            <v>393000</v>
          </cell>
          <cell r="T1098">
            <v>60000</v>
          </cell>
          <cell r="U1098">
            <v>1249400</v>
          </cell>
          <cell r="V1098">
            <v>245000</v>
          </cell>
          <cell r="W1098">
            <v>1345671</v>
          </cell>
          <cell r="X1098">
            <v>0</v>
          </cell>
          <cell r="Y1098">
            <v>0</v>
          </cell>
          <cell r="AB1098">
            <v>4272046</v>
          </cell>
        </row>
        <row r="1099">
          <cell r="B1099" t="str">
            <v>45151004511001472GSA Retainer-N421125200104</v>
          </cell>
          <cell r="N1099">
            <v>0</v>
          </cell>
          <cell r="O1099">
            <v>0</v>
          </cell>
          <cell r="P1099">
            <v>406071.89600000001</v>
          </cell>
          <cell r="Q1099">
            <v>599820.36699999997</v>
          </cell>
          <cell r="R1099">
            <v>266299.23149999999</v>
          </cell>
          <cell r="S1099">
            <v>266299.23149999999</v>
          </cell>
          <cell r="T1099">
            <v>266299.23149999999</v>
          </cell>
          <cell r="U1099">
            <v>266299.23149999999</v>
          </cell>
          <cell r="V1099">
            <v>266299.23149999999</v>
          </cell>
          <cell r="W1099">
            <v>266299.23149999999</v>
          </cell>
          <cell r="X1099">
            <v>266299.23149999999</v>
          </cell>
          <cell r="Y1099">
            <v>615871.91650000017</v>
          </cell>
          <cell r="AB1099">
            <v>3404767</v>
          </cell>
        </row>
        <row r="1100">
          <cell r="B1100" t="str">
            <v>45151004511001472Admin Expenses-N421125200104</v>
          </cell>
          <cell r="N1100">
            <v>0</v>
          </cell>
          <cell r="O1100">
            <v>0</v>
          </cell>
          <cell r="P1100">
            <v>1513.26</v>
          </cell>
          <cell r="Q1100">
            <v>71820.740000000005</v>
          </cell>
          <cell r="R1100">
            <v>50000</v>
          </cell>
          <cell r="S1100">
            <v>100000</v>
          </cell>
          <cell r="T1100">
            <v>33333</v>
          </cell>
          <cell r="U1100">
            <v>90000</v>
          </cell>
          <cell r="V1100">
            <v>55000</v>
          </cell>
          <cell r="W1100">
            <v>33333</v>
          </cell>
          <cell r="X1100">
            <v>50000</v>
          </cell>
          <cell r="Y1100">
            <v>0</v>
          </cell>
          <cell r="AB1100">
            <v>485000</v>
          </cell>
        </row>
        <row r="1101">
          <cell r="B1101" t="str">
            <v>45151004511001473Trade Partners-L424251201931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332797</v>
          </cell>
          <cell r="T1101">
            <v>123413</v>
          </cell>
          <cell r="U1101">
            <v>201600</v>
          </cell>
          <cell r="V1101">
            <v>671800</v>
          </cell>
          <cell r="W1101">
            <v>29380</v>
          </cell>
          <cell r="X1101">
            <v>0</v>
          </cell>
          <cell r="Y1101">
            <v>0</v>
          </cell>
          <cell r="AB1101">
            <v>1358990</v>
          </cell>
        </row>
        <row r="1102">
          <cell r="B1102" t="str">
            <v>45151004511001473Trade Promotion-N424251200104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120000</v>
          </cell>
          <cell r="T1102">
            <v>0</v>
          </cell>
          <cell r="U1102">
            <v>0</v>
          </cell>
          <cell r="V1102">
            <v>140000</v>
          </cell>
          <cell r="W1102">
            <v>910000</v>
          </cell>
          <cell r="X1102">
            <v>110000</v>
          </cell>
          <cell r="Y1102">
            <v>0</v>
          </cell>
          <cell r="AB1102">
            <v>1280000</v>
          </cell>
        </row>
        <row r="1103">
          <cell r="B1103" t="str">
            <v>45151004511001473GSA Retainer-N421125200104</v>
          </cell>
          <cell r="N1103">
            <v>0</v>
          </cell>
          <cell r="O1103">
            <v>0</v>
          </cell>
          <cell r="P1103">
            <v>131593.01999999999</v>
          </cell>
          <cell r="Q1103">
            <v>104807.97912</v>
          </cell>
          <cell r="R1103">
            <v>59100.249779999998</v>
          </cell>
          <cell r="S1103">
            <v>81179.319779999991</v>
          </cell>
          <cell r="T1103">
            <v>59100.249779999998</v>
          </cell>
          <cell r="U1103">
            <v>59100.249779999998</v>
          </cell>
          <cell r="V1103">
            <v>59100.249779999998</v>
          </cell>
          <cell r="W1103">
            <v>59100.249779999998</v>
          </cell>
          <cell r="X1103">
            <v>59100.249779999998</v>
          </cell>
          <cell r="Y1103">
            <v>128639.18242000013</v>
          </cell>
          <cell r="AB1103">
            <v>800821</v>
          </cell>
        </row>
        <row r="1104">
          <cell r="B1104" t="str">
            <v>45151004511001473Admin Expenses-N421125200104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30000</v>
          </cell>
          <cell r="T1104">
            <v>50000</v>
          </cell>
          <cell r="U1104">
            <v>0</v>
          </cell>
          <cell r="V1104">
            <v>35000</v>
          </cell>
          <cell r="W1104">
            <v>130000</v>
          </cell>
          <cell r="X1104">
            <v>0</v>
          </cell>
          <cell r="Y1104">
            <v>0</v>
          </cell>
          <cell r="AB1104">
            <v>245000</v>
          </cell>
        </row>
        <row r="1105">
          <cell r="B1105" t="str">
            <v>45151004511001474Design &amp; Build-N424221200104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5437053.8600000059</v>
          </cell>
          <cell r="S1105">
            <v>0</v>
          </cell>
          <cell r="T1105">
            <v>843650</v>
          </cell>
          <cell r="U1105">
            <v>5975734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AB1105">
            <v>12256437.860000007</v>
          </cell>
        </row>
        <row r="1106">
          <cell r="B1106" t="str">
            <v>45151004511001474Venue&amp;Room Rent-N422401200104</v>
          </cell>
          <cell r="N1106">
            <v>0</v>
          </cell>
          <cell r="O1106">
            <v>0</v>
          </cell>
          <cell r="P1106">
            <v>0</v>
          </cell>
          <cell r="Q1106">
            <v>5130000</v>
          </cell>
          <cell r="R1106">
            <v>0</v>
          </cell>
          <cell r="S1106">
            <v>0</v>
          </cell>
          <cell r="T1106">
            <v>0</v>
          </cell>
          <cell r="U1106">
            <v>2700000</v>
          </cell>
          <cell r="V1106">
            <v>0</v>
          </cell>
          <cell r="W1106">
            <v>0</v>
          </cell>
          <cell r="X1106">
            <v>2560000</v>
          </cell>
          <cell r="Y1106">
            <v>0</v>
          </cell>
          <cell r="AB1106">
            <v>10390000</v>
          </cell>
        </row>
        <row r="1107">
          <cell r="B1107" t="str">
            <v>45151004511001474Hospitality-N424761200104</v>
          </cell>
          <cell r="N1107">
            <v>0</v>
          </cell>
          <cell r="O1107">
            <v>0</v>
          </cell>
          <cell r="P1107">
            <v>0</v>
          </cell>
          <cell r="Q1107">
            <v>200000</v>
          </cell>
          <cell r="R1107">
            <v>590000</v>
          </cell>
          <cell r="S1107">
            <v>0</v>
          </cell>
          <cell r="T1107">
            <v>230000</v>
          </cell>
          <cell r="U1107">
            <v>800000</v>
          </cell>
          <cell r="V1107">
            <v>0</v>
          </cell>
          <cell r="W1107">
            <v>0</v>
          </cell>
          <cell r="X1107">
            <v>600000</v>
          </cell>
          <cell r="Y1107">
            <v>70000</v>
          </cell>
          <cell r="AB1107">
            <v>2373000</v>
          </cell>
        </row>
        <row r="1108">
          <cell r="B1108" t="str">
            <v>45151004511001474Mission &amp; Travel-N423821200104</v>
          </cell>
          <cell r="N1108">
            <v>0</v>
          </cell>
          <cell r="O1108">
            <v>0</v>
          </cell>
          <cell r="P1108">
            <v>101500</v>
          </cell>
          <cell r="Q1108">
            <v>0</v>
          </cell>
          <cell r="R1108">
            <v>370000</v>
          </cell>
          <cell r="S1108">
            <v>92250</v>
          </cell>
          <cell r="T1108">
            <v>150000</v>
          </cell>
          <cell r="U1108">
            <v>141000</v>
          </cell>
          <cell r="V1108">
            <v>0</v>
          </cell>
          <cell r="W1108">
            <v>0</v>
          </cell>
          <cell r="X1108">
            <v>360000</v>
          </cell>
          <cell r="Y1108">
            <v>0</v>
          </cell>
          <cell r="AB1108">
            <v>1214750</v>
          </cell>
        </row>
        <row r="1109">
          <cell r="B1109" t="str">
            <v>45151004511001474Design &amp; Build-L424221201931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1213557.599999994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AB1109">
            <v>1213557.599999994</v>
          </cell>
        </row>
        <row r="1110">
          <cell r="B1110" t="str">
            <v>45151004511001475Trade Partners-L424251201931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1389329.2999999998</v>
          </cell>
          <cell r="T1110">
            <v>2663333</v>
          </cell>
          <cell r="U1110">
            <v>678000</v>
          </cell>
          <cell r="V1110">
            <v>348500</v>
          </cell>
          <cell r="W1110">
            <v>1075000</v>
          </cell>
          <cell r="X1110">
            <v>0</v>
          </cell>
          <cell r="Y1110">
            <v>0</v>
          </cell>
          <cell r="AB1110">
            <v>5958257</v>
          </cell>
        </row>
        <row r="1111">
          <cell r="B1111" t="str">
            <v>45151004511001475Trade Promotion-N424251200104</v>
          </cell>
          <cell r="N1111">
            <v>0</v>
          </cell>
          <cell r="O1111">
            <v>0</v>
          </cell>
          <cell r="P1111">
            <v>0</v>
          </cell>
          <cell r="Q1111">
            <v>320095</v>
          </cell>
          <cell r="R1111">
            <v>968500</v>
          </cell>
          <cell r="S1111">
            <v>90000</v>
          </cell>
          <cell r="T1111">
            <v>924065</v>
          </cell>
          <cell r="U1111">
            <v>225000</v>
          </cell>
          <cell r="V1111">
            <v>20000</v>
          </cell>
          <cell r="W1111">
            <v>301600</v>
          </cell>
          <cell r="X1111">
            <v>425190</v>
          </cell>
          <cell r="Y1111">
            <v>35935</v>
          </cell>
          <cell r="AB1111">
            <v>3310385</v>
          </cell>
        </row>
        <row r="1112">
          <cell r="B1112" t="str">
            <v>45151004511001475GSA Retainer-N421125200104</v>
          </cell>
          <cell r="N1112">
            <v>0</v>
          </cell>
          <cell r="O1112">
            <v>0</v>
          </cell>
          <cell r="P1112">
            <v>467515.08675000002</v>
          </cell>
          <cell r="Q1112">
            <v>283772.54618999991</v>
          </cell>
          <cell r="R1112">
            <v>187821.90823499998</v>
          </cell>
          <cell r="S1112">
            <v>207621.90823499998</v>
          </cell>
          <cell r="T1112">
            <v>187821.90823499998</v>
          </cell>
          <cell r="U1112">
            <v>187821.90823499998</v>
          </cell>
          <cell r="V1112">
            <v>187821.90823499998</v>
          </cell>
          <cell r="W1112">
            <v>187821.90823499998</v>
          </cell>
          <cell r="X1112">
            <v>187821.90823499998</v>
          </cell>
          <cell r="Y1112">
            <v>445031.00941500033</v>
          </cell>
          <cell r="AB1112">
            <v>2530872</v>
          </cell>
        </row>
        <row r="1113">
          <cell r="B1113" t="str">
            <v>45151004511001475Admin Expenses-N421125200104</v>
          </cell>
          <cell r="N1113">
            <v>0</v>
          </cell>
          <cell r="O1113">
            <v>0</v>
          </cell>
          <cell r="P1113">
            <v>0</v>
          </cell>
          <cell r="Q1113">
            <v>82500</v>
          </cell>
          <cell r="R1113">
            <v>50000</v>
          </cell>
          <cell r="S1113">
            <v>27500</v>
          </cell>
          <cell r="T1113">
            <v>125000</v>
          </cell>
          <cell r="U1113">
            <v>25000</v>
          </cell>
          <cell r="V1113">
            <v>77500</v>
          </cell>
          <cell r="W1113">
            <v>60000</v>
          </cell>
          <cell r="X1113">
            <v>27500</v>
          </cell>
          <cell r="Y1113">
            <v>0</v>
          </cell>
          <cell r="AB1113">
            <v>475000</v>
          </cell>
        </row>
        <row r="1114">
          <cell r="B1114" t="str">
            <v>45151004511001476Trade Partners-L424251201931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396800</v>
          </cell>
          <cell r="S1114">
            <v>214400</v>
          </cell>
          <cell r="T1114">
            <v>884315</v>
          </cell>
          <cell r="U1114">
            <v>405900</v>
          </cell>
          <cell r="V1114">
            <v>350000</v>
          </cell>
          <cell r="W1114">
            <v>0</v>
          </cell>
          <cell r="X1114">
            <v>0</v>
          </cell>
          <cell r="Y1114">
            <v>0</v>
          </cell>
          <cell r="AB1114">
            <v>2251415</v>
          </cell>
        </row>
        <row r="1115">
          <cell r="B1115" t="str">
            <v>45151004511001476GSA Retainer-N421125200104</v>
          </cell>
          <cell r="N1115">
            <v>0</v>
          </cell>
          <cell r="O1115">
            <v>0</v>
          </cell>
          <cell r="P1115">
            <v>273161.58999999997</v>
          </cell>
          <cell r="Q1115">
            <v>362853.17562500003</v>
          </cell>
          <cell r="R1115">
            <v>157500.703125</v>
          </cell>
          <cell r="S1115">
            <v>210000.9375</v>
          </cell>
          <cell r="T1115">
            <v>157500.703125</v>
          </cell>
          <cell r="U1115">
            <v>157500.703125</v>
          </cell>
          <cell r="V1115">
            <v>210000.9375</v>
          </cell>
          <cell r="W1115">
            <v>157500.703125</v>
          </cell>
          <cell r="X1115">
            <v>157500.703125</v>
          </cell>
          <cell r="Y1115">
            <v>256497.84375</v>
          </cell>
          <cell r="AB1115">
            <v>2100018</v>
          </cell>
        </row>
        <row r="1116">
          <cell r="B1116" t="str">
            <v>45151004511001476Trade Promotion-N424251200104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76275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AB1116">
            <v>76275</v>
          </cell>
        </row>
        <row r="1117">
          <cell r="B1117" t="str">
            <v>45151004511001476Admin Expenses-N421125200104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10000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AB1117">
            <v>10000</v>
          </cell>
        </row>
        <row r="1118">
          <cell r="B1118" t="str">
            <v>45151004511001477Trade Partners-L424251201931</v>
          </cell>
          <cell r="N1118">
            <v>0</v>
          </cell>
          <cell r="O1118">
            <v>0</v>
          </cell>
          <cell r="P1118">
            <v>351237.89999999997</v>
          </cell>
          <cell r="Q1118">
            <v>0</v>
          </cell>
          <cell r="R1118">
            <v>299761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4020006</v>
          </cell>
          <cell r="X1118">
            <v>0</v>
          </cell>
          <cell r="Y1118">
            <v>0</v>
          </cell>
          <cell r="AB1118">
            <v>4216005</v>
          </cell>
        </row>
        <row r="1119">
          <cell r="B1119" t="str">
            <v>45151004511001477Trade Promotion-N424251200104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50000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662400</v>
          </cell>
          <cell r="X1119">
            <v>0</v>
          </cell>
          <cell r="Y1119">
            <v>0</v>
          </cell>
          <cell r="AB1119">
            <v>50000</v>
          </cell>
        </row>
        <row r="1120">
          <cell r="B1120" t="str">
            <v>45151004511001477Admin Expenses-N421125200104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54000</v>
          </cell>
          <cell r="Y1120">
            <v>0</v>
          </cell>
          <cell r="AB1120">
            <v>54000</v>
          </cell>
        </row>
        <row r="1121">
          <cell r="B1121" t="str">
            <v>45151004511001478Trade Partners-L424251201931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280733</v>
          </cell>
          <cell r="S1121">
            <v>283879</v>
          </cell>
          <cell r="T1121">
            <v>47000</v>
          </cell>
          <cell r="U1121">
            <v>1291434</v>
          </cell>
          <cell r="V1121">
            <v>910602</v>
          </cell>
          <cell r="W1121">
            <v>499561</v>
          </cell>
          <cell r="X1121">
            <v>0</v>
          </cell>
          <cell r="Y1121">
            <v>0</v>
          </cell>
          <cell r="AB1121">
            <v>2535209</v>
          </cell>
        </row>
        <row r="1122">
          <cell r="B1122" t="str">
            <v>45151004511001478GSA Retainer-N421125200104</v>
          </cell>
          <cell r="N1122">
            <v>0</v>
          </cell>
          <cell r="O1122">
            <v>0</v>
          </cell>
          <cell r="P1122">
            <v>0</v>
          </cell>
          <cell r="Q1122">
            <v>1111057.4664799999</v>
          </cell>
          <cell r="R1122">
            <v>235355.62933999998</v>
          </cell>
          <cell r="S1122">
            <v>235355.62933999998</v>
          </cell>
          <cell r="T1122">
            <v>235355.62933999998</v>
          </cell>
          <cell r="U1122">
            <v>235355.62933999998</v>
          </cell>
          <cell r="V1122">
            <v>235355.62933999998</v>
          </cell>
          <cell r="W1122">
            <v>235355.62933999998</v>
          </cell>
          <cell r="X1122">
            <v>235355.62933999998</v>
          </cell>
          <cell r="Y1122">
            <v>327069.64813999995</v>
          </cell>
          <cell r="AB1122">
            <v>3166704</v>
          </cell>
        </row>
        <row r="1123">
          <cell r="B1123" t="str">
            <v>45151004511001478Trade Promotion-N424251200104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22038</v>
          </cell>
          <cell r="S1123">
            <v>205000</v>
          </cell>
          <cell r="T1123">
            <v>0</v>
          </cell>
          <cell r="U1123">
            <v>614692</v>
          </cell>
          <cell r="V1123">
            <v>0</v>
          </cell>
          <cell r="W1123">
            <v>128592</v>
          </cell>
          <cell r="X1123">
            <v>0</v>
          </cell>
          <cell r="Y1123">
            <v>0</v>
          </cell>
          <cell r="AB1123">
            <v>970322</v>
          </cell>
        </row>
        <row r="1124">
          <cell r="B1124" t="str">
            <v>45151004511001478Admin Expenses-N421125200104</v>
          </cell>
          <cell r="N1124">
            <v>0</v>
          </cell>
          <cell r="O1124">
            <v>0</v>
          </cell>
          <cell r="P1124">
            <v>0</v>
          </cell>
          <cell r="Q1124">
            <v>35000</v>
          </cell>
          <cell r="R1124">
            <v>0</v>
          </cell>
          <cell r="S1124">
            <v>0</v>
          </cell>
          <cell r="T1124">
            <v>33057</v>
          </cell>
          <cell r="U1124">
            <v>50000</v>
          </cell>
          <cell r="V1124">
            <v>52906.5</v>
          </cell>
          <cell r="W1124">
            <v>0</v>
          </cell>
          <cell r="X1124">
            <v>80670</v>
          </cell>
          <cell r="Y1124">
            <v>0</v>
          </cell>
          <cell r="AB1124">
            <v>251633.5</v>
          </cell>
        </row>
        <row r="1125">
          <cell r="B1125" t="str">
            <v>45151004511001479Trade Partners-L424251201931</v>
          </cell>
          <cell r="N1125">
            <v>0</v>
          </cell>
          <cell r="O1125">
            <v>0</v>
          </cell>
          <cell r="P1125">
            <v>125000</v>
          </cell>
          <cell r="Q1125">
            <v>0</v>
          </cell>
          <cell r="R1125">
            <v>0</v>
          </cell>
          <cell r="S1125">
            <v>210000</v>
          </cell>
          <cell r="T1125">
            <v>0</v>
          </cell>
          <cell r="U1125">
            <v>412000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AB1125">
            <v>747000</v>
          </cell>
        </row>
        <row r="1126">
          <cell r="B1126" t="str">
            <v>45151004511001479GSA Retainer-N421125200104</v>
          </cell>
          <cell r="N1126">
            <v>0</v>
          </cell>
          <cell r="O1126">
            <v>0</v>
          </cell>
          <cell r="P1126">
            <v>30567.599999999999</v>
          </cell>
          <cell r="Q1126">
            <v>35662.6</v>
          </cell>
          <cell r="R1126">
            <v>15283.8</v>
          </cell>
          <cell r="S1126">
            <v>20378.400000000001</v>
          </cell>
          <cell r="T1126">
            <v>15283.8</v>
          </cell>
          <cell r="U1126">
            <v>15283.8</v>
          </cell>
          <cell r="V1126">
            <v>20378.400000000001</v>
          </cell>
          <cell r="W1126">
            <v>15283.8</v>
          </cell>
          <cell r="X1126">
            <v>15283.8</v>
          </cell>
          <cell r="Y1126">
            <v>20378.000000000036</v>
          </cell>
          <cell r="AB1126">
            <v>203784</v>
          </cell>
        </row>
        <row r="1127">
          <cell r="B1127" t="str">
            <v>45151004511001479Trade Promotion-N424251200104</v>
          </cell>
          <cell r="N1127">
            <v>0</v>
          </cell>
          <cell r="O1127">
            <v>0</v>
          </cell>
          <cell r="P1127">
            <v>25000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175000</v>
          </cell>
          <cell r="W1127">
            <v>0</v>
          </cell>
          <cell r="X1127">
            <v>0</v>
          </cell>
          <cell r="Y1127">
            <v>0</v>
          </cell>
          <cell r="AB1127">
            <v>200000</v>
          </cell>
        </row>
        <row r="1128">
          <cell r="B1128" t="str">
            <v>45151004511001479Admin Expenses-N421125200104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90000</v>
          </cell>
          <cell r="W1128">
            <v>0</v>
          </cell>
          <cell r="X1128">
            <v>0</v>
          </cell>
          <cell r="Y1128">
            <v>0</v>
          </cell>
          <cell r="AB1128">
            <v>90000</v>
          </cell>
        </row>
        <row r="1129">
          <cell r="B1129" t="str">
            <v>45151004511001480Trade Partners-L424251201931</v>
          </cell>
          <cell r="AB1129">
            <v>195905</v>
          </cell>
        </row>
        <row r="1130">
          <cell r="B1130" t="str">
            <v>45153004511000789Mystery Shopper-N421191200104</v>
          </cell>
          <cell r="N1130">
            <v>0</v>
          </cell>
          <cell r="O1130">
            <v>0</v>
          </cell>
          <cell r="P1130">
            <v>75808</v>
          </cell>
          <cell r="Q1130">
            <v>40070</v>
          </cell>
          <cell r="R1130">
            <v>60035</v>
          </cell>
          <cell r="S1130">
            <v>60035</v>
          </cell>
          <cell r="T1130">
            <v>390017.5</v>
          </cell>
          <cell r="U1130">
            <v>390017.5</v>
          </cell>
          <cell r="V1130">
            <v>390017.5</v>
          </cell>
          <cell r="W1130">
            <v>390017.5</v>
          </cell>
          <cell r="X1130">
            <v>390017.5</v>
          </cell>
          <cell r="Y1130">
            <v>3318126.25</v>
          </cell>
          <cell r="AB1130">
            <v>1989161.75</v>
          </cell>
        </row>
        <row r="1131">
          <cell r="B1131" t="str">
            <v>45153004511000789Freelancers-N424521200104</v>
          </cell>
          <cell r="N1131">
            <v>0</v>
          </cell>
          <cell r="O1131">
            <v>0</v>
          </cell>
          <cell r="P1131">
            <v>0</v>
          </cell>
          <cell r="Q1131">
            <v>20630</v>
          </cell>
          <cell r="R1131">
            <v>19965</v>
          </cell>
          <cell r="S1131">
            <v>19965</v>
          </cell>
          <cell r="T1131">
            <v>19965</v>
          </cell>
          <cell r="U1131">
            <v>19965</v>
          </cell>
          <cell r="V1131">
            <v>19965</v>
          </cell>
          <cell r="W1131">
            <v>19965</v>
          </cell>
          <cell r="X1131">
            <v>19965</v>
          </cell>
          <cell r="Y1131">
            <v>19965</v>
          </cell>
          <cell r="AB1131">
            <v>180350</v>
          </cell>
        </row>
        <row r="1132">
          <cell r="B1132" t="str">
            <v>45153004511000789Admin Expenses-N1421125200104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26675</v>
          </cell>
          <cell r="T1132">
            <v>0</v>
          </cell>
          <cell r="U1132">
            <v>0</v>
          </cell>
          <cell r="V1132">
            <v>30000</v>
          </cell>
          <cell r="W1132">
            <v>0</v>
          </cell>
          <cell r="X1132">
            <v>0</v>
          </cell>
          <cell r="Y1132">
            <v>40000</v>
          </cell>
          <cell r="AB1132">
            <v>96675</v>
          </cell>
        </row>
        <row r="1133">
          <cell r="B1133" t="str">
            <v>45153004511000794Mission &amp; Travel-N423821200104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101000</v>
          </cell>
          <cell r="T1133">
            <v>0</v>
          </cell>
          <cell r="U1133">
            <v>0</v>
          </cell>
          <cell r="V1133">
            <v>79300</v>
          </cell>
          <cell r="W1133">
            <v>56300</v>
          </cell>
          <cell r="X1133">
            <v>0</v>
          </cell>
          <cell r="Y1133">
            <v>89206</v>
          </cell>
          <cell r="AB1133">
            <v>325806</v>
          </cell>
        </row>
        <row r="1134">
          <cell r="B1134" t="str">
            <v>45153004511000977Research&amp;Survey-N423411200104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215000</v>
          </cell>
          <cell r="V1134">
            <v>300000</v>
          </cell>
          <cell r="W1134">
            <v>0</v>
          </cell>
          <cell r="X1134">
            <v>0</v>
          </cell>
          <cell r="Y1134">
            <v>500000</v>
          </cell>
          <cell r="AB1134">
            <v>3077</v>
          </cell>
        </row>
        <row r="1135">
          <cell r="B1135" t="str">
            <v>45153004511000977Licenses Fees-N424131200104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85000</v>
          </cell>
          <cell r="V1135">
            <v>50000</v>
          </cell>
          <cell r="W1135">
            <v>0</v>
          </cell>
          <cell r="X1135">
            <v>0</v>
          </cell>
          <cell r="Y1135">
            <v>50000</v>
          </cell>
          <cell r="AB1135">
            <v>185000</v>
          </cell>
        </row>
        <row r="1136">
          <cell r="B1136" t="str">
            <v>45153004511000978ManagementAdvice-N424521200104</v>
          </cell>
          <cell r="N1136">
            <v>0</v>
          </cell>
          <cell r="O1136">
            <v>0</v>
          </cell>
          <cell r="P1136">
            <v>0</v>
          </cell>
          <cell r="Q1136">
            <v>570375</v>
          </cell>
          <cell r="R1136">
            <v>321375</v>
          </cell>
          <cell r="S1136">
            <v>1074500</v>
          </cell>
          <cell r="T1136">
            <v>1446375</v>
          </cell>
          <cell r="U1136">
            <v>2273375</v>
          </cell>
          <cell r="V1136">
            <v>1274750</v>
          </cell>
          <cell r="W1136">
            <v>824500</v>
          </cell>
          <cell r="X1136">
            <v>974500</v>
          </cell>
          <cell r="Y1136">
            <v>1549000</v>
          </cell>
          <cell r="AB1136">
            <v>8428800</v>
          </cell>
        </row>
        <row r="1137">
          <cell r="B1137" t="str">
            <v>45155004511001330Co-Invest Events-N422401200104</v>
          </cell>
          <cell r="N1137">
            <v>0</v>
          </cell>
          <cell r="O1137">
            <v>0</v>
          </cell>
          <cell r="P1137">
            <v>0</v>
          </cell>
          <cell r="Q1137">
            <v>560000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2240000</v>
          </cell>
          <cell r="W1137">
            <v>1680000</v>
          </cell>
          <cell r="X1137">
            <v>5103557</v>
          </cell>
          <cell r="Y1137">
            <v>1120000</v>
          </cell>
          <cell r="AB1137">
            <v>8203557</v>
          </cell>
        </row>
        <row r="1138">
          <cell r="B1138" t="str">
            <v>45153004511000979System Maintain-N422211200104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450000</v>
          </cell>
          <cell r="V1138">
            <v>0</v>
          </cell>
          <cell r="W1138">
            <v>0</v>
          </cell>
          <cell r="X1138">
            <v>0</v>
          </cell>
          <cell r="Y1138">
            <v>450000</v>
          </cell>
          <cell r="AB1138">
            <v>900000</v>
          </cell>
        </row>
        <row r="1139">
          <cell r="B1139" t="str">
            <v>45153004511001004Manpower-N424521200104</v>
          </cell>
          <cell r="N1139">
            <v>0</v>
          </cell>
          <cell r="O1139">
            <v>0</v>
          </cell>
          <cell r="P1139">
            <v>0</v>
          </cell>
          <cell r="Q1139">
            <v>402288</v>
          </cell>
          <cell r="R1139">
            <v>100572</v>
          </cell>
          <cell r="S1139">
            <v>100572</v>
          </cell>
          <cell r="T1139">
            <v>100572</v>
          </cell>
          <cell r="U1139">
            <v>100572</v>
          </cell>
          <cell r="V1139">
            <v>100572</v>
          </cell>
          <cell r="W1139">
            <v>100572</v>
          </cell>
          <cell r="X1139">
            <v>100571</v>
          </cell>
          <cell r="Y1139">
            <v>100571</v>
          </cell>
          <cell r="AB1139">
            <v>703868</v>
          </cell>
        </row>
        <row r="1140">
          <cell r="B1140" t="str">
            <v>45153004511001004Maintenance-N426212200104</v>
          </cell>
          <cell r="N1140">
            <v>0</v>
          </cell>
          <cell r="O1140">
            <v>0</v>
          </cell>
          <cell r="P1140">
            <v>0</v>
          </cell>
          <cell r="Q1140">
            <v>54402</v>
          </cell>
          <cell r="R1140">
            <v>27201</v>
          </cell>
          <cell r="S1140">
            <v>27201</v>
          </cell>
          <cell r="T1140">
            <v>27201</v>
          </cell>
          <cell r="U1140">
            <v>27201</v>
          </cell>
          <cell r="V1140">
            <v>27201</v>
          </cell>
          <cell r="W1140">
            <v>27201</v>
          </cell>
          <cell r="X1140">
            <v>27201</v>
          </cell>
          <cell r="Y1140">
            <v>81603</v>
          </cell>
          <cell r="AB1140">
            <v>56554</v>
          </cell>
        </row>
        <row r="1141">
          <cell r="B1141" t="str">
            <v>45153004511001004Trade Promotion-N424251200104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30000</v>
          </cell>
          <cell r="S1141">
            <v>0</v>
          </cell>
          <cell r="T1141">
            <v>30000</v>
          </cell>
          <cell r="U1141">
            <v>0</v>
          </cell>
          <cell r="V1141">
            <v>40000</v>
          </cell>
          <cell r="W1141">
            <v>33438</v>
          </cell>
          <cell r="X1141">
            <v>50000</v>
          </cell>
          <cell r="Y1141">
            <v>100000</v>
          </cell>
          <cell r="AB1141">
            <v>0</v>
          </cell>
        </row>
        <row r="1142">
          <cell r="B1142" t="str">
            <v>45153004511001004Parking Fees-N425112200104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80000</v>
          </cell>
          <cell r="X1142">
            <v>0</v>
          </cell>
          <cell r="Y1142">
            <v>0</v>
          </cell>
          <cell r="AB1142">
            <v>80000</v>
          </cell>
        </row>
        <row r="1143">
          <cell r="B1143" t="str">
            <v>45153004511001005ManagementAdvice-N424521200104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772281</v>
          </cell>
          <cell r="S1143">
            <v>772281</v>
          </cell>
          <cell r="T1143">
            <v>772281</v>
          </cell>
          <cell r="U1143">
            <v>772281</v>
          </cell>
          <cell r="V1143">
            <v>772281</v>
          </cell>
          <cell r="W1143">
            <v>772281</v>
          </cell>
          <cell r="X1143">
            <v>308913</v>
          </cell>
          <cell r="Y1143">
            <v>1235651</v>
          </cell>
          <cell r="AB1143">
            <v>6178250</v>
          </cell>
        </row>
        <row r="1144">
          <cell r="B1144" t="str">
            <v>45153004511001005Manpower-N424521200104</v>
          </cell>
          <cell r="N1144">
            <v>0</v>
          </cell>
          <cell r="O1144">
            <v>0</v>
          </cell>
          <cell r="P1144">
            <v>0</v>
          </cell>
          <cell r="Q1144">
            <v>158500</v>
          </cell>
          <cell r="R1144">
            <v>59500</v>
          </cell>
          <cell r="S1144">
            <v>59500</v>
          </cell>
          <cell r="T1144">
            <v>59500</v>
          </cell>
          <cell r="U1144">
            <v>59500</v>
          </cell>
          <cell r="V1144">
            <v>59500</v>
          </cell>
          <cell r="W1144">
            <v>59500</v>
          </cell>
          <cell r="X1144">
            <v>59500</v>
          </cell>
          <cell r="Y1144">
            <v>119000</v>
          </cell>
          <cell r="AB1144">
            <v>1184000</v>
          </cell>
        </row>
        <row r="1145">
          <cell r="B1145" t="str">
            <v>45153004511001005Freelancers-N424521200104</v>
          </cell>
          <cell r="N1145">
            <v>0</v>
          </cell>
          <cell r="O1145">
            <v>0</v>
          </cell>
          <cell r="P1145">
            <v>0</v>
          </cell>
          <cell r="Q1145">
            <v>1800</v>
          </cell>
          <cell r="R1145">
            <v>18000</v>
          </cell>
          <cell r="S1145">
            <v>18000</v>
          </cell>
          <cell r="T1145">
            <v>18000</v>
          </cell>
          <cell r="U1145">
            <v>18000</v>
          </cell>
          <cell r="V1145">
            <v>18000</v>
          </cell>
          <cell r="W1145">
            <v>18000</v>
          </cell>
          <cell r="X1145">
            <v>18000</v>
          </cell>
          <cell r="Y1145">
            <v>36000</v>
          </cell>
          <cell r="AB1145">
            <v>730090</v>
          </cell>
        </row>
        <row r="1146">
          <cell r="B1146" t="str">
            <v>45153004511001397ManagementAdvice-N424521200104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500000</v>
          </cell>
          <cell r="X1146">
            <v>0</v>
          </cell>
          <cell r="Y1146">
            <v>1500000</v>
          </cell>
          <cell r="AB1146">
            <v>1000000</v>
          </cell>
        </row>
        <row r="1147">
          <cell r="B1147" t="str">
            <v>45153004511001536System Develop-NC1493180300105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100000</v>
          </cell>
          <cell r="T1147">
            <v>0</v>
          </cell>
          <cell r="U1147">
            <v>180000</v>
          </cell>
          <cell r="V1147">
            <v>60000</v>
          </cell>
          <cell r="W1147">
            <v>60000</v>
          </cell>
          <cell r="X1147">
            <v>0</v>
          </cell>
          <cell r="Y1147">
            <v>50000</v>
          </cell>
          <cell r="AB1147">
            <v>548000</v>
          </cell>
        </row>
        <row r="1148">
          <cell r="B1148" t="str">
            <v>45153004511001536Event Management-N422401200104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1202000</v>
          </cell>
          <cell r="V1148">
            <v>0</v>
          </cell>
          <cell r="W1148">
            <v>0</v>
          </cell>
          <cell r="X1148">
            <v>1512670</v>
          </cell>
          <cell r="Y1148">
            <v>485330</v>
          </cell>
          <cell r="AB1148">
            <v>3200000</v>
          </cell>
        </row>
        <row r="1149">
          <cell r="B1149" t="str">
            <v>45153004511001536ManagementAdvice-N424521200104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200000</v>
          </cell>
          <cell r="V1149">
            <v>0</v>
          </cell>
          <cell r="W1149">
            <v>200000</v>
          </cell>
          <cell r="X1149">
            <v>200000</v>
          </cell>
          <cell r="Y1149">
            <v>1026000</v>
          </cell>
          <cell r="AB1149">
            <v>826000</v>
          </cell>
        </row>
        <row r="1150">
          <cell r="B1150" t="str">
            <v>45153004511001537Design &amp; Build-NC491211300105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1472426</v>
          </cell>
          <cell r="X1150">
            <v>1472426</v>
          </cell>
          <cell r="Y1150">
            <v>4417282</v>
          </cell>
          <cell r="AB1150">
            <v>4749999.7</v>
          </cell>
        </row>
        <row r="1151">
          <cell r="B1151" t="str">
            <v>45153004511001537ManagementAdvice-N424521200104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1731470</v>
          </cell>
          <cell r="X1151">
            <v>2216470</v>
          </cell>
          <cell r="Y1151">
            <v>7134413</v>
          </cell>
          <cell r="AB1151">
            <v>2000000</v>
          </cell>
        </row>
        <row r="1152">
          <cell r="B1152" t="str">
            <v>45153004511001539ManagementAdvice-N424521200104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1100000</v>
          </cell>
          <cell r="V1152">
            <v>1100000</v>
          </cell>
          <cell r="W1152">
            <v>1100000</v>
          </cell>
          <cell r="X1152">
            <v>1100000</v>
          </cell>
          <cell r="Y1152">
            <v>3310000</v>
          </cell>
          <cell r="AB1152">
            <v>6641736</v>
          </cell>
        </row>
        <row r="1153">
          <cell r="B1153" t="str">
            <v>45153004511001540ManagementAdvice-N424521200104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855000</v>
          </cell>
          <cell r="W1153">
            <v>390000</v>
          </cell>
          <cell r="X1153">
            <v>590000</v>
          </cell>
          <cell r="Y1153">
            <v>3275000</v>
          </cell>
          <cell r="AB1153">
            <v>1440500</v>
          </cell>
        </row>
        <row r="1154">
          <cell r="B1154" t="str">
            <v>45153004511001541Market Research-N423411200104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225000</v>
          </cell>
          <cell r="T1154">
            <v>0</v>
          </cell>
          <cell r="U1154">
            <v>225000</v>
          </cell>
          <cell r="V1154">
            <v>0</v>
          </cell>
          <cell r="W1154">
            <v>0</v>
          </cell>
          <cell r="X1154">
            <v>225000</v>
          </cell>
          <cell r="Y1154">
            <v>173973</v>
          </cell>
          <cell r="AB1154">
            <v>848973</v>
          </cell>
        </row>
        <row r="1155">
          <cell r="B1155" t="str">
            <v>45154004511000175Design &amp; Build-N424221200104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2600000</v>
          </cell>
          <cell r="W1155">
            <v>0</v>
          </cell>
          <cell r="X1155">
            <v>0</v>
          </cell>
          <cell r="Y1155">
            <v>0</v>
          </cell>
          <cell r="AB1155">
            <v>2600000</v>
          </cell>
        </row>
        <row r="1156">
          <cell r="B1156" t="str">
            <v>45154004511000175Venue&amp;Room Rent-N422401200104</v>
          </cell>
          <cell r="N1156">
            <v>0</v>
          </cell>
          <cell r="O1156">
            <v>0</v>
          </cell>
          <cell r="P1156">
            <v>0</v>
          </cell>
          <cell r="Q1156">
            <v>1600000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AB1156">
            <v>1600000</v>
          </cell>
        </row>
        <row r="1157">
          <cell r="B1157" t="str">
            <v>45154004511000175Other Expenses-N424991200104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280000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AB1157">
            <v>280000</v>
          </cell>
        </row>
        <row r="1158">
          <cell r="B1158" t="str">
            <v>45154004511000175Mission &amp; Travel-N423821200104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190500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AB1158">
            <v>190500</v>
          </cell>
        </row>
        <row r="1159">
          <cell r="B1159" t="str">
            <v>45154004511000175Hospitality-N424761200104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120000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AB1159">
            <v>120000</v>
          </cell>
        </row>
        <row r="1160">
          <cell r="B1160" t="str">
            <v>45154004511000394Mission &amp; Travel-N423821200104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10000</v>
          </cell>
          <cell r="S1160">
            <v>0</v>
          </cell>
          <cell r="T1160">
            <v>0</v>
          </cell>
          <cell r="U1160">
            <v>15300</v>
          </cell>
          <cell r="V1160">
            <v>0</v>
          </cell>
          <cell r="W1160">
            <v>0</v>
          </cell>
          <cell r="X1160">
            <v>8700</v>
          </cell>
          <cell r="Y1160">
            <v>0</v>
          </cell>
          <cell r="AB1160">
            <v>34000</v>
          </cell>
        </row>
        <row r="1161">
          <cell r="B1161" t="str">
            <v>45154004511000467Research&amp;Survey-N423411200104</v>
          </cell>
          <cell r="N1161">
            <v>0</v>
          </cell>
          <cell r="O1161">
            <v>0</v>
          </cell>
          <cell r="P1161">
            <v>0</v>
          </cell>
          <cell r="Q1161">
            <v>39400.3145</v>
          </cell>
          <cell r="R1161">
            <v>27925</v>
          </cell>
          <cell r="S1161">
            <v>27925</v>
          </cell>
          <cell r="T1161">
            <v>27925</v>
          </cell>
          <cell r="U1161">
            <v>27925</v>
          </cell>
          <cell r="V1161">
            <v>0</v>
          </cell>
          <cell r="W1161">
            <v>0</v>
          </cell>
          <cell r="X1161">
            <v>0</v>
          </cell>
          <cell r="Y1161">
            <v>55850</v>
          </cell>
          <cell r="AB1161">
            <v>206950.31450000001</v>
          </cell>
        </row>
        <row r="1162">
          <cell r="B1162" t="str">
            <v>45154004511000467PR&amp;MediaCoverage-L424781201931</v>
          </cell>
          <cell r="N1162">
            <v>0</v>
          </cell>
          <cell r="O1162">
            <v>0</v>
          </cell>
          <cell r="P1162">
            <v>0</v>
          </cell>
          <cell r="Q1162">
            <v>25000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AB1162">
            <v>25000</v>
          </cell>
        </row>
        <row r="1163">
          <cell r="B1163" t="str">
            <v>45154004511000798Partnership Fees-N422401200104</v>
          </cell>
          <cell r="N1163">
            <v>0</v>
          </cell>
          <cell r="O1163">
            <v>0</v>
          </cell>
          <cell r="P1163">
            <v>2319586.7999999998</v>
          </cell>
          <cell r="Q1163">
            <v>0</v>
          </cell>
          <cell r="R1163">
            <v>3670413</v>
          </cell>
          <cell r="S1163">
            <v>0</v>
          </cell>
          <cell r="T1163">
            <v>2497000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277000</v>
          </cell>
          <cell r="AB1163">
            <v>8763999.8000000007</v>
          </cell>
        </row>
        <row r="1164">
          <cell r="B1164" t="str">
            <v>45154004511000798Mission &amp; Travel-L423821201931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47000</v>
          </cell>
          <cell r="S1164">
            <v>94000</v>
          </cell>
          <cell r="T1164">
            <v>0</v>
          </cell>
          <cell r="U1164">
            <v>72690</v>
          </cell>
          <cell r="V1164">
            <v>22500</v>
          </cell>
          <cell r="W1164">
            <v>0</v>
          </cell>
          <cell r="X1164">
            <v>17000</v>
          </cell>
          <cell r="Y1164">
            <v>17500</v>
          </cell>
          <cell r="AB1164">
            <v>270690</v>
          </cell>
        </row>
        <row r="1165">
          <cell r="B1165" t="str">
            <v>45154004511000943Partnership Fees-N422401200104</v>
          </cell>
          <cell r="N1165">
            <v>0</v>
          </cell>
          <cell r="O1165">
            <v>0</v>
          </cell>
          <cell r="P1165">
            <v>0</v>
          </cell>
          <cell r="Q1165">
            <v>197628.84</v>
          </cell>
          <cell r="R1165">
            <v>80000</v>
          </cell>
          <cell r="S1165">
            <v>0</v>
          </cell>
          <cell r="T1165">
            <v>385000</v>
          </cell>
          <cell r="U1165">
            <v>120000</v>
          </cell>
          <cell r="V1165">
            <v>20000</v>
          </cell>
          <cell r="W1165">
            <v>0</v>
          </cell>
          <cell r="X1165">
            <v>0</v>
          </cell>
          <cell r="Y1165">
            <v>0</v>
          </cell>
          <cell r="AB1165">
            <v>802628.84</v>
          </cell>
        </row>
        <row r="1166">
          <cell r="B1166" t="str">
            <v>45154004511000943Trade Promotion-N424251200104</v>
          </cell>
          <cell r="N1166">
            <v>0</v>
          </cell>
          <cell r="O1166">
            <v>0</v>
          </cell>
          <cell r="P1166">
            <v>1154</v>
          </cell>
          <cell r="Q1166">
            <v>41507</v>
          </cell>
          <cell r="R1166">
            <v>20000</v>
          </cell>
          <cell r="S1166">
            <v>30000</v>
          </cell>
          <cell r="T1166">
            <v>0</v>
          </cell>
          <cell r="U1166">
            <v>20000</v>
          </cell>
          <cell r="V1166">
            <v>0</v>
          </cell>
          <cell r="W1166">
            <v>75000</v>
          </cell>
          <cell r="X1166">
            <v>25000</v>
          </cell>
          <cell r="Y1166">
            <v>100000</v>
          </cell>
          <cell r="AB1166">
            <v>312661</v>
          </cell>
        </row>
        <row r="1167">
          <cell r="B1167" t="str">
            <v>45154004511000943Mission &amp; Travel-N423821200104</v>
          </cell>
          <cell r="N1167">
            <v>0</v>
          </cell>
          <cell r="O1167">
            <v>0</v>
          </cell>
          <cell r="P1167">
            <v>14400</v>
          </cell>
          <cell r="Q1167">
            <v>0</v>
          </cell>
          <cell r="R1167">
            <v>55600</v>
          </cell>
          <cell r="S1167">
            <v>0</v>
          </cell>
          <cell r="T1167">
            <v>167807.77020217557</v>
          </cell>
          <cell r="U1167">
            <v>21000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AB1167">
            <v>258807.77020217557</v>
          </cell>
        </row>
        <row r="1168">
          <cell r="B1168" t="str">
            <v>45112504511000708Cleaning Service-N422311200104</v>
          </cell>
          <cell r="N1168">
            <v>0</v>
          </cell>
          <cell r="O1168">
            <v>0</v>
          </cell>
          <cell r="P1168">
            <v>0</v>
          </cell>
          <cell r="Q1168">
            <v>1883</v>
          </cell>
          <cell r="R1168">
            <v>1883</v>
          </cell>
          <cell r="S1168">
            <v>1883</v>
          </cell>
          <cell r="T1168">
            <v>1883</v>
          </cell>
          <cell r="U1168">
            <v>1883</v>
          </cell>
          <cell r="V1168">
            <v>1883</v>
          </cell>
          <cell r="W1168">
            <v>1883</v>
          </cell>
          <cell r="X1168">
            <v>1883</v>
          </cell>
          <cell r="Y1168">
            <v>7529</v>
          </cell>
          <cell r="AB1168">
            <v>22593</v>
          </cell>
        </row>
        <row r="1169">
          <cell r="B1169" t="str">
            <v>45154004511000981MICE-Trade Shows-N422401200104</v>
          </cell>
          <cell r="N1169">
            <v>0</v>
          </cell>
          <cell r="O1169">
            <v>0</v>
          </cell>
          <cell r="P1169">
            <v>7634626</v>
          </cell>
          <cell r="Q1169">
            <v>0</v>
          </cell>
          <cell r="R1169">
            <v>8623147</v>
          </cell>
          <cell r="S1169">
            <v>0</v>
          </cell>
          <cell r="T1169">
            <v>5539963.5700000003</v>
          </cell>
          <cell r="U1169">
            <v>2815000</v>
          </cell>
          <cell r="V1169">
            <v>1500000</v>
          </cell>
          <cell r="W1169">
            <v>0</v>
          </cell>
          <cell r="X1169">
            <v>0</v>
          </cell>
          <cell r="Y1169">
            <v>1319955.7886311561</v>
          </cell>
          <cell r="AB1169">
            <v>27235692.358631156</v>
          </cell>
        </row>
        <row r="1170">
          <cell r="B1170" t="str">
            <v>45154004511000981MICE-Association-L461412201931</v>
          </cell>
          <cell r="N1170">
            <v>0</v>
          </cell>
          <cell r="O1170">
            <v>0</v>
          </cell>
          <cell r="P1170">
            <v>823864</v>
          </cell>
          <cell r="Q1170">
            <v>1012136</v>
          </cell>
          <cell r="R1170">
            <v>2142000</v>
          </cell>
          <cell r="S1170">
            <v>460000</v>
          </cell>
          <cell r="T1170">
            <v>2460000</v>
          </cell>
          <cell r="U1170">
            <v>2545000</v>
          </cell>
          <cell r="V1170">
            <v>200000</v>
          </cell>
          <cell r="W1170">
            <v>250000</v>
          </cell>
          <cell r="X1170">
            <v>0</v>
          </cell>
          <cell r="Y1170">
            <v>5410000</v>
          </cell>
          <cell r="AB1170">
            <v>15303000</v>
          </cell>
        </row>
        <row r="1171">
          <cell r="B1171" t="str">
            <v>45154004511000981MICE-M&amp;I-N461412200104</v>
          </cell>
          <cell r="N1171">
            <v>0</v>
          </cell>
          <cell r="O1171">
            <v>0</v>
          </cell>
          <cell r="P1171">
            <v>81450</v>
          </cell>
          <cell r="Q1171">
            <v>235000</v>
          </cell>
          <cell r="R1171">
            <v>2510950</v>
          </cell>
          <cell r="S1171">
            <v>581725</v>
          </cell>
          <cell r="T1171">
            <v>89000</v>
          </cell>
          <cell r="U1171">
            <v>575000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AB1171">
            <v>4073125</v>
          </cell>
        </row>
        <row r="1172">
          <cell r="B1172" t="str">
            <v>45154004511000981MICE-Trade Shows-L422401201931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1541160.21136884</v>
          </cell>
          <cell r="AB1172">
            <v>1541160.21136884</v>
          </cell>
        </row>
        <row r="1173">
          <cell r="B1173" t="str">
            <v>45154004511001506ManagementAdvice-N1424521200104</v>
          </cell>
          <cell r="N1173">
            <v>0</v>
          </cell>
          <cell r="O1173">
            <v>0</v>
          </cell>
          <cell r="P1173">
            <v>0</v>
          </cell>
          <cell r="Q1173">
            <v>2000000</v>
          </cell>
          <cell r="R1173">
            <v>1500000</v>
          </cell>
          <cell r="S1173">
            <v>1000000</v>
          </cell>
          <cell r="T1173">
            <v>1021140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AB1173">
            <v>5521140</v>
          </cell>
        </row>
        <row r="1174">
          <cell r="B1174" t="str">
            <v>45154004511001507GSA Retainer-N421125200104</v>
          </cell>
          <cell r="N1174">
            <v>0</v>
          </cell>
          <cell r="O1174">
            <v>0</v>
          </cell>
          <cell r="P1174">
            <v>0</v>
          </cell>
          <cell r="Q1174">
            <v>236723.08999999997</v>
          </cell>
          <cell r="R1174">
            <v>70225.544999999998</v>
          </cell>
          <cell r="S1174">
            <v>70225.544999999998</v>
          </cell>
          <cell r="T1174">
            <v>70225.544999999998</v>
          </cell>
          <cell r="U1174">
            <v>70225.544999999998</v>
          </cell>
          <cell r="V1174">
            <v>70225.544999999998</v>
          </cell>
          <cell r="W1174">
            <v>70225.544999999998</v>
          </cell>
          <cell r="X1174">
            <v>70225.544999999998</v>
          </cell>
          <cell r="Y1174">
            <v>70225.544999999998</v>
          </cell>
          <cell r="AB1174">
            <v>798527.45000000007</v>
          </cell>
        </row>
        <row r="1175">
          <cell r="B1175" t="str">
            <v>45154004511001508GSA Retainer-N421125200104</v>
          </cell>
          <cell r="N1175">
            <v>0</v>
          </cell>
          <cell r="O1175">
            <v>0</v>
          </cell>
          <cell r="P1175">
            <v>0</v>
          </cell>
          <cell r="Q1175">
            <v>28704</v>
          </cell>
          <cell r="R1175">
            <v>6623.9999999999991</v>
          </cell>
          <cell r="S1175">
            <v>8832</v>
          </cell>
          <cell r="T1175">
            <v>6623.9999999999991</v>
          </cell>
          <cell r="U1175">
            <v>6623.9999999999991</v>
          </cell>
          <cell r="V1175">
            <v>8832</v>
          </cell>
          <cell r="W1175">
            <v>6623.9999999999991</v>
          </cell>
          <cell r="X1175">
            <v>6623.9999999999991</v>
          </cell>
          <cell r="Y1175">
            <v>8832</v>
          </cell>
          <cell r="AB1175">
            <v>88320</v>
          </cell>
        </row>
        <row r="1176">
          <cell r="B1176" t="str">
            <v>45154004511001510GSA Retainer-N421125200104</v>
          </cell>
          <cell r="N1176">
            <v>0</v>
          </cell>
          <cell r="O1176">
            <v>0</v>
          </cell>
          <cell r="P1176">
            <v>0</v>
          </cell>
          <cell r="Q1176">
            <v>50272.852500000001</v>
          </cell>
          <cell r="R1176">
            <v>25136.42625</v>
          </cell>
          <cell r="S1176">
            <v>25136.42625</v>
          </cell>
          <cell r="T1176">
            <v>25136.42625</v>
          </cell>
          <cell r="U1176">
            <v>25136.42625</v>
          </cell>
          <cell r="V1176">
            <v>25136.42625</v>
          </cell>
          <cell r="W1176">
            <v>25136.42625</v>
          </cell>
          <cell r="X1176">
            <v>25136.42625</v>
          </cell>
          <cell r="Y1176">
            <v>25136.42625</v>
          </cell>
          <cell r="AB1176">
            <v>251364.26249999995</v>
          </cell>
        </row>
        <row r="1177">
          <cell r="B1177" t="str">
            <v>45154004511001511GSA Retainer-N421125200104</v>
          </cell>
          <cell r="N1177">
            <v>0</v>
          </cell>
          <cell r="O1177">
            <v>0</v>
          </cell>
          <cell r="P1177">
            <v>0</v>
          </cell>
          <cell r="Q1177">
            <v>92484</v>
          </cell>
          <cell r="R1177">
            <v>23121</v>
          </cell>
          <cell r="S1177">
            <v>23121</v>
          </cell>
          <cell r="T1177">
            <v>23121</v>
          </cell>
          <cell r="U1177">
            <v>23121</v>
          </cell>
          <cell r="V1177">
            <v>23121</v>
          </cell>
          <cell r="W1177">
            <v>23121</v>
          </cell>
          <cell r="X1177">
            <v>23121</v>
          </cell>
          <cell r="Y1177">
            <v>23121</v>
          </cell>
          <cell r="AB1177">
            <v>277452</v>
          </cell>
        </row>
        <row r="1178">
          <cell r="B1178" t="str">
            <v>45154004511001513GSA Retainer-N421125200104</v>
          </cell>
          <cell r="N1178">
            <v>0</v>
          </cell>
          <cell r="O1178">
            <v>0</v>
          </cell>
          <cell r="P1178">
            <v>0</v>
          </cell>
          <cell r="Q1178">
            <v>190602.75</v>
          </cell>
          <cell r="R1178">
            <v>47650.6875</v>
          </cell>
          <cell r="S1178">
            <v>47650.6875</v>
          </cell>
          <cell r="T1178">
            <v>47650.6875</v>
          </cell>
          <cell r="U1178">
            <v>47650.6875</v>
          </cell>
          <cell r="V1178">
            <v>47650.6875</v>
          </cell>
          <cell r="W1178">
            <v>47650.6875</v>
          </cell>
          <cell r="X1178">
            <v>47650.6875</v>
          </cell>
          <cell r="Y1178">
            <v>47650.6875</v>
          </cell>
          <cell r="AB1178">
            <v>571808.25</v>
          </cell>
        </row>
        <row r="1179">
          <cell r="B1179" t="str">
            <v>45154004511001514GSA Retainer-N421125200104</v>
          </cell>
          <cell r="N1179">
            <v>0</v>
          </cell>
          <cell r="O1179">
            <v>0</v>
          </cell>
          <cell r="P1179">
            <v>0</v>
          </cell>
          <cell r="Q1179">
            <v>151780.7525</v>
          </cell>
          <cell r="R1179">
            <v>37945.188125000001</v>
          </cell>
          <cell r="S1179">
            <v>37945.188125000001</v>
          </cell>
          <cell r="T1179">
            <v>37945.188125000001</v>
          </cell>
          <cell r="U1179">
            <v>37945.188125000001</v>
          </cell>
          <cell r="V1179">
            <v>37945.188125000001</v>
          </cell>
          <cell r="W1179">
            <v>37945.188125000001</v>
          </cell>
          <cell r="X1179">
            <v>37945.188125000001</v>
          </cell>
          <cell r="Y1179">
            <v>37945.188125000001</v>
          </cell>
          <cell r="AB1179">
            <v>455342.25749999989</v>
          </cell>
        </row>
        <row r="1180">
          <cell r="B1180" t="str">
            <v>45154004511001515GSA Retainer-N421125200104</v>
          </cell>
          <cell r="N1180">
            <v>0</v>
          </cell>
          <cell r="O1180">
            <v>0</v>
          </cell>
          <cell r="P1180">
            <v>0</v>
          </cell>
          <cell r="Q1180">
            <v>136352.57999999999</v>
          </cell>
          <cell r="R1180">
            <v>34088.144999999997</v>
          </cell>
          <cell r="S1180">
            <v>34088.144999999997</v>
          </cell>
          <cell r="T1180">
            <v>34088.144999999997</v>
          </cell>
          <cell r="U1180">
            <v>34088.144999999997</v>
          </cell>
          <cell r="V1180">
            <v>34088.144999999997</v>
          </cell>
          <cell r="W1180">
            <v>34088.144999999997</v>
          </cell>
          <cell r="X1180">
            <v>34088.144999999997</v>
          </cell>
          <cell r="Y1180">
            <v>34088.144999999997</v>
          </cell>
          <cell r="AB1180">
            <v>409057.74000000005</v>
          </cell>
        </row>
        <row r="1181">
          <cell r="B1181" t="str">
            <v>45154004511001516GSA Retainer-N421125200104</v>
          </cell>
          <cell r="N1181">
            <v>0</v>
          </cell>
          <cell r="O1181">
            <v>0</v>
          </cell>
          <cell r="P1181">
            <v>0</v>
          </cell>
          <cell r="Q1181">
            <v>120721.25</v>
          </cell>
          <cell r="R1181">
            <v>27858.749999999996</v>
          </cell>
          <cell r="S1181">
            <v>37145</v>
          </cell>
          <cell r="T1181">
            <v>27858.749999999996</v>
          </cell>
          <cell r="U1181">
            <v>27858.749999999996</v>
          </cell>
          <cell r="V1181">
            <v>37145</v>
          </cell>
          <cell r="W1181">
            <v>27858.749999999996</v>
          </cell>
          <cell r="X1181">
            <v>27858.749999999996</v>
          </cell>
          <cell r="Y1181">
            <v>37145</v>
          </cell>
          <cell r="AB1181">
            <v>371450</v>
          </cell>
        </row>
        <row r="1182">
          <cell r="B1182" t="str">
            <v>45154004511001517GSA Retainer-N421125200104</v>
          </cell>
          <cell r="N1182">
            <v>0</v>
          </cell>
          <cell r="O1182">
            <v>0</v>
          </cell>
          <cell r="P1182">
            <v>0</v>
          </cell>
          <cell r="Q1182">
            <v>112000</v>
          </cell>
          <cell r="R1182">
            <v>28000</v>
          </cell>
          <cell r="S1182">
            <v>28000</v>
          </cell>
          <cell r="T1182">
            <v>28000</v>
          </cell>
          <cell r="U1182">
            <v>28000</v>
          </cell>
          <cell r="V1182">
            <v>28000</v>
          </cell>
          <cell r="W1182">
            <v>28000</v>
          </cell>
          <cell r="X1182">
            <v>28000</v>
          </cell>
          <cell r="Y1182">
            <v>28000</v>
          </cell>
          <cell r="AB1182">
            <v>336000</v>
          </cell>
        </row>
        <row r="1183">
          <cell r="B1183" t="str">
            <v>45154004511001518GSA Retainer-N421125200104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54194.543333334303</v>
          </cell>
          <cell r="V1183">
            <v>54194.543333334303</v>
          </cell>
          <cell r="W1183">
            <v>54194.543333334303</v>
          </cell>
          <cell r="X1183">
            <v>54194.543333334303</v>
          </cell>
          <cell r="Y1183">
            <v>108390.5433333343</v>
          </cell>
          <cell r="AB1183">
            <v>325168.71666667151</v>
          </cell>
        </row>
        <row r="1184">
          <cell r="B1184" t="str">
            <v>45154004511001519GSA Retainer-N421125200104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27195</v>
          </cell>
          <cell r="V1184">
            <v>27195</v>
          </cell>
          <cell r="W1184">
            <v>27195</v>
          </cell>
          <cell r="X1184">
            <v>27195</v>
          </cell>
          <cell r="Y1184">
            <v>54390</v>
          </cell>
          <cell r="AB1184">
            <v>163170</v>
          </cell>
        </row>
        <row r="1185">
          <cell r="B1185" t="str">
            <v>45154004511001520GSA Retainer-N421125200104</v>
          </cell>
          <cell r="N1185">
            <v>0</v>
          </cell>
          <cell r="O1185">
            <v>0</v>
          </cell>
          <cell r="P1185">
            <v>0</v>
          </cell>
          <cell r="Q1185">
            <v>54000</v>
          </cell>
          <cell r="R1185">
            <v>13500</v>
          </cell>
          <cell r="S1185">
            <v>13500</v>
          </cell>
          <cell r="T1185">
            <v>13500</v>
          </cell>
          <cell r="U1185">
            <v>13500</v>
          </cell>
          <cell r="V1185">
            <v>13500</v>
          </cell>
          <cell r="W1185">
            <v>13500</v>
          </cell>
          <cell r="X1185">
            <v>13500</v>
          </cell>
          <cell r="Y1185">
            <v>13500</v>
          </cell>
          <cell r="AB1185">
            <v>162000</v>
          </cell>
        </row>
        <row r="1186">
          <cell r="B1186" t="str">
            <v>45154004511001523Trade Promotion-L1424251201931</v>
          </cell>
          <cell r="N1186">
            <v>0</v>
          </cell>
          <cell r="O1186">
            <v>0</v>
          </cell>
          <cell r="P1186">
            <v>0</v>
          </cell>
          <cell r="Q1186">
            <v>206000</v>
          </cell>
          <cell r="R1186">
            <v>24000</v>
          </cell>
          <cell r="S1186">
            <v>9000</v>
          </cell>
          <cell r="T1186">
            <v>27000</v>
          </cell>
          <cell r="U1186">
            <v>44000</v>
          </cell>
          <cell r="V1186">
            <v>9000</v>
          </cell>
          <cell r="W1186">
            <v>114000</v>
          </cell>
          <cell r="X1186">
            <v>49000</v>
          </cell>
          <cell r="Y1186">
            <v>18000</v>
          </cell>
          <cell r="AB1186">
            <v>500000</v>
          </cell>
        </row>
        <row r="1187">
          <cell r="B1187" t="str">
            <v>45154004511001524Trade Promotion-L1424251201931</v>
          </cell>
          <cell r="N1187">
            <v>0</v>
          </cell>
          <cell r="O1187">
            <v>0</v>
          </cell>
          <cell r="P1187">
            <v>0</v>
          </cell>
          <cell r="Q1187">
            <v>30000</v>
          </cell>
          <cell r="R1187">
            <v>43000</v>
          </cell>
          <cell r="S1187">
            <v>33000</v>
          </cell>
          <cell r="T1187">
            <v>21000</v>
          </cell>
          <cell r="U1187">
            <v>0</v>
          </cell>
          <cell r="V1187">
            <v>12000</v>
          </cell>
          <cell r="W1187">
            <v>90000</v>
          </cell>
          <cell r="X1187">
            <v>0</v>
          </cell>
          <cell r="Y1187">
            <v>171000</v>
          </cell>
          <cell r="AB1187">
            <v>400000</v>
          </cell>
        </row>
        <row r="1188">
          <cell r="B1188" t="str">
            <v>45154004511001525Trade Promotion-L1424251201931</v>
          </cell>
          <cell r="N1188">
            <v>0</v>
          </cell>
          <cell r="O1188">
            <v>0</v>
          </cell>
          <cell r="P1188">
            <v>0</v>
          </cell>
          <cell r="Q1188">
            <v>57417</v>
          </cell>
          <cell r="R1188">
            <v>0</v>
          </cell>
          <cell r="S1188">
            <v>0</v>
          </cell>
          <cell r="T1188">
            <v>62500</v>
          </cell>
          <cell r="U1188">
            <v>118916.66666666667</v>
          </cell>
          <cell r="V1188">
            <v>25000</v>
          </cell>
          <cell r="W1188">
            <v>50750</v>
          </cell>
          <cell r="X1188">
            <v>0</v>
          </cell>
          <cell r="Y1188">
            <v>35416.666666666672</v>
          </cell>
          <cell r="AB1188">
            <v>350000.33333333337</v>
          </cell>
        </row>
        <row r="1189">
          <cell r="B1189" t="str">
            <v>45154004511001526Trade Promotion-L1424251201931</v>
          </cell>
          <cell r="N1189">
            <v>0</v>
          </cell>
          <cell r="O1189">
            <v>0</v>
          </cell>
          <cell r="P1189">
            <v>0</v>
          </cell>
          <cell r="Q1189">
            <v>147000</v>
          </cell>
          <cell r="R1189">
            <v>55500</v>
          </cell>
          <cell r="S1189">
            <v>9500</v>
          </cell>
          <cell r="T1189">
            <v>0</v>
          </cell>
          <cell r="U1189">
            <v>500</v>
          </cell>
          <cell r="V1189">
            <v>0</v>
          </cell>
          <cell r="W1189">
            <v>0</v>
          </cell>
          <cell r="X1189">
            <v>27500</v>
          </cell>
          <cell r="Y1189">
            <v>95000</v>
          </cell>
          <cell r="AB1189">
            <v>335000</v>
          </cell>
        </row>
        <row r="1190">
          <cell r="B1190" t="str">
            <v>45154004511001527Trade Promotion-L1424251201931</v>
          </cell>
          <cell r="N1190">
            <v>0</v>
          </cell>
          <cell r="O1190">
            <v>0</v>
          </cell>
          <cell r="P1190">
            <v>0</v>
          </cell>
          <cell r="Q1190">
            <v>78520</v>
          </cell>
          <cell r="R1190">
            <v>2560.0000000000005</v>
          </cell>
          <cell r="S1190">
            <v>10846.666666666668</v>
          </cell>
          <cell r="T1190">
            <v>10626.666666666668</v>
          </cell>
          <cell r="U1190">
            <v>3366.666666666667</v>
          </cell>
          <cell r="V1190">
            <v>2560.0000000000005</v>
          </cell>
          <cell r="W1190">
            <v>6446.6666666666679</v>
          </cell>
          <cell r="X1190">
            <v>163600</v>
          </cell>
          <cell r="Y1190">
            <v>21473.333333333336</v>
          </cell>
          <cell r="AB1190">
            <v>300000</v>
          </cell>
        </row>
        <row r="1191">
          <cell r="B1191" t="str">
            <v>45154004511001528Trade Promotion-L1424251201931</v>
          </cell>
          <cell r="N1191">
            <v>0</v>
          </cell>
          <cell r="O1191">
            <v>0</v>
          </cell>
          <cell r="P1191">
            <v>0</v>
          </cell>
          <cell r="Q1191">
            <v>38922</v>
          </cell>
          <cell r="R1191">
            <v>44910</v>
          </cell>
          <cell r="S1191">
            <v>12475</v>
          </cell>
          <cell r="T1191">
            <v>42415</v>
          </cell>
          <cell r="U1191">
            <v>5489</v>
          </cell>
          <cell r="V1191">
            <v>16716.5</v>
          </cell>
          <cell r="W1191">
            <v>85828</v>
          </cell>
          <cell r="X1191">
            <v>3493</v>
          </cell>
          <cell r="Y1191">
            <v>22455</v>
          </cell>
          <cell r="AB1191">
            <v>272703.5</v>
          </cell>
        </row>
        <row r="1192">
          <cell r="B1192" t="str">
            <v>45154004511001529Trade Promotion-L1424251201931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44657.666666666664</v>
          </cell>
          <cell r="V1192">
            <v>44657.666666666664</v>
          </cell>
          <cell r="W1192">
            <v>44657.666666666664</v>
          </cell>
          <cell r="X1192">
            <v>44657.666666666664</v>
          </cell>
          <cell r="Y1192">
            <v>89315.333333333328</v>
          </cell>
          <cell r="AB1192">
            <v>267946</v>
          </cell>
        </row>
        <row r="1193">
          <cell r="B1193" t="str">
            <v>45154004511001530Trade Promotion-L424251201931</v>
          </cell>
          <cell r="N1193">
            <v>0</v>
          </cell>
          <cell r="O1193">
            <v>0</v>
          </cell>
          <cell r="P1193">
            <v>0</v>
          </cell>
          <cell r="Q1193">
            <v>5000</v>
          </cell>
          <cell r="R1193">
            <v>100000</v>
          </cell>
          <cell r="S1193">
            <v>2500</v>
          </cell>
          <cell r="T1193">
            <v>75000</v>
          </cell>
          <cell r="U1193">
            <v>10000</v>
          </cell>
          <cell r="V1193">
            <v>10000</v>
          </cell>
          <cell r="W1193">
            <v>10000</v>
          </cell>
          <cell r="X1193">
            <v>25000</v>
          </cell>
          <cell r="Y1193">
            <v>5000</v>
          </cell>
          <cell r="AB1193">
            <v>242500</v>
          </cell>
        </row>
        <row r="1194">
          <cell r="B1194" t="str">
            <v>45154004511001531Trade Promotion-L424251201931</v>
          </cell>
          <cell r="N1194">
            <v>0</v>
          </cell>
          <cell r="O1194">
            <v>0</v>
          </cell>
          <cell r="P1194">
            <v>0</v>
          </cell>
          <cell r="Q1194">
            <v>80750</v>
          </cell>
          <cell r="R1194">
            <v>4750</v>
          </cell>
          <cell r="S1194">
            <v>30250</v>
          </cell>
          <cell r="T1194">
            <v>52750</v>
          </cell>
          <cell r="U1194">
            <v>45250</v>
          </cell>
          <cell r="V1194">
            <v>5250</v>
          </cell>
          <cell r="W1194">
            <v>250</v>
          </cell>
          <cell r="X1194">
            <v>5250</v>
          </cell>
          <cell r="Y1194">
            <v>5500</v>
          </cell>
          <cell r="AB1194">
            <v>230000</v>
          </cell>
        </row>
        <row r="1195">
          <cell r="B1195" t="str">
            <v>45154004511001532Trade Promotion-L424251201931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33333.333333333336</v>
          </cell>
          <cell r="V1195">
            <v>33333.333333333336</v>
          </cell>
          <cell r="W1195">
            <v>33333.333333333336</v>
          </cell>
          <cell r="X1195">
            <v>33333.333333333336</v>
          </cell>
          <cell r="Y1195">
            <v>66666.666666666672</v>
          </cell>
          <cell r="AB1195">
            <v>200000</v>
          </cell>
        </row>
        <row r="1196">
          <cell r="B1196" t="str">
            <v>45154004511001533Trade Promotion-L424251201931</v>
          </cell>
          <cell r="N1196">
            <v>0</v>
          </cell>
          <cell r="O1196">
            <v>0</v>
          </cell>
          <cell r="P1196">
            <v>0</v>
          </cell>
          <cell r="Q1196">
            <v>10000</v>
          </cell>
          <cell r="R1196">
            <v>0</v>
          </cell>
          <cell r="S1196">
            <v>40000</v>
          </cell>
          <cell r="T1196">
            <v>0</v>
          </cell>
          <cell r="U1196">
            <v>50000</v>
          </cell>
          <cell r="V1196">
            <v>0</v>
          </cell>
          <cell r="W1196">
            <v>40000</v>
          </cell>
          <cell r="X1196">
            <v>30000</v>
          </cell>
          <cell r="Y1196">
            <v>0</v>
          </cell>
          <cell r="AB1196">
            <v>170000</v>
          </cell>
        </row>
        <row r="1197">
          <cell r="B1197" t="str">
            <v>45154004511001534Trade Promotion-L424251201931</v>
          </cell>
          <cell r="N1197">
            <v>0</v>
          </cell>
          <cell r="O1197">
            <v>0</v>
          </cell>
          <cell r="P1197">
            <v>0</v>
          </cell>
          <cell r="Q1197">
            <v>70000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10000</v>
          </cell>
          <cell r="W1197">
            <v>10000</v>
          </cell>
          <cell r="X1197">
            <v>80000</v>
          </cell>
          <cell r="Y1197">
            <v>0</v>
          </cell>
          <cell r="AB1197">
            <v>170000</v>
          </cell>
        </row>
        <row r="1198">
          <cell r="B1198" t="str">
            <v>45155004511000386IP Events-L1422401050723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36730000</v>
          </cell>
          <cell r="S1198">
            <v>0</v>
          </cell>
          <cell r="T1198">
            <v>0</v>
          </cell>
          <cell r="U1198">
            <v>59289417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AB1198">
            <v>96019417</v>
          </cell>
        </row>
        <row r="1199">
          <cell r="B1199" t="str">
            <v>45155004511000386Co-Invest Events-L422401050723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1349198</v>
          </cell>
          <cell r="V1199">
            <v>5174599</v>
          </cell>
          <cell r="W1199">
            <v>5174599</v>
          </cell>
          <cell r="X1199">
            <v>0</v>
          </cell>
          <cell r="Y1199">
            <v>0</v>
          </cell>
          <cell r="AB1199">
            <v>11698396</v>
          </cell>
        </row>
        <row r="1200">
          <cell r="B1200" t="str">
            <v>45155004511000388Sponsorship Fees-N424811200104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2200000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2300000</v>
          </cell>
          <cell r="X1200">
            <v>0</v>
          </cell>
          <cell r="Y1200">
            <v>1000000</v>
          </cell>
          <cell r="AB1200">
            <v>5500000</v>
          </cell>
        </row>
        <row r="1201">
          <cell r="B1201" t="str">
            <v>45155004511000403Co-Invest Events-N422401200104</v>
          </cell>
          <cell r="N1201">
            <v>0</v>
          </cell>
          <cell r="O1201">
            <v>0</v>
          </cell>
          <cell r="P1201">
            <v>40000000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40000000</v>
          </cell>
          <cell r="W1201">
            <v>0</v>
          </cell>
          <cell r="X1201">
            <v>0</v>
          </cell>
          <cell r="Y1201">
            <v>0</v>
          </cell>
          <cell r="AB1201">
            <v>80000000</v>
          </cell>
        </row>
        <row r="1202">
          <cell r="B1202" t="str">
            <v>45155004511000403Talent Fees-N422511200104</v>
          </cell>
          <cell r="N1202">
            <v>0</v>
          </cell>
          <cell r="O1202">
            <v>0</v>
          </cell>
          <cell r="P1202">
            <v>43040000</v>
          </cell>
          <cell r="Q1202">
            <v>0</v>
          </cell>
          <cell r="R1202">
            <v>0</v>
          </cell>
          <cell r="S1202">
            <v>3460000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AB1202">
            <v>46500000</v>
          </cell>
        </row>
        <row r="1203">
          <cell r="B1203" t="str">
            <v>45155004511000718Sponsorship Fees-L424811201096</v>
          </cell>
          <cell r="N1203">
            <v>0</v>
          </cell>
          <cell r="O1203">
            <v>0</v>
          </cell>
          <cell r="P1203">
            <v>0</v>
          </cell>
          <cell r="Q1203">
            <v>1224333</v>
          </cell>
          <cell r="R1203">
            <v>0</v>
          </cell>
          <cell r="S1203">
            <v>0</v>
          </cell>
          <cell r="T1203">
            <v>1224333</v>
          </cell>
          <cell r="U1203">
            <v>0</v>
          </cell>
          <cell r="V1203">
            <v>0</v>
          </cell>
          <cell r="W1203">
            <v>1224334</v>
          </cell>
          <cell r="X1203">
            <v>0</v>
          </cell>
          <cell r="Y1203">
            <v>0</v>
          </cell>
          <cell r="AB1203">
            <v>3673000</v>
          </cell>
        </row>
        <row r="1204">
          <cell r="B1204" t="str">
            <v>45155004511000723IP Events-N422401200104</v>
          </cell>
          <cell r="N1204">
            <v>0</v>
          </cell>
          <cell r="O1204">
            <v>0</v>
          </cell>
          <cell r="P1204">
            <v>0</v>
          </cell>
          <cell r="Q1204">
            <v>9119774</v>
          </cell>
          <cell r="R1204">
            <v>2707500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2612726</v>
          </cell>
          <cell r="Y1204">
            <v>0</v>
          </cell>
          <cell r="AB1204">
            <v>14440000</v>
          </cell>
        </row>
        <row r="1205">
          <cell r="B1205" t="str">
            <v>45155004511000723Talent Fees-N422511200104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3610000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AB1205">
            <v>3610000</v>
          </cell>
        </row>
        <row r="1206">
          <cell r="B1206" t="str">
            <v>45155004511000725IP Events-L1422401050729</v>
          </cell>
          <cell r="N1206">
            <v>0</v>
          </cell>
          <cell r="O1206">
            <v>0</v>
          </cell>
          <cell r="P1206">
            <v>0</v>
          </cell>
          <cell r="Q1206">
            <v>52891200</v>
          </cell>
          <cell r="R1206">
            <v>0</v>
          </cell>
          <cell r="S1206">
            <v>52872200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AB1206">
            <v>105763400</v>
          </cell>
        </row>
        <row r="1207">
          <cell r="B1207" t="str">
            <v>45155004511000725IP Rights-L423531050729</v>
          </cell>
          <cell r="N1207">
            <v>0</v>
          </cell>
          <cell r="O1207">
            <v>0</v>
          </cell>
          <cell r="P1207">
            <v>0</v>
          </cell>
          <cell r="Q1207">
            <v>16895800</v>
          </cell>
          <cell r="R1207">
            <v>0</v>
          </cell>
          <cell r="S1207">
            <v>16895800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AB1207">
            <v>33791600</v>
          </cell>
        </row>
        <row r="1208">
          <cell r="B1208" t="str">
            <v>45155004511000725Co-Invest Events-N1422401200104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17100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8511698</v>
          </cell>
          <cell r="Y1208">
            <v>0</v>
          </cell>
          <cell r="AB1208">
            <v>8528798</v>
          </cell>
        </row>
        <row r="1209">
          <cell r="B1209" t="str">
            <v>45155004511000733Sponsorship Fees-N424811200104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367300</v>
          </cell>
          <cell r="S1209">
            <v>275475</v>
          </cell>
          <cell r="T1209">
            <v>0</v>
          </cell>
          <cell r="U1209">
            <v>0</v>
          </cell>
          <cell r="V1209">
            <v>0</v>
          </cell>
          <cell r="W1209">
            <v>2387450</v>
          </cell>
          <cell r="X1209">
            <v>1836500</v>
          </cell>
          <cell r="Y1209">
            <v>2203800</v>
          </cell>
          <cell r="AB1209">
            <v>7070525</v>
          </cell>
        </row>
        <row r="1210">
          <cell r="B1210" t="str">
            <v>45155004511000735Co-Invest Events-L1422401050730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6700000</v>
          </cell>
          <cell r="U1210">
            <v>0</v>
          </cell>
          <cell r="V1210">
            <v>30150000</v>
          </cell>
          <cell r="W1210">
            <v>0</v>
          </cell>
          <cell r="X1210">
            <v>30150000</v>
          </cell>
          <cell r="Y1210">
            <v>0</v>
          </cell>
          <cell r="AB1210">
            <v>67000000</v>
          </cell>
        </row>
        <row r="1211">
          <cell r="B1211" t="str">
            <v>45155004511000744Audit Services-N421125200104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1050000</v>
          </cell>
          <cell r="U1211">
            <v>336000</v>
          </cell>
          <cell r="V1211">
            <v>0</v>
          </cell>
          <cell r="W1211">
            <v>514000</v>
          </cell>
          <cell r="X1211">
            <v>350000</v>
          </cell>
          <cell r="Y1211">
            <v>0</v>
          </cell>
          <cell r="AB1211">
            <v>2250000</v>
          </cell>
        </row>
        <row r="1212">
          <cell r="B1212" t="str">
            <v>45155004511000809Event Management-N422401200104</v>
          </cell>
          <cell r="N1212">
            <v>0</v>
          </cell>
          <cell r="O1212">
            <v>0</v>
          </cell>
          <cell r="P1212">
            <v>35526630</v>
          </cell>
          <cell r="Q1212">
            <v>10201896.23</v>
          </cell>
          <cell r="R1212">
            <v>363602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11963410.75</v>
          </cell>
          <cell r="X1212">
            <v>0</v>
          </cell>
          <cell r="Y1212">
            <v>0</v>
          </cell>
          <cell r="AB1212">
            <v>58055538.980000004</v>
          </cell>
        </row>
        <row r="1213">
          <cell r="B1213" t="str">
            <v>45151004511001472Trade Partners-L424251201931</v>
          </cell>
          <cell r="N1213">
            <v>0</v>
          </cell>
          <cell r="O1213">
            <v>0</v>
          </cell>
          <cell r="P1213">
            <v>433976.49249999999</v>
          </cell>
          <cell r="Q1213">
            <v>0</v>
          </cell>
          <cell r="R1213">
            <v>0</v>
          </cell>
          <cell r="S1213">
            <v>2762488</v>
          </cell>
          <cell r="T1213">
            <v>2409015</v>
          </cell>
          <cell r="U1213">
            <v>831000</v>
          </cell>
          <cell r="V1213">
            <v>380000</v>
          </cell>
          <cell r="W1213">
            <v>345000</v>
          </cell>
          <cell r="X1213">
            <v>0</v>
          </cell>
          <cell r="Y1213">
            <v>0</v>
          </cell>
          <cell r="AB1213">
            <v>5061479</v>
          </cell>
        </row>
        <row r="1214">
          <cell r="B1214" t="str">
            <v>45155004511000810Mission &amp; Travel-N423821200104</v>
          </cell>
          <cell r="N1214">
            <v>0</v>
          </cell>
          <cell r="O1214">
            <v>0</v>
          </cell>
          <cell r="P1214">
            <v>12500</v>
          </cell>
          <cell r="Q1214">
            <v>0</v>
          </cell>
          <cell r="R1214">
            <v>0</v>
          </cell>
          <cell r="S1214">
            <v>0</v>
          </cell>
          <cell r="T1214">
            <v>200000</v>
          </cell>
          <cell r="U1214">
            <v>100000</v>
          </cell>
          <cell r="V1214">
            <v>100000</v>
          </cell>
          <cell r="W1214">
            <v>300000</v>
          </cell>
          <cell r="X1214">
            <v>400000</v>
          </cell>
          <cell r="Y1214">
            <v>887500</v>
          </cell>
          <cell r="AB1214">
            <v>849645</v>
          </cell>
        </row>
        <row r="1215">
          <cell r="B1215" t="str">
            <v>45155004511000810Venue&amp;Room Rent-N422401200104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625000</v>
          </cell>
          <cell r="V1215">
            <v>0</v>
          </cell>
          <cell r="W1215">
            <v>625000</v>
          </cell>
          <cell r="X1215">
            <v>0</v>
          </cell>
          <cell r="Y1215">
            <v>0</v>
          </cell>
          <cell r="AB1215">
            <v>1250000</v>
          </cell>
        </row>
        <row r="1216">
          <cell r="B1216" t="str">
            <v>45150104511000809Event Management-ND422401200104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17600000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80000000</v>
          </cell>
          <cell r="AB1216">
            <v>97600000</v>
          </cell>
        </row>
        <row r="1217">
          <cell r="B1217" t="str">
            <v>45150104511000826Hospitality-N424761200104</v>
          </cell>
          <cell r="N1217">
            <v>0</v>
          </cell>
          <cell r="O1217">
            <v>0</v>
          </cell>
          <cell r="P1217">
            <v>0</v>
          </cell>
          <cell r="Q1217">
            <v>5250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294750</v>
          </cell>
          <cell r="AB1217">
            <v>200000</v>
          </cell>
        </row>
        <row r="1218">
          <cell r="B1218" t="str">
            <v>45155004511000849Sponsorship Fees-N424811200104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5000000</v>
          </cell>
          <cell r="Y1218">
            <v>6500000</v>
          </cell>
          <cell r="AB1218">
            <v>11260000</v>
          </cell>
        </row>
        <row r="1219">
          <cell r="B1219" t="str">
            <v>45155004511000851Entertainment-N422401200104</v>
          </cell>
          <cell r="N1219">
            <v>0</v>
          </cell>
          <cell r="O1219">
            <v>0</v>
          </cell>
          <cell r="P1219">
            <v>0</v>
          </cell>
          <cell r="Q1219">
            <v>2478600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AB1219">
            <v>0</v>
          </cell>
        </row>
        <row r="1220">
          <cell r="B1220" t="str">
            <v>45155004511000854Co-Invest Events-N422401200104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1000000</v>
          </cell>
          <cell r="X1220">
            <v>0</v>
          </cell>
          <cell r="Y1220">
            <v>0</v>
          </cell>
          <cell r="AB1220">
            <v>11611000</v>
          </cell>
        </row>
        <row r="1221">
          <cell r="B1221" t="str">
            <v>45155004511000859Event Management-N422401200104</v>
          </cell>
          <cell r="N1221">
            <v>0</v>
          </cell>
          <cell r="O1221">
            <v>0</v>
          </cell>
          <cell r="P1221">
            <v>0</v>
          </cell>
          <cell r="Q1221">
            <v>755446.8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AB1221">
            <v>755446.8</v>
          </cell>
        </row>
        <row r="1222">
          <cell r="B1222" t="str">
            <v>45155004511000926Co-Invest Events-N422401200104</v>
          </cell>
          <cell r="N1222">
            <v>0</v>
          </cell>
          <cell r="O1222">
            <v>0</v>
          </cell>
          <cell r="P1222">
            <v>0</v>
          </cell>
          <cell r="Q1222">
            <v>9112500</v>
          </cell>
          <cell r="R1222">
            <v>6075000</v>
          </cell>
          <cell r="S1222">
            <v>3037500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6075000</v>
          </cell>
          <cell r="Y1222">
            <v>0</v>
          </cell>
          <cell r="AB1222">
            <v>16195975</v>
          </cell>
        </row>
        <row r="1223">
          <cell r="B1223" t="str">
            <v>45155004511000927IP Events-N422401200104</v>
          </cell>
          <cell r="N1223">
            <v>0</v>
          </cell>
          <cell r="O1223">
            <v>0</v>
          </cell>
          <cell r="P1223">
            <v>0</v>
          </cell>
          <cell r="Q1223">
            <v>5500000</v>
          </cell>
          <cell r="R1223">
            <v>0</v>
          </cell>
          <cell r="S1223">
            <v>3000000</v>
          </cell>
          <cell r="T1223">
            <v>0</v>
          </cell>
          <cell r="U1223">
            <v>2500000</v>
          </cell>
          <cell r="V1223">
            <v>0</v>
          </cell>
          <cell r="W1223">
            <v>1000000</v>
          </cell>
          <cell r="X1223">
            <v>85000</v>
          </cell>
          <cell r="Y1223">
            <v>0</v>
          </cell>
          <cell r="AB1223">
            <v>12085000</v>
          </cell>
        </row>
        <row r="1224">
          <cell r="B1224" t="str">
            <v>45155004511001052Sponsorship Fees-N424811200104</v>
          </cell>
          <cell r="N1224">
            <v>0</v>
          </cell>
          <cell r="O1224">
            <v>0</v>
          </cell>
          <cell r="P1224">
            <v>0</v>
          </cell>
          <cell r="Q1224">
            <v>4760208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5509500</v>
          </cell>
          <cell r="X1224">
            <v>0</v>
          </cell>
          <cell r="Y1224">
            <v>0</v>
          </cell>
          <cell r="AB1224">
            <v>10269708</v>
          </cell>
        </row>
        <row r="1225">
          <cell r="B1225" t="str">
            <v>45155004511001055IP Rights-L423531201760</v>
          </cell>
          <cell r="N1225">
            <v>0</v>
          </cell>
          <cell r="O1225">
            <v>0</v>
          </cell>
          <cell r="P1225">
            <v>0</v>
          </cell>
          <cell r="Q1225">
            <v>18366000</v>
          </cell>
          <cell r="R1225">
            <v>0</v>
          </cell>
          <cell r="S1225">
            <v>0</v>
          </cell>
          <cell r="T1225">
            <v>18366000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AB1225">
            <v>36732000</v>
          </cell>
        </row>
        <row r="1226">
          <cell r="B1226" t="str">
            <v>45155004511001055Co-Invest Events-N1422401200104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3159034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1579517</v>
          </cell>
          <cell r="X1226">
            <v>0</v>
          </cell>
          <cell r="Y1226">
            <v>1579516</v>
          </cell>
          <cell r="AB1226">
            <v>6318067</v>
          </cell>
        </row>
        <row r="1227">
          <cell r="B1227" t="str">
            <v>45155004511001060Sponsorship Fees-N424811200104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3200000</v>
          </cell>
          <cell r="X1227">
            <v>0</v>
          </cell>
          <cell r="Y1227">
            <v>800000</v>
          </cell>
          <cell r="AB1227">
            <v>4000000</v>
          </cell>
        </row>
        <row r="1228">
          <cell r="B1228" t="str">
            <v>45155004511001062Sponsorship Fees-N424811200104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1430000</v>
          </cell>
          <cell r="V1228">
            <v>1072500</v>
          </cell>
          <cell r="W1228">
            <v>715000</v>
          </cell>
          <cell r="X1228">
            <v>357500</v>
          </cell>
          <cell r="Y1228">
            <v>0</v>
          </cell>
          <cell r="AB1228">
            <v>3575000</v>
          </cell>
        </row>
        <row r="1229">
          <cell r="B1229" t="str">
            <v>45150104511000826Other Expenses-N424991200104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23793</v>
          </cell>
          <cell r="S1229">
            <v>23793</v>
          </cell>
          <cell r="T1229">
            <v>0</v>
          </cell>
          <cell r="U1229">
            <v>0</v>
          </cell>
          <cell r="V1229">
            <v>0</v>
          </cell>
          <cell r="W1229">
            <v>23793</v>
          </cell>
          <cell r="X1229">
            <v>47586</v>
          </cell>
          <cell r="Y1229">
            <v>131035</v>
          </cell>
          <cell r="AB1229">
            <v>153200</v>
          </cell>
        </row>
        <row r="1230">
          <cell r="B1230" t="str">
            <v>45155004511001120Fireworks-N422401200104</v>
          </cell>
          <cell r="N1230">
            <v>0</v>
          </cell>
          <cell r="O1230">
            <v>0</v>
          </cell>
          <cell r="P1230">
            <v>0</v>
          </cell>
          <cell r="Q1230">
            <v>1850000</v>
          </cell>
          <cell r="R1230">
            <v>740000</v>
          </cell>
          <cell r="S1230">
            <v>740000</v>
          </cell>
          <cell r="T1230">
            <v>0</v>
          </cell>
          <cell r="U1230">
            <v>0</v>
          </cell>
          <cell r="V1230">
            <v>270000</v>
          </cell>
          <cell r="W1230">
            <v>0</v>
          </cell>
          <cell r="X1230">
            <v>3400000</v>
          </cell>
          <cell r="Y1230">
            <v>261500</v>
          </cell>
          <cell r="AB1230">
            <v>6274500</v>
          </cell>
        </row>
        <row r="1231">
          <cell r="B1231" t="str">
            <v>45150104511001067Talent Accom-N423831200104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210740</v>
          </cell>
          <cell r="AB1231">
            <v>98800</v>
          </cell>
        </row>
        <row r="1232">
          <cell r="B1232" t="str">
            <v>45155004511001161Activation&amp;Prog-N422401200104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4500000</v>
          </cell>
          <cell r="U1232">
            <v>2250000</v>
          </cell>
          <cell r="V1232">
            <v>0</v>
          </cell>
          <cell r="W1232">
            <v>0</v>
          </cell>
          <cell r="X1232">
            <v>2250000</v>
          </cell>
          <cell r="Y1232">
            <v>0</v>
          </cell>
          <cell r="AB1232">
            <v>9000000</v>
          </cell>
        </row>
        <row r="1233">
          <cell r="B1233" t="str">
            <v>45155004511001169Sponsorship Fees-N424811200104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3500000</v>
          </cell>
          <cell r="Y1233">
            <v>0</v>
          </cell>
          <cell r="AB1233">
            <v>3500000</v>
          </cell>
        </row>
        <row r="1234">
          <cell r="B1234" t="str">
            <v>45155004511001170Sponsorship Fees-N424811200104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5000000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AB1234">
            <v>5000000</v>
          </cell>
        </row>
        <row r="1235">
          <cell r="B1235" t="str">
            <v>45155004511001221IP Events-L422401050723</v>
          </cell>
          <cell r="N1235">
            <v>0</v>
          </cell>
          <cell r="O1235">
            <v>0</v>
          </cell>
          <cell r="P1235">
            <v>0</v>
          </cell>
          <cell r="Q1235">
            <v>11010000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11010000</v>
          </cell>
          <cell r="X1235">
            <v>0</v>
          </cell>
          <cell r="Y1235">
            <v>0</v>
          </cell>
          <cell r="AB1235">
            <v>22020000</v>
          </cell>
        </row>
        <row r="1236">
          <cell r="B1236" t="str">
            <v>45155004511001221Event Management-L422401050723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1818467</v>
          </cell>
          <cell r="V1236">
            <v>8443720</v>
          </cell>
          <cell r="W1236">
            <v>0</v>
          </cell>
          <cell r="X1236">
            <v>0</v>
          </cell>
          <cell r="Y1236">
            <v>0</v>
          </cell>
          <cell r="AB1236">
            <v>10262187</v>
          </cell>
        </row>
        <row r="1237">
          <cell r="B1237" t="str">
            <v>45155004511001221Event Management-N1422401200104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1353985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AB1237">
            <v>1353985</v>
          </cell>
        </row>
        <row r="1238">
          <cell r="B1238" t="str">
            <v>45155004511001223Co-Invest Events-N422401200104</v>
          </cell>
          <cell r="N1238">
            <v>0</v>
          </cell>
          <cell r="O1238">
            <v>0</v>
          </cell>
          <cell r="P1238">
            <v>7500000</v>
          </cell>
          <cell r="Q1238">
            <v>0</v>
          </cell>
          <cell r="R1238">
            <v>0</v>
          </cell>
          <cell r="S1238">
            <v>1500000</v>
          </cell>
          <cell r="T1238">
            <v>0</v>
          </cell>
          <cell r="U1238">
            <v>0</v>
          </cell>
          <cell r="V1238">
            <v>0</v>
          </cell>
          <cell r="W1238">
            <v>6000000</v>
          </cell>
          <cell r="X1238">
            <v>0</v>
          </cell>
          <cell r="Y1238">
            <v>0</v>
          </cell>
          <cell r="AB1238">
            <v>15000000</v>
          </cell>
        </row>
        <row r="1239">
          <cell r="B1239" t="str">
            <v>45150104511001134CampaignProductn-N422511200104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612500</v>
          </cell>
          <cell r="U1239">
            <v>567500</v>
          </cell>
          <cell r="V1239">
            <v>662500</v>
          </cell>
          <cell r="W1239">
            <v>612500</v>
          </cell>
          <cell r="X1239">
            <v>813333</v>
          </cell>
          <cell r="Y1239">
            <v>1631667</v>
          </cell>
          <cell r="AB1239">
            <v>1998600</v>
          </cell>
        </row>
        <row r="1240">
          <cell r="B1240" t="str">
            <v>45155004511001239Co-Invest Events-N422401200104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9180000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AB1240">
            <v>9180000</v>
          </cell>
        </row>
        <row r="1241">
          <cell r="B1241" t="str">
            <v>45155004511001245Event Management-N422401200104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1800000</v>
          </cell>
          <cell r="S1241">
            <v>0</v>
          </cell>
          <cell r="T1241">
            <v>0</v>
          </cell>
          <cell r="U1241">
            <v>1200000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AB1241">
            <v>0</v>
          </cell>
        </row>
        <row r="1242">
          <cell r="B1242" t="str">
            <v>45155004511001246Co-Invest Events-N422401200104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4220963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12000000</v>
          </cell>
          <cell r="Y1242">
            <v>0</v>
          </cell>
          <cell r="AB1242">
            <v>16220963</v>
          </cell>
        </row>
        <row r="1243">
          <cell r="B1243" t="str">
            <v>45155004511001248Activation&amp;Prog-N422401200104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3500000</v>
          </cell>
          <cell r="Y1243">
            <v>0</v>
          </cell>
          <cell r="AB1243">
            <v>3500000</v>
          </cell>
        </row>
        <row r="1244">
          <cell r="B1244" t="str">
            <v>45155004511001252Sponsorship Fees-N424811200104</v>
          </cell>
          <cell r="N1244">
            <v>0</v>
          </cell>
          <cell r="O1244">
            <v>0</v>
          </cell>
          <cell r="P1244">
            <v>0</v>
          </cell>
          <cell r="Q1244">
            <v>1992005.1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221333.90000000002</v>
          </cell>
          <cell r="Y1244">
            <v>0</v>
          </cell>
          <cell r="AB1244">
            <v>2792364</v>
          </cell>
        </row>
        <row r="1245">
          <cell r="B1245" t="str">
            <v>45155004511001260General Retainer-N2421125200104</v>
          </cell>
          <cell r="N1245">
            <v>0</v>
          </cell>
          <cell r="O1245">
            <v>0</v>
          </cell>
          <cell r="P1245">
            <v>0</v>
          </cell>
          <cell r="Q1245">
            <v>1320000</v>
          </cell>
          <cell r="R1245">
            <v>330000</v>
          </cell>
          <cell r="S1245">
            <v>330000</v>
          </cell>
          <cell r="T1245">
            <v>330000</v>
          </cell>
          <cell r="U1245">
            <v>330000</v>
          </cell>
          <cell r="V1245">
            <v>330000</v>
          </cell>
          <cell r="W1245">
            <v>330000</v>
          </cell>
          <cell r="X1245">
            <v>330000</v>
          </cell>
          <cell r="Y1245">
            <v>1465000</v>
          </cell>
          <cell r="AB1245">
            <v>5095000</v>
          </cell>
        </row>
        <row r="1246">
          <cell r="B1246" t="str">
            <v>45155004511001260Licenses Fees-N2424131200104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350500</v>
          </cell>
          <cell r="Y1246">
            <v>0</v>
          </cell>
          <cell r="AB1246">
            <v>350500</v>
          </cell>
        </row>
        <row r="1247">
          <cell r="B1247" t="str">
            <v>45155004511001260Mission &amp; Travel-N1423821200104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20000</v>
          </cell>
          <cell r="W1247">
            <v>0</v>
          </cell>
          <cell r="X1247">
            <v>31800</v>
          </cell>
          <cell r="Y1247">
            <v>20000</v>
          </cell>
          <cell r="AB1247">
            <v>71800</v>
          </cell>
        </row>
        <row r="1248">
          <cell r="B1248" t="str">
            <v>45155004511001317Sponsorship Fees-N424811200104</v>
          </cell>
          <cell r="N1248">
            <v>0</v>
          </cell>
          <cell r="O1248">
            <v>0</v>
          </cell>
          <cell r="P1248">
            <v>0</v>
          </cell>
          <cell r="Q1248">
            <v>300000</v>
          </cell>
          <cell r="R1248">
            <v>350000</v>
          </cell>
          <cell r="S1248">
            <v>448750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AB1248">
            <v>2665486</v>
          </cell>
        </row>
        <row r="1249">
          <cell r="B1249" t="str">
            <v>45112504511000708Waste Mgmnt-N424591200104</v>
          </cell>
          <cell r="N1249">
            <v>0</v>
          </cell>
          <cell r="O1249">
            <v>0</v>
          </cell>
          <cell r="P1249">
            <v>0</v>
          </cell>
          <cell r="Q1249">
            <v>2561</v>
          </cell>
          <cell r="R1249">
            <v>0</v>
          </cell>
          <cell r="S1249">
            <v>0</v>
          </cell>
          <cell r="T1249">
            <v>2561</v>
          </cell>
          <cell r="U1249">
            <v>0</v>
          </cell>
          <cell r="V1249">
            <v>0</v>
          </cell>
          <cell r="W1249">
            <v>0</v>
          </cell>
          <cell r="X1249">
            <v>2562</v>
          </cell>
          <cell r="Y1249">
            <v>0</v>
          </cell>
          <cell r="AB1249">
            <v>7684</v>
          </cell>
        </row>
        <row r="1250">
          <cell r="B1250" t="str">
            <v>45155004511001328Co-Invest Events-N422401200104</v>
          </cell>
          <cell r="N1250">
            <v>0</v>
          </cell>
          <cell r="O1250">
            <v>0</v>
          </cell>
          <cell r="P1250">
            <v>0</v>
          </cell>
          <cell r="Q1250">
            <v>6000000</v>
          </cell>
          <cell r="R1250">
            <v>0</v>
          </cell>
          <cell r="S1250">
            <v>0</v>
          </cell>
          <cell r="T1250">
            <v>0</v>
          </cell>
          <cell r="U1250">
            <v>21000000</v>
          </cell>
          <cell r="V1250">
            <v>0</v>
          </cell>
          <cell r="W1250">
            <v>15750000</v>
          </cell>
          <cell r="X1250">
            <v>0</v>
          </cell>
          <cell r="Y1250">
            <v>5625000</v>
          </cell>
          <cell r="AB1250">
            <v>43384000</v>
          </cell>
        </row>
        <row r="1251">
          <cell r="B1251" t="str">
            <v>45155004511001328Facilities Rent-N425112200104</v>
          </cell>
          <cell r="N1251">
            <v>0</v>
          </cell>
          <cell r="O1251">
            <v>0</v>
          </cell>
          <cell r="P1251">
            <v>0</v>
          </cell>
          <cell r="Q1251">
            <v>266075.05194805196</v>
          </cell>
          <cell r="R1251">
            <v>88691.683982683986</v>
          </cell>
          <cell r="S1251">
            <v>88691.683982683986</v>
          </cell>
          <cell r="T1251">
            <v>88691.683982683986</v>
          </cell>
          <cell r="U1251">
            <v>88691.683982683986</v>
          </cell>
          <cell r="V1251">
            <v>88691.683982683986</v>
          </cell>
          <cell r="W1251">
            <v>88691.683982683986</v>
          </cell>
          <cell r="X1251">
            <v>88691.683982683986</v>
          </cell>
          <cell r="Y1251">
            <v>88691.683982683986</v>
          </cell>
          <cell r="AB1251">
            <v>975608.52380952402</v>
          </cell>
        </row>
        <row r="1252">
          <cell r="B1252" t="str">
            <v>45155004511001329Co-Invest Events-N422401200104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1024000</v>
          </cell>
          <cell r="AB1252">
            <v>1024000</v>
          </cell>
        </row>
        <row r="1253">
          <cell r="B1253" t="str">
            <v>45150104511000809Manpower-N424521200104</v>
          </cell>
          <cell r="AB1253">
            <v>1700000</v>
          </cell>
        </row>
        <row r="1254">
          <cell r="B1254" t="str">
            <v>45155004511001395Event Management-N422401200104</v>
          </cell>
          <cell r="N1254">
            <v>0</v>
          </cell>
          <cell r="O1254">
            <v>0</v>
          </cell>
          <cell r="P1254">
            <v>9711155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288845</v>
          </cell>
          <cell r="X1254">
            <v>0</v>
          </cell>
          <cell r="Y1254">
            <v>900000</v>
          </cell>
          <cell r="AB1254">
            <v>10900000</v>
          </cell>
        </row>
        <row r="1255">
          <cell r="B1255" t="str">
            <v>45155004511001398Activation&amp;Prog-N422401202061</v>
          </cell>
          <cell r="N1255">
            <v>0</v>
          </cell>
          <cell r="O1255">
            <v>0</v>
          </cell>
          <cell r="P1255">
            <v>19005187.5</v>
          </cell>
          <cell r="Q1255">
            <v>2587.5</v>
          </cell>
          <cell r="R1255">
            <v>0</v>
          </cell>
          <cell r="S1255">
            <v>19007775</v>
          </cell>
          <cell r="T1255">
            <v>0</v>
          </cell>
          <cell r="U1255">
            <v>0</v>
          </cell>
          <cell r="V1255">
            <v>19007775</v>
          </cell>
          <cell r="W1255">
            <v>0</v>
          </cell>
          <cell r="X1255">
            <v>0</v>
          </cell>
          <cell r="Y1255">
            <v>19007675</v>
          </cell>
          <cell r="AB1255">
            <v>76031000</v>
          </cell>
        </row>
        <row r="1256">
          <cell r="B1256" t="str">
            <v>45155004511001400IP Events-N423531200104</v>
          </cell>
          <cell r="N1256">
            <v>0</v>
          </cell>
          <cell r="O1256">
            <v>0</v>
          </cell>
          <cell r="P1256">
            <v>0</v>
          </cell>
          <cell r="Q1256">
            <v>5000000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AB1256">
            <v>5000000</v>
          </cell>
        </row>
        <row r="1257">
          <cell r="B1257" t="str">
            <v>45155004511001401Co-Invest Events-N422401200104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6606000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734000</v>
          </cell>
          <cell r="Y1257">
            <v>0</v>
          </cell>
          <cell r="AB1257">
            <v>7340000</v>
          </cell>
        </row>
        <row r="1258">
          <cell r="B1258" t="str">
            <v>45155004511001424Sponsorship Fees-N424811200104</v>
          </cell>
          <cell r="N1258">
            <v>0</v>
          </cell>
          <cell r="O1258">
            <v>0</v>
          </cell>
          <cell r="P1258">
            <v>800000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AB1258">
            <v>800000</v>
          </cell>
        </row>
        <row r="1259">
          <cell r="B1259" t="str">
            <v>45155004511001469Event Management-N422401200104</v>
          </cell>
          <cell r="N1259">
            <v>0</v>
          </cell>
          <cell r="O1259">
            <v>0</v>
          </cell>
          <cell r="P1259">
            <v>0</v>
          </cell>
          <cell r="Q1259">
            <v>854046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AB1259">
            <v>854046</v>
          </cell>
        </row>
        <row r="1260">
          <cell r="B1260" t="str">
            <v>45155004511001481Sponsorship Fees-N424811200104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1200000</v>
          </cell>
          <cell r="W1260">
            <v>0</v>
          </cell>
          <cell r="X1260">
            <v>0</v>
          </cell>
          <cell r="Y1260">
            <v>0</v>
          </cell>
          <cell r="AB1260">
            <v>1200000</v>
          </cell>
        </row>
        <row r="1261">
          <cell r="B1261" t="str">
            <v>45155004511001498Event Management-N1422401200104</v>
          </cell>
          <cell r="N1261">
            <v>0</v>
          </cell>
          <cell r="O1261">
            <v>0</v>
          </cell>
          <cell r="P1261">
            <v>22134000</v>
          </cell>
          <cell r="Q1261">
            <v>0</v>
          </cell>
          <cell r="R1261">
            <v>4596000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7747500</v>
          </cell>
          <cell r="X1261">
            <v>0</v>
          </cell>
          <cell r="Y1261">
            <v>0</v>
          </cell>
          <cell r="AB1261">
            <v>34477500</v>
          </cell>
        </row>
        <row r="1262">
          <cell r="B1262" t="str">
            <v>45155004511001535Event Management-N  422401200104</v>
          </cell>
          <cell r="N1262">
            <v>0</v>
          </cell>
          <cell r="O1262">
            <v>0</v>
          </cell>
          <cell r="P1262">
            <v>2480562</v>
          </cell>
          <cell r="Q1262">
            <v>512438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AB1262">
            <v>4073000</v>
          </cell>
        </row>
        <row r="1263">
          <cell r="B1263" t="str">
            <v>45155004511001535Hospitality-N424761200104</v>
          </cell>
          <cell r="N1263">
            <v>0</v>
          </cell>
          <cell r="O1263">
            <v>0</v>
          </cell>
          <cell r="P1263">
            <v>0</v>
          </cell>
          <cell r="Q1263">
            <v>279104</v>
          </cell>
          <cell r="R1263">
            <v>200000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AB1263">
            <v>393104</v>
          </cell>
        </row>
        <row r="1264">
          <cell r="B1264" t="str">
            <v>45155004511001623Activation&amp;Prog-N422401200104</v>
          </cell>
          <cell r="AB1264">
            <v>987000</v>
          </cell>
        </row>
        <row r="1265">
          <cell r="B1265" t="str">
            <v>45153004511000979Design &amp; Build-NC491211300105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650000</v>
          </cell>
          <cell r="W1265">
            <v>0</v>
          </cell>
          <cell r="X1265">
            <v>900000</v>
          </cell>
          <cell r="Y1265">
            <v>0</v>
          </cell>
          <cell r="AB1265">
            <v>42801</v>
          </cell>
        </row>
        <row r="1266">
          <cell r="B1266" t="str">
            <v>45157004511000245ManagementAdvice-N3424521200104</v>
          </cell>
          <cell r="N1266">
            <v>0</v>
          </cell>
          <cell r="O1266">
            <v>0</v>
          </cell>
          <cell r="P1266">
            <v>0</v>
          </cell>
          <cell r="Q1266">
            <v>597699.4999999993</v>
          </cell>
          <cell r="R1266">
            <v>199233.16666666666</v>
          </cell>
          <cell r="S1266">
            <v>199233.16666666666</v>
          </cell>
          <cell r="T1266">
            <v>199233.16666666666</v>
          </cell>
          <cell r="U1266">
            <v>199233.16666666666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AB1266">
            <v>1849532</v>
          </cell>
        </row>
        <row r="1267">
          <cell r="B1267" t="str">
            <v>45157004511000860Freelancers-N424521200104</v>
          </cell>
          <cell r="N1267">
            <v>0</v>
          </cell>
          <cell r="O1267">
            <v>0</v>
          </cell>
          <cell r="P1267">
            <v>54000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AB1267">
            <v>216000</v>
          </cell>
        </row>
        <row r="1268">
          <cell r="B1268" t="str">
            <v>45157004511000860Admin Expenses-N422191200104</v>
          </cell>
          <cell r="AB1268">
            <v>82182</v>
          </cell>
        </row>
        <row r="1269">
          <cell r="B1269" t="str">
            <v>45157004511000860CampaignProductn-N422511200104</v>
          </cell>
          <cell r="AB1269">
            <v>198000</v>
          </cell>
        </row>
        <row r="1270">
          <cell r="B1270" t="str">
            <v>45112504511000510Ad-hoc Repairs-N426427200104</v>
          </cell>
          <cell r="N1270">
            <v>0</v>
          </cell>
          <cell r="O1270">
            <v>0</v>
          </cell>
          <cell r="P1270">
            <v>0</v>
          </cell>
          <cell r="Q1270">
            <v>11459</v>
          </cell>
          <cell r="R1270">
            <v>0</v>
          </cell>
          <cell r="S1270">
            <v>0</v>
          </cell>
          <cell r="T1270">
            <v>0</v>
          </cell>
          <cell r="U1270">
            <v>11459</v>
          </cell>
          <cell r="V1270">
            <v>0</v>
          </cell>
          <cell r="W1270">
            <v>0</v>
          </cell>
          <cell r="X1270">
            <v>0</v>
          </cell>
          <cell r="Y1270">
            <v>11459</v>
          </cell>
          <cell r="AB1270">
            <v>34377</v>
          </cell>
        </row>
        <row r="1271">
          <cell r="B1271" t="str">
            <v>45157004511000860FM Mgmnt (E-E)-N426212200104</v>
          </cell>
          <cell r="AB1271">
            <v>5745707</v>
          </cell>
        </row>
        <row r="1272">
          <cell r="B1272" t="str">
            <v>45157004511000860ManagementAdvice-N421119200104</v>
          </cell>
          <cell r="AB1272">
            <v>2494331</v>
          </cell>
        </row>
        <row r="1273">
          <cell r="B1273" t="str">
            <v>45157004511000860Mission &amp; Travel-N423821200104</v>
          </cell>
          <cell r="AB1273">
            <v>145500</v>
          </cell>
        </row>
        <row r="1274">
          <cell r="B1274" t="str">
            <v>45157004511000860Sponsorship Fees-N424811200104</v>
          </cell>
          <cell r="AB1274">
            <v>6741000</v>
          </cell>
        </row>
        <row r="1275">
          <cell r="B1275" t="str">
            <v>45157004511000860Trade Partners-N424251200104</v>
          </cell>
          <cell r="AB1275">
            <v>1489491</v>
          </cell>
        </row>
        <row r="1276">
          <cell r="B1276" t="str">
            <v>45153004511000984Freelancers-N424521200104</v>
          </cell>
          <cell r="N1276">
            <v>0</v>
          </cell>
          <cell r="O1276">
            <v>37299.5</v>
          </cell>
          <cell r="P1276">
            <v>74130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AB1276">
            <v>187359.5</v>
          </cell>
        </row>
        <row r="1277">
          <cell r="B1277" t="str">
            <v>45157004511000860Transportation-N424251200104</v>
          </cell>
          <cell r="AB1277">
            <v>373040</v>
          </cell>
        </row>
        <row r="1278">
          <cell r="B1278" t="str">
            <v>45157004511001235Gen Logistics-N1424671200104</v>
          </cell>
          <cell r="N1278">
            <v>0</v>
          </cell>
          <cell r="O1278">
            <v>0</v>
          </cell>
          <cell r="P1278">
            <v>0</v>
          </cell>
          <cell r="Q1278">
            <v>659010</v>
          </cell>
          <cell r="R1278">
            <v>219670</v>
          </cell>
          <cell r="S1278">
            <v>219670</v>
          </cell>
          <cell r="T1278">
            <v>219670</v>
          </cell>
          <cell r="U1278">
            <v>219670</v>
          </cell>
          <cell r="V1278">
            <v>219670</v>
          </cell>
          <cell r="W1278">
            <v>219670</v>
          </cell>
          <cell r="X1278">
            <v>219670</v>
          </cell>
          <cell r="Y1278">
            <v>810032.83333333302</v>
          </cell>
          <cell r="AB1278">
            <v>2165832.9999999991</v>
          </cell>
        </row>
        <row r="1279">
          <cell r="B1279" t="str">
            <v>45157004511001332Event Management-N2422401200104</v>
          </cell>
          <cell r="AB1279">
            <v>21008400</v>
          </cell>
        </row>
        <row r="1280">
          <cell r="B1280" t="str">
            <v>45159004511000663Trade Promotion-N1424251200104</v>
          </cell>
          <cell r="N1280">
            <v>0</v>
          </cell>
          <cell r="O1280">
            <v>0</v>
          </cell>
          <cell r="P1280">
            <v>33052.5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99382.25</v>
          </cell>
          <cell r="Y1280">
            <v>132435.25</v>
          </cell>
          <cell r="AB1280">
            <v>254970</v>
          </cell>
        </row>
        <row r="1281">
          <cell r="B1281" t="str">
            <v>45159004511000663Mission &amp; Travel-N1423821200104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26280</v>
          </cell>
          <cell r="V1281">
            <v>50000</v>
          </cell>
          <cell r="W1281">
            <v>5538</v>
          </cell>
          <cell r="X1281">
            <v>0</v>
          </cell>
          <cell r="Y1281">
            <v>50025</v>
          </cell>
          <cell r="AB1281">
            <v>131843</v>
          </cell>
        </row>
        <row r="1282">
          <cell r="B1282" t="str">
            <v>45159004511000663Licenses Fees-N424131200104</v>
          </cell>
          <cell r="N1282">
            <v>0</v>
          </cell>
          <cell r="O1282">
            <v>0</v>
          </cell>
          <cell r="P1282">
            <v>0</v>
          </cell>
          <cell r="Q1282">
            <v>24840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AB1282">
            <v>34740</v>
          </cell>
        </row>
        <row r="1283">
          <cell r="B1283" t="str">
            <v>45159004511000935Trade Promotion-N1424251200104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260000</v>
          </cell>
          <cell r="T1283">
            <v>50000</v>
          </cell>
          <cell r="U1283">
            <v>0</v>
          </cell>
          <cell r="V1283">
            <v>24000</v>
          </cell>
          <cell r="W1283">
            <v>20000</v>
          </cell>
          <cell r="X1283">
            <v>0</v>
          </cell>
          <cell r="Y1283">
            <v>130000</v>
          </cell>
          <cell r="AB1283">
            <v>484000</v>
          </cell>
        </row>
        <row r="1284">
          <cell r="B1284" t="str">
            <v>45159004511000935Mission &amp; Travel-N1423821200104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51167</v>
          </cell>
          <cell r="V1284">
            <v>132600</v>
          </cell>
          <cell r="W1284">
            <v>75250</v>
          </cell>
          <cell r="X1284">
            <v>0</v>
          </cell>
          <cell r="Y1284">
            <v>0</v>
          </cell>
          <cell r="AB1284">
            <v>259017</v>
          </cell>
        </row>
        <row r="1285">
          <cell r="B1285" t="str">
            <v>45159004511000935Trade Partners-N1424251200104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57250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AB1285">
            <v>57250</v>
          </cell>
        </row>
        <row r="1286">
          <cell r="B1286" t="str">
            <v>45159004511000935Admin Expenses-N1421125200104</v>
          </cell>
          <cell r="N1286">
            <v>0</v>
          </cell>
          <cell r="O1286">
            <v>0</v>
          </cell>
          <cell r="P1286">
            <v>0</v>
          </cell>
          <cell r="Q1286">
            <v>5500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AB1286">
            <v>5500</v>
          </cell>
        </row>
        <row r="1287">
          <cell r="B1287" t="str">
            <v>45159004511000942MICE-M&amp;I-N1461412200104</v>
          </cell>
          <cell r="N1287">
            <v>0</v>
          </cell>
          <cell r="O1287">
            <v>0</v>
          </cell>
          <cell r="P1287">
            <v>0</v>
          </cell>
          <cell r="Q1287">
            <v>2216039</v>
          </cell>
          <cell r="R1287">
            <v>400000</v>
          </cell>
          <cell r="S1287">
            <v>500000</v>
          </cell>
          <cell r="T1287">
            <v>383961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500000</v>
          </cell>
          <cell r="AB1287">
            <v>3497737</v>
          </cell>
        </row>
        <row r="1288">
          <cell r="B1288" t="str">
            <v>45159004511000942Event Management-N1422401200104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1160000</v>
          </cell>
          <cell r="U1288">
            <v>0</v>
          </cell>
          <cell r="V1288">
            <v>0</v>
          </cell>
          <cell r="W1288">
            <v>0</v>
          </cell>
          <cell r="X1288">
            <v>1160000</v>
          </cell>
          <cell r="Y1288">
            <v>580000</v>
          </cell>
          <cell r="AB1288">
            <v>2900000</v>
          </cell>
        </row>
        <row r="1289">
          <cell r="B1289" t="str">
            <v>45159004511000942PR&amp;MediaCoverage-N1424781200104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803875</v>
          </cell>
          <cell r="X1289">
            <v>0</v>
          </cell>
          <cell r="Y1289">
            <v>0</v>
          </cell>
          <cell r="AB1289">
            <v>977875</v>
          </cell>
        </row>
        <row r="1290">
          <cell r="B1290" t="str">
            <v>45159004511000942Partnership Fees-N1422401200104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542000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AB1290">
            <v>529000</v>
          </cell>
        </row>
        <row r="1291">
          <cell r="B1291" t="str">
            <v>45159004511000942GSA Retainer-N1421125200104</v>
          </cell>
          <cell r="N1291">
            <v>0</v>
          </cell>
          <cell r="O1291">
            <v>0</v>
          </cell>
          <cell r="P1291">
            <v>0</v>
          </cell>
          <cell r="Q1291">
            <v>91178.993749999994</v>
          </cell>
          <cell r="R1291">
            <v>29655.4375</v>
          </cell>
          <cell r="S1291">
            <v>29655.4375</v>
          </cell>
          <cell r="T1291">
            <v>29655.4375</v>
          </cell>
          <cell r="U1291">
            <v>29655.4375</v>
          </cell>
          <cell r="V1291">
            <v>29655.4375</v>
          </cell>
          <cell r="W1291">
            <v>29655.4375</v>
          </cell>
          <cell r="X1291">
            <v>29655.4375</v>
          </cell>
          <cell r="Y1291">
            <v>29655.4375</v>
          </cell>
          <cell r="AB1291">
            <v>304422.49375000002</v>
          </cell>
        </row>
        <row r="1292">
          <cell r="B1292" t="str">
            <v>45159004511000942Trade Promotion-N1424251200104</v>
          </cell>
          <cell r="N1292">
            <v>0</v>
          </cell>
          <cell r="O1292">
            <v>0</v>
          </cell>
          <cell r="P1292">
            <v>0</v>
          </cell>
          <cell r="Q1292">
            <v>10850</v>
          </cell>
          <cell r="R1292">
            <v>0</v>
          </cell>
          <cell r="S1292">
            <v>20000</v>
          </cell>
          <cell r="T1292">
            <v>54681</v>
          </cell>
          <cell r="U1292">
            <v>0</v>
          </cell>
          <cell r="V1292">
            <v>50979</v>
          </cell>
          <cell r="W1292">
            <v>40000</v>
          </cell>
          <cell r="X1292">
            <v>53490</v>
          </cell>
          <cell r="Y1292">
            <v>20000</v>
          </cell>
          <cell r="AB1292">
            <v>250000</v>
          </cell>
        </row>
        <row r="1293">
          <cell r="B1293" t="str">
            <v>45159004511000942Mission &amp; Travel-N423821200104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18000</v>
          </cell>
          <cell r="T1293">
            <v>18000</v>
          </cell>
          <cell r="U1293">
            <v>44578</v>
          </cell>
          <cell r="V1293">
            <v>0</v>
          </cell>
          <cell r="W1293">
            <v>23000</v>
          </cell>
          <cell r="X1293">
            <v>0</v>
          </cell>
          <cell r="Y1293">
            <v>18000</v>
          </cell>
          <cell r="AB1293">
            <v>71578</v>
          </cell>
        </row>
        <row r="1294">
          <cell r="B1294" t="str">
            <v>45159004511001128Freelancers-N1424521200104</v>
          </cell>
          <cell r="N1294">
            <v>114000</v>
          </cell>
          <cell r="O1294">
            <v>45000</v>
          </cell>
          <cell r="P1294">
            <v>0</v>
          </cell>
          <cell r="Q1294">
            <v>102786</v>
          </cell>
          <cell r="R1294">
            <v>65000</v>
          </cell>
          <cell r="S1294">
            <v>65000</v>
          </cell>
          <cell r="T1294">
            <v>65000</v>
          </cell>
          <cell r="U1294">
            <v>65000</v>
          </cell>
          <cell r="V1294">
            <v>65000</v>
          </cell>
          <cell r="W1294">
            <v>65000</v>
          </cell>
          <cell r="X1294">
            <v>65000</v>
          </cell>
          <cell r="Y1294">
            <v>40322.580645161288</v>
          </cell>
          <cell r="AB1294">
            <v>617108.58064516133</v>
          </cell>
        </row>
        <row r="1295">
          <cell r="B1295" t="str">
            <v>45159004511001128Strategy Advice-N2421123200104</v>
          </cell>
          <cell r="AB1295">
            <v>555000</v>
          </cell>
        </row>
        <row r="1296">
          <cell r="B1296" t="str">
            <v>45159004511001208Venue&amp;Room Rent-N1422401200104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1159775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AB1296">
            <v>1197775</v>
          </cell>
        </row>
        <row r="1297">
          <cell r="B1297" t="str">
            <v>45159004511001208Design &amp; Build-N1424221200104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247500</v>
          </cell>
          <cell r="AB1297">
            <v>209500</v>
          </cell>
        </row>
        <row r="1298">
          <cell r="B1298" t="str">
            <v>45159004511001208Hospitality-N1424761200104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72000</v>
          </cell>
          <cell r="AB1298">
            <v>72000</v>
          </cell>
        </row>
        <row r="1299">
          <cell r="B1299" t="str">
            <v>45159004511001209Design &amp; Build-N1424221200104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367290</v>
          </cell>
          <cell r="W1299">
            <v>0</v>
          </cell>
          <cell r="X1299">
            <v>0</v>
          </cell>
          <cell r="Y1299">
            <v>0</v>
          </cell>
          <cell r="AB1299">
            <v>367290</v>
          </cell>
        </row>
        <row r="1300">
          <cell r="B1300" t="str">
            <v>45159004511001209Venue&amp;Room Rent-N1422401200104</v>
          </cell>
          <cell r="N1300">
            <v>0</v>
          </cell>
          <cell r="O1300">
            <v>0</v>
          </cell>
          <cell r="P1300">
            <v>206339.41250000001</v>
          </cell>
          <cell r="Q1300">
            <v>21935.587499999994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AB1300">
            <v>228275</v>
          </cell>
        </row>
        <row r="1301">
          <cell r="B1301" t="str">
            <v>45159004511001209Hospitality-N1424761200104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72000</v>
          </cell>
          <cell r="W1301">
            <v>0</v>
          </cell>
          <cell r="X1301">
            <v>0</v>
          </cell>
          <cell r="Y1301">
            <v>0</v>
          </cell>
          <cell r="AB1301">
            <v>82000</v>
          </cell>
        </row>
        <row r="1302">
          <cell r="B1302" t="str">
            <v>45159004511001210Design &amp; Build-N1424221200104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247995</v>
          </cell>
          <cell r="AB1302">
            <v>287995</v>
          </cell>
        </row>
        <row r="1303">
          <cell r="B1303" t="str">
            <v>45159004511001210Venue&amp;Room Rent-N1422401200104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122475</v>
          </cell>
          <cell r="AB1303">
            <v>82475</v>
          </cell>
        </row>
        <row r="1304">
          <cell r="B1304" t="str">
            <v>45159004511001210Hospitality-N1424761200104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52200</v>
          </cell>
          <cell r="AB1304">
            <v>42200</v>
          </cell>
        </row>
        <row r="1305">
          <cell r="B1305" t="str">
            <v>45159004511001490Mission &amp; Travel-N423821200104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51000</v>
          </cell>
          <cell r="T1305">
            <v>133000</v>
          </cell>
          <cell r="U1305">
            <v>22000</v>
          </cell>
          <cell r="V1305">
            <v>0</v>
          </cell>
          <cell r="W1305">
            <v>35000</v>
          </cell>
          <cell r="X1305">
            <v>26818</v>
          </cell>
          <cell r="Y1305">
            <v>24500</v>
          </cell>
          <cell r="AB1305">
            <v>292318</v>
          </cell>
        </row>
        <row r="1306">
          <cell r="B1306" t="str">
            <v>45159004511001490CampaignProductn-N422511200104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76461</v>
          </cell>
          <cell r="U1306">
            <v>0</v>
          </cell>
          <cell r="V1306">
            <v>0</v>
          </cell>
          <cell r="W1306">
            <v>0</v>
          </cell>
          <cell r="X1306">
            <v>68182</v>
          </cell>
          <cell r="Y1306">
            <v>78638</v>
          </cell>
          <cell r="AB1306">
            <v>58281</v>
          </cell>
        </row>
        <row r="1307">
          <cell r="B1307" t="str">
            <v>45159004511001490Admin Expenses-N421125200104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50000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50000</v>
          </cell>
          <cell r="AB1307">
            <v>100000</v>
          </cell>
        </row>
        <row r="1308">
          <cell r="B1308" t="str">
            <v>45159004511001490Hospitality-N424761200104</v>
          </cell>
          <cell r="N1308">
            <v>0</v>
          </cell>
          <cell r="O1308">
            <v>0</v>
          </cell>
          <cell r="P1308">
            <v>0</v>
          </cell>
          <cell r="Q1308">
            <v>27500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10000</v>
          </cell>
          <cell r="X1308">
            <v>0</v>
          </cell>
          <cell r="Y1308">
            <v>17500</v>
          </cell>
          <cell r="AB1308">
            <v>55000</v>
          </cell>
        </row>
        <row r="1309">
          <cell r="B1309" t="str">
            <v>45159004511001491Trade Promotion-N424251200104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100000</v>
          </cell>
          <cell r="V1309">
            <v>0</v>
          </cell>
          <cell r="W1309">
            <v>114000</v>
          </cell>
          <cell r="X1309">
            <v>0</v>
          </cell>
          <cell r="Y1309">
            <v>0</v>
          </cell>
          <cell r="AB1309">
            <v>214000</v>
          </cell>
        </row>
        <row r="1310">
          <cell r="B1310" t="str">
            <v>45159004511001491Mission &amp; Travel-N423821200104</v>
          </cell>
          <cell r="N1310">
            <v>0</v>
          </cell>
          <cell r="O1310">
            <v>0</v>
          </cell>
          <cell r="P1310">
            <v>1600</v>
          </cell>
          <cell r="Q1310">
            <v>0</v>
          </cell>
          <cell r="R1310">
            <v>0</v>
          </cell>
          <cell r="S1310">
            <v>16400</v>
          </cell>
          <cell r="T1310">
            <v>0</v>
          </cell>
          <cell r="U1310">
            <v>0</v>
          </cell>
          <cell r="V1310">
            <v>0</v>
          </cell>
          <cell r="W1310">
            <v>44000</v>
          </cell>
          <cell r="X1310">
            <v>50000</v>
          </cell>
          <cell r="Y1310">
            <v>10000</v>
          </cell>
          <cell r="AB1310">
            <v>122000</v>
          </cell>
        </row>
        <row r="1311">
          <cell r="B1311" t="str">
            <v>45159004511001491Admin Expenses-N421125200104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20000</v>
          </cell>
          <cell r="AB1311">
            <v>20000</v>
          </cell>
        </row>
        <row r="1312">
          <cell r="B1312" t="str">
            <v>45159004511001492Trade Promotion-N424251200104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40000</v>
          </cell>
          <cell r="V1312">
            <v>0</v>
          </cell>
          <cell r="W1312">
            <v>0</v>
          </cell>
          <cell r="X1312">
            <v>0</v>
          </cell>
          <cell r="Y1312">
            <v>100000</v>
          </cell>
          <cell r="AB1312">
            <v>140000</v>
          </cell>
        </row>
        <row r="1313">
          <cell r="B1313" t="str">
            <v>45159004511001492Admin Expenses-N421125200104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50000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AB1313">
            <v>50000</v>
          </cell>
        </row>
        <row r="1314">
          <cell r="B1314" t="str">
            <v>45159004511001492Mission &amp; Travel-N423821200104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7500</v>
          </cell>
          <cell r="U1314">
            <v>2500</v>
          </cell>
          <cell r="V1314">
            <v>0</v>
          </cell>
          <cell r="W1314">
            <v>3000</v>
          </cell>
          <cell r="X1314">
            <v>0</v>
          </cell>
          <cell r="Y1314">
            <v>35000</v>
          </cell>
          <cell r="AB1314">
            <v>48000</v>
          </cell>
        </row>
        <row r="1315">
          <cell r="B1315" t="str">
            <v>45159004511001521Trade Promotion-N1424251200104</v>
          </cell>
          <cell r="N1315">
            <v>0</v>
          </cell>
          <cell r="O1315">
            <v>0</v>
          </cell>
          <cell r="P1315">
            <v>0</v>
          </cell>
          <cell r="Q1315">
            <v>90000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83250</v>
          </cell>
          <cell r="W1315">
            <v>0</v>
          </cell>
          <cell r="X1315">
            <v>83250</v>
          </cell>
          <cell r="Y1315">
            <v>0</v>
          </cell>
          <cell r="AB1315">
            <v>256500</v>
          </cell>
        </row>
        <row r="1316">
          <cell r="B1316" t="str">
            <v>45159004511001521Admin Expenses-N1421125200104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70000</v>
          </cell>
          <cell r="U1316">
            <v>0</v>
          </cell>
          <cell r="V1316">
            <v>0</v>
          </cell>
          <cell r="W1316">
            <v>40000</v>
          </cell>
          <cell r="X1316">
            <v>0</v>
          </cell>
          <cell r="Y1316">
            <v>0</v>
          </cell>
          <cell r="AB1316">
            <v>110000</v>
          </cell>
        </row>
        <row r="1317">
          <cell r="B1317" t="str">
            <v>45153004511000977Awards &amp; Prizes-N424231200104</v>
          </cell>
          <cell r="AB1317">
            <v>6475</v>
          </cell>
        </row>
        <row r="1318">
          <cell r="B1318" t="str">
            <v>45102104511000346Tagging Material-N431812200104</v>
          </cell>
          <cell r="AB1318">
            <v>70000</v>
          </cell>
        </row>
        <row r="1319">
          <cell r="B1319" t="str">
            <v>45102104511000346ManagementAdvice-N424521200104</v>
          </cell>
          <cell r="AB1319">
            <v>100000</v>
          </cell>
        </row>
        <row r="1320">
          <cell r="B1320" t="str">
            <v>45110204511000306Freelancers-N424521200104</v>
          </cell>
          <cell r="AB1320">
            <v>120000</v>
          </cell>
        </row>
        <row r="1321">
          <cell r="B1321" t="str">
            <v>45110204511000231Freelancers-N424521200104</v>
          </cell>
          <cell r="AB1321">
            <v>0</v>
          </cell>
        </row>
        <row r="1322">
          <cell r="B1322" t="str">
            <v>45101404511000016Freelancers-N424521200104</v>
          </cell>
          <cell r="AB1322">
            <v>430333</v>
          </cell>
        </row>
        <row r="1323">
          <cell r="B1323" t="str">
            <v>45192014511001410Content Partner-N1424781200104</v>
          </cell>
          <cell r="AB1323">
            <v>450000</v>
          </cell>
        </row>
        <row r="1324">
          <cell r="B1324" t="str">
            <v>45192004511000729Licenses Fees-N424131200104</v>
          </cell>
          <cell r="AB1324">
            <v>633161</v>
          </cell>
        </row>
        <row r="1325">
          <cell r="B1325" t="str">
            <v>45102504511001409Systems Develop-NC493140300105</v>
          </cell>
          <cell r="AB1325">
            <v>775115</v>
          </cell>
        </row>
        <row r="1326">
          <cell r="B1326" t="str">
            <v>45102504511000760Manpower-N424521200104</v>
          </cell>
          <cell r="AB1326">
            <v>1000000</v>
          </cell>
        </row>
        <row r="1327">
          <cell r="B1327" t="str">
            <v>45113004511001467FeasibilityStudy-N421119200104</v>
          </cell>
          <cell r="AB1327">
            <v>1360000</v>
          </cell>
        </row>
        <row r="1328">
          <cell r="B1328" t="str">
            <v>45113004511001467Research&amp;Survey-N423411200104</v>
          </cell>
          <cell r="AB1328">
            <v>643201</v>
          </cell>
        </row>
        <row r="1329">
          <cell r="B1329" t="str">
            <v>45110204511000231Print Runs-N424791200104</v>
          </cell>
          <cell r="AB1329">
            <v>0</v>
          </cell>
        </row>
        <row r="1330">
          <cell r="B1330" t="str">
            <v>45113004511000639FeasibilityStudy-N421119200104</v>
          </cell>
          <cell r="AB1330">
            <v>1350000</v>
          </cell>
        </row>
        <row r="1331">
          <cell r="B1331" t="str">
            <v>45157004511000860Trade Promotion-N424251200104</v>
          </cell>
          <cell r="AB1331">
            <v>874000</v>
          </cell>
        </row>
        <row r="1332">
          <cell r="B1332" t="str">
            <v>45131104511001635SM Mgmnt Rtnr-N421125200104</v>
          </cell>
          <cell r="AB1332">
            <v>2028690</v>
          </cell>
        </row>
        <row r="1333">
          <cell r="B1333" t="str">
            <v>45131304511001631Sponsorship Fees-N424811200104</v>
          </cell>
          <cell r="AB1333">
            <v>4000000</v>
          </cell>
        </row>
        <row r="1334">
          <cell r="B1334" t="str">
            <v>45101104511000181Strategy Advice-N421123200104</v>
          </cell>
          <cell r="AB1334">
            <v>4987500</v>
          </cell>
        </row>
        <row r="1335">
          <cell r="B1335" t="str">
            <v>45113004511000637Manpower-N424521200104</v>
          </cell>
          <cell r="AB1335">
            <v>5234857</v>
          </cell>
        </row>
        <row r="1336">
          <cell r="B1336" t="str">
            <v>45155004511001691Activation&amp;Prog-N422401200104</v>
          </cell>
          <cell r="AB1336">
            <v>5806674</v>
          </cell>
        </row>
        <row r="1337">
          <cell r="B1337" t="str">
            <v>45131104511001636SM Mgmnt Rtnr-N421125200104</v>
          </cell>
          <cell r="AB1337">
            <v>8133603</v>
          </cell>
        </row>
        <row r="1338">
          <cell r="B1338" t="str">
            <v>45121004511000549ManagementAdvice-N421119200104</v>
          </cell>
          <cell r="AB1338">
            <v>12190000</v>
          </cell>
        </row>
        <row r="1339">
          <cell r="B1339" t="str">
            <v>45110104511001394Event Management-N422401200104</v>
          </cell>
          <cell r="AB1339">
            <v>3847698</v>
          </cell>
        </row>
        <row r="1340">
          <cell r="B1340" t="str">
            <v>45110104511001394Admin Expenses-N1421125200104</v>
          </cell>
          <cell r="AB1340">
            <v>300000</v>
          </cell>
        </row>
        <row r="1341">
          <cell r="B1341" t="str">
            <v>45113004511000227Hospitality-N424761200104</v>
          </cell>
          <cell r="AB1341">
            <v>500000</v>
          </cell>
        </row>
        <row r="1342">
          <cell r="B1342" t="str">
            <v>45100114511001322ManagementAdvice-N424521200104</v>
          </cell>
          <cell r="AB1342">
            <v>4900000</v>
          </cell>
        </row>
        <row r="1343">
          <cell r="B1343" t="str">
            <v>45157004511000860Manpower-N424521200104</v>
          </cell>
          <cell r="AB1343">
            <v>1640230</v>
          </cell>
        </row>
        <row r="1344">
          <cell r="B1344" t="str">
            <v>45123004511001184Manpower-N424521200104</v>
          </cell>
          <cell r="AB1344">
            <v>3400000</v>
          </cell>
        </row>
        <row r="1345">
          <cell r="B1345" t="str">
            <v>45101704511001713Licenses Fees-N424131200104</v>
          </cell>
          <cell r="AB1345">
            <v>832653</v>
          </cell>
        </row>
        <row r="1346">
          <cell r="B1346" t="str">
            <v>45101704511001713Peripherals-N422212200104</v>
          </cell>
          <cell r="AB1346">
            <v>3040000</v>
          </cell>
        </row>
        <row r="1347">
          <cell r="B1347" t="str">
            <v>45102504511001407Awards &amp; Prizes-N424231200104</v>
          </cell>
          <cell r="AB1347">
            <v>72000</v>
          </cell>
        </row>
        <row r="1348">
          <cell r="B1348" t="str">
            <v>45110104511000208Manpower-N424521200104</v>
          </cell>
          <cell r="AB1348">
            <v>156083</v>
          </cell>
        </row>
        <row r="1349">
          <cell r="B1349" t="str">
            <v>45120104511000761Freelancers-N424521200104</v>
          </cell>
          <cell r="AB1349">
            <v>819000</v>
          </cell>
        </row>
        <row r="1350">
          <cell r="B1350" t="str">
            <v>45112504511000820Mission &amp; Travel-N423821200104</v>
          </cell>
          <cell r="AB1350">
            <v>290000</v>
          </cell>
        </row>
        <row r="1351">
          <cell r="B1351" t="str">
            <v>45155004511000849Hospitality-N424761200104</v>
          </cell>
          <cell r="AB1351">
            <v>240000</v>
          </cell>
        </row>
        <row r="1352">
          <cell r="B1352" t="str">
            <v>45181134511001144System Licenses-N425252200104</v>
          </cell>
          <cell r="AB1352">
            <v>537302</v>
          </cell>
        </row>
        <row r="1353">
          <cell r="B1353" t="str">
            <v>45153004511001710ManagementAdvice-N424521200104</v>
          </cell>
          <cell r="AB1353">
            <v>6000000</v>
          </cell>
        </row>
        <row r="1354">
          <cell r="B1354" t="str">
            <v>45111504511000306Design &amp; Build-N491211300105</v>
          </cell>
          <cell r="AB1354">
            <v>350000</v>
          </cell>
        </row>
        <row r="1355">
          <cell r="B1355" t="str">
            <v>45161004511000494Design &amp; Build-N491211300105</v>
          </cell>
          <cell r="AB1355">
            <v>1065000</v>
          </cell>
        </row>
        <row r="1356">
          <cell r="B1356" t="str">
            <v>45112504511000903Lease Improve-N490600300105</v>
          </cell>
          <cell r="AB1356">
            <v>1000000</v>
          </cell>
        </row>
        <row r="1357">
          <cell r="B1357" t="str">
            <v>45112504511000277Manpower-N424521200104</v>
          </cell>
          <cell r="AB1357">
            <v>440000</v>
          </cell>
        </row>
        <row r="1358">
          <cell r="B1358" t="str">
            <v>45110104511001300FM Mgmnt (E-E)-N426212200104</v>
          </cell>
          <cell r="AB1358">
            <v>458467</v>
          </cell>
        </row>
        <row r="1359">
          <cell r="B1359" t="str">
            <v>45111504511001487Hospitality-N424761200104</v>
          </cell>
          <cell r="AB1359">
            <v>100000</v>
          </cell>
        </row>
        <row r="1360">
          <cell r="B1360" t="str">
            <v>45131404511001465PR Mgmnt E-E-L1424781201931</v>
          </cell>
          <cell r="AB1360">
            <v>1130352</v>
          </cell>
        </row>
        <row r="1361">
          <cell r="B1361" t="str">
            <v>45181134511001619Edu &amp; Outreach-N422401200104</v>
          </cell>
          <cell r="N1361">
            <v>0</v>
          </cell>
          <cell r="O1361">
            <v>0</v>
          </cell>
          <cell r="P1361">
            <v>0</v>
          </cell>
          <cell r="Q1361">
            <v>3750</v>
          </cell>
          <cell r="R1361">
            <v>40000</v>
          </cell>
          <cell r="S1361">
            <v>43750</v>
          </cell>
          <cell r="T1361">
            <v>40000</v>
          </cell>
          <cell r="U1361">
            <v>40000</v>
          </cell>
          <cell r="V1361">
            <v>3750</v>
          </cell>
          <cell r="W1361">
            <v>0</v>
          </cell>
          <cell r="X1361">
            <v>3750</v>
          </cell>
          <cell r="Y1361">
            <v>0</v>
          </cell>
          <cell r="AB1361">
            <v>175000</v>
          </cell>
        </row>
        <row r="1362">
          <cell r="B1362" t="str">
            <v>45117004511001706Event Management-N422401200104</v>
          </cell>
          <cell r="AB1362">
            <v>9000000</v>
          </cell>
        </row>
        <row r="1363">
          <cell r="B1363" t="str">
            <v>45110104511001706Event Management-N1422401202185</v>
          </cell>
          <cell r="AB1363">
            <v>5508750</v>
          </cell>
        </row>
        <row r="1364">
          <cell r="B1364" t="str">
            <v>45110104511001706Licenses Fees-N424131202185</v>
          </cell>
          <cell r="AB1364">
            <v>12853750</v>
          </cell>
        </row>
        <row r="1365">
          <cell r="B1365" t="str">
            <v>45115504511000540Admin Expenses-N421125200104</v>
          </cell>
          <cell r="AB1365">
            <v>25000</v>
          </cell>
        </row>
        <row r="1366">
          <cell r="B1366" t="str">
            <v>45115504511000540Hospitality -N424761200104</v>
          </cell>
          <cell r="AB1366">
            <v>25000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1741"/>
  <sheetViews>
    <sheetView tabSelected="1" topLeftCell="E1" workbookViewId="0">
      <selection activeCell="Y3" sqref="Y3"/>
    </sheetView>
  </sheetViews>
  <sheetFormatPr defaultRowHeight="15.6" x14ac:dyDescent="0.3"/>
  <cols>
    <col min="2" max="2" width="50.8984375" bestFit="1" customWidth="1"/>
    <col min="3" max="3" width="14.796875" bestFit="1" customWidth="1"/>
    <col min="4" max="4" width="11.296875" bestFit="1" customWidth="1"/>
    <col min="5" max="5" width="56.5" bestFit="1" customWidth="1"/>
    <col min="6" max="6" width="21.19921875" bestFit="1" customWidth="1"/>
    <col min="7" max="7" width="21.19921875" customWidth="1"/>
    <col min="8" max="8" width="14.69921875" customWidth="1"/>
    <col min="9" max="9" width="67.796875" hidden="1" customWidth="1"/>
    <col min="10" max="10" width="10" bestFit="1" customWidth="1"/>
    <col min="11" max="12" width="12.59765625" bestFit="1" customWidth="1"/>
    <col min="13" max="13" width="14.69921875" bestFit="1" customWidth="1"/>
    <col min="14" max="15" width="13.69921875" bestFit="1" customWidth="1"/>
    <col min="16" max="16" width="14.69921875" bestFit="1" customWidth="1"/>
    <col min="17" max="22" width="13.69921875" bestFit="1" customWidth="1"/>
    <col min="23" max="23" width="13.69921875" customWidth="1"/>
    <col min="24" max="24" width="57.5" hidden="1" customWidth="1"/>
    <col min="25" max="25" width="33.296875" bestFit="1" customWidth="1"/>
    <col min="26" max="26" width="60" bestFit="1" customWidth="1"/>
    <col min="27" max="27" width="70.69921875" hidden="1" customWidth="1"/>
    <col min="28" max="28" width="12.3984375" hidden="1" customWidth="1"/>
    <col min="29" max="29" width="10.69921875" bestFit="1" customWidth="1"/>
    <col min="30" max="30" width="51.296875" hidden="1" customWidth="1"/>
    <col min="31" max="31" width="31.3984375" bestFit="1" customWidth="1"/>
    <col min="32" max="32" width="20.19921875" hidden="1" customWidth="1"/>
    <col min="33" max="33" width="18.09765625" bestFit="1" customWidth="1"/>
    <col min="34" max="34" width="16.19921875" style="11" bestFit="1" customWidth="1"/>
  </cols>
  <sheetData>
    <row r="1" spans="2:34" x14ac:dyDescent="0.3">
      <c r="K1" s="13">
        <f>SUBTOTAL(9,K3:K1048576)</f>
        <v>1574767</v>
      </c>
      <c r="L1" s="13">
        <f t="shared" ref="L1:V1" si="0">SUBTOTAL(9,L3:L1048576)</f>
        <v>10563366.530000001</v>
      </c>
      <c r="M1" s="13">
        <f t="shared" si="0"/>
        <v>1255725888.5401249</v>
      </c>
      <c r="N1" s="13">
        <f t="shared" si="0"/>
        <v>539932380.34920764</v>
      </c>
      <c r="O1" s="13">
        <f t="shared" si="0"/>
        <v>437679542.5482403</v>
      </c>
      <c r="P1" s="13">
        <f t="shared" si="0"/>
        <v>498240834.52885276</v>
      </c>
      <c r="Q1" s="13">
        <f t="shared" si="0"/>
        <v>247766725.56406355</v>
      </c>
      <c r="R1" s="13">
        <f t="shared" si="0"/>
        <v>325914071.06564987</v>
      </c>
      <c r="S1" s="13">
        <f t="shared" si="0"/>
        <v>324446543.27620232</v>
      </c>
      <c r="T1" s="13">
        <f t="shared" si="0"/>
        <v>479760212.94104475</v>
      </c>
      <c r="U1" s="13">
        <f t="shared" si="0"/>
        <v>477957435.79035449</v>
      </c>
      <c r="V1" s="13">
        <f>SUBTOTAL(9,V3:V1048576)</f>
        <v>485658265.12143064</v>
      </c>
      <c r="W1" s="13">
        <f>SUBTOTAL(9,W3:W1048576)</f>
        <v>5085220033.2551708</v>
      </c>
      <c r="AG1" s="13">
        <f t="shared" ref="AG1:AH1" si="1">SUBTOTAL(9,AG3:AG1048576)</f>
        <v>7694307957.2479944</v>
      </c>
      <c r="AH1" s="13">
        <f t="shared" si="1"/>
        <v>5365070186.8626719</v>
      </c>
    </row>
    <row r="2" spans="2:34" ht="16.2" thickBot="1" x14ac:dyDescent="0.35">
      <c r="B2" s="1" t="s">
        <v>2801</v>
      </c>
      <c r="C2" s="10" t="s">
        <v>19</v>
      </c>
      <c r="D2" s="10" t="s">
        <v>2800</v>
      </c>
      <c r="E2" s="2" t="s">
        <v>0</v>
      </c>
      <c r="F2" s="10" t="s">
        <v>1</v>
      </c>
      <c r="G2" s="10" t="s">
        <v>2920</v>
      </c>
      <c r="H2" s="10" t="s">
        <v>2921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  <c r="V2" s="2" t="s">
        <v>15</v>
      </c>
      <c r="W2" s="13" t="s">
        <v>2941</v>
      </c>
      <c r="X2" s="2" t="s">
        <v>16</v>
      </c>
      <c r="Y2" s="2" t="s">
        <v>17</v>
      </c>
      <c r="Z2" s="2" t="s">
        <v>18</v>
      </c>
      <c r="AA2" s="2" t="s">
        <v>20</v>
      </c>
      <c r="AB2" s="2" t="s">
        <v>21</v>
      </c>
      <c r="AC2" s="2" t="s">
        <v>22</v>
      </c>
      <c r="AD2" s="2" t="s">
        <v>23</v>
      </c>
      <c r="AE2" s="2" t="s">
        <v>24</v>
      </c>
      <c r="AF2" s="2" t="s">
        <v>25</v>
      </c>
      <c r="AG2" s="2" t="s">
        <v>26</v>
      </c>
      <c r="AH2" s="11" t="s">
        <v>2942</v>
      </c>
    </row>
    <row r="3" spans="2:34" ht="16.8" thickTop="1" thickBot="1" x14ac:dyDescent="0.35">
      <c r="B3" s="3" t="str">
        <f>C3&amp;D3&amp;F3&amp;G3&amp;H3</f>
        <v>45100114511000015Sponsorship Fees-N1424811200104</v>
      </c>
      <c r="C3" s="4" t="s">
        <v>35</v>
      </c>
      <c r="D3" s="4" t="s">
        <v>27</v>
      </c>
      <c r="E3" s="4" t="s">
        <v>28</v>
      </c>
      <c r="F3" s="4" t="s">
        <v>29</v>
      </c>
      <c r="G3" s="4" t="s">
        <v>2802</v>
      </c>
      <c r="H3" s="4" t="s">
        <v>2922</v>
      </c>
      <c r="I3" s="4" t="s">
        <v>30</v>
      </c>
      <c r="J3" s="4" t="s">
        <v>31</v>
      </c>
      <c r="K3" s="12">
        <f>_xlfn.XLOOKUP(B3,[1]Sheet1!$B:$B,[1]Sheet1!$N:$N,0)</f>
        <v>0</v>
      </c>
      <c r="L3" s="12">
        <f>_xlfn.XLOOKUP(B3,[1]Sheet1!$B:$B,[1]Sheet1!$O:$O,0)</f>
        <v>0</v>
      </c>
      <c r="M3" s="12">
        <f>_xlfn.XLOOKUP(B3,[1]Sheet1!$B:$B,[1]Sheet1!$P:$P,0)</f>
        <v>30000000</v>
      </c>
      <c r="N3" s="12">
        <f>_xlfn.XLOOKUP(B3,[1]Sheet1!$B:$B,[1]Sheet1!$Q:$Q,0)</f>
        <v>0</v>
      </c>
      <c r="O3" s="12">
        <f>_xlfn.XLOOKUP(B3,[1]Sheet1!$B:$B,[1]Sheet1!$R:$R,0)</f>
        <v>0</v>
      </c>
      <c r="P3" s="12">
        <f>_xlfn.XLOOKUP(B3,[1]Sheet1!$B:$B,[1]Sheet1!$S:$S,0)</f>
        <v>0</v>
      </c>
      <c r="Q3" s="12">
        <f>_xlfn.XLOOKUP(B3,[1]Sheet1!$B:$B,[1]Sheet1!$T:$T,0)</f>
        <v>0</v>
      </c>
      <c r="R3" s="12">
        <f>_xlfn.XLOOKUP(B3,[1]Sheet1!$B:$B,[1]Sheet1!$U:$U,0)</f>
        <v>0</v>
      </c>
      <c r="S3" s="12">
        <f>_xlfn.XLOOKUP(B3,[1]Sheet1!$B:$B,[1]Sheet1!$V:$V,0)</f>
        <v>0</v>
      </c>
      <c r="T3" s="12">
        <f>_xlfn.XLOOKUP(B3,[1]Sheet1!$B:$B,[1]Sheet1!$W:$W,0)</f>
        <v>0</v>
      </c>
      <c r="U3" s="12">
        <f>_xlfn.XLOOKUP(B3,[1]Sheet1!$B:$B,[1]Sheet1!$X:$X,0)</f>
        <v>0</v>
      </c>
      <c r="V3" s="12">
        <f>_xlfn.XLOOKUP(B3,[1]Sheet1!$B:$B,[1]Sheet1!$Y:$Y,0)</f>
        <v>0</v>
      </c>
      <c r="W3" s="12">
        <f>SUM(K3:V3)</f>
        <v>30000000</v>
      </c>
      <c r="X3" s="4" t="s">
        <v>32</v>
      </c>
      <c r="Y3" s="4" t="s">
        <v>33</v>
      </c>
      <c r="Z3" s="4" t="s">
        <v>34</v>
      </c>
      <c r="AA3" s="4" t="s">
        <v>30</v>
      </c>
      <c r="AB3" s="4" t="s">
        <v>36</v>
      </c>
      <c r="AC3" s="4" t="s">
        <v>37</v>
      </c>
      <c r="AD3" s="4" t="s">
        <v>38</v>
      </c>
      <c r="AE3" s="4" t="s">
        <v>39</v>
      </c>
      <c r="AF3" s="4" t="s">
        <v>40</v>
      </c>
      <c r="AG3" s="5">
        <v>30000000</v>
      </c>
      <c r="AH3" s="11">
        <f>_xlfn.XLOOKUP(B3,[1]Sheet1!$B:$B,[1]Sheet1!$AB:$AB,0)</f>
        <v>30000000</v>
      </c>
    </row>
    <row r="4" spans="2:34" ht="16.8" thickTop="1" thickBot="1" x14ac:dyDescent="0.35">
      <c r="B4" s="3" t="str">
        <f t="shared" ref="B4:B67" si="2">C4&amp;D4&amp;F4&amp;G4&amp;H4</f>
        <v>45101404511000016Audit Services-N421125200104</v>
      </c>
      <c r="C4" s="6" t="s">
        <v>48</v>
      </c>
      <c r="D4" s="6" t="s">
        <v>41</v>
      </c>
      <c r="E4" s="6" t="s">
        <v>42</v>
      </c>
      <c r="F4" s="6" t="s">
        <v>43</v>
      </c>
      <c r="G4" s="4" t="s">
        <v>2803</v>
      </c>
      <c r="H4" s="4" t="s">
        <v>2922</v>
      </c>
      <c r="I4" s="6" t="s">
        <v>44</v>
      </c>
      <c r="J4" s="6" t="s">
        <v>31</v>
      </c>
      <c r="K4" s="12">
        <f>_xlfn.XLOOKUP(B4,[1]Sheet1!$B:$B,[1]Sheet1!$N:$N,0)</f>
        <v>0</v>
      </c>
      <c r="L4" s="12">
        <f>_xlfn.XLOOKUP(B4,[1]Sheet1!$B:$B,[1]Sheet1!$O:$O,0)</f>
        <v>0</v>
      </c>
      <c r="M4" s="12">
        <f>_xlfn.XLOOKUP(B4,[1]Sheet1!$B:$B,[1]Sheet1!$P:$P,0)</f>
        <v>0</v>
      </c>
      <c r="N4" s="12">
        <f>_xlfn.XLOOKUP(B4,[1]Sheet1!$B:$B,[1]Sheet1!$Q:$Q,0)</f>
        <v>454200</v>
      </c>
      <c r="O4" s="12">
        <f>_xlfn.XLOOKUP(B4,[1]Sheet1!$B:$B,[1]Sheet1!$R:$R,0)</f>
        <v>142800</v>
      </c>
      <c r="P4" s="12">
        <f>_xlfn.XLOOKUP(B4,[1]Sheet1!$B:$B,[1]Sheet1!$S:$S,0)</f>
        <v>142800</v>
      </c>
      <c r="Q4" s="12">
        <f>_xlfn.XLOOKUP(B4,[1]Sheet1!$B:$B,[1]Sheet1!$T:$T,0)</f>
        <v>142800</v>
      </c>
      <c r="R4" s="12">
        <f>_xlfn.XLOOKUP(B4,[1]Sheet1!$B:$B,[1]Sheet1!$U:$U,0)</f>
        <v>142800</v>
      </c>
      <c r="S4" s="12">
        <f>_xlfn.XLOOKUP(B4,[1]Sheet1!$B:$B,[1]Sheet1!$V:$V,0)</f>
        <v>464500</v>
      </c>
      <c r="T4" s="12">
        <f>_xlfn.XLOOKUP(B4,[1]Sheet1!$B:$B,[1]Sheet1!$W:$W,0)</f>
        <v>342800</v>
      </c>
      <c r="U4" s="12">
        <f>_xlfn.XLOOKUP(B4,[1]Sheet1!$B:$B,[1]Sheet1!$X:$X,0)</f>
        <v>802800</v>
      </c>
      <c r="V4" s="12">
        <f>_xlfn.XLOOKUP(B4,[1]Sheet1!$B:$B,[1]Sheet1!$Y:$Y,0)</f>
        <v>464500</v>
      </c>
      <c r="W4" s="12">
        <f t="shared" ref="W4:W67" si="3">SUM(K4:V4)</f>
        <v>3100000</v>
      </c>
      <c r="X4" s="6" t="s">
        <v>45</v>
      </c>
      <c r="Y4" s="6" t="s">
        <v>46</v>
      </c>
      <c r="Z4" s="6" t="s">
        <v>47</v>
      </c>
      <c r="AA4" s="6" t="s">
        <v>44</v>
      </c>
      <c r="AB4" s="6" t="s">
        <v>36</v>
      </c>
      <c r="AC4" s="6" t="s">
        <v>37</v>
      </c>
      <c r="AD4" s="6" t="s">
        <v>49</v>
      </c>
      <c r="AE4" s="6" t="s">
        <v>39</v>
      </c>
      <c r="AF4" s="6" t="s">
        <v>40</v>
      </c>
      <c r="AG4" s="7">
        <v>2669667</v>
      </c>
      <c r="AH4" s="11">
        <f>_xlfn.XLOOKUP(B4,[1]Sheet1!$B:$B,[1]Sheet1!$AB:$AB,0)</f>
        <v>2669667</v>
      </c>
    </row>
    <row r="5" spans="2:34" ht="16.8" thickTop="1" thickBot="1" x14ac:dyDescent="0.35">
      <c r="B5" s="3" t="str">
        <f t="shared" si="2"/>
        <v>45101404511000016Freelancers-N424521200104</v>
      </c>
      <c r="C5" s="8" t="s">
        <v>48</v>
      </c>
      <c r="D5" s="8" t="s">
        <v>41</v>
      </c>
      <c r="E5" s="8" t="s">
        <v>42</v>
      </c>
      <c r="F5" s="8" t="s">
        <v>50</v>
      </c>
      <c r="G5" s="4" t="s">
        <v>2804</v>
      </c>
      <c r="H5" s="4" t="s">
        <v>2922</v>
      </c>
      <c r="I5" s="8" t="s">
        <v>51</v>
      </c>
      <c r="J5" s="8" t="s">
        <v>31</v>
      </c>
      <c r="K5" s="12">
        <f>_xlfn.XLOOKUP(B5,[1]Sheet1!$B:$B,[1]Sheet1!$N:$N,0)</f>
        <v>0</v>
      </c>
      <c r="L5" s="12">
        <f>_xlfn.XLOOKUP(B5,[1]Sheet1!$B:$B,[1]Sheet1!$O:$O,0)</f>
        <v>0</v>
      </c>
      <c r="M5" s="12">
        <f>_xlfn.XLOOKUP(B5,[1]Sheet1!$B:$B,[1]Sheet1!$P:$P,0)</f>
        <v>0</v>
      </c>
      <c r="N5" s="12">
        <f>_xlfn.XLOOKUP(B5,[1]Sheet1!$B:$B,[1]Sheet1!$Q:$Q,0)</f>
        <v>0</v>
      </c>
      <c r="O5" s="12">
        <f>_xlfn.XLOOKUP(B5,[1]Sheet1!$B:$B,[1]Sheet1!$R:$R,0)</f>
        <v>0</v>
      </c>
      <c r="P5" s="12">
        <f>_xlfn.XLOOKUP(B5,[1]Sheet1!$B:$B,[1]Sheet1!$S:$S,0)</f>
        <v>0</v>
      </c>
      <c r="Q5" s="12">
        <f>_xlfn.XLOOKUP(B5,[1]Sheet1!$B:$B,[1]Sheet1!$T:$T,0)</f>
        <v>0</v>
      </c>
      <c r="R5" s="12">
        <f>_xlfn.XLOOKUP(B5,[1]Sheet1!$B:$B,[1]Sheet1!$U:$U,0)</f>
        <v>0</v>
      </c>
      <c r="S5" s="12">
        <f>_xlfn.XLOOKUP(B5,[1]Sheet1!$B:$B,[1]Sheet1!$V:$V,0)</f>
        <v>0</v>
      </c>
      <c r="T5" s="12">
        <f>_xlfn.XLOOKUP(B5,[1]Sheet1!$B:$B,[1]Sheet1!$W:$W,0)</f>
        <v>0</v>
      </c>
      <c r="U5" s="12">
        <f>_xlfn.XLOOKUP(B5,[1]Sheet1!$B:$B,[1]Sheet1!$X:$X,0)</f>
        <v>0</v>
      </c>
      <c r="V5" s="12">
        <f>_xlfn.XLOOKUP(B5,[1]Sheet1!$B:$B,[1]Sheet1!$Y:$Y,0)</f>
        <v>0</v>
      </c>
      <c r="W5" s="12">
        <f t="shared" si="3"/>
        <v>0</v>
      </c>
      <c r="X5" s="8" t="s">
        <v>52</v>
      </c>
      <c r="Y5" s="8" t="s">
        <v>46</v>
      </c>
      <c r="Z5" s="8" t="s">
        <v>47</v>
      </c>
      <c r="AA5" s="8" t="s">
        <v>53</v>
      </c>
      <c r="AB5" s="8" t="s">
        <v>36</v>
      </c>
      <c r="AC5" s="8" t="s">
        <v>37</v>
      </c>
      <c r="AD5" s="8" t="s">
        <v>49</v>
      </c>
      <c r="AE5" s="8" t="s">
        <v>39</v>
      </c>
      <c r="AF5" s="8" t="s">
        <v>40</v>
      </c>
      <c r="AG5" s="9">
        <v>430333</v>
      </c>
      <c r="AH5" s="11">
        <f>_xlfn.XLOOKUP(B5,[1]Sheet1!$B:$B,[1]Sheet1!$AB:$AB,0)</f>
        <v>430333</v>
      </c>
    </row>
    <row r="6" spans="2:34" ht="16.8" thickTop="1" thickBot="1" x14ac:dyDescent="0.35">
      <c r="B6" s="3" t="str">
        <f t="shared" si="2"/>
        <v>45101404511000016Mission &amp; Travel-N423821200104</v>
      </c>
      <c r="C6" s="6" t="s">
        <v>48</v>
      </c>
      <c r="D6" s="6" t="s">
        <v>41</v>
      </c>
      <c r="E6" s="6" t="s">
        <v>42</v>
      </c>
      <c r="F6" s="6" t="s">
        <v>54</v>
      </c>
      <c r="G6" s="4" t="s">
        <v>2805</v>
      </c>
      <c r="H6" s="4" t="s">
        <v>2922</v>
      </c>
      <c r="I6" s="6" t="s">
        <v>55</v>
      </c>
      <c r="J6" s="6" t="s">
        <v>31</v>
      </c>
      <c r="K6" s="12">
        <f>_xlfn.XLOOKUP(B6,[1]Sheet1!$B:$B,[1]Sheet1!$N:$N,0)</f>
        <v>0</v>
      </c>
      <c r="L6" s="12">
        <f>_xlfn.XLOOKUP(B6,[1]Sheet1!$B:$B,[1]Sheet1!$O:$O,0)</f>
        <v>0</v>
      </c>
      <c r="M6" s="12">
        <f>_xlfn.XLOOKUP(B6,[1]Sheet1!$B:$B,[1]Sheet1!$P:$P,0)</f>
        <v>0</v>
      </c>
      <c r="N6" s="12">
        <f>_xlfn.XLOOKUP(B6,[1]Sheet1!$B:$B,[1]Sheet1!$Q:$Q,0)</f>
        <v>0</v>
      </c>
      <c r="O6" s="12">
        <f>_xlfn.XLOOKUP(B6,[1]Sheet1!$B:$B,[1]Sheet1!$R:$R,0)</f>
        <v>0</v>
      </c>
      <c r="P6" s="12">
        <f>_xlfn.XLOOKUP(B6,[1]Sheet1!$B:$B,[1]Sheet1!$S:$S,0)</f>
        <v>0</v>
      </c>
      <c r="Q6" s="12">
        <f>_xlfn.XLOOKUP(B6,[1]Sheet1!$B:$B,[1]Sheet1!$T:$T,0)</f>
        <v>0</v>
      </c>
      <c r="R6" s="12">
        <f>_xlfn.XLOOKUP(B6,[1]Sheet1!$B:$B,[1]Sheet1!$U:$U,0)</f>
        <v>0</v>
      </c>
      <c r="S6" s="12">
        <f>_xlfn.XLOOKUP(B6,[1]Sheet1!$B:$B,[1]Sheet1!$V:$V,0)</f>
        <v>0</v>
      </c>
      <c r="T6" s="12">
        <f>_xlfn.XLOOKUP(B6,[1]Sheet1!$B:$B,[1]Sheet1!$W:$W,0)</f>
        <v>0</v>
      </c>
      <c r="U6" s="12">
        <f>_xlfn.XLOOKUP(B6,[1]Sheet1!$B:$B,[1]Sheet1!$X:$X,0)</f>
        <v>125000</v>
      </c>
      <c r="V6" s="12">
        <f>_xlfn.XLOOKUP(B6,[1]Sheet1!$B:$B,[1]Sheet1!$Y:$Y,0)</f>
        <v>0</v>
      </c>
      <c r="W6" s="12">
        <f t="shared" si="3"/>
        <v>125000</v>
      </c>
      <c r="X6" s="6" t="s">
        <v>56</v>
      </c>
      <c r="Y6" s="6" t="s">
        <v>46</v>
      </c>
      <c r="Z6" s="6" t="s">
        <v>47</v>
      </c>
      <c r="AA6" s="6" t="s">
        <v>55</v>
      </c>
      <c r="AB6" s="6" t="s">
        <v>36</v>
      </c>
      <c r="AC6" s="6" t="s">
        <v>37</v>
      </c>
      <c r="AD6" s="6" t="s">
        <v>49</v>
      </c>
      <c r="AE6" s="6" t="s">
        <v>39</v>
      </c>
      <c r="AF6" s="6" t="s">
        <v>40</v>
      </c>
      <c r="AG6" s="7">
        <v>125000</v>
      </c>
      <c r="AH6" s="11">
        <f>_xlfn.XLOOKUP(B6,[1]Sheet1!$B:$B,[1]Sheet1!$AB:$AB,0)</f>
        <v>125000</v>
      </c>
    </row>
    <row r="7" spans="2:34" ht="16.8" thickTop="1" thickBot="1" x14ac:dyDescent="0.35">
      <c r="B7" s="3" t="str">
        <f t="shared" si="2"/>
        <v>45101404511000016Other Expenses-N424991200104</v>
      </c>
      <c r="C7" s="8" t="s">
        <v>48</v>
      </c>
      <c r="D7" s="8" t="s">
        <v>41</v>
      </c>
      <c r="E7" s="8" t="s">
        <v>42</v>
      </c>
      <c r="F7" s="8" t="s">
        <v>57</v>
      </c>
      <c r="G7" s="4" t="s">
        <v>2806</v>
      </c>
      <c r="H7" s="4" t="s">
        <v>2922</v>
      </c>
      <c r="I7" s="8" t="s">
        <v>58</v>
      </c>
      <c r="J7" s="8" t="s">
        <v>31</v>
      </c>
      <c r="K7" s="12">
        <f>_xlfn.XLOOKUP(B7,[1]Sheet1!$B:$B,[1]Sheet1!$N:$N,0)</f>
        <v>0</v>
      </c>
      <c r="L7" s="12">
        <f>_xlfn.XLOOKUP(B7,[1]Sheet1!$B:$B,[1]Sheet1!$O:$O,0)</f>
        <v>0</v>
      </c>
      <c r="M7" s="12">
        <f>_xlfn.XLOOKUP(B7,[1]Sheet1!$B:$B,[1]Sheet1!$P:$P,0)</f>
        <v>2926.04</v>
      </c>
      <c r="N7" s="12">
        <f>_xlfn.XLOOKUP(B7,[1]Sheet1!$B:$B,[1]Sheet1!$Q:$Q,0)</f>
        <v>0</v>
      </c>
      <c r="O7" s="12">
        <f>_xlfn.XLOOKUP(B7,[1]Sheet1!$B:$B,[1]Sheet1!$R:$R,0)</f>
        <v>0</v>
      </c>
      <c r="P7" s="12">
        <f>_xlfn.XLOOKUP(B7,[1]Sheet1!$B:$B,[1]Sheet1!$S:$S,0)</f>
        <v>0</v>
      </c>
      <c r="Q7" s="12">
        <f>_xlfn.XLOOKUP(B7,[1]Sheet1!$B:$B,[1]Sheet1!$T:$T,0)</f>
        <v>0</v>
      </c>
      <c r="R7" s="12">
        <f>_xlfn.XLOOKUP(B7,[1]Sheet1!$B:$B,[1]Sheet1!$U:$U,0)</f>
        <v>0</v>
      </c>
      <c r="S7" s="12">
        <f>_xlfn.XLOOKUP(B7,[1]Sheet1!$B:$B,[1]Sheet1!$V:$V,0)</f>
        <v>59574</v>
      </c>
      <c r="T7" s="12">
        <f>_xlfn.XLOOKUP(B7,[1]Sheet1!$B:$B,[1]Sheet1!$W:$W,0)</f>
        <v>0</v>
      </c>
      <c r="U7" s="12">
        <f>_xlfn.XLOOKUP(B7,[1]Sheet1!$B:$B,[1]Sheet1!$X:$X,0)</f>
        <v>62500</v>
      </c>
      <c r="V7" s="12">
        <f>_xlfn.XLOOKUP(B7,[1]Sheet1!$B:$B,[1]Sheet1!$Y:$Y,0)</f>
        <v>0</v>
      </c>
      <c r="W7" s="12">
        <f t="shared" si="3"/>
        <v>125000.04000000001</v>
      </c>
      <c r="X7" s="8" t="s">
        <v>59</v>
      </c>
      <c r="Y7" s="8" t="s">
        <v>46</v>
      </c>
      <c r="Z7" s="8" t="s">
        <v>47</v>
      </c>
      <c r="AA7" s="8" t="s">
        <v>58</v>
      </c>
      <c r="AB7" s="8" t="s">
        <v>36</v>
      </c>
      <c r="AC7" s="8" t="s">
        <v>37</v>
      </c>
      <c r="AD7" s="8" t="s">
        <v>49</v>
      </c>
      <c r="AE7" s="8" t="s">
        <v>39</v>
      </c>
      <c r="AF7" s="8" t="s">
        <v>40</v>
      </c>
      <c r="AG7" s="9">
        <v>125000</v>
      </c>
      <c r="AH7" s="11">
        <f>_xlfn.XLOOKUP(B7,[1]Sheet1!$B:$B,[1]Sheet1!$AB:$AB,0)</f>
        <v>125000.04000000001</v>
      </c>
    </row>
    <row r="8" spans="2:34" ht="16.8" thickTop="1" thickBot="1" x14ac:dyDescent="0.35">
      <c r="B8" s="3" t="str">
        <f t="shared" si="2"/>
        <v>45112504511000019Activation&amp;Prog-N422401200104</v>
      </c>
      <c r="C8" s="6" t="s">
        <v>67</v>
      </c>
      <c r="D8" s="6" t="s">
        <v>60</v>
      </c>
      <c r="E8" s="6" t="s">
        <v>61</v>
      </c>
      <c r="F8" s="6" t="s">
        <v>62</v>
      </c>
      <c r="G8" s="4" t="s">
        <v>2807</v>
      </c>
      <c r="H8" s="4" t="s">
        <v>2922</v>
      </c>
      <c r="I8" s="6" t="s">
        <v>63</v>
      </c>
      <c r="J8" s="6" t="s">
        <v>31</v>
      </c>
      <c r="K8" s="12">
        <f>_xlfn.XLOOKUP(B8,[1]Sheet1!$B:$B,[1]Sheet1!$N:$N,0)</f>
        <v>0</v>
      </c>
      <c r="L8" s="12">
        <f>_xlfn.XLOOKUP(B8,[1]Sheet1!$B:$B,[1]Sheet1!$O:$O,0)</f>
        <v>0</v>
      </c>
      <c r="M8" s="12">
        <f>_xlfn.XLOOKUP(B8,[1]Sheet1!$B:$B,[1]Sheet1!$P:$P,0)</f>
        <v>562600</v>
      </c>
      <c r="N8" s="12">
        <f>_xlfn.XLOOKUP(B8,[1]Sheet1!$B:$B,[1]Sheet1!$Q:$Q,0)</f>
        <v>0</v>
      </c>
      <c r="O8" s="12">
        <f>_xlfn.XLOOKUP(B8,[1]Sheet1!$B:$B,[1]Sheet1!$R:$R,0)</f>
        <v>0</v>
      </c>
      <c r="P8" s="12">
        <f>_xlfn.XLOOKUP(B8,[1]Sheet1!$B:$B,[1]Sheet1!$S:$S,0)</f>
        <v>0</v>
      </c>
      <c r="Q8" s="12">
        <f>_xlfn.XLOOKUP(B8,[1]Sheet1!$B:$B,[1]Sheet1!$T:$T,0)</f>
        <v>0</v>
      </c>
      <c r="R8" s="12">
        <f>_xlfn.XLOOKUP(B8,[1]Sheet1!$B:$B,[1]Sheet1!$U:$U,0)</f>
        <v>0</v>
      </c>
      <c r="S8" s="12">
        <f>_xlfn.XLOOKUP(B8,[1]Sheet1!$B:$B,[1]Sheet1!$V:$V,0)</f>
        <v>0</v>
      </c>
      <c r="T8" s="12">
        <f>_xlfn.XLOOKUP(B8,[1]Sheet1!$B:$B,[1]Sheet1!$W:$W,0)</f>
        <v>0</v>
      </c>
      <c r="U8" s="12">
        <f>_xlfn.XLOOKUP(B8,[1]Sheet1!$B:$B,[1]Sheet1!$X:$X,0)</f>
        <v>0</v>
      </c>
      <c r="V8" s="12">
        <f>_xlfn.XLOOKUP(B8,[1]Sheet1!$B:$B,[1]Sheet1!$Y:$Y,0)</f>
        <v>430400</v>
      </c>
      <c r="W8" s="12">
        <f t="shared" si="3"/>
        <v>993000</v>
      </c>
      <c r="X8" s="6" t="s">
        <v>64</v>
      </c>
      <c r="Y8" s="6" t="s">
        <v>65</v>
      </c>
      <c r="Z8" s="6" t="s">
        <v>66</v>
      </c>
      <c r="AA8" s="6" t="s">
        <v>68</v>
      </c>
      <c r="AB8" s="6" t="s">
        <v>36</v>
      </c>
      <c r="AC8" s="6" t="s">
        <v>37</v>
      </c>
      <c r="AD8" s="6" t="s">
        <v>69</v>
      </c>
      <c r="AE8" s="6" t="s">
        <v>39</v>
      </c>
      <c r="AF8" s="6" t="s">
        <v>40</v>
      </c>
      <c r="AG8" s="7">
        <v>993000</v>
      </c>
      <c r="AH8" s="11">
        <f>_xlfn.XLOOKUP(B8,[1]Sheet1!$B:$B,[1]Sheet1!$AB:$AB,0)</f>
        <v>993000</v>
      </c>
    </row>
    <row r="9" spans="2:34" ht="16.8" thickTop="1" thickBot="1" x14ac:dyDescent="0.35">
      <c r="B9" s="3" t="str">
        <f t="shared" si="2"/>
        <v>45112504511000019Ad-hoc Repairs-N426427200104</v>
      </c>
      <c r="C9" s="8" t="s">
        <v>67</v>
      </c>
      <c r="D9" s="8" t="s">
        <v>60</v>
      </c>
      <c r="E9" s="8" t="s">
        <v>61</v>
      </c>
      <c r="F9" s="8" t="s">
        <v>70</v>
      </c>
      <c r="G9" s="4" t="s">
        <v>2808</v>
      </c>
      <c r="H9" s="4" t="s">
        <v>2922</v>
      </c>
      <c r="I9" s="8" t="s">
        <v>71</v>
      </c>
      <c r="J9" s="8" t="s">
        <v>31</v>
      </c>
      <c r="K9" s="12">
        <f>_xlfn.XLOOKUP(B9,[1]Sheet1!$B:$B,[1]Sheet1!$N:$N,0)</f>
        <v>0</v>
      </c>
      <c r="L9" s="12">
        <f>_xlfn.XLOOKUP(B9,[1]Sheet1!$B:$B,[1]Sheet1!$O:$O,0)</f>
        <v>0</v>
      </c>
      <c r="M9" s="12">
        <f>_xlfn.XLOOKUP(B9,[1]Sheet1!$B:$B,[1]Sheet1!$P:$P,0)</f>
        <v>0</v>
      </c>
      <c r="N9" s="12">
        <f>_xlfn.XLOOKUP(B9,[1]Sheet1!$B:$B,[1]Sheet1!$Q:$Q,0)</f>
        <v>30000</v>
      </c>
      <c r="O9" s="12">
        <f>_xlfn.XLOOKUP(B9,[1]Sheet1!$B:$B,[1]Sheet1!$R:$R,0)</f>
        <v>30000</v>
      </c>
      <c r="P9" s="12">
        <f>_xlfn.XLOOKUP(B9,[1]Sheet1!$B:$B,[1]Sheet1!$S:$S,0)</f>
        <v>30000</v>
      </c>
      <c r="Q9" s="12">
        <f>_xlfn.XLOOKUP(B9,[1]Sheet1!$B:$B,[1]Sheet1!$T:$T,0)</f>
        <v>30000</v>
      </c>
      <c r="R9" s="12">
        <f>_xlfn.XLOOKUP(B9,[1]Sheet1!$B:$B,[1]Sheet1!$U:$U,0)</f>
        <v>5316</v>
      </c>
      <c r="S9" s="12">
        <f>_xlfn.XLOOKUP(B9,[1]Sheet1!$B:$B,[1]Sheet1!$V:$V,0)</f>
        <v>17658</v>
      </c>
      <c r="T9" s="12">
        <f>_xlfn.XLOOKUP(B9,[1]Sheet1!$B:$B,[1]Sheet1!$W:$W,0)</f>
        <v>19368</v>
      </c>
      <c r="U9" s="12">
        <f>_xlfn.XLOOKUP(B9,[1]Sheet1!$B:$B,[1]Sheet1!$X:$X,0)</f>
        <v>0</v>
      </c>
      <c r="V9" s="12">
        <f>_xlfn.XLOOKUP(B9,[1]Sheet1!$B:$B,[1]Sheet1!$Y:$Y,0)</f>
        <v>0</v>
      </c>
      <c r="W9" s="12">
        <f t="shared" si="3"/>
        <v>162342</v>
      </c>
      <c r="X9" s="8" t="s">
        <v>72</v>
      </c>
      <c r="Y9" s="8" t="s">
        <v>65</v>
      </c>
      <c r="Z9" s="8" t="s">
        <v>66</v>
      </c>
      <c r="AA9" s="8" t="s">
        <v>71</v>
      </c>
      <c r="AB9" s="8" t="s">
        <v>36</v>
      </c>
      <c r="AC9" s="8" t="s">
        <v>37</v>
      </c>
      <c r="AD9" s="8" t="s">
        <v>69</v>
      </c>
      <c r="AE9" s="8" t="s">
        <v>39</v>
      </c>
      <c r="AF9" s="8" t="s">
        <v>40</v>
      </c>
      <c r="AG9" s="9">
        <v>162342</v>
      </c>
      <c r="AH9" s="11">
        <f>_xlfn.XLOOKUP(B9,[1]Sheet1!$B:$B,[1]Sheet1!$AB:$AB,0)</f>
        <v>162342</v>
      </c>
    </row>
    <row r="10" spans="2:34" ht="16.8" thickTop="1" thickBot="1" x14ac:dyDescent="0.35">
      <c r="B10" s="3" t="str">
        <f t="shared" si="2"/>
        <v>45112504511000019Admin Expenses-N1421125200104</v>
      </c>
      <c r="C10" s="6" t="s">
        <v>67</v>
      </c>
      <c r="D10" s="6" t="s">
        <v>60</v>
      </c>
      <c r="E10" s="6" t="s">
        <v>61</v>
      </c>
      <c r="F10" s="6" t="s">
        <v>73</v>
      </c>
      <c r="G10" s="4" t="s">
        <v>2803</v>
      </c>
      <c r="H10" s="4" t="s">
        <v>2922</v>
      </c>
      <c r="I10" s="6" t="s">
        <v>44</v>
      </c>
      <c r="J10" s="6" t="s">
        <v>31</v>
      </c>
      <c r="K10" s="12">
        <f>_xlfn.XLOOKUP(B10,[1]Sheet1!$B:$B,[1]Sheet1!$N:$N,0)</f>
        <v>0</v>
      </c>
      <c r="L10" s="12">
        <f>_xlfn.XLOOKUP(B10,[1]Sheet1!$B:$B,[1]Sheet1!$O:$O,0)</f>
        <v>0</v>
      </c>
      <c r="M10" s="12">
        <f>_xlfn.XLOOKUP(B10,[1]Sheet1!$B:$B,[1]Sheet1!$P:$P,0)</f>
        <v>0</v>
      </c>
      <c r="N10" s="12">
        <f>_xlfn.XLOOKUP(B10,[1]Sheet1!$B:$B,[1]Sheet1!$Q:$Q,0)</f>
        <v>0</v>
      </c>
      <c r="O10" s="12">
        <f>_xlfn.XLOOKUP(B10,[1]Sheet1!$B:$B,[1]Sheet1!$R:$R,0)</f>
        <v>40000</v>
      </c>
      <c r="P10" s="12">
        <f>_xlfn.XLOOKUP(B10,[1]Sheet1!$B:$B,[1]Sheet1!$S:$S,0)</f>
        <v>40000</v>
      </c>
      <c r="Q10" s="12">
        <f>_xlfn.XLOOKUP(B10,[1]Sheet1!$B:$B,[1]Sheet1!$T:$T,0)</f>
        <v>40000</v>
      </c>
      <c r="R10" s="12">
        <f>_xlfn.XLOOKUP(B10,[1]Sheet1!$B:$B,[1]Sheet1!$U:$U,0)</f>
        <v>40000</v>
      </c>
      <c r="S10" s="12">
        <f>_xlfn.XLOOKUP(B10,[1]Sheet1!$B:$B,[1]Sheet1!$V:$V,0)</f>
        <v>40000</v>
      </c>
      <c r="T10" s="12">
        <f>_xlfn.XLOOKUP(B10,[1]Sheet1!$B:$B,[1]Sheet1!$W:$W,0)</f>
        <v>71800</v>
      </c>
      <c r="U10" s="12">
        <f>_xlfn.XLOOKUP(B10,[1]Sheet1!$B:$B,[1]Sheet1!$X:$X,0)</f>
        <v>0</v>
      </c>
      <c r="V10" s="12">
        <f>_xlfn.XLOOKUP(B10,[1]Sheet1!$B:$B,[1]Sheet1!$Y:$Y,0)</f>
        <v>0</v>
      </c>
      <c r="W10" s="12">
        <f t="shared" si="3"/>
        <v>271800</v>
      </c>
      <c r="X10" s="6" t="s">
        <v>74</v>
      </c>
      <c r="Y10" s="6" t="s">
        <v>65</v>
      </c>
      <c r="Z10" s="6" t="s">
        <v>66</v>
      </c>
      <c r="AA10" s="6" t="s">
        <v>44</v>
      </c>
      <c r="AB10" s="6" t="s">
        <v>36</v>
      </c>
      <c r="AC10" s="6" t="s">
        <v>37</v>
      </c>
      <c r="AD10" s="6" t="s">
        <v>69</v>
      </c>
      <c r="AE10" s="6" t="s">
        <v>39</v>
      </c>
      <c r="AF10" s="6" t="s">
        <v>40</v>
      </c>
      <c r="AG10" s="7">
        <v>271800</v>
      </c>
      <c r="AH10" s="11">
        <f>_xlfn.XLOOKUP(B10,[1]Sheet1!$B:$B,[1]Sheet1!$AB:$AB,0)</f>
        <v>271800</v>
      </c>
    </row>
    <row r="11" spans="2:34" ht="16.8" thickTop="1" thickBot="1" x14ac:dyDescent="0.35">
      <c r="B11" s="3" t="str">
        <f t="shared" si="2"/>
        <v>45112504511000019Art Materials-N1432626200104</v>
      </c>
      <c r="C11" s="8" t="s">
        <v>67</v>
      </c>
      <c r="D11" s="8" t="s">
        <v>60</v>
      </c>
      <c r="E11" s="8" t="s">
        <v>61</v>
      </c>
      <c r="F11" s="8" t="s">
        <v>75</v>
      </c>
      <c r="G11" s="4" t="s">
        <v>2809</v>
      </c>
      <c r="H11" s="4" t="s">
        <v>2922</v>
      </c>
      <c r="I11" s="8" t="s">
        <v>76</v>
      </c>
      <c r="J11" s="8" t="s">
        <v>31</v>
      </c>
      <c r="K11" s="12">
        <f>_xlfn.XLOOKUP(B11,[1]Sheet1!$B:$B,[1]Sheet1!$N:$N,0)</f>
        <v>0</v>
      </c>
      <c r="L11" s="12">
        <f>_xlfn.XLOOKUP(B11,[1]Sheet1!$B:$B,[1]Sheet1!$O:$O,0)</f>
        <v>0</v>
      </c>
      <c r="M11" s="12">
        <f>_xlfn.XLOOKUP(B11,[1]Sheet1!$B:$B,[1]Sheet1!$P:$P,0)</f>
        <v>0</v>
      </c>
      <c r="N11" s="12">
        <f>_xlfn.XLOOKUP(B11,[1]Sheet1!$B:$B,[1]Sheet1!$Q:$Q,0)</f>
        <v>75000</v>
      </c>
      <c r="O11" s="12">
        <f>_xlfn.XLOOKUP(B11,[1]Sheet1!$B:$B,[1]Sheet1!$R:$R,0)</f>
        <v>0</v>
      </c>
      <c r="P11" s="12">
        <f>_xlfn.XLOOKUP(B11,[1]Sheet1!$B:$B,[1]Sheet1!$S:$S,0)</f>
        <v>50000</v>
      </c>
      <c r="Q11" s="12">
        <f>_xlfn.XLOOKUP(B11,[1]Sheet1!$B:$B,[1]Sheet1!$T:$T,0)</f>
        <v>0</v>
      </c>
      <c r="R11" s="12">
        <f>_xlfn.XLOOKUP(B11,[1]Sheet1!$B:$B,[1]Sheet1!$U:$U,0)</f>
        <v>0</v>
      </c>
      <c r="S11" s="12">
        <f>_xlfn.XLOOKUP(B11,[1]Sheet1!$B:$B,[1]Sheet1!$V:$V,0)</f>
        <v>0</v>
      </c>
      <c r="T11" s="12">
        <f>_xlfn.XLOOKUP(B11,[1]Sheet1!$B:$B,[1]Sheet1!$W:$W,0)</f>
        <v>25000</v>
      </c>
      <c r="U11" s="12">
        <f>_xlfn.XLOOKUP(B11,[1]Sheet1!$B:$B,[1]Sheet1!$X:$X,0)</f>
        <v>0</v>
      </c>
      <c r="V11" s="12">
        <f>_xlfn.XLOOKUP(B11,[1]Sheet1!$B:$B,[1]Sheet1!$Y:$Y,0)</f>
        <v>0</v>
      </c>
      <c r="W11" s="12">
        <f t="shared" si="3"/>
        <v>150000</v>
      </c>
      <c r="X11" s="8" t="s">
        <v>77</v>
      </c>
      <c r="Y11" s="8" t="s">
        <v>65</v>
      </c>
      <c r="Z11" s="8" t="s">
        <v>66</v>
      </c>
      <c r="AA11" s="8" t="s">
        <v>78</v>
      </c>
      <c r="AB11" s="8" t="s">
        <v>36</v>
      </c>
      <c r="AC11" s="8" t="s">
        <v>37</v>
      </c>
      <c r="AD11" s="8" t="s">
        <v>69</v>
      </c>
      <c r="AE11" s="8" t="s">
        <v>39</v>
      </c>
      <c r="AF11" s="8" t="s">
        <v>40</v>
      </c>
      <c r="AG11" s="9">
        <v>150000</v>
      </c>
      <c r="AH11" s="11">
        <f>_xlfn.XLOOKUP(B11,[1]Sheet1!$B:$B,[1]Sheet1!$AB:$AB,0)</f>
        <v>150000</v>
      </c>
    </row>
    <row r="12" spans="2:34" ht="16.8" thickTop="1" thickBot="1" x14ac:dyDescent="0.35">
      <c r="B12" s="3" t="str">
        <f t="shared" si="2"/>
        <v>45112504511000019Cleaning Service-N422311200104</v>
      </c>
      <c r="C12" s="6" t="s">
        <v>67</v>
      </c>
      <c r="D12" s="6" t="s">
        <v>60</v>
      </c>
      <c r="E12" s="6" t="s">
        <v>61</v>
      </c>
      <c r="F12" s="6" t="s">
        <v>79</v>
      </c>
      <c r="G12" s="4" t="s">
        <v>2810</v>
      </c>
      <c r="H12" s="4" t="s">
        <v>2922</v>
      </c>
      <c r="I12" s="6" t="s">
        <v>80</v>
      </c>
      <c r="J12" s="6" t="s">
        <v>31</v>
      </c>
      <c r="K12" s="12">
        <f>_xlfn.XLOOKUP(B12,[1]Sheet1!$B:$B,[1]Sheet1!$N:$N,0)</f>
        <v>0</v>
      </c>
      <c r="L12" s="12">
        <f>_xlfn.XLOOKUP(B12,[1]Sheet1!$B:$B,[1]Sheet1!$O:$O,0)</f>
        <v>0</v>
      </c>
      <c r="M12" s="12">
        <f>_xlfn.XLOOKUP(B12,[1]Sheet1!$B:$B,[1]Sheet1!$P:$P,0)</f>
        <v>0</v>
      </c>
      <c r="N12" s="12">
        <f>_xlfn.XLOOKUP(B12,[1]Sheet1!$B:$B,[1]Sheet1!$Q:$Q,0)</f>
        <v>45000</v>
      </c>
      <c r="O12" s="12">
        <f>_xlfn.XLOOKUP(B12,[1]Sheet1!$B:$B,[1]Sheet1!$R:$R,0)</f>
        <v>15000</v>
      </c>
      <c r="P12" s="12">
        <f>_xlfn.XLOOKUP(B12,[1]Sheet1!$B:$B,[1]Sheet1!$S:$S,0)</f>
        <v>15000</v>
      </c>
      <c r="Q12" s="12">
        <f>_xlfn.XLOOKUP(B12,[1]Sheet1!$B:$B,[1]Sheet1!$T:$T,0)</f>
        <v>15000</v>
      </c>
      <c r="R12" s="12">
        <f>_xlfn.XLOOKUP(B12,[1]Sheet1!$B:$B,[1]Sheet1!$U:$U,0)</f>
        <v>15000</v>
      </c>
      <c r="S12" s="12">
        <f>_xlfn.XLOOKUP(B12,[1]Sheet1!$B:$B,[1]Sheet1!$V:$V,0)</f>
        <v>15000</v>
      </c>
      <c r="T12" s="12">
        <f>_xlfn.XLOOKUP(B12,[1]Sheet1!$B:$B,[1]Sheet1!$W:$W,0)</f>
        <v>30000</v>
      </c>
      <c r="U12" s="12">
        <f>_xlfn.XLOOKUP(B12,[1]Sheet1!$B:$B,[1]Sheet1!$X:$X,0)</f>
        <v>30000</v>
      </c>
      <c r="V12" s="12">
        <f>_xlfn.XLOOKUP(B12,[1]Sheet1!$B:$B,[1]Sheet1!$Y:$Y,0)</f>
        <v>38430</v>
      </c>
      <c r="W12" s="12">
        <f t="shared" si="3"/>
        <v>218430</v>
      </c>
      <c r="X12" s="6" t="s">
        <v>81</v>
      </c>
      <c r="Y12" s="6" t="s">
        <v>65</v>
      </c>
      <c r="Z12" s="6" t="s">
        <v>66</v>
      </c>
      <c r="AA12" s="6" t="s">
        <v>80</v>
      </c>
      <c r="AB12" s="6" t="s">
        <v>36</v>
      </c>
      <c r="AC12" s="6" t="s">
        <v>37</v>
      </c>
      <c r="AD12" s="6" t="s">
        <v>69</v>
      </c>
      <c r="AE12" s="6" t="s">
        <v>39</v>
      </c>
      <c r="AF12" s="6" t="s">
        <v>40</v>
      </c>
      <c r="AG12" s="7">
        <v>218430</v>
      </c>
      <c r="AH12" s="11">
        <f>_xlfn.XLOOKUP(B12,[1]Sheet1!$B:$B,[1]Sheet1!$AB:$AB,0)</f>
        <v>218430</v>
      </c>
    </row>
    <row r="13" spans="2:34" ht="16.8" thickTop="1" thickBot="1" x14ac:dyDescent="0.35">
      <c r="B13" s="3" t="str">
        <f t="shared" si="2"/>
        <v>45112504511000019Freelancers-N424521200104</v>
      </c>
      <c r="C13" s="8" t="s">
        <v>67</v>
      </c>
      <c r="D13" s="8" t="s">
        <v>60</v>
      </c>
      <c r="E13" s="8" t="s">
        <v>61</v>
      </c>
      <c r="F13" s="8" t="s">
        <v>50</v>
      </c>
      <c r="G13" s="4" t="s">
        <v>2804</v>
      </c>
      <c r="H13" s="4" t="s">
        <v>2922</v>
      </c>
      <c r="I13" s="8" t="s">
        <v>51</v>
      </c>
      <c r="J13" s="8" t="s">
        <v>31</v>
      </c>
      <c r="K13" s="12">
        <f>_xlfn.XLOOKUP(B13,[1]Sheet1!$B:$B,[1]Sheet1!$N:$N,0)</f>
        <v>0</v>
      </c>
      <c r="L13" s="12">
        <f>_xlfn.XLOOKUP(B13,[1]Sheet1!$B:$B,[1]Sheet1!$O:$O,0)</f>
        <v>0</v>
      </c>
      <c r="M13" s="12">
        <f>_xlfn.XLOOKUP(B13,[1]Sheet1!$B:$B,[1]Sheet1!$P:$P,0)</f>
        <v>223600</v>
      </c>
      <c r="N13" s="12">
        <f>_xlfn.XLOOKUP(B13,[1]Sheet1!$B:$B,[1]Sheet1!$Q:$Q,0)</f>
        <v>71600</v>
      </c>
      <c r="O13" s="12">
        <f>_xlfn.XLOOKUP(B13,[1]Sheet1!$B:$B,[1]Sheet1!$R:$R,0)</f>
        <v>98400</v>
      </c>
      <c r="P13" s="12">
        <f>_xlfn.XLOOKUP(B13,[1]Sheet1!$B:$B,[1]Sheet1!$S:$S,0)</f>
        <v>98400</v>
      </c>
      <c r="Q13" s="12">
        <f>_xlfn.XLOOKUP(B13,[1]Sheet1!$B:$B,[1]Sheet1!$T:$T,0)</f>
        <v>98400</v>
      </c>
      <c r="R13" s="12">
        <f>_xlfn.XLOOKUP(B13,[1]Sheet1!$B:$B,[1]Sheet1!$U:$U,0)</f>
        <v>98400</v>
      </c>
      <c r="S13" s="12">
        <f>_xlfn.XLOOKUP(B13,[1]Sheet1!$B:$B,[1]Sheet1!$V:$V,0)</f>
        <v>98400</v>
      </c>
      <c r="T13" s="12">
        <f>_xlfn.XLOOKUP(B13,[1]Sheet1!$B:$B,[1]Sheet1!$W:$W,0)</f>
        <v>150400</v>
      </c>
      <c r="U13" s="12">
        <f>_xlfn.XLOOKUP(B13,[1]Sheet1!$B:$B,[1]Sheet1!$X:$X,0)</f>
        <v>150400</v>
      </c>
      <c r="V13" s="12">
        <f>_xlfn.XLOOKUP(B13,[1]Sheet1!$B:$B,[1]Sheet1!$Y:$Y,0)</f>
        <v>150400</v>
      </c>
      <c r="W13" s="12">
        <f t="shared" si="3"/>
        <v>1238400</v>
      </c>
      <c r="X13" s="8" t="s">
        <v>82</v>
      </c>
      <c r="Y13" s="8" t="s">
        <v>65</v>
      </c>
      <c r="Z13" s="8" t="s">
        <v>66</v>
      </c>
      <c r="AA13" s="8" t="s">
        <v>53</v>
      </c>
      <c r="AB13" s="8" t="s">
        <v>36</v>
      </c>
      <c r="AC13" s="8" t="s">
        <v>37</v>
      </c>
      <c r="AD13" s="8" t="s">
        <v>69</v>
      </c>
      <c r="AE13" s="8" t="s">
        <v>39</v>
      </c>
      <c r="AF13" s="8" t="s">
        <v>40</v>
      </c>
      <c r="AG13" s="9">
        <v>1238400</v>
      </c>
      <c r="AH13" s="11">
        <f>_xlfn.XLOOKUP(B13,[1]Sheet1!$B:$B,[1]Sheet1!$AB:$AB,0)</f>
        <v>1238400</v>
      </c>
    </row>
    <row r="14" spans="2:34" ht="16.8" thickTop="1" thickBot="1" x14ac:dyDescent="0.35">
      <c r="B14" s="3" t="str">
        <f t="shared" si="2"/>
        <v>45112504511000019Hospitality-N424761200104</v>
      </c>
      <c r="C14" s="6" t="s">
        <v>67</v>
      </c>
      <c r="D14" s="6" t="s">
        <v>60</v>
      </c>
      <c r="E14" s="6" t="s">
        <v>61</v>
      </c>
      <c r="F14" s="6" t="s">
        <v>83</v>
      </c>
      <c r="G14" s="4" t="s">
        <v>2811</v>
      </c>
      <c r="H14" s="4" t="s">
        <v>2922</v>
      </c>
      <c r="I14" s="6" t="s">
        <v>84</v>
      </c>
      <c r="J14" s="6" t="s">
        <v>31</v>
      </c>
      <c r="K14" s="12">
        <f>_xlfn.XLOOKUP(B14,[1]Sheet1!$B:$B,[1]Sheet1!$N:$N,0)</f>
        <v>0</v>
      </c>
      <c r="L14" s="12">
        <f>_xlfn.XLOOKUP(B14,[1]Sheet1!$B:$B,[1]Sheet1!$O:$O,0)</f>
        <v>0</v>
      </c>
      <c r="M14" s="12">
        <f>_xlfn.XLOOKUP(B14,[1]Sheet1!$B:$B,[1]Sheet1!$P:$P,0)</f>
        <v>0</v>
      </c>
      <c r="N14" s="12">
        <f>_xlfn.XLOOKUP(B14,[1]Sheet1!$B:$B,[1]Sheet1!$Q:$Q,0)</f>
        <v>60000</v>
      </c>
      <c r="O14" s="12">
        <f>_xlfn.XLOOKUP(B14,[1]Sheet1!$B:$B,[1]Sheet1!$R:$R,0)</f>
        <v>30000</v>
      </c>
      <c r="P14" s="12">
        <f>_xlfn.XLOOKUP(B14,[1]Sheet1!$B:$B,[1]Sheet1!$S:$S,0)</f>
        <v>30000</v>
      </c>
      <c r="Q14" s="12">
        <f>_xlfn.XLOOKUP(B14,[1]Sheet1!$B:$B,[1]Sheet1!$T:$T,0)</f>
        <v>30000</v>
      </c>
      <c r="R14" s="12">
        <f>_xlfn.XLOOKUP(B14,[1]Sheet1!$B:$B,[1]Sheet1!$U:$U,0)</f>
        <v>30000</v>
      </c>
      <c r="S14" s="12">
        <f>_xlfn.XLOOKUP(B14,[1]Sheet1!$B:$B,[1]Sheet1!$V:$V,0)</f>
        <v>30000</v>
      </c>
      <c r="T14" s="12">
        <f>_xlfn.XLOOKUP(B14,[1]Sheet1!$B:$B,[1]Sheet1!$W:$W,0)</f>
        <v>30000</v>
      </c>
      <c r="U14" s="12">
        <f>_xlfn.XLOOKUP(B14,[1]Sheet1!$B:$B,[1]Sheet1!$X:$X,0)</f>
        <v>25000</v>
      </c>
      <c r="V14" s="12">
        <f>_xlfn.XLOOKUP(B14,[1]Sheet1!$B:$B,[1]Sheet1!$Y:$Y,0)</f>
        <v>0</v>
      </c>
      <c r="W14" s="12">
        <f t="shared" si="3"/>
        <v>265000</v>
      </c>
      <c r="X14" s="6" t="s">
        <v>85</v>
      </c>
      <c r="Y14" s="6" t="s">
        <v>65</v>
      </c>
      <c r="Z14" s="6" t="s">
        <v>66</v>
      </c>
      <c r="AA14" s="6" t="s">
        <v>84</v>
      </c>
      <c r="AB14" s="6" t="s">
        <v>36</v>
      </c>
      <c r="AC14" s="6" t="s">
        <v>37</v>
      </c>
      <c r="AD14" s="6" t="s">
        <v>69</v>
      </c>
      <c r="AE14" s="6" t="s">
        <v>39</v>
      </c>
      <c r="AF14" s="6" t="s">
        <v>40</v>
      </c>
      <c r="AG14" s="7">
        <v>265000</v>
      </c>
      <c r="AH14" s="11">
        <f>_xlfn.XLOOKUP(B14,[1]Sheet1!$B:$B,[1]Sheet1!$AB:$AB,0)</f>
        <v>265000</v>
      </c>
    </row>
    <row r="15" spans="2:34" ht="16.8" thickTop="1" thickBot="1" x14ac:dyDescent="0.35">
      <c r="B15" s="3" t="str">
        <f t="shared" si="2"/>
        <v>45112504511000019Landscaping-N432614200104</v>
      </c>
      <c r="C15" s="8" t="s">
        <v>67</v>
      </c>
      <c r="D15" s="8" t="s">
        <v>60</v>
      </c>
      <c r="E15" s="8" t="s">
        <v>61</v>
      </c>
      <c r="F15" s="8" t="s">
        <v>86</v>
      </c>
      <c r="G15" s="4" t="s">
        <v>2812</v>
      </c>
      <c r="H15" s="4" t="s">
        <v>2922</v>
      </c>
      <c r="I15" s="8" t="s">
        <v>87</v>
      </c>
      <c r="J15" s="8" t="s">
        <v>31</v>
      </c>
      <c r="K15" s="12">
        <f>_xlfn.XLOOKUP(B15,[1]Sheet1!$B:$B,[1]Sheet1!$N:$N,0)</f>
        <v>0</v>
      </c>
      <c r="L15" s="12">
        <f>_xlfn.XLOOKUP(B15,[1]Sheet1!$B:$B,[1]Sheet1!$O:$O,0)</f>
        <v>0</v>
      </c>
      <c r="M15" s="12">
        <f>_xlfn.XLOOKUP(B15,[1]Sheet1!$B:$B,[1]Sheet1!$P:$P,0)</f>
        <v>0</v>
      </c>
      <c r="N15" s="12">
        <f>_xlfn.XLOOKUP(B15,[1]Sheet1!$B:$B,[1]Sheet1!$Q:$Q,0)</f>
        <v>20000</v>
      </c>
      <c r="O15" s="12">
        <f>_xlfn.XLOOKUP(B15,[1]Sheet1!$B:$B,[1]Sheet1!$R:$R,0)</f>
        <v>20000</v>
      </c>
      <c r="P15" s="12">
        <f>_xlfn.XLOOKUP(B15,[1]Sheet1!$B:$B,[1]Sheet1!$S:$S,0)</f>
        <v>20000</v>
      </c>
      <c r="Q15" s="12">
        <f>_xlfn.XLOOKUP(B15,[1]Sheet1!$B:$B,[1]Sheet1!$T:$T,0)</f>
        <v>20000</v>
      </c>
      <c r="R15" s="12">
        <f>_xlfn.XLOOKUP(B15,[1]Sheet1!$B:$B,[1]Sheet1!$U:$U,0)</f>
        <v>20000</v>
      </c>
      <c r="S15" s="12">
        <f>_xlfn.XLOOKUP(B15,[1]Sheet1!$B:$B,[1]Sheet1!$V:$V,0)</f>
        <v>20000</v>
      </c>
      <c r="T15" s="12">
        <f>_xlfn.XLOOKUP(B15,[1]Sheet1!$B:$B,[1]Sheet1!$W:$W,0)</f>
        <v>4500</v>
      </c>
      <c r="U15" s="12">
        <f>_xlfn.XLOOKUP(B15,[1]Sheet1!$B:$B,[1]Sheet1!$X:$X,0)</f>
        <v>0</v>
      </c>
      <c r="V15" s="12">
        <f>_xlfn.XLOOKUP(B15,[1]Sheet1!$B:$B,[1]Sheet1!$Y:$Y,0)</f>
        <v>0</v>
      </c>
      <c r="W15" s="12">
        <f t="shared" si="3"/>
        <v>124500</v>
      </c>
      <c r="X15" s="8" t="s">
        <v>88</v>
      </c>
      <c r="Y15" s="8" t="s">
        <v>65</v>
      </c>
      <c r="Z15" s="8" t="s">
        <v>66</v>
      </c>
      <c r="AA15" s="8" t="s">
        <v>87</v>
      </c>
      <c r="AB15" s="8" t="s">
        <v>36</v>
      </c>
      <c r="AC15" s="8" t="s">
        <v>37</v>
      </c>
      <c r="AD15" s="8" t="s">
        <v>69</v>
      </c>
      <c r="AE15" s="8" t="s">
        <v>39</v>
      </c>
      <c r="AF15" s="8" t="s">
        <v>40</v>
      </c>
      <c r="AG15" s="9">
        <v>124500</v>
      </c>
      <c r="AH15" s="11">
        <f>_xlfn.XLOOKUP(B15,[1]Sheet1!$B:$B,[1]Sheet1!$AB:$AB,0)</f>
        <v>124500</v>
      </c>
    </row>
    <row r="16" spans="2:34" ht="16.8" thickTop="1" thickBot="1" x14ac:dyDescent="0.35">
      <c r="B16" s="3" t="str">
        <f t="shared" si="2"/>
        <v>45112504511000019Lease Improve-N490600300105</v>
      </c>
      <c r="C16" s="6" t="s">
        <v>67</v>
      </c>
      <c r="D16" s="6" t="s">
        <v>60</v>
      </c>
      <c r="E16" s="6" t="s">
        <v>61</v>
      </c>
      <c r="F16" s="6" t="s">
        <v>89</v>
      </c>
      <c r="G16" s="4" t="s">
        <v>2813</v>
      </c>
      <c r="H16" s="4" t="s">
        <v>2923</v>
      </c>
      <c r="I16" s="6" t="s">
        <v>90</v>
      </c>
      <c r="J16" s="6" t="s">
        <v>31</v>
      </c>
      <c r="K16" s="12">
        <f>_xlfn.XLOOKUP(B16,[1]Sheet1!$B:$B,[1]Sheet1!$N:$N,0)</f>
        <v>0</v>
      </c>
      <c r="L16" s="12">
        <f>_xlfn.XLOOKUP(B16,[1]Sheet1!$B:$B,[1]Sheet1!$O:$O,0)</f>
        <v>0</v>
      </c>
      <c r="M16" s="12">
        <f>_xlfn.XLOOKUP(B16,[1]Sheet1!$B:$B,[1]Sheet1!$P:$P,0)</f>
        <v>0</v>
      </c>
      <c r="N16" s="12">
        <f>_xlfn.XLOOKUP(B16,[1]Sheet1!$B:$B,[1]Sheet1!$Q:$Q,0)</f>
        <v>0</v>
      </c>
      <c r="O16" s="12">
        <f>_xlfn.XLOOKUP(B16,[1]Sheet1!$B:$B,[1]Sheet1!$R:$R,0)</f>
        <v>250000</v>
      </c>
      <c r="P16" s="12">
        <f>_xlfn.XLOOKUP(B16,[1]Sheet1!$B:$B,[1]Sheet1!$S:$S,0)</f>
        <v>0</v>
      </c>
      <c r="Q16" s="12">
        <f>_xlfn.XLOOKUP(B16,[1]Sheet1!$B:$B,[1]Sheet1!$T:$T,0)</f>
        <v>250000</v>
      </c>
      <c r="R16" s="12">
        <f>_xlfn.XLOOKUP(B16,[1]Sheet1!$B:$B,[1]Sheet1!$U:$U,0)</f>
        <v>0</v>
      </c>
      <c r="S16" s="12">
        <f>_xlfn.XLOOKUP(B16,[1]Sheet1!$B:$B,[1]Sheet1!$V:$V,0)</f>
        <v>0</v>
      </c>
      <c r="T16" s="12">
        <f>_xlfn.XLOOKUP(B16,[1]Sheet1!$B:$B,[1]Sheet1!$W:$W,0)</f>
        <v>0</v>
      </c>
      <c r="U16" s="12">
        <f>_xlfn.XLOOKUP(B16,[1]Sheet1!$B:$B,[1]Sheet1!$X:$X,0)</f>
        <v>0</v>
      </c>
      <c r="V16" s="12">
        <f>_xlfn.XLOOKUP(B16,[1]Sheet1!$B:$B,[1]Sheet1!$Y:$Y,0)</f>
        <v>0</v>
      </c>
      <c r="W16" s="12">
        <f t="shared" si="3"/>
        <v>500000</v>
      </c>
      <c r="X16" s="6" t="s">
        <v>91</v>
      </c>
      <c r="Y16" s="6" t="s">
        <v>65</v>
      </c>
      <c r="Z16" s="6" t="s">
        <v>66</v>
      </c>
      <c r="AA16" s="6" t="s">
        <v>92</v>
      </c>
      <c r="AB16" s="6" t="s">
        <v>93</v>
      </c>
      <c r="AC16" s="6" t="s">
        <v>94</v>
      </c>
      <c r="AD16" s="6" t="s">
        <v>69</v>
      </c>
      <c r="AE16" s="6" t="s">
        <v>39</v>
      </c>
      <c r="AF16" s="6" t="s">
        <v>40</v>
      </c>
      <c r="AG16" s="7">
        <v>500000</v>
      </c>
      <c r="AH16" s="11">
        <f>_xlfn.XLOOKUP(B16,[1]Sheet1!$B:$B,[1]Sheet1!$AB:$AB,0)</f>
        <v>500000</v>
      </c>
    </row>
    <row r="17" spans="2:34" ht="16.8" thickTop="1" thickBot="1" x14ac:dyDescent="0.35">
      <c r="B17" s="3" t="str">
        <f t="shared" si="2"/>
        <v>45112504511000019Maintenance-N426212200104</v>
      </c>
      <c r="C17" s="8" t="s">
        <v>67</v>
      </c>
      <c r="D17" s="8" t="s">
        <v>60</v>
      </c>
      <c r="E17" s="8" t="s">
        <v>61</v>
      </c>
      <c r="F17" s="8" t="s">
        <v>95</v>
      </c>
      <c r="G17" s="4" t="s">
        <v>2814</v>
      </c>
      <c r="H17" s="4" t="s">
        <v>2922</v>
      </c>
      <c r="I17" s="8" t="s">
        <v>96</v>
      </c>
      <c r="J17" s="8" t="s">
        <v>31</v>
      </c>
      <c r="K17" s="12">
        <f>_xlfn.XLOOKUP(B17,[1]Sheet1!$B:$B,[1]Sheet1!$N:$N,0)</f>
        <v>0</v>
      </c>
      <c r="L17" s="12">
        <f>_xlfn.XLOOKUP(B17,[1]Sheet1!$B:$B,[1]Sheet1!$O:$O,0)</f>
        <v>0</v>
      </c>
      <c r="M17" s="12">
        <f>_xlfn.XLOOKUP(B17,[1]Sheet1!$B:$B,[1]Sheet1!$P:$P,0)</f>
        <v>0</v>
      </c>
      <c r="N17" s="12">
        <f>_xlfn.XLOOKUP(B17,[1]Sheet1!$B:$B,[1]Sheet1!$Q:$Q,0)</f>
        <v>117213.02</v>
      </c>
      <c r="O17" s="12">
        <f>_xlfn.XLOOKUP(B17,[1]Sheet1!$B:$B,[1]Sheet1!$R:$R,0)</f>
        <v>58606.51</v>
      </c>
      <c r="P17" s="12">
        <f>_xlfn.XLOOKUP(B17,[1]Sheet1!$B:$B,[1]Sheet1!$S:$S,0)</f>
        <v>58606.51</v>
      </c>
      <c r="Q17" s="12">
        <f>_xlfn.XLOOKUP(B17,[1]Sheet1!$B:$B,[1]Sheet1!$T:$T,0)</f>
        <v>58606.51</v>
      </c>
      <c r="R17" s="12">
        <f>_xlfn.XLOOKUP(B17,[1]Sheet1!$B:$B,[1]Sheet1!$U:$U,0)</f>
        <v>58606.51</v>
      </c>
      <c r="S17" s="12">
        <f>_xlfn.XLOOKUP(B17,[1]Sheet1!$B:$B,[1]Sheet1!$V:$V,0)</f>
        <v>58606.51</v>
      </c>
      <c r="T17" s="12">
        <f>_xlfn.XLOOKUP(B17,[1]Sheet1!$B:$B,[1]Sheet1!$W:$W,0)</f>
        <v>31356</v>
      </c>
      <c r="U17" s="12">
        <f>_xlfn.XLOOKUP(B17,[1]Sheet1!$B:$B,[1]Sheet1!$X:$X,0)</f>
        <v>0</v>
      </c>
      <c r="V17" s="12">
        <f>_xlfn.XLOOKUP(B17,[1]Sheet1!$B:$B,[1]Sheet1!$Y:$Y,0)</f>
        <v>0</v>
      </c>
      <c r="W17" s="12">
        <f t="shared" si="3"/>
        <v>441601.57</v>
      </c>
      <c r="X17" s="8" t="s">
        <v>97</v>
      </c>
      <c r="Y17" s="8" t="s">
        <v>65</v>
      </c>
      <c r="Z17" s="8" t="s">
        <v>66</v>
      </c>
      <c r="AA17" s="8" t="s">
        <v>96</v>
      </c>
      <c r="AB17" s="8" t="s">
        <v>36</v>
      </c>
      <c r="AC17" s="8" t="s">
        <v>37</v>
      </c>
      <c r="AD17" s="8" t="s">
        <v>69</v>
      </c>
      <c r="AE17" s="8" t="s">
        <v>39</v>
      </c>
      <c r="AF17" s="8" t="s">
        <v>40</v>
      </c>
      <c r="AG17" s="9">
        <v>441605</v>
      </c>
      <c r="AH17" s="11">
        <f>_xlfn.XLOOKUP(B17,[1]Sheet1!$B:$B,[1]Sheet1!$AB:$AB,0)</f>
        <v>441601.57</v>
      </c>
    </row>
    <row r="18" spans="2:34" ht="16.8" thickTop="1" thickBot="1" x14ac:dyDescent="0.35">
      <c r="B18" s="3" t="str">
        <f t="shared" si="2"/>
        <v>45112504511000019Manpower-N424521200104</v>
      </c>
      <c r="C18" s="6" t="s">
        <v>67</v>
      </c>
      <c r="D18" s="6" t="s">
        <v>60</v>
      </c>
      <c r="E18" s="6" t="s">
        <v>61</v>
      </c>
      <c r="F18" s="6" t="s">
        <v>98</v>
      </c>
      <c r="G18" s="4" t="s">
        <v>2804</v>
      </c>
      <c r="H18" s="4" t="s">
        <v>2922</v>
      </c>
      <c r="I18" s="6" t="s">
        <v>51</v>
      </c>
      <c r="J18" s="6" t="s">
        <v>31</v>
      </c>
      <c r="K18" s="12">
        <f>_xlfn.XLOOKUP(B18,[1]Sheet1!$B:$B,[1]Sheet1!$N:$N,0)</f>
        <v>0</v>
      </c>
      <c r="L18" s="12">
        <f>_xlfn.XLOOKUP(B18,[1]Sheet1!$B:$B,[1]Sheet1!$O:$O,0)</f>
        <v>0</v>
      </c>
      <c r="M18" s="12">
        <f>_xlfn.XLOOKUP(B18,[1]Sheet1!$B:$B,[1]Sheet1!$P:$P,0)</f>
        <v>160439.18</v>
      </c>
      <c r="N18" s="12">
        <f>_xlfn.XLOOKUP(B18,[1]Sheet1!$B:$B,[1]Sheet1!$Q:$Q,0)</f>
        <v>136789.60000000003</v>
      </c>
      <c r="O18" s="12">
        <f>_xlfn.XLOOKUP(B18,[1]Sheet1!$B:$B,[1]Sheet1!$R:$R,0)</f>
        <v>136789.6</v>
      </c>
      <c r="P18" s="12">
        <f>_xlfn.XLOOKUP(B18,[1]Sheet1!$B:$B,[1]Sheet1!$S:$S,0)</f>
        <v>136789.6</v>
      </c>
      <c r="Q18" s="12">
        <f>_xlfn.XLOOKUP(B18,[1]Sheet1!$B:$B,[1]Sheet1!$T:$T,0)</f>
        <v>136789.6</v>
      </c>
      <c r="R18" s="12">
        <f>_xlfn.XLOOKUP(B18,[1]Sheet1!$B:$B,[1]Sheet1!$U:$U,0)</f>
        <v>136789.6</v>
      </c>
      <c r="S18" s="12">
        <f>_xlfn.XLOOKUP(B18,[1]Sheet1!$B:$B,[1]Sheet1!$V:$V,0)</f>
        <v>136789.6</v>
      </c>
      <c r="T18" s="12">
        <f>_xlfn.XLOOKUP(B18,[1]Sheet1!$B:$B,[1]Sheet1!$W:$W,0)</f>
        <v>136789.6</v>
      </c>
      <c r="U18" s="12">
        <f>_xlfn.XLOOKUP(B18,[1]Sheet1!$B:$B,[1]Sheet1!$X:$X,0)</f>
        <v>136789.6</v>
      </c>
      <c r="V18" s="12">
        <f>_xlfn.XLOOKUP(B18,[1]Sheet1!$B:$B,[1]Sheet1!$Y:$Y,0)</f>
        <v>136789.6</v>
      </c>
      <c r="W18" s="12">
        <f t="shared" si="3"/>
        <v>1391545.58</v>
      </c>
      <c r="X18" s="6" t="s">
        <v>82</v>
      </c>
      <c r="Y18" s="6" t="s">
        <v>65</v>
      </c>
      <c r="Z18" s="6" t="s">
        <v>66</v>
      </c>
      <c r="AA18" s="6" t="s">
        <v>53</v>
      </c>
      <c r="AB18" s="6" t="s">
        <v>36</v>
      </c>
      <c r="AC18" s="6" t="s">
        <v>37</v>
      </c>
      <c r="AD18" s="6" t="s">
        <v>69</v>
      </c>
      <c r="AE18" s="6" t="s">
        <v>39</v>
      </c>
      <c r="AF18" s="6" t="s">
        <v>40</v>
      </c>
      <c r="AG18" s="7">
        <v>1391545.7</v>
      </c>
      <c r="AH18" s="11">
        <f>_xlfn.XLOOKUP(B18,[1]Sheet1!$B:$B,[1]Sheet1!$AB:$AB,0)</f>
        <v>1391545.58</v>
      </c>
    </row>
    <row r="19" spans="2:34" ht="16.8" thickTop="1" thickBot="1" x14ac:dyDescent="0.35">
      <c r="B19" s="3" t="str">
        <f t="shared" si="2"/>
        <v>45112504511000019PR Mgmnt E-E-N424781200104</v>
      </c>
      <c r="C19" s="8" t="s">
        <v>67</v>
      </c>
      <c r="D19" s="8" t="s">
        <v>60</v>
      </c>
      <c r="E19" s="8" t="s">
        <v>61</v>
      </c>
      <c r="F19" s="8" t="s">
        <v>99</v>
      </c>
      <c r="G19" s="4" t="s">
        <v>2815</v>
      </c>
      <c r="H19" s="4" t="s">
        <v>2922</v>
      </c>
      <c r="I19" s="8" t="s">
        <v>100</v>
      </c>
      <c r="J19" s="8" t="s">
        <v>31</v>
      </c>
      <c r="K19" s="12">
        <f>_xlfn.XLOOKUP(B19,[1]Sheet1!$B:$B,[1]Sheet1!$N:$N,0)</f>
        <v>0</v>
      </c>
      <c r="L19" s="12">
        <f>_xlfn.XLOOKUP(B19,[1]Sheet1!$B:$B,[1]Sheet1!$O:$O,0)</f>
        <v>0</v>
      </c>
      <c r="M19" s="12">
        <f>_xlfn.XLOOKUP(B19,[1]Sheet1!$B:$B,[1]Sheet1!$P:$P,0)</f>
        <v>0</v>
      </c>
      <c r="N19" s="12">
        <f>_xlfn.XLOOKUP(B19,[1]Sheet1!$B:$B,[1]Sheet1!$Q:$Q,0)</f>
        <v>0</v>
      </c>
      <c r="O19" s="12">
        <f>_xlfn.XLOOKUP(B19,[1]Sheet1!$B:$B,[1]Sheet1!$R:$R,0)</f>
        <v>0</v>
      </c>
      <c r="P19" s="12">
        <f>_xlfn.XLOOKUP(B19,[1]Sheet1!$B:$B,[1]Sheet1!$S:$S,0)</f>
        <v>0</v>
      </c>
      <c r="Q19" s="12">
        <f>_xlfn.XLOOKUP(B19,[1]Sheet1!$B:$B,[1]Sheet1!$T:$T,0)</f>
        <v>0</v>
      </c>
      <c r="R19" s="12">
        <f>_xlfn.XLOOKUP(B19,[1]Sheet1!$B:$B,[1]Sheet1!$U:$U,0)</f>
        <v>0</v>
      </c>
      <c r="S19" s="12">
        <f>_xlfn.XLOOKUP(B19,[1]Sheet1!$B:$B,[1]Sheet1!$V:$V,0)</f>
        <v>0</v>
      </c>
      <c r="T19" s="12">
        <f>_xlfn.XLOOKUP(B19,[1]Sheet1!$B:$B,[1]Sheet1!$W:$W,0)</f>
        <v>0</v>
      </c>
      <c r="U19" s="12">
        <f>_xlfn.XLOOKUP(B19,[1]Sheet1!$B:$B,[1]Sheet1!$X:$X,0)</f>
        <v>0</v>
      </c>
      <c r="V19" s="12">
        <f>_xlfn.XLOOKUP(B19,[1]Sheet1!$B:$B,[1]Sheet1!$Y:$Y,0)</f>
        <v>0</v>
      </c>
      <c r="W19" s="12">
        <f t="shared" si="3"/>
        <v>0</v>
      </c>
      <c r="X19" s="8" t="s">
        <v>101</v>
      </c>
      <c r="Y19" s="8" t="s">
        <v>65</v>
      </c>
      <c r="Z19" s="8" t="s">
        <v>66</v>
      </c>
      <c r="AA19" s="8" t="s">
        <v>100</v>
      </c>
      <c r="AB19" s="8" t="s">
        <v>36</v>
      </c>
      <c r="AC19" s="8" t="s">
        <v>37</v>
      </c>
      <c r="AD19" s="8" t="s">
        <v>102</v>
      </c>
      <c r="AE19" s="8" t="s">
        <v>39</v>
      </c>
      <c r="AF19" s="8" t="s">
        <v>40</v>
      </c>
      <c r="AG19" s="9">
        <v>4750</v>
      </c>
      <c r="AH19" s="11">
        <f>_xlfn.XLOOKUP(B19,[1]Sheet1!$B:$B,[1]Sheet1!$AB:$AB,0)</f>
        <v>0</v>
      </c>
    </row>
    <row r="20" spans="2:34" ht="16.8" thickTop="1" thickBot="1" x14ac:dyDescent="0.35">
      <c r="B20" s="3" t="str">
        <f t="shared" si="2"/>
        <v>45112504511000019Pest Control-N422321200104</v>
      </c>
      <c r="C20" s="6" t="s">
        <v>67</v>
      </c>
      <c r="D20" s="6" t="s">
        <v>60</v>
      </c>
      <c r="E20" s="6" t="s">
        <v>61</v>
      </c>
      <c r="F20" s="6" t="s">
        <v>103</v>
      </c>
      <c r="G20" s="4" t="s">
        <v>2816</v>
      </c>
      <c r="H20" s="4" t="s">
        <v>2922</v>
      </c>
      <c r="I20" s="6" t="s">
        <v>104</v>
      </c>
      <c r="J20" s="6" t="s">
        <v>31</v>
      </c>
      <c r="K20" s="12">
        <f>_xlfn.XLOOKUP(B20,[1]Sheet1!$B:$B,[1]Sheet1!$N:$N,0)</f>
        <v>0</v>
      </c>
      <c r="L20" s="12">
        <f>_xlfn.XLOOKUP(B20,[1]Sheet1!$B:$B,[1]Sheet1!$O:$O,0)</f>
        <v>0</v>
      </c>
      <c r="M20" s="12">
        <f>_xlfn.XLOOKUP(B20,[1]Sheet1!$B:$B,[1]Sheet1!$P:$P,0)</f>
        <v>0</v>
      </c>
      <c r="N20" s="12">
        <f>_xlfn.XLOOKUP(B20,[1]Sheet1!$B:$B,[1]Sheet1!$Q:$Q,0)</f>
        <v>30000</v>
      </c>
      <c r="O20" s="12">
        <f>_xlfn.XLOOKUP(B20,[1]Sheet1!$B:$B,[1]Sheet1!$R:$R,0)</f>
        <v>10000</v>
      </c>
      <c r="P20" s="12">
        <f>_xlfn.XLOOKUP(B20,[1]Sheet1!$B:$B,[1]Sheet1!$S:$S,0)</f>
        <v>10000</v>
      </c>
      <c r="Q20" s="12">
        <f>_xlfn.XLOOKUP(B20,[1]Sheet1!$B:$B,[1]Sheet1!$T:$T,0)</f>
        <v>10000</v>
      </c>
      <c r="R20" s="12">
        <f>_xlfn.XLOOKUP(B20,[1]Sheet1!$B:$B,[1]Sheet1!$U:$U,0)</f>
        <v>1938</v>
      </c>
      <c r="S20" s="12">
        <f>_xlfn.XLOOKUP(B20,[1]Sheet1!$B:$B,[1]Sheet1!$V:$V,0)</f>
        <v>0</v>
      </c>
      <c r="T20" s="12">
        <f>_xlfn.XLOOKUP(B20,[1]Sheet1!$B:$B,[1]Sheet1!$W:$W,0)</f>
        <v>0</v>
      </c>
      <c r="U20" s="12">
        <f>_xlfn.XLOOKUP(B20,[1]Sheet1!$B:$B,[1]Sheet1!$X:$X,0)</f>
        <v>0</v>
      </c>
      <c r="V20" s="12">
        <f>_xlfn.XLOOKUP(B20,[1]Sheet1!$B:$B,[1]Sheet1!$Y:$Y,0)</f>
        <v>0</v>
      </c>
      <c r="W20" s="12">
        <f t="shared" si="3"/>
        <v>61938</v>
      </c>
      <c r="X20" s="6" t="s">
        <v>105</v>
      </c>
      <c r="Y20" s="6" t="s">
        <v>65</v>
      </c>
      <c r="Z20" s="6" t="s">
        <v>66</v>
      </c>
      <c r="AA20" s="6" t="s">
        <v>106</v>
      </c>
      <c r="AB20" s="6" t="s">
        <v>36</v>
      </c>
      <c r="AC20" s="6" t="s">
        <v>37</v>
      </c>
      <c r="AD20" s="6" t="s">
        <v>69</v>
      </c>
      <c r="AE20" s="6" t="s">
        <v>39</v>
      </c>
      <c r="AF20" s="6" t="s">
        <v>40</v>
      </c>
      <c r="AG20" s="7">
        <v>57188</v>
      </c>
      <c r="AH20" s="11">
        <f>_xlfn.XLOOKUP(B20,[1]Sheet1!$B:$B,[1]Sheet1!$AB:$AB,0)</f>
        <v>57188</v>
      </c>
    </row>
    <row r="21" spans="2:34" ht="16.8" thickTop="1" thickBot="1" x14ac:dyDescent="0.35">
      <c r="B21" s="3" t="str">
        <f t="shared" si="2"/>
        <v>45112504511000019Security Service-N424551200104</v>
      </c>
      <c r="C21" s="8" t="s">
        <v>67</v>
      </c>
      <c r="D21" s="8" t="s">
        <v>60</v>
      </c>
      <c r="E21" s="8" t="s">
        <v>61</v>
      </c>
      <c r="F21" s="8" t="s">
        <v>107</v>
      </c>
      <c r="G21" s="4" t="s">
        <v>2817</v>
      </c>
      <c r="H21" s="4" t="s">
        <v>2922</v>
      </c>
      <c r="I21" s="8" t="s">
        <v>108</v>
      </c>
      <c r="J21" s="8" t="s">
        <v>31</v>
      </c>
      <c r="K21" s="12">
        <f>_xlfn.XLOOKUP(B21,[1]Sheet1!$B:$B,[1]Sheet1!$N:$N,0)</f>
        <v>0</v>
      </c>
      <c r="L21" s="12">
        <f>_xlfn.XLOOKUP(B21,[1]Sheet1!$B:$B,[1]Sheet1!$O:$O,0)</f>
        <v>0</v>
      </c>
      <c r="M21" s="12">
        <f>_xlfn.XLOOKUP(B21,[1]Sheet1!$B:$B,[1]Sheet1!$P:$P,0)</f>
        <v>0</v>
      </c>
      <c r="N21" s="12">
        <f>_xlfn.XLOOKUP(B21,[1]Sheet1!$B:$B,[1]Sheet1!$Q:$Q,0)</f>
        <v>180000</v>
      </c>
      <c r="O21" s="12">
        <f>_xlfn.XLOOKUP(B21,[1]Sheet1!$B:$B,[1]Sheet1!$R:$R,0)</f>
        <v>60000</v>
      </c>
      <c r="P21" s="12">
        <f>_xlfn.XLOOKUP(B21,[1]Sheet1!$B:$B,[1]Sheet1!$S:$S,0)</f>
        <v>60000</v>
      </c>
      <c r="Q21" s="12">
        <f>_xlfn.XLOOKUP(B21,[1]Sheet1!$B:$B,[1]Sheet1!$T:$T,0)</f>
        <v>60000</v>
      </c>
      <c r="R21" s="12">
        <f>_xlfn.XLOOKUP(B21,[1]Sheet1!$B:$B,[1]Sheet1!$U:$U,0)</f>
        <v>60000</v>
      </c>
      <c r="S21" s="12">
        <f>_xlfn.XLOOKUP(B21,[1]Sheet1!$B:$B,[1]Sheet1!$V:$V,0)</f>
        <v>60000</v>
      </c>
      <c r="T21" s="12">
        <f>_xlfn.XLOOKUP(B21,[1]Sheet1!$B:$B,[1]Sheet1!$W:$W,0)</f>
        <v>36005</v>
      </c>
      <c r="U21" s="12">
        <f>_xlfn.XLOOKUP(B21,[1]Sheet1!$B:$B,[1]Sheet1!$X:$X,0)</f>
        <v>0</v>
      </c>
      <c r="V21" s="12">
        <f>_xlfn.XLOOKUP(B21,[1]Sheet1!$B:$B,[1]Sheet1!$Y:$Y,0)</f>
        <v>0</v>
      </c>
      <c r="W21" s="12">
        <f t="shared" si="3"/>
        <v>516005</v>
      </c>
      <c r="X21" s="8" t="s">
        <v>109</v>
      </c>
      <c r="Y21" s="8" t="s">
        <v>65</v>
      </c>
      <c r="Z21" s="8" t="s">
        <v>66</v>
      </c>
      <c r="AA21" s="8" t="s">
        <v>108</v>
      </c>
      <c r="AB21" s="8" t="s">
        <v>36</v>
      </c>
      <c r="AC21" s="8" t="s">
        <v>37</v>
      </c>
      <c r="AD21" s="8" t="s">
        <v>69</v>
      </c>
      <c r="AE21" s="8" t="s">
        <v>39</v>
      </c>
      <c r="AF21" s="8" t="s">
        <v>40</v>
      </c>
      <c r="AG21" s="9">
        <v>516005</v>
      </c>
      <c r="AH21" s="11">
        <f>_xlfn.XLOOKUP(B21,[1]Sheet1!$B:$B,[1]Sheet1!$AB:$AB,0)</f>
        <v>516005</v>
      </c>
    </row>
    <row r="22" spans="2:34" ht="16.8" thickTop="1" thickBot="1" x14ac:dyDescent="0.35">
      <c r="B22" s="3" t="str">
        <f t="shared" si="2"/>
        <v>45112504511000019Utilities-N423931200104</v>
      </c>
      <c r="C22" s="6" t="s">
        <v>67</v>
      </c>
      <c r="D22" s="6" t="s">
        <v>60</v>
      </c>
      <c r="E22" s="6" t="s">
        <v>61</v>
      </c>
      <c r="F22" s="6" t="s">
        <v>110</v>
      </c>
      <c r="G22" s="4" t="s">
        <v>2818</v>
      </c>
      <c r="H22" s="4" t="s">
        <v>2922</v>
      </c>
      <c r="I22" s="6" t="s">
        <v>111</v>
      </c>
      <c r="J22" s="6" t="s">
        <v>31</v>
      </c>
      <c r="K22" s="12">
        <f>_xlfn.XLOOKUP(B22,[1]Sheet1!$B:$B,[1]Sheet1!$N:$N,0)</f>
        <v>0</v>
      </c>
      <c r="L22" s="12">
        <f>_xlfn.XLOOKUP(B22,[1]Sheet1!$B:$B,[1]Sheet1!$O:$O,0)</f>
        <v>0</v>
      </c>
      <c r="M22" s="12">
        <f>_xlfn.XLOOKUP(B22,[1]Sheet1!$B:$B,[1]Sheet1!$P:$P,0)</f>
        <v>53524.41</v>
      </c>
      <c r="N22" s="12">
        <f>_xlfn.XLOOKUP(B22,[1]Sheet1!$B:$B,[1]Sheet1!$Q:$Q,0)</f>
        <v>88015.59</v>
      </c>
      <c r="O22" s="12">
        <f>_xlfn.XLOOKUP(B22,[1]Sheet1!$B:$B,[1]Sheet1!$R:$R,0)</f>
        <v>70770</v>
      </c>
      <c r="P22" s="12">
        <f>_xlfn.XLOOKUP(B22,[1]Sheet1!$B:$B,[1]Sheet1!$S:$S,0)</f>
        <v>70770</v>
      </c>
      <c r="Q22" s="12">
        <f>_xlfn.XLOOKUP(B22,[1]Sheet1!$B:$B,[1]Sheet1!$T:$T,0)</f>
        <v>70770</v>
      </c>
      <c r="R22" s="12">
        <f>_xlfn.XLOOKUP(B22,[1]Sheet1!$B:$B,[1]Sheet1!$U:$U,0)</f>
        <v>70770</v>
      </c>
      <c r="S22" s="12">
        <f>_xlfn.XLOOKUP(B22,[1]Sheet1!$B:$B,[1]Sheet1!$V:$V,0)</f>
        <v>70775</v>
      </c>
      <c r="T22" s="12">
        <f>_xlfn.XLOOKUP(B22,[1]Sheet1!$B:$B,[1]Sheet1!$W:$W,0)</f>
        <v>35000</v>
      </c>
      <c r="U22" s="12">
        <f>_xlfn.XLOOKUP(B22,[1]Sheet1!$B:$B,[1]Sheet1!$X:$X,0)</f>
        <v>35000</v>
      </c>
      <c r="V22" s="12">
        <f>_xlfn.XLOOKUP(B22,[1]Sheet1!$B:$B,[1]Sheet1!$Y:$Y,0)</f>
        <v>0</v>
      </c>
      <c r="W22" s="12">
        <f t="shared" si="3"/>
        <v>565395</v>
      </c>
      <c r="X22" s="6" t="s">
        <v>112</v>
      </c>
      <c r="Y22" s="6" t="s">
        <v>65</v>
      </c>
      <c r="Z22" s="6" t="s">
        <v>66</v>
      </c>
      <c r="AA22" s="6" t="s">
        <v>111</v>
      </c>
      <c r="AB22" s="6" t="s">
        <v>36</v>
      </c>
      <c r="AC22" s="6" t="s">
        <v>37</v>
      </c>
      <c r="AD22" s="6" t="s">
        <v>69</v>
      </c>
      <c r="AE22" s="6" t="s">
        <v>39</v>
      </c>
      <c r="AF22" s="6" t="s">
        <v>40</v>
      </c>
      <c r="AG22" s="7">
        <v>565395</v>
      </c>
      <c r="AH22" s="11">
        <f>_xlfn.XLOOKUP(B22,[1]Sheet1!$B:$B,[1]Sheet1!$AB:$AB,0)</f>
        <v>565395</v>
      </c>
    </row>
    <row r="23" spans="2:34" ht="16.8" thickTop="1" thickBot="1" x14ac:dyDescent="0.35">
      <c r="B23" s="3" t="str">
        <f t="shared" si="2"/>
        <v>45117504511000020Event Management-N3422401200104</v>
      </c>
      <c r="C23" s="8" t="s">
        <v>118</v>
      </c>
      <c r="D23" s="8" t="s">
        <v>113</v>
      </c>
      <c r="E23" s="8" t="s">
        <v>114</v>
      </c>
      <c r="F23" s="8" t="s">
        <v>115</v>
      </c>
      <c r="G23" s="4" t="s">
        <v>2807</v>
      </c>
      <c r="H23" s="4" t="s">
        <v>2922</v>
      </c>
      <c r="I23" s="8" t="s">
        <v>63</v>
      </c>
      <c r="J23" s="8" t="s">
        <v>31</v>
      </c>
      <c r="K23" s="12">
        <f>_xlfn.XLOOKUP(B23,[1]Sheet1!$B:$B,[1]Sheet1!$N:$N,0)</f>
        <v>0</v>
      </c>
      <c r="L23" s="12">
        <f>_xlfn.XLOOKUP(B23,[1]Sheet1!$B:$B,[1]Sheet1!$O:$O,0)</f>
        <v>0</v>
      </c>
      <c r="M23" s="12">
        <f>_xlfn.XLOOKUP(B23,[1]Sheet1!$B:$B,[1]Sheet1!$P:$P,0)</f>
        <v>0</v>
      </c>
      <c r="N23" s="12">
        <f>_xlfn.XLOOKUP(B23,[1]Sheet1!$B:$B,[1]Sheet1!$Q:$Q,0)</f>
        <v>0</v>
      </c>
      <c r="O23" s="12">
        <f>_xlfn.XLOOKUP(B23,[1]Sheet1!$B:$B,[1]Sheet1!$R:$R,0)</f>
        <v>0</v>
      </c>
      <c r="P23" s="12">
        <f>_xlfn.XLOOKUP(B23,[1]Sheet1!$B:$B,[1]Sheet1!$S:$S,0)</f>
        <v>0</v>
      </c>
      <c r="Q23" s="12">
        <f>_xlfn.XLOOKUP(B23,[1]Sheet1!$B:$B,[1]Sheet1!$T:$T,0)</f>
        <v>0</v>
      </c>
      <c r="R23" s="12">
        <f>_xlfn.XLOOKUP(B23,[1]Sheet1!$B:$B,[1]Sheet1!$U:$U,0)</f>
        <v>0</v>
      </c>
      <c r="S23" s="12">
        <f>_xlfn.XLOOKUP(B23,[1]Sheet1!$B:$B,[1]Sheet1!$V:$V,0)</f>
        <v>0</v>
      </c>
      <c r="T23" s="12">
        <f>_xlfn.XLOOKUP(B23,[1]Sheet1!$B:$B,[1]Sheet1!$W:$W,0)</f>
        <v>2000000</v>
      </c>
      <c r="U23" s="12">
        <f>_xlfn.XLOOKUP(B23,[1]Sheet1!$B:$B,[1]Sheet1!$X:$X,0)</f>
        <v>1918468</v>
      </c>
      <c r="V23" s="12">
        <f>_xlfn.XLOOKUP(B23,[1]Sheet1!$B:$B,[1]Sheet1!$Y:$Y,0)</f>
        <v>0</v>
      </c>
      <c r="W23" s="12">
        <f t="shared" si="3"/>
        <v>3918468</v>
      </c>
      <c r="X23" s="8" t="s">
        <v>116</v>
      </c>
      <c r="Y23" s="8" t="s">
        <v>65</v>
      </c>
      <c r="Z23" s="8" t="s">
        <v>117</v>
      </c>
      <c r="AA23" s="8" t="s">
        <v>68</v>
      </c>
      <c r="AB23" s="8" t="s">
        <v>36</v>
      </c>
      <c r="AC23" s="8" t="s">
        <v>37</v>
      </c>
      <c r="AD23" s="8" t="s">
        <v>119</v>
      </c>
      <c r="AE23" s="8" t="s">
        <v>39</v>
      </c>
      <c r="AF23" s="8" t="s">
        <v>40</v>
      </c>
      <c r="AG23" s="9">
        <v>3918468</v>
      </c>
      <c r="AH23" s="11">
        <f>_xlfn.XLOOKUP(B23,[1]Sheet1!$B:$B,[1]Sheet1!$AB:$AB,0)</f>
        <v>3918468</v>
      </c>
    </row>
    <row r="24" spans="2:34" ht="16.8" thickTop="1" thickBot="1" x14ac:dyDescent="0.35">
      <c r="B24" s="3" t="str">
        <f t="shared" si="2"/>
        <v>45116004511000022Event Management-N1422401200104</v>
      </c>
      <c r="C24" s="6" t="s">
        <v>125</v>
      </c>
      <c r="D24" s="6" t="s">
        <v>120</v>
      </c>
      <c r="E24" s="6" t="s">
        <v>121</v>
      </c>
      <c r="F24" s="6" t="s">
        <v>122</v>
      </c>
      <c r="G24" s="4" t="s">
        <v>2807</v>
      </c>
      <c r="H24" s="4" t="s">
        <v>2922</v>
      </c>
      <c r="I24" s="6" t="s">
        <v>63</v>
      </c>
      <c r="J24" s="6" t="s">
        <v>31</v>
      </c>
      <c r="K24" s="12">
        <f>_xlfn.XLOOKUP(B24,[1]Sheet1!$B:$B,[1]Sheet1!$N:$N,0)</f>
        <v>0</v>
      </c>
      <c r="L24" s="12">
        <f>_xlfn.XLOOKUP(B24,[1]Sheet1!$B:$B,[1]Sheet1!$O:$O,0)</f>
        <v>0</v>
      </c>
      <c r="M24" s="12">
        <f>_xlfn.XLOOKUP(B24,[1]Sheet1!$B:$B,[1]Sheet1!$P:$P,0)</f>
        <v>0</v>
      </c>
      <c r="N24" s="12">
        <f>_xlfn.XLOOKUP(B24,[1]Sheet1!$B:$B,[1]Sheet1!$Q:$Q,0)</f>
        <v>0</v>
      </c>
      <c r="O24" s="12">
        <f>_xlfn.XLOOKUP(B24,[1]Sheet1!$B:$B,[1]Sheet1!$R:$R,0)</f>
        <v>0</v>
      </c>
      <c r="P24" s="12">
        <f>_xlfn.XLOOKUP(B24,[1]Sheet1!$B:$B,[1]Sheet1!$S:$S,0)</f>
        <v>0</v>
      </c>
      <c r="Q24" s="12">
        <f>_xlfn.XLOOKUP(B24,[1]Sheet1!$B:$B,[1]Sheet1!$T:$T,0)</f>
        <v>0</v>
      </c>
      <c r="R24" s="12">
        <f>_xlfn.XLOOKUP(B24,[1]Sheet1!$B:$B,[1]Sheet1!$U:$U,0)</f>
        <v>0</v>
      </c>
      <c r="S24" s="12">
        <f>_xlfn.XLOOKUP(B24,[1]Sheet1!$B:$B,[1]Sheet1!$V:$V,0)</f>
        <v>0</v>
      </c>
      <c r="T24" s="12">
        <f>_xlfn.XLOOKUP(B24,[1]Sheet1!$B:$B,[1]Sheet1!$W:$W,0)</f>
        <v>231900</v>
      </c>
      <c r="U24" s="12">
        <f>_xlfn.XLOOKUP(B24,[1]Sheet1!$B:$B,[1]Sheet1!$X:$X,0)</f>
        <v>0</v>
      </c>
      <c r="V24" s="12">
        <f>_xlfn.XLOOKUP(B24,[1]Sheet1!$B:$B,[1]Sheet1!$Y:$Y,0)</f>
        <v>0</v>
      </c>
      <c r="W24" s="12">
        <f t="shared" si="3"/>
        <v>231900</v>
      </c>
      <c r="X24" s="6" t="s">
        <v>123</v>
      </c>
      <c r="Y24" s="6" t="s">
        <v>65</v>
      </c>
      <c r="Z24" s="6" t="s">
        <v>124</v>
      </c>
      <c r="AA24" s="6" t="s">
        <v>68</v>
      </c>
      <c r="AB24" s="6" t="s">
        <v>36</v>
      </c>
      <c r="AC24" s="6" t="s">
        <v>37</v>
      </c>
      <c r="AD24" s="6" t="s">
        <v>126</v>
      </c>
      <c r="AE24" s="6" t="s">
        <v>39</v>
      </c>
      <c r="AF24" s="6" t="s">
        <v>40</v>
      </c>
      <c r="AG24" s="7">
        <v>231900</v>
      </c>
      <c r="AH24" s="11">
        <f>_xlfn.XLOOKUP(B24,[1]Sheet1!$B:$B,[1]Sheet1!$AB:$AB,0)</f>
        <v>231900</v>
      </c>
    </row>
    <row r="25" spans="2:34" ht="16.8" thickTop="1" thickBot="1" x14ac:dyDescent="0.35">
      <c r="B25" s="3" t="str">
        <f t="shared" si="2"/>
        <v>45116004511000022Other Expenses-N424991200104</v>
      </c>
      <c r="C25" s="8" t="s">
        <v>125</v>
      </c>
      <c r="D25" s="8" t="s">
        <v>120</v>
      </c>
      <c r="E25" s="8" t="s">
        <v>121</v>
      </c>
      <c r="F25" s="8" t="s">
        <v>57</v>
      </c>
      <c r="G25" s="4" t="s">
        <v>2806</v>
      </c>
      <c r="H25" s="4" t="s">
        <v>2922</v>
      </c>
      <c r="I25" s="8" t="s">
        <v>58</v>
      </c>
      <c r="J25" s="8" t="s">
        <v>31</v>
      </c>
      <c r="K25" s="12">
        <f>_xlfn.XLOOKUP(B25,[1]Sheet1!$B:$B,[1]Sheet1!$N:$N,0)</f>
        <v>0</v>
      </c>
      <c r="L25" s="12">
        <f>_xlfn.XLOOKUP(B25,[1]Sheet1!$B:$B,[1]Sheet1!$O:$O,0)</f>
        <v>0</v>
      </c>
      <c r="M25" s="12">
        <f>_xlfn.XLOOKUP(B25,[1]Sheet1!$B:$B,[1]Sheet1!$P:$P,0)</f>
        <v>0</v>
      </c>
      <c r="N25" s="12">
        <f>_xlfn.XLOOKUP(B25,[1]Sheet1!$B:$B,[1]Sheet1!$Q:$Q,0)</f>
        <v>0</v>
      </c>
      <c r="O25" s="12">
        <f>_xlfn.XLOOKUP(B25,[1]Sheet1!$B:$B,[1]Sheet1!$R:$R,0)</f>
        <v>0</v>
      </c>
      <c r="P25" s="12">
        <f>_xlfn.XLOOKUP(B25,[1]Sheet1!$B:$B,[1]Sheet1!$S:$S,0)</f>
        <v>0</v>
      </c>
      <c r="Q25" s="12">
        <f>_xlfn.XLOOKUP(B25,[1]Sheet1!$B:$B,[1]Sheet1!$T:$T,0)</f>
        <v>0</v>
      </c>
      <c r="R25" s="12">
        <f>_xlfn.XLOOKUP(B25,[1]Sheet1!$B:$B,[1]Sheet1!$U:$U,0)</f>
        <v>0</v>
      </c>
      <c r="S25" s="12">
        <f>_xlfn.XLOOKUP(B25,[1]Sheet1!$B:$B,[1]Sheet1!$V:$V,0)</f>
        <v>0</v>
      </c>
      <c r="T25" s="12">
        <f>_xlfn.XLOOKUP(B25,[1]Sheet1!$B:$B,[1]Sheet1!$W:$W,0)</f>
        <v>180000</v>
      </c>
      <c r="U25" s="12">
        <f>_xlfn.XLOOKUP(B25,[1]Sheet1!$B:$B,[1]Sheet1!$X:$X,0)</f>
        <v>0</v>
      </c>
      <c r="V25" s="12">
        <f>_xlfn.XLOOKUP(B25,[1]Sheet1!$B:$B,[1]Sheet1!$Y:$Y,0)</f>
        <v>0</v>
      </c>
      <c r="W25" s="12">
        <f t="shared" si="3"/>
        <v>180000</v>
      </c>
      <c r="X25" s="8" t="s">
        <v>127</v>
      </c>
      <c r="Y25" s="8" t="s">
        <v>65</v>
      </c>
      <c r="Z25" s="8" t="s">
        <v>124</v>
      </c>
      <c r="AA25" s="8" t="s">
        <v>58</v>
      </c>
      <c r="AB25" s="8" t="s">
        <v>36</v>
      </c>
      <c r="AC25" s="8" t="s">
        <v>37</v>
      </c>
      <c r="AD25" s="8" t="s">
        <v>126</v>
      </c>
      <c r="AE25" s="8" t="s">
        <v>39</v>
      </c>
      <c r="AF25" s="8" t="s">
        <v>40</v>
      </c>
      <c r="AG25" s="9">
        <v>180000</v>
      </c>
      <c r="AH25" s="11">
        <f>_xlfn.XLOOKUP(B25,[1]Sheet1!$B:$B,[1]Sheet1!$AB:$AB,0)</f>
        <v>180000</v>
      </c>
    </row>
    <row r="26" spans="2:34" ht="16.8" thickTop="1" thickBot="1" x14ac:dyDescent="0.35">
      <c r="B26" s="3" t="str">
        <f t="shared" si="2"/>
        <v>45102204511000023Admin Expenses-N421125200104</v>
      </c>
      <c r="C26" s="6" t="s">
        <v>134</v>
      </c>
      <c r="D26" s="6" t="s">
        <v>128</v>
      </c>
      <c r="E26" s="6" t="s">
        <v>129</v>
      </c>
      <c r="F26" s="6" t="s">
        <v>130</v>
      </c>
      <c r="G26" s="4" t="s">
        <v>2803</v>
      </c>
      <c r="H26" s="4" t="s">
        <v>2922</v>
      </c>
      <c r="I26" s="6" t="s">
        <v>44</v>
      </c>
      <c r="J26" s="6" t="s">
        <v>31</v>
      </c>
      <c r="K26" s="12">
        <f>_xlfn.XLOOKUP(B26,[1]Sheet1!$B:$B,[1]Sheet1!$N:$N,0)</f>
        <v>0</v>
      </c>
      <c r="L26" s="12">
        <f>_xlfn.XLOOKUP(B26,[1]Sheet1!$B:$B,[1]Sheet1!$O:$O,0)</f>
        <v>0</v>
      </c>
      <c r="M26" s="12">
        <f>_xlfn.XLOOKUP(B26,[1]Sheet1!$B:$B,[1]Sheet1!$P:$P,0)</f>
        <v>13054.26</v>
      </c>
      <c r="N26" s="12">
        <f>_xlfn.XLOOKUP(B26,[1]Sheet1!$B:$B,[1]Sheet1!$Q:$Q,0)</f>
        <v>26945.739999999998</v>
      </c>
      <c r="O26" s="12">
        <f>_xlfn.XLOOKUP(B26,[1]Sheet1!$B:$B,[1]Sheet1!$R:$R,0)</f>
        <v>0</v>
      </c>
      <c r="P26" s="12">
        <f>_xlfn.XLOOKUP(B26,[1]Sheet1!$B:$B,[1]Sheet1!$S:$S,0)</f>
        <v>20000</v>
      </c>
      <c r="Q26" s="12">
        <f>_xlfn.XLOOKUP(B26,[1]Sheet1!$B:$B,[1]Sheet1!$T:$T,0)</f>
        <v>0</v>
      </c>
      <c r="R26" s="12">
        <f>_xlfn.XLOOKUP(B26,[1]Sheet1!$B:$B,[1]Sheet1!$U:$U,0)</f>
        <v>0</v>
      </c>
      <c r="S26" s="12">
        <f>_xlfn.XLOOKUP(B26,[1]Sheet1!$B:$B,[1]Sheet1!$V:$V,0)</f>
        <v>30000</v>
      </c>
      <c r="T26" s="12">
        <f>_xlfn.XLOOKUP(B26,[1]Sheet1!$B:$B,[1]Sheet1!$W:$W,0)</f>
        <v>0</v>
      </c>
      <c r="U26" s="12">
        <f>_xlfn.XLOOKUP(B26,[1]Sheet1!$B:$B,[1]Sheet1!$X:$X,0)</f>
        <v>18097</v>
      </c>
      <c r="V26" s="12">
        <f>_xlfn.XLOOKUP(B26,[1]Sheet1!$B:$B,[1]Sheet1!$Y:$Y,0)</f>
        <v>40000</v>
      </c>
      <c r="W26" s="12">
        <f t="shared" si="3"/>
        <v>148097</v>
      </c>
      <c r="X26" s="6" t="s">
        <v>131</v>
      </c>
      <c r="Y26" s="6" t="s">
        <v>132</v>
      </c>
      <c r="Z26" s="6" t="s">
        <v>133</v>
      </c>
      <c r="AA26" s="6" t="s">
        <v>44</v>
      </c>
      <c r="AB26" s="6" t="s">
        <v>36</v>
      </c>
      <c r="AC26" s="6" t="s">
        <v>37</v>
      </c>
      <c r="AD26" s="6" t="s">
        <v>135</v>
      </c>
      <c r="AE26" s="6" t="s">
        <v>39</v>
      </c>
      <c r="AF26" s="6" t="s">
        <v>40</v>
      </c>
      <c r="AG26" s="7">
        <v>148097</v>
      </c>
      <c r="AH26" s="11">
        <f>_xlfn.XLOOKUP(B26,[1]Sheet1!$B:$B,[1]Sheet1!$AB:$AB,0)</f>
        <v>148097</v>
      </c>
    </row>
    <row r="27" spans="2:34" ht="16.8" thickTop="1" thickBot="1" x14ac:dyDescent="0.35">
      <c r="B27" s="3" t="str">
        <f t="shared" si="2"/>
        <v>45102204511000023Freelancers-N424521200104</v>
      </c>
      <c r="C27" s="8" t="s">
        <v>134</v>
      </c>
      <c r="D27" s="8" t="s">
        <v>128</v>
      </c>
      <c r="E27" s="8" t="s">
        <v>129</v>
      </c>
      <c r="F27" s="8" t="s">
        <v>50</v>
      </c>
      <c r="G27" s="4" t="s">
        <v>2804</v>
      </c>
      <c r="H27" s="4" t="s">
        <v>2922</v>
      </c>
      <c r="I27" s="8" t="s">
        <v>51</v>
      </c>
      <c r="J27" s="8" t="s">
        <v>31</v>
      </c>
      <c r="K27" s="12">
        <f>_xlfn.XLOOKUP(B27,[1]Sheet1!$B:$B,[1]Sheet1!$N:$N,0)</f>
        <v>0</v>
      </c>
      <c r="L27" s="12">
        <f>_xlfn.XLOOKUP(B27,[1]Sheet1!$B:$B,[1]Sheet1!$O:$O,0)</f>
        <v>218633</v>
      </c>
      <c r="M27" s="12">
        <f>_xlfn.XLOOKUP(B27,[1]Sheet1!$B:$B,[1]Sheet1!$P:$P,0)</f>
        <v>267300</v>
      </c>
      <c r="N27" s="12">
        <f>_xlfn.XLOOKUP(B27,[1]Sheet1!$B:$B,[1]Sheet1!$Q:$Q,0)</f>
        <v>193500</v>
      </c>
      <c r="O27" s="12">
        <f>_xlfn.XLOOKUP(B27,[1]Sheet1!$B:$B,[1]Sheet1!$R:$R,0)</f>
        <v>86000</v>
      </c>
      <c r="P27" s="12">
        <f>_xlfn.XLOOKUP(B27,[1]Sheet1!$B:$B,[1]Sheet1!$S:$S,0)</f>
        <v>86000</v>
      </c>
      <c r="Q27" s="12">
        <f>_xlfn.XLOOKUP(B27,[1]Sheet1!$B:$B,[1]Sheet1!$T:$T,0)</f>
        <v>86000</v>
      </c>
      <c r="R27" s="12">
        <f>_xlfn.XLOOKUP(B27,[1]Sheet1!$B:$B,[1]Sheet1!$U:$U,0)</f>
        <v>86000</v>
      </c>
      <c r="S27" s="12">
        <f>_xlfn.XLOOKUP(B27,[1]Sheet1!$B:$B,[1]Sheet1!$V:$V,0)</f>
        <v>86000</v>
      </c>
      <c r="T27" s="12">
        <f>_xlfn.XLOOKUP(B27,[1]Sheet1!$B:$B,[1]Sheet1!$W:$W,0)</f>
        <v>86000</v>
      </c>
      <c r="U27" s="12">
        <f>_xlfn.XLOOKUP(B27,[1]Sheet1!$B:$B,[1]Sheet1!$X:$X,0)</f>
        <v>86000</v>
      </c>
      <c r="V27" s="12">
        <f>_xlfn.XLOOKUP(B27,[1]Sheet1!$B:$B,[1]Sheet1!$Y:$Y,0)</f>
        <v>75857</v>
      </c>
      <c r="W27" s="12">
        <f t="shared" si="3"/>
        <v>1357290</v>
      </c>
      <c r="X27" s="8" t="s">
        <v>136</v>
      </c>
      <c r="Y27" s="8" t="s">
        <v>132</v>
      </c>
      <c r="Z27" s="8" t="s">
        <v>133</v>
      </c>
      <c r="AA27" s="8" t="s">
        <v>53</v>
      </c>
      <c r="AB27" s="8" t="s">
        <v>36</v>
      </c>
      <c r="AC27" s="8" t="s">
        <v>37</v>
      </c>
      <c r="AD27" s="8" t="s">
        <v>135</v>
      </c>
      <c r="AE27" s="8" t="s">
        <v>39</v>
      </c>
      <c r="AF27" s="8" t="s">
        <v>40</v>
      </c>
      <c r="AG27" s="9">
        <v>1357290</v>
      </c>
      <c r="AH27" s="11">
        <f>_xlfn.XLOOKUP(B27,[1]Sheet1!$B:$B,[1]Sheet1!$AB:$AB,0)</f>
        <v>1357290</v>
      </c>
    </row>
    <row r="28" spans="2:34" ht="16.8" thickTop="1" thickBot="1" x14ac:dyDescent="0.35">
      <c r="B28" s="3" t="str">
        <f t="shared" si="2"/>
        <v>45102204511000023Mission &amp; Travel-N423821200104</v>
      </c>
      <c r="C28" s="6" t="s">
        <v>134</v>
      </c>
      <c r="D28" s="6" t="s">
        <v>128</v>
      </c>
      <c r="E28" s="6" t="s">
        <v>129</v>
      </c>
      <c r="F28" s="6" t="s">
        <v>54</v>
      </c>
      <c r="G28" s="4" t="s">
        <v>2805</v>
      </c>
      <c r="H28" s="4" t="s">
        <v>2922</v>
      </c>
      <c r="I28" s="6" t="s">
        <v>55</v>
      </c>
      <c r="J28" s="6" t="s">
        <v>31</v>
      </c>
      <c r="K28" s="12">
        <f>_xlfn.XLOOKUP(B28,[1]Sheet1!$B:$B,[1]Sheet1!$N:$N,0)</f>
        <v>0</v>
      </c>
      <c r="L28" s="12">
        <f>_xlfn.XLOOKUP(B28,[1]Sheet1!$B:$B,[1]Sheet1!$O:$O,0)</f>
        <v>7500</v>
      </c>
      <c r="M28" s="12">
        <f>_xlfn.XLOOKUP(B28,[1]Sheet1!$B:$B,[1]Sheet1!$P:$P,0)</f>
        <v>0</v>
      </c>
      <c r="N28" s="12">
        <f>_xlfn.XLOOKUP(B28,[1]Sheet1!$B:$B,[1]Sheet1!$Q:$Q,0)</f>
        <v>57500</v>
      </c>
      <c r="O28" s="12">
        <f>_xlfn.XLOOKUP(B28,[1]Sheet1!$B:$B,[1]Sheet1!$R:$R,0)</f>
        <v>0</v>
      </c>
      <c r="P28" s="12">
        <f>_xlfn.XLOOKUP(B28,[1]Sheet1!$B:$B,[1]Sheet1!$S:$S,0)</f>
        <v>0</v>
      </c>
      <c r="Q28" s="12">
        <f>_xlfn.XLOOKUP(B28,[1]Sheet1!$B:$B,[1]Sheet1!$T:$T,0)</f>
        <v>0</v>
      </c>
      <c r="R28" s="12">
        <f>_xlfn.XLOOKUP(B28,[1]Sheet1!$B:$B,[1]Sheet1!$U:$U,0)</f>
        <v>0</v>
      </c>
      <c r="S28" s="12">
        <f>_xlfn.XLOOKUP(B28,[1]Sheet1!$B:$B,[1]Sheet1!$V:$V,0)</f>
        <v>0</v>
      </c>
      <c r="T28" s="12">
        <f>_xlfn.XLOOKUP(B28,[1]Sheet1!$B:$B,[1]Sheet1!$W:$W,0)</f>
        <v>0</v>
      </c>
      <c r="U28" s="12">
        <f>_xlfn.XLOOKUP(B28,[1]Sheet1!$B:$B,[1]Sheet1!$X:$X,0)</f>
        <v>0</v>
      </c>
      <c r="V28" s="12">
        <f>_xlfn.XLOOKUP(B28,[1]Sheet1!$B:$B,[1]Sheet1!$Y:$Y,0)</f>
        <v>0</v>
      </c>
      <c r="W28" s="12">
        <f t="shared" si="3"/>
        <v>65000</v>
      </c>
      <c r="X28" s="6" t="s">
        <v>137</v>
      </c>
      <c r="Y28" s="6" t="s">
        <v>132</v>
      </c>
      <c r="Z28" s="6" t="s">
        <v>133</v>
      </c>
      <c r="AA28" s="6" t="s">
        <v>55</v>
      </c>
      <c r="AB28" s="6" t="s">
        <v>36</v>
      </c>
      <c r="AC28" s="6" t="s">
        <v>37</v>
      </c>
      <c r="AD28" s="6" t="s">
        <v>135</v>
      </c>
      <c r="AE28" s="6" t="s">
        <v>39</v>
      </c>
      <c r="AF28" s="6" t="s">
        <v>40</v>
      </c>
      <c r="AG28" s="7">
        <v>65000</v>
      </c>
      <c r="AH28" s="11">
        <f>_xlfn.XLOOKUP(B28,[1]Sheet1!$B:$B,[1]Sheet1!$AB:$AB,0)</f>
        <v>65000</v>
      </c>
    </row>
    <row r="29" spans="2:34" ht="16.8" thickTop="1" thickBot="1" x14ac:dyDescent="0.35">
      <c r="B29" s="3" t="str">
        <f t="shared" si="2"/>
        <v>45101704511000037Admin Expenses-N421125200104</v>
      </c>
      <c r="C29" s="8" t="s">
        <v>142</v>
      </c>
      <c r="D29" s="8" t="s">
        <v>138</v>
      </c>
      <c r="E29" s="8" t="s">
        <v>139</v>
      </c>
      <c r="F29" s="8" t="s">
        <v>130</v>
      </c>
      <c r="G29" s="4" t="s">
        <v>2803</v>
      </c>
      <c r="H29" s="4" t="s">
        <v>2922</v>
      </c>
      <c r="I29" s="8" t="s">
        <v>44</v>
      </c>
      <c r="J29" s="8" t="s">
        <v>31</v>
      </c>
      <c r="K29" s="12">
        <f>_xlfn.XLOOKUP(B29,[1]Sheet1!$B:$B,[1]Sheet1!$N:$N,0)</f>
        <v>0</v>
      </c>
      <c r="L29" s="12">
        <f>_xlfn.XLOOKUP(B29,[1]Sheet1!$B:$B,[1]Sheet1!$O:$O,0)</f>
        <v>0</v>
      </c>
      <c r="M29" s="12">
        <f>_xlfn.XLOOKUP(B29,[1]Sheet1!$B:$B,[1]Sheet1!$P:$P,0)</f>
        <v>0</v>
      </c>
      <c r="N29" s="12">
        <f>_xlfn.XLOOKUP(B29,[1]Sheet1!$B:$B,[1]Sheet1!$Q:$Q,0)</f>
        <v>0</v>
      </c>
      <c r="O29" s="12">
        <f>_xlfn.XLOOKUP(B29,[1]Sheet1!$B:$B,[1]Sheet1!$R:$R,0)</f>
        <v>0</v>
      </c>
      <c r="P29" s="12">
        <f>_xlfn.XLOOKUP(B29,[1]Sheet1!$B:$B,[1]Sheet1!$S:$S,0)</f>
        <v>5000</v>
      </c>
      <c r="Q29" s="12">
        <f>_xlfn.XLOOKUP(B29,[1]Sheet1!$B:$B,[1]Sheet1!$T:$T,0)</f>
        <v>5000</v>
      </c>
      <c r="R29" s="12">
        <f>_xlfn.XLOOKUP(B29,[1]Sheet1!$B:$B,[1]Sheet1!$U:$U,0)</f>
        <v>0</v>
      </c>
      <c r="S29" s="12">
        <f>_xlfn.XLOOKUP(B29,[1]Sheet1!$B:$B,[1]Sheet1!$V:$V,0)</f>
        <v>0</v>
      </c>
      <c r="T29" s="12">
        <f>_xlfn.XLOOKUP(B29,[1]Sheet1!$B:$B,[1]Sheet1!$W:$W,0)</f>
        <v>0</v>
      </c>
      <c r="U29" s="12">
        <f>_xlfn.XLOOKUP(B29,[1]Sheet1!$B:$B,[1]Sheet1!$X:$X,0)</f>
        <v>52000</v>
      </c>
      <c r="V29" s="12">
        <f>_xlfn.XLOOKUP(B29,[1]Sheet1!$B:$B,[1]Sheet1!$Y:$Y,0)</f>
        <v>0</v>
      </c>
      <c r="W29" s="12">
        <f t="shared" si="3"/>
        <v>62000</v>
      </c>
      <c r="X29" s="8" t="s">
        <v>140</v>
      </c>
      <c r="Y29" s="8" t="s">
        <v>132</v>
      </c>
      <c r="Z29" s="8" t="s">
        <v>141</v>
      </c>
      <c r="AA29" s="8" t="s">
        <v>44</v>
      </c>
      <c r="AB29" s="8" t="s">
        <v>36</v>
      </c>
      <c r="AC29" s="8" t="s">
        <v>37</v>
      </c>
      <c r="AD29" s="8" t="s">
        <v>143</v>
      </c>
      <c r="AE29" s="8" t="s">
        <v>39</v>
      </c>
      <c r="AF29" s="8" t="s">
        <v>40</v>
      </c>
      <c r="AG29" s="9">
        <v>62000</v>
      </c>
      <c r="AH29" s="11">
        <f>_xlfn.XLOOKUP(B29,[1]Sheet1!$B:$B,[1]Sheet1!$AB:$AB,0)</f>
        <v>62000</v>
      </c>
    </row>
    <row r="30" spans="2:34" ht="16.8" thickTop="1" thickBot="1" x14ac:dyDescent="0.35">
      <c r="B30" s="3" t="str">
        <f t="shared" si="2"/>
        <v>45101704511000037Mission &amp; Travel-N423821200104</v>
      </c>
      <c r="C30" s="6" t="s">
        <v>142</v>
      </c>
      <c r="D30" s="6" t="s">
        <v>138</v>
      </c>
      <c r="E30" s="6" t="s">
        <v>139</v>
      </c>
      <c r="F30" s="6" t="s">
        <v>54</v>
      </c>
      <c r="G30" s="4" t="s">
        <v>2805</v>
      </c>
      <c r="H30" s="4" t="s">
        <v>2922</v>
      </c>
      <c r="I30" s="6" t="s">
        <v>55</v>
      </c>
      <c r="J30" s="6" t="s">
        <v>31</v>
      </c>
      <c r="K30" s="12">
        <f>_xlfn.XLOOKUP(B30,[1]Sheet1!$B:$B,[1]Sheet1!$N:$N,0)</f>
        <v>0</v>
      </c>
      <c r="L30" s="12">
        <f>_xlfn.XLOOKUP(B30,[1]Sheet1!$B:$B,[1]Sheet1!$O:$O,0)</f>
        <v>0</v>
      </c>
      <c r="M30" s="12">
        <f>_xlfn.XLOOKUP(B30,[1]Sheet1!$B:$B,[1]Sheet1!$P:$P,0)</f>
        <v>0</v>
      </c>
      <c r="N30" s="12">
        <f>_xlfn.XLOOKUP(B30,[1]Sheet1!$B:$B,[1]Sheet1!$Q:$Q,0)</f>
        <v>54800</v>
      </c>
      <c r="O30" s="12">
        <f>_xlfn.XLOOKUP(B30,[1]Sheet1!$B:$B,[1]Sheet1!$R:$R,0)</f>
        <v>0</v>
      </c>
      <c r="P30" s="12">
        <f>_xlfn.XLOOKUP(B30,[1]Sheet1!$B:$B,[1]Sheet1!$S:$S,0)</f>
        <v>0</v>
      </c>
      <c r="Q30" s="12">
        <f>_xlfn.XLOOKUP(B30,[1]Sheet1!$B:$B,[1]Sheet1!$T:$T,0)</f>
        <v>3000</v>
      </c>
      <c r="R30" s="12">
        <f>_xlfn.XLOOKUP(B30,[1]Sheet1!$B:$B,[1]Sheet1!$U:$U,0)</f>
        <v>0</v>
      </c>
      <c r="S30" s="12">
        <f>_xlfn.XLOOKUP(B30,[1]Sheet1!$B:$B,[1]Sheet1!$V:$V,0)</f>
        <v>0</v>
      </c>
      <c r="T30" s="12">
        <f>_xlfn.XLOOKUP(B30,[1]Sheet1!$B:$B,[1]Sheet1!$W:$W,0)</f>
        <v>3000</v>
      </c>
      <c r="U30" s="12">
        <f>_xlfn.XLOOKUP(B30,[1]Sheet1!$B:$B,[1]Sheet1!$X:$X,0)</f>
        <v>70404</v>
      </c>
      <c r="V30" s="12">
        <f>_xlfn.XLOOKUP(B30,[1]Sheet1!$B:$B,[1]Sheet1!$Y:$Y,0)</f>
        <v>13000</v>
      </c>
      <c r="W30" s="12">
        <f t="shared" si="3"/>
        <v>144204</v>
      </c>
      <c r="X30" s="6" t="s">
        <v>144</v>
      </c>
      <c r="Y30" s="6" t="s">
        <v>132</v>
      </c>
      <c r="Z30" s="6" t="s">
        <v>141</v>
      </c>
      <c r="AA30" s="6" t="s">
        <v>55</v>
      </c>
      <c r="AB30" s="6" t="s">
        <v>36</v>
      </c>
      <c r="AC30" s="6" t="s">
        <v>37</v>
      </c>
      <c r="AD30" s="6" t="s">
        <v>143</v>
      </c>
      <c r="AE30" s="6" t="s">
        <v>39</v>
      </c>
      <c r="AF30" s="6" t="s">
        <v>40</v>
      </c>
      <c r="AG30" s="7">
        <v>144204</v>
      </c>
      <c r="AH30" s="11">
        <f>_xlfn.XLOOKUP(B30,[1]Sheet1!$B:$B,[1]Sheet1!$AB:$AB,0)</f>
        <v>144204</v>
      </c>
    </row>
    <row r="31" spans="2:34" ht="16.8" thickTop="1" thickBot="1" x14ac:dyDescent="0.35">
      <c r="B31" s="3" t="str">
        <f t="shared" si="2"/>
        <v>45116004511000038Mission &amp; Travel-N423821200104</v>
      </c>
      <c r="C31" s="8" t="s">
        <v>125</v>
      </c>
      <c r="D31" s="8" t="s">
        <v>145</v>
      </c>
      <c r="E31" s="8" t="s">
        <v>146</v>
      </c>
      <c r="F31" s="8" t="s">
        <v>54</v>
      </c>
      <c r="G31" s="4" t="s">
        <v>2805</v>
      </c>
      <c r="H31" s="4" t="s">
        <v>2922</v>
      </c>
      <c r="I31" s="8" t="s">
        <v>55</v>
      </c>
      <c r="J31" s="8" t="s">
        <v>31</v>
      </c>
      <c r="K31" s="12">
        <f>_xlfn.XLOOKUP(B31,[1]Sheet1!$B:$B,[1]Sheet1!$N:$N,0)</f>
        <v>0</v>
      </c>
      <c r="L31" s="12">
        <f>_xlfn.XLOOKUP(B31,[1]Sheet1!$B:$B,[1]Sheet1!$O:$O,0)</f>
        <v>0</v>
      </c>
      <c r="M31" s="12">
        <f>_xlfn.XLOOKUP(B31,[1]Sheet1!$B:$B,[1]Sheet1!$P:$P,0)</f>
        <v>17900</v>
      </c>
      <c r="N31" s="12">
        <f>_xlfn.XLOOKUP(B31,[1]Sheet1!$B:$B,[1]Sheet1!$Q:$Q,0)</f>
        <v>0</v>
      </c>
      <c r="O31" s="12">
        <f>_xlfn.XLOOKUP(B31,[1]Sheet1!$B:$B,[1]Sheet1!$R:$R,0)</f>
        <v>0</v>
      </c>
      <c r="P31" s="12">
        <f>_xlfn.XLOOKUP(B31,[1]Sheet1!$B:$B,[1]Sheet1!$S:$S,0)</f>
        <v>0</v>
      </c>
      <c r="Q31" s="12">
        <f>_xlfn.XLOOKUP(B31,[1]Sheet1!$B:$B,[1]Sheet1!$T:$T,0)</f>
        <v>0</v>
      </c>
      <c r="R31" s="12">
        <f>_xlfn.XLOOKUP(B31,[1]Sheet1!$B:$B,[1]Sheet1!$U:$U,0)</f>
        <v>282100</v>
      </c>
      <c r="S31" s="12">
        <f>_xlfn.XLOOKUP(B31,[1]Sheet1!$B:$B,[1]Sheet1!$V:$V,0)</f>
        <v>0</v>
      </c>
      <c r="T31" s="12">
        <f>_xlfn.XLOOKUP(B31,[1]Sheet1!$B:$B,[1]Sheet1!$W:$W,0)</f>
        <v>0</v>
      </c>
      <c r="U31" s="12">
        <f>_xlfn.XLOOKUP(B31,[1]Sheet1!$B:$B,[1]Sheet1!$X:$X,0)</f>
        <v>400000</v>
      </c>
      <c r="V31" s="12">
        <f>_xlfn.XLOOKUP(B31,[1]Sheet1!$B:$B,[1]Sheet1!$Y:$Y,0)</f>
        <v>0</v>
      </c>
      <c r="W31" s="12">
        <f t="shared" si="3"/>
        <v>700000</v>
      </c>
      <c r="X31" s="8" t="s">
        <v>147</v>
      </c>
      <c r="Y31" s="8" t="s">
        <v>65</v>
      </c>
      <c r="Z31" s="8" t="s">
        <v>124</v>
      </c>
      <c r="AA31" s="8" t="s">
        <v>55</v>
      </c>
      <c r="AB31" s="8" t="s">
        <v>36</v>
      </c>
      <c r="AC31" s="8" t="s">
        <v>37</v>
      </c>
      <c r="AD31" s="8" t="s">
        <v>119</v>
      </c>
      <c r="AE31" s="8" t="s">
        <v>39</v>
      </c>
      <c r="AF31" s="8" t="s">
        <v>40</v>
      </c>
      <c r="AG31" s="9">
        <v>700000</v>
      </c>
      <c r="AH31" s="11">
        <f>_xlfn.XLOOKUP(B31,[1]Sheet1!$B:$B,[1]Sheet1!$AB:$AB,0)</f>
        <v>700000</v>
      </c>
    </row>
    <row r="32" spans="2:34" ht="16.8" thickTop="1" thickBot="1" x14ac:dyDescent="0.35">
      <c r="B32" s="3" t="str">
        <f t="shared" si="2"/>
        <v>45112504511000063Activation&amp;Prog-N422401200104</v>
      </c>
      <c r="C32" s="6" t="s">
        <v>67</v>
      </c>
      <c r="D32" s="6" t="s">
        <v>148</v>
      </c>
      <c r="E32" s="6" t="s">
        <v>149</v>
      </c>
      <c r="F32" s="6" t="s">
        <v>62</v>
      </c>
      <c r="G32" s="4" t="s">
        <v>2807</v>
      </c>
      <c r="H32" s="4" t="s">
        <v>2922</v>
      </c>
      <c r="I32" s="6" t="s">
        <v>63</v>
      </c>
      <c r="J32" s="6" t="s">
        <v>31</v>
      </c>
      <c r="K32" s="12">
        <f>_xlfn.XLOOKUP(B32,[1]Sheet1!$B:$B,[1]Sheet1!$N:$N,0)</f>
        <v>0</v>
      </c>
      <c r="L32" s="12">
        <f>_xlfn.XLOOKUP(B32,[1]Sheet1!$B:$B,[1]Sheet1!$O:$O,0)</f>
        <v>0</v>
      </c>
      <c r="M32" s="12">
        <f>_xlfn.XLOOKUP(B32,[1]Sheet1!$B:$B,[1]Sheet1!$P:$P,0)</f>
        <v>0</v>
      </c>
      <c r="N32" s="12">
        <f>_xlfn.XLOOKUP(B32,[1]Sheet1!$B:$B,[1]Sheet1!$Q:$Q,0)</f>
        <v>0</v>
      </c>
      <c r="O32" s="12">
        <f>_xlfn.XLOOKUP(B32,[1]Sheet1!$B:$B,[1]Sheet1!$R:$R,0)</f>
        <v>1254037</v>
      </c>
      <c r="P32" s="12">
        <f>_xlfn.XLOOKUP(B32,[1]Sheet1!$B:$B,[1]Sheet1!$S:$S,0)</f>
        <v>0</v>
      </c>
      <c r="Q32" s="12">
        <f>_xlfn.XLOOKUP(B32,[1]Sheet1!$B:$B,[1]Sheet1!$T:$T,0)</f>
        <v>0</v>
      </c>
      <c r="R32" s="12">
        <f>_xlfn.XLOOKUP(B32,[1]Sheet1!$B:$B,[1]Sheet1!$U:$U,0)</f>
        <v>0</v>
      </c>
      <c r="S32" s="12">
        <f>_xlfn.XLOOKUP(B32,[1]Sheet1!$B:$B,[1]Sheet1!$V:$V,0)</f>
        <v>0</v>
      </c>
      <c r="T32" s="12">
        <f>_xlfn.XLOOKUP(B32,[1]Sheet1!$B:$B,[1]Sheet1!$W:$W,0)</f>
        <v>0</v>
      </c>
      <c r="U32" s="12">
        <f>_xlfn.XLOOKUP(B32,[1]Sheet1!$B:$B,[1]Sheet1!$X:$X,0)</f>
        <v>0</v>
      </c>
      <c r="V32" s="12">
        <f>_xlfn.XLOOKUP(B32,[1]Sheet1!$B:$B,[1]Sheet1!$Y:$Y,0)</f>
        <v>0</v>
      </c>
      <c r="W32" s="12">
        <f t="shared" si="3"/>
        <v>1254037</v>
      </c>
      <c r="X32" s="6" t="s">
        <v>64</v>
      </c>
      <c r="Y32" s="6" t="s">
        <v>65</v>
      </c>
      <c r="Z32" s="6" t="s">
        <v>66</v>
      </c>
      <c r="AA32" s="6" t="s">
        <v>68</v>
      </c>
      <c r="AB32" s="6" t="s">
        <v>36</v>
      </c>
      <c r="AC32" s="6" t="s">
        <v>37</v>
      </c>
      <c r="AD32" s="6" t="s">
        <v>69</v>
      </c>
      <c r="AE32" s="6" t="s">
        <v>39</v>
      </c>
      <c r="AF32" s="6" t="s">
        <v>40</v>
      </c>
      <c r="AG32" s="7">
        <v>1254037</v>
      </c>
      <c r="AH32" s="11">
        <f>_xlfn.XLOOKUP(B32,[1]Sheet1!$B:$B,[1]Sheet1!$AB:$AB,0)</f>
        <v>1254037</v>
      </c>
    </row>
    <row r="33" spans="2:34" ht="16.8" thickTop="1" thickBot="1" x14ac:dyDescent="0.35">
      <c r="B33" s="3" t="str">
        <f t="shared" si="2"/>
        <v>45112504511000063Admin Expenses-N1421125200104</v>
      </c>
      <c r="C33" s="8" t="s">
        <v>67</v>
      </c>
      <c r="D33" s="8" t="s">
        <v>148</v>
      </c>
      <c r="E33" s="8" t="s">
        <v>149</v>
      </c>
      <c r="F33" s="8" t="s">
        <v>73</v>
      </c>
      <c r="G33" s="4" t="s">
        <v>2803</v>
      </c>
      <c r="H33" s="4" t="s">
        <v>2922</v>
      </c>
      <c r="I33" s="8" t="s">
        <v>44</v>
      </c>
      <c r="J33" s="8" t="s">
        <v>31</v>
      </c>
      <c r="K33" s="12">
        <f>_xlfn.XLOOKUP(B33,[1]Sheet1!$B:$B,[1]Sheet1!$N:$N,0)</f>
        <v>0</v>
      </c>
      <c r="L33" s="12">
        <f>_xlfn.XLOOKUP(B33,[1]Sheet1!$B:$B,[1]Sheet1!$O:$O,0)</f>
        <v>0</v>
      </c>
      <c r="M33" s="12">
        <f>_xlfn.XLOOKUP(B33,[1]Sheet1!$B:$B,[1]Sheet1!$P:$P,0)</f>
        <v>0</v>
      </c>
      <c r="N33" s="12">
        <f>_xlfn.XLOOKUP(B33,[1]Sheet1!$B:$B,[1]Sheet1!$Q:$Q,0)</f>
        <v>40000</v>
      </c>
      <c r="O33" s="12">
        <f>_xlfn.XLOOKUP(B33,[1]Sheet1!$B:$B,[1]Sheet1!$R:$R,0)</f>
        <v>40000</v>
      </c>
      <c r="P33" s="12">
        <f>_xlfn.XLOOKUP(B33,[1]Sheet1!$B:$B,[1]Sheet1!$S:$S,0)</f>
        <v>40000</v>
      </c>
      <c r="Q33" s="12">
        <f>_xlfn.XLOOKUP(B33,[1]Sheet1!$B:$B,[1]Sheet1!$T:$T,0)</f>
        <v>51500</v>
      </c>
      <c r="R33" s="12">
        <f>_xlfn.XLOOKUP(B33,[1]Sheet1!$B:$B,[1]Sheet1!$U:$U,0)</f>
        <v>0</v>
      </c>
      <c r="S33" s="12">
        <f>_xlfn.XLOOKUP(B33,[1]Sheet1!$B:$B,[1]Sheet1!$V:$V,0)</f>
        <v>0</v>
      </c>
      <c r="T33" s="12">
        <f>_xlfn.XLOOKUP(B33,[1]Sheet1!$B:$B,[1]Sheet1!$W:$W,0)</f>
        <v>0</v>
      </c>
      <c r="U33" s="12">
        <f>_xlfn.XLOOKUP(B33,[1]Sheet1!$B:$B,[1]Sheet1!$X:$X,0)</f>
        <v>0</v>
      </c>
      <c r="V33" s="12">
        <f>_xlfn.XLOOKUP(B33,[1]Sheet1!$B:$B,[1]Sheet1!$Y:$Y,0)</f>
        <v>0</v>
      </c>
      <c r="W33" s="12">
        <f t="shared" si="3"/>
        <v>171500</v>
      </c>
      <c r="X33" s="8" t="s">
        <v>74</v>
      </c>
      <c r="Y33" s="8" t="s">
        <v>65</v>
      </c>
      <c r="Z33" s="8" t="s">
        <v>66</v>
      </c>
      <c r="AA33" s="8" t="s">
        <v>44</v>
      </c>
      <c r="AB33" s="8" t="s">
        <v>36</v>
      </c>
      <c r="AC33" s="8" t="s">
        <v>37</v>
      </c>
      <c r="AD33" s="8" t="s">
        <v>69</v>
      </c>
      <c r="AE33" s="8" t="s">
        <v>39</v>
      </c>
      <c r="AF33" s="8" t="s">
        <v>40</v>
      </c>
      <c r="AG33" s="9">
        <v>171500</v>
      </c>
      <c r="AH33" s="11">
        <f>_xlfn.XLOOKUP(B33,[1]Sheet1!$B:$B,[1]Sheet1!$AB:$AB,0)</f>
        <v>171500</v>
      </c>
    </row>
    <row r="34" spans="2:34" ht="16.8" thickTop="1" thickBot="1" x14ac:dyDescent="0.35">
      <c r="B34" s="3" t="str">
        <f t="shared" si="2"/>
        <v>45112504511000063Cleaning Service-N422311200104</v>
      </c>
      <c r="C34" s="6" t="s">
        <v>67</v>
      </c>
      <c r="D34" s="6" t="s">
        <v>148</v>
      </c>
      <c r="E34" s="6" t="s">
        <v>149</v>
      </c>
      <c r="F34" s="6" t="s">
        <v>79</v>
      </c>
      <c r="G34" s="4" t="s">
        <v>2810</v>
      </c>
      <c r="H34" s="4" t="s">
        <v>2922</v>
      </c>
      <c r="I34" s="6" t="s">
        <v>80</v>
      </c>
      <c r="J34" s="6" t="s">
        <v>31</v>
      </c>
      <c r="K34" s="12">
        <f>_xlfn.XLOOKUP(B34,[1]Sheet1!$B:$B,[1]Sheet1!$N:$N,0)</f>
        <v>0</v>
      </c>
      <c r="L34" s="12">
        <f>_xlfn.XLOOKUP(B34,[1]Sheet1!$B:$B,[1]Sheet1!$O:$O,0)</f>
        <v>0</v>
      </c>
      <c r="M34" s="12">
        <f>_xlfn.XLOOKUP(B34,[1]Sheet1!$B:$B,[1]Sheet1!$P:$P,0)</f>
        <v>0</v>
      </c>
      <c r="N34" s="12">
        <f>_xlfn.XLOOKUP(B34,[1]Sheet1!$B:$B,[1]Sheet1!$Q:$Q,0)</f>
        <v>60000</v>
      </c>
      <c r="O34" s="12">
        <f>_xlfn.XLOOKUP(B34,[1]Sheet1!$B:$B,[1]Sheet1!$R:$R,0)</f>
        <v>20000</v>
      </c>
      <c r="P34" s="12">
        <f>_xlfn.XLOOKUP(B34,[1]Sheet1!$B:$B,[1]Sheet1!$S:$S,0)</f>
        <v>20000</v>
      </c>
      <c r="Q34" s="12">
        <f>_xlfn.XLOOKUP(B34,[1]Sheet1!$B:$B,[1]Sheet1!$T:$T,0)</f>
        <v>20000</v>
      </c>
      <c r="R34" s="12">
        <f>_xlfn.XLOOKUP(B34,[1]Sheet1!$B:$B,[1]Sheet1!$U:$U,0)</f>
        <v>20000</v>
      </c>
      <c r="S34" s="12">
        <f>_xlfn.XLOOKUP(B34,[1]Sheet1!$B:$B,[1]Sheet1!$V:$V,0)</f>
        <v>20000</v>
      </c>
      <c r="T34" s="12">
        <f>_xlfn.XLOOKUP(B34,[1]Sheet1!$B:$B,[1]Sheet1!$W:$W,0)</f>
        <v>20698</v>
      </c>
      <c r="U34" s="12">
        <f>_xlfn.XLOOKUP(B34,[1]Sheet1!$B:$B,[1]Sheet1!$X:$X,0)</f>
        <v>0</v>
      </c>
      <c r="V34" s="12">
        <f>_xlfn.XLOOKUP(B34,[1]Sheet1!$B:$B,[1]Sheet1!$Y:$Y,0)</f>
        <v>0</v>
      </c>
      <c r="W34" s="12">
        <f t="shared" si="3"/>
        <v>180698</v>
      </c>
      <c r="X34" s="6" t="s">
        <v>81</v>
      </c>
      <c r="Y34" s="6" t="s">
        <v>65</v>
      </c>
      <c r="Z34" s="6" t="s">
        <v>66</v>
      </c>
      <c r="AA34" s="6" t="s">
        <v>80</v>
      </c>
      <c r="AB34" s="6" t="s">
        <v>36</v>
      </c>
      <c r="AC34" s="6" t="s">
        <v>37</v>
      </c>
      <c r="AD34" s="6" t="s">
        <v>69</v>
      </c>
      <c r="AE34" s="6" t="s">
        <v>39</v>
      </c>
      <c r="AF34" s="6" t="s">
        <v>40</v>
      </c>
      <c r="AG34" s="7">
        <v>180698</v>
      </c>
      <c r="AH34" s="11">
        <f>_xlfn.XLOOKUP(B34,[1]Sheet1!$B:$B,[1]Sheet1!$AB:$AB,0)</f>
        <v>180698</v>
      </c>
    </row>
    <row r="35" spans="2:34" ht="16.8" thickTop="1" thickBot="1" x14ac:dyDescent="0.35">
      <c r="B35" s="3" t="str">
        <f t="shared" si="2"/>
        <v>45115504511000063Collaterals-N422511200104</v>
      </c>
      <c r="C35" s="8" t="s">
        <v>154</v>
      </c>
      <c r="D35" s="8" t="s">
        <v>148</v>
      </c>
      <c r="E35" s="8" t="s">
        <v>149</v>
      </c>
      <c r="F35" s="8" t="s">
        <v>150</v>
      </c>
      <c r="G35" s="4" t="s">
        <v>2819</v>
      </c>
      <c r="H35" s="4" t="s">
        <v>2922</v>
      </c>
      <c r="I35" s="8" t="s">
        <v>151</v>
      </c>
      <c r="J35" s="8" t="s">
        <v>31</v>
      </c>
      <c r="K35" s="12">
        <f>_xlfn.XLOOKUP(B35,[1]Sheet1!$B:$B,[1]Sheet1!$N:$N,0)</f>
        <v>0</v>
      </c>
      <c r="L35" s="12">
        <f>_xlfn.XLOOKUP(B35,[1]Sheet1!$B:$B,[1]Sheet1!$O:$O,0)</f>
        <v>0</v>
      </c>
      <c r="M35" s="12">
        <f>_xlfn.XLOOKUP(B35,[1]Sheet1!$B:$B,[1]Sheet1!$P:$P,0)</f>
        <v>0</v>
      </c>
      <c r="N35" s="12">
        <f>_xlfn.XLOOKUP(B35,[1]Sheet1!$B:$B,[1]Sheet1!$Q:$Q,0)</f>
        <v>0</v>
      </c>
      <c r="O35" s="12">
        <f>_xlfn.XLOOKUP(B35,[1]Sheet1!$B:$B,[1]Sheet1!$R:$R,0)</f>
        <v>0</v>
      </c>
      <c r="P35" s="12">
        <f>_xlfn.XLOOKUP(B35,[1]Sheet1!$B:$B,[1]Sheet1!$S:$S,0)</f>
        <v>0</v>
      </c>
      <c r="Q35" s="12">
        <f>_xlfn.XLOOKUP(B35,[1]Sheet1!$B:$B,[1]Sheet1!$T:$T,0)</f>
        <v>0</v>
      </c>
      <c r="R35" s="12">
        <f>_xlfn.XLOOKUP(B35,[1]Sheet1!$B:$B,[1]Sheet1!$U:$U,0)</f>
        <v>0</v>
      </c>
      <c r="S35" s="12">
        <f>_xlfn.XLOOKUP(B35,[1]Sheet1!$B:$B,[1]Sheet1!$V:$V,0)</f>
        <v>0</v>
      </c>
      <c r="T35" s="12">
        <f>_xlfn.XLOOKUP(B35,[1]Sheet1!$B:$B,[1]Sheet1!$W:$W,0)</f>
        <v>0</v>
      </c>
      <c r="U35" s="12">
        <f>_xlfn.XLOOKUP(B35,[1]Sheet1!$B:$B,[1]Sheet1!$X:$X,0)</f>
        <v>0</v>
      </c>
      <c r="V35" s="12">
        <f>_xlfn.XLOOKUP(B35,[1]Sheet1!$B:$B,[1]Sheet1!$Y:$Y,0)</f>
        <v>0</v>
      </c>
      <c r="W35" s="12">
        <f t="shared" si="3"/>
        <v>0</v>
      </c>
      <c r="X35" s="8" t="s">
        <v>152</v>
      </c>
      <c r="Y35" s="8" t="s">
        <v>65</v>
      </c>
      <c r="Z35" s="8" t="s">
        <v>153</v>
      </c>
      <c r="AA35" s="8" t="s">
        <v>151</v>
      </c>
      <c r="AB35" s="8" t="s">
        <v>36</v>
      </c>
      <c r="AC35" s="8" t="s">
        <v>37</v>
      </c>
      <c r="AD35" s="8" t="s">
        <v>69</v>
      </c>
      <c r="AE35" s="8" t="s">
        <v>39</v>
      </c>
      <c r="AF35" s="8" t="s">
        <v>40</v>
      </c>
      <c r="AG35" s="9">
        <v>18500</v>
      </c>
      <c r="AH35" s="11">
        <f>_xlfn.XLOOKUP(B35,[1]Sheet1!$B:$B,[1]Sheet1!$AB:$AB,0)</f>
        <v>16800</v>
      </c>
    </row>
    <row r="36" spans="2:34" ht="16.8" thickTop="1" thickBot="1" x14ac:dyDescent="0.35">
      <c r="B36" s="3" t="str">
        <f t="shared" si="2"/>
        <v>45112504511000063Edu &amp; Outreach-N422401200104</v>
      </c>
      <c r="C36" s="6" t="s">
        <v>67</v>
      </c>
      <c r="D36" s="6" t="s">
        <v>148</v>
      </c>
      <c r="E36" s="6" t="s">
        <v>149</v>
      </c>
      <c r="F36" s="6" t="s">
        <v>155</v>
      </c>
      <c r="G36" s="4" t="s">
        <v>2807</v>
      </c>
      <c r="H36" s="4" t="s">
        <v>2922</v>
      </c>
      <c r="I36" s="6" t="s">
        <v>63</v>
      </c>
      <c r="J36" s="6" t="s">
        <v>31</v>
      </c>
      <c r="K36" s="12">
        <f>_xlfn.XLOOKUP(B36,[1]Sheet1!$B:$B,[1]Sheet1!$N:$N,0)</f>
        <v>0</v>
      </c>
      <c r="L36" s="12">
        <f>_xlfn.XLOOKUP(B36,[1]Sheet1!$B:$B,[1]Sheet1!$O:$O,0)</f>
        <v>0</v>
      </c>
      <c r="M36" s="12">
        <f>_xlfn.XLOOKUP(B36,[1]Sheet1!$B:$B,[1]Sheet1!$P:$P,0)</f>
        <v>0</v>
      </c>
      <c r="N36" s="12">
        <f>_xlfn.XLOOKUP(B36,[1]Sheet1!$B:$B,[1]Sheet1!$Q:$Q,0)</f>
        <v>0</v>
      </c>
      <c r="O36" s="12">
        <f>_xlfn.XLOOKUP(B36,[1]Sheet1!$B:$B,[1]Sheet1!$R:$R,0)</f>
        <v>0</v>
      </c>
      <c r="P36" s="12">
        <f>_xlfn.XLOOKUP(B36,[1]Sheet1!$B:$B,[1]Sheet1!$S:$S,0)</f>
        <v>0</v>
      </c>
      <c r="Q36" s="12">
        <f>_xlfn.XLOOKUP(B36,[1]Sheet1!$B:$B,[1]Sheet1!$T:$T,0)</f>
        <v>0</v>
      </c>
      <c r="R36" s="12">
        <f>_xlfn.XLOOKUP(B36,[1]Sheet1!$B:$B,[1]Sheet1!$U:$U,0)</f>
        <v>0</v>
      </c>
      <c r="S36" s="12">
        <f>_xlfn.XLOOKUP(B36,[1]Sheet1!$B:$B,[1]Sheet1!$V:$V,0)</f>
        <v>0</v>
      </c>
      <c r="T36" s="12">
        <f>_xlfn.XLOOKUP(B36,[1]Sheet1!$B:$B,[1]Sheet1!$W:$W,0)</f>
        <v>0</v>
      </c>
      <c r="U36" s="12">
        <f>_xlfn.XLOOKUP(B36,[1]Sheet1!$B:$B,[1]Sheet1!$X:$X,0)</f>
        <v>135000</v>
      </c>
      <c r="V36" s="12">
        <f>_xlfn.XLOOKUP(B36,[1]Sheet1!$B:$B,[1]Sheet1!$Y:$Y,0)</f>
        <v>0</v>
      </c>
      <c r="W36" s="12">
        <f t="shared" si="3"/>
        <v>135000</v>
      </c>
      <c r="X36" s="6" t="s">
        <v>64</v>
      </c>
      <c r="Y36" s="6" t="s">
        <v>65</v>
      </c>
      <c r="Z36" s="6" t="s">
        <v>66</v>
      </c>
      <c r="AA36" s="6" t="s">
        <v>68</v>
      </c>
      <c r="AB36" s="6" t="s">
        <v>36</v>
      </c>
      <c r="AC36" s="6" t="s">
        <v>37</v>
      </c>
      <c r="AD36" s="6" t="s">
        <v>69</v>
      </c>
      <c r="AE36" s="6" t="s">
        <v>39</v>
      </c>
      <c r="AF36" s="6" t="s">
        <v>40</v>
      </c>
      <c r="AG36" s="7">
        <v>120000</v>
      </c>
      <c r="AH36" s="11">
        <f>_xlfn.XLOOKUP(B36,[1]Sheet1!$B:$B,[1]Sheet1!$AB:$AB,0)</f>
        <v>120000</v>
      </c>
    </row>
    <row r="37" spans="2:34" ht="16.8" thickTop="1" thickBot="1" x14ac:dyDescent="0.35">
      <c r="B37" s="3" t="str">
        <f t="shared" si="2"/>
        <v>45112504511000063Hospitality-N424761200104</v>
      </c>
      <c r="C37" s="8" t="s">
        <v>67</v>
      </c>
      <c r="D37" s="8" t="s">
        <v>148</v>
      </c>
      <c r="E37" s="8" t="s">
        <v>149</v>
      </c>
      <c r="F37" s="8" t="s">
        <v>83</v>
      </c>
      <c r="G37" s="4" t="s">
        <v>2811</v>
      </c>
      <c r="H37" s="4" t="s">
        <v>2922</v>
      </c>
      <c r="I37" s="8" t="s">
        <v>84</v>
      </c>
      <c r="J37" s="8" t="s">
        <v>31</v>
      </c>
      <c r="K37" s="12">
        <f>_xlfn.XLOOKUP(B37,[1]Sheet1!$B:$B,[1]Sheet1!$N:$N,0)</f>
        <v>0</v>
      </c>
      <c r="L37" s="12">
        <f>_xlfn.XLOOKUP(B37,[1]Sheet1!$B:$B,[1]Sheet1!$O:$O,0)</f>
        <v>0</v>
      </c>
      <c r="M37" s="12">
        <f>_xlfn.XLOOKUP(B37,[1]Sheet1!$B:$B,[1]Sheet1!$P:$P,0)</f>
        <v>0</v>
      </c>
      <c r="N37" s="12">
        <f>_xlfn.XLOOKUP(B37,[1]Sheet1!$B:$B,[1]Sheet1!$Q:$Q,0)</f>
        <v>30000</v>
      </c>
      <c r="O37" s="12">
        <f>_xlfn.XLOOKUP(B37,[1]Sheet1!$B:$B,[1]Sheet1!$R:$R,0)</f>
        <v>10000</v>
      </c>
      <c r="P37" s="12">
        <f>_xlfn.XLOOKUP(B37,[1]Sheet1!$B:$B,[1]Sheet1!$S:$S,0)</f>
        <v>10000</v>
      </c>
      <c r="Q37" s="12">
        <f>_xlfn.XLOOKUP(B37,[1]Sheet1!$B:$B,[1]Sheet1!$T:$T,0)</f>
        <v>10000</v>
      </c>
      <c r="R37" s="12">
        <f>_xlfn.XLOOKUP(B37,[1]Sheet1!$B:$B,[1]Sheet1!$U:$U,0)</f>
        <v>10000</v>
      </c>
      <c r="S37" s="12">
        <f>_xlfn.XLOOKUP(B37,[1]Sheet1!$B:$B,[1]Sheet1!$V:$V,0)</f>
        <v>10529</v>
      </c>
      <c r="T37" s="12">
        <f>_xlfn.XLOOKUP(B37,[1]Sheet1!$B:$B,[1]Sheet1!$W:$W,0)</f>
        <v>0</v>
      </c>
      <c r="U37" s="12">
        <f>_xlfn.XLOOKUP(B37,[1]Sheet1!$B:$B,[1]Sheet1!$X:$X,0)</f>
        <v>0</v>
      </c>
      <c r="V37" s="12">
        <f>_xlfn.XLOOKUP(B37,[1]Sheet1!$B:$B,[1]Sheet1!$Y:$Y,0)</f>
        <v>0</v>
      </c>
      <c r="W37" s="12">
        <f t="shared" si="3"/>
        <v>80529</v>
      </c>
      <c r="X37" s="8" t="s">
        <v>85</v>
      </c>
      <c r="Y37" s="8" t="s">
        <v>65</v>
      </c>
      <c r="Z37" s="8" t="s">
        <v>66</v>
      </c>
      <c r="AA37" s="8" t="s">
        <v>84</v>
      </c>
      <c r="AB37" s="8" t="s">
        <v>36</v>
      </c>
      <c r="AC37" s="8" t="s">
        <v>37</v>
      </c>
      <c r="AD37" s="8" t="s">
        <v>69</v>
      </c>
      <c r="AE37" s="8" t="s">
        <v>39</v>
      </c>
      <c r="AF37" s="8" t="s">
        <v>40</v>
      </c>
      <c r="AG37" s="9">
        <v>80529</v>
      </c>
      <c r="AH37" s="11">
        <f>_xlfn.XLOOKUP(B37,[1]Sheet1!$B:$B,[1]Sheet1!$AB:$AB,0)</f>
        <v>80529</v>
      </c>
    </row>
    <row r="38" spans="2:34" ht="16.8" thickTop="1" thickBot="1" x14ac:dyDescent="0.35">
      <c r="B38" s="3" t="str">
        <f t="shared" si="2"/>
        <v>45112504511000063Landscaping-N432614200104</v>
      </c>
      <c r="C38" s="6" t="s">
        <v>67</v>
      </c>
      <c r="D38" s="6" t="s">
        <v>148</v>
      </c>
      <c r="E38" s="6" t="s">
        <v>149</v>
      </c>
      <c r="F38" s="6" t="s">
        <v>86</v>
      </c>
      <c r="G38" s="4" t="s">
        <v>2812</v>
      </c>
      <c r="H38" s="4" t="s">
        <v>2922</v>
      </c>
      <c r="I38" s="6" t="s">
        <v>87</v>
      </c>
      <c r="J38" s="6" t="s">
        <v>31</v>
      </c>
      <c r="K38" s="12">
        <f>_xlfn.XLOOKUP(B38,[1]Sheet1!$B:$B,[1]Sheet1!$N:$N,0)</f>
        <v>0</v>
      </c>
      <c r="L38" s="12">
        <f>_xlfn.XLOOKUP(B38,[1]Sheet1!$B:$B,[1]Sheet1!$O:$O,0)</f>
        <v>0</v>
      </c>
      <c r="M38" s="12">
        <f>_xlfn.XLOOKUP(B38,[1]Sheet1!$B:$B,[1]Sheet1!$P:$P,0)</f>
        <v>0</v>
      </c>
      <c r="N38" s="12">
        <f>_xlfn.XLOOKUP(B38,[1]Sheet1!$B:$B,[1]Sheet1!$Q:$Q,0)</f>
        <v>45000</v>
      </c>
      <c r="O38" s="12">
        <f>_xlfn.XLOOKUP(B38,[1]Sheet1!$B:$B,[1]Sheet1!$R:$R,0)</f>
        <v>15000</v>
      </c>
      <c r="P38" s="12">
        <f>_xlfn.XLOOKUP(B38,[1]Sheet1!$B:$B,[1]Sheet1!$S:$S,0)</f>
        <v>15000</v>
      </c>
      <c r="Q38" s="12">
        <f>_xlfn.XLOOKUP(B38,[1]Sheet1!$B:$B,[1]Sheet1!$T:$T,0)</f>
        <v>15000</v>
      </c>
      <c r="R38" s="12">
        <f>_xlfn.XLOOKUP(B38,[1]Sheet1!$B:$B,[1]Sheet1!$U:$U,0)</f>
        <v>15000</v>
      </c>
      <c r="S38" s="12">
        <f>_xlfn.XLOOKUP(B38,[1]Sheet1!$B:$B,[1]Sheet1!$V:$V,0)</f>
        <v>15000</v>
      </c>
      <c r="T38" s="12">
        <f>_xlfn.XLOOKUP(B38,[1]Sheet1!$B:$B,[1]Sheet1!$W:$W,0)</f>
        <v>16679</v>
      </c>
      <c r="U38" s="12">
        <f>_xlfn.XLOOKUP(B38,[1]Sheet1!$B:$B,[1]Sheet1!$X:$X,0)</f>
        <v>0</v>
      </c>
      <c r="V38" s="12">
        <f>_xlfn.XLOOKUP(B38,[1]Sheet1!$B:$B,[1]Sheet1!$Y:$Y,0)</f>
        <v>0</v>
      </c>
      <c r="W38" s="12">
        <f t="shared" si="3"/>
        <v>136679</v>
      </c>
      <c r="X38" s="6" t="s">
        <v>88</v>
      </c>
      <c r="Y38" s="6" t="s">
        <v>65</v>
      </c>
      <c r="Z38" s="6" t="s">
        <v>66</v>
      </c>
      <c r="AA38" s="6" t="s">
        <v>87</v>
      </c>
      <c r="AB38" s="6" t="s">
        <v>36</v>
      </c>
      <c r="AC38" s="6" t="s">
        <v>37</v>
      </c>
      <c r="AD38" s="6" t="s">
        <v>69</v>
      </c>
      <c r="AE38" s="6" t="s">
        <v>39</v>
      </c>
      <c r="AF38" s="6" t="s">
        <v>40</v>
      </c>
      <c r="AG38" s="7">
        <v>136679</v>
      </c>
      <c r="AH38" s="11">
        <f>_xlfn.XLOOKUP(B38,[1]Sheet1!$B:$B,[1]Sheet1!$AB:$AB,0)</f>
        <v>136679</v>
      </c>
    </row>
    <row r="39" spans="2:34" ht="16.8" thickTop="1" thickBot="1" x14ac:dyDescent="0.35">
      <c r="B39" s="3" t="str">
        <f t="shared" si="2"/>
        <v>45112504511000063Maintenance-N426212200104</v>
      </c>
      <c r="C39" s="8" t="s">
        <v>67</v>
      </c>
      <c r="D39" s="8" t="s">
        <v>148</v>
      </c>
      <c r="E39" s="8" t="s">
        <v>149</v>
      </c>
      <c r="F39" s="8" t="s">
        <v>95</v>
      </c>
      <c r="G39" s="4" t="s">
        <v>2814</v>
      </c>
      <c r="H39" s="4" t="s">
        <v>2922</v>
      </c>
      <c r="I39" s="8" t="s">
        <v>96</v>
      </c>
      <c r="J39" s="8" t="s">
        <v>31</v>
      </c>
      <c r="K39" s="12">
        <f>_xlfn.XLOOKUP(B39,[1]Sheet1!$B:$B,[1]Sheet1!$N:$N,0)</f>
        <v>0</v>
      </c>
      <c r="L39" s="12">
        <f>_xlfn.XLOOKUP(B39,[1]Sheet1!$B:$B,[1]Sheet1!$O:$O,0)</f>
        <v>0</v>
      </c>
      <c r="M39" s="12">
        <f>_xlfn.XLOOKUP(B39,[1]Sheet1!$B:$B,[1]Sheet1!$P:$P,0)</f>
        <v>0</v>
      </c>
      <c r="N39" s="12">
        <f>_xlfn.XLOOKUP(B39,[1]Sheet1!$B:$B,[1]Sheet1!$Q:$Q,0)</f>
        <v>139638.72</v>
      </c>
      <c r="O39" s="12">
        <f>_xlfn.XLOOKUP(B39,[1]Sheet1!$B:$B,[1]Sheet1!$R:$R,0)</f>
        <v>69819.360000000001</v>
      </c>
      <c r="P39" s="12">
        <f>_xlfn.XLOOKUP(B39,[1]Sheet1!$B:$B,[1]Sheet1!$S:$S,0)</f>
        <v>69819.360000000001</v>
      </c>
      <c r="Q39" s="12">
        <f>_xlfn.XLOOKUP(B39,[1]Sheet1!$B:$B,[1]Sheet1!$T:$T,0)</f>
        <v>69819.360000000001</v>
      </c>
      <c r="R39" s="12">
        <f>_xlfn.XLOOKUP(B39,[1]Sheet1!$B:$B,[1]Sheet1!$U:$U,0)</f>
        <v>59906</v>
      </c>
      <c r="S39" s="12">
        <f>_xlfn.XLOOKUP(B39,[1]Sheet1!$B:$B,[1]Sheet1!$V:$V,0)</f>
        <v>0</v>
      </c>
      <c r="T39" s="12">
        <f>_xlfn.XLOOKUP(B39,[1]Sheet1!$B:$B,[1]Sheet1!$W:$W,0)</f>
        <v>0</v>
      </c>
      <c r="U39" s="12">
        <f>_xlfn.XLOOKUP(B39,[1]Sheet1!$B:$B,[1]Sheet1!$X:$X,0)</f>
        <v>0</v>
      </c>
      <c r="V39" s="12">
        <f>_xlfn.XLOOKUP(B39,[1]Sheet1!$B:$B,[1]Sheet1!$Y:$Y,0)</f>
        <v>0</v>
      </c>
      <c r="W39" s="12">
        <f t="shared" si="3"/>
        <v>409002.8</v>
      </c>
      <c r="X39" s="8" t="s">
        <v>97</v>
      </c>
      <c r="Y39" s="8" t="s">
        <v>65</v>
      </c>
      <c r="Z39" s="8" t="s">
        <v>66</v>
      </c>
      <c r="AA39" s="8" t="s">
        <v>96</v>
      </c>
      <c r="AB39" s="8" t="s">
        <v>36</v>
      </c>
      <c r="AC39" s="8" t="s">
        <v>37</v>
      </c>
      <c r="AD39" s="8" t="s">
        <v>69</v>
      </c>
      <c r="AE39" s="8" t="s">
        <v>39</v>
      </c>
      <c r="AF39" s="8" t="s">
        <v>40</v>
      </c>
      <c r="AG39" s="9">
        <v>409001</v>
      </c>
      <c r="AH39" s="11">
        <f>_xlfn.XLOOKUP(B39,[1]Sheet1!$B:$B,[1]Sheet1!$AB:$AB,0)</f>
        <v>409002.8</v>
      </c>
    </row>
    <row r="40" spans="2:34" ht="16.8" thickTop="1" thickBot="1" x14ac:dyDescent="0.35">
      <c r="B40" s="3" t="str">
        <f t="shared" si="2"/>
        <v>45112504511000063Manpower-N424521200104</v>
      </c>
      <c r="C40" s="6" t="s">
        <v>67</v>
      </c>
      <c r="D40" s="6" t="s">
        <v>148</v>
      </c>
      <c r="E40" s="6" t="s">
        <v>149</v>
      </c>
      <c r="F40" s="6" t="s">
        <v>98</v>
      </c>
      <c r="G40" s="4" t="s">
        <v>2804</v>
      </c>
      <c r="H40" s="4" t="s">
        <v>2922</v>
      </c>
      <c r="I40" s="6" t="s">
        <v>51</v>
      </c>
      <c r="J40" s="6" t="s">
        <v>31</v>
      </c>
      <c r="K40" s="12">
        <f>_xlfn.XLOOKUP(B40,[1]Sheet1!$B:$B,[1]Sheet1!$N:$N,0)</f>
        <v>0</v>
      </c>
      <c r="L40" s="12">
        <f>_xlfn.XLOOKUP(B40,[1]Sheet1!$B:$B,[1]Sheet1!$O:$O,0)</f>
        <v>0</v>
      </c>
      <c r="M40" s="12">
        <f>_xlfn.XLOOKUP(B40,[1]Sheet1!$B:$B,[1]Sheet1!$P:$P,0)</f>
        <v>44233.34</v>
      </c>
      <c r="N40" s="12">
        <f>_xlfn.XLOOKUP(B40,[1]Sheet1!$B:$B,[1]Sheet1!$Q:$Q,0)</f>
        <v>122675.82</v>
      </c>
      <c r="O40" s="12">
        <f>_xlfn.XLOOKUP(B40,[1]Sheet1!$B:$B,[1]Sheet1!$R:$R,0)</f>
        <v>41727.29</v>
      </c>
      <c r="P40" s="12">
        <f>_xlfn.XLOOKUP(B40,[1]Sheet1!$B:$B,[1]Sheet1!$S:$S,0)</f>
        <v>41727.29</v>
      </c>
      <c r="Q40" s="12">
        <f>_xlfn.XLOOKUP(B40,[1]Sheet1!$B:$B,[1]Sheet1!$T:$T,0)</f>
        <v>41727.29</v>
      </c>
      <c r="R40" s="12">
        <f>_xlfn.XLOOKUP(B40,[1]Sheet1!$B:$B,[1]Sheet1!$U:$U,0)</f>
        <v>41727.29</v>
      </c>
      <c r="S40" s="12">
        <f>_xlfn.XLOOKUP(B40,[1]Sheet1!$B:$B,[1]Sheet1!$V:$V,0)</f>
        <v>41727.29</v>
      </c>
      <c r="T40" s="12">
        <f>_xlfn.XLOOKUP(B40,[1]Sheet1!$B:$B,[1]Sheet1!$W:$W,0)</f>
        <v>41727.29</v>
      </c>
      <c r="U40" s="12">
        <f>_xlfn.XLOOKUP(B40,[1]Sheet1!$B:$B,[1]Sheet1!$X:$X,0)</f>
        <v>41727.29</v>
      </c>
      <c r="V40" s="12">
        <f>_xlfn.XLOOKUP(B40,[1]Sheet1!$B:$B,[1]Sheet1!$Y:$Y,0)</f>
        <v>283149.81</v>
      </c>
      <c r="W40" s="12">
        <f t="shared" si="3"/>
        <v>742150</v>
      </c>
      <c r="X40" s="6" t="s">
        <v>82</v>
      </c>
      <c r="Y40" s="6" t="s">
        <v>65</v>
      </c>
      <c r="Z40" s="6" t="s">
        <v>66</v>
      </c>
      <c r="AA40" s="6" t="s">
        <v>53</v>
      </c>
      <c r="AB40" s="6" t="s">
        <v>36</v>
      </c>
      <c r="AC40" s="6" t="s">
        <v>37</v>
      </c>
      <c r="AD40" s="6" t="s">
        <v>69</v>
      </c>
      <c r="AE40" s="6" t="s">
        <v>39</v>
      </c>
      <c r="AF40" s="6" t="s">
        <v>40</v>
      </c>
      <c r="AG40" s="7">
        <v>742150</v>
      </c>
      <c r="AH40" s="11">
        <f>_xlfn.XLOOKUP(B40,[1]Sheet1!$B:$B,[1]Sheet1!$AB:$AB,0)</f>
        <v>742150</v>
      </c>
    </row>
    <row r="41" spans="2:34" ht="16.8" thickTop="1" thickBot="1" x14ac:dyDescent="0.35">
      <c r="B41" s="3" t="str">
        <f t="shared" si="2"/>
        <v>45112504511000063Pest Control-N422321200104</v>
      </c>
      <c r="C41" s="8" t="s">
        <v>67</v>
      </c>
      <c r="D41" s="8" t="s">
        <v>148</v>
      </c>
      <c r="E41" s="8" t="s">
        <v>149</v>
      </c>
      <c r="F41" s="8" t="s">
        <v>103</v>
      </c>
      <c r="G41" s="4" t="s">
        <v>2816</v>
      </c>
      <c r="H41" s="4" t="s">
        <v>2922</v>
      </c>
      <c r="I41" s="8" t="s">
        <v>104</v>
      </c>
      <c r="J41" s="8" t="s">
        <v>31</v>
      </c>
      <c r="K41" s="12">
        <f>_xlfn.XLOOKUP(B41,[1]Sheet1!$B:$B,[1]Sheet1!$N:$N,0)</f>
        <v>0</v>
      </c>
      <c r="L41" s="12">
        <f>_xlfn.XLOOKUP(B41,[1]Sheet1!$B:$B,[1]Sheet1!$O:$O,0)</f>
        <v>0</v>
      </c>
      <c r="M41" s="12">
        <f>_xlfn.XLOOKUP(B41,[1]Sheet1!$B:$B,[1]Sheet1!$P:$P,0)</f>
        <v>0</v>
      </c>
      <c r="N41" s="12">
        <f>_xlfn.XLOOKUP(B41,[1]Sheet1!$B:$B,[1]Sheet1!$Q:$Q,0)</f>
        <v>20000</v>
      </c>
      <c r="O41" s="12">
        <f>_xlfn.XLOOKUP(B41,[1]Sheet1!$B:$B,[1]Sheet1!$R:$R,0)</f>
        <v>10000</v>
      </c>
      <c r="P41" s="12">
        <f>_xlfn.XLOOKUP(B41,[1]Sheet1!$B:$B,[1]Sheet1!$S:$S,0)</f>
        <v>10000</v>
      </c>
      <c r="Q41" s="12">
        <f>_xlfn.XLOOKUP(B41,[1]Sheet1!$B:$B,[1]Sheet1!$T:$T,0)</f>
        <v>10000</v>
      </c>
      <c r="R41" s="12">
        <f>_xlfn.XLOOKUP(B41,[1]Sheet1!$B:$B,[1]Sheet1!$U:$U,0)</f>
        <v>10000</v>
      </c>
      <c r="S41" s="12">
        <f>_xlfn.XLOOKUP(B41,[1]Sheet1!$B:$B,[1]Sheet1!$V:$V,0)</f>
        <v>10000</v>
      </c>
      <c r="T41" s="12">
        <f>_xlfn.XLOOKUP(B41,[1]Sheet1!$B:$B,[1]Sheet1!$W:$W,0)</f>
        <v>10000</v>
      </c>
      <c r="U41" s="12">
        <f>_xlfn.XLOOKUP(B41,[1]Sheet1!$B:$B,[1]Sheet1!$X:$X,0)</f>
        <v>12340</v>
      </c>
      <c r="V41" s="12">
        <f>_xlfn.XLOOKUP(B41,[1]Sheet1!$B:$B,[1]Sheet1!$Y:$Y,0)</f>
        <v>0</v>
      </c>
      <c r="W41" s="12">
        <f t="shared" si="3"/>
        <v>92340</v>
      </c>
      <c r="X41" s="8" t="s">
        <v>105</v>
      </c>
      <c r="Y41" s="8" t="s">
        <v>65</v>
      </c>
      <c r="Z41" s="8" t="s">
        <v>66</v>
      </c>
      <c r="AA41" s="8" t="s">
        <v>106</v>
      </c>
      <c r="AB41" s="8" t="s">
        <v>36</v>
      </c>
      <c r="AC41" s="8" t="s">
        <v>37</v>
      </c>
      <c r="AD41" s="8" t="s">
        <v>69</v>
      </c>
      <c r="AE41" s="8" t="s">
        <v>39</v>
      </c>
      <c r="AF41" s="8" t="s">
        <v>40</v>
      </c>
      <c r="AG41" s="9">
        <v>92340</v>
      </c>
      <c r="AH41" s="11">
        <f>_xlfn.XLOOKUP(B41,[1]Sheet1!$B:$B,[1]Sheet1!$AB:$AB,0)</f>
        <v>92340</v>
      </c>
    </row>
    <row r="42" spans="2:34" ht="16.8" thickTop="1" thickBot="1" x14ac:dyDescent="0.35">
      <c r="B42" s="3" t="str">
        <f t="shared" si="2"/>
        <v>45112504511000063Security Service-N424551200104</v>
      </c>
      <c r="C42" s="6" t="s">
        <v>67</v>
      </c>
      <c r="D42" s="6" t="s">
        <v>148</v>
      </c>
      <c r="E42" s="6" t="s">
        <v>149</v>
      </c>
      <c r="F42" s="6" t="s">
        <v>107</v>
      </c>
      <c r="G42" s="4" t="s">
        <v>2817</v>
      </c>
      <c r="H42" s="4" t="s">
        <v>2922</v>
      </c>
      <c r="I42" s="6" t="s">
        <v>108</v>
      </c>
      <c r="J42" s="6" t="s">
        <v>31</v>
      </c>
      <c r="K42" s="12">
        <f>_xlfn.XLOOKUP(B42,[1]Sheet1!$B:$B,[1]Sheet1!$N:$N,0)</f>
        <v>0</v>
      </c>
      <c r="L42" s="12">
        <f>_xlfn.XLOOKUP(B42,[1]Sheet1!$B:$B,[1]Sheet1!$O:$O,0)</f>
        <v>0</v>
      </c>
      <c r="M42" s="12">
        <f>_xlfn.XLOOKUP(B42,[1]Sheet1!$B:$B,[1]Sheet1!$P:$P,0)</f>
        <v>0</v>
      </c>
      <c r="N42" s="12">
        <f>_xlfn.XLOOKUP(B42,[1]Sheet1!$B:$B,[1]Sheet1!$Q:$Q,0)</f>
        <v>120000</v>
      </c>
      <c r="O42" s="12">
        <f>_xlfn.XLOOKUP(B42,[1]Sheet1!$B:$B,[1]Sheet1!$R:$R,0)</f>
        <v>60000</v>
      </c>
      <c r="P42" s="12">
        <f>_xlfn.XLOOKUP(B42,[1]Sheet1!$B:$B,[1]Sheet1!$S:$S,0)</f>
        <v>60000</v>
      </c>
      <c r="Q42" s="12">
        <f>_xlfn.XLOOKUP(B42,[1]Sheet1!$B:$B,[1]Sheet1!$T:$T,0)</f>
        <v>60000</v>
      </c>
      <c r="R42" s="12">
        <f>_xlfn.XLOOKUP(B42,[1]Sheet1!$B:$B,[1]Sheet1!$U:$U,0)</f>
        <v>60000</v>
      </c>
      <c r="S42" s="12">
        <f>_xlfn.XLOOKUP(B42,[1]Sheet1!$B:$B,[1]Sheet1!$V:$V,0)</f>
        <v>60000</v>
      </c>
      <c r="T42" s="12">
        <f>_xlfn.XLOOKUP(B42,[1]Sheet1!$B:$B,[1]Sheet1!$W:$W,0)</f>
        <v>60000</v>
      </c>
      <c r="U42" s="12">
        <f>_xlfn.XLOOKUP(B42,[1]Sheet1!$B:$B,[1]Sheet1!$X:$X,0)</f>
        <v>28881</v>
      </c>
      <c r="V42" s="12">
        <f>_xlfn.XLOOKUP(B42,[1]Sheet1!$B:$B,[1]Sheet1!$Y:$Y,0)</f>
        <v>0</v>
      </c>
      <c r="W42" s="12">
        <f t="shared" si="3"/>
        <v>508881</v>
      </c>
      <c r="X42" s="6" t="s">
        <v>109</v>
      </c>
      <c r="Y42" s="6" t="s">
        <v>65</v>
      </c>
      <c r="Z42" s="6" t="s">
        <v>66</v>
      </c>
      <c r="AA42" s="6" t="s">
        <v>108</v>
      </c>
      <c r="AB42" s="6" t="s">
        <v>36</v>
      </c>
      <c r="AC42" s="6" t="s">
        <v>37</v>
      </c>
      <c r="AD42" s="6" t="s">
        <v>69</v>
      </c>
      <c r="AE42" s="6" t="s">
        <v>39</v>
      </c>
      <c r="AF42" s="6" t="s">
        <v>40</v>
      </c>
      <c r="AG42" s="7">
        <v>508881</v>
      </c>
      <c r="AH42" s="11">
        <f>_xlfn.XLOOKUP(B42,[1]Sheet1!$B:$B,[1]Sheet1!$AB:$AB,0)</f>
        <v>508881</v>
      </c>
    </row>
    <row r="43" spans="2:34" ht="16.8" thickTop="1" thickBot="1" x14ac:dyDescent="0.35">
      <c r="B43" s="3" t="str">
        <f t="shared" si="2"/>
        <v>45112504511000063Utilities-N423931200104</v>
      </c>
      <c r="C43" s="8" t="s">
        <v>67</v>
      </c>
      <c r="D43" s="8" t="s">
        <v>148</v>
      </c>
      <c r="E43" s="8" t="s">
        <v>149</v>
      </c>
      <c r="F43" s="8" t="s">
        <v>110</v>
      </c>
      <c r="G43" s="4" t="s">
        <v>2818</v>
      </c>
      <c r="H43" s="4" t="s">
        <v>2922</v>
      </c>
      <c r="I43" s="8" t="s">
        <v>111</v>
      </c>
      <c r="J43" s="8" t="s">
        <v>31</v>
      </c>
      <c r="K43" s="12">
        <f>_xlfn.XLOOKUP(B43,[1]Sheet1!$B:$B,[1]Sheet1!$N:$N,0)</f>
        <v>0</v>
      </c>
      <c r="L43" s="12">
        <f>_xlfn.XLOOKUP(B43,[1]Sheet1!$B:$B,[1]Sheet1!$O:$O,0)</f>
        <v>0</v>
      </c>
      <c r="M43" s="12">
        <f>_xlfn.XLOOKUP(B43,[1]Sheet1!$B:$B,[1]Sheet1!$P:$P,0)</f>
        <v>0</v>
      </c>
      <c r="N43" s="12">
        <f>_xlfn.XLOOKUP(B43,[1]Sheet1!$B:$B,[1]Sheet1!$Q:$Q,0)</f>
        <v>40000</v>
      </c>
      <c r="O43" s="12">
        <f>_xlfn.XLOOKUP(B43,[1]Sheet1!$B:$B,[1]Sheet1!$R:$R,0)</f>
        <v>20000</v>
      </c>
      <c r="P43" s="12">
        <f>_xlfn.XLOOKUP(B43,[1]Sheet1!$B:$B,[1]Sheet1!$S:$S,0)</f>
        <v>20000</v>
      </c>
      <c r="Q43" s="12">
        <f>_xlfn.XLOOKUP(B43,[1]Sheet1!$B:$B,[1]Sheet1!$T:$T,0)</f>
        <v>20000</v>
      </c>
      <c r="R43" s="12">
        <f>_xlfn.XLOOKUP(B43,[1]Sheet1!$B:$B,[1]Sheet1!$U:$U,0)</f>
        <v>25000</v>
      </c>
      <c r="S43" s="12">
        <f>_xlfn.XLOOKUP(B43,[1]Sheet1!$B:$B,[1]Sheet1!$V:$V,0)</f>
        <v>25000</v>
      </c>
      <c r="T43" s="12">
        <f>_xlfn.XLOOKUP(B43,[1]Sheet1!$B:$B,[1]Sheet1!$W:$W,0)</f>
        <v>25000</v>
      </c>
      <c r="U43" s="12">
        <f>_xlfn.XLOOKUP(B43,[1]Sheet1!$B:$B,[1]Sheet1!$X:$X,0)</f>
        <v>37377</v>
      </c>
      <c r="V43" s="12">
        <f>_xlfn.XLOOKUP(B43,[1]Sheet1!$B:$B,[1]Sheet1!$Y:$Y,0)</f>
        <v>0</v>
      </c>
      <c r="W43" s="12">
        <f t="shared" si="3"/>
        <v>212377</v>
      </c>
      <c r="X43" s="8" t="s">
        <v>112</v>
      </c>
      <c r="Y43" s="8" t="s">
        <v>65</v>
      </c>
      <c r="Z43" s="8" t="s">
        <v>66</v>
      </c>
      <c r="AA43" s="8" t="s">
        <v>111</v>
      </c>
      <c r="AB43" s="8" t="s">
        <v>36</v>
      </c>
      <c r="AC43" s="8" t="s">
        <v>37</v>
      </c>
      <c r="AD43" s="8" t="s">
        <v>69</v>
      </c>
      <c r="AE43" s="8" t="s">
        <v>39</v>
      </c>
      <c r="AF43" s="8" t="s">
        <v>40</v>
      </c>
      <c r="AG43" s="9">
        <v>212377</v>
      </c>
      <c r="AH43" s="11">
        <f>_xlfn.XLOOKUP(B43,[1]Sheet1!$B:$B,[1]Sheet1!$AB:$AB,0)</f>
        <v>212377</v>
      </c>
    </row>
    <row r="44" spans="2:34" ht="16.8" thickTop="1" thickBot="1" x14ac:dyDescent="0.35">
      <c r="B44" s="3" t="str">
        <f t="shared" si="2"/>
        <v>45112504511000064Activation&amp;Prog-N422401200104</v>
      </c>
      <c r="C44" s="6" t="s">
        <v>67</v>
      </c>
      <c r="D44" s="6" t="s">
        <v>156</v>
      </c>
      <c r="E44" s="6" t="s">
        <v>157</v>
      </c>
      <c r="F44" s="6" t="s">
        <v>62</v>
      </c>
      <c r="G44" s="4" t="s">
        <v>2807</v>
      </c>
      <c r="H44" s="4" t="s">
        <v>2922</v>
      </c>
      <c r="I44" s="6" t="s">
        <v>63</v>
      </c>
      <c r="J44" s="6" t="s">
        <v>31</v>
      </c>
      <c r="K44" s="12">
        <f>_xlfn.XLOOKUP(B44,[1]Sheet1!$B:$B,[1]Sheet1!$N:$N,0)</f>
        <v>0</v>
      </c>
      <c r="L44" s="12">
        <f>_xlfn.XLOOKUP(B44,[1]Sheet1!$B:$B,[1]Sheet1!$O:$O,0)</f>
        <v>0</v>
      </c>
      <c r="M44" s="12">
        <f>_xlfn.XLOOKUP(B44,[1]Sheet1!$B:$B,[1]Sheet1!$P:$P,0)</f>
        <v>0</v>
      </c>
      <c r="N44" s="12">
        <f>_xlfn.XLOOKUP(B44,[1]Sheet1!$B:$B,[1]Sheet1!$Q:$Q,0)</f>
        <v>0</v>
      </c>
      <c r="O44" s="12">
        <f>_xlfn.XLOOKUP(B44,[1]Sheet1!$B:$B,[1]Sheet1!$R:$R,0)</f>
        <v>0</v>
      </c>
      <c r="P44" s="12">
        <f>_xlfn.XLOOKUP(B44,[1]Sheet1!$B:$B,[1]Sheet1!$S:$S,0)</f>
        <v>0</v>
      </c>
      <c r="Q44" s="12">
        <f>_xlfn.XLOOKUP(B44,[1]Sheet1!$B:$B,[1]Sheet1!$T:$T,0)</f>
        <v>0</v>
      </c>
      <c r="R44" s="12">
        <f>_xlfn.XLOOKUP(B44,[1]Sheet1!$B:$B,[1]Sheet1!$U:$U,0)</f>
        <v>0</v>
      </c>
      <c r="S44" s="12">
        <f>_xlfn.XLOOKUP(B44,[1]Sheet1!$B:$B,[1]Sheet1!$V:$V,0)</f>
        <v>0</v>
      </c>
      <c r="T44" s="12">
        <f>_xlfn.XLOOKUP(B44,[1]Sheet1!$B:$B,[1]Sheet1!$W:$W,0)</f>
        <v>0</v>
      </c>
      <c r="U44" s="12">
        <f>_xlfn.XLOOKUP(B44,[1]Sheet1!$B:$B,[1]Sheet1!$X:$X,0)</f>
        <v>0</v>
      </c>
      <c r="V44" s="12">
        <f>_xlfn.XLOOKUP(B44,[1]Sheet1!$B:$B,[1]Sheet1!$Y:$Y,0)</f>
        <v>1350000</v>
      </c>
      <c r="W44" s="12">
        <f t="shared" si="3"/>
        <v>1350000</v>
      </c>
      <c r="X44" s="6" t="s">
        <v>64</v>
      </c>
      <c r="Y44" s="6" t="s">
        <v>65</v>
      </c>
      <c r="Z44" s="6" t="s">
        <v>66</v>
      </c>
      <c r="AA44" s="6" t="s">
        <v>68</v>
      </c>
      <c r="AB44" s="6" t="s">
        <v>36</v>
      </c>
      <c r="AC44" s="6" t="s">
        <v>37</v>
      </c>
      <c r="AD44" s="6" t="s">
        <v>69</v>
      </c>
      <c r="AE44" s="6" t="s">
        <v>39</v>
      </c>
      <c r="AF44" s="6" t="s">
        <v>40</v>
      </c>
      <c r="AG44" s="7">
        <v>1350000</v>
      </c>
      <c r="AH44" s="11">
        <f>_xlfn.XLOOKUP(B44,[1]Sheet1!$B:$B,[1]Sheet1!$AB:$AB,0)</f>
        <v>1350000</v>
      </c>
    </row>
    <row r="45" spans="2:34" ht="16.8" thickTop="1" thickBot="1" x14ac:dyDescent="0.35">
      <c r="B45" s="3" t="str">
        <f t="shared" si="2"/>
        <v>45112504511000064Ad-hoc Repairs-N426427200104</v>
      </c>
      <c r="C45" s="8" t="s">
        <v>67</v>
      </c>
      <c r="D45" s="8" t="s">
        <v>156</v>
      </c>
      <c r="E45" s="8" t="s">
        <v>157</v>
      </c>
      <c r="F45" s="8" t="s">
        <v>70</v>
      </c>
      <c r="G45" s="4" t="s">
        <v>2808</v>
      </c>
      <c r="H45" s="4" t="s">
        <v>2922</v>
      </c>
      <c r="I45" s="8" t="s">
        <v>71</v>
      </c>
      <c r="J45" s="8" t="s">
        <v>31</v>
      </c>
      <c r="K45" s="12">
        <f>_xlfn.XLOOKUP(B45,[1]Sheet1!$B:$B,[1]Sheet1!$N:$N,0)</f>
        <v>0</v>
      </c>
      <c r="L45" s="12">
        <f>_xlfn.XLOOKUP(B45,[1]Sheet1!$B:$B,[1]Sheet1!$O:$O,0)</f>
        <v>0</v>
      </c>
      <c r="M45" s="12">
        <f>_xlfn.XLOOKUP(B45,[1]Sheet1!$B:$B,[1]Sheet1!$P:$P,0)</f>
        <v>0</v>
      </c>
      <c r="N45" s="12">
        <f>_xlfn.XLOOKUP(B45,[1]Sheet1!$B:$B,[1]Sheet1!$Q:$Q,0)</f>
        <v>120000</v>
      </c>
      <c r="O45" s="12">
        <f>_xlfn.XLOOKUP(B45,[1]Sheet1!$B:$B,[1]Sheet1!$R:$R,0)</f>
        <v>60000</v>
      </c>
      <c r="P45" s="12">
        <f>_xlfn.XLOOKUP(B45,[1]Sheet1!$B:$B,[1]Sheet1!$S:$S,0)</f>
        <v>60000</v>
      </c>
      <c r="Q45" s="12">
        <f>_xlfn.XLOOKUP(B45,[1]Sheet1!$B:$B,[1]Sheet1!$T:$T,0)</f>
        <v>60000</v>
      </c>
      <c r="R45" s="12">
        <f>_xlfn.XLOOKUP(B45,[1]Sheet1!$B:$B,[1]Sheet1!$U:$U,0)</f>
        <v>60000</v>
      </c>
      <c r="S45" s="12">
        <f>_xlfn.XLOOKUP(B45,[1]Sheet1!$B:$B,[1]Sheet1!$V:$V,0)</f>
        <v>60000</v>
      </c>
      <c r="T45" s="12">
        <f>_xlfn.XLOOKUP(B45,[1]Sheet1!$B:$B,[1]Sheet1!$W:$W,0)</f>
        <v>43872</v>
      </c>
      <c r="U45" s="12">
        <f>_xlfn.XLOOKUP(B45,[1]Sheet1!$B:$B,[1]Sheet1!$X:$X,0)</f>
        <v>0</v>
      </c>
      <c r="V45" s="12">
        <f>_xlfn.XLOOKUP(B45,[1]Sheet1!$B:$B,[1]Sheet1!$Y:$Y,0)</f>
        <v>0</v>
      </c>
      <c r="W45" s="12">
        <f t="shared" si="3"/>
        <v>463872</v>
      </c>
      <c r="X45" s="8" t="s">
        <v>72</v>
      </c>
      <c r="Y45" s="8" t="s">
        <v>65</v>
      </c>
      <c r="Z45" s="8" t="s">
        <v>66</v>
      </c>
      <c r="AA45" s="8" t="s">
        <v>71</v>
      </c>
      <c r="AB45" s="8" t="s">
        <v>36</v>
      </c>
      <c r="AC45" s="8" t="s">
        <v>37</v>
      </c>
      <c r="AD45" s="8" t="s">
        <v>69</v>
      </c>
      <c r="AE45" s="8" t="s">
        <v>39</v>
      </c>
      <c r="AF45" s="8" t="s">
        <v>40</v>
      </c>
      <c r="AG45" s="9">
        <v>463872</v>
      </c>
      <c r="AH45" s="11">
        <f>_xlfn.XLOOKUP(B45,[1]Sheet1!$B:$B,[1]Sheet1!$AB:$AB,0)</f>
        <v>463872</v>
      </c>
    </row>
    <row r="46" spans="2:34" ht="16.8" thickTop="1" thickBot="1" x14ac:dyDescent="0.35">
      <c r="B46" s="3" t="str">
        <f t="shared" si="2"/>
        <v>45112504511000064Cleaning Service-N422311200104</v>
      </c>
      <c r="C46" s="6" t="s">
        <v>67</v>
      </c>
      <c r="D46" s="6" t="s">
        <v>156</v>
      </c>
      <c r="E46" s="6" t="s">
        <v>157</v>
      </c>
      <c r="F46" s="6" t="s">
        <v>79</v>
      </c>
      <c r="G46" s="4" t="s">
        <v>2810</v>
      </c>
      <c r="H46" s="4" t="s">
        <v>2922</v>
      </c>
      <c r="I46" s="6" t="s">
        <v>80</v>
      </c>
      <c r="J46" s="6" t="s">
        <v>31</v>
      </c>
      <c r="K46" s="12">
        <f>_xlfn.XLOOKUP(B46,[1]Sheet1!$B:$B,[1]Sheet1!$N:$N,0)</f>
        <v>0</v>
      </c>
      <c r="L46" s="12">
        <f>_xlfn.XLOOKUP(B46,[1]Sheet1!$B:$B,[1]Sheet1!$O:$O,0)</f>
        <v>0</v>
      </c>
      <c r="M46" s="12">
        <f>_xlfn.XLOOKUP(B46,[1]Sheet1!$B:$B,[1]Sheet1!$P:$P,0)</f>
        <v>0</v>
      </c>
      <c r="N46" s="12">
        <f>_xlfn.XLOOKUP(B46,[1]Sheet1!$B:$B,[1]Sheet1!$Q:$Q,0)</f>
        <v>60000</v>
      </c>
      <c r="O46" s="12">
        <f>_xlfn.XLOOKUP(B46,[1]Sheet1!$B:$B,[1]Sheet1!$R:$R,0)</f>
        <v>30000</v>
      </c>
      <c r="P46" s="12">
        <f>_xlfn.XLOOKUP(B46,[1]Sheet1!$B:$B,[1]Sheet1!$S:$S,0)</f>
        <v>30000</v>
      </c>
      <c r="Q46" s="12">
        <f>_xlfn.XLOOKUP(B46,[1]Sheet1!$B:$B,[1]Sheet1!$T:$T,0)</f>
        <v>30000</v>
      </c>
      <c r="R46" s="12">
        <f>_xlfn.XLOOKUP(B46,[1]Sheet1!$B:$B,[1]Sheet1!$U:$U,0)</f>
        <v>30000</v>
      </c>
      <c r="S46" s="12">
        <f>_xlfn.XLOOKUP(B46,[1]Sheet1!$B:$B,[1]Sheet1!$V:$V,0)</f>
        <v>30000</v>
      </c>
      <c r="T46" s="12">
        <f>_xlfn.XLOOKUP(B46,[1]Sheet1!$B:$B,[1]Sheet1!$W:$W,0)</f>
        <v>30000</v>
      </c>
      <c r="U46" s="12">
        <f>_xlfn.XLOOKUP(B46,[1]Sheet1!$B:$B,[1]Sheet1!$X:$X,0)</f>
        <v>48599</v>
      </c>
      <c r="V46" s="12">
        <f>_xlfn.XLOOKUP(B46,[1]Sheet1!$B:$B,[1]Sheet1!$Y:$Y,0)</f>
        <v>0</v>
      </c>
      <c r="W46" s="12">
        <f t="shared" si="3"/>
        <v>288599</v>
      </c>
      <c r="X46" s="6" t="s">
        <v>81</v>
      </c>
      <c r="Y46" s="6" t="s">
        <v>65</v>
      </c>
      <c r="Z46" s="6" t="s">
        <v>66</v>
      </c>
      <c r="AA46" s="6" t="s">
        <v>80</v>
      </c>
      <c r="AB46" s="6" t="s">
        <v>36</v>
      </c>
      <c r="AC46" s="6" t="s">
        <v>37</v>
      </c>
      <c r="AD46" s="6" t="s">
        <v>69</v>
      </c>
      <c r="AE46" s="6" t="s">
        <v>39</v>
      </c>
      <c r="AF46" s="6" t="s">
        <v>40</v>
      </c>
      <c r="AG46" s="7">
        <v>288599</v>
      </c>
      <c r="AH46" s="11">
        <f>_xlfn.XLOOKUP(B46,[1]Sheet1!$B:$B,[1]Sheet1!$AB:$AB,0)</f>
        <v>288599</v>
      </c>
    </row>
    <row r="47" spans="2:34" ht="16.8" thickTop="1" thickBot="1" x14ac:dyDescent="0.35">
      <c r="B47" s="3" t="str">
        <f t="shared" si="2"/>
        <v>45112504511000064Edu &amp; Outreach-N422401200104</v>
      </c>
      <c r="C47" s="8" t="s">
        <v>67</v>
      </c>
      <c r="D47" s="8" t="s">
        <v>156</v>
      </c>
      <c r="E47" s="8" t="s">
        <v>157</v>
      </c>
      <c r="F47" s="8" t="s">
        <v>155</v>
      </c>
      <c r="G47" s="4" t="s">
        <v>2807</v>
      </c>
      <c r="H47" s="4" t="s">
        <v>2922</v>
      </c>
      <c r="I47" s="8" t="s">
        <v>63</v>
      </c>
      <c r="J47" s="8" t="s">
        <v>31</v>
      </c>
      <c r="K47" s="12">
        <f>_xlfn.XLOOKUP(B47,[1]Sheet1!$B:$B,[1]Sheet1!$N:$N,0)</f>
        <v>0</v>
      </c>
      <c r="L47" s="12">
        <f>_xlfn.XLOOKUP(B47,[1]Sheet1!$B:$B,[1]Sheet1!$O:$O,0)</f>
        <v>0</v>
      </c>
      <c r="M47" s="12">
        <f>_xlfn.XLOOKUP(B47,[1]Sheet1!$B:$B,[1]Sheet1!$P:$P,0)</f>
        <v>0</v>
      </c>
      <c r="N47" s="12">
        <f>_xlfn.XLOOKUP(B47,[1]Sheet1!$B:$B,[1]Sheet1!$Q:$Q,0)</f>
        <v>0</v>
      </c>
      <c r="O47" s="12">
        <f>_xlfn.XLOOKUP(B47,[1]Sheet1!$B:$B,[1]Sheet1!$R:$R,0)</f>
        <v>0</v>
      </c>
      <c r="P47" s="12">
        <f>_xlfn.XLOOKUP(B47,[1]Sheet1!$B:$B,[1]Sheet1!$S:$S,0)</f>
        <v>0</v>
      </c>
      <c r="Q47" s="12">
        <f>_xlfn.XLOOKUP(B47,[1]Sheet1!$B:$B,[1]Sheet1!$T:$T,0)</f>
        <v>0</v>
      </c>
      <c r="R47" s="12">
        <f>_xlfn.XLOOKUP(B47,[1]Sheet1!$B:$B,[1]Sheet1!$U:$U,0)</f>
        <v>0</v>
      </c>
      <c r="S47" s="12">
        <f>_xlfn.XLOOKUP(B47,[1]Sheet1!$B:$B,[1]Sheet1!$V:$V,0)</f>
        <v>0</v>
      </c>
      <c r="T47" s="12">
        <f>_xlfn.XLOOKUP(B47,[1]Sheet1!$B:$B,[1]Sheet1!$W:$W,0)</f>
        <v>0</v>
      </c>
      <c r="U47" s="12">
        <f>_xlfn.XLOOKUP(B47,[1]Sheet1!$B:$B,[1]Sheet1!$X:$X,0)</f>
        <v>0</v>
      </c>
      <c r="V47" s="12">
        <f>_xlfn.XLOOKUP(B47,[1]Sheet1!$B:$B,[1]Sheet1!$Y:$Y,0)</f>
        <v>135000</v>
      </c>
      <c r="W47" s="12">
        <f t="shared" si="3"/>
        <v>135000</v>
      </c>
      <c r="X47" s="8" t="s">
        <v>64</v>
      </c>
      <c r="Y47" s="8" t="s">
        <v>65</v>
      </c>
      <c r="Z47" s="8" t="s">
        <v>66</v>
      </c>
      <c r="AA47" s="8" t="s">
        <v>68</v>
      </c>
      <c r="AB47" s="8" t="s">
        <v>36</v>
      </c>
      <c r="AC47" s="8" t="s">
        <v>37</v>
      </c>
      <c r="AD47" s="8" t="s">
        <v>69</v>
      </c>
      <c r="AE47" s="8" t="s">
        <v>39</v>
      </c>
      <c r="AF47" s="8" t="s">
        <v>40</v>
      </c>
      <c r="AG47" s="9">
        <v>135000</v>
      </c>
      <c r="AH47" s="11">
        <f>_xlfn.XLOOKUP(B47,[1]Sheet1!$B:$B,[1]Sheet1!$AB:$AB,0)</f>
        <v>135000</v>
      </c>
    </row>
    <row r="48" spans="2:34" ht="16.8" thickTop="1" thickBot="1" x14ac:dyDescent="0.35">
      <c r="B48" s="3" t="str">
        <f t="shared" si="2"/>
        <v>45112504511000064Hospitality-N424761200104</v>
      </c>
      <c r="C48" s="6" t="s">
        <v>67</v>
      </c>
      <c r="D48" s="6" t="s">
        <v>156</v>
      </c>
      <c r="E48" s="6" t="s">
        <v>157</v>
      </c>
      <c r="F48" s="6" t="s">
        <v>83</v>
      </c>
      <c r="G48" s="4" t="s">
        <v>2811</v>
      </c>
      <c r="H48" s="4" t="s">
        <v>2922</v>
      </c>
      <c r="I48" s="6" t="s">
        <v>84</v>
      </c>
      <c r="J48" s="6" t="s">
        <v>31</v>
      </c>
      <c r="K48" s="12">
        <f>_xlfn.XLOOKUP(B48,[1]Sheet1!$B:$B,[1]Sheet1!$N:$N,0)</f>
        <v>0</v>
      </c>
      <c r="L48" s="12">
        <f>_xlfn.XLOOKUP(B48,[1]Sheet1!$B:$B,[1]Sheet1!$O:$O,0)</f>
        <v>0</v>
      </c>
      <c r="M48" s="12">
        <f>_xlfn.XLOOKUP(B48,[1]Sheet1!$B:$B,[1]Sheet1!$P:$P,0)</f>
        <v>0</v>
      </c>
      <c r="N48" s="12">
        <f>_xlfn.XLOOKUP(B48,[1]Sheet1!$B:$B,[1]Sheet1!$Q:$Q,0)</f>
        <v>40000</v>
      </c>
      <c r="O48" s="12">
        <f>_xlfn.XLOOKUP(B48,[1]Sheet1!$B:$B,[1]Sheet1!$R:$R,0)</f>
        <v>20000</v>
      </c>
      <c r="P48" s="12">
        <f>_xlfn.XLOOKUP(B48,[1]Sheet1!$B:$B,[1]Sheet1!$S:$S,0)</f>
        <v>20000</v>
      </c>
      <c r="Q48" s="12">
        <f>_xlfn.XLOOKUP(B48,[1]Sheet1!$B:$B,[1]Sheet1!$T:$T,0)</f>
        <v>20000</v>
      </c>
      <c r="R48" s="12">
        <f>_xlfn.XLOOKUP(B48,[1]Sheet1!$B:$B,[1]Sheet1!$U:$U,0)</f>
        <v>20000</v>
      </c>
      <c r="S48" s="12">
        <f>_xlfn.XLOOKUP(B48,[1]Sheet1!$B:$B,[1]Sheet1!$V:$V,0)</f>
        <v>20000</v>
      </c>
      <c r="T48" s="12">
        <f>_xlfn.XLOOKUP(B48,[1]Sheet1!$B:$B,[1]Sheet1!$W:$W,0)</f>
        <v>5067</v>
      </c>
      <c r="U48" s="12">
        <f>_xlfn.XLOOKUP(B48,[1]Sheet1!$B:$B,[1]Sheet1!$X:$X,0)</f>
        <v>0</v>
      </c>
      <c r="V48" s="12">
        <f>_xlfn.XLOOKUP(B48,[1]Sheet1!$B:$B,[1]Sheet1!$Y:$Y,0)</f>
        <v>0</v>
      </c>
      <c r="W48" s="12">
        <f t="shared" si="3"/>
        <v>145067</v>
      </c>
      <c r="X48" s="6" t="s">
        <v>85</v>
      </c>
      <c r="Y48" s="6" t="s">
        <v>65</v>
      </c>
      <c r="Z48" s="6" t="s">
        <v>66</v>
      </c>
      <c r="AA48" s="6" t="s">
        <v>84</v>
      </c>
      <c r="AB48" s="6" t="s">
        <v>36</v>
      </c>
      <c r="AC48" s="6" t="s">
        <v>37</v>
      </c>
      <c r="AD48" s="6" t="s">
        <v>69</v>
      </c>
      <c r="AE48" s="6" t="s">
        <v>39</v>
      </c>
      <c r="AF48" s="6" t="s">
        <v>40</v>
      </c>
      <c r="AG48" s="7">
        <v>145067</v>
      </c>
      <c r="AH48" s="11">
        <f>_xlfn.XLOOKUP(B48,[1]Sheet1!$B:$B,[1]Sheet1!$AB:$AB,0)</f>
        <v>145067</v>
      </c>
    </row>
    <row r="49" spans="2:34" ht="16.8" thickTop="1" thickBot="1" x14ac:dyDescent="0.35">
      <c r="B49" s="3" t="str">
        <f t="shared" si="2"/>
        <v>45112504511000064Landscaping-N432614200104</v>
      </c>
      <c r="C49" s="8" t="s">
        <v>67</v>
      </c>
      <c r="D49" s="8" t="s">
        <v>156</v>
      </c>
      <c r="E49" s="8" t="s">
        <v>157</v>
      </c>
      <c r="F49" s="8" t="s">
        <v>86</v>
      </c>
      <c r="G49" s="4" t="s">
        <v>2812</v>
      </c>
      <c r="H49" s="4" t="s">
        <v>2922</v>
      </c>
      <c r="I49" s="8" t="s">
        <v>87</v>
      </c>
      <c r="J49" s="8" t="s">
        <v>31</v>
      </c>
      <c r="K49" s="12">
        <f>_xlfn.XLOOKUP(B49,[1]Sheet1!$B:$B,[1]Sheet1!$N:$N,0)</f>
        <v>0</v>
      </c>
      <c r="L49" s="12">
        <f>_xlfn.XLOOKUP(B49,[1]Sheet1!$B:$B,[1]Sheet1!$O:$O,0)</f>
        <v>0</v>
      </c>
      <c r="M49" s="12">
        <f>_xlfn.XLOOKUP(B49,[1]Sheet1!$B:$B,[1]Sheet1!$P:$P,0)</f>
        <v>0</v>
      </c>
      <c r="N49" s="12">
        <f>_xlfn.XLOOKUP(B49,[1]Sheet1!$B:$B,[1]Sheet1!$Q:$Q,0)</f>
        <v>60000</v>
      </c>
      <c r="O49" s="12">
        <f>_xlfn.XLOOKUP(B49,[1]Sheet1!$B:$B,[1]Sheet1!$R:$R,0)</f>
        <v>30000</v>
      </c>
      <c r="P49" s="12">
        <f>_xlfn.XLOOKUP(B49,[1]Sheet1!$B:$B,[1]Sheet1!$S:$S,0)</f>
        <v>30000</v>
      </c>
      <c r="Q49" s="12">
        <f>_xlfn.XLOOKUP(B49,[1]Sheet1!$B:$B,[1]Sheet1!$T:$T,0)</f>
        <v>30000</v>
      </c>
      <c r="R49" s="12">
        <f>_xlfn.XLOOKUP(B49,[1]Sheet1!$B:$B,[1]Sheet1!$U:$U,0)</f>
        <v>30000</v>
      </c>
      <c r="S49" s="12">
        <f>_xlfn.XLOOKUP(B49,[1]Sheet1!$B:$B,[1]Sheet1!$V:$V,0)</f>
        <v>30000</v>
      </c>
      <c r="T49" s="12">
        <f>_xlfn.XLOOKUP(B49,[1]Sheet1!$B:$B,[1]Sheet1!$W:$W,0)</f>
        <v>30000</v>
      </c>
      <c r="U49" s="12">
        <f>_xlfn.XLOOKUP(B49,[1]Sheet1!$B:$B,[1]Sheet1!$X:$X,0)</f>
        <v>36212</v>
      </c>
      <c r="V49" s="12">
        <f>_xlfn.XLOOKUP(B49,[1]Sheet1!$B:$B,[1]Sheet1!$Y:$Y,0)</f>
        <v>0</v>
      </c>
      <c r="W49" s="12">
        <f t="shared" si="3"/>
        <v>276212</v>
      </c>
      <c r="X49" s="8" t="s">
        <v>88</v>
      </c>
      <c r="Y49" s="8" t="s">
        <v>65</v>
      </c>
      <c r="Z49" s="8" t="s">
        <v>66</v>
      </c>
      <c r="AA49" s="8" t="s">
        <v>87</v>
      </c>
      <c r="AB49" s="8" t="s">
        <v>36</v>
      </c>
      <c r="AC49" s="8" t="s">
        <v>37</v>
      </c>
      <c r="AD49" s="8" t="s">
        <v>69</v>
      </c>
      <c r="AE49" s="8" t="s">
        <v>39</v>
      </c>
      <c r="AF49" s="8" t="s">
        <v>40</v>
      </c>
      <c r="AG49" s="9">
        <v>276212</v>
      </c>
      <c r="AH49" s="11">
        <f>_xlfn.XLOOKUP(B49,[1]Sheet1!$B:$B,[1]Sheet1!$AB:$AB,0)</f>
        <v>276212</v>
      </c>
    </row>
    <row r="50" spans="2:34" ht="16.8" thickTop="1" thickBot="1" x14ac:dyDescent="0.35">
      <c r="B50" s="3" t="str">
        <f t="shared" si="2"/>
        <v>45112504511000064Lease Improve-N490600300105</v>
      </c>
      <c r="C50" s="6" t="s">
        <v>67</v>
      </c>
      <c r="D50" s="6" t="s">
        <v>156</v>
      </c>
      <c r="E50" s="6" t="s">
        <v>157</v>
      </c>
      <c r="F50" s="6" t="s">
        <v>89</v>
      </c>
      <c r="G50" s="4" t="s">
        <v>2813</v>
      </c>
      <c r="H50" s="4" t="s">
        <v>2923</v>
      </c>
      <c r="I50" s="6" t="s">
        <v>90</v>
      </c>
      <c r="J50" s="6" t="s">
        <v>31</v>
      </c>
      <c r="K50" s="12">
        <f>_xlfn.XLOOKUP(B50,[1]Sheet1!$B:$B,[1]Sheet1!$N:$N,0)</f>
        <v>0</v>
      </c>
      <c r="L50" s="12">
        <f>_xlfn.XLOOKUP(B50,[1]Sheet1!$B:$B,[1]Sheet1!$O:$O,0)</f>
        <v>0</v>
      </c>
      <c r="M50" s="12">
        <f>_xlfn.XLOOKUP(B50,[1]Sheet1!$B:$B,[1]Sheet1!$P:$P,0)</f>
        <v>0</v>
      </c>
      <c r="N50" s="12">
        <f>_xlfn.XLOOKUP(B50,[1]Sheet1!$B:$B,[1]Sheet1!$Q:$Q,0)</f>
        <v>482713</v>
      </c>
      <c r="O50" s="12">
        <f>_xlfn.XLOOKUP(B50,[1]Sheet1!$B:$B,[1]Sheet1!$R:$R,0)</f>
        <v>0</v>
      </c>
      <c r="P50" s="12">
        <f>_xlfn.XLOOKUP(B50,[1]Sheet1!$B:$B,[1]Sheet1!$S:$S,0)</f>
        <v>0</v>
      </c>
      <c r="Q50" s="12">
        <f>_xlfn.XLOOKUP(B50,[1]Sheet1!$B:$B,[1]Sheet1!$T:$T,0)</f>
        <v>0</v>
      </c>
      <c r="R50" s="12">
        <f>_xlfn.XLOOKUP(B50,[1]Sheet1!$B:$B,[1]Sheet1!$U:$U,0)</f>
        <v>0</v>
      </c>
      <c r="S50" s="12">
        <f>_xlfn.XLOOKUP(B50,[1]Sheet1!$B:$B,[1]Sheet1!$V:$V,0)</f>
        <v>0</v>
      </c>
      <c r="T50" s="12">
        <f>_xlfn.XLOOKUP(B50,[1]Sheet1!$B:$B,[1]Sheet1!$W:$W,0)</f>
        <v>0</v>
      </c>
      <c r="U50" s="12">
        <f>_xlfn.XLOOKUP(B50,[1]Sheet1!$B:$B,[1]Sheet1!$X:$X,0)</f>
        <v>0</v>
      </c>
      <c r="V50" s="12">
        <f>_xlfn.XLOOKUP(B50,[1]Sheet1!$B:$B,[1]Sheet1!$Y:$Y,0)</f>
        <v>0</v>
      </c>
      <c r="W50" s="12">
        <f t="shared" si="3"/>
        <v>482713</v>
      </c>
      <c r="X50" s="6" t="s">
        <v>91</v>
      </c>
      <c r="Y50" s="6" t="s">
        <v>65</v>
      </c>
      <c r="Z50" s="6" t="s">
        <v>66</v>
      </c>
      <c r="AA50" s="6" t="s">
        <v>92</v>
      </c>
      <c r="AB50" s="6" t="s">
        <v>93</v>
      </c>
      <c r="AC50" s="6" t="s">
        <v>94</v>
      </c>
      <c r="AD50" s="6" t="s">
        <v>69</v>
      </c>
      <c r="AE50" s="6" t="s">
        <v>39</v>
      </c>
      <c r="AF50" s="6" t="s">
        <v>40</v>
      </c>
      <c r="AG50" s="7">
        <v>482713</v>
      </c>
      <c r="AH50" s="11">
        <f>_xlfn.XLOOKUP(B50,[1]Sheet1!$B:$B,[1]Sheet1!$AB:$AB,0)</f>
        <v>482713</v>
      </c>
    </row>
    <row r="51" spans="2:34" ht="16.8" thickTop="1" thickBot="1" x14ac:dyDescent="0.35">
      <c r="B51" s="3" t="str">
        <f t="shared" si="2"/>
        <v>45112504511000064Maintenance-N426212200104</v>
      </c>
      <c r="C51" s="8" t="s">
        <v>67</v>
      </c>
      <c r="D51" s="8" t="s">
        <v>156</v>
      </c>
      <c r="E51" s="8" t="s">
        <v>157</v>
      </c>
      <c r="F51" s="8" t="s">
        <v>95</v>
      </c>
      <c r="G51" s="4" t="s">
        <v>2814</v>
      </c>
      <c r="H51" s="4" t="s">
        <v>2922</v>
      </c>
      <c r="I51" s="8" t="s">
        <v>96</v>
      </c>
      <c r="J51" s="8" t="s">
        <v>31</v>
      </c>
      <c r="K51" s="12">
        <f>_xlfn.XLOOKUP(B51,[1]Sheet1!$B:$B,[1]Sheet1!$N:$N,0)</f>
        <v>0</v>
      </c>
      <c r="L51" s="12">
        <f>_xlfn.XLOOKUP(B51,[1]Sheet1!$B:$B,[1]Sheet1!$O:$O,0)</f>
        <v>0</v>
      </c>
      <c r="M51" s="12">
        <f>_xlfn.XLOOKUP(B51,[1]Sheet1!$B:$B,[1]Sheet1!$P:$P,0)</f>
        <v>0</v>
      </c>
      <c r="N51" s="12">
        <f>_xlfn.XLOOKUP(B51,[1]Sheet1!$B:$B,[1]Sheet1!$Q:$Q,0)</f>
        <v>103601.99</v>
      </c>
      <c r="O51" s="12">
        <f>_xlfn.XLOOKUP(B51,[1]Sheet1!$B:$B,[1]Sheet1!$R:$R,0)</f>
        <v>103601.99</v>
      </c>
      <c r="P51" s="12">
        <f>_xlfn.XLOOKUP(B51,[1]Sheet1!$B:$B,[1]Sheet1!$S:$S,0)</f>
        <v>103601.99</v>
      </c>
      <c r="Q51" s="12">
        <f>_xlfn.XLOOKUP(B51,[1]Sheet1!$B:$B,[1]Sheet1!$T:$T,0)</f>
        <v>103601.99</v>
      </c>
      <c r="R51" s="12">
        <f>_xlfn.XLOOKUP(B51,[1]Sheet1!$B:$B,[1]Sheet1!$U:$U,0)</f>
        <v>103601.99</v>
      </c>
      <c r="S51" s="12">
        <f>_xlfn.XLOOKUP(B51,[1]Sheet1!$B:$B,[1]Sheet1!$V:$V,0)</f>
        <v>94031</v>
      </c>
      <c r="T51" s="12">
        <f>_xlfn.XLOOKUP(B51,[1]Sheet1!$B:$B,[1]Sheet1!$W:$W,0)</f>
        <v>0</v>
      </c>
      <c r="U51" s="12">
        <f>_xlfn.XLOOKUP(B51,[1]Sheet1!$B:$B,[1]Sheet1!$X:$X,0)</f>
        <v>0</v>
      </c>
      <c r="V51" s="12">
        <f>_xlfn.XLOOKUP(B51,[1]Sheet1!$B:$B,[1]Sheet1!$Y:$Y,0)</f>
        <v>0</v>
      </c>
      <c r="W51" s="12">
        <f t="shared" si="3"/>
        <v>612040.94999999995</v>
      </c>
      <c r="X51" s="8" t="s">
        <v>97</v>
      </c>
      <c r="Y51" s="8" t="s">
        <v>65</v>
      </c>
      <c r="Z51" s="8" t="s">
        <v>66</v>
      </c>
      <c r="AA51" s="8" t="s">
        <v>96</v>
      </c>
      <c r="AB51" s="8" t="s">
        <v>36</v>
      </c>
      <c r="AC51" s="8" t="s">
        <v>37</v>
      </c>
      <c r="AD51" s="8" t="s">
        <v>69</v>
      </c>
      <c r="AE51" s="8" t="s">
        <v>39</v>
      </c>
      <c r="AF51" s="8" t="s">
        <v>40</v>
      </c>
      <c r="AG51" s="9">
        <v>612041</v>
      </c>
      <c r="AH51" s="11">
        <f>_xlfn.XLOOKUP(B51,[1]Sheet1!$B:$B,[1]Sheet1!$AB:$AB,0)</f>
        <v>612040.94999999995</v>
      </c>
    </row>
    <row r="52" spans="2:34" ht="16.8" thickTop="1" thickBot="1" x14ac:dyDescent="0.35">
      <c r="B52" s="3" t="str">
        <f t="shared" si="2"/>
        <v>45112504511000064Manpower-N424521200104</v>
      </c>
      <c r="C52" s="6" t="s">
        <v>67</v>
      </c>
      <c r="D52" s="6" t="s">
        <v>156</v>
      </c>
      <c r="E52" s="6" t="s">
        <v>157</v>
      </c>
      <c r="F52" s="6" t="s">
        <v>98</v>
      </c>
      <c r="G52" s="4" t="s">
        <v>2804</v>
      </c>
      <c r="H52" s="4" t="s">
        <v>2922</v>
      </c>
      <c r="I52" s="6" t="s">
        <v>51</v>
      </c>
      <c r="J52" s="6" t="s">
        <v>31</v>
      </c>
      <c r="K52" s="12">
        <f>_xlfn.XLOOKUP(B52,[1]Sheet1!$B:$B,[1]Sheet1!$N:$N,0)</f>
        <v>0</v>
      </c>
      <c r="L52" s="12">
        <f>_xlfn.XLOOKUP(B52,[1]Sheet1!$B:$B,[1]Sheet1!$O:$O,0)</f>
        <v>117980.02</v>
      </c>
      <c r="M52" s="12">
        <f>_xlfn.XLOOKUP(B52,[1]Sheet1!$B:$B,[1]Sheet1!$P:$P,0)</f>
        <v>0</v>
      </c>
      <c r="N52" s="12">
        <f>_xlfn.XLOOKUP(B52,[1]Sheet1!$B:$B,[1]Sheet1!$Q:$Q,0)</f>
        <v>189093.33999999997</v>
      </c>
      <c r="O52" s="12">
        <f>_xlfn.XLOOKUP(B52,[1]Sheet1!$B:$B,[1]Sheet1!$R:$R,0)</f>
        <v>76768.34</v>
      </c>
      <c r="P52" s="12">
        <f>_xlfn.XLOOKUP(B52,[1]Sheet1!$B:$B,[1]Sheet1!$S:$S,0)</f>
        <v>76768.34</v>
      </c>
      <c r="Q52" s="12">
        <f>_xlfn.XLOOKUP(B52,[1]Sheet1!$B:$B,[1]Sheet1!$T:$T,0)</f>
        <v>76768.34</v>
      </c>
      <c r="R52" s="12">
        <f>_xlfn.XLOOKUP(B52,[1]Sheet1!$B:$B,[1]Sheet1!$U:$U,0)</f>
        <v>76768.34</v>
      </c>
      <c r="S52" s="12">
        <f>_xlfn.XLOOKUP(B52,[1]Sheet1!$B:$B,[1]Sheet1!$V:$V,0)</f>
        <v>76768.34</v>
      </c>
      <c r="T52" s="12">
        <f>_xlfn.XLOOKUP(B52,[1]Sheet1!$B:$B,[1]Sheet1!$W:$W,0)</f>
        <v>76768.34</v>
      </c>
      <c r="U52" s="12">
        <f>_xlfn.XLOOKUP(B52,[1]Sheet1!$B:$B,[1]Sheet1!$X:$X,0)</f>
        <v>76768.34</v>
      </c>
      <c r="V52" s="12">
        <f>_xlfn.XLOOKUP(B52,[1]Sheet1!$B:$B,[1]Sheet1!$Y:$Y,0)</f>
        <v>147782.26</v>
      </c>
      <c r="W52" s="12">
        <f t="shared" si="3"/>
        <v>992233.99999999977</v>
      </c>
      <c r="X52" s="6" t="s">
        <v>82</v>
      </c>
      <c r="Y52" s="6" t="s">
        <v>65</v>
      </c>
      <c r="Z52" s="6" t="s">
        <v>66</v>
      </c>
      <c r="AA52" s="6" t="s">
        <v>53</v>
      </c>
      <c r="AB52" s="6" t="s">
        <v>36</v>
      </c>
      <c r="AC52" s="6" t="s">
        <v>37</v>
      </c>
      <c r="AD52" s="6" t="s">
        <v>69</v>
      </c>
      <c r="AE52" s="6" t="s">
        <v>39</v>
      </c>
      <c r="AF52" s="6" t="s">
        <v>40</v>
      </c>
      <c r="AG52" s="7">
        <v>992234</v>
      </c>
      <c r="AH52" s="11">
        <f>_xlfn.XLOOKUP(B52,[1]Sheet1!$B:$B,[1]Sheet1!$AB:$AB,0)</f>
        <v>992233.99999999977</v>
      </c>
    </row>
    <row r="53" spans="2:34" ht="16.8" thickTop="1" thickBot="1" x14ac:dyDescent="0.35">
      <c r="B53" s="3" t="str">
        <f t="shared" si="2"/>
        <v>45112504511000064Pest Control-N422321200104</v>
      </c>
      <c r="C53" s="8" t="s">
        <v>67</v>
      </c>
      <c r="D53" s="8" t="s">
        <v>156</v>
      </c>
      <c r="E53" s="8" t="s">
        <v>157</v>
      </c>
      <c r="F53" s="8" t="s">
        <v>103</v>
      </c>
      <c r="G53" s="4" t="s">
        <v>2816</v>
      </c>
      <c r="H53" s="4" t="s">
        <v>2922</v>
      </c>
      <c r="I53" s="8" t="s">
        <v>104</v>
      </c>
      <c r="J53" s="8" t="s">
        <v>31</v>
      </c>
      <c r="K53" s="12">
        <f>_xlfn.XLOOKUP(B53,[1]Sheet1!$B:$B,[1]Sheet1!$N:$N,0)</f>
        <v>0</v>
      </c>
      <c r="L53" s="12">
        <f>_xlfn.XLOOKUP(B53,[1]Sheet1!$B:$B,[1]Sheet1!$O:$O,0)</f>
        <v>0</v>
      </c>
      <c r="M53" s="12">
        <f>_xlfn.XLOOKUP(B53,[1]Sheet1!$B:$B,[1]Sheet1!$P:$P,0)</f>
        <v>0</v>
      </c>
      <c r="N53" s="12">
        <f>_xlfn.XLOOKUP(B53,[1]Sheet1!$B:$B,[1]Sheet1!$Q:$Q,0)</f>
        <v>20000</v>
      </c>
      <c r="O53" s="12">
        <f>_xlfn.XLOOKUP(B53,[1]Sheet1!$B:$B,[1]Sheet1!$R:$R,0)</f>
        <v>10000</v>
      </c>
      <c r="P53" s="12">
        <f>_xlfn.XLOOKUP(B53,[1]Sheet1!$B:$B,[1]Sheet1!$S:$S,0)</f>
        <v>10000</v>
      </c>
      <c r="Q53" s="12">
        <f>_xlfn.XLOOKUP(B53,[1]Sheet1!$B:$B,[1]Sheet1!$T:$T,0)</f>
        <v>10000</v>
      </c>
      <c r="R53" s="12">
        <f>_xlfn.XLOOKUP(B53,[1]Sheet1!$B:$B,[1]Sheet1!$U:$U,0)</f>
        <v>10000</v>
      </c>
      <c r="S53" s="12">
        <f>_xlfn.XLOOKUP(B53,[1]Sheet1!$B:$B,[1]Sheet1!$V:$V,0)</f>
        <v>329</v>
      </c>
      <c r="T53" s="12">
        <f>_xlfn.XLOOKUP(B53,[1]Sheet1!$B:$B,[1]Sheet1!$W:$W,0)</f>
        <v>0</v>
      </c>
      <c r="U53" s="12">
        <f>_xlfn.XLOOKUP(B53,[1]Sheet1!$B:$B,[1]Sheet1!$X:$X,0)</f>
        <v>0</v>
      </c>
      <c r="V53" s="12">
        <f>_xlfn.XLOOKUP(B53,[1]Sheet1!$B:$B,[1]Sheet1!$Y:$Y,0)</f>
        <v>0</v>
      </c>
      <c r="W53" s="12">
        <f t="shared" si="3"/>
        <v>60329</v>
      </c>
      <c r="X53" s="8" t="s">
        <v>105</v>
      </c>
      <c r="Y53" s="8" t="s">
        <v>65</v>
      </c>
      <c r="Z53" s="8" t="s">
        <v>66</v>
      </c>
      <c r="AA53" s="8" t="s">
        <v>106</v>
      </c>
      <c r="AB53" s="8" t="s">
        <v>36</v>
      </c>
      <c r="AC53" s="8" t="s">
        <v>37</v>
      </c>
      <c r="AD53" s="8" t="s">
        <v>69</v>
      </c>
      <c r="AE53" s="8" t="s">
        <v>39</v>
      </c>
      <c r="AF53" s="8" t="s">
        <v>40</v>
      </c>
      <c r="AG53" s="9">
        <v>60329</v>
      </c>
      <c r="AH53" s="11">
        <f>_xlfn.XLOOKUP(B53,[1]Sheet1!$B:$B,[1]Sheet1!$AB:$AB,0)</f>
        <v>60329</v>
      </c>
    </row>
    <row r="54" spans="2:34" ht="16.8" thickTop="1" thickBot="1" x14ac:dyDescent="0.35">
      <c r="B54" s="3" t="str">
        <f t="shared" si="2"/>
        <v>45112504511000064Security Service-N424551200104</v>
      </c>
      <c r="C54" s="6" t="s">
        <v>67</v>
      </c>
      <c r="D54" s="6" t="s">
        <v>156</v>
      </c>
      <c r="E54" s="6" t="s">
        <v>157</v>
      </c>
      <c r="F54" s="6" t="s">
        <v>107</v>
      </c>
      <c r="G54" s="4" t="s">
        <v>2817</v>
      </c>
      <c r="H54" s="4" t="s">
        <v>2922</v>
      </c>
      <c r="I54" s="6" t="s">
        <v>108</v>
      </c>
      <c r="J54" s="6" t="s">
        <v>31</v>
      </c>
      <c r="K54" s="12">
        <f>_xlfn.XLOOKUP(B54,[1]Sheet1!$B:$B,[1]Sheet1!$N:$N,0)</f>
        <v>0</v>
      </c>
      <c r="L54" s="12">
        <f>_xlfn.XLOOKUP(B54,[1]Sheet1!$B:$B,[1]Sheet1!$O:$O,0)</f>
        <v>0</v>
      </c>
      <c r="M54" s="12">
        <f>_xlfn.XLOOKUP(B54,[1]Sheet1!$B:$B,[1]Sheet1!$P:$P,0)</f>
        <v>0</v>
      </c>
      <c r="N54" s="12">
        <f>_xlfn.XLOOKUP(B54,[1]Sheet1!$B:$B,[1]Sheet1!$Q:$Q,0)</f>
        <v>120000</v>
      </c>
      <c r="O54" s="12">
        <f>_xlfn.XLOOKUP(B54,[1]Sheet1!$B:$B,[1]Sheet1!$R:$R,0)</f>
        <v>60000</v>
      </c>
      <c r="P54" s="12">
        <f>_xlfn.XLOOKUP(B54,[1]Sheet1!$B:$B,[1]Sheet1!$S:$S,0)</f>
        <v>60000</v>
      </c>
      <c r="Q54" s="12">
        <f>_xlfn.XLOOKUP(B54,[1]Sheet1!$B:$B,[1]Sheet1!$T:$T,0)</f>
        <v>60000</v>
      </c>
      <c r="R54" s="12">
        <f>_xlfn.XLOOKUP(B54,[1]Sheet1!$B:$B,[1]Sheet1!$U:$U,0)</f>
        <v>60000</v>
      </c>
      <c r="S54" s="12">
        <f>_xlfn.XLOOKUP(B54,[1]Sheet1!$B:$B,[1]Sheet1!$V:$V,0)</f>
        <v>60000</v>
      </c>
      <c r="T54" s="12">
        <f>_xlfn.XLOOKUP(B54,[1]Sheet1!$B:$B,[1]Sheet1!$W:$W,0)</f>
        <v>60000</v>
      </c>
      <c r="U54" s="12">
        <f>_xlfn.XLOOKUP(B54,[1]Sheet1!$B:$B,[1]Sheet1!$X:$X,0)</f>
        <v>77135</v>
      </c>
      <c r="V54" s="12">
        <f>_xlfn.XLOOKUP(B54,[1]Sheet1!$B:$B,[1]Sheet1!$Y:$Y,0)</f>
        <v>0</v>
      </c>
      <c r="W54" s="12">
        <f t="shared" si="3"/>
        <v>557135</v>
      </c>
      <c r="X54" s="6" t="s">
        <v>109</v>
      </c>
      <c r="Y54" s="6" t="s">
        <v>65</v>
      </c>
      <c r="Z54" s="6" t="s">
        <v>66</v>
      </c>
      <c r="AA54" s="6" t="s">
        <v>108</v>
      </c>
      <c r="AB54" s="6" t="s">
        <v>36</v>
      </c>
      <c r="AC54" s="6" t="s">
        <v>37</v>
      </c>
      <c r="AD54" s="6" t="s">
        <v>69</v>
      </c>
      <c r="AE54" s="6" t="s">
        <v>39</v>
      </c>
      <c r="AF54" s="6" t="s">
        <v>40</v>
      </c>
      <c r="AG54" s="7">
        <v>557135</v>
      </c>
      <c r="AH54" s="11">
        <f>_xlfn.XLOOKUP(B54,[1]Sheet1!$B:$B,[1]Sheet1!$AB:$AB,0)</f>
        <v>557135</v>
      </c>
    </row>
    <row r="55" spans="2:34" ht="16.8" thickTop="1" thickBot="1" x14ac:dyDescent="0.35">
      <c r="B55" s="3" t="str">
        <f t="shared" si="2"/>
        <v>45112504511000086Activation&amp;Prog-N422401200104</v>
      </c>
      <c r="C55" s="8" t="s">
        <v>67</v>
      </c>
      <c r="D55" s="8" t="s">
        <v>158</v>
      </c>
      <c r="E55" s="8" t="s">
        <v>159</v>
      </c>
      <c r="F55" s="8" t="s">
        <v>62</v>
      </c>
      <c r="G55" s="4" t="s">
        <v>2807</v>
      </c>
      <c r="H55" s="4" t="s">
        <v>2922</v>
      </c>
      <c r="I55" s="8" t="s">
        <v>63</v>
      </c>
      <c r="J55" s="8" t="s">
        <v>31</v>
      </c>
      <c r="K55" s="12">
        <f>_xlfn.XLOOKUP(B55,[1]Sheet1!$B:$B,[1]Sheet1!$N:$N,0)</f>
        <v>0</v>
      </c>
      <c r="L55" s="12">
        <f>_xlfn.XLOOKUP(B55,[1]Sheet1!$B:$B,[1]Sheet1!$O:$O,0)</f>
        <v>0</v>
      </c>
      <c r="M55" s="12">
        <f>_xlfn.XLOOKUP(B55,[1]Sheet1!$B:$B,[1]Sheet1!$P:$P,0)</f>
        <v>0</v>
      </c>
      <c r="N55" s="12">
        <f>_xlfn.XLOOKUP(B55,[1]Sheet1!$B:$B,[1]Sheet1!$Q:$Q,0)</f>
        <v>29400</v>
      </c>
      <c r="O55" s="12">
        <f>_xlfn.XLOOKUP(B55,[1]Sheet1!$B:$B,[1]Sheet1!$R:$R,0)</f>
        <v>40000</v>
      </c>
      <c r="P55" s="12">
        <f>_xlfn.XLOOKUP(B55,[1]Sheet1!$B:$B,[1]Sheet1!$S:$S,0)</f>
        <v>0</v>
      </c>
      <c r="Q55" s="12">
        <f>_xlfn.XLOOKUP(B55,[1]Sheet1!$B:$B,[1]Sheet1!$T:$T,0)</f>
        <v>0</v>
      </c>
      <c r="R55" s="12">
        <f>_xlfn.XLOOKUP(B55,[1]Sheet1!$B:$B,[1]Sheet1!$U:$U,0)</f>
        <v>0</v>
      </c>
      <c r="S55" s="12">
        <f>_xlfn.XLOOKUP(B55,[1]Sheet1!$B:$B,[1]Sheet1!$V:$V,0)</f>
        <v>80000</v>
      </c>
      <c r="T55" s="12">
        <f>_xlfn.XLOOKUP(B55,[1]Sheet1!$B:$B,[1]Sheet1!$W:$W,0)</f>
        <v>155000</v>
      </c>
      <c r="U55" s="12">
        <f>_xlfn.XLOOKUP(B55,[1]Sheet1!$B:$B,[1]Sheet1!$X:$X,0)</f>
        <v>45000</v>
      </c>
      <c r="V55" s="12">
        <f>_xlfn.XLOOKUP(B55,[1]Sheet1!$B:$B,[1]Sheet1!$Y:$Y,0)</f>
        <v>91000</v>
      </c>
      <c r="W55" s="12">
        <f t="shared" si="3"/>
        <v>440400</v>
      </c>
      <c r="X55" s="8" t="s">
        <v>64</v>
      </c>
      <c r="Y55" s="8" t="s">
        <v>65</v>
      </c>
      <c r="Z55" s="8" t="s">
        <v>66</v>
      </c>
      <c r="AA55" s="8" t="s">
        <v>68</v>
      </c>
      <c r="AB55" s="8" t="s">
        <v>36</v>
      </c>
      <c r="AC55" s="8" t="s">
        <v>37</v>
      </c>
      <c r="AD55" s="8" t="s">
        <v>69</v>
      </c>
      <c r="AE55" s="8" t="s">
        <v>39</v>
      </c>
      <c r="AF55" s="8" t="s">
        <v>40</v>
      </c>
      <c r="AG55" s="9">
        <v>440400</v>
      </c>
      <c r="AH55" s="11">
        <f>_xlfn.XLOOKUP(B55,[1]Sheet1!$B:$B,[1]Sheet1!$AB:$AB,0)</f>
        <v>440400</v>
      </c>
    </row>
    <row r="56" spans="2:34" ht="16.8" thickTop="1" thickBot="1" x14ac:dyDescent="0.35">
      <c r="B56" s="3" t="str">
        <f t="shared" si="2"/>
        <v>45112504511000086Freelancers-N424521200104</v>
      </c>
      <c r="C56" s="6" t="s">
        <v>67</v>
      </c>
      <c r="D56" s="6" t="s">
        <v>158</v>
      </c>
      <c r="E56" s="6" t="s">
        <v>159</v>
      </c>
      <c r="F56" s="6" t="s">
        <v>50</v>
      </c>
      <c r="G56" s="4" t="s">
        <v>2804</v>
      </c>
      <c r="H56" s="4" t="s">
        <v>2922</v>
      </c>
      <c r="I56" s="6" t="s">
        <v>51</v>
      </c>
      <c r="J56" s="6" t="s">
        <v>31</v>
      </c>
      <c r="K56" s="12">
        <f>_xlfn.XLOOKUP(B56,[1]Sheet1!$B:$B,[1]Sheet1!$N:$N,0)</f>
        <v>0</v>
      </c>
      <c r="L56" s="12">
        <f>_xlfn.XLOOKUP(B56,[1]Sheet1!$B:$B,[1]Sheet1!$O:$O,0)</f>
        <v>224000</v>
      </c>
      <c r="M56" s="12">
        <f>_xlfn.XLOOKUP(B56,[1]Sheet1!$B:$B,[1]Sheet1!$P:$P,0)</f>
        <v>112000</v>
      </c>
      <c r="N56" s="12">
        <f>_xlfn.XLOOKUP(B56,[1]Sheet1!$B:$B,[1]Sheet1!$Q:$Q,0)</f>
        <v>112000</v>
      </c>
      <c r="O56" s="12">
        <f>_xlfn.XLOOKUP(B56,[1]Sheet1!$B:$B,[1]Sheet1!$R:$R,0)</f>
        <v>112000</v>
      </c>
      <c r="P56" s="12">
        <f>_xlfn.XLOOKUP(B56,[1]Sheet1!$B:$B,[1]Sheet1!$S:$S,0)</f>
        <v>112000</v>
      </c>
      <c r="Q56" s="12">
        <f>_xlfn.XLOOKUP(B56,[1]Sheet1!$B:$B,[1]Sheet1!$T:$T,0)</f>
        <v>112000</v>
      </c>
      <c r="R56" s="12">
        <f>_xlfn.XLOOKUP(B56,[1]Sheet1!$B:$B,[1]Sheet1!$U:$U,0)</f>
        <v>112000</v>
      </c>
      <c r="S56" s="12">
        <f>_xlfn.XLOOKUP(B56,[1]Sheet1!$B:$B,[1]Sheet1!$V:$V,0)</f>
        <v>112000</v>
      </c>
      <c r="T56" s="12">
        <f>_xlfn.XLOOKUP(B56,[1]Sheet1!$B:$B,[1]Sheet1!$W:$W,0)</f>
        <v>112000</v>
      </c>
      <c r="U56" s="12">
        <f>_xlfn.XLOOKUP(B56,[1]Sheet1!$B:$B,[1]Sheet1!$X:$X,0)</f>
        <v>112000</v>
      </c>
      <c r="V56" s="12">
        <f>_xlfn.XLOOKUP(B56,[1]Sheet1!$B:$B,[1]Sheet1!$Y:$Y,0)</f>
        <v>112000</v>
      </c>
      <c r="W56" s="12">
        <f t="shared" si="3"/>
        <v>1344000</v>
      </c>
      <c r="X56" s="6" t="s">
        <v>82</v>
      </c>
      <c r="Y56" s="6" t="s">
        <v>65</v>
      </c>
      <c r="Z56" s="6" t="s">
        <v>66</v>
      </c>
      <c r="AA56" s="6" t="s">
        <v>53</v>
      </c>
      <c r="AB56" s="6" t="s">
        <v>36</v>
      </c>
      <c r="AC56" s="6" t="s">
        <v>37</v>
      </c>
      <c r="AD56" s="6" t="s">
        <v>69</v>
      </c>
      <c r="AE56" s="6" t="s">
        <v>39</v>
      </c>
      <c r="AF56" s="6" t="s">
        <v>40</v>
      </c>
      <c r="AG56" s="7">
        <v>1344000</v>
      </c>
      <c r="AH56" s="11">
        <f>_xlfn.XLOOKUP(B56,[1]Sheet1!$B:$B,[1]Sheet1!$AB:$AB,0)</f>
        <v>1344000</v>
      </c>
    </row>
    <row r="57" spans="2:34" ht="16.8" thickTop="1" thickBot="1" x14ac:dyDescent="0.35">
      <c r="B57" s="3" t="str">
        <f t="shared" si="2"/>
        <v>45112504511000086Manpower-N424521200104</v>
      </c>
      <c r="C57" s="8" t="s">
        <v>67</v>
      </c>
      <c r="D57" s="8" t="s">
        <v>158</v>
      </c>
      <c r="E57" s="8" t="s">
        <v>159</v>
      </c>
      <c r="F57" s="8" t="s">
        <v>98</v>
      </c>
      <c r="G57" s="4" t="s">
        <v>2804</v>
      </c>
      <c r="H57" s="4" t="s">
        <v>2922</v>
      </c>
      <c r="I57" s="8" t="s">
        <v>51</v>
      </c>
      <c r="J57" s="8" t="s">
        <v>31</v>
      </c>
      <c r="K57" s="12">
        <f>_xlfn.XLOOKUP(B57,[1]Sheet1!$B:$B,[1]Sheet1!$N:$N,0)</f>
        <v>0</v>
      </c>
      <c r="L57" s="12">
        <f>_xlfn.XLOOKUP(B57,[1]Sheet1!$B:$B,[1]Sheet1!$O:$O,0)</f>
        <v>0</v>
      </c>
      <c r="M57" s="12">
        <f>_xlfn.XLOOKUP(B57,[1]Sheet1!$B:$B,[1]Sheet1!$P:$P,0)</f>
        <v>0</v>
      </c>
      <c r="N57" s="12">
        <f>_xlfn.XLOOKUP(B57,[1]Sheet1!$B:$B,[1]Sheet1!$Q:$Q,0)</f>
        <v>75012</v>
      </c>
      <c r="O57" s="12">
        <f>_xlfn.XLOOKUP(B57,[1]Sheet1!$B:$B,[1]Sheet1!$R:$R,0)</f>
        <v>19396</v>
      </c>
      <c r="P57" s="12">
        <f>_xlfn.XLOOKUP(B57,[1]Sheet1!$B:$B,[1]Sheet1!$S:$S,0)</f>
        <v>19396</v>
      </c>
      <c r="Q57" s="12">
        <f>_xlfn.XLOOKUP(B57,[1]Sheet1!$B:$B,[1]Sheet1!$T:$T,0)</f>
        <v>19396</v>
      </c>
      <c r="R57" s="12">
        <f>_xlfn.XLOOKUP(B57,[1]Sheet1!$B:$B,[1]Sheet1!$U:$U,0)</f>
        <v>19396</v>
      </c>
      <c r="S57" s="12">
        <f>_xlfn.XLOOKUP(B57,[1]Sheet1!$B:$B,[1]Sheet1!$V:$V,0)</f>
        <v>19396</v>
      </c>
      <c r="T57" s="12">
        <f>_xlfn.XLOOKUP(B57,[1]Sheet1!$B:$B,[1]Sheet1!$W:$W,0)</f>
        <v>19396</v>
      </c>
      <c r="U57" s="12">
        <f>_xlfn.XLOOKUP(B57,[1]Sheet1!$B:$B,[1]Sheet1!$X:$X,0)</f>
        <v>19396</v>
      </c>
      <c r="V57" s="12">
        <f>_xlfn.XLOOKUP(B57,[1]Sheet1!$B:$B,[1]Sheet1!$Y:$Y,0)</f>
        <v>19396</v>
      </c>
      <c r="W57" s="12">
        <f t="shared" si="3"/>
        <v>230180</v>
      </c>
      <c r="X57" s="8" t="s">
        <v>82</v>
      </c>
      <c r="Y57" s="8" t="s">
        <v>65</v>
      </c>
      <c r="Z57" s="8" t="s">
        <v>66</v>
      </c>
      <c r="AA57" s="8" t="s">
        <v>53</v>
      </c>
      <c r="AB57" s="8" t="s">
        <v>36</v>
      </c>
      <c r="AC57" s="8" t="s">
        <v>37</v>
      </c>
      <c r="AD57" s="8" t="s">
        <v>69</v>
      </c>
      <c r="AE57" s="8" t="s">
        <v>39</v>
      </c>
      <c r="AF57" s="8" t="s">
        <v>40</v>
      </c>
      <c r="AG57" s="9">
        <v>230180</v>
      </c>
      <c r="AH57" s="11">
        <f>_xlfn.XLOOKUP(B57,[1]Sheet1!$B:$B,[1]Sheet1!$AB:$AB,0)</f>
        <v>230180</v>
      </c>
    </row>
    <row r="58" spans="2:34" ht="16.8" thickTop="1" thickBot="1" x14ac:dyDescent="0.35">
      <c r="B58" s="3" t="str">
        <f t="shared" si="2"/>
        <v>45116004511000087Event Management-N422401200104</v>
      </c>
      <c r="C58" s="6" t="s">
        <v>125</v>
      </c>
      <c r="D58" s="6" t="s">
        <v>160</v>
      </c>
      <c r="E58" s="6" t="s">
        <v>161</v>
      </c>
      <c r="F58" s="6" t="s">
        <v>162</v>
      </c>
      <c r="G58" s="4" t="s">
        <v>2807</v>
      </c>
      <c r="H58" s="4" t="s">
        <v>2922</v>
      </c>
      <c r="I58" s="6" t="s">
        <v>63</v>
      </c>
      <c r="J58" s="6" t="s">
        <v>31</v>
      </c>
      <c r="K58" s="12">
        <f>_xlfn.XLOOKUP(B58,[1]Sheet1!$B:$B,[1]Sheet1!$N:$N,0)</f>
        <v>0</v>
      </c>
      <c r="L58" s="12">
        <f>_xlfn.XLOOKUP(B58,[1]Sheet1!$B:$B,[1]Sheet1!$O:$O,0)</f>
        <v>0</v>
      </c>
      <c r="M58" s="12">
        <f>_xlfn.XLOOKUP(B58,[1]Sheet1!$B:$B,[1]Sheet1!$P:$P,0)</f>
        <v>0</v>
      </c>
      <c r="N58" s="12">
        <f>_xlfn.XLOOKUP(B58,[1]Sheet1!$B:$B,[1]Sheet1!$Q:$Q,0)</f>
        <v>0</v>
      </c>
      <c r="O58" s="12">
        <f>_xlfn.XLOOKUP(B58,[1]Sheet1!$B:$B,[1]Sheet1!$R:$R,0)</f>
        <v>0</v>
      </c>
      <c r="P58" s="12">
        <f>_xlfn.XLOOKUP(B58,[1]Sheet1!$B:$B,[1]Sheet1!$S:$S,0)</f>
        <v>0</v>
      </c>
      <c r="Q58" s="12">
        <f>_xlfn.XLOOKUP(B58,[1]Sheet1!$B:$B,[1]Sheet1!$T:$T,0)</f>
        <v>0</v>
      </c>
      <c r="R58" s="12">
        <f>_xlfn.XLOOKUP(B58,[1]Sheet1!$B:$B,[1]Sheet1!$U:$U,0)</f>
        <v>180000</v>
      </c>
      <c r="S58" s="12">
        <f>_xlfn.XLOOKUP(B58,[1]Sheet1!$B:$B,[1]Sheet1!$V:$V,0)</f>
        <v>0</v>
      </c>
      <c r="T58" s="12">
        <f>_xlfn.XLOOKUP(B58,[1]Sheet1!$B:$B,[1]Sheet1!$W:$W,0)</f>
        <v>0</v>
      </c>
      <c r="U58" s="12">
        <f>_xlfn.XLOOKUP(B58,[1]Sheet1!$B:$B,[1]Sheet1!$X:$X,0)</f>
        <v>0</v>
      </c>
      <c r="V58" s="12">
        <f>_xlfn.XLOOKUP(B58,[1]Sheet1!$B:$B,[1]Sheet1!$Y:$Y,0)</f>
        <v>0</v>
      </c>
      <c r="W58" s="12">
        <f t="shared" si="3"/>
        <v>180000</v>
      </c>
      <c r="X58" s="6" t="s">
        <v>163</v>
      </c>
      <c r="Y58" s="6" t="s">
        <v>65</v>
      </c>
      <c r="Z58" s="6" t="s">
        <v>124</v>
      </c>
      <c r="AA58" s="6" t="s">
        <v>68</v>
      </c>
      <c r="AB58" s="6" t="s">
        <v>36</v>
      </c>
      <c r="AC58" s="6" t="s">
        <v>37</v>
      </c>
      <c r="AD58" s="6" t="s">
        <v>102</v>
      </c>
      <c r="AE58" s="6" t="s">
        <v>39</v>
      </c>
      <c r="AF58" s="6" t="s">
        <v>40</v>
      </c>
      <c r="AG58" s="7">
        <v>180000</v>
      </c>
      <c r="AH58" s="11">
        <f>_xlfn.XLOOKUP(B58,[1]Sheet1!$B:$B,[1]Sheet1!$AB:$AB,0)</f>
        <v>180000</v>
      </c>
    </row>
    <row r="59" spans="2:34" ht="16.8" thickTop="1" thickBot="1" x14ac:dyDescent="0.35">
      <c r="B59" s="3" t="str">
        <f t="shared" si="2"/>
        <v>45116004511000087Other Expenses-N424991200104</v>
      </c>
      <c r="C59" s="8" t="s">
        <v>125</v>
      </c>
      <c r="D59" s="8" t="s">
        <v>160</v>
      </c>
      <c r="E59" s="8" t="s">
        <v>161</v>
      </c>
      <c r="F59" s="8" t="s">
        <v>57</v>
      </c>
      <c r="G59" s="4" t="s">
        <v>2806</v>
      </c>
      <c r="H59" s="4" t="s">
        <v>2922</v>
      </c>
      <c r="I59" s="8" t="s">
        <v>58</v>
      </c>
      <c r="J59" s="8" t="s">
        <v>31</v>
      </c>
      <c r="K59" s="12">
        <f>_xlfn.XLOOKUP(B59,[1]Sheet1!$B:$B,[1]Sheet1!$N:$N,0)</f>
        <v>0</v>
      </c>
      <c r="L59" s="12">
        <f>_xlfn.XLOOKUP(B59,[1]Sheet1!$B:$B,[1]Sheet1!$O:$O,0)</f>
        <v>0</v>
      </c>
      <c r="M59" s="12">
        <f>_xlfn.XLOOKUP(B59,[1]Sheet1!$B:$B,[1]Sheet1!$P:$P,0)</f>
        <v>0</v>
      </c>
      <c r="N59" s="12">
        <f>_xlfn.XLOOKUP(B59,[1]Sheet1!$B:$B,[1]Sheet1!$Q:$Q,0)</f>
        <v>0</v>
      </c>
      <c r="O59" s="12">
        <f>_xlfn.XLOOKUP(B59,[1]Sheet1!$B:$B,[1]Sheet1!$R:$R,0)</f>
        <v>20000</v>
      </c>
      <c r="P59" s="12">
        <f>_xlfn.XLOOKUP(B59,[1]Sheet1!$B:$B,[1]Sheet1!$S:$S,0)</f>
        <v>60000</v>
      </c>
      <c r="Q59" s="12">
        <f>_xlfn.XLOOKUP(B59,[1]Sheet1!$B:$B,[1]Sheet1!$T:$T,0)</f>
        <v>0</v>
      </c>
      <c r="R59" s="12">
        <f>_xlfn.XLOOKUP(B59,[1]Sheet1!$B:$B,[1]Sheet1!$U:$U,0)</f>
        <v>0</v>
      </c>
      <c r="S59" s="12">
        <f>_xlfn.XLOOKUP(B59,[1]Sheet1!$B:$B,[1]Sheet1!$V:$V,0)</f>
        <v>50000</v>
      </c>
      <c r="T59" s="12">
        <f>_xlfn.XLOOKUP(B59,[1]Sheet1!$B:$B,[1]Sheet1!$W:$W,0)</f>
        <v>0</v>
      </c>
      <c r="U59" s="12">
        <f>_xlfn.XLOOKUP(B59,[1]Sheet1!$B:$B,[1]Sheet1!$X:$X,0)</f>
        <v>50000</v>
      </c>
      <c r="V59" s="12">
        <f>_xlfn.XLOOKUP(B59,[1]Sheet1!$B:$B,[1]Sheet1!$Y:$Y,0)</f>
        <v>0</v>
      </c>
      <c r="W59" s="12">
        <f t="shared" si="3"/>
        <v>180000</v>
      </c>
      <c r="X59" s="8" t="s">
        <v>127</v>
      </c>
      <c r="Y59" s="8" t="s">
        <v>65</v>
      </c>
      <c r="Z59" s="8" t="s">
        <v>124</v>
      </c>
      <c r="AA59" s="8" t="s">
        <v>58</v>
      </c>
      <c r="AB59" s="8" t="s">
        <v>36</v>
      </c>
      <c r="AC59" s="8" t="s">
        <v>37</v>
      </c>
      <c r="AD59" s="8" t="s">
        <v>126</v>
      </c>
      <c r="AE59" s="8" t="s">
        <v>39</v>
      </c>
      <c r="AF59" s="8" t="s">
        <v>40</v>
      </c>
      <c r="AG59" s="9">
        <v>180000</v>
      </c>
      <c r="AH59" s="11">
        <f>_xlfn.XLOOKUP(B59,[1]Sheet1!$B:$B,[1]Sheet1!$AB:$AB,0)</f>
        <v>180000</v>
      </c>
    </row>
    <row r="60" spans="2:34" ht="16.8" thickTop="1" thickBot="1" x14ac:dyDescent="0.35">
      <c r="B60" s="3" t="str">
        <f t="shared" si="2"/>
        <v>45115504511000088Collaterals-N422511200104</v>
      </c>
      <c r="C60" s="6" t="s">
        <v>154</v>
      </c>
      <c r="D60" s="6" t="s">
        <v>164</v>
      </c>
      <c r="E60" s="6" t="s">
        <v>165</v>
      </c>
      <c r="F60" s="6" t="s">
        <v>150</v>
      </c>
      <c r="G60" s="4" t="s">
        <v>2819</v>
      </c>
      <c r="H60" s="4" t="s">
        <v>2922</v>
      </c>
      <c r="I60" s="6" t="s">
        <v>151</v>
      </c>
      <c r="J60" s="6" t="s">
        <v>31</v>
      </c>
      <c r="K60" s="12">
        <f>_xlfn.XLOOKUP(B60,[1]Sheet1!$B:$B,[1]Sheet1!$N:$N,0)</f>
        <v>0</v>
      </c>
      <c r="L60" s="12">
        <f>_xlfn.XLOOKUP(B60,[1]Sheet1!$B:$B,[1]Sheet1!$O:$O,0)</f>
        <v>0</v>
      </c>
      <c r="M60" s="12">
        <f>_xlfn.XLOOKUP(B60,[1]Sheet1!$B:$B,[1]Sheet1!$P:$P,0)</f>
        <v>0</v>
      </c>
      <c r="N60" s="12">
        <f>_xlfn.XLOOKUP(B60,[1]Sheet1!$B:$B,[1]Sheet1!$Q:$Q,0)</f>
        <v>0</v>
      </c>
      <c r="O60" s="12">
        <f>_xlfn.XLOOKUP(B60,[1]Sheet1!$B:$B,[1]Sheet1!$R:$R,0)</f>
        <v>0</v>
      </c>
      <c r="P60" s="12">
        <f>_xlfn.XLOOKUP(B60,[1]Sheet1!$B:$B,[1]Sheet1!$S:$S,0)</f>
        <v>0</v>
      </c>
      <c r="Q60" s="12">
        <f>_xlfn.XLOOKUP(B60,[1]Sheet1!$B:$B,[1]Sheet1!$T:$T,0)</f>
        <v>0</v>
      </c>
      <c r="R60" s="12">
        <f>_xlfn.XLOOKUP(B60,[1]Sheet1!$B:$B,[1]Sheet1!$U:$U,0)</f>
        <v>0</v>
      </c>
      <c r="S60" s="12">
        <f>_xlfn.XLOOKUP(B60,[1]Sheet1!$B:$B,[1]Sheet1!$V:$V,0)</f>
        <v>0</v>
      </c>
      <c r="T60" s="12">
        <f>_xlfn.XLOOKUP(B60,[1]Sheet1!$B:$B,[1]Sheet1!$W:$W,0)</f>
        <v>37260</v>
      </c>
      <c r="U60" s="12">
        <f>_xlfn.XLOOKUP(B60,[1]Sheet1!$B:$B,[1]Sheet1!$X:$X,0)</f>
        <v>0</v>
      </c>
      <c r="V60" s="12">
        <f>_xlfn.XLOOKUP(B60,[1]Sheet1!$B:$B,[1]Sheet1!$Y:$Y,0)</f>
        <v>0</v>
      </c>
      <c r="W60" s="12">
        <f t="shared" si="3"/>
        <v>37260</v>
      </c>
      <c r="X60" s="6" t="s">
        <v>152</v>
      </c>
      <c r="Y60" s="6" t="s">
        <v>65</v>
      </c>
      <c r="Z60" s="6" t="s">
        <v>153</v>
      </c>
      <c r="AA60" s="6" t="s">
        <v>151</v>
      </c>
      <c r="AB60" s="6" t="s">
        <v>36</v>
      </c>
      <c r="AC60" s="6" t="s">
        <v>37</v>
      </c>
      <c r="AD60" s="6" t="s">
        <v>69</v>
      </c>
      <c r="AE60" s="6" t="s">
        <v>39</v>
      </c>
      <c r="AF60" s="6" t="s">
        <v>40</v>
      </c>
      <c r="AG60" s="7">
        <v>20460</v>
      </c>
      <c r="AH60" s="11">
        <f>_xlfn.XLOOKUP(B60,[1]Sheet1!$B:$B,[1]Sheet1!$AB:$AB,0)</f>
        <v>20460</v>
      </c>
    </row>
    <row r="61" spans="2:34" ht="16.8" thickTop="1" thickBot="1" x14ac:dyDescent="0.35">
      <c r="B61" s="3" t="str">
        <f t="shared" si="2"/>
        <v>45115504511000088Media Mgmnt &amp;Buy-N422511200104</v>
      </c>
      <c r="C61" s="8" t="s">
        <v>154</v>
      </c>
      <c r="D61" s="8" t="s">
        <v>164</v>
      </c>
      <c r="E61" s="8" t="s">
        <v>165</v>
      </c>
      <c r="F61" s="8" t="s">
        <v>166</v>
      </c>
      <c r="G61" s="4" t="s">
        <v>2819</v>
      </c>
      <c r="H61" s="4" t="s">
        <v>2922</v>
      </c>
      <c r="I61" s="8" t="s">
        <v>151</v>
      </c>
      <c r="J61" s="8" t="s">
        <v>31</v>
      </c>
      <c r="K61" s="12">
        <f>_xlfn.XLOOKUP(B61,[1]Sheet1!$B:$B,[1]Sheet1!$N:$N,0)</f>
        <v>0</v>
      </c>
      <c r="L61" s="12">
        <f>_xlfn.XLOOKUP(B61,[1]Sheet1!$B:$B,[1]Sheet1!$O:$O,0)</f>
        <v>0</v>
      </c>
      <c r="M61" s="12">
        <f>_xlfn.XLOOKUP(B61,[1]Sheet1!$B:$B,[1]Sheet1!$P:$P,0)</f>
        <v>0</v>
      </c>
      <c r="N61" s="12">
        <f>_xlfn.XLOOKUP(B61,[1]Sheet1!$B:$B,[1]Sheet1!$Q:$Q,0)</f>
        <v>0</v>
      </c>
      <c r="O61" s="12">
        <f>_xlfn.XLOOKUP(B61,[1]Sheet1!$B:$B,[1]Sheet1!$R:$R,0)</f>
        <v>0</v>
      </c>
      <c r="P61" s="12">
        <f>_xlfn.XLOOKUP(B61,[1]Sheet1!$B:$B,[1]Sheet1!$S:$S,0)</f>
        <v>0</v>
      </c>
      <c r="Q61" s="12">
        <f>_xlfn.XLOOKUP(B61,[1]Sheet1!$B:$B,[1]Sheet1!$T:$T,0)</f>
        <v>299240</v>
      </c>
      <c r="R61" s="12">
        <f>_xlfn.XLOOKUP(B61,[1]Sheet1!$B:$B,[1]Sheet1!$U:$U,0)</f>
        <v>100000</v>
      </c>
      <c r="S61" s="12">
        <f>_xlfn.XLOOKUP(B61,[1]Sheet1!$B:$B,[1]Sheet1!$V:$V,0)</f>
        <v>300000</v>
      </c>
      <c r="T61" s="12">
        <f>_xlfn.XLOOKUP(B61,[1]Sheet1!$B:$B,[1]Sheet1!$W:$W,0)</f>
        <v>250000</v>
      </c>
      <c r="U61" s="12">
        <f>_xlfn.XLOOKUP(B61,[1]Sheet1!$B:$B,[1]Sheet1!$X:$X,0)</f>
        <v>350000</v>
      </c>
      <c r="V61" s="12">
        <f>_xlfn.XLOOKUP(B61,[1]Sheet1!$B:$B,[1]Sheet1!$Y:$Y,0)</f>
        <v>0</v>
      </c>
      <c r="W61" s="12">
        <f t="shared" si="3"/>
        <v>1299240</v>
      </c>
      <c r="X61" s="8" t="s">
        <v>167</v>
      </c>
      <c r="Y61" s="8" t="s">
        <v>65</v>
      </c>
      <c r="Z61" s="8" t="s">
        <v>153</v>
      </c>
      <c r="AA61" s="8" t="s">
        <v>151</v>
      </c>
      <c r="AB61" s="8" t="s">
        <v>36</v>
      </c>
      <c r="AC61" s="8" t="s">
        <v>37</v>
      </c>
      <c r="AD61" s="8" t="s">
        <v>102</v>
      </c>
      <c r="AE61" s="8" t="s">
        <v>39</v>
      </c>
      <c r="AF61" s="8" t="s">
        <v>40</v>
      </c>
      <c r="AG61" s="9">
        <v>100000</v>
      </c>
      <c r="AH61" s="11">
        <f>_xlfn.XLOOKUP(B61,[1]Sheet1!$B:$B,[1]Sheet1!$AB:$AB,0)</f>
        <v>100000</v>
      </c>
    </row>
    <row r="62" spans="2:34" ht="16.8" thickTop="1" thickBot="1" x14ac:dyDescent="0.35">
      <c r="B62" s="3" t="str">
        <f t="shared" si="2"/>
        <v>45101504511000113Admin Expenses-N421125200104</v>
      </c>
      <c r="C62" s="6" t="s">
        <v>173</v>
      </c>
      <c r="D62" s="6" t="s">
        <v>168</v>
      </c>
      <c r="E62" s="6" t="s">
        <v>169</v>
      </c>
      <c r="F62" s="6" t="s">
        <v>130</v>
      </c>
      <c r="G62" s="4" t="s">
        <v>2803</v>
      </c>
      <c r="H62" s="4" t="s">
        <v>2922</v>
      </c>
      <c r="I62" s="6" t="s">
        <v>44</v>
      </c>
      <c r="J62" s="6" t="s">
        <v>31</v>
      </c>
      <c r="K62" s="12">
        <f>_xlfn.XLOOKUP(B62,[1]Sheet1!$B:$B,[1]Sheet1!$N:$N,0)</f>
        <v>0</v>
      </c>
      <c r="L62" s="12">
        <f>_xlfn.XLOOKUP(B62,[1]Sheet1!$B:$B,[1]Sheet1!$O:$O,0)</f>
        <v>0</v>
      </c>
      <c r="M62" s="12">
        <f>_xlfn.XLOOKUP(B62,[1]Sheet1!$B:$B,[1]Sheet1!$P:$P,0)</f>
        <v>4944.8999999999996</v>
      </c>
      <c r="N62" s="12">
        <f>_xlfn.XLOOKUP(B62,[1]Sheet1!$B:$B,[1]Sheet1!$Q:$Q,0)</f>
        <v>47055.1</v>
      </c>
      <c r="O62" s="12">
        <f>_xlfn.XLOOKUP(B62,[1]Sheet1!$B:$B,[1]Sheet1!$R:$R,0)</f>
        <v>17000</v>
      </c>
      <c r="P62" s="12">
        <f>_xlfn.XLOOKUP(B62,[1]Sheet1!$B:$B,[1]Sheet1!$S:$S,0)</f>
        <v>0</v>
      </c>
      <c r="Q62" s="12">
        <f>_xlfn.XLOOKUP(B62,[1]Sheet1!$B:$B,[1]Sheet1!$T:$T,0)</f>
        <v>19500</v>
      </c>
      <c r="R62" s="12">
        <f>_xlfn.XLOOKUP(B62,[1]Sheet1!$B:$B,[1]Sheet1!$U:$U,0)</f>
        <v>10000</v>
      </c>
      <c r="S62" s="12">
        <f>_xlfn.XLOOKUP(B62,[1]Sheet1!$B:$B,[1]Sheet1!$V:$V,0)</f>
        <v>7000</v>
      </c>
      <c r="T62" s="12">
        <f>_xlfn.XLOOKUP(B62,[1]Sheet1!$B:$B,[1]Sheet1!$W:$W,0)</f>
        <v>12500</v>
      </c>
      <c r="U62" s="12">
        <f>_xlfn.XLOOKUP(B62,[1]Sheet1!$B:$B,[1]Sheet1!$X:$X,0)</f>
        <v>17000</v>
      </c>
      <c r="V62" s="12">
        <f>_xlfn.XLOOKUP(B62,[1]Sheet1!$B:$B,[1]Sheet1!$Y:$Y,0)</f>
        <v>0</v>
      </c>
      <c r="W62" s="12">
        <f t="shared" si="3"/>
        <v>135000</v>
      </c>
      <c r="X62" s="6" t="s">
        <v>170</v>
      </c>
      <c r="Y62" s="6" t="s">
        <v>171</v>
      </c>
      <c r="Z62" s="6" t="s">
        <v>172</v>
      </c>
      <c r="AA62" s="6" t="s">
        <v>44</v>
      </c>
      <c r="AB62" s="6" t="s">
        <v>36</v>
      </c>
      <c r="AC62" s="6" t="s">
        <v>37</v>
      </c>
      <c r="AD62" s="6" t="s">
        <v>38</v>
      </c>
      <c r="AE62" s="6" t="s">
        <v>39</v>
      </c>
      <c r="AF62" s="6" t="s">
        <v>40</v>
      </c>
      <c r="AG62" s="7">
        <v>135000</v>
      </c>
      <c r="AH62" s="11">
        <f>_xlfn.XLOOKUP(B62,[1]Sheet1!$B:$B,[1]Sheet1!$AB:$AB,0)</f>
        <v>135000</v>
      </c>
    </row>
    <row r="63" spans="2:34" ht="16.8" thickTop="1" thickBot="1" x14ac:dyDescent="0.35">
      <c r="B63" s="3" t="str">
        <f t="shared" si="2"/>
        <v>45101504511000113Construct Advice-N421126200104</v>
      </c>
      <c r="C63" s="8" t="s">
        <v>173</v>
      </c>
      <c r="D63" s="8" t="s">
        <v>168</v>
      </c>
      <c r="E63" s="8" t="s">
        <v>169</v>
      </c>
      <c r="F63" s="8" t="s">
        <v>174</v>
      </c>
      <c r="G63" s="4" t="s">
        <v>2820</v>
      </c>
      <c r="H63" s="4" t="s">
        <v>2922</v>
      </c>
      <c r="I63" s="8" t="s">
        <v>175</v>
      </c>
      <c r="J63" s="8" t="s">
        <v>31</v>
      </c>
      <c r="K63" s="12">
        <f>_xlfn.XLOOKUP(B63,[1]Sheet1!$B:$B,[1]Sheet1!$N:$N,0)</f>
        <v>0</v>
      </c>
      <c r="L63" s="12">
        <f>_xlfn.XLOOKUP(B63,[1]Sheet1!$B:$B,[1]Sheet1!$O:$O,0)</f>
        <v>0</v>
      </c>
      <c r="M63" s="12">
        <f>_xlfn.XLOOKUP(B63,[1]Sheet1!$B:$B,[1]Sheet1!$P:$P,0)</f>
        <v>0</v>
      </c>
      <c r="N63" s="12">
        <f>_xlfn.XLOOKUP(B63,[1]Sheet1!$B:$B,[1]Sheet1!$Q:$Q,0)</f>
        <v>1311000</v>
      </c>
      <c r="O63" s="12">
        <f>_xlfn.XLOOKUP(B63,[1]Sheet1!$B:$B,[1]Sheet1!$R:$R,0)</f>
        <v>1020000</v>
      </c>
      <c r="P63" s="12">
        <f>_xlfn.XLOOKUP(B63,[1]Sheet1!$B:$B,[1]Sheet1!$S:$S,0)</f>
        <v>420000</v>
      </c>
      <c r="Q63" s="12">
        <f>_xlfn.XLOOKUP(B63,[1]Sheet1!$B:$B,[1]Sheet1!$T:$T,0)</f>
        <v>559000</v>
      </c>
      <c r="R63" s="12">
        <f>_xlfn.XLOOKUP(B63,[1]Sheet1!$B:$B,[1]Sheet1!$U:$U,0)</f>
        <v>1200000</v>
      </c>
      <c r="S63" s="12">
        <f>_xlfn.XLOOKUP(B63,[1]Sheet1!$B:$B,[1]Sheet1!$V:$V,0)</f>
        <v>370000</v>
      </c>
      <c r="T63" s="12">
        <f>_xlfn.XLOOKUP(B63,[1]Sheet1!$B:$B,[1]Sheet1!$W:$W,0)</f>
        <v>270000</v>
      </c>
      <c r="U63" s="12">
        <f>_xlfn.XLOOKUP(B63,[1]Sheet1!$B:$B,[1]Sheet1!$X:$X,0)</f>
        <v>320000</v>
      </c>
      <c r="V63" s="12">
        <f>_xlfn.XLOOKUP(B63,[1]Sheet1!$B:$B,[1]Sheet1!$Y:$Y,0)</f>
        <v>270000</v>
      </c>
      <c r="W63" s="12">
        <f t="shared" si="3"/>
        <v>5740000</v>
      </c>
      <c r="X63" s="8" t="s">
        <v>176</v>
      </c>
      <c r="Y63" s="8" t="s">
        <v>171</v>
      </c>
      <c r="Z63" s="8" t="s">
        <v>172</v>
      </c>
      <c r="AA63" s="8" t="s">
        <v>177</v>
      </c>
      <c r="AB63" s="8" t="s">
        <v>36</v>
      </c>
      <c r="AC63" s="8" t="s">
        <v>37</v>
      </c>
      <c r="AD63" s="8" t="s">
        <v>38</v>
      </c>
      <c r="AE63" s="8" t="s">
        <v>39</v>
      </c>
      <c r="AF63" s="8" t="s">
        <v>40</v>
      </c>
      <c r="AG63" s="9">
        <v>5740000</v>
      </c>
      <c r="AH63" s="11">
        <f>_xlfn.XLOOKUP(B63,[1]Sheet1!$B:$B,[1]Sheet1!$AB:$AB,0)</f>
        <v>5740000</v>
      </c>
    </row>
    <row r="64" spans="2:34" ht="16.8" thickTop="1" thickBot="1" x14ac:dyDescent="0.35">
      <c r="B64" s="3" t="str">
        <f t="shared" si="2"/>
        <v>45101504511000113Hospitality-N424761200104</v>
      </c>
      <c r="C64" s="6" t="s">
        <v>173</v>
      </c>
      <c r="D64" s="6" t="s">
        <v>168</v>
      </c>
      <c r="E64" s="6" t="s">
        <v>169</v>
      </c>
      <c r="F64" s="6" t="s">
        <v>83</v>
      </c>
      <c r="G64" s="4" t="s">
        <v>2811</v>
      </c>
      <c r="H64" s="4" t="s">
        <v>2922</v>
      </c>
      <c r="I64" s="6" t="s">
        <v>84</v>
      </c>
      <c r="J64" s="6" t="s">
        <v>31</v>
      </c>
      <c r="K64" s="12">
        <f>_xlfn.XLOOKUP(B64,[1]Sheet1!$B:$B,[1]Sheet1!$N:$N,0)</f>
        <v>0</v>
      </c>
      <c r="L64" s="12">
        <f>_xlfn.XLOOKUP(B64,[1]Sheet1!$B:$B,[1]Sheet1!$O:$O,0)</f>
        <v>0</v>
      </c>
      <c r="M64" s="12">
        <f>_xlfn.XLOOKUP(B64,[1]Sheet1!$B:$B,[1]Sheet1!$P:$P,0)</f>
        <v>0</v>
      </c>
      <c r="N64" s="12">
        <f>_xlfn.XLOOKUP(B64,[1]Sheet1!$B:$B,[1]Sheet1!$Q:$Q,0)</f>
        <v>492291</v>
      </c>
      <c r="O64" s="12">
        <f>_xlfn.XLOOKUP(B64,[1]Sheet1!$B:$B,[1]Sheet1!$R:$R,0)</f>
        <v>310100</v>
      </c>
      <c r="P64" s="12">
        <f>_xlfn.XLOOKUP(B64,[1]Sheet1!$B:$B,[1]Sheet1!$S:$S,0)</f>
        <v>0</v>
      </c>
      <c r="Q64" s="12">
        <f>_xlfn.XLOOKUP(B64,[1]Sheet1!$B:$B,[1]Sheet1!$T:$T,0)</f>
        <v>0</v>
      </c>
      <c r="R64" s="12">
        <f>_xlfn.XLOOKUP(B64,[1]Sheet1!$B:$B,[1]Sheet1!$U:$U,0)</f>
        <v>251200</v>
      </c>
      <c r="S64" s="12">
        <f>_xlfn.XLOOKUP(B64,[1]Sheet1!$B:$B,[1]Sheet1!$V:$V,0)</f>
        <v>0</v>
      </c>
      <c r="T64" s="12">
        <f>_xlfn.XLOOKUP(B64,[1]Sheet1!$B:$B,[1]Sheet1!$W:$W,0)</f>
        <v>251200</v>
      </c>
      <c r="U64" s="12">
        <f>_xlfn.XLOOKUP(B64,[1]Sheet1!$B:$B,[1]Sheet1!$X:$X,0)</f>
        <v>251200</v>
      </c>
      <c r="V64" s="12">
        <f>_xlfn.XLOOKUP(B64,[1]Sheet1!$B:$B,[1]Sheet1!$Y:$Y,0)</f>
        <v>251200</v>
      </c>
      <c r="W64" s="12">
        <f t="shared" si="3"/>
        <v>1807191</v>
      </c>
      <c r="X64" s="6" t="s">
        <v>178</v>
      </c>
      <c r="Y64" s="6" t="s">
        <v>171</v>
      </c>
      <c r="Z64" s="6" t="s">
        <v>172</v>
      </c>
      <c r="AA64" s="6" t="s">
        <v>84</v>
      </c>
      <c r="AB64" s="6" t="s">
        <v>36</v>
      </c>
      <c r="AC64" s="6" t="s">
        <v>37</v>
      </c>
      <c r="AD64" s="6" t="s">
        <v>38</v>
      </c>
      <c r="AE64" s="6" t="s">
        <v>39</v>
      </c>
      <c r="AF64" s="6" t="s">
        <v>40</v>
      </c>
      <c r="AG64" s="7">
        <v>1807191</v>
      </c>
      <c r="AH64" s="11">
        <f>_xlfn.XLOOKUP(B64,[1]Sheet1!$B:$B,[1]Sheet1!$AB:$AB,0)</f>
        <v>1807191</v>
      </c>
    </row>
    <row r="65" spans="2:34" ht="16.8" thickTop="1" thickBot="1" x14ac:dyDescent="0.35">
      <c r="B65" s="3" t="str">
        <f t="shared" si="2"/>
        <v>45101504511000113Mission &amp; Travel-N423821200104</v>
      </c>
      <c r="C65" s="8" t="s">
        <v>173</v>
      </c>
      <c r="D65" s="8" t="s">
        <v>168</v>
      </c>
      <c r="E65" s="8" t="s">
        <v>169</v>
      </c>
      <c r="F65" s="8" t="s">
        <v>54</v>
      </c>
      <c r="G65" s="4" t="s">
        <v>2805</v>
      </c>
      <c r="H65" s="4" t="s">
        <v>2922</v>
      </c>
      <c r="I65" s="8" t="s">
        <v>55</v>
      </c>
      <c r="J65" s="8" t="s">
        <v>31</v>
      </c>
      <c r="K65" s="12">
        <f>_xlfn.XLOOKUP(B65,[1]Sheet1!$B:$B,[1]Sheet1!$N:$N,0)</f>
        <v>0</v>
      </c>
      <c r="L65" s="12">
        <f>_xlfn.XLOOKUP(B65,[1]Sheet1!$B:$B,[1]Sheet1!$O:$O,0)</f>
        <v>0</v>
      </c>
      <c r="M65" s="12">
        <f>_xlfn.XLOOKUP(B65,[1]Sheet1!$B:$B,[1]Sheet1!$P:$P,0)</f>
        <v>41400</v>
      </c>
      <c r="N65" s="12">
        <f>_xlfn.XLOOKUP(B65,[1]Sheet1!$B:$B,[1]Sheet1!$Q:$Q,0)</f>
        <v>833100</v>
      </c>
      <c r="O65" s="12">
        <f>_xlfn.XLOOKUP(B65,[1]Sheet1!$B:$B,[1]Sheet1!$R:$R,0)</f>
        <v>36000</v>
      </c>
      <c r="P65" s="12">
        <f>_xlfn.XLOOKUP(B65,[1]Sheet1!$B:$B,[1]Sheet1!$S:$S,0)</f>
        <v>0</v>
      </c>
      <c r="Q65" s="12">
        <f>_xlfn.XLOOKUP(B65,[1]Sheet1!$B:$B,[1]Sheet1!$T:$T,0)</f>
        <v>100500</v>
      </c>
      <c r="R65" s="12">
        <f>_xlfn.XLOOKUP(B65,[1]Sheet1!$B:$B,[1]Sheet1!$U:$U,0)</f>
        <v>0</v>
      </c>
      <c r="S65" s="12">
        <f>_xlfn.XLOOKUP(B65,[1]Sheet1!$B:$B,[1]Sheet1!$V:$V,0)</f>
        <v>0</v>
      </c>
      <c r="T65" s="12">
        <f>_xlfn.XLOOKUP(B65,[1]Sheet1!$B:$B,[1]Sheet1!$W:$W,0)</f>
        <v>102000</v>
      </c>
      <c r="U65" s="12">
        <f>_xlfn.XLOOKUP(B65,[1]Sheet1!$B:$B,[1]Sheet1!$X:$X,0)</f>
        <v>0</v>
      </c>
      <c r="V65" s="12">
        <f>_xlfn.XLOOKUP(B65,[1]Sheet1!$B:$B,[1]Sheet1!$Y:$Y,0)</f>
        <v>0</v>
      </c>
      <c r="W65" s="12">
        <f t="shared" si="3"/>
        <v>1113000</v>
      </c>
      <c r="X65" s="8" t="s">
        <v>179</v>
      </c>
      <c r="Y65" s="8" t="s">
        <v>171</v>
      </c>
      <c r="Z65" s="8" t="s">
        <v>172</v>
      </c>
      <c r="AA65" s="8" t="s">
        <v>55</v>
      </c>
      <c r="AB65" s="8" t="s">
        <v>36</v>
      </c>
      <c r="AC65" s="8" t="s">
        <v>37</v>
      </c>
      <c r="AD65" s="8" t="s">
        <v>38</v>
      </c>
      <c r="AE65" s="8" t="s">
        <v>39</v>
      </c>
      <c r="AF65" s="8" t="s">
        <v>40</v>
      </c>
      <c r="AG65" s="9">
        <v>1113000</v>
      </c>
      <c r="AH65" s="11">
        <f>_xlfn.XLOOKUP(B65,[1]Sheet1!$B:$B,[1]Sheet1!$AB:$AB,0)</f>
        <v>1113000</v>
      </c>
    </row>
    <row r="66" spans="2:34" ht="16.8" thickTop="1" thickBot="1" x14ac:dyDescent="0.35">
      <c r="B66" s="3" t="str">
        <f t="shared" si="2"/>
        <v>45101504511000113System Licenses-N425252200104</v>
      </c>
      <c r="C66" s="6" t="s">
        <v>173</v>
      </c>
      <c r="D66" s="6" t="s">
        <v>168</v>
      </c>
      <c r="E66" s="6" t="s">
        <v>169</v>
      </c>
      <c r="F66" s="6" t="s">
        <v>180</v>
      </c>
      <c r="G66" s="4" t="s">
        <v>2821</v>
      </c>
      <c r="H66" s="4" t="s">
        <v>2922</v>
      </c>
      <c r="I66" s="6" t="s">
        <v>181</v>
      </c>
      <c r="J66" s="6" t="s">
        <v>31</v>
      </c>
      <c r="K66" s="12">
        <f>_xlfn.XLOOKUP(B66,[1]Sheet1!$B:$B,[1]Sheet1!$N:$N,0)</f>
        <v>0</v>
      </c>
      <c r="L66" s="12">
        <f>_xlfn.XLOOKUP(B66,[1]Sheet1!$B:$B,[1]Sheet1!$O:$O,0)</f>
        <v>0</v>
      </c>
      <c r="M66" s="12">
        <f>_xlfn.XLOOKUP(B66,[1]Sheet1!$B:$B,[1]Sheet1!$P:$P,0)</f>
        <v>0</v>
      </c>
      <c r="N66" s="12">
        <f>_xlfn.XLOOKUP(B66,[1]Sheet1!$B:$B,[1]Sheet1!$Q:$Q,0)</f>
        <v>535900.14</v>
      </c>
      <c r="O66" s="12">
        <f>_xlfn.XLOOKUP(B66,[1]Sheet1!$B:$B,[1]Sheet1!$R:$R,0)</f>
        <v>0</v>
      </c>
      <c r="P66" s="12">
        <f>_xlfn.XLOOKUP(B66,[1]Sheet1!$B:$B,[1]Sheet1!$S:$S,0)</f>
        <v>0</v>
      </c>
      <c r="Q66" s="12">
        <f>_xlfn.XLOOKUP(B66,[1]Sheet1!$B:$B,[1]Sheet1!$T:$T,0)</f>
        <v>0</v>
      </c>
      <c r="R66" s="12">
        <f>_xlfn.XLOOKUP(B66,[1]Sheet1!$B:$B,[1]Sheet1!$U:$U,0)</f>
        <v>0</v>
      </c>
      <c r="S66" s="12">
        <f>_xlfn.XLOOKUP(B66,[1]Sheet1!$B:$B,[1]Sheet1!$V:$V,0)</f>
        <v>0</v>
      </c>
      <c r="T66" s="12">
        <f>_xlfn.XLOOKUP(B66,[1]Sheet1!$B:$B,[1]Sheet1!$W:$W,0)</f>
        <v>0</v>
      </c>
      <c r="U66" s="12">
        <f>_xlfn.XLOOKUP(B66,[1]Sheet1!$B:$B,[1]Sheet1!$X:$X,0)</f>
        <v>2929678.8600000003</v>
      </c>
      <c r="V66" s="12">
        <f>_xlfn.XLOOKUP(B66,[1]Sheet1!$B:$B,[1]Sheet1!$Y:$Y,0)</f>
        <v>0</v>
      </c>
      <c r="W66" s="12">
        <f t="shared" si="3"/>
        <v>3465579.0000000005</v>
      </c>
      <c r="X66" s="6" t="s">
        <v>182</v>
      </c>
      <c r="Y66" s="6" t="s">
        <v>171</v>
      </c>
      <c r="Z66" s="6" t="s">
        <v>172</v>
      </c>
      <c r="AA66" s="6" t="s">
        <v>183</v>
      </c>
      <c r="AB66" s="6" t="s">
        <v>36</v>
      </c>
      <c r="AC66" s="6" t="s">
        <v>37</v>
      </c>
      <c r="AD66" s="6" t="s">
        <v>38</v>
      </c>
      <c r="AE66" s="6" t="s">
        <v>39</v>
      </c>
      <c r="AF66" s="6" t="s">
        <v>40</v>
      </c>
      <c r="AG66" s="7">
        <v>3465579</v>
      </c>
      <c r="AH66" s="11">
        <f>_xlfn.XLOOKUP(B66,[1]Sheet1!$B:$B,[1]Sheet1!$AB:$AB,0)</f>
        <v>3465579.0000000005</v>
      </c>
    </row>
    <row r="67" spans="2:34" ht="16.8" thickTop="1" thickBot="1" x14ac:dyDescent="0.35">
      <c r="B67" s="3" t="str">
        <f t="shared" si="2"/>
        <v>45101504511000113Systems Develop-NC493140300105</v>
      </c>
      <c r="C67" s="8" t="s">
        <v>173</v>
      </c>
      <c r="D67" s="8" t="s">
        <v>168</v>
      </c>
      <c r="E67" s="8" t="s">
        <v>169</v>
      </c>
      <c r="F67" s="8" t="s">
        <v>184</v>
      </c>
      <c r="G67" s="4" t="s">
        <v>2822</v>
      </c>
      <c r="H67" s="4" t="s">
        <v>2923</v>
      </c>
      <c r="I67" s="8" t="s">
        <v>185</v>
      </c>
      <c r="J67" s="8" t="s">
        <v>31</v>
      </c>
      <c r="K67" s="12">
        <f>_xlfn.XLOOKUP(B67,[1]Sheet1!$B:$B,[1]Sheet1!$N:$N,0)</f>
        <v>0</v>
      </c>
      <c r="L67" s="12">
        <f>_xlfn.XLOOKUP(B67,[1]Sheet1!$B:$B,[1]Sheet1!$O:$O,0)</f>
        <v>0</v>
      </c>
      <c r="M67" s="12">
        <f>_xlfn.XLOOKUP(B67,[1]Sheet1!$B:$B,[1]Sheet1!$P:$P,0)</f>
        <v>0</v>
      </c>
      <c r="N67" s="12">
        <f>_xlfn.XLOOKUP(B67,[1]Sheet1!$B:$B,[1]Sheet1!$Q:$Q,0)</f>
        <v>200000</v>
      </c>
      <c r="O67" s="12">
        <f>_xlfn.XLOOKUP(B67,[1]Sheet1!$B:$B,[1]Sheet1!$R:$R,0)</f>
        <v>100000</v>
      </c>
      <c r="P67" s="12">
        <f>_xlfn.XLOOKUP(B67,[1]Sheet1!$B:$B,[1]Sheet1!$S:$S,0)</f>
        <v>0</v>
      </c>
      <c r="Q67" s="12">
        <f>_xlfn.XLOOKUP(B67,[1]Sheet1!$B:$B,[1]Sheet1!$T:$T,0)</f>
        <v>130000</v>
      </c>
      <c r="R67" s="12">
        <f>_xlfn.XLOOKUP(B67,[1]Sheet1!$B:$B,[1]Sheet1!$U:$U,0)</f>
        <v>18000</v>
      </c>
      <c r="S67" s="12">
        <f>_xlfn.XLOOKUP(B67,[1]Sheet1!$B:$B,[1]Sheet1!$V:$V,0)</f>
        <v>138000</v>
      </c>
      <c r="T67" s="12">
        <f>_xlfn.XLOOKUP(B67,[1]Sheet1!$B:$B,[1]Sheet1!$W:$W,0)</f>
        <v>138000</v>
      </c>
      <c r="U67" s="12">
        <f>_xlfn.XLOOKUP(B67,[1]Sheet1!$B:$B,[1]Sheet1!$X:$X,0)</f>
        <v>138000</v>
      </c>
      <c r="V67" s="12">
        <f>_xlfn.XLOOKUP(B67,[1]Sheet1!$B:$B,[1]Sheet1!$Y:$Y,0)</f>
        <v>138000</v>
      </c>
      <c r="W67" s="12">
        <f t="shared" si="3"/>
        <v>1000000</v>
      </c>
      <c r="X67" s="8" t="s">
        <v>186</v>
      </c>
      <c r="Y67" s="8" t="s">
        <v>171</v>
      </c>
      <c r="Z67" s="8" t="s">
        <v>172</v>
      </c>
      <c r="AA67" s="8" t="s">
        <v>185</v>
      </c>
      <c r="AB67" s="8" t="s">
        <v>93</v>
      </c>
      <c r="AC67" s="8" t="s">
        <v>94</v>
      </c>
      <c r="AD67" s="8" t="s">
        <v>38</v>
      </c>
      <c r="AE67" s="8" t="s">
        <v>39</v>
      </c>
      <c r="AF67" s="8" t="s">
        <v>40</v>
      </c>
      <c r="AG67" s="9">
        <v>1000000</v>
      </c>
      <c r="AH67" s="11">
        <f>_xlfn.XLOOKUP(B67,[1]Sheet1!$B:$B,[1]Sheet1!$AB:$AB,0)</f>
        <v>1000000</v>
      </c>
    </row>
    <row r="68" spans="2:34" ht="16.8" thickTop="1" thickBot="1" x14ac:dyDescent="0.35">
      <c r="B68" s="3" t="str">
        <f t="shared" ref="B68:B131" si="4">C68&amp;D68&amp;F68&amp;G68&amp;H68</f>
        <v>45118004511000119Admin Expenses-N421125200104</v>
      </c>
      <c r="C68" s="6" t="s">
        <v>191</v>
      </c>
      <c r="D68" s="6" t="s">
        <v>187</v>
      </c>
      <c r="E68" s="6" t="s">
        <v>188</v>
      </c>
      <c r="F68" s="6" t="s">
        <v>130</v>
      </c>
      <c r="G68" s="4" t="s">
        <v>2803</v>
      </c>
      <c r="H68" s="4" t="s">
        <v>2922</v>
      </c>
      <c r="I68" s="6" t="s">
        <v>44</v>
      </c>
      <c r="J68" s="6" t="s">
        <v>31</v>
      </c>
      <c r="K68" s="12">
        <f>_xlfn.XLOOKUP(B68,[1]Sheet1!$B:$B,[1]Sheet1!$N:$N,0)</f>
        <v>0</v>
      </c>
      <c r="L68" s="12">
        <f>_xlfn.XLOOKUP(B68,[1]Sheet1!$B:$B,[1]Sheet1!$O:$O,0)</f>
        <v>0</v>
      </c>
      <c r="M68" s="12">
        <f>_xlfn.XLOOKUP(B68,[1]Sheet1!$B:$B,[1]Sheet1!$P:$P,0)</f>
        <v>0</v>
      </c>
      <c r="N68" s="12">
        <f>_xlfn.XLOOKUP(B68,[1]Sheet1!$B:$B,[1]Sheet1!$Q:$Q,0)</f>
        <v>25000</v>
      </c>
      <c r="O68" s="12">
        <f>_xlfn.XLOOKUP(B68,[1]Sheet1!$B:$B,[1]Sheet1!$R:$R,0)</f>
        <v>0</v>
      </c>
      <c r="P68" s="12">
        <f>_xlfn.XLOOKUP(B68,[1]Sheet1!$B:$B,[1]Sheet1!$S:$S,0)</f>
        <v>120000</v>
      </c>
      <c r="Q68" s="12">
        <f>_xlfn.XLOOKUP(B68,[1]Sheet1!$B:$B,[1]Sheet1!$T:$T,0)</f>
        <v>0</v>
      </c>
      <c r="R68" s="12">
        <f>_xlfn.XLOOKUP(B68,[1]Sheet1!$B:$B,[1]Sheet1!$U:$U,0)</f>
        <v>25000</v>
      </c>
      <c r="S68" s="12">
        <f>_xlfn.XLOOKUP(B68,[1]Sheet1!$B:$B,[1]Sheet1!$V:$V,0)</f>
        <v>106215</v>
      </c>
      <c r="T68" s="12">
        <f>_xlfn.XLOOKUP(B68,[1]Sheet1!$B:$B,[1]Sheet1!$W:$W,0)</f>
        <v>36900</v>
      </c>
      <c r="U68" s="12">
        <f>_xlfn.XLOOKUP(B68,[1]Sheet1!$B:$B,[1]Sheet1!$X:$X,0)</f>
        <v>0</v>
      </c>
      <c r="V68" s="12">
        <f>_xlfn.XLOOKUP(B68,[1]Sheet1!$B:$B,[1]Sheet1!$Y:$Y,0)</f>
        <v>100000</v>
      </c>
      <c r="W68" s="12">
        <f t="shared" ref="W68:W131" si="5">SUM(K68:V68)</f>
        <v>413115</v>
      </c>
      <c r="X68" s="6" t="s">
        <v>189</v>
      </c>
      <c r="Y68" s="6" t="s">
        <v>65</v>
      </c>
      <c r="Z68" s="6" t="s">
        <v>190</v>
      </c>
      <c r="AA68" s="6" t="s">
        <v>44</v>
      </c>
      <c r="AB68" s="6" t="s">
        <v>36</v>
      </c>
      <c r="AC68" s="6" t="s">
        <v>37</v>
      </c>
      <c r="AD68" s="6" t="s">
        <v>192</v>
      </c>
      <c r="AE68" s="6" t="s">
        <v>39</v>
      </c>
      <c r="AF68" s="6" t="s">
        <v>40</v>
      </c>
      <c r="AG68" s="7">
        <v>413115</v>
      </c>
      <c r="AH68" s="11">
        <f>_xlfn.XLOOKUP(B68,[1]Sheet1!$B:$B,[1]Sheet1!$AB:$AB,0)</f>
        <v>413115</v>
      </c>
    </row>
    <row r="69" spans="2:34" ht="16.8" thickTop="1" thickBot="1" x14ac:dyDescent="0.35">
      <c r="B69" s="3" t="str">
        <f t="shared" si="4"/>
        <v>45102404511000162Admin Expenses-N421125200104</v>
      </c>
      <c r="C69" s="8" t="s">
        <v>197</v>
      </c>
      <c r="D69" s="8" t="s">
        <v>193</v>
      </c>
      <c r="E69" s="8" t="s">
        <v>194</v>
      </c>
      <c r="F69" s="8" t="s">
        <v>130</v>
      </c>
      <c r="G69" s="4" t="s">
        <v>2803</v>
      </c>
      <c r="H69" s="4" t="s">
        <v>2922</v>
      </c>
      <c r="I69" s="8" t="s">
        <v>44</v>
      </c>
      <c r="J69" s="8" t="s">
        <v>31</v>
      </c>
      <c r="K69" s="12">
        <f>_xlfn.XLOOKUP(B69,[1]Sheet1!$B:$B,[1]Sheet1!$N:$N,0)</f>
        <v>0</v>
      </c>
      <c r="L69" s="12">
        <f>_xlfn.XLOOKUP(B69,[1]Sheet1!$B:$B,[1]Sheet1!$O:$O,0)</f>
        <v>0</v>
      </c>
      <c r="M69" s="12">
        <f>_xlfn.XLOOKUP(B69,[1]Sheet1!$B:$B,[1]Sheet1!$P:$P,0)</f>
        <v>0</v>
      </c>
      <c r="N69" s="12">
        <f>_xlfn.XLOOKUP(B69,[1]Sheet1!$B:$B,[1]Sheet1!$Q:$Q,0)</f>
        <v>25000</v>
      </c>
      <c r="O69" s="12">
        <f>_xlfn.XLOOKUP(B69,[1]Sheet1!$B:$B,[1]Sheet1!$R:$R,0)</f>
        <v>30000</v>
      </c>
      <c r="P69" s="12">
        <f>_xlfn.XLOOKUP(B69,[1]Sheet1!$B:$B,[1]Sheet1!$S:$S,0)</f>
        <v>29399</v>
      </c>
      <c r="Q69" s="12">
        <f>_xlfn.XLOOKUP(B69,[1]Sheet1!$B:$B,[1]Sheet1!$T:$T,0)</f>
        <v>15000</v>
      </c>
      <c r="R69" s="12">
        <f>_xlfn.XLOOKUP(B69,[1]Sheet1!$B:$B,[1]Sheet1!$U:$U,0)</f>
        <v>0</v>
      </c>
      <c r="S69" s="12">
        <f>_xlfn.XLOOKUP(B69,[1]Sheet1!$B:$B,[1]Sheet1!$V:$V,0)</f>
        <v>10000</v>
      </c>
      <c r="T69" s="12">
        <f>_xlfn.XLOOKUP(B69,[1]Sheet1!$B:$B,[1]Sheet1!$W:$W,0)</f>
        <v>4500</v>
      </c>
      <c r="U69" s="12">
        <f>_xlfn.XLOOKUP(B69,[1]Sheet1!$B:$B,[1]Sheet1!$X:$X,0)</f>
        <v>70000</v>
      </c>
      <c r="V69" s="12">
        <f>_xlfn.XLOOKUP(B69,[1]Sheet1!$B:$B,[1]Sheet1!$Y:$Y,0)</f>
        <v>114298</v>
      </c>
      <c r="W69" s="12">
        <f t="shared" si="5"/>
        <v>298197</v>
      </c>
      <c r="X69" s="8" t="s">
        <v>195</v>
      </c>
      <c r="Y69" s="8" t="s">
        <v>132</v>
      </c>
      <c r="Z69" s="8" t="s">
        <v>196</v>
      </c>
      <c r="AA69" s="8" t="s">
        <v>44</v>
      </c>
      <c r="AB69" s="8" t="s">
        <v>36</v>
      </c>
      <c r="AC69" s="8" t="s">
        <v>37</v>
      </c>
      <c r="AD69" s="8" t="s">
        <v>198</v>
      </c>
      <c r="AE69" s="8" t="s">
        <v>39</v>
      </c>
      <c r="AF69" s="8" t="s">
        <v>40</v>
      </c>
      <c r="AG69" s="9">
        <v>294197</v>
      </c>
      <c r="AH69" s="11">
        <f>_xlfn.XLOOKUP(B69,[1]Sheet1!$B:$B,[1]Sheet1!$AB:$AB,0)</f>
        <v>294197</v>
      </c>
    </row>
    <row r="70" spans="2:34" ht="16.8" thickTop="1" thickBot="1" x14ac:dyDescent="0.35">
      <c r="B70" s="3" t="str">
        <f t="shared" si="4"/>
        <v>45102204511000165Recruitment - N1413610100103</v>
      </c>
      <c r="C70" s="6" t="s">
        <v>134</v>
      </c>
      <c r="D70" s="6" t="s">
        <v>199</v>
      </c>
      <c r="E70" s="6" t="s">
        <v>200</v>
      </c>
      <c r="F70" s="6" t="s">
        <v>201</v>
      </c>
      <c r="G70" s="4" t="s">
        <v>2823</v>
      </c>
      <c r="H70" s="4" t="s">
        <v>2924</v>
      </c>
      <c r="I70" s="6" t="s">
        <v>202</v>
      </c>
      <c r="J70" s="6" t="s">
        <v>31</v>
      </c>
      <c r="K70" s="12">
        <f>_xlfn.XLOOKUP(B70,[1]Sheet1!$B:$B,[1]Sheet1!$N:$N,0)</f>
        <v>0</v>
      </c>
      <c r="L70" s="12">
        <f>_xlfn.XLOOKUP(B70,[1]Sheet1!$B:$B,[1]Sheet1!$O:$O,0)</f>
        <v>0</v>
      </c>
      <c r="M70" s="12">
        <f>_xlfn.XLOOKUP(B70,[1]Sheet1!$B:$B,[1]Sheet1!$P:$P,0)</f>
        <v>0</v>
      </c>
      <c r="N70" s="12">
        <f>_xlfn.XLOOKUP(B70,[1]Sheet1!$B:$B,[1]Sheet1!$Q:$Q,0)</f>
        <v>0</v>
      </c>
      <c r="O70" s="12">
        <f>_xlfn.XLOOKUP(B70,[1]Sheet1!$B:$B,[1]Sheet1!$R:$R,0)</f>
        <v>0</v>
      </c>
      <c r="P70" s="12">
        <f>_xlfn.XLOOKUP(B70,[1]Sheet1!$B:$B,[1]Sheet1!$S:$S,0)</f>
        <v>0</v>
      </c>
      <c r="Q70" s="12">
        <f>_xlfn.XLOOKUP(B70,[1]Sheet1!$B:$B,[1]Sheet1!$T:$T,0)</f>
        <v>0</v>
      </c>
      <c r="R70" s="12">
        <f>_xlfn.XLOOKUP(B70,[1]Sheet1!$B:$B,[1]Sheet1!$U:$U,0)</f>
        <v>0</v>
      </c>
      <c r="S70" s="12">
        <f>_xlfn.XLOOKUP(B70,[1]Sheet1!$B:$B,[1]Sheet1!$V:$V,0)</f>
        <v>0</v>
      </c>
      <c r="T70" s="12">
        <f>_xlfn.XLOOKUP(B70,[1]Sheet1!$B:$B,[1]Sheet1!$W:$W,0)</f>
        <v>0</v>
      </c>
      <c r="U70" s="12">
        <f>_xlfn.XLOOKUP(B70,[1]Sheet1!$B:$B,[1]Sheet1!$X:$X,0)</f>
        <v>0</v>
      </c>
      <c r="V70" s="12">
        <f>_xlfn.XLOOKUP(B70,[1]Sheet1!$B:$B,[1]Sheet1!$Y:$Y,0)</f>
        <v>0</v>
      </c>
      <c r="W70" s="12">
        <f t="shared" si="5"/>
        <v>0</v>
      </c>
      <c r="X70" s="6" t="s">
        <v>203</v>
      </c>
      <c r="Y70" s="6" t="s">
        <v>132</v>
      </c>
      <c r="Z70" s="6" t="s">
        <v>133</v>
      </c>
      <c r="AA70" s="6" t="s">
        <v>202</v>
      </c>
      <c r="AB70" s="6" t="s">
        <v>204</v>
      </c>
      <c r="AC70" s="6" t="s">
        <v>205</v>
      </c>
      <c r="AD70" s="6" t="s">
        <v>135</v>
      </c>
      <c r="AE70" s="6" t="s">
        <v>39</v>
      </c>
      <c r="AF70" s="6" t="s">
        <v>40</v>
      </c>
      <c r="AG70" s="7">
        <v>2343085</v>
      </c>
      <c r="AH70" s="11">
        <f>_xlfn.XLOOKUP(B70,[1]Sheet1!$B:$B,[1]Sheet1!$AB:$AB,0)</f>
        <v>0</v>
      </c>
    </row>
    <row r="71" spans="2:34" ht="16.8" thickTop="1" thickBot="1" x14ac:dyDescent="0.35">
      <c r="B71" s="3" t="str">
        <f t="shared" si="4"/>
        <v>45154004511000175Design &amp; Build-N424221200104</v>
      </c>
      <c r="C71" s="8" t="s">
        <v>213</v>
      </c>
      <c r="D71" s="8" t="s">
        <v>206</v>
      </c>
      <c r="E71" s="8" t="s">
        <v>207</v>
      </c>
      <c r="F71" s="8" t="s">
        <v>208</v>
      </c>
      <c r="G71" s="4" t="s">
        <v>2824</v>
      </c>
      <c r="H71" s="4" t="s">
        <v>2922</v>
      </c>
      <c r="I71" s="8" t="s">
        <v>209</v>
      </c>
      <c r="J71" s="8" t="s">
        <v>31</v>
      </c>
      <c r="K71" s="12">
        <f>_xlfn.XLOOKUP(B71,[1]Sheet1!$B:$B,[1]Sheet1!$N:$N,0)</f>
        <v>0</v>
      </c>
      <c r="L71" s="12">
        <f>_xlfn.XLOOKUP(B71,[1]Sheet1!$B:$B,[1]Sheet1!$O:$O,0)</f>
        <v>0</v>
      </c>
      <c r="M71" s="12">
        <f>_xlfn.XLOOKUP(B71,[1]Sheet1!$B:$B,[1]Sheet1!$P:$P,0)</f>
        <v>0</v>
      </c>
      <c r="N71" s="12">
        <f>_xlfn.XLOOKUP(B71,[1]Sheet1!$B:$B,[1]Sheet1!$Q:$Q,0)</f>
        <v>0</v>
      </c>
      <c r="O71" s="12">
        <f>_xlfn.XLOOKUP(B71,[1]Sheet1!$B:$B,[1]Sheet1!$R:$R,0)</f>
        <v>0</v>
      </c>
      <c r="P71" s="12">
        <f>_xlfn.XLOOKUP(B71,[1]Sheet1!$B:$B,[1]Sheet1!$S:$S,0)</f>
        <v>0</v>
      </c>
      <c r="Q71" s="12">
        <f>_xlfn.XLOOKUP(B71,[1]Sheet1!$B:$B,[1]Sheet1!$T:$T,0)</f>
        <v>0</v>
      </c>
      <c r="R71" s="12">
        <f>_xlfn.XLOOKUP(B71,[1]Sheet1!$B:$B,[1]Sheet1!$U:$U,0)</f>
        <v>0</v>
      </c>
      <c r="S71" s="12">
        <f>_xlfn.XLOOKUP(B71,[1]Sheet1!$B:$B,[1]Sheet1!$V:$V,0)</f>
        <v>2600000</v>
      </c>
      <c r="T71" s="12">
        <f>_xlfn.XLOOKUP(B71,[1]Sheet1!$B:$B,[1]Sheet1!$W:$W,0)</f>
        <v>0</v>
      </c>
      <c r="U71" s="12">
        <f>_xlfn.XLOOKUP(B71,[1]Sheet1!$B:$B,[1]Sheet1!$X:$X,0)</f>
        <v>0</v>
      </c>
      <c r="V71" s="12">
        <f>_xlfn.XLOOKUP(B71,[1]Sheet1!$B:$B,[1]Sheet1!$Y:$Y,0)</f>
        <v>0</v>
      </c>
      <c r="W71" s="12">
        <f t="shared" si="5"/>
        <v>2600000</v>
      </c>
      <c r="X71" s="8" t="s">
        <v>210</v>
      </c>
      <c r="Y71" s="8" t="s">
        <v>211</v>
      </c>
      <c r="Z71" s="8" t="s">
        <v>212</v>
      </c>
      <c r="AA71" s="8" t="s">
        <v>209</v>
      </c>
      <c r="AB71" s="8" t="s">
        <v>36</v>
      </c>
      <c r="AC71" s="8" t="s">
        <v>37</v>
      </c>
      <c r="AD71" s="8" t="s">
        <v>214</v>
      </c>
      <c r="AE71" s="8" t="s">
        <v>39</v>
      </c>
      <c r="AF71" s="8" t="s">
        <v>40</v>
      </c>
      <c r="AG71" s="9">
        <v>2600000</v>
      </c>
      <c r="AH71" s="11">
        <f>_xlfn.XLOOKUP(B71,[1]Sheet1!$B:$B,[1]Sheet1!$AB:$AB,0)</f>
        <v>2600000</v>
      </c>
    </row>
    <row r="72" spans="2:34" ht="16.8" thickTop="1" thickBot="1" x14ac:dyDescent="0.35">
      <c r="B72" s="3" t="str">
        <f t="shared" si="4"/>
        <v>45154004511000175Hospitality-N424761200104</v>
      </c>
      <c r="C72" s="6" t="s">
        <v>213</v>
      </c>
      <c r="D72" s="6" t="s">
        <v>206</v>
      </c>
      <c r="E72" s="6" t="s">
        <v>207</v>
      </c>
      <c r="F72" s="6" t="s">
        <v>83</v>
      </c>
      <c r="G72" s="4" t="s">
        <v>2811</v>
      </c>
      <c r="H72" s="4" t="s">
        <v>2922</v>
      </c>
      <c r="I72" s="6" t="s">
        <v>84</v>
      </c>
      <c r="J72" s="6" t="s">
        <v>31</v>
      </c>
      <c r="K72" s="12">
        <f>_xlfn.XLOOKUP(B72,[1]Sheet1!$B:$B,[1]Sheet1!$N:$N,0)</f>
        <v>0</v>
      </c>
      <c r="L72" s="12">
        <f>_xlfn.XLOOKUP(B72,[1]Sheet1!$B:$B,[1]Sheet1!$O:$O,0)</f>
        <v>0</v>
      </c>
      <c r="M72" s="12">
        <f>_xlfn.XLOOKUP(B72,[1]Sheet1!$B:$B,[1]Sheet1!$P:$P,0)</f>
        <v>0</v>
      </c>
      <c r="N72" s="12">
        <f>_xlfn.XLOOKUP(B72,[1]Sheet1!$B:$B,[1]Sheet1!$Q:$Q,0)</f>
        <v>0</v>
      </c>
      <c r="O72" s="12">
        <f>_xlfn.XLOOKUP(B72,[1]Sheet1!$B:$B,[1]Sheet1!$R:$R,0)</f>
        <v>0</v>
      </c>
      <c r="P72" s="12">
        <f>_xlfn.XLOOKUP(B72,[1]Sheet1!$B:$B,[1]Sheet1!$S:$S,0)</f>
        <v>0</v>
      </c>
      <c r="Q72" s="12">
        <f>_xlfn.XLOOKUP(B72,[1]Sheet1!$B:$B,[1]Sheet1!$T:$T,0)</f>
        <v>120000</v>
      </c>
      <c r="R72" s="12">
        <f>_xlfn.XLOOKUP(B72,[1]Sheet1!$B:$B,[1]Sheet1!$U:$U,0)</f>
        <v>0</v>
      </c>
      <c r="S72" s="12">
        <f>_xlfn.XLOOKUP(B72,[1]Sheet1!$B:$B,[1]Sheet1!$V:$V,0)</f>
        <v>0</v>
      </c>
      <c r="T72" s="12">
        <f>_xlfn.XLOOKUP(B72,[1]Sheet1!$B:$B,[1]Sheet1!$W:$W,0)</f>
        <v>0</v>
      </c>
      <c r="U72" s="12">
        <f>_xlfn.XLOOKUP(B72,[1]Sheet1!$B:$B,[1]Sheet1!$X:$X,0)</f>
        <v>0</v>
      </c>
      <c r="V72" s="12">
        <f>_xlfn.XLOOKUP(B72,[1]Sheet1!$B:$B,[1]Sheet1!$Y:$Y,0)</f>
        <v>0</v>
      </c>
      <c r="W72" s="12">
        <f t="shared" si="5"/>
        <v>120000</v>
      </c>
      <c r="X72" s="6" t="s">
        <v>215</v>
      </c>
      <c r="Y72" s="6" t="s">
        <v>211</v>
      </c>
      <c r="Z72" s="6" t="s">
        <v>212</v>
      </c>
      <c r="AA72" s="6" t="s">
        <v>84</v>
      </c>
      <c r="AB72" s="6" t="s">
        <v>36</v>
      </c>
      <c r="AC72" s="6" t="s">
        <v>37</v>
      </c>
      <c r="AD72" s="6" t="s">
        <v>214</v>
      </c>
      <c r="AE72" s="6" t="s">
        <v>39</v>
      </c>
      <c r="AF72" s="6" t="s">
        <v>40</v>
      </c>
      <c r="AG72" s="7">
        <v>120000</v>
      </c>
      <c r="AH72" s="11">
        <f>_xlfn.XLOOKUP(B72,[1]Sheet1!$B:$B,[1]Sheet1!$AB:$AB,0)</f>
        <v>120000</v>
      </c>
    </row>
    <row r="73" spans="2:34" ht="16.8" thickTop="1" thickBot="1" x14ac:dyDescent="0.35">
      <c r="B73" s="3" t="str">
        <f t="shared" si="4"/>
        <v>45154004511000175Mission &amp; Travel-N423821200104</v>
      </c>
      <c r="C73" s="8" t="s">
        <v>213</v>
      </c>
      <c r="D73" s="8" t="s">
        <v>206</v>
      </c>
      <c r="E73" s="8" t="s">
        <v>207</v>
      </c>
      <c r="F73" s="8" t="s">
        <v>54</v>
      </c>
      <c r="G73" s="4" t="s">
        <v>2805</v>
      </c>
      <c r="H73" s="4" t="s">
        <v>2922</v>
      </c>
      <c r="I73" s="8" t="s">
        <v>55</v>
      </c>
      <c r="J73" s="8" t="s">
        <v>31</v>
      </c>
      <c r="K73" s="12">
        <f>_xlfn.XLOOKUP(B73,[1]Sheet1!$B:$B,[1]Sheet1!$N:$N,0)</f>
        <v>0</v>
      </c>
      <c r="L73" s="12">
        <f>_xlfn.XLOOKUP(B73,[1]Sheet1!$B:$B,[1]Sheet1!$O:$O,0)</f>
        <v>0</v>
      </c>
      <c r="M73" s="12">
        <f>_xlfn.XLOOKUP(B73,[1]Sheet1!$B:$B,[1]Sheet1!$P:$P,0)</f>
        <v>0</v>
      </c>
      <c r="N73" s="12">
        <f>_xlfn.XLOOKUP(B73,[1]Sheet1!$B:$B,[1]Sheet1!$Q:$Q,0)</f>
        <v>0</v>
      </c>
      <c r="O73" s="12">
        <f>_xlfn.XLOOKUP(B73,[1]Sheet1!$B:$B,[1]Sheet1!$R:$R,0)</f>
        <v>0</v>
      </c>
      <c r="P73" s="12">
        <f>_xlfn.XLOOKUP(B73,[1]Sheet1!$B:$B,[1]Sheet1!$S:$S,0)</f>
        <v>0</v>
      </c>
      <c r="Q73" s="12">
        <f>_xlfn.XLOOKUP(B73,[1]Sheet1!$B:$B,[1]Sheet1!$T:$T,0)</f>
        <v>190500</v>
      </c>
      <c r="R73" s="12">
        <f>_xlfn.XLOOKUP(B73,[1]Sheet1!$B:$B,[1]Sheet1!$U:$U,0)</f>
        <v>0</v>
      </c>
      <c r="S73" s="12">
        <f>_xlfn.XLOOKUP(B73,[1]Sheet1!$B:$B,[1]Sheet1!$V:$V,0)</f>
        <v>0</v>
      </c>
      <c r="T73" s="12">
        <f>_xlfn.XLOOKUP(B73,[1]Sheet1!$B:$B,[1]Sheet1!$W:$W,0)</f>
        <v>0</v>
      </c>
      <c r="U73" s="12">
        <f>_xlfn.XLOOKUP(B73,[1]Sheet1!$B:$B,[1]Sheet1!$X:$X,0)</f>
        <v>0</v>
      </c>
      <c r="V73" s="12">
        <f>_xlfn.XLOOKUP(B73,[1]Sheet1!$B:$B,[1]Sheet1!$Y:$Y,0)</f>
        <v>0</v>
      </c>
      <c r="W73" s="12">
        <f t="shared" si="5"/>
        <v>190500</v>
      </c>
      <c r="X73" s="8" t="s">
        <v>216</v>
      </c>
      <c r="Y73" s="8" t="s">
        <v>211</v>
      </c>
      <c r="Z73" s="8" t="s">
        <v>212</v>
      </c>
      <c r="AA73" s="8" t="s">
        <v>55</v>
      </c>
      <c r="AB73" s="8" t="s">
        <v>36</v>
      </c>
      <c r="AC73" s="8" t="s">
        <v>37</v>
      </c>
      <c r="AD73" s="8" t="s">
        <v>214</v>
      </c>
      <c r="AE73" s="8" t="s">
        <v>39</v>
      </c>
      <c r="AF73" s="8" t="s">
        <v>40</v>
      </c>
      <c r="AG73" s="9">
        <v>190500</v>
      </c>
      <c r="AH73" s="11">
        <f>_xlfn.XLOOKUP(B73,[1]Sheet1!$B:$B,[1]Sheet1!$AB:$AB,0)</f>
        <v>190500</v>
      </c>
    </row>
    <row r="74" spans="2:34" ht="16.8" thickTop="1" thickBot="1" x14ac:dyDescent="0.35">
      <c r="B74" s="3" t="str">
        <f t="shared" si="4"/>
        <v>45154004511000175Other Expenses-N424991200104</v>
      </c>
      <c r="C74" s="6" t="s">
        <v>213</v>
      </c>
      <c r="D74" s="6" t="s">
        <v>206</v>
      </c>
      <c r="E74" s="6" t="s">
        <v>207</v>
      </c>
      <c r="F74" s="6" t="s">
        <v>57</v>
      </c>
      <c r="G74" s="4" t="s">
        <v>2806</v>
      </c>
      <c r="H74" s="4" t="s">
        <v>2922</v>
      </c>
      <c r="I74" s="6" t="s">
        <v>58</v>
      </c>
      <c r="J74" s="6" t="s">
        <v>31</v>
      </c>
      <c r="K74" s="12">
        <f>_xlfn.XLOOKUP(B74,[1]Sheet1!$B:$B,[1]Sheet1!$N:$N,0)</f>
        <v>0</v>
      </c>
      <c r="L74" s="12">
        <f>_xlfn.XLOOKUP(B74,[1]Sheet1!$B:$B,[1]Sheet1!$O:$O,0)</f>
        <v>0</v>
      </c>
      <c r="M74" s="12">
        <f>_xlfn.XLOOKUP(B74,[1]Sheet1!$B:$B,[1]Sheet1!$P:$P,0)</f>
        <v>0</v>
      </c>
      <c r="N74" s="12">
        <f>_xlfn.XLOOKUP(B74,[1]Sheet1!$B:$B,[1]Sheet1!$Q:$Q,0)</f>
        <v>0</v>
      </c>
      <c r="O74" s="12">
        <f>_xlfn.XLOOKUP(B74,[1]Sheet1!$B:$B,[1]Sheet1!$R:$R,0)</f>
        <v>0</v>
      </c>
      <c r="P74" s="12">
        <f>_xlfn.XLOOKUP(B74,[1]Sheet1!$B:$B,[1]Sheet1!$S:$S,0)</f>
        <v>0</v>
      </c>
      <c r="Q74" s="12">
        <f>_xlfn.XLOOKUP(B74,[1]Sheet1!$B:$B,[1]Sheet1!$T:$T,0)</f>
        <v>280000</v>
      </c>
      <c r="R74" s="12">
        <f>_xlfn.XLOOKUP(B74,[1]Sheet1!$B:$B,[1]Sheet1!$U:$U,0)</f>
        <v>0</v>
      </c>
      <c r="S74" s="12">
        <f>_xlfn.XLOOKUP(B74,[1]Sheet1!$B:$B,[1]Sheet1!$V:$V,0)</f>
        <v>0</v>
      </c>
      <c r="T74" s="12">
        <f>_xlfn.XLOOKUP(B74,[1]Sheet1!$B:$B,[1]Sheet1!$W:$W,0)</f>
        <v>0</v>
      </c>
      <c r="U74" s="12">
        <f>_xlfn.XLOOKUP(B74,[1]Sheet1!$B:$B,[1]Sheet1!$X:$X,0)</f>
        <v>0</v>
      </c>
      <c r="V74" s="12">
        <f>_xlfn.XLOOKUP(B74,[1]Sheet1!$B:$B,[1]Sheet1!$Y:$Y,0)</f>
        <v>0</v>
      </c>
      <c r="W74" s="12">
        <f t="shared" si="5"/>
        <v>280000</v>
      </c>
      <c r="X74" s="6" t="s">
        <v>217</v>
      </c>
      <c r="Y74" s="6" t="s">
        <v>211</v>
      </c>
      <c r="Z74" s="6" t="s">
        <v>212</v>
      </c>
      <c r="AA74" s="6" t="s">
        <v>58</v>
      </c>
      <c r="AB74" s="6" t="s">
        <v>36</v>
      </c>
      <c r="AC74" s="6" t="s">
        <v>37</v>
      </c>
      <c r="AD74" s="6" t="s">
        <v>214</v>
      </c>
      <c r="AE74" s="6" t="s">
        <v>39</v>
      </c>
      <c r="AF74" s="6" t="s">
        <v>40</v>
      </c>
      <c r="AG74" s="7">
        <v>280000</v>
      </c>
      <c r="AH74" s="11">
        <f>_xlfn.XLOOKUP(B74,[1]Sheet1!$B:$B,[1]Sheet1!$AB:$AB,0)</f>
        <v>280000</v>
      </c>
    </row>
    <row r="75" spans="2:34" ht="16.8" thickTop="1" thickBot="1" x14ac:dyDescent="0.35">
      <c r="B75" s="3" t="str">
        <f t="shared" si="4"/>
        <v>45154004511000175Venue&amp;Room Rent-N422401200104</v>
      </c>
      <c r="C75" s="8" t="s">
        <v>213</v>
      </c>
      <c r="D75" s="8" t="s">
        <v>206</v>
      </c>
      <c r="E75" s="8" t="s">
        <v>207</v>
      </c>
      <c r="F75" s="8" t="s">
        <v>218</v>
      </c>
      <c r="G75" s="4" t="s">
        <v>2807</v>
      </c>
      <c r="H75" s="4" t="s">
        <v>2922</v>
      </c>
      <c r="I75" s="8" t="s">
        <v>63</v>
      </c>
      <c r="J75" s="8" t="s">
        <v>31</v>
      </c>
      <c r="K75" s="12">
        <f>_xlfn.XLOOKUP(B75,[1]Sheet1!$B:$B,[1]Sheet1!$N:$N,0)</f>
        <v>0</v>
      </c>
      <c r="L75" s="12">
        <f>_xlfn.XLOOKUP(B75,[1]Sheet1!$B:$B,[1]Sheet1!$O:$O,0)</f>
        <v>0</v>
      </c>
      <c r="M75" s="12">
        <f>_xlfn.XLOOKUP(B75,[1]Sheet1!$B:$B,[1]Sheet1!$P:$P,0)</f>
        <v>0</v>
      </c>
      <c r="N75" s="12">
        <f>_xlfn.XLOOKUP(B75,[1]Sheet1!$B:$B,[1]Sheet1!$Q:$Q,0)</f>
        <v>1600000</v>
      </c>
      <c r="O75" s="12">
        <f>_xlfn.XLOOKUP(B75,[1]Sheet1!$B:$B,[1]Sheet1!$R:$R,0)</f>
        <v>0</v>
      </c>
      <c r="P75" s="12">
        <f>_xlfn.XLOOKUP(B75,[1]Sheet1!$B:$B,[1]Sheet1!$S:$S,0)</f>
        <v>0</v>
      </c>
      <c r="Q75" s="12">
        <f>_xlfn.XLOOKUP(B75,[1]Sheet1!$B:$B,[1]Sheet1!$T:$T,0)</f>
        <v>0</v>
      </c>
      <c r="R75" s="12">
        <f>_xlfn.XLOOKUP(B75,[1]Sheet1!$B:$B,[1]Sheet1!$U:$U,0)</f>
        <v>0</v>
      </c>
      <c r="S75" s="12">
        <f>_xlfn.XLOOKUP(B75,[1]Sheet1!$B:$B,[1]Sheet1!$V:$V,0)</f>
        <v>0</v>
      </c>
      <c r="T75" s="12">
        <f>_xlfn.XLOOKUP(B75,[1]Sheet1!$B:$B,[1]Sheet1!$W:$W,0)</f>
        <v>0</v>
      </c>
      <c r="U75" s="12">
        <f>_xlfn.XLOOKUP(B75,[1]Sheet1!$B:$B,[1]Sheet1!$X:$X,0)</f>
        <v>0</v>
      </c>
      <c r="V75" s="12">
        <f>_xlfn.XLOOKUP(B75,[1]Sheet1!$B:$B,[1]Sheet1!$Y:$Y,0)</f>
        <v>0</v>
      </c>
      <c r="W75" s="12">
        <f t="shared" si="5"/>
        <v>1600000</v>
      </c>
      <c r="X75" s="8" t="s">
        <v>219</v>
      </c>
      <c r="Y75" s="8" t="s">
        <v>211</v>
      </c>
      <c r="Z75" s="8" t="s">
        <v>212</v>
      </c>
      <c r="AA75" s="8" t="s">
        <v>68</v>
      </c>
      <c r="AB75" s="8" t="s">
        <v>36</v>
      </c>
      <c r="AC75" s="8" t="s">
        <v>37</v>
      </c>
      <c r="AD75" s="8" t="s">
        <v>214</v>
      </c>
      <c r="AE75" s="8" t="s">
        <v>39</v>
      </c>
      <c r="AF75" s="8" t="s">
        <v>40</v>
      </c>
      <c r="AG75" s="9">
        <v>1600000</v>
      </c>
      <c r="AH75" s="11">
        <f>_xlfn.XLOOKUP(B75,[1]Sheet1!$B:$B,[1]Sheet1!$AB:$AB,0)</f>
        <v>1600000</v>
      </c>
    </row>
    <row r="76" spans="2:34" ht="16.8" thickTop="1" thickBot="1" x14ac:dyDescent="0.35">
      <c r="B76" s="3" t="str">
        <f t="shared" si="4"/>
        <v>45101104511000181Admin Expenses-N421125200104</v>
      </c>
      <c r="C76" s="6" t="s">
        <v>224</v>
      </c>
      <c r="D76" s="6" t="s">
        <v>220</v>
      </c>
      <c r="E76" s="6" t="s">
        <v>221</v>
      </c>
      <c r="F76" s="6" t="s">
        <v>130</v>
      </c>
      <c r="G76" s="4" t="s">
        <v>2803</v>
      </c>
      <c r="H76" s="4" t="s">
        <v>2922</v>
      </c>
      <c r="I76" s="6" t="s">
        <v>44</v>
      </c>
      <c r="J76" s="6" t="s">
        <v>31</v>
      </c>
      <c r="K76" s="12">
        <f>_xlfn.XLOOKUP(B76,[1]Sheet1!$B:$B,[1]Sheet1!$N:$N,0)</f>
        <v>0</v>
      </c>
      <c r="L76" s="12">
        <f>_xlfn.XLOOKUP(B76,[1]Sheet1!$B:$B,[1]Sheet1!$O:$O,0)</f>
        <v>0</v>
      </c>
      <c r="M76" s="12">
        <f>_xlfn.XLOOKUP(B76,[1]Sheet1!$B:$B,[1]Sheet1!$P:$P,0)</f>
        <v>0</v>
      </c>
      <c r="N76" s="12">
        <f>_xlfn.XLOOKUP(B76,[1]Sheet1!$B:$B,[1]Sheet1!$Q:$Q,0)</f>
        <v>38455</v>
      </c>
      <c r="O76" s="12">
        <f>_xlfn.XLOOKUP(B76,[1]Sheet1!$B:$B,[1]Sheet1!$R:$R,0)</f>
        <v>3000</v>
      </c>
      <c r="P76" s="12">
        <f>_xlfn.XLOOKUP(B76,[1]Sheet1!$B:$B,[1]Sheet1!$S:$S,0)</f>
        <v>3317.28</v>
      </c>
      <c r="Q76" s="12">
        <f>_xlfn.XLOOKUP(B76,[1]Sheet1!$B:$B,[1]Sheet1!$T:$T,0)</f>
        <v>77318.540000000008</v>
      </c>
      <c r="R76" s="12">
        <f>_xlfn.XLOOKUP(B76,[1]Sheet1!$B:$B,[1]Sheet1!$U:$U,0)</f>
        <v>22550</v>
      </c>
      <c r="S76" s="12">
        <f>_xlfn.XLOOKUP(B76,[1]Sheet1!$B:$B,[1]Sheet1!$V:$V,0)</f>
        <v>4475.119999999999</v>
      </c>
      <c r="T76" s="12">
        <f>_xlfn.XLOOKUP(B76,[1]Sheet1!$B:$B,[1]Sheet1!$W:$W,0)</f>
        <v>28659.439999999999</v>
      </c>
      <c r="U76" s="12">
        <f>_xlfn.XLOOKUP(B76,[1]Sheet1!$B:$B,[1]Sheet1!$X:$X,0)</f>
        <v>1409112.31</v>
      </c>
      <c r="V76" s="12">
        <f>_xlfn.XLOOKUP(B76,[1]Sheet1!$B:$B,[1]Sheet1!$Y:$Y,0)</f>
        <v>1413112.31</v>
      </c>
      <c r="W76" s="12">
        <f t="shared" si="5"/>
        <v>3000000</v>
      </c>
      <c r="X76" s="6" t="s">
        <v>222</v>
      </c>
      <c r="Y76" s="6" t="s">
        <v>33</v>
      </c>
      <c r="Z76" s="6" t="s">
        <v>223</v>
      </c>
      <c r="AA76" s="6" t="s">
        <v>44</v>
      </c>
      <c r="AB76" s="6" t="s">
        <v>36</v>
      </c>
      <c r="AC76" s="6" t="s">
        <v>37</v>
      </c>
      <c r="AD76" s="6" t="s">
        <v>38</v>
      </c>
      <c r="AE76" s="6" t="s">
        <v>39</v>
      </c>
      <c r="AF76" s="6" t="s">
        <v>40</v>
      </c>
      <c r="AG76" s="7">
        <v>3000000</v>
      </c>
      <c r="AH76" s="11">
        <f>_xlfn.XLOOKUP(B76,[1]Sheet1!$B:$B,[1]Sheet1!$AB:$AB,0)</f>
        <v>3000000</v>
      </c>
    </row>
    <row r="77" spans="2:34" ht="16.8" thickTop="1" thickBot="1" x14ac:dyDescent="0.35">
      <c r="B77" s="3" t="str">
        <f t="shared" si="4"/>
        <v>45100114511000181CAPEX Management-N1491811300105</v>
      </c>
      <c r="C77" s="8" t="s">
        <v>35</v>
      </c>
      <c r="D77" s="8" t="s">
        <v>220</v>
      </c>
      <c r="E77" s="8" t="s">
        <v>221</v>
      </c>
      <c r="F77" s="8" t="s">
        <v>225</v>
      </c>
      <c r="G77" s="4" t="s">
        <v>2825</v>
      </c>
      <c r="H77" s="4" t="s">
        <v>2923</v>
      </c>
      <c r="I77" s="8" t="s">
        <v>226</v>
      </c>
      <c r="J77" s="8" t="s">
        <v>31</v>
      </c>
      <c r="K77" s="12">
        <f>_xlfn.XLOOKUP(B77,[1]Sheet1!$B:$B,[1]Sheet1!$N:$N,0)</f>
        <v>0</v>
      </c>
      <c r="L77" s="12">
        <f>_xlfn.XLOOKUP(B77,[1]Sheet1!$B:$B,[1]Sheet1!$O:$O,0)</f>
        <v>0</v>
      </c>
      <c r="M77" s="12">
        <f>_xlfn.XLOOKUP(B77,[1]Sheet1!$B:$B,[1]Sheet1!$P:$P,0)</f>
        <v>0</v>
      </c>
      <c r="N77" s="12">
        <f>_xlfn.XLOOKUP(B77,[1]Sheet1!$B:$B,[1]Sheet1!$Q:$Q,0)</f>
        <v>0</v>
      </c>
      <c r="O77" s="12">
        <f>_xlfn.XLOOKUP(B77,[1]Sheet1!$B:$B,[1]Sheet1!$R:$R,0)</f>
        <v>0</v>
      </c>
      <c r="P77" s="12">
        <f>_xlfn.XLOOKUP(B77,[1]Sheet1!$B:$B,[1]Sheet1!$S:$S,0)</f>
        <v>0</v>
      </c>
      <c r="Q77" s="12">
        <f>_xlfn.XLOOKUP(B77,[1]Sheet1!$B:$B,[1]Sheet1!$T:$T,0)</f>
        <v>0</v>
      </c>
      <c r="R77" s="12">
        <f>_xlfn.XLOOKUP(B77,[1]Sheet1!$B:$B,[1]Sheet1!$U:$U,0)</f>
        <v>0</v>
      </c>
      <c r="S77" s="12">
        <f>_xlfn.XLOOKUP(B77,[1]Sheet1!$B:$B,[1]Sheet1!$V:$V,0)</f>
        <v>0</v>
      </c>
      <c r="T77" s="12">
        <f>_xlfn.XLOOKUP(B77,[1]Sheet1!$B:$B,[1]Sheet1!$W:$W,0)</f>
        <v>0</v>
      </c>
      <c r="U77" s="12">
        <f>_xlfn.XLOOKUP(B77,[1]Sheet1!$B:$B,[1]Sheet1!$X:$X,0)</f>
        <v>0</v>
      </c>
      <c r="V77" s="12">
        <f>_xlfn.XLOOKUP(B77,[1]Sheet1!$B:$B,[1]Sheet1!$Y:$Y,0)</f>
        <v>2237470</v>
      </c>
      <c r="W77" s="12">
        <f t="shared" si="5"/>
        <v>2237470</v>
      </c>
      <c r="X77" s="8" t="s">
        <v>227</v>
      </c>
      <c r="Y77" s="8" t="s">
        <v>33</v>
      </c>
      <c r="Z77" s="8" t="s">
        <v>34</v>
      </c>
      <c r="AA77" s="8" t="s">
        <v>228</v>
      </c>
      <c r="AB77" s="8" t="s">
        <v>93</v>
      </c>
      <c r="AC77" s="8" t="s">
        <v>94</v>
      </c>
      <c r="AD77" s="8" t="s">
        <v>38</v>
      </c>
      <c r="AE77" s="8" t="s">
        <v>39</v>
      </c>
      <c r="AF77" s="8" t="s">
        <v>40</v>
      </c>
      <c r="AG77" s="9">
        <v>2116604</v>
      </c>
      <c r="AH77" s="11">
        <f>_xlfn.XLOOKUP(B77,[1]Sheet1!$B:$B,[1]Sheet1!$AB:$AB,0)</f>
        <v>2116604</v>
      </c>
    </row>
    <row r="78" spans="2:34" ht="16.8" thickTop="1" thickBot="1" x14ac:dyDescent="0.35">
      <c r="B78" s="3" t="str">
        <f t="shared" si="4"/>
        <v>45101104511000181Freelancers-N424521200104</v>
      </c>
      <c r="C78" s="6" t="s">
        <v>224</v>
      </c>
      <c r="D78" s="6" t="s">
        <v>220</v>
      </c>
      <c r="E78" s="6" t="s">
        <v>221</v>
      </c>
      <c r="F78" s="6" t="s">
        <v>50</v>
      </c>
      <c r="G78" s="4" t="s">
        <v>2804</v>
      </c>
      <c r="H78" s="4" t="s">
        <v>2922</v>
      </c>
      <c r="I78" s="6" t="s">
        <v>51</v>
      </c>
      <c r="J78" s="6" t="s">
        <v>31</v>
      </c>
      <c r="K78" s="12">
        <f>_xlfn.XLOOKUP(B78,[1]Sheet1!$B:$B,[1]Sheet1!$N:$N,0)</f>
        <v>502000</v>
      </c>
      <c r="L78" s="12">
        <f>_xlfn.XLOOKUP(B78,[1]Sheet1!$B:$B,[1]Sheet1!$O:$O,0)</f>
        <v>502000</v>
      </c>
      <c r="M78" s="12">
        <f>_xlfn.XLOOKUP(B78,[1]Sheet1!$B:$B,[1]Sheet1!$P:$P,0)</f>
        <v>373000</v>
      </c>
      <c r="N78" s="12">
        <f>_xlfn.XLOOKUP(B78,[1]Sheet1!$B:$B,[1]Sheet1!$Q:$Q,0)</f>
        <v>4607000</v>
      </c>
      <c r="O78" s="12">
        <f>_xlfn.XLOOKUP(B78,[1]Sheet1!$B:$B,[1]Sheet1!$R:$R,0)</f>
        <v>502000</v>
      </c>
      <c r="P78" s="12">
        <f>_xlfn.XLOOKUP(B78,[1]Sheet1!$B:$B,[1]Sheet1!$S:$S,0)</f>
        <v>502000</v>
      </c>
      <c r="Q78" s="12">
        <f>_xlfn.XLOOKUP(B78,[1]Sheet1!$B:$B,[1]Sheet1!$T:$T,0)</f>
        <v>502000</v>
      </c>
      <c r="R78" s="12">
        <f>_xlfn.XLOOKUP(B78,[1]Sheet1!$B:$B,[1]Sheet1!$U:$U,0)</f>
        <v>502000</v>
      </c>
      <c r="S78" s="12">
        <f>_xlfn.XLOOKUP(B78,[1]Sheet1!$B:$B,[1]Sheet1!$V:$V,0)</f>
        <v>502000</v>
      </c>
      <c r="T78" s="12">
        <f>_xlfn.XLOOKUP(B78,[1]Sheet1!$B:$B,[1]Sheet1!$W:$W,0)</f>
        <v>502000</v>
      </c>
      <c r="U78" s="12">
        <f>_xlfn.XLOOKUP(B78,[1]Sheet1!$B:$B,[1]Sheet1!$X:$X,0)</f>
        <v>502000</v>
      </c>
      <c r="V78" s="12">
        <f>_xlfn.XLOOKUP(B78,[1]Sheet1!$B:$B,[1]Sheet1!$Y:$Y,0)</f>
        <v>502000</v>
      </c>
      <c r="W78" s="12">
        <f t="shared" si="5"/>
        <v>10000000</v>
      </c>
      <c r="X78" s="6" t="s">
        <v>229</v>
      </c>
      <c r="Y78" s="6" t="s">
        <v>33</v>
      </c>
      <c r="Z78" s="6" t="s">
        <v>223</v>
      </c>
      <c r="AA78" s="6" t="s">
        <v>53</v>
      </c>
      <c r="AB78" s="6" t="s">
        <v>36</v>
      </c>
      <c r="AC78" s="6" t="s">
        <v>37</v>
      </c>
      <c r="AD78" s="6" t="s">
        <v>38</v>
      </c>
      <c r="AE78" s="6" t="s">
        <v>39</v>
      </c>
      <c r="AF78" s="6" t="s">
        <v>40</v>
      </c>
      <c r="AG78" s="7">
        <v>4000000</v>
      </c>
      <c r="AH78" s="11">
        <f>_xlfn.XLOOKUP(B78,[1]Sheet1!$B:$B,[1]Sheet1!$AB:$AB,0)</f>
        <v>4000000</v>
      </c>
    </row>
    <row r="79" spans="2:34" ht="16.8" thickTop="1" thickBot="1" x14ac:dyDescent="0.35">
      <c r="B79" s="3" t="str">
        <f t="shared" si="4"/>
        <v>45101104511000181ManagementAdvice-N424521200104</v>
      </c>
      <c r="C79" s="8" t="s">
        <v>224</v>
      </c>
      <c r="D79" s="8" t="s">
        <v>220</v>
      </c>
      <c r="E79" s="8" t="s">
        <v>221</v>
      </c>
      <c r="F79" s="8" t="s">
        <v>230</v>
      </c>
      <c r="G79" s="4" t="s">
        <v>2804</v>
      </c>
      <c r="H79" s="4" t="s">
        <v>2922</v>
      </c>
      <c r="I79" s="8" t="s">
        <v>51</v>
      </c>
      <c r="J79" s="8" t="s">
        <v>31</v>
      </c>
      <c r="K79" s="12">
        <f>_xlfn.XLOOKUP(B79,[1]Sheet1!$B:$B,[1]Sheet1!$N:$N,0)</f>
        <v>0</v>
      </c>
      <c r="L79" s="12">
        <f>_xlfn.XLOOKUP(B79,[1]Sheet1!$B:$B,[1]Sheet1!$O:$O,0)</f>
        <v>0</v>
      </c>
      <c r="M79" s="12">
        <f>_xlfn.XLOOKUP(B79,[1]Sheet1!$B:$B,[1]Sheet1!$P:$P,0)</f>
        <v>0</v>
      </c>
      <c r="N79" s="12">
        <f>_xlfn.XLOOKUP(B79,[1]Sheet1!$B:$B,[1]Sheet1!$Q:$Q,0)</f>
        <v>0</v>
      </c>
      <c r="O79" s="12">
        <f>_xlfn.XLOOKUP(B79,[1]Sheet1!$B:$B,[1]Sheet1!$R:$R,0)</f>
        <v>32051376</v>
      </c>
      <c r="P79" s="12">
        <f>_xlfn.XLOOKUP(B79,[1]Sheet1!$B:$B,[1]Sheet1!$S:$S,0)</f>
        <v>0</v>
      </c>
      <c r="Q79" s="12">
        <f>_xlfn.XLOOKUP(B79,[1]Sheet1!$B:$B,[1]Sheet1!$T:$T,0)</f>
        <v>10000000</v>
      </c>
      <c r="R79" s="12">
        <f>_xlfn.XLOOKUP(B79,[1]Sheet1!$B:$B,[1]Sheet1!$U:$U,0)</f>
        <v>0</v>
      </c>
      <c r="S79" s="12">
        <f>_xlfn.XLOOKUP(B79,[1]Sheet1!$B:$B,[1]Sheet1!$V:$V,0)</f>
        <v>0</v>
      </c>
      <c r="T79" s="12">
        <f>_xlfn.XLOOKUP(B79,[1]Sheet1!$B:$B,[1]Sheet1!$W:$W,0)</f>
        <v>0</v>
      </c>
      <c r="U79" s="12">
        <f>_xlfn.XLOOKUP(B79,[1]Sheet1!$B:$B,[1]Sheet1!$X:$X,0)</f>
        <v>0</v>
      </c>
      <c r="V79" s="12">
        <f>_xlfn.XLOOKUP(B79,[1]Sheet1!$B:$B,[1]Sheet1!$Y:$Y,0)</f>
        <v>0</v>
      </c>
      <c r="W79" s="12">
        <f t="shared" si="5"/>
        <v>42051376</v>
      </c>
      <c r="X79" s="8" t="s">
        <v>229</v>
      </c>
      <c r="Y79" s="8" t="s">
        <v>33</v>
      </c>
      <c r="Z79" s="8" t="s">
        <v>223</v>
      </c>
      <c r="AA79" s="8" t="s">
        <v>53</v>
      </c>
      <c r="AB79" s="8" t="s">
        <v>36</v>
      </c>
      <c r="AC79" s="8" t="s">
        <v>37</v>
      </c>
      <c r="AD79" s="8" t="s">
        <v>38</v>
      </c>
      <c r="AE79" s="8" t="s">
        <v>39</v>
      </c>
      <c r="AF79" s="8" t="s">
        <v>40</v>
      </c>
      <c r="AG79" s="9">
        <v>58624458</v>
      </c>
      <c r="AH79" s="11">
        <f>_xlfn.XLOOKUP(B79,[1]Sheet1!$B:$B,[1]Sheet1!$AB:$AB,0)</f>
        <v>58624458</v>
      </c>
    </row>
    <row r="80" spans="2:34" ht="16.8" thickTop="1" thickBot="1" x14ac:dyDescent="0.35">
      <c r="B80" s="3" t="str">
        <f t="shared" si="4"/>
        <v>45101104511000181Mission &amp; Travel-N423821200104</v>
      </c>
      <c r="C80" s="6" t="s">
        <v>224</v>
      </c>
      <c r="D80" s="6" t="s">
        <v>220</v>
      </c>
      <c r="E80" s="6" t="s">
        <v>221</v>
      </c>
      <c r="F80" s="6" t="s">
        <v>54</v>
      </c>
      <c r="G80" s="4" t="s">
        <v>2805</v>
      </c>
      <c r="H80" s="4" t="s">
        <v>2922</v>
      </c>
      <c r="I80" s="6" t="s">
        <v>55</v>
      </c>
      <c r="J80" s="6" t="s">
        <v>31</v>
      </c>
      <c r="K80" s="12">
        <f>_xlfn.XLOOKUP(B80,[1]Sheet1!$B:$B,[1]Sheet1!$N:$N,0)</f>
        <v>0</v>
      </c>
      <c r="L80" s="12">
        <f>_xlfn.XLOOKUP(B80,[1]Sheet1!$B:$B,[1]Sheet1!$O:$O,0)</f>
        <v>0</v>
      </c>
      <c r="M80" s="12">
        <f>_xlfn.XLOOKUP(B80,[1]Sheet1!$B:$B,[1]Sheet1!$P:$P,0)</f>
        <v>800</v>
      </c>
      <c r="N80" s="12">
        <f>_xlfn.XLOOKUP(B80,[1]Sheet1!$B:$B,[1]Sheet1!$Q:$Q,0)</f>
        <v>53200</v>
      </c>
      <c r="O80" s="12">
        <f>_xlfn.XLOOKUP(B80,[1]Sheet1!$B:$B,[1]Sheet1!$R:$R,0)</f>
        <v>50000</v>
      </c>
      <c r="P80" s="12">
        <f>_xlfn.XLOOKUP(B80,[1]Sheet1!$B:$B,[1]Sheet1!$S:$S,0)</f>
        <v>184476</v>
      </c>
      <c r="Q80" s="12">
        <f>_xlfn.XLOOKUP(B80,[1]Sheet1!$B:$B,[1]Sheet1!$T:$T,0)</f>
        <v>57894</v>
      </c>
      <c r="R80" s="12">
        <f>_xlfn.XLOOKUP(B80,[1]Sheet1!$B:$B,[1]Sheet1!$U:$U,0)</f>
        <v>142658</v>
      </c>
      <c r="S80" s="12">
        <f>_xlfn.XLOOKUP(B80,[1]Sheet1!$B:$B,[1]Sheet1!$V:$V,0)</f>
        <v>10000</v>
      </c>
      <c r="T80" s="12">
        <f>_xlfn.XLOOKUP(B80,[1]Sheet1!$B:$B,[1]Sheet1!$W:$W,0)</f>
        <v>82231</v>
      </c>
      <c r="U80" s="12">
        <f>_xlfn.XLOOKUP(B80,[1]Sheet1!$B:$B,[1]Sheet1!$X:$X,0)</f>
        <v>311610</v>
      </c>
      <c r="V80" s="12">
        <f>_xlfn.XLOOKUP(B80,[1]Sheet1!$B:$B,[1]Sheet1!$Y:$Y,0)</f>
        <v>1107131</v>
      </c>
      <c r="W80" s="12">
        <f t="shared" si="5"/>
        <v>2000000</v>
      </c>
      <c r="X80" s="6" t="s">
        <v>231</v>
      </c>
      <c r="Y80" s="6" t="s">
        <v>33</v>
      </c>
      <c r="Z80" s="6" t="s">
        <v>223</v>
      </c>
      <c r="AA80" s="6" t="s">
        <v>55</v>
      </c>
      <c r="AB80" s="6" t="s">
        <v>36</v>
      </c>
      <c r="AC80" s="6" t="s">
        <v>37</v>
      </c>
      <c r="AD80" s="6" t="s">
        <v>38</v>
      </c>
      <c r="AE80" s="6" t="s">
        <v>39</v>
      </c>
      <c r="AF80" s="6" t="s">
        <v>40</v>
      </c>
      <c r="AG80" s="7">
        <v>2000000</v>
      </c>
      <c r="AH80" s="11">
        <f>_xlfn.XLOOKUP(B80,[1]Sheet1!$B:$B,[1]Sheet1!$AB:$AB,0)</f>
        <v>2000000</v>
      </c>
    </row>
    <row r="81" spans="2:34" ht="16.8" thickTop="1" thickBot="1" x14ac:dyDescent="0.35">
      <c r="B81" s="3" t="str">
        <f t="shared" si="4"/>
        <v>45100114511000181OPEX Management-N1422191200104</v>
      </c>
      <c r="C81" s="8" t="s">
        <v>35</v>
      </c>
      <c r="D81" s="8" t="s">
        <v>220</v>
      </c>
      <c r="E81" s="8" t="s">
        <v>221</v>
      </c>
      <c r="F81" s="8" t="s">
        <v>232</v>
      </c>
      <c r="G81" s="4" t="s">
        <v>2826</v>
      </c>
      <c r="H81" s="4" t="s">
        <v>2922</v>
      </c>
      <c r="I81" s="8" t="s">
        <v>233</v>
      </c>
      <c r="J81" s="8" t="s">
        <v>31</v>
      </c>
      <c r="K81" s="12">
        <f>_xlfn.XLOOKUP(B81,[1]Sheet1!$B:$B,[1]Sheet1!$N:$N,0)</f>
        <v>0</v>
      </c>
      <c r="L81" s="12">
        <f>_xlfn.XLOOKUP(B81,[1]Sheet1!$B:$B,[1]Sheet1!$O:$O,0)</f>
        <v>0</v>
      </c>
      <c r="M81" s="12">
        <f>_xlfn.XLOOKUP(B81,[1]Sheet1!$B:$B,[1]Sheet1!$P:$P,0)</f>
        <v>0</v>
      </c>
      <c r="N81" s="12">
        <f>_xlfn.XLOOKUP(B81,[1]Sheet1!$B:$B,[1]Sheet1!$Q:$Q,0)</f>
        <v>0</v>
      </c>
      <c r="O81" s="12">
        <f>_xlfn.XLOOKUP(B81,[1]Sheet1!$B:$B,[1]Sheet1!$R:$R,0)</f>
        <v>0</v>
      </c>
      <c r="P81" s="12">
        <f>_xlfn.XLOOKUP(B81,[1]Sheet1!$B:$B,[1]Sheet1!$S:$S,0)</f>
        <v>0</v>
      </c>
      <c r="Q81" s="12">
        <f>_xlfn.XLOOKUP(B81,[1]Sheet1!$B:$B,[1]Sheet1!$T:$T,0)</f>
        <v>0</v>
      </c>
      <c r="R81" s="12">
        <f>_xlfn.XLOOKUP(B81,[1]Sheet1!$B:$B,[1]Sheet1!$U:$U,0)</f>
        <v>0</v>
      </c>
      <c r="S81" s="12">
        <f>_xlfn.XLOOKUP(B81,[1]Sheet1!$B:$B,[1]Sheet1!$V:$V,0)</f>
        <v>0</v>
      </c>
      <c r="T81" s="12">
        <f>_xlfn.XLOOKUP(B81,[1]Sheet1!$B:$B,[1]Sheet1!$W:$W,0)</f>
        <v>0</v>
      </c>
      <c r="U81" s="12">
        <f>_xlfn.XLOOKUP(B81,[1]Sheet1!$B:$B,[1]Sheet1!$X:$X,0)</f>
        <v>0</v>
      </c>
      <c r="V81" s="12">
        <f>_xlfn.XLOOKUP(B81,[1]Sheet1!$B:$B,[1]Sheet1!$Y:$Y,0)</f>
        <v>70260105</v>
      </c>
      <c r="W81" s="12">
        <f t="shared" si="5"/>
        <v>70260105</v>
      </c>
      <c r="X81" s="8" t="s">
        <v>234</v>
      </c>
      <c r="Y81" s="8" t="s">
        <v>33</v>
      </c>
      <c r="Z81" s="8" t="s">
        <v>34</v>
      </c>
      <c r="AA81" s="8" t="s">
        <v>235</v>
      </c>
      <c r="AB81" s="8" t="s">
        <v>36</v>
      </c>
      <c r="AC81" s="8" t="s">
        <v>37</v>
      </c>
      <c r="AD81" s="8" t="s">
        <v>38</v>
      </c>
      <c r="AE81" s="8" t="s">
        <v>39</v>
      </c>
      <c r="AF81" s="8" t="s">
        <v>40</v>
      </c>
      <c r="AG81" s="9">
        <v>59488224.969999999</v>
      </c>
      <c r="AH81" s="11">
        <f>_xlfn.XLOOKUP(B81,[1]Sheet1!$B:$B,[1]Sheet1!$AB:$AB,0)</f>
        <v>59488225</v>
      </c>
    </row>
    <row r="82" spans="2:34" ht="16.8" thickTop="1" thickBot="1" x14ac:dyDescent="0.35">
      <c r="B82" s="3" t="str">
        <f t="shared" si="4"/>
        <v>45101104511000181Strategy Advice-N421123200104</v>
      </c>
      <c r="C82" s="6" t="s">
        <v>224</v>
      </c>
      <c r="D82" s="6" t="s">
        <v>220</v>
      </c>
      <c r="E82" s="6" t="s">
        <v>221</v>
      </c>
      <c r="F82" s="6" t="s">
        <v>236</v>
      </c>
      <c r="G82" s="4" t="s">
        <v>2827</v>
      </c>
      <c r="H82" s="4" t="s">
        <v>2922</v>
      </c>
      <c r="I82" s="6" t="s">
        <v>237</v>
      </c>
      <c r="J82" s="6" t="s">
        <v>31</v>
      </c>
      <c r="K82" s="12">
        <f>_xlfn.XLOOKUP(B82,[1]Sheet1!$B:$B,[1]Sheet1!$N:$N,0)</f>
        <v>0</v>
      </c>
      <c r="L82" s="12">
        <f>_xlfn.XLOOKUP(B82,[1]Sheet1!$B:$B,[1]Sheet1!$O:$O,0)</f>
        <v>0</v>
      </c>
      <c r="M82" s="12">
        <f>_xlfn.XLOOKUP(B82,[1]Sheet1!$B:$B,[1]Sheet1!$P:$P,0)</f>
        <v>0</v>
      </c>
      <c r="N82" s="12">
        <f>_xlfn.XLOOKUP(B82,[1]Sheet1!$B:$B,[1]Sheet1!$Q:$Q,0)</f>
        <v>0</v>
      </c>
      <c r="O82" s="12">
        <f>_xlfn.XLOOKUP(B82,[1]Sheet1!$B:$B,[1]Sheet1!$R:$R,0)</f>
        <v>0</v>
      </c>
      <c r="P82" s="12">
        <f>_xlfn.XLOOKUP(B82,[1]Sheet1!$B:$B,[1]Sheet1!$S:$S,0)</f>
        <v>0</v>
      </c>
      <c r="Q82" s="12">
        <f>_xlfn.XLOOKUP(B82,[1]Sheet1!$B:$B,[1]Sheet1!$T:$T,0)</f>
        <v>0</v>
      </c>
      <c r="R82" s="12">
        <f>_xlfn.XLOOKUP(B82,[1]Sheet1!$B:$B,[1]Sheet1!$U:$U,0)</f>
        <v>0</v>
      </c>
      <c r="S82" s="12">
        <f>_xlfn.XLOOKUP(B82,[1]Sheet1!$B:$B,[1]Sheet1!$V:$V,0)</f>
        <v>0</v>
      </c>
      <c r="T82" s="12">
        <f>_xlfn.XLOOKUP(B82,[1]Sheet1!$B:$B,[1]Sheet1!$W:$W,0)</f>
        <v>0</v>
      </c>
      <c r="U82" s="12">
        <f>_xlfn.XLOOKUP(B82,[1]Sheet1!$B:$B,[1]Sheet1!$X:$X,0)</f>
        <v>0</v>
      </c>
      <c r="V82" s="12">
        <f>_xlfn.XLOOKUP(B82,[1]Sheet1!$B:$B,[1]Sheet1!$Y:$Y,0)</f>
        <v>0</v>
      </c>
      <c r="W82" s="12">
        <f t="shared" si="5"/>
        <v>0</v>
      </c>
      <c r="X82" s="6" t="s">
        <v>238</v>
      </c>
      <c r="Y82" s="6" t="s">
        <v>33</v>
      </c>
      <c r="Z82" s="6" t="s">
        <v>223</v>
      </c>
      <c r="AA82" s="6" t="s">
        <v>237</v>
      </c>
      <c r="AB82" s="6" t="s">
        <v>36</v>
      </c>
      <c r="AC82" s="6" t="s">
        <v>37</v>
      </c>
      <c r="AD82" s="6" t="s">
        <v>38</v>
      </c>
      <c r="AE82" s="6" t="s">
        <v>39</v>
      </c>
      <c r="AF82" s="6" t="s">
        <v>40</v>
      </c>
      <c r="AG82" s="7">
        <v>4987500</v>
      </c>
      <c r="AH82" s="11">
        <f>_xlfn.XLOOKUP(B82,[1]Sheet1!$B:$B,[1]Sheet1!$AB:$AB,0)</f>
        <v>4987500</v>
      </c>
    </row>
    <row r="83" spans="2:34" ht="16.8" thickTop="1" thickBot="1" x14ac:dyDescent="0.35">
      <c r="B83" s="3" t="str">
        <f t="shared" si="4"/>
        <v>45101604511000184Freelancers-N424521200104</v>
      </c>
      <c r="C83" s="8" t="s">
        <v>244</v>
      </c>
      <c r="D83" s="8" t="s">
        <v>239</v>
      </c>
      <c r="E83" s="8" t="s">
        <v>240</v>
      </c>
      <c r="F83" s="8" t="s">
        <v>50</v>
      </c>
      <c r="G83" s="4" t="s">
        <v>2804</v>
      </c>
      <c r="H83" s="4" t="s">
        <v>2922</v>
      </c>
      <c r="I83" s="8" t="s">
        <v>51</v>
      </c>
      <c r="J83" s="8" t="s">
        <v>31</v>
      </c>
      <c r="K83" s="12">
        <f>_xlfn.XLOOKUP(B83,[1]Sheet1!$B:$B,[1]Sheet1!$N:$N,0)</f>
        <v>0</v>
      </c>
      <c r="L83" s="12">
        <f>_xlfn.XLOOKUP(B83,[1]Sheet1!$B:$B,[1]Sheet1!$O:$O,0)</f>
        <v>37000</v>
      </c>
      <c r="M83" s="12">
        <f>_xlfn.XLOOKUP(B83,[1]Sheet1!$B:$B,[1]Sheet1!$P:$P,0)</f>
        <v>118789.33000000002</v>
      </c>
      <c r="N83" s="12">
        <f>_xlfn.XLOOKUP(B83,[1]Sheet1!$B:$B,[1]Sheet1!$Q:$Q,0)</f>
        <v>0</v>
      </c>
      <c r="O83" s="12">
        <f>_xlfn.XLOOKUP(B83,[1]Sheet1!$B:$B,[1]Sheet1!$R:$R,0)</f>
        <v>127131</v>
      </c>
      <c r="P83" s="12">
        <f>_xlfn.XLOOKUP(B83,[1]Sheet1!$B:$B,[1]Sheet1!$S:$S,0)</f>
        <v>130960</v>
      </c>
      <c r="Q83" s="12">
        <f>_xlfn.XLOOKUP(B83,[1]Sheet1!$B:$B,[1]Sheet1!$T:$T,0)</f>
        <v>114000</v>
      </c>
      <c r="R83" s="12">
        <f>_xlfn.XLOOKUP(B83,[1]Sheet1!$B:$B,[1]Sheet1!$U:$U,0)</f>
        <v>114000</v>
      </c>
      <c r="S83" s="12">
        <f>_xlfn.XLOOKUP(B83,[1]Sheet1!$B:$B,[1]Sheet1!$V:$V,0)</f>
        <v>114000</v>
      </c>
      <c r="T83" s="12">
        <f>_xlfn.XLOOKUP(B83,[1]Sheet1!$B:$B,[1]Sheet1!$W:$W,0)</f>
        <v>114000</v>
      </c>
      <c r="U83" s="12">
        <f>_xlfn.XLOOKUP(B83,[1]Sheet1!$B:$B,[1]Sheet1!$X:$X,0)</f>
        <v>114000</v>
      </c>
      <c r="V83" s="12">
        <f>_xlfn.XLOOKUP(B83,[1]Sheet1!$B:$B,[1]Sheet1!$Y:$Y,0)</f>
        <v>228000</v>
      </c>
      <c r="W83" s="12">
        <f t="shared" si="5"/>
        <v>1211880.33</v>
      </c>
      <c r="X83" s="8" t="s">
        <v>241</v>
      </c>
      <c r="Y83" s="8" t="s">
        <v>242</v>
      </c>
      <c r="Z83" s="8" t="s">
        <v>243</v>
      </c>
      <c r="AA83" s="8" t="s">
        <v>53</v>
      </c>
      <c r="AB83" s="8" t="s">
        <v>36</v>
      </c>
      <c r="AC83" s="8" t="s">
        <v>37</v>
      </c>
      <c r="AD83" s="8" t="s">
        <v>245</v>
      </c>
      <c r="AE83" s="8" t="s">
        <v>39</v>
      </c>
      <c r="AF83" s="8" t="s">
        <v>40</v>
      </c>
      <c r="AG83" s="9">
        <v>629280</v>
      </c>
      <c r="AH83" s="11">
        <f>_xlfn.XLOOKUP(B83,[1]Sheet1!$B:$B,[1]Sheet1!$AB:$AB,0)</f>
        <v>629280.33000000007</v>
      </c>
    </row>
    <row r="84" spans="2:34" ht="16.8" thickTop="1" thickBot="1" x14ac:dyDescent="0.35">
      <c r="B84" s="3" t="str">
        <f t="shared" si="4"/>
        <v>45101604511000184Legal Advice-N421121200104</v>
      </c>
      <c r="C84" s="6" t="s">
        <v>244</v>
      </c>
      <c r="D84" s="6" t="s">
        <v>239</v>
      </c>
      <c r="E84" s="6" t="s">
        <v>240</v>
      </c>
      <c r="F84" s="6" t="s">
        <v>246</v>
      </c>
      <c r="G84" s="4" t="s">
        <v>2828</v>
      </c>
      <c r="H84" s="4" t="s">
        <v>2922</v>
      </c>
      <c r="I84" s="6" t="s">
        <v>247</v>
      </c>
      <c r="J84" s="6" t="s">
        <v>31</v>
      </c>
      <c r="K84" s="12">
        <f>_xlfn.XLOOKUP(B84,[1]Sheet1!$B:$B,[1]Sheet1!$N:$N,0)</f>
        <v>0</v>
      </c>
      <c r="L84" s="12">
        <f>_xlfn.XLOOKUP(B84,[1]Sheet1!$B:$B,[1]Sheet1!$O:$O,0)</f>
        <v>0</v>
      </c>
      <c r="M84" s="12">
        <f>_xlfn.XLOOKUP(B84,[1]Sheet1!$B:$B,[1]Sheet1!$P:$P,0)</f>
        <v>183224.88</v>
      </c>
      <c r="N84" s="12">
        <f>_xlfn.XLOOKUP(B84,[1]Sheet1!$B:$B,[1]Sheet1!$Q:$Q,0)</f>
        <v>264775.12</v>
      </c>
      <c r="O84" s="12">
        <f>_xlfn.XLOOKUP(B84,[1]Sheet1!$B:$B,[1]Sheet1!$R:$R,0)</f>
        <v>1048000</v>
      </c>
      <c r="P84" s="12">
        <f>_xlfn.XLOOKUP(B84,[1]Sheet1!$B:$B,[1]Sheet1!$S:$S,0)</f>
        <v>153000</v>
      </c>
      <c r="Q84" s="12">
        <f>_xlfn.XLOOKUP(B84,[1]Sheet1!$B:$B,[1]Sheet1!$T:$T,0)</f>
        <v>183000</v>
      </c>
      <c r="R84" s="12">
        <f>_xlfn.XLOOKUP(B84,[1]Sheet1!$B:$B,[1]Sheet1!$U:$U,0)</f>
        <v>1138000</v>
      </c>
      <c r="S84" s="12">
        <f>_xlfn.XLOOKUP(B84,[1]Sheet1!$B:$B,[1]Sheet1!$V:$V,0)</f>
        <v>183000</v>
      </c>
      <c r="T84" s="12">
        <f>_xlfn.XLOOKUP(B84,[1]Sheet1!$B:$B,[1]Sheet1!$W:$W,0)</f>
        <v>1153000</v>
      </c>
      <c r="U84" s="12">
        <f>_xlfn.XLOOKUP(B84,[1]Sheet1!$B:$B,[1]Sheet1!$X:$X,0)</f>
        <v>248000</v>
      </c>
      <c r="V84" s="12">
        <f>_xlfn.XLOOKUP(B84,[1]Sheet1!$B:$B,[1]Sheet1!$Y:$Y,0)</f>
        <v>779836</v>
      </c>
      <c r="W84" s="12">
        <f t="shared" si="5"/>
        <v>5333836</v>
      </c>
      <c r="X84" s="6" t="s">
        <v>248</v>
      </c>
      <c r="Y84" s="6" t="s">
        <v>242</v>
      </c>
      <c r="Z84" s="6" t="s">
        <v>243</v>
      </c>
      <c r="AA84" s="6" t="s">
        <v>247</v>
      </c>
      <c r="AB84" s="6" t="s">
        <v>36</v>
      </c>
      <c r="AC84" s="6" t="s">
        <v>37</v>
      </c>
      <c r="AD84" s="6" t="s">
        <v>245</v>
      </c>
      <c r="AE84" s="6" t="s">
        <v>39</v>
      </c>
      <c r="AF84" s="6" t="s">
        <v>40</v>
      </c>
      <c r="AG84" s="7">
        <v>7540090</v>
      </c>
      <c r="AH84" s="11">
        <f>_xlfn.XLOOKUP(B84,[1]Sheet1!$B:$B,[1]Sheet1!$AB:$AB,0)</f>
        <v>7540090</v>
      </c>
    </row>
    <row r="85" spans="2:34" ht="16.8" thickTop="1" thickBot="1" x14ac:dyDescent="0.35">
      <c r="B85" s="3" t="str">
        <f t="shared" si="4"/>
        <v>45101604511000184Legal Services-N421121200104</v>
      </c>
      <c r="C85" s="8" t="s">
        <v>244</v>
      </c>
      <c r="D85" s="8" t="s">
        <v>239</v>
      </c>
      <c r="E85" s="8" t="s">
        <v>240</v>
      </c>
      <c r="F85" s="8" t="s">
        <v>249</v>
      </c>
      <c r="G85" s="4" t="s">
        <v>2828</v>
      </c>
      <c r="H85" s="4" t="s">
        <v>2922</v>
      </c>
      <c r="I85" s="8" t="s">
        <v>247</v>
      </c>
      <c r="J85" s="8" t="s">
        <v>31</v>
      </c>
      <c r="K85" s="12">
        <f>_xlfn.XLOOKUP(B85,[1]Sheet1!$B:$B,[1]Sheet1!$N:$N,0)</f>
        <v>0</v>
      </c>
      <c r="L85" s="12">
        <f>_xlfn.XLOOKUP(B85,[1]Sheet1!$B:$B,[1]Sheet1!$O:$O,0)</f>
        <v>0</v>
      </c>
      <c r="M85" s="12">
        <f>_xlfn.XLOOKUP(B85,[1]Sheet1!$B:$B,[1]Sheet1!$P:$P,0)</f>
        <v>113700.39749999999</v>
      </c>
      <c r="N85" s="12">
        <f>_xlfn.XLOOKUP(B85,[1]Sheet1!$B:$B,[1]Sheet1!$Q:$Q,0)</f>
        <v>0</v>
      </c>
      <c r="O85" s="12">
        <f>_xlfn.XLOOKUP(B85,[1]Sheet1!$B:$B,[1]Sheet1!$R:$R,0)</f>
        <v>0</v>
      </c>
      <c r="P85" s="12">
        <f>_xlfn.XLOOKUP(B85,[1]Sheet1!$B:$B,[1]Sheet1!$S:$S,0)</f>
        <v>0</v>
      </c>
      <c r="Q85" s="12">
        <f>_xlfn.XLOOKUP(B85,[1]Sheet1!$B:$B,[1]Sheet1!$T:$T,0)</f>
        <v>53180</v>
      </c>
      <c r="R85" s="12">
        <f>_xlfn.XLOOKUP(B85,[1]Sheet1!$B:$B,[1]Sheet1!$U:$U,0)</f>
        <v>0</v>
      </c>
      <c r="S85" s="12">
        <f>_xlfn.XLOOKUP(B85,[1]Sheet1!$B:$B,[1]Sheet1!$V:$V,0)</f>
        <v>55720</v>
      </c>
      <c r="T85" s="12">
        <f>_xlfn.XLOOKUP(B85,[1]Sheet1!$B:$B,[1]Sheet1!$W:$W,0)</f>
        <v>35000</v>
      </c>
      <c r="U85" s="12">
        <f>_xlfn.XLOOKUP(B85,[1]Sheet1!$B:$B,[1]Sheet1!$X:$X,0)</f>
        <v>187400</v>
      </c>
      <c r="V85" s="12">
        <f>_xlfn.XLOOKUP(B85,[1]Sheet1!$B:$B,[1]Sheet1!$Y:$Y,0)</f>
        <v>137240</v>
      </c>
      <c r="W85" s="12">
        <f t="shared" si="5"/>
        <v>582240.39749999996</v>
      </c>
      <c r="X85" s="8" t="s">
        <v>248</v>
      </c>
      <c r="Y85" s="8" t="s">
        <v>242</v>
      </c>
      <c r="Z85" s="8" t="s">
        <v>243</v>
      </c>
      <c r="AA85" s="8" t="s">
        <v>247</v>
      </c>
      <c r="AB85" s="8" t="s">
        <v>36</v>
      </c>
      <c r="AC85" s="8" t="s">
        <v>37</v>
      </c>
      <c r="AD85" s="8" t="s">
        <v>245</v>
      </c>
      <c r="AE85" s="8" t="s">
        <v>39</v>
      </c>
      <c r="AF85" s="8" t="s">
        <v>40</v>
      </c>
      <c r="AG85" s="9">
        <v>1595680</v>
      </c>
      <c r="AH85" s="11">
        <f>_xlfn.XLOOKUP(B85,[1]Sheet1!$B:$B,[1]Sheet1!$AB:$AB,0)</f>
        <v>1595680.3975</v>
      </c>
    </row>
    <row r="86" spans="2:34" ht="16.8" thickTop="1" thickBot="1" x14ac:dyDescent="0.35">
      <c r="B86" s="3" t="str">
        <f t="shared" si="4"/>
        <v>45101604511000184Manpower-N424521200104</v>
      </c>
      <c r="C86" s="6" t="s">
        <v>244</v>
      </c>
      <c r="D86" s="6" t="s">
        <v>239</v>
      </c>
      <c r="E86" s="6" t="s">
        <v>240</v>
      </c>
      <c r="F86" s="6" t="s">
        <v>98</v>
      </c>
      <c r="G86" s="4" t="s">
        <v>2804</v>
      </c>
      <c r="H86" s="4" t="s">
        <v>2922</v>
      </c>
      <c r="I86" s="6" t="s">
        <v>51</v>
      </c>
      <c r="J86" s="6" t="s">
        <v>31</v>
      </c>
      <c r="K86" s="12">
        <f>_xlfn.XLOOKUP(B86,[1]Sheet1!$B:$B,[1]Sheet1!$N:$N,0)</f>
        <v>0</v>
      </c>
      <c r="L86" s="12">
        <f>_xlfn.XLOOKUP(B86,[1]Sheet1!$B:$B,[1]Sheet1!$O:$O,0)</f>
        <v>0</v>
      </c>
      <c r="M86" s="12">
        <f>_xlfn.XLOOKUP(B86,[1]Sheet1!$B:$B,[1]Sheet1!$P:$P,0)</f>
        <v>0</v>
      </c>
      <c r="N86" s="12">
        <f>_xlfn.XLOOKUP(B86,[1]Sheet1!$B:$B,[1]Sheet1!$Q:$Q,0)</f>
        <v>0</v>
      </c>
      <c r="O86" s="12">
        <f>_xlfn.XLOOKUP(B86,[1]Sheet1!$B:$B,[1]Sheet1!$R:$R,0)</f>
        <v>0</v>
      </c>
      <c r="P86" s="12">
        <f>_xlfn.XLOOKUP(B86,[1]Sheet1!$B:$B,[1]Sheet1!$S:$S,0)</f>
        <v>0</v>
      </c>
      <c r="Q86" s="12">
        <f>_xlfn.XLOOKUP(B86,[1]Sheet1!$B:$B,[1]Sheet1!$T:$T,0)</f>
        <v>0</v>
      </c>
      <c r="R86" s="12">
        <f>_xlfn.XLOOKUP(B86,[1]Sheet1!$B:$B,[1]Sheet1!$U:$U,0)</f>
        <v>0</v>
      </c>
      <c r="S86" s="12">
        <f>_xlfn.XLOOKUP(B86,[1]Sheet1!$B:$B,[1]Sheet1!$V:$V,0)</f>
        <v>0</v>
      </c>
      <c r="T86" s="12">
        <f>_xlfn.XLOOKUP(B86,[1]Sheet1!$B:$B,[1]Sheet1!$W:$W,0)</f>
        <v>0</v>
      </c>
      <c r="U86" s="12">
        <f>_xlfn.XLOOKUP(B86,[1]Sheet1!$B:$B,[1]Sheet1!$X:$X,0)</f>
        <v>0</v>
      </c>
      <c r="V86" s="12">
        <f>_xlfn.XLOOKUP(B86,[1]Sheet1!$B:$B,[1]Sheet1!$Y:$Y,0)</f>
        <v>0</v>
      </c>
      <c r="W86" s="12">
        <f t="shared" si="5"/>
        <v>0</v>
      </c>
      <c r="X86" s="6" t="s">
        <v>241</v>
      </c>
      <c r="Y86" s="6" t="s">
        <v>242</v>
      </c>
      <c r="Z86" s="6" t="s">
        <v>243</v>
      </c>
      <c r="AA86" s="6" t="s">
        <v>53</v>
      </c>
      <c r="AB86" s="6" t="s">
        <v>36</v>
      </c>
      <c r="AC86" s="6" t="s">
        <v>37</v>
      </c>
      <c r="AD86" s="6" t="s">
        <v>245</v>
      </c>
      <c r="AE86" s="6" t="s">
        <v>39</v>
      </c>
      <c r="AF86" s="6" t="s">
        <v>40</v>
      </c>
      <c r="AG86" s="7">
        <v>582600</v>
      </c>
      <c r="AH86" s="11">
        <f>_xlfn.XLOOKUP(B86,[1]Sheet1!$B:$B,[1]Sheet1!$AB:$AB,0)</f>
        <v>582600</v>
      </c>
    </row>
    <row r="87" spans="2:34" ht="16.8" thickTop="1" thickBot="1" x14ac:dyDescent="0.35">
      <c r="B87" s="3" t="str">
        <f t="shared" si="4"/>
        <v>45101604511000184Mission &amp; Travel-N423821200104</v>
      </c>
      <c r="C87" s="8" t="s">
        <v>244</v>
      </c>
      <c r="D87" s="8" t="s">
        <v>239</v>
      </c>
      <c r="E87" s="8" t="s">
        <v>240</v>
      </c>
      <c r="F87" s="8" t="s">
        <v>54</v>
      </c>
      <c r="G87" s="4" t="s">
        <v>2805</v>
      </c>
      <c r="H87" s="4" t="s">
        <v>2922</v>
      </c>
      <c r="I87" s="8" t="s">
        <v>55</v>
      </c>
      <c r="J87" s="8" t="s">
        <v>31</v>
      </c>
      <c r="K87" s="12">
        <f>_xlfn.XLOOKUP(B87,[1]Sheet1!$B:$B,[1]Sheet1!$N:$N,0)</f>
        <v>0</v>
      </c>
      <c r="L87" s="12">
        <f>_xlfn.XLOOKUP(B87,[1]Sheet1!$B:$B,[1]Sheet1!$O:$O,0)</f>
        <v>0</v>
      </c>
      <c r="M87" s="12">
        <f>_xlfn.XLOOKUP(B87,[1]Sheet1!$B:$B,[1]Sheet1!$P:$P,0)</f>
        <v>0</v>
      </c>
      <c r="N87" s="12">
        <f>_xlfn.XLOOKUP(B87,[1]Sheet1!$B:$B,[1]Sheet1!$Q:$Q,0)</f>
        <v>50000</v>
      </c>
      <c r="O87" s="12">
        <f>_xlfn.XLOOKUP(B87,[1]Sheet1!$B:$B,[1]Sheet1!$R:$R,0)</f>
        <v>0</v>
      </c>
      <c r="P87" s="12">
        <f>_xlfn.XLOOKUP(B87,[1]Sheet1!$B:$B,[1]Sheet1!$S:$S,0)</f>
        <v>80000</v>
      </c>
      <c r="Q87" s="12">
        <f>_xlfn.XLOOKUP(B87,[1]Sheet1!$B:$B,[1]Sheet1!$T:$T,0)</f>
        <v>0</v>
      </c>
      <c r="R87" s="12">
        <f>_xlfn.XLOOKUP(B87,[1]Sheet1!$B:$B,[1]Sheet1!$U:$U,0)</f>
        <v>150000</v>
      </c>
      <c r="S87" s="12">
        <f>_xlfn.XLOOKUP(B87,[1]Sheet1!$B:$B,[1]Sheet1!$V:$V,0)</f>
        <v>100000</v>
      </c>
      <c r="T87" s="12">
        <f>_xlfn.XLOOKUP(B87,[1]Sheet1!$B:$B,[1]Sheet1!$W:$W,0)</f>
        <v>100000</v>
      </c>
      <c r="U87" s="12">
        <f>_xlfn.XLOOKUP(B87,[1]Sheet1!$B:$B,[1]Sheet1!$X:$X,0)</f>
        <v>200000</v>
      </c>
      <c r="V87" s="12">
        <f>_xlfn.XLOOKUP(B87,[1]Sheet1!$B:$B,[1]Sheet1!$Y:$Y,0)</f>
        <v>120000</v>
      </c>
      <c r="W87" s="12">
        <f t="shared" si="5"/>
        <v>800000</v>
      </c>
      <c r="X87" s="8" t="s">
        <v>250</v>
      </c>
      <c r="Y87" s="8" t="s">
        <v>242</v>
      </c>
      <c r="Z87" s="8" t="s">
        <v>243</v>
      </c>
      <c r="AA87" s="8" t="s">
        <v>55</v>
      </c>
      <c r="AB87" s="8" t="s">
        <v>36</v>
      </c>
      <c r="AC87" s="8" t="s">
        <v>37</v>
      </c>
      <c r="AD87" s="8" t="s">
        <v>245</v>
      </c>
      <c r="AE87" s="8" t="s">
        <v>39</v>
      </c>
      <c r="AF87" s="8" t="s">
        <v>40</v>
      </c>
      <c r="AG87" s="9">
        <v>767500</v>
      </c>
      <c r="AH87" s="11">
        <f>_xlfn.XLOOKUP(B87,[1]Sheet1!$B:$B,[1]Sheet1!$AB:$AB,0)</f>
        <v>767500</v>
      </c>
    </row>
    <row r="88" spans="2:34" ht="16.8" thickTop="1" thickBot="1" x14ac:dyDescent="0.35">
      <c r="B88" s="3" t="str">
        <f t="shared" si="4"/>
        <v>45112504511000186Manpower-N424521200104</v>
      </c>
      <c r="C88" s="6" t="s">
        <v>67</v>
      </c>
      <c r="D88" s="6" t="s">
        <v>251</v>
      </c>
      <c r="E88" s="6" t="s">
        <v>252</v>
      </c>
      <c r="F88" s="6" t="s">
        <v>98</v>
      </c>
      <c r="G88" s="4" t="s">
        <v>2804</v>
      </c>
      <c r="H88" s="4" t="s">
        <v>2922</v>
      </c>
      <c r="I88" s="6" t="s">
        <v>51</v>
      </c>
      <c r="J88" s="6" t="s">
        <v>31</v>
      </c>
      <c r="K88" s="12">
        <f>_xlfn.XLOOKUP(B88,[1]Sheet1!$B:$B,[1]Sheet1!$N:$N,0)</f>
        <v>0</v>
      </c>
      <c r="L88" s="12">
        <f>_xlfn.XLOOKUP(B88,[1]Sheet1!$B:$B,[1]Sheet1!$O:$O,0)</f>
        <v>0</v>
      </c>
      <c r="M88" s="12">
        <f>_xlfn.XLOOKUP(B88,[1]Sheet1!$B:$B,[1]Sheet1!$P:$P,0)</f>
        <v>44233.34</v>
      </c>
      <c r="N88" s="12">
        <f>_xlfn.XLOOKUP(B88,[1]Sheet1!$B:$B,[1]Sheet1!$Q:$Q,0)</f>
        <v>44233.34</v>
      </c>
      <c r="O88" s="12">
        <f>_xlfn.XLOOKUP(B88,[1]Sheet1!$B:$B,[1]Sheet1!$R:$R,0)</f>
        <v>22116.67</v>
      </c>
      <c r="P88" s="12">
        <f>_xlfn.XLOOKUP(B88,[1]Sheet1!$B:$B,[1]Sheet1!$S:$S,0)</f>
        <v>22116.67</v>
      </c>
      <c r="Q88" s="12">
        <f>_xlfn.XLOOKUP(B88,[1]Sheet1!$B:$B,[1]Sheet1!$T:$T,0)</f>
        <v>22116.67</v>
      </c>
      <c r="R88" s="12">
        <f>_xlfn.XLOOKUP(B88,[1]Sheet1!$B:$B,[1]Sheet1!$U:$U,0)</f>
        <v>22116.67</v>
      </c>
      <c r="S88" s="12">
        <f>_xlfn.XLOOKUP(B88,[1]Sheet1!$B:$B,[1]Sheet1!$V:$V,0)</f>
        <v>22116.67</v>
      </c>
      <c r="T88" s="12">
        <f>_xlfn.XLOOKUP(B88,[1]Sheet1!$B:$B,[1]Sheet1!$W:$W,0)</f>
        <v>22116.67</v>
      </c>
      <c r="U88" s="12">
        <f>_xlfn.XLOOKUP(B88,[1]Sheet1!$B:$B,[1]Sheet1!$X:$X,0)</f>
        <v>22116.67</v>
      </c>
      <c r="V88" s="12">
        <f>_xlfn.XLOOKUP(B88,[1]Sheet1!$B:$B,[1]Sheet1!$Y:$Y,0)</f>
        <v>22116.67</v>
      </c>
      <c r="W88" s="12">
        <f t="shared" si="5"/>
        <v>265400.03999999992</v>
      </c>
      <c r="X88" s="6" t="s">
        <v>82</v>
      </c>
      <c r="Y88" s="6" t="s">
        <v>65</v>
      </c>
      <c r="Z88" s="6" t="s">
        <v>66</v>
      </c>
      <c r="AA88" s="6" t="s">
        <v>53</v>
      </c>
      <c r="AB88" s="6" t="s">
        <v>36</v>
      </c>
      <c r="AC88" s="6" t="s">
        <v>37</v>
      </c>
      <c r="AD88" s="6" t="s">
        <v>69</v>
      </c>
      <c r="AE88" s="6" t="s">
        <v>39</v>
      </c>
      <c r="AF88" s="6" t="s">
        <v>40</v>
      </c>
      <c r="AG88" s="7">
        <v>265400</v>
      </c>
      <c r="AH88" s="11">
        <f>_xlfn.XLOOKUP(B88,[1]Sheet1!$B:$B,[1]Sheet1!$AB:$AB,0)</f>
        <v>265400.03999999992</v>
      </c>
    </row>
    <row r="89" spans="2:34" ht="16.8" thickTop="1" thickBot="1" x14ac:dyDescent="0.35">
      <c r="B89" s="3" t="str">
        <f t="shared" si="4"/>
        <v>45112504511000186Utilities-N423931200104</v>
      </c>
      <c r="C89" s="8" t="s">
        <v>67</v>
      </c>
      <c r="D89" s="8" t="s">
        <v>251</v>
      </c>
      <c r="E89" s="8" t="s">
        <v>252</v>
      </c>
      <c r="F89" s="8" t="s">
        <v>110</v>
      </c>
      <c r="G89" s="4" t="s">
        <v>2818</v>
      </c>
      <c r="H89" s="4" t="s">
        <v>2922</v>
      </c>
      <c r="I89" s="8" t="s">
        <v>111</v>
      </c>
      <c r="J89" s="8" t="s">
        <v>31</v>
      </c>
      <c r="K89" s="12">
        <f>_xlfn.XLOOKUP(B89,[1]Sheet1!$B:$B,[1]Sheet1!$N:$N,0)</f>
        <v>0</v>
      </c>
      <c r="L89" s="12">
        <f>_xlfn.XLOOKUP(B89,[1]Sheet1!$B:$B,[1]Sheet1!$O:$O,0)</f>
        <v>0</v>
      </c>
      <c r="M89" s="12">
        <f>_xlfn.XLOOKUP(B89,[1]Sheet1!$B:$B,[1]Sheet1!$P:$P,0)</f>
        <v>0</v>
      </c>
      <c r="N89" s="12">
        <f>_xlfn.XLOOKUP(B89,[1]Sheet1!$B:$B,[1]Sheet1!$Q:$Q,0)</f>
        <v>40000</v>
      </c>
      <c r="O89" s="12">
        <f>_xlfn.XLOOKUP(B89,[1]Sheet1!$B:$B,[1]Sheet1!$R:$R,0)</f>
        <v>20000</v>
      </c>
      <c r="P89" s="12">
        <f>_xlfn.XLOOKUP(B89,[1]Sheet1!$B:$B,[1]Sheet1!$S:$S,0)</f>
        <v>30000</v>
      </c>
      <c r="Q89" s="12">
        <f>_xlfn.XLOOKUP(B89,[1]Sheet1!$B:$B,[1]Sheet1!$T:$T,0)</f>
        <v>30000</v>
      </c>
      <c r="R89" s="12">
        <f>_xlfn.XLOOKUP(B89,[1]Sheet1!$B:$B,[1]Sheet1!$U:$U,0)</f>
        <v>30000</v>
      </c>
      <c r="S89" s="12">
        <f>_xlfn.XLOOKUP(B89,[1]Sheet1!$B:$B,[1]Sheet1!$V:$V,0)</f>
        <v>30000</v>
      </c>
      <c r="T89" s="12">
        <f>_xlfn.XLOOKUP(B89,[1]Sheet1!$B:$B,[1]Sheet1!$W:$W,0)</f>
        <v>30000</v>
      </c>
      <c r="U89" s="12">
        <f>_xlfn.XLOOKUP(B89,[1]Sheet1!$B:$B,[1]Sheet1!$X:$X,0)</f>
        <v>37416</v>
      </c>
      <c r="V89" s="12">
        <f>_xlfn.XLOOKUP(B89,[1]Sheet1!$B:$B,[1]Sheet1!$Y:$Y,0)</f>
        <v>0</v>
      </c>
      <c r="W89" s="12">
        <f t="shared" si="5"/>
        <v>247416</v>
      </c>
      <c r="X89" s="8" t="s">
        <v>112</v>
      </c>
      <c r="Y89" s="8" t="s">
        <v>65</v>
      </c>
      <c r="Z89" s="8" t="s">
        <v>66</v>
      </c>
      <c r="AA89" s="8" t="s">
        <v>111</v>
      </c>
      <c r="AB89" s="8" t="s">
        <v>36</v>
      </c>
      <c r="AC89" s="8" t="s">
        <v>37</v>
      </c>
      <c r="AD89" s="8" t="s">
        <v>69</v>
      </c>
      <c r="AE89" s="8" t="s">
        <v>39</v>
      </c>
      <c r="AF89" s="8" t="s">
        <v>40</v>
      </c>
      <c r="AG89" s="9">
        <v>247416</v>
      </c>
      <c r="AH89" s="11">
        <f>_xlfn.XLOOKUP(B89,[1]Sheet1!$B:$B,[1]Sheet1!$AB:$AB,0)</f>
        <v>247416</v>
      </c>
    </row>
    <row r="90" spans="2:34" ht="16.8" thickTop="1" thickBot="1" x14ac:dyDescent="0.35">
      <c r="B90" s="3" t="str">
        <f t="shared" si="4"/>
        <v>45112504511000187Activation&amp;Prog-N422401200104</v>
      </c>
      <c r="C90" s="6" t="s">
        <v>67</v>
      </c>
      <c r="D90" s="6" t="s">
        <v>253</v>
      </c>
      <c r="E90" s="6" t="s">
        <v>254</v>
      </c>
      <c r="F90" s="6" t="s">
        <v>62</v>
      </c>
      <c r="G90" s="4" t="s">
        <v>2807</v>
      </c>
      <c r="H90" s="4" t="s">
        <v>2922</v>
      </c>
      <c r="I90" s="6" t="s">
        <v>63</v>
      </c>
      <c r="J90" s="6" t="s">
        <v>31</v>
      </c>
      <c r="K90" s="12">
        <f>_xlfn.XLOOKUP(B90,[1]Sheet1!$B:$B,[1]Sheet1!$N:$N,0)</f>
        <v>0</v>
      </c>
      <c r="L90" s="12">
        <f>_xlfn.XLOOKUP(B90,[1]Sheet1!$B:$B,[1]Sheet1!$O:$O,0)</f>
        <v>0</v>
      </c>
      <c r="M90" s="12">
        <f>_xlfn.XLOOKUP(B90,[1]Sheet1!$B:$B,[1]Sheet1!$P:$P,0)</f>
        <v>0</v>
      </c>
      <c r="N90" s="12">
        <f>_xlfn.XLOOKUP(B90,[1]Sheet1!$B:$B,[1]Sheet1!$Q:$Q,0)</f>
        <v>915000</v>
      </c>
      <c r="O90" s="12">
        <f>_xlfn.XLOOKUP(B90,[1]Sheet1!$B:$B,[1]Sheet1!$R:$R,0)</f>
        <v>250000</v>
      </c>
      <c r="P90" s="12">
        <f>_xlfn.XLOOKUP(B90,[1]Sheet1!$B:$B,[1]Sheet1!$S:$S,0)</f>
        <v>90000</v>
      </c>
      <c r="Q90" s="12">
        <f>_xlfn.XLOOKUP(B90,[1]Sheet1!$B:$B,[1]Sheet1!$T:$T,0)</f>
        <v>300000</v>
      </c>
      <c r="R90" s="12">
        <f>_xlfn.XLOOKUP(B90,[1]Sheet1!$B:$B,[1]Sheet1!$U:$U,0)</f>
        <v>130000</v>
      </c>
      <c r="S90" s="12">
        <f>_xlfn.XLOOKUP(B90,[1]Sheet1!$B:$B,[1]Sheet1!$V:$V,0)</f>
        <v>90000</v>
      </c>
      <c r="T90" s="12">
        <f>_xlfn.XLOOKUP(B90,[1]Sheet1!$B:$B,[1]Sheet1!$W:$W,0)</f>
        <v>140000</v>
      </c>
      <c r="U90" s="12">
        <f>_xlfn.XLOOKUP(B90,[1]Sheet1!$B:$B,[1]Sheet1!$X:$X,0)</f>
        <v>465000</v>
      </c>
      <c r="V90" s="12">
        <f>_xlfn.XLOOKUP(B90,[1]Sheet1!$B:$B,[1]Sheet1!$Y:$Y,0)</f>
        <v>180000</v>
      </c>
      <c r="W90" s="12">
        <f t="shared" si="5"/>
        <v>2560000</v>
      </c>
      <c r="X90" s="6" t="s">
        <v>64</v>
      </c>
      <c r="Y90" s="6" t="s">
        <v>65</v>
      </c>
      <c r="Z90" s="6" t="s">
        <v>66</v>
      </c>
      <c r="AA90" s="6" t="s">
        <v>68</v>
      </c>
      <c r="AB90" s="6" t="s">
        <v>36</v>
      </c>
      <c r="AC90" s="6" t="s">
        <v>37</v>
      </c>
      <c r="AD90" s="6" t="s">
        <v>69</v>
      </c>
      <c r="AE90" s="6" t="s">
        <v>39</v>
      </c>
      <c r="AF90" s="6" t="s">
        <v>40</v>
      </c>
      <c r="AG90" s="7">
        <v>2161760</v>
      </c>
      <c r="AH90" s="11">
        <f>_xlfn.XLOOKUP(B90,[1]Sheet1!$B:$B,[1]Sheet1!$AB:$AB,0)</f>
        <v>2161760</v>
      </c>
    </row>
    <row r="91" spans="2:34" ht="16.8" thickTop="1" thickBot="1" x14ac:dyDescent="0.35">
      <c r="B91" s="3" t="str">
        <f t="shared" si="4"/>
        <v>45112504511000187Admin Expenses-N1421125200104</v>
      </c>
      <c r="C91" s="8" t="s">
        <v>67</v>
      </c>
      <c r="D91" s="8" t="s">
        <v>253</v>
      </c>
      <c r="E91" s="8" t="s">
        <v>254</v>
      </c>
      <c r="F91" s="8" t="s">
        <v>73</v>
      </c>
      <c r="G91" s="4" t="s">
        <v>2803</v>
      </c>
      <c r="H91" s="4" t="s">
        <v>2922</v>
      </c>
      <c r="I91" s="8" t="s">
        <v>44</v>
      </c>
      <c r="J91" s="8" t="s">
        <v>31</v>
      </c>
      <c r="K91" s="12">
        <f>_xlfn.XLOOKUP(B91,[1]Sheet1!$B:$B,[1]Sheet1!$N:$N,0)</f>
        <v>0</v>
      </c>
      <c r="L91" s="12">
        <f>_xlfn.XLOOKUP(B91,[1]Sheet1!$B:$B,[1]Sheet1!$O:$O,0)</f>
        <v>0</v>
      </c>
      <c r="M91" s="12">
        <f>_xlfn.XLOOKUP(B91,[1]Sheet1!$B:$B,[1]Sheet1!$P:$P,0)</f>
        <v>0</v>
      </c>
      <c r="N91" s="12">
        <f>_xlfn.XLOOKUP(B91,[1]Sheet1!$B:$B,[1]Sheet1!$Q:$Q,0)</f>
        <v>0</v>
      </c>
      <c r="O91" s="12">
        <f>_xlfn.XLOOKUP(B91,[1]Sheet1!$B:$B,[1]Sheet1!$R:$R,0)</f>
        <v>0</v>
      </c>
      <c r="P91" s="12">
        <f>_xlfn.XLOOKUP(B91,[1]Sheet1!$B:$B,[1]Sheet1!$S:$S,0)</f>
        <v>0</v>
      </c>
      <c r="Q91" s="12">
        <f>_xlfn.XLOOKUP(B91,[1]Sheet1!$B:$B,[1]Sheet1!$T:$T,0)</f>
        <v>124000</v>
      </c>
      <c r="R91" s="12">
        <f>_xlfn.XLOOKUP(B91,[1]Sheet1!$B:$B,[1]Sheet1!$U:$U,0)</f>
        <v>0</v>
      </c>
      <c r="S91" s="12">
        <f>_xlfn.XLOOKUP(B91,[1]Sheet1!$B:$B,[1]Sheet1!$V:$V,0)</f>
        <v>0</v>
      </c>
      <c r="T91" s="12">
        <f>_xlfn.XLOOKUP(B91,[1]Sheet1!$B:$B,[1]Sheet1!$W:$W,0)</f>
        <v>0</v>
      </c>
      <c r="U91" s="12">
        <f>_xlfn.XLOOKUP(B91,[1]Sheet1!$B:$B,[1]Sheet1!$X:$X,0)</f>
        <v>0</v>
      </c>
      <c r="V91" s="12">
        <f>_xlfn.XLOOKUP(B91,[1]Sheet1!$B:$B,[1]Sheet1!$Y:$Y,0)</f>
        <v>200000</v>
      </c>
      <c r="W91" s="12">
        <f t="shared" si="5"/>
        <v>324000</v>
      </c>
      <c r="X91" s="8" t="s">
        <v>74</v>
      </c>
      <c r="Y91" s="8" t="s">
        <v>65</v>
      </c>
      <c r="Z91" s="8" t="s">
        <v>66</v>
      </c>
      <c r="AA91" s="8" t="s">
        <v>44</v>
      </c>
      <c r="AB91" s="8" t="s">
        <v>36</v>
      </c>
      <c r="AC91" s="8" t="s">
        <v>37</v>
      </c>
      <c r="AD91" s="8" t="s">
        <v>69</v>
      </c>
      <c r="AE91" s="8" t="s">
        <v>39</v>
      </c>
      <c r="AF91" s="8" t="s">
        <v>40</v>
      </c>
      <c r="AG91" s="9">
        <v>324000</v>
      </c>
      <c r="AH91" s="11">
        <f>_xlfn.XLOOKUP(B91,[1]Sheet1!$B:$B,[1]Sheet1!$AB:$AB,0)</f>
        <v>324000</v>
      </c>
    </row>
    <row r="92" spans="2:34" ht="16.8" thickTop="1" thickBot="1" x14ac:dyDescent="0.35">
      <c r="B92" s="3" t="str">
        <f t="shared" si="4"/>
        <v>45112504511000187Cleaning Service-N422311200104</v>
      </c>
      <c r="C92" s="6" t="s">
        <v>67</v>
      </c>
      <c r="D92" s="6" t="s">
        <v>253</v>
      </c>
      <c r="E92" s="6" t="s">
        <v>254</v>
      </c>
      <c r="F92" s="6" t="s">
        <v>79</v>
      </c>
      <c r="G92" s="4" t="s">
        <v>2810</v>
      </c>
      <c r="H92" s="4" t="s">
        <v>2922</v>
      </c>
      <c r="I92" s="6" t="s">
        <v>80</v>
      </c>
      <c r="J92" s="6" t="s">
        <v>31</v>
      </c>
      <c r="K92" s="12">
        <f>_xlfn.XLOOKUP(B92,[1]Sheet1!$B:$B,[1]Sheet1!$N:$N,0)</f>
        <v>0</v>
      </c>
      <c r="L92" s="12">
        <f>_xlfn.XLOOKUP(B92,[1]Sheet1!$B:$B,[1]Sheet1!$O:$O,0)</f>
        <v>0</v>
      </c>
      <c r="M92" s="12">
        <f>_xlfn.XLOOKUP(B92,[1]Sheet1!$B:$B,[1]Sheet1!$P:$P,0)</f>
        <v>0</v>
      </c>
      <c r="N92" s="12">
        <f>_xlfn.XLOOKUP(B92,[1]Sheet1!$B:$B,[1]Sheet1!$Q:$Q,0)</f>
        <v>265584.25</v>
      </c>
      <c r="O92" s="12">
        <f>_xlfn.XLOOKUP(B92,[1]Sheet1!$B:$B,[1]Sheet1!$R:$R,0)</f>
        <v>88528.083333333328</v>
      </c>
      <c r="P92" s="12">
        <f>_xlfn.XLOOKUP(B92,[1]Sheet1!$B:$B,[1]Sheet1!$S:$S,0)</f>
        <v>88528.083333333328</v>
      </c>
      <c r="Q92" s="12">
        <f>_xlfn.XLOOKUP(B92,[1]Sheet1!$B:$B,[1]Sheet1!$T:$T,0)</f>
        <v>88528.083333333328</v>
      </c>
      <c r="R92" s="12">
        <f>_xlfn.XLOOKUP(B92,[1]Sheet1!$B:$B,[1]Sheet1!$U:$U,0)</f>
        <v>88528.083333333328</v>
      </c>
      <c r="S92" s="12">
        <f>_xlfn.XLOOKUP(B92,[1]Sheet1!$B:$B,[1]Sheet1!$V:$V,0)</f>
        <v>88528.083333333328</v>
      </c>
      <c r="T92" s="12">
        <f>_xlfn.XLOOKUP(B92,[1]Sheet1!$B:$B,[1]Sheet1!$W:$W,0)</f>
        <v>88528.083333333328</v>
      </c>
      <c r="U92" s="12">
        <f>_xlfn.XLOOKUP(B92,[1]Sheet1!$B:$B,[1]Sheet1!$X:$X,0)</f>
        <v>88528.083333333328</v>
      </c>
      <c r="V92" s="12">
        <f>_xlfn.XLOOKUP(B92,[1]Sheet1!$B:$B,[1]Sheet1!$Y:$Y,0)</f>
        <v>177056.16666666666</v>
      </c>
      <c r="W92" s="12">
        <f t="shared" si="5"/>
        <v>1062337.0000000002</v>
      </c>
      <c r="X92" s="6" t="s">
        <v>81</v>
      </c>
      <c r="Y92" s="6" t="s">
        <v>65</v>
      </c>
      <c r="Z92" s="6" t="s">
        <v>66</v>
      </c>
      <c r="AA92" s="6" t="s">
        <v>80</v>
      </c>
      <c r="AB92" s="6" t="s">
        <v>36</v>
      </c>
      <c r="AC92" s="6" t="s">
        <v>37</v>
      </c>
      <c r="AD92" s="6" t="s">
        <v>69</v>
      </c>
      <c r="AE92" s="6" t="s">
        <v>39</v>
      </c>
      <c r="AF92" s="6" t="s">
        <v>40</v>
      </c>
      <c r="AG92" s="7">
        <v>1062336.6000000001</v>
      </c>
      <c r="AH92" s="11">
        <f>_xlfn.XLOOKUP(B92,[1]Sheet1!$B:$B,[1]Sheet1!$AB:$AB,0)</f>
        <v>1062337.0000000002</v>
      </c>
    </row>
    <row r="93" spans="2:34" ht="16.8" thickTop="1" thickBot="1" x14ac:dyDescent="0.35">
      <c r="B93" s="3" t="str">
        <f t="shared" si="4"/>
        <v>45112504511000187Freelancers-N424521200104</v>
      </c>
      <c r="C93" s="8" t="s">
        <v>67</v>
      </c>
      <c r="D93" s="8" t="s">
        <v>253</v>
      </c>
      <c r="E93" s="8" t="s">
        <v>254</v>
      </c>
      <c r="F93" s="8" t="s">
        <v>50</v>
      </c>
      <c r="G93" s="4" t="s">
        <v>2804</v>
      </c>
      <c r="H93" s="4" t="s">
        <v>2922</v>
      </c>
      <c r="I93" s="8" t="s">
        <v>51</v>
      </c>
      <c r="J93" s="8" t="s">
        <v>31</v>
      </c>
      <c r="K93" s="12">
        <f>_xlfn.XLOOKUP(B93,[1]Sheet1!$B:$B,[1]Sheet1!$N:$N,0)</f>
        <v>0</v>
      </c>
      <c r="L93" s="12">
        <f>_xlfn.XLOOKUP(B93,[1]Sheet1!$B:$B,[1]Sheet1!$O:$O,0)</f>
        <v>0</v>
      </c>
      <c r="M93" s="12">
        <f>_xlfn.XLOOKUP(B93,[1]Sheet1!$B:$B,[1]Sheet1!$P:$P,0)</f>
        <v>36000</v>
      </c>
      <c r="N93" s="12">
        <f>_xlfn.XLOOKUP(B93,[1]Sheet1!$B:$B,[1]Sheet1!$Q:$Q,0)</f>
        <v>12000</v>
      </c>
      <c r="O93" s="12">
        <f>_xlfn.XLOOKUP(B93,[1]Sheet1!$B:$B,[1]Sheet1!$R:$R,0)</f>
        <v>12000</v>
      </c>
      <c r="P93" s="12">
        <f>_xlfn.XLOOKUP(B93,[1]Sheet1!$B:$B,[1]Sheet1!$S:$S,0)</f>
        <v>12000</v>
      </c>
      <c r="Q93" s="12">
        <f>_xlfn.XLOOKUP(B93,[1]Sheet1!$B:$B,[1]Sheet1!$T:$T,0)</f>
        <v>12000</v>
      </c>
      <c r="R93" s="12">
        <f>_xlfn.XLOOKUP(B93,[1]Sheet1!$B:$B,[1]Sheet1!$U:$U,0)</f>
        <v>12000</v>
      </c>
      <c r="S93" s="12">
        <f>_xlfn.XLOOKUP(B93,[1]Sheet1!$B:$B,[1]Sheet1!$V:$V,0)</f>
        <v>12000</v>
      </c>
      <c r="T93" s="12">
        <f>_xlfn.XLOOKUP(B93,[1]Sheet1!$B:$B,[1]Sheet1!$W:$W,0)</f>
        <v>12000</v>
      </c>
      <c r="U93" s="12">
        <f>_xlfn.XLOOKUP(B93,[1]Sheet1!$B:$B,[1]Sheet1!$X:$X,0)</f>
        <v>12000</v>
      </c>
      <c r="V93" s="12">
        <f>_xlfn.XLOOKUP(B93,[1]Sheet1!$B:$B,[1]Sheet1!$Y:$Y,0)</f>
        <v>12000</v>
      </c>
      <c r="W93" s="12">
        <f t="shared" si="5"/>
        <v>144000</v>
      </c>
      <c r="X93" s="8" t="s">
        <v>82</v>
      </c>
      <c r="Y93" s="8" t="s">
        <v>65</v>
      </c>
      <c r="Z93" s="8" t="s">
        <v>66</v>
      </c>
      <c r="AA93" s="8" t="s">
        <v>53</v>
      </c>
      <c r="AB93" s="8" t="s">
        <v>36</v>
      </c>
      <c r="AC93" s="8" t="s">
        <v>37</v>
      </c>
      <c r="AD93" s="8" t="s">
        <v>69</v>
      </c>
      <c r="AE93" s="8" t="s">
        <v>39</v>
      </c>
      <c r="AF93" s="8" t="s">
        <v>40</v>
      </c>
      <c r="AG93" s="9">
        <v>536000</v>
      </c>
      <c r="AH93" s="11">
        <f>_xlfn.XLOOKUP(B93,[1]Sheet1!$B:$B,[1]Sheet1!$AB:$AB,0)</f>
        <v>536000</v>
      </c>
    </row>
    <row r="94" spans="2:34" ht="16.8" thickTop="1" thickBot="1" x14ac:dyDescent="0.35">
      <c r="B94" s="3" t="str">
        <f t="shared" si="4"/>
        <v>45112504511000187Hospitality-N424761200104</v>
      </c>
      <c r="C94" s="6" t="s">
        <v>67</v>
      </c>
      <c r="D94" s="6" t="s">
        <v>253</v>
      </c>
      <c r="E94" s="6" t="s">
        <v>254</v>
      </c>
      <c r="F94" s="6" t="s">
        <v>83</v>
      </c>
      <c r="G94" s="4" t="s">
        <v>2811</v>
      </c>
      <c r="H94" s="4" t="s">
        <v>2922</v>
      </c>
      <c r="I94" s="6" t="s">
        <v>84</v>
      </c>
      <c r="J94" s="6" t="s">
        <v>31</v>
      </c>
      <c r="K94" s="12">
        <f>_xlfn.XLOOKUP(B94,[1]Sheet1!$B:$B,[1]Sheet1!$N:$N,0)</f>
        <v>0</v>
      </c>
      <c r="L94" s="12">
        <f>_xlfn.XLOOKUP(B94,[1]Sheet1!$B:$B,[1]Sheet1!$O:$O,0)</f>
        <v>0</v>
      </c>
      <c r="M94" s="12">
        <f>_xlfn.XLOOKUP(B94,[1]Sheet1!$B:$B,[1]Sheet1!$P:$P,0)</f>
        <v>0</v>
      </c>
      <c r="N94" s="12">
        <f>_xlfn.XLOOKUP(B94,[1]Sheet1!$B:$B,[1]Sheet1!$Q:$Q,0)</f>
        <v>0</v>
      </c>
      <c r="O94" s="12">
        <f>_xlfn.XLOOKUP(B94,[1]Sheet1!$B:$B,[1]Sheet1!$R:$R,0)</f>
        <v>0</v>
      </c>
      <c r="P94" s="12">
        <f>_xlfn.XLOOKUP(B94,[1]Sheet1!$B:$B,[1]Sheet1!$S:$S,0)</f>
        <v>0</v>
      </c>
      <c r="Q94" s="12">
        <f>_xlfn.XLOOKUP(B94,[1]Sheet1!$B:$B,[1]Sheet1!$T:$T,0)</f>
        <v>0</v>
      </c>
      <c r="R94" s="12">
        <f>_xlfn.XLOOKUP(B94,[1]Sheet1!$B:$B,[1]Sheet1!$U:$U,0)</f>
        <v>69455</v>
      </c>
      <c r="S94" s="12">
        <f>_xlfn.XLOOKUP(B94,[1]Sheet1!$B:$B,[1]Sheet1!$V:$V,0)</f>
        <v>0</v>
      </c>
      <c r="T94" s="12">
        <f>_xlfn.XLOOKUP(B94,[1]Sheet1!$B:$B,[1]Sheet1!$W:$W,0)</f>
        <v>0</v>
      </c>
      <c r="U94" s="12">
        <f>_xlfn.XLOOKUP(B94,[1]Sheet1!$B:$B,[1]Sheet1!$X:$X,0)</f>
        <v>0</v>
      </c>
      <c r="V94" s="12">
        <f>_xlfn.XLOOKUP(B94,[1]Sheet1!$B:$B,[1]Sheet1!$Y:$Y,0)</f>
        <v>0</v>
      </c>
      <c r="W94" s="12">
        <f t="shared" si="5"/>
        <v>69455</v>
      </c>
      <c r="X94" s="6" t="s">
        <v>85</v>
      </c>
      <c r="Y94" s="6" t="s">
        <v>65</v>
      </c>
      <c r="Z94" s="6" t="s">
        <v>66</v>
      </c>
      <c r="AA94" s="6" t="s">
        <v>84</v>
      </c>
      <c r="AB94" s="6" t="s">
        <v>36</v>
      </c>
      <c r="AC94" s="6" t="s">
        <v>37</v>
      </c>
      <c r="AD94" s="6" t="s">
        <v>69</v>
      </c>
      <c r="AE94" s="6" t="s">
        <v>39</v>
      </c>
      <c r="AF94" s="6" t="s">
        <v>40</v>
      </c>
      <c r="AG94" s="7">
        <v>69454.8</v>
      </c>
      <c r="AH94" s="11">
        <f>_xlfn.XLOOKUP(B94,[1]Sheet1!$B:$B,[1]Sheet1!$AB:$AB,0)</f>
        <v>69455</v>
      </c>
    </row>
    <row r="95" spans="2:34" ht="16.8" thickTop="1" thickBot="1" x14ac:dyDescent="0.35">
      <c r="B95" s="3" t="str">
        <f t="shared" si="4"/>
        <v>45112504511000187Landscaping-N432614200104</v>
      </c>
      <c r="C95" s="8" t="s">
        <v>67</v>
      </c>
      <c r="D95" s="8" t="s">
        <v>253</v>
      </c>
      <c r="E95" s="8" t="s">
        <v>254</v>
      </c>
      <c r="F95" s="8" t="s">
        <v>86</v>
      </c>
      <c r="G95" s="4" t="s">
        <v>2812</v>
      </c>
      <c r="H95" s="4" t="s">
        <v>2922</v>
      </c>
      <c r="I95" s="8" t="s">
        <v>87</v>
      </c>
      <c r="J95" s="8" t="s">
        <v>31</v>
      </c>
      <c r="K95" s="12">
        <f>_xlfn.XLOOKUP(B95,[1]Sheet1!$B:$B,[1]Sheet1!$N:$N,0)</f>
        <v>0</v>
      </c>
      <c r="L95" s="12">
        <f>_xlfn.XLOOKUP(B95,[1]Sheet1!$B:$B,[1]Sheet1!$O:$O,0)</f>
        <v>0</v>
      </c>
      <c r="M95" s="12">
        <f>_xlfn.XLOOKUP(B95,[1]Sheet1!$B:$B,[1]Sheet1!$P:$P,0)</f>
        <v>0</v>
      </c>
      <c r="N95" s="12">
        <f>_xlfn.XLOOKUP(B95,[1]Sheet1!$B:$B,[1]Sheet1!$Q:$Q,0)</f>
        <v>154363.74</v>
      </c>
      <c r="O95" s="12">
        <f>_xlfn.XLOOKUP(B95,[1]Sheet1!$B:$B,[1]Sheet1!$R:$R,0)</f>
        <v>51454.58</v>
      </c>
      <c r="P95" s="12">
        <f>_xlfn.XLOOKUP(B95,[1]Sheet1!$B:$B,[1]Sheet1!$S:$S,0)</f>
        <v>51454.58</v>
      </c>
      <c r="Q95" s="12">
        <f>_xlfn.XLOOKUP(B95,[1]Sheet1!$B:$B,[1]Sheet1!$T:$T,0)</f>
        <v>51454.58</v>
      </c>
      <c r="R95" s="12">
        <f>_xlfn.XLOOKUP(B95,[1]Sheet1!$B:$B,[1]Sheet1!$U:$U,0)</f>
        <v>51454.58</v>
      </c>
      <c r="S95" s="12">
        <f>_xlfn.XLOOKUP(B95,[1]Sheet1!$B:$B,[1]Sheet1!$V:$V,0)</f>
        <v>51454.58</v>
      </c>
      <c r="T95" s="12">
        <f>_xlfn.XLOOKUP(B95,[1]Sheet1!$B:$B,[1]Sheet1!$W:$W,0)</f>
        <v>51454.58</v>
      </c>
      <c r="U95" s="12">
        <f>_xlfn.XLOOKUP(B95,[1]Sheet1!$B:$B,[1]Sheet1!$X:$X,0)</f>
        <v>51454.58</v>
      </c>
      <c r="V95" s="12">
        <f>_xlfn.XLOOKUP(B95,[1]Sheet1!$B:$B,[1]Sheet1!$Y:$Y,0)</f>
        <v>102904</v>
      </c>
      <c r="W95" s="12">
        <f t="shared" si="5"/>
        <v>617449.80000000005</v>
      </c>
      <c r="X95" s="8" t="s">
        <v>88</v>
      </c>
      <c r="Y95" s="8" t="s">
        <v>65</v>
      </c>
      <c r="Z95" s="8" t="s">
        <v>66</v>
      </c>
      <c r="AA95" s="8" t="s">
        <v>87</v>
      </c>
      <c r="AB95" s="8" t="s">
        <v>36</v>
      </c>
      <c r="AC95" s="8" t="s">
        <v>37</v>
      </c>
      <c r="AD95" s="8" t="s">
        <v>69</v>
      </c>
      <c r="AE95" s="8" t="s">
        <v>39</v>
      </c>
      <c r="AF95" s="8" t="s">
        <v>40</v>
      </c>
      <c r="AG95" s="9">
        <v>617449.5</v>
      </c>
      <c r="AH95" s="11">
        <f>_xlfn.XLOOKUP(B95,[1]Sheet1!$B:$B,[1]Sheet1!$AB:$AB,0)</f>
        <v>617449.80000000005</v>
      </c>
    </row>
    <row r="96" spans="2:34" ht="16.8" thickTop="1" thickBot="1" x14ac:dyDescent="0.35">
      <c r="B96" s="3" t="str">
        <f t="shared" si="4"/>
        <v>45112504511000187Lease Improve-N490600300105</v>
      </c>
      <c r="C96" s="6" t="s">
        <v>67</v>
      </c>
      <c r="D96" s="6" t="s">
        <v>253</v>
      </c>
      <c r="E96" s="6" t="s">
        <v>254</v>
      </c>
      <c r="F96" s="6" t="s">
        <v>89</v>
      </c>
      <c r="G96" s="4" t="s">
        <v>2813</v>
      </c>
      <c r="H96" s="4" t="s">
        <v>2923</v>
      </c>
      <c r="I96" s="6" t="s">
        <v>90</v>
      </c>
      <c r="J96" s="6" t="s">
        <v>31</v>
      </c>
      <c r="K96" s="12">
        <f>_xlfn.XLOOKUP(B96,[1]Sheet1!$B:$B,[1]Sheet1!$N:$N,0)</f>
        <v>0</v>
      </c>
      <c r="L96" s="12">
        <f>_xlfn.XLOOKUP(B96,[1]Sheet1!$B:$B,[1]Sheet1!$O:$O,0)</f>
        <v>0</v>
      </c>
      <c r="M96" s="12">
        <f>_xlfn.XLOOKUP(B96,[1]Sheet1!$B:$B,[1]Sheet1!$P:$P,0)</f>
        <v>0</v>
      </c>
      <c r="N96" s="12">
        <f>_xlfn.XLOOKUP(B96,[1]Sheet1!$B:$B,[1]Sheet1!$Q:$Q,0)</f>
        <v>0</v>
      </c>
      <c r="O96" s="12">
        <f>_xlfn.XLOOKUP(B96,[1]Sheet1!$B:$B,[1]Sheet1!$R:$R,0)</f>
        <v>0</v>
      </c>
      <c r="P96" s="12">
        <f>_xlfn.XLOOKUP(B96,[1]Sheet1!$B:$B,[1]Sheet1!$S:$S,0)</f>
        <v>0</v>
      </c>
      <c r="Q96" s="12">
        <f>_xlfn.XLOOKUP(B96,[1]Sheet1!$B:$B,[1]Sheet1!$T:$T,0)</f>
        <v>0</v>
      </c>
      <c r="R96" s="12">
        <f>_xlfn.XLOOKUP(B96,[1]Sheet1!$B:$B,[1]Sheet1!$U:$U,0)</f>
        <v>967287</v>
      </c>
      <c r="S96" s="12">
        <f>_xlfn.XLOOKUP(B96,[1]Sheet1!$B:$B,[1]Sheet1!$V:$V,0)</f>
        <v>0</v>
      </c>
      <c r="T96" s="12">
        <f>_xlfn.XLOOKUP(B96,[1]Sheet1!$B:$B,[1]Sheet1!$W:$W,0)</f>
        <v>0</v>
      </c>
      <c r="U96" s="12">
        <f>_xlfn.XLOOKUP(B96,[1]Sheet1!$B:$B,[1]Sheet1!$X:$X,0)</f>
        <v>0</v>
      </c>
      <c r="V96" s="12">
        <f>_xlfn.XLOOKUP(B96,[1]Sheet1!$B:$B,[1]Sheet1!$Y:$Y,0)</f>
        <v>0</v>
      </c>
      <c r="W96" s="12">
        <f t="shared" si="5"/>
        <v>967287</v>
      </c>
      <c r="X96" s="6" t="s">
        <v>91</v>
      </c>
      <c r="Y96" s="6" t="s">
        <v>65</v>
      </c>
      <c r="Z96" s="6" t="s">
        <v>66</v>
      </c>
      <c r="AA96" s="6" t="s">
        <v>92</v>
      </c>
      <c r="AB96" s="6" t="s">
        <v>93</v>
      </c>
      <c r="AC96" s="6" t="s">
        <v>94</v>
      </c>
      <c r="AD96" s="6" t="s">
        <v>69</v>
      </c>
      <c r="AE96" s="6" t="s">
        <v>39</v>
      </c>
      <c r="AF96" s="6" t="s">
        <v>40</v>
      </c>
      <c r="AG96" s="7">
        <v>967287</v>
      </c>
      <c r="AH96" s="11">
        <f>_xlfn.XLOOKUP(B96,[1]Sheet1!$B:$B,[1]Sheet1!$AB:$AB,0)</f>
        <v>967287</v>
      </c>
    </row>
    <row r="97" spans="2:34" ht="16.8" thickTop="1" thickBot="1" x14ac:dyDescent="0.35">
      <c r="B97" s="3" t="str">
        <f t="shared" si="4"/>
        <v>45112504511000187Maintenance-N426212200104</v>
      </c>
      <c r="C97" s="8" t="s">
        <v>67</v>
      </c>
      <c r="D97" s="8" t="s">
        <v>253</v>
      </c>
      <c r="E97" s="8" t="s">
        <v>254</v>
      </c>
      <c r="F97" s="8" t="s">
        <v>95</v>
      </c>
      <c r="G97" s="4" t="s">
        <v>2814</v>
      </c>
      <c r="H97" s="4" t="s">
        <v>2922</v>
      </c>
      <c r="I97" s="8" t="s">
        <v>96</v>
      </c>
      <c r="J97" s="8" t="s">
        <v>31</v>
      </c>
      <c r="K97" s="12">
        <f>_xlfn.XLOOKUP(B97,[1]Sheet1!$B:$B,[1]Sheet1!$N:$N,0)</f>
        <v>0</v>
      </c>
      <c r="L97" s="12">
        <f>_xlfn.XLOOKUP(B97,[1]Sheet1!$B:$B,[1]Sheet1!$O:$O,0)</f>
        <v>0</v>
      </c>
      <c r="M97" s="12">
        <f>_xlfn.XLOOKUP(B97,[1]Sheet1!$B:$B,[1]Sheet1!$P:$P,0)</f>
        <v>0</v>
      </c>
      <c r="N97" s="12">
        <f>_xlfn.XLOOKUP(B97,[1]Sheet1!$B:$B,[1]Sheet1!$Q:$Q,0)</f>
        <v>634615.02</v>
      </c>
      <c r="O97" s="12">
        <f>_xlfn.XLOOKUP(B97,[1]Sheet1!$B:$B,[1]Sheet1!$R:$R,0)</f>
        <v>211538.34</v>
      </c>
      <c r="P97" s="12">
        <f>_xlfn.XLOOKUP(B97,[1]Sheet1!$B:$B,[1]Sheet1!$S:$S,0)</f>
        <v>211538.34</v>
      </c>
      <c r="Q97" s="12">
        <f>_xlfn.XLOOKUP(B97,[1]Sheet1!$B:$B,[1]Sheet1!$T:$T,0)</f>
        <v>211538.34</v>
      </c>
      <c r="R97" s="12">
        <f>_xlfn.XLOOKUP(B97,[1]Sheet1!$B:$B,[1]Sheet1!$U:$U,0)</f>
        <v>211538.34</v>
      </c>
      <c r="S97" s="12">
        <f>_xlfn.XLOOKUP(B97,[1]Sheet1!$B:$B,[1]Sheet1!$V:$V,0)</f>
        <v>211538.34</v>
      </c>
      <c r="T97" s="12">
        <f>_xlfn.XLOOKUP(B97,[1]Sheet1!$B:$B,[1]Sheet1!$W:$W,0)</f>
        <v>211538.34</v>
      </c>
      <c r="U97" s="12">
        <f>_xlfn.XLOOKUP(B97,[1]Sheet1!$B:$B,[1]Sheet1!$X:$X,0)</f>
        <v>245104</v>
      </c>
      <c r="V97" s="12">
        <f>_xlfn.XLOOKUP(B97,[1]Sheet1!$B:$B,[1]Sheet1!$Y:$Y,0)</f>
        <v>0</v>
      </c>
      <c r="W97" s="12">
        <f t="shared" si="5"/>
        <v>2148949.0600000005</v>
      </c>
      <c r="X97" s="8" t="s">
        <v>97</v>
      </c>
      <c r="Y97" s="8" t="s">
        <v>65</v>
      </c>
      <c r="Z97" s="8" t="s">
        <v>66</v>
      </c>
      <c r="AA97" s="8" t="s">
        <v>96</v>
      </c>
      <c r="AB97" s="8" t="s">
        <v>36</v>
      </c>
      <c r="AC97" s="8" t="s">
        <v>37</v>
      </c>
      <c r="AD97" s="8" t="s">
        <v>69</v>
      </c>
      <c r="AE97" s="8" t="s">
        <v>39</v>
      </c>
      <c r="AF97" s="8" t="s">
        <v>40</v>
      </c>
      <c r="AG97" s="9">
        <v>2148949.44</v>
      </c>
      <c r="AH97" s="11">
        <f>_xlfn.XLOOKUP(B97,[1]Sheet1!$B:$B,[1]Sheet1!$AB:$AB,0)</f>
        <v>2148949.0600000005</v>
      </c>
    </row>
    <row r="98" spans="2:34" ht="16.8" thickTop="1" thickBot="1" x14ac:dyDescent="0.35">
      <c r="B98" s="3" t="str">
        <f t="shared" si="4"/>
        <v>45112504511000187Manpower-N424521200104</v>
      </c>
      <c r="C98" s="6" t="s">
        <v>67</v>
      </c>
      <c r="D98" s="6" t="s">
        <v>253</v>
      </c>
      <c r="E98" s="6" t="s">
        <v>254</v>
      </c>
      <c r="F98" s="6" t="s">
        <v>98</v>
      </c>
      <c r="G98" s="4" t="s">
        <v>2804</v>
      </c>
      <c r="H98" s="4" t="s">
        <v>2922</v>
      </c>
      <c r="I98" s="6" t="s">
        <v>51</v>
      </c>
      <c r="J98" s="6" t="s">
        <v>31</v>
      </c>
      <c r="K98" s="12">
        <f>_xlfn.XLOOKUP(B98,[1]Sheet1!$B:$B,[1]Sheet1!$N:$N,0)</f>
        <v>0</v>
      </c>
      <c r="L98" s="12">
        <f>_xlfn.XLOOKUP(B98,[1]Sheet1!$B:$B,[1]Sheet1!$O:$O,0)</f>
        <v>0</v>
      </c>
      <c r="M98" s="12">
        <f>_xlfn.XLOOKUP(B98,[1]Sheet1!$B:$B,[1]Sheet1!$P:$P,0)</f>
        <v>182565.02</v>
      </c>
      <c r="N98" s="12">
        <f>_xlfn.XLOOKUP(B98,[1]Sheet1!$B:$B,[1]Sheet1!$Q:$Q,0)</f>
        <v>450690.98</v>
      </c>
      <c r="O98" s="12">
        <f>_xlfn.XLOOKUP(B98,[1]Sheet1!$B:$B,[1]Sheet1!$R:$R,0)</f>
        <v>158128</v>
      </c>
      <c r="P98" s="12">
        <f>_xlfn.XLOOKUP(B98,[1]Sheet1!$B:$B,[1]Sheet1!$S:$S,0)</f>
        <v>158128</v>
      </c>
      <c r="Q98" s="12">
        <f>_xlfn.XLOOKUP(B98,[1]Sheet1!$B:$B,[1]Sheet1!$T:$T,0)</f>
        <v>158128</v>
      </c>
      <c r="R98" s="12">
        <f>_xlfn.XLOOKUP(B98,[1]Sheet1!$B:$B,[1]Sheet1!$U:$U,0)</f>
        <v>158128</v>
      </c>
      <c r="S98" s="12">
        <f>_xlfn.XLOOKUP(B98,[1]Sheet1!$B:$B,[1]Sheet1!$V:$V,0)</f>
        <v>158128</v>
      </c>
      <c r="T98" s="12">
        <f>_xlfn.XLOOKUP(B98,[1]Sheet1!$B:$B,[1]Sheet1!$W:$W,0)</f>
        <v>158128</v>
      </c>
      <c r="U98" s="12">
        <f>_xlfn.XLOOKUP(B98,[1]Sheet1!$B:$B,[1]Sheet1!$X:$X,0)</f>
        <v>158128</v>
      </c>
      <c r="V98" s="12">
        <f>_xlfn.XLOOKUP(B98,[1]Sheet1!$B:$B,[1]Sheet1!$Y:$Y,0)</f>
        <v>157388</v>
      </c>
      <c r="W98" s="12">
        <f t="shared" si="5"/>
        <v>1897540</v>
      </c>
      <c r="X98" s="6" t="s">
        <v>82</v>
      </c>
      <c r="Y98" s="6" t="s">
        <v>65</v>
      </c>
      <c r="Z98" s="6" t="s">
        <v>66</v>
      </c>
      <c r="AA98" s="6" t="s">
        <v>53</v>
      </c>
      <c r="AB98" s="6" t="s">
        <v>36</v>
      </c>
      <c r="AC98" s="6" t="s">
        <v>37</v>
      </c>
      <c r="AD98" s="6" t="s">
        <v>69</v>
      </c>
      <c r="AE98" s="6" t="s">
        <v>39</v>
      </c>
      <c r="AF98" s="6" t="s">
        <v>40</v>
      </c>
      <c r="AG98" s="7">
        <v>1897540</v>
      </c>
      <c r="AH98" s="11">
        <f>_xlfn.XLOOKUP(B98,[1]Sheet1!$B:$B,[1]Sheet1!$AB:$AB,0)</f>
        <v>1897540</v>
      </c>
    </row>
    <row r="99" spans="2:34" ht="16.8" thickTop="1" thickBot="1" x14ac:dyDescent="0.35">
      <c r="B99" s="3" t="str">
        <f t="shared" si="4"/>
        <v>45115504511000187Media Mgmnt &amp;Buy-N422511200104</v>
      </c>
      <c r="C99" s="8" t="s">
        <v>154</v>
      </c>
      <c r="D99" s="8" t="s">
        <v>253</v>
      </c>
      <c r="E99" s="8" t="s">
        <v>254</v>
      </c>
      <c r="F99" s="8" t="s">
        <v>166</v>
      </c>
      <c r="G99" s="4" t="s">
        <v>2819</v>
      </c>
      <c r="H99" s="4" t="s">
        <v>2922</v>
      </c>
      <c r="I99" s="8" t="s">
        <v>151</v>
      </c>
      <c r="J99" s="8" t="s">
        <v>31</v>
      </c>
      <c r="K99" s="12">
        <f>_xlfn.XLOOKUP(B99,[1]Sheet1!$B:$B,[1]Sheet1!$N:$N,0)</f>
        <v>0</v>
      </c>
      <c r="L99" s="12">
        <f>_xlfn.XLOOKUP(B99,[1]Sheet1!$B:$B,[1]Sheet1!$O:$O,0)</f>
        <v>0</v>
      </c>
      <c r="M99" s="12">
        <f>_xlfn.XLOOKUP(B99,[1]Sheet1!$B:$B,[1]Sheet1!$P:$P,0)</f>
        <v>0</v>
      </c>
      <c r="N99" s="12">
        <f>_xlfn.XLOOKUP(B99,[1]Sheet1!$B:$B,[1]Sheet1!$Q:$Q,0)</f>
        <v>87126.666666666773</v>
      </c>
      <c r="O99" s="12">
        <f>_xlfn.XLOOKUP(B99,[1]Sheet1!$B:$B,[1]Sheet1!$R:$R,0)</f>
        <v>21781.666666666675</v>
      </c>
      <c r="P99" s="12">
        <f>_xlfn.XLOOKUP(B99,[1]Sheet1!$B:$B,[1]Sheet1!$S:$S,0)</f>
        <v>21781.666666666675</v>
      </c>
      <c r="Q99" s="12">
        <f>_xlfn.XLOOKUP(B99,[1]Sheet1!$B:$B,[1]Sheet1!$T:$T,0)</f>
        <v>21781.666666666675</v>
      </c>
      <c r="R99" s="12">
        <f>_xlfn.XLOOKUP(B99,[1]Sheet1!$B:$B,[1]Sheet1!$U:$U,0)</f>
        <v>21781.666666666675</v>
      </c>
      <c r="S99" s="12">
        <f>_xlfn.XLOOKUP(B99,[1]Sheet1!$B:$B,[1]Sheet1!$V:$V,0)</f>
        <v>21781.666666666675</v>
      </c>
      <c r="T99" s="12">
        <f>_xlfn.XLOOKUP(B99,[1]Sheet1!$B:$B,[1]Sheet1!$W:$W,0)</f>
        <v>21781.666666666675</v>
      </c>
      <c r="U99" s="12">
        <f>_xlfn.XLOOKUP(B99,[1]Sheet1!$B:$B,[1]Sheet1!$X:$X,0)</f>
        <v>21781.666666666675</v>
      </c>
      <c r="V99" s="12">
        <f>_xlfn.XLOOKUP(B99,[1]Sheet1!$B:$B,[1]Sheet1!$Y:$Y,0)</f>
        <v>21781.666666666701</v>
      </c>
      <c r="W99" s="12">
        <f t="shared" si="5"/>
        <v>261380.00000000023</v>
      </c>
      <c r="X99" s="8" t="s">
        <v>152</v>
      </c>
      <c r="Y99" s="8" t="s">
        <v>65</v>
      </c>
      <c r="Z99" s="8" t="s">
        <v>153</v>
      </c>
      <c r="AA99" s="8" t="s">
        <v>151</v>
      </c>
      <c r="AB99" s="8" t="s">
        <v>36</v>
      </c>
      <c r="AC99" s="8" t="s">
        <v>37</v>
      </c>
      <c r="AD99" s="8" t="s">
        <v>69</v>
      </c>
      <c r="AE99" s="8" t="s">
        <v>39</v>
      </c>
      <c r="AF99" s="8" t="s">
        <v>40</v>
      </c>
      <c r="AG99" s="9">
        <v>261381</v>
      </c>
      <c r="AH99" s="11">
        <f>_xlfn.XLOOKUP(B99,[1]Sheet1!$B:$B,[1]Sheet1!$AB:$AB,0)</f>
        <v>261380.00000000023</v>
      </c>
    </row>
    <row r="100" spans="2:34" ht="16.8" thickTop="1" thickBot="1" x14ac:dyDescent="0.35">
      <c r="B100" s="3" t="str">
        <f t="shared" si="4"/>
        <v>45112504511000187Pest Control-N422321200104</v>
      </c>
      <c r="C100" s="6" t="s">
        <v>67</v>
      </c>
      <c r="D100" s="6" t="s">
        <v>253</v>
      </c>
      <c r="E100" s="6" t="s">
        <v>254</v>
      </c>
      <c r="F100" s="6" t="s">
        <v>103</v>
      </c>
      <c r="G100" s="4" t="s">
        <v>2816</v>
      </c>
      <c r="H100" s="4" t="s">
        <v>2922</v>
      </c>
      <c r="I100" s="6" t="s">
        <v>104</v>
      </c>
      <c r="J100" s="6" t="s">
        <v>31</v>
      </c>
      <c r="K100" s="12">
        <f>_xlfn.XLOOKUP(B100,[1]Sheet1!$B:$B,[1]Sheet1!$N:$N,0)</f>
        <v>0</v>
      </c>
      <c r="L100" s="12">
        <f>_xlfn.XLOOKUP(B100,[1]Sheet1!$B:$B,[1]Sheet1!$O:$O,0)</f>
        <v>0</v>
      </c>
      <c r="M100" s="12">
        <f>_xlfn.XLOOKUP(B100,[1]Sheet1!$B:$B,[1]Sheet1!$P:$P,0)</f>
        <v>0</v>
      </c>
      <c r="N100" s="12">
        <f>_xlfn.XLOOKUP(B100,[1]Sheet1!$B:$B,[1]Sheet1!$Q:$Q,0)</f>
        <v>31050</v>
      </c>
      <c r="O100" s="12">
        <f>_xlfn.XLOOKUP(B100,[1]Sheet1!$B:$B,[1]Sheet1!$R:$R,0)</f>
        <v>10350</v>
      </c>
      <c r="P100" s="12">
        <f>_xlfn.XLOOKUP(B100,[1]Sheet1!$B:$B,[1]Sheet1!$S:$S,0)</f>
        <v>10350</v>
      </c>
      <c r="Q100" s="12">
        <f>_xlfn.XLOOKUP(B100,[1]Sheet1!$B:$B,[1]Sheet1!$T:$T,0)</f>
        <v>10350</v>
      </c>
      <c r="R100" s="12">
        <f>_xlfn.XLOOKUP(B100,[1]Sheet1!$B:$B,[1]Sheet1!$U:$U,0)</f>
        <v>10350</v>
      </c>
      <c r="S100" s="12">
        <f>_xlfn.XLOOKUP(B100,[1]Sheet1!$B:$B,[1]Sheet1!$V:$V,0)</f>
        <v>10350</v>
      </c>
      <c r="T100" s="12">
        <f>_xlfn.XLOOKUP(B100,[1]Sheet1!$B:$B,[1]Sheet1!$W:$W,0)</f>
        <v>10350</v>
      </c>
      <c r="U100" s="12">
        <f>_xlfn.XLOOKUP(B100,[1]Sheet1!$B:$B,[1]Sheet1!$X:$X,0)</f>
        <v>10350</v>
      </c>
      <c r="V100" s="12">
        <f>_xlfn.XLOOKUP(B100,[1]Sheet1!$B:$B,[1]Sheet1!$Y:$Y,0)</f>
        <v>20700</v>
      </c>
      <c r="W100" s="12">
        <f t="shared" si="5"/>
        <v>124200</v>
      </c>
      <c r="X100" s="6" t="s">
        <v>105</v>
      </c>
      <c r="Y100" s="6" t="s">
        <v>65</v>
      </c>
      <c r="Z100" s="6" t="s">
        <v>66</v>
      </c>
      <c r="AA100" s="6" t="s">
        <v>106</v>
      </c>
      <c r="AB100" s="6" t="s">
        <v>36</v>
      </c>
      <c r="AC100" s="6" t="s">
        <v>37</v>
      </c>
      <c r="AD100" s="6" t="s">
        <v>69</v>
      </c>
      <c r="AE100" s="6" t="s">
        <v>39</v>
      </c>
      <c r="AF100" s="6" t="s">
        <v>40</v>
      </c>
      <c r="AG100" s="7">
        <v>124200</v>
      </c>
      <c r="AH100" s="11">
        <f>_xlfn.XLOOKUP(B100,[1]Sheet1!$B:$B,[1]Sheet1!$AB:$AB,0)</f>
        <v>124200</v>
      </c>
    </row>
    <row r="101" spans="2:34" ht="16.8" thickTop="1" thickBot="1" x14ac:dyDescent="0.35">
      <c r="B101" s="3" t="str">
        <f t="shared" si="4"/>
        <v>45115504511000187SM Managnt E-E-N422511200104</v>
      </c>
      <c r="C101" s="8" t="s">
        <v>154</v>
      </c>
      <c r="D101" s="8" t="s">
        <v>253</v>
      </c>
      <c r="E101" s="8" t="s">
        <v>254</v>
      </c>
      <c r="F101" s="8" t="s">
        <v>255</v>
      </c>
      <c r="G101" s="4" t="s">
        <v>2819</v>
      </c>
      <c r="H101" s="4" t="s">
        <v>2922</v>
      </c>
      <c r="I101" s="8" t="s">
        <v>151</v>
      </c>
      <c r="J101" s="8" t="s">
        <v>31</v>
      </c>
      <c r="K101" s="12">
        <f>_xlfn.XLOOKUP(B101,[1]Sheet1!$B:$B,[1]Sheet1!$N:$N,0)</f>
        <v>0</v>
      </c>
      <c r="L101" s="12">
        <f>_xlfn.XLOOKUP(B101,[1]Sheet1!$B:$B,[1]Sheet1!$O:$O,0)</f>
        <v>0</v>
      </c>
      <c r="M101" s="12">
        <f>_xlfn.XLOOKUP(B101,[1]Sheet1!$B:$B,[1]Sheet1!$P:$P,0)</f>
        <v>0</v>
      </c>
      <c r="N101" s="12">
        <f>_xlfn.XLOOKUP(B101,[1]Sheet1!$B:$B,[1]Sheet1!$Q:$Q,0)</f>
        <v>113333.33333333323</v>
      </c>
      <c r="O101" s="12">
        <f>_xlfn.XLOOKUP(B101,[1]Sheet1!$B:$B,[1]Sheet1!$R:$R,0)</f>
        <v>28333.333333333332</v>
      </c>
      <c r="P101" s="12">
        <f>_xlfn.XLOOKUP(B101,[1]Sheet1!$B:$B,[1]Sheet1!$S:$S,0)</f>
        <v>28333.333333333332</v>
      </c>
      <c r="Q101" s="12">
        <f>_xlfn.XLOOKUP(B101,[1]Sheet1!$B:$B,[1]Sheet1!$T:$T,0)</f>
        <v>28333.333333333332</v>
      </c>
      <c r="R101" s="12">
        <f>_xlfn.XLOOKUP(B101,[1]Sheet1!$B:$B,[1]Sheet1!$U:$U,0)</f>
        <v>28333.333333333332</v>
      </c>
      <c r="S101" s="12">
        <f>_xlfn.XLOOKUP(B101,[1]Sheet1!$B:$B,[1]Sheet1!$V:$V,0)</f>
        <v>28333.333333333332</v>
      </c>
      <c r="T101" s="12">
        <f>_xlfn.XLOOKUP(B101,[1]Sheet1!$B:$B,[1]Sheet1!$W:$W,0)</f>
        <v>28333.333333333332</v>
      </c>
      <c r="U101" s="12">
        <f>_xlfn.XLOOKUP(B101,[1]Sheet1!$B:$B,[1]Sheet1!$X:$X,0)</f>
        <v>28333.333333333332</v>
      </c>
      <c r="V101" s="12">
        <f>_xlfn.XLOOKUP(B101,[1]Sheet1!$B:$B,[1]Sheet1!$Y:$Y,0)</f>
        <v>28333.333333333332</v>
      </c>
      <c r="W101" s="12">
        <f t="shared" si="5"/>
        <v>339999.99999999988</v>
      </c>
      <c r="X101" s="8" t="s">
        <v>152</v>
      </c>
      <c r="Y101" s="8" t="s">
        <v>65</v>
      </c>
      <c r="Z101" s="8" t="s">
        <v>153</v>
      </c>
      <c r="AA101" s="8" t="s">
        <v>151</v>
      </c>
      <c r="AB101" s="8" t="s">
        <v>36</v>
      </c>
      <c r="AC101" s="8" t="s">
        <v>37</v>
      </c>
      <c r="AD101" s="8" t="s">
        <v>69</v>
      </c>
      <c r="AE101" s="8" t="s">
        <v>39</v>
      </c>
      <c r="AF101" s="8" t="s">
        <v>40</v>
      </c>
      <c r="AG101" s="9">
        <v>340000</v>
      </c>
      <c r="AH101" s="11">
        <f>_xlfn.XLOOKUP(B101,[1]Sheet1!$B:$B,[1]Sheet1!$AB:$AB,0)</f>
        <v>339999.99999999988</v>
      </c>
    </row>
    <row r="102" spans="2:34" ht="16.8" thickTop="1" thickBot="1" x14ac:dyDescent="0.35">
      <c r="B102" s="3" t="str">
        <f t="shared" si="4"/>
        <v>45112504511000187Security Service-N424551200104</v>
      </c>
      <c r="C102" s="6" t="s">
        <v>67</v>
      </c>
      <c r="D102" s="6" t="s">
        <v>253</v>
      </c>
      <c r="E102" s="6" t="s">
        <v>254</v>
      </c>
      <c r="F102" s="6" t="s">
        <v>107</v>
      </c>
      <c r="G102" s="4" t="s">
        <v>2817</v>
      </c>
      <c r="H102" s="4" t="s">
        <v>2922</v>
      </c>
      <c r="I102" s="6" t="s">
        <v>108</v>
      </c>
      <c r="J102" s="6" t="s">
        <v>31</v>
      </c>
      <c r="K102" s="12">
        <f>_xlfn.XLOOKUP(B102,[1]Sheet1!$B:$B,[1]Sheet1!$N:$N,0)</f>
        <v>0</v>
      </c>
      <c r="L102" s="12">
        <f>_xlfn.XLOOKUP(B102,[1]Sheet1!$B:$B,[1]Sheet1!$O:$O,0)</f>
        <v>0</v>
      </c>
      <c r="M102" s="12">
        <f>_xlfn.XLOOKUP(B102,[1]Sheet1!$B:$B,[1]Sheet1!$P:$P,0)</f>
        <v>0</v>
      </c>
      <c r="N102" s="12">
        <f>_xlfn.XLOOKUP(B102,[1]Sheet1!$B:$B,[1]Sheet1!$Q:$Q,0)</f>
        <v>268650</v>
      </c>
      <c r="O102" s="12">
        <f>_xlfn.XLOOKUP(B102,[1]Sheet1!$B:$B,[1]Sheet1!$R:$R,0)</f>
        <v>89550</v>
      </c>
      <c r="P102" s="12">
        <f>_xlfn.XLOOKUP(B102,[1]Sheet1!$B:$B,[1]Sheet1!$S:$S,0)</f>
        <v>89550</v>
      </c>
      <c r="Q102" s="12">
        <f>_xlfn.XLOOKUP(B102,[1]Sheet1!$B:$B,[1]Sheet1!$T:$T,0)</f>
        <v>89550</v>
      </c>
      <c r="R102" s="12">
        <f>_xlfn.XLOOKUP(B102,[1]Sheet1!$B:$B,[1]Sheet1!$U:$U,0)</f>
        <v>89550</v>
      </c>
      <c r="S102" s="12">
        <f>_xlfn.XLOOKUP(B102,[1]Sheet1!$B:$B,[1]Sheet1!$V:$V,0)</f>
        <v>89550</v>
      </c>
      <c r="T102" s="12">
        <f>_xlfn.XLOOKUP(B102,[1]Sheet1!$B:$B,[1]Sheet1!$W:$W,0)</f>
        <v>89550</v>
      </c>
      <c r="U102" s="12">
        <f>_xlfn.XLOOKUP(B102,[1]Sheet1!$B:$B,[1]Sheet1!$X:$X,0)</f>
        <v>25555</v>
      </c>
      <c r="V102" s="12">
        <f>_xlfn.XLOOKUP(B102,[1]Sheet1!$B:$B,[1]Sheet1!$Y:$Y,0)</f>
        <v>0</v>
      </c>
      <c r="W102" s="12">
        <f t="shared" si="5"/>
        <v>831505</v>
      </c>
      <c r="X102" s="6" t="s">
        <v>109</v>
      </c>
      <c r="Y102" s="6" t="s">
        <v>65</v>
      </c>
      <c r="Z102" s="6" t="s">
        <v>66</v>
      </c>
      <c r="AA102" s="6" t="s">
        <v>108</v>
      </c>
      <c r="AB102" s="6" t="s">
        <v>36</v>
      </c>
      <c r="AC102" s="6" t="s">
        <v>37</v>
      </c>
      <c r="AD102" s="6" t="s">
        <v>69</v>
      </c>
      <c r="AE102" s="6" t="s">
        <v>39</v>
      </c>
      <c r="AF102" s="6" t="s">
        <v>40</v>
      </c>
      <c r="AG102" s="7">
        <v>837745.5</v>
      </c>
      <c r="AH102" s="11">
        <f>_xlfn.XLOOKUP(B102,[1]Sheet1!$B:$B,[1]Sheet1!$AB:$AB,0)</f>
        <v>837746</v>
      </c>
    </row>
    <row r="103" spans="2:34" ht="16.8" thickTop="1" thickBot="1" x14ac:dyDescent="0.35">
      <c r="B103" s="3" t="str">
        <f t="shared" si="4"/>
        <v>45112504511000187Utilities-N423931200104</v>
      </c>
      <c r="C103" s="8" t="s">
        <v>67</v>
      </c>
      <c r="D103" s="8" t="s">
        <v>253</v>
      </c>
      <c r="E103" s="8" t="s">
        <v>254</v>
      </c>
      <c r="F103" s="8" t="s">
        <v>110</v>
      </c>
      <c r="G103" s="4" t="s">
        <v>2818</v>
      </c>
      <c r="H103" s="4" t="s">
        <v>2922</v>
      </c>
      <c r="I103" s="8" t="s">
        <v>111</v>
      </c>
      <c r="J103" s="8" t="s">
        <v>31</v>
      </c>
      <c r="K103" s="12">
        <f>_xlfn.XLOOKUP(B103,[1]Sheet1!$B:$B,[1]Sheet1!$N:$N,0)</f>
        <v>0</v>
      </c>
      <c r="L103" s="12">
        <f>_xlfn.XLOOKUP(B103,[1]Sheet1!$B:$B,[1]Sheet1!$O:$O,0)</f>
        <v>0</v>
      </c>
      <c r="M103" s="12">
        <f>_xlfn.XLOOKUP(B103,[1]Sheet1!$B:$B,[1]Sheet1!$P:$P,0)</f>
        <v>0</v>
      </c>
      <c r="N103" s="12">
        <f>_xlfn.XLOOKUP(B103,[1]Sheet1!$B:$B,[1]Sheet1!$Q:$Q,0)</f>
        <v>577544</v>
      </c>
      <c r="O103" s="12">
        <f>_xlfn.XLOOKUP(B103,[1]Sheet1!$B:$B,[1]Sheet1!$R:$R,0)</f>
        <v>288772</v>
      </c>
      <c r="P103" s="12">
        <f>_xlfn.XLOOKUP(B103,[1]Sheet1!$B:$B,[1]Sheet1!$S:$S,0)</f>
        <v>288772</v>
      </c>
      <c r="Q103" s="12">
        <f>_xlfn.XLOOKUP(B103,[1]Sheet1!$B:$B,[1]Sheet1!$T:$T,0)</f>
        <v>288772</v>
      </c>
      <c r="R103" s="12">
        <f>_xlfn.XLOOKUP(B103,[1]Sheet1!$B:$B,[1]Sheet1!$U:$U,0)</f>
        <v>288772</v>
      </c>
      <c r="S103" s="12">
        <f>_xlfn.XLOOKUP(B103,[1]Sheet1!$B:$B,[1]Sheet1!$V:$V,0)</f>
        <v>304185</v>
      </c>
      <c r="T103" s="12">
        <f>_xlfn.XLOOKUP(B103,[1]Sheet1!$B:$B,[1]Sheet1!$W:$W,0)</f>
        <v>0</v>
      </c>
      <c r="U103" s="12">
        <f>_xlfn.XLOOKUP(B103,[1]Sheet1!$B:$B,[1]Sheet1!$X:$X,0)</f>
        <v>0</v>
      </c>
      <c r="V103" s="12">
        <f>_xlfn.XLOOKUP(B103,[1]Sheet1!$B:$B,[1]Sheet1!$Y:$Y,0)</f>
        <v>0</v>
      </c>
      <c r="W103" s="12">
        <f t="shared" si="5"/>
        <v>2036817</v>
      </c>
      <c r="X103" s="8" t="s">
        <v>112</v>
      </c>
      <c r="Y103" s="8" t="s">
        <v>65</v>
      </c>
      <c r="Z103" s="8" t="s">
        <v>66</v>
      </c>
      <c r="AA103" s="8" t="s">
        <v>111</v>
      </c>
      <c r="AB103" s="8" t="s">
        <v>36</v>
      </c>
      <c r="AC103" s="8" t="s">
        <v>37</v>
      </c>
      <c r="AD103" s="8" t="s">
        <v>69</v>
      </c>
      <c r="AE103" s="8" t="s">
        <v>39</v>
      </c>
      <c r="AF103" s="8" t="s">
        <v>40</v>
      </c>
      <c r="AG103" s="9">
        <v>2036817.09</v>
      </c>
      <c r="AH103" s="11">
        <f>_xlfn.XLOOKUP(B103,[1]Sheet1!$B:$B,[1]Sheet1!$AB:$AB,0)</f>
        <v>2036817</v>
      </c>
    </row>
    <row r="104" spans="2:34" ht="16.8" thickTop="1" thickBot="1" x14ac:dyDescent="0.35">
      <c r="B104" s="3" t="str">
        <f t="shared" si="4"/>
        <v>45117004511000188Activation&amp;Prog-N422401200104</v>
      </c>
      <c r="C104" s="6" t="s">
        <v>260</v>
      </c>
      <c r="D104" s="6" t="s">
        <v>256</v>
      </c>
      <c r="E104" s="6" t="s">
        <v>257</v>
      </c>
      <c r="F104" s="6" t="s">
        <v>62</v>
      </c>
      <c r="G104" s="4" t="s">
        <v>2807</v>
      </c>
      <c r="H104" s="4" t="s">
        <v>2922</v>
      </c>
      <c r="I104" s="6" t="s">
        <v>63</v>
      </c>
      <c r="J104" s="6" t="s">
        <v>31</v>
      </c>
      <c r="K104" s="12">
        <f>_xlfn.XLOOKUP(B104,[1]Sheet1!$B:$B,[1]Sheet1!$N:$N,0)</f>
        <v>0</v>
      </c>
      <c r="L104" s="12">
        <f>_xlfn.XLOOKUP(B104,[1]Sheet1!$B:$B,[1]Sheet1!$O:$O,0)</f>
        <v>0</v>
      </c>
      <c r="M104" s="12">
        <f>_xlfn.XLOOKUP(B104,[1]Sheet1!$B:$B,[1]Sheet1!$P:$P,0)</f>
        <v>0</v>
      </c>
      <c r="N104" s="12">
        <f>_xlfn.XLOOKUP(B104,[1]Sheet1!$B:$B,[1]Sheet1!$Q:$Q,0)</f>
        <v>0</v>
      </c>
      <c r="O104" s="12">
        <f>_xlfn.XLOOKUP(B104,[1]Sheet1!$B:$B,[1]Sheet1!$R:$R,0)</f>
        <v>200000</v>
      </c>
      <c r="P104" s="12">
        <f>_xlfn.XLOOKUP(B104,[1]Sheet1!$B:$B,[1]Sheet1!$S:$S,0)</f>
        <v>300000</v>
      </c>
      <c r="Q104" s="12">
        <f>_xlfn.XLOOKUP(B104,[1]Sheet1!$B:$B,[1]Sheet1!$T:$T,0)</f>
        <v>145000</v>
      </c>
      <c r="R104" s="12">
        <f>_xlfn.XLOOKUP(B104,[1]Sheet1!$B:$B,[1]Sheet1!$U:$U,0)</f>
        <v>0</v>
      </c>
      <c r="S104" s="12">
        <f>_xlfn.XLOOKUP(B104,[1]Sheet1!$B:$B,[1]Sheet1!$V:$V,0)</f>
        <v>100000</v>
      </c>
      <c r="T104" s="12">
        <f>_xlfn.XLOOKUP(B104,[1]Sheet1!$B:$B,[1]Sheet1!$W:$W,0)</f>
        <v>0</v>
      </c>
      <c r="U104" s="12">
        <f>_xlfn.XLOOKUP(B104,[1]Sheet1!$B:$B,[1]Sheet1!$X:$X,0)</f>
        <v>0</v>
      </c>
      <c r="V104" s="12">
        <f>_xlfn.XLOOKUP(B104,[1]Sheet1!$B:$B,[1]Sheet1!$Y:$Y,0)</f>
        <v>0</v>
      </c>
      <c r="W104" s="12">
        <f t="shared" si="5"/>
        <v>745000</v>
      </c>
      <c r="X104" s="6" t="s">
        <v>258</v>
      </c>
      <c r="Y104" s="6" t="s">
        <v>65</v>
      </c>
      <c r="Z104" s="6" t="s">
        <v>259</v>
      </c>
      <c r="AA104" s="6" t="s">
        <v>68</v>
      </c>
      <c r="AB104" s="6" t="s">
        <v>36</v>
      </c>
      <c r="AC104" s="6" t="s">
        <v>37</v>
      </c>
      <c r="AD104" s="6" t="s">
        <v>102</v>
      </c>
      <c r="AE104" s="6" t="s">
        <v>39</v>
      </c>
      <c r="AF104" s="6" t="s">
        <v>40</v>
      </c>
      <c r="AG104" s="7">
        <v>745000</v>
      </c>
      <c r="AH104" s="11">
        <f>_xlfn.XLOOKUP(B104,[1]Sheet1!$B:$B,[1]Sheet1!$AB:$AB,0)</f>
        <v>745000</v>
      </c>
    </row>
    <row r="105" spans="2:34" ht="16.8" thickTop="1" thickBot="1" x14ac:dyDescent="0.35">
      <c r="B105" s="3" t="str">
        <f t="shared" si="4"/>
        <v>45117004511000188Mission &amp; Travel-N423821200104</v>
      </c>
      <c r="C105" s="8" t="s">
        <v>260</v>
      </c>
      <c r="D105" s="8" t="s">
        <v>256</v>
      </c>
      <c r="E105" s="8" t="s">
        <v>257</v>
      </c>
      <c r="F105" s="8" t="s">
        <v>54</v>
      </c>
      <c r="G105" s="4" t="s">
        <v>2805</v>
      </c>
      <c r="H105" s="4" t="s">
        <v>2922</v>
      </c>
      <c r="I105" s="8" t="s">
        <v>55</v>
      </c>
      <c r="J105" s="8" t="s">
        <v>31</v>
      </c>
      <c r="K105" s="12">
        <f>_xlfn.XLOOKUP(B105,[1]Sheet1!$B:$B,[1]Sheet1!$N:$N,0)</f>
        <v>0</v>
      </c>
      <c r="L105" s="12">
        <f>_xlfn.XLOOKUP(B105,[1]Sheet1!$B:$B,[1]Sheet1!$O:$O,0)</f>
        <v>0</v>
      </c>
      <c r="M105" s="12">
        <f>_xlfn.XLOOKUP(B105,[1]Sheet1!$B:$B,[1]Sheet1!$P:$P,0)</f>
        <v>0</v>
      </c>
      <c r="N105" s="12">
        <f>_xlfn.XLOOKUP(B105,[1]Sheet1!$B:$B,[1]Sheet1!$Q:$Q,0)</f>
        <v>0</v>
      </c>
      <c r="O105" s="12">
        <f>_xlfn.XLOOKUP(B105,[1]Sheet1!$B:$B,[1]Sheet1!$R:$R,0)</f>
        <v>0</v>
      </c>
      <c r="P105" s="12">
        <f>_xlfn.XLOOKUP(B105,[1]Sheet1!$B:$B,[1]Sheet1!$S:$S,0)</f>
        <v>0</v>
      </c>
      <c r="Q105" s="12">
        <f>_xlfn.XLOOKUP(B105,[1]Sheet1!$B:$B,[1]Sheet1!$T:$T,0)</f>
        <v>145000</v>
      </c>
      <c r="R105" s="12">
        <f>_xlfn.XLOOKUP(B105,[1]Sheet1!$B:$B,[1]Sheet1!$U:$U,0)</f>
        <v>0</v>
      </c>
      <c r="S105" s="12">
        <f>_xlfn.XLOOKUP(B105,[1]Sheet1!$B:$B,[1]Sheet1!$V:$V,0)</f>
        <v>0</v>
      </c>
      <c r="T105" s="12">
        <f>_xlfn.XLOOKUP(B105,[1]Sheet1!$B:$B,[1]Sheet1!$W:$W,0)</f>
        <v>0</v>
      </c>
      <c r="U105" s="12">
        <f>_xlfn.XLOOKUP(B105,[1]Sheet1!$B:$B,[1]Sheet1!$X:$X,0)</f>
        <v>0</v>
      </c>
      <c r="V105" s="12">
        <f>_xlfn.XLOOKUP(B105,[1]Sheet1!$B:$B,[1]Sheet1!$Y:$Y,0)</f>
        <v>0</v>
      </c>
      <c r="W105" s="12">
        <f t="shared" si="5"/>
        <v>145000</v>
      </c>
      <c r="X105" s="8" t="s">
        <v>261</v>
      </c>
      <c r="Y105" s="8" t="s">
        <v>65</v>
      </c>
      <c r="Z105" s="8" t="s">
        <v>259</v>
      </c>
      <c r="AA105" s="8" t="s">
        <v>55</v>
      </c>
      <c r="AB105" s="8" t="s">
        <v>36</v>
      </c>
      <c r="AC105" s="8" t="s">
        <v>37</v>
      </c>
      <c r="AD105" s="8" t="s">
        <v>102</v>
      </c>
      <c r="AE105" s="8" t="s">
        <v>39</v>
      </c>
      <c r="AF105" s="8" t="s">
        <v>40</v>
      </c>
      <c r="AG105" s="9">
        <v>145000</v>
      </c>
      <c r="AH105" s="11">
        <f>_xlfn.XLOOKUP(B105,[1]Sheet1!$B:$B,[1]Sheet1!$AB:$AB,0)</f>
        <v>145000</v>
      </c>
    </row>
    <row r="106" spans="2:34" ht="16.8" thickTop="1" thickBot="1" x14ac:dyDescent="0.35">
      <c r="B106" s="3" t="str">
        <f t="shared" si="4"/>
        <v>45117004511000188Talent Fees-N422511200104</v>
      </c>
      <c r="C106" s="6" t="s">
        <v>260</v>
      </c>
      <c r="D106" s="6" t="s">
        <v>256</v>
      </c>
      <c r="E106" s="6" t="s">
        <v>257</v>
      </c>
      <c r="F106" s="6" t="s">
        <v>262</v>
      </c>
      <c r="G106" s="4" t="s">
        <v>2819</v>
      </c>
      <c r="H106" s="4" t="s">
        <v>2922</v>
      </c>
      <c r="I106" s="6" t="s">
        <v>151</v>
      </c>
      <c r="J106" s="6" t="s">
        <v>31</v>
      </c>
      <c r="K106" s="12">
        <f>_xlfn.XLOOKUP(B106,[1]Sheet1!$B:$B,[1]Sheet1!$N:$N,0)</f>
        <v>0</v>
      </c>
      <c r="L106" s="12">
        <f>_xlfn.XLOOKUP(B106,[1]Sheet1!$B:$B,[1]Sheet1!$O:$O,0)</f>
        <v>0</v>
      </c>
      <c r="M106" s="12">
        <f>_xlfn.XLOOKUP(B106,[1]Sheet1!$B:$B,[1]Sheet1!$P:$P,0)</f>
        <v>0</v>
      </c>
      <c r="N106" s="12">
        <f>_xlfn.XLOOKUP(B106,[1]Sheet1!$B:$B,[1]Sheet1!$Q:$Q,0)</f>
        <v>0</v>
      </c>
      <c r="O106" s="12">
        <f>_xlfn.XLOOKUP(B106,[1]Sheet1!$B:$B,[1]Sheet1!$R:$R,0)</f>
        <v>70000</v>
      </c>
      <c r="P106" s="12">
        <f>_xlfn.XLOOKUP(B106,[1]Sheet1!$B:$B,[1]Sheet1!$S:$S,0)</f>
        <v>21185</v>
      </c>
      <c r="Q106" s="12">
        <f>_xlfn.XLOOKUP(B106,[1]Sheet1!$B:$B,[1]Sheet1!$T:$T,0)</f>
        <v>200000</v>
      </c>
      <c r="R106" s="12">
        <f>_xlfn.XLOOKUP(B106,[1]Sheet1!$B:$B,[1]Sheet1!$U:$U,0)</f>
        <v>0</v>
      </c>
      <c r="S106" s="12">
        <f>_xlfn.XLOOKUP(B106,[1]Sheet1!$B:$B,[1]Sheet1!$V:$V,0)</f>
        <v>0</v>
      </c>
      <c r="T106" s="12">
        <f>_xlfn.XLOOKUP(B106,[1]Sheet1!$B:$B,[1]Sheet1!$W:$W,0)</f>
        <v>100000</v>
      </c>
      <c r="U106" s="12">
        <f>_xlfn.XLOOKUP(B106,[1]Sheet1!$B:$B,[1]Sheet1!$X:$X,0)</f>
        <v>0</v>
      </c>
      <c r="V106" s="12">
        <f>_xlfn.XLOOKUP(B106,[1]Sheet1!$B:$B,[1]Sheet1!$Y:$Y,0)</f>
        <v>0</v>
      </c>
      <c r="W106" s="12">
        <f t="shared" si="5"/>
        <v>391185</v>
      </c>
      <c r="X106" s="6" t="s">
        <v>263</v>
      </c>
      <c r="Y106" s="6" t="s">
        <v>65</v>
      </c>
      <c r="Z106" s="6" t="s">
        <v>259</v>
      </c>
      <c r="AA106" s="6" t="s">
        <v>151</v>
      </c>
      <c r="AB106" s="6" t="s">
        <v>36</v>
      </c>
      <c r="AC106" s="6" t="s">
        <v>37</v>
      </c>
      <c r="AD106" s="6" t="s">
        <v>102</v>
      </c>
      <c r="AE106" s="6" t="s">
        <v>39</v>
      </c>
      <c r="AF106" s="6" t="s">
        <v>40</v>
      </c>
      <c r="AG106" s="7">
        <v>391185</v>
      </c>
      <c r="AH106" s="11">
        <f>_xlfn.XLOOKUP(B106,[1]Sheet1!$B:$B,[1]Sheet1!$AB:$AB,0)</f>
        <v>391185</v>
      </c>
    </row>
    <row r="107" spans="2:34" ht="16.8" thickTop="1" thickBot="1" x14ac:dyDescent="0.35">
      <c r="B107" s="3" t="str">
        <f t="shared" si="4"/>
        <v>45110104511000208Admin Expenses-N421125200104</v>
      </c>
      <c r="C107" s="8" t="s">
        <v>268</v>
      </c>
      <c r="D107" s="8" t="s">
        <v>264</v>
      </c>
      <c r="E107" s="8" t="s">
        <v>265</v>
      </c>
      <c r="F107" s="8" t="s">
        <v>130</v>
      </c>
      <c r="G107" s="4" t="s">
        <v>2803</v>
      </c>
      <c r="H107" s="4" t="s">
        <v>2922</v>
      </c>
      <c r="I107" s="8" t="s">
        <v>44</v>
      </c>
      <c r="J107" s="8" t="s">
        <v>31</v>
      </c>
      <c r="K107" s="12">
        <f>_xlfn.XLOOKUP(B107,[1]Sheet1!$B:$B,[1]Sheet1!$N:$N,0)</f>
        <v>0</v>
      </c>
      <c r="L107" s="12">
        <f>_xlfn.XLOOKUP(B107,[1]Sheet1!$B:$B,[1]Sheet1!$O:$O,0)</f>
        <v>0</v>
      </c>
      <c r="M107" s="12">
        <f>_xlfn.XLOOKUP(B107,[1]Sheet1!$B:$B,[1]Sheet1!$P:$P,0)</f>
        <v>0</v>
      </c>
      <c r="N107" s="12">
        <f>_xlfn.XLOOKUP(B107,[1]Sheet1!$B:$B,[1]Sheet1!$Q:$Q,0)</f>
        <v>0</v>
      </c>
      <c r="O107" s="12">
        <f>_xlfn.XLOOKUP(B107,[1]Sheet1!$B:$B,[1]Sheet1!$R:$R,0)</f>
        <v>50000</v>
      </c>
      <c r="P107" s="12">
        <f>_xlfn.XLOOKUP(B107,[1]Sheet1!$B:$B,[1]Sheet1!$S:$S,0)</f>
        <v>0</v>
      </c>
      <c r="Q107" s="12">
        <f>_xlfn.XLOOKUP(B107,[1]Sheet1!$B:$B,[1]Sheet1!$T:$T,0)</f>
        <v>50000</v>
      </c>
      <c r="R107" s="12">
        <f>_xlfn.XLOOKUP(B107,[1]Sheet1!$B:$B,[1]Sheet1!$U:$U,0)</f>
        <v>0</v>
      </c>
      <c r="S107" s="12">
        <f>_xlfn.XLOOKUP(B107,[1]Sheet1!$B:$B,[1]Sheet1!$V:$V,0)</f>
        <v>100000</v>
      </c>
      <c r="T107" s="12">
        <f>_xlfn.XLOOKUP(B107,[1]Sheet1!$B:$B,[1]Sheet1!$W:$W,0)</f>
        <v>89424</v>
      </c>
      <c r="U107" s="12">
        <f>_xlfn.XLOOKUP(B107,[1]Sheet1!$B:$B,[1]Sheet1!$X:$X,0)</f>
        <v>100000</v>
      </c>
      <c r="V107" s="12">
        <f>_xlfn.XLOOKUP(B107,[1]Sheet1!$B:$B,[1]Sheet1!$Y:$Y,0)</f>
        <v>100000</v>
      </c>
      <c r="W107" s="12">
        <f t="shared" si="5"/>
        <v>489424</v>
      </c>
      <c r="X107" s="8" t="s">
        <v>266</v>
      </c>
      <c r="Y107" s="8" t="s">
        <v>65</v>
      </c>
      <c r="Z107" s="8" t="s">
        <v>267</v>
      </c>
      <c r="AA107" s="8" t="s">
        <v>44</v>
      </c>
      <c r="AB107" s="8" t="s">
        <v>36</v>
      </c>
      <c r="AC107" s="8" t="s">
        <v>37</v>
      </c>
      <c r="AD107" s="8" t="s">
        <v>69</v>
      </c>
      <c r="AE107" s="8" t="s">
        <v>39</v>
      </c>
      <c r="AF107" s="8" t="s">
        <v>40</v>
      </c>
      <c r="AG107" s="9">
        <v>489424</v>
      </c>
      <c r="AH107" s="11">
        <f>_xlfn.XLOOKUP(B107,[1]Sheet1!$B:$B,[1]Sheet1!$AB:$AB,0)</f>
        <v>489424</v>
      </c>
    </row>
    <row r="108" spans="2:34" ht="16.8" thickTop="1" thickBot="1" x14ac:dyDescent="0.35">
      <c r="B108" s="3" t="str">
        <f t="shared" si="4"/>
        <v>45110104511000208Event Management-N422401200104</v>
      </c>
      <c r="C108" s="6" t="s">
        <v>268</v>
      </c>
      <c r="D108" s="6" t="s">
        <v>264</v>
      </c>
      <c r="E108" s="6" t="s">
        <v>265</v>
      </c>
      <c r="F108" s="6" t="s">
        <v>162</v>
      </c>
      <c r="G108" s="4" t="s">
        <v>2807</v>
      </c>
      <c r="H108" s="4" t="s">
        <v>2922</v>
      </c>
      <c r="I108" s="6" t="s">
        <v>63</v>
      </c>
      <c r="J108" s="6" t="s">
        <v>31</v>
      </c>
      <c r="K108" s="12">
        <f>_xlfn.XLOOKUP(B108,[1]Sheet1!$B:$B,[1]Sheet1!$N:$N,0)</f>
        <v>0</v>
      </c>
      <c r="L108" s="12">
        <f>_xlfn.XLOOKUP(B108,[1]Sheet1!$B:$B,[1]Sheet1!$O:$O,0)</f>
        <v>0</v>
      </c>
      <c r="M108" s="12">
        <f>_xlfn.XLOOKUP(B108,[1]Sheet1!$B:$B,[1]Sheet1!$P:$P,0)</f>
        <v>154025.19</v>
      </c>
      <c r="N108" s="12">
        <f>_xlfn.XLOOKUP(B108,[1]Sheet1!$B:$B,[1]Sheet1!$Q:$Q,0)</f>
        <v>0</v>
      </c>
      <c r="O108" s="12">
        <f>_xlfn.XLOOKUP(B108,[1]Sheet1!$B:$B,[1]Sheet1!$R:$R,0)</f>
        <v>0</v>
      </c>
      <c r="P108" s="12">
        <f>_xlfn.XLOOKUP(B108,[1]Sheet1!$B:$B,[1]Sheet1!$S:$S,0)</f>
        <v>0</v>
      </c>
      <c r="Q108" s="12">
        <f>_xlfn.XLOOKUP(B108,[1]Sheet1!$B:$B,[1]Sheet1!$T:$T,0)</f>
        <v>1047033.39047619</v>
      </c>
      <c r="R108" s="12">
        <f>_xlfn.XLOOKUP(B108,[1]Sheet1!$B:$B,[1]Sheet1!$U:$U,0)</f>
        <v>0</v>
      </c>
      <c r="S108" s="12">
        <f>_xlfn.XLOOKUP(B108,[1]Sheet1!$B:$B,[1]Sheet1!$V:$V,0)</f>
        <v>751755.60952380998</v>
      </c>
      <c r="T108" s="12">
        <f>_xlfn.XLOOKUP(B108,[1]Sheet1!$B:$B,[1]Sheet1!$W:$W,0)</f>
        <v>280000</v>
      </c>
      <c r="U108" s="12">
        <f>_xlfn.XLOOKUP(B108,[1]Sheet1!$B:$B,[1]Sheet1!$X:$X,0)</f>
        <v>3000000</v>
      </c>
      <c r="V108" s="12">
        <f>_xlfn.XLOOKUP(B108,[1]Sheet1!$B:$B,[1]Sheet1!$Y:$Y,0)</f>
        <v>5000000</v>
      </c>
      <c r="W108" s="12">
        <f t="shared" si="5"/>
        <v>10232814.189999999</v>
      </c>
      <c r="X108" s="6" t="s">
        <v>269</v>
      </c>
      <c r="Y108" s="6" t="s">
        <v>65</v>
      </c>
      <c r="Z108" s="6" t="s">
        <v>267</v>
      </c>
      <c r="AA108" s="6" t="s">
        <v>68</v>
      </c>
      <c r="AB108" s="6" t="s">
        <v>36</v>
      </c>
      <c r="AC108" s="6" t="s">
        <v>37</v>
      </c>
      <c r="AD108" s="6" t="s">
        <v>270</v>
      </c>
      <c r="AE108" s="6" t="s">
        <v>39</v>
      </c>
      <c r="AF108" s="6" t="s">
        <v>40</v>
      </c>
      <c r="AG108" s="7">
        <v>4648813</v>
      </c>
      <c r="AH108" s="11">
        <f>_xlfn.XLOOKUP(B108,[1]Sheet1!$B:$B,[1]Sheet1!$AB:$AB,0)</f>
        <v>4648813.1899999995</v>
      </c>
    </row>
    <row r="109" spans="2:34" ht="16.8" thickTop="1" thickBot="1" x14ac:dyDescent="0.35">
      <c r="B109" s="3" t="str">
        <f t="shared" si="4"/>
        <v>45110104511000208Freelancers-N424521200104</v>
      </c>
      <c r="C109" s="8" t="s">
        <v>268</v>
      </c>
      <c r="D109" s="8" t="s">
        <v>264</v>
      </c>
      <c r="E109" s="8" t="s">
        <v>265</v>
      </c>
      <c r="F109" s="8" t="s">
        <v>50</v>
      </c>
      <c r="G109" s="4" t="s">
        <v>2804</v>
      </c>
      <c r="H109" s="4" t="s">
        <v>2922</v>
      </c>
      <c r="I109" s="8" t="s">
        <v>51</v>
      </c>
      <c r="J109" s="8" t="s">
        <v>31</v>
      </c>
      <c r="K109" s="12">
        <f>_xlfn.XLOOKUP(B109,[1]Sheet1!$B:$B,[1]Sheet1!$N:$N,0)</f>
        <v>0</v>
      </c>
      <c r="L109" s="12">
        <f>_xlfn.XLOOKUP(B109,[1]Sheet1!$B:$B,[1]Sheet1!$O:$O,0)</f>
        <v>0</v>
      </c>
      <c r="M109" s="12">
        <f>_xlfn.XLOOKUP(B109,[1]Sheet1!$B:$B,[1]Sheet1!$P:$P,0)</f>
        <v>422654.15</v>
      </c>
      <c r="N109" s="12">
        <f>_xlfn.XLOOKUP(B109,[1]Sheet1!$B:$B,[1]Sheet1!$Q:$Q,0)</f>
        <v>69345.850000000006</v>
      </c>
      <c r="O109" s="12">
        <f>_xlfn.XLOOKUP(B109,[1]Sheet1!$B:$B,[1]Sheet1!$R:$R,0)</f>
        <v>164000</v>
      </c>
      <c r="P109" s="12">
        <f>_xlfn.XLOOKUP(B109,[1]Sheet1!$B:$B,[1]Sheet1!$S:$S,0)</f>
        <v>164000</v>
      </c>
      <c r="Q109" s="12">
        <f>_xlfn.XLOOKUP(B109,[1]Sheet1!$B:$B,[1]Sheet1!$T:$T,0)</f>
        <v>164000</v>
      </c>
      <c r="R109" s="12">
        <f>_xlfn.XLOOKUP(B109,[1]Sheet1!$B:$B,[1]Sheet1!$U:$U,0)</f>
        <v>164000</v>
      </c>
      <c r="S109" s="12">
        <f>_xlfn.XLOOKUP(B109,[1]Sheet1!$B:$B,[1]Sheet1!$V:$V,0)</f>
        <v>164000</v>
      </c>
      <c r="T109" s="12">
        <f>_xlfn.XLOOKUP(B109,[1]Sheet1!$B:$B,[1]Sheet1!$W:$W,0)</f>
        <v>164000</v>
      </c>
      <c r="U109" s="12">
        <f>_xlfn.XLOOKUP(B109,[1]Sheet1!$B:$B,[1]Sheet1!$X:$X,0)</f>
        <v>164000</v>
      </c>
      <c r="V109" s="12">
        <f>_xlfn.XLOOKUP(B109,[1]Sheet1!$B:$B,[1]Sheet1!$Y:$Y,0)</f>
        <v>328000</v>
      </c>
      <c r="W109" s="12">
        <f t="shared" si="5"/>
        <v>1968000</v>
      </c>
      <c r="X109" s="8" t="s">
        <v>271</v>
      </c>
      <c r="Y109" s="8" t="s">
        <v>65</v>
      </c>
      <c r="Z109" s="8" t="s">
        <v>267</v>
      </c>
      <c r="AA109" s="8" t="s">
        <v>53</v>
      </c>
      <c r="AB109" s="8" t="s">
        <v>36</v>
      </c>
      <c r="AC109" s="8" t="s">
        <v>37</v>
      </c>
      <c r="AD109" s="8" t="s">
        <v>270</v>
      </c>
      <c r="AE109" s="8" t="s">
        <v>39</v>
      </c>
      <c r="AF109" s="8" t="s">
        <v>40</v>
      </c>
      <c r="AG109" s="9">
        <v>1811917</v>
      </c>
      <c r="AH109" s="11">
        <f>_xlfn.XLOOKUP(B109,[1]Sheet1!$B:$B,[1]Sheet1!$AB:$AB,0)</f>
        <v>1811917</v>
      </c>
    </row>
    <row r="110" spans="2:34" ht="16.8" thickTop="1" thickBot="1" x14ac:dyDescent="0.35">
      <c r="B110" s="3" t="str">
        <f t="shared" si="4"/>
        <v>45110104511000208Hospitality-N424761200104</v>
      </c>
      <c r="C110" s="6" t="s">
        <v>268</v>
      </c>
      <c r="D110" s="6" t="s">
        <v>264</v>
      </c>
      <c r="E110" s="6" t="s">
        <v>265</v>
      </c>
      <c r="F110" s="6" t="s">
        <v>83</v>
      </c>
      <c r="G110" s="4" t="s">
        <v>2811</v>
      </c>
      <c r="H110" s="4" t="s">
        <v>2922</v>
      </c>
      <c r="I110" s="6" t="s">
        <v>84</v>
      </c>
      <c r="J110" s="6" t="s">
        <v>31</v>
      </c>
      <c r="K110" s="12">
        <f>_xlfn.XLOOKUP(B110,[1]Sheet1!$B:$B,[1]Sheet1!$N:$N,0)</f>
        <v>0</v>
      </c>
      <c r="L110" s="12">
        <f>_xlfn.XLOOKUP(B110,[1]Sheet1!$B:$B,[1]Sheet1!$O:$O,0)</f>
        <v>0</v>
      </c>
      <c r="M110" s="12">
        <f>_xlfn.XLOOKUP(B110,[1]Sheet1!$B:$B,[1]Sheet1!$P:$P,0)</f>
        <v>0</v>
      </c>
      <c r="N110" s="12">
        <f>_xlfn.XLOOKUP(B110,[1]Sheet1!$B:$B,[1]Sheet1!$Q:$Q,0)</f>
        <v>0</v>
      </c>
      <c r="O110" s="12">
        <f>_xlfn.XLOOKUP(B110,[1]Sheet1!$B:$B,[1]Sheet1!$R:$R,0)</f>
        <v>0</v>
      </c>
      <c r="P110" s="12">
        <f>_xlfn.XLOOKUP(B110,[1]Sheet1!$B:$B,[1]Sheet1!$S:$S,0)</f>
        <v>0</v>
      </c>
      <c r="Q110" s="12">
        <f>_xlfn.XLOOKUP(B110,[1]Sheet1!$B:$B,[1]Sheet1!$T:$T,0)</f>
        <v>0</v>
      </c>
      <c r="R110" s="12">
        <f>_xlfn.XLOOKUP(B110,[1]Sheet1!$B:$B,[1]Sheet1!$U:$U,0)</f>
        <v>200000</v>
      </c>
      <c r="S110" s="12">
        <f>_xlfn.XLOOKUP(B110,[1]Sheet1!$B:$B,[1]Sheet1!$V:$V,0)</f>
        <v>0</v>
      </c>
      <c r="T110" s="12">
        <f>_xlfn.XLOOKUP(B110,[1]Sheet1!$B:$B,[1]Sheet1!$W:$W,0)</f>
        <v>0</v>
      </c>
      <c r="U110" s="12">
        <f>_xlfn.XLOOKUP(B110,[1]Sheet1!$B:$B,[1]Sheet1!$X:$X,0)</f>
        <v>0</v>
      </c>
      <c r="V110" s="12">
        <f>_xlfn.XLOOKUP(B110,[1]Sheet1!$B:$B,[1]Sheet1!$Y:$Y,0)</f>
        <v>0</v>
      </c>
      <c r="W110" s="12">
        <f t="shared" si="5"/>
        <v>200000</v>
      </c>
      <c r="X110" s="6" t="s">
        <v>272</v>
      </c>
      <c r="Y110" s="6" t="s">
        <v>65</v>
      </c>
      <c r="Z110" s="6" t="s">
        <v>267</v>
      </c>
      <c r="AA110" s="6" t="s">
        <v>84</v>
      </c>
      <c r="AB110" s="6" t="s">
        <v>36</v>
      </c>
      <c r="AC110" s="6" t="s">
        <v>37</v>
      </c>
      <c r="AD110" s="6" t="s">
        <v>270</v>
      </c>
      <c r="AE110" s="6" t="s">
        <v>39</v>
      </c>
      <c r="AF110" s="6" t="s">
        <v>40</v>
      </c>
      <c r="AG110" s="7">
        <v>181000</v>
      </c>
      <c r="AH110" s="11">
        <f>_xlfn.XLOOKUP(B110,[1]Sheet1!$B:$B,[1]Sheet1!$AB:$AB,0)</f>
        <v>181000</v>
      </c>
    </row>
    <row r="111" spans="2:34" ht="16.8" thickTop="1" thickBot="1" x14ac:dyDescent="0.35">
      <c r="B111" s="3" t="str">
        <f t="shared" si="4"/>
        <v>45110104511000208Manpower-N424521200104</v>
      </c>
      <c r="C111" s="8" t="s">
        <v>268</v>
      </c>
      <c r="D111" s="8" t="s">
        <v>264</v>
      </c>
      <c r="E111" s="8" t="s">
        <v>265</v>
      </c>
      <c r="F111" s="8" t="s">
        <v>98</v>
      </c>
      <c r="G111" s="4" t="s">
        <v>2804</v>
      </c>
      <c r="H111" s="4" t="s">
        <v>2922</v>
      </c>
      <c r="I111" s="8" t="s">
        <v>51</v>
      </c>
      <c r="J111" s="8" t="s">
        <v>31</v>
      </c>
      <c r="K111" s="12">
        <f>_xlfn.XLOOKUP(B111,[1]Sheet1!$B:$B,[1]Sheet1!$N:$N,0)</f>
        <v>0</v>
      </c>
      <c r="L111" s="12">
        <f>_xlfn.XLOOKUP(B111,[1]Sheet1!$B:$B,[1]Sheet1!$O:$O,0)</f>
        <v>0</v>
      </c>
      <c r="M111" s="12">
        <f>_xlfn.XLOOKUP(B111,[1]Sheet1!$B:$B,[1]Sheet1!$P:$P,0)</f>
        <v>0</v>
      </c>
      <c r="N111" s="12">
        <f>_xlfn.XLOOKUP(B111,[1]Sheet1!$B:$B,[1]Sheet1!$Q:$Q,0)</f>
        <v>0</v>
      </c>
      <c r="O111" s="12">
        <f>_xlfn.XLOOKUP(B111,[1]Sheet1!$B:$B,[1]Sheet1!$R:$R,0)</f>
        <v>0</v>
      </c>
      <c r="P111" s="12">
        <f>_xlfn.XLOOKUP(B111,[1]Sheet1!$B:$B,[1]Sheet1!$S:$S,0)</f>
        <v>0</v>
      </c>
      <c r="Q111" s="12">
        <f>_xlfn.XLOOKUP(B111,[1]Sheet1!$B:$B,[1]Sheet1!$T:$T,0)</f>
        <v>0</v>
      </c>
      <c r="R111" s="12">
        <f>_xlfn.XLOOKUP(B111,[1]Sheet1!$B:$B,[1]Sheet1!$U:$U,0)</f>
        <v>0</v>
      </c>
      <c r="S111" s="12">
        <f>_xlfn.XLOOKUP(B111,[1]Sheet1!$B:$B,[1]Sheet1!$V:$V,0)</f>
        <v>0</v>
      </c>
      <c r="T111" s="12">
        <f>_xlfn.XLOOKUP(B111,[1]Sheet1!$B:$B,[1]Sheet1!$W:$W,0)</f>
        <v>0</v>
      </c>
      <c r="U111" s="12">
        <f>_xlfn.XLOOKUP(B111,[1]Sheet1!$B:$B,[1]Sheet1!$X:$X,0)</f>
        <v>0</v>
      </c>
      <c r="V111" s="12">
        <f>_xlfn.XLOOKUP(B111,[1]Sheet1!$B:$B,[1]Sheet1!$Y:$Y,0)</f>
        <v>0</v>
      </c>
      <c r="W111" s="12">
        <f t="shared" si="5"/>
        <v>0</v>
      </c>
      <c r="X111" s="8" t="s">
        <v>271</v>
      </c>
      <c r="Y111" s="8" t="s">
        <v>65</v>
      </c>
      <c r="Z111" s="8" t="s">
        <v>267</v>
      </c>
      <c r="AA111" s="8" t="s">
        <v>53</v>
      </c>
      <c r="AB111" s="8" t="s">
        <v>36</v>
      </c>
      <c r="AC111" s="8" t="s">
        <v>37</v>
      </c>
      <c r="AD111" s="8" t="s">
        <v>270</v>
      </c>
      <c r="AE111" s="8" t="s">
        <v>39</v>
      </c>
      <c r="AF111" s="8" t="s">
        <v>40</v>
      </c>
      <c r="AG111" s="9">
        <v>156083</v>
      </c>
      <c r="AH111" s="11">
        <f>_xlfn.XLOOKUP(B111,[1]Sheet1!$B:$B,[1]Sheet1!$AB:$AB,0)</f>
        <v>156083</v>
      </c>
    </row>
    <row r="112" spans="2:34" ht="16.8" thickTop="1" thickBot="1" x14ac:dyDescent="0.35">
      <c r="B112" s="3" t="str">
        <f t="shared" si="4"/>
        <v>45110104511000208Mission &amp; Travel-N423821200104</v>
      </c>
      <c r="C112" s="6" t="s">
        <v>268</v>
      </c>
      <c r="D112" s="6" t="s">
        <v>264</v>
      </c>
      <c r="E112" s="6" t="s">
        <v>265</v>
      </c>
      <c r="F112" s="6" t="s">
        <v>54</v>
      </c>
      <c r="G112" s="4" t="s">
        <v>2805</v>
      </c>
      <c r="H112" s="4" t="s">
        <v>2922</v>
      </c>
      <c r="I112" s="6" t="s">
        <v>55</v>
      </c>
      <c r="J112" s="6" t="s">
        <v>31</v>
      </c>
      <c r="K112" s="12">
        <f>_xlfn.XLOOKUP(B112,[1]Sheet1!$B:$B,[1]Sheet1!$N:$N,0)</f>
        <v>0</v>
      </c>
      <c r="L112" s="12">
        <f>_xlfn.XLOOKUP(B112,[1]Sheet1!$B:$B,[1]Sheet1!$O:$O,0)</f>
        <v>0</v>
      </c>
      <c r="M112" s="12">
        <f>_xlfn.XLOOKUP(B112,[1]Sheet1!$B:$B,[1]Sheet1!$P:$P,0)</f>
        <v>12000</v>
      </c>
      <c r="N112" s="12">
        <f>_xlfn.XLOOKUP(B112,[1]Sheet1!$B:$B,[1]Sheet1!$Q:$Q,0)</f>
        <v>188000</v>
      </c>
      <c r="O112" s="12">
        <f>_xlfn.XLOOKUP(B112,[1]Sheet1!$B:$B,[1]Sheet1!$R:$R,0)</f>
        <v>200000</v>
      </c>
      <c r="P112" s="12">
        <f>_xlfn.XLOOKUP(B112,[1]Sheet1!$B:$B,[1]Sheet1!$S:$S,0)</f>
        <v>200000</v>
      </c>
      <c r="Q112" s="12">
        <f>_xlfn.XLOOKUP(B112,[1]Sheet1!$B:$B,[1]Sheet1!$T:$T,0)</f>
        <v>200000</v>
      </c>
      <c r="R112" s="12">
        <f>_xlfn.XLOOKUP(B112,[1]Sheet1!$B:$B,[1]Sheet1!$U:$U,0)</f>
        <v>200000</v>
      </c>
      <c r="S112" s="12">
        <f>_xlfn.XLOOKUP(B112,[1]Sheet1!$B:$B,[1]Sheet1!$V:$V,0)</f>
        <v>200000</v>
      </c>
      <c r="T112" s="12">
        <f>_xlfn.XLOOKUP(B112,[1]Sheet1!$B:$B,[1]Sheet1!$W:$W,0)</f>
        <v>200000</v>
      </c>
      <c r="U112" s="12">
        <f>_xlfn.XLOOKUP(B112,[1]Sheet1!$B:$B,[1]Sheet1!$X:$X,0)</f>
        <v>200000</v>
      </c>
      <c r="V112" s="12">
        <f>_xlfn.XLOOKUP(B112,[1]Sheet1!$B:$B,[1]Sheet1!$Y:$Y,0)</f>
        <v>636251</v>
      </c>
      <c r="W112" s="12">
        <f t="shared" si="5"/>
        <v>2236251</v>
      </c>
      <c r="X112" s="6" t="s">
        <v>273</v>
      </c>
      <c r="Y112" s="6" t="s">
        <v>65</v>
      </c>
      <c r="Z112" s="6" t="s">
        <v>267</v>
      </c>
      <c r="AA112" s="6" t="s">
        <v>55</v>
      </c>
      <c r="AB112" s="6" t="s">
        <v>36</v>
      </c>
      <c r="AC112" s="6" t="s">
        <v>37</v>
      </c>
      <c r="AD112" s="6" t="s">
        <v>270</v>
      </c>
      <c r="AE112" s="6" t="s">
        <v>39</v>
      </c>
      <c r="AF112" s="6" t="s">
        <v>40</v>
      </c>
      <c r="AG112" s="7">
        <v>2236251</v>
      </c>
      <c r="AH112" s="11">
        <f>_xlfn.XLOOKUP(B112,[1]Sheet1!$B:$B,[1]Sheet1!$AB:$AB,0)</f>
        <v>2236251</v>
      </c>
    </row>
    <row r="113" spans="2:34" ht="16.8" thickTop="1" thickBot="1" x14ac:dyDescent="0.35">
      <c r="B113" s="3" t="str">
        <f t="shared" si="4"/>
        <v>45110104511000208Strategy Advice-N421123200104</v>
      </c>
      <c r="C113" s="8" t="s">
        <v>268</v>
      </c>
      <c r="D113" s="8" t="s">
        <v>264</v>
      </c>
      <c r="E113" s="8" t="s">
        <v>265</v>
      </c>
      <c r="F113" s="8" t="s">
        <v>236</v>
      </c>
      <c r="G113" s="4" t="s">
        <v>2827</v>
      </c>
      <c r="H113" s="4" t="s">
        <v>2922</v>
      </c>
      <c r="I113" s="8" t="s">
        <v>237</v>
      </c>
      <c r="J113" s="8" t="s">
        <v>31</v>
      </c>
      <c r="K113" s="12">
        <f>_xlfn.XLOOKUP(B113,[1]Sheet1!$B:$B,[1]Sheet1!$N:$N,0)</f>
        <v>0</v>
      </c>
      <c r="L113" s="12">
        <f>_xlfn.XLOOKUP(B113,[1]Sheet1!$B:$B,[1]Sheet1!$O:$O,0)</f>
        <v>0</v>
      </c>
      <c r="M113" s="12">
        <f>_xlfn.XLOOKUP(B113,[1]Sheet1!$B:$B,[1]Sheet1!$P:$P,0)</f>
        <v>0</v>
      </c>
      <c r="N113" s="12">
        <f>_xlfn.XLOOKUP(B113,[1]Sheet1!$B:$B,[1]Sheet1!$Q:$Q,0)</f>
        <v>0</v>
      </c>
      <c r="O113" s="12">
        <f>_xlfn.XLOOKUP(B113,[1]Sheet1!$B:$B,[1]Sheet1!$R:$R,0)</f>
        <v>0</v>
      </c>
      <c r="P113" s="12">
        <f>_xlfn.XLOOKUP(B113,[1]Sheet1!$B:$B,[1]Sheet1!$S:$S,0)</f>
        <v>0</v>
      </c>
      <c r="Q113" s="12">
        <f>_xlfn.XLOOKUP(B113,[1]Sheet1!$B:$B,[1]Sheet1!$T:$T,0)</f>
        <v>0</v>
      </c>
      <c r="R113" s="12">
        <f>_xlfn.XLOOKUP(B113,[1]Sheet1!$B:$B,[1]Sheet1!$U:$U,0)</f>
        <v>0</v>
      </c>
      <c r="S113" s="12">
        <f>_xlfn.XLOOKUP(B113,[1]Sheet1!$B:$B,[1]Sheet1!$V:$V,0)</f>
        <v>0</v>
      </c>
      <c r="T113" s="12">
        <f>_xlfn.XLOOKUP(B113,[1]Sheet1!$B:$B,[1]Sheet1!$W:$W,0)</f>
        <v>4000000</v>
      </c>
      <c r="U113" s="12">
        <f>_xlfn.XLOOKUP(B113,[1]Sheet1!$B:$B,[1]Sheet1!$X:$X,0)</f>
        <v>7321945</v>
      </c>
      <c r="V113" s="12">
        <f>_xlfn.XLOOKUP(B113,[1]Sheet1!$B:$B,[1]Sheet1!$Y:$Y,0)</f>
        <v>0</v>
      </c>
      <c r="W113" s="12">
        <f t="shared" si="5"/>
        <v>11321945</v>
      </c>
      <c r="X113" s="8" t="s">
        <v>274</v>
      </c>
      <c r="Y113" s="8" t="s">
        <v>65</v>
      </c>
      <c r="Z113" s="8" t="s">
        <v>267</v>
      </c>
      <c r="AA113" s="8" t="s">
        <v>237</v>
      </c>
      <c r="AB113" s="8" t="s">
        <v>36</v>
      </c>
      <c r="AC113" s="8" t="s">
        <v>37</v>
      </c>
      <c r="AD113" s="8" t="s">
        <v>270</v>
      </c>
      <c r="AE113" s="8" t="s">
        <v>39</v>
      </c>
      <c r="AF113" s="8" t="s">
        <v>40</v>
      </c>
      <c r="AG113" s="9">
        <v>11321945</v>
      </c>
      <c r="AH113" s="11">
        <f>_xlfn.XLOOKUP(B113,[1]Sheet1!$B:$B,[1]Sheet1!$AB:$AB,0)</f>
        <v>11321945</v>
      </c>
    </row>
    <row r="114" spans="2:34" ht="16.8" thickTop="1" thickBot="1" x14ac:dyDescent="0.35">
      <c r="B114" s="3" t="str">
        <f t="shared" si="4"/>
        <v>45112504511000217Activation&amp;Prog-N422401200104</v>
      </c>
      <c r="C114" s="6" t="s">
        <v>67</v>
      </c>
      <c r="D114" s="6" t="s">
        <v>275</v>
      </c>
      <c r="E114" s="6" t="s">
        <v>276</v>
      </c>
      <c r="F114" s="6" t="s">
        <v>62</v>
      </c>
      <c r="G114" s="4" t="s">
        <v>2807</v>
      </c>
      <c r="H114" s="4" t="s">
        <v>2922</v>
      </c>
      <c r="I114" s="6" t="s">
        <v>63</v>
      </c>
      <c r="J114" s="6" t="s">
        <v>31</v>
      </c>
      <c r="K114" s="12">
        <f>_xlfn.XLOOKUP(B114,[1]Sheet1!$B:$B,[1]Sheet1!$N:$N,0)</f>
        <v>0</v>
      </c>
      <c r="L114" s="12">
        <f>_xlfn.XLOOKUP(B114,[1]Sheet1!$B:$B,[1]Sheet1!$O:$O,0)</f>
        <v>0</v>
      </c>
      <c r="M114" s="12">
        <f>_xlfn.XLOOKUP(B114,[1]Sheet1!$B:$B,[1]Sheet1!$P:$P,0)</f>
        <v>0</v>
      </c>
      <c r="N114" s="12">
        <f>_xlfn.XLOOKUP(B114,[1]Sheet1!$B:$B,[1]Sheet1!$Q:$Q,0)</f>
        <v>350000</v>
      </c>
      <c r="O114" s="12">
        <f>_xlfn.XLOOKUP(B114,[1]Sheet1!$B:$B,[1]Sheet1!$R:$R,0)</f>
        <v>0</v>
      </c>
      <c r="P114" s="12">
        <f>_xlfn.XLOOKUP(B114,[1]Sheet1!$B:$B,[1]Sheet1!$S:$S,0)</f>
        <v>0</v>
      </c>
      <c r="Q114" s="12">
        <f>_xlfn.XLOOKUP(B114,[1]Sheet1!$B:$B,[1]Sheet1!$T:$T,0)</f>
        <v>0</v>
      </c>
      <c r="R114" s="12">
        <f>_xlfn.XLOOKUP(B114,[1]Sheet1!$B:$B,[1]Sheet1!$U:$U,0)</f>
        <v>0</v>
      </c>
      <c r="S114" s="12">
        <f>_xlfn.XLOOKUP(B114,[1]Sheet1!$B:$B,[1]Sheet1!$V:$V,0)</f>
        <v>0</v>
      </c>
      <c r="T114" s="12">
        <f>_xlfn.XLOOKUP(B114,[1]Sheet1!$B:$B,[1]Sheet1!$W:$W,0)</f>
        <v>0</v>
      </c>
      <c r="U114" s="12">
        <f>_xlfn.XLOOKUP(B114,[1]Sheet1!$B:$B,[1]Sheet1!$X:$X,0)</f>
        <v>0</v>
      </c>
      <c r="V114" s="12">
        <f>_xlfn.XLOOKUP(B114,[1]Sheet1!$B:$B,[1]Sheet1!$Y:$Y,0)</f>
        <v>1503400</v>
      </c>
      <c r="W114" s="12">
        <f t="shared" si="5"/>
        <v>1853400</v>
      </c>
      <c r="X114" s="6" t="s">
        <v>64</v>
      </c>
      <c r="Y114" s="6" t="s">
        <v>65</v>
      </c>
      <c r="Z114" s="6" t="s">
        <v>66</v>
      </c>
      <c r="AA114" s="6" t="s">
        <v>68</v>
      </c>
      <c r="AB114" s="6" t="s">
        <v>36</v>
      </c>
      <c r="AC114" s="6" t="s">
        <v>37</v>
      </c>
      <c r="AD114" s="6" t="s">
        <v>69</v>
      </c>
      <c r="AE114" s="6" t="s">
        <v>39</v>
      </c>
      <c r="AF114" s="6" t="s">
        <v>40</v>
      </c>
      <c r="AG114" s="7">
        <v>1853400</v>
      </c>
      <c r="AH114" s="11">
        <f>_xlfn.XLOOKUP(B114,[1]Sheet1!$B:$B,[1]Sheet1!$AB:$AB,0)</f>
        <v>1853400</v>
      </c>
    </row>
    <row r="115" spans="2:34" ht="16.8" thickTop="1" thickBot="1" x14ac:dyDescent="0.35">
      <c r="B115" s="3" t="str">
        <f t="shared" si="4"/>
        <v>45112504511000217Ad-hoc Repairs-N426427200104</v>
      </c>
      <c r="C115" s="8" t="s">
        <v>67</v>
      </c>
      <c r="D115" s="8" t="s">
        <v>275</v>
      </c>
      <c r="E115" s="8" t="s">
        <v>276</v>
      </c>
      <c r="F115" s="8" t="s">
        <v>70</v>
      </c>
      <c r="G115" s="4" t="s">
        <v>2808</v>
      </c>
      <c r="H115" s="4" t="s">
        <v>2922</v>
      </c>
      <c r="I115" s="8" t="s">
        <v>71</v>
      </c>
      <c r="J115" s="8" t="s">
        <v>31</v>
      </c>
      <c r="K115" s="12">
        <f>_xlfn.XLOOKUP(B115,[1]Sheet1!$B:$B,[1]Sheet1!$N:$N,0)</f>
        <v>0</v>
      </c>
      <c r="L115" s="12">
        <f>_xlfn.XLOOKUP(B115,[1]Sheet1!$B:$B,[1]Sheet1!$O:$O,0)</f>
        <v>0</v>
      </c>
      <c r="M115" s="12">
        <f>_xlfn.XLOOKUP(B115,[1]Sheet1!$B:$B,[1]Sheet1!$P:$P,0)</f>
        <v>0</v>
      </c>
      <c r="N115" s="12">
        <f>_xlfn.XLOOKUP(B115,[1]Sheet1!$B:$B,[1]Sheet1!$Q:$Q,0)</f>
        <v>60000</v>
      </c>
      <c r="O115" s="12">
        <f>_xlfn.XLOOKUP(B115,[1]Sheet1!$B:$B,[1]Sheet1!$R:$R,0)</f>
        <v>30000</v>
      </c>
      <c r="P115" s="12">
        <f>_xlfn.XLOOKUP(B115,[1]Sheet1!$B:$B,[1]Sheet1!$S:$S,0)</f>
        <v>30000</v>
      </c>
      <c r="Q115" s="12">
        <f>_xlfn.XLOOKUP(B115,[1]Sheet1!$B:$B,[1]Sheet1!$T:$T,0)</f>
        <v>30000</v>
      </c>
      <c r="R115" s="12">
        <f>_xlfn.XLOOKUP(B115,[1]Sheet1!$B:$B,[1]Sheet1!$U:$U,0)</f>
        <v>30000</v>
      </c>
      <c r="S115" s="12">
        <f>_xlfn.XLOOKUP(B115,[1]Sheet1!$B:$B,[1]Sheet1!$V:$V,0)</f>
        <v>12347</v>
      </c>
      <c r="T115" s="12">
        <f>_xlfn.XLOOKUP(B115,[1]Sheet1!$B:$B,[1]Sheet1!$W:$W,0)</f>
        <v>0</v>
      </c>
      <c r="U115" s="12">
        <f>_xlfn.XLOOKUP(B115,[1]Sheet1!$B:$B,[1]Sheet1!$X:$X,0)</f>
        <v>0</v>
      </c>
      <c r="V115" s="12">
        <f>_xlfn.XLOOKUP(B115,[1]Sheet1!$B:$B,[1]Sheet1!$Y:$Y,0)</f>
        <v>0</v>
      </c>
      <c r="W115" s="12">
        <f t="shared" si="5"/>
        <v>192347</v>
      </c>
      <c r="X115" s="8" t="s">
        <v>72</v>
      </c>
      <c r="Y115" s="8" t="s">
        <v>65</v>
      </c>
      <c r="Z115" s="8" t="s">
        <v>66</v>
      </c>
      <c r="AA115" s="8" t="s">
        <v>71</v>
      </c>
      <c r="AB115" s="8" t="s">
        <v>36</v>
      </c>
      <c r="AC115" s="8" t="s">
        <v>37</v>
      </c>
      <c r="AD115" s="8" t="s">
        <v>69</v>
      </c>
      <c r="AE115" s="8" t="s">
        <v>39</v>
      </c>
      <c r="AF115" s="8" t="s">
        <v>40</v>
      </c>
      <c r="AG115" s="9">
        <v>192347</v>
      </c>
      <c r="AH115" s="11">
        <f>_xlfn.XLOOKUP(B115,[1]Sheet1!$B:$B,[1]Sheet1!$AB:$AB,0)</f>
        <v>192347</v>
      </c>
    </row>
    <row r="116" spans="2:34" ht="16.8" thickTop="1" thickBot="1" x14ac:dyDescent="0.35">
      <c r="B116" s="3" t="str">
        <f t="shared" si="4"/>
        <v>45112504511000217Admin Expenses-N1421125200104</v>
      </c>
      <c r="C116" s="6" t="s">
        <v>67</v>
      </c>
      <c r="D116" s="6" t="s">
        <v>275</v>
      </c>
      <c r="E116" s="6" t="s">
        <v>276</v>
      </c>
      <c r="F116" s="6" t="s">
        <v>73</v>
      </c>
      <c r="G116" s="4" t="s">
        <v>2803</v>
      </c>
      <c r="H116" s="4" t="s">
        <v>2922</v>
      </c>
      <c r="I116" s="6" t="s">
        <v>44</v>
      </c>
      <c r="J116" s="6" t="s">
        <v>31</v>
      </c>
      <c r="K116" s="12">
        <f>_xlfn.XLOOKUP(B116,[1]Sheet1!$B:$B,[1]Sheet1!$N:$N,0)</f>
        <v>0</v>
      </c>
      <c r="L116" s="12">
        <f>_xlfn.XLOOKUP(B116,[1]Sheet1!$B:$B,[1]Sheet1!$O:$O,0)</f>
        <v>0</v>
      </c>
      <c r="M116" s="12">
        <f>_xlfn.XLOOKUP(B116,[1]Sheet1!$B:$B,[1]Sheet1!$P:$P,0)</f>
        <v>0</v>
      </c>
      <c r="N116" s="12">
        <f>_xlfn.XLOOKUP(B116,[1]Sheet1!$B:$B,[1]Sheet1!$Q:$Q,0)</f>
        <v>39200</v>
      </c>
      <c r="O116" s="12">
        <f>_xlfn.XLOOKUP(B116,[1]Sheet1!$B:$B,[1]Sheet1!$R:$R,0)</f>
        <v>40000</v>
      </c>
      <c r="P116" s="12">
        <f>_xlfn.XLOOKUP(B116,[1]Sheet1!$B:$B,[1]Sheet1!$S:$S,0)</f>
        <v>40000</v>
      </c>
      <c r="Q116" s="12">
        <f>_xlfn.XLOOKUP(B116,[1]Sheet1!$B:$B,[1]Sheet1!$T:$T,0)</f>
        <v>40000</v>
      </c>
      <c r="R116" s="12">
        <f>_xlfn.XLOOKUP(B116,[1]Sheet1!$B:$B,[1]Sheet1!$U:$U,0)</f>
        <v>40000</v>
      </c>
      <c r="S116" s="12">
        <f>_xlfn.XLOOKUP(B116,[1]Sheet1!$B:$B,[1]Sheet1!$V:$V,0)</f>
        <v>40000</v>
      </c>
      <c r="T116" s="12">
        <f>_xlfn.XLOOKUP(B116,[1]Sheet1!$B:$B,[1]Sheet1!$W:$W,0)</f>
        <v>21600</v>
      </c>
      <c r="U116" s="12">
        <f>_xlfn.XLOOKUP(B116,[1]Sheet1!$B:$B,[1]Sheet1!$X:$X,0)</f>
        <v>0</v>
      </c>
      <c r="V116" s="12">
        <f>_xlfn.XLOOKUP(B116,[1]Sheet1!$B:$B,[1]Sheet1!$Y:$Y,0)</f>
        <v>0</v>
      </c>
      <c r="W116" s="12">
        <f t="shared" si="5"/>
        <v>260800</v>
      </c>
      <c r="X116" s="6" t="s">
        <v>74</v>
      </c>
      <c r="Y116" s="6" t="s">
        <v>65</v>
      </c>
      <c r="Z116" s="6" t="s">
        <v>66</v>
      </c>
      <c r="AA116" s="6" t="s">
        <v>44</v>
      </c>
      <c r="AB116" s="6" t="s">
        <v>36</v>
      </c>
      <c r="AC116" s="6" t="s">
        <v>37</v>
      </c>
      <c r="AD116" s="6" t="s">
        <v>69</v>
      </c>
      <c r="AE116" s="6" t="s">
        <v>39</v>
      </c>
      <c r="AF116" s="6" t="s">
        <v>40</v>
      </c>
      <c r="AG116" s="7">
        <v>260800</v>
      </c>
      <c r="AH116" s="11">
        <f>_xlfn.XLOOKUP(B116,[1]Sheet1!$B:$B,[1]Sheet1!$AB:$AB,0)</f>
        <v>260800</v>
      </c>
    </row>
    <row r="117" spans="2:34" ht="16.8" thickTop="1" thickBot="1" x14ac:dyDescent="0.35">
      <c r="B117" s="3" t="str">
        <f t="shared" si="4"/>
        <v>45112504511000217Cleaning Service-N422311200104</v>
      </c>
      <c r="C117" s="8" t="s">
        <v>67</v>
      </c>
      <c r="D117" s="8" t="s">
        <v>275</v>
      </c>
      <c r="E117" s="8" t="s">
        <v>276</v>
      </c>
      <c r="F117" s="8" t="s">
        <v>79</v>
      </c>
      <c r="G117" s="4" t="s">
        <v>2810</v>
      </c>
      <c r="H117" s="4" t="s">
        <v>2922</v>
      </c>
      <c r="I117" s="8" t="s">
        <v>80</v>
      </c>
      <c r="J117" s="8" t="s">
        <v>31</v>
      </c>
      <c r="K117" s="12">
        <f>_xlfn.XLOOKUP(B117,[1]Sheet1!$B:$B,[1]Sheet1!$N:$N,0)</f>
        <v>0</v>
      </c>
      <c r="L117" s="12">
        <f>_xlfn.XLOOKUP(B117,[1]Sheet1!$B:$B,[1]Sheet1!$O:$O,0)</f>
        <v>0</v>
      </c>
      <c r="M117" s="12">
        <f>_xlfn.XLOOKUP(B117,[1]Sheet1!$B:$B,[1]Sheet1!$P:$P,0)</f>
        <v>0</v>
      </c>
      <c r="N117" s="12">
        <f>_xlfn.XLOOKUP(B117,[1]Sheet1!$B:$B,[1]Sheet1!$Q:$Q,0)</f>
        <v>80000</v>
      </c>
      <c r="O117" s="12">
        <f>_xlfn.XLOOKUP(B117,[1]Sheet1!$B:$B,[1]Sheet1!$R:$R,0)</f>
        <v>40000</v>
      </c>
      <c r="P117" s="12">
        <f>_xlfn.XLOOKUP(B117,[1]Sheet1!$B:$B,[1]Sheet1!$S:$S,0)</f>
        <v>40000</v>
      </c>
      <c r="Q117" s="12">
        <f>_xlfn.XLOOKUP(B117,[1]Sheet1!$B:$B,[1]Sheet1!$T:$T,0)</f>
        <v>40000</v>
      </c>
      <c r="R117" s="12">
        <f>_xlfn.XLOOKUP(B117,[1]Sheet1!$B:$B,[1]Sheet1!$U:$U,0)</f>
        <v>40000</v>
      </c>
      <c r="S117" s="12">
        <f>_xlfn.XLOOKUP(B117,[1]Sheet1!$B:$B,[1]Sheet1!$V:$V,0)</f>
        <v>40000</v>
      </c>
      <c r="T117" s="12">
        <f>_xlfn.XLOOKUP(B117,[1]Sheet1!$B:$B,[1]Sheet1!$W:$W,0)</f>
        <v>40000</v>
      </c>
      <c r="U117" s="12">
        <f>_xlfn.XLOOKUP(B117,[1]Sheet1!$B:$B,[1]Sheet1!$X:$X,0)</f>
        <v>40000</v>
      </c>
      <c r="V117" s="12">
        <f>_xlfn.XLOOKUP(B117,[1]Sheet1!$B:$B,[1]Sheet1!$Y:$Y,0)</f>
        <v>1594</v>
      </c>
      <c r="W117" s="12">
        <f t="shared" si="5"/>
        <v>361594</v>
      </c>
      <c r="X117" s="8" t="s">
        <v>81</v>
      </c>
      <c r="Y117" s="8" t="s">
        <v>65</v>
      </c>
      <c r="Z117" s="8" t="s">
        <v>66</v>
      </c>
      <c r="AA117" s="8" t="s">
        <v>80</v>
      </c>
      <c r="AB117" s="8" t="s">
        <v>36</v>
      </c>
      <c r="AC117" s="8" t="s">
        <v>37</v>
      </c>
      <c r="AD117" s="8" t="s">
        <v>69</v>
      </c>
      <c r="AE117" s="8" t="s">
        <v>39</v>
      </c>
      <c r="AF117" s="8" t="s">
        <v>40</v>
      </c>
      <c r="AG117" s="9">
        <v>361594</v>
      </c>
      <c r="AH117" s="11">
        <f>_xlfn.XLOOKUP(B117,[1]Sheet1!$B:$B,[1]Sheet1!$AB:$AB,0)</f>
        <v>361594</v>
      </c>
    </row>
    <row r="118" spans="2:34" ht="16.8" thickTop="1" thickBot="1" x14ac:dyDescent="0.35">
      <c r="B118" s="3" t="str">
        <f t="shared" si="4"/>
        <v>45112504511000217Edu &amp; Outreach-N422401200104</v>
      </c>
      <c r="C118" s="6" t="s">
        <v>67</v>
      </c>
      <c r="D118" s="6" t="s">
        <v>275</v>
      </c>
      <c r="E118" s="6" t="s">
        <v>276</v>
      </c>
      <c r="F118" s="6" t="s">
        <v>155</v>
      </c>
      <c r="G118" s="4" t="s">
        <v>2807</v>
      </c>
      <c r="H118" s="4" t="s">
        <v>2922</v>
      </c>
      <c r="I118" s="6" t="s">
        <v>63</v>
      </c>
      <c r="J118" s="6" t="s">
        <v>31</v>
      </c>
      <c r="K118" s="12">
        <f>_xlfn.XLOOKUP(B118,[1]Sheet1!$B:$B,[1]Sheet1!$N:$N,0)</f>
        <v>0</v>
      </c>
      <c r="L118" s="12">
        <f>_xlfn.XLOOKUP(B118,[1]Sheet1!$B:$B,[1]Sheet1!$O:$O,0)</f>
        <v>0</v>
      </c>
      <c r="M118" s="12">
        <f>_xlfn.XLOOKUP(B118,[1]Sheet1!$B:$B,[1]Sheet1!$P:$P,0)</f>
        <v>0</v>
      </c>
      <c r="N118" s="12">
        <f>_xlfn.XLOOKUP(B118,[1]Sheet1!$B:$B,[1]Sheet1!$Q:$Q,0)</f>
        <v>0</v>
      </c>
      <c r="O118" s="12">
        <f>_xlfn.XLOOKUP(B118,[1]Sheet1!$B:$B,[1]Sheet1!$R:$R,0)</f>
        <v>0</v>
      </c>
      <c r="P118" s="12">
        <f>_xlfn.XLOOKUP(B118,[1]Sheet1!$B:$B,[1]Sheet1!$S:$S,0)</f>
        <v>0</v>
      </c>
      <c r="Q118" s="12">
        <f>_xlfn.XLOOKUP(B118,[1]Sheet1!$B:$B,[1]Sheet1!$T:$T,0)</f>
        <v>0</v>
      </c>
      <c r="R118" s="12">
        <f>_xlfn.XLOOKUP(B118,[1]Sheet1!$B:$B,[1]Sheet1!$U:$U,0)</f>
        <v>0</v>
      </c>
      <c r="S118" s="12">
        <f>_xlfn.XLOOKUP(B118,[1]Sheet1!$B:$B,[1]Sheet1!$V:$V,0)</f>
        <v>0</v>
      </c>
      <c r="T118" s="12">
        <f>_xlfn.XLOOKUP(B118,[1]Sheet1!$B:$B,[1]Sheet1!$W:$W,0)</f>
        <v>0</v>
      </c>
      <c r="U118" s="12">
        <f>_xlfn.XLOOKUP(B118,[1]Sheet1!$B:$B,[1]Sheet1!$X:$X,0)</f>
        <v>135000</v>
      </c>
      <c r="V118" s="12">
        <f>_xlfn.XLOOKUP(B118,[1]Sheet1!$B:$B,[1]Sheet1!$Y:$Y,0)</f>
        <v>0</v>
      </c>
      <c r="W118" s="12">
        <f t="shared" si="5"/>
        <v>135000</v>
      </c>
      <c r="X118" s="6" t="s">
        <v>64</v>
      </c>
      <c r="Y118" s="6" t="s">
        <v>65</v>
      </c>
      <c r="Z118" s="6" t="s">
        <v>66</v>
      </c>
      <c r="AA118" s="6" t="s">
        <v>68</v>
      </c>
      <c r="AB118" s="6" t="s">
        <v>36</v>
      </c>
      <c r="AC118" s="6" t="s">
        <v>37</v>
      </c>
      <c r="AD118" s="6" t="s">
        <v>69</v>
      </c>
      <c r="AE118" s="6" t="s">
        <v>39</v>
      </c>
      <c r="AF118" s="6" t="s">
        <v>40</v>
      </c>
      <c r="AG118" s="7">
        <v>150000</v>
      </c>
      <c r="AH118" s="11">
        <f>_xlfn.XLOOKUP(B118,[1]Sheet1!$B:$B,[1]Sheet1!$AB:$AB,0)</f>
        <v>150000</v>
      </c>
    </row>
    <row r="119" spans="2:34" ht="16.8" thickTop="1" thickBot="1" x14ac:dyDescent="0.35">
      <c r="B119" s="3" t="str">
        <f t="shared" si="4"/>
        <v>45112504511000217Hospitality-N424761200104</v>
      </c>
      <c r="C119" s="8" t="s">
        <v>67</v>
      </c>
      <c r="D119" s="8" t="s">
        <v>275</v>
      </c>
      <c r="E119" s="8" t="s">
        <v>276</v>
      </c>
      <c r="F119" s="8" t="s">
        <v>83</v>
      </c>
      <c r="G119" s="4" t="s">
        <v>2811</v>
      </c>
      <c r="H119" s="4" t="s">
        <v>2922</v>
      </c>
      <c r="I119" s="8" t="s">
        <v>84</v>
      </c>
      <c r="J119" s="8" t="s">
        <v>31</v>
      </c>
      <c r="K119" s="12">
        <f>_xlfn.XLOOKUP(B119,[1]Sheet1!$B:$B,[1]Sheet1!$N:$N,0)</f>
        <v>0</v>
      </c>
      <c r="L119" s="12">
        <f>_xlfn.XLOOKUP(B119,[1]Sheet1!$B:$B,[1]Sheet1!$O:$O,0)</f>
        <v>0</v>
      </c>
      <c r="M119" s="12">
        <f>_xlfn.XLOOKUP(B119,[1]Sheet1!$B:$B,[1]Sheet1!$P:$P,0)</f>
        <v>0</v>
      </c>
      <c r="N119" s="12">
        <f>_xlfn.XLOOKUP(B119,[1]Sheet1!$B:$B,[1]Sheet1!$Q:$Q,0)</f>
        <v>60000</v>
      </c>
      <c r="O119" s="12">
        <f>_xlfn.XLOOKUP(B119,[1]Sheet1!$B:$B,[1]Sheet1!$R:$R,0)</f>
        <v>30000</v>
      </c>
      <c r="P119" s="12">
        <f>_xlfn.XLOOKUP(B119,[1]Sheet1!$B:$B,[1]Sheet1!$S:$S,0)</f>
        <v>30000</v>
      </c>
      <c r="Q119" s="12">
        <f>_xlfn.XLOOKUP(B119,[1]Sheet1!$B:$B,[1]Sheet1!$T:$T,0)</f>
        <v>30000</v>
      </c>
      <c r="R119" s="12">
        <f>_xlfn.XLOOKUP(B119,[1]Sheet1!$B:$B,[1]Sheet1!$U:$U,0)</f>
        <v>1485</v>
      </c>
      <c r="S119" s="12">
        <f>_xlfn.XLOOKUP(B119,[1]Sheet1!$B:$B,[1]Sheet1!$V:$V,0)</f>
        <v>0</v>
      </c>
      <c r="T119" s="12">
        <f>_xlfn.XLOOKUP(B119,[1]Sheet1!$B:$B,[1]Sheet1!$W:$W,0)</f>
        <v>0</v>
      </c>
      <c r="U119" s="12">
        <f>_xlfn.XLOOKUP(B119,[1]Sheet1!$B:$B,[1]Sheet1!$X:$X,0)</f>
        <v>0</v>
      </c>
      <c r="V119" s="12">
        <f>_xlfn.XLOOKUP(B119,[1]Sheet1!$B:$B,[1]Sheet1!$Y:$Y,0)</f>
        <v>0</v>
      </c>
      <c r="W119" s="12">
        <f t="shared" si="5"/>
        <v>151485</v>
      </c>
      <c r="X119" s="8" t="s">
        <v>85</v>
      </c>
      <c r="Y119" s="8" t="s">
        <v>65</v>
      </c>
      <c r="Z119" s="8" t="s">
        <v>66</v>
      </c>
      <c r="AA119" s="8" t="s">
        <v>84</v>
      </c>
      <c r="AB119" s="8" t="s">
        <v>36</v>
      </c>
      <c r="AC119" s="8" t="s">
        <v>37</v>
      </c>
      <c r="AD119" s="8" t="s">
        <v>69</v>
      </c>
      <c r="AE119" s="8" t="s">
        <v>39</v>
      </c>
      <c r="AF119" s="8" t="s">
        <v>40</v>
      </c>
      <c r="AG119" s="9">
        <v>151485</v>
      </c>
      <c r="AH119" s="11">
        <f>_xlfn.XLOOKUP(B119,[1]Sheet1!$B:$B,[1]Sheet1!$AB:$AB,0)</f>
        <v>151485</v>
      </c>
    </row>
    <row r="120" spans="2:34" ht="16.8" thickTop="1" thickBot="1" x14ac:dyDescent="0.35">
      <c r="B120" s="3" t="str">
        <f t="shared" si="4"/>
        <v>45112504511000217Landscaping-N432614200104</v>
      </c>
      <c r="C120" s="6" t="s">
        <v>67</v>
      </c>
      <c r="D120" s="6" t="s">
        <v>275</v>
      </c>
      <c r="E120" s="6" t="s">
        <v>276</v>
      </c>
      <c r="F120" s="6" t="s">
        <v>86</v>
      </c>
      <c r="G120" s="4" t="s">
        <v>2812</v>
      </c>
      <c r="H120" s="4" t="s">
        <v>2922</v>
      </c>
      <c r="I120" s="6" t="s">
        <v>87</v>
      </c>
      <c r="J120" s="6" t="s">
        <v>31</v>
      </c>
      <c r="K120" s="12">
        <f>_xlfn.XLOOKUP(B120,[1]Sheet1!$B:$B,[1]Sheet1!$N:$N,0)</f>
        <v>0</v>
      </c>
      <c r="L120" s="12">
        <f>_xlfn.XLOOKUP(B120,[1]Sheet1!$B:$B,[1]Sheet1!$O:$O,0)</f>
        <v>0</v>
      </c>
      <c r="M120" s="12">
        <f>_xlfn.XLOOKUP(B120,[1]Sheet1!$B:$B,[1]Sheet1!$P:$P,0)</f>
        <v>0</v>
      </c>
      <c r="N120" s="12">
        <f>_xlfn.XLOOKUP(B120,[1]Sheet1!$B:$B,[1]Sheet1!$Q:$Q,0)</f>
        <v>60000</v>
      </c>
      <c r="O120" s="12">
        <f>_xlfn.XLOOKUP(B120,[1]Sheet1!$B:$B,[1]Sheet1!$R:$R,0)</f>
        <v>30000</v>
      </c>
      <c r="P120" s="12">
        <f>_xlfn.XLOOKUP(B120,[1]Sheet1!$B:$B,[1]Sheet1!$S:$S,0)</f>
        <v>30000</v>
      </c>
      <c r="Q120" s="12">
        <f>_xlfn.XLOOKUP(B120,[1]Sheet1!$B:$B,[1]Sheet1!$T:$T,0)</f>
        <v>30000</v>
      </c>
      <c r="R120" s="12">
        <f>_xlfn.XLOOKUP(B120,[1]Sheet1!$B:$B,[1]Sheet1!$U:$U,0)</f>
        <v>19860</v>
      </c>
      <c r="S120" s="12">
        <f>_xlfn.XLOOKUP(B120,[1]Sheet1!$B:$B,[1]Sheet1!$V:$V,0)</f>
        <v>0</v>
      </c>
      <c r="T120" s="12">
        <f>_xlfn.XLOOKUP(B120,[1]Sheet1!$B:$B,[1]Sheet1!$W:$W,0)</f>
        <v>0</v>
      </c>
      <c r="U120" s="12">
        <f>_xlfn.XLOOKUP(B120,[1]Sheet1!$B:$B,[1]Sheet1!$X:$X,0)</f>
        <v>0</v>
      </c>
      <c r="V120" s="12">
        <f>_xlfn.XLOOKUP(B120,[1]Sheet1!$B:$B,[1]Sheet1!$Y:$Y,0)</f>
        <v>0</v>
      </c>
      <c r="W120" s="12">
        <f t="shared" si="5"/>
        <v>169860</v>
      </c>
      <c r="X120" s="6" t="s">
        <v>88</v>
      </c>
      <c r="Y120" s="6" t="s">
        <v>65</v>
      </c>
      <c r="Z120" s="6" t="s">
        <v>66</v>
      </c>
      <c r="AA120" s="6" t="s">
        <v>87</v>
      </c>
      <c r="AB120" s="6" t="s">
        <v>36</v>
      </c>
      <c r="AC120" s="6" t="s">
        <v>37</v>
      </c>
      <c r="AD120" s="6" t="s">
        <v>69</v>
      </c>
      <c r="AE120" s="6" t="s">
        <v>39</v>
      </c>
      <c r="AF120" s="6" t="s">
        <v>40</v>
      </c>
      <c r="AG120" s="7">
        <v>169860</v>
      </c>
      <c r="AH120" s="11">
        <f>_xlfn.XLOOKUP(B120,[1]Sheet1!$B:$B,[1]Sheet1!$AB:$AB,0)</f>
        <v>169860</v>
      </c>
    </row>
    <row r="121" spans="2:34" ht="16.8" thickTop="1" thickBot="1" x14ac:dyDescent="0.35">
      <c r="B121" s="3" t="str">
        <f t="shared" si="4"/>
        <v>45112504511000217Maintenance-N426212200104</v>
      </c>
      <c r="C121" s="8" t="s">
        <v>67</v>
      </c>
      <c r="D121" s="8" t="s">
        <v>275</v>
      </c>
      <c r="E121" s="8" t="s">
        <v>276</v>
      </c>
      <c r="F121" s="8" t="s">
        <v>95</v>
      </c>
      <c r="G121" s="4" t="s">
        <v>2814</v>
      </c>
      <c r="H121" s="4" t="s">
        <v>2922</v>
      </c>
      <c r="I121" s="8" t="s">
        <v>96</v>
      </c>
      <c r="J121" s="8" t="s">
        <v>31</v>
      </c>
      <c r="K121" s="12">
        <f>_xlfn.XLOOKUP(B121,[1]Sheet1!$B:$B,[1]Sheet1!$N:$N,0)</f>
        <v>0</v>
      </c>
      <c r="L121" s="12">
        <f>_xlfn.XLOOKUP(B121,[1]Sheet1!$B:$B,[1]Sheet1!$O:$O,0)</f>
        <v>0</v>
      </c>
      <c r="M121" s="12">
        <f>_xlfn.XLOOKUP(B121,[1]Sheet1!$B:$B,[1]Sheet1!$P:$P,0)</f>
        <v>0</v>
      </c>
      <c r="N121" s="12">
        <f>_xlfn.XLOOKUP(B121,[1]Sheet1!$B:$B,[1]Sheet1!$Q:$Q,0)</f>
        <v>120000</v>
      </c>
      <c r="O121" s="12">
        <f>_xlfn.XLOOKUP(B121,[1]Sheet1!$B:$B,[1]Sheet1!$R:$R,0)</f>
        <v>60000</v>
      </c>
      <c r="P121" s="12">
        <f>_xlfn.XLOOKUP(B121,[1]Sheet1!$B:$B,[1]Sheet1!$S:$S,0)</f>
        <v>60000</v>
      </c>
      <c r="Q121" s="12">
        <f>_xlfn.XLOOKUP(B121,[1]Sheet1!$B:$B,[1]Sheet1!$T:$T,0)</f>
        <v>60000</v>
      </c>
      <c r="R121" s="12">
        <f>_xlfn.XLOOKUP(B121,[1]Sheet1!$B:$B,[1]Sheet1!$U:$U,0)</f>
        <v>60000</v>
      </c>
      <c r="S121" s="12">
        <f>_xlfn.XLOOKUP(B121,[1]Sheet1!$B:$B,[1]Sheet1!$V:$V,0)</f>
        <v>60000</v>
      </c>
      <c r="T121" s="12">
        <f>_xlfn.XLOOKUP(B121,[1]Sheet1!$B:$B,[1]Sheet1!$W:$W,0)</f>
        <v>2242</v>
      </c>
      <c r="U121" s="12">
        <f>_xlfn.XLOOKUP(B121,[1]Sheet1!$B:$B,[1]Sheet1!$X:$X,0)</f>
        <v>0</v>
      </c>
      <c r="V121" s="12">
        <f>_xlfn.XLOOKUP(B121,[1]Sheet1!$B:$B,[1]Sheet1!$Y:$Y,0)</f>
        <v>0</v>
      </c>
      <c r="W121" s="12">
        <f t="shared" si="5"/>
        <v>422242</v>
      </c>
      <c r="X121" s="8" t="s">
        <v>97</v>
      </c>
      <c r="Y121" s="8" t="s">
        <v>65</v>
      </c>
      <c r="Z121" s="8" t="s">
        <v>66</v>
      </c>
      <c r="AA121" s="8" t="s">
        <v>96</v>
      </c>
      <c r="AB121" s="8" t="s">
        <v>36</v>
      </c>
      <c r="AC121" s="8" t="s">
        <v>37</v>
      </c>
      <c r="AD121" s="8" t="s">
        <v>69</v>
      </c>
      <c r="AE121" s="8" t="s">
        <v>39</v>
      </c>
      <c r="AF121" s="8" t="s">
        <v>40</v>
      </c>
      <c r="AG121" s="9">
        <v>422242</v>
      </c>
      <c r="AH121" s="11">
        <f>_xlfn.XLOOKUP(B121,[1]Sheet1!$B:$B,[1]Sheet1!$AB:$AB,0)</f>
        <v>422242</v>
      </c>
    </row>
    <row r="122" spans="2:34" ht="16.8" thickTop="1" thickBot="1" x14ac:dyDescent="0.35">
      <c r="B122" s="3" t="str">
        <f t="shared" si="4"/>
        <v>45112504511000217Manpower-N424521200104</v>
      </c>
      <c r="C122" s="6" t="s">
        <v>67</v>
      </c>
      <c r="D122" s="6" t="s">
        <v>275</v>
      </c>
      <c r="E122" s="6" t="s">
        <v>276</v>
      </c>
      <c r="F122" s="6" t="s">
        <v>98</v>
      </c>
      <c r="G122" s="4" t="s">
        <v>2804</v>
      </c>
      <c r="H122" s="4" t="s">
        <v>2922</v>
      </c>
      <c r="I122" s="6" t="s">
        <v>51</v>
      </c>
      <c r="J122" s="6" t="s">
        <v>31</v>
      </c>
      <c r="K122" s="12">
        <f>_xlfn.XLOOKUP(B122,[1]Sheet1!$B:$B,[1]Sheet1!$N:$N,0)</f>
        <v>0</v>
      </c>
      <c r="L122" s="12">
        <f>_xlfn.XLOOKUP(B122,[1]Sheet1!$B:$B,[1]Sheet1!$O:$O,0)</f>
        <v>43753.34</v>
      </c>
      <c r="M122" s="12">
        <f>_xlfn.XLOOKUP(B122,[1]Sheet1!$B:$B,[1]Sheet1!$P:$P,0)</f>
        <v>0</v>
      </c>
      <c r="N122" s="12">
        <f>_xlfn.XLOOKUP(B122,[1]Sheet1!$B:$B,[1]Sheet1!$Q:$Q,0)</f>
        <v>43754.66</v>
      </c>
      <c r="O122" s="12">
        <f>_xlfn.XLOOKUP(B122,[1]Sheet1!$B:$B,[1]Sheet1!$R:$R,0)</f>
        <v>43754</v>
      </c>
      <c r="P122" s="12">
        <f>_xlfn.XLOOKUP(B122,[1]Sheet1!$B:$B,[1]Sheet1!$S:$S,0)</f>
        <v>43754</v>
      </c>
      <c r="Q122" s="12">
        <f>_xlfn.XLOOKUP(B122,[1]Sheet1!$B:$B,[1]Sheet1!$T:$T,0)</f>
        <v>43754</v>
      </c>
      <c r="R122" s="12">
        <f>_xlfn.XLOOKUP(B122,[1]Sheet1!$B:$B,[1]Sheet1!$U:$U,0)</f>
        <v>43754</v>
      </c>
      <c r="S122" s="12">
        <f>_xlfn.XLOOKUP(B122,[1]Sheet1!$B:$B,[1]Sheet1!$V:$V,0)</f>
        <v>43754</v>
      </c>
      <c r="T122" s="12">
        <f>_xlfn.XLOOKUP(B122,[1]Sheet1!$B:$B,[1]Sheet1!$W:$W,0)</f>
        <v>74753</v>
      </c>
      <c r="U122" s="12">
        <f>_xlfn.XLOOKUP(B122,[1]Sheet1!$B:$B,[1]Sheet1!$X:$X,0)</f>
        <v>92878</v>
      </c>
      <c r="V122" s="12">
        <f>_xlfn.XLOOKUP(B122,[1]Sheet1!$B:$B,[1]Sheet1!$Y:$Y,0)</f>
        <v>92878</v>
      </c>
      <c r="W122" s="12">
        <f t="shared" si="5"/>
        <v>566787</v>
      </c>
      <c r="X122" s="6" t="s">
        <v>82</v>
      </c>
      <c r="Y122" s="6" t="s">
        <v>65</v>
      </c>
      <c r="Z122" s="6" t="s">
        <v>66</v>
      </c>
      <c r="AA122" s="6" t="s">
        <v>53</v>
      </c>
      <c r="AB122" s="6" t="s">
        <v>36</v>
      </c>
      <c r="AC122" s="6" t="s">
        <v>37</v>
      </c>
      <c r="AD122" s="6" t="s">
        <v>69</v>
      </c>
      <c r="AE122" s="6" t="s">
        <v>39</v>
      </c>
      <c r="AF122" s="6" t="s">
        <v>40</v>
      </c>
      <c r="AG122" s="7">
        <v>566787</v>
      </c>
      <c r="AH122" s="11">
        <f>_xlfn.XLOOKUP(B122,[1]Sheet1!$B:$B,[1]Sheet1!$AB:$AB,0)</f>
        <v>566787</v>
      </c>
    </row>
    <row r="123" spans="2:34" ht="16.8" thickTop="1" thickBot="1" x14ac:dyDescent="0.35">
      <c r="B123" s="3" t="str">
        <f t="shared" si="4"/>
        <v>45112504511000217Security Service-N424551200104</v>
      </c>
      <c r="C123" s="8" t="s">
        <v>67</v>
      </c>
      <c r="D123" s="8" t="s">
        <v>275</v>
      </c>
      <c r="E123" s="8" t="s">
        <v>276</v>
      </c>
      <c r="F123" s="8" t="s">
        <v>107</v>
      </c>
      <c r="G123" s="4" t="s">
        <v>2817</v>
      </c>
      <c r="H123" s="4" t="s">
        <v>2922</v>
      </c>
      <c r="I123" s="8" t="s">
        <v>108</v>
      </c>
      <c r="J123" s="8" t="s">
        <v>31</v>
      </c>
      <c r="K123" s="12">
        <f>_xlfn.XLOOKUP(B123,[1]Sheet1!$B:$B,[1]Sheet1!$N:$N,0)</f>
        <v>0</v>
      </c>
      <c r="L123" s="12">
        <f>_xlfn.XLOOKUP(B123,[1]Sheet1!$B:$B,[1]Sheet1!$O:$O,0)</f>
        <v>0</v>
      </c>
      <c r="M123" s="12">
        <f>_xlfn.XLOOKUP(B123,[1]Sheet1!$B:$B,[1]Sheet1!$P:$P,0)</f>
        <v>0</v>
      </c>
      <c r="N123" s="12">
        <f>_xlfn.XLOOKUP(B123,[1]Sheet1!$B:$B,[1]Sheet1!$Q:$Q,0)</f>
        <v>165000</v>
      </c>
      <c r="O123" s="12">
        <f>_xlfn.XLOOKUP(B123,[1]Sheet1!$B:$B,[1]Sheet1!$R:$R,0)</f>
        <v>55000</v>
      </c>
      <c r="P123" s="12">
        <f>_xlfn.XLOOKUP(B123,[1]Sheet1!$B:$B,[1]Sheet1!$S:$S,0)</f>
        <v>60000</v>
      </c>
      <c r="Q123" s="12">
        <f>_xlfn.XLOOKUP(B123,[1]Sheet1!$B:$B,[1]Sheet1!$T:$T,0)</f>
        <v>60000</v>
      </c>
      <c r="R123" s="12">
        <f>_xlfn.XLOOKUP(B123,[1]Sheet1!$B:$B,[1]Sheet1!$U:$U,0)</f>
        <v>60000</v>
      </c>
      <c r="S123" s="12">
        <f>_xlfn.XLOOKUP(B123,[1]Sheet1!$B:$B,[1]Sheet1!$V:$V,0)</f>
        <v>60000</v>
      </c>
      <c r="T123" s="12">
        <f>_xlfn.XLOOKUP(B123,[1]Sheet1!$B:$B,[1]Sheet1!$W:$W,0)</f>
        <v>65000</v>
      </c>
      <c r="U123" s="12">
        <f>_xlfn.XLOOKUP(B123,[1]Sheet1!$B:$B,[1]Sheet1!$X:$X,0)</f>
        <v>70000</v>
      </c>
      <c r="V123" s="12">
        <f>_xlfn.XLOOKUP(B123,[1]Sheet1!$B:$B,[1]Sheet1!$Y:$Y,0)</f>
        <v>52152</v>
      </c>
      <c r="W123" s="12">
        <f t="shared" si="5"/>
        <v>647152</v>
      </c>
      <c r="X123" s="8" t="s">
        <v>109</v>
      </c>
      <c r="Y123" s="8" t="s">
        <v>65</v>
      </c>
      <c r="Z123" s="8" t="s">
        <v>66</v>
      </c>
      <c r="AA123" s="8" t="s">
        <v>108</v>
      </c>
      <c r="AB123" s="8" t="s">
        <v>36</v>
      </c>
      <c r="AC123" s="8" t="s">
        <v>37</v>
      </c>
      <c r="AD123" s="8" t="s">
        <v>69</v>
      </c>
      <c r="AE123" s="8" t="s">
        <v>39</v>
      </c>
      <c r="AF123" s="8" t="s">
        <v>40</v>
      </c>
      <c r="AG123" s="9">
        <v>647152</v>
      </c>
      <c r="AH123" s="11">
        <f>_xlfn.XLOOKUP(B123,[1]Sheet1!$B:$B,[1]Sheet1!$AB:$AB,0)</f>
        <v>647152</v>
      </c>
    </row>
    <row r="124" spans="2:34" ht="16.8" thickTop="1" thickBot="1" x14ac:dyDescent="0.35">
      <c r="B124" s="3" t="str">
        <f t="shared" si="4"/>
        <v>45112504511000217Utilities-N423931200104</v>
      </c>
      <c r="C124" s="6" t="s">
        <v>67</v>
      </c>
      <c r="D124" s="6" t="s">
        <v>275</v>
      </c>
      <c r="E124" s="6" t="s">
        <v>276</v>
      </c>
      <c r="F124" s="6" t="s">
        <v>110</v>
      </c>
      <c r="G124" s="4" t="s">
        <v>2818</v>
      </c>
      <c r="H124" s="4" t="s">
        <v>2922</v>
      </c>
      <c r="I124" s="6" t="s">
        <v>111</v>
      </c>
      <c r="J124" s="6" t="s">
        <v>31</v>
      </c>
      <c r="K124" s="12">
        <f>_xlfn.XLOOKUP(B124,[1]Sheet1!$B:$B,[1]Sheet1!$N:$N,0)</f>
        <v>0</v>
      </c>
      <c r="L124" s="12">
        <f>_xlfn.XLOOKUP(B124,[1]Sheet1!$B:$B,[1]Sheet1!$O:$O,0)</f>
        <v>0</v>
      </c>
      <c r="M124" s="12">
        <f>_xlfn.XLOOKUP(B124,[1]Sheet1!$B:$B,[1]Sheet1!$P:$P,0)</f>
        <v>0</v>
      </c>
      <c r="N124" s="12">
        <f>_xlfn.XLOOKUP(B124,[1]Sheet1!$B:$B,[1]Sheet1!$Q:$Q,0)</f>
        <v>50000</v>
      </c>
      <c r="O124" s="12">
        <f>_xlfn.XLOOKUP(B124,[1]Sheet1!$B:$B,[1]Sheet1!$R:$R,0)</f>
        <v>25000</v>
      </c>
      <c r="P124" s="12">
        <f>_xlfn.XLOOKUP(B124,[1]Sheet1!$B:$B,[1]Sheet1!$S:$S,0)</f>
        <v>25000</v>
      </c>
      <c r="Q124" s="12">
        <f>_xlfn.XLOOKUP(B124,[1]Sheet1!$B:$B,[1]Sheet1!$T:$T,0)</f>
        <v>25000</v>
      </c>
      <c r="R124" s="12">
        <f>_xlfn.XLOOKUP(B124,[1]Sheet1!$B:$B,[1]Sheet1!$U:$U,0)</f>
        <v>25000</v>
      </c>
      <c r="S124" s="12">
        <f>_xlfn.XLOOKUP(B124,[1]Sheet1!$B:$B,[1]Sheet1!$V:$V,0)</f>
        <v>25500</v>
      </c>
      <c r="T124" s="12">
        <f>_xlfn.XLOOKUP(B124,[1]Sheet1!$B:$B,[1]Sheet1!$W:$W,0)</f>
        <v>29500</v>
      </c>
      <c r="U124" s="12">
        <f>_xlfn.XLOOKUP(B124,[1]Sheet1!$B:$B,[1]Sheet1!$X:$X,0)</f>
        <v>28520</v>
      </c>
      <c r="V124" s="12">
        <f>_xlfn.XLOOKUP(B124,[1]Sheet1!$B:$B,[1]Sheet1!$Y:$Y,0)</f>
        <v>0</v>
      </c>
      <c r="W124" s="12">
        <f t="shared" si="5"/>
        <v>233520</v>
      </c>
      <c r="X124" s="6" t="s">
        <v>112</v>
      </c>
      <c r="Y124" s="6" t="s">
        <v>65</v>
      </c>
      <c r="Z124" s="6" t="s">
        <v>66</v>
      </c>
      <c r="AA124" s="6" t="s">
        <v>111</v>
      </c>
      <c r="AB124" s="6" t="s">
        <v>36</v>
      </c>
      <c r="AC124" s="6" t="s">
        <v>37</v>
      </c>
      <c r="AD124" s="6" t="s">
        <v>69</v>
      </c>
      <c r="AE124" s="6" t="s">
        <v>39</v>
      </c>
      <c r="AF124" s="6" t="s">
        <v>40</v>
      </c>
      <c r="AG124" s="7">
        <v>233520</v>
      </c>
      <c r="AH124" s="11">
        <f>_xlfn.XLOOKUP(B124,[1]Sheet1!$B:$B,[1]Sheet1!$AB:$AB,0)</f>
        <v>233520</v>
      </c>
    </row>
    <row r="125" spans="2:34" ht="16.8" thickTop="1" thickBot="1" x14ac:dyDescent="0.35">
      <c r="B125" s="3" t="str">
        <f t="shared" si="4"/>
        <v>45112504511000218Art Materials-N1432626200104</v>
      </c>
      <c r="C125" s="8" t="s">
        <v>67</v>
      </c>
      <c r="D125" s="8" t="s">
        <v>277</v>
      </c>
      <c r="E125" s="8" t="s">
        <v>278</v>
      </c>
      <c r="F125" s="8" t="s">
        <v>75</v>
      </c>
      <c r="G125" s="4" t="s">
        <v>2809</v>
      </c>
      <c r="H125" s="4" t="s">
        <v>2922</v>
      </c>
      <c r="I125" s="8" t="s">
        <v>76</v>
      </c>
      <c r="J125" s="8" t="s">
        <v>31</v>
      </c>
      <c r="K125" s="12">
        <f>_xlfn.XLOOKUP(B125,[1]Sheet1!$B:$B,[1]Sheet1!$N:$N,0)</f>
        <v>0</v>
      </c>
      <c r="L125" s="12">
        <f>_xlfn.XLOOKUP(B125,[1]Sheet1!$B:$B,[1]Sheet1!$O:$O,0)</f>
        <v>0</v>
      </c>
      <c r="M125" s="12">
        <f>_xlfn.XLOOKUP(B125,[1]Sheet1!$B:$B,[1]Sheet1!$P:$P,0)</f>
        <v>0</v>
      </c>
      <c r="N125" s="12">
        <f>_xlfn.XLOOKUP(B125,[1]Sheet1!$B:$B,[1]Sheet1!$Q:$Q,0)</f>
        <v>25696.6</v>
      </c>
      <c r="O125" s="12">
        <f>_xlfn.XLOOKUP(B125,[1]Sheet1!$B:$B,[1]Sheet1!$R:$R,0)</f>
        <v>0</v>
      </c>
      <c r="P125" s="12">
        <f>_xlfn.XLOOKUP(B125,[1]Sheet1!$B:$B,[1]Sheet1!$S:$S,0)</f>
        <v>0</v>
      </c>
      <c r="Q125" s="12">
        <f>_xlfn.XLOOKUP(B125,[1]Sheet1!$B:$B,[1]Sheet1!$T:$T,0)</f>
        <v>0</v>
      </c>
      <c r="R125" s="12">
        <f>_xlfn.XLOOKUP(B125,[1]Sheet1!$B:$B,[1]Sheet1!$U:$U,0)</f>
        <v>25696.6</v>
      </c>
      <c r="S125" s="12">
        <f>_xlfn.XLOOKUP(B125,[1]Sheet1!$B:$B,[1]Sheet1!$V:$V,0)</f>
        <v>0</v>
      </c>
      <c r="T125" s="12">
        <f>_xlfn.XLOOKUP(B125,[1]Sheet1!$B:$B,[1]Sheet1!$W:$W,0)</f>
        <v>0</v>
      </c>
      <c r="U125" s="12">
        <f>_xlfn.XLOOKUP(B125,[1]Sheet1!$B:$B,[1]Sheet1!$X:$X,0)</f>
        <v>0</v>
      </c>
      <c r="V125" s="12">
        <f>_xlfn.XLOOKUP(B125,[1]Sheet1!$B:$B,[1]Sheet1!$Y:$Y,0)</f>
        <v>25696.6</v>
      </c>
      <c r="W125" s="12">
        <f t="shared" si="5"/>
        <v>77089.799999999988</v>
      </c>
      <c r="X125" s="8" t="s">
        <v>279</v>
      </c>
      <c r="Y125" s="8" t="s">
        <v>65</v>
      </c>
      <c r="Z125" s="8" t="s">
        <v>66</v>
      </c>
      <c r="AA125" s="8" t="s">
        <v>78</v>
      </c>
      <c r="AB125" s="8" t="s">
        <v>36</v>
      </c>
      <c r="AC125" s="8" t="s">
        <v>37</v>
      </c>
      <c r="AD125" s="8" t="s">
        <v>192</v>
      </c>
      <c r="AE125" s="8" t="s">
        <v>39</v>
      </c>
      <c r="AF125" s="8" t="s">
        <v>40</v>
      </c>
      <c r="AG125" s="9">
        <v>77090</v>
      </c>
      <c r="AH125" s="11">
        <f>_xlfn.XLOOKUP(B125,[1]Sheet1!$B:$B,[1]Sheet1!$AB:$AB,0)</f>
        <v>77089.799999999988</v>
      </c>
    </row>
    <row r="126" spans="2:34" ht="16.8" thickTop="1" thickBot="1" x14ac:dyDescent="0.35">
      <c r="B126" s="3" t="str">
        <f t="shared" si="4"/>
        <v>45112504511000218Freelancers-N424521200104</v>
      </c>
      <c r="C126" s="6" t="s">
        <v>67</v>
      </c>
      <c r="D126" s="6" t="s">
        <v>277</v>
      </c>
      <c r="E126" s="6" t="s">
        <v>278</v>
      </c>
      <c r="F126" s="6" t="s">
        <v>50</v>
      </c>
      <c r="G126" s="4" t="s">
        <v>2804</v>
      </c>
      <c r="H126" s="4" t="s">
        <v>2922</v>
      </c>
      <c r="I126" s="6" t="s">
        <v>51</v>
      </c>
      <c r="J126" s="6" t="s">
        <v>31</v>
      </c>
      <c r="K126" s="12">
        <f>_xlfn.XLOOKUP(B126,[1]Sheet1!$B:$B,[1]Sheet1!$N:$N,0)</f>
        <v>0</v>
      </c>
      <c r="L126" s="12">
        <f>_xlfn.XLOOKUP(B126,[1]Sheet1!$B:$B,[1]Sheet1!$O:$O,0)</f>
        <v>0</v>
      </c>
      <c r="M126" s="12">
        <f>_xlfn.XLOOKUP(B126,[1]Sheet1!$B:$B,[1]Sheet1!$P:$P,0)</f>
        <v>125200</v>
      </c>
      <c r="N126" s="12">
        <f>_xlfn.XLOOKUP(B126,[1]Sheet1!$B:$B,[1]Sheet1!$Q:$Q,0)</f>
        <v>174800</v>
      </c>
      <c r="O126" s="12">
        <f>_xlfn.XLOOKUP(B126,[1]Sheet1!$B:$B,[1]Sheet1!$R:$R,0)</f>
        <v>75000</v>
      </c>
      <c r="P126" s="12">
        <f>_xlfn.XLOOKUP(B126,[1]Sheet1!$B:$B,[1]Sheet1!$S:$S,0)</f>
        <v>127462</v>
      </c>
      <c r="Q126" s="12">
        <f>_xlfn.XLOOKUP(B126,[1]Sheet1!$B:$B,[1]Sheet1!$T:$T,0)</f>
        <v>75000</v>
      </c>
      <c r="R126" s="12">
        <f>_xlfn.XLOOKUP(B126,[1]Sheet1!$B:$B,[1]Sheet1!$U:$U,0)</f>
        <v>75000</v>
      </c>
      <c r="S126" s="12">
        <f>_xlfn.XLOOKUP(B126,[1]Sheet1!$B:$B,[1]Sheet1!$V:$V,0)</f>
        <v>75000</v>
      </c>
      <c r="T126" s="12">
        <f>_xlfn.XLOOKUP(B126,[1]Sheet1!$B:$B,[1]Sheet1!$W:$W,0)</f>
        <v>75000</v>
      </c>
      <c r="U126" s="12">
        <f>_xlfn.XLOOKUP(B126,[1]Sheet1!$B:$B,[1]Sheet1!$X:$X,0)</f>
        <v>75000</v>
      </c>
      <c r="V126" s="12">
        <f>_xlfn.XLOOKUP(B126,[1]Sheet1!$B:$B,[1]Sheet1!$Y:$Y,0)</f>
        <v>127462</v>
      </c>
      <c r="W126" s="12">
        <f t="shared" si="5"/>
        <v>1004924</v>
      </c>
      <c r="X126" s="6" t="s">
        <v>280</v>
      </c>
      <c r="Y126" s="6" t="s">
        <v>65</v>
      </c>
      <c r="Z126" s="6" t="s">
        <v>66</v>
      </c>
      <c r="AA126" s="6" t="s">
        <v>53</v>
      </c>
      <c r="AB126" s="6" t="s">
        <v>36</v>
      </c>
      <c r="AC126" s="6" t="s">
        <v>37</v>
      </c>
      <c r="AD126" s="6" t="s">
        <v>192</v>
      </c>
      <c r="AE126" s="6" t="s">
        <v>39</v>
      </c>
      <c r="AF126" s="6" t="s">
        <v>40</v>
      </c>
      <c r="AG126" s="7">
        <v>1004924</v>
      </c>
      <c r="AH126" s="11">
        <f>_xlfn.XLOOKUP(B126,[1]Sheet1!$B:$B,[1]Sheet1!$AB:$AB,0)</f>
        <v>1004924</v>
      </c>
    </row>
    <row r="127" spans="2:34" ht="16.8" thickTop="1" thickBot="1" x14ac:dyDescent="0.35">
      <c r="B127" s="3" t="str">
        <f t="shared" si="4"/>
        <v>45112504511000219Art Materials-N432626200104</v>
      </c>
      <c r="C127" s="8" t="s">
        <v>67</v>
      </c>
      <c r="D127" s="8" t="s">
        <v>281</v>
      </c>
      <c r="E127" s="8" t="s">
        <v>282</v>
      </c>
      <c r="F127" s="8" t="s">
        <v>283</v>
      </c>
      <c r="G127" s="4" t="s">
        <v>2809</v>
      </c>
      <c r="H127" s="4" t="s">
        <v>2922</v>
      </c>
      <c r="I127" s="8" t="s">
        <v>76</v>
      </c>
      <c r="J127" s="8" t="s">
        <v>31</v>
      </c>
      <c r="K127" s="12">
        <f>_xlfn.XLOOKUP(B127,[1]Sheet1!$B:$B,[1]Sheet1!$N:$N,0)</f>
        <v>0</v>
      </c>
      <c r="L127" s="12">
        <f>_xlfn.XLOOKUP(B127,[1]Sheet1!$B:$B,[1]Sheet1!$O:$O,0)</f>
        <v>0</v>
      </c>
      <c r="M127" s="12">
        <f>_xlfn.XLOOKUP(B127,[1]Sheet1!$B:$B,[1]Sheet1!$P:$P,0)</f>
        <v>9852.32</v>
      </c>
      <c r="N127" s="12">
        <f>_xlfn.XLOOKUP(B127,[1]Sheet1!$B:$B,[1]Sheet1!$Q:$Q,0)</f>
        <v>20147.68</v>
      </c>
      <c r="O127" s="12">
        <f>_xlfn.XLOOKUP(B127,[1]Sheet1!$B:$B,[1]Sheet1!$R:$R,0)</f>
        <v>0</v>
      </c>
      <c r="P127" s="12">
        <f>_xlfn.XLOOKUP(B127,[1]Sheet1!$B:$B,[1]Sheet1!$S:$S,0)</f>
        <v>0</v>
      </c>
      <c r="Q127" s="12">
        <f>_xlfn.XLOOKUP(B127,[1]Sheet1!$B:$B,[1]Sheet1!$T:$T,0)</f>
        <v>0</v>
      </c>
      <c r="R127" s="12">
        <f>_xlfn.XLOOKUP(B127,[1]Sheet1!$B:$B,[1]Sheet1!$U:$U,0)</f>
        <v>30000</v>
      </c>
      <c r="S127" s="12">
        <f>_xlfn.XLOOKUP(B127,[1]Sheet1!$B:$B,[1]Sheet1!$V:$V,0)</f>
        <v>0</v>
      </c>
      <c r="T127" s="12">
        <f>_xlfn.XLOOKUP(B127,[1]Sheet1!$B:$B,[1]Sheet1!$W:$W,0)</f>
        <v>0</v>
      </c>
      <c r="U127" s="12">
        <f>_xlfn.XLOOKUP(B127,[1]Sheet1!$B:$B,[1]Sheet1!$X:$X,0)</f>
        <v>0</v>
      </c>
      <c r="V127" s="12">
        <f>_xlfn.XLOOKUP(B127,[1]Sheet1!$B:$B,[1]Sheet1!$Y:$Y,0)</f>
        <v>30000</v>
      </c>
      <c r="W127" s="12">
        <f t="shared" si="5"/>
        <v>90000</v>
      </c>
      <c r="X127" s="8" t="s">
        <v>279</v>
      </c>
      <c r="Y127" s="8" t="s">
        <v>65</v>
      </c>
      <c r="Z127" s="8" t="s">
        <v>66</v>
      </c>
      <c r="AA127" s="8" t="s">
        <v>78</v>
      </c>
      <c r="AB127" s="8" t="s">
        <v>36</v>
      </c>
      <c r="AC127" s="8" t="s">
        <v>37</v>
      </c>
      <c r="AD127" s="8" t="s">
        <v>192</v>
      </c>
      <c r="AE127" s="8" t="s">
        <v>39</v>
      </c>
      <c r="AF127" s="8" t="s">
        <v>40</v>
      </c>
      <c r="AG127" s="9">
        <v>90000</v>
      </c>
      <c r="AH127" s="11">
        <f>_xlfn.XLOOKUP(B127,[1]Sheet1!$B:$B,[1]Sheet1!$AB:$AB,0)</f>
        <v>90000</v>
      </c>
    </row>
    <row r="128" spans="2:34" ht="16.8" thickTop="1" thickBot="1" x14ac:dyDescent="0.35">
      <c r="B128" s="3" t="str">
        <f t="shared" si="4"/>
        <v>45112504511000219Freelancers-N424521200104</v>
      </c>
      <c r="C128" s="6" t="s">
        <v>67</v>
      </c>
      <c r="D128" s="6" t="s">
        <v>281</v>
      </c>
      <c r="E128" s="6" t="s">
        <v>282</v>
      </c>
      <c r="F128" s="6" t="s">
        <v>50</v>
      </c>
      <c r="G128" s="4" t="s">
        <v>2804</v>
      </c>
      <c r="H128" s="4" t="s">
        <v>2922</v>
      </c>
      <c r="I128" s="6" t="s">
        <v>51</v>
      </c>
      <c r="J128" s="6" t="s">
        <v>31</v>
      </c>
      <c r="K128" s="12">
        <f>_xlfn.XLOOKUP(B128,[1]Sheet1!$B:$B,[1]Sheet1!$N:$N,0)</f>
        <v>0</v>
      </c>
      <c r="L128" s="12">
        <f>_xlfn.XLOOKUP(B128,[1]Sheet1!$B:$B,[1]Sheet1!$O:$O,0)</f>
        <v>291000</v>
      </c>
      <c r="M128" s="12">
        <f>_xlfn.XLOOKUP(B128,[1]Sheet1!$B:$B,[1]Sheet1!$P:$P,0)</f>
        <v>138400</v>
      </c>
      <c r="N128" s="12">
        <f>_xlfn.XLOOKUP(B128,[1]Sheet1!$B:$B,[1]Sheet1!$Q:$Q,0)</f>
        <v>158200</v>
      </c>
      <c r="O128" s="12">
        <f>_xlfn.XLOOKUP(B128,[1]Sheet1!$B:$B,[1]Sheet1!$R:$R,0)</f>
        <v>144400</v>
      </c>
      <c r="P128" s="12">
        <f>_xlfn.XLOOKUP(B128,[1]Sheet1!$B:$B,[1]Sheet1!$S:$S,0)</f>
        <v>129600</v>
      </c>
      <c r="Q128" s="12">
        <f>_xlfn.XLOOKUP(B128,[1]Sheet1!$B:$B,[1]Sheet1!$T:$T,0)</f>
        <v>144400</v>
      </c>
      <c r="R128" s="12">
        <f>_xlfn.XLOOKUP(B128,[1]Sheet1!$B:$B,[1]Sheet1!$U:$U,0)</f>
        <v>144400</v>
      </c>
      <c r="S128" s="12">
        <f>_xlfn.XLOOKUP(B128,[1]Sheet1!$B:$B,[1]Sheet1!$V:$V,0)</f>
        <v>143000</v>
      </c>
      <c r="T128" s="12">
        <f>_xlfn.XLOOKUP(B128,[1]Sheet1!$B:$B,[1]Sheet1!$W:$W,0)</f>
        <v>134800</v>
      </c>
      <c r="U128" s="12">
        <f>_xlfn.XLOOKUP(B128,[1]Sheet1!$B:$B,[1]Sheet1!$X:$X,0)</f>
        <v>144400</v>
      </c>
      <c r="V128" s="12">
        <f>_xlfn.XLOOKUP(B128,[1]Sheet1!$B:$B,[1]Sheet1!$Y:$Y,0)</f>
        <v>144400</v>
      </c>
      <c r="W128" s="12">
        <f t="shared" si="5"/>
        <v>1717000</v>
      </c>
      <c r="X128" s="6" t="s">
        <v>280</v>
      </c>
      <c r="Y128" s="6" t="s">
        <v>65</v>
      </c>
      <c r="Z128" s="6" t="s">
        <v>66</v>
      </c>
      <c r="AA128" s="6" t="s">
        <v>53</v>
      </c>
      <c r="AB128" s="6" t="s">
        <v>36</v>
      </c>
      <c r="AC128" s="6" t="s">
        <v>37</v>
      </c>
      <c r="AD128" s="6" t="s">
        <v>192</v>
      </c>
      <c r="AE128" s="6" t="s">
        <v>39</v>
      </c>
      <c r="AF128" s="6" t="s">
        <v>40</v>
      </c>
      <c r="AG128" s="7">
        <v>1717000</v>
      </c>
      <c r="AH128" s="11">
        <f>_xlfn.XLOOKUP(B128,[1]Sheet1!$B:$B,[1]Sheet1!$AB:$AB,0)</f>
        <v>1717000</v>
      </c>
    </row>
    <row r="129" spans="2:34" ht="16.8" thickTop="1" thickBot="1" x14ac:dyDescent="0.35">
      <c r="B129" s="3" t="str">
        <f t="shared" si="4"/>
        <v>45113004511000227Admin Expenses-N421125200104</v>
      </c>
      <c r="C129" s="8" t="s">
        <v>288</v>
      </c>
      <c r="D129" s="8" t="s">
        <v>284</v>
      </c>
      <c r="E129" s="8" t="s">
        <v>285</v>
      </c>
      <c r="F129" s="8" t="s">
        <v>130</v>
      </c>
      <c r="G129" s="4" t="s">
        <v>2803</v>
      </c>
      <c r="H129" s="4" t="s">
        <v>2922</v>
      </c>
      <c r="I129" s="8" t="s">
        <v>44</v>
      </c>
      <c r="J129" s="8" t="s">
        <v>31</v>
      </c>
      <c r="K129" s="12">
        <f>_xlfn.XLOOKUP(B129,[1]Sheet1!$B:$B,[1]Sheet1!$N:$N,0)</f>
        <v>0</v>
      </c>
      <c r="L129" s="12">
        <f>_xlfn.XLOOKUP(B129,[1]Sheet1!$B:$B,[1]Sheet1!$O:$O,0)</f>
        <v>71939.5</v>
      </c>
      <c r="M129" s="12">
        <f>_xlfn.XLOOKUP(B129,[1]Sheet1!$B:$B,[1]Sheet1!$P:$P,0)</f>
        <v>75777.50999999998</v>
      </c>
      <c r="N129" s="12">
        <f>_xlfn.XLOOKUP(B129,[1]Sheet1!$B:$B,[1]Sheet1!$Q:$Q,0)</f>
        <v>0</v>
      </c>
      <c r="O129" s="12">
        <f>_xlfn.XLOOKUP(B129,[1]Sheet1!$B:$B,[1]Sheet1!$R:$R,0)</f>
        <v>100029</v>
      </c>
      <c r="P129" s="12">
        <f>_xlfn.XLOOKUP(B129,[1]Sheet1!$B:$B,[1]Sheet1!$S:$S,0)</f>
        <v>50000</v>
      </c>
      <c r="Q129" s="12">
        <f>_xlfn.XLOOKUP(B129,[1]Sheet1!$B:$B,[1]Sheet1!$T:$T,0)</f>
        <v>200000</v>
      </c>
      <c r="R129" s="12">
        <f>_xlfn.XLOOKUP(B129,[1]Sheet1!$B:$B,[1]Sheet1!$U:$U,0)</f>
        <v>200000</v>
      </c>
      <c r="S129" s="12">
        <f>_xlfn.XLOOKUP(B129,[1]Sheet1!$B:$B,[1]Sheet1!$V:$V,0)</f>
        <v>200000</v>
      </c>
      <c r="T129" s="12">
        <f>_xlfn.XLOOKUP(B129,[1]Sheet1!$B:$B,[1]Sheet1!$W:$W,0)</f>
        <v>300000</v>
      </c>
      <c r="U129" s="12">
        <f>_xlfn.XLOOKUP(B129,[1]Sheet1!$B:$B,[1]Sheet1!$X:$X,0)</f>
        <v>400000</v>
      </c>
      <c r="V129" s="12">
        <f>_xlfn.XLOOKUP(B129,[1]Sheet1!$B:$B,[1]Sheet1!$Y:$Y,0)</f>
        <v>502254</v>
      </c>
      <c r="W129" s="12">
        <f t="shared" si="5"/>
        <v>2100000.0099999998</v>
      </c>
      <c r="X129" s="8" t="s">
        <v>286</v>
      </c>
      <c r="Y129" s="8" t="s">
        <v>65</v>
      </c>
      <c r="Z129" s="8" t="s">
        <v>287</v>
      </c>
      <c r="AA129" s="8" t="s">
        <v>44</v>
      </c>
      <c r="AB129" s="8" t="s">
        <v>36</v>
      </c>
      <c r="AC129" s="8" t="s">
        <v>37</v>
      </c>
      <c r="AD129" s="8" t="s">
        <v>126</v>
      </c>
      <c r="AE129" s="8" t="s">
        <v>39</v>
      </c>
      <c r="AF129" s="8" t="s">
        <v>40</v>
      </c>
      <c r="AG129" s="9">
        <v>1748354</v>
      </c>
      <c r="AH129" s="11">
        <f>_xlfn.XLOOKUP(B129,[1]Sheet1!$B:$B,[1]Sheet1!$AB:$AB,0)</f>
        <v>1748354.0099999998</v>
      </c>
    </row>
    <row r="130" spans="2:34" ht="16.8" thickTop="1" thickBot="1" x14ac:dyDescent="0.35">
      <c r="B130" s="3" t="str">
        <f t="shared" si="4"/>
        <v>45113004511000227Hospitality-N424761200104</v>
      </c>
      <c r="C130" s="6" t="s">
        <v>288</v>
      </c>
      <c r="D130" s="6" t="s">
        <v>284</v>
      </c>
      <c r="E130" s="6" t="s">
        <v>285</v>
      </c>
      <c r="F130" s="6" t="s">
        <v>83</v>
      </c>
      <c r="G130" s="4" t="s">
        <v>2811</v>
      </c>
      <c r="H130" s="4" t="s">
        <v>2922</v>
      </c>
      <c r="I130" s="6" t="s">
        <v>84</v>
      </c>
      <c r="J130" s="6" t="s">
        <v>31</v>
      </c>
      <c r="K130" s="12">
        <f>_xlfn.XLOOKUP(B130,[1]Sheet1!$B:$B,[1]Sheet1!$N:$N,0)</f>
        <v>0</v>
      </c>
      <c r="L130" s="12">
        <f>_xlfn.XLOOKUP(B130,[1]Sheet1!$B:$B,[1]Sheet1!$O:$O,0)</f>
        <v>0</v>
      </c>
      <c r="M130" s="12">
        <f>_xlfn.XLOOKUP(B130,[1]Sheet1!$B:$B,[1]Sheet1!$P:$P,0)</f>
        <v>0</v>
      </c>
      <c r="N130" s="12">
        <f>_xlfn.XLOOKUP(B130,[1]Sheet1!$B:$B,[1]Sheet1!$Q:$Q,0)</f>
        <v>0</v>
      </c>
      <c r="O130" s="12">
        <f>_xlfn.XLOOKUP(B130,[1]Sheet1!$B:$B,[1]Sheet1!$R:$R,0)</f>
        <v>0</v>
      </c>
      <c r="P130" s="12">
        <f>_xlfn.XLOOKUP(B130,[1]Sheet1!$B:$B,[1]Sheet1!$S:$S,0)</f>
        <v>0</v>
      </c>
      <c r="Q130" s="12">
        <f>_xlfn.XLOOKUP(B130,[1]Sheet1!$B:$B,[1]Sheet1!$T:$T,0)</f>
        <v>0</v>
      </c>
      <c r="R130" s="12">
        <f>_xlfn.XLOOKUP(B130,[1]Sheet1!$B:$B,[1]Sheet1!$U:$U,0)</f>
        <v>0</v>
      </c>
      <c r="S130" s="12">
        <f>_xlfn.XLOOKUP(B130,[1]Sheet1!$B:$B,[1]Sheet1!$V:$V,0)</f>
        <v>0</v>
      </c>
      <c r="T130" s="12">
        <f>_xlfn.XLOOKUP(B130,[1]Sheet1!$B:$B,[1]Sheet1!$W:$W,0)</f>
        <v>0</v>
      </c>
      <c r="U130" s="12">
        <f>_xlfn.XLOOKUP(B130,[1]Sheet1!$B:$B,[1]Sheet1!$X:$X,0)</f>
        <v>0</v>
      </c>
      <c r="V130" s="12">
        <f>_xlfn.XLOOKUP(B130,[1]Sheet1!$B:$B,[1]Sheet1!$Y:$Y,0)</f>
        <v>0</v>
      </c>
      <c r="W130" s="12">
        <f t="shared" si="5"/>
        <v>0</v>
      </c>
      <c r="X130" s="6" t="s">
        <v>289</v>
      </c>
      <c r="Y130" s="6" t="s">
        <v>65</v>
      </c>
      <c r="Z130" s="6" t="s">
        <v>287</v>
      </c>
      <c r="AA130" s="6" t="s">
        <v>84</v>
      </c>
      <c r="AB130" s="6" t="s">
        <v>36</v>
      </c>
      <c r="AC130" s="6" t="s">
        <v>37</v>
      </c>
      <c r="AD130" s="6" t="s">
        <v>126</v>
      </c>
      <c r="AE130" s="6" t="s">
        <v>39</v>
      </c>
      <c r="AF130" s="6" t="s">
        <v>40</v>
      </c>
      <c r="AG130" s="7">
        <v>500000</v>
      </c>
      <c r="AH130" s="11">
        <f>_xlfn.XLOOKUP(B130,[1]Sheet1!$B:$B,[1]Sheet1!$AB:$AB,0)</f>
        <v>500000</v>
      </c>
    </row>
    <row r="131" spans="2:34" ht="16.8" thickTop="1" thickBot="1" x14ac:dyDescent="0.35">
      <c r="B131" s="3" t="str">
        <f t="shared" si="4"/>
        <v>45113004511000227Mission &amp; Travel-N423821200104</v>
      </c>
      <c r="C131" s="8" t="s">
        <v>288</v>
      </c>
      <c r="D131" s="8" t="s">
        <v>284</v>
      </c>
      <c r="E131" s="8" t="s">
        <v>285</v>
      </c>
      <c r="F131" s="8" t="s">
        <v>54</v>
      </c>
      <c r="G131" s="4" t="s">
        <v>2805</v>
      </c>
      <c r="H131" s="4" t="s">
        <v>2922</v>
      </c>
      <c r="I131" s="8" t="s">
        <v>55</v>
      </c>
      <c r="J131" s="8" t="s">
        <v>31</v>
      </c>
      <c r="K131" s="12">
        <f>_xlfn.XLOOKUP(B131,[1]Sheet1!$B:$B,[1]Sheet1!$N:$N,0)</f>
        <v>0</v>
      </c>
      <c r="L131" s="12">
        <f>_xlfn.XLOOKUP(B131,[1]Sheet1!$B:$B,[1]Sheet1!$O:$O,0)</f>
        <v>73850</v>
      </c>
      <c r="M131" s="12">
        <f>_xlfn.XLOOKUP(B131,[1]Sheet1!$B:$B,[1]Sheet1!$P:$P,0)</f>
        <v>36600</v>
      </c>
      <c r="N131" s="12">
        <f>_xlfn.XLOOKUP(B131,[1]Sheet1!$B:$B,[1]Sheet1!$Q:$Q,0)</f>
        <v>29800</v>
      </c>
      <c r="O131" s="12">
        <f>_xlfn.XLOOKUP(B131,[1]Sheet1!$B:$B,[1]Sheet1!$R:$R,0)</f>
        <v>144750</v>
      </c>
      <c r="P131" s="12">
        <f>_xlfn.XLOOKUP(B131,[1]Sheet1!$B:$B,[1]Sheet1!$S:$S,0)</f>
        <v>0</v>
      </c>
      <c r="Q131" s="12">
        <f>_xlfn.XLOOKUP(B131,[1]Sheet1!$B:$B,[1]Sheet1!$T:$T,0)</f>
        <v>200000</v>
      </c>
      <c r="R131" s="12">
        <f>_xlfn.XLOOKUP(B131,[1]Sheet1!$B:$B,[1]Sheet1!$U:$U,0)</f>
        <v>100000</v>
      </c>
      <c r="S131" s="12">
        <f>_xlfn.XLOOKUP(B131,[1]Sheet1!$B:$B,[1]Sheet1!$V:$V,0)</f>
        <v>100000</v>
      </c>
      <c r="T131" s="12">
        <f>_xlfn.XLOOKUP(B131,[1]Sheet1!$B:$B,[1]Sheet1!$W:$W,0)</f>
        <v>100000</v>
      </c>
      <c r="U131" s="12">
        <f>_xlfn.XLOOKUP(B131,[1]Sheet1!$B:$B,[1]Sheet1!$X:$X,0)</f>
        <v>100000</v>
      </c>
      <c r="V131" s="12">
        <f>_xlfn.XLOOKUP(B131,[1]Sheet1!$B:$B,[1]Sheet1!$Y:$Y,0)</f>
        <v>411049</v>
      </c>
      <c r="W131" s="12">
        <f t="shared" si="5"/>
        <v>1296049</v>
      </c>
      <c r="X131" s="8" t="s">
        <v>290</v>
      </c>
      <c r="Y131" s="8" t="s">
        <v>65</v>
      </c>
      <c r="Z131" s="8" t="s">
        <v>287</v>
      </c>
      <c r="AA131" s="8" t="s">
        <v>55</v>
      </c>
      <c r="AB131" s="8" t="s">
        <v>36</v>
      </c>
      <c r="AC131" s="8" t="s">
        <v>37</v>
      </c>
      <c r="AD131" s="8" t="s">
        <v>126</v>
      </c>
      <c r="AE131" s="8" t="s">
        <v>39</v>
      </c>
      <c r="AF131" s="8" t="s">
        <v>40</v>
      </c>
      <c r="AG131" s="9">
        <v>1296049</v>
      </c>
      <c r="AH131" s="11">
        <f>_xlfn.XLOOKUP(B131,[1]Sheet1!$B:$B,[1]Sheet1!$AB:$AB,0)</f>
        <v>1296049</v>
      </c>
    </row>
    <row r="132" spans="2:34" ht="16.8" thickTop="1" thickBot="1" x14ac:dyDescent="0.35">
      <c r="B132" s="3" t="str">
        <f t="shared" ref="B132:B195" si="6">C132&amp;D132&amp;F132&amp;G132&amp;H132</f>
        <v>45113004511000227Plant &amp; Tools-N491351300105</v>
      </c>
      <c r="C132" s="6" t="s">
        <v>288</v>
      </c>
      <c r="D132" s="6" t="s">
        <v>284</v>
      </c>
      <c r="E132" s="6" t="s">
        <v>285</v>
      </c>
      <c r="F132" s="6" t="s">
        <v>291</v>
      </c>
      <c r="G132" s="4" t="s">
        <v>2829</v>
      </c>
      <c r="H132" s="4" t="s">
        <v>2923</v>
      </c>
      <c r="I132" s="6" t="s">
        <v>292</v>
      </c>
      <c r="J132" s="6" t="s">
        <v>31</v>
      </c>
      <c r="K132" s="12">
        <f>_xlfn.XLOOKUP(B132,[1]Sheet1!$B:$B,[1]Sheet1!$N:$N,0)</f>
        <v>0</v>
      </c>
      <c r="L132" s="12">
        <f>_xlfn.XLOOKUP(B132,[1]Sheet1!$B:$B,[1]Sheet1!$O:$O,0)</f>
        <v>0</v>
      </c>
      <c r="M132" s="12">
        <f>_xlfn.XLOOKUP(B132,[1]Sheet1!$B:$B,[1]Sheet1!$P:$P,0)</f>
        <v>7700</v>
      </c>
      <c r="N132" s="12">
        <f>_xlfn.XLOOKUP(B132,[1]Sheet1!$B:$B,[1]Sheet1!$Q:$Q,0)</f>
        <v>0</v>
      </c>
      <c r="O132" s="12">
        <f>_xlfn.XLOOKUP(B132,[1]Sheet1!$B:$B,[1]Sheet1!$R:$R,0)</f>
        <v>0</v>
      </c>
      <c r="P132" s="12">
        <f>_xlfn.XLOOKUP(B132,[1]Sheet1!$B:$B,[1]Sheet1!$S:$S,0)</f>
        <v>108833.54</v>
      </c>
      <c r="Q132" s="12">
        <f>_xlfn.XLOOKUP(B132,[1]Sheet1!$B:$B,[1]Sheet1!$T:$T,0)</f>
        <v>9558.0400000000009</v>
      </c>
      <c r="R132" s="12">
        <f>_xlfn.XLOOKUP(B132,[1]Sheet1!$B:$B,[1]Sheet1!$U:$U,0)</f>
        <v>326670</v>
      </c>
      <c r="S132" s="12">
        <f>_xlfn.XLOOKUP(B132,[1]Sheet1!$B:$B,[1]Sheet1!$V:$V,0)</f>
        <v>667238</v>
      </c>
      <c r="T132" s="12">
        <f>_xlfn.XLOOKUP(B132,[1]Sheet1!$B:$B,[1]Sheet1!$W:$W,0)</f>
        <v>630000</v>
      </c>
      <c r="U132" s="12">
        <f>_xlfn.XLOOKUP(B132,[1]Sheet1!$B:$B,[1]Sheet1!$X:$X,0)</f>
        <v>550000</v>
      </c>
      <c r="V132" s="12">
        <f>_xlfn.XLOOKUP(B132,[1]Sheet1!$B:$B,[1]Sheet1!$Y:$Y,0)</f>
        <v>700000</v>
      </c>
      <c r="W132" s="12">
        <f t="shared" ref="W132:W195" si="7">SUM(K132:V132)</f>
        <v>2999999.58</v>
      </c>
      <c r="X132" s="6" t="s">
        <v>293</v>
      </c>
      <c r="Y132" s="6" t="s">
        <v>65</v>
      </c>
      <c r="Z132" s="6" t="s">
        <v>287</v>
      </c>
      <c r="AA132" s="6" t="s">
        <v>292</v>
      </c>
      <c r="AB132" s="6" t="s">
        <v>93</v>
      </c>
      <c r="AC132" s="6" t="s">
        <v>94</v>
      </c>
      <c r="AD132" s="6" t="s">
        <v>126</v>
      </c>
      <c r="AE132" s="6" t="s">
        <v>39</v>
      </c>
      <c r="AF132" s="6" t="s">
        <v>40</v>
      </c>
      <c r="AG132" s="7">
        <v>9000000</v>
      </c>
      <c r="AH132" s="11">
        <f>_xlfn.XLOOKUP(B132,[1]Sheet1!$B:$B,[1]Sheet1!$AB:$AB,0)</f>
        <v>8999999.5800000001</v>
      </c>
    </row>
    <row r="133" spans="2:34" ht="16.8" thickTop="1" thickBot="1" x14ac:dyDescent="0.35">
      <c r="B133" s="3" t="str">
        <f t="shared" si="6"/>
        <v>45111504511000231Cultural Advice-N424521200104</v>
      </c>
      <c r="C133" s="8" t="s">
        <v>299</v>
      </c>
      <c r="D133" s="8" t="s">
        <v>294</v>
      </c>
      <c r="E133" s="8" t="s">
        <v>295</v>
      </c>
      <c r="F133" s="8" t="s">
        <v>296</v>
      </c>
      <c r="G133" s="4" t="s">
        <v>2804</v>
      </c>
      <c r="H133" s="4" t="s">
        <v>2922</v>
      </c>
      <c r="I133" s="8" t="s">
        <v>51</v>
      </c>
      <c r="J133" s="8" t="s">
        <v>31</v>
      </c>
      <c r="K133" s="12">
        <f>_xlfn.XLOOKUP(B133,[1]Sheet1!$B:$B,[1]Sheet1!$N:$N,0)</f>
        <v>0</v>
      </c>
      <c r="L133" s="12">
        <f>_xlfn.XLOOKUP(B133,[1]Sheet1!$B:$B,[1]Sheet1!$O:$O,0)</f>
        <v>0</v>
      </c>
      <c r="M133" s="12">
        <f>_xlfn.XLOOKUP(B133,[1]Sheet1!$B:$B,[1]Sheet1!$P:$P,0)</f>
        <v>0</v>
      </c>
      <c r="N133" s="12">
        <f>_xlfn.XLOOKUP(B133,[1]Sheet1!$B:$B,[1]Sheet1!$Q:$Q,0)</f>
        <v>0</v>
      </c>
      <c r="O133" s="12">
        <f>_xlfn.XLOOKUP(B133,[1]Sheet1!$B:$B,[1]Sheet1!$R:$R,0)</f>
        <v>0</v>
      </c>
      <c r="P133" s="12">
        <f>_xlfn.XLOOKUP(B133,[1]Sheet1!$B:$B,[1]Sheet1!$S:$S,0)</f>
        <v>0</v>
      </c>
      <c r="Q133" s="12">
        <f>_xlfn.XLOOKUP(B133,[1]Sheet1!$B:$B,[1]Sheet1!$T:$T,0)</f>
        <v>0</v>
      </c>
      <c r="R133" s="12">
        <f>_xlfn.XLOOKUP(B133,[1]Sheet1!$B:$B,[1]Sheet1!$U:$U,0)</f>
        <v>0</v>
      </c>
      <c r="S133" s="12">
        <f>_xlfn.XLOOKUP(B133,[1]Sheet1!$B:$B,[1]Sheet1!$V:$V,0)</f>
        <v>0</v>
      </c>
      <c r="T133" s="12">
        <f>_xlfn.XLOOKUP(B133,[1]Sheet1!$B:$B,[1]Sheet1!$W:$W,0)</f>
        <v>0</v>
      </c>
      <c r="U133" s="12">
        <f>_xlfn.XLOOKUP(B133,[1]Sheet1!$B:$B,[1]Sheet1!$X:$X,0)</f>
        <v>3343932</v>
      </c>
      <c r="V133" s="12">
        <f>_xlfn.XLOOKUP(B133,[1]Sheet1!$B:$B,[1]Sheet1!$Y:$Y,0)</f>
        <v>0</v>
      </c>
      <c r="W133" s="12">
        <f t="shared" si="7"/>
        <v>3343932</v>
      </c>
      <c r="X133" s="8" t="s">
        <v>297</v>
      </c>
      <c r="Y133" s="8" t="s">
        <v>65</v>
      </c>
      <c r="Z133" s="8" t="s">
        <v>298</v>
      </c>
      <c r="AA133" s="8" t="s">
        <v>53</v>
      </c>
      <c r="AB133" s="8" t="s">
        <v>36</v>
      </c>
      <c r="AC133" s="8" t="s">
        <v>37</v>
      </c>
      <c r="AD133" s="8" t="s">
        <v>270</v>
      </c>
      <c r="AE133" s="8" t="s">
        <v>39</v>
      </c>
      <c r="AF133" s="8" t="s">
        <v>40</v>
      </c>
      <c r="AG133" s="9">
        <v>3343932.36</v>
      </c>
      <c r="AH133" s="11">
        <f>_xlfn.XLOOKUP(B133,[1]Sheet1!$B:$B,[1]Sheet1!$AB:$AB,0)</f>
        <v>3343932</v>
      </c>
    </row>
    <row r="134" spans="2:34" ht="16.8" thickTop="1" thickBot="1" x14ac:dyDescent="0.35">
      <c r="B134" s="3" t="str">
        <f t="shared" si="6"/>
        <v>45110204511000231Freelancers-N424521200104</v>
      </c>
      <c r="C134" s="6" t="s">
        <v>302</v>
      </c>
      <c r="D134" s="6" t="s">
        <v>294</v>
      </c>
      <c r="E134" s="6" t="s">
        <v>295</v>
      </c>
      <c r="F134" s="6" t="s">
        <v>50</v>
      </c>
      <c r="G134" s="4" t="s">
        <v>2804</v>
      </c>
      <c r="H134" s="4" t="s">
        <v>2922</v>
      </c>
      <c r="I134" s="6" t="s">
        <v>51</v>
      </c>
      <c r="J134" s="6" t="s">
        <v>31</v>
      </c>
      <c r="K134" s="12">
        <f>_xlfn.XLOOKUP(B134,[1]Sheet1!$B:$B,[1]Sheet1!$N:$N,0)</f>
        <v>0</v>
      </c>
      <c r="L134" s="12">
        <f>_xlfn.XLOOKUP(B134,[1]Sheet1!$B:$B,[1]Sheet1!$O:$O,0)</f>
        <v>0</v>
      </c>
      <c r="M134" s="12">
        <f>_xlfn.XLOOKUP(B134,[1]Sheet1!$B:$B,[1]Sheet1!$P:$P,0)</f>
        <v>0</v>
      </c>
      <c r="N134" s="12">
        <f>_xlfn.XLOOKUP(B134,[1]Sheet1!$B:$B,[1]Sheet1!$Q:$Q,0)</f>
        <v>0</v>
      </c>
      <c r="O134" s="12">
        <f>_xlfn.XLOOKUP(B134,[1]Sheet1!$B:$B,[1]Sheet1!$R:$R,0)</f>
        <v>0</v>
      </c>
      <c r="P134" s="12">
        <f>_xlfn.XLOOKUP(B134,[1]Sheet1!$B:$B,[1]Sheet1!$S:$S,0)</f>
        <v>0</v>
      </c>
      <c r="Q134" s="12">
        <f>_xlfn.XLOOKUP(B134,[1]Sheet1!$B:$B,[1]Sheet1!$T:$T,0)</f>
        <v>0</v>
      </c>
      <c r="R134" s="12">
        <f>_xlfn.XLOOKUP(B134,[1]Sheet1!$B:$B,[1]Sheet1!$U:$U,0)</f>
        <v>0</v>
      </c>
      <c r="S134" s="12">
        <f>_xlfn.XLOOKUP(B134,[1]Sheet1!$B:$B,[1]Sheet1!$V:$V,0)</f>
        <v>0</v>
      </c>
      <c r="T134" s="12">
        <f>_xlfn.XLOOKUP(B134,[1]Sheet1!$B:$B,[1]Sheet1!$W:$W,0)</f>
        <v>0</v>
      </c>
      <c r="U134" s="12">
        <f>_xlfn.XLOOKUP(B134,[1]Sheet1!$B:$B,[1]Sheet1!$X:$X,0)</f>
        <v>0</v>
      </c>
      <c r="V134" s="12">
        <f>_xlfn.XLOOKUP(B134,[1]Sheet1!$B:$B,[1]Sheet1!$Y:$Y,0)</f>
        <v>0</v>
      </c>
      <c r="W134" s="12">
        <f t="shared" si="7"/>
        <v>0</v>
      </c>
      <c r="X134" s="6" t="s">
        <v>300</v>
      </c>
      <c r="Y134" s="6" t="s">
        <v>65</v>
      </c>
      <c r="Z134" s="6" t="s">
        <v>301</v>
      </c>
      <c r="AA134" s="6" t="s">
        <v>53</v>
      </c>
      <c r="AB134" s="6" t="s">
        <v>36</v>
      </c>
      <c r="AC134" s="6" t="s">
        <v>37</v>
      </c>
      <c r="AD134" s="6" t="s">
        <v>270</v>
      </c>
      <c r="AE134" s="6" t="s">
        <v>39</v>
      </c>
      <c r="AF134" s="6" t="s">
        <v>40</v>
      </c>
      <c r="AG134" s="7">
        <v>160000</v>
      </c>
      <c r="AH134" s="11">
        <f>_xlfn.XLOOKUP(B134,[1]Sheet1!$B:$B,[1]Sheet1!$AB:$AB,0)</f>
        <v>0</v>
      </c>
    </row>
    <row r="135" spans="2:34" ht="16.8" thickTop="1" thickBot="1" x14ac:dyDescent="0.35">
      <c r="B135" s="3" t="str">
        <f t="shared" si="6"/>
        <v>45111504511000231Freelancers-N1424521200104</v>
      </c>
      <c r="C135" s="8" t="s">
        <v>299</v>
      </c>
      <c r="D135" s="8" t="s">
        <v>294</v>
      </c>
      <c r="E135" s="8" t="s">
        <v>295</v>
      </c>
      <c r="F135" s="8" t="s">
        <v>303</v>
      </c>
      <c r="G135" s="4" t="s">
        <v>2804</v>
      </c>
      <c r="H135" s="4" t="s">
        <v>2922</v>
      </c>
      <c r="I135" s="8" t="s">
        <v>51</v>
      </c>
      <c r="J135" s="8" t="s">
        <v>31</v>
      </c>
      <c r="K135" s="12">
        <f>_xlfn.XLOOKUP(B135,[1]Sheet1!$B:$B,[1]Sheet1!$N:$N,0)</f>
        <v>0</v>
      </c>
      <c r="L135" s="12">
        <f>_xlfn.XLOOKUP(B135,[1]Sheet1!$B:$B,[1]Sheet1!$O:$O,0)</f>
        <v>0</v>
      </c>
      <c r="M135" s="12">
        <f>_xlfn.XLOOKUP(B135,[1]Sheet1!$B:$B,[1]Sheet1!$P:$P,0)</f>
        <v>6882</v>
      </c>
      <c r="N135" s="12">
        <f>_xlfn.XLOOKUP(B135,[1]Sheet1!$B:$B,[1]Sheet1!$Q:$Q,0)</f>
        <v>0</v>
      </c>
      <c r="O135" s="12">
        <f>_xlfn.XLOOKUP(B135,[1]Sheet1!$B:$B,[1]Sheet1!$R:$R,0)</f>
        <v>28118</v>
      </c>
      <c r="P135" s="12">
        <f>_xlfn.XLOOKUP(B135,[1]Sheet1!$B:$B,[1]Sheet1!$S:$S,0)</f>
        <v>0</v>
      </c>
      <c r="Q135" s="12">
        <f>_xlfn.XLOOKUP(B135,[1]Sheet1!$B:$B,[1]Sheet1!$T:$T,0)</f>
        <v>0</v>
      </c>
      <c r="R135" s="12">
        <f>_xlfn.XLOOKUP(B135,[1]Sheet1!$B:$B,[1]Sheet1!$U:$U,0)</f>
        <v>55000</v>
      </c>
      <c r="S135" s="12">
        <f>_xlfn.XLOOKUP(B135,[1]Sheet1!$B:$B,[1]Sheet1!$V:$V,0)</f>
        <v>35000</v>
      </c>
      <c r="T135" s="12">
        <f>_xlfn.XLOOKUP(B135,[1]Sheet1!$B:$B,[1]Sheet1!$W:$W,0)</f>
        <v>0</v>
      </c>
      <c r="U135" s="12">
        <f>_xlfn.XLOOKUP(B135,[1]Sheet1!$B:$B,[1]Sheet1!$X:$X,0)</f>
        <v>35000</v>
      </c>
      <c r="V135" s="12">
        <f>_xlfn.XLOOKUP(B135,[1]Sheet1!$B:$B,[1]Sheet1!$Y:$Y,0)</f>
        <v>0</v>
      </c>
      <c r="W135" s="12">
        <f t="shared" si="7"/>
        <v>160000</v>
      </c>
      <c r="X135" s="8" t="s">
        <v>297</v>
      </c>
      <c r="Y135" s="8" t="s">
        <v>65</v>
      </c>
      <c r="Z135" s="8" t="s">
        <v>298</v>
      </c>
      <c r="AA135" s="8" t="s">
        <v>53</v>
      </c>
      <c r="AB135" s="8" t="s">
        <v>36</v>
      </c>
      <c r="AC135" s="8" t="s">
        <v>37</v>
      </c>
      <c r="AD135" s="8" t="s">
        <v>270</v>
      </c>
      <c r="AE135" s="8" t="s">
        <v>39</v>
      </c>
      <c r="AF135" s="8" t="s">
        <v>40</v>
      </c>
      <c r="AG135" s="9">
        <v>160000</v>
      </c>
      <c r="AH135" s="11">
        <f>_xlfn.XLOOKUP(B135,[1]Sheet1!$B:$B,[1]Sheet1!$AB:$AB,0)</f>
        <v>160000</v>
      </c>
    </row>
    <row r="136" spans="2:34" ht="16.8" thickTop="1" thickBot="1" x14ac:dyDescent="0.35">
      <c r="B136" s="3" t="str">
        <f t="shared" si="6"/>
        <v>45110204511000231Print Runs-N424791200104</v>
      </c>
      <c r="C136" s="6" t="s">
        <v>302</v>
      </c>
      <c r="D136" s="6" t="s">
        <v>294</v>
      </c>
      <c r="E136" s="6" t="s">
        <v>295</v>
      </c>
      <c r="F136" s="6" t="s">
        <v>304</v>
      </c>
      <c r="G136" s="4" t="s">
        <v>2830</v>
      </c>
      <c r="H136" s="4" t="s">
        <v>2922</v>
      </c>
      <c r="I136" s="6" t="s">
        <v>305</v>
      </c>
      <c r="J136" s="6" t="s">
        <v>31</v>
      </c>
      <c r="K136" s="12">
        <f>_xlfn.XLOOKUP(B136,[1]Sheet1!$B:$B,[1]Sheet1!$N:$N,0)</f>
        <v>0</v>
      </c>
      <c r="L136" s="12">
        <f>_xlfn.XLOOKUP(B136,[1]Sheet1!$B:$B,[1]Sheet1!$O:$O,0)</f>
        <v>0</v>
      </c>
      <c r="M136" s="12">
        <f>_xlfn.XLOOKUP(B136,[1]Sheet1!$B:$B,[1]Sheet1!$P:$P,0)</f>
        <v>0</v>
      </c>
      <c r="N136" s="12">
        <f>_xlfn.XLOOKUP(B136,[1]Sheet1!$B:$B,[1]Sheet1!$Q:$Q,0)</f>
        <v>0</v>
      </c>
      <c r="O136" s="12">
        <f>_xlfn.XLOOKUP(B136,[1]Sheet1!$B:$B,[1]Sheet1!$R:$R,0)</f>
        <v>0</v>
      </c>
      <c r="P136" s="12">
        <f>_xlfn.XLOOKUP(B136,[1]Sheet1!$B:$B,[1]Sheet1!$S:$S,0)</f>
        <v>0</v>
      </c>
      <c r="Q136" s="12">
        <f>_xlfn.XLOOKUP(B136,[1]Sheet1!$B:$B,[1]Sheet1!$T:$T,0)</f>
        <v>0</v>
      </c>
      <c r="R136" s="12">
        <f>_xlfn.XLOOKUP(B136,[1]Sheet1!$B:$B,[1]Sheet1!$U:$U,0)</f>
        <v>0</v>
      </c>
      <c r="S136" s="12">
        <f>_xlfn.XLOOKUP(B136,[1]Sheet1!$B:$B,[1]Sheet1!$V:$V,0)</f>
        <v>0</v>
      </c>
      <c r="T136" s="12">
        <f>_xlfn.XLOOKUP(B136,[1]Sheet1!$B:$B,[1]Sheet1!$W:$W,0)</f>
        <v>0</v>
      </c>
      <c r="U136" s="12">
        <f>_xlfn.XLOOKUP(B136,[1]Sheet1!$B:$B,[1]Sheet1!$X:$X,0)</f>
        <v>0</v>
      </c>
      <c r="V136" s="12">
        <f>_xlfn.XLOOKUP(B136,[1]Sheet1!$B:$B,[1]Sheet1!$Y:$Y,0)</f>
        <v>0</v>
      </c>
      <c r="W136" s="12">
        <f t="shared" si="7"/>
        <v>0</v>
      </c>
      <c r="X136" s="6" t="s">
        <v>306</v>
      </c>
      <c r="Y136" s="6" t="s">
        <v>65</v>
      </c>
      <c r="Z136" s="6" t="s">
        <v>301</v>
      </c>
      <c r="AA136" s="6" t="s">
        <v>305</v>
      </c>
      <c r="AB136" s="6" t="s">
        <v>36</v>
      </c>
      <c r="AC136" s="6" t="s">
        <v>37</v>
      </c>
      <c r="AD136" s="6" t="s">
        <v>270</v>
      </c>
      <c r="AE136" s="6" t="s">
        <v>39</v>
      </c>
      <c r="AF136" s="6" t="s">
        <v>40</v>
      </c>
      <c r="AG136" s="7">
        <v>1200000</v>
      </c>
      <c r="AH136" s="11">
        <f>_xlfn.XLOOKUP(B136,[1]Sheet1!$B:$B,[1]Sheet1!$AB:$AB,0)</f>
        <v>0</v>
      </c>
    </row>
    <row r="137" spans="2:34" ht="16.8" thickTop="1" thickBot="1" x14ac:dyDescent="0.35">
      <c r="B137" s="3" t="str">
        <f t="shared" si="6"/>
        <v>45111504511000231Print Runs-N1424791200104</v>
      </c>
      <c r="C137" s="8" t="s">
        <v>299</v>
      </c>
      <c r="D137" s="8" t="s">
        <v>294</v>
      </c>
      <c r="E137" s="8" t="s">
        <v>295</v>
      </c>
      <c r="F137" s="8" t="s">
        <v>307</v>
      </c>
      <c r="G137" s="4" t="s">
        <v>2830</v>
      </c>
      <c r="H137" s="4" t="s">
        <v>2922</v>
      </c>
      <c r="I137" s="8" t="s">
        <v>305</v>
      </c>
      <c r="J137" s="8" t="s">
        <v>31</v>
      </c>
      <c r="K137" s="12">
        <f>_xlfn.XLOOKUP(B137,[1]Sheet1!$B:$B,[1]Sheet1!$N:$N,0)</f>
        <v>0</v>
      </c>
      <c r="L137" s="12">
        <f>_xlfn.XLOOKUP(B137,[1]Sheet1!$B:$B,[1]Sheet1!$O:$O,0)</f>
        <v>0</v>
      </c>
      <c r="M137" s="12">
        <f>_xlfn.XLOOKUP(B137,[1]Sheet1!$B:$B,[1]Sheet1!$P:$P,0)</f>
        <v>0</v>
      </c>
      <c r="N137" s="12">
        <f>_xlfn.XLOOKUP(B137,[1]Sheet1!$B:$B,[1]Sheet1!$Q:$Q,0)</f>
        <v>0</v>
      </c>
      <c r="O137" s="12">
        <f>_xlfn.XLOOKUP(B137,[1]Sheet1!$B:$B,[1]Sheet1!$R:$R,0)</f>
        <v>0</v>
      </c>
      <c r="P137" s="12">
        <f>_xlfn.XLOOKUP(B137,[1]Sheet1!$B:$B,[1]Sheet1!$S:$S,0)</f>
        <v>0</v>
      </c>
      <c r="Q137" s="12">
        <f>_xlfn.XLOOKUP(B137,[1]Sheet1!$B:$B,[1]Sheet1!$T:$T,0)</f>
        <v>110000</v>
      </c>
      <c r="R137" s="12">
        <f>_xlfn.XLOOKUP(B137,[1]Sheet1!$B:$B,[1]Sheet1!$U:$U,0)</f>
        <v>160000</v>
      </c>
      <c r="S137" s="12">
        <f>_xlfn.XLOOKUP(B137,[1]Sheet1!$B:$B,[1]Sheet1!$V:$V,0)</f>
        <v>50000</v>
      </c>
      <c r="T137" s="12">
        <f>_xlfn.XLOOKUP(B137,[1]Sheet1!$B:$B,[1]Sheet1!$W:$W,0)</f>
        <v>180000</v>
      </c>
      <c r="U137" s="12">
        <f>_xlfn.XLOOKUP(B137,[1]Sheet1!$B:$B,[1]Sheet1!$X:$X,0)</f>
        <v>350000</v>
      </c>
      <c r="V137" s="12">
        <f>_xlfn.XLOOKUP(B137,[1]Sheet1!$B:$B,[1]Sheet1!$Y:$Y,0)</f>
        <v>350000</v>
      </c>
      <c r="W137" s="12">
        <f t="shared" si="7"/>
        <v>1200000</v>
      </c>
      <c r="X137" s="8" t="s">
        <v>308</v>
      </c>
      <c r="Y137" s="8" t="s">
        <v>65</v>
      </c>
      <c r="Z137" s="8" t="s">
        <v>298</v>
      </c>
      <c r="AA137" s="8" t="s">
        <v>305</v>
      </c>
      <c r="AB137" s="8" t="s">
        <v>36</v>
      </c>
      <c r="AC137" s="8" t="s">
        <v>37</v>
      </c>
      <c r="AD137" s="8" t="s">
        <v>270</v>
      </c>
      <c r="AE137" s="8" t="s">
        <v>39</v>
      </c>
      <c r="AF137" s="8" t="s">
        <v>40</v>
      </c>
      <c r="AG137" s="9">
        <v>1200000</v>
      </c>
      <c r="AH137" s="11">
        <f>_xlfn.XLOOKUP(B137,[1]Sheet1!$B:$B,[1]Sheet1!$AB:$AB,0)</f>
        <v>1200000</v>
      </c>
    </row>
    <row r="138" spans="2:34" ht="16.8" thickTop="1" thickBot="1" x14ac:dyDescent="0.35">
      <c r="B138" s="3" t="str">
        <f t="shared" si="6"/>
        <v>45117004511000240Event Management-N422401200104</v>
      </c>
      <c r="C138" s="6" t="s">
        <v>260</v>
      </c>
      <c r="D138" s="6" t="s">
        <v>309</v>
      </c>
      <c r="E138" s="6" t="s">
        <v>310</v>
      </c>
      <c r="F138" s="6" t="s">
        <v>162</v>
      </c>
      <c r="G138" s="4" t="s">
        <v>2807</v>
      </c>
      <c r="H138" s="4" t="s">
        <v>2922</v>
      </c>
      <c r="I138" s="6" t="s">
        <v>63</v>
      </c>
      <c r="J138" s="6" t="s">
        <v>31</v>
      </c>
      <c r="K138" s="12">
        <f>_xlfn.XLOOKUP(B138,[1]Sheet1!$B:$B,[1]Sheet1!$N:$N,0)</f>
        <v>0</v>
      </c>
      <c r="L138" s="12">
        <f>_xlfn.XLOOKUP(B138,[1]Sheet1!$B:$B,[1]Sheet1!$O:$O,0)</f>
        <v>0</v>
      </c>
      <c r="M138" s="12">
        <f>_xlfn.XLOOKUP(B138,[1]Sheet1!$B:$B,[1]Sheet1!$P:$P,0)</f>
        <v>0</v>
      </c>
      <c r="N138" s="12">
        <f>_xlfn.XLOOKUP(B138,[1]Sheet1!$B:$B,[1]Sheet1!$Q:$Q,0)</f>
        <v>0</v>
      </c>
      <c r="O138" s="12">
        <f>_xlfn.XLOOKUP(B138,[1]Sheet1!$B:$B,[1]Sheet1!$R:$R,0)</f>
        <v>142000</v>
      </c>
      <c r="P138" s="12">
        <f>_xlfn.XLOOKUP(B138,[1]Sheet1!$B:$B,[1]Sheet1!$S:$S,0)</f>
        <v>0</v>
      </c>
      <c r="Q138" s="12">
        <f>_xlfn.XLOOKUP(B138,[1]Sheet1!$B:$B,[1]Sheet1!$T:$T,0)</f>
        <v>0</v>
      </c>
      <c r="R138" s="12">
        <f>_xlfn.XLOOKUP(B138,[1]Sheet1!$B:$B,[1]Sheet1!$U:$U,0)</f>
        <v>0</v>
      </c>
      <c r="S138" s="12">
        <f>_xlfn.XLOOKUP(B138,[1]Sheet1!$B:$B,[1]Sheet1!$V:$V,0)</f>
        <v>100000</v>
      </c>
      <c r="T138" s="12">
        <f>_xlfn.XLOOKUP(B138,[1]Sheet1!$B:$B,[1]Sheet1!$W:$W,0)</f>
        <v>0</v>
      </c>
      <c r="U138" s="12">
        <f>_xlfn.XLOOKUP(B138,[1]Sheet1!$B:$B,[1]Sheet1!$X:$X,0)</f>
        <v>300000</v>
      </c>
      <c r="V138" s="12">
        <f>_xlfn.XLOOKUP(B138,[1]Sheet1!$B:$B,[1]Sheet1!$Y:$Y,0)</f>
        <v>0</v>
      </c>
      <c r="W138" s="12">
        <f t="shared" si="7"/>
        <v>542000</v>
      </c>
      <c r="X138" s="6" t="s">
        <v>258</v>
      </c>
      <c r="Y138" s="6" t="s">
        <v>65</v>
      </c>
      <c r="Z138" s="6" t="s">
        <v>259</v>
      </c>
      <c r="AA138" s="6" t="s">
        <v>68</v>
      </c>
      <c r="AB138" s="6" t="s">
        <v>36</v>
      </c>
      <c r="AC138" s="6" t="s">
        <v>37</v>
      </c>
      <c r="AD138" s="6" t="s">
        <v>102</v>
      </c>
      <c r="AE138" s="6" t="s">
        <v>39</v>
      </c>
      <c r="AF138" s="6" t="s">
        <v>40</v>
      </c>
      <c r="AG138" s="7">
        <v>542000</v>
      </c>
      <c r="AH138" s="11">
        <f>_xlfn.XLOOKUP(B138,[1]Sheet1!$B:$B,[1]Sheet1!$AB:$AB,0)</f>
        <v>542000</v>
      </c>
    </row>
    <row r="139" spans="2:34" ht="16.8" thickTop="1" thickBot="1" x14ac:dyDescent="0.35">
      <c r="B139" s="3" t="str">
        <f t="shared" si="6"/>
        <v>45117004511000240Gen Logistics-N424671200104</v>
      </c>
      <c r="C139" s="8" t="s">
        <v>260</v>
      </c>
      <c r="D139" s="8" t="s">
        <v>309</v>
      </c>
      <c r="E139" s="8" t="s">
        <v>310</v>
      </c>
      <c r="F139" s="8" t="s">
        <v>311</v>
      </c>
      <c r="G139" s="4" t="s">
        <v>2831</v>
      </c>
      <c r="H139" s="4" t="s">
        <v>2922</v>
      </c>
      <c r="I139" s="8" t="s">
        <v>312</v>
      </c>
      <c r="J139" s="8" t="s">
        <v>31</v>
      </c>
      <c r="K139" s="12">
        <f>_xlfn.XLOOKUP(B139,[1]Sheet1!$B:$B,[1]Sheet1!$N:$N,0)</f>
        <v>0</v>
      </c>
      <c r="L139" s="12">
        <f>_xlfn.XLOOKUP(B139,[1]Sheet1!$B:$B,[1]Sheet1!$O:$O,0)</f>
        <v>0</v>
      </c>
      <c r="M139" s="12">
        <f>_xlfn.XLOOKUP(B139,[1]Sheet1!$B:$B,[1]Sheet1!$P:$P,0)</f>
        <v>0</v>
      </c>
      <c r="N139" s="12">
        <f>_xlfn.XLOOKUP(B139,[1]Sheet1!$B:$B,[1]Sheet1!$Q:$Q,0)</f>
        <v>0</v>
      </c>
      <c r="O139" s="12">
        <f>_xlfn.XLOOKUP(B139,[1]Sheet1!$B:$B,[1]Sheet1!$R:$R,0)</f>
        <v>72600</v>
      </c>
      <c r="P139" s="12">
        <f>_xlfn.XLOOKUP(B139,[1]Sheet1!$B:$B,[1]Sheet1!$S:$S,0)</f>
        <v>0</v>
      </c>
      <c r="Q139" s="12">
        <f>_xlfn.XLOOKUP(B139,[1]Sheet1!$B:$B,[1]Sheet1!$T:$T,0)</f>
        <v>0</v>
      </c>
      <c r="R139" s="12">
        <f>_xlfn.XLOOKUP(B139,[1]Sheet1!$B:$B,[1]Sheet1!$U:$U,0)</f>
        <v>0</v>
      </c>
      <c r="S139" s="12">
        <f>_xlfn.XLOOKUP(B139,[1]Sheet1!$B:$B,[1]Sheet1!$V:$V,0)</f>
        <v>50000</v>
      </c>
      <c r="T139" s="12">
        <f>_xlfn.XLOOKUP(B139,[1]Sheet1!$B:$B,[1]Sheet1!$W:$W,0)</f>
        <v>150000</v>
      </c>
      <c r="U139" s="12">
        <f>_xlfn.XLOOKUP(B139,[1]Sheet1!$B:$B,[1]Sheet1!$X:$X,0)</f>
        <v>100000</v>
      </c>
      <c r="V139" s="12">
        <f>_xlfn.XLOOKUP(B139,[1]Sheet1!$B:$B,[1]Sheet1!$Y:$Y,0)</f>
        <v>0</v>
      </c>
      <c r="W139" s="12">
        <f t="shared" si="7"/>
        <v>372600</v>
      </c>
      <c r="X139" s="8" t="s">
        <v>313</v>
      </c>
      <c r="Y139" s="8" t="s">
        <v>65</v>
      </c>
      <c r="Z139" s="8" t="s">
        <v>259</v>
      </c>
      <c r="AA139" s="8" t="s">
        <v>314</v>
      </c>
      <c r="AB139" s="8" t="s">
        <v>36</v>
      </c>
      <c r="AC139" s="8" t="s">
        <v>37</v>
      </c>
      <c r="AD139" s="8" t="s">
        <v>102</v>
      </c>
      <c r="AE139" s="8" t="s">
        <v>39</v>
      </c>
      <c r="AF139" s="8" t="s">
        <v>40</v>
      </c>
      <c r="AG139" s="9">
        <v>372600</v>
      </c>
      <c r="AH139" s="11">
        <f>_xlfn.XLOOKUP(B139,[1]Sheet1!$B:$B,[1]Sheet1!$AB:$AB,0)</f>
        <v>372600</v>
      </c>
    </row>
    <row r="140" spans="2:34" ht="16.8" thickTop="1" thickBot="1" x14ac:dyDescent="0.35">
      <c r="B140" s="3" t="str">
        <f t="shared" si="6"/>
        <v>45117004511000240Hospitality-N424761200104</v>
      </c>
      <c r="C140" s="6" t="s">
        <v>260</v>
      </c>
      <c r="D140" s="6" t="s">
        <v>309</v>
      </c>
      <c r="E140" s="6" t="s">
        <v>310</v>
      </c>
      <c r="F140" s="6" t="s">
        <v>83</v>
      </c>
      <c r="G140" s="4" t="s">
        <v>2811</v>
      </c>
      <c r="H140" s="4" t="s">
        <v>2922</v>
      </c>
      <c r="I140" s="6" t="s">
        <v>84</v>
      </c>
      <c r="J140" s="6" t="s">
        <v>31</v>
      </c>
      <c r="K140" s="12">
        <f>_xlfn.XLOOKUP(B140,[1]Sheet1!$B:$B,[1]Sheet1!$N:$N,0)</f>
        <v>0</v>
      </c>
      <c r="L140" s="12">
        <f>_xlfn.XLOOKUP(B140,[1]Sheet1!$B:$B,[1]Sheet1!$O:$O,0)</f>
        <v>0</v>
      </c>
      <c r="M140" s="12">
        <f>_xlfn.XLOOKUP(B140,[1]Sheet1!$B:$B,[1]Sheet1!$P:$P,0)</f>
        <v>0</v>
      </c>
      <c r="N140" s="12">
        <f>_xlfn.XLOOKUP(B140,[1]Sheet1!$B:$B,[1]Sheet1!$Q:$Q,0)</f>
        <v>0</v>
      </c>
      <c r="O140" s="12">
        <f>_xlfn.XLOOKUP(B140,[1]Sheet1!$B:$B,[1]Sheet1!$R:$R,0)</f>
        <v>50000</v>
      </c>
      <c r="P140" s="12">
        <f>_xlfn.XLOOKUP(B140,[1]Sheet1!$B:$B,[1]Sheet1!$S:$S,0)</f>
        <v>0</v>
      </c>
      <c r="Q140" s="12">
        <f>_xlfn.XLOOKUP(B140,[1]Sheet1!$B:$B,[1]Sheet1!$T:$T,0)</f>
        <v>0</v>
      </c>
      <c r="R140" s="12">
        <f>_xlfn.XLOOKUP(B140,[1]Sheet1!$B:$B,[1]Sheet1!$U:$U,0)</f>
        <v>0</v>
      </c>
      <c r="S140" s="12">
        <f>_xlfn.XLOOKUP(B140,[1]Sheet1!$B:$B,[1]Sheet1!$V:$V,0)</f>
        <v>34568</v>
      </c>
      <c r="T140" s="12">
        <f>_xlfn.XLOOKUP(B140,[1]Sheet1!$B:$B,[1]Sheet1!$W:$W,0)</f>
        <v>50000</v>
      </c>
      <c r="U140" s="12">
        <f>_xlfn.XLOOKUP(B140,[1]Sheet1!$B:$B,[1]Sheet1!$X:$X,0)</f>
        <v>250000</v>
      </c>
      <c r="V140" s="12">
        <f>_xlfn.XLOOKUP(B140,[1]Sheet1!$B:$B,[1]Sheet1!$Y:$Y,0)</f>
        <v>0</v>
      </c>
      <c r="W140" s="12">
        <f t="shared" si="7"/>
        <v>384568</v>
      </c>
      <c r="X140" s="6" t="s">
        <v>315</v>
      </c>
      <c r="Y140" s="6" t="s">
        <v>65</v>
      </c>
      <c r="Z140" s="6" t="s">
        <v>259</v>
      </c>
      <c r="AA140" s="6" t="s">
        <v>84</v>
      </c>
      <c r="AB140" s="6" t="s">
        <v>36</v>
      </c>
      <c r="AC140" s="6" t="s">
        <v>37</v>
      </c>
      <c r="AD140" s="6" t="s">
        <v>102</v>
      </c>
      <c r="AE140" s="6" t="s">
        <v>39</v>
      </c>
      <c r="AF140" s="6" t="s">
        <v>40</v>
      </c>
      <c r="AG140" s="7">
        <v>384568</v>
      </c>
      <c r="AH140" s="11">
        <f>_xlfn.XLOOKUP(B140,[1]Sheet1!$B:$B,[1]Sheet1!$AB:$AB,0)</f>
        <v>384568</v>
      </c>
    </row>
    <row r="141" spans="2:34" ht="16.8" thickTop="1" thickBot="1" x14ac:dyDescent="0.35">
      <c r="B141" s="3" t="str">
        <f t="shared" si="6"/>
        <v>45117004511000240Talent Fees-N422511200104</v>
      </c>
      <c r="C141" s="8" t="s">
        <v>260</v>
      </c>
      <c r="D141" s="8" t="s">
        <v>309</v>
      </c>
      <c r="E141" s="8" t="s">
        <v>310</v>
      </c>
      <c r="F141" s="8" t="s">
        <v>262</v>
      </c>
      <c r="G141" s="4" t="s">
        <v>2819</v>
      </c>
      <c r="H141" s="4" t="s">
        <v>2922</v>
      </c>
      <c r="I141" s="8" t="s">
        <v>151</v>
      </c>
      <c r="J141" s="8" t="s">
        <v>31</v>
      </c>
      <c r="K141" s="12">
        <f>_xlfn.XLOOKUP(B141,[1]Sheet1!$B:$B,[1]Sheet1!$N:$N,0)</f>
        <v>0</v>
      </c>
      <c r="L141" s="12">
        <f>_xlfn.XLOOKUP(B141,[1]Sheet1!$B:$B,[1]Sheet1!$O:$O,0)</f>
        <v>0</v>
      </c>
      <c r="M141" s="12">
        <f>_xlfn.XLOOKUP(B141,[1]Sheet1!$B:$B,[1]Sheet1!$P:$P,0)</f>
        <v>0</v>
      </c>
      <c r="N141" s="12">
        <f>_xlfn.XLOOKUP(B141,[1]Sheet1!$B:$B,[1]Sheet1!$Q:$Q,0)</f>
        <v>0</v>
      </c>
      <c r="O141" s="12">
        <f>_xlfn.XLOOKUP(B141,[1]Sheet1!$B:$B,[1]Sheet1!$R:$R,0)</f>
        <v>150000</v>
      </c>
      <c r="P141" s="12">
        <f>_xlfn.XLOOKUP(B141,[1]Sheet1!$B:$B,[1]Sheet1!$S:$S,0)</f>
        <v>150000</v>
      </c>
      <c r="Q141" s="12">
        <f>_xlfn.XLOOKUP(B141,[1]Sheet1!$B:$B,[1]Sheet1!$T:$T,0)</f>
        <v>0</v>
      </c>
      <c r="R141" s="12">
        <f>_xlfn.XLOOKUP(B141,[1]Sheet1!$B:$B,[1]Sheet1!$U:$U,0)</f>
        <v>0</v>
      </c>
      <c r="S141" s="12">
        <f>_xlfn.XLOOKUP(B141,[1]Sheet1!$B:$B,[1]Sheet1!$V:$V,0)</f>
        <v>100000</v>
      </c>
      <c r="T141" s="12">
        <f>_xlfn.XLOOKUP(B141,[1]Sheet1!$B:$B,[1]Sheet1!$W:$W,0)</f>
        <v>100000</v>
      </c>
      <c r="U141" s="12">
        <f>_xlfn.XLOOKUP(B141,[1]Sheet1!$B:$B,[1]Sheet1!$X:$X,0)</f>
        <v>485055</v>
      </c>
      <c r="V141" s="12">
        <f>_xlfn.XLOOKUP(B141,[1]Sheet1!$B:$B,[1]Sheet1!$Y:$Y,0)</f>
        <v>0</v>
      </c>
      <c r="W141" s="12">
        <f t="shared" si="7"/>
        <v>985055</v>
      </c>
      <c r="X141" s="8" t="s">
        <v>263</v>
      </c>
      <c r="Y141" s="8" t="s">
        <v>65</v>
      </c>
      <c r="Z141" s="8" t="s">
        <v>259</v>
      </c>
      <c r="AA141" s="8" t="s">
        <v>151</v>
      </c>
      <c r="AB141" s="8" t="s">
        <v>36</v>
      </c>
      <c r="AC141" s="8" t="s">
        <v>37</v>
      </c>
      <c r="AD141" s="8" t="s">
        <v>102</v>
      </c>
      <c r="AE141" s="8" t="s">
        <v>39</v>
      </c>
      <c r="AF141" s="8" t="s">
        <v>40</v>
      </c>
      <c r="AG141" s="9">
        <v>985055</v>
      </c>
      <c r="AH141" s="11">
        <f>_xlfn.XLOOKUP(B141,[1]Sheet1!$B:$B,[1]Sheet1!$AB:$AB,0)</f>
        <v>985055</v>
      </c>
    </row>
    <row r="142" spans="2:34" ht="16.8" thickTop="1" thickBot="1" x14ac:dyDescent="0.35">
      <c r="B142" s="3" t="str">
        <f t="shared" si="6"/>
        <v>45131304511000243Admin Expenses-N421125200104</v>
      </c>
      <c r="C142" s="6" t="s">
        <v>321</v>
      </c>
      <c r="D142" s="6" t="s">
        <v>316</v>
      </c>
      <c r="E142" s="6" t="s">
        <v>317</v>
      </c>
      <c r="F142" s="6" t="s">
        <v>130</v>
      </c>
      <c r="G142" s="4" t="s">
        <v>2803</v>
      </c>
      <c r="H142" s="4" t="s">
        <v>2922</v>
      </c>
      <c r="I142" s="6" t="s">
        <v>44</v>
      </c>
      <c r="J142" s="6" t="s">
        <v>31</v>
      </c>
      <c r="K142" s="12">
        <f>_xlfn.XLOOKUP(B142,[1]Sheet1!$B:$B,[1]Sheet1!$N:$N,0)</f>
        <v>0</v>
      </c>
      <c r="L142" s="12">
        <f>_xlfn.XLOOKUP(B142,[1]Sheet1!$B:$B,[1]Sheet1!$O:$O,0)</f>
        <v>0</v>
      </c>
      <c r="M142" s="12">
        <f>_xlfn.XLOOKUP(B142,[1]Sheet1!$B:$B,[1]Sheet1!$P:$P,0)</f>
        <v>123407.48000000001</v>
      </c>
      <c r="N142" s="12">
        <f>_xlfn.XLOOKUP(B142,[1]Sheet1!$B:$B,[1]Sheet1!$Q:$Q,0)</f>
        <v>646564.52</v>
      </c>
      <c r="O142" s="12">
        <f>_xlfn.XLOOKUP(B142,[1]Sheet1!$B:$B,[1]Sheet1!$R:$R,0)</f>
        <v>64000</v>
      </c>
      <c r="P142" s="12">
        <f>_xlfn.XLOOKUP(B142,[1]Sheet1!$B:$B,[1]Sheet1!$S:$S,0)</f>
        <v>64000</v>
      </c>
      <c r="Q142" s="12">
        <f>_xlfn.XLOOKUP(B142,[1]Sheet1!$B:$B,[1]Sheet1!$T:$T,0)</f>
        <v>64000</v>
      </c>
      <c r="R142" s="12">
        <f>_xlfn.XLOOKUP(B142,[1]Sheet1!$B:$B,[1]Sheet1!$U:$U,0)</f>
        <v>64000</v>
      </c>
      <c r="S142" s="12">
        <f>_xlfn.XLOOKUP(B142,[1]Sheet1!$B:$B,[1]Sheet1!$V:$V,0)</f>
        <v>76000</v>
      </c>
      <c r="T142" s="12">
        <f>_xlfn.XLOOKUP(B142,[1]Sheet1!$B:$B,[1]Sheet1!$W:$W,0)</f>
        <v>76000</v>
      </c>
      <c r="U142" s="12">
        <f>_xlfn.XLOOKUP(B142,[1]Sheet1!$B:$B,[1]Sheet1!$X:$X,0)</f>
        <v>76000</v>
      </c>
      <c r="V142" s="12">
        <f>_xlfn.XLOOKUP(B142,[1]Sheet1!$B:$B,[1]Sheet1!$Y:$Y,0)</f>
        <v>76000</v>
      </c>
      <c r="W142" s="12">
        <f t="shared" si="7"/>
        <v>1329972</v>
      </c>
      <c r="X142" s="6" t="s">
        <v>318</v>
      </c>
      <c r="Y142" s="6" t="s">
        <v>319</v>
      </c>
      <c r="Z142" s="6" t="s">
        <v>320</v>
      </c>
      <c r="AA142" s="6" t="s">
        <v>44</v>
      </c>
      <c r="AB142" s="6" t="s">
        <v>36</v>
      </c>
      <c r="AC142" s="6" t="s">
        <v>37</v>
      </c>
      <c r="AD142" s="6" t="s">
        <v>322</v>
      </c>
      <c r="AE142" s="6" t="s">
        <v>39</v>
      </c>
      <c r="AF142" s="6" t="s">
        <v>40</v>
      </c>
      <c r="AG142" s="7">
        <v>1329972</v>
      </c>
      <c r="AH142" s="11">
        <f>_xlfn.XLOOKUP(B142,[1]Sheet1!$B:$B,[1]Sheet1!$AB:$AB,0)</f>
        <v>1329972</v>
      </c>
    </row>
    <row r="143" spans="2:34" ht="16.8" thickTop="1" thickBot="1" x14ac:dyDescent="0.35">
      <c r="B143" s="3" t="str">
        <f t="shared" si="6"/>
        <v>45131304511000243Awards submission-L424231201931</v>
      </c>
      <c r="C143" s="8" t="s">
        <v>321</v>
      </c>
      <c r="D143" s="8" t="s">
        <v>316</v>
      </c>
      <c r="E143" s="8" t="s">
        <v>317</v>
      </c>
      <c r="F143" s="8" t="s">
        <v>323</v>
      </c>
      <c r="G143" s="4" t="s">
        <v>2832</v>
      </c>
      <c r="H143" s="4" t="s">
        <v>2925</v>
      </c>
      <c r="I143" s="8" t="s">
        <v>324</v>
      </c>
      <c r="J143" s="8" t="s">
        <v>31</v>
      </c>
      <c r="K143" s="12">
        <f>_xlfn.XLOOKUP(B143,[1]Sheet1!$B:$B,[1]Sheet1!$N:$N,0)</f>
        <v>0</v>
      </c>
      <c r="L143" s="12">
        <f>_xlfn.XLOOKUP(B143,[1]Sheet1!$B:$B,[1]Sheet1!$O:$O,0)</f>
        <v>0</v>
      </c>
      <c r="M143" s="12">
        <f>_xlfn.XLOOKUP(B143,[1]Sheet1!$B:$B,[1]Sheet1!$P:$P,0)</f>
        <v>0</v>
      </c>
      <c r="N143" s="12">
        <f>_xlfn.XLOOKUP(B143,[1]Sheet1!$B:$B,[1]Sheet1!$Q:$Q,0)</f>
        <v>60600</v>
      </c>
      <c r="O143" s="12">
        <f>_xlfn.XLOOKUP(B143,[1]Sheet1!$B:$B,[1]Sheet1!$R:$R,0)</f>
        <v>38000</v>
      </c>
      <c r="P143" s="12">
        <f>_xlfn.XLOOKUP(B143,[1]Sheet1!$B:$B,[1]Sheet1!$S:$S,0)</f>
        <v>52000</v>
      </c>
      <c r="Q143" s="12">
        <f>_xlfn.XLOOKUP(B143,[1]Sheet1!$B:$B,[1]Sheet1!$T:$T,0)</f>
        <v>12000</v>
      </c>
      <c r="R143" s="12">
        <f>_xlfn.XLOOKUP(B143,[1]Sheet1!$B:$B,[1]Sheet1!$U:$U,0)</f>
        <v>18000</v>
      </c>
      <c r="S143" s="12">
        <f>_xlfn.XLOOKUP(B143,[1]Sheet1!$B:$B,[1]Sheet1!$V:$V,0)</f>
        <v>101000</v>
      </c>
      <c r="T143" s="12">
        <f>_xlfn.XLOOKUP(B143,[1]Sheet1!$B:$B,[1]Sheet1!$W:$W,0)</f>
        <v>12800</v>
      </c>
      <c r="U143" s="12">
        <f>_xlfn.XLOOKUP(B143,[1]Sheet1!$B:$B,[1]Sheet1!$X:$X,0)</f>
        <v>0</v>
      </c>
      <c r="V143" s="12">
        <f>_xlfn.XLOOKUP(B143,[1]Sheet1!$B:$B,[1]Sheet1!$Y:$Y,0)</f>
        <v>6000</v>
      </c>
      <c r="W143" s="12">
        <f t="shared" si="7"/>
        <v>300400</v>
      </c>
      <c r="X143" s="8" t="s">
        <v>325</v>
      </c>
      <c r="Y143" s="8" t="s">
        <v>319</v>
      </c>
      <c r="Z143" s="8" t="s">
        <v>320</v>
      </c>
      <c r="AA143" s="8" t="s">
        <v>326</v>
      </c>
      <c r="AB143" s="8" t="s">
        <v>327</v>
      </c>
      <c r="AC143" s="8" t="s">
        <v>37</v>
      </c>
      <c r="AD143" s="8" t="s">
        <v>322</v>
      </c>
      <c r="AE143" s="8" t="s">
        <v>39</v>
      </c>
      <c r="AF143" s="8" t="s">
        <v>40</v>
      </c>
      <c r="AG143" s="9">
        <v>300400</v>
      </c>
      <c r="AH143" s="11">
        <f>_xlfn.XLOOKUP(B143,[1]Sheet1!$B:$B,[1]Sheet1!$AB:$AB,0)</f>
        <v>300400</v>
      </c>
    </row>
    <row r="144" spans="2:34" ht="16.8" thickTop="1" thickBot="1" x14ac:dyDescent="0.35">
      <c r="B144" s="3" t="str">
        <f t="shared" si="6"/>
        <v>45131304511000243Mission &amp; Travel-N423821200104</v>
      </c>
      <c r="C144" s="6" t="s">
        <v>321</v>
      </c>
      <c r="D144" s="6" t="s">
        <v>316</v>
      </c>
      <c r="E144" s="6" t="s">
        <v>317</v>
      </c>
      <c r="F144" s="6" t="s">
        <v>54</v>
      </c>
      <c r="G144" s="4" t="s">
        <v>2805</v>
      </c>
      <c r="H144" s="4" t="s">
        <v>2922</v>
      </c>
      <c r="I144" s="6" t="s">
        <v>55</v>
      </c>
      <c r="J144" s="6" t="s">
        <v>31</v>
      </c>
      <c r="K144" s="12">
        <f>_xlfn.XLOOKUP(B144,[1]Sheet1!$B:$B,[1]Sheet1!$N:$N,0)</f>
        <v>0</v>
      </c>
      <c r="L144" s="12">
        <f>_xlfn.XLOOKUP(B144,[1]Sheet1!$B:$B,[1]Sheet1!$O:$O,0)</f>
        <v>0</v>
      </c>
      <c r="M144" s="12">
        <f>_xlfn.XLOOKUP(B144,[1]Sheet1!$B:$B,[1]Sheet1!$P:$P,0)</f>
        <v>34000</v>
      </c>
      <c r="N144" s="12">
        <f>_xlfn.XLOOKUP(B144,[1]Sheet1!$B:$B,[1]Sheet1!$Q:$Q,0)</f>
        <v>1026000</v>
      </c>
      <c r="O144" s="12">
        <f>_xlfn.XLOOKUP(B144,[1]Sheet1!$B:$B,[1]Sheet1!$R:$R,0)</f>
        <v>595000</v>
      </c>
      <c r="P144" s="12">
        <f>_xlfn.XLOOKUP(B144,[1]Sheet1!$B:$B,[1]Sheet1!$S:$S,0)</f>
        <v>165000</v>
      </c>
      <c r="Q144" s="12">
        <f>_xlfn.XLOOKUP(B144,[1]Sheet1!$B:$B,[1]Sheet1!$T:$T,0)</f>
        <v>0</v>
      </c>
      <c r="R144" s="12">
        <f>_xlfn.XLOOKUP(B144,[1]Sheet1!$B:$B,[1]Sheet1!$U:$U,0)</f>
        <v>570000</v>
      </c>
      <c r="S144" s="12">
        <f>_xlfn.XLOOKUP(B144,[1]Sheet1!$B:$B,[1]Sheet1!$V:$V,0)</f>
        <v>400000</v>
      </c>
      <c r="T144" s="12">
        <f>_xlfn.XLOOKUP(B144,[1]Sheet1!$B:$B,[1]Sheet1!$W:$W,0)</f>
        <v>0</v>
      </c>
      <c r="U144" s="12">
        <f>_xlfn.XLOOKUP(B144,[1]Sheet1!$B:$B,[1]Sheet1!$X:$X,0)</f>
        <v>584496</v>
      </c>
      <c r="V144" s="12">
        <f>_xlfn.XLOOKUP(B144,[1]Sheet1!$B:$B,[1]Sheet1!$Y:$Y,0)</f>
        <v>0</v>
      </c>
      <c r="W144" s="12">
        <f t="shared" si="7"/>
        <v>3374496</v>
      </c>
      <c r="X144" s="6" t="s">
        <v>328</v>
      </c>
      <c r="Y144" s="6" t="s">
        <v>319</v>
      </c>
      <c r="Z144" s="6" t="s">
        <v>320</v>
      </c>
      <c r="AA144" s="6" t="s">
        <v>55</v>
      </c>
      <c r="AB144" s="6" t="s">
        <v>36</v>
      </c>
      <c r="AC144" s="6" t="s">
        <v>37</v>
      </c>
      <c r="AD144" s="6" t="s">
        <v>322</v>
      </c>
      <c r="AE144" s="6" t="s">
        <v>39</v>
      </c>
      <c r="AF144" s="6" t="s">
        <v>40</v>
      </c>
      <c r="AG144" s="7">
        <v>3374496</v>
      </c>
      <c r="AH144" s="11">
        <f>_xlfn.XLOOKUP(B144,[1]Sheet1!$B:$B,[1]Sheet1!$AB:$AB,0)</f>
        <v>3374496</v>
      </c>
    </row>
    <row r="145" spans="2:34" ht="16.8" thickTop="1" thickBot="1" x14ac:dyDescent="0.35">
      <c r="B145" s="3" t="str">
        <f t="shared" si="6"/>
        <v>45131304511000243Research&amp;Survey-L423411201931</v>
      </c>
      <c r="C145" s="8" t="s">
        <v>321</v>
      </c>
      <c r="D145" s="8" t="s">
        <v>316</v>
      </c>
      <c r="E145" s="8" t="s">
        <v>317</v>
      </c>
      <c r="F145" s="8" t="s">
        <v>329</v>
      </c>
      <c r="G145" s="4" t="s">
        <v>2833</v>
      </c>
      <c r="H145" s="4" t="s">
        <v>2925</v>
      </c>
      <c r="I145" s="8" t="s">
        <v>330</v>
      </c>
      <c r="J145" s="8" t="s">
        <v>31</v>
      </c>
      <c r="K145" s="12">
        <f>_xlfn.XLOOKUP(B145,[1]Sheet1!$B:$B,[1]Sheet1!$N:$N,0)</f>
        <v>0</v>
      </c>
      <c r="L145" s="12">
        <f>_xlfn.XLOOKUP(B145,[1]Sheet1!$B:$B,[1]Sheet1!$O:$O,0)</f>
        <v>0</v>
      </c>
      <c r="M145" s="12">
        <f>_xlfn.XLOOKUP(B145,[1]Sheet1!$B:$B,[1]Sheet1!$P:$P,0)</f>
        <v>0</v>
      </c>
      <c r="N145" s="12">
        <f>_xlfn.XLOOKUP(B145,[1]Sheet1!$B:$B,[1]Sheet1!$Q:$Q,0)</f>
        <v>500000</v>
      </c>
      <c r="O145" s="12">
        <f>_xlfn.XLOOKUP(B145,[1]Sheet1!$B:$B,[1]Sheet1!$R:$R,0)</f>
        <v>0</v>
      </c>
      <c r="P145" s="12">
        <f>_xlfn.XLOOKUP(B145,[1]Sheet1!$B:$B,[1]Sheet1!$S:$S,0)</f>
        <v>500000</v>
      </c>
      <c r="Q145" s="12">
        <f>_xlfn.XLOOKUP(B145,[1]Sheet1!$B:$B,[1]Sheet1!$T:$T,0)</f>
        <v>0</v>
      </c>
      <c r="R145" s="12">
        <f>_xlfn.XLOOKUP(B145,[1]Sheet1!$B:$B,[1]Sheet1!$U:$U,0)</f>
        <v>0</v>
      </c>
      <c r="S145" s="12">
        <f>_xlfn.XLOOKUP(B145,[1]Sheet1!$B:$B,[1]Sheet1!$V:$V,0)</f>
        <v>500000</v>
      </c>
      <c r="T145" s="12">
        <f>_xlfn.XLOOKUP(B145,[1]Sheet1!$B:$B,[1]Sheet1!$W:$W,0)</f>
        <v>0</v>
      </c>
      <c r="U145" s="12">
        <f>_xlfn.XLOOKUP(B145,[1]Sheet1!$B:$B,[1]Sheet1!$X:$X,0)</f>
        <v>0</v>
      </c>
      <c r="V145" s="12">
        <f>_xlfn.XLOOKUP(B145,[1]Sheet1!$B:$B,[1]Sheet1!$Y:$Y,0)</f>
        <v>500000</v>
      </c>
      <c r="W145" s="12">
        <f t="shared" si="7"/>
        <v>2000000</v>
      </c>
      <c r="X145" s="8" t="s">
        <v>331</v>
      </c>
      <c r="Y145" s="8" t="s">
        <v>319</v>
      </c>
      <c r="Z145" s="8" t="s">
        <v>320</v>
      </c>
      <c r="AA145" s="8" t="s">
        <v>330</v>
      </c>
      <c r="AB145" s="8" t="s">
        <v>327</v>
      </c>
      <c r="AC145" s="8" t="s">
        <v>37</v>
      </c>
      <c r="AD145" s="8" t="s">
        <v>322</v>
      </c>
      <c r="AE145" s="8" t="s">
        <v>39</v>
      </c>
      <c r="AF145" s="8" t="s">
        <v>40</v>
      </c>
      <c r="AG145" s="9">
        <v>2000000</v>
      </c>
      <c r="AH145" s="11">
        <f>_xlfn.XLOOKUP(B145,[1]Sheet1!$B:$B,[1]Sheet1!$AB:$AB,0)</f>
        <v>2000000</v>
      </c>
    </row>
    <row r="146" spans="2:34" ht="16.8" thickTop="1" thickBot="1" x14ac:dyDescent="0.35">
      <c r="B146" s="3" t="str">
        <f t="shared" si="6"/>
        <v>45131404511000243Strategy Advice-L1421123201931</v>
      </c>
      <c r="C146" s="6" t="s">
        <v>335</v>
      </c>
      <c r="D146" s="6" t="s">
        <v>316</v>
      </c>
      <c r="E146" s="6" t="s">
        <v>317</v>
      </c>
      <c r="F146" s="6" t="s">
        <v>332</v>
      </c>
      <c r="G146" s="4" t="s">
        <v>2827</v>
      </c>
      <c r="H146" s="4" t="s">
        <v>2925</v>
      </c>
      <c r="I146" s="6" t="s">
        <v>237</v>
      </c>
      <c r="J146" s="6" t="s">
        <v>31</v>
      </c>
      <c r="K146" s="12">
        <f>_xlfn.XLOOKUP(B146,[1]Sheet1!$B:$B,[1]Sheet1!$N:$N,0)</f>
        <v>0</v>
      </c>
      <c r="L146" s="12">
        <f>_xlfn.XLOOKUP(B146,[1]Sheet1!$B:$B,[1]Sheet1!$O:$O,0)</f>
        <v>0</v>
      </c>
      <c r="M146" s="12">
        <f>_xlfn.XLOOKUP(B146,[1]Sheet1!$B:$B,[1]Sheet1!$P:$P,0)</f>
        <v>0</v>
      </c>
      <c r="N146" s="12">
        <f>_xlfn.XLOOKUP(B146,[1]Sheet1!$B:$B,[1]Sheet1!$Q:$Q,0)</f>
        <v>0</v>
      </c>
      <c r="O146" s="12">
        <f>_xlfn.XLOOKUP(B146,[1]Sheet1!$B:$B,[1]Sheet1!$R:$R,0)</f>
        <v>0</v>
      </c>
      <c r="P146" s="12">
        <f>_xlfn.XLOOKUP(B146,[1]Sheet1!$B:$B,[1]Sheet1!$S:$S,0)</f>
        <v>0</v>
      </c>
      <c r="Q146" s="12">
        <f>_xlfn.XLOOKUP(B146,[1]Sheet1!$B:$B,[1]Sheet1!$T:$T,0)</f>
        <v>0</v>
      </c>
      <c r="R146" s="12">
        <f>_xlfn.XLOOKUP(B146,[1]Sheet1!$B:$B,[1]Sheet1!$U:$U,0)</f>
        <v>2000000</v>
      </c>
      <c r="S146" s="12">
        <f>_xlfn.XLOOKUP(B146,[1]Sheet1!$B:$B,[1]Sheet1!$V:$V,0)</f>
        <v>0</v>
      </c>
      <c r="T146" s="12">
        <f>_xlfn.XLOOKUP(B146,[1]Sheet1!$B:$B,[1]Sheet1!$W:$W,0)</f>
        <v>0</v>
      </c>
      <c r="U146" s="12">
        <f>_xlfn.XLOOKUP(B146,[1]Sheet1!$B:$B,[1]Sheet1!$X:$X,0)</f>
        <v>0</v>
      </c>
      <c r="V146" s="12">
        <f>_xlfn.XLOOKUP(B146,[1]Sheet1!$B:$B,[1]Sheet1!$Y:$Y,0)</f>
        <v>0</v>
      </c>
      <c r="W146" s="12">
        <f t="shared" si="7"/>
        <v>2000000</v>
      </c>
      <c r="X146" s="6" t="s">
        <v>333</v>
      </c>
      <c r="Y146" s="6" t="s">
        <v>319</v>
      </c>
      <c r="Z146" s="6" t="s">
        <v>334</v>
      </c>
      <c r="AA146" s="6" t="s">
        <v>237</v>
      </c>
      <c r="AB146" s="6" t="s">
        <v>327</v>
      </c>
      <c r="AC146" s="6" t="s">
        <v>37</v>
      </c>
      <c r="AD146" s="6" t="s">
        <v>322</v>
      </c>
      <c r="AE146" s="6" t="s">
        <v>39</v>
      </c>
      <c r="AF146" s="6" t="s">
        <v>40</v>
      </c>
      <c r="AG146" s="7">
        <v>2000000</v>
      </c>
      <c r="AH146" s="11">
        <f>_xlfn.XLOOKUP(B146,[1]Sheet1!$B:$B,[1]Sheet1!$AB:$AB,0)</f>
        <v>2000000</v>
      </c>
    </row>
    <row r="147" spans="2:34" ht="16.8" thickTop="1" thickBot="1" x14ac:dyDescent="0.35">
      <c r="B147" s="3" t="str">
        <f t="shared" si="6"/>
        <v>45157004511000245ManagementAdvice-N3424521200104</v>
      </c>
      <c r="C147" s="8" t="s">
        <v>341</v>
      </c>
      <c r="D147" s="8" t="s">
        <v>336</v>
      </c>
      <c r="E147" s="8" t="s">
        <v>337</v>
      </c>
      <c r="F147" s="8" t="s">
        <v>338</v>
      </c>
      <c r="G147" s="4" t="s">
        <v>2804</v>
      </c>
      <c r="H147" s="4" t="s">
        <v>2922</v>
      </c>
      <c r="I147" s="8" t="s">
        <v>51</v>
      </c>
      <c r="J147" s="8" t="s">
        <v>31</v>
      </c>
      <c r="K147" s="12">
        <f>_xlfn.XLOOKUP(B147,[1]Sheet1!$B:$B,[1]Sheet1!$N:$N,0)</f>
        <v>0</v>
      </c>
      <c r="L147" s="12">
        <f>_xlfn.XLOOKUP(B147,[1]Sheet1!$B:$B,[1]Sheet1!$O:$O,0)</f>
        <v>0</v>
      </c>
      <c r="M147" s="12">
        <f>_xlfn.XLOOKUP(B147,[1]Sheet1!$B:$B,[1]Sheet1!$P:$P,0)</f>
        <v>0</v>
      </c>
      <c r="N147" s="12">
        <f>_xlfn.XLOOKUP(B147,[1]Sheet1!$B:$B,[1]Sheet1!$Q:$Q,0)</f>
        <v>597699.4999999993</v>
      </c>
      <c r="O147" s="12">
        <f>_xlfn.XLOOKUP(B147,[1]Sheet1!$B:$B,[1]Sheet1!$R:$R,0)</f>
        <v>199233.16666666666</v>
      </c>
      <c r="P147" s="12">
        <f>_xlfn.XLOOKUP(B147,[1]Sheet1!$B:$B,[1]Sheet1!$S:$S,0)</f>
        <v>199233.16666666666</v>
      </c>
      <c r="Q147" s="12">
        <f>_xlfn.XLOOKUP(B147,[1]Sheet1!$B:$B,[1]Sheet1!$T:$T,0)</f>
        <v>199233.16666666666</v>
      </c>
      <c r="R147" s="12">
        <f>_xlfn.XLOOKUP(B147,[1]Sheet1!$B:$B,[1]Sheet1!$U:$U,0)</f>
        <v>199233.16666666666</v>
      </c>
      <c r="S147" s="12">
        <f>_xlfn.XLOOKUP(B147,[1]Sheet1!$B:$B,[1]Sheet1!$V:$V,0)</f>
        <v>0</v>
      </c>
      <c r="T147" s="12">
        <f>_xlfn.XLOOKUP(B147,[1]Sheet1!$B:$B,[1]Sheet1!$W:$W,0)</f>
        <v>0</v>
      </c>
      <c r="U147" s="12">
        <f>_xlfn.XLOOKUP(B147,[1]Sheet1!$B:$B,[1]Sheet1!$X:$X,0)</f>
        <v>0</v>
      </c>
      <c r="V147" s="12">
        <f>_xlfn.XLOOKUP(B147,[1]Sheet1!$B:$B,[1]Sheet1!$Y:$Y,0)</f>
        <v>0</v>
      </c>
      <c r="W147" s="12">
        <f t="shared" si="7"/>
        <v>1394632.166666666</v>
      </c>
      <c r="X147" s="8" t="s">
        <v>339</v>
      </c>
      <c r="Y147" s="8" t="s">
        <v>211</v>
      </c>
      <c r="Z147" s="8" t="s">
        <v>340</v>
      </c>
      <c r="AA147" s="8" t="s">
        <v>53</v>
      </c>
      <c r="AB147" s="8" t="s">
        <v>36</v>
      </c>
      <c r="AC147" s="8" t="s">
        <v>37</v>
      </c>
      <c r="AD147" s="8" t="s">
        <v>342</v>
      </c>
      <c r="AE147" s="8" t="s">
        <v>39</v>
      </c>
      <c r="AF147" s="8" t="s">
        <v>40</v>
      </c>
      <c r="AG147" s="9">
        <v>1849532</v>
      </c>
      <c r="AH147" s="11">
        <f>_xlfn.XLOOKUP(B147,[1]Sheet1!$B:$B,[1]Sheet1!$AB:$AB,0)</f>
        <v>1849532</v>
      </c>
    </row>
    <row r="148" spans="2:34" ht="16.8" thickTop="1" thickBot="1" x14ac:dyDescent="0.35">
      <c r="B148" s="3" t="str">
        <f t="shared" si="6"/>
        <v>45131104511000246CampaignProductn-L422511201931</v>
      </c>
      <c r="C148" s="6" t="s">
        <v>348</v>
      </c>
      <c r="D148" s="6" t="s">
        <v>343</v>
      </c>
      <c r="E148" s="6" t="s">
        <v>344</v>
      </c>
      <c r="F148" s="6" t="s">
        <v>345</v>
      </c>
      <c r="G148" s="4" t="s">
        <v>2819</v>
      </c>
      <c r="H148" s="4" t="s">
        <v>2925</v>
      </c>
      <c r="I148" s="6" t="s">
        <v>151</v>
      </c>
      <c r="J148" s="6" t="s">
        <v>31</v>
      </c>
      <c r="K148" s="12">
        <f>_xlfn.XLOOKUP(B148,[1]Sheet1!$B:$B,[1]Sheet1!$N:$N,0)</f>
        <v>0</v>
      </c>
      <c r="L148" s="12">
        <f>_xlfn.XLOOKUP(B148,[1]Sheet1!$B:$B,[1]Sheet1!$O:$O,0)</f>
        <v>0</v>
      </c>
      <c r="M148" s="12">
        <f>_xlfn.XLOOKUP(B148,[1]Sheet1!$B:$B,[1]Sheet1!$P:$P,0)</f>
        <v>518760</v>
      </c>
      <c r="N148" s="12">
        <f>_xlfn.XLOOKUP(B148,[1]Sheet1!$B:$B,[1]Sheet1!$Q:$Q,0)</f>
        <v>1181240</v>
      </c>
      <c r="O148" s="12">
        <f>_xlfn.XLOOKUP(B148,[1]Sheet1!$B:$B,[1]Sheet1!$R:$R,0)</f>
        <v>200000</v>
      </c>
      <c r="P148" s="12">
        <f>_xlfn.XLOOKUP(B148,[1]Sheet1!$B:$B,[1]Sheet1!$S:$S,0)</f>
        <v>200000</v>
      </c>
      <c r="Q148" s="12">
        <f>_xlfn.XLOOKUP(B148,[1]Sheet1!$B:$B,[1]Sheet1!$T:$T,0)</f>
        <v>1000000</v>
      </c>
      <c r="R148" s="12">
        <f>_xlfn.XLOOKUP(B148,[1]Sheet1!$B:$B,[1]Sheet1!$U:$U,0)</f>
        <v>300000</v>
      </c>
      <c r="S148" s="12">
        <f>_xlfn.XLOOKUP(B148,[1]Sheet1!$B:$B,[1]Sheet1!$V:$V,0)</f>
        <v>1000000</v>
      </c>
      <c r="T148" s="12">
        <f>_xlfn.XLOOKUP(B148,[1]Sheet1!$B:$B,[1]Sheet1!$W:$W,0)</f>
        <v>600000</v>
      </c>
      <c r="U148" s="12">
        <f>_xlfn.XLOOKUP(B148,[1]Sheet1!$B:$B,[1]Sheet1!$X:$X,0)</f>
        <v>1500000</v>
      </c>
      <c r="V148" s="12">
        <f>_xlfn.XLOOKUP(B148,[1]Sheet1!$B:$B,[1]Sheet1!$Y:$Y,0)</f>
        <v>500000</v>
      </c>
      <c r="W148" s="12">
        <f t="shared" si="7"/>
        <v>7000000</v>
      </c>
      <c r="X148" s="6" t="s">
        <v>346</v>
      </c>
      <c r="Y148" s="6" t="s">
        <v>319</v>
      </c>
      <c r="Z148" s="6" t="s">
        <v>347</v>
      </c>
      <c r="AA148" s="6" t="s">
        <v>151</v>
      </c>
      <c r="AB148" s="6" t="s">
        <v>327</v>
      </c>
      <c r="AC148" s="6" t="s">
        <v>37</v>
      </c>
      <c r="AD148" s="6" t="s">
        <v>322</v>
      </c>
      <c r="AE148" s="6" t="s">
        <v>39</v>
      </c>
      <c r="AF148" s="6" t="s">
        <v>40</v>
      </c>
      <c r="AG148" s="7">
        <v>7000000</v>
      </c>
      <c r="AH148" s="11">
        <f>_xlfn.XLOOKUP(B148,[1]Sheet1!$B:$B,[1]Sheet1!$AB:$AB,0)</f>
        <v>7000000</v>
      </c>
    </row>
    <row r="149" spans="2:34" ht="16.8" thickTop="1" thickBot="1" x14ac:dyDescent="0.35">
      <c r="B149" s="3" t="str">
        <f t="shared" si="6"/>
        <v>45131104511000246Collaterals-L422511201931</v>
      </c>
      <c r="C149" s="8" t="s">
        <v>348</v>
      </c>
      <c r="D149" s="8" t="s">
        <v>343</v>
      </c>
      <c r="E149" s="8" t="s">
        <v>344</v>
      </c>
      <c r="F149" s="8" t="s">
        <v>349</v>
      </c>
      <c r="G149" s="4" t="s">
        <v>2819</v>
      </c>
      <c r="H149" s="4" t="s">
        <v>2925</v>
      </c>
      <c r="I149" s="8" t="s">
        <v>151</v>
      </c>
      <c r="J149" s="8" t="s">
        <v>31</v>
      </c>
      <c r="K149" s="12">
        <f>_xlfn.XLOOKUP(B149,[1]Sheet1!$B:$B,[1]Sheet1!$N:$N,0)</f>
        <v>0</v>
      </c>
      <c r="L149" s="12">
        <f>_xlfn.XLOOKUP(B149,[1]Sheet1!$B:$B,[1]Sheet1!$O:$O,0)</f>
        <v>0</v>
      </c>
      <c r="M149" s="12">
        <f>_xlfn.XLOOKUP(B149,[1]Sheet1!$B:$B,[1]Sheet1!$P:$P,0)</f>
        <v>0</v>
      </c>
      <c r="N149" s="12">
        <f>_xlfn.XLOOKUP(B149,[1]Sheet1!$B:$B,[1]Sheet1!$Q:$Q,0)</f>
        <v>250000</v>
      </c>
      <c r="O149" s="12">
        <f>_xlfn.XLOOKUP(B149,[1]Sheet1!$B:$B,[1]Sheet1!$R:$R,0)</f>
        <v>0</v>
      </c>
      <c r="P149" s="12">
        <f>_xlfn.XLOOKUP(B149,[1]Sheet1!$B:$B,[1]Sheet1!$S:$S,0)</f>
        <v>50000</v>
      </c>
      <c r="Q149" s="12">
        <f>_xlfn.XLOOKUP(B149,[1]Sheet1!$B:$B,[1]Sheet1!$T:$T,0)</f>
        <v>0</v>
      </c>
      <c r="R149" s="12">
        <f>_xlfn.XLOOKUP(B149,[1]Sheet1!$B:$B,[1]Sheet1!$U:$U,0)</f>
        <v>50000</v>
      </c>
      <c r="S149" s="12">
        <f>_xlfn.XLOOKUP(B149,[1]Sheet1!$B:$B,[1]Sheet1!$V:$V,0)</f>
        <v>0</v>
      </c>
      <c r="T149" s="12">
        <f>_xlfn.XLOOKUP(B149,[1]Sheet1!$B:$B,[1]Sheet1!$W:$W,0)</f>
        <v>100000</v>
      </c>
      <c r="U149" s="12">
        <f>_xlfn.XLOOKUP(B149,[1]Sheet1!$B:$B,[1]Sheet1!$X:$X,0)</f>
        <v>50000</v>
      </c>
      <c r="V149" s="12">
        <f>_xlfn.XLOOKUP(B149,[1]Sheet1!$B:$B,[1]Sheet1!$Y:$Y,0)</f>
        <v>0</v>
      </c>
      <c r="W149" s="12">
        <f t="shared" si="7"/>
        <v>500000</v>
      </c>
      <c r="X149" s="8" t="s">
        <v>346</v>
      </c>
      <c r="Y149" s="8" t="s">
        <v>319</v>
      </c>
      <c r="Z149" s="8" t="s">
        <v>347</v>
      </c>
      <c r="AA149" s="8" t="s">
        <v>151</v>
      </c>
      <c r="AB149" s="8" t="s">
        <v>327</v>
      </c>
      <c r="AC149" s="8" t="s">
        <v>37</v>
      </c>
      <c r="AD149" s="8" t="s">
        <v>322</v>
      </c>
      <c r="AE149" s="8" t="s">
        <v>39</v>
      </c>
      <c r="AF149" s="8" t="s">
        <v>40</v>
      </c>
      <c r="AG149" s="9">
        <v>500000</v>
      </c>
      <c r="AH149" s="11">
        <f>_xlfn.XLOOKUP(B149,[1]Sheet1!$B:$B,[1]Sheet1!$AB:$AB,0)</f>
        <v>500000</v>
      </c>
    </row>
    <row r="150" spans="2:34" ht="16.8" thickTop="1" thickBot="1" x14ac:dyDescent="0.35">
      <c r="B150" s="3" t="str">
        <f t="shared" si="6"/>
        <v>45131104511000246Gifts-N424231200104</v>
      </c>
      <c r="C150" s="6" t="s">
        <v>348</v>
      </c>
      <c r="D150" s="6" t="s">
        <v>343</v>
      </c>
      <c r="E150" s="6" t="s">
        <v>344</v>
      </c>
      <c r="F150" s="6" t="s">
        <v>350</v>
      </c>
      <c r="G150" s="4" t="s">
        <v>2832</v>
      </c>
      <c r="H150" s="4" t="s">
        <v>2922</v>
      </c>
      <c r="I150" s="6" t="s">
        <v>324</v>
      </c>
      <c r="J150" s="6" t="s">
        <v>31</v>
      </c>
      <c r="K150" s="12">
        <f>_xlfn.XLOOKUP(B150,[1]Sheet1!$B:$B,[1]Sheet1!$N:$N,0)</f>
        <v>0</v>
      </c>
      <c r="L150" s="12">
        <f>_xlfn.XLOOKUP(B150,[1]Sheet1!$B:$B,[1]Sheet1!$O:$O,0)</f>
        <v>0</v>
      </c>
      <c r="M150" s="12">
        <f>_xlfn.XLOOKUP(B150,[1]Sheet1!$B:$B,[1]Sheet1!$P:$P,0)</f>
        <v>0</v>
      </c>
      <c r="N150" s="12">
        <f>_xlfn.XLOOKUP(B150,[1]Sheet1!$B:$B,[1]Sheet1!$Q:$Q,0)</f>
        <v>100000</v>
      </c>
      <c r="O150" s="12">
        <f>_xlfn.XLOOKUP(B150,[1]Sheet1!$B:$B,[1]Sheet1!$R:$R,0)</f>
        <v>25000</v>
      </c>
      <c r="P150" s="12">
        <f>_xlfn.XLOOKUP(B150,[1]Sheet1!$B:$B,[1]Sheet1!$S:$S,0)</f>
        <v>50000</v>
      </c>
      <c r="Q150" s="12">
        <f>_xlfn.XLOOKUP(B150,[1]Sheet1!$B:$B,[1]Sheet1!$T:$T,0)</f>
        <v>25000</v>
      </c>
      <c r="R150" s="12">
        <f>_xlfn.XLOOKUP(B150,[1]Sheet1!$B:$B,[1]Sheet1!$U:$U,0)</f>
        <v>50000</v>
      </c>
      <c r="S150" s="12">
        <f>_xlfn.XLOOKUP(B150,[1]Sheet1!$B:$B,[1]Sheet1!$V:$V,0)</f>
        <v>0</v>
      </c>
      <c r="T150" s="12">
        <f>_xlfn.XLOOKUP(B150,[1]Sheet1!$B:$B,[1]Sheet1!$W:$W,0)</f>
        <v>100000</v>
      </c>
      <c r="U150" s="12">
        <f>_xlfn.XLOOKUP(B150,[1]Sheet1!$B:$B,[1]Sheet1!$X:$X,0)</f>
        <v>100000</v>
      </c>
      <c r="V150" s="12">
        <f>_xlfn.XLOOKUP(B150,[1]Sheet1!$B:$B,[1]Sheet1!$Y:$Y,0)</f>
        <v>50000</v>
      </c>
      <c r="W150" s="12">
        <f t="shared" si="7"/>
        <v>500000</v>
      </c>
      <c r="X150" s="6" t="s">
        <v>351</v>
      </c>
      <c r="Y150" s="6" t="s">
        <v>319</v>
      </c>
      <c r="Z150" s="6" t="s">
        <v>347</v>
      </c>
      <c r="AA150" s="6" t="s">
        <v>326</v>
      </c>
      <c r="AB150" s="6" t="s">
        <v>36</v>
      </c>
      <c r="AC150" s="6" t="s">
        <v>37</v>
      </c>
      <c r="AD150" s="6" t="s">
        <v>322</v>
      </c>
      <c r="AE150" s="6" t="s">
        <v>39</v>
      </c>
      <c r="AF150" s="6" t="s">
        <v>40</v>
      </c>
      <c r="AG150" s="7">
        <v>500000</v>
      </c>
      <c r="AH150" s="11">
        <f>_xlfn.XLOOKUP(B150,[1]Sheet1!$B:$B,[1]Sheet1!$AB:$AB,0)</f>
        <v>500000</v>
      </c>
    </row>
    <row r="151" spans="2:34" ht="16.8" thickTop="1" thickBot="1" x14ac:dyDescent="0.35">
      <c r="B151" s="3" t="str">
        <f t="shared" si="6"/>
        <v>45131304511000251Freelancers-N424521200104</v>
      </c>
      <c r="C151" s="8" t="s">
        <v>321</v>
      </c>
      <c r="D151" s="8" t="s">
        <v>352</v>
      </c>
      <c r="E151" s="8" t="s">
        <v>353</v>
      </c>
      <c r="F151" s="8" t="s">
        <v>50</v>
      </c>
      <c r="G151" s="4" t="s">
        <v>2804</v>
      </c>
      <c r="H151" s="4" t="s">
        <v>2922</v>
      </c>
      <c r="I151" s="8" t="s">
        <v>51</v>
      </c>
      <c r="J151" s="8" t="s">
        <v>31</v>
      </c>
      <c r="K151" s="12">
        <f>_xlfn.XLOOKUP(B151,[1]Sheet1!$B:$B,[1]Sheet1!$N:$N,0)</f>
        <v>0</v>
      </c>
      <c r="L151" s="12">
        <f>_xlfn.XLOOKUP(B151,[1]Sheet1!$B:$B,[1]Sheet1!$O:$O,0)</f>
        <v>638500</v>
      </c>
      <c r="M151" s="12">
        <f>_xlfn.XLOOKUP(B151,[1]Sheet1!$B:$B,[1]Sheet1!$P:$P,0)</f>
        <v>1154833.33</v>
      </c>
      <c r="N151" s="12">
        <f>_xlfn.XLOOKUP(B151,[1]Sheet1!$B:$B,[1]Sheet1!$Q:$Q,0)</f>
        <v>1257733.67</v>
      </c>
      <c r="O151" s="12">
        <f>_xlfn.XLOOKUP(B151,[1]Sheet1!$B:$B,[1]Sheet1!$R:$R,0)</f>
        <v>1033000</v>
      </c>
      <c r="P151" s="12">
        <f>_xlfn.XLOOKUP(B151,[1]Sheet1!$B:$B,[1]Sheet1!$S:$S,0)</f>
        <v>1033000</v>
      </c>
      <c r="Q151" s="12">
        <f>_xlfn.XLOOKUP(B151,[1]Sheet1!$B:$B,[1]Sheet1!$T:$T,0)</f>
        <v>1033000</v>
      </c>
      <c r="R151" s="12">
        <f>_xlfn.XLOOKUP(B151,[1]Sheet1!$B:$B,[1]Sheet1!$U:$U,0)</f>
        <v>1033000</v>
      </c>
      <c r="S151" s="12">
        <f>_xlfn.XLOOKUP(B151,[1]Sheet1!$B:$B,[1]Sheet1!$V:$V,0)</f>
        <v>1033000</v>
      </c>
      <c r="T151" s="12">
        <f>_xlfn.XLOOKUP(B151,[1]Sheet1!$B:$B,[1]Sheet1!$W:$W,0)</f>
        <v>1033000</v>
      </c>
      <c r="U151" s="12">
        <f>_xlfn.XLOOKUP(B151,[1]Sheet1!$B:$B,[1]Sheet1!$X:$X,0)</f>
        <v>1033000</v>
      </c>
      <c r="V151" s="12">
        <f>_xlfn.XLOOKUP(B151,[1]Sheet1!$B:$B,[1]Sheet1!$Y:$Y,0)</f>
        <v>1033000</v>
      </c>
      <c r="W151" s="12">
        <f t="shared" si="7"/>
        <v>11315067</v>
      </c>
      <c r="X151" s="8" t="s">
        <v>354</v>
      </c>
      <c r="Y151" s="8" t="s">
        <v>319</v>
      </c>
      <c r="Z151" s="8" t="s">
        <v>320</v>
      </c>
      <c r="AA151" s="8" t="s">
        <v>53</v>
      </c>
      <c r="AB151" s="8" t="s">
        <v>36</v>
      </c>
      <c r="AC151" s="8" t="s">
        <v>37</v>
      </c>
      <c r="AD151" s="8" t="s">
        <v>322</v>
      </c>
      <c r="AE151" s="8" t="s">
        <v>39</v>
      </c>
      <c r="AF151" s="8" t="s">
        <v>40</v>
      </c>
      <c r="AG151" s="9">
        <v>11315067</v>
      </c>
      <c r="AH151" s="11">
        <f>_xlfn.XLOOKUP(B151,[1]Sheet1!$B:$B,[1]Sheet1!$AB:$AB,0)</f>
        <v>11315067</v>
      </c>
    </row>
    <row r="152" spans="2:34" ht="16.8" thickTop="1" thickBot="1" x14ac:dyDescent="0.35">
      <c r="B152" s="3" t="str">
        <f t="shared" si="6"/>
        <v>45131104511000251Translation-N424701200104</v>
      </c>
      <c r="C152" s="6" t="s">
        <v>348</v>
      </c>
      <c r="D152" s="6" t="s">
        <v>352</v>
      </c>
      <c r="E152" s="6" t="s">
        <v>353</v>
      </c>
      <c r="F152" s="6" t="s">
        <v>355</v>
      </c>
      <c r="G152" s="4" t="s">
        <v>2834</v>
      </c>
      <c r="H152" s="4" t="s">
        <v>2922</v>
      </c>
      <c r="I152" s="6" t="s">
        <v>356</v>
      </c>
      <c r="J152" s="6" t="s">
        <v>31</v>
      </c>
      <c r="K152" s="12">
        <f>_xlfn.XLOOKUP(B152,[1]Sheet1!$B:$B,[1]Sheet1!$N:$N,0)</f>
        <v>0</v>
      </c>
      <c r="L152" s="12">
        <f>_xlfn.XLOOKUP(B152,[1]Sheet1!$B:$B,[1]Sheet1!$O:$O,0)</f>
        <v>0</v>
      </c>
      <c r="M152" s="12">
        <f>_xlfn.XLOOKUP(B152,[1]Sheet1!$B:$B,[1]Sheet1!$P:$P,0)</f>
        <v>0</v>
      </c>
      <c r="N152" s="12">
        <f>_xlfn.XLOOKUP(B152,[1]Sheet1!$B:$B,[1]Sheet1!$Q:$Q,0)</f>
        <v>250000</v>
      </c>
      <c r="O152" s="12">
        <f>_xlfn.XLOOKUP(B152,[1]Sheet1!$B:$B,[1]Sheet1!$R:$R,0)</f>
        <v>0</v>
      </c>
      <c r="P152" s="12">
        <f>_xlfn.XLOOKUP(B152,[1]Sheet1!$B:$B,[1]Sheet1!$S:$S,0)</f>
        <v>0</v>
      </c>
      <c r="Q152" s="12">
        <f>_xlfn.XLOOKUP(B152,[1]Sheet1!$B:$B,[1]Sheet1!$T:$T,0)</f>
        <v>500000</v>
      </c>
      <c r="R152" s="12">
        <f>_xlfn.XLOOKUP(B152,[1]Sheet1!$B:$B,[1]Sheet1!$U:$U,0)</f>
        <v>0</v>
      </c>
      <c r="S152" s="12">
        <f>_xlfn.XLOOKUP(B152,[1]Sheet1!$B:$B,[1]Sheet1!$V:$V,0)</f>
        <v>0</v>
      </c>
      <c r="T152" s="12">
        <f>_xlfn.XLOOKUP(B152,[1]Sheet1!$B:$B,[1]Sheet1!$W:$W,0)</f>
        <v>0</v>
      </c>
      <c r="U152" s="12">
        <f>_xlfn.XLOOKUP(B152,[1]Sheet1!$B:$B,[1]Sheet1!$X:$X,0)</f>
        <v>0</v>
      </c>
      <c r="V152" s="12">
        <f>_xlfn.XLOOKUP(B152,[1]Sheet1!$B:$B,[1]Sheet1!$Y:$Y,0)</f>
        <v>0</v>
      </c>
      <c r="W152" s="12">
        <f t="shared" si="7"/>
        <v>750000</v>
      </c>
      <c r="X152" s="6" t="s">
        <v>357</v>
      </c>
      <c r="Y152" s="6" t="s">
        <v>319</v>
      </c>
      <c r="Z152" s="6" t="s">
        <v>347</v>
      </c>
      <c r="AA152" s="6" t="s">
        <v>356</v>
      </c>
      <c r="AB152" s="6" t="s">
        <v>36</v>
      </c>
      <c r="AC152" s="6" t="s">
        <v>37</v>
      </c>
      <c r="AD152" s="6" t="s">
        <v>322</v>
      </c>
      <c r="AE152" s="6" t="s">
        <v>39</v>
      </c>
      <c r="AF152" s="6" t="s">
        <v>40</v>
      </c>
      <c r="AG152" s="7">
        <v>750000</v>
      </c>
      <c r="AH152" s="11">
        <f>_xlfn.XLOOKUP(B152,[1]Sheet1!$B:$B,[1]Sheet1!$AB:$AB,0)</f>
        <v>750000</v>
      </c>
    </row>
    <row r="153" spans="2:34" ht="16.8" thickTop="1" thickBot="1" x14ac:dyDescent="0.35">
      <c r="B153" s="3" t="str">
        <f t="shared" si="6"/>
        <v>45101554511000265Admin Expenses-N421125200104</v>
      </c>
      <c r="C153" s="8" t="s">
        <v>363</v>
      </c>
      <c r="D153" s="8" t="s">
        <v>358</v>
      </c>
      <c r="E153" s="8" t="s">
        <v>359</v>
      </c>
      <c r="F153" s="8" t="s">
        <v>130</v>
      </c>
      <c r="G153" s="4" t="s">
        <v>2803</v>
      </c>
      <c r="H153" s="4" t="s">
        <v>2922</v>
      </c>
      <c r="I153" s="8" t="s">
        <v>44</v>
      </c>
      <c r="J153" s="8" t="s">
        <v>31</v>
      </c>
      <c r="K153" s="12">
        <f>_xlfn.XLOOKUP(B153,[1]Sheet1!$B:$B,[1]Sheet1!$N:$N,0)</f>
        <v>0</v>
      </c>
      <c r="L153" s="12">
        <f>_xlfn.XLOOKUP(B153,[1]Sheet1!$B:$B,[1]Sheet1!$O:$O,0)</f>
        <v>0</v>
      </c>
      <c r="M153" s="12">
        <f>_xlfn.XLOOKUP(B153,[1]Sheet1!$B:$B,[1]Sheet1!$P:$P,0)</f>
        <v>0</v>
      </c>
      <c r="N153" s="12">
        <f>_xlfn.XLOOKUP(B153,[1]Sheet1!$B:$B,[1]Sheet1!$Q:$Q,0)</f>
        <v>70000</v>
      </c>
      <c r="O153" s="12">
        <f>_xlfn.XLOOKUP(B153,[1]Sheet1!$B:$B,[1]Sheet1!$R:$R,0)</f>
        <v>15000</v>
      </c>
      <c r="P153" s="12">
        <f>_xlfn.XLOOKUP(B153,[1]Sheet1!$B:$B,[1]Sheet1!$S:$S,0)</f>
        <v>20000</v>
      </c>
      <c r="Q153" s="12">
        <f>_xlfn.XLOOKUP(B153,[1]Sheet1!$B:$B,[1]Sheet1!$T:$T,0)</f>
        <v>10000</v>
      </c>
      <c r="R153" s="12">
        <f>_xlfn.XLOOKUP(B153,[1]Sheet1!$B:$B,[1]Sheet1!$U:$U,0)</f>
        <v>15000</v>
      </c>
      <c r="S153" s="12">
        <f>_xlfn.XLOOKUP(B153,[1]Sheet1!$B:$B,[1]Sheet1!$V:$V,0)</f>
        <v>15000</v>
      </c>
      <c r="T153" s="12">
        <f>_xlfn.XLOOKUP(B153,[1]Sheet1!$B:$B,[1]Sheet1!$W:$W,0)</f>
        <v>25000</v>
      </c>
      <c r="U153" s="12">
        <f>_xlfn.XLOOKUP(B153,[1]Sheet1!$B:$B,[1]Sheet1!$X:$X,0)</f>
        <v>29466</v>
      </c>
      <c r="V153" s="12">
        <f>_xlfn.XLOOKUP(B153,[1]Sheet1!$B:$B,[1]Sheet1!$Y:$Y,0)</f>
        <v>40000</v>
      </c>
      <c r="W153" s="12">
        <f t="shared" si="7"/>
        <v>239466</v>
      </c>
      <c r="X153" s="8" t="s">
        <v>360</v>
      </c>
      <c r="Y153" s="8" t="s">
        <v>361</v>
      </c>
      <c r="Z153" s="8" t="s">
        <v>362</v>
      </c>
      <c r="AA153" s="8" t="s">
        <v>44</v>
      </c>
      <c r="AB153" s="8" t="s">
        <v>36</v>
      </c>
      <c r="AC153" s="8" t="s">
        <v>37</v>
      </c>
      <c r="AD153" s="8" t="s">
        <v>38</v>
      </c>
      <c r="AE153" s="8" t="s">
        <v>39</v>
      </c>
      <c r="AF153" s="8" t="s">
        <v>40</v>
      </c>
      <c r="AG153" s="9">
        <v>52303</v>
      </c>
      <c r="AH153" s="11">
        <f>_xlfn.XLOOKUP(B153,[1]Sheet1!$B:$B,[1]Sheet1!$AB:$AB,0)</f>
        <v>52303</v>
      </c>
    </row>
    <row r="154" spans="2:34" ht="16.8" thickTop="1" thickBot="1" x14ac:dyDescent="0.35">
      <c r="B154" s="3" t="str">
        <f t="shared" si="6"/>
        <v>45101554511000265Construct Advice-N421126200104</v>
      </c>
      <c r="C154" s="6" t="s">
        <v>363</v>
      </c>
      <c r="D154" s="6" t="s">
        <v>358</v>
      </c>
      <c r="E154" s="6" t="s">
        <v>359</v>
      </c>
      <c r="F154" s="6" t="s">
        <v>174</v>
      </c>
      <c r="G154" s="4" t="s">
        <v>2820</v>
      </c>
      <c r="H154" s="4" t="s">
        <v>2922</v>
      </c>
      <c r="I154" s="6" t="s">
        <v>175</v>
      </c>
      <c r="J154" s="6" t="s">
        <v>31</v>
      </c>
      <c r="K154" s="12">
        <f>_xlfn.XLOOKUP(B154,[1]Sheet1!$B:$B,[1]Sheet1!$N:$N,0)</f>
        <v>0</v>
      </c>
      <c r="L154" s="12">
        <f>_xlfn.XLOOKUP(B154,[1]Sheet1!$B:$B,[1]Sheet1!$O:$O,0)</f>
        <v>0</v>
      </c>
      <c r="M154" s="12">
        <f>_xlfn.XLOOKUP(B154,[1]Sheet1!$B:$B,[1]Sheet1!$P:$P,0)</f>
        <v>0</v>
      </c>
      <c r="N154" s="12">
        <f>_xlfn.XLOOKUP(B154,[1]Sheet1!$B:$B,[1]Sheet1!$Q:$Q,0)</f>
        <v>975000</v>
      </c>
      <c r="O154" s="12">
        <f>_xlfn.XLOOKUP(B154,[1]Sheet1!$B:$B,[1]Sheet1!$R:$R,0)</f>
        <v>625000</v>
      </c>
      <c r="P154" s="12">
        <f>_xlfn.XLOOKUP(B154,[1]Sheet1!$B:$B,[1]Sheet1!$S:$S,0)</f>
        <v>575000</v>
      </c>
      <c r="Q154" s="12">
        <f>_xlfn.XLOOKUP(B154,[1]Sheet1!$B:$B,[1]Sheet1!$T:$T,0)</f>
        <v>363230</v>
      </c>
      <c r="R154" s="12">
        <f>_xlfn.XLOOKUP(B154,[1]Sheet1!$B:$B,[1]Sheet1!$U:$U,0)</f>
        <v>575000</v>
      </c>
      <c r="S154" s="12">
        <f>_xlfn.XLOOKUP(B154,[1]Sheet1!$B:$B,[1]Sheet1!$V:$V,0)</f>
        <v>604000</v>
      </c>
      <c r="T154" s="12">
        <f>_xlfn.XLOOKUP(B154,[1]Sheet1!$B:$B,[1]Sheet1!$W:$W,0)</f>
        <v>575000</v>
      </c>
      <c r="U154" s="12">
        <f>_xlfn.XLOOKUP(B154,[1]Sheet1!$B:$B,[1]Sheet1!$X:$X,0)</f>
        <v>625000</v>
      </c>
      <c r="V154" s="12">
        <f>_xlfn.XLOOKUP(B154,[1]Sheet1!$B:$B,[1]Sheet1!$Y:$Y,0)</f>
        <v>536000</v>
      </c>
      <c r="W154" s="12">
        <f t="shared" si="7"/>
        <v>5453230</v>
      </c>
      <c r="X154" s="6" t="s">
        <v>364</v>
      </c>
      <c r="Y154" s="6" t="s">
        <v>361</v>
      </c>
      <c r="Z154" s="6" t="s">
        <v>362</v>
      </c>
      <c r="AA154" s="6" t="s">
        <v>177</v>
      </c>
      <c r="AB154" s="6" t="s">
        <v>36</v>
      </c>
      <c r="AC154" s="6" t="s">
        <v>37</v>
      </c>
      <c r="AD154" s="6" t="s">
        <v>38</v>
      </c>
      <c r="AE154" s="6" t="s">
        <v>39</v>
      </c>
      <c r="AF154" s="6" t="s">
        <v>40</v>
      </c>
      <c r="AG154" s="7">
        <v>5453230</v>
      </c>
      <c r="AH154" s="11">
        <f>_xlfn.XLOOKUP(B154,[1]Sheet1!$B:$B,[1]Sheet1!$AB:$AB,0)</f>
        <v>5453230</v>
      </c>
    </row>
    <row r="155" spans="2:34" ht="16.8" thickTop="1" thickBot="1" x14ac:dyDescent="0.35">
      <c r="B155" s="3" t="str">
        <f t="shared" si="6"/>
        <v>45101554511000265Licenses Fees-N424131200104</v>
      </c>
      <c r="C155" s="8" t="s">
        <v>363</v>
      </c>
      <c r="D155" s="8" t="s">
        <v>358</v>
      </c>
      <c r="E155" s="8" t="s">
        <v>359</v>
      </c>
      <c r="F155" s="8" t="s">
        <v>365</v>
      </c>
      <c r="G155" s="4" t="s">
        <v>2835</v>
      </c>
      <c r="H155" s="4" t="s">
        <v>2922</v>
      </c>
      <c r="I155" s="8" t="s">
        <v>366</v>
      </c>
      <c r="J155" s="8" t="s">
        <v>31</v>
      </c>
      <c r="K155" s="12">
        <f>_xlfn.XLOOKUP(B155,[1]Sheet1!$B:$B,[1]Sheet1!$N:$N,0)</f>
        <v>0</v>
      </c>
      <c r="L155" s="12">
        <f>_xlfn.XLOOKUP(B155,[1]Sheet1!$B:$B,[1]Sheet1!$O:$O,0)</f>
        <v>0</v>
      </c>
      <c r="M155" s="12">
        <f>_xlfn.XLOOKUP(B155,[1]Sheet1!$B:$B,[1]Sheet1!$P:$P,0)</f>
        <v>0</v>
      </c>
      <c r="N155" s="12">
        <f>_xlfn.XLOOKUP(B155,[1]Sheet1!$B:$B,[1]Sheet1!$Q:$Q,0)</f>
        <v>0</v>
      </c>
      <c r="O155" s="12">
        <f>_xlfn.XLOOKUP(B155,[1]Sheet1!$B:$B,[1]Sheet1!$R:$R,0)</f>
        <v>0</v>
      </c>
      <c r="P155" s="12">
        <f>_xlfn.XLOOKUP(B155,[1]Sheet1!$B:$B,[1]Sheet1!$S:$S,0)</f>
        <v>10534</v>
      </c>
      <c r="Q155" s="12">
        <f>_xlfn.XLOOKUP(B155,[1]Sheet1!$B:$B,[1]Sheet1!$T:$T,0)</f>
        <v>0</v>
      </c>
      <c r="R155" s="12">
        <f>_xlfn.XLOOKUP(B155,[1]Sheet1!$B:$B,[1]Sheet1!$U:$U,0)</f>
        <v>0</v>
      </c>
      <c r="S155" s="12">
        <f>_xlfn.XLOOKUP(B155,[1]Sheet1!$B:$B,[1]Sheet1!$V:$V,0)</f>
        <v>0</v>
      </c>
      <c r="T155" s="12">
        <f>_xlfn.XLOOKUP(B155,[1]Sheet1!$B:$B,[1]Sheet1!$W:$W,0)</f>
        <v>0</v>
      </c>
      <c r="U155" s="12">
        <f>_xlfn.XLOOKUP(B155,[1]Sheet1!$B:$B,[1]Sheet1!$X:$X,0)</f>
        <v>0</v>
      </c>
      <c r="V155" s="12">
        <f>_xlfn.XLOOKUP(B155,[1]Sheet1!$B:$B,[1]Sheet1!$Y:$Y,0)</f>
        <v>0</v>
      </c>
      <c r="W155" s="12">
        <f t="shared" si="7"/>
        <v>10534</v>
      </c>
      <c r="X155" s="8" t="s">
        <v>367</v>
      </c>
      <c r="Y155" s="8" t="s">
        <v>361</v>
      </c>
      <c r="Z155" s="8" t="s">
        <v>362</v>
      </c>
      <c r="AA155" s="8" t="s">
        <v>366</v>
      </c>
      <c r="AB155" s="8" t="s">
        <v>36</v>
      </c>
      <c r="AC155" s="8" t="s">
        <v>37</v>
      </c>
      <c r="AD155" s="8" t="s">
        <v>38</v>
      </c>
      <c r="AE155" s="8" t="s">
        <v>39</v>
      </c>
      <c r="AF155" s="8" t="s">
        <v>40</v>
      </c>
      <c r="AG155" s="9">
        <v>10534</v>
      </c>
      <c r="AH155" s="11">
        <f>_xlfn.XLOOKUP(B155,[1]Sheet1!$B:$B,[1]Sheet1!$AB:$AB,0)</f>
        <v>10534</v>
      </c>
    </row>
    <row r="156" spans="2:34" ht="16.8" thickTop="1" thickBot="1" x14ac:dyDescent="0.35">
      <c r="B156" s="3" t="str">
        <f t="shared" si="6"/>
        <v>45101554511000265Mission &amp; Travel-N423821200104</v>
      </c>
      <c r="C156" s="6" t="s">
        <v>363</v>
      </c>
      <c r="D156" s="6" t="s">
        <v>358</v>
      </c>
      <c r="E156" s="6" t="s">
        <v>359</v>
      </c>
      <c r="F156" s="6" t="s">
        <v>54</v>
      </c>
      <c r="G156" s="4" t="s">
        <v>2805</v>
      </c>
      <c r="H156" s="4" t="s">
        <v>2922</v>
      </c>
      <c r="I156" s="6" t="s">
        <v>55</v>
      </c>
      <c r="J156" s="6" t="s">
        <v>31</v>
      </c>
      <c r="K156" s="12">
        <f>_xlfn.XLOOKUP(B156,[1]Sheet1!$B:$B,[1]Sheet1!$N:$N,0)</f>
        <v>0</v>
      </c>
      <c r="L156" s="12">
        <f>_xlfn.XLOOKUP(B156,[1]Sheet1!$B:$B,[1]Sheet1!$O:$O,0)</f>
        <v>0</v>
      </c>
      <c r="M156" s="12">
        <f>_xlfn.XLOOKUP(B156,[1]Sheet1!$B:$B,[1]Sheet1!$P:$P,0)</f>
        <v>16800</v>
      </c>
      <c r="N156" s="12">
        <f>_xlfn.XLOOKUP(B156,[1]Sheet1!$B:$B,[1]Sheet1!$Q:$Q,0)</f>
        <v>634700</v>
      </c>
      <c r="O156" s="12">
        <f>_xlfn.XLOOKUP(B156,[1]Sheet1!$B:$B,[1]Sheet1!$R:$R,0)</f>
        <v>191500</v>
      </c>
      <c r="P156" s="12">
        <f>_xlfn.XLOOKUP(B156,[1]Sheet1!$B:$B,[1]Sheet1!$S:$S,0)</f>
        <v>1500</v>
      </c>
      <c r="Q156" s="12">
        <f>_xlfn.XLOOKUP(B156,[1]Sheet1!$B:$B,[1]Sheet1!$T:$T,0)</f>
        <v>1500</v>
      </c>
      <c r="R156" s="12">
        <f>_xlfn.XLOOKUP(B156,[1]Sheet1!$B:$B,[1]Sheet1!$U:$U,0)</f>
        <v>1500</v>
      </c>
      <c r="S156" s="12">
        <f>_xlfn.XLOOKUP(B156,[1]Sheet1!$B:$B,[1]Sheet1!$V:$V,0)</f>
        <v>86937</v>
      </c>
      <c r="T156" s="12">
        <f>_xlfn.XLOOKUP(B156,[1]Sheet1!$B:$B,[1]Sheet1!$W:$W,0)</f>
        <v>1500</v>
      </c>
      <c r="U156" s="12">
        <f>_xlfn.XLOOKUP(B156,[1]Sheet1!$B:$B,[1]Sheet1!$X:$X,0)</f>
        <v>66500</v>
      </c>
      <c r="V156" s="12">
        <f>_xlfn.XLOOKUP(B156,[1]Sheet1!$B:$B,[1]Sheet1!$Y:$Y,0)</f>
        <v>0</v>
      </c>
      <c r="W156" s="12">
        <f t="shared" si="7"/>
        <v>1002437</v>
      </c>
      <c r="X156" s="6" t="s">
        <v>368</v>
      </c>
      <c r="Y156" s="6" t="s">
        <v>361</v>
      </c>
      <c r="Z156" s="6" t="s">
        <v>362</v>
      </c>
      <c r="AA156" s="6" t="s">
        <v>55</v>
      </c>
      <c r="AB156" s="6" t="s">
        <v>36</v>
      </c>
      <c r="AC156" s="6" t="s">
        <v>37</v>
      </c>
      <c r="AD156" s="6" t="s">
        <v>38</v>
      </c>
      <c r="AE156" s="6" t="s">
        <v>39</v>
      </c>
      <c r="AF156" s="6" t="s">
        <v>40</v>
      </c>
      <c r="AG156" s="7">
        <v>1002437</v>
      </c>
      <c r="AH156" s="11">
        <f>_xlfn.XLOOKUP(B156,[1]Sheet1!$B:$B,[1]Sheet1!$AB:$AB,0)</f>
        <v>1002437</v>
      </c>
    </row>
    <row r="157" spans="2:34" ht="16.8" thickTop="1" thickBot="1" x14ac:dyDescent="0.35">
      <c r="B157" s="3" t="str">
        <f t="shared" si="6"/>
        <v>45112504511000266Activation&amp;Prog-N1422401200104</v>
      </c>
      <c r="C157" s="8" t="s">
        <v>67</v>
      </c>
      <c r="D157" s="8" t="s">
        <v>369</v>
      </c>
      <c r="E157" s="8" t="s">
        <v>370</v>
      </c>
      <c r="F157" s="8" t="s">
        <v>371</v>
      </c>
      <c r="G157" s="4" t="s">
        <v>2807</v>
      </c>
      <c r="H157" s="4" t="s">
        <v>2922</v>
      </c>
      <c r="I157" s="8" t="s">
        <v>63</v>
      </c>
      <c r="J157" s="8" t="s">
        <v>31</v>
      </c>
      <c r="K157" s="12">
        <f>_xlfn.XLOOKUP(B157,[1]Sheet1!$B:$B,[1]Sheet1!$N:$N,0)</f>
        <v>0</v>
      </c>
      <c r="L157" s="12">
        <f>_xlfn.XLOOKUP(B157,[1]Sheet1!$B:$B,[1]Sheet1!$O:$O,0)</f>
        <v>0</v>
      </c>
      <c r="M157" s="12">
        <f>_xlfn.XLOOKUP(B157,[1]Sheet1!$B:$B,[1]Sheet1!$P:$P,0)</f>
        <v>0</v>
      </c>
      <c r="N157" s="12">
        <f>_xlfn.XLOOKUP(B157,[1]Sheet1!$B:$B,[1]Sheet1!$Q:$Q,0)</f>
        <v>0</v>
      </c>
      <c r="O157" s="12">
        <f>_xlfn.XLOOKUP(B157,[1]Sheet1!$B:$B,[1]Sheet1!$R:$R,0)</f>
        <v>0</v>
      </c>
      <c r="P157" s="12">
        <f>_xlfn.XLOOKUP(B157,[1]Sheet1!$B:$B,[1]Sheet1!$S:$S,0)</f>
        <v>0</v>
      </c>
      <c r="Q157" s="12">
        <f>_xlfn.XLOOKUP(B157,[1]Sheet1!$B:$B,[1]Sheet1!$T:$T,0)</f>
        <v>0</v>
      </c>
      <c r="R157" s="12">
        <f>_xlfn.XLOOKUP(B157,[1]Sheet1!$B:$B,[1]Sheet1!$U:$U,0)</f>
        <v>0</v>
      </c>
      <c r="S157" s="12">
        <f>_xlfn.XLOOKUP(B157,[1]Sheet1!$B:$B,[1]Sheet1!$V:$V,0)</f>
        <v>0</v>
      </c>
      <c r="T157" s="12">
        <f>_xlfn.XLOOKUP(B157,[1]Sheet1!$B:$B,[1]Sheet1!$W:$W,0)</f>
        <v>142695</v>
      </c>
      <c r="U157" s="12">
        <f>_xlfn.XLOOKUP(B157,[1]Sheet1!$B:$B,[1]Sheet1!$X:$X,0)</f>
        <v>142695</v>
      </c>
      <c r="V157" s="12">
        <f>_xlfn.XLOOKUP(B157,[1]Sheet1!$B:$B,[1]Sheet1!$Y:$Y,0)</f>
        <v>142694</v>
      </c>
      <c r="W157" s="12">
        <f t="shared" si="7"/>
        <v>428084</v>
      </c>
      <c r="X157" s="8" t="s">
        <v>64</v>
      </c>
      <c r="Y157" s="8" t="s">
        <v>65</v>
      </c>
      <c r="Z157" s="8" t="s">
        <v>66</v>
      </c>
      <c r="AA157" s="8" t="s">
        <v>68</v>
      </c>
      <c r="AB157" s="8" t="s">
        <v>36</v>
      </c>
      <c r="AC157" s="8" t="s">
        <v>37</v>
      </c>
      <c r="AD157" s="8" t="s">
        <v>69</v>
      </c>
      <c r="AE157" s="8" t="s">
        <v>39</v>
      </c>
      <c r="AF157" s="8" t="s">
        <v>40</v>
      </c>
      <c r="AG157" s="9">
        <v>428084</v>
      </c>
      <c r="AH157" s="11">
        <f>_xlfn.XLOOKUP(B157,[1]Sheet1!$B:$B,[1]Sheet1!$AB:$AB,0)</f>
        <v>428084</v>
      </c>
    </row>
    <row r="158" spans="2:34" ht="16.8" thickTop="1" thickBot="1" x14ac:dyDescent="0.35">
      <c r="B158" s="3" t="str">
        <f t="shared" si="6"/>
        <v>45112504511000266Ad-hoc Repairs-N426427200104</v>
      </c>
      <c r="C158" s="6" t="s">
        <v>67</v>
      </c>
      <c r="D158" s="6" t="s">
        <v>369</v>
      </c>
      <c r="E158" s="6" t="s">
        <v>370</v>
      </c>
      <c r="F158" s="6" t="s">
        <v>70</v>
      </c>
      <c r="G158" s="4" t="s">
        <v>2808</v>
      </c>
      <c r="H158" s="4" t="s">
        <v>2922</v>
      </c>
      <c r="I158" s="6" t="s">
        <v>71</v>
      </c>
      <c r="J158" s="6" t="s">
        <v>31</v>
      </c>
      <c r="K158" s="12">
        <f>_xlfn.XLOOKUP(B158,[1]Sheet1!$B:$B,[1]Sheet1!$N:$N,0)</f>
        <v>0</v>
      </c>
      <c r="L158" s="12">
        <f>_xlfn.XLOOKUP(B158,[1]Sheet1!$B:$B,[1]Sheet1!$O:$O,0)</f>
        <v>0</v>
      </c>
      <c r="M158" s="12">
        <f>_xlfn.XLOOKUP(B158,[1]Sheet1!$B:$B,[1]Sheet1!$P:$P,0)</f>
        <v>0</v>
      </c>
      <c r="N158" s="12">
        <f>_xlfn.XLOOKUP(B158,[1]Sheet1!$B:$B,[1]Sheet1!$Q:$Q,0)</f>
        <v>16666.666666666668</v>
      </c>
      <c r="O158" s="12">
        <f>_xlfn.XLOOKUP(B158,[1]Sheet1!$B:$B,[1]Sheet1!$R:$R,0)</f>
        <v>4166.666666666667</v>
      </c>
      <c r="P158" s="12">
        <f>_xlfn.XLOOKUP(B158,[1]Sheet1!$B:$B,[1]Sheet1!$S:$S,0)</f>
        <v>4166.666666666667</v>
      </c>
      <c r="Q158" s="12">
        <f>_xlfn.XLOOKUP(B158,[1]Sheet1!$B:$B,[1]Sheet1!$T:$T,0)</f>
        <v>4166.666666666667</v>
      </c>
      <c r="R158" s="12">
        <f>_xlfn.XLOOKUP(B158,[1]Sheet1!$B:$B,[1]Sheet1!$U:$U,0)</f>
        <v>4166.666666666667</v>
      </c>
      <c r="S158" s="12">
        <f>_xlfn.XLOOKUP(B158,[1]Sheet1!$B:$B,[1]Sheet1!$V:$V,0)</f>
        <v>4166.666666666667</v>
      </c>
      <c r="T158" s="12">
        <f>_xlfn.XLOOKUP(B158,[1]Sheet1!$B:$B,[1]Sheet1!$W:$W,0)</f>
        <v>4166.666666666667</v>
      </c>
      <c r="U158" s="12">
        <f>_xlfn.XLOOKUP(B158,[1]Sheet1!$B:$B,[1]Sheet1!$X:$X,0)</f>
        <v>4166.666666666667</v>
      </c>
      <c r="V158" s="12">
        <f>_xlfn.XLOOKUP(B158,[1]Sheet1!$B:$B,[1]Sheet1!$Y:$Y,0)</f>
        <v>4166.666666666667</v>
      </c>
      <c r="W158" s="12">
        <f t="shared" si="7"/>
        <v>49999.999999999993</v>
      </c>
      <c r="X158" s="6" t="s">
        <v>72</v>
      </c>
      <c r="Y158" s="6" t="s">
        <v>65</v>
      </c>
      <c r="Z158" s="6" t="s">
        <v>66</v>
      </c>
      <c r="AA158" s="6" t="s">
        <v>71</v>
      </c>
      <c r="AB158" s="6" t="s">
        <v>36</v>
      </c>
      <c r="AC158" s="6" t="s">
        <v>37</v>
      </c>
      <c r="AD158" s="6" t="s">
        <v>69</v>
      </c>
      <c r="AE158" s="6" t="s">
        <v>39</v>
      </c>
      <c r="AF158" s="6" t="s">
        <v>40</v>
      </c>
      <c r="AG158" s="7">
        <v>50000</v>
      </c>
      <c r="AH158" s="11">
        <f>_xlfn.XLOOKUP(B158,[1]Sheet1!$B:$B,[1]Sheet1!$AB:$AB,0)</f>
        <v>49999.999999999993</v>
      </c>
    </row>
    <row r="159" spans="2:34" ht="16.8" thickTop="1" thickBot="1" x14ac:dyDescent="0.35">
      <c r="B159" s="3" t="str">
        <f t="shared" si="6"/>
        <v>45112504511000266Cleaning Service-N422311200104</v>
      </c>
      <c r="C159" s="8" t="s">
        <v>67</v>
      </c>
      <c r="D159" s="8" t="s">
        <v>369</v>
      </c>
      <c r="E159" s="8" t="s">
        <v>370</v>
      </c>
      <c r="F159" s="8" t="s">
        <v>79</v>
      </c>
      <c r="G159" s="4" t="s">
        <v>2810</v>
      </c>
      <c r="H159" s="4" t="s">
        <v>2922</v>
      </c>
      <c r="I159" s="8" t="s">
        <v>80</v>
      </c>
      <c r="J159" s="8" t="s">
        <v>31</v>
      </c>
      <c r="K159" s="12">
        <f>_xlfn.XLOOKUP(B159,[1]Sheet1!$B:$B,[1]Sheet1!$N:$N,0)</f>
        <v>0</v>
      </c>
      <c r="L159" s="12">
        <f>_xlfn.XLOOKUP(B159,[1]Sheet1!$B:$B,[1]Sheet1!$O:$O,0)</f>
        <v>0</v>
      </c>
      <c r="M159" s="12">
        <f>_xlfn.XLOOKUP(B159,[1]Sheet1!$B:$B,[1]Sheet1!$P:$P,0)</f>
        <v>0</v>
      </c>
      <c r="N159" s="12">
        <f>_xlfn.XLOOKUP(B159,[1]Sheet1!$B:$B,[1]Sheet1!$Q:$Q,0)</f>
        <v>60000</v>
      </c>
      <c r="O159" s="12">
        <f>_xlfn.XLOOKUP(B159,[1]Sheet1!$B:$B,[1]Sheet1!$R:$R,0)</f>
        <v>15000</v>
      </c>
      <c r="P159" s="12">
        <f>_xlfn.XLOOKUP(B159,[1]Sheet1!$B:$B,[1]Sheet1!$S:$S,0)</f>
        <v>15000</v>
      </c>
      <c r="Q159" s="12">
        <f>_xlfn.XLOOKUP(B159,[1]Sheet1!$B:$B,[1]Sheet1!$T:$T,0)</f>
        <v>15000</v>
      </c>
      <c r="R159" s="12">
        <f>_xlfn.XLOOKUP(B159,[1]Sheet1!$B:$B,[1]Sheet1!$U:$U,0)</f>
        <v>15000</v>
      </c>
      <c r="S159" s="12">
        <f>_xlfn.XLOOKUP(B159,[1]Sheet1!$B:$B,[1]Sheet1!$V:$V,0)</f>
        <v>15000</v>
      </c>
      <c r="T159" s="12">
        <f>_xlfn.XLOOKUP(B159,[1]Sheet1!$B:$B,[1]Sheet1!$W:$W,0)</f>
        <v>15000</v>
      </c>
      <c r="U159" s="12">
        <f>_xlfn.XLOOKUP(B159,[1]Sheet1!$B:$B,[1]Sheet1!$X:$X,0)</f>
        <v>15000</v>
      </c>
      <c r="V159" s="12">
        <f>_xlfn.XLOOKUP(B159,[1]Sheet1!$B:$B,[1]Sheet1!$Y:$Y,0)</f>
        <v>15000</v>
      </c>
      <c r="W159" s="12">
        <f t="shared" si="7"/>
        <v>180000</v>
      </c>
      <c r="X159" s="8" t="s">
        <v>81</v>
      </c>
      <c r="Y159" s="8" t="s">
        <v>65</v>
      </c>
      <c r="Z159" s="8" t="s">
        <v>66</v>
      </c>
      <c r="AA159" s="8" t="s">
        <v>80</v>
      </c>
      <c r="AB159" s="8" t="s">
        <v>36</v>
      </c>
      <c r="AC159" s="8" t="s">
        <v>37</v>
      </c>
      <c r="AD159" s="8" t="s">
        <v>69</v>
      </c>
      <c r="AE159" s="8" t="s">
        <v>39</v>
      </c>
      <c r="AF159" s="8" t="s">
        <v>40</v>
      </c>
      <c r="AG159" s="9">
        <v>180000</v>
      </c>
      <c r="AH159" s="11">
        <f>_xlfn.XLOOKUP(B159,[1]Sheet1!$B:$B,[1]Sheet1!$AB:$AB,0)</f>
        <v>180000</v>
      </c>
    </row>
    <row r="160" spans="2:34" ht="16.8" thickTop="1" thickBot="1" x14ac:dyDescent="0.35">
      <c r="B160" s="3" t="str">
        <f t="shared" si="6"/>
        <v>45112504511000266Event Management-N1422401200104</v>
      </c>
      <c r="C160" s="6" t="s">
        <v>67</v>
      </c>
      <c r="D160" s="6" t="s">
        <v>369</v>
      </c>
      <c r="E160" s="6" t="s">
        <v>370</v>
      </c>
      <c r="F160" s="6" t="s">
        <v>122</v>
      </c>
      <c r="G160" s="4" t="s">
        <v>2807</v>
      </c>
      <c r="H160" s="4" t="s">
        <v>2922</v>
      </c>
      <c r="I160" s="6" t="s">
        <v>63</v>
      </c>
      <c r="J160" s="6" t="s">
        <v>31</v>
      </c>
      <c r="K160" s="12">
        <f>_xlfn.XLOOKUP(B160,[1]Sheet1!$B:$B,[1]Sheet1!$N:$N,0)</f>
        <v>0</v>
      </c>
      <c r="L160" s="12">
        <f>_xlfn.XLOOKUP(B160,[1]Sheet1!$B:$B,[1]Sheet1!$O:$O,0)</f>
        <v>0</v>
      </c>
      <c r="M160" s="12">
        <f>_xlfn.XLOOKUP(B160,[1]Sheet1!$B:$B,[1]Sheet1!$P:$P,0)</f>
        <v>0</v>
      </c>
      <c r="N160" s="12">
        <f>_xlfn.XLOOKUP(B160,[1]Sheet1!$B:$B,[1]Sheet1!$Q:$Q,0)</f>
        <v>0</v>
      </c>
      <c r="O160" s="12">
        <f>_xlfn.XLOOKUP(B160,[1]Sheet1!$B:$B,[1]Sheet1!$R:$R,0)</f>
        <v>0</v>
      </c>
      <c r="P160" s="12">
        <f>_xlfn.XLOOKUP(B160,[1]Sheet1!$B:$B,[1]Sheet1!$S:$S,0)</f>
        <v>0</v>
      </c>
      <c r="Q160" s="12">
        <f>_xlfn.XLOOKUP(B160,[1]Sheet1!$B:$B,[1]Sheet1!$T:$T,0)</f>
        <v>0</v>
      </c>
      <c r="R160" s="12">
        <f>_xlfn.XLOOKUP(B160,[1]Sheet1!$B:$B,[1]Sheet1!$U:$U,0)</f>
        <v>0</v>
      </c>
      <c r="S160" s="12">
        <f>_xlfn.XLOOKUP(B160,[1]Sheet1!$B:$B,[1]Sheet1!$V:$V,0)</f>
        <v>0</v>
      </c>
      <c r="T160" s="12">
        <f>_xlfn.XLOOKUP(B160,[1]Sheet1!$B:$B,[1]Sheet1!$W:$W,0)</f>
        <v>0</v>
      </c>
      <c r="U160" s="12">
        <f>_xlfn.XLOOKUP(B160,[1]Sheet1!$B:$B,[1]Sheet1!$X:$X,0)</f>
        <v>156250</v>
      </c>
      <c r="V160" s="12">
        <f>_xlfn.XLOOKUP(B160,[1]Sheet1!$B:$B,[1]Sheet1!$Y:$Y,0)</f>
        <v>156250</v>
      </c>
      <c r="W160" s="12">
        <f t="shared" si="7"/>
        <v>312500</v>
      </c>
      <c r="X160" s="6" t="s">
        <v>64</v>
      </c>
      <c r="Y160" s="6" t="s">
        <v>65</v>
      </c>
      <c r="Z160" s="6" t="s">
        <v>66</v>
      </c>
      <c r="AA160" s="6" t="s">
        <v>68</v>
      </c>
      <c r="AB160" s="6" t="s">
        <v>36</v>
      </c>
      <c r="AC160" s="6" t="s">
        <v>37</v>
      </c>
      <c r="AD160" s="6" t="s">
        <v>69</v>
      </c>
      <c r="AE160" s="6" t="s">
        <v>39</v>
      </c>
      <c r="AF160" s="6" t="s">
        <v>40</v>
      </c>
      <c r="AG160" s="7">
        <v>312500</v>
      </c>
      <c r="AH160" s="11">
        <f>_xlfn.XLOOKUP(B160,[1]Sheet1!$B:$B,[1]Sheet1!$AB:$AB,0)</f>
        <v>312500</v>
      </c>
    </row>
    <row r="161" spans="2:34" ht="16.8" thickTop="1" thickBot="1" x14ac:dyDescent="0.35">
      <c r="B161" s="3" t="str">
        <f t="shared" si="6"/>
        <v>45112504511000266Hospitality-N424761200104</v>
      </c>
      <c r="C161" s="8" t="s">
        <v>67</v>
      </c>
      <c r="D161" s="8" t="s">
        <v>369</v>
      </c>
      <c r="E161" s="8" t="s">
        <v>370</v>
      </c>
      <c r="F161" s="8" t="s">
        <v>83</v>
      </c>
      <c r="G161" s="4" t="s">
        <v>2811</v>
      </c>
      <c r="H161" s="4" t="s">
        <v>2922</v>
      </c>
      <c r="I161" s="8" t="s">
        <v>84</v>
      </c>
      <c r="J161" s="8" t="s">
        <v>31</v>
      </c>
      <c r="K161" s="12">
        <f>_xlfn.XLOOKUP(B161,[1]Sheet1!$B:$B,[1]Sheet1!$N:$N,0)</f>
        <v>0</v>
      </c>
      <c r="L161" s="12">
        <f>_xlfn.XLOOKUP(B161,[1]Sheet1!$B:$B,[1]Sheet1!$O:$O,0)</f>
        <v>0</v>
      </c>
      <c r="M161" s="12">
        <f>_xlfn.XLOOKUP(B161,[1]Sheet1!$B:$B,[1]Sheet1!$P:$P,0)</f>
        <v>0</v>
      </c>
      <c r="N161" s="12">
        <f>_xlfn.XLOOKUP(B161,[1]Sheet1!$B:$B,[1]Sheet1!$Q:$Q,0)</f>
        <v>20000</v>
      </c>
      <c r="O161" s="12">
        <f>_xlfn.XLOOKUP(B161,[1]Sheet1!$B:$B,[1]Sheet1!$R:$R,0)</f>
        <v>5000</v>
      </c>
      <c r="P161" s="12">
        <f>_xlfn.XLOOKUP(B161,[1]Sheet1!$B:$B,[1]Sheet1!$S:$S,0)</f>
        <v>5000</v>
      </c>
      <c r="Q161" s="12">
        <f>_xlfn.XLOOKUP(B161,[1]Sheet1!$B:$B,[1]Sheet1!$T:$T,0)</f>
        <v>5000</v>
      </c>
      <c r="R161" s="12">
        <f>_xlfn.XLOOKUP(B161,[1]Sheet1!$B:$B,[1]Sheet1!$U:$U,0)</f>
        <v>5000</v>
      </c>
      <c r="S161" s="12">
        <f>_xlfn.XLOOKUP(B161,[1]Sheet1!$B:$B,[1]Sheet1!$V:$V,0)</f>
        <v>5000</v>
      </c>
      <c r="T161" s="12">
        <f>_xlfn.XLOOKUP(B161,[1]Sheet1!$B:$B,[1]Sheet1!$W:$W,0)</f>
        <v>5000</v>
      </c>
      <c r="U161" s="12">
        <f>_xlfn.XLOOKUP(B161,[1]Sheet1!$B:$B,[1]Sheet1!$X:$X,0)</f>
        <v>5000</v>
      </c>
      <c r="V161" s="12">
        <f>_xlfn.XLOOKUP(B161,[1]Sheet1!$B:$B,[1]Sheet1!$Y:$Y,0)</f>
        <v>5000</v>
      </c>
      <c r="W161" s="12">
        <f t="shared" si="7"/>
        <v>60000</v>
      </c>
      <c r="X161" s="8" t="s">
        <v>85</v>
      </c>
      <c r="Y161" s="8" t="s">
        <v>65</v>
      </c>
      <c r="Z161" s="8" t="s">
        <v>66</v>
      </c>
      <c r="AA161" s="8" t="s">
        <v>84</v>
      </c>
      <c r="AB161" s="8" t="s">
        <v>36</v>
      </c>
      <c r="AC161" s="8" t="s">
        <v>37</v>
      </c>
      <c r="AD161" s="8" t="s">
        <v>69</v>
      </c>
      <c r="AE161" s="8" t="s">
        <v>39</v>
      </c>
      <c r="AF161" s="8" t="s">
        <v>40</v>
      </c>
      <c r="AG161" s="9">
        <v>60000</v>
      </c>
      <c r="AH161" s="11">
        <f>_xlfn.XLOOKUP(B161,[1]Sheet1!$B:$B,[1]Sheet1!$AB:$AB,0)</f>
        <v>60000</v>
      </c>
    </row>
    <row r="162" spans="2:34" ht="16.8" thickTop="1" thickBot="1" x14ac:dyDescent="0.35">
      <c r="B162" s="3" t="str">
        <f t="shared" si="6"/>
        <v>45112504511000266Landscaping-N432614200104</v>
      </c>
      <c r="C162" s="6" t="s">
        <v>67</v>
      </c>
      <c r="D162" s="6" t="s">
        <v>369</v>
      </c>
      <c r="E162" s="6" t="s">
        <v>370</v>
      </c>
      <c r="F162" s="6" t="s">
        <v>86</v>
      </c>
      <c r="G162" s="4" t="s">
        <v>2812</v>
      </c>
      <c r="H162" s="4" t="s">
        <v>2922</v>
      </c>
      <c r="I162" s="6" t="s">
        <v>87</v>
      </c>
      <c r="J162" s="6" t="s">
        <v>31</v>
      </c>
      <c r="K162" s="12">
        <f>_xlfn.XLOOKUP(B162,[1]Sheet1!$B:$B,[1]Sheet1!$N:$N,0)</f>
        <v>0</v>
      </c>
      <c r="L162" s="12">
        <f>_xlfn.XLOOKUP(B162,[1]Sheet1!$B:$B,[1]Sheet1!$O:$O,0)</f>
        <v>0</v>
      </c>
      <c r="M162" s="12">
        <f>_xlfn.XLOOKUP(B162,[1]Sheet1!$B:$B,[1]Sheet1!$P:$P,0)</f>
        <v>0</v>
      </c>
      <c r="N162" s="12">
        <f>_xlfn.XLOOKUP(B162,[1]Sheet1!$B:$B,[1]Sheet1!$Q:$Q,0)</f>
        <v>16666.666666666668</v>
      </c>
      <c r="O162" s="12">
        <f>_xlfn.XLOOKUP(B162,[1]Sheet1!$B:$B,[1]Sheet1!$R:$R,0)</f>
        <v>4166.666666666667</v>
      </c>
      <c r="P162" s="12">
        <f>_xlfn.XLOOKUP(B162,[1]Sheet1!$B:$B,[1]Sheet1!$S:$S,0)</f>
        <v>4166.666666666667</v>
      </c>
      <c r="Q162" s="12">
        <f>_xlfn.XLOOKUP(B162,[1]Sheet1!$B:$B,[1]Sheet1!$T:$T,0)</f>
        <v>4166.666666666667</v>
      </c>
      <c r="R162" s="12">
        <f>_xlfn.XLOOKUP(B162,[1]Sheet1!$B:$B,[1]Sheet1!$U:$U,0)</f>
        <v>4166.666666666667</v>
      </c>
      <c r="S162" s="12">
        <f>_xlfn.XLOOKUP(B162,[1]Sheet1!$B:$B,[1]Sheet1!$V:$V,0)</f>
        <v>4166.666666666667</v>
      </c>
      <c r="T162" s="12">
        <f>_xlfn.XLOOKUP(B162,[1]Sheet1!$B:$B,[1]Sheet1!$W:$W,0)</f>
        <v>4166.666666666667</v>
      </c>
      <c r="U162" s="12">
        <f>_xlfn.XLOOKUP(B162,[1]Sheet1!$B:$B,[1]Sheet1!$X:$X,0)</f>
        <v>4166.666666666667</v>
      </c>
      <c r="V162" s="12">
        <f>_xlfn.XLOOKUP(B162,[1]Sheet1!$B:$B,[1]Sheet1!$Y:$Y,0)</f>
        <v>4166.666666666667</v>
      </c>
      <c r="W162" s="12">
        <f t="shared" si="7"/>
        <v>49999.999999999993</v>
      </c>
      <c r="X162" s="6" t="s">
        <v>88</v>
      </c>
      <c r="Y162" s="6" t="s">
        <v>65</v>
      </c>
      <c r="Z162" s="6" t="s">
        <v>66</v>
      </c>
      <c r="AA162" s="6" t="s">
        <v>87</v>
      </c>
      <c r="AB162" s="6" t="s">
        <v>36</v>
      </c>
      <c r="AC162" s="6" t="s">
        <v>37</v>
      </c>
      <c r="AD162" s="6" t="s">
        <v>69</v>
      </c>
      <c r="AE162" s="6" t="s">
        <v>39</v>
      </c>
      <c r="AF162" s="6" t="s">
        <v>40</v>
      </c>
      <c r="AG162" s="7">
        <v>50000</v>
      </c>
      <c r="AH162" s="11">
        <f>_xlfn.XLOOKUP(B162,[1]Sheet1!$B:$B,[1]Sheet1!$AB:$AB,0)</f>
        <v>49999.999999999993</v>
      </c>
    </row>
    <row r="163" spans="2:34" ht="16.8" thickTop="1" thickBot="1" x14ac:dyDescent="0.35">
      <c r="B163" s="3" t="str">
        <f t="shared" si="6"/>
        <v>45112504511000266Maintenance-N426212200104</v>
      </c>
      <c r="C163" s="8" t="s">
        <v>67</v>
      </c>
      <c r="D163" s="8" t="s">
        <v>369</v>
      </c>
      <c r="E163" s="8" t="s">
        <v>370</v>
      </c>
      <c r="F163" s="8" t="s">
        <v>95</v>
      </c>
      <c r="G163" s="4" t="s">
        <v>2814</v>
      </c>
      <c r="H163" s="4" t="s">
        <v>2922</v>
      </c>
      <c r="I163" s="8" t="s">
        <v>96</v>
      </c>
      <c r="J163" s="8" t="s">
        <v>31</v>
      </c>
      <c r="K163" s="12">
        <f>_xlfn.XLOOKUP(B163,[1]Sheet1!$B:$B,[1]Sheet1!$N:$N,0)</f>
        <v>0</v>
      </c>
      <c r="L163" s="12">
        <f>_xlfn.XLOOKUP(B163,[1]Sheet1!$B:$B,[1]Sheet1!$O:$O,0)</f>
        <v>0</v>
      </c>
      <c r="M163" s="12">
        <f>_xlfn.XLOOKUP(B163,[1]Sheet1!$B:$B,[1]Sheet1!$P:$P,0)</f>
        <v>0</v>
      </c>
      <c r="N163" s="12">
        <f>_xlfn.XLOOKUP(B163,[1]Sheet1!$B:$B,[1]Sheet1!$Q:$Q,0)</f>
        <v>50000</v>
      </c>
      <c r="O163" s="12">
        <f>_xlfn.XLOOKUP(B163,[1]Sheet1!$B:$B,[1]Sheet1!$R:$R,0)</f>
        <v>12500</v>
      </c>
      <c r="P163" s="12">
        <f>_xlfn.XLOOKUP(B163,[1]Sheet1!$B:$B,[1]Sheet1!$S:$S,0)</f>
        <v>12500</v>
      </c>
      <c r="Q163" s="12">
        <f>_xlfn.XLOOKUP(B163,[1]Sheet1!$B:$B,[1]Sheet1!$T:$T,0)</f>
        <v>12500</v>
      </c>
      <c r="R163" s="12">
        <f>_xlfn.XLOOKUP(B163,[1]Sheet1!$B:$B,[1]Sheet1!$U:$U,0)</f>
        <v>12500</v>
      </c>
      <c r="S163" s="12">
        <f>_xlfn.XLOOKUP(B163,[1]Sheet1!$B:$B,[1]Sheet1!$V:$V,0)</f>
        <v>12500</v>
      </c>
      <c r="T163" s="12">
        <f>_xlfn.XLOOKUP(B163,[1]Sheet1!$B:$B,[1]Sheet1!$W:$W,0)</f>
        <v>12500</v>
      </c>
      <c r="U163" s="12">
        <f>_xlfn.XLOOKUP(B163,[1]Sheet1!$B:$B,[1]Sheet1!$X:$X,0)</f>
        <v>12500</v>
      </c>
      <c r="V163" s="12">
        <f>_xlfn.XLOOKUP(B163,[1]Sheet1!$B:$B,[1]Sheet1!$Y:$Y,0)</f>
        <v>12500</v>
      </c>
      <c r="W163" s="12">
        <f t="shared" si="7"/>
        <v>150000</v>
      </c>
      <c r="X163" s="8" t="s">
        <v>97</v>
      </c>
      <c r="Y163" s="8" t="s">
        <v>65</v>
      </c>
      <c r="Z163" s="8" t="s">
        <v>66</v>
      </c>
      <c r="AA163" s="8" t="s">
        <v>96</v>
      </c>
      <c r="AB163" s="8" t="s">
        <v>36</v>
      </c>
      <c r="AC163" s="8" t="s">
        <v>37</v>
      </c>
      <c r="AD163" s="8" t="s">
        <v>69</v>
      </c>
      <c r="AE163" s="8" t="s">
        <v>39</v>
      </c>
      <c r="AF163" s="8" t="s">
        <v>40</v>
      </c>
      <c r="AG163" s="9">
        <v>150000</v>
      </c>
      <c r="AH163" s="11">
        <f>_xlfn.XLOOKUP(B163,[1]Sheet1!$B:$B,[1]Sheet1!$AB:$AB,0)</f>
        <v>150000</v>
      </c>
    </row>
    <row r="164" spans="2:34" ht="16.8" thickTop="1" thickBot="1" x14ac:dyDescent="0.35">
      <c r="B164" s="3" t="str">
        <f t="shared" si="6"/>
        <v>45112504511000266Pest Control-N422321200104</v>
      </c>
      <c r="C164" s="6" t="s">
        <v>67</v>
      </c>
      <c r="D164" s="6" t="s">
        <v>369</v>
      </c>
      <c r="E164" s="6" t="s">
        <v>370</v>
      </c>
      <c r="F164" s="6" t="s">
        <v>103</v>
      </c>
      <c r="G164" s="4" t="s">
        <v>2816</v>
      </c>
      <c r="H164" s="4" t="s">
        <v>2922</v>
      </c>
      <c r="I164" s="6" t="s">
        <v>104</v>
      </c>
      <c r="J164" s="6" t="s">
        <v>31</v>
      </c>
      <c r="K164" s="12">
        <f>_xlfn.XLOOKUP(B164,[1]Sheet1!$B:$B,[1]Sheet1!$N:$N,0)</f>
        <v>0</v>
      </c>
      <c r="L164" s="12">
        <f>_xlfn.XLOOKUP(B164,[1]Sheet1!$B:$B,[1]Sheet1!$O:$O,0)</f>
        <v>0</v>
      </c>
      <c r="M164" s="12">
        <f>_xlfn.XLOOKUP(B164,[1]Sheet1!$B:$B,[1]Sheet1!$P:$P,0)</f>
        <v>0</v>
      </c>
      <c r="N164" s="12">
        <f>_xlfn.XLOOKUP(B164,[1]Sheet1!$B:$B,[1]Sheet1!$Q:$Q,0)</f>
        <v>3336</v>
      </c>
      <c r="O164" s="12">
        <f>_xlfn.XLOOKUP(B164,[1]Sheet1!$B:$B,[1]Sheet1!$R:$R,0)</f>
        <v>833</v>
      </c>
      <c r="P164" s="12">
        <f>_xlfn.XLOOKUP(B164,[1]Sheet1!$B:$B,[1]Sheet1!$S:$S,0)</f>
        <v>833</v>
      </c>
      <c r="Q164" s="12">
        <f>_xlfn.XLOOKUP(B164,[1]Sheet1!$B:$B,[1]Sheet1!$T:$T,0)</f>
        <v>833</v>
      </c>
      <c r="R164" s="12">
        <f>_xlfn.XLOOKUP(B164,[1]Sheet1!$B:$B,[1]Sheet1!$U:$U,0)</f>
        <v>833</v>
      </c>
      <c r="S164" s="12">
        <f>_xlfn.XLOOKUP(B164,[1]Sheet1!$B:$B,[1]Sheet1!$V:$V,0)</f>
        <v>833</v>
      </c>
      <c r="T164" s="12">
        <f>_xlfn.XLOOKUP(B164,[1]Sheet1!$B:$B,[1]Sheet1!$W:$W,0)</f>
        <v>833</v>
      </c>
      <c r="U164" s="12">
        <f>_xlfn.XLOOKUP(B164,[1]Sheet1!$B:$B,[1]Sheet1!$X:$X,0)</f>
        <v>833</v>
      </c>
      <c r="V164" s="12">
        <f>_xlfn.XLOOKUP(B164,[1]Sheet1!$B:$B,[1]Sheet1!$Y:$Y,0)</f>
        <v>833</v>
      </c>
      <c r="W164" s="12">
        <f t="shared" si="7"/>
        <v>10000</v>
      </c>
      <c r="X164" s="6" t="s">
        <v>105</v>
      </c>
      <c r="Y164" s="6" t="s">
        <v>65</v>
      </c>
      <c r="Z164" s="6" t="s">
        <v>66</v>
      </c>
      <c r="AA164" s="6" t="s">
        <v>106</v>
      </c>
      <c r="AB164" s="6" t="s">
        <v>36</v>
      </c>
      <c r="AC164" s="6" t="s">
        <v>37</v>
      </c>
      <c r="AD164" s="6" t="s">
        <v>69</v>
      </c>
      <c r="AE164" s="6" t="s">
        <v>39</v>
      </c>
      <c r="AF164" s="6" t="s">
        <v>40</v>
      </c>
      <c r="AG164" s="7">
        <v>10000</v>
      </c>
      <c r="AH164" s="11">
        <f>_xlfn.XLOOKUP(B164,[1]Sheet1!$B:$B,[1]Sheet1!$AB:$AB,0)</f>
        <v>10000</v>
      </c>
    </row>
    <row r="165" spans="2:34" ht="16.8" thickTop="1" thickBot="1" x14ac:dyDescent="0.35">
      <c r="B165" s="3" t="str">
        <f t="shared" si="6"/>
        <v>45112504511000266Security Service-N424551200104</v>
      </c>
      <c r="C165" s="8" t="s">
        <v>67</v>
      </c>
      <c r="D165" s="8" t="s">
        <v>369</v>
      </c>
      <c r="E165" s="8" t="s">
        <v>370</v>
      </c>
      <c r="F165" s="8" t="s">
        <v>107</v>
      </c>
      <c r="G165" s="4" t="s">
        <v>2817</v>
      </c>
      <c r="H165" s="4" t="s">
        <v>2922</v>
      </c>
      <c r="I165" s="8" t="s">
        <v>108</v>
      </c>
      <c r="J165" s="8" t="s">
        <v>31</v>
      </c>
      <c r="K165" s="12">
        <f>_xlfn.XLOOKUP(B165,[1]Sheet1!$B:$B,[1]Sheet1!$N:$N,0)</f>
        <v>0</v>
      </c>
      <c r="L165" s="12">
        <f>_xlfn.XLOOKUP(B165,[1]Sheet1!$B:$B,[1]Sheet1!$O:$O,0)</f>
        <v>0</v>
      </c>
      <c r="M165" s="12">
        <f>_xlfn.XLOOKUP(B165,[1]Sheet1!$B:$B,[1]Sheet1!$P:$P,0)</f>
        <v>0</v>
      </c>
      <c r="N165" s="12">
        <f>_xlfn.XLOOKUP(B165,[1]Sheet1!$B:$B,[1]Sheet1!$Q:$Q,0)</f>
        <v>66666.666666666672</v>
      </c>
      <c r="O165" s="12">
        <f>_xlfn.XLOOKUP(B165,[1]Sheet1!$B:$B,[1]Sheet1!$R:$R,0)</f>
        <v>16666.666666666668</v>
      </c>
      <c r="P165" s="12">
        <f>_xlfn.XLOOKUP(B165,[1]Sheet1!$B:$B,[1]Sheet1!$S:$S,0)</f>
        <v>16666.666666666668</v>
      </c>
      <c r="Q165" s="12">
        <f>_xlfn.XLOOKUP(B165,[1]Sheet1!$B:$B,[1]Sheet1!$T:$T,0)</f>
        <v>16666.666666666668</v>
      </c>
      <c r="R165" s="12">
        <f>_xlfn.XLOOKUP(B165,[1]Sheet1!$B:$B,[1]Sheet1!$U:$U,0)</f>
        <v>16666.666666666668</v>
      </c>
      <c r="S165" s="12">
        <f>_xlfn.XLOOKUP(B165,[1]Sheet1!$B:$B,[1]Sheet1!$V:$V,0)</f>
        <v>16666.666666666668</v>
      </c>
      <c r="T165" s="12">
        <f>_xlfn.XLOOKUP(B165,[1]Sheet1!$B:$B,[1]Sheet1!$W:$W,0)</f>
        <v>16666.666666666668</v>
      </c>
      <c r="U165" s="12">
        <f>_xlfn.XLOOKUP(B165,[1]Sheet1!$B:$B,[1]Sheet1!$X:$X,0)</f>
        <v>16666.666666666668</v>
      </c>
      <c r="V165" s="12">
        <f>_xlfn.XLOOKUP(B165,[1]Sheet1!$B:$B,[1]Sheet1!$Y:$Y,0)</f>
        <v>16666.666666666668</v>
      </c>
      <c r="W165" s="12">
        <f t="shared" si="7"/>
        <v>199999.99999999997</v>
      </c>
      <c r="X165" s="8" t="s">
        <v>109</v>
      </c>
      <c r="Y165" s="8" t="s">
        <v>65</v>
      </c>
      <c r="Z165" s="8" t="s">
        <v>66</v>
      </c>
      <c r="AA165" s="8" t="s">
        <v>108</v>
      </c>
      <c r="AB165" s="8" t="s">
        <v>36</v>
      </c>
      <c r="AC165" s="8" t="s">
        <v>37</v>
      </c>
      <c r="AD165" s="8" t="s">
        <v>69</v>
      </c>
      <c r="AE165" s="8" t="s">
        <v>39</v>
      </c>
      <c r="AF165" s="8" t="s">
        <v>40</v>
      </c>
      <c r="AG165" s="9">
        <v>200000</v>
      </c>
      <c r="AH165" s="11">
        <f>_xlfn.XLOOKUP(B165,[1]Sheet1!$B:$B,[1]Sheet1!$AB:$AB,0)</f>
        <v>199999.99999999997</v>
      </c>
    </row>
    <row r="166" spans="2:34" ht="16.8" thickTop="1" thickBot="1" x14ac:dyDescent="0.35">
      <c r="B166" s="3" t="str">
        <f t="shared" si="6"/>
        <v>45112504511000266Talent Fees-N1422511200104</v>
      </c>
      <c r="C166" s="6" t="s">
        <v>67</v>
      </c>
      <c r="D166" s="6" t="s">
        <v>369</v>
      </c>
      <c r="E166" s="6" t="s">
        <v>370</v>
      </c>
      <c r="F166" s="6" t="s">
        <v>372</v>
      </c>
      <c r="G166" s="4" t="s">
        <v>2819</v>
      </c>
      <c r="H166" s="4" t="s">
        <v>2922</v>
      </c>
      <c r="I166" s="6" t="s">
        <v>151</v>
      </c>
      <c r="J166" s="6" t="s">
        <v>31</v>
      </c>
      <c r="K166" s="12">
        <f>_xlfn.XLOOKUP(B166,[1]Sheet1!$B:$B,[1]Sheet1!$N:$N,0)</f>
        <v>0</v>
      </c>
      <c r="L166" s="12">
        <f>_xlfn.XLOOKUP(B166,[1]Sheet1!$B:$B,[1]Sheet1!$O:$O,0)</f>
        <v>0</v>
      </c>
      <c r="M166" s="12">
        <f>_xlfn.XLOOKUP(B166,[1]Sheet1!$B:$B,[1]Sheet1!$P:$P,0)</f>
        <v>0</v>
      </c>
      <c r="N166" s="12">
        <f>_xlfn.XLOOKUP(B166,[1]Sheet1!$B:$B,[1]Sheet1!$Q:$Q,0)</f>
        <v>0</v>
      </c>
      <c r="O166" s="12">
        <f>_xlfn.XLOOKUP(B166,[1]Sheet1!$B:$B,[1]Sheet1!$R:$R,0)</f>
        <v>0</v>
      </c>
      <c r="P166" s="12">
        <f>_xlfn.XLOOKUP(B166,[1]Sheet1!$B:$B,[1]Sheet1!$S:$S,0)</f>
        <v>0</v>
      </c>
      <c r="Q166" s="12">
        <f>_xlfn.XLOOKUP(B166,[1]Sheet1!$B:$B,[1]Sheet1!$T:$T,0)</f>
        <v>0</v>
      </c>
      <c r="R166" s="12">
        <f>_xlfn.XLOOKUP(B166,[1]Sheet1!$B:$B,[1]Sheet1!$U:$U,0)</f>
        <v>0</v>
      </c>
      <c r="S166" s="12">
        <f>_xlfn.XLOOKUP(B166,[1]Sheet1!$B:$B,[1]Sheet1!$V:$V,0)</f>
        <v>0</v>
      </c>
      <c r="T166" s="12">
        <f>_xlfn.XLOOKUP(B166,[1]Sheet1!$B:$B,[1]Sheet1!$W:$W,0)</f>
        <v>0</v>
      </c>
      <c r="U166" s="12">
        <f>_xlfn.XLOOKUP(B166,[1]Sheet1!$B:$B,[1]Sheet1!$X:$X,0)</f>
        <v>0</v>
      </c>
      <c r="V166" s="12">
        <f>_xlfn.XLOOKUP(B166,[1]Sheet1!$B:$B,[1]Sheet1!$Y:$Y,0)</f>
        <v>200000</v>
      </c>
      <c r="W166" s="12">
        <f t="shared" si="7"/>
        <v>200000</v>
      </c>
      <c r="X166" s="6" t="s">
        <v>373</v>
      </c>
      <c r="Y166" s="6" t="s">
        <v>65</v>
      </c>
      <c r="Z166" s="6" t="s">
        <v>66</v>
      </c>
      <c r="AA166" s="6" t="s">
        <v>151</v>
      </c>
      <c r="AB166" s="6" t="s">
        <v>36</v>
      </c>
      <c r="AC166" s="6" t="s">
        <v>37</v>
      </c>
      <c r="AD166" s="6" t="s">
        <v>69</v>
      </c>
      <c r="AE166" s="6" t="s">
        <v>39</v>
      </c>
      <c r="AF166" s="6" t="s">
        <v>40</v>
      </c>
      <c r="AG166" s="7">
        <v>200000</v>
      </c>
      <c r="AH166" s="11">
        <f>_xlfn.XLOOKUP(B166,[1]Sheet1!$B:$B,[1]Sheet1!$AB:$AB,0)</f>
        <v>200000</v>
      </c>
    </row>
    <row r="167" spans="2:34" ht="16.8" thickTop="1" thickBot="1" x14ac:dyDescent="0.35">
      <c r="B167" s="3" t="str">
        <f t="shared" si="6"/>
        <v>45112504511000266Utilities-N423931200104</v>
      </c>
      <c r="C167" s="8" t="s">
        <v>67</v>
      </c>
      <c r="D167" s="8" t="s">
        <v>369</v>
      </c>
      <c r="E167" s="8" t="s">
        <v>370</v>
      </c>
      <c r="F167" s="8" t="s">
        <v>110</v>
      </c>
      <c r="G167" s="4" t="s">
        <v>2818</v>
      </c>
      <c r="H167" s="4" t="s">
        <v>2922</v>
      </c>
      <c r="I167" s="8" t="s">
        <v>111</v>
      </c>
      <c r="J167" s="8" t="s">
        <v>31</v>
      </c>
      <c r="K167" s="12">
        <f>_xlfn.XLOOKUP(B167,[1]Sheet1!$B:$B,[1]Sheet1!$N:$N,0)</f>
        <v>0</v>
      </c>
      <c r="L167" s="12">
        <f>_xlfn.XLOOKUP(B167,[1]Sheet1!$B:$B,[1]Sheet1!$O:$O,0)</f>
        <v>0</v>
      </c>
      <c r="M167" s="12">
        <f>_xlfn.XLOOKUP(B167,[1]Sheet1!$B:$B,[1]Sheet1!$P:$P,0)</f>
        <v>0</v>
      </c>
      <c r="N167" s="12">
        <f>_xlfn.XLOOKUP(B167,[1]Sheet1!$B:$B,[1]Sheet1!$Q:$Q,0)</f>
        <v>100000</v>
      </c>
      <c r="O167" s="12">
        <f>_xlfn.XLOOKUP(B167,[1]Sheet1!$B:$B,[1]Sheet1!$R:$R,0)</f>
        <v>25000</v>
      </c>
      <c r="P167" s="12">
        <f>_xlfn.XLOOKUP(B167,[1]Sheet1!$B:$B,[1]Sheet1!$S:$S,0)</f>
        <v>25000</v>
      </c>
      <c r="Q167" s="12">
        <f>_xlfn.XLOOKUP(B167,[1]Sheet1!$B:$B,[1]Sheet1!$T:$T,0)</f>
        <v>25000</v>
      </c>
      <c r="R167" s="12">
        <f>_xlfn.XLOOKUP(B167,[1]Sheet1!$B:$B,[1]Sheet1!$U:$U,0)</f>
        <v>25000</v>
      </c>
      <c r="S167" s="12">
        <f>_xlfn.XLOOKUP(B167,[1]Sheet1!$B:$B,[1]Sheet1!$V:$V,0)</f>
        <v>25000</v>
      </c>
      <c r="T167" s="12">
        <f>_xlfn.XLOOKUP(B167,[1]Sheet1!$B:$B,[1]Sheet1!$W:$W,0)</f>
        <v>25000</v>
      </c>
      <c r="U167" s="12">
        <f>_xlfn.XLOOKUP(B167,[1]Sheet1!$B:$B,[1]Sheet1!$X:$X,0)</f>
        <v>25000</v>
      </c>
      <c r="V167" s="12">
        <f>_xlfn.XLOOKUP(B167,[1]Sheet1!$B:$B,[1]Sheet1!$Y:$Y,0)</f>
        <v>25000</v>
      </c>
      <c r="W167" s="12">
        <f t="shared" si="7"/>
        <v>300000</v>
      </c>
      <c r="X167" s="8" t="s">
        <v>112</v>
      </c>
      <c r="Y167" s="8" t="s">
        <v>65</v>
      </c>
      <c r="Z167" s="8" t="s">
        <v>66</v>
      </c>
      <c r="AA167" s="8" t="s">
        <v>111</v>
      </c>
      <c r="AB167" s="8" t="s">
        <v>36</v>
      </c>
      <c r="AC167" s="8" t="s">
        <v>37</v>
      </c>
      <c r="AD167" s="8" t="s">
        <v>69</v>
      </c>
      <c r="AE167" s="8" t="s">
        <v>39</v>
      </c>
      <c r="AF167" s="8" t="s">
        <v>40</v>
      </c>
      <c r="AG167" s="9">
        <v>300000</v>
      </c>
      <c r="AH167" s="11">
        <f>_xlfn.XLOOKUP(B167,[1]Sheet1!$B:$B,[1]Sheet1!$AB:$AB,0)</f>
        <v>300000</v>
      </c>
    </row>
    <row r="168" spans="2:34" ht="16.8" thickTop="1" thickBot="1" x14ac:dyDescent="0.35">
      <c r="B168" s="3" t="str">
        <f t="shared" si="6"/>
        <v>45112504511000277Art Materials-N1432626200104</v>
      </c>
      <c r="C168" s="6" t="s">
        <v>67</v>
      </c>
      <c r="D168" s="6" t="s">
        <v>374</v>
      </c>
      <c r="E168" s="6" t="s">
        <v>375</v>
      </c>
      <c r="F168" s="6" t="s">
        <v>75</v>
      </c>
      <c r="G168" s="4" t="s">
        <v>2809</v>
      </c>
      <c r="H168" s="4" t="s">
        <v>2922</v>
      </c>
      <c r="I168" s="6" t="s">
        <v>76</v>
      </c>
      <c r="J168" s="6" t="s">
        <v>31</v>
      </c>
      <c r="K168" s="12">
        <f>_xlfn.XLOOKUP(B168,[1]Sheet1!$B:$B,[1]Sheet1!$N:$N,0)</f>
        <v>0</v>
      </c>
      <c r="L168" s="12">
        <f>_xlfn.XLOOKUP(B168,[1]Sheet1!$B:$B,[1]Sheet1!$O:$O,0)</f>
        <v>0</v>
      </c>
      <c r="M168" s="12">
        <f>_xlfn.XLOOKUP(B168,[1]Sheet1!$B:$B,[1]Sheet1!$P:$P,0)</f>
        <v>0</v>
      </c>
      <c r="N168" s="12">
        <f>_xlfn.XLOOKUP(B168,[1]Sheet1!$B:$B,[1]Sheet1!$Q:$Q,0)</f>
        <v>15000</v>
      </c>
      <c r="O168" s="12">
        <f>_xlfn.XLOOKUP(B168,[1]Sheet1!$B:$B,[1]Sheet1!$R:$R,0)</f>
        <v>0</v>
      </c>
      <c r="P168" s="12">
        <f>_xlfn.XLOOKUP(B168,[1]Sheet1!$B:$B,[1]Sheet1!$S:$S,0)</f>
        <v>12000</v>
      </c>
      <c r="Q168" s="12">
        <f>_xlfn.XLOOKUP(B168,[1]Sheet1!$B:$B,[1]Sheet1!$T:$T,0)</f>
        <v>0</v>
      </c>
      <c r="R168" s="12">
        <f>_xlfn.XLOOKUP(B168,[1]Sheet1!$B:$B,[1]Sheet1!$U:$U,0)</f>
        <v>0</v>
      </c>
      <c r="S168" s="12">
        <f>_xlfn.XLOOKUP(B168,[1]Sheet1!$B:$B,[1]Sheet1!$V:$V,0)</f>
        <v>13000</v>
      </c>
      <c r="T168" s="12">
        <f>_xlfn.XLOOKUP(B168,[1]Sheet1!$B:$B,[1]Sheet1!$W:$W,0)</f>
        <v>0</v>
      </c>
      <c r="U168" s="12">
        <f>_xlfn.XLOOKUP(B168,[1]Sheet1!$B:$B,[1]Sheet1!$X:$X,0)</f>
        <v>0</v>
      </c>
      <c r="V168" s="12">
        <f>_xlfn.XLOOKUP(B168,[1]Sheet1!$B:$B,[1]Sheet1!$Y:$Y,0)</f>
        <v>15000</v>
      </c>
      <c r="W168" s="12">
        <f t="shared" si="7"/>
        <v>55000</v>
      </c>
      <c r="X168" s="6" t="s">
        <v>279</v>
      </c>
      <c r="Y168" s="6" t="s">
        <v>65</v>
      </c>
      <c r="Z168" s="6" t="s">
        <v>66</v>
      </c>
      <c r="AA168" s="6" t="s">
        <v>78</v>
      </c>
      <c r="AB168" s="6" t="s">
        <v>36</v>
      </c>
      <c r="AC168" s="6" t="s">
        <v>37</v>
      </c>
      <c r="AD168" s="6" t="s">
        <v>192</v>
      </c>
      <c r="AE168" s="6" t="s">
        <v>39</v>
      </c>
      <c r="AF168" s="6" t="s">
        <v>40</v>
      </c>
      <c r="AG168" s="7">
        <v>135000</v>
      </c>
      <c r="AH168" s="11">
        <f>_xlfn.XLOOKUP(B168,[1]Sheet1!$B:$B,[1]Sheet1!$AB:$AB,0)</f>
        <v>135000</v>
      </c>
    </row>
    <row r="169" spans="2:34" ht="16.8" thickTop="1" thickBot="1" x14ac:dyDescent="0.35">
      <c r="B169" s="3" t="str">
        <f t="shared" si="6"/>
        <v>45112504511000277Freelancers-N424521200104</v>
      </c>
      <c r="C169" s="8" t="s">
        <v>67</v>
      </c>
      <c r="D169" s="8" t="s">
        <v>374</v>
      </c>
      <c r="E169" s="8" t="s">
        <v>375</v>
      </c>
      <c r="F169" s="8" t="s">
        <v>50</v>
      </c>
      <c r="G169" s="4" t="s">
        <v>2804</v>
      </c>
      <c r="H169" s="4" t="s">
        <v>2922</v>
      </c>
      <c r="I169" s="8" t="s">
        <v>51</v>
      </c>
      <c r="J169" s="8" t="s">
        <v>31</v>
      </c>
      <c r="K169" s="12">
        <f>_xlfn.XLOOKUP(B169,[1]Sheet1!$B:$B,[1]Sheet1!$N:$N,0)</f>
        <v>0</v>
      </c>
      <c r="L169" s="12">
        <f>_xlfn.XLOOKUP(B169,[1]Sheet1!$B:$B,[1]Sheet1!$O:$O,0)</f>
        <v>54200</v>
      </c>
      <c r="M169" s="12">
        <f>_xlfn.XLOOKUP(B169,[1]Sheet1!$B:$B,[1]Sheet1!$P:$P,0)</f>
        <v>24650</v>
      </c>
      <c r="N169" s="12">
        <f>_xlfn.XLOOKUP(B169,[1]Sheet1!$B:$B,[1]Sheet1!$Q:$Q,0)</f>
        <v>291150</v>
      </c>
      <c r="O169" s="12">
        <f>_xlfn.XLOOKUP(B169,[1]Sheet1!$B:$B,[1]Sheet1!$R:$R,0)</f>
        <v>105000</v>
      </c>
      <c r="P169" s="12">
        <f>_xlfn.XLOOKUP(B169,[1]Sheet1!$B:$B,[1]Sheet1!$S:$S,0)</f>
        <v>100000</v>
      </c>
      <c r="Q169" s="12">
        <f>_xlfn.XLOOKUP(B169,[1]Sheet1!$B:$B,[1]Sheet1!$T:$T,0)</f>
        <v>105000</v>
      </c>
      <c r="R169" s="12">
        <f>_xlfn.XLOOKUP(B169,[1]Sheet1!$B:$B,[1]Sheet1!$U:$U,0)</f>
        <v>100000</v>
      </c>
      <c r="S169" s="12">
        <f>_xlfn.XLOOKUP(B169,[1]Sheet1!$B:$B,[1]Sheet1!$V:$V,0)</f>
        <v>100000</v>
      </c>
      <c r="T169" s="12">
        <f>_xlfn.XLOOKUP(B169,[1]Sheet1!$B:$B,[1]Sheet1!$W:$W,0)</f>
        <v>105000</v>
      </c>
      <c r="U169" s="12">
        <f>_xlfn.XLOOKUP(B169,[1]Sheet1!$B:$B,[1]Sheet1!$X:$X,0)</f>
        <v>115000</v>
      </c>
      <c r="V169" s="12">
        <f>_xlfn.XLOOKUP(B169,[1]Sheet1!$B:$B,[1]Sheet1!$Y:$Y,0)</f>
        <v>100000</v>
      </c>
      <c r="W169" s="12">
        <f t="shared" si="7"/>
        <v>1200000</v>
      </c>
      <c r="X169" s="8" t="s">
        <v>280</v>
      </c>
      <c r="Y169" s="8" t="s">
        <v>65</v>
      </c>
      <c r="Z169" s="8" t="s">
        <v>66</v>
      </c>
      <c r="AA169" s="8" t="s">
        <v>53</v>
      </c>
      <c r="AB169" s="8" t="s">
        <v>36</v>
      </c>
      <c r="AC169" s="8" t="s">
        <v>37</v>
      </c>
      <c r="AD169" s="8" t="s">
        <v>192</v>
      </c>
      <c r="AE169" s="8" t="s">
        <v>39</v>
      </c>
      <c r="AF169" s="8" t="s">
        <v>40</v>
      </c>
      <c r="AG169" s="9">
        <v>695600</v>
      </c>
      <c r="AH169" s="11">
        <f>_xlfn.XLOOKUP(B169,[1]Sheet1!$B:$B,[1]Sheet1!$AB:$AB,0)</f>
        <v>695600</v>
      </c>
    </row>
    <row r="170" spans="2:34" ht="16.8" thickTop="1" thickBot="1" x14ac:dyDescent="0.35">
      <c r="B170" s="3" t="str">
        <f t="shared" si="6"/>
        <v>45112504511000277Manpower-N424521200104</v>
      </c>
      <c r="C170" s="6" t="s">
        <v>67</v>
      </c>
      <c r="D170" s="6" t="s">
        <v>374</v>
      </c>
      <c r="E170" s="6" t="s">
        <v>375</v>
      </c>
      <c r="F170" s="6" t="s">
        <v>98</v>
      </c>
      <c r="G170" s="4" t="s">
        <v>2804</v>
      </c>
      <c r="H170" s="4" t="s">
        <v>2922</v>
      </c>
      <c r="I170" s="6" t="s">
        <v>51</v>
      </c>
      <c r="J170" s="6" t="s">
        <v>31</v>
      </c>
      <c r="K170" s="12">
        <f>_xlfn.XLOOKUP(B170,[1]Sheet1!$B:$B,[1]Sheet1!$N:$N,0)</f>
        <v>0</v>
      </c>
      <c r="L170" s="12">
        <f>_xlfn.XLOOKUP(B170,[1]Sheet1!$B:$B,[1]Sheet1!$O:$O,0)</f>
        <v>0</v>
      </c>
      <c r="M170" s="12">
        <f>_xlfn.XLOOKUP(B170,[1]Sheet1!$B:$B,[1]Sheet1!$P:$P,0)</f>
        <v>0</v>
      </c>
      <c r="N170" s="12">
        <f>_xlfn.XLOOKUP(B170,[1]Sheet1!$B:$B,[1]Sheet1!$Q:$Q,0)</f>
        <v>0</v>
      </c>
      <c r="O170" s="12">
        <f>_xlfn.XLOOKUP(B170,[1]Sheet1!$B:$B,[1]Sheet1!$R:$R,0)</f>
        <v>0</v>
      </c>
      <c r="P170" s="12">
        <f>_xlfn.XLOOKUP(B170,[1]Sheet1!$B:$B,[1]Sheet1!$S:$S,0)</f>
        <v>0</v>
      </c>
      <c r="Q170" s="12">
        <f>_xlfn.XLOOKUP(B170,[1]Sheet1!$B:$B,[1]Sheet1!$T:$T,0)</f>
        <v>0</v>
      </c>
      <c r="R170" s="12">
        <f>_xlfn.XLOOKUP(B170,[1]Sheet1!$B:$B,[1]Sheet1!$U:$U,0)</f>
        <v>0</v>
      </c>
      <c r="S170" s="12">
        <f>_xlfn.XLOOKUP(B170,[1]Sheet1!$B:$B,[1]Sheet1!$V:$V,0)</f>
        <v>0</v>
      </c>
      <c r="T170" s="12">
        <f>_xlfn.XLOOKUP(B170,[1]Sheet1!$B:$B,[1]Sheet1!$W:$W,0)</f>
        <v>0</v>
      </c>
      <c r="U170" s="12">
        <f>_xlfn.XLOOKUP(B170,[1]Sheet1!$B:$B,[1]Sheet1!$X:$X,0)</f>
        <v>0</v>
      </c>
      <c r="V170" s="12">
        <f>_xlfn.XLOOKUP(B170,[1]Sheet1!$B:$B,[1]Sheet1!$Y:$Y,0)</f>
        <v>0</v>
      </c>
      <c r="W170" s="12">
        <f t="shared" si="7"/>
        <v>0</v>
      </c>
      <c r="X170" s="6" t="s">
        <v>280</v>
      </c>
      <c r="Y170" s="6" t="s">
        <v>65</v>
      </c>
      <c r="Z170" s="6" t="s">
        <v>66</v>
      </c>
      <c r="AA170" s="6" t="s">
        <v>53</v>
      </c>
      <c r="AB170" s="6" t="s">
        <v>36</v>
      </c>
      <c r="AC170" s="6" t="s">
        <v>37</v>
      </c>
      <c r="AD170" s="6" t="s">
        <v>192</v>
      </c>
      <c r="AE170" s="6" t="s">
        <v>39</v>
      </c>
      <c r="AF170" s="6" t="s">
        <v>40</v>
      </c>
      <c r="AG170" s="7">
        <v>440000</v>
      </c>
      <c r="AH170" s="11">
        <f>_xlfn.XLOOKUP(B170,[1]Sheet1!$B:$B,[1]Sheet1!$AB:$AB,0)</f>
        <v>440000</v>
      </c>
    </row>
    <row r="171" spans="2:34" ht="16.8" thickTop="1" thickBot="1" x14ac:dyDescent="0.35">
      <c r="B171" s="3" t="str">
        <f t="shared" si="6"/>
        <v>45112504511000283Activation&amp;Prog-N422401200104</v>
      </c>
      <c r="C171" s="8" t="s">
        <v>67</v>
      </c>
      <c r="D171" s="8" t="s">
        <v>376</v>
      </c>
      <c r="E171" s="8" t="s">
        <v>377</v>
      </c>
      <c r="F171" s="8" t="s">
        <v>62</v>
      </c>
      <c r="G171" s="4" t="s">
        <v>2807</v>
      </c>
      <c r="H171" s="4" t="s">
        <v>2922</v>
      </c>
      <c r="I171" s="8" t="s">
        <v>63</v>
      </c>
      <c r="J171" s="8" t="s">
        <v>31</v>
      </c>
      <c r="K171" s="12">
        <f>_xlfn.XLOOKUP(B171,[1]Sheet1!$B:$B,[1]Sheet1!$N:$N,0)</f>
        <v>0</v>
      </c>
      <c r="L171" s="12">
        <f>_xlfn.XLOOKUP(B171,[1]Sheet1!$B:$B,[1]Sheet1!$O:$O,0)</f>
        <v>0</v>
      </c>
      <c r="M171" s="12">
        <f>_xlfn.XLOOKUP(B171,[1]Sheet1!$B:$B,[1]Sheet1!$P:$P,0)</f>
        <v>0</v>
      </c>
      <c r="N171" s="12">
        <f>_xlfn.XLOOKUP(B171,[1]Sheet1!$B:$B,[1]Sheet1!$Q:$Q,0)</f>
        <v>2000000</v>
      </c>
      <c r="O171" s="12">
        <f>_xlfn.XLOOKUP(B171,[1]Sheet1!$B:$B,[1]Sheet1!$R:$R,0)</f>
        <v>0</v>
      </c>
      <c r="P171" s="12">
        <f>_xlfn.XLOOKUP(B171,[1]Sheet1!$B:$B,[1]Sheet1!$S:$S,0)</f>
        <v>0</v>
      </c>
      <c r="Q171" s="12">
        <f>_xlfn.XLOOKUP(B171,[1]Sheet1!$B:$B,[1]Sheet1!$T:$T,0)</f>
        <v>0</v>
      </c>
      <c r="R171" s="12">
        <f>_xlfn.XLOOKUP(B171,[1]Sheet1!$B:$B,[1]Sheet1!$U:$U,0)</f>
        <v>0</v>
      </c>
      <c r="S171" s="12">
        <f>_xlfn.XLOOKUP(B171,[1]Sheet1!$B:$B,[1]Sheet1!$V:$V,0)</f>
        <v>0</v>
      </c>
      <c r="T171" s="12">
        <f>_xlfn.XLOOKUP(B171,[1]Sheet1!$B:$B,[1]Sheet1!$W:$W,0)</f>
        <v>160000</v>
      </c>
      <c r="U171" s="12">
        <f>_xlfn.XLOOKUP(B171,[1]Sheet1!$B:$B,[1]Sheet1!$X:$X,0)</f>
        <v>240000</v>
      </c>
      <c r="V171" s="12">
        <f>_xlfn.XLOOKUP(B171,[1]Sheet1!$B:$B,[1]Sheet1!$Y:$Y,0)</f>
        <v>1800000</v>
      </c>
      <c r="W171" s="12">
        <f t="shared" si="7"/>
        <v>4200000</v>
      </c>
      <c r="X171" s="8" t="s">
        <v>64</v>
      </c>
      <c r="Y171" s="8" t="s">
        <v>65</v>
      </c>
      <c r="Z171" s="8" t="s">
        <v>66</v>
      </c>
      <c r="AA171" s="8" t="s">
        <v>68</v>
      </c>
      <c r="AB171" s="8" t="s">
        <v>36</v>
      </c>
      <c r="AC171" s="8" t="s">
        <v>37</v>
      </c>
      <c r="AD171" s="8" t="s">
        <v>69</v>
      </c>
      <c r="AE171" s="8" t="s">
        <v>39</v>
      </c>
      <c r="AF171" s="8" t="s">
        <v>40</v>
      </c>
      <c r="AG171" s="9">
        <v>4443435</v>
      </c>
      <c r="AH171" s="11">
        <f>_xlfn.XLOOKUP(B171,[1]Sheet1!$B:$B,[1]Sheet1!$AB:$AB,0)</f>
        <v>4443435</v>
      </c>
    </row>
    <row r="172" spans="2:34" ht="16.8" thickTop="1" thickBot="1" x14ac:dyDescent="0.35">
      <c r="B172" s="3" t="str">
        <f t="shared" si="6"/>
        <v>45112504511000283Ad-hoc Repairs-N426427200104</v>
      </c>
      <c r="C172" s="6" t="s">
        <v>67</v>
      </c>
      <c r="D172" s="6" t="s">
        <v>376</v>
      </c>
      <c r="E172" s="6" t="s">
        <v>377</v>
      </c>
      <c r="F172" s="6" t="s">
        <v>70</v>
      </c>
      <c r="G172" s="4" t="s">
        <v>2808</v>
      </c>
      <c r="H172" s="4" t="s">
        <v>2922</v>
      </c>
      <c r="I172" s="6" t="s">
        <v>71</v>
      </c>
      <c r="J172" s="6" t="s">
        <v>31</v>
      </c>
      <c r="K172" s="12">
        <f>_xlfn.XLOOKUP(B172,[1]Sheet1!$B:$B,[1]Sheet1!$N:$N,0)</f>
        <v>0</v>
      </c>
      <c r="L172" s="12">
        <f>_xlfn.XLOOKUP(B172,[1]Sheet1!$B:$B,[1]Sheet1!$O:$O,0)</f>
        <v>0</v>
      </c>
      <c r="M172" s="12">
        <f>_xlfn.XLOOKUP(B172,[1]Sheet1!$B:$B,[1]Sheet1!$P:$P,0)</f>
        <v>0</v>
      </c>
      <c r="N172" s="12">
        <f>_xlfn.XLOOKUP(B172,[1]Sheet1!$B:$B,[1]Sheet1!$Q:$Q,0)</f>
        <v>333333.32799999998</v>
      </c>
      <c r="O172" s="12">
        <f>_xlfn.XLOOKUP(B172,[1]Sheet1!$B:$B,[1]Sheet1!$R:$R,0)</f>
        <v>83333.334000000003</v>
      </c>
      <c r="P172" s="12">
        <f>_xlfn.XLOOKUP(B172,[1]Sheet1!$B:$B,[1]Sheet1!$S:$S,0)</f>
        <v>83333.334000000003</v>
      </c>
      <c r="Q172" s="12">
        <f>_xlfn.XLOOKUP(B172,[1]Sheet1!$B:$B,[1]Sheet1!$T:$T,0)</f>
        <v>83333.334000000003</v>
      </c>
      <c r="R172" s="12">
        <f>_xlfn.XLOOKUP(B172,[1]Sheet1!$B:$B,[1]Sheet1!$U:$U,0)</f>
        <v>83333.334000000003</v>
      </c>
      <c r="S172" s="12">
        <f>_xlfn.XLOOKUP(B172,[1]Sheet1!$B:$B,[1]Sheet1!$V:$V,0)</f>
        <v>83333.334000000003</v>
      </c>
      <c r="T172" s="12">
        <f>_xlfn.XLOOKUP(B172,[1]Sheet1!$B:$B,[1]Sheet1!$W:$W,0)</f>
        <v>83333.334000000003</v>
      </c>
      <c r="U172" s="12">
        <f>_xlfn.XLOOKUP(B172,[1]Sheet1!$B:$B,[1]Sheet1!$X:$X,0)</f>
        <v>83333.334000000003</v>
      </c>
      <c r="V172" s="12">
        <f>_xlfn.XLOOKUP(B172,[1]Sheet1!$B:$B,[1]Sheet1!$Y:$Y,0)</f>
        <v>83333.334000000003</v>
      </c>
      <c r="W172" s="12">
        <f t="shared" si="7"/>
        <v>1000000.0000000002</v>
      </c>
      <c r="X172" s="6" t="s">
        <v>72</v>
      </c>
      <c r="Y172" s="6" t="s">
        <v>65</v>
      </c>
      <c r="Z172" s="6" t="s">
        <v>66</v>
      </c>
      <c r="AA172" s="6" t="s">
        <v>71</v>
      </c>
      <c r="AB172" s="6" t="s">
        <v>36</v>
      </c>
      <c r="AC172" s="6" t="s">
        <v>37</v>
      </c>
      <c r="AD172" s="6" t="s">
        <v>69</v>
      </c>
      <c r="AE172" s="6" t="s">
        <v>39</v>
      </c>
      <c r="AF172" s="6" t="s">
        <v>40</v>
      </c>
      <c r="AG172" s="7">
        <v>1000000</v>
      </c>
      <c r="AH172" s="11">
        <f>_xlfn.XLOOKUP(B172,[1]Sheet1!$B:$B,[1]Sheet1!$AB:$AB,0)</f>
        <v>1000000.0000000002</v>
      </c>
    </row>
    <row r="173" spans="2:34" ht="16.8" thickTop="1" thickBot="1" x14ac:dyDescent="0.35">
      <c r="B173" s="3" t="str">
        <f t="shared" si="6"/>
        <v>45112504511000283Admin Expenses-N1421125200104</v>
      </c>
      <c r="C173" s="8" t="s">
        <v>67</v>
      </c>
      <c r="D173" s="8" t="s">
        <v>376</v>
      </c>
      <c r="E173" s="8" t="s">
        <v>377</v>
      </c>
      <c r="F173" s="8" t="s">
        <v>73</v>
      </c>
      <c r="G173" s="4" t="s">
        <v>2803</v>
      </c>
      <c r="H173" s="4" t="s">
        <v>2922</v>
      </c>
      <c r="I173" s="8" t="s">
        <v>44</v>
      </c>
      <c r="J173" s="8" t="s">
        <v>31</v>
      </c>
      <c r="K173" s="12">
        <f>_xlfn.XLOOKUP(B173,[1]Sheet1!$B:$B,[1]Sheet1!$N:$N,0)</f>
        <v>0</v>
      </c>
      <c r="L173" s="12">
        <f>_xlfn.XLOOKUP(B173,[1]Sheet1!$B:$B,[1]Sheet1!$O:$O,0)</f>
        <v>0</v>
      </c>
      <c r="M173" s="12">
        <f>_xlfn.XLOOKUP(B173,[1]Sheet1!$B:$B,[1]Sheet1!$P:$P,0)</f>
        <v>40000</v>
      </c>
      <c r="N173" s="12">
        <f>_xlfn.XLOOKUP(B173,[1]Sheet1!$B:$B,[1]Sheet1!$Q:$Q,0)</f>
        <v>663334</v>
      </c>
      <c r="O173" s="12">
        <f>_xlfn.XLOOKUP(B173,[1]Sheet1!$B:$B,[1]Sheet1!$R:$R,0)</f>
        <v>175833.5</v>
      </c>
      <c r="P173" s="12">
        <f>_xlfn.XLOOKUP(B173,[1]Sheet1!$B:$B,[1]Sheet1!$S:$S,0)</f>
        <v>175833.5</v>
      </c>
      <c r="Q173" s="12">
        <f>_xlfn.XLOOKUP(B173,[1]Sheet1!$B:$B,[1]Sheet1!$T:$T,0)</f>
        <v>175833.5</v>
      </c>
      <c r="R173" s="12">
        <f>_xlfn.XLOOKUP(B173,[1]Sheet1!$B:$B,[1]Sheet1!$U:$U,0)</f>
        <v>175833.5</v>
      </c>
      <c r="S173" s="12">
        <f>_xlfn.XLOOKUP(B173,[1]Sheet1!$B:$B,[1]Sheet1!$V:$V,0)</f>
        <v>175833.5</v>
      </c>
      <c r="T173" s="12">
        <f>_xlfn.XLOOKUP(B173,[1]Sheet1!$B:$B,[1]Sheet1!$W:$W,0)</f>
        <v>175833.5</v>
      </c>
      <c r="U173" s="12">
        <f>_xlfn.XLOOKUP(B173,[1]Sheet1!$B:$B,[1]Sheet1!$X:$X,0)</f>
        <v>175833.5</v>
      </c>
      <c r="V173" s="12">
        <f>_xlfn.XLOOKUP(B173,[1]Sheet1!$B:$B,[1]Sheet1!$Y:$Y,0)</f>
        <v>175833.5</v>
      </c>
      <c r="W173" s="12">
        <f t="shared" si="7"/>
        <v>2110002</v>
      </c>
      <c r="X173" s="8" t="s">
        <v>74</v>
      </c>
      <c r="Y173" s="8" t="s">
        <v>65</v>
      </c>
      <c r="Z173" s="8" t="s">
        <v>66</v>
      </c>
      <c r="AA173" s="8" t="s">
        <v>44</v>
      </c>
      <c r="AB173" s="8" t="s">
        <v>36</v>
      </c>
      <c r="AC173" s="8" t="s">
        <v>37</v>
      </c>
      <c r="AD173" s="8" t="s">
        <v>69</v>
      </c>
      <c r="AE173" s="8" t="s">
        <v>39</v>
      </c>
      <c r="AF173" s="8" t="s">
        <v>40</v>
      </c>
      <c r="AG173" s="9">
        <v>2110002</v>
      </c>
      <c r="AH173" s="11">
        <f>_xlfn.XLOOKUP(B173,[1]Sheet1!$B:$B,[1]Sheet1!$AB:$AB,0)</f>
        <v>2110002</v>
      </c>
    </row>
    <row r="174" spans="2:34" ht="16.8" thickTop="1" thickBot="1" x14ac:dyDescent="0.35">
      <c r="B174" s="3" t="str">
        <f t="shared" si="6"/>
        <v>45112504511000283Cleaning Service-N422311200104</v>
      </c>
      <c r="C174" s="6" t="s">
        <v>67</v>
      </c>
      <c r="D174" s="6" t="s">
        <v>376</v>
      </c>
      <c r="E174" s="6" t="s">
        <v>377</v>
      </c>
      <c r="F174" s="6" t="s">
        <v>79</v>
      </c>
      <c r="G174" s="4" t="s">
        <v>2810</v>
      </c>
      <c r="H174" s="4" t="s">
        <v>2922</v>
      </c>
      <c r="I174" s="6" t="s">
        <v>80</v>
      </c>
      <c r="J174" s="6" t="s">
        <v>31</v>
      </c>
      <c r="K174" s="12">
        <f>_xlfn.XLOOKUP(B174,[1]Sheet1!$B:$B,[1]Sheet1!$N:$N,0)</f>
        <v>0</v>
      </c>
      <c r="L174" s="12">
        <f>_xlfn.XLOOKUP(B174,[1]Sheet1!$B:$B,[1]Sheet1!$O:$O,0)</f>
        <v>0</v>
      </c>
      <c r="M174" s="12">
        <f>_xlfn.XLOOKUP(B174,[1]Sheet1!$B:$B,[1]Sheet1!$P:$P,0)</f>
        <v>0</v>
      </c>
      <c r="N174" s="12">
        <f>_xlfn.XLOOKUP(B174,[1]Sheet1!$B:$B,[1]Sheet1!$Q:$Q,0)</f>
        <v>1738112.68</v>
      </c>
      <c r="O174" s="12">
        <f>_xlfn.XLOOKUP(B174,[1]Sheet1!$B:$B,[1]Sheet1!$R:$R,0)</f>
        <v>434528.17</v>
      </c>
      <c r="P174" s="12">
        <f>_xlfn.XLOOKUP(B174,[1]Sheet1!$B:$B,[1]Sheet1!$S:$S,0)</f>
        <v>434528.17</v>
      </c>
      <c r="Q174" s="12">
        <f>_xlfn.XLOOKUP(B174,[1]Sheet1!$B:$B,[1]Sheet1!$T:$T,0)</f>
        <v>434528.17</v>
      </c>
      <c r="R174" s="12">
        <f>_xlfn.XLOOKUP(B174,[1]Sheet1!$B:$B,[1]Sheet1!$U:$U,0)</f>
        <v>434528.17</v>
      </c>
      <c r="S174" s="12">
        <f>_xlfn.XLOOKUP(B174,[1]Sheet1!$B:$B,[1]Sheet1!$V:$V,0)</f>
        <v>434528.16</v>
      </c>
      <c r="T174" s="12">
        <f>_xlfn.XLOOKUP(B174,[1]Sheet1!$B:$B,[1]Sheet1!$W:$W,0)</f>
        <v>434528.16</v>
      </c>
      <c r="U174" s="12">
        <f>_xlfn.XLOOKUP(B174,[1]Sheet1!$B:$B,[1]Sheet1!$X:$X,0)</f>
        <v>434528.16</v>
      </c>
      <c r="V174" s="12">
        <f>_xlfn.XLOOKUP(B174,[1]Sheet1!$B:$B,[1]Sheet1!$Y:$Y,0)</f>
        <v>434528.16</v>
      </c>
      <c r="W174" s="12">
        <f t="shared" si="7"/>
        <v>5214338</v>
      </c>
      <c r="X174" s="6" t="s">
        <v>81</v>
      </c>
      <c r="Y174" s="6" t="s">
        <v>65</v>
      </c>
      <c r="Z174" s="6" t="s">
        <v>66</v>
      </c>
      <c r="AA174" s="6" t="s">
        <v>80</v>
      </c>
      <c r="AB174" s="6" t="s">
        <v>36</v>
      </c>
      <c r="AC174" s="6" t="s">
        <v>37</v>
      </c>
      <c r="AD174" s="6" t="s">
        <v>69</v>
      </c>
      <c r="AE174" s="6" t="s">
        <v>39</v>
      </c>
      <c r="AF174" s="6" t="s">
        <v>40</v>
      </c>
      <c r="AG174" s="7">
        <v>5214338</v>
      </c>
      <c r="AH174" s="11">
        <f>_xlfn.XLOOKUP(B174,[1]Sheet1!$B:$B,[1]Sheet1!$AB:$AB,0)</f>
        <v>5214338</v>
      </c>
    </row>
    <row r="175" spans="2:34" ht="16.8" thickTop="1" thickBot="1" x14ac:dyDescent="0.35">
      <c r="B175" s="3" t="str">
        <f t="shared" si="6"/>
        <v>45112504511000283Concept Develop-N423411200104</v>
      </c>
      <c r="C175" s="8" t="s">
        <v>67</v>
      </c>
      <c r="D175" s="8" t="s">
        <v>376</v>
      </c>
      <c r="E175" s="8" t="s">
        <v>377</v>
      </c>
      <c r="F175" s="8" t="s">
        <v>378</v>
      </c>
      <c r="G175" s="4" t="s">
        <v>2833</v>
      </c>
      <c r="H175" s="4" t="s">
        <v>2922</v>
      </c>
      <c r="I175" s="8" t="s">
        <v>330</v>
      </c>
      <c r="J175" s="8" t="s">
        <v>31</v>
      </c>
      <c r="K175" s="12">
        <f>_xlfn.XLOOKUP(B175,[1]Sheet1!$B:$B,[1]Sheet1!$N:$N,0)</f>
        <v>0</v>
      </c>
      <c r="L175" s="12">
        <f>_xlfn.XLOOKUP(B175,[1]Sheet1!$B:$B,[1]Sheet1!$O:$O,0)</f>
        <v>0</v>
      </c>
      <c r="M175" s="12">
        <f>_xlfn.XLOOKUP(B175,[1]Sheet1!$B:$B,[1]Sheet1!$P:$P,0)</f>
        <v>0</v>
      </c>
      <c r="N175" s="12">
        <f>_xlfn.XLOOKUP(B175,[1]Sheet1!$B:$B,[1]Sheet1!$Q:$Q,0)</f>
        <v>0</v>
      </c>
      <c r="O175" s="12">
        <f>_xlfn.XLOOKUP(B175,[1]Sheet1!$B:$B,[1]Sheet1!$R:$R,0)</f>
        <v>0</v>
      </c>
      <c r="P175" s="12">
        <f>_xlfn.XLOOKUP(B175,[1]Sheet1!$B:$B,[1]Sheet1!$S:$S,0)</f>
        <v>0</v>
      </c>
      <c r="Q175" s="12">
        <f>_xlfn.XLOOKUP(B175,[1]Sheet1!$B:$B,[1]Sheet1!$T:$T,0)</f>
        <v>0</v>
      </c>
      <c r="R175" s="12">
        <f>_xlfn.XLOOKUP(B175,[1]Sheet1!$B:$B,[1]Sheet1!$U:$U,0)</f>
        <v>0</v>
      </c>
      <c r="S175" s="12">
        <f>_xlfn.XLOOKUP(B175,[1]Sheet1!$B:$B,[1]Sheet1!$V:$V,0)</f>
        <v>0</v>
      </c>
      <c r="T175" s="12">
        <f>_xlfn.XLOOKUP(B175,[1]Sheet1!$B:$B,[1]Sheet1!$W:$W,0)</f>
        <v>0</v>
      </c>
      <c r="U175" s="12">
        <f>_xlfn.XLOOKUP(B175,[1]Sheet1!$B:$B,[1]Sheet1!$X:$X,0)</f>
        <v>0</v>
      </c>
      <c r="V175" s="12">
        <f>_xlfn.XLOOKUP(B175,[1]Sheet1!$B:$B,[1]Sheet1!$Y:$Y,0)</f>
        <v>360000</v>
      </c>
      <c r="W175" s="12">
        <f t="shared" si="7"/>
        <v>360000</v>
      </c>
      <c r="X175" s="8" t="s">
        <v>379</v>
      </c>
      <c r="Y175" s="8" t="s">
        <v>65</v>
      </c>
      <c r="Z175" s="8" t="s">
        <v>66</v>
      </c>
      <c r="AA175" s="8" t="s">
        <v>330</v>
      </c>
      <c r="AB175" s="8" t="s">
        <v>36</v>
      </c>
      <c r="AC175" s="8" t="s">
        <v>37</v>
      </c>
      <c r="AD175" s="8" t="s">
        <v>69</v>
      </c>
      <c r="AE175" s="8" t="s">
        <v>39</v>
      </c>
      <c r="AF175" s="8" t="s">
        <v>40</v>
      </c>
      <c r="AG175" s="9">
        <v>315000</v>
      </c>
      <c r="AH175" s="11">
        <f>_xlfn.XLOOKUP(B175,[1]Sheet1!$B:$B,[1]Sheet1!$AB:$AB,0)</f>
        <v>315000</v>
      </c>
    </row>
    <row r="176" spans="2:34" ht="16.8" thickTop="1" thickBot="1" x14ac:dyDescent="0.35">
      <c r="B176" s="3" t="str">
        <f t="shared" si="6"/>
        <v>45112504511000283FM Mgmnt (E-E)-N426212200104</v>
      </c>
      <c r="C176" s="6" t="s">
        <v>67</v>
      </c>
      <c r="D176" s="6" t="s">
        <v>376</v>
      </c>
      <c r="E176" s="6" t="s">
        <v>377</v>
      </c>
      <c r="F176" s="6" t="s">
        <v>380</v>
      </c>
      <c r="G176" s="4" t="s">
        <v>2814</v>
      </c>
      <c r="H176" s="4" t="s">
        <v>2922</v>
      </c>
      <c r="I176" s="6" t="s">
        <v>96</v>
      </c>
      <c r="J176" s="6" t="s">
        <v>31</v>
      </c>
      <c r="K176" s="12">
        <f>_xlfn.XLOOKUP(B176,[1]Sheet1!$B:$B,[1]Sheet1!$N:$N,0)</f>
        <v>0</v>
      </c>
      <c r="L176" s="12">
        <f>_xlfn.XLOOKUP(B176,[1]Sheet1!$B:$B,[1]Sheet1!$O:$O,0)</f>
        <v>0</v>
      </c>
      <c r="M176" s="12">
        <f>_xlfn.XLOOKUP(B176,[1]Sheet1!$B:$B,[1]Sheet1!$P:$P,0)</f>
        <v>0</v>
      </c>
      <c r="N176" s="12">
        <f>_xlfn.XLOOKUP(B176,[1]Sheet1!$B:$B,[1]Sheet1!$Q:$Q,0)</f>
        <v>408434.68</v>
      </c>
      <c r="O176" s="12">
        <f>_xlfn.XLOOKUP(B176,[1]Sheet1!$B:$B,[1]Sheet1!$R:$R,0)</f>
        <v>102108.67</v>
      </c>
      <c r="P176" s="12">
        <f>_xlfn.XLOOKUP(B176,[1]Sheet1!$B:$B,[1]Sheet1!$S:$S,0)</f>
        <v>102108.67</v>
      </c>
      <c r="Q176" s="12">
        <f>_xlfn.XLOOKUP(B176,[1]Sheet1!$B:$B,[1]Sheet1!$T:$T,0)</f>
        <v>102108.67</v>
      </c>
      <c r="R176" s="12">
        <f>_xlfn.XLOOKUP(B176,[1]Sheet1!$B:$B,[1]Sheet1!$U:$U,0)</f>
        <v>102108.67</v>
      </c>
      <c r="S176" s="12">
        <f>_xlfn.XLOOKUP(B176,[1]Sheet1!$B:$B,[1]Sheet1!$V:$V,0)</f>
        <v>102108.66</v>
      </c>
      <c r="T176" s="12">
        <f>_xlfn.XLOOKUP(B176,[1]Sheet1!$B:$B,[1]Sheet1!$W:$W,0)</f>
        <v>102108.66</v>
      </c>
      <c r="U176" s="12">
        <f>_xlfn.XLOOKUP(B176,[1]Sheet1!$B:$B,[1]Sheet1!$X:$X,0)</f>
        <v>102108.66</v>
      </c>
      <c r="V176" s="12">
        <f>_xlfn.XLOOKUP(B176,[1]Sheet1!$B:$B,[1]Sheet1!$Y:$Y,0)</f>
        <v>102108.66</v>
      </c>
      <c r="W176" s="12">
        <f t="shared" si="7"/>
        <v>1225304</v>
      </c>
      <c r="X176" s="6" t="s">
        <v>97</v>
      </c>
      <c r="Y176" s="6" t="s">
        <v>65</v>
      </c>
      <c r="Z176" s="6" t="s">
        <v>66</v>
      </c>
      <c r="AA176" s="6" t="s">
        <v>96</v>
      </c>
      <c r="AB176" s="6" t="s">
        <v>36</v>
      </c>
      <c r="AC176" s="6" t="s">
        <v>37</v>
      </c>
      <c r="AD176" s="6" t="s">
        <v>69</v>
      </c>
      <c r="AE176" s="6" t="s">
        <v>39</v>
      </c>
      <c r="AF176" s="6" t="s">
        <v>40</v>
      </c>
      <c r="AG176" s="7">
        <v>1225304</v>
      </c>
      <c r="AH176" s="11">
        <f>_xlfn.XLOOKUP(B176,[1]Sheet1!$B:$B,[1]Sheet1!$AB:$AB,0)</f>
        <v>1225304</v>
      </c>
    </row>
    <row r="177" spans="2:34" ht="16.8" thickTop="1" thickBot="1" x14ac:dyDescent="0.35">
      <c r="B177" s="3" t="str">
        <f t="shared" si="6"/>
        <v>45112504511000283Freelancers-N424521200104</v>
      </c>
      <c r="C177" s="8" t="s">
        <v>67</v>
      </c>
      <c r="D177" s="8" t="s">
        <v>376</v>
      </c>
      <c r="E177" s="8" t="s">
        <v>377</v>
      </c>
      <c r="F177" s="8" t="s">
        <v>50</v>
      </c>
      <c r="G177" s="4" t="s">
        <v>2804</v>
      </c>
      <c r="H177" s="4" t="s">
        <v>2922</v>
      </c>
      <c r="I177" s="8" t="s">
        <v>51</v>
      </c>
      <c r="J177" s="8" t="s">
        <v>31</v>
      </c>
      <c r="K177" s="12">
        <f>_xlfn.XLOOKUP(B177,[1]Sheet1!$B:$B,[1]Sheet1!$N:$N,0)</f>
        <v>0</v>
      </c>
      <c r="L177" s="12">
        <f>_xlfn.XLOOKUP(B177,[1]Sheet1!$B:$B,[1]Sheet1!$O:$O,0)</f>
        <v>0</v>
      </c>
      <c r="M177" s="12">
        <f>_xlfn.XLOOKUP(B177,[1]Sheet1!$B:$B,[1]Sheet1!$P:$P,0)</f>
        <v>20000</v>
      </c>
      <c r="N177" s="12">
        <f>_xlfn.XLOOKUP(B177,[1]Sheet1!$B:$B,[1]Sheet1!$Q:$Q,0)</f>
        <v>20000</v>
      </c>
      <c r="O177" s="12">
        <f>_xlfn.XLOOKUP(B177,[1]Sheet1!$B:$B,[1]Sheet1!$R:$R,0)</f>
        <v>10000</v>
      </c>
      <c r="P177" s="12">
        <f>_xlfn.XLOOKUP(B177,[1]Sheet1!$B:$B,[1]Sheet1!$S:$S,0)</f>
        <v>10000</v>
      </c>
      <c r="Q177" s="12">
        <f>_xlfn.XLOOKUP(B177,[1]Sheet1!$B:$B,[1]Sheet1!$T:$T,0)</f>
        <v>10000</v>
      </c>
      <c r="R177" s="12">
        <f>_xlfn.XLOOKUP(B177,[1]Sheet1!$B:$B,[1]Sheet1!$U:$U,0)</f>
        <v>10000</v>
      </c>
      <c r="S177" s="12">
        <f>_xlfn.XLOOKUP(B177,[1]Sheet1!$B:$B,[1]Sheet1!$V:$V,0)</f>
        <v>10000</v>
      </c>
      <c r="T177" s="12">
        <f>_xlfn.XLOOKUP(B177,[1]Sheet1!$B:$B,[1]Sheet1!$W:$W,0)</f>
        <v>10000</v>
      </c>
      <c r="U177" s="12">
        <f>_xlfn.XLOOKUP(B177,[1]Sheet1!$B:$B,[1]Sheet1!$X:$X,0)</f>
        <v>10000</v>
      </c>
      <c r="V177" s="12">
        <f>_xlfn.XLOOKUP(B177,[1]Sheet1!$B:$B,[1]Sheet1!$Y:$Y,0)</f>
        <v>10000</v>
      </c>
      <c r="W177" s="12">
        <f t="shared" si="7"/>
        <v>120000</v>
      </c>
      <c r="X177" s="8" t="s">
        <v>82</v>
      </c>
      <c r="Y177" s="8" t="s">
        <v>65</v>
      </c>
      <c r="Z177" s="8" t="s">
        <v>66</v>
      </c>
      <c r="AA177" s="8" t="s">
        <v>53</v>
      </c>
      <c r="AB177" s="8" t="s">
        <v>36</v>
      </c>
      <c r="AC177" s="8" t="s">
        <v>37</v>
      </c>
      <c r="AD177" s="8" t="s">
        <v>69</v>
      </c>
      <c r="AE177" s="8" t="s">
        <v>39</v>
      </c>
      <c r="AF177" s="8" t="s">
        <v>40</v>
      </c>
      <c r="AG177" s="9">
        <v>228000</v>
      </c>
      <c r="AH177" s="11">
        <f>_xlfn.XLOOKUP(B177,[1]Sheet1!$B:$B,[1]Sheet1!$AB:$AB,0)</f>
        <v>228000</v>
      </c>
    </row>
    <row r="178" spans="2:34" ht="16.8" thickTop="1" thickBot="1" x14ac:dyDescent="0.35">
      <c r="B178" s="3" t="str">
        <f t="shared" si="6"/>
        <v>45112504511000283Hospitality-N424761200104</v>
      </c>
      <c r="C178" s="6" t="s">
        <v>67</v>
      </c>
      <c r="D178" s="6" t="s">
        <v>376</v>
      </c>
      <c r="E178" s="6" t="s">
        <v>377</v>
      </c>
      <c r="F178" s="6" t="s">
        <v>83</v>
      </c>
      <c r="G178" s="4" t="s">
        <v>2811</v>
      </c>
      <c r="H178" s="4" t="s">
        <v>2922</v>
      </c>
      <c r="I178" s="6" t="s">
        <v>84</v>
      </c>
      <c r="J178" s="6" t="s">
        <v>31</v>
      </c>
      <c r="K178" s="12">
        <f>_xlfn.XLOOKUP(B178,[1]Sheet1!$B:$B,[1]Sheet1!$N:$N,0)</f>
        <v>0</v>
      </c>
      <c r="L178" s="12">
        <f>_xlfn.XLOOKUP(B178,[1]Sheet1!$B:$B,[1]Sheet1!$O:$O,0)</f>
        <v>0</v>
      </c>
      <c r="M178" s="12">
        <f>_xlfn.XLOOKUP(B178,[1]Sheet1!$B:$B,[1]Sheet1!$P:$P,0)</f>
        <v>0</v>
      </c>
      <c r="N178" s="12">
        <f>_xlfn.XLOOKUP(B178,[1]Sheet1!$B:$B,[1]Sheet1!$Q:$Q,0)</f>
        <v>111926</v>
      </c>
      <c r="O178" s="12">
        <f>_xlfn.XLOOKUP(B178,[1]Sheet1!$B:$B,[1]Sheet1!$R:$R,0)</f>
        <v>27981.5</v>
      </c>
      <c r="P178" s="12">
        <f>_xlfn.XLOOKUP(B178,[1]Sheet1!$B:$B,[1]Sheet1!$S:$S,0)</f>
        <v>27981.5</v>
      </c>
      <c r="Q178" s="12">
        <f>_xlfn.XLOOKUP(B178,[1]Sheet1!$B:$B,[1]Sheet1!$T:$T,0)</f>
        <v>27981.5</v>
      </c>
      <c r="R178" s="12">
        <f>_xlfn.XLOOKUP(B178,[1]Sheet1!$B:$B,[1]Sheet1!$U:$U,0)</f>
        <v>27981.5</v>
      </c>
      <c r="S178" s="12">
        <f>_xlfn.XLOOKUP(B178,[1]Sheet1!$B:$B,[1]Sheet1!$V:$V,0)</f>
        <v>27981.5</v>
      </c>
      <c r="T178" s="12">
        <f>_xlfn.XLOOKUP(B178,[1]Sheet1!$B:$B,[1]Sheet1!$W:$W,0)</f>
        <v>27981.5</v>
      </c>
      <c r="U178" s="12">
        <f>_xlfn.XLOOKUP(B178,[1]Sheet1!$B:$B,[1]Sheet1!$X:$X,0)</f>
        <v>27981.5</v>
      </c>
      <c r="V178" s="12">
        <f>_xlfn.XLOOKUP(B178,[1]Sheet1!$B:$B,[1]Sheet1!$Y:$Y,0)</f>
        <v>27981.5</v>
      </c>
      <c r="W178" s="12">
        <f t="shared" si="7"/>
        <v>335778</v>
      </c>
      <c r="X178" s="6" t="s">
        <v>85</v>
      </c>
      <c r="Y178" s="6" t="s">
        <v>65</v>
      </c>
      <c r="Z178" s="6" t="s">
        <v>66</v>
      </c>
      <c r="AA178" s="6" t="s">
        <v>84</v>
      </c>
      <c r="AB178" s="6" t="s">
        <v>36</v>
      </c>
      <c r="AC178" s="6" t="s">
        <v>37</v>
      </c>
      <c r="AD178" s="6" t="s">
        <v>69</v>
      </c>
      <c r="AE178" s="6" t="s">
        <v>39</v>
      </c>
      <c r="AF178" s="6" t="s">
        <v>40</v>
      </c>
      <c r="AG178" s="7">
        <v>335778</v>
      </c>
      <c r="AH178" s="11">
        <f>_xlfn.XLOOKUP(B178,[1]Sheet1!$B:$B,[1]Sheet1!$AB:$AB,0)</f>
        <v>335778</v>
      </c>
    </row>
    <row r="179" spans="2:34" ht="16.8" thickTop="1" thickBot="1" x14ac:dyDescent="0.35">
      <c r="B179" s="3" t="str">
        <f t="shared" si="6"/>
        <v>45112504511000283Landscaping-N432614200104</v>
      </c>
      <c r="C179" s="8" t="s">
        <v>67</v>
      </c>
      <c r="D179" s="8" t="s">
        <v>376</v>
      </c>
      <c r="E179" s="8" t="s">
        <v>377</v>
      </c>
      <c r="F179" s="8" t="s">
        <v>86</v>
      </c>
      <c r="G179" s="4" t="s">
        <v>2812</v>
      </c>
      <c r="H179" s="4" t="s">
        <v>2922</v>
      </c>
      <c r="I179" s="8" t="s">
        <v>87</v>
      </c>
      <c r="J179" s="8" t="s">
        <v>31</v>
      </c>
      <c r="K179" s="12">
        <f>_xlfn.XLOOKUP(B179,[1]Sheet1!$B:$B,[1]Sheet1!$N:$N,0)</f>
        <v>0</v>
      </c>
      <c r="L179" s="12">
        <f>_xlfn.XLOOKUP(B179,[1]Sheet1!$B:$B,[1]Sheet1!$O:$O,0)</f>
        <v>0</v>
      </c>
      <c r="M179" s="12">
        <f>_xlfn.XLOOKUP(B179,[1]Sheet1!$B:$B,[1]Sheet1!$P:$P,0)</f>
        <v>0</v>
      </c>
      <c r="N179" s="12">
        <f>_xlfn.XLOOKUP(B179,[1]Sheet1!$B:$B,[1]Sheet1!$Q:$Q,0)</f>
        <v>194444.68</v>
      </c>
      <c r="O179" s="12">
        <f>_xlfn.XLOOKUP(B179,[1]Sheet1!$B:$B,[1]Sheet1!$R:$R,0)</f>
        <v>48611.17</v>
      </c>
      <c r="P179" s="12">
        <f>_xlfn.XLOOKUP(B179,[1]Sheet1!$B:$B,[1]Sheet1!$S:$S,0)</f>
        <v>48611.17</v>
      </c>
      <c r="Q179" s="12">
        <f>_xlfn.XLOOKUP(B179,[1]Sheet1!$B:$B,[1]Sheet1!$T:$T,0)</f>
        <v>48611.17</v>
      </c>
      <c r="R179" s="12">
        <f>_xlfn.XLOOKUP(B179,[1]Sheet1!$B:$B,[1]Sheet1!$U:$U,0)</f>
        <v>48611.17</v>
      </c>
      <c r="S179" s="12">
        <f>_xlfn.XLOOKUP(B179,[1]Sheet1!$B:$B,[1]Sheet1!$V:$V,0)</f>
        <v>48611.16</v>
      </c>
      <c r="T179" s="12">
        <f>_xlfn.XLOOKUP(B179,[1]Sheet1!$B:$B,[1]Sheet1!$W:$W,0)</f>
        <v>48611.16</v>
      </c>
      <c r="U179" s="12">
        <f>_xlfn.XLOOKUP(B179,[1]Sheet1!$B:$B,[1]Sheet1!$X:$X,0)</f>
        <v>48611.16</v>
      </c>
      <c r="V179" s="12">
        <f>_xlfn.XLOOKUP(B179,[1]Sheet1!$B:$B,[1]Sheet1!$Y:$Y,0)</f>
        <v>48611.16</v>
      </c>
      <c r="W179" s="12">
        <f t="shared" si="7"/>
        <v>583334</v>
      </c>
      <c r="X179" s="8" t="s">
        <v>88</v>
      </c>
      <c r="Y179" s="8" t="s">
        <v>65</v>
      </c>
      <c r="Z179" s="8" t="s">
        <v>66</v>
      </c>
      <c r="AA179" s="8" t="s">
        <v>87</v>
      </c>
      <c r="AB179" s="8" t="s">
        <v>36</v>
      </c>
      <c r="AC179" s="8" t="s">
        <v>37</v>
      </c>
      <c r="AD179" s="8" t="s">
        <v>69</v>
      </c>
      <c r="AE179" s="8" t="s">
        <v>39</v>
      </c>
      <c r="AF179" s="8" t="s">
        <v>40</v>
      </c>
      <c r="AG179" s="9">
        <v>583334</v>
      </c>
      <c r="AH179" s="11">
        <f>_xlfn.XLOOKUP(B179,[1]Sheet1!$B:$B,[1]Sheet1!$AB:$AB,0)</f>
        <v>583334</v>
      </c>
    </row>
    <row r="180" spans="2:34" ht="16.8" thickTop="1" thickBot="1" x14ac:dyDescent="0.35">
      <c r="B180" s="3" t="str">
        <f t="shared" si="6"/>
        <v>45112504511000283Lease Improve-N490600300105</v>
      </c>
      <c r="C180" s="6" t="s">
        <v>67</v>
      </c>
      <c r="D180" s="6" t="s">
        <v>376</v>
      </c>
      <c r="E180" s="6" t="s">
        <v>377</v>
      </c>
      <c r="F180" s="6" t="s">
        <v>89</v>
      </c>
      <c r="G180" s="4" t="s">
        <v>2813</v>
      </c>
      <c r="H180" s="4" t="s">
        <v>2923</v>
      </c>
      <c r="I180" s="6" t="s">
        <v>90</v>
      </c>
      <c r="J180" s="6" t="s">
        <v>31</v>
      </c>
      <c r="K180" s="12">
        <f>_xlfn.XLOOKUP(B180,[1]Sheet1!$B:$B,[1]Sheet1!$N:$N,0)</f>
        <v>0</v>
      </c>
      <c r="L180" s="12">
        <f>_xlfn.XLOOKUP(B180,[1]Sheet1!$B:$B,[1]Sheet1!$O:$O,0)</f>
        <v>0</v>
      </c>
      <c r="M180" s="12">
        <f>_xlfn.XLOOKUP(B180,[1]Sheet1!$B:$B,[1]Sheet1!$P:$P,0)</f>
        <v>0</v>
      </c>
      <c r="N180" s="12">
        <f>_xlfn.XLOOKUP(B180,[1]Sheet1!$B:$B,[1]Sheet1!$Q:$Q,0)</f>
        <v>0</v>
      </c>
      <c r="O180" s="12">
        <f>_xlfn.XLOOKUP(B180,[1]Sheet1!$B:$B,[1]Sheet1!$R:$R,0)</f>
        <v>0</v>
      </c>
      <c r="P180" s="12">
        <f>_xlfn.XLOOKUP(B180,[1]Sheet1!$B:$B,[1]Sheet1!$S:$S,0)</f>
        <v>0</v>
      </c>
      <c r="Q180" s="12">
        <f>_xlfn.XLOOKUP(B180,[1]Sheet1!$B:$B,[1]Sheet1!$T:$T,0)</f>
        <v>0</v>
      </c>
      <c r="R180" s="12">
        <f>_xlfn.XLOOKUP(B180,[1]Sheet1!$B:$B,[1]Sheet1!$U:$U,0)</f>
        <v>0</v>
      </c>
      <c r="S180" s="12">
        <f>_xlfn.XLOOKUP(B180,[1]Sheet1!$B:$B,[1]Sheet1!$V:$V,0)</f>
        <v>0</v>
      </c>
      <c r="T180" s="12">
        <f>_xlfn.XLOOKUP(B180,[1]Sheet1!$B:$B,[1]Sheet1!$W:$W,0)</f>
        <v>1500000</v>
      </c>
      <c r="U180" s="12">
        <f>_xlfn.XLOOKUP(B180,[1]Sheet1!$B:$B,[1]Sheet1!$X:$X,0)</f>
        <v>0</v>
      </c>
      <c r="V180" s="12">
        <f>_xlfn.XLOOKUP(B180,[1]Sheet1!$B:$B,[1]Sheet1!$Y:$Y,0)</f>
        <v>0</v>
      </c>
      <c r="W180" s="12">
        <f t="shared" si="7"/>
        <v>1500000</v>
      </c>
      <c r="X180" s="6" t="s">
        <v>91</v>
      </c>
      <c r="Y180" s="6" t="s">
        <v>65</v>
      </c>
      <c r="Z180" s="6" t="s">
        <v>66</v>
      </c>
      <c r="AA180" s="6" t="s">
        <v>92</v>
      </c>
      <c r="AB180" s="6" t="s">
        <v>93</v>
      </c>
      <c r="AC180" s="6" t="s">
        <v>94</v>
      </c>
      <c r="AD180" s="6" t="s">
        <v>69</v>
      </c>
      <c r="AE180" s="6" t="s">
        <v>39</v>
      </c>
      <c r="AF180" s="6" t="s">
        <v>40</v>
      </c>
      <c r="AG180" s="7">
        <v>1499999.9</v>
      </c>
      <c r="AH180" s="11">
        <f>_xlfn.XLOOKUP(B180,[1]Sheet1!$B:$B,[1]Sheet1!$AB:$AB,0)</f>
        <v>1500000</v>
      </c>
    </row>
    <row r="181" spans="2:34" ht="16.8" thickTop="1" thickBot="1" x14ac:dyDescent="0.35">
      <c r="B181" s="3" t="str">
        <f t="shared" si="6"/>
        <v>45112504511000283Maintenance-N426212200104</v>
      </c>
      <c r="C181" s="8" t="s">
        <v>67</v>
      </c>
      <c r="D181" s="8" t="s">
        <v>376</v>
      </c>
      <c r="E181" s="8" t="s">
        <v>377</v>
      </c>
      <c r="F181" s="8" t="s">
        <v>95</v>
      </c>
      <c r="G181" s="4" t="s">
        <v>2814</v>
      </c>
      <c r="H181" s="4" t="s">
        <v>2922</v>
      </c>
      <c r="I181" s="8" t="s">
        <v>96</v>
      </c>
      <c r="J181" s="8" t="s">
        <v>31</v>
      </c>
      <c r="K181" s="12">
        <f>_xlfn.XLOOKUP(B181,[1]Sheet1!$B:$B,[1]Sheet1!$N:$N,0)</f>
        <v>0</v>
      </c>
      <c r="L181" s="12">
        <f>_xlfn.XLOOKUP(B181,[1]Sheet1!$B:$B,[1]Sheet1!$O:$O,0)</f>
        <v>0</v>
      </c>
      <c r="M181" s="12">
        <f>_xlfn.XLOOKUP(B181,[1]Sheet1!$B:$B,[1]Sheet1!$P:$P,0)</f>
        <v>0</v>
      </c>
      <c r="N181" s="12">
        <f>_xlfn.XLOOKUP(B181,[1]Sheet1!$B:$B,[1]Sheet1!$Q:$Q,0)</f>
        <v>1151010.68</v>
      </c>
      <c r="O181" s="12">
        <f>_xlfn.XLOOKUP(B181,[1]Sheet1!$B:$B,[1]Sheet1!$R:$R,0)</f>
        <v>287752.67</v>
      </c>
      <c r="P181" s="12">
        <f>_xlfn.XLOOKUP(B181,[1]Sheet1!$B:$B,[1]Sheet1!$S:$S,0)</f>
        <v>287752.67</v>
      </c>
      <c r="Q181" s="12">
        <f>_xlfn.XLOOKUP(B181,[1]Sheet1!$B:$B,[1]Sheet1!$T:$T,0)</f>
        <v>287752.67</v>
      </c>
      <c r="R181" s="12">
        <f>_xlfn.XLOOKUP(B181,[1]Sheet1!$B:$B,[1]Sheet1!$U:$U,0)</f>
        <v>287752.67</v>
      </c>
      <c r="S181" s="12">
        <f>_xlfn.XLOOKUP(B181,[1]Sheet1!$B:$B,[1]Sheet1!$V:$V,0)</f>
        <v>287752.65999999997</v>
      </c>
      <c r="T181" s="12">
        <f>_xlfn.XLOOKUP(B181,[1]Sheet1!$B:$B,[1]Sheet1!$W:$W,0)</f>
        <v>287752.65999999997</v>
      </c>
      <c r="U181" s="12">
        <f>_xlfn.XLOOKUP(B181,[1]Sheet1!$B:$B,[1]Sheet1!$X:$X,0)</f>
        <v>287752.65999999997</v>
      </c>
      <c r="V181" s="12">
        <f>_xlfn.XLOOKUP(B181,[1]Sheet1!$B:$B,[1]Sheet1!$Y:$Y,0)</f>
        <v>287752.65999999997</v>
      </c>
      <c r="W181" s="12">
        <f t="shared" si="7"/>
        <v>3453032.0000000005</v>
      </c>
      <c r="X181" s="8" t="s">
        <v>97</v>
      </c>
      <c r="Y181" s="8" t="s">
        <v>65</v>
      </c>
      <c r="Z181" s="8" t="s">
        <v>66</v>
      </c>
      <c r="AA181" s="8" t="s">
        <v>96</v>
      </c>
      <c r="AB181" s="8" t="s">
        <v>36</v>
      </c>
      <c r="AC181" s="8" t="s">
        <v>37</v>
      </c>
      <c r="AD181" s="8" t="s">
        <v>69</v>
      </c>
      <c r="AE181" s="8" t="s">
        <v>39</v>
      </c>
      <c r="AF181" s="8" t="s">
        <v>40</v>
      </c>
      <c r="AG181" s="9">
        <v>3453032</v>
      </c>
      <c r="AH181" s="11">
        <f>_xlfn.XLOOKUP(B181,[1]Sheet1!$B:$B,[1]Sheet1!$AB:$AB,0)</f>
        <v>3453032.0000000005</v>
      </c>
    </row>
    <row r="182" spans="2:34" ht="16.8" thickTop="1" thickBot="1" x14ac:dyDescent="0.35">
      <c r="B182" s="3" t="str">
        <f t="shared" si="6"/>
        <v>45112504511000283Manpower-N424521200104</v>
      </c>
      <c r="C182" s="6" t="s">
        <v>67</v>
      </c>
      <c r="D182" s="6" t="s">
        <v>376</v>
      </c>
      <c r="E182" s="6" t="s">
        <v>377</v>
      </c>
      <c r="F182" s="6" t="s">
        <v>98</v>
      </c>
      <c r="G182" s="4" t="s">
        <v>2804</v>
      </c>
      <c r="H182" s="4" t="s">
        <v>2922</v>
      </c>
      <c r="I182" s="6" t="s">
        <v>51</v>
      </c>
      <c r="J182" s="6" t="s">
        <v>31</v>
      </c>
      <c r="K182" s="12">
        <f>_xlfn.XLOOKUP(B182,[1]Sheet1!$B:$B,[1]Sheet1!$N:$N,0)</f>
        <v>0</v>
      </c>
      <c r="L182" s="12">
        <f>_xlfn.XLOOKUP(B182,[1]Sheet1!$B:$B,[1]Sheet1!$O:$O,0)</f>
        <v>0</v>
      </c>
      <c r="M182" s="12">
        <f>_xlfn.XLOOKUP(B182,[1]Sheet1!$B:$B,[1]Sheet1!$P:$P,0)</f>
        <v>0</v>
      </c>
      <c r="N182" s="12">
        <f>_xlfn.XLOOKUP(B182,[1]Sheet1!$B:$B,[1]Sheet1!$Q:$Q,0)</f>
        <v>829505</v>
      </c>
      <c r="O182" s="12">
        <f>_xlfn.XLOOKUP(B182,[1]Sheet1!$B:$B,[1]Sheet1!$R:$R,0)</f>
        <v>207376.25</v>
      </c>
      <c r="P182" s="12">
        <f>_xlfn.XLOOKUP(B182,[1]Sheet1!$B:$B,[1]Sheet1!$S:$S,0)</f>
        <v>207376.25</v>
      </c>
      <c r="Q182" s="12">
        <f>_xlfn.XLOOKUP(B182,[1]Sheet1!$B:$B,[1]Sheet1!$T:$T,0)</f>
        <v>207376.25</v>
      </c>
      <c r="R182" s="12">
        <f>_xlfn.XLOOKUP(B182,[1]Sheet1!$B:$B,[1]Sheet1!$U:$U,0)</f>
        <v>207376.25</v>
      </c>
      <c r="S182" s="12">
        <f>_xlfn.XLOOKUP(B182,[1]Sheet1!$B:$B,[1]Sheet1!$V:$V,0)</f>
        <v>207376.25</v>
      </c>
      <c r="T182" s="12">
        <f>_xlfn.XLOOKUP(B182,[1]Sheet1!$B:$B,[1]Sheet1!$W:$W,0)</f>
        <v>207376.25</v>
      </c>
      <c r="U182" s="12">
        <f>_xlfn.XLOOKUP(B182,[1]Sheet1!$B:$B,[1]Sheet1!$X:$X,0)</f>
        <v>207376.25</v>
      </c>
      <c r="V182" s="12">
        <f>_xlfn.XLOOKUP(B182,[1]Sheet1!$B:$B,[1]Sheet1!$Y:$Y,0)</f>
        <v>207376.25</v>
      </c>
      <c r="W182" s="12">
        <f t="shared" si="7"/>
        <v>2488515</v>
      </c>
      <c r="X182" s="6" t="s">
        <v>82</v>
      </c>
      <c r="Y182" s="6" t="s">
        <v>65</v>
      </c>
      <c r="Z182" s="6" t="s">
        <v>66</v>
      </c>
      <c r="AA182" s="6" t="s">
        <v>53</v>
      </c>
      <c r="AB182" s="6" t="s">
        <v>36</v>
      </c>
      <c r="AC182" s="6" t="s">
        <v>37</v>
      </c>
      <c r="AD182" s="6" t="s">
        <v>69</v>
      </c>
      <c r="AE182" s="6" t="s">
        <v>39</v>
      </c>
      <c r="AF182" s="6" t="s">
        <v>40</v>
      </c>
      <c r="AG182" s="7">
        <v>2501605</v>
      </c>
      <c r="AH182" s="11">
        <f>_xlfn.XLOOKUP(B182,[1]Sheet1!$B:$B,[1]Sheet1!$AB:$AB,0)</f>
        <v>2501605</v>
      </c>
    </row>
    <row r="183" spans="2:34" ht="16.8" thickTop="1" thickBot="1" x14ac:dyDescent="0.35">
      <c r="B183" s="3" t="str">
        <f t="shared" si="6"/>
        <v>45115504511000283Media Mgmnt &amp;Buy-N422511200104</v>
      </c>
      <c r="C183" s="8" t="s">
        <v>154</v>
      </c>
      <c r="D183" s="8" t="s">
        <v>376</v>
      </c>
      <c r="E183" s="8" t="s">
        <v>377</v>
      </c>
      <c r="F183" s="8" t="s">
        <v>166</v>
      </c>
      <c r="G183" s="4" t="s">
        <v>2819</v>
      </c>
      <c r="H183" s="4" t="s">
        <v>2922</v>
      </c>
      <c r="I183" s="8" t="s">
        <v>151</v>
      </c>
      <c r="J183" s="8" t="s">
        <v>31</v>
      </c>
      <c r="K183" s="12">
        <f>_xlfn.XLOOKUP(B183,[1]Sheet1!$B:$B,[1]Sheet1!$N:$N,0)</f>
        <v>0</v>
      </c>
      <c r="L183" s="12">
        <f>_xlfn.XLOOKUP(B183,[1]Sheet1!$B:$B,[1]Sheet1!$O:$O,0)</f>
        <v>0</v>
      </c>
      <c r="M183" s="12">
        <f>_xlfn.XLOOKUP(B183,[1]Sheet1!$B:$B,[1]Sheet1!$P:$P,0)</f>
        <v>0</v>
      </c>
      <c r="N183" s="12">
        <f>_xlfn.XLOOKUP(B183,[1]Sheet1!$B:$B,[1]Sheet1!$Q:$Q,0)</f>
        <v>203834</v>
      </c>
      <c r="O183" s="12">
        <f>_xlfn.XLOOKUP(B183,[1]Sheet1!$B:$B,[1]Sheet1!$R:$R,0)</f>
        <v>50958.5</v>
      </c>
      <c r="P183" s="12">
        <f>_xlfn.XLOOKUP(B183,[1]Sheet1!$B:$B,[1]Sheet1!$S:$S,0)</f>
        <v>50958.5</v>
      </c>
      <c r="Q183" s="12">
        <f>_xlfn.XLOOKUP(B183,[1]Sheet1!$B:$B,[1]Sheet1!$T:$T,0)</f>
        <v>50958.5</v>
      </c>
      <c r="R183" s="12">
        <f>_xlfn.XLOOKUP(B183,[1]Sheet1!$B:$B,[1]Sheet1!$U:$U,0)</f>
        <v>50958.5</v>
      </c>
      <c r="S183" s="12">
        <f>_xlfn.XLOOKUP(B183,[1]Sheet1!$B:$B,[1]Sheet1!$V:$V,0)</f>
        <v>50958.5</v>
      </c>
      <c r="T183" s="12">
        <f>_xlfn.XLOOKUP(B183,[1]Sheet1!$B:$B,[1]Sheet1!$W:$W,0)</f>
        <v>50958.5</v>
      </c>
      <c r="U183" s="12">
        <f>_xlfn.XLOOKUP(B183,[1]Sheet1!$B:$B,[1]Sheet1!$X:$X,0)</f>
        <v>50958.5</v>
      </c>
      <c r="V183" s="12">
        <f>_xlfn.XLOOKUP(B183,[1]Sheet1!$B:$B,[1]Sheet1!$Y:$Y,0)</f>
        <v>50958.5</v>
      </c>
      <c r="W183" s="12">
        <f t="shared" si="7"/>
        <v>611502</v>
      </c>
      <c r="X183" s="8" t="s">
        <v>152</v>
      </c>
      <c r="Y183" s="8" t="s">
        <v>65</v>
      </c>
      <c r="Z183" s="8" t="s">
        <v>153</v>
      </c>
      <c r="AA183" s="8" t="s">
        <v>151</v>
      </c>
      <c r="AB183" s="8" t="s">
        <v>36</v>
      </c>
      <c r="AC183" s="8" t="s">
        <v>37</v>
      </c>
      <c r="AD183" s="8" t="s">
        <v>69</v>
      </c>
      <c r="AE183" s="8" t="s">
        <v>39</v>
      </c>
      <c r="AF183" s="8" t="s">
        <v>40</v>
      </c>
      <c r="AG183" s="9">
        <v>611502</v>
      </c>
      <c r="AH183" s="11">
        <f>_xlfn.XLOOKUP(B183,[1]Sheet1!$B:$B,[1]Sheet1!$AB:$AB,0)</f>
        <v>611502</v>
      </c>
    </row>
    <row r="184" spans="2:34" ht="16.8" thickTop="1" thickBot="1" x14ac:dyDescent="0.35">
      <c r="B184" s="3" t="str">
        <f t="shared" si="6"/>
        <v>45112504511000283Pest Control-N422321200104</v>
      </c>
      <c r="C184" s="6" t="s">
        <v>67</v>
      </c>
      <c r="D184" s="6" t="s">
        <v>376</v>
      </c>
      <c r="E184" s="6" t="s">
        <v>377</v>
      </c>
      <c r="F184" s="6" t="s">
        <v>103</v>
      </c>
      <c r="G184" s="4" t="s">
        <v>2816</v>
      </c>
      <c r="H184" s="4" t="s">
        <v>2922</v>
      </c>
      <c r="I184" s="6" t="s">
        <v>104</v>
      </c>
      <c r="J184" s="6" t="s">
        <v>31</v>
      </c>
      <c r="K184" s="12">
        <f>_xlfn.XLOOKUP(B184,[1]Sheet1!$B:$B,[1]Sheet1!$N:$N,0)</f>
        <v>0</v>
      </c>
      <c r="L184" s="12">
        <f>_xlfn.XLOOKUP(B184,[1]Sheet1!$B:$B,[1]Sheet1!$O:$O,0)</f>
        <v>0</v>
      </c>
      <c r="M184" s="12">
        <f>_xlfn.XLOOKUP(B184,[1]Sheet1!$B:$B,[1]Sheet1!$P:$P,0)</f>
        <v>0</v>
      </c>
      <c r="N184" s="12">
        <f>_xlfn.XLOOKUP(B184,[1]Sheet1!$B:$B,[1]Sheet1!$Q:$Q,0)</f>
        <v>36231.360000000001</v>
      </c>
      <c r="O184" s="12">
        <f>_xlfn.XLOOKUP(B184,[1]Sheet1!$B:$B,[1]Sheet1!$R:$R,0)</f>
        <v>9057.83</v>
      </c>
      <c r="P184" s="12">
        <f>_xlfn.XLOOKUP(B184,[1]Sheet1!$B:$B,[1]Sheet1!$S:$S,0)</f>
        <v>9057.83</v>
      </c>
      <c r="Q184" s="12">
        <f>_xlfn.XLOOKUP(B184,[1]Sheet1!$B:$B,[1]Sheet1!$T:$T,0)</f>
        <v>9057.83</v>
      </c>
      <c r="R184" s="12">
        <f>_xlfn.XLOOKUP(B184,[1]Sheet1!$B:$B,[1]Sheet1!$U:$U,0)</f>
        <v>9057.83</v>
      </c>
      <c r="S184" s="12">
        <f>_xlfn.XLOOKUP(B184,[1]Sheet1!$B:$B,[1]Sheet1!$V:$V,0)</f>
        <v>9057.83</v>
      </c>
      <c r="T184" s="12">
        <f>_xlfn.XLOOKUP(B184,[1]Sheet1!$B:$B,[1]Sheet1!$W:$W,0)</f>
        <v>9057.83</v>
      </c>
      <c r="U184" s="12">
        <f>_xlfn.XLOOKUP(B184,[1]Sheet1!$B:$B,[1]Sheet1!$X:$X,0)</f>
        <v>9057.83</v>
      </c>
      <c r="V184" s="12">
        <f>_xlfn.XLOOKUP(B184,[1]Sheet1!$B:$B,[1]Sheet1!$Y:$Y,0)</f>
        <v>9057.83</v>
      </c>
      <c r="W184" s="12">
        <f t="shared" si="7"/>
        <v>108694.00000000001</v>
      </c>
      <c r="X184" s="6" t="s">
        <v>105</v>
      </c>
      <c r="Y184" s="6" t="s">
        <v>65</v>
      </c>
      <c r="Z184" s="6" t="s">
        <v>66</v>
      </c>
      <c r="AA184" s="6" t="s">
        <v>106</v>
      </c>
      <c r="AB184" s="6" t="s">
        <v>36</v>
      </c>
      <c r="AC184" s="6" t="s">
        <v>37</v>
      </c>
      <c r="AD184" s="6" t="s">
        <v>69</v>
      </c>
      <c r="AE184" s="6" t="s">
        <v>39</v>
      </c>
      <c r="AF184" s="6" t="s">
        <v>40</v>
      </c>
      <c r="AG184" s="7">
        <v>108694</v>
      </c>
      <c r="AH184" s="11">
        <f>_xlfn.XLOOKUP(B184,[1]Sheet1!$B:$B,[1]Sheet1!$AB:$AB,0)</f>
        <v>108694.00000000001</v>
      </c>
    </row>
    <row r="185" spans="2:34" ht="16.8" thickTop="1" thickBot="1" x14ac:dyDescent="0.35">
      <c r="B185" s="3" t="str">
        <f t="shared" si="6"/>
        <v>45112504511000283Research&amp;Survey-N423411200104</v>
      </c>
      <c r="C185" s="8" t="s">
        <v>67</v>
      </c>
      <c r="D185" s="8" t="s">
        <v>376</v>
      </c>
      <c r="E185" s="8" t="s">
        <v>377</v>
      </c>
      <c r="F185" s="8" t="s">
        <v>381</v>
      </c>
      <c r="G185" s="4" t="s">
        <v>2833</v>
      </c>
      <c r="H185" s="4" t="s">
        <v>2922</v>
      </c>
      <c r="I185" s="8" t="s">
        <v>330</v>
      </c>
      <c r="J185" s="8" t="s">
        <v>31</v>
      </c>
      <c r="K185" s="12">
        <f>_xlfn.XLOOKUP(B185,[1]Sheet1!$B:$B,[1]Sheet1!$N:$N,0)</f>
        <v>0</v>
      </c>
      <c r="L185" s="12">
        <f>_xlfn.XLOOKUP(B185,[1]Sheet1!$B:$B,[1]Sheet1!$O:$O,0)</f>
        <v>0</v>
      </c>
      <c r="M185" s="12">
        <f>_xlfn.XLOOKUP(B185,[1]Sheet1!$B:$B,[1]Sheet1!$P:$P,0)</f>
        <v>0</v>
      </c>
      <c r="N185" s="12">
        <f>_xlfn.XLOOKUP(B185,[1]Sheet1!$B:$B,[1]Sheet1!$Q:$Q,0)</f>
        <v>72000</v>
      </c>
      <c r="O185" s="12">
        <f>_xlfn.XLOOKUP(B185,[1]Sheet1!$B:$B,[1]Sheet1!$R:$R,0)</f>
        <v>18000</v>
      </c>
      <c r="P185" s="12">
        <f>_xlfn.XLOOKUP(B185,[1]Sheet1!$B:$B,[1]Sheet1!$S:$S,0)</f>
        <v>18000</v>
      </c>
      <c r="Q185" s="12">
        <f>_xlfn.XLOOKUP(B185,[1]Sheet1!$B:$B,[1]Sheet1!$T:$T,0)</f>
        <v>18000</v>
      </c>
      <c r="R185" s="12">
        <f>_xlfn.XLOOKUP(B185,[1]Sheet1!$B:$B,[1]Sheet1!$U:$U,0)</f>
        <v>18000</v>
      </c>
      <c r="S185" s="12">
        <f>_xlfn.XLOOKUP(B185,[1]Sheet1!$B:$B,[1]Sheet1!$V:$V,0)</f>
        <v>18000</v>
      </c>
      <c r="T185" s="12">
        <f>_xlfn.XLOOKUP(B185,[1]Sheet1!$B:$B,[1]Sheet1!$W:$W,0)</f>
        <v>18000</v>
      </c>
      <c r="U185" s="12">
        <f>_xlfn.XLOOKUP(B185,[1]Sheet1!$B:$B,[1]Sheet1!$X:$X,0)</f>
        <v>18000</v>
      </c>
      <c r="V185" s="12">
        <f>_xlfn.XLOOKUP(B185,[1]Sheet1!$B:$B,[1]Sheet1!$Y:$Y,0)</f>
        <v>27000</v>
      </c>
      <c r="W185" s="12">
        <f t="shared" si="7"/>
        <v>225000</v>
      </c>
      <c r="X185" s="8" t="s">
        <v>379</v>
      </c>
      <c r="Y185" s="8" t="s">
        <v>65</v>
      </c>
      <c r="Z185" s="8" t="s">
        <v>66</v>
      </c>
      <c r="AA185" s="8" t="s">
        <v>330</v>
      </c>
      <c r="AB185" s="8" t="s">
        <v>36</v>
      </c>
      <c r="AC185" s="8" t="s">
        <v>37</v>
      </c>
      <c r="AD185" s="8" t="s">
        <v>69</v>
      </c>
      <c r="AE185" s="8" t="s">
        <v>39</v>
      </c>
      <c r="AF185" s="8" t="s">
        <v>40</v>
      </c>
      <c r="AG185" s="9">
        <v>162000</v>
      </c>
      <c r="AH185" s="11">
        <f>_xlfn.XLOOKUP(B185,[1]Sheet1!$B:$B,[1]Sheet1!$AB:$AB,0)</f>
        <v>162000</v>
      </c>
    </row>
    <row r="186" spans="2:34" ht="16.8" thickTop="1" thickBot="1" x14ac:dyDescent="0.35">
      <c r="B186" s="3" t="str">
        <f t="shared" si="6"/>
        <v>45115504511000283SM Managnt E-E-N422511200104</v>
      </c>
      <c r="C186" s="6" t="s">
        <v>154</v>
      </c>
      <c r="D186" s="6" t="s">
        <v>376</v>
      </c>
      <c r="E186" s="6" t="s">
        <v>377</v>
      </c>
      <c r="F186" s="6" t="s">
        <v>255</v>
      </c>
      <c r="G186" s="4" t="s">
        <v>2819</v>
      </c>
      <c r="H186" s="4" t="s">
        <v>2922</v>
      </c>
      <c r="I186" s="6" t="s">
        <v>151</v>
      </c>
      <c r="J186" s="6" t="s">
        <v>31</v>
      </c>
      <c r="K186" s="12">
        <f>_xlfn.XLOOKUP(B186,[1]Sheet1!$B:$B,[1]Sheet1!$N:$N,0)</f>
        <v>0</v>
      </c>
      <c r="L186" s="12">
        <f>_xlfn.XLOOKUP(B186,[1]Sheet1!$B:$B,[1]Sheet1!$O:$O,0)</f>
        <v>0</v>
      </c>
      <c r="M186" s="12">
        <f>_xlfn.XLOOKUP(B186,[1]Sheet1!$B:$B,[1]Sheet1!$P:$P,0)</f>
        <v>0</v>
      </c>
      <c r="N186" s="12">
        <f>_xlfn.XLOOKUP(B186,[1]Sheet1!$B:$B,[1]Sheet1!$Q:$Q,0)</f>
        <v>133333.33333333323</v>
      </c>
      <c r="O186" s="12">
        <f>_xlfn.XLOOKUP(B186,[1]Sheet1!$B:$B,[1]Sheet1!$R:$R,0)</f>
        <v>33333.333333333336</v>
      </c>
      <c r="P186" s="12">
        <f>_xlfn.XLOOKUP(B186,[1]Sheet1!$B:$B,[1]Sheet1!$S:$S,0)</f>
        <v>33333.333333333336</v>
      </c>
      <c r="Q186" s="12">
        <f>_xlfn.XLOOKUP(B186,[1]Sheet1!$B:$B,[1]Sheet1!$T:$T,0)</f>
        <v>33333.333333333336</v>
      </c>
      <c r="R186" s="12">
        <f>_xlfn.XLOOKUP(B186,[1]Sheet1!$B:$B,[1]Sheet1!$U:$U,0)</f>
        <v>33333.333333333336</v>
      </c>
      <c r="S186" s="12">
        <f>_xlfn.XLOOKUP(B186,[1]Sheet1!$B:$B,[1]Sheet1!$V:$V,0)</f>
        <v>33333.333333333336</v>
      </c>
      <c r="T186" s="12">
        <f>_xlfn.XLOOKUP(B186,[1]Sheet1!$B:$B,[1]Sheet1!$W:$W,0)</f>
        <v>33333.333333333336</v>
      </c>
      <c r="U186" s="12">
        <f>_xlfn.XLOOKUP(B186,[1]Sheet1!$B:$B,[1]Sheet1!$X:$X,0)</f>
        <v>33333.333333333336</v>
      </c>
      <c r="V186" s="12">
        <f>_xlfn.XLOOKUP(B186,[1]Sheet1!$B:$B,[1]Sheet1!$Y:$Y,0)</f>
        <v>33333.333333333336</v>
      </c>
      <c r="W186" s="12">
        <f t="shared" si="7"/>
        <v>399999.99999999983</v>
      </c>
      <c r="X186" s="6" t="s">
        <v>152</v>
      </c>
      <c r="Y186" s="6" t="s">
        <v>65</v>
      </c>
      <c r="Z186" s="6" t="s">
        <v>153</v>
      </c>
      <c r="AA186" s="6" t="s">
        <v>151</v>
      </c>
      <c r="AB186" s="6" t="s">
        <v>36</v>
      </c>
      <c r="AC186" s="6" t="s">
        <v>37</v>
      </c>
      <c r="AD186" s="6" t="s">
        <v>69</v>
      </c>
      <c r="AE186" s="6" t="s">
        <v>39</v>
      </c>
      <c r="AF186" s="6" t="s">
        <v>40</v>
      </c>
      <c r="AG186" s="7">
        <v>400000</v>
      </c>
      <c r="AH186" s="11">
        <f>_xlfn.XLOOKUP(B186,[1]Sheet1!$B:$B,[1]Sheet1!$AB:$AB,0)</f>
        <v>399999.99999999983</v>
      </c>
    </row>
    <row r="187" spans="2:34" ht="16.8" thickTop="1" thickBot="1" x14ac:dyDescent="0.35">
      <c r="B187" s="3" t="str">
        <f t="shared" si="6"/>
        <v>45112504511000283Security Service-N424551200104</v>
      </c>
      <c r="C187" s="8" t="s">
        <v>67</v>
      </c>
      <c r="D187" s="8" t="s">
        <v>376</v>
      </c>
      <c r="E187" s="8" t="s">
        <v>377</v>
      </c>
      <c r="F187" s="8" t="s">
        <v>107</v>
      </c>
      <c r="G187" s="4" t="s">
        <v>2817</v>
      </c>
      <c r="H187" s="4" t="s">
        <v>2922</v>
      </c>
      <c r="I187" s="8" t="s">
        <v>108</v>
      </c>
      <c r="J187" s="8" t="s">
        <v>31</v>
      </c>
      <c r="K187" s="12">
        <f>_xlfn.XLOOKUP(B187,[1]Sheet1!$B:$B,[1]Sheet1!$N:$N,0)</f>
        <v>0</v>
      </c>
      <c r="L187" s="12">
        <f>_xlfn.XLOOKUP(B187,[1]Sheet1!$B:$B,[1]Sheet1!$O:$O,0)</f>
        <v>0</v>
      </c>
      <c r="M187" s="12">
        <f>_xlfn.XLOOKUP(B187,[1]Sheet1!$B:$B,[1]Sheet1!$P:$P,0)</f>
        <v>0</v>
      </c>
      <c r="N187" s="12">
        <f>_xlfn.XLOOKUP(B187,[1]Sheet1!$B:$B,[1]Sheet1!$Q:$Q,0)</f>
        <v>1509080</v>
      </c>
      <c r="O187" s="12">
        <f>_xlfn.XLOOKUP(B187,[1]Sheet1!$B:$B,[1]Sheet1!$R:$R,0)</f>
        <v>377270</v>
      </c>
      <c r="P187" s="12">
        <f>_xlfn.XLOOKUP(B187,[1]Sheet1!$B:$B,[1]Sheet1!$S:$S,0)</f>
        <v>377270</v>
      </c>
      <c r="Q187" s="12">
        <f>_xlfn.XLOOKUP(B187,[1]Sheet1!$B:$B,[1]Sheet1!$T:$T,0)</f>
        <v>377270</v>
      </c>
      <c r="R187" s="12">
        <f>_xlfn.XLOOKUP(B187,[1]Sheet1!$B:$B,[1]Sheet1!$U:$U,0)</f>
        <v>377270</v>
      </c>
      <c r="S187" s="12">
        <f>_xlfn.XLOOKUP(B187,[1]Sheet1!$B:$B,[1]Sheet1!$V:$V,0)</f>
        <v>377270</v>
      </c>
      <c r="T187" s="12">
        <f>_xlfn.XLOOKUP(B187,[1]Sheet1!$B:$B,[1]Sheet1!$W:$W,0)</f>
        <v>377270</v>
      </c>
      <c r="U187" s="12">
        <f>_xlfn.XLOOKUP(B187,[1]Sheet1!$B:$B,[1]Sheet1!$X:$X,0)</f>
        <v>377270</v>
      </c>
      <c r="V187" s="12">
        <f>_xlfn.XLOOKUP(B187,[1]Sheet1!$B:$B,[1]Sheet1!$Y:$Y,0)</f>
        <v>377270</v>
      </c>
      <c r="W187" s="12">
        <f t="shared" si="7"/>
        <v>4527240</v>
      </c>
      <c r="X187" s="8" t="s">
        <v>109</v>
      </c>
      <c r="Y187" s="8" t="s">
        <v>65</v>
      </c>
      <c r="Z187" s="8" t="s">
        <v>66</v>
      </c>
      <c r="AA187" s="8" t="s">
        <v>108</v>
      </c>
      <c r="AB187" s="8" t="s">
        <v>36</v>
      </c>
      <c r="AC187" s="8" t="s">
        <v>37</v>
      </c>
      <c r="AD187" s="8" t="s">
        <v>69</v>
      </c>
      <c r="AE187" s="8" t="s">
        <v>39</v>
      </c>
      <c r="AF187" s="8" t="s">
        <v>40</v>
      </c>
      <c r="AG187" s="9">
        <v>4527240</v>
      </c>
      <c r="AH187" s="11">
        <f>_xlfn.XLOOKUP(B187,[1]Sheet1!$B:$B,[1]Sheet1!$AB:$AB,0)</f>
        <v>4527240</v>
      </c>
    </row>
    <row r="188" spans="2:34" ht="16.8" thickTop="1" thickBot="1" x14ac:dyDescent="0.35">
      <c r="B188" s="3" t="str">
        <f t="shared" si="6"/>
        <v>45112504511000283Utilities-N423931200104</v>
      </c>
      <c r="C188" s="6" t="s">
        <v>67</v>
      </c>
      <c r="D188" s="6" t="s">
        <v>376</v>
      </c>
      <c r="E188" s="6" t="s">
        <v>377</v>
      </c>
      <c r="F188" s="6" t="s">
        <v>110</v>
      </c>
      <c r="G188" s="4" t="s">
        <v>2818</v>
      </c>
      <c r="H188" s="4" t="s">
        <v>2922</v>
      </c>
      <c r="I188" s="6" t="s">
        <v>111</v>
      </c>
      <c r="J188" s="6" t="s">
        <v>31</v>
      </c>
      <c r="K188" s="12">
        <f>_xlfn.XLOOKUP(B188,[1]Sheet1!$B:$B,[1]Sheet1!$N:$N,0)</f>
        <v>0</v>
      </c>
      <c r="L188" s="12">
        <f>_xlfn.XLOOKUP(B188,[1]Sheet1!$B:$B,[1]Sheet1!$O:$O,0)</f>
        <v>0</v>
      </c>
      <c r="M188" s="12">
        <f>_xlfn.XLOOKUP(B188,[1]Sheet1!$B:$B,[1]Sheet1!$P:$P,0)</f>
        <v>0</v>
      </c>
      <c r="N188" s="12">
        <f>_xlfn.XLOOKUP(B188,[1]Sheet1!$B:$B,[1]Sheet1!$Q:$Q,0)</f>
        <v>2276121.3499999996</v>
      </c>
      <c r="O188" s="12">
        <f>_xlfn.XLOOKUP(B188,[1]Sheet1!$B:$B,[1]Sheet1!$R:$R,0)</f>
        <v>569030.32999999996</v>
      </c>
      <c r="P188" s="12">
        <f>_xlfn.XLOOKUP(B188,[1]Sheet1!$B:$B,[1]Sheet1!$S:$S,0)</f>
        <v>569030.34</v>
      </c>
      <c r="Q188" s="12">
        <f>_xlfn.XLOOKUP(B188,[1]Sheet1!$B:$B,[1]Sheet1!$T:$T,0)</f>
        <v>569030.32999999996</v>
      </c>
      <c r="R188" s="12">
        <f>_xlfn.XLOOKUP(B188,[1]Sheet1!$B:$B,[1]Sheet1!$U:$U,0)</f>
        <v>569030.32999999996</v>
      </c>
      <c r="S188" s="12">
        <f>_xlfn.XLOOKUP(B188,[1]Sheet1!$B:$B,[1]Sheet1!$V:$V,0)</f>
        <v>569030.32999999996</v>
      </c>
      <c r="T188" s="12">
        <f>_xlfn.XLOOKUP(B188,[1]Sheet1!$B:$B,[1]Sheet1!$W:$W,0)</f>
        <v>569030.32999999996</v>
      </c>
      <c r="U188" s="12">
        <f>_xlfn.XLOOKUP(B188,[1]Sheet1!$B:$B,[1]Sheet1!$X:$X,0)</f>
        <v>569030.32999999996</v>
      </c>
      <c r="V188" s="12">
        <f>_xlfn.XLOOKUP(B188,[1]Sheet1!$B:$B,[1]Sheet1!$Y:$Y,0)</f>
        <v>569030.32999999996</v>
      </c>
      <c r="W188" s="12">
        <f t="shared" si="7"/>
        <v>6828364</v>
      </c>
      <c r="X188" s="6" t="s">
        <v>112</v>
      </c>
      <c r="Y188" s="6" t="s">
        <v>65</v>
      </c>
      <c r="Z188" s="6" t="s">
        <v>66</v>
      </c>
      <c r="AA188" s="6" t="s">
        <v>111</v>
      </c>
      <c r="AB188" s="6" t="s">
        <v>36</v>
      </c>
      <c r="AC188" s="6" t="s">
        <v>37</v>
      </c>
      <c r="AD188" s="6" t="s">
        <v>69</v>
      </c>
      <c r="AE188" s="6" t="s">
        <v>39</v>
      </c>
      <c r="AF188" s="6" t="s">
        <v>40</v>
      </c>
      <c r="AG188" s="7">
        <v>6828364</v>
      </c>
      <c r="AH188" s="11">
        <f>_xlfn.XLOOKUP(B188,[1]Sheet1!$B:$B,[1]Sheet1!$AB:$AB,0)</f>
        <v>6828364</v>
      </c>
    </row>
    <row r="189" spans="2:34" ht="16.8" thickTop="1" thickBot="1" x14ac:dyDescent="0.35">
      <c r="B189" s="3" t="str">
        <f t="shared" si="6"/>
        <v>45112504511000283Waste Mgmnt-N424591200104</v>
      </c>
      <c r="C189" s="8" t="s">
        <v>67</v>
      </c>
      <c r="D189" s="8" t="s">
        <v>376</v>
      </c>
      <c r="E189" s="8" t="s">
        <v>377</v>
      </c>
      <c r="F189" s="8" t="s">
        <v>382</v>
      </c>
      <c r="G189" s="4" t="s">
        <v>2836</v>
      </c>
      <c r="H189" s="4" t="s">
        <v>2922</v>
      </c>
      <c r="I189" s="8" t="s">
        <v>383</v>
      </c>
      <c r="J189" s="8" t="s">
        <v>31</v>
      </c>
      <c r="K189" s="12">
        <f>_xlfn.XLOOKUP(B189,[1]Sheet1!$B:$B,[1]Sheet1!$N:$N,0)</f>
        <v>0</v>
      </c>
      <c r="L189" s="12">
        <f>_xlfn.XLOOKUP(B189,[1]Sheet1!$B:$B,[1]Sheet1!$O:$O,0)</f>
        <v>0</v>
      </c>
      <c r="M189" s="12">
        <f>_xlfn.XLOOKUP(B189,[1]Sheet1!$B:$B,[1]Sheet1!$P:$P,0)</f>
        <v>0</v>
      </c>
      <c r="N189" s="12">
        <f>_xlfn.XLOOKUP(B189,[1]Sheet1!$B:$B,[1]Sheet1!$Q:$Q,0)</f>
        <v>7426.68</v>
      </c>
      <c r="O189" s="12">
        <f>_xlfn.XLOOKUP(B189,[1]Sheet1!$B:$B,[1]Sheet1!$R:$R,0)</f>
        <v>1856.67</v>
      </c>
      <c r="P189" s="12">
        <f>_xlfn.XLOOKUP(B189,[1]Sheet1!$B:$B,[1]Sheet1!$S:$S,0)</f>
        <v>1856.67</v>
      </c>
      <c r="Q189" s="12">
        <f>_xlfn.XLOOKUP(B189,[1]Sheet1!$B:$B,[1]Sheet1!$T:$T,0)</f>
        <v>1856.67</v>
      </c>
      <c r="R189" s="12">
        <f>_xlfn.XLOOKUP(B189,[1]Sheet1!$B:$B,[1]Sheet1!$U:$U,0)</f>
        <v>1856.67</v>
      </c>
      <c r="S189" s="12">
        <f>_xlfn.XLOOKUP(B189,[1]Sheet1!$B:$B,[1]Sheet1!$V:$V,0)</f>
        <v>1856.66</v>
      </c>
      <c r="T189" s="12">
        <f>_xlfn.XLOOKUP(B189,[1]Sheet1!$B:$B,[1]Sheet1!$W:$W,0)</f>
        <v>1856.66</v>
      </c>
      <c r="U189" s="12">
        <f>_xlfn.XLOOKUP(B189,[1]Sheet1!$B:$B,[1]Sheet1!$X:$X,0)</f>
        <v>1856.66</v>
      </c>
      <c r="V189" s="12">
        <f>_xlfn.XLOOKUP(B189,[1]Sheet1!$B:$B,[1]Sheet1!$Y:$Y,0)</f>
        <v>1856.66</v>
      </c>
      <c r="W189" s="12">
        <f t="shared" si="7"/>
        <v>22280</v>
      </c>
      <c r="X189" s="8" t="s">
        <v>384</v>
      </c>
      <c r="Y189" s="8" t="s">
        <v>65</v>
      </c>
      <c r="Z189" s="8" t="s">
        <v>66</v>
      </c>
      <c r="AA189" s="8" t="s">
        <v>383</v>
      </c>
      <c r="AB189" s="8" t="s">
        <v>36</v>
      </c>
      <c r="AC189" s="8" t="s">
        <v>37</v>
      </c>
      <c r="AD189" s="8" t="s">
        <v>69</v>
      </c>
      <c r="AE189" s="8" t="s">
        <v>39</v>
      </c>
      <c r="AF189" s="8" t="s">
        <v>40</v>
      </c>
      <c r="AG189" s="9">
        <v>22280</v>
      </c>
      <c r="AH189" s="11">
        <f>_xlfn.XLOOKUP(B189,[1]Sheet1!$B:$B,[1]Sheet1!$AB:$AB,0)</f>
        <v>22280</v>
      </c>
    </row>
    <row r="190" spans="2:34" ht="16.8" thickTop="1" thickBot="1" x14ac:dyDescent="0.35">
      <c r="B190" s="3" t="str">
        <f t="shared" si="6"/>
        <v>45117504511000285Event Management-N2422401200104</v>
      </c>
      <c r="C190" s="6" t="s">
        <v>118</v>
      </c>
      <c r="D190" s="6" t="s">
        <v>385</v>
      </c>
      <c r="E190" s="6" t="s">
        <v>386</v>
      </c>
      <c r="F190" s="6" t="s">
        <v>387</v>
      </c>
      <c r="G190" s="4" t="s">
        <v>2807</v>
      </c>
      <c r="H190" s="4" t="s">
        <v>2922</v>
      </c>
      <c r="I190" s="6" t="s">
        <v>63</v>
      </c>
      <c r="J190" s="6" t="s">
        <v>31</v>
      </c>
      <c r="K190" s="12">
        <f>_xlfn.XLOOKUP(B190,[1]Sheet1!$B:$B,[1]Sheet1!$N:$N,0)</f>
        <v>0</v>
      </c>
      <c r="L190" s="12">
        <f>_xlfn.XLOOKUP(B190,[1]Sheet1!$B:$B,[1]Sheet1!$O:$O,0)</f>
        <v>0</v>
      </c>
      <c r="M190" s="12">
        <f>_xlfn.XLOOKUP(B190,[1]Sheet1!$B:$B,[1]Sheet1!$P:$P,0)</f>
        <v>0</v>
      </c>
      <c r="N190" s="12">
        <f>_xlfn.XLOOKUP(B190,[1]Sheet1!$B:$B,[1]Sheet1!$Q:$Q,0)</f>
        <v>1485000</v>
      </c>
      <c r="O190" s="12">
        <f>_xlfn.XLOOKUP(B190,[1]Sheet1!$B:$B,[1]Sheet1!$R:$R,0)</f>
        <v>0</v>
      </c>
      <c r="P190" s="12">
        <f>_xlfn.XLOOKUP(B190,[1]Sheet1!$B:$B,[1]Sheet1!$S:$S,0)</f>
        <v>0</v>
      </c>
      <c r="Q190" s="12">
        <f>_xlfn.XLOOKUP(B190,[1]Sheet1!$B:$B,[1]Sheet1!$T:$T,0)</f>
        <v>0</v>
      </c>
      <c r="R190" s="12">
        <f>_xlfn.XLOOKUP(B190,[1]Sheet1!$B:$B,[1]Sheet1!$U:$U,0)</f>
        <v>0</v>
      </c>
      <c r="S190" s="12">
        <f>_xlfn.XLOOKUP(B190,[1]Sheet1!$B:$B,[1]Sheet1!$V:$V,0)</f>
        <v>0</v>
      </c>
      <c r="T190" s="12">
        <f>_xlfn.XLOOKUP(B190,[1]Sheet1!$B:$B,[1]Sheet1!$W:$W,0)</f>
        <v>1485000</v>
      </c>
      <c r="U190" s="12">
        <f>_xlfn.XLOOKUP(B190,[1]Sheet1!$B:$B,[1]Sheet1!$X:$X,0)</f>
        <v>0</v>
      </c>
      <c r="V190" s="12">
        <f>_xlfn.XLOOKUP(B190,[1]Sheet1!$B:$B,[1]Sheet1!$Y:$Y,0)</f>
        <v>0</v>
      </c>
      <c r="W190" s="12">
        <f t="shared" si="7"/>
        <v>2970000</v>
      </c>
      <c r="X190" s="6" t="s">
        <v>388</v>
      </c>
      <c r="Y190" s="6" t="s">
        <v>65</v>
      </c>
      <c r="Z190" s="6" t="s">
        <v>117</v>
      </c>
      <c r="AA190" s="6" t="s">
        <v>68</v>
      </c>
      <c r="AB190" s="6" t="s">
        <v>36</v>
      </c>
      <c r="AC190" s="6" t="s">
        <v>37</v>
      </c>
      <c r="AD190" s="6" t="s">
        <v>102</v>
      </c>
      <c r="AE190" s="6" t="s">
        <v>39</v>
      </c>
      <c r="AF190" s="6" t="s">
        <v>40</v>
      </c>
      <c r="AG190" s="7">
        <v>2970000</v>
      </c>
      <c r="AH190" s="11">
        <f>_xlfn.XLOOKUP(B190,[1]Sheet1!$B:$B,[1]Sheet1!$AB:$AB,0)</f>
        <v>2970000</v>
      </c>
    </row>
    <row r="191" spans="2:34" ht="16.8" thickTop="1" thickBot="1" x14ac:dyDescent="0.35">
      <c r="B191" s="3" t="str">
        <f t="shared" si="6"/>
        <v>45191994511000291Activation&amp;Prog-N1422401200104</v>
      </c>
      <c r="C191" s="8" t="s">
        <v>394</v>
      </c>
      <c r="D191" s="8" t="s">
        <v>389</v>
      </c>
      <c r="E191" s="8" t="s">
        <v>390</v>
      </c>
      <c r="F191" s="8" t="s">
        <v>371</v>
      </c>
      <c r="G191" s="4" t="s">
        <v>2807</v>
      </c>
      <c r="H191" s="4" t="s">
        <v>2922</v>
      </c>
      <c r="I191" s="8" t="s">
        <v>63</v>
      </c>
      <c r="J191" s="8" t="s">
        <v>31</v>
      </c>
      <c r="K191" s="12">
        <f>_xlfn.XLOOKUP(B191,[1]Sheet1!$B:$B,[1]Sheet1!$N:$N,0)</f>
        <v>0</v>
      </c>
      <c r="L191" s="12">
        <f>_xlfn.XLOOKUP(B191,[1]Sheet1!$B:$B,[1]Sheet1!$O:$O,0)</f>
        <v>5000</v>
      </c>
      <c r="M191" s="12">
        <f>_xlfn.XLOOKUP(B191,[1]Sheet1!$B:$B,[1]Sheet1!$P:$P,0)</f>
        <v>0</v>
      </c>
      <c r="N191" s="12">
        <f>_xlfn.XLOOKUP(B191,[1]Sheet1!$B:$B,[1]Sheet1!$Q:$Q,0)</f>
        <v>20000</v>
      </c>
      <c r="O191" s="12">
        <f>_xlfn.XLOOKUP(B191,[1]Sheet1!$B:$B,[1]Sheet1!$R:$R,0)</f>
        <v>0</v>
      </c>
      <c r="P191" s="12">
        <f>_xlfn.XLOOKUP(B191,[1]Sheet1!$B:$B,[1]Sheet1!$S:$S,0)</f>
        <v>0</v>
      </c>
      <c r="Q191" s="12">
        <f>_xlfn.XLOOKUP(B191,[1]Sheet1!$B:$B,[1]Sheet1!$T:$T,0)</f>
        <v>10000</v>
      </c>
      <c r="R191" s="12">
        <f>_xlfn.XLOOKUP(B191,[1]Sheet1!$B:$B,[1]Sheet1!$U:$U,0)</f>
        <v>0</v>
      </c>
      <c r="S191" s="12">
        <f>_xlfn.XLOOKUP(B191,[1]Sheet1!$B:$B,[1]Sheet1!$V:$V,0)</f>
        <v>5000</v>
      </c>
      <c r="T191" s="12">
        <f>_xlfn.XLOOKUP(B191,[1]Sheet1!$B:$B,[1]Sheet1!$W:$W,0)</f>
        <v>0</v>
      </c>
      <c r="U191" s="12">
        <f>_xlfn.XLOOKUP(B191,[1]Sheet1!$B:$B,[1]Sheet1!$X:$X,0)</f>
        <v>5000</v>
      </c>
      <c r="V191" s="12">
        <f>_xlfn.XLOOKUP(B191,[1]Sheet1!$B:$B,[1]Sheet1!$Y:$Y,0)</f>
        <v>5000</v>
      </c>
      <c r="W191" s="12">
        <f t="shared" si="7"/>
        <v>50000</v>
      </c>
      <c r="X191" s="8" t="s">
        <v>391</v>
      </c>
      <c r="Y191" s="8" t="s">
        <v>392</v>
      </c>
      <c r="Z191" s="8" t="s">
        <v>393</v>
      </c>
      <c r="AA191" s="8" t="s">
        <v>68</v>
      </c>
      <c r="AB191" s="8" t="s">
        <v>36</v>
      </c>
      <c r="AC191" s="8" t="s">
        <v>37</v>
      </c>
      <c r="AD191" s="8" t="s">
        <v>395</v>
      </c>
      <c r="AE191" s="8" t="s">
        <v>39</v>
      </c>
      <c r="AF191" s="8" t="s">
        <v>40</v>
      </c>
      <c r="AG191" s="9">
        <v>50000</v>
      </c>
      <c r="AH191" s="11">
        <f>_xlfn.XLOOKUP(B191,[1]Sheet1!$B:$B,[1]Sheet1!$AB:$AB,0)</f>
        <v>50000</v>
      </c>
    </row>
    <row r="192" spans="2:34" ht="16.8" thickTop="1" thickBot="1" x14ac:dyDescent="0.35">
      <c r="B192" s="3" t="str">
        <f t="shared" si="6"/>
        <v>45191994511000291Cover Design-N1424791200104</v>
      </c>
      <c r="C192" s="6" t="s">
        <v>394</v>
      </c>
      <c r="D192" s="6" t="s">
        <v>389</v>
      </c>
      <c r="E192" s="6" t="s">
        <v>390</v>
      </c>
      <c r="F192" s="6" t="s">
        <v>396</v>
      </c>
      <c r="G192" s="4" t="s">
        <v>2830</v>
      </c>
      <c r="H192" s="4" t="s">
        <v>2922</v>
      </c>
      <c r="I192" s="6" t="s">
        <v>305</v>
      </c>
      <c r="J192" s="6" t="s">
        <v>31</v>
      </c>
      <c r="K192" s="12">
        <f>_xlfn.XLOOKUP(B192,[1]Sheet1!$B:$B,[1]Sheet1!$N:$N,0)</f>
        <v>0</v>
      </c>
      <c r="L192" s="12">
        <f>_xlfn.XLOOKUP(B192,[1]Sheet1!$B:$B,[1]Sheet1!$O:$O,0)</f>
        <v>0</v>
      </c>
      <c r="M192" s="12">
        <f>_xlfn.XLOOKUP(B192,[1]Sheet1!$B:$B,[1]Sheet1!$P:$P,0)</f>
        <v>0</v>
      </c>
      <c r="N192" s="12">
        <f>_xlfn.XLOOKUP(B192,[1]Sheet1!$B:$B,[1]Sheet1!$Q:$Q,0)</f>
        <v>0</v>
      </c>
      <c r="O192" s="12">
        <f>_xlfn.XLOOKUP(B192,[1]Sheet1!$B:$B,[1]Sheet1!$R:$R,0)</f>
        <v>8100</v>
      </c>
      <c r="P192" s="12">
        <f>_xlfn.XLOOKUP(B192,[1]Sheet1!$B:$B,[1]Sheet1!$S:$S,0)</f>
        <v>0</v>
      </c>
      <c r="Q192" s="12">
        <f>_xlfn.XLOOKUP(B192,[1]Sheet1!$B:$B,[1]Sheet1!$T:$T,0)</f>
        <v>0</v>
      </c>
      <c r="R192" s="12">
        <f>_xlfn.XLOOKUP(B192,[1]Sheet1!$B:$B,[1]Sheet1!$U:$U,0)</f>
        <v>0</v>
      </c>
      <c r="S192" s="12">
        <f>_xlfn.XLOOKUP(B192,[1]Sheet1!$B:$B,[1]Sheet1!$V:$V,0)</f>
        <v>0</v>
      </c>
      <c r="T192" s="12">
        <f>_xlfn.XLOOKUP(B192,[1]Sheet1!$B:$B,[1]Sheet1!$W:$W,0)</f>
        <v>0</v>
      </c>
      <c r="U192" s="12">
        <f>_xlfn.XLOOKUP(B192,[1]Sheet1!$B:$B,[1]Sheet1!$X:$X,0)</f>
        <v>0</v>
      </c>
      <c r="V192" s="12">
        <f>_xlfn.XLOOKUP(B192,[1]Sheet1!$B:$B,[1]Sheet1!$Y:$Y,0)</f>
        <v>0</v>
      </c>
      <c r="W192" s="12">
        <f t="shared" si="7"/>
        <v>8100</v>
      </c>
      <c r="X192" s="6" t="s">
        <v>397</v>
      </c>
      <c r="Y192" s="6" t="s">
        <v>392</v>
      </c>
      <c r="Z192" s="6" t="s">
        <v>393</v>
      </c>
      <c r="AA192" s="6" t="s">
        <v>305</v>
      </c>
      <c r="AB192" s="6" t="s">
        <v>36</v>
      </c>
      <c r="AC192" s="6" t="s">
        <v>37</v>
      </c>
      <c r="AD192" s="6" t="s">
        <v>395</v>
      </c>
      <c r="AE192" s="6" t="s">
        <v>39</v>
      </c>
      <c r="AF192" s="6" t="s">
        <v>40</v>
      </c>
      <c r="AG192" s="7">
        <v>8100</v>
      </c>
      <c r="AH192" s="11">
        <f>_xlfn.XLOOKUP(B192,[1]Sheet1!$B:$B,[1]Sheet1!$AB:$AB,0)</f>
        <v>8100</v>
      </c>
    </row>
    <row r="193" spans="2:34" ht="16.8" thickTop="1" thickBot="1" x14ac:dyDescent="0.35">
      <c r="B193" s="3" t="str">
        <f t="shared" si="6"/>
        <v>45191994511000291Editing &amp; Proof-N1424791200104</v>
      </c>
      <c r="C193" s="8" t="s">
        <v>394</v>
      </c>
      <c r="D193" s="8" t="s">
        <v>389</v>
      </c>
      <c r="E193" s="8" t="s">
        <v>390</v>
      </c>
      <c r="F193" s="8" t="s">
        <v>398</v>
      </c>
      <c r="G193" s="4" t="s">
        <v>2830</v>
      </c>
      <c r="H193" s="4" t="s">
        <v>2922</v>
      </c>
      <c r="I193" s="8" t="s">
        <v>305</v>
      </c>
      <c r="J193" s="8" t="s">
        <v>31</v>
      </c>
      <c r="K193" s="12">
        <f>_xlfn.XLOOKUP(B193,[1]Sheet1!$B:$B,[1]Sheet1!$N:$N,0)</f>
        <v>0</v>
      </c>
      <c r="L193" s="12">
        <f>_xlfn.XLOOKUP(B193,[1]Sheet1!$B:$B,[1]Sheet1!$O:$O,0)</f>
        <v>0</v>
      </c>
      <c r="M193" s="12">
        <f>_xlfn.XLOOKUP(B193,[1]Sheet1!$B:$B,[1]Sheet1!$P:$P,0)</f>
        <v>0</v>
      </c>
      <c r="N193" s="12">
        <f>_xlfn.XLOOKUP(B193,[1]Sheet1!$B:$B,[1]Sheet1!$Q:$Q,0)</f>
        <v>7000</v>
      </c>
      <c r="O193" s="12">
        <f>_xlfn.XLOOKUP(B193,[1]Sheet1!$B:$B,[1]Sheet1!$R:$R,0)</f>
        <v>0</v>
      </c>
      <c r="P193" s="12">
        <f>_xlfn.XLOOKUP(B193,[1]Sheet1!$B:$B,[1]Sheet1!$S:$S,0)</f>
        <v>15000</v>
      </c>
      <c r="Q193" s="12">
        <f>_xlfn.XLOOKUP(B193,[1]Sheet1!$B:$B,[1]Sheet1!$T:$T,0)</f>
        <v>0</v>
      </c>
      <c r="R193" s="12">
        <f>_xlfn.XLOOKUP(B193,[1]Sheet1!$B:$B,[1]Sheet1!$U:$U,0)</f>
        <v>0</v>
      </c>
      <c r="S193" s="12">
        <f>_xlfn.XLOOKUP(B193,[1]Sheet1!$B:$B,[1]Sheet1!$V:$V,0)</f>
        <v>8000</v>
      </c>
      <c r="T193" s="12">
        <f>_xlfn.XLOOKUP(B193,[1]Sheet1!$B:$B,[1]Sheet1!$W:$W,0)</f>
        <v>0</v>
      </c>
      <c r="U193" s="12">
        <f>_xlfn.XLOOKUP(B193,[1]Sheet1!$B:$B,[1]Sheet1!$X:$X,0)</f>
        <v>0</v>
      </c>
      <c r="V193" s="12">
        <f>_xlfn.XLOOKUP(B193,[1]Sheet1!$B:$B,[1]Sheet1!$Y:$Y,0)</f>
        <v>20000</v>
      </c>
      <c r="W193" s="12">
        <f t="shared" si="7"/>
        <v>50000</v>
      </c>
      <c r="X193" s="8" t="s">
        <v>397</v>
      </c>
      <c r="Y193" s="8" t="s">
        <v>392</v>
      </c>
      <c r="Z193" s="8" t="s">
        <v>393</v>
      </c>
      <c r="AA193" s="8" t="s">
        <v>305</v>
      </c>
      <c r="AB193" s="8" t="s">
        <v>36</v>
      </c>
      <c r="AC193" s="8" t="s">
        <v>37</v>
      </c>
      <c r="AD193" s="8" t="s">
        <v>395</v>
      </c>
      <c r="AE193" s="8" t="s">
        <v>39</v>
      </c>
      <c r="AF193" s="8" t="s">
        <v>40</v>
      </c>
      <c r="AG193" s="9">
        <v>50000</v>
      </c>
      <c r="AH193" s="11">
        <f>_xlfn.XLOOKUP(B193,[1]Sheet1!$B:$B,[1]Sheet1!$AB:$AB,0)</f>
        <v>50000</v>
      </c>
    </row>
    <row r="194" spans="2:34" ht="16.8" thickTop="1" thickBot="1" x14ac:dyDescent="0.35">
      <c r="B194" s="3" t="str">
        <f t="shared" si="6"/>
        <v>45191994511000291Hospitality-N1424761200104</v>
      </c>
      <c r="C194" s="6" t="s">
        <v>394</v>
      </c>
      <c r="D194" s="6" t="s">
        <v>389</v>
      </c>
      <c r="E194" s="6" t="s">
        <v>390</v>
      </c>
      <c r="F194" s="6" t="s">
        <v>399</v>
      </c>
      <c r="G194" s="4" t="s">
        <v>2811</v>
      </c>
      <c r="H194" s="4" t="s">
        <v>2922</v>
      </c>
      <c r="I194" s="6" t="s">
        <v>84</v>
      </c>
      <c r="J194" s="6" t="s">
        <v>31</v>
      </c>
      <c r="K194" s="12">
        <f>_xlfn.XLOOKUP(B194,[1]Sheet1!$B:$B,[1]Sheet1!$N:$N,0)</f>
        <v>0</v>
      </c>
      <c r="L194" s="12">
        <f>_xlfn.XLOOKUP(B194,[1]Sheet1!$B:$B,[1]Sheet1!$O:$O,0)</f>
        <v>0</v>
      </c>
      <c r="M194" s="12">
        <f>_xlfn.XLOOKUP(B194,[1]Sheet1!$B:$B,[1]Sheet1!$P:$P,0)</f>
        <v>0</v>
      </c>
      <c r="N194" s="12">
        <f>_xlfn.XLOOKUP(B194,[1]Sheet1!$B:$B,[1]Sheet1!$Q:$Q,0)</f>
        <v>36000</v>
      </c>
      <c r="O194" s="12">
        <f>_xlfn.XLOOKUP(B194,[1]Sheet1!$B:$B,[1]Sheet1!$R:$R,0)</f>
        <v>0</v>
      </c>
      <c r="P194" s="12">
        <f>_xlfn.XLOOKUP(B194,[1]Sheet1!$B:$B,[1]Sheet1!$S:$S,0)</f>
        <v>6000</v>
      </c>
      <c r="Q194" s="12">
        <f>_xlfn.XLOOKUP(B194,[1]Sheet1!$B:$B,[1]Sheet1!$T:$T,0)</f>
        <v>6000</v>
      </c>
      <c r="R194" s="12">
        <f>_xlfn.XLOOKUP(B194,[1]Sheet1!$B:$B,[1]Sheet1!$U:$U,0)</f>
        <v>6000</v>
      </c>
      <c r="S194" s="12">
        <f>_xlfn.XLOOKUP(B194,[1]Sheet1!$B:$B,[1]Sheet1!$V:$V,0)</f>
        <v>0</v>
      </c>
      <c r="T194" s="12">
        <f>_xlfn.XLOOKUP(B194,[1]Sheet1!$B:$B,[1]Sheet1!$W:$W,0)</f>
        <v>0</v>
      </c>
      <c r="U194" s="12">
        <f>_xlfn.XLOOKUP(B194,[1]Sheet1!$B:$B,[1]Sheet1!$X:$X,0)</f>
        <v>56000</v>
      </c>
      <c r="V194" s="12">
        <f>_xlfn.XLOOKUP(B194,[1]Sheet1!$B:$B,[1]Sheet1!$Y:$Y,0)</f>
        <v>20000</v>
      </c>
      <c r="W194" s="12">
        <f t="shared" si="7"/>
        <v>130000</v>
      </c>
      <c r="X194" s="6" t="s">
        <v>400</v>
      </c>
      <c r="Y194" s="6" t="s">
        <v>392</v>
      </c>
      <c r="Z194" s="6" t="s">
        <v>393</v>
      </c>
      <c r="AA194" s="6" t="s">
        <v>84</v>
      </c>
      <c r="AB194" s="6" t="s">
        <v>36</v>
      </c>
      <c r="AC194" s="6" t="s">
        <v>37</v>
      </c>
      <c r="AD194" s="6" t="s">
        <v>395</v>
      </c>
      <c r="AE194" s="6" t="s">
        <v>39</v>
      </c>
      <c r="AF194" s="6" t="s">
        <v>40</v>
      </c>
      <c r="AG194" s="7">
        <v>107500</v>
      </c>
      <c r="AH194" s="11">
        <f>_xlfn.XLOOKUP(B194,[1]Sheet1!$B:$B,[1]Sheet1!$AB:$AB,0)</f>
        <v>107500</v>
      </c>
    </row>
    <row r="195" spans="2:34" ht="16.8" thickTop="1" thickBot="1" x14ac:dyDescent="0.35">
      <c r="B195" s="3" t="str">
        <f t="shared" si="6"/>
        <v>45191994511000291Print Permit-N1422951200104</v>
      </c>
      <c r="C195" s="8" t="s">
        <v>394</v>
      </c>
      <c r="D195" s="8" t="s">
        <v>389</v>
      </c>
      <c r="E195" s="8" t="s">
        <v>390</v>
      </c>
      <c r="F195" s="8" t="s">
        <v>401</v>
      </c>
      <c r="G195" s="4" t="s">
        <v>2837</v>
      </c>
      <c r="H195" s="4" t="s">
        <v>2922</v>
      </c>
      <c r="I195" s="8" t="s">
        <v>402</v>
      </c>
      <c r="J195" s="8" t="s">
        <v>31</v>
      </c>
      <c r="K195" s="12">
        <f>_xlfn.XLOOKUP(B195,[1]Sheet1!$B:$B,[1]Sheet1!$N:$N,0)</f>
        <v>0</v>
      </c>
      <c r="L195" s="12">
        <f>_xlfn.XLOOKUP(B195,[1]Sheet1!$B:$B,[1]Sheet1!$O:$O,0)</f>
        <v>0</v>
      </c>
      <c r="M195" s="12">
        <f>_xlfn.XLOOKUP(B195,[1]Sheet1!$B:$B,[1]Sheet1!$P:$P,0)</f>
        <v>0</v>
      </c>
      <c r="N195" s="12">
        <f>_xlfn.XLOOKUP(B195,[1]Sheet1!$B:$B,[1]Sheet1!$Q:$Q,0)</f>
        <v>50000</v>
      </c>
      <c r="O195" s="12">
        <f>_xlfn.XLOOKUP(B195,[1]Sheet1!$B:$B,[1]Sheet1!$R:$R,0)</f>
        <v>0</v>
      </c>
      <c r="P195" s="12">
        <f>_xlfn.XLOOKUP(B195,[1]Sheet1!$B:$B,[1]Sheet1!$S:$S,0)</f>
        <v>20000</v>
      </c>
      <c r="Q195" s="12">
        <f>_xlfn.XLOOKUP(B195,[1]Sheet1!$B:$B,[1]Sheet1!$T:$T,0)</f>
        <v>0</v>
      </c>
      <c r="R195" s="12">
        <f>_xlfn.XLOOKUP(B195,[1]Sheet1!$B:$B,[1]Sheet1!$U:$U,0)</f>
        <v>30000</v>
      </c>
      <c r="S195" s="12">
        <f>_xlfn.XLOOKUP(B195,[1]Sheet1!$B:$B,[1]Sheet1!$V:$V,0)</f>
        <v>0</v>
      </c>
      <c r="T195" s="12">
        <f>_xlfn.XLOOKUP(B195,[1]Sheet1!$B:$B,[1]Sheet1!$W:$W,0)</f>
        <v>0</v>
      </c>
      <c r="U195" s="12">
        <f>_xlfn.XLOOKUP(B195,[1]Sheet1!$B:$B,[1]Sheet1!$X:$X,0)</f>
        <v>30000</v>
      </c>
      <c r="V195" s="12">
        <f>_xlfn.XLOOKUP(B195,[1]Sheet1!$B:$B,[1]Sheet1!$Y:$Y,0)</f>
        <v>0</v>
      </c>
      <c r="W195" s="12">
        <f t="shared" si="7"/>
        <v>130000</v>
      </c>
      <c r="X195" s="8" t="s">
        <v>403</v>
      </c>
      <c r="Y195" s="8" t="s">
        <v>392</v>
      </c>
      <c r="Z195" s="8" t="s">
        <v>393</v>
      </c>
      <c r="AA195" s="8" t="s">
        <v>402</v>
      </c>
      <c r="AB195" s="8" t="s">
        <v>36</v>
      </c>
      <c r="AC195" s="8" t="s">
        <v>37</v>
      </c>
      <c r="AD195" s="8" t="s">
        <v>395</v>
      </c>
      <c r="AE195" s="8" t="s">
        <v>39</v>
      </c>
      <c r="AF195" s="8" t="s">
        <v>40</v>
      </c>
      <c r="AG195" s="9">
        <v>130000</v>
      </c>
      <c r="AH195" s="11">
        <f>_xlfn.XLOOKUP(B195,[1]Sheet1!$B:$B,[1]Sheet1!$AB:$AB,0)</f>
        <v>130000</v>
      </c>
    </row>
    <row r="196" spans="2:34" ht="16.8" thickTop="1" thickBot="1" x14ac:dyDescent="0.35">
      <c r="B196" s="3" t="str">
        <f t="shared" ref="B196:B259" si="8">C196&amp;D196&amp;F196&amp;G196&amp;H196</f>
        <v>45191994511000291Print Runs-N1424791200104</v>
      </c>
      <c r="C196" s="6" t="s">
        <v>394</v>
      </c>
      <c r="D196" s="6" t="s">
        <v>389</v>
      </c>
      <c r="E196" s="6" t="s">
        <v>390</v>
      </c>
      <c r="F196" s="6" t="s">
        <v>307</v>
      </c>
      <c r="G196" s="4" t="s">
        <v>2830</v>
      </c>
      <c r="H196" s="4" t="s">
        <v>2922</v>
      </c>
      <c r="I196" s="6" t="s">
        <v>305</v>
      </c>
      <c r="J196" s="6" t="s">
        <v>31</v>
      </c>
      <c r="K196" s="12">
        <f>_xlfn.XLOOKUP(B196,[1]Sheet1!$B:$B,[1]Sheet1!$N:$N,0)</f>
        <v>0</v>
      </c>
      <c r="L196" s="12">
        <f>_xlfn.XLOOKUP(B196,[1]Sheet1!$B:$B,[1]Sheet1!$O:$O,0)</f>
        <v>0</v>
      </c>
      <c r="M196" s="12">
        <f>_xlfn.XLOOKUP(B196,[1]Sheet1!$B:$B,[1]Sheet1!$P:$P,0)</f>
        <v>0</v>
      </c>
      <c r="N196" s="12">
        <f>_xlfn.XLOOKUP(B196,[1]Sheet1!$B:$B,[1]Sheet1!$Q:$Q,0)</f>
        <v>0</v>
      </c>
      <c r="O196" s="12">
        <f>_xlfn.XLOOKUP(B196,[1]Sheet1!$B:$B,[1]Sheet1!$R:$R,0)</f>
        <v>40000</v>
      </c>
      <c r="P196" s="12">
        <f>_xlfn.XLOOKUP(B196,[1]Sheet1!$B:$B,[1]Sheet1!$S:$S,0)</f>
        <v>0</v>
      </c>
      <c r="Q196" s="12">
        <f>_xlfn.XLOOKUP(B196,[1]Sheet1!$B:$B,[1]Sheet1!$T:$T,0)</f>
        <v>0</v>
      </c>
      <c r="R196" s="12">
        <f>_xlfn.XLOOKUP(B196,[1]Sheet1!$B:$B,[1]Sheet1!$U:$U,0)</f>
        <v>38923</v>
      </c>
      <c r="S196" s="12">
        <f>_xlfn.XLOOKUP(B196,[1]Sheet1!$B:$B,[1]Sheet1!$V:$V,0)</f>
        <v>0</v>
      </c>
      <c r="T196" s="12">
        <f>_xlfn.XLOOKUP(B196,[1]Sheet1!$B:$B,[1]Sheet1!$W:$W,0)</f>
        <v>35000</v>
      </c>
      <c r="U196" s="12">
        <f>_xlfn.XLOOKUP(B196,[1]Sheet1!$B:$B,[1]Sheet1!$X:$X,0)</f>
        <v>35000</v>
      </c>
      <c r="V196" s="12">
        <f>_xlfn.XLOOKUP(B196,[1]Sheet1!$B:$B,[1]Sheet1!$Y:$Y,0)</f>
        <v>0</v>
      </c>
      <c r="W196" s="12">
        <f t="shared" ref="W196:W259" si="9">SUM(K196:V196)</f>
        <v>148923</v>
      </c>
      <c r="X196" s="6" t="s">
        <v>397</v>
      </c>
      <c r="Y196" s="6" t="s">
        <v>392</v>
      </c>
      <c r="Z196" s="6" t="s">
        <v>393</v>
      </c>
      <c r="AA196" s="6" t="s">
        <v>305</v>
      </c>
      <c r="AB196" s="6" t="s">
        <v>36</v>
      </c>
      <c r="AC196" s="6" t="s">
        <v>37</v>
      </c>
      <c r="AD196" s="6" t="s">
        <v>395</v>
      </c>
      <c r="AE196" s="6" t="s">
        <v>39</v>
      </c>
      <c r="AF196" s="6" t="s">
        <v>40</v>
      </c>
      <c r="AG196" s="7">
        <v>148923</v>
      </c>
      <c r="AH196" s="11">
        <f>_xlfn.XLOOKUP(B196,[1]Sheet1!$B:$B,[1]Sheet1!$AB:$AB,0)</f>
        <v>148923</v>
      </c>
    </row>
    <row r="197" spans="2:34" ht="16.8" thickTop="1" thickBot="1" x14ac:dyDescent="0.35">
      <c r="B197" s="3" t="str">
        <f t="shared" si="8"/>
        <v>45191994511000291Typesetting-N1431114200104</v>
      </c>
      <c r="C197" s="8" t="s">
        <v>394</v>
      </c>
      <c r="D197" s="8" t="s">
        <v>389</v>
      </c>
      <c r="E197" s="8" t="s">
        <v>390</v>
      </c>
      <c r="F197" s="8" t="s">
        <v>404</v>
      </c>
      <c r="G197" s="4" t="s">
        <v>2838</v>
      </c>
      <c r="H197" s="4" t="s">
        <v>2922</v>
      </c>
      <c r="I197" s="8" t="s">
        <v>405</v>
      </c>
      <c r="J197" s="8" t="s">
        <v>31</v>
      </c>
      <c r="K197" s="12">
        <f>_xlfn.XLOOKUP(B197,[1]Sheet1!$B:$B,[1]Sheet1!$N:$N,0)</f>
        <v>0</v>
      </c>
      <c r="L197" s="12">
        <f>_xlfn.XLOOKUP(B197,[1]Sheet1!$B:$B,[1]Sheet1!$O:$O,0)</f>
        <v>0</v>
      </c>
      <c r="M197" s="12">
        <f>_xlfn.XLOOKUP(B197,[1]Sheet1!$B:$B,[1]Sheet1!$P:$P,0)</f>
        <v>0</v>
      </c>
      <c r="N197" s="12">
        <f>_xlfn.XLOOKUP(B197,[1]Sheet1!$B:$B,[1]Sheet1!$Q:$Q,0)</f>
        <v>14000</v>
      </c>
      <c r="O197" s="12">
        <f>_xlfn.XLOOKUP(B197,[1]Sheet1!$B:$B,[1]Sheet1!$R:$R,0)</f>
        <v>0</v>
      </c>
      <c r="P197" s="12">
        <f>_xlfn.XLOOKUP(B197,[1]Sheet1!$B:$B,[1]Sheet1!$S:$S,0)</f>
        <v>0</v>
      </c>
      <c r="Q197" s="12">
        <f>_xlfn.XLOOKUP(B197,[1]Sheet1!$B:$B,[1]Sheet1!$T:$T,0)</f>
        <v>7500</v>
      </c>
      <c r="R197" s="12">
        <f>_xlfn.XLOOKUP(B197,[1]Sheet1!$B:$B,[1]Sheet1!$U:$U,0)</f>
        <v>0</v>
      </c>
      <c r="S197" s="12">
        <f>_xlfn.XLOOKUP(B197,[1]Sheet1!$B:$B,[1]Sheet1!$V:$V,0)</f>
        <v>0</v>
      </c>
      <c r="T197" s="12">
        <f>_xlfn.XLOOKUP(B197,[1]Sheet1!$B:$B,[1]Sheet1!$W:$W,0)</f>
        <v>8500</v>
      </c>
      <c r="U197" s="12">
        <f>_xlfn.XLOOKUP(B197,[1]Sheet1!$B:$B,[1]Sheet1!$X:$X,0)</f>
        <v>0</v>
      </c>
      <c r="V197" s="12">
        <f>_xlfn.XLOOKUP(B197,[1]Sheet1!$B:$B,[1]Sheet1!$Y:$Y,0)</f>
        <v>0</v>
      </c>
      <c r="W197" s="12">
        <f t="shared" si="9"/>
        <v>30000</v>
      </c>
      <c r="X197" s="8" t="s">
        <v>406</v>
      </c>
      <c r="Y197" s="8" t="s">
        <v>392</v>
      </c>
      <c r="Z197" s="8" t="s">
        <v>393</v>
      </c>
      <c r="AA197" s="8" t="s">
        <v>405</v>
      </c>
      <c r="AB197" s="8" t="s">
        <v>36</v>
      </c>
      <c r="AC197" s="8" t="s">
        <v>37</v>
      </c>
      <c r="AD197" s="8" t="s">
        <v>395</v>
      </c>
      <c r="AE197" s="8" t="s">
        <v>39</v>
      </c>
      <c r="AF197" s="8" t="s">
        <v>40</v>
      </c>
      <c r="AG197" s="9">
        <v>30000</v>
      </c>
      <c r="AH197" s="11">
        <f>_xlfn.XLOOKUP(B197,[1]Sheet1!$B:$B,[1]Sheet1!$AB:$AB,0)</f>
        <v>30000</v>
      </c>
    </row>
    <row r="198" spans="2:34" ht="16.8" thickTop="1" thickBot="1" x14ac:dyDescent="0.35">
      <c r="B198" s="3" t="str">
        <f t="shared" si="8"/>
        <v>45112504511000299Admin Expenses-N1421125200104</v>
      </c>
      <c r="C198" s="6" t="s">
        <v>67</v>
      </c>
      <c r="D198" s="6" t="s">
        <v>407</v>
      </c>
      <c r="E198" s="6" t="s">
        <v>408</v>
      </c>
      <c r="F198" s="6" t="s">
        <v>73</v>
      </c>
      <c r="G198" s="4" t="s">
        <v>2803</v>
      </c>
      <c r="H198" s="4" t="s">
        <v>2922</v>
      </c>
      <c r="I198" s="6" t="s">
        <v>44</v>
      </c>
      <c r="J198" s="6" t="s">
        <v>31</v>
      </c>
      <c r="K198" s="12">
        <f>_xlfn.XLOOKUP(B198,[1]Sheet1!$B:$B,[1]Sheet1!$N:$N,0)</f>
        <v>0</v>
      </c>
      <c r="L198" s="12">
        <f>_xlfn.XLOOKUP(B198,[1]Sheet1!$B:$B,[1]Sheet1!$O:$O,0)</f>
        <v>0</v>
      </c>
      <c r="M198" s="12">
        <f>_xlfn.XLOOKUP(B198,[1]Sheet1!$B:$B,[1]Sheet1!$P:$P,0)</f>
        <v>0</v>
      </c>
      <c r="N198" s="12">
        <f>_xlfn.XLOOKUP(B198,[1]Sheet1!$B:$B,[1]Sheet1!$Q:$Q,0)</f>
        <v>27000</v>
      </c>
      <c r="O198" s="12">
        <f>_xlfn.XLOOKUP(B198,[1]Sheet1!$B:$B,[1]Sheet1!$R:$R,0)</f>
        <v>13500</v>
      </c>
      <c r="P198" s="12">
        <f>_xlfn.XLOOKUP(B198,[1]Sheet1!$B:$B,[1]Sheet1!$S:$S,0)</f>
        <v>13500</v>
      </c>
      <c r="Q198" s="12">
        <f>_xlfn.XLOOKUP(B198,[1]Sheet1!$B:$B,[1]Sheet1!$T:$T,0)</f>
        <v>13500</v>
      </c>
      <c r="R198" s="12">
        <f>_xlfn.XLOOKUP(B198,[1]Sheet1!$B:$B,[1]Sheet1!$U:$U,0)</f>
        <v>13500</v>
      </c>
      <c r="S198" s="12">
        <f>_xlfn.XLOOKUP(B198,[1]Sheet1!$B:$B,[1]Sheet1!$V:$V,0)</f>
        <v>13500</v>
      </c>
      <c r="T198" s="12">
        <f>_xlfn.XLOOKUP(B198,[1]Sheet1!$B:$B,[1]Sheet1!$W:$W,0)</f>
        <v>13500</v>
      </c>
      <c r="U198" s="12">
        <f>_xlfn.XLOOKUP(B198,[1]Sheet1!$B:$B,[1]Sheet1!$X:$X,0)</f>
        <v>13500</v>
      </c>
      <c r="V198" s="12">
        <f>_xlfn.XLOOKUP(B198,[1]Sheet1!$B:$B,[1]Sheet1!$Y:$Y,0)</f>
        <v>40500</v>
      </c>
      <c r="W198" s="12">
        <f t="shared" si="9"/>
        <v>162000</v>
      </c>
      <c r="X198" s="6" t="s">
        <v>74</v>
      </c>
      <c r="Y198" s="6" t="s">
        <v>65</v>
      </c>
      <c r="Z198" s="6" t="s">
        <v>66</v>
      </c>
      <c r="AA198" s="6" t="s">
        <v>44</v>
      </c>
      <c r="AB198" s="6" t="s">
        <v>36</v>
      </c>
      <c r="AC198" s="6" t="s">
        <v>37</v>
      </c>
      <c r="AD198" s="6" t="s">
        <v>69</v>
      </c>
      <c r="AE198" s="6" t="s">
        <v>39</v>
      </c>
      <c r="AF198" s="6" t="s">
        <v>40</v>
      </c>
      <c r="AG198" s="7">
        <v>162000</v>
      </c>
      <c r="AH198" s="11">
        <f>_xlfn.XLOOKUP(B198,[1]Sheet1!$B:$B,[1]Sheet1!$AB:$AB,0)</f>
        <v>162000</v>
      </c>
    </row>
    <row r="199" spans="2:34" ht="16.8" thickTop="1" thickBot="1" x14ac:dyDescent="0.35">
      <c r="B199" s="3" t="str">
        <f t="shared" si="8"/>
        <v>45111504511000306Design &amp; Build-N491211300105</v>
      </c>
      <c r="C199" s="8" t="s">
        <v>299</v>
      </c>
      <c r="D199" s="8" t="s">
        <v>409</v>
      </c>
      <c r="E199" s="8" t="s">
        <v>410</v>
      </c>
      <c r="F199" s="8" t="s">
        <v>208</v>
      </c>
      <c r="G199" s="4" t="s">
        <v>2839</v>
      </c>
      <c r="H199" s="4" t="s">
        <v>2923</v>
      </c>
      <c r="I199" s="8" t="s">
        <v>411</v>
      </c>
      <c r="J199" s="8" t="s">
        <v>31</v>
      </c>
      <c r="K199" s="12">
        <f>_xlfn.XLOOKUP(B199,[1]Sheet1!$B:$B,[1]Sheet1!$N:$N,0)</f>
        <v>0</v>
      </c>
      <c r="L199" s="12">
        <f>_xlfn.XLOOKUP(B199,[1]Sheet1!$B:$B,[1]Sheet1!$O:$O,0)</f>
        <v>0</v>
      </c>
      <c r="M199" s="12">
        <f>_xlfn.XLOOKUP(B199,[1]Sheet1!$B:$B,[1]Sheet1!$P:$P,0)</f>
        <v>0</v>
      </c>
      <c r="N199" s="12">
        <f>_xlfn.XLOOKUP(B199,[1]Sheet1!$B:$B,[1]Sheet1!$Q:$Q,0)</f>
        <v>0</v>
      </c>
      <c r="O199" s="12">
        <f>_xlfn.XLOOKUP(B199,[1]Sheet1!$B:$B,[1]Sheet1!$R:$R,0)</f>
        <v>0</v>
      </c>
      <c r="P199" s="12">
        <f>_xlfn.XLOOKUP(B199,[1]Sheet1!$B:$B,[1]Sheet1!$S:$S,0)</f>
        <v>0</v>
      </c>
      <c r="Q199" s="12">
        <f>_xlfn.XLOOKUP(B199,[1]Sheet1!$B:$B,[1]Sheet1!$T:$T,0)</f>
        <v>0</v>
      </c>
      <c r="R199" s="12">
        <f>_xlfn.XLOOKUP(B199,[1]Sheet1!$B:$B,[1]Sheet1!$U:$U,0)</f>
        <v>0</v>
      </c>
      <c r="S199" s="12">
        <f>_xlfn.XLOOKUP(B199,[1]Sheet1!$B:$B,[1]Sheet1!$V:$V,0)</f>
        <v>0</v>
      </c>
      <c r="T199" s="12">
        <f>_xlfn.XLOOKUP(B199,[1]Sheet1!$B:$B,[1]Sheet1!$W:$W,0)</f>
        <v>0</v>
      </c>
      <c r="U199" s="12">
        <f>_xlfn.XLOOKUP(B199,[1]Sheet1!$B:$B,[1]Sheet1!$X:$X,0)</f>
        <v>0</v>
      </c>
      <c r="V199" s="12">
        <f>_xlfn.XLOOKUP(B199,[1]Sheet1!$B:$B,[1]Sheet1!$Y:$Y,0)</f>
        <v>0</v>
      </c>
      <c r="W199" s="12">
        <f t="shared" si="9"/>
        <v>0</v>
      </c>
      <c r="X199" s="8" t="s">
        <v>412</v>
      </c>
      <c r="Y199" s="8" t="s">
        <v>65</v>
      </c>
      <c r="Z199" s="8" t="s">
        <v>298</v>
      </c>
      <c r="AA199" s="8" t="s">
        <v>411</v>
      </c>
      <c r="AB199" s="8" t="s">
        <v>93</v>
      </c>
      <c r="AC199" s="8" t="s">
        <v>94</v>
      </c>
      <c r="AD199" s="8" t="s">
        <v>413</v>
      </c>
      <c r="AE199" s="8" t="s">
        <v>39</v>
      </c>
      <c r="AF199" s="8" t="s">
        <v>40</v>
      </c>
      <c r="AG199" s="9">
        <v>350000</v>
      </c>
      <c r="AH199" s="11">
        <f>_xlfn.XLOOKUP(B199,[1]Sheet1!$B:$B,[1]Sheet1!$AB:$AB,0)</f>
        <v>350000</v>
      </c>
    </row>
    <row r="200" spans="2:34" ht="16.8" thickTop="1" thickBot="1" x14ac:dyDescent="0.35">
      <c r="B200" s="3" t="str">
        <f t="shared" si="8"/>
        <v>45110204511000306Freelancers-N424521200104</v>
      </c>
      <c r="C200" s="6" t="s">
        <v>302</v>
      </c>
      <c r="D200" s="6" t="s">
        <v>409</v>
      </c>
      <c r="E200" s="6" t="s">
        <v>410</v>
      </c>
      <c r="F200" s="6" t="s">
        <v>50</v>
      </c>
      <c r="G200" s="4" t="s">
        <v>2804</v>
      </c>
      <c r="H200" s="4" t="s">
        <v>2922</v>
      </c>
      <c r="I200" s="6" t="s">
        <v>51</v>
      </c>
      <c r="J200" s="6" t="s">
        <v>31</v>
      </c>
      <c r="K200" s="12">
        <f>_xlfn.XLOOKUP(B200,[1]Sheet1!$B:$B,[1]Sheet1!$N:$N,0)</f>
        <v>0</v>
      </c>
      <c r="L200" s="12">
        <f>_xlfn.XLOOKUP(B200,[1]Sheet1!$B:$B,[1]Sheet1!$O:$O,0)</f>
        <v>0</v>
      </c>
      <c r="M200" s="12">
        <f>_xlfn.XLOOKUP(B200,[1]Sheet1!$B:$B,[1]Sheet1!$P:$P,0)</f>
        <v>0</v>
      </c>
      <c r="N200" s="12">
        <f>_xlfn.XLOOKUP(B200,[1]Sheet1!$B:$B,[1]Sheet1!$Q:$Q,0)</f>
        <v>0</v>
      </c>
      <c r="O200" s="12">
        <f>_xlfn.XLOOKUP(B200,[1]Sheet1!$B:$B,[1]Sheet1!$R:$R,0)</f>
        <v>0</v>
      </c>
      <c r="P200" s="12">
        <f>_xlfn.XLOOKUP(B200,[1]Sheet1!$B:$B,[1]Sheet1!$S:$S,0)</f>
        <v>0</v>
      </c>
      <c r="Q200" s="12">
        <f>_xlfn.XLOOKUP(B200,[1]Sheet1!$B:$B,[1]Sheet1!$T:$T,0)</f>
        <v>0</v>
      </c>
      <c r="R200" s="12">
        <f>_xlfn.XLOOKUP(B200,[1]Sheet1!$B:$B,[1]Sheet1!$U:$U,0)</f>
        <v>0</v>
      </c>
      <c r="S200" s="12">
        <f>_xlfn.XLOOKUP(B200,[1]Sheet1!$B:$B,[1]Sheet1!$V:$V,0)</f>
        <v>0</v>
      </c>
      <c r="T200" s="12">
        <f>_xlfn.XLOOKUP(B200,[1]Sheet1!$B:$B,[1]Sheet1!$W:$W,0)</f>
        <v>0</v>
      </c>
      <c r="U200" s="12">
        <f>_xlfn.XLOOKUP(B200,[1]Sheet1!$B:$B,[1]Sheet1!$X:$X,0)</f>
        <v>0</v>
      </c>
      <c r="V200" s="12">
        <f>_xlfn.XLOOKUP(B200,[1]Sheet1!$B:$B,[1]Sheet1!$Y:$Y,0)</f>
        <v>0</v>
      </c>
      <c r="W200" s="12">
        <f t="shared" si="9"/>
        <v>0</v>
      </c>
      <c r="X200" s="6" t="s">
        <v>414</v>
      </c>
      <c r="Y200" s="6" t="s">
        <v>65</v>
      </c>
      <c r="Z200" s="6" t="s">
        <v>301</v>
      </c>
      <c r="AA200" s="6" t="s">
        <v>53</v>
      </c>
      <c r="AB200" s="6" t="s">
        <v>36</v>
      </c>
      <c r="AC200" s="6" t="s">
        <v>37</v>
      </c>
      <c r="AD200" s="6" t="s">
        <v>413</v>
      </c>
      <c r="AE200" s="6" t="s">
        <v>39</v>
      </c>
      <c r="AF200" s="6" t="s">
        <v>40</v>
      </c>
      <c r="AG200" s="7">
        <v>120000</v>
      </c>
      <c r="AH200" s="11">
        <f>_xlfn.XLOOKUP(B200,[1]Sheet1!$B:$B,[1]Sheet1!$AB:$AB,0)</f>
        <v>120000</v>
      </c>
    </row>
    <row r="201" spans="2:34" ht="16.8" thickTop="1" thickBot="1" x14ac:dyDescent="0.35">
      <c r="B201" s="3" t="str">
        <f t="shared" si="8"/>
        <v>45111504511000306Freelancers-N1424521200104</v>
      </c>
      <c r="C201" s="8" t="s">
        <v>299</v>
      </c>
      <c r="D201" s="8" t="s">
        <v>409</v>
      </c>
      <c r="E201" s="8" t="s">
        <v>410</v>
      </c>
      <c r="F201" s="8" t="s">
        <v>303</v>
      </c>
      <c r="G201" s="4" t="s">
        <v>2804</v>
      </c>
      <c r="H201" s="4" t="s">
        <v>2922</v>
      </c>
      <c r="I201" s="8" t="s">
        <v>51</v>
      </c>
      <c r="J201" s="8" t="s">
        <v>31</v>
      </c>
      <c r="K201" s="12">
        <f>_xlfn.XLOOKUP(B201,[1]Sheet1!$B:$B,[1]Sheet1!$N:$N,0)</f>
        <v>0</v>
      </c>
      <c r="L201" s="12">
        <f>_xlfn.XLOOKUP(B201,[1]Sheet1!$B:$B,[1]Sheet1!$O:$O,0)</f>
        <v>0</v>
      </c>
      <c r="M201" s="12">
        <f>_xlfn.XLOOKUP(B201,[1]Sheet1!$B:$B,[1]Sheet1!$P:$P,0)</f>
        <v>30000</v>
      </c>
      <c r="N201" s="12">
        <f>_xlfn.XLOOKUP(B201,[1]Sheet1!$B:$B,[1]Sheet1!$Q:$Q,0)</f>
        <v>59000</v>
      </c>
      <c r="O201" s="12">
        <f>_xlfn.XLOOKUP(B201,[1]Sheet1!$B:$B,[1]Sheet1!$R:$R,0)</f>
        <v>114500</v>
      </c>
      <c r="P201" s="12">
        <f>_xlfn.XLOOKUP(B201,[1]Sheet1!$B:$B,[1]Sheet1!$S:$S,0)</f>
        <v>114500</v>
      </c>
      <c r="Q201" s="12">
        <f>_xlfn.XLOOKUP(B201,[1]Sheet1!$B:$B,[1]Sheet1!$T:$T,0)</f>
        <v>114500</v>
      </c>
      <c r="R201" s="12">
        <f>_xlfn.XLOOKUP(B201,[1]Sheet1!$B:$B,[1]Sheet1!$U:$U,0)</f>
        <v>114500</v>
      </c>
      <c r="S201" s="12">
        <f>_xlfn.XLOOKUP(B201,[1]Sheet1!$B:$B,[1]Sheet1!$V:$V,0)</f>
        <v>114500</v>
      </c>
      <c r="T201" s="12">
        <f>_xlfn.XLOOKUP(B201,[1]Sheet1!$B:$B,[1]Sheet1!$W:$W,0)</f>
        <v>114500</v>
      </c>
      <c r="U201" s="12">
        <f>_xlfn.XLOOKUP(B201,[1]Sheet1!$B:$B,[1]Sheet1!$X:$X,0)</f>
        <v>164500</v>
      </c>
      <c r="V201" s="12">
        <f>_xlfn.XLOOKUP(B201,[1]Sheet1!$B:$B,[1]Sheet1!$Y:$Y,0)</f>
        <v>100000</v>
      </c>
      <c r="W201" s="12">
        <f t="shared" si="9"/>
        <v>1040500</v>
      </c>
      <c r="X201" s="8" t="s">
        <v>415</v>
      </c>
      <c r="Y201" s="8" t="s">
        <v>65</v>
      </c>
      <c r="Z201" s="8" t="s">
        <v>298</v>
      </c>
      <c r="AA201" s="8" t="s">
        <v>53</v>
      </c>
      <c r="AB201" s="8" t="s">
        <v>36</v>
      </c>
      <c r="AC201" s="8" t="s">
        <v>37</v>
      </c>
      <c r="AD201" s="8" t="s">
        <v>413</v>
      </c>
      <c r="AE201" s="8" t="s">
        <v>39</v>
      </c>
      <c r="AF201" s="8" t="s">
        <v>40</v>
      </c>
      <c r="AG201" s="9">
        <v>910300</v>
      </c>
      <c r="AH201" s="11">
        <f>_xlfn.XLOOKUP(B201,[1]Sheet1!$B:$B,[1]Sheet1!$AB:$AB,0)</f>
        <v>910300</v>
      </c>
    </row>
    <row r="202" spans="2:34" ht="16.8" thickTop="1" thickBot="1" x14ac:dyDescent="0.35">
      <c r="B202" s="3" t="str">
        <f t="shared" si="8"/>
        <v>45112504511000318Audio &amp; Visual-N491335300105</v>
      </c>
      <c r="C202" s="6" t="s">
        <v>67</v>
      </c>
      <c r="D202" s="6" t="s">
        <v>416</v>
      </c>
      <c r="E202" s="6" t="s">
        <v>417</v>
      </c>
      <c r="F202" s="6" t="s">
        <v>418</v>
      </c>
      <c r="G202" s="4" t="s">
        <v>2840</v>
      </c>
      <c r="H202" s="4" t="s">
        <v>2923</v>
      </c>
      <c r="I202" s="6" t="s">
        <v>419</v>
      </c>
      <c r="J202" s="6" t="s">
        <v>31</v>
      </c>
      <c r="K202" s="12">
        <f>_xlfn.XLOOKUP(B202,[1]Sheet1!$B:$B,[1]Sheet1!$N:$N,0)</f>
        <v>0</v>
      </c>
      <c r="L202" s="12">
        <f>_xlfn.XLOOKUP(B202,[1]Sheet1!$B:$B,[1]Sheet1!$O:$O,0)</f>
        <v>0</v>
      </c>
      <c r="M202" s="12">
        <f>_xlfn.XLOOKUP(B202,[1]Sheet1!$B:$B,[1]Sheet1!$P:$P,0)</f>
        <v>0</v>
      </c>
      <c r="N202" s="12">
        <f>_xlfn.XLOOKUP(B202,[1]Sheet1!$B:$B,[1]Sheet1!$Q:$Q,0)</f>
        <v>0</v>
      </c>
      <c r="O202" s="12">
        <f>_xlfn.XLOOKUP(B202,[1]Sheet1!$B:$B,[1]Sheet1!$R:$R,0)</f>
        <v>0</v>
      </c>
      <c r="P202" s="12">
        <f>_xlfn.XLOOKUP(B202,[1]Sheet1!$B:$B,[1]Sheet1!$S:$S,0)</f>
        <v>0</v>
      </c>
      <c r="Q202" s="12">
        <f>_xlfn.XLOOKUP(B202,[1]Sheet1!$B:$B,[1]Sheet1!$T:$T,0)</f>
        <v>0</v>
      </c>
      <c r="R202" s="12">
        <f>_xlfn.XLOOKUP(B202,[1]Sheet1!$B:$B,[1]Sheet1!$U:$U,0)</f>
        <v>0</v>
      </c>
      <c r="S202" s="12">
        <f>_xlfn.XLOOKUP(B202,[1]Sheet1!$B:$B,[1]Sheet1!$V:$V,0)</f>
        <v>0</v>
      </c>
      <c r="T202" s="12">
        <f>_xlfn.XLOOKUP(B202,[1]Sheet1!$B:$B,[1]Sheet1!$W:$W,0)</f>
        <v>2418017</v>
      </c>
      <c r="U202" s="12">
        <f>_xlfn.XLOOKUP(B202,[1]Sheet1!$B:$B,[1]Sheet1!$X:$X,0)</f>
        <v>0</v>
      </c>
      <c r="V202" s="12">
        <f>_xlfn.XLOOKUP(B202,[1]Sheet1!$B:$B,[1]Sheet1!$Y:$Y,0)</f>
        <v>0</v>
      </c>
      <c r="W202" s="12">
        <f t="shared" si="9"/>
        <v>2418017</v>
      </c>
      <c r="X202" s="6" t="s">
        <v>420</v>
      </c>
      <c r="Y202" s="6" t="s">
        <v>65</v>
      </c>
      <c r="Z202" s="6" t="s">
        <v>66</v>
      </c>
      <c r="AA202" s="6" t="s">
        <v>421</v>
      </c>
      <c r="AB202" s="6" t="s">
        <v>93</v>
      </c>
      <c r="AC202" s="6" t="s">
        <v>94</v>
      </c>
      <c r="AD202" s="6" t="s">
        <v>69</v>
      </c>
      <c r="AE202" s="6" t="s">
        <v>39</v>
      </c>
      <c r="AF202" s="6" t="s">
        <v>40</v>
      </c>
      <c r="AG202" s="7">
        <v>2418017</v>
      </c>
      <c r="AH202" s="11">
        <f>_xlfn.XLOOKUP(B202,[1]Sheet1!$B:$B,[1]Sheet1!$AB:$AB,0)</f>
        <v>2418017</v>
      </c>
    </row>
    <row r="203" spans="2:34" ht="16.8" thickTop="1" thickBot="1" x14ac:dyDescent="0.35">
      <c r="B203" s="3" t="str">
        <f t="shared" si="8"/>
        <v>45112504511000318Manpower-N424521200104</v>
      </c>
      <c r="C203" s="8" t="s">
        <v>67</v>
      </c>
      <c r="D203" s="8" t="s">
        <v>416</v>
      </c>
      <c r="E203" s="8" t="s">
        <v>417</v>
      </c>
      <c r="F203" s="8" t="s">
        <v>98</v>
      </c>
      <c r="G203" s="4" t="s">
        <v>2804</v>
      </c>
      <c r="H203" s="4" t="s">
        <v>2922</v>
      </c>
      <c r="I203" s="8" t="s">
        <v>51</v>
      </c>
      <c r="J203" s="8" t="s">
        <v>31</v>
      </c>
      <c r="K203" s="12">
        <f>_xlfn.XLOOKUP(B203,[1]Sheet1!$B:$B,[1]Sheet1!$N:$N,0)</f>
        <v>0</v>
      </c>
      <c r="L203" s="12">
        <f>_xlfn.XLOOKUP(B203,[1]Sheet1!$B:$B,[1]Sheet1!$O:$O,0)</f>
        <v>0</v>
      </c>
      <c r="M203" s="12">
        <f>_xlfn.XLOOKUP(B203,[1]Sheet1!$B:$B,[1]Sheet1!$P:$P,0)</f>
        <v>0</v>
      </c>
      <c r="N203" s="12">
        <f>_xlfn.XLOOKUP(B203,[1]Sheet1!$B:$B,[1]Sheet1!$Q:$Q,0)</f>
        <v>963333.35</v>
      </c>
      <c r="O203" s="12">
        <f>_xlfn.XLOOKUP(B203,[1]Sheet1!$B:$B,[1]Sheet1!$R:$R,0)</f>
        <v>240833.34</v>
      </c>
      <c r="P203" s="12">
        <f>_xlfn.XLOOKUP(B203,[1]Sheet1!$B:$B,[1]Sheet1!$S:$S,0)</f>
        <v>240833.33</v>
      </c>
      <c r="Q203" s="12">
        <f>_xlfn.XLOOKUP(B203,[1]Sheet1!$B:$B,[1]Sheet1!$T:$T,0)</f>
        <v>240833.33</v>
      </c>
      <c r="R203" s="12">
        <f>_xlfn.XLOOKUP(B203,[1]Sheet1!$B:$B,[1]Sheet1!$U:$U,0)</f>
        <v>240833.33</v>
      </c>
      <c r="S203" s="12">
        <f>_xlfn.XLOOKUP(B203,[1]Sheet1!$B:$B,[1]Sheet1!$V:$V,0)</f>
        <v>240833.33</v>
      </c>
      <c r="T203" s="12">
        <f>_xlfn.XLOOKUP(B203,[1]Sheet1!$B:$B,[1]Sheet1!$W:$W,0)</f>
        <v>240833.33</v>
      </c>
      <c r="U203" s="12">
        <f>_xlfn.XLOOKUP(B203,[1]Sheet1!$B:$B,[1]Sheet1!$X:$X,0)</f>
        <v>240833.33</v>
      </c>
      <c r="V203" s="12">
        <f>_xlfn.XLOOKUP(B203,[1]Sheet1!$B:$B,[1]Sheet1!$Y:$Y,0)</f>
        <v>240833.33</v>
      </c>
      <c r="W203" s="12">
        <f t="shared" si="9"/>
        <v>2890000.0000000005</v>
      </c>
      <c r="X203" s="8" t="s">
        <v>82</v>
      </c>
      <c r="Y203" s="8" t="s">
        <v>65</v>
      </c>
      <c r="Z203" s="8" t="s">
        <v>66</v>
      </c>
      <c r="AA203" s="8" t="s">
        <v>53</v>
      </c>
      <c r="AB203" s="8" t="s">
        <v>36</v>
      </c>
      <c r="AC203" s="8" t="s">
        <v>37</v>
      </c>
      <c r="AD203" s="8" t="s">
        <v>69</v>
      </c>
      <c r="AE203" s="8" t="s">
        <v>39</v>
      </c>
      <c r="AF203" s="8" t="s">
        <v>40</v>
      </c>
      <c r="AG203" s="9">
        <v>2890000</v>
      </c>
      <c r="AH203" s="11">
        <f>_xlfn.XLOOKUP(B203,[1]Sheet1!$B:$B,[1]Sheet1!$AB:$AB,0)</f>
        <v>2890000.0000000005</v>
      </c>
    </row>
    <row r="204" spans="2:34" ht="16.8" thickTop="1" thickBot="1" x14ac:dyDescent="0.35">
      <c r="B204" s="3" t="str">
        <f t="shared" si="8"/>
        <v>45115504511000318Media Mgmnt &amp;Buy-N422511200104</v>
      </c>
      <c r="C204" s="6" t="s">
        <v>154</v>
      </c>
      <c r="D204" s="6" t="s">
        <v>416</v>
      </c>
      <c r="E204" s="6" t="s">
        <v>417</v>
      </c>
      <c r="F204" s="6" t="s">
        <v>166</v>
      </c>
      <c r="G204" s="4" t="s">
        <v>2819</v>
      </c>
      <c r="H204" s="4" t="s">
        <v>2922</v>
      </c>
      <c r="I204" s="6" t="s">
        <v>151</v>
      </c>
      <c r="J204" s="6" t="s">
        <v>31</v>
      </c>
      <c r="K204" s="12">
        <f>_xlfn.XLOOKUP(B204,[1]Sheet1!$B:$B,[1]Sheet1!$N:$N,0)</f>
        <v>0</v>
      </c>
      <c r="L204" s="12">
        <f>_xlfn.XLOOKUP(B204,[1]Sheet1!$B:$B,[1]Sheet1!$O:$O,0)</f>
        <v>0</v>
      </c>
      <c r="M204" s="12">
        <f>_xlfn.XLOOKUP(B204,[1]Sheet1!$B:$B,[1]Sheet1!$P:$P,0)</f>
        <v>0</v>
      </c>
      <c r="N204" s="12">
        <f>_xlfn.XLOOKUP(B204,[1]Sheet1!$B:$B,[1]Sheet1!$Q:$Q,0)</f>
        <v>206152.6666666668</v>
      </c>
      <c r="O204" s="12">
        <f>_xlfn.XLOOKUP(B204,[1]Sheet1!$B:$B,[1]Sheet1!$R:$R,0)</f>
        <v>51538.166666666686</v>
      </c>
      <c r="P204" s="12">
        <f>_xlfn.XLOOKUP(B204,[1]Sheet1!$B:$B,[1]Sheet1!$S:$S,0)</f>
        <v>51538.166666666686</v>
      </c>
      <c r="Q204" s="12">
        <f>_xlfn.XLOOKUP(B204,[1]Sheet1!$B:$B,[1]Sheet1!$T:$T,0)</f>
        <v>51538.166666666686</v>
      </c>
      <c r="R204" s="12">
        <f>_xlfn.XLOOKUP(B204,[1]Sheet1!$B:$B,[1]Sheet1!$U:$U,0)</f>
        <v>51538.166666666686</v>
      </c>
      <c r="S204" s="12">
        <f>_xlfn.XLOOKUP(B204,[1]Sheet1!$B:$B,[1]Sheet1!$V:$V,0)</f>
        <v>51538.166666666686</v>
      </c>
      <c r="T204" s="12">
        <f>_xlfn.XLOOKUP(B204,[1]Sheet1!$B:$B,[1]Sheet1!$W:$W,0)</f>
        <v>51538.166666666686</v>
      </c>
      <c r="U204" s="12">
        <f>_xlfn.XLOOKUP(B204,[1]Sheet1!$B:$B,[1]Sheet1!$X:$X,0)</f>
        <v>51538.166666666686</v>
      </c>
      <c r="V204" s="12">
        <f>_xlfn.XLOOKUP(B204,[1]Sheet1!$B:$B,[1]Sheet1!$Y:$Y,0)</f>
        <v>51538.166666666686</v>
      </c>
      <c r="W204" s="12">
        <f t="shared" si="9"/>
        <v>618458.00000000023</v>
      </c>
      <c r="X204" s="6" t="s">
        <v>152</v>
      </c>
      <c r="Y204" s="6" t="s">
        <v>65</v>
      </c>
      <c r="Z204" s="6" t="s">
        <v>153</v>
      </c>
      <c r="AA204" s="6" t="s">
        <v>151</v>
      </c>
      <c r="AB204" s="6" t="s">
        <v>36</v>
      </c>
      <c r="AC204" s="6" t="s">
        <v>37</v>
      </c>
      <c r="AD204" s="6" t="s">
        <v>69</v>
      </c>
      <c r="AE204" s="6" t="s">
        <v>39</v>
      </c>
      <c r="AF204" s="6" t="s">
        <v>40</v>
      </c>
      <c r="AG204" s="7">
        <v>618458</v>
      </c>
      <c r="AH204" s="11">
        <f>_xlfn.XLOOKUP(B204,[1]Sheet1!$B:$B,[1]Sheet1!$AB:$AB,0)</f>
        <v>618458.00000000023</v>
      </c>
    </row>
    <row r="205" spans="2:34" ht="16.8" thickTop="1" thickBot="1" x14ac:dyDescent="0.35">
      <c r="B205" s="3" t="str">
        <f t="shared" si="8"/>
        <v>45115504511000318SM Managnt E-E-N422511200104</v>
      </c>
      <c r="C205" s="8" t="s">
        <v>154</v>
      </c>
      <c r="D205" s="8" t="s">
        <v>416</v>
      </c>
      <c r="E205" s="8" t="s">
        <v>417</v>
      </c>
      <c r="F205" s="8" t="s">
        <v>255</v>
      </c>
      <c r="G205" s="4" t="s">
        <v>2819</v>
      </c>
      <c r="H205" s="4" t="s">
        <v>2922</v>
      </c>
      <c r="I205" s="8" t="s">
        <v>151</v>
      </c>
      <c r="J205" s="8" t="s">
        <v>31</v>
      </c>
      <c r="K205" s="12">
        <f>_xlfn.XLOOKUP(B205,[1]Sheet1!$B:$B,[1]Sheet1!$N:$N,0)</f>
        <v>0</v>
      </c>
      <c r="L205" s="12">
        <f>_xlfn.XLOOKUP(B205,[1]Sheet1!$B:$B,[1]Sheet1!$O:$O,0)</f>
        <v>0</v>
      </c>
      <c r="M205" s="12">
        <f>_xlfn.XLOOKUP(B205,[1]Sheet1!$B:$B,[1]Sheet1!$P:$P,0)</f>
        <v>0</v>
      </c>
      <c r="N205" s="12">
        <f>_xlfn.XLOOKUP(B205,[1]Sheet1!$B:$B,[1]Sheet1!$Q:$Q,0)</f>
        <v>133333.33333333323</v>
      </c>
      <c r="O205" s="12">
        <f>_xlfn.XLOOKUP(B205,[1]Sheet1!$B:$B,[1]Sheet1!$R:$R,0)</f>
        <v>33333.333333333336</v>
      </c>
      <c r="P205" s="12">
        <f>_xlfn.XLOOKUP(B205,[1]Sheet1!$B:$B,[1]Sheet1!$S:$S,0)</f>
        <v>33333.333333333336</v>
      </c>
      <c r="Q205" s="12">
        <f>_xlfn.XLOOKUP(B205,[1]Sheet1!$B:$B,[1]Sheet1!$T:$T,0)</f>
        <v>33333.333333333336</v>
      </c>
      <c r="R205" s="12">
        <f>_xlfn.XLOOKUP(B205,[1]Sheet1!$B:$B,[1]Sheet1!$U:$U,0)</f>
        <v>33333.333333333336</v>
      </c>
      <c r="S205" s="12">
        <f>_xlfn.XLOOKUP(B205,[1]Sheet1!$B:$B,[1]Sheet1!$V:$V,0)</f>
        <v>33333.333333333336</v>
      </c>
      <c r="T205" s="12">
        <f>_xlfn.XLOOKUP(B205,[1]Sheet1!$B:$B,[1]Sheet1!$W:$W,0)</f>
        <v>33333.333333333336</v>
      </c>
      <c r="U205" s="12">
        <f>_xlfn.XLOOKUP(B205,[1]Sheet1!$B:$B,[1]Sheet1!$X:$X,0)</f>
        <v>33333.333333333336</v>
      </c>
      <c r="V205" s="12">
        <f>_xlfn.XLOOKUP(B205,[1]Sheet1!$B:$B,[1]Sheet1!$Y:$Y,0)</f>
        <v>33333.333333333336</v>
      </c>
      <c r="W205" s="12">
        <f t="shared" si="9"/>
        <v>399999.99999999983</v>
      </c>
      <c r="X205" s="8" t="s">
        <v>152</v>
      </c>
      <c r="Y205" s="8" t="s">
        <v>65</v>
      </c>
      <c r="Z205" s="8" t="s">
        <v>153</v>
      </c>
      <c r="AA205" s="8" t="s">
        <v>151</v>
      </c>
      <c r="AB205" s="8" t="s">
        <v>36</v>
      </c>
      <c r="AC205" s="8" t="s">
        <v>37</v>
      </c>
      <c r="AD205" s="8" t="s">
        <v>69</v>
      </c>
      <c r="AE205" s="8" t="s">
        <v>39</v>
      </c>
      <c r="AF205" s="8" t="s">
        <v>40</v>
      </c>
      <c r="AG205" s="9">
        <v>400000</v>
      </c>
      <c r="AH205" s="11">
        <f>_xlfn.XLOOKUP(B205,[1]Sheet1!$B:$B,[1]Sheet1!$AB:$AB,0)</f>
        <v>399999.99999999983</v>
      </c>
    </row>
    <row r="206" spans="2:34" ht="16.8" thickTop="1" thickBot="1" x14ac:dyDescent="0.35">
      <c r="B206" s="3" t="str">
        <f t="shared" si="8"/>
        <v>45102014511000324Admin Expenses-N421125200104</v>
      </c>
      <c r="C206" s="6" t="s">
        <v>426</v>
      </c>
      <c r="D206" s="6" t="s">
        <v>422</v>
      </c>
      <c r="E206" s="6" t="s">
        <v>423</v>
      </c>
      <c r="F206" s="6" t="s">
        <v>130</v>
      </c>
      <c r="G206" s="4" t="s">
        <v>2803</v>
      </c>
      <c r="H206" s="4" t="s">
        <v>2922</v>
      </c>
      <c r="I206" s="6" t="s">
        <v>44</v>
      </c>
      <c r="J206" s="6" t="s">
        <v>31</v>
      </c>
      <c r="K206" s="12">
        <f>_xlfn.XLOOKUP(B206,[1]Sheet1!$B:$B,[1]Sheet1!$N:$N,0)</f>
        <v>0</v>
      </c>
      <c r="L206" s="12">
        <f>_xlfn.XLOOKUP(B206,[1]Sheet1!$B:$B,[1]Sheet1!$O:$O,0)</f>
        <v>0</v>
      </c>
      <c r="M206" s="12">
        <f>_xlfn.XLOOKUP(B206,[1]Sheet1!$B:$B,[1]Sheet1!$P:$P,0)</f>
        <v>0</v>
      </c>
      <c r="N206" s="12">
        <f>_xlfn.XLOOKUP(B206,[1]Sheet1!$B:$B,[1]Sheet1!$Q:$Q,0)</f>
        <v>30000</v>
      </c>
      <c r="O206" s="12">
        <f>_xlfn.XLOOKUP(B206,[1]Sheet1!$B:$B,[1]Sheet1!$R:$R,0)</f>
        <v>0</v>
      </c>
      <c r="P206" s="12">
        <f>_xlfn.XLOOKUP(B206,[1]Sheet1!$B:$B,[1]Sheet1!$S:$S,0)</f>
        <v>0</v>
      </c>
      <c r="Q206" s="12">
        <f>_xlfn.XLOOKUP(B206,[1]Sheet1!$B:$B,[1]Sheet1!$T:$T,0)</f>
        <v>30000</v>
      </c>
      <c r="R206" s="12">
        <f>_xlfn.XLOOKUP(B206,[1]Sheet1!$B:$B,[1]Sheet1!$U:$U,0)</f>
        <v>0</v>
      </c>
      <c r="S206" s="12">
        <f>_xlfn.XLOOKUP(B206,[1]Sheet1!$B:$B,[1]Sheet1!$V:$V,0)</f>
        <v>0</v>
      </c>
      <c r="T206" s="12">
        <f>_xlfn.XLOOKUP(B206,[1]Sheet1!$B:$B,[1]Sheet1!$W:$W,0)</f>
        <v>0</v>
      </c>
      <c r="U206" s="12">
        <f>_xlfn.XLOOKUP(B206,[1]Sheet1!$B:$B,[1]Sheet1!$X:$X,0)</f>
        <v>30000</v>
      </c>
      <c r="V206" s="12">
        <f>_xlfn.XLOOKUP(B206,[1]Sheet1!$B:$B,[1]Sheet1!$Y:$Y,0)</f>
        <v>36249</v>
      </c>
      <c r="W206" s="12">
        <f t="shared" si="9"/>
        <v>126249</v>
      </c>
      <c r="X206" s="6" t="s">
        <v>424</v>
      </c>
      <c r="Y206" s="6" t="s">
        <v>132</v>
      </c>
      <c r="Z206" s="6" t="s">
        <v>425</v>
      </c>
      <c r="AA206" s="6" t="s">
        <v>44</v>
      </c>
      <c r="AB206" s="6" t="s">
        <v>36</v>
      </c>
      <c r="AC206" s="6" t="s">
        <v>37</v>
      </c>
      <c r="AD206" s="6" t="s">
        <v>38</v>
      </c>
      <c r="AE206" s="6" t="s">
        <v>39</v>
      </c>
      <c r="AF206" s="6" t="s">
        <v>40</v>
      </c>
      <c r="AG206" s="7">
        <v>126249</v>
      </c>
      <c r="AH206" s="11">
        <f>_xlfn.XLOOKUP(B206,[1]Sheet1!$B:$B,[1]Sheet1!$AB:$AB,0)</f>
        <v>126249</v>
      </c>
    </row>
    <row r="207" spans="2:34" ht="16.8" thickTop="1" thickBot="1" x14ac:dyDescent="0.35">
      <c r="B207" s="3" t="str">
        <f t="shared" si="8"/>
        <v>45102014511000324Mission &amp; Travel-N423821200104</v>
      </c>
      <c r="C207" s="8" t="s">
        <v>426</v>
      </c>
      <c r="D207" s="8" t="s">
        <v>422</v>
      </c>
      <c r="E207" s="8" t="s">
        <v>423</v>
      </c>
      <c r="F207" s="8" t="s">
        <v>54</v>
      </c>
      <c r="G207" s="4" t="s">
        <v>2805</v>
      </c>
      <c r="H207" s="4" t="s">
        <v>2922</v>
      </c>
      <c r="I207" s="8" t="s">
        <v>55</v>
      </c>
      <c r="J207" s="8" t="s">
        <v>31</v>
      </c>
      <c r="K207" s="12">
        <f>_xlfn.XLOOKUP(B207,[1]Sheet1!$B:$B,[1]Sheet1!$N:$N,0)</f>
        <v>0</v>
      </c>
      <c r="L207" s="12">
        <f>_xlfn.XLOOKUP(B207,[1]Sheet1!$B:$B,[1]Sheet1!$O:$O,0)</f>
        <v>0</v>
      </c>
      <c r="M207" s="12">
        <f>_xlfn.XLOOKUP(B207,[1]Sheet1!$B:$B,[1]Sheet1!$P:$P,0)</f>
        <v>0</v>
      </c>
      <c r="N207" s="12">
        <f>_xlfn.XLOOKUP(B207,[1]Sheet1!$B:$B,[1]Sheet1!$Q:$Q,0)</f>
        <v>0</v>
      </c>
      <c r="O207" s="12">
        <f>_xlfn.XLOOKUP(B207,[1]Sheet1!$B:$B,[1]Sheet1!$R:$R,0)</f>
        <v>0</v>
      </c>
      <c r="P207" s="12">
        <f>_xlfn.XLOOKUP(B207,[1]Sheet1!$B:$B,[1]Sheet1!$S:$S,0)</f>
        <v>50000</v>
      </c>
      <c r="Q207" s="12">
        <f>_xlfn.XLOOKUP(B207,[1]Sheet1!$B:$B,[1]Sheet1!$T:$T,0)</f>
        <v>0</v>
      </c>
      <c r="R207" s="12">
        <f>_xlfn.XLOOKUP(B207,[1]Sheet1!$B:$B,[1]Sheet1!$U:$U,0)</f>
        <v>0</v>
      </c>
      <c r="S207" s="12">
        <f>_xlfn.XLOOKUP(B207,[1]Sheet1!$B:$B,[1]Sheet1!$V:$V,0)</f>
        <v>0</v>
      </c>
      <c r="T207" s="12">
        <f>_xlfn.XLOOKUP(B207,[1]Sheet1!$B:$B,[1]Sheet1!$W:$W,0)</f>
        <v>100000</v>
      </c>
      <c r="U207" s="12">
        <f>_xlfn.XLOOKUP(B207,[1]Sheet1!$B:$B,[1]Sheet1!$X:$X,0)</f>
        <v>0</v>
      </c>
      <c r="V207" s="12">
        <f>_xlfn.XLOOKUP(B207,[1]Sheet1!$B:$B,[1]Sheet1!$Y:$Y,0)</f>
        <v>150000</v>
      </c>
      <c r="W207" s="12">
        <f t="shared" si="9"/>
        <v>300000</v>
      </c>
      <c r="X207" s="8" t="s">
        <v>427</v>
      </c>
      <c r="Y207" s="8" t="s">
        <v>132</v>
      </c>
      <c r="Z207" s="8" t="s">
        <v>425</v>
      </c>
      <c r="AA207" s="8" t="s">
        <v>55</v>
      </c>
      <c r="AB207" s="8" t="s">
        <v>36</v>
      </c>
      <c r="AC207" s="8" t="s">
        <v>37</v>
      </c>
      <c r="AD207" s="8" t="s">
        <v>38</v>
      </c>
      <c r="AE207" s="8" t="s">
        <v>39</v>
      </c>
      <c r="AF207" s="8" t="s">
        <v>40</v>
      </c>
      <c r="AG207" s="9">
        <v>300000</v>
      </c>
      <c r="AH207" s="11">
        <f>_xlfn.XLOOKUP(B207,[1]Sheet1!$B:$B,[1]Sheet1!$AB:$AB,0)</f>
        <v>300000</v>
      </c>
    </row>
    <row r="208" spans="2:34" ht="16.8" thickTop="1" thickBot="1" x14ac:dyDescent="0.35">
      <c r="B208" s="3" t="str">
        <f t="shared" si="8"/>
        <v>45102014511000324Strategy Advice-N421123200104</v>
      </c>
      <c r="C208" s="6" t="s">
        <v>426</v>
      </c>
      <c r="D208" s="6" t="s">
        <v>422</v>
      </c>
      <c r="E208" s="6" t="s">
        <v>423</v>
      </c>
      <c r="F208" s="6" t="s">
        <v>236</v>
      </c>
      <c r="G208" s="4" t="s">
        <v>2827</v>
      </c>
      <c r="H208" s="4" t="s">
        <v>2922</v>
      </c>
      <c r="I208" s="6" t="s">
        <v>237</v>
      </c>
      <c r="J208" s="6" t="s">
        <v>31</v>
      </c>
      <c r="K208" s="12">
        <f>_xlfn.XLOOKUP(B208,[1]Sheet1!$B:$B,[1]Sheet1!$N:$N,0)</f>
        <v>0</v>
      </c>
      <c r="L208" s="12">
        <f>_xlfn.XLOOKUP(B208,[1]Sheet1!$B:$B,[1]Sheet1!$O:$O,0)</f>
        <v>0</v>
      </c>
      <c r="M208" s="12">
        <f>_xlfn.XLOOKUP(B208,[1]Sheet1!$B:$B,[1]Sheet1!$P:$P,0)</f>
        <v>0</v>
      </c>
      <c r="N208" s="12">
        <f>_xlfn.XLOOKUP(B208,[1]Sheet1!$B:$B,[1]Sheet1!$Q:$Q,0)</f>
        <v>775000</v>
      </c>
      <c r="O208" s="12">
        <f>_xlfn.XLOOKUP(B208,[1]Sheet1!$B:$B,[1]Sheet1!$R:$R,0)</f>
        <v>100000</v>
      </c>
      <c r="P208" s="12">
        <f>_xlfn.XLOOKUP(B208,[1]Sheet1!$B:$B,[1]Sheet1!$S:$S,0)</f>
        <v>0</v>
      </c>
      <c r="Q208" s="12">
        <f>_xlfn.XLOOKUP(B208,[1]Sheet1!$B:$B,[1]Sheet1!$T:$T,0)</f>
        <v>0</v>
      </c>
      <c r="R208" s="12">
        <f>_xlfn.XLOOKUP(B208,[1]Sheet1!$B:$B,[1]Sheet1!$U:$U,0)</f>
        <v>0</v>
      </c>
      <c r="S208" s="12">
        <f>_xlfn.XLOOKUP(B208,[1]Sheet1!$B:$B,[1]Sheet1!$V:$V,0)</f>
        <v>0</v>
      </c>
      <c r="T208" s="12">
        <f>_xlfn.XLOOKUP(B208,[1]Sheet1!$B:$B,[1]Sheet1!$W:$W,0)</f>
        <v>500000</v>
      </c>
      <c r="U208" s="12">
        <f>_xlfn.XLOOKUP(B208,[1]Sheet1!$B:$B,[1]Sheet1!$X:$X,0)</f>
        <v>1000000</v>
      </c>
      <c r="V208" s="12">
        <f>_xlfn.XLOOKUP(B208,[1]Sheet1!$B:$B,[1]Sheet1!$Y:$Y,0)</f>
        <v>2519464</v>
      </c>
      <c r="W208" s="12">
        <f t="shared" si="9"/>
        <v>4894464</v>
      </c>
      <c r="X208" s="6" t="s">
        <v>428</v>
      </c>
      <c r="Y208" s="6" t="s">
        <v>132</v>
      </c>
      <c r="Z208" s="6" t="s">
        <v>425</v>
      </c>
      <c r="AA208" s="6" t="s">
        <v>237</v>
      </c>
      <c r="AB208" s="6" t="s">
        <v>36</v>
      </c>
      <c r="AC208" s="6" t="s">
        <v>37</v>
      </c>
      <c r="AD208" s="6" t="s">
        <v>38</v>
      </c>
      <c r="AE208" s="6" t="s">
        <v>39</v>
      </c>
      <c r="AF208" s="6" t="s">
        <v>40</v>
      </c>
      <c r="AG208" s="7">
        <v>2560464</v>
      </c>
      <c r="AH208" s="11">
        <f>_xlfn.XLOOKUP(B208,[1]Sheet1!$B:$B,[1]Sheet1!$AB:$AB,0)</f>
        <v>2560464</v>
      </c>
    </row>
    <row r="209" spans="2:34" ht="16.8" thickTop="1" thickBot="1" x14ac:dyDescent="0.35">
      <c r="B209" s="3" t="str">
        <f t="shared" si="8"/>
        <v>45111504511000339Freelancers-N1424521200104</v>
      </c>
      <c r="C209" s="8" t="s">
        <v>299</v>
      </c>
      <c r="D209" s="8" t="s">
        <v>429</v>
      </c>
      <c r="E209" s="8" t="s">
        <v>430</v>
      </c>
      <c r="F209" s="8" t="s">
        <v>303</v>
      </c>
      <c r="G209" s="4" t="s">
        <v>2804</v>
      </c>
      <c r="H209" s="4" t="s">
        <v>2922</v>
      </c>
      <c r="I209" s="8" t="s">
        <v>51</v>
      </c>
      <c r="J209" s="8" t="s">
        <v>31</v>
      </c>
      <c r="K209" s="12">
        <f>_xlfn.XLOOKUP(B209,[1]Sheet1!$B:$B,[1]Sheet1!$N:$N,0)</f>
        <v>0</v>
      </c>
      <c r="L209" s="12">
        <f>_xlfn.XLOOKUP(B209,[1]Sheet1!$B:$B,[1]Sheet1!$O:$O,0)</f>
        <v>0</v>
      </c>
      <c r="M209" s="12">
        <f>_xlfn.XLOOKUP(B209,[1]Sheet1!$B:$B,[1]Sheet1!$P:$P,0)</f>
        <v>0</v>
      </c>
      <c r="N209" s="12">
        <f>_xlfn.XLOOKUP(B209,[1]Sheet1!$B:$B,[1]Sheet1!$Q:$Q,0)</f>
        <v>0</v>
      </c>
      <c r="O209" s="12">
        <f>_xlfn.XLOOKUP(B209,[1]Sheet1!$B:$B,[1]Sheet1!$R:$R,0)</f>
        <v>36000</v>
      </c>
      <c r="P209" s="12">
        <f>_xlfn.XLOOKUP(B209,[1]Sheet1!$B:$B,[1]Sheet1!$S:$S,0)</f>
        <v>36000</v>
      </c>
      <c r="Q209" s="12">
        <f>_xlfn.XLOOKUP(B209,[1]Sheet1!$B:$B,[1]Sheet1!$T:$T,0)</f>
        <v>36000</v>
      </c>
      <c r="R209" s="12">
        <f>_xlfn.XLOOKUP(B209,[1]Sheet1!$B:$B,[1]Sheet1!$U:$U,0)</f>
        <v>36000</v>
      </c>
      <c r="S209" s="12">
        <f>_xlfn.XLOOKUP(B209,[1]Sheet1!$B:$B,[1]Sheet1!$V:$V,0)</f>
        <v>36000</v>
      </c>
      <c r="T209" s="12">
        <f>_xlfn.XLOOKUP(B209,[1]Sheet1!$B:$B,[1]Sheet1!$W:$W,0)</f>
        <v>36000</v>
      </c>
      <c r="U209" s="12">
        <f>_xlfn.XLOOKUP(B209,[1]Sheet1!$B:$B,[1]Sheet1!$X:$X,0)</f>
        <v>36000</v>
      </c>
      <c r="V209" s="12">
        <f>_xlfn.XLOOKUP(B209,[1]Sheet1!$B:$B,[1]Sheet1!$Y:$Y,0)</f>
        <v>95325</v>
      </c>
      <c r="W209" s="12">
        <f t="shared" si="9"/>
        <v>347325</v>
      </c>
      <c r="X209" s="8" t="s">
        <v>415</v>
      </c>
      <c r="Y209" s="8" t="s">
        <v>65</v>
      </c>
      <c r="Z209" s="8" t="s">
        <v>298</v>
      </c>
      <c r="AA209" s="8" t="s">
        <v>53</v>
      </c>
      <c r="AB209" s="8" t="s">
        <v>36</v>
      </c>
      <c r="AC209" s="8" t="s">
        <v>37</v>
      </c>
      <c r="AD209" s="8" t="s">
        <v>413</v>
      </c>
      <c r="AE209" s="8" t="s">
        <v>39</v>
      </c>
      <c r="AF209" s="8" t="s">
        <v>40</v>
      </c>
      <c r="AG209" s="9">
        <v>347325</v>
      </c>
      <c r="AH209" s="11">
        <f>_xlfn.XLOOKUP(B209,[1]Sheet1!$B:$B,[1]Sheet1!$AB:$AB,0)</f>
        <v>347325</v>
      </c>
    </row>
    <row r="210" spans="2:34" ht="16.8" thickTop="1" thickBot="1" x14ac:dyDescent="0.35">
      <c r="B210" s="3" t="str">
        <f t="shared" si="8"/>
        <v>45117504511000340Event Management-N422401200104</v>
      </c>
      <c r="C210" s="6" t="s">
        <v>118</v>
      </c>
      <c r="D210" s="6" t="s">
        <v>431</v>
      </c>
      <c r="E210" s="6" t="s">
        <v>432</v>
      </c>
      <c r="F210" s="6" t="s">
        <v>162</v>
      </c>
      <c r="G210" s="4" t="s">
        <v>2807</v>
      </c>
      <c r="H210" s="4" t="s">
        <v>2922</v>
      </c>
      <c r="I210" s="6" t="s">
        <v>63</v>
      </c>
      <c r="J210" s="6" t="s">
        <v>31</v>
      </c>
      <c r="K210" s="12">
        <f>_xlfn.XLOOKUP(B210,[1]Sheet1!$B:$B,[1]Sheet1!$N:$N,0)</f>
        <v>0</v>
      </c>
      <c r="L210" s="12">
        <f>_xlfn.XLOOKUP(B210,[1]Sheet1!$B:$B,[1]Sheet1!$O:$O,0)</f>
        <v>0</v>
      </c>
      <c r="M210" s="12">
        <f>_xlfn.XLOOKUP(B210,[1]Sheet1!$B:$B,[1]Sheet1!$P:$P,0)</f>
        <v>7690.06</v>
      </c>
      <c r="N210" s="12">
        <f>_xlfn.XLOOKUP(B210,[1]Sheet1!$B:$B,[1]Sheet1!$Q:$Q,0)</f>
        <v>0</v>
      </c>
      <c r="O210" s="12">
        <f>_xlfn.XLOOKUP(B210,[1]Sheet1!$B:$B,[1]Sheet1!$R:$R,0)</f>
        <v>1392309.94</v>
      </c>
      <c r="P210" s="12">
        <f>_xlfn.XLOOKUP(B210,[1]Sheet1!$B:$B,[1]Sheet1!$S:$S,0)</f>
        <v>0</v>
      </c>
      <c r="Q210" s="12">
        <f>_xlfn.XLOOKUP(B210,[1]Sheet1!$B:$B,[1]Sheet1!$T:$T,0)</f>
        <v>0</v>
      </c>
      <c r="R210" s="12">
        <f>_xlfn.XLOOKUP(B210,[1]Sheet1!$B:$B,[1]Sheet1!$U:$U,0)</f>
        <v>517000</v>
      </c>
      <c r="S210" s="12">
        <f>_xlfn.XLOOKUP(B210,[1]Sheet1!$B:$B,[1]Sheet1!$V:$V,0)</f>
        <v>1900000</v>
      </c>
      <c r="T210" s="12">
        <f>_xlfn.XLOOKUP(B210,[1]Sheet1!$B:$B,[1]Sheet1!$W:$W,0)</f>
        <v>1467000</v>
      </c>
      <c r="U210" s="12">
        <f>_xlfn.XLOOKUP(B210,[1]Sheet1!$B:$B,[1]Sheet1!$X:$X,0)</f>
        <v>2000000</v>
      </c>
      <c r="V210" s="12">
        <f>_xlfn.XLOOKUP(B210,[1]Sheet1!$B:$B,[1]Sheet1!$Y:$Y,0)</f>
        <v>0</v>
      </c>
      <c r="W210" s="12">
        <f t="shared" si="9"/>
        <v>7284000</v>
      </c>
      <c r="X210" s="6" t="s">
        <v>116</v>
      </c>
      <c r="Y210" s="6" t="s">
        <v>65</v>
      </c>
      <c r="Z210" s="6" t="s">
        <v>117</v>
      </c>
      <c r="AA210" s="6" t="s">
        <v>68</v>
      </c>
      <c r="AB210" s="6" t="s">
        <v>36</v>
      </c>
      <c r="AC210" s="6" t="s">
        <v>37</v>
      </c>
      <c r="AD210" s="6" t="s">
        <v>119</v>
      </c>
      <c r="AE210" s="6" t="s">
        <v>39</v>
      </c>
      <c r="AF210" s="6" t="s">
        <v>40</v>
      </c>
      <c r="AG210" s="7">
        <v>3284000</v>
      </c>
      <c r="AH210" s="11">
        <f>_xlfn.XLOOKUP(B210,[1]Sheet1!$B:$B,[1]Sheet1!$AB:$AB,0)</f>
        <v>3284000</v>
      </c>
    </row>
    <row r="211" spans="2:34" ht="16.8" thickTop="1" thickBot="1" x14ac:dyDescent="0.35">
      <c r="B211" s="3" t="str">
        <f t="shared" si="8"/>
        <v>45117504511000340Freelancers-N424521200104</v>
      </c>
      <c r="C211" s="8" t="s">
        <v>118</v>
      </c>
      <c r="D211" s="8" t="s">
        <v>431</v>
      </c>
      <c r="E211" s="8" t="s">
        <v>432</v>
      </c>
      <c r="F211" s="8" t="s">
        <v>50</v>
      </c>
      <c r="G211" s="4" t="s">
        <v>2804</v>
      </c>
      <c r="H211" s="4" t="s">
        <v>2922</v>
      </c>
      <c r="I211" s="8" t="s">
        <v>51</v>
      </c>
      <c r="J211" s="8" t="s">
        <v>31</v>
      </c>
      <c r="K211" s="12">
        <f>_xlfn.XLOOKUP(B211,[1]Sheet1!$B:$B,[1]Sheet1!$N:$N,0)</f>
        <v>0</v>
      </c>
      <c r="L211" s="12">
        <f>_xlfn.XLOOKUP(B211,[1]Sheet1!$B:$B,[1]Sheet1!$O:$O,0)</f>
        <v>0</v>
      </c>
      <c r="M211" s="12">
        <f>_xlfn.XLOOKUP(B211,[1]Sheet1!$B:$B,[1]Sheet1!$P:$P,0)</f>
        <v>111000</v>
      </c>
      <c r="N211" s="12">
        <f>_xlfn.XLOOKUP(B211,[1]Sheet1!$B:$B,[1]Sheet1!$Q:$Q,0)</f>
        <v>0</v>
      </c>
      <c r="O211" s="12">
        <f>_xlfn.XLOOKUP(B211,[1]Sheet1!$B:$B,[1]Sheet1!$R:$R,0)</f>
        <v>33000</v>
      </c>
      <c r="P211" s="12">
        <f>_xlfn.XLOOKUP(B211,[1]Sheet1!$B:$B,[1]Sheet1!$S:$S,0)</f>
        <v>72000</v>
      </c>
      <c r="Q211" s="12">
        <f>_xlfn.XLOOKUP(B211,[1]Sheet1!$B:$B,[1]Sheet1!$T:$T,0)</f>
        <v>72000</v>
      </c>
      <c r="R211" s="12">
        <f>_xlfn.XLOOKUP(B211,[1]Sheet1!$B:$B,[1]Sheet1!$U:$U,0)</f>
        <v>37000</v>
      </c>
      <c r="S211" s="12">
        <f>_xlfn.XLOOKUP(B211,[1]Sheet1!$B:$B,[1]Sheet1!$V:$V,0)</f>
        <v>66000</v>
      </c>
      <c r="T211" s="12">
        <f>_xlfn.XLOOKUP(B211,[1]Sheet1!$B:$B,[1]Sheet1!$W:$W,0)</f>
        <v>0</v>
      </c>
      <c r="U211" s="12">
        <f>_xlfn.XLOOKUP(B211,[1]Sheet1!$B:$B,[1]Sheet1!$X:$X,0)</f>
        <v>0</v>
      </c>
      <c r="V211" s="12">
        <f>_xlfn.XLOOKUP(B211,[1]Sheet1!$B:$B,[1]Sheet1!$Y:$Y,0)</f>
        <v>0</v>
      </c>
      <c r="W211" s="12">
        <f t="shared" si="9"/>
        <v>391000</v>
      </c>
      <c r="X211" s="8" t="s">
        <v>433</v>
      </c>
      <c r="Y211" s="8" t="s">
        <v>65</v>
      </c>
      <c r="Z211" s="8" t="s">
        <v>117</v>
      </c>
      <c r="AA211" s="8" t="s">
        <v>53</v>
      </c>
      <c r="AB211" s="8" t="s">
        <v>36</v>
      </c>
      <c r="AC211" s="8" t="s">
        <v>37</v>
      </c>
      <c r="AD211" s="8" t="s">
        <v>192</v>
      </c>
      <c r="AE211" s="8" t="s">
        <v>39</v>
      </c>
      <c r="AF211" s="8" t="s">
        <v>40</v>
      </c>
      <c r="AG211" s="9">
        <v>391000</v>
      </c>
      <c r="AH211" s="11">
        <f>_xlfn.XLOOKUP(B211,[1]Sheet1!$B:$B,[1]Sheet1!$AB:$AB,0)</f>
        <v>391000</v>
      </c>
    </row>
    <row r="212" spans="2:34" ht="16.8" thickTop="1" thickBot="1" x14ac:dyDescent="0.35">
      <c r="B212" s="3" t="str">
        <f t="shared" si="8"/>
        <v>45115504511000340Media Mgmnt &amp;Buy-N422511200104</v>
      </c>
      <c r="C212" s="6" t="s">
        <v>154</v>
      </c>
      <c r="D212" s="6" t="s">
        <v>431</v>
      </c>
      <c r="E212" s="6" t="s">
        <v>432</v>
      </c>
      <c r="F212" s="6" t="s">
        <v>166</v>
      </c>
      <c r="G212" s="4" t="s">
        <v>2819</v>
      </c>
      <c r="H212" s="4" t="s">
        <v>2922</v>
      </c>
      <c r="I212" s="6" t="s">
        <v>151</v>
      </c>
      <c r="J212" s="6" t="s">
        <v>31</v>
      </c>
      <c r="K212" s="12">
        <f>_xlfn.XLOOKUP(B212,[1]Sheet1!$B:$B,[1]Sheet1!$N:$N,0)</f>
        <v>0</v>
      </c>
      <c r="L212" s="12">
        <f>_xlfn.XLOOKUP(B212,[1]Sheet1!$B:$B,[1]Sheet1!$O:$O,0)</f>
        <v>0</v>
      </c>
      <c r="M212" s="12">
        <f>_xlfn.XLOOKUP(B212,[1]Sheet1!$B:$B,[1]Sheet1!$P:$P,0)</f>
        <v>0</v>
      </c>
      <c r="N212" s="12">
        <f>_xlfn.XLOOKUP(B212,[1]Sheet1!$B:$B,[1]Sheet1!$Q:$Q,0)</f>
        <v>41062.333333333336</v>
      </c>
      <c r="O212" s="12">
        <f>_xlfn.XLOOKUP(B212,[1]Sheet1!$B:$B,[1]Sheet1!$R:$R,0)</f>
        <v>41062.333333333336</v>
      </c>
      <c r="P212" s="12">
        <f>_xlfn.XLOOKUP(B212,[1]Sheet1!$B:$B,[1]Sheet1!$S:$S,0)</f>
        <v>41062.333333333336</v>
      </c>
      <c r="Q212" s="12">
        <f>_xlfn.XLOOKUP(B212,[1]Sheet1!$B:$B,[1]Sheet1!$T:$T,0)</f>
        <v>41062.333333333336</v>
      </c>
      <c r="R212" s="12">
        <f>_xlfn.XLOOKUP(B212,[1]Sheet1!$B:$B,[1]Sheet1!$U:$U,0)</f>
        <v>41062.333333333336</v>
      </c>
      <c r="S212" s="12">
        <f>_xlfn.XLOOKUP(B212,[1]Sheet1!$B:$B,[1]Sheet1!$V:$V,0)</f>
        <v>41062.333333333336</v>
      </c>
      <c r="T212" s="12">
        <f>_xlfn.XLOOKUP(B212,[1]Sheet1!$B:$B,[1]Sheet1!$W:$W,0)</f>
        <v>41062.333333333336</v>
      </c>
      <c r="U212" s="12">
        <f>_xlfn.XLOOKUP(B212,[1]Sheet1!$B:$B,[1]Sheet1!$X:$X,0)</f>
        <v>41062.333333333336</v>
      </c>
      <c r="V212" s="12">
        <f>_xlfn.XLOOKUP(B212,[1]Sheet1!$B:$B,[1]Sheet1!$Y:$Y,0)</f>
        <v>41062.333333333336</v>
      </c>
      <c r="W212" s="12">
        <f t="shared" si="9"/>
        <v>369561</v>
      </c>
      <c r="X212" s="6" t="s">
        <v>434</v>
      </c>
      <c r="Y212" s="6" t="s">
        <v>65</v>
      </c>
      <c r="Z212" s="6" t="s">
        <v>153</v>
      </c>
      <c r="AA212" s="6" t="s">
        <v>151</v>
      </c>
      <c r="AB212" s="6" t="s">
        <v>36</v>
      </c>
      <c r="AC212" s="6" t="s">
        <v>37</v>
      </c>
      <c r="AD212" s="6" t="s">
        <v>192</v>
      </c>
      <c r="AE212" s="6" t="s">
        <v>39</v>
      </c>
      <c r="AF212" s="6" t="s">
        <v>40</v>
      </c>
      <c r="AG212" s="7">
        <v>369561</v>
      </c>
      <c r="AH212" s="11">
        <f>_xlfn.XLOOKUP(B212,[1]Sheet1!$B:$B,[1]Sheet1!$AB:$AB,0)</f>
        <v>369561</v>
      </c>
    </row>
    <row r="213" spans="2:34" ht="16.8" thickTop="1" thickBot="1" x14ac:dyDescent="0.35">
      <c r="B213" s="3" t="str">
        <f t="shared" si="8"/>
        <v>45115504511000340SM Prodct&amp;Develp-N422511200104</v>
      </c>
      <c r="C213" s="8" t="s">
        <v>154</v>
      </c>
      <c r="D213" s="8" t="s">
        <v>431</v>
      </c>
      <c r="E213" s="8" t="s">
        <v>432</v>
      </c>
      <c r="F213" s="8" t="s">
        <v>435</v>
      </c>
      <c r="G213" s="4" t="s">
        <v>2819</v>
      </c>
      <c r="H213" s="4" t="s">
        <v>2922</v>
      </c>
      <c r="I213" s="8" t="s">
        <v>151</v>
      </c>
      <c r="J213" s="8" t="s">
        <v>31</v>
      </c>
      <c r="K213" s="12">
        <f>_xlfn.XLOOKUP(B213,[1]Sheet1!$B:$B,[1]Sheet1!$N:$N,0)</f>
        <v>0</v>
      </c>
      <c r="L213" s="12">
        <f>_xlfn.XLOOKUP(B213,[1]Sheet1!$B:$B,[1]Sheet1!$O:$O,0)</f>
        <v>0</v>
      </c>
      <c r="M213" s="12">
        <f>_xlfn.XLOOKUP(B213,[1]Sheet1!$B:$B,[1]Sheet1!$P:$P,0)</f>
        <v>0</v>
      </c>
      <c r="N213" s="12">
        <f>_xlfn.XLOOKUP(B213,[1]Sheet1!$B:$B,[1]Sheet1!$Q:$Q,0)</f>
        <v>0</v>
      </c>
      <c r="O213" s="12">
        <f>_xlfn.XLOOKUP(B213,[1]Sheet1!$B:$B,[1]Sheet1!$R:$R,0)</f>
        <v>0</v>
      </c>
      <c r="P213" s="12">
        <f>_xlfn.XLOOKUP(B213,[1]Sheet1!$B:$B,[1]Sheet1!$S:$S,0)</f>
        <v>0</v>
      </c>
      <c r="Q213" s="12">
        <f>_xlfn.XLOOKUP(B213,[1]Sheet1!$B:$B,[1]Sheet1!$T:$T,0)</f>
        <v>0</v>
      </c>
      <c r="R213" s="12">
        <f>_xlfn.XLOOKUP(B213,[1]Sheet1!$B:$B,[1]Sheet1!$U:$U,0)</f>
        <v>0</v>
      </c>
      <c r="S213" s="12">
        <f>_xlfn.XLOOKUP(B213,[1]Sheet1!$B:$B,[1]Sheet1!$V:$V,0)</f>
        <v>0</v>
      </c>
      <c r="T213" s="12">
        <f>_xlfn.XLOOKUP(B213,[1]Sheet1!$B:$B,[1]Sheet1!$W:$W,0)</f>
        <v>200000</v>
      </c>
      <c r="U213" s="12">
        <f>_xlfn.XLOOKUP(B213,[1]Sheet1!$B:$B,[1]Sheet1!$X:$X,0)</f>
        <v>0</v>
      </c>
      <c r="V213" s="12">
        <f>_xlfn.XLOOKUP(B213,[1]Sheet1!$B:$B,[1]Sheet1!$Y:$Y,0)</f>
        <v>0</v>
      </c>
      <c r="W213" s="12">
        <f t="shared" si="9"/>
        <v>200000</v>
      </c>
      <c r="X213" s="8" t="s">
        <v>434</v>
      </c>
      <c r="Y213" s="8" t="s">
        <v>65</v>
      </c>
      <c r="Z213" s="8" t="s">
        <v>153</v>
      </c>
      <c r="AA213" s="8" t="s">
        <v>151</v>
      </c>
      <c r="AB213" s="8" t="s">
        <v>36</v>
      </c>
      <c r="AC213" s="8" t="s">
        <v>37</v>
      </c>
      <c r="AD213" s="8" t="s">
        <v>192</v>
      </c>
      <c r="AE213" s="8" t="s">
        <v>39</v>
      </c>
      <c r="AF213" s="8" t="s">
        <v>40</v>
      </c>
      <c r="AG213" s="9">
        <v>200000</v>
      </c>
      <c r="AH213" s="11">
        <f>_xlfn.XLOOKUP(B213,[1]Sheet1!$B:$B,[1]Sheet1!$AB:$AB,0)</f>
        <v>200000</v>
      </c>
    </row>
    <row r="214" spans="2:34" ht="16.8" thickTop="1" thickBot="1" x14ac:dyDescent="0.35">
      <c r="B214" s="3" t="str">
        <f t="shared" si="8"/>
        <v>45112504511000341Activation&amp;Prog-N422401200104</v>
      </c>
      <c r="C214" s="6" t="s">
        <v>67</v>
      </c>
      <c r="D214" s="6" t="s">
        <v>436</v>
      </c>
      <c r="E214" s="6" t="s">
        <v>437</v>
      </c>
      <c r="F214" s="6" t="s">
        <v>62</v>
      </c>
      <c r="G214" s="4" t="s">
        <v>2807</v>
      </c>
      <c r="H214" s="4" t="s">
        <v>2922</v>
      </c>
      <c r="I214" s="6" t="s">
        <v>63</v>
      </c>
      <c r="J214" s="6" t="s">
        <v>31</v>
      </c>
      <c r="K214" s="12">
        <f>_xlfn.XLOOKUP(B214,[1]Sheet1!$B:$B,[1]Sheet1!$N:$N,0)</f>
        <v>0</v>
      </c>
      <c r="L214" s="12">
        <f>_xlfn.XLOOKUP(B214,[1]Sheet1!$B:$B,[1]Sheet1!$O:$O,0)</f>
        <v>0</v>
      </c>
      <c r="M214" s="12">
        <f>_xlfn.XLOOKUP(B214,[1]Sheet1!$B:$B,[1]Sheet1!$P:$P,0)</f>
        <v>0</v>
      </c>
      <c r="N214" s="12">
        <f>_xlfn.XLOOKUP(B214,[1]Sheet1!$B:$B,[1]Sheet1!$Q:$Q,0)</f>
        <v>775000</v>
      </c>
      <c r="O214" s="12">
        <f>_xlfn.XLOOKUP(B214,[1]Sheet1!$B:$B,[1]Sheet1!$R:$R,0)</f>
        <v>150000</v>
      </c>
      <c r="P214" s="12">
        <f>_xlfn.XLOOKUP(B214,[1]Sheet1!$B:$B,[1]Sheet1!$S:$S,0)</f>
        <v>375000</v>
      </c>
      <c r="Q214" s="12">
        <f>_xlfn.XLOOKUP(B214,[1]Sheet1!$B:$B,[1]Sheet1!$T:$T,0)</f>
        <v>200000</v>
      </c>
      <c r="R214" s="12">
        <f>_xlfn.XLOOKUP(B214,[1]Sheet1!$B:$B,[1]Sheet1!$U:$U,0)</f>
        <v>200000</v>
      </c>
      <c r="S214" s="12">
        <f>_xlfn.XLOOKUP(B214,[1]Sheet1!$B:$B,[1]Sheet1!$V:$V,0)</f>
        <v>150000</v>
      </c>
      <c r="T214" s="12">
        <f>_xlfn.XLOOKUP(B214,[1]Sheet1!$B:$B,[1]Sheet1!$W:$W,0)</f>
        <v>150000</v>
      </c>
      <c r="U214" s="12">
        <f>_xlfn.XLOOKUP(B214,[1]Sheet1!$B:$B,[1]Sheet1!$X:$X,0)</f>
        <v>150000</v>
      </c>
      <c r="V214" s="12">
        <f>_xlfn.XLOOKUP(B214,[1]Sheet1!$B:$B,[1]Sheet1!$Y:$Y,0)</f>
        <v>787215.8</v>
      </c>
      <c r="W214" s="12">
        <f t="shared" si="9"/>
        <v>2937215.8</v>
      </c>
      <c r="X214" s="6" t="s">
        <v>64</v>
      </c>
      <c r="Y214" s="6" t="s">
        <v>65</v>
      </c>
      <c r="Z214" s="6" t="s">
        <v>66</v>
      </c>
      <c r="AA214" s="6" t="s">
        <v>68</v>
      </c>
      <c r="AB214" s="6" t="s">
        <v>36</v>
      </c>
      <c r="AC214" s="6" t="s">
        <v>37</v>
      </c>
      <c r="AD214" s="6" t="s">
        <v>69</v>
      </c>
      <c r="AE214" s="6" t="s">
        <v>39</v>
      </c>
      <c r="AF214" s="6" t="s">
        <v>40</v>
      </c>
      <c r="AG214" s="7">
        <v>2937215.9</v>
      </c>
      <c r="AH214" s="11">
        <f>_xlfn.XLOOKUP(B214,[1]Sheet1!$B:$B,[1]Sheet1!$AB:$AB,0)</f>
        <v>2937215.8</v>
      </c>
    </row>
    <row r="215" spans="2:34" ht="16.8" thickTop="1" thickBot="1" x14ac:dyDescent="0.35">
      <c r="B215" s="3" t="str">
        <f t="shared" si="8"/>
        <v>45112504511000341Edu &amp; Outreach-N422401200104</v>
      </c>
      <c r="C215" s="8" t="s">
        <v>67</v>
      </c>
      <c r="D215" s="8" t="s">
        <v>436</v>
      </c>
      <c r="E215" s="8" t="s">
        <v>437</v>
      </c>
      <c r="F215" s="8" t="s">
        <v>155</v>
      </c>
      <c r="G215" s="4" t="s">
        <v>2807</v>
      </c>
      <c r="H215" s="4" t="s">
        <v>2922</v>
      </c>
      <c r="I215" s="8" t="s">
        <v>63</v>
      </c>
      <c r="J215" s="8" t="s">
        <v>31</v>
      </c>
      <c r="K215" s="12">
        <f>_xlfn.XLOOKUP(B215,[1]Sheet1!$B:$B,[1]Sheet1!$N:$N,0)</f>
        <v>0</v>
      </c>
      <c r="L215" s="12">
        <f>_xlfn.XLOOKUP(B215,[1]Sheet1!$B:$B,[1]Sheet1!$O:$O,0)</f>
        <v>0</v>
      </c>
      <c r="M215" s="12">
        <f>_xlfn.XLOOKUP(B215,[1]Sheet1!$B:$B,[1]Sheet1!$P:$P,0)</f>
        <v>0</v>
      </c>
      <c r="N215" s="12">
        <f>_xlfn.XLOOKUP(B215,[1]Sheet1!$B:$B,[1]Sheet1!$Q:$Q,0)</f>
        <v>0</v>
      </c>
      <c r="O215" s="12">
        <f>_xlfn.XLOOKUP(B215,[1]Sheet1!$B:$B,[1]Sheet1!$R:$R,0)</f>
        <v>0</v>
      </c>
      <c r="P215" s="12">
        <f>_xlfn.XLOOKUP(B215,[1]Sheet1!$B:$B,[1]Sheet1!$S:$S,0)</f>
        <v>0</v>
      </c>
      <c r="Q215" s="12">
        <f>_xlfn.XLOOKUP(B215,[1]Sheet1!$B:$B,[1]Sheet1!$T:$T,0)</f>
        <v>0</v>
      </c>
      <c r="R215" s="12">
        <f>_xlfn.XLOOKUP(B215,[1]Sheet1!$B:$B,[1]Sheet1!$U:$U,0)</f>
        <v>0</v>
      </c>
      <c r="S215" s="12">
        <f>_xlfn.XLOOKUP(B215,[1]Sheet1!$B:$B,[1]Sheet1!$V:$V,0)</f>
        <v>0</v>
      </c>
      <c r="T215" s="12">
        <f>_xlfn.XLOOKUP(B215,[1]Sheet1!$B:$B,[1]Sheet1!$W:$W,0)</f>
        <v>0</v>
      </c>
      <c r="U215" s="12">
        <f>_xlfn.XLOOKUP(B215,[1]Sheet1!$B:$B,[1]Sheet1!$X:$X,0)</f>
        <v>360000</v>
      </c>
      <c r="V215" s="12">
        <f>_xlfn.XLOOKUP(B215,[1]Sheet1!$B:$B,[1]Sheet1!$Y:$Y,0)</f>
        <v>0</v>
      </c>
      <c r="W215" s="12">
        <f t="shared" si="9"/>
        <v>360000</v>
      </c>
      <c r="X215" s="8" t="s">
        <v>64</v>
      </c>
      <c r="Y215" s="8" t="s">
        <v>65</v>
      </c>
      <c r="Z215" s="8" t="s">
        <v>66</v>
      </c>
      <c r="AA215" s="8" t="s">
        <v>68</v>
      </c>
      <c r="AB215" s="8" t="s">
        <v>36</v>
      </c>
      <c r="AC215" s="8" t="s">
        <v>37</v>
      </c>
      <c r="AD215" s="8" t="s">
        <v>69</v>
      </c>
      <c r="AE215" s="8" t="s">
        <v>39</v>
      </c>
      <c r="AF215" s="8" t="s">
        <v>40</v>
      </c>
      <c r="AG215" s="9">
        <v>360000</v>
      </c>
      <c r="AH215" s="11">
        <f>_xlfn.XLOOKUP(B215,[1]Sheet1!$B:$B,[1]Sheet1!$AB:$AB,0)</f>
        <v>360000</v>
      </c>
    </row>
    <row r="216" spans="2:34" ht="16.8" thickTop="1" thickBot="1" x14ac:dyDescent="0.35">
      <c r="B216" s="3" t="str">
        <f t="shared" si="8"/>
        <v>45112504511000341Freelancers-N424521200104</v>
      </c>
      <c r="C216" s="6" t="s">
        <v>67</v>
      </c>
      <c r="D216" s="6" t="s">
        <v>436</v>
      </c>
      <c r="E216" s="6" t="s">
        <v>437</v>
      </c>
      <c r="F216" s="6" t="s">
        <v>50</v>
      </c>
      <c r="G216" s="4" t="s">
        <v>2804</v>
      </c>
      <c r="H216" s="4" t="s">
        <v>2922</v>
      </c>
      <c r="I216" s="6" t="s">
        <v>51</v>
      </c>
      <c r="J216" s="6" t="s">
        <v>31</v>
      </c>
      <c r="K216" s="12">
        <f>_xlfn.XLOOKUP(B216,[1]Sheet1!$B:$B,[1]Sheet1!$N:$N,0)</f>
        <v>0</v>
      </c>
      <c r="L216" s="12">
        <f>_xlfn.XLOOKUP(B216,[1]Sheet1!$B:$B,[1]Sheet1!$O:$O,0)</f>
        <v>0</v>
      </c>
      <c r="M216" s="12">
        <f>_xlfn.XLOOKUP(B216,[1]Sheet1!$B:$B,[1]Sheet1!$P:$P,0)</f>
        <v>528000</v>
      </c>
      <c r="N216" s="12">
        <f>_xlfn.XLOOKUP(B216,[1]Sheet1!$B:$B,[1]Sheet1!$Q:$Q,0)</f>
        <v>136000</v>
      </c>
      <c r="O216" s="12">
        <f>_xlfn.XLOOKUP(B216,[1]Sheet1!$B:$B,[1]Sheet1!$R:$R,0)</f>
        <v>183500</v>
      </c>
      <c r="P216" s="12">
        <f>_xlfn.XLOOKUP(B216,[1]Sheet1!$B:$B,[1]Sheet1!$S:$S,0)</f>
        <v>183500</v>
      </c>
      <c r="Q216" s="12">
        <f>_xlfn.XLOOKUP(B216,[1]Sheet1!$B:$B,[1]Sheet1!$T:$T,0)</f>
        <v>156000</v>
      </c>
      <c r="R216" s="12">
        <f>_xlfn.XLOOKUP(B216,[1]Sheet1!$B:$B,[1]Sheet1!$U:$U,0)</f>
        <v>156000</v>
      </c>
      <c r="S216" s="12">
        <f>_xlfn.XLOOKUP(B216,[1]Sheet1!$B:$B,[1]Sheet1!$V:$V,0)</f>
        <v>156000</v>
      </c>
      <c r="T216" s="12">
        <f>_xlfn.XLOOKUP(B216,[1]Sheet1!$B:$B,[1]Sheet1!$W:$W,0)</f>
        <v>156000</v>
      </c>
      <c r="U216" s="12">
        <f>_xlfn.XLOOKUP(B216,[1]Sheet1!$B:$B,[1]Sheet1!$X:$X,0)</f>
        <v>156000</v>
      </c>
      <c r="V216" s="12">
        <f>_xlfn.XLOOKUP(B216,[1]Sheet1!$B:$B,[1]Sheet1!$Y:$Y,0)</f>
        <v>156000</v>
      </c>
      <c r="W216" s="12">
        <f t="shared" si="9"/>
        <v>1967000</v>
      </c>
      <c r="X216" s="6" t="s">
        <v>82</v>
      </c>
      <c r="Y216" s="6" t="s">
        <v>65</v>
      </c>
      <c r="Z216" s="6" t="s">
        <v>66</v>
      </c>
      <c r="AA216" s="6" t="s">
        <v>53</v>
      </c>
      <c r="AB216" s="6" t="s">
        <v>36</v>
      </c>
      <c r="AC216" s="6" t="s">
        <v>37</v>
      </c>
      <c r="AD216" s="6" t="s">
        <v>69</v>
      </c>
      <c r="AE216" s="6" t="s">
        <v>39</v>
      </c>
      <c r="AF216" s="6" t="s">
        <v>40</v>
      </c>
      <c r="AG216" s="7">
        <v>1967000.2</v>
      </c>
      <c r="AH216" s="11">
        <f>_xlfn.XLOOKUP(B216,[1]Sheet1!$B:$B,[1]Sheet1!$AB:$AB,0)</f>
        <v>1967000</v>
      </c>
    </row>
    <row r="217" spans="2:34" ht="16.8" thickTop="1" thickBot="1" x14ac:dyDescent="0.35">
      <c r="B217" s="3" t="str">
        <f t="shared" si="8"/>
        <v>45112504511000341Manpower-N424521200104</v>
      </c>
      <c r="C217" s="8" t="s">
        <v>67</v>
      </c>
      <c r="D217" s="8" t="s">
        <v>436</v>
      </c>
      <c r="E217" s="8" t="s">
        <v>437</v>
      </c>
      <c r="F217" s="8" t="s">
        <v>98</v>
      </c>
      <c r="G217" s="4" t="s">
        <v>2804</v>
      </c>
      <c r="H217" s="4" t="s">
        <v>2922</v>
      </c>
      <c r="I217" s="8" t="s">
        <v>51</v>
      </c>
      <c r="J217" s="8" t="s">
        <v>31</v>
      </c>
      <c r="K217" s="12">
        <f>_xlfn.XLOOKUP(B217,[1]Sheet1!$B:$B,[1]Sheet1!$N:$N,0)</f>
        <v>0</v>
      </c>
      <c r="L217" s="12">
        <f>_xlfn.XLOOKUP(B217,[1]Sheet1!$B:$B,[1]Sheet1!$O:$O,0)</f>
        <v>0</v>
      </c>
      <c r="M217" s="12">
        <f>_xlfn.XLOOKUP(B217,[1]Sheet1!$B:$B,[1]Sheet1!$P:$P,0)</f>
        <v>0</v>
      </c>
      <c r="N217" s="12">
        <f>_xlfn.XLOOKUP(B217,[1]Sheet1!$B:$B,[1]Sheet1!$Q:$Q,0)</f>
        <v>127394.44</v>
      </c>
      <c r="O217" s="12">
        <f>_xlfn.XLOOKUP(B217,[1]Sheet1!$B:$B,[1]Sheet1!$R:$R,0)</f>
        <v>45722.22</v>
      </c>
      <c r="P217" s="12">
        <f>_xlfn.XLOOKUP(B217,[1]Sheet1!$B:$B,[1]Sheet1!$S:$S,0)</f>
        <v>45722.22</v>
      </c>
      <c r="Q217" s="12">
        <f>_xlfn.XLOOKUP(B217,[1]Sheet1!$B:$B,[1]Sheet1!$T:$T,0)</f>
        <v>45722.22</v>
      </c>
      <c r="R217" s="12">
        <f>_xlfn.XLOOKUP(B217,[1]Sheet1!$B:$B,[1]Sheet1!$U:$U,0)</f>
        <v>45722.22</v>
      </c>
      <c r="S217" s="12">
        <f>_xlfn.XLOOKUP(B217,[1]Sheet1!$B:$B,[1]Sheet1!$V:$V,0)</f>
        <v>45722.22</v>
      </c>
      <c r="T217" s="12">
        <f>_xlfn.XLOOKUP(B217,[1]Sheet1!$B:$B,[1]Sheet1!$W:$W,0)</f>
        <v>45722.22</v>
      </c>
      <c r="U217" s="12">
        <f>_xlfn.XLOOKUP(B217,[1]Sheet1!$B:$B,[1]Sheet1!$X:$X,0)</f>
        <v>45722.22</v>
      </c>
      <c r="V217" s="12">
        <f>_xlfn.XLOOKUP(B217,[1]Sheet1!$B:$B,[1]Sheet1!$Y:$Y,0)</f>
        <v>45722.22</v>
      </c>
      <c r="W217" s="12">
        <f t="shared" si="9"/>
        <v>493172.19999999984</v>
      </c>
      <c r="X217" s="8" t="s">
        <v>82</v>
      </c>
      <c r="Y217" s="8" t="s">
        <v>65</v>
      </c>
      <c r="Z217" s="8" t="s">
        <v>66</v>
      </c>
      <c r="AA217" s="8" t="s">
        <v>53</v>
      </c>
      <c r="AB217" s="8" t="s">
        <v>36</v>
      </c>
      <c r="AC217" s="8" t="s">
        <v>37</v>
      </c>
      <c r="AD217" s="8" t="s">
        <v>69</v>
      </c>
      <c r="AE217" s="8" t="s">
        <v>39</v>
      </c>
      <c r="AF217" s="8" t="s">
        <v>40</v>
      </c>
      <c r="AG217" s="9">
        <v>493172</v>
      </c>
      <c r="AH217" s="11">
        <f>_xlfn.XLOOKUP(B217,[1]Sheet1!$B:$B,[1]Sheet1!$AB:$AB,0)</f>
        <v>493172.19999999984</v>
      </c>
    </row>
    <row r="218" spans="2:34" ht="16.8" thickTop="1" thickBot="1" x14ac:dyDescent="0.35">
      <c r="B218" s="3" t="str">
        <f t="shared" si="8"/>
        <v>45112504511000341Printed Material-N1424791200104</v>
      </c>
      <c r="C218" s="6" t="s">
        <v>67</v>
      </c>
      <c r="D218" s="6" t="s">
        <v>436</v>
      </c>
      <c r="E218" s="6" t="s">
        <v>437</v>
      </c>
      <c r="F218" s="6" t="s">
        <v>438</v>
      </c>
      <c r="G218" s="4" t="s">
        <v>2830</v>
      </c>
      <c r="H218" s="4" t="s">
        <v>2922</v>
      </c>
      <c r="I218" s="6" t="s">
        <v>305</v>
      </c>
      <c r="J218" s="6" t="s">
        <v>31</v>
      </c>
      <c r="K218" s="12">
        <f>_xlfn.XLOOKUP(B218,[1]Sheet1!$B:$B,[1]Sheet1!$N:$N,0)</f>
        <v>0</v>
      </c>
      <c r="L218" s="12">
        <f>_xlfn.XLOOKUP(B218,[1]Sheet1!$B:$B,[1]Sheet1!$O:$O,0)</f>
        <v>0</v>
      </c>
      <c r="M218" s="12">
        <f>_xlfn.XLOOKUP(B218,[1]Sheet1!$B:$B,[1]Sheet1!$P:$P,0)</f>
        <v>0</v>
      </c>
      <c r="N218" s="12">
        <f>_xlfn.XLOOKUP(B218,[1]Sheet1!$B:$B,[1]Sheet1!$Q:$Q,0)</f>
        <v>15420</v>
      </c>
      <c r="O218" s="12">
        <f>_xlfn.XLOOKUP(B218,[1]Sheet1!$B:$B,[1]Sheet1!$R:$R,0)</f>
        <v>20000</v>
      </c>
      <c r="P218" s="12">
        <f>_xlfn.XLOOKUP(B218,[1]Sheet1!$B:$B,[1]Sheet1!$S:$S,0)</f>
        <v>110000</v>
      </c>
      <c r="Q218" s="12">
        <f>_xlfn.XLOOKUP(B218,[1]Sheet1!$B:$B,[1]Sheet1!$T:$T,0)</f>
        <v>110000</v>
      </c>
      <c r="R218" s="12">
        <f>_xlfn.XLOOKUP(B218,[1]Sheet1!$B:$B,[1]Sheet1!$U:$U,0)</f>
        <v>30000</v>
      </c>
      <c r="S218" s="12">
        <f>_xlfn.XLOOKUP(B218,[1]Sheet1!$B:$B,[1]Sheet1!$V:$V,0)</f>
        <v>85000</v>
      </c>
      <c r="T218" s="12">
        <f>_xlfn.XLOOKUP(B218,[1]Sheet1!$B:$B,[1]Sheet1!$W:$W,0)</f>
        <v>40000</v>
      </c>
      <c r="U218" s="12">
        <f>_xlfn.XLOOKUP(B218,[1]Sheet1!$B:$B,[1]Sheet1!$X:$X,0)</f>
        <v>155000</v>
      </c>
      <c r="V218" s="12">
        <f>_xlfn.XLOOKUP(B218,[1]Sheet1!$B:$B,[1]Sheet1!$Y:$Y,0)</f>
        <v>76130</v>
      </c>
      <c r="W218" s="12">
        <f t="shared" si="9"/>
        <v>641550</v>
      </c>
      <c r="X218" s="6" t="s">
        <v>439</v>
      </c>
      <c r="Y218" s="6" t="s">
        <v>65</v>
      </c>
      <c r="Z218" s="6" t="s">
        <v>66</v>
      </c>
      <c r="AA218" s="6" t="s">
        <v>305</v>
      </c>
      <c r="AB218" s="6" t="s">
        <v>36</v>
      </c>
      <c r="AC218" s="6" t="s">
        <v>37</v>
      </c>
      <c r="AD218" s="6" t="s">
        <v>69</v>
      </c>
      <c r="AE218" s="6" t="s">
        <v>39</v>
      </c>
      <c r="AF218" s="6" t="s">
        <v>40</v>
      </c>
      <c r="AG218" s="7">
        <v>641550</v>
      </c>
      <c r="AH218" s="11">
        <f>_xlfn.XLOOKUP(B218,[1]Sheet1!$B:$B,[1]Sheet1!$AB:$AB,0)</f>
        <v>641550</v>
      </c>
    </row>
    <row r="219" spans="2:34" ht="16.8" thickTop="1" thickBot="1" x14ac:dyDescent="0.35">
      <c r="B219" s="3" t="str">
        <f t="shared" si="8"/>
        <v>45117004511000344Admin Expenses-N421125200104</v>
      </c>
      <c r="C219" s="8" t="s">
        <v>260</v>
      </c>
      <c r="D219" s="8" t="s">
        <v>440</v>
      </c>
      <c r="E219" s="8" t="s">
        <v>441</v>
      </c>
      <c r="F219" s="8" t="s">
        <v>130</v>
      </c>
      <c r="G219" s="4" t="s">
        <v>2803</v>
      </c>
      <c r="H219" s="4" t="s">
        <v>2922</v>
      </c>
      <c r="I219" s="8" t="s">
        <v>44</v>
      </c>
      <c r="J219" s="8" t="s">
        <v>31</v>
      </c>
      <c r="K219" s="12">
        <f>_xlfn.XLOOKUP(B219,[1]Sheet1!$B:$B,[1]Sheet1!$N:$N,0)</f>
        <v>0</v>
      </c>
      <c r="L219" s="12">
        <f>_xlfn.XLOOKUP(B219,[1]Sheet1!$B:$B,[1]Sheet1!$O:$O,0)</f>
        <v>0</v>
      </c>
      <c r="M219" s="12">
        <f>_xlfn.XLOOKUP(B219,[1]Sheet1!$B:$B,[1]Sheet1!$P:$P,0)</f>
        <v>16675.230000000003</v>
      </c>
      <c r="N219" s="12">
        <f>_xlfn.XLOOKUP(B219,[1]Sheet1!$B:$B,[1]Sheet1!$Q:$Q,0)</f>
        <v>0</v>
      </c>
      <c r="O219" s="12">
        <f>_xlfn.XLOOKUP(B219,[1]Sheet1!$B:$B,[1]Sheet1!$R:$R,0)</f>
        <v>0</v>
      </c>
      <c r="P219" s="12">
        <f>_xlfn.XLOOKUP(B219,[1]Sheet1!$B:$B,[1]Sheet1!$S:$S,0)</f>
        <v>0</v>
      </c>
      <c r="Q219" s="12">
        <f>_xlfn.XLOOKUP(B219,[1]Sheet1!$B:$B,[1]Sheet1!$T:$T,0)</f>
        <v>0</v>
      </c>
      <c r="R219" s="12">
        <f>_xlfn.XLOOKUP(B219,[1]Sheet1!$B:$B,[1]Sheet1!$U:$U,0)</f>
        <v>0</v>
      </c>
      <c r="S219" s="12">
        <f>_xlfn.XLOOKUP(B219,[1]Sheet1!$B:$B,[1]Sheet1!$V:$V,0)</f>
        <v>57241.8</v>
      </c>
      <c r="T219" s="12">
        <f>_xlfn.XLOOKUP(B219,[1]Sheet1!$B:$B,[1]Sheet1!$W:$W,0)</f>
        <v>236083</v>
      </c>
      <c r="U219" s="12">
        <f>_xlfn.XLOOKUP(B219,[1]Sheet1!$B:$B,[1]Sheet1!$X:$X,0)</f>
        <v>250000</v>
      </c>
      <c r="V219" s="12">
        <f>_xlfn.XLOOKUP(B219,[1]Sheet1!$B:$B,[1]Sheet1!$Y:$Y,0)</f>
        <v>100000</v>
      </c>
      <c r="W219" s="12">
        <f t="shared" si="9"/>
        <v>660000.03</v>
      </c>
      <c r="X219" s="8" t="s">
        <v>442</v>
      </c>
      <c r="Y219" s="8" t="s">
        <v>65</v>
      </c>
      <c r="Z219" s="8" t="s">
        <v>259</v>
      </c>
      <c r="AA219" s="8" t="s">
        <v>44</v>
      </c>
      <c r="AB219" s="8" t="s">
        <v>36</v>
      </c>
      <c r="AC219" s="8" t="s">
        <v>37</v>
      </c>
      <c r="AD219" s="8" t="s">
        <v>102</v>
      </c>
      <c r="AE219" s="8" t="s">
        <v>39</v>
      </c>
      <c r="AF219" s="8" t="s">
        <v>40</v>
      </c>
      <c r="AG219" s="9">
        <v>660000</v>
      </c>
      <c r="AH219" s="11">
        <f>_xlfn.XLOOKUP(B219,[1]Sheet1!$B:$B,[1]Sheet1!$AB:$AB,0)</f>
        <v>660000.03</v>
      </c>
    </row>
    <row r="220" spans="2:34" ht="16.8" thickTop="1" thickBot="1" x14ac:dyDescent="0.35">
      <c r="B220" s="3" t="str">
        <f t="shared" si="8"/>
        <v>45117004511000344Freelancers-N424521200104</v>
      </c>
      <c r="C220" s="6" t="s">
        <v>260</v>
      </c>
      <c r="D220" s="6" t="s">
        <v>440</v>
      </c>
      <c r="E220" s="6" t="s">
        <v>441</v>
      </c>
      <c r="F220" s="6" t="s">
        <v>50</v>
      </c>
      <c r="G220" s="4" t="s">
        <v>2804</v>
      </c>
      <c r="H220" s="4" t="s">
        <v>2922</v>
      </c>
      <c r="I220" s="6" t="s">
        <v>51</v>
      </c>
      <c r="J220" s="6" t="s">
        <v>31</v>
      </c>
      <c r="K220" s="12">
        <f>_xlfn.XLOOKUP(B220,[1]Sheet1!$B:$B,[1]Sheet1!$N:$N,0)</f>
        <v>0</v>
      </c>
      <c r="L220" s="12">
        <f>_xlfn.XLOOKUP(B220,[1]Sheet1!$B:$B,[1]Sheet1!$O:$O,0)</f>
        <v>0</v>
      </c>
      <c r="M220" s="12">
        <f>_xlfn.XLOOKUP(B220,[1]Sheet1!$B:$B,[1]Sheet1!$P:$P,0)</f>
        <v>125000</v>
      </c>
      <c r="N220" s="12">
        <f>_xlfn.XLOOKUP(B220,[1]Sheet1!$B:$B,[1]Sheet1!$Q:$Q,0)</f>
        <v>25000</v>
      </c>
      <c r="O220" s="12">
        <f>_xlfn.XLOOKUP(B220,[1]Sheet1!$B:$B,[1]Sheet1!$R:$R,0)</f>
        <v>50000</v>
      </c>
      <c r="P220" s="12">
        <f>_xlfn.XLOOKUP(B220,[1]Sheet1!$B:$B,[1]Sheet1!$S:$S,0)</f>
        <v>50000</v>
      </c>
      <c r="Q220" s="12">
        <f>_xlfn.XLOOKUP(B220,[1]Sheet1!$B:$B,[1]Sheet1!$T:$T,0)</f>
        <v>50000</v>
      </c>
      <c r="R220" s="12">
        <f>_xlfn.XLOOKUP(B220,[1]Sheet1!$B:$B,[1]Sheet1!$U:$U,0)</f>
        <v>50000</v>
      </c>
      <c r="S220" s="12">
        <f>_xlfn.XLOOKUP(B220,[1]Sheet1!$B:$B,[1]Sheet1!$V:$V,0)</f>
        <v>50000</v>
      </c>
      <c r="T220" s="12">
        <f>_xlfn.XLOOKUP(B220,[1]Sheet1!$B:$B,[1]Sheet1!$W:$W,0)</f>
        <v>25000</v>
      </c>
      <c r="U220" s="12">
        <f>_xlfn.XLOOKUP(B220,[1]Sheet1!$B:$B,[1]Sheet1!$X:$X,0)</f>
        <v>50000</v>
      </c>
      <c r="V220" s="12">
        <f>_xlfn.XLOOKUP(B220,[1]Sheet1!$B:$B,[1]Sheet1!$Y:$Y,0)</f>
        <v>0</v>
      </c>
      <c r="W220" s="12">
        <f t="shared" si="9"/>
        <v>475000</v>
      </c>
      <c r="X220" s="6" t="s">
        <v>443</v>
      </c>
      <c r="Y220" s="6" t="s">
        <v>65</v>
      </c>
      <c r="Z220" s="6" t="s">
        <v>259</v>
      </c>
      <c r="AA220" s="6" t="s">
        <v>53</v>
      </c>
      <c r="AB220" s="6" t="s">
        <v>36</v>
      </c>
      <c r="AC220" s="6" t="s">
        <v>37</v>
      </c>
      <c r="AD220" s="6" t="s">
        <v>102</v>
      </c>
      <c r="AE220" s="6" t="s">
        <v>39</v>
      </c>
      <c r="AF220" s="6" t="s">
        <v>40</v>
      </c>
      <c r="AG220" s="7">
        <v>475000</v>
      </c>
      <c r="AH220" s="11">
        <f>_xlfn.XLOOKUP(B220,[1]Sheet1!$B:$B,[1]Sheet1!$AB:$AB,0)</f>
        <v>475000</v>
      </c>
    </row>
    <row r="221" spans="2:34" ht="16.8" thickTop="1" thickBot="1" x14ac:dyDescent="0.35">
      <c r="B221" s="3" t="str">
        <f t="shared" si="8"/>
        <v>45117004511000344Mission &amp; Travel-N423821200104</v>
      </c>
      <c r="C221" s="8" t="s">
        <v>260</v>
      </c>
      <c r="D221" s="8" t="s">
        <v>440</v>
      </c>
      <c r="E221" s="8" t="s">
        <v>441</v>
      </c>
      <c r="F221" s="8" t="s">
        <v>54</v>
      </c>
      <c r="G221" s="4" t="s">
        <v>2805</v>
      </c>
      <c r="H221" s="4" t="s">
        <v>2922</v>
      </c>
      <c r="I221" s="8" t="s">
        <v>55</v>
      </c>
      <c r="J221" s="8" t="s">
        <v>31</v>
      </c>
      <c r="K221" s="12">
        <f>_xlfn.XLOOKUP(B221,[1]Sheet1!$B:$B,[1]Sheet1!$N:$N,0)</f>
        <v>0</v>
      </c>
      <c r="L221" s="12">
        <f>_xlfn.XLOOKUP(B221,[1]Sheet1!$B:$B,[1]Sheet1!$O:$O,0)</f>
        <v>0</v>
      </c>
      <c r="M221" s="12">
        <f>_xlfn.XLOOKUP(B221,[1]Sheet1!$B:$B,[1]Sheet1!$P:$P,0)</f>
        <v>30000</v>
      </c>
      <c r="N221" s="12">
        <f>_xlfn.XLOOKUP(B221,[1]Sheet1!$B:$B,[1]Sheet1!$Q:$Q,0)</f>
        <v>0</v>
      </c>
      <c r="O221" s="12">
        <f>_xlfn.XLOOKUP(B221,[1]Sheet1!$B:$B,[1]Sheet1!$R:$R,0)</f>
        <v>21245</v>
      </c>
      <c r="P221" s="12">
        <f>_xlfn.XLOOKUP(B221,[1]Sheet1!$B:$B,[1]Sheet1!$S:$S,0)</f>
        <v>148755</v>
      </c>
      <c r="Q221" s="12">
        <f>_xlfn.XLOOKUP(B221,[1]Sheet1!$B:$B,[1]Sheet1!$T:$T,0)</f>
        <v>50000</v>
      </c>
      <c r="R221" s="12">
        <f>_xlfn.XLOOKUP(B221,[1]Sheet1!$B:$B,[1]Sheet1!$U:$U,0)</f>
        <v>0</v>
      </c>
      <c r="S221" s="12">
        <f>_xlfn.XLOOKUP(B221,[1]Sheet1!$B:$B,[1]Sheet1!$V:$V,0)</f>
        <v>60000</v>
      </c>
      <c r="T221" s="12">
        <f>_xlfn.XLOOKUP(B221,[1]Sheet1!$B:$B,[1]Sheet1!$W:$W,0)</f>
        <v>50000</v>
      </c>
      <c r="U221" s="12">
        <f>_xlfn.XLOOKUP(B221,[1]Sheet1!$B:$B,[1]Sheet1!$X:$X,0)</f>
        <v>0</v>
      </c>
      <c r="V221" s="12">
        <f>_xlfn.XLOOKUP(B221,[1]Sheet1!$B:$B,[1]Sheet1!$Y:$Y,0)</f>
        <v>0</v>
      </c>
      <c r="W221" s="12">
        <f t="shared" si="9"/>
        <v>360000</v>
      </c>
      <c r="X221" s="8" t="s">
        <v>261</v>
      </c>
      <c r="Y221" s="8" t="s">
        <v>65</v>
      </c>
      <c r="Z221" s="8" t="s">
        <v>259</v>
      </c>
      <c r="AA221" s="8" t="s">
        <v>55</v>
      </c>
      <c r="AB221" s="8" t="s">
        <v>36</v>
      </c>
      <c r="AC221" s="8" t="s">
        <v>37</v>
      </c>
      <c r="AD221" s="8" t="s">
        <v>102</v>
      </c>
      <c r="AE221" s="8" t="s">
        <v>39</v>
      </c>
      <c r="AF221" s="8" t="s">
        <v>40</v>
      </c>
      <c r="AG221" s="9">
        <v>360000</v>
      </c>
      <c r="AH221" s="11">
        <f>_xlfn.XLOOKUP(B221,[1]Sheet1!$B:$B,[1]Sheet1!$AB:$AB,0)</f>
        <v>360000</v>
      </c>
    </row>
    <row r="222" spans="2:34" ht="16.8" thickTop="1" thickBot="1" x14ac:dyDescent="0.35">
      <c r="B222" s="3" t="str">
        <f t="shared" si="8"/>
        <v>45102104511000346Admin Expenses-N421125200104</v>
      </c>
      <c r="C222" s="6" t="s">
        <v>448</v>
      </c>
      <c r="D222" s="6" t="s">
        <v>444</v>
      </c>
      <c r="E222" s="6" t="s">
        <v>445</v>
      </c>
      <c r="F222" s="6" t="s">
        <v>130</v>
      </c>
      <c r="G222" s="4" t="s">
        <v>2803</v>
      </c>
      <c r="H222" s="4" t="s">
        <v>2922</v>
      </c>
      <c r="I222" s="6" t="s">
        <v>44</v>
      </c>
      <c r="J222" s="6" t="s">
        <v>31</v>
      </c>
      <c r="K222" s="12">
        <f>_xlfn.XLOOKUP(B222,[1]Sheet1!$B:$B,[1]Sheet1!$N:$N,0)</f>
        <v>0</v>
      </c>
      <c r="L222" s="12">
        <f>_xlfn.XLOOKUP(B222,[1]Sheet1!$B:$B,[1]Sheet1!$O:$O,0)</f>
        <v>0</v>
      </c>
      <c r="M222" s="12">
        <f>_xlfn.XLOOKUP(B222,[1]Sheet1!$B:$B,[1]Sheet1!$P:$P,0)</f>
        <v>17242</v>
      </c>
      <c r="N222" s="12">
        <f>_xlfn.XLOOKUP(B222,[1]Sheet1!$B:$B,[1]Sheet1!$Q:$Q,0)</f>
        <v>45571.75</v>
      </c>
      <c r="O222" s="12">
        <f>_xlfn.XLOOKUP(B222,[1]Sheet1!$B:$B,[1]Sheet1!$R:$R,0)</f>
        <v>0</v>
      </c>
      <c r="P222" s="12">
        <f>_xlfn.XLOOKUP(B222,[1]Sheet1!$B:$B,[1]Sheet1!$S:$S,0)</f>
        <v>62813.75</v>
      </c>
      <c r="Q222" s="12">
        <f>_xlfn.XLOOKUP(B222,[1]Sheet1!$B:$B,[1]Sheet1!$T:$T,0)</f>
        <v>0</v>
      </c>
      <c r="R222" s="12">
        <f>_xlfn.XLOOKUP(B222,[1]Sheet1!$B:$B,[1]Sheet1!$U:$U,0)</f>
        <v>0</v>
      </c>
      <c r="S222" s="12">
        <f>_xlfn.XLOOKUP(B222,[1]Sheet1!$B:$B,[1]Sheet1!$V:$V,0)</f>
        <v>62813.75</v>
      </c>
      <c r="T222" s="12">
        <f>_xlfn.XLOOKUP(B222,[1]Sheet1!$B:$B,[1]Sheet1!$W:$W,0)</f>
        <v>0</v>
      </c>
      <c r="U222" s="12">
        <f>_xlfn.XLOOKUP(B222,[1]Sheet1!$B:$B,[1]Sheet1!$X:$X,0)</f>
        <v>0</v>
      </c>
      <c r="V222" s="12">
        <f>_xlfn.XLOOKUP(B222,[1]Sheet1!$B:$B,[1]Sheet1!$Y:$Y,0)</f>
        <v>54615.75</v>
      </c>
      <c r="W222" s="12">
        <f t="shared" si="9"/>
        <v>243057</v>
      </c>
      <c r="X222" s="6" t="s">
        <v>446</v>
      </c>
      <c r="Y222" s="6" t="s">
        <v>132</v>
      </c>
      <c r="Z222" s="6" t="s">
        <v>447</v>
      </c>
      <c r="AA222" s="6" t="s">
        <v>44</v>
      </c>
      <c r="AB222" s="6" t="s">
        <v>36</v>
      </c>
      <c r="AC222" s="6" t="s">
        <v>37</v>
      </c>
      <c r="AD222" s="6" t="s">
        <v>449</v>
      </c>
      <c r="AE222" s="6" t="s">
        <v>39</v>
      </c>
      <c r="AF222" s="6" t="s">
        <v>40</v>
      </c>
      <c r="AG222" s="7">
        <v>184057</v>
      </c>
      <c r="AH222" s="11">
        <f>_xlfn.XLOOKUP(B222,[1]Sheet1!$B:$B,[1]Sheet1!$AB:$AB,0)</f>
        <v>184057</v>
      </c>
    </row>
    <row r="223" spans="2:34" ht="16.8" thickTop="1" thickBot="1" x14ac:dyDescent="0.35">
      <c r="B223" s="3" t="str">
        <f t="shared" si="8"/>
        <v>45102104511000346Audit Services-N421125200104</v>
      </c>
      <c r="C223" s="8" t="s">
        <v>448</v>
      </c>
      <c r="D223" s="8" t="s">
        <v>444</v>
      </c>
      <c r="E223" s="8" t="s">
        <v>445</v>
      </c>
      <c r="F223" s="8" t="s">
        <v>43</v>
      </c>
      <c r="G223" s="4" t="s">
        <v>2803</v>
      </c>
      <c r="H223" s="4" t="s">
        <v>2922</v>
      </c>
      <c r="I223" s="8" t="s">
        <v>44</v>
      </c>
      <c r="J223" s="8" t="s">
        <v>31</v>
      </c>
      <c r="K223" s="12">
        <f>_xlfn.XLOOKUP(B223,[1]Sheet1!$B:$B,[1]Sheet1!$N:$N,0)</f>
        <v>0</v>
      </c>
      <c r="L223" s="12">
        <f>_xlfn.XLOOKUP(B223,[1]Sheet1!$B:$B,[1]Sheet1!$O:$O,0)</f>
        <v>0</v>
      </c>
      <c r="M223" s="12">
        <f>_xlfn.XLOOKUP(B223,[1]Sheet1!$B:$B,[1]Sheet1!$P:$P,0)</f>
        <v>0</v>
      </c>
      <c r="N223" s="12">
        <f>_xlfn.XLOOKUP(B223,[1]Sheet1!$B:$B,[1]Sheet1!$Q:$Q,0)</f>
        <v>99000</v>
      </c>
      <c r="O223" s="12">
        <f>_xlfn.XLOOKUP(B223,[1]Sheet1!$B:$B,[1]Sheet1!$R:$R,0)</f>
        <v>0</v>
      </c>
      <c r="P223" s="12">
        <f>_xlfn.XLOOKUP(B223,[1]Sheet1!$B:$B,[1]Sheet1!$S:$S,0)</f>
        <v>0</v>
      </c>
      <c r="Q223" s="12">
        <f>_xlfn.XLOOKUP(B223,[1]Sheet1!$B:$B,[1]Sheet1!$T:$T,0)</f>
        <v>99000</v>
      </c>
      <c r="R223" s="12">
        <f>_xlfn.XLOOKUP(B223,[1]Sheet1!$B:$B,[1]Sheet1!$U:$U,0)</f>
        <v>0</v>
      </c>
      <c r="S223" s="12">
        <f>_xlfn.XLOOKUP(B223,[1]Sheet1!$B:$B,[1]Sheet1!$V:$V,0)</f>
        <v>0</v>
      </c>
      <c r="T223" s="12">
        <f>_xlfn.XLOOKUP(B223,[1]Sheet1!$B:$B,[1]Sheet1!$W:$W,0)</f>
        <v>0</v>
      </c>
      <c r="U223" s="12">
        <f>_xlfn.XLOOKUP(B223,[1]Sheet1!$B:$B,[1]Sheet1!$X:$X,0)</f>
        <v>0</v>
      </c>
      <c r="V223" s="12">
        <f>_xlfn.XLOOKUP(B223,[1]Sheet1!$B:$B,[1]Sheet1!$Y:$Y,0)</f>
        <v>0</v>
      </c>
      <c r="W223" s="12">
        <f t="shared" si="9"/>
        <v>198000</v>
      </c>
      <c r="X223" s="8" t="s">
        <v>446</v>
      </c>
      <c r="Y223" s="8" t="s">
        <v>132</v>
      </c>
      <c r="Z223" s="8" t="s">
        <v>447</v>
      </c>
      <c r="AA223" s="8" t="s">
        <v>44</v>
      </c>
      <c r="AB223" s="8" t="s">
        <v>36</v>
      </c>
      <c r="AC223" s="8" t="s">
        <v>37</v>
      </c>
      <c r="AD223" s="8" t="s">
        <v>449</v>
      </c>
      <c r="AE223" s="8" t="s">
        <v>39</v>
      </c>
      <c r="AF223" s="8" t="s">
        <v>40</v>
      </c>
      <c r="AG223" s="9">
        <v>198000</v>
      </c>
      <c r="AH223" s="11">
        <f>_xlfn.XLOOKUP(B223,[1]Sheet1!$B:$B,[1]Sheet1!$AB:$AB,0)</f>
        <v>198000</v>
      </c>
    </row>
    <row r="224" spans="2:34" ht="16.8" thickTop="1" thickBot="1" x14ac:dyDescent="0.35">
      <c r="B224" s="3" t="str">
        <f t="shared" si="8"/>
        <v>45102104511000346Bank Charges-N437111200104</v>
      </c>
      <c r="C224" s="6" t="s">
        <v>448</v>
      </c>
      <c r="D224" s="6" t="s">
        <v>444</v>
      </c>
      <c r="E224" s="6" t="s">
        <v>445</v>
      </c>
      <c r="F224" s="6" t="s">
        <v>450</v>
      </c>
      <c r="G224" s="4" t="s">
        <v>2841</v>
      </c>
      <c r="H224" s="4" t="s">
        <v>2922</v>
      </c>
      <c r="I224" s="6" t="s">
        <v>451</v>
      </c>
      <c r="J224" s="6" t="s">
        <v>31</v>
      </c>
      <c r="K224" s="12">
        <f>_xlfn.XLOOKUP(B224,[1]Sheet1!$B:$B,[1]Sheet1!$N:$N,0)</f>
        <v>0</v>
      </c>
      <c r="L224" s="12">
        <f>_xlfn.XLOOKUP(B224,[1]Sheet1!$B:$B,[1]Sheet1!$O:$O,0)</f>
        <v>0</v>
      </c>
      <c r="M224" s="12">
        <f>_xlfn.XLOOKUP(B224,[1]Sheet1!$B:$B,[1]Sheet1!$P:$P,0)</f>
        <v>567</v>
      </c>
      <c r="N224" s="12">
        <f>_xlfn.XLOOKUP(B224,[1]Sheet1!$B:$B,[1]Sheet1!$Q:$Q,0)</f>
        <v>0</v>
      </c>
      <c r="O224" s="12">
        <f>_xlfn.XLOOKUP(B224,[1]Sheet1!$B:$B,[1]Sheet1!$R:$R,0)</f>
        <v>0</v>
      </c>
      <c r="P224" s="12">
        <f>_xlfn.XLOOKUP(B224,[1]Sheet1!$B:$B,[1]Sheet1!$S:$S,0)</f>
        <v>0</v>
      </c>
      <c r="Q224" s="12">
        <f>_xlfn.XLOOKUP(B224,[1]Sheet1!$B:$B,[1]Sheet1!$T:$T,0)</f>
        <v>0</v>
      </c>
      <c r="R224" s="12">
        <f>_xlfn.XLOOKUP(B224,[1]Sheet1!$B:$B,[1]Sheet1!$U:$U,0)</f>
        <v>0</v>
      </c>
      <c r="S224" s="12">
        <f>_xlfn.XLOOKUP(B224,[1]Sheet1!$B:$B,[1]Sheet1!$V:$V,0)</f>
        <v>0</v>
      </c>
      <c r="T224" s="12">
        <f>_xlfn.XLOOKUP(B224,[1]Sheet1!$B:$B,[1]Sheet1!$W:$W,0)</f>
        <v>99433</v>
      </c>
      <c r="U224" s="12">
        <f>_xlfn.XLOOKUP(B224,[1]Sheet1!$B:$B,[1]Sheet1!$X:$X,0)</f>
        <v>213800</v>
      </c>
      <c r="V224" s="12">
        <f>_xlfn.XLOOKUP(B224,[1]Sheet1!$B:$B,[1]Sheet1!$Y:$Y,0)</f>
        <v>209462</v>
      </c>
      <c r="W224" s="12">
        <f t="shared" si="9"/>
        <v>523262</v>
      </c>
      <c r="X224" s="6" t="s">
        <v>452</v>
      </c>
      <c r="Y224" s="6" t="s">
        <v>132</v>
      </c>
      <c r="Z224" s="6" t="s">
        <v>447</v>
      </c>
      <c r="AA224" s="6" t="s">
        <v>451</v>
      </c>
      <c r="AB224" s="6" t="s">
        <v>36</v>
      </c>
      <c r="AC224" s="6" t="s">
        <v>37</v>
      </c>
      <c r="AD224" s="6" t="s">
        <v>449</v>
      </c>
      <c r="AE224" s="6" t="s">
        <v>39</v>
      </c>
      <c r="AF224" s="6" t="s">
        <v>40</v>
      </c>
      <c r="AG224" s="7">
        <v>423262</v>
      </c>
      <c r="AH224" s="11">
        <f>_xlfn.XLOOKUP(B224,[1]Sheet1!$B:$B,[1]Sheet1!$AB:$AB,0)</f>
        <v>423262</v>
      </c>
    </row>
    <row r="225" spans="2:34" ht="16.8" thickTop="1" thickBot="1" x14ac:dyDescent="0.35">
      <c r="B225" s="3" t="str">
        <f t="shared" si="8"/>
        <v>45102104511000346Freelancers-N424521200104</v>
      </c>
      <c r="C225" s="8" t="s">
        <v>448</v>
      </c>
      <c r="D225" s="8" t="s">
        <v>444</v>
      </c>
      <c r="E225" s="8" t="s">
        <v>445</v>
      </c>
      <c r="F225" s="8" t="s">
        <v>50</v>
      </c>
      <c r="G225" s="4" t="s">
        <v>2804</v>
      </c>
      <c r="H225" s="4" t="s">
        <v>2922</v>
      </c>
      <c r="I225" s="8" t="s">
        <v>51</v>
      </c>
      <c r="J225" s="8" t="s">
        <v>31</v>
      </c>
      <c r="K225" s="12">
        <f>_xlfn.XLOOKUP(B225,[1]Sheet1!$B:$B,[1]Sheet1!$N:$N,0)</f>
        <v>0</v>
      </c>
      <c r="L225" s="12">
        <f>_xlfn.XLOOKUP(B225,[1]Sheet1!$B:$B,[1]Sheet1!$O:$O,0)</f>
        <v>18800</v>
      </c>
      <c r="M225" s="12">
        <f>_xlfn.XLOOKUP(B225,[1]Sheet1!$B:$B,[1]Sheet1!$P:$P,0)</f>
        <v>27253.260000000002</v>
      </c>
      <c r="N225" s="12">
        <f>_xlfn.XLOOKUP(B225,[1]Sheet1!$B:$B,[1]Sheet1!$Q:$Q,0)</f>
        <v>0</v>
      </c>
      <c r="O225" s="12">
        <f>_xlfn.XLOOKUP(B225,[1]Sheet1!$B:$B,[1]Sheet1!$R:$R,0)</f>
        <v>8747</v>
      </c>
      <c r="P225" s="12">
        <f>_xlfn.XLOOKUP(B225,[1]Sheet1!$B:$B,[1]Sheet1!$S:$S,0)</f>
        <v>12000</v>
      </c>
      <c r="Q225" s="12">
        <f>_xlfn.XLOOKUP(B225,[1]Sheet1!$B:$B,[1]Sheet1!$T:$T,0)</f>
        <v>12000</v>
      </c>
      <c r="R225" s="12">
        <f>_xlfn.XLOOKUP(B225,[1]Sheet1!$B:$B,[1]Sheet1!$U:$U,0)</f>
        <v>12000</v>
      </c>
      <c r="S225" s="12">
        <f>_xlfn.XLOOKUP(B225,[1]Sheet1!$B:$B,[1]Sheet1!$V:$V,0)</f>
        <v>12000</v>
      </c>
      <c r="T225" s="12">
        <f>_xlfn.XLOOKUP(B225,[1]Sheet1!$B:$B,[1]Sheet1!$W:$W,0)</f>
        <v>12000</v>
      </c>
      <c r="U225" s="12">
        <f>_xlfn.XLOOKUP(B225,[1]Sheet1!$B:$B,[1]Sheet1!$X:$X,0)</f>
        <v>12000</v>
      </c>
      <c r="V225" s="12">
        <f>_xlfn.XLOOKUP(B225,[1]Sheet1!$B:$B,[1]Sheet1!$Y:$Y,0)</f>
        <v>12000</v>
      </c>
      <c r="W225" s="12">
        <f t="shared" si="9"/>
        <v>138800.26</v>
      </c>
      <c r="X225" s="8" t="s">
        <v>453</v>
      </c>
      <c r="Y225" s="8" t="s">
        <v>132</v>
      </c>
      <c r="Z225" s="8" t="s">
        <v>447</v>
      </c>
      <c r="AA225" s="8" t="s">
        <v>53</v>
      </c>
      <c r="AB225" s="8" t="s">
        <v>36</v>
      </c>
      <c r="AC225" s="8" t="s">
        <v>37</v>
      </c>
      <c r="AD225" s="8" t="s">
        <v>449</v>
      </c>
      <c r="AE225" s="8" t="s">
        <v>39</v>
      </c>
      <c r="AF225" s="8" t="s">
        <v>40</v>
      </c>
      <c r="AG225" s="9">
        <v>346129</v>
      </c>
      <c r="AH225" s="11">
        <f>_xlfn.XLOOKUP(B225,[1]Sheet1!$B:$B,[1]Sheet1!$AB:$AB,0)</f>
        <v>346129.26</v>
      </c>
    </row>
    <row r="226" spans="2:34" ht="16.8" thickTop="1" thickBot="1" x14ac:dyDescent="0.35">
      <c r="B226" s="3" t="str">
        <f t="shared" si="8"/>
        <v>45102104511000346Insurance-N422749200104</v>
      </c>
      <c r="C226" s="6" t="s">
        <v>448</v>
      </c>
      <c r="D226" s="6" t="s">
        <v>444</v>
      </c>
      <c r="E226" s="6" t="s">
        <v>445</v>
      </c>
      <c r="F226" s="6" t="s">
        <v>454</v>
      </c>
      <c r="G226" s="4" t="s">
        <v>2842</v>
      </c>
      <c r="H226" s="4" t="s">
        <v>2922</v>
      </c>
      <c r="I226" s="6" t="s">
        <v>455</v>
      </c>
      <c r="J226" s="6" t="s">
        <v>31</v>
      </c>
      <c r="K226" s="12">
        <f>_xlfn.XLOOKUP(B226,[1]Sheet1!$B:$B,[1]Sheet1!$N:$N,0)</f>
        <v>0</v>
      </c>
      <c r="L226" s="12">
        <f>_xlfn.XLOOKUP(B226,[1]Sheet1!$B:$B,[1]Sheet1!$O:$O,0)</f>
        <v>0</v>
      </c>
      <c r="M226" s="12">
        <f>_xlfn.XLOOKUP(B226,[1]Sheet1!$B:$B,[1]Sheet1!$P:$P,0)</f>
        <v>0</v>
      </c>
      <c r="N226" s="12">
        <f>_xlfn.XLOOKUP(B226,[1]Sheet1!$B:$B,[1]Sheet1!$Q:$Q,0)</f>
        <v>1500000</v>
      </c>
      <c r="O226" s="12">
        <f>_xlfn.XLOOKUP(B226,[1]Sheet1!$B:$B,[1]Sheet1!$R:$R,0)</f>
        <v>609912</v>
      </c>
      <c r="P226" s="12">
        <f>_xlfn.XLOOKUP(B226,[1]Sheet1!$B:$B,[1]Sheet1!$S:$S,0)</f>
        <v>0</v>
      </c>
      <c r="Q226" s="12">
        <f>_xlfn.XLOOKUP(B226,[1]Sheet1!$B:$B,[1]Sheet1!$T:$T,0)</f>
        <v>126234.11</v>
      </c>
      <c r="R226" s="12">
        <f>_xlfn.XLOOKUP(B226,[1]Sheet1!$B:$B,[1]Sheet1!$U:$U,0)</f>
        <v>0</v>
      </c>
      <c r="S226" s="12">
        <f>_xlfn.XLOOKUP(B226,[1]Sheet1!$B:$B,[1]Sheet1!$V:$V,0)</f>
        <v>0</v>
      </c>
      <c r="T226" s="12">
        <f>_xlfn.XLOOKUP(B226,[1]Sheet1!$B:$B,[1]Sheet1!$W:$W,0)</f>
        <v>836332</v>
      </c>
      <c r="U226" s="12">
        <f>_xlfn.XLOOKUP(B226,[1]Sheet1!$B:$B,[1]Sheet1!$X:$X,0)</f>
        <v>0</v>
      </c>
      <c r="V226" s="12">
        <f>_xlfn.XLOOKUP(B226,[1]Sheet1!$B:$B,[1]Sheet1!$Y:$Y,0)</f>
        <v>7166</v>
      </c>
      <c r="W226" s="12">
        <f t="shared" si="9"/>
        <v>3079644.11</v>
      </c>
      <c r="X226" s="6" t="s">
        <v>456</v>
      </c>
      <c r="Y226" s="6" t="s">
        <v>132</v>
      </c>
      <c r="Z226" s="6" t="s">
        <v>447</v>
      </c>
      <c r="AA226" s="6" t="s">
        <v>455</v>
      </c>
      <c r="AB226" s="6" t="s">
        <v>36</v>
      </c>
      <c r="AC226" s="6" t="s">
        <v>37</v>
      </c>
      <c r="AD226" s="6" t="s">
        <v>449</v>
      </c>
      <c r="AE226" s="6" t="s">
        <v>39</v>
      </c>
      <c r="AF226" s="6" t="s">
        <v>40</v>
      </c>
      <c r="AG226" s="7">
        <v>13371044</v>
      </c>
      <c r="AH226" s="11">
        <f>_xlfn.XLOOKUP(B226,[1]Sheet1!$B:$B,[1]Sheet1!$AB:$AB,0)</f>
        <v>13371044.109999999</v>
      </c>
    </row>
    <row r="227" spans="2:34" ht="16.8" thickTop="1" thickBot="1" x14ac:dyDescent="0.35">
      <c r="B227" s="3" t="str">
        <f t="shared" si="8"/>
        <v>45102104511000346ManagementAdvice-N424521200104</v>
      </c>
      <c r="C227" s="8" t="s">
        <v>448</v>
      </c>
      <c r="D227" s="8" t="s">
        <v>444</v>
      </c>
      <c r="E227" s="8" t="s">
        <v>445</v>
      </c>
      <c r="F227" s="8" t="s">
        <v>230</v>
      </c>
      <c r="G227" s="4" t="s">
        <v>2804</v>
      </c>
      <c r="H227" s="4" t="s">
        <v>2922</v>
      </c>
      <c r="I227" s="8" t="s">
        <v>51</v>
      </c>
      <c r="J227" s="8" t="s">
        <v>31</v>
      </c>
      <c r="K227" s="12">
        <f>_xlfn.XLOOKUP(B227,[1]Sheet1!$B:$B,[1]Sheet1!$N:$N,0)</f>
        <v>0</v>
      </c>
      <c r="L227" s="12">
        <f>_xlfn.XLOOKUP(B227,[1]Sheet1!$B:$B,[1]Sheet1!$O:$O,0)</f>
        <v>0</v>
      </c>
      <c r="M227" s="12">
        <f>_xlfn.XLOOKUP(B227,[1]Sheet1!$B:$B,[1]Sheet1!$P:$P,0)</f>
        <v>0</v>
      </c>
      <c r="N227" s="12">
        <f>_xlfn.XLOOKUP(B227,[1]Sheet1!$B:$B,[1]Sheet1!$Q:$Q,0)</f>
        <v>0</v>
      </c>
      <c r="O227" s="12">
        <f>_xlfn.XLOOKUP(B227,[1]Sheet1!$B:$B,[1]Sheet1!$R:$R,0)</f>
        <v>0</v>
      </c>
      <c r="P227" s="12">
        <f>_xlfn.XLOOKUP(B227,[1]Sheet1!$B:$B,[1]Sheet1!$S:$S,0)</f>
        <v>0</v>
      </c>
      <c r="Q227" s="12">
        <f>_xlfn.XLOOKUP(B227,[1]Sheet1!$B:$B,[1]Sheet1!$T:$T,0)</f>
        <v>0</v>
      </c>
      <c r="R227" s="12">
        <f>_xlfn.XLOOKUP(B227,[1]Sheet1!$B:$B,[1]Sheet1!$U:$U,0)</f>
        <v>0</v>
      </c>
      <c r="S227" s="12">
        <f>_xlfn.XLOOKUP(B227,[1]Sheet1!$B:$B,[1]Sheet1!$V:$V,0)</f>
        <v>0</v>
      </c>
      <c r="T227" s="12">
        <f>_xlfn.XLOOKUP(B227,[1]Sheet1!$B:$B,[1]Sheet1!$W:$W,0)</f>
        <v>0</v>
      </c>
      <c r="U227" s="12">
        <f>_xlfn.XLOOKUP(B227,[1]Sheet1!$B:$B,[1]Sheet1!$X:$X,0)</f>
        <v>0</v>
      </c>
      <c r="V227" s="12">
        <f>_xlfn.XLOOKUP(B227,[1]Sheet1!$B:$B,[1]Sheet1!$Y:$Y,0)</f>
        <v>0</v>
      </c>
      <c r="W227" s="12">
        <f t="shared" si="9"/>
        <v>0</v>
      </c>
      <c r="X227" s="8" t="s">
        <v>453</v>
      </c>
      <c r="Y227" s="8" t="s">
        <v>132</v>
      </c>
      <c r="Z227" s="8" t="s">
        <v>447</v>
      </c>
      <c r="AA227" s="8" t="s">
        <v>53</v>
      </c>
      <c r="AB227" s="8" t="s">
        <v>36</v>
      </c>
      <c r="AC227" s="8" t="s">
        <v>37</v>
      </c>
      <c r="AD227" s="8" t="s">
        <v>449</v>
      </c>
      <c r="AE227" s="8" t="s">
        <v>39</v>
      </c>
      <c r="AF227" s="8" t="s">
        <v>40</v>
      </c>
      <c r="AG227" s="9">
        <v>100000</v>
      </c>
      <c r="AH227" s="11">
        <f>_xlfn.XLOOKUP(B227,[1]Sheet1!$B:$B,[1]Sheet1!$AB:$AB,0)</f>
        <v>100000</v>
      </c>
    </row>
    <row r="228" spans="2:34" ht="16.8" thickTop="1" thickBot="1" x14ac:dyDescent="0.35">
      <c r="B228" s="3" t="str">
        <f t="shared" si="8"/>
        <v>45102104511000346Manpower-N424521200104</v>
      </c>
      <c r="C228" s="6" t="s">
        <v>448</v>
      </c>
      <c r="D228" s="6" t="s">
        <v>444</v>
      </c>
      <c r="E228" s="6" t="s">
        <v>445</v>
      </c>
      <c r="F228" s="6" t="s">
        <v>98</v>
      </c>
      <c r="G228" s="4" t="s">
        <v>2804</v>
      </c>
      <c r="H228" s="4" t="s">
        <v>2922</v>
      </c>
      <c r="I228" s="6" t="s">
        <v>51</v>
      </c>
      <c r="J228" s="6" t="s">
        <v>31</v>
      </c>
      <c r="K228" s="12">
        <f>_xlfn.XLOOKUP(B228,[1]Sheet1!$B:$B,[1]Sheet1!$N:$N,0)</f>
        <v>0</v>
      </c>
      <c r="L228" s="12">
        <f>_xlfn.XLOOKUP(B228,[1]Sheet1!$B:$B,[1]Sheet1!$O:$O,0)</f>
        <v>0</v>
      </c>
      <c r="M228" s="12">
        <f>_xlfn.XLOOKUP(B228,[1]Sheet1!$B:$B,[1]Sheet1!$P:$P,0)</f>
        <v>641863</v>
      </c>
      <c r="N228" s="12">
        <f>_xlfn.XLOOKUP(B228,[1]Sheet1!$B:$B,[1]Sheet1!$Q:$Q,0)</f>
        <v>296121</v>
      </c>
      <c r="O228" s="12">
        <f>_xlfn.XLOOKUP(B228,[1]Sheet1!$B:$B,[1]Sheet1!$R:$R,0)</f>
        <v>234496</v>
      </c>
      <c r="P228" s="12">
        <f>_xlfn.XLOOKUP(B228,[1]Sheet1!$B:$B,[1]Sheet1!$S:$S,0)</f>
        <v>234496</v>
      </c>
      <c r="Q228" s="12">
        <f>_xlfn.XLOOKUP(B228,[1]Sheet1!$B:$B,[1]Sheet1!$T:$T,0)</f>
        <v>234496</v>
      </c>
      <c r="R228" s="12">
        <f>_xlfn.XLOOKUP(B228,[1]Sheet1!$B:$B,[1]Sheet1!$U:$U,0)</f>
        <v>234496</v>
      </c>
      <c r="S228" s="12">
        <f>_xlfn.XLOOKUP(B228,[1]Sheet1!$B:$B,[1]Sheet1!$V:$V,0)</f>
        <v>234496</v>
      </c>
      <c r="T228" s="12">
        <f>_xlfn.XLOOKUP(B228,[1]Sheet1!$B:$B,[1]Sheet1!$W:$W,0)</f>
        <v>234496</v>
      </c>
      <c r="U228" s="12">
        <f>_xlfn.XLOOKUP(B228,[1]Sheet1!$B:$B,[1]Sheet1!$X:$X,0)</f>
        <v>234496</v>
      </c>
      <c r="V228" s="12">
        <f>_xlfn.XLOOKUP(B228,[1]Sheet1!$B:$B,[1]Sheet1!$Y:$Y,0)</f>
        <v>234496</v>
      </c>
      <c r="W228" s="12">
        <f t="shared" si="9"/>
        <v>2813952</v>
      </c>
      <c r="X228" s="6" t="s">
        <v>453</v>
      </c>
      <c r="Y228" s="6" t="s">
        <v>132</v>
      </c>
      <c r="Z228" s="6" t="s">
        <v>447</v>
      </c>
      <c r="AA228" s="6" t="s">
        <v>53</v>
      </c>
      <c r="AB228" s="6" t="s">
        <v>36</v>
      </c>
      <c r="AC228" s="6" t="s">
        <v>37</v>
      </c>
      <c r="AD228" s="6" t="s">
        <v>449</v>
      </c>
      <c r="AE228" s="6" t="s">
        <v>39</v>
      </c>
      <c r="AF228" s="6" t="s">
        <v>40</v>
      </c>
      <c r="AG228" s="7">
        <v>2606623</v>
      </c>
      <c r="AH228" s="11">
        <f>_xlfn.XLOOKUP(B228,[1]Sheet1!$B:$B,[1]Sheet1!$AB:$AB,0)</f>
        <v>2606623</v>
      </c>
    </row>
    <row r="229" spans="2:34" ht="16.8" thickTop="1" thickBot="1" x14ac:dyDescent="0.35">
      <c r="B229" s="3" t="str">
        <f t="shared" si="8"/>
        <v>45102104511000346Mission &amp; Travel-N423821200104</v>
      </c>
      <c r="C229" s="8" t="s">
        <v>448</v>
      </c>
      <c r="D229" s="8" t="s">
        <v>444</v>
      </c>
      <c r="E229" s="8" t="s">
        <v>445</v>
      </c>
      <c r="F229" s="8" t="s">
        <v>54</v>
      </c>
      <c r="G229" s="4" t="s">
        <v>2805</v>
      </c>
      <c r="H229" s="4" t="s">
        <v>2922</v>
      </c>
      <c r="I229" s="8" t="s">
        <v>55</v>
      </c>
      <c r="J229" s="8" t="s">
        <v>31</v>
      </c>
      <c r="K229" s="12">
        <f>_xlfn.XLOOKUP(B229,[1]Sheet1!$B:$B,[1]Sheet1!$N:$N,0)</f>
        <v>0</v>
      </c>
      <c r="L229" s="12">
        <f>_xlfn.XLOOKUP(B229,[1]Sheet1!$B:$B,[1]Sheet1!$O:$O,0)</f>
        <v>0</v>
      </c>
      <c r="M229" s="12">
        <f>_xlfn.XLOOKUP(B229,[1]Sheet1!$B:$B,[1]Sheet1!$P:$P,0)</f>
        <v>12000</v>
      </c>
      <c r="N229" s="12">
        <f>_xlfn.XLOOKUP(B229,[1]Sheet1!$B:$B,[1]Sheet1!$Q:$Q,0)</f>
        <v>72000</v>
      </c>
      <c r="O229" s="12">
        <f>_xlfn.XLOOKUP(B229,[1]Sheet1!$B:$B,[1]Sheet1!$R:$R,0)</f>
        <v>0</v>
      </c>
      <c r="P229" s="12">
        <f>_xlfn.XLOOKUP(B229,[1]Sheet1!$B:$B,[1]Sheet1!$S:$S,0)</f>
        <v>0</v>
      </c>
      <c r="Q229" s="12">
        <f>_xlfn.XLOOKUP(B229,[1]Sheet1!$B:$B,[1]Sheet1!$T:$T,0)</f>
        <v>0</v>
      </c>
      <c r="R229" s="12">
        <f>_xlfn.XLOOKUP(B229,[1]Sheet1!$B:$B,[1]Sheet1!$U:$U,0)</f>
        <v>0</v>
      </c>
      <c r="S229" s="12">
        <f>_xlfn.XLOOKUP(B229,[1]Sheet1!$B:$B,[1]Sheet1!$V:$V,0)</f>
        <v>0</v>
      </c>
      <c r="T229" s="12">
        <f>_xlfn.XLOOKUP(B229,[1]Sheet1!$B:$B,[1]Sheet1!$W:$W,0)</f>
        <v>0</v>
      </c>
      <c r="U229" s="12">
        <f>_xlfn.XLOOKUP(B229,[1]Sheet1!$B:$B,[1]Sheet1!$X:$X,0)</f>
        <v>0</v>
      </c>
      <c r="V229" s="12">
        <f>_xlfn.XLOOKUP(B229,[1]Sheet1!$B:$B,[1]Sheet1!$Y:$Y,0)</f>
        <v>10000</v>
      </c>
      <c r="W229" s="12">
        <f t="shared" si="9"/>
        <v>94000</v>
      </c>
      <c r="X229" s="8" t="s">
        <v>457</v>
      </c>
      <c r="Y229" s="8" t="s">
        <v>132</v>
      </c>
      <c r="Z229" s="8" t="s">
        <v>447</v>
      </c>
      <c r="AA229" s="8" t="s">
        <v>55</v>
      </c>
      <c r="AB229" s="8" t="s">
        <v>36</v>
      </c>
      <c r="AC229" s="8" t="s">
        <v>37</v>
      </c>
      <c r="AD229" s="8" t="s">
        <v>449</v>
      </c>
      <c r="AE229" s="8" t="s">
        <v>39</v>
      </c>
      <c r="AF229" s="8" t="s">
        <v>40</v>
      </c>
      <c r="AG229" s="9">
        <v>64000</v>
      </c>
      <c r="AH229" s="11">
        <f>_xlfn.XLOOKUP(B229,[1]Sheet1!$B:$B,[1]Sheet1!$AB:$AB,0)</f>
        <v>64000</v>
      </c>
    </row>
    <row r="230" spans="2:34" ht="16.8" thickTop="1" thickBot="1" x14ac:dyDescent="0.35">
      <c r="B230" s="3" t="str">
        <f t="shared" si="8"/>
        <v>45102104511000346Tagging Material-N431812200104</v>
      </c>
      <c r="C230" s="6" t="s">
        <v>448</v>
      </c>
      <c r="D230" s="6" t="s">
        <v>444</v>
      </c>
      <c r="E230" s="6" t="s">
        <v>445</v>
      </c>
      <c r="F230" s="6" t="s">
        <v>458</v>
      </c>
      <c r="G230" s="4" t="s">
        <v>2843</v>
      </c>
      <c r="H230" s="4" t="s">
        <v>2922</v>
      </c>
      <c r="I230" s="6" t="s">
        <v>459</v>
      </c>
      <c r="J230" s="6" t="s">
        <v>31</v>
      </c>
      <c r="K230" s="12">
        <f>_xlfn.XLOOKUP(B230,[1]Sheet1!$B:$B,[1]Sheet1!$N:$N,0)</f>
        <v>0</v>
      </c>
      <c r="L230" s="12">
        <f>_xlfn.XLOOKUP(B230,[1]Sheet1!$B:$B,[1]Sheet1!$O:$O,0)</f>
        <v>0</v>
      </c>
      <c r="M230" s="12">
        <f>_xlfn.XLOOKUP(B230,[1]Sheet1!$B:$B,[1]Sheet1!$P:$P,0)</f>
        <v>0</v>
      </c>
      <c r="N230" s="12">
        <f>_xlfn.XLOOKUP(B230,[1]Sheet1!$B:$B,[1]Sheet1!$Q:$Q,0)</f>
        <v>0</v>
      </c>
      <c r="O230" s="12">
        <f>_xlfn.XLOOKUP(B230,[1]Sheet1!$B:$B,[1]Sheet1!$R:$R,0)</f>
        <v>0</v>
      </c>
      <c r="P230" s="12">
        <f>_xlfn.XLOOKUP(B230,[1]Sheet1!$B:$B,[1]Sheet1!$S:$S,0)</f>
        <v>0</v>
      </c>
      <c r="Q230" s="12">
        <f>_xlfn.XLOOKUP(B230,[1]Sheet1!$B:$B,[1]Sheet1!$T:$T,0)</f>
        <v>0</v>
      </c>
      <c r="R230" s="12">
        <f>_xlfn.XLOOKUP(B230,[1]Sheet1!$B:$B,[1]Sheet1!$U:$U,0)</f>
        <v>0</v>
      </c>
      <c r="S230" s="12">
        <f>_xlfn.XLOOKUP(B230,[1]Sheet1!$B:$B,[1]Sheet1!$V:$V,0)</f>
        <v>0</v>
      </c>
      <c r="T230" s="12">
        <f>_xlfn.XLOOKUP(B230,[1]Sheet1!$B:$B,[1]Sheet1!$W:$W,0)</f>
        <v>0</v>
      </c>
      <c r="U230" s="12">
        <f>_xlfn.XLOOKUP(B230,[1]Sheet1!$B:$B,[1]Sheet1!$X:$X,0)</f>
        <v>0</v>
      </c>
      <c r="V230" s="12">
        <f>_xlfn.XLOOKUP(B230,[1]Sheet1!$B:$B,[1]Sheet1!$Y:$Y,0)</f>
        <v>0</v>
      </c>
      <c r="W230" s="12">
        <f t="shared" si="9"/>
        <v>0</v>
      </c>
      <c r="X230" s="6" t="s">
        <v>460</v>
      </c>
      <c r="Y230" s="6" t="s">
        <v>132</v>
      </c>
      <c r="Z230" s="6" t="s">
        <v>447</v>
      </c>
      <c r="AA230" s="6" t="s">
        <v>459</v>
      </c>
      <c r="AB230" s="6" t="s">
        <v>36</v>
      </c>
      <c r="AC230" s="6" t="s">
        <v>37</v>
      </c>
      <c r="AD230" s="6" t="s">
        <v>449</v>
      </c>
      <c r="AE230" s="6" t="s">
        <v>39</v>
      </c>
      <c r="AF230" s="6" t="s">
        <v>40</v>
      </c>
      <c r="AG230" s="7">
        <v>70000</v>
      </c>
      <c r="AH230" s="11">
        <f>_xlfn.XLOOKUP(B230,[1]Sheet1!$B:$B,[1]Sheet1!$AB:$AB,0)</f>
        <v>70000</v>
      </c>
    </row>
    <row r="231" spans="2:34" ht="16.8" thickTop="1" thickBot="1" x14ac:dyDescent="0.35">
      <c r="B231" s="3" t="str">
        <f t="shared" si="8"/>
        <v>45102304511000348Fuel-N1431614200104</v>
      </c>
      <c r="C231" s="8" t="s">
        <v>467</v>
      </c>
      <c r="D231" s="8" t="s">
        <v>461</v>
      </c>
      <c r="E231" s="8" t="s">
        <v>462</v>
      </c>
      <c r="F231" s="8" t="s">
        <v>463</v>
      </c>
      <c r="G231" s="4" t="s">
        <v>2844</v>
      </c>
      <c r="H231" s="4" t="s">
        <v>2922</v>
      </c>
      <c r="I231" s="8" t="s">
        <v>464</v>
      </c>
      <c r="J231" s="8" t="s">
        <v>31</v>
      </c>
      <c r="K231" s="12">
        <f>_xlfn.XLOOKUP(B231,[1]Sheet1!$B:$B,[1]Sheet1!$N:$N,0)</f>
        <v>0</v>
      </c>
      <c r="L231" s="12">
        <f>_xlfn.XLOOKUP(B231,[1]Sheet1!$B:$B,[1]Sheet1!$O:$O,0)</f>
        <v>0</v>
      </c>
      <c r="M231" s="12">
        <f>_xlfn.XLOOKUP(B231,[1]Sheet1!$B:$B,[1]Sheet1!$P:$P,0)</f>
        <v>0</v>
      </c>
      <c r="N231" s="12">
        <f>_xlfn.XLOOKUP(B231,[1]Sheet1!$B:$B,[1]Sheet1!$Q:$Q,0)</f>
        <v>480206</v>
      </c>
      <c r="O231" s="12">
        <f>_xlfn.XLOOKUP(B231,[1]Sheet1!$B:$B,[1]Sheet1!$R:$R,0)</f>
        <v>100000</v>
      </c>
      <c r="P231" s="12">
        <f>_xlfn.XLOOKUP(B231,[1]Sheet1!$B:$B,[1]Sheet1!$S:$S,0)</f>
        <v>100000</v>
      </c>
      <c r="Q231" s="12">
        <f>_xlfn.XLOOKUP(B231,[1]Sheet1!$B:$B,[1]Sheet1!$T:$T,0)</f>
        <v>100000</v>
      </c>
      <c r="R231" s="12">
        <f>_xlfn.XLOOKUP(B231,[1]Sheet1!$B:$B,[1]Sheet1!$U:$U,0)</f>
        <v>100000</v>
      </c>
      <c r="S231" s="12">
        <f>_xlfn.XLOOKUP(B231,[1]Sheet1!$B:$B,[1]Sheet1!$V:$V,0)</f>
        <v>100000</v>
      </c>
      <c r="T231" s="12">
        <f>_xlfn.XLOOKUP(B231,[1]Sheet1!$B:$B,[1]Sheet1!$W:$W,0)</f>
        <v>100000</v>
      </c>
      <c r="U231" s="12">
        <f>_xlfn.XLOOKUP(B231,[1]Sheet1!$B:$B,[1]Sheet1!$X:$X,0)</f>
        <v>100000</v>
      </c>
      <c r="V231" s="12">
        <f>_xlfn.XLOOKUP(B231,[1]Sheet1!$B:$B,[1]Sheet1!$Y:$Y,0)</f>
        <v>0</v>
      </c>
      <c r="W231" s="12">
        <f t="shared" si="9"/>
        <v>1180206</v>
      </c>
      <c r="X231" s="8" t="s">
        <v>465</v>
      </c>
      <c r="Y231" s="8" t="s">
        <v>132</v>
      </c>
      <c r="Z231" s="8" t="s">
        <v>466</v>
      </c>
      <c r="AA231" s="8" t="s">
        <v>464</v>
      </c>
      <c r="AB231" s="8" t="s">
        <v>36</v>
      </c>
      <c r="AC231" s="8" t="s">
        <v>37</v>
      </c>
      <c r="AD231" s="8" t="s">
        <v>468</v>
      </c>
      <c r="AE231" s="8" t="s">
        <v>39</v>
      </c>
      <c r="AF231" s="8" t="s">
        <v>40</v>
      </c>
      <c r="AG231" s="9">
        <v>1415432</v>
      </c>
      <c r="AH231" s="11">
        <f>_xlfn.XLOOKUP(B231,[1]Sheet1!$B:$B,[1]Sheet1!$AB:$AB,0)</f>
        <v>1415432</v>
      </c>
    </row>
    <row r="232" spans="2:34" ht="16.8" thickTop="1" thickBot="1" x14ac:dyDescent="0.35">
      <c r="B232" s="3" t="str">
        <f t="shared" si="8"/>
        <v>45102304511000348Hospitality-N1424761200104</v>
      </c>
      <c r="C232" s="6" t="s">
        <v>467</v>
      </c>
      <c r="D232" s="6" t="s">
        <v>461</v>
      </c>
      <c r="E232" s="6" t="s">
        <v>462</v>
      </c>
      <c r="F232" s="6" t="s">
        <v>399</v>
      </c>
      <c r="G232" s="4" t="s">
        <v>2811</v>
      </c>
      <c r="H232" s="4" t="s">
        <v>2922</v>
      </c>
      <c r="I232" s="6" t="s">
        <v>84</v>
      </c>
      <c r="J232" s="6" t="s">
        <v>31</v>
      </c>
      <c r="K232" s="12">
        <f>_xlfn.XLOOKUP(B232,[1]Sheet1!$B:$B,[1]Sheet1!$N:$N,0)</f>
        <v>0</v>
      </c>
      <c r="L232" s="12">
        <f>_xlfn.XLOOKUP(B232,[1]Sheet1!$B:$B,[1]Sheet1!$O:$O,0)</f>
        <v>0</v>
      </c>
      <c r="M232" s="12">
        <f>_xlfn.XLOOKUP(B232,[1]Sheet1!$B:$B,[1]Sheet1!$P:$P,0)</f>
        <v>0</v>
      </c>
      <c r="N232" s="12">
        <f>_xlfn.XLOOKUP(B232,[1]Sheet1!$B:$B,[1]Sheet1!$Q:$Q,0)</f>
        <v>290000</v>
      </c>
      <c r="O232" s="12">
        <f>_xlfn.XLOOKUP(B232,[1]Sheet1!$B:$B,[1]Sheet1!$R:$R,0)</f>
        <v>0</v>
      </c>
      <c r="P232" s="12">
        <f>_xlfn.XLOOKUP(B232,[1]Sheet1!$B:$B,[1]Sheet1!$S:$S,0)</f>
        <v>57500</v>
      </c>
      <c r="Q232" s="12">
        <f>_xlfn.XLOOKUP(B232,[1]Sheet1!$B:$B,[1]Sheet1!$T:$T,0)</f>
        <v>0</v>
      </c>
      <c r="R232" s="12">
        <f>_xlfn.XLOOKUP(B232,[1]Sheet1!$B:$B,[1]Sheet1!$U:$U,0)</f>
        <v>0</v>
      </c>
      <c r="S232" s="12">
        <f>_xlfn.XLOOKUP(B232,[1]Sheet1!$B:$B,[1]Sheet1!$V:$V,0)</f>
        <v>0</v>
      </c>
      <c r="T232" s="12">
        <f>_xlfn.XLOOKUP(B232,[1]Sheet1!$B:$B,[1]Sheet1!$W:$W,0)</f>
        <v>127500</v>
      </c>
      <c r="U232" s="12">
        <f>_xlfn.XLOOKUP(B232,[1]Sheet1!$B:$B,[1]Sheet1!$X:$X,0)</f>
        <v>0</v>
      </c>
      <c r="V232" s="12">
        <f>_xlfn.XLOOKUP(B232,[1]Sheet1!$B:$B,[1]Sheet1!$Y:$Y,0)</f>
        <v>10000</v>
      </c>
      <c r="W232" s="12">
        <f t="shared" si="9"/>
        <v>485000</v>
      </c>
      <c r="X232" s="6" t="s">
        <v>469</v>
      </c>
      <c r="Y232" s="6" t="s">
        <v>132</v>
      </c>
      <c r="Z232" s="6" t="s">
        <v>466</v>
      </c>
      <c r="AA232" s="6" t="s">
        <v>84</v>
      </c>
      <c r="AB232" s="6" t="s">
        <v>36</v>
      </c>
      <c r="AC232" s="6" t="s">
        <v>37</v>
      </c>
      <c r="AD232" s="6" t="s">
        <v>468</v>
      </c>
      <c r="AE232" s="6" t="s">
        <v>39</v>
      </c>
      <c r="AF232" s="6" t="s">
        <v>40</v>
      </c>
      <c r="AG232" s="7">
        <v>485000</v>
      </c>
      <c r="AH232" s="11">
        <f>_xlfn.XLOOKUP(B232,[1]Sheet1!$B:$B,[1]Sheet1!$AB:$AB,0)</f>
        <v>485000</v>
      </c>
    </row>
    <row r="233" spans="2:34" ht="16.8" thickTop="1" thickBot="1" x14ac:dyDescent="0.35">
      <c r="B233" s="3" t="str">
        <f t="shared" si="8"/>
        <v>45102304511000348Manpower-N1424521200104</v>
      </c>
      <c r="C233" s="8" t="s">
        <v>467</v>
      </c>
      <c r="D233" s="8" t="s">
        <v>461</v>
      </c>
      <c r="E233" s="8" t="s">
        <v>462</v>
      </c>
      <c r="F233" s="8" t="s">
        <v>470</v>
      </c>
      <c r="G233" s="4" t="s">
        <v>2804</v>
      </c>
      <c r="H233" s="4" t="s">
        <v>2922</v>
      </c>
      <c r="I233" s="8" t="s">
        <v>51</v>
      </c>
      <c r="J233" s="8" t="s">
        <v>31</v>
      </c>
      <c r="K233" s="12">
        <f>_xlfn.XLOOKUP(B233,[1]Sheet1!$B:$B,[1]Sheet1!$N:$N,0)</f>
        <v>0</v>
      </c>
      <c r="L233" s="12">
        <f>_xlfn.XLOOKUP(B233,[1]Sheet1!$B:$B,[1]Sheet1!$O:$O,0)</f>
        <v>0</v>
      </c>
      <c r="M233" s="12">
        <f>_xlfn.XLOOKUP(B233,[1]Sheet1!$B:$B,[1]Sheet1!$P:$P,0)</f>
        <v>0</v>
      </c>
      <c r="N233" s="12">
        <f>_xlfn.XLOOKUP(B233,[1]Sheet1!$B:$B,[1]Sheet1!$Q:$Q,0)</f>
        <v>587540</v>
      </c>
      <c r="O233" s="12">
        <f>_xlfn.XLOOKUP(B233,[1]Sheet1!$B:$B,[1]Sheet1!$R:$R,0)</f>
        <v>146885</v>
      </c>
      <c r="P233" s="12">
        <f>_xlfn.XLOOKUP(B233,[1]Sheet1!$B:$B,[1]Sheet1!$S:$S,0)</f>
        <v>146885</v>
      </c>
      <c r="Q233" s="12">
        <f>_xlfn.XLOOKUP(B233,[1]Sheet1!$B:$B,[1]Sheet1!$T:$T,0)</f>
        <v>146885</v>
      </c>
      <c r="R233" s="12">
        <f>_xlfn.XLOOKUP(B233,[1]Sheet1!$B:$B,[1]Sheet1!$U:$U,0)</f>
        <v>146885</v>
      </c>
      <c r="S233" s="12">
        <f>_xlfn.XLOOKUP(B233,[1]Sheet1!$B:$B,[1]Sheet1!$V:$V,0)</f>
        <v>146885</v>
      </c>
      <c r="T233" s="12">
        <f>_xlfn.XLOOKUP(B233,[1]Sheet1!$B:$B,[1]Sheet1!$W:$W,0)</f>
        <v>146885</v>
      </c>
      <c r="U233" s="12">
        <f>_xlfn.XLOOKUP(B233,[1]Sheet1!$B:$B,[1]Sheet1!$X:$X,0)</f>
        <v>146885</v>
      </c>
      <c r="V233" s="12">
        <f>_xlfn.XLOOKUP(B233,[1]Sheet1!$B:$B,[1]Sheet1!$Y:$Y,0)</f>
        <v>146885</v>
      </c>
      <c r="W233" s="12">
        <f t="shared" si="9"/>
        <v>1762620</v>
      </c>
      <c r="X233" s="8" t="s">
        <v>471</v>
      </c>
      <c r="Y233" s="8" t="s">
        <v>132</v>
      </c>
      <c r="Z233" s="8" t="s">
        <v>466</v>
      </c>
      <c r="AA233" s="8" t="s">
        <v>53</v>
      </c>
      <c r="AB233" s="8" t="s">
        <v>36</v>
      </c>
      <c r="AC233" s="8" t="s">
        <v>37</v>
      </c>
      <c r="AD233" s="8" t="s">
        <v>468</v>
      </c>
      <c r="AE233" s="8" t="s">
        <v>39</v>
      </c>
      <c r="AF233" s="8" t="s">
        <v>40</v>
      </c>
      <c r="AG233" s="9">
        <v>1762620</v>
      </c>
      <c r="AH233" s="11">
        <f>_xlfn.XLOOKUP(B233,[1]Sheet1!$B:$B,[1]Sheet1!$AB:$AB,0)</f>
        <v>1762620</v>
      </c>
    </row>
    <row r="234" spans="2:34" ht="16.8" thickTop="1" thickBot="1" x14ac:dyDescent="0.35">
      <c r="B234" s="3" t="str">
        <f t="shared" si="8"/>
        <v>45102304511000348Mission &amp; Travel-N1423821200104</v>
      </c>
      <c r="C234" s="6" t="s">
        <v>467</v>
      </c>
      <c r="D234" s="6" t="s">
        <v>461</v>
      </c>
      <c r="E234" s="6" t="s">
        <v>462</v>
      </c>
      <c r="F234" s="6" t="s">
        <v>472</v>
      </c>
      <c r="G234" s="4" t="s">
        <v>2805</v>
      </c>
      <c r="H234" s="4" t="s">
        <v>2922</v>
      </c>
      <c r="I234" s="6" t="s">
        <v>55</v>
      </c>
      <c r="J234" s="6" t="s">
        <v>31</v>
      </c>
      <c r="K234" s="12">
        <f>_xlfn.XLOOKUP(B234,[1]Sheet1!$B:$B,[1]Sheet1!$N:$N,0)</f>
        <v>0</v>
      </c>
      <c r="L234" s="12">
        <f>_xlfn.XLOOKUP(B234,[1]Sheet1!$B:$B,[1]Sheet1!$O:$O,0)</f>
        <v>0</v>
      </c>
      <c r="M234" s="12">
        <f>_xlfn.XLOOKUP(B234,[1]Sheet1!$B:$B,[1]Sheet1!$P:$P,0)</f>
        <v>0</v>
      </c>
      <c r="N234" s="12">
        <f>_xlfn.XLOOKUP(B234,[1]Sheet1!$B:$B,[1]Sheet1!$Q:$Q,0)</f>
        <v>8000</v>
      </c>
      <c r="O234" s="12">
        <f>_xlfn.XLOOKUP(B234,[1]Sheet1!$B:$B,[1]Sheet1!$R:$R,0)</f>
        <v>17000</v>
      </c>
      <c r="P234" s="12">
        <f>_xlfn.XLOOKUP(B234,[1]Sheet1!$B:$B,[1]Sheet1!$S:$S,0)</f>
        <v>0</v>
      </c>
      <c r="Q234" s="12">
        <f>_xlfn.XLOOKUP(B234,[1]Sheet1!$B:$B,[1]Sheet1!$T:$T,0)</f>
        <v>0</v>
      </c>
      <c r="R234" s="12">
        <f>_xlfn.XLOOKUP(B234,[1]Sheet1!$B:$B,[1]Sheet1!$U:$U,0)</f>
        <v>0</v>
      </c>
      <c r="S234" s="12">
        <f>_xlfn.XLOOKUP(B234,[1]Sheet1!$B:$B,[1]Sheet1!$V:$V,0)</f>
        <v>0</v>
      </c>
      <c r="T234" s="12">
        <f>_xlfn.XLOOKUP(B234,[1]Sheet1!$B:$B,[1]Sheet1!$W:$W,0)</f>
        <v>12000</v>
      </c>
      <c r="U234" s="12">
        <f>_xlfn.XLOOKUP(B234,[1]Sheet1!$B:$B,[1]Sheet1!$X:$X,0)</f>
        <v>22500</v>
      </c>
      <c r="V234" s="12">
        <f>_xlfn.XLOOKUP(B234,[1]Sheet1!$B:$B,[1]Sheet1!$Y:$Y,0)</f>
        <v>30500</v>
      </c>
      <c r="W234" s="12">
        <f t="shared" si="9"/>
        <v>90000</v>
      </c>
      <c r="X234" s="6" t="s">
        <v>473</v>
      </c>
      <c r="Y234" s="6" t="s">
        <v>132</v>
      </c>
      <c r="Z234" s="6" t="s">
        <v>466</v>
      </c>
      <c r="AA234" s="6" t="s">
        <v>55</v>
      </c>
      <c r="AB234" s="6" t="s">
        <v>36</v>
      </c>
      <c r="AC234" s="6" t="s">
        <v>37</v>
      </c>
      <c r="AD234" s="6" t="s">
        <v>468</v>
      </c>
      <c r="AE234" s="6" t="s">
        <v>39</v>
      </c>
      <c r="AF234" s="6" t="s">
        <v>40</v>
      </c>
      <c r="AG234" s="7">
        <v>90000</v>
      </c>
      <c r="AH234" s="11">
        <f>_xlfn.XLOOKUP(B234,[1]Sheet1!$B:$B,[1]Sheet1!$AB:$AB,0)</f>
        <v>90000</v>
      </c>
    </row>
    <row r="235" spans="2:34" ht="16.8" thickTop="1" thickBot="1" x14ac:dyDescent="0.35">
      <c r="B235" s="3" t="str">
        <f t="shared" si="8"/>
        <v>45102504511000354Managed Service-N422212200104</v>
      </c>
      <c r="C235" s="8" t="s">
        <v>480</v>
      </c>
      <c r="D235" s="8" t="s">
        <v>474</v>
      </c>
      <c r="E235" s="8" t="s">
        <v>475</v>
      </c>
      <c r="F235" s="8" t="s">
        <v>476</v>
      </c>
      <c r="G235" s="4" t="s">
        <v>2845</v>
      </c>
      <c r="H235" s="4" t="s">
        <v>2922</v>
      </c>
      <c r="I235" s="8" t="s">
        <v>477</v>
      </c>
      <c r="J235" s="8" t="s">
        <v>31</v>
      </c>
      <c r="K235" s="12">
        <f>_xlfn.XLOOKUP(B235,[1]Sheet1!$B:$B,[1]Sheet1!$N:$N,0)</f>
        <v>0</v>
      </c>
      <c r="L235" s="12">
        <f>_xlfn.XLOOKUP(B235,[1]Sheet1!$B:$B,[1]Sheet1!$O:$O,0)</f>
        <v>0</v>
      </c>
      <c r="M235" s="12">
        <f>_xlfn.XLOOKUP(B235,[1]Sheet1!$B:$B,[1]Sheet1!$P:$P,0)</f>
        <v>0</v>
      </c>
      <c r="N235" s="12">
        <f>_xlfn.XLOOKUP(B235,[1]Sheet1!$B:$B,[1]Sheet1!$Q:$Q,0)</f>
        <v>1050835.6299999999</v>
      </c>
      <c r="O235" s="12">
        <f>_xlfn.XLOOKUP(B235,[1]Sheet1!$B:$B,[1]Sheet1!$R:$R,0)</f>
        <v>0</v>
      </c>
      <c r="P235" s="12">
        <f>_xlfn.XLOOKUP(B235,[1]Sheet1!$B:$B,[1]Sheet1!$S:$S,0)</f>
        <v>677645.13</v>
      </c>
      <c r="Q235" s="12">
        <f>_xlfn.XLOOKUP(B235,[1]Sheet1!$B:$B,[1]Sheet1!$T:$T,0)</f>
        <v>0</v>
      </c>
      <c r="R235" s="12">
        <f>_xlfn.XLOOKUP(B235,[1]Sheet1!$B:$B,[1]Sheet1!$U:$U,0)</f>
        <v>0</v>
      </c>
      <c r="S235" s="12">
        <f>_xlfn.XLOOKUP(B235,[1]Sheet1!$B:$B,[1]Sheet1!$V:$V,0)</f>
        <v>586445.13</v>
      </c>
      <c r="T235" s="12">
        <f>_xlfn.XLOOKUP(B235,[1]Sheet1!$B:$B,[1]Sheet1!$W:$W,0)</f>
        <v>0</v>
      </c>
      <c r="U235" s="12">
        <f>_xlfn.XLOOKUP(B235,[1]Sheet1!$B:$B,[1]Sheet1!$X:$X,0)</f>
        <v>0</v>
      </c>
      <c r="V235" s="12">
        <f>_xlfn.XLOOKUP(B235,[1]Sheet1!$B:$B,[1]Sheet1!$Y:$Y,0)</f>
        <v>586445.13</v>
      </c>
      <c r="W235" s="12">
        <f t="shared" si="9"/>
        <v>2901371.0199999996</v>
      </c>
      <c r="X235" s="8" t="s">
        <v>478</v>
      </c>
      <c r="Y235" s="8" t="s">
        <v>132</v>
      </c>
      <c r="Z235" s="8" t="s">
        <v>479</v>
      </c>
      <c r="AA235" s="8" t="s">
        <v>481</v>
      </c>
      <c r="AB235" s="8" t="s">
        <v>36</v>
      </c>
      <c r="AC235" s="8" t="s">
        <v>37</v>
      </c>
      <c r="AD235" s="8" t="s">
        <v>482</v>
      </c>
      <c r="AE235" s="8" t="s">
        <v>39</v>
      </c>
      <c r="AF235" s="8" t="s">
        <v>40</v>
      </c>
      <c r="AG235" s="9">
        <v>2901371</v>
      </c>
      <c r="AH235" s="11">
        <f>_xlfn.XLOOKUP(B235,[1]Sheet1!$B:$B,[1]Sheet1!$AB:$AB,0)</f>
        <v>2901371.0199999996</v>
      </c>
    </row>
    <row r="236" spans="2:34" ht="16.8" thickTop="1" thickBot="1" x14ac:dyDescent="0.35">
      <c r="B236" s="3" t="str">
        <f t="shared" si="8"/>
        <v>45102504511000354Security Comply-N422213200104</v>
      </c>
      <c r="C236" s="6" t="s">
        <v>480</v>
      </c>
      <c r="D236" s="6" t="s">
        <v>474</v>
      </c>
      <c r="E236" s="6" t="s">
        <v>475</v>
      </c>
      <c r="F236" s="6" t="s">
        <v>483</v>
      </c>
      <c r="G236" s="4" t="s">
        <v>2846</v>
      </c>
      <c r="H236" s="4" t="s">
        <v>2922</v>
      </c>
      <c r="I236" s="6" t="s">
        <v>484</v>
      </c>
      <c r="J236" s="6" t="s">
        <v>31</v>
      </c>
      <c r="K236" s="12">
        <f>_xlfn.XLOOKUP(B236,[1]Sheet1!$B:$B,[1]Sheet1!$N:$N,0)</f>
        <v>0</v>
      </c>
      <c r="L236" s="12">
        <f>_xlfn.XLOOKUP(B236,[1]Sheet1!$B:$B,[1]Sheet1!$O:$O,0)</f>
        <v>0</v>
      </c>
      <c r="M236" s="12">
        <f>_xlfn.XLOOKUP(B236,[1]Sheet1!$B:$B,[1]Sheet1!$P:$P,0)</f>
        <v>0</v>
      </c>
      <c r="N236" s="12">
        <f>_xlfn.XLOOKUP(B236,[1]Sheet1!$B:$B,[1]Sheet1!$Q:$Q,0)</f>
        <v>0</v>
      </c>
      <c r="O236" s="12">
        <f>_xlfn.XLOOKUP(B236,[1]Sheet1!$B:$B,[1]Sheet1!$R:$R,0)</f>
        <v>0</v>
      </c>
      <c r="P236" s="12">
        <f>_xlfn.XLOOKUP(B236,[1]Sheet1!$B:$B,[1]Sheet1!$S:$S,0)</f>
        <v>200000</v>
      </c>
      <c r="Q236" s="12">
        <f>_xlfn.XLOOKUP(B236,[1]Sheet1!$B:$B,[1]Sheet1!$T:$T,0)</f>
        <v>0</v>
      </c>
      <c r="R236" s="12">
        <f>_xlfn.XLOOKUP(B236,[1]Sheet1!$B:$B,[1]Sheet1!$U:$U,0)</f>
        <v>0</v>
      </c>
      <c r="S236" s="12">
        <f>_xlfn.XLOOKUP(B236,[1]Sheet1!$B:$B,[1]Sheet1!$V:$V,0)</f>
        <v>0</v>
      </c>
      <c r="T236" s="12">
        <f>_xlfn.XLOOKUP(B236,[1]Sheet1!$B:$B,[1]Sheet1!$W:$W,0)</f>
        <v>0</v>
      </c>
      <c r="U236" s="12">
        <f>_xlfn.XLOOKUP(B236,[1]Sheet1!$B:$B,[1]Sheet1!$X:$X,0)</f>
        <v>0</v>
      </c>
      <c r="V236" s="12">
        <f>_xlfn.XLOOKUP(B236,[1]Sheet1!$B:$B,[1]Sheet1!$Y:$Y,0)</f>
        <v>0</v>
      </c>
      <c r="W236" s="12">
        <f t="shared" si="9"/>
        <v>200000</v>
      </c>
      <c r="X236" s="6" t="s">
        <v>485</v>
      </c>
      <c r="Y236" s="6" t="s">
        <v>132</v>
      </c>
      <c r="Z236" s="6" t="s">
        <v>479</v>
      </c>
      <c r="AA236" s="6" t="s">
        <v>486</v>
      </c>
      <c r="AB236" s="6" t="s">
        <v>36</v>
      </c>
      <c r="AC236" s="6" t="s">
        <v>37</v>
      </c>
      <c r="AD236" s="6" t="s">
        <v>482</v>
      </c>
      <c r="AE236" s="6" t="s">
        <v>39</v>
      </c>
      <c r="AF236" s="6" t="s">
        <v>40</v>
      </c>
      <c r="AG236" s="7">
        <v>200000</v>
      </c>
      <c r="AH236" s="11">
        <f>_xlfn.XLOOKUP(B236,[1]Sheet1!$B:$B,[1]Sheet1!$AB:$AB,0)</f>
        <v>200000</v>
      </c>
    </row>
    <row r="237" spans="2:34" ht="16.8" thickTop="1" thickBot="1" x14ac:dyDescent="0.35">
      <c r="B237" s="3" t="str">
        <f t="shared" si="8"/>
        <v>45102504511000354System Licenses-N425252200104</v>
      </c>
      <c r="C237" s="8" t="s">
        <v>480</v>
      </c>
      <c r="D237" s="8" t="s">
        <v>474</v>
      </c>
      <c r="E237" s="8" t="s">
        <v>475</v>
      </c>
      <c r="F237" s="8" t="s">
        <v>180</v>
      </c>
      <c r="G237" s="4" t="s">
        <v>2821</v>
      </c>
      <c r="H237" s="4" t="s">
        <v>2922</v>
      </c>
      <c r="I237" s="8" t="s">
        <v>181</v>
      </c>
      <c r="J237" s="8" t="s">
        <v>31</v>
      </c>
      <c r="K237" s="12">
        <f>_xlfn.XLOOKUP(B237,[1]Sheet1!$B:$B,[1]Sheet1!$N:$N,0)</f>
        <v>0</v>
      </c>
      <c r="L237" s="12">
        <f>_xlfn.XLOOKUP(B237,[1]Sheet1!$B:$B,[1]Sheet1!$O:$O,0)</f>
        <v>0</v>
      </c>
      <c r="M237" s="12">
        <f>_xlfn.XLOOKUP(B237,[1]Sheet1!$B:$B,[1]Sheet1!$P:$P,0)</f>
        <v>0</v>
      </c>
      <c r="N237" s="12">
        <f>_xlfn.XLOOKUP(B237,[1]Sheet1!$B:$B,[1]Sheet1!$Q:$Q,0)</f>
        <v>659000</v>
      </c>
      <c r="O237" s="12">
        <f>_xlfn.XLOOKUP(B237,[1]Sheet1!$B:$B,[1]Sheet1!$R:$R,0)</f>
        <v>0</v>
      </c>
      <c r="P237" s="12">
        <f>_xlfn.XLOOKUP(B237,[1]Sheet1!$B:$B,[1]Sheet1!$S:$S,0)</f>
        <v>0</v>
      </c>
      <c r="Q237" s="12">
        <f>_xlfn.XLOOKUP(B237,[1]Sheet1!$B:$B,[1]Sheet1!$T:$T,0)</f>
        <v>0</v>
      </c>
      <c r="R237" s="12">
        <f>_xlfn.XLOOKUP(B237,[1]Sheet1!$B:$B,[1]Sheet1!$U:$U,0)</f>
        <v>0</v>
      </c>
      <c r="S237" s="12">
        <f>_xlfn.XLOOKUP(B237,[1]Sheet1!$B:$B,[1]Sheet1!$V:$V,0)</f>
        <v>164989</v>
      </c>
      <c r="T237" s="12">
        <f>_xlfn.XLOOKUP(B237,[1]Sheet1!$B:$B,[1]Sheet1!$W:$W,0)</f>
        <v>0</v>
      </c>
      <c r="U237" s="12">
        <f>_xlfn.XLOOKUP(B237,[1]Sheet1!$B:$B,[1]Sheet1!$X:$X,0)</f>
        <v>0</v>
      </c>
      <c r="V237" s="12">
        <f>_xlfn.XLOOKUP(B237,[1]Sheet1!$B:$B,[1]Sheet1!$Y:$Y,0)</f>
        <v>0</v>
      </c>
      <c r="W237" s="12">
        <f t="shared" si="9"/>
        <v>823989</v>
      </c>
      <c r="X237" s="8" t="s">
        <v>487</v>
      </c>
      <c r="Y237" s="8" t="s">
        <v>132</v>
      </c>
      <c r="Z237" s="8" t="s">
        <v>479</v>
      </c>
      <c r="AA237" s="8" t="s">
        <v>183</v>
      </c>
      <c r="AB237" s="8" t="s">
        <v>36</v>
      </c>
      <c r="AC237" s="8" t="s">
        <v>37</v>
      </c>
      <c r="AD237" s="8" t="s">
        <v>482</v>
      </c>
      <c r="AE237" s="8" t="s">
        <v>39</v>
      </c>
      <c r="AF237" s="8" t="s">
        <v>40</v>
      </c>
      <c r="AG237" s="9">
        <v>823989</v>
      </c>
      <c r="AH237" s="11">
        <f>_xlfn.XLOOKUP(B237,[1]Sheet1!$B:$B,[1]Sheet1!$AB:$AB,0)</f>
        <v>823989</v>
      </c>
    </row>
    <row r="238" spans="2:34" ht="16.8" thickTop="1" thickBot="1" x14ac:dyDescent="0.35">
      <c r="B238" s="3" t="str">
        <f t="shared" si="8"/>
        <v>45102504511000354System Maintain-N422212200104</v>
      </c>
      <c r="C238" s="6" t="s">
        <v>480</v>
      </c>
      <c r="D238" s="6" t="s">
        <v>474</v>
      </c>
      <c r="E238" s="6" t="s">
        <v>475</v>
      </c>
      <c r="F238" s="6" t="s">
        <v>488</v>
      </c>
      <c r="G238" s="4" t="s">
        <v>2845</v>
      </c>
      <c r="H238" s="4" t="s">
        <v>2922</v>
      </c>
      <c r="I238" s="6" t="s">
        <v>477</v>
      </c>
      <c r="J238" s="6" t="s">
        <v>31</v>
      </c>
      <c r="K238" s="12">
        <f>_xlfn.XLOOKUP(B238,[1]Sheet1!$B:$B,[1]Sheet1!$N:$N,0)</f>
        <v>0</v>
      </c>
      <c r="L238" s="12">
        <f>_xlfn.XLOOKUP(B238,[1]Sheet1!$B:$B,[1]Sheet1!$O:$O,0)</f>
        <v>0</v>
      </c>
      <c r="M238" s="12">
        <f>_xlfn.XLOOKUP(B238,[1]Sheet1!$B:$B,[1]Sheet1!$P:$P,0)</f>
        <v>0</v>
      </c>
      <c r="N238" s="12">
        <f>_xlfn.XLOOKUP(B238,[1]Sheet1!$B:$B,[1]Sheet1!$Q:$Q,0)</f>
        <v>644264</v>
      </c>
      <c r="O238" s="12">
        <f>_xlfn.XLOOKUP(B238,[1]Sheet1!$B:$B,[1]Sheet1!$R:$R,0)</f>
        <v>161066</v>
      </c>
      <c r="P238" s="12">
        <f>_xlfn.XLOOKUP(B238,[1]Sheet1!$B:$B,[1]Sheet1!$S:$S,0)</f>
        <v>161066</v>
      </c>
      <c r="Q238" s="12">
        <f>_xlfn.XLOOKUP(B238,[1]Sheet1!$B:$B,[1]Sheet1!$T:$T,0)</f>
        <v>161066</v>
      </c>
      <c r="R238" s="12">
        <f>_xlfn.XLOOKUP(B238,[1]Sheet1!$B:$B,[1]Sheet1!$U:$U,0)</f>
        <v>161066</v>
      </c>
      <c r="S238" s="12">
        <f>_xlfn.XLOOKUP(B238,[1]Sheet1!$B:$B,[1]Sheet1!$V:$V,0)</f>
        <v>161066</v>
      </c>
      <c r="T238" s="12">
        <f>_xlfn.XLOOKUP(B238,[1]Sheet1!$B:$B,[1]Sheet1!$W:$W,0)</f>
        <v>161066</v>
      </c>
      <c r="U238" s="12">
        <f>_xlfn.XLOOKUP(B238,[1]Sheet1!$B:$B,[1]Sheet1!$X:$X,0)</f>
        <v>161066</v>
      </c>
      <c r="V238" s="12">
        <f>_xlfn.XLOOKUP(B238,[1]Sheet1!$B:$B,[1]Sheet1!$Y:$Y,0)</f>
        <v>161066</v>
      </c>
      <c r="W238" s="12">
        <f t="shared" si="9"/>
        <v>1932792</v>
      </c>
      <c r="X238" s="6" t="s">
        <v>478</v>
      </c>
      <c r="Y238" s="6" t="s">
        <v>132</v>
      </c>
      <c r="Z238" s="6" t="s">
        <v>479</v>
      </c>
      <c r="AA238" s="6" t="s">
        <v>481</v>
      </c>
      <c r="AB238" s="6" t="s">
        <v>36</v>
      </c>
      <c r="AC238" s="6" t="s">
        <v>37</v>
      </c>
      <c r="AD238" s="6" t="s">
        <v>482</v>
      </c>
      <c r="AE238" s="6" t="s">
        <v>39</v>
      </c>
      <c r="AF238" s="6" t="s">
        <v>40</v>
      </c>
      <c r="AG238" s="7">
        <v>1932792</v>
      </c>
      <c r="AH238" s="11">
        <f>_xlfn.XLOOKUP(B238,[1]Sheet1!$B:$B,[1]Sheet1!$AB:$AB,0)</f>
        <v>1932792</v>
      </c>
    </row>
    <row r="239" spans="2:34" ht="16.8" thickTop="1" thickBot="1" x14ac:dyDescent="0.35">
      <c r="B239" s="3" t="str">
        <f t="shared" si="8"/>
        <v>45117004511000356Activation&amp;Prog-N422401200104</v>
      </c>
      <c r="C239" s="8" t="s">
        <v>260</v>
      </c>
      <c r="D239" s="8" t="s">
        <v>489</v>
      </c>
      <c r="E239" s="8" t="s">
        <v>490</v>
      </c>
      <c r="F239" s="8" t="s">
        <v>62</v>
      </c>
      <c r="G239" s="4" t="s">
        <v>2807</v>
      </c>
      <c r="H239" s="4" t="s">
        <v>2922</v>
      </c>
      <c r="I239" s="8" t="s">
        <v>63</v>
      </c>
      <c r="J239" s="8" t="s">
        <v>31</v>
      </c>
      <c r="K239" s="12">
        <f>_xlfn.XLOOKUP(B239,[1]Sheet1!$B:$B,[1]Sheet1!$N:$N,0)</f>
        <v>0</v>
      </c>
      <c r="L239" s="12">
        <f>_xlfn.XLOOKUP(B239,[1]Sheet1!$B:$B,[1]Sheet1!$O:$O,0)</f>
        <v>0</v>
      </c>
      <c r="M239" s="12">
        <f>_xlfn.XLOOKUP(B239,[1]Sheet1!$B:$B,[1]Sheet1!$P:$P,0)</f>
        <v>0</v>
      </c>
      <c r="N239" s="12">
        <f>_xlfn.XLOOKUP(B239,[1]Sheet1!$B:$B,[1]Sheet1!$Q:$Q,0)</f>
        <v>0</v>
      </c>
      <c r="O239" s="12">
        <f>_xlfn.XLOOKUP(B239,[1]Sheet1!$B:$B,[1]Sheet1!$R:$R,0)</f>
        <v>0</v>
      </c>
      <c r="P239" s="12">
        <f>_xlfn.XLOOKUP(B239,[1]Sheet1!$B:$B,[1]Sheet1!$S:$S,0)</f>
        <v>0</v>
      </c>
      <c r="Q239" s="12">
        <f>_xlfn.XLOOKUP(B239,[1]Sheet1!$B:$B,[1]Sheet1!$T:$T,0)</f>
        <v>0</v>
      </c>
      <c r="R239" s="12">
        <f>_xlfn.XLOOKUP(B239,[1]Sheet1!$B:$B,[1]Sheet1!$U:$U,0)</f>
        <v>0</v>
      </c>
      <c r="S239" s="12">
        <f>_xlfn.XLOOKUP(B239,[1]Sheet1!$B:$B,[1]Sheet1!$V:$V,0)</f>
        <v>0</v>
      </c>
      <c r="T239" s="12">
        <f>_xlfn.XLOOKUP(B239,[1]Sheet1!$B:$B,[1]Sheet1!$W:$W,0)</f>
        <v>0</v>
      </c>
      <c r="U239" s="12">
        <f>_xlfn.XLOOKUP(B239,[1]Sheet1!$B:$B,[1]Sheet1!$X:$X,0)</f>
        <v>76422</v>
      </c>
      <c r="V239" s="12">
        <f>_xlfn.XLOOKUP(B239,[1]Sheet1!$B:$B,[1]Sheet1!$Y:$Y,0)</f>
        <v>0</v>
      </c>
      <c r="W239" s="12">
        <f t="shared" si="9"/>
        <v>76422</v>
      </c>
      <c r="X239" s="8" t="s">
        <v>258</v>
      </c>
      <c r="Y239" s="8" t="s">
        <v>65</v>
      </c>
      <c r="Z239" s="8" t="s">
        <v>259</v>
      </c>
      <c r="AA239" s="8" t="s">
        <v>68</v>
      </c>
      <c r="AB239" s="8" t="s">
        <v>36</v>
      </c>
      <c r="AC239" s="8" t="s">
        <v>37</v>
      </c>
      <c r="AD239" s="8" t="s">
        <v>102</v>
      </c>
      <c r="AE239" s="8" t="s">
        <v>39</v>
      </c>
      <c r="AF239" s="8" t="s">
        <v>40</v>
      </c>
      <c r="AG239" s="9">
        <v>76422</v>
      </c>
      <c r="AH239" s="11">
        <f>_xlfn.XLOOKUP(B239,[1]Sheet1!$B:$B,[1]Sheet1!$AB:$AB,0)</f>
        <v>76422</v>
      </c>
    </row>
    <row r="240" spans="2:34" ht="16.8" thickTop="1" thickBot="1" x14ac:dyDescent="0.35">
      <c r="B240" s="3" t="str">
        <f t="shared" si="8"/>
        <v>45117004511000356Hospitality-N424761200104</v>
      </c>
      <c r="C240" s="6" t="s">
        <v>260</v>
      </c>
      <c r="D240" s="6" t="s">
        <v>489</v>
      </c>
      <c r="E240" s="6" t="s">
        <v>490</v>
      </c>
      <c r="F240" s="6" t="s">
        <v>83</v>
      </c>
      <c r="G240" s="4" t="s">
        <v>2811</v>
      </c>
      <c r="H240" s="4" t="s">
        <v>2922</v>
      </c>
      <c r="I240" s="6" t="s">
        <v>84</v>
      </c>
      <c r="J240" s="6" t="s">
        <v>31</v>
      </c>
      <c r="K240" s="12">
        <f>_xlfn.XLOOKUP(B240,[1]Sheet1!$B:$B,[1]Sheet1!$N:$N,0)</f>
        <v>0</v>
      </c>
      <c r="L240" s="12">
        <f>_xlfn.XLOOKUP(B240,[1]Sheet1!$B:$B,[1]Sheet1!$O:$O,0)</f>
        <v>0</v>
      </c>
      <c r="M240" s="12">
        <f>_xlfn.XLOOKUP(B240,[1]Sheet1!$B:$B,[1]Sheet1!$P:$P,0)</f>
        <v>0</v>
      </c>
      <c r="N240" s="12">
        <f>_xlfn.XLOOKUP(B240,[1]Sheet1!$B:$B,[1]Sheet1!$Q:$Q,0)</f>
        <v>0</v>
      </c>
      <c r="O240" s="12">
        <f>_xlfn.XLOOKUP(B240,[1]Sheet1!$B:$B,[1]Sheet1!$R:$R,0)</f>
        <v>0</v>
      </c>
      <c r="P240" s="12">
        <f>_xlfn.XLOOKUP(B240,[1]Sheet1!$B:$B,[1]Sheet1!$S:$S,0)</f>
        <v>0</v>
      </c>
      <c r="Q240" s="12">
        <f>_xlfn.XLOOKUP(B240,[1]Sheet1!$B:$B,[1]Sheet1!$T:$T,0)</f>
        <v>0</v>
      </c>
      <c r="R240" s="12">
        <f>_xlfn.XLOOKUP(B240,[1]Sheet1!$B:$B,[1]Sheet1!$U:$U,0)</f>
        <v>0</v>
      </c>
      <c r="S240" s="12">
        <f>_xlfn.XLOOKUP(B240,[1]Sheet1!$B:$B,[1]Sheet1!$V:$V,0)</f>
        <v>0</v>
      </c>
      <c r="T240" s="12">
        <f>_xlfn.XLOOKUP(B240,[1]Sheet1!$B:$B,[1]Sheet1!$W:$W,0)</f>
        <v>0</v>
      </c>
      <c r="U240" s="12">
        <f>_xlfn.XLOOKUP(B240,[1]Sheet1!$B:$B,[1]Sheet1!$X:$X,0)</f>
        <v>70000</v>
      </c>
      <c r="V240" s="12">
        <f>_xlfn.XLOOKUP(B240,[1]Sheet1!$B:$B,[1]Sheet1!$Y:$Y,0)</f>
        <v>0</v>
      </c>
      <c r="W240" s="12">
        <f t="shared" si="9"/>
        <v>70000</v>
      </c>
      <c r="X240" s="6" t="s">
        <v>315</v>
      </c>
      <c r="Y240" s="6" t="s">
        <v>65</v>
      </c>
      <c r="Z240" s="6" t="s">
        <v>259</v>
      </c>
      <c r="AA240" s="6" t="s">
        <v>84</v>
      </c>
      <c r="AB240" s="6" t="s">
        <v>36</v>
      </c>
      <c r="AC240" s="6" t="s">
        <v>37</v>
      </c>
      <c r="AD240" s="6" t="s">
        <v>102</v>
      </c>
      <c r="AE240" s="6" t="s">
        <v>39</v>
      </c>
      <c r="AF240" s="6" t="s">
        <v>40</v>
      </c>
      <c r="AG240" s="7">
        <v>70000</v>
      </c>
      <c r="AH240" s="11">
        <f>_xlfn.XLOOKUP(B240,[1]Sheet1!$B:$B,[1]Sheet1!$AB:$AB,0)</f>
        <v>70000</v>
      </c>
    </row>
    <row r="241" spans="2:34" ht="16.8" thickTop="1" thickBot="1" x14ac:dyDescent="0.35">
      <c r="B241" s="3" t="str">
        <f t="shared" si="8"/>
        <v>45117004511000356Talent Fees-N422511200104</v>
      </c>
      <c r="C241" s="8" t="s">
        <v>260</v>
      </c>
      <c r="D241" s="8" t="s">
        <v>489</v>
      </c>
      <c r="E241" s="8" t="s">
        <v>490</v>
      </c>
      <c r="F241" s="8" t="s">
        <v>262</v>
      </c>
      <c r="G241" s="4" t="s">
        <v>2819</v>
      </c>
      <c r="H241" s="4" t="s">
        <v>2922</v>
      </c>
      <c r="I241" s="8" t="s">
        <v>151</v>
      </c>
      <c r="J241" s="8" t="s">
        <v>31</v>
      </c>
      <c r="K241" s="12">
        <f>_xlfn.XLOOKUP(B241,[1]Sheet1!$B:$B,[1]Sheet1!$N:$N,0)</f>
        <v>0</v>
      </c>
      <c r="L241" s="12">
        <f>_xlfn.XLOOKUP(B241,[1]Sheet1!$B:$B,[1]Sheet1!$O:$O,0)</f>
        <v>0</v>
      </c>
      <c r="M241" s="12">
        <f>_xlfn.XLOOKUP(B241,[1]Sheet1!$B:$B,[1]Sheet1!$P:$P,0)</f>
        <v>0</v>
      </c>
      <c r="N241" s="12">
        <f>_xlfn.XLOOKUP(B241,[1]Sheet1!$B:$B,[1]Sheet1!$Q:$Q,0)</f>
        <v>0</v>
      </c>
      <c r="O241" s="12">
        <f>_xlfn.XLOOKUP(B241,[1]Sheet1!$B:$B,[1]Sheet1!$R:$R,0)</f>
        <v>0</v>
      </c>
      <c r="P241" s="12">
        <f>_xlfn.XLOOKUP(B241,[1]Sheet1!$B:$B,[1]Sheet1!$S:$S,0)</f>
        <v>0</v>
      </c>
      <c r="Q241" s="12">
        <f>_xlfn.XLOOKUP(B241,[1]Sheet1!$B:$B,[1]Sheet1!$T:$T,0)</f>
        <v>100000</v>
      </c>
      <c r="R241" s="12">
        <f>_xlfn.XLOOKUP(B241,[1]Sheet1!$B:$B,[1]Sheet1!$U:$U,0)</f>
        <v>0</v>
      </c>
      <c r="S241" s="12">
        <f>_xlfn.XLOOKUP(B241,[1]Sheet1!$B:$B,[1]Sheet1!$V:$V,0)</f>
        <v>0</v>
      </c>
      <c r="T241" s="12">
        <f>_xlfn.XLOOKUP(B241,[1]Sheet1!$B:$B,[1]Sheet1!$W:$W,0)</f>
        <v>0</v>
      </c>
      <c r="U241" s="12">
        <f>_xlfn.XLOOKUP(B241,[1]Sheet1!$B:$B,[1]Sheet1!$X:$X,0)</f>
        <v>193773</v>
      </c>
      <c r="V241" s="12">
        <f>_xlfn.XLOOKUP(B241,[1]Sheet1!$B:$B,[1]Sheet1!$Y:$Y,0)</f>
        <v>0</v>
      </c>
      <c r="W241" s="12">
        <f t="shared" si="9"/>
        <v>293773</v>
      </c>
      <c r="X241" s="8" t="s">
        <v>263</v>
      </c>
      <c r="Y241" s="8" t="s">
        <v>65</v>
      </c>
      <c r="Z241" s="8" t="s">
        <v>259</v>
      </c>
      <c r="AA241" s="8" t="s">
        <v>151</v>
      </c>
      <c r="AB241" s="8" t="s">
        <v>36</v>
      </c>
      <c r="AC241" s="8" t="s">
        <v>37</v>
      </c>
      <c r="AD241" s="8" t="s">
        <v>102</v>
      </c>
      <c r="AE241" s="8" t="s">
        <v>39</v>
      </c>
      <c r="AF241" s="8" t="s">
        <v>40</v>
      </c>
      <c r="AG241" s="9">
        <v>293773</v>
      </c>
      <c r="AH241" s="11">
        <f>_xlfn.XLOOKUP(B241,[1]Sheet1!$B:$B,[1]Sheet1!$AB:$AB,0)</f>
        <v>293773</v>
      </c>
    </row>
    <row r="242" spans="2:34" ht="16.8" thickTop="1" thickBot="1" x14ac:dyDescent="0.35">
      <c r="B242" s="3" t="str">
        <f t="shared" si="8"/>
        <v>45117004511000357Event Management-N422401200104</v>
      </c>
      <c r="C242" s="6" t="s">
        <v>260</v>
      </c>
      <c r="D242" s="6" t="s">
        <v>491</v>
      </c>
      <c r="E242" s="6" t="s">
        <v>492</v>
      </c>
      <c r="F242" s="6" t="s">
        <v>162</v>
      </c>
      <c r="G242" s="4" t="s">
        <v>2807</v>
      </c>
      <c r="H242" s="4" t="s">
        <v>2922</v>
      </c>
      <c r="I242" s="6" t="s">
        <v>63</v>
      </c>
      <c r="J242" s="6" t="s">
        <v>31</v>
      </c>
      <c r="K242" s="12">
        <f>_xlfn.XLOOKUP(B242,[1]Sheet1!$B:$B,[1]Sheet1!$N:$N,0)</f>
        <v>0</v>
      </c>
      <c r="L242" s="12">
        <f>_xlfn.XLOOKUP(B242,[1]Sheet1!$B:$B,[1]Sheet1!$O:$O,0)</f>
        <v>0</v>
      </c>
      <c r="M242" s="12">
        <f>_xlfn.XLOOKUP(B242,[1]Sheet1!$B:$B,[1]Sheet1!$P:$P,0)</f>
        <v>0</v>
      </c>
      <c r="N242" s="12">
        <f>_xlfn.XLOOKUP(B242,[1]Sheet1!$B:$B,[1]Sheet1!$Q:$Q,0)</f>
        <v>0</v>
      </c>
      <c r="O242" s="12">
        <f>_xlfn.XLOOKUP(B242,[1]Sheet1!$B:$B,[1]Sheet1!$R:$R,0)</f>
        <v>0</v>
      </c>
      <c r="P242" s="12">
        <f>_xlfn.XLOOKUP(B242,[1]Sheet1!$B:$B,[1]Sheet1!$S:$S,0)</f>
        <v>0</v>
      </c>
      <c r="Q242" s="12">
        <f>_xlfn.XLOOKUP(B242,[1]Sheet1!$B:$B,[1]Sheet1!$T:$T,0)</f>
        <v>0</v>
      </c>
      <c r="R242" s="12">
        <f>_xlfn.XLOOKUP(B242,[1]Sheet1!$B:$B,[1]Sheet1!$U:$U,0)</f>
        <v>0</v>
      </c>
      <c r="S242" s="12">
        <f>_xlfn.XLOOKUP(B242,[1]Sheet1!$B:$B,[1]Sheet1!$V:$V,0)</f>
        <v>0</v>
      </c>
      <c r="T242" s="12">
        <f>_xlfn.XLOOKUP(B242,[1]Sheet1!$B:$B,[1]Sheet1!$W:$W,0)</f>
        <v>0</v>
      </c>
      <c r="U242" s="12">
        <f>_xlfn.XLOOKUP(B242,[1]Sheet1!$B:$B,[1]Sheet1!$X:$X,0)</f>
        <v>700000</v>
      </c>
      <c r="V242" s="12">
        <f>_xlfn.XLOOKUP(B242,[1]Sheet1!$B:$B,[1]Sheet1!$Y:$Y,0)</f>
        <v>0</v>
      </c>
      <c r="W242" s="12">
        <f t="shared" si="9"/>
        <v>700000</v>
      </c>
      <c r="X242" s="6" t="s">
        <v>258</v>
      </c>
      <c r="Y242" s="6" t="s">
        <v>65</v>
      </c>
      <c r="Z242" s="6" t="s">
        <v>259</v>
      </c>
      <c r="AA242" s="6" t="s">
        <v>68</v>
      </c>
      <c r="AB242" s="6" t="s">
        <v>36</v>
      </c>
      <c r="AC242" s="6" t="s">
        <v>37</v>
      </c>
      <c r="AD242" s="6" t="s">
        <v>102</v>
      </c>
      <c r="AE242" s="6" t="s">
        <v>39</v>
      </c>
      <c r="AF242" s="6" t="s">
        <v>40</v>
      </c>
      <c r="AG242" s="7">
        <v>700000</v>
      </c>
      <c r="AH242" s="11">
        <f>_xlfn.XLOOKUP(B242,[1]Sheet1!$B:$B,[1]Sheet1!$AB:$AB,0)</f>
        <v>700000</v>
      </c>
    </row>
    <row r="243" spans="2:34" ht="16.8" thickTop="1" thickBot="1" x14ac:dyDescent="0.35">
      <c r="B243" s="3" t="str">
        <f t="shared" si="8"/>
        <v>45117004511000357Talent Fees-N422511200104</v>
      </c>
      <c r="C243" s="8" t="s">
        <v>260</v>
      </c>
      <c r="D243" s="8" t="s">
        <v>491</v>
      </c>
      <c r="E243" s="8" t="s">
        <v>492</v>
      </c>
      <c r="F243" s="8" t="s">
        <v>262</v>
      </c>
      <c r="G243" s="4" t="s">
        <v>2819</v>
      </c>
      <c r="H243" s="4" t="s">
        <v>2922</v>
      </c>
      <c r="I243" s="8" t="s">
        <v>151</v>
      </c>
      <c r="J243" s="8" t="s">
        <v>31</v>
      </c>
      <c r="K243" s="12">
        <f>_xlfn.XLOOKUP(B243,[1]Sheet1!$B:$B,[1]Sheet1!$N:$N,0)</f>
        <v>0</v>
      </c>
      <c r="L243" s="12">
        <f>_xlfn.XLOOKUP(B243,[1]Sheet1!$B:$B,[1]Sheet1!$O:$O,0)</f>
        <v>0</v>
      </c>
      <c r="M243" s="12">
        <f>_xlfn.XLOOKUP(B243,[1]Sheet1!$B:$B,[1]Sheet1!$P:$P,0)</f>
        <v>0</v>
      </c>
      <c r="N243" s="12">
        <f>_xlfn.XLOOKUP(B243,[1]Sheet1!$B:$B,[1]Sheet1!$Q:$Q,0)</f>
        <v>0</v>
      </c>
      <c r="O243" s="12">
        <f>_xlfn.XLOOKUP(B243,[1]Sheet1!$B:$B,[1]Sheet1!$R:$R,0)</f>
        <v>0</v>
      </c>
      <c r="P243" s="12">
        <f>_xlfn.XLOOKUP(B243,[1]Sheet1!$B:$B,[1]Sheet1!$S:$S,0)</f>
        <v>0</v>
      </c>
      <c r="Q243" s="12">
        <f>_xlfn.XLOOKUP(B243,[1]Sheet1!$B:$B,[1]Sheet1!$T:$T,0)</f>
        <v>0</v>
      </c>
      <c r="R243" s="12">
        <f>_xlfn.XLOOKUP(B243,[1]Sheet1!$B:$B,[1]Sheet1!$U:$U,0)</f>
        <v>0</v>
      </c>
      <c r="S243" s="12">
        <f>_xlfn.XLOOKUP(B243,[1]Sheet1!$B:$B,[1]Sheet1!$V:$V,0)</f>
        <v>0</v>
      </c>
      <c r="T243" s="12">
        <f>_xlfn.XLOOKUP(B243,[1]Sheet1!$B:$B,[1]Sheet1!$W:$W,0)</f>
        <v>0</v>
      </c>
      <c r="U243" s="12">
        <f>_xlfn.XLOOKUP(B243,[1]Sheet1!$B:$B,[1]Sheet1!$X:$X,0)</f>
        <v>305000</v>
      </c>
      <c r="V243" s="12">
        <f>_xlfn.XLOOKUP(B243,[1]Sheet1!$B:$B,[1]Sheet1!$Y:$Y,0)</f>
        <v>0</v>
      </c>
      <c r="W243" s="12">
        <f t="shared" si="9"/>
        <v>305000</v>
      </c>
      <c r="X243" s="8" t="s">
        <v>263</v>
      </c>
      <c r="Y243" s="8" t="s">
        <v>65</v>
      </c>
      <c r="Z243" s="8" t="s">
        <v>259</v>
      </c>
      <c r="AA243" s="8" t="s">
        <v>151</v>
      </c>
      <c r="AB243" s="8" t="s">
        <v>36</v>
      </c>
      <c r="AC243" s="8" t="s">
        <v>37</v>
      </c>
      <c r="AD243" s="8" t="s">
        <v>102</v>
      </c>
      <c r="AE243" s="8" t="s">
        <v>39</v>
      </c>
      <c r="AF243" s="8" t="s">
        <v>40</v>
      </c>
      <c r="AG243" s="9">
        <v>305000</v>
      </c>
      <c r="AH243" s="11">
        <f>_xlfn.XLOOKUP(B243,[1]Sheet1!$B:$B,[1]Sheet1!$AB:$AB,0)</f>
        <v>305000</v>
      </c>
    </row>
    <row r="244" spans="2:34" ht="16.8" thickTop="1" thickBot="1" x14ac:dyDescent="0.35">
      <c r="B244" s="3" t="str">
        <f t="shared" si="8"/>
        <v>45112504511000360Activation&amp;Prog-N422401200104</v>
      </c>
      <c r="C244" s="6" t="s">
        <v>67</v>
      </c>
      <c r="D244" s="6" t="s">
        <v>493</v>
      </c>
      <c r="E244" s="6" t="s">
        <v>494</v>
      </c>
      <c r="F244" s="6" t="s">
        <v>62</v>
      </c>
      <c r="G244" s="4" t="s">
        <v>2807</v>
      </c>
      <c r="H244" s="4" t="s">
        <v>2922</v>
      </c>
      <c r="I244" s="6" t="s">
        <v>63</v>
      </c>
      <c r="J244" s="6" t="s">
        <v>31</v>
      </c>
      <c r="K244" s="12">
        <f>_xlfn.XLOOKUP(B244,[1]Sheet1!$B:$B,[1]Sheet1!$N:$N,0)</f>
        <v>0</v>
      </c>
      <c r="L244" s="12">
        <f>_xlfn.XLOOKUP(B244,[1]Sheet1!$B:$B,[1]Sheet1!$O:$O,0)</f>
        <v>0</v>
      </c>
      <c r="M244" s="12">
        <f>_xlfn.XLOOKUP(B244,[1]Sheet1!$B:$B,[1]Sheet1!$P:$P,0)</f>
        <v>0</v>
      </c>
      <c r="N244" s="12">
        <f>_xlfn.XLOOKUP(B244,[1]Sheet1!$B:$B,[1]Sheet1!$Q:$Q,0)</f>
        <v>167720</v>
      </c>
      <c r="O244" s="12">
        <f>_xlfn.XLOOKUP(B244,[1]Sheet1!$B:$B,[1]Sheet1!$R:$R,0)</f>
        <v>17040</v>
      </c>
      <c r="P244" s="12">
        <f>_xlfn.XLOOKUP(B244,[1]Sheet1!$B:$B,[1]Sheet1!$S:$S,0)</f>
        <v>350000</v>
      </c>
      <c r="Q244" s="12">
        <f>_xlfn.XLOOKUP(B244,[1]Sheet1!$B:$B,[1]Sheet1!$T:$T,0)</f>
        <v>524140</v>
      </c>
      <c r="R244" s="12">
        <f>_xlfn.XLOOKUP(B244,[1]Sheet1!$B:$B,[1]Sheet1!$U:$U,0)</f>
        <v>570000</v>
      </c>
      <c r="S244" s="12">
        <f>_xlfn.XLOOKUP(B244,[1]Sheet1!$B:$B,[1]Sheet1!$V:$V,0)</f>
        <v>17040</v>
      </c>
      <c r="T244" s="12">
        <f>_xlfn.XLOOKUP(B244,[1]Sheet1!$B:$B,[1]Sheet1!$W:$W,0)</f>
        <v>0</v>
      </c>
      <c r="U244" s="12">
        <f>_xlfn.XLOOKUP(B244,[1]Sheet1!$B:$B,[1]Sheet1!$X:$X,0)</f>
        <v>91140</v>
      </c>
      <c r="V244" s="12">
        <f>_xlfn.XLOOKUP(B244,[1]Sheet1!$B:$B,[1]Sheet1!$Y:$Y,0)</f>
        <v>187420</v>
      </c>
      <c r="W244" s="12">
        <f t="shared" si="9"/>
        <v>1924500</v>
      </c>
      <c r="X244" s="6" t="s">
        <v>64</v>
      </c>
      <c r="Y244" s="6" t="s">
        <v>65</v>
      </c>
      <c r="Z244" s="6" t="s">
        <v>66</v>
      </c>
      <c r="AA244" s="6" t="s">
        <v>68</v>
      </c>
      <c r="AB244" s="6" t="s">
        <v>36</v>
      </c>
      <c r="AC244" s="6" t="s">
        <v>37</v>
      </c>
      <c r="AD244" s="6" t="s">
        <v>69</v>
      </c>
      <c r="AE244" s="6" t="s">
        <v>39</v>
      </c>
      <c r="AF244" s="6" t="s">
        <v>40</v>
      </c>
      <c r="AG244" s="7">
        <v>2259500</v>
      </c>
      <c r="AH244" s="11">
        <f>_xlfn.XLOOKUP(B244,[1]Sheet1!$B:$B,[1]Sheet1!$AB:$AB,0)</f>
        <v>2259500</v>
      </c>
    </row>
    <row r="245" spans="2:34" ht="16.8" thickTop="1" thickBot="1" x14ac:dyDescent="0.35">
      <c r="B245" s="3" t="str">
        <f t="shared" si="8"/>
        <v>45112504511000360Book Acquisition-N431113200104</v>
      </c>
      <c r="C245" s="8" t="s">
        <v>67</v>
      </c>
      <c r="D245" s="8" t="s">
        <v>493</v>
      </c>
      <c r="E245" s="8" t="s">
        <v>494</v>
      </c>
      <c r="F245" s="8" t="s">
        <v>495</v>
      </c>
      <c r="G245" s="4" t="s">
        <v>2847</v>
      </c>
      <c r="H245" s="4" t="s">
        <v>2922</v>
      </c>
      <c r="I245" s="8" t="s">
        <v>496</v>
      </c>
      <c r="J245" s="8" t="s">
        <v>31</v>
      </c>
      <c r="K245" s="12">
        <f>_xlfn.XLOOKUP(B245,[1]Sheet1!$B:$B,[1]Sheet1!$N:$N,0)</f>
        <v>0</v>
      </c>
      <c r="L245" s="12">
        <f>_xlfn.XLOOKUP(B245,[1]Sheet1!$B:$B,[1]Sheet1!$O:$O,0)</f>
        <v>0</v>
      </c>
      <c r="M245" s="12">
        <f>_xlfn.XLOOKUP(B245,[1]Sheet1!$B:$B,[1]Sheet1!$P:$P,0)</f>
        <v>0</v>
      </c>
      <c r="N245" s="12">
        <f>_xlfn.XLOOKUP(B245,[1]Sheet1!$B:$B,[1]Sheet1!$Q:$Q,0)</f>
        <v>100000</v>
      </c>
      <c r="O245" s="12">
        <f>_xlfn.XLOOKUP(B245,[1]Sheet1!$B:$B,[1]Sheet1!$R:$R,0)</f>
        <v>100000</v>
      </c>
      <c r="P245" s="12">
        <f>_xlfn.XLOOKUP(B245,[1]Sheet1!$B:$B,[1]Sheet1!$S:$S,0)</f>
        <v>0</v>
      </c>
      <c r="Q245" s="12">
        <f>_xlfn.XLOOKUP(B245,[1]Sheet1!$B:$B,[1]Sheet1!$T:$T,0)</f>
        <v>200000</v>
      </c>
      <c r="R245" s="12">
        <f>_xlfn.XLOOKUP(B245,[1]Sheet1!$B:$B,[1]Sheet1!$U:$U,0)</f>
        <v>0</v>
      </c>
      <c r="S245" s="12">
        <f>_xlfn.XLOOKUP(B245,[1]Sheet1!$B:$B,[1]Sheet1!$V:$V,0)</f>
        <v>0</v>
      </c>
      <c r="T245" s="12">
        <f>_xlfn.XLOOKUP(B245,[1]Sheet1!$B:$B,[1]Sheet1!$W:$W,0)</f>
        <v>100000</v>
      </c>
      <c r="U245" s="12">
        <f>_xlfn.XLOOKUP(B245,[1]Sheet1!$B:$B,[1]Sheet1!$X:$X,0)</f>
        <v>0</v>
      </c>
      <c r="V245" s="12">
        <f>_xlfn.XLOOKUP(B245,[1]Sheet1!$B:$B,[1]Sheet1!$Y:$Y,0)</f>
        <v>200000</v>
      </c>
      <c r="W245" s="12">
        <f t="shared" si="9"/>
        <v>700000</v>
      </c>
      <c r="X245" s="8" t="s">
        <v>497</v>
      </c>
      <c r="Y245" s="8" t="s">
        <v>65</v>
      </c>
      <c r="Z245" s="8" t="s">
        <v>66</v>
      </c>
      <c r="AA245" s="8" t="s">
        <v>496</v>
      </c>
      <c r="AB245" s="8" t="s">
        <v>36</v>
      </c>
      <c r="AC245" s="8" t="s">
        <v>37</v>
      </c>
      <c r="AD245" s="8" t="s">
        <v>69</v>
      </c>
      <c r="AE245" s="8" t="s">
        <v>39</v>
      </c>
      <c r="AF245" s="8" t="s">
        <v>40</v>
      </c>
      <c r="AG245" s="9">
        <v>700000</v>
      </c>
      <c r="AH245" s="11">
        <f>_xlfn.XLOOKUP(B245,[1]Sheet1!$B:$B,[1]Sheet1!$AB:$AB,0)</f>
        <v>700000</v>
      </c>
    </row>
    <row r="246" spans="2:34" ht="16.8" thickTop="1" thickBot="1" x14ac:dyDescent="0.35">
      <c r="B246" s="3" t="str">
        <f t="shared" si="8"/>
        <v>45112504511000360Freelancers-N424521200104</v>
      </c>
      <c r="C246" s="6" t="s">
        <v>67</v>
      </c>
      <c r="D246" s="6" t="s">
        <v>493</v>
      </c>
      <c r="E246" s="6" t="s">
        <v>494</v>
      </c>
      <c r="F246" s="6" t="s">
        <v>50</v>
      </c>
      <c r="G246" s="4" t="s">
        <v>2804</v>
      </c>
      <c r="H246" s="4" t="s">
        <v>2922</v>
      </c>
      <c r="I246" s="6" t="s">
        <v>51</v>
      </c>
      <c r="J246" s="6" t="s">
        <v>31</v>
      </c>
      <c r="K246" s="12">
        <f>_xlfn.XLOOKUP(B246,[1]Sheet1!$B:$B,[1]Sheet1!$N:$N,0)</f>
        <v>0</v>
      </c>
      <c r="L246" s="12">
        <f>_xlfn.XLOOKUP(B246,[1]Sheet1!$B:$B,[1]Sheet1!$O:$O,0)</f>
        <v>0</v>
      </c>
      <c r="M246" s="12">
        <f>_xlfn.XLOOKUP(B246,[1]Sheet1!$B:$B,[1]Sheet1!$P:$P,0)</f>
        <v>0</v>
      </c>
      <c r="N246" s="12">
        <f>_xlfn.XLOOKUP(B246,[1]Sheet1!$B:$B,[1]Sheet1!$Q:$Q,0)</f>
        <v>72150</v>
      </c>
      <c r="O246" s="12">
        <f>_xlfn.XLOOKUP(B246,[1]Sheet1!$B:$B,[1]Sheet1!$R:$R,0)</f>
        <v>0</v>
      </c>
      <c r="P246" s="12">
        <f>_xlfn.XLOOKUP(B246,[1]Sheet1!$B:$B,[1]Sheet1!$S:$S,0)</f>
        <v>0</v>
      </c>
      <c r="Q246" s="12">
        <f>_xlfn.XLOOKUP(B246,[1]Sheet1!$B:$B,[1]Sheet1!$T:$T,0)</f>
        <v>0</v>
      </c>
      <c r="R246" s="12">
        <f>_xlfn.XLOOKUP(B246,[1]Sheet1!$B:$B,[1]Sheet1!$U:$U,0)</f>
        <v>0</v>
      </c>
      <c r="S246" s="12">
        <f>_xlfn.XLOOKUP(B246,[1]Sheet1!$B:$B,[1]Sheet1!$V:$V,0)</f>
        <v>0</v>
      </c>
      <c r="T246" s="12">
        <f>_xlfn.XLOOKUP(B246,[1]Sheet1!$B:$B,[1]Sheet1!$W:$W,0)</f>
        <v>0</v>
      </c>
      <c r="U246" s="12">
        <f>_xlfn.XLOOKUP(B246,[1]Sheet1!$B:$B,[1]Sheet1!$X:$X,0)</f>
        <v>0</v>
      </c>
      <c r="V246" s="12">
        <f>_xlfn.XLOOKUP(B246,[1]Sheet1!$B:$B,[1]Sheet1!$Y:$Y,0)</f>
        <v>0</v>
      </c>
      <c r="W246" s="12">
        <f t="shared" si="9"/>
        <v>72150</v>
      </c>
      <c r="X246" s="6" t="s">
        <v>82</v>
      </c>
      <c r="Y246" s="6" t="s">
        <v>65</v>
      </c>
      <c r="Z246" s="6" t="s">
        <v>66</v>
      </c>
      <c r="AA246" s="6" t="s">
        <v>53</v>
      </c>
      <c r="AB246" s="6" t="s">
        <v>36</v>
      </c>
      <c r="AC246" s="6" t="s">
        <v>37</v>
      </c>
      <c r="AD246" s="6" t="s">
        <v>69</v>
      </c>
      <c r="AE246" s="6" t="s">
        <v>39</v>
      </c>
      <c r="AF246" s="6" t="s">
        <v>40</v>
      </c>
      <c r="AG246" s="7">
        <v>22500</v>
      </c>
      <c r="AH246" s="11">
        <f>_xlfn.XLOOKUP(B246,[1]Sheet1!$B:$B,[1]Sheet1!$AB:$AB,0)</f>
        <v>22500</v>
      </c>
    </row>
    <row r="247" spans="2:34" ht="16.8" thickTop="1" thickBot="1" x14ac:dyDescent="0.35">
      <c r="B247" s="3" t="str">
        <f t="shared" si="8"/>
        <v>45112504511000360Manpower-N424521200104</v>
      </c>
      <c r="C247" s="8" t="s">
        <v>67</v>
      </c>
      <c r="D247" s="8" t="s">
        <v>493</v>
      </c>
      <c r="E247" s="8" t="s">
        <v>494</v>
      </c>
      <c r="F247" s="8" t="s">
        <v>98</v>
      </c>
      <c r="G247" s="4" t="s">
        <v>2804</v>
      </c>
      <c r="H247" s="4" t="s">
        <v>2922</v>
      </c>
      <c r="I247" s="8" t="s">
        <v>51</v>
      </c>
      <c r="J247" s="8" t="s">
        <v>31</v>
      </c>
      <c r="K247" s="12">
        <f>_xlfn.XLOOKUP(B247,[1]Sheet1!$B:$B,[1]Sheet1!$N:$N,0)</f>
        <v>0</v>
      </c>
      <c r="L247" s="12">
        <f>_xlfn.XLOOKUP(B247,[1]Sheet1!$B:$B,[1]Sheet1!$O:$O,0)</f>
        <v>0</v>
      </c>
      <c r="M247" s="12">
        <f>_xlfn.XLOOKUP(B247,[1]Sheet1!$B:$B,[1]Sheet1!$P:$P,0)</f>
        <v>0</v>
      </c>
      <c r="N247" s="12">
        <f>_xlfn.XLOOKUP(B247,[1]Sheet1!$B:$B,[1]Sheet1!$Q:$Q,0)</f>
        <v>667735.15</v>
      </c>
      <c r="O247" s="12">
        <f>_xlfn.XLOOKUP(B247,[1]Sheet1!$B:$B,[1]Sheet1!$R:$R,0)</f>
        <v>227795.15</v>
      </c>
      <c r="P247" s="12">
        <f>_xlfn.XLOOKUP(B247,[1]Sheet1!$B:$B,[1]Sheet1!$S:$S,0)</f>
        <v>239095.15</v>
      </c>
      <c r="Q247" s="12">
        <f>_xlfn.XLOOKUP(B247,[1]Sheet1!$B:$B,[1]Sheet1!$T:$T,0)</f>
        <v>227795.15</v>
      </c>
      <c r="R247" s="12">
        <f>_xlfn.XLOOKUP(B247,[1]Sheet1!$B:$B,[1]Sheet1!$U:$U,0)</f>
        <v>227795.15</v>
      </c>
      <c r="S247" s="12">
        <f>_xlfn.XLOOKUP(B247,[1]Sheet1!$B:$B,[1]Sheet1!$V:$V,0)</f>
        <v>248135.15</v>
      </c>
      <c r="T247" s="12">
        <f>_xlfn.XLOOKUP(B247,[1]Sheet1!$B:$B,[1]Sheet1!$W:$W,0)</f>
        <v>227795.15</v>
      </c>
      <c r="U247" s="12">
        <f>_xlfn.XLOOKUP(B247,[1]Sheet1!$B:$B,[1]Sheet1!$X:$X,0)</f>
        <v>227795.15</v>
      </c>
      <c r="V247" s="12">
        <f>_xlfn.XLOOKUP(B247,[1]Sheet1!$B:$B,[1]Sheet1!$Y:$Y,0)</f>
        <v>477962.5</v>
      </c>
      <c r="W247" s="12">
        <f t="shared" si="9"/>
        <v>2771903.6999999997</v>
      </c>
      <c r="X247" s="8" t="s">
        <v>82</v>
      </c>
      <c r="Y247" s="8" t="s">
        <v>65</v>
      </c>
      <c r="Z247" s="8" t="s">
        <v>66</v>
      </c>
      <c r="AA247" s="8" t="s">
        <v>53</v>
      </c>
      <c r="AB247" s="8" t="s">
        <v>36</v>
      </c>
      <c r="AC247" s="8" t="s">
        <v>37</v>
      </c>
      <c r="AD247" s="8" t="s">
        <v>69</v>
      </c>
      <c r="AE247" s="8" t="s">
        <v>39</v>
      </c>
      <c r="AF247" s="8" t="s">
        <v>40</v>
      </c>
      <c r="AG247" s="9">
        <v>2821554</v>
      </c>
      <c r="AH247" s="11">
        <f>_xlfn.XLOOKUP(B247,[1]Sheet1!$B:$B,[1]Sheet1!$AB:$AB,0)</f>
        <v>2821553.6999999997</v>
      </c>
    </row>
    <row r="248" spans="2:34" ht="16.8" thickTop="1" thickBot="1" x14ac:dyDescent="0.35">
      <c r="B248" s="3" t="str">
        <f t="shared" si="8"/>
        <v>45112504511000362Activation&amp;Prog-N422401200104</v>
      </c>
      <c r="C248" s="6" t="s">
        <v>67</v>
      </c>
      <c r="D248" s="6" t="s">
        <v>498</v>
      </c>
      <c r="E248" s="6" t="s">
        <v>499</v>
      </c>
      <c r="F248" s="6" t="s">
        <v>62</v>
      </c>
      <c r="G248" s="4" t="s">
        <v>2807</v>
      </c>
      <c r="H248" s="4" t="s">
        <v>2922</v>
      </c>
      <c r="I248" s="6" t="s">
        <v>63</v>
      </c>
      <c r="J248" s="6" t="s">
        <v>31</v>
      </c>
      <c r="K248" s="12">
        <f>_xlfn.XLOOKUP(B248,[1]Sheet1!$B:$B,[1]Sheet1!$N:$N,0)</f>
        <v>0</v>
      </c>
      <c r="L248" s="12">
        <f>_xlfn.XLOOKUP(B248,[1]Sheet1!$B:$B,[1]Sheet1!$O:$O,0)</f>
        <v>0</v>
      </c>
      <c r="M248" s="12">
        <f>_xlfn.XLOOKUP(B248,[1]Sheet1!$B:$B,[1]Sheet1!$P:$P,0)</f>
        <v>60000</v>
      </c>
      <c r="N248" s="12">
        <f>_xlfn.XLOOKUP(B248,[1]Sheet1!$B:$B,[1]Sheet1!$Q:$Q,0)</f>
        <v>540000</v>
      </c>
      <c r="O248" s="12">
        <f>_xlfn.XLOOKUP(B248,[1]Sheet1!$B:$B,[1]Sheet1!$R:$R,0)</f>
        <v>200000</v>
      </c>
      <c r="P248" s="12">
        <f>_xlfn.XLOOKUP(B248,[1]Sheet1!$B:$B,[1]Sheet1!$S:$S,0)</f>
        <v>200000</v>
      </c>
      <c r="Q248" s="12">
        <f>_xlfn.XLOOKUP(B248,[1]Sheet1!$B:$B,[1]Sheet1!$T:$T,0)</f>
        <v>300000</v>
      </c>
      <c r="R248" s="12">
        <f>_xlfn.XLOOKUP(B248,[1]Sheet1!$B:$B,[1]Sheet1!$U:$U,0)</f>
        <v>100000</v>
      </c>
      <c r="S248" s="12">
        <f>_xlfn.XLOOKUP(B248,[1]Sheet1!$B:$B,[1]Sheet1!$V:$V,0)</f>
        <v>200000</v>
      </c>
      <c r="T248" s="12">
        <f>_xlfn.XLOOKUP(B248,[1]Sheet1!$B:$B,[1]Sheet1!$W:$W,0)</f>
        <v>500000</v>
      </c>
      <c r="U248" s="12">
        <f>_xlfn.XLOOKUP(B248,[1]Sheet1!$B:$B,[1]Sheet1!$X:$X,0)</f>
        <v>700000</v>
      </c>
      <c r="V248" s="12">
        <f>_xlfn.XLOOKUP(B248,[1]Sheet1!$B:$B,[1]Sheet1!$Y:$Y,0)</f>
        <v>750000</v>
      </c>
      <c r="W248" s="12">
        <f t="shared" si="9"/>
        <v>3550000</v>
      </c>
      <c r="X248" s="6" t="s">
        <v>64</v>
      </c>
      <c r="Y248" s="6" t="s">
        <v>65</v>
      </c>
      <c r="Z248" s="6" t="s">
        <v>66</v>
      </c>
      <c r="AA248" s="6" t="s">
        <v>68</v>
      </c>
      <c r="AB248" s="6" t="s">
        <v>36</v>
      </c>
      <c r="AC248" s="6" t="s">
        <v>37</v>
      </c>
      <c r="AD248" s="6" t="s">
        <v>69</v>
      </c>
      <c r="AE248" s="6" t="s">
        <v>39</v>
      </c>
      <c r="AF248" s="6" t="s">
        <v>40</v>
      </c>
      <c r="AG248" s="7">
        <v>3350000</v>
      </c>
      <c r="AH248" s="11">
        <f>_xlfn.XLOOKUP(B248,[1]Sheet1!$B:$B,[1]Sheet1!$AB:$AB,0)</f>
        <v>3350000</v>
      </c>
    </row>
    <row r="249" spans="2:34" ht="16.8" thickTop="1" thickBot="1" x14ac:dyDescent="0.35">
      <c r="B249" s="3" t="str">
        <f t="shared" si="8"/>
        <v>45112504511000362Freelancers-N424521200104</v>
      </c>
      <c r="C249" s="8" t="s">
        <v>67</v>
      </c>
      <c r="D249" s="8" t="s">
        <v>498</v>
      </c>
      <c r="E249" s="8" t="s">
        <v>499</v>
      </c>
      <c r="F249" s="8" t="s">
        <v>50</v>
      </c>
      <c r="G249" s="4" t="s">
        <v>2804</v>
      </c>
      <c r="H249" s="4" t="s">
        <v>2922</v>
      </c>
      <c r="I249" s="8" t="s">
        <v>51</v>
      </c>
      <c r="J249" s="8" t="s">
        <v>31</v>
      </c>
      <c r="K249" s="12">
        <f>_xlfn.XLOOKUP(B249,[1]Sheet1!$B:$B,[1]Sheet1!$N:$N,0)</f>
        <v>0</v>
      </c>
      <c r="L249" s="12">
        <f>_xlfn.XLOOKUP(B249,[1]Sheet1!$B:$B,[1]Sheet1!$O:$O,0)</f>
        <v>0</v>
      </c>
      <c r="M249" s="12">
        <f>_xlfn.XLOOKUP(B249,[1]Sheet1!$B:$B,[1]Sheet1!$P:$P,0)</f>
        <v>0</v>
      </c>
      <c r="N249" s="12">
        <f>_xlfn.XLOOKUP(B249,[1]Sheet1!$B:$B,[1]Sheet1!$Q:$Q,0)</f>
        <v>30600</v>
      </c>
      <c r="O249" s="12">
        <f>_xlfn.XLOOKUP(B249,[1]Sheet1!$B:$B,[1]Sheet1!$R:$R,0)</f>
        <v>0</v>
      </c>
      <c r="P249" s="12">
        <f>_xlfn.XLOOKUP(B249,[1]Sheet1!$B:$B,[1]Sheet1!$S:$S,0)</f>
        <v>0</v>
      </c>
      <c r="Q249" s="12">
        <f>_xlfn.XLOOKUP(B249,[1]Sheet1!$B:$B,[1]Sheet1!$T:$T,0)</f>
        <v>0</v>
      </c>
      <c r="R249" s="12">
        <f>_xlfn.XLOOKUP(B249,[1]Sheet1!$B:$B,[1]Sheet1!$U:$U,0)</f>
        <v>0</v>
      </c>
      <c r="S249" s="12">
        <f>_xlfn.XLOOKUP(B249,[1]Sheet1!$B:$B,[1]Sheet1!$V:$V,0)</f>
        <v>0</v>
      </c>
      <c r="T249" s="12">
        <f>_xlfn.XLOOKUP(B249,[1]Sheet1!$B:$B,[1]Sheet1!$W:$W,0)</f>
        <v>0</v>
      </c>
      <c r="U249" s="12">
        <f>_xlfn.XLOOKUP(B249,[1]Sheet1!$B:$B,[1]Sheet1!$X:$X,0)</f>
        <v>0</v>
      </c>
      <c r="V249" s="12">
        <f>_xlfn.XLOOKUP(B249,[1]Sheet1!$B:$B,[1]Sheet1!$Y:$Y,0)</f>
        <v>0</v>
      </c>
      <c r="W249" s="12">
        <f t="shared" si="9"/>
        <v>30600</v>
      </c>
      <c r="X249" s="8" t="s">
        <v>82</v>
      </c>
      <c r="Y249" s="8" t="s">
        <v>65</v>
      </c>
      <c r="Z249" s="8" t="s">
        <v>66</v>
      </c>
      <c r="AA249" s="8" t="s">
        <v>53</v>
      </c>
      <c r="AB249" s="8" t="s">
        <v>36</v>
      </c>
      <c r="AC249" s="8" t="s">
        <v>37</v>
      </c>
      <c r="AD249" s="8" t="s">
        <v>69</v>
      </c>
      <c r="AE249" s="8" t="s">
        <v>39</v>
      </c>
      <c r="AF249" s="8" t="s">
        <v>40</v>
      </c>
      <c r="AG249" s="9">
        <v>30600</v>
      </c>
      <c r="AH249" s="11">
        <f>_xlfn.XLOOKUP(B249,[1]Sheet1!$B:$B,[1]Sheet1!$AB:$AB,0)</f>
        <v>30600</v>
      </c>
    </row>
    <row r="250" spans="2:34" ht="16.8" thickTop="1" thickBot="1" x14ac:dyDescent="0.35">
      <c r="B250" s="3" t="str">
        <f t="shared" si="8"/>
        <v>45112504511000362Manpower-N424521200104</v>
      </c>
      <c r="C250" s="6" t="s">
        <v>67</v>
      </c>
      <c r="D250" s="6" t="s">
        <v>498</v>
      </c>
      <c r="E250" s="6" t="s">
        <v>499</v>
      </c>
      <c r="F250" s="6" t="s">
        <v>98</v>
      </c>
      <c r="G250" s="4" t="s">
        <v>2804</v>
      </c>
      <c r="H250" s="4" t="s">
        <v>2922</v>
      </c>
      <c r="I250" s="6" t="s">
        <v>51</v>
      </c>
      <c r="J250" s="6" t="s">
        <v>31</v>
      </c>
      <c r="K250" s="12">
        <f>_xlfn.XLOOKUP(B250,[1]Sheet1!$B:$B,[1]Sheet1!$N:$N,0)</f>
        <v>0</v>
      </c>
      <c r="L250" s="12">
        <f>_xlfn.XLOOKUP(B250,[1]Sheet1!$B:$B,[1]Sheet1!$O:$O,0)</f>
        <v>0</v>
      </c>
      <c r="M250" s="12">
        <f>_xlfn.XLOOKUP(B250,[1]Sheet1!$B:$B,[1]Sheet1!$P:$P,0)</f>
        <v>0</v>
      </c>
      <c r="N250" s="12">
        <f>_xlfn.XLOOKUP(B250,[1]Sheet1!$B:$B,[1]Sheet1!$Q:$Q,0)</f>
        <v>269400</v>
      </c>
      <c r="O250" s="12">
        <f>_xlfn.XLOOKUP(B250,[1]Sheet1!$B:$B,[1]Sheet1!$R:$R,0)</f>
        <v>75000</v>
      </c>
      <c r="P250" s="12">
        <f>_xlfn.XLOOKUP(B250,[1]Sheet1!$B:$B,[1]Sheet1!$S:$S,0)</f>
        <v>75000</v>
      </c>
      <c r="Q250" s="12">
        <f>_xlfn.XLOOKUP(B250,[1]Sheet1!$B:$B,[1]Sheet1!$T:$T,0)</f>
        <v>75000</v>
      </c>
      <c r="R250" s="12">
        <f>_xlfn.XLOOKUP(B250,[1]Sheet1!$B:$B,[1]Sheet1!$U:$U,0)</f>
        <v>75000</v>
      </c>
      <c r="S250" s="12">
        <f>_xlfn.XLOOKUP(B250,[1]Sheet1!$B:$B,[1]Sheet1!$V:$V,0)</f>
        <v>75000</v>
      </c>
      <c r="T250" s="12">
        <f>_xlfn.XLOOKUP(B250,[1]Sheet1!$B:$B,[1]Sheet1!$W:$W,0)</f>
        <v>75000</v>
      </c>
      <c r="U250" s="12">
        <f>_xlfn.XLOOKUP(B250,[1]Sheet1!$B:$B,[1]Sheet1!$X:$X,0)</f>
        <v>75000</v>
      </c>
      <c r="V250" s="12">
        <f>_xlfn.XLOOKUP(B250,[1]Sheet1!$B:$B,[1]Sheet1!$Y:$Y,0)</f>
        <v>75000</v>
      </c>
      <c r="W250" s="12">
        <f t="shared" si="9"/>
        <v>869400</v>
      </c>
      <c r="X250" s="6" t="s">
        <v>82</v>
      </c>
      <c r="Y250" s="6" t="s">
        <v>65</v>
      </c>
      <c r="Z250" s="6" t="s">
        <v>66</v>
      </c>
      <c r="AA250" s="6" t="s">
        <v>53</v>
      </c>
      <c r="AB250" s="6" t="s">
        <v>36</v>
      </c>
      <c r="AC250" s="6" t="s">
        <v>37</v>
      </c>
      <c r="AD250" s="6" t="s">
        <v>69</v>
      </c>
      <c r="AE250" s="6" t="s">
        <v>39</v>
      </c>
      <c r="AF250" s="6" t="s">
        <v>40</v>
      </c>
      <c r="AG250" s="7">
        <v>869400</v>
      </c>
      <c r="AH250" s="11">
        <f>_xlfn.XLOOKUP(B250,[1]Sheet1!$B:$B,[1]Sheet1!$AB:$AB,0)</f>
        <v>869400</v>
      </c>
    </row>
    <row r="251" spans="2:34" ht="16.8" thickTop="1" thickBot="1" x14ac:dyDescent="0.35">
      <c r="B251" s="3" t="str">
        <f t="shared" si="8"/>
        <v>45131104511000364SM Mgmnt Rtnr-N421125200104</v>
      </c>
      <c r="C251" s="8" t="s">
        <v>348</v>
      </c>
      <c r="D251" s="8" t="s">
        <v>500</v>
      </c>
      <c r="E251" s="8" t="s">
        <v>501</v>
      </c>
      <c r="F251" s="8" t="s">
        <v>502</v>
      </c>
      <c r="G251" s="4" t="s">
        <v>2803</v>
      </c>
      <c r="H251" s="4" t="s">
        <v>2922</v>
      </c>
      <c r="I251" s="8" t="s">
        <v>44</v>
      </c>
      <c r="J251" s="8" t="s">
        <v>31</v>
      </c>
      <c r="K251" s="12">
        <f>_xlfn.XLOOKUP(B251,[1]Sheet1!$B:$B,[1]Sheet1!$N:$N,0)</f>
        <v>0</v>
      </c>
      <c r="L251" s="12">
        <f>_xlfn.XLOOKUP(B251,[1]Sheet1!$B:$B,[1]Sheet1!$O:$O,0)</f>
        <v>0</v>
      </c>
      <c r="M251" s="12">
        <f>_xlfn.XLOOKUP(B251,[1]Sheet1!$B:$B,[1]Sheet1!$P:$P,0)</f>
        <v>0</v>
      </c>
      <c r="N251" s="12">
        <f>_xlfn.XLOOKUP(B251,[1]Sheet1!$B:$B,[1]Sheet1!$Q:$Q,0)</f>
        <v>3387431.32</v>
      </c>
      <c r="O251" s="12">
        <f>_xlfn.XLOOKUP(B251,[1]Sheet1!$B:$B,[1]Sheet1!$R:$R,0)</f>
        <v>846857.83</v>
      </c>
      <c r="P251" s="12">
        <f>_xlfn.XLOOKUP(B251,[1]Sheet1!$B:$B,[1]Sheet1!$S:$S,0)</f>
        <v>846857.83</v>
      </c>
      <c r="Q251" s="12">
        <f>_xlfn.XLOOKUP(B251,[1]Sheet1!$B:$B,[1]Sheet1!$T:$T,0)</f>
        <v>846857.83</v>
      </c>
      <c r="R251" s="12">
        <f>_xlfn.XLOOKUP(B251,[1]Sheet1!$B:$B,[1]Sheet1!$U:$U,0)</f>
        <v>846857.83</v>
      </c>
      <c r="S251" s="12">
        <f>_xlfn.XLOOKUP(B251,[1]Sheet1!$B:$B,[1]Sheet1!$V:$V,0)</f>
        <v>846857.83</v>
      </c>
      <c r="T251" s="12">
        <f>_xlfn.XLOOKUP(B251,[1]Sheet1!$B:$B,[1]Sheet1!$W:$W,0)</f>
        <v>846857.83</v>
      </c>
      <c r="U251" s="12">
        <f>_xlfn.XLOOKUP(B251,[1]Sheet1!$B:$B,[1]Sheet1!$X:$X,0)</f>
        <v>846857.83</v>
      </c>
      <c r="V251" s="12">
        <f>_xlfn.XLOOKUP(B251,[1]Sheet1!$B:$B,[1]Sheet1!$Y:$Y,0)</f>
        <v>846857.83</v>
      </c>
      <c r="W251" s="12">
        <f t="shared" si="9"/>
        <v>10162293.959999999</v>
      </c>
      <c r="X251" s="8" t="s">
        <v>503</v>
      </c>
      <c r="Y251" s="8" t="s">
        <v>319</v>
      </c>
      <c r="Z251" s="8" t="s">
        <v>347</v>
      </c>
      <c r="AA251" s="8" t="s">
        <v>44</v>
      </c>
      <c r="AB251" s="8" t="s">
        <v>36</v>
      </c>
      <c r="AC251" s="8" t="s">
        <v>37</v>
      </c>
      <c r="AD251" s="8" t="s">
        <v>322</v>
      </c>
      <c r="AE251" s="8" t="s">
        <v>39</v>
      </c>
      <c r="AF251" s="8" t="s">
        <v>40</v>
      </c>
      <c r="AG251" s="9">
        <v>0.73</v>
      </c>
      <c r="AH251" s="11">
        <f>_xlfn.XLOOKUP(B251,[1]Sheet1!$B:$B,[1]Sheet1!$AB:$AB,0)</f>
        <v>0</v>
      </c>
    </row>
    <row r="252" spans="2:34" ht="16.8" thickTop="1" thickBot="1" x14ac:dyDescent="0.35">
      <c r="B252" s="3" t="str">
        <f t="shared" si="8"/>
        <v>45131304511000373Sponsorship Fees-N424811200104</v>
      </c>
      <c r="C252" s="6" t="s">
        <v>321</v>
      </c>
      <c r="D252" s="6" t="s">
        <v>504</v>
      </c>
      <c r="E252" s="6" t="s">
        <v>505</v>
      </c>
      <c r="F252" s="6" t="s">
        <v>506</v>
      </c>
      <c r="G252" s="4" t="s">
        <v>2802</v>
      </c>
      <c r="H252" s="4" t="s">
        <v>2922</v>
      </c>
      <c r="I252" s="6" t="s">
        <v>30</v>
      </c>
      <c r="J252" s="6" t="s">
        <v>31</v>
      </c>
      <c r="K252" s="12">
        <f>_xlfn.XLOOKUP(B252,[1]Sheet1!$B:$B,[1]Sheet1!$N:$N,0)</f>
        <v>0</v>
      </c>
      <c r="L252" s="12">
        <f>_xlfn.XLOOKUP(B252,[1]Sheet1!$B:$B,[1]Sheet1!$O:$O,0)</f>
        <v>0</v>
      </c>
      <c r="M252" s="12">
        <f>_xlfn.XLOOKUP(B252,[1]Sheet1!$B:$B,[1]Sheet1!$P:$P,0)</f>
        <v>0</v>
      </c>
      <c r="N252" s="12">
        <f>_xlfn.XLOOKUP(B252,[1]Sheet1!$B:$B,[1]Sheet1!$Q:$Q,0)</f>
        <v>0</v>
      </c>
      <c r="O252" s="12">
        <f>_xlfn.XLOOKUP(B252,[1]Sheet1!$B:$B,[1]Sheet1!$R:$R,0)</f>
        <v>0</v>
      </c>
      <c r="P252" s="12">
        <f>_xlfn.XLOOKUP(B252,[1]Sheet1!$B:$B,[1]Sheet1!$S:$S,0)</f>
        <v>0</v>
      </c>
      <c r="Q252" s="12">
        <f>_xlfn.XLOOKUP(B252,[1]Sheet1!$B:$B,[1]Sheet1!$T:$T,0)</f>
        <v>0</v>
      </c>
      <c r="R252" s="12">
        <f>_xlfn.XLOOKUP(B252,[1]Sheet1!$B:$B,[1]Sheet1!$U:$U,0)</f>
        <v>250000</v>
      </c>
      <c r="S252" s="12">
        <f>_xlfn.XLOOKUP(B252,[1]Sheet1!$B:$B,[1]Sheet1!$V:$V,0)</f>
        <v>0</v>
      </c>
      <c r="T252" s="12">
        <f>_xlfn.XLOOKUP(B252,[1]Sheet1!$B:$B,[1]Sheet1!$W:$W,0)</f>
        <v>0</v>
      </c>
      <c r="U252" s="12">
        <f>_xlfn.XLOOKUP(B252,[1]Sheet1!$B:$B,[1]Sheet1!$X:$X,0)</f>
        <v>0</v>
      </c>
      <c r="V252" s="12">
        <f>_xlfn.XLOOKUP(B252,[1]Sheet1!$B:$B,[1]Sheet1!$Y:$Y,0)</f>
        <v>250000</v>
      </c>
      <c r="W252" s="12">
        <f t="shared" si="9"/>
        <v>500000</v>
      </c>
      <c r="X252" s="6" t="s">
        <v>507</v>
      </c>
      <c r="Y252" s="6" t="s">
        <v>319</v>
      </c>
      <c r="Z252" s="6" t="s">
        <v>320</v>
      </c>
      <c r="AA252" s="6" t="s">
        <v>30</v>
      </c>
      <c r="AB252" s="6" t="s">
        <v>36</v>
      </c>
      <c r="AC252" s="6" t="s">
        <v>37</v>
      </c>
      <c r="AD252" s="6" t="s">
        <v>322</v>
      </c>
      <c r="AE252" s="6" t="s">
        <v>39</v>
      </c>
      <c r="AF252" s="6" t="s">
        <v>40</v>
      </c>
      <c r="AG252" s="7">
        <v>500000</v>
      </c>
      <c r="AH252" s="11">
        <f>_xlfn.XLOOKUP(B252,[1]Sheet1!$B:$B,[1]Sheet1!$AB:$AB,0)</f>
        <v>500000</v>
      </c>
    </row>
    <row r="253" spans="2:34" ht="16.8" thickTop="1" thickBot="1" x14ac:dyDescent="0.35">
      <c r="B253" s="3" t="str">
        <f t="shared" si="8"/>
        <v>45155004511000386Co-Invest Events-L422401050723</v>
      </c>
      <c r="C253" s="8" t="s">
        <v>513</v>
      </c>
      <c r="D253" s="8" t="s">
        <v>508</v>
      </c>
      <c r="E253" s="8" t="s">
        <v>509</v>
      </c>
      <c r="F253" s="8" t="s">
        <v>510</v>
      </c>
      <c r="G253" s="4" t="s">
        <v>2807</v>
      </c>
      <c r="H253" s="4" t="s">
        <v>2926</v>
      </c>
      <c r="I253" s="8" t="s">
        <v>63</v>
      </c>
      <c r="J253" s="8" t="s">
        <v>31</v>
      </c>
      <c r="K253" s="12">
        <f>_xlfn.XLOOKUP(B253,[1]Sheet1!$B:$B,[1]Sheet1!$N:$N,0)</f>
        <v>0</v>
      </c>
      <c r="L253" s="12">
        <f>_xlfn.XLOOKUP(B253,[1]Sheet1!$B:$B,[1]Sheet1!$O:$O,0)</f>
        <v>0</v>
      </c>
      <c r="M253" s="12">
        <f>_xlfn.XLOOKUP(B253,[1]Sheet1!$B:$B,[1]Sheet1!$P:$P,0)</f>
        <v>0</v>
      </c>
      <c r="N253" s="12">
        <f>_xlfn.XLOOKUP(B253,[1]Sheet1!$B:$B,[1]Sheet1!$Q:$Q,0)</f>
        <v>0</v>
      </c>
      <c r="O253" s="12">
        <f>_xlfn.XLOOKUP(B253,[1]Sheet1!$B:$B,[1]Sheet1!$R:$R,0)</f>
        <v>0</v>
      </c>
      <c r="P253" s="12">
        <f>_xlfn.XLOOKUP(B253,[1]Sheet1!$B:$B,[1]Sheet1!$S:$S,0)</f>
        <v>0</v>
      </c>
      <c r="Q253" s="12">
        <f>_xlfn.XLOOKUP(B253,[1]Sheet1!$B:$B,[1]Sheet1!$T:$T,0)</f>
        <v>0</v>
      </c>
      <c r="R253" s="12">
        <f>_xlfn.XLOOKUP(B253,[1]Sheet1!$B:$B,[1]Sheet1!$U:$U,0)</f>
        <v>1349198</v>
      </c>
      <c r="S253" s="12">
        <f>_xlfn.XLOOKUP(B253,[1]Sheet1!$B:$B,[1]Sheet1!$V:$V,0)</f>
        <v>5174599</v>
      </c>
      <c r="T253" s="12">
        <f>_xlfn.XLOOKUP(B253,[1]Sheet1!$B:$B,[1]Sheet1!$W:$W,0)</f>
        <v>5174599</v>
      </c>
      <c r="U253" s="12">
        <f>_xlfn.XLOOKUP(B253,[1]Sheet1!$B:$B,[1]Sheet1!$X:$X,0)</f>
        <v>0</v>
      </c>
      <c r="V253" s="12">
        <f>_xlfn.XLOOKUP(B253,[1]Sheet1!$B:$B,[1]Sheet1!$Y:$Y,0)</f>
        <v>0</v>
      </c>
      <c r="W253" s="12">
        <f t="shared" si="9"/>
        <v>11698396</v>
      </c>
      <c r="X253" s="8" t="s">
        <v>511</v>
      </c>
      <c r="Y253" s="8" t="s">
        <v>211</v>
      </c>
      <c r="Z253" s="8" t="s">
        <v>512</v>
      </c>
      <c r="AA253" s="8" t="s">
        <v>68</v>
      </c>
      <c r="AB253" s="8" t="s">
        <v>514</v>
      </c>
      <c r="AC253" s="8" t="s">
        <v>37</v>
      </c>
      <c r="AD253" s="8" t="s">
        <v>342</v>
      </c>
      <c r="AE253" s="8" t="s">
        <v>39</v>
      </c>
      <c r="AF253" s="8" t="s">
        <v>40</v>
      </c>
      <c r="AG253" s="9">
        <v>11698396.199999999</v>
      </c>
      <c r="AH253" s="11">
        <f>_xlfn.XLOOKUP(B253,[1]Sheet1!$B:$B,[1]Sheet1!$AB:$AB,0)</f>
        <v>11698396</v>
      </c>
    </row>
    <row r="254" spans="2:34" ht="16.8" thickTop="1" thickBot="1" x14ac:dyDescent="0.35">
      <c r="B254" s="3" t="str">
        <f t="shared" si="8"/>
        <v>45155004511000386IP Events-L1422401050723</v>
      </c>
      <c r="C254" s="6" t="s">
        <v>513</v>
      </c>
      <c r="D254" s="6" t="s">
        <v>508</v>
      </c>
      <c r="E254" s="6" t="s">
        <v>509</v>
      </c>
      <c r="F254" s="6" t="s">
        <v>515</v>
      </c>
      <c r="G254" s="4" t="s">
        <v>2807</v>
      </c>
      <c r="H254" s="4" t="s">
        <v>2926</v>
      </c>
      <c r="I254" s="6" t="s">
        <v>63</v>
      </c>
      <c r="J254" s="6" t="s">
        <v>31</v>
      </c>
      <c r="K254" s="12">
        <f>_xlfn.XLOOKUP(B254,[1]Sheet1!$B:$B,[1]Sheet1!$N:$N,0)</f>
        <v>0</v>
      </c>
      <c r="L254" s="12">
        <f>_xlfn.XLOOKUP(B254,[1]Sheet1!$B:$B,[1]Sheet1!$O:$O,0)</f>
        <v>0</v>
      </c>
      <c r="M254" s="12">
        <f>_xlfn.XLOOKUP(B254,[1]Sheet1!$B:$B,[1]Sheet1!$P:$P,0)</f>
        <v>0</v>
      </c>
      <c r="N254" s="12">
        <f>_xlfn.XLOOKUP(B254,[1]Sheet1!$B:$B,[1]Sheet1!$Q:$Q,0)</f>
        <v>0</v>
      </c>
      <c r="O254" s="12">
        <f>_xlfn.XLOOKUP(B254,[1]Sheet1!$B:$B,[1]Sheet1!$R:$R,0)</f>
        <v>36730000</v>
      </c>
      <c r="P254" s="12">
        <f>_xlfn.XLOOKUP(B254,[1]Sheet1!$B:$B,[1]Sheet1!$S:$S,0)</f>
        <v>0</v>
      </c>
      <c r="Q254" s="12">
        <f>_xlfn.XLOOKUP(B254,[1]Sheet1!$B:$B,[1]Sheet1!$T:$T,0)</f>
        <v>0</v>
      </c>
      <c r="R254" s="12">
        <f>_xlfn.XLOOKUP(B254,[1]Sheet1!$B:$B,[1]Sheet1!$U:$U,0)</f>
        <v>59289417</v>
      </c>
      <c r="S254" s="12">
        <f>_xlfn.XLOOKUP(B254,[1]Sheet1!$B:$B,[1]Sheet1!$V:$V,0)</f>
        <v>0</v>
      </c>
      <c r="T254" s="12">
        <f>_xlfn.XLOOKUP(B254,[1]Sheet1!$B:$B,[1]Sheet1!$W:$W,0)</f>
        <v>0</v>
      </c>
      <c r="U254" s="12">
        <f>_xlfn.XLOOKUP(B254,[1]Sheet1!$B:$B,[1]Sheet1!$X:$X,0)</f>
        <v>0</v>
      </c>
      <c r="V254" s="12">
        <f>_xlfn.XLOOKUP(B254,[1]Sheet1!$B:$B,[1]Sheet1!$Y:$Y,0)</f>
        <v>0</v>
      </c>
      <c r="W254" s="12">
        <f t="shared" si="9"/>
        <v>96019417</v>
      </c>
      <c r="X254" s="6" t="s">
        <v>511</v>
      </c>
      <c r="Y254" s="6" t="s">
        <v>211</v>
      </c>
      <c r="Z254" s="6" t="s">
        <v>512</v>
      </c>
      <c r="AA254" s="6" t="s">
        <v>68</v>
      </c>
      <c r="AB254" s="6" t="s">
        <v>514</v>
      </c>
      <c r="AC254" s="6" t="s">
        <v>37</v>
      </c>
      <c r="AD254" s="6" t="s">
        <v>342</v>
      </c>
      <c r="AE254" s="6" t="s">
        <v>39</v>
      </c>
      <c r="AF254" s="6" t="s">
        <v>40</v>
      </c>
      <c r="AG254" s="7">
        <v>96019416.799999997</v>
      </c>
      <c r="AH254" s="11">
        <f>_xlfn.XLOOKUP(B254,[1]Sheet1!$B:$B,[1]Sheet1!$AB:$AB,0)</f>
        <v>96019417</v>
      </c>
    </row>
    <row r="255" spans="2:34" ht="16.8" thickTop="1" thickBot="1" x14ac:dyDescent="0.35">
      <c r="B255" s="3" t="str">
        <f t="shared" si="8"/>
        <v>45155004511000388Sponsorship Fees-N424811200104</v>
      </c>
      <c r="C255" s="8" t="s">
        <v>513</v>
      </c>
      <c r="D255" s="8" t="s">
        <v>516</v>
      </c>
      <c r="E255" s="8" t="s">
        <v>517</v>
      </c>
      <c r="F255" s="8" t="s">
        <v>506</v>
      </c>
      <c r="G255" s="4" t="s">
        <v>2802</v>
      </c>
      <c r="H255" s="4" t="s">
        <v>2922</v>
      </c>
      <c r="I255" s="8" t="s">
        <v>30</v>
      </c>
      <c r="J255" s="8" t="s">
        <v>31</v>
      </c>
      <c r="K255" s="12">
        <f>_xlfn.XLOOKUP(B255,[1]Sheet1!$B:$B,[1]Sheet1!$N:$N,0)</f>
        <v>0</v>
      </c>
      <c r="L255" s="12">
        <f>_xlfn.XLOOKUP(B255,[1]Sheet1!$B:$B,[1]Sheet1!$O:$O,0)</f>
        <v>0</v>
      </c>
      <c r="M255" s="12">
        <f>_xlfn.XLOOKUP(B255,[1]Sheet1!$B:$B,[1]Sheet1!$P:$P,0)</f>
        <v>0</v>
      </c>
      <c r="N255" s="12">
        <f>_xlfn.XLOOKUP(B255,[1]Sheet1!$B:$B,[1]Sheet1!$Q:$Q,0)</f>
        <v>0</v>
      </c>
      <c r="O255" s="12">
        <f>_xlfn.XLOOKUP(B255,[1]Sheet1!$B:$B,[1]Sheet1!$R:$R,0)</f>
        <v>2200000</v>
      </c>
      <c r="P255" s="12">
        <f>_xlfn.XLOOKUP(B255,[1]Sheet1!$B:$B,[1]Sheet1!$S:$S,0)</f>
        <v>0</v>
      </c>
      <c r="Q255" s="12">
        <f>_xlfn.XLOOKUP(B255,[1]Sheet1!$B:$B,[1]Sheet1!$T:$T,0)</f>
        <v>0</v>
      </c>
      <c r="R255" s="12">
        <f>_xlfn.XLOOKUP(B255,[1]Sheet1!$B:$B,[1]Sheet1!$U:$U,0)</f>
        <v>0</v>
      </c>
      <c r="S255" s="12">
        <f>_xlfn.XLOOKUP(B255,[1]Sheet1!$B:$B,[1]Sheet1!$V:$V,0)</f>
        <v>0</v>
      </c>
      <c r="T255" s="12">
        <f>_xlfn.XLOOKUP(B255,[1]Sheet1!$B:$B,[1]Sheet1!$W:$W,0)</f>
        <v>2300000</v>
      </c>
      <c r="U255" s="12">
        <f>_xlfn.XLOOKUP(B255,[1]Sheet1!$B:$B,[1]Sheet1!$X:$X,0)</f>
        <v>0</v>
      </c>
      <c r="V255" s="12">
        <f>_xlfn.XLOOKUP(B255,[1]Sheet1!$B:$B,[1]Sheet1!$Y:$Y,0)</f>
        <v>1000000</v>
      </c>
      <c r="W255" s="12">
        <f t="shared" si="9"/>
        <v>5500000</v>
      </c>
      <c r="X255" s="8" t="s">
        <v>518</v>
      </c>
      <c r="Y255" s="8" t="s">
        <v>211</v>
      </c>
      <c r="Z255" s="8" t="s">
        <v>512</v>
      </c>
      <c r="AA255" s="8" t="s">
        <v>30</v>
      </c>
      <c r="AB255" s="8" t="s">
        <v>36</v>
      </c>
      <c r="AC255" s="8" t="s">
        <v>37</v>
      </c>
      <c r="AD255" s="8" t="s">
        <v>342</v>
      </c>
      <c r="AE255" s="8" t="s">
        <v>39</v>
      </c>
      <c r="AF255" s="8" t="s">
        <v>40</v>
      </c>
      <c r="AG255" s="9">
        <v>5500000</v>
      </c>
      <c r="AH255" s="11">
        <f>_xlfn.XLOOKUP(B255,[1]Sheet1!$B:$B,[1]Sheet1!$AB:$AB,0)</f>
        <v>5500000</v>
      </c>
    </row>
    <row r="256" spans="2:34" ht="16.8" thickTop="1" thickBot="1" x14ac:dyDescent="0.35">
      <c r="B256" s="3" t="str">
        <f t="shared" si="8"/>
        <v>45154004511000394Mission &amp; Travel-N423821200104</v>
      </c>
      <c r="C256" s="6" t="s">
        <v>213</v>
      </c>
      <c r="D256" s="6" t="s">
        <v>519</v>
      </c>
      <c r="E256" s="6" t="s">
        <v>520</v>
      </c>
      <c r="F256" s="6" t="s">
        <v>54</v>
      </c>
      <c r="G256" s="4" t="s">
        <v>2805</v>
      </c>
      <c r="H256" s="4" t="s">
        <v>2922</v>
      </c>
      <c r="I256" s="6" t="s">
        <v>55</v>
      </c>
      <c r="J256" s="6" t="s">
        <v>31</v>
      </c>
      <c r="K256" s="12">
        <f>_xlfn.XLOOKUP(B256,[1]Sheet1!$B:$B,[1]Sheet1!$N:$N,0)</f>
        <v>0</v>
      </c>
      <c r="L256" s="12">
        <f>_xlfn.XLOOKUP(B256,[1]Sheet1!$B:$B,[1]Sheet1!$O:$O,0)</f>
        <v>0</v>
      </c>
      <c r="M256" s="12">
        <f>_xlfn.XLOOKUP(B256,[1]Sheet1!$B:$B,[1]Sheet1!$P:$P,0)</f>
        <v>0</v>
      </c>
      <c r="N256" s="12">
        <f>_xlfn.XLOOKUP(B256,[1]Sheet1!$B:$B,[1]Sheet1!$Q:$Q,0)</f>
        <v>0</v>
      </c>
      <c r="O256" s="12">
        <f>_xlfn.XLOOKUP(B256,[1]Sheet1!$B:$B,[1]Sheet1!$R:$R,0)</f>
        <v>10000</v>
      </c>
      <c r="P256" s="12">
        <f>_xlfn.XLOOKUP(B256,[1]Sheet1!$B:$B,[1]Sheet1!$S:$S,0)</f>
        <v>0</v>
      </c>
      <c r="Q256" s="12">
        <f>_xlfn.XLOOKUP(B256,[1]Sheet1!$B:$B,[1]Sheet1!$T:$T,0)</f>
        <v>0</v>
      </c>
      <c r="R256" s="12">
        <f>_xlfn.XLOOKUP(B256,[1]Sheet1!$B:$B,[1]Sheet1!$U:$U,0)</f>
        <v>15300</v>
      </c>
      <c r="S256" s="12">
        <f>_xlfn.XLOOKUP(B256,[1]Sheet1!$B:$B,[1]Sheet1!$V:$V,0)</f>
        <v>0</v>
      </c>
      <c r="T256" s="12">
        <f>_xlfn.XLOOKUP(B256,[1]Sheet1!$B:$B,[1]Sheet1!$W:$W,0)</f>
        <v>0</v>
      </c>
      <c r="U256" s="12">
        <f>_xlfn.XLOOKUP(B256,[1]Sheet1!$B:$B,[1]Sheet1!$X:$X,0)</f>
        <v>8700</v>
      </c>
      <c r="V256" s="12">
        <f>_xlfn.XLOOKUP(B256,[1]Sheet1!$B:$B,[1]Sheet1!$Y:$Y,0)</f>
        <v>0</v>
      </c>
      <c r="W256" s="12">
        <f t="shared" si="9"/>
        <v>34000</v>
      </c>
      <c r="X256" s="6" t="s">
        <v>216</v>
      </c>
      <c r="Y256" s="6" t="s">
        <v>211</v>
      </c>
      <c r="Z256" s="6" t="s">
        <v>212</v>
      </c>
      <c r="AA256" s="6" t="s">
        <v>55</v>
      </c>
      <c r="AB256" s="6" t="s">
        <v>36</v>
      </c>
      <c r="AC256" s="6" t="s">
        <v>37</v>
      </c>
      <c r="AD256" s="6" t="s">
        <v>214</v>
      </c>
      <c r="AE256" s="6" t="s">
        <v>39</v>
      </c>
      <c r="AF256" s="6" t="s">
        <v>40</v>
      </c>
      <c r="AG256" s="7">
        <v>34000</v>
      </c>
      <c r="AH256" s="11">
        <f>_xlfn.XLOOKUP(B256,[1]Sheet1!$B:$B,[1]Sheet1!$AB:$AB,0)</f>
        <v>34000</v>
      </c>
    </row>
    <row r="257" spans="2:34" ht="16.8" thickTop="1" thickBot="1" x14ac:dyDescent="0.35">
      <c r="B257" s="3" t="str">
        <f t="shared" si="8"/>
        <v>45155004511000403Co-Invest Events-N422401200104</v>
      </c>
      <c r="C257" s="8" t="s">
        <v>513</v>
      </c>
      <c r="D257" s="8" t="s">
        <v>521</v>
      </c>
      <c r="E257" s="8" t="s">
        <v>522</v>
      </c>
      <c r="F257" s="8" t="s">
        <v>523</v>
      </c>
      <c r="G257" s="4" t="s">
        <v>2807</v>
      </c>
      <c r="H257" s="4" t="s">
        <v>2922</v>
      </c>
      <c r="I257" s="8" t="s">
        <v>63</v>
      </c>
      <c r="J257" s="8" t="s">
        <v>31</v>
      </c>
      <c r="K257" s="12">
        <f>_xlfn.XLOOKUP(B257,[1]Sheet1!$B:$B,[1]Sheet1!$N:$N,0)</f>
        <v>0</v>
      </c>
      <c r="L257" s="12">
        <f>_xlfn.XLOOKUP(B257,[1]Sheet1!$B:$B,[1]Sheet1!$O:$O,0)</f>
        <v>0</v>
      </c>
      <c r="M257" s="12">
        <f>_xlfn.XLOOKUP(B257,[1]Sheet1!$B:$B,[1]Sheet1!$P:$P,0)</f>
        <v>40000000</v>
      </c>
      <c r="N257" s="12">
        <f>_xlfn.XLOOKUP(B257,[1]Sheet1!$B:$B,[1]Sheet1!$Q:$Q,0)</f>
        <v>0</v>
      </c>
      <c r="O257" s="12">
        <f>_xlfn.XLOOKUP(B257,[1]Sheet1!$B:$B,[1]Sheet1!$R:$R,0)</f>
        <v>0</v>
      </c>
      <c r="P257" s="12">
        <f>_xlfn.XLOOKUP(B257,[1]Sheet1!$B:$B,[1]Sheet1!$S:$S,0)</f>
        <v>0</v>
      </c>
      <c r="Q257" s="12">
        <f>_xlfn.XLOOKUP(B257,[1]Sheet1!$B:$B,[1]Sheet1!$T:$T,0)</f>
        <v>0</v>
      </c>
      <c r="R257" s="12">
        <f>_xlfn.XLOOKUP(B257,[1]Sheet1!$B:$B,[1]Sheet1!$U:$U,0)</f>
        <v>0</v>
      </c>
      <c r="S257" s="12">
        <f>_xlfn.XLOOKUP(B257,[1]Sheet1!$B:$B,[1]Sheet1!$V:$V,0)</f>
        <v>40000000</v>
      </c>
      <c r="T257" s="12">
        <f>_xlfn.XLOOKUP(B257,[1]Sheet1!$B:$B,[1]Sheet1!$W:$W,0)</f>
        <v>0</v>
      </c>
      <c r="U257" s="12">
        <f>_xlfn.XLOOKUP(B257,[1]Sheet1!$B:$B,[1]Sheet1!$X:$X,0)</f>
        <v>0</v>
      </c>
      <c r="V257" s="12">
        <f>_xlfn.XLOOKUP(B257,[1]Sheet1!$B:$B,[1]Sheet1!$Y:$Y,0)</f>
        <v>0</v>
      </c>
      <c r="W257" s="12">
        <f t="shared" si="9"/>
        <v>80000000</v>
      </c>
      <c r="X257" s="8" t="s">
        <v>524</v>
      </c>
      <c r="Y257" s="8" t="s">
        <v>211</v>
      </c>
      <c r="Z257" s="8" t="s">
        <v>512</v>
      </c>
      <c r="AA257" s="8" t="s">
        <v>68</v>
      </c>
      <c r="AB257" s="8" t="s">
        <v>36</v>
      </c>
      <c r="AC257" s="8" t="s">
        <v>37</v>
      </c>
      <c r="AD257" s="8" t="s">
        <v>342</v>
      </c>
      <c r="AE257" s="8" t="s">
        <v>39</v>
      </c>
      <c r="AF257" s="8" t="s">
        <v>40</v>
      </c>
      <c r="AG257" s="9">
        <v>80000000</v>
      </c>
      <c r="AH257" s="11">
        <f>_xlfn.XLOOKUP(B257,[1]Sheet1!$B:$B,[1]Sheet1!$AB:$AB,0)</f>
        <v>80000000</v>
      </c>
    </row>
    <row r="258" spans="2:34" ht="16.8" thickTop="1" thickBot="1" x14ac:dyDescent="0.35">
      <c r="B258" s="3" t="str">
        <f t="shared" si="8"/>
        <v>45155004511000403Talent Fees-N422511200104</v>
      </c>
      <c r="C258" s="6" t="s">
        <v>513</v>
      </c>
      <c r="D258" s="6" t="s">
        <v>521</v>
      </c>
      <c r="E258" s="6" t="s">
        <v>522</v>
      </c>
      <c r="F258" s="6" t="s">
        <v>262</v>
      </c>
      <c r="G258" s="4" t="s">
        <v>2819</v>
      </c>
      <c r="H258" s="4" t="s">
        <v>2922</v>
      </c>
      <c r="I258" s="6" t="s">
        <v>151</v>
      </c>
      <c r="J258" s="6" t="s">
        <v>31</v>
      </c>
      <c r="K258" s="12">
        <f>_xlfn.XLOOKUP(B258,[1]Sheet1!$B:$B,[1]Sheet1!$N:$N,0)</f>
        <v>0</v>
      </c>
      <c r="L258" s="12">
        <f>_xlfn.XLOOKUP(B258,[1]Sheet1!$B:$B,[1]Sheet1!$O:$O,0)</f>
        <v>0</v>
      </c>
      <c r="M258" s="12">
        <f>_xlfn.XLOOKUP(B258,[1]Sheet1!$B:$B,[1]Sheet1!$P:$P,0)</f>
        <v>43040000</v>
      </c>
      <c r="N258" s="12">
        <f>_xlfn.XLOOKUP(B258,[1]Sheet1!$B:$B,[1]Sheet1!$Q:$Q,0)</f>
        <v>0</v>
      </c>
      <c r="O258" s="12">
        <f>_xlfn.XLOOKUP(B258,[1]Sheet1!$B:$B,[1]Sheet1!$R:$R,0)</f>
        <v>0</v>
      </c>
      <c r="P258" s="12">
        <f>_xlfn.XLOOKUP(B258,[1]Sheet1!$B:$B,[1]Sheet1!$S:$S,0)</f>
        <v>3460000</v>
      </c>
      <c r="Q258" s="12">
        <f>_xlfn.XLOOKUP(B258,[1]Sheet1!$B:$B,[1]Sheet1!$T:$T,0)</f>
        <v>0</v>
      </c>
      <c r="R258" s="12">
        <f>_xlfn.XLOOKUP(B258,[1]Sheet1!$B:$B,[1]Sheet1!$U:$U,0)</f>
        <v>0</v>
      </c>
      <c r="S258" s="12">
        <f>_xlfn.XLOOKUP(B258,[1]Sheet1!$B:$B,[1]Sheet1!$V:$V,0)</f>
        <v>0</v>
      </c>
      <c r="T258" s="12">
        <f>_xlfn.XLOOKUP(B258,[1]Sheet1!$B:$B,[1]Sheet1!$W:$W,0)</f>
        <v>0</v>
      </c>
      <c r="U258" s="12">
        <f>_xlfn.XLOOKUP(B258,[1]Sheet1!$B:$B,[1]Sheet1!$X:$X,0)</f>
        <v>0</v>
      </c>
      <c r="V258" s="12">
        <f>_xlfn.XLOOKUP(B258,[1]Sheet1!$B:$B,[1]Sheet1!$Y:$Y,0)</f>
        <v>0</v>
      </c>
      <c r="W258" s="12">
        <f t="shared" si="9"/>
        <v>46500000</v>
      </c>
      <c r="X258" s="6" t="s">
        <v>525</v>
      </c>
      <c r="Y258" s="6" t="s">
        <v>211</v>
      </c>
      <c r="Z258" s="6" t="s">
        <v>512</v>
      </c>
      <c r="AA258" s="6" t="s">
        <v>151</v>
      </c>
      <c r="AB258" s="6" t="s">
        <v>36</v>
      </c>
      <c r="AC258" s="6" t="s">
        <v>37</v>
      </c>
      <c r="AD258" s="6" t="s">
        <v>342</v>
      </c>
      <c r="AE258" s="6" t="s">
        <v>39</v>
      </c>
      <c r="AF258" s="6" t="s">
        <v>40</v>
      </c>
      <c r="AG258" s="7">
        <v>46500000</v>
      </c>
      <c r="AH258" s="11">
        <f>_xlfn.XLOOKUP(B258,[1]Sheet1!$B:$B,[1]Sheet1!$AB:$AB,0)</f>
        <v>46500000</v>
      </c>
    </row>
    <row r="259" spans="2:34" ht="16.8" thickTop="1" thickBot="1" x14ac:dyDescent="0.35">
      <c r="B259" s="3" t="str">
        <f t="shared" si="8"/>
        <v>45112504511000422Art Materials-N1432626200104</v>
      </c>
      <c r="C259" s="8" t="s">
        <v>67</v>
      </c>
      <c r="D259" s="8" t="s">
        <v>526</v>
      </c>
      <c r="E259" s="8" t="s">
        <v>527</v>
      </c>
      <c r="F259" s="8" t="s">
        <v>75</v>
      </c>
      <c r="G259" s="4" t="s">
        <v>2809</v>
      </c>
      <c r="H259" s="4" t="s">
        <v>2922</v>
      </c>
      <c r="I259" s="8" t="s">
        <v>76</v>
      </c>
      <c r="J259" s="8" t="s">
        <v>31</v>
      </c>
      <c r="K259" s="12">
        <f>_xlfn.XLOOKUP(B259,[1]Sheet1!$B:$B,[1]Sheet1!$N:$N,0)</f>
        <v>0</v>
      </c>
      <c r="L259" s="12">
        <f>_xlfn.XLOOKUP(B259,[1]Sheet1!$B:$B,[1]Sheet1!$O:$O,0)</f>
        <v>0</v>
      </c>
      <c r="M259" s="12">
        <f>_xlfn.XLOOKUP(B259,[1]Sheet1!$B:$B,[1]Sheet1!$P:$P,0)</f>
        <v>0</v>
      </c>
      <c r="N259" s="12">
        <f>_xlfn.XLOOKUP(B259,[1]Sheet1!$B:$B,[1]Sheet1!$Q:$Q,0)</f>
        <v>16333</v>
      </c>
      <c r="O259" s="12">
        <f>_xlfn.XLOOKUP(B259,[1]Sheet1!$B:$B,[1]Sheet1!$R:$R,0)</f>
        <v>0</v>
      </c>
      <c r="P259" s="12">
        <f>_xlfn.XLOOKUP(B259,[1]Sheet1!$B:$B,[1]Sheet1!$S:$S,0)</f>
        <v>0</v>
      </c>
      <c r="Q259" s="12">
        <f>_xlfn.XLOOKUP(B259,[1]Sheet1!$B:$B,[1]Sheet1!$T:$T,0)</f>
        <v>0</v>
      </c>
      <c r="R259" s="12">
        <f>_xlfn.XLOOKUP(B259,[1]Sheet1!$B:$B,[1]Sheet1!$U:$U,0)</f>
        <v>16501</v>
      </c>
      <c r="S259" s="12">
        <f>_xlfn.XLOOKUP(B259,[1]Sheet1!$B:$B,[1]Sheet1!$V:$V,0)</f>
        <v>0</v>
      </c>
      <c r="T259" s="12">
        <f>_xlfn.XLOOKUP(B259,[1]Sheet1!$B:$B,[1]Sheet1!$W:$W,0)</f>
        <v>0</v>
      </c>
      <c r="U259" s="12">
        <f>_xlfn.XLOOKUP(B259,[1]Sheet1!$B:$B,[1]Sheet1!$X:$X,0)</f>
        <v>0</v>
      </c>
      <c r="V259" s="12">
        <f>_xlfn.XLOOKUP(B259,[1]Sheet1!$B:$B,[1]Sheet1!$Y:$Y,0)</f>
        <v>16666</v>
      </c>
      <c r="W259" s="12">
        <f t="shared" si="9"/>
        <v>49500</v>
      </c>
      <c r="X259" s="8" t="s">
        <v>77</v>
      </c>
      <c r="Y259" s="8" t="s">
        <v>65</v>
      </c>
      <c r="Z259" s="8" t="s">
        <v>66</v>
      </c>
      <c r="AA259" s="8" t="s">
        <v>78</v>
      </c>
      <c r="AB259" s="8" t="s">
        <v>36</v>
      </c>
      <c r="AC259" s="8" t="s">
        <v>37</v>
      </c>
      <c r="AD259" s="8" t="s">
        <v>69</v>
      </c>
      <c r="AE259" s="8" t="s">
        <v>39</v>
      </c>
      <c r="AF259" s="8" t="s">
        <v>40</v>
      </c>
      <c r="AG259" s="9">
        <v>49500</v>
      </c>
      <c r="AH259" s="11">
        <f>_xlfn.XLOOKUP(B259,[1]Sheet1!$B:$B,[1]Sheet1!$AB:$AB,0)</f>
        <v>49500</v>
      </c>
    </row>
    <row r="260" spans="2:34" ht="16.8" thickTop="1" thickBot="1" x14ac:dyDescent="0.35">
      <c r="B260" s="3" t="str">
        <f t="shared" ref="B260:B323" si="10">C260&amp;D260&amp;F260&amp;G260&amp;H260</f>
        <v>45112504511000422Freelancers-N424521200104</v>
      </c>
      <c r="C260" s="6" t="s">
        <v>67</v>
      </c>
      <c r="D260" s="6" t="s">
        <v>526</v>
      </c>
      <c r="E260" s="6" t="s">
        <v>527</v>
      </c>
      <c r="F260" s="6" t="s">
        <v>50</v>
      </c>
      <c r="G260" s="4" t="s">
        <v>2804</v>
      </c>
      <c r="H260" s="4" t="s">
        <v>2922</v>
      </c>
      <c r="I260" s="6" t="s">
        <v>51</v>
      </c>
      <c r="J260" s="6" t="s">
        <v>31</v>
      </c>
      <c r="K260" s="12">
        <f>_xlfn.XLOOKUP(B260,[1]Sheet1!$B:$B,[1]Sheet1!$N:$N,0)</f>
        <v>0</v>
      </c>
      <c r="L260" s="12">
        <f>_xlfn.XLOOKUP(B260,[1]Sheet1!$B:$B,[1]Sheet1!$O:$O,0)</f>
        <v>0</v>
      </c>
      <c r="M260" s="12">
        <f>_xlfn.XLOOKUP(B260,[1]Sheet1!$B:$B,[1]Sheet1!$P:$P,0)</f>
        <v>174352</v>
      </c>
      <c r="N260" s="12">
        <f>_xlfn.XLOOKUP(B260,[1]Sheet1!$B:$B,[1]Sheet1!$Q:$Q,0)</f>
        <v>202152</v>
      </c>
      <c r="O260" s="12">
        <f>_xlfn.XLOOKUP(B260,[1]Sheet1!$B:$B,[1]Sheet1!$R:$R,0)</f>
        <v>93876</v>
      </c>
      <c r="P260" s="12">
        <f>_xlfn.XLOOKUP(B260,[1]Sheet1!$B:$B,[1]Sheet1!$S:$S,0)</f>
        <v>160120</v>
      </c>
      <c r="Q260" s="12">
        <f>_xlfn.XLOOKUP(B260,[1]Sheet1!$B:$B,[1]Sheet1!$T:$T,0)</f>
        <v>93876</v>
      </c>
      <c r="R260" s="12">
        <f>_xlfn.XLOOKUP(B260,[1]Sheet1!$B:$B,[1]Sheet1!$U:$U,0)</f>
        <v>93876</v>
      </c>
      <c r="S260" s="12">
        <f>_xlfn.XLOOKUP(B260,[1]Sheet1!$B:$B,[1]Sheet1!$V:$V,0)</f>
        <v>93876</v>
      </c>
      <c r="T260" s="12">
        <f>_xlfn.XLOOKUP(B260,[1]Sheet1!$B:$B,[1]Sheet1!$W:$W,0)</f>
        <v>93876</v>
      </c>
      <c r="U260" s="12">
        <f>_xlfn.XLOOKUP(B260,[1]Sheet1!$B:$B,[1]Sheet1!$X:$X,0)</f>
        <v>93876</v>
      </c>
      <c r="V260" s="12">
        <f>_xlfn.XLOOKUP(B260,[1]Sheet1!$B:$B,[1]Sheet1!$Y:$Y,0)</f>
        <v>160120</v>
      </c>
      <c r="W260" s="12">
        <f t="shared" ref="W260:W323" si="11">SUM(K260:V260)</f>
        <v>1260000</v>
      </c>
      <c r="X260" s="6" t="s">
        <v>280</v>
      </c>
      <c r="Y260" s="6" t="s">
        <v>65</v>
      </c>
      <c r="Z260" s="6" t="s">
        <v>66</v>
      </c>
      <c r="AA260" s="6" t="s">
        <v>53</v>
      </c>
      <c r="AB260" s="6" t="s">
        <v>36</v>
      </c>
      <c r="AC260" s="6" t="s">
        <v>37</v>
      </c>
      <c r="AD260" s="6" t="s">
        <v>192</v>
      </c>
      <c r="AE260" s="6" t="s">
        <v>39</v>
      </c>
      <c r="AF260" s="6" t="s">
        <v>40</v>
      </c>
      <c r="AG260" s="7">
        <v>1125000</v>
      </c>
      <c r="AH260" s="11">
        <f>_xlfn.XLOOKUP(B260,[1]Sheet1!$B:$B,[1]Sheet1!$AB:$AB,0)</f>
        <v>1125000</v>
      </c>
    </row>
    <row r="261" spans="2:34" ht="16.8" thickTop="1" thickBot="1" x14ac:dyDescent="0.35">
      <c r="B261" s="3" t="str">
        <f t="shared" si="10"/>
        <v>45117504511000423Event Management-N422401200104</v>
      </c>
      <c r="C261" s="8" t="s">
        <v>118</v>
      </c>
      <c r="D261" s="8" t="s">
        <v>528</v>
      </c>
      <c r="E261" s="8" t="s">
        <v>529</v>
      </c>
      <c r="F261" s="8" t="s">
        <v>162</v>
      </c>
      <c r="G261" s="4" t="s">
        <v>2807</v>
      </c>
      <c r="H261" s="4" t="s">
        <v>2922</v>
      </c>
      <c r="I261" s="8" t="s">
        <v>63</v>
      </c>
      <c r="J261" s="8" t="s">
        <v>31</v>
      </c>
      <c r="K261" s="12">
        <f>_xlfn.XLOOKUP(B261,[1]Sheet1!$B:$B,[1]Sheet1!$N:$N,0)</f>
        <v>0</v>
      </c>
      <c r="L261" s="12">
        <f>_xlfn.XLOOKUP(B261,[1]Sheet1!$B:$B,[1]Sheet1!$O:$O,0)</f>
        <v>0</v>
      </c>
      <c r="M261" s="12">
        <f>_xlfn.XLOOKUP(B261,[1]Sheet1!$B:$B,[1]Sheet1!$P:$P,0)</f>
        <v>0</v>
      </c>
      <c r="N261" s="12">
        <f>_xlfn.XLOOKUP(B261,[1]Sheet1!$B:$B,[1]Sheet1!$Q:$Q,0)</f>
        <v>14845516.699999999</v>
      </c>
      <c r="O261" s="12">
        <f>_xlfn.XLOOKUP(B261,[1]Sheet1!$B:$B,[1]Sheet1!$R:$R,0)</f>
        <v>8907310.0199999996</v>
      </c>
      <c r="P261" s="12">
        <f>_xlfn.XLOOKUP(B261,[1]Sheet1!$B:$B,[1]Sheet1!$S:$S,0)</f>
        <v>5938206.6799999997</v>
      </c>
      <c r="Q261" s="12">
        <f>_xlfn.XLOOKUP(B261,[1]Sheet1!$B:$B,[1]Sheet1!$T:$T,0)</f>
        <v>3308967</v>
      </c>
      <c r="R261" s="12">
        <f>_xlfn.XLOOKUP(B261,[1]Sheet1!$B:$B,[1]Sheet1!$U:$U,0)</f>
        <v>0</v>
      </c>
      <c r="S261" s="12">
        <f>_xlfn.XLOOKUP(B261,[1]Sheet1!$B:$B,[1]Sheet1!$V:$V,0)</f>
        <v>0</v>
      </c>
      <c r="T261" s="12">
        <f>_xlfn.XLOOKUP(B261,[1]Sheet1!$B:$B,[1]Sheet1!$W:$W,0)</f>
        <v>0</v>
      </c>
      <c r="U261" s="12">
        <f>_xlfn.XLOOKUP(B261,[1]Sheet1!$B:$B,[1]Sheet1!$X:$X,0)</f>
        <v>0</v>
      </c>
      <c r="V261" s="12">
        <f>_xlfn.XLOOKUP(B261,[1]Sheet1!$B:$B,[1]Sheet1!$Y:$Y,0)</f>
        <v>0</v>
      </c>
      <c r="W261" s="12">
        <f t="shared" si="11"/>
        <v>33000000.399999999</v>
      </c>
      <c r="X261" s="8" t="s">
        <v>388</v>
      </c>
      <c r="Y261" s="8" t="s">
        <v>65</v>
      </c>
      <c r="Z261" s="8" t="s">
        <v>117</v>
      </c>
      <c r="AA261" s="8" t="s">
        <v>68</v>
      </c>
      <c r="AB261" s="8" t="s">
        <v>36</v>
      </c>
      <c r="AC261" s="8" t="s">
        <v>37</v>
      </c>
      <c r="AD261" s="8" t="s">
        <v>102</v>
      </c>
      <c r="AE261" s="8" t="s">
        <v>39</v>
      </c>
      <c r="AF261" s="8" t="s">
        <v>40</v>
      </c>
      <c r="AG261" s="9">
        <v>27214475</v>
      </c>
      <c r="AH261" s="11">
        <f>_xlfn.XLOOKUP(B261,[1]Sheet1!$B:$B,[1]Sheet1!$AB:$AB,0)</f>
        <v>27214475</v>
      </c>
    </row>
    <row r="262" spans="2:34" ht="16.8" thickTop="1" thickBot="1" x14ac:dyDescent="0.35">
      <c r="B262" s="3" t="str">
        <f t="shared" si="10"/>
        <v>45115504511000423Media Mgmnt &amp;Buy-N422511200104</v>
      </c>
      <c r="C262" s="6" t="s">
        <v>154</v>
      </c>
      <c r="D262" s="6" t="s">
        <v>528</v>
      </c>
      <c r="E262" s="6" t="s">
        <v>529</v>
      </c>
      <c r="F262" s="6" t="s">
        <v>166</v>
      </c>
      <c r="G262" s="4" t="s">
        <v>2819</v>
      </c>
      <c r="H262" s="4" t="s">
        <v>2922</v>
      </c>
      <c r="I262" s="6" t="s">
        <v>151</v>
      </c>
      <c r="J262" s="6" t="s">
        <v>31</v>
      </c>
      <c r="K262" s="12">
        <f>_xlfn.XLOOKUP(B262,[1]Sheet1!$B:$B,[1]Sheet1!$N:$N,0)</f>
        <v>0</v>
      </c>
      <c r="L262" s="12">
        <f>_xlfn.XLOOKUP(B262,[1]Sheet1!$B:$B,[1]Sheet1!$O:$O,0)</f>
        <v>0</v>
      </c>
      <c r="M262" s="12">
        <f>_xlfn.XLOOKUP(B262,[1]Sheet1!$B:$B,[1]Sheet1!$P:$P,0)</f>
        <v>0</v>
      </c>
      <c r="N262" s="12">
        <f>_xlfn.XLOOKUP(B262,[1]Sheet1!$B:$B,[1]Sheet1!$Q:$Q,0)</f>
        <v>0</v>
      </c>
      <c r="O262" s="12">
        <f>_xlfn.XLOOKUP(B262,[1]Sheet1!$B:$B,[1]Sheet1!$R:$R,0)</f>
        <v>0</v>
      </c>
      <c r="P262" s="12">
        <f>_xlfn.XLOOKUP(B262,[1]Sheet1!$B:$B,[1]Sheet1!$S:$S,0)</f>
        <v>0</v>
      </c>
      <c r="Q262" s="12">
        <f>_xlfn.XLOOKUP(B262,[1]Sheet1!$B:$B,[1]Sheet1!$T:$T,0)</f>
        <v>508100</v>
      </c>
      <c r="R262" s="12">
        <f>_xlfn.XLOOKUP(B262,[1]Sheet1!$B:$B,[1]Sheet1!$U:$U,0)</f>
        <v>0</v>
      </c>
      <c r="S262" s="12">
        <f>_xlfn.XLOOKUP(B262,[1]Sheet1!$B:$B,[1]Sheet1!$V:$V,0)</f>
        <v>0</v>
      </c>
      <c r="T262" s="12">
        <f>_xlfn.XLOOKUP(B262,[1]Sheet1!$B:$B,[1]Sheet1!$W:$W,0)</f>
        <v>0</v>
      </c>
      <c r="U262" s="12">
        <f>_xlfn.XLOOKUP(B262,[1]Sheet1!$B:$B,[1]Sheet1!$X:$X,0)</f>
        <v>0</v>
      </c>
      <c r="V262" s="12">
        <f>_xlfn.XLOOKUP(B262,[1]Sheet1!$B:$B,[1]Sheet1!$Y:$Y,0)</f>
        <v>200000</v>
      </c>
      <c r="W262" s="12">
        <f t="shared" si="11"/>
        <v>708100</v>
      </c>
      <c r="X262" s="6" t="s">
        <v>167</v>
      </c>
      <c r="Y262" s="6" t="s">
        <v>65</v>
      </c>
      <c r="Z262" s="6" t="s">
        <v>153</v>
      </c>
      <c r="AA262" s="6" t="s">
        <v>151</v>
      </c>
      <c r="AB262" s="6" t="s">
        <v>36</v>
      </c>
      <c r="AC262" s="6" t="s">
        <v>37</v>
      </c>
      <c r="AD262" s="6" t="s">
        <v>102</v>
      </c>
      <c r="AE262" s="6" t="s">
        <v>39</v>
      </c>
      <c r="AF262" s="6" t="s">
        <v>40</v>
      </c>
      <c r="AG262" s="7">
        <v>708100</v>
      </c>
      <c r="AH262" s="11">
        <f>_xlfn.XLOOKUP(B262,[1]Sheet1!$B:$B,[1]Sheet1!$AB:$AB,0)</f>
        <v>708100</v>
      </c>
    </row>
    <row r="263" spans="2:34" ht="16.8" thickTop="1" thickBot="1" x14ac:dyDescent="0.35">
      <c r="B263" s="3" t="str">
        <f t="shared" si="10"/>
        <v>45115504511000423SM Managnt E-E-N422511200104</v>
      </c>
      <c r="C263" s="8" t="s">
        <v>154</v>
      </c>
      <c r="D263" s="8" t="s">
        <v>528</v>
      </c>
      <c r="E263" s="8" t="s">
        <v>529</v>
      </c>
      <c r="F263" s="8" t="s">
        <v>255</v>
      </c>
      <c r="G263" s="4" t="s">
        <v>2819</v>
      </c>
      <c r="H263" s="4" t="s">
        <v>2922</v>
      </c>
      <c r="I263" s="8" t="s">
        <v>151</v>
      </c>
      <c r="J263" s="8" t="s">
        <v>31</v>
      </c>
      <c r="K263" s="12">
        <f>_xlfn.XLOOKUP(B263,[1]Sheet1!$B:$B,[1]Sheet1!$N:$N,0)</f>
        <v>0</v>
      </c>
      <c r="L263" s="12">
        <f>_xlfn.XLOOKUP(B263,[1]Sheet1!$B:$B,[1]Sheet1!$O:$O,0)</f>
        <v>0</v>
      </c>
      <c r="M263" s="12">
        <f>_xlfn.XLOOKUP(B263,[1]Sheet1!$B:$B,[1]Sheet1!$P:$P,0)</f>
        <v>0</v>
      </c>
      <c r="N263" s="12">
        <f>_xlfn.XLOOKUP(B263,[1]Sheet1!$B:$B,[1]Sheet1!$Q:$Q,0)</f>
        <v>0</v>
      </c>
      <c r="O263" s="12">
        <f>_xlfn.XLOOKUP(B263,[1]Sheet1!$B:$B,[1]Sheet1!$R:$R,0)</f>
        <v>0</v>
      </c>
      <c r="P263" s="12">
        <f>_xlfn.XLOOKUP(B263,[1]Sheet1!$B:$B,[1]Sheet1!$S:$S,0)</f>
        <v>0</v>
      </c>
      <c r="Q263" s="12">
        <f>_xlfn.XLOOKUP(B263,[1]Sheet1!$B:$B,[1]Sheet1!$T:$T,0)</f>
        <v>425000</v>
      </c>
      <c r="R263" s="12">
        <f>_xlfn.XLOOKUP(B263,[1]Sheet1!$B:$B,[1]Sheet1!$U:$U,0)</f>
        <v>0</v>
      </c>
      <c r="S263" s="12">
        <f>_xlfn.XLOOKUP(B263,[1]Sheet1!$B:$B,[1]Sheet1!$V:$V,0)</f>
        <v>0</v>
      </c>
      <c r="T263" s="12">
        <f>_xlfn.XLOOKUP(B263,[1]Sheet1!$B:$B,[1]Sheet1!$W:$W,0)</f>
        <v>0</v>
      </c>
      <c r="U263" s="12">
        <f>_xlfn.XLOOKUP(B263,[1]Sheet1!$B:$B,[1]Sheet1!$X:$X,0)</f>
        <v>0</v>
      </c>
      <c r="V263" s="12">
        <f>_xlfn.XLOOKUP(B263,[1]Sheet1!$B:$B,[1]Sheet1!$Y:$Y,0)</f>
        <v>0</v>
      </c>
      <c r="W263" s="12">
        <f t="shared" si="11"/>
        <v>425000</v>
      </c>
      <c r="X263" s="8" t="s">
        <v>167</v>
      </c>
      <c r="Y263" s="8" t="s">
        <v>65</v>
      </c>
      <c r="Z263" s="8" t="s">
        <v>153</v>
      </c>
      <c r="AA263" s="8" t="s">
        <v>151</v>
      </c>
      <c r="AB263" s="8" t="s">
        <v>36</v>
      </c>
      <c r="AC263" s="8" t="s">
        <v>37</v>
      </c>
      <c r="AD263" s="8" t="s">
        <v>102</v>
      </c>
      <c r="AE263" s="8" t="s">
        <v>39</v>
      </c>
      <c r="AF263" s="8" t="s">
        <v>40</v>
      </c>
      <c r="AG263" s="9">
        <v>425000</v>
      </c>
      <c r="AH263" s="11">
        <f>_xlfn.XLOOKUP(B263,[1]Sheet1!$B:$B,[1]Sheet1!$AB:$AB,0)</f>
        <v>425000</v>
      </c>
    </row>
    <row r="264" spans="2:34" ht="16.8" thickTop="1" thickBot="1" x14ac:dyDescent="0.35">
      <c r="B264" s="3" t="str">
        <f t="shared" si="10"/>
        <v>45112504511000434Admin Expenses-N1421125200104</v>
      </c>
      <c r="C264" s="6" t="s">
        <v>67</v>
      </c>
      <c r="D264" s="6" t="s">
        <v>530</v>
      </c>
      <c r="E264" s="6" t="s">
        <v>531</v>
      </c>
      <c r="F264" s="6" t="s">
        <v>73</v>
      </c>
      <c r="G264" s="4" t="s">
        <v>2803</v>
      </c>
      <c r="H264" s="4" t="s">
        <v>2922</v>
      </c>
      <c r="I264" s="6" t="s">
        <v>44</v>
      </c>
      <c r="J264" s="6" t="s">
        <v>31</v>
      </c>
      <c r="K264" s="12">
        <f>_xlfn.XLOOKUP(B264,[1]Sheet1!$B:$B,[1]Sheet1!$N:$N,0)</f>
        <v>0</v>
      </c>
      <c r="L264" s="12">
        <f>_xlfn.XLOOKUP(B264,[1]Sheet1!$B:$B,[1]Sheet1!$O:$O,0)</f>
        <v>0</v>
      </c>
      <c r="M264" s="12">
        <f>_xlfn.XLOOKUP(B264,[1]Sheet1!$B:$B,[1]Sheet1!$P:$P,0)</f>
        <v>0</v>
      </c>
      <c r="N264" s="12">
        <f>_xlfn.XLOOKUP(B264,[1]Sheet1!$B:$B,[1]Sheet1!$Q:$Q,0)</f>
        <v>2754375</v>
      </c>
      <c r="O264" s="12">
        <f>_xlfn.XLOOKUP(B264,[1]Sheet1!$B:$B,[1]Sheet1!$R:$R,0)</f>
        <v>0</v>
      </c>
      <c r="P264" s="12">
        <f>_xlfn.XLOOKUP(B264,[1]Sheet1!$B:$B,[1]Sheet1!$S:$S,0)</f>
        <v>0</v>
      </c>
      <c r="Q264" s="12">
        <f>_xlfn.XLOOKUP(B264,[1]Sheet1!$B:$B,[1]Sheet1!$T:$T,0)</f>
        <v>0</v>
      </c>
      <c r="R264" s="12">
        <f>_xlfn.XLOOKUP(B264,[1]Sheet1!$B:$B,[1]Sheet1!$U:$U,0)</f>
        <v>0</v>
      </c>
      <c r="S264" s="12">
        <f>_xlfn.XLOOKUP(B264,[1]Sheet1!$B:$B,[1]Sheet1!$V:$V,0)</f>
        <v>0</v>
      </c>
      <c r="T264" s="12">
        <f>_xlfn.XLOOKUP(B264,[1]Sheet1!$B:$B,[1]Sheet1!$W:$W,0)</f>
        <v>2758195</v>
      </c>
      <c r="U264" s="12">
        <f>_xlfn.XLOOKUP(B264,[1]Sheet1!$B:$B,[1]Sheet1!$X:$X,0)</f>
        <v>0</v>
      </c>
      <c r="V264" s="12">
        <f>_xlfn.XLOOKUP(B264,[1]Sheet1!$B:$B,[1]Sheet1!$Y:$Y,0)</f>
        <v>0</v>
      </c>
      <c r="W264" s="12">
        <f t="shared" si="11"/>
        <v>5512570</v>
      </c>
      <c r="X264" s="6" t="s">
        <v>74</v>
      </c>
      <c r="Y264" s="6" t="s">
        <v>65</v>
      </c>
      <c r="Z264" s="6" t="s">
        <v>66</v>
      </c>
      <c r="AA264" s="6" t="s">
        <v>44</v>
      </c>
      <c r="AB264" s="6" t="s">
        <v>36</v>
      </c>
      <c r="AC264" s="6" t="s">
        <v>37</v>
      </c>
      <c r="AD264" s="6" t="s">
        <v>69</v>
      </c>
      <c r="AE264" s="6" t="s">
        <v>39</v>
      </c>
      <c r="AF264" s="6" t="s">
        <v>40</v>
      </c>
      <c r="AG264" s="7">
        <v>5512570</v>
      </c>
      <c r="AH264" s="11">
        <f>_xlfn.XLOOKUP(B264,[1]Sheet1!$B:$B,[1]Sheet1!$AB:$AB,0)</f>
        <v>5512570</v>
      </c>
    </row>
    <row r="265" spans="2:34" ht="16.8" thickTop="1" thickBot="1" x14ac:dyDescent="0.35">
      <c r="B265" s="3" t="str">
        <f t="shared" si="10"/>
        <v>45112504511000434Facilities Rent-N425112200104</v>
      </c>
      <c r="C265" s="8" t="s">
        <v>67</v>
      </c>
      <c r="D265" s="8" t="s">
        <v>530</v>
      </c>
      <c r="E265" s="8" t="s">
        <v>531</v>
      </c>
      <c r="F265" s="8" t="s">
        <v>532</v>
      </c>
      <c r="G265" s="4" t="s">
        <v>2848</v>
      </c>
      <c r="H265" s="4" t="s">
        <v>2922</v>
      </c>
      <c r="I265" s="8" t="s">
        <v>533</v>
      </c>
      <c r="J265" s="8" t="s">
        <v>31</v>
      </c>
      <c r="K265" s="12">
        <f>_xlfn.XLOOKUP(B265,[1]Sheet1!$B:$B,[1]Sheet1!$N:$N,0)</f>
        <v>0</v>
      </c>
      <c r="L265" s="12">
        <f>_xlfn.XLOOKUP(B265,[1]Sheet1!$B:$B,[1]Sheet1!$O:$O,0)</f>
        <v>0</v>
      </c>
      <c r="M265" s="12">
        <f>_xlfn.XLOOKUP(B265,[1]Sheet1!$B:$B,[1]Sheet1!$P:$P,0)</f>
        <v>0</v>
      </c>
      <c r="N265" s="12">
        <f>_xlfn.XLOOKUP(B265,[1]Sheet1!$B:$B,[1]Sheet1!$Q:$Q,0)</f>
        <v>0</v>
      </c>
      <c r="O265" s="12">
        <f>_xlfn.XLOOKUP(B265,[1]Sheet1!$B:$B,[1]Sheet1!$R:$R,0)</f>
        <v>864000</v>
      </c>
      <c r="P265" s="12">
        <f>_xlfn.XLOOKUP(B265,[1]Sheet1!$B:$B,[1]Sheet1!$S:$S,0)</f>
        <v>0</v>
      </c>
      <c r="Q265" s="12">
        <f>_xlfn.XLOOKUP(B265,[1]Sheet1!$B:$B,[1]Sheet1!$T:$T,0)</f>
        <v>0</v>
      </c>
      <c r="R265" s="12">
        <f>_xlfn.XLOOKUP(B265,[1]Sheet1!$B:$B,[1]Sheet1!$U:$U,0)</f>
        <v>0</v>
      </c>
      <c r="S265" s="12">
        <f>_xlfn.XLOOKUP(B265,[1]Sheet1!$B:$B,[1]Sheet1!$V:$V,0)</f>
        <v>0</v>
      </c>
      <c r="T265" s="12">
        <f>_xlfn.XLOOKUP(B265,[1]Sheet1!$B:$B,[1]Sheet1!$W:$W,0)</f>
        <v>0</v>
      </c>
      <c r="U265" s="12">
        <f>_xlfn.XLOOKUP(B265,[1]Sheet1!$B:$B,[1]Sheet1!$X:$X,0)</f>
        <v>0</v>
      </c>
      <c r="V265" s="12">
        <f>_xlfn.XLOOKUP(B265,[1]Sheet1!$B:$B,[1]Sheet1!$Y:$Y,0)</f>
        <v>0</v>
      </c>
      <c r="W265" s="12">
        <f t="shared" si="11"/>
        <v>864000</v>
      </c>
      <c r="X265" s="8" t="s">
        <v>534</v>
      </c>
      <c r="Y265" s="8" t="s">
        <v>65</v>
      </c>
      <c r="Z265" s="8" t="s">
        <v>66</v>
      </c>
      <c r="AA265" s="8" t="s">
        <v>533</v>
      </c>
      <c r="AB265" s="8" t="s">
        <v>36</v>
      </c>
      <c r="AC265" s="8" t="s">
        <v>37</v>
      </c>
      <c r="AD265" s="8" t="s">
        <v>69</v>
      </c>
      <c r="AE265" s="8" t="s">
        <v>39</v>
      </c>
      <c r="AF265" s="8" t="s">
        <v>40</v>
      </c>
      <c r="AG265" s="9">
        <v>864000</v>
      </c>
      <c r="AH265" s="11">
        <f>_xlfn.XLOOKUP(B265,[1]Sheet1!$B:$B,[1]Sheet1!$AB:$AB,0)</f>
        <v>864000</v>
      </c>
    </row>
    <row r="266" spans="2:34" ht="16.8" thickTop="1" thickBot="1" x14ac:dyDescent="0.35">
      <c r="B266" s="3" t="str">
        <f t="shared" si="10"/>
        <v>45112504511000434Freelancers-N424521200104</v>
      </c>
      <c r="C266" s="6" t="s">
        <v>67</v>
      </c>
      <c r="D266" s="6" t="s">
        <v>530</v>
      </c>
      <c r="E266" s="6" t="s">
        <v>531</v>
      </c>
      <c r="F266" s="6" t="s">
        <v>50</v>
      </c>
      <c r="G266" s="4" t="s">
        <v>2804</v>
      </c>
      <c r="H266" s="4" t="s">
        <v>2922</v>
      </c>
      <c r="I266" s="6" t="s">
        <v>51</v>
      </c>
      <c r="J266" s="6" t="s">
        <v>31</v>
      </c>
      <c r="K266" s="12">
        <f>_xlfn.XLOOKUP(B266,[1]Sheet1!$B:$B,[1]Sheet1!$N:$N,0)</f>
        <v>0</v>
      </c>
      <c r="L266" s="12">
        <f>_xlfn.XLOOKUP(B266,[1]Sheet1!$B:$B,[1]Sheet1!$O:$O,0)</f>
        <v>0</v>
      </c>
      <c r="M266" s="12">
        <f>_xlfn.XLOOKUP(B266,[1]Sheet1!$B:$B,[1]Sheet1!$P:$P,0)</f>
        <v>0</v>
      </c>
      <c r="N266" s="12">
        <f>_xlfn.XLOOKUP(B266,[1]Sheet1!$B:$B,[1]Sheet1!$Q:$Q,0)</f>
        <v>48000</v>
      </c>
      <c r="O266" s="12">
        <f>_xlfn.XLOOKUP(B266,[1]Sheet1!$B:$B,[1]Sheet1!$R:$R,0)</f>
        <v>12000</v>
      </c>
      <c r="P266" s="12">
        <f>_xlfn.XLOOKUP(B266,[1]Sheet1!$B:$B,[1]Sheet1!$S:$S,0)</f>
        <v>12000</v>
      </c>
      <c r="Q266" s="12">
        <f>_xlfn.XLOOKUP(B266,[1]Sheet1!$B:$B,[1]Sheet1!$T:$T,0)</f>
        <v>12000</v>
      </c>
      <c r="R266" s="12">
        <f>_xlfn.XLOOKUP(B266,[1]Sheet1!$B:$B,[1]Sheet1!$U:$U,0)</f>
        <v>12000</v>
      </c>
      <c r="S266" s="12">
        <f>_xlfn.XLOOKUP(B266,[1]Sheet1!$B:$B,[1]Sheet1!$V:$V,0)</f>
        <v>12000</v>
      </c>
      <c r="T266" s="12">
        <f>_xlfn.XLOOKUP(B266,[1]Sheet1!$B:$B,[1]Sheet1!$W:$W,0)</f>
        <v>12000</v>
      </c>
      <c r="U266" s="12">
        <f>_xlfn.XLOOKUP(B266,[1]Sheet1!$B:$B,[1]Sheet1!$X:$X,0)</f>
        <v>12000</v>
      </c>
      <c r="V266" s="12">
        <f>_xlfn.XLOOKUP(B266,[1]Sheet1!$B:$B,[1]Sheet1!$Y:$Y,0)</f>
        <v>12000</v>
      </c>
      <c r="W266" s="12">
        <f t="shared" si="11"/>
        <v>144000</v>
      </c>
      <c r="X266" s="6" t="s">
        <v>82</v>
      </c>
      <c r="Y266" s="6" t="s">
        <v>65</v>
      </c>
      <c r="Z266" s="6" t="s">
        <v>66</v>
      </c>
      <c r="AA266" s="6" t="s">
        <v>53</v>
      </c>
      <c r="AB266" s="6" t="s">
        <v>36</v>
      </c>
      <c r="AC266" s="6" t="s">
        <v>37</v>
      </c>
      <c r="AD266" s="6" t="s">
        <v>69</v>
      </c>
      <c r="AE266" s="6" t="s">
        <v>39</v>
      </c>
      <c r="AF266" s="6" t="s">
        <v>40</v>
      </c>
      <c r="AG266" s="7">
        <v>144000</v>
      </c>
      <c r="AH266" s="11">
        <f>_xlfn.XLOOKUP(B266,[1]Sheet1!$B:$B,[1]Sheet1!$AB:$AB,0)</f>
        <v>144000</v>
      </c>
    </row>
    <row r="267" spans="2:34" ht="16.8" thickTop="1" thickBot="1" x14ac:dyDescent="0.35">
      <c r="B267" s="3" t="str">
        <f t="shared" si="10"/>
        <v>45112504511000434Manpower-N424521200104</v>
      </c>
      <c r="C267" s="8" t="s">
        <v>67</v>
      </c>
      <c r="D267" s="8" t="s">
        <v>530</v>
      </c>
      <c r="E267" s="8" t="s">
        <v>531</v>
      </c>
      <c r="F267" s="8" t="s">
        <v>98</v>
      </c>
      <c r="G267" s="4" t="s">
        <v>2804</v>
      </c>
      <c r="H267" s="4" t="s">
        <v>2922</v>
      </c>
      <c r="I267" s="8" t="s">
        <v>51</v>
      </c>
      <c r="J267" s="8" t="s">
        <v>31</v>
      </c>
      <c r="K267" s="12">
        <f>_xlfn.XLOOKUP(B267,[1]Sheet1!$B:$B,[1]Sheet1!$N:$N,0)</f>
        <v>0</v>
      </c>
      <c r="L267" s="12">
        <f>_xlfn.XLOOKUP(B267,[1]Sheet1!$B:$B,[1]Sheet1!$O:$O,0)</f>
        <v>0</v>
      </c>
      <c r="M267" s="12">
        <f>_xlfn.XLOOKUP(B267,[1]Sheet1!$B:$B,[1]Sheet1!$P:$P,0)</f>
        <v>51788.88</v>
      </c>
      <c r="N267" s="12">
        <f>_xlfn.XLOOKUP(B267,[1]Sheet1!$B:$B,[1]Sheet1!$Q:$Q,0)</f>
        <v>89683</v>
      </c>
      <c r="O267" s="12">
        <f>_xlfn.XLOOKUP(B267,[1]Sheet1!$B:$B,[1]Sheet1!$R:$R,0)</f>
        <v>25894.440000000002</v>
      </c>
      <c r="P267" s="12">
        <f>_xlfn.XLOOKUP(B267,[1]Sheet1!$B:$B,[1]Sheet1!$S:$S,0)</f>
        <v>25894.440000000002</v>
      </c>
      <c r="Q267" s="12">
        <f>_xlfn.XLOOKUP(B267,[1]Sheet1!$B:$B,[1]Sheet1!$T:$T,0)</f>
        <v>25894.440000000002</v>
      </c>
      <c r="R267" s="12">
        <f>_xlfn.XLOOKUP(B267,[1]Sheet1!$B:$B,[1]Sheet1!$U:$U,0)</f>
        <v>25894.440000000002</v>
      </c>
      <c r="S267" s="12">
        <f>_xlfn.XLOOKUP(B267,[1]Sheet1!$B:$B,[1]Sheet1!$V:$V,0)</f>
        <v>101683.32</v>
      </c>
      <c r="T267" s="12">
        <f>_xlfn.XLOOKUP(B267,[1]Sheet1!$B:$B,[1]Sheet1!$W:$W,0)</f>
        <v>25894.440000000002</v>
      </c>
      <c r="U267" s="12">
        <f>_xlfn.XLOOKUP(B267,[1]Sheet1!$B:$B,[1]Sheet1!$X:$X,0)</f>
        <v>139956</v>
      </c>
      <c r="V267" s="12">
        <f>_xlfn.XLOOKUP(B267,[1]Sheet1!$B:$B,[1]Sheet1!$Y:$Y,0)</f>
        <v>71157</v>
      </c>
      <c r="W267" s="12">
        <f t="shared" si="11"/>
        <v>583740.4</v>
      </c>
      <c r="X267" s="8" t="s">
        <v>82</v>
      </c>
      <c r="Y267" s="8" t="s">
        <v>65</v>
      </c>
      <c r="Z267" s="8" t="s">
        <v>66</v>
      </c>
      <c r="AA267" s="8" t="s">
        <v>53</v>
      </c>
      <c r="AB267" s="8" t="s">
        <v>36</v>
      </c>
      <c r="AC267" s="8" t="s">
        <v>37</v>
      </c>
      <c r="AD267" s="8" t="s">
        <v>69</v>
      </c>
      <c r="AE267" s="8" t="s">
        <v>39</v>
      </c>
      <c r="AF267" s="8" t="s">
        <v>40</v>
      </c>
      <c r="AG267" s="9">
        <v>583740</v>
      </c>
      <c r="AH267" s="11">
        <f>_xlfn.XLOOKUP(B267,[1]Sheet1!$B:$B,[1]Sheet1!$AB:$AB,0)</f>
        <v>583740.4</v>
      </c>
    </row>
    <row r="268" spans="2:34" ht="16.8" thickTop="1" thickBot="1" x14ac:dyDescent="0.35">
      <c r="B268" s="3" t="str">
        <f t="shared" si="10"/>
        <v>45115504511000434Media Mgmnt &amp;Buy-N422511200104</v>
      </c>
      <c r="C268" s="6" t="s">
        <v>154</v>
      </c>
      <c r="D268" s="6" t="s">
        <v>530</v>
      </c>
      <c r="E268" s="6" t="s">
        <v>531</v>
      </c>
      <c r="F268" s="6" t="s">
        <v>166</v>
      </c>
      <c r="G268" s="4" t="s">
        <v>2819</v>
      </c>
      <c r="H268" s="4" t="s">
        <v>2922</v>
      </c>
      <c r="I268" s="6" t="s">
        <v>151</v>
      </c>
      <c r="J268" s="6" t="s">
        <v>31</v>
      </c>
      <c r="K268" s="12">
        <f>_xlfn.XLOOKUP(B268,[1]Sheet1!$B:$B,[1]Sheet1!$N:$N,0)</f>
        <v>0</v>
      </c>
      <c r="L268" s="12">
        <f>_xlfn.XLOOKUP(B268,[1]Sheet1!$B:$B,[1]Sheet1!$O:$O,0)</f>
        <v>0</v>
      </c>
      <c r="M268" s="12">
        <f>_xlfn.XLOOKUP(B268,[1]Sheet1!$B:$B,[1]Sheet1!$P:$P,0)</f>
        <v>0</v>
      </c>
      <c r="N268" s="12">
        <f>_xlfn.XLOOKUP(B268,[1]Sheet1!$B:$B,[1]Sheet1!$Q:$Q,0)</f>
        <v>0</v>
      </c>
      <c r="O268" s="12">
        <f>_xlfn.XLOOKUP(B268,[1]Sheet1!$B:$B,[1]Sheet1!$R:$R,0)</f>
        <v>0</v>
      </c>
      <c r="P268" s="12">
        <f>_xlfn.XLOOKUP(B268,[1]Sheet1!$B:$B,[1]Sheet1!$S:$S,0)</f>
        <v>0</v>
      </c>
      <c r="Q268" s="12">
        <f>_xlfn.XLOOKUP(B268,[1]Sheet1!$B:$B,[1]Sheet1!$T:$T,0)</f>
        <v>50000</v>
      </c>
      <c r="R268" s="12">
        <f>_xlfn.XLOOKUP(B268,[1]Sheet1!$B:$B,[1]Sheet1!$U:$U,0)</f>
        <v>50000</v>
      </c>
      <c r="S268" s="12">
        <f>_xlfn.XLOOKUP(B268,[1]Sheet1!$B:$B,[1]Sheet1!$V:$V,0)</f>
        <v>50000</v>
      </c>
      <c r="T268" s="12">
        <f>_xlfn.XLOOKUP(B268,[1]Sheet1!$B:$B,[1]Sheet1!$W:$W,0)</f>
        <v>67926</v>
      </c>
      <c r="U268" s="12">
        <f>_xlfn.XLOOKUP(B268,[1]Sheet1!$B:$B,[1]Sheet1!$X:$X,0)</f>
        <v>0</v>
      </c>
      <c r="V268" s="12">
        <f>_xlfn.XLOOKUP(B268,[1]Sheet1!$B:$B,[1]Sheet1!$Y:$Y,0)</f>
        <v>0</v>
      </c>
      <c r="W268" s="12">
        <f t="shared" si="11"/>
        <v>217926</v>
      </c>
      <c r="X268" s="6" t="s">
        <v>152</v>
      </c>
      <c r="Y268" s="6" t="s">
        <v>65</v>
      </c>
      <c r="Z268" s="6" t="s">
        <v>153</v>
      </c>
      <c r="AA268" s="6" t="s">
        <v>151</v>
      </c>
      <c r="AB268" s="6" t="s">
        <v>36</v>
      </c>
      <c r="AC268" s="6" t="s">
        <v>37</v>
      </c>
      <c r="AD268" s="6" t="s">
        <v>69</v>
      </c>
      <c r="AE268" s="6" t="s">
        <v>39</v>
      </c>
      <c r="AF268" s="6" t="s">
        <v>40</v>
      </c>
      <c r="AG268" s="7">
        <v>217926</v>
      </c>
      <c r="AH268" s="11">
        <f>_xlfn.XLOOKUP(B268,[1]Sheet1!$B:$B,[1]Sheet1!$AB:$AB,0)</f>
        <v>217926</v>
      </c>
    </row>
    <row r="269" spans="2:34" ht="16.8" thickTop="1" thickBot="1" x14ac:dyDescent="0.35">
      <c r="B269" s="3" t="str">
        <f t="shared" si="10"/>
        <v>45115504511000434PR Mgmnt E-E-N424781200104</v>
      </c>
      <c r="C269" s="8" t="s">
        <v>154</v>
      </c>
      <c r="D269" s="8" t="s">
        <v>530</v>
      </c>
      <c r="E269" s="8" t="s">
        <v>531</v>
      </c>
      <c r="F269" s="8" t="s">
        <v>99</v>
      </c>
      <c r="G269" s="4" t="s">
        <v>2815</v>
      </c>
      <c r="H269" s="4" t="s">
        <v>2922</v>
      </c>
      <c r="I269" s="8" t="s">
        <v>100</v>
      </c>
      <c r="J269" s="8" t="s">
        <v>31</v>
      </c>
      <c r="K269" s="12">
        <f>_xlfn.XLOOKUP(B269,[1]Sheet1!$B:$B,[1]Sheet1!$N:$N,0)</f>
        <v>0</v>
      </c>
      <c r="L269" s="12">
        <f>_xlfn.XLOOKUP(B269,[1]Sheet1!$B:$B,[1]Sheet1!$O:$O,0)</f>
        <v>0</v>
      </c>
      <c r="M269" s="12">
        <f>_xlfn.XLOOKUP(B269,[1]Sheet1!$B:$B,[1]Sheet1!$P:$P,0)</f>
        <v>0</v>
      </c>
      <c r="N269" s="12">
        <f>_xlfn.XLOOKUP(B269,[1]Sheet1!$B:$B,[1]Sheet1!$Q:$Q,0)</f>
        <v>0</v>
      </c>
      <c r="O269" s="12">
        <f>_xlfn.XLOOKUP(B269,[1]Sheet1!$B:$B,[1]Sheet1!$R:$R,0)</f>
        <v>0</v>
      </c>
      <c r="P269" s="12">
        <f>_xlfn.XLOOKUP(B269,[1]Sheet1!$B:$B,[1]Sheet1!$S:$S,0)</f>
        <v>0</v>
      </c>
      <c r="Q269" s="12">
        <f>_xlfn.XLOOKUP(B269,[1]Sheet1!$B:$B,[1]Sheet1!$T:$T,0)</f>
        <v>0</v>
      </c>
      <c r="R269" s="12">
        <f>_xlfn.XLOOKUP(B269,[1]Sheet1!$B:$B,[1]Sheet1!$U:$U,0)</f>
        <v>0</v>
      </c>
      <c r="S269" s="12">
        <f>_xlfn.XLOOKUP(B269,[1]Sheet1!$B:$B,[1]Sheet1!$V:$V,0)</f>
        <v>0</v>
      </c>
      <c r="T269" s="12">
        <f>_xlfn.XLOOKUP(B269,[1]Sheet1!$B:$B,[1]Sheet1!$W:$W,0)</f>
        <v>0</v>
      </c>
      <c r="U269" s="12">
        <f>_xlfn.XLOOKUP(B269,[1]Sheet1!$B:$B,[1]Sheet1!$X:$X,0)</f>
        <v>0</v>
      </c>
      <c r="V269" s="12">
        <f>_xlfn.XLOOKUP(B269,[1]Sheet1!$B:$B,[1]Sheet1!$Y:$Y,0)</f>
        <v>0</v>
      </c>
      <c r="W269" s="12">
        <f t="shared" si="11"/>
        <v>0</v>
      </c>
      <c r="X269" s="8" t="s">
        <v>535</v>
      </c>
      <c r="Y269" s="8" t="s">
        <v>65</v>
      </c>
      <c r="Z269" s="8" t="s">
        <v>153</v>
      </c>
      <c r="AA269" s="8" t="s">
        <v>100</v>
      </c>
      <c r="AB269" s="8" t="s">
        <v>36</v>
      </c>
      <c r="AC269" s="8" t="s">
        <v>37</v>
      </c>
      <c r="AD269" s="8" t="s">
        <v>102</v>
      </c>
      <c r="AE269" s="8" t="s">
        <v>39</v>
      </c>
      <c r="AF269" s="8" t="s">
        <v>40</v>
      </c>
      <c r="AG269" s="9">
        <v>20700</v>
      </c>
      <c r="AH269" s="11">
        <f>_xlfn.XLOOKUP(B269,[1]Sheet1!$B:$B,[1]Sheet1!$AB:$AB,0)</f>
        <v>0</v>
      </c>
    </row>
    <row r="270" spans="2:34" ht="16.8" thickTop="1" thickBot="1" x14ac:dyDescent="0.35">
      <c r="B270" s="3" t="str">
        <f t="shared" si="10"/>
        <v>45115504511000434SM Managnt E-E-N422511200104</v>
      </c>
      <c r="C270" s="6" t="s">
        <v>154</v>
      </c>
      <c r="D270" s="6" t="s">
        <v>530</v>
      </c>
      <c r="E270" s="6" t="s">
        <v>531</v>
      </c>
      <c r="F270" s="6" t="s">
        <v>255</v>
      </c>
      <c r="G270" s="4" t="s">
        <v>2819</v>
      </c>
      <c r="H270" s="4" t="s">
        <v>2922</v>
      </c>
      <c r="I270" s="6" t="s">
        <v>151</v>
      </c>
      <c r="J270" s="6" t="s">
        <v>31</v>
      </c>
      <c r="K270" s="12">
        <f>_xlfn.XLOOKUP(B270,[1]Sheet1!$B:$B,[1]Sheet1!$N:$N,0)</f>
        <v>0</v>
      </c>
      <c r="L270" s="12">
        <f>_xlfn.XLOOKUP(B270,[1]Sheet1!$B:$B,[1]Sheet1!$O:$O,0)</f>
        <v>0</v>
      </c>
      <c r="M270" s="12">
        <f>_xlfn.XLOOKUP(B270,[1]Sheet1!$B:$B,[1]Sheet1!$P:$P,0)</f>
        <v>0</v>
      </c>
      <c r="N270" s="12">
        <f>_xlfn.XLOOKUP(B270,[1]Sheet1!$B:$B,[1]Sheet1!$Q:$Q,0)</f>
        <v>156000</v>
      </c>
      <c r="O270" s="12">
        <f>_xlfn.XLOOKUP(B270,[1]Sheet1!$B:$B,[1]Sheet1!$R:$R,0)</f>
        <v>39000</v>
      </c>
      <c r="P270" s="12">
        <f>_xlfn.XLOOKUP(B270,[1]Sheet1!$B:$B,[1]Sheet1!$S:$S,0)</f>
        <v>39000</v>
      </c>
      <c r="Q270" s="12">
        <f>_xlfn.XLOOKUP(B270,[1]Sheet1!$B:$B,[1]Sheet1!$T:$T,0)</f>
        <v>39000</v>
      </c>
      <c r="R270" s="12">
        <f>_xlfn.XLOOKUP(B270,[1]Sheet1!$B:$B,[1]Sheet1!$U:$U,0)</f>
        <v>39000</v>
      </c>
      <c r="S270" s="12">
        <f>_xlfn.XLOOKUP(B270,[1]Sheet1!$B:$B,[1]Sheet1!$V:$V,0)</f>
        <v>39000</v>
      </c>
      <c r="T270" s="12">
        <f>_xlfn.XLOOKUP(B270,[1]Sheet1!$B:$B,[1]Sheet1!$W:$W,0)</f>
        <v>39000</v>
      </c>
      <c r="U270" s="12">
        <f>_xlfn.XLOOKUP(B270,[1]Sheet1!$B:$B,[1]Sheet1!$X:$X,0)</f>
        <v>39000</v>
      </c>
      <c r="V270" s="12">
        <f>_xlfn.XLOOKUP(B270,[1]Sheet1!$B:$B,[1]Sheet1!$Y:$Y,0)</f>
        <v>39000</v>
      </c>
      <c r="W270" s="12">
        <f t="shared" si="11"/>
        <v>468000</v>
      </c>
      <c r="X270" s="6" t="s">
        <v>167</v>
      </c>
      <c r="Y270" s="6" t="s">
        <v>65</v>
      </c>
      <c r="Z270" s="6" t="s">
        <v>153</v>
      </c>
      <c r="AA270" s="6" t="s">
        <v>151</v>
      </c>
      <c r="AB270" s="6" t="s">
        <v>36</v>
      </c>
      <c r="AC270" s="6" t="s">
        <v>37</v>
      </c>
      <c r="AD270" s="6" t="s">
        <v>102</v>
      </c>
      <c r="AE270" s="6" t="s">
        <v>39</v>
      </c>
      <c r="AF270" s="6" t="s">
        <v>40</v>
      </c>
      <c r="AG270" s="7">
        <v>468000</v>
      </c>
      <c r="AH270" s="11">
        <f>_xlfn.XLOOKUP(B270,[1]Sheet1!$B:$B,[1]Sheet1!$AB:$AB,0)</f>
        <v>468000</v>
      </c>
    </row>
    <row r="271" spans="2:34" ht="16.8" thickTop="1" thickBot="1" x14ac:dyDescent="0.35">
      <c r="B271" s="3" t="str">
        <f t="shared" si="10"/>
        <v>45112504511000434Scholarships-N422619200104</v>
      </c>
      <c r="C271" s="8" t="s">
        <v>67</v>
      </c>
      <c r="D271" s="8" t="s">
        <v>530</v>
      </c>
      <c r="E271" s="8" t="s">
        <v>531</v>
      </c>
      <c r="F271" s="8" t="s">
        <v>536</v>
      </c>
      <c r="G271" s="4" t="s">
        <v>2849</v>
      </c>
      <c r="H271" s="4" t="s">
        <v>2922</v>
      </c>
      <c r="I271" s="8" t="s">
        <v>537</v>
      </c>
      <c r="J271" s="8" t="s">
        <v>31</v>
      </c>
      <c r="K271" s="12">
        <f>_xlfn.XLOOKUP(B271,[1]Sheet1!$B:$B,[1]Sheet1!$N:$N,0)</f>
        <v>0</v>
      </c>
      <c r="L271" s="12">
        <f>_xlfn.XLOOKUP(B271,[1]Sheet1!$B:$B,[1]Sheet1!$O:$O,0)</f>
        <v>0</v>
      </c>
      <c r="M271" s="12">
        <f>_xlfn.XLOOKUP(B271,[1]Sheet1!$B:$B,[1]Sheet1!$P:$P,0)</f>
        <v>0</v>
      </c>
      <c r="N271" s="12">
        <f>_xlfn.XLOOKUP(B271,[1]Sheet1!$B:$B,[1]Sheet1!$Q:$Q,0)</f>
        <v>0</v>
      </c>
      <c r="O271" s="12">
        <f>_xlfn.XLOOKUP(B271,[1]Sheet1!$B:$B,[1]Sheet1!$R:$R,0)</f>
        <v>0</v>
      </c>
      <c r="P271" s="12">
        <f>_xlfn.XLOOKUP(B271,[1]Sheet1!$B:$B,[1]Sheet1!$S:$S,0)</f>
        <v>0</v>
      </c>
      <c r="Q271" s="12">
        <f>_xlfn.XLOOKUP(B271,[1]Sheet1!$B:$B,[1]Sheet1!$T:$T,0)</f>
        <v>0</v>
      </c>
      <c r="R271" s="12">
        <f>_xlfn.XLOOKUP(B271,[1]Sheet1!$B:$B,[1]Sheet1!$U:$U,0)</f>
        <v>0</v>
      </c>
      <c r="S271" s="12">
        <f>_xlfn.XLOOKUP(B271,[1]Sheet1!$B:$B,[1]Sheet1!$V:$V,0)</f>
        <v>0</v>
      </c>
      <c r="T271" s="12">
        <f>_xlfn.XLOOKUP(B271,[1]Sheet1!$B:$B,[1]Sheet1!$W:$W,0)</f>
        <v>0</v>
      </c>
      <c r="U271" s="12">
        <f>_xlfn.XLOOKUP(B271,[1]Sheet1!$B:$B,[1]Sheet1!$X:$X,0)</f>
        <v>3700000</v>
      </c>
      <c r="V271" s="12">
        <f>_xlfn.XLOOKUP(B271,[1]Sheet1!$B:$B,[1]Sheet1!$Y:$Y,0)</f>
        <v>0</v>
      </c>
      <c r="W271" s="12">
        <f t="shared" si="11"/>
        <v>3700000</v>
      </c>
      <c r="X271" s="8" t="s">
        <v>538</v>
      </c>
      <c r="Y271" s="8" t="s">
        <v>65</v>
      </c>
      <c r="Z271" s="8" t="s">
        <v>66</v>
      </c>
      <c r="AA271" s="8" t="s">
        <v>537</v>
      </c>
      <c r="AB271" s="8" t="s">
        <v>36</v>
      </c>
      <c r="AC271" s="8" t="s">
        <v>37</v>
      </c>
      <c r="AD271" s="8" t="s">
        <v>69</v>
      </c>
      <c r="AE271" s="8" t="s">
        <v>39</v>
      </c>
      <c r="AF271" s="8" t="s">
        <v>40</v>
      </c>
      <c r="AG271" s="9">
        <v>3700000</v>
      </c>
      <c r="AH271" s="11">
        <f>_xlfn.XLOOKUP(B271,[1]Sheet1!$B:$B,[1]Sheet1!$AB:$AB,0)</f>
        <v>3700000</v>
      </c>
    </row>
    <row r="272" spans="2:34" ht="16.8" thickTop="1" thickBot="1" x14ac:dyDescent="0.35">
      <c r="B272" s="3" t="str">
        <f t="shared" si="10"/>
        <v>45102404511000439Freelancers-N424521200104</v>
      </c>
      <c r="C272" s="6" t="s">
        <v>197</v>
      </c>
      <c r="D272" s="6" t="s">
        <v>539</v>
      </c>
      <c r="E272" s="6" t="s">
        <v>540</v>
      </c>
      <c r="F272" s="6" t="s">
        <v>50</v>
      </c>
      <c r="G272" s="4" t="s">
        <v>2804</v>
      </c>
      <c r="H272" s="4" t="s">
        <v>2922</v>
      </c>
      <c r="I272" s="6" t="s">
        <v>51</v>
      </c>
      <c r="J272" s="6" t="s">
        <v>31</v>
      </c>
      <c r="K272" s="12">
        <f>_xlfn.XLOOKUP(B272,[1]Sheet1!$B:$B,[1]Sheet1!$N:$N,0)</f>
        <v>0</v>
      </c>
      <c r="L272" s="12">
        <f>_xlfn.XLOOKUP(B272,[1]Sheet1!$B:$B,[1]Sheet1!$O:$O,0)</f>
        <v>0</v>
      </c>
      <c r="M272" s="12">
        <f>_xlfn.XLOOKUP(B272,[1]Sheet1!$B:$B,[1]Sheet1!$P:$P,0)</f>
        <v>0</v>
      </c>
      <c r="N272" s="12">
        <f>_xlfn.XLOOKUP(B272,[1]Sheet1!$B:$B,[1]Sheet1!$Q:$Q,0)</f>
        <v>0</v>
      </c>
      <c r="O272" s="12">
        <f>_xlfn.XLOOKUP(B272,[1]Sheet1!$B:$B,[1]Sheet1!$R:$R,0)</f>
        <v>0</v>
      </c>
      <c r="P272" s="12">
        <f>_xlfn.XLOOKUP(B272,[1]Sheet1!$B:$B,[1]Sheet1!$S:$S,0)</f>
        <v>0</v>
      </c>
      <c r="Q272" s="12">
        <f>_xlfn.XLOOKUP(B272,[1]Sheet1!$B:$B,[1]Sheet1!$T:$T,0)</f>
        <v>0</v>
      </c>
      <c r="R272" s="12">
        <f>_xlfn.XLOOKUP(B272,[1]Sheet1!$B:$B,[1]Sheet1!$U:$U,0)</f>
        <v>0</v>
      </c>
      <c r="S272" s="12">
        <f>_xlfn.XLOOKUP(B272,[1]Sheet1!$B:$B,[1]Sheet1!$V:$V,0)</f>
        <v>0</v>
      </c>
      <c r="T272" s="12">
        <f>_xlfn.XLOOKUP(B272,[1]Sheet1!$B:$B,[1]Sheet1!$W:$W,0)</f>
        <v>0</v>
      </c>
      <c r="U272" s="12">
        <f>_xlfn.XLOOKUP(B272,[1]Sheet1!$B:$B,[1]Sheet1!$X:$X,0)</f>
        <v>0</v>
      </c>
      <c r="V272" s="12">
        <f>_xlfn.XLOOKUP(B272,[1]Sheet1!$B:$B,[1]Sheet1!$Y:$Y,0)</f>
        <v>0</v>
      </c>
      <c r="W272" s="12">
        <f t="shared" si="11"/>
        <v>0</v>
      </c>
      <c r="X272" s="6" t="s">
        <v>541</v>
      </c>
      <c r="Y272" s="6" t="s">
        <v>132</v>
      </c>
      <c r="Z272" s="6" t="s">
        <v>196</v>
      </c>
      <c r="AA272" s="6" t="s">
        <v>53</v>
      </c>
      <c r="AB272" s="6" t="s">
        <v>36</v>
      </c>
      <c r="AC272" s="6" t="s">
        <v>37</v>
      </c>
      <c r="AD272" s="6" t="s">
        <v>198</v>
      </c>
      <c r="AE272" s="6" t="s">
        <v>39</v>
      </c>
      <c r="AF272" s="6" t="s">
        <v>40</v>
      </c>
      <c r="AG272" s="7">
        <v>154000</v>
      </c>
      <c r="AH272" s="11">
        <f>_xlfn.XLOOKUP(B272,[1]Sheet1!$B:$B,[1]Sheet1!$AB:$AB,0)</f>
        <v>154000</v>
      </c>
    </row>
    <row r="273" spans="2:34" ht="16.8" thickTop="1" thickBot="1" x14ac:dyDescent="0.35">
      <c r="B273" s="3" t="str">
        <f t="shared" si="10"/>
        <v>45102404511000439Manpower-N424521200104</v>
      </c>
      <c r="C273" s="8" t="s">
        <v>197</v>
      </c>
      <c r="D273" s="8" t="s">
        <v>539</v>
      </c>
      <c r="E273" s="8" t="s">
        <v>540</v>
      </c>
      <c r="F273" s="8" t="s">
        <v>98</v>
      </c>
      <c r="G273" s="4" t="s">
        <v>2804</v>
      </c>
      <c r="H273" s="4" t="s">
        <v>2922</v>
      </c>
      <c r="I273" s="8" t="s">
        <v>51</v>
      </c>
      <c r="J273" s="8" t="s">
        <v>31</v>
      </c>
      <c r="K273" s="12">
        <f>_xlfn.XLOOKUP(B273,[1]Sheet1!$B:$B,[1]Sheet1!$N:$N,0)</f>
        <v>0</v>
      </c>
      <c r="L273" s="12">
        <f>_xlfn.XLOOKUP(B273,[1]Sheet1!$B:$B,[1]Sheet1!$O:$O,0)</f>
        <v>0</v>
      </c>
      <c r="M273" s="12">
        <f>_xlfn.XLOOKUP(B273,[1]Sheet1!$B:$B,[1]Sheet1!$P:$P,0)</f>
        <v>582421.39</v>
      </c>
      <c r="N273" s="12">
        <f>_xlfn.XLOOKUP(B273,[1]Sheet1!$B:$B,[1]Sheet1!$Q:$Q,0)</f>
        <v>210243.43000000005</v>
      </c>
      <c r="O273" s="12">
        <f>_xlfn.XLOOKUP(B273,[1]Sheet1!$B:$B,[1]Sheet1!$R:$R,0)</f>
        <v>196715</v>
      </c>
      <c r="P273" s="12">
        <f>_xlfn.XLOOKUP(B273,[1]Sheet1!$B:$B,[1]Sheet1!$S:$S,0)</f>
        <v>196715</v>
      </c>
      <c r="Q273" s="12">
        <f>_xlfn.XLOOKUP(B273,[1]Sheet1!$B:$B,[1]Sheet1!$T:$T,0)</f>
        <v>196715</v>
      </c>
      <c r="R273" s="12">
        <f>_xlfn.XLOOKUP(B273,[1]Sheet1!$B:$B,[1]Sheet1!$U:$U,0)</f>
        <v>196715</v>
      </c>
      <c r="S273" s="12">
        <f>_xlfn.XLOOKUP(B273,[1]Sheet1!$B:$B,[1]Sheet1!$V:$V,0)</f>
        <v>196715</v>
      </c>
      <c r="T273" s="12">
        <f>_xlfn.XLOOKUP(B273,[1]Sheet1!$B:$B,[1]Sheet1!$W:$W,0)</f>
        <v>196715</v>
      </c>
      <c r="U273" s="12">
        <f>_xlfn.XLOOKUP(B273,[1]Sheet1!$B:$B,[1]Sheet1!$X:$X,0)</f>
        <v>196715</v>
      </c>
      <c r="V273" s="12">
        <f>_xlfn.XLOOKUP(B273,[1]Sheet1!$B:$B,[1]Sheet1!$Y:$Y,0)</f>
        <v>196715</v>
      </c>
      <c r="W273" s="12">
        <f t="shared" si="11"/>
        <v>2366384.8200000003</v>
      </c>
      <c r="X273" s="8" t="s">
        <v>541</v>
      </c>
      <c r="Y273" s="8" t="s">
        <v>132</v>
      </c>
      <c r="Z273" s="8" t="s">
        <v>196</v>
      </c>
      <c r="AA273" s="8" t="s">
        <v>53</v>
      </c>
      <c r="AB273" s="8" t="s">
        <v>36</v>
      </c>
      <c r="AC273" s="8" t="s">
        <v>37</v>
      </c>
      <c r="AD273" s="8" t="s">
        <v>198</v>
      </c>
      <c r="AE273" s="8" t="s">
        <v>39</v>
      </c>
      <c r="AF273" s="8" t="s">
        <v>40</v>
      </c>
      <c r="AG273" s="9">
        <v>2396385</v>
      </c>
      <c r="AH273" s="11">
        <f>_xlfn.XLOOKUP(B273,[1]Sheet1!$B:$B,[1]Sheet1!$AB:$AB,0)</f>
        <v>2396384.8200000003</v>
      </c>
    </row>
    <row r="274" spans="2:34" ht="16.8" thickTop="1" thickBot="1" x14ac:dyDescent="0.35">
      <c r="B274" s="3" t="str">
        <f t="shared" si="10"/>
        <v>45102404511000439Mission &amp; Travel-N423821200104</v>
      </c>
      <c r="C274" s="6" t="s">
        <v>197</v>
      </c>
      <c r="D274" s="6" t="s">
        <v>539</v>
      </c>
      <c r="E274" s="6" t="s">
        <v>540</v>
      </c>
      <c r="F274" s="6" t="s">
        <v>54</v>
      </c>
      <c r="G274" s="4" t="s">
        <v>2805</v>
      </c>
      <c r="H274" s="4" t="s">
        <v>2922</v>
      </c>
      <c r="I274" s="6" t="s">
        <v>55</v>
      </c>
      <c r="J274" s="6" t="s">
        <v>31</v>
      </c>
      <c r="K274" s="12">
        <f>_xlfn.XLOOKUP(B274,[1]Sheet1!$B:$B,[1]Sheet1!$N:$N,0)</f>
        <v>0</v>
      </c>
      <c r="L274" s="12">
        <f>_xlfn.XLOOKUP(B274,[1]Sheet1!$B:$B,[1]Sheet1!$O:$O,0)</f>
        <v>0</v>
      </c>
      <c r="M274" s="12">
        <f>_xlfn.XLOOKUP(B274,[1]Sheet1!$B:$B,[1]Sheet1!$P:$P,0)</f>
        <v>21600</v>
      </c>
      <c r="N274" s="12">
        <f>_xlfn.XLOOKUP(B274,[1]Sheet1!$B:$B,[1]Sheet1!$Q:$Q,0)</f>
        <v>0</v>
      </c>
      <c r="O274" s="12">
        <f>_xlfn.XLOOKUP(B274,[1]Sheet1!$B:$B,[1]Sheet1!$R:$R,0)</f>
        <v>61500</v>
      </c>
      <c r="P274" s="12">
        <f>_xlfn.XLOOKUP(B274,[1]Sheet1!$B:$B,[1]Sheet1!$S:$S,0)</f>
        <v>6000</v>
      </c>
      <c r="Q274" s="12">
        <f>_xlfn.XLOOKUP(B274,[1]Sheet1!$B:$B,[1]Sheet1!$T:$T,0)</f>
        <v>0</v>
      </c>
      <c r="R274" s="12">
        <f>_xlfn.XLOOKUP(B274,[1]Sheet1!$B:$B,[1]Sheet1!$U:$U,0)</f>
        <v>0</v>
      </c>
      <c r="S274" s="12">
        <f>_xlfn.XLOOKUP(B274,[1]Sheet1!$B:$B,[1]Sheet1!$V:$V,0)</f>
        <v>18000</v>
      </c>
      <c r="T274" s="12">
        <f>_xlfn.XLOOKUP(B274,[1]Sheet1!$B:$B,[1]Sheet1!$W:$W,0)</f>
        <v>27600</v>
      </c>
      <c r="U274" s="12">
        <f>_xlfn.XLOOKUP(B274,[1]Sheet1!$B:$B,[1]Sheet1!$X:$X,0)</f>
        <v>6000</v>
      </c>
      <c r="V274" s="12">
        <f>_xlfn.XLOOKUP(B274,[1]Sheet1!$B:$B,[1]Sheet1!$Y:$Y,0)</f>
        <v>6000</v>
      </c>
      <c r="W274" s="12">
        <f t="shared" si="11"/>
        <v>146700</v>
      </c>
      <c r="X274" s="6" t="s">
        <v>542</v>
      </c>
      <c r="Y274" s="6" t="s">
        <v>132</v>
      </c>
      <c r="Z274" s="6" t="s">
        <v>196</v>
      </c>
      <c r="AA274" s="6" t="s">
        <v>55</v>
      </c>
      <c r="AB274" s="6" t="s">
        <v>36</v>
      </c>
      <c r="AC274" s="6" t="s">
        <v>37</v>
      </c>
      <c r="AD274" s="6" t="s">
        <v>38</v>
      </c>
      <c r="AE274" s="6" t="s">
        <v>39</v>
      </c>
      <c r="AF274" s="6" t="s">
        <v>40</v>
      </c>
      <c r="AG274" s="7">
        <v>146700</v>
      </c>
      <c r="AH274" s="11">
        <f>_xlfn.XLOOKUP(B274,[1]Sheet1!$B:$B,[1]Sheet1!$AB:$AB,0)</f>
        <v>146700</v>
      </c>
    </row>
    <row r="275" spans="2:34" ht="16.8" thickTop="1" thickBot="1" x14ac:dyDescent="0.35">
      <c r="B275" s="3" t="str">
        <f t="shared" si="10"/>
        <v>45102404511000445AccreditationFee-N1424561200104</v>
      </c>
      <c r="C275" s="8" t="s">
        <v>197</v>
      </c>
      <c r="D275" s="8" t="s">
        <v>543</v>
      </c>
      <c r="E275" s="8" t="s">
        <v>544</v>
      </c>
      <c r="F275" s="8" t="s">
        <v>545</v>
      </c>
      <c r="G275" s="4" t="s">
        <v>2850</v>
      </c>
      <c r="H275" s="4" t="s">
        <v>2922</v>
      </c>
      <c r="I275" s="8" t="s">
        <v>546</v>
      </c>
      <c r="J275" s="8" t="s">
        <v>31</v>
      </c>
      <c r="K275" s="12">
        <f>_xlfn.XLOOKUP(B275,[1]Sheet1!$B:$B,[1]Sheet1!$N:$N,0)</f>
        <v>0</v>
      </c>
      <c r="L275" s="12">
        <f>_xlfn.XLOOKUP(B275,[1]Sheet1!$B:$B,[1]Sheet1!$O:$O,0)</f>
        <v>0</v>
      </c>
      <c r="M275" s="12">
        <f>_xlfn.XLOOKUP(B275,[1]Sheet1!$B:$B,[1]Sheet1!$P:$P,0)</f>
        <v>0</v>
      </c>
      <c r="N275" s="12">
        <f>_xlfn.XLOOKUP(B275,[1]Sheet1!$B:$B,[1]Sheet1!$Q:$Q,0)</f>
        <v>0</v>
      </c>
      <c r="O275" s="12">
        <f>_xlfn.XLOOKUP(B275,[1]Sheet1!$B:$B,[1]Sheet1!$R:$R,0)</f>
        <v>0</v>
      </c>
      <c r="P275" s="12">
        <f>_xlfn.XLOOKUP(B275,[1]Sheet1!$B:$B,[1]Sheet1!$S:$S,0)</f>
        <v>0</v>
      </c>
      <c r="Q275" s="12">
        <f>_xlfn.XLOOKUP(B275,[1]Sheet1!$B:$B,[1]Sheet1!$T:$T,0)</f>
        <v>5000</v>
      </c>
      <c r="R275" s="12">
        <f>_xlfn.XLOOKUP(B275,[1]Sheet1!$B:$B,[1]Sheet1!$U:$U,0)</f>
        <v>304950</v>
      </c>
      <c r="S275" s="12">
        <f>_xlfn.XLOOKUP(B275,[1]Sheet1!$B:$B,[1]Sheet1!$V:$V,0)</f>
        <v>0</v>
      </c>
      <c r="T275" s="12">
        <f>_xlfn.XLOOKUP(B275,[1]Sheet1!$B:$B,[1]Sheet1!$W:$W,0)</f>
        <v>0</v>
      </c>
      <c r="U275" s="12">
        <f>_xlfn.XLOOKUP(B275,[1]Sheet1!$B:$B,[1]Sheet1!$X:$X,0)</f>
        <v>105000</v>
      </c>
      <c r="V275" s="12">
        <f>_xlfn.XLOOKUP(B275,[1]Sheet1!$B:$B,[1]Sheet1!$Y:$Y,0)</f>
        <v>45000</v>
      </c>
      <c r="W275" s="12">
        <f t="shared" si="11"/>
        <v>459950</v>
      </c>
      <c r="X275" s="8" t="s">
        <v>547</v>
      </c>
      <c r="Y275" s="8" t="s">
        <v>132</v>
      </c>
      <c r="Z275" s="8" t="s">
        <v>196</v>
      </c>
      <c r="AA275" s="8" t="s">
        <v>548</v>
      </c>
      <c r="AB275" s="8" t="s">
        <v>36</v>
      </c>
      <c r="AC275" s="8" t="s">
        <v>37</v>
      </c>
      <c r="AD275" s="8" t="s">
        <v>468</v>
      </c>
      <c r="AE275" s="8" t="s">
        <v>39</v>
      </c>
      <c r="AF275" s="8" t="s">
        <v>40</v>
      </c>
      <c r="AG275" s="9">
        <v>459950</v>
      </c>
      <c r="AH275" s="11">
        <f>_xlfn.XLOOKUP(B275,[1]Sheet1!$B:$B,[1]Sheet1!$AB:$AB,0)</f>
        <v>459950</v>
      </c>
    </row>
    <row r="276" spans="2:34" ht="16.8" thickTop="1" thickBot="1" x14ac:dyDescent="0.35">
      <c r="B276" s="3" t="str">
        <f t="shared" si="10"/>
        <v>45102404511000445Procuremt Advice-N421191200104</v>
      </c>
      <c r="C276" s="6" t="s">
        <v>197</v>
      </c>
      <c r="D276" s="6" t="s">
        <v>543</v>
      </c>
      <c r="E276" s="6" t="s">
        <v>544</v>
      </c>
      <c r="F276" s="6" t="s">
        <v>549</v>
      </c>
      <c r="G276" s="4" t="s">
        <v>2851</v>
      </c>
      <c r="H276" s="4" t="s">
        <v>2922</v>
      </c>
      <c r="I276" s="6" t="s">
        <v>550</v>
      </c>
      <c r="J276" s="6" t="s">
        <v>31</v>
      </c>
      <c r="K276" s="12">
        <f>_xlfn.XLOOKUP(B276,[1]Sheet1!$B:$B,[1]Sheet1!$N:$N,0)</f>
        <v>0</v>
      </c>
      <c r="L276" s="12">
        <f>_xlfn.XLOOKUP(B276,[1]Sheet1!$B:$B,[1]Sheet1!$O:$O,0)</f>
        <v>0</v>
      </c>
      <c r="M276" s="12">
        <f>_xlfn.XLOOKUP(B276,[1]Sheet1!$B:$B,[1]Sheet1!$P:$P,0)</f>
        <v>0</v>
      </c>
      <c r="N276" s="12">
        <f>_xlfn.XLOOKUP(B276,[1]Sheet1!$B:$B,[1]Sheet1!$Q:$Q,0)</f>
        <v>1980000</v>
      </c>
      <c r="O276" s="12">
        <f>_xlfn.XLOOKUP(B276,[1]Sheet1!$B:$B,[1]Sheet1!$R:$R,0)</f>
        <v>990000</v>
      </c>
      <c r="P276" s="12">
        <f>_xlfn.XLOOKUP(B276,[1]Sheet1!$B:$B,[1]Sheet1!$S:$S,0)</f>
        <v>0</v>
      </c>
      <c r="Q276" s="12">
        <f>_xlfn.XLOOKUP(B276,[1]Sheet1!$B:$B,[1]Sheet1!$T:$T,0)</f>
        <v>500000</v>
      </c>
      <c r="R276" s="12">
        <f>_xlfn.XLOOKUP(B276,[1]Sheet1!$B:$B,[1]Sheet1!$U:$U,0)</f>
        <v>0</v>
      </c>
      <c r="S276" s="12">
        <f>_xlfn.XLOOKUP(B276,[1]Sheet1!$B:$B,[1]Sheet1!$V:$V,0)</f>
        <v>0</v>
      </c>
      <c r="T276" s="12">
        <f>_xlfn.XLOOKUP(B276,[1]Sheet1!$B:$B,[1]Sheet1!$W:$W,0)</f>
        <v>180000</v>
      </c>
      <c r="U276" s="12">
        <f>_xlfn.XLOOKUP(B276,[1]Sheet1!$B:$B,[1]Sheet1!$X:$X,0)</f>
        <v>0</v>
      </c>
      <c r="V276" s="12">
        <f>_xlfn.XLOOKUP(B276,[1]Sheet1!$B:$B,[1]Sheet1!$Y:$Y,0)</f>
        <v>0</v>
      </c>
      <c r="W276" s="12">
        <f t="shared" si="11"/>
        <v>3650000</v>
      </c>
      <c r="X276" s="6" t="s">
        <v>551</v>
      </c>
      <c r="Y276" s="6" t="s">
        <v>132</v>
      </c>
      <c r="Z276" s="6" t="s">
        <v>196</v>
      </c>
      <c r="AA276" s="6" t="s">
        <v>552</v>
      </c>
      <c r="AB276" s="6" t="s">
        <v>36</v>
      </c>
      <c r="AC276" s="6" t="s">
        <v>37</v>
      </c>
      <c r="AD276" s="6" t="s">
        <v>198</v>
      </c>
      <c r="AE276" s="6" t="s">
        <v>39</v>
      </c>
      <c r="AF276" s="6" t="s">
        <v>40</v>
      </c>
      <c r="AG276" s="7">
        <v>3470000</v>
      </c>
      <c r="AH276" s="11">
        <f>_xlfn.XLOOKUP(B276,[1]Sheet1!$B:$B,[1]Sheet1!$AB:$AB,0)</f>
        <v>3470000</v>
      </c>
    </row>
    <row r="277" spans="2:34" ht="16.8" thickTop="1" thickBot="1" x14ac:dyDescent="0.35">
      <c r="B277" s="3" t="str">
        <f t="shared" si="10"/>
        <v>45131404511000450Activation&amp;Prog-L422401201931</v>
      </c>
      <c r="C277" s="8" t="s">
        <v>335</v>
      </c>
      <c r="D277" s="8" t="s">
        <v>553</v>
      </c>
      <c r="E277" s="8" t="s">
        <v>554</v>
      </c>
      <c r="F277" s="8" t="s">
        <v>555</v>
      </c>
      <c r="G277" s="4" t="s">
        <v>2807</v>
      </c>
      <c r="H277" s="4" t="s">
        <v>2925</v>
      </c>
      <c r="I277" s="8" t="s">
        <v>63</v>
      </c>
      <c r="J277" s="8" t="s">
        <v>31</v>
      </c>
      <c r="K277" s="12">
        <f>_xlfn.XLOOKUP(B277,[1]Sheet1!$B:$B,[1]Sheet1!$N:$N,0)</f>
        <v>0</v>
      </c>
      <c r="L277" s="12">
        <f>_xlfn.XLOOKUP(B277,[1]Sheet1!$B:$B,[1]Sheet1!$O:$O,0)</f>
        <v>0</v>
      </c>
      <c r="M277" s="12">
        <f>_xlfn.XLOOKUP(B277,[1]Sheet1!$B:$B,[1]Sheet1!$P:$P,0)</f>
        <v>0</v>
      </c>
      <c r="N277" s="12">
        <f>_xlfn.XLOOKUP(B277,[1]Sheet1!$B:$B,[1]Sheet1!$Q:$Q,0)</f>
        <v>0</v>
      </c>
      <c r="O277" s="12">
        <f>_xlfn.XLOOKUP(B277,[1]Sheet1!$B:$B,[1]Sheet1!$R:$R,0)</f>
        <v>0</v>
      </c>
      <c r="P277" s="12">
        <f>_xlfn.XLOOKUP(B277,[1]Sheet1!$B:$B,[1]Sheet1!$S:$S,0)</f>
        <v>2000000</v>
      </c>
      <c r="Q277" s="12">
        <f>_xlfn.XLOOKUP(B277,[1]Sheet1!$B:$B,[1]Sheet1!$T:$T,0)</f>
        <v>0</v>
      </c>
      <c r="R277" s="12">
        <f>_xlfn.XLOOKUP(B277,[1]Sheet1!$B:$B,[1]Sheet1!$U:$U,0)</f>
        <v>0</v>
      </c>
      <c r="S277" s="12">
        <f>_xlfn.XLOOKUP(B277,[1]Sheet1!$B:$B,[1]Sheet1!$V:$V,0)</f>
        <v>0</v>
      </c>
      <c r="T277" s="12">
        <f>_xlfn.XLOOKUP(B277,[1]Sheet1!$B:$B,[1]Sheet1!$W:$W,0)</f>
        <v>0</v>
      </c>
      <c r="U277" s="12">
        <f>_xlfn.XLOOKUP(B277,[1]Sheet1!$B:$B,[1]Sheet1!$X:$X,0)</f>
        <v>0</v>
      </c>
      <c r="V277" s="12">
        <f>_xlfn.XLOOKUP(B277,[1]Sheet1!$B:$B,[1]Sheet1!$Y:$Y,0)</f>
        <v>2000000</v>
      </c>
      <c r="W277" s="12">
        <f t="shared" si="11"/>
        <v>4000000</v>
      </c>
      <c r="X277" s="8" t="s">
        <v>556</v>
      </c>
      <c r="Y277" s="8" t="s">
        <v>319</v>
      </c>
      <c r="Z277" s="8" t="s">
        <v>334</v>
      </c>
      <c r="AA277" s="8" t="s">
        <v>68</v>
      </c>
      <c r="AB277" s="8" t="s">
        <v>327</v>
      </c>
      <c r="AC277" s="8" t="s">
        <v>37</v>
      </c>
      <c r="AD277" s="8" t="s">
        <v>322</v>
      </c>
      <c r="AE277" s="8" t="s">
        <v>39</v>
      </c>
      <c r="AF277" s="8" t="s">
        <v>40</v>
      </c>
      <c r="AG277" s="9">
        <v>4000000</v>
      </c>
      <c r="AH277" s="11">
        <f>_xlfn.XLOOKUP(B277,[1]Sheet1!$B:$B,[1]Sheet1!$AB:$AB,0)</f>
        <v>4000000</v>
      </c>
    </row>
    <row r="278" spans="2:34" ht="16.8" thickTop="1" thickBot="1" x14ac:dyDescent="0.35">
      <c r="B278" s="3" t="str">
        <f t="shared" si="10"/>
        <v>45131304511000450General Retainer-L421125201931</v>
      </c>
      <c r="C278" s="6" t="s">
        <v>321</v>
      </c>
      <c r="D278" s="6" t="s">
        <v>553</v>
      </c>
      <c r="E278" s="6" t="s">
        <v>554</v>
      </c>
      <c r="F278" s="6" t="s">
        <v>557</v>
      </c>
      <c r="G278" s="4" t="s">
        <v>2803</v>
      </c>
      <c r="H278" s="4" t="s">
        <v>2925</v>
      </c>
      <c r="I278" s="6" t="s">
        <v>44</v>
      </c>
      <c r="J278" s="6" t="s">
        <v>31</v>
      </c>
      <c r="K278" s="12">
        <f>_xlfn.XLOOKUP(B278,[1]Sheet1!$B:$B,[1]Sheet1!$N:$N,0)</f>
        <v>0</v>
      </c>
      <c r="L278" s="12">
        <f>_xlfn.XLOOKUP(B278,[1]Sheet1!$B:$B,[1]Sheet1!$O:$O,0)</f>
        <v>0</v>
      </c>
      <c r="M278" s="12">
        <f>_xlfn.XLOOKUP(B278,[1]Sheet1!$B:$B,[1]Sheet1!$P:$P,0)</f>
        <v>0</v>
      </c>
      <c r="N278" s="12">
        <f>_xlfn.XLOOKUP(B278,[1]Sheet1!$B:$B,[1]Sheet1!$Q:$Q,0)</f>
        <v>1348288.5</v>
      </c>
      <c r="O278" s="12">
        <f>_xlfn.XLOOKUP(B278,[1]Sheet1!$B:$B,[1]Sheet1!$R:$R,0)</f>
        <v>293071.5</v>
      </c>
      <c r="P278" s="12">
        <f>_xlfn.XLOOKUP(B278,[1]Sheet1!$B:$B,[1]Sheet1!$S:$S,0)</f>
        <v>293071.5</v>
      </c>
      <c r="Q278" s="12">
        <f>_xlfn.XLOOKUP(B278,[1]Sheet1!$B:$B,[1]Sheet1!$T:$T,0)</f>
        <v>293071.5</v>
      </c>
      <c r="R278" s="12">
        <f>_xlfn.XLOOKUP(B278,[1]Sheet1!$B:$B,[1]Sheet1!$U:$U,0)</f>
        <v>293071.5</v>
      </c>
      <c r="S278" s="12">
        <f>_xlfn.XLOOKUP(B278,[1]Sheet1!$B:$B,[1]Sheet1!$V:$V,0)</f>
        <v>293071.5</v>
      </c>
      <c r="T278" s="12">
        <f>_xlfn.XLOOKUP(B278,[1]Sheet1!$B:$B,[1]Sheet1!$W:$W,0)</f>
        <v>293071.5</v>
      </c>
      <c r="U278" s="12">
        <f>_xlfn.XLOOKUP(B278,[1]Sheet1!$B:$B,[1]Sheet1!$X:$X,0)</f>
        <v>293071.5</v>
      </c>
      <c r="V278" s="12">
        <f>_xlfn.XLOOKUP(B278,[1]Sheet1!$B:$B,[1]Sheet1!$Y:$Y,0)</f>
        <v>293071.5</v>
      </c>
      <c r="W278" s="12">
        <f t="shared" si="11"/>
        <v>3692860.5</v>
      </c>
      <c r="X278" s="6" t="s">
        <v>558</v>
      </c>
      <c r="Y278" s="6" t="s">
        <v>319</v>
      </c>
      <c r="Z278" s="6" t="s">
        <v>320</v>
      </c>
      <c r="AA278" s="6" t="s">
        <v>44</v>
      </c>
      <c r="AB278" s="6" t="s">
        <v>327</v>
      </c>
      <c r="AC278" s="6" t="s">
        <v>37</v>
      </c>
      <c r="AD278" s="6" t="s">
        <v>322</v>
      </c>
      <c r="AE278" s="6" t="s">
        <v>39</v>
      </c>
      <c r="AF278" s="6" t="s">
        <v>40</v>
      </c>
      <c r="AG278" s="7">
        <v>3692861</v>
      </c>
      <c r="AH278" s="11">
        <f>_xlfn.XLOOKUP(B278,[1]Sheet1!$B:$B,[1]Sheet1!$AB:$AB,0)</f>
        <v>3692860.5</v>
      </c>
    </row>
    <row r="279" spans="2:34" ht="16.8" thickTop="1" thickBot="1" x14ac:dyDescent="0.35">
      <c r="B279" s="3" t="str">
        <f t="shared" si="10"/>
        <v>45131304511000450Media Mgmnt &amp;Buy-L422511201931</v>
      </c>
      <c r="C279" s="8" t="s">
        <v>321</v>
      </c>
      <c r="D279" s="8" t="s">
        <v>553</v>
      </c>
      <c r="E279" s="8" t="s">
        <v>554</v>
      </c>
      <c r="F279" s="8" t="s">
        <v>559</v>
      </c>
      <c r="G279" s="4" t="s">
        <v>2819</v>
      </c>
      <c r="H279" s="4" t="s">
        <v>2925</v>
      </c>
      <c r="I279" s="8" t="s">
        <v>151</v>
      </c>
      <c r="J279" s="8" t="s">
        <v>31</v>
      </c>
      <c r="K279" s="12">
        <f>_xlfn.XLOOKUP(B279,[1]Sheet1!$B:$B,[1]Sheet1!$N:$N,0)</f>
        <v>0</v>
      </c>
      <c r="L279" s="12">
        <f>_xlfn.XLOOKUP(B279,[1]Sheet1!$B:$B,[1]Sheet1!$O:$O,0)</f>
        <v>0</v>
      </c>
      <c r="M279" s="12">
        <f>_xlfn.XLOOKUP(B279,[1]Sheet1!$B:$B,[1]Sheet1!$P:$P,0)</f>
        <v>0</v>
      </c>
      <c r="N279" s="12">
        <f>_xlfn.XLOOKUP(B279,[1]Sheet1!$B:$B,[1]Sheet1!$Q:$Q,0)</f>
        <v>0</v>
      </c>
      <c r="O279" s="12">
        <f>_xlfn.XLOOKUP(B279,[1]Sheet1!$B:$B,[1]Sheet1!$R:$R,0)</f>
        <v>6981796</v>
      </c>
      <c r="P279" s="12">
        <f>_xlfn.XLOOKUP(B279,[1]Sheet1!$B:$B,[1]Sheet1!$S:$S,0)</f>
        <v>2570000</v>
      </c>
      <c r="Q279" s="12">
        <f>_xlfn.XLOOKUP(B279,[1]Sheet1!$B:$B,[1]Sheet1!$T:$T,0)</f>
        <v>2570000</v>
      </c>
      <c r="R279" s="12">
        <f>_xlfn.XLOOKUP(B279,[1]Sheet1!$B:$B,[1]Sheet1!$U:$U,0)</f>
        <v>2570000</v>
      </c>
      <c r="S279" s="12">
        <f>_xlfn.XLOOKUP(B279,[1]Sheet1!$B:$B,[1]Sheet1!$V:$V,0)</f>
        <v>3570000</v>
      </c>
      <c r="T279" s="12">
        <f>_xlfn.XLOOKUP(B279,[1]Sheet1!$B:$B,[1]Sheet1!$W:$W,0)</f>
        <v>3530000</v>
      </c>
      <c r="U279" s="12">
        <f>_xlfn.XLOOKUP(B279,[1]Sheet1!$B:$B,[1]Sheet1!$X:$X,0)</f>
        <v>0</v>
      </c>
      <c r="V279" s="12">
        <f>_xlfn.XLOOKUP(B279,[1]Sheet1!$B:$B,[1]Sheet1!$Y:$Y,0)</f>
        <v>0</v>
      </c>
      <c r="W279" s="12">
        <f t="shared" si="11"/>
        <v>21791796</v>
      </c>
      <c r="X279" s="8" t="s">
        <v>560</v>
      </c>
      <c r="Y279" s="8" t="s">
        <v>319</v>
      </c>
      <c r="Z279" s="8" t="s">
        <v>320</v>
      </c>
      <c r="AA279" s="8" t="s">
        <v>151</v>
      </c>
      <c r="AB279" s="8" t="s">
        <v>327</v>
      </c>
      <c r="AC279" s="8" t="s">
        <v>37</v>
      </c>
      <c r="AD279" s="8" t="s">
        <v>322</v>
      </c>
      <c r="AE279" s="8" t="s">
        <v>39</v>
      </c>
      <c r="AF279" s="8" t="s">
        <v>40</v>
      </c>
      <c r="AG279" s="9">
        <v>21791796</v>
      </c>
      <c r="AH279" s="11">
        <f>_xlfn.XLOOKUP(B279,[1]Sheet1!$B:$B,[1]Sheet1!$AB:$AB,0)</f>
        <v>21791796</v>
      </c>
    </row>
    <row r="280" spans="2:34" ht="16.8" thickTop="1" thickBot="1" x14ac:dyDescent="0.35">
      <c r="B280" s="3" t="str">
        <f t="shared" si="10"/>
        <v>45131204511000450Media outreach-N422511200104</v>
      </c>
      <c r="C280" s="6" t="s">
        <v>564</v>
      </c>
      <c r="D280" s="6" t="s">
        <v>553</v>
      </c>
      <c r="E280" s="6" t="s">
        <v>554</v>
      </c>
      <c r="F280" s="6" t="s">
        <v>561</v>
      </c>
      <c r="G280" s="4" t="s">
        <v>2819</v>
      </c>
      <c r="H280" s="4" t="s">
        <v>2922</v>
      </c>
      <c r="I280" s="6" t="s">
        <v>151</v>
      </c>
      <c r="J280" s="6" t="s">
        <v>31</v>
      </c>
      <c r="K280" s="12">
        <f>_xlfn.XLOOKUP(B280,[1]Sheet1!$B:$B,[1]Sheet1!$N:$N,0)</f>
        <v>0</v>
      </c>
      <c r="L280" s="12">
        <f>_xlfn.XLOOKUP(B280,[1]Sheet1!$B:$B,[1]Sheet1!$O:$O,0)</f>
        <v>0</v>
      </c>
      <c r="M280" s="12">
        <f>_xlfn.XLOOKUP(B280,[1]Sheet1!$B:$B,[1]Sheet1!$P:$P,0)</f>
        <v>0</v>
      </c>
      <c r="N280" s="12">
        <f>_xlfn.XLOOKUP(B280,[1]Sheet1!$B:$B,[1]Sheet1!$Q:$Q,0)</f>
        <v>440000</v>
      </c>
      <c r="O280" s="12">
        <f>_xlfn.XLOOKUP(B280,[1]Sheet1!$B:$B,[1]Sheet1!$R:$R,0)</f>
        <v>110000</v>
      </c>
      <c r="P280" s="12">
        <f>_xlfn.XLOOKUP(B280,[1]Sheet1!$B:$B,[1]Sheet1!$S:$S,0)</f>
        <v>110000</v>
      </c>
      <c r="Q280" s="12">
        <f>_xlfn.XLOOKUP(B280,[1]Sheet1!$B:$B,[1]Sheet1!$T:$T,0)</f>
        <v>36666</v>
      </c>
      <c r="R280" s="12">
        <f>_xlfn.XLOOKUP(B280,[1]Sheet1!$B:$B,[1]Sheet1!$U:$U,0)</f>
        <v>36667</v>
      </c>
      <c r="S280" s="12">
        <f>_xlfn.XLOOKUP(B280,[1]Sheet1!$B:$B,[1]Sheet1!$V:$V,0)</f>
        <v>36667</v>
      </c>
      <c r="T280" s="12">
        <f>_xlfn.XLOOKUP(B280,[1]Sheet1!$B:$B,[1]Sheet1!$W:$W,0)</f>
        <v>110000</v>
      </c>
      <c r="U280" s="12">
        <f>_xlfn.XLOOKUP(B280,[1]Sheet1!$B:$B,[1]Sheet1!$X:$X,0)</f>
        <v>110000</v>
      </c>
      <c r="V280" s="12">
        <f>_xlfn.XLOOKUP(B280,[1]Sheet1!$B:$B,[1]Sheet1!$Y:$Y,0)</f>
        <v>110000</v>
      </c>
      <c r="W280" s="12">
        <f t="shared" si="11"/>
        <v>1100000</v>
      </c>
      <c r="X280" s="6" t="s">
        <v>562</v>
      </c>
      <c r="Y280" s="6" t="s">
        <v>319</v>
      </c>
      <c r="Z280" s="6" t="s">
        <v>563</v>
      </c>
      <c r="AA280" s="6" t="s">
        <v>151</v>
      </c>
      <c r="AB280" s="6" t="s">
        <v>36</v>
      </c>
      <c r="AC280" s="6" t="s">
        <v>37</v>
      </c>
      <c r="AD280" s="6" t="s">
        <v>322</v>
      </c>
      <c r="AE280" s="6" t="s">
        <v>39</v>
      </c>
      <c r="AF280" s="6" t="s">
        <v>40</v>
      </c>
      <c r="AG280" s="7">
        <v>550000</v>
      </c>
      <c r="AH280" s="11">
        <f>_xlfn.XLOOKUP(B280,[1]Sheet1!$B:$B,[1]Sheet1!$AB:$AB,0)</f>
        <v>550000</v>
      </c>
    </row>
    <row r="281" spans="2:34" ht="16.8" thickTop="1" thickBot="1" x14ac:dyDescent="0.35">
      <c r="B281" s="3" t="str">
        <f t="shared" si="10"/>
        <v>45131204511000450PR Mgmnt E-E-N424781200104</v>
      </c>
      <c r="C281" s="8" t="s">
        <v>564</v>
      </c>
      <c r="D281" s="8" t="s">
        <v>553</v>
      </c>
      <c r="E281" s="8" t="s">
        <v>554</v>
      </c>
      <c r="F281" s="8" t="s">
        <v>99</v>
      </c>
      <c r="G281" s="4" t="s">
        <v>2815</v>
      </c>
      <c r="H281" s="4" t="s">
        <v>2922</v>
      </c>
      <c r="I281" s="8" t="s">
        <v>100</v>
      </c>
      <c r="J281" s="8" t="s">
        <v>31</v>
      </c>
      <c r="K281" s="12">
        <f>_xlfn.XLOOKUP(B281,[1]Sheet1!$B:$B,[1]Sheet1!$N:$N,0)</f>
        <v>0</v>
      </c>
      <c r="L281" s="12">
        <f>_xlfn.XLOOKUP(B281,[1]Sheet1!$B:$B,[1]Sheet1!$O:$O,0)</f>
        <v>0</v>
      </c>
      <c r="M281" s="12">
        <f>_xlfn.XLOOKUP(B281,[1]Sheet1!$B:$B,[1]Sheet1!$P:$P,0)</f>
        <v>0</v>
      </c>
      <c r="N281" s="12">
        <f>_xlfn.XLOOKUP(B281,[1]Sheet1!$B:$B,[1]Sheet1!$Q:$Q,0)</f>
        <v>3952970</v>
      </c>
      <c r="O281" s="12">
        <f>_xlfn.XLOOKUP(B281,[1]Sheet1!$B:$B,[1]Sheet1!$R:$R,0)</f>
        <v>908416</v>
      </c>
      <c r="P281" s="12">
        <f>_xlfn.XLOOKUP(B281,[1]Sheet1!$B:$B,[1]Sheet1!$S:$S,0)</f>
        <v>386139</v>
      </c>
      <c r="Q281" s="12">
        <f>_xlfn.XLOOKUP(B281,[1]Sheet1!$B:$B,[1]Sheet1!$T:$T,0)</f>
        <v>193069</v>
      </c>
      <c r="R281" s="12">
        <f>_xlfn.XLOOKUP(B281,[1]Sheet1!$B:$B,[1]Sheet1!$U:$U,0)</f>
        <v>193069</v>
      </c>
      <c r="S281" s="12">
        <f>_xlfn.XLOOKUP(B281,[1]Sheet1!$B:$B,[1]Sheet1!$V:$V,0)</f>
        <v>193069</v>
      </c>
      <c r="T281" s="12">
        <f>_xlfn.XLOOKUP(B281,[1]Sheet1!$B:$B,[1]Sheet1!$W:$W,0)</f>
        <v>386139</v>
      </c>
      <c r="U281" s="12">
        <f>_xlfn.XLOOKUP(B281,[1]Sheet1!$B:$B,[1]Sheet1!$X:$X,0)</f>
        <v>321782</v>
      </c>
      <c r="V281" s="12">
        <f>_xlfn.XLOOKUP(B281,[1]Sheet1!$B:$B,[1]Sheet1!$Y:$Y,0)</f>
        <v>965347</v>
      </c>
      <c r="W281" s="12">
        <f t="shared" si="11"/>
        <v>7500000</v>
      </c>
      <c r="X281" s="8" t="s">
        <v>565</v>
      </c>
      <c r="Y281" s="8" t="s">
        <v>319</v>
      </c>
      <c r="Z281" s="8" t="s">
        <v>563</v>
      </c>
      <c r="AA281" s="8" t="s">
        <v>100</v>
      </c>
      <c r="AB281" s="8" t="s">
        <v>36</v>
      </c>
      <c r="AC281" s="8" t="s">
        <v>37</v>
      </c>
      <c r="AD281" s="8" t="s">
        <v>322</v>
      </c>
      <c r="AE281" s="8" t="s">
        <v>39</v>
      </c>
      <c r="AF281" s="8" t="s">
        <v>40</v>
      </c>
      <c r="AG281" s="9">
        <v>8050000</v>
      </c>
      <c r="AH281" s="11">
        <f>_xlfn.XLOOKUP(B281,[1]Sheet1!$B:$B,[1]Sheet1!$AB:$AB,0)</f>
        <v>8050000</v>
      </c>
    </row>
    <row r="282" spans="2:34" ht="16.8" thickTop="1" thickBot="1" x14ac:dyDescent="0.35">
      <c r="B282" s="3" t="str">
        <f t="shared" si="10"/>
        <v>45131204511000450PRMgmnt E-E Rtnr-N421125200104</v>
      </c>
      <c r="C282" s="6" t="s">
        <v>564</v>
      </c>
      <c r="D282" s="6" t="s">
        <v>553</v>
      </c>
      <c r="E282" s="6" t="s">
        <v>554</v>
      </c>
      <c r="F282" s="6" t="s">
        <v>566</v>
      </c>
      <c r="G282" s="4" t="s">
        <v>2803</v>
      </c>
      <c r="H282" s="4" t="s">
        <v>2922</v>
      </c>
      <c r="I282" s="6" t="s">
        <v>44</v>
      </c>
      <c r="J282" s="6" t="s">
        <v>31</v>
      </c>
      <c r="K282" s="12">
        <f>_xlfn.XLOOKUP(B282,[1]Sheet1!$B:$B,[1]Sheet1!$N:$N,0)</f>
        <v>0</v>
      </c>
      <c r="L282" s="12">
        <f>_xlfn.XLOOKUP(B282,[1]Sheet1!$B:$B,[1]Sheet1!$O:$O,0)</f>
        <v>0</v>
      </c>
      <c r="M282" s="12">
        <f>_xlfn.XLOOKUP(B282,[1]Sheet1!$B:$B,[1]Sheet1!$P:$P,0)</f>
        <v>0</v>
      </c>
      <c r="N282" s="12">
        <f>_xlfn.XLOOKUP(B282,[1]Sheet1!$B:$B,[1]Sheet1!$Q:$Q,0)</f>
        <v>3758838.75</v>
      </c>
      <c r="O282" s="12">
        <f>_xlfn.XLOOKUP(B282,[1]Sheet1!$B:$B,[1]Sheet1!$R:$R,0)</f>
        <v>939709.75</v>
      </c>
      <c r="P282" s="12">
        <f>_xlfn.XLOOKUP(B282,[1]Sheet1!$B:$B,[1]Sheet1!$S:$S,0)</f>
        <v>939709.75</v>
      </c>
      <c r="Q282" s="12">
        <f>_xlfn.XLOOKUP(B282,[1]Sheet1!$B:$B,[1]Sheet1!$T:$T,0)</f>
        <v>939709.75</v>
      </c>
      <c r="R282" s="12">
        <f>_xlfn.XLOOKUP(B282,[1]Sheet1!$B:$B,[1]Sheet1!$U:$U,0)</f>
        <v>939709.75</v>
      </c>
      <c r="S282" s="12">
        <f>_xlfn.XLOOKUP(B282,[1]Sheet1!$B:$B,[1]Sheet1!$V:$V,0)</f>
        <v>939709.75</v>
      </c>
      <c r="T282" s="12">
        <f>_xlfn.XLOOKUP(B282,[1]Sheet1!$B:$B,[1]Sheet1!$W:$W,0)</f>
        <v>939709.75</v>
      </c>
      <c r="U282" s="12">
        <f>_xlfn.XLOOKUP(B282,[1]Sheet1!$B:$B,[1]Sheet1!$X:$X,0)</f>
        <v>939709.75</v>
      </c>
      <c r="V282" s="12">
        <f>_xlfn.XLOOKUP(B282,[1]Sheet1!$B:$B,[1]Sheet1!$Y:$Y,0)</f>
        <v>939709.75</v>
      </c>
      <c r="W282" s="12">
        <f t="shared" si="11"/>
        <v>11276516.75</v>
      </c>
      <c r="X282" s="6" t="s">
        <v>567</v>
      </c>
      <c r="Y282" s="6" t="s">
        <v>319</v>
      </c>
      <c r="Z282" s="6" t="s">
        <v>563</v>
      </c>
      <c r="AA282" s="6" t="s">
        <v>44</v>
      </c>
      <c r="AB282" s="6" t="s">
        <v>36</v>
      </c>
      <c r="AC282" s="6" t="s">
        <v>37</v>
      </c>
      <c r="AD282" s="6" t="s">
        <v>322</v>
      </c>
      <c r="AE282" s="6" t="s">
        <v>39</v>
      </c>
      <c r="AF282" s="6" t="s">
        <v>40</v>
      </c>
      <c r="AG282" s="7">
        <v>11276517</v>
      </c>
      <c r="AH282" s="11">
        <f>_xlfn.XLOOKUP(B282,[1]Sheet1!$B:$B,[1]Sheet1!$AB:$AB,0)</f>
        <v>11276516.75</v>
      </c>
    </row>
    <row r="283" spans="2:34" ht="16.8" thickTop="1" thickBot="1" x14ac:dyDescent="0.35">
      <c r="B283" s="3" t="str">
        <f t="shared" si="10"/>
        <v>45131304511000450Trade Partners-L424251201931</v>
      </c>
      <c r="C283" s="8" t="s">
        <v>321</v>
      </c>
      <c r="D283" s="8" t="s">
        <v>553</v>
      </c>
      <c r="E283" s="8" t="s">
        <v>554</v>
      </c>
      <c r="F283" s="8" t="s">
        <v>568</v>
      </c>
      <c r="G283" s="4" t="s">
        <v>2852</v>
      </c>
      <c r="H283" s="4" t="s">
        <v>2925</v>
      </c>
      <c r="I283" s="8" t="s">
        <v>569</v>
      </c>
      <c r="J283" s="8" t="s">
        <v>31</v>
      </c>
      <c r="K283" s="12">
        <f>_xlfn.XLOOKUP(B283,[1]Sheet1!$B:$B,[1]Sheet1!$N:$N,0)</f>
        <v>0</v>
      </c>
      <c r="L283" s="12">
        <f>_xlfn.XLOOKUP(B283,[1]Sheet1!$B:$B,[1]Sheet1!$O:$O,0)</f>
        <v>0</v>
      </c>
      <c r="M283" s="12">
        <f>_xlfn.XLOOKUP(B283,[1]Sheet1!$B:$B,[1]Sheet1!$P:$P,0)</f>
        <v>0</v>
      </c>
      <c r="N283" s="12">
        <f>_xlfn.XLOOKUP(B283,[1]Sheet1!$B:$B,[1]Sheet1!$Q:$Q,0)</f>
        <v>5761548</v>
      </c>
      <c r="O283" s="12">
        <f>_xlfn.XLOOKUP(B283,[1]Sheet1!$B:$B,[1]Sheet1!$R:$R,0)</f>
        <v>6713481</v>
      </c>
      <c r="P283" s="12">
        <f>_xlfn.XLOOKUP(B283,[1]Sheet1!$B:$B,[1]Sheet1!$S:$S,0)</f>
        <v>1468960</v>
      </c>
      <c r="Q283" s="12">
        <f>_xlfn.XLOOKUP(B283,[1]Sheet1!$B:$B,[1]Sheet1!$T:$T,0)</f>
        <v>1285340</v>
      </c>
      <c r="R283" s="12">
        <f>_xlfn.XLOOKUP(B283,[1]Sheet1!$B:$B,[1]Sheet1!$U:$U,0)</f>
        <v>1101720</v>
      </c>
      <c r="S283" s="12">
        <f>_xlfn.XLOOKUP(B283,[1]Sheet1!$B:$B,[1]Sheet1!$V:$V,0)</f>
        <v>1101720</v>
      </c>
      <c r="T283" s="12">
        <f>_xlfn.XLOOKUP(B283,[1]Sheet1!$B:$B,[1]Sheet1!$W:$W,0)</f>
        <v>1451720</v>
      </c>
      <c r="U283" s="12">
        <f>_xlfn.XLOOKUP(B283,[1]Sheet1!$B:$B,[1]Sheet1!$X:$X,0)</f>
        <v>2728451</v>
      </c>
      <c r="V283" s="12">
        <f>_xlfn.XLOOKUP(B283,[1]Sheet1!$B:$B,[1]Sheet1!$Y:$Y,0)</f>
        <v>2387060</v>
      </c>
      <c r="W283" s="12">
        <f t="shared" si="11"/>
        <v>24000000</v>
      </c>
      <c r="X283" s="8" t="s">
        <v>570</v>
      </c>
      <c r="Y283" s="8" t="s">
        <v>319</v>
      </c>
      <c r="Z283" s="8" t="s">
        <v>320</v>
      </c>
      <c r="AA283" s="8" t="s">
        <v>569</v>
      </c>
      <c r="AB283" s="8" t="s">
        <v>327</v>
      </c>
      <c r="AC283" s="8" t="s">
        <v>37</v>
      </c>
      <c r="AD283" s="8" t="s">
        <v>342</v>
      </c>
      <c r="AE283" s="8" t="s">
        <v>39</v>
      </c>
      <c r="AF283" s="8" t="s">
        <v>40</v>
      </c>
      <c r="AG283" s="9">
        <v>14855233</v>
      </c>
      <c r="AH283" s="11">
        <f>_xlfn.XLOOKUP(B283,[1]Sheet1!$B:$B,[1]Sheet1!$AB:$AB,0)</f>
        <v>14855233</v>
      </c>
    </row>
    <row r="284" spans="2:34" ht="16.8" thickTop="1" thickBot="1" x14ac:dyDescent="0.35">
      <c r="B284" s="3" t="str">
        <f t="shared" si="10"/>
        <v>45131304511000453MediaBuyRetainer-L421125201931</v>
      </c>
      <c r="C284" s="6" t="s">
        <v>321</v>
      </c>
      <c r="D284" s="6" t="s">
        <v>571</v>
      </c>
      <c r="E284" s="6" t="s">
        <v>572</v>
      </c>
      <c r="F284" s="6" t="s">
        <v>573</v>
      </c>
      <c r="G284" s="4" t="s">
        <v>2803</v>
      </c>
      <c r="H284" s="4" t="s">
        <v>2925</v>
      </c>
      <c r="I284" s="6" t="s">
        <v>44</v>
      </c>
      <c r="J284" s="6" t="s">
        <v>31</v>
      </c>
      <c r="K284" s="12">
        <f>_xlfn.XLOOKUP(B284,[1]Sheet1!$B:$B,[1]Sheet1!$N:$N,0)</f>
        <v>0</v>
      </c>
      <c r="L284" s="12">
        <f>_xlfn.XLOOKUP(B284,[1]Sheet1!$B:$B,[1]Sheet1!$O:$O,0)</f>
        <v>0</v>
      </c>
      <c r="M284" s="12">
        <f>_xlfn.XLOOKUP(B284,[1]Sheet1!$B:$B,[1]Sheet1!$P:$P,0)</f>
        <v>0</v>
      </c>
      <c r="N284" s="12">
        <f>_xlfn.XLOOKUP(B284,[1]Sheet1!$B:$B,[1]Sheet1!$Q:$Q,0)</f>
        <v>420001</v>
      </c>
      <c r="O284" s="12">
        <f>_xlfn.XLOOKUP(B284,[1]Sheet1!$B:$B,[1]Sheet1!$R:$R,0)</f>
        <v>105000.25</v>
      </c>
      <c r="P284" s="12">
        <f>_xlfn.XLOOKUP(B284,[1]Sheet1!$B:$B,[1]Sheet1!$S:$S,0)</f>
        <v>105000.25</v>
      </c>
      <c r="Q284" s="12">
        <f>_xlfn.XLOOKUP(B284,[1]Sheet1!$B:$B,[1]Sheet1!$T:$T,0)</f>
        <v>105000.25</v>
      </c>
      <c r="R284" s="12">
        <f>_xlfn.XLOOKUP(B284,[1]Sheet1!$B:$B,[1]Sheet1!$U:$U,0)</f>
        <v>105000.25</v>
      </c>
      <c r="S284" s="12">
        <f>_xlfn.XLOOKUP(B284,[1]Sheet1!$B:$B,[1]Sheet1!$V:$V,0)</f>
        <v>105000.25</v>
      </c>
      <c r="T284" s="12">
        <f>_xlfn.XLOOKUP(B284,[1]Sheet1!$B:$B,[1]Sheet1!$W:$W,0)</f>
        <v>105000.25</v>
      </c>
      <c r="U284" s="12">
        <f>_xlfn.XLOOKUP(B284,[1]Sheet1!$B:$B,[1]Sheet1!$X:$X,0)</f>
        <v>105000.25</v>
      </c>
      <c r="V284" s="12">
        <f>_xlfn.XLOOKUP(B284,[1]Sheet1!$B:$B,[1]Sheet1!$Y:$Y,0)</f>
        <v>105000.25</v>
      </c>
      <c r="W284" s="12">
        <f t="shared" si="11"/>
        <v>1260003</v>
      </c>
      <c r="X284" s="6" t="s">
        <v>574</v>
      </c>
      <c r="Y284" s="6" t="s">
        <v>319</v>
      </c>
      <c r="Z284" s="6" t="s">
        <v>320</v>
      </c>
      <c r="AA284" s="6" t="s">
        <v>44</v>
      </c>
      <c r="AB284" s="6" t="s">
        <v>327</v>
      </c>
      <c r="AC284" s="6" t="s">
        <v>37</v>
      </c>
      <c r="AD284" s="6" t="s">
        <v>342</v>
      </c>
      <c r="AE284" s="6" t="s">
        <v>39</v>
      </c>
      <c r="AF284" s="6" t="s">
        <v>40</v>
      </c>
      <c r="AG284" s="7">
        <v>1260003</v>
      </c>
      <c r="AH284" s="11">
        <f>_xlfn.XLOOKUP(B284,[1]Sheet1!$B:$B,[1]Sheet1!$AB:$AB,0)</f>
        <v>1260003</v>
      </c>
    </row>
    <row r="285" spans="2:34" ht="16.8" thickTop="1" thickBot="1" x14ac:dyDescent="0.35">
      <c r="B285" s="3" t="str">
        <f t="shared" si="10"/>
        <v>45154004511000467PR&amp;MediaCoverage-L424781201931</v>
      </c>
      <c r="C285" s="8" t="s">
        <v>213</v>
      </c>
      <c r="D285" s="8" t="s">
        <v>575</v>
      </c>
      <c r="E285" s="8" t="s">
        <v>576</v>
      </c>
      <c r="F285" s="8" t="s">
        <v>577</v>
      </c>
      <c r="G285" s="4" t="s">
        <v>2815</v>
      </c>
      <c r="H285" s="4" t="s">
        <v>2925</v>
      </c>
      <c r="I285" s="8" t="s">
        <v>100</v>
      </c>
      <c r="J285" s="8" t="s">
        <v>31</v>
      </c>
      <c r="K285" s="12">
        <f>_xlfn.XLOOKUP(B285,[1]Sheet1!$B:$B,[1]Sheet1!$N:$N,0)</f>
        <v>0</v>
      </c>
      <c r="L285" s="12">
        <f>_xlfn.XLOOKUP(B285,[1]Sheet1!$B:$B,[1]Sheet1!$O:$O,0)</f>
        <v>0</v>
      </c>
      <c r="M285" s="12">
        <f>_xlfn.XLOOKUP(B285,[1]Sheet1!$B:$B,[1]Sheet1!$P:$P,0)</f>
        <v>0</v>
      </c>
      <c r="N285" s="12">
        <f>_xlfn.XLOOKUP(B285,[1]Sheet1!$B:$B,[1]Sheet1!$Q:$Q,0)</f>
        <v>25000</v>
      </c>
      <c r="O285" s="12">
        <f>_xlfn.XLOOKUP(B285,[1]Sheet1!$B:$B,[1]Sheet1!$R:$R,0)</f>
        <v>0</v>
      </c>
      <c r="P285" s="12">
        <f>_xlfn.XLOOKUP(B285,[1]Sheet1!$B:$B,[1]Sheet1!$S:$S,0)</f>
        <v>0</v>
      </c>
      <c r="Q285" s="12">
        <f>_xlfn.XLOOKUP(B285,[1]Sheet1!$B:$B,[1]Sheet1!$T:$T,0)</f>
        <v>0</v>
      </c>
      <c r="R285" s="12">
        <f>_xlfn.XLOOKUP(B285,[1]Sheet1!$B:$B,[1]Sheet1!$U:$U,0)</f>
        <v>0</v>
      </c>
      <c r="S285" s="12">
        <f>_xlfn.XLOOKUP(B285,[1]Sheet1!$B:$B,[1]Sheet1!$V:$V,0)</f>
        <v>0</v>
      </c>
      <c r="T285" s="12">
        <f>_xlfn.XLOOKUP(B285,[1]Sheet1!$B:$B,[1]Sheet1!$W:$W,0)</f>
        <v>0</v>
      </c>
      <c r="U285" s="12">
        <f>_xlfn.XLOOKUP(B285,[1]Sheet1!$B:$B,[1]Sheet1!$X:$X,0)</f>
        <v>0</v>
      </c>
      <c r="V285" s="12">
        <f>_xlfn.XLOOKUP(B285,[1]Sheet1!$B:$B,[1]Sheet1!$Y:$Y,0)</f>
        <v>0</v>
      </c>
      <c r="W285" s="12">
        <f t="shared" si="11"/>
        <v>25000</v>
      </c>
      <c r="X285" s="8" t="s">
        <v>578</v>
      </c>
      <c r="Y285" s="8" t="s">
        <v>211</v>
      </c>
      <c r="Z285" s="8" t="s">
        <v>212</v>
      </c>
      <c r="AA285" s="8" t="s">
        <v>100</v>
      </c>
      <c r="AB285" s="8" t="s">
        <v>327</v>
      </c>
      <c r="AC285" s="8" t="s">
        <v>37</v>
      </c>
      <c r="AD285" s="8" t="s">
        <v>214</v>
      </c>
      <c r="AE285" s="8" t="s">
        <v>39</v>
      </c>
      <c r="AF285" s="8" t="s">
        <v>40</v>
      </c>
      <c r="AG285" s="9">
        <v>25000</v>
      </c>
      <c r="AH285" s="11">
        <f>_xlfn.XLOOKUP(B285,[1]Sheet1!$B:$B,[1]Sheet1!$AB:$AB,0)</f>
        <v>25000</v>
      </c>
    </row>
    <row r="286" spans="2:34" ht="16.8" thickTop="1" thickBot="1" x14ac:dyDescent="0.35">
      <c r="B286" s="3" t="str">
        <f t="shared" si="10"/>
        <v>45154004511000467Research&amp;Survey-N423411200104</v>
      </c>
      <c r="C286" s="6" t="s">
        <v>213</v>
      </c>
      <c r="D286" s="6" t="s">
        <v>575</v>
      </c>
      <c r="E286" s="6" t="s">
        <v>576</v>
      </c>
      <c r="F286" s="6" t="s">
        <v>381</v>
      </c>
      <c r="G286" s="4" t="s">
        <v>2833</v>
      </c>
      <c r="H286" s="4" t="s">
        <v>2922</v>
      </c>
      <c r="I286" s="6" t="s">
        <v>330</v>
      </c>
      <c r="J286" s="6" t="s">
        <v>31</v>
      </c>
      <c r="K286" s="12">
        <f>_xlfn.XLOOKUP(B286,[1]Sheet1!$B:$B,[1]Sheet1!$N:$N,0)</f>
        <v>0</v>
      </c>
      <c r="L286" s="12">
        <f>_xlfn.XLOOKUP(B286,[1]Sheet1!$B:$B,[1]Sheet1!$O:$O,0)</f>
        <v>0</v>
      </c>
      <c r="M286" s="12">
        <f>_xlfn.XLOOKUP(B286,[1]Sheet1!$B:$B,[1]Sheet1!$P:$P,0)</f>
        <v>0</v>
      </c>
      <c r="N286" s="12">
        <f>_xlfn.XLOOKUP(B286,[1]Sheet1!$B:$B,[1]Sheet1!$Q:$Q,0)</f>
        <v>39400.3145</v>
      </c>
      <c r="O286" s="12">
        <f>_xlfn.XLOOKUP(B286,[1]Sheet1!$B:$B,[1]Sheet1!$R:$R,0)</f>
        <v>27925</v>
      </c>
      <c r="P286" s="12">
        <f>_xlfn.XLOOKUP(B286,[1]Sheet1!$B:$B,[1]Sheet1!$S:$S,0)</f>
        <v>27925</v>
      </c>
      <c r="Q286" s="12">
        <f>_xlfn.XLOOKUP(B286,[1]Sheet1!$B:$B,[1]Sheet1!$T:$T,0)</f>
        <v>27925</v>
      </c>
      <c r="R286" s="12">
        <f>_xlfn.XLOOKUP(B286,[1]Sheet1!$B:$B,[1]Sheet1!$U:$U,0)</f>
        <v>27925</v>
      </c>
      <c r="S286" s="12">
        <f>_xlfn.XLOOKUP(B286,[1]Sheet1!$B:$B,[1]Sheet1!$V:$V,0)</f>
        <v>0</v>
      </c>
      <c r="T286" s="12">
        <f>_xlfn.XLOOKUP(B286,[1]Sheet1!$B:$B,[1]Sheet1!$W:$W,0)</f>
        <v>0</v>
      </c>
      <c r="U286" s="12">
        <f>_xlfn.XLOOKUP(B286,[1]Sheet1!$B:$B,[1]Sheet1!$X:$X,0)</f>
        <v>0</v>
      </c>
      <c r="V286" s="12">
        <f>_xlfn.XLOOKUP(B286,[1]Sheet1!$B:$B,[1]Sheet1!$Y:$Y,0)</f>
        <v>55850</v>
      </c>
      <c r="W286" s="12">
        <f t="shared" si="11"/>
        <v>206950.31450000001</v>
      </c>
      <c r="X286" s="6" t="s">
        <v>579</v>
      </c>
      <c r="Y286" s="6" t="s">
        <v>211</v>
      </c>
      <c r="Z286" s="6" t="s">
        <v>212</v>
      </c>
      <c r="AA286" s="6" t="s">
        <v>330</v>
      </c>
      <c r="AB286" s="6" t="s">
        <v>36</v>
      </c>
      <c r="AC286" s="6" t="s">
        <v>37</v>
      </c>
      <c r="AD286" s="6" t="s">
        <v>214</v>
      </c>
      <c r="AE286" s="6" t="s">
        <v>39</v>
      </c>
      <c r="AF286" s="6" t="s">
        <v>40</v>
      </c>
      <c r="AG286" s="7">
        <v>206950</v>
      </c>
      <c r="AH286" s="11">
        <f>_xlfn.XLOOKUP(B286,[1]Sheet1!$B:$B,[1]Sheet1!$AB:$AB,0)</f>
        <v>206950.31450000001</v>
      </c>
    </row>
    <row r="287" spans="2:34" ht="16.8" thickTop="1" thickBot="1" x14ac:dyDescent="0.35">
      <c r="B287" s="3" t="str">
        <f t="shared" si="10"/>
        <v>45161004511000488Admin Expenses-N421125200104</v>
      </c>
      <c r="C287" s="8" t="s">
        <v>584</v>
      </c>
      <c r="D287" s="8" t="s">
        <v>580</v>
      </c>
      <c r="E287" s="8" t="s">
        <v>581</v>
      </c>
      <c r="F287" s="8" t="s">
        <v>130</v>
      </c>
      <c r="G287" s="4" t="s">
        <v>2803</v>
      </c>
      <c r="H287" s="4" t="s">
        <v>2922</v>
      </c>
      <c r="I287" s="8" t="s">
        <v>44</v>
      </c>
      <c r="J287" s="8" t="s">
        <v>31</v>
      </c>
      <c r="K287" s="12">
        <f>_xlfn.XLOOKUP(B287,[1]Sheet1!$B:$B,[1]Sheet1!$N:$N,0)</f>
        <v>0</v>
      </c>
      <c r="L287" s="12">
        <f>_xlfn.XLOOKUP(B287,[1]Sheet1!$B:$B,[1]Sheet1!$O:$O,0)</f>
        <v>0</v>
      </c>
      <c r="M287" s="12">
        <f>_xlfn.XLOOKUP(B287,[1]Sheet1!$B:$B,[1]Sheet1!$P:$P,0)</f>
        <v>38543.130000000005</v>
      </c>
      <c r="N287" s="12">
        <f>_xlfn.XLOOKUP(B287,[1]Sheet1!$B:$B,[1]Sheet1!$Q:$Q,0)</f>
        <v>1274.08</v>
      </c>
      <c r="O287" s="12">
        <f>_xlfn.XLOOKUP(B287,[1]Sheet1!$B:$B,[1]Sheet1!$R:$R,0)</f>
        <v>17542</v>
      </c>
      <c r="P287" s="12">
        <f>_xlfn.XLOOKUP(B287,[1]Sheet1!$B:$B,[1]Sheet1!$S:$S,0)</f>
        <v>3921</v>
      </c>
      <c r="Q287" s="12">
        <f>_xlfn.XLOOKUP(B287,[1]Sheet1!$B:$B,[1]Sheet1!$T:$T,0)</f>
        <v>28480</v>
      </c>
      <c r="R287" s="12">
        <f>_xlfn.XLOOKUP(B287,[1]Sheet1!$B:$B,[1]Sheet1!$U:$U,0)</f>
        <v>49457</v>
      </c>
      <c r="S287" s="12">
        <f>_xlfn.XLOOKUP(B287,[1]Sheet1!$B:$B,[1]Sheet1!$V:$V,0)</f>
        <v>100315</v>
      </c>
      <c r="T287" s="12">
        <f>_xlfn.XLOOKUP(B287,[1]Sheet1!$B:$B,[1]Sheet1!$W:$W,0)</f>
        <v>25117</v>
      </c>
      <c r="U287" s="12">
        <f>_xlfn.XLOOKUP(B287,[1]Sheet1!$B:$B,[1]Sheet1!$X:$X,0)</f>
        <v>54712</v>
      </c>
      <c r="V287" s="12">
        <f>_xlfn.XLOOKUP(B287,[1]Sheet1!$B:$B,[1]Sheet1!$Y:$Y,0)</f>
        <v>4639</v>
      </c>
      <c r="W287" s="12">
        <f t="shared" si="11"/>
        <v>324000.21000000002</v>
      </c>
      <c r="X287" s="8" t="s">
        <v>582</v>
      </c>
      <c r="Y287" s="8" t="s">
        <v>65</v>
      </c>
      <c r="Z287" s="8" t="s">
        <v>583</v>
      </c>
      <c r="AA287" s="8" t="s">
        <v>44</v>
      </c>
      <c r="AB287" s="8" t="s">
        <v>36</v>
      </c>
      <c r="AC287" s="8" t="s">
        <v>37</v>
      </c>
      <c r="AD287" s="8" t="s">
        <v>69</v>
      </c>
      <c r="AE287" s="8" t="s">
        <v>39</v>
      </c>
      <c r="AF287" s="8" t="s">
        <v>40</v>
      </c>
      <c r="AG287" s="9">
        <v>324000</v>
      </c>
      <c r="AH287" s="11">
        <f>_xlfn.XLOOKUP(B287,[1]Sheet1!$B:$B,[1]Sheet1!$AB:$AB,0)</f>
        <v>324000.21000000002</v>
      </c>
    </row>
    <row r="288" spans="2:34" ht="16.8" thickTop="1" thickBot="1" x14ac:dyDescent="0.35">
      <c r="B288" s="3" t="str">
        <f t="shared" si="10"/>
        <v>45161004511000488Event Management-N422401200104</v>
      </c>
      <c r="C288" s="6" t="s">
        <v>584</v>
      </c>
      <c r="D288" s="6" t="s">
        <v>580</v>
      </c>
      <c r="E288" s="6" t="s">
        <v>581</v>
      </c>
      <c r="F288" s="6" t="s">
        <v>162</v>
      </c>
      <c r="G288" s="4" t="s">
        <v>2807</v>
      </c>
      <c r="H288" s="4" t="s">
        <v>2922</v>
      </c>
      <c r="I288" s="6" t="s">
        <v>63</v>
      </c>
      <c r="J288" s="6" t="s">
        <v>31</v>
      </c>
      <c r="K288" s="12">
        <f>_xlfn.XLOOKUP(B288,[1]Sheet1!$B:$B,[1]Sheet1!$N:$N,0)</f>
        <v>0</v>
      </c>
      <c r="L288" s="12">
        <f>_xlfn.XLOOKUP(B288,[1]Sheet1!$B:$B,[1]Sheet1!$O:$O,0)</f>
        <v>0</v>
      </c>
      <c r="M288" s="12">
        <f>_xlfn.XLOOKUP(B288,[1]Sheet1!$B:$B,[1]Sheet1!$P:$P,0)</f>
        <v>143700</v>
      </c>
      <c r="N288" s="12">
        <f>_xlfn.XLOOKUP(B288,[1]Sheet1!$B:$B,[1]Sheet1!$Q:$Q,0)</f>
        <v>0</v>
      </c>
      <c r="O288" s="12">
        <f>_xlfn.XLOOKUP(B288,[1]Sheet1!$B:$B,[1]Sheet1!$R:$R,0)</f>
        <v>0</v>
      </c>
      <c r="P288" s="12">
        <f>_xlfn.XLOOKUP(B288,[1]Sheet1!$B:$B,[1]Sheet1!$S:$S,0)</f>
        <v>686550</v>
      </c>
      <c r="Q288" s="12">
        <f>_xlfn.XLOOKUP(B288,[1]Sheet1!$B:$B,[1]Sheet1!$T:$T,0)</f>
        <v>550000</v>
      </c>
      <c r="R288" s="12">
        <f>_xlfn.XLOOKUP(B288,[1]Sheet1!$B:$B,[1]Sheet1!$U:$U,0)</f>
        <v>124000</v>
      </c>
      <c r="S288" s="12">
        <f>_xlfn.XLOOKUP(B288,[1]Sheet1!$B:$B,[1]Sheet1!$V:$V,0)</f>
        <v>25080</v>
      </c>
      <c r="T288" s="12">
        <f>_xlfn.XLOOKUP(B288,[1]Sheet1!$B:$B,[1]Sheet1!$W:$W,0)</f>
        <v>600000</v>
      </c>
      <c r="U288" s="12">
        <f>_xlfn.XLOOKUP(B288,[1]Sheet1!$B:$B,[1]Sheet1!$X:$X,0)</f>
        <v>283931</v>
      </c>
      <c r="V288" s="12">
        <f>_xlfn.XLOOKUP(B288,[1]Sheet1!$B:$B,[1]Sheet1!$Y:$Y,0)</f>
        <v>323421</v>
      </c>
      <c r="W288" s="12">
        <f t="shared" si="11"/>
        <v>2736682</v>
      </c>
      <c r="X288" s="6" t="s">
        <v>585</v>
      </c>
      <c r="Y288" s="6" t="s">
        <v>65</v>
      </c>
      <c r="Z288" s="6" t="s">
        <v>583</v>
      </c>
      <c r="AA288" s="6" t="s">
        <v>68</v>
      </c>
      <c r="AB288" s="6" t="s">
        <v>36</v>
      </c>
      <c r="AC288" s="6" t="s">
        <v>37</v>
      </c>
      <c r="AD288" s="6" t="s">
        <v>69</v>
      </c>
      <c r="AE288" s="6" t="s">
        <v>39</v>
      </c>
      <c r="AF288" s="6" t="s">
        <v>40</v>
      </c>
      <c r="AG288" s="7">
        <v>2736682</v>
      </c>
      <c r="AH288" s="11">
        <f>_xlfn.XLOOKUP(B288,[1]Sheet1!$B:$B,[1]Sheet1!$AB:$AB,0)</f>
        <v>2736682</v>
      </c>
    </row>
    <row r="289" spans="2:34" ht="16.8" thickTop="1" thickBot="1" x14ac:dyDescent="0.35">
      <c r="B289" s="3" t="str">
        <f t="shared" si="10"/>
        <v>45161004511000488Freelancers-N424521200104</v>
      </c>
      <c r="C289" s="8" t="s">
        <v>584</v>
      </c>
      <c r="D289" s="8" t="s">
        <v>580</v>
      </c>
      <c r="E289" s="8" t="s">
        <v>581</v>
      </c>
      <c r="F289" s="8" t="s">
        <v>50</v>
      </c>
      <c r="G289" s="4" t="s">
        <v>2804</v>
      </c>
      <c r="H289" s="4" t="s">
        <v>2922</v>
      </c>
      <c r="I289" s="8" t="s">
        <v>51</v>
      </c>
      <c r="J289" s="8" t="s">
        <v>31</v>
      </c>
      <c r="K289" s="12">
        <f>_xlfn.XLOOKUP(B289,[1]Sheet1!$B:$B,[1]Sheet1!$N:$N,0)</f>
        <v>0</v>
      </c>
      <c r="L289" s="12">
        <f>_xlfn.XLOOKUP(B289,[1]Sheet1!$B:$B,[1]Sheet1!$O:$O,0)</f>
        <v>0</v>
      </c>
      <c r="M289" s="12">
        <f>_xlfn.XLOOKUP(B289,[1]Sheet1!$B:$B,[1]Sheet1!$P:$P,0)</f>
        <v>45867</v>
      </c>
      <c r="N289" s="12">
        <f>_xlfn.XLOOKUP(B289,[1]Sheet1!$B:$B,[1]Sheet1!$Q:$Q,0)</f>
        <v>0</v>
      </c>
      <c r="O289" s="12">
        <f>_xlfn.XLOOKUP(B289,[1]Sheet1!$B:$B,[1]Sheet1!$R:$R,0)</f>
        <v>0</v>
      </c>
      <c r="P289" s="12">
        <f>_xlfn.XLOOKUP(B289,[1]Sheet1!$B:$B,[1]Sheet1!$S:$S,0)</f>
        <v>39133</v>
      </c>
      <c r="Q289" s="12">
        <f>_xlfn.XLOOKUP(B289,[1]Sheet1!$B:$B,[1]Sheet1!$T:$T,0)</f>
        <v>12500</v>
      </c>
      <c r="R289" s="12">
        <f>_xlfn.XLOOKUP(B289,[1]Sheet1!$B:$B,[1]Sheet1!$U:$U,0)</f>
        <v>13500</v>
      </c>
      <c r="S289" s="12">
        <f>_xlfn.XLOOKUP(B289,[1]Sheet1!$B:$B,[1]Sheet1!$V:$V,0)</f>
        <v>0</v>
      </c>
      <c r="T289" s="12">
        <f>_xlfn.XLOOKUP(B289,[1]Sheet1!$B:$B,[1]Sheet1!$W:$W,0)</f>
        <v>54784</v>
      </c>
      <c r="U289" s="12">
        <f>_xlfn.XLOOKUP(B289,[1]Sheet1!$B:$B,[1]Sheet1!$X:$X,0)</f>
        <v>50000</v>
      </c>
      <c r="V289" s="12">
        <f>_xlfn.XLOOKUP(B289,[1]Sheet1!$B:$B,[1]Sheet1!$Y:$Y,0)</f>
        <v>0</v>
      </c>
      <c r="W289" s="12">
        <f t="shared" si="11"/>
        <v>215784</v>
      </c>
      <c r="X289" s="8" t="s">
        <v>586</v>
      </c>
      <c r="Y289" s="8" t="s">
        <v>65</v>
      </c>
      <c r="Z289" s="8" t="s">
        <v>583</v>
      </c>
      <c r="AA289" s="8" t="s">
        <v>53</v>
      </c>
      <c r="AB289" s="8" t="s">
        <v>36</v>
      </c>
      <c r="AC289" s="8" t="s">
        <v>37</v>
      </c>
      <c r="AD289" s="8" t="s">
        <v>69</v>
      </c>
      <c r="AE289" s="8" t="s">
        <v>39</v>
      </c>
      <c r="AF289" s="8" t="s">
        <v>40</v>
      </c>
      <c r="AG289" s="9">
        <v>215784</v>
      </c>
      <c r="AH289" s="11">
        <f>_xlfn.XLOOKUP(B289,[1]Sheet1!$B:$B,[1]Sheet1!$AB:$AB,0)</f>
        <v>215784</v>
      </c>
    </row>
    <row r="290" spans="2:34" ht="16.8" thickTop="1" thickBot="1" x14ac:dyDescent="0.35">
      <c r="B290" s="3" t="str">
        <f t="shared" si="10"/>
        <v>45161004511000488Mission &amp; Travel-N423821200104</v>
      </c>
      <c r="C290" s="6" t="s">
        <v>584</v>
      </c>
      <c r="D290" s="6" t="s">
        <v>580</v>
      </c>
      <c r="E290" s="6" t="s">
        <v>581</v>
      </c>
      <c r="F290" s="6" t="s">
        <v>54</v>
      </c>
      <c r="G290" s="4" t="s">
        <v>2805</v>
      </c>
      <c r="H290" s="4" t="s">
        <v>2922</v>
      </c>
      <c r="I290" s="6" t="s">
        <v>55</v>
      </c>
      <c r="J290" s="6" t="s">
        <v>31</v>
      </c>
      <c r="K290" s="12">
        <f>_xlfn.XLOOKUP(B290,[1]Sheet1!$B:$B,[1]Sheet1!$N:$N,0)</f>
        <v>0</v>
      </c>
      <c r="L290" s="12">
        <f>_xlfn.XLOOKUP(B290,[1]Sheet1!$B:$B,[1]Sheet1!$O:$O,0)</f>
        <v>0</v>
      </c>
      <c r="M290" s="12">
        <f>_xlfn.XLOOKUP(B290,[1]Sheet1!$B:$B,[1]Sheet1!$P:$P,0)</f>
        <v>0</v>
      </c>
      <c r="N290" s="12">
        <f>_xlfn.XLOOKUP(B290,[1]Sheet1!$B:$B,[1]Sheet1!$Q:$Q,0)</f>
        <v>0</v>
      </c>
      <c r="O290" s="12">
        <f>_xlfn.XLOOKUP(B290,[1]Sheet1!$B:$B,[1]Sheet1!$R:$R,0)</f>
        <v>0</v>
      </c>
      <c r="P290" s="12">
        <f>_xlfn.XLOOKUP(B290,[1]Sheet1!$B:$B,[1]Sheet1!$S:$S,0)</f>
        <v>112750</v>
      </c>
      <c r="Q290" s="12">
        <f>_xlfn.XLOOKUP(B290,[1]Sheet1!$B:$B,[1]Sheet1!$T:$T,0)</f>
        <v>0</v>
      </c>
      <c r="R290" s="12">
        <f>_xlfn.XLOOKUP(B290,[1]Sheet1!$B:$B,[1]Sheet1!$U:$U,0)</f>
        <v>112750</v>
      </c>
      <c r="S290" s="12">
        <f>_xlfn.XLOOKUP(B290,[1]Sheet1!$B:$B,[1]Sheet1!$V:$V,0)</f>
        <v>0</v>
      </c>
      <c r="T290" s="12">
        <f>_xlfn.XLOOKUP(B290,[1]Sheet1!$B:$B,[1]Sheet1!$W:$W,0)</f>
        <v>112750</v>
      </c>
      <c r="U290" s="12">
        <f>_xlfn.XLOOKUP(B290,[1]Sheet1!$B:$B,[1]Sheet1!$X:$X,0)</f>
        <v>113250</v>
      </c>
      <c r="V290" s="12">
        <f>_xlfn.XLOOKUP(B290,[1]Sheet1!$B:$B,[1]Sheet1!$Y:$Y,0)</f>
        <v>0</v>
      </c>
      <c r="W290" s="12">
        <f t="shared" si="11"/>
        <v>451500</v>
      </c>
      <c r="X290" s="6" t="s">
        <v>587</v>
      </c>
      <c r="Y290" s="6" t="s">
        <v>65</v>
      </c>
      <c r="Z290" s="6" t="s">
        <v>583</v>
      </c>
      <c r="AA290" s="6" t="s">
        <v>55</v>
      </c>
      <c r="AB290" s="6" t="s">
        <v>36</v>
      </c>
      <c r="AC290" s="6" t="s">
        <v>37</v>
      </c>
      <c r="AD290" s="6" t="s">
        <v>69</v>
      </c>
      <c r="AE290" s="6" t="s">
        <v>39</v>
      </c>
      <c r="AF290" s="6" t="s">
        <v>40</v>
      </c>
      <c r="AG290" s="7">
        <v>451500</v>
      </c>
      <c r="AH290" s="11">
        <f>_xlfn.XLOOKUP(B290,[1]Sheet1!$B:$B,[1]Sheet1!$AB:$AB,0)</f>
        <v>451500</v>
      </c>
    </row>
    <row r="291" spans="2:34" ht="16.8" thickTop="1" thickBot="1" x14ac:dyDescent="0.35">
      <c r="B291" s="3" t="str">
        <f t="shared" si="10"/>
        <v>45161004511000490Awards &amp; Prizes-N424231200104</v>
      </c>
      <c r="C291" s="8" t="s">
        <v>584</v>
      </c>
      <c r="D291" s="8" t="s">
        <v>588</v>
      </c>
      <c r="E291" s="8" t="s">
        <v>589</v>
      </c>
      <c r="F291" s="8" t="s">
        <v>590</v>
      </c>
      <c r="G291" s="4" t="s">
        <v>2832</v>
      </c>
      <c r="H291" s="4" t="s">
        <v>2922</v>
      </c>
      <c r="I291" s="8" t="s">
        <v>324</v>
      </c>
      <c r="J291" s="8" t="s">
        <v>31</v>
      </c>
      <c r="K291" s="12">
        <f>_xlfn.XLOOKUP(B291,[1]Sheet1!$B:$B,[1]Sheet1!$N:$N,0)</f>
        <v>0</v>
      </c>
      <c r="L291" s="12">
        <f>_xlfn.XLOOKUP(B291,[1]Sheet1!$B:$B,[1]Sheet1!$O:$O,0)</f>
        <v>0</v>
      </c>
      <c r="M291" s="12">
        <f>_xlfn.XLOOKUP(B291,[1]Sheet1!$B:$B,[1]Sheet1!$P:$P,0)</f>
        <v>0</v>
      </c>
      <c r="N291" s="12">
        <f>_xlfn.XLOOKUP(B291,[1]Sheet1!$B:$B,[1]Sheet1!$Q:$Q,0)</f>
        <v>0</v>
      </c>
      <c r="O291" s="12">
        <f>_xlfn.XLOOKUP(B291,[1]Sheet1!$B:$B,[1]Sheet1!$R:$R,0)</f>
        <v>0</v>
      </c>
      <c r="P291" s="12">
        <f>_xlfn.XLOOKUP(B291,[1]Sheet1!$B:$B,[1]Sheet1!$S:$S,0)</f>
        <v>103026</v>
      </c>
      <c r="Q291" s="12">
        <f>_xlfn.XLOOKUP(B291,[1]Sheet1!$B:$B,[1]Sheet1!$T:$T,0)</f>
        <v>6900</v>
      </c>
      <c r="R291" s="12">
        <f>_xlfn.XLOOKUP(B291,[1]Sheet1!$B:$B,[1]Sheet1!$U:$U,0)</f>
        <v>16000</v>
      </c>
      <c r="S291" s="12">
        <f>_xlfn.XLOOKUP(B291,[1]Sheet1!$B:$B,[1]Sheet1!$V:$V,0)</f>
        <v>24500</v>
      </c>
      <c r="T291" s="12">
        <f>_xlfn.XLOOKUP(B291,[1]Sheet1!$B:$B,[1]Sheet1!$W:$W,0)</f>
        <v>0</v>
      </c>
      <c r="U291" s="12">
        <f>_xlfn.XLOOKUP(B291,[1]Sheet1!$B:$B,[1]Sheet1!$X:$X,0)</f>
        <v>2574</v>
      </c>
      <c r="V291" s="12">
        <f>_xlfn.XLOOKUP(B291,[1]Sheet1!$B:$B,[1]Sheet1!$Y:$Y,0)</f>
        <v>0</v>
      </c>
      <c r="W291" s="12">
        <f t="shared" si="11"/>
        <v>153000</v>
      </c>
      <c r="X291" s="8" t="s">
        <v>591</v>
      </c>
      <c r="Y291" s="8" t="s">
        <v>65</v>
      </c>
      <c r="Z291" s="8" t="s">
        <v>583</v>
      </c>
      <c r="AA291" s="8" t="s">
        <v>326</v>
      </c>
      <c r="AB291" s="8" t="s">
        <v>36</v>
      </c>
      <c r="AC291" s="8" t="s">
        <v>37</v>
      </c>
      <c r="AD291" s="8" t="s">
        <v>69</v>
      </c>
      <c r="AE291" s="8" t="s">
        <v>39</v>
      </c>
      <c r="AF291" s="8" t="s">
        <v>40</v>
      </c>
      <c r="AG291" s="9">
        <v>153000</v>
      </c>
      <c r="AH291" s="11">
        <f>_xlfn.XLOOKUP(B291,[1]Sheet1!$B:$B,[1]Sheet1!$AB:$AB,0)</f>
        <v>153000</v>
      </c>
    </row>
    <row r="292" spans="2:34" ht="16.8" thickTop="1" thickBot="1" x14ac:dyDescent="0.35">
      <c r="B292" s="3" t="str">
        <f t="shared" si="10"/>
        <v>45161004511000490Print Runs-N424791200104</v>
      </c>
      <c r="C292" s="6" t="s">
        <v>584</v>
      </c>
      <c r="D292" s="6" t="s">
        <v>588</v>
      </c>
      <c r="E292" s="6" t="s">
        <v>589</v>
      </c>
      <c r="F292" s="6" t="s">
        <v>304</v>
      </c>
      <c r="G292" s="4" t="s">
        <v>2830</v>
      </c>
      <c r="H292" s="4" t="s">
        <v>2922</v>
      </c>
      <c r="I292" s="6" t="s">
        <v>305</v>
      </c>
      <c r="J292" s="6" t="s">
        <v>31</v>
      </c>
      <c r="K292" s="12">
        <f>_xlfn.XLOOKUP(B292,[1]Sheet1!$B:$B,[1]Sheet1!$N:$N,0)</f>
        <v>0</v>
      </c>
      <c r="L292" s="12">
        <f>_xlfn.XLOOKUP(B292,[1]Sheet1!$B:$B,[1]Sheet1!$O:$O,0)</f>
        <v>0</v>
      </c>
      <c r="M292" s="12">
        <f>_xlfn.XLOOKUP(B292,[1]Sheet1!$B:$B,[1]Sheet1!$P:$P,0)</f>
        <v>0</v>
      </c>
      <c r="N292" s="12">
        <f>_xlfn.XLOOKUP(B292,[1]Sheet1!$B:$B,[1]Sheet1!$Q:$Q,0)</f>
        <v>0</v>
      </c>
      <c r="O292" s="12">
        <f>_xlfn.XLOOKUP(B292,[1]Sheet1!$B:$B,[1]Sheet1!$R:$R,0)</f>
        <v>0</v>
      </c>
      <c r="P292" s="12">
        <f>_xlfn.XLOOKUP(B292,[1]Sheet1!$B:$B,[1]Sheet1!$S:$S,0)</f>
        <v>47762</v>
      </c>
      <c r="Q292" s="12">
        <f>_xlfn.XLOOKUP(B292,[1]Sheet1!$B:$B,[1]Sheet1!$T:$T,0)</f>
        <v>0</v>
      </c>
      <c r="R292" s="12">
        <f>_xlfn.XLOOKUP(B292,[1]Sheet1!$B:$B,[1]Sheet1!$U:$U,0)</f>
        <v>0</v>
      </c>
      <c r="S292" s="12">
        <f>_xlfn.XLOOKUP(B292,[1]Sheet1!$B:$B,[1]Sheet1!$V:$V,0)</f>
        <v>139150</v>
      </c>
      <c r="T292" s="12">
        <f>_xlfn.XLOOKUP(B292,[1]Sheet1!$B:$B,[1]Sheet1!$W:$W,0)</f>
        <v>47618</v>
      </c>
      <c r="U292" s="12">
        <f>_xlfn.XLOOKUP(B292,[1]Sheet1!$B:$B,[1]Sheet1!$X:$X,0)</f>
        <v>71470</v>
      </c>
      <c r="V292" s="12">
        <f>_xlfn.XLOOKUP(B292,[1]Sheet1!$B:$B,[1]Sheet1!$Y:$Y,0)</f>
        <v>0</v>
      </c>
      <c r="W292" s="12">
        <f t="shared" si="11"/>
        <v>306000</v>
      </c>
      <c r="X292" s="6" t="s">
        <v>592</v>
      </c>
      <c r="Y292" s="6" t="s">
        <v>65</v>
      </c>
      <c r="Z292" s="6" t="s">
        <v>583</v>
      </c>
      <c r="AA292" s="6" t="s">
        <v>305</v>
      </c>
      <c r="AB292" s="6" t="s">
        <v>36</v>
      </c>
      <c r="AC292" s="6" t="s">
        <v>37</v>
      </c>
      <c r="AD292" s="6" t="s">
        <v>69</v>
      </c>
      <c r="AE292" s="6" t="s">
        <v>39</v>
      </c>
      <c r="AF292" s="6" t="s">
        <v>40</v>
      </c>
      <c r="AG292" s="7">
        <v>306000</v>
      </c>
      <c r="AH292" s="11">
        <f>_xlfn.XLOOKUP(B292,[1]Sheet1!$B:$B,[1]Sheet1!$AB:$AB,0)</f>
        <v>306000</v>
      </c>
    </row>
    <row r="293" spans="2:34" ht="16.8" thickTop="1" thickBot="1" x14ac:dyDescent="0.35">
      <c r="B293" s="3" t="str">
        <f t="shared" si="10"/>
        <v>45161004511000491Event Management-N422401200104</v>
      </c>
      <c r="C293" s="8" t="s">
        <v>584</v>
      </c>
      <c r="D293" s="8" t="s">
        <v>593</v>
      </c>
      <c r="E293" s="8" t="s">
        <v>594</v>
      </c>
      <c r="F293" s="8" t="s">
        <v>162</v>
      </c>
      <c r="G293" s="4" t="s">
        <v>2807</v>
      </c>
      <c r="H293" s="4" t="s">
        <v>2922</v>
      </c>
      <c r="I293" s="8" t="s">
        <v>63</v>
      </c>
      <c r="J293" s="8" t="s">
        <v>31</v>
      </c>
      <c r="K293" s="12">
        <f>_xlfn.XLOOKUP(B293,[1]Sheet1!$B:$B,[1]Sheet1!$N:$N,0)</f>
        <v>0</v>
      </c>
      <c r="L293" s="12">
        <f>_xlfn.XLOOKUP(B293,[1]Sheet1!$B:$B,[1]Sheet1!$O:$O,0)</f>
        <v>0</v>
      </c>
      <c r="M293" s="12">
        <f>_xlfn.XLOOKUP(B293,[1]Sheet1!$B:$B,[1]Sheet1!$P:$P,0)</f>
        <v>0</v>
      </c>
      <c r="N293" s="12">
        <f>_xlfn.XLOOKUP(B293,[1]Sheet1!$B:$B,[1]Sheet1!$Q:$Q,0)</f>
        <v>50942</v>
      </c>
      <c r="O293" s="12">
        <f>_xlfn.XLOOKUP(B293,[1]Sheet1!$B:$B,[1]Sheet1!$R:$R,0)</f>
        <v>0</v>
      </c>
      <c r="P293" s="12">
        <f>_xlfn.XLOOKUP(B293,[1]Sheet1!$B:$B,[1]Sheet1!$S:$S,0)</f>
        <v>0</v>
      </c>
      <c r="Q293" s="12">
        <f>_xlfn.XLOOKUP(B293,[1]Sheet1!$B:$B,[1]Sheet1!$T:$T,0)</f>
        <v>0</v>
      </c>
      <c r="R293" s="12">
        <f>_xlfn.XLOOKUP(B293,[1]Sheet1!$B:$B,[1]Sheet1!$U:$U,0)</f>
        <v>0</v>
      </c>
      <c r="S293" s="12">
        <f>_xlfn.XLOOKUP(B293,[1]Sheet1!$B:$B,[1]Sheet1!$V:$V,0)</f>
        <v>0</v>
      </c>
      <c r="T293" s="12">
        <f>_xlfn.XLOOKUP(B293,[1]Sheet1!$B:$B,[1]Sheet1!$W:$W,0)</f>
        <v>0</v>
      </c>
      <c r="U293" s="12">
        <f>_xlfn.XLOOKUP(B293,[1]Sheet1!$B:$B,[1]Sheet1!$X:$X,0)</f>
        <v>222540</v>
      </c>
      <c r="V293" s="12">
        <f>_xlfn.XLOOKUP(B293,[1]Sheet1!$B:$B,[1]Sheet1!$Y:$Y,0)</f>
        <v>22438</v>
      </c>
      <c r="W293" s="12">
        <f t="shared" si="11"/>
        <v>295920</v>
      </c>
      <c r="X293" s="8" t="s">
        <v>585</v>
      </c>
      <c r="Y293" s="8" t="s">
        <v>65</v>
      </c>
      <c r="Z293" s="8" t="s">
        <v>583</v>
      </c>
      <c r="AA293" s="8" t="s">
        <v>68</v>
      </c>
      <c r="AB293" s="8" t="s">
        <v>36</v>
      </c>
      <c r="AC293" s="8" t="s">
        <v>37</v>
      </c>
      <c r="AD293" s="8" t="s">
        <v>69</v>
      </c>
      <c r="AE293" s="8" t="s">
        <v>39</v>
      </c>
      <c r="AF293" s="8" t="s">
        <v>40</v>
      </c>
      <c r="AG293" s="9">
        <v>295920</v>
      </c>
      <c r="AH293" s="11">
        <f>_xlfn.XLOOKUP(B293,[1]Sheet1!$B:$B,[1]Sheet1!$AB:$AB,0)</f>
        <v>295920</v>
      </c>
    </row>
    <row r="294" spans="2:34" ht="16.8" thickTop="1" thickBot="1" x14ac:dyDescent="0.35">
      <c r="B294" s="3" t="str">
        <f t="shared" si="10"/>
        <v>45161004511000492Freelancers-N424521200104</v>
      </c>
      <c r="C294" s="6" t="s">
        <v>584</v>
      </c>
      <c r="D294" s="6" t="s">
        <v>595</v>
      </c>
      <c r="E294" s="6" t="s">
        <v>596</v>
      </c>
      <c r="F294" s="6" t="s">
        <v>50</v>
      </c>
      <c r="G294" s="4" t="s">
        <v>2804</v>
      </c>
      <c r="H294" s="4" t="s">
        <v>2922</v>
      </c>
      <c r="I294" s="6" t="s">
        <v>51</v>
      </c>
      <c r="J294" s="6" t="s">
        <v>31</v>
      </c>
      <c r="K294" s="12">
        <f>_xlfn.XLOOKUP(B294,[1]Sheet1!$B:$B,[1]Sheet1!$N:$N,0)</f>
        <v>0</v>
      </c>
      <c r="L294" s="12">
        <f>_xlfn.XLOOKUP(B294,[1]Sheet1!$B:$B,[1]Sheet1!$O:$O,0)</f>
        <v>0</v>
      </c>
      <c r="M294" s="12">
        <f>_xlfn.XLOOKUP(B294,[1]Sheet1!$B:$B,[1]Sheet1!$P:$P,0)</f>
        <v>60000</v>
      </c>
      <c r="N294" s="12">
        <f>_xlfn.XLOOKUP(B294,[1]Sheet1!$B:$B,[1]Sheet1!$Q:$Q,0)</f>
        <v>0</v>
      </c>
      <c r="O294" s="12">
        <f>_xlfn.XLOOKUP(B294,[1]Sheet1!$B:$B,[1]Sheet1!$R:$R,0)</f>
        <v>46859.7</v>
      </c>
      <c r="P294" s="12">
        <f>_xlfn.XLOOKUP(B294,[1]Sheet1!$B:$B,[1]Sheet1!$S:$S,0)</f>
        <v>74859.7</v>
      </c>
      <c r="Q294" s="12">
        <f>_xlfn.XLOOKUP(B294,[1]Sheet1!$B:$B,[1]Sheet1!$T:$T,0)</f>
        <v>74859.7</v>
      </c>
      <c r="R294" s="12">
        <f>_xlfn.XLOOKUP(B294,[1]Sheet1!$B:$B,[1]Sheet1!$U:$U,0)</f>
        <v>74859.7</v>
      </c>
      <c r="S294" s="12">
        <f>_xlfn.XLOOKUP(B294,[1]Sheet1!$B:$B,[1]Sheet1!$V:$V,0)</f>
        <v>74859.7</v>
      </c>
      <c r="T294" s="12">
        <f>_xlfn.XLOOKUP(B294,[1]Sheet1!$B:$B,[1]Sheet1!$W:$W,0)</f>
        <v>250579</v>
      </c>
      <c r="U294" s="12">
        <f>_xlfn.XLOOKUP(B294,[1]Sheet1!$B:$B,[1]Sheet1!$X:$X,0)</f>
        <v>74859.7</v>
      </c>
      <c r="V294" s="12">
        <f>_xlfn.XLOOKUP(B294,[1]Sheet1!$B:$B,[1]Sheet1!$Y:$Y,0)</f>
        <v>74859.7</v>
      </c>
      <c r="W294" s="12">
        <f t="shared" si="11"/>
        <v>806596.89999999991</v>
      </c>
      <c r="X294" s="6" t="s">
        <v>586</v>
      </c>
      <c r="Y294" s="6" t="s">
        <v>65</v>
      </c>
      <c r="Z294" s="6" t="s">
        <v>583</v>
      </c>
      <c r="AA294" s="6" t="s">
        <v>53</v>
      </c>
      <c r="AB294" s="6" t="s">
        <v>36</v>
      </c>
      <c r="AC294" s="6" t="s">
        <v>37</v>
      </c>
      <c r="AD294" s="6" t="s">
        <v>69</v>
      </c>
      <c r="AE294" s="6" t="s">
        <v>39</v>
      </c>
      <c r="AF294" s="6" t="s">
        <v>40</v>
      </c>
      <c r="AG294" s="7">
        <v>806597</v>
      </c>
      <c r="AH294" s="11">
        <f>_xlfn.XLOOKUP(B294,[1]Sheet1!$B:$B,[1]Sheet1!$AB:$AB,0)</f>
        <v>806596.89999999991</v>
      </c>
    </row>
    <row r="295" spans="2:34" ht="16.8" thickTop="1" thickBot="1" x14ac:dyDescent="0.35">
      <c r="B295" s="3" t="str">
        <f t="shared" si="10"/>
        <v>45161004511000492Gen Logistics-N424671200104</v>
      </c>
      <c r="C295" s="8" t="s">
        <v>584</v>
      </c>
      <c r="D295" s="8" t="s">
        <v>595</v>
      </c>
      <c r="E295" s="8" t="s">
        <v>596</v>
      </c>
      <c r="F295" s="8" t="s">
        <v>311</v>
      </c>
      <c r="G295" s="4" t="s">
        <v>2831</v>
      </c>
      <c r="H295" s="4" t="s">
        <v>2922</v>
      </c>
      <c r="I295" s="8" t="s">
        <v>312</v>
      </c>
      <c r="J295" s="8" t="s">
        <v>31</v>
      </c>
      <c r="K295" s="12">
        <f>_xlfn.XLOOKUP(B295,[1]Sheet1!$B:$B,[1]Sheet1!$N:$N,0)</f>
        <v>0</v>
      </c>
      <c r="L295" s="12">
        <f>_xlfn.XLOOKUP(B295,[1]Sheet1!$B:$B,[1]Sheet1!$O:$O,0)</f>
        <v>0</v>
      </c>
      <c r="M295" s="12">
        <f>_xlfn.XLOOKUP(B295,[1]Sheet1!$B:$B,[1]Sheet1!$P:$P,0)</f>
        <v>0</v>
      </c>
      <c r="N295" s="12">
        <f>_xlfn.XLOOKUP(B295,[1]Sheet1!$B:$B,[1]Sheet1!$Q:$Q,0)</f>
        <v>0</v>
      </c>
      <c r="O295" s="12">
        <f>_xlfn.XLOOKUP(B295,[1]Sheet1!$B:$B,[1]Sheet1!$R:$R,0)</f>
        <v>8490</v>
      </c>
      <c r="P295" s="12">
        <f>_xlfn.XLOOKUP(B295,[1]Sheet1!$B:$B,[1]Sheet1!$S:$S,0)</f>
        <v>0</v>
      </c>
      <c r="Q295" s="12">
        <f>_xlfn.XLOOKUP(B295,[1]Sheet1!$B:$B,[1]Sheet1!$T:$T,0)</f>
        <v>0</v>
      </c>
      <c r="R295" s="12">
        <f>_xlfn.XLOOKUP(B295,[1]Sheet1!$B:$B,[1]Sheet1!$U:$U,0)</f>
        <v>0</v>
      </c>
      <c r="S295" s="12">
        <f>_xlfn.XLOOKUP(B295,[1]Sheet1!$B:$B,[1]Sheet1!$V:$V,0)</f>
        <v>49510</v>
      </c>
      <c r="T295" s="12">
        <f>_xlfn.XLOOKUP(B295,[1]Sheet1!$B:$B,[1]Sheet1!$W:$W,0)</f>
        <v>401900</v>
      </c>
      <c r="U295" s="12">
        <f>_xlfn.XLOOKUP(B295,[1]Sheet1!$B:$B,[1]Sheet1!$X:$X,0)</f>
        <v>0</v>
      </c>
      <c r="V295" s="12">
        <f>_xlfn.XLOOKUP(B295,[1]Sheet1!$B:$B,[1]Sheet1!$Y:$Y,0)</f>
        <v>0</v>
      </c>
      <c r="W295" s="12">
        <f t="shared" si="11"/>
        <v>459900</v>
      </c>
      <c r="X295" s="8" t="s">
        <v>597</v>
      </c>
      <c r="Y295" s="8" t="s">
        <v>65</v>
      </c>
      <c r="Z295" s="8" t="s">
        <v>583</v>
      </c>
      <c r="AA295" s="8" t="s">
        <v>314</v>
      </c>
      <c r="AB295" s="8" t="s">
        <v>36</v>
      </c>
      <c r="AC295" s="8" t="s">
        <v>37</v>
      </c>
      <c r="AD295" s="8" t="s">
        <v>69</v>
      </c>
      <c r="AE295" s="8" t="s">
        <v>39</v>
      </c>
      <c r="AF295" s="8" t="s">
        <v>40</v>
      </c>
      <c r="AG295" s="9">
        <v>459900</v>
      </c>
      <c r="AH295" s="11">
        <f>_xlfn.XLOOKUP(B295,[1]Sheet1!$B:$B,[1]Sheet1!$AB:$AB,0)</f>
        <v>459900</v>
      </c>
    </row>
    <row r="296" spans="2:34" ht="16.8" thickTop="1" thickBot="1" x14ac:dyDescent="0.35">
      <c r="B296" s="3" t="str">
        <f t="shared" si="10"/>
        <v>45161004511000492Manuscripts-N431512200104</v>
      </c>
      <c r="C296" s="6" t="s">
        <v>584</v>
      </c>
      <c r="D296" s="6" t="s">
        <v>595</v>
      </c>
      <c r="E296" s="6" t="s">
        <v>596</v>
      </c>
      <c r="F296" s="6" t="s">
        <v>598</v>
      </c>
      <c r="G296" s="4" t="s">
        <v>2853</v>
      </c>
      <c r="H296" s="4" t="s">
        <v>2922</v>
      </c>
      <c r="I296" s="6" t="s">
        <v>599</v>
      </c>
      <c r="J296" s="6" t="s">
        <v>31</v>
      </c>
      <c r="K296" s="12">
        <f>_xlfn.XLOOKUP(B296,[1]Sheet1!$B:$B,[1]Sheet1!$N:$N,0)</f>
        <v>0</v>
      </c>
      <c r="L296" s="12">
        <f>_xlfn.XLOOKUP(B296,[1]Sheet1!$B:$B,[1]Sheet1!$O:$O,0)</f>
        <v>0</v>
      </c>
      <c r="M296" s="12">
        <f>_xlfn.XLOOKUP(B296,[1]Sheet1!$B:$B,[1]Sheet1!$P:$P,0)</f>
        <v>0</v>
      </c>
      <c r="N296" s="12">
        <f>_xlfn.XLOOKUP(B296,[1]Sheet1!$B:$B,[1]Sheet1!$Q:$Q,0)</f>
        <v>0</v>
      </c>
      <c r="O296" s="12">
        <f>_xlfn.XLOOKUP(B296,[1]Sheet1!$B:$B,[1]Sheet1!$R:$R,0)</f>
        <v>716231.25</v>
      </c>
      <c r="P296" s="12">
        <f>_xlfn.XLOOKUP(B296,[1]Sheet1!$B:$B,[1]Sheet1!$S:$S,0)</f>
        <v>0</v>
      </c>
      <c r="Q296" s="12">
        <f>_xlfn.XLOOKUP(B296,[1]Sheet1!$B:$B,[1]Sheet1!$T:$T,0)</f>
        <v>0</v>
      </c>
      <c r="R296" s="12">
        <f>_xlfn.XLOOKUP(B296,[1]Sheet1!$B:$B,[1]Sheet1!$U:$U,0)</f>
        <v>0</v>
      </c>
      <c r="S296" s="12">
        <f>_xlfn.XLOOKUP(B296,[1]Sheet1!$B:$B,[1]Sheet1!$V:$V,0)</f>
        <v>0</v>
      </c>
      <c r="T296" s="12">
        <f>_xlfn.XLOOKUP(B296,[1]Sheet1!$B:$B,[1]Sheet1!$W:$W,0)</f>
        <v>716231.25</v>
      </c>
      <c r="U296" s="12">
        <f>_xlfn.XLOOKUP(B296,[1]Sheet1!$B:$B,[1]Sheet1!$X:$X,0)</f>
        <v>716231.02</v>
      </c>
      <c r="V296" s="12">
        <f>_xlfn.XLOOKUP(B296,[1]Sheet1!$B:$B,[1]Sheet1!$Y:$Y,0)</f>
        <v>716231</v>
      </c>
      <c r="W296" s="12">
        <f t="shared" si="11"/>
        <v>2864924.52</v>
      </c>
      <c r="X296" s="6" t="s">
        <v>600</v>
      </c>
      <c r="Y296" s="6" t="s">
        <v>65</v>
      </c>
      <c r="Z296" s="6" t="s">
        <v>583</v>
      </c>
      <c r="AA296" s="6" t="s">
        <v>599</v>
      </c>
      <c r="AB296" s="6" t="s">
        <v>36</v>
      </c>
      <c r="AC296" s="6" t="s">
        <v>37</v>
      </c>
      <c r="AD296" s="6" t="s">
        <v>69</v>
      </c>
      <c r="AE296" s="6" t="s">
        <v>39</v>
      </c>
      <c r="AF296" s="6" t="s">
        <v>40</v>
      </c>
      <c r="AG296" s="7">
        <v>2864925</v>
      </c>
      <c r="AH296" s="11">
        <f>_xlfn.XLOOKUP(B296,[1]Sheet1!$B:$B,[1]Sheet1!$AB:$AB,0)</f>
        <v>2864924.52</v>
      </c>
    </row>
    <row r="297" spans="2:34" ht="16.8" thickTop="1" thickBot="1" x14ac:dyDescent="0.35">
      <c r="B297" s="3" t="str">
        <f t="shared" si="10"/>
        <v>45161004511000494Design &amp; Build-N491211300105</v>
      </c>
      <c r="C297" s="8" t="s">
        <v>584</v>
      </c>
      <c r="D297" s="8" t="s">
        <v>601</v>
      </c>
      <c r="E297" s="8" t="s">
        <v>602</v>
      </c>
      <c r="F297" s="8" t="s">
        <v>208</v>
      </c>
      <c r="G297" s="4" t="s">
        <v>2839</v>
      </c>
      <c r="H297" s="4" t="s">
        <v>2923</v>
      </c>
      <c r="I297" s="8" t="s">
        <v>411</v>
      </c>
      <c r="J297" s="8" t="s">
        <v>31</v>
      </c>
      <c r="K297" s="12">
        <f>_xlfn.XLOOKUP(B297,[1]Sheet1!$B:$B,[1]Sheet1!$N:$N,0)</f>
        <v>0</v>
      </c>
      <c r="L297" s="12">
        <f>_xlfn.XLOOKUP(B297,[1]Sheet1!$B:$B,[1]Sheet1!$O:$O,0)</f>
        <v>0</v>
      </c>
      <c r="M297" s="12">
        <f>_xlfn.XLOOKUP(B297,[1]Sheet1!$B:$B,[1]Sheet1!$P:$P,0)</f>
        <v>0</v>
      </c>
      <c r="N297" s="12">
        <f>_xlfn.XLOOKUP(B297,[1]Sheet1!$B:$B,[1]Sheet1!$Q:$Q,0)</f>
        <v>0</v>
      </c>
      <c r="O297" s="12">
        <f>_xlfn.XLOOKUP(B297,[1]Sheet1!$B:$B,[1]Sheet1!$R:$R,0)</f>
        <v>0</v>
      </c>
      <c r="P297" s="12">
        <f>_xlfn.XLOOKUP(B297,[1]Sheet1!$B:$B,[1]Sheet1!$S:$S,0)</f>
        <v>0</v>
      </c>
      <c r="Q297" s="12">
        <f>_xlfn.XLOOKUP(B297,[1]Sheet1!$B:$B,[1]Sheet1!$T:$T,0)</f>
        <v>0</v>
      </c>
      <c r="R297" s="12">
        <f>_xlfn.XLOOKUP(B297,[1]Sheet1!$B:$B,[1]Sheet1!$U:$U,0)</f>
        <v>0</v>
      </c>
      <c r="S297" s="12">
        <f>_xlfn.XLOOKUP(B297,[1]Sheet1!$B:$B,[1]Sheet1!$V:$V,0)</f>
        <v>0</v>
      </c>
      <c r="T297" s="12">
        <f>_xlfn.XLOOKUP(B297,[1]Sheet1!$B:$B,[1]Sheet1!$W:$W,0)</f>
        <v>0</v>
      </c>
      <c r="U297" s="12">
        <f>_xlfn.XLOOKUP(B297,[1]Sheet1!$B:$B,[1]Sheet1!$X:$X,0)</f>
        <v>0</v>
      </c>
      <c r="V297" s="12">
        <f>_xlfn.XLOOKUP(B297,[1]Sheet1!$B:$B,[1]Sheet1!$Y:$Y,0)</f>
        <v>0</v>
      </c>
      <c r="W297" s="12">
        <f t="shared" si="11"/>
        <v>0</v>
      </c>
      <c r="X297" s="8" t="s">
        <v>603</v>
      </c>
      <c r="Y297" s="8" t="s">
        <v>65</v>
      </c>
      <c r="Z297" s="8" t="s">
        <v>583</v>
      </c>
      <c r="AA297" s="8" t="s">
        <v>411</v>
      </c>
      <c r="AB297" s="8" t="s">
        <v>93</v>
      </c>
      <c r="AC297" s="8" t="s">
        <v>94</v>
      </c>
      <c r="AD297" s="8" t="s">
        <v>413</v>
      </c>
      <c r="AE297" s="8" t="s">
        <v>39</v>
      </c>
      <c r="AF297" s="8" t="s">
        <v>40</v>
      </c>
      <c r="AG297" s="9">
        <v>1065000</v>
      </c>
      <c r="AH297" s="11">
        <f>_xlfn.XLOOKUP(B297,[1]Sheet1!$B:$B,[1]Sheet1!$AB:$AB,0)</f>
        <v>1065000</v>
      </c>
    </row>
    <row r="298" spans="2:34" ht="16.8" thickTop="1" thickBot="1" x14ac:dyDescent="0.35">
      <c r="B298" s="3" t="str">
        <f t="shared" si="10"/>
        <v>45161004511000494Freelancers-N424521200104</v>
      </c>
      <c r="C298" s="6" t="s">
        <v>584</v>
      </c>
      <c r="D298" s="6" t="s">
        <v>601</v>
      </c>
      <c r="E298" s="6" t="s">
        <v>602</v>
      </c>
      <c r="F298" s="6" t="s">
        <v>50</v>
      </c>
      <c r="G298" s="4" t="s">
        <v>2804</v>
      </c>
      <c r="H298" s="4" t="s">
        <v>2922</v>
      </c>
      <c r="I298" s="6" t="s">
        <v>51</v>
      </c>
      <c r="J298" s="6" t="s">
        <v>31</v>
      </c>
      <c r="K298" s="12">
        <f>_xlfn.XLOOKUP(B298,[1]Sheet1!$B:$B,[1]Sheet1!$N:$N,0)</f>
        <v>0</v>
      </c>
      <c r="L298" s="12">
        <f>_xlfn.XLOOKUP(B298,[1]Sheet1!$B:$B,[1]Sheet1!$O:$O,0)</f>
        <v>0</v>
      </c>
      <c r="M298" s="12">
        <f>_xlfn.XLOOKUP(B298,[1]Sheet1!$B:$B,[1]Sheet1!$P:$P,0)</f>
        <v>136449.99</v>
      </c>
      <c r="N298" s="12">
        <f>_xlfn.XLOOKUP(B298,[1]Sheet1!$B:$B,[1]Sheet1!$Q:$Q,0)</f>
        <v>68694.010000000009</v>
      </c>
      <c r="O298" s="12">
        <f>_xlfn.XLOOKUP(B298,[1]Sheet1!$B:$B,[1]Sheet1!$R:$R,0)</f>
        <v>102572</v>
      </c>
      <c r="P298" s="12">
        <f>_xlfn.XLOOKUP(B298,[1]Sheet1!$B:$B,[1]Sheet1!$S:$S,0)</f>
        <v>102572</v>
      </c>
      <c r="Q298" s="12">
        <f>_xlfn.XLOOKUP(B298,[1]Sheet1!$B:$B,[1]Sheet1!$T:$T,0)</f>
        <v>102572</v>
      </c>
      <c r="R298" s="12">
        <f>_xlfn.XLOOKUP(B298,[1]Sheet1!$B:$B,[1]Sheet1!$U:$U,0)</f>
        <v>102572</v>
      </c>
      <c r="S298" s="12">
        <f>_xlfn.XLOOKUP(B298,[1]Sheet1!$B:$B,[1]Sheet1!$V:$V,0)</f>
        <v>102572</v>
      </c>
      <c r="T298" s="12">
        <f>_xlfn.XLOOKUP(B298,[1]Sheet1!$B:$B,[1]Sheet1!$W:$W,0)</f>
        <v>102572</v>
      </c>
      <c r="U298" s="12">
        <f>_xlfn.XLOOKUP(B298,[1]Sheet1!$B:$B,[1]Sheet1!$X:$X,0)</f>
        <v>102572</v>
      </c>
      <c r="V298" s="12">
        <f>_xlfn.XLOOKUP(B298,[1]Sheet1!$B:$B,[1]Sheet1!$Y:$Y,0)</f>
        <v>307716</v>
      </c>
      <c r="W298" s="12">
        <f t="shared" si="11"/>
        <v>1230864</v>
      </c>
      <c r="X298" s="6" t="s">
        <v>586</v>
      </c>
      <c r="Y298" s="6" t="s">
        <v>65</v>
      </c>
      <c r="Z298" s="6" t="s">
        <v>583</v>
      </c>
      <c r="AA298" s="6" t="s">
        <v>53</v>
      </c>
      <c r="AB298" s="6" t="s">
        <v>36</v>
      </c>
      <c r="AC298" s="6" t="s">
        <v>37</v>
      </c>
      <c r="AD298" s="6" t="s">
        <v>69</v>
      </c>
      <c r="AE298" s="6" t="s">
        <v>39</v>
      </c>
      <c r="AF298" s="6" t="s">
        <v>40</v>
      </c>
      <c r="AG298" s="7">
        <v>1230864</v>
      </c>
      <c r="AH298" s="11">
        <f>_xlfn.XLOOKUP(B298,[1]Sheet1!$B:$B,[1]Sheet1!$AB:$AB,0)</f>
        <v>1230864</v>
      </c>
    </row>
    <row r="299" spans="2:34" ht="16.8" thickTop="1" thickBot="1" x14ac:dyDescent="0.35">
      <c r="B299" s="3" t="str">
        <f t="shared" si="10"/>
        <v>45161004511000494Gen Logistics-N424671200104</v>
      </c>
      <c r="C299" s="8" t="s">
        <v>584</v>
      </c>
      <c r="D299" s="8" t="s">
        <v>601</v>
      </c>
      <c r="E299" s="8" t="s">
        <v>602</v>
      </c>
      <c r="F299" s="8" t="s">
        <v>311</v>
      </c>
      <c r="G299" s="4" t="s">
        <v>2831</v>
      </c>
      <c r="H299" s="4" t="s">
        <v>2922</v>
      </c>
      <c r="I299" s="8" t="s">
        <v>312</v>
      </c>
      <c r="J299" s="8" t="s">
        <v>31</v>
      </c>
      <c r="K299" s="12">
        <f>_xlfn.XLOOKUP(B299,[1]Sheet1!$B:$B,[1]Sheet1!$N:$N,0)</f>
        <v>0</v>
      </c>
      <c r="L299" s="12">
        <f>_xlfn.XLOOKUP(B299,[1]Sheet1!$B:$B,[1]Sheet1!$O:$O,0)</f>
        <v>0</v>
      </c>
      <c r="M299" s="12">
        <f>_xlfn.XLOOKUP(B299,[1]Sheet1!$B:$B,[1]Sheet1!$P:$P,0)</f>
        <v>0</v>
      </c>
      <c r="N299" s="12">
        <f>_xlfn.XLOOKUP(B299,[1]Sheet1!$B:$B,[1]Sheet1!$Q:$Q,0)</f>
        <v>0</v>
      </c>
      <c r="O299" s="12">
        <f>_xlfn.XLOOKUP(B299,[1]Sheet1!$B:$B,[1]Sheet1!$R:$R,0)</f>
        <v>0</v>
      </c>
      <c r="P299" s="12">
        <f>_xlfn.XLOOKUP(B299,[1]Sheet1!$B:$B,[1]Sheet1!$S:$S,0)</f>
        <v>0</v>
      </c>
      <c r="Q299" s="12">
        <f>_xlfn.XLOOKUP(B299,[1]Sheet1!$B:$B,[1]Sheet1!$T:$T,0)</f>
        <v>22305</v>
      </c>
      <c r="R299" s="12">
        <f>_xlfn.XLOOKUP(B299,[1]Sheet1!$B:$B,[1]Sheet1!$U:$U,0)</f>
        <v>0</v>
      </c>
      <c r="S299" s="12">
        <f>_xlfn.XLOOKUP(B299,[1]Sheet1!$B:$B,[1]Sheet1!$V:$V,0)</f>
        <v>0</v>
      </c>
      <c r="T299" s="12">
        <f>_xlfn.XLOOKUP(B299,[1]Sheet1!$B:$B,[1]Sheet1!$W:$W,0)</f>
        <v>27100</v>
      </c>
      <c r="U299" s="12">
        <f>_xlfn.XLOOKUP(B299,[1]Sheet1!$B:$B,[1]Sheet1!$X:$X,0)</f>
        <v>0</v>
      </c>
      <c r="V299" s="12">
        <f>_xlfn.XLOOKUP(B299,[1]Sheet1!$B:$B,[1]Sheet1!$Y:$Y,0)</f>
        <v>0</v>
      </c>
      <c r="W299" s="12">
        <f t="shared" si="11"/>
        <v>49405</v>
      </c>
      <c r="X299" s="8" t="s">
        <v>597</v>
      </c>
      <c r="Y299" s="8" t="s">
        <v>65</v>
      </c>
      <c r="Z299" s="8" t="s">
        <v>583</v>
      </c>
      <c r="AA299" s="8" t="s">
        <v>314</v>
      </c>
      <c r="AB299" s="8" t="s">
        <v>36</v>
      </c>
      <c r="AC299" s="8" t="s">
        <v>37</v>
      </c>
      <c r="AD299" s="8" t="s">
        <v>69</v>
      </c>
      <c r="AE299" s="8" t="s">
        <v>39</v>
      </c>
      <c r="AF299" s="8" t="s">
        <v>40</v>
      </c>
      <c r="AG299" s="9">
        <v>49405</v>
      </c>
      <c r="AH299" s="11">
        <f>_xlfn.XLOOKUP(B299,[1]Sheet1!$B:$B,[1]Sheet1!$AB:$AB,0)</f>
        <v>49405</v>
      </c>
    </row>
    <row r="300" spans="2:34" ht="16.8" thickTop="1" thickBot="1" x14ac:dyDescent="0.35">
      <c r="B300" s="3" t="str">
        <f t="shared" si="10"/>
        <v>45161004511000494SM Prodct&amp;Develp-N422511200104</v>
      </c>
      <c r="C300" s="6" t="s">
        <v>584</v>
      </c>
      <c r="D300" s="6" t="s">
        <v>601</v>
      </c>
      <c r="E300" s="6" t="s">
        <v>602</v>
      </c>
      <c r="F300" s="6" t="s">
        <v>435</v>
      </c>
      <c r="G300" s="4" t="s">
        <v>2819</v>
      </c>
      <c r="H300" s="4" t="s">
        <v>2922</v>
      </c>
      <c r="I300" s="6" t="s">
        <v>151</v>
      </c>
      <c r="J300" s="6" t="s">
        <v>31</v>
      </c>
      <c r="K300" s="12">
        <f>_xlfn.XLOOKUP(B300,[1]Sheet1!$B:$B,[1]Sheet1!$N:$N,0)</f>
        <v>0</v>
      </c>
      <c r="L300" s="12">
        <f>_xlfn.XLOOKUP(B300,[1]Sheet1!$B:$B,[1]Sheet1!$O:$O,0)</f>
        <v>0</v>
      </c>
      <c r="M300" s="12">
        <f>_xlfn.XLOOKUP(B300,[1]Sheet1!$B:$B,[1]Sheet1!$P:$P,0)</f>
        <v>71805.600000000006</v>
      </c>
      <c r="N300" s="12">
        <f>_xlfn.XLOOKUP(B300,[1]Sheet1!$B:$B,[1]Sheet1!$Q:$Q,0)</f>
        <v>111527.73000000001</v>
      </c>
      <c r="O300" s="12">
        <f>_xlfn.XLOOKUP(B300,[1]Sheet1!$B:$B,[1]Sheet1!$R:$R,0)</f>
        <v>45833.33</v>
      </c>
      <c r="P300" s="12">
        <f>_xlfn.XLOOKUP(B300,[1]Sheet1!$B:$B,[1]Sheet1!$S:$S,0)</f>
        <v>45833.33</v>
      </c>
      <c r="Q300" s="12">
        <f>_xlfn.XLOOKUP(B300,[1]Sheet1!$B:$B,[1]Sheet1!$T:$T,0)</f>
        <v>45833.33</v>
      </c>
      <c r="R300" s="12">
        <f>_xlfn.XLOOKUP(B300,[1]Sheet1!$B:$B,[1]Sheet1!$U:$U,0)</f>
        <v>45833.33</v>
      </c>
      <c r="S300" s="12">
        <f>_xlfn.XLOOKUP(B300,[1]Sheet1!$B:$B,[1]Sheet1!$V:$V,0)</f>
        <v>45833.33</v>
      </c>
      <c r="T300" s="12">
        <f>_xlfn.XLOOKUP(B300,[1]Sheet1!$B:$B,[1]Sheet1!$W:$W,0)</f>
        <v>45833.33</v>
      </c>
      <c r="U300" s="12">
        <f>_xlfn.XLOOKUP(B300,[1]Sheet1!$B:$B,[1]Sheet1!$X:$X,0)</f>
        <v>45833.33</v>
      </c>
      <c r="V300" s="12">
        <f>_xlfn.XLOOKUP(B300,[1]Sheet1!$B:$B,[1]Sheet1!$Y:$Y,0)</f>
        <v>45833.33</v>
      </c>
      <c r="W300" s="12">
        <f t="shared" si="11"/>
        <v>549999.97000000009</v>
      </c>
      <c r="X300" s="6" t="s">
        <v>604</v>
      </c>
      <c r="Y300" s="6" t="s">
        <v>65</v>
      </c>
      <c r="Z300" s="6" t="s">
        <v>583</v>
      </c>
      <c r="AA300" s="6" t="s">
        <v>151</v>
      </c>
      <c r="AB300" s="6" t="s">
        <v>36</v>
      </c>
      <c r="AC300" s="6" t="s">
        <v>37</v>
      </c>
      <c r="AD300" s="6" t="s">
        <v>69</v>
      </c>
      <c r="AE300" s="6" t="s">
        <v>39</v>
      </c>
      <c r="AF300" s="6" t="s">
        <v>40</v>
      </c>
      <c r="AG300" s="7">
        <v>550000</v>
      </c>
      <c r="AH300" s="11">
        <f>_xlfn.XLOOKUP(B300,[1]Sheet1!$B:$B,[1]Sheet1!$AB:$AB,0)</f>
        <v>549999.97000000009</v>
      </c>
    </row>
    <row r="301" spans="2:34" ht="16.8" thickTop="1" thickBot="1" x14ac:dyDescent="0.35">
      <c r="B301" s="3" t="str">
        <f t="shared" si="10"/>
        <v>45161004511000499Book Acquisition-N431113200104</v>
      </c>
      <c r="C301" s="8" t="s">
        <v>584</v>
      </c>
      <c r="D301" s="8" t="s">
        <v>605</v>
      </c>
      <c r="E301" s="8" t="s">
        <v>606</v>
      </c>
      <c r="F301" s="8" t="s">
        <v>495</v>
      </c>
      <c r="G301" s="4" t="s">
        <v>2847</v>
      </c>
      <c r="H301" s="4" t="s">
        <v>2922</v>
      </c>
      <c r="I301" s="8" t="s">
        <v>496</v>
      </c>
      <c r="J301" s="8" t="s">
        <v>31</v>
      </c>
      <c r="K301" s="12">
        <f>_xlfn.XLOOKUP(B301,[1]Sheet1!$B:$B,[1]Sheet1!$N:$N,0)</f>
        <v>0</v>
      </c>
      <c r="L301" s="12">
        <f>_xlfn.XLOOKUP(B301,[1]Sheet1!$B:$B,[1]Sheet1!$O:$O,0)</f>
        <v>0</v>
      </c>
      <c r="M301" s="12">
        <f>_xlfn.XLOOKUP(B301,[1]Sheet1!$B:$B,[1]Sheet1!$P:$P,0)</f>
        <v>0</v>
      </c>
      <c r="N301" s="12">
        <f>_xlfn.XLOOKUP(B301,[1]Sheet1!$B:$B,[1]Sheet1!$Q:$Q,0)</f>
        <v>8000</v>
      </c>
      <c r="O301" s="12">
        <f>_xlfn.XLOOKUP(B301,[1]Sheet1!$B:$B,[1]Sheet1!$R:$R,0)</f>
        <v>79618</v>
      </c>
      <c r="P301" s="12">
        <f>_xlfn.XLOOKUP(B301,[1]Sheet1!$B:$B,[1]Sheet1!$S:$S,0)</f>
        <v>64838</v>
      </c>
      <c r="Q301" s="12">
        <f>_xlfn.XLOOKUP(B301,[1]Sheet1!$B:$B,[1]Sheet1!$T:$T,0)</f>
        <v>27587</v>
      </c>
      <c r="R301" s="12">
        <f>_xlfn.XLOOKUP(B301,[1]Sheet1!$B:$B,[1]Sheet1!$U:$U,0)</f>
        <v>179772</v>
      </c>
      <c r="S301" s="12">
        <f>_xlfn.XLOOKUP(B301,[1]Sheet1!$B:$B,[1]Sheet1!$V:$V,0)</f>
        <v>313374</v>
      </c>
      <c r="T301" s="12">
        <f>_xlfn.XLOOKUP(B301,[1]Sheet1!$B:$B,[1]Sheet1!$W:$W,0)</f>
        <v>19048</v>
      </c>
      <c r="U301" s="12">
        <f>_xlfn.XLOOKUP(B301,[1]Sheet1!$B:$B,[1]Sheet1!$X:$X,0)</f>
        <v>207763</v>
      </c>
      <c r="V301" s="12">
        <f>_xlfn.XLOOKUP(B301,[1]Sheet1!$B:$B,[1]Sheet1!$Y:$Y,0)</f>
        <v>0</v>
      </c>
      <c r="W301" s="12">
        <f t="shared" si="11"/>
        <v>900000</v>
      </c>
      <c r="X301" s="8" t="s">
        <v>607</v>
      </c>
      <c r="Y301" s="8" t="s">
        <v>65</v>
      </c>
      <c r="Z301" s="8" t="s">
        <v>583</v>
      </c>
      <c r="AA301" s="8" t="s">
        <v>496</v>
      </c>
      <c r="AB301" s="8" t="s">
        <v>36</v>
      </c>
      <c r="AC301" s="8" t="s">
        <v>37</v>
      </c>
      <c r="AD301" s="8" t="s">
        <v>69</v>
      </c>
      <c r="AE301" s="8" t="s">
        <v>39</v>
      </c>
      <c r="AF301" s="8" t="s">
        <v>40</v>
      </c>
      <c r="AG301" s="9">
        <v>853250</v>
      </c>
      <c r="AH301" s="11">
        <f>_xlfn.XLOOKUP(B301,[1]Sheet1!$B:$B,[1]Sheet1!$AB:$AB,0)</f>
        <v>853250</v>
      </c>
    </row>
    <row r="302" spans="2:34" ht="16.8" thickTop="1" thickBot="1" x14ac:dyDescent="0.35">
      <c r="B302" s="3" t="str">
        <f t="shared" si="10"/>
        <v>45161004511000499Licenses Fees-N424131200104</v>
      </c>
      <c r="C302" s="6" t="s">
        <v>584</v>
      </c>
      <c r="D302" s="6" t="s">
        <v>605</v>
      </c>
      <c r="E302" s="6" t="s">
        <v>606</v>
      </c>
      <c r="F302" s="6" t="s">
        <v>365</v>
      </c>
      <c r="G302" s="4" t="s">
        <v>2835</v>
      </c>
      <c r="H302" s="4" t="s">
        <v>2922</v>
      </c>
      <c r="I302" s="6" t="s">
        <v>366</v>
      </c>
      <c r="J302" s="6" t="s">
        <v>31</v>
      </c>
      <c r="K302" s="12">
        <f>_xlfn.XLOOKUP(B302,[1]Sheet1!$B:$B,[1]Sheet1!$N:$N,0)</f>
        <v>0</v>
      </c>
      <c r="L302" s="12">
        <f>_xlfn.XLOOKUP(B302,[1]Sheet1!$B:$B,[1]Sheet1!$O:$O,0)</f>
        <v>0</v>
      </c>
      <c r="M302" s="12">
        <f>_xlfn.XLOOKUP(B302,[1]Sheet1!$B:$B,[1]Sheet1!$P:$P,0)</f>
        <v>0</v>
      </c>
      <c r="N302" s="12">
        <f>_xlfn.XLOOKUP(B302,[1]Sheet1!$B:$B,[1]Sheet1!$Q:$Q,0)</f>
        <v>0</v>
      </c>
      <c r="O302" s="12">
        <f>_xlfn.XLOOKUP(B302,[1]Sheet1!$B:$B,[1]Sheet1!$R:$R,0)</f>
        <v>0</v>
      </c>
      <c r="P302" s="12">
        <f>_xlfn.XLOOKUP(B302,[1]Sheet1!$B:$B,[1]Sheet1!$S:$S,0)</f>
        <v>848841</v>
      </c>
      <c r="Q302" s="12">
        <f>_xlfn.XLOOKUP(B302,[1]Sheet1!$B:$B,[1]Sheet1!$T:$T,0)</f>
        <v>125920</v>
      </c>
      <c r="R302" s="12">
        <f>_xlfn.XLOOKUP(B302,[1]Sheet1!$B:$B,[1]Sheet1!$U:$U,0)</f>
        <v>301570</v>
      </c>
      <c r="S302" s="12">
        <f>_xlfn.XLOOKUP(B302,[1]Sheet1!$B:$B,[1]Sheet1!$V:$V,0)</f>
        <v>594940</v>
      </c>
      <c r="T302" s="12">
        <f>_xlfn.XLOOKUP(B302,[1]Sheet1!$B:$B,[1]Sheet1!$W:$W,0)</f>
        <v>153729</v>
      </c>
      <c r="U302" s="12">
        <f>_xlfn.XLOOKUP(B302,[1]Sheet1!$B:$B,[1]Sheet1!$X:$X,0)</f>
        <v>0</v>
      </c>
      <c r="V302" s="12">
        <f>_xlfn.XLOOKUP(B302,[1]Sheet1!$B:$B,[1]Sheet1!$Y:$Y,0)</f>
        <v>0</v>
      </c>
      <c r="W302" s="12">
        <f t="shared" si="11"/>
        <v>2025000</v>
      </c>
      <c r="X302" s="6" t="s">
        <v>608</v>
      </c>
      <c r="Y302" s="6" t="s">
        <v>65</v>
      </c>
      <c r="Z302" s="6" t="s">
        <v>583</v>
      </c>
      <c r="AA302" s="6" t="s">
        <v>366</v>
      </c>
      <c r="AB302" s="6" t="s">
        <v>36</v>
      </c>
      <c r="AC302" s="6" t="s">
        <v>37</v>
      </c>
      <c r="AD302" s="6" t="s">
        <v>69</v>
      </c>
      <c r="AE302" s="6" t="s">
        <v>39</v>
      </c>
      <c r="AF302" s="6" t="s">
        <v>40</v>
      </c>
      <c r="AG302" s="7">
        <v>2071750</v>
      </c>
      <c r="AH302" s="11">
        <f>_xlfn.XLOOKUP(B302,[1]Sheet1!$B:$B,[1]Sheet1!$AB:$AB,0)</f>
        <v>2071750</v>
      </c>
    </row>
    <row r="303" spans="2:34" ht="16.8" thickTop="1" thickBot="1" x14ac:dyDescent="0.35">
      <c r="B303" s="3" t="str">
        <f t="shared" si="10"/>
        <v>45161004511000500Editing &amp; Proof-N424791200104</v>
      </c>
      <c r="C303" s="8" t="s">
        <v>584</v>
      </c>
      <c r="D303" s="8" t="s">
        <v>609</v>
      </c>
      <c r="E303" s="8" t="s">
        <v>610</v>
      </c>
      <c r="F303" s="8" t="s">
        <v>611</v>
      </c>
      <c r="G303" s="4" t="s">
        <v>2830</v>
      </c>
      <c r="H303" s="4" t="s">
        <v>2922</v>
      </c>
      <c r="I303" s="8" t="s">
        <v>305</v>
      </c>
      <c r="J303" s="8" t="s">
        <v>31</v>
      </c>
      <c r="K303" s="12">
        <f>_xlfn.XLOOKUP(B303,[1]Sheet1!$B:$B,[1]Sheet1!$N:$N,0)</f>
        <v>0</v>
      </c>
      <c r="L303" s="12">
        <f>_xlfn.XLOOKUP(B303,[1]Sheet1!$B:$B,[1]Sheet1!$O:$O,0)</f>
        <v>0</v>
      </c>
      <c r="M303" s="12">
        <f>_xlfn.XLOOKUP(B303,[1]Sheet1!$B:$B,[1]Sheet1!$P:$P,0)</f>
        <v>0</v>
      </c>
      <c r="N303" s="12">
        <f>_xlfn.XLOOKUP(B303,[1]Sheet1!$B:$B,[1]Sheet1!$Q:$Q,0)</f>
        <v>0</v>
      </c>
      <c r="O303" s="12">
        <f>_xlfn.XLOOKUP(B303,[1]Sheet1!$B:$B,[1]Sheet1!$R:$R,0)</f>
        <v>0</v>
      </c>
      <c r="P303" s="12">
        <f>_xlfn.XLOOKUP(B303,[1]Sheet1!$B:$B,[1]Sheet1!$S:$S,0)</f>
        <v>0</v>
      </c>
      <c r="Q303" s="12">
        <f>_xlfn.XLOOKUP(B303,[1]Sheet1!$B:$B,[1]Sheet1!$T:$T,0)</f>
        <v>0</v>
      </c>
      <c r="R303" s="12">
        <f>_xlfn.XLOOKUP(B303,[1]Sheet1!$B:$B,[1]Sheet1!$U:$U,0)</f>
        <v>0</v>
      </c>
      <c r="S303" s="12">
        <f>_xlfn.XLOOKUP(B303,[1]Sheet1!$B:$B,[1]Sheet1!$V:$V,0)</f>
        <v>0</v>
      </c>
      <c r="T303" s="12">
        <f>_xlfn.XLOOKUP(B303,[1]Sheet1!$B:$B,[1]Sheet1!$W:$W,0)</f>
        <v>41396</v>
      </c>
      <c r="U303" s="12">
        <f>_xlfn.XLOOKUP(B303,[1]Sheet1!$B:$B,[1]Sheet1!$X:$X,0)</f>
        <v>54560</v>
      </c>
      <c r="V303" s="12">
        <f>_xlfn.XLOOKUP(B303,[1]Sheet1!$B:$B,[1]Sheet1!$Y:$Y,0)</f>
        <v>25544</v>
      </c>
      <c r="W303" s="12">
        <f t="shared" si="11"/>
        <v>121500</v>
      </c>
      <c r="X303" s="8" t="s">
        <v>592</v>
      </c>
      <c r="Y303" s="8" t="s">
        <v>65</v>
      </c>
      <c r="Z303" s="8" t="s">
        <v>583</v>
      </c>
      <c r="AA303" s="8" t="s">
        <v>305</v>
      </c>
      <c r="AB303" s="8" t="s">
        <v>36</v>
      </c>
      <c r="AC303" s="8" t="s">
        <v>37</v>
      </c>
      <c r="AD303" s="8" t="s">
        <v>69</v>
      </c>
      <c r="AE303" s="8" t="s">
        <v>39</v>
      </c>
      <c r="AF303" s="8" t="s">
        <v>40</v>
      </c>
      <c r="AG303" s="9">
        <v>121500</v>
      </c>
      <c r="AH303" s="11">
        <f>_xlfn.XLOOKUP(B303,[1]Sheet1!$B:$B,[1]Sheet1!$AB:$AB,0)</f>
        <v>121500</v>
      </c>
    </row>
    <row r="304" spans="2:34" ht="16.8" thickTop="1" thickBot="1" x14ac:dyDescent="0.35">
      <c r="B304" s="3" t="str">
        <f t="shared" si="10"/>
        <v>45118004511000501Art Materials-N432626200104</v>
      </c>
      <c r="C304" s="6" t="s">
        <v>191</v>
      </c>
      <c r="D304" s="6" t="s">
        <v>612</v>
      </c>
      <c r="E304" s="6" t="s">
        <v>613</v>
      </c>
      <c r="F304" s="6" t="s">
        <v>283</v>
      </c>
      <c r="G304" s="4" t="s">
        <v>2809</v>
      </c>
      <c r="H304" s="4" t="s">
        <v>2922</v>
      </c>
      <c r="I304" s="6" t="s">
        <v>76</v>
      </c>
      <c r="J304" s="6" t="s">
        <v>31</v>
      </c>
      <c r="K304" s="12">
        <f>_xlfn.XLOOKUP(B304,[1]Sheet1!$B:$B,[1]Sheet1!$N:$N,0)</f>
        <v>0</v>
      </c>
      <c r="L304" s="12">
        <f>_xlfn.XLOOKUP(B304,[1]Sheet1!$B:$B,[1]Sheet1!$O:$O,0)</f>
        <v>0</v>
      </c>
      <c r="M304" s="12">
        <f>_xlfn.XLOOKUP(B304,[1]Sheet1!$B:$B,[1]Sheet1!$P:$P,0)</f>
        <v>0</v>
      </c>
      <c r="N304" s="12">
        <f>_xlfn.XLOOKUP(B304,[1]Sheet1!$B:$B,[1]Sheet1!$Q:$Q,0)</f>
        <v>0</v>
      </c>
      <c r="O304" s="12">
        <f>_xlfn.XLOOKUP(B304,[1]Sheet1!$B:$B,[1]Sheet1!$R:$R,0)</f>
        <v>0</v>
      </c>
      <c r="P304" s="12">
        <f>_xlfn.XLOOKUP(B304,[1]Sheet1!$B:$B,[1]Sheet1!$S:$S,0)</f>
        <v>0</v>
      </c>
      <c r="Q304" s="12">
        <f>_xlfn.XLOOKUP(B304,[1]Sheet1!$B:$B,[1]Sheet1!$T:$T,0)</f>
        <v>0</v>
      </c>
      <c r="R304" s="12">
        <f>_xlfn.XLOOKUP(B304,[1]Sheet1!$B:$B,[1]Sheet1!$U:$U,0)</f>
        <v>50000</v>
      </c>
      <c r="S304" s="12">
        <f>_xlfn.XLOOKUP(B304,[1]Sheet1!$B:$B,[1]Sheet1!$V:$V,0)</f>
        <v>50000</v>
      </c>
      <c r="T304" s="12">
        <f>_xlfn.XLOOKUP(B304,[1]Sheet1!$B:$B,[1]Sheet1!$W:$W,0)</f>
        <v>0</v>
      </c>
      <c r="U304" s="12">
        <f>_xlfn.XLOOKUP(B304,[1]Sheet1!$B:$B,[1]Sheet1!$X:$X,0)</f>
        <v>50000</v>
      </c>
      <c r="V304" s="12">
        <f>_xlfn.XLOOKUP(B304,[1]Sheet1!$B:$B,[1]Sheet1!$Y:$Y,0)</f>
        <v>0</v>
      </c>
      <c r="W304" s="12">
        <f t="shared" si="11"/>
        <v>150000</v>
      </c>
      <c r="X304" s="6" t="s">
        <v>614</v>
      </c>
      <c r="Y304" s="6" t="s">
        <v>65</v>
      </c>
      <c r="Z304" s="6" t="s">
        <v>190</v>
      </c>
      <c r="AA304" s="6" t="s">
        <v>78</v>
      </c>
      <c r="AB304" s="6" t="s">
        <v>36</v>
      </c>
      <c r="AC304" s="6" t="s">
        <v>37</v>
      </c>
      <c r="AD304" s="6" t="s">
        <v>192</v>
      </c>
      <c r="AE304" s="6" t="s">
        <v>39</v>
      </c>
      <c r="AF304" s="6" t="s">
        <v>40</v>
      </c>
      <c r="AG304" s="7">
        <v>150000</v>
      </c>
      <c r="AH304" s="11">
        <f>_xlfn.XLOOKUP(B304,[1]Sheet1!$B:$B,[1]Sheet1!$AB:$AB,0)</f>
        <v>150000</v>
      </c>
    </row>
    <row r="305" spans="2:34" ht="16.8" thickTop="1" thickBot="1" x14ac:dyDescent="0.35">
      <c r="B305" s="3" t="str">
        <f t="shared" si="10"/>
        <v>45118004511000501Event Management-N422401200104</v>
      </c>
      <c r="C305" s="8" t="s">
        <v>191</v>
      </c>
      <c r="D305" s="8" t="s">
        <v>612</v>
      </c>
      <c r="E305" s="8" t="s">
        <v>613</v>
      </c>
      <c r="F305" s="8" t="s">
        <v>162</v>
      </c>
      <c r="G305" s="4" t="s">
        <v>2807</v>
      </c>
      <c r="H305" s="4" t="s">
        <v>2922</v>
      </c>
      <c r="I305" s="8" t="s">
        <v>63</v>
      </c>
      <c r="J305" s="8" t="s">
        <v>31</v>
      </c>
      <c r="K305" s="12">
        <f>_xlfn.XLOOKUP(B305,[1]Sheet1!$B:$B,[1]Sheet1!$N:$N,0)</f>
        <v>0</v>
      </c>
      <c r="L305" s="12">
        <f>_xlfn.XLOOKUP(B305,[1]Sheet1!$B:$B,[1]Sheet1!$O:$O,0)</f>
        <v>0</v>
      </c>
      <c r="M305" s="12">
        <f>_xlfn.XLOOKUP(B305,[1]Sheet1!$B:$B,[1]Sheet1!$P:$P,0)</f>
        <v>0</v>
      </c>
      <c r="N305" s="12">
        <f>_xlfn.XLOOKUP(B305,[1]Sheet1!$B:$B,[1]Sheet1!$Q:$Q,0)</f>
        <v>0</v>
      </c>
      <c r="O305" s="12">
        <f>_xlfn.XLOOKUP(B305,[1]Sheet1!$B:$B,[1]Sheet1!$R:$R,0)</f>
        <v>0</v>
      </c>
      <c r="P305" s="12">
        <f>_xlfn.XLOOKUP(B305,[1]Sheet1!$B:$B,[1]Sheet1!$S:$S,0)</f>
        <v>0</v>
      </c>
      <c r="Q305" s="12">
        <f>_xlfn.XLOOKUP(B305,[1]Sheet1!$B:$B,[1]Sheet1!$T:$T,0)</f>
        <v>0</v>
      </c>
      <c r="R305" s="12">
        <f>_xlfn.XLOOKUP(B305,[1]Sheet1!$B:$B,[1]Sheet1!$U:$U,0)</f>
        <v>0</v>
      </c>
      <c r="S305" s="12">
        <f>_xlfn.XLOOKUP(B305,[1]Sheet1!$B:$B,[1]Sheet1!$V:$V,0)</f>
        <v>0</v>
      </c>
      <c r="T305" s="12">
        <f>_xlfn.XLOOKUP(B305,[1]Sheet1!$B:$B,[1]Sheet1!$W:$W,0)</f>
        <v>900000</v>
      </c>
      <c r="U305" s="12">
        <f>_xlfn.XLOOKUP(B305,[1]Sheet1!$B:$B,[1]Sheet1!$X:$X,0)</f>
        <v>0</v>
      </c>
      <c r="V305" s="12">
        <f>_xlfn.XLOOKUP(B305,[1]Sheet1!$B:$B,[1]Sheet1!$Y:$Y,0)</f>
        <v>600000</v>
      </c>
      <c r="W305" s="12">
        <f t="shared" si="11"/>
        <v>1500000</v>
      </c>
      <c r="X305" s="8" t="s">
        <v>615</v>
      </c>
      <c r="Y305" s="8" t="s">
        <v>65</v>
      </c>
      <c r="Z305" s="8" t="s">
        <v>190</v>
      </c>
      <c r="AA305" s="8" t="s">
        <v>68</v>
      </c>
      <c r="AB305" s="8" t="s">
        <v>36</v>
      </c>
      <c r="AC305" s="8" t="s">
        <v>37</v>
      </c>
      <c r="AD305" s="8" t="s">
        <v>192</v>
      </c>
      <c r="AE305" s="8" t="s">
        <v>39</v>
      </c>
      <c r="AF305" s="8" t="s">
        <v>40</v>
      </c>
      <c r="AG305" s="9">
        <v>1500000</v>
      </c>
      <c r="AH305" s="11">
        <f>_xlfn.XLOOKUP(B305,[1]Sheet1!$B:$B,[1]Sheet1!$AB:$AB,0)</f>
        <v>1500000</v>
      </c>
    </row>
    <row r="306" spans="2:34" ht="16.8" thickTop="1" thickBot="1" x14ac:dyDescent="0.35">
      <c r="B306" s="3" t="str">
        <f t="shared" si="10"/>
        <v>45118004511000501Freelancers-N424521200104</v>
      </c>
      <c r="C306" s="6" t="s">
        <v>191</v>
      </c>
      <c r="D306" s="6" t="s">
        <v>612</v>
      </c>
      <c r="E306" s="6" t="s">
        <v>613</v>
      </c>
      <c r="F306" s="6" t="s">
        <v>50</v>
      </c>
      <c r="G306" s="4" t="s">
        <v>2804</v>
      </c>
      <c r="H306" s="4" t="s">
        <v>2922</v>
      </c>
      <c r="I306" s="6" t="s">
        <v>51</v>
      </c>
      <c r="J306" s="6" t="s">
        <v>31</v>
      </c>
      <c r="K306" s="12">
        <f>_xlfn.XLOOKUP(B306,[1]Sheet1!$B:$B,[1]Sheet1!$N:$N,0)</f>
        <v>0</v>
      </c>
      <c r="L306" s="12">
        <f>_xlfn.XLOOKUP(B306,[1]Sheet1!$B:$B,[1]Sheet1!$O:$O,0)</f>
        <v>244500</v>
      </c>
      <c r="M306" s="12">
        <f>_xlfn.XLOOKUP(B306,[1]Sheet1!$B:$B,[1]Sheet1!$P:$P,0)</f>
        <v>347500</v>
      </c>
      <c r="N306" s="12">
        <f>_xlfn.XLOOKUP(B306,[1]Sheet1!$B:$B,[1]Sheet1!$Q:$Q,0)</f>
        <v>0</v>
      </c>
      <c r="O306" s="12">
        <f>_xlfn.XLOOKUP(B306,[1]Sheet1!$B:$B,[1]Sheet1!$R:$R,0)</f>
        <v>0</v>
      </c>
      <c r="P306" s="12">
        <f>_xlfn.XLOOKUP(B306,[1]Sheet1!$B:$B,[1]Sheet1!$S:$S,0)</f>
        <v>0</v>
      </c>
      <c r="Q306" s="12">
        <f>_xlfn.XLOOKUP(B306,[1]Sheet1!$B:$B,[1]Sheet1!$T:$T,0)</f>
        <v>248000</v>
      </c>
      <c r="R306" s="12">
        <f>_xlfn.XLOOKUP(B306,[1]Sheet1!$B:$B,[1]Sheet1!$U:$U,0)</f>
        <v>280000</v>
      </c>
      <c r="S306" s="12">
        <f>_xlfn.XLOOKUP(B306,[1]Sheet1!$B:$B,[1]Sheet1!$V:$V,0)</f>
        <v>280000</v>
      </c>
      <c r="T306" s="12">
        <f>_xlfn.XLOOKUP(B306,[1]Sheet1!$B:$B,[1]Sheet1!$W:$W,0)</f>
        <v>840000</v>
      </c>
      <c r="U306" s="12">
        <f>_xlfn.XLOOKUP(B306,[1]Sheet1!$B:$B,[1]Sheet1!$X:$X,0)</f>
        <v>560000</v>
      </c>
      <c r="V306" s="12">
        <f>_xlfn.XLOOKUP(B306,[1]Sheet1!$B:$B,[1]Sheet1!$Y:$Y,0)</f>
        <v>560000</v>
      </c>
      <c r="W306" s="12">
        <f t="shared" si="11"/>
        <v>3360000</v>
      </c>
      <c r="X306" s="6" t="s">
        <v>616</v>
      </c>
      <c r="Y306" s="6" t="s">
        <v>65</v>
      </c>
      <c r="Z306" s="6" t="s">
        <v>190</v>
      </c>
      <c r="AA306" s="6" t="s">
        <v>53</v>
      </c>
      <c r="AB306" s="6" t="s">
        <v>36</v>
      </c>
      <c r="AC306" s="6" t="s">
        <v>37</v>
      </c>
      <c r="AD306" s="6" t="s">
        <v>192</v>
      </c>
      <c r="AE306" s="6" t="s">
        <v>39</v>
      </c>
      <c r="AF306" s="6" t="s">
        <v>40</v>
      </c>
      <c r="AG306" s="7">
        <v>2560000</v>
      </c>
      <c r="AH306" s="11">
        <f>_xlfn.XLOOKUP(B306,[1]Sheet1!$B:$B,[1]Sheet1!$AB:$AB,0)</f>
        <v>2560000</v>
      </c>
    </row>
    <row r="307" spans="2:34" ht="16.8" thickTop="1" thickBot="1" x14ac:dyDescent="0.35">
      <c r="B307" s="3" t="str">
        <f t="shared" si="10"/>
        <v>45118004511000501Hospitality-N424761200104</v>
      </c>
      <c r="C307" s="8" t="s">
        <v>191</v>
      </c>
      <c r="D307" s="8" t="s">
        <v>612</v>
      </c>
      <c r="E307" s="8" t="s">
        <v>613</v>
      </c>
      <c r="F307" s="8" t="s">
        <v>83</v>
      </c>
      <c r="G307" s="4" t="s">
        <v>2811</v>
      </c>
      <c r="H307" s="4" t="s">
        <v>2922</v>
      </c>
      <c r="I307" s="8" t="s">
        <v>84</v>
      </c>
      <c r="J307" s="8" t="s">
        <v>31</v>
      </c>
      <c r="K307" s="12">
        <f>_xlfn.XLOOKUP(B307,[1]Sheet1!$B:$B,[1]Sheet1!$N:$N,0)</f>
        <v>0</v>
      </c>
      <c r="L307" s="12">
        <f>_xlfn.XLOOKUP(B307,[1]Sheet1!$B:$B,[1]Sheet1!$O:$O,0)</f>
        <v>0</v>
      </c>
      <c r="M307" s="12">
        <f>_xlfn.XLOOKUP(B307,[1]Sheet1!$B:$B,[1]Sheet1!$P:$P,0)</f>
        <v>0</v>
      </c>
      <c r="N307" s="12">
        <f>_xlfn.XLOOKUP(B307,[1]Sheet1!$B:$B,[1]Sheet1!$Q:$Q,0)</f>
        <v>0</v>
      </c>
      <c r="O307" s="12">
        <f>_xlfn.XLOOKUP(B307,[1]Sheet1!$B:$B,[1]Sheet1!$R:$R,0)</f>
        <v>0</v>
      </c>
      <c r="P307" s="12">
        <f>_xlfn.XLOOKUP(B307,[1]Sheet1!$B:$B,[1]Sheet1!$S:$S,0)</f>
        <v>0</v>
      </c>
      <c r="Q307" s="12">
        <f>_xlfn.XLOOKUP(B307,[1]Sheet1!$B:$B,[1]Sheet1!$T:$T,0)</f>
        <v>30000</v>
      </c>
      <c r="R307" s="12">
        <f>_xlfn.XLOOKUP(B307,[1]Sheet1!$B:$B,[1]Sheet1!$U:$U,0)</f>
        <v>0</v>
      </c>
      <c r="S307" s="12">
        <f>_xlfn.XLOOKUP(B307,[1]Sheet1!$B:$B,[1]Sheet1!$V:$V,0)</f>
        <v>0</v>
      </c>
      <c r="T307" s="12">
        <f>_xlfn.XLOOKUP(B307,[1]Sheet1!$B:$B,[1]Sheet1!$W:$W,0)</f>
        <v>30000</v>
      </c>
      <c r="U307" s="12">
        <f>_xlfn.XLOOKUP(B307,[1]Sheet1!$B:$B,[1]Sheet1!$X:$X,0)</f>
        <v>0</v>
      </c>
      <c r="V307" s="12">
        <f>_xlfn.XLOOKUP(B307,[1]Sheet1!$B:$B,[1]Sheet1!$Y:$Y,0)</f>
        <v>0</v>
      </c>
      <c r="W307" s="12">
        <f t="shared" si="11"/>
        <v>60000</v>
      </c>
      <c r="X307" s="8" t="s">
        <v>617</v>
      </c>
      <c r="Y307" s="8" t="s">
        <v>65</v>
      </c>
      <c r="Z307" s="8" t="s">
        <v>190</v>
      </c>
      <c r="AA307" s="8" t="s">
        <v>84</v>
      </c>
      <c r="AB307" s="8" t="s">
        <v>36</v>
      </c>
      <c r="AC307" s="8" t="s">
        <v>37</v>
      </c>
      <c r="AD307" s="8" t="s">
        <v>192</v>
      </c>
      <c r="AE307" s="8" t="s">
        <v>39</v>
      </c>
      <c r="AF307" s="8" t="s">
        <v>40</v>
      </c>
      <c r="AG307" s="9">
        <v>60000</v>
      </c>
      <c r="AH307" s="11">
        <f>_xlfn.XLOOKUP(B307,[1]Sheet1!$B:$B,[1]Sheet1!$AB:$AB,0)</f>
        <v>60000</v>
      </c>
    </row>
    <row r="308" spans="2:34" ht="16.8" thickTop="1" thickBot="1" x14ac:dyDescent="0.35">
      <c r="B308" s="3" t="str">
        <f t="shared" si="10"/>
        <v>45118004511000501Mission &amp; Travel-N423821200104</v>
      </c>
      <c r="C308" s="6" t="s">
        <v>191</v>
      </c>
      <c r="D308" s="6" t="s">
        <v>612</v>
      </c>
      <c r="E308" s="6" t="s">
        <v>613</v>
      </c>
      <c r="F308" s="6" t="s">
        <v>54</v>
      </c>
      <c r="G308" s="4" t="s">
        <v>2805</v>
      </c>
      <c r="H308" s="4" t="s">
        <v>2922</v>
      </c>
      <c r="I308" s="6" t="s">
        <v>55</v>
      </c>
      <c r="J308" s="6" t="s">
        <v>31</v>
      </c>
      <c r="K308" s="12">
        <f>_xlfn.XLOOKUP(B308,[1]Sheet1!$B:$B,[1]Sheet1!$N:$N,0)</f>
        <v>0</v>
      </c>
      <c r="L308" s="12">
        <f>_xlfn.XLOOKUP(B308,[1]Sheet1!$B:$B,[1]Sheet1!$O:$O,0)</f>
        <v>0</v>
      </c>
      <c r="M308" s="12">
        <f>_xlfn.XLOOKUP(B308,[1]Sheet1!$B:$B,[1]Sheet1!$P:$P,0)</f>
        <v>6400</v>
      </c>
      <c r="N308" s="12">
        <f>_xlfn.XLOOKUP(B308,[1]Sheet1!$B:$B,[1]Sheet1!$Q:$Q,0)</f>
        <v>0</v>
      </c>
      <c r="O308" s="12">
        <f>_xlfn.XLOOKUP(B308,[1]Sheet1!$B:$B,[1]Sheet1!$R:$R,0)</f>
        <v>0</v>
      </c>
      <c r="P308" s="12">
        <f>_xlfn.XLOOKUP(B308,[1]Sheet1!$B:$B,[1]Sheet1!$S:$S,0)</f>
        <v>0</v>
      </c>
      <c r="Q308" s="12">
        <f>_xlfn.XLOOKUP(B308,[1]Sheet1!$B:$B,[1]Sheet1!$T:$T,0)</f>
        <v>0</v>
      </c>
      <c r="R308" s="12">
        <f>_xlfn.XLOOKUP(B308,[1]Sheet1!$B:$B,[1]Sheet1!$U:$U,0)</f>
        <v>0</v>
      </c>
      <c r="S308" s="12">
        <f>_xlfn.XLOOKUP(B308,[1]Sheet1!$B:$B,[1]Sheet1!$V:$V,0)</f>
        <v>0</v>
      </c>
      <c r="T308" s="12">
        <f>_xlfn.XLOOKUP(B308,[1]Sheet1!$B:$B,[1]Sheet1!$W:$W,0)</f>
        <v>0</v>
      </c>
      <c r="U308" s="12">
        <f>_xlfn.XLOOKUP(B308,[1]Sheet1!$B:$B,[1]Sheet1!$X:$X,0)</f>
        <v>0</v>
      </c>
      <c r="V308" s="12">
        <f>_xlfn.XLOOKUP(B308,[1]Sheet1!$B:$B,[1]Sheet1!$Y:$Y,0)</f>
        <v>843600</v>
      </c>
      <c r="W308" s="12">
        <f t="shared" si="11"/>
        <v>850000</v>
      </c>
      <c r="X308" s="6" t="s">
        <v>618</v>
      </c>
      <c r="Y308" s="6" t="s">
        <v>65</v>
      </c>
      <c r="Z308" s="6" t="s">
        <v>190</v>
      </c>
      <c r="AA308" s="6" t="s">
        <v>55</v>
      </c>
      <c r="AB308" s="6" t="s">
        <v>36</v>
      </c>
      <c r="AC308" s="6" t="s">
        <v>37</v>
      </c>
      <c r="AD308" s="6" t="s">
        <v>192</v>
      </c>
      <c r="AE308" s="6" t="s">
        <v>39</v>
      </c>
      <c r="AF308" s="6" t="s">
        <v>40</v>
      </c>
      <c r="AG308" s="7">
        <v>850000</v>
      </c>
      <c r="AH308" s="11">
        <f>_xlfn.XLOOKUP(B308,[1]Sheet1!$B:$B,[1]Sheet1!$AB:$AB,0)</f>
        <v>850000</v>
      </c>
    </row>
    <row r="309" spans="2:34" ht="16.8" thickTop="1" thickBot="1" x14ac:dyDescent="0.35">
      <c r="B309" s="3" t="str">
        <f t="shared" si="10"/>
        <v>45102304511000502Ad-hoc Repairs-N1426427200104</v>
      </c>
      <c r="C309" s="8" t="s">
        <v>467</v>
      </c>
      <c r="D309" s="8" t="s">
        <v>619</v>
      </c>
      <c r="E309" s="8" t="s">
        <v>620</v>
      </c>
      <c r="F309" s="8" t="s">
        <v>621</v>
      </c>
      <c r="G309" s="4" t="s">
        <v>2808</v>
      </c>
      <c r="H309" s="4" t="s">
        <v>2922</v>
      </c>
      <c r="I309" s="8" t="s">
        <v>71</v>
      </c>
      <c r="J309" s="8" t="s">
        <v>31</v>
      </c>
      <c r="K309" s="12">
        <f>_xlfn.XLOOKUP(B309,[1]Sheet1!$B:$B,[1]Sheet1!$N:$N,0)</f>
        <v>0</v>
      </c>
      <c r="L309" s="12">
        <f>_xlfn.XLOOKUP(B309,[1]Sheet1!$B:$B,[1]Sheet1!$O:$O,0)</f>
        <v>0</v>
      </c>
      <c r="M309" s="12">
        <f>_xlfn.XLOOKUP(B309,[1]Sheet1!$B:$B,[1]Sheet1!$P:$P,0)</f>
        <v>0</v>
      </c>
      <c r="N309" s="12">
        <f>_xlfn.XLOOKUP(B309,[1]Sheet1!$B:$B,[1]Sheet1!$Q:$Q,0)</f>
        <v>1200</v>
      </c>
      <c r="O309" s="12">
        <f>_xlfn.XLOOKUP(B309,[1]Sheet1!$B:$B,[1]Sheet1!$R:$R,0)</f>
        <v>0</v>
      </c>
      <c r="P309" s="12">
        <f>_xlfn.XLOOKUP(B309,[1]Sheet1!$B:$B,[1]Sheet1!$S:$S,0)</f>
        <v>1200</v>
      </c>
      <c r="Q309" s="12">
        <f>_xlfn.XLOOKUP(B309,[1]Sheet1!$B:$B,[1]Sheet1!$T:$T,0)</f>
        <v>0</v>
      </c>
      <c r="R309" s="12">
        <f>_xlfn.XLOOKUP(B309,[1]Sheet1!$B:$B,[1]Sheet1!$U:$U,0)</f>
        <v>0</v>
      </c>
      <c r="S309" s="12">
        <f>_xlfn.XLOOKUP(B309,[1]Sheet1!$B:$B,[1]Sheet1!$V:$V,0)</f>
        <v>1200</v>
      </c>
      <c r="T309" s="12">
        <f>_xlfn.XLOOKUP(B309,[1]Sheet1!$B:$B,[1]Sheet1!$W:$W,0)</f>
        <v>0</v>
      </c>
      <c r="U309" s="12">
        <f>_xlfn.XLOOKUP(B309,[1]Sheet1!$B:$B,[1]Sheet1!$X:$X,0)</f>
        <v>0</v>
      </c>
      <c r="V309" s="12">
        <f>_xlfn.XLOOKUP(B309,[1]Sheet1!$B:$B,[1]Sheet1!$Y:$Y,0)</f>
        <v>0</v>
      </c>
      <c r="W309" s="12">
        <f t="shared" si="11"/>
        <v>3600</v>
      </c>
      <c r="X309" s="8" t="s">
        <v>622</v>
      </c>
      <c r="Y309" s="8" t="s">
        <v>132</v>
      </c>
      <c r="Z309" s="8" t="s">
        <v>466</v>
      </c>
      <c r="AA309" s="8" t="s">
        <v>71</v>
      </c>
      <c r="AB309" s="8" t="s">
        <v>36</v>
      </c>
      <c r="AC309" s="8" t="s">
        <v>37</v>
      </c>
      <c r="AD309" s="8" t="s">
        <v>468</v>
      </c>
      <c r="AE309" s="8" t="s">
        <v>39</v>
      </c>
      <c r="AF309" s="8" t="s">
        <v>40</v>
      </c>
      <c r="AG309" s="9">
        <v>3600</v>
      </c>
      <c r="AH309" s="11">
        <f>_xlfn.XLOOKUP(B309,[1]Sheet1!$B:$B,[1]Sheet1!$AB:$AB,0)</f>
        <v>3600</v>
      </c>
    </row>
    <row r="310" spans="2:34" ht="16.8" thickTop="1" thickBot="1" x14ac:dyDescent="0.35">
      <c r="B310" s="3" t="str">
        <f t="shared" si="10"/>
        <v>45102304511000502Cleaning Service-N1422311200104</v>
      </c>
      <c r="C310" s="6" t="s">
        <v>467</v>
      </c>
      <c r="D310" s="6" t="s">
        <v>619</v>
      </c>
      <c r="E310" s="6" t="s">
        <v>620</v>
      </c>
      <c r="F310" s="6" t="s">
        <v>623</v>
      </c>
      <c r="G310" s="4" t="s">
        <v>2810</v>
      </c>
      <c r="H310" s="4" t="s">
        <v>2922</v>
      </c>
      <c r="I310" s="6" t="s">
        <v>80</v>
      </c>
      <c r="J310" s="6" t="s">
        <v>31</v>
      </c>
      <c r="K310" s="12">
        <f>_xlfn.XLOOKUP(B310,[1]Sheet1!$B:$B,[1]Sheet1!$N:$N,0)</f>
        <v>0</v>
      </c>
      <c r="L310" s="12">
        <f>_xlfn.XLOOKUP(B310,[1]Sheet1!$B:$B,[1]Sheet1!$O:$O,0)</f>
        <v>0</v>
      </c>
      <c r="M310" s="12">
        <f>_xlfn.XLOOKUP(B310,[1]Sheet1!$B:$B,[1]Sheet1!$P:$P,0)</f>
        <v>0</v>
      </c>
      <c r="N310" s="12">
        <f>_xlfn.XLOOKUP(B310,[1]Sheet1!$B:$B,[1]Sheet1!$Q:$Q,0)</f>
        <v>28000</v>
      </c>
      <c r="O310" s="12">
        <f>_xlfn.XLOOKUP(B310,[1]Sheet1!$B:$B,[1]Sheet1!$R:$R,0)</f>
        <v>7000</v>
      </c>
      <c r="P310" s="12">
        <f>_xlfn.XLOOKUP(B310,[1]Sheet1!$B:$B,[1]Sheet1!$S:$S,0)</f>
        <v>7000</v>
      </c>
      <c r="Q310" s="12">
        <f>_xlfn.XLOOKUP(B310,[1]Sheet1!$B:$B,[1]Sheet1!$T:$T,0)</f>
        <v>7000</v>
      </c>
      <c r="R310" s="12">
        <f>_xlfn.XLOOKUP(B310,[1]Sheet1!$B:$B,[1]Sheet1!$U:$U,0)</f>
        <v>7000</v>
      </c>
      <c r="S310" s="12">
        <f>_xlfn.XLOOKUP(B310,[1]Sheet1!$B:$B,[1]Sheet1!$V:$V,0)</f>
        <v>7000</v>
      </c>
      <c r="T310" s="12">
        <f>_xlfn.XLOOKUP(B310,[1]Sheet1!$B:$B,[1]Sheet1!$W:$W,0)</f>
        <v>7000</v>
      </c>
      <c r="U310" s="12">
        <f>_xlfn.XLOOKUP(B310,[1]Sheet1!$B:$B,[1]Sheet1!$X:$X,0)</f>
        <v>7000</v>
      </c>
      <c r="V310" s="12">
        <f>_xlfn.XLOOKUP(B310,[1]Sheet1!$B:$B,[1]Sheet1!$Y:$Y,0)</f>
        <v>7000</v>
      </c>
      <c r="W310" s="12">
        <f t="shared" si="11"/>
        <v>84000</v>
      </c>
      <c r="X310" s="6" t="s">
        <v>624</v>
      </c>
      <c r="Y310" s="6" t="s">
        <v>132</v>
      </c>
      <c r="Z310" s="6" t="s">
        <v>466</v>
      </c>
      <c r="AA310" s="6" t="s">
        <v>80</v>
      </c>
      <c r="AB310" s="6" t="s">
        <v>36</v>
      </c>
      <c r="AC310" s="6" t="s">
        <v>37</v>
      </c>
      <c r="AD310" s="6" t="s">
        <v>468</v>
      </c>
      <c r="AE310" s="6" t="s">
        <v>39</v>
      </c>
      <c r="AF310" s="6" t="s">
        <v>40</v>
      </c>
      <c r="AG310" s="7">
        <v>84000</v>
      </c>
      <c r="AH310" s="11">
        <f>_xlfn.XLOOKUP(B310,[1]Sheet1!$B:$B,[1]Sheet1!$AB:$AB,0)</f>
        <v>84000</v>
      </c>
    </row>
    <row r="311" spans="2:34" ht="16.8" thickTop="1" thickBot="1" x14ac:dyDescent="0.35">
      <c r="B311" s="3" t="str">
        <f t="shared" si="10"/>
        <v>45102304511000502Hospitality-N1424761200104</v>
      </c>
      <c r="C311" s="8" t="s">
        <v>467</v>
      </c>
      <c r="D311" s="8" t="s">
        <v>619</v>
      </c>
      <c r="E311" s="8" t="s">
        <v>620</v>
      </c>
      <c r="F311" s="8" t="s">
        <v>399</v>
      </c>
      <c r="G311" s="4" t="s">
        <v>2811</v>
      </c>
      <c r="H311" s="4" t="s">
        <v>2922</v>
      </c>
      <c r="I311" s="8" t="s">
        <v>84</v>
      </c>
      <c r="J311" s="8" t="s">
        <v>31</v>
      </c>
      <c r="K311" s="12">
        <f>_xlfn.XLOOKUP(B311,[1]Sheet1!$B:$B,[1]Sheet1!$N:$N,0)</f>
        <v>0</v>
      </c>
      <c r="L311" s="12">
        <f>_xlfn.XLOOKUP(B311,[1]Sheet1!$B:$B,[1]Sheet1!$O:$O,0)</f>
        <v>0</v>
      </c>
      <c r="M311" s="12">
        <f>_xlfn.XLOOKUP(B311,[1]Sheet1!$B:$B,[1]Sheet1!$P:$P,0)</f>
        <v>0</v>
      </c>
      <c r="N311" s="12">
        <f>_xlfn.XLOOKUP(B311,[1]Sheet1!$B:$B,[1]Sheet1!$Q:$Q,0)</f>
        <v>16664</v>
      </c>
      <c r="O311" s="12">
        <f>_xlfn.XLOOKUP(B311,[1]Sheet1!$B:$B,[1]Sheet1!$R:$R,0)</f>
        <v>4167</v>
      </c>
      <c r="P311" s="12">
        <f>_xlfn.XLOOKUP(B311,[1]Sheet1!$B:$B,[1]Sheet1!$S:$S,0)</f>
        <v>4167</v>
      </c>
      <c r="Q311" s="12">
        <f>_xlfn.XLOOKUP(B311,[1]Sheet1!$B:$B,[1]Sheet1!$T:$T,0)</f>
        <v>4167</v>
      </c>
      <c r="R311" s="12">
        <f>_xlfn.XLOOKUP(B311,[1]Sheet1!$B:$B,[1]Sheet1!$U:$U,0)</f>
        <v>4167</v>
      </c>
      <c r="S311" s="12">
        <f>_xlfn.XLOOKUP(B311,[1]Sheet1!$B:$B,[1]Sheet1!$V:$V,0)</f>
        <v>4167</v>
      </c>
      <c r="T311" s="12">
        <f>_xlfn.XLOOKUP(B311,[1]Sheet1!$B:$B,[1]Sheet1!$W:$W,0)</f>
        <v>4167</v>
      </c>
      <c r="U311" s="12">
        <f>_xlfn.XLOOKUP(B311,[1]Sheet1!$B:$B,[1]Sheet1!$X:$X,0)</f>
        <v>4167</v>
      </c>
      <c r="V311" s="12">
        <f>_xlfn.XLOOKUP(B311,[1]Sheet1!$B:$B,[1]Sheet1!$Y:$Y,0)</f>
        <v>4167</v>
      </c>
      <c r="W311" s="12">
        <f t="shared" si="11"/>
        <v>50000</v>
      </c>
      <c r="X311" s="8" t="s">
        <v>469</v>
      </c>
      <c r="Y311" s="8" t="s">
        <v>132</v>
      </c>
      <c r="Z311" s="8" t="s">
        <v>466</v>
      </c>
      <c r="AA311" s="8" t="s">
        <v>84</v>
      </c>
      <c r="AB311" s="8" t="s">
        <v>36</v>
      </c>
      <c r="AC311" s="8" t="s">
        <v>37</v>
      </c>
      <c r="AD311" s="8" t="s">
        <v>468</v>
      </c>
      <c r="AE311" s="8" t="s">
        <v>39</v>
      </c>
      <c r="AF311" s="8" t="s">
        <v>40</v>
      </c>
      <c r="AG311" s="9">
        <v>50000</v>
      </c>
      <c r="AH311" s="11">
        <f>_xlfn.XLOOKUP(B311,[1]Sheet1!$B:$B,[1]Sheet1!$AB:$AB,0)</f>
        <v>50000</v>
      </c>
    </row>
    <row r="312" spans="2:34" ht="16.8" thickTop="1" thickBot="1" x14ac:dyDescent="0.35">
      <c r="B312" s="3" t="str">
        <f t="shared" si="10"/>
        <v>45102304511000502Maintenance-N1426212200104</v>
      </c>
      <c r="C312" s="6" t="s">
        <v>467</v>
      </c>
      <c r="D312" s="6" t="s">
        <v>619</v>
      </c>
      <c r="E312" s="6" t="s">
        <v>620</v>
      </c>
      <c r="F312" s="6" t="s">
        <v>625</v>
      </c>
      <c r="G312" s="4" t="s">
        <v>2814</v>
      </c>
      <c r="H312" s="4" t="s">
        <v>2922</v>
      </c>
      <c r="I312" s="6" t="s">
        <v>96</v>
      </c>
      <c r="J312" s="6" t="s">
        <v>31</v>
      </c>
      <c r="K312" s="12">
        <f>_xlfn.XLOOKUP(B312,[1]Sheet1!$B:$B,[1]Sheet1!$N:$N,0)</f>
        <v>0</v>
      </c>
      <c r="L312" s="12">
        <f>_xlfn.XLOOKUP(B312,[1]Sheet1!$B:$B,[1]Sheet1!$O:$O,0)</f>
        <v>0</v>
      </c>
      <c r="M312" s="12">
        <f>_xlfn.XLOOKUP(B312,[1]Sheet1!$B:$B,[1]Sheet1!$P:$P,0)</f>
        <v>0</v>
      </c>
      <c r="N312" s="12">
        <f>_xlfn.XLOOKUP(B312,[1]Sheet1!$B:$B,[1]Sheet1!$Q:$Q,0)</f>
        <v>9400</v>
      </c>
      <c r="O312" s="12">
        <f>_xlfn.XLOOKUP(B312,[1]Sheet1!$B:$B,[1]Sheet1!$R:$R,0)</f>
        <v>2350</v>
      </c>
      <c r="P312" s="12">
        <f>_xlfn.XLOOKUP(B312,[1]Sheet1!$B:$B,[1]Sheet1!$S:$S,0)</f>
        <v>2350</v>
      </c>
      <c r="Q312" s="12">
        <f>_xlfn.XLOOKUP(B312,[1]Sheet1!$B:$B,[1]Sheet1!$T:$T,0)</f>
        <v>2350</v>
      </c>
      <c r="R312" s="12">
        <f>_xlfn.XLOOKUP(B312,[1]Sheet1!$B:$B,[1]Sheet1!$U:$U,0)</f>
        <v>2350</v>
      </c>
      <c r="S312" s="12">
        <f>_xlfn.XLOOKUP(B312,[1]Sheet1!$B:$B,[1]Sheet1!$V:$V,0)</f>
        <v>2350</v>
      </c>
      <c r="T312" s="12">
        <f>_xlfn.XLOOKUP(B312,[1]Sheet1!$B:$B,[1]Sheet1!$W:$W,0)</f>
        <v>2350</v>
      </c>
      <c r="U312" s="12">
        <f>_xlfn.XLOOKUP(B312,[1]Sheet1!$B:$B,[1]Sheet1!$X:$X,0)</f>
        <v>2350</v>
      </c>
      <c r="V312" s="12">
        <f>_xlfn.XLOOKUP(B312,[1]Sheet1!$B:$B,[1]Sheet1!$Y:$Y,0)</f>
        <v>2350</v>
      </c>
      <c r="W312" s="12">
        <f t="shared" si="11"/>
        <v>28200</v>
      </c>
      <c r="X312" s="6" t="s">
        <v>626</v>
      </c>
      <c r="Y312" s="6" t="s">
        <v>132</v>
      </c>
      <c r="Z312" s="6" t="s">
        <v>466</v>
      </c>
      <c r="AA312" s="6" t="s">
        <v>96</v>
      </c>
      <c r="AB312" s="6" t="s">
        <v>36</v>
      </c>
      <c r="AC312" s="6" t="s">
        <v>37</v>
      </c>
      <c r="AD312" s="6" t="s">
        <v>468</v>
      </c>
      <c r="AE312" s="6" t="s">
        <v>39</v>
      </c>
      <c r="AF312" s="6" t="s">
        <v>40</v>
      </c>
      <c r="AG312" s="7">
        <v>28200</v>
      </c>
      <c r="AH312" s="11">
        <f>_xlfn.XLOOKUP(B312,[1]Sheet1!$B:$B,[1]Sheet1!$AB:$AB,0)</f>
        <v>28200</v>
      </c>
    </row>
    <row r="313" spans="2:34" ht="16.8" thickTop="1" thickBot="1" x14ac:dyDescent="0.35">
      <c r="B313" s="3" t="str">
        <f t="shared" si="10"/>
        <v>45102304511000502Security Service-N1424551200104</v>
      </c>
      <c r="C313" s="8" t="s">
        <v>467</v>
      </c>
      <c r="D313" s="8" t="s">
        <v>619</v>
      </c>
      <c r="E313" s="8" t="s">
        <v>620</v>
      </c>
      <c r="F313" s="8" t="s">
        <v>627</v>
      </c>
      <c r="G313" s="4" t="s">
        <v>2817</v>
      </c>
      <c r="H313" s="4" t="s">
        <v>2922</v>
      </c>
      <c r="I313" s="8" t="s">
        <v>108</v>
      </c>
      <c r="J313" s="8" t="s">
        <v>31</v>
      </c>
      <c r="K313" s="12">
        <f>_xlfn.XLOOKUP(B313,[1]Sheet1!$B:$B,[1]Sheet1!$N:$N,0)</f>
        <v>0</v>
      </c>
      <c r="L313" s="12">
        <f>_xlfn.XLOOKUP(B313,[1]Sheet1!$B:$B,[1]Sheet1!$O:$O,0)</f>
        <v>0</v>
      </c>
      <c r="M313" s="12">
        <f>_xlfn.XLOOKUP(B313,[1]Sheet1!$B:$B,[1]Sheet1!$P:$P,0)</f>
        <v>0</v>
      </c>
      <c r="N313" s="12">
        <f>_xlfn.XLOOKUP(B313,[1]Sheet1!$B:$B,[1]Sheet1!$Q:$Q,0)</f>
        <v>34000</v>
      </c>
      <c r="O313" s="12">
        <f>_xlfn.XLOOKUP(B313,[1]Sheet1!$B:$B,[1]Sheet1!$R:$R,0)</f>
        <v>8500</v>
      </c>
      <c r="P313" s="12">
        <f>_xlfn.XLOOKUP(B313,[1]Sheet1!$B:$B,[1]Sheet1!$S:$S,0)</f>
        <v>8500</v>
      </c>
      <c r="Q313" s="12">
        <f>_xlfn.XLOOKUP(B313,[1]Sheet1!$B:$B,[1]Sheet1!$T:$T,0)</f>
        <v>8500</v>
      </c>
      <c r="R313" s="12">
        <f>_xlfn.XLOOKUP(B313,[1]Sheet1!$B:$B,[1]Sheet1!$U:$U,0)</f>
        <v>8500</v>
      </c>
      <c r="S313" s="12">
        <f>_xlfn.XLOOKUP(B313,[1]Sheet1!$B:$B,[1]Sheet1!$V:$V,0)</f>
        <v>8500</v>
      </c>
      <c r="T313" s="12">
        <f>_xlfn.XLOOKUP(B313,[1]Sheet1!$B:$B,[1]Sheet1!$W:$W,0)</f>
        <v>8500</v>
      </c>
      <c r="U313" s="12">
        <f>_xlfn.XLOOKUP(B313,[1]Sheet1!$B:$B,[1]Sheet1!$X:$X,0)</f>
        <v>8500</v>
      </c>
      <c r="V313" s="12">
        <f>_xlfn.XLOOKUP(B313,[1]Sheet1!$B:$B,[1]Sheet1!$Y:$Y,0)</f>
        <v>8500</v>
      </c>
      <c r="W313" s="12">
        <f t="shared" si="11"/>
        <v>102000</v>
      </c>
      <c r="X313" s="8" t="s">
        <v>628</v>
      </c>
      <c r="Y313" s="8" t="s">
        <v>132</v>
      </c>
      <c r="Z313" s="8" t="s">
        <v>466</v>
      </c>
      <c r="AA313" s="8" t="s">
        <v>108</v>
      </c>
      <c r="AB313" s="8" t="s">
        <v>36</v>
      </c>
      <c r="AC313" s="8" t="s">
        <v>37</v>
      </c>
      <c r="AD313" s="8" t="s">
        <v>468</v>
      </c>
      <c r="AE313" s="8" t="s">
        <v>39</v>
      </c>
      <c r="AF313" s="8" t="s">
        <v>40</v>
      </c>
      <c r="AG313" s="9">
        <v>102000</v>
      </c>
      <c r="AH313" s="11">
        <f>_xlfn.XLOOKUP(B313,[1]Sheet1!$B:$B,[1]Sheet1!$AB:$AB,0)</f>
        <v>102000</v>
      </c>
    </row>
    <row r="314" spans="2:34" ht="16.8" thickTop="1" thickBot="1" x14ac:dyDescent="0.35">
      <c r="B314" s="3" t="str">
        <f t="shared" si="10"/>
        <v>45102304511000504Ad-hoc Repairs-N1426427200104</v>
      </c>
      <c r="C314" s="6" t="s">
        <v>467</v>
      </c>
      <c r="D314" s="6" t="s">
        <v>629</v>
      </c>
      <c r="E314" s="6" t="s">
        <v>630</v>
      </c>
      <c r="F314" s="6" t="s">
        <v>621</v>
      </c>
      <c r="G314" s="4" t="s">
        <v>2808</v>
      </c>
      <c r="H314" s="4" t="s">
        <v>2922</v>
      </c>
      <c r="I314" s="6" t="s">
        <v>71</v>
      </c>
      <c r="J314" s="6" t="s">
        <v>31</v>
      </c>
      <c r="K314" s="12">
        <f>_xlfn.XLOOKUP(B314,[1]Sheet1!$B:$B,[1]Sheet1!$N:$N,0)</f>
        <v>0</v>
      </c>
      <c r="L314" s="12">
        <f>_xlfn.XLOOKUP(B314,[1]Sheet1!$B:$B,[1]Sheet1!$O:$O,0)</f>
        <v>0</v>
      </c>
      <c r="M314" s="12">
        <f>_xlfn.XLOOKUP(B314,[1]Sheet1!$B:$B,[1]Sheet1!$P:$P,0)</f>
        <v>0</v>
      </c>
      <c r="N314" s="12">
        <f>_xlfn.XLOOKUP(B314,[1]Sheet1!$B:$B,[1]Sheet1!$Q:$Q,0)</f>
        <v>4000</v>
      </c>
      <c r="O314" s="12">
        <f>_xlfn.XLOOKUP(B314,[1]Sheet1!$B:$B,[1]Sheet1!$R:$R,0)</f>
        <v>1000</v>
      </c>
      <c r="P314" s="12">
        <f>_xlfn.XLOOKUP(B314,[1]Sheet1!$B:$B,[1]Sheet1!$S:$S,0)</f>
        <v>1000</v>
      </c>
      <c r="Q314" s="12">
        <f>_xlfn.XLOOKUP(B314,[1]Sheet1!$B:$B,[1]Sheet1!$T:$T,0)</f>
        <v>1000</v>
      </c>
      <c r="R314" s="12">
        <f>_xlfn.XLOOKUP(B314,[1]Sheet1!$B:$B,[1]Sheet1!$U:$U,0)</f>
        <v>1000</v>
      </c>
      <c r="S314" s="12">
        <f>_xlfn.XLOOKUP(B314,[1]Sheet1!$B:$B,[1]Sheet1!$V:$V,0)</f>
        <v>1000</v>
      </c>
      <c r="T314" s="12">
        <f>_xlfn.XLOOKUP(B314,[1]Sheet1!$B:$B,[1]Sheet1!$W:$W,0)</f>
        <v>1000</v>
      </c>
      <c r="U314" s="12">
        <f>_xlfn.XLOOKUP(B314,[1]Sheet1!$B:$B,[1]Sheet1!$X:$X,0)</f>
        <v>1000</v>
      </c>
      <c r="V314" s="12">
        <f>_xlfn.XLOOKUP(B314,[1]Sheet1!$B:$B,[1]Sheet1!$Y:$Y,0)</f>
        <v>1000</v>
      </c>
      <c r="W314" s="12">
        <f t="shared" si="11"/>
        <v>12000</v>
      </c>
      <c r="X314" s="6" t="s">
        <v>622</v>
      </c>
      <c r="Y314" s="6" t="s">
        <v>132</v>
      </c>
      <c r="Z314" s="6" t="s">
        <v>466</v>
      </c>
      <c r="AA314" s="6" t="s">
        <v>71</v>
      </c>
      <c r="AB314" s="6" t="s">
        <v>36</v>
      </c>
      <c r="AC314" s="6" t="s">
        <v>37</v>
      </c>
      <c r="AD314" s="6" t="s">
        <v>468</v>
      </c>
      <c r="AE314" s="6" t="s">
        <v>39</v>
      </c>
      <c r="AF314" s="6" t="s">
        <v>40</v>
      </c>
      <c r="AG314" s="7">
        <v>12000</v>
      </c>
      <c r="AH314" s="11">
        <f>_xlfn.XLOOKUP(B314,[1]Sheet1!$B:$B,[1]Sheet1!$AB:$AB,0)</f>
        <v>12000</v>
      </c>
    </row>
    <row r="315" spans="2:34" ht="16.8" thickTop="1" thickBot="1" x14ac:dyDescent="0.35">
      <c r="B315" s="3" t="str">
        <f t="shared" si="10"/>
        <v>45102304511000504Cleaning Service-N1422311200104</v>
      </c>
      <c r="C315" s="8" t="s">
        <v>467</v>
      </c>
      <c r="D315" s="8" t="s">
        <v>629</v>
      </c>
      <c r="E315" s="8" t="s">
        <v>630</v>
      </c>
      <c r="F315" s="8" t="s">
        <v>623</v>
      </c>
      <c r="G315" s="4" t="s">
        <v>2810</v>
      </c>
      <c r="H315" s="4" t="s">
        <v>2922</v>
      </c>
      <c r="I315" s="8" t="s">
        <v>80</v>
      </c>
      <c r="J315" s="8" t="s">
        <v>31</v>
      </c>
      <c r="K315" s="12">
        <f>_xlfn.XLOOKUP(B315,[1]Sheet1!$B:$B,[1]Sheet1!$N:$N,0)</f>
        <v>0</v>
      </c>
      <c r="L315" s="12">
        <f>_xlfn.XLOOKUP(B315,[1]Sheet1!$B:$B,[1]Sheet1!$O:$O,0)</f>
        <v>0</v>
      </c>
      <c r="M315" s="12">
        <f>_xlfn.XLOOKUP(B315,[1]Sheet1!$B:$B,[1]Sheet1!$P:$P,0)</f>
        <v>0</v>
      </c>
      <c r="N315" s="12">
        <f>_xlfn.XLOOKUP(B315,[1]Sheet1!$B:$B,[1]Sheet1!$Q:$Q,0)</f>
        <v>14660</v>
      </c>
      <c r="O315" s="12">
        <f>_xlfn.XLOOKUP(B315,[1]Sheet1!$B:$B,[1]Sheet1!$R:$R,0)</f>
        <v>3667</v>
      </c>
      <c r="P315" s="12">
        <f>_xlfn.XLOOKUP(B315,[1]Sheet1!$B:$B,[1]Sheet1!$S:$S,0)</f>
        <v>3667</v>
      </c>
      <c r="Q315" s="12">
        <f>_xlfn.XLOOKUP(B315,[1]Sheet1!$B:$B,[1]Sheet1!$T:$T,0)</f>
        <v>3667</v>
      </c>
      <c r="R315" s="12">
        <f>_xlfn.XLOOKUP(B315,[1]Sheet1!$B:$B,[1]Sheet1!$U:$U,0)</f>
        <v>3667</v>
      </c>
      <c r="S315" s="12">
        <f>_xlfn.XLOOKUP(B315,[1]Sheet1!$B:$B,[1]Sheet1!$V:$V,0)</f>
        <v>3667</v>
      </c>
      <c r="T315" s="12">
        <f>_xlfn.XLOOKUP(B315,[1]Sheet1!$B:$B,[1]Sheet1!$W:$W,0)</f>
        <v>3667</v>
      </c>
      <c r="U315" s="12">
        <f>_xlfn.XLOOKUP(B315,[1]Sheet1!$B:$B,[1]Sheet1!$X:$X,0)</f>
        <v>3668</v>
      </c>
      <c r="V315" s="12">
        <f>_xlfn.XLOOKUP(B315,[1]Sheet1!$B:$B,[1]Sheet1!$Y:$Y,0)</f>
        <v>3670</v>
      </c>
      <c r="W315" s="12">
        <f t="shared" si="11"/>
        <v>44000</v>
      </c>
      <c r="X315" s="8" t="s">
        <v>624</v>
      </c>
      <c r="Y315" s="8" t="s">
        <v>132</v>
      </c>
      <c r="Z315" s="8" t="s">
        <v>466</v>
      </c>
      <c r="AA315" s="8" t="s">
        <v>80</v>
      </c>
      <c r="AB315" s="8" t="s">
        <v>36</v>
      </c>
      <c r="AC315" s="8" t="s">
        <v>37</v>
      </c>
      <c r="AD315" s="8" t="s">
        <v>468</v>
      </c>
      <c r="AE315" s="8" t="s">
        <v>39</v>
      </c>
      <c r="AF315" s="8" t="s">
        <v>40</v>
      </c>
      <c r="AG315" s="9">
        <v>44000</v>
      </c>
      <c r="AH315" s="11">
        <f>_xlfn.XLOOKUP(B315,[1]Sheet1!$B:$B,[1]Sheet1!$AB:$AB,0)</f>
        <v>44000</v>
      </c>
    </row>
    <row r="316" spans="2:34" ht="16.8" thickTop="1" thickBot="1" x14ac:dyDescent="0.35">
      <c r="B316" s="3" t="str">
        <f t="shared" si="10"/>
        <v>45102304511000504Facilities Rent-N1425112200104</v>
      </c>
      <c r="C316" s="6" t="s">
        <v>467</v>
      </c>
      <c r="D316" s="6" t="s">
        <v>629</v>
      </c>
      <c r="E316" s="6" t="s">
        <v>630</v>
      </c>
      <c r="F316" s="6" t="s">
        <v>631</v>
      </c>
      <c r="G316" s="4" t="s">
        <v>2848</v>
      </c>
      <c r="H316" s="4" t="s">
        <v>2922</v>
      </c>
      <c r="I316" s="6" t="s">
        <v>533</v>
      </c>
      <c r="J316" s="6" t="s">
        <v>31</v>
      </c>
      <c r="K316" s="12">
        <f>_xlfn.XLOOKUP(B316,[1]Sheet1!$B:$B,[1]Sheet1!$N:$N,0)</f>
        <v>0</v>
      </c>
      <c r="L316" s="12">
        <f>_xlfn.XLOOKUP(B316,[1]Sheet1!$B:$B,[1]Sheet1!$O:$O,0)</f>
        <v>0</v>
      </c>
      <c r="M316" s="12">
        <f>_xlfn.XLOOKUP(B316,[1]Sheet1!$B:$B,[1]Sheet1!$P:$P,0)</f>
        <v>0</v>
      </c>
      <c r="N316" s="12">
        <f>_xlfn.XLOOKUP(B316,[1]Sheet1!$B:$B,[1]Sheet1!$Q:$Q,0)</f>
        <v>61560.45</v>
      </c>
      <c r="O316" s="12">
        <f>_xlfn.XLOOKUP(B316,[1]Sheet1!$B:$B,[1]Sheet1!$R:$R,0)</f>
        <v>0</v>
      </c>
      <c r="P316" s="12">
        <f>_xlfn.XLOOKUP(B316,[1]Sheet1!$B:$B,[1]Sheet1!$S:$S,0)</f>
        <v>0</v>
      </c>
      <c r="Q316" s="12">
        <f>_xlfn.XLOOKUP(B316,[1]Sheet1!$B:$B,[1]Sheet1!$T:$T,0)</f>
        <v>0</v>
      </c>
      <c r="R316" s="12">
        <f>_xlfn.XLOOKUP(B316,[1]Sheet1!$B:$B,[1]Sheet1!$U:$U,0)</f>
        <v>0</v>
      </c>
      <c r="S316" s="12">
        <f>_xlfn.XLOOKUP(B316,[1]Sheet1!$B:$B,[1]Sheet1!$V:$V,0)</f>
        <v>0</v>
      </c>
      <c r="T316" s="12">
        <f>_xlfn.XLOOKUP(B316,[1]Sheet1!$B:$B,[1]Sheet1!$W:$W,0)</f>
        <v>0</v>
      </c>
      <c r="U316" s="12">
        <f>_xlfn.XLOOKUP(B316,[1]Sheet1!$B:$B,[1]Sheet1!$X:$X,0)</f>
        <v>0</v>
      </c>
      <c r="V316" s="12">
        <f>_xlfn.XLOOKUP(B316,[1]Sheet1!$B:$B,[1]Sheet1!$Y:$Y,0)</f>
        <v>0</v>
      </c>
      <c r="W316" s="12">
        <f t="shared" si="11"/>
        <v>61560.45</v>
      </c>
      <c r="X316" s="6" t="s">
        <v>632</v>
      </c>
      <c r="Y316" s="6" t="s">
        <v>132</v>
      </c>
      <c r="Z316" s="6" t="s">
        <v>466</v>
      </c>
      <c r="AA316" s="6" t="s">
        <v>533</v>
      </c>
      <c r="AB316" s="6" t="s">
        <v>36</v>
      </c>
      <c r="AC316" s="6" t="s">
        <v>37</v>
      </c>
      <c r="AD316" s="6" t="s">
        <v>468</v>
      </c>
      <c r="AE316" s="6" t="s">
        <v>39</v>
      </c>
      <c r="AF316" s="6" t="s">
        <v>40</v>
      </c>
      <c r="AG316" s="7">
        <v>61560.9</v>
      </c>
      <c r="AH316" s="11">
        <f>_xlfn.XLOOKUP(B316,[1]Sheet1!$B:$B,[1]Sheet1!$AB:$AB,0)</f>
        <v>61560.45</v>
      </c>
    </row>
    <row r="317" spans="2:34" ht="16.8" thickTop="1" thickBot="1" x14ac:dyDescent="0.35">
      <c r="B317" s="3" t="str">
        <f t="shared" si="10"/>
        <v>45102304511000504Hospitality-N1424761200104</v>
      </c>
      <c r="C317" s="8" t="s">
        <v>467</v>
      </c>
      <c r="D317" s="8" t="s">
        <v>629</v>
      </c>
      <c r="E317" s="8" t="s">
        <v>630</v>
      </c>
      <c r="F317" s="8" t="s">
        <v>399</v>
      </c>
      <c r="G317" s="4" t="s">
        <v>2811</v>
      </c>
      <c r="H317" s="4" t="s">
        <v>2922</v>
      </c>
      <c r="I317" s="8" t="s">
        <v>84</v>
      </c>
      <c r="J317" s="8" t="s">
        <v>31</v>
      </c>
      <c r="K317" s="12">
        <f>_xlfn.XLOOKUP(B317,[1]Sheet1!$B:$B,[1]Sheet1!$N:$N,0)</f>
        <v>0</v>
      </c>
      <c r="L317" s="12">
        <f>_xlfn.XLOOKUP(B317,[1]Sheet1!$B:$B,[1]Sheet1!$O:$O,0)</f>
        <v>0</v>
      </c>
      <c r="M317" s="12">
        <f>_xlfn.XLOOKUP(B317,[1]Sheet1!$B:$B,[1]Sheet1!$P:$P,0)</f>
        <v>0</v>
      </c>
      <c r="N317" s="12">
        <f>_xlfn.XLOOKUP(B317,[1]Sheet1!$B:$B,[1]Sheet1!$Q:$Q,0)</f>
        <v>12433</v>
      </c>
      <c r="O317" s="12">
        <f>_xlfn.XLOOKUP(B317,[1]Sheet1!$B:$B,[1]Sheet1!$R:$R,0)</f>
        <v>3108</v>
      </c>
      <c r="P317" s="12">
        <f>_xlfn.XLOOKUP(B317,[1]Sheet1!$B:$B,[1]Sheet1!$S:$S,0)</f>
        <v>3108</v>
      </c>
      <c r="Q317" s="12">
        <f>_xlfn.XLOOKUP(B317,[1]Sheet1!$B:$B,[1]Sheet1!$T:$T,0)</f>
        <v>3108</v>
      </c>
      <c r="R317" s="12">
        <f>_xlfn.XLOOKUP(B317,[1]Sheet1!$B:$B,[1]Sheet1!$U:$U,0)</f>
        <v>3108</v>
      </c>
      <c r="S317" s="12">
        <f>_xlfn.XLOOKUP(B317,[1]Sheet1!$B:$B,[1]Sheet1!$V:$V,0)</f>
        <v>3108</v>
      </c>
      <c r="T317" s="12">
        <f>_xlfn.XLOOKUP(B317,[1]Sheet1!$B:$B,[1]Sheet1!$W:$W,0)</f>
        <v>3108</v>
      </c>
      <c r="U317" s="12">
        <f>_xlfn.XLOOKUP(B317,[1]Sheet1!$B:$B,[1]Sheet1!$X:$X,0)</f>
        <v>3108</v>
      </c>
      <c r="V317" s="12">
        <f>_xlfn.XLOOKUP(B317,[1]Sheet1!$B:$B,[1]Sheet1!$Y:$Y,0)</f>
        <v>3111</v>
      </c>
      <c r="W317" s="12">
        <f t="shared" si="11"/>
        <v>37300</v>
      </c>
      <c r="X317" s="8" t="s">
        <v>469</v>
      </c>
      <c r="Y317" s="8" t="s">
        <v>132</v>
      </c>
      <c r="Z317" s="8" t="s">
        <v>466</v>
      </c>
      <c r="AA317" s="8" t="s">
        <v>84</v>
      </c>
      <c r="AB317" s="8" t="s">
        <v>36</v>
      </c>
      <c r="AC317" s="8" t="s">
        <v>37</v>
      </c>
      <c r="AD317" s="8" t="s">
        <v>468</v>
      </c>
      <c r="AE317" s="8" t="s">
        <v>39</v>
      </c>
      <c r="AF317" s="8" t="s">
        <v>40</v>
      </c>
      <c r="AG317" s="9">
        <v>37300</v>
      </c>
      <c r="AH317" s="11">
        <f>_xlfn.XLOOKUP(B317,[1]Sheet1!$B:$B,[1]Sheet1!$AB:$AB,0)</f>
        <v>37300</v>
      </c>
    </row>
    <row r="318" spans="2:34" ht="16.8" thickTop="1" thickBot="1" x14ac:dyDescent="0.35">
      <c r="B318" s="3" t="str">
        <f t="shared" si="10"/>
        <v>45102304511000504Maintenance-N1426212200104</v>
      </c>
      <c r="C318" s="6" t="s">
        <v>467</v>
      </c>
      <c r="D318" s="6" t="s">
        <v>629</v>
      </c>
      <c r="E318" s="6" t="s">
        <v>630</v>
      </c>
      <c r="F318" s="6" t="s">
        <v>625</v>
      </c>
      <c r="G318" s="4" t="s">
        <v>2814</v>
      </c>
      <c r="H318" s="4" t="s">
        <v>2922</v>
      </c>
      <c r="I318" s="6" t="s">
        <v>96</v>
      </c>
      <c r="J318" s="6" t="s">
        <v>31</v>
      </c>
      <c r="K318" s="12">
        <f>_xlfn.XLOOKUP(B318,[1]Sheet1!$B:$B,[1]Sheet1!$N:$N,0)</f>
        <v>0</v>
      </c>
      <c r="L318" s="12">
        <f>_xlfn.XLOOKUP(B318,[1]Sheet1!$B:$B,[1]Sheet1!$O:$O,0)</f>
        <v>0</v>
      </c>
      <c r="M318" s="12">
        <f>_xlfn.XLOOKUP(B318,[1]Sheet1!$B:$B,[1]Sheet1!$P:$P,0)</f>
        <v>0</v>
      </c>
      <c r="N318" s="12">
        <f>_xlfn.XLOOKUP(B318,[1]Sheet1!$B:$B,[1]Sheet1!$Q:$Q,0)</f>
        <v>12000</v>
      </c>
      <c r="O318" s="12">
        <f>_xlfn.XLOOKUP(B318,[1]Sheet1!$B:$B,[1]Sheet1!$R:$R,0)</f>
        <v>3000</v>
      </c>
      <c r="P318" s="12">
        <f>_xlfn.XLOOKUP(B318,[1]Sheet1!$B:$B,[1]Sheet1!$S:$S,0)</f>
        <v>3000</v>
      </c>
      <c r="Q318" s="12">
        <f>_xlfn.XLOOKUP(B318,[1]Sheet1!$B:$B,[1]Sheet1!$T:$T,0)</f>
        <v>3000</v>
      </c>
      <c r="R318" s="12">
        <f>_xlfn.XLOOKUP(B318,[1]Sheet1!$B:$B,[1]Sheet1!$U:$U,0)</f>
        <v>3000</v>
      </c>
      <c r="S318" s="12">
        <f>_xlfn.XLOOKUP(B318,[1]Sheet1!$B:$B,[1]Sheet1!$V:$V,0)</f>
        <v>3000</v>
      </c>
      <c r="T318" s="12">
        <f>_xlfn.XLOOKUP(B318,[1]Sheet1!$B:$B,[1]Sheet1!$W:$W,0)</f>
        <v>3000</v>
      </c>
      <c r="U318" s="12">
        <f>_xlfn.XLOOKUP(B318,[1]Sheet1!$B:$B,[1]Sheet1!$X:$X,0)</f>
        <v>3000</v>
      </c>
      <c r="V318" s="12">
        <f>_xlfn.XLOOKUP(B318,[1]Sheet1!$B:$B,[1]Sheet1!$Y:$Y,0)</f>
        <v>3000</v>
      </c>
      <c r="W318" s="12">
        <f t="shared" si="11"/>
        <v>36000</v>
      </c>
      <c r="X318" s="6" t="s">
        <v>626</v>
      </c>
      <c r="Y318" s="6" t="s">
        <v>132</v>
      </c>
      <c r="Z318" s="6" t="s">
        <v>466</v>
      </c>
      <c r="AA318" s="6" t="s">
        <v>96</v>
      </c>
      <c r="AB318" s="6" t="s">
        <v>36</v>
      </c>
      <c r="AC318" s="6" t="s">
        <v>37</v>
      </c>
      <c r="AD318" s="6" t="s">
        <v>468</v>
      </c>
      <c r="AE318" s="6" t="s">
        <v>39</v>
      </c>
      <c r="AF318" s="6" t="s">
        <v>40</v>
      </c>
      <c r="AG318" s="7">
        <v>36000</v>
      </c>
      <c r="AH318" s="11">
        <f>_xlfn.XLOOKUP(B318,[1]Sheet1!$B:$B,[1]Sheet1!$AB:$AB,0)</f>
        <v>36000</v>
      </c>
    </row>
    <row r="319" spans="2:34" ht="16.8" thickTop="1" thickBot="1" x14ac:dyDescent="0.35">
      <c r="B319" s="3" t="str">
        <f t="shared" si="10"/>
        <v>45102304511000504Security Service-N1424551200104</v>
      </c>
      <c r="C319" s="8" t="s">
        <v>467</v>
      </c>
      <c r="D319" s="8" t="s">
        <v>629</v>
      </c>
      <c r="E319" s="8" t="s">
        <v>630</v>
      </c>
      <c r="F319" s="8" t="s">
        <v>627</v>
      </c>
      <c r="G319" s="4" t="s">
        <v>2817</v>
      </c>
      <c r="H319" s="4" t="s">
        <v>2922</v>
      </c>
      <c r="I319" s="8" t="s">
        <v>108</v>
      </c>
      <c r="J319" s="8" t="s">
        <v>31</v>
      </c>
      <c r="K319" s="12">
        <f>_xlfn.XLOOKUP(B319,[1]Sheet1!$B:$B,[1]Sheet1!$N:$N,0)</f>
        <v>0</v>
      </c>
      <c r="L319" s="12">
        <f>_xlfn.XLOOKUP(B319,[1]Sheet1!$B:$B,[1]Sheet1!$O:$O,0)</f>
        <v>0</v>
      </c>
      <c r="M319" s="12">
        <f>_xlfn.XLOOKUP(B319,[1]Sheet1!$B:$B,[1]Sheet1!$P:$P,0)</f>
        <v>0</v>
      </c>
      <c r="N319" s="12">
        <f>_xlfn.XLOOKUP(B319,[1]Sheet1!$B:$B,[1]Sheet1!$Q:$Q,0)</f>
        <v>29880</v>
      </c>
      <c r="O319" s="12">
        <f>_xlfn.XLOOKUP(B319,[1]Sheet1!$B:$B,[1]Sheet1!$R:$R,0)</f>
        <v>7470</v>
      </c>
      <c r="P319" s="12">
        <f>_xlfn.XLOOKUP(B319,[1]Sheet1!$B:$B,[1]Sheet1!$S:$S,0)</f>
        <v>7470</v>
      </c>
      <c r="Q319" s="12">
        <f>_xlfn.XLOOKUP(B319,[1]Sheet1!$B:$B,[1]Sheet1!$T:$T,0)</f>
        <v>7470</v>
      </c>
      <c r="R319" s="12">
        <f>_xlfn.XLOOKUP(B319,[1]Sheet1!$B:$B,[1]Sheet1!$U:$U,0)</f>
        <v>7470</v>
      </c>
      <c r="S319" s="12">
        <f>_xlfn.XLOOKUP(B319,[1]Sheet1!$B:$B,[1]Sheet1!$V:$V,0)</f>
        <v>7470</v>
      </c>
      <c r="T319" s="12">
        <f>_xlfn.XLOOKUP(B319,[1]Sheet1!$B:$B,[1]Sheet1!$W:$W,0)</f>
        <v>7470</v>
      </c>
      <c r="U319" s="12">
        <f>_xlfn.XLOOKUP(B319,[1]Sheet1!$B:$B,[1]Sheet1!$X:$X,0)</f>
        <v>7470</v>
      </c>
      <c r="V319" s="12">
        <f>_xlfn.XLOOKUP(B319,[1]Sheet1!$B:$B,[1]Sheet1!$Y:$Y,0)</f>
        <v>7470</v>
      </c>
      <c r="W319" s="12">
        <f t="shared" si="11"/>
        <v>89640</v>
      </c>
      <c r="X319" s="8" t="s">
        <v>628</v>
      </c>
      <c r="Y319" s="8" t="s">
        <v>132</v>
      </c>
      <c r="Z319" s="8" t="s">
        <v>466</v>
      </c>
      <c r="AA319" s="8" t="s">
        <v>108</v>
      </c>
      <c r="AB319" s="8" t="s">
        <v>36</v>
      </c>
      <c r="AC319" s="8" t="s">
        <v>37</v>
      </c>
      <c r="AD319" s="8" t="s">
        <v>468</v>
      </c>
      <c r="AE319" s="8" t="s">
        <v>39</v>
      </c>
      <c r="AF319" s="8" t="s">
        <v>40</v>
      </c>
      <c r="AG319" s="9">
        <v>89640</v>
      </c>
      <c r="AH319" s="11">
        <f>_xlfn.XLOOKUP(B319,[1]Sheet1!$B:$B,[1]Sheet1!$AB:$AB,0)</f>
        <v>89640</v>
      </c>
    </row>
    <row r="320" spans="2:34" ht="16.8" thickTop="1" thickBot="1" x14ac:dyDescent="0.35">
      <c r="B320" s="3" t="str">
        <f t="shared" si="10"/>
        <v>45102304511000505Ad-hoc Repairs-N1426427200104</v>
      </c>
      <c r="C320" s="6" t="s">
        <v>467</v>
      </c>
      <c r="D320" s="6" t="s">
        <v>633</v>
      </c>
      <c r="E320" s="6" t="s">
        <v>634</v>
      </c>
      <c r="F320" s="6" t="s">
        <v>621</v>
      </c>
      <c r="G320" s="4" t="s">
        <v>2808</v>
      </c>
      <c r="H320" s="4" t="s">
        <v>2922</v>
      </c>
      <c r="I320" s="6" t="s">
        <v>71</v>
      </c>
      <c r="J320" s="6" t="s">
        <v>31</v>
      </c>
      <c r="K320" s="12">
        <f>_xlfn.XLOOKUP(B320,[1]Sheet1!$B:$B,[1]Sheet1!$N:$N,0)</f>
        <v>0</v>
      </c>
      <c r="L320" s="12">
        <f>_xlfn.XLOOKUP(B320,[1]Sheet1!$B:$B,[1]Sheet1!$O:$O,0)</f>
        <v>0</v>
      </c>
      <c r="M320" s="12">
        <f>_xlfn.XLOOKUP(B320,[1]Sheet1!$B:$B,[1]Sheet1!$P:$P,0)</f>
        <v>0</v>
      </c>
      <c r="N320" s="12">
        <f>_xlfn.XLOOKUP(B320,[1]Sheet1!$B:$B,[1]Sheet1!$Q:$Q,0)</f>
        <v>4600</v>
      </c>
      <c r="O320" s="12">
        <f>_xlfn.XLOOKUP(B320,[1]Sheet1!$B:$B,[1]Sheet1!$R:$R,0)</f>
        <v>1150</v>
      </c>
      <c r="P320" s="12">
        <f>_xlfn.XLOOKUP(B320,[1]Sheet1!$B:$B,[1]Sheet1!$S:$S,0)</f>
        <v>1150</v>
      </c>
      <c r="Q320" s="12">
        <f>_xlfn.XLOOKUP(B320,[1]Sheet1!$B:$B,[1]Sheet1!$T:$T,0)</f>
        <v>1150</v>
      </c>
      <c r="R320" s="12">
        <f>_xlfn.XLOOKUP(B320,[1]Sheet1!$B:$B,[1]Sheet1!$U:$U,0)</f>
        <v>1150</v>
      </c>
      <c r="S320" s="12">
        <f>_xlfn.XLOOKUP(B320,[1]Sheet1!$B:$B,[1]Sheet1!$V:$V,0)</f>
        <v>1150</v>
      </c>
      <c r="T320" s="12">
        <f>_xlfn.XLOOKUP(B320,[1]Sheet1!$B:$B,[1]Sheet1!$W:$W,0)</f>
        <v>1150</v>
      </c>
      <c r="U320" s="12">
        <f>_xlfn.XLOOKUP(B320,[1]Sheet1!$B:$B,[1]Sheet1!$X:$X,0)</f>
        <v>1150</v>
      </c>
      <c r="V320" s="12">
        <f>_xlfn.XLOOKUP(B320,[1]Sheet1!$B:$B,[1]Sheet1!$Y:$Y,0)</f>
        <v>1150</v>
      </c>
      <c r="W320" s="12">
        <f t="shared" si="11"/>
        <v>13800</v>
      </c>
      <c r="X320" s="6" t="s">
        <v>622</v>
      </c>
      <c r="Y320" s="6" t="s">
        <v>132</v>
      </c>
      <c r="Z320" s="6" t="s">
        <v>466</v>
      </c>
      <c r="AA320" s="6" t="s">
        <v>71</v>
      </c>
      <c r="AB320" s="6" t="s">
        <v>36</v>
      </c>
      <c r="AC320" s="6" t="s">
        <v>37</v>
      </c>
      <c r="AD320" s="6" t="s">
        <v>468</v>
      </c>
      <c r="AE320" s="6" t="s">
        <v>39</v>
      </c>
      <c r="AF320" s="6" t="s">
        <v>40</v>
      </c>
      <c r="AG320" s="7">
        <v>13800</v>
      </c>
      <c r="AH320" s="11">
        <f>_xlfn.XLOOKUP(B320,[1]Sheet1!$B:$B,[1]Sheet1!$AB:$AB,0)</f>
        <v>13800</v>
      </c>
    </row>
    <row r="321" spans="2:34" ht="16.8" thickTop="1" thickBot="1" x14ac:dyDescent="0.35">
      <c r="B321" s="3" t="str">
        <f t="shared" si="10"/>
        <v>45102304511000505Cleaning Service-N2422311200104</v>
      </c>
      <c r="C321" s="8" t="s">
        <v>467</v>
      </c>
      <c r="D321" s="8" t="s">
        <v>633</v>
      </c>
      <c r="E321" s="8" t="s">
        <v>634</v>
      </c>
      <c r="F321" s="8" t="s">
        <v>635</v>
      </c>
      <c r="G321" s="4" t="s">
        <v>2810</v>
      </c>
      <c r="H321" s="4" t="s">
        <v>2922</v>
      </c>
      <c r="I321" s="8" t="s">
        <v>80</v>
      </c>
      <c r="J321" s="8" t="s">
        <v>31</v>
      </c>
      <c r="K321" s="12">
        <f>_xlfn.XLOOKUP(B321,[1]Sheet1!$B:$B,[1]Sheet1!$N:$N,0)</f>
        <v>0</v>
      </c>
      <c r="L321" s="12">
        <f>_xlfn.XLOOKUP(B321,[1]Sheet1!$B:$B,[1]Sheet1!$O:$O,0)</f>
        <v>0</v>
      </c>
      <c r="M321" s="12">
        <f>_xlfn.XLOOKUP(B321,[1]Sheet1!$B:$B,[1]Sheet1!$P:$P,0)</f>
        <v>0</v>
      </c>
      <c r="N321" s="12">
        <f>_xlfn.XLOOKUP(B321,[1]Sheet1!$B:$B,[1]Sheet1!$Q:$Q,0)</f>
        <v>46800</v>
      </c>
      <c r="O321" s="12">
        <f>_xlfn.XLOOKUP(B321,[1]Sheet1!$B:$B,[1]Sheet1!$R:$R,0)</f>
        <v>11700</v>
      </c>
      <c r="P321" s="12">
        <f>_xlfn.XLOOKUP(B321,[1]Sheet1!$B:$B,[1]Sheet1!$S:$S,0)</f>
        <v>11700</v>
      </c>
      <c r="Q321" s="12">
        <f>_xlfn.XLOOKUP(B321,[1]Sheet1!$B:$B,[1]Sheet1!$T:$T,0)</f>
        <v>11700</v>
      </c>
      <c r="R321" s="12">
        <f>_xlfn.XLOOKUP(B321,[1]Sheet1!$B:$B,[1]Sheet1!$U:$U,0)</f>
        <v>11700</v>
      </c>
      <c r="S321" s="12">
        <f>_xlfn.XLOOKUP(B321,[1]Sheet1!$B:$B,[1]Sheet1!$V:$V,0)</f>
        <v>11700</v>
      </c>
      <c r="T321" s="12">
        <f>_xlfn.XLOOKUP(B321,[1]Sheet1!$B:$B,[1]Sheet1!$W:$W,0)</f>
        <v>11700</v>
      </c>
      <c r="U321" s="12">
        <f>_xlfn.XLOOKUP(B321,[1]Sheet1!$B:$B,[1]Sheet1!$X:$X,0)</f>
        <v>11700</v>
      </c>
      <c r="V321" s="12">
        <f>_xlfn.XLOOKUP(B321,[1]Sheet1!$B:$B,[1]Sheet1!$Y:$Y,0)</f>
        <v>11700</v>
      </c>
      <c r="W321" s="12">
        <f t="shared" si="11"/>
        <v>140400</v>
      </c>
      <c r="X321" s="8" t="s">
        <v>624</v>
      </c>
      <c r="Y321" s="8" t="s">
        <v>132</v>
      </c>
      <c r="Z321" s="8" t="s">
        <v>466</v>
      </c>
      <c r="AA321" s="8" t="s">
        <v>80</v>
      </c>
      <c r="AB321" s="8" t="s">
        <v>36</v>
      </c>
      <c r="AC321" s="8" t="s">
        <v>37</v>
      </c>
      <c r="AD321" s="8" t="s">
        <v>468</v>
      </c>
      <c r="AE321" s="8" t="s">
        <v>39</v>
      </c>
      <c r="AF321" s="8" t="s">
        <v>40</v>
      </c>
      <c r="AG321" s="9">
        <v>140400</v>
      </c>
      <c r="AH321" s="11">
        <f>_xlfn.XLOOKUP(B321,[1]Sheet1!$B:$B,[1]Sheet1!$AB:$AB,0)</f>
        <v>140400</v>
      </c>
    </row>
    <row r="322" spans="2:34" ht="16.8" thickTop="1" thickBot="1" x14ac:dyDescent="0.35">
      <c r="B322" s="3" t="str">
        <f t="shared" si="10"/>
        <v>45102304511000505Facilities Rent-N2425112200104</v>
      </c>
      <c r="C322" s="6" t="s">
        <v>467</v>
      </c>
      <c r="D322" s="6" t="s">
        <v>633</v>
      </c>
      <c r="E322" s="6" t="s">
        <v>634</v>
      </c>
      <c r="F322" s="6" t="s">
        <v>636</v>
      </c>
      <c r="G322" s="4" t="s">
        <v>2848</v>
      </c>
      <c r="H322" s="4" t="s">
        <v>2922</v>
      </c>
      <c r="I322" s="6" t="s">
        <v>533</v>
      </c>
      <c r="J322" s="6" t="s">
        <v>31</v>
      </c>
      <c r="K322" s="12">
        <f>_xlfn.XLOOKUP(B322,[1]Sheet1!$B:$B,[1]Sheet1!$N:$N,0)</f>
        <v>0</v>
      </c>
      <c r="L322" s="12">
        <f>_xlfn.XLOOKUP(B322,[1]Sheet1!$B:$B,[1]Sheet1!$O:$O,0)</f>
        <v>0</v>
      </c>
      <c r="M322" s="12">
        <f>_xlfn.XLOOKUP(B322,[1]Sheet1!$B:$B,[1]Sheet1!$P:$P,0)</f>
        <v>0</v>
      </c>
      <c r="N322" s="12">
        <f>_xlfn.XLOOKUP(B322,[1]Sheet1!$B:$B,[1]Sheet1!$Q:$Q,0)</f>
        <v>0</v>
      </c>
      <c r="O322" s="12">
        <f>_xlfn.XLOOKUP(B322,[1]Sheet1!$B:$B,[1]Sheet1!$R:$R,0)</f>
        <v>0</v>
      </c>
      <c r="P322" s="12">
        <f>_xlfn.XLOOKUP(B322,[1]Sheet1!$B:$B,[1]Sheet1!$S:$S,0)</f>
        <v>296166.78000000003</v>
      </c>
      <c r="Q322" s="12">
        <f>_xlfn.XLOOKUP(B322,[1]Sheet1!$B:$B,[1]Sheet1!$T:$T,0)</f>
        <v>0</v>
      </c>
      <c r="R322" s="12">
        <f>_xlfn.XLOOKUP(B322,[1]Sheet1!$B:$B,[1]Sheet1!$U:$U,0)</f>
        <v>0</v>
      </c>
      <c r="S322" s="12">
        <f>_xlfn.XLOOKUP(B322,[1]Sheet1!$B:$B,[1]Sheet1!$V:$V,0)</f>
        <v>0</v>
      </c>
      <c r="T322" s="12">
        <f>_xlfn.XLOOKUP(B322,[1]Sheet1!$B:$B,[1]Sheet1!$W:$W,0)</f>
        <v>0</v>
      </c>
      <c r="U322" s="12">
        <f>_xlfn.XLOOKUP(B322,[1]Sheet1!$B:$B,[1]Sheet1!$X:$X,0)</f>
        <v>0</v>
      </c>
      <c r="V322" s="12">
        <f>_xlfn.XLOOKUP(B322,[1]Sheet1!$B:$B,[1]Sheet1!$Y:$Y,0)</f>
        <v>0</v>
      </c>
      <c r="W322" s="12">
        <f t="shared" si="11"/>
        <v>296166.78000000003</v>
      </c>
      <c r="X322" s="6" t="s">
        <v>632</v>
      </c>
      <c r="Y322" s="6" t="s">
        <v>132</v>
      </c>
      <c r="Z322" s="6" t="s">
        <v>466</v>
      </c>
      <c r="AA322" s="6" t="s">
        <v>533</v>
      </c>
      <c r="AB322" s="6" t="s">
        <v>36</v>
      </c>
      <c r="AC322" s="6" t="s">
        <v>37</v>
      </c>
      <c r="AD322" s="6" t="s">
        <v>468</v>
      </c>
      <c r="AE322" s="6" t="s">
        <v>39</v>
      </c>
      <c r="AF322" s="6" t="s">
        <v>40</v>
      </c>
      <c r="AG322" s="7">
        <v>296167</v>
      </c>
      <c r="AH322" s="11">
        <f>_xlfn.XLOOKUP(B322,[1]Sheet1!$B:$B,[1]Sheet1!$AB:$AB,0)</f>
        <v>296166.78000000003</v>
      </c>
    </row>
    <row r="323" spans="2:34" ht="16.8" thickTop="1" thickBot="1" x14ac:dyDescent="0.35">
      <c r="B323" s="3" t="str">
        <f t="shared" si="10"/>
        <v>45102304511000505Hospitality-N2424761200104</v>
      </c>
      <c r="C323" s="8" t="s">
        <v>467</v>
      </c>
      <c r="D323" s="8" t="s">
        <v>633</v>
      </c>
      <c r="E323" s="8" t="s">
        <v>634</v>
      </c>
      <c r="F323" s="8" t="s">
        <v>637</v>
      </c>
      <c r="G323" s="4" t="s">
        <v>2811</v>
      </c>
      <c r="H323" s="4" t="s">
        <v>2922</v>
      </c>
      <c r="I323" s="8" t="s">
        <v>84</v>
      </c>
      <c r="J323" s="8" t="s">
        <v>31</v>
      </c>
      <c r="K323" s="12">
        <f>_xlfn.XLOOKUP(B323,[1]Sheet1!$B:$B,[1]Sheet1!$N:$N,0)</f>
        <v>0</v>
      </c>
      <c r="L323" s="12">
        <f>_xlfn.XLOOKUP(B323,[1]Sheet1!$B:$B,[1]Sheet1!$O:$O,0)</f>
        <v>0</v>
      </c>
      <c r="M323" s="12">
        <f>_xlfn.XLOOKUP(B323,[1]Sheet1!$B:$B,[1]Sheet1!$P:$P,0)</f>
        <v>0</v>
      </c>
      <c r="N323" s="12">
        <f>_xlfn.XLOOKUP(B323,[1]Sheet1!$B:$B,[1]Sheet1!$Q:$Q,0)</f>
        <v>17200</v>
      </c>
      <c r="O323" s="12">
        <f>_xlfn.XLOOKUP(B323,[1]Sheet1!$B:$B,[1]Sheet1!$R:$R,0)</f>
        <v>4300</v>
      </c>
      <c r="P323" s="12">
        <f>_xlfn.XLOOKUP(B323,[1]Sheet1!$B:$B,[1]Sheet1!$S:$S,0)</f>
        <v>4300</v>
      </c>
      <c r="Q323" s="12">
        <f>_xlfn.XLOOKUP(B323,[1]Sheet1!$B:$B,[1]Sheet1!$T:$T,0)</f>
        <v>4300</v>
      </c>
      <c r="R323" s="12">
        <f>_xlfn.XLOOKUP(B323,[1]Sheet1!$B:$B,[1]Sheet1!$U:$U,0)</f>
        <v>4300</v>
      </c>
      <c r="S323" s="12">
        <f>_xlfn.XLOOKUP(B323,[1]Sheet1!$B:$B,[1]Sheet1!$V:$V,0)</f>
        <v>4300</v>
      </c>
      <c r="T323" s="12">
        <f>_xlfn.XLOOKUP(B323,[1]Sheet1!$B:$B,[1]Sheet1!$W:$W,0)</f>
        <v>4300</v>
      </c>
      <c r="U323" s="12">
        <f>_xlfn.XLOOKUP(B323,[1]Sheet1!$B:$B,[1]Sheet1!$X:$X,0)</f>
        <v>4300</v>
      </c>
      <c r="V323" s="12">
        <f>_xlfn.XLOOKUP(B323,[1]Sheet1!$B:$B,[1]Sheet1!$Y:$Y,0)</f>
        <v>4300</v>
      </c>
      <c r="W323" s="12">
        <f t="shared" si="11"/>
        <v>51600</v>
      </c>
      <c r="X323" s="8" t="s">
        <v>469</v>
      </c>
      <c r="Y323" s="8" t="s">
        <v>132</v>
      </c>
      <c r="Z323" s="8" t="s">
        <v>466</v>
      </c>
      <c r="AA323" s="8" t="s">
        <v>84</v>
      </c>
      <c r="AB323" s="8" t="s">
        <v>36</v>
      </c>
      <c r="AC323" s="8" t="s">
        <v>37</v>
      </c>
      <c r="AD323" s="8" t="s">
        <v>468</v>
      </c>
      <c r="AE323" s="8" t="s">
        <v>39</v>
      </c>
      <c r="AF323" s="8" t="s">
        <v>40</v>
      </c>
      <c r="AG323" s="9">
        <v>51600</v>
      </c>
      <c r="AH323" s="11">
        <f>_xlfn.XLOOKUP(B323,[1]Sheet1!$B:$B,[1]Sheet1!$AB:$AB,0)</f>
        <v>51600</v>
      </c>
    </row>
    <row r="324" spans="2:34" ht="16.8" thickTop="1" thickBot="1" x14ac:dyDescent="0.35">
      <c r="B324" s="3" t="str">
        <f t="shared" ref="B324:B387" si="12">C324&amp;D324&amp;F324&amp;G324&amp;H324</f>
        <v>45102304511000505Interior Fit Out-NC1491711300105</v>
      </c>
      <c r="C324" s="6" t="s">
        <v>467</v>
      </c>
      <c r="D324" s="6" t="s">
        <v>633</v>
      </c>
      <c r="E324" s="6" t="s">
        <v>634</v>
      </c>
      <c r="F324" s="6" t="s">
        <v>638</v>
      </c>
      <c r="G324" s="4" t="s">
        <v>2854</v>
      </c>
      <c r="H324" s="4" t="s">
        <v>2923</v>
      </c>
      <c r="I324" s="6" t="s">
        <v>639</v>
      </c>
      <c r="J324" s="6" t="s">
        <v>31</v>
      </c>
      <c r="K324" s="12">
        <f>_xlfn.XLOOKUP(B324,[1]Sheet1!$B:$B,[1]Sheet1!$N:$N,0)</f>
        <v>0</v>
      </c>
      <c r="L324" s="12">
        <f>_xlfn.XLOOKUP(B324,[1]Sheet1!$B:$B,[1]Sheet1!$O:$O,0)</f>
        <v>0</v>
      </c>
      <c r="M324" s="12">
        <f>_xlfn.XLOOKUP(B324,[1]Sheet1!$B:$B,[1]Sheet1!$P:$P,0)</f>
        <v>0</v>
      </c>
      <c r="N324" s="12">
        <f>_xlfn.XLOOKUP(B324,[1]Sheet1!$B:$B,[1]Sheet1!$Q:$Q,0)</f>
        <v>48922</v>
      </c>
      <c r="O324" s="12">
        <f>_xlfn.XLOOKUP(B324,[1]Sheet1!$B:$B,[1]Sheet1!$R:$R,0)</f>
        <v>0</v>
      </c>
      <c r="P324" s="12">
        <f>_xlfn.XLOOKUP(B324,[1]Sheet1!$B:$B,[1]Sheet1!$S:$S,0)</f>
        <v>0</v>
      </c>
      <c r="Q324" s="12">
        <f>_xlfn.XLOOKUP(B324,[1]Sheet1!$B:$B,[1]Sheet1!$T:$T,0)</f>
        <v>0</v>
      </c>
      <c r="R324" s="12">
        <f>_xlfn.XLOOKUP(B324,[1]Sheet1!$B:$B,[1]Sheet1!$U:$U,0)</f>
        <v>0</v>
      </c>
      <c r="S324" s="12">
        <f>_xlfn.XLOOKUP(B324,[1]Sheet1!$B:$B,[1]Sheet1!$V:$V,0)</f>
        <v>50000</v>
      </c>
      <c r="T324" s="12">
        <f>_xlfn.XLOOKUP(B324,[1]Sheet1!$B:$B,[1]Sheet1!$W:$W,0)</f>
        <v>0</v>
      </c>
      <c r="U324" s="12">
        <f>_xlfn.XLOOKUP(B324,[1]Sheet1!$B:$B,[1]Sheet1!$X:$X,0)</f>
        <v>43578</v>
      </c>
      <c r="V324" s="12">
        <f>_xlfn.XLOOKUP(B324,[1]Sheet1!$B:$B,[1]Sheet1!$Y:$Y,0)</f>
        <v>0</v>
      </c>
      <c r="W324" s="12">
        <f t="shared" ref="W324:W387" si="13">SUM(K324:V324)</f>
        <v>142500</v>
      </c>
      <c r="X324" s="6" t="s">
        <v>640</v>
      </c>
      <c r="Y324" s="6" t="s">
        <v>132</v>
      </c>
      <c r="Z324" s="6" t="s">
        <v>466</v>
      </c>
      <c r="AA324" s="6" t="s">
        <v>639</v>
      </c>
      <c r="AB324" s="6" t="s">
        <v>93</v>
      </c>
      <c r="AC324" s="6" t="s">
        <v>94</v>
      </c>
      <c r="AD324" s="6" t="s">
        <v>468</v>
      </c>
      <c r="AE324" s="6" t="s">
        <v>39</v>
      </c>
      <c r="AF324" s="6" t="s">
        <v>40</v>
      </c>
      <c r="AG324" s="7">
        <v>142500</v>
      </c>
      <c r="AH324" s="11">
        <f>_xlfn.XLOOKUP(B324,[1]Sheet1!$B:$B,[1]Sheet1!$AB:$AB,0)</f>
        <v>142500</v>
      </c>
    </row>
    <row r="325" spans="2:34" ht="16.8" thickTop="1" thickBot="1" x14ac:dyDescent="0.35">
      <c r="B325" s="3" t="str">
        <f t="shared" si="12"/>
        <v>45102304511000505Maintenance-N2426212200104</v>
      </c>
      <c r="C325" s="8" t="s">
        <v>467</v>
      </c>
      <c r="D325" s="8" t="s">
        <v>633</v>
      </c>
      <c r="E325" s="8" t="s">
        <v>634</v>
      </c>
      <c r="F325" s="8" t="s">
        <v>641</v>
      </c>
      <c r="G325" s="4" t="s">
        <v>2814</v>
      </c>
      <c r="H325" s="4" t="s">
        <v>2922</v>
      </c>
      <c r="I325" s="8" t="s">
        <v>96</v>
      </c>
      <c r="J325" s="8" t="s">
        <v>31</v>
      </c>
      <c r="K325" s="12">
        <f>_xlfn.XLOOKUP(B325,[1]Sheet1!$B:$B,[1]Sheet1!$N:$N,0)</f>
        <v>0</v>
      </c>
      <c r="L325" s="12">
        <f>_xlfn.XLOOKUP(B325,[1]Sheet1!$B:$B,[1]Sheet1!$O:$O,0)</f>
        <v>0</v>
      </c>
      <c r="M325" s="12">
        <f>_xlfn.XLOOKUP(B325,[1]Sheet1!$B:$B,[1]Sheet1!$P:$P,0)</f>
        <v>0</v>
      </c>
      <c r="N325" s="12">
        <f>_xlfn.XLOOKUP(B325,[1]Sheet1!$B:$B,[1]Sheet1!$Q:$Q,0)</f>
        <v>20000</v>
      </c>
      <c r="O325" s="12">
        <f>_xlfn.XLOOKUP(B325,[1]Sheet1!$B:$B,[1]Sheet1!$R:$R,0)</f>
        <v>5000</v>
      </c>
      <c r="P325" s="12">
        <f>_xlfn.XLOOKUP(B325,[1]Sheet1!$B:$B,[1]Sheet1!$S:$S,0)</f>
        <v>5000</v>
      </c>
      <c r="Q325" s="12">
        <f>_xlfn.XLOOKUP(B325,[1]Sheet1!$B:$B,[1]Sheet1!$T:$T,0)</f>
        <v>5000</v>
      </c>
      <c r="R325" s="12">
        <f>_xlfn.XLOOKUP(B325,[1]Sheet1!$B:$B,[1]Sheet1!$U:$U,0)</f>
        <v>5000</v>
      </c>
      <c r="S325" s="12">
        <f>_xlfn.XLOOKUP(B325,[1]Sheet1!$B:$B,[1]Sheet1!$V:$V,0)</f>
        <v>5000</v>
      </c>
      <c r="T325" s="12">
        <f>_xlfn.XLOOKUP(B325,[1]Sheet1!$B:$B,[1]Sheet1!$W:$W,0)</f>
        <v>5000</v>
      </c>
      <c r="U325" s="12">
        <f>_xlfn.XLOOKUP(B325,[1]Sheet1!$B:$B,[1]Sheet1!$X:$X,0)</f>
        <v>5000</v>
      </c>
      <c r="V325" s="12">
        <f>_xlfn.XLOOKUP(B325,[1]Sheet1!$B:$B,[1]Sheet1!$Y:$Y,0)</f>
        <v>5000</v>
      </c>
      <c r="W325" s="12">
        <f t="shared" si="13"/>
        <v>60000</v>
      </c>
      <c r="X325" s="8" t="s">
        <v>626</v>
      </c>
      <c r="Y325" s="8" t="s">
        <v>132</v>
      </c>
      <c r="Z325" s="8" t="s">
        <v>466</v>
      </c>
      <c r="AA325" s="8" t="s">
        <v>96</v>
      </c>
      <c r="AB325" s="8" t="s">
        <v>36</v>
      </c>
      <c r="AC325" s="8" t="s">
        <v>37</v>
      </c>
      <c r="AD325" s="8" t="s">
        <v>468</v>
      </c>
      <c r="AE325" s="8" t="s">
        <v>39</v>
      </c>
      <c r="AF325" s="8" t="s">
        <v>40</v>
      </c>
      <c r="AG325" s="9">
        <v>60000</v>
      </c>
      <c r="AH325" s="11">
        <f>_xlfn.XLOOKUP(B325,[1]Sheet1!$B:$B,[1]Sheet1!$AB:$AB,0)</f>
        <v>60000</v>
      </c>
    </row>
    <row r="326" spans="2:34" ht="16.8" thickTop="1" thickBot="1" x14ac:dyDescent="0.35">
      <c r="B326" s="3" t="str">
        <f t="shared" si="12"/>
        <v>45102304511000505Security Service-N2424551200104</v>
      </c>
      <c r="C326" s="6" t="s">
        <v>467</v>
      </c>
      <c r="D326" s="6" t="s">
        <v>633</v>
      </c>
      <c r="E326" s="6" t="s">
        <v>634</v>
      </c>
      <c r="F326" s="6" t="s">
        <v>642</v>
      </c>
      <c r="G326" s="4" t="s">
        <v>2817</v>
      </c>
      <c r="H326" s="4" t="s">
        <v>2922</v>
      </c>
      <c r="I326" s="6" t="s">
        <v>108</v>
      </c>
      <c r="J326" s="6" t="s">
        <v>31</v>
      </c>
      <c r="K326" s="12">
        <f>_xlfn.XLOOKUP(B326,[1]Sheet1!$B:$B,[1]Sheet1!$N:$N,0)</f>
        <v>0</v>
      </c>
      <c r="L326" s="12">
        <f>_xlfn.XLOOKUP(B326,[1]Sheet1!$B:$B,[1]Sheet1!$O:$O,0)</f>
        <v>0</v>
      </c>
      <c r="M326" s="12">
        <f>_xlfn.XLOOKUP(B326,[1]Sheet1!$B:$B,[1]Sheet1!$P:$P,0)</f>
        <v>0</v>
      </c>
      <c r="N326" s="12">
        <f>_xlfn.XLOOKUP(B326,[1]Sheet1!$B:$B,[1]Sheet1!$Q:$Q,0)</f>
        <v>73976</v>
      </c>
      <c r="O326" s="12">
        <f>_xlfn.XLOOKUP(B326,[1]Sheet1!$B:$B,[1]Sheet1!$R:$R,0)</f>
        <v>18494</v>
      </c>
      <c r="P326" s="12">
        <f>_xlfn.XLOOKUP(B326,[1]Sheet1!$B:$B,[1]Sheet1!$S:$S,0)</f>
        <v>18494</v>
      </c>
      <c r="Q326" s="12">
        <f>_xlfn.XLOOKUP(B326,[1]Sheet1!$B:$B,[1]Sheet1!$T:$T,0)</f>
        <v>18494</v>
      </c>
      <c r="R326" s="12">
        <f>_xlfn.XLOOKUP(B326,[1]Sheet1!$B:$B,[1]Sheet1!$U:$U,0)</f>
        <v>18494</v>
      </c>
      <c r="S326" s="12">
        <f>_xlfn.XLOOKUP(B326,[1]Sheet1!$B:$B,[1]Sheet1!$V:$V,0)</f>
        <v>18494</v>
      </c>
      <c r="T326" s="12">
        <f>_xlfn.XLOOKUP(B326,[1]Sheet1!$B:$B,[1]Sheet1!$W:$W,0)</f>
        <v>18494</v>
      </c>
      <c r="U326" s="12">
        <f>_xlfn.XLOOKUP(B326,[1]Sheet1!$B:$B,[1]Sheet1!$X:$X,0)</f>
        <v>18494</v>
      </c>
      <c r="V326" s="12">
        <f>_xlfn.XLOOKUP(B326,[1]Sheet1!$B:$B,[1]Sheet1!$Y:$Y,0)</f>
        <v>18494</v>
      </c>
      <c r="W326" s="12">
        <f t="shared" si="13"/>
        <v>221928</v>
      </c>
      <c r="X326" s="6" t="s">
        <v>628</v>
      </c>
      <c r="Y326" s="6" t="s">
        <v>132</v>
      </c>
      <c r="Z326" s="6" t="s">
        <v>466</v>
      </c>
      <c r="AA326" s="6" t="s">
        <v>108</v>
      </c>
      <c r="AB326" s="6" t="s">
        <v>36</v>
      </c>
      <c r="AC326" s="6" t="s">
        <v>37</v>
      </c>
      <c r="AD326" s="6" t="s">
        <v>468</v>
      </c>
      <c r="AE326" s="6" t="s">
        <v>39</v>
      </c>
      <c r="AF326" s="6" t="s">
        <v>40</v>
      </c>
      <c r="AG326" s="7">
        <v>221928</v>
      </c>
      <c r="AH326" s="11">
        <f>_xlfn.XLOOKUP(B326,[1]Sheet1!$B:$B,[1]Sheet1!$AB:$AB,0)</f>
        <v>221928</v>
      </c>
    </row>
    <row r="327" spans="2:34" ht="16.8" thickTop="1" thickBot="1" x14ac:dyDescent="0.35">
      <c r="B327" s="3" t="str">
        <f t="shared" si="12"/>
        <v>45102304511000507Ad-hoc Repairs-N1426427200104</v>
      </c>
      <c r="C327" s="8" t="s">
        <v>467</v>
      </c>
      <c r="D327" s="8" t="s">
        <v>643</v>
      </c>
      <c r="E327" s="8" t="s">
        <v>644</v>
      </c>
      <c r="F327" s="8" t="s">
        <v>621</v>
      </c>
      <c r="G327" s="4" t="s">
        <v>2808</v>
      </c>
      <c r="H327" s="4" t="s">
        <v>2922</v>
      </c>
      <c r="I327" s="8" t="s">
        <v>71</v>
      </c>
      <c r="J327" s="8" t="s">
        <v>31</v>
      </c>
      <c r="K327" s="12">
        <f>_xlfn.XLOOKUP(B327,[1]Sheet1!$B:$B,[1]Sheet1!$N:$N,0)</f>
        <v>0</v>
      </c>
      <c r="L327" s="12">
        <f>_xlfn.XLOOKUP(B327,[1]Sheet1!$B:$B,[1]Sheet1!$O:$O,0)</f>
        <v>0</v>
      </c>
      <c r="M327" s="12">
        <f>_xlfn.XLOOKUP(B327,[1]Sheet1!$B:$B,[1]Sheet1!$P:$P,0)</f>
        <v>0</v>
      </c>
      <c r="N327" s="12">
        <f>_xlfn.XLOOKUP(B327,[1]Sheet1!$B:$B,[1]Sheet1!$Q:$Q,0)</f>
        <v>3500</v>
      </c>
      <c r="O327" s="12">
        <f>_xlfn.XLOOKUP(B327,[1]Sheet1!$B:$B,[1]Sheet1!$R:$R,0)</f>
        <v>875</v>
      </c>
      <c r="P327" s="12">
        <f>_xlfn.XLOOKUP(B327,[1]Sheet1!$B:$B,[1]Sheet1!$S:$S,0)</f>
        <v>875</v>
      </c>
      <c r="Q327" s="12">
        <f>_xlfn.XLOOKUP(B327,[1]Sheet1!$B:$B,[1]Sheet1!$T:$T,0)</f>
        <v>875</v>
      </c>
      <c r="R327" s="12">
        <f>_xlfn.XLOOKUP(B327,[1]Sheet1!$B:$B,[1]Sheet1!$U:$U,0)</f>
        <v>875</v>
      </c>
      <c r="S327" s="12">
        <f>_xlfn.XLOOKUP(B327,[1]Sheet1!$B:$B,[1]Sheet1!$V:$V,0)</f>
        <v>875</v>
      </c>
      <c r="T327" s="12">
        <f>_xlfn.XLOOKUP(B327,[1]Sheet1!$B:$B,[1]Sheet1!$W:$W,0)</f>
        <v>875</v>
      </c>
      <c r="U327" s="12">
        <f>_xlfn.XLOOKUP(B327,[1]Sheet1!$B:$B,[1]Sheet1!$X:$X,0)</f>
        <v>875</v>
      </c>
      <c r="V327" s="12">
        <f>_xlfn.XLOOKUP(B327,[1]Sheet1!$B:$B,[1]Sheet1!$Y:$Y,0)</f>
        <v>875</v>
      </c>
      <c r="W327" s="12">
        <f t="shared" si="13"/>
        <v>10500</v>
      </c>
      <c r="X327" s="8" t="s">
        <v>622</v>
      </c>
      <c r="Y327" s="8" t="s">
        <v>132</v>
      </c>
      <c r="Z327" s="8" t="s">
        <v>466</v>
      </c>
      <c r="AA327" s="8" t="s">
        <v>71</v>
      </c>
      <c r="AB327" s="8" t="s">
        <v>36</v>
      </c>
      <c r="AC327" s="8" t="s">
        <v>37</v>
      </c>
      <c r="AD327" s="8" t="s">
        <v>468</v>
      </c>
      <c r="AE327" s="8" t="s">
        <v>39</v>
      </c>
      <c r="AF327" s="8" t="s">
        <v>40</v>
      </c>
      <c r="AG327" s="9">
        <v>10500</v>
      </c>
      <c r="AH327" s="11">
        <f>_xlfn.XLOOKUP(B327,[1]Sheet1!$B:$B,[1]Sheet1!$AB:$AB,0)</f>
        <v>10500</v>
      </c>
    </row>
    <row r="328" spans="2:34" ht="16.8" thickTop="1" thickBot="1" x14ac:dyDescent="0.35">
      <c r="B328" s="3" t="str">
        <f t="shared" si="12"/>
        <v>45102304511000507Cleaning Service-N1422311200104</v>
      </c>
      <c r="C328" s="6" t="s">
        <v>467</v>
      </c>
      <c r="D328" s="6" t="s">
        <v>643</v>
      </c>
      <c r="E328" s="6" t="s">
        <v>644</v>
      </c>
      <c r="F328" s="6" t="s">
        <v>623</v>
      </c>
      <c r="G328" s="4" t="s">
        <v>2810</v>
      </c>
      <c r="H328" s="4" t="s">
        <v>2922</v>
      </c>
      <c r="I328" s="6" t="s">
        <v>80</v>
      </c>
      <c r="J328" s="6" t="s">
        <v>31</v>
      </c>
      <c r="K328" s="12">
        <f>_xlfn.XLOOKUP(B328,[1]Sheet1!$B:$B,[1]Sheet1!$N:$N,0)</f>
        <v>0</v>
      </c>
      <c r="L328" s="12">
        <f>_xlfn.XLOOKUP(B328,[1]Sheet1!$B:$B,[1]Sheet1!$O:$O,0)</f>
        <v>0</v>
      </c>
      <c r="M328" s="12">
        <f>_xlfn.XLOOKUP(B328,[1]Sheet1!$B:$B,[1]Sheet1!$P:$P,0)</f>
        <v>0</v>
      </c>
      <c r="N328" s="12">
        <f>_xlfn.XLOOKUP(B328,[1]Sheet1!$B:$B,[1]Sheet1!$Q:$Q,0)</f>
        <v>27500</v>
      </c>
      <c r="O328" s="12">
        <f>_xlfn.XLOOKUP(B328,[1]Sheet1!$B:$B,[1]Sheet1!$R:$R,0)</f>
        <v>6875</v>
      </c>
      <c r="P328" s="12">
        <f>_xlfn.XLOOKUP(B328,[1]Sheet1!$B:$B,[1]Sheet1!$S:$S,0)</f>
        <v>6875</v>
      </c>
      <c r="Q328" s="12">
        <f>_xlfn.XLOOKUP(B328,[1]Sheet1!$B:$B,[1]Sheet1!$T:$T,0)</f>
        <v>6875</v>
      </c>
      <c r="R328" s="12">
        <f>_xlfn.XLOOKUP(B328,[1]Sheet1!$B:$B,[1]Sheet1!$U:$U,0)</f>
        <v>6875</v>
      </c>
      <c r="S328" s="12">
        <f>_xlfn.XLOOKUP(B328,[1]Sheet1!$B:$B,[1]Sheet1!$V:$V,0)</f>
        <v>6875</v>
      </c>
      <c r="T328" s="12">
        <f>_xlfn.XLOOKUP(B328,[1]Sheet1!$B:$B,[1]Sheet1!$W:$W,0)</f>
        <v>6875</v>
      </c>
      <c r="U328" s="12">
        <f>_xlfn.XLOOKUP(B328,[1]Sheet1!$B:$B,[1]Sheet1!$X:$X,0)</f>
        <v>6875</v>
      </c>
      <c r="V328" s="12">
        <f>_xlfn.XLOOKUP(B328,[1]Sheet1!$B:$B,[1]Sheet1!$Y:$Y,0)</f>
        <v>6875</v>
      </c>
      <c r="W328" s="12">
        <f t="shared" si="13"/>
        <v>82500</v>
      </c>
      <c r="X328" s="6" t="s">
        <v>624</v>
      </c>
      <c r="Y328" s="6" t="s">
        <v>132</v>
      </c>
      <c r="Z328" s="6" t="s">
        <v>466</v>
      </c>
      <c r="AA328" s="6" t="s">
        <v>80</v>
      </c>
      <c r="AB328" s="6" t="s">
        <v>36</v>
      </c>
      <c r="AC328" s="6" t="s">
        <v>37</v>
      </c>
      <c r="AD328" s="6" t="s">
        <v>468</v>
      </c>
      <c r="AE328" s="6" t="s">
        <v>39</v>
      </c>
      <c r="AF328" s="6" t="s">
        <v>40</v>
      </c>
      <c r="AG328" s="7">
        <v>82500</v>
      </c>
      <c r="AH328" s="11">
        <f>_xlfn.XLOOKUP(B328,[1]Sheet1!$B:$B,[1]Sheet1!$AB:$AB,0)</f>
        <v>82500</v>
      </c>
    </row>
    <row r="329" spans="2:34" ht="16.8" thickTop="1" thickBot="1" x14ac:dyDescent="0.35">
      <c r="B329" s="3" t="str">
        <f t="shared" si="12"/>
        <v>45102304511000507Hospitality-N1424761200104</v>
      </c>
      <c r="C329" s="8" t="s">
        <v>467</v>
      </c>
      <c r="D329" s="8" t="s">
        <v>643</v>
      </c>
      <c r="E329" s="8" t="s">
        <v>644</v>
      </c>
      <c r="F329" s="8" t="s">
        <v>399</v>
      </c>
      <c r="G329" s="4" t="s">
        <v>2811</v>
      </c>
      <c r="H329" s="4" t="s">
        <v>2922</v>
      </c>
      <c r="I329" s="8" t="s">
        <v>84</v>
      </c>
      <c r="J329" s="8" t="s">
        <v>31</v>
      </c>
      <c r="K329" s="12">
        <f>_xlfn.XLOOKUP(B329,[1]Sheet1!$B:$B,[1]Sheet1!$N:$N,0)</f>
        <v>0</v>
      </c>
      <c r="L329" s="12">
        <f>_xlfn.XLOOKUP(B329,[1]Sheet1!$B:$B,[1]Sheet1!$O:$O,0)</f>
        <v>0</v>
      </c>
      <c r="M329" s="12">
        <f>_xlfn.XLOOKUP(B329,[1]Sheet1!$B:$B,[1]Sheet1!$P:$P,0)</f>
        <v>0</v>
      </c>
      <c r="N329" s="12">
        <f>_xlfn.XLOOKUP(B329,[1]Sheet1!$B:$B,[1]Sheet1!$Q:$Q,0)</f>
        <v>18500</v>
      </c>
      <c r="O329" s="12">
        <f>_xlfn.XLOOKUP(B329,[1]Sheet1!$B:$B,[1]Sheet1!$R:$R,0)</f>
        <v>4625</v>
      </c>
      <c r="P329" s="12">
        <f>_xlfn.XLOOKUP(B329,[1]Sheet1!$B:$B,[1]Sheet1!$S:$S,0)</f>
        <v>4625</v>
      </c>
      <c r="Q329" s="12">
        <f>_xlfn.XLOOKUP(B329,[1]Sheet1!$B:$B,[1]Sheet1!$T:$T,0)</f>
        <v>4625</v>
      </c>
      <c r="R329" s="12">
        <f>_xlfn.XLOOKUP(B329,[1]Sheet1!$B:$B,[1]Sheet1!$U:$U,0)</f>
        <v>4625</v>
      </c>
      <c r="S329" s="12">
        <f>_xlfn.XLOOKUP(B329,[1]Sheet1!$B:$B,[1]Sheet1!$V:$V,0)</f>
        <v>4625</v>
      </c>
      <c r="T329" s="12">
        <f>_xlfn.XLOOKUP(B329,[1]Sheet1!$B:$B,[1]Sheet1!$W:$W,0)</f>
        <v>4625</v>
      </c>
      <c r="U329" s="12">
        <f>_xlfn.XLOOKUP(B329,[1]Sheet1!$B:$B,[1]Sheet1!$X:$X,0)</f>
        <v>4625</v>
      </c>
      <c r="V329" s="12">
        <f>_xlfn.XLOOKUP(B329,[1]Sheet1!$B:$B,[1]Sheet1!$Y:$Y,0)</f>
        <v>4625</v>
      </c>
      <c r="W329" s="12">
        <f t="shared" si="13"/>
        <v>55500</v>
      </c>
      <c r="X329" s="8" t="s">
        <v>469</v>
      </c>
      <c r="Y329" s="8" t="s">
        <v>132</v>
      </c>
      <c r="Z329" s="8" t="s">
        <v>466</v>
      </c>
      <c r="AA329" s="8" t="s">
        <v>84</v>
      </c>
      <c r="AB329" s="8" t="s">
        <v>36</v>
      </c>
      <c r="AC329" s="8" t="s">
        <v>37</v>
      </c>
      <c r="AD329" s="8" t="s">
        <v>468</v>
      </c>
      <c r="AE329" s="8" t="s">
        <v>39</v>
      </c>
      <c r="AF329" s="8" t="s">
        <v>40</v>
      </c>
      <c r="AG329" s="9">
        <v>55500</v>
      </c>
      <c r="AH329" s="11">
        <f>_xlfn.XLOOKUP(B329,[1]Sheet1!$B:$B,[1]Sheet1!$AB:$AB,0)</f>
        <v>55500</v>
      </c>
    </row>
    <row r="330" spans="2:34" ht="16.8" thickTop="1" thickBot="1" x14ac:dyDescent="0.35">
      <c r="B330" s="3" t="str">
        <f t="shared" si="12"/>
        <v>45102304511000507Maintenance-N1426212200104</v>
      </c>
      <c r="C330" s="6" t="s">
        <v>467</v>
      </c>
      <c r="D330" s="6" t="s">
        <v>643</v>
      </c>
      <c r="E330" s="6" t="s">
        <v>644</v>
      </c>
      <c r="F330" s="6" t="s">
        <v>625</v>
      </c>
      <c r="G330" s="4" t="s">
        <v>2814</v>
      </c>
      <c r="H330" s="4" t="s">
        <v>2922</v>
      </c>
      <c r="I330" s="6" t="s">
        <v>96</v>
      </c>
      <c r="J330" s="6" t="s">
        <v>31</v>
      </c>
      <c r="K330" s="12">
        <f>_xlfn.XLOOKUP(B330,[1]Sheet1!$B:$B,[1]Sheet1!$N:$N,0)</f>
        <v>0</v>
      </c>
      <c r="L330" s="12">
        <f>_xlfn.XLOOKUP(B330,[1]Sheet1!$B:$B,[1]Sheet1!$O:$O,0)</f>
        <v>0</v>
      </c>
      <c r="M330" s="12">
        <f>_xlfn.XLOOKUP(B330,[1]Sheet1!$B:$B,[1]Sheet1!$P:$P,0)</f>
        <v>0</v>
      </c>
      <c r="N330" s="12">
        <f>_xlfn.XLOOKUP(B330,[1]Sheet1!$B:$B,[1]Sheet1!$Q:$Q,0)</f>
        <v>3333</v>
      </c>
      <c r="O330" s="12">
        <f>_xlfn.XLOOKUP(B330,[1]Sheet1!$B:$B,[1]Sheet1!$R:$R,0)</f>
        <v>833</v>
      </c>
      <c r="P330" s="12">
        <f>_xlfn.XLOOKUP(B330,[1]Sheet1!$B:$B,[1]Sheet1!$S:$S,0)</f>
        <v>833</v>
      </c>
      <c r="Q330" s="12">
        <f>_xlfn.XLOOKUP(B330,[1]Sheet1!$B:$B,[1]Sheet1!$T:$T,0)</f>
        <v>833</v>
      </c>
      <c r="R330" s="12">
        <f>_xlfn.XLOOKUP(B330,[1]Sheet1!$B:$B,[1]Sheet1!$U:$U,0)</f>
        <v>833</v>
      </c>
      <c r="S330" s="12">
        <f>_xlfn.XLOOKUP(B330,[1]Sheet1!$B:$B,[1]Sheet1!$V:$V,0)</f>
        <v>833</v>
      </c>
      <c r="T330" s="12">
        <f>_xlfn.XLOOKUP(B330,[1]Sheet1!$B:$B,[1]Sheet1!$W:$W,0)</f>
        <v>833</v>
      </c>
      <c r="U330" s="12">
        <f>_xlfn.XLOOKUP(B330,[1]Sheet1!$B:$B,[1]Sheet1!$X:$X,0)</f>
        <v>833</v>
      </c>
      <c r="V330" s="12">
        <f>_xlfn.XLOOKUP(B330,[1]Sheet1!$B:$B,[1]Sheet1!$Y:$Y,0)</f>
        <v>836</v>
      </c>
      <c r="W330" s="12">
        <f t="shared" si="13"/>
        <v>10000</v>
      </c>
      <c r="X330" s="6" t="s">
        <v>626</v>
      </c>
      <c r="Y330" s="6" t="s">
        <v>132</v>
      </c>
      <c r="Z330" s="6" t="s">
        <v>466</v>
      </c>
      <c r="AA330" s="6" t="s">
        <v>96</v>
      </c>
      <c r="AB330" s="6" t="s">
        <v>36</v>
      </c>
      <c r="AC330" s="6" t="s">
        <v>37</v>
      </c>
      <c r="AD330" s="6" t="s">
        <v>468</v>
      </c>
      <c r="AE330" s="6" t="s">
        <v>39</v>
      </c>
      <c r="AF330" s="6" t="s">
        <v>40</v>
      </c>
      <c r="AG330" s="7">
        <v>10000</v>
      </c>
      <c r="AH330" s="11">
        <f>_xlfn.XLOOKUP(B330,[1]Sheet1!$B:$B,[1]Sheet1!$AB:$AB,0)</f>
        <v>10000</v>
      </c>
    </row>
    <row r="331" spans="2:34" ht="16.8" thickTop="1" thickBot="1" x14ac:dyDescent="0.35">
      <c r="B331" s="3" t="str">
        <f t="shared" si="12"/>
        <v>45102304511000507Security Service-N1424551200104</v>
      </c>
      <c r="C331" s="8" t="s">
        <v>467</v>
      </c>
      <c r="D331" s="8" t="s">
        <v>643</v>
      </c>
      <c r="E331" s="8" t="s">
        <v>644</v>
      </c>
      <c r="F331" s="8" t="s">
        <v>627</v>
      </c>
      <c r="G331" s="4" t="s">
        <v>2817</v>
      </c>
      <c r="H331" s="4" t="s">
        <v>2922</v>
      </c>
      <c r="I331" s="8" t="s">
        <v>108</v>
      </c>
      <c r="J331" s="8" t="s">
        <v>31</v>
      </c>
      <c r="K331" s="12">
        <f>_xlfn.XLOOKUP(B331,[1]Sheet1!$B:$B,[1]Sheet1!$N:$N,0)</f>
        <v>0</v>
      </c>
      <c r="L331" s="12">
        <f>_xlfn.XLOOKUP(B331,[1]Sheet1!$B:$B,[1]Sheet1!$O:$O,0)</f>
        <v>0</v>
      </c>
      <c r="M331" s="12">
        <f>_xlfn.XLOOKUP(B331,[1]Sheet1!$B:$B,[1]Sheet1!$P:$P,0)</f>
        <v>0</v>
      </c>
      <c r="N331" s="12">
        <f>_xlfn.XLOOKUP(B331,[1]Sheet1!$B:$B,[1]Sheet1!$Q:$Q,0)</f>
        <v>34000</v>
      </c>
      <c r="O331" s="12">
        <f>_xlfn.XLOOKUP(B331,[1]Sheet1!$B:$B,[1]Sheet1!$R:$R,0)</f>
        <v>8500</v>
      </c>
      <c r="P331" s="12">
        <f>_xlfn.XLOOKUP(B331,[1]Sheet1!$B:$B,[1]Sheet1!$S:$S,0)</f>
        <v>8500</v>
      </c>
      <c r="Q331" s="12">
        <f>_xlfn.XLOOKUP(B331,[1]Sheet1!$B:$B,[1]Sheet1!$T:$T,0)</f>
        <v>8500</v>
      </c>
      <c r="R331" s="12">
        <f>_xlfn.XLOOKUP(B331,[1]Sheet1!$B:$B,[1]Sheet1!$U:$U,0)</f>
        <v>8500</v>
      </c>
      <c r="S331" s="12">
        <f>_xlfn.XLOOKUP(B331,[1]Sheet1!$B:$B,[1]Sheet1!$V:$V,0)</f>
        <v>8500</v>
      </c>
      <c r="T331" s="12">
        <f>_xlfn.XLOOKUP(B331,[1]Sheet1!$B:$B,[1]Sheet1!$W:$W,0)</f>
        <v>8500</v>
      </c>
      <c r="U331" s="12">
        <f>_xlfn.XLOOKUP(B331,[1]Sheet1!$B:$B,[1]Sheet1!$X:$X,0)</f>
        <v>8500</v>
      </c>
      <c r="V331" s="12">
        <f>_xlfn.XLOOKUP(B331,[1]Sheet1!$B:$B,[1]Sheet1!$Y:$Y,0)</f>
        <v>8500</v>
      </c>
      <c r="W331" s="12">
        <f t="shared" si="13"/>
        <v>102000</v>
      </c>
      <c r="X331" s="8" t="s">
        <v>628</v>
      </c>
      <c r="Y331" s="8" t="s">
        <v>132</v>
      </c>
      <c r="Z331" s="8" t="s">
        <v>466</v>
      </c>
      <c r="AA331" s="8" t="s">
        <v>108</v>
      </c>
      <c r="AB331" s="8" t="s">
        <v>36</v>
      </c>
      <c r="AC331" s="8" t="s">
        <v>37</v>
      </c>
      <c r="AD331" s="8" t="s">
        <v>468</v>
      </c>
      <c r="AE331" s="8" t="s">
        <v>39</v>
      </c>
      <c r="AF331" s="8" t="s">
        <v>40</v>
      </c>
      <c r="AG331" s="9">
        <v>102000</v>
      </c>
      <c r="AH331" s="11">
        <f>_xlfn.XLOOKUP(B331,[1]Sheet1!$B:$B,[1]Sheet1!$AB:$AB,0)</f>
        <v>102000</v>
      </c>
    </row>
    <row r="332" spans="2:34" ht="16.8" thickTop="1" thickBot="1" x14ac:dyDescent="0.35">
      <c r="B332" s="3" t="str">
        <f t="shared" si="12"/>
        <v>45112504511000508Ad-hoc Repairs-N426427200104</v>
      </c>
      <c r="C332" s="6" t="s">
        <v>67</v>
      </c>
      <c r="D332" s="6" t="s">
        <v>645</v>
      </c>
      <c r="E332" s="6" t="s">
        <v>646</v>
      </c>
      <c r="F332" s="6" t="s">
        <v>70</v>
      </c>
      <c r="G332" s="4" t="s">
        <v>2808</v>
      </c>
      <c r="H332" s="4" t="s">
        <v>2922</v>
      </c>
      <c r="I332" s="6" t="s">
        <v>71</v>
      </c>
      <c r="J332" s="6" t="s">
        <v>31</v>
      </c>
      <c r="K332" s="12">
        <f>_xlfn.XLOOKUP(B332,[1]Sheet1!$B:$B,[1]Sheet1!$N:$N,0)</f>
        <v>0</v>
      </c>
      <c r="L332" s="12">
        <f>_xlfn.XLOOKUP(B332,[1]Sheet1!$B:$B,[1]Sheet1!$O:$O,0)</f>
        <v>0</v>
      </c>
      <c r="M332" s="12">
        <f>_xlfn.XLOOKUP(B332,[1]Sheet1!$B:$B,[1]Sheet1!$P:$P,0)</f>
        <v>0</v>
      </c>
      <c r="N332" s="12">
        <f>_xlfn.XLOOKUP(B332,[1]Sheet1!$B:$B,[1]Sheet1!$Q:$Q,0)</f>
        <v>80000</v>
      </c>
      <c r="O332" s="12">
        <f>_xlfn.XLOOKUP(B332,[1]Sheet1!$B:$B,[1]Sheet1!$R:$R,0)</f>
        <v>40000</v>
      </c>
      <c r="P332" s="12">
        <f>_xlfn.XLOOKUP(B332,[1]Sheet1!$B:$B,[1]Sheet1!$S:$S,0)</f>
        <v>40000</v>
      </c>
      <c r="Q332" s="12">
        <f>_xlfn.XLOOKUP(B332,[1]Sheet1!$B:$B,[1]Sheet1!$T:$T,0)</f>
        <v>40000</v>
      </c>
      <c r="R332" s="12">
        <f>_xlfn.XLOOKUP(B332,[1]Sheet1!$B:$B,[1]Sheet1!$U:$U,0)</f>
        <v>40000</v>
      </c>
      <c r="S332" s="12">
        <f>_xlfn.XLOOKUP(B332,[1]Sheet1!$B:$B,[1]Sheet1!$V:$V,0)</f>
        <v>40000</v>
      </c>
      <c r="T332" s="12">
        <f>_xlfn.XLOOKUP(B332,[1]Sheet1!$B:$B,[1]Sheet1!$W:$W,0)</f>
        <v>40000</v>
      </c>
      <c r="U332" s="12">
        <f>_xlfn.XLOOKUP(B332,[1]Sheet1!$B:$B,[1]Sheet1!$X:$X,0)</f>
        <v>59667</v>
      </c>
      <c r="V332" s="12">
        <f>_xlfn.XLOOKUP(B332,[1]Sheet1!$B:$B,[1]Sheet1!$Y:$Y,0)</f>
        <v>0</v>
      </c>
      <c r="W332" s="12">
        <f t="shared" si="13"/>
        <v>379667</v>
      </c>
      <c r="X332" s="6" t="s">
        <v>72</v>
      </c>
      <c r="Y332" s="6" t="s">
        <v>65</v>
      </c>
      <c r="Z332" s="6" t="s">
        <v>66</v>
      </c>
      <c r="AA332" s="6" t="s">
        <v>71</v>
      </c>
      <c r="AB332" s="6" t="s">
        <v>36</v>
      </c>
      <c r="AC332" s="6" t="s">
        <v>37</v>
      </c>
      <c r="AD332" s="6" t="s">
        <v>69</v>
      </c>
      <c r="AE332" s="6" t="s">
        <v>39</v>
      </c>
      <c r="AF332" s="6" t="s">
        <v>40</v>
      </c>
      <c r="AG332" s="7">
        <v>379667</v>
      </c>
      <c r="AH332" s="11">
        <f>_xlfn.XLOOKUP(B332,[1]Sheet1!$B:$B,[1]Sheet1!$AB:$AB,0)</f>
        <v>379667</v>
      </c>
    </row>
    <row r="333" spans="2:34" ht="16.8" thickTop="1" thickBot="1" x14ac:dyDescent="0.35">
      <c r="B333" s="3" t="str">
        <f t="shared" si="12"/>
        <v>45112504511000508Cleaning Service-N422311200104</v>
      </c>
      <c r="C333" s="8" t="s">
        <v>67</v>
      </c>
      <c r="D333" s="8" t="s">
        <v>645</v>
      </c>
      <c r="E333" s="8" t="s">
        <v>646</v>
      </c>
      <c r="F333" s="8" t="s">
        <v>79</v>
      </c>
      <c r="G333" s="4" t="s">
        <v>2810</v>
      </c>
      <c r="H333" s="4" t="s">
        <v>2922</v>
      </c>
      <c r="I333" s="8" t="s">
        <v>80</v>
      </c>
      <c r="J333" s="8" t="s">
        <v>31</v>
      </c>
      <c r="K333" s="12">
        <f>_xlfn.XLOOKUP(B333,[1]Sheet1!$B:$B,[1]Sheet1!$N:$N,0)</f>
        <v>0</v>
      </c>
      <c r="L333" s="12">
        <f>_xlfn.XLOOKUP(B333,[1]Sheet1!$B:$B,[1]Sheet1!$O:$O,0)</f>
        <v>0</v>
      </c>
      <c r="M333" s="12">
        <f>_xlfn.XLOOKUP(B333,[1]Sheet1!$B:$B,[1]Sheet1!$P:$P,0)</f>
        <v>0</v>
      </c>
      <c r="N333" s="12">
        <f>_xlfn.XLOOKUP(B333,[1]Sheet1!$B:$B,[1]Sheet1!$Q:$Q,0)</f>
        <v>60000</v>
      </c>
      <c r="O333" s="12">
        <f>_xlfn.XLOOKUP(B333,[1]Sheet1!$B:$B,[1]Sheet1!$R:$R,0)</f>
        <v>30000</v>
      </c>
      <c r="P333" s="12">
        <f>_xlfn.XLOOKUP(B333,[1]Sheet1!$B:$B,[1]Sheet1!$S:$S,0)</f>
        <v>30000</v>
      </c>
      <c r="Q333" s="12">
        <f>_xlfn.XLOOKUP(B333,[1]Sheet1!$B:$B,[1]Sheet1!$T:$T,0)</f>
        <v>30000</v>
      </c>
      <c r="R333" s="12">
        <f>_xlfn.XLOOKUP(B333,[1]Sheet1!$B:$B,[1]Sheet1!$U:$U,0)</f>
        <v>30000</v>
      </c>
      <c r="S333" s="12">
        <f>_xlfn.XLOOKUP(B333,[1]Sheet1!$B:$B,[1]Sheet1!$V:$V,0)</f>
        <v>30000</v>
      </c>
      <c r="T333" s="12">
        <f>_xlfn.XLOOKUP(B333,[1]Sheet1!$B:$B,[1]Sheet1!$W:$W,0)</f>
        <v>30000</v>
      </c>
      <c r="U333" s="12">
        <f>_xlfn.XLOOKUP(B333,[1]Sheet1!$B:$B,[1]Sheet1!$X:$X,0)</f>
        <v>10766</v>
      </c>
      <c r="V333" s="12">
        <f>_xlfn.XLOOKUP(B333,[1]Sheet1!$B:$B,[1]Sheet1!$Y:$Y,0)</f>
        <v>0</v>
      </c>
      <c r="W333" s="12">
        <f t="shared" si="13"/>
        <v>250766</v>
      </c>
      <c r="X333" s="8" t="s">
        <v>81</v>
      </c>
      <c r="Y333" s="8" t="s">
        <v>65</v>
      </c>
      <c r="Z333" s="8" t="s">
        <v>66</v>
      </c>
      <c r="AA333" s="8" t="s">
        <v>80</v>
      </c>
      <c r="AB333" s="8" t="s">
        <v>36</v>
      </c>
      <c r="AC333" s="8" t="s">
        <v>37</v>
      </c>
      <c r="AD333" s="8" t="s">
        <v>69</v>
      </c>
      <c r="AE333" s="8" t="s">
        <v>39</v>
      </c>
      <c r="AF333" s="8" t="s">
        <v>40</v>
      </c>
      <c r="AG333" s="9">
        <v>250766</v>
      </c>
      <c r="AH333" s="11">
        <f>_xlfn.XLOOKUP(B333,[1]Sheet1!$B:$B,[1]Sheet1!$AB:$AB,0)</f>
        <v>250766</v>
      </c>
    </row>
    <row r="334" spans="2:34" ht="16.8" thickTop="1" thickBot="1" x14ac:dyDescent="0.35">
      <c r="B334" s="3" t="str">
        <f t="shared" si="12"/>
        <v>45112504511000508Hospitality-N424761200104</v>
      </c>
      <c r="C334" s="6" t="s">
        <v>67</v>
      </c>
      <c r="D334" s="6" t="s">
        <v>645</v>
      </c>
      <c r="E334" s="6" t="s">
        <v>646</v>
      </c>
      <c r="F334" s="6" t="s">
        <v>83</v>
      </c>
      <c r="G334" s="4" t="s">
        <v>2811</v>
      </c>
      <c r="H334" s="4" t="s">
        <v>2922</v>
      </c>
      <c r="I334" s="6" t="s">
        <v>84</v>
      </c>
      <c r="J334" s="6" t="s">
        <v>31</v>
      </c>
      <c r="K334" s="12">
        <f>_xlfn.XLOOKUP(B334,[1]Sheet1!$B:$B,[1]Sheet1!$N:$N,0)</f>
        <v>0</v>
      </c>
      <c r="L334" s="12">
        <f>_xlfn.XLOOKUP(B334,[1]Sheet1!$B:$B,[1]Sheet1!$O:$O,0)</f>
        <v>0</v>
      </c>
      <c r="M334" s="12">
        <f>_xlfn.XLOOKUP(B334,[1]Sheet1!$B:$B,[1]Sheet1!$P:$P,0)</f>
        <v>0</v>
      </c>
      <c r="N334" s="12">
        <f>_xlfn.XLOOKUP(B334,[1]Sheet1!$B:$B,[1]Sheet1!$Q:$Q,0)</f>
        <v>30000</v>
      </c>
      <c r="O334" s="12">
        <f>_xlfn.XLOOKUP(B334,[1]Sheet1!$B:$B,[1]Sheet1!$R:$R,0)</f>
        <v>15000</v>
      </c>
      <c r="P334" s="12">
        <f>_xlfn.XLOOKUP(B334,[1]Sheet1!$B:$B,[1]Sheet1!$S:$S,0)</f>
        <v>15000</v>
      </c>
      <c r="Q334" s="12">
        <f>_xlfn.XLOOKUP(B334,[1]Sheet1!$B:$B,[1]Sheet1!$T:$T,0)</f>
        <v>15000</v>
      </c>
      <c r="R334" s="12">
        <f>_xlfn.XLOOKUP(B334,[1]Sheet1!$B:$B,[1]Sheet1!$U:$U,0)</f>
        <v>13576</v>
      </c>
      <c r="S334" s="12">
        <f>_xlfn.XLOOKUP(B334,[1]Sheet1!$B:$B,[1]Sheet1!$V:$V,0)</f>
        <v>0</v>
      </c>
      <c r="T334" s="12">
        <f>_xlfn.XLOOKUP(B334,[1]Sheet1!$B:$B,[1]Sheet1!$W:$W,0)</f>
        <v>0</v>
      </c>
      <c r="U334" s="12">
        <f>_xlfn.XLOOKUP(B334,[1]Sheet1!$B:$B,[1]Sheet1!$X:$X,0)</f>
        <v>0</v>
      </c>
      <c r="V334" s="12">
        <f>_xlfn.XLOOKUP(B334,[1]Sheet1!$B:$B,[1]Sheet1!$Y:$Y,0)</f>
        <v>0</v>
      </c>
      <c r="W334" s="12">
        <f t="shared" si="13"/>
        <v>88576</v>
      </c>
      <c r="X334" s="6" t="s">
        <v>85</v>
      </c>
      <c r="Y334" s="6" t="s">
        <v>65</v>
      </c>
      <c r="Z334" s="6" t="s">
        <v>66</v>
      </c>
      <c r="AA334" s="6" t="s">
        <v>84</v>
      </c>
      <c r="AB334" s="6" t="s">
        <v>36</v>
      </c>
      <c r="AC334" s="6" t="s">
        <v>37</v>
      </c>
      <c r="AD334" s="6" t="s">
        <v>69</v>
      </c>
      <c r="AE334" s="6" t="s">
        <v>39</v>
      </c>
      <c r="AF334" s="6" t="s">
        <v>40</v>
      </c>
      <c r="AG334" s="7">
        <v>88576</v>
      </c>
      <c r="AH334" s="11">
        <f>_xlfn.XLOOKUP(B334,[1]Sheet1!$B:$B,[1]Sheet1!$AB:$AB,0)</f>
        <v>88576</v>
      </c>
    </row>
    <row r="335" spans="2:34" ht="16.8" thickTop="1" thickBot="1" x14ac:dyDescent="0.35">
      <c r="B335" s="3" t="str">
        <f t="shared" si="12"/>
        <v>45112504511000508Landscaping-N432614200104</v>
      </c>
      <c r="C335" s="8" t="s">
        <v>67</v>
      </c>
      <c r="D335" s="8" t="s">
        <v>645</v>
      </c>
      <c r="E335" s="8" t="s">
        <v>646</v>
      </c>
      <c r="F335" s="8" t="s">
        <v>86</v>
      </c>
      <c r="G335" s="4" t="s">
        <v>2812</v>
      </c>
      <c r="H335" s="4" t="s">
        <v>2922</v>
      </c>
      <c r="I335" s="8" t="s">
        <v>87</v>
      </c>
      <c r="J335" s="8" t="s">
        <v>31</v>
      </c>
      <c r="K335" s="12">
        <f>_xlfn.XLOOKUP(B335,[1]Sheet1!$B:$B,[1]Sheet1!$N:$N,0)</f>
        <v>0</v>
      </c>
      <c r="L335" s="12">
        <f>_xlfn.XLOOKUP(B335,[1]Sheet1!$B:$B,[1]Sheet1!$O:$O,0)</f>
        <v>0</v>
      </c>
      <c r="M335" s="12">
        <f>_xlfn.XLOOKUP(B335,[1]Sheet1!$B:$B,[1]Sheet1!$P:$P,0)</f>
        <v>0</v>
      </c>
      <c r="N335" s="12">
        <f>_xlfn.XLOOKUP(B335,[1]Sheet1!$B:$B,[1]Sheet1!$Q:$Q,0)</f>
        <v>50000</v>
      </c>
      <c r="O335" s="12">
        <f>_xlfn.XLOOKUP(B335,[1]Sheet1!$B:$B,[1]Sheet1!$R:$R,0)</f>
        <v>25000</v>
      </c>
      <c r="P335" s="12">
        <f>_xlfn.XLOOKUP(B335,[1]Sheet1!$B:$B,[1]Sheet1!$S:$S,0)</f>
        <v>25000</v>
      </c>
      <c r="Q335" s="12">
        <f>_xlfn.XLOOKUP(B335,[1]Sheet1!$B:$B,[1]Sheet1!$T:$T,0)</f>
        <v>25000</v>
      </c>
      <c r="R335" s="12">
        <f>_xlfn.XLOOKUP(B335,[1]Sheet1!$B:$B,[1]Sheet1!$U:$U,0)</f>
        <v>25000</v>
      </c>
      <c r="S335" s="12">
        <f>_xlfn.XLOOKUP(B335,[1]Sheet1!$B:$B,[1]Sheet1!$V:$V,0)</f>
        <v>25000</v>
      </c>
      <c r="T335" s="12">
        <f>_xlfn.XLOOKUP(B335,[1]Sheet1!$B:$B,[1]Sheet1!$W:$W,0)</f>
        <v>22998</v>
      </c>
      <c r="U335" s="12">
        <f>_xlfn.XLOOKUP(B335,[1]Sheet1!$B:$B,[1]Sheet1!$X:$X,0)</f>
        <v>0</v>
      </c>
      <c r="V335" s="12">
        <f>_xlfn.XLOOKUP(B335,[1]Sheet1!$B:$B,[1]Sheet1!$Y:$Y,0)</f>
        <v>0</v>
      </c>
      <c r="W335" s="12">
        <f t="shared" si="13"/>
        <v>197998</v>
      </c>
      <c r="X335" s="8" t="s">
        <v>88</v>
      </c>
      <c r="Y335" s="8" t="s">
        <v>65</v>
      </c>
      <c r="Z335" s="8" t="s">
        <v>66</v>
      </c>
      <c r="AA335" s="8" t="s">
        <v>87</v>
      </c>
      <c r="AB335" s="8" t="s">
        <v>36</v>
      </c>
      <c r="AC335" s="8" t="s">
        <v>37</v>
      </c>
      <c r="AD335" s="8" t="s">
        <v>69</v>
      </c>
      <c r="AE335" s="8" t="s">
        <v>39</v>
      </c>
      <c r="AF335" s="8" t="s">
        <v>40</v>
      </c>
      <c r="AG335" s="9">
        <v>197998</v>
      </c>
      <c r="AH335" s="11">
        <f>_xlfn.XLOOKUP(B335,[1]Sheet1!$B:$B,[1]Sheet1!$AB:$AB,0)</f>
        <v>197998</v>
      </c>
    </row>
    <row r="336" spans="2:34" ht="16.8" thickTop="1" thickBot="1" x14ac:dyDescent="0.35">
      <c r="B336" s="3" t="str">
        <f t="shared" si="12"/>
        <v>45112504511000508Lease Improve-N490600300105</v>
      </c>
      <c r="C336" s="6" t="s">
        <v>67</v>
      </c>
      <c r="D336" s="6" t="s">
        <v>645</v>
      </c>
      <c r="E336" s="6" t="s">
        <v>646</v>
      </c>
      <c r="F336" s="6" t="s">
        <v>89</v>
      </c>
      <c r="G336" s="4" t="s">
        <v>2813</v>
      </c>
      <c r="H336" s="4" t="s">
        <v>2923</v>
      </c>
      <c r="I336" s="6" t="s">
        <v>90</v>
      </c>
      <c r="J336" s="6" t="s">
        <v>31</v>
      </c>
      <c r="K336" s="12">
        <f>_xlfn.XLOOKUP(B336,[1]Sheet1!$B:$B,[1]Sheet1!$N:$N,0)</f>
        <v>0</v>
      </c>
      <c r="L336" s="12">
        <f>_xlfn.XLOOKUP(B336,[1]Sheet1!$B:$B,[1]Sheet1!$O:$O,0)</f>
        <v>0</v>
      </c>
      <c r="M336" s="12">
        <f>_xlfn.XLOOKUP(B336,[1]Sheet1!$B:$B,[1]Sheet1!$P:$P,0)</f>
        <v>0</v>
      </c>
      <c r="N336" s="12">
        <f>_xlfn.XLOOKUP(B336,[1]Sheet1!$B:$B,[1]Sheet1!$Q:$Q,0)</f>
        <v>0</v>
      </c>
      <c r="O336" s="12">
        <f>_xlfn.XLOOKUP(B336,[1]Sheet1!$B:$B,[1]Sheet1!$R:$R,0)</f>
        <v>0</v>
      </c>
      <c r="P336" s="12">
        <f>_xlfn.XLOOKUP(B336,[1]Sheet1!$B:$B,[1]Sheet1!$S:$S,0)</f>
        <v>0</v>
      </c>
      <c r="Q336" s="12">
        <f>_xlfn.XLOOKUP(B336,[1]Sheet1!$B:$B,[1]Sheet1!$T:$T,0)</f>
        <v>0</v>
      </c>
      <c r="R336" s="12">
        <f>_xlfn.XLOOKUP(B336,[1]Sheet1!$B:$B,[1]Sheet1!$U:$U,0)</f>
        <v>0</v>
      </c>
      <c r="S336" s="12">
        <f>_xlfn.XLOOKUP(B336,[1]Sheet1!$B:$B,[1]Sheet1!$V:$V,0)</f>
        <v>0</v>
      </c>
      <c r="T336" s="12">
        <f>_xlfn.XLOOKUP(B336,[1]Sheet1!$B:$B,[1]Sheet1!$W:$W,0)</f>
        <v>500000</v>
      </c>
      <c r="U336" s="12">
        <f>_xlfn.XLOOKUP(B336,[1]Sheet1!$B:$B,[1]Sheet1!$X:$X,0)</f>
        <v>0</v>
      </c>
      <c r="V336" s="12">
        <f>_xlfn.XLOOKUP(B336,[1]Sheet1!$B:$B,[1]Sheet1!$Y:$Y,0)</f>
        <v>0</v>
      </c>
      <c r="W336" s="12">
        <f t="shared" si="13"/>
        <v>500000</v>
      </c>
      <c r="X336" s="6" t="s">
        <v>91</v>
      </c>
      <c r="Y336" s="6" t="s">
        <v>65</v>
      </c>
      <c r="Z336" s="6" t="s">
        <v>66</v>
      </c>
      <c r="AA336" s="6" t="s">
        <v>92</v>
      </c>
      <c r="AB336" s="6" t="s">
        <v>93</v>
      </c>
      <c r="AC336" s="6" t="s">
        <v>94</v>
      </c>
      <c r="AD336" s="6" t="s">
        <v>69</v>
      </c>
      <c r="AE336" s="6" t="s">
        <v>39</v>
      </c>
      <c r="AF336" s="6" t="s">
        <v>40</v>
      </c>
      <c r="AG336" s="7">
        <v>500000</v>
      </c>
      <c r="AH336" s="11">
        <f>_xlfn.XLOOKUP(B336,[1]Sheet1!$B:$B,[1]Sheet1!$AB:$AB,0)</f>
        <v>500000</v>
      </c>
    </row>
    <row r="337" spans="2:34" ht="16.8" thickTop="1" thickBot="1" x14ac:dyDescent="0.35">
      <c r="B337" s="3" t="str">
        <f t="shared" si="12"/>
        <v>45112504511000508Maintenance-N426212200104</v>
      </c>
      <c r="C337" s="8" t="s">
        <v>67</v>
      </c>
      <c r="D337" s="8" t="s">
        <v>645</v>
      </c>
      <c r="E337" s="8" t="s">
        <v>646</v>
      </c>
      <c r="F337" s="8" t="s">
        <v>95</v>
      </c>
      <c r="G337" s="4" t="s">
        <v>2814</v>
      </c>
      <c r="H337" s="4" t="s">
        <v>2922</v>
      </c>
      <c r="I337" s="8" t="s">
        <v>96</v>
      </c>
      <c r="J337" s="8" t="s">
        <v>31</v>
      </c>
      <c r="K337" s="12">
        <f>_xlfn.XLOOKUP(B337,[1]Sheet1!$B:$B,[1]Sheet1!$N:$N,0)</f>
        <v>0</v>
      </c>
      <c r="L337" s="12">
        <f>_xlfn.XLOOKUP(B337,[1]Sheet1!$B:$B,[1]Sheet1!$O:$O,0)</f>
        <v>0</v>
      </c>
      <c r="M337" s="12">
        <f>_xlfn.XLOOKUP(B337,[1]Sheet1!$B:$B,[1]Sheet1!$P:$P,0)</f>
        <v>0</v>
      </c>
      <c r="N337" s="12">
        <f>_xlfn.XLOOKUP(B337,[1]Sheet1!$B:$B,[1]Sheet1!$Q:$Q,0)</f>
        <v>160000</v>
      </c>
      <c r="O337" s="12">
        <f>_xlfn.XLOOKUP(B337,[1]Sheet1!$B:$B,[1]Sheet1!$R:$R,0)</f>
        <v>100000</v>
      </c>
      <c r="P337" s="12">
        <f>_xlfn.XLOOKUP(B337,[1]Sheet1!$B:$B,[1]Sheet1!$S:$S,0)</f>
        <v>100000</v>
      </c>
      <c r="Q337" s="12">
        <f>_xlfn.XLOOKUP(B337,[1]Sheet1!$B:$B,[1]Sheet1!$T:$T,0)</f>
        <v>10000</v>
      </c>
      <c r="R337" s="12">
        <f>_xlfn.XLOOKUP(B337,[1]Sheet1!$B:$B,[1]Sheet1!$U:$U,0)</f>
        <v>135202</v>
      </c>
      <c r="S337" s="12">
        <f>_xlfn.XLOOKUP(B337,[1]Sheet1!$B:$B,[1]Sheet1!$V:$V,0)</f>
        <v>0</v>
      </c>
      <c r="T337" s="12">
        <f>_xlfn.XLOOKUP(B337,[1]Sheet1!$B:$B,[1]Sheet1!$W:$W,0)</f>
        <v>0</v>
      </c>
      <c r="U337" s="12">
        <f>_xlfn.XLOOKUP(B337,[1]Sheet1!$B:$B,[1]Sheet1!$X:$X,0)</f>
        <v>0</v>
      </c>
      <c r="V337" s="12">
        <f>_xlfn.XLOOKUP(B337,[1]Sheet1!$B:$B,[1]Sheet1!$Y:$Y,0)</f>
        <v>0</v>
      </c>
      <c r="W337" s="12">
        <f t="shared" si="13"/>
        <v>505202</v>
      </c>
      <c r="X337" s="8" t="s">
        <v>97</v>
      </c>
      <c r="Y337" s="8" t="s">
        <v>65</v>
      </c>
      <c r="Z337" s="8" t="s">
        <v>66</v>
      </c>
      <c r="AA337" s="8" t="s">
        <v>96</v>
      </c>
      <c r="AB337" s="8" t="s">
        <v>36</v>
      </c>
      <c r="AC337" s="8" t="s">
        <v>37</v>
      </c>
      <c r="AD337" s="8" t="s">
        <v>69</v>
      </c>
      <c r="AE337" s="8" t="s">
        <v>39</v>
      </c>
      <c r="AF337" s="8" t="s">
        <v>40</v>
      </c>
      <c r="AG337" s="9">
        <v>505202</v>
      </c>
      <c r="AH337" s="11">
        <f>_xlfn.XLOOKUP(B337,[1]Sheet1!$B:$B,[1]Sheet1!$AB:$AB,0)</f>
        <v>505202</v>
      </c>
    </row>
    <row r="338" spans="2:34" ht="16.8" thickTop="1" thickBot="1" x14ac:dyDescent="0.35">
      <c r="B338" s="3" t="str">
        <f t="shared" si="12"/>
        <v>45112504511000508Security Service-N424551200104</v>
      </c>
      <c r="C338" s="6" t="s">
        <v>67</v>
      </c>
      <c r="D338" s="6" t="s">
        <v>645</v>
      </c>
      <c r="E338" s="6" t="s">
        <v>646</v>
      </c>
      <c r="F338" s="6" t="s">
        <v>107</v>
      </c>
      <c r="G338" s="4" t="s">
        <v>2817</v>
      </c>
      <c r="H338" s="4" t="s">
        <v>2922</v>
      </c>
      <c r="I338" s="6" t="s">
        <v>108</v>
      </c>
      <c r="J338" s="6" t="s">
        <v>31</v>
      </c>
      <c r="K338" s="12">
        <f>_xlfn.XLOOKUP(B338,[1]Sheet1!$B:$B,[1]Sheet1!$N:$N,0)</f>
        <v>0</v>
      </c>
      <c r="L338" s="12">
        <f>_xlfn.XLOOKUP(B338,[1]Sheet1!$B:$B,[1]Sheet1!$O:$O,0)</f>
        <v>0</v>
      </c>
      <c r="M338" s="12">
        <f>_xlfn.XLOOKUP(B338,[1]Sheet1!$B:$B,[1]Sheet1!$P:$P,0)</f>
        <v>0</v>
      </c>
      <c r="N338" s="12">
        <f>_xlfn.XLOOKUP(B338,[1]Sheet1!$B:$B,[1]Sheet1!$Q:$Q,0)</f>
        <v>120000</v>
      </c>
      <c r="O338" s="12">
        <f>_xlfn.XLOOKUP(B338,[1]Sheet1!$B:$B,[1]Sheet1!$R:$R,0)</f>
        <v>60000</v>
      </c>
      <c r="P338" s="12">
        <f>_xlfn.XLOOKUP(B338,[1]Sheet1!$B:$B,[1]Sheet1!$S:$S,0)</f>
        <v>60000</v>
      </c>
      <c r="Q338" s="12">
        <f>_xlfn.XLOOKUP(B338,[1]Sheet1!$B:$B,[1]Sheet1!$T:$T,0)</f>
        <v>60000</v>
      </c>
      <c r="R338" s="12">
        <f>_xlfn.XLOOKUP(B338,[1]Sheet1!$B:$B,[1]Sheet1!$U:$U,0)</f>
        <v>60000</v>
      </c>
      <c r="S338" s="12">
        <f>_xlfn.XLOOKUP(B338,[1]Sheet1!$B:$B,[1]Sheet1!$V:$V,0)</f>
        <v>60000</v>
      </c>
      <c r="T338" s="12">
        <f>_xlfn.XLOOKUP(B338,[1]Sheet1!$B:$B,[1]Sheet1!$W:$W,0)</f>
        <v>60000</v>
      </c>
      <c r="U338" s="12">
        <f>_xlfn.XLOOKUP(B338,[1]Sheet1!$B:$B,[1]Sheet1!$X:$X,0)</f>
        <v>46607</v>
      </c>
      <c r="V338" s="12">
        <f>_xlfn.XLOOKUP(B338,[1]Sheet1!$B:$B,[1]Sheet1!$Y:$Y,0)</f>
        <v>0</v>
      </c>
      <c r="W338" s="12">
        <f t="shared" si="13"/>
        <v>526607</v>
      </c>
      <c r="X338" s="6" t="s">
        <v>109</v>
      </c>
      <c r="Y338" s="6" t="s">
        <v>65</v>
      </c>
      <c r="Z338" s="6" t="s">
        <v>66</v>
      </c>
      <c r="AA338" s="6" t="s">
        <v>108</v>
      </c>
      <c r="AB338" s="6" t="s">
        <v>36</v>
      </c>
      <c r="AC338" s="6" t="s">
        <v>37</v>
      </c>
      <c r="AD338" s="6" t="s">
        <v>69</v>
      </c>
      <c r="AE338" s="6" t="s">
        <v>39</v>
      </c>
      <c r="AF338" s="6" t="s">
        <v>40</v>
      </c>
      <c r="AG338" s="7">
        <v>526607</v>
      </c>
      <c r="AH338" s="11">
        <f>_xlfn.XLOOKUP(B338,[1]Sheet1!$B:$B,[1]Sheet1!$AB:$AB,0)</f>
        <v>526607</v>
      </c>
    </row>
    <row r="339" spans="2:34" ht="16.8" thickTop="1" thickBot="1" x14ac:dyDescent="0.35">
      <c r="B339" s="3" t="str">
        <f t="shared" si="12"/>
        <v>45112504511000508Utilities-N423931200104</v>
      </c>
      <c r="C339" s="8" t="s">
        <v>67</v>
      </c>
      <c r="D339" s="8" t="s">
        <v>645</v>
      </c>
      <c r="E339" s="8" t="s">
        <v>646</v>
      </c>
      <c r="F339" s="8" t="s">
        <v>110</v>
      </c>
      <c r="G339" s="4" t="s">
        <v>2818</v>
      </c>
      <c r="H339" s="4" t="s">
        <v>2922</v>
      </c>
      <c r="I339" s="8" t="s">
        <v>111</v>
      </c>
      <c r="J339" s="8" t="s">
        <v>31</v>
      </c>
      <c r="K339" s="12">
        <f>_xlfn.XLOOKUP(B339,[1]Sheet1!$B:$B,[1]Sheet1!$N:$N,0)</f>
        <v>0</v>
      </c>
      <c r="L339" s="12">
        <f>_xlfn.XLOOKUP(B339,[1]Sheet1!$B:$B,[1]Sheet1!$O:$O,0)</f>
        <v>0</v>
      </c>
      <c r="M339" s="12">
        <f>_xlfn.XLOOKUP(B339,[1]Sheet1!$B:$B,[1]Sheet1!$P:$P,0)</f>
        <v>0</v>
      </c>
      <c r="N339" s="12">
        <f>_xlfn.XLOOKUP(B339,[1]Sheet1!$B:$B,[1]Sheet1!$Q:$Q,0)</f>
        <v>50000</v>
      </c>
      <c r="O339" s="12">
        <f>_xlfn.XLOOKUP(B339,[1]Sheet1!$B:$B,[1]Sheet1!$R:$R,0)</f>
        <v>25000</v>
      </c>
      <c r="P339" s="12">
        <f>_xlfn.XLOOKUP(B339,[1]Sheet1!$B:$B,[1]Sheet1!$S:$S,0)</f>
        <v>25000</v>
      </c>
      <c r="Q339" s="12">
        <f>_xlfn.XLOOKUP(B339,[1]Sheet1!$B:$B,[1]Sheet1!$T:$T,0)</f>
        <v>25000</v>
      </c>
      <c r="R339" s="12">
        <f>_xlfn.XLOOKUP(B339,[1]Sheet1!$B:$B,[1]Sheet1!$U:$U,0)</f>
        <v>25000</v>
      </c>
      <c r="S339" s="12">
        <f>_xlfn.XLOOKUP(B339,[1]Sheet1!$B:$B,[1]Sheet1!$V:$V,0)</f>
        <v>25000</v>
      </c>
      <c r="T339" s="12">
        <f>_xlfn.XLOOKUP(B339,[1]Sheet1!$B:$B,[1]Sheet1!$W:$W,0)</f>
        <v>36000</v>
      </c>
      <c r="U339" s="12">
        <f>_xlfn.XLOOKUP(B339,[1]Sheet1!$B:$B,[1]Sheet1!$X:$X,0)</f>
        <v>35655</v>
      </c>
      <c r="V339" s="12">
        <f>_xlfn.XLOOKUP(B339,[1]Sheet1!$B:$B,[1]Sheet1!$Y:$Y,0)</f>
        <v>0</v>
      </c>
      <c r="W339" s="12">
        <f t="shared" si="13"/>
        <v>246655</v>
      </c>
      <c r="X339" s="8" t="s">
        <v>112</v>
      </c>
      <c r="Y339" s="8" t="s">
        <v>65</v>
      </c>
      <c r="Z339" s="8" t="s">
        <v>66</v>
      </c>
      <c r="AA339" s="8" t="s">
        <v>111</v>
      </c>
      <c r="AB339" s="8" t="s">
        <v>36</v>
      </c>
      <c r="AC339" s="8" t="s">
        <v>37</v>
      </c>
      <c r="AD339" s="8" t="s">
        <v>69</v>
      </c>
      <c r="AE339" s="8" t="s">
        <v>39</v>
      </c>
      <c r="AF339" s="8" t="s">
        <v>40</v>
      </c>
      <c r="AG339" s="9">
        <v>246655</v>
      </c>
      <c r="AH339" s="11">
        <f>_xlfn.XLOOKUP(B339,[1]Sheet1!$B:$B,[1]Sheet1!$AB:$AB,0)</f>
        <v>246655</v>
      </c>
    </row>
    <row r="340" spans="2:34" ht="16.8" thickTop="1" thickBot="1" x14ac:dyDescent="0.35">
      <c r="B340" s="3" t="str">
        <f t="shared" si="12"/>
        <v>45102304511000509Ad-hoc Repairs-N1426427200104</v>
      </c>
      <c r="C340" s="6" t="s">
        <v>467</v>
      </c>
      <c r="D340" s="6" t="s">
        <v>647</v>
      </c>
      <c r="E340" s="6" t="s">
        <v>648</v>
      </c>
      <c r="F340" s="6" t="s">
        <v>621</v>
      </c>
      <c r="G340" s="4" t="s">
        <v>2808</v>
      </c>
      <c r="H340" s="4" t="s">
        <v>2922</v>
      </c>
      <c r="I340" s="6" t="s">
        <v>71</v>
      </c>
      <c r="J340" s="6" t="s">
        <v>31</v>
      </c>
      <c r="K340" s="12">
        <f>_xlfn.XLOOKUP(B340,[1]Sheet1!$B:$B,[1]Sheet1!$N:$N,0)</f>
        <v>0</v>
      </c>
      <c r="L340" s="12">
        <f>_xlfn.XLOOKUP(B340,[1]Sheet1!$B:$B,[1]Sheet1!$O:$O,0)</f>
        <v>0</v>
      </c>
      <c r="M340" s="12">
        <f>_xlfn.XLOOKUP(B340,[1]Sheet1!$B:$B,[1]Sheet1!$P:$P,0)</f>
        <v>0</v>
      </c>
      <c r="N340" s="12">
        <f>_xlfn.XLOOKUP(B340,[1]Sheet1!$B:$B,[1]Sheet1!$Q:$Q,0)</f>
        <v>4640</v>
      </c>
      <c r="O340" s="12">
        <f>_xlfn.XLOOKUP(B340,[1]Sheet1!$B:$B,[1]Sheet1!$R:$R,0)</f>
        <v>1170</v>
      </c>
      <c r="P340" s="12">
        <f>_xlfn.XLOOKUP(B340,[1]Sheet1!$B:$B,[1]Sheet1!$S:$S,0)</f>
        <v>1170</v>
      </c>
      <c r="Q340" s="12">
        <f>_xlfn.XLOOKUP(B340,[1]Sheet1!$B:$B,[1]Sheet1!$T:$T,0)</f>
        <v>1170</v>
      </c>
      <c r="R340" s="12">
        <f>_xlfn.XLOOKUP(B340,[1]Sheet1!$B:$B,[1]Sheet1!$U:$U,0)</f>
        <v>1170</v>
      </c>
      <c r="S340" s="12">
        <f>_xlfn.XLOOKUP(B340,[1]Sheet1!$B:$B,[1]Sheet1!$V:$V,0)</f>
        <v>1170</v>
      </c>
      <c r="T340" s="12">
        <f>_xlfn.XLOOKUP(B340,[1]Sheet1!$B:$B,[1]Sheet1!$W:$W,0)</f>
        <v>1170</v>
      </c>
      <c r="U340" s="12">
        <f>_xlfn.XLOOKUP(B340,[1]Sheet1!$B:$B,[1]Sheet1!$X:$X,0)</f>
        <v>1170</v>
      </c>
      <c r="V340" s="12">
        <f>_xlfn.XLOOKUP(B340,[1]Sheet1!$B:$B,[1]Sheet1!$Y:$Y,0)</f>
        <v>1170</v>
      </c>
      <c r="W340" s="12">
        <f t="shared" si="13"/>
        <v>14000</v>
      </c>
      <c r="X340" s="6" t="s">
        <v>622</v>
      </c>
      <c r="Y340" s="6" t="s">
        <v>132</v>
      </c>
      <c r="Z340" s="6" t="s">
        <v>466</v>
      </c>
      <c r="AA340" s="6" t="s">
        <v>71</v>
      </c>
      <c r="AB340" s="6" t="s">
        <v>36</v>
      </c>
      <c r="AC340" s="6" t="s">
        <v>37</v>
      </c>
      <c r="AD340" s="6" t="s">
        <v>468</v>
      </c>
      <c r="AE340" s="6" t="s">
        <v>39</v>
      </c>
      <c r="AF340" s="6" t="s">
        <v>40</v>
      </c>
      <c r="AG340" s="7">
        <v>14000</v>
      </c>
      <c r="AH340" s="11">
        <f>_xlfn.XLOOKUP(B340,[1]Sheet1!$B:$B,[1]Sheet1!$AB:$AB,0)</f>
        <v>14000</v>
      </c>
    </row>
    <row r="341" spans="2:34" ht="16.8" thickTop="1" thickBot="1" x14ac:dyDescent="0.35">
      <c r="B341" s="3" t="str">
        <f t="shared" si="12"/>
        <v>45102304511000509Cleaning Service-N1422311200104</v>
      </c>
      <c r="C341" s="8" t="s">
        <v>467</v>
      </c>
      <c r="D341" s="8" t="s">
        <v>647</v>
      </c>
      <c r="E341" s="8" t="s">
        <v>648</v>
      </c>
      <c r="F341" s="8" t="s">
        <v>623</v>
      </c>
      <c r="G341" s="4" t="s">
        <v>2810</v>
      </c>
      <c r="H341" s="4" t="s">
        <v>2922</v>
      </c>
      <c r="I341" s="8" t="s">
        <v>80</v>
      </c>
      <c r="J341" s="8" t="s">
        <v>31</v>
      </c>
      <c r="K341" s="12">
        <f>_xlfn.XLOOKUP(B341,[1]Sheet1!$B:$B,[1]Sheet1!$N:$N,0)</f>
        <v>0</v>
      </c>
      <c r="L341" s="12">
        <f>_xlfn.XLOOKUP(B341,[1]Sheet1!$B:$B,[1]Sheet1!$O:$O,0)</f>
        <v>0</v>
      </c>
      <c r="M341" s="12">
        <f>_xlfn.XLOOKUP(B341,[1]Sheet1!$B:$B,[1]Sheet1!$P:$P,0)</f>
        <v>0</v>
      </c>
      <c r="N341" s="12">
        <f>_xlfn.XLOOKUP(B341,[1]Sheet1!$B:$B,[1]Sheet1!$Q:$Q,0)</f>
        <v>31664</v>
      </c>
      <c r="O341" s="12">
        <f>_xlfn.XLOOKUP(B341,[1]Sheet1!$B:$B,[1]Sheet1!$R:$R,0)</f>
        <v>7917</v>
      </c>
      <c r="P341" s="12">
        <f>_xlfn.XLOOKUP(B341,[1]Sheet1!$B:$B,[1]Sheet1!$S:$S,0)</f>
        <v>7917</v>
      </c>
      <c r="Q341" s="12">
        <f>_xlfn.XLOOKUP(B341,[1]Sheet1!$B:$B,[1]Sheet1!$T:$T,0)</f>
        <v>7917</v>
      </c>
      <c r="R341" s="12">
        <f>_xlfn.XLOOKUP(B341,[1]Sheet1!$B:$B,[1]Sheet1!$U:$U,0)</f>
        <v>7917</v>
      </c>
      <c r="S341" s="12">
        <f>_xlfn.XLOOKUP(B341,[1]Sheet1!$B:$B,[1]Sheet1!$V:$V,0)</f>
        <v>7917</v>
      </c>
      <c r="T341" s="12">
        <f>_xlfn.XLOOKUP(B341,[1]Sheet1!$B:$B,[1]Sheet1!$W:$W,0)</f>
        <v>7917</v>
      </c>
      <c r="U341" s="12">
        <f>_xlfn.XLOOKUP(B341,[1]Sheet1!$B:$B,[1]Sheet1!$X:$X,0)</f>
        <v>7917</v>
      </c>
      <c r="V341" s="12">
        <f>_xlfn.XLOOKUP(B341,[1]Sheet1!$B:$B,[1]Sheet1!$Y:$Y,0)</f>
        <v>7917</v>
      </c>
      <c r="W341" s="12">
        <f t="shared" si="13"/>
        <v>95000</v>
      </c>
      <c r="X341" s="8" t="s">
        <v>624</v>
      </c>
      <c r="Y341" s="8" t="s">
        <v>132</v>
      </c>
      <c r="Z341" s="8" t="s">
        <v>466</v>
      </c>
      <c r="AA341" s="8" t="s">
        <v>80</v>
      </c>
      <c r="AB341" s="8" t="s">
        <v>36</v>
      </c>
      <c r="AC341" s="8" t="s">
        <v>37</v>
      </c>
      <c r="AD341" s="8" t="s">
        <v>468</v>
      </c>
      <c r="AE341" s="8" t="s">
        <v>39</v>
      </c>
      <c r="AF341" s="8" t="s">
        <v>40</v>
      </c>
      <c r="AG341" s="9">
        <v>95000</v>
      </c>
      <c r="AH341" s="11">
        <f>_xlfn.XLOOKUP(B341,[1]Sheet1!$B:$B,[1]Sheet1!$AB:$AB,0)</f>
        <v>95000</v>
      </c>
    </row>
    <row r="342" spans="2:34" ht="16.8" thickTop="1" thickBot="1" x14ac:dyDescent="0.35">
      <c r="B342" s="3" t="str">
        <f t="shared" si="12"/>
        <v>45102304511000509Hospitality -N1424761200104</v>
      </c>
      <c r="C342" s="6" t="s">
        <v>467</v>
      </c>
      <c r="D342" s="6" t="s">
        <v>647</v>
      </c>
      <c r="E342" s="6" t="s">
        <v>648</v>
      </c>
      <c r="F342" s="6" t="s">
        <v>649</v>
      </c>
      <c r="G342" s="4" t="s">
        <v>2811</v>
      </c>
      <c r="H342" s="4" t="s">
        <v>2922</v>
      </c>
      <c r="I342" s="6" t="s">
        <v>84</v>
      </c>
      <c r="J342" s="6" t="s">
        <v>31</v>
      </c>
      <c r="K342" s="12">
        <f>_xlfn.XLOOKUP(B342,[1]Sheet1!$B:$B,[1]Sheet1!$N:$N,0)</f>
        <v>0</v>
      </c>
      <c r="L342" s="12">
        <f>_xlfn.XLOOKUP(B342,[1]Sheet1!$B:$B,[1]Sheet1!$O:$O,0)</f>
        <v>0</v>
      </c>
      <c r="M342" s="12">
        <f>_xlfn.XLOOKUP(B342,[1]Sheet1!$B:$B,[1]Sheet1!$P:$P,0)</f>
        <v>0</v>
      </c>
      <c r="N342" s="12">
        <f>_xlfn.XLOOKUP(B342,[1]Sheet1!$B:$B,[1]Sheet1!$Q:$Q,0)</f>
        <v>12800</v>
      </c>
      <c r="O342" s="12">
        <f>_xlfn.XLOOKUP(B342,[1]Sheet1!$B:$B,[1]Sheet1!$R:$R,0)</f>
        <v>3200</v>
      </c>
      <c r="P342" s="12">
        <f>_xlfn.XLOOKUP(B342,[1]Sheet1!$B:$B,[1]Sheet1!$S:$S,0)</f>
        <v>3200</v>
      </c>
      <c r="Q342" s="12">
        <f>_xlfn.XLOOKUP(B342,[1]Sheet1!$B:$B,[1]Sheet1!$T:$T,0)</f>
        <v>3200</v>
      </c>
      <c r="R342" s="12">
        <f>_xlfn.XLOOKUP(B342,[1]Sheet1!$B:$B,[1]Sheet1!$U:$U,0)</f>
        <v>3200</v>
      </c>
      <c r="S342" s="12">
        <f>_xlfn.XLOOKUP(B342,[1]Sheet1!$B:$B,[1]Sheet1!$V:$V,0)</f>
        <v>3200</v>
      </c>
      <c r="T342" s="12">
        <f>_xlfn.XLOOKUP(B342,[1]Sheet1!$B:$B,[1]Sheet1!$W:$W,0)</f>
        <v>3200</v>
      </c>
      <c r="U342" s="12">
        <f>_xlfn.XLOOKUP(B342,[1]Sheet1!$B:$B,[1]Sheet1!$X:$X,0)</f>
        <v>3200</v>
      </c>
      <c r="V342" s="12">
        <f>_xlfn.XLOOKUP(B342,[1]Sheet1!$B:$B,[1]Sheet1!$Y:$Y,0)</f>
        <v>3200</v>
      </c>
      <c r="W342" s="12">
        <f t="shared" si="13"/>
        <v>38400</v>
      </c>
      <c r="X342" s="6" t="s">
        <v>469</v>
      </c>
      <c r="Y342" s="6" t="s">
        <v>132</v>
      </c>
      <c r="Z342" s="6" t="s">
        <v>466</v>
      </c>
      <c r="AA342" s="6" t="s">
        <v>84</v>
      </c>
      <c r="AB342" s="6" t="s">
        <v>36</v>
      </c>
      <c r="AC342" s="6" t="s">
        <v>37</v>
      </c>
      <c r="AD342" s="6" t="s">
        <v>468</v>
      </c>
      <c r="AE342" s="6" t="s">
        <v>39</v>
      </c>
      <c r="AF342" s="6" t="s">
        <v>40</v>
      </c>
      <c r="AG342" s="7">
        <v>38400</v>
      </c>
      <c r="AH342" s="11">
        <f>_xlfn.XLOOKUP(B342,[1]Sheet1!$B:$B,[1]Sheet1!$AB:$AB,0)</f>
        <v>38400</v>
      </c>
    </row>
    <row r="343" spans="2:34" ht="16.8" thickTop="1" thickBot="1" x14ac:dyDescent="0.35">
      <c r="B343" s="3" t="str">
        <f t="shared" si="12"/>
        <v>45102304511000509Interior Fit Out-NC2491711300105</v>
      </c>
      <c r="C343" s="8" t="s">
        <v>467</v>
      </c>
      <c r="D343" s="8" t="s">
        <v>647</v>
      </c>
      <c r="E343" s="8" t="s">
        <v>648</v>
      </c>
      <c r="F343" s="8" t="s">
        <v>650</v>
      </c>
      <c r="G343" s="4" t="s">
        <v>2854</v>
      </c>
      <c r="H343" s="4" t="s">
        <v>2923</v>
      </c>
      <c r="I343" s="8" t="s">
        <v>639</v>
      </c>
      <c r="J343" s="8" t="s">
        <v>31</v>
      </c>
      <c r="K343" s="12">
        <f>_xlfn.XLOOKUP(B343,[1]Sheet1!$B:$B,[1]Sheet1!$N:$N,0)</f>
        <v>0</v>
      </c>
      <c r="L343" s="12">
        <f>_xlfn.XLOOKUP(B343,[1]Sheet1!$B:$B,[1]Sheet1!$O:$O,0)</f>
        <v>0</v>
      </c>
      <c r="M343" s="12">
        <f>_xlfn.XLOOKUP(B343,[1]Sheet1!$B:$B,[1]Sheet1!$P:$P,0)</f>
        <v>0</v>
      </c>
      <c r="N343" s="12">
        <f>_xlfn.XLOOKUP(B343,[1]Sheet1!$B:$B,[1]Sheet1!$Q:$Q,0)</f>
        <v>18000</v>
      </c>
      <c r="O343" s="12">
        <f>_xlfn.XLOOKUP(B343,[1]Sheet1!$B:$B,[1]Sheet1!$R:$R,0)</f>
        <v>0</v>
      </c>
      <c r="P343" s="12">
        <f>_xlfn.XLOOKUP(B343,[1]Sheet1!$B:$B,[1]Sheet1!$S:$S,0)</f>
        <v>10000</v>
      </c>
      <c r="Q343" s="12">
        <f>_xlfn.XLOOKUP(B343,[1]Sheet1!$B:$B,[1]Sheet1!$T:$T,0)</f>
        <v>0</v>
      </c>
      <c r="R343" s="12">
        <f>_xlfn.XLOOKUP(B343,[1]Sheet1!$B:$B,[1]Sheet1!$U:$U,0)</f>
        <v>5000</v>
      </c>
      <c r="S343" s="12">
        <f>_xlfn.XLOOKUP(B343,[1]Sheet1!$B:$B,[1]Sheet1!$V:$V,0)</f>
        <v>0</v>
      </c>
      <c r="T343" s="12">
        <f>_xlfn.XLOOKUP(B343,[1]Sheet1!$B:$B,[1]Sheet1!$W:$W,0)</f>
        <v>9000</v>
      </c>
      <c r="U343" s="12">
        <f>_xlfn.XLOOKUP(B343,[1]Sheet1!$B:$B,[1]Sheet1!$X:$X,0)</f>
        <v>5500</v>
      </c>
      <c r="V343" s="12">
        <f>_xlfn.XLOOKUP(B343,[1]Sheet1!$B:$B,[1]Sheet1!$Y:$Y,0)</f>
        <v>0</v>
      </c>
      <c r="W343" s="12">
        <f t="shared" si="13"/>
        <v>47500</v>
      </c>
      <c r="X343" s="8" t="s">
        <v>640</v>
      </c>
      <c r="Y343" s="8" t="s">
        <v>132</v>
      </c>
      <c r="Z343" s="8" t="s">
        <v>466</v>
      </c>
      <c r="AA343" s="8" t="s">
        <v>639</v>
      </c>
      <c r="AB343" s="8" t="s">
        <v>93</v>
      </c>
      <c r="AC343" s="8" t="s">
        <v>94</v>
      </c>
      <c r="AD343" s="8" t="s">
        <v>468</v>
      </c>
      <c r="AE343" s="8" t="s">
        <v>39</v>
      </c>
      <c r="AF343" s="8" t="s">
        <v>40</v>
      </c>
      <c r="AG343" s="9">
        <v>47500</v>
      </c>
      <c r="AH343" s="11">
        <f>_xlfn.XLOOKUP(B343,[1]Sheet1!$B:$B,[1]Sheet1!$AB:$AB,0)</f>
        <v>47500</v>
      </c>
    </row>
    <row r="344" spans="2:34" ht="16.8" thickTop="1" thickBot="1" x14ac:dyDescent="0.35">
      <c r="B344" s="3" t="str">
        <f t="shared" si="12"/>
        <v>45102304511000509Maintenance-N1426212200104</v>
      </c>
      <c r="C344" s="6" t="s">
        <v>467</v>
      </c>
      <c r="D344" s="6" t="s">
        <v>647</v>
      </c>
      <c r="E344" s="6" t="s">
        <v>648</v>
      </c>
      <c r="F344" s="6" t="s">
        <v>625</v>
      </c>
      <c r="G344" s="4" t="s">
        <v>2814</v>
      </c>
      <c r="H344" s="4" t="s">
        <v>2922</v>
      </c>
      <c r="I344" s="6" t="s">
        <v>96</v>
      </c>
      <c r="J344" s="6" t="s">
        <v>31</v>
      </c>
      <c r="K344" s="12">
        <f>_xlfn.XLOOKUP(B344,[1]Sheet1!$B:$B,[1]Sheet1!$N:$N,0)</f>
        <v>0</v>
      </c>
      <c r="L344" s="12">
        <f>_xlfn.XLOOKUP(B344,[1]Sheet1!$B:$B,[1]Sheet1!$O:$O,0)</f>
        <v>0</v>
      </c>
      <c r="M344" s="12">
        <f>_xlfn.XLOOKUP(B344,[1]Sheet1!$B:$B,[1]Sheet1!$P:$P,0)</f>
        <v>0</v>
      </c>
      <c r="N344" s="12">
        <f>_xlfn.XLOOKUP(B344,[1]Sheet1!$B:$B,[1]Sheet1!$Q:$Q,0)</f>
        <v>33600</v>
      </c>
      <c r="O344" s="12">
        <f>_xlfn.XLOOKUP(B344,[1]Sheet1!$B:$B,[1]Sheet1!$R:$R,0)</f>
        <v>8400</v>
      </c>
      <c r="P344" s="12">
        <f>_xlfn.XLOOKUP(B344,[1]Sheet1!$B:$B,[1]Sheet1!$S:$S,0)</f>
        <v>8400</v>
      </c>
      <c r="Q344" s="12">
        <f>_xlfn.XLOOKUP(B344,[1]Sheet1!$B:$B,[1]Sheet1!$T:$T,0)</f>
        <v>8400</v>
      </c>
      <c r="R344" s="12">
        <f>_xlfn.XLOOKUP(B344,[1]Sheet1!$B:$B,[1]Sheet1!$U:$U,0)</f>
        <v>8400</v>
      </c>
      <c r="S344" s="12">
        <f>_xlfn.XLOOKUP(B344,[1]Sheet1!$B:$B,[1]Sheet1!$V:$V,0)</f>
        <v>8400</v>
      </c>
      <c r="T344" s="12">
        <f>_xlfn.XLOOKUP(B344,[1]Sheet1!$B:$B,[1]Sheet1!$W:$W,0)</f>
        <v>8400</v>
      </c>
      <c r="U344" s="12">
        <f>_xlfn.XLOOKUP(B344,[1]Sheet1!$B:$B,[1]Sheet1!$X:$X,0)</f>
        <v>8400</v>
      </c>
      <c r="V344" s="12">
        <f>_xlfn.XLOOKUP(B344,[1]Sheet1!$B:$B,[1]Sheet1!$Y:$Y,0)</f>
        <v>8400</v>
      </c>
      <c r="W344" s="12">
        <f t="shared" si="13"/>
        <v>100800</v>
      </c>
      <c r="X344" s="6" t="s">
        <v>626</v>
      </c>
      <c r="Y344" s="6" t="s">
        <v>132</v>
      </c>
      <c r="Z344" s="6" t="s">
        <v>466</v>
      </c>
      <c r="AA344" s="6" t="s">
        <v>96</v>
      </c>
      <c r="AB344" s="6" t="s">
        <v>36</v>
      </c>
      <c r="AC344" s="6" t="s">
        <v>37</v>
      </c>
      <c r="AD344" s="6" t="s">
        <v>468</v>
      </c>
      <c r="AE344" s="6" t="s">
        <v>39</v>
      </c>
      <c r="AF344" s="6" t="s">
        <v>40</v>
      </c>
      <c r="AG344" s="7">
        <v>100800</v>
      </c>
      <c r="AH344" s="11">
        <f>_xlfn.XLOOKUP(B344,[1]Sheet1!$B:$B,[1]Sheet1!$AB:$AB,0)</f>
        <v>100800</v>
      </c>
    </row>
    <row r="345" spans="2:34" ht="16.8" thickTop="1" thickBot="1" x14ac:dyDescent="0.35">
      <c r="B345" s="3" t="str">
        <f t="shared" si="12"/>
        <v>45112504511000510Activation&amp;Prog-N422401200104</v>
      </c>
      <c r="C345" s="8" t="s">
        <v>67</v>
      </c>
      <c r="D345" s="8" t="s">
        <v>651</v>
      </c>
      <c r="E345" s="8" t="s">
        <v>652</v>
      </c>
      <c r="F345" s="8" t="s">
        <v>62</v>
      </c>
      <c r="G345" s="4" t="s">
        <v>2807</v>
      </c>
      <c r="H345" s="4" t="s">
        <v>2922</v>
      </c>
      <c r="I345" s="8" t="s">
        <v>63</v>
      </c>
      <c r="J345" s="8" t="s">
        <v>31</v>
      </c>
      <c r="K345" s="12">
        <f>_xlfn.XLOOKUP(B345,[1]Sheet1!$B:$B,[1]Sheet1!$N:$N,0)</f>
        <v>0</v>
      </c>
      <c r="L345" s="12">
        <f>_xlfn.XLOOKUP(B345,[1]Sheet1!$B:$B,[1]Sheet1!$O:$O,0)</f>
        <v>0</v>
      </c>
      <c r="M345" s="12">
        <f>_xlfn.XLOOKUP(B345,[1]Sheet1!$B:$B,[1]Sheet1!$P:$P,0)</f>
        <v>0</v>
      </c>
      <c r="N345" s="12">
        <f>_xlfn.XLOOKUP(B345,[1]Sheet1!$B:$B,[1]Sheet1!$Q:$Q,0)</f>
        <v>0</v>
      </c>
      <c r="O345" s="12">
        <f>_xlfn.XLOOKUP(B345,[1]Sheet1!$B:$B,[1]Sheet1!$R:$R,0)</f>
        <v>0</v>
      </c>
      <c r="P345" s="12">
        <f>_xlfn.XLOOKUP(B345,[1]Sheet1!$B:$B,[1]Sheet1!$S:$S,0)</f>
        <v>75000</v>
      </c>
      <c r="Q345" s="12">
        <f>_xlfn.XLOOKUP(B345,[1]Sheet1!$B:$B,[1]Sheet1!$T:$T,0)</f>
        <v>0</v>
      </c>
      <c r="R345" s="12">
        <f>_xlfn.XLOOKUP(B345,[1]Sheet1!$B:$B,[1]Sheet1!$U:$U,0)</f>
        <v>0</v>
      </c>
      <c r="S345" s="12">
        <f>_xlfn.XLOOKUP(B345,[1]Sheet1!$B:$B,[1]Sheet1!$V:$V,0)</f>
        <v>0</v>
      </c>
      <c r="T345" s="12">
        <f>_xlfn.XLOOKUP(B345,[1]Sheet1!$B:$B,[1]Sheet1!$W:$W,0)</f>
        <v>0</v>
      </c>
      <c r="U345" s="12">
        <f>_xlfn.XLOOKUP(B345,[1]Sheet1!$B:$B,[1]Sheet1!$X:$X,0)</f>
        <v>0</v>
      </c>
      <c r="V345" s="12">
        <f>_xlfn.XLOOKUP(B345,[1]Sheet1!$B:$B,[1]Sheet1!$Y:$Y,0)</f>
        <v>75000</v>
      </c>
      <c r="W345" s="12">
        <f t="shared" si="13"/>
        <v>150000</v>
      </c>
      <c r="X345" s="8" t="s">
        <v>64</v>
      </c>
      <c r="Y345" s="8" t="s">
        <v>65</v>
      </c>
      <c r="Z345" s="8" t="s">
        <v>66</v>
      </c>
      <c r="AA345" s="8" t="s">
        <v>68</v>
      </c>
      <c r="AB345" s="8" t="s">
        <v>36</v>
      </c>
      <c r="AC345" s="8" t="s">
        <v>37</v>
      </c>
      <c r="AD345" s="8" t="s">
        <v>69</v>
      </c>
      <c r="AE345" s="8" t="s">
        <v>39</v>
      </c>
      <c r="AF345" s="8" t="s">
        <v>40</v>
      </c>
      <c r="AG345" s="9">
        <v>150000</v>
      </c>
      <c r="AH345" s="11">
        <f>_xlfn.XLOOKUP(B345,[1]Sheet1!$B:$B,[1]Sheet1!$AB:$AB,0)</f>
        <v>150000</v>
      </c>
    </row>
    <row r="346" spans="2:34" ht="16.8" thickTop="1" thickBot="1" x14ac:dyDescent="0.35">
      <c r="B346" s="3" t="str">
        <f t="shared" si="12"/>
        <v>45112504511000510Ad-hoc Repairs-N426427200104</v>
      </c>
      <c r="C346" s="6" t="s">
        <v>67</v>
      </c>
      <c r="D346" s="6" t="s">
        <v>651</v>
      </c>
      <c r="E346" s="6" t="s">
        <v>652</v>
      </c>
      <c r="F346" s="6" t="s">
        <v>70</v>
      </c>
      <c r="G346" s="4" t="s">
        <v>2808</v>
      </c>
      <c r="H346" s="4" t="s">
        <v>2922</v>
      </c>
      <c r="I346" s="6" t="s">
        <v>71</v>
      </c>
      <c r="J346" s="6" t="s">
        <v>31</v>
      </c>
      <c r="K346" s="12">
        <f>_xlfn.XLOOKUP(B346,[1]Sheet1!$B:$B,[1]Sheet1!$N:$N,0)</f>
        <v>0</v>
      </c>
      <c r="L346" s="12">
        <f>_xlfn.XLOOKUP(B346,[1]Sheet1!$B:$B,[1]Sheet1!$O:$O,0)</f>
        <v>0</v>
      </c>
      <c r="M346" s="12">
        <f>_xlfn.XLOOKUP(B346,[1]Sheet1!$B:$B,[1]Sheet1!$P:$P,0)</f>
        <v>0</v>
      </c>
      <c r="N346" s="12">
        <f>_xlfn.XLOOKUP(B346,[1]Sheet1!$B:$B,[1]Sheet1!$Q:$Q,0)</f>
        <v>11459</v>
      </c>
      <c r="O346" s="12">
        <f>_xlfn.XLOOKUP(B346,[1]Sheet1!$B:$B,[1]Sheet1!$R:$R,0)</f>
        <v>0</v>
      </c>
      <c r="P346" s="12">
        <f>_xlfn.XLOOKUP(B346,[1]Sheet1!$B:$B,[1]Sheet1!$S:$S,0)</f>
        <v>0</v>
      </c>
      <c r="Q346" s="12">
        <f>_xlfn.XLOOKUP(B346,[1]Sheet1!$B:$B,[1]Sheet1!$T:$T,0)</f>
        <v>0</v>
      </c>
      <c r="R346" s="12">
        <f>_xlfn.XLOOKUP(B346,[1]Sheet1!$B:$B,[1]Sheet1!$U:$U,0)</f>
        <v>11459</v>
      </c>
      <c r="S346" s="12">
        <f>_xlfn.XLOOKUP(B346,[1]Sheet1!$B:$B,[1]Sheet1!$V:$V,0)</f>
        <v>0</v>
      </c>
      <c r="T346" s="12">
        <f>_xlfn.XLOOKUP(B346,[1]Sheet1!$B:$B,[1]Sheet1!$W:$W,0)</f>
        <v>0</v>
      </c>
      <c r="U346" s="12">
        <f>_xlfn.XLOOKUP(B346,[1]Sheet1!$B:$B,[1]Sheet1!$X:$X,0)</f>
        <v>0</v>
      </c>
      <c r="V346" s="12">
        <f>_xlfn.XLOOKUP(B346,[1]Sheet1!$B:$B,[1]Sheet1!$Y:$Y,0)</f>
        <v>11459</v>
      </c>
      <c r="W346" s="12">
        <f t="shared" si="13"/>
        <v>34377</v>
      </c>
      <c r="X346" s="6" t="s">
        <v>72</v>
      </c>
      <c r="Y346" s="6" t="s">
        <v>65</v>
      </c>
      <c r="Z346" s="6" t="s">
        <v>66</v>
      </c>
      <c r="AA346" s="6" t="s">
        <v>71</v>
      </c>
      <c r="AB346" s="6" t="s">
        <v>36</v>
      </c>
      <c r="AC346" s="6" t="s">
        <v>37</v>
      </c>
      <c r="AD346" s="6" t="s">
        <v>69</v>
      </c>
      <c r="AE346" s="6" t="s">
        <v>39</v>
      </c>
      <c r="AF346" s="6" t="s">
        <v>40</v>
      </c>
      <c r="AG346" s="7">
        <v>34377</v>
      </c>
      <c r="AH346" s="11">
        <f>_xlfn.XLOOKUP(B346,[1]Sheet1!$B:$B,[1]Sheet1!$AB:$AB,0)</f>
        <v>34377</v>
      </c>
    </row>
    <row r="347" spans="2:34" ht="16.8" thickTop="1" thickBot="1" x14ac:dyDescent="0.35">
      <c r="B347" s="3" t="str">
        <f t="shared" si="12"/>
        <v>45112504511000510Cleaning Service-N422311200104</v>
      </c>
      <c r="C347" s="8" t="s">
        <v>67</v>
      </c>
      <c r="D347" s="8" t="s">
        <v>651</v>
      </c>
      <c r="E347" s="8" t="s">
        <v>652</v>
      </c>
      <c r="F347" s="8" t="s">
        <v>79</v>
      </c>
      <c r="G347" s="4" t="s">
        <v>2810</v>
      </c>
      <c r="H347" s="4" t="s">
        <v>2922</v>
      </c>
      <c r="I347" s="8" t="s">
        <v>80</v>
      </c>
      <c r="J347" s="8" t="s">
        <v>31</v>
      </c>
      <c r="K347" s="12">
        <f>_xlfn.XLOOKUP(B347,[1]Sheet1!$B:$B,[1]Sheet1!$N:$N,0)</f>
        <v>0</v>
      </c>
      <c r="L347" s="12">
        <f>_xlfn.XLOOKUP(B347,[1]Sheet1!$B:$B,[1]Sheet1!$O:$O,0)</f>
        <v>0</v>
      </c>
      <c r="M347" s="12">
        <f>_xlfn.XLOOKUP(B347,[1]Sheet1!$B:$B,[1]Sheet1!$P:$P,0)</f>
        <v>0</v>
      </c>
      <c r="N347" s="12">
        <f>_xlfn.XLOOKUP(B347,[1]Sheet1!$B:$B,[1]Sheet1!$Q:$Q,0)</f>
        <v>24368.6666</v>
      </c>
      <c r="O347" s="12">
        <f>_xlfn.XLOOKUP(B347,[1]Sheet1!$B:$B,[1]Sheet1!$R:$R,0)</f>
        <v>6092.1665999999996</v>
      </c>
      <c r="P347" s="12">
        <f>_xlfn.XLOOKUP(B347,[1]Sheet1!$B:$B,[1]Sheet1!$S:$S,0)</f>
        <v>6092.1665999999996</v>
      </c>
      <c r="Q347" s="12">
        <f>_xlfn.XLOOKUP(B347,[1]Sheet1!$B:$B,[1]Sheet1!$T:$T,0)</f>
        <v>6092.1665999999996</v>
      </c>
      <c r="R347" s="12">
        <f>_xlfn.XLOOKUP(B347,[1]Sheet1!$B:$B,[1]Sheet1!$U:$U,0)</f>
        <v>6092.1665999999996</v>
      </c>
      <c r="S347" s="12">
        <f>_xlfn.XLOOKUP(B347,[1]Sheet1!$B:$B,[1]Sheet1!$V:$V,0)</f>
        <v>6092.1665999999996</v>
      </c>
      <c r="T347" s="12">
        <f>_xlfn.XLOOKUP(B347,[1]Sheet1!$B:$B,[1]Sheet1!$W:$W,0)</f>
        <v>6092.1665999999996</v>
      </c>
      <c r="U347" s="12">
        <f>_xlfn.XLOOKUP(B347,[1]Sheet1!$B:$B,[1]Sheet1!$X:$X,0)</f>
        <v>6092.1665999999996</v>
      </c>
      <c r="V347" s="12">
        <f>_xlfn.XLOOKUP(B347,[1]Sheet1!$B:$B,[1]Sheet1!$Y:$Y,0)</f>
        <v>6092.1665999999996</v>
      </c>
      <c r="W347" s="12">
        <f t="shared" si="13"/>
        <v>73105.999399999986</v>
      </c>
      <c r="X347" s="8" t="s">
        <v>81</v>
      </c>
      <c r="Y347" s="8" t="s">
        <v>65</v>
      </c>
      <c r="Z347" s="8" t="s">
        <v>66</v>
      </c>
      <c r="AA347" s="8" t="s">
        <v>80</v>
      </c>
      <c r="AB347" s="8" t="s">
        <v>36</v>
      </c>
      <c r="AC347" s="8" t="s">
        <v>37</v>
      </c>
      <c r="AD347" s="8" t="s">
        <v>69</v>
      </c>
      <c r="AE347" s="8" t="s">
        <v>39</v>
      </c>
      <c r="AF347" s="8" t="s">
        <v>40</v>
      </c>
      <c r="AG347" s="9">
        <v>73106</v>
      </c>
      <c r="AH347" s="11">
        <f>_xlfn.XLOOKUP(B347,[1]Sheet1!$B:$B,[1]Sheet1!$AB:$AB,0)</f>
        <v>73105.999399999986</v>
      </c>
    </row>
    <row r="348" spans="2:34" ht="16.8" thickTop="1" thickBot="1" x14ac:dyDescent="0.35">
      <c r="B348" s="3" t="str">
        <f t="shared" si="12"/>
        <v>45112504511000510Hospitality-N424761200104</v>
      </c>
      <c r="C348" s="6" t="s">
        <v>67</v>
      </c>
      <c r="D348" s="6" t="s">
        <v>651</v>
      </c>
      <c r="E348" s="6" t="s">
        <v>652</v>
      </c>
      <c r="F348" s="6" t="s">
        <v>83</v>
      </c>
      <c r="G348" s="4" t="s">
        <v>2811</v>
      </c>
      <c r="H348" s="4" t="s">
        <v>2922</v>
      </c>
      <c r="I348" s="6" t="s">
        <v>84</v>
      </c>
      <c r="J348" s="6" t="s">
        <v>31</v>
      </c>
      <c r="K348" s="12">
        <f>_xlfn.XLOOKUP(B348,[1]Sheet1!$B:$B,[1]Sheet1!$N:$N,0)</f>
        <v>0</v>
      </c>
      <c r="L348" s="12">
        <f>_xlfn.XLOOKUP(B348,[1]Sheet1!$B:$B,[1]Sheet1!$O:$O,0)</f>
        <v>0</v>
      </c>
      <c r="M348" s="12">
        <f>_xlfn.XLOOKUP(B348,[1]Sheet1!$B:$B,[1]Sheet1!$P:$P,0)</f>
        <v>0</v>
      </c>
      <c r="N348" s="12">
        <f>_xlfn.XLOOKUP(B348,[1]Sheet1!$B:$B,[1]Sheet1!$Q:$Q,0)</f>
        <v>14425</v>
      </c>
      <c r="O348" s="12">
        <f>_xlfn.XLOOKUP(B348,[1]Sheet1!$B:$B,[1]Sheet1!$R:$R,0)</f>
        <v>3604</v>
      </c>
      <c r="P348" s="12">
        <f>_xlfn.XLOOKUP(B348,[1]Sheet1!$B:$B,[1]Sheet1!$S:$S,0)</f>
        <v>3604</v>
      </c>
      <c r="Q348" s="12">
        <f>_xlfn.XLOOKUP(B348,[1]Sheet1!$B:$B,[1]Sheet1!$T:$T,0)</f>
        <v>3604</v>
      </c>
      <c r="R348" s="12">
        <f>_xlfn.XLOOKUP(B348,[1]Sheet1!$B:$B,[1]Sheet1!$U:$U,0)</f>
        <v>3604</v>
      </c>
      <c r="S348" s="12">
        <f>_xlfn.XLOOKUP(B348,[1]Sheet1!$B:$B,[1]Sheet1!$V:$V,0)</f>
        <v>3604</v>
      </c>
      <c r="T348" s="12">
        <f>_xlfn.XLOOKUP(B348,[1]Sheet1!$B:$B,[1]Sheet1!$W:$W,0)</f>
        <v>3604</v>
      </c>
      <c r="U348" s="12">
        <f>_xlfn.XLOOKUP(B348,[1]Sheet1!$B:$B,[1]Sheet1!$X:$X,0)</f>
        <v>3604</v>
      </c>
      <c r="V348" s="12">
        <f>_xlfn.XLOOKUP(B348,[1]Sheet1!$B:$B,[1]Sheet1!$Y:$Y,0)</f>
        <v>3604</v>
      </c>
      <c r="W348" s="12">
        <f t="shared" si="13"/>
        <v>43257</v>
      </c>
      <c r="X348" s="6" t="s">
        <v>85</v>
      </c>
      <c r="Y348" s="6" t="s">
        <v>65</v>
      </c>
      <c r="Z348" s="6" t="s">
        <v>66</v>
      </c>
      <c r="AA348" s="6" t="s">
        <v>84</v>
      </c>
      <c r="AB348" s="6" t="s">
        <v>36</v>
      </c>
      <c r="AC348" s="6" t="s">
        <v>37</v>
      </c>
      <c r="AD348" s="6" t="s">
        <v>69</v>
      </c>
      <c r="AE348" s="6" t="s">
        <v>39</v>
      </c>
      <c r="AF348" s="6" t="s">
        <v>40</v>
      </c>
      <c r="AG348" s="7">
        <v>43257</v>
      </c>
      <c r="AH348" s="11">
        <f>_xlfn.XLOOKUP(B348,[1]Sheet1!$B:$B,[1]Sheet1!$AB:$AB,0)</f>
        <v>43257</v>
      </c>
    </row>
    <row r="349" spans="2:34" ht="16.8" thickTop="1" thickBot="1" x14ac:dyDescent="0.35">
      <c r="B349" s="3" t="str">
        <f t="shared" si="12"/>
        <v>45112504511000510Landscaping-N432614200104</v>
      </c>
      <c r="C349" s="8" t="s">
        <v>67</v>
      </c>
      <c r="D349" s="8" t="s">
        <v>651</v>
      </c>
      <c r="E349" s="8" t="s">
        <v>652</v>
      </c>
      <c r="F349" s="8" t="s">
        <v>86</v>
      </c>
      <c r="G349" s="4" t="s">
        <v>2812</v>
      </c>
      <c r="H349" s="4" t="s">
        <v>2922</v>
      </c>
      <c r="I349" s="8" t="s">
        <v>87</v>
      </c>
      <c r="J349" s="8" t="s">
        <v>31</v>
      </c>
      <c r="K349" s="12">
        <f>_xlfn.XLOOKUP(B349,[1]Sheet1!$B:$B,[1]Sheet1!$N:$N,0)</f>
        <v>0</v>
      </c>
      <c r="L349" s="12">
        <f>_xlfn.XLOOKUP(B349,[1]Sheet1!$B:$B,[1]Sheet1!$O:$O,0)</f>
        <v>0</v>
      </c>
      <c r="M349" s="12">
        <f>_xlfn.XLOOKUP(B349,[1]Sheet1!$B:$B,[1]Sheet1!$P:$P,0)</f>
        <v>0</v>
      </c>
      <c r="N349" s="12">
        <f>_xlfn.XLOOKUP(B349,[1]Sheet1!$B:$B,[1]Sheet1!$Q:$Q,0)</f>
        <v>23416</v>
      </c>
      <c r="O349" s="12">
        <f>_xlfn.XLOOKUP(B349,[1]Sheet1!$B:$B,[1]Sheet1!$R:$R,0)</f>
        <v>5854</v>
      </c>
      <c r="P349" s="12">
        <f>_xlfn.XLOOKUP(B349,[1]Sheet1!$B:$B,[1]Sheet1!$S:$S,0)</f>
        <v>5854</v>
      </c>
      <c r="Q349" s="12">
        <f>_xlfn.XLOOKUP(B349,[1]Sheet1!$B:$B,[1]Sheet1!$T:$T,0)</f>
        <v>5854</v>
      </c>
      <c r="R349" s="12">
        <f>_xlfn.XLOOKUP(B349,[1]Sheet1!$B:$B,[1]Sheet1!$U:$U,0)</f>
        <v>5854</v>
      </c>
      <c r="S349" s="12">
        <f>_xlfn.XLOOKUP(B349,[1]Sheet1!$B:$B,[1]Sheet1!$V:$V,0)</f>
        <v>5854</v>
      </c>
      <c r="T349" s="12">
        <f>_xlfn.XLOOKUP(B349,[1]Sheet1!$B:$B,[1]Sheet1!$W:$W,0)</f>
        <v>5854</v>
      </c>
      <c r="U349" s="12">
        <f>_xlfn.XLOOKUP(B349,[1]Sheet1!$B:$B,[1]Sheet1!$X:$X,0)</f>
        <v>5854</v>
      </c>
      <c r="V349" s="12">
        <f>_xlfn.XLOOKUP(B349,[1]Sheet1!$B:$B,[1]Sheet1!$Y:$Y,0)</f>
        <v>5853</v>
      </c>
      <c r="W349" s="12">
        <f t="shared" si="13"/>
        <v>70247</v>
      </c>
      <c r="X349" s="8" t="s">
        <v>88</v>
      </c>
      <c r="Y349" s="8" t="s">
        <v>65</v>
      </c>
      <c r="Z349" s="8" t="s">
        <v>66</v>
      </c>
      <c r="AA349" s="8" t="s">
        <v>87</v>
      </c>
      <c r="AB349" s="8" t="s">
        <v>36</v>
      </c>
      <c r="AC349" s="8" t="s">
        <v>37</v>
      </c>
      <c r="AD349" s="8" t="s">
        <v>69</v>
      </c>
      <c r="AE349" s="8" t="s">
        <v>39</v>
      </c>
      <c r="AF349" s="8" t="s">
        <v>40</v>
      </c>
      <c r="AG349" s="9">
        <v>70247</v>
      </c>
      <c r="AH349" s="11">
        <f>_xlfn.XLOOKUP(B349,[1]Sheet1!$B:$B,[1]Sheet1!$AB:$AB,0)</f>
        <v>70247</v>
      </c>
    </row>
    <row r="350" spans="2:34" ht="16.8" thickTop="1" thickBot="1" x14ac:dyDescent="0.35">
      <c r="B350" s="3" t="str">
        <f t="shared" si="12"/>
        <v>45112504511000510Maintenance-N426212200104</v>
      </c>
      <c r="C350" s="6" t="s">
        <v>67</v>
      </c>
      <c r="D350" s="6" t="s">
        <v>651</v>
      </c>
      <c r="E350" s="6" t="s">
        <v>652</v>
      </c>
      <c r="F350" s="6" t="s">
        <v>95</v>
      </c>
      <c r="G350" s="4" t="s">
        <v>2814</v>
      </c>
      <c r="H350" s="4" t="s">
        <v>2922</v>
      </c>
      <c r="I350" s="6" t="s">
        <v>96</v>
      </c>
      <c r="J350" s="6" t="s">
        <v>31</v>
      </c>
      <c r="K350" s="12">
        <f>_xlfn.XLOOKUP(B350,[1]Sheet1!$B:$B,[1]Sheet1!$N:$N,0)</f>
        <v>0</v>
      </c>
      <c r="L350" s="12">
        <f>_xlfn.XLOOKUP(B350,[1]Sheet1!$B:$B,[1]Sheet1!$O:$O,0)</f>
        <v>0</v>
      </c>
      <c r="M350" s="12">
        <f>_xlfn.XLOOKUP(B350,[1]Sheet1!$B:$B,[1]Sheet1!$P:$P,0)</f>
        <v>0</v>
      </c>
      <c r="N350" s="12">
        <f>_xlfn.XLOOKUP(B350,[1]Sheet1!$B:$B,[1]Sheet1!$Q:$Q,0)</f>
        <v>31715</v>
      </c>
      <c r="O350" s="12">
        <f>_xlfn.XLOOKUP(B350,[1]Sheet1!$B:$B,[1]Sheet1!$R:$R,0)</f>
        <v>7929</v>
      </c>
      <c r="P350" s="12">
        <f>_xlfn.XLOOKUP(B350,[1]Sheet1!$B:$B,[1]Sheet1!$S:$S,0)</f>
        <v>7929</v>
      </c>
      <c r="Q350" s="12">
        <f>_xlfn.XLOOKUP(B350,[1]Sheet1!$B:$B,[1]Sheet1!$T:$T,0)</f>
        <v>7929</v>
      </c>
      <c r="R350" s="12">
        <f>_xlfn.XLOOKUP(B350,[1]Sheet1!$B:$B,[1]Sheet1!$U:$U,0)</f>
        <v>7929</v>
      </c>
      <c r="S350" s="12">
        <f>_xlfn.XLOOKUP(B350,[1]Sheet1!$B:$B,[1]Sheet1!$V:$V,0)</f>
        <v>7929</v>
      </c>
      <c r="T350" s="12">
        <f>_xlfn.XLOOKUP(B350,[1]Sheet1!$B:$B,[1]Sheet1!$W:$W,0)</f>
        <v>7929</v>
      </c>
      <c r="U350" s="12">
        <f>_xlfn.XLOOKUP(B350,[1]Sheet1!$B:$B,[1]Sheet1!$X:$X,0)</f>
        <v>7929</v>
      </c>
      <c r="V350" s="12">
        <f>_xlfn.XLOOKUP(B350,[1]Sheet1!$B:$B,[1]Sheet1!$Y:$Y,0)</f>
        <v>7924</v>
      </c>
      <c r="W350" s="12">
        <f t="shared" si="13"/>
        <v>95142</v>
      </c>
      <c r="X350" s="6" t="s">
        <v>97</v>
      </c>
      <c r="Y350" s="6" t="s">
        <v>65</v>
      </c>
      <c r="Z350" s="6" t="s">
        <v>66</v>
      </c>
      <c r="AA350" s="6" t="s">
        <v>96</v>
      </c>
      <c r="AB350" s="6" t="s">
        <v>36</v>
      </c>
      <c r="AC350" s="6" t="s">
        <v>37</v>
      </c>
      <c r="AD350" s="6" t="s">
        <v>69</v>
      </c>
      <c r="AE350" s="6" t="s">
        <v>39</v>
      </c>
      <c r="AF350" s="6" t="s">
        <v>40</v>
      </c>
      <c r="AG350" s="7">
        <v>95142</v>
      </c>
      <c r="AH350" s="11">
        <f>_xlfn.XLOOKUP(B350,[1]Sheet1!$B:$B,[1]Sheet1!$AB:$AB,0)</f>
        <v>95142</v>
      </c>
    </row>
    <row r="351" spans="2:34" ht="16.8" thickTop="1" thickBot="1" x14ac:dyDescent="0.35">
      <c r="B351" s="3" t="str">
        <f t="shared" si="12"/>
        <v>45112504511000510Manpower-N424521200104</v>
      </c>
      <c r="C351" s="8" t="s">
        <v>67</v>
      </c>
      <c r="D351" s="8" t="s">
        <v>651</v>
      </c>
      <c r="E351" s="8" t="s">
        <v>652</v>
      </c>
      <c r="F351" s="8" t="s">
        <v>98</v>
      </c>
      <c r="G351" s="4" t="s">
        <v>2804</v>
      </c>
      <c r="H351" s="4" t="s">
        <v>2922</v>
      </c>
      <c r="I351" s="8" t="s">
        <v>51</v>
      </c>
      <c r="J351" s="8" t="s">
        <v>31</v>
      </c>
      <c r="K351" s="12">
        <f>_xlfn.XLOOKUP(B351,[1]Sheet1!$B:$B,[1]Sheet1!$N:$N,0)</f>
        <v>0</v>
      </c>
      <c r="L351" s="12">
        <f>_xlfn.XLOOKUP(B351,[1]Sheet1!$B:$B,[1]Sheet1!$O:$O,0)</f>
        <v>0</v>
      </c>
      <c r="M351" s="12">
        <f>_xlfn.XLOOKUP(B351,[1]Sheet1!$B:$B,[1]Sheet1!$P:$P,0)</f>
        <v>0</v>
      </c>
      <c r="N351" s="12">
        <f>_xlfn.XLOOKUP(B351,[1]Sheet1!$B:$B,[1]Sheet1!$Q:$Q,0)</f>
        <v>200413</v>
      </c>
      <c r="O351" s="12">
        <f>_xlfn.XLOOKUP(B351,[1]Sheet1!$B:$B,[1]Sheet1!$R:$R,0)</f>
        <v>50103</v>
      </c>
      <c r="P351" s="12">
        <f>_xlfn.XLOOKUP(B351,[1]Sheet1!$B:$B,[1]Sheet1!$S:$S,0)</f>
        <v>50103</v>
      </c>
      <c r="Q351" s="12">
        <f>_xlfn.XLOOKUP(B351,[1]Sheet1!$B:$B,[1]Sheet1!$T:$T,0)</f>
        <v>50103</v>
      </c>
      <c r="R351" s="12">
        <f>_xlfn.XLOOKUP(B351,[1]Sheet1!$B:$B,[1]Sheet1!$U:$U,0)</f>
        <v>50103</v>
      </c>
      <c r="S351" s="12">
        <f>_xlfn.XLOOKUP(B351,[1]Sheet1!$B:$B,[1]Sheet1!$V:$V,0)</f>
        <v>50103</v>
      </c>
      <c r="T351" s="12">
        <f>_xlfn.XLOOKUP(B351,[1]Sheet1!$B:$B,[1]Sheet1!$W:$W,0)</f>
        <v>50103</v>
      </c>
      <c r="U351" s="12">
        <f>_xlfn.XLOOKUP(B351,[1]Sheet1!$B:$B,[1]Sheet1!$X:$X,0)</f>
        <v>50103</v>
      </c>
      <c r="V351" s="12">
        <f>_xlfn.XLOOKUP(B351,[1]Sheet1!$B:$B,[1]Sheet1!$Y:$Y,0)</f>
        <v>50107</v>
      </c>
      <c r="W351" s="12">
        <f t="shared" si="13"/>
        <v>601241</v>
      </c>
      <c r="X351" s="8" t="s">
        <v>82</v>
      </c>
      <c r="Y351" s="8" t="s">
        <v>65</v>
      </c>
      <c r="Z351" s="8" t="s">
        <v>66</v>
      </c>
      <c r="AA351" s="8" t="s">
        <v>53</v>
      </c>
      <c r="AB351" s="8" t="s">
        <v>36</v>
      </c>
      <c r="AC351" s="8" t="s">
        <v>37</v>
      </c>
      <c r="AD351" s="8" t="s">
        <v>69</v>
      </c>
      <c r="AE351" s="8" t="s">
        <v>39</v>
      </c>
      <c r="AF351" s="8" t="s">
        <v>40</v>
      </c>
      <c r="AG351" s="9">
        <v>601241</v>
      </c>
      <c r="AH351" s="11">
        <f>_xlfn.XLOOKUP(B351,[1]Sheet1!$B:$B,[1]Sheet1!$AB:$AB,0)</f>
        <v>601241</v>
      </c>
    </row>
    <row r="352" spans="2:34" ht="16.8" thickTop="1" thickBot="1" x14ac:dyDescent="0.35">
      <c r="B352" s="3" t="str">
        <f t="shared" si="12"/>
        <v>45112504511000510Security Service-N424551200104</v>
      </c>
      <c r="C352" s="6" t="s">
        <v>67</v>
      </c>
      <c r="D352" s="6" t="s">
        <v>651</v>
      </c>
      <c r="E352" s="6" t="s">
        <v>652</v>
      </c>
      <c r="F352" s="6" t="s">
        <v>107</v>
      </c>
      <c r="G352" s="4" t="s">
        <v>2817</v>
      </c>
      <c r="H352" s="4" t="s">
        <v>2922</v>
      </c>
      <c r="I352" s="6" t="s">
        <v>108</v>
      </c>
      <c r="J352" s="6" t="s">
        <v>31</v>
      </c>
      <c r="K352" s="12">
        <f>_xlfn.XLOOKUP(B352,[1]Sheet1!$B:$B,[1]Sheet1!$N:$N,0)</f>
        <v>0</v>
      </c>
      <c r="L352" s="12">
        <f>_xlfn.XLOOKUP(B352,[1]Sheet1!$B:$B,[1]Sheet1!$O:$O,0)</f>
        <v>0</v>
      </c>
      <c r="M352" s="12">
        <f>_xlfn.XLOOKUP(B352,[1]Sheet1!$B:$B,[1]Sheet1!$P:$P,0)</f>
        <v>0</v>
      </c>
      <c r="N352" s="12">
        <f>_xlfn.XLOOKUP(B352,[1]Sheet1!$B:$B,[1]Sheet1!$Q:$Q,0)</f>
        <v>40485</v>
      </c>
      <c r="O352" s="12">
        <f>_xlfn.XLOOKUP(B352,[1]Sheet1!$B:$B,[1]Sheet1!$R:$R,0)</f>
        <v>10121</v>
      </c>
      <c r="P352" s="12">
        <f>_xlfn.XLOOKUP(B352,[1]Sheet1!$B:$B,[1]Sheet1!$S:$S,0)</f>
        <v>10121</v>
      </c>
      <c r="Q352" s="12">
        <f>_xlfn.XLOOKUP(B352,[1]Sheet1!$B:$B,[1]Sheet1!$T:$T,0)</f>
        <v>10121</v>
      </c>
      <c r="R352" s="12">
        <f>_xlfn.XLOOKUP(B352,[1]Sheet1!$B:$B,[1]Sheet1!$U:$U,0)</f>
        <v>10121</v>
      </c>
      <c r="S352" s="12">
        <f>_xlfn.XLOOKUP(B352,[1]Sheet1!$B:$B,[1]Sheet1!$V:$V,0)</f>
        <v>10121</v>
      </c>
      <c r="T352" s="12">
        <f>_xlfn.XLOOKUP(B352,[1]Sheet1!$B:$B,[1]Sheet1!$W:$W,0)</f>
        <v>10121</v>
      </c>
      <c r="U352" s="12">
        <f>_xlfn.XLOOKUP(B352,[1]Sheet1!$B:$B,[1]Sheet1!$X:$X,0)</f>
        <v>10121</v>
      </c>
      <c r="V352" s="12">
        <f>_xlfn.XLOOKUP(B352,[1]Sheet1!$B:$B,[1]Sheet1!$Y:$Y,0)</f>
        <v>10124</v>
      </c>
      <c r="W352" s="12">
        <f t="shared" si="13"/>
        <v>121456</v>
      </c>
      <c r="X352" s="6" t="s">
        <v>109</v>
      </c>
      <c r="Y352" s="6" t="s">
        <v>65</v>
      </c>
      <c r="Z352" s="6" t="s">
        <v>66</v>
      </c>
      <c r="AA352" s="6" t="s">
        <v>108</v>
      </c>
      <c r="AB352" s="6" t="s">
        <v>36</v>
      </c>
      <c r="AC352" s="6" t="s">
        <v>37</v>
      </c>
      <c r="AD352" s="6" t="s">
        <v>69</v>
      </c>
      <c r="AE352" s="6" t="s">
        <v>39</v>
      </c>
      <c r="AF352" s="6" t="s">
        <v>40</v>
      </c>
      <c r="AG352" s="7">
        <v>121456</v>
      </c>
      <c r="AH352" s="11">
        <f>_xlfn.XLOOKUP(B352,[1]Sheet1!$B:$B,[1]Sheet1!$AB:$AB,0)</f>
        <v>121456</v>
      </c>
    </row>
    <row r="353" spans="2:34" ht="16.8" thickTop="1" thickBot="1" x14ac:dyDescent="0.35">
      <c r="B353" s="3" t="str">
        <f t="shared" si="12"/>
        <v>45112504511000510Utilities-N423931200104</v>
      </c>
      <c r="C353" s="8" t="s">
        <v>67</v>
      </c>
      <c r="D353" s="8" t="s">
        <v>651</v>
      </c>
      <c r="E353" s="8" t="s">
        <v>652</v>
      </c>
      <c r="F353" s="8" t="s">
        <v>110</v>
      </c>
      <c r="G353" s="4" t="s">
        <v>2818</v>
      </c>
      <c r="H353" s="4" t="s">
        <v>2922</v>
      </c>
      <c r="I353" s="8" t="s">
        <v>111</v>
      </c>
      <c r="J353" s="8" t="s">
        <v>31</v>
      </c>
      <c r="K353" s="12">
        <f>_xlfn.XLOOKUP(B353,[1]Sheet1!$B:$B,[1]Sheet1!$N:$N,0)</f>
        <v>0</v>
      </c>
      <c r="L353" s="12">
        <f>_xlfn.XLOOKUP(B353,[1]Sheet1!$B:$B,[1]Sheet1!$O:$O,0)</f>
        <v>0</v>
      </c>
      <c r="M353" s="12">
        <f>_xlfn.XLOOKUP(B353,[1]Sheet1!$B:$B,[1]Sheet1!$P:$P,0)</f>
        <v>0</v>
      </c>
      <c r="N353" s="12">
        <f>_xlfn.XLOOKUP(B353,[1]Sheet1!$B:$B,[1]Sheet1!$Q:$Q,0)</f>
        <v>17500</v>
      </c>
      <c r="O353" s="12">
        <f>_xlfn.XLOOKUP(B353,[1]Sheet1!$B:$B,[1]Sheet1!$R:$R,0)</f>
        <v>8750</v>
      </c>
      <c r="P353" s="12">
        <f>_xlfn.XLOOKUP(B353,[1]Sheet1!$B:$B,[1]Sheet1!$S:$S,0)</f>
        <v>8750</v>
      </c>
      <c r="Q353" s="12">
        <f>_xlfn.XLOOKUP(B353,[1]Sheet1!$B:$B,[1]Sheet1!$T:$T,0)</f>
        <v>8750</v>
      </c>
      <c r="R353" s="12">
        <f>_xlfn.XLOOKUP(B353,[1]Sheet1!$B:$B,[1]Sheet1!$U:$U,0)</f>
        <v>8750</v>
      </c>
      <c r="S353" s="12">
        <f>_xlfn.XLOOKUP(B353,[1]Sheet1!$B:$B,[1]Sheet1!$V:$V,0)</f>
        <v>8750</v>
      </c>
      <c r="T353" s="12">
        <f>_xlfn.XLOOKUP(B353,[1]Sheet1!$B:$B,[1]Sheet1!$W:$W,0)</f>
        <v>8750</v>
      </c>
      <c r="U353" s="12">
        <f>_xlfn.XLOOKUP(B353,[1]Sheet1!$B:$B,[1]Sheet1!$X:$X,0)</f>
        <v>8750</v>
      </c>
      <c r="V353" s="12">
        <f>_xlfn.XLOOKUP(B353,[1]Sheet1!$B:$B,[1]Sheet1!$Y:$Y,0)</f>
        <v>26250</v>
      </c>
      <c r="W353" s="12">
        <f t="shared" si="13"/>
        <v>105000</v>
      </c>
      <c r="X353" s="8" t="s">
        <v>112</v>
      </c>
      <c r="Y353" s="8" t="s">
        <v>65</v>
      </c>
      <c r="Z353" s="8" t="s">
        <v>66</v>
      </c>
      <c r="AA353" s="8" t="s">
        <v>111</v>
      </c>
      <c r="AB353" s="8" t="s">
        <v>36</v>
      </c>
      <c r="AC353" s="8" t="s">
        <v>37</v>
      </c>
      <c r="AD353" s="8" t="s">
        <v>69</v>
      </c>
      <c r="AE353" s="8" t="s">
        <v>39</v>
      </c>
      <c r="AF353" s="8" t="s">
        <v>40</v>
      </c>
      <c r="AG353" s="9">
        <v>105000</v>
      </c>
      <c r="AH353" s="11">
        <f>_xlfn.XLOOKUP(B353,[1]Sheet1!$B:$B,[1]Sheet1!$AB:$AB,0)</f>
        <v>105000</v>
      </c>
    </row>
    <row r="354" spans="2:34" ht="16.8" thickTop="1" thickBot="1" x14ac:dyDescent="0.35">
      <c r="B354" s="3" t="str">
        <f t="shared" si="12"/>
        <v>45102304511000511Cleaning Service-N1422311200104</v>
      </c>
      <c r="C354" s="6" t="s">
        <v>467</v>
      </c>
      <c r="D354" s="6" t="s">
        <v>653</v>
      </c>
      <c r="E354" s="6" t="s">
        <v>654</v>
      </c>
      <c r="F354" s="6" t="s">
        <v>623</v>
      </c>
      <c r="G354" s="4" t="s">
        <v>2810</v>
      </c>
      <c r="H354" s="4" t="s">
        <v>2922</v>
      </c>
      <c r="I354" s="6" t="s">
        <v>80</v>
      </c>
      <c r="J354" s="6" t="s">
        <v>31</v>
      </c>
      <c r="K354" s="12">
        <f>_xlfn.XLOOKUP(B354,[1]Sheet1!$B:$B,[1]Sheet1!$N:$N,0)</f>
        <v>0</v>
      </c>
      <c r="L354" s="12">
        <f>_xlfn.XLOOKUP(B354,[1]Sheet1!$B:$B,[1]Sheet1!$O:$O,0)</f>
        <v>0</v>
      </c>
      <c r="M354" s="12">
        <f>_xlfn.XLOOKUP(B354,[1]Sheet1!$B:$B,[1]Sheet1!$P:$P,0)</f>
        <v>0</v>
      </c>
      <c r="N354" s="12">
        <f>_xlfn.XLOOKUP(B354,[1]Sheet1!$B:$B,[1]Sheet1!$Q:$Q,0)</f>
        <v>31657</v>
      </c>
      <c r="O354" s="12">
        <f>_xlfn.XLOOKUP(B354,[1]Sheet1!$B:$B,[1]Sheet1!$R:$R,0)</f>
        <v>7917</v>
      </c>
      <c r="P354" s="12">
        <f>_xlfn.XLOOKUP(B354,[1]Sheet1!$B:$B,[1]Sheet1!$S:$S,0)</f>
        <v>7917</v>
      </c>
      <c r="Q354" s="12">
        <f>_xlfn.XLOOKUP(B354,[1]Sheet1!$B:$B,[1]Sheet1!$T:$T,0)</f>
        <v>7917</v>
      </c>
      <c r="R354" s="12">
        <f>_xlfn.XLOOKUP(B354,[1]Sheet1!$B:$B,[1]Sheet1!$U:$U,0)</f>
        <v>7917</v>
      </c>
      <c r="S354" s="12">
        <f>_xlfn.XLOOKUP(B354,[1]Sheet1!$B:$B,[1]Sheet1!$V:$V,0)</f>
        <v>7917</v>
      </c>
      <c r="T354" s="12">
        <f>_xlfn.XLOOKUP(B354,[1]Sheet1!$B:$B,[1]Sheet1!$W:$W,0)</f>
        <v>7917</v>
      </c>
      <c r="U354" s="12">
        <f>_xlfn.XLOOKUP(B354,[1]Sheet1!$B:$B,[1]Sheet1!$X:$X,0)</f>
        <v>7917</v>
      </c>
      <c r="V354" s="12">
        <f>_xlfn.XLOOKUP(B354,[1]Sheet1!$B:$B,[1]Sheet1!$Y:$Y,0)</f>
        <v>7924</v>
      </c>
      <c r="W354" s="12">
        <f t="shared" si="13"/>
        <v>95000</v>
      </c>
      <c r="X354" s="6" t="s">
        <v>624</v>
      </c>
      <c r="Y354" s="6" t="s">
        <v>132</v>
      </c>
      <c r="Z354" s="6" t="s">
        <v>466</v>
      </c>
      <c r="AA354" s="6" t="s">
        <v>80</v>
      </c>
      <c r="AB354" s="6" t="s">
        <v>36</v>
      </c>
      <c r="AC354" s="6" t="s">
        <v>37</v>
      </c>
      <c r="AD354" s="6" t="s">
        <v>468</v>
      </c>
      <c r="AE354" s="6" t="s">
        <v>39</v>
      </c>
      <c r="AF354" s="6" t="s">
        <v>40</v>
      </c>
      <c r="AG354" s="7">
        <v>95000</v>
      </c>
      <c r="AH354" s="11">
        <f>_xlfn.XLOOKUP(B354,[1]Sheet1!$B:$B,[1]Sheet1!$AB:$AB,0)</f>
        <v>95000</v>
      </c>
    </row>
    <row r="355" spans="2:34" ht="16.8" thickTop="1" thickBot="1" x14ac:dyDescent="0.35">
      <c r="B355" s="3" t="str">
        <f t="shared" si="12"/>
        <v>45102304511000511FM Mgmnt (E-E)-N1426212200104</v>
      </c>
      <c r="C355" s="8" t="s">
        <v>467</v>
      </c>
      <c r="D355" s="8" t="s">
        <v>653</v>
      </c>
      <c r="E355" s="8" t="s">
        <v>654</v>
      </c>
      <c r="F355" s="8" t="s">
        <v>655</v>
      </c>
      <c r="G355" s="4" t="s">
        <v>2814</v>
      </c>
      <c r="H355" s="4" t="s">
        <v>2922</v>
      </c>
      <c r="I355" s="8" t="s">
        <v>96</v>
      </c>
      <c r="J355" s="8" t="s">
        <v>31</v>
      </c>
      <c r="K355" s="12">
        <f>_xlfn.XLOOKUP(B355,[1]Sheet1!$B:$B,[1]Sheet1!$N:$N,0)</f>
        <v>0</v>
      </c>
      <c r="L355" s="12">
        <f>_xlfn.XLOOKUP(B355,[1]Sheet1!$B:$B,[1]Sheet1!$O:$O,0)</f>
        <v>0</v>
      </c>
      <c r="M355" s="12">
        <f>_xlfn.XLOOKUP(B355,[1]Sheet1!$B:$B,[1]Sheet1!$P:$P,0)</f>
        <v>0</v>
      </c>
      <c r="N355" s="12">
        <f>_xlfn.XLOOKUP(B355,[1]Sheet1!$B:$B,[1]Sheet1!$Q:$Q,0)</f>
        <v>640000</v>
      </c>
      <c r="O355" s="12">
        <f>_xlfn.XLOOKUP(B355,[1]Sheet1!$B:$B,[1]Sheet1!$R:$R,0)</f>
        <v>160000</v>
      </c>
      <c r="P355" s="12">
        <f>_xlfn.XLOOKUP(B355,[1]Sheet1!$B:$B,[1]Sheet1!$S:$S,0)</f>
        <v>160000</v>
      </c>
      <c r="Q355" s="12">
        <f>_xlfn.XLOOKUP(B355,[1]Sheet1!$B:$B,[1]Sheet1!$T:$T,0)</f>
        <v>160000</v>
      </c>
      <c r="R355" s="12">
        <f>_xlfn.XLOOKUP(B355,[1]Sheet1!$B:$B,[1]Sheet1!$U:$U,0)</f>
        <v>160000</v>
      </c>
      <c r="S355" s="12">
        <f>_xlfn.XLOOKUP(B355,[1]Sheet1!$B:$B,[1]Sheet1!$V:$V,0)</f>
        <v>160000</v>
      </c>
      <c r="T355" s="12">
        <f>_xlfn.XLOOKUP(B355,[1]Sheet1!$B:$B,[1]Sheet1!$W:$W,0)</f>
        <v>160000</v>
      </c>
      <c r="U355" s="12">
        <f>_xlfn.XLOOKUP(B355,[1]Sheet1!$B:$B,[1]Sheet1!$X:$X,0)</f>
        <v>160000</v>
      </c>
      <c r="V355" s="12">
        <f>_xlfn.XLOOKUP(B355,[1]Sheet1!$B:$B,[1]Sheet1!$Y:$Y,0)</f>
        <v>0</v>
      </c>
      <c r="W355" s="12">
        <f t="shared" si="13"/>
        <v>1760000</v>
      </c>
      <c r="X355" s="8" t="s">
        <v>626</v>
      </c>
      <c r="Y355" s="8" t="s">
        <v>132</v>
      </c>
      <c r="Z355" s="8" t="s">
        <v>466</v>
      </c>
      <c r="AA355" s="8" t="s">
        <v>96</v>
      </c>
      <c r="AB355" s="8" t="s">
        <v>36</v>
      </c>
      <c r="AC355" s="8" t="s">
        <v>37</v>
      </c>
      <c r="AD355" s="8" t="s">
        <v>468</v>
      </c>
      <c r="AE355" s="8" t="s">
        <v>39</v>
      </c>
      <c r="AF355" s="8" t="s">
        <v>40</v>
      </c>
      <c r="AG355" s="9">
        <v>1760000</v>
      </c>
      <c r="AH355" s="11">
        <f>_xlfn.XLOOKUP(B355,[1]Sheet1!$B:$B,[1]Sheet1!$AB:$AB,0)</f>
        <v>1760000</v>
      </c>
    </row>
    <row r="356" spans="2:34" ht="16.8" thickTop="1" thickBot="1" x14ac:dyDescent="0.35">
      <c r="B356" s="3" t="str">
        <f t="shared" si="12"/>
        <v>45102304511000511Facilities Rent-N1425112200104</v>
      </c>
      <c r="C356" s="6" t="s">
        <v>467</v>
      </c>
      <c r="D356" s="6" t="s">
        <v>653</v>
      </c>
      <c r="E356" s="6" t="s">
        <v>654</v>
      </c>
      <c r="F356" s="6" t="s">
        <v>631</v>
      </c>
      <c r="G356" s="4" t="s">
        <v>2848</v>
      </c>
      <c r="H356" s="4" t="s">
        <v>2922</v>
      </c>
      <c r="I356" s="6" t="s">
        <v>533</v>
      </c>
      <c r="J356" s="6" t="s">
        <v>31</v>
      </c>
      <c r="K356" s="12">
        <f>_xlfn.XLOOKUP(B356,[1]Sheet1!$B:$B,[1]Sheet1!$N:$N,0)</f>
        <v>0</v>
      </c>
      <c r="L356" s="12">
        <f>_xlfn.XLOOKUP(B356,[1]Sheet1!$B:$B,[1]Sheet1!$O:$O,0)</f>
        <v>0</v>
      </c>
      <c r="M356" s="12">
        <f>_xlfn.XLOOKUP(B356,[1]Sheet1!$B:$B,[1]Sheet1!$P:$P,0)</f>
        <v>0</v>
      </c>
      <c r="N356" s="12">
        <f>_xlfn.XLOOKUP(B356,[1]Sheet1!$B:$B,[1]Sheet1!$Q:$Q,0)</f>
        <v>0</v>
      </c>
      <c r="O356" s="12">
        <f>_xlfn.XLOOKUP(B356,[1]Sheet1!$B:$B,[1]Sheet1!$R:$R,0)</f>
        <v>0</v>
      </c>
      <c r="P356" s="12">
        <f>_xlfn.XLOOKUP(B356,[1]Sheet1!$B:$B,[1]Sheet1!$S:$S,0)</f>
        <v>0</v>
      </c>
      <c r="Q356" s="12">
        <f>_xlfn.XLOOKUP(B356,[1]Sheet1!$B:$B,[1]Sheet1!$T:$T,0)</f>
        <v>2021090</v>
      </c>
      <c r="R356" s="12">
        <f>_xlfn.XLOOKUP(B356,[1]Sheet1!$B:$B,[1]Sheet1!$U:$U,0)</f>
        <v>0</v>
      </c>
      <c r="S356" s="12">
        <f>_xlfn.XLOOKUP(B356,[1]Sheet1!$B:$B,[1]Sheet1!$V:$V,0)</f>
        <v>0</v>
      </c>
      <c r="T356" s="12">
        <f>_xlfn.XLOOKUP(B356,[1]Sheet1!$B:$B,[1]Sheet1!$W:$W,0)</f>
        <v>0</v>
      </c>
      <c r="U356" s="12">
        <f>_xlfn.XLOOKUP(B356,[1]Sheet1!$B:$B,[1]Sheet1!$X:$X,0)</f>
        <v>0</v>
      </c>
      <c r="V356" s="12">
        <f>_xlfn.XLOOKUP(B356,[1]Sheet1!$B:$B,[1]Sheet1!$Y:$Y,0)</f>
        <v>0</v>
      </c>
      <c r="W356" s="12">
        <f t="shared" si="13"/>
        <v>2021090</v>
      </c>
      <c r="X356" s="6" t="s">
        <v>632</v>
      </c>
      <c r="Y356" s="6" t="s">
        <v>132</v>
      </c>
      <c r="Z356" s="6" t="s">
        <v>466</v>
      </c>
      <c r="AA356" s="6" t="s">
        <v>533</v>
      </c>
      <c r="AB356" s="6" t="s">
        <v>36</v>
      </c>
      <c r="AC356" s="6" t="s">
        <v>37</v>
      </c>
      <c r="AD356" s="6" t="s">
        <v>468</v>
      </c>
      <c r="AE356" s="6" t="s">
        <v>39</v>
      </c>
      <c r="AF356" s="6" t="s">
        <v>40</v>
      </c>
      <c r="AG356" s="7">
        <v>2021090</v>
      </c>
      <c r="AH356" s="11">
        <f>_xlfn.XLOOKUP(B356,[1]Sheet1!$B:$B,[1]Sheet1!$AB:$AB,0)</f>
        <v>2021090</v>
      </c>
    </row>
    <row r="357" spans="2:34" ht="16.8" thickTop="1" thickBot="1" x14ac:dyDescent="0.35">
      <c r="B357" s="3" t="str">
        <f t="shared" si="12"/>
        <v>45102304511000511Hospitality-N1424761200104</v>
      </c>
      <c r="C357" s="8" t="s">
        <v>467</v>
      </c>
      <c r="D357" s="8" t="s">
        <v>653</v>
      </c>
      <c r="E357" s="8" t="s">
        <v>654</v>
      </c>
      <c r="F357" s="8" t="s">
        <v>399</v>
      </c>
      <c r="G357" s="4" t="s">
        <v>2811</v>
      </c>
      <c r="H357" s="4" t="s">
        <v>2922</v>
      </c>
      <c r="I357" s="8" t="s">
        <v>84</v>
      </c>
      <c r="J357" s="8" t="s">
        <v>31</v>
      </c>
      <c r="K357" s="12">
        <f>_xlfn.XLOOKUP(B357,[1]Sheet1!$B:$B,[1]Sheet1!$N:$N,0)</f>
        <v>0</v>
      </c>
      <c r="L357" s="12">
        <f>_xlfn.XLOOKUP(B357,[1]Sheet1!$B:$B,[1]Sheet1!$O:$O,0)</f>
        <v>0</v>
      </c>
      <c r="M357" s="12">
        <f>_xlfn.XLOOKUP(B357,[1]Sheet1!$B:$B,[1]Sheet1!$P:$P,0)</f>
        <v>0</v>
      </c>
      <c r="N357" s="12">
        <f>_xlfn.XLOOKUP(B357,[1]Sheet1!$B:$B,[1]Sheet1!$Q:$Q,0)</f>
        <v>43200</v>
      </c>
      <c r="O357" s="12">
        <f>_xlfn.XLOOKUP(B357,[1]Sheet1!$B:$B,[1]Sheet1!$R:$R,0)</f>
        <v>10800</v>
      </c>
      <c r="P357" s="12">
        <f>_xlfn.XLOOKUP(B357,[1]Sheet1!$B:$B,[1]Sheet1!$S:$S,0)</f>
        <v>10800</v>
      </c>
      <c r="Q357" s="12">
        <f>_xlfn.XLOOKUP(B357,[1]Sheet1!$B:$B,[1]Sheet1!$T:$T,0)</f>
        <v>10800</v>
      </c>
      <c r="R357" s="12">
        <f>_xlfn.XLOOKUP(B357,[1]Sheet1!$B:$B,[1]Sheet1!$U:$U,0)</f>
        <v>10800</v>
      </c>
      <c r="S357" s="12">
        <f>_xlfn.XLOOKUP(B357,[1]Sheet1!$B:$B,[1]Sheet1!$V:$V,0)</f>
        <v>10800</v>
      </c>
      <c r="T357" s="12">
        <f>_xlfn.XLOOKUP(B357,[1]Sheet1!$B:$B,[1]Sheet1!$W:$W,0)</f>
        <v>10800</v>
      </c>
      <c r="U357" s="12">
        <f>_xlfn.XLOOKUP(B357,[1]Sheet1!$B:$B,[1]Sheet1!$X:$X,0)</f>
        <v>10800</v>
      </c>
      <c r="V357" s="12">
        <f>_xlfn.XLOOKUP(B357,[1]Sheet1!$B:$B,[1]Sheet1!$Y:$Y,0)</f>
        <v>10800</v>
      </c>
      <c r="W357" s="12">
        <f t="shared" si="13"/>
        <v>129600</v>
      </c>
      <c r="X357" s="8" t="s">
        <v>469</v>
      </c>
      <c r="Y357" s="8" t="s">
        <v>132</v>
      </c>
      <c r="Z357" s="8" t="s">
        <v>466</v>
      </c>
      <c r="AA357" s="8" t="s">
        <v>84</v>
      </c>
      <c r="AB357" s="8" t="s">
        <v>36</v>
      </c>
      <c r="AC357" s="8" t="s">
        <v>37</v>
      </c>
      <c r="AD357" s="8" t="s">
        <v>468</v>
      </c>
      <c r="AE357" s="8" t="s">
        <v>39</v>
      </c>
      <c r="AF357" s="8" t="s">
        <v>40</v>
      </c>
      <c r="AG357" s="9">
        <v>129600</v>
      </c>
      <c r="AH357" s="11">
        <f>_xlfn.XLOOKUP(B357,[1]Sheet1!$B:$B,[1]Sheet1!$AB:$AB,0)</f>
        <v>129600</v>
      </c>
    </row>
    <row r="358" spans="2:34" ht="16.8" thickTop="1" thickBot="1" x14ac:dyDescent="0.35">
      <c r="B358" s="3" t="str">
        <f t="shared" si="12"/>
        <v>45102304511000511Security Service-N1424551200104</v>
      </c>
      <c r="C358" s="6" t="s">
        <v>467</v>
      </c>
      <c r="D358" s="6" t="s">
        <v>653</v>
      </c>
      <c r="E358" s="6" t="s">
        <v>654</v>
      </c>
      <c r="F358" s="6" t="s">
        <v>627</v>
      </c>
      <c r="G358" s="4" t="s">
        <v>2817</v>
      </c>
      <c r="H358" s="4" t="s">
        <v>2922</v>
      </c>
      <c r="I358" s="6" t="s">
        <v>108</v>
      </c>
      <c r="J358" s="6" t="s">
        <v>31</v>
      </c>
      <c r="K358" s="12">
        <f>_xlfn.XLOOKUP(B358,[1]Sheet1!$B:$B,[1]Sheet1!$N:$N,0)</f>
        <v>0</v>
      </c>
      <c r="L358" s="12">
        <f>_xlfn.XLOOKUP(B358,[1]Sheet1!$B:$B,[1]Sheet1!$O:$O,0)</f>
        <v>0</v>
      </c>
      <c r="M358" s="12">
        <f>_xlfn.XLOOKUP(B358,[1]Sheet1!$B:$B,[1]Sheet1!$P:$P,0)</f>
        <v>0</v>
      </c>
      <c r="N358" s="12">
        <f>_xlfn.XLOOKUP(B358,[1]Sheet1!$B:$B,[1]Sheet1!$Q:$Q,0)</f>
        <v>33200</v>
      </c>
      <c r="O358" s="12">
        <f>_xlfn.XLOOKUP(B358,[1]Sheet1!$B:$B,[1]Sheet1!$R:$R,0)</f>
        <v>8300</v>
      </c>
      <c r="P358" s="12">
        <f>_xlfn.XLOOKUP(B358,[1]Sheet1!$B:$B,[1]Sheet1!$S:$S,0)</f>
        <v>8300</v>
      </c>
      <c r="Q358" s="12">
        <f>_xlfn.XLOOKUP(B358,[1]Sheet1!$B:$B,[1]Sheet1!$T:$T,0)</f>
        <v>8300</v>
      </c>
      <c r="R358" s="12">
        <f>_xlfn.XLOOKUP(B358,[1]Sheet1!$B:$B,[1]Sheet1!$U:$U,0)</f>
        <v>8300</v>
      </c>
      <c r="S358" s="12">
        <f>_xlfn.XLOOKUP(B358,[1]Sheet1!$B:$B,[1]Sheet1!$V:$V,0)</f>
        <v>8300</v>
      </c>
      <c r="T358" s="12">
        <f>_xlfn.XLOOKUP(B358,[1]Sheet1!$B:$B,[1]Sheet1!$W:$W,0)</f>
        <v>8300</v>
      </c>
      <c r="U358" s="12">
        <f>_xlfn.XLOOKUP(B358,[1]Sheet1!$B:$B,[1]Sheet1!$X:$X,0)</f>
        <v>8300</v>
      </c>
      <c r="V358" s="12">
        <f>_xlfn.XLOOKUP(B358,[1]Sheet1!$B:$B,[1]Sheet1!$Y:$Y,0)</f>
        <v>8300</v>
      </c>
      <c r="W358" s="12">
        <f t="shared" si="13"/>
        <v>99600</v>
      </c>
      <c r="X358" s="6" t="s">
        <v>628</v>
      </c>
      <c r="Y358" s="6" t="s">
        <v>132</v>
      </c>
      <c r="Z358" s="6" t="s">
        <v>466</v>
      </c>
      <c r="AA358" s="6" t="s">
        <v>108</v>
      </c>
      <c r="AB358" s="6" t="s">
        <v>36</v>
      </c>
      <c r="AC358" s="6" t="s">
        <v>37</v>
      </c>
      <c r="AD358" s="6" t="s">
        <v>468</v>
      </c>
      <c r="AE358" s="6" t="s">
        <v>39</v>
      </c>
      <c r="AF358" s="6" t="s">
        <v>40</v>
      </c>
      <c r="AG358" s="7">
        <v>99600</v>
      </c>
      <c r="AH358" s="11">
        <f>_xlfn.XLOOKUP(B358,[1]Sheet1!$B:$B,[1]Sheet1!$AB:$AB,0)</f>
        <v>99600</v>
      </c>
    </row>
    <row r="359" spans="2:34" ht="16.8" thickTop="1" thickBot="1" x14ac:dyDescent="0.35">
      <c r="B359" s="3" t="str">
        <f t="shared" si="12"/>
        <v>45112504511000512Activation&amp;Prog-N422401200104</v>
      </c>
      <c r="C359" s="8" t="s">
        <v>67</v>
      </c>
      <c r="D359" s="8" t="s">
        <v>656</v>
      </c>
      <c r="E359" s="8" t="s">
        <v>657</v>
      </c>
      <c r="F359" s="8" t="s">
        <v>62</v>
      </c>
      <c r="G359" s="4" t="s">
        <v>2807</v>
      </c>
      <c r="H359" s="4" t="s">
        <v>2922</v>
      </c>
      <c r="I359" s="8" t="s">
        <v>63</v>
      </c>
      <c r="J359" s="8" t="s">
        <v>31</v>
      </c>
      <c r="K359" s="12">
        <f>_xlfn.XLOOKUP(B359,[1]Sheet1!$B:$B,[1]Sheet1!$N:$N,0)</f>
        <v>0</v>
      </c>
      <c r="L359" s="12">
        <f>_xlfn.XLOOKUP(B359,[1]Sheet1!$B:$B,[1]Sheet1!$O:$O,0)</f>
        <v>0</v>
      </c>
      <c r="M359" s="12">
        <f>_xlfn.XLOOKUP(B359,[1]Sheet1!$B:$B,[1]Sheet1!$P:$P,0)</f>
        <v>0</v>
      </c>
      <c r="N359" s="12">
        <f>_xlfn.XLOOKUP(B359,[1]Sheet1!$B:$B,[1]Sheet1!$Q:$Q,0)</f>
        <v>0</v>
      </c>
      <c r="O359" s="12">
        <f>_xlfn.XLOOKUP(B359,[1]Sheet1!$B:$B,[1]Sheet1!$R:$R,0)</f>
        <v>0</v>
      </c>
      <c r="P359" s="12">
        <f>_xlfn.XLOOKUP(B359,[1]Sheet1!$B:$B,[1]Sheet1!$S:$S,0)</f>
        <v>664750</v>
      </c>
      <c r="Q359" s="12">
        <f>_xlfn.XLOOKUP(B359,[1]Sheet1!$B:$B,[1]Sheet1!$T:$T,0)</f>
        <v>0</v>
      </c>
      <c r="R359" s="12">
        <f>_xlfn.XLOOKUP(B359,[1]Sheet1!$B:$B,[1]Sheet1!$U:$U,0)</f>
        <v>0</v>
      </c>
      <c r="S359" s="12">
        <f>_xlfn.XLOOKUP(B359,[1]Sheet1!$B:$B,[1]Sheet1!$V:$V,0)</f>
        <v>0</v>
      </c>
      <c r="T359" s="12">
        <f>_xlfn.XLOOKUP(B359,[1]Sheet1!$B:$B,[1]Sheet1!$W:$W,0)</f>
        <v>0</v>
      </c>
      <c r="U359" s="12">
        <f>_xlfn.XLOOKUP(B359,[1]Sheet1!$B:$B,[1]Sheet1!$X:$X,0)</f>
        <v>0</v>
      </c>
      <c r="V359" s="12">
        <f>_xlfn.XLOOKUP(B359,[1]Sheet1!$B:$B,[1]Sheet1!$Y:$Y,0)</f>
        <v>664750</v>
      </c>
      <c r="W359" s="12">
        <f t="shared" si="13"/>
        <v>1329500</v>
      </c>
      <c r="X359" s="8" t="s">
        <v>64</v>
      </c>
      <c r="Y359" s="8" t="s">
        <v>65</v>
      </c>
      <c r="Z359" s="8" t="s">
        <v>66</v>
      </c>
      <c r="AA359" s="8" t="s">
        <v>68</v>
      </c>
      <c r="AB359" s="8" t="s">
        <v>36</v>
      </c>
      <c r="AC359" s="8" t="s">
        <v>37</v>
      </c>
      <c r="AD359" s="8" t="s">
        <v>69</v>
      </c>
      <c r="AE359" s="8" t="s">
        <v>39</v>
      </c>
      <c r="AF359" s="8" t="s">
        <v>40</v>
      </c>
      <c r="AG359" s="9">
        <v>1329500</v>
      </c>
      <c r="AH359" s="11">
        <f>_xlfn.XLOOKUP(B359,[1]Sheet1!$B:$B,[1]Sheet1!$AB:$AB,0)</f>
        <v>1329500</v>
      </c>
    </row>
    <row r="360" spans="2:34" ht="16.8" thickTop="1" thickBot="1" x14ac:dyDescent="0.35">
      <c r="B360" s="3" t="str">
        <f t="shared" si="12"/>
        <v>45112504511000512Ad-hoc Repairs-N426427200104</v>
      </c>
      <c r="C360" s="6" t="s">
        <v>67</v>
      </c>
      <c r="D360" s="6" t="s">
        <v>656</v>
      </c>
      <c r="E360" s="6" t="s">
        <v>657</v>
      </c>
      <c r="F360" s="6" t="s">
        <v>70</v>
      </c>
      <c r="G360" s="4" t="s">
        <v>2808</v>
      </c>
      <c r="H360" s="4" t="s">
        <v>2922</v>
      </c>
      <c r="I360" s="6" t="s">
        <v>71</v>
      </c>
      <c r="J360" s="6" t="s">
        <v>31</v>
      </c>
      <c r="K360" s="12">
        <f>_xlfn.XLOOKUP(B360,[1]Sheet1!$B:$B,[1]Sheet1!$N:$N,0)</f>
        <v>0</v>
      </c>
      <c r="L360" s="12">
        <f>_xlfn.XLOOKUP(B360,[1]Sheet1!$B:$B,[1]Sheet1!$O:$O,0)</f>
        <v>0</v>
      </c>
      <c r="M360" s="12">
        <f>_xlfn.XLOOKUP(B360,[1]Sheet1!$B:$B,[1]Sheet1!$P:$P,0)</f>
        <v>0</v>
      </c>
      <c r="N360" s="12">
        <f>_xlfn.XLOOKUP(B360,[1]Sheet1!$B:$B,[1]Sheet1!$Q:$Q,0)</f>
        <v>15000</v>
      </c>
      <c r="O360" s="12">
        <f>_xlfn.XLOOKUP(B360,[1]Sheet1!$B:$B,[1]Sheet1!$R:$R,0)</f>
        <v>0</v>
      </c>
      <c r="P360" s="12">
        <f>_xlfn.XLOOKUP(B360,[1]Sheet1!$B:$B,[1]Sheet1!$S:$S,0)</f>
        <v>0</v>
      </c>
      <c r="Q360" s="12">
        <f>_xlfn.XLOOKUP(B360,[1]Sheet1!$B:$B,[1]Sheet1!$T:$T,0)</f>
        <v>55000</v>
      </c>
      <c r="R360" s="12">
        <f>_xlfn.XLOOKUP(B360,[1]Sheet1!$B:$B,[1]Sheet1!$U:$U,0)</f>
        <v>0</v>
      </c>
      <c r="S360" s="12">
        <f>_xlfn.XLOOKUP(B360,[1]Sheet1!$B:$B,[1]Sheet1!$V:$V,0)</f>
        <v>0</v>
      </c>
      <c r="T360" s="12">
        <f>_xlfn.XLOOKUP(B360,[1]Sheet1!$B:$B,[1]Sheet1!$W:$W,0)</f>
        <v>0</v>
      </c>
      <c r="U360" s="12">
        <f>_xlfn.XLOOKUP(B360,[1]Sheet1!$B:$B,[1]Sheet1!$X:$X,0)</f>
        <v>92081</v>
      </c>
      <c r="V360" s="12">
        <f>_xlfn.XLOOKUP(B360,[1]Sheet1!$B:$B,[1]Sheet1!$Y:$Y,0)</f>
        <v>0</v>
      </c>
      <c r="W360" s="12">
        <f t="shared" si="13"/>
        <v>162081</v>
      </c>
      <c r="X360" s="6" t="s">
        <v>72</v>
      </c>
      <c r="Y360" s="6" t="s">
        <v>65</v>
      </c>
      <c r="Z360" s="6" t="s">
        <v>66</v>
      </c>
      <c r="AA360" s="6" t="s">
        <v>71</v>
      </c>
      <c r="AB360" s="6" t="s">
        <v>36</v>
      </c>
      <c r="AC360" s="6" t="s">
        <v>37</v>
      </c>
      <c r="AD360" s="6" t="s">
        <v>69</v>
      </c>
      <c r="AE360" s="6" t="s">
        <v>39</v>
      </c>
      <c r="AF360" s="6" t="s">
        <v>40</v>
      </c>
      <c r="AG360" s="7">
        <v>162080.6</v>
      </c>
      <c r="AH360" s="11">
        <f>_xlfn.XLOOKUP(B360,[1]Sheet1!$B:$B,[1]Sheet1!$AB:$AB,0)</f>
        <v>162081</v>
      </c>
    </row>
    <row r="361" spans="2:34" ht="16.8" thickTop="1" thickBot="1" x14ac:dyDescent="0.35">
      <c r="B361" s="3" t="str">
        <f t="shared" si="12"/>
        <v>45112504511000512Cleaning Service-N422311200104</v>
      </c>
      <c r="C361" s="8" t="s">
        <v>67</v>
      </c>
      <c r="D361" s="8" t="s">
        <v>656</v>
      </c>
      <c r="E361" s="8" t="s">
        <v>657</v>
      </c>
      <c r="F361" s="8" t="s">
        <v>79</v>
      </c>
      <c r="G361" s="4" t="s">
        <v>2810</v>
      </c>
      <c r="H361" s="4" t="s">
        <v>2922</v>
      </c>
      <c r="I361" s="8" t="s">
        <v>80</v>
      </c>
      <c r="J361" s="8" t="s">
        <v>31</v>
      </c>
      <c r="K361" s="12">
        <f>_xlfn.XLOOKUP(B361,[1]Sheet1!$B:$B,[1]Sheet1!$N:$N,0)</f>
        <v>0</v>
      </c>
      <c r="L361" s="12">
        <f>_xlfn.XLOOKUP(B361,[1]Sheet1!$B:$B,[1]Sheet1!$O:$O,0)</f>
        <v>0</v>
      </c>
      <c r="M361" s="12">
        <f>_xlfn.XLOOKUP(B361,[1]Sheet1!$B:$B,[1]Sheet1!$P:$P,0)</f>
        <v>0</v>
      </c>
      <c r="N361" s="12">
        <f>_xlfn.XLOOKUP(B361,[1]Sheet1!$B:$B,[1]Sheet1!$Q:$Q,0)</f>
        <v>91215</v>
      </c>
      <c r="O361" s="12">
        <f>_xlfn.XLOOKUP(B361,[1]Sheet1!$B:$B,[1]Sheet1!$R:$R,0)</f>
        <v>22804</v>
      </c>
      <c r="P361" s="12">
        <f>_xlfn.XLOOKUP(B361,[1]Sheet1!$B:$B,[1]Sheet1!$S:$S,0)</f>
        <v>22804</v>
      </c>
      <c r="Q361" s="12">
        <f>_xlfn.XLOOKUP(B361,[1]Sheet1!$B:$B,[1]Sheet1!$T:$T,0)</f>
        <v>22804</v>
      </c>
      <c r="R361" s="12">
        <f>_xlfn.XLOOKUP(B361,[1]Sheet1!$B:$B,[1]Sheet1!$U:$U,0)</f>
        <v>22804</v>
      </c>
      <c r="S361" s="12">
        <f>_xlfn.XLOOKUP(B361,[1]Sheet1!$B:$B,[1]Sheet1!$V:$V,0)</f>
        <v>22804</v>
      </c>
      <c r="T361" s="12">
        <f>_xlfn.XLOOKUP(B361,[1]Sheet1!$B:$B,[1]Sheet1!$W:$W,0)</f>
        <v>22804</v>
      </c>
      <c r="U361" s="12">
        <f>_xlfn.XLOOKUP(B361,[1]Sheet1!$B:$B,[1]Sheet1!$X:$X,0)</f>
        <v>22804</v>
      </c>
      <c r="V361" s="12">
        <f>_xlfn.XLOOKUP(B361,[1]Sheet1!$B:$B,[1]Sheet1!$Y:$Y,0)</f>
        <v>22802</v>
      </c>
      <c r="W361" s="12">
        <f t="shared" si="13"/>
        <v>273645</v>
      </c>
      <c r="X361" s="8" t="s">
        <v>81</v>
      </c>
      <c r="Y361" s="8" t="s">
        <v>65</v>
      </c>
      <c r="Z361" s="8" t="s">
        <v>66</v>
      </c>
      <c r="AA361" s="8" t="s">
        <v>80</v>
      </c>
      <c r="AB361" s="8" t="s">
        <v>36</v>
      </c>
      <c r="AC361" s="8" t="s">
        <v>37</v>
      </c>
      <c r="AD361" s="8" t="s">
        <v>69</v>
      </c>
      <c r="AE361" s="8" t="s">
        <v>39</v>
      </c>
      <c r="AF361" s="8" t="s">
        <v>40</v>
      </c>
      <c r="AG361" s="9">
        <v>273644.59999999998</v>
      </c>
      <c r="AH361" s="11">
        <f>_xlfn.XLOOKUP(B361,[1]Sheet1!$B:$B,[1]Sheet1!$AB:$AB,0)</f>
        <v>273645</v>
      </c>
    </row>
    <row r="362" spans="2:34" ht="16.8" thickTop="1" thickBot="1" x14ac:dyDescent="0.35">
      <c r="B362" s="3" t="str">
        <f t="shared" si="12"/>
        <v>45112504511000512FM Mgmnt (E-E)-N1426212200104</v>
      </c>
      <c r="C362" s="6" t="s">
        <v>67</v>
      </c>
      <c r="D362" s="6" t="s">
        <v>656</v>
      </c>
      <c r="E362" s="6" t="s">
        <v>657</v>
      </c>
      <c r="F362" s="6" t="s">
        <v>655</v>
      </c>
      <c r="G362" s="4" t="s">
        <v>2814</v>
      </c>
      <c r="H362" s="4" t="s">
        <v>2922</v>
      </c>
      <c r="I362" s="6" t="s">
        <v>96</v>
      </c>
      <c r="J362" s="6" t="s">
        <v>31</v>
      </c>
      <c r="K362" s="12">
        <f>_xlfn.XLOOKUP(B362,[1]Sheet1!$B:$B,[1]Sheet1!$N:$N,0)</f>
        <v>0</v>
      </c>
      <c r="L362" s="12">
        <f>_xlfn.XLOOKUP(B362,[1]Sheet1!$B:$B,[1]Sheet1!$O:$O,0)</f>
        <v>0</v>
      </c>
      <c r="M362" s="12">
        <f>_xlfn.XLOOKUP(B362,[1]Sheet1!$B:$B,[1]Sheet1!$P:$P,0)</f>
        <v>0</v>
      </c>
      <c r="N362" s="12">
        <f>_xlfn.XLOOKUP(B362,[1]Sheet1!$B:$B,[1]Sheet1!$Q:$Q,0)</f>
        <v>28752</v>
      </c>
      <c r="O362" s="12">
        <f>_xlfn.XLOOKUP(B362,[1]Sheet1!$B:$B,[1]Sheet1!$R:$R,0)</f>
        <v>14376</v>
      </c>
      <c r="P362" s="12">
        <f>_xlfn.XLOOKUP(B362,[1]Sheet1!$B:$B,[1]Sheet1!$S:$S,0)</f>
        <v>14376</v>
      </c>
      <c r="Q362" s="12">
        <f>_xlfn.XLOOKUP(B362,[1]Sheet1!$B:$B,[1]Sheet1!$T:$T,0)</f>
        <v>14376</v>
      </c>
      <c r="R362" s="12">
        <f>_xlfn.XLOOKUP(B362,[1]Sheet1!$B:$B,[1]Sheet1!$U:$U,0)</f>
        <v>14376</v>
      </c>
      <c r="S362" s="12">
        <f>_xlfn.XLOOKUP(B362,[1]Sheet1!$B:$B,[1]Sheet1!$V:$V,0)</f>
        <v>43129</v>
      </c>
      <c r="T362" s="12">
        <f>_xlfn.XLOOKUP(B362,[1]Sheet1!$B:$B,[1]Sheet1!$W:$W,0)</f>
        <v>14376</v>
      </c>
      <c r="U362" s="12">
        <f>_xlfn.XLOOKUP(B362,[1]Sheet1!$B:$B,[1]Sheet1!$X:$X,0)</f>
        <v>14376</v>
      </c>
      <c r="V362" s="12">
        <f>_xlfn.XLOOKUP(B362,[1]Sheet1!$B:$B,[1]Sheet1!$Y:$Y,0)</f>
        <v>14378</v>
      </c>
      <c r="W362" s="12">
        <f t="shared" si="13"/>
        <v>172515</v>
      </c>
      <c r="X362" s="6" t="s">
        <v>97</v>
      </c>
      <c r="Y362" s="6" t="s">
        <v>65</v>
      </c>
      <c r="Z362" s="6" t="s">
        <v>66</v>
      </c>
      <c r="AA362" s="6" t="s">
        <v>96</v>
      </c>
      <c r="AB362" s="6" t="s">
        <v>36</v>
      </c>
      <c r="AC362" s="6" t="s">
        <v>37</v>
      </c>
      <c r="AD362" s="6" t="s">
        <v>69</v>
      </c>
      <c r="AE362" s="6" t="s">
        <v>39</v>
      </c>
      <c r="AF362" s="6" t="s">
        <v>40</v>
      </c>
      <c r="AG362" s="7">
        <v>172514.7</v>
      </c>
      <c r="AH362" s="11">
        <f>_xlfn.XLOOKUP(B362,[1]Sheet1!$B:$B,[1]Sheet1!$AB:$AB,0)</f>
        <v>172515</v>
      </c>
    </row>
    <row r="363" spans="2:34" ht="16.8" thickTop="1" thickBot="1" x14ac:dyDescent="0.35">
      <c r="B363" s="3" t="str">
        <f t="shared" si="12"/>
        <v>45112504511000512Hospitality-N424761200104</v>
      </c>
      <c r="C363" s="8" t="s">
        <v>67</v>
      </c>
      <c r="D363" s="8" t="s">
        <v>656</v>
      </c>
      <c r="E363" s="8" t="s">
        <v>657</v>
      </c>
      <c r="F363" s="8" t="s">
        <v>83</v>
      </c>
      <c r="G363" s="4" t="s">
        <v>2811</v>
      </c>
      <c r="H363" s="4" t="s">
        <v>2922</v>
      </c>
      <c r="I363" s="8" t="s">
        <v>84</v>
      </c>
      <c r="J363" s="8" t="s">
        <v>31</v>
      </c>
      <c r="K363" s="12">
        <f>_xlfn.XLOOKUP(B363,[1]Sheet1!$B:$B,[1]Sheet1!$N:$N,0)</f>
        <v>0</v>
      </c>
      <c r="L363" s="12">
        <f>_xlfn.XLOOKUP(B363,[1]Sheet1!$B:$B,[1]Sheet1!$O:$O,0)</f>
        <v>0</v>
      </c>
      <c r="M363" s="12">
        <f>_xlfn.XLOOKUP(B363,[1]Sheet1!$B:$B,[1]Sheet1!$P:$P,0)</f>
        <v>0</v>
      </c>
      <c r="N363" s="12">
        <f>_xlfn.XLOOKUP(B363,[1]Sheet1!$B:$B,[1]Sheet1!$Q:$Q,0)</f>
        <v>17755</v>
      </c>
      <c r="O363" s="12">
        <f>_xlfn.XLOOKUP(B363,[1]Sheet1!$B:$B,[1]Sheet1!$R:$R,0)</f>
        <v>4439</v>
      </c>
      <c r="P363" s="12">
        <f>_xlfn.XLOOKUP(B363,[1]Sheet1!$B:$B,[1]Sheet1!$S:$S,0)</f>
        <v>4439</v>
      </c>
      <c r="Q363" s="12">
        <f>_xlfn.XLOOKUP(B363,[1]Sheet1!$B:$B,[1]Sheet1!$T:$T,0)</f>
        <v>4439</v>
      </c>
      <c r="R363" s="12">
        <f>_xlfn.XLOOKUP(B363,[1]Sheet1!$B:$B,[1]Sheet1!$U:$U,0)</f>
        <v>4439</v>
      </c>
      <c r="S363" s="12">
        <f>_xlfn.XLOOKUP(B363,[1]Sheet1!$B:$B,[1]Sheet1!$V:$V,0)</f>
        <v>4439</v>
      </c>
      <c r="T363" s="12">
        <f>_xlfn.XLOOKUP(B363,[1]Sheet1!$B:$B,[1]Sheet1!$W:$W,0)</f>
        <v>4439</v>
      </c>
      <c r="U363" s="12">
        <f>_xlfn.XLOOKUP(B363,[1]Sheet1!$B:$B,[1]Sheet1!$X:$X,0)</f>
        <v>4439</v>
      </c>
      <c r="V363" s="12">
        <f>_xlfn.XLOOKUP(B363,[1]Sheet1!$B:$B,[1]Sheet1!$Y:$Y,0)</f>
        <v>4437</v>
      </c>
      <c r="W363" s="12">
        <f t="shared" si="13"/>
        <v>53265</v>
      </c>
      <c r="X363" s="8" t="s">
        <v>85</v>
      </c>
      <c r="Y363" s="8" t="s">
        <v>65</v>
      </c>
      <c r="Z363" s="8" t="s">
        <v>66</v>
      </c>
      <c r="AA363" s="8" t="s">
        <v>84</v>
      </c>
      <c r="AB363" s="8" t="s">
        <v>36</v>
      </c>
      <c r="AC363" s="8" t="s">
        <v>37</v>
      </c>
      <c r="AD363" s="8" t="s">
        <v>69</v>
      </c>
      <c r="AE363" s="8" t="s">
        <v>39</v>
      </c>
      <c r="AF363" s="8" t="s">
        <v>40</v>
      </c>
      <c r="AG363" s="9">
        <v>53265</v>
      </c>
      <c r="AH363" s="11">
        <f>_xlfn.XLOOKUP(B363,[1]Sheet1!$B:$B,[1]Sheet1!$AB:$AB,0)</f>
        <v>53265</v>
      </c>
    </row>
    <row r="364" spans="2:34" ht="16.8" thickTop="1" thickBot="1" x14ac:dyDescent="0.35">
      <c r="B364" s="3" t="str">
        <f t="shared" si="12"/>
        <v>45112504511000512Landscaping-N432614200104</v>
      </c>
      <c r="C364" s="6" t="s">
        <v>67</v>
      </c>
      <c r="D364" s="6" t="s">
        <v>656</v>
      </c>
      <c r="E364" s="6" t="s">
        <v>657</v>
      </c>
      <c r="F364" s="6" t="s">
        <v>86</v>
      </c>
      <c r="G364" s="4" t="s">
        <v>2812</v>
      </c>
      <c r="H364" s="4" t="s">
        <v>2922</v>
      </c>
      <c r="I364" s="6" t="s">
        <v>87</v>
      </c>
      <c r="J364" s="6" t="s">
        <v>31</v>
      </c>
      <c r="K364" s="12">
        <f>_xlfn.XLOOKUP(B364,[1]Sheet1!$B:$B,[1]Sheet1!$N:$N,0)</f>
        <v>0</v>
      </c>
      <c r="L364" s="12">
        <f>_xlfn.XLOOKUP(B364,[1]Sheet1!$B:$B,[1]Sheet1!$O:$O,0)</f>
        <v>0</v>
      </c>
      <c r="M364" s="12">
        <f>_xlfn.XLOOKUP(B364,[1]Sheet1!$B:$B,[1]Sheet1!$P:$P,0)</f>
        <v>0</v>
      </c>
      <c r="N364" s="12">
        <f>_xlfn.XLOOKUP(B364,[1]Sheet1!$B:$B,[1]Sheet1!$Q:$Q,0)</f>
        <v>34839</v>
      </c>
      <c r="O364" s="12">
        <f>_xlfn.XLOOKUP(B364,[1]Sheet1!$B:$B,[1]Sheet1!$R:$R,0)</f>
        <v>8710</v>
      </c>
      <c r="P364" s="12">
        <f>_xlfn.XLOOKUP(B364,[1]Sheet1!$B:$B,[1]Sheet1!$S:$S,0)</f>
        <v>8710</v>
      </c>
      <c r="Q364" s="12">
        <f>_xlfn.XLOOKUP(B364,[1]Sheet1!$B:$B,[1]Sheet1!$T:$T,0)</f>
        <v>8710</v>
      </c>
      <c r="R364" s="12">
        <f>_xlfn.XLOOKUP(B364,[1]Sheet1!$B:$B,[1]Sheet1!$U:$U,0)</f>
        <v>8710</v>
      </c>
      <c r="S364" s="12">
        <f>_xlfn.XLOOKUP(B364,[1]Sheet1!$B:$B,[1]Sheet1!$V:$V,0)</f>
        <v>8710</v>
      </c>
      <c r="T364" s="12">
        <f>_xlfn.XLOOKUP(B364,[1]Sheet1!$B:$B,[1]Sheet1!$W:$W,0)</f>
        <v>8710</v>
      </c>
      <c r="U364" s="12">
        <f>_xlfn.XLOOKUP(B364,[1]Sheet1!$B:$B,[1]Sheet1!$X:$X,0)</f>
        <v>8710</v>
      </c>
      <c r="V364" s="12">
        <f>_xlfn.XLOOKUP(B364,[1]Sheet1!$B:$B,[1]Sheet1!$Y:$Y,0)</f>
        <v>8707</v>
      </c>
      <c r="W364" s="12">
        <f t="shared" si="13"/>
        <v>104516</v>
      </c>
      <c r="X364" s="6" t="s">
        <v>88</v>
      </c>
      <c r="Y364" s="6" t="s">
        <v>65</v>
      </c>
      <c r="Z364" s="6" t="s">
        <v>66</v>
      </c>
      <c r="AA364" s="6" t="s">
        <v>87</v>
      </c>
      <c r="AB364" s="6" t="s">
        <v>36</v>
      </c>
      <c r="AC364" s="6" t="s">
        <v>37</v>
      </c>
      <c r="AD364" s="6" t="s">
        <v>69</v>
      </c>
      <c r="AE364" s="6" t="s">
        <v>39</v>
      </c>
      <c r="AF364" s="6" t="s">
        <v>40</v>
      </c>
      <c r="AG364" s="7">
        <v>104515.58</v>
      </c>
      <c r="AH364" s="11">
        <f>_xlfn.XLOOKUP(B364,[1]Sheet1!$B:$B,[1]Sheet1!$AB:$AB,0)</f>
        <v>104516</v>
      </c>
    </row>
    <row r="365" spans="2:34" ht="16.8" thickTop="1" thickBot="1" x14ac:dyDescent="0.35">
      <c r="B365" s="3" t="str">
        <f t="shared" si="12"/>
        <v>45112504511000512Maintenance-N426212200104</v>
      </c>
      <c r="C365" s="8" t="s">
        <v>67</v>
      </c>
      <c r="D365" s="8" t="s">
        <v>656</v>
      </c>
      <c r="E365" s="8" t="s">
        <v>657</v>
      </c>
      <c r="F365" s="8" t="s">
        <v>95</v>
      </c>
      <c r="G365" s="4" t="s">
        <v>2814</v>
      </c>
      <c r="H365" s="4" t="s">
        <v>2922</v>
      </c>
      <c r="I365" s="8" t="s">
        <v>96</v>
      </c>
      <c r="J365" s="8" t="s">
        <v>31</v>
      </c>
      <c r="K365" s="12">
        <f>_xlfn.XLOOKUP(B365,[1]Sheet1!$B:$B,[1]Sheet1!$N:$N,0)</f>
        <v>0</v>
      </c>
      <c r="L365" s="12">
        <f>_xlfn.XLOOKUP(B365,[1]Sheet1!$B:$B,[1]Sheet1!$O:$O,0)</f>
        <v>0</v>
      </c>
      <c r="M365" s="12">
        <f>_xlfn.XLOOKUP(B365,[1]Sheet1!$B:$B,[1]Sheet1!$P:$P,0)</f>
        <v>0</v>
      </c>
      <c r="N365" s="12">
        <f>_xlfn.XLOOKUP(B365,[1]Sheet1!$B:$B,[1]Sheet1!$Q:$Q,0)</f>
        <v>91355</v>
      </c>
      <c r="O365" s="12">
        <f>_xlfn.XLOOKUP(B365,[1]Sheet1!$B:$B,[1]Sheet1!$R:$R,0)</f>
        <v>22839</v>
      </c>
      <c r="P365" s="12">
        <f>_xlfn.XLOOKUP(B365,[1]Sheet1!$B:$B,[1]Sheet1!$S:$S,0)</f>
        <v>22839</v>
      </c>
      <c r="Q365" s="12">
        <f>_xlfn.XLOOKUP(B365,[1]Sheet1!$B:$B,[1]Sheet1!$T:$T,0)</f>
        <v>22839</v>
      </c>
      <c r="R365" s="12">
        <f>_xlfn.XLOOKUP(B365,[1]Sheet1!$B:$B,[1]Sheet1!$U:$U,0)</f>
        <v>22839</v>
      </c>
      <c r="S365" s="12">
        <f>_xlfn.XLOOKUP(B365,[1]Sheet1!$B:$B,[1]Sheet1!$V:$V,0)</f>
        <v>22839</v>
      </c>
      <c r="T365" s="12">
        <f>_xlfn.XLOOKUP(B365,[1]Sheet1!$B:$B,[1]Sheet1!$W:$W,0)</f>
        <v>22839</v>
      </c>
      <c r="U365" s="12">
        <f>_xlfn.XLOOKUP(B365,[1]Sheet1!$B:$B,[1]Sheet1!$X:$X,0)</f>
        <v>22839</v>
      </c>
      <c r="V365" s="12">
        <f>_xlfn.XLOOKUP(B365,[1]Sheet1!$B:$B,[1]Sheet1!$Y:$Y,0)</f>
        <v>22834</v>
      </c>
      <c r="W365" s="12">
        <f t="shared" si="13"/>
        <v>274062</v>
      </c>
      <c r="X365" s="8" t="s">
        <v>97</v>
      </c>
      <c r="Y365" s="8" t="s">
        <v>65</v>
      </c>
      <c r="Z365" s="8" t="s">
        <v>66</v>
      </c>
      <c r="AA365" s="8" t="s">
        <v>96</v>
      </c>
      <c r="AB365" s="8" t="s">
        <v>36</v>
      </c>
      <c r="AC365" s="8" t="s">
        <v>37</v>
      </c>
      <c r="AD365" s="8" t="s">
        <v>69</v>
      </c>
      <c r="AE365" s="8" t="s">
        <v>39</v>
      </c>
      <c r="AF365" s="8" t="s">
        <v>40</v>
      </c>
      <c r="AG365" s="9">
        <v>274061.84000000003</v>
      </c>
      <c r="AH365" s="11">
        <f>_xlfn.XLOOKUP(B365,[1]Sheet1!$B:$B,[1]Sheet1!$AB:$AB,0)</f>
        <v>274062</v>
      </c>
    </row>
    <row r="366" spans="2:34" ht="16.8" thickTop="1" thickBot="1" x14ac:dyDescent="0.35">
      <c r="B366" s="3" t="str">
        <f t="shared" si="12"/>
        <v>45112504511000512Manpower-N424521200104</v>
      </c>
      <c r="C366" s="6" t="s">
        <v>67</v>
      </c>
      <c r="D366" s="6" t="s">
        <v>656</v>
      </c>
      <c r="E366" s="6" t="s">
        <v>657</v>
      </c>
      <c r="F366" s="6" t="s">
        <v>98</v>
      </c>
      <c r="G366" s="4" t="s">
        <v>2804</v>
      </c>
      <c r="H366" s="4" t="s">
        <v>2922</v>
      </c>
      <c r="I366" s="6" t="s">
        <v>51</v>
      </c>
      <c r="J366" s="6" t="s">
        <v>31</v>
      </c>
      <c r="K366" s="12">
        <f>_xlfn.XLOOKUP(B366,[1]Sheet1!$B:$B,[1]Sheet1!$N:$N,0)</f>
        <v>0</v>
      </c>
      <c r="L366" s="12">
        <f>_xlfn.XLOOKUP(B366,[1]Sheet1!$B:$B,[1]Sheet1!$O:$O,0)</f>
        <v>0</v>
      </c>
      <c r="M366" s="12">
        <f>_xlfn.XLOOKUP(B366,[1]Sheet1!$B:$B,[1]Sheet1!$P:$P,0)</f>
        <v>0</v>
      </c>
      <c r="N366" s="12">
        <f>_xlfn.XLOOKUP(B366,[1]Sheet1!$B:$B,[1]Sheet1!$Q:$Q,0)</f>
        <v>298355</v>
      </c>
      <c r="O366" s="12">
        <f>_xlfn.XLOOKUP(B366,[1]Sheet1!$B:$B,[1]Sheet1!$R:$R,0)</f>
        <v>74589</v>
      </c>
      <c r="P366" s="12">
        <f>_xlfn.XLOOKUP(B366,[1]Sheet1!$B:$B,[1]Sheet1!$S:$S,0)</f>
        <v>74589</v>
      </c>
      <c r="Q366" s="12">
        <f>_xlfn.XLOOKUP(B366,[1]Sheet1!$B:$B,[1]Sheet1!$T:$T,0)</f>
        <v>74589</v>
      </c>
      <c r="R366" s="12">
        <f>_xlfn.XLOOKUP(B366,[1]Sheet1!$B:$B,[1]Sheet1!$U:$U,0)</f>
        <v>74589</v>
      </c>
      <c r="S366" s="12">
        <f>_xlfn.XLOOKUP(B366,[1]Sheet1!$B:$B,[1]Sheet1!$V:$V,0)</f>
        <v>74589</v>
      </c>
      <c r="T366" s="12">
        <f>_xlfn.XLOOKUP(B366,[1]Sheet1!$B:$B,[1]Sheet1!$W:$W,0)</f>
        <v>74589</v>
      </c>
      <c r="U366" s="12">
        <f>_xlfn.XLOOKUP(B366,[1]Sheet1!$B:$B,[1]Sheet1!$X:$X,0)</f>
        <v>74589</v>
      </c>
      <c r="V366" s="12">
        <f>_xlfn.XLOOKUP(B366,[1]Sheet1!$B:$B,[1]Sheet1!$Y:$Y,0)</f>
        <v>74586</v>
      </c>
      <c r="W366" s="12">
        <f t="shared" si="13"/>
        <v>895064</v>
      </c>
      <c r="X366" s="6" t="s">
        <v>82</v>
      </c>
      <c r="Y366" s="6" t="s">
        <v>65</v>
      </c>
      <c r="Z366" s="6" t="s">
        <v>66</v>
      </c>
      <c r="AA366" s="6" t="s">
        <v>53</v>
      </c>
      <c r="AB366" s="6" t="s">
        <v>36</v>
      </c>
      <c r="AC366" s="6" t="s">
        <v>37</v>
      </c>
      <c r="AD366" s="6" t="s">
        <v>69</v>
      </c>
      <c r="AE366" s="6" t="s">
        <v>39</v>
      </c>
      <c r="AF366" s="6" t="s">
        <v>40</v>
      </c>
      <c r="AG366" s="7">
        <v>895067.4</v>
      </c>
      <c r="AH366" s="11">
        <f>_xlfn.XLOOKUP(B366,[1]Sheet1!$B:$B,[1]Sheet1!$AB:$AB,0)</f>
        <v>895064</v>
      </c>
    </row>
    <row r="367" spans="2:34" ht="16.8" thickTop="1" thickBot="1" x14ac:dyDescent="0.35">
      <c r="B367" s="3" t="str">
        <f t="shared" si="12"/>
        <v>45112504511000512Pest Control-N422321200104</v>
      </c>
      <c r="C367" s="8" t="s">
        <v>67</v>
      </c>
      <c r="D367" s="8" t="s">
        <v>656</v>
      </c>
      <c r="E367" s="8" t="s">
        <v>657</v>
      </c>
      <c r="F367" s="8" t="s">
        <v>103</v>
      </c>
      <c r="G367" s="4" t="s">
        <v>2816</v>
      </c>
      <c r="H367" s="4" t="s">
        <v>2922</v>
      </c>
      <c r="I367" s="8" t="s">
        <v>104</v>
      </c>
      <c r="J367" s="8" t="s">
        <v>31</v>
      </c>
      <c r="K367" s="12">
        <f>_xlfn.XLOOKUP(B367,[1]Sheet1!$B:$B,[1]Sheet1!$N:$N,0)</f>
        <v>0</v>
      </c>
      <c r="L367" s="12">
        <f>_xlfn.XLOOKUP(B367,[1]Sheet1!$B:$B,[1]Sheet1!$O:$O,0)</f>
        <v>0</v>
      </c>
      <c r="M367" s="12">
        <f>_xlfn.XLOOKUP(B367,[1]Sheet1!$B:$B,[1]Sheet1!$P:$P,0)</f>
        <v>0</v>
      </c>
      <c r="N367" s="12">
        <f>_xlfn.XLOOKUP(B367,[1]Sheet1!$B:$B,[1]Sheet1!$Q:$Q,0)</f>
        <v>16989</v>
      </c>
      <c r="O367" s="12">
        <f>_xlfn.XLOOKUP(B367,[1]Sheet1!$B:$B,[1]Sheet1!$R:$R,0)</f>
        <v>4247</v>
      </c>
      <c r="P367" s="12">
        <f>_xlfn.XLOOKUP(B367,[1]Sheet1!$B:$B,[1]Sheet1!$S:$S,0)</f>
        <v>4247</v>
      </c>
      <c r="Q367" s="12">
        <f>_xlfn.XLOOKUP(B367,[1]Sheet1!$B:$B,[1]Sheet1!$T:$T,0)</f>
        <v>4247</v>
      </c>
      <c r="R367" s="12">
        <f>_xlfn.XLOOKUP(B367,[1]Sheet1!$B:$B,[1]Sheet1!$U:$U,0)</f>
        <v>4247</v>
      </c>
      <c r="S367" s="12">
        <f>_xlfn.XLOOKUP(B367,[1]Sheet1!$B:$B,[1]Sheet1!$V:$V,0)</f>
        <v>4247</v>
      </c>
      <c r="T367" s="12">
        <f>_xlfn.XLOOKUP(B367,[1]Sheet1!$B:$B,[1]Sheet1!$W:$W,0)</f>
        <v>4247</v>
      </c>
      <c r="U367" s="12">
        <f>_xlfn.XLOOKUP(B367,[1]Sheet1!$B:$B,[1]Sheet1!$X:$X,0)</f>
        <v>4247</v>
      </c>
      <c r="V367" s="12">
        <f>_xlfn.XLOOKUP(B367,[1]Sheet1!$B:$B,[1]Sheet1!$Y:$Y,0)</f>
        <v>4251</v>
      </c>
      <c r="W367" s="12">
        <f t="shared" si="13"/>
        <v>50969</v>
      </c>
      <c r="X367" s="8" t="s">
        <v>105</v>
      </c>
      <c r="Y367" s="8" t="s">
        <v>65</v>
      </c>
      <c r="Z367" s="8" t="s">
        <v>66</v>
      </c>
      <c r="AA367" s="8" t="s">
        <v>106</v>
      </c>
      <c r="AB367" s="8" t="s">
        <v>36</v>
      </c>
      <c r="AC367" s="8" t="s">
        <v>37</v>
      </c>
      <c r="AD367" s="8" t="s">
        <v>69</v>
      </c>
      <c r="AE367" s="8" t="s">
        <v>39</v>
      </c>
      <c r="AF367" s="8" t="s">
        <v>40</v>
      </c>
      <c r="AG367" s="9">
        <v>50968</v>
      </c>
      <c r="AH367" s="11">
        <f>_xlfn.XLOOKUP(B367,[1]Sheet1!$B:$B,[1]Sheet1!$AB:$AB,0)</f>
        <v>50969</v>
      </c>
    </row>
    <row r="368" spans="2:34" ht="16.8" thickTop="1" thickBot="1" x14ac:dyDescent="0.35">
      <c r="B368" s="3" t="str">
        <f t="shared" si="12"/>
        <v>45112504511000512Security Service-N424551200104</v>
      </c>
      <c r="C368" s="6" t="s">
        <v>67</v>
      </c>
      <c r="D368" s="6" t="s">
        <v>656</v>
      </c>
      <c r="E368" s="6" t="s">
        <v>657</v>
      </c>
      <c r="F368" s="6" t="s">
        <v>107</v>
      </c>
      <c r="G368" s="4" t="s">
        <v>2817</v>
      </c>
      <c r="H368" s="4" t="s">
        <v>2922</v>
      </c>
      <c r="I368" s="6" t="s">
        <v>108</v>
      </c>
      <c r="J368" s="6" t="s">
        <v>31</v>
      </c>
      <c r="K368" s="12">
        <f>_xlfn.XLOOKUP(B368,[1]Sheet1!$B:$B,[1]Sheet1!$N:$N,0)</f>
        <v>0</v>
      </c>
      <c r="L368" s="12">
        <f>_xlfn.XLOOKUP(B368,[1]Sheet1!$B:$B,[1]Sheet1!$O:$O,0)</f>
        <v>0</v>
      </c>
      <c r="M368" s="12">
        <f>_xlfn.XLOOKUP(B368,[1]Sheet1!$B:$B,[1]Sheet1!$P:$P,0)</f>
        <v>0</v>
      </c>
      <c r="N368" s="12">
        <f>_xlfn.XLOOKUP(B368,[1]Sheet1!$B:$B,[1]Sheet1!$Q:$Q,0)</f>
        <v>66355</v>
      </c>
      <c r="O368" s="12">
        <f>_xlfn.XLOOKUP(B368,[1]Sheet1!$B:$B,[1]Sheet1!$R:$R,0)</f>
        <v>16588.75</v>
      </c>
      <c r="P368" s="12">
        <f>_xlfn.XLOOKUP(B368,[1]Sheet1!$B:$B,[1]Sheet1!$S:$S,0)</f>
        <v>16588.75</v>
      </c>
      <c r="Q368" s="12">
        <f>_xlfn.XLOOKUP(B368,[1]Sheet1!$B:$B,[1]Sheet1!$T:$T,0)</f>
        <v>16588.75</v>
      </c>
      <c r="R368" s="12">
        <f>_xlfn.XLOOKUP(B368,[1]Sheet1!$B:$B,[1]Sheet1!$U:$U,0)</f>
        <v>16588.75</v>
      </c>
      <c r="S368" s="12">
        <f>_xlfn.XLOOKUP(B368,[1]Sheet1!$B:$B,[1]Sheet1!$V:$V,0)</f>
        <v>16588.75</v>
      </c>
      <c r="T368" s="12">
        <f>_xlfn.XLOOKUP(B368,[1]Sheet1!$B:$B,[1]Sheet1!$W:$W,0)</f>
        <v>16588.75</v>
      </c>
      <c r="U368" s="12">
        <f>_xlfn.XLOOKUP(B368,[1]Sheet1!$B:$B,[1]Sheet1!$X:$X,0)</f>
        <v>16588.75</v>
      </c>
      <c r="V368" s="12">
        <f>_xlfn.XLOOKUP(B368,[1]Sheet1!$B:$B,[1]Sheet1!$Y:$Y,0)</f>
        <v>17128.75</v>
      </c>
      <c r="W368" s="12">
        <f t="shared" si="13"/>
        <v>199605</v>
      </c>
      <c r="X368" s="6" t="s">
        <v>109</v>
      </c>
      <c r="Y368" s="6" t="s">
        <v>65</v>
      </c>
      <c r="Z368" s="6" t="s">
        <v>66</v>
      </c>
      <c r="AA368" s="6" t="s">
        <v>108</v>
      </c>
      <c r="AB368" s="6" t="s">
        <v>36</v>
      </c>
      <c r="AC368" s="6" t="s">
        <v>37</v>
      </c>
      <c r="AD368" s="6" t="s">
        <v>69</v>
      </c>
      <c r="AE368" s="6" t="s">
        <v>39</v>
      </c>
      <c r="AF368" s="6" t="s">
        <v>40</v>
      </c>
      <c r="AG368" s="7">
        <v>199604.7</v>
      </c>
      <c r="AH368" s="11">
        <f>_xlfn.XLOOKUP(B368,[1]Sheet1!$B:$B,[1]Sheet1!$AB:$AB,0)</f>
        <v>199605</v>
      </c>
    </row>
    <row r="369" spans="2:34" ht="16.8" thickTop="1" thickBot="1" x14ac:dyDescent="0.35">
      <c r="B369" s="3" t="str">
        <f t="shared" si="12"/>
        <v>45112504511000512Utilities-N423931200104</v>
      </c>
      <c r="C369" s="8" t="s">
        <v>67</v>
      </c>
      <c r="D369" s="8" t="s">
        <v>656</v>
      </c>
      <c r="E369" s="8" t="s">
        <v>657</v>
      </c>
      <c r="F369" s="8" t="s">
        <v>110</v>
      </c>
      <c r="G369" s="4" t="s">
        <v>2818</v>
      </c>
      <c r="H369" s="4" t="s">
        <v>2922</v>
      </c>
      <c r="I369" s="8" t="s">
        <v>111</v>
      </c>
      <c r="J369" s="8" t="s">
        <v>31</v>
      </c>
      <c r="K369" s="12">
        <f>_xlfn.XLOOKUP(B369,[1]Sheet1!$B:$B,[1]Sheet1!$N:$N,0)</f>
        <v>0</v>
      </c>
      <c r="L369" s="12">
        <f>_xlfn.XLOOKUP(B369,[1]Sheet1!$B:$B,[1]Sheet1!$O:$O,0)</f>
        <v>0</v>
      </c>
      <c r="M369" s="12">
        <f>_xlfn.XLOOKUP(B369,[1]Sheet1!$B:$B,[1]Sheet1!$P:$P,0)</f>
        <v>0</v>
      </c>
      <c r="N369" s="12">
        <f>_xlfn.XLOOKUP(B369,[1]Sheet1!$B:$B,[1]Sheet1!$Q:$Q,0)</f>
        <v>44665.166599999997</v>
      </c>
      <c r="O369" s="12">
        <f>_xlfn.XLOOKUP(B369,[1]Sheet1!$B:$B,[1]Sheet1!$R:$R,0)</f>
        <v>22332.583299999998</v>
      </c>
      <c r="P369" s="12">
        <f>_xlfn.XLOOKUP(B369,[1]Sheet1!$B:$B,[1]Sheet1!$S:$S,0)</f>
        <v>22332.583299999998</v>
      </c>
      <c r="Q369" s="12">
        <f>_xlfn.XLOOKUP(B369,[1]Sheet1!$B:$B,[1]Sheet1!$T:$T,0)</f>
        <v>22332.583299999998</v>
      </c>
      <c r="R369" s="12">
        <f>_xlfn.XLOOKUP(B369,[1]Sheet1!$B:$B,[1]Sheet1!$U:$U,0)</f>
        <v>22332.583299999998</v>
      </c>
      <c r="S369" s="12">
        <f>_xlfn.XLOOKUP(B369,[1]Sheet1!$B:$B,[1]Sheet1!$V:$V,0)</f>
        <v>22332.583299999998</v>
      </c>
      <c r="T369" s="12">
        <f>_xlfn.XLOOKUP(B369,[1]Sheet1!$B:$B,[1]Sheet1!$W:$W,0)</f>
        <v>22332.583299999998</v>
      </c>
      <c r="U369" s="12">
        <f>_xlfn.XLOOKUP(B369,[1]Sheet1!$B:$B,[1]Sheet1!$X:$X,0)</f>
        <v>22332.583299999998</v>
      </c>
      <c r="V369" s="12">
        <f>_xlfn.XLOOKUP(B369,[1]Sheet1!$B:$B,[1]Sheet1!$Y:$Y,0)</f>
        <v>66997.75</v>
      </c>
      <c r="W369" s="12">
        <f t="shared" si="13"/>
        <v>267990.99969999999</v>
      </c>
      <c r="X369" s="8" t="s">
        <v>112</v>
      </c>
      <c r="Y369" s="8" t="s">
        <v>65</v>
      </c>
      <c r="Z369" s="8" t="s">
        <v>66</v>
      </c>
      <c r="AA369" s="8" t="s">
        <v>111</v>
      </c>
      <c r="AB369" s="8" t="s">
        <v>36</v>
      </c>
      <c r="AC369" s="8" t="s">
        <v>37</v>
      </c>
      <c r="AD369" s="8" t="s">
        <v>69</v>
      </c>
      <c r="AE369" s="8" t="s">
        <v>39</v>
      </c>
      <c r="AF369" s="8" t="s">
        <v>40</v>
      </c>
      <c r="AG369" s="9">
        <v>267994.59999999998</v>
      </c>
      <c r="AH369" s="11">
        <f>_xlfn.XLOOKUP(B369,[1]Sheet1!$B:$B,[1]Sheet1!$AB:$AB,0)</f>
        <v>267990.99969999999</v>
      </c>
    </row>
    <row r="370" spans="2:34" ht="16.8" thickTop="1" thickBot="1" x14ac:dyDescent="0.35">
      <c r="B370" s="3" t="str">
        <f t="shared" si="12"/>
        <v>45112504511000512Waste Mgmnt-N424591200104</v>
      </c>
      <c r="C370" s="6" t="s">
        <v>67</v>
      </c>
      <c r="D370" s="6" t="s">
        <v>656</v>
      </c>
      <c r="E370" s="6" t="s">
        <v>657</v>
      </c>
      <c r="F370" s="6" t="s">
        <v>382</v>
      </c>
      <c r="G370" s="4" t="s">
        <v>2836</v>
      </c>
      <c r="H370" s="4" t="s">
        <v>2922</v>
      </c>
      <c r="I370" s="6" t="s">
        <v>383</v>
      </c>
      <c r="J370" s="6" t="s">
        <v>31</v>
      </c>
      <c r="K370" s="12">
        <f>_xlfn.XLOOKUP(B370,[1]Sheet1!$B:$B,[1]Sheet1!$N:$N,0)</f>
        <v>0</v>
      </c>
      <c r="L370" s="12">
        <f>_xlfn.XLOOKUP(B370,[1]Sheet1!$B:$B,[1]Sheet1!$O:$O,0)</f>
        <v>0</v>
      </c>
      <c r="M370" s="12">
        <f>_xlfn.XLOOKUP(B370,[1]Sheet1!$B:$B,[1]Sheet1!$P:$P,0)</f>
        <v>0</v>
      </c>
      <c r="N370" s="12">
        <f>_xlfn.XLOOKUP(B370,[1]Sheet1!$B:$B,[1]Sheet1!$Q:$Q,0)</f>
        <v>1848</v>
      </c>
      <c r="O370" s="12">
        <f>_xlfn.XLOOKUP(B370,[1]Sheet1!$B:$B,[1]Sheet1!$R:$R,0)</f>
        <v>0</v>
      </c>
      <c r="P370" s="12">
        <f>_xlfn.XLOOKUP(B370,[1]Sheet1!$B:$B,[1]Sheet1!$S:$S,0)</f>
        <v>0</v>
      </c>
      <c r="Q370" s="12">
        <f>_xlfn.XLOOKUP(B370,[1]Sheet1!$B:$B,[1]Sheet1!$T:$T,0)</f>
        <v>0</v>
      </c>
      <c r="R370" s="12">
        <f>_xlfn.XLOOKUP(B370,[1]Sheet1!$B:$B,[1]Sheet1!$U:$U,0)</f>
        <v>1848</v>
      </c>
      <c r="S370" s="12">
        <f>_xlfn.XLOOKUP(B370,[1]Sheet1!$B:$B,[1]Sheet1!$V:$V,0)</f>
        <v>0</v>
      </c>
      <c r="T370" s="12">
        <f>_xlfn.XLOOKUP(B370,[1]Sheet1!$B:$B,[1]Sheet1!$W:$W,0)</f>
        <v>0</v>
      </c>
      <c r="U370" s="12">
        <f>_xlfn.XLOOKUP(B370,[1]Sheet1!$B:$B,[1]Sheet1!$X:$X,0)</f>
        <v>0</v>
      </c>
      <c r="V370" s="12">
        <f>_xlfn.XLOOKUP(B370,[1]Sheet1!$B:$B,[1]Sheet1!$Y:$Y,0)</f>
        <v>1849</v>
      </c>
      <c r="W370" s="12">
        <f t="shared" si="13"/>
        <v>5545</v>
      </c>
      <c r="X370" s="6" t="s">
        <v>384</v>
      </c>
      <c r="Y370" s="6" t="s">
        <v>65</v>
      </c>
      <c r="Z370" s="6" t="s">
        <v>66</v>
      </c>
      <c r="AA370" s="6" t="s">
        <v>383</v>
      </c>
      <c r="AB370" s="6" t="s">
        <v>36</v>
      </c>
      <c r="AC370" s="6" t="s">
        <v>37</v>
      </c>
      <c r="AD370" s="6" t="s">
        <v>69</v>
      </c>
      <c r="AE370" s="6" t="s">
        <v>39</v>
      </c>
      <c r="AF370" s="6" t="s">
        <v>40</v>
      </c>
      <c r="AG370" s="7">
        <v>5544.9</v>
      </c>
      <c r="AH370" s="11">
        <f>_xlfn.XLOOKUP(B370,[1]Sheet1!$B:$B,[1]Sheet1!$AB:$AB,0)</f>
        <v>5545</v>
      </c>
    </row>
    <row r="371" spans="2:34" ht="16.8" thickTop="1" thickBot="1" x14ac:dyDescent="0.35">
      <c r="B371" s="3" t="str">
        <f t="shared" si="12"/>
        <v>45112504511000514Security Service-N424551200104</v>
      </c>
      <c r="C371" s="8" t="s">
        <v>67</v>
      </c>
      <c r="D371" s="8" t="s">
        <v>658</v>
      </c>
      <c r="E371" s="8" t="s">
        <v>659</v>
      </c>
      <c r="F371" s="8" t="s">
        <v>107</v>
      </c>
      <c r="G371" s="4" t="s">
        <v>2817</v>
      </c>
      <c r="H371" s="4" t="s">
        <v>2922</v>
      </c>
      <c r="I371" s="8" t="s">
        <v>108</v>
      </c>
      <c r="J371" s="8" t="s">
        <v>31</v>
      </c>
      <c r="K371" s="12">
        <f>_xlfn.XLOOKUP(B371,[1]Sheet1!$B:$B,[1]Sheet1!$N:$N,0)</f>
        <v>0</v>
      </c>
      <c r="L371" s="12">
        <f>_xlfn.XLOOKUP(B371,[1]Sheet1!$B:$B,[1]Sheet1!$O:$O,0)</f>
        <v>0</v>
      </c>
      <c r="M371" s="12">
        <f>_xlfn.XLOOKUP(B371,[1]Sheet1!$B:$B,[1]Sheet1!$P:$P,0)</f>
        <v>0</v>
      </c>
      <c r="N371" s="12">
        <f>_xlfn.XLOOKUP(B371,[1]Sheet1!$B:$B,[1]Sheet1!$Q:$Q,0)</f>
        <v>170000</v>
      </c>
      <c r="O371" s="12">
        <f>_xlfn.XLOOKUP(B371,[1]Sheet1!$B:$B,[1]Sheet1!$R:$R,0)</f>
        <v>85000</v>
      </c>
      <c r="P371" s="12">
        <f>_xlfn.XLOOKUP(B371,[1]Sheet1!$B:$B,[1]Sheet1!$S:$S,0)</f>
        <v>85000</v>
      </c>
      <c r="Q371" s="12">
        <f>_xlfn.XLOOKUP(B371,[1]Sheet1!$B:$B,[1]Sheet1!$T:$T,0)</f>
        <v>85000</v>
      </c>
      <c r="R371" s="12">
        <f>_xlfn.XLOOKUP(B371,[1]Sheet1!$B:$B,[1]Sheet1!$U:$U,0)</f>
        <v>85000</v>
      </c>
      <c r="S371" s="12">
        <f>_xlfn.XLOOKUP(B371,[1]Sheet1!$B:$B,[1]Sheet1!$V:$V,0)</f>
        <v>85000</v>
      </c>
      <c r="T371" s="12">
        <f>_xlfn.XLOOKUP(B371,[1]Sheet1!$B:$B,[1]Sheet1!$W:$W,0)</f>
        <v>85000</v>
      </c>
      <c r="U371" s="12">
        <f>_xlfn.XLOOKUP(B371,[1]Sheet1!$B:$B,[1]Sheet1!$X:$X,0)</f>
        <v>75000</v>
      </c>
      <c r="V371" s="12">
        <f>_xlfn.XLOOKUP(B371,[1]Sheet1!$B:$B,[1]Sheet1!$Y:$Y,0)</f>
        <v>76600</v>
      </c>
      <c r="W371" s="12">
        <f t="shared" si="13"/>
        <v>831600</v>
      </c>
      <c r="X371" s="8" t="s">
        <v>109</v>
      </c>
      <c r="Y371" s="8" t="s">
        <v>65</v>
      </c>
      <c r="Z371" s="8" t="s">
        <v>66</v>
      </c>
      <c r="AA371" s="8" t="s">
        <v>108</v>
      </c>
      <c r="AB371" s="8" t="s">
        <v>36</v>
      </c>
      <c r="AC371" s="8" t="s">
        <v>37</v>
      </c>
      <c r="AD371" s="8" t="s">
        <v>69</v>
      </c>
      <c r="AE371" s="8" t="s">
        <v>39</v>
      </c>
      <c r="AF371" s="8" t="s">
        <v>40</v>
      </c>
      <c r="AG371" s="9">
        <v>831600</v>
      </c>
      <c r="AH371" s="11">
        <f>_xlfn.XLOOKUP(B371,[1]Sheet1!$B:$B,[1]Sheet1!$AB:$AB,0)</f>
        <v>831600</v>
      </c>
    </row>
    <row r="372" spans="2:34" ht="16.8" thickTop="1" thickBot="1" x14ac:dyDescent="0.35">
      <c r="B372" s="3" t="str">
        <f t="shared" si="12"/>
        <v>45112504511000514Utilities-N423931200104</v>
      </c>
      <c r="C372" s="6" t="s">
        <v>67</v>
      </c>
      <c r="D372" s="6" t="s">
        <v>658</v>
      </c>
      <c r="E372" s="6" t="s">
        <v>659</v>
      </c>
      <c r="F372" s="6" t="s">
        <v>110</v>
      </c>
      <c r="G372" s="4" t="s">
        <v>2818</v>
      </c>
      <c r="H372" s="4" t="s">
        <v>2922</v>
      </c>
      <c r="I372" s="6" t="s">
        <v>111</v>
      </c>
      <c r="J372" s="6" t="s">
        <v>31</v>
      </c>
      <c r="K372" s="12">
        <f>_xlfn.XLOOKUP(B372,[1]Sheet1!$B:$B,[1]Sheet1!$N:$N,0)</f>
        <v>0</v>
      </c>
      <c r="L372" s="12">
        <f>_xlfn.XLOOKUP(B372,[1]Sheet1!$B:$B,[1]Sheet1!$O:$O,0)</f>
        <v>0</v>
      </c>
      <c r="M372" s="12">
        <f>_xlfn.XLOOKUP(B372,[1]Sheet1!$B:$B,[1]Sheet1!$P:$P,0)</f>
        <v>0</v>
      </c>
      <c r="N372" s="12">
        <f>_xlfn.XLOOKUP(B372,[1]Sheet1!$B:$B,[1]Sheet1!$Q:$Q,0)</f>
        <v>0</v>
      </c>
      <c r="O372" s="12">
        <f>_xlfn.XLOOKUP(B372,[1]Sheet1!$B:$B,[1]Sheet1!$R:$R,0)</f>
        <v>0</v>
      </c>
      <c r="P372" s="12">
        <f>_xlfn.XLOOKUP(B372,[1]Sheet1!$B:$B,[1]Sheet1!$S:$S,0)</f>
        <v>0</v>
      </c>
      <c r="Q372" s="12">
        <f>_xlfn.XLOOKUP(B372,[1]Sheet1!$B:$B,[1]Sheet1!$T:$T,0)</f>
        <v>0</v>
      </c>
      <c r="R372" s="12">
        <f>_xlfn.XLOOKUP(B372,[1]Sheet1!$B:$B,[1]Sheet1!$U:$U,0)</f>
        <v>0</v>
      </c>
      <c r="S372" s="12">
        <f>_xlfn.XLOOKUP(B372,[1]Sheet1!$B:$B,[1]Sheet1!$V:$V,0)</f>
        <v>0</v>
      </c>
      <c r="T372" s="12">
        <f>_xlfn.XLOOKUP(B372,[1]Sheet1!$B:$B,[1]Sheet1!$W:$W,0)</f>
        <v>0</v>
      </c>
      <c r="U372" s="12">
        <f>_xlfn.XLOOKUP(B372,[1]Sheet1!$B:$B,[1]Sheet1!$X:$X,0)</f>
        <v>0</v>
      </c>
      <c r="V372" s="12">
        <f>_xlfn.XLOOKUP(B372,[1]Sheet1!$B:$B,[1]Sheet1!$Y:$Y,0)</f>
        <v>6387</v>
      </c>
      <c r="W372" s="12">
        <f t="shared" si="13"/>
        <v>6387</v>
      </c>
      <c r="X372" s="6" t="s">
        <v>112</v>
      </c>
      <c r="Y372" s="6" t="s">
        <v>65</v>
      </c>
      <c r="Z372" s="6" t="s">
        <v>66</v>
      </c>
      <c r="AA372" s="6" t="s">
        <v>111</v>
      </c>
      <c r="AB372" s="6" t="s">
        <v>36</v>
      </c>
      <c r="AC372" s="6" t="s">
        <v>37</v>
      </c>
      <c r="AD372" s="6" t="s">
        <v>69</v>
      </c>
      <c r="AE372" s="6" t="s">
        <v>39</v>
      </c>
      <c r="AF372" s="6" t="s">
        <v>40</v>
      </c>
      <c r="AG372" s="7">
        <v>6387</v>
      </c>
      <c r="AH372" s="11">
        <f>_xlfn.XLOOKUP(B372,[1]Sheet1!$B:$B,[1]Sheet1!$AB:$AB,0)</f>
        <v>6387</v>
      </c>
    </row>
    <row r="373" spans="2:34" ht="16.8" thickTop="1" thickBot="1" x14ac:dyDescent="0.35">
      <c r="B373" s="3" t="str">
        <f t="shared" si="12"/>
        <v>45102304511000515Cleaning Service-N2422311200104</v>
      </c>
      <c r="C373" s="8" t="s">
        <v>467</v>
      </c>
      <c r="D373" s="8" t="s">
        <v>660</v>
      </c>
      <c r="E373" s="8" t="s">
        <v>661</v>
      </c>
      <c r="F373" s="8" t="s">
        <v>635</v>
      </c>
      <c r="G373" s="4" t="s">
        <v>2810</v>
      </c>
      <c r="H373" s="4" t="s">
        <v>2922</v>
      </c>
      <c r="I373" s="8" t="s">
        <v>80</v>
      </c>
      <c r="J373" s="8" t="s">
        <v>31</v>
      </c>
      <c r="K373" s="12">
        <f>_xlfn.XLOOKUP(B373,[1]Sheet1!$B:$B,[1]Sheet1!$N:$N,0)</f>
        <v>0</v>
      </c>
      <c r="L373" s="12">
        <f>_xlfn.XLOOKUP(B373,[1]Sheet1!$B:$B,[1]Sheet1!$O:$O,0)</f>
        <v>0</v>
      </c>
      <c r="M373" s="12">
        <f>_xlfn.XLOOKUP(B373,[1]Sheet1!$B:$B,[1]Sheet1!$P:$P,0)</f>
        <v>0</v>
      </c>
      <c r="N373" s="12">
        <f>_xlfn.XLOOKUP(B373,[1]Sheet1!$B:$B,[1]Sheet1!$Q:$Q,0)</f>
        <v>53000</v>
      </c>
      <c r="O373" s="12">
        <f>_xlfn.XLOOKUP(B373,[1]Sheet1!$B:$B,[1]Sheet1!$R:$R,0)</f>
        <v>13250</v>
      </c>
      <c r="P373" s="12">
        <f>_xlfn.XLOOKUP(B373,[1]Sheet1!$B:$B,[1]Sheet1!$S:$S,0)</f>
        <v>13250</v>
      </c>
      <c r="Q373" s="12">
        <f>_xlfn.XLOOKUP(B373,[1]Sheet1!$B:$B,[1]Sheet1!$T:$T,0)</f>
        <v>13250</v>
      </c>
      <c r="R373" s="12">
        <f>_xlfn.XLOOKUP(B373,[1]Sheet1!$B:$B,[1]Sheet1!$U:$U,0)</f>
        <v>13250</v>
      </c>
      <c r="S373" s="12">
        <f>_xlfn.XLOOKUP(B373,[1]Sheet1!$B:$B,[1]Sheet1!$V:$V,0)</f>
        <v>13250</v>
      </c>
      <c r="T373" s="12">
        <f>_xlfn.XLOOKUP(B373,[1]Sheet1!$B:$B,[1]Sheet1!$W:$W,0)</f>
        <v>13250</v>
      </c>
      <c r="U373" s="12">
        <f>_xlfn.XLOOKUP(B373,[1]Sheet1!$B:$B,[1]Sheet1!$X:$X,0)</f>
        <v>13250</v>
      </c>
      <c r="V373" s="12">
        <f>_xlfn.XLOOKUP(B373,[1]Sheet1!$B:$B,[1]Sheet1!$Y:$Y,0)</f>
        <v>13250</v>
      </c>
      <c r="W373" s="12">
        <f t="shared" si="13"/>
        <v>159000</v>
      </c>
      <c r="X373" s="8" t="s">
        <v>624</v>
      </c>
      <c r="Y373" s="8" t="s">
        <v>132</v>
      </c>
      <c r="Z373" s="8" t="s">
        <v>466</v>
      </c>
      <c r="AA373" s="8" t="s">
        <v>80</v>
      </c>
      <c r="AB373" s="8" t="s">
        <v>36</v>
      </c>
      <c r="AC373" s="8" t="s">
        <v>37</v>
      </c>
      <c r="AD373" s="8" t="s">
        <v>468</v>
      </c>
      <c r="AE373" s="8" t="s">
        <v>39</v>
      </c>
      <c r="AF373" s="8" t="s">
        <v>40</v>
      </c>
      <c r="AG373" s="9">
        <v>159000</v>
      </c>
      <c r="AH373" s="11">
        <f>_xlfn.XLOOKUP(B373,[1]Sheet1!$B:$B,[1]Sheet1!$AB:$AB,0)</f>
        <v>159000</v>
      </c>
    </row>
    <row r="374" spans="2:34" ht="16.8" thickTop="1" thickBot="1" x14ac:dyDescent="0.35">
      <c r="B374" s="3" t="str">
        <f t="shared" si="12"/>
        <v>45102304511000515Hospitality-N1424761200104</v>
      </c>
      <c r="C374" s="6" t="s">
        <v>467</v>
      </c>
      <c r="D374" s="6" t="s">
        <v>660</v>
      </c>
      <c r="E374" s="6" t="s">
        <v>661</v>
      </c>
      <c r="F374" s="6" t="s">
        <v>399</v>
      </c>
      <c r="G374" s="4" t="s">
        <v>2811</v>
      </c>
      <c r="H374" s="4" t="s">
        <v>2922</v>
      </c>
      <c r="I374" s="6" t="s">
        <v>84</v>
      </c>
      <c r="J374" s="6" t="s">
        <v>31</v>
      </c>
      <c r="K374" s="12">
        <f>_xlfn.XLOOKUP(B374,[1]Sheet1!$B:$B,[1]Sheet1!$N:$N,0)</f>
        <v>0</v>
      </c>
      <c r="L374" s="12">
        <f>_xlfn.XLOOKUP(B374,[1]Sheet1!$B:$B,[1]Sheet1!$O:$O,0)</f>
        <v>0</v>
      </c>
      <c r="M374" s="12">
        <f>_xlfn.XLOOKUP(B374,[1]Sheet1!$B:$B,[1]Sheet1!$P:$P,0)</f>
        <v>0</v>
      </c>
      <c r="N374" s="12">
        <f>_xlfn.XLOOKUP(B374,[1]Sheet1!$B:$B,[1]Sheet1!$Q:$Q,0)</f>
        <v>29200</v>
      </c>
      <c r="O374" s="12">
        <f>_xlfn.XLOOKUP(B374,[1]Sheet1!$B:$B,[1]Sheet1!$R:$R,0)</f>
        <v>7300</v>
      </c>
      <c r="P374" s="12">
        <f>_xlfn.XLOOKUP(B374,[1]Sheet1!$B:$B,[1]Sheet1!$S:$S,0)</f>
        <v>7300</v>
      </c>
      <c r="Q374" s="12">
        <f>_xlfn.XLOOKUP(B374,[1]Sheet1!$B:$B,[1]Sheet1!$T:$T,0)</f>
        <v>7300</v>
      </c>
      <c r="R374" s="12">
        <f>_xlfn.XLOOKUP(B374,[1]Sheet1!$B:$B,[1]Sheet1!$U:$U,0)</f>
        <v>7300</v>
      </c>
      <c r="S374" s="12">
        <f>_xlfn.XLOOKUP(B374,[1]Sheet1!$B:$B,[1]Sheet1!$V:$V,0)</f>
        <v>7300</v>
      </c>
      <c r="T374" s="12">
        <f>_xlfn.XLOOKUP(B374,[1]Sheet1!$B:$B,[1]Sheet1!$W:$W,0)</f>
        <v>7300</v>
      </c>
      <c r="U374" s="12">
        <f>_xlfn.XLOOKUP(B374,[1]Sheet1!$B:$B,[1]Sheet1!$X:$X,0)</f>
        <v>7300</v>
      </c>
      <c r="V374" s="12">
        <f>_xlfn.XLOOKUP(B374,[1]Sheet1!$B:$B,[1]Sheet1!$Y:$Y,0)</f>
        <v>7300</v>
      </c>
      <c r="W374" s="12">
        <f t="shared" si="13"/>
        <v>87600</v>
      </c>
      <c r="X374" s="6" t="s">
        <v>469</v>
      </c>
      <c r="Y374" s="6" t="s">
        <v>132</v>
      </c>
      <c r="Z374" s="6" t="s">
        <v>466</v>
      </c>
      <c r="AA374" s="6" t="s">
        <v>84</v>
      </c>
      <c r="AB374" s="6" t="s">
        <v>36</v>
      </c>
      <c r="AC374" s="6" t="s">
        <v>37</v>
      </c>
      <c r="AD374" s="6" t="s">
        <v>468</v>
      </c>
      <c r="AE374" s="6" t="s">
        <v>39</v>
      </c>
      <c r="AF374" s="6" t="s">
        <v>40</v>
      </c>
      <c r="AG374" s="7">
        <v>87600</v>
      </c>
      <c r="AH374" s="11">
        <f>_xlfn.XLOOKUP(B374,[1]Sheet1!$B:$B,[1]Sheet1!$AB:$AB,0)</f>
        <v>87600</v>
      </c>
    </row>
    <row r="375" spans="2:34" ht="16.8" thickTop="1" thickBot="1" x14ac:dyDescent="0.35">
      <c r="B375" s="3" t="str">
        <f t="shared" si="12"/>
        <v>45102304511000515Maintenance-N1426212200104</v>
      </c>
      <c r="C375" s="8" t="s">
        <v>467</v>
      </c>
      <c r="D375" s="8" t="s">
        <v>660</v>
      </c>
      <c r="E375" s="8" t="s">
        <v>661</v>
      </c>
      <c r="F375" s="8" t="s">
        <v>625</v>
      </c>
      <c r="G375" s="4" t="s">
        <v>2814</v>
      </c>
      <c r="H375" s="4" t="s">
        <v>2922</v>
      </c>
      <c r="I375" s="8" t="s">
        <v>96</v>
      </c>
      <c r="J375" s="8" t="s">
        <v>31</v>
      </c>
      <c r="K375" s="12">
        <f>_xlfn.XLOOKUP(B375,[1]Sheet1!$B:$B,[1]Sheet1!$N:$N,0)</f>
        <v>0</v>
      </c>
      <c r="L375" s="12">
        <f>_xlfn.XLOOKUP(B375,[1]Sheet1!$B:$B,[1]Sheet1!$O:$O,0)</f>
        <v>0</v>
      </c>
      <c r="M375" s="12">
        <f>_xlfn.XLOOKUP(B375,[1]Sheet1!$B:$B,[1]Sheet1!$P:$P,0)</f>
        <v>0</v>
      </c>
      <c r="N375" s="12">
        <f>_xlfn.XLOOKUP(B375,[1]Sheet1!$B:$B,[1]Sheet1!$Q:$Q,0)</f>
        <v>12000</v>
      </c>
      <c r="O375" s="12">
        <f>_xlfn.XLOOKUP(B375,[1]Sheet1!$B:$B,[1]Sheet1!$R:$R,0)</f>
        <v>3000</v>
      </c>
      <c r="P375" s="12">
        <f>_xlfn.XLOOKUP(B375,[1]Sheet1!$B:$B,[1]Sheet1!$S:$S,0)</f>
        <v>3000</v>
      </c>
      <c r="Q375" s="12">
        <f>_xlfn.XLOOKUP(B375,[1]Sheet1!$B:$B,[1]Sheet1!$T:$T,0)</f>
        <v>3000</v>
      </c>
      <c r="R375" s="12">
        <f>_xlfn.XLOOKUP(B375,[1]Sheet1!$B:$B,[1]Sheet1!$U:$U,0)</f>
        <v>3000</v>
      </c>
      <c r="S375" s="12">
        <f>_xlfn.XLOOKUP(B375,[1]Sheet1!$B:$B,[1]Sheet1!$V:$V,0)</f>
        <v>3000</v>
      </c>
      <c r="T375" s="12">
        <f>_xlfn.XLOOKUP(B375,[1]Sheet1!$B:$B,[1]Sheet1!$W:$W,0)</f>
        <v>3000</v>
      </c>
      <c r="U375" s="12">
        <f>_xlfn.XLOOKUP(B375,[1]Sheet1!$B:$B,[1]Sheet1!$X:$X,0)</f>
        <v>3000</v>
      </c>
      <c r="V375" s="12">
        <f>_xlfn.XLOOKUP(B375,[1]Sheet1!$B:$B,[1]Sheet1!$Y:$Y,0)</f>
        <v>3000</v>
      </c>
      <c r="W375" s="12">
        <f t="shared" si="13"/>
        <v>36000</v>
      </c>
      <c r="X375" s="8" t="s">
        <v>626</v>
      </c>
      <c r="Y375" s="8" t="s">
        <v>132</v>
      </c>
      <c r="Z375" s="8" t="s">
        <v>466</v>
      </c>
      <c r="AA375" s="8" t="s">
        <v>96</v>
      </c>
      <c r="AB375" s="8" t="s">
        <v>36</v>
      </c>
      <c r="AC375" s="8" t="s">
        <v>37</v>
      </c>
      <c r="AD375" s="8" t="s">
        <v>468</v>
      </c>
      <c r="AE375" s="8" t="s">
        <v>39</v>
      </c>
      <c r="AF375" s="8" t="s">
        <v>40</v>
      </c>
      <c r="AG375" s="9">
        <v>36000</v>
      </c>
      <c r="AH375" s="11">
        <f>_xlfn.XLOOKUP(B375,[1]Sheet1!$B:$B,[1]Sheet1!$AB:$AB,0)</f>
        <v>36000</v>
      </c>
    </row>
    <row r="376" spans="2:34" ht="16.8" thickTop="1" thickBot="1" x14ac:dyDescent="0.35">
      <c r="B376" s="3" t="str">
        <f t="shared" si="12"/>
        <v>45102304511000515Security Service-N1424551200104</v>
      </c>
      <c r="C376" s="6" t="s">
        <v>467</v>
      </c>
      <c r="D376" s="6" t="s">
        <v>660</v>
      </c>
      <c r="E376" s="6" t="s">
        <v>661</v>
      </c>
      <c r="F376" s="6" t="s">
        <v>627</v>
      </c>
      <c r="G376" s="4" t="s">
        <v>2817</v>
      </c>
      <c r="H376" s="4" t="s">
        <v>2922</v>
      </c>
      <c r="I376" s="6" t="s">
        <v>108</v>
      </c>
      <c r="J376" s="6" t="s">
        <v>31</v>
      </c>
      <c r="K376" s="12">
        <f>_xlfn.XLOOKUP(B376,[1]Sheet1!$B:$B,[1]Sheet1!$N:$N,0)</f>
        <v>0</v>
      </c>
      <c r="L376" s="12">
        <f>_xlfn.XLOOKUP(B376,[1]Sheet1!$B:$B,[1]Sheet1!$O:$O,0)</f>
        <v>0</v>
      </c>
      <c r="M376" s="12">
        <f>_xlfn.XLOOKUP(B376,[1]Sheet1!$B:$B,[1]Sheet1!$P:$P,0)</f>
        <v>0</v>
      </c>
      <c r="N376" s="12">
        <f>_xlfn.XLOOKUP(B376,[1]Sheet1!$B:$B,[1]Sheet1!$Q:$Q,0)</f>
        <v>74920</v>
      </c>
      <c r="O376" s="12">
        <f>_xlfn.XLOOKUP(B376,[1]Sheet1!$B:$B,[1]Sheet1!$R:$R,0)</f>
        <v>18730</v>
      </c>
      <c r="P376" s="12">
        <f>_xlfn.XLOOKUP(B376,[1]Sheet1!$B:$B,[1]Sheet1!$S:$S,0)</f>
        <v>18730</v>
      </c>
      <c r="Q376" s="12">
        <f>_xlfn.XLOOKUP(B376,[1]Sheet1!$B:$B,[1]Sheet1!$T:$T,0)</f>
        <v>18730</v>
      </c>
      <c r="R376" s="12">
        <f>_xlfn.XLOOKUP(B376,[1]Sheet1!$B:$B,[1]Sheet1!$U:$U,0)</f>
        <v>18730</v>
      </c>
      <c r="S376" s="12">
        <f>_xlfn.XLOOKUP(B376,[1]Sheet1!$B:$B,[1]Sheet1!$V:$V,0)</f>
        <v>18730</v>
      </c>
      <c r="T376" s="12">
        <f>_xlfn.XLOOKUP(B376,[1]Sheet1!$B:$B,[1]Sheet1!$W:$W,0)</f>
        <v>18730</v>
      </c>
      <c r="U376" s="12">
        <f>_xlfn.XLOOKUP(B376,[1]Sheet1!$B:$B,[1]Sheet1!$X:$X,0)</f>
        <v>18600</v>
      </c>
      <c r="V376" s="12">
        <f>_xlfn.XLOOKUP(B376,[1]Sheet1!$B:$B,[1]Sheet1!$Y:$Y,0)</f>
        <v>18600</v>
      </c>
      <c r="W376" s="12">
        <f t="shared" si="13"/>
        <v>224500</v>
      </c>
      <c r="X376" s="6" t="s">
        <v>628</v>
      </c>
      <c r="Y376" s="6" t="s">
        <v>132</v>
      </c>
      <c r="Z376" s="6" t="s">
        <v>466</v>
      </c>
      <c r="AA376" s="6" t="s">
        <v>108</v>
      </c>
      <c r="AB376" s="6" t="s">
        <v>36</v>
      </c>
      <c r="AC376" s="6" t="s">
        <v>37</v>
      </c>
      <c r="AD376" s="6" t="s">
        <v>468</v>
      </c>
      <c r="AE376" s="6" t="s">
        <v>39</v>
      </c>
      <c r="AF376" s="6" t="s">
        <v>40</v>
      </c>
      <c r="AG376" s="7">
        <v>224500</v>
      </c>
      <c r="AH376" s="11">
        <f>_xlfn.XLOOKUP(B376,[1]Sheet1!$B:$B,[1]Sheet1!$AB:$AB,0)</f>
        <v>224500</v>
      </c>
    </row>
    <row r="377" spans="2:34" ht="16.8" thickTop="1" thickBot="1" x14ac:dyDescent="0.35">
      <c r="B377" s="3" t="str">
        <f t="shared" si="12"/>
        <v>45102304511000517Ad-hoc Repairs-N3426427200104</v>
      </c>
      <c r="C377" s="8" t="s">
        <v>467</v>
      </c>
      <c r="D377" s="8" t="s">
        <v>662</v>
      </c>
      <c r="E377" s="8" t="s">
        <v>663</v>
      </c>
      <c r="F377" s="8" t="s">
        <v>664</v>
      </c>
      <c r="G377" s="4" t="s">
        <v>2808</v>
      </c>
      <c r="H377" s="4" t="s">
        <v>2922</v>
      </c>
      <c r="I377" s="8" t="s">
        <v>71</v>
      </c>
      <c r="J377" s="8" t="s">
        <v>31</v>
      </c>
      <c r="K377" s="12">
        <f>_xlfn.XLOOKUP(B377,[1]Sheet1!$B:$B,[1]Sheet1!$N:$N,0)</f>
        <v>0</v>
      </c>
      <c r="L377" s="12">
        <f>_xlfn.XLOOKUP(B377,[1]Sheet1!$B:$B,[1]Sheet1!$O:$O,0)</f>
        <v>0</v>
      </c>
      <c r="M377" s="12">
        <f>_xlfn.XLOOKUP(B377,[1]Sheet1!$B:$B,[1]Sheet1!$P:$P,0)</f>
        <v>0</v>
      </c>
      <c r="N377" s="12">
        <f>_xlfn.XLOOKUP(B377,[1]Sheet1!$B:$B,[1]Sheet1!$Q:$Q,0)</f>
        <v>106000</v>
      </c>
      <c r="O377" s="12">
        <f>_xlfn.XLOOKUP(B377,[1]Sheet1!$B:$B,[1]Sheet1!$R:$R,0)</f>
        <v>30500</v>
      </c>
      <c r="P377" s="12">
        <f>_xlfn.XLOOKUP(B377,[1]Sheet1!$B:$B,[1]Sheet1!$S:$S,0)</f>
        <v>30500</v>
      </c>
      <c r="Q377" s="12">
        <f>_xlfn.XLOOKUP(B377,[1]Sheet1!$B:$B,[1]Sheet1!$T:$T,0)</f>
        <v>30500</v>
      </c>
      <c r="R377" s="12">
        <f>_xlfn.XLOOKUP(B377,[1]Sheet1!$B:$B,[1]Sheet1!$U:$U,0)</f>
        <v>30500</v>
      </c>
      <c r="S377" s="12">
        <f>_xlfn.XLOOKUP(B377,[1]Sheet1!$B:$B,[1]Sheet1!$V:$V,0)</f>
        <v>30500</v>
      </c>
      <c r="T377" s="12">
        <f>_xlfn.XLOOKUP(B377,[1]Sheet1!$B:$B,[1]Sheet1!$W:$W,0)</f>
        <v>30500</v>
      </c>
      <c r="U377" s="12">
        <f>_xlfn.XLOOKUP(B377,[1]Sheet1!$B:$B,[1]Sheet1!$X:$X,0)</f>
        <v>30500</v>
      </c>
      <c r="V377" s="12">
        <f>_xlfn.XLOOKUP(B377,[1]Sheet1!$B:$B,[1]Sheet1!$Y:$Y,0)</f>
        <v>30500</v>
      </c>
      <c r="W377" s="12">
        <f t="shared" si="13"/>
        <v>350000</v>
      </c>
      <c r="X377" s="8" t="s">
        <v>622</v>
      </c>
      <c r="Y377" s="8" t="s">
        <v>132</v>
      </c>
      <c r="Z377" s="8" t="s">
        <v>466</v>
      </c>
      <c r="AA377" s="8" t="s">
        <v>71</v>
      </c>
      <c r="AB377" s="8" t="s">
        <v>36</v>
      </c>
      <c r="AC377" s="8" t="s">
        <v>37</v>
      </c>
      <c r="AD377" s="8" t="s">
        <v>468</v>
      </c>
      <c r="AE377" s="8" t="s">
        <v>39</v>
      </c>
      <c r="AF377" s="8" t="s">
        <v>40</v>
      </c>
      <c r="AG377" s="9">
        <v>350000</v>
      </c>
      <c r="AH377" s="11">
        <f>_xlfn.XLOOKUP(B377,[1]Sheet1!$B:$B,[1]Sheet1!$AB:$AB,0)</f>
        <v>350000</v>
      </c>
    </row>
    <row r="378" spans="2:34" ht="16.8" thickTop="1" thickBot="1" x14ac:dyDescent="0.35">
      <c r="B378" s="3" t="str">
        <f t="shared" si="12"/>
        <v>45102304511000517Cleaning Service-N1422311200104</v>
      </c>
      <c r="C378" s="6" t="s">
        <v>467</v>
      </c>
      <c r="D378" s="6" t="s">
        <v>662</v>
      </c>
      <c r="E378" s="6" t="s">
        <v>663</v>
      </c>
      <c r="F378" s="6" t="s">
        <v>623</v>
      </c>
      <c r="G378" s="4" t="s">
        <v>2810</v>
      </c>
      <c r="H378" s="4" t="s">
        <v>2922</v>
      </c>
      <c r="I378" s="6" t="s">
        <v>80</v>
      </c>
      <c r="J378" s="6" t="s">
        <v>31</v>
      </c>
      <c r="K378" s="12">
        <f>_xlfn.XLOOKUP(B378,[1]Sheet1!$B:$B,[1]Sheet1!$N:$N,0)</f>
        <v>0</v>
      </c>
      <c r="L378" s="12">
        <f>_xlfn.XLOOKUP(B378,[1]Sheet1!$B:$B,[1]Sheet1!$O:$O,0)</f>
        <v>0</v>
      </c>
      <c r="M378" s="12">
        <f>_xlfn.XLOOKUP(B378,[1]Sheet1!$B:$B,[1]Sheet1!$P:$P,0)</f>
        <v>0</v>
      </c>
      <c r="N378" s="12">
        <f>_xlfn.XLOOKUP(B378,[1]Sheet1!$B:$B,[1]Sheet1!$Q:$Q,0)</f>
        <v>256664</v>
      </c>
      <c r="O378" s="12">
        <f>_xlfn.XLOOKUP(B378,[1]Sheet1!$B:$B,[1]Sheet1!$R:$R,0)</f>
        <v>64167</v>
      </c>
      <c r="P378" s="12">
        <f>_xlfn.XLOOKUP(B378,[1]Sheet1!$B:$B,[1]Sheet1!$S:$S,0)</f>
        <v>64167</v>
      </c>
      <c r="Q378" s="12">
        <f>_xlfn.XLOOKUP(B378,[1]Sheet1!$B:$B,[1]Sheet1!$T:$T,0)</f>
        <v>64167</v>
      </c>
      <c r="R378" s="12">
        <f>_xlfn.XLOOKUP(B378,[1]Sheet1!$B:$B,[1]Sheet1!$U:$U,0)</f>
        <v>64167</v>
      </c>
      <c r="S378" s="12">
        <f>_xlfn.XLOOKUP(B378,[1]Sheet1!$B:$B,[1]Sheet1!$V:$V,0)</f>
        <v>64167</v>
      </c>
      <c r="T378" s="12">
        <f>_xlfn.XLOOKUP(B378,[1]Sheet1!$B:$B,[1]Sheet1!$W:$W,0)</f>
        <v>64167</v>
      </c>
      <c r="U378" s="12">
        <f>_xlfn.XLOOKUP(B378,[1]Sheet1!$B:$B,[1]Sheet1!$X:$X,0)</f>
        <v>64167</v>
      </c>
      <c r="V378" s="12">
        <f>_xlfn.XLOOKUP(B378,[1]Sheet1!$B:$B,[1]Sheet1!$Y:$Y,0)</f>
        <v>64167</v>
      </c>
      <c r="W378" s="12">
        <f t="shared" si="13"/>
        <v>770000</v>
      </c>
      <c r="X378" s="6" t="s">
        <v>624</v>
      </c>
      <c r="Y378" s="6" t="s">
        <v>132</v>
      </c>
      <c r="Z378" s="6" t="s">
        <v>466</v>
      </c>
      <c r="AA378" s="6" t="s">
        <v>80</v>
      </c>
      <c r="AB378" s="6" t="s">
        <v>36</v>
      </c>
      <c r="AC378" s="6" t="s">
        <v>37</v>
      </c>
      <c r="AD378" s="6" t="s">
        <v>468</v>
      </c>
      <c r="AE378" s="6" t="s">
        <v>39</v>
      </c>
      <c r="AF378" s="6" t="s">
        <v>40</v>
      </c>
      <c r="AG378" s="7">
        <v>770000</v>
      </c>
      <c r="AH378" s="11">
        <f>_xlfn.XLOOKUP(B378,[1]Sheet1!$B:$B,[1]Sheet1!$AB:$AB,0)</f>
        <v>770000</v>
      </c>
    </row>
    <row r="379" spans="2:34" ht="16.8" thickTop="1" thickBot="1" x14ac:dyDescent="0.35">
      <c r="B379" s="3" t="str">
        <f t="shared" si="12"/>
        <v>45102304511000517Cooling Bills-N1423931200104</v>
      </c>
      <c r="C379" s="8" t="s">
        <v>467</v>
      </c>
      <c r="D379" s="8" t="s">
        <v>662</v>
      </c>
      <c r="E379" s="8" t="s">
        <v>663</v>
      </c>
      <c r="F379" s="8" t="s">
        <v>665</v>
      </c>
      <c r="G379" s="4" t="s">
        <v>2818</v>
      </c>
      <c r="H379" s="4" t="s">
        <v>2922</v>
      </c>
      <c r="I379" s="8" t="s">
        <v>111</v>
      </c>
      <c r="J379" s="8" t="s">
        <v>31</v>
      </c>
      <c r="K379" s="12">
        <f>_xlfn.XLOOKUP(B379,[1]Sheet1!$B:$B,[1]Sheet1!$N:$N,0)</f>
        <v>0</v>
      </c>
      <c r="L379" s="12">
        <f>_xlfn.XLOOKUP(B379,[1]Sheet1!$B:$B,[1]Sheet1!$O:$O,0)</f>
        <v>0</v>
      </c>
      <c r="M379" s="12">
        <f>_xlfn.XLOOKUP(B379,[1]Sheet1!$B:$B,[1]Sheet1!$P:$P,0)</f>
        <v>0</v>
      </c>
      <c r="N379" s="12">
        <f>_xlfn.XLOOKUP(B379,[1]Sheet1!$B:$B,[1]Sheet1!$Q:$Q,0)</f>
        <v>141473.33333333334</v>
      </c>
      <c r="O379" s="12">
        <f>_xlfn.XLOOKUP(B379,[1]Sheet1!$B:$B,[1]Sheet1!$R:$R,0)</f>
        <v>35743.333333333336</v>
      </c>
      <c r="P379" s="12">
        <f>_xlfn.XLOOKUP(B379,[1]Sheet1!$B:$B,[1]Sheet1!$S:$S,0)</f>
        <v>35743.333333333336</v>
      </c>
      <c r="Q379" s="12">
        <f>_xlfn.XLOOKUP(B379,[1]Sheet1!$B:$B,[1]Sheet1!$T:$T,0)</f>
        <v>35743.333333333336</v>
      </c>
      <c r="R379" s="12">
        <f>_xlfn.XLOOKUP(B379,[1]Sheet1!$B:$B,[1]Sheet1!$U:$U,0)</f>
        <v>35743.333333333336</v>
      </c>
      <c r="S379" s="12">
        <f>_xlfn.XLOOKUP(B379,[1]Sheet1!$B:$B,[1]Sheet1!$V:$V,0)</f>
        <v>35743.333333333336</v>
      </c>
      <c r="T379" s="12">
        <f>_xlfn.XLOOKUP(B379,[1]Sheet1!$B:$B,[1]Sheet1!$W:$W,0)</f>
        <v>35743.333333333336</v>
      </c>
      <c r="U379" s="12">
        <f>_xlfn.XLOOKUP(B379,[1]Sheet1!$B:$B,[1]Sheet1!$X:$X,0)</f>
        <v>35743.333333333336</v>
      </c>
      <c r="V379" s="12">
        <f>_xlfn.XLOOKUP(B379,[1]Sheet1!$B:$B,[1]Sheet1!$Y:$Y,0)</f>
        <v>37243.333333333336</v>
      </c>
      <c r="W379" s="12">
        <f t="shared" si="13"/>
        <v>428919.99999999994</v>
      </c>
      <c r="X379" s="8" t="s">
        <v>666</v>
      </c>
      <c r="Y379" s="8" t="s">
        <v>132</v>
      </c>
      <c r="Z379" s="8" t="s">
        <v>466</v>
      </c>
      <c r="AA379" s="8" t="s">
        <v>111</v>
      </c>
      <c r="AB379" s="8" t="s">
        <v>36</v>
      </c>
      <c r="AC379" s="8" t="s">
        <v>37</v>
      </c>
      <c r="AD379" s="8" t="s">
        <v>468</v>
      </c>
      <c r="AE379" s="8" t="s">
        <v>39</v>
      </c>
      <c r="AF379" s="8" t="s">
        <v>40</v>
      </c>
      <c r="AG379" s="9">
        <v>428920</v>
      </c>
      <c r="AH379" s="11">
        <f>_xlfn.XLOOKUP(B379,[1]Sheet1!$B:$B,[1]Sheet1!$AB:$AB,0)</f>
        <v>428919.99999999994</v>
      </c>
    </row>
    <row r="380" spans="2:34" ht="16.8" thickTop="1" thickBot="1" x14ac:dyDescent="0.35">
      <c r="B380" s="3" t="str">
        <f t="shared" si="12"/>
        <v>45102304511000517FM Mgmnt (E-E)-N1426212200104</v>
      </c>
      <c r="C380" s="6" t="s">
        <v>467</v>
      </c>
      <c r="D380" s="6" t="s">
        <v>662</v>
      </c>
      <c r="E380" s="6" t="s">
        <v>663</v>
      </c>
      <c r="F380" s="6" t="s">
        <v>655</v>
      </c>
      <c r="G380" s="4" t="s">
        <v>2814</v>
      </c>
      <c r="H380" s="4" t="s">
        <v>2922</v>
      </c>
      <c r="I380" s="6" t="s">
        <v>96</v>
      </c>
      <c r="J380" s="6" t="s">
        <v>31</v>
      </c>
      <c r="K380" s="12">
        <f>_xlfn.XLOOKUP(B380,[1]Sheet1!$B:$B,[1]Sheet1!$N:$N,0)</f>
        <v>0</v>
      </c>
      <c r="L380" s="12">
        <f>_xlfn.XLOOKUP(B380,[1]Sheet1!$B:$B,[1]Sheet1!$O:$O,0)</f>
        <v>0</v>
      </c>
      <c r="M380" s="12">
        <f>_xlfn.XLOOKUP(B380,[1]Sheet1!$B:$B,[1]Sheet1!$P:$P,0)</f>
        <v>0</v>
      </c>
      <c r="N380" s="12">
        <f>_xlfn.XLOOKUP(B380,[1]Sheet1!$B:$B,[1]Sheet1!$Q:$Q,0)</f>
        <v>0</v>
      </c>
      <c r="O380" s="12">
        <f>_xlfn.XLOOKUP(B380,[1]Sheet1!$B:$B,[1]Sheet1!$R:$R,0)</f>
        <v>0</v>
      </c>
      <c r="P380" s="12">
        <f>_xlfn.XLOOKUP(B380,[1]Sheet1!$B:$B,[1]Sheet1!$S:$S,0)</f>
        <v>0</v>
      </c>
      <c r="Q380" s="12">
        <f>_xlfn.XLOOKUP(B380,[1]Sheet1!$B:$B,[1]Sheet1!$T:$T,0)</f>
        <v>0</v>
      </c>
      <c r="R380" s="12">
        <f>_xlfn.XLOOKUP(B380,[1]Sheet1!$B:$B,[1]Sheet1!$U:$U,0)</f>
        <v>0</v>
      </c>
      <c r="S380" s="12">
        <f>_xlfn.XLOOKUP(B380,[1]Sheet1!$B:$B,[1]Sheet1!$V:$V,0)</f>
        <v>250000</v>
      </c>
      <c r="T380" s="12">
        <f>_xlfn.XLOOKUP(B380,[1]Sheet1!$B:$B,[1]Sheet1!$W:$W,0)</f>
        <v>0</v>
      </c>
      <c r="U380" s="12">
        <f>_xlfn.XLOOKUP(B380,[1]Sheet1!$B:$B,[1]Sheet1!$X:$X,0)</f>
        <v>0</v>
      </c>
      <c r="V380" s="12">
        <f>_xlfn.XLOOKUP(B380,[1]Sheet1!$B:$B,[1]Sheet1!$Y:$Y,0)</f>
        <v>0</v>
      </c>
      <c r="W380" s="12">
        <f t="shared" si="13"/>
        <v>250000</v>
      </c>
      <c r="X380" s="6" t="s">
        <v>626</v>
      </c>
      <c r="Y380" s="6" t="s">
        <v>132</v>
      </c>
      <c r="Z380" s="6" t="s">
        <v>466</v>
      </c>
      <c r="AA380" s="6" t="s">
        <v>96</v>
      </c>
      <c r="AB380" s="6" t="s">
        <v>36</v>
      </c>
      <c r="AC380" s="6" t="s">
        <v>37</v>
      </c>
      <c r="AD380" s="6" t="s">
        <v>468</v>
      </c>
      <c r="AE380" s="6" t="s">
        <v>39</v>
      </c>
      <c r="AF380" s="6" t="s">
        <v>40</v>
      </c>
      <c r="AG380" s="7">
        <v>250000</v>
      </c>
      <c r="AH380" s="11">
        <f>_xlfn.XLOOKUP(B380,[1]Sheet1!$B:$B,[1]Sheet1!$AB:$AB,0)</f>
        <v>250000</v>
      </c>
    </row>
    <row r="381" spans="2:34" ht="16.8" thickTop="1" thickBot="1" x14ac:dyDescent="0.35">
      <c r="B381" s="3" t="str">
        <f t="shared" si="12"/>
        <v>45102304511000517Facilities Rent-N1425112200104</v>
      </c>
      <c r="C381" s="8" t="s">
        <v>467</v>
      </c>
      <c r="D381" s="8" t="s">
        <v>662</v>
      </c>
      <c r="E381" s="8" t="s">
        <v>663</v>
      </c>
      <c r="F381" s="8" t="s">
        <v>631</v>
      </c>
      <c r="G381" s="4" t="s">
        <v>2848</v>
      </c>
      <c r="H381" s="4" t="s">
        <v>2922</v>
      </c>
      <c r="I381" s="8" t="s">
        <v>533</v>
      </c>
      <c r="J381" s="8" t="s">
        <v>31</v>
      </c>
      <c r="K381" s="12">
        <f>_xlfn.XLOOKUP(B381,[1]Sheet1!$B:$B,[1]Sheet1!$N:$N,0)</f>
        <v>0</v>
      </c>
      <c r="L381" s="12">
        <f>_xlfn.XLOOKUP(B381,[1]Sheet1!$B:$B,[1]Sheet1!$O:$O,0)</f>
        <v>0</v>
      </c>
      <c r="M381" s="12">
        <f>_xlfn.XLOOKUP(B381,[1]Sheet1!$B:$B,[1]Sheet1!$P:$P,0)</f>
        <v>0</v>
      </c>
      <c r="N381" s="12">
        <f>_xlfn.XLOOKUP(B381,[1]Sheet1!$B:$B,[1]Sheet1!$Q:$Q,0)</f>
        <v>22206831.420000002</v>
      </c>
      <c r="O381" s="12">
        <f>_xlfn.XLOOKUP(B381,[1]Sheet1!$B:$B,[1]Sheet1!$R:$R,0)</f>
        <v>0</v>
      </c>
      <c r="P381" s="12">
        <f>_xlfn.XLOOKUP(B381,[1]Sheet1!$B:$B,[1]Sheet1!$S:$S,0)</f>
        <v>0</v>
      </c>
      <c r="Q381" s="12">
        <f>_xlfn.XLOOKUP(B381,[1]Sheet1!$B:$B,[1]Sheet1!$T:$T,0)</f>
        <v>0</v>
      </c>
      <c r="R381" s="12">
        <f>_xlfn.XLOOKUP(B381,[1]Sheet1!$B:$B,[1]Sheet1!$U:$U,0)</f>
        <v>0</v>
      </c>
      <c r="S381" s="12">
        <f>_xlfn.XLOOKUP(B381,[1]Sheet1!$B:$B,[1]Sheet1!$V:$V,0)</f>
        <v>0</v>
      </c>
      <c r="T381" s="12">
        <f>_xlfn.XLOOKUP(B381,[1]Sheet1!$B:$B,[1]Sheet1!$W:$W,0)</f>
        <v>0</v>
      </c>
      <c r="U381" s="12">
        <f>_xlfn.XLOOKUP(B381,[1]Sheet1!$B:$B,[1]Sheet1!$X:$X,0)</f>
        <v>0</v>
      </c>
      <c r="V381" s="12">
        <f>_xlfn.XLOOKUP(B381,[1]Sheet1!$B:$B,[1]Sheet1!$Y:$Y,0)</f>
        <v>0</v>
      </c>
      <c r="W381" s="12">
        <f t="shared" si="13"/>
        <v>22206831.420000002</v>
      </c>
      <c r="X381" s="8" t="s">
        <v>632</v>
      </c>
      <c r="Y381" s="8" t="s">
        <v>132</v>
      </c>
      <c r="Z381" s="8" t="s">
        <v>466</v>
      </c>
      <c r="AA381" s="8" t="s">
        <v>533</v>
      </c>
      <c r="AB381" s="8" t="s">
        <v>36</v>
      </c>
      <c r="AC381" s="8" t="s">
        <v>37</v>
      </c>
      <c r="AD381" s="8" t="s">
        <v>468</v>
      </c>
      <c r="AE381" s="8" t="s">
        <v>39</v>
      </c>
      <c r="AF381" s="8" t="s">
        <v>40</v>
      </c>
      <c r="AG381" s="9">
        <v>22380686</v>
      </c>
      <c r="AH381" s="11">
        <f>_xlfn.XLOOKUP(B381,[1]Sheet1!$B:$B,[1]Sheet1!$AB:$AB,0)</f>
        <v>22380686.420000002</v>
      </c>
    </row>
    <row r="382" spans="2:34" ht="16.8" thickTop="1" thickBot="1" x14ac:dyDescent="0.35">
      <c r="B382" s="3" t="str">
        <f t="shared" si="12"/>
        <v>45102304511000517Hospitality-N1424761200104</v>
      </c>
      <c r="C382" s="6" t="s">
        <v>467</v>
      </c>
      <c r="D382" s="6" t="s">
        <v>662</v>
      </c>
      <c r="E382" s="6" t="s">
        <v>663</v>
      </c>
      <c r="F382" s="6" t="s">
        <v>399</v>
      </c>
      <c r="G382" s="4" t="s">
        <v>2811</v>
      </c>
      <c r="H382" s="4" t="s">
        <v>2922</v>
      </c>
      <c r="I382" s="6" t="s">
        <v>84</v>
      </c>
      <c r="J382" s="6" t="s">
        <v>31</v>
      </c>
      <c r="K382" s="12">
        <f>_xlfn.XLOOKUP(B382,[1]Sheet1!$B:$B,[1]Sheet1!$N:$N,0)</f>
        <v>0</v>
      </c>
      <c r="L382" s="12">
        <f>_xlfn.XLOOKUP(B382,[1]Sheet1!$B:$B,[1]Sheet1!$O:$O,0)</f>
        <v>0</v>
      </c>
      <c r="M382" s="12">
        <f>_xlfn.XLOOKUP(B382,[1]Sheet1!$B:$B,[1]Sheet1!$P:$P,0)</f>
        <v>0</v>
      </c>
      <c r="N382" s="12">
        <f>_xlfn.XLOOKUP(B382,[1]Sheet1!$B:$B,[1]Sheet1!$Q:$Q,0)</f>
        <v>280800</v>
      </c>
      <c r="O382" s="12">
        <f>_xlfn.XLOOKUP(B382,[1]Sheet1!$B:$B,[1]Sheet1!$R:$R,0)</f>
        <v>70200</v>
      </c>
      <c r="P382" s="12">
        <f>_xlfn.XLOOKUP(B382,[1]Sheet1!$B:$B,[1]Sheet1!$S:$S,0)</f>
        <v>70200</v>
      </c>
      <c r="Q382" s="12">
        <f>_xlfn.XLOOKUP(B382,[1]Sheet1!$B:$B,[1]Sheet1!$T:$T,0)</f>
        <v>70200</v>
      </c>
      <c r="R382" s="12">
        <f>_xlfn.XLOOKUP(B382,[1]Sheet1!$B:$B,[1]Sheet1!$U:$U,0)</f>
        <v>70200</v>
      </c>
      <c r="S382" s="12">
        <f>_xlfn.XLOOKUP(B382,[1]Sheet1!$B:$B,[1]Sheet1!$V:$V,0)</f>
        <v>70200</v>
      </c>
      <c r="T382" s="12">
        <f>_xlfn.XLOOKUP(B382,[1]Sheet1!$B:$B,[1]Sheet1!$W:$W,0)</f>
        <v>70200</v>
      </c>
      <c r="U382" s="12">
        <f>_xlfn.XLOOKUP(B382,[1]Sheet1!$B:$B,[1]Sheet1!$X:$X,0)</f>
        <v>70200</v>
      </c>
      <c r="V382" s="12">
        <f>_xlfn.XLOOKUP(B382,[1]Sheet1!$B:$B,[1]Sheet1!$Y:$Y,0)</f>
        <v>70200</v>
      </c>
      <c r="W382" s="12">
        <f t="shared" si="13"/>
        <v>842400</v>
      </c>
      <c r="X382" s="6" t="s">
        <v>469</v>
      </c>
      <c r="Y382" s="6" t="s">
        <v>132</v>
      </c>
      <c r="Z382" s="6" t="s">
        <v>466</v>
      </c>
      <c r="AA382" s="6" t="s">
        <v>84</v>
      </c>
      <c r="AB382" s="6" t="s">
        <v>36</v>
      </c>
      <c r="AC382" s="6" t="s">
        <v>37</v>
      </c>
      <c r="AD382" s="6" t="s">
        <v>468</v>
      </c>
      <c r="AE382" s="6" t="s">
        <v>39</v>
      </c>
      <c r="AF382" s="6" t="s">
        <v>40</v>
      </c>
      <c r="AG382" s="7">
        <v>842400</v>
      </c>
      <c r="AH382" s="11">
        <f>_xlfn.XLOOKUP(B382,[1]Sheet1!$B:$B,[1]Sheet1!$AB:$AB,0)</f>
        <v>842400</v>
      </c>
    </row>
    <row r="383" spans="2:34" ht="16.8" thickTop="1" thickBot="1" x14ac:dyDescent="0.35">
      <c r="B383" s="3" t="str">
        <f t="shared" si="12"/>
        <v>45102304511000517Interior Fit Out-NC2491711300105</v>
      </c>
      <c r="C383" s="8" t="s">
        <v>467</v>
      </c>
      <c r="D383" s="8" t="s">
        <v>662</v>
      </c>
      <c r="E383" s="8" t="s">
        <v>663</v>
      </c>
      <c r="F383" s="8" t="s">
        <v>650</v>
      </c>
      <c r="G383" s="4" t="s">
        <v>2854</v>
      </c>
      <c r="H383" s="4" t="s">
        <v>2923</v>
      </c>
      <c r="I383" s="8" t="s">
        <v>639</v>
      </c>
      <c r="J383" s="8" t="s">
        <v>31</v>
      </c>
      <c r="K383" s="12">
        <f>_xlfn.XLOOKUP(B383,[1]Sheet1!$B:$B,[1]Sheet1!$N:$N,0)</f>
        <v>0</v>
      </c>
      <c r="L383" s="12">
        <f>_xlfn.XLOOKUP(B383,[1]Sheet1!$B:$B,[1]Sheet1!$O:$O,0)</f>
        <v>0</v>
      </c>
      <c r="M383" s="12">
        <f>_xlfn.XLOOKUP(B383,[1]Sheet1!$B:$B,[1]Sheet1!$P:$P,0)</f>
        <v>0</v>
      </c>
      <c r="N383" s="12">
        <f>_xlfn.XLOOKUP(B383,[1]Sheet1!$B:$B,[1]Sheet1!$Q:$Q,0)</f>
        <v>50000</v>
      </c>
      <c r="O383" s="12">
        <f>_xlfn.XLOOKUP(B383,[1]Sheet1!$B:$B,[1]Sheet1!$R:$R,0)</f>
        <v>50000</v>
      </c>
      <c r="P383" s="12">
        <f>_xlfn.XLOOKUP(B383,[1]Sheet1!$B:$B,[1]Sheet1!$S:$S,0)</f>
        <v>0</v>
      </c>
      <c r="Q383" s="12">
        <f>_xlfn.XLOOKUP(B383,[1]Sheet1!$B:$B,[1]Sheet1!$T:$T,0)</f>
        <v>183000</v>
      </c>
      <c r="R383" s="12">
        <f>_xlfn.XLOOKUP(B383,[1]Sheet1!$B:$B,[1]Sheet1!$U:$U,0)</f>
        <v>0</v>
      </c>
      <c r="S383" s="12">
        <f>_xlfn.XLOOKUP(B383,[1]Sheet1!$B:$B,[1]Sheet1!$V:$V,0)</f>
        <v>0</v>
      </c>
      <c r="T383" s="12">
        <f>_xlfn.XLOOKUP(B383,[1]Sheet1!$B:$B,[1]Sheet1!$W:$W,0)</f>
        <v>50000</v>
      </c>
      <c r="U383" s="12">
        <f>_xlfn.XLOOKUP(B383,[1]Sheet1!$B:$B,[1]Sheet1!$X:$X,0)</f>
        <v>0</v>
      </c>
      <c r="V383" s="12">
        <f>_xlfn.XLOOKUP(B383,[1]Sheet1!$B:$B,[1]Sheet1!$Y:$Y,0)</f>
        <v>0</v>
      </c>
      <c r="W383" s="12">
        <f t="shared" si="13"/>
        <v>333000</v>
      </c>
      <c r="X383" s="8" t="s">
        <v>640</v>
      </c>
      <c r="Y383" s="8" t="s">
        <v>132</v>
      </c>
      <c r="Z383" s="8" t="s">
        <v>466</v>
      </c>
      <c r="AA383" s="8" t="s">
        <v>639</v>
      </c>
      <c r="AB383" s="8" t="s">
        <v>93</v>
      </c>
      <c r="AC383" s="8" t="s">
        <v>94</v>
      </c>
      <c r="AD383" s="8" t="s">
        <v>468</v>
      </c>
      <c r="AE383" s="8" t="s">
        <v>39</v>
      </c>
      <c r="AF383" s="8" t="s">
        <v>40</v>
      </c>
      <c r="AG383" s="9">
        <v>333000</v>
      </c>
      <c r="AH383" s="11">
        <f>_xlfn.XLOOKUP(B383,[1]Sheet1!$B:$B,[1]Sheet1!$AB:$AB,0)</f>
        <v>333000</v>
      </c>
    </row>
    <row r="384" spans="2:34" ht="16.8" thickTop="1" thickBot="1" x14ac:dyDescent="0.35">
      <c r="B384" s="3" t="str">
        <f t="shared" si="12"/>
        <v>45102304511000517Maintenance-N1426212200104</v>
      </c>
      <c r="C384" s="6" t="s">
        <v>467</v>
      </c>
      <c r="D384" s="6" t="s">
        <v>662</v>
      </c>
      <c r="E384" s="6" t="s">
        <v>663</v>
      </c>
      <c r="F384" s="6" t="s">
        <v>625</v>
      </c>
      <c r="G384" s="4" t="s">
        <v>2814</v>
      </c>
      <c r="H384" s="4" t="s">
        <v>2922</v>
      </c>
      <c r="I384" s="6" t="s">
        <v>96</v>
      </c>
      <c r="J384" s="6" t="s">
        <v>31</v>
      </c>
      <c r="K384" s="12">
        <f>_xlfn.XLOOKUP(B384,[1]Sheet1!$B:$B,[1]Sheet1!$N:$N,0)</f>
        <v>0</v>
      </c>
      <c r="L384" s="12">
        <f>_xlfn.XLOOKUP(B384,[1]Sheet1!$B:$B,[1]Sheet1!$O:$O,0)</f>
        <v>0</v>
      </c>
      <c r="M384" s="12">
        <f>_xlfn.XLOOKUP(B384,[1]Sheet1!$B:$B,[1]Sheet1!$P:$P,0)</f>
        <v>0</v>
      </c>
      <c r="N384" s="12">
        <f>_xlfn.XLOOKUP(B384,[1]Sheet1!$B:$B,[1]Sheet1!$Q:$Q,0)</f>
        <v>157327.67999999999</v>
      </c>
      <c r="O384" s="12">
        <f>_xlfn.XLOOKUP(B384,[1]Sheet1!$B:$B,[1]Sheet1!$R:$R,0)</f>
        <v>39331.919999999998</v>
      </c>
      <c r="P384" s="12">
        <f>_xlfn.XLOOKUP(B384,[1]Sheet1!$B:$B,[1]Sheet1!$S:$S,0)</f>
        <v>39331.919999999998</v>
      </c>
      <c r="Q384" s="12">
        <f>_xlfn.XLOOKUP(B384,[1]Sheet1!$B:$B,[1]Sheet1!$T:$T,0)</f>
        <v>39331.919999999998</v>
      </c>
      <c r="R384" s="12">
        <f>_xlfn.XLOOKUP(B384,[1]Sheet1!$B:$B,[1]Sheet1!$U:$U,0)</f>
        <v>39331.919999999998</v>
      </c>
      <c r="S384" s="12">
        <f>_xlfn.XLOOKUP(B384,[1]Sheet1!$B:$B,[1]Sheet1!$V:$V,0)</f>
        <v>39331.919999999998</v>
      </c>
      <c r="T384" s="12">
        <f>_xlfn.XLOOKUP(B384,[1]Sheet1!$B:$B,[1]Sheet1!$W:$W,0)</f>
        <v>39331.919999999998</v>
      </c>
      <c r="U384" s="12">
        <f>_xlfn.XLOOKUP(B384,[1]Sheet1!$B:$B,[1]Sheet1!$X:$X,0)</f>
        <v>39331.919999999998</v>
      </c>
      <c r="V384" s="12">
        <f>_xlfn.XLOOKUP(B384,[1]Sheet1!$B:$B,[1]Sheet1!$Y:$Y,0)</f>
        <v>39331.919999999998</v>
      </c>
      <c r="W384" s="12">
        <f t="shared" si="13"/>
        <v>471983.03999999986</v>
      </c>
      <c r="X384" s="6" t="s">
        <v>626</v>
      </c>
      <c r="Y384" s="6" t="s">
        <v>132</v>
      </c>
      <c r="Z384" s="6" t="s">
        <v>466</v>
      </c>
      <c r="AA384" s="6" t="s">
        <v>96</v>
      </c>
      <c r="AB384" s="6" t="s">
        <v>36</v>
      </c>
      <c r="AC384" s="6" t="s">
        <v>37</v>
      </c>
      <c r="AD384" s="6" t="s">
        <v>468</v>
      </c>
      <c r="AE384" s="6" t="s">
        <v>39</v>
      </c>
      <c r="AF384" s="6" t="s">
        <v>40</v>
      </c>
      <c r="AG384" s="7">
        <v>471983</v>
      </c>
      <c r="AH384" s="11">
        <f>_xlfn.XLOOKUP(B384,[1]Sheet1!$B:$B,[1]Sheet1!$AB:$AB,0)</f>
        <v>471983.03999999986</v>
      </c>
    </row>
    <row r="385" spans="2:34" ht="16.8" thickTop="1" thickBot="1" x14ac:dyDescent="0.35">
      <c r="B385" s="3" t="str">
        <f t="shared" si="12"/>
        <v>45102304511000517Manpower-N424521200104</v>
      </c>
      <c r="C385" s="8" t="s">
        <v>467</v>
      </c>
      <c r="D385" s="8" t="s">
        <v>662</v>
      </c>
      <c r="E385" s="8" t="s">
        <v>663</v>
      </c>
      <c r="F385" s="8" t="s">
        <v>98</v>
      </c>
      <c r="G385" s="4" t="s">
        <v>2804</v>
      </c>
      <c r="H385" s="4" t="s">
        <v>2922</v>
      </c>
      <c r="I385" s="8" t="s">
        <v>51</v>
      </c>
      <c r="J385" s="8" t="s">
        <v>31</v>
      </c>
      <c r="K385" s="12">
        <f>_xlfn.XLOOKUP(B385,[1]Sheet1!$B:$B,[1]Sheet1!$N:$N,0)</f>
        <v>0</v>
      </c>
      <c r="L385" s="12">
        <f>_xlfn.XLOOKUP(B385,[1]Sheet1!$B:$B,[1]Sheet1!$O:$O,0)</f>
        <v>0</v>
      </c>
      <c r="M385" s="12">
        <f>_xlfn.XLOOKUP(B385,[1]Sheet1!$B:$B,[1]Sheet1!$P:$P,0)</f>
        <v>0</v>
      </c>
      <c r="N385" s="12">
        <f>_xlfn.XLOOKUP(B385,[1]Sheet1!$B:$B,[1]Sheet1!$Q:$Q,0)</f>
        <v>175600</v>
      </c>
      <c r="O385" s="12">
        <f>_xlfn.XLOOKUP(B385,[1]Sheet1!$B:$B,[1]Sheet1!$R:$R,0)</f>
        <v>43900</v>
      </c>
      <c r="P385" s="12">
        <f>_xlfn.XLOOKUP(B385,[1]Sheet1!$B:$B,[1]Sheet1!$S:$S,0)</f>
        <v>43900</v>
      </c>
      <c r="Q385" s="12">
        <f>_xlfn.XLOOKUP(B385,[1]Sheet1!$B:$B,[1]Sheet1!$T:$T,0)</f>
        <v>43900</v>
      </c>
      <c r="R385" s="12">
        <f>_xlfn.XLOOKUP(B385,[1]Sheet1!$B:$B,[1]Sheet1!$U:$U,0)</f>
        <v>43900</v>
      </c>
      <c r="S385" s="12">
        <f>_xlfn.XLOOKUP(B385,[1]Sheet1!$B:$B,[1]Sheet1!$V:$V,0)</f>
        <v>43900</v>
      </c>
      <c r="T385" s="12">
        <f>_xlfn.XLOOKUP(B385,[1]Sheet1!$B:$B,[1]Sheet1!$W:$W,0)</f>
        <v>43900</v>
      </c>
      <c r="U385" s="12">
        <f>_xlfn.XLOOKUP(B385,[1]Sheet1!$B:$B,[1]Sheet1!$X:$X,0)</f>
        <v>43900</v>
      </c>
      <c r="V385" s="12">
        <f>_xlfn.XLOOKUP(B385,[1]Sheet1!$B:$B,[1]Sheet1!$Y:$Y,0)</f>
        <v>43900</v>
      </c>
      <c r="W385" s="12">
        <f t="shared" si="13"/>
        <v>526800</v>
      </c>
      <c r="X385" s="8" t="s">
        <v>471</v>
      </c>
      <c r="Y385" s="8" t="s">
        <v>132</v>
      </c>
      <c r="Z385" s="8" t="s">
        <v>466</v>
      </c>
      <c r="AA385" s="8" t="s">
        <v>53</v>
      </c>
      <c r="AB385" s="8" t="s">
        <v>36</v>
      </c>
      <c r="AC385" s="8" t="s">
        <v>37</v>
      </c>
      <c r="AD385" s="8" t="s">
        <v>468</v>
      </c>
      <c r="AE385" s="8" t="s">
        <v>39</v>
      </c>
      <c r="AF385" s="8" t="s">
        <v>40</v>
      </c>
      <c r="AG385" s="9">
        <v>526800</v>
      </c>
      <c r="AH385" s="11">
        <f>_xlfn.XLOOKUP(B385,[1]Sheet1!$B:$B,[1]Sheet1!$AB:$AB,0)</f>
        <v>526800</v>
      </c>
    </row>
    <row r="386" spans="2:34" ht="16.8" thickTop="1" thickBot="1" x14ac:dyDescent="0.35">
      <c r="B386" s="3" t="str">
        <f t="shared" si="12"/>
        <v>45102304511000517Other Expenses-N1424991200104</v>
      </c>
      <c r="C386" s="6" t="s">
        <v>467</v>
      </c>
      <c r="D386" s="6" t="s">
        <v>662</v>
      </c>
      <c r="E386" s="6" t="s">
        <v>663</v>
      </c>
      <c r="F386" s="6" t="s">
        <v>667</v>
      </c>
      <c r="G386" s="4" t="s">
        <v>2806</v>
      </c>
      <c r="H386" s="4" t="s">
        <v>2922</v>
      </c>
      <c r="I386" s="6" t="s">
        <v>58</v>
      </c>
      <c r="J386" s="6" t="s">
        <v>31</v>
      </c>
      <c r="K386" s="12">
        <f>_xlfn.XLOOKUP(B386,[1]Sheet1!$B:$B,[1]Sheet1!$N:$N,0)</f>
        <v>0</v>
      </c>
      <c r="L386" s="12">
        <f>_xlfn.XLOOKUP(B386,[1]Sheet1!$B:$B,[1]Sheet1!$O:$O,0)</f>
        <v>0</v>
      </c>
      <c r="M386" s="12">
        <f>_xlfn.XLOOKUP(B386,[1]Sheet1!$B:$B,[1]Sheet1!$P:$P,0)</f>
        <v>0</v>
      </c>
      <c r="N386" s="12">
        <f>_xlfn.XLOOKUP(B386,[1]Sheet1!$B:$B,[1]Sheet1!$Q:$Q,0)</f>
        <v>18240</v>
      </c>
      <c r="O386" s="12">
        <f>_xlfn.XLOOKUP(B386,[1]Sheet1!$B:$B,[1]Sheet1!$R:$R,0)</f>
        <v>4560</v>
      </c>
      <c r="P386" s="12">
        <f>_xlfn.XLOOKUP(B386,[1]Sheet1!$B:$B,[1]Sheet1!$S:$S,0)</f>
        <v>4560</v>
      </c>
      <c r="Q386" s="12">
        <f>_xlfn.XLOOKUP(B386,[1]Sheet1!$B:$B,[1]Sheet1!$T:$T,0)</f>
        <v>4560</v>
      </c>
      <c r="R386" s="12">
        <f>_xlfn.XLOOKUP(B386,[1]Sheet1!$B:$B,[1]Sheet1!$U:$U,0)</f>
        <v>4560</v>
      </c>
      <c r="S386" s="12">
        <f>_xlfn.XLOOKUP(B386,[1]Sheet1!$B:$B,[1]Sheet1!$V:$V,0)</f>
        <v>4560</v>
      </c>
      <c r="T386" s="12">
        <f>_xlfn.XLOOKUP(B386,[1]Sheet1!$B:$B,[1]Sheet1!$W:$W,0)</f>
        <v>4560</v>
      </c>
      <c r="U386" s="12">
        <f>_xlfn.XLOOKUP(B386,[1]Sheet1!$B:$B,[1]Sheet1!$X:$X,0)</f>
        <v>4560</v>
      </c>
      <c r="V386" s="12">
        <f>_xlfn.XLOOKUP(B386,[1]Sheet1!$B:$B,[1]Sheet1!$Y:$Y,0)</f>
        <v>4595</v>
      </c>
      <c r="W386" s="12">
        <f t="shared" si="13"/>
        <v>54755</v>
      </c>
      <c r="X386" s="6" t="s">
        <v>668</v>
      </c>
      <c r="Y386" s="6" t="s">
        <v>132</v>
      </c>
      <c r="Z386" s="6" t="s">
        <v>466</v>
      </c>
      <c r="AA386" s="6" t="s">
        <v>58</v>
      </c>
      <c r="AB386" s="6" t="s">
        <v>36</v>
      </c>
      <c r="AC386" s="6" t="s">
        <v>37</v>
      </c>
      <c r="AD386" s="6" t="s">
        <v>468</v>
      </c>
      <c r="AE386" s="6" t="s">
        <v>39</v>
      </c>
      <c r="AF386" s="6" t="s">
        <v>40</v>
      </c>
      <c r="AG386" s="7">
        <v>54755</v>
      </c>
      <c r="AH386" s="11">
        <f>_xlfn.XLOOKUP(B386,[1]Sheet1!$B:$B,[1]Sheet1!$AB:$AB,0)</f>
        <v>54755</v>
      </c>
    </row>
    <row r="387" spans="2:34" ht="16.8" thickTop="1" thickBot="1" x14ac:dyDescent="0.35">
      <c r="B387" s="3" t="str">
        <f t="shared" si="12"/>
        <v>45102304511000517Pantry Supplies-N1431316200104</v>
      </c>
      <c r="C387" s="8" t="s">
        <v>467</v>
      </c>
      <c r="D387" s="8" t="s">
        <v>662</v>
      </c>
      <c r="E387" s="8" t="s">
        <v>663</v>
      </c>
      <c r="F387" s="8" t="s">
        <v>669</v>
      </c>
      <c r="G387" s="4" t="s">
        <v>2855</v>
      </c>
      <c r="H387" s="4" t="s">
        <v>2922</v>
      </c>
      <c r="I387" s="8" t="s">
        <v>670</v>
      </c>
      <c r="J387" s="8" t="s">
        <v>31</v>
      </c>
      <c r="K387" s="12">
        <f>_xlfn.XLOOKUP(B387,[1]Sheet1!$B:$B,[1]Sheet1!$N:$N,0)</f>
        <v>0</v>
      </c>
      <c r="L387" s="12">
        <f>_xlfn.XLOOKUP(B387,[1]Sheet1!$B:$B,[1]Sheet1!$O:$O,0)</f>
        <v>0</v>
      </c>
      <c r="M387" s="12">
        <f>_xlfn.XLOOKUP(B387,[1]Sheet1!$B:$B,[1]Sheet1!$P:$P,0)</f>
        <v>0</v>
      </c>
      <c r="N387" s="12">
        <f>_xlfn.XLOOKUP(B387,[1]Sheet1!$B:$B,[1]Sheet1!$Q:$Q,0)</f>
        <v>270000</v>
      </c>
      <c r="O387" s="12">
        <f>_xlfn.XLOOKUP(B387,[1]Sheet1!$B:$B,[1]Sheet1!$R:$R,0)</f>
        <v>70000</v>
      </c>
      <c r="P387" s="12">
        <f>_xlfn.XLOOKUP(B387,[1]Sheet1!$B:$B,[1]Sheet1!$S:$S,0)</f>
        <v>70000</v>
      </c>
      <c r="Q387" s="12">
        <f>_xlfn.XLOOKUP(B387,[1]Sheet1!$B:$B,[1]Sheet1!$T:$T,0)</f>
        <v>70000</v>
      </c>
      <c r="R387" s="12">
        <f>_xlfn.XLOOKUP(B387,[1]Sheet1!$B:$B,[1]Sheet1!$U:$U,0)</f>
        <v>70000</v>
      </c>
      <c r="S387" s="12">
        <f>_xlfn.XLOOKUP(B387,[1]Sheet1!$B:$B,[1]Sheet1!$V:$V,0)</f>
        <v>70000</v>
      </c>
      <c r="T387" s="12">
        <f>_xlfn.XLOOKUP(B387,[1]Sheet1!$B:$B,[1]Sheet1!$W:$W,0)</f>
        <v>70000</v>
      </c>
      <c r="U387" s="12">
        <f>_xlfn.XLOOKUP(B387,[1]Sheet1!$B:$B,[1]Sheet1!$X:$X,0)</f>
        <v>70000</v>
      </c>
      <c r="V387" s="12">
        <f>_xlfn.XLOOKUP(B387,[1]Sheet1!$B:$B,[1]Sheet1!$Y:$Y,0)</f>
        <v>70000</v>
      </c>
      <c r="W387" s="12">
        <f t="shared" si="13"/>
        <v>830000</v>
      </c>
      <c r="X387" s="8" t="s">
        <v>671</v>
      </c>
      <c r="Y387" s="8" t="s">
        <v>132</v>
      </c>
      <c r="Z387" s="8" t="s">
        <v>466</v>
      </c>
      <c r="AA387" s="8" t="s">
        <v>672</v>
      </c>
      <c r="AB387" s="8" t="s">
        <v>36</v>
      </c>
      <c r="AC387" s="8" t="s">
        <v>37</v>
      </c>
      <c r="AD387" s="8" t="s">
        <v>468</v>
      </c>
      <c r="AE387" s="8" t="s">
        <v>39</v>
      </c>
      <c r="AF387" s="8" t="s">
        <v>40</v>
      </c>
      <c r="AG387" s="9">
        <v>830000</v>
      </c>
      <c r="AH387" s="11">
        <f>_xlfn.XLOOKUP(B387,[1]Sheet1!$B:$B,[1]Sheet1!$AB:$AB,0)</f>
        <v>830000</v>
      </c>
    </row>
    <row r="388" spans="2:34" ht="16.8" thickTop="1" thickBot="1" x14ac:dyDescent="0.35">
      <c r="B388" s="3" t="str">
        <f t="shared" ref="B388:B451" si="14">C388&amp;D388&amp;F388&amp;G388&amp;H388</f>
        <v>45102304511000517Parking Fees-N1425112200104</v>
      </c>
      <c r="C388" s="6" t="s">
        <v>467</v>
      </c>
      <c r="D388" s="6" t="s">
        <v>662</v>
      </c>
      <c r="E388" s="6" t="s">
        <v>663</v>
      </c>
      <c r="F388" s="6" t="s">
        <v>673</v>
      </c>
      <c r="G388" s="4" t="s">
        <v>2848</v>
      </c>
      <c r="H388" s="4" t="s">
        <v>2922</v>
      </c>
      <c r="I388" s="6" t="s">
        <v>533</v>
      </c>
      <c r="J388" s="6" t="s">
        <v>31</v>
      </c>
      <c r="K388" s="12">
        <f>_xlfn.XLOOKUP(B388,[1]Sheet1!$B:$B,[1]Sheet1!$N:$N,0)</f>
        <v>0</v>
      </c>
      <c r="L388" s="12">
        <f>_xlfn.XLOOKUP(B388,[1]Sheet1!$B:$B,[1]Sheet1!$O:$O,0)</f>
        <v>0</v>
      </c>
      <c r="M388" s="12">
        <f>_xlfn.XLOOKUP(B388,[1]Sheet1!$B:$B,[1]Sheet1!$P:$P,0)</f>
        <v>96000</v>
      </c>
      <c r="N388" s="12">
        <f>_xlfn.XLOOKUP(B388,[1]Sheet1!$B:$B,[1]Sheet1!$Q:$Q,0)</f>
        <v>652400</v>
      </c>
      <c r="O388" s="12">
        <f>_xlfn.XLOOKUP(B388,[1]Sheet1!$B:$B,[1]Sheet1!$R:$R,0)</f>
        <v>25100</v>
      </c>
      <c r="P388" s="12">
        <f>_xlfn.XLOOKUP(B388,[1]Sheet1!$B:$B,[1]Sheet1!$S:$S,0)</f>
        <v>32300</v>
      </c>
      <c r="Q388" s="12">
        <f>_xlfn.XLOOKUP(B388,[1]Sheet1!$B:$B,[1]Sheet1!$T:$T,0)</f>
        <v>38300</v>
      </c>
      <c r="R388" s="12">
        <f>_xlfn.XLOOKUP(B388,[1]Sheet1!$B:$B,[1]Sheet1!$U:$U,0)</f>
        <v>56300</v>
      </c>
      <c r="S388" s="12">
        <f>_xlfn.XLOOKUP(B388,[1]Sheet1!$B:$B,[1]Sheet1!$V:$V,0)</f>
        <v>46700</v>
      </c>
      <c r="T388" s="12">
        <f>_xlfn.XLOOKUP(B388,[1]Sheet1!$B:$B,[1]Sheet1!$W:$W,0)</f>
        <v>61100</v>
      </c>
      <c r="U388" s="12">
        <f>_xlfn.XLOOKUP(B388,[1]Sheet1!$B:$B,[1]Sheet1!$X:$X,0)</f>
        <v>63500</v>
      </c>
      <c r="V388" s="12">
        <f>_xlfn.XLOOKUP(B388,[1]Sheet1!$B:$B,[1]Sheet1!$Y:$Y,0)</f>
        <v>73100</v>
      </c>
      <c r="W388" s="12">
        <f t="shared" ref="W388:W451" si="15">SUM(K388:V388)</f>
        <v>1144800</v>
      </c>
      <c r="X388" s="6" t="s">
        <v>632</v>
      </c>
      <c r="Y388" s="6" t="s">
        <v>132</v>
      </c>
      <c r="Z388" s="6" t="s">
        <v>466</v>
      </c>
      <c r="AA388" s="6" t="s">
        <v>533</v>
      </c>
      <c r="AB388" s="6" t="s">
        <v>36</v>
      </c>
      <c r="AC388" s="6" t="s">
        <v>37</v>
      </c>
      <c r="AD388" s="6" t="s">
        <v>468</v>
      </c>
      <c r="AE388" s="6" t="s">
        <v>39</v>
      </c>
      <c r="AF388" s="6" t="s">
        <v>40</v>
      </c>
      <c r="AG388" s="7">
        <v>1144800</v>
      </c>
      <c r="AH388" s="11">
        <f>_xlfn.XLOOKUP(B388,[1]Sheet1!$B:$B,[1]Sheet1!$AB:$AB,0)</f>
        <v>1144800</v>
      </c>
    </row>
    <row r="389" spans="2:34" ht="16.8" thickTop="1" thickBot="1" x14ac:dyDescent="0.35">
      <c r="B389" s="3" t="str">
        <f t="shared" si="14"/>
        <v>45102304511000517Security Service-N1424551200104</v>
      </c>
      <c r="C389" s="8" t="s">
        <v>467</v>
      </c>
      <c r="D389" s="8" t="s">
        <v>662</v>
      </c>
      <c r="E389" s="8" t="s">
        <v>663</v>
      </c>
      <c r="F389" s="8" t="s">
        <v>627</v>
      </c>
      <c r="G389" s="4" t="s">
        <v>2817</v>
      </c>
      <c r="H389" s="4" t="s">
        <v>2922</v>
      </c>
      <c r="I389" s="8" t="s">
        <v>108</v>
      </c>
      <c r="J389" s="8" t="s">
        <v>31</v>
      </c>
      <c r="K389" s="12">
        <f>_xlfn.XLOOKUP(B389,[1]Sheet1!$B:$B,[1]Sheet1!$N:$N,0)</f>
        <v>0</v>
      </c>
      <c r="L389" s="12">
        <f>_xlfn.XLOOKUP(B389,[1]Sheet1!$B:$B,[1]Sheet1!$O:$O,0)</f>
        <v>0</v>
      </c>
      <c r="M389" s="12">
        <f>_xlfn.XLOOKUP(B389,[1]Sheet1!$B:$B,[1]Sheet1!$P:$P,0)</f>
        <v>0</v>
      </c>
      <c r="N389" s="12">
        <f>_xlfn.XLOOKUP(B389,[1]Sheet1!$B:$B,[1]Sheet1!$Q:$Q,0)</f>
        <v>178000</v>
      </c>
      <c r="O389" s="12">
        <f>_xlfn.XLOOKUP(B389,[1]Sheet1!$B:$B,[1]Sheet1!$R:$R,0)</f>
        <v>44500</v>
      </c>
      <c r="P389" s="12">
        <f>_xlfn.XLOOKUP(B389,[1]Sheet1!$B:$B,[1]Sheet1!$S:$S,0)</f>
        <v>44500</v>
      </c>
      <c r="Q389" s="12">
        <f>_xlfn.XLOOKUP(B389,[1]Sheet1!$B:$B,[1]Sheet1!$T:$T,0)</f>
        <v>44500</v>
      </c>
      <c r="R389" s="12">
        <f>_xlfn.XLOOKUP(B389,[1]Sheet1!$B:$B,[1]Sheet1!$U:$U,0)</f>
        <v>44500</v>
      </c>
      <c r="S389" s="12">
        <f>_xlfn.XLOOKUP(B389,[1]Sheet1!$B:$B,[1]Sheet1!$V:$V,0)</f>
        <v>44500</v>
      </c>
      <c r="T389" s="12">
        <f>_xlfn.XLOOKUP(B389,[1]Sheet1!$B:$B,[1]Sheet1!$W:$W,0)</f>
        <v>44500</v>
      </c>
      <c r="U389" s="12">
        <f>_xlfn.XLOOKUP(B389,[1]Sheet1!$B:$B,[1]Sheet1!$X:$X,0)</f>
        <v>44500</v>
      </c>
      <c r="V389" s="12">
        <f>_xlfn.XLOOKUP(B389,[1]Sheet1!$B:$B,[1]Sheet1!$Y:$Y,0)</f>
        <v>44500</v>
      </c>
      <c r="W389" s="12">
        <f t="shared" si="15"/>
        <v>534000</v>
      </c>
      <c r="X389" s="8" t="s">
        <v>628</v>
      </c>
      <c r="Y389" s="8" t="s">
        <v>132</v>
      </c>
      <c r="Z389" s="8" t="s">
        <v>466</v>
      </c>
      <c r="AA389" s="8" t="s">
        <v>108</v>
      </c>
      <c r="AB389" s="8" t="s">
        <v>36</v>
      </c>
      <c r="AC389" s="8" t="s">
        <v>37</v>
      </c>
      <c r="AD389" s="8" t="s">
        <v>468</v>
      </c>
      <c r="AE389" s="8" t="s">
        <v>39</v>
      </c>
      <c r="AF389" s="8" t="s">
        <v>40</v>
      </c>
      <c r="AG389" s="9">
        <v>534000</v>
      </c>
      <c r="AH389" s="11">
        <f>_xlfn.XLOOKUP(B389,[1]Sheet1!$B:$B,[1]Sheet1!$AB:$AB,0)</f>
        <v>534000</v>
      </c>
    </row>
    <row r="390" spans="2:34" ht="16.8" thickTop="1" thickBot="1" x14ac:dyDescent="0.35">
      <c r="B390" s="3" t="str">
        <f t="shared" si="14"/>
        <v>45102304511000519Ad-hoc Repairs-N1426427200104</v>
      </c>
      <c r="C390" s="6" t="s">
        <v>467</v>
      </c>
      <c r="D390" s="6" t="s">
        <v>674</v>
      </c>
      <c r="E390" s="6" t="s">
        <v>675</v>
      </c>
      <c r="F390" s="6" t="s">
        <v>621</v>
      </c>
      <c r="G390" s="4" t="s">
        <v>2808</v>
      </c>
      <c r="H390" s="4" t="s">
        <v>2922</v>
      </c>
      <c r="I390" s="6" t="s">
        <v>71</v>
      </c>
      <c r="J390" s="6" t="s">
        <v>31</v>
      </c>
      <c r="K390" s="12">
        <f>_xlfn.XLOOKUP(B390,[1]Sheet1!$B:$B,[1]Sheet1!$N:$N,0)</f>
        <v>0</v>
      </c>
      <c r="L390" s="12">
        <f>_xlfn.XLOOKUP(B390,[1]Sheet1!$B:$B,[1]Sheet1!$O:$O,0)</f>
        <v>0</v>
      </c>
      <c r="M390" s="12">
        <f>_xlfn.XLOOKUP(B390,[1]Sheet1!$B:$B,[1]Sheet1!$P:$P,0)</f>
        <v>0</v>
      </c>
      <c r="N390" s="12">
        <f>_xlfn.XLOOKUP(B390,[1]Sheet1!$B:$B,[1]Sheet1!$Q:$Q,0)</f>
        <v>0</v>
      </c>
      <c r="O390" s="12">
        <f>_xlfn.XLOOKUP(B390,[1]Sheet1!$B:$B,[1]Sheet1!$R:$R,0)</f>
        <v>8589</v>
      </c>
      <c r="P390" s="12">
        <f>_xlfn.XLOOKUP(B390,[1]Sheet1!$B:$B,[1]Sheet1!$S:$S,0)</f>
        <v>0</v>
      </c>
      <c r="Q390" s="12">
        <f>_xlfn.XLOOKUP(B390,[1]Sheet1!$B:$B,[1]Sheet1!$T:$T,0)</f>
        <v>0</v>
      </c>
      <c r="R390" s="12">
        <f>_xlfn.XLOOKUP(B390,[1]Sheet1!$B:$B,[1]Sheet1!$U:$U,0)</f>
        <v>0</v>
      </c>
      <c r="S390" s="12">
        <f>_xlfn.XLOOKUP(B390,[1]Sheet1!$B:$B,[1]Sheet1!$V:$V,0)</f>
        <v>0</v>
      </c>
      <c r="T390" s="12">
        <f>_xlfn.XLOOKUP(B390,[1]Sheet1!$B:$B,[1]Sheet1!$W:$W,0)</f>
        <v>0</v>
      </c>
      <c r="U390" s="12">
        <f>_xlfn.XLOOKUP(B390,[1]Sheet1!$B:$B,[1]Sheet1!$X:$X,0)</f>
        <v>0</v>
      </c>
      <c r="V390" s="12">
        <f>_xlfn.XLOOKUP(B390,[1]Sheet1!$B:$B,[1]Sheet1!$Y:$Y,0)</f>
        <v>0</v>
      </c>
      <c r="W390" s="12">
        <f t="shared" si="15"/>
        <v>8589</v>
      </c>
      <c r="X390" s="6" t="s">
        <v>622</v>
      </c>
      <c r="Y390" s="6" t="s">
        <v>132</v>
      </c>
      <c r="Z390" s="6" t="s">
        <v>466</v>
      </c>
      <c r="AA390" s="6" t="s">
        <v>71</v>
      </c>
      <c r="AB390" s="6" t="s">
        <v>36</v>
      </c>
      <c r="AC390" s="6" t="s">
        <v>37</v>
      </c>
      <c r="AD390" s="6" t="s">
        <v>468</v>
      </c>
      <c r="AE390" s="6" t="s">
        <v>39</v>
      </c>
      <c r="AF390" s="6" t="s">
        <v>40</v>
      </c>
      <c r="AG390" s="7">
        <v>8589</v>
      </c>
      <c r="AH390" s="11">
        <f>_xlfn.XLOOKUP(B390,[1]Sheet1!$B:$B,[1]Sheet1!$AB:$AB,0)</f>
        <v>8589</v>
      </c>
    </row>
    <row r="391" spans="2:34" ht="16.8" thickTop="1" thickBot="1" x14ac:dyDescent="0.35">
      <c r="B391" s="3" t="str">
        <f t="shared" si="14"/>
        <v>45102304511000519Cleaning Service-N2422311200104</v>
      </c>
      <c r="C391" s="8" t="s">
        <v>467</v>
      </c>
      <c r="D391" s="8" t="s">
        <v>674</v>
      </c>
      <c r="E391" s="8" t="s">
        <v>675</v>
      </c>
      <c r="F391" s="8" t="s">
        <v>635</v>
      </c>
      <c r="G391" s="4" t="s">
        <v>2810</v>
      </c>
      <c r="H391" s="4" t="s">
        <v>2922</v>
      </c>
      <c r="I391" s="8" t="s">
        <v>80</v>
      </c>
      <c r="J391" s="8" t="s">
        <v>31</v>
      </c>
      <c r="K391" s="12">
        <f>_xlfn.XLOOKUP(B391,[1]Sheet1!$B:$B,[1]Sheet1!$N:$N,0)</f>
        <v>0</v>
      </c>
      <c r="L391" s="12">
        <f>_xlfn.XLOOKUP(B391,[1]Sheet1!$B:$B,[1]Sheet1!$O:$O,0)</f>
        <v>0</v>
      </c>
      <c r="M391" s="12">
        <f>_xlfn.XLOOKUP(B391,[1]Sheet1!$B:$B,[1]Sheet1!$P:$P,0)</f>
        <v>0</v>
      </c>
      <c r="N391" s="12">
        <f>_xlfn.XLOOKUP(B391,[1]Sheet1!$B:$B,[1]Sheet1!$Q:$Q,0)</f>
        <v>8300</v>
      </c>
      <c r="O391" s="12">
        <f>_xlfn.XLOOKUP(B391,[1]Sheet1!$B:$B,[1]Sheet1!$R:$R,0)</f>
        <v>4150</v>
      </c>
      <c r="P391" s="12">
        <f>_xlfn.XLOOKUP(B391,[1]Sheet1!$B:$B,[1]Sheet1!$S:$S,0)</f>
        <v>4150</v>
      </c>
      <c r="Q391" s="12">
        <f>_xlfn.XLOOKUP(B391,[1]Sheet1!$B:$B,[1]Sheet1!$T:$T,0)</f>
        <v>0</v>
      </c>
      <c r="R391" s="12">
        <f>_xlfn.XLOOKUP(B391,[1]Sheet1!$B:$B,[1]Sheet1!$U:$U,0)</f>
        <v>0</v>
      </c>
      <c r="S391" s="12">
        <f>_xlfn.XLOOKUP(B391,[1]Sheet1!$B:$B,[1]Sheet1!$V:$V,0)</f>
        <v>0</v>
      </c>
      <c r="T391" s="12">
        <f>_xlfn.XLOOKUP(B391,[1]Sheet1!$B:$B,[1]Sheet1!$W:$W,0)</f>
        <v>0</v>
      </c>
      <c r="U391" s="12">
        <f>_xlfn.XLOOKUP(B391,[1]Sheet1!$B:$B,[1]Sheet1!$X:$X,0)</f>
        <v>0</v>
      </c>
      <c r="V391" s="12">
        <f>_xlfn.XLOOKUP(B391,[1]Sheet1!$B:$B,[1]Sheet1!$Y:$Y,0)</f>
        <v>0</v>
      </c>
      <c r="W391" s="12">
        <f t="shared" si="15"/>
        <v>16600</v>
      </c>
      <c r="X391" s="8" t="s">
        <v>624</v>
      </c>
      <c r="Y391" s="8" t="s">
        <v>132</v>
      </c>
      <c r="Z391" s="8" t="s">
        <v>466</v>
      </c>
      <c r="AA391" s="8" t="s">
        <v>80</v>
      </c>
      <c r="AB391" s="8" t="s">
        <v>36</v>
      </c>
      <c r="AC391" s="8" t="s">
        <v>37</v>
      </c>
      <c r="AD391" s="8" t="s">
        <v>468</v>
      </c>
      <c r="AE391" s="8" t="s">
        <v>39</v>
      </c>
      <c r="AF391" s="8" t="s">
        <v>40</v>
      </c>
      <c r="AG391" s="9">
        <v>16600</v>
      </c>
      <c r="AH391" s="11">
        <f>_xlfn.XLOOKUP(B391,[1]Sheet1!$B:$B,[1]Sheet1!$AB:$AB,0)</f>
        <v>16600</v>
      </c>
    </row>
    <row r="392" spans="2:34" ht="16.8" thickTop="1" thickBot="1" x14ac:dyDescent="0.35">
      <c r="B392" s="3" t="str">
        <f t="shared" si="14"/>
        <v>45102304511000519Maintenance-N1426212200104</v>
      </c>
      <c r="C392" s="6" t="s">
        <v>467</v>
      </c>
      <c r="D392" s="6" t="s">
        <v>674</v>
      </c>
      <c r="E392" s="6" t="s">
        <v>675</v>
      </c>
      <c r="F392" s="6" t="s">
        <v>625</v>
      </c>
      <c r="G392" s="4" t="s">
        <v>2814</v>
      </c>
      <c r="H392" s="4" t="s">
        <v>2922</v>
      </c>
      <c r="I392" s="6" t="s">
        <v>96</v>
      </c>
      <c r="J392" s="6" t="s">
        <v>31</v>
      </c>
      <c r="K392" s="12">
        <f>_xlfn.XLOOKUP(B392,[1]Sheet1!$B:$B,[1]Sheet1!$N:$N,0)</f>
        <v>0</v>
      </c>
      <c r="L392" s="12">
        <f>_xlfn.XLOOKUP(B392,[1]Sheet1!$B:$B,[1]Sheet1!$O:$O,0)</f>
        <v>0</v>
      </c>
      <c r="M392" s="12">
        <f>_xlfn.XLOOKUP(B392,[1]Sheet1!$B:$B,[1]Sheet1!$P:$P,0)</f>
        <v>0</v>
      </c>
      <c r="N392" s="12">
        <f>_xlfn.XLOOKUP(B392,[1]Sheet1!$B:$B,[1]Sheet1!$Q:$Q,0)</f>
        <v>9334</v>
      </c>
      <c r="O392" s="12">
        <f>_xlfn.XLOOKUP(B392,[1]Sheet1!$B:$B,[1]Sheet1!$R:$R,0)</f>
        <v>4667</v>
      </c>
      <c r="P392" s="12">
        <f>_xlfn.XLOOKUP(B392,[1]Sheet1!$B:$B,[1]Sheet1!$S:$S,0)</f>
        <v>4667</v>
      </c>
      <c r="Q392" s="12">
        <f>_xlfn.XLOOKUP(B392,[1]Sheet1!$B:$B,[1]Sheet1!$T:$T,0)</f>
        <v>0</v>
      </c>
      <c r="R392" s="12">
        <f>_xlfn.XLOOKUP(B392,[1]Sheet1!$B:$B,[1]Sheet1!$U:$U,0)</f>
        <v>0</v>
      </c>
      <c r="S392" s="12">
        <f>_xlfn.XLOOKUP(B392,[1]Sheet1!$B:$B,[1]Sheet1!$V:$V,0)</f>
        <v>0</v>
      </c>
      <c r="T392" s="12">
        <f>_xlfn.XLOOKUP(B392,[1]Sheet1!$B:$B,[1]Sheet1!$W:$W,0)</f>
        <v>0</v>
      </c>
      <c r="U392" s="12">
        <f>_xlfn.XLOOKUP(B392,[1]Sheet1!$B:$B,[1]Sheet1!$X:$X,0)</f>
        <v>0</v>
      </c>
      <c r="V392" s="12">
        <f>_xlfn.XLOOKUP(B392,[1]Sheet1!$B:$B,[1]Sheet1!$Y:$Y,0)</f>
        <v>0</v>
      </c>
      <c r="W392" s="12">
        <f t="shared" si="15"/>
        <v>18668</v>
      </c>
      <c r="X392" s="6" t="s">
        <v>626</v>
      </c>
      <c r="Y392" s="6" t="s">
        <v>132</v>
      </c>
      <c r="Z392" s="6" t="s">
        <v>466</v>
      </c>
      <c r="AA392" s="6" t="s">
        <v>96</v>
      </c>
      <c r="AB392" s="6" t="s">
        <v>36</v>
      </c>
      <c r="AC392" s="6" t="s">
        <v>37</v>
      </c>
      <c r="AD392" s="6" t="s">
        <v>468</v>
      </c>
      <c r="AE392" s="6" t="s">
        <v>39</v>
      </c>
      <c r="AF392" s="6" t="s">
        <v>40</v>
      </c>
      <c r="AG392" s="7">
        <v>18668</v>
      </c>
      <c r="AH392" s="11">
        <f>_xlfn.XLOOKUP(B392,[1]Sheet1!$B:$B,[1]Sheet1!$AB:$AB,0)</f>
        <v>18668</v>
      </c>
    </row>
    <row r="393" spans="2:34" ht="16.8" thickTop="1" thickBot="1" x14ac:dyDescent="0.35">
      <c r="B393" s="3" t="str">
        <f t="shared" si="14"/>
        <v>45102304511000519Security Service-N1424551200104</v>
      </c>
      <c r="C393" s="8" t="s">
        <v>467</v>
      </c>
      <c r="D393" s="8" t="s">
        <v>674</v>
      </c>
      <c r="E393" s="8" t="s">
        <v>675</v>
      </c>
      <c r="F393" s="8" t="s">
        <v>627</v>
      </c>
      <c r="G393" s="4" t="s">
        <v>2817</v>
      </c>
      <c r="H393" s="4" t="s">
        <v>2922</v>
      </c>
      <c r="I393" s="8" t="s">
        <v>108</v>
      </c>
      <c r="J393" s="8" t="s">
        <v>31</v>
      </c>
      <c r="K393" s="12">
        <f>_xlfn.XLOOKUP(B393,[1]Sheet1!$B:$B,[1]Sheet1!$N:$N,0)</f>
        <v>0</v>
      </c>
      <c r="L393" s="12">
        <f>_xlfn.XLOOKUP(B393,[1]Sheet1!$B:$B,[1]Sheet1!$O:$O,0)</f>
        <v>0</v>
      </c>
      <c r="M393" s="12">
        <f>_xlfn.XLOOKUP(B393,[1]Sheet1!$B:$B,[1]Sheet1!$P:$P,0)</f>
        <v>0</v>
      </c>
      <c r="N393" s="12">
        <f>_xlfn.XLOOKUP(B393,[1]Sheet1!$B:$B,[1]Sheet1!$Q:$Q,0)</f>
        <v>34000</v>
      </c>
      <c r="O393" s="12">
        <f>_xlfn.XLOOKUP(B393,[1]Sheet1!$B:$B,[1]Sheet1!$R:$R,0)</f>
        <v>8500</v>
      </c>
      <c r="P393" s="12">
        <f>_xlfn.XLOOKUP(B393,[1]Sheet1!$B:$B,[1]Sheet1!$S:$S,0)</f>
        <v>8500</v>
      </c>
      <c r="Q393" s="12">
        <f>_xlfn.XLOOKUP(B393,[1]Sheet1!$B:$B,[1]Sheet1!$T:$T,0)</f>
        <v>8500</v>
      </c>
      <c r="R393" s="12">
        <f>_xlfn.XLOOKUP(B393,[1]Sheet1!$B:$B,[1]Sheet1!$U:$U,0)</f>
        <v>0</v>
      </c>
      <c r="S393" s="12">
        <f>_xlfn.XLOOKUP(B393,[1]Sheet1!$B:$B,[1]Sheet1!$V:$V,0)</f>
        <v>0</v>
      </c>
      <c r="T393" s="12">
        <f>_xlfn.XLOOKUP(B393,[1]Sheet1!$B:$B,[1]Sheet1!$W:$W,0)</f>
        <v>0</v>
      </c>
      <c r="U393" s="12">
        <f>_xlfn.XLOOKUP(B393,[1]Sheet1!$B:$B,[1]Sheet1!$X:$X,0)</f>
        <v>0</v>
      </c>
      <c r="V393" s="12">
        <f>_xlfn.XLOOKUP(B393,[1]Sheet1!$B:$B,[1]Sheet1!$Y:$Y,0)</f>
        <v>0</v>
      </c>
      <c r="W393" s="12">
        <f t="shared" si="15"/>
        <v>59500</v>
      </c>
      <c r="X393" s="8" t="s">
        <v>628</v>
      </c>
      <c r="Y393" s="8" t="s">
        <v>132</v>
      </c>
      <c r="Z393" s="8" t="s">
        <v>466</v>
      </c>
      <c r="AA393" s="8" t="s">
        <v>108</v>
      </c>
      <c r="AB393" s="8" t="s">
        <v>36</v>
      </c>
      <c r="AC393" s="8" t="s">
        <v>37</v>
      </c>
      <c r="AD393" s="8" t="s">
        <v>468</v>
      </c>
      <c r="AE393" s="8" t="s">
        <v>39</v>
      </c>
      <c r="AF393" s="8" t="s">
        <v>40</v>
      </c>
      <c r="AG393" s="9">
        <v>59500</v>
      </c>
      <c r="AH393" s="11">
        <f>_xlfn.XLOOKUP(B393,[1]Sheet1!$B:$B,[1]Sheet1!$AB:$AB,0)</f>
        <v>59500</v>
      </c>
    </row>
    <row r="394" spans="2:34" ht="16.8" thickTop="1" thickBot="1" x14ac:dyDescent="0.35">
      <c r="B394" s="3" t="str">
        <f t="shared" si="14"/>
        <v>45102304511000521Hospitality-N1424761200104</v>
      </c>
      <c r="C394" s="6" t="s">
        <v>467</v>
      </c>
      <c r="D394" s="6" t="s">
        <v>676</v>
      </c>
      <c r="E394" s="6" t="s">
        <v>677</v>
      </c>
      <c r="F394" s="6" t="s">
        <v>399</v>
      </c>
      <c r="G394" s="4" t="s">
        <v>2811</v>
      </c>
      <c r="H394" s="4" t="s">
        <v>2922</v>
      </c>
      <c r="I394" s="6" t="s">
        <v>84</v>
      </c>
      <c r="J394" s="6" t="s">
        <v>31</v>
      </c>
      <c r="K394" s="12">
        <f>_xlfn.XLOOKUP(B394,[1]Sheet1!$B:$B,[1]Sheet1!$N:$N,0)</f>
        <v>0</v>
      </c>
      <c r="L394" s="12">
        <f>_xlfn.XLOOKUP(B394,[1]Sheet1!$B:$B,[1]Sheet1!$O:$O,0)</f>
        <v>0</v>
      </c>
      <c r="M394" s="12">
        <f>_xlfn.XLOOKUP(B394,[1]Sheet1!$B:$B,[1]Sheet1!$P:$P,0)</f>
        <v>0</v>
      </c>
      <c r="N394" s="12">
        <f>_xlfn.XLOOKUP(B394,[1]Sheet1!$B:$B,[1]Sheet1!$Q:$Q,0)</f>
        <v>34000</v>
      </c>
      <c r="O394" s="12">
        <f>_xlfn.XLOOKUP(B394,[1]Sheet1!$B:$B,[1]Sheet1!$R:$R,0)</f>
        <v>8500</v>
      </c>
      <c r="P394" s="12">
        <f>_xlfn.XLOOKUP(B394,[1]Sheet1!$B:$B,[1]Sheet1!$S:$S,0)</f>
        <v>8500</v>
      </c>
      <c r="Q394" s="12">
        <f>_xlfn.XLOOKUP(B394,[1]Sheet1!$B:$B,[1]Sheet1!$T:$T,0)</f>
        <v>8500</v>
      </c>
      <c r="R394" s="12">
        <f>_xlfn.XLOOKUP(B394,[1]Sheet1!$B:$B,[1]Sheet1!$U:$U,0)</f>
        <v>8500</v>
      </c>
      <c r="S394" s="12">
        <f>_xlfn.XLOOKUP(B394,[1]Sheet1!$B:$B,[1]Sheet1!$V:$V,0)</f>
        <v>8500</v>
      </c>
      <c r="T394" s="12">
        <f>_xlfn.XLOOKUP(B394,[1]Sheet1!$B:$B,[1]Sheet1!$W:$W,0)</f>
        <v>8500</v>
      </c>
      <c r="U394" s="12">
        <f>_xlfn.XLOOKUP(B394,[1]Sheet1!$B:$B,[1]Sheet1!$X:$X,0)</f>
        <v>8500</v>
      </c>
      <c r="V394" s="12">
        <f>_xlfn.XLOOKUP(B394,[1]Sheet1!$B:$B,[1]Sheet1!$Y:$Y,0)</f>
        <v>8500</v>
      </c>
      <c r="W394" s="12">
        <f t="shared" si="15"/>
        <v>102000</v>
      </c>
      <c r="X394" s="6" t="s">
        <v>469</v>
      </c>
      <c r="Y394" s="6" t="s">
        <v>132</v>
      </c>
      <c r="Z394" s="6" t="s">
        <v>466</v>
      </c>
      <c r="AA394" s="6" t="s">
        <v>84</v>
      </c>
      <c r="AB394" s="6" t="s">
        <v>36</v>
      </c>
      <c r="AC394" s="6" t="s">
        <v>37</v>
      </c>
      <c r="AD394" s="6" t="s">
        <v>468</v>
      </c>
      <c r="AE394" s="6" t="s">
        <v>39</v>
      </c>
      <c r="AF394" s="6" t="s">
        <v>40</v>
      </c>
      <c r="AG394" s="7">
        <v>102000</v>
      </c>
      <c r="AH394" s="11">
        <f>_xlfn.XLOOKUP(B394,[1]Sheet1!$B:$B,[1]Sheet1!$AB:$AB,0)</f>
        <v>102000</v>
      </c>
    </row>
    <row r="395" spans="2:34" ht="16.8" thickTop="1" thickBot="1" x14ac:dyDescent="0.35">
      <c r="B395" s="3" t="str">
        <f t="shared" si="14"/>
        <v>45102304511000522Ad-hoc Repairs-N1426427200104</v>
      </c>
      <c r="C395" s="8" t="s">
        <v>467</v>
      </c>
      <c r="D395" s="8" t="s">
        <v>678</v>
      </c>
      <c r="E395" s="8" t="s">
        <v>679</v>
      </c>
      <c r="F395" s="8" t="s">
        <v>621</v>
      </c>
      <c r="G395" s="4" t="s">
        <v>2808</v>
      </c>
      <c r="H395" s="4" t="s">
        <v>2922</v>
      </c>
      <c r="I395" s="8" t="s">
        <v>71</v>
      </c>
      <c r="J395" s="8" t="s">
        <v>31</v>
      </c>
      <c r="K395" s="12">
        <f>_xlfn.XLOOKUP(B395,[1]Sheet1!$B:$B,[1]Sheet1!$N:$N,0)</f>
        <v>0</v>
      </c>
      <c r="L395" s="12">
        <f>_xlfn.XLOOKUP(B395,[1]Sheet1!$B:$B,[1]Sheet1!$O:$O,0)</f>
        <v>0</v>
      </c>
      <c r="M395" s="12">
        <f>_xlfn.XLOOKUP(B395,[1]Sheet1!$B:$B,[1]Sheet1!$P:$P,0)</f>
        <v>0</v>
      </c>
      <c r="N395" s="12">
        <f>_xlfn.XLOOKUP(B395,[1]Sheet1!$B:$B,[1]Sheet1!$Q:$Q,0)</f>
        <v>2420</v>
      </c>
      <c r="O395" s="12">
        <f>_xlfn.XLOOKUP(B395,[1]Sheet1!$B:$B,[1]Sheet1!$R:$R,0)</f>
        <v>630</v>
      </c>
      <c r="P395" s="12">
        <f>_xlfn.XLOOKUP(B395,[1]Sheet1!$B:$B,[1]Sheet1!$S:$S,0)</f>
        <v>630</v>
      </c>
      <c r="Q395" s="12">
        <f>_xlfn.XLOOKUP(B395,[1]Sheet1!$B:$B,[1]Sheet1!$T:$T,0)</f>
        <v>630</v>
      </c>
      <c r="R395" s="12">
        <f>_xlfn.XLOOKUP(B395,[1]Sheet1!$B:$B,[1]Sheet1!$U:$U,0)</f>
        <v>630</v>
      </c>
      <c r="S395" s="12">
        <f>_xlfn.XLOOKUP(B395,[1]Sheet1!$B:$B,[1]Sheet1!$V:$V,0)</f>
        <v>630</v>
      </c>
      <c r="T395" s="12">
        <f>_xlfn.XLOOKUP(B395,[1]Sheet1!$B:$B,[1]Sheet1!$W:$W,0)</f>
        <v>630</v>
      </c>
      <c r="U395" s="12">
        <f>_xlfn.XLOOKUP(B395,[1]Sheet1!$B:$B,[1]Sheet1!$X:$X,0)</f>
        <v>630</v>
      </c>
      <c r="V395" s="12">
        <f>_xlfn.XLOOKUP(B395,[1]Sheet1!$B:$B,[1]Sheet1!$Y:$Y,0)</f>
        <v>630</v>
      </c>
      <c r="W395" s="12">
        <f t="shared" si="15"/>
        <v>7460</v>
      </c>
      <c r="X395" s="8" t="s">
        <v>622</v>
      </c>
      <c r="Y395" s="8" t="s">
        <v>132</v>
      </c>
      <c r="Z395" s="8" t="s">
        <v>466</v>
      </c>
      <c r="AA395" s="8" t="s">
        <v>71</v>
      </c>
      <c r="AB395" s="8" t="s">
        <v>36</v>
      </c>
      <c r="AC395" s="8" t="s">
        <v>37</v>
      </c>
      <c r="AD395" s="8" t="s">
        <v>468</v>
      </c>
      <c r="AE395" s="8" t="s">
        <v>39</v>
      </c>
      <c r="AF395" s="8" t="s">
        <v>40</v>
      </c>
      <c r="AG395" s="9">
        <v>7460</v>
      </c>
      <c r="AH395" s="11">
        <f>_xlfn.XLOOKUP(B395,[1]Sheet1!$B:$B,[1]Sheet1!$AB:$AB,0)</f>
        <v>7460</v>
      </c>
    </row>
    <row r="396" spans="2:34" ht="16.8" thickTop="1" thickBot="1" x14ac:dyDescent="0.35">
      <c r="B396" s="3" t="str">
        <f t="shared" si="14"/>
        <v>45102304511000522Cleaning Service-N1422311200104</v>
      </c>
      <c r="C396" s="6" t="s">
        <v>467</v>
      </c>
      <c r="D396" s="6" t="s">
        <v>678</v>
      </c>
      <c r="E396" s="6" t="s">
        <v>679</v>
      </c>
      <c r="F396" s="6" t="s">
        <v>623</v>
      </c>
      <c r="G396" s="4" t="s">
        <v>2810</v>
      </c>
      <c r="H396" s="4" t="s">
        <v>2922</v>
      </c>
      <c r="I396" s="6" t="s">
        <v>80</v>
      </c>
      <c r="J396" s="6" t="s">
        <v>31</v>
      </c>
      <c r="K396" s="12">
        <f>_xlfn.XLOOKUP(B396,[1]Sheet1!$B:$B,[1]Sheet1!$N:$N,0)</f>
        <v>0</v>
      </c>
      <c r="L396" s="12">
        <f>_xlfn.XLOOKUP(B396,[1]Sheet1!$B:$B,[1]Sheet1!$O:$O,0)</f>
        <v>0</v>
      </c>
      <c r="M396" s="12">
        <f>_xlfn.XLOOKUP(B396,[1]Sheet1!$B:$B,[1]Sheet1!$P:$P,0)</f>
        <v>0</v>
      </c>
      <c r="N396" s="12">
        <f>_xlfn.XLOOKUP(B396,[1]Sheet1!$B:$B,[1]Sheet1!$Q:$Q,0)</f>
        <v>24400</v>
      </c>
      <c r="O396" s="12">
        <f>_xlfn.XLOOKUP(B396,[1]Sheet1!$B:$B,[1]Sheet1!$R:$R,0)</f>
        <v>6100</v>
      </c>
      <c r="P396" s="12">
        <f>_xlfn.XLOOKUP(B396,[1]Sheet1!$B:$B,[1]Sheet1!$S:$S,0)</f>
        <v>6100</v>
      </c>
      <c r="Q396" s="12">
        <f>_xlfn.XLOOKUP(B396,[1]Sheet1!$B:$B,[1]Sheet1!$T:$T,0)</f>
        <v>6100</v>
      </c>
      <c r="R396" s="12">
        <f>_xlfn.XLOOKUP(B396,[1]Sheet1!$B:$B,[1]Sheet1!$U:$U,0)</f>
        <v>6100</v>
      </c>
      <c r="S396" s="12">
        <f>_xlfn.XLOOKUP(B396,[1]Sheet1!$B:$B,[1]Sheet1!$V:$V,0)</f>
        <v>6100</v>
      </c>
      <c r="T396" s="12">
        <f>_xlfn.XLOOKUP(B396,[1]Sheet1!$B:$B,[1]Sheet1!$W:$W,0)</f>
        <v>6100</v>
      </c>
      <c r="U396" s="12">
        <f>_xlfn.XLOOKUP(B396,[1]Sheet1!$B:$B,[1]Sheet1!$X:$X,0)</f>
        <v>6100</v>
      </c>
      <c r="V396" s="12">
        <f>_xlfn.XLOOKUP(B396,[1]Sheet1!$B:$B,[1]Sheet1!$Y:$Y,0)</f>
        <v>6100</v>
      </c>
      <c r="W396" s="12">
        <f t="shared" si="15"/>
        <v>73200</v>
      </c>
      <c r="X396" s="6" t="s">
        <v>624</v>
      </c>
      <c r="Y396" s="6" t="s">
        <v>132</v>
      </c>
      <c r="Z396" s="6" t="s">
        <v>466</v>
      </c>
      <c r="AA396" s="6" t="s">
        <v>80</v>
      </c>
      <c r="AB396" s="6" t="s">
        <v>36</v>
      </c>
      <c r="AC396" s="6" t="s">
        <v>37</v>
      </c>
      <c r="AD396" s="6" t="s">
        <v>468</v>
      </c>
      <c r="AE396" s="6" t="s">
        <v>39</v>
      </c>
      <c r="AF396" s="6" t="s">
        <v>40</v>
      </c>
      <c r="AG396" s="7">
        <v>73200</v>
      </c>
      <c r="AH396" s="11">
        <f>_xlfn.XLOOKUP(B396,[1]Sheet1!$B:$B,[1]Sheet1!$AB:$AB,0)</f>
        <v>73200</v>
      </c>
    </row>
    <row r="397" spans="2:34" ht="16.8" thickTop="1" thickBot="1" x14ac:dyDescent="0.35">
      <c r="B397" s="3" t="str">
        <f t="shared" si="14"/>
        <v>45102304511000522Hospitality-N1424761200104</v>
      </c>
      <c r="C397" s="8" t="s">
        <v>467</v>
      </c>
      <c r="D397" s="8" t="s">
        <v>678</v>
      </c>
      <c r="E397" s="8" t="s">
        <v>679</v>
      </c>
      <c r="F397" s="8" t="s">
        <v>399</v>
      </c>
      <c r="G397" s="4" t="s">
        <v>2811</v>
      </c>
      <c r="H397" s="4" t="s">
        <v>2922</v>
      </c>
      <c r="I397" s="8" t="s">
        <v>84</v>
      </c>
      <c r="J397" s="8" t="s">
        <v>31</v>
      </c>
      <c r="K397" s="12">
        <f>_xlfn.XLOOKUP(B397,[1]Sheet1!$B:$B,[1]Sheet1!$N:$N,0)</f>
        <v>0</v>
      </c>
      <c r="L397" s="12">
        <f>_xlfn.XLOOKUP(B397,[1]Sheet1!$B:$B,[1]Sheet1!$O:$O,0)</f>
        <v>0</v>
      </c>
      <c r="M397" s="12">
        <f>_xlfn.XLOOKUP(B397,[1]Sheet1!$B:$B,[1]Sheet1!$P:$P,0)</f>
        <v>0</v>
      </c>
      <c r="N397" s="12">
        <f>_xlfn.XLOOKUP(B397,[1]Sheet1!$B:$B,[1]Sheet1!$Q:$Q,0)</f>
        <v>15400</v>
      </c>
      <c r="O397" s="12">
        <f>_xlfn.XLOOKUP(B397,[1]Sheet1!$B:$B,[1]Sheet1!$R:$R,0)</f>
        <v>3850</v>
      </c>
      <c r="P397" s="12">
        <f>_xlfn.XLOOKUP(B397,[1]Sheet1!$B:$B,[1]Sheet1!$S:$S,0)</f>
        <v>3850</v>
      </c>
      <c r="Q397" s="12">
        <f>_xlfn.XLOOKUP(B397,[1]Sheet1!$B:$B,[1]Sheet1!$T:$T,0)</f>
        <v>3850</v>
      </c>
      <c r="R397" s="12">
        <f>_xlfn.XLOOKUP(B397,[1]Sheet1!$B:$B,[1]Sheet1!$U:$U,0)</f>
        <v>3850</v>
      </c>
      <c r="S397" s="12">
        <f>_xlfn.XLOOKUP(B397,[1]Sheet1!$B:$B,[1]Sheet1!$V:$V,0)</f>
        <v>3850</v>
      </c>
      <c r="T397" s="12">
        <f>_xlfn.XLOOKUP(B397,[1]Sheet1!$B:$B,[1]Sheet1!$W:$W,0)</f>
        <v>3850</v>
      </c>
      <c r="U397" s="12">
        <f>_xlfn.XLOOKUP(B397,[1]Sheet1!$B:$B,[1]Sheet1!$X:$X,0)</f>
        <v>3850</v>
      </c>
      <c r="V397" s="12">
        <f>_xlfn.XLOOKUP(B397,[1]Sheet1!$B:$B,[1]Sheet1!$Y:$Y,0)</f>
        <v>3850</v>
      </c>
      <c r="W397" s="12">
        <f t="shared" si="15"/>
        <v>46200</v>
      </c>
      <c r="X397" s="8" t="s">
        <v>469</v>
      </c>
      <c r="Y397" s="8" t="s">
        <v>132</v>
      </c>
      <c r="Z397" s="8" t="s">
        <v>466</v>
      </c>
      <c r="AA397" s="8" t="s">
        <v>84</v>
      </c>
      <c r="AB397" s="8" t="s">
        <v>36</v>
      </c>
      <c r="AC397" s="8" t="s">
        <v>37</v>
      </c>
      <c r="AD397" s="8" t="s">
        <v>468</v>
      </c>
      <c r="AE397" s="8" t="s">
        <v>39</v>
      </c>
      <c r="AF397" s="8" t="s">
        <v>40</v>
      </c>
      <c r="AG397" s="9">
        <v>46200</v>
      </c>
      <c r="AH397" s="11">
        <f>_xlfn.XLOOKUP(B397,[1]Sheet1!$B:$B,[1]Sheet1!$AB:$AB,0)</f>
        <v>46200</v>
      </c>
    </row>
    <row r="398" spans="2:34" ht="16.8" thickTop="1" thickBot="1" x14ac:dyDescent="0.35">
      <c r="B398" s="3" t="str">
        <f t="shared" si="14"/>
        <v>45102304511000522Maintenance-N1426212200104</v>
      </c>
      <c r="C398" s="6" t="s">
        <v>467</v>
      </c>
      <c r="D398" s="6" t="s">
        <v>678</v>
      </c>
      <c r="E398" s="6" t="s">
        <v>679</v>
      </c>
      <c r="F398" s="6" t="s">
        <v>625</v>
      </c>
      <c r="G398" s="4" t="s">
        <v>2814</v>
      </c>
      <c r="H398" s="4" t="s">
        <v>2922</v>
      </c>
      <c r="I398" s="6" t="s">
        <v>96</v>
      </c>
      <c r="J398" s="6" t="s">
        <v>31</v>
      </c>
      <c r="K398" s="12">
        <f>_xlfn.XLOOKUP(B398,[1]Sheet1!$B:$B,[1]Sheet1!$N:$N,0)</f>
        <v>0</v>
      </c>
      <c r="L398" s="12">
        <f>_xlfn.XLOOKUP(B398,[1]Sheet1!$B:$B,[1]Sheet1!$O:$O,0)</f>
        <v>0</v>
      </c>
      <c r="M398" s="12">
        <f>_xlfn.XLOOKUP(B398,[1]Sheet1!$B:$B,[1]Sheet1!$P:$P,0)</f>
        <v>0</v>
      </c>
      <c r="N398" s="12">
        <f>_xlfn.XLOOKUP(B398,[1]Sheet1!$B:$B,[1]Sheet1!$Q:$Q,0)</f>
        <v>21200</v>
      </c>
      <c r="O398" s="12">
        <f>_xlfn.XLOOKUP(B398,[1]Sheet1!$B:$B,[1]Sheet1!$R:$R,0)</f>
        <v>5300</v>
      </c>
      <c r="P398" s="12">
        <f>_xlfn.XLOOKUP(B398,[1]Sheet1!$B:$B,[1]Sheet1!$S:$S,0)</f>
        <v>5300</v>
      </c>
      <c r="Q398" s="12">
        <f>_xlfn.XLOOKUP(B398,[1]Sheet1!$B:$B,[1]Sheet1!$T:$T,0)</f>
        <v>5300</v>
      </c>
      <c r="R398" s="12">
        <f>_xlfn.XLOOKUP(B398,[1]Sheet1!$B:$B,[1]Sheet1!$U:$U,0)</f>
        <v>5300</v>
      </c>
      <c r="S398" s="12">
        <f>_xlfn.XLOOKUP(B398,[1]Sheet1!$B:$B,[1]Sheet1!$V:$V,0)</f>
        <v>5300</v>
      </c>
      <c r="T398" s="12">
        <f>_xlfn.XLOOKUP(B398,[1]Sheet1!$B:$B,[1]Sheet1!$W:$W,0)</f>
        <v>5300</v>
      </c>
      <c r="U398" s="12">
        <f>_xlfn.XLOOKUP(B398,[1]Sheet1!$B:$B,[1]Sheet1!$X:$X,0)</f>
        <v>5300</v>
      </c>
      <c r="V398" s="12">
        <f>_xlfn.XLOOKUP(B398,[1]Sheet1!$B:$B,[1]Sheet1!$Y:$Y,0)</f>
        <v>5300</v>
      </c>
      <c r="W398" s="12">
        <f t="shared" si="15"/>
        <v>63600</v>
      </c>
      <c r="X398" s="6" t="s">
        <v>626</v>
      </c>
      <c r="Y398" s="6" t="s">
        <v>132</v>
      </c>
      <c r="Z398" s="6" t="s">
        <v>466</v>
      </c>
      <c r="AA398" s="6" t="s">
        <v>96</v>
      </c>
      <c r="AB398" s="6" t="s">
        <v>36</v>
      </c>
      <c r="AC398" s="6" t="s">
        <v>37</v>
      </c>
      <c r="AD398" s="6" t="s">
        <v>468</v>
      </c>
      <c r="AE398" s="6" t="s">
        <v>39</v>
      </c>
      <c r="AF398" s="6" t="s">
        <v>40</v>
      </c>
      <c r="AG398" s="7">
        <v>63600</v>
      </c>
      <c r="AH398" s="11">
        <f>_xlfn.XLOOKUP(B398,[1]Sheet1!$B:$B,[1]Sheet1!$AB:$AB,0)</f>
        <v>63600</v>
      </c>
    </row>
    <row r="399" spans="2:34" ht="16.8" thickTop="1" thickBot="1" x14ac:dyDescent="0.35">
      <c r="B399" s="3" t="str">
        <f t="shared" si="14"/>
        <v>45102304511000522Security Service-N1424551200104</v>
      </c>
      <c r="C399" s="8" t="s">
        <v>467</v>
      </c>
      <c r="D399" s="8" t="s">
        <v>678</v>
      </c>
      <c r="E399" s="8" t="s">
        <v>679</v>
      </c>
      <c r="F399" s="8" t="s">
        <v>627</v>
      </c>
      <c r="G399" s="4" t="s">
        <v>2817</v>
      </c>
      <c r="H399" s="4" t="s">
        <v>2922</v>
      </c>
      <c r="I399" s="8" t="s">
        <v>108</v>
      </c>
      <c r="J399" s="8" t="s">
        <v>31</v>
      </c>
      <c r="K399" s="12">
        <f>_xlfn.XLOOKUP(B399,[1]Sheet1!$B:$B,[1]Sheet1!$N:$N,0)</f>
        <v>0</v>
      </c>
      <c r="L399" s="12">
        <f>_xlfn.XLOOKUP(B399,[1]Sheet1!$B:$B,[1]Sheet1!$O:$O,0)</f>
        <v>0</v>
      </c>
      <c r="M399" s="12">
        <f>_xlfn.XLOOKUP(B399,[1]Sheet1!$B:$B,[1]Sheet1!$P:$P,0)</f>
        <v>0</v>
      </c>
      <c r="N399" s="12">
        <f>_xlfn.XLOOKUP(B399,[1]Sheet1!$B:$B,[1]Sheet1!$Q:$Q,0)</f>
        <v>36048</v>
      </c>
      <c r="O399" s="12">
        <f>_xlfn.XLOOKUP(B399,[1]Sheet1!$B:$B,[1]Sheet1!$R:$R,0)</f>
        <v>9012</v>
      </c>
      <c r="P399" s="12">
        <f>_xlfn.XLOOKUP(B399,[1]Sheet1!$B:$B,[1]Sheet1!$S:$S,0)</f>
        <v>9012</v>
      </c>
      <c r="Q399" s="12">
        <f>_xlfn.XLOOKUP(B399,[1]Sheet1!$B:$B,[1]Sheet1!$T:$T,0)</f>
        <v>9012</v>
      </c>
      <c r="R399" s="12">
        <f>_xlfn.XLOOKUP(B399,[1]Sheet1!$B:$B,[1]Sheet1!$U:$U,0)</f>
        <v>9012</v>
      </c>
      <c r="S399" s="12">
        <f>_xlfn.XLOOKUP(B399,[1]Sheet1!$B:$B,[1]Sheet1!$V:$V,0)</f>
        <v>9012</v>
      </c>
      <c r="T399" s="12">
        <f>_xlfn.XLOOKUP(B399,[1]Sheet1!$B:$B,[1]Sheet1!$W:$W,0)</f>
        <v>9012</v>
      </c>
      <c r="U399" s="12">
        <f>_xlfn.XLOOKUP(B399,[1]Sheet1!$B:$B,[1]Sheet1!$X:$X,0)</f>
        <v>9012</v>
      </c>
      <c r="V399" s="12">
        <f>_xlfn.XLOOKUP(B399,[1]Sheet1!$B:$B,[1]Sheet1!$Y:$Y,0)</f>
        <v>9012</v>
      </c>
      <c r="W399" s="12">
        <f t="shared" si="15"/>
        <v>108144</v>
      </c>
      <c r="X399" s="8" t="s">
        <v>628</v>
      </c>
      <c r="Y399" s="8" t="s">
        <v>132</v>
      </c>
      <c r="Z399" s="8" t="s">
        <v>466</v>
      </c>
      <c r="AA399" s="8" t="s">
        <v>108</v>
      </c>
      <c r="AB399" s="8" t="s">
        <v>36</v>
      </c>
      <c r="AC399" s="8" t="s">
        <v>37</v>
      </c>
      <c r="AD399" s="8" t="s">
        <v>468</v>
      </c>
      <c r="AE399" s="8" t="s">
        <v>39</v>
      </c>
      <c r="AF399" s="8" t="s">
        <v>40</v>
      </c>
      <c r="AG399" s="9">
        <v>108144</v>
      </c>
      <c r="AH399" s="11">
        <f>_xlfn.XLOOKUP(B399,[1]Sheet1!$B:$B,[1]Sheet1!$AB:$AB,0)</f>
        <v>108144</v>
      </c>
    </row>
    <row r="400" spans="2:34" ht="16.8" thickTop="1" thickBot="1" x14ac:dyDescent="0.35">
      <c r="B400" s="3" t="str">
        <f t="shared" si="14"/>
        <v>45112504511000525Ad-hoc Repairs-N426427200104</v>
      </c>
      <c r="C400" s="6" t="s">
        <v>67</v>
      </c>
      <c r="D400" s="6" t="s">
        <v>680</v>
      </c>
      <c r="E400" s="6" t="s">
        <v>681</v>
      </c>
      <c r="F400" s="6" t="s">
        <v>70</v>
      </c>
      <c r="G400" s="4" t="s">
        <v>2808</v>
      </c>
      <c r="H400" s="4" t="s">
        <v>2922</v>
      </c>
      <c r="I400" s="6" t="s">
        <v>71</v>
      </c>
      <c r="J400" s="6" t="s">
        <v>31</v>
      </c>
      <c r="K400" s="12">
        <f>_xlfn.XLOOKUP(B400,[1]Sheet1!$B:$B,[1]Sheet1!$N:$N,0)</f>
        <v>0</v>
      </c>
      <c r="L400" s="12">
        <f>_xlfn.XLOOKUP(B400,[1]Sheet1!$B:$B,[1]Sheet1!$O:$O,0)</f>
        <v>0</v>
      </c>
      <c r="M400" s="12">
        <f>_xlfn.XLOOKUP(B400,[1]Sheet1!$B:$B,[1]Sheet1!$P:$P,0)</f>
        <v>0</v>
      </c>
      <c r="N400" s="12">
        <f>_xlfn.XLOOKUP(B400,[1]Sheet1!$B:$B,[1]Sheet1!$Q:$Q,0)</f>
        <v>0</v>
      </c>
      <c r="O400" s="12">
        <f>_xlfn.XLOOKUP(B400,[1]Sheet1!$B:$B,[1]Sheet1!$R:$R,0)</f>
        <v>0</v>
      </c>
      <c r="P400" s="12">
        <f>_xlfn.XLOOKUP(B400,[1]Sheet1!$B:$B,[1]Sheet1!$S:$S,0)</f>
        <v>26200</v>
      </c>
      <c r="Q400" s="12">
        <f>_xlfn.XLOOKUP(B400,[1]Sheet1!$B:$B,[1]Sheet1!$T:$T,0)</f>
        <v>0</v>
      </c>
      <c r="R400" s="12">
        <f>_xlfn.XLOOKUP(B400,[1]Sheet1!$B:$B,[1]Sheet1!$U:$U,0)</f>
        <v>0</v>
      </c>
      <c r="S400" s="12">
        <f>_xlfn.XLOOKUP(B400,[1]Sheet1!$B:$B,[1]Sheet1!$V:$V,0)</f>
        <v>0</v>
      </c>
      <c r="T400" s="12">
        <f>_xlfn.XLOOKUP(B400,[1]Sheet1!$B:$B,[1]Sheet1!$W:$W,0)</f>
        <v>20000</v>
      </c>
      <c r="U400" s="12">
        <f>_xlfn.XLOOKUP(B400,[1]Sheet1!$B:$B,[1]Sheet1!$X:$X,0)</f>
        <v>0</v>
      </c>
      <c r="V400" s="12">
        <f>_xlfn.XLOOKUP(B400,[1]Sheet1!$B:$B,[1]Sheet1!$Y:$Y,0)</f>
        <v>0</v>
      </c>
      <c r="W400" s="12">
        <f t="shared" si="15"/>
        <v>46200</v>
      </c>
      <c r="X400" s="6" t="s">
        <v>72</v>
      </c>
      <c r="Y400" s="6" t="s">
        <v>65</v>
      </c>
      <c r="Z400" s="6" t="s">
        <v>66</v>
      </c>
      <c r="AA400" s="6" t="s">
        <v>71</v>
      </c>
      <c r="AB400" s="6" t="s">
        <v>36</v>
      </c>
      <c r="AC400" s="6" t="s">
        <v>37</v>
      </c>
      <c r="AD400" s="6" t="s">
        <v>69</v>
      </c>
      <c r="AE400" s="6" t="s">
        <v>39</v>
      </c>
      <c r="AF400" s="6" t="s">
        <v>40</v>
      </c>
      <c r="AG400" s="7">
        <v>46200</v>
      </c>
      <c r="AH400" s="11">
        <f>_xlfn.XLOOKUP(B400,[1]Sheet1!$B:$B,[1]Sheet1!$AB:$AB,0)</f>
        <v>46200</v>
      </c>
    </row>
    <row r="401" spans="2:34" ht="16.8" thickTop="1" thickBot="1" x14ac:dyDescent="0.35">
      <c r="B401" s="3" t="str">
        <f t="shared" si="14"/>
        <v>45112504511000525Cleaning Service-N422311200104</v>
      </c>
      <c r="C401" s="8" t="s">
        <v>67</v>
      </c>
      <c r="D401" s="8" t="s">
        <v>680</v>
      </c>
      <c r="E401" s="8" t="s">
        <v>681</v>
      </c>
      <c r="F401" s="8" t="s">
        <v>79</v>
      </c>
      <c r="G401" s="4" t="s">
        <v>2810</v>
      </c>
      <c r="H401" s="4" t="s">
        <v>2922</v>
      </c>
      <c r="I401" s="8" t="s">
        <v>80</v>
      </c>
      <c r="J401" s="8" t="s">
        <v>31</v>
      </c>
      <c r="K401" s="12">
        <f>_xlfn.XLOOKUP(B401,[1]Sheet1!$B:$B,[1]Sheet1!$N:$N,0)</f>
        <v>0</v>
      </c>
      <c r="L401" s="12">
        <f>_xlfn.XLOOKUP(B401,[1]Sheet1!$B:$B,[1]Sheet1!$O:$O,0)</f>
        <v>0</v>
      </c>
      <c r="M401" s="12">
        <f>_xlfn.XLOOKUP(B401,[1]Sheet1!$B:$B,[1]Sheet1!$P:$P,0)</f>
        <v>0</v>
      </c>
      <c r="N401" s="12">
        <f>_xlfn.XLOOKUP(B401,[1]Sheet1!$B:$B,[1]Sheet1!$Q:$Q,0)</f>
        <v>68343</v>
      </c>
      <c r="O401" s="12">
        <f>_xlfn.XLOOKUP(B401,[1]Sheet1!$B:$B,[1]Sheet1!$R:$R,0)</f>
        <v>22781</v>
      </c>
      <c r="P401" s="12">
        <f>_xlfn.XLOOKUP(B401,[1]Sheet1!$B:$B,[1]Sheet1!$S:$S,0)</f>
        <v>22781</v>
      </c>
      <c r="Q401" s="12">
        <f>_xlfn.XLOOKUP(B401,[1]Sheet1!$B:$B,[1]Sheet1!$T:$T,0)</f>
        <v>22781</v>
      </c>
      <c r="R401" s="12">
        <f>_xlfn.XLOOKUP(B401,[1]Sheet1!$B:$B,[1]Sheet1!$U:$U,0)</f>
        <v>22781</v>
      </c>
      <c r="S401" s="12">
        <f>_xlfn.XLOOKUP(B401,[1]Sheet1!$B:$B,[1]Sheet1!$V:$V,0)</f>
        <v>22781</v>
      </c>
      <c r="T401" s="12">
        <f>_xlfn.XLOOKUP(B401,[1]Sheet1!$B:$B,[1]Sheet1!$W:$W,0)</f>
        <v>22781</v>
      </c>
      <c r="U401" s="12">
        <f>_xlfn.XLOOKUP(B401,[1]Sheet1!$B:$B,[1]Sheet1!$X:$X,0)</f>
        <v>22781</v>
      </c>
      <c r="V401" s="12">
        <f>_xlfn.XLOOKUP(B401,[1]Sheet1!$B:$B,[1]Sheet1!$Y:$Y,0)</f>
        <v>45562</v>
      </c>
      <c r="W401" s="12">
        <f t="shared" si="15"/>
        <v>273372</v>
      </c>
      <c r="X401" s="8" t="s">
        <v>81</v>
      </c>
      <c r="Y401" s="8" t="s">
        <v>65</v>
      </c>
      <c r="Z401" s="8" t="s">
        <v>66</v>
      </c>
      <c r="AA401" s="8" t="s">
        <v>80</v>
      </c>
      <c r="AB401" s="8" t="s">
        <v>36</v>
      </c>
      <c r="AC401" s="8" t="s">
        <v>37</v>
      </c>
      <c r="AD401" s="8" t="s">
        <v>69</v>
      </c>
      <c r="AE401" s="8" t="s">
        <v>39</v>
      </c>
      <c r="AF401" s="8" t="s">
        <v>40</v>
      </c>
      <c r="AG401" s="9">
        <v>273372</v>
      </c>
      <c r="AH401" s="11">
        <f>_xlfn.XLOOKUP(B401,[1]Sheet1!$B:$B,[1]Sheet1!$AB:$AB,0)</f>
        <v>273372</v>
      </c>
    </row>
    <row r="402" spans="2:34" ht="16.8" thickTop="1" thickBot="1" x14ac:dyDescent="0.35">
      <c r="B402" s="3" t="str">
        <f t="shared" si="14"/>
        <v>45112504511000525Cooling Bills-N423931200104</v>
      </c>
      <c r="C402" s="6" t="s">
        <v>67</v>
      </c>
      <c r="D402" s="6" t="s">
        <v>680</v>
      </c>
      <c r="E402" s="6" t="s">
        <v>681</v>
      </c>
      <c r="F402" s="6" t="s">
        <v>682</v>
      </c>
      <c r="G402" s="4" t="s">
        <v>2818</v>
      </c>
      <c r="H402" s="4" t="s">
        <v>2922</v>
      </c>
      <c r="I402" s="6" t="s">
        <v>111</v>
      </c>
      <c r="J402" s="6" t="s">
        <v>31</v>
      </c>
      <c r="K402" s="12">
        <f>_xlfn.XLOOKUP(B402,[1]Sheet1!$B:$B,[1]Sheet1!$N:$N,0)</f>
        <v>0</v>
      </c>
      <c r="L402" s="12">
        <f>_xlfn.XLOOKUP(B402,[1]Sheet1!$B:$B,[1]Sheet1!$O:$O,0)</f>
        <v>0</v>
      </c>
      <c r="M402" s="12">
        <f>_xlfn.XLOOKUP(B402,[1]Sheet1!$B:$B,[1]Sheet1!$P:$P,0)</f>
        <v>0</v>
      </c>
      <c r="N402" s="12">
        <f>_xlfn.XLOOKUP(B402,[1]Sheet1!$B:$B,[1]Sheet1!$Q:$Q,0)</f>
        <v>270000</v>
      </c>
      <c r="O402" s="12">
        <f>_xlfn.XLOOKUP(B402,[1]Sheet1!$B:$B,[1]Sheet1!$R:$R,0)</f>
        <v>90000</v>
      </c>
      <c r="P402" s="12">
        <f>_xlfn.XLOOKUP(B402,[1]Sheet1!$B:$B,[1]Sheet1!$S:$S,0)</f>
        <v>90000</v>
      </c>
      <c r="Q402" s="12">
        <f>_xlfn.XLOOKUP(B402,[1]Sheet1!$B:$B,[1]Sheet1!$T:$T,0)</f>
        <v>90000</v>
      </c>
      <c r="R402" s="12">
        <f>_xlfn.XLOOKUP(B402,[1]Sheet1!$B:$B,[1]Sheet1!$U:$U,0)</f>
        <v>90000</v>
      </c>
      <c r="S402" s="12">
        <f>_xlfn.XLOOKUP(B402,[1]Sheet1!$B:$B,[1]Sheet1!$V:$V,0)</f>
        <v>0</v>
      </c>
      <c r="T402" s="12">
        <f>_xlfn.XLOOKUP(B402,[1]Sheet1!$B:$B,[1]Sheet1!$W:$W,0)</f>
        <v>0</v>
      </c>
      <c r="U402" s="12">
        <f>_xlfn.XLOOKUP(B402,[1]Sheet1!$B:$B,[1]Sheet1!$X:$X,0)</f>
        <v>0</v>
      </c>
      <c r="V402" s="12">
        <f>_xlfn.XLOOKUP(B402,[1]Sheet1!$B:$B,[1]Sheet1!$Y:$Y,0)</f>
        <v>0</v>
      </c>
      <c r="W402" s="12">
        <f t="shared" si="15"/>
        <v>630000</v>
      </c>
      <c r="X402" s="6" t="s">
        <v>112</v>
      </c>
      <c r="Y402" s="6" t="s">
        <v>65</v>
      </c>
      <c r="Z402" s="6" t="s">
        <v>66</v>
      </c>
      <c r="AA402" s="6" t="s">
        <v>111</v>
      </c>
      <c r="AB402" s="6" t="s">
        <v>36</v>
      </c>
      <c r="AC402" s="6" t="s">
        <v>37</v>
      </c>
      <c r="AD402" s="6" t="s">
        <v>69</v>
      </c>
      <c r="AE402" s="6" t="s">
        <v>39</v>
      </c>
      <c r="AF402" s="6" t="s">
        <v>40</v>
      </c>
      <c r="AG402" s="7">
        <v>630000</v>
      </c>
      <c r="AH402" s="11">
        <f>_xlfn.XLOOKUP(B402,[1]Sheet1!$B:$B,[1]Sheet1!$AB:$AB,0)</f>
        <v>630000</v>
      </c>
    </row>
    <row r="403" spans="2:34" ht="16.8" thickTop="1" thickBot="1" x14ac:dyDescent="0.35">
      <c r="B403" s="3" t="str">
        <f t="shared" si="14"/>
        <v>45112504511000525Maintenance-N426212200104</v>
      </c>
      <c r="C403" s="8" t="s">
        <v>67</v>
      </c>
      <c r="D403" s="8" t="s">
        <v>680</v>
      </c>
      <c r="E403" s="8" t="s">
        <v>681</v>
      </c>
      <c r="F403" s="8" t="s">
        <v>95</v>
      </c>
      <c r="G403" s="4" t="s">
        <v>2814</v>
      </c>
      <c r="H403" s="4" t="s">
        <v>2922</v>
      </c>
      <c r="I403" s="8" t="s">
        <v>96</v>
      </c>
      <c r="J403" s="8" t="s">
        <v>31</v>
      </c>
      <c r="K403" s="12">
        <f>_xlfn.XLOOKUP(B403,[1]Sheet1!$B:$B,[1]Sheet1!$N:$N,0)</f>
        <v>0</v>
      </c>
      <c r="L403" s="12">
        <f>_xlfn.XLOOKUP(B403,[1]Sheet1!$B:$B,[1]Sheet1!$O:$O,0)</f>
        <v>0</v>
      </c>
      <c r="M403" s="12">
        <f>_xlfn.XLOOKUP(B403,[1]Sheet1!$B:$B,[1]Sheet1!$P:$P,0)</f>
        <v>0</v>
      </c>
      <c r="N403" s="12">
        <f>_xlfn.XLOOKUP(B403,[1]Sheet1!$B:$B,[1]Sheet1!$Q:$Q,0)</f>
        <v>217587.49996666668</v>
      </c>
      <c r="O403" s="12">
        <f>_xlfn.XLOOKUP(B403,[1]Sheet1!$B:$B,[1]Sheet1!$R:$R,0)</f>
        <v>72529.166666666672</v>
      </c>
      <c r="P403" s="12">
        <f>_xlfn.XLOOKUP(B403,[1]Sheet1!$B:$B,[1]Sheet1!$S:$S,0)</f>
        <v>72529.166666666672</v>
      </c>
      <c r="Q403" s="12">
        <f>_xlfn.XLOOKUP(B403,[1]Sheet1!$B:$B,[1]Sheet1!$T:$T,0)</f>
        <v>72529.166666666672</v>
      </c>
      <c r="R403" s="12">
        <f>_xlfn.XLOOKUP(B403,[1]Sheet1!$B:$B,[1]Sheet1!$U:$U,0)</f>
        <v>72529.166666666672</v>
      </c>
      <c r="S403" s="12">
        <f>_xlfn.XLOOKUP(B403,[1]Sheet1!$B:$B,[1]Sheet1!$V:$V,0)</f>
        <v>72529.166666666672</v>
      </c>
      <c r="T403" s="12">
        <f>_xlfn.XLOOKUP(B403,[1]Sheet1!$B:$B,[1]Sheet1!$W:$W,0)</f>
        <v>72529.166666666672</v>
      </c>
      <c r="U403" s="12">
        <f>_xlfn.XLOOKUP(B403,[1]Sheet1!$B:$B,[1]Sheet1!$X:$X,0)</f>
        <v>72529.166666666672</v>
      </c>
      <c r="V403" s="12">
        <f>_xlfn.XLOOKUP(B403,[1]Sheet1!$B:$B,[1]Sheet1!$Y:$Y,0)</f>
        <v>145058.33333333334</v>
      </c>
      <c r="W403" s="12">
        <f t="shared" si="15"/>
        <v>870349.99996666668</v>
      </c>
      <c r="X403" s="8" t="s">
        <v>97</v>
      </c>
      <c r="Y403" s="8" t="s">
        <v>65</v>
      </c>
      <c r="Z403" s="8" t="s">
        <v>66</v>
      </c>
      <c r="AA403" s="8" t="s">
        <v>96</v>
      </c>
      <c r="AB403" s="8" t="s">
        <v>36</v>
      </c>
      <c r="AC403" s="8" t="s">
        <v>37</v>
      </c>
      <c r="AD403" s="8" t="s">
        <v>69</v>
      </c>
      <c r="AE403" s="8" t="s">
        <v>39</v>
      </c>
      <c r="AF403" s="8" t="s">
        <v>40</v>
      </c>
      <c r="AG403" s="9">
        <v>870350</v>
      </c>
      <c r="AH403" s="11">
        <f>_xlfn.XLOOKUP(B403,[1]Sheet1!$B:$B,[1]Sheet1!$AB:$AB,0)</f>
        <v>870349.99996666668</v>
      </c>
    </row>
    <row r="404" spans="2:34" ht="16.8" thickTop="1" thickBot="1" x14ac:dyDescent="0.35">
      <c r="B404" s="3" t="str">
        <f t="shared" si="14"/>
        <v>45112504511000525Pest Control-N422321200104</v>
      </c>
      <c r="C404" s="6" t="s">
        <v>67</v>
      </c>
      <c r="D404" s="6" t="s">
        <v>680</v>
      </c>
      <c r="E404" s="6" t="s">
        <v>681</v>
      </c>
      <c r="F404" s="6" t="s">
        <v>103</v>
      </c>
      <c r="G404" s="4" t="s">
        <v>2816</v>
      </c>
      <c r="H404" s="4" t="s">
        <v>2922</v>
      </c>
      <c r="I404" s="6" t="s">
        <v>104</v>
      </c>
      <c r="J404" s="6" t="s">
        <v>31</v>
      </c>
      <c r="K404" s="12">
        <f>_xlfn.XLOOKUP(B404,[1]Sheet1!$B:$B,[1]Sheet1!$N:$N,0)</f>
        <v>0</v>
      </c>
      <c r="L404" s="12">
        <f>_xlfn.XLOOKUP(B404,[1]Sheet1!$B:$B,[1]Sheet1!$O:$O,0)</f>
        <v>0</v>
      </c>
      <c r="M404" s="12">
        <f>_xlfn.XLOOKUP(B404,[1]Sheet1!$B:$B,[1]Sheet1!$P:$P,0)</f>
        <v>0</v>
      </c>
      <c r="N404" s="12">
        <f>_xlfn.XLOOKUP(B404,[1]Sheet1!$B:$B,[1]Sheet1!$Q:$Q,0)</f>
        <v>0</v>
      </c>
      <c r="O404" s="12">
        <f>_xlfn.XLOOKUP(B404,[1]Sheet1!$B:$B,[1]Sheet1!$R:$R,0)</f>
        <v>0</v>
      </c>
      <c r="P404" s="12">
        <f>_xlfn.XLOOKUP(B404,[1]Sheet1!$B:$B,[1]Sheet1!$S:$S,0)</f>
        <v>7920</v>
      </c>
      <c r="Q404" s="12">
        <f>_xlfn.XLOOKUP(B404,[1]Sheet1!$B:$B,[1]Sheet1!$T:$T,0)</f>
        <v>0</v>
      </c>
      <c r="R404" s="12">
        <f>_xlfn.XLOOKUP(B404,[1]Sheet1!$B:$B,[1]Sheet1!$U:$U,0)</f>
        <v>0</v>
      </c>
      <c r="S404" s="12">
        <f>_xlfn.XLOOKUP(B404,[1]Sheet1!$B:$B,[1]Sheet1!$V:$V,0)</f>
        <v>0</v>
      </c>
      <c r="T404" s="12">
        <f>_xlfn.XLOOKUP(B404,[1]Sheet1!$B:$B,[1]Sheet1!$W:$W,0)</f>
        <v>0</v>
      </c>
      <c r="U404" s="12">
        <f>_xlfn.XLOOKUP(B404,[1]Sheet1!$B:$B,[1]Sheet1!$X:$X,0)</f>
        <v>0</v>
      </c>
      <c r="V404" s="12">
        <f>_xlfn.XLOOKUP(B404,[1]Sheet1!$B:$B,[1]Sheet1!$Y:$Y,0)</f>
        <v>0</v>
      </c>
      <c r="W404" s="12">
        <f t="shared" si="15"/>
        <v>7920</v>
      </c>
      <c r="X404" s="6" t="s">
        <v>105</v>
      </c>
      <c r="Y404" s="6" t="s">
        <v>65</v>
      </c>
      <c r="Z404" s="6" t="s">
        <v>66</v>
      </c>
      <c r="AA404" s="6" t="s">
        <v>106</v>
      </c>
      <c r="AB404" s="6" t="s">
        <v>36</v>
      </c>
      <c r="AC404" s="6" t="s">
        <v>37</v>
      </c>
      <c r="AD404" s="6" t="s">
        <v>69</v>
      </c>
      <c r="AE404" s="6" t="s">
        <v>39</v>
      </c>
      <c r="AF404" s="6" t="s">
        <v>40</v>
      </c>
      <c r="AG404" s="7">
        <v>7920</v>
      </c>
      <c r="AH404" s="11">
        <f>_xlfn.XLOOKUP(B404,[1]Sheet1!$B:$B,[1]Sheet1!$AB:$AB,0)</f>
        <v>7920</v>
      </c>
    </row>
    <row r="405" spans="2:34" ht="16.8" thickTop="1" thickBot="1" x14ac:dyDescent="0.35">
      <c r="B405" s="3" t="str">
        <f t="shared" si="14"/>
        <v>45112504511000525Security Service-N424551200104</v>
      </c>
      <c r="C405" s="8" t="s">
        <v>67</v>
      </c>
      <c r="D405" s="8" t="s">
        <v>680</v>
      </c>
      <c r="E405" s="8" t="s">
        <v>681</v>
      </c>
      <c r="F405" s="8" t="s">
        <v>107</v>
      </c>
      <c r="G405" s="4" t="s">
        <v>2817</v>
      </c>
      <c r="H405" s="4" t="s">
        <v>2922</v>
      </c>
      <c r="I405" s="8" t="s">
        <v>108</v>
      </c>
      <c r="J405" s="8" t="s">
        <v>31</v>
      </c>
      <c r="K405" s="12">
        <f>_xlfn.XLOOKUP(B405,[1]Sheet1!$B:$B,[1]Sheet1!$N:$N,0)</f>
        <v>0</v>
      </c>
      <c r="L405" s="12">
        <f>_xlfn.XLOOKUP(B405,[1]Sheet1!$B:$B,[1]Sheet1!$O:$O,0)</f>
        <v>0</v>
      </c>
      <c r="M405" s="12">
        <f>_xlfn.XLOOKUP(B405,[1]Sheet1!$B:$B,[1]Sheet1!$P:$P,0)</f>
        <v>0</v>
      </c>
      <c r="N405" s="12">
        <f>_xlfn.XLOOKUP(B405,[1]Sheet1!$B:$B,[1]Sheet1!$Q:$Q,0)</f>
        <v>35600</v>
      </c>
      <c r="O405" s="12">
        <f>_xlfn.XLOOKUP(B405,[1]Sheet1!$B:$B,[1]Sheet1!$R:$R,0)</f>
        <v>8900</v>
      </c>
      <c r="P405" s="12">
        <f>_xlfn.XLOOKUP(B405,[1]Sheet1!$B:$B,[1]Sheet1!$S:$S,0)</f>
        <v>8900</v>
      </c>
      <c r="Q405" s="12">
        <f>_xlfn.XLOOKUP(B405,[1]Sheet1!$B:$B,[1]Sheet1!$T:$T,0)</f>
        <v>8900</v>
      </c>
      <c r="R405" s="12">
        <f>_xlfn.XLOOKUP(B405,[1]Sheet1!$B:$B,[1]Sheet1!$U:$U,0)</f>
        <v>8900</v>
      </c>
      <c r="S405" s="12">
        <f>_xlfn.XLOOKUP(B405,[1]Sheet1!$B:$B,[1]Sheet1!$V:$V,0)</f>
        <v>8900</v>
      </c>
      <c r="T405" s="12">
        <f>_xlfn.XLOOKUP(B405,[1]Sheet1!$B:$B,[1]Sheet1!$W:$W,0)</f>
        <v>8900</v>
      </c>
      <c r="U405" s="12">
        <f>_xlfn.XLOOKUP(B405,[1]Sheet1!$B:$B,[1]Sheet1!$X:$X,0)</f>
        <v>8900</v>
      </c>
      <c r="V405" s="12">
        <f>_xlfn.XLOOKUP(B405,[1]Sheet1!$B:$B,[1]Sheet1!$Y:$Y,0)</f>
        <v>27500</v>
      </c>
      <c r="W405" s="12">
        <f t="shared" si="15"/>
        <v>125400</v>
      </c>
      <c r="X405" s="8" t="s">
        <v>109</v>
      </c>
      <c r="Y405" s="8" t="s">
        <v>65</v>
      </c>
      <c r="Z405" s="8" t="s">
        <v>66</v>
      </c>
      <c r="AA405" s="8" t="s">
        <v>108</v>
      </c>
      <c r="AB405" s="8" t="s">
        <v>36</v>
      </c>
      <c r="AC405" s="8" t="s">
        <v>37</v>
      </c>
      <c r="AD405" s="8" t="s">
        <v>69</v>
      </c>
      <c r="AE405" s="8" t="s">
        <v>39</v>
      </c>
      <c r="AF405" s="8" t="s">
        <v>40</v>
      </c>
      <c r="AG405" s="9">
        <v>125400</v>
      </c>
      <c r="AH405" s="11">
        <f>_xlfn.XLOOKUP(B405,[1]Sheet1!$B:$B,[1]Sheet1!$AB:$AB,0)</f>
        <v>125400</v>
      </c>
    </row>
    <row r="406" spans="2:34" ht="16.8" thickTop="1" thickBot="1" x14ac:dyDescent="0.35">
      <c r="B406" s="3" t="str">
        <f t="shared" si="14"/>
        <v>45112504511000525Utilities-N423931200104</v>
      </c>
      <c r="C406" s="6" t="s">
        <v>67</v>
      </c>
      <c r="D406" s="6" t="s">
        <v>680</v>
      </c>
      <c r="E406" s="6" t="s">
        <v>681</v>
      </c>
      <c r="F406" s="6" t="s">
        <v>110</v>
      </c>
      <c r="G406" s="4" t="s">
        <v>2818</v>
      </c>
      <c r="H406" s="4" t="s">
        <v>2922</v>
      </c>
      <c r="I406" s="6" t="s">
        <v>111</v>
      </c>
      <c r="J406" s="6" t="s">
        <v>31</v>
      </c>
      <c r="K406" s="12">
        <f>_xlfn.XLOOKUP(B406,[1]Sheet1!$B:$B,[1]Sheet1!$N:$N,0)</f>
        <v>0</v>
      </c>
      <c r="L406" s="12">
        <f>_xlfn.XLOOKUP(B406,[1]Sheet1!$B:$B,[1]Sheet1!$O:$O,0)</f>
        <v>0</v>
      </c>
      <c r="M406" s="12">
        <f>_xlfn.XLOOKUP(B406,[1]Sheet1!$B:$B,[1]Sheet1!$P:$P,0)</f>
        <v>0</v>
      </c>
      <c r="N406" s="12">
        <f>_xlfn.XLOOKUP(B406,[1]Sheet1!$B:$B,[1]Sheet1!$Q:$Q,0)</f>
        <v>62392</v>
      </c>
      <c r="O406" s="12">
        <f>_xlfn.XLOOKUP(B406,[1]Sheet1!$B:$B,[1]Sheet1!$R:$R,0)</f>
        <v>31196</v>
      </c>
      <c r="P406" s="12">
        <f>_xlfn.XLOOKUP(B406,[1]Sheet1!$B:$B,[1]Sheet1!$S:$S,0)</f>
        <v>31196</v>
      </c>
      <c r="Q406" s="12">
        <f>_xlfn.XLOOKUP(B406,[1]Sheet1!$B:$B,[1]Sheet1!$T:$T,0)</f>
        <v>31196</v>
      </c>
      <c r="R406" s="12">
        <f>_xlfn.XLOOKUP(B406,[1]Sheet1!$B:$B,[1]Sheet1!$U:$U,0)</f>
        <v>31196</v>
      </c>
      <c r="S406" s="12">
        <f>_xlfn.XLOOKUP(B406,[1]Sheet1!$B:$B,[1]Sheet1!$V:$V,0)</f>
        <v>31197</v>
      </c>
      <c r="T406" s="12">
        <f>_xlfn.XLOOKUP(B406,[1]Sheet1!$B:$B,[1]Sheet1!$W:$W,0)</f>
        <v>0</v>
      </c>
      <c r="U406" s="12">
        <f>_xlfn.XLOOKUP(B406,[1]Sheet1!$B:$B,[1]Sheet1!$X:$X,0)</f>
        <v>0</v>
      </c>
      <c r="V406" s="12">
        <f>_xlfn.XLOOKUP(B406,[1]Sheet1!$B:$B,[1]Sheet1!$Y:$Y,0)</f>
        <v>0</v>
      </c>
      <c r="W406" s="12">
        <f t="shared" si="15"/>
        <v>218373</v>
      </c>
      <c r="X406" s="6" t="s">
        <v>112</v>
      </c>
      <c r="Y406" s="6" t="s">
        <v>65</v>
      </c>
      <c r="Z406" s="6" t="s">
        <v>66</v>
      </c>
      <c r="AA406" s="6" t="s">
        <v>111</v>
      </c>
      <c r="AB406" s="6" t="s">
        <v>36</v>
      </c>
      <c r="AC406" s="6" t="s">
        <v>37</v>
      </c>
      <c r="AD406" s="6" t="s">
        <v>69</v>
      </c>
      <c r="AE406" s="6" t="s">
        <v>39</v>
      </c>
      <c r="AF406" s="6" t="s">
        <v>40</v>
      </c>
      <c r="AG406" s="7">
        <v>218373</v>
      </c>
      <c r="AH406" s="11">
        <f>_xlfn.XLOOKUP(B406,[1]Sheet1!$B:$B,[1]Sheet1!$AB:$AB,0)</f>
        <v>218373</v>
      </c>
    </row>
    <row r="407" spans="2:34" ht="16.8" thickTop="1" thickBot="1" x14ac:dyDescent="0.35">
      <c r="B407" s="3" t="str">
        <f t="shared" si="14"/>
        <v>45112504511000526Activation&amp;Prog-N422401200104</v>
      </c>
      <c r="C407" s="8" t="s">
        <v>67</v>
      </c>
      <c r="D407" s="8" t="s">
        <v>683</v>
      </c>
      <c r="E407" s="8" t="s">
        <v>684</v>
      </c>
      <c r="F407" s="8" t="s">
        <v>62</v>
      </c>
      <c r="G407" s="4" t="s">
        <v>2807</v>
      </c>
      <c r="H407" s="4" t="s">
        <v>2922</v>
      </c>
      <c r="I407" s="8" t="s">
        <v>63</v>
      </c>
      <c r="J407" s="8" t="s">
        <v>31</v>
      </c>
      <c r="K407" s="12">
        <f>_xlfn.XLOOKUP(B407,[1]Sheet1!$B:$B,[1]Sheet1!$N:$N,0)</f>
        <v>0</v>
      </c>
      <c r="L407" s="12">
        <f>_xlfn.XLOOKUP(B407,[1]Sheet1!$B:$B,[1]Sheet1!$O:$O,0)</f>
        <v>0</v>
      </c>
      <c r="M407" s="12">
        <f>_xlfn.XLOOKUP(B407,[1]Sheet1!$B:$B,[1]Sheet1!$P:$P,0)</f>
        <v>373100</v>
      </c>
      <c r="N407" s="12">
        <f>_xlfn.XLOOKUP(B407,[1]Sheet1!$B:$B,[1]Sheet1!$Q:$Q,0)</f>
        <v>0</v>
      </c>
      <c r="O407" s="12">
        <f>_xlfn.XLOOKUP(B407,[1]Sheet1!$B:$B,[1]Sheet1!$R:$R,0)</f>
        <v>0</v>
      </c>
      <c r="P407" s="12">
        <f>_xlfn.XLOOKUP(B407,[1]Sheet1!$B:$B,[1]Sheet1!$S:$S,0)</f>
        <v>597400</v>
      </c>
      <c r="Q407" s="12">
        <f>_xlfn.XLOOKUP(B407,[1]Sheet1!$B:$B,[1]Sheet1!$T:$T,0)</f>
        <v>0</v>
      </c>
      <c r="R407" s="12">
        <f>_xlfn.XLOOKUP(B407,[1]Sheet1!$B:$B,[1]Sheet1!$U:$U,0)</f>
        <v>0</v>
      </c>
      <c r="S407" s="12">
        <f>_xlfn.XLOOKUP(B407,[1]Sheet1!$B:$B,[1]Sheet1!$V:$V,0)</f>
        <v>0</v>
      </c>
      <c r="T407" s="12">
        <f>_xlfn.XLOOKUP(B407,[1]Sheet1!$B:$B,[1]Sheet1!$W:$W,0)</f>
        <v>0</v>
      </c>
      <c r="U407" s="12">
        <f>_xlfn.XLOOKUP(B407,[1]Sheet1!$B:$B,[1]Sheet1!$X:$X,0)</f>
        <v>0</v>
      </c>
      <c r="V407" s="12">
        <f>_xlfn.XLOOKUP(B407,[1]Sheet1!$B:$B,[1]Sheet1!$Y:$Y,0)</f>
        <v>0</v>
      </c>
      <c r="W407" s="12">
        <f t="shared" si="15"/>
        <v>970500</v>
      </c>
      <c r="X407" s="8" t="s">
        <v>64</v>
      </c>
      <c r="Y407" s="8" t="s">
        <v>65</v>
      </c>
      <c r="Z407" s="8" t="s">
        <v>66</v>
      </c>
      <c r="AA407" s="8" t="s">
        <v>68</v>
      </c>
      <c r="AB407" s="8" t="s">
        <v>36</v>
      </c>
      <c r="AC407" s="8" t="s">
        <v>37</v>
      </c>
      <c r="AD407" s="8" t="s">
        <v>69</v>
      </c>
      <c r="AE407" s="8" t="s">
        <v>39</v>
      </c>
      <c r="AF407" s="8" t="s">
        <v>40</v>
      </c>
      <c r="AG407" s="9">
        <v>970500</v>
      </c>
      <c r="AH407" s="11">
        <f>_xlfn.XLOOKUP(B407,[1]Sheet1!$B:$B,[1]Sheet1!$AB:$AB,0)</f>
        <v>970500</v>
      </c>
    </row>
    <row r="408" spans="2:34" ht="16.8" thickTop="1" thickBot="1" x14ac:dyDescent="0.35">
      <c r="B408" s="3" t="str">
        <f t="shared" si="14"/>
        <v>45112504511000526Admin Expenses-N1421125200104</v>
      </c>
      <c r="C408" s="6" t="s">
        <v>67</v>
      </c>
      <c r="D408" s="6" t="s">
        <v>683</v>
      </c>
      <c r="E408" s="6" t="s">
        <v>684</v>
      </c>
      <c r="F408" s="6" t="s">
        <v>73</v>
      </c>
      <c r="G408" s="4" t="s">
        <v>2803</v>
      </c>
      <c r="H408" s="4" t="s">
        <v>2922</v>
      </c>
      <c r="I408" s="6" t="s">
        <v>44</v>
      </c>
      <c r="J408" s="6" t="s">
        <v>31</v>
      </c>
      <c r="K408" s="12">
        <f>_xlfn.XLOOKUP(B408,[1]Sheet1!$B:$B,[1]Sheet1!$N:$N,0)</f>
        <v>0</v>
      </c>
      <c r="L408" s="12">
        <f>_xlfn.XLOOKUP(B408,[1]Sheet1!$B:$B,[1]Sheet1!$O:$O,0)</f>
        <v>0</v>
      </c>
      <c r="M408" s="12">
        <f>_xlfn.XLOOKUP(B408,[1]Sheet1!$B:$B,[1]Sheet1!$P:$P,0)</f>
        <v>0</v>
      </c>
      <c r="N408" s="12">
        <f>_xlfn.XLOOKUP(B408,[1]Sheet1!$B:$B,[1]Sheet1!$Q:$Q,0)</f>
        <v>60000</v>
      </c>
      <c r="O408" s="12">
        <f>_xlfn.XLOOKUP(B408,[1]Sheet1!$B:$B,[1]Sheet1!$R:$R,0)</f>
        <v>60000</v>
      </c>
      <c r="P408" s="12">
        <f>_xlfn.XLOOKUP(B408,[1]Sheet1!$B:$B,[1]Sheet1!$S:$S,0)</f>
        <v>60000</v>
      </c>
      <c r="Q408" s="12">
        <f>_xlfn.XLOOKUP(B408,[1]Sheet1!$B:$B,[1]Sheet1!$T:$T,0)</f>
        <v>57950</v>
      </c>
      <c r="R408" s="12">
        <f>_xlfn.XLOOKUP(B408,[1]Sheet1!$B:$B,[1]Sheet1!$U:$U,0)</f>
        <v>0</v>
      </c>
      <c r="S408" s="12">
        <f>_xlfn.XLOOKUP(B408,[1]Sheet1!$B:$B,[1]Sheet1!$V:$V,0)</f>
        <v>0</v>
      </c>
      <c r="T408" s="12">
        <f>_xlfn.XLOOKUP(B408,[1]Sheet1!$B:$B,[1]Sheet1!$W:$W,0)</f>
        <v>0</v>
      </c>
      <c r="U408" s="12">
        <f>_xlfn.XLOOKUP(B408,[1]Sheet1!$B:$B,[1]Sheet1!$X:$X,0)</f>
        <v>0</v>
      </c>
      <c r="V408" s="12">
        <f>_xlfn.XLOOKUP(B408,[1]Sheet1!$B:$B,[1]Sheet1!$Y:$Y,0)</f>
        <v>0</v>
      </c>
      <c r="W408" s="12">
        <f t="shared" si="15"/>
        <v>237950</v>
      </c>
      <c r="X408" s="6" t="s">
        <v>74</v>
      </c>
      <c r="Y408" s="6" t="s">
        <v>65</v>
      </c>
      <c r="Z408" s="6" t="s">
        <v>66</v>
      </c>
      <c r="AA408" s="6" t="s">
        <v>44</v>
      </c>
      <c r="AB408" s="6" t="s">
        <v>36</v>
      </c>
      <c r="AC408" s="6" t="s">
        <v>37</v>
      </c>
      <c r="AD408" s="6" t="s">
        <v>69</v>
      </c>
      <c r="AE408" s="6" t="s">
        <v>39</v>
      </c>
      <c r="AF408" s="6" t="s">
        <v>40</v>
      </c>
      <c r="AG408" s="7">
        <v>237950</v>
      </c>
      <c r="AH408" s="11">
        <f>_xlfn.XLOOKUP(B408,[1]Sheet1!$B:$B,[1]Sheet1!$AB:$AB,0)</f>
        <v>237950</v>
      </c>
    </row>
    <row r="409" spans="2:34" ht="16.8" thickTop="1" thickBot="1" x14ac:dyDescent="0.35">
      <c r="B409" s="3" t="str">
        <f t="shared" si="14"/>
        <v>45112504511000526Edu &amp; Outreach-N422401200104</v>
      </c>
      <c r="C409" s="8" t="s">
        <v>67</v>
      </c>
      <c r="D409" s="8" t="s">
        <v>683</v>
      </c>
      <c r="E409" s="8" t="s">
        <v>684</v>
      </c>
      <c r="F409" s="8" t="s">
        <v>155</v>
      </c>
      <c r="G409" s="4" t="s">
        <v>2807</v>
      </c>
      <c r="H409" s="4" t="s">
        <v>2922</v>
      </c>
      <c r="I409" s="8" t="s">
        <v>63</v>
      </c>
      <c r="J409" s="8" t="s">
        <v>31</v>
      </c>
      <c r="K409" s="12">
        <f>_xlfn.XLOOKUP(B409,[1]Sheet1!$B:$B,[1]Sheet1!$N:$N,0)</f>
        <v>0</v>
      </c>
      <c r="L409" s="12">
        <f>_xlfn.XLOOKUP(B409,[1]Sheet1!$B:$B,[1]Sheet1!$O:$O,0)</f>
        <v>0</v>
      </c>
      <c r="M409" s="12">
        <f>_xlfn.XLOOKUP(B409,[1]Sheet1!$B:$B,[1]Sheet1!$P:$P,0)</f>
        <v>0</v>
      </c>
      <c r="N409" s="12">
        <f>_xlfn.XLOOKUP(B409,[1]Sheet1!$B:$B,[1]Sheet1!$Q:$Q,0)</f>
        <v>0</v>
      </c>
      <c r="O409" s="12">
        <f>_xlfn.XLOOKUP(B409,[1]Sheet1!$B:$B,[1]Sheet1!$R:$R,0)</f>
        <v>0</v>
      </c>
      <c r="P409" s="12">
        <f>_xlfn.XLOOKUP(B409,[1]Sheet1!$B:$B,[1]Sheet1!$S:$S,0)</f>
        <v>0</v>
      </c>
      <c r="Q409" s="12">
        <f>_xlfn.XLOOKUP(B409,[1]Sheet1!$B:$B,[1]Sheet1!$T:$T,0)</f>
        <v>0</v>
      </c>
      <c r="R409" s="12">
        <f>_xlfn.XLOOKUP(B409,[1]Sheet1!$B:$B,[1]Sheet1!$U:$U,0)</f>
        <v>0</v>
      </c>
      <c r="S409" s="12">
        <f>_xlfn.XLOOKUP(B409,[1]Sheet1!$B:$B,[1]Sheet1!$V:$V,0)</f>
        <v>0</v>
      </c>
      <c r="T409" s="12">
        <f>_xlfn.XLOOKUP(B409,[1]Sheet1!$B:$B,[1]Sheet1!$W:$W,0)</f>
        <v>0</v>
      </c>
      <c r="U409" s="12">
        <f>_xlfn.XLOOKUP(B409,[1]Sheet1!$B:$B,[1]Sheet1!$X:$X,0)</f>
        <v>135000</v>
      </c>
      <c r="V409" s="12">
        <f>_xlfn.XLOOKUP(B409,[1]Sheet1!$B:$B,[1]Sheet1!$Y:$Y,0)</f>
        <v>0</v>
      </c>
      <c r="W409" s="12">
        <f t="shared" si="15"/>
        <v>135000</v>
      </c>
      <c r="X409" s="8" t="s">
        <v>64</v>
      </c>
      <c r="Y409" s="8" t="s">
        <v>65</v>
      </c>
      <c r="Z409" s="8" t="s">
        <v>66</v>
      </c>
      <c r="AA409" s="8" t="s">
        <v>68</v>
      </c>
      <c r="AB409" s="8" t="s">
        <v>36</v>
      </c>
      <c r="AC409" s="8" t="s">
        <v>37</v>
      </c>
      <c r="AD409" s="8" t="s">
        <v>69</v>
      </c>
      <c r="AE409" s="8" t="s">
        <v>39</v>
      </c>
      <c r="AF409" s="8" t="s">
        <v>40</v>
      </c>
      <c r="AG409" s="9">
        <v>135000</v>
      </c>
      <c r="AH409" s="11">
        <f>_xlfn.XLOOKUP(B409,[1]Sheet1!$B:$B,[1]Sheet1!$AB:$AB,0)</f>
        <v>135000</v>
      </c>
    </row>
    <row r="410" spans="2:34" ht="16.8" thickTop="1" thickBot="1" x14ac:dyDescent="0.35">
      <c r="B410" s="3" t="str">
        <f t="shared" si="14"/>
        <v>45112504511000526Manpower-N424521200104</v>
      </c>
      <c r="C410" s="6" t="s">
        <v>67</v>
      </c>
      <c r="D410" s="6" t="s">
        <v>683</v>
      </c>
      <c r="E410" s="6" t="s">
        <v>684</v>
      </c>
      <c r="F410" s="6" t="s">
        <v>98</v>
      </c>
      <c r="G410" s="4" t="s">
        <v>2804</v>
      </c>
      <c r="H410" s="4" t="s">
        <v>2922</v>
      </c>
      <c r="I410" s="6" t="s">
        <v>51</v>
      </c>
      <c r="J410" s="6" t="s">
        <v>31</v>
      </c>
      <c r="K410" s="12">
        <f>_xlfn.XLOOKUP(B410,[1]Sheet1!$B:$B,[1]Sheet1!$N:$N,0)</f>
        <v>0</v>
      </c>
      <c r="L410" s="12">
        <f>_xlfn.XLOOKUP(B410,[1]Sheet1!$B:$B,[1]Sheet1!$O:$O,0)</f>
        <v>0</v>
      </c>
      <c r="M410" s="12">
        <f>_xlfn.XLOOKUP(B410,[1]Sheet1!$B:$B,[1]Sheet1!$P:$P,0)</f>
        <v>268021.15999999997</v>
      </c>
      <c r="N410" s="12">
        <f>_xlfn.XLOOKUP(B410,[1]Sheet1!$B:$B,[1]Sheet1!$Q:$Q,0)</f>
        <v>134010.58000000002</v>
      </c>
      <c r="O410" s="12">
        <f>_xlfn.XLOOKUP(B410,[1]Sheet1!$B:$B,[1]Sheet1!$R:$R,0)</f>
        <v>134010.57999999999</v>
      </c>
      <c r="P410" s="12">
        <f>_xlfn.XLOOKUP(B410,[1]Sheet1!$B:$B,[1]Sheet1!$S:$S,0)</f>
        <v>134010.57999999999</v>
      </c>
      <c r="Q410" s="12">
        <f>_xlfn.XLOOKUP(B410,[1]Sheet1!$B:$B,[1]Sheet1!$T:$T,0)</f>
        <v>134010.57999999999</v>
      </c>
      <c r="R410" s="12">
        <f>_xlfn.XLOOKUP(B410,[1]Sheet1!$B:$B,[1]Sheet1!$U:$U,0)</f>
        <v>134010.57999999999</v>
      </c>
      <c r="S410" s="12">
        <f>_xlfn.XLOOKUP(B410,[1]Sheet1!$B:$B,[1]Sheet1!$V:$V,0)</f>
        <v>134010.57999999999</v>
      </c>
      <c r="T410" s="12">
        <f>_xlfn.XLOOKUP(B410,[1]Sheet1!$B:$B,[1]Sheet1!$W:$W,0)</f>
        <v>134010.57999999999</v>
      </c>
      <c r="U410" s="12">
        <f>_xlfn.XLOOKUP(B410,[1]Sheet1!$B:$B,[1]Sheet1!$X:$X,0)</f>
        <v>134010.57999999999</v>
      </c>
      <c r="V410" s="12">
        <f>_xlfn.XLOOKUP(B410,[1]Sheet1!$B:$B,[1]Sheet1!$Y:$Y,0)</f>
        <v>134010.57999999999</v>
      </c>
      <c r="W410" s="12">
        <f t="shared" si="15"/>
        <v>1474116.3800000001</v>
      </c>
      <c r="X410" s="6" t="s">
        <v>82</v>
      </c>
      <c r="Y410" s="6" t="s">
        <v>65</v>
      </c>
      <c r="Z410" s="6" t="s">
        <v>66</v>
      </c>
      <c r="AA410" s="6" t="s">
        <v>53</v>
      </c>
      <c r="AB410" s="6" t="s">
        <v>36</v>
      </c>
      <c r="AC410" s="6" t="s">
        <v>37</v>
      </c>
      <c r="AD410" s="6" t="s">
        <v>69</v>
      </c>
      <c r="AE410" s="6" t="s">
        <v>39</v>
      </c>
      <c r="AF410" s="6" t="s">
        <v>40</v>
      </c>
      <c r="AG410" s="7">
        <v>1474116</v>
      </c>
      <c r="AH410" s="11">
        <f>_xlfn.XLOOKUP(B410,[1]Sheet1!$B:$B,[1]Sheet1!$AB:$AB,0)</f>
        <v>1474116.3800000001</v>
      </c>
    </row>
    <row r="411" spans="2:34" ht="16.8" thickTop="1" thickBot="1" x14ac:dyDescent="0.35">
      <c r="B411" s="3" t="str">
        <f t="shared" si="14"/>
        <v>45112504511000527Ad-hoc Repairs-N426427200104</v>
      </c>
      <c r="C411" s="8" t="s">
        <v>67</v>
      </c>
      <c r="D411" s="8" t="s">
        <v>685</v>
      </c>
      <c r="E411" s="8" t="s">
        <v>686</v>
      </c>
      <c r="F411" s="8" t="s">
        <v>70</v>
      </c>
      <c r="G411" s="4" t="s">
        <v>2808</v>
      </c>
      <c r="H411" s="4" t="s">
        <v>2922</v>
      </c>
      <c r="I411" s="8" t="s">
        <v>71</v>
      </c>
      <c r="J411" s="8" t="s">
        <v>31</v>
      </c>
      <c r="K411" s="12">
        <f>_xlfn.XLOOKUP(B411,[1]Sheet1!$B:$B,[1]Sheet1!$N:$N,0)</f>
        <v>0</v>
      </c>
      <c r="L411" s="12">
        <f>_xlfn.XLOOKUP(B411,[1]Sheet1!$B:$B,[1]Sheet1!$O:$O,0)</f>
        <v>0</v>
      </c>
      <c r="M411" s="12">
        <f>_xlfn.XLOOKUP(B411,[1]Sheet1!$B:$B,[1]Sheet1!$P:$P,0)</f>
        <v>0</v>
      </c>
      <c r="N411" s="12">
        <f>_xlfn.XLOOKUP(B411,[1]Sheet1!$B:$B,[1]Sheet1!$Q:$Q,0)</f>
        <v>0</v>
      </c>
      <c r="O411" s="12">
        <f>_xlfn.XLOOKUP(B411,[1]Sheet1!$B:$B,[1]Sheet1!$R:$R,0)</f>
        <v>10232</v>
      </c>
      <c r="P411" s="12">
        <f>_xlfn.XLOOKUP(B411,[1]Sheet1!$B:$B,[1]Sheet1!$S:$S,0)</f>
        <v>0</v>
      </c>
      <c r="Q411" s="12">
        <f>_xlfn.XLOOKUP(B411,[1]Sheet1!$B:$B,[1]Sheet1!$T:$T,0)</f>
        <v>10233</v>
      </c>
      <c r="R411" s="12">
        <f>_xlfn.XLOOKUP(B411,[1]Sheet1!$B:$B,[1]Sheet1!$U:$U,0)</f>
        <v>0</v>
      </c>
      <c r="S411" s="12">
        <f>_xlfn.XLOOKUP(B411,[1]Sheet1!$B:$B,[1]Sheet1!$V:$V,0)</f>
        <v>10233</v>
      </c>
      <c r="T411" s="12">
        <f>_xlfn.XLOOKUP(B411,[1]Sheet1!$B:$B,[1]Sheet1!$W:$W,0)</f>
        <v>0</v>
      </c>
      <c r="U411" s="12">
        <f>_xlfn.XLOOKUP(B411,[1]Sheet1!$B:$B,[1]Sheet1!$X:$X,0)</f>
        <v>10233</v>
      </c>
      <c r="V411" s="12">
        <f>_xlfn.XLOOKUP(B411,[1]Sheet1!$B:$B,[1]Sheet1!$Y:$Y,0)</f>
        <v>0</v>
      </c>
      <c r="W411" s="12">
        <f t="shared" si="15"/>
        <v>40931</v>
      </c>
      <c r="X411" s="8" t="s">
        <v>72</v>
      </c>
      <c r="Y411" s="8" t="s">
        <v>65</v>
      </c>
      <c r="Z411" s="8" t="s">
        <v>66</v>
      </c>
      <c r="AA411" s="8" t="s">
        <v>71</v>
      </c>
      <c r="AB411" s="8" t="s">
        <v>36</v>
      </c>
      <c r="AC411" s="8" t="s">
        <v>37</v>
      </c>
      <c r="AD411" s="8" t="s">
        <v>69</v>
      </c>
      <c r="AE411" s="8" t="s">
        <v>39</v>
      </c>
      <c r="AF411" s="8" t="s">
        <v>40</v>
      </c>
      <c r="AG411" s="9">
        <v>40931</v>
      </c>
      <c r="AH411" s="11">
        <f>_xlfn.XLOOKUP(B411,[1]Sheet1!$B:$B,[1]Sheet1!$AB:$AB,0)</f>
        <v>40931</v>
      </c>
    </row>
    <row r="412" spans="2:34" ht="16.8" thickTop="1" thickBot="1" x14ac:dyDescent="0.35">
      <c r="B412" s="3" t="str">
        <f t="shared" si="14"/>
        <v>45112504511000527Cleaning Service-N422311200104</v>
      </c>
      <c r="C412" s="6" t="s">
        <v>67</v>
      </c>
      <c r="D412" s="6" t="s">
        <v>685</v>
      </c>
      <c r="E412" s="6" t="s">
        <v>686</v>
      </c>
      <c r="F412" s="6" t="s">
        <v>79</v>
      </c>
      <c r="G412" s="4" t="s">
        <v>2810</v>
      </c>
      <c r="H412" s="4" t="s">
        <v>2922</v>
      </c>
      <c r="I412" s="6" t="s">
        <v>80</v>
      </c>
      <c r="J412" s="6" t="s">
        <v>31</v>
      </c>
      <c r="K412" s="12">
        <f>_xlfn.XLOOKUP(B412,[1]Sheet1!$B:$B,[1]Sheet1!$N:$N,0)</f>
        <v>0</v>
      </c>
      <c r="L412" s="12">
        <f>_xlfn.XLOOKUP(B412,[1]Sheet1!$B:$B,[1]Sheet1!$O:$O,0)</f>
        <v>0</v>
      </c>
      <c r="M412" s="12">
        <f>_xlfn.XLOOKUP(B412,[1]Sheet1!$B:$B,[1]Sheet1!$P:$P,0)</f>
        <v>0</v>
      </c>
      <c r="N412" s="12">
        <f>_xlfn.XLOOKUP(B412,[1]Sheet1!$B:$B,[1]Sheet1!$Q:$Q,0)</f>
        <v>26199</v>
      </c>
      <c r="O412" s="12">
        <f>_xlfn.XLOOKUP(B412,[1]Sheet1!$B:$B,[1]Sheet1!$R:$R,0)</f>
        <v>6548</v>
      </c>
      <c r="P412" s="12">
        <f>_xlfn.XLOOKUP(B412,[1]Sheet1!$B:$B,[1]Sheet1!$S:$S,0)</f>
        <v>6550</v>
      </c>
      <c r="Q412" s="12">
        <f>_xlfn.XLOOKUP(B412,[1]Sheet1!$B:$B,[1]Sheet1!$T:$T,0)</f>
        <v>6550</v>
      </c>
      <c r="R412" s="12">
        <f>_xlfn.XLOOKUP(B412,[1]Sheet1!$B:$B,[1]Sheet1!$U:$U,0)</f>
        <v>6550</v>
      </c>
      <c r="S412" s="12">
        <f>_xlfn.XLOOKUP(B412,[1]Sheet1!$B:$B,[1]Sheet1!$V:$V,0)</f>
        <v>6550</v>
      </c>
      <c r="T412" s="12">
        <f>_xlfn.XLOOKUP(B412,[1]Sheet1!$B:$B,[1]Sheet1!$W:$W,0)</f>
        <v>6550</v>
      </c>
      <c r="U412" s="12">
        <f>_xlfn.XLOOKUP(B412,[1]Sheet1!$B:$B,[1]Sheet1!$X:$X,0)</f>
        <v>6550</v>
      </c>
      <c r="V412" s="12">
        <f>_xlfn.XLOOKUP(B412,[1]Sheet1!$B:$B,[1]Sheet1!$Y:$Y,0)</f>
        <v>6550</v>
      </c>
      <c r="W412" s="12">
        <f t="shared" si="15"/>
        <v>78597</v>
      </c>
      <c r="X412" s="6" t="s">
        <v>81</v>
      </c>
      <c r="Y412" s="6" t="s">
        <v>65</v>
      </c>
      <c r="Z412" s="6" t="s">
        <v>66</v>
      </c>
      <c r="AA412" s="6" t="s">
        <v>80</v>
      </c>
      <c r="AB412" s="6" t="s">
        <v>36</v>
      </c>
      <c r="AC412" s="6" t="s">
        <v>37</v>
      </c>
      <c r="AD412" s="6" t="s">
        <v>69</v>
      </c>
      <c r="AE412" s="6" t="s">
        <v>39</v>
      </c>
      <c r="AF412" s="6" t="s">
        <v>40</v>
      </c>
      <c r="AG412" s="7">
        <v>78597</v>
      </c>
      <c r="AH412" s="11">
        <f>_xlfn.XLOOKUP(B412,[1]Sheet1!$B:$B,[1]Sheet1!$AB:$AB,0)</f>
        <v>78597</v>
      </c>
    </row>
    <row r="413" spans="2:34" ht="16.8" thickTop="1" thickBot="1" x14ac:dyDescent="0.35">
      <c r="B413" s="3" t="str">
        <f t="shared" si="14"/>
        <v>45112504511000527FM Mgmnt (E-E)-N426212200104</v>
      </c>
      <c r="C413" s="8" t="s">
        <v>67</v>
      </c>
      <c r="D413" s="8" t="s">
        <v>685</v>
      </c>
      <c r="E413" s="8" t="s">
        <v>686</v>
      </c>
      <c r="F413" s="8" t="s">
        <v>380</v>
      </c>
      <c r="G413" s="4" t="s">
        <v>2814</v>
      </c>
      <c r="H413" s="4" t="s">
        <v>2922</v>
      </c>
      <c r="I413" s="8" t="s">
        <v>96</v>
      </c>
      <c r="J413" s="8" t="s">
        <v>31</v>
      </c>
      <c r="K413" s="12">
        <f>_xlfn.XLOOKUP(B413,[1]Sheet1!$B:$B,[1]Sheet1!$N:$N,0)</f>
        <v>0</v>
      </c>
      <c r="L413" s="12">
        <f>_xlfn.XLOOKUP(B413,[1]Sheet1!$B:$B,[1]Sheet1!$O:$O,0)</f>
        <v>0</v>
      </c>
      <c r="M413" s="12">
        <f>_xlfn.XLOOKUP(B413,[1]Sheet1!$B:$B,[1]Sheet1!$P:$P,0)</f>
        <v>0</v>
      </c>
      <c r="N413" s="12">
        <f>_xlfn.XLOOKUP(B413,[1]Sheet1!$B:$B,[1]Sheet1!$Q:$Q,0)</f>
        <v>27134</v>
      </c>
      <c r="O413" s="12">
        <f>_xlfn.XLOOKUP(B413,[1]Sheet1!$B:$B,[1]Sheet1!$R:$R,0)</f>
        <v>6784</v>
      </c>
      <c r="P413" s="12">
        <f>_xlfn.XLOOKUP(B413,[1]Sheet1!$B:$B,[1]Sheet1!$S:$S,0)</f>
        <v>6784</v>
      </c>
      <c r="Q413" s="12">
        <f>_xlfn.XLOOKUP(B413,[1]Sheet1!$B:$B,[1]Sheet1!$T:$T,0)</f>
        <v>6784</v>
      </c>
      <c r="R413" s="12">
        <f>_xlfn.XLOOKUP(B413,[1]Sheet1!$B:$B,[1]Sheet1!$U:$U,0)</f>
        <v>6784</v>
      </c>
      <c r="S413" s="12">
        <f>_xlfn.XLOOKUP(B413,[1]Sheet1!$B:$B,[1]Sheet1!$V:$V,0)</f>
        <v>6784</v>
      </c>
      <c r="T413" s="12">
        <f>_xlfn.XLOOKUP(B413,[1]Sheet1!$B:$B,[1]Sheet1!$W:$W,0)</f>
        <v>6784</v>
      </c>
      <c r="U413" s="12">
        <f>_xlfn.XLOOKUP(B413,[1]Sheet1!$B:$B,[1]Sheet1!$X:$X,0)</f>
        <v>6780</v>
      </c>
      <c r="V413" s="12">
        <f>_xlfn.XLOOKUP(B413,[1]Sheet1!$B:$B,[1]Sheet1!$Y:$Y,0)</f>
        <v>6784</v>
      </c>
      <c r="W413" s="12">
        <f t="shared" si="15"/>
        <v>81402</v>
      </c>
      <c r="X413" s="8" t="s">
        <v>97</v>
      </c>
      <c r="Y413" s="8" t="s">
        <v>65</v>
      </c>
      <c r="Z413" s="8" t="s">
        <v>66</v>
      </c>
      <c r="AA413" s="8" t="s">
        <v>96</v>
      </c>
      <c r="AB413" s="8" t="s">
        <v>36</v>
      </c>
      <c r="AC413" s="8" t="s">
        <v>37</v>
      </c>
      <c r="AD413" s="8" t="s">
        <v>69</v>
      </c>
      <c r="AE413" s="8" t="s">
        <v>39</v>
      </c>
      <c r="AF413" s="8" t="s">
        <v>40</v>
      </c>
      <c r="AG413" s="9">
        <v>81402</v>
      </c>
      <c r="AH413" s="11">
        <f>_xlfn.XLOOKUP(B413,[1]Sheet1!$B:$B,[1]Sheet1!$AB:$AB,0)</f>
        <v>81402</v>
      </c>
    </row>
    <row r="414" spans="2:34" ht="16.8" thickTop="1" thickBot="1" x14ac:dyDescent="0.35">
      <c r="B414" s="3" t="str">
        <f t="shared" si="14"/>
        <v>45112504511000527Landscaping-N432614200104</v>
      </c>
      <c r="C414" s="6" t="s">
        <v>67</v>
      </c>
      <c r="D414" s="6" t="s">
        <v>685</v>
      </c>
      <c r="E414" s="6" t="s">
        <v>686</v>
      </c>
      <c r="F414" s="6" t="s">
        <v>86</v>
      </c>
      <c r="G414" s="4" t="s">
        <v>2812</v>
      </c>
      <c r="H414" s="4" t="s">
        <v>2922</v>
      </c>
      <c r="I414" s="6" t="s">
        <v>87</v>
      </c>
      <c r="J414" s="6" t="s">
        <v>31</v>
      </c>
      <c r="K414" s="12">
        <f>_xlfn.XLOOKUP(B414,[1]Sheet1!$B:$B,[1]Sheet1!$N:$N,0)</f>
        <v>0</v>
      </c>
      <c r="L414" s="12">
        <f>_xlfn.XLOOKUP(B414,[1]Sheet1!$B:$B,[1]Sheet1!$O:$O,0)</f>
        <v>0</v>
      </c>
      <c r="M414" s="12">
        <f>_xlfn.XLOOKUP(B414,[1]Sheet1!$B:$B,[1]Sheet1!$P:$P,0)</f>
        <v>0</v>
      </c>
      <c r="N414" s="12">
        <f>_xlfn.XLOOKUP(B414,[1]Sheet1!$B:$B,[1]Sheet1!$Q:$Q,0)</f>
        <v>3520</v>
      </c>
      <c r="O414" s="12">
        <f>_xlfn.XLOOKUP(B414,[1]Sheet1!$B:$B,[1]Sheet1!$R:$R,0)</f>
        <v>880</v>
      </c>
      <c r="P414" s="12">
        <f>_xlfn.XLOOKUP(B414,[1]Sheet1!$B:$B,[1]Sheet1!$S:$S,0)</f>
        <v>880</v>
      </c>
      <c r="Q414" s="12">
        <f>_xlfn.XLOOKUP(B414,[1]Sheet1!$B:$B,[1]Sheet1!$T:$T,0)</f>
        <v>880</v>
      </c>
      <c r="R414" s="12">
        <f>_xlfn.XLOOKUP(B414,[1]Sheet1!$B:$B,[1]Sheet1!$U:$U,0)</f>
        <v>880</v>
      </c>
      <c r="S414" s="12">
        <f>_xlfn.XLOOKUP(B414,[1]Sheet1!$B:$B,[1]Sheet1!$V:$V,0)</f>
        <v>880</v>
      </c>
      <c r="T414" s="12">
        <f>_xlfn.XLOOKUP(B414,[1]Sheet1!$B:$B,[1]Sheet1!$W:$W,0)</f>
        <v>880</v>
      </c>
      <c r="U414" s="12">
        <f>_xlfn.XLOOKUP(B414,[1]Sheet1!$B:$B,[1]Sheet1!$X:$X,0)</f>
        <v>880</v>
      </c>
      <c r="V414" s="12">
        <f>_xlfn.XLOOKUP(B414,[1]Sheet1!$B:$B,[1]Sheet1!$Y:$Y,0)</f>
        <v>879</v>
      </c>
      <c r="W414" s="12">
        <f t="shared" si="15"/>
        <v>10559</v>
      </c>
      <c r="X414" s="6" t="s">
        <v>88</v>
      </c>
      <c r="Y414" s="6" t="s">
        <v>65</v>
      </c>
      <c r="Z414" s="6" t="s">
        <v>66</v>
      </c>
      <c r="AA414" s="6" t="s">
        <v>87</v>
      </c>
      <c r="AB414" s="6" t="s">
        <v>36</v>
      </c>
      <c r="AC414" s="6" t="s">
        <v>37</v>
      </c>
      <c r="AD414" s="6" t="s">
        <v>69</v>
      </c>
      <c r="AE414" s="6" t="s">
        <v>39</v>
      </c>
      <c r="AF414" s="6" t="s">
        <v>40</v>
      </c>
      <c r="AG414" s="7">
        <v>10559</v>
      </c>
      <c r="AH414" s="11">
        <f>_xlfn.XLOOKUP(B414,[1]Sheet1!$B:$B,[1]Sheet1!$AB:$AB,0)</f>
        <v>10559</v>
      </c>
    </row>
    <row r="415" spans="2:34" ht="16.8" thickTop="1" thickBot="1" x14ac:dyDescent="0.35">
      <c r="B415" s="3" t="str">
        <f t="shared" si="14"/>
        <v>45112504511000527Pest Control-N422321200104</v>
      </c>
      <c r="C415" s="8" t="s">
        <v>67</v>
      </c>
      <c r="D415" s="8" t="s">
        <v>685</v>
      </c>
      <c r="E415" s="8" t="s">
        <v>686</v>
      </c>
      <c r="F415" s="8" t="s">
        <v>103</v>
      </c>
      <c r="G415" s="4" t="s">
        <v>2816</v>
      </c>
      <c r="H415" s="4" t="s">
        <v>2922</v>
      </c>
      <c r="I415" s="8" t="s">
        <v>104</v>
      </c>
      <c r="J415" s="8" t="s">
        <v>31</v>
      </c>
      <c r="K415" s="12">
        <f>_xlfn.XLOOKUP(B415,[1]Sheet1!$B:$B,[1]Sheet1!$N:$N,0)</f>
        <v>0</v>
      </c>
      <c r="L415" s="12">
        <f>_xlfn.XLOOKUP(B415,[1]Sheet1!$B:$B,[1]Sheet1!$O:$O,0)</f>
        <v>0</v>
      </c>
      <c r="M415" s="12">
        <f>_xlfn.XLOOKUP(B415,[1]Sheet1!$B:$B,[1]Sheet1!$P:$P,0)</f>
        <v>0</v>
      </c>
      <c r="N415" s="12">
        <f>_xlfn.XLOOKUP(B415,[1]Sheet1!$B:$B,[1]Sheet1!$Q:$Q,0)</f>
        <v>3589</v>
      </c>
      <c r="O415" s="12">
        <f>_xlfn.XLOOKUP(B415,[1]Sheet1!$B:$B,[1]Sheet1!$R:$R,0)</f>
        <v>3589</v>
      </c>
      <c r="P415" s="12">
        <f>_xlfn.XLOOKUP(B415,[1]Sheet1!$B:$B,[1]Sheet1!$S:$S,0)</f>
        <v>0</v>
      </c>
      <c r="Q415" s="12">
        <f>_xlfn.XLOOKUP(B415,[1]Sheet1!$B:$B,[1]Sheet1!$T:$T,0)</f>
        <v>3589</v>
      </c>
      <c r="R415" s="12">
        <f>_xlfn.XLOOKUP(B415,[1]Sheet1!$B:$B,[1]Sheet1!$U:$U,0)</f>
        <v>0</v>
      </c>
      <c r="S415" s="12">
        <f>_xlfn.XLOOKUP(B415,[1]Sheet1!$B:$B,[1]Sheet1!$V:$V,0)</f>
        <v>3589</v>
      </c>
      <c r="T415" s="12">
        <f>_xlfn.XLOOKUP(B415,[1]Sheet1!$B:$B,[1]Sheet1!$W:$W,0)</f>
        <v>0</v>
      </c>
      <c r="U415" s="12">
        <f>_xlfn.XLOOKUP(B415,[1]Sheet1!$B:$B,[1]Sheet1!$X:$X,0)</f>
        <v>3588</v>
      </c>
      <c r="V415" s="12">
        <f>_xlfn.XLOOKUP(B415,[1]Sheet1!$B:$B,[1]Sheet1!$Y:$Y,0)</f>
        <v>0</v>
      </c>
      <c r="W415" s="12">
        <f t="shared" si="15"/>
        <v>17944</v>
      </c>
      <c r="X415" s="8" t="s">
        <v>105</v>
      </c>
      <c r="Y415" s="8" t="s">
        <v>65</v>
      </c>
      <c r="Z415" s="8" t="s">
        <v>66</v>
      </c>
      <c r="AA415" s="8" t="s">
        <v>106</v>
      </c>
      <c r="AB415" s="8" t="s">
        <v>36</v>
      </c>
      <c r="AC415" s="8" t="s">
        <v>37</v>
      </c>
      <c r="AD415" s="8" t="s">
        <v>69</v>
      </c>
      <c r="AE415" s="8" t="s">
        <v>39</v>
      </c>
      <c r="AF415" s="8" t="s">
        <v>40</v>
      </c>
      <c r="AG415" s="9">
        <v>17944</v>
      </c>
      <c r="AH415" s="11">
        <f>_xlfn.XLOOKUP(B415,[1]Sheet1!$B:$B,[1]Sheet1!$AB:$AB,0)</f>
        <v>17944</v>
      </c>
    </row>
    <row r="416" spans="2:34" ht="16.8" thickTop="1" thickBot="1" x14ac:dyDescent="0.35">
      <c r="B416" s="3" t="str">
        <f t="shared" si="14"/>
        <v>45112504511000527Security Service-N424551200104</v>
      </c>
      <c r="C416" s="6" t="s">
        <v>67</v>
      </c>
      <c r="D416" s="6" t="s">
        <v>685</v>
      </c>
      <c r="E416" s="6" t="s">
        <v>686</v>
      </c>
      <c r="F416" s="6" t="s">
        <v>107</v>
      </c>
      <c r="G416" s="4" t="s">
        <v>2817</v>
      </c>
      <c r="H416" s="4" t="s">
        <v>2922</v>
      </c>
      <c r="I416" s="6" t="s">
        <v>108</v>
      </c>
      <c r="J416" s="6" t="s">
        <v>31</v>
      </c>
      <c r="K416" s="12">
        <f>_xlfn.XLOOKUP(B416,[1]Sheet1!$B:$B,[1]Sheet1!$N:$N,0)</f>
        <v>0</v>
      </c>
      <c r="L416" s="12">
        <f>_xlfn.XLOOKUP(B416,[1]Sheet1!$B:$B,[1]Sheet1!$O:$O,0)</f>
        <v>0</v>
      </c>
      <c r="M416" s="12">
        <f>_xlfn.XLOOKUP(B416,[1]Sheet1!$B:$B,[1]Sheet1!$P:$P,0)</f>
        <v>0</v>
      </c>
      <c r="N416" s="12">
        <f>_xlfn.XLOOKUP(B416,[1]Sheet1!$B:$B,[1]Sheet1!$Q:$Q,0)</f>
        <v>41580</v>
      </c>
      <c r="O416" s="12">
        <f>_xlfn.XLOOKUP(B416,[1]Sheet1!$B:$B,[1]Sheet1!$R:$R,0)</f>
        <v>10395</v>
      </c>
      <c r="P416" s="12">
        <f>_xlfn.XLOOKUP(B416,[1]Sheet1!$B:$B,[1]Sheet1!$S:$S,0)</f>
        <v>10395</v>
      </c>
      <c r="Q416" s="12">
        <f>_xlfn.XLOOKUP(B416,[1]Sheet1!$B:$B,[1]Sheet1!$T:$T,0)</f>
        <v>10395</v>
      </c>
      <c r="R416" s="12">
        <f>_xlfn.XLOOKUP(B416,[1]Sheet1!$B:$B,[1]Sheet1!$U:$U,0)</f>
        <v>10395</v>
      </c>
      <c r="S416" s="12">
        <f>_xlfn.XLOOKUP(B416,[1]Sheet1!$B:$B,[1]Sheet1!$V:$V,0)</f>
        <v>10395</v>
      </c>
      <c r="T416" s="12">
        <f>_xlfn.XLOOKUP(B416,[1]Sheet1!$B:$B,[1]Sheet1!$W:$W,0)</f>
        <v>10395</v>
      </c>
      <c r="U416" s="12">
        <f>_xlfn.XLOOKUP(B416,[1]Sheet1!$B:$B,[1]Sheet1!$X:$X,0)</f>
        <v>10394</v>
      </c>
      <c r="V416" s="12">
        <f>_xlfn.XLOOKUP(B416,[1]Sheet1!$B:$B,[1]Sheet1!$Y:$Y,0)</f>
        <v>10395</v>
      </c>
      <c r="W416" s="12">
        <f t="shared" si="15"/>
        <v>124739</v>
      </c>
      <c r="X416" s="6" t="s">
        <v>109</v>
      </c>
      <c r="Y416" s="6" t="s">
        <v>65</v>
      </c>
      <c r="Z416" s="6" t="s">
        <v>66</v>
      </c>
      <c r="AA416" s="6" t="s">
        <v>108</v>
      </c>
      <c r="AB416" s="6" t="s">
        <v>36</v>
      </c>
      <c r="AC416" s="6" t="s">
        <v>37</v>
      </c>
      <c r="AD416" s="6" t="s">
        <v>69</v>
      </c>
      <c r="AE416" s="6" t="s">
        <v>39</v>
      </c>
      <c r="AF416" s="6" t="s">
        <v>40</v>
      </c>
      <c r="AG416" s="7">
        <v>124739</v>
      </c>
      <c r="AH416" s="11">
        <f>_xlfn.XLOOKUP(B416,[1]Sheet1!$B:$B,[1]Sheet1!$AB:$AB,0)</f>
        <v>124739</v>
      </c>
    </row>
    <row r="417" spans="2:34" ht="16.8" thickTop="1" thickBot="1" x14ac:dyDescent="0.35">
      <c r="B417" s="3" t="str">
        <f t="shared" si="14"/>
        <v>45112504511000527Utilities-N423931200104</v>
      </c>
      <c r="C417" s="8" t="s">
        <v>67</v>
      </c>
      <c r="D417" s="8" t="s">
        <v>685</v>
      </c>
      <c r="E417" s="8" t="s">
        <v>686</v>
      </c>
      <c r="F417" s="8" t="s">
        <v>110</v>
      </c>
      <c r="G417" s="4" t="s">
        <v>2818</v>
      </c>
      <c r="H417" s="4" t="s">
        <v>2922</v>
      </c>
      <c r="I417" s="8" t="s">
        <v>111</v>
      </c>
      <c r="J417" s="8" t="s">
        <v>31</v>
      </c>
      <c r="K417" s="12">
        <f>_xlfn.XLOOKUP(B417,[1]Sheet1!$B:$B,[1]Sheet1!$N:$N,0)</f>
        <v>0</v>
      </c>
      <c r="L417" s="12">
        <f>_xlfn.XLOOKUP(B417,[1]Sheet1!$B:$B,[1]Sheet1!$O:$O,0)</f>
        <v>0</v>
      </c>
      <c r="M417" s="12">
        <f>_xlfn.XLOOKUP(B417,[1]Sheet1!$B:$B,[1]Sheet1!$P:$P,0)</f>
        <v>0</v>
      </c>
      <c r="N417" s="12">
        <f>_xlfn.XLOOKUP(B417,[1]Sheet1!$B:$B,[1]Sheet1!$Q:$Q,0)</f>
        <v>23333.333200000001</v>
      </c>
      <c r="O417" s="12">
        <f>_xlfn.XLOOKUP(B417,[1]Sheet1!$B:$B,[1]Sheet1!$R:$R,0)</f>
        <v>11666.6666</v>
      </c>
      <c r="P417" s="12">
        <f>_xlfn.XLOOKUP(B417,[1]Sheet1!$B:$B,[1]Sheet1!$S:$S,0)</f>
        <v>11666.6666</v>
      </c>
      <c r="Q417" s="12">
        <f>_xlfn.XLOOKUP(B417,[1]Sheet1!$B:$B,[1]Sheet1!$T:$T,0)</f>
        <v>11666.6666</v>
      </c>
      <c r="R417" s="12">
        <f>_xlfn.XLOOKUP(B417,[1]Sheet1!$B:$B,[1]Sheet1!$U:$U,0)</f>
        <v>11666.6666</v>
      </c>
      <c r="S417" s="12">
        <f>_xlfn.XLOOKUP(B417,[1]Sheet1!$B:$B,[1]Sheet1!$V:$V,0)</f>
        <v>11666.6666</v>
      </c>
      <c r="T417" s="12">
        <f>_xlfn.XLOOKUP(B417,[1]Sheet1!$B:$B,[1]Sheet1!$W:$W,0)</f>
        <v>11666.6666</v>
      </c>
      <c r="U417" s="12">
        <f>_xlfn.XLOOKUP(B417,[1]Sheet1!$B:$B,[1]Sheet1!$X:$X,0)</f>
        <v>11666.6666</v>
      </c>
      <c r="V417" s="12">
        <f>_xlfn.XLOOKUP(B417,[1]Sheet1!$B:$B,[1]Sheet1!$Y:$Y,0)</f>
        <v>35000</v>
      </c>
      <c r="W417" s="12">
        <f t="shared" si="15"/>
        <v>139999.99939999997</v>
      </c>
      <c r="X417" s="8" t="s">
        <v>112</v>
      </c>
      <c r="Y417" s="8" t="s">
        <v>65</v>
      </c>
      <c r="Z417" s="8" t="s">
        <v>66</v>
      </c>
      <c r="AA417" s="8" t="s">
        <v>111</v>
      </c>
      <c r="AB417" s="8" t="s">
        <v>36</v>
      </c>
      <c r="AC417" s="8" t="s">
        <v>37</v>
      </c>
      <c r="AD417" s="8" t="s">
        <v>69</v>
      </c>
      <c r="AE417" s="8" t="s">
        <v>39</v>
      </c>
      <c r="AF417" s="8" t="s">
        <v>40</v>
      </c>
      <c r="AG417" s="9">
        <v>140003</v>
      </c>
      <c r="AH417" s="11">
        <f>_xlfn.XLOOKUP(B417,[1]Sheet1!$B:$B,[1]Sheet1!$AB:$AB,0)</f>
        <v>139999.99939999997</v>
      </c>
    </row>
    <row r="418" spans="2:34" ht="16.8" thickTop="1" thickBot="1" x14ac:dyDescent="0.35">
      <c r="B418" s="3" t="str">
        <f t="shared" si="14"/>
        <v>45112504511000528DestinationMgmnt-N1421125200104</v>
      </c>
      <c r="C418" s="6" t="s">
        <v>67</v>
      </c>
      <c r="D418" s="6" t="s">
        <v>687</v>
      </c>
      <c r="E418" s="6" t="s">
        <v>688</v>
      </c>
      <c r="F418" s="6" t="s">
        <v>689</v>
      </c>
      <c r="G418" s="4" t="s">
        <v>2803</v>
      </c>
      <c r="H418" s="4" t="s">
        <v>2922</v>
      </c>
      <c r="I418" s="6" t="s">
        <v>44</v>
      </c>
      <c r="J418" s="6" t="s">
        <v>31</v>
      </c>
      <c r="K418" s="12">
        <f>_xlfn.XLOOKUP(B418,[1]Sheet1!$B:$B,[1]Sheet1!$N:$N,0)</f>
        <v>0</v>
      </c>
      <c r="L418" s="12">
        <f>_xlfn.XLOOKUP(B418,[1]Sheet1!$B:$B,[1]Sheet1!$O:$O,0)</f>
        <v>0</v>
      </c>
      <c r="M418" s="12">
        <f>_xlfn.XLOOKUP(B418,[1]Sheet1!$B:$B,[1]Sheet1!$P:$P,0)</f>
        <v>0</v>
      </c>
      <c r="N418" s="12">
        <f>_xlfn.XLOOKUP(B418,[1]Sheet1!$B:$B,[1]Sheet1!$Q:$Q,0)</f>
        <v>2162574.8476190479</v>
      </c>
      <c r="O418" s="12">
        <f>_xlfn.XLOOKUP(B418,[1]Sheet1!$B:$B,[1]Sheet1!$R:$R,0)</f>
        <v>1222425</v>
      </c>
      <c r="P418" s="12">
        <f>_xlfn.XLOOKUP(B418,[1]Sheet1!$B:$B,[1]Sheet1!$S:$S,0)</f>
        <v>685000</v>
      </c>
      <c r="Q418" s="12">
        <f>_xlfn.XLOOKUP(B418,[1]Sheet1!$B:$B,[1]Sheet1!$T:$T,0)</f>
        <v>585000</v>
      </c>
      <c r="R418" s="12">
        <f>_xlfn.XLOOKUP(B418,[1]Sheet1!$B:$B,[1]Sheet1!$U:$U,0)</f>
        <v>586600</v>
      </c>
      <c r="S418" s="12">
        <f>_xlfn.XLOOKUP(B418,[1]Sheet1!$B:$B,[1]Sheet1!$V:$V,0)</f>
        <v>735000</v>
      </c>
      <c r="T418" s="12">
        <f>_xlfn.XLOOKUP(B418,[1]Sheet1!$B:$B,[1]Sheet1!$W:$W,0)</f>
        <v>835000</v>
      </c>
      <c r="U418" s="12">
        <f>_xlfn.XLOOKUP(B418,[1]Sheet1!$B:$B,[1]Sheet1!$X:$X,0)</f>
        <v>885000</v>
      </c>
      <c r="V418" s="12">
        <f>_xlfn.XLOOKUP(B418,[1]Sheet1!$B:$B,[1]Sheet1!$Y:$Y,0)</f>
        <v>985000</v>
      </c>
      <c r="W418" s="12">
        <f t="shared" si="15"/>
        <v>8681599.8476190474</v>
      </c>
      <c r="X418" s="6" t="s">
        <v>74</v>
      </c>
      <c r="Y418" s="6" t="s">
        <v>65</v>
      </c>
      <c r="Z418" s="6" t="s">
        <v>66</v>
      </c>
      <c r="AA418" s="6" t="s">
        <v>44</v>
      </c>
      <c r="AB418" s="6" t="s">
        <v>36</v>
      </c>
      <c r="AC418" s="6" t="s">
        <v>37</v>
      </c>
      <c r="AD418" s="6" t="s">
        <v>69</v>
      </c>
      <c r="AE418" s="6" t="s">
        <v>39</v>
      </c>
      <c r="AF418" s="6" t="s">
        <v>40</v>
      </c>
      <c r="AG418" s="7">
        <v>8681600</v>
      </c>
      <c r="AH418" s="11">
        <f>_xlfn.XLOOKUP(B418,[1]Sheet1!$B:$B,[1]Sheet1!$AB:$AB,0)</f>
        <v>8681599.8476190474</v>
      </c>
    </row>
    <row r="419" spans="2:34" ht="16.8" thickTop="1" thickBot="1" x14ac:dyDescent="0.35">
      <c r="B419" s="3" t="str">
        <f t="shared" si="14"/>
        <v>45112504511000528Manpower-N424521200104</v>
      </c>
      <c r="C419" s="8" t="s">
        <v>67</v>
      </c>
      <c r="D419" s="8" t="s">
        <v>687</v>
      </c>
      <c r="E419" s="8" t="s">
        <v>688</v>
      </c>
      <c r="F419" s="8" t="s">
        <v>98</v>
      </c>
      <c r="G419" s="4" t="s">
        <v>2804</v>
      </c>
      <c r="H419" s="4" t="s">
        <v>2922</v>
      </c>
      <c r="I419" s="8" t="s">
        <v>51</v>
      </c>
      <c r="J419" s="8" t="s">
        <v>31</v>
      </c>
      <c r="K419" s="12">
        <f>_xlfn.XLOOKUP(B419,[1]Sheet1!$B:$B,[1]Sheet1!$N:$N,0)</f>
        <v>0</v>
      </c>
      <c r="L419" s="12">
        <f>_xlfn.XLOOKUP(B419,[1]Sheet1!$B:$B,[1]Sheet1!$O:$O,0)</f>
        <v>0</v>
      </c>
      <c r="M419" s="12">
        <f>_xlfn.XLOOKUP(B419,[1]Sheet1!$B:$B,[1]Sheet1!$P:$P,0)</f>
        <v>0</v>
      </c>
      <c r="N419" s="12">
        <f>_xlfn.XLOOKUP(B419,[1]Sheet1!$B:$B,[1]Sheet1!$Q:$Q,0)</f>
        <v>0</v>
      </c>
      <c r="O419" s="12">
        <f>_xlfn.XLOOKUP(B419,[1]Sheet1!$B:$B,[1]Sheet1!$R:$R,0)</f>
        <v>15000</v>
      </c>
      <c r="P419" s="12">
        <f>_xlfn.XLOOKUP(B419,[1]Sheet1!$B:$B,[1]Sheet1!$S:$S,0)</f>
        <v>15000</v>
      </c>
      <c r="Q419" s="12">
        <f>_xlfn.XLOOKUP(B419,[1]Sheet1!$B:$B,[1]Sheet1!$T:$T,0)</f>
        <v>15000</v>
      </c>
      <c r="R419" s="12">
        <f>_xlfn.XLOOKUP(B419,[1]Sheet1!$B:$B,[1]Sheet1!$U:$U,0)</f>
        <v>15000</v>
      </c>
      <c r="S419" s="12">
        <f>_xlfn.XLOOKUP(B419,[1]Sheet1!$B:$B,[1]Sheet1!$V:$V,0)</f>
        <v>15000</v>
      </c>
      <c r="T419" s="12">
        <f>_xlfn.XLOOKUP(B419,[1]Sheet1!$B:$B,[1]Sheet1!$W:$W,0)</f>
        <v>15000</v>
      </c>
      <c r="U419" s="12">
        <f>_xlfn.XLOOKUP(B419,[1]Sheet1!$B:$B,[1]Sheet1!$X:$X,0)</f>
        <v>15000</v>
      </c>
      <c r="V419" s="12">
        <f>_xlfn.XLOOKUP(B419,[1]Sheet1!$B:$B,[1]Sheet1!$Y:$Y,0)</f>
        <v>15000</v>
      </c>
      <c r="W419" s="12">
        <f t="shared" si="15"/>
        <v>120000</v>
      </c>
      <c r="X419" s="8" t="s">
        <v>82</v>
      </c>
      <c r="Y419" s="8" t="s">
        <v>65</v>
      </c>
      <c r="Z419" s="8" t="s">
        <v>66</v>
      </c>
      <c r="AA419" s="8" t="s">
        <v>53</v>
      </c>
      <c r="AB419" s="8" t="s">
        <v>36</v>
      </c>
      <c r="AC419" s="8" t="s">
        <v>37</v>
      </c>
      <c r="AD419" s="8" t="s">
        <v>69</v>
      </c>
      <c r="AE419" s="8" t="s">
        <v>39</v>
      </c>
      <c r="AF419" s="8" t="s">
        <v>40</v>
      </c>
      <c r="AG419" s="9">
        <v>120000</v>
      </c>
      <c r="AH419" s="11">
        <f>_xlfn.XLOOKUP(B419,[1]Sheet1!$B:$B,[1]Sheet1!$AB:$AB,0)</f>
        <v>120000</v>
      </c>
    </row>
    <row r="420" spans="2:34" ht="16.8" thickTop="1" thickBot="1" x14ac:dyDescent="0.35">
      <c r="B420" s="3" t="str">
        <f t="shared" si="14"/>
        <v>45102304511000529Ad-hoc Repairs-N1426427200104</v>
      </c>
      <c r="C420" s="6" t="s">
        <v>467</v>
      </c>
      <c r="D420" s="6" t="s">
        <v>690</v>
      </c>
      <c r="E420" s="6" t="s">
        <v>691</v>
      </c>
      <c r="F420" s="6" t="s">
        <v>621</v>
      </c>
      <c r="G420" s="4" t="s">
        <v>2808</v>
      </c>
      <c r="H420" s="4" t="s">
        <v>2922</v>
      </c>
      <c r="I420" s="6" t="s">
        <v>71</v>
      </c>
      <c r="J420" s="6" t="s">
        <v>31</v>
      </c>
      <c r="K420" s="12">
        <f>_xlfn.XLOOKUP(B420,[1]Sheet1!$B:$B,[1]Sheet1!$N:$N,0)</f>
        <v>0</v>
      </c>
      <c r="L420" s="12">
        <f>_xlfn.XLOOKUP(B420,[1]Sheet1!$B:$B,[1]Sheet1!$O:$O,0)</f>
        <v>0</v>
      </c>
      <c r="M420" s="12">
        <f>_xlfn.XLOOKUP(B420,[1]Sheet1!$B:$B,[1]Sheet1!$P:$P,0)</f>
        <v>0</v>
      </c>
      <c r="N420" s="12">
        <f>_xlfn.XLOOKUP(B420,[1]Sheet1!$B:$B,[1]Sheet1!$Q:$Q,0)</f>
        <v>3080</v>
      </c>
      <c r="O420" s="12">
        <f>_xlfn.XLOOKUP(B420,[1]Sheet1!$B:$B,[1]Sheet1!$R:$R,0)</f>
        <v>770</v>
      </c>
      <c r="P420" s="12">
        <f>_xlfn.XLOOKUP(B420,[1]Sheet1!$B:$B,[1]Sheet1!$S:$S,0)</f>
        <v>770</v>
      </c>
      <c r="Q420" s="12">
        <f>_xlfn.XLOOKUP(B420,[1]Sheet1!$B:$B,[1]Sheet1!$T:$T,0)</f>
        <v>770</v>
      </c>
      <c r="R420" s="12">
        <f>_xlfn.XLOOKUP(B420,[1]Sheet1!$B:$B,[1]Sheet1!$U:$U,0)</f>
        <v>770</v>
      </c>
      <c r="S420" s="12">
        <f>_xlfn.XLOOKUP(B420,[1]Sheet1!$B:$B,[1]Sheet1!$V:$V,0)</f>
        <v>770</v>
      </c>
      <c r="T420" s="12">
        <f>_xlfn.XLOOKUP(B420,[1]Sheet1!$B:$B,[1]Sheet1!$W:$W,0)</f>
        <v>770</v>
      </c>
      <c r="U420" s="12">
        <f>_xlfn.XLOOKUP(B420,[1]Sheet1!$B:$B,[1]Sheet1!$X:$X,0)</f>
        <v>770</v>
      </c>
      <c r="V420" s="12">
        <f>_xlfn.XLOOKUP(B420,[1]Sheet1!$B:$B,[1]Sheet1!$Y:$Y,0)</f>
        <v>770</v>
      </c>
      <c r="W420" s="12">
        <f t="shared" si="15"/>
        <v>9240</v>
      </c>
      <c r="X420" s="6" t="s">
        <v>622</v>
      </c>
      <c r="Y420" s="6" t="s">
        <v>132</v>
      </c>
      <c r="Z420" s="6" t="s">
        <v>466</v>
      </c>
      <c r="AA420" s="6" t="s">
        <v>71</v>
      </c>
      <c r="AB420" s="6" t="s">
        <v>36</v>
      </c>
      <c r="AC420" s="6" t="s">
        <v>37</v>
      </c>
      <c r="AD420" s="6" t="s">
        <v>468</v>
      </c>
      <c r="AE420" s="6" t="s">
        <v>39</v>
      </c>
      <c r="AF420" s="6" t="s">
        <v>40</v>
      </c>
      <c r="AG420" s="7">
        <v>9240</v>
      </c>
      <c r="AH420" s="11">
        <f>_xlfn.XLOOKUP(B420,[1]Sheet1!$B:$B,[1]Sheet1!$AB:$AB,0)</f>
        <v>9240</v>
      </c>
    </row>
    <row r="421" spans="2:34" ht="16.8" thickTop="1" thickBot="1" x14ac:dyDescent="0.35">
      <c r="B421" s="3" t="str">
        <f t="shared" si="14"/>
        <v>45102304511000529Cleaning Service-N1422311200104</v>
      </c>
      <c r="C421" s="8" t="s">
        <v>467</v>
      </c>
      <c r="D421" s="8" t="s">
        <v>690</v>
      </c>
      <c r="E421" s="8" t="s">
        <v>691</v>
      </c>
      <c r="F421" s="8" t="s">
        <v>623</v>
      </c>
      <c r="G421" s="4" t="s">
        <v>2810</v>
      </c>
      <c r="H421" s="4" t="s">
        <v>2922</v>
      </c>
      <c r="I421" s="8" t="s">
        <v>80</v>
      </c>
      <c r="J421" s="8" t="s">
        <v>31</v>
      </c>
      <c r="K421" s="12">
        <f>_xlfn.XLOOKUP(B421,[1]Sheet1!$B:$B,[1]Sheet1!$N:$N,0)</f>
        <v>0</v>
      </c>
      <c r="L421" s="12">
        <f>_xlfn.XLOOKUP(B421,[1]Sheet1!$B:$B,[1]Sheet1!$O:$O,0)</f>
        <v>0</v>
      </c>
      <c r="M421" s="12">
        <f>_xlfn.XLOOKUP(B421,[1]Sheet1!$B:$B,[1]Sheet1!$P:$P,0)</f>
        <v>0</v>
      </c>
      <c r="N421" s="12">
        <f>_xlfn.XLOOKUP(B421,[1]Sheet1!$B:$B,[1]Sheet1!$Q:$Q,0)</f>
        <v>30833</v>
      </c>
      <c r="O421" s="12">
        <f>_xlfn.XLOOKUP(B421,[1]Sheet1!$B:$B,[1]Sheet1!$R:$R,0)</f>
        <v>7708</v>
      </c>
      <c r="P421" s="12">
        <f>_xlfn.XLOOKUP(B421,[1]Sheet1!$B:$B,[1]Sheet1!$S:$S,0)</f>
        <v>7708</v>
      </c>
      <c r="Q421" s="12">
        <f>_xlfn.XLOOKUP(B421,[1]Sheet1!$B:$B,[1]Sheet1!$T:$T,0)</f>
        <v>7708</v>
      </c>
      <c r="R421" s="12">
        <f>_xlfn.XLOOKUP(B421,[1]Sheet1!$B:$B,[1]Sheet1!$U:$U,0)</f>
        <v>7708</v>
      </c>
      <c r="S421" s="12">
        <f>_xlfn.XLOOKUP(B421,[1]Sheet1!$B:$B,[1]Sheet1!$V:$V,0)</f>
        <v>7708</v>
      </c>
      <c r="T421" s="12">
        <f>_xlfn.XLOOKUP(B421,[1]Sheet1!$B:$B,[1]Sheet1!$W:$W,0)</f>
        <v>7708</v>
      </c>
      <c r="U421" s="12">
        <f>_xlfn.XLOOKUP(B421,[1]Sheet1!$B:$B,[1]Sheet1!$X:$X,0)</f>
        <v>7708</v>
      </c>
      <c r="V421" s="12">
        <f>_xlfn.XLOOKUP(B421,[1]Sheet1!$B:$B,[1]Sheet1!$Y:$Y,0)</f>
        <v>7711</v>
      </c>
      <c r="W421" s="12">
        <f t="shared" si="15"/>
        <v>92500</v>
      </c>
      <c r="X421" s="8" t="s">
        <v>624</v>
      </c>
      <c r="Y421" s="8" t="s">
        <v>132</v>
      </c>
      <c r="Z421" s="8" t="s">
        <v>466</v>
      </c>
      <c r="AA421" s="8" t="s">
        <v>80</v>
      </c>
      <c r="AB421" s="8" t="s">
        <v>36</v>
      </c>
      <c r="AC421" s="8" t="s">
        <v>37</v>
      </c>
      <c r="AD421" s="8" t="s">
        <v>468</v>
      </c>
      <c r="AE421" s="8" t="s">
        <v>39</v>
      </c>
      <c r="AF421" s="8" t="s">
        <v>40</v>
      </c>
      <c r="AG421" s="9">
        <v>92500</v>
      </c>
      <c r="AH421" s="11">
        <f>_xlfn.XLOOKUP(B421,[1]Sheet1!$B:$B,[1]Sheet1!$AB:$AB,0)</f>
        <v>92500</v>
      </c>
    </row>
    <row r="422" spans="2:34" ht="16.8" thickTop="1" thickBot="1" x14ac:dyDescent="0.35">
      <c r="B422" s="3" t="str">
        <f t="shared" si="14"/>
        <v>45102304511000529Facilities Rent-N1425112200104</v>
      </c>
      <c r="C422" s="6" t="s">
        <v>467</v>
      </c>
      <c r="D422" s="6" t="s">
        <v>690</v>
      </c>
      <c r="E422" s="6" t="s">
        <v>691</v>
      </c>
      <c r="F422" s="6" t="s">
        <v>631</v>
      </c>
      <c r="G422" s="4" t="s">
        <v>2848</v>
      </c>
      <c r="H422" s="4" t="s">
        <v>2922</v>
      </c>
      <c r="I422" s="6" t="s">
        <v>533</v>
      </c>
      <c r="J422" s="6" t="s">
        <v>31</v>
      </c>
      <c r="K422" s="12">
        <f>_xlfn.XLOOKUP(B422,[1]Sheet1!$B:$B,[1]Sheet1!$N:$N,0)</f>
        <v>0</v>
      </c>
      <c r="L422" s="12">
        <f>_xlfn.XLOOKUP(B422,[1]Sheet1!$B:$B,[1]Sheet1!$O:$O,0)</f>
        <v>0</v>
      </c>
      <c r="M422" s="12">
        <f>_xlfn.XLOOKUP(B422,[1]Sheet1!$B:$B,[1]Sheet1!$P:$P,0)</f>
        <v>0</v>
      </c>
      <c r="N422" s="12">
        <f>_xlfn.XLOOKUP(B422,[1]Sheet1!$B:$B,[1]Sheet1!$Q:$Q,0)</f>
        <v>0</v>
      </c>
      <c r="O422" s="12">
        <f>_xlfn.XLOOKUP(B422,[1]Sheet1!$B:$B,[1]Sheet1!$R:$R,0)</f>
        <v>0</v>
      </c>
      <c r="P422" s="12">
        <f>_xlfn.XLOOKUP(B422,[1]Sheet1!$B:$B,[1]Sheet1!$S:$S,0)</f>
        <v>0</v>
      </c>
      <c r="Q422" s="12">
        <f>_xlfn.XLOOKUP(B422,[1]Sheet1!$B:$B,[1]Sheet1!$T:$T,0)</f>
        <v>0</v>
      </c>
      <c r="R422" s="12">
        <f>_xlfn.XLOOKUP(B422,[1]Sheet1!$B:$B,[1]Sheet1!$U:$U,0)</f>
        <v>0</v>
      </c>
      <c r="S422" s="12">
        <f>_xlfn.XLOOKUP(B422,[1]Sheet1!$B:$B,[1]Sheet1!$V:$V,0)</f>
        <v>0</v>
      </c>
      <c r="T422" s="12">
        <f>_xlfn.XLOOKUP(B422,[1]Sheet1!$B:$B,[1]Sheet1!$W:$W,0)</f>
        <v>0</v>
      </c>
      <c r="U422" s="12">
        <f>_xlfn.XLOOKUP(B422,[1]Sheet1!$B:$B,[1]Sheet1!$X:$X,0)</f>
        <v>790079.85</v>
      </c>
      <c r="V422" s="12">
        <f>_xlfn.XLOOKUP(B422,[1]Sheet1!$B:$B,[1]Sheet1!$Y:$Y,0)</f>
        <v>0</v>
      </c>
      <c r="W422" s="12">
        <f t="shared" si="15"/>
        <v>790079.85</v>
      </c>
      <c r="X422" s="6" t="s">
        <v>632</v>
      </c>
      <c r="Y422" s="6" t="s">
        <v>132</v>
      </c>
      <c r="Z422" s="6" t="s">
        <v>466</v>
      </c>
      <c r="AA422" s="6" t="s">
        <v>533</v>
      </c>
      <c r="AB422" s="6" t="s">
        <v>36</v>
      </c>
      <c r="AC422" s="6" t="s">
        <v>37</v>
      </c>
      <c r="AD422" s="6" t="s">
        <v>468</v>
      </c>
      <c r="AE422" s="6" t="s">
        <v>39</v>
      </c>
      <c r="AF422" s="6" t="s">
        <v>40</v>
      </c>
      <c r="AG422" s="7">
        <v>790080</v>
      </c>
      <c r="AH422" s="11">
        <f>_xlfn.XLOOKUP(B422,[1]Sheet1!$B:$B,[1]Sheet1!$AB:$AB,0)</f>
        <v>790079.85</v>
      </c>
    </row>
    <row r="423" spans="2:34" ht="16.8" thickTop="1" thickBot="1" x14ac:dyDescent="0.35">
      <c r="B423" s="3" t="str">
        <f t="shared" si="14"/>
        <v>45102304511000529Maintenance-N1426212200104</v>
      </c>
      <c r="C423" s="8" t="s">
        <v>467</v>
      </c>
      <c r="D423" s="8" t="s">
        <v>690</v>
      </c>
      <c r="E423" s="8" t="s">
        <v>691</v>
      </c>
      <c r="F423" s="8" t="s">
        <v>625</v>
      </c>
      <c r="G423" s="4" t="s">
        <v>2814</v>
      </c>
      <c r="H423" s="4" t="s">
        <v>2922</v>
      </c>
      <c r="I423" s="8" t="s">
        <v>96</v>
      </c>
      <c r="J423" s="8" t="s">
        <v>31</v>
      </c>
      <c r="K423" s="12">
        <f>_xlfn.XLOOKUP(B423,[1]Sheet1!$B:$B,[1]Sheet1!$N:$N,0)</f>
        <v>0</v>
      </c>
      <c r="L423" s="12">
        <f>_xlfn.XLOOKUP(B423,[1]Sheet1!$B:$B,[1]Sheet1!$O:$O,0)</f>
        <v>0</v>
      </c>
      <c r="M423" s="12">
        <f>_xlfn.XLOOKUP(B423,[1]Sheet1!$B:$B,[1]Sheet1!$P:$P,0)</f>
        <v>0</v>
      </c>
      <c r="N423" s="12">
        <f>_xlfn.XLOOKUP(B423,[1]Sheet1!$B:$B,[1]Sheet1!$Q:$Q,0)</f>
        <v>22400</v>
      </c>
      <c r="O423" s="12">
        <f>_xlfn.XLOOKUP(B423,[1]Sheet1!$B:$B,[1]Sheet1!$R:$R,0)</f>
        <v>5600</v>
      </c>
      <c r="P423" s="12">
        <f>_xlfn.XLOOKUP(B423,[1]Sheet1!$B:$B,[1]Sheet1!$S:$S,0)</f>
        <v>5600</v>
      </c>
      <c r="Q423" s="12">
        <f>_xlfn.XLOOKUP(B423,[1]Sheet1!$B:$B,[1]Sheet1!$T:$T,0)</f>
        <v>5600</v>
      </c>
      <c r="R423" s="12">
        <f>_xlfn.XLOOKUP(B423,[1]Sheet1!$B:$B,[1]Sheet1!$U:$U,0)</f>
        <v>5600</v>
      </c>
      <c r="S423" s="12">
        <f>_xlfn.XLOOKUP(B423,[1]Sheet1!$B:$B,[1]Sheet1!$V:$V,0)</f>
        <v>5600</v>
      </c>
      <c r="T423" s="12">
        <f>_xlfn.XLOOKUP(B423,[1]Sheet1!$B:$B,[1]Sheet1!$W:$W,0)</f>
        <v>5600</v>
      </c>
      <c r="U423" s="12">
        <f>_xlfn.XLOOKUP(B423,[1]Sheet1!$B:$B,[1]Sheet1!$X:$X,0)</f>
        <v>5600</v>
      </c>
      <c r="V423" s="12">
        <f>_xlfn.XLOOKUP(B423,[1]Sheet1!$B:$B,[1]Sheet1!$Y:$Y,0)</f>
        <v>5600</v>
      </c>
      <c r="W423" s="12">
        <f t="shared" si="15"/>
        <v>67200</v>
      </c>
      <c r="X423" s="8" t="s">
        <v>626</v>
      </c>
      <c r="Y423" s="8" t="s">
        <v>132</v>
      </c>
      <c r="Z423" s="8" t="s">
        <v>466</v>
      </c>
      <c r="AA423" s="8" t="s">
        <v>96</v>
      </c>
      <c r="AB423" s="8" t="s">
        <v>36</v>
      </c>
      <c r="AC423" s="8" t="s">
        <v>37</v>
      </c>
      <c r="AD423" s="8" t="s">
        <v>468</v>
      </c>
      <c r="AE423" s="8" t="s">
        <v>39</v>
      </c>
      <c r="AF423" s="8" t="s">
        <v>40</v>
      </c>
      <c r="AG423" s="9">
        <v>67200</v>
      </c>
      <c r="AH423" s="11">
        <f>_xlfn.XLOOKUP(B423,[1]Sheet1!$B:$B,[1]Sheet1!$AB:$AB,0)</f>
        <v>67200</v>
      </c>
    </row>
    <row r="424" spans="2:34" ht="16.8" thickTop="1" thickBot="1" x14ac:dyDescent="0.35">
      <c r="B424" s="3" t="str">
        <f t="shared" si="14"/>
        <v>45102304511000529Security Service-N1424551200104</v>
      </c>
      <c r="C424" s="6" t="s">
        <v>467</v>
      </c>
      <c r="D424" s="6" t="s">
        <v>690</v>
      </c>
      <c r="E424" s="6" t="s">
        <v>691</v>
      </c>
      <c r="F424" s="6" t="s">
        <v>627</v>
      </c>
      <c r="G424" s="4" t="s">
        <v>2817</v>
      </c>
      <c r="H424" s="4" t="s">
        <v>2922</v>
      </c>
      <c r="I424" s="6" t="s">
        <v>108</v>
      </c>
      <c r="J424" s="6" t="s">
        <v>31</v>
      </c>
      <c r="K424" s="12">
        <f>_xlfn.XLOOKUP(B424,[1]Sheet1!$B:$B,[1]Sheet1!$N:$N,0)</f>
        <v>0</v>
      </c>
      <c r="L424" s="12">
        <f>_xlfn.XLOOKUP(B424,[1]Sheet1!$B:$B,[1]Sheet1!$O:$O,0)</f>
        <v>0</v>
      </c>
      <c r="M424" s="12">
        <f>_xlfn.XLOOKUP(B424,[1]Sheet1!$B:$B,[1]Sheet1!$P:$P,0)</f>
        <v>0</v>
      </c>
      <c r="N424" s="12">
        <f>_xlfn.XLOOKUP(B424,[1]Sheet1!$B:$B,[1]Sheet1!$Q:$Q,0)</f>
        <v>36048</v>
      </c>
      <c r="O424" s="12">
        <f>_xlfn.XLOOKUP(B424,[1]Sheet1!$B:$B,[1]Sheet1!$R:$R,0)</f>
        <v>9012</v>
      </c>
      <c r="P424" s="12">
        <f>_xlfn.XLOOKUP(B424,[1]Sheet1!$B:$B,[1]Sheet1!$S:$S,0)</f>
        <v>9012</v>
      </c>
      <c r="Q424" s="12">
        <f>_xlfn.XLOOKUP(B424,[1]Sheet1!$B:$B,[1]Sheet1!$T:$T,0)</f>
        <v>9012</v>
      </c>
      <c r="R424" s="12">
        <f>_xlfn.XLOOKUP(B424,[1]Sheet1!$B:$B,[1]Sheet1!$U:$U,0)</f>
        <v>9012</v>
      </c>
      <c r="S424" s="12">
        <f>_xlfn.XLOOKUP(B424,[1]Sheet1!$B:$B,[1]Sheet1!$V:$V,0)</f>
        <v>9012</v>
      </c>
      <c r="T424" s="12">
        <f>_xlfn.XLOOKUP(B424,[1]Sheet1!$B:$B,[1]Sheet1!$W:$W,0)</f>
        <v>9012</v>
      </c>
      <c r="U424" s="12">
        <f>_xlfn.XLOOKUP(B424,[1]Sheet1!$B:$B,[1]Sheet1!$X:$X,0)</f>
        <v>9012</v>
      </c>
      <c r="V424" s="12">
        <f>_xlfn.XLOOKUP(B424,[1]Sheet1!$B:$B,[1]Sheet1!$Y:$Y,0)</f>
        <v>9012</v>
      </c>
      <c r="W424" s="12">
        <f t="shared" si="15"/>
        <v>108144</v>
      </c>
      <c r="X424" s="6" t="s">
        <v>628</v>
      </c>
      <c r="Y424" s="6" t="s">
        <v>132</v>
      </c>
      <c r="Z424" s="6" t="s">
        <v>466</v>
      </c>
      <c r="AA424" s="6" t="s">
        <v>108</v>
      </c>
      <c r="AB424" s="6" t="s">
        <v>36</v>
      </c>
      <c r="AC424" s="6" t="s">
        <v>37</v>
      </c>
      <c r="AD424" s="6" t="s">
        <v>468</v>
      </c>
      <c r="AE424" s="6" t="s">
        <v>39</v>
      </c>
      <c r="AF424" s="6" t="s">
        <v>40</v>
      </c>
      <c r="AG424" s="7">
        <v>108144</v>
      </c>
      <c r="AH424" s="11">
        <f>_xlfn.XLOOKUP(B424,[1]Sheet1!$B:$B,[1]Sheet1!$AB:$AB,0)</f>
        <v>108144</v>
      </c>
    </row>
    <row r="425" spans="2:34" ht="16.8" thickTop="1" thickBot="1" x14ac:dyDescent="0.35">
      <c r="B425" s="3" t="str">
        <f t="shared" si="14"/>
        <v>45102304511000530Ad-hoc Repairs-N1426427200104</v>
      </c>
      <c r="C425" s="8" t="s">
        <v>467</v>
      </c>
      <c r="D425" s="8" t="s">
        <v>692</v>
      </c>
      <c r="E425" s="8" t="s">
        <v>693</v>
      </c>
      <c r="F425" s="8" t="s">
        <v>621</v>
      </c>
      <c r="G425" s="4" t="s">
        <v>2808</v>
      </c>
      <c r="H425" s="4" t="s">
        <v>2922</v>
      </c>
      <c r="I425" s="8" t="s">
        <v>71</v>
      </c>
      <c r="J425" s="8" t="s">
        <v>31</v>
      </c>
      <c r="K425" s="12">
        <f>_xlfn.XLOOKUP(B425,[1]Sheet1!$B:$B,[1]Sheet1!$N:$N,0)</f>
        <v>0</v>
      </c>
      <c r="L425" s="12">
        <f>_xlfn.XLOOKUP(B425,[1]Sheet1!$B:$B,[1]Sheet1!$O:$O,0)</f>
        <v>0</v>
      </c>
      <c r="M425" s="12">
        <f>_xlfn.XLOOKUP(B425,[1]Sheet1!$B:$B,[1]Sheet1!$P:$P,0)</f>
        <v>0</v>
      </c>
      <c r="N425" s="12">
        <f>_xlfn.XLOOKUP(B425,[1]Sheet1!$B:$B,[1]Sheet1!$Q:$Q,0)</f>
        <v>32333</v>
      </c>
      <c r="O425" s="12">
        <f>_xlfn.XLOOKUP(B425,[1]Sheet1!$B:$B,[1]Sheet1!$R:$R,0)</f>
        <v>8333</v>
      </c>
      <c r="P425" s="12">
        <f>_xlfn.XLOOKUP(B425,[1]Sheet1!$B:$B,[1]Sheet1!$S:$S,0)</f>
        <v>8333</v>
      </c>
      <c r="Q425" s="12">
        <f>_xlfn.XLOOKUP(B425,[1]Sheet1!$B:$B,[1]Sheet1!$T:$T,0)</f>
        <v>8333</v>
      </c>
      <c r="R425" s="12">
        <f>_xlfn.XLOOKUP(B425,[1]Sheet1!$B:$B,[1]Sheet1!$U:$U,0)</f>
        <v>8333</v>
      </c>
      <c r="S425" s="12">
        <f>_xlfn.XLOOKUP(B425,[1]Sheet1!$B:$B,[1]Sheet1!$V:$V,0)</f>
        <v>8333</v>
      </c>
      <c r="T425" s="12">
        <f>_xlfn.XLOOKUP(B425,[1]Sheet1!$B:$B,[1]Sheet1!$W:$W,0)</f>
        <v>8333</v>
      </c>
      <c r="U425" s="12">
        <f>_xlfn.XLOOKUP(B425,[1]Sheet1!$B:$B,[1]Sheet1!$X:$X,0)</f>
        <v>8336</v>
      </c>
      <c r="V425" s="12">
        <f>_xlfn.XLOOKUP(B425,[1]Sheet1!$B:$B,[1]Sheet1!$Y:$Y,0)</f>
        <v>9333</v>
      </c>
      <c r="W425" s="12">
        <f t="shared" si="15"/>
        <v>100000</v>
      </c>
      <c r="X425" s="8" t="s">
        <v>622</v>
      </c>
      <c r="Y425" s="8" t="s">
        <v>132</v>
      </c>
      <c r="Z425" s="8" t="s">
        <v>466</v>
      </c>
      <c r="AA425" s="8" t="s">
        <v>71</v>
      </c>
      <c r="AB425" s="8" t="s">
        <v>36</v>
      </c>
      <c r="AC425" s="8" t="s">
        <v>37</v>
      </c>
      <c r="AD425" s="8" t="s">
        <v>468</v>
      </c>
      <c r="AE425" s="8" t="s">
        <v>39</v>
      </c>
      <c r="AF425" s="8" t="s">
        <v>40</v>
      </c>
      <c r="AG425" s="9">
        <v>100000</v>
      </c>
      <c r="AH425" s="11">
        <f>_xlfn.XLOOKUP(B425,[1]Sheet1!$B:$B,[1]Sheet1!$AB:$AB,0)</f>
        <v>100000</v>
      </c>
    </row>
    <row r="426" spans="2:34" ht="16.8" thickTop="1" thickBot="1" x14ac:dyDescent="0.35">
      <c r="B426" s="3" t="str">
        <f t="shared" si="14"/>
        <v>45102304511000530Cleaning Service-N2422311200104</v>
      </c>
      <c r="C426" s="6" t="s">
        <v>467</v>
      </c>
      <c r="D426" s="6" t="s">
        <v>692</v>
      </c>
      <c r="E426" s="6" t="s">
        <v>693</v>
      </c>
      <c r="F426" s="6" t="s">
        <v>635</v>
      </c>
      <c r="G426" s="4" t="s">
        <v>2810</v>
      </c>
      <c r="H426" s="4" t="s">
        <v>2922</v>
      </c>
      <c r="I426" s="6" t="s">
        <v>80</v>
      </c>
      <c r="J426" s="6" t="s">
        <v>31</v>
      </c>
      <c r="K426" s="12">
        <f>_xlfn.XLOOKUP(B426,[1]Sheet1!$B:$B,[1]Sheet1!$N:$N,0)</f>
        <v>0</v>
      </c>
      <c r="L426" s="12">
        <f>_xlfn.XLOOKUP(B426,[1]Sheet1!$B:$B,[1]Sheet1!$O:$O,0)</f>
        <v>0</v>
      </c>
      <c r="M426" s="12">
        <f>_xlfn.XLOOKUP(B426,[1]Sheet1!$B:$B,[1]Sheet1!$P:$P,0)</f>
        <v>0</v>
      </c>
      <c r="N426" s="12">
        <f>_xlfn.XLOOKUP(B426,[1]Sheet1!$B:$B,[1]Sheet1!$Q:$Q,0)</f>
        <v>120000</v>
      </c>
      <c r="O426" s="12">
        <f>_xlfn.XLOOKUP(B426,[1]Sheet1!$B:$B,[1]Sheet1!$R:$R,0)</f>
        <v>30000</v>
      </c>
      <c r="P426" s="12">
        <f>_xlfn.XLOOKUP(B426,[1]Sheet1!$B:$B,[1]Sheet1!$S:$S,0)</f>
        <v>30000</v>
      </c>
      <c r="Q426" s="12">
        <f>_xlfn.XLOOKUP(B426,[1]Sheet1!$B:$B,[1]Sheet1!$T:$T,0)</f>
        <v>30000</v>
      </c>
      <c r="R426" s="12">
        <f>_xlfn.XLOOKUP(B426,[1]Sheet1!$B:$B,[1]Sheet1!$U:$U,0)</f>
        <v>30000</v>
      </c>
      <c r="S426" s="12">
        <f>_xlfn.XLOOKUP(B426,[1]Sheet1!$B:$B,[1]Sheet1!$V:$V,0)</f>
        <v>30000</v>
      </c>
      <c r="T426" s="12">
        <f>_xlfn.XLOOKUP(B426,[1]Sheet1!$B:$B,[1]Sheet1!$W:$W,0)</f>
        <v>30000</v>
      </c>
      <c r="U426" s="12">
        <f>_xlfn.XLOOKUP(B426,[1]Sheet1!$B:$B,[1]Sheet1!$X:$X,0)</f>
        <v>30000</v>
      </c>
      <c r="V426" s="12">
        <f>_xlfn.XLOOKUP(B426,[1]Sheet1!$B:$B,[1]Sheet1!$Y:$Y,0)</f>
        <v>30000</v>
      </c>
      <c r="W426" s="12">
        <f t="shared" si="15"/>
        <v>360000</v>
      </c>
      <c r="X426" s="6" t="s">
        <v>624</v>
      </c>
      <c r="Y426" s="6" t="s">
        <v>132</v>
      </c>
      <c r="Z426" s="6" t="s">
        <v>466</v>
      </c>
      <c r="AA426" s="6" t="s">
        <v>80</v>
      </c>
      <c r="AB426" s="6" t="s">
        <v>36</v>
      </c>
      <c r="AC426" s="6" t="s">
        <v>37</v>
      </c>
      <c r="AD426" s="6" t="s">
        <v>468</v>
      </c>
      <c r="AE426" s="6" t="s">
        <v>39</v>
      </c>
      <c r="AF426" s="6" t="s">
        <v>40</v>
      </c>
      <c r="AG426" s="7">
        <v>360000</v>
      </c>
      <c r="AH426" s="11">
        <f>_xlfn.XLOOKUP(B426,[1]Sheet1!$B:$B,[1]Sheet1!$AB:$AB,0)</f>
        <v>360000</v>
      </c>
    </row>
    <row r="427" spans="2:34" ht="16.8" thickTop="1" thickBot="1" x14ac:dyDescent="0.35">
      <c r="B427" s="3" t="str">
        <f t="shared" si="14"/>
        <v>45102304511000530Hospitality-N1424761200104</v>
      </c>
      <c r="C427" s="8" t="s">
        <v>467</v>
      </c>
      <c r="D427" s="8" t="s">
        <v>692</v>
      </c>
      <c r="E427" s="8" t="s">
        <v>693</v>
      </c>
      <c r="F427" s="8" t="s">
        <v>399</v>
      </c>
      <c r="G427" s="4" t="s">
        <v>2811</v>
      </c>
      <c r="H427" s="4" t="s">
        <v>2922</v>
      </c>
      <c r="I427" s="8" t="s">
        <v>84</v>
      </c>
      <c r="J427" s="8" t="s">
        <v>31</v>
      </c>
      <c r="K427" s="12">
        <f>_xlfn.XLOOKUP(B427,[1]Sheet1!$B:$B,[1]Sheet1!$N:$N,0)</f>
        <v>0</v>
      </c>
      <c r="L427" s="12">
        <f>_xlfn.XLOOKUP(B427,[1]Sheet1!$B:$B,[1]Sheet1!$O:$O,0)</f>
        <v>0</v>
      </c>
      <c r="M427" s="12">
        <f>_xlfn.XLOOKUP(B427,[1]Sheet1!$B:$B,[1]Sheet1!$P:$P,0)</f>
        <v>0</v>
      </c>
      <c r="N427" s="12">
        <f>_xlfn.XLOOKUP(B427,[1]Sheet1!$B:$B,[1]Sheet1!$Q:$Q,0)</f>
        <v>43330</v>
      </c>
      <c r="O427" s="12">
        <f>_xlfn.XLOOKUP(B427,[1]Sheet1!$B:$B,[1]Sheet1!$R:$R,0)</f>
        <v>10830</v>
      </c>
      <c r="P427" s="12">
        <f>_xlfn.XLOOKUP(B427,[1]Sheet1!$B:$B,[1]Sheet1!$S:$S,0)</f>
        <v>10830</v>
      </c>
      <c r="Q427" s="12">
        <f>_xlfn.XLOOKUP(B427,[1]Sheet1!$B:$B,[1]Sheet1!$T:$T,0)</f>
        <v>10830</v>
      </c>
      <c r="R427" s="12">
        <f>_xlfn.XLOOKUP(B427,[1]Sheet1!$B:$B,[1]Sheet1!$U:$U,0)</f>
        <v>10830</v>
      </c>
      <c r="S427" s="12">
        <f>_xlfn.XLOOKUP(B427,[1]Sheet1!$B:$B,[1]Sheet1!$V:$V,0)</f>
        <v>10830</v>
      </c>
      <c r="T427" s="12">
        <f>_xlfn.XLOOKUP(B427,[1]Sheet1!$B:$B,[1]Sheet1!$W:$W,0)</f>
        <v>10830</v>
      </c>
      <c r="U427" s="12">
        <f>_xlfn.XLOOKUP(B427,[1]Sheet1!$B:$B,[1]Sheet1!$X:$X,0)</f>
        <v>10830</v>
      </c>
      <c r="V427" s="12">
        <f>_xlfn.XLOOKUP(B427,[1]Sheet1!$B:$B,[1]Sheet1!$Y:$Y,0)</f>
        <v>10860</v>
      </c>
      <c r="W427" s="12">
        <f t="shared" si="15"/>
        <v>130000</v>
      </c>
      <c r="X427" s="8" t="s">
        <v>469</v>
      </c>
      <c r="Y427" s="8" t="s">
        <v>132</v>
      </c>
      <c r="Z427" s="8" t="s">
        <v>466</v>
      </c>
      <c r="AA427" s="8" t="s">
        <v>84</v>
      </c>
      <c r="AB427" s="8" t="s">
        <v>36</v>
      </c>
      <c r="AC427" s="8" t="s">
        <v>37</v>
      </c>
      <c r="AD427" s="8" t="s">
        <v>468</v>
      </c>
      <c r="AE427" s="8" t="s">
        <v>39</v>
      </c>
      <c r="AF427" s="8" t="s">
        <v>40</v>
      </c>
      <c r="AG427" s="9">
        <v>130000</v>
      </c>
      <c r="AH427" s="11">
        <f>_xlfn.XLOOKUP(B427,[1]Sheet1!$B:$B,[1]Sheet1!$AB:$AB,0)</f>
        <v>130000</v>
      </c>
    </row>
    <row r="428" spans="2:34" ht="16.8" thickTop="1" thickBot="1" x14ac:dyDescent="0.35">
      <c r="B428" s="3" t="str">
        <f t="shared" si="14"/>
        <v>45102304511000530Interior Fit Out-NC2491711300105</v>
      </c>
      <c r="C428" s="6" t="s">
        <v>467</v>
      </c>
      <c r="D428" s="6" t="s">
        <v>692</v>
      </c>
      <c r="E428" s="6" t="s">
        <v>693</v>
      </c>
      <c r="F428" s="6" t="s">
        <v>650</v>
      </c>
      <c r="G428" s="4" t="s">
        <v>2854</v>
      </c>
      <c r="H428" s="4" t="s">
        <v>2923</v>
      </c>
      <c r="I428" s="6" t="s">
        <v>639</v>
      </c>
      <c r="J428" s="6" t="s">
        <v>31</v>
      </c>
      <c r="K428" s="12">
        <f>_xlfn.XLOOKUP(B428,[1]Sheet1!$B:$B,[1]Sheet1!$N:$N,0)</f>
        <v>0</v>
      </c>
      <c r="L428" s="12">
        <f>_xlfn.XLOOKUP(B428,[1]Sheet1!$B:$B,[1]Sheet1!$O:$O,0)</f>
        <v>0</v>
      </c>
      <c r="M428" s="12">
        <f>_xlfn.XLOOKUP(B428,[1]Sheet1!$B:$B,[1]Sheet1!$P:$P,0)</f>
        <v>0</v>
      </c>
      <c r="N428" s="12">
        <f>_xlfn.XLOOKUP(B428,[1]Sheet1!$B:$B,[1]Sheet1!$Q:$Q,0)</f>
        <v>153402</v>
      </c>
      <c r="O428" s="12">
        <f>_xlfn.XLOOKUP(B428,[1]Sheet1!$B:$B,[1]Sheet1!$R:$R,0)</f>
        <v>0</v>
      </c>
      <c r="P428" s="12">
        <f>_xlfn.XLOOKUP(B428,[1]Sheet1!$B:$B,[1]Sheet1!$S:$S,0)</f>
        <v>633500</v>
      </c>
      <c r="Q428" s="12">
        <f>_xlfn.XLOOKUP(B428,[1]Sheet1!$B:$B,[1]Sheet1!$T:$T,0)</f>
        <v>69098</v>
      </c>
      <c r="R428" s="12">
        <f>_xlfn.XLOOKUP(B428,[1]Sheet1!$B:$B,[1]Sheet1!$U:$U,0)</f>
        <v>0</v>
      </c>
      <c r="S428" s="12">
        <f>_xlfn.XLOOKUP(B428,[1]Sheet1!$B:$B,[1]Sheet1!$V:$V,0)</f>
        <v>0</v>
      </c>
      <c r="T428" s="12">
        <f>_xlfn.XLOOKUP(B428,[1]Sheet1!$B:$B,[1]Sheet1!$W:$W,0)</f>
        <v>0</v>
      </c>
      <c r="U428" s="12">
        <f>_xlfn.XLOOKUP(B428,[1]Sheet1!$B:$B,[1]Sheet1!$X:$X,0)</f>
        <v>0</v>
      </c>
      <c r="V428" s="12">
        <f>_xlfn.XLOOKUP(B428,[1]Sheet1!$B:$B,[1]Sheet1!$Y:$Y,0)</f>
        <v>0</v>
      </c>
      <c r="W428" s="12">
        <f t="shared" si="15"/>
        <v>856000</v>
      </c>
      <c r="X428" s="6" t="s">
        <v>640</v>
      </c>
      <c r="Y428" s="6" t="s">
        <v>132</v>
      </c>
      <c r="Z428" s="6" t="s">
        <v>466</v>
      </c>
      <c r="AA428" s="6" t="s">
        <v>639</v>
      </c>
      <c r="AB428" s="6" t="s">
        <v>93</v>
      </c>
      <c r="AC428" s="6" t="s">
        <v>94</v>
      </c>
      <c r="AD428" s="6" t="s">
        <v>468</v>
      </c>
      <c r="AE428" s="6" t="s">
        <v>39</v>
      </c>
      <c r="AF428" s="6" t="s">
        <v>40</v>
      </c>
      <c r="AG428" s="7">
        <v>856000</v>
      </c>
      <c r="AH428" s="11">
        <f>_xlfn.XLOOKUP(B428,[1]Sheet1!$B:$B,[1]Sheet1!$AB:$AB,0)</f>
        <v>856000</v>
      </c>
    </row>
    <row r="429" spans="2:34" ht="16.8" thickTop="1" thickBot="1" x14ac:dyDescent="0.35">
      <c r="B429" s="3" t="str">
        <f t="shared" si="14"/>
        <v>45102304511000530Landscaping-N1432614200104</v>
      </c>
      <c r="C429" s="8" t="s">
        <v>467</v>
      </c>
      <c r="D429" s="8" t="s">
        <v>692</v>
      </c>
      <c r="E429" s="8" t="s">
        <v>693</v>
      </c>
      <c r="F429" s="8" t="s">
        <v>694</v>
      </c>
      <c r="G429" s="4" t="s">
        <v>2812</v>
      </c>
      <c r="H429" s="4" t="s">
        <v>2922</v>
      </c>
      <c r="I429" s="8" t="s">
        <v>87</v>
      </c>
      <c r="J429" s="8" t="s">
        <v>31</v>
      </c>
      <c r="K429" s="12">
        <f>_xlfn.XLOOKUP(B429,[1]Sheet1!$B:$B,[1]Sheet1!$N:$N,0)</f>
        <v>0</v>
      </c>
      <c r="L429" s="12">
        <f>_xlfn.XLOOKUP(B429,[1]Sheet1!$B:$B,[1]Sheet1!$O:$O,0)</f>
        <v>0</v>
      </c>
      <c r="M429" s="12">
        <f>_xlfn.XLOOKUP(B429,[1]Sheet1!$B:$B,[1]Sheet1!$P:$P,0)</f>
        <v>0</v>
      </c>
      <c r="N429" s="12">
        <f>_xlfn.XLOOKUP(B429,[1]Sheet1!$B:$B,[1]Sheet1!$Q:$Q,0)</f>
        <v>36664</v>
      </c>
      <c r="O429" s="12">
        <f>_xlfn.XLOOKUP(B429,[1]Sheet1!$B:$B,[1]Sheet1!$R:$R,0)</f>
        <v>9167</v>
      </c>
      <c r="P429" s="12">
        <f>_xlfn.XLOOKUP(B429,[1]Sheet1!$B:$B,[1]Sheet1!$S:$S,0)</f>
        <v>9167</v>
      </c>
      <c r="Q429" s="12">
        <f>_xlfn.XLOOKUP(B429,[1]Sheet1!$B:$B,[1]Sheet1!$T:$T,0)</f>
        <v>9167</v>
      </c>
      <c r="R429" s="12">
        <f>_xlfn.XLOOKUP(B429,[1]Sheet1!$B:$B,[1]Sheet1!$U:$U,0)</f>
        <v>9167</v>
      </c>
      <c r="S429" s="12">
        <f>_xlfn.XLOOKUP(B429,[1]Sheet1!$B:$B,[1]Sheet1!$V:$V,0)</f>
        <v>9167</v>
      </c>
      <c r="T429" s="12">
        <f>_xlfn.XLOOKUP(B429,[1]Sheet1!$B:$B,[1]Sheet1!$W:$W,0)</f>
        <v>9167</v>
      </c>
      <c r="U429" s="12">
        <f>_xlfn.XLOOKUP(B429,[1]Sheet1!$B:$B,[1]Sheet1!$X:$X,0)</f>
        <v>9167</v>
      </c>
      <c r="V429" s="12">
        <f>_xlfn.XLOOKUP(B429,[1]Sheet1!$B:$B,[1]Sheet1!$Y:$Y,0)</f>
        <v>9167</v>
      </c>
      <c r="W429" s="12">
        <f t="shared" si="15"/>
        <v>110000</v>
      </c>
      <c r="X429" s="8" t="s">
        <v>695</v>
      </c>
      <c r="Y429" s="8" t="s">
        <v>132</v>
      </c>
      <c r="Z429" s="8" t="s">
        <v>466</v>
      </c>
      <c r="AA429" s="8" t="s">
        <v>87</v>
      </c>
      <c r="AB429" s="8" t="s">
        <v>36</v>
      </c>
      <c r="AC429" s="8" t="s">
        <v>37</v>
      </c>
      <c r="AD429" s="8" t="s">
        <v>468</v>
      </c>
      <c r="AE429" s="8" t="s">
        <v>39</v>
      </c>
      <c r="AF429" s="8" t="s">
        <v>40</v>
      </c>
      <c r="AG429" s="9">
        <v>110000</v>
      </c>
      <c r="AH429" s="11">
        <f>_xlfn.XLOOKUP(B429,[1]Sheet1!$B:$B,[1]Sheet1!$AB:$AB,0)</f>
        <v>110000</v>
      </c>
    </row>
    <row r="430" spans="2:34" ht="16.8" thickTop="1" thickBot="1" x14ac:dyDescent="0.35">
      <c r="B430" s="3" t="str">
        <f t="shared" si="14"/>
        <v>45102304511000530Maintenance-N1426212200104</v>
      </c>
      <c r="C430" s="6" t="s">
        <v>467</v>
      </c>
      <c r="D430" s="6" t="s">
        <v>692</v>
      </c>
      <c r="E430" s="6" t="s">
        <v>693</v>
      </c>
      <c r="F430" s="6" t="s">
        <v>625</v>
      </c>
      <c r="G430" s="4" t="s">
        <v>2814</v>
      </c>
      <c r="H430" s="4" t="s">
        <v>2922</v>
      </c>
      <c r="I430" s="6" t="s">
        <v>96</v>
      </c>
      <c r="J430" s="6" t="s">
        <v>31</v>
      </c>
      <c r="K430" s="12">
        <f>_xlfn.XLOOKUP(B430,[1]Sheet1!$B:$B,[1]Sheet1!$N:$N,0)</f>
        <v>0</v>
      </c>
      <c r="L430" s="12">
        <f>_xlfn.XLOOKUP(B430,[1]Sheet1!$B:$B,[1]Sheet1!$O:$O,0)</f>
        <v>0</v>
      </c>
      <c r="M430" s="12">
        <f>_xlfn.XLOOKUP(B430,[1]Sheet1!$B:$B,[1]Sheet1!$P:$P,0)</f>
        <v>0</v>
      </c>
      <c r="N430" s="12">
        <f>_xlfn.XLOOKUP(B430,[1]Sheet1!$B:$B,[1]Sheet1!$Q:$Q,0)</f>
        <v>100000</v>
      </c>
      <c r="O430" s="12">
        <f>_xlfn.XLOOKUP(B430,[1]Sheet1!$B:$B,[1]Sheet1!$R:$R,0)</f>
        <v>25000</v>
      </c>
      <c r="P430" s="12">
        <f>_xlfn.XLOOKUP(B430,[1]Sheet1!$B:$B,[1]Sheet1!$S:$S,0)</f>
        <v>25000</v>
      </c>
      <c r="Q430" s="12">
        <f>_xlfn.XLOOKUP(B430,[1]Sheet1!$B:$B,[1]Sheet1!$T:$T,0)</f>
        <v>25000</v>
      </c>
      <c r="R430" s="12">
        <f>_xlfn.XLOOKUP(B430,[1]Sheet1!$B:$B,[1]Sheet1!$U:$U,0)</f>
        <v>25000</v>
      </c>
      <c r="S430" s="12">
        <f>_xlfn.XLOOKUP(B430,[1]Sheet1!$B:$B,[1]Sheet1!$V:$V,0)</f>
        <v>25000</v>
      </c>
      <c r="T430" s="12">
        <f>_xlfn.XLOOKUP(B430,[1]Sheet1!$B:$B,[1]Sheet1!$W:$W,0)</f>
        <v>25000</v>
      </c>
      <c r="U430" s="12">
        <f>_xlfn.XLOOKUP(B430,[1]Sheet1!$B:$B,[1]Sheet1!$X:$X,0)</f>
        <v>25000</v>
      </c>
      <c r="V430" s="12">
        <f>_xlfn.XLOOKUP(B430,[1]Sheet1!$B:$B,[1]Sheet1!$Y:$Y,0)</f>
        <v>25000</v>
      </c>
      <c r="W430" s="12">
        <f t="shared" si="15"/>
        <v>300000</v>
      </c>
      <c r="X430" s="6" t="s">
        <v>626</v>
      </c>
      <c r="Y430" s="6" t="s">
        <v>132</v>
      </c>
      <c r="Z430" s="6" t="s">
        <v>466</v>
      </c>
      <c r="AA430" s="6" t="s">
        <v>96</v>
      </c>
      <c r="AB430" s="6" t="s">
        <v>36</v>
      </c>
      <c r="AC430" s="6" t="s">
        <v>37</v>
      </c>
      <c r="AD430" s="6" t="s">
        <v>468</v>
      </c>
      <c r="AE430" s="6" t="s">
        <v>39</v>
      </c>
      <c r="AF430" s="6" t="s">
        <v>40</v>
      </c>
      <c r="AG430" s="7">
        <v>300000</v>
      </c>
      <c r="AH430" s="11">
        <f>_xlfn.XLOOKUP(B430,[1]Sheet1!$B:$B,[1]Sheet1!$AB:$AB,0)</f>
        <v>300000</v>
      </c>
    </row>
    <row r="431" spans="2:34" ht="16.8" thickTop="1" thickBot="1" x14ac:dyDescent="0.35">
      <c r="B431" s="3" t="str">
        <f t="shared" si="14"/>
        <v>45102304511000530Security Service-N1424551200104</v>
      </c>
      <c r="C431" s="8" t="s">
        <v>467</v>
      </c>
      <c r="D431" s="8" t="s">
        <v>692</v>
      </c>
      <c r="E431" s="8" t="s">
        <v>693</v>
      </c>
      <c r="F431" s="8" t="s">
        <v>627</v>
      </c>
      <c r="G431" s="4" t="s">
        <v>2817</v>
      </c>
      <c r="H431" s="4" t="s">
        <v>2922</v>
      </c>
      <c r="I431" s="8" t="s">
        <v>108</v>
      </c>
      <c r="J431" s="8" t="s">
        <v>31</v>
      </c>
      <c r="K431" s="12">
        <f>_xlfn.XLOOKUP(B431,[1]Sheet1!$B:$B,[1]Sheet1!$N:$N,0)</f>
        <v>0</v>
      </c>
      <c r="L431" s="12">
        <f>_xlfn.XLOOKUP(B431,[1]Sheet1!$B:$B,[1]Sheet1!$O:$O,0)</f>
        <v>0</v>
      </c>
      <c r="M431" s="12">
        <f>_xlfn.XLOOKUP(B431,[1]Sheet1!$B:$B,[1]Sheet1!$P:$P,0)</f>
        <v>0</v>
      </c>
      <c r="N431" s="12">
        <f>_xlfn.XLOOKUP(B431,[1]Sheet1!$B:$B,[1]Sheet1!$Q:$Q,0)</f>
        <v>128848</v>
      </c>
      <c r="O431" s="12">
        <f>_xlfn.XLOOKUP(B431,[1]Sheet1!$B:$B,[1]Sheet1!$R:$R,0)</f>
        <v>32212</v>
      </c>
      <c r="P431" s="12">
        <f>_xlfn.XLOOKUP(B431,[1]Sheet1!$B:$B,[1]Sheet1!$S:$S,0)</f>
        <v>32212</v>
      </c>
      <c r="Q431" s="12">
        <f>_xlfn.XLOOKUP(B431,[1]Sheet1!$B:$B,[1]Sheet1!$T:$T,0)</f>
        <v>32212</v>
      </c>
      <c r="R431" s="12">
        <f>_xlfn.XLOOKUP(B431,[1]Sheet1!$B:$B,[1]Sheet1!$U:$U,0)</f>
        <v>32212</v>
      </c>
      <c r="S431" s="12">
        <f>_xlfn.XLOOKUP(B431,[1]Sheet1!$B:$B,[1]Sheet1!$V:$V,0)</f>
        <v>32212</v>
      </c>
      <c r="T431" s="12">
        <f>_xlfn.XLOOKUP(B431,[1]Sheet1!$B:$B,[1]Sheet1!$W:$W,0)</f>
        <v>32212</v>
      </c>
      <c r="U431" s="12">
        <f>_xlfn.XLOOKUP(B431,[1]Sheet1!$B:$B,[1]Sheet1!$X:$X,0)</f>
        <v>32212</v>
      </c>
      <c r="V431" s="12">
        <f>_xlfn.XLOOKUP(B431,[1]Sheet1!$B:$B,[1]Sheet1!$Y:$Y,0)</f>
        <v>32212</v>
      </c>
      <c r="W431" s="12">
        <f t="shared" si="15"/>
        <v>386544</v>
      </c>
      <c r="X431" s="8" t="s">
        <v>628</v>
      </c>
      <c r="Y431" s="8" t="s">
        <v>132</v>
      </c>
      <c r="Z431" s="8" t="s">
        <v>466</v>
      </c>
      <c r="AA431" s="8" t="s">
        <v>108</v>
      </c>
      <c r="AB431" s="8" t="s">
        <v>36</v>
      </c>
      <c r="AC431" s="8" t="s">
        <v>37</v>
      </c>
      <c r="AD431" s="8" t="s">
        <v>468</v>
      </c>
      <c r="AE431" s="8" t="s">
        <v>39</v>
      </c>
      <c r="AF431" s="8" t="s">
        <v>40</v>
      </c>
      <c r="AG431" s="9">
        <v>386544</v>
      </c>
      <c r="AH431" s="11">
        <f>_xlfn.XLOOKUP(B431,[1]Sheet1!$B:$B,[1]Sheet1!$AB:$AB,0)</f>
        <v>386544</v>
      </c>
    </row>
    <row r="432" spans="2:34" ht="16.8" thickTop="1" thickBot="1" x14ac:dyDescent="0.35">
      <c r="B432" s="3" t="str">
        <f t="shared" si="14"/>
        <v>45102304511000532Cleaning Service-N1422311200104</v>
      </c>
      <c r="C432" s="6" t="s">
        <v>467</v>
      </c>
      <c r="D432" s="6" t="s">
        <v>696</v>
      </c>
      <c r="E432" s="6" t="s">
        <v>697</v>
      </c>
      <c r="F432" s="6" t="s">
        <v>623</v>
      </c>
      <c r="G432" s="4" t="s">
        <v>2810</v>
      </c>
      <c r="H432" s="4" t="s">
        <v>2922</v>
      </c>
      <c r="I432" s="6" t="s">
        <v>80</v>
      </c>
      <c r="J432" s="6" t="s">
        <v>31</v>
      </c>
      <c r="K432" s="12">
        <f>_xlfn.XLOOKUP(B432,[1]Sheet1!$B:$B,[1]Sheet1!$N:$N,0)</f>
        <v>0</v>
      </c>
      <c r="L432" s="12">
        <f>_xlfn.XLOOKUP(B432,[1]Sheet1!$B:$B,[1]Sheet1!$O:$O,0)</f>
        <v>0</v>
      </c>
      <c r="M432" s="12">
        <f>_xlfn.XLOOKUP(B432,[1]Sheet1!$B:$B,[1]Sheet1!$P:$P,0)</f>
        <v>0</v>
      </c>
      <c r="N432" s="12">
        <f>_xlfn.XLOOKUP(B432,[1]Sheet1!$B:$B,[1]Sheet1!$Q:$Q,0)</f>
        <v>20000</v>
      </c>
      <c r="O432" s="12">
        <f>_xlfn.XLOOKUP(B432,[1]Sheet1!$B:$B,[1]Sheet1!$R:$R,0)</f>
        <v>5000</v>
      </c>
      <c r="P432" s="12">
        <f>_xlfn.XLOOKUP(B432,[1]Sheet1!$B:$B,[1]Sheet1!$S:$S,0)</f>
        <v>5000</v>
      </c>
      <c r="Q432" s="12">
        <f>_xlfn.XLOOKUP(B432,[1]Sheet1!$B:$B,[1]Sheet1!$T:$T,0)</f>
        <v>5000</v>
      </c>
      <c r="R432" s="12">
        <f>_xlfn.XLOOKUP(B432,[1]Sheet1!$B:$B,[1]Sheet1!$U:$U,0)</f>
        <v>5000</v>
      </c>
      <c r="S432" s="12">
        <f>_xlfn.XLOOKUP(B432,[1]Sheet1!$B:$B,[1]Sheet1!$V:$V,0)</f>
        <v>5000</v>
      </c>
      <c r="T432" s="12">
        <f>_xlfn.XLOOKUP(B432,[1]Sheet1!$B:$B,[1]Sheet1!$W:$W,0)</f>
        <v>5000</v>
      </c>
      <c r="U432" s="12">
        <f>_xlfn.XLOOKUP(B432,[1]Sheet1!$B:$B,[1]Sheet1!$X:$X,0)</f>
        <v>5000</v>
      </c>
      <c r="V432" s="12">
        <f>_xlfn.XLOOKUP(B432,[1]Sheet1!$B:$B,[1]Sheet1!$Y:$Y,0)</f>
        <v>5000</v>
      </c>
      <c r="W432" s="12">
        <f t="shared" si="15"/>
        <v>60000</v>
      </c>
      <c r="X432" s="6" t="s">
        <v>624</v>
      </c>
      <c r="Y432" s="6" t="s">
        <v>132</v>
      </c>
      <c r="Z432" s="6" t="s">
        <v>466</v>
      </c>
      <c r="AA432" s="6" t="s">
        <v>80</v>
      </c>
      <c r="AB432" s="6" t="s">
        <v>36</v>
      </c>
      <c r="AC432" s="6" t="s">
        <v>37</v>
      </c>
      <c r="AD432" s="6" t="s">
        <v>468</v>
      </c>
      <c r="AE432" s="6" t="s">
        <v>39</v>
      </c>
      <c r="AF432" s="6" t="s">
        <v>40</v>
      </c>
      <c r="AG432" s="7">
        <v>60000</v>
      </c>
      <c r="AH432" s="11">
        <f>_xlfn.XLOOKUP(B432,[1]Sheet1!$B:$B,[1]Sheet1!$AB:$AB,0)</f>
        <v>60000</v>
      </c>
    </row>
    <row r="433" spans="2:34" ht="16.8" thickTop="1" thickBot="1" x14ac:dyDescent="0.35">
      <c r="B433" s="3" t="str">
        <f t="shared" si="14"/>
        <v>45102304511000532Security Service-N1424551200104</v>
      </c>
      <c r="C433" s="8" t="s">
        <v>467</v>
      </c>
      <c r="D433" s="8" t="s">
        <v>696</v>
      </c>
      <c r="E433" s="8" t="s">
        <v>697</v>
      </c>
      <c r="F433" s="8" t="s">
        <v>627</v>
      </c>
      <c r="G433" s="4" t="s">
        <v>2817</v>
      </c>
      <c r="H433" s="4" t="s">
        <v>2922</v>
      </c>
      <c r="I433" s="8" t="s">
        <v>108</v>
      </c>
      <c r="J433" s="8" t="s">
        <v>31</v>
      </c>
      <c r="K433" s="12">
        <f>_xlfn.XLOOKUP(B433,[1]Sheet1!$B:$B,[1]Sheet1!$N:$N,0)</f>
        <v>0</v>
      </c>
      <c r="L433" s="12">
        <f>_xlfn.XLOOKUP(B433,[1]Sheet1!$B:$B,[1]Sheet1!$O:$O,0)</f>
        <v>0</v>
      </c>
      <c r="M433" s="12">
        <f>_xlfn.XLOOKUP(B433,[1]Sheet1!$B:$B,[1]Sheet1!$P:$P,0)</f>
        <v>0</v>
      </c>
      <c r="N433" s="12">
        <f>_xlfn.XLOOKUP(B433,[1]Sheet1!$B:$B,[1]Sheet1!$Q:$Q,0)</f>
        <v>34000</v>
      </c>
      <c r="O433" s="12">
        <f>_xlfn.XLOOKUP(B433,[1]Sheet1!$B:$B,[1]Sheet1!$R:$R,0)</f>
        <v>8500</v>
      </c>
      <c r="P433" s="12">
        <f>_xlfn.XLOOKUP(B433,[1]Sheet1!$B:$B,[1]Sheet1!$S:$S,0)</f>
        <v>8500</v>
      </c>
      <c r="Q433" s="12">
        <f>_xlfn.XLOOKUP(B433,[1]Sheet1!$B:$B,[1]Sheet1!$T:$T,0)</f>
        <v>8500</v>
      </c>
      <c r="R433" s="12">
        <f>_xlfn.XLOOKUP(B433,[1]Sheet1!$B:$B,[1]Sheet1!$U:$U,0)</f>
        <v>8500</v>
      </c>
      <c r="S433" s="12">
        <f>_xlfn.XLOOKUP(B433,[1]Sheet1!$B:$B,[1]Sheet1!$V:$V,0)</f>
        <v>8500</v>
      </c>
      <c r="T433" s="12">
        <f>_xlfn.XLOOKUP(B433,[1]Sheet1!$B:$B,[1]Sheet1!$W:$W,0)</f>
        <v>8500</v>
      </c>
      <c r="U433" s="12">
        <f>_xlfn.XLOOKUP(B433,[1]Sheet1!$B:$B,[1]Sheet1!$X:$X,0)</f>
        <v>8500</v>
      </c>
      <c r="V433" s="12">
        <f>_xlfn.XLOOKUP(B433,[1]Sheet1!$B:$B,[1]Sheet1!$Y:$Y,0)</f>
        <v>8500</v>
      </c>
      <c r="W433" s="12">
        <f t="shared" si="15"/>
        <v>102000</v>
      </c>
      <c r="X433" s="8" t="s">
        <v>628</v>
      </c>
      <c r="Y433" s="8" t="s">
        <v>132</v>
      </c>
      <c r="Z433" s="8" t="s">
        <v>466</v>
      </c>
      <c r="AA433" s="8" t="s">
        <v>108</v>
      </c>
      <c r="AB433" s="8" t="s">
        <v>36</v>
      </c>
      <c r="AC433" s="8" t="s">
        <v>37</v>
      </c>
      <c r="AD433" s="8" t="s">
        <v>468</v>
      </c>
      <c r="AE433" s="8" t="s">
        <v>39</v>
      </c>
      <c r="AF433" s="8" t="s">
        <v>40</v>
      </c>
      <c r="AG433" s="9">
        <v>102000</v>
      </c>
      <c r="AH433" s="11">
        <f>_xlfn.XLOOKUP(B433,[1]Sheet1!$B:$B,[1]Sheet1!$AB:$AB,0)</f>
        <v>102000</v>
      </c>
    </row>
    <row r="434" spans="2:34" ht="16.8" thickTop="1" thickBot="1" x14ac:dyDescent="0.35">
      <c r="B434" s="3" t="str">
        <f t="shared" si="14"/>
        <v>45102304511000534Ad-hoc Repairs-N426427200104</v>
      </c>
      <c r="C434" s="6" t="s">
        <v>467</v>
      </c>
      <c r="D434" s="6" t="s">
        <v>698</v>
      </c>
      <c r="E434" s="6" t="s">
        <v>699</v>
      </c>
      <c r="F434" s="6" t="s">
        <v>70</v>
      </c>
      <c r="G434" s="4" t="s">
        <v>2808</v>
      </c>
      <c r="H434" s="4" t="s">
        <v>2922</v>
      </c>
      <c r="I434" s="6" t="s">
        <v>71</v>
      </c>
      <c r="J434" s="6" t="s">
        <v>31</v>
      </c>
      <c r="K434" s="12">
        <f>_xlfn.XLOOKUP(B434,[1]Sheet1!$B:$B,[1]Sheet1!$N:$N,0)</f>
        <v>0</v>
      </c>
      <c r="L434" s="12">
        <f>_xlfn.XLOOKUP(B434,[1]Sheet1!$B:$B,[1]Sheet1!$O:$O,0)</f>
        <v>0</v>
      </c>
      <c r="M434" s="12">
        <f>_xlfn.XLOOKUP(B434,[1]Sheet1!$B:$B,[1]Sheet1!$P:$P,0)</f>
        <v>0</v>
      </c>
      <c r="N434" s="12">
        <f>_xlfn.XLOOKUP(B434,[1]Sheet1!$B:$B,[1]Sheet1!$Q:$Q,0)</f>
        <v>0</v>
      </c>
      <c r="O434" s="12">
        <f>_xlfn.XLOOKUP(B434,[1]Sheet1!$B:$B,[1]Sheet1!$R:$R,0)</f>
        <v>0</v>
      </c>
      <c r="P434" s="12">
        <f>_xlfn.XLOOKUP(B434,[1]Sheet1!$B:$B,[1]Sheet1!$S:$S,0)</f>
        <v>0</v>
      </c>
      <c r="Q434" s="12">
        <f>_xlfn.XLOOKUP(B434,[1]Sheet1!$B:$B,[1]Sheet1!$T:$T,0)</f>
        <v>0</v>
      </c>
      <c r="R434" s="12">
        <f>_xlfn.XLOOKUP(B434,[1]Sheet1!$B:$B,[1]Sheet1!$U:$U,0)</f>
        <v>0</v>
      </c>
      <c r="S434" s="12">
        <f>_xlfn.XLOOKUP(B434,[1]Sheet1!$B:$B,[1]Sheet1!$V:$V,0)</f>
        <v>0</v>
      </c>
      <c r="T434" s="12">
        <f>_xlfn.XLOOKUP(B434,[1]Sheet1!$B:$B,[1]Sheet1!$W:$W,0)</f>
        <v>0</v>
      </c>
      <c r="U434" s="12">
        <f>_xlfn.XLOOKUP(B434,[1]Sheet1!$B:$B,[1]Sheet1!$X:$X,0)</f>
        <v>62230</v>
      </c>
      <c r="V434" s="12">
        <f>_xlfn.XLOOKUP(B434,[1]Sheet1!$B:$B,[1]Sheet1!$Y:$Y,0)</f>
        <v>0</v>
      </c>
      <c r="W434" s="12">
        <f t="shared" si="15"/>
        <v>62230</v>
      </c>
      <c r="X434" s="6" t="s">
        <v>622</v>
      </c>
      <c r="Y434" s="6" t="s">
        <v>132</v>
      </c>
      <c r="Z434" s="6" t="s">
        <v>466</v>
      </c>
      <c r="AA434" s="6" t="s">
        <v>71</v>
      </c>
      <c r="AB434" s="6" t="s">
        <v>36</v>
      </c>
      <c r="AC434" s="6" t="s">
        <v>37</v>
      </c>
      <c r="AD434" s="6" t="s">
        <v>468</v>
      </c>
      <c r="AE434" s="6" t="s">
        <v>39</v>
      </c>
      <c r="AF434" s="6" t="s">
        <v>40</v>
      </c>
      <c r="AG434" s="7">
        <v>62230</v>
      </c>
      <c r="AH434" s="11">
        <f>_xlfn.XLOOKUP(B434,[1]Sheet1!$B:$B,[1]Sheet1!$AB:$AB,0)</f>
        <v>62230</v>
      </c>
    </row>
    <row r="435" spans="2:34" ht="16.8" thickTop="1" thickBot="1" x14ac:dyDescent="0.35">
      <c r="B435" s="3" t="str">
        <f t="shared" si="14"/>
        <v>45102304511000534Cleaning Service-N1422311200104</v>
      </c>
      <c r="C435" s="8" t="s">
        <v>467</v>
      </c>
      <c r="D435" s="8" t="s">
        <v>698</v>
      </c>
      <c r="E435" s="8" t="s">
        <v>699</v>
      </c>
      <c r="F435" s="8" t="s">
        <v>623</v>
      </c>
      <c r="G435" s="4" t="s">
        <v>2810</v>
      </c>
      <c r="H435" s="4" t="s">
        <v>2922</v>
      </c>
      <c r="I435" s="8" t="s">
        <v>80</v>
      </c>
      <c r="J435" s="8" t="s">
        <v>31</v>
      </c>
      <c r="K435" s="12">
        <f>_xlfn.XLOOKUP(B435,[1]Sheet1!$B:$B,[1]Sheet1!$N:$N,0)</f>
        <v>0</v>
      </c>
      <c r="L435" s="12">
        <f>_xlfn.XLOOKUP(B435,[1]Sheet1!$B:$B,[1]Sheet1!$O:$O,0)</f>
        <v>0</v>
      </c>
      <c r="M435" s="12">
        <f>_xlfn.XLOOKUP(B435,[1]Sheet1!$B:$B,[1]Sheet1!$P:$P,0)</f>
        <v>0</v>
      </c>
      <c r="N435" s="12">
        <f>_xlfn.XLOOKUP(B435,[1]Sheet1!$B:$B,[1]Sheet1!$Q:$Q,0)</f>
        <v>14333</v>
      </c>
      <c r="O435" s="12">
        <f>_xlfn.XLOOKUP(B435,[1]Sheet1!$B:$B,[1]Sheet1!$R:$R,0)</f>
        <v>3583</v>
      </c>
      <c r="P435" s="12">
        <f>_xlfn.XLOOKUP(B435,[1]Sheet1!$B:$B,[1]Sheet1!$S:$S,0)</f>
        <v>3583</v>
      </c>
      <c r="Q435" s="12">
        <f>_xlfn.XLOOKUP(B435,[1]Sheet1!$B:$B,[1]Sheet1!$T:$T,0)</f>
        <v>3583</v>
      </c>
      <c r="R435" s="12">
        <f>_xlfn.XLOOKUP(B435,[1]Sheet1!$B:$B,[1]Sheet1!$U:$U,0)</f>
        <v>3583</v>
      </c>
      <c r="S435" s="12">
        <f>_xlfn.XLOOKUP(B435,[1]Sheet1!$B:$B,[1]Sheet1!$V:$V,0)</f>
        <v>3583</v>
      </c>
      <c r="T435" s="12">
        <f>_xlfn.XLOOKUP(B435,[1]Sheet1!$B:$B,[1]Sheet1!$W:$W,0)</f>
        <v>3583</v>
      </c>
      <c r="U435" s="12">
        <f>_xlfn.XLOOKUP(B435,[1]Sheet1!$B:$B,[1]Sheet1!$X:$X,0)</f>
        <v>3583</v>
      </c>
      <c r="V435" s="12">
        <f>_xlfn.XLOOKUP(B435,[1]Sheet1!$B:$B,[1]Sheet1!$Y:$Y,0)</f>
        <v>3586</v>
      </c>
      <c r="W435" s="12">
        <f t="shared" si="15"/>
        <v>43000</v>
      </c>
      <c r="X435" s="8" t="s">
        <v>624</v>
      </c>
      <c r="Y435" s="8" t="s">
        <v>132</v>
      </c>
      <c r="Z435" s="8" t="s">
        <v>466</v>
      </c>
      <c r="AA435" s="8" t="s">
        <v>80</v>
      </c>
      <c r="AB435" s="8" t="s">
        <v>36</v>
      </c>
      <c r="AC435" s="8" t="s">
        <v>37</v>
      </c>
      <c r="AD435" s="8" t="s">
        <v>468</v>
      </c>
      <c r="AE435" s="8" t="s">
        <v>39</v>
      </c>
      <c r="AF435" s="8" t="s">
        <v>40</v>
      </c>
      <c r="AG435" s="9">
        <v>43000</v>
      </c>
      <c r="AH435" s="11">
        <f>_xlfn.XLOOKUP(B435,[1]Sheet1!$B:$B,[1]Sheet1!$AB:$AB,0)</f>
        <v>43000</v>
      </c>
    </row>
    <row r="436" spans="2:34" ht="16.8" thickTop="1" thickBot="1" x14ac:dyDescent="0.35">
      <c r="B436" s="3" t="str">
        <f t="shared" si="14"/>
        <v>45102304511000534Facilities Rent-N1425112200104</v>
      </c>
      <c r="C436" s="6" t="s">
        <v>467</v>
      </c>
      <c r="D436" s="6" t="s">
        <v>698</v>
      </c>
      <c r="E436" s="6" t="s">
        <v>699</v>
      </c>
      <c r="F436" s="6" t="s">
        <v>631</v>
      </c>
      <c r="G436" s="4" t="s">
        <v>2848</v>
      </c>
      <c r="H436" s="4" t="s">
        <v>2922</v>
      </c>
      <c r="I436" s="6" t="s">
        <v>533</v>
      </c>
      <c r="J436" s="6" t="s">
        <v>31</v>
      </c>
      <c r="K436" s="12">
        <f>_xlfn.XLOOKUP(B436,[1]Sheet1!$B:$B,[1]Sheet1!$N:$N,0)</f>
        <v>0</v>
      </c>
      <c r="L436" s="12">
        <f>_xlfn.XLOOKUP(B436,[1]Sheet1!$B:$B,[1]Sheet1!$O:$O,0)</f>
        <v>0</v>
      </c>
      <c r="M436" s="12">
        <f>_xlfn.XLOOKUP(B436,[1]Sheet1!$B:$B,[1]Sheet1!$P:$P,0)</f>
        <v>0</v>
      </c>
      <c r="N436" s="12">
        <f>_xlfn.XLOOKUP(B436,[1]Sheet1!$B:$B,[1]Sheet1!$Q:$Q,0)</f>
        <v>110250</v>
      </c>
      <c r="O436" s="12">
        <f>_xlfn.XLOOKUP(B436,[1]Sheet1!$B:$B,[1]Sheet1!$R:$R,0)</f>
        <v>0</v>
      </c>
      <c r="P436" s="12">
        <f>_xlfn.XLOOKUP(B436,[1]Sheet1!$B:$B,[1]Sheet1!$S:$S,0)</f>
        <v>0</v>
      </c>
      <c r="Q436" s="12">
        <f>_xlfn.XLOOKUP(B436,[1]Sheet1!$B:$B,[1]Sheet1!$T:$T,0)</f>
        <v>0</v>
      </c>
      <c r="R436" s="12">
        <f>_xlfn.XLOOKUP(B436,[1]Sheet1!$B:$B,[1]Sheet1!$U:$U,0)</f>
        <v>0</v>
      </c>
      <c r="S436" s="12">
        <f>_xlfn.XLOOKUP(B436,[1]Sheet1!$B:$B,[1]Sheet1!$V:$V,0)</f>
        <v>0</v>
      </c>
      <c r="T436" s="12">
        <f>_xlfn.XLOOKUP(B436,[1]Sheet1!$B:$B,[1]Sheet1!$W:$W,0)</f>
        <v>0</v>
      </c>
      <c r="U436" s="12">
        <f>_xlfn.XLOOKUP(B436,[1]Sheet1!$B:$B,[1]Sheet1!$X:$X,0)</f>
        <v>0</v>
      </c>
      <c r="V436" s="12">
        <f>_xlfn.XLOOKUP(B436,[1]Sheet1!$B:$B,[1]Sheet1!$Y:$Y,0)</f>
        <v>0</v>
      </c>
      <c r="W436" s="12">
        <f t="shared" si="15"/>
        <v>110250</v>
      </c>
      <c r="X436" s="6" t="s">
        <v>632</v>
      </c>
      <c r="Y436" s="6" t="s">
        <v>132</v>
      </c>
      <c r="Z436" s="6" t="s">
        <v>466</v>
      </c>
      <c r="AA436" s="6" t="s">
        <v>533</v>
      </c>
      <c r="AB436" s="6" t="s">
        <v>36</v>
      </c>
      <c r="AC436" s="6" t="s">
        <v>37</v>
      </c>
      <c r="AD436" s="6" t="s">
        <v>468</v>
      </c>
      <c r="AE436" s="6" t="s">
        <v>39</v>
      </c>
      <c r="AF436" s="6" t="s">
        <v>40</v>
      </c>
      <c r="AG436" s="7">
        <v>110250</v>
      </c>
      <c r="AH436" s="11">
        <f>_xlfn.XLOOKUP(B436,[1]Sheet1!$B:$B,[1]Sheet1!$AB:$AB,0)</f>
        <v>110250</v>
      </c>
    </row>
    <row r="437" spans="2:34" ht="16.8" thickTop="1" thickBot="1" x14ac:dyDescent="0.35">
      <c r="B437" s="3" t="str">
        <f t="shared" si="14"/>
        <v>45102304511000538Transportation -N2425203200104</v>
      </c>
      <c r="C437" s="8" t="s">
        <v>467</v>
      </c>
      <c r="D437" s="8" t="s">
        <v>700</v>
      </c>
      <c r="E437" s="8" t="s">
        <v>701</v>
      </c>
      <c r="F437" s="8" t="s">
        <v>702</v>
      </c>
      <c r="G437" s="4" t="s">
        <v>2856</v>
      </c>
      <c r="H437" s="4" t="s">
        <v>2922</v>
      </c>
      <c r="I437" s="8" t="s">
        <v>703</v>
      </c>
      <c r="J437" s="8" t="s">
        <v>31</v>
      </c>
      <c r="K437" s="12">
        <f>_xlfn.XLOOKUP(B437,[1]Sheet1!$B:$B,[1]Sheet1!$N:$N,0)</f>
        <v>0</v>
      </c>
      <c r="L437" s="12">
        <f>_xlfn.XLOOKUP(B437,[1]Sheet1!$B:$B,[1]Sheet1!$O:$O,0)</f>
        <v>0</v>
      </c>
      <c r="M437" s="12">
        <f>_xlfn.XLOOKUP(B437,[1]Sheet1!$B:$B,[1]Sheet1!$P:$P,0)</f>
        <v>0</v>
      </c>
      <c r="N437" s="12">
        <f>_xlfn.XLOOKUP(B437,[1]Sheet1!$B:$B,[1]Sheet1!$Q:$Q,0)</f>
        <v>1652444.13</v>
      </c>
      <c r="O437" s="12">
        <f>_xlfn.XLOOKUP(B437,[1]Sheet1!$B:$B,[1]Sheet1!$R:$R,0)</f>
        <v>429404</v>
      </c>
      <c r="P437" s="12">
        <f>_xlfn.XLOOKUP(B437,[1]Sheet1!$B:$B,[1]Sheet1!$S:$S,0)</f>
        <v>451826.1</v>
      </c>
      <c r="Q437" s="12">
        <f>_xlfn.XLOOKUP(B437,[1]Sheet1!$B:$B,[1]Sheet1!$T:$T,0)</f>
        <v>436826</v>
      </c>
      <c r="R437" s="12">
        <f>_xlfn.XLOOKUP(B437,[1]Sheet1!$B:$B,[1]Sheet1!$U:$U,0)</f>
        <v>451826.1</v>
      </c>
      <c r="S437" s="12">
        <f>_xlfn.XLOOKUP(B437,[1]Sheet1!$B:$B,[1]Sheet1!$V:$V,0)</f>
        <v>436826</v>
      </c>
      <c r="T437" s="12">
        <f>_xlfn.XLOOKUP(B437,[1]Sheet1!$B:$B,[1]Sheet1!$W:$W,0)</f>
        <v>436826</v>
      </c>
      <c r="U437" s="12">
        <f>_xlfn.XLOOKUP(B437,[1]Sheet1!$B:$B,[1]Sheet1!$X:$X,0)</f>
        <v>451826.1</v>
      </c>
      <c r="V437" s="12">
        <f>_xlfn.XLOOKUP(B437,[1]Sheet1!$B:$B,[1]Sheet1!$Y:$Y,0)</f>
        <v>466854</v>
      </c>
      <c r="W437" s="12">
        <f t="shared" si="15"/>
        <v>5214658.43</v>
      </c>
      <c r="X437" s="8" t="s">
        <v>704</v>
      </c>
      <c r="Y437" s="8" t="s">
        <v>132</v>
      </c>
      <c r="Z437" s="8" t="s">
        <v>466</v>
      </c>
      <c r="AA437" s="8" t="s">
        <v>703</v>
      </c>
      <c r="AB437" s="8" t="s">
        <v>36</v>
      </c>
      <c r="AC437" s="8" t="s">
        <v>37</v>
      </c>
      <c r="AD437" s="8" t="s">
        <v>468</v>
      </c>
      <c r="AE437" s="8" t="s">
        <v>39</v>
      </c>
      <c r="AF437" s="8" t="s">
        <v>40</v>
      </c>
      <c r="AG437" s="9">
        <v>5235223</v>
      </c>
      <c r="AH437" s="11">
        <f>_xlfn.XLOOKUP(B437,[1]Sheet1!$B:$B,[1]Sheet1!$AB:$AB,0)</f>
        <v>5235223.43</v>
      </c>
    </row>
    <row r="438" spans="2:34" ht="16.8" thickTop="1" thickBot="1" x14ac:dyDescent="0.35">
      <c r="B438" s="3" t="str">
        <f t="shared" si="14"/>
        <v>45115504511000540Admin Expenses-N421125200104</v>
      </c>
      <c r="C438" s="6" t="s">
        <v>154</v>
      </c>
      <c r="D438" s="6" t="s">
        <v>705</v>
      </c>
      <c r="E438" s="6" t="s">
        <v>706</v>
      </c>
      <c r="F438" s="6" t="s">
        <v>130</v>
      </c>
      <c r="G438" s="4" t="s">
        <v>2803</v>
      </c>
      <c r="H438" s="4" t="s">
        <v>2922</v>
      </c>
      <c r="I438" s="6" t="s">
        <v>44</v>
      </c>
      <c r="J438" s="6" t="s">
        <v>31</v>
      </c>
      <c r="K438" s="12">
        <f>_xlfn.XLOOKUP(B438,[1]Sheet1!$B:$B,[1]Sheet1!$N:$N,0)</f>
        <v>0</v>
      </c>
      <c r="L438" s="12">
        <f>_xlfn.XLOOKUP(B438,[1]Sheet1!$B:$B,[1]Sheet1!$O:$O,0)</f>
        <v>0</v>
      </c>
      <c r="M438" s="12">
        <f>_xlfn.XLOOKUP(B438,[1]Sheet1!$B:$B,[1]Sheet1!$P:$P,0)</f>
        <v>0</v>
      </c>
      <c r="N438" s="12">
        <f>_xlfn.XLOOKUP(B438,[1]Sheet1!$B:$B,[1]Sheet1!$Q:$Q,0)</f>
        <v>0</v>
      </c>
      <c r="O438" s="12">
        <f>_xlfn.XLOOKUP(B438,[1]Sheet1!$B:$B,[1]Sheet1!$R:$R,0)</f>
        <v>0</v>
      </c>
      <c r="P438" s="12">
        <f>_xlfn.XLOOKUP(B438,[1]Sheet1!$B:$B,[1]Sheet1!$S:$S,0)</f>
        <v>0</v>
      </c>
      <c r="Q438" s="12">
        <f>_xlfn.XLOOKUP(B438,[1]Sheet1!$B:$B,[1]Sheet1!$T:$T,0)</f>
        <v>0</v>
      </c>
      <c r="R438" s="12">
        <f>_xlfn.XLOOKUP(B438,[1]Sheet1!$B:$B,[1]Sheet1!$U:$U,0)</f>
        <v>0</v>
      </c>
      <c r="S438" s="12">
        <f>_xlfn.XLOOKUP(B438,[1]Sheet1!$B:$B,[1]Sheet1!$V:$V,0)</f>
        <v>0</v>
      </c>
      <c r="T438" s="12">
        <f>_xlfn.XLOOKUP(B438,[1]Sheet1!$B:$B,[1]Sheet1!$W:$W,0)</f>
        <v>0</v>
      </c>
      <c r="U438" s="12">
        <f>_xlfn.XLOOKUP(B438,[1]Sheet1!$B:$B,[1]Sheet1!$X:$X,0)</f>
        <v>0</v>
      </c>
      <c r="V438" s="12">
        <f>_xlfn.XLOOKUP(B438,[1]Sheet1!$B:$B,[1]Sheet1!$Y:$Y,0)</f>
        <v>0</v>
      </c>
      <c r="W438" s="12">
        <f t="shared" si="15"/>
        <v>0</v>
      </c>
      <c r="X438" s="6" t="s">
        <v>707</v>
      </c>
      <c r="Y438" s="6" t="s">
        <v>65</v>
      </c>
      <c r="Z438" s="6" t="s">
        <v>153</v>
      </c>
      <c r="AA438" s="6" t="s">
        <v>44</v>
      </c>
      <c r="AB438" s="6" t="s">
        <v>36</v>
      </c>
      <c r="AC438" s="6" t="s">
        <v>37</v>
      </c>
      <c r="AD438" s="6" t="s">
        <v>708</v>
      </c>
      <c r="AE438" s="6" t="s">
        <v>39</v>
      </c>
      <c r="AF438" s="6" t="s">
        <v>40</v>
      </c>
      <c r="AG438" s="7">
        <v>25000</v>
      </c>
      <c r="AH438" s="11">
        <f>_xlfn.XLOOKUP(B438,[1]Sheet1!$B:$B,[1]Sheet1!$AB:$AB,0)</f>
        <v>25000</v>
      </c>
    </row>
    <row r="439" spans="2:34" ht="16.8" thickTop="1" thickBot="1" x14ac:dyDescent="0.35">
      <c r="B439" s="3" t="str">
        <f t="shared" si="14"/>
        <v>45115504511000540Campaign Mgmnt-N422511200104</v>
      </c>
      <c r="C439" s="8" t="s">
        <v>154</v>
      </c>
      <c r="D439" s="8" t="s">
        <v>705</v>
      </c>
      <c r="E439" s="8" t="s">
        <v>706</v>
      </c>
      <c r="F439" s="8" t="s">
        <v>709</v>
      </c>
      <c r="G439" s="4" t="s">
        <v>2819</v>
      </c>
      <c r="H439" s="4" t="s">
        <v>2922</v>
      </c>
      <c r="I439" s="8" t="s">
        <v>151</v>
      </c>
      <c r="J439" s="8" t="s">
        <v>31</v>
      </c>
      <c r="K439" s="12">
        <f>_xlfn.XLOOKUP(B439,[1]Sheet1!$B:$B,[1]Sheet1!$N:$N,0)</f>
        <v>0</v>
      </c>
      <c r="L439" s="12">
        <f>_xlfn.XLOOKUP(B439,[1]Sheet1!$B:$B,[1]Sheet1!$O:$O,0)</f>
        <v>0</v>
      </c>
      <c r="M439" s="12">
        <f>_xlfn.XLOOKUP(B439,[1]Sheet1!$B:$B,[1]Sheet1!$P:$P,0)</f>
        <v>0</v>
      </c>
      <c r="N439" s="12">
        <f>_xlfn.XLOOKUP(B439,[1]Sheet1!$B:$B,[1]Sheet1!$Q:$Q,0)</f>
        <v>0</v>
      </c>
      <c r="O439" s="12">
        <f>_xlfn.XLOOKUP(B439,[1]Sheet1!$B:$B,[1]Sheet1!$R:$R,0)</f>
        <v>0</v>
      </c>
      <c r="P439" s="12">
        <f>_xlfn.XLOOKUP(B439,[1]Sheet1!$B:$B,[1]Sheet1!$S:$S,0)</f>
        <v>208333.33333333334</v>
      </c>
      <c r="Q439" s="12">
        <f>_xlfn.XLOOKUP(B439,[1]Sheet1!$B:$B,[1]Sheet1!$T:$T,0)</f>
        <v>208333.33333333334</v>
      </c>
      <c r="R439" s="12">
        <f>_xlfn.XLOOKUP(B439,[1]Sheet1!$B:$B,[1]Sheet1!$U:$U,0)</f>
        <v>208333.33333333334</v>
      </c>
      <c r="S439" s="12">
        <f>_xlfn.XLOOKUP(B439,[1]Sheet1!$B:$B,[1]Sheet1!$V:$V,0)</f>
        <v>208333.33333333334</v>
      </c>
      <c r="T439" s="12">
        <f>_xlfn.XLOOKUP(B439,[1]Sheet1!$B:$B,[1]Sheet1!$W:$W,0)</f>
        <v>208333.33333333334</v>
      </c>
      <c r="U439" s="12">
        <f>_xlfn.XLOOKUP(B439,[1]Sheet1!$B:$B,[1]Sheet1!$X:$X,0)</f>
        <v>208333.33333333334</v>
      </c>
      <c r="V439" s="12">
        <f>_xlfn.XLOOKUP(B439,[1]Sheet1!$B:$B,[1]Sheet1!$Y:$Y,0)</f>
        <v>1250000</v>
      </c>
      <c r="W439" s="12">
        <f t="shared" si="15"/>
        <v>2500000</v>
      </c>
      <c r="X439" s="8" t="s">
        <v>710</v>
      </c>
      <c r="Y439" s="8" t="s">
        <v>65</v>
      </c>
      <c r="Z439" s="8" t="s">
        <v>153</v>
      </c>
      <c r="AA439" s="8" t="s">
        <v>151</v>
      </c>
      <c r="AB439" s="8" t="s">
        <v>36</v>
      </c>
      <c r="AC439" s="8" t="s">
        <v>37</v>
      </c>
      <c r="AD439" s="8" t="s">
        <v>708</v>
      </c>
      <c r="AE439" s="8" t="s">
        <v>39</v>
      </c>
      <c r="AF439" s="8" t="s">
        <v>40</v>
      </c>
      <c r="AG439" s="9">
        <v>3300000</v>
      </c>
      <c r="AH439" s="11">
        <f>_xlfn.XLOOKUP(B439,[1]Sheet1!$B:$B,[1]Sheet1!$AB:$AB,0)</f>
        <v>3300000</v>
      </c>
    </row>
    <row r="440" spans="2:34" ht="16.8" thickTop="1" thickBot="1" x14ac:dyDescent="0.35">
      <c r="B440" s="3" t="str">
        <f t="shared" si="14"/>
        <v>45115504511000540Freelancers-N424521200104</v>
      </c>
      <c r="C440" s="6" t="s">
        <v>154</v>
      </c>
      <c r="D440" s="6" t="s">
        <v>705</v>
      </c>
      <c r="E440" s="6" t="s">
        <v>706</v>
      </c>
      <c r="F440" s="6" t="s">
        <v>50</v>
      </c>
      <c r="G440" s="4" t="s">
        <v>2804</v>
      </c>
      <c r="H440" s="4" t="s">
        <v>2922</v>
      </c>
      <c r="I440" s="6" t="s">
        <v>51</v>
      </c>
      <c r="J440" s="6" t="s">
        <v>31</v>
      </c>
      <c r="K440" s="12">
        <f>_xlfn.XLOOKUP(B440,[1]Sheet1!$B:$B,[1]Sheet1!$N:$N,0)</f>
        <v>0</v>
      </c>
      <c r="L440" s="12">
        <f>_xlfn.XLOOKUP(B440,[1]Sheet1!$B:$B,[1]Sheet1!$O:$O,0)</f>
        <v>0</v>
      </c>
      <c r="M440" s="12">
        <f>_xlfn.XLOOKUP(B440,[1]Sheet1!$B:$B,[1]Sheet1!$P:$P,0)</f>
        <v>440333.33</v>
      </c>
      <c r="N440" s="12">
        <f>_xlfn.XLOOKUP(B440,[1]Sheet1!$B:$B,[1]Sheet1!$Q:$Q,0)</f>
        <v>7022.1699999999837</v>
      </c>
      <c r="O440" s="12">
        <f>_xlfn.XLOOKUP(B440,[1]Sheet1!$B:$B,[1]Sheet1!$R:$R,0)</f>
        <v>223677.75</v>
      </c>
      <c r="P440" s="12">
        <f>_xlfn.XLOOKUP(B440,[1]Sheet1!$B:$B,[1]Sheet1!$S:$S,0)</f>
        <v>223677.75</v>
      </c>
      <c r="Q440" s="12">
        <f>_xlfn.XLOOKUP(B440,[1]Sheet1!$B:$B,[1]Sheet1!$T:$T,0)</f>
        <v>223677.75</v>
      </c>
      <c r="R440" s="12">
        <f>_xlfn.XLOOKUP(B440,[1]Sheet1!$B:$B,[1]Sheet1!$U:$U,0)</f>
        <v>223677.75</v>
      </c>
      <c r="S440" s="12">
        <f>_xlfn.XLOOKUP(B440,[1]Sheet1!$B:$B,[1]Sheet1!$V:$V,0)</f>
        <v>223677.75</v>
      </c>
      <c r="T440" s="12">
        <f>_xlfn.XLOOKUP(B440,[1]Sheet1!$B:$B,[1]Sheet1!$W:$W,0)</f>
        <v>223677.75</v>
      </c>
      <c r="U440" s="12">
        <f>_xlfn.XLOOKUP(B440,[1]Sheet1!$B:$B,[1]Sheet1!$X:$X,0)</f>
        <v>447356</v>
      </c>
      <c r="V440" s="12">
        <f>_xlfn.XLOOKUP(B440,[1]Sheet1!$B:$B,[1]Sheet1!$Y:$Y,0)</f>
        <v>447355.5</v>
      </c>
      <c r="W440" s="12">
        <f t="shared" si="15"/>
        <v>2684133.5</v>
      </c>
      <c r="X440" s="6" t="s">
        <v>711</v>
      </c>
      <c r="Y440" s="6" t="s">
        <v>65</v>
      </c>
      <c r="Z440" s="6" t="s">
        <v>153</v>
      </c>
      <c r="AA440" s="6" t="s">
        <v>53</v>
      </c>
      <c r="AB440" s="6" t="s">
        <v>36</v>
      </c>
      <c r="AC440" s="6" t="s">
        <v>37</v>
      </c>
      <c r="AD440" s="6" t="s">
        <v>708</v>
      </c>
      <c r="AE440" s="6" t="s">
        <v>39</v>
      </c>
      <c r="AF440" s="6" t="s">
        <v>40</v>
      </c>
      <c r="AG440" s="7">
        <v>2684133</v>
      </c>
      <c r="AH440" s="11">
        <f>_xlfn.XLOOKUP(B440,[1]Sheet1!$B:$B,[1]Sheet1!$AB:$AB,0)</f>
        <v>2684133.5</v>
      </c>
    </row>
    <row r="441" spans="2:34" ht="16.8" thickTop="1" thickBot="1" x14ac:dyDescent="0.35">
      <c r="B441" s="3" t="str">
        <f t="shared" si="14"/>
        <v>45115504511000540Hospitality -N424761200104</v>
      </c>
      <c r="C441" s="8" t="s">
        <v>154</v>
      </c>
      <c r="D441" s="8" t="s">
        <v>705</v>
      </c>
      <c r="E441" s="8" t="s">
        <v>706</v>
      </c>
      <c r="F441" s="8" t="s">
        <v>712</v>
      </c>
      <c r="G441" s="4" t="s">
        <v>2811</v>
      </c>
      <c r="H441" s="4" t="s">
        <v>2922</v>
      </c>
      <c r="I441" s="8" t="s">
        <v>84</v>
      </c>
      <c r="J441" s="8" t="s">
        <v>31</v>
      </c>
      <c r="K441" s="12">
        <f>_xlfn.XLOOKUP(B441,[1]Sheet1!$B:$B,[1]Sheet1!$N:$N,0)</f>
        <v>0</v>
      </c>
      <c r="L441" s="12">
        <f>_xlfn.XLOOKUP(B441,[1]Sheet1!$B:$B,[1]Sheet1!$O:$O,0)</f>
        <v>0</v>
      </c>
      <c r="M441" s="12">
        <f>_xlfn.XLOOKUP(B441,[1]Sheet1!$B:$B,[1]Sheet1!$P:$P,0)</f>
        <v>0</v>
      </c>
      <c r="N441" s="12">
        <f>_xlfn.XLOOKUP(B441,[1]Sheet1!$B:$B,[1]Sheet1!$Q:$Q,0)</f>
        <v>0</v>
      </c>
      <c r="O441" s="12">
        <f>_xlfn.XLOOKUP(B441,[1]Sheet1!$B:$B,[1]Sheet1!$R:$R,0)</f>
        <v>0</v>
      </c>
      <c r="P441" s="12">
        <f>_xlfn.XLOOKUP(B441,[1]Sheet1!$B:$B,[1]Sheet1!$S:$S,0)</f>
        <v>0</v>
      </c>
      <c r="Q441" s="12">
        <f>_xlfn.XLOOKUP(B441,[1]Sheet1!$B:$B,[1]Sheet1!$T:$T,0)</f>
        <v>0</v>
      </c>
      <c r="R441" s="12">
        <f>_xlfn.XLOOKUP(B441,[1]Sheet1!$B:$B,[1]Sheet1!$U:$U,0)</f>
        <v>0</v>
      </c>
      <c r="S441" s="12">
        <f>_xlfn.XLOOKUP(B441,[1]Sheet1!$B:$B,[1]Sheet1!$V:$V,0)</f>
        <v>0</v>
      </c>
      <c r="T441" s="12">
        <f>_xlfn.XLOOKUP(B441,[1]Sheet1!$B:$B,[1]Sheet1!$W:$W,0)</f>
        <v>0</v>
      </c>
      <c r="U441" s="12">
        <f>_xlfn.XLOOKUP(B441,[1]Sheet1!$B:$B,[1]Sheet1!$X:$X,0)</f>
        <v>0</v>
      </c>
      <c r="V441" s="12">
        <f>_xlfn.XLOOKUP(B441,[1]Sheet1!$B:$B,[1]Sheet1!$Y:$Y,0)</f>
        <v>0</v>
      </c>
      <c r="W441" s="12">
        <f t="shared" si="15"/>
        <v>0</v>
      </c>
      <c r="X441" s="8" t="s">
        <v>713</v>
      </c>
      <c r="Y441" s="8" t="s">
        <v>65</v>
      </c>
      <c r="Z441" s="8" t="s">
        <v>153</v>
      </c>
      <c r="AA441" s="8" t="s">
        <v>84</v>
      </c>
      <c r="AB441" s="8" t="s">
        <v>36</v>
      </c>
      <c r="AC441" s="8" t="s">
        <v>37</v>
      </c>
      <c r="AD441" s="8" t="s">
        <v>708</v>
      </c>
      <c r="AE441" s="8" t="s">
        <v>39</v>
      </c>
      <c r="AF441" s="8" t="s">
        <v>40</v>
      </c>
      <c r="AG441" s="9">
        <v>25000</v>
      </c>
      <c r="AH441" s="11">
        <f>_xlfn.XLOOKUP(B441,[1]Sheet1!$B:$B,[1]Sheet1!$AB:$AB,0)</f>
        <v>25000</v>
      </c>
    </row>
    <row r="442" spans="2:34" ht="16.8" thickTop="1" thickBot="1" x14ac:dyDescent="0.35">
      <c r="B442" s="3" t="str">
        <f t="shared" si="14"/>
        <v>45115504511000540Media Mgmnt &amp;Buy-N422511200104</v>
      </c>
      <c r="C442" s="6" t="s">
        <v>154</v>
      </c>
      <c r="D442" s="6" t="s">
        <v>705</v>
      </c>
      <c r="E442" s="6" t="s">
        <v>706</v>
      </c>
      <c r="F442" s="6" t="s">
        <v>166</v>
      </c>
      <c r="G442" s="4" t="s">
        <v>2819</v>
      </c>
      <c r="H442" s="4" t="s">
        <v>2922</v>
      </c>
      <c r="I442" s="6" t="s">
        <v>151</v>
      </c>
      <c r="J442" s="6" t="s">
        <v>31</v>
      </c>
      <c r="K442" s="12">
        <f>_xlfn.XLOOKUP(B442,[1]Sheet1!$B:$B,[1]Sheet1!$N:$N,0)</f>
        <v>0</v>
      </c>
      <c r="L442" s="12">
        <f>_xlfn.XLOOKUP(B442,[1]Sheet1!$B:$B,[1]Sheet1!$O:$O,0)</f>
        <v>0</v>
      </c>
      <c r="M442" s="12">
        <f>_xlfn.XLOOKUP(B442,[1]Sheet1!$B:$B,[1]Sheet1!$P:$P,0)</f>
        <v>0</v>
      </c>
      <c r="N442" s="12">
        <f>_xlfn.XLOOKUP(B442,[1]Sheet1!$B:$B,[1]Sheet1!$Q:$Q,0)</f>
        <v>652885.22222222225</v>
      </c>
      <c r="O442" s="12">
        <f>_xlfn.XLOOKUP(B442,[1]Sheet1!$B:$B,[1]Sheet1!$R:$R,0)</f>
        <v>652885.22222222225</v>
      </c>
      <c r="P442" s="12">
        <f>_xlfn.XLOOKUP(B442,[1]Sheet1!$B:$B,[1]Sheet1!$S:$S,0)</f>
        <v>652885.22222222225</v>
      </c>
      <c r="Q442" s="12">
        <f>_xlfn.XLOOKUP(B442,[1]Sheet1!$B:$B,[1]Sheet1!$T:$T,0)</f>
        <v>652885.22222222225</v>
      </c>
      <c r="R442" s="12">
        <f>_xlfn.XLOOKUP(B442,[1]Sheet1!$B:$B,[1]Sheet1!$U:$U,0)</f>
        <v>652885.22222222225</v>
      </c>
      <c r="S442" s="12">
        <f>_xlfn.XLOOKUP(B442,[1]Sheet1!$B:$B,[1]Sheet1!$V:$V,0)</f>
        <v>652885.22222222225</v>
      </c>
      <c r="T442" s="12">
        <f>_xlfn.XLOOKUP(B442,[1]Sheet1!$B:$B,[1]Sheet1!$W:$W,0)</f>
        <v>652885.22222222225</v>
      </c>
      <c r="U442" s="12">
        <f>_xlfn.XLOOKUP(B442,[1]Sheet1!$B:$B,[1]Sheet1!$X:$X,0)</f>
        <v>2499999.9999999991</v>
      </c>
      <c r="V442" s="12">
        <f>_xlfn.XLOOKUP(B442,[1]Sheet1!$B:$B,[1]Sheet1!$Y:$Y,0)</f>
        <v>1305770</v>
      </c>
      <c r="W442" s="12">
        <f t="shared" si="15"/>
        <v>8375966.5555555541</v>
      </c>
      <c r="X442" s="6" t="s">
        <v>710</v>
      </c>
      <c r="Y442" s="6" t="s">
        <v>65</v>
      </c>
      <c r="Z442" s="6" t="s">
        <v>153</v>
      </c>
      <c r="AA442" s="6" t="s">
        <v>151</v>
      </c>
      <c r="AB442" s="6" t="s">
        <v>36</v>
      </c>
      <c r="AC442" s="6" t="s">
        <v>37</v>
      </c>
      <c r="AD442" s="6" t="s">
        <v>708</v>
      </c>
      <c r="AE442" s="6" t="s">
        <v>39</v>
      </c>
      <c r="AF442" s="6" t="s">
        <v>40</v>
      </c>
      <c r="AG442" s="7">
        <v>7325967</v>
      </c>
      <c r="AH442" s="11">
        <f>_xlfn.XLOOKUP(B442,[1]Sheet1!$B:$B,[1]Sheet1!$AB:$AB,0)</f>
        <v>7325966.5555555541</v>
      </c>
    </row>
    <row r="443" spans="2:34" ht="16.8" thickTop="1" thickBot="1" x14ac:dyDescent="0.35">
      <c r="B443" s="3" t="str">
        <f t="shared" si="14"/>
        <v>45115504511000540Mission &amp; Travel-N423821200104</v>
      </c>
      <c r="C443" s="8" t="s">
        <v>154</v>
      </c>
      <c r="D443" s="8" t="s">
        <v>705</v>
      </c>
      <c r="E443" s="8" t="s">
        <v>706</v>
      </c>
      <c r="F443" s="8" t="s">
        <v>54</v>
      </c>
      <c r="G443" s="4" t="s">
        <v>2805</v>
      </c>
      <c r="H443" s="4" t="s">
        <v>2922</v>
      </c>
      <c r="I443" s="8" t="s">
        <v>55</v>
      </c>
      <c r="J443" s="8" t="s">
        <v>31</v>
      </c>
      <c r="K443" s="12">
        <f>_xlfn.XLOOKUP(B443,[1]Sheet1!$B:$B,[1]Sheet1!$N:$N,0)</f>
        <v>0</v>
      </c>
      <c r="L443" s="12">
        <f>_xlfn.XLOOKUP(B443,[1]Sheet1!$B:$B,[1]Sheet1!$O:$O,0)</f>
        <v>0</v>
      </c>
      <c r="M443" s="12">
        <f>_xlfn.XLOOKUP(B443,[1]Sheet1!$B:$B,[1]Sheet1!$P:$P,0)</f>
        <v>0</v>
      </c>
      <c r="N443" s="12">
        <f>_xlfn.XLOOKUP(B443,[1]Sheet1!$B:$B,[1]Sheet1!$Q:$Q,0)</f>
        <v>0</v>
      </c>
      <c r="O443" s="12">
        <f>_xlfn.XLOOKUP(B443,[1]Sheet1!$B:$B,[1]Sheet1!$R:$R,0)</f>
        <v>50000</v>
      </c>
      <c r="P443" s="12">
        <f>_xlfn.XLOOKUP(B443,[1]Sheet1!$B:$B,[1]Sheet1!$S:$S,0)</f>
        <v>0</v>
      </c>
      <c r="Q443" s="12">
        <f>_xlfn.XLOOKUP(B443,[1]Sheet1!$B:$B,[1]Sheet1!$T:$T,0)</f>
        <v>0</v>
      </c>
      <c r="R443" s="12">
        <f>_xlfn.XLOOKUP(B443,[1]Sheet1!$B:$B,[1]Sheet1!$U:$U,0)</f>
        <v>0</v>
      </c>
      <c r="S443" s="12">
        <f>_xlfn.XLOOKUP(B443,[1]Sheet1!$B:$B,[1]Sheet1!$V:$V,0)</f>
        <v>0</v>
      </c>
      <c r="T443" s="12">
        <f>_xlfn.XLOOKUP(B443,[1]Sheet1!$B:$B,[1]Sheet1!$W:$W,0)</f>
        <v>50000</v>
      </c>
      <c r="U443" s="12">
        <f>_xlfn.XLOOKUP(B443,[1]Sheet1!$B:$B,[1]Sheet1!$X:$X,0)</f>
        <v>52800</v>
      </c>
      <c r="V443" s="12">
        <f>_xlfn.XLOOKUP(B443,[1]Sheet1!$B:$B,[1]Sheet1!$Y:$Y,0)</f>
        <v>0</v>
      </c>
      <c r="W443" s="12">
        <f t="shared" si="15"/>
        <v>152800</v>
      </c>
      <c r="X443" s="8" t="s">
        <v>714</v>
      </c>
      <c r="Y443" s="8" t="s">
        <v>65</v>
      </c>
      <c r="Z443" s="8" t="s">
        <v>153</v>
      </c>
      <c r="AA443" s="8" t="s">
        <v>55</v>
      </c>
      <c r="AB443" s="8" t="s">
        <v>36</v>
      </c>
      <c r="AC443" s="8" t="s">
        <v>37</v>
      </c>
      <c r="AD443" s="8" t="s">
        <v>708</v>
      </c>
      <c r="AE443" s="8" t="s">
        <v>39</v>
      </c>
      <c r="AF443" s="8" t="s">
        <v>40</v>
      </c>
      <c r="AG443" s="9">
        <v>152800</v>
      </c>
      <c r="AH443" s="11">
        <f>_xlfn.XLOOKUP(B443,[1]Sheet1!$B:$B,[1]Sheet1!$AB:$AB,0)</f>
        <v>152800</v>
      </c>
    </row>
    <row r="444" spans="2:34" ht="16.8" thickTop="1" thickBot="1" x14ac:dyDescent="0.35">
      <c r="B444" s="3" t="str">
        <f t="shared" si="14"/>
        <v>45115504511000540PR Mgmnt E-E-N424781200104</v>
      </c>
      <c r="C444" s="6" t="s">
        <v>154</v>
      </c>
      <c r="D444" s="6" t="s">
        <v>705</v>
      </c>
      <c r="E444" s="6" t="s">
        <v>706</v>
      </c>
      <c r="F444" s="6" t="s">
        <v>99</v>
      </c>
      <c r="G444" s="4" t="s">
        <v>2815</v>
      </c>
      <c r="H444" s="4" t="s">
        <v>2922</v>
      </c>
      <c r="I444" s="6" t="s">
        <v>100</v>
      </c>
      <c r="J444" s="6" t="s">
        <v>31</v>
      </c>
      <c r="K444" s="12">
        <f>_xlfn.XLOOKUP(B444,[1]Sheet1!$B:$B,[1]Sheet1!$N:$N,0)</f>
        <v>0</v>
      </c>
      <c r="L444" s="12">
        <f>_xlfn.XLOOKUP(B444,[1]Sheet1!$B:$B,[1]Sheet1!$O:$O,0)</f>
        <v>0</v>
      </c>
      <c r="M444" s="12">
        <f>_xlfn.XLOOKUP(B444,[1]Sheet1!$B:$B,[1]Sheet1!$P:$P,0)</f>
        <v>0</v>
      </c>
      <c r="N444" s="12">
        <f>_xlfn.XLOOKUP(B444,[1]Sheet1!$B:$B,[1]Sheet1!$Q:$Q,0)</f>
        <v>179400</v>
      </c>
      <c r="O444" s="12">
        <f>_xlfn.XLOOKUP(B444,[1]Sheet1!$B:$B,[1]Sheet1!$R:$R,0)</f>
        <v>179400</v>
      </c>
      <c r="P444" s="12">
        <f>_xlfn.XLOOKUP(B444,[1]Sheet1!$B:$B,[1]Sheet1!$S:$S,0)</f>
        <v>179400</v>
      </c>
      <c r="Q444" s="12">
        <f>_xlfn.XLOOKUP(B444,[1]Sheet1!$B:$B,[1]Sheet1!$T:$T,0)</f>
        <v>179400</v>
      </c>
      <c r="R444" s="12">
        <f>_xlfn.XLOOKUP(B444,[1]Sheet1!$B:$B,[1]Sheet1!$U:$U,0)</f>
        <v>179400</v>
      </c>
      <c r="S444" s="12">
        <f>_xlfn.XLOOKUP(B444,[1]Sheet1!$B:$B,[1]Sheet1!$V:$V,0)</f>
        <v>179400</v>
      </c>
      <c r="T444" s="12">
        <f>_xlfn.XLOOKUP(B444,[1]Sheet1!$B:$B,[1]Sheet1!$W:$W,0)</f>
        <v>179400</v>
      </c>
      <c r="U444" s="12">
        <f>_xlfn.XLOOKUP(B444,[1]Sheet1!$B:$B,[1]Sheet1!$X:$X,0)</f>
        <v>179400</v>
      </c>
      <c r="V444" s="12">
        <f>_xlfn.XLOOKUP(B444,[1]Sheet1!$B:$B,[1]Sheet1!$Y:$Y,0)</f>
        <v>799800</v>
      </c>
      <c r="W444" s="12">
        <f t="shared" si="15"/>
        <v>2235000</v>
      </c>
      <c r="X444" s="6" t="s">
        <v>715</v>
      </c>
      <c r="Y444" s="6" t="s">
        <v>65</v>
      </c>
      <c r="Z444" s="6" t="s">
        <v>153</v>
      </c>
      <c r="AA444" s="6" t="s">
        <v>100</v>
      </c>
      <c r="AB444" s="6" t="s">
        <v>36</v>
      </c>
      <c r="AC444" s="6" t="s">
        <v>37</v>
      </c>
      <c r="AD444" s="6" t="s">
        <v>708</v>
      </c>
      <c r="AE444" s="6" t="s">
        <v>39</v>
      </c>
      <c r="AF444" s="6" t="s">
        <v>40</v>
      </c>
      <c r="AG444" s="7">
        <v>2235000</v>
      </c>
      <c r="AH444" s="11">
        <f>_xlfn.XLOOKUP(B444,[1]Sheet1!$B:$B,[1]Sheet1!$AB:$AB,0)</f>
        <v>2235000</v>
      </c>
    </row>
    <row r="445" spans="2:34" ht="16.8" thickTop="1" thickBot="1" x14ac:dyDescent="0.35">
      <c r="B445" s="3" t="str">
        <f t="shared" si="14"/>
        <v>45131204511000541PRMgmnt E-E Rtnr-N421125200104</v>
      </c>
      <c r="C445" s="8" t="s">
        <v>564</v>
      </c>
      <c r="D445" s="8" t="s">
        <v>716</v>
      </c>
      <c r="E445" s="8" t="s">
        <v>717</v>
      </c>
      <c r="F445" s="8" t="s">
        <v>566</v>
      </c>
      <c r="G445" s="4" t="s">
        <v>2803</v>
      </c>
      <c r="H445" s="4" t="s">
        <v>2922</v>
      </c>
      <c r="I445" s="8" t="s">
        <v>44</v>
      </c>
      <c r="J445" s="8" t="s">
        <v>31</v>
      </c>
      <c r="K445" s="12">
        <f>_xlfn.XLOOKUP(B445,[1]Sheet1!$B:$B,[1]Sheet1!$N:$N,0)</f>
        <v>0</v>
      </c>
      <c r="L445" s="12">
        <f>_xlfn.XLOOKUP(B445,[1]Sheet1!$B:$B,[1]Sheet1!$O:$O,0)</f>
        <v>0</v>
      </c>
      <c r="M445" s="12">
        <f>_xlfn.XLOOKUP(B445,[1]Sheet1!$B:$B,[1]Sheet1!$P:$P,0)</f>
        <v>0</v>
      </c>
      <c r="N445" s="12">
        <f>_xlfn.XLOOKUP(B445,[1]Sheet1!$B:$B,[1]Sheet1!$Q:$Q,0)</f>
        <v>1204444.45</v>
      </c>
      <c r="O445" s="12">
        <f>_xlfn.XLOOKUP(B445,[1]Sheet1!$B:$B,[1]Sheet1!$R:$R,0)</f>
        <v>724444.45</v>
      </c>
      <c r="P445" s="12">
        <f>_xlfn.XLOOKUP(B445,[1]Sheet1!$B:$B,[1]Sheet1!$S:$S,0)</f>
        <v>724444.45</v>
      </c>
      <c r="Q445" s="12">
        <f>_xlfn.XLOOKUP(B445,[1]Sheet1!$B:$B,[1]Sheet1!$T:$T,0)</f>
        <v>724444.45</v>
      </c>
      <c r="R445" s="12">
        <f>_xlfn.XLOOKUP(B445,[1]Sheet1!$B:$B,[1]Sheet1!$U:$U,0)</f>
        <v>724444.45</v>
      </c>
      <c r="S445" s="12">
        <f>_xlfn.XLOOKUP(B445,[1]Sheet1!$B:$B,[1]Sheet1!$V:$V,0)</f>
        <v>724444.45</v>
      </c>
      <c r="T445" s="12">
        <f>_xlfn.XLOOKUP(B445,[1]Sheet1!$B:$B,[1]Sheet1!$W:$W,0)</f>
        <v>724444.45</v>
      </c>
      <c r="U445" s="12">
        <f>_xlfn.XLOOKUP(B445,[1]Sheet1!$B:$B,[1]Sheet1!$X:$X,0)</f>
        <v>724444.45</v>
      </c>
      <c r="V445" s="12">
        <f>_xlfn.XLOOKUP(B445,[1]Sheet1!$B:$B,[1]Sheet1!$Y:$Y,0)</f>
        <v>724444.45</v>
      </c>
      <c r="W445" s="12">
        <f t="shared" si="15"/>
        <v>7000000.0500000007</v>
      </c>
      <c r="X445" s="8" t="s">
        <v>567</v>
      </c>
      <c r="Y445" s="8" t="s">
        <v>319</v>
      </c>
      <c r="Z445" s="8" t="s">
        <v>563</v>
      </c>
      <c r="AA445" s="8" t="s">
        <v>44</v>
      </c>
      <c r="AB445" s="8" t="s">
        <v>36</v>
      </c>
      <c r="AC445" s="8" t="s">
        <v>37</v>
      </c>
      <c r="AD445" s="8" t="s">
        <v>322</v>
      </c>
      <c r="AE445" s="8" t="s">
        <v>39</v>
      </c>
      <c r="AF445" s="8" t="s">
        <v>40</v>
      </c>
      <c r="AG445" s="9">
        <v>7000000</v>
      </c>
      <c r="AH445" s="11">
        <f>_xlfn.XLOOKUP(B445,[1]Sheet1!$B:$B,[1]Sheet1!$AB:$AB,0)</f>
        <v>7000000.0500000007</v>
      </c>
    </row>
    <row r="446" spans="2:34" ht="16.8" thickTop="1" thickBot="1" x14ac:dyDescent="0.35">
      <c r="B446" s="3" t="str">
        <f t="shared" si="14"/>
        <v>45123004511000542Licenses Fees-N424131200104</v>
      </c>
      <c r="C446" s="6" t="s">
        <v>723</v>
      </c>
      <c r="D446" s="6" t="s">
        <v>718</v>
      </c>
      <c r="E446" s="6" t="s">
        <v>719</v>
      </c>
      <c r="F446" s="6" t="s">
        <v>365</v>
      </c>
      <c r="G446" s="4" t="s">
        <v>2835</v>
      </c>
      <c r="H446" s="4" t="s">
        <v>2922</v>
      </c>
      <c r="I446" s="6" t="s">
        <v>366</v>
      </c>
      <c r="J446" s="6" t="s">
        <v>31</v>
      </c>
      <c r="K446" s="12">
        <f>_xlfn.XLOOKUP(B446,[1]Sheet1!$B:$B,[1]Sheet1!$N:$N,0)</f>
        <v>0</v>
      </c>
      <c r="L446" s="12">
        <f>_xlfn.XLOOKUP(B446,[1]Sheet1!$B:$B,[1]Sheet1!$O:$O,0)</f>
        <v>0</v>
      </c>
      <c r="M446" s="12">
        <f>_xlfn.XLOOKUP(B446,[1]Sheet1!$B:$B,[1]Sheet1!$P:$P,0)</f>
        <v>0</v>
      </c>
      <c r="N446" s="12">
        <f>_xlfn.XLOOKUP(B446,[1]Sheet1!$B:$B,[1]Sheet1!$Q:$Q,0)</f>
        <v>0</v>
      </c>
      <c r="O446" s="12">
        <f>_xlfn.XLOOKUP(B446,[1]Sheet1!$B:$B,[1]Sheet1!$R:$R,0)</f>
        <v>0</v>
      </c>
      <c r="P446" s="12">
        <f>_xlfn.XLOOKUP(B446,[1]Sheet1!$B:$B,[1]Sheet1!$S:$S,0)</f>
        <v>100000</v>
      </c>
      <c r="Q446" s="12">
        <f>_xlfn.XLOOKUP(B446,[1]Sheet1!$B:$B,[1]Sheet1!$T:$T,0)</f>
        <v>0</v>
      </c>
      <c r="R446" s="12">
        <f>_xlfn.XLOOKUP(B446,[1]Sheet1!$B:$B,[1]Sheet1!$U:$U,0)</f>
        <v>105000</v>
      </c>
      <c r="S446" s="12">
        <f>_xlfn.XLOOKUP(B446,[1]Sheet1!$B:$B,[1]Sheet1!$V:$V,0)</f>
        <v>0</v>
      </c>
      <c r="T446" s="12">
        <f>_xlfn.XLOOKUP(B446,[1]Sheet1!$B:$B,[1]Sheet1!$W:$W,0)</f>
        <v>0</v>
      </c>
      <c r="U446" s="12">
        <f>_xlfn.XLOOKUP(B446,[1]Sheet1!$B:$B,[1]Sheet1!$X:$X,0)</f>
        <v>110000</v>
      </c>
      <c r="V446" s="12">
        <f>_xlfn.XLOOKUP(B446,[1]Sheet1!$B:$B,[1]Sheet1!$Y:$Y,0)</f>
        <v>0</v>
      </c>
      <c r="W446" s="12">
        <f t="shared" si="15"/>
        <v>315000</v>
      </c>
      <c r="X446" s="6" t="s">
        <v>720</v>
      </c>
      <c r="Y446" s="6" t="s">
        <v>721</v>
      </c>
      <c r="Z446" s="6" t="s">
        <v>722</v>
      </c>
      <c r="AA446" s="6" t="s">
        <v>366</v>
      </c>
      <c r="AB446" s="6" t="s">
        <v>36</v>
      </c>
      <c r="AC446" s="6" t="s">
        <v>37</v>
      </c>
      <c r="AD446" s="6" t="s">
        <v>724</v>
      </c>
      <c r="AE446" s="6" t="s">
        <v>39</v>
      </c>
      <c r="AF446" s="6" t="s">
        <v>40</v>
      </c>
      <c r="AG446" s="7">
        <v>315000</v>
      </c>
      <c r="AH446" s="11">
        <f>_xlfn.XLOOKUP(B446,[1]Sheet1!$B:$B,[1]Sheet1!$AB:$AB,0)</f>
        <v>315000</v>
      </c>
    </row>
    <row r="447" spans="2:34" ht="16.8" thickTop="1" thickBot="1" x14ac:dyDescent="0.35">
      <c r="B447" s="3" t="str">
        <f t="shared" si="14"/>
        <v>45123004511000542ManagementAdvice-N1424521200104</v>
      </c>
      <c r="C447" s="8" t="s">
        <v>723</v>
      </c>
      <c r="D447" s="8" t="s">
        <v>718</v>
      </c>
      <c r="E447" s="8" t="s">
        <v>719</v>
      </c>
      <c r="F447" s="8" t="s">
        <v>725</v>
      </c>
      <c r="G447" s="4" t="s">
        <v>2804</v>
      </c>
      <c r="H447" s="4" t="s">
        <v>2922</v>
      </c>
      <c r="I447" s="8" t="s">
        <v>51</v>
      </c>
      <c r="J447" s="8" t="s">
        <v>31</v>
      </c>
      <c r="K447" s="12">
        <f>_xlfn.XLOOKUP(B447,[1]Sheet1!$B:$B,[1]Sheet1!$N:$N,0)</f>
        <v>0</v>
      </c>
      <c r="L447" s="12">
        <f>_xlfn.XLOOKUP(B447,[1]Sheet1!$B:$B,[1]Sheet1!$O:$O,0)</f>
        <v>0</v>
      </c>
      <c r="M447" s="12">
        <f>_xlfn.XLOOKUP(B447,[1]Sheet1!$B:$B,[1]Sheet1!$P:$P,0)</f>
        <v>0</v>
      </c>
      <c r="N447" s="12">
        <f>_xlfn.XLOOKUP(B447,[1]Sheet1!$B:$B,[1]Sheet1!$Q:$Q,0)</f>
        <v>0</v>
      </c>
      <c r="O447" s="12">
        <f>_xlfn.XLOOKUP(B447,[1]Sheet1!$B:$B,[1]Sheet1!$R:$R,0)</f>
        <v>0</v>
      </c>
      <c r="P447" s="12">
        <f>_xlfn.XLOOKUP(B447,[1]Sheet1!$B:$B,[1]Sheet1!$S:$S,0)</f>
        <v>0</v>
      </c>
      <c r="Q447" s="12">
        <f>_xlfn.XLOOKUP(B447,[1]Sheet1!$B:$B,[1]Sheet1!$T:$T,0)</f>
        <v>530000</v>
      </c>
      <c r="R447" s="12">
        <f>_xlfn.XLOOKUP(B447,[1]Sheet1!$B:$B,[1]Sheet1!$U:$U,0)</f>
        <v>0</v>
      </c>
      <c r="S447" s="12">
        <f>_xlfn.XLOOKUP(B447,[1]Sheet1!$B:$B,[1]Sheet1!$V:$V,0)</f>
        <v>770000</v>
      </c>
      <c r="T447" s="12">
        <f>_xlfn.XLOOKUP(B447,[1]Sheet1!$B:$B,[1]Sheet1!$W:$W,0)</f>
        <v>0</v>
      </c>
      <c r="U447" s="12">
        <f>_xlfn.XLOOKUP(B447,[1]Sheet1!$B:$B,[1]Sheet1!$X:$X,0)</f>
        <v>800000</v>
      </c>
      <c r="V447" s="12">
        <f>_xlfn.XLOOKUP(B447,[1]Sheet1!$B:$B,[1]Sheet1!$Y:$Y,0)</f>
        <v>0</v>
      </c>
      <c r="W447" s="12">
        <f t="shared" si="15"/>
        <v>2100000</v>
      </c>
      <c r="X447" s="8" t="s">
        <v>726</v>
      </c>
      <c r="Y447" s="8" t="s">
        <v>721</v>
      </c>
      <c r="Z447" s="8" t="s">
        <v>722</v>
      </c>
      <c r="AA447" s="8" t="s">
        <v>53</v>
      </c>
      <c r="AB447" s="8" t="s">
        <v>36</v>
      </c>
      <c r="AC447" s="8" t="s">
        <v>37</v>
      </c>
      <c r="AD447" s="8" t="s">
        <v>724</v>
      </c>
      <c r="AE447" s="8" t="s">
        <v>39</v>
      </c>
      <c r="AF447" s="8" t="s">
        <v>40</v>
      </c>
      <c r="AG447" s="9">
        <v>2099999.6</v>
      </c>
      <c r="AH447" s="11">
        <f>_xlfn.XLOOKUP(B447,[1]Sheet1!$B:$B,[1]Sheet1!$AB:$AB,0)</f>
        <v>2100000</v>
      </c>
    </row>
    <row r="448" spans="2:34" ht="16.8" thickTop="1" thickBot="1" x14ac:dyDescent="0.35">
      <c r="B448" s="3" t="str">
        <f t="shared" si="14"/>
        <v>45122004511000547Licenses Fees-N424131200104</v>
      </c>
      <c r="C448" s="6" t="s">
        <v>731</v>
      </c>
      <c r="D448" s="6" t="s">
        <v>727</v>
      </c>
      <c r="E448" s="6" t="s">
        <v>728</v>
      </c>
      <c r="F448" s="6" t="s">
        <v>365</v>
      </c>
      <c r="G448" s="4" t="s">
        <v>2835</v>
      </c>
      <c r="H448" s="4" t="s">
        <v>2922</v>
      </c>
      <c r="I448" s="6" t="s">
        <v>366</v>
      </c>
      <c r="J448" s="6" t="s">
        <v>31</v>
      </c>
      <c r="K448" s="12">
        <f>_xlfn.XLOOKUP(B448,[1]Sheet1!$B:$B,[1]Sheet1!$N:$N,0)</f>
        <v>0</v>
      </c>
      <c r="L448" s="12">
        <f>_xlfn.XLOOKUP(B448,[1]Sheet1!$B:$B,[1]Sheet1!$O:$O,0)</f>
        <v>0</v>
      </c>
      <c r="M448" s="12">
        <f>_xlfn.XLOOKUP(B448,[1]Sheet1!$B:$B,[1]Sheet1!$P:$P,0)</f>
        <v>0</v>
      </c>
      <c r="N448" s="12">
        <f>_xlfn.XLOOKUP(B448,[1]Sheet1!$B:$B,[1]Sheet1!$Q:$Q,0)</f>
        <v>256900</v>
      </c>
      <c r="O448" s="12">
        <f>_xlfn.XLOOKUP(B448,[1]Sheet1!$B:$B,[1]Sheet1!$R:$R,0)</f>
        <v>207864</v>
      </c>
      <c r="P448" s="12">
        <f>_xlfn.XLOOKUP(B448,[1]Sheet1!$B:$B,[1]Sheet1!$S:$S,0)</f>
        <v>526964</v>
      </c>
      <c r="Q448" s="12">
        <f>_xlfn.XLOOKUP(B448,[1]Sheet1!$B:$B,[1]Sheet1!$T:$T,0)</f>
        <v>203875</v>
      </c>
      <c r="R448" s="12">
        <f>_xlfn.XLOOKUP(B448,[1]Sheet1!$B:$B,[1]Sheet1!$U:$U,0)</f>
        <v>64225</v>
      </c>
      <c r="S448" s="12">
        <f>_xlfn.XLOOKUP(B448,[1]Sheet1!$B:$B,[1]Sheet1!$V:$V,0)</f>
        <v>434682</v>
      </c>
      <c r="T448" s="12">
        <f>_xlfn.XLOOKUP(B448,[1]Sheet1!$B:$B,[1]Sheet1!$W:$W,0)</f>
        <v>276742</v>
      </c>
      <c r="U448" s="12">
        <f>_xlfn.XLOOKUP(B448,[1]Sheet1!$B:$B,[1]Sheet1!$X:$X,0)</f>
        <v>411229</v>
      </c>
      <c r="V448" s="12">
        <f>_xlfn.XLOOKUP(B448,[1]Sheet1!$B:$B,[1]Sheet1!$Y:$Y,0)</f>
        <v>1094394</v>
      </c>
      <c r="W448" s="12">
        <f t="shared" si="15"/>
        <v>3476875</v>
      </c>
      <c r="X448" s="6" t="s">
        <v>729</v>
      </c>
      <c r="Y448" s="6" t="s">
        <v>721</v>
      </c>
      <c r="Z448" s="6" t="s">
        <v>730</v>
      </c>
      <c r="AA448" s="6" t="s">
        <v>366</v>
      </c>
      <c r="AB448" s="6" t="s">
        <v>36</v>
      </c>
      <c r="AC448" s="6" t="s">
        <v>37</v>
      </c>
      <c r="AD448" s="6" t="s">
        <v>732</v>
      </c>
      <c r="AE448" s="6" t="s">
        <v>39</v>
      </c>
      <c r="AF448" s="6" t="s">
        <v>40</v>
      </c>
      <c r="AG448" s="7">
        <v>3476875</v>
      </c>
      <c r="AH448" s="11">
        <f>_xlfn.XLOOKUP(B448,[1]Sheet1!$B:$B,[1]Sheet1!$AB:$AB,0)</f>
        <v>3476875</v>
      </c>
    </row>
    <row r="449" spans="2:34" ht="16.8" thickTop="1" thickBot="1" x14ac:dyDescent="0.35">
      <c r="B449" s="3" t="str">
        <f t="shared" si="14"/>
        <v>45122004511000547Research&amp;Survey-N423411200104</v>
      </c>
      <c r="C449" s="8" t="s">
        <v>731</v>
      </c>
      <c r="D449" s="8" t="s">
        <v>727</v>
      </c>
      <c r="E449" s="8" t="s">
        <v>728</v>
      </c>
      <c r="F449" s="8" t="s">
        <v>381</v>
      </c>
      <c r="G449" s="4" t="s">
        <v>2833</v>
      </c>
      <c r="H449" s="4" t="s">
        <v>2922</v>
      </c>
      <c r="I449" s="8" t="s">
        <v>330</v>
      </c>
      <c r="J449" s="8" t="s">
        <v>31</v>
      </c>
      <c r="K449" s="12">
        <f>_xlfn.XLOOKUP(B449,[1]Sheet1!$B:$B,[1]Sheet1!$N:$N,0)</f>
        <v>0</v>
      </c>
      <c r="L449" s="12">
        <f>_xlfn.XLOOKUP(B449,[1]Sheet1!$B:$B,[1]Sheet1!$O:$O,0)</f>
        <v>0</v>
      </c>
      <c r="M449" s="12">
        <f>_xlfn.XLOOKUP(B449,[1]Sheet1!$B:$B,[1]Sheet1!$P:$P,0)</f>
        <v>0</v>
      </c>
      <c r="N449" s="12">
        <f>_xlfn.XLOOKUP(B449,[1]Sheet1!$B:$B,[1]Sheet1!$Q:$Q,0)</f>
        <v>868500</v>
      </c>
      <c r="O449" s="12">
        <f>_xlfn.XLOOKUP(B449,[1]Sheet1!$B:$B,[1]Sheet1!$R:$R,0)</f>
        <v>1085645</v>
      </c>
      <c r="P449" s="12">
        <f>_xlfn.XLOOKUP(B449,[1]Sheet1!$B:$B,[1]Sheet1!$S:$S,0)</f>
        <v>0</v>
      </c>
      <c r="Q449" s="12">
        <f>_xlfn.XLOOKUP(B449,[1]Sheet1!$B:$B,[1]Sheet1!$T:$T,0)</f>
        <v>868500</v>
      </c>
      <c r="R449" s="12">
        <f>_xlfn.XLOOKUP(B449,[1]Sheet1!$B:$B,[1]Sheet1!$U:$U,0)</f>
        <v>0</v>
      </c>
      <c r="S449" s="12">
        <f>_xlfn.XLOOKUP(B449,[1]Sheet1!$B:$B,[1]Sheet1!$V:$V,0)</f>
        <v>0</v>
      </c>
      <c r="T449" s="12">
        <f>_xlfn.XLOOKUP(B449,[1]Sheet1!$B:$B,[1]Sheet1!$W:$W,0)</f>
        <v>1085645</v>
      </c>
      <c r="U449" s="12">
        <f>_xlfn.XLOOKUP(B449,[1]Sheet1!$B:$B,[1]Sheet1!$X:$X,0)</f>
        <v>0</v>
      </c>
      <c r="V449" s="12">
        <f>_xlfn.XLOOKUP(B449,[1]Sheet1!$B:$B,[1]Sheet1!$Y:$Y,0)</f>
        <v>1737000</v>
      </c>
      <c r="W449" s="12">
        <f t="shared" si="15"/>
        <v>5645290</v>
      </c>
      <c r="X449" s="8" t="s">
        <v>733</v>
      </c>
      <c r="Y449" s="8" t="s">
        <v>721</v>
      </c>
      <c r="Z449" s="8" t="s">
        <v>730</v>
      </c>
      <c r="AA449" s="8" t="s">
        <v>330</v>
      </c>
      <c r="AB449" s="8" t="s">
        <v>36</v>
      </c>
      <c r="AC449" s="8" t="s">
        <v>37</v>
      </c>
      <c r="AD449" s="8" t="s">
        <v>732</v>
      </c>
      <c r="AE449" s="8" t="s">
        <v>39</v>
      </c>
      <c r="AF449" s="8" t="s">
        <v>40</v>
      </c>
      <c r="AG449" s="9">
        <v>6555780</v>
      </c>
      <c r="AH449" s="11">
        <f>_xlfn.XLOOKUP(B449,[1]Sheet1!$B:$B,[1]Sheet1!$AB:$AB,0)</f>
        <v>6555780</v>
      </c>
    </row>
    <row r="450" spans="2:34" ht="16.8" thickTop="1" thickBot="1" x14ac:dyDescent="0.35">
      <c r="B450" s="3" t="str">
        <f t="shared" si="14"/>
        <v>45121004511000549Freelancers-N424521200104</v>
      </c>
      <c r="C450" s="6" t="s">
        <v>738</v>
      </c>
      <c r="D450" s="6" t="s">
        <v>734</v>
      </c>
      <c r="E450" s="6" t="s">
        <v>735</v>
      </c>
      <c r="F450" s="6" t="s">
        <v>50</v>
      </c>
      <c r="G450" s="4" t="s">
        <v>2804</v>
      </c>
      <c r="H450" s="4" t="s">
        <v>2922</v>
      </c>
      <c r="I450" s="6" t="s">
        <v>51</v>
      </c>
      <c r="J450" s="6" t="s">
        <v>31</v>
      </c>
      <c r="K450" s="12">
        <f>_xlfn.XLOOKUP(B450,[1]Sheet1!$B:$B,[1]Sheet1!$N:$N,0)</f>
        <v>452500</v>
      </c>
      <c r="L450" s="12">
        <f>_xlfn.XLOOKUP(B450,[1]Sheet1!$B:$B,[1]Sheet1!$O:$O,0)</f>
        <v>551666</v>
      </c>
      <c r="M450" s="12">
        <f>_xlfn.XLOOKUP(B450,[1]Sheet1!$B:$B,[1]Sheet1!$P:$P,0)</f>
        <v>1002291</v>
      </c>
      <c r="N450" s="12">
        <f>_xlfn.XLOOKUP(B450,[1]Sheet1!$B:$B,[1]Sheet1!$Q:$Q,0)</f>
        <v>565292</v>
      </c>
      <c r="O450" s="12">
        <f>_xlfn.XLOOKUP(B450,[1]Sheet1!$B:$B,[1]Sheet1!$R:$R,0)</f>
        <v>834250</v>
      </c>
      <c r="P450" s="12">
        <f>_xlfn.XLOOKUP(B450,[1]Sheet1!$B:$B,[1]Sheet1!$S:$S,0)</f>
        <v>834250</v>
      </c>
      <c r="Q450" s="12">
        <f>_xlfn.XLOOKUP(B450,[1]Sheet1!$B:$B,[1]Sheet1!$T:$T,0)</f>
        <v>884250</v>
      </c>
      <c r="R450" s="12">
        <f>_xlfn.XLOOKUP(B450,[1]Sheet1!$B:$B,[1]Sheet1!$U:$U,0)</f>
        <v>884250</v>
      </c>
      <c r="S450" s="12">
        <f>_xlfn.XLOOKUP(B450,[1]Sheet1!$B:$B,[1]Sheet1!$V:$V,0)</f>
        <v>884250</v>
      </c>
      <c r="T450" s="12">
        <f>_xlfn.XLOOKUP(B450,[1]Sheet1!$B:$B,[1]Sheet1!$W:$W,0)</f>
        <v>925703</v>
      </c>
      <c r="U450" s="12">
        <f>_xlfn.XLOOKUP(B450,[1]Sheet1!$B:$B,[1]Sheet1!$X:$X,0)</f>
        <v>884250</v>
      </c>
      <c r="V450" s="12">
        <f>_xlfn.XLOOKUP(B450,[1]Sheet1!$B:$B,[1]Sheet1!$Y:$Y,0)</f>
        <v>884250</v>
      </c>
      <c r="W450" s="12">
        <f t="shared" si="15"/>
        <v>9587202</v>
      </c>
      <c r="X450" s="6" t="s">
        <v>736</v>
      </c>
      <c r="Y450" s="6" t="s">
        <v>721</v>
      </c>
      <c r="Z450" s="6" t="s">
        <v>737</v>
      </c>
      <c r="AA450" s="6" t="s">
        <v>53</v>
      </c>
      <c r="AB450" s="6" t="s">
        <v>36</v>
      </c>
      <c r="AC450" s="6" t="s">
        <v>37</v>
      </c>
      <c r="AD450" s="6" t="s">
        <v>724</v>
      </c>
      <c r="AE450" s="6" t="s">
        <v>39</v>
      </c>
      <c r="AF450" s="6" t="s">
        <v>40</v>
      </c>
      <c r="AG450" s="7">
        <v>9587202</v>
      </c>
      <c r="AH450" s="11">
        <f>_xlfn.XLOOKUP(B450,[1]Sheet1!$B:$B,[1]Sheet1!$AB:$AB,0)</f>
        <v>9587202</v>
      </c>
    </row>
    <row r="451" spans="2:34" ht="16.8" thickTop="1" thickBot="1" x14ac:dyDescent="0.35">
      <c r="B451" s="3" t="str">
        <f t="shared" si="14"/>
        <v>45121004511000549ManagementAdvice-N421119200104</v>
      </c>
      <c r="C451" s="8" t="s">
        <v>738</v>
      </c>
      <c r="D451" s="8" t="s">
        <v>734</v>
      </c>
      <c r="E451" s="8" t="s">
        <v>735</v>
      </c>
      <c r="F451" s="8" t="s">
        <v>230</v>
      </c>
      <c r="G451" s="4" t="s">
        <v>2857</v>
      </c>
      <c r="H451" s="4" t="s">
        <v>2922</v>
      </c>
      <c r="I451" s="8" t="s">
        <v>739</v>
      </c>
      <c r="J451" s="8" t="s">
        <v>31</v>
      </c>
      <c r="K451" s="12">
        <f>_xlfn.XLOOKUP(B451,[1]Sheet1!$B:$B,[1]Sheet1!$N:$N,0)</f>
        <v>0</v>
      </c>
      <c r="L451" s="12">
        <f>_xlfn.XLOOKUP(B451,[1]Sheet1!$B:$B,[1]Sheet1!$O:$O,0)</f>
        <v>0</v>
      </c>
      <c r="M451" s="12">
        <f>_xlfn.XLOOKUP(B451,[1]Sheet1!$B:$B,[1]Sheet1!$P:$P,0)</f>
        <v>0</v>
      </c>
      <c r="N451" s="12">
        <f>_xlfn.XLOOKUP(B451,[1]Sheet1!$B:$B,[1]Sheet1!$Q:$Q,0)</f>
        <v>0</v>
      </c>
      <c r="O451" s="12">
        <f>_xlfn.XLOOKUP(B451,[1]Sheet1!$B:$B,[1]Sheet1!$R:$R,0)</f>
        <v>0</v>
      </c>
      <c r="P451" s="12">
        <f>_xlfn.XLOOKUP(B451,[1]Sheet1!$B:$B,[1]Sheet1!$S:$S,0)</f>
        <v>0</v>
      </c>
      <c r="Q451" s="12">
        <f>_xlfn.XLOOKUP(B451,[1]Sheet1!$B:$B,[1]Sheet1!$T:$T,0)</f>
        <v>0</v>
      </c>
      <c r="R451" s="12">
        <f>_xlfn.XLOOKUP(B451,[1]Sheet1!$B:$B,[1]Sheet1!$U:$U,0)</f>
        <v>0</v>
      </c>
      <c r="S451" s="12">
        <f>_xlfn.XLOOKUP(B451,[1]Sheet1!$B:$B,[1]Sheet1!$V:$V,0)</f>
        <v>0</v>
      </c>
      <c r="T451" s="12">
        <f>_xlfn.XLOOKUP(B451,[1]Sheet1!$B:$B,[1]Sheet1!$W:$W,0)</f>
        <v>0</v>
      </c>
      <c r="U451" s="12">
        <f>_xlfn.XLOOKUP(B451,[1]Sheet1!$B:$B,[1]Sheet1!$X:$X,0)</f>
        <v>0</v>
      </c>
      <c r="V451" s="12">
        <f>_xlfn.XLOOKUP(B451,[1]Sheet1!$B:$B,[1]Sheet1!$Y:$Y,0)</f>
        <v>0</v>
      </c>
      <c r="W451" s="12">
        <f t="shared" si="15"/>
        <v>0</v>
      </c>
      <c r="X451" s="8" t="s">
        <v>740</v>
      </c>
      <c r="Y451" s="8" t="s">
        <v>721</v>
      </c>
      <c r="Z451" s="8" t="s">
        <v>737</v>
      </c>
      <c r="AA451" s="8" t="s">
        <v>741</v>
      </c>
      <c r="AB451" s="8" t="s">
        <v>36</v>
      </c>
      <c r="AC451" s="8" t="s">
        <v>37</v>
      </c>
      <c r="AD451" s="8" t="s">
        <v>38</v>
      </c>
      <c r="AE451" s="8" t="s">
        <v>39</v>
      </c>
      <c r="AF451" s="8" t="s">
        <v>40</v>
      </c>
      <c r="AG451" s="9">
        <v>12190000</v>
      </c>
      <c r="AH451" s="11">
        <f>_xlfn.XLOOKUP(B451,[1]Sheet1!$B:$B,[1]Sheet1!$AB:$AB,0)</f>
        <v>12190000</v>
      </c>
    </row>
    <row r="452" spans="2:34" ht="16.8" thickTop="1" thickBot="1" x14ac:dyDescent="0.35">
      <c r="B452" s="3" t="str">
        <f t="shared" ref="B452:B515" si="16">C452&amp;D452&amp;F452&amp;G452&amp;H452</f>
        <v>45151004511000572Admin Expenses-N1421125200104</v>
      </c>
      <c r="C452" s="6" t="s">
        <v>746</v>
      </c>
      <c r="D452" s="6" t="s">
        <v>742</v>
      </c>
      <c r="E452" s="6" t="s">
        <v>743</v>
      </c>
      <c r="F452" s="6" t="s">
        <v>73</v>
      </c>
      <c r="G452" s="4" t="s">
        <v>2803</v>
      </c>
      <c r="H452" s="4" t="s">
        <v>2922</v>
      </c>
      <c r="I452" s="6" t="s">
        <v>44</v>
      </c>
      <c r="J452" s="6" t="s">
        <v>31</v>
      </c>
      <c r="K452" s="12">
        <f>_xlfn.XLOOKUP(B452,[1]Sheet1!$B:$B,[1]Sheet1!$N:$N,0)</f>
        <v>0</v>
      </c>
      <c r="L452" s="12">
        <f>_xlfn.XLOOKUP(B452,[1]Sheet1!$B:$B,[1]Sheet1!$O:$O,0)</f>
        <v>0</v>
      </c>
      <c r="M452" s="12">
        <f>_xlfn.XLOOKUP(B452,[1]Sheet1!$B:$B,[1]Sheet1!$P:$P,0)</f>
        <v>0</v>
      </c>
      <c r="N452" s="12">
        <f>_xlfn.XLOOKUP(B452,[1]Sheet1!$B:$B,[1]Sheet1!$Q:$Q,0)</f>
        <v>20000</v>
      </c>
      <c r="O452" s="12">
        <f>_xlfn.XLOOKUP(B452,[1]Sheet1!$B:$B,[1]Sheet1!$R:$R,0)</f>
        <v>200000</v>
      </c>
      <c r="P452" s="12">
        <f>_xlfn.XLOOKUP(B452,[1]Sheet1!$B:$B,[1]Sheet1!$S:$S,0)</f>
        <v>0</v>
      </c>
      <c r="Q452" s="12">
        <f>_xlfn.XLOOKUP(B452,[1]Sheet1!$B:$B,[1]Sheet1!$T:$T,0)</f>
        <v>0</v>
      </c>
      <c r="R452" s="12">
        <f>_xlfn.XLOOKUP(B452,[1]Sheet1!$B:$B,[1]Sheet1!$U:$U,0)</f>
        <v>0</v>
      </c>
      <c r="S452" s="12">
        <f>_xlfn.XLOOKUP(B452,[1]Sheet1!$B:$B,[1]Sheet1!$V:$V,0)</f>
        <v>0</v>
      </c>
      <c r="T452" s="12">
        <f>_xlfn.XLOOKUP(B452,[1]Sheet1!$B:$B,[1]Sheet1!$W:$W,0)</f>
        <v>250000</v>
      </c>
      <c r="U452" s="12">
        <f>_xlfn.XLOOKUP(B452,[1]Sheet1!$B:$B,[1]Sheet1!$X:$X,0)</f>
        <v>0</v>
      </c>
      <c r="V452" s="12">
        <f>_xlfn.XLOOKUP(B452,[1]Sheet1!$B:$B,[1]Sheet1!$Y:$Y,0)</f>
        <v>0</v>
      </c>
      <c r="W452" s="12">
        <f t="shared" ref="W452:W515" si="17">SUM(K452:V452)</f>
        <v>470000</v>
      </c>
      <c r="X452" s="6" t="s">
        <v>744</v>
      </c>
      <c r="Y452" s="6" t="s">
        <v>211</v>
      </c>
      <c r="Z452" s="6" t="s">
        <v>745</v>
      </c>
      <c r="AA452" s="6" t="s">
        <v>44</v>
      </c>
      <c r="AB452" s="6" t="s">
        <v>36</v>
      </c>
      <c r="AC452" s="6" t="s">
        <v>37</v>
      </c>
      <c r="AD452" s="6" t="s">
        <v>214</v>
      </c>
      <c r="AE452" s="6" t="s">
        <v>39</v>
      </c>
      <c r="AF452" s="6" t="s">
        <v>40</v>
      </c>
      <c r="AG452" s="7">
        <v>470000</v>
      </c>
      <c r="AH452" s="11">
        <f>_xlfn.XLOOKUP(B452,[1]Sheet1!$B:$B,[1]Sheet1!$AB:$AB,0)</f>
        <v>470000</v>
      </c>
    </row>
    <row r="453" spans="2:34" ht="16.8" thickTop="1" thickBot="1" x14ac:dyDescent="0.35">
      <c r="B453" s="3" t="str">
        <f t="shared" si="16"/>
        <v>45151004511000572Trade Partners-L424251201931</v>
      </c>
      <c r="C453" s="8" t="s">
        <v>746</v>
      </c>
      <c r="D453" s="8" t="s">
        <v>742</v>
      </c>
      <c r="E453" s="8" t="s">
        <v>743</v>
      </c>
      <c r="F453" s="8" t="s">
        <v>568</v>
      </c>
      <c r="G453" s="4" t="s">
        <v>2852</v>
      </c>
      <c r="H453" s="4" t="s">
        <v>2925</v>
      </c>
      <c r="I453" s="8" t="s">
        <v>569</v>
      </c>
      <c r="J453" s="8" t="s">
        <v>31</v>
      </c>
      <c r="K453" s="12">
        <f>_xlfn.XLOOKUP(B453,[1]Sheet1!$B:$B,[1]Sheet1!$N:$N,0)</f>
        <v>0</v>
      </c>
      <c r="L453" s="12">
        <f>_xlfn.XLOOKUP(B453,[1]Sheet1!$B:$B,[1]Sheet1!$O:$O,0)</f>
        <v>0</v>
      </c>
      <c r="M453" s="12">
        <f>_xlfn.XLOOKUP(B453,[1]Sheet1!$B:$B,[1]Sheet1!$P:$P,0)</f>
        <v>0</v>
      </c>
      <c r="N453" s="12">
        <f>_xlfn.XLOOKUP(B453,[1]Sheet1!$B:$B,[1]Sheet1!$Q:$Q,0)</f>
        <v>2352600</v>
      </c>
      <c r="O453" s="12">
        <f>_xlfn.XLOOKUP(B453,[1]Sheet1!$B:$B,[1]Sheet1!$R:$R,0)</f>
        <v>570451</v>
      </c>
      <c r="P453" s="12">
        <f>_xlfn.XLOOKUP(B453,[1]Sheet1!$B:$B,[1]Sheet1!$S:$S,0)</f>
        <v>0</v>
      </c>
      <c r="Q453" s="12">
        <f>_xlfn.XLOOKUP(B453,[1]Sheet1!$B:$B,[1]Sheet1!$T:$T,0)</f>
        <v>210406</v>
      </c>
      <c r="R453" s="12">
        <f>_xlfn.XLOOKUP(B453,[1]Sheet1!$B:$B,[1]Sheet1!$U:$U,0)</f>
        <v>0</v>
      </c>
      <c r="S453" s="12">
        <f>_xlfn.XLOOKUP(B453,[1]Sheet1!$B:$B,[1]Sheet1!$V:$V,0)</f>
        <v>0</v>
      </c>
      <c r="T453" s="12">
        <f>_xlfn.XLOOKUP(B453,[1]Sheet1!$B:$B,[1]Sheet1!$W:$W,0)</f>
        <v>18086834</v>
      </c>
      <c r="U453" s="12">
        <f>_xlfn.XLOOKUP(B453,[1]Sheet1!$B:$B,[1]Sheet1!$X:$X,0)</f>
        <v>0</v>
      </c>
      <c r="V453" s="12">
        <f>_xlfn.XLOOKUP(B453,[1]Sheet1!$B:$B,[1]Sheet1!$Y:$Y,0)</f>
        <v>0</v>
      </c>
      <c r="W453" s="12">
        <f t="shared" si="17"/>
        <v>21220291</v>
      </c>
      <c r="X453" s="8" t="s">
        <v>747</v>
      </c>
      <c r="Y453" s="8" t="s">
        <v>211</v>
      </c>
      <c r="Z453" s="8" t="s">
        <v>745</v>
      </c>
      <c r="AA453" s="8" t="s">
        <v>569</v>
      </c>
      <c r="AB453" s="8" t="s">
        <v>327</v>
      </c>
      <c r="AC453" s="8" t="s">
        <v>37</v>
      </c>
      <c r="AD453" s="8" t="s">
        <v>214</v>
      </c>
      <c r="AE453" s="8" t="s">
        <v>39</v>
      </c>
      <c r="AF453" s="8" t="s">
        <v>40</v>
      </c>
      <c r="AG453" s="9">
        <v>19987231</v>
      </c>
      <c r="AH453" s="11">
        <f>_xlfn.XLOOKUP(B453,[1]Sheet1!$B:$B,[1]Sheet1!$AB:$AB,0)</f>
        <v>19987231</v>
      </c>
    </row>
    <row r="454" spans="2:34" ht="16.8" thickTop="1" thickBot="1" x14ac:dyDescent="0.35">
      <c r="B454" s="3" t="str">
        <f t="shared" si="16"/>
        <v>45151004511000572Trade Promotion-N424251200104</v>
      </c>
      <c r="C454" s="6" t="s">
        <v>746</v>
      </c>
      <c r="D454" s="6" t="s">
        <v>742</v>
      </c>
      <c r="E454" s="6" t="s">
        <v>743</v>
      </c>
      <c r="F454" s="6" t="s">
        <v>748</v>
      </c>
      <c r="G454" s="4" t="s">
        <v>2852</v>
      </c>
      <c r="H454" s="4" t="s">
        <v>2922</v>
      </c>
      <c r="I454" s="6" t="s">
        <v>569</v>
      </c>
      <c r="J454" s="6" t="s">
        <v>31</v>
      </c>
      <c r="K454" s="12">
        <f>_xlfn.XLOOKUP(B454,[1]Sheet1!$B:$B,[1]Sheet1!$N:$N,0)</f>
        <v>0</v>
      </c>
      <c r="L454" s="12">
        <f>_xlfn.XLOOKUP(B454,[1]Sheet1!$B:$B,[1]Sheet1!$O:$O,0)</f>
        <v>0</v>
      </c>
      <c r="M454" s="12">
        <f>_xlfn.XLOOKUP(B454,[1]Sheet1!$B:$B,[1]Sheet1!$P:$P,0)</f>
        <v>0</v>
      </c>
      <c r="N454" s="12">
        <f>_xlfn.XLOOKUP(B454,[1]Sheet1!$B:$B,[1]Sheet1!$Q:$Q,0)</f>
        <v>0</v>
      </c>
      <c r="O454" s="12">
        <f>_xlfn.XLOOKUP(B454,[1]Sheet1!$B:$B,[1]Sheet1!$R:$R,0)</f>
        <v>44000</v>
      </c>
      <c r="P454" s="12">
        <f>_xlfn.XLOOKUP(B454,[1]Sheet1!$B:$B,[1]Sheet1!$S:$S,0)</f>
        <v>0</v>
      </c>
      <c r="Q454" s="12">
        <f>_xlfn.XLOOKUP(B454,[1]Sheet1!$B:$B,[1]Sheet1!$T:$T,0)</f>
        <v>0</v>
      </c>
      <c r="R454" s="12">
        <f>_xlfn.XLOOKUP(B454,[1]Sheet1!$B:$B,[1]Sheet1!$U:$U,0)</f>
        <v>44000</v>
      </c>
      <c r="S454" s="12">
        <f>_xlfn.XLOOKUP(B454,[1]Sheet1!$B:$B,[1]Sheet1!$V:$V,0)</f>
        <v>0</v>
      </c>
      <c r="T454" s="12">
        <f>_xlfn.XLOOKUP(B454,[1]Sheet1!$B:$B,[1]Sheet1!$W:$W,0)</f>
        <v>40000</v>
      </c>
      <c r="U454" s="12">
        <f>_xlfn.XLOOKUP(B454,[1]Sheet1!$B:$B,[1]Sheet1!$X:$X,0)</f>
        <v>0</v>
      </c>
      <c r="V454" s="12">
        <f>_xlfn.XLOOKUP(B454,[1]Sheet1!$B:$B,[1]Sheet1!$Y:$Y,0)</f>
        <v>0</v>
      </c>
      <c r="W454" s="12">
        <f t="shared" si="17"/>
        <v>128000</v>
      </c>
      <c r="X454" s="6" t="s">
        <v>749</v>
      </c>
      <c r="Y454" s="6" t="s">
        <v>211</v>
      </c>
      <c r="Z454" s="6" t="s">
        <v>745</v>
      </c>
      <c r="AA454" s="6" t="s">
        <v>569</v>
      </c>
      <c r="AB454" s="6" t="s">
        <v>36</v>
      </c>
      <c r="AC454" s="6" t="s">
        <v>37</v>
      </c>
      <c r="AD454" s="6" t="s">
        <v>214</v>
      </c>
      <c r="AE454" s="6" t="s">
        <v>39</v>
      </c>
      <c r="AF454" s="6" t="s">
        <v>40</v>
      </c>
      <c r="AG454" s="7">
        <v>128000</v>
      </c>
      <c r="AH454" s="11">
        <f>_xlfn.XLOOKUP(B454,[1]Sheet1!$B:$B,[1]Sheet1!$AB:$AB,0)</f>
        <v>128000</v>
      </c>
    </row>
    <row r="455" spans="2:34" ht="16.8" thickTop="1" thickBot="1" x14ac:dyDescent="0.35">
      <c r="B455" s="3" t="str">
        <f t="shared" si="16"/>
        <v>45151004511000575Admin Expenses-N1421125200104</v>
      </c>
      <c r="C455" s="8" t="s">
        <v>746</v>
      </c>
      <c r="D455" s="8" t="s">
        <v>750</v>
      </c>
      <c r="E455" s="8" t="s">
        <v>751</v>
      </c>
      <c r="F455" s="8" t="s">
        <v>73</v>
      </c>
      <c r="G455" s="4" t="s">
        <v>2803</v>
      </c>
      <c r="H455" s="4" t="s">
        <v>2922</v>
      </c>
      <c r="I455" s="8" t="s">
        <v>44</v>
      </c>
      <c r="J455" s="8" t="s">
        <v>31</v>
      </c>
      <c r="K455" s="12">
        <f>_xlfn.XLOOKUP(B455,[1]Sheet1!$B:$B,[1]Sheet1!$N:$N,0)</f>
        <v>0</v>
      </c>
      <c r="L455" s="12">
        <f>_xlfn.XLOOKUP(B455,[1]Sheet1!$B:$B,[1]Sheet1!$O:$O,0)</f>
        <v>0</v>
      </c>
      <c r="M455" s="12">
        <f>_xlfn.XLOOKUP(B455,[1]Sheet1!$B:$B,[1]Sheet1!$P:$P,0)</f>
        <v>0</v>
      </c>
      <c r="N455" s="12">
        <f>_xlfn.XLOOKUP(B455,[1]Sheet1!$B:$B,[1]Sheet1!$Q:$Q,0)</f>
        <v>0</v>
      </c>
      <c r="O455" s="12">
        <f>_xlfn.XLOOKUP(B455,[1]Sheet1!$B:$B,[1]Sheet1!$R:$R,0)</f>
        <v>0</v>
      </c>
      <c r="P455" s="12">
        <f>_xlfn.XLOOKUP(B455,[1]Sheet1!$B:$B,[1]Sheet1!$S:$S,0)</f>
        <v>29483</v>
      </c>
      <c r="Q455" s="12">
        <f>_xlfn.XLOOKUP(B455,[1]Sheet1!$B:$B,[1]Sheet1!$T:$T,0)</f>
        <v>0</v>
      </c>
      <c r="R455" s="12">
        <f>_xlfn.XLOOKUP(B455,[1]Sheet1!$B:$B,[1]Sheet1!$U:$U,0)</f>
        <v>74651</v>
      </c>
      <c r="S455" s="12">
        <f>_xlfn.XLOOKUP(B455,[1]Sheet1!$B:$B,[1]Sheet1!$V:$V,0)</f>
        <v>0</v>
      </c>
      <c r="T455" s="12">
        <f>_xlfn.XLOOKUP(B455,[1]Sheet1!$B:$B,[1]Sheet1!$W:$W,0)</f>
        <v>74650</v>
      </c>
      <c r="U455" s="12">
        <f>_xlfn.XLOOKUP(B455,[1]Sheet1!$B:$B,[1]Sheet1!$X:$X,0)</f>
        <v>0</v>
      </c>
      <c r="V455" s="12">
        <f>_xlfn.XLOOKUP(B455,[1]Sheet1!$B:$B,[1]Sheet1!$Y:$Y,0)</f>
        <v>0</v>
      </c>
      <c r="W455" s="12">
        <f t="shared" si="17"/>
        <v>178784</v>
      </c>
      <c r="X455" s="8" t="s">
        <v>744</v>
      </c>
      <c r="Y455" s="8" t="s">
        <v>211</v>
      </c>
      <c r="Z455" s="8" t="s">
        <v>745</v>
      </c>
      <c r="AA455" s="8" t="s">
        <v>44</v>
      </c>
      <c r="AB455" s="8" t="s">
        <v>36</v>
      </c>
      <c r="AC455" s="8" t="s">
        <v>37</v>
      </c>
      <c r="AD455" s="8" t="s">
        <v>214</v>
      </c>
      <c r="AE455" s="8" t="s">
        <v>39</v>
      </c>
      <c r="AF455" s="8" t="s">
        <v>40</v>
      </c>
      <c r="AG455" s="9">
        <v>143849</v>
      </c>
      <c r="AH455" s="11">
        <f>_xlfn.XLOOKUP(B455,[1]Sheet1!$B:$B,[1]Sheet1!$AB:$AB,0)</f>
        <v>143849</v>
      </c>
    </row>
    <row r="456" spans="2:34" ht="16.8" thickTop="1" thickBot="1" x14ac:dyDescent="0.35">
      <c r="B456" s="3" t="str">
        <f t="shared" si="16"/>
        <v>45151004511000575Freelancers-N424521200104</v>
      </c>
      <c r="C456" s="6" t="s">
        <v>746</v>
      </c>
      <c r="D456" s="6" t="s">
        <v>750</v>
      </c>
      <c r="E456" s="6" t="s">
        <v>751</v>
      </c>
      <c r="F456" s="6" t="s">
        <v>50</v>
      </c>
      <c r="G456" s="4" t="s">
        <v>2804</v>
      </c>
      <c r="H456" s="4" t="s">
        <v>2922</v>
      </c>
      <c r="I456" s="6" t="s">
        <v>51</v>
      </c>
      <c r="J456" s="6" t="s">
        <v>31</v>
      </c>
      <c r="K456" s="12">
        <f>_xlfn.XLOOKUP(B456,[1]Sheet1!$B:$B,[1]Sheet1!$N:$N,0)</f>
        <v>0</v>
      </c>
      <c r="L456" s="12">
        <f>_xlfn.XLOOKUP(B456,[1]Sheet1!$B:$B,[1]Sheet1!$O:$O,0)</f>
        <v>0</v>
      </c>
      <c r="M456" s="12">
        <f>_xlfn.XLOOKUP(B456,[1]Sheet1!$B:$B,[1]Sheet1!$P:$P,0)</f>
        <v>180850</v>
      </c>
      <c r="N456" s="12">
        <f>_xlfn.XLOOKUP(B456,[1]Sheet1!$B:$B,[1]Sheet1!$Q:$Q,0)</f>
        <v>5575</v>
      </c>
      <c r="O456" s="12">
        <f>_xlfn.XLOOKUP(B456,[1]Sheet1!$B:$B,[1]Sheet1!$R:$R,0)</f>
        <v>20000</v>
      </c>
      <c r="P456" s="12">
        <f>_xlfn.XLOOKUP(B456,[1]Sheet1!$B:$B,[1]Sheet1!$S:$S,0)</f>
        <v>20000</v>
      </c>
      <c r="Q456" s="12">
        <f>_xlfn.XLOOKUP(B456,[1]Sheet1!$B:$B,[1]Sheet1!$T:$T,0)</f>
        <v>20000</v>
      </c>
      <c r="R456" s="12">
        <f>_xlfn.XLOOKUP(B456,[1]Sheet1!$B:$B,[1]Sheet1!$U:$U,0)</f>
        <v>20000</v>
      </c>
      <c r="S456" s="12">
        <f>_xlfn.XLOOKUP(B456,[1]Sheet1!$B:$B,[1]Sheet1!$V:$V,0)</f>
        <v>20000</v>
      </c>
      <c r="T456" s="12">
        <f>_xlfn.XLOOKUP(B456,[1]Sheet1!$B:$B,[1]Sheet1!$W:$W,0)</f>
        <v>20000</v>
      </c>
      <c r="U456" s="12">
        <f>_xlfn.XLOOKUP(B456,[1]Sheet1!$B:$B,[1]Sheet1!$X:$X,0)</f>
        <v>20000</v>
      </c>
      <c r="V456" s="12">
        <f>_xlfn.XLOOKUP(B456,[1]Sheet1!$B:$B,[1]Sheet1!$Y:$Y,0)</f>
        <v>20000</v>
      </c>
      <c r="W456" s="12">
        <f t="shared" si="17"/>
        <v>346425</v>
      </c>
      <c r="X456" s="6" t="s">
        <v>752</v>
      </c>
      <c r="Y456" s="6" t="s">
        <v>211</v>
      </c>
      <c r="Z456" s="6" t="s">
        <v>745</v>
      </c>
      <c r="AA456" s="6" t="s">
        <v>53</v>
      </c>
      <c r="AB456" s="6" t="s">
        <v>36</v>
      </c>
      <c r="AC456" s="6" t="s">
        <v>37</v>
      </c>
      <c r="AD456" s="6" t="s">
        <v>214</v>
      </c>
      <c r="AE456" s="6" t="s">
        <v>39</v>
      </c>
      <c r="AF456" s="6" t="s">
        <v>40</v>
      </c>
      <c r="AG456" s="7">
        <v>498360</v>
      </c>
      <c r="AH456" s="11">
        <f>_xlfn.XLOOKUP(B456,[1]Sheet1!$B:$B,[1]Sheet1!$AB:$AB,0)</f>
        <v>498360</v>
      </c>
    </row>
    <row r="457" spans="2:34" ht="16.8" thickTop="1" thickBot="1" x14ac:dyDescent="0.35">
      <c r="B457" s="3" t="str">
        <f t="shared" si="16"/>
        <v>45151004511000575ManagementAdvice-N1424521200104</v>
      </c>
      <c r="C457" s="8" t="s">
        <v>746</v>
      </c>
      <c r="D457" s="8" t="s">
        <v>750</v>
      </c>
      <c r="E457" s="8" t="s">
        <v>751</v>
      </c>
      <c r="F457" s="8" t="s">
        <v>725</v>
      </c>
      <c r="G457" s="4" t="s">
        <v>2804</v>
      </c>
      <c r="H457" s="4" t="s">
        <v>2922</v>
      </c>
      <c r="I457" s="8" t="s">
        <v>51</v>
      </c>
      <c r="J457" s="8" t="s">
        <v>31</v>
      </c>
      <c r="K457" s="12">
        <f>_xlfn.XLOOKUP(B457,[1]Sheet1!$B:$B,[1]Sheet1!$N:$N,0)</f>
        <v>0</v>
      </c>
      <c r="L457" s="12">
        <f>_xlfn.XLOOKUP(B457,[1]Sheet1!$B:$B,[1]Sheet1!$O:$O,0)</f>
        <v>0</v>
      </c>
      <c r="M457" s="12">
        <f>_xlfn.XLOOKUP(B457,[1]Sheet1!$B:$B,[1]Sheet1!$P:$P,0)</f>
        <v>0</v>
      </c>
      <c r="N457" s="12">
        <f>_xlfn.XLOOKUP(B457,[1]Sheet1!$B:$B,[1]Sheet1!$Q:$Q,0)</f>
        <v>0</v>
      </c>
      <c r="O457" s="12">
        <f>_xlfn.XLOOKUP(B457,[1]Sheet1!$B:$B,[1]Sheet1!$R:$R,0)</f>
        <v>0</v>
      </c>
      <c r="P457" s="12">
        <f>_xlfn.XLOOKUP(B457,[1]Sheet1!$B:$B,[1]Sheet1!$S:$S,0)</f>
        <v>0</v>
      </c>
      <c r="Q457" s="12">
        <f>_xlfn.XLOOKUP(B457,[1]Sheet1!$B:$B,[1]Sheet1!$T:$T,0)</f>
        <v>0</v>
      </c>
      <c r="R457" s="12">
        <f>_xlfn.XLOOKUP(B457,[1]Sheet1!$B:$B,[1]Sheet1!$U:$U,0)</f>
        <v>0</v>
      </c>
      <c r="S457" s="12">
        <f>_xlfn.XLOOKUP(B457,[1]Sheet1!$B:$B,[1]Sheet1!$V:$V,0)</f>
        <v>1836500</v>
      </c>
      <c r="T457" s="12">
        <f>_xlfn.XLOOKUP(B457,[1]Sheet1!$B:$B,[1]Sheet1!$W:$W,0)</f>
        <v>804000</v>
      </c>
      <c r="U457" s="12">
        <f>_xlfn.XLOOKUP(B457,[1]Sheet1!$B:$B,[1]Sheet1!$X:$X,0)</f>
        <v>0</v>
      </c>
      <c r="V457" s="12">
        <f>_xlfn.XLOOKUP(B457,[1]Sheet1!$B:$B,[1]Sheet1!$Y:$Y,0)</f>
        <v>0</v>
      </c>
      <c r="W457" s="12">
        <f t="shared" si="17"/>
        <v>2640500</v>
      </c>
      <c r="X457" s="8" t="s">
        <v>752</v>
      </c>
      <c r="Y457" s="8" t="s">
        <v>211</v>
      </c>
      <c r="Z457" s="8" t="s">
        <v>745</v>
      </c>
      <c r="AA457" s="8" t="s">
        <v>53</v>
      </c>
      <c r="AB457" s="8" t="s">
        <v>36</v>
      </c>
      <c r="AC457" s="8" t="s">
        <v>37</v>
      </c>
      <c r="AD457" s="8" t="s">
        <v>214</v>
      </c>
      <c r="AE457" s="8" t="s">
        <v>39</v>
      </c>
      <c r="AF457" s="8" t="s">
        <v>40</v>
      </c>
      <c r="AG457" s="9">
        <v>2640500</v>
      </c>
      <c r="AH457" s="11">
        <f>_xlfn.XLOOKUP(B457,[1]Sheet1!$B:$B,[1]Sheet1!$AB:$AB,0)</f>
        <v>2640500</v>
      </c>
    </row>
    <row r="458" spans="2:34" ht="16.8" thickTop="1" thickBot="1" x14ac:dyDescent="0.35">
      <c r="B458" s="3" t="str">
        <f t="shared" si="16"/>
        <v>45151004511000575Mission &amp; Travel-N423821200104</v>
      </c>
      <c r="C458" s="6" t="s">
        <v>746</v>
      </c>
      <c r="D458" s="6" t="s">
        <v>750</v>
      </c>
      <c r="E458" s="6" t="s">
        <v>751</v>
      </c>
      <c r="F458" s="6" t="s">
        <v>54</v>
      </c>
      <c r="G458" s="4" t="s">
        <v>2805</v>
      </c>
      <c r="H458" s="4" t="s">
        <v>2922</v>
      </c>
      <c r="I458" s="6" t="s">
        <v>55</v>
      </c>
      <c r="J458" s="6" t="s">
        <v>31</v>
      </c>
      <c r="K458" s="12">
        <f>_xlfn.XLOOKUP(B458,[1]Sheet1!$B:$B,[1]Sheet1!$N:$N,0)</f>
        <v>0</v>
      </c>
      <c r="L458" s="12">
        <f>_xlfn.XLOOKUP(B458,[1]Sheet1!$B:$B,[1]Sheet1!$O:$O,0)</f>
        <v>0</v>
      </c>
      <c r="M458" s="12">
        <f>_xlfn.XLOOKUP(B458,[1]Sheet1!$B:$B,[1]Sheet1!$P:$P,0)</f>
        <v>10000</v>
      </c>
      <c r="N458" s="12">
        <f>_xlfn.XLOOKUP(B458,[1]Sheet1!$B:$B,[1]Sheet1!$Q:$Q,0)</f>
        <v>0</v>
      </c>
      <c r="O458" s="12">
        <f>_xlfn.XLOOKUP(B458,[1]Sheet1!$B:$B,[1]Sheet1!$R:$R,0)</f>
        <v>205300</v>
      </c>
      <c r="P458" s="12">
        <f>_xlfn.XLOOKUP(B458,[1]Sheet1!$B:$B,[1]Sheet1!$S:$S,0)</f>
        <v>54500</v>
      </c>
      <c r="Q458" s="12">
        <f>_xlfn.XLOOKUP(B458,[1]Sheet1!$B:$B,[1]Sheet1!$T:$T,0)</f>
        <v>187500</v>
      </c>
      <c r="R458" s="12">
        <f>_xlfn.XLOOKUP(B458,[1]Sheet1!$B:$B,[1]Sheet1!$U:$U,0)</f>
        <v>64500</v>
      </c>
      <c r="S458" s="12">
        <f>_xlfn.XLOOKUP(B458,[1]Sheet1!$B:$B,[1]Sheet1!$V:$V,0)</f>
        <v>527938</v>
      </c>
      <c r="T458" s="12">
        <f>_xlfn.XLOOKUP(B458,[1]Sheet1!$B:$B,[1]Sheet1!$W:$W,0)</f>
        <v>162500</v>
      </c>
      <c r="U458" s="12">
        <f>_xlfn.XLOOKUP(B458,[1]Sheet1!$B:$B,[1]Sheet1!$X:$X,0)</f>
        <v>21500</v>
      </c>
      <c r="V458" s="12">
        <f>_xlfn.XLOOKUP(B458,[1]Sheet1!$B:$B,[1]Sheet1!$Y:$Y,0)</f>
        <v>0</v>
      </c>
      <c r="W458" s="12">
        <f t="shared" si="17"/>
        <v>1233738</v>
      </c>
      <c r="X458" s="6" t="s">
        <v>753</v>
      </c>
      <c r="Y458" s="6" t="s">
        <v>211</v>
      </c>
      <c r="Z458" s="6" t="s">
        <v>745</v>
      </c>
      <c r="AA458" s="6" t="s">
        <v>55</v>
      </c>
      <c r="AB458" s="6" t="s">
        <v>36</v>
      </c>
      <c r="AC458" s="6" t="s">
        <v>37</v>
      </c>
      <c r="AD458" s="6" t="s">
        <v>214</v>
      </c>
      <c r="AE458" s="6" t="s">
        <v>39</v>
      </c>
      <c r="AF458" s="6" t="s">
        <v>40</v>
      </c>
      <c r="AG458" s="7">
        <v>1233738</v>
      </c>
      <c r="AH458" s="11">
        <f>_xlfn.XLOOKUP(B458,[1]Sheet1!$B:$B,[1]Sheet1!$AB:$AB,0)</f>
        <v>1233738</v>
      </c>
    </row>
    <row r="459" spans="2:34" ht="16.8" thickTop="1" thickBot="1" x14ac:dyDescent="0.35">
      <c r="B459" s="3" t="str">
        <f t="shared" si="16"/>
        <v>45151004511000575Trade Promotion-N424251200104</v>
      </c>
      <c r="C459" s="8" t="s">
        <v>746</v>
      </c>
      <c r="D459" s="8" t="s">
        <v>750</v>
      </c>
      <c r="E459" s="8" t="s">
        <v>751</v>
      </c>
      <c r="F459" s="8" t="s">
        <v>748</v>
      </c>
      <c r="G459" s="4" t="s">
        <v>2852</v>
      </c>
      <c r="H459" s="4" t="s">
        <v>2922</v>
      </c>
      <c r="I459" s="8" t="s">
        <v>569</v>
      </c>
      <c r="J459" s="8" t="s">
        <v>31</v>
      </c>
      <c r="K459" s="12">
        <f>_xlfn.XLOOKUP(B459,[1]Sheet1!$B:$B,[1]Sheet1!$N:$N,0)</f>
        <v>0</v>
      </c>
      <c r="L459" s="12">
        <f>_xlfn.XLOOKUP(B459,[1]Sheet1!$B:$B,[1]Sheet1!$O:$O,0)</f>
        <v>0</v>
      </c>
      <c r="M459" s="12">
        <f>_xlfn.XLOOKUP(B459,[1]Sheet1!$B:$B,[1]Sheet1!$P:$P,0)</f>
        <v>0</v>
      </c>
      <c r="N459" s="12">
        <f>_xlfn.XLOOKUP(B459,[1]Sheet1!$B:$B,[1]Sheet1!$Q:$Q,0)</f>
        <v>0</v>
      </c>
      <c r="O459" s="12">
        <f>_xlfn.XLOOKUP(B459,[1]Sheet1!$B:$B,[1]Sheet1!$R:$R,0)</f>
        <v>0</v>
      </c>
      <c r="P459" s="12">
        <f>_xlfn.XLOOKUP(B459,[1]Sheet1!$B:$B,[1]Sheet1!$S:$S,0)</f>
        <v>0</v>
      </c>
      <c r="Q459" s="12">
        <f>_xlfn.XLOOKUP(B459,[1]Sheet1!$B:$B,[1]Sheet1!$T:$T,0)</f>
        <v>0</v>
      </c>
      <c r="R459" s="12">
        <f>_xlfn.XLOOKUP(B459,[1]Sheet1!$B:$B,[1]Sheet1!$U:$U,0)</f>
        <v>0</v>
      </c>
      <c r="S459" s="12">
        <f>_xlfn.XLOOKUP(B459,[1]Sheet1!$B:$B,[1]Sheet1!$V:$V,0)</f>
        <v>0</v>
      </c>
      <c r="T459" s="12">
        <f>_xlfn.XLOOKUP(B459,[1]Sheet1!$B:$B,[1]Sheet1!$W:$W,0)</f>
        <v>200000</v>
      </c>
      <c r="U459" s="12">
        <f>_xlfn.XLOOKUP(B459,[1]Sheet1!$B:$B,[1]Sheet1!$X:$X,0)</f>
        <v>0</v>
      </c>
      <c r="V459" s="12">
        <f>_xlfn.XLOOKUP(B459,[1]Sheet1!$B:$B,[1]Sheet1!$Y:$Y,0)</f>
        <v>0</v>
      </c>
      <c r="W459" s="12">
        <f t="shared" si="17"/>
        <v>200000</v>
      </c>
      <c r="X459" s="8" t="s">
        <v>749</v>
      </c>
      <c r="Y459" s="8" t="s">
        <v>211</v>
      </c>
      <c r="Z459" s="8" t="s">
        <v>745</v>
      </c>
      <c r="AA459" s="8" t="s">
        <v>569</v>
      </c>
      <c r="AB459" s="8" t="s">
        <v>36</v>
      </c>
      <c r="AC459" s="8" t="s">
        <v>37</v>
      </c>
      <c r="AD459" s="8" t="s">
        <v>214</v>
      </c>
      <c r="AE459" s="8" t="s">
        <v>39</v>
      </c>
      <c r="AF459" s="8" t="s">
        <v>40</v>
      </c>
      <c r="AG459" s="9">
        <v>200000</v>
      </c>
      <c r="AH459" s="11">
        <f>_xlfn.XLOOKUP(B459,[1]Sheet1!$B:$B,[1]Sheet1!$AB:$AB,0)</f>
        <v>200000</v>
      </c>
    </row>
    <row r="460" spans="2:34" ht="16.8" thickTop="1" thickBot="1" x14ac:dyDescent="0.35">
      <c r="B460" s="3" t="str">
        <f t="shared" si="16"/>
        <v>45115504511000576SM Managnt E-E-N422511200104</v>
      </c>
      <c r="C460" s="6" t="s">
        <v>154</v>
      </c>
      <c r="D460" s="6" t="s">
        <v>754</v>
      </c>
      <c r="E460" s="6" t="s">
        <v>755</v>
      </c>
      <c r="F460" s="6" t="s">
        <v>255</v>
      </c>
      <c r="G460" s="4" t="s">
        <v>2819</v>
      </c>
      <c r="H460" s="4" t="s">
        <v>2922</v>
      </c>
      <c r="I460" s="6" t="s">
        <v>151</v>
      </c>
      <c r="J460" s="6" t="s">
        <v>31</v>
      </c>
      <c r="K460" s="12">
        <f>_xlfn.XLOOKUP(B460,[1]Sheet1!$B:$B,[1]Sheet1!$N:$N,0)</f>
        <v>0</v>
      </c>
      <c r="L460" s="12">
        <f>_xlfn.XLOOKUP(B460,[1]Sheet1!$B:$B,[1]Sheet1!$O:$O,0)</f>
        <v>0</v>
      </c>
      <c r="M460" s="12">
        <f>_xlfn.XLOOKUP(B460,[1]Sheet1!$B:$B,[1]Sheet1!$P:$P,0)</f>
        <v>0</v>
      </c>
      <c r="N460" s="12">
        <f>_xlfn.XLOOKUP(B460,[1]Sheet1!$B:$B,[1]Sheet1!$Q:$Q,0)</f>
        <v>176640</v>
      </c>
      <c r="O460" s="12">
        <f>_xlfn.XLOOKUP(B460,[1]Sheet1!$B:$B,[1]Sheet1!$R:$R,0)</f>
        <v>88320</v>
      </c>
      <c r="P460" s="12">
        <f>_xlfn.XLOOKUP(B460,[1]Sheet1!$B:$B,[1]Sheet1!$S:$S,0)</f>
        <v>88320</v>
      </c>
      <c r="Q460" s="12">
        <f>_xlfn.XLOOKUP(B460,[1]Sheet1!$B:$B,[1]Sheet1!$T:$T,0)</f>
        <v>88320</v>
      </c>
      <c r="R460" s="12">
        <f>_xlfn.XLOOKUP(B460,[1]Sheet1!$B:$B,[1]Sheet1!$U:$U,0)</f>
        <v>88320</v>
      </c>
      <c r="S460" s="12">
        <f>_xlfn.XLOOKUP(B460,[1]Sheet1!$B:$B,[1]Sheet1!$V:$V,0)</f>
        <v>88320</v>
      </c>
      <c r="T460" s="12">
        <f>_xlfn.XLOOKUP(B460,[1]Sheet1!$B:$B,[1]Sheet1!$W:$W,0)</f>
        <v>88320</v>
      </c>
      <c r="U460" s="12">
        <f>_xlfn.XLOOKUP(B460,[1]Sheet1!$B:$B,[1]Sheet1!$X:$X,0)</f>
        <v>88320</v>
      </c>
      <c r="V460" s="12">
        <f>_xlfn.XLOOKUP(B460,[1]Sheet1!$B:$B,[1]Sheet1!$Y:$Y,0)</f>
        <v>88320</v>
      </c>
      <c r="W460" s="12">
        <f t="shared" si="17"/>
        <v>883200</v>
      </c>
      <c r="X460" s="6" t="s">
        <v>710</v>
      </c>
      <c r="Y460" s="6" t="s">
        <v>65</v>
      </c>
      <c r="Z460" s="6" t="s">
        <v>153</v>
      </c>
      <c r="AA460" s="6" t="s">
        <v>151</v>
      </c>
      <c r="AB460" s="6" t="s">
        <v>36</v>
      </c>
      <c r="AC460" s="6" t="s">
        <v>37</v>
      </c>
      <c r="AD460" s="6" t="s">
        <v>708</v>
      </c>
      <c r="AE460" s="6" t="s">
        <v>39</v>
      </c>
      <c r="AF460" s="6" t="s">
        <v>40</v>
      </c>
      <c r="AG460" s="7">
        <v>883200</v>
      </c>
      <c r="AH460" s="11">
        <f>_xlfn.XLOOKUP(B460,[1]Sheet1!$B:$B,[1]Sheet1!$AB:$AB,0)</f>
        <v>883200</v>
      </c>
    </row>
    <row r="461" spans="2:34" ht="16.8" thickTop="1" thickBot="1" x14ac:dyDescent="0.35">
      <c r="B461" s="3" t="str">
        <f t="shared" si="16"/>
        <v>45102204511000578Training &amp; Dev -N413710100103</v>
      </c>
      <c r="C461" s="8" t="s">
        <v>134</v>
      </c>
      <c r="D461" s="8" t="s">
        <v>756</v>
      </c>
      <c r="E461" s="8" t="s">
        <v>757</v>
      </c>
      <c r="F461" s="8" t="s">
        <v>758</v>
      </c>
      <c r="G461" s="4" t="s">
        <v>2858</v>
      </c>
      <c r="H461" s="4" t="s">
        <v>2924</v>
      </c>
      <c r="I461" s="8" t="s">
        <v>759</v>
      </c>
      <c r="J461" s="8" t="s">
        <v>31</v>
      </c>
      <c r="K461" s="12">
        <f>_xlfn.XLOOKUP(B461,[1]Sheet1!$B:$B,[1]Sheet1!$N:$N,0)</f>
        <v>0</v>
      </c>
      <c r="L461" s="12">
        <f>_xlfn.XLOOKUP(B461,[1]Sheet1!$B:$B,[1]Sheet1!$O:$O,0)</f>
        <v>0</v>
      </c>
      <c r="M461" s="12">
        <f>_xlfn.XLOOKUP(B461,[1]Sheet1!$B:$B,[1]Sheet1!$P:$P,0)</f>
        <v>0</v>
      </c>
      <c r="N461" s="12">
        <f>_xlfn.XLOOKUP(B461,[1]Sheet1!$B:$B,[1]Sheet1!$Q:$Q,0)</f>
        <v>0</v>
      </c>
      <c r="O461" s="12">
        <f>_xlfn.XLOOKUP(B461,[1]Sheet1!$B:$B,[1]Sheet1!$R:$R,0)</f>
        <v>0</v>
      </c>
      <c r="P461" s="12">
        <f>_xlfn.XLOOKUP(B461,[1]Sheet1!$B:$B,[1]Sheet1!$S:$S,0)</f>
        <v>0</v>
      </c>
      <c r="Q461" s="12">
        <f>_xlfn.XLOOKUP(B461,[1]Sheet1!$B:$B,[1]Sheet1!$T:$T,0)</f>
        <v>0</v>
      </c>
      <c r="R461" s="12">
        <f>_xlfn.XLOOKUP(B461,[1]Sheet1!$B:$B,[1]Sheet1!$U:$U,0)</f>
        <v>0</v>
      </c>
      <c r="S461" s="12">
        <f>_xlfn.XLOOKUP(B461,[1]Sheet1!$B:$B,[1]Sheet1!$V:$V,0)</f>
        <v>0</v>
      </c>
      <c r="T461" s="12">
        <f>_xlfn.XLOOKUP(B461,[1]Sheet1!$B:$B,[1]Sheet1!$W:$W,0)</f>
        <v>0</v>
      </c>
      <c r="U461" s="12">
        <f>_xlfn.XLOOKUP(B461,[1]Sheet1!$B:$B,[1]Sheet1!$X:$X,0)</f>
        <v>0</v>
      </c>
      <c r="V461" s="12">
        <f>_xlfn.XLOOKUP(B461,[1]Sheet1!$B:$B,[1]Sheet1!$Y:$Y,0)</f>
        <v>0</v>
      </c>
      <c r="W461" s="12">
        <f t="shared" si="17"/>
        <v>0</v>
      </c>
      <c r="X461" s="8" t="s">
        <v>760</v>
      </c>
      <c r="Y461" s="8" t="s">
        <v>132</v>
      </c>
      <c r="Z461" s="8" t="s">
        <v>133</v>
      </c>
      <c r="AA461" s="8" t="s">
        <v>761</v>
      </c>
      <c r="AB461" s="8" t="s">
        <v>204</v>
      </c>
      <c r="AC461" s="8" t="s">
        <v>205</v>
      </c>
      <c r="AD461" s="8" t="s">
        <v>135</v>
      </c>
      <c r="AE461" s="8" t="s">
        <v>39</v>
      </c>
      <c r="AF461" s="8" t="s">
        <v>40</v>
      </c>
      <c r="AG461" s="9">
        <v>7134010</v>
      </c>
      <c r="AH461" s="11">
        <f>_xlfn.XLOOKUP(B461,[1]Sheet1!$B:$B,[1]Sheet1!$AB:$AB,0)</f>
        <v>0</v>
      </c>
    </row>
    <row r="462" spans="2:34" ht="16.8" thickTop="1" thickBot="1" x14ac:dyDescent="0.35">
      <c r="B462" s="3" t="str">
        <f t="shared" si="16"/>
        <v>45112504511000580Activation&amp;Prog-N422401200104</v>
      </c>
      <c r="C462" s="6" t="s">
        <v>67</v>
      </c>
      <c r="D462" s="6" t="s">
        <v>762</v>
      </c>
      <c r="E462" s="6" t="s">
        <v>763</v>
      </c>
      <c r="F462" s="6" t="s">
        <v>62</v>
      </c>
      <c r="G462" s="4" t="s">
        <v>2807</v>
      </c>
      <c r="H462" s="4" t="s">
        <v>2922</v>
      </c>
      <c r="I462" s="6" t="s">
        <v>63</v>
      </c>
      <c r="J462" s="6" t="s">
        <v>31</v>
      </c>
      <c r="K462" s="12">
        <f>_xlfn.XLOOKUP(B462,[1]Sheet1!$B:$B,[1]Sheet1!$N:$N,0)</f>
        <v>0</v>
      </c>
      <c r="L462" s="12">
        <f>_xlfn.XLOOKUP(B462,[1]Sheet1!$B:$B,[1]Sheet1!$O:$O,0)</f>
        <v>534234</v>
      </c>
      <c r="M462" s="12">
        <f>_xlfn.XLOOKUP(B462,[1]Sheet1!$B:$B,[1]Sheet1!$P:$P,0)</f>
        <v>0</v>
      </c>
      <c r="N462" s="12">
        <f>_xlfn.XLOOKUP(B462,[1]Sheet1!$B:$B,[1]Sheet1!$Q:$Q,0)</f>
        <v>0</v>
      </c>
      <c r="O462" s="12">
        <f>_xlfn.XLOOKUP(B462,[1]Sheet1!$B:$B,[1]Sheet1!$R:$R,0)</f>
        <v>0</v>
      </c>
      <c r="P462" s="12">
        <f>_xlfn.XLOOKUP(B462,[1]Sheet1!$B:$B,[1]Sheet1!$S:$S,0)</f>
        <v>927136</v>
      </c>
      <c r="Q462" s="12">
        <f>_xlfn.XLOOKUP(B462,[1]Sheet1!$B:$B,[1]Sheet1!$T:$T,0)</f>
        <v>0</v>
      </c>
      <c r="R462" s="12">
        <f>_xlfn.XLOOKUP(B462,[1]Sheet1!$B:$B,[1]Sheet1!$U:$U,0)</f>
        <v>50000</v>
      </c>
      <c r="S462" s="12">
        <f>_xlfn.XLOOKUP(B462,[1]Sheet1!$B:$B,[1]Sheet1!$V:$V,0)</f>
        <v>475000</v>
      </c>
      <c r="T462" s="12">
        <f>_xlfn.XLOOKUP(B462,[1]Sheet1!$B:$B,[1]Sheet1!$W:$W,0)</f>
        <v>1314482</v>
      </c>
      <c r="U462" s="12">
        <f>_xlfn.XLOOKUP(B462,[1]Sheet1!$B:$B,[1]Sheet1!$X:$X,0)</f>
        <v>432000</v>
      </c>
      <c r="V462" s="12">
        <f>_xlfn.XLOOKUP(B462,[1]Sheet1!$B:$B,[1]Sheet1!$Y:$Y,0)</f>
        <v>187726</v>
      </c>
      <c r="W462" s="12">
        <f t="shared" si="17"/>
        <v>3920578</v>
      </c>
      <c r="X462" s="6" t="s">
        <v>64</v>
      </c>
      <c r="Y462" s="6" t="s">
        <v>65</v>
      </c>
      <c r="Z462" s="6" t="s">
        <v>66</v>
      </c>
      <c r="AA462" s="6" t="s">
        <v>68</v>
      </c>
      <c r="AB462" s="6" t="s">
        <v>36</v>
      </c>
      <c r="AC462" s="6" t="s">
        <v>37</v>
      </c>
      <c r="AD462" s="6" t="s">
        <v>69</v>
      </c>
      <c r="AE462" s="6" t="s">
        <v>39</v>
      </c>
      <c r="AF462" s="6" t="s">
        <v>40</v>
      </c>
      <c r="AG462" s="7">
        <v>3920578</v>
      </c>
      <c r="AH462" s="11">
        <f>_xlfn.XLOOKUP(B462,[1]Sheet1!$B:$B,[1]Sheet1!$AB:$AB,0)</f>
        <v>3920578</v>
      </c>
    </row>
    <row r="463" spans="2:34" ht="16.8" thickTop="1" thickBot="1" x14ac:dyDescent="0.35">
      <c r="B463" s="3" t="str">
        <f t="shared" si="16"/>
        <v>45112504511000580Freelancers-N424521200104</v>
      </c>
      <c r="C463" s="8" t="s">
        <v>67</v>
      </c>
      <c r="D463" s="8" t="s">
        <v>762</v>
      </c>
      <c r="E463" s="8" t="s">
        <v>763</v>
      </c>
      <c r="F463" s="8" t="s">
        <v>50</v>
      </c>
      <c r="G463" s="4" t="s">
        <v>2804</v>
      </c>
      <c r="H463" s="4" t="s">
        <v>2922</v>
      </c>
      <c r="I463" s="8" t="s">
        <v>51</v>
      </c>
      <c r="J463" s="8" t="s">
        <v>31</v>
      </c>
      <c r="K463" s="12">
        <f>_xlfn.XLOOKUP(B463,[1]Sheet1!$B:$B,[1]Sheet1!$N:$N,0)</f>
        <v>0</v>
      </c>
      <c r="L463" s="12">
        <f>_xlfn.XLOOKUP(B463,[1]Sheet1!$B:$B,[1]Sheet1!$O:$O,0)</f>
        <v>0</v>
      </c>
      <c r="M463" s="12">
        <f>_xlfn.XLOOKUP(B463,[1]Sheet1!$B:$B,[1]Sheet1!$P:$P,0)</f>
        <v>39000</v>
      </c>
      <c r="N463" s="12">
        <f>_xlfn.XLOOKUP(B463,[1]Sheet1!$B:$B,[1]Sheet1!$Q:$Q,0)</f>
        <v>117000</v>
      </c>
      <c r="O463" s="12">
        <f>_xlfn.XLOOKUP(B463,[1]Sheet1!$B:$B,[1]Sheet1!$R:$R,0)</f>
        <v>39000</v>
      </c>
      <c r="P463" s="12">
        <f>_xlfn.XLOOKUP(B463,[1]Sheet1!$B:$B,[1]Sheet1!$S:$S,0)</f>
        <v>39000</v>
      </c>
      <c r="Q463" s="12">
        <f>_xlfn.XLOOKUP(B463,[1]Sheet1!$B:$B,[1]Sheet1!$T:$T,0)</f>
        <v>39000</v>
      </c>
      <c r="R463" s="12">
        <f>_xlfn.XLOOKUP(B463,[1]Sheet1!$B:$B,[1]Sheet1!$U:$U,0)</f>
        <v>39000</v>
      </c>
      <c r="S463" s="12">
        <f>_xlfn.XLOOKUP(B463,[1]Sheet1!$B:$B,[1]Sheet1!$V:$V,0)</f>
        <v>0</v>
      </c>
      <c r="T463" s="12">
        <f>_xlfn.XLOOKUP(B463,[1]Sheet1!$B:$B,[1]Sheet1!$W:$W,0)</f>
        <v>0</v>
      </c>
      <c r="U463" s="12">
        <f>_xlfn.XLOOKUP(B463,[1]Sheet1!$B:$B,[1]Sheet1!$X:$X,0)</f>
        <v>0</v>
      </c>
      <c r="V463" s="12">
        <f>_xlfn.XLOOKUP(B463,[1]Sheet1!$B:$B,[1]Sheet1!$Y:$Y,0)</f>
        <v>0</v>
      </c>
      <c r="W463" s="12">
        <f t="shared" si="17"/>
        <v>312000</v>
      </c>
      <c r="X463" s="8" t="s">
        <v>82</v>
      </c>
      <c r="Y463" s="8" t="s">
        <v>65</v>
      </c>
      <c r="Z463" s="8" t="s">
        <v>66</v>
      </c>
      <c r="AA463" s="8" t="s">
        <v>53</v>
      </c>
      <c r="AB463" s="8" t="s">
        <v>36</v>
      </c>
      <c r="AC463" s="8" t="s">
        <v>37</v>
      </c>
      <c r="AD463" s="8" t="s">
        <v>69</v>
      </c>
      <c r="AE463" s="8" t="s">
        <v>39</v>
      </c>
      <c r="AF463" s="8" t="s">
        <v>40</v>
      </c>
      <c r="AG463" s="9">
        <v>234000</v>
      </c>
      <c r="AH463" s="11">
        <f>_xlfn.XLOOKUP(B463,[1]Sheet1!$B:$B,[1]Sheet1!$AB:$AB,0)</f>
        <v>234000</v>
      </c>
    </row>
    <row r="464" spans="2:34" ht="16.8" thickTop="1" thickBot="1" x14ac:dyDescent="0.35">
      <c r="B464" s="3" t="str">
        <f t="shared" si="16"/>
        <v>45112504511000580Manpower-N424521200104</v>
      </c>
      <c r="C464" s="6" t="s">
        <v>67</v>
      </c>
      <c r="D464" s="6" t="s">
        <v>762</v>
      </c>
      <c r="E464" s="6" t="s">
        <v>763</v>
      </c>
      <c r="F464" s="6" t="s">
        <v>98</v>
      </c>
      <c r="G464" s="4" t="s">
        <v>2804</v>
      </c>
      <c r="H464" s="4" t="s">
        <v>2922</v>
      </c>
      <c r="I464" s="6" t="s">
        <v>51</v>
      </c>
      <c r="J464" s="6" t="s">
        <v>31</v>
      </c>
      <c r="K464" s="12">
        <f>_xlfn.XLOOKUP(B464,[1]Sheet1!$B:$B,[1]Sheet1!$N:$N,0)</f>
        <v>0</v>
      </c>
      <c r="L464" s="12">
        <f>_xlfn.XLOOKUP(B464,[1]Sheet1!$B:$B,[1]Sheet1!$O:$O,0)</f>
        <v>0</v>
      </c>
      <c r="M464" s="12">
        <f>_xlfn.XLOOKUP(B464,[1]Sheet1!$B:$B,[1]Sheet1!$P:$P,0)</f>
        <v>0</v>
      </c>
      <c r="N464" s="12">
        <f>_xlfn.XLOOKUP(B464,[1]Sheet1!$B:$B,[1]Sheet1!$Q:$Q,0)</f>
        <v>40000</v>
      </c>
      <c r="O464" s="12">
        <f>_xlfn.XLOOKUP(B464,[1]Sheet1!$B:$B,[1]Sheet1!$R:$R,0)</f>
        <v>12000</v>
      </c>
      <c r="P464" s="12">
        <f>_xlfn.XLOOKUP(B464,[1]Sheet1!$B:$B,[1]Sheet1!$S:$S,0)</f>
        <v>12000</v>
      </c>
      <c r="Q464" s="12">
        <f>_xlfn.XLOOKUP(B464,[1]Sheet1!$B:$B,[1]Sheet1!$T:$T,0)</f>
        <v>12000</v>
      </c>
      <c r="R464" s="12">
        <f>_xlfn.XLOOKUP(B464,[1]Sheet1!$B:$B,[1]Sheet1!$U:$U,0)</f>
        <v>12000</v>
      </c>
      <c r="S464" s="12">
        <f>_xlfn.XLOOKUP(B464,[1]Sheet1!$B:$B,[1]Sheet1!$V:$V,0)</f>
        <v>0</v>
      </c>
      <c r="T464" s="12">
        <f>_xlfn.XLOOKUP(B464,[1]Sheet1!$B:$B,[1]Sheet1!$W:$W,0)</f>
        <v>0</v>
      </c>
      <c r="U464" s="12">
        <f>_xlfn.XLOOKUP(B464,[1]Sheet1!$B:$B,[1]Sheet1!$X:$X,0)</f>
        <v>0</v>
      </c>
      <c r="V464" s="12">
        <f>_xlfn.XLOOKUP(B464,[1]Sheet1!$B:$B,[1]Sheet1!$Y:$Y,0)</f>
        <v>0</v>
      </c>
      <c r="W464" s="12">
        <f t="shared" si="17"/>
        <v>88000</v>
      </c>
      <c r="X464" s="6" t="s">
        <v>82</v>
      </c>
      <c r="Y464" s="6" t="s">
        <v>65</v>
      </c>
      <c r="Z464" s="6" t="s">
        <v>66</v>
      </c>
      <c r="AA464" s="6" t="s">
        <v>53</v>
      </c>
      <c r="AB464" s="6" t="s">
        <v>36</v>
      </c>
      <c r="AC464" s="6" t="s">
        <v>37</v>
      </c>
      <c r="AD464" s="6" t="s">
        <v>69</v>
      </c>
      <c r="AE464" s="6" t="s">
        <v>39</v>
      </c>
      <c r="AF464" s="6" t="s">
        <v>40</v>
      </c>
      <c r="AG464" s="7">
        <v>166000.04999999999</v>
      </c>
      <c r="AH464" s="11">
        <f>_xlfn.XLOOKUP(B464,[1]Sheet1!$B:$B,[1]Sheet1!$AB:$AB,0)</f>
        <v>166000</v>
      </c>
    </row>
    <row r="465" spans="2:34" ht="16.8" thickTop="1" thickBot="1" x14ac:dyDescent="0.35">
      <c r="B465" s="3" t="str">
        <f t="shared" si="16"/>
        <v>45112504511000581Activation&amp;Prog-N422401200104</v>
      </c>
      <c r="C465" s="8" t="s">
        <v>67</v>
      </c>
      <c r="D465" s="8" t="s">
        <v>764</v>
      </c>
      <c r="E465" s="8" t="s">
        <v>765</v>
      </c>
      <c r="F465" s="8" t="s">
        <v>62</v>
      </c>
      <c r="G465" s="4" t="s">
        <v>2807</v>
      </c>
      <c r="H465" s="4" t="s">
        <v>2922</v>
      </c>
      <c r="I465" s="8" t="s">
        <v>63</v>
      </c>
      <c r="J465" s="8" t="s">
        <v>31</v>
      </c>
      <c r="K465" s="12">
        <f>_xlfn.XLOOKUP(B465,[1]Sheet1!$B:$B,[1]Sheet1!$N:$N,0)</f>
        <v>0</v>
      </c>
      <c r="L465" s="12">
        <f>_xlfn.XLOOKUP(B465,[1]Sheet1!$B:$B,[1]Sheet1!$O:$O,0)</f>
        <v>0</v>
      </c>
      <c r="M465" s="12">
        <f>_xlfn.XLOOKUP(B465,[1]Sheet1!$B:$B,[1]Sheet1!$P:$P,0)</f>
        <v>0</v>
      </c>
      <c r="N465" s="12">
        <f>_xlfn.XLOOKUP(B465,[1]Sheet1!$B:$B,[1]Sheet1!$Q:$Q,0)</f>
        <v>0</v>
      </c>
      <c r="O465" s="12">
        <f>_xlfn.XLOOKUP(B465,[1]Sheet1!$B:$B,[1]Sheet1!$R:$R,0)</f>
        <v>0</v>
      </c>
      <c r="P465" s="12">
        <f>_xlfn.XLOOKUP(B465,[1]Sheet1!$B:$B,[1]Sheet1!$S:$S,0)</f>
        <v>0</v>
      </c>
      <c r="Q465" s="12">
        <f>_xlfn.XLOOKUP(B465,[1]Sheet1!$B:$B,[1]Sheet1!$T:$T,0)</f>
        <v>0</v>
      </c>
      <c r="R465" s="12">
        <f>_xlfn.XLOOKUP(B465,[1]Sheet1!$B:$B,[1]Sheet1!$U:$U,0)</f>
        <v>0</v>
      </c>
      <c r="S465" s="12">
        <f>_xlfn.XLOOKUP(B465,[1]Sheet1!$B:$B,[1]Sheet1!$V:$V,0)</f>
        <v>0</v>
      </c>
      <c r="T465" s="12">
        <f>_xlfn.XLOOKUP(B465,[1]Sheet1!$B:$B,[1]Sheet1!$W:$W,0)</f>
        <v>101500</v>
      </c>
      <c r="U465" s="12">
        <f>_xlfn.XLOOKUP(B465,[1]Sheet1!$B:$B,[1]Sheet1!$X:$X,0)</f>
        <v>0</v>
      </c>
      <c r="V465" s="12">
        <f>_xlfn.XLOOKUP(B465,[1]Sheet1!$B:$B,[1]Sheet1!$Y:$Y,0)</f>
        <v>168500</v>
      </c>
      <c r="W465" s="12">
        <f t="shared" si="17"/>
        <v>270000</v>
      </c>
      <c r="X465" s="8" t="s">
        <v>64</v>
      </c>
      <c r="Y465" s="8" t="s">
        <v>65</v>
      </c>
      <c r="Z465" s="8" t="s">
        <v>66</v>
      </c>
      <c r="AA465" s="8" t="s">
        <v>68</v>
      </c>
      <c r="AB465" s="8" t="s">
        <v>36</v>
      </c>
      <c r="AC465" s="8" t="s">
        <v>37</v>
      </c>
      <c r="AD465" s="8" t="s">
        <v>69</v>
      </c>
      <c r="AE465" s="8" t="s">
        <v>39</v>
      </c>
      <c r="AF465" s="8" t="s">
        <v>40</v>
      </c>
      <c r="AG465" s="9">
        <v>270000</v>
      </c>
      <c r="AH465" s="11">
        <f>_xlfn.XLOOKUP(B465,[1]Sheet1!$B:$B,[1]Sheet1!$AB:$AB,0)</f>
        <v>270000</v>
      </c>
    </row>
    <row r="466" spans="2:34" ht="16.8" thickTop="1" thickBot="1" x14ac:dyDescent="0.35">
      <c r="B466" s="3" t="str">
        <f t="shared" si="16"/>
        <v>45112504511000581Freelancers-N424521200104</v>
      </c>
      <c r="C466" s="6" t="s">
        <v>67</v>
      </c>
      <c r="D466" s="6" t="s">
        <v>764</v>
      </c>
      <c r="E466" s="6" t="s">
        <v>765</v>
      </c>
      <c r="F466" s="6" t="s">
        <v>50</v>
      </c>
      <c r="G466" s="4" t="s">
        <v>2804</v>
      </c>
      <c r="H466" s="4" t="s">
        <v>2922</v>
      </c>
      <c r="I466" s="6" t="s">
        <v>51</v>
      </c>
      <c r="J466" s="6" t="s">
        <v>31</v>
      </c>
      <c r="K466" s="12">
        <f>_xlfn.XLOOKUP(B466,[1]Sheet1!$B:$B,[1]Sheet1!$N:$N,0)</f>
        <v>0</v>
      </c>
      <c r="L466" s="12">
        <f>_xlfn.XLOOKUP(B466,[1]Sheet1!$B:$B,[1]Sheet1!$O:$O,0)</f>
        <v>0</v>
      </c>
      <c r="M466" s="12">
        <f>_xlfn.XLOOKUP(B466,[1]Sheet1!$B:$B,[1]Sheet1!$P:$P,0)</f>
        <v>39000</v>
      </c>
      <c r="N466" s="12">
        <f>_xlfn.XLOOKUP(B466,[1]Sheet1!$B:$B,[1]Sheet1!$Q:$Q,0)</f>
        <v>0</v>
      </c>
      <c r="O466" s="12">
        <f>_xlfn.XLOOKUP(B466,[1]Sheet1!$B:$B,[1]Sheet1!$R:$R,0)</f>
        <v>23500</v>
      </c>
      <c r="P466" s="12">
        <f>_xlfn.XLOOKUP(B466,[1]Sheet1!$B:$B,[1]Sheet1!$S:$S,0)</f>
        <v>0</v>
      </c>
      <c r="Q466" s="12">
        <f>_xlfn.XLOOKUP(B466,[1]Sheet1!$B:$B,[1]Sheet1!$T:$T,0)</f>
        <v>0</v>
      </c>
      <c r="R466" s="12">
        <f>_xlfn.XLOOKUP(B466,[1]Sheet1!$B:$B,[1]Sheet1!$U:$U,0)</f>
        <v>62500</v>
      </c>
      <c r="S466" s="12">
        <f>_xlfn.XLOOKUP(B466,[1]Sheet1!$B:$B,[1]Sheet1!$V:$V,0)</f>
        <v>0</v>
      </c>
      <c r="T466" s="12">
        <f>_xlfn.XLOOKUP(B466,[1]Sheet1!$B:$B,[1]Sheet1!$W:$W,0)</f>
        <v>0</v>
      </c>
      <c r="U466" s="12">
        <f>_xlfn.XLOOKUP(B466,[1]Sheet1!$B:$B,[1]Sheet1!$X:$X,0)</f>
        <v>0</v>
      </c>
      <c r="V466" s="12">
        <f>_xlfn.XLOOKUP(B466,[1]Sheet1!$B:$B,[1]Sheet1!$Y:$Y,0)</f>
        <v>125000</v>
      </c>
      <c r="W466" s="12">
        <f t="shared" si="17"/>
        <v>250000</v>
      </c>
      <c r="X466" s="6" t="s">
        <v>82</v>
      </c>
      <c r="Y466" s="6" t="s">
        <v>65</v>
      </c>
      <c r="Z466" s="6" t="s">
        <v>66</v>
      </c>
      <c r="AA466" s="6" t="s">
        <v>53</v>
      </c>
      <c r="AB466" s="6" t="s">
        <v>36</v>
      </c>
      <c r="AC466" s="6" t="s">
        <v>37</v>
      </c>
      <c r="AD466" s="6" t="s">
        <v>69</v>
      </c>
      <c r="AE466" s="6" t="s">
        <v>39</v>
      </c>
      <c r="AF466" s="6" t="s">
        <v>40</v>
      </c>
      <c r="AG466" s="7">
        <v>250000</v>
      </c>
      <c r="AH466" s="11">
        <f>_xlfn.XLOOKUP(B466,[1]Sheet1!$B:$B,[1]Sheet1!$AB:$AB,0)</f>
        <v>250000</v>
      </c>
    </row>
    <row r="467" spans="2:34" ht="16.8" thickTop="1" thickBot="1" x14ac:dyDescent="0.35">
      <c r="B467" s="3" t="str">
        <f t="shared" si="16"/>
        <v>45112504511000583Activation&amp;Prog-N422401200104</v>
      </c>
      <c r="C467" s="8" t="s">
        <v>67</v>
      </c>
      <c r="D467" s="8" t="s">
        <v>766</v>
      </c>
      <c r="E467" s="8" t="s">
        <v>767</v>
      </c>
      <c r="F467" s="8" t="s">
        <v>62</v>
      </c>
      <c r="G467" s="4" t="s">
        <v>2807</v>
      </c>
      <c r="H467" s="4" t="s">
        <v>2922</v>
      </c>
      <c r="I467" s="8" t="s">
        <v>63</v>
      </c>
      <c r="J467" s="8" t="s">
        <v>31</v>
      </c>
      <c r="K467" s="12">
        <f>_xlfn.XLOOKUP(B467,[1]Sheet1!$B:$B,[1]Sheet1!$N:$N,0)</f>
        <v>0</v>
      </c>
      <c r="L467" s="12">
        <f>_xlfn.XLOOKUP(B467,[1]Sheet1!$B:$B,[1]Sheet1!$O:$O,0)</f>
        <v>0</v>
      </c>
      <c r="M467" s="12">
        <f>_xlfn.XLOOKUP(B467,[1]Sheet1!$B:$B,[1]Sheet1!$P:$P,0)</f>
        <v>0</v>
      </c>
      <c r="N467" s="12">
        <f>_xlfn.XLOOKUP(B467,[1]Sheet1!$B:$B,[1]Sheet1!$Q:$Q,0)</f>
        <v>427400</v>
      </c>
      <c r="O467" s="12">
        <f>_xlfn.XLOOKUP(B467,[1]Sheet1!$B:$B,[1]Sheet1!$R:$R,0)</f>
        <v>50000</v>
      </c>
      <c r="P467" s="12">
        <f>_xlfn.XLOOKUP(B467,[1]Sheet1!$B:$B,[1]Sheet1!$S:$S,0)</f>
        <v>400000</v>
      </c>
      <c r="Q467" s="12">
        <f>_xlfn.XLOOKUP(B467,[1]Sheet1!$B:$B,[1]Sheet1!$T:$T,0)</f>
        <v>0</v>
      </c>
      <c r="R467" s="12">
        <f>_xlfn.XLOOKUP(B467,[1]Sheet1!$B:$B,[1]Sheet1!$U:$U,0)</f>
        <v>0</v>
      </c>
      <c r="S467" s="12">
        <f>_xlfn.XLOOKUP(B467,[1]Sheet1!$B:$B,[1]Sheet1!$V:$V,0)</f>
        <v>32600</v>
      </c>
      <c r="T467" s="12">
        <f>_xlfn.XLOOKUP(B467,[1]Sheet1!$B:$B,[1]Sheet1!$W:$W,0)</f>
        <v>0</v>
      </c>
      <c r="U467" s="12">
        <f>_xlfn.XLOOKUP(B467,[1]Sheet1!$B:$B,[1]Sheet1!$X:$X,0)</f>
        <v>290000</v>
      </c>
      <c r="V467" s="12">
        <f>_xlfn.XLOOKUP(B467,[1]Sheet1!$B:$B,[1]Sheet1!$Y:$Y,0)</f>
        <v>0</v>
      </c>
      <c r="W467" s="12">
        <f t="shared" si="17"/>
        <v>1200000</v>
      </c>
      <c r="X467" s="8" t="s">
        <v>64</v>
      </c>
      <c r="Y467" s="8" t="s">
        <v>65</v>
      </c>
      <c r="Z467" s="8" t="s">
        <v>66</v>
      </c>
      <c r="AA467" s="8" t="s">
        <v>68</v>
      </c>
      <c r="AB467" s="8" t="s">
        <v>36</v>
      </c>
      <c r="AC467" s="8" t="s">
        <v>37</v>
      </c>
      <c r="AD467" s="8" t="s">
        <v>69</v>
      </c>
      <c r="AE467" s="8" t="s">
        <v>39</v>
      </c>
      <c r="AF467" s="8" t="s">
        <v>40</v>
      </c>
      <c r="AG467" s="9">
        <v>1200000</v>
      </c>
      <c r="AH467" s="11">
        <f>_xlfn.XLOOKUP(B467,[1]Sheet1!$B:$B,[1]Sheet1!$AB:$AB,0)</f>
        <v>1200000</v>
      </c>
    </row>
    <row r="468" spans="2:34" ht="16.8" thickTop="1" thickBot="1" x14ac:dyDescent="0.35">
      <c r="B468" s="3" t="str">
        <f t="shared" si="16"/>
        <v>45112504511000583Manpower-N424521200104</v>
      </c>
      <c r="C468" s="6" t="s">
        <v>67</v>
      </c>
      <c r="D468" s="6" t="s">
        <v>766</v>
      </c>
      <c r="E468" s="6" t="s">
        <v>767</v>
      </c>
      <c r="F468" s="6" t="s">
        <v>98</v>
      </c>
      <c r="G468" s="4" t="s">
        <v>2804</v>
      </c>
      <c r="H468" s="4" t="s">
        <v>2922</v>
      </c>
      <c r="I468" s="6" t="s">
        <v>51</v>
      </c>
      <c r="J468" s="6" t="s">
        <v>31</v>
      </c>
      <c r="K468" s="12">
        <f>_xlfn.XLOOKUP(B468,[1]Sheet1!$B:$B,[1]Sheet1!$N:$N,0)</f>
        <v>0</v>
      </c>
      <c r="L468" s="12">
        <f>_xlfn.XLOOKUP(B468,[1]Sheet1!$B:$B,[1]Sheet1!$O:$O,0)</f>
        <v>0</v>
      </c>
      <c r="M468" s="12">
        <f>_xlfn.XLOOKUP(B468,[1]Sheet1!$B:$B,[1]Sheet1!$P:$P,0)</f>
        <v>0</v>
      </c>
      <c r="N468" s="12">
        <f>_xlfn.XLOOKUP(B468,[1]Sheet1!$B:$B,[1]Sheet1!$Q:$Q,0)</f>
        <v>0</v>
      </c>
      <c r="O468" s="12">
        <f>_xlfn.XLOOKUP(B468,[1]Sheet1!$B:$B,[1]Sheet1!$R:$R,0)</f>
        <v>0</v>
      </c>
      <c r="P468" s="12">
        <f>_xlfn.XLOOKUP(B468,[1]Sheet1!$B:$B,[1]Sheet1!$S:$S,0)</f>
        <v>0</v>
      </c>
      <c r="Q468" s="12">
        <f>_xlfn.XLOOKUP(B468,[1]Sheet1!$B:$B,[1]Sheet1!$T:$T,0)</f>
        <v>9600</v>
      </c>
      <c r="R468" s="12">
        <f>_xlfn.XLOOKUP(B468,[1]Sheet1!$B:$B,[1]Sheet1!$U:$U,0)</f>
        <v>80000</v>
      </c>
      <c r="S468" s="12">
        <f>_xlfn.XLOOKUP(B468,[1]Sheet1!$B:$B,[1]Sheet1!$V:$V,0)</f>
        <v>25000</v>
      </c>
      <c r="T468" s="12">
        <f>_xlfn.XLOOKUP(B468,[1]Sheet1!$B:$B,[1]Sheet1!$W:$W,0)</f>
        <v>10000</v>
      </c>
      <c r="U468" s="12">
        <f>_xlfn.XLOOKUP(B468,[1]Sheet1!$B:$B,[1]Sheet1!$X:$X,0)</f>
        <v>15000</v>
      </c>
      <c r="V468" s="12">
        <f>_xlfn.XLOOKUP(B468,[1]Sheet1!$B:$B,[1]Sheet1!$Y:$Y,0)</f>
        <v>200000</v>
      </c>
      <c r="W468" s="12">
        <f t="shared" si="17"/>
        <v>339600</v>
      </c>
      <c r="X468" s="6" t="s">
        <v>82</v>
      </c>
      <c r="Y468" s="6" t="s">
        <v>65</v>
      </c>
      <c r="Z468" s="6" t="s">
        <v>66</v>
      </c>
      <c r="AA468" s="6" t="s">
        <v>53</v>
      </c>
      <c r="AB468" s="6" t="s">
        <v>36</v>
      </c>
      <c r="AC468" s="6" t="s">
        <v>37</v>
      </c>
      <c r="AD468" s="6" t="s">
        <v>69</v>
      </c>
      <c r="AE468" s="6" t="s">
        <v>39</v>
      </c>
      <c r="AF468" s="6" t="s">
        <v>40</v>
      </c>
      <c r="AG468" s="7">
        <v>339600</v>
      </c>
      <c r="AH468" s="11">
        <f>_xlfn.XLOOKUP(B468,[1]Sheet1!$B:$B,[1]Sheet1!$AB:$AB,0)</f>
        <v>339600</v>
      </c>
    </row>
    <row r="469" spans="2:34" ht="16.8" thickTop="1" thickBot="1" x14ac:dyDescent="0.35">
      <c r="B469" s="3" t="str">
        <f t="shared" si="16"/>
        <v>45110204511000592Freelancers-N424521200104</v>
      </c>
      <c r="C469" s="8" t="s">
        <v>302</v>
      </c>
      <c r="D469" s="8" t="s">
        <v>768</v>
      </c>
      <c r="E469" s="8" t="s">
        <v>769</v>
      </c>
      <c r="F469" s="8" t="s">
        <v>50</v>
      </c>
      <c r="G469" s="4" t="s">
        <v>2804</v>
      </c>
      <c r="H469" s="4" t="s">
        <v>2922</v>
      </c>
      <c r="I469" s="8" t="s">
        <v>51</v>
      </c>
      <c r="J469" s="8" t="s">
        <v>31</v>
      </c>
      <c r="K469" s="12">
        <f>_xlfn.XLOOKUP(B469,[1]Sheet1!$B:$B,[1]Sheet1!$N:$N,0)</f>
        <v>0</v>
      </c>
      <c r="L469" s="12">
        <f>_xlfn.XLOOKUP(B469,[1]Sheet1!$B:$B,[1]Sheet1!$O:$O,0)</f>
        <v>0</v>
      </c>
      <c r="M469" s="12">
        <f>_xlfn.XLOOKUP(B469,[1]Sheet1!$B:$B,[1]Sheet1!$P:$P,0)</f>
        <v>0</v>
      </c>
      <c r="N469" s="12">
        <f>_xlfn.XLOOKUP(B469,[1]Sheet1!$B:$B,[1]Sheet1!$Q:$Q,0)</f>
        <v>0</v>
      </c>
      <c r="O469" s="12">
        <f>_xlfn.XLOOKUP(B469,[1]Sheet1!$B:$B,[1]Sheet1!$R:$R,0)</f>
        <v>82000</v>
      </c>
      <c r="P469" s="12">
        <f>_xlfn.XLOOKUP(B469,[1]Sheet1!$B:$B,[1]Sheet1!$S:$S,0)</f>
        <v>82000</v>
      </c>
      <c r="Q469" s="12">
        <f>_xlfn.XLOOKUP(B469,[1]Sheet1!$B:$B,[1]Sheet1!$T:$T,0)</f>
        <v>82000</v>
      </c>
      <c r="R469" s="12">
        <f>_xlfn.XLOOKUP(B469,[1]Sheet1!$B:$B,[1]Sheet1!$U:$U,0)</f>
        <v>82000</v>
      </c>
      <c r="S469" s="12">
        <f>_xlfn.XLOOKUP(B469,[1]Sheet1!$B:$B,[1]Sheet1!$V:$V,0)</f>
        <v>328000</v>
      </c>
      <c r="T469" s="12">
        <f>_xlfn.XLOOKUP(B469,[1]Sheet1!$B:$B,[1]Sheet1!$W:$W,0)</f>
        <v>200000</v>
      </c>
      <c r="U469" s="12">
        <f>_xlfn.XLOOKUP(B469,[1]Sheet1!$B:$B,[1]Sheet1!$X:$X,0)</f>
        <v>217271</v>
      </c>
      <c r="V469" s="12">
        <f>_xlfn.XLOOKUP(B469,[1]Sheet1!$B:$B,[1]Sheet1!$Y:$Y,0)</f>
        <v>300000</v>
      </c>
      <c r="W469" s="12">
        <f t="shared" si="17"/>
        <v>1373271</v>
      </c>
      <c r="X469" s="8" t="s">
        <v>770</v>
      </c>
      <c r="Y469" s="8" t="s">
        <v>65</v>
      </c>
      <c r="Z469" s="8" t="s">
        <v>301</v>
      </c>
      <c r="AA469" s="8" t="s">
        <v>53</v>
      </c>
      <c r="AB469" s="8" t="s">
        <v>36</v>
      </c>
      <c r="AC469" s="8" t="s">
        <v>37</v>
      </c>
      <c r="AD469" s="8" t="s">
        <v>135</v>
      </c>
      <c r="AE469" s="8" t="s">
        <v>39</v>
      </c>
      <c r="AF469" s="8" t="s">
        <v>40</v>
      </c>
      <c r="AG469" s="9">
        <v>1373271</v>
      </c>
      <c r="AH469" s="11">
        <f>_xlfn.XLOOKUP(B469,[1]Sheet1!$B:$B,[1]Sheet1!$AB:$AB,0)</f>
        <v>1373271</v>
      </c>
    </row>
    <row r="470" spans="2:34" ht="16.8" thickTop="1" thickBot="1" x14ac:dyDescent="0.35">
      <c r="B470" s="3" t="str">
        <f t="shared" si="16"/>
        <v>45110204511000592Mission &amp; Travel-N423821200104</v>
      </c>
      <c r="C470" s="6" t="s">
        <v>302</v>
      </c>
      <c r="D470" s="6" t="s">
        <v>768</v>
      </c>
      <c r="E470" s="6" t="s">
        <v>769</v>
      </c>
      <c r="F470" s="6" t="s">
        <v>54</v>
      </c>
      <c r="G470" s="4" t="s">
        <v>2805</v>
      </c>
      <c r="H470" s="4" t="s">
        <v>2922</v>
      </c>
      <c r="I470" s="6" t="s">
        <v>55</v>
      </c>
      <c r="J470" s="6" t="s">
        <v>31</v>
      </c>
      <c r="K470" s="12">
        <f>_xlfn.XLOOKUP(B470,[1]Sheet1!$B:$B,[1]Sheet1!$N:$N,0)</f>
        <v>0</v>
      </c>
      <c r="L470" s="12">
        <f>_xlfn.XLOOKUP(B470,[1]Sheet1!$B:$B,[1]Sheet1!$O:$O,0)</f>
        <v>0</v>
      </c>
      <c r="M470" s="12">
        <f>_xlfn.XLOOKUP(B470,[1]Sheet1!$B:$B,[1]Sheet1!$P:$P,0)</f>
        <v>0</v>
      </c>
      <c r="N470" s="12">
        <f>_xlfn.XLOOKUP(B470,[1]Sheet1!$B:$B,[1]Sheet1!$Q:$Q,0)</f>
        <v>75000</v>
      </c>
      <c r="O470" s="12">
        <f>_xlfn.XLOOKUP(B470,[1]Sheet1!$B:$B,[1]Sheet1!$R:$R,0)</f>
        <v>75000</v>
      </c>
      <c r="P470" s="12">
        <f>_xlfn.XLOOKUP(B470,[1]Sheet1!$B:$B,[1]Sheet1!$S:$S,0)</f>
        <v>75000</v>
      </c>
      <c r="Q470" s="12">
        <f>_xlfn.XLOOKUP(B470,[1]Sheet1!$B:$B,[1]Sheet1!$T:$T,0)</f>
        <v>75000</v>
      </c>
      <c r="R470" s="12">
        <f>_xlfn.XLOOKUP(B470,[1]Sheet1!$B:$B,[1]Sheet1!$U:$U,0)</f>
        <v>75000</v>
      </c>
      <c r="S470" s="12">
        <f>_xlfn.XLOOKUP(B470,[1]Sheet1!$B:$B,[1]Sheet1!$V:$V,0)</f>
        <v>86300</v>
      </c>
      <c r="T470" s="12">
        <f>_xlfn.XLOOKUP(B470,[1]Sheet1!$B:$B,[1]Sheet1!$W:$W,0)</f>
        <v>75000</v>
      </c>
      <c r="U470" s="12">
        <f>_xlfn.XLOOKUP(B470,[1]Sheet1!$B:$B,[1]Sheet1!$X:$X,0)</f>
        <v>150000</v>
      </c>
      <c r="V470" s="12">
        <f>_xlfn.XLOOKUP(B470,[1]Sheet1!$B:$B,[1]Sheet1!$Y:$Y,0)</f>
        <v>150000</v>
      </c>
      <c r="W470" s="12">
        <f t="shared" si="17"/>
        <v>836300</v>
      </c>
      <c r="X470" s="6" t="s">
        <v>771</v>
      </c>
      <c r="Y470" s="6" t="s">
        <v>65</v>
      </c>
      <c r="Z470" s="6" t="s">
        <v>301</v>
      </c>
      <c r="AA470" s="6" t="s">
        <v>55</v>
      </c>
      <c r="AB470" s="6" t="s">
        <v>36</v>
      </c>
      <c r="AC470" s="6" t="s">
        <v>37</v>
      </c>
      <c r="AD470" s="6" t="s">
        <v>135</v>
      </c>
      <c r="AE470" s="6" t="s">
        <v>39</v>
      </c>
      <c r="AF470" s="6" t="s">
        <v>40</v>
      </c>
      <c r="AG470" s="7">
        <v>836300</v>
      </c>
      <c r="AH470" s="11">
        <f>_xlfn.XLOOKUP(B470,[1]Sheet1!$B:$B,[1]Sheet1!$AB:$AB,0)</f>
        <v>836300</v>
      </c>
    </row>
    <row r="471" spans="2:34" ht="16.8" thickTop="1" thickBot="1" x14ac:dyDescent="0.35">
      <c r="B471" s="3" t="str">
        <f t="shared" si="16"/>
        <v>45111504511000592Mission &amp; Travel-N1423821200104</v>
      </c>
      <c r="C471" s="8" t="s">
        <v>299</v>
      </c>
      <c r="D471" s="8" t="s">
        <v>768</v>
      </c>
      <c r="E471" s="8" t="s">
        <v>769</v>
      </c>
      <c r="F471" s="8" t="s">
        <v>472</v>
      </c>
      <c r="G471" s="4" t="s">
        <v>2805</v>
      </c>
      <c r="H471" s="4" t="s">
        <v>2922</v>
      </c>
      <c r="I471" s="8" t="s">
        <v>55</v>
      </c>
      <c r="J471" s="8" t="s">
        <v>31</v>
      </c>
      <c r="K471" s="12">
        <f>_xlfn.XLOOKUP(B471,[1]Sheet1!$B:$B,[1]Sheet1!$N:$N,0)</f>
        <v>0</v>
      </c>
      <c r="L471" s="12">
        <f>_xlfn.XLOOKUP(B471,[1]Sheet1!$B:$B,[1]Sheet1!$O:$O,0)</f>
        <v>0</v>
      </c>
      <c r="M471" s="12">
        <f>_xlfn.XLOOKUP(B471,[1]Sheet1!$B:$B,[1]Sheet1!$P:$P,0)</f>
        <v>0</v>
      </c>
      <c r="N471" s="12">
        <f>_xlfn.XLOOKUP(B471,[1]Sheet1!$B:$B,[1]Sheet1!$Q:$Q,0)</f>
        <v>0</v>
      </c>
      <c r="O471" s="12">
        <f>_xlfn.XLOOKUP(B471,[1]Sheet1!$B:$B,[1]Sheet1!$R:$R,0)</f>
        <v>0</v>
      </c>
      <c r="P471" s="12">
        <f>_xlfn.XLOOKUP(B471,[1]Sheet1!$B:$B,[1]Sheet1!$S:$S,0)</f>
        <v>0</v>
      </c>
      <c r="Q471" s="12">
        <f>_xlfn.XLOOKUP(B471,[1]Sheet1!$B:$B,[1]Sheet1!$T:$T,0)</f>
        <v>0</v>
      </c>
      <c r="R471" s="12">
        <f>_xlfn.XLOOKUP(B471,[1]Sheet1!$B:$B,[1]Sheet1!$U:$U,0)</f>
        <v>0</v>
      </c>
      <c r="S471" s="12">
        <f>_xlfn.XLOOKUP(B471,[1]Sheet1!$B:$B,[1]Sheet1!$V:$V,0)</f>
        <v>0</v>
      </c>
      <c r="T471" s="12">
        <f>_xlfn.XLOOKUP(B471,[1]Sheet1!$B:$B,[1]Sheet1!$W:$W,0)</f>
        <v>0</v>
      </c>
      <c r="U471" s="12">
        <f>_xlfn.XLOOKUP(B471,[1]Sheet1!$B:$B,[1]Sheet1!$X:$X,0)</f>
        <v>168000</v>
      </c>
      <c r="V471" s="12">
        <f>_xlfn.XLOOKUP(B471,[1]Sheet1!$B:$B,[1]Sheet1!$Y:$Y,0)</f>
        <v>0</v>
      </c>
      <c r="W471" s="12">
        <f t="shared" si="17"/>
        <v>168000</v>
      </c>
      <c r="X471" s="8" t="s">
        <v>772</v>
      </c>
      <c r="Y471" s="8" t="s">
        <v>65</v>
      </c>
      <c r="Z471" s="8" t="s">
        <v>298</v>
      </c>
      <c r="AA471" s="8" t="s">
        <v>55</v>
      </c>
      <c r="AB471" s="8" t="s">
        <v>36</v>
      </c>
      <c r="AC471" s="8" t="s">
        <v>37</v>
      </c>
      <c r="AD471" s="8" t="s">
        <v>135</v>
      </c>
      <c r="AE471" s="8" t="s">
        <v>39</v>
      </c>
      <c r="AF471" s="8" t="s">
        <v>40</v>
      </c>
      <c r="AG471" s="9">
        <v>168000</v>
      </c>
      <c r="AH471" s="11">
        <f>_xlfn.XLOOKUP(B471,[1]Sheet1!$B:$B,[1]Sheet1!$AB:$AB,0)</f>
        <v>168000</v>
      </c>
    </row>
    <row r="472" spans="2:34" ht="16.8" thickTop="1" thickBot="1" x14ac:dyDescent="0.35">
      <c r="B472" s="3" t="str">
        <f t="shared" si="16"/>
        <v>45117504511000593Event Management-N422401200104</v>
      </c>
      <c r="C472" s="6" t="s">
        <v>118</v>
      </c>
      <c r="D472" s="6" t="s">
        <v>773</v>
      </c>
      <c r="E472" s="6" t="s">
        <v>774</v>
      </c>
      <c r="F472" s="6" t="s">
        <v>162</v>
      </c>
      <c r="G472" s="4" t="s">
        <v>2807</v>
      </c>
      <c r="H472" s="4" t="s">
        <v>2922</v>
      </c>
      <c r="I472" s="6" t="s">
        <v>63</v>
      </c>
      <c r="J472" s="6" t="s">
        <v>31</v>
      </c>
      <c r="K472" s="12">
        <f>_xlfn.XLOOKUP(B472,[1]Sheet1!$B:$B,[1]Sheet1!$N:$N,0)</f>
        <v>0</v>
      </c>
      <c r="L472" s="12">
        <f>_xlfn.XLOOKUP(B472,[1]Sheet1!$B:$B,[1]Sheet1!$O:$O,0)</f>
        <v>0</v>
      </c>
      <c r="M472" s="12">
        <f>_xlfn.XLOOKUP(B472,[1]Sheet1!$B:$B,[1]Sheet1!$P:$P,0)</f>
        <v>0</v>
      </c>
      <c r="N472" s="12">
        <f>_xlfn.XLOOKUP(B472,[1]Sheet1!$B:$B,[1]Sheet1!$Q:$Q,0)</f>
        <v>0</v>
      </c>
      <c r="O472" s="12">
        <f>_xlfn.XLOOKUP(B472,[1]Sheet1!$B:$B,[1]Sheet1!$R:$R,0)</f>
        <v>0</v>
      </c>
      <c r="P472" s="12">
        <f>_xlfn.XLOOKUP(B472,[1]Sheet1!$B:$B,[1]Sheet1!$S:$S,0)</f>
        <v>3055996</v>
      </c>
      <c r="Q472" s="12">
        <f>_xlfn.XLOOKUP(B472,[1]Sheet1!$B:$B,[1]Sheet1!$T:$T,0)</f>
        <v>0</v>
      </c>
      <c r="R472" s="12">
        <f>_xlfn.XLOOKUP(B472,[1]Sheet1!$B:$B,[1]Sheet1!$U:$U,0)</f>
        <v>5357000</v>
      </c>
      <c r="S472" s="12">
        <f>_xlfn.XLOOKUP(B472,[1]Sheet1!$B:$B,[1]Sheet1!$V:$V,0)</f>
        <v>10000000</v>
      </c>
      <c r="T472" s="12">
        <f>_xlfn.XLOOKUP(B472,[1]Sheet1!$B:$B,[1]Sheet1!$W:$W,0)</f>
        <v>6090591</v>
      </c>
      <c r="U472" s="12">
        <f>_xlfn.XLOOKUP(B472,[1]Sheet1!$B:$B,[1]Sheet1!$X:$X,0)</f>
        <v>0</v>
      </c>
      <c r="V472" s="12">
        <f>_xlfn.XLOOKUP(B472,[1]Sheet1!$B:$B,[1]Sheet1!$Y:$Y,0)</f>
        <v>0</v>
      </c>
      <c r="W472" s="12">
        <f t="shared" si="17"/>
        <v>24503587</v>
      </c>
      <c r="X472" s="6" t="s">
        <v>388</v>
      </c>
      <c r="Y472" s="6" t="s">
        <v>65</v>
      </c>
      <c r="Z472" s="6" t="s">
        <v>117</v>
      </c>
      <c r="AA472" s="6" t="s">
        <v>68</v>
      </c>
      <c r="AB472" s="6" t="s">
        <v>36</v>
      </c>
      <c r="AC472" s="6" t="s">
        <v>37</v>
      </c>
      <c r="AD472" s="6" t="s">
        <v>102</v>
      </c>
      <c r="AE472" s="6" t="s">
        <v>39</v>
      </c>
      <c r="AF472" s="6" t="s">
        <v>40</v>
      </c>
      <c r="AG472" s="7">
        <v>20003587</v>
      </c>
      <c r="AH472" s="11">
        <f>_xlfn.XLOOKUP(B472,[1]Sheet1!$B:$B,[1]Sheet1!$AB:$AB,0)</f>
        <v>20003587</v>
      </c>
    </row>
    <row r="473" spans="2:34" ht="16.8" thickTop="1" thickBot="1" x14ac:dyDescent="0.35">
      <c r="B473" s="3" t="str">
        <f t="shared" si="16"/>
        <v>45115504511000593Media Mgmnt &amp;Buy-N422511200104</v>
      </c>
      <c r="C473" s="8" t="s">
        <v>154</v>
      </c>
      <c r="D473" s="8" t="s">
        <v>773</v>
      </c>
      <c r="E473" s="8" t="s">
        <v>774</v>
      </c>
      <c r="F473" s="8" t="s">
        <v>166</v>
      </c>
      <c r="G473" s="4" t="s">
        <v>2819</v>
      </c>
      <c r="H473" s="4" t="s">
        <v>2922</v>
      </c>
      <c r="I473" s="8" t="s">
        <v>151</v>
      </c>
      <c r="J473" s="8" t="s">
        <v>31</v>
      </c>
      <c r="K473" s="12">
        <f>_xlfn.XLOOKUP(B473,[1]Sheet1!$B:$B,[1]Sheet1!$N:$N,0)</f>
        <v>0</v>
      </c>
      <c r="L473" s="12">
        <f>_xlfn.XLOOKUP(B473,[1]Sheet1!$B:$B,[1]Sheet1!$O:$O,0)</f>
        <v>0</v>
      </c>
      <c r="M473" s="12">
        <f>_xlfn.XLOOKUP(B473,[1]Sheet1!$B:$B,[1]Sheet1!$P:$P,0)</f>
        <v>0</v>
      </c>
      <c r="N473" s="12">
        <f>_xlfn.XLOOKUP(B473,[1]Sheet1!$B:$B,[1]Sheet1!$Q:$Q,0)</f>
        <v>0</v>
      </c>
      <c r="O473" s="12">
        <f>_xlfn.XLOOKUP(B473,[1]Sheet1!$B:$B,[1]Sheet1!$R:$R,0)</f>
        <v>0</v>
      </c>
      <c r="P473" s="12">
        <f>_xlfn.XLOOKUP(B473,[1]Sheet1!$B:$B,[1]Sheet1!$S:$S,0)</f>
        <v>0</v>
      </c>
      <c r="Q473" s="12">
        <f>_xlfn.XLOOKUP(B473,[1]Sheet1!$B:$B,[1]Sheet1!$T:$T,0)</f>
        <v>0</v>
      </c>
      <c r="R473" s="12">
        <f>_xlfn.XLOOKUP(B473,[1]Sheet1!$B:$B,[1]Sheet1!$U:$U,0)</f>
        <v>0</v>
      </c>
      <c r="S473" s="12">
        <f>_xlfn.XLOOKUP(B473,[1]Sheet1!$B:$B,[1]Sheet1!$V:$V,0)</f>
        <v>0</v>
      </c>
      <c r="T473" s="12">
        <f>_xlfn.XLOOKUP(B473,[1]Sheet1!$B:$B,[1]Sheet1!$W:$W,0)</f>
        <v>0</v>
      </c>
      <c r="U473" s="12">
        <f>_xlfn.XLOOKUP(B473,[1]Sheet1!$B:$B,[1]Sheet1!$X:$X,0)</f>
        <v>239380.5</v>
      </c>
      <c r="V473" s="12">
        <f>_xlfn.XLOOKUP(B473,[1]Sheet1!$B:$B,[1]Sheet1!$Y:$Y,0)</f>
        <v>239380.5</v>
      </c>
      <c r="W473" s="12">
        <f t="shared" si="17"/>
        <v>478761</v>
      </c>
      <c r="X473" s="8" t="s">
        <v>167</v>
      </c>
      <c r="Y473" s="8" t="s">
        <v>65</v>
      </c>
      <c r="Z473" s="8" t="s">
        <v>153</v>
      </c>
      <c r="AA473" s="8" t="s">
        <v>151</v>
      </c>
      <c r="AB473" s="8" t="s">
        <v>36</v>
      </c>
      <c r="AC473" s="8" t="s">
        <v>37</v>
      </c>
      <c r="AD473" s="8" t="s">
        <v>102</v>
      </c>
      <c r="AE473" s="8" t="s">
        <v>39</v>
      </c>
      <c r="AF473" s="8" t="s">
        <v>40</v>
      </c>
      <c r="AG473" s="9">
        <v>478760.9</v>
      </c>
      <c r="AH473" s="11">
        <f>_xlfn.XLOOKUP(B473,[1]Sheet1!$B:$B,[1]Sheet1!$AB:$AB,0)</f>
        <v>478761</v>
      </c>
    </row>
    <row r="474" spans="2:34" ht="16.8" thickTop="1" thickBot="1" x14ac:dyDescent="0.35">
      <c r="B474" s="3" t="str">
        <f t="shared" si="16"/>
        <v>45115504511000593SM Managnt E-E-N422511200104</v>
      </c>
      <c r="C474" s="6" t="s">
        <v>154</v>
      </c>
      <c r="D474" s="6" t="s">
        <v>773</v>
      </c>
      <c r="E474" s="6" t="s">
        <v>774</v>
      </c>
      <c r="F474" s="6" t="s">
        <v>255</v>
      </c>
      <c r="G474" s="4" t="s">
        <v>2819</v>
      </c>
      <c r="H474" s="4" t="s">
        <v>2922</v>
      </c>
      <c r="I474" s="6" t="s">
        <v>151</v>
      </c>
      <c r="J474" s="6" t="s">
        <v>31</v>
      </c>
      <c r="K474" s="12">
        <f>_xlfn.XLOOKUP(B474,[1]Sheet1!$B:$B,[1]Sheet1!$N:$N,0)</f>
        <v>0</v>
      </c>
      <c r="L474" s="12">
        <f>_xlfn.XLOOKUP(B474,[1]Sheet1!$B:$B,[1]Sheet1!$O:$O,0)</f>
        <v>0</v>
      </c>
      <c r="M474" s="12">
        <f>_xlfn.XLOOKUP(B474,[1]Sheet1!$B:$B,[1]Sheet1!$P:$P,0)</f>
        <v>0</v>
      </c>
      <c r="N474" s="12">
        <f>_xlfn.XLOOKUP(B474,[1]Sheet1!$B:$B,[1]Sheet1!$Q:$Q,0)</f>
        <v>0</v>
      </c>
      <c r="O474" s="12">
        <f>_xlfn.XLOOKUP(B474,[1]Sheet1!$B:$B,[1]Sheet1!$R:$R,0)</f>
        <v>0</v>
      </c>
      <c r="P474" s="12">
        <f>_xlfn.XLOOKUP(B474,[1]Sheet1!$B:$B,[1]Sheet1!$S:$S,0)</f>
        <v>0</v>
      </c>
      <c r="Q474" s="12">
        <f>_xlfn.XLOOKUP(B474,[1]Sheet1!$B:$B,[1]Sheet1!$T:$T,0)</f>
        <v>0</v>
      </c>
      <c r="R474" s="12">
        <f>_xlfn.XLOOKUP(B474,[1]Sheet1!$B:$B,[1]Sheet1!$U:$U,0)</f>
        <v>0</v>
      </c>
      <c r="S474" s="12">
        <f>_xlfn.XLOOKUP(B474,[1]Sheet1!$B:$B,[1]Sheet1!$V:$V,0)</f>
        <v>0</v>
      </c>
      <c r="T474" s="12">
        <f>_xlfn.XLOOKUP(B474,[1]Sheet1!$B:$B,[1]Sheet1!$W:$W,0)</f>
        <v>133333.33333333334</v>
      </c>
      <c r="U474" s="12">
        <f>_xlfn.XLOOKUP(B474,[1]Sheet1!$B:$B,[1]Sheet1!$X:$X,0)</f>
        <v>133333.33333333334</v>
      </c>
      <c r="V474" s="12">
        <f>_xlfn.XLOOKUP(B474,[1]Sheet1!$B:$B,[1]Sheet1!$Y:$Y,0)</f>
        <v>133333.33333333334</v>
      </c>
      <c r="W474" s="12">
        <f t="shared" si="17"/>
        <v>400000</v>
      </c>
      <c r="X474" s="6" t="s">
        <v>167</v>
      </c>
      <c r="Y474" s="6" t="s">
        <v>65</v>
      </c>
      <c r="Z474" s="6" t="s">
        <v>153</v>
      </c>
      <c r="AA474" s="6" t="s">
        <v>151</v>
      </c>
      <c r="AB474" s="6" t="s">
        <v>36</v>
      </c>
      <c r="AC474" s="6" t="s">
        <v>37</v>
      </c>
      <c r="AD474" s="6" t="s">
        <v>102</v>
      </c>
      <c r="AE474" s="6" t="s">
        <v>39</v>
      </c>
      <c r="AF474" s="6" t="s">
        <v>40</v>
      </c>
      <c r="AG474" s="7">
        <v>400000</v>
      </c>
      <c r="AH474" s="11">
        <f>_xlfn.XLOOKUP(B474,[1]Sheet1!$B:$B,[1]Sheet1!$AB:$AB,0)</f>
        <v>400000</v>
      </c>
    </row>
    <row r="475" spans="2:34" ht="16.8" thickTop="1" thickBot="1" x14ac:dyDescent="0.35">
      <c r="B475" s="3" t="str">
        <f t="shared" si="16"/>
        <v>45112504511000623Ad-hoc Repairs-N426427200104</v>
      </c>
      <c r="C475" s="8" t="s">
        <v>67</v>
      </c>
      <c r="D475" s="8" t="s">
        <v>775</v>
      </c>
      <c r="E475" s="8" t="s">
        <v>776</v>
      </c>
      <c r="F475" s="8" t="s">
        <v>70</v>
      </c>
      <c r="G475" s="4" t="s">
        <v>2808</v>
      </c>
      <c r="H475" s="4" t="s">
        <v>2922</v>
      </c>
      <c r="I475" s="8" t="s">
        <v>71</v>
      </c>
      <c r="J475" s="8" t="s">
        <v>31</v>
      </c>
      <c r="K475" s="12">
        <f>_xlfn.XLOOKUP(B475,[1]Sheet1!$B:$B,[1]Sheet1!$N:$N,0)</f>
        <v>0</v>
      </c>
      <c r="L475" s="12">
        <f>_xlfn.XLOOKUP(B475,[1]Sheet1!$B:$B,[1]Sheet1!$O:$O,0)</f>
        <v>0</v>
      </c>
      <c r="M475" s="12">
        <f>_xlfn.XLOOKUP(B475,[1]Sheet1!$B:$B,[1]Sheet1!$P:$P,0)</f>
        <v>0</v>
      </c>
      <c r="N475" s="12">
        <f>_xlfn.XLOOKUP(B475,[1]Sheet1!$B:$B,[1]Sheet1!$Q:$Q,0)</f>
        <v>5940</v>
      </c>
      <c r="O475" s="12">
        <f>_xlfn.XLOOKUP(B475,[1]Sheet1!$B:$B,[1]Sheet1!$R:$R,0)</f>
        <v>0</v>
      </c>
      <c r="P475" s="12">
        <f>_xlfn.XLOOKUP(B475,[1]Sheet1!$B:$B,[1]Sheet1!$S:$S,0)</f>
        <v>0</v>
      </c>
      <c r="Q475" s="12">
        <f>_xlfn.XLOOKUP(B475,[1]Sheet1!$B:$B,[1]Sheet1!$T:$T,0)</f>
        <v>0</v>
      </c>
      <c r="R475" s="12">
        <f>_xlfn.XLOOKUP(B475,[1]Sheet1!$B:$B,[1]Sheet1!$U:$U,0)</f>
        <v>0</v>
      </c>
      <c r="S475" s="12">
        <f>_xlfn.XLOOKUP(B475,[1]Sheet1!$B:$B,[1]Sheet1!$V:$V,0)</f>
        <v>0</v>
      </c>
      <c r="T475" s="12">
        <f>_xlfn.XLOOKUP(B475,[1]Sheet1!$B:$B,[1]Sheet1!$W:$W,0)</f>
        <v>0</v>
      </c>
      <c r="U475" s="12">
        <f>_xlfn.XLOOKUP(B475,[1]Sheet1!$B:$B,[1]Sheet1!$X:$X,0)</f>
        <v>0</v>
      </c>
      <c r="V475" s="12">
        <f>_xlfn.XLOOKUP(B475,[1]Sheet1!$B:$B,[1]Sheet1!$Y:$Y,0)</f>
        <v>0</v>
      </c>
      <c r="W475" s="12">
        <f t="shared" si="17"/>
        <v>5940</v>
      </c>
      <c r="X475" s="8" t="s">
        <v>72</v>
      </c>
      <c r="Y475" s="8" t="s">
        <v>65</v>
      </c>
      <c r="Z475" s="8" t="s">
        <v>66</v>
      </c>
      <c r="AA475" s="8" t="s">
        <v>71</v>
      </c>
      <c r="AB475" s="8" t="s">
        <v>36</v>
      </c>
      <c r="AC475" s="8" t="s">
        <v>37</v>
      </c>
      <c r="AD475" s="8" t="s">
        <v>69</v>
      </c>
      <c r="AE475" s="8" t="s">
        <v>39</v>
      </c>
      <c r="AF475" s="8" t="s">
        <v>40</v>
      </c>
      <c r="AG475" s="9">
        <v>5940</v>
      </c>
      <c r="AH475" s="11">
        <f>_xlfn.XLOOKUP(B475,[1]Sheet1!$B:$B,[1]Sheet1!$AB:$AB,0)</f>
        <v>5940</v>
      </c>
    </row>
    <row r="476" spans="2:34" ht="16.8" thickTop="1" thickBot="1" x14ac:dyDescent="0.35">
      <c r="B476" s="3" t="str">
        <f t="shared" si="16"/>
        <v>45112504511000623Cleaning Service-N422311200104</v>
      </c>
      <c r="C476" s="6" t="s">
        <v>67</v>
      </c>
      <c r="D476" s="6" t="s">
        <v>775</v>
      </c>
      <c r="E476" s="6" t="s">
        <v>776</v>
      </c>
      <c r="F476" s="6" t="s">
        <v>79</v>
      </c>
      <c r="G476" s="4" t="s">
        <v>2810</v>
      </c>
      <c r="H476" s="4" t="s">
        <v>2922</v>
      </c>
      <c r="I476" s="6" t="s">
        <v>80</v>
      </c>
      <c r="J476" s="6" t="s">
        <v>31</v>
      </c>
      <c r="K476" s="12">
        <f>_xlfn.XLOOKUP(B476,[1]Sheet1!$B:$B,[1]Sheet1!$N:$N,0)</f>
        <v>0</v>
      </c>
      <c r="L476" s="12">
        <f>_xlfn.XLOOKUP(B476,[1]Sheet1!$B:$B,[1]Sheet1!$O:$O,0)</f>
        <v>0</v>
      </c>
      <c r="M476" s="12">
        <f>_xlfn.XLOOKUP(B476,[1]Sheet1!$B:$B,[1]Sheet1!$P:$P,0)</f>
        <v>0</v>
      </c>
      <c r="N476" s="12">
        <f>_xlfn.XLOOKUP(B476,[1]Sheet1!$B:$B,[1]Sheet1!$Q:$Q,0)</f>
        <v>30532</v>
      </c>
      <c r="O476" s="12">
        <f>_xlfn.XLOOKUP(B476,[1]Sheet1!$B:$B,[1]Sheet1!$R:$R,0)</f>
        <v>7633</v>
      </c>
      <c r="P476" s="12">
        <f>_xlfn.XLOOKUP(B476,[1]Sheet1!$B:$B,[1]Sheet1!$S:$S,0)</f>
        <v>7633</v>
      </c>
      <c r="Q476" s="12">
        <f>_xlfn.XLOOKUP(B476,[1]Sheet1!$B:$B,[1]Sheet1!$T:$T,0)</f>
        <v>7633</v>
      </c>
      <c r="R476" s="12">
        <f>_xlfn.XLOOKUP(B476,[1]Sheet1!$B:$B,[1]Sheet1!$U:$U,0)</f>
        <v>7633</v>
      </c>
      <c r="S476" s="12">
        <f>_xlfn.XLOOKUP(B476,[1]Sheet1!$B:$B,[1]Sheet1!$V:$V,0)</f>
        <v>7633</v>
      </c>
      <c r="T476" s="12">
        <f>_xlfn.XLOOKUP(B476,[1]Sheet1!$B:$B,[1]Sheet1!$W:$W,0)</f>
        <v>7633</v>
      </c>
      <c r="U476" s="12">
        <f>_xlfn.XLOOKUP(B476,[1]Sheet1!$B:$B,[1]Sheet1!$X:$X,0)</f>
        <v>7633</v>
      </c>
      <c r="V476" s="12">
        <f>_xlfn.XLOOKUP(B476,[1]Sheet1!$B:$B,[1]Sheet1!$Y:$Y,0)</f>
        <v>7613</v>
      </c>
      <c r="W476" s="12">
        <f t="shared" si="17"/>
        <v>91576</v>
      </c>
      <c r="X476" s="6" t="s">
        <v>81</v>
      </c>
      <c r="Y476" s="6" t="s">
        <v>65</v>
      </c>
      <c r="Z476" s="6" t="s">
        <v>66</v>
      </c>
      <c r="AA476" s="6" t="s">
        <v>80</v>
      </c>
      <c r="AB476" s="6" t="s">
        <v>36</v>
      </c>
      <c r="AC476" s="6" t="s">
        <v>37</v>
      </c>
      <c r="AD476" s="6" t="s">
        <v>69</v>
      </c>
      <c r="AE476" s="6" t="s">
        <v>39</v>
      </c>
      <c r="AF476" s="6" t="s">
        <v>40</v>
      </c>
      <c r="AG476" s="7">
        <v>91576.1</v>
      </c>
      <c r="AH476" s="11">
        <f>_xlfn.XLOOKUP(B476,[1]Sheet1!$B:$B,[1]Sheet1!$AB:$AB,0)</f>
        <v>91576</v>
      </c>
    </row>
    <row r="477" spans="2:34" ht="16.8" thickTop="1" thickBot="1" x14ac:dyDescent="0.35">
      <c r="B477" s="3" t="str">
        <f t="shared" si="16"/>
        <v>45112504511000623Facilities Rent-N425112200104</v>
      </c>
      <c r="C477" s="8" t="s">
        <v>67</v>
      </c>
      <c r="D477" s="8" t="s">
        <v>775</v>
      </c>
      <c r="E477" s="8" t="s">
        <v>776</v>
      </c>
      <c r="F477" s="8" t="s">
        <v>532</v>
      </c>
      <c r="G477" s="4" t="s">
        <v>2848</v>
      </c>
      <c r="H477" s="4" t="s">
        <v>2922</v>
      </c>
      <c r="I477" s="8" t="s">
        <v>533</v>
      </c>
      <c r="J477" s="8" t="s">
        <v>31</v>
      </c>
      <c r="K477" s="12">
        <f>_xlfn.XLOOKUP(B477,[1]Sheet1!$B:$B,[1]Sheet1!$N:$N,0)</f>
        <v>0</v>
      </c>
      <c r="L477" s="12">
        <f>_xlfn.XLOOKUP(B477,[1]Sheet1!$B:$B,[1]Sheet1!$O:$O,0)</f>
        <v>0</v>
      </c>
      <c r="M477" s="12">
        <f>_xlfn.XLOOKUP(B477,[1]Sheet1!$B:$B,[1]Sheet1!$P:$P,0)</f>
        <v>833490</v>
      </c>
      <c r="N477" s="12">
        <f>_xlfn.XLOOKUP(B477,[1]Sheet1!$B:$B,[1]Sheet1!$Q:$Q,0)</f>
        <v>0</v>
      </c>
      <c r="O477" s="12">
        <f>_xlfn.XLOOKUP(B477,[1]Sheet1!$B:$B,[1]Sheet1!$R:$R,0)</f>
        <v>0</v>
      </c>
      <c r="P477" s="12">
        <f>_xlfn.XLOOKUP(B477,[1]Sheet1!$B:$B,[1]Sheet1!$S:$S,0)</f>
        <v>0</v>
      </c>
      <c r="Q477" s="12">
        <f>_xlfn.XLOOKUP(B477,[1]Sheet1!$B:$B,[1]Sheet1!$T:$T,0)</f>
        <v>0</v>
      </c>
      <c r="R477" s="12">
        <f>_xlfn.XLOOKUP(B477,[1]Sheet1!$B:$B,[1]Sheet1!$U:$U,0)</f>
        <v>0</v>
      </c>
      <c r="S477" s="12">
        <f>_xlfn.XLOOKUP(B477,[1]Sheet1!$B:$B,[1]Sheet1!$V:$V,0)</f>
        <v>0</v>
      </c>
      <c r="T477" s="12">
        <f>_xlfn.XLOOKUP(B477,[1]Sheet1!$B:$B,[1]Sheet1!$W:$W,0)</f>
        <v>0</v>
      </c>
      <c r="U477" s="12">
        <f>_xlfn.XLOOKUP(B477,[1]Sheet1!$B:$B,[1]Sheet1!$X:$X,0)</f>
        <v>0</v>
      </c>
      <c r="V477" s="12">
        <f>_xlfn.XLOOKUP(B477,[1]Sheet1!$B:$B,[1]Sheet1!$Y:$Y,0)</f>
        <v>0</v>
      </c>
      <c r="W477" s="12">
        <f t="shared" si="17"/>
        <v>833490</v>
      </c>
      <c r="X477" s="8" t="s">
        <v>534</v>
      </c>
      <c r="Y477" s="8" t="s">
        <v>65</v>
      </c>
      <c r="Z477" s="8" t="s">
        <v>66</v>
      </c>
      <c r="AA477" s="8" t="s">
        <v>533</v>
      </c>
      <c r="AB477" s="8" t="s">
        <v>36</v>
      </c>
      <c r="AC477" s="8" t="s">
        <v>37</v>
      </c>
      <c r="AD477" s="8" t="s">
        <v>69</v>
      </c>
      <c r="AE477" s="8" t="s">
        <v>39</v>
      </c>
      <c r="AF477" s="8" t="s">
        <v>40</v>
      </c>
      <c r="AG477" s="9">
        <v>833490</v>
      </c>
      <c r="AH477" s="11">
        <f>_xlfn.XLOOKUP(B477,[1]Sheet1!$B:$B,[1]Sheet1!$AB:$AB,0)</f>
        <v>833490</v>
      </c>
    </row>
    <row r="478" spans="2:34" ht="16.8" thickTop="1" thickBot="1" x14ac:dyDescent="0.35">
      <c r="B478" s="3" t="str">
        <f t="shared" si="16"/>
        <v>45112504511000623Hospitality-N424761200104</v>
      </c>
      <c r="C478" s="6" t="s">
        <v>67</v>
      </c>
      <c r="D478" s="6" t="s">
        <v>775</v>
      </c>
      <c r="E478" s="6" t="s">
        <v>776</v>
      </c>
      <c r="F478" s="6" t="s">
        <v>83</v>
      </c>
      <c r="G478" s="4" t="s">
        <v>2811</v>
      </c>
      <c r="H478" s="4" t="s">
        <v>2922</v>
      </c>
      <c r="I478" s="6" t="s">
        <v>84</v>
      </c>
      <c r="J478" s="6" t="s">
        <v>31</v>
      </c>
      <c r="K478" s="12">
        <f>_xlfn.XLOOKUP(B478,[1]Sheet1!$B:$B,[1]Sheet1!$N:$N,0)</f>
        <v>0</v>
      </c>
      <c r="L478" s="12">
        <f>_xlfn.XLOOKUP(B478,[1]Sheet1!$B:$B,[1]Sheet1!$O:$O,0)</f>
        <v>0</v>
      </c>
      <c r="M478" s="12">
        <f>_xlfn.XLOOKUP(B478,[1]Sheet1!$B:$B,[1]Sheet1!$P:$P,0)</f>
        <v>0</v>
      </c>
      <c r="N478" s="12">
        <f>_xlfn.XLOOKUP(B478,[1]Sheet1!$B:$B,[1]Sheet1!$Q:$Q,0)</f>
        <v>20000</v>
      </c>
      <c r="O478" s="12">
        <f>_xlfn.XLOOKUP(B478,[1]Sheet1!$B:$B,[1]Sheet1!$R:$R,0)</f>
        <v>5000</v>
      </c>
      <c r="P478" s="12">
        <f>_xlfn.XLOOKUP(B478,[1]Sheet1!$B:$B,[1]Sheet1!$S:$S,0)</f>
        <v>5000</v>
      </c>
      <c r="Q478" s="12">
        <f>_xlfn.XLOOKUP(B478,[1]Sheet1!$B:$B,[1]Sheet1!$T:$T,0)</f>
        <v>5938</v>
      </c>
      <c r="R478" s="12">
        <f>_xlfn.XLOOKUP(B478,[1]Sheet1!$B:$B,[1]Sheet1!$U:$U,0)</f>
        <v>0</v>
      </c>
      <c r="S478" s="12">
        <f>_xlfn.XLOOKUP(B478,[1]Sheet1!$B:$B,[1]Sheet1!$V:$V,0)</f>
        <v>0</v>
      </c>
      <c r="T478" s="12">
        <f>_xlfn.XLOOKUP(B478,[1]Sheet1!$B:$B,[1]Sheet1!$W:$W,0)</f>
        <v>0</v>
      </c>
      <c r="U478" s="12">
        <f>_xlfn.XLOOKUP(B478,[1]Sheet1!$B:$B,[1]Sheet1!$X:$X,0)</f>
        <v>0</v>
      </c>
      <c r="V478" s="12">
        <f>_xlfn.XLOOKUP(B478,[1]Sheet1!$B:$B,[1]Sheet1!$Y:$Y,0)</f>
        <v>0</v>
      </c>
      <c r="W478" s="12">
        <f t="shared" si="17"/>
        <v>35938</v>
      </c>
      <c r="X478" s="6" t="s">
        <v>85</v>
      </c>
      <c r="Y478" s="6" t="s">
        <v>65</v>
      </c>
      <c r="Z478" s="6" t="s">
        <v>66</v>
      </c>
      <c r="AA478" s="6" t="s">
        <v>84</v>
      </c>
      <c r="AB478" s="6" t="s">
        <v>36</v>
      </c>
      <c r="AC478" s="6" t="s">
        <v>37</v>
      </c>
      <c r="AD478" s="6" t="s">
        <v>69</v>
      </c>
      <c r="AE478" s="6" t="s">
        <v>39</v>
      </c>
      <c r="AF478" s="6" t="s">
        <v>40</v>
      </c>
      <c r="AG478" s="7">
        <v>35938.199999999997</v>
      </c>
      <c r="AH478" s="11">
        <f>_xlfn.XLOOKUP(B478,[1]Sheet1!$B:$B,[1]Sheet1!$AB:$AB,0)</f>
        <v>35938</v>
      </c>
    </row>
    <row r="479" spans="2:34" ht="16.8" thickTop="1" thickBot="1" x14ac:dyDescent="0.35">
      <c r="B479" s="3" t="str">
        <f t="shared" si="16"/>
        <v>45112504511000623Landscaping-N432614200104</v>
      </c>
      <c r="C479" s="8" t="s">
        <v>67</v>
      </c>
      <c r="D479" s="8" t="s">
        <v>775</v>
      </c>
      <c r="E479" s="8" t="s">
        <v>776</v>
      </c>
      <c r="F479" s="8" t="s">
        <v>86</v>
      </c>
      <c r="G479" s="4" t="s">
        <v>2812</v>
      </c>
      <c r="H479" s="4" t="s">
        <v>2922</v>
      </c>
      <c r="I479" s="8" t="s">
        <v>87</v>
      </c>
      <c r="J479" s="8" t="s">
        <v>31</v>
      </c>
      <c r="K479" s="12">
        <f>_xlfn.XLOOKUP(B479,[1]Sheet1!$B:$B,[1]Sheet1!$N:$N,0)</f>
        <v>0</v>
      </c>
      <c r="L479" s="12">
        <f>_xlfn.XLOOKUP(B479,[1]Sheet1!$B:$B,[1]Sheet1!$O:$O,0)</f>
        <v>0</v>
      </c>
      <c r="M479" s="12">
        <f>_xlfn.XLOOKUP(B479,[1]Sheet1!$B:$B,[1]Sheet1!$P:$P,0)</f>
        <v>0</v>
      </c>
      <c r="N479" s="12">
        <f>_xlfn.XLOOKUP(B479,[1]Sheet1!$B:$B,[1]Sheet1!$Q:$Q,0)</f>
        <v>3992</v>
      </c>
      <c r="O479" s="12">
        <f>_xlfn.XLOOKUP(B479,[1]Sheet1!$B:$B,[1]Sheet1!$R:$R,0)</f>
        <v>998</v>
      </c>
      <c r="P479" s="12">
        <f>_xlfn.XLOOKUP(B479,[1]Sheet1!$B:$B,[1]Sheet1!$S:$S,0)</f>
        <v>998</v>
      </c>
      <c r="Q479" s="12">
        <f>_xlfn.XLOOKUP(B479,[1]Sheet1!$B:$B,[1]Sheet1!$T:$T,0)</f>
        <v>998</v>
      </c>
      <c r="R479" s="12">
        <f>_xlfn.XLOOKUP(B479,[1]Sheet1!$B:$B,[1]Sheet1!$U:$U,0)</f>
        <v>998</v>
      </c>
      <c r="S479" s="12">
        <f>_xlfn.XLOOKUP(B479,[1]Sheet1!$B:$B,[1]Sheet1!$V:$V,0)</f>
        <v>998</v>
      </c>
      <c r="T479" s="12">
        <f>_xlfn.XLOOKUP(B479,[1]Sheet1!$B:$B,[1]Sheet1!$W:$W,0)</f>
        <v>998</v>
      </c>
      <c r="U479" s="12">
        <f>_xlfn.XLOOKUP(B479,[1]Sheet1!$B:$B,[1]Sheet1!$X:$X,0)</f>
        <v>998</v>
      </c>
      <c r="V479" s="12">
        <f>_xlfn.XLOOKUP(B479,[1]Sheet1!$B:$B,[1]Sheet1!$Y:$Y,0)</f>
        <v>998</v>
      </c>
      <c r="W479" s="12">
        <f t="shared" si="17"/>
        <v>11976</v>
      </c>
      <c r="X479" s="8" t="s">
        <v>88</v>
      </c>
      <c r="Y479" s="8" t="s">
        <v>65</v>
      </c>
      <c r="Z479" s="8" t="s">
        <v>66</v>
      </c>
      <c r="AA479" s="8" t="s">
        <v>87</v>
      </c>
      <c r="AB479" s="8" t="s">
        <v>36</v>
      </c>
      <c r="AC479" s="8" t="s">
        <v>37</v>
      </c>
      <c r="AD479" s="8" t="s">
        <v>69</v>
      </c>
      <c r="AE479" s="8" t="s">
        <v>39</v>
      </c>
      <c r="AF479" s="8" t="s">
        <v>40</v>
      </c>
      <c r="AG479" s="9">
        <v>11976.48</v>
      </c>
      <c r="AH479" s="11">
        <f>_xlfn.XLOOKUP(B479,[1]Sheet1!$B:$B,[1]Sheet1!$AB:$AB,0)</f>
        <v>11976</v>
      </c>
    </row>
    <row r="480" spans="2:34" ht="16.8" thickTop="1" thickBot="1" x14ac:dyDescent="0.35">
      <c r="B480" s="3" t="str">
        <f t="shared" si="16"/>
        <v>45112504511000623Maintenance-N426212200104</v>
      </c>
      <c r="C480" s="6" t="s">
        <v>67</v>
      </c>
      <c r="D480" s="6" t="s">
        <v>775</v>
      </c>
      <c r="E480" s="6" t="s">
        <v>776</v>
      </c>
      <c r="F480" s="6" t="s">
        <v>95</v>
      </c>
      <c r="G480" s="4" t="s">
        <v>2814</v>
      </c>
      <c r="H480" s="4" t="s">
        <v>2922</v>
      </c>
      <c r="I480" s="6" t="s">
        <v>96</v>
      </c>
      <c r="J480" s="6" t="s">
        <v>31</v>
      </c>
      <c r="K480" s="12">
        <f>_xlfn.XLOOKUP(B480,[1]Sheet1!$B:$B,[1]Sheet1!$N:$N,0)</f>
        <v>0</v>
      </c>
      <c r="L480" s="12">
        <f>_xlfn.XLOOKUP(B480,[1]Sheet1!$B:$B,[1]Sheet1!$O:$O,0)</f>
        <v>0</v>
      </c>
      <c r="M480" s="12">
        <f>_xlfn.XLOOKUP(B480,[1]Sheet1!$B:$B,[1]Sheet1!$P:$P,0)</f>
        <v>0</v>
      </c>
      <c r="N480" s="12">
        <f>_xlfn.XLOOKUP(B480,[1]Sheet1!$B:$B,[1]Sheet1!$Q:$Q,0)</f>
        <v>38404</v>
      </c>
      <c r="O480" s="12">
        <f>_xlfn.XLOOKUP(B480,[1]Sheet1!$B:$B,[1]Sheet1!$R:$R,0)</f>
        <v>9601</v>
      </c>
      <c r="P480" s="12">
        <f>_xlfn.XLOOKUP(B480,[1]Sheet1!$B:$B,[1]Sheet1!$S:$S,0)</f>
        <v>9601</v>
      </c>
      <c r="Q480" s="12">
        <f>_xlfn.XLOOKUP(B480,[1]Sheet1!$B:$B,[1]Sheet1!$T:$T,0)</f>
        <v>9601</v>
      </c>
      <c r="R480" s="12">
        <f>_xlfn.XLOOKUP(B480,[1]Sheet1!$B:$B,[1]Sheet1!$U:$U,0)</f>
        <v>9604</v>
      </c>
      <c r="S480" s="12">
        <f>_xlfn.XLOOKUP(B480,[1]Sheet1!$B:$B,[1]Sheet1!$V:$V,0)</f>
        <v>9601</v>
      </c>
      <c r="T480" s="12">
        <f>_xlfn.XLOOKUP(B480,[1]Sheet1!$B:$B,[1]Sheet1!$W:$W,0)</f>
        <v>9601</v>
      </c>
      <c r="U480" s="12">
        <f>_xlfn.XLOOKUP(B480,[1]Sheet1!$B:$B,[1]Sheet1!$X:$X,0)</f>
        <v>7538</v>
      </c>
      <c r="V480" s="12">
        <f>_xlfn.XLOOKUP(B480,[1]Sheet1!$B:$B,[1]Sheet1!$Y:$Y,0)</f>
        <v>0</v>
      </c>
      <c r="W480" s="12">
        <f t="shared" si="17"/>
        <v>103551</v>
      </c>
      <c r="X480" s="6" t="s">
        <v>97</v>
      </c>
      <c r="Y480" s="6" t="s">
        <v>65</v>
      </c>
      <c r="Z480" s="6" t="s">
        <v>66</v>
      </c>
      <c r="AA480" s="6" t="s">
        <v>96</v>
      </c>
      <c r="AB480" s="6" t="s">
        <v>36</v>
      </c>
      <c r="AC480" s="6" t="s">
        <v>37</v>
      </c>
      <c r="AD480" s="6" t="s">
        <v>69</v>
      </c>
      <c r="AE480" s="6" t="s">
        <v>39</v>
      </c>
      <c r="AF480" s="6" t="s">
        <v>40</v>
      </c>
      <c r="AG480" s="7">
        <v>103550.66</v>
      </c>
      <c r="AH480" s="11">
        <f>_xlfn.XLOOKUP(B480,[1]Sheet1!$B:$B,[1]Sheet1!$AB:$AB,0)</f>
        <v>103551</v>
      </c>
    </row>
    <row r="481" spans="2:34" ht="16.8" thickTop="1" thickBot="1" x14ac:dyDescent="0.35">
      <c r="B481" s="3" t="str">
        <f t="shared" si="16"/>
        <v>45112504511000623Security Service-N424551200104</v>
      </c>
      <c r="C481" s="8" t="s">
        <v>67</v>
      </c>
      <c r="D481" s="8" t="s">
        <v>775</v>
      </c>
      <c r="E481" s="8" t="s">
        <v>776</v>
      </c>
      <c r="F481" s="8" t="s">
        <v>107</v>
      </c>
      <c r="G481" s="4" t="s">
        <v>2817</v>
      </c>
      <c r="H481" s="4" t="s">
        <v>2922</v>
      </c>
      <c r="I481" s="8" t="s">
        <v>108</v>
      </c>
      <c r="J481" s="8" t="s">
        <v>31</v>
      </c>
      <c r="K481" s="12">
        <f>_xlfn.XLOOKUP(B481,[1]Sheet1!$B:$B,[1]Sheet1!$N:$N,0)</f>
        <v>0</v>
      </c>
      <c r="L481" s="12">
        <f>_xlfn.XLOOKUP(B481,[1]Sheet1!$B:$B,[1]Sheet1!$O:$O,0)</f>
        <v>0</v>
      </c>
      <c r="M481" s="12">
        <f>_xlfn.XLOOKUP(B481,[1]Sheet1!$B:$B,[1]Sheet1!$P:$P,0)</f>
        <v>0</v>
      </c>
      <c r="N481" s="12">
        <f>_xlfn.XLOOKUP(B481,[1]Sheet1!$B:$B,[1]Sheet1!$Q:$Q,0)</f>
        <v>34000</v>
      </c>
      <c r="O481" s="12">
        <f>_xlfn.XLOOKUP(B481,[1]Sheet1!$B:$B,[1]Sheet1!$R:$R,0)</f>
        <v>8500</v>
      </c>
      <c r="P481" s="12">
        <f>_xlfn.XLOOKUP(B481,[1]Sheet1!$B:$B,[1]Sheet1!$S:$S,0)</f>
        <v>8500</v>
      </c>
      <c r="Q481" s="12">
        <f>_xlfn.XLOOKUP(B481,[1]Sheet1!$B:$B,[1]Sheet1!$T:$T,0)</f>
        <v>8500</v>
      </c>
      <c r="R481" s="12">
        <f>_xlfn.XLOOKUP(B481,[1]Sheet1!$B:$B,[1]Sheet1!$U:$U,0)</f>
        <v>8500</v>
      </c>
      <c r="S481" s="12">
        <f>_xlfn.XLOOKUP(B481,[1]Sheet1!$B:$B,[1]Sheet1!$V:$V,0)</f>
        <v>8500</v>
      </c>
      <c r="T481" s="12">
        <f>_xlfn.XLOOKUP(B481,[1]Sheet1!$B:$B,[1]Sheet1!$W:$W,0)</f>
        <v>25500</v>
      </c>
      <c r="U481" s="12">
        <f>_xlfn.XLOOKUP(B481,[1]Sheet1!$B:$B,[1]Sheet1!$X:$X,0)</f>
        <v>10860</v>
      </c>
      <c r="V481" s="12">
        <f>_xlfn.XLOOKUP(B481,[1]Sheet1!$B:$B,[1]Sheet1!$Y:$Y,0)</f>
        <v>0</v>
      </c>
      <c r="W481" s="12">
        <f t="shared" si="17"/>
        <v>112860</v>
      </c>
      <c r="X481" s="8" t="s">
        <v>109</v>
      </c>
      <c r="Y481" s="8" t="s">
        <v>65</v>
      </c>
      <c r="Z481" s="8" t="s">
        <v>66</v>
      </c>
      <c r="AA481" s="8" t="s">
        <v>108</v>
      </c>
      <c r="AB481" s="8" t="s">
        <v>36</v>
      </c>
      <c r="AC481" s="8" t="s">
        <v>37</v>
      </c>
      <c r="AD481" s="8" t="s">
        <v>69</v>
      </c>
      <c r="AE481" s="8" t="s">
        <v>39</v>
      </c>
      <c r="AF481" s="8" t="s">
        <v>40</v>
      </c>
      <c r="AG481" s="9">
        <v>112860</v>
      </c>
      <c r="AH481" s="11">
        <f>_xlfn.XLOOKUP(B481,[1]Sheet1!$B:$B,[1]Sheet1!$AB:$AB,0)</f>
        <v>112860</v>
      </c>
    </row>
    <row r="482" spans="2:34" ht="16.8" thickTop="1" thickBot="1" x14ac:dyDescent="0.35">
      <c r="B482" s="3" t="str">
        <f t="shared" si="16"/>
        <v>45116004511000635Freelancers-N424521200104</v>
      </c>
      <c r="C482" s="6" t="s">
        <v>125</v>
      </c>
      <c r="D482" s="6" t="s">
        <v>777</v>
      </c>
      <c r="E482" s="6" t="s">
        <v>778</v>
      </c>
      <c r="F482" s="6" t="s">
        <v>50</v>
      </c>
      <c r="G482" s="4" t="s">
        <v>2804</v>
      </c>
      <c r="H482" s="4" t="s">
        <v>2922</v>
      </c>
      <c r="I482" s="6" t="s">
        <v>51</v>
      </c>
      <c r="J482" s="6" t="s">
        <v>31</v>
      </c>
      <c r="K482" s="12">
        <f>_xlfn.XLOOKUP(B482,[1]Sheet1!$B:$B,[1]Sheet1!$N:$N,0)</f>
        <v>0</v>
      </c>
      <c r="L482" s="12">
        <f>_xlfn.XLOOKUP(B482,[1]Sheet1!$B:$B,[1]Sheet1!$O:$O,0)</f>
        <v>0</v>
      </c>
      <c r="M482" s="12">
        <f>_xlfn.XLOOKUP(B482,[1]Sheet1!$B:$B,[1]Sheet1!$P:$P,0)</f>
        <v>0</v>
      </c>
      <c r="N482" s="12">
        <f>_xlfn.XLOOKUP(B482,[1]Sheet1!$B:$B,[1]Sheet1!$Q:$Q,0)</f>
        <v>35000</v>
      </c>
      <c r="O482" s="12">
        <f>_xlfn.XLOOKUP(B482,[1]Sheet1!$B:$B,[1]Sheet1!$R:$R,0)</f>
        <v>25000</v>
      </c>
      <c r="P482" s="12">
        <f>_xlfn.XLOOKUP(B482,[1]Sheet1!$B:$B,[1]Sheet1!$S:$S,0)</f>
        <v>25000</v>
      </c>
      <c r="Q482" s="12">
        <f>_xlfn.XLOOKUP(B482,[1]Sheet1!$B:$B,[1]Sheet1!$T:$T,0)</f>
        <v>25000</v>
      </c>
      <c r="R482" s="12">
        <f>_xlfn.XLOOKUP(B482,[1]Sheet1!$B:$B,[1]Sheet1!$U:$U,0)</f>
        <v>26228</v>
      </c>
      <c r="S482" s="12">
        <f>_xlfn.XLOOKUP(B482,[1]Sheet1!$B:$B,[1]Sheet1!$V:$V,0)</f>
        <v>0</v>
      </c>
      <c r="T482" s="12">
        <f>_xlfn.XLOOKUP(B482,[1]Sheet1!$B:$B,[1]Sheet1!$W:$W,0)</f>
        <v>0</v>
      </c>
      <c r="U482" s="12">
        <f>_xlfn.XLOOKUP(B482,[1]Sheet1!$B:$B,[1]Sheet1!$X:$X,0)</f>
        <v>0</v>
      </c>
      <c r="V482" s="12">
        <f>_xlfn.XLOOKUP(B482,[1]Sheet1!$B:$B,[1]Sheet1!$Y:$Y,0)</f>
        <v>0</v>
      </c>
      <c r="W482" s="12">
        <f t="shared" si="17"/>
        <v>136228</v>
      </c>
      <c r="X482" s="6" t="s">
        <v>779</v>
      </c>
      <c r="Y482" s="6" t="s">
        <v>65</v>
      </c>
      <c r="Z482" s="6" t="s">
        <v>124</v>
      </c>
      <c r="AA482" s="6" t="s">
        <v>53</v>
      </c>
      <c r="AB482" s="6" t="s">
        <v>36</v>
      </c>
      <c r="AC482" s="6" t="s">
        <v>37</v>
      </c>
      <c r="AD482" s="6" t="s">
        <v>126</v>
      </c>
      <c r="AE482" s="6" t="s">
        <v>39</v>
      </c>
      <c r="AF482" s="6" t="s">
        <v>40</v>
      </c>
      <c r="AG482" s="7">
        <v>136228</v>
      </c>
      <c r="AH482" s="11">
        <f>_xlfn.XLOOKUP(B482,[1]Sheet1!$B:$B,[1]Sheet1!$AB:$AB,0)</f>
        <v>136228</v>
      </c>
    </row>
    <row r="483" spans="2:34" ht="16.8" thickTop="1" thickBot="1" x14ac:dyDescent="0.35">
      <c r="B483" s="3" t="str">
        <f t="shared" si="16"/>
        <v>45113004511000637Event Management-N422401200104</v>
      </c>
      <c r="C483" s="8" t="s">
        <v>288</v>
      </c>
      <c r="D483" s="8" t="s">
        <v>780</v>
      </c>
      <c r="E483" s="8" t="s">
        <v>781</v>
      </c>
      <c r="F483" s="8" t="s">
        <v>162</v>
      </c>
      <c r="G483" s="4" t="s">
        <v>2807</v>
      </c>
      <c r="H483" s="4" t="s">
        <v>2922</v>
      </c>
      <c r="I483" s="8" t="s">
        <v>63</v>
      </c>
      <c r="J483" s="8" t="s">
        <v>31</v>
      </c>
      <c r="K483" s="12">
        <f>_xlfn.XLOOKUP(B483,[1]Sheet1!$B:$B,[1]Sheet1!$N:$N,0)</f>
        <v>0</v>
      </c>
      <c r="L483" s="12">
        <f>_xlfn.XLOOKUP(B483,[1]Sheet1!$B:$B,[1]Sheet1!$O:$O,0)</f>
        <v>0</v>
      </c>
      <c r="M483" s="12">
        <f>_xlfn.XLOOKUP(B483,[1]Sheet1!$B:$B,[1]Sheet1!$P:$P,0)</f>
        <v>0</v>
      </c>
      <c r="N483" s="12">
        <f>_xlfn.XLOOKUP(B483,[1]Sheet1!$B:$B,[1]Sheet1!$Q:$Q,0)</f>
        <v>42000</v>
      </c>
      <c r="O483" s="12">
        <f>_xlfn.XLOOKUP(B483,[1]Sheet1!$B:$B,[1]Sheet1!$R:$R,0)</f>
        <v>0</v>
      </c>
      <c r="P483" s="12">
        <f>_xlfn.XLOOKUP(B483,[1]Sheet1!$B:$B,[1]Sheet1!$S:$S,0)</f>
        <v>0</v>
      </c>
      <c r="Q483" s="12">
        <f>_xlfn.XLOOKUP(B483,[1]Sheet1!$B:$B,[1]Sheet1!$T:$T,0)</f>
        <v>0</v>
      </c>
      <c r="R483" s="12">
        <f>_xlfn.XLOOKUP(B483,[1]Sheet1!$B:$B,[1]Sheet1!$U:$U,0)</f>
        <v>0</v>
      </c>
      <c r="S483" s="12">
        <f>_xlfn.XLOOKUP(B483,[1]Sheet1!$B:$B,[1]Sheet1!$V:$V,0)</f>
        <v>0</v>
      </c>
      <c r="T483" s="12">
        <f>_xlfn.XLOOKUP(B483,[1]Sheet1!$B:$B,[1]Sheet1!$W:$W,0)</f>
        <v>0</v>
      </c>
      <c r="U483" s="12">
        <f>_xlfn.XLOOKUP(B483,[1]Sheet1!$B:$B,[1]Sheet1!$X:$X,0)</f>
        <v>0</v>
      </c>
      <c r="V483" s="12">
        <f>_xlfn.XLOOKUP(B483,[1]Sheet1!$B:$B,[1]Sheet1!$Y:$Y,0)</f>
        <v>0</v>
      </c>
      <c r="W483" s="12">
        <f t="shared" si="17"/>
        <v>42000</v>
      </c>
      <c r="X483" s="8" t="s">
        <v>782</v>
      </c>
      <c r="Y483" s="8" t="s">
        <v>65</v>
      </c>
      <c r="Z483" s="8" t="s">
        <v>287</v>
      </c>
      <c r="AA483" s="8" t="s">
        <v>68</v>
      </c>
      <c r="AB483" s="8" t="s">
        <v>36</v>
      </c>
      <c r="AC483" s="8" t="s">
        <v>37</v>
      </c>
      <c r="AD483" s="8" t="s">
        <v>126</v>
      </c>
      <c r="AE483" s="8" t="s">
        <v>39</v>
      </c>
      <c r="AF483" s="8" t="s">
        <v>40</v>
      </c>
      <c r="AG483" s="9">
        <v>42000</v>
      </c>
      <c r="AH483" s="11">
        <f>_xlfn.XLOOKUP(B483,[1]Sheet1!$B:$B,[1]Sheet1!$AB:$AB,0)</f>
        <v>42000</v>
      </c>
    </row>
    <row r="484" spans="2:34" ht="16.8" thickTop="1" thickBot="1" x14ac:dyDescent="0.35">
      <c r="B484" s="3" t="str">
        <f t="shared" si="16"/>
        <v>45113004511000637Freelancers-N424521200104</v>
      </c>
      <c r="C484" s="6" t="s">
        <v>288</v>
      </c>
      <c r="D484" s="6" t="s">
        <v>780</v>
      </c>
      <c r="E484" s="6" t="s">
        <v>781</v>
      </c>
      <c r="F484" s="6" t="s">
        <v>50</v>
      </c>
      <c r="G484" s="4" t="s">
        <v>2804</v>
      </c>
      <c r="H484" s="4" t="s">
        <v>2922</v>
      </c>
      <c r="I484" s="6" t="s">
        <v>51</v>
      </c>
      <c r="J484" s="6" t="s">
        <v>31</v>
      </c>
      <c r="K484" s="12">
        <f>_xlfn.XLOOKUP(B484,[1]Sheet1!$B:$B,[1]Sheet1!$N:$N,0)</f>
        <v>0</v>
      </c>
      <c r="L484" s="12">
        <f>_xlfn.XLOOKUP(B484,[1]Sheet1!$B:$B,[1]Sheet1!$O:$O,0)</f>
        <v>0</v>
      </c>
      <c r="M484" s="12">
        <f>_xlfn.XLOOKUP(B484,[1]Sheet1!$B:$B,[1]Sheet1!$P:$P,0)</f>
        <v>1488593.42</v>
      </c>
      <c r="N484" s="12">
        <f>_xlfn.XLOOKUP(B484,[1]Sheet1!$B:$B,[1]Sheet1!$Q:$Q,0)</f>
        <v>0</v>
      </c>
      <c r="O484" s="12">
        <f>_xlfn.XLOOKUP(B484,[1]Sheet1!$B:$B,[1]Sheet1!$R:$R,0)</f>
        <v>0</v>
      </c>
      <c r="P484" s="12">
        <f>_xlfn.XLOOKUP(B484,[1]Sheet1!$B:$B,[1]Sheet1!$S:$S,0)</f>
        <v>185506.26</v>
      </c>
      <c r="Q484" s="12">
        <f>_xlfn.XLOOKUP(B484,[1]Sheet1!$B:$B,[1]Sheet1!$T:$T,0)</f>
        <v>515572.83999999997</v>
      </c>
      <c r="R484" s="12">
        <f>_xlfn.XLOOKUP(B484,[1]Sheet1!$B:$B,[1]Sheet1!$U:$U,0)</f>
        <v>412569.83999999997</v>
      </c>
      <c r="S484" s="12">
        <f>_xlfn.XLOOKUP(B484,[1]Sheet1!$B:$B,[1]Sheet1!$V:$V,0)</f>
        <v>1055631</v>
      </c>
      <c r="T484" s="12">
        <f>_xlfn.XLOOKUP(B484,[1]Sheet1!$B:$B,[1]Sheet1!$W:$W,0)</f>
        <v>2878421</v>
      </c>
      <c r="U484" s="12">
        <f>_xlfn.XLOOKUP(B484,[1]Sheet1!$B:$B,[1]Sheet1!$X:$X,0)</f>
        <v>1172410</v>
      </c>
      <c r="V484" s="12">
        <f>_xlfn.XLOOKUP(B484,[1]Sheet1!$B:$B,[1]Sheet1!$Y:$Y,0)</f>
        <v>1181761.6399999999</v>
      </c>
      <c r="W484" s="12">
        <f t="shared" si="17"/>
        <v>8890466</v>
      </c>
      <c r="X484" s="6" t="s">
        <v>783</v>
      </c>
      <c r="Y484" s="6" t="s">
        <v>65</v>
      </c>
      <c r="Z484" s="6" t="s">
        <v>287</v>
      </c>
      <c r="AA484" s="6" t="s">
        <v>53</v>
      </c>
      <c r="AB484" s="6" t="s">
        <v>36</v>
      </c>
      <c r="AC484" s="6" t="s">
        <v>37</v>
      </c>
      <c r="AD484" s="6" t="s">
        <v>126</v>
      </c>
      <c r="AE484" s="6" t="s">
        <v>39</v>
      </c>
      <c r="AF484" s="6" t="s">
        <v>40</v>
      </c>
      <c r="AG484" s="7">
        <v>7890466</v>
      </c>
      <c r="AH484" s="11">
        <f>_xlfn.XLOOKUP(B484,[1]Sheet1!$B:$B,[1]Sheet1!$AB:$AB,0)</f>
        <v>7890466</v>
      </c>
    </row>
    <row r="485" spans="2:34" ht="16.8" thickTop="1" thickBot="1" x14ac:dyDescent="0.35">
      <c r="B485" s="3" t="str">
        <f t="shared" si="16"/>
        <v>45113004511000637Manpower-N424521200104</v>
      </c>
      <c r="C485" s="8" t="s">
        <v>288</v>
      </c>
      <c r="D485" s="8" t="s">
        <v>780</v>
      </c>
      <c r="E485" s="8" t="s">
        <v>781</v>
      </c>
      <c r="F485" s="8" t="s">
        <v>98</v>
      </c>
      <c r="G485" s="4" t="s">
        <v>2804</v>
      </c>
      <c r="H485" s="4" t="s">
        <v>2922</v>
      </c>
      <c r="I485" s="8" t="s">
        <v>51</v>
      </c>
      <c r="J485" s="8" t="s">
        <v>31</v>
      </c>
      <c r="K485" s="12">
        <f>_xlfn.XLOOKUP(B485,[1]Sheet1!$B:$B,[1]Sheet1!$N:$N,0)</f>
        <v>0</v>
      </c>
      <c r="L485" s="12">
        <f>_xlfn.XLOOKUP(B485,[1]Sheet1!$B:$B,[1]Sheet1!$O:$O,0)</f>
        <v>0</v>
      </c>
      <c r="M485" s="12">
        <f>_xlfn.XLOOKUP(B485,[1]Sheet1!$B:$B,[1]Sheet1!$P:$P,0)</f>
        <v>0</v>
      </c>
      <c r="N485" s="12">
        <f>_xlfn.XLOOKUP(B485,[1]Sheet1!$B:$B,[1]Sheet1!$Q:$Q,0)</f>
        <v>0</v>
      </c>
      <c r="O485" s="12">
        <f>_xlfn.XLOOKUP(B485,[1]Sheet1!$B:$B,[1]Sheet1!$R:$R,0)</f>
        <v>0</v>
      </c>
      <c r="P485" s="12">
        <f>_xlfn.XLOOKUP(B485,[1]Sheet1!$B:$B,[1]Sheet1!$S:$S,0)</f>
        <v>0</v>
      </c>
      <c r="Q485" s="12">
        <f>_xlfn.XLOOKUP(B485,[1]Sheet1!$B:$B,[1]Sheet1!$T:$T,0)</f>
        <v>0</v>
      </c>
      <c r="R485" s="12">
        <f>_xlfn.XLOOKUP(B485,[1]Sheet1!$B:$B,[1]Sheet1!$U:$U,0)</f>
        <v>0</v>
      </c>
      <c r="S485" s="12">
        <f>_xlfn.XLOOKUP(B485,[1]Sheet1!$B:$B,[1]Sheet1!$V:$V,0)</f>
        <v>0</v>
      </c>
      <c r="T485" s="12">
        <f>_xlfn.XLOOKUP(B485,[1]Sheet1!$B:$B,[1]Sheet1!$W:$W,0)</f>
        <v>0</v>
      </c>
      <c r="U485" s="12">
        <f>_xlfn.XLOOKUP(B485,[1]Sheet1!$B:$B,[1]Sheet1!$X:$X,0)</f>
        <v>0</v>
      </c>
      <c r="V485" s="12">
        <f>_xlfn.XLOOKUP(B485,[1]Sheet1!$B:$B,[1]Sheet1!$Y:$Y,0)</f>
        <v>0</v>
      </c>
      <c r="W485" s="12">
        <f t="shared" si="17"/>
        <v>0</v>
      </c>
      <c r="X485" s="8" t="s">
        <v>783</v>
      </c>
      <c r="Y485" s="8" t="s">
        <v>65</v>
      </c>
      <c r="Z485" s="8" t="s">
        <v>287</v>
      </c>
      <c r="AA485" s="8" t="s">
        <v>53</v>
      </c>
      <c r="AB485" s="8" t="s">
        <v>36</v>
      </c>
      <c r="AC485" s="8" t="s">
        <v>37</v>
      </c>
      <c r="AD485" s="8" t="s">
        <v>126</v>
      </c>
      <c r="AE485" s="8" t="s">
        <v>39</v>
      </c>
      <c r="AF485" s="8" t="s">
        <v>40</v>
      </c>
      <c r="AG485" s="9">
        <v>5234857</v>
      </c>
      <c r="AH485" s="11">
        <f>_xlfn.XLOOKUP(B485,[1]Sheet1!$B:$B,[1]Sheet1!$AB:$AB,0)</f>
        <v>5234857</v>
      </c>
    </row>
    <row r="486" spans="2:34" ht="16.8" thickTop="1" thickBot="1" x14ac:dyDescent="0.35">
      <c r="B486" s="3" t="str">
        <f t="shared" si="16"/>
        <v>45116004511000638Training &amp; Dev-N421191200104</v>
      </c>
      <c r="C486" s="6" t="s">
        <v>125</v>
      </c>
      <c r="D486" s="6" t="s">
        <v>784</v>
      </c>
      <c r="E486" s="6" t="s">
        <v>785</v>
      </c>
      <c r="F486" s="6" t="s">
        <v>786</v>
      </c>
      <c r="G486" s="4" t="s">
        <v>2851</v>
      </c>
      <c r="H486" s="4" t="s">
        <v>2922</v>
      </c>
      <c r="I486" s="6" t="s">
        <v>550</v>
      </c>
      <c r="J486" s="6" t="s">
        <v>31</v>
      </c>
      <c r="K486" s="12">
        <f>_xlfn.XLOOKUP(B486,[1]Sheet1!$B:$B,[1]Sheet1!$N:$N,0)</f>
        <v>0</v>
      </c>
      <c r="L486" s="12">
        <f>_xlfn.XLOOKUP(B486,[1]Sheet1!$B:$B,[1]Sheet1!$O:$O,0)</f>
        <v>0</v>
      </c>
      <c r="M486" s="12">
        <f>_xlfn.XLOOKUP(B486,[1]Sheet1!$B:$B,[1]Sheet1!$P:$P,0)</f>
        <v>0</v>
      </c>
      <c r="N486" s="12">
        <f>_xlfn.XLOOKUP(B486,[1]Sheet1!$B:$B,[1]Sheet1!$Q:$Q,0)</f>
        <v>0</v>
      </c>
      <c r="O486" s="12">
        <f>_xlfn.XLOOKUP(B486,[1]Sheet1!$B:$B,[1]Sheet1!$R:$R,0)</f>
        <v>15000</v>
      </c>
      <c r="P486" s="12">
        <f>_xlfn.XLOOKUP(B486,[1]Sheet1!$B:$B,[1]Sheet1!$S:$S,0)</f>
        <v>30000</v>
      </c>
      <c r="Q486" s="12">
        <f>_xlfn.XLOOKUP(B486,[1]Sheet1!$B:$B,[1]Sheet1!$T:$T,0)</f>
        <v>20000</v>
      </c>
      <c r="R486" s="12">
        <f>_xlfn.XLOOKUP(B486,[1]Sheet1!$B:$B,[1]Sheet1!$U:$U,0)</f>
        <v>20000</v>
      </c>
      <c r="S486" s="12">
        <f>_xlfn.XLOOKUP(B486,[1]Sheet1!$B:$B,[1]Sheet1!$V:$V,0)</f>
        <v>20000</v>
      </c>
      <c r="T486" s="12">
        <f>_xlfn.XLOOKUP(B486,[1]Sheet1!$B:$B,[1]Sheet1!$W:$W,0)</f>
        <v>13772</v>
      </c>
      <c r="U486" s="12">
        <f>_xlfn.XLOOKUP(B486,[1]Sheet1!$B:$B,[1]Sheet1!$X:$X,0)</f>
        <v>115000</v>
      </c>
      <c r="V486" s="12">
        <f>_xlfn.XLOOKUP(B486,[1]Sheet1!$B:$B,[1]Sheet1!$Y:$Y,0)</f>
        <v>10000</v>
      </c>
      <c r="W486" s="12">
        <f t="shared" si="17"/>
        <v>243772</v>
      </c>
      <c r="X486" s="6" t="s">
        <v>787</v>
      </c>
      <c r="Y486" s="6" t="s">
        <v>65</v>
      </c>
      <c r="Z486" s="6" t="s">
        <v>124</v>
      </c>
      <c r="AA486" s="6" t="s">
        <v>552</v>
      </c>
      <c r="AB486" s="6" t="s">
        <v>36</v>
      </c>
      <c r="AC486" s="6" t="s">
        <v>37</v>
      </c>
      <c r="AD486" s="6" t="s">
        <v>192</v>
      </c>
      <c r="AE486" s="6" t="s">
        <v>39</v>
      </c>
      <c r="AF486" s="6" t="s">
        <v>40</v>
      </c>
      <c r="AG486" s="7">
        <v>440772</v>
      </c>
      <c r="AH486" s="11">
        <f>_xlfn.XLOOKUP(B486,[1]Sheet1!$B:$B,[1]Sheet1!$AB:$AB,0)</f>
        <v>440772</v>
      </c>
    </row>
    <row r="487" spans="2:34" ht="16.8" thickTop="1" thickBot="1" x14ac:dyDescent="0.35">
      <c r="B487" s="3" t="str">
        <f t="shared" si="16"/>
        <v>45113004511000639Architect Advice-N424521200104</v>
      </c>
      <c r="C487" s="8" t="s">
        <v>288</v>
      </c>
      <c r="D487" s="8" t="s">
        <v>788</v>
      </c>
      <c r="E487" s="8" t="s">
        <v>789</v>
      </c>
      <c r="F487" s="8" t="s">
        <v>790</v>
      </c>
      <c r="G487" s="4" t="s">
        <v>2804</v>
      </c>
      <c r="H487" s="4" t="s">
        <v>2922</v>
      </c>
      <c r="I487" s="8" t="s">
        <v>51</v>
      </c>
      <c r="J487" s="8" t="s">
        <v>31</v>
      </c>
      <c r="K487" s="12">
        <f>_xlfn.XLOOKUP(B487,[1]Sheet1!$B:$B,[1]Sheet1!$N:$N,0)</f>
        <v>0</v>
      </c>
      <c r="L487" s="12">
        <f>_xlfn.XLOOKUP(B487,[1]Sheet1!$B:$B,[1]Sheet1!$O:$O,0)</f>
        <v>0</v>
      </c>
      <c r="M487" s="12">
        <f>_xlfn.XLOOKUP(B487,[1]Sheet1!$B:$B,[1]Sheet1!$P:$P,0)</f>
        <v>0</v>
      </c>
      <c r="N487" s="12">
        <f>_xlfn.XLOOKUP(B487,[1]Sheet1!$B:$B,[1]Sheet1!$Q:$Q,0)</f>
        <v>0</v>
      </c>
      <c r="O487" s="12">
        <f>_xlfn.XLOOKUP(B487,[1]Sheet1!$B:$B,[1]Sheet1!$R:$R,0)</f>
        <v>0</v>
      </c>
      <c r="P487" s="12">
        <f>_xlfn.XLOOKUP(B487,[1]Sheet1!$B:$B,[1]Sheet1!$S:$S,0)</f>
        <v>0</v>
      </c>
      <c r="Q487" s="12">
        <f>_xlfn.XLOOKUP(B487,[1]Sheet1!$B:$B,[1]Sheet1!$T:$T,0)</f>
        <v>125000</v>
      </c>
      <c r="R487" s="12">
        <f>_xlfn.XLOOKUP(B487,[1]Sheet1!$B:$B,[1]Sheet1!$U:$U,0)</f>
        <v>25000</v>
      </c>
      <c r="S487" s="12">
        <f>_xlfn.XLOOKUP(B487,[1]Sheet1!$B:$B,[1]Sheet1!$V:$V,0)</f>
        <v>25000</v>
      </c>
      <c r="T487" s="12">
        <f>_xlfn.XLOOKUP(B487,[1]Sheet1!$B:$B,[1]Sheet1!$W:$W,0)</f>
        <v>25000</v>
      </c>
      <c r="U487" s="12">
        <f>_xlfn.XLOOKUP(B487,[1]Sheet1!$B:$B,[1]Sheet1!$X:$X,0)</f>
        <v>15000</v>
      </c>
      <c r="V487" s="12">
        <f>_xlfn.XLOOKUP(B487,[1]Sheet1!$B:$B,[1]Sheet1!$Y:$Y,0)</f>
        <v>0</v>
      </c>
      <c r="W487" s="12">
        <f t="shared" si="17"/>
        <v>215000</v>
      </c>
      <c r="X487" s="8" t="s">
        <v>783</v>
      </c>
      <c r="Y487" s="8" t="s">
        <v>65</v>
      </c>
      <c r="Z487" s="8" t="s">
        <v>287</v>
      </c>
      <c r="AA487" s="8" t="s">
        <v>53</v>
      </c>
      <c r="AB487" s="8" t="s">
        <v>36</v>
      </c>
      <c r="AC487" s="8" t="s">
        <v>37</v>
      </c>
      <c r="AD487" s="8" t="s">
        <v>126</v>
      </c>
      <c r="AE487" s="8" t="s">
        <v>39</v>
      </c>
      <c r="AF487" s="8" t="s">
        <v>40</v>
      </c>
      <c r="AG487" s="9">
        <v>1430000</v>
      </c>
      <c r="AH487" s="11">
        <f>_xlfn.XLOOKUP(B487,[1]Sheet1!$B:$B,[1]Sheet1!$AB:$AB,0)</f>
        <v>1430000</v>
      </c>
    </row>
    <row r="488" spans="2:34" ht="16.8" thickTop="1" thickBot="1" x14ac:dyDescent="0.35">
      <c r="B488" s="3" t="str">
        <f t="shared" si="16"/>
        <v>45113004511000639Conserv-Restore-N3421125200104</v>
      </c>
      <c r="C488" s="6" t="s">
        <v>288</v>
      </c>
      <c r="D488" s="6" t="s">
        <v>788</v>
      </c>
      <c r="E488" s="6" t="s">
        <v>789</v>
      </c>
      <c r="F488" s="6" t="s">
        <v>791</v>
      </c>
      <c r="G488" s="4" t="s">
        <v>2803</v>
      </c>
      <c r="H488" s="4" t="s">
        <v>2922</v>
      </c>
      <c r="I488" s="6" t="s">
        <v>44</v>
      </c>
      <c r="J488" s="6" t="s">
        <v>31</v>
      </c>
      <c r="K488" s="12">
        <f>_xlfn.XLOOKUP(B488,[1]Sheet1!$B:$B,[1]Sheet1!$N:$N,0)</f>
        <v>0</v>
      </c>
      <c r="L488" s="12">
        <f>_xlfn.XLOOKUP(B488,[1]Sheet1!$B:$B,[1]Sheet1!$O:$O,0)</f>
        <v>0</v>
      </c>
      <c r="M488" s="12">
        <f>_xlfn.XLOOKUP(B488,[1]Sheet1!$B:$B,[1]Sheet1!$P:$P,0)</f>
        <v>0</v>
      </c>
      <c r="N488" s="12">
        <f>_xlfn.XLOOKUP(B488,[1]Sheet1!$B:$B,[1]Sheet1!$Q:$Q,0)</f>
        <v>0</v>
      </c>
      <c r="O488" s="12">
        <f>_xlfn.XLOOKUP(B488,[1]Sheet1!$B:$B,[1]Sheet1!$R:$R,0)</f>
        <v>149500</v>
      </c>
      <c r="P488" s="12">
        <f>_xlfn.XLOOKUP(B488,[1]Sheet1!$B:$B,[1]Sheet1!$S:$S,0)</f>
        <v>50000</v>
      </c>
      <c r="Q488" s="12">
        <f>_xlfn.XLOOKUP(B488,[1]Sheet1!$B:$B,[1]Sheet1!$T:$T,0)</f>
        <v>3000</v>
      </c>
      <c r="R488" s="12">
        <f>_xlfn.XLOOKUP(B488,[1]Sheet1!$B:$B,[1]Sheet1!$U:$U,0)</f>
        <v>143000</v>
      </c>
      <c r="S488" s="12">
        <f>_xlfn.XLOOKUP(B488,[1]Sheet1!$B:$B,[1]Sheet1!$V:$V,0)</f>
        <v>148000</v>
      </c>
      <c r="T488" s="12">
        <f>_xlfn.XLOOKUP(B488,[1]Sheet1!$B:$B,[1]Sheet1!$W:$W,0)</f>
        <v>52175</v>
      </c>
      <c r="U488" s="12">
        <f>_xlfn.XLOOKUP(B488,[1]Sheet1!$B:$B,[1]Sheet1!$X:$X,0)</f>
        <v>35000</v>
      </c>
      <c r="V488" s="12">
        <f>_xlfn.XLOOKUP(B488,[1]Sheet1!$B:$B,[1]Sheet1!$Y:$Y,0)</f>
        <v>231488</v>
      </c>
      <c r="W488" s="12">
        <f t="shared" si="17"/>
        <v>812163</v>
      </c>
      <c r="X488" s="6" t="s">
        <v>286</v>
      </c>
      <c r="Y488" s="6" t="s">
        <v>65</v>
      </c>
      <c r="Z488" s="6" t="s">
        <v>287</v>
      </c>
      <c r="AA488" s="6" t="s">
        <v>44</v>
      </c>
      <c r="AB488" s="6" t="s">
        <v>36</v>
      </c>
      <c r="AC488" s="6" t="s">
        <v>37</v>
      </c>
      <c r="AD488" s="6" t="s">
        <v>126</v>
      </c>
      <c r="AE488" s="6" t="s">
        <v>39</v>
      </c>
      <c r="AF488" s="6" t="s">
        <v>40</v>
      </c>
      <c r="AG488" s="7">
        <v>1133458</v>
      </c>
      <c r="AH488" s="11">
        <f>_xlfn.XLOOKUP(B488,[1]Sheet1!$B:$B,[1]Sheet1!$AB:$AB,0)</f>
        <v>1133458</v>
      </c>
    </row>
    <row r="489" spans="2:34" ht="16.8" thickTop="1" thickBot="1" x14ac:dyDescent="0.35">
      <c r="B489" s="3" t="str">
        <f t="shared" si="16"/>
        <v>45113004511000639Cultural Advice-N424521200104</v>
      </c>
      <c r="C489" s="8" t="s">
        <v>288</v>
      </c>
      <c r="D489" s="8" t="s">
        <v>788</v>
      </c>
      <c r="E489" s="8" t="s">
        <v>789</v>
      </c>
      <c r="F489" s="8" t="s">
        <v>296</v>
      </c>
      <c r="G489" s="4" t="s">
        <v>2804</v>
      </c>
      <c r="H489" s="4" t="s">
        <v>2922</v>
      </c>
      <c r="I489" s="8" t="s">
        <v>51</v>
      </c>
      <c r="J489" s="8" t="s">
        <v>31</v>
      </c>
      <c r="K489" s="12">
        <f>_xlfn.XLOOKUP(B489,[1]Sheet1!$B:$B,[1]Sheet1!$N:$N,0)</f>
        <v>0</v>
      </c>
      <c r="L489" s="12">
        <f>_xlfn.XLOOKUP(B489,[1]Sheet1!$B:$B,[1]Sheet1!$O:$O,0)</f>
        <v>0</v>
      </c>
      <c r="M489" s="12">
        <f>_xlfn.XLOOKUP(B489,[1]Sheet1!$B:$B,[1]Sheet1!$P:$P,0)</f>
        <v>0</v>
      </c>
      <c r="N489" s="12">
        <f>_xlfn.XLOOKUP(B489,[1]Sheet1!$B:$B,[1]Sheet1!$Q:$Q,0)</f>
        <v>0</v>
      </c>
      <c r="O489" s="12">
        <f>_xlfn.XLOOKUP(B489,[1]Sheet1!$B:$B,[1]Sheet1!$R:$R,0)</f>
        <v>0</v>
      </c>
      <c r="P489" s="12">
        <f>_xlfn.XLOOKUP(B489,[1]Sheet1!$B:$B,[1]Sheet1!$S:$S,0)</f>
        <v>391500</v>
      </c>
      <c r="Q489" s="12">
        <f>_xlfn.XLOOKUP(B489,[1]Sheet1!$B:$B,[1]Sheet1!$T:$T,0)</f>
        <v>0</v>
      </c>
      <c r="R489" s="12">
        <f>_xlfn.XLOOKUP(B489,[1]Sheet1!$B:$B,[1]Sheet1!$U:$U,0)</f>
        <v>0</v>
      </c>
      <c r="S489" s="12">
        <f>_xlfn.XLOOKUP(B489,[1]Sheet1!$B:$B,[1]Sheet1!$V:$V,0)</f>
        <v>0</v>
      </c>
      <c r="T489" s="12">
        <f>_xlfn.XLOOKUP(B489,[1]Sheet1!$B:$B,[1]Sheet1!$W:$W,0)</f>
        <v>0</v>
      </c>
      <c r="U489" s="12">
        <f>_xlfn.XLOOKUP(B489,[1]Sheet1!$B:$B,[1]Sheet1!$X:$X,0)</f>
        <v>193500</v>
      </c>
      <c r="V489" s="12">
        <f>_xlfn.XLOOKUP(B489,[1]Sheet1!$B:$B,[1]Sheet1!$Y:$Y,0)</f>
        <v>0</v>
      </c>
      <c r="W489" s="12">
        <f t="shared" si="17"/>
        <v>585000</v>
      </c>
      <c r="X489" s="8" t="s">
        <v>783</v>
      </c>
      <c r="Y489" s="8" t="s">
        <v>65</v>
      </c>
      <c r="Z489" s="8" t="s">
        <v>287</v>
      </c>
      <c r="AA489" s="8" t="s">
        <v>53</v>
      </c>
      <c r="AB489" s="8" t="s">
        <v>36</v>
      </c>
      <c r="AC489" s="8" t="s">
        <v>37</v>
      </c>
      <c r="AD489" s="8" t="s">
        <v>126</v>
      </c>
      <c r="AE489" s="8" t="s">
        <v>39</v>
      </c>
      <c r="AF489" s="8" t="s">
        <v>40</v>
      </c>
      <c r="AG489" s="9">
        <v>991000</v>
      </c>
      <c r="AH489" s="11">
        <f>_xlfn.XLOOKUP(B489,[1]Sheet1!$B:$B,[1]Sheet1!$AB:$AB,0)</f>
        <v>991000</v>
      </c>
    </row>
    <row r="490" spans="2:34" ht="16.8" thickTop="1" thickBot="1" x14ac:dyDescent="0.35">
      <c r="B490" s="3" t="str">
        <f t="shared" si="16"/>
        <v>45113004511000639Event Management-N422401200104</v>
      </c>
      <c r="C490" s="6" t="s">
        <v>288</v>
      </c>
      <c r="D490" s="6" t="s">
        <v>788</v>
      </c>
      <c r="E490" s="6" t="s">
        <v>789</v>
      </c>
      <c r="F490" s="6" t="s">
        <v>162</v>
      </c>
      <c r="G490" s="4" t="s">
        <v>2807</v>
      </c>
      <c r="H490" s="4" t="s">
        <v>2922</v>
      </c>
      <c r="I490" s="6" t="s">
        <v>63</v>
      </c>
      <c r="J490" s="6" t="s">
        <v>31</v>
      </c>
      <c r="K490" s="12">
        <f>_xlfn.XLOOKUP(B490,[1]Sheet1!$B:$B,[1]Sheet1!$N:$N,0)</f>
        <v>0</v>
      </c>
      <c r="L490" s="12">
        <f>_xlfn.XLOOKUP(B490,[1]Sheet1!$B:$B,[1]Sheet1!$O:$O,0)</f>
        <v>0</v>
      </c>
      <c r="M490" s="12">
        <f>_xlfn.XLOOKUP(B490,[1]Sheet1!$B:$B,[1]Sheet1!$P:$P,0)</f>
        <v>0</v>
      </c>
      <c r="N490" s="12">
        <f>_xlfn.XLOOKUP(B490,[1]Sheet1!$B:$B,[1]Sheet1!$Q:$Q,0)</f>
        <v>0</v>
      </c>
      <c r="O490" s="12">
        <f>_xlfn.XLOOKUP(B490,[1]Sheet1!$B:$B,[1]Sheet1!$R:$R,0)</f>
        <v>0</v>
      </c>
      <c r="P490" s="12">
        <f>_xlfn.XLOOKUP(B490,[1]Sheet1!$B:$B,[1]Sheet1!$S:$S,0)</f>
        <v>0</v>
      </c>
      <c r="Q490" s="12">
        <f>_xlfn.XLOOKUP(B490,[1]Sheet1!$B:$B,[1]Sheet1!$T:$T,0)</f>
        <v>1245684</v>
      </c>
      <c r="R490" s="12">
        <f>_xlfn.XLOOKUP(B490,[1]Sheet1!$B:$B,[1]Sheet1!$U:$U,0)</f>
        <v>400000</v>
      </c>
      <c r="S490" s="12">
        <f>_xlfn.XLOOKUP(B490,[1]Sheet1!$B:$B,[1]Sheet1!$V:$V,0)</f>
        <v>4772921</v>
      </c>
      <c r="T490" s="12">
        <f>_xlfn.XLOOKUP(B490,[1]Sheet1!$B:$B,[1]Sheet1!$W:$W,0)</f>
        <v>581395</v>
      </c>
      <c r="U490" s="12">
        <f>_xlfn.XLOOKUP(B490,[1]Sheet1!$B:$B,[1]Sheet1!$X:$X,0)</f>
        <v>0</v>
      </c>
      <c r="V490" s="12">
        <f>_xlfn.XLOOKUP(B490,[1]Sheet1!$B:$B,[1]Sheet1!$Y:$Y,0)</f>
        <v>0</v>
      </c>
      <c r="W490" s="12">
        <f t="shared" si="17"/>
        <v>7000000</v>
      </c>
      <c r="X490" s="6" t="s">
        <v>782</v>
      </c>
      <c r="Y490" s="6" t="s">
        <v>65</v>
      </c>
      <c r="Z490" s="6" t="s">
        <v>287</v>
      </c>
      <c r="AA490" s="6" t="s">
        <v>68</v>
      </c>
      <c r="AB490" s="6" t="s">
        <v>36</v>
      </c>
      <c r="AC490" s="6" t="s">
        <v>37</v>
      </c>
      <c r="AD490" s="6" t="s">
        <v>126</v>
      </c>
      <c r="AE490" s="6" t="s">
        <v>39</v>
      </c>
      <c r="AF490" s="6" t="s">
        <v>40</v>
      </c>
      <c r="AG490" s="7">
        <v>4555000</v>
      </c>
      <c r="AH490" s="11">
        <f>_xlfn.XLOOKUP(B490,[1]Sheet1!$B:$B,[1]Sheet1!$AB:$AB,0)</f>
        <v>4555000</v>
      </c>
    </row>
    <row r="491" spans="2:34" ht="16.8" thickTop="1" thickBot="1" x14ac:dyDescent="0.35">
      <c r="B491" s="3" t="str">
        <f t="shared" si="16"/>
        <v>45113004511000639FeasibilityStudy-N421119200104</v>
      </c>
      <c r="C491" s="8" t="s">
        <v>288</v>
      </c>
      <c r="D491" s="8" t="s">
        <v>788</v>
      </c>
      <c r="E491" s="8" t="s">
        <v>789</v>
      </c>
      <c r="F491" s="8" t="s">
        <v>792</v>
      </c>
      <c r="G491" s="4" t="s">
        <v>2857</v>
      </c>
      <c r="H491" s="4" t="s">
        <v>2922</v>
      </c>
      <c r="I491" s="8" t="s">
        <v>739</v>
      </c>
      <c r="J491" s="8" t="s">
        <v>31</v>
      </c>
      <c r="K491" s="12">
        <f>_xlfn.XLOOKUP(B491,[1]Sheet1!$B:$B,[1]Sheet1!$N:$N,0)</f>
        <v>0</v>
      </c>
      <c r="L491" s="12">
        <f>_xlfn.XLOOKUP(B491,[1]Sheet1!$B:$B,[1]Sheet1!$O:$O,0)</f>
        <v>0</v>
      </c>
      <c r="M491" s="12">
        <f>_xlfn.XLOOKUP(B491,[1]Sheet1!$B:$B,[1]Sheet1!$P:$P,0)</f>
        <v>0</v>
      </c>
      <c r="N491" s="12">
        <f>_xlfn.XLOOKUP(B491,[1]Sheet1!$B:$B,[1]Sheet1!$Q:$Q,0)</f>
        <v>0</v>
      </c>
      <c r="O491" s="12">
        <f>_xlfn.XLOOKUP(B491,[1]Sheet1!$B:$B,[1]Sheet1!$R:$R,0)</f>
        <v>0</v>
      </c>
      <c r="P491" s="12">
        <f>_xlfn.XLOOKUP(B491,[1]Sheet1!$B:$B,[1]Sheet1!$S:$S,0)</f>
        <v>0</v>
      </c>
      <c r="Q491" s="12">
        <f>_xlfn.XLOOKUP(B491,[1]Sheet1!$B:$B,[1]Sheet1!$T:$T,0)</f>
        <v>0</v>
      </c>
      <c r="R491" s="12">
        <f>_xlfn.XLOOKUP(B491,[1]Sheet1!$B:$B,[1]Sheet1!$U:$U,0)</f>
        <v>0</v>
      </c>
      <c r="S491" s="12">
        <f>_xlfn.XLOOKUP(B491,[1]Sheet1!$B:$B,[1]Sheet1!$V:$V,0)</f>
        <v>0</v>
      </c>
      <c r="T491" s="12">
        <f>_xlfn.XLOOKUP(B491,[1]Sheet1!$B:$B,[1]Sheet1!$W:$W,0)</f>
        <v>0</v>
      </c>
      <c r="U491" s="12">
        <f>_xlfn.XLOOKUP(B491,[1]Sheet1!$B:$B,[1]Sheet1!$X:$X,0)</f>
        <v>0</v>
      </c>
      <c r="V491" s="12">
        <f>_xlfn.XLOOKUP(B491,[1]Sheet1!$B:$B,[1]Sheet1!$Y:$Y,0)</f>
        <v>0</v>
      </c>
      <c r="W491" s="12">
        <f t="shared" si="17"/>
        <v>0</v>
      </c>
      <c r="X491" s="8" t="s">
        <v>793</v>
      </c>
      <c r="Y491" s="8" t="s">
        <v>65</v>
      </c>
      <c r="Z491" s="8" t="s">
        <v>287</v>
      </c>
      <c r="AA491" s="8" t="s">
        <v>741</v>
      </c>
      <c r="AB491" s="8" t="s">
        <v>36</v>
      </c>
      <c r="AC491" s="8" t="s">
        <v>37</v>
      </c>
      <c r="AD491" s="8" t="s">
        <v>126</v>
      </c>
      <c r="AE491" s="8" t="s">
        <v>39</v>
      </c>
      <c r="AF491" s="8" t="s">
        <v>40</v>
      </c>
      <c r="AG491" s="9">
        <v>1350000</v>
      </c>
      <c r="AH491" s="11">
        <f>_xlfn.XLOOKUP(B491,[1]Sheet1!$B:$B,[1]Sheet1!$AB:$AB,0)</f>
        <v>1350000</v>
      </c>
    </row>
    <row r="492" spans="2:34" ht="16.8" thickTop="1" thickBot="1" x14ac:dyDescent="0.35">
      <c r="B492" s="3" t="str">
        <f t="shared" si="16"/>
        <v>45113004511000639Freelancers-N424521200104</v>
      </c>
      <c r="C492" s="6" t="s">
        <v>288</v>
      </c>
      <c r="D492" s="6" t="s">
        <v>788</v>
      </c>
      <c r="E492" s="6" t="s">
        <v>789</v>
      </c>
      <c r="F492" s="6" t="s">
        <v>50</v>
      </c>
      <c r="G492" s="4" t="s">
        <v>2804</v>
      </c>
      <c r="H492" s="4" t="s">
        <v>2922</v>
      </c>
      <c r="I492" s="6" t="s">
        <v>51</v>
      </c>
      <c r="J492" s="6" t="s">
        <v>31</v>
      </c>
      <c r="K492" s="12">
        <f>_xlfn.XLOOKUP(B492,[1]Sheet1!$B:$B,[1]Sheet1!$N:$N,0)</f>
        <v>0</v>
      </c>
      <c r="L492" s="12">
        <f>_xlfn.XLOOKUP(B492,[1]Sheet1!$B:$B,[1]Sheet1!$O:$O,0)</f>
        <v>279017.5</v>
      </c>
      <c r="M492" s="12">
        <f>_xlfn.XLOOKUP(B492,[1]Sheet1!$B:$B,[1]Sheet1!$P:$P,0)</f>
        <v>124625.5</v>
      </c>
      <c r="N492" s="12">
        <f>_xlfn.XLOOKUP(B492,[1]Sheet1!$B:$B,[1]Sheet1!$Q:$Q,0)</f>
        <v>0</v>
      </c>
      <c r="O492" s="12">
        <f>_xlfn.XLOOKUP(B492,[1]Sheet1!$B:$B,[1]Sheet1!$R:$R,0)</f>
        <v>0</v>
      </c>
      <c r="P492" s="12">
        <f>_xlfn.XLOOKUP(B492,[1]Sheet1!$B:$B,[1]Sheet1!$S:$S,0)</f>
        <v>31701</v>
      </c>
      <c r="Q492" s="12">
        <f>_xlfn.XLOOKUP(B492,[1]Sheet1!$B:$B,[1]Sheet1!$T:$T,0)</f>
        <v>80418</v>
      </c>
      <c r="R492" s="12">
        <f>_xlfn.XLOOKUP(B492,[1]Sheet1!$B:$B,[1]Sheet1!$U:$U,0)</f>
        <v>74268</v>
      </c>
      <c r="S492" s="12">
        <f>_xlfn.XLOOKUP(B492,[1]Sheet1!$B:$B,[1]Sheet1!$V:$V,0)</f>
        <v>74268</v>
      </c>
      <c r="T492" s="12">
        <f>_xlfn.XLOOKUP(B492,[1]Sheet1!$B:$B,[1]Sheet1!$W:$W,0)</f>
        <v>139268</v>
      </c>
      <c r="U492" s="12">
        <f>_xlfn.XLOOKUP(B492,[1]Sheet1!$B:$B,[1]Sheet1!$X:$X,0)</f>
        <v>99268</v>
      </c>
      <c r="V492" s="12">
        <f>_xlfn.XLOOKUP(B492,[1]Sheet1!$B:$B,[1]Sheet1!$Y:$Y,0)</f>
        <v>104719</v>
      </c>
      <c r="W492" s="12">
        <f t="shared" si="17"/>
        <v>1007553</v>
      </c>
      <c r="X492" s="6" t="s">
        <v>783</v>
      </c>
      <c r="Y492" s="6" t="s">
        <v>65</v>
      </c>
      <c r="Z492" s="6" t="s">
        <v>287</v>
      </c>
      <c r="AA492" s="6" t="s">
        <v>53</v>
      </c>
      <c r="AB492" s="6" t="s">
        <v>36</v>
      </c>
      <c r="AC492" s="6" t="s">
        <v>37</v>
      </c>
      <c r="AD492" s="6" t="s">
        <v>126</v>
      </c>
      <c r="AE492" s="6" t="s">
        <v>39</v>
      </c>
      <c r="AF492" s="6" t="s">
        <v>40</v>
      </c>
      <c r="AG492" s="7">
        <v>1267553</v>
      </c>
      <c r="AH492" s="11">
        <f>_xlfn.XLOOKUP(B492,[1]Sheet1!$B:$B,[1]Sheet1!$AB:$AB,0)</f>
        <v>1267553</v>
      </c>
    </row>
    <row r="493" spans="2:34" ht="16.8" thickTop="1" thickBot="1" x14ac:dyDescent="0.35">
      <c r="B493" s="3" t="str">
        <f t="shared" si="16"/>
        <v>45113004511000639Research&amp;Survey-N423411200104</v>
      </c>
      <c r="C493" s="8" t="s">
        <v>288</v>
      </c>
      <c r="D493" s="8" t="s">
        <v>788</v>
      </c>
      <c r="E493" s="8" t="s">
        <v>789</v>
      </c>
      <c r="F493" s="8" t="s">
        <v>381</v>
      </c>
      <c r="G493" s="4" t="s">
        <v>2833</v>
      </c>
      <c r="H493" s="4" t="s">
        <v>2922</v>
      </c>
      <c r="I493" s="8" t="s">
        <v>330</v>
      </c>
      <c r="J493" s="8" t="s">
        <v>31</v>
      </c>
      <c r="K493" s="12">
        <f>_xlfn.XLOOKUP(B493,[1]Sheet1!$B:$B,[1]Sheet1!$N:$N,0)</f>
        <v>0</v>
      </c>
      <c r="L493" s="12">
        <f>_xlfn.XLOOKUP(B493,[1]Sheet1!$B:$B,[1]Sheet1!$O:$O,0)</f>
        <v>0</v>
      </c>
      <c r="M493" s="12">
        <f>_xlfn.XLOOKUP(B493,[1]Sheet1!$B:$B,[1]Sheet1!$P:$P,0)</f>
        <v>0</v>
      </c>
      <c r="N493" s="12">
        <f>_xlfn.XLOOKUP(B493,[1]Sheet1!$B:$B,[1]Sheet1!$Q:$Q,0)</f>
        <v>120412</v>
      </c>
      <c r="O493" s="12">
        <f>_xlfn.XLOOKUP(B493,[1]Sheet1!$B:$B,[1]Sheet1!$R:$R,0)</f>
        <v>259515</v>
      </c>
      <c r="P493" s="12">
        <f>_xlfn.XLOOKUP(B493,[1]Sheet1!$B:$B,[1]Sheet1!$S:$S,0)</f>
        <v>410000</v>
      </c>
      <c r="Q493" s="12">
        <f>_xlfn.XLOOKUP(B493,[1]Sheet1!$B:$B,[1]Sheet1!$T:$T,0)</f>
        <v>530000</v>
      </c>
      <c r="R493" s="12">
        <f>_xlfn.XLOOKUP(B493,[1]Sheet1!$B:$B,[1]Sheet1!$U:$U,0)</f>
        <v>0</v>
      </c>
      <c r="S493" s="12">
        <f>_xlfn.XLOOKUP(B493,[1]Sheet1!$B:$B,[1]Sheet1!$V:$V,0)</f>
        <v>1220000</v>
      </c>
      <c r="T493" s="12">
        <f>_xlfn.XLOOKUP(B493,[1]Sheet1!$B:$B,[1]Sheet1!$W:$W,0)</f>
        <v>90000</v>
      </c>
      <c r="U493" s="12">
        <f>_xlfn.XLOOKUP(B493,[1]Sheet1!$B:$B,[1]Sheet1!$X:$X,0)</f>
        <v>860000</v>
      </c>
      <c r="V493" s="12">
        <f>_xlfn.XLOOKUP(B493,[1]Sheet1!$B:$B,[1]Sheet1!$Y:$Y,0)</f>
        <v>1321996</v>
      </c>
      <c r="W493" s="12">
        <f t="shared" si="17"/>
        <v>4811923</v>
      </c>
      <c r="X493" s="8" t="s">
        <v>794</v>
      </c>
      <c r="Y493" s="8" t="s">
        <v>65</v>
      </c>
      <c r="Z493" s="8" t="s">
        <v>287</v>
      </c>
      <c r="AA493" s="8" t="s">
        <v>330</v>
      </c>
      <c r="AB493" s="8" t="s">
        <v>36</v>
      </c>
      <c r="AC493" s="8" t="s">
        <v>37</v>
      </c>
      <c r="AD493" s="8" t="s">
        <v>126</v>
      </c>
      <c r="AE493" s="8" t="s">
        <v>39</v>
      </c>
      <c r="AF493" s="8" t="s">
        <v>40</v>
      </c>
      <c r="AG493" s="9">
        <v>5181396</v>
      </c>
      <c r="AH493" s="11">
        <f>_xlfn.XLOOKUP(B493,[1]Sheet1!$B:$B,[1]Sheet1!$AB:$AB,0)</f>
        <v>5181396</v>
      </c>
    </row>
    <row r="494" spans="2:34" ht="16.8" thickTop="1" thickBot="1" x14ac:dyDescent="0.35">
      <c r="B494" s="3" t="str">
        <f t="shared" si="16"/>
        <v>45116004511000640Art Materials-N1432626200104</v>
      </c>
      <c r="C494" s="6" t="s">
        <v>125</v>
      </c>
      <c r="D494" s="6" t="s">
        <v>795</v>
      </c>
      <c r="E494" s="6" t="s">
        <v>796</v>
      </c>
      <c r="F494" s="6" t="s">
        <v>75</v>
      </c>
      <c r="G494" s="4" t="s">
        <v>2809</v>
      </c>
      <c r="H494" s="4" t="s">
        <v>2922</v>
      </c>
      <c r="I494" s="6" t="s">
        <v>76</v>
      </c>
      <c r="J494" s="6" t="s">
        <v>31</v>
      </c>
      <c r="K494" s="12">
        <f>_xlfn.XLOOKUP(B494,[1]Sheet1!$B:$B,[1]Sheet1!$N:$N,0)</f>
        <v>0</v>
      </c>
      <c r="L494" s="12">
        <f>_xlfn.XLOOKUP(B494,[1]Sheet1!$B:$B,[1]Sheet1!$O:$O,0)</f>
        <v>0</v>
      </c>
      <c r="M494" s="12">
        <f>_xlfn.XLOOKUP(B494,[1]Sheet1!$B:$B,[1]Sheet1!$P:$P,0)</f>
        <v>0</v>
      </c>
      <c r="N494" s="12">
        <f>_xlfn.XLOOKUP(B494,[1]Sheet1!$B:$B,[1]Sheet1!$Q:$Q,0)</f>
        <v>0</v>
      </c>
      <c r="O494" s="12">
        <f>_xlfn.XLOOKUP(B494,[1]Sheet1!$B:$B,[1]Sheet1!$R:$R,0)</f>
        <v>210000</v>
      </c>
      <c r="P494" s="12">
        <f>_xlfn.XLOOKUP(B494,[1]Sheet1!$B:$B,[1]Sheet1!$S:$S,0)</f>
        <v>215000</v>
      </c>
      <c r="Q494" s="12">
        <f>_xlfn.XLOOKUP(B494,[1]Sheet1!$B:$B,[1]Sheet1!$T:$T,0)</f>
        <v>210000</v>
      </c>
      <c r="R494" s="12">
        <f>_xlfn.XLOOKUP(B494,[1]Sheet1!$B:$B,[1]Sheet1!$U:$U,0)</f>
        <v>215000</v>
      </c>
      <c r="S494" s="12">
        <f>_xlfn.XLOOKUP(B494,[1]Sheet1!$B:$B,[1]Sheet1!$V:$V,0)</f>
        <v>210000</v>
      </c>
      <c r="T494" s="12">
        <f>_xlfn.XLOOKUP(B494,[1]Sheet1!$B:$B,[1]Sheet1!$W:$W,0)</f>
        <v>215000</v>
      </c>
      <c r="U494" s="12">
        <f>_xlfn.XLOOKUP(B494,[1]Sheet1!$B:$B,[1]Sheet1!$X:$X,0)</f>
        <v>210000</v>
      </c>
      <c r="V494" s="12">
        <f>_xlfn.XLOOKUP(B494,[1]Sheet1!$B:$B,[1]Sheet1!$Y:$Y,0)</f>
        <v>527000</v>
      </c>
      <c r="W494" s="12">
        <f t="shared" si="17"/>
        <v>2012000</v>
      </c>
      <c r="X494" s="6" t="s">
        <v>797</v>
      </c>
      <c r="Y494" s="6" t="s">
        <v>65</v>
      </c>
      <c r="Z494" s="6" t="s">
        <v>124</v>
      </c>
      <c r="AA494" s="6" t="s">
        <v>78</v>
      </c>
      <c r="AB494" s="6" t="s">
        <v>36</v>
      </c>
      <c r="AC494" s="6" t="s">
        <v>37</v>
      </c>
      <c r="AD494" s="6" t="s">
        <v>126</v>
      </c>
      <c r="AE494" s="6" t="s">
        <v>39</v>
      </c>
      <c r="AF494" s="6" t="s">
        <v>40</v>
      </c>
      <c r="AG494" s="7">
        <v>2040600</v>
      </c>
      <c r="AH494" s="11">
        <f>_xlfn.XLOOKUP(B494,[1]Sheet1!$B:$B,[1]Sheet1!$AB:$AB,0)</f>
        <v>2040600</v>
      </c>
    </row>
    <row r="495" spans="2:34" ht="16.8" thickTop="1" thickBot="1" x14ac:dyDescent="0.35">
      <c r="B495" s="3" t="str">
        <f t="shared" si="16"/>
        <v>45113004511000641CollectionConsrv-N421191200104</v>
      </c>
      <c r="C495" s="8" t="s">
        <v>288</v>
      </c>
      <c r="D495" s="8" t="s">
        <v>798</v>
      </c>
      <c r="E495" s="8" t="s">
        <v>799</v>
      </c>
      <c r="F495" s="8" t="s">
        <v>800</v>
      </c>
      <c r="G495" s="4" t="s">
        <v>2851</v>
      </c>
      <c r="H495" s="4" t="s">
        <v>2922</v>
      </c>
      <c r="I495" s="8" t="s">
        <v>550</v>
      </c>
      <c r="J495" s="8" t="s">
        <v>31</v>
      </c>
      <c r="K495" s="12">
        <f>_xlfn.XLOOKUP(B495,[1]Sheet1!$B:$B,[1]Sheet1!$N:$N,0)</f>
        <v>0</v>
      </c>
      <c r="L495" s="12">
        <f>_xlfn.XLOOKUP(B495,[1]Sheet1!$B:$B,[1]Sheet1!$O:$O,0)</f>
        <v>0</v>
      </c>
      <c r="M495" s="12">
        <f>_xlfn.XLOOKUP(B495,[1]Sheet1!$B:$B,[1]Sheet1!$P:$P,0)</f>
        <v>0</v>
      </c>
      <c r="N495" s="12">
        <f>_xlfn.XLOOKUP(B495,[1]Sheet1!$B:$B,[1]Sheet1!$Q:$Q,0)</f>
        <v>0</v>
      </c>
      <c r="O495" s="12">
        <f>_xlfn.XLOOKUP(B495,[1]Sheet1!$B:$B,[1]Sheet1!$R:$R,0)</f>
        <v>300000</v>
      </c>
      <c r="P495" s="12">
        <f>_xlfn.XLOOKUP(B495,[1]Sheet1!$B:$B,[1]Sheet1!$S:$S,0)</f>
        <v>300000</v>
      </c>
      <c r="Q495" s="12">
        <f>_xlfn.XLOOKUP(B495,[1]Sheet1!$B:$B,[1]Sheet1!$T:$T,0)</f>
        <v>0</v>
      </c>
      <c r="R495" s="12">
        <f>_xlfn.XLOOKUP(B495,[1]Sheet1!$B:$B,[1]Sheet1!$U:$U,0)</f>
        <v>400000</v>
      </c>
      <c r="S495" s="12">
        <f>_xlfn.XLOOKUP(B495,[1]Sheet1!$B:$B,[1]Sheet1!$V:$V,0)</f>
        <v>400000</v>
      </c>
      <c r="T495" s="12">
        <f>_xlfn.XLOOKUP(B495,[1]Sheet1!$B:$B,[1]Sheet1!$W:$W,0)</f>
        <v>0</v>
      </c>
      <c r="U495" s="12">
        <f>_xlfn.XLOOKUP(B495,[1]Sheet1!$B:$B,[1]Sheet1!$X:$X,0)</f>
        <v>250000</v>
      </c>
      <c r="V495" s="12">
        <f>_xlfn.XLOOKUP(B495,[1]Sheet1!$B:$B,[1]Sheet1!$Y:$Y,0)</f>
        <v>0</v>
      </c>
      <c r="W495" s="12">
        <f t="shared" si="17"/>
        <v>1650000</v>
      </c>
      <c r="X495" s="8" t="s">
        <v>801</v>
      </c>
      <c r="Y495" s="8" t="s">
        <v>65</v>
      </c>
      <c r="Z495" s="8" t="s">
        <v>287</v>
      </c>
      <c r="AA495" s="8" t="s">
        <v>552</v>
      </c>
      <c r="AB495" s="8" t="s">
        <v>36</v>
      </c>
      <c r="AC495" s="8" t="s">
        <v>37</v>
      </c>
      <c r="AD495" s="8" t="s">
        <v>126</v>
      </c>
      <c r="AE495" s="8" t="s">
        <v>39</v>
      </c>
      <c r="AF495" s="8" t="s">
        <v>40</v>
      </c>
      <c r="AG495" s="9">
        <v>1333821</v>
      </c>
      <c r="AH495" s="11">
        <f>_xlfn.XLOOKUP(B495,[1]Sheet1!$B:$B,[1]Sheet1!$AB:$AB,0)</f>
        <v>1333821</v>
      </c>
    </row>
    <row r="496" spans="2:34" ht="16.8" thickTop="1" thickBot="1" x14ac:dyDescent="0.35">
      <c r="B496" s="3" t="str">
        <f t="shared" si="16"/>
        <v>45113004511000641Freelancers-N424521200104</v>
      </c>
      <c r="C496" s="6" t="s">
        <v>288</v>
      </c>
      <c r="D496" s="6" t="s">
        <v>798</v>
      </c>
      <c r="E496" s="6" t="s">
        <v>799</v>
      </c>
      <c r="F496" s="6" t="s">
        <v>50</v>
      </c>
      <c r="G496" s="4" t="s">
        <v>2804</v>
      </c>
      <c r="H496" s="4" t="s">
        <v>2922</v>
      </c>
      <c r="I496" s="6" t="s">
        <v>51</v>
      </c>
      <c r="J496" s="6" t="s">
        <v>31</v>
      </c>
      <c r="K496" s="12">
        <f>_xlfn.XLOOKUP(B496,[1]Sheet1!$B:$B,[1]Sheet1!$N:$N,0)</f>
        <v>0</v>
      </c>
      <c r="L496" s="12">
        <f>_xlfn.XLOOKUP(B496,[1]Sheet1!$B:$B,[1]Sheet1!$O:$O,0)</f>
        <v>0</v>
      </c>
      <c r="M496" s="12">
        <f>_xlfn.XLOOKUP(B496,[1]Sheet1!$B:$B,[1]Sheet1!$P:$P,0)</f>
        <v>93000</v>
      </c>
      <c r="N496" s="12">
        <f>_xlfn.XLOOKUP(B496,[1]Sheet1!$B:$B,[1]Sheet1!$Q:$Q,0)</f>
        <v>0</v>
      </c>
      <c r="O496" s="12">
        <f>_xlfn.XLOOKUP(B496,[1]Sheet1!$B:$B,[1]Sheet1!$R:$R,0)</f>
        <v>0</v>
      </c>
      <c r="P496" s="12">
        <f>_xlfn.XLOOKUP(B496,[1]Sheet1!$B:$B,[1]Sheet1!$S:$S,0)</f>
        <v>0</v>
      </c>
      <c r="Q496" s="12">
        <f>_xlfn.XLOOKUP(B496,[1]Sheet1!$B:$B,[1]Sheet1!$T:$T,0)</f>
        <v>0</v>
      </c>
      <c r="R496" s="12">
        <f>_xlfn.XLOOKUP(B496,[1]Sheet1!$B:$B,[1]Sheet1!$U:$U,0)</f>
        <v>50000</v>
      </c>
      <c r="S496" s="12">
        <f>_xlfn.XLOOKUP(B496,[1]Sheet1!$B:$B,[1]Sheet1!$V:$V,0)</f>
        <v>0</v>
      </c>
      <c r="T496" s="12">
        <f>_xlfn.XLOOKUP(B496,[1]Sheet1!$B:$B,[1]Sheet1!$W:$W,0)</f>
        <v>557000</v>
      </c>
      <c r="U496" s="12">
        <f>_xlfn.XLOOKUP(B496,[1]Sheet1!$B:$B,[1]Sheet1!$X:$X,0)</f>
        <v>0</v>
      </c>
      <c r="V496" s="12">
        <f>_xlfn.XLOOKUP(B496,[1]Sheet1!$B:$B,[1]Sheet1!$Y:$Y,0)</f>
        <v>0</v>
      </c>
      <c r="W496" s="12">
        <f t="shared" si="17"/>
        <v>700000</v>
      </c>
      <c r="X496" s="6" t="s">
        <v>783</v>
      </c>
      <c r="Y496" s="6" t="s">
        <v>65</v>
      </c>
      <c r="Z496" s="6" t="s">
        <v>287</v>
      </c>
      <c r="AA496" s="6" t="s">
        <v>53</v>
      </c>
      <c r="AB496" s="6" t="s">
        <v>36</v>
      </c>
      <c r="AC496" s="6" t="s">
        <v>37</v>
      </c>
      <c r="AD496" s="6" t="s">
        <v>126</v>
      </c>
      <c r="AE496" s="6" t="s">
        <v>39</v>
      </c>
      <c r="AF496" s="6" t="s">
        <v>40</v>
      </c>
      <c r="AG496" s="7">
        <v>522000</v>
      </c>
      <c r="AH496" s="11">
        <f>_xlfn.XLOOKUP(B496,[1]Sheet1!$B:$B,[1]Sheet1!$AB:$AB,0)</f>
        <v>522000</v>
      </c>
    </row>
    <row r="497" spans="2:34" ht="16.8" thickTop="1" thickBot="1" x14ac:dyDescent="0.35">
      <c r="B497" s="3" t="str">
        <f t="shared" si="16"/>
        <v>45116004511000642ICH Management-N431512200104</v>
      </c>
      <c r="C497" s="8" t="s">
        <v>125</v>
      </c>
      <c r="D497" s="8" t="s">
        <v>802</v>
      </c>
      <c r="E497" s="8" t="s">
        <v>803</v>
      </c>
      <c r="F497" s="8" t="s">
        <v>804</v>
      </c>
      <c r="G497" s="4" t="s">
        <v>2853</v>
      </c>
      <c r="H497" s="4" t="s">
        <v>2922</v>
      </c>
      <c r="I497" s="8" t="s">
        <v>599</v>
      </c>
      <c r="J497" s="8" t="s">
        <v>31</v>
      </c>
      <c r="K497" s="12">
        <f>_xlfn.XLOOKUP(B497,[1]Sheet1!$B:$B,[1]Sheet1!$N:$N,0)</f>
        <v>0</v>
      </c>
      <c r="L497" s="12">
        <f>_xlfn.XLOOKUP(B497,[1]Sheet1!$B:$B,[1]Sheet1!$O:$O,0)</f>
        <v>0</v>
      </c>
      <c r="M497" s="12">
        <f>_xlfn.XLOOKUP(B497,[1]Sheet1!$B:$B,[1]Sheet1!$P:$P,0)</f>
        <v>0</v>
      </c>
      <c r="N497" s="12">
        <f>_xlfn.XLOOKUP(B497,[1]Sheet1!$B:$B,[1]Sheet1!$Q:$Q,0)</f>
        <v>0</v>
      </c>
      <c r="O497" s="12">
        <f>_xlfn.XLOOKUP(B497,[1]Sheet1!$B:$B,[1]Sheet1!$R:$R,0)</f>
        <v>0</v>
      </c>
      <c r="P497" s="12">
        <f>_xlfn.XLOOKUP(B497,[1]Sheet1!$B:$B,[1]Sheet1!$S:$S,0)</f>
        <v>0</v>
      </c>
      <c r="Q497" s="12">
        <f>_xlfn.XLOOKUP(B497,[1]Sheet1!$B:$B,[1]Sheet1!$T:$T,0)</f>
        <v>200000</v>
      </c>
      <c r="R497" s="12">
        <f>_xlfn.XLOOKUP(B497,[1]Sheet1!$B:$B,[1]Sheet1!$U:$U,0)</f>
        <v>0</v>
      </c>
      <c r="S497" s="12">
        <f>_xlfn.XLOOKUP(B497,[1]Sheet1!$B:$B,[1]Sheet1!$V:$V,0)</f>
        <v>390000</v>
      </c>
      <c r="T497" s="12">
        <f>_xlfn.XLOOKUP(B497,[1]Sheet1!$B:$B,[1]Sheet1!$W:$W,0)</f>
        <v>0</v>
      </c>
      <c r="U497" s="12">
        <f>_xlfn.XLOOKUP(B497,[1]Sheet1!$B:$B,[1]Sheet1!$X:$X,0)</f>
        <v>0</v>
      </c>
      <c r="V497" s="12">
        <f>_xlfn.XLOOKUP(B497,[1]Sheet1!$B:$B,[1]Sheet1!$Y:$Y,0)</f>
        <v>0</v>
      </c>
      <c r="W497" s="12">
        <f t="shared" si="17"/>
        <v>590000</v>
      </c>
      <c r="X497" s="8" t="s">
        <v>805</v>
      </c>
      <c r="Y497" s="8" t="s">
        <v>65</v>
      </c>
      <c r="Z497" s="8" t="s">
        <v>124</v>
      </c>
      <c r="AA497" s="8" t="s">
        <v>599</v>
      </c>
      <c r="AB497" s="8" t="s">
        <v>36</v>
      </c>
      <c r="AC497" s="8" t="s">
        <v>37</v>
      </c>
      <c r="AD497" s="8" t="s">
        <v>119</v>
      </c>
      <c r="AE497" s="8" t="s">
        <v>39</v>
      </c>
      <c r="AF497" s="8" t="s">
        <v>40</v>
      </c>
      <c r="AG497" s="9">
        <v>590000</v>
      </c>
      <c r="AH497" s="11">
        <f>_xlfn.XLOOKUP(B497,[1]Sheet1!$B:$B,[1]Sheet1!$AB:$AB,0)</f>
        <v>590000</v>
      </c>
    </row>
    <row r="498" spans="2:34" ht="16.8" thickTop="1" thickBot="1" x14ac:dyDescent="0.35">
      <c r="B498" s="3" t="str">
        <f t="shared" si="16"/>
        <v>45116004511000643ICH Management-N431512200104</v>
      </c>
      <c r="C498" s="6" t="s">
        <v>125</v>
      </c>
      <c r="D498" s="6" t="s">
        <v>806</v>
      </c>
      <c r="E498" s="6" t="s">
        <v>807</v>
      </c>
      <c r="F498" s="6" t="s">
        <v>804</v>
      </c>
      <c r="G498" s="4" t="s">
        <v>2853</v>
      </c>
      <c r="H498" s="4" t="s">
        <v>2922</v>
      </c>
      <c r="I498" s="6" t="s">
        <v>599</v>
      </c>
      <c r="J498" s="6" t="s">
        <v>31</v>
      </c>
      <c r="K498" s="12">
        <f>_xlfn.XLOOKUP(B498,[1]Sheet1!$B:$B,[1]Sheet1!$N:$N,0)</f>
        <v>0</v>
      </c>
      <c r="L498" s="12">
        <f>_xlfn.XLOOKUP(B498,[1]Sheet1!$B:$B,[1]Sheet1!$O:$O,0)</f>
        <v>0</v>
      </c>
      <c r="M498" s="12">
        <f>_xlfn.XLOOKUP(B498,[1]Sheet1!$B:$B,[1]Sheet1!$P:$P,0)</f>
        <v>0</v>
      </c>
      <c r="N498" s="12">
        <f>_xlfn.XLOOKUP(B498,[1]Sheet1!$B:$B,[1]Sheet1!$Q:$Q,0)</f>
        <v>0</v>
      </c>
      <c r="O498" s="12">
        <f>_xlfn.XLOOKUP(B498,[1]Sheet1!$B:$B,[1]Sheet1!$R:$R,0)</f>
        <v>0</v>
      </c>
      <c r="P498" s="12">
        <f>_xlfn.XLOOKUP(B498,[1]Sheet1!$B:$B,[1]Sheet1!$S:$S,0)</f>
        <v>30000</v>
      </c>
      <c r="Q498" s="12">
        <f>_xlfn.XLOOKUP(B498,[1]Sheet1!$B:$B,[1]Sheet1!$T:$T,0)</f>
        <v>0</v>
      </c>
      <c r="R498" s="12">
        <f>_xlfn.XLOOKUP(B498,[1]Sheet1!$B:$B,[1]Sheet1!$U:$U,0)</f>
        <v>0</v>
      </c>
      <c r="S498" s="12">
        <f>_xlfn.XLOOKUP(B498,[1]Sheet1!$B:$B,[1]Sheet1!$V:$V,0)</f>
        <v>0</v>
      </c>
      <c r="T498" s="12">
        <f>_xlfn.XLOOKUP(B498,[1]Sheet1!$B:$B,[1]Sheet1!$W:$W,0)</f>
        <v>30000</v>
      </c>
      <c r="U498" s="12">
        <f>_xlfn.XLOOKUP(B498,[1]Sheet1!$B:$B,[1]Sheet1!$X:$X,0)</f>
        <v>30000</v>
      </c>
      <c r="V498" s="12">
        <f>_xlfn.XLOOKUP(B498,[1]Sheet1!$B:$B,[1]Sheet1!$Y:$Y,0)</f>
        <v>0</v>
      </c>
      <c r="W498" s="12">
        <f t="shared" si="17"/>
        <v>90000</v>
      </c>
      <c r="X498" s="6" t="s">
        <v>805</v>
      </c>
      <c r="Y498" s="6" t="s">
        <v>65</v>
      </c>
      <c r="Z498" s="6" t="s">
        <v>124</v>
      </c>
      <c r="AA498" s="6" t="s">
        <v>599</v>
      </c>
      <c r="AB498" s="6" t="s">
        <v>36</v>
      </c>
      <c r="AC498" s="6" t="s">
        <v>37</v>
      </c>
      <c r="AD498" s="6" t="s">
        <v>119</v>
      </c>
      <c r="AE498" s="6" t="s">
        <v>39</v>
      </c>
      <c r="AF498" s="6" t="s">
        <v>40</v>
      </c>
      <c r="AG498" s="7">
        <v>1140000</v>
      </c>
      <c r="AH498" s="11">
        <f>_xlfn.XLOOKUP(B498,[1]Sheet1!$B:$B,[1]Sheet1!$AB:$AB,0)</f>
        <v>1140000</v>
      </c>
    </row>
    <row r="499" spans="2:34" ht="16.8" thickTop="1" thickBot="1" x14ac:dyDescent="0.35">
      <c r="B499" s="3" t="str">
        <f t="shared" si="16"/>
        <v>45113004511000644FeasibilityStudy-N424521200104</v>
      </c>
      <c r="C499" s="8" t="s">
        <v>288</v>
      </c>
      <c r="D499" s="8" t="s">
        <v>808</v>
      </c>
      <c r="E499" s="8" t="s">
        <v>809</v>
      </c>
      <c r="F499" s="8" t="s">
        <v>792</v>
      </c>
      <c r="G499" s="4" t="s">
        <v>2804</v>
      </c>
      <c r="H499" s="4" t="s">
        <v>2922</v>
      </c>
      <c r="I499" s="8" t="s">
        <v>51</v>
      </c>
      <c r="J499" s="8" t="s">
        <v>31</v>
      </c>
      <c r="K499" s="12">
        <f>_xlfn.XLOOKUP(B499,[1]Sheet1!$B:$B,[1]Sheet1!$N:$N,0)</f>
        <v>0</v>
      </c>
      <c r="L499" s="12">
        <f>_xlfn.XLOOKUP(B499,[1]Sheet1!$B:$B,[1]Sheet1!$O:$O,0)</f>
        <v>0</v>
      </c>
      <c r="M499" s="12">
        <f>_xlfn.XLOOKUP(B499,[1]Sheet1!$B:$B,[1]Sheet1!$P:$P,0)</f>
        <v>0</v>
      </c>
      <c r="N499" s="12">
        <f>_xlfn.XLOOKUP(B499,[1]Sheet1!$B:$B,[1]Sheet1!$Q:$Q,0)</f>
        <v>0</v>
      </c>
      <c r="O499" s="12">
        <f>_xlfn.XLOOKUP(B499,[1]Sheet1!$B:$B,[1]Sheet1!$R:$R,0)</f>
        <v>0</v>
      </c>
      <c r="P499" s="12">
        <f>_xlfn.XLOOKUP(B499,[1]Sheet1!$B:$B,[1]Sheet1!$S:$S,0)</f>
        <v>627488</v>
      </c>
      <c r="Q499" s="12">
        <f>_xlfn.XLOOKUP(B499,[1]Sheet1!$B:$B,[1]Sheet1!$T:$T,0)</f>
        <v>250000</v>
      </c>
      <c r="R499" s="12">
        <f>_xlfn.XLOOKUP(B499,[1]Sheet1!$B:$B,[1]Sheet1!$U:$U,0)</f>
        <v>800000</v>
      </c>
      <c r="S499" s="12">
        <f>_xlfn.XLOOKUP(B499,[1]Sheet1!$B:$B,[1]Sheet1!$V:$V,0)</f>
        <v>627488</v>
      </c>
      <c r="T499" s="12">
        <f>_xlfn.XLOOKUP(B499,[1]Sheet1!$B:$B,[1]Sheet1!$W:$W,0)</f>
        <v>250000</v>
      </c>
      <c r="U499" s="12">
        <f>_xlfn.XLOOKUP(B499,[1]Sheet1!$B:$B,[1]Sheet1!$X:$X,0)</f>
        <v>663884</v>
      </c>
      <c r="V499" s="12">
        <f>_xlfn.XLOOKUP(B499,[1]Sheet1!$B:$B,[1]Sheet1!$Y:$Y,0)</f>
        <v>0</v>
      </c>
      <c r="W499" s="12">
        <f t="shared" si="17"/>
        <v>3218860</v>
      </c>
      <c r="X499" s="8" t="s">
        <v>783</v>
      </c>
      <c r="Y499" s="8" t="s">
        <v>65</v>
      </c>
      <c r="Z499" s="8" t="s">
        <v>287</v>
      </c>
      <c r="AA499" s="8" t="s">
        <v>53</v>
      </c>
      <c r="AB499" s="8" t="s">
        <v>36</v>
      </c>
      <c r="AC499" s="8" t="s">
        <v>37</v>
      </c>
      <c r="AD499" s="8" t="s">
        <v>126</v>
      </c>
      <c r="AE499" s="8" t="s">
        <v>39</v>
      </c>
      <c r="AF499" s="8" t="s">
        <v>40</v>
      </c>
      <c r="AG499" s="9">
        <v>3758860</v>
      </c>
      <c r="AH499" s="11">
        <f>_xlfn.XLOOKUP(B499,[1]Sheet1!$B:$B,[1]Sheet1!$AB:$AB,0)</f>
        <v>3758860</v>
      </c>
    </row>
    <row r="500" spans="2:34" ht="16.8" thickTop="1" thickBot="1" x14ac:dyDescent="0.35">
      <c r="B500" s="3" t="str">
        <f t="shared" si="16"/>
        <v>45115504511000644SM Prodct&amp;Develp-N422511200104</v>
      </c>
      <c r="C500" s="6" t="s">
        <v>154</v>
      </c>
      <c r="D500" s="6" t="s">
        <v>808</v>
      </c>
      <c r="E500" s="6" t="s">
        <v>809</v>
      </c>
      <c r="F500" s="6" t="s">
        <v>435</v>
      </c>
      <c r="G500" s="4" t="s">
        <v>2819</v>
      </c>
      <c r="H500" s="4" t="s">
        <v>2922</v>
      </c>
      <c r="I500" s="6" t="s">
        <v>151</v>
      </c>
      <c r="J500" s="6" t="s">
        <v>31</v>
      </c>
      <c r="K500" s="12">
        <f>_xlfn.XLOOKUP(B500,[1]Sheet1!$B:$B,[1]Sheet1!$N:$N,0)</f>
        <v>0</v>
      </c>
      <c r="L500" s="12">
        <f>_xlfn.XLOOKUP(B500,[1]Sheet1!$B:$B,[1]Sheet1!$O:$O,0)</f>
        <v>0</v>
      </c>
      <c r="M500" s="12">
        <f>_xlfn.XLOOKUP(B500,[1]Sheet1!$B:$B,[1]Sheet1!$P:$P,0)</f>
        <v>0</v>
      </c>
      <c r="N500" s="12">
        <f>_xlfn.XLOOKUP(B500,[1]Sheet1!$B:$B,[1]Sheet1!$Q:$Q,0)</f>
        <v>0</v>
      </c>
      <c r="O500" s="12">
        <f>_xlfn.XLOOKUP(B500,[1]Sheet1!$B:$B,[1]Sheet1!$R:$R,0)</f>
        <v>0</v>
      </c>
      <c r="P500" s="12">
        <f>_xlfn.XLOOKUP(B500,[1]Sheet1!$B:$B,[1]Sheet1!$S:$S,0)</f>
        <v>0</v>
      </c>
      <c r="Q500" s="12">
        <f>_xlfn.XLOOKUP(B500,[1]Sheet1!$B:$B,[1]Sheet1!$T:$T,0)</f>
        <v>0</v>
      </c>
      <c r="R500" s="12">
        <f>_xlfn.XLOOKUP(B500,[1]Sheet1!$B:$B,[1]Sheet1!$U:$U,0)</f>
        <v>0</v>
      </c>
      <c r="S500" s="12">
        <f>_xlfn.XLOOKUP(B500,[1]Sheet1!$B:$B,[1]Sheet1!$V:$V,0)</f>
        <v>0</v>
      </c>
      <c r="T500" s="12">
        <f>_xlfn.XLOOKUP(B500,[1]Sheet1!$B:$B,[1]Sheet1!$W:$W,0)</f>
        <v>192510</v>
      </c>
      <c r="U500" s="12">
        <f>_xlfn.XLOOKUP(B500,[1]Sheet1!$B:$B,[1]Sheet1!$X:$X,0)</f>
        <v>0</v>
      </c>
      <c r="V500" s="12">
        <f>_xlfn.XLOOKUP(B500,[1]Sheet1!$B:$B,[1]Sheet1!$Y:$Y,0)</f>
        <v>0</v>
      </c>
      <c r="W500" s="12">
        <f t="shared" si="17"/>
        <v>192510</v>
      </c>
      <c r="X500" s="6" t="s">
        <v>810</v>
      </c>
      <c r="Y500" s="6" t="s">
        <v>65</v>
      </c>
      <c r="Z500" s="6" t="s">
        <v>153</v>
      </c>
      <c r="AA500" s="6" t="s">
        <v>151</v>
      </c>
      <c r="AB500" s="6" t="s">
        <v>36</v>
      </c>
      <c r="AC500" s="6" t="s">
        <v>37</v>
      </c>
      <c r="AD500" s="6" t="s">
        <v>126</v>
      </c>
      <c r="AE500" s="6" t="s">
        <v>39</v>
      </c>
      <c r="AF500" s="6" t="s">
        <v>40</v>
      </c>
      <c r="AG500" s="7">
        <v>192510</v>
      </c>
      <c r="AH500" s="11">
        <f>_xlfn.XLOOKUP(B500,[1]Sheet1!$B:$B,[1]Sheet1!$AB:$AB,0)</f>
        <v>192510</v>
      </c>
    </row>
    <row r="501" spans="2:34" ht="16.8" thickTop="1" thickBot="1" x14ac:dyDescent="0.35">
      <c r="B501" s="3" t="str">
        <f t="shared" si="16"/>
        <v>45116004511000645ICH Management-N431512200104</v>
      </c>
      <c r="C501" s="8" t="s">
        <v>125</v>
      </c>
      <c r="D501" s="8" t="s">
        <v>811</v>
      </c>
      <c r="E501" s="8" t="s">
        <v>812</v>
      </c>
      <c r="F501" s="8" t="s">
        <v>804</v>
      </c>
      <c r="G501" s="4" t="s">
        <v>2853</v>
      </c>
      <c r="H501" s="4" t="s">
        <v>2922</v>
      </c>
      <c r="I501" s="8" t="s">
        <v>599</v>
      </c>
      <c r="J501" s="8" t="s">
        <v>31</v>
      </c>
      <c r="K501" s="12">
        <f>_xlfn.XLOOKUP(B501,[1]Sheet1!$B:$B,[1]Sheet1!$N:$N,0)</f>
        <v>0</v>
      </c>
      <c r="L501" s="12">
        <f>_xlfn.XLOOKUP(B501,[1]Sheet1!$B:$B,[1]Sheet1!$O:$O,0)</f>
        <v>0</v>
      </c>
      <c r="M501" s="12">
        <f>_xlfn.XLOOKUP(B501,[1]Sheet1!$B:$B,[1]Sheet1!$P:$P,0)</f>
        <v>0</v>
      </c>
      <c r="N501" s="12">
        <f>_xlfn.XLOOKUP(B501,[1]Sheet1!$B:$B,[1]Sheet1!$Q:$Q,0)</f>
        <v>0</v>
      </c>
      <c r="O501" s="12">
        <f>_xlfn.XLOOKUP(B501,[1]Sheet1!$B:$B,[1]Sheet1!$R:$R,0)</f>
        <v>0</v>
      </c>
      <c r="P501" s="12">
        <f>_xlfn.XLOOKUP(B501,[1]Sheet1!$B:$B,[1]Sheet1!$S:$S,0)</f>
        <v>0</v>
      </c>
      <c r="Q501" s="12">
        <f>_xlfn.XLOOKUP(B501,[1]Sheet1!$B:$B,[1]Sheet1!$T:$T,0)</f>
        <v>0</v>
      </c>
      <c r="R501" s="12">
        <f>_xlfn.XLOOKUP(B501,[1]Sheet1!$B:$B,[1]Sheet1!$U:$U,0)</f>
        <v>0</v>
      </c>
      <c r="S501" s="12">
        <f>_xlfn.XLOOKUP(B501,[1]Sheet1!$B:$B,[1]Sheet1!$V:$V,0)</f>
        <v>25000</v>
      </c>
      <c r="T501" s="12">
        <f>_xlfn.XLOOKUP(B501,[1]Sheet1!$B:$B,[1]Sheet1!$W:$W,0)</f>
        <v>25000</v>
      </c>
      <c r="U501" s="12">
        <f>_xlfn.XLOOKUP(B501,[1]Sheet1!$B:$B,[1]Sheet1!$X:$X,0)</f>
        <v>0</v>
      </c>
      <c r="V501" s="12">
        <f>_xlfn.XLOOKUP(B501,[1]Sheet1!$B:$B,[1]Sheet1!$Y:$Y,0)</f>
        <v>0</v>
      </c>
      <c r="W501" s="12">
        <f t="shared" si="17"/>
        <v>50000</v>
      </c>
      <c r="X501" s="8" t="s">
        <v>805</v>
      </c>
      <c r="Y501" s="8" t="s">
        <v>65</v>
      </c>
      <c r="Z501" s="8" t="s">
        <v>124</v>
      </c>
      <c r="AA501" s="8" t="s">
        <v>599</v>
      </c>
      <c r="AB501" s="8" t="s">
        <v>36</v>
      </c>
      <c r="AC501" s="8" t="s">
        <v>37</v>
      </c>
      <c r="AD501" s="8" t="s">
        <v>119</v>
      </c>
      <c r="AE501" s="8" t="s">
        <v>39</v>
      </c>
      <c r="AF501" s="8" t="s">
        <v>40</v>
      </c>
      <c r="AG501" s="9">
        <v>50000</v>
      </c>
      <c r="AH501" s="11">
        <f>_xlfn.XLOOKUP(B501,[1]Sheet1!$B:$B,[1]Sheet1!$AB:$AB,0)</f>
        <v>50000</v>
      </c>
    </row>
    <row r="502" spans="2:34" ht="16.8" thickTop="1" thickBot="1" x14ac:dyDescent="0.35">
      <c r="B502" s="3" t="str">
        <f t="shared" si="16"/>
        <v>45113004511000646Freelancers-N424521200104</v>
      </c>
      <c r="C502" s="6" t="s">
        <v>288</v>
      </c>
      <c r="D502" s="6" t="s">
        <v>813</v>
      </c>
      <c r="E502" s="6" t="s">
        <v>814</v>
      </c>
      <c r="F502" s="6" t="s">
        <v>50</v>
      </c>
      <c r="G502" s="4" t="s">
        <v>2804</v>
      </c>
      <c r="H502" s="4" t="s">
        <v>2922</v>
      </c>
      <c r="I502" s="6" t="s">
        <v>51</v>
      </c>
      <c r="J502" s="6" t="s">
        <v>31</v>
      </c>
      <c r="K502" s="12">
        <f>_xlfn.XLOOKUP(B502,[1]Sheet1!$B:$B,[1]Sheet1!$N:$N,0)</f>
        <v>0</v>
      </c>
      <c r="L502" s="12">
        <f>_xlfn.XLOOKUP(B502,[1]Sheet1!$B:$B,[1]Sheet1!$O:$O,0)</f>
        <v>0</v>
      </c>
      <c r="M502" s="12">
        <f>_xlfn.XLOOKUP(B502,[1]Sheet1!$B:$B,[1]Sheet1!$P:$P,0)</f>
        <v>0</v>
      </c>
      <c r="N502" s="12">
        <f>_xlfn.XLOOKUP(B502,[1]Sheet1!$B:$B,[1]Sheet1!$Q:$Q,0)</f>
        <v>35000</v>
      </c>
      <c r="O502" s="12">
        <f>_xlfn.XLOOKUP(B502,[1]Sheet1!$B:$B,[1]Sheet1!$R:$R,0)</f>
        <v>35000</v>
      </c>
      <c r="P502" s="12">
        <f>_xlfn.XLOOKUP(B502,[1]Sheet1!$B:$B,[1]Sheet1!$S:$S,0)</f>
        <v>35000</v>
      </c>
      <c r="Q502" s="12">
        <f>_xlfn.XLOOKUP(B502,[1]Sheet1!$B:$B,[1]Sheet1!$T:$T,0)</f>
        <v>35400</v>
      </c>
      <c r="R502" s="12">
        <f>_xlfn.XLOOKUP(B502,[1]Sheet1!$B:$B,[1]Sheet1!$U:$U,0)</f>
        <v>0</v>
      </c>
      <c r="S502" s="12">
        <f>_xlfn.XLOOKUP(B502,[1]Sheet1!$B:$B,[1]Sheet1!$V:$V,0)</f>
        <v>0</v>
      </c>
      <c r="T502" s="12">
        <f>_xlfn.XLOOKUP(B502,[1]Sheet1!$B:$B,[1]Sheet1!$W:$W,0)</f>
        <v>0</v>
      </c>
      <c r="U502" s="12">
        <f>_xlfn.XLOOKUP(B502,[1]Sheet1!$B:$B,[1]Sheet1!$X:$X,0)</f>
        <v>0</v>
      </c>
      <c r="V502" s="12">
        <f>_xlfn.XLOOKUP(B502,[1]Sheet1!$B:$B,[1]Sheet1!$Y:$Y,0)</f>
        <v>0</v>
      </c>
      <c r="W502" s="12">
        <f t="shared" si="17"/>
        <v>140400</v>
      </c>
      <c r="X502" s="6" t="s">
        <v>783</v>
      </c>
      <c r="Y502" s="6" t="s">
        <v>65</v>
      </c>
      <c r="Z502" s="6" t="s">
        <v>287</v>
      </c>
      <c r="AA502" s="6" t="s">
        <v>53</v>
      </c>
      <c r="AB502" s="6" t="s">
        <v>36</v>
      </c>
      <c r="AC502" s="6" t="s">
        <v>37</v>
      </c>
      <c r="AD502" s="6" t="s">
        <v>126</v>
      </c>
      <c r="AE502" s="6" t="s">
        <v>39</v>
      </c>
      <c r="AF502" s="6" t="s">
        <v>40</v>
      </c>
      <c r="AG502" s="7">
        <v>80000</v>
      </c>
      <c r="AH502" s="11">
        <f>_xlfn.XLOOKUP(B502,[1]Sheet1!$B:$B,[1]Sheet1!$AB:$AB,0)</f>
        <v>80000</v>
      </c>
    </row>
    <row r="503" spans="2:34" ht="16.8" thickTop="1" thickBot="1" x14ac:dyDescent="0.35">
      <c r="B503" s="3" t="str">
        <f t="shared" si="16"/>
        <v>45113004511000646Research&amp;Survey-N423411200104</v>
      </c>
      <c r="C503" s="8" t="s">
        <v>288</v>
      </c>
      <c r="D503" s="8" t="s">
        <v>813</v>
      </c>
      <c r="E503" s="8" t="s">
        <v>814</v>
      </c>
      <c r="F503" s="8" t="s">
        <v>381</v>
      </c>
      <c r="G503" s="4" t="s">
        <v>2833</v>
      </c>
      <c r="H503" s="4" t="s">
        <v>2922</v>
      </c>
      <c r="I503" s="8" t="s">
        <v>330</v>
      </c>
      <c r="J503" s="8" t="s">
        <v>31</v>
      </c>
      <c r="K503" s="12">
        <f>_xlfn.XLOOKUP(B503,[1]Sheet1!$B:$B,[1]Sheet1!$N:$N,0)</f>
        <v>0</v>
      </c>
      <c r="L503" s="12">
        <f>_xlfn.XLOOKUP(B503,[1]Sheet1!$B:$B,[1]Sheet1!$O:$O,0)</f>
        <v>0</v>
      </c>
      <c r="M503" s="12">
        <f>_xlfn.XLOOKUP(B503,[1]Sheet1!$B:$B,[1]Sheet1!$P:$P,0)</f>
        <v>0</v>
      </c>
      <c r="N503" s="12">
        <f>_xlfn.XLOOKUP(B503,[1]Sheet1!$B:$B,[1]Sheet1!$Q:$Q,0)</f>
        <v>30000</v>
      </c>
      <c r="O503" s="12">
        <f>_xlfn.XLOOKUP(B503,[1]Sheet1!$B:$B,[1]Sheet1!$R:$R,0)</f>
        <v>0</v>
      </c>
      <c r="P503" s="12">
        <f>_xlfn.XLOOKUP(B503,[1]Sheet1!$B:$B,[1]Sheet1!$S:$S,0)</f>
        <v>30000</v>
      </c>
      <c r="Q503" s="12">
        <f>_xlfn.XLOOKUP(B503,[1]Sheet1!$B:$B,[1]Sheet1!$T:$T,0)</f>
        <v>0</v>
      </c>
      <c r="R503" s="12">
        <f>_xlfn.XLOOKUP(B503,[1]Sheet1!$B:$B,[1]Sheet1!$U:$U,0)</f>
        <v>30000</v>
      </c>
      <c r="S503" s="12">
        <f>_xlfn.XLOOKUP(B503,[1]Sheet1!$B:$B,[1]Sheet1!$V:$V,0)</f>
        <v>0</v>
      </c>
      <c r="T503" s="12">
        <f>_xlfn.XLOOKUP(B503,[1]Sheet1!$B:$B,[1]Sheet1!$W:$W,0)</f>
        <v>30000</v>
      </c>
      <c r="U503" s="12">
        <f>_xlfn.XLOOKUP(B503,[1]Sheet1!$B:$B,[1]Sheet1!$X:$X,0)</f>
        <v>802080</v>
      </c>
      <c r="V503" s="12">
        <f>_xlfn.XLOOKUP(B503,[1]Sheet1!$B:$B,[1]Sheet1!$Y:$Y,0)</f>
        <v>400000</v>
      </c>
      <c r="W503" s="12">
        <f t="shared" si="17"/>
        <v>1322080</v>
      </c>
      <c r="X503" s="8" t="s">
        <v>794</v>
      </c>
      <c r="Y503" s="8" t="s">
        <v>65</v>
      </c>
      <c r="Z503" s="8" t="s">
        <v>287</v>
      </c>
      <c r="AA503" s="8" t="s">
        <v>330</v>
      </c>
      <c r="AB503" s="8" t="s">
        <v>36</v>
      </c>
      <c r="AC503" s="8" t="s">
        <v>37</v>
      </c>
      <c r="AD503" s="8" t="s">
        <v>126</v>
      </c>
      <c r="AE503" s="8" t="s">
        <v>39</v>
      </c>
      <c r="AF503" s="8" t="s">
        <v>40</v>
      </c>
      <c r="AG503" s="9">
        <v>1322080</v>
      </c>
      <c r="AH503" s="11">
        <f>_xlfn.XLOOKUP(B503,[1]Sheet1!$B:$B,[1]Sheet1!$AB:$AB,0)</f>
        <v>1322080</v>
      </c>
    </row>
    <row r="504" spans="2:34" ht="16.8" thickTop="1" thickBot="1" x14ac:dyDescent="0.35">
      <c r="B504" s="3" t="str">
        <f t="shared" si="16"/>
        <v>45131104511000656WebSupportRtnr-L421125201931</v>
      </c>
      <c r="C504" s="6" t="s">
        <v>348</v>
      </c>
      <c r="D504" s="6" t="s">
        <v>815</v>
      </c>
      <c r="E504" s="6" t="s">
        <v>816</v>
      </c>
      <c r="F504" s="6" t="s">
        <v>817</v>
      </c>
      <c r="G504" s="4" t="s">
        <v>2803</v>
      </c>
      <c r="H504" s="4" t="s">
        <v>2925</v>
      </c>
      <c r="I504" s="6" t="s">
        <v>44</v>
      </c>
      <c r="J504" s="6" t="s">
        <v>31</v>
      </c>
      <c r="K504" s="12">
        <f>_xlfn.XLOOKUP(B504,[1]Sheet1!$B:$B,[1]Sheet1!$N:$N,0)</f>
        <v>0</v>
      </c>
      <c r="L504" s="12">
        <f>_xlfn.XLOOKUP(B504,[1]Sheet1!$B:$B,[1]Sheet1!$O:$O,0)</f>
        <v>0</v>
      </c>
      <c r="M504" s="12">
        <f>_xlfn.XLOOKUP(B504,[1]Sheet1!$B:$B,[1]Sheet1!$P:$P,0)</f>
        <v>0</v>
      </c>
      <c r="N504" s="12">
        <f>_xlfn.XLOOKUP(B504,[1]Sheet1!$B:$B,[1]Sheet1!$Q:$Q,0)</f>
        <v>833332</v>
      </c>
      <c r="O504" s="12">
        <f>_xlfn.XLOOKUP(B504,[1]Sheet1!$B:$B,[1]Sheet1!$R:$R,0)</f>
        <v>208333</v>
      </c>
      <c r="P504" s="12">
        <f>_xlfn.XLOOKUP(B504,[1]Sheet1!$B:$B,[1]Sheet1!$S:$S,0)</f>
        <v>208333</v>
      </c>
      <c r="Q504" s="12">
        <f>_xlfn.XLOOKUP(B504,[1]Sheet1!$B:$B,[1]Sheet1!$T:$T,0)</f>
        <v>208333</v>
      </c>
      <c r="R504" s="12">
        <f>_xlfn.XLOOKUP(B504,[1]Sheet1!$B:$B,[1]Sheet1!$U:$U,0)</f>
        <v>208333</v>
      </c>
      <c r="S504" s="12">
        <f>_xlfn.XLOOKUP(B504,[1]Sheet1!$B:$B,[1]Sheet1!$V:$V,0)</f>
        <v>208333</v>
      </c>
      <c r="T504" s="12">
        <f>_xlfn.XLOOKUP(B504,[1]Sheet1!$B:$B,[1]Sheet1!$W:$W,0)</f>
        <v>208333</v>
      </c>
      <c r="U504" s="12">
        <f>_xlfn.XLOOKUP(B504,[1]Sheet1!$B:$B,[1]Sheet1!$X:$X,0)</f>
        <v>208333</v>
      </c>
      <c r="V504" s="12">
        <f>_xlfn.XLOOKUP(B504,[1]Sheet1!$B:$B,[1]Sheet1!$Y:$Y,0)</f>
        <v>208333</v>
      </c>
      <c r="W504" s="12">
        <f t="shared" si="17"/>
        <v>2499996</v>
      </c>
      <c r="X504" s="6" t="s">
        <v>818</v>
      </c>
      <c r="Y504" s="6" t="s">
        <v>319</v>
      </c>
      <c r="Z504" s="6" t="s">
        <v>347</v>
      </c>
      <c r="AA504" s="6" t="s">
        <v>44</v>
      </c>
      <c r="AB504" s="6" t="s">
        <v>327</v>
      </c>
      <c r="AC504" s="6" t="s">
        <v>37</v>
      </c>
      <c r="AD504" s="6" t="s">
        <v>322</v>
      </c>
      <c r="AE504" s="6" t="s">
        <v>39</v>
      </c>
      <c r="AF504" s="6" t="s">
        <v>40</v>
      </c>
      <c r="AG504" s="7">
        <v>2895042</v>
      </c>
      <c r="AH504" s="11">
        <f>_xlfn.XLOOKUP(B504,[1]Sheet1!$B:$B,[1]Sheet1!$AB:$AB,0)</f>
        <v>2895042</v>
      </c>
    </row>
    <row r="505" spans="2:34" ht="16.8" thickTop="1" thickBot="1" x14ac:dyDescent="0.35">
      <c r="B505" s="3" t="str">
        <f t="shared" si="16"/>
        <v>45131304511000657Brand Tracking-N423411200104</v>
      </c>
      <c r="C505" s="8" t="s">
        <v>321</v>
      </c>
      <c r="D505" s="8" t="s">
        <v>819</v>
      </c>
      <c r="E505" s="8" t="s">
        <v>820</v>
      </c>
      <c r="F505" s="8" t="s">
        <v>821</v>
      </c>
      <c r="G505" s="4" t="s">
        <v>2833</v>
      </c>
      <c r="H505" s="4" t="s">
        <v>2922</v>
      </c>
      <c r="I505" s="8" t="s">
        <v>330</v>
      </c>
      <c r="J505" s="8" t="s">
        <v>31</v>
      </c>
      <c r="K505" s="12">
        <f>_xlfn.XLOOKUP(B505,[1]Sheet1!$B:$B,[1]Sheet1!$N:$N,0)</f>
        <v>0</v>
      </c>
      <c r="L505" s="12">
        <f>_xlfn.XLOOKUP(B505,[1]Sheet1!$B:$B,[1]Sheet1!$O:$O,0)</f>
        <v>0</v>
      </c>
      <c r="M505" s="12">
        <f>_xlfn.XLOOKUP(B505,[1]Sheet1!$B:$B,[1]Sheet1!$P:$P,0)</f>
        <v>0</v>
      </c>
      <c r="N505" s="12">
        <f>_xlfn.XLOOKUP(B505,[1]Sheet1!$B:$B,[1]Sheet1!$Q:$Q,0)</f>
        <v>3095672</v>
      </c>
      <c r="O505" s="12">
        <f>_xlfn.XLOOKUP(B505,[1]Sheet1!$B:$B,[1]Sheet1!$R:$R,0)</f>
        <v>249584</v>
      </c>
      <c r="P505" s="12">
        <f>_xlfn.XLOOKUP(B505,[1]Sheet1!$B:$B,[1]Sheet1!$S:$S,0)</f>
        <v>1642084</v>
      </c>
      <c r="Q505" s="12">
        <f>_xlfn.XLOOKUP(B505,[1]Sheet1!$B:$B,[1]Sheet1!$T:$T,0)</f>
        <v>1359732</v>
      </c>
      <c r="R505" s="12">
        <f>_xlfn.XLOOKUP(B505,[1]Sheet1!$B:$B,[1]Sheet1!$U:$U,0)</f>
        <v>99584</v>
      </c>
      <c r="S505" s="12">
        <f>_xlfn.XLOOKUP(B505,[1]Sheet1!$B:$B,[1]Sheet1!$V:$V,0)</f>
        <v>1852084</v>
      </c>
      <c r="T505" s="12">
        <f>_xlfn.XLOOKUP(B505,[1]Sheet1!$B:$B,[1]Sheet1!$W:$W,0)</f>
        <v>249584</v>
      </c>
      <c r="U505" s="12">
        <f>_xlfn.XLOOKUP(B505,[1]Sheet1!$B:$B,[1]Sheet1!$X:$X,0)</f>
        <v>99584</v>
      </c>
      <c r="V505" s="12">
        <f>_xlfn.XLOOKUP(B505,[1]Sheet1!$B:$B,[1]Sheet1!$Y:$Y,0)</f>
        <v>1852092</v>
      </c>
      <c r="W505" s="12">
        <f t="shared" si="17"/>
        <v>10500000</v>
      </c>
      <c r="X505" s="8" t="s">
        <v>822</v>
      </c>
      <c r="Y505" s="8" t="s">
        <v>319</v>
      </c>
      <c r="Z505" s="8" t="s">
        <v>320</v>
      </c>
      <c r="AA505" s="8" t="s">
        <v>330</v>
      </c>
      <c r="AB505" s="8" t="s">
        <v>36</v>
      </c>
      <c r="AC505" s="8" t="s">
        <v>37</v>
      </c>
      <c r="AD505" s="8" t="s">
        <v>322</v>
      </c>
      <c r="AE505" s="8" t="s">
        <v>39</v>
      </c>
      <c r="AF505" s="8" t="s">
        <v>40</v>
      </c>
      <c r="AG505" s="9">
        <v>10289000</v>
      </c>
      <c r="AH505" s="11">
        <f>_xlfn.XLOOKUP(B505,[1]Sheet1!$B:$B,[1]Sheet1!$AB:$AB,0)</f>
        <v>10289000</v>
      </c>
    </row>
    <row r="506" spans="2:34" ht="16.8" thickTop="1" thickBot="1" x14ac:dyDescent="0.35">
      <c r="B506" s="3" t="str">
        <f t="shared" si="16"/>
        <v>45159004511000663Licenses Fees-N424131200104</v>
      </c>
      <c r="C506" s="6" t="s">
        <v>827</v>
      </c>
      <c r="D506" s="6" t="s">
        <v>823</v>
      </c>
      <c r="E506" s="6" t="s">
        <v>824</v>
      </c>
      <c r="F506" s="6" t="s">
        <v>365</v>
      </c>
      <c r="G506" s="4" t="s">
        <v>2835</v>
      </c>
      <c r="H506" s="4" t="s">
        <v>2922</v>
      </c>
      <c r="I506" s="6" t="s">
        <v>366</v>
      </c>
      <c r="J506" s="6" t="s">
        <v>31</v>
      </c>
      <c r="K506" s="12">
        <f>_xlfn.XLOOKUP(B506,[1]Sheet1!$B:$B,[1]Sheet1!$N:$N,0)</f>
        <v>0</v>
      </c>
      <c r="L506" s="12">
        <f>_xlfn.XLOOKUP(B506,[1]Sheet1!$B:$B,[1]Sheet1!$O:$O,0)</f>
        <v>0</v>
      </c>
      <c r="M506" s="12">
        <f>_xlfn.XLOOKUP(B506,[1]Sheet1!$B:$B,[1]Sheet1!$P:$P,0)</f>
        <v>0</v>
      </c>
      <c r="N506" s="12">
        <f>_xlfn.XLOOKUP(B506,[1]Sheet1!$B:$B,[1]Sheet1!$Q:$Q,0)</f>
        <v>24840</v>
      </c>
      <c r="O506" s="12">
        <f>_xlfn.XLOOKUP(B506,[1]Sheet1!$B:$B,[1]Sheet1!$R:$R,0)</f>
        <v>0</v>
      </c>
      <c r="P506" s="12">
        <f>_xlfn.XLOOKUP(B506,[1]Sheet1!$B:$B,[1]Sheet1!$S:$S,0)</f>
        <v>0</v>
      </c>
      <c r="Q506" s="12">
        <f>_xlfn.XLOOKUP(B506,[1]Sheet1!$B:$B,[1]Sheet1!$T:$T,0)</f>
        <v>0</v>
      </c>
      <c r="R506" s="12">
        <f>_xlfn.XLOOKUP(B506,[1]Sheet1!$B:$B,[1]Sheet1!$U:$U,0)</f>
        <v>0</v>
      </c>
      <c r="S506" s="12">
        <f>_xlfn.XLOOKUP(B506,[1]Sheet1!$B:$B,[1]Sheet1!$V:$V,0)</f>
        <v>0</v>
      </c>
      <c r="T506" s="12">
        <f>_xlfn.XLOOKUP(B506,[1]Sheet1!$B:$B,[1]Sheet1!$W:$W,0)</f>
        <v>0</v>
      </c>
      <c r="U506" s="12">
        <f>_xlfn.XLOOKUP(B506,[1]Sheet1!$B:$B,[1]Sheet1!$X:$X,0)</f>
        <v>0</v>
      </c>
      <c r="V506" s="12">
        <f>_xlfn.XLOOKUP(B506,[1]Sheet1!$B:$B,[1]Sheet1!$Y:$Y,0)</f>
        <v>0</v>
      </c>
      <c r="W506" s="12">
        <f t="shared" si="17"/>
        <v>24840</v>
      </c>
      <c r="X506" s="6" t="s">
        <v>825</v>
      </c>
      <c r="Y506" s="6" t="s">
        <v>211</v>
      </c>
      <c r="Z506" s="6" t="s">
        <v>826</v>
      </c>
      <c r="AA506" s="6" t="s">
        <v>366</v>
      </c>
      <c r="AB506" s="6" t="s">
        <v>36</v>
      </c>
      <c r="AC506" s="6" t="s">
        <v>37</v>
      </c>
      <c r="AD506" s="6" t="s">
        <v>214</v>
      </c>
      <c r="AE506" s="6" t="s">
        <v>39</v>
      </c>
      <c r="AF506" s="6" t="s">
        <v>40</v>
      </c>
      <c r="AG506" s="7">
        <v>34740</v>
      </c>
      <c r="AH506" s="11">
        <f>_xlfn.XLOOKUP(B506,[1]Sheet1!$B:$B,[1]Sheet1!$AB:$AB,0)</f>
        <v>34740</v>
      </c>
    </row>
    <row r="507" spans="2:34" ht="16.8" thickTop="1" thickBot="1" x14ac:dyDescent="0.35">
      <c r="B507" s="3" t="str">
        <f t="shared" si="16"/>
        <v>45159004511000663Mission &amp; Travel-N1423821200104</v>
      </c>
      <c r="C507" s="8" t="s">
        <v>827</v>
      </c>
      <c r="D507" s="8" t="s">
        <v>823</v>
      </c>
      <c r="E507" s="8" t="s">
        <v>824</v>
      </c>
      <c r="F507" s="8" t="s">
        <v>472</v>
      </c>
      <c r="G507" s="4" t="s">
        <v>2805</v>
      </c>
      <c r="H507" s="4" t="s">
        <v>2922</v>
      </c>
      <c r="I507" s="8" t="s">
        <v>55</v>
      </c>
      <c r="J507" s="8" t="s">
        <v>31</v>
      </c>
      <c r="K507" s="12">
        <f>_xlfn.XLOOKUP(B507,[1]Sheet1!$B:$B,[1]Sheet1!$N:$N,0)</f>
        <v>0</v>
      </c>
      <c r="L507" s="12">
        <f>_xlfn.XLOOKUP(B507,[1]Sheet1!$B:$B,[1]Sheet1!$O:$O,0)</f>
        <v>0</v>
      </c>
      <c r="M507" s="12">
        <f>_xlfn.XLOOKUP(B507,[1]Sheet1!$B:$B,[1]Sheet1!$P:$P,0)</f>
        <v>0</v>
      </c>
      <c r="N507" s="12">
        <f>_xlfn.XLOOKUP(B507,[1]Sheet1!$B:$B,[1]Sheet1!$Q:$Q,0)</f>
        <v>0</v>
      </c>
      <c r="O507" s="12">
        <f>_xlfn.XLOOKUP(B507,[1]Sheet1!$B:$B,[1]Sheet1!$R:$R,0)</f>
        <v>0</v>
      </c>
      <c r="P507" s="12">
        <f>_xlfn.XLOOKUP(B507,[1]Sheet1!$B:$B,[1]Sheet1!$S:$S,0)</f>
        <v>0</v>
      </c>
      <c r="Q507" s="12">
        <f>_xlfn.XLOOKUP(B507,[1]Sheet1!$B:$B,[1]Sheet1!$T:$T,0)</f>
        <v>0</v>
      </c>
      <c r="R507" s="12">
        <f>_xlfn.XLOOKUP(B507,[1]Sheet1!$B:$B,[1]Sheet1!$U:$U,0)</f>
        <v>26280</v>
      </c>
      <c r="S507" s="12">
        <f>_xlfn.XLOOKUP(B507,[1]Sheet1!$B:$B,[1]Sheet1!$V:$V,0)</f>
        <v>50000</v>
      </c>
      <c r="T507" s="12">
        <f>_xlfn.XLOOKUP(B507,[1]Sheet1!$B:$B,[1]Sheet1!$W:$W,0)</f>
        <v>5538</v>
      </c>
      <c r="U507" s="12">
        <f>_xlfn.XLOOKUP(B507,[1]Sheet1!$B:$B,[1]Sheet1!$X:$X,0)</f>
        <v>0</v>
      </c>
      <c r="V507" s="12">
        <f>_xlfn.XLOOKUP(B507,[1]Sheet1!$B:$B,[1]Sheet1!$Y:$Y,0)</f>
        <v>50025</v>
      </c>
      <c r="W507" s="12">
        <f t="shared" si="17"/>
        <v>131843</v>
      </c>
      <c r="X507" s="8" t="s">
        <v>828</v>
      </c>
      <c r="Y507" s="8" t="s">
        <v>211</v>
      </c>
      <c r="Z507" s="8" t="s">
        <v>826</v>
      </c>
      <c r="AA507" s="8" t="s">
        <v>55</v>
      </c>
      <c r="AB507" s="8" t="s">
        <v>36</v>
      </c>
      <c r="AC507" s="8" t="s">
        <v>37</v>
      </c>
      <c r="AD507" s="8" t="s">
        <v>214</v>
      </c>
      <c r="AE507" s="8" t="s">
        <v>39</v>
      </c>
      <c r="AF507" s="8" t="s">
        <v>40</v>
      </c>
      <c r="AG507" s="9">
        <v>131843</v>
      </c>
      <c r="AH507" s="11">
        <f>_xlfn.XLOOKUP(B507,[1]Sheet1!$B:$B,[1]Sheet1!$AB:$AB,0)</f>
        <v>131843</v>
      </c>
    </row>
    <row r="508" spans="2:34" ht="16.8" thickTop="1" thickBot="1" x14ac:dyDescent="0.35">
      <c r="B508" s="3" t="str">
        <f t="shared" si="16"/>
        <v>45159004511000663Trade Promotion-N1424251200104</v>
      </c>
      <c r="C508" s="6" t="s">
        <v>827</v>
      </c>
      <c r="D508" s="6" t="s">
        <v>823</v>
      </c>
      <c r="E508" s="6" t="s">
        <v>824</v>
      </c>
      <c r="F508" s="6" t="s">
        <v>829</v>
      </c>
      <c r="G508" s="4" t="s">
        <v>2852</v>
      </c>
      <c r="H508" s="4" t="s">
        <v>2922</v>
      </c>
      <c r="I508" s="6" t="s">
        <v>569</v>
      </c>
      <c r="J508" s="6" t="s">
        <v>31</v>
      </c>
      <c r="K508" s="12">
        <f>_xlfn.XLOOKUP(B508,[1]Sheet1!$B:$B,[1]Sheet1!$N:$N,0)</f>
        <v>0</v>
      </c>
      <c r="L508" s="12">
        <f>_xlfn.XLOOKUP(B508,[1]Sheet1!$B:$B,[1]Sheet1!$O:$O,0)</f>
        <v>0</v>
      </c>
      <c r="M508" s="12">
        <f>_xlfn.XLOOKUP(B508,[1]Sheet1!$B:$B,[1]Sheet1!$P:$P,0)</f>
        <v>33052.5</v>
      </c>
      <c r="N508" s="12">
        <f>_xlfn.XLOOKUP(B508,[1]Sheet1!$B:$B,[1]Sheet1!$Q:$Q,0)</f>
        <v>0</v>
      </c>
      <c r="O508" s="12">
        <f>_xlfn.XLOOKUP(B508,[1]Sheet1!$B:$B,[1]Sheet1!$R:$R,0)</f>
        <v>0</v>
      </c>
      <c r="P508" s="12">
        <f>_xlfn.XLOOKUP(B508,[1]Sheet1!$B:$B,[1]Sheet1!$S:$S,0)</f>
        <v>0</v>
      </c>
      <c r="Q508" s="12">
        <f>_xlfn.XLOOKUP(B508,[1]Sheet1!$B:$B,[1]Sheet1!$T:$T,0)</f>
        <v>0</v>
      </c>
      <c r="R508" s="12">
        <f>_xlfn.XLOOKUP(B508,[1]Sheet1!$B:$B,[1]Sheet1!$U:$U,0)</f>
        <v>0</v>
      </c>
      <c r="S508" s="12">
        <f>_xlfn.XLOOKUP(B508,[1]Sheet1!$B:$B,[1]Sheet1!$V:$V,0)</f>
        <v>0</v>
      </c>
      <c r="T508" s="12">
        <f>_xlfn.XLOOKUP(B508,[1]Sheet1!$B:$B,[1]Sheet1!$W:$W,0)</f>
        <v>0</v>
      </c>
      <c r="U508" s="12">
        <f>_xlfn.XLOOKUP(B508,[1]Sheet1!$B:$B,[1]Sheet1!$X:$X,0)</f>
        <v>99382.25</v>
      </c>
      <c r="V508" s="12">
        <f>_xlfn.XLOOKUP(B508,[1]Sheet1!$B:$B,[1]Sheet1!$Y:$Y,0)</f>
        <v>132435.25</v>
      </c>
      <c r="W508" s="12">
        <f t="shared" si="17"/>
        <v>264870</v>
      </c>
      <c r="X508" s="6" t="s">
        <v>830</v>
      </c>
      <c r="Y508" s="6" t="s">
        <v>211</v>
      </c>
      <c r="Z508" s="6" t="s">
        <v>826</v>
      </c>
      <c r="AA508" s="6" t="s">
        <v>569</v>
      </c>
      <c r="AB508" s="6" t="s">
        <v>36</v>
      </c>
      <c r="AC508" s="6" t="s">
        <v>37</v>
      </c>
      <c r="AD508" s="6" t="s">
        <v>214</v>
      </c>
      <c r="AE508" s="6" t="s">
        <v>39</v>
      </c>
      <c r="AF508" s="6" t="s">
        <v>40</v>
      </c>
      <c r="AG508" s="7">
        <v>254970.5</v>
      </c>
      <c r="AH508" s="11">
        <f>_xlfn.XLOOKUP(B508,[1]Sheet1!$B:$B,[1]Sheet1!$AB:$AB,0)</f>
        <v>254970</v>
      </c>
    </row>
    <row r="509" spans="2:34" ht="16.8" thickTop="1" thickBot="1" x14ac:dyDescent="0.35">
      <c r="B509" s="3" t="str">
        <f t="shared" si="16"/>
        <v>45101954511000666Activation&amp;Prog-N1422401200104</v>
      </c>
      <c r="C509" s="8" t="s">
        <v>835</v>
      </c>
      <c r="D509" s="8" t="s">
        <v>831</v>
      </c>
      <c r="E509" s="8" t="s">
        <v>832</v>
      </c>
      <c r="F509" s="8" t="s">
        <v>371</v>
      </c>
      <c r="G509" s="4" t="s">
        <v>2807</v>
      </c>
      <c r="H509" s="4" t="s">
        <v>2922</v>
      </c>
      <c r="I509" s="8" t="s">
        <v>63</v>
      </c>
      <c r="J509" s="8" t="s">
        <v>31</v>
      </c>
      <c r="K509" s="12">
        <f>_xlfn.XLOOKUP(B509,[1]Sheet1!$B:$B,[1]Sheet1!$N:$N,0)</f>
        <v>0</v>
      </c>
      <c r="L509" s="12">
        <f>_xlfn.XLOOKUP(B509,[1]Sheet1!$B:$B,[1]Sheet1!$O:$O,0)</f>
        <v>4460</v>
      </c>
      <c r="M509" s="12">
        <f>_xlfn.XLOOKUP(B509,[1]Sheet1!$B:$B,[1]Sheet1!$P:$P,0)</f>
        <v>0</v>
      </c>
      <c r="N509" s="12">
        <f>_xlfn.XLOOKUP(B509,[1]Sheet1!$B:$B,[1]Sheet1!$Q:$Q,0)</f>
        <v>0</v>
      </c>
      <c r="O509" s="12">
        <f>_xlfn.XLOOKUP(B509,[1]Sheet1!$B:$B,[1]Sheet1!$R:$R,0)</f>
        <v>0</v>
      </c>
      <c r="P509" s="12">
        <f>_xlfn.XLOOKUP(B509,[1]Sheet1!$B:$B,[1]Sheet1!$S:$S,0)</f>
        <v>245540</v>
      </c>
      <c r="Q509" s="12">
        <f>_xlfn.XLOOKUP(B509,[1]Sheet1!$B:$B,[1]Sheet1!$T:$T,0)</f>
        <v>0</v>
      </c>
      <c r="R509" s="12">
        <f>_xlfn.XLOOKUP(B509,[1]Sheet1!$B:$B,[1]Sheet1!$U:$U,0)</f>
        <v>0</v>
      </c>
      <c r="S509" s="12">
        <f>_xlfn.XLOOKUP(B509,[1]Sheet1!$B:$B,[1]Sheet1!$V:$V,0)</f>
        <v>0</v>
      </c>
      <c r="T509" s="12">
        <f>_xlfn.XLOOKUP(B509,[1]Sheet1!$B:$B,[1]Sheet1!$W:$W,0)</f>
        <v>0</v>
      </c>
      <c r="U509" s="12">
        <f>_xlfn.XLOOKUP(B509,[1]Sheet1!$B:$B,[1]Sheet1!$X:$X,0)</f>
        <v>300000</v>
      </c>
      <c r="V509" s="12">
        <f>_xlfn.XLOOKUP(B509,[1]Sheet1!$B:$B,[1]Sheet1!$Y:$Y,0)</f>
        <v>450000</v>
      </c>
      <c r="W509" s="12">
        <f t="shared" si="17"/>
        <v>1000000</v>
      </c>
      <c r="X509" s="8" t="s">
        <v>833</v>
      </c>
      <c r="Y509" s="8" t="s">
        <v>392</v>
      </c>
      <c r="Z509" s="8" t="s">
        <v>834</v>
      </c>
      <c r="AA509" s="8" t="s">
        <v>68</v>
      </c>
      <c r="AB509" s="8" t="s">
        <v>36</v>
      </c>
      <c r="AC509" s="8" t="s">
        <v>37</v>
      </c>
      <c r="AD509" s="8" t="s">
        <v>38</v>
      </c>
      <c r="AE509" s="8" t="s">
        <v>39</v>
      </c>
      <c r="AF509" s="8" t="s">
        <v>40</v>
      </c>
      <c r="AG509" s="9">
        <v>959000</v>
      </c>
      <c r="AH509" s="11">
        <f>_xlfn.XLOOKUP(B509,[1]Sheet1!$B:$B,[1]Sheet1!$AB:$AB,0)</f>
        <v>959000</v>
      </c>
    </row>
    <row r="510" spans="2:34" ht="16.8" thickTop="1" thickBot="1" x14ac:dyDescent="0.35">
      <c r="B510" s="3" t="str">
        <f t="shared" si="16"/>
        <v>45101954511000666Freelancers-N1424521200104</v>
      </c>
      <c r="C510" s="6" t="s">
        <v>835</v>
      </c>
      <c r="D510" s="6" t="s">
        <v>831</v>
      </c>
      <c r="E510" s="6" t="s">
        <v>832</v>
      </c>
      <c r="F510" s="6" t="s">
        <v>303</v>
      </c>
      <c r="G510" s="4" t="s">
        <v>2804</v>
      </c>
      <c r="H510" s="4" t="s">
        <v>2922</v>
      </c>
      <c r="I510" s="6" t="s">
        <v>51</v>
      </c>
      <c r="J510" s="6" t="s">
        <v>31</v>
      </c>
      <c r="K510" s="12">
        <f>_xlfn.XLOOKUP(B510,[1]Sheet1!$B:$B,[1]Sheet1!$N:$N,0)</f>
        <v>0</v>
      </c>
      <c r="L510" s="12">
        <f>_xlfn.XLOOKUP(B510,[1]Sheet1!$B:$B,[1]Sheet1!$O:$O,0)</f>
        <v>15000</v>
      </c>
      <c r="M510" s="12">
        <f>_xlfn.XLOOKUP(B510,[1]Sheet1!$B:$B,[1]Sheet1!$P:$P,0)</f>
        <v>15000</v>
      </c>
      <c r="N510" s="12">
        <f>_xlfn.XLOOKUP(B510,[1]Sheet1!$B:$B,[1]Sheet1!$Q:$Q,0)</f>
        <v>30000</v>
      </c>
      <c r="O510" s="12">
        <f>_xlfn.XLOOKUP(B510,[1]Sheet1!$B:$B,[1]Sheet1!$R:$R,0)</f>
        <v>15000</v>
      </c>
      <c r="P510" s="12">
        <f>_xlfn.XLOOKUP(B510,[1]Sheet1!$B:$B,[1]Sheet1!$S:$S,0)</f>
        <v>15000</v>
      </c>
      <c r="Q510" s="12">
        <f>_xlfn.XLOOKUP(B510,[1]Sheet1!$B:$B,[1]Sheet1!$T:$T,0)</f>
        <v>0</v>
      </c>
      <c r="R510" s="12">
        <f>_xlfn.XLOOKUP(B510,[1]Sheet1!$B:$B,[1]Sheet1!$U:$U,0)</f>
        <v>0</v>
      </c>
      <c r="S510" s="12">
        <f>_xlfn.XLOOKUP(B510,[1]Sheet1!$B:$B,[1]Sheet1!$V:$V,0)</f>
        <v>0</v>
      </c>
      <c r="T510" s="12">
        <f>_xlfn.XLOOKUP(B510,[1]Sheet1!$B:$B,[1]Sheet1!$W:$W,0)</f>
        <v>0</v>
      </c>
      <c r="U510" s="12">
        <f>_xlfn.XLOOKUP(B510,[1]Sheet1!$B:$B,[1]Sheet1!$X:$X,0)</f>
        <v>0</v>
      </c>
      <c r="V510" s="12">
        <f>_xlfn.XLOOKUP(B510,[1]Sheet1!$B:$B,[1]Sheet1!$Y:$Y,0)</f>
        <v>0</v>
      </c>
      <c r="W510" s="12">
        <f t="shared" si="17"/>
        <v>90000</v>
      </c>
      <c r="X510" s="6" t="s">
        <v>836</v>
      </c>
      <c r="Y510" s="6" t="s">
        <v>392</v>
      </c>
      <c r="Z510" s="6" t="s">
        <v>834</v>
      </c>
      <c r="AA510" s="6" t="s">
        <v>53</v>
      </c>
      <c r="AB510" s="6" t="s">
        <v>36</v>
      </c>
      <c r="AC510" s="6" t="s">
        <v>37</v>
      </c>
      <c r="AD510" s="6" t="s">
        <v>38</v>
      </c>
      <c r="AE510" s="6" t="s">
        <v>39</v>
      </c>
      <c r="AF510" s="6" t="s">
        <v>40</v>
      </c>
      <c r="AG510" s="7">
        <v>75500</v>
      </c>
      <c r="AH510" s="11">
        <f>_xlfn.XLOOKUP(B510,[1]Sheet1!$B:$B,[1]Sheet1!$AB:$AB,0)</f>
        <v>75500</v>
      </c>
    </row>
    <row r="511" spans="2:34" ht="16.8" thickTop="1" thickBot="1" x14ac:dyDescent="0.35">
      <c r="B511" s="3" t="str">
        <f t="shared" si="16"/>
        <v>45101954511000666Mission &amp; Travel-N1423821200104</v>
      </c>
      <c r="C511" s="8" t="s">
        <v>835</v>
      </c>
      <c r="D511" s="8" t="s">
        <v>831</v>
      </c>
      <c r="E511" s="8" t="s">
        <v>832</v>
      </c>
      <c r="F511" s="8" t="s">
        <v>472</v>
      </c>
      <c r="G511" s="4" t="s">
        <v>2805</v>
      </c>
      <c r="H511" s="4" t="s">
        <v>2922</v>
      </c>
      <c r="I511" s="8" t="s">
        <v>55</v>
      </c>
      <c r="J511" s="8" t="s">
        <v>31</v>
      </c>
      <c r="K511" s="12">
        <f>_xlfn.XLOOKUP(B511,[1]Sheet1!$B:$B,[1]Sheet1!$N:$N,0)</f>
        <v>0</v>
      </c>
      <c r="L511" s="12">
        <f>_xlfn.XLOOKUP(B511,[1]Sheet1!$B:$B,[1]Sheet1!$O:$O,0)</f>
        <v>233750</v>
      </c>
      <c r="M511" s="12">
        <f>_xlfn.XLOOKUP(B511,[1]Sheet1!$B:$B,[1]Sheet1!$P:$P,0)</f>
        <v>0</v>
      </c>
      <c r="N511" s="12">
        <f>_xlfn.XLOOKUP(B511,[1]Sheet1!$B:$B,[1]Sheet1!$Q:$Q,0)</f>
        <v>161622</v>
      </c>
      <c r="O511" s="12">
        <f>_xlfn.XLOOKUP(B511,[1]Sheet1!$B:$B,[1]Sheet1!$R:$R,0)</f>
        <v>153500</v>
      </c>
      <c r="P511" s="12">
        <f>_xlfn.XLOOKUP(B511,[1]Sheet1!$B:$B,[1]Sheet1!$S:$S,0)</f>
        <v>77000</v>
      </c>
      <c r="Q511" s="12">
        <f>_xlfn.XLOOKUP(B511,[1]Sheet1!$B:$B,[1]Sheet1!$T:$T,0)</f>
        <v>0</v>
      </c>
      <c r="R511" s="12">
        <f>_xlfn.XLOOKUP(B511,[1]Sheet1!$B:$B,[1]Sheet1!$U:$U,0)</f>
        <v>0</v>
      </c>
      <c r="S511" s="12">
        <f>_xlfn.XLOOKUP(B511,[1]Sheet1!$B:$B,[1]Sheet1!$V:$V,0)</f>
        <v>0</v>
      </c>
      <c r="T511" s="12">
        <f>_xlfn.XLOOKUP(B511,[1]Sheet1!$B:$B,[1]Sheet1!$W:$W,0)</f>
        <v>125000</v>
      </c>
      <c r="U511" s="12">
        <f>_xlfn.XLOOKUP(B511,[1]Sheet1!$B:$B,[1]Sheet1!$X:$X,0)</f>
        <v>95000</v>
      </c>
      <c r="V511" s="12">
        <f>_xlfn.XLOOKUP(B511,[1]Sheet1!$B:$B,[1]Sheet1!$Y:$Y,0)</f>
        <v>0</v>
      </c>
      <c r="W511" s="12">
        <f t="shared" si="17"/>
        <v>845872</v>
      </c>
      <c r="X511" s="8" t="s">
        <v>837</v>
      </c>
      <c r="Y511" s="8" t="s">
        <v>392</v>
      </c>
      <c r="Z511" s="8" t="s">
        <v>834</v>
      </c>
      <c r="AA511" s="8" t="s">
        <v>55</v>
      </c>
      <c r="AB511" s="8" t="s">
        <v>36</v>
      </c>
      <c r="AC511" s="8" t="s">
        <v>37</v>
      </c>
      <c r="AD511" s="8" t="s">
        <v>38</v>
      </c>
      <c r="AE511" s="8" t="s">
        <v>39</v>
      </c>
      <c r="AF511" s="8" t="s">
        <v>40</v>
      </c>
      <c r="AG511" s="9">
        <v>1245872</v>
      </c>
      <c r="AH511" s="11">
        <f>_xlfn.XLOOKUP(B511,[1]Sheet1!$B:$B,[1]Sheet1!$AB:$AB,0)</f>
        <v>1245872</v>
      </c>
    </row>
    <row r="512" spans="2:34" ht="16.8" thickTop="1" thickBot="1" x14ac:dyDescent="0.35">
      <c r="B512" s="3" t="str">
        <f t="shared" si="16"/>
        <v>45191964511000667CampaignProductn-N1422511200104</v>
      </c>
      <c r="C512" s="6" t="s">
        <v>843</v>
      </c>
      <c r="D512" s="6" t="s">
        <v>838</v>
      </c>
      <c r="E512" s="6" t="s">
        <v>839</v>
      </c>
      <c r="F512" s="6" t="s">
        <v>840</v>
      </c>
      <c r="G512" s="4" t="s">
        <v>2819</v>
      </c>
      <c r="H512" s="4" t="s">
        <v>2922</v>
      </c>
      <c r="I512" s="6" t="s">
        <v>151</v>
      </c>
      <c r="J512" s="6" t="s">
        <v>31</v>
      </c>
      <c r="K512" s="12">
        <f>_xlfn.XLOOKUP(B512,[1]Sheet1!$B:$B,[1]Sheet1!$N:$N,0)</f>
        <v>0</v>
      </c>
      <c r="L512" s="12">
        <f>_xlfn.XLOOKUP(B512,[1]Sheet1!$B:$B,[1]Sheet1!$O:$O,0)</f>
        <v>0</v>
      </c>
      <c r="M512" s="12">
        <f>_xlfn.XLOOKUP(B512,[1]Sheet1!$B:$B,[1]Sheet1!$P:$P,0)</f>
        <v>0</v>
      </c>
      <c r="N512" s="12">
        <f>_xlfn.XLOOKUP(B512,[1]Sheet1!$B:$B,[1]Sheet1!$Q:$Q,0)</f>
        <v>18000</v>
      </c>
      <c r="O512" s="12">
        <f>_xlfn.XLOOKUP(B512,[1]Sheet1!$B:$B,[1]Sheet1!$R:$R,0)</f>
        <v>100000</v>
      </c>
      <c r="P512" s="12">
        <f>_xlfn.XLOOKUP(B512,[1]Sheet1!$B:$B,[1]Sheet1!$S:$S,0)</f>
        <v>0</v>
      </c>
      <c r="Q512" s="12">
        <f>_xlfn.XLOOKUP(B512,[1]Sheet1!$B:$B,[1]Sheet1!$T:$T,0)</f>
        <v>0</v>
      </c>
      <c r="R512" s="12">
        <f>_xlfn.XLOOKUP(B512,[1]Sheet1!$B:$B,[1]Sheet1!$U:$U,0)</f>
        <v>0</v>
      </c>
      <c r="S512" s="12">
        <f>_xlfn.XLOOKUP(B512,[1]Sheet1!$B:$B,[1]Sheet1!$V:$V,0)</f>
        <v>0</v>
      </c>
      <c r="T512" s="12">
        <f>_xlfn.XLOOKUP(B512,[1]Sheet1!$B:$B,[1]Sheet1!$W:$W,0)</f>
        <v>0</v>
      </c>
      <c r="U512" s="12">
        <f>_xlfn.XLOOKUP(B512,[1]Sheet1!$B:$B,[1]Sheet1!$X:$X,0)</f>
        <v>0</v>
      </c>
      <c r="V512" s="12">
        <f>_xlfn.XLOOKUP(B512,[1]Sheet1!$B:$B,[1]Sheet1!$Y:$Y,0)</f>
        <v>32000</v>
      </c>
      <c r="W512" s="12">
        <f t="shared" si="17"/>
        <v>150000</v>
      </c>
      <c r="X512" s="6" t="s">
        <v>841</v>
      </c>
      <c r="Y512" s="6" t="s">
        <v>392</v>
      </c>
      <c r="Z512" s="6" t="s">
        <v>842</v>
      </c>
      <c r="AA512" s="6" t="s">
        <v>151</v>
      </c>
      <c r="AB512" s="6" t="s">
        <v>36</v>
      </c>
      <c r="AC512" s="6" t="s">
        <v>37</v>
      </c>
      <c r="AD512" s="6" t="s">
        <v>844</v>
      </c>
      <c r="AE512" s="6" t="s">
        <v>39</v>
      </c>
      <c r="AF512" s="6" t="s">
        <v>40</v>
      </c>
      <c r="AG512" s="7">
        <v>150000</v>
      </c>
      <c r="AH512" s="11">
        <f>_xlfn.XLOOKUP(B512,[1]Sheet1!$B:$B,[1]Sheet1!$AB:$AB,0)</f>
        <v>150000</v>
      </c>
    </row>
    <row r="513" spans="2:34" ht="16.8" thickTop="1" thickBot="1" x14ac:dyDescent="0.35">
      <c r="B513" s="3" t="str">
        <f t="shared" si="16"/>
        <v>45191994511000673Cover Design-N1424791200104</v>
      </c>
      <c r="C513" s="8" t="s">
        <v>394</v>
      </c>
      <c r="D513" s="8" t="s">
        <v>845</v>
      </c>
      <c r="E513" s="8" t="s">
        <v>846</v>
      </c>
      <c r="F513" s="8" t="s">
        <v>396</v>
      </c>
      <c r="G513" s="4" t="s">
        <v>2830</v>
      </c>
      <c r="H513" s="4" t="s">
        <v>2922</v>
      </c>
      <c r="I513" s="8" t="s">
        <v>305</v>
      </c>
      <c r="J513" s="8" t="s">
        <v>31</v>
      </c>
      <c r="K513" s="12">
        <f>_xlfn.XLOOKUP(B513,[1]Sheet1!$B:$B,[1]Sheet1!$N:$N,0)</f>
        <v>0</v>
      </c>
      <c r="L513" s="12">
        <f>_xlfn.XLOOKUP(B513,[1]Sheet1!$B:$B,[1]Sheet1!$O:$O,0)</f>
        <v>0</v>
      </c>
      <c r="M513" s="12">
        <f>_xlfn.XLOOKUP(B513,[1]Sheet1!$B:$B,[1]Sheet1!$P:$P,0)</f>
        <v>0</v>
      </c>
      <c r="N513" s="12">
        <f>_xlfn.XLOOKUP(B513,[1]Sheet1!$B:$B,[1]Sheet1!$Q:$Q,0)</f>
        <v>4500</v>
      </c>
      <c r="O513" s="12">
        <f>_xlfn.XLOOKUP(B513,[1]Sheet1!$B:$B,[1]Sheet1!$R:$R,0)</f>
        <v>3600</v>
      </c>
      <c r="P513" s="12">
        <f>_xlfn.XLOOKUP(B513,[1]Sheet1!$B:$B,[1]Sheet1!$S:$S,0)</f>
        <v>900</v>
      </c>
      <c r="Q513" s="12">
        <f>_xlfn.XLOOKUP(B513,[1]Sheet1!$B:$B,[1]Sheet1!$T:$T,0)</f>
        <v>1080</v>
      </c>
      <c r="R513" s="12">
        <f>_xlfn.XLOOKUP(B513,[1]Sheet1!$B:$B,[1]Sheet1!$U:$U,0)</f>
        <v>1620</v>
      </c>
      <c r="S513" s="12">
        <f>_xlfn.XLOOKUP(B513,[1]Sheet1!$B:$B,[1]Sheet1!$V:$V,0)</f>
        <v>1440</v>
      </c>
      <c r="T513" s="12">
        <f>_xlfn.XLOOKUP(B513,[1]Sheet1!$B:$B,[1]Sheet1!$W:$W,0)</f>
        <v>1800</v>
      </c>
      <c r="U513" s="12">
        <f>_xlfn.XLOOKUP(B513,[1]Sheet1!$B:$B,[1]Sheet1!$X:$X,0)</f>
        <v>2520</v>
      </c>
      <c r="V513" s="12">
        <f>_xlfn.XLOOKUP(B513,[1]Sheet1!$B:$B,[1]Sheet1!$Y:$Y,0)</f>
        <v>540</v>
      </c>
      <c r="W513" s="12">
        <f t="shared" si="17"/>
        <v>18000</v>
      </c>
      <c r="X513" s="8" t="s">
        <v>847</v>
      </c>
      <c r="Y513" s="8" t="s">
        <v>392</v>
      </c>
      <c r="Z513" s="8" t="s">
        <v>393</v>
      </c>
      <c r="AA513" s="8" t="s">
        <v>305</v>
      </c>
      <c r="AB513" s="8" t="s">
        <v>36</v>
      </c>
      <c r="AC513" s="8" t="s">
        <v>37</v>
      </c>
      <c r="AD513" s="8" t="s">
        <v>848</v>
      </c>
      <c r="AE513" s="8" t="s">
        <v>39</v>
      </c>
      <c r="AF513" s="8" t="s">
        <v>40</v>
      </c>
      <c r="AG513" s="9">
        <v>18000</v>
      </c>
      <c r="AH513" s="11">
        <f>_xlfn.XLOOKUP(B513,[1]Sheet1!$B:$B,[1]Sheet1!$AB:$AB,0)</f>
        <v>18000</v>
      </c>
    </row>
    <row r="514" spans="2:34" ht="16.8" thickTop="1" thickBot="1" x14ac:dyDescent="0.35">
      <c r="B514" s="3" t="str">
        <f t="shared" si="16"/>
        <v>45191994511000673Editing &amp; Proof-N1424791200104</v>
      </c>
      <c r="C514" s="6" t="s">
        <v>394</v>
      </c>
      <c r="D514" s="6" t="s">
        <v>845</v>
      </c>
      <c r="E514" s="6" t="s">
        <v>846</v>
      </c>
      <c r="F514" s="6" t="s">
        <v>398</v>
      </c>
      <c r="G514" s="4" t="s">
        <v>2830</v>
      </c>
      <c r="H514" s="4" t="s">
        <v>2922</v>
      </c>
      <c r="I514" s="6" t="s">
        <v>305</v>
      </c>
      <c r="J514" s="6" t="s">
        <v>31</v>
      </c>
      <c r="K514" s="12">
        <f>_xlfn.XLOOKUP(B514,[1]Sheet1!$B:$B,[1]Sheet1!$N:$N,0)</f>
        <v>0</v>
      </c>
      <c r="L514" s="12">
        <f>_xlfn.XLOOKUP(B514,[1]Sheet1!$B:$B,[1]Sheet1!$O:$O,0)</f>
        <v>0</v>
      </c>
      <c r="M514" s="12">
        <f>_xlfn.XLOOKUP(B514,[1]Sheet1!$B:$B,[1]Sheet1!$P:$P,0)</f>
        <v>0</v>
      </c>
      <c r="N514" s="12">
        <f>_xlfn.XLOOKUP(B514,[1]Sheet1!$B:$B,[1]Sheet1!$Q:$Q,0)</f>
        <v>22500</v>
      </c>
      <c r="O514" s="12">
        <f>_xlfn.XLOOKUP(B514,[1]Sheet1!$B:$B,[1]Sheet1!$R:$R,0)</f>
        <v>18000</v>
      </c>
      <c r="P514" s="12">
        <f>_xlfn.XLOOKUP(B514,[1]Sheet1!$B:$B,[1]Sheet1!$S:$S,0)</f>
        <v>4500</v>
      </c>
      <c r="Q514" s="12">
        <f>_xlfn.XLOOKUP(B514,[1]Sheet1!$B:$B,[1]Sheet1!$T:$T,0)</f>
        <v>5400</v>
      </c>
      <c r="R514" s="12">
        <f>_xlfn.XLOOKUP(B514,[1]Sheet1!$B:$B,[1]Sheet1!$U:$U,0)</f>
        <v>8100</v>
      </c>
      <c r="S514" s="12">
        <f>_xlfn.XLOOKUP(B514,[1]Sheet1!$B:$B,[1]Sheet1!$V:$V,0)</f>
        <v>7200</v>
      </c>
      <c r="T514" s="12">
        <f>_xlfn.XLOOKUP(B514,[1]Sheet1!$B:$B,[1]Sheet1!$W:$W,0)</f>
        <v>9000</v>
      </c>
      <c r="U514" s="12">
        <f>_xlfn.XLOOKUP(B514,[1]Sheet1!$B:$B,[1]Sheet1!$X:$X,0)</f>
        <v>15300</v>
      </c>
      <c r="V514" s="12">
        <f>_xlfn.XLOOKUP(B514,[1]Sheet1!$B:$B,[1]Sheet1!$Y:$Y,0)</f>
        <v>90000</v>
      </c>
      <c r="W514" s="12">
        <f t="shared" si="17"/>
        <v>180000</v>
      </c>
      <c r="X514" s="6" t="s">
        <v>847</v>
      </c>
      <c r="Y514" s="6" t="s">
        <v>392</v>
      </c>
      <c r="Z514" s="6" t="s">
        <v>393</v>
      </c>
      <c r="AA514" s="6" t="s">
        <v>305</v>
      </c>
      <c r="AB514" s="6" t="s">
        <v>36</v>
      </c>
      <c r="AC514" s="6" t="s">
        <v>37</v>
      </c>
      <c r="AD514" s="6" t="s">
        <v>848</v>
      </c>
      <c r="AE514" s="6" t="s">
        <v>39</v>
      </c>
      <c r="AF514" s="6" t="s">
        <v>40</v>
      </c>
      <c r="AG514" s="7">
        <v>180000</v>
      </c>
      <c r="AH514" s="11">
        <f>_xlfn.XLOOKUP(B514,[1]Sheet1!$B:$B,[1]Sheet1!$AB:$AB,0)</f>
        <v>180000</v>
      </c>
    </row>
    <row r="515" spans="2:34" ht="16.8" thickTop="1" thickBot="1" x14ac:dyDescent="0.35">
      <c r="B515" s="3" t="str">
        <f t="shared" si="16"/>
        <v>45191994511000673Print Permit-N1422951200104</v>
      </c>
      <c r="C515" s="8" t="s">
        <v>394</v>
      </c>
      <c r="D515" s="8" t="s">
        <v>845</v>
      </c>
      <c r="E515" s="8" t="s">
        <v>846</v>
      </c>
      <c r="F515" s="8" t="s">
        <v>401</v>
      </c>
      <c r="G515" s="4" t="s">
        <v>2837</v>
      </c>
      <c r="H515" s="4" t="s">
        <v>2922</v>
      </c>
      <c r="I515" s="8" t="s">
        <v>402</v>
      </c>
      <c r="J515" s="8" t="s">
        <v>31</v>
      </c>
      <c r="K515" s="12">
        <f>_xlfn.XLOOKUP(B515,[1]Sheet1!$B:$B,[1]Sheet1!$N:$N,0)</f>
        <v>0</v>
      </c>
      <c r="L515" s="12">
        <f>_xlfn.XLOOKUP(B515,[1]Sheet1!$B:$B,[1]Sheet1!$O:$O,0)</f>
        <v>0</v>
      </c>
      <c r="M515" s="12">
        <f>_xlfn.XLOOKUP(B515,[1]Sheet1!$B:$B,[1]Sheet1!$P:$P,0)</f>
        <v>0</v>
      </c>
      <c r="N515" s="12">
        <f>_xlfn.XLOOKUP(B515,[1]Sheet1!$B:$B,[1]Sheet1!$Q:$Q,0)</f>
        <v>67500</v>
      </c>
      <c r="O515" s="12">
        <f>_xlfn.XLOOKUP(B515,[1]Sheet1!$B:$B,[1]Sheet1!$R:$R,0)</f>
        <v>54000</v>
      </c>
      <c r="P515" s="12">
        <f>_xlfn.XLOOKUP(B515,[1]Sheet1!$B:$B,[1]Sheet1!$S:$S,0)</f>
        <v>13500</v>
      </c>
      <c r="Q515" s="12">
        <f>_xlfn.XLOOKUP(B515,[1]Sheet1!$B:$B,[1]Sheet1!$T:$T,0)</f>
        <v>16200</v>
      </c>
      <c r="R515" s="12">
        <f>_xlfn.XLOOKUP(B515,[1]Sheet1!$B:$B,[1]Sheet1!$U:$U,0)</f>
        <v>24300</v>
      </c>
      <c r="S515" s="12">
        <f>_xlfn.XLOOKUP(B515,[1]Sheet1!$B:$B,[1]Sheet1!$V:$V,0)</f>
        <v>21600</v>
      </c>
      <c r="T515" s="12">
        <f>_xlfn.XLOOKUP(B515,[1]Sheet1!$B:$B,[1]Sheet1!$W:$W,0)</f>
        <v>27000</v>
      </c>
      <c r="U515" s="12">
        <f>_xlfn.XLOOKUP(B515,[1]Sheet1!$B:$B,[1]Sheet1!$X:$X,0)</f>
        <v>37800</v>
      </c>
      <c r="V515" s="12">
        <f>_xlfn.XLOOKUP(B515,[1]Sheet1!$B:$B,[1]Sheet1!$Y:$Y,0)</f>
        <v>58100</v>
      </c>
      <c r="W515" s="12">
        <f t="shared" si="17"/>
        <v>320000</v>
      </c>
      <c r="X515" s="8" t="s">
        <v>849</v>
      </c>
      <c r="Y515" s="8" t="s">
        <v>392</v>
      </c>
      <c r="Z515" s="8" t="s">
        <v>393</v>
      </c>
      <c r="AA515" s="8" t="s">
        <v>402</v>
      </c>
      <c r="AB515" s="8" t="s">
        <v>36</v>
      </c>
      <c r="AC515" s="8" t="s">
        <v>37</v>
      </c>
      <c r="AD515" s="8" t="s">
        <v>848</v>
      </c>
      <c r="AE515" s="8" t="s">
        <v>39</v>
      </c>
      <c r="AF515" s="8" t="s">
        <v>40</v>
      </c>
      <c r="AG515" s="9">
        <v>320000</v>
      </c>
      <c r="AH515" s="11">
        <f>_xlfn.XLOOKUP(B515,[1]Sheet1!$B:$B,[1]Sheet1!$AB:$AB,0)</f>
        <v>320000</v>
      </c>
    </row>
    <row r="516" spans="2:34" ht="16.8" thickTop="1" thickBot="1" x14ac:dyDescent="0.35">
      <c r="B516" s="3" t="str">
        <f t="shared" ref="B516:B579" si="18">C516&amp;D516&amp;F516&amp;G516&amp;H516</f>
        <v>45191994511000673Print Runs-N1424791200104</v>
      </c>
      <c r="C516" s="6" t="s">
        <v>394</v>
      </c>
      <c r="D516" s="6" t="s">
        <v>845</v>
      </c>
      <c r="E516" s="6" t="s">
        <v>846</v>
      </c>
      <c r="F516" s="6" t="s">
        <v>307</v>
      </c>
      <c r="G516" s="4" t="s">
        <v>2830</v>
      </c>
      <c r="H516" s="4" t="s">
        <v>2922</v>
      </c>
      <c r="I516" s="6" t="s">
        <v>305</v>
      </c>
      <c r="J516" s="6" t="s">
        <v>31</v>
      </c>
      <c r="K516" s="12">
        <f>_xlfn.XLOOKUP(B516,[1]Sheet1!$B:$B,[1]Sheet1!$N:$N,0)</f>
        <v>0</v>
      </c>
      <c r="L516" s="12">
        <f>_xlfn.XLOOKUP(B516,[1]Sheet1!$B:$B,[1]Sheet1!$O:$O,0)</f>
        <v>0</v>
      </c>
      <c r="M516" s="12">
        <f>_xlfn.XLOOKUP(B516,[1]Sheet1!$B:$B,[1]Sheet1!$P:$P,0)</f>
        <v>0</v>
      </c>
      <c r="N516" s="12">
        <f>_xlfn.XLOOKUP(B516,[1]Sheet1!$B:$B,[1]Sheet1!$Q:$Q,0)</f>
        <v>0</v>
      </c>
      <c r="O516" s="12">
        <f>_xlfn.XLOOKUP(B516,[1]Sheet1!$B:$B,[1]Sheet1!$R:$R,0)</f>
        <v>112500</v>
      </c>
      <c r="P516" s="12">
        <f>_xlfn.XLOOKUP(B516,[1]Sheet1!$B:$B,[1]Sheet1!$S:$S,0)</f>
        <v>12500</v>
      </c>
      <c r="Q516" s="12">
        <f>_xlfn.XLOOKUP(B516,[1]Sheet1!$B:$B,[1]Sheet1!$T:$T,0)</f>
        <v>15000</v>
      </c>
      <c r="R516" s="12">
        <f>_xlfn.XLOOKUP(B516,[1]Sheet1!$B:$B,[1]Sheet1!$U:$U,0)</f>
        <v>22500</v>
      </c>
      <c r="S516" s="12">
        <f>_xlfn.XLOOKUP(B516,[1]Sheet1!$B:$B,[1]Sheet1!$V:$V,0)</f>
        <v>20000</v>
      </c>
      <c r="T516" s="12">
        <f>_xlfn.XLOOKUP(B516,[1]Sheet1!$B:$B,[1]Sheet1!$W:$W,0)</f>
        <v>25000</v>
      </c>
      <c r="U516" s="12">
        <f>_xlfn.XLOOKUP(B516,[1]Sheet1!$B:$B,[1]Sheet1!$X:$X,0)</f>
        <v>35000</v>
      </c>
      <c r="V516" s="12">
        <f>_xlfn.XLOOKUP(B516,[1]Sheet1!$B:$B,[1]Sheet1!$Y:$Y,0)</f>
        <v>57500</v>
      </c>
      <c r="W516" s="12">
        <f t="shared" ref="W516:W579" si="19">SUM(K516:V516)</f>
        <v>300000</v>
      </c>
      <c r="X516" s="6" t="s">
        <v>847</v>
      </c>
      <c r="Y516" s="6" t="s">
        <v>392</v>
      </c>
      <c r="Z516" s="6" t="s">
        <v>393</v>
      </c>
      <c r="AA516" s="6" t="s">
        <v>305</v>
      </c>
      <c r="AB516" s="6" t="s">
        <v>36</v>
      </c>
      <c r="AC516" s="6" t="s">
        <v>37</v>
      </c>
      <c r="AD516" s="6" t="s">
        <v>848</v>
      </c>
      <c r="AE516" s="6" t="s">
        <v>39</v>
      </c>
      <c r="AF516" s="6" t="s">
        <v>40</v>
      </c>
      <c r="AG516" s="7">
        <v>300000</v>
      </c>
      <c r="AH516" s="11">
        <f>_xlfn.XLOOKUP(B516,[1]Sheet1!$B:$B,[1]Sheet1!$AB:$AB,0)</f>
        <v>300000</v>
      </c>
    </row>
    <row r="517" spans="2:34" ht="16.8" thickTop="1" thickBot="1" x14ac:dyDescent="0.35">
      <c r="B517" s="3" t="str">
        <f t="shared" si="18"/>
        <v>45191994511000673Typesetting-N1431114200104</v>
      </c>
      <c r="C517" s="8" t="s">
        <v>394</v>
      </c>
      <c r="D517" s="8" t="s">
        <v>845</v>
      </c>
      <c r="E517" s="8" t="s">
        <v>846</v>
      </c>
      <c r="F517" s="8" t="s">
        <v>404</v>
      </c>
      <c r="G517" s="4" t="s">
        <v>2838</v>
      </c>
      <c r="H517" s="4" t="s">
        <v>2922</v>
      </c>
      <c r="I517" s="8" t="s">
        <v>405</v>
      </c>
      <c r="J517" s="8" t="s">
        <v>31</v>
      </c>
      <c r="K517" s="12">
        <f>_xlfn.XLOOKUP(B517,[1]Sheet1!$B:$B,[1]Sheet1!$N:$N,0)</f>
        <v>0</v>
      </c>
      <c r="L517" s="12">
        <f>_xlfn.XLOOKUP(B517,[1]Sheet1!$B:$B,[1]Sheet1!$O:$O,0)</f>
        <v>0</v>
      </c>
      <c r="M517" s="12">
        <f>_xlfn.XLOOKUP(B517,[1]Sheet1!$B:$B,[1]Sheet1!$P:$P,0)</f>
        <v>0</v>
      </c>
      <c r="N517" s="12">
        <f>_xlfn.XLOOKUP(B517,[1]Sheet1!$B:$B,[1]Sheet1!$Q:$Q,0)</f>
        <v>11250</v>
      </c>
      <c r="O517" s="12">
        <f>_xlfn.XLOOKUP(B517,[1]Sheet1!$B:$B,[1]Sheet1!$R:$R,0)</f>
        <v>9000</v>
      </c>
      <c r="P517" s="12">
        <f>_xlfn.XLOOKUP(B517,[1]Sheet1!$B:$B,[1]Sheet1!$S:$S,0)</f>
        <v>2250</v>
      </c>
      <c r="Q517" s="12">
        <f>_xlfn.XLOOKUP(B517,[1]Sheet1!$B:$B,[1]Sheet1!$T:$T,0)</f>
        <v>2700</v>
      </c>
      <c r="R517" s="12">
        <f>_xlfn.XLOOKUP(B517,[1]Sheet1!$B:$B,[1]Sheet1!$U:$U,0)</f>
        <v>4050</v>
      </c>
      <c r="S517" s="12">
        <f>_xlfn.XLOOKUP(B517,[1]Sheet1!$B:$B,[1]Sheet1!$V:$V,0)</f>
        <v>3600</v>
      </c>
      <c r="T517" s="12">
        <f>_xlfn.XLOOKUP(B517,[1]Sheet1!$B:$B,[1]Sheet1!$W:$W,0)</f>
        <v>4500</v>
      </c>
      <c r="U517" s="12">
        <f>_xlfn.XLOOKUP(B517,[1]Sheet1!$B:$B,[1]Sheet1!$X:$X,0)</f>
        <v>6300</v>
      </c>
      <c r="V517" s="12">
        <f>_xlfn.XLOOKUP(B517,[1]Sheet1!$B:$B,[1]Sheet1!$Y:$Y,0)</f>
        <v>1350</v>
      </c>
      <c r="W517" s="12">
        <f t="shared" si="19"/>
        <v>45000</v>
      </c>
      <c r="X517" s="8" t="s">
        <v>850</v>
      </c>
      <c r="Y517" s="8" t="s">
        <v>392</v>
      </c>
      <c r="Z517" s="8" t="s">
        <v>393</v>
      </c>
      <c r="AA517" s="8" t="s">
        <v>405</v>
      </c>
      <c r="AB517" s="8" t="s">
        <v>36</v>
      </c>
      <c r="AC517" s="8" t="s">
        <v>37</v>
      </c>
      <c r="AD517" s="8" t="s">
        <v>848</v>
      </c>
      <c r="AE517" s="8" t="s">
        <v>39</v>
      </c>
      <c r="AF517" s="8" t="s">
        <v>40</v>
      </c>
      <c r="AG517" s="9">
        <v>45000</v>
      </c>
      <c r="AH517" s="11">
        <f>_xlfn.XLOOKUP(B517,[1]Sheet1!$B:$B,[1]Sheet1!$AB:$AB,0)</f>
        <v>45000</v>
      </c>
    </row>
    <row r="518" spans="2:34" ht="16.8" thickTop="1" thickBot="1" x14ac:dyDescent="0.35">
      <c r="B518" s="3" t="str">
        <f t="shared" si="18"/>
        <v>45192024511000675Activation&amp;Prog-N2422401200104</v>
      </c>
      <c r="C518" s="6" t="s">
        <v>856</v>
      </c>
      <c r="D518" s="6" t="s">
        <v>851</v>
      </c>
      <c r="E518" s="6" t="s">
        <v>852</v>
      </c>
      <c r="F518" s="6" t="s">
        <v>853</v>
      </c>
      <c r="G518" s="4" t="s">
        <v>2807</v>
      </c>
      <c r="H518" s="4" t="s">
        <v>2922</v>
      </c>
      <c r="I518" s="6" t="s">
        <v>63</v>
      </c>
      <c r="J518" s="6" t="s">
        <v>31</v>
      </c>
      <c r="K518" s="12">
        <f>_xlfn.XLOOKUP(B518,[1]Sheet1!$B:$B,[1]Sheet1!$N:$N,0)</f>
        <v>0</v>
      </c>
      <c r="L518" s="12">
        <f>_xlfn.XLOOKUP(B518,[1]Sheet1!$B:$B,[1]Sheet1!$O:$O,0)</f>
        <v>0</v>
      </c>
      <c r="M518" s="12">
        <f>_xlfn.XLOOKUP(B518,[1]Sheet1!$B:$B,[1]Sheet1!$P:$P,0)</f>
        <v>0</v>
      </c>
      <c r="N518" s="12">
        <f>_xlfn.XLOOKUP(B518,[1]Sheet1!$B:$B,[1]Sheet1!$Q:$Q,0)</f>
        <v>25000</v>
      </c>
      <c r="O518" s="12">
        <f>_xlfn.XLOOKUP(B518,[1]Sheet1!$B:$B,[1]Sheet1!$R:$R,0)</f>
        <v>25000</v>
      </c>
      <c r="P518" s="12">
        <f>_xlfn.XLOOKUP(B518,[1]Sheet1!$B:$B,[1]Sheet1!$S:$S,0)</f>
        <v>25000</v>
      </c>
      <c r="Q518" s="12">
        <f>_xlfn.XLOOKUP(B518,[1]Sheet1!$B:$B,[1]Sheet1!$T:$T,0)</f>
        <v>25000</v>
      </c>
      <c r="R518" s="12">
        <f>_xlfn.XLOOKUP(B518,[1]Sheet1!$B:$B,[1]Sheet1!$U:$U,0)</f>
        <v>50000</v>
      </c>
      <c r="S518" s="12">
        <f>_xlfn.XLOOKUP(B518,[1]Sheet1!$B:$B,[1]Sheet1!$V:$V,0)</f>
        <v>50000</v>
      </c>
      <c r="T518" s="12">
        <f>_xlfn.XLOOKUP(B518,[1]Sheet1!$B:$B,[1]Sheet1!$W:$W,0)</f>
        <v>50000</v>
      </c>
      <c r="U518" s="12">
        <f>_xlfn.XLOOKUP(B518,[1]Sheet1!$B:$B,[1]Sheet1!$X:$X,0)</f>
        <v>125000</v>
      </c>
      <c r="V518" s="12">
        <f>_xlfn.XLOOKUP(B518,[1]Sheet1!$B:$B,[1]Sheet1!$Y:$Y,0)</f>
        <v>75000</v>
      </c>
      <c r="W518" s="12">
        <f t="shared" si="19"/>
        <v>450000</v>
      </c>
      <c r="X518" s="6" t="s">
        <v>854</v>
      </c>
      <c r="Y518" s="6" t="s">
        <v>392</v>
      </c>
      <c r="Z518" s="6" t="s">
        <v>855</v>
      </c>
      <c r="AA518" s="6" t="s">
        <v>68</v>
      </c>
      <c r="AB518" s="6" t="s">
        <v>36</v>
      </c>
      <c r="AC518" s="6" t="s">
        <v>37</v>
      </c>
      <c r="AD518" s="6" t="s">
        <v>395</v>
      </c>
      <c r="AE518" s="6" t="s">
        <v>39</v>
      </c>
      <c r="AF518" s="6" t="s">
        <v>40</v>
      </c>
      <c r="AG518" s="7">
        <v>379999.85</v>
      </c>
      <c r="AH518" s="11">
        <f>_xlfn.XLOOKUP(B518,[1]Sheet1!$B:$B,[1]Sheet1!$AB:$AB,0)</f>
        <v>380000</v>
      </c>
    </row>
    <row r="519" spans="2:34" ht="16.8" thickTop="1" thickBot="1" x14ac:dyDescent="0.35">
      <c r="B519" s="3" t="str">
        <f t="shared" si="18"/>
        <v>45192024511000675Book Acquisition-NC2491811300105</v>
      </c>
      <c r="C519" s="8" t="s">
        <v>856</v>
      </c>
      <c r="D519" s="8" t="s">
        <v>851</v>
      </c>
      <c r="E519" s="8" t="s">
        <v>852</v>
      </c>
      <c r="F519" s="8" t="s">
        <v>857</v>
      </c>
      <c r="G519" s="4" t="s">
        <v>2825</v>
      </c>
      <c r="H519" s="4" t="s">
        <v>2923</v>
      </c>
      <c r="I519" s="8" t="s">
        <v>226</v>
      </c>
      <c r="J519" s="8" t="s">
        <v>31</v>
      </c>
      <c r="K519" s="12">
        <f>_xlfn.XLOOKUP(B519,[1]Sheet1!$B:$B,[1]Sheet1!$N:$N,0)</f>
        <v>0</v>
      </c>
      <c r="L519" s="12">
        <f>_xlfn.XLOOKUP(B519,[1]Sheet1!$B:$B,[1]Sheet1!$O:$O,0)</f>
        <v>0</v>
      </c>
      <c r="M519" s="12">
        <f>_xlfn.XLOOKUP(B519,[1]Sheet1!$B:$B,[1]Sheet1!$P:$P,0)</f>
        <v>0</v>
      </c>
      <c r="N519" s="12">
        <f>_xlfn.XLOOKUP(B519,[1]Sheet1!$B:$B,[1]Sheet1!$Q:$Q,0)</f>
        <v>0</v>
      </c>
      <c r="O519" s="12">
        <f>_xlfn.XLOOKUP(B519,[1]Sheet1!$B:$B,[1]Sheet1!$R:$R,0)</f>
        <v>0</v>
      </c>
      <c r="P519" s="12">
        <f>_xlfn.XLOOKUP(B519,[1]Sheet1!$B:$B,[1]Sheet1!$S:$S,0)</f>
        <v>0</v>
      </c>
      <c r="Q519" s="12">
        <f>_xlfn.XLOOKUP(B519,[1]Sheet1!$B:$B,[1]Sheet1!$T:$T,0)</f>
        <v>750000</v>
      </c>
      <c r="R519" s="12">
        <f>_xlfn.XLOOKUP(B519,[1]Sheet1!$B:$B,[1]Sheet1!$U:$U,0)</f>
        <v>0</v>
      </c>
      <c r="S519" s="12">
        <f>_xlfn.XLOOKUP(B519,[1]Sheet1!$B:$B,[1]Sheet1!$V:$V,0)</f>
        <v>0</v>
      </c>
      <c r="T519" s="12">
        <f>_xlfn.XLOOKUP(B519,[1]Sheet1!$B:$B,[1]Sheet1!$W:$W,0)</f>
        <v>750000</v>
      </c>
      <c r="U519" s="12">
        <f>_xlfn.XLOOKUP(B519,[1]Sheet1!$B:$B,[1]Sheet1!$X:$X,0)</f>
        <v>0</v>
      </c>
      <c r="V519" s="12">
        <f>_xlfn.XLOOKUP(B519,[1]Sheet1!$B:$B,[1]Sheet1!$Y:$Y,0)</f>
        <v>0</v>
      </c>
      <c r="W519" s="12">
        <f t="shared" si="19"/>
        <v>1500000</v>
      </c>
      <c r="X519" s="8" t="s">
        <v>858</v>
      </c>
      <c r="Y519" s="8" t="s">
        <v>392</v>
      </c>
      <c r="Z519" s="8" t="s">
        <v>855</v>
      </c>
      <c r="AA519" s="8" t="s">
        <v>228</v>
      </c>
      <c r="AB519" s="8" t="s">
        <v>93</v>
      </c>
      <c r="AC519" s="8" t="s">
        <v>94</v>
      </c>
      <c r="AD519" s="8" t="s">
        <v>859</v>
      </c>
      <c r="AE519" s="8" t="s">
        <v>39</v>
      </c>
      <c r="AF519" s="8" t="s">
        <v>40</v>
      </c>
      <c r="AG519" s="9">
        <v>1500000</v>
      </c>
      <c r="AH519" s="11">
        <f>_xlfn.XLOOKUP(B519,[1]Sheet1!$B:$B,[1]Sheet1!$AB:$AB,0)</f>
        <v>1500000</v>
      </c>
    </row>
    <row r="520" spans="2:34" ht="16.8" thickTop="1" thickBot="1" x14ac:dyDescent="0.35">
      <c r="B520" s="3" t="str">
        <f t="shared" si="18"/>
        <v>45192024511000675FreelancerN1424521200104</v>
      </c>
      <c r="C520" s="6" t="s">
        <v>856</v>
      </c>
      <c r="D520" s="6" t="s">
        <v>851</v>
      </c>
      <c r="E520" s="6" t="s">
        <v>852</v>
      </c>
      <c r="F520" s="6" t="s">
        <v>860</v>
      </c>
      <c r="G520" s="4" t="s">
        <v>2804</v>
      </c>
      <c r="H520" s="4" t="s">
        <v>2922</v>
      </c>
      <c r="I520" s="6" t="s">
        <v>51</v>
      </c>
      <c r="J520" s="6" t="s">
        <v>31</v>
      </c>
      <c r="K520" s="12">
        <f>_xlfn.XLOOKUP(B520,[1]Sheet1!$B:$B,[1]Sheet1!$N:$N,0)</f>
        <v>0</v>
      </c>
      <c r="L520" s="12">
        <f>_xlfn.XLOOKUP(B520,[1]Sheet1!$B:$B,[1]Sheet1!$O:$O,0)</f>
        <v>0</v>
      </c>
      <c r="M520" s="12">
        <f>_xlfn.XLOOKUP(B520,[1]Sheet1!$B:$B,[1]Sheet1!$P:$P,0)</f>
        <v>0</v>
      </c>
      <c r="N520" s="12">
        <f>_xlfn.XLOOKUP(B520,[1]Sheet1!$B:$B,[1]Sheet1!$Q:$Q,0)</f>
        <v>0</v>
      </c>
      <c r="O520" s="12">
        <f>_xlfn.XLOOKUP(B520,[1]Sheet1!$B:$B,[1]Sheet1!$R:$R,0)</f>
        <v>0</v>
      </c>
      <c r="P520" s="12">
        <f>_xlfn.XLOOKUP(B520,[1]Sheet1!$B:$B,[1]Sheet1!$S:$S,0)</f>
        <v>0</v>
      </c>
      <c r="Q520" s="12">
        <f>_xlfn.XLOOKUP(B520,[1]Sheet1!$B:$B,[1]Sheet1!$T:$T,0)</f>
        <v>0</v>
      </c>
      <c r="R520" s="12">
        <f>_xlfn.XLOOKUP(B520,[1]Sheet1!$B:$B,[1]Sheet1!$U:$U,0)</f>
        <v>0</v>
      </c>
      <c r="S520" s="12">
        <f>_xlfn.XLOOKUP(B520,[1]Sheet1!$B:$B,[1]Sheet1!$V:$V,0)</f>
        <v>0</v>
      </c>
      <c r="T520" s="12">
        <f>_xlfn.XLOOKUP(B520,[1]Sheet1!$B:$B,[1]Sheet1!$W:$W,0)</f>
        <v>0</v>
      </c>
      <c r="U520" s="12">
        <f>_xlfn.XLOOKUP(B520,[1]Sheet1!$B:$B,[1]Sheet1!$X:$X,0)</f>
        <v>0</v>
      </c>
      <c r="V520" s="12">
        <f>_xlfn.XLOOKUP(B520,[1]Sheet1!$B:$B,[1]Sheet1!$Y:$Y,0)</f>
        <v>0</v>
      </c>
      <c r="W520" s="12">
        <f t="shared" si="19"/>
        <v>0</v>
      </c>
      <c r="X520" s="6" t="s">
        <v>861</v>
      </c>
      <c r="Y520" s="6" t="s">
        <v>392</v>
      </c>
      <c r="Z520" s="6" t="s">
        <v>855</v>
      </c>
      <c r="AA520" s="6" t="s">
        <v>53</v>
      </c>
      <c r="AB520" s="6" t="s">
        <v>36</v>
      </c>
      <c r="AC520" s="6" t="s">
        <v>37</v>
      </c>
      <c r="AD520" s="6" t="s">
        <v>395</v>
      </c>
      <c r="AE520" s="6" t="s">
        <v>39</v>
      </c>
      <c r="AF520" s="6" t="s">
        <v>40</v>
      </c>
      <c r="AG520" s="7">
        <v>70000</v>
      </c>
      <c r="AH520" s="11">
        <f>_xlfn.XLOOKUP(B520,[1]Sheet1!$B:$B,[1]Sheet1!$AB:$AB,0)</f>
        <v>70000</v>
      </c>
    </row>
    <row r="521" spans="2:34" ht="16.8" thickTop="1" thickBot="1" x14ac:dyDescent="0.35">
      <c r="B521" s="3" t="str">
        <f t="shared" si="18"/>
        <v>45192024511000675Hospitality-N2424761200104</v>
      </c>
      <c r="C521" s="8" t="s">
        <v>856</v>
      </c>
      <c r="D521" s="8" t="s">
        <v>851</v>
      </c>
      <c r="E521" s="8" t="s">
        <v>852</v>
      </c>
      <c r="F521" s="8" t="s">
        <v>637</v>
      </c>
      <c r="G521" s="4" t="s">
        <v>2811</v>
      </c>
      <c r="H521" s="4" t="s">
        <v>2922</v>
      </c>
      <c r="I521" s="8" t="s">
        <v>84</v>
      </c>
      <c r="J521" s="8" t="s">
        <v>31</v>
      </c>
      <c r="K521" s="12">
        <f>_xlfn.XLOOKUP(B521,[1]Sheet1!$B:$B,[1]Sheet1!$N:$N,0)</f>
        <v>0</v>
      </c>
      <c r="L521" s="12">
        <f>_xlfn.XLOOKUP(B521,[1]Sheet1!$B:$B,[1]Sheet1!$O:$O,0)</f>
        <v>0</v>
      </c>
      <c r="M521" s="12">
        <f>_xlfn.XLOOKUP(B521,[1]Sheet1!$B:$B,[1]Sheet1!$P:$P,0)</f>
        <v>0</v>
      </c>
      <c r="N521" s="12">
        <f>_xlfn.XLOOKUP(B521,[1]Sheet1!$B:$B,[1]Sheet1!$Q:$Q,0)</f>
        <v>0</v>
      </c>
      <c r="O521" s="12">
        <f>_xlfn.XLOOKUP(B521,[1]Sheet1!$B:$B,[1]Sheet1!$R:$R,0)</f>
        <v>0</v>
      </c>
      <c r="P521" s="12">
        <f>_xlfn.XLOOKUP(B521,[1]Sheet1!$B:$B,[1]Sheet1!$S:$S,0)</f>
        <v>50000</v>
      </c>
      <c r="Q521" s="12">
        <f>_xlfn.XLOOKUP(B521,[1]Sheet1!$B:$B,[1]Sheet1!$T:$T,0)</f>
        <v>0</v>
      </c>
      <c r="R521" s="12">
        <f>_xlfn.XLOOKUP(B521,[1]Sheet1!$B:$B,[1]Sheet1!$U:$U,0)</f>
        <v>15000</v>
      </c>
      <c r="S521" s="12">
        <f>_xlfn.XLOOKUP(B521,[1]Sheet1!$B:$B,[1]Sheet1!$V:$V,0)</f>
        <v>0</v>
      </c>
      <c r="T521" s="12">
        <f>_xlfn.XLOOKUP(B521,[1]Sheet1!$B:$B,[1]Sheet1!$W:$W,0)</f>
        <v>69718</v>
      </c>
      <c r="U521" s="12">
        <f>_xlfn.XLOOKUP(B521,[1]Sheet1!$B:$B,[1]Sheet1!$X:$X,0)</f>
        <v>20000</v>
      </c>
      <c r="V521" s="12">
        <f>_xlfn.XLOOKUP(B521,[1]Sheet1!$B:$B,[1]Sheet1!$Y:$Y,0)</f>
        <v>34000</v>
      </c>
      <c r="W521" s="12">
        <f t="shared" si="19"/>
        <v>188718</v>
      </c>
      <c r="X521" s="8" t="s">
        <v>862</v>
      </c>
      <c r="Y521" s="8" t="s">
        <v>392</v>
      </c>
      <c r="Z521" s="8" t="s">
        <v>855</v>
      </c>
      <c r="AA521" s="8" t="s">
        <v>84</v>
      </c>
      <c r="AB521" s="8" t="s">
        <v>36</v>
      </c>
      <c r="AC521" s="8" t="s">
        <v>37</v>
      </c>
      <c r="AD521" s="8" t="s">
        <v>863</v>
      </c>
      <c r="AE521" s="8" t="s">
        <v>39</v>
      </c>
      <c r="AF521" s="8" t="s">
        <v>40</v>
      </c>
      <c r="AG521" s="9">
        <v>188718</v>
      </c>
      <c r="AH521" s="11">
        <f>_xlfn.XLOOKUP(B521,[1]Sheet1!$B:$B,[1]Sheet1!$AB:$AB,0)</f>
        <v>188718</v>
      </c>
    </row>
    <row r="522" spans="2:34" ht="16.8" thickTop="1" thickBot="1" x14ac:dyDescent="0.35">
      <c r="B522" s="3" t="str">
        <f t="shared" si="18"/>
        <v>45192024511000675Interior Fit Out-NC2491711300105</v>
      </c>
      <c r="C522" s="6" t="s">
        <v>856</v>
      </c>
      <c r="D522" s="6" t="s">
        <v>851</v>
      </c>
      <c r="E522" s="6" t="s">
        <v>852</v>
      </c>
      <c r="F522" s="6" t="s">
        <v>650</v>
      </c>
      <c r="G522" s="4" t="s">
        <v>2854</v>
      </c>
      <c r="H522" s="4" t="s">
        <v>2923</v>
      </c>
      <c r="I522" s="6" t="s">
        <v>639</v>
      </c>
      <c r="J522" s="6" t="s">
        <v>31</v>
      </c>
      <c r="K522" s="12">
        <f>_xlfn.XLOOKUP(B522,[1]Sheet1!$B:$B,[1]Sheet1!$N:$N,0)</f>
        <v>0</v>
      </c>
      <c r="L522" s="12">
        <f>_xlfn.XLOOKUP(B522,[1]Sheet1!$B:$B,[1]Sheet1!$O:$O,0)</f>
        <v>0</v>
      </c>
      <c r="M522" s="12">
        <f>_xlfn.XLOOKUP(B522,[1]Sheet1!$B:$B,[1]Sheet1!$P:$P,0)</f>
        <v>0</v>
      </c>
      <c r="N522" s="12">
        <f>_xlfn.XLOOKUP(B522,[1]Sheet1!$B:$B,[1]Sheet1!$Q:$Q,0)</f>
        <v>0</v>
      </c>
      <c r="O522" s="12">
        <f>_xlfn.XLOOKUP(B522,[1]Sheet1!$B:$B,[1]Sheet1!$R:$R,0)</f>
        <v>0</v>
      </c>
      <c r="P522" s="12">
        <f>_xlfn.XLOOKUP(B522,[1]Sheet1!$B:$B,[1]Sheet1!$S:$S,0)</f>
        <v>0</v>
      </c>
      <c r="Q522" s="12">
        <f>_xlfn.XLOOKUP(B522,[1]Sheet1!$B:$B,[1]Sheet1!$T:$T,0)</f>
        <v>0</v>
      </c>
      <c r="R522" s="12">
        <f>_xlfn.XLOOKUP(B522,[1]Sheet1!$B:$B,[1]Sheet1!$U:$U,0)</f>
        <v>0</v>
      </c>
      <c r="S522" s="12">
        <f>_xlfn.XLOOKUP(B522,[1]Sheet1!$B:$B,[1]Sheet1!$V:$V,0)</f>
        <v>150000</v>
      </c>
      <c r="T522" s="12">
        <f>_xlfn.XLOOKUP(B522,[1]Sheet1!$B:$B,[1]Sheet1!$W:$W,0)</f>
        <v>0</v>
      </c>
      <c r="U522" s="12">
        <f>_xlfn.XLOOKUP(B522,[1]Sheet1!$B:$B,[1]Sheet1!$X:$X,0)</f>
        <v>0</v>
      </c>
      <c r="V522" s="12">
        <f>_xlfn.XLOOKUP(B522,[1]Sheet1!$B:$B,[1]Sheet1!$Y:$Y,0)</f>
        <v>0</v>
      </c>
      <c r="W522" s="12">
        <f t="shared" si="19"/>
        <v>150000</v>
      </c>
      <c r="X522" s="6" t="s">
        <v>864</v>
      </c>
      <c r="Y522" s="6" t="s">
        <v>392</v>
      </c>
      <c r="Z522" s="6" t="s">
        <v>855</v>
      </c>
      <c r="AA522" s="6" t="s">
        <v>639</v>
      </c>
      <c r="AB522" s="6" t="s">
        <v>93</v>
      </c>
      <c r="AC522" s="6" t="s">
        <v>94</v>
      </c>
      <c r="AD522" s="6" t="s">
        <v>859</v>
      </c>
      <c r="AE522" s="6" t="s">
        <v>39</v>
      </c>
      <c r="AF522" s="6" t="s">
        <v>40</v>
      </c>
      <c r="AG522" s="7">
        <v>150000</v>
      </c>
      <c r="AH522" s="11">
        <f>_xlfn.XLOOKUP(B522,[1]Sheet1!$B:$B,[1]Sheet1!$AB:$AB,0)</f>
        <v>150000</v>
      </c>
    </row>
    <row r="523" spans="2:34" ht="16.8" thickTop="1" thickBot="1" x14ac:dyDescent="0.35">
      <c r="B523" s="3" t="str">
        <f t="shared" si="18"/>
        <v>45192024511000675Licenses Fees-N2424131200104</v>
      </c>
      <c r="C523" s="8" t="s">
        <v>856</v>
      </c>
      <c r="D523" s="8" t="s">
        <v>851</v>
      </c>
      <c r="E523" s="8" t="s">
        <v>852</v>
      </c>
      <c r="F523" s="8" t="s">
        <v>865</v>
      </c>
      <c r="G523" s="4" t="s">
        <v>2835</v>
      </c>
      <c r="H523" s="4" t="s">
        <v>2922</v>
      </c>
      <c r="I523" s="8" t="s">
        <v>366</v>
      </c>
      <c r="J523" s="8" t="s">
        <v>31</v>
      </c>
      <c r="K523" s="12">
        <f>_xlfn.XLOOKUP(B523,[1]Sheet1!$B:$B,[1]Sheet1!$N:$N,0)</f>
        <v>0</v>
      </c>
      <c r="L523" s="12">
        <f>_xlfn.XLOOKUP(B523,[1]Sheet1!$B:$B,[1]Sheet1!$O:$O,0)</f>
        <v>0</v>
      </c>
      <c r="M523" s="12">
        <f>_xlfn.XLOOKUP(B523,[1]Sheet1!$B:$B,[1]Sheet1!$P:$P,0)</f>
        <v>0</v>
      </c>
      <c r="N523" s="12">
        <f>_xlfn.XLOOKUP(B523,[1]Sheet1!$B:$B,[1]Sheet1!$Q:$Q,0)</f>
        <v>0</v>
      </c>
      <c r="O523" s="12">
        <f>_xlfn.XLOOKUP(B523,[1]Sheet1!$B:$B,[1]Sheet1!$R:$R,0)</f>
        <v>60000</v>
      </c>
      <c r="P523" s="12">
        <f>_xlfn.XLOOKUP(B523,[1]Sheet1!$B:$B,[1]Sheet1!$S:$S,0)</f>
        <v>86467</v>
      </c>
      <c r="Q523" s="12">
        <f>_xlfn.XLOOKUP(B523,[1]Sheet1!$B:$B,[1]Sheet1!$T:$T,0)</f>
        <v>0</v>
      </c>
      <c r="R523" s="12">
        <f>_xlfn.XLOOKUP(B523,[1]Sheet1!$B:$B,[1]Sheet1!$U:$U,0)</f>
        <v>0</v>
      </c>
      <c r="S523" s="12">
        <f>_xlfn.XLOOKUP(B523,[1]Sheet1!$B:$B,[1]Sheet1!$V:$V,0)</f>
        <v>67333</v>
      </c>
      <c r="T523" s="12">
        <f>_xlfn.XLOOKUP(B523,[1]Sheet1!$B:$B,[1]Sheet1!$W:$W,0)</f>
        <v>151200</v>
      </c>
      <c r="U523" s="12">
        <f>_xlfn.XLOOKUP(B523,[1]Sheet1!$B:$B,[1]Sheet1!$X:$X,0)</f>
        <v>0</v>
      </c>
      <c r="V523" s="12">
        <f>_xlfn.XLOOKUP(B523,[1]Sheet1!$B:$B,[1]Sheet1!$Y:$Y,0)</f>
        <v>0</v>
      </c>
      <c r="W523" s="12">
        <f t="shared" si="19"/>
        <v>365000</v>
      </c>
      <c r="X523" s="8" t="s">
        <v>866</v>
      </c>
      <c r="Y523" s="8" t="s">
        <v>392</v>
      </c>
      <c r="Z523" s="8" t="s">
        <v>855</v>
      </c>
      <c r="AA523" s="8" t="s">
        <v>366</v>
      </c>
      <c r="AB523" s="8" t="s">
        <v>36</v>
      </c>
      <c r="AC523" s="8" t="s">
        <v>37</v>
      </c>
      <c r="AD523" s="8" t="s">
        <v>863</v>
      </c>
      <c r="AE523" s="8" t="s">
        <v>39</v>
      </c>
      <c r="AF523" s="8" t="s">
        <v>40</v>
      </c>
      <c r="AG523" s="9">
        <v>365000</v>
      </c>
      <c r="AH523" s="11">
        <f>_xlfn.XLOOKUP(B523,[1]Sheet1!$B:$B,[1]Sheet1!$AB:$AB,0)</f>
        <v>365000</v>
      </c>
    </row>
    <row r="524" spans="2:34" ht="16.8" thickTop="1" thickBot="1" x14ac:dyDescent="0.35">
      <c r="B524" s="3" t="str">
        <f t="shared" si="18"/>
        <v>45192024511000675Mission &amp; Travel-N2423821200104</v>
      </c>
      <c r="C524" s="6" t="s">
        <v>856</v>
      </c>
      <c r="D524" s="6" t="s">
        <v>851</v>
      </c>
      <c r="E524" s="6" t="s">
        <v>852</v>
      </c>
      <c r="F524" s="6" t="s">
        <v>867</v>
      </c>
      <c r="G524" s="4" t="s">
        <v>2805</v>
      </c>
      <c r="H524" s="4" t="s">
        <v>2922</v>
      </c>
      <c r="I524" s="6" t="s">
        <v>55</v>
      </c>
      <c r="J524" s="6" t="s">
        <v>31</v>
      </c>
      <c r="K524" s="12">
        <f>_xlfn.XLOOKUP(B524,[1]Sheet1!$B:$B,[1]Sheet1!$N:$N,0)</f>
        <v>0</v>
      </c>
      <c r="L524" s="12">
        <f>_xlfn.XLOOKUP(B524,[1]Sheet1!$B:$B,[1]Sheet1!$O:$O,0)</f>
        <v>0</v>
      </c>
      <c r="M524" s="12">
        <f>_xlfn.XLOOKUP(B524,[1]Sheet1!$B:$B,[1]Sheet1!$P:$P,0)</f>
        <v>130700</v>
      </c>
      <c r="N524" s="12">
        <f>_xlfn.XLOOKUP(B524,[1]Sheet1!$B:$B,[1]Sheet1!$Q:$Q,0)</f>
        <v>0</v>
      </c>
      <c r="O524" s="12">
        <f>_xlfn.XLOOKUP(B524,[1]Sheet1!$B:$B,[1]Sheet1!$R:$R,0)</f>
        <v>0</v>
      </c>
      <c r="P524" s="12">
        <f>_xlfn.XLOOKUP(B524,[1]Sheet1!$B:$B,[1]Sheet1!$S:$S,0)</f>
        <v>67200</v>
      </c>
      <c r="Q524" s="12">
        <f>_xlfn.XLOOKUP(B524,[1]Sheet1!$B:$B,[1]Sheet1!$T:$T,0)</f>
        <v>0</v>
      </c>
      <c r="R524" s="12">
        <f>_xlfn.XLOOKUP(B524,[1]Sheet1!$B:$B,[1]Sheet1!$U:$U,0)</f>
        <v>40000</v>
      </c>
      <c r="S524" s="12">
        <f>_xlfn.XLOOKUP(B524,[1]Sheet1!$B:$B,[1]Sheet1!$V:$V,0)</f>
        <v>0</v>
      </c>
      <c r="T524" s="12">
        <f>_xlfn.XLOOKUP(B524,[1]Sheet1!$B:$B,[1]Sheet1!$W:$W,0)</f>
        <v>0</v>
      </c>
      <c r="U524" s="12">
        <f>_xlfn.XLOOKUP(B524,[1]Sheet1!$B:$B,[1]Sheet1!$X:$X,0)</f>
        <v>122100</v>
      </c>
      <c r="V524" s="12">
        <f>_xlfn.XLOOKUP(B524,[1]Sheet1!$B:$B,[1]Sheet1!$Y:$Y,0)</f>
        <v>0</v>
      </c>
      <c r="W524" s="12">
        <f t="shared" si="19"/>
        <v>360000</v>
      </c>
      <c r="X524" s="6" t="s">
        <v>868</v>
      </c>
      <c r="Y524" s="6" t="s">
        <v>392</v>
      </c>
      <c r="Z524" s="6" t="s">
        <v>855</v>
      </c>
      <c r="AA524" s="6" t="s">
        <v>55</v>
      </c>
      <c r="AB524" s="6" t="s">
        <v>36</v>
      </c>
      <c r="AC524" s="6" t="s">
        <v>37</v>
      </c>
      <c r="AD524" s="6" t="s">
        <v>863</v>
      </c>
      <c r="AE524" s="6" t="s">
        <v>39</v>
      </c>
      <c r="AF524" s="6" t="s">
        <v>40</v>
      </c>
      <c r="AG524" s="7">
        <v>308000</v>
      </c>
      <c r="AH524" s="11">
        <f>_xlfn.XLOOKUP(B524,[1]Sheet1!$B:$B,[1]Sheet1!$AB:$AB,0)</f>
        <v>308000</v>
      </c>
    </row>
    <row r="525" spans="2:34" ht="16.8" thickTop="1" thickBot="1" x14ac:dyDescent="0.35">
      <c r="B525" s="3" t="str">
        <f t="shared" si="18"/>
        <v>45192024511000675Photo &amp; Video-N2424221200104</v>
      </c>
      <c r="C525" s="8" t="s">
        <v>856</v>
      </c>
      <c r="D525" s="8" t="s">
        <v>851</v>
      </c>
      <c r="E525" s="8" t="s">
        <v>852</v>
      </c>
      <c r="F525" s="8" t="s">
        <v>869</v>
      </c>
      <c r="G525" s="4" t="s">
        <v>2824</v>
      </c>
      <c r="H525" s="4" t="s">
        <v>2922</v>
      </c>
      <c r="I525" s="8" t="s">
        <v>209</v>
      </c>
      <c r="J525" s="8" t="s">
        <v>31</v>
      </c>
      <c r="K525" s="12">
        <f>_xlfn.XLOOKUP(B525,[1]Sheet1!$B:$B,[1]Sheet1!$N:$N,0)</f>
        <v>0</v>
      </c>
      <c r="L525" s="12">
        <f>_xlfn.XLOOKUP(B525,[1]Sheet1!$B:$B,[1]Sheet1!$O:$O,0)</f>
        <v>0</v>
      </c>
      <c r="M525" s="12">
        <f>_xlfn.XLOOKUP(B525,[1]Sheet1!$B:$B,[1]Sheet1!$P:$P,0)</f>
        <v>0</v>
      </c>
      <c r="N525" s="12">
        <f>_xlfn.XLOOKUP(B525,[1]Sheet1!$B:$B,[1]Sheet1!$Q:$Q,0)</f>
        <v>0</v>
      </c>
      <c r="O525" s="12">
        <f>_xlfn.XLOOKUP(B525,[1]Sheet1!$B:$B,[1]Sheet1!$R:$R,0)</f>
        <v>0</v>
      </c>
      <c r="P525" s="12">
        <f>_xlfn.XLOOKUP(B525,[1]Sheet1!$B:$B,[1]Sheet1!$S:$S,0)</f>
        <v>0</v>
      </c>
      <c r="Q525" s="12">
        <f>_xlfn.XLOOKUP(B525,[1]Sheet1!$B:$B,[1]Sheet1!$T:$T,0)</f>
        <v>0</v>
      </c>
      <c r="R525" s="12">
        <f>_xlfn.XLOOKUP(B525,[1]Sheet1!$B:$B,[1]Sheet1!$U:$U,0)</f>
        <v>50000</v>
      </c>
      <c r="S525" s="12">
        <f>_xlfn.XLOOKUP(B525,[1]Sheet1!$B:$B,[1]Sheet1!$V:$V,0)</f>
        <v>0</v>
      </c>
      <c r="T525" s="12">
        <f>_xlfn.XLOOKUP(B525,[1]Sheet1!$B:$B,[1]Sheet1!$W:$W,0)</f>
        <v>0</v>
      </c>
      <c r="U525" s="12">
        <f>_xlfn.XLOOKUP(B525,[1]Sheet1!$B:$B,[1]Sheet1!$X:$X,0)</f>
        <v>0</v>
      </c>
      <c r="V525" s="12">
        <f>_xlfn.XLOOKUP(B525,[1]Sheet1!$B:$B,[1]Sheet1!$Y:$Y,0)</f>
        <v>0</v>
      </c>
      <c r="W525" s="12">
        <f t="shared" si="19"/>
        <v>50000</v>
      </c>
      <c r="X525" s="8" t="s">
        <v>870</v>
      </c>
      <c r="Y525" s="8" t="s">
        <v>392</v>
      </c>
      <c r="Z525" s="8" t="s">
        <v>855</v>
      </c>
      <c r="AA525" s="8" t="s">
        <v>209</v>
      </c>
      <c r="AB525" s="8" t="s">
        <v>36</v>
      </c>
      <c r="AC525" s="8" t="s">
        <v>37</v>
      </c>
      <c r="AD525" s="8" t="s">
        <v>859</v>
      </c>
      <c r="AE525" s="8" t="s">
        <v>39</v>
      </c>
      <c r="AF525" s="8" t="s">
        <v>40</v>
      </c>
      <c r="AG525" s="9">
        <v>50000</v>
      </c>
      <c r="AH525" s="11">
        <f>_xlfn.XLOOKUP(B525,[1]Sheet1!$B:$B,[1]Sheet1!$AB:$AB,0)</f>
        <v>50000</v>
      </c>
    </row>
    <row r="526" spans="2:34" ht="16.8" thickTop="1" thickBot="1" x14ac:dyDescent="0.35">
      <c r="B526" s="3" t="str">
        <f t="shared" si="18"/>
        <v>45192014511000676Awards &amp; Prizes-N2424231200104</v>
      </c>
      <c r="C526" s="6" t="s">
        <v>876</v>
      </c>
      <c r="D526" s="6" t="s">
        <v>871</v>
      </c>
      <c r="E526" s="6" t="s">
        <v>872</v>
      </c>
      <c r="F526" s="6" t="s">
        <v>873</v>
      </c>
      <c r="G526" s="4" t="s">
        <v>2832</v>
      </c>
      <c r="H526" s="4" t="s">
        <v>2922</v>
      </c>
      <c r="I526" s="6" t="s">
        <v>324</v>
      </c>
      <c r="J526" s="6" t="s">
        <v>31</v>
      </c>
      <c r="K526" s="12">
        <f>_xlfn.XLOOKUP(B526,[1]Sheet1!$B:$B,[1]Sheet1!$N:$N,0)</f>
        <v>0</v>
      </c>
      <c r="L526" s="12">
        <f>_xlfn.XLOOKUP(B526,[1]Sheet1!$B:$B,[1]Sheet1!$O:$O,0)</f>
        <v>0</v>
      </c>
      <c r="M526" s="12">
        <f>_xlfn.XLOOKUP(B526,[1]Sheet1!$B:$B,[1]Sheet1!$P:$P,0)</f>
        <v>0</v>
      </c>
      <c r="N526" s="12">
        <f>_xlfn.XLOOKUP(B526,[1]Sheet1!$B:$B,[1]Sheet1!$Q:$Q,0)</f>
        <v>0</v>
      </c>
      <c r="O526" s="12">
        <f>_xlfn.XLOOKUP(B526,[1]Sheet1!$B:$B,[1]Sheet1!$R:$R,0)</f>
        <v>0</v>
      </c>
      <c r="P526" s="12">
        <f>_xlfn.XLOOKUP(B526,[1]Sheet1!$B:$B,[1]Sheet1!$S:$S,0)</f>
        <v>0</v>
      </c>
      <c r="Q526" s="12">
        <f>_xlfn.XLOOKUP(B526,[1]Sheet1!$B:$B,[1]Sheet1!$T:$T,0)</f>
        <v>500000</v>
      </c>
      <c r="R526" s="12">
        <f>_xlfn.XLOOKUP(B526,[1]Sheet1!$B:$B,[1]Sheet1!$U:$U,0)</f>
        <v>5250000</v>
      </c>
      <c r="S526" s="12">
        <f>_xlfn.XLOOKUP(B526,[1]Sheet1!$B:$B,[1]Sheet1!$V:$V,0)</f>
        <v>1000000</v>
      </c>
      <c r="T526" s="12">
        <f>_xlfn.XLOOKUP(B526,[1]Sheet1!$B:$B,[1]Sheet1!$W:$W,0)</f>
        <v>0</v>
      </c>
      <c r="U526" s="12">
        <f>_xlfn.XLOOKUP(B526,[1]Sheet1!$B:$B,[1]Sheet1!$X:$X,0)</f>
        <v>750000</v>
      </c>
      <c r="V526" s="12">
        <f>_xlfn.XLOOKUP(B526,[1]Sheet1!$B:$B,[1]Sheet1!$Y:$Y,0)</f>
        <v>0</v>
      </c>
      <c r="W526" s="12">
        <f t="shared" si="19"/>
        <v>7500000</v>
      </c>
      <c r="X526" s="6" t="s">
        <v>874</v>
      </c>
      <c r="Y526" s="6" t="s">
        <v>392</v>
      </c>
      <c r="Z526" s="6" t="s">
        <v>875</v>
      </c>
      <c r="AA526" s="6" t="s">
        <v>326</v>
      </c>
      <c r="AB526" s="6" t="s">
        <v>36</v>
      </c>
      <c r="AC526" s="6" t="s">
        <v>37</v>
      </c>
      <c r="AD526" s="6" t="s">
        <v>859</v>
      </c>
      <c r="AE526" s="6" t="s">
        <v>39</v>
      </c>
      <c r="AF526" s="6" t="s">
        <v>40</v>
      </c>
      <c r="AG526" s="7">
        <v>7500000</v>
      </c>
      <c r="AH526" s="11">
        <f>_xlfn.XLOOKUP(B526,[1]Sheet1!$B:$B,[1]Sheet1!$AB:$AB,0)</f>
        <v>7500000</v>
      </c>
    </row>
    <row r="527" spans="2:34" ht="16.8" thickTop="1" thickBot="1" x14ac:dyDescent="0.35">
      <c r="B527" s="3" t="str">
        <f t="shared" si="18"/>
        <v>45192014511000676Committee Member-N2421115200104</v>
      </c>
      <c r="C527" s="8" t="s">
        <v>876</v>
      </c>
      <c r="D527" s="8" t="s">
        <v>871</v>
      </c>
      <c r="E527" s="8" t="s">
        <v>872</v>
      </c>
      <c r="F527" s="8" t="s">
        <v>877</v>
      </c>
      <c r="G527" s="4" t="s">
        <v>2859</v>
      </c>
      <c r="H527" s="4" t="s">
        <v>2922</v>
      </c>
      <c r="I527" s="8" t="s">
        <v>878</v>
      </c>
      <c r="J527" s="8" t="s">
        <v>31</v>
      </c>
      <c r="K527" s="12">
        <f>_xlfn.XLOOKUP(B527,[1]Sheet1!$B:$B,[1]Sheet1!$N:$N,0)</f>
        <v>0</v>
      </c>
      <c r="L527" s="12">
        <f>_xlfn.XLOOKUP(B527,[1]Sheet1!$B:$B,[1]Sheet1!$O:$O,0)</f>
        <v>0</v>
      </c>
      <c r="M527" s="12">
        <f>_xlfn.XLOOKUP(B527,[1]Sheet1!$B:$B,[1]Sheet1!$P:$P,0)</f>
        <v>550000</v>
      </c>
      <c r="N527" s="12">
        <f>_xlfn.XLOOKUP(B527,[1]Sheet1!$B:$B,[1]Sheet1!$Q:$Q,0)</f>
        <v>0</v>
      </c>
      <c r="O527" s="12">
        <f>_xlfn.XLOOKUP(B527,[1]Sheet1!$B:$B,[1]Sheet1!$R:$R,0)</f>
        <v>0</v>
      </c>
      <c r="P527" s="12">
        <f>_xlfn.XLOOKUP(B527,[1]Sheet1!$B:$B,[1]Sheet1!$S:$S,0)</f>
        <v>0</v>
      </c>
      <c r="Q527" s="12">
        <f>_xlfn.XLOOKUP(B527,[1]Sheet1!$B:$B,[1]Sheet1!$T:$T,0)</f>
        <v>0</v>
      </c>
      <c r="R527" s="12">
        <f>_xlfn.XLOOKUP(B527,[1]Sheet1!$B:$B,[1]Sheet1!$U:$U,0)</f>
        <v>275000</v>
      </c>
      <c r="S527" s="12">
        <f>_xlfn.XLOOKUP(B527,[1]Sheet1!$B:$B,[1]Sheet1!$V:$V,0)</f>
        <v>635000</v>
      </c>
      <c r="T527" s="12">
        <f>_xlfn.XLOOKUP(B527,[1]Sheet1!$B:$B,[1]Sheet1!$W:$W,0)</f>
        <v>460000</v>
      </c>
      <c r="U527" s="12">
        <f>_xlfn.XLOOKUP(B527,[1]Sheet1!$B:$B,[1]Sheet1!$X:$X,0)</f>
        <v>0</v>
      </c>
      <c r="V527" s="12">
        <f>_xlfn.XLOOKUP(B527,[1]Sheet1!$B:$B,[1]Sheet1!$Y:$Y,0)</f>
        <v>0</v>
      </c>
      <c r="W527" s="12">
        <f t="shared" si="19"/>
        <v>1920000</v>
      </c>
      <c r="X527" s="8" t="s">
        <v>879</v>
      </c>
      <c r="Y527" s="8" t="s">
        <v>392</v>
      </c>
      <c r="Z527" s="8" t="s">
        <v>875</v>
      </c>
      <c r="AA527" s="8" t="s">
        <v>878</v>
      </c>
      <c r="AB527" s="8" t="s">
        <v>36</v>
      </c>
      <c r="AC527" s="8" t="s">
        <v>37</v>
      </c>
      <c r="AD527" s="8" t="s">
        <v>863</v>
      </c>
      <c r="AE527" s="8" t="s">
        <v>39</v>
      </c>
      <c r="AF527" s="8" t="s">
        <v>40</v>
      </c>
      <c r="AG527" s="9">
        <v>1920000</v>
      </c>
      <c r="AH527" s="11">
        <f>_xlfn.XLOOKUP(B527,[1]Sheet1!$B:$B,[1]Sheet1!$AB:$AB,0)</f>
        <v>1920000</v>
      </c>
    </row>
    <row r="528" spans="2:34" ht="16.8" thickTop="1" thickBot="1" x14ac:dyDescent="0.35">
      <c r="B528" s="3" t="str">
        <f t="shared" si="18"/>
        <v>45192014511000676Event Management-N2422401200104</v>
      </c>
      <c r="C528" s="6" t="s">
        <v>876</v>
      </c>
      <c r="D528" s="6" t="s">
        <v>871</v>
      </c>
      <c r="E528" s="6" t="s">
        <v>872</v>
      </c>
      <c r="F528" s="6" t="s">
        <v>387</v>
      </c>
      <c r="G528" s="4" t="s">
        <v>2807</v>
      </c>
      <c r="H528" s="4" t="s">
        <v>2922</v>
      </c>
      <c r="I528" s="6" t="s">
        <v>63</v>
      </c>
      <c r="J528" s="6" t="s">
        <v>31</v>
      </c>
      <c r="K528" s="12">
        <f>_xlfn.XLOOKUP(B528,[1]Sheet1!$B:$B,[1]Sheet1!$N:$N,0)</f>
        <v>0</v>
      </c>
      <c r="L528" s="12">
        <f>_xlfn.XLOOKUP(B528,[1]Sheet1!$B:$B,[1]Sheet1!$O:$O,0)</f>
        <v>0</v>
      </c>
      <c r="M528" s="12">
        <f>_xlfn.XLOOKUP(B528,[1]Sheet1!$B:$B,[1]Sheet1!$P:$P,0)</f>
        <v>0</v>
      </c>
      <c r="N528" s="12">
        <f>_xlfn.XLOOKUP(B528,[1]Sheet1!$B:$B,[1]Sheet1!$Q:$Q,0)</f>
        <v>0</v>
      </c>
      <c r="O528" s="12">
        <f>_xlfn.XLOOKUP(B528,[1]Sheet1!$B:$B,[1]Sheet1!$R:$R,0)</f>
        <v>0</v>
      </c>
      <c r="P528" s="12">
        <f>_xlfn.XLOOKUP(B528,[1]Sheet1!$B:$B,[1]Sheet1!$S:$S,0)</f>
        <v>0</v>
      </c>
      <c r="Q528" s="12">
        <f>_xlfn.XLOOKUP(B528,[1]Sheet1!$B:$B,[1]Sheet1!$T:$T,0)</f>
        <v>0</v>
      </c>
      <c r="R528" s="12">
        <f>_xlfn.XLOOKUP(B528,[1]Sheet1!$B:$B,[1]Sheet1!$U:$U,0)</f>
        <v>0</v>
      </c>
      <c r="S528" s="12">
        <f>_xlfn.XLOOKUP(B528,[1]Sheet1!$B:$B,[1]Sheet1!$V:$V,0)</f>
        <v>4400000</v>
      </c>
      <c r="T528" s="12">
        <f>_xlfn.XLOOKUP(B528,[1]Sheet1!$B:$B,[1]Sheet1!$W:$W,0)</f>
        <v>0</v>
      </c>
      <c r="U528" s="12">
        <f>_xlfn.XLOOKUP(B528,[1]Sheet1!$B:$B,[1]Sheet1!$X:$X,0)</f>
        <v>0</v>
      </c>
      <c r="V528" s="12">
        <f>_xlfn.XLOOKUP(B528,[1]Sheet1!$B:$B,[1]Sheet1!$Y:$Y,0)</f>
        <v>0</v>
      </c>
      <c r="W528" s="12">
        <f t="shared" si="19"/>
        <v>4400000</v>
      </c>
      <c r="X528" s="6" t="s">
        <v>880</v>
      </c>
      <c r="Y528" s="6" t="s">
        <v>392</v>
      </c>
      <c r="Z528" s="6" t="s">
        <v>875</v>
      </c>
      <c r="AA528" s="6" t="s">
        <v>68</v>
      </c>
      <c r="AB528" s="6" t="s">
        <v>36</v>
      </c>
      <c r="AC528" s="6" t="s">
        <v>37</v>
      </c>
      <c r="AD528" s="6" t="s">
        <v>859</v>
      </c>
      <c r="AE528" s="6" t="s">
        <v>39</v>
      </c>
      <c r="AF528" s="6" t="s">
        <v>40</v>
      </c>
      <c r="AG528" s="7">
        <v>4400000</v>
      </c>
      <c r="AH528" s="11">
        <f>_xlfn.XLOOKUP(B528,[1]Sheet1!$B:$B,[1]Sheet1!$AB:$AB,0)</f>
        <v>4400000</v>
      </c>
    </row>
    <row r="529" spans="2:34" ht="16.8" thickTop="1" thickBot="1" x14ac:dyDescent="0.35">
      <c r="B529" s="3" t="str">
        <f t="shared" si="18"/>
        <v>45192014511000676Gen Logistics-N2424671200104</v>
      </c>
      <c r="C529" s="8" t="s">
        <v>876</v>
      </c>
      <c r="D529" s="8" t="s">
        <v>871</v>
      </c>
      <c r="E529" s="8" t="s">
        <v>872</v>
      </c>
      <c r="F529" s="8" t="s">
        <v>881</v>
      </c>
      <c r="G529" s="4" t="s">
        <v>2831</v>
      </c>
      <c r="H529" s="4" t="s">
        <v>2922</v>
      </c>
      <c r="I529" s="8" t="s">
        <v>312</v>
      </c>
      <c r="J529" s="8" t="s">
        <v>31</v>
      </c>
      <c r="K529" s="12">
        <f>_xlfn.XLOOKUP(B529,[1]Sheet1!$B:$B,[1]Sheet1!$N:$N,0)</f>
        <v>0</v>
      </c>
      <c r="L529" s="12">
        <f>_xlfn.XLOOKUP(B529,[1]Sheet1!$B:$B,[1]Sheet1!$O:$O,0)</f>
        <v>0</v>
      </c>
      <c r="M529" s="12">
        <f>_xlfn.XLOOKUP(B529,[1]Sheet1!$B:$B,[1]Sheet1!$P:$P,0)</f>
        <v>0</v>
      </c>
      <c r="N529" s="12">
        <f>_xlfn.XLOOKUP(B529,[1]Sheet1!$B:$B,[1]Sheet1!$Q:$Q,0)</f>
        <v>0</v>
      </c>
      <c r="O529" s="12">
        <f>_xlfn.XLOOKUP(B529,[1]Sheet1!$B:$B,[1]Sheet1!$R:$R,0)</f>
        <v>0</v>
      </c>
      <c r="P529" s="12">
        <f>_xlfn.XLOOKUP(B529,[1]Sheet1!$B:$B,[1]Sheet1!$S:$S,0)</f>
        <v>0</v>
      </c>
      <c r="Q529" s="12">
        <f>_xlfn.XLOOKUP(B529,[1]Sheet1!$B:$B,[1]Sheet1!$T:$T,0)</f>
        <v>0</v>
      </c>
      <c r="R529" s="12">
        <f>_xlfn.XLOOKUP(B529,[1]Sheet1!$B:$B,[1]Sheet1!$U:$U,0)</f>
        <v>0</v>
      </c>
      <c r="S529" s="12">
        <f>_xlfn.XLOOKUP(B529,[1]Sheet1!$B:$B,[1]Sheet1!$V:$V,0)</f>
        <v>10000</v>
      </c>
      <c r="T529" s="12">
        <f>_xlfn.XLOOKUP(B529,[1]Sheet1!$B:$B,[1]Sheet1!$W:$W,0)</f>
        <v>0</v>
      </c>
      <c r="U529" s="12">
        <f>_xlfn.XLOOKUP(B529,[1]Sheet1!$B:$B,[1]Sheet1!$X:$X,0)</f>
        <v>10000</v>
      </c>
      <c r="V529" s="12">
        <f>_xlfn.XLOOKUP(B529,[1]Sheet1!$B:$B,[1]Sheet1!$Y:$Y,0)</f>
        <v>5000</v>
      </c>
      <c r="W529" s="12">
        <f t="shared" si="19"/>
        <v>25000</v>
      </c>
      <c r="X529" s="8" t="s">
        <v>882</v>
      </c>
      <c r="Y529" s="8" t="s">
        <v>392</v>
      </c>
      <c r="Z529" s="8" t="s">
        <v>875</v>
      </c>
      <c r="AA529" s="8" t="s">
        <v>314</v>
      </c>
      <c r="AB529" s="8" t="s">
        <v>36</v>
      </c>
      <c r="AC529" s="8" t="s">
        <v>37</v>
      </c>
      <c r="AD529" s="8" t="s">
        <v>859</v>
      </c>
      <c r="AE529" s="8" t="s">
        <v>39</v>
      </c>
      <c r="AF529" s="8" t="s">
        <v>40</v>
      </c>
      <c r="AG529" s="9">
        <v>25000</v>
      </c>
      <c r="AH529" s="11">
        <f>_xlfn.XLOOKUP(B529,[1]Sheet1!$B:$B,[1]Sheet1!$AB:$AB,0)</f>
        <v>25000</v>
      </c>
    </row>
    <row r="530" spans="2:34" ht="16.8" thickTop="1" thickBot="1" x14ac:dyDescent="0.35">
      <c r="B530" s="3" t="str">
        <f t="shared" si="18"/>
        <v>45192014511000676Hospitality-N2424761200104</v>
      </c>
      <c r="C530" s="6" t="s">
        <v>876</v>
      </c>
      <c r="D530" s="6" t="s">
        <v>871</v>
      </c>
      <c r="E530" s="6" t="s">
        <v>872</v>
      </c>
      <c r="F530" s="6" t="s">
        <v>637</v>
      </c>
      <c r="G530" s="4" t="s">
        <v>2811</v>
      </c>
      <c r="H530" s="4" t="s">
        <v>2922</v>
      </c>
      <c r="I530" s="6" t="s">
        <v>84</v>
      </c>
      <c r="J530" s="6" t="s">
        <v>31</v>
      </c>
      <c r="K530" s="12">
        <f>_xlfn.XLOOKUP(B530,[1]Sheet1!$B:$B,[1]Sheet1!$N:$N,0)</f>
        <v>0</v>
      </c>
      <c r="L530" s="12">
        <f>_xlfn.XLOOKUP(B530,[1]Sheet1!$B:$B,[1]Sheet1!$O:$O,0)</f>
        <v>0</v>
      </c>
      <c r="M530" s="12">
        <f>_xlfn.XLOOKUP(B530,[1]Sheet1!$B:$B,[1]Sheet1!$P:$P,0)</f>
        <v>0</v>
      </c>
      <c r="N530" s="12">
        <f>_xlfn.XLOOKUP(B530,[1]Sheet1!$B:$B,[1]Sheet1!$Q:$Q,0)</f>
        <v>200000</v>
      </c>
      <c r="O530" s="12">
        <f>_xlfn.XLOOKUP(B530,[1]Sheet1!$B:$B,[1]Sheet1!$R:$R,0)</f>
        <v>0</v>
      </c>
      <c r="P530" s="12">
        <f>_xlfn.XLOOKUP(B530,[1]Sheet1!$B:$B,[1]Sheet1!$S:$S,0)</f>
        <v>0</v>
      </c>
      <c r="Q530" s="12">
        <f>_xlfn.XLOOKUP(B530,[1]Sheet1!$B:$B,[1]Sheet1!$T:$T,0)</f>
        <v>0</v>
      </c>
      <c r="R530" s="12">
        <f>_xlfn.XLOOKUP(B530,[1]Sheet1!$B:$B,[1]Sheet1!$U:$U,0)</f>
        <v>0</v>
      </c>
      <c r="S530" s="12">
        <f>_xlfn.XLOOKUP(B530,[1]Sheet1!$B:$B,[1]Sheet1!$V:$V,0)</f>
        <v>0</v>
      </c>
      <c r="T530" s="12">
        <f>_xlfn.XLOOKUP(B530,[1]Sheet1!$B:$B,[1]Sheet1!$W:$W,0)</f>
        <v>433000</v>
      </c>
      <c r="U530" s="12">
        <f>_xlfn.XLOOKUP(B530,[1]Sheet1!$B:$B,[1]Sheet1!$X:$X,0)</f>
        <v>0</v>
      </c>
      <c r="V530" s="12">
        <f>_xlfn.XLOOKUP(B530,[1]Sheet1!$B:$B,[1]Sheet1!$Y:$Y,0)</f>
        <v>0</v>
      </c>
      <c r="W530" s="12">
        <f t="shared" si="19"/>
        <v>633000</v>
      </c>
      <c r="X530" s="6" t="s">
        <v>883</v>
      </c>
      <c r="Y530" s="6" t="s">
        <v>392</v>
      </c>
      <c r="Z530" s="6" t="s">
        <v>875</v>
      </c>
      <c r="AA530" s="6" t="s">
        <v>84</v>
      </c>
      <c r="AB530" s="6" t="s">
        <v>36</v>
      </c>
      <c r="AC530" s="6" t="s">
        <v>37</v>
      </c>
      <c r="AD530" s="6" t="s">
        <v>859</v>
      </c>
      <c r="AE530" s="6" t="s">
        <v>39</v>
      </c>
      <c r="AF530" s="6" t="s">
        <v>40</v>
      </c>
      <c r="AG530" s="7">
        <v>633000</v>
      </c>
      <c r="AH530" s="11">
        <f>_xlfn.XLOOKUP(B530,[1]Sheet1!$B:$B,[1]Sheet1!$AB:$AB,0)</f>
        <v>633000</v>
      </c>
    </row>
    <row r="531" spans="2:34" ht="16.8" thickTop="1" thickBot="1" x14ac:dyDescent="0.35">
      <c r="B531" s="3" t="str">
        <f t="shared" si="18"/>
        <v>45192014511000676PR&amp;MediaCoverage-N2424781200104</v>
      </c>
      <c r="C531" s="8" t="s">
        <v>876</v>
      </c>
      <c r="D531" s="8" t="s">
        <v>871</v>
      </c>
      <c r="E531" s="8" t="s">
        <v>872</v>
      </c>
      <c r="F531" s="8" t="s">
        <v>884</v>
      </c>
      <c r="G531" s="4" t="s">
        <v>2815</v>
      </c>
      <c r="H531" s="4" t="s">
        <v>2922</v>
      </c>
      <c r="I531" s="8" t="s">
        <v>100</v>
      </c>
      <c r="J531" s="8" t="s">
        <v>31</v>
      </c>
      <c r="K531" s="12">
        <f>_xlfn.XLOOKUP(B531,[1]Sheet1!$B:$B,[1]Sheet1!$N:$N,0)</f>
        <v>0</v>
      </c>
      <c r="L531" s="12">
        <f>_xlfn.XLOOKUP(B531,[1]Sheet1!$B:$B,[1]Sheet1!$O:$O,0)</f>
        <v>0</v>
      </c>
      <c r="M531" s="12">
        <f>_xlfn.XLOOKUP(B531,[1]Sheet1!$B:$B,[1]Sheet1!$P:$P,0)</f>
        <v>0</v>
      </c>
      <c r="N531" s="12">
        <f>_xlfn.XLOOKUP(B531,[1]Sheet1!$B:$B,[1]Sheet1!$Q:$Q,0)</f>
        <v>582000</v>
      </c>
      <c r="O531" s="12">
        <f>_xlfn.XLOOKUP(B531,[1]Sheet1!$B:$B,[1]Sheet1!$R:$R,0)</f>
        <v>0</v>
      </c>
      <c r="P531" s="12">
        <f>_xlfn.XLOOKUP(B531,[1]Sheet1!$B:$B,[1]Sheet1!$S:$S,0)</f>
        <v>0</v>
      </c>
      <c r="Q531" s="12">
        <f>_xlfn.XLOOKUP(B531,[1]Sheet1!$B:$B,[1]Sheet1!$T:$T,0)</f>
        <v>582000</v>
      </c>
      <c r="R531" s="12">
        <f>_xlfn.XLOOKUP(B531,[1]Sheet1!$B:$B,[1]Sheet1!$U:$U,0)</f>
        <v>117500</v>
      </c>
      <c r="S531" s="12">
        <f>_xlfn.XLOOKUP(B531,[1]Sheet1!$B:$B,[1]Sheet1!$V:$V,0)</f>
        <v>0</v>
      </c>
      <c r="T531" s="12">
        <f>_xlfn.XLOOKUP(B531,[1]Sheet1!$B:$B,[1]Sheet1!$W:$W,0)</f>
        <v>0</v>
      </c>
      <c r="U531" s="12">
        <f>_xlfn.XLOOKUP(B531,[1]Sheet1!$B:$B,[1]Sheet1!$X:$X,0)</f>
        <v>0</v>
      </c>
      <c r="V531" s="12">
        <f>_xlfn.XLOOKUP(B531,[1]Sheet1!$B:$B,[1]Sheet1!$Y:$Y,0)</f>
        <v>1000000</v>
      </c>
      <c r="W531" s="12">
        <f t="shared" si="19"/>
        <v>2281500</v>
      </c>
      <c r="X531" s="8" t="s">
        <v>885</v>
      </c>
      <c r="Y531" s="8" t="s">
        <v>392</v>
      </c>
      <c r="Z531" s="8" t="s">
        <v>875</v>
      </c>
      <c r="AA531" s="8" t="s">
        <v>100</v>
      </c>
      <c r="AB531" s="8" t="s">
        <v>36</v>
      </c>
      <c r="AC531" s="8" t="s">
        <v>37</v>
      </c>
      <c r="AD531" s="8" t="s">
        <v>859</v>
      </c>
      <c r="AE531" s="8" t="s">
        <v>39</v>
      </c>
      <c r="AF531" s="8" t="s">
        <v>40</v>
      </c>
      <c r="AG531" s="9">
        <v>2281500</v>
      </c>
      <c r="AH531" s="11">
        <f>_xlfn.XLOOKUP(B531,[1]Sheet1!$B:$B,[1]Sheet1!$AB:$AB,0)</f>
        <v>2281500</v>
      </c>
    </row>
    <row r="532" spans="2:34" ht="16.8" thickTop="1" thickBot="1" x14ac:dyDescent="0.35">
      <c r="B532" s="3" t="str">
        <f t="shared" si="18"/>
        <v>45192014511000676Prizes &amp; Comps-N2424231200104</v>
      </c>
      <c r="C532" s="6" t="s">
        <v>876</v>
      </c>
      <c r="D532" s="6" t="s">
        <v>871</v>
      </c>
      <c r="E532" s="6" t="s">
        <v>872</v>
      </c>
      <c r="F532" s="6" t="s">
        <v>886</v>
      </c>
      <c r="G532" s="4" t="s">
        <v>2832</v>
      </c>
      <c r="H532" s="4" t="s">
        <v>2922</v>
      </c>
      <c r="I532" s="6" t="s">
        <v>324</v>
      </c>
      <c r="J532" s="6" t="s">
        <v>31</v>
      </c>
      <c r="K532" s="12">
        <f>_xlfn.XLOOKUP(B532,[1]Sheet1!$B:$B,[1]Sheet1!$N:$N,0)</f>
        <v>0</v>
      </c>
      <c r="L532" s="12">
        <f>_xlfn.XLOOKUP(B532,[1]Sheet1!$B:$B,[1]Sheet1!$O:$O,0)</f>
        <v>0</v>
      </c>
      <c r="M532" s="12">
        <f>_xlfn.XLOOKUP(B532,[1]Sheet1!$B:$B,[1]Sheet1!$P:$P,0)</f>
        <v>0</v>
      </c>
      <c r="N532" s="12">
        <f>_xlfn.XLOOKUP(B532,[1]Sheet1!$B:$B,[1]Sheet1!$Q:$Q,0)</f>
        <v>20000</v>
      </c>
      <c r="O532" s="12">
        <f>_xlfn.XLOOKUP(B532,[1]Sheet1!$B:$B,[1]Sheet1!$R:$R,0)</f>
        <v>0</v>
      </c>
      <c r="P532" s="12">
        <f>_xlfn.XLOOKUP(B532,[1]Sheet1!$B:$B,[1]Sheet1!$S:$S,0)</f>
        <v>0</v>
      </c>
      <c r="Q532" s="12">
        <f>_xlfn.XLOOKUP(B532,[1]Sheet1!$B:$B,[1]Sheet1!$T:$T,0)</f>
        <v>130000</v>
      </c>
      <c r="R532" s="12">
        <f>_xlfn.XLOOKUP(B532,[1]Sheet1!$B:$B,[1]Sheet1!$U:$U,0)</f>
        <v>0</v>
      </c>
      <c r="S532" s="12">
        <f>_xlfn.XLOOKUP(B532,[1]Sheet1!$B:$B,[1]Sheet1!$V:$V,0)</f>
        <v>0</v>
      </c>
      <c r="T532" s="12">
        <f>_xlfn.XLOOKUP(B532,[1]Sheet1!$B:$B,[1]Sheet1!$W:$W,0)</f>
        <v>0</v>
      </c>
      <c r="U532" s="12">
        <f>_xlfn.XLOOKUP(B532,[1]Sheet1!$B:$B,[1]Sheet1!$X:$X,0)</f>
        <v>0</v>
      </c>
      <c r="V532" s="12">
        <f>_xlfn.XLOOKUP(B532,[1]Sheet1!$B:$B,[1]Sheet1!$Y:$Y,0)</f>
        <v>0</v>
      </c>
      <c r="W532" s="12">
        <f t="shared" si="19"/>
        <v>150000</v>
      </c>
      <c r="X532" s="6" t="s">
        <v>874</v>
      </c>
      <c r="Y532" s="6" t="s">
        <v>392</v>
      </c>
      <c r="Z532" s="6" t="s">
        <v>875</v>
      </c>
      <c r="AA532" s="6" t="s">
        <v>326</v>
      </c>
      <c r="AB532" s="6" t="s">
        <v>36</v>
      </c>
      <c r="AC532" s="6" t="s">
        <v>37</v>
      </c>
      <c r="AD532" s="6" t="s">
        <v>859</v>
      </c>
      <c r="AE532" s="6" t="s">
        <v>39</v>
      </c>
      <c r="AF532" s="6" t="s">
        <v>40</v>
      </c>
      <c r="AG532" s="7">
        <v>150000</v>
      </c>
      <c r="AH532" s="11">
        <f>_xlfn.XLOOKUP(B532,[1]Sheet1!$B:$B,[1]Sheet1!$AB:$AB,0)</f>
        <v>150000</v>
      </c>
    </row>
    <row r="533" spans="2:34" ht="16.8" thickTop="1" thickBot="1" x14ac:dyDescent="0.35">
      <c r="B533" s="3" t="str">
        <f t="shared" si="18"/>
        <v>45192014511000676TranslationGrant-N2424701200104</v>
      </c>
      <c r="C533" s="8" t="s">
        <v>876</v>
      </c>
      <c r="D533" s="8" t="s">
        <v>871</v>
      </c>
      <c r="E533" s="8" t="s">
        <v>872</v>
      </c>
      <c r="F533" s="8" t="s">
        <v>887</v>
      </c>
      <c r="G533" s="4" t="s">
        <v>2834</v>
      </c>
      <c r="H533" s="4" t="s">
        <v>2922</v>
      </c>
      <c r="I533" s="8" t="s">
        <v>356</v>
      </c>
      <c r="J533" s="8" t="s">
        <v>31</v>
      </c>
      <c r="K533" s="12">
        <f>_xlfn.XLOOKUP(B533,[1]Sheet1!$B:$B,[1]Sheet1!$N:$N,0)</f>
        <v>0</v>
      </c>
      <c r="L533" s="12">
        <f>_xlfn.XLOOKUP(B533,[1]Sheet1!$B:$B,[1]Sheet1!$O:$O,0)</f>
        <v>0</v>
      </c>
      <c r="M533" s="12">
        <f>_xlfn.XLOOKUP(B533,[1]Sheet1!$B:$B,[1]Sheet1!$P:$P,0)</f>
        <v>0</v>
      </c>
      <c r="N533" s="12">
        <f>_xlfn.XLOOKUP(B533,[1]Sheet1!$B:$B,[1]Sheet1!$Q:$Q,0)</f>
        <v>75000</v>
      </c>
      <c r="O533" s="12">
        <f>_xlfn.XLOOKUP(B533,[1]Sheet1!$B:$B,[1]Sheet1!$R:$R,0)</f>
        <v>50000</v>
      </c>
      <c r="P533" s="12">
        <f>_xlfn.XLOOKUP(B533,[1]Sheet1!$B:$B,[1]Sheet1!$S:$S,0)</f>
        <v>75000</v>
      </c>
      <c r="Q533" s="12">
        <f>_xlfn.XLOOKUP(B533,[1]Sheet1!$B:$B,[1]Sheet1!$T:$T,0)</f>
        <v>0</v>
      </c>
      <c r="R533" s="12">
        <f>_xlfn.XLOOKUP(B533,[1]Sheet1!$B:$B,[1]Sheet1!$U:$U,0)</f>
        <v>75000</v>
      </c>
      <c r="S533" s="12">
        <f>_xlfn.XLOOKUP(B533,[1]Sheet1!$B:$B,[1]Sheet1!$V:$V,0)</f>
        <v>75000</v>
      </c>
      <c r="T533" s="12">
        <f>_xlfn.XLOOKUP(B533,[1]Sheet1!$B:$B,[1]Sheet1!$W:$W,0)</f>
        <v>20000</v>
      </c>
      <c r="U533" s="12">
        <f>_xlfn.XLOOKUP(B533,[1]Sheet1!$B:$B,[1]Sheet1!$X:$X,0)</f>
        <v>0</v>
      </c>
      <c r="V533" s="12">
        <f>_xlfn.XLOOKUP(B533,[1]Sheet1!$B:$B,[1]Sheet1!$Y:$Y,0)</f>
        <v>0</v>
      </c>
      <c r="W533" s="12">
        <f t="shared" si="19"/>
        <v>370000</v>
      </c>
      <c r="X533" s="8" t="s">
        <v>888</v>
      </c>
      <c r="Y533" s="8" t="s">
        <v>392</v>
      </c>
      <c r="Z533" s="8" t="s">
        <v>875</v>
      </c>
      <c r="AA533" s="8" t="s">
        <v>356</v>
      </c>
      <c r="AB533" s="8" t="s">
        <v>36</v>
      </c>
      <c r="AC533" s="8" t="s">
        <v>37</v>
      </c>
      <c r="AD533" s="8" t="s">
        <v>863</v>
      </c>
      <c r="AE533" s="8" t="s">
        <v>39</v>
      </c>
      <c r="AF533" s="8" t="s">
        <v>40</v>
      </c>
      <c r="AG533" s="9">
        <v>370000</v>
      </c>
      <c r="AH533" s="11">
        <f>_xlfn.XLOOKUP(B533,[1]Sheet1!$B:$B,[1]Sheet1!$AB:$AB,0)</f>
        <v>370000</v>
      </c>
    </row>
    <row r="534" spans="2:34" ht="16.8" thickTop="1" thickBot="1" x14ac:dyDescent="0.35">
      <c r="B534" s="3" t="str">
        <f t="shared" si="18"/>
        <v>45191994511000677Activation&amp;Prog-N1422401200104</v>
      </c>
      <c r="C534" s="6" t="s">
        <v>394</v>
      </c>
      <c r="D534" s="6" t="s">
        <v>889</v>
      </c>
      <c r="E534" s="6" t="s">
        <v>890</v>
      </c>
      <c r="F534" s="6" t="s">
        <v>371</v>
      </c>
      <c r="G534" s="4" t="s">
        <v>2807</v>
      </c>
      <c r="H534" s="4" t="s">
        <v>2922</v>
      </c>
      <c r="I534" s="6" t="s">
        <v>63</v>
      </c>
      <c r="J534" s="6" t="s">
        <v>31</v>
      </c>
      <c r="K534" s="12">
        <f>_xlfn.XLOOKUP(B534,[1]Sheet1!$B:$B,[1]Sheet1!$N:$N,0)</f>
        <v>0</v>
      </c>
      <c r="L534" s="12">
        <f>_xlfn.XLOOKUP(B534,[1]Sheet1!$B:$B,[1]Sheet1!$O:$O,0)</f>
        <v>0</v>
      </c>
      <c r="M534" s="12">
        <f>_xlfn.XLOOKUP(B534,[1]Sheet1!$B:$B,[1]Sheet1!$P:$P,0)</f>
        <v>0</v>
      </c>
      <c r="N534" s="12">
        <f>_xlfn.XLOOKUP(B534,[1]Sheet1!$B:$B,[1]Sheet1!$Q:$Q,0)</f>
        <v>20000</v>
      </c>
      <c r="O534" s="12">
        <f>_xlfn.XLOOKUP(B534,[1]Sheet1!$B:$B,[1]Sheet1!$R:$R,0)</f>
        <v>60000</v>
      </c>
      <c r="P534" s="12">
        <f>_xlfn.XLOOKUP(B534,[1]Sheet1!$B:$B,[1]Sheet1!$S:$S,0)</f>
        <v>20000</v>
      </c>
      <c r="Q534" s="12">
        <f>_xlfn.XLOOKUP(B534,[1]Sheet1!$B:$B,[1]Sheet1!$T:$T,0)</f>
        <v>20000</v>
      </c>
      <c r="R534" s="12">
        <f>_xlfn.XLOOKUP(B534,[1]Sheet1!$B:$B,[1]Sheet1!$U:$U,0)</f>
        <v>60000</v>
      </c>
      <c r="S534" s="12">
        <f>_xlfn.XLOOKUP(B534,[1]Sheet1!$B:$B,[1]Sheet1!$V:$V,0)</f>
        <v>20000</v>
      </c>
      <c r="T534" s="12">
        <f>_xlfn.XLOOKUP(B534,[1]Sheet1!$B:$B,[1]Sheet1!$W:$W,0)</f>
        <v>40000</v>
      </c>
      <c r="U534" s="12">
        <f>_xlfn.XLOOKUP(B534,[1]Sheet1!$B:$B,[1]Sheet1!$X:$X,0)</f>
        <v>40000</v>
      </c>
      <c r="V534" s="12">
        <f>_xlfn.XLOOKUP(B534,[1]Sheet1!$B:$B,[1]Sheet1!$Y:$Y,0)</f>
        <v>20000</v>
      </c>
      <c r="W534" s="12">
        <f t="shared" si="19"/>
        <v>300000</v>
      </c>
      <c r="X534" s="6" t="s">
        <v>391</v>
      </c>
      <c r="Y534" s="6" t="s">
        <v>392</v>
      </c>
      <c r="Z534" s="6" t="s">
        <v>393</v>
      </c>
      <c r="AA534" s="6" t="s">
        <v>68</v>
      </c>
      <c r="AB534" s="6" t="s">
        <v>36</v>
      </c>
      <c r="AC534" s="6" t="s">
        <v>37</v>
      </c>
      <c r="AD534" s="6" t="s">
        <v>395</v>
      </c>
      <c r="AE534" s="6" t="s">
        <v>39</v>
      </c>
      <c r="AF534" s="6" t="s">
        <v>40</v>
      </c>
      <c r="AG534" s="7">
        <v>300000</v>
      </c>
      <c r="AH534" s="11">
        <f>_xlfn.XLOOKUP(B534,[1]Sheet1!$B:$B,[1]Sheet1!$AB:$AB,0)</f>
        <v>300000</v>
      </c>
    </row>
    <row r="535" spans="2:34" ht="16.8" thickTop="1" thickBot="1" x14ac:dyDescent="0.35">
      <c r="B535" s="3" t="str">
        <f t="shared" si="18"/>
        <v>45191994511000677Committee Member-N1421115200104</v>
      </c>
      <c r="C535" s="8" t="s">
        <v>394</v>
      </c>
      <c r="D535" s="8" t="s">
        <v>889</v>
      </c>
      <c r="E535" s="8" t="s">
        <v>890</v>
      </c>
      <c r="F535" s="8" t="s">
        <v>891</v>
      </c>
      <c r="G535" s="4" t="s">
        <v>2859</v>
      </c>
      <c r="H535" s="4" t="s">
        <v>2922</v>
      </c>
      <c r="I535" s="8" t="s">
        <v>878</v>
      </c>
      <c r="J535" s="8" t="s">
        <v>31</v>
      </c>
      <c r="K535" s="12">
        <f>_xlfn.XLOOKUP(B535,[1]Sheet1!$B:$B,[1]Sheet1!$N:$N,0)</f>
        <v>0</v>
      </c>
      <c r="L535" s="12">
        <f>_xlfn.XLOOKUP(B535,[1]Sheet1!$B:$B,[1]Sheet1!$O:$O,0)</f>
        <v>0</v>
      </c>
      <c r="M535" s="12">
        <f>_xlfn.XLOOKUP(B535,[1]Sheet1!$B:$B,[1]Sheet1!$P:$P,0)</f>
        <v>0</v>
      </c>
      <c r="N535" s="12">
        <f>_xlfn.XLOOKUP(B535,[1]Sheet1!$B:$B,[1]Sheet1!$Q:$Q,0)</f>
        <v>240000</v>
      </c>
      <c r="O535" s="12">
        <f>_xlfn.XLOOKUP(B535,[1]Sheet1!$B:$B,[1]Sheet1!$R:$R,0)</f>
        <v>0</v>
      </c>
      <c r="P535" s="12">
        <f>_xlfn.XLOOKUP(B535,[1]Sheet1!$B:$B,[1]Sheet1!$S:$S,0)</f>
        <v>0</v>
      </c>
      <c r="Q535" s="12">
        <f>_xlfn.XLOOKUP(B535,[1]Sheet1!$B:$B,[1]Sheet1!$T:$T,0)</f>
        <v>240000</v>
      </c>
      <c r="R535" s="12">
        <f>_xlfn.XLOOKUP(B535,[1]Sheet1!$B:$B,[1]Sheet1!$U:$U,0)</f>
        <v>0</v>
      </c>
      <c r="S535" s="12">
        <f>_xlfn.XLOOKUP(B535,[1]Sheet1!$B:$B,[1]Sheet1!$V:$V,0)</f>
        <v>0</v>
      </c>
      <c r="T535" s="12">
        <f>_xlfn.XLOOKUP(B535,[1]Sheet1!$B:$B,[1]Sheet1!$W:$W,0)</f>
        <v>240000</v>
      </c>
      <c r="U535" s="12">
        <f>_xlfn.XLOOKUP(B535,[1]Sheet1!$B:$B,[1]Sheet1!$X:$X,0)</f>
        <v>0</v>
      </c>
      <c r="V535" s="12">
        <f>_xlfn.XLOOKUP(B535,[1]Sheet1!$B:$B,[1]Sheet1!$Y:$Y,0)</f>
        <v>180000</v>
      </c>
      <c r="W535" s="12">
        <f t="shared" si="19"/>
        <v>900000</v>
      </c>
      <c r="X535" s="8" t="s">
        <v>892</v>
      </c>
      <c r="Y535" s="8" t="s">
        <v>392</v>
      </c>
      <c r="Z535" s="8" t="s">
        <v>393</v>
      </c>
      <c r="AA535" s="8" t="s">
        <v>878</v>
      </c>
      <c r="AB535" s="8" t="s">
        <v>36</v>
      </c>
      <c r="AC535" s="8" t="s">
        <v>37</v>
      </c>
      <c r="AD535" s="8" t="s">
        <v>395</v>
      </c>
      <c r="AE535" s="8" t="s">
        <v>39</v>
      </c>
      <c r="AF535" s="8" t="s">
        <v>40</v>
      </c>
      <c r="AG535" s="9">
        <v>900000</v>
      </c>
      <c r="AH535" s="11">
        <f>_xlfn.XLOOKUP(B535,[1]Sheet1!$B:$B,[1]Sheet1!$AB:$AB,0)</f>
        <v>900000</v>
      </c>
    </row>
    <row r="536" spans="2:34" ht="16.8" thickTop="1" thickBot="1" x14ac:dyDescent="0.35">
      <c r="B536" s="3" t="str">
        <f t="shared" si="18"/>
        <v>45191994511000677Editing &amp; Proof-N1424791200104</v>
      </c>
      <c r="C536" s="6" t="s">
        <v>394</v>
      </c>
      <c r="D536" s="6" t="s">
        <v>889</v>
      </c>
      <c r="E536" s="6" t="s">
        <v>890</v>
      </c>
      <c r="F536" s="6" t="s">
        <v>398</v>
      </c>
      <c r="G536" s="4" t="s">
        <v>2830</v>
      </c>
      <c r="H536" s="4" t="s">
        <v>2922</v>
      </c>
      <c r="I536" s="6" t="s">
        <v>305</v>
      </c>
      <c r="J536" s="6" t="s">
        <v>31</v>
      </c>
      <c r="K536" s="12">
        <f>_xlfn.XLOOKUP(B536,[1]Sheet1!$B:$B,[1]Sheet1!$N:$N,0)</f>
        <v>0</v>
      </c>
      <c r="L536" s="12">
        <f>_xlfn.XLOOKUP(B536,[1]Sheet1!$B:$B,[1]Sheet1!$O:$O,0)</f>
        <v>0</v>
      </c>
      <c r="M536" s="12">
        <f>_xlfn.XLOOKUP(B536,[1]Sheet1!$B:$B,[1]Sheet1!$P:$P,0)</f>
        <v>0</v>
      </c>
      <c r="N536" s="12">
        <f>_xlfn.XLOOKUP(B536,[1]Sheet1!$B:$B,[1]Sheet1!$Q:$Q,0)</f>
        <v>167737</v>
      </c>
      <c r="O536" s="12">
        <f>_xlfn.XLOOKUP(B536,[1]Sheet1!$B:$B,[1]Sheet1!$R:$R,0)</f>
        <v>154000</v>
      </c>
      <c r="P536" s="12">
        <f>_xlfn.XLOOKUP(B536,[1]Sheet1!$B:$B,[1]Sheet1!$S:$S,0)</f>
        <v>44730</v>
      </c>
      <c r="Q536" s="12">
        <f>_xlfn.XLOOKUP(B536,[1]Sheet1!$B:$B,[1]Sheet1!$T:$T,0)</f>
        <v>181475</v>
      </c>
      <c r="R536" s="12">
        <f>_xlfn.XLOOKUP(B536,[1]Sheet1!$B:$B,[1]Sheet1!$U:$U,0)</f>
        <v>33547.5</v>
      </c>
      <c r="S536" s="12">
        <f>_xlfn.XLOOKUP(B536,[1]Sheet1!$B:$B,[1]Sheet1!$V:$V,0)</f>
        <v>33547.5</v>
      </c>
      <c r="T536" s="12">
        <f>_xlfn.XLOOKUP(B536,[1]Sheet1!$B:$B,[1]Sheet1!$W:$W,0)</f>
        <v>167737.5</v>
      </c>
      <c r="U536" s="12">
        <f>_xlfn.XLOOKUP(B536,[1]Sheet1!$B:$B,[1]Sheet1!$X:$X,0)</f>
        <v>167737.5</v>
      </c>
      <c r="V536" s="12">
        <f>_xlfn.XLOOKUP(B536,[1]Sheet1!$B:$B,[1]Sheet1!$Y:$Y,0)</f>
        <v>167737.5</v>
      </c>
      <c r="W536" s="12">
        <f t="shared" si="19"/>
        <v>1118249.5</v>
      </c>
      <c r="X536" s="6" t="s">
        <v>893</v>
      </c>
      <c r="Y536" s="6" t="s">
        <v>392</v>
      </c>
      <c r="Z536" s="6" t="s">
        <v>393</v>
      </c>
      <c r="AA536" s="6" t="s">
        <v>305</v>
      </c>
      <c r="AB536" s="6" t="s">
        <v>36</v>
      </c>
      <c r="AC536" s="6" t="s">
        <v>37</v>
      </c>
      <c r="AD536" s="6" t="s">
        <v>863</v>
      </c>
      <c r="AE536" s="6" t="s">
        <v>39</v>
      </c>
      <c r="AF536" s="6" t="s">
        <v>40</v>
      </c>
      <c r="AG536" s="7">
        <v>1118249</v>
      </c>
      <c r="AH536" s="11">
        <f>_xlfn.XLOOKUP(B536,[1]Sheet1!$B:$B,[1]Sheet1!$AB:$AB,0)</f>
        <v>1118249.5</v>
      </c>
    </row>
    <row r="537" spans="2:34" ht="16.8" thickTop="1" thickBot="1" x14ac:dyDescent="0.35">
      <c r="B537" s="3" t="str">
        <f t="shared" si="18"/>
        <v>45191994511000677Freelancers-N424521200104</v>
      </c>
      <c r="C537" s="8" t="s">
        <v>394</v>
      </c>
      <c r="D537" s="8" t="s">
        <v>889</v>
      </c>
      <c r="E537" s="8" t="s">
        <v>890</v>
      </c>
      <c r="F537" s="8" t="s">
        <v>50</v>
      </c>
      <c r="G537" s="4" t="s">
        <v>2804</v>
      </c>
      <c r="H537" s="4" t="s">
        <v>2922</v>
      </c>
      <c r="I537" s="8" t="s">
        <v>51</v>
      </c>
      <c r="J537" s="8" t="s">
        <v>31</v>
      </c>
      <c r="K537" s="12">
        <f>_xlfn.XLOOKUP(B537,[1]Sheet1!$B:$B,[1]Sheet1!$N:$N,0)</f>
        <v>0</v>
      </c>
      <c r="L537" s="12">
        <f>_xlfn.XLOOKUP(B537,[1]Sheet1!$B:$B,[1]Sheet1!$O:$O,0)</f>
        <v>25000</v>
      </c>
      <c r="M537" s="12">
        <f>_xlfn.XLOOKUP(B537,[1]Sheet1!$B:$B,[1]Sheet1!$P:$P,0)</f>
        <v>0</v>
      </c>
      <c r="N537" s="12">
        <f>_xlfn.XLOOKUP(B537,[1]Sheet1!$B:$B,[1]Sheet1!$Q:$Q,0)</f>
        <v>75000</v>
      </c>
      <c r="O537" s="12">
        <f>_xlfn.XLOOKUP(B537,[1]Sheet1!$B:$B,[1]Sheet1!$R:$R,0)</f>
        <v>25000</v>
      </c>
      <c r="P537" s="12">
        <f>_xlfn.XLOOKUP(B537,[1]Sheet1!$B:$B,[1]Sheet1!$S:$S,0)</f>
        <v>25000</v>
      </c>
      <c r="Q537" s="12">
        <f>_xlfn.XLOOKUP(B537,[1]Sheet1!$B:$B,[1]Sheet1!$T:$T,0)</f>
        <v>25000</v>
      </c>
      <c r="R537" s="12">
        <f>_xlfn.XLOOKUP(B537,[1]Sheet1!$B:$B,[1]Sheet1!$U:$U,0)</f>
        <v>25000</v>
      </c>
      <c r="S537" s="12">
        <f>_xlfn.XLOOKUP(B537,[1]Sheet1!$B:$B,[1]Sheet1!$V:$V,0)</f>
        <v>25000</v>
      </c>
      <c r="T537" s="12">
        <f>_xlfn.XLOOKUP(B537,[1]Sheet1!$B:$B,[1]Sheet1!$W:$W,0)</f>
        <v>25000</v>
      </c>
      <c r="U537" s="12">
        <f>_xlfn.XLOOKUP(B537,[1]Sheet1!$B:$B,[1]Sheet1!$X:$X,0)</f>
        <v>25000</v>
      </c>
      <c r="V537" s="12">
        <f>_xlfn.XLOOKUP(B537,[1]Sheet1!$B:$B,[1]Sheet1!$Y:$Y,0)</f>
        <v>25000</v>
      </c>
      <c r="W537" s="12">
        <f t="shared" si="19"/>
        <v>300000</v>
      </c>
      <c r="X537" s="8" t="s">
        <v>894</v>
      </c>
      <c r="Y537" s="8" t="s">
        <v>392</v>
      </c>
      <c r="Z537" s="8" t="s">
        <v>393</v>
      </c>
      <c r="AA537" s="8" t="s">
        <v>53</v>
      </c>
      <c r="AB537" s="8" t="s">
        <v>36</v>
      </c>
      <c r="AC537" s="8" t="s">
        <v>37</v>
      </c>
      <c r="AD537" s="8" t="s">
        <v>395</v>
      </c>
      <c r="AE537" s="8" t="s">
        <v>39</v>
      </c>
      <c r="AF537" s="8" t="s">
        <v>40</v>
      </c>
      <c r="AG537" s="9">
        <v>300000</v>
      </c>
      <c r="AH537" s="11">
        <f>_xlfn.XLOOKUP(B537,[1]Sheet1!$B:$B,[1]Sheet1!$AB:$AB,0)</f>
        <v>300000</v>
      </c>
    </row>
    <row r="538" spans="2:34" ht="16.8" thickTop="1" thickBot="1" x14ac:dyDescent="0.35">
      <c r="B538" s="3" t="str">
        <f t="shared" si="18"/>
        <v>45191994511000677Print Permit-N1422951200104</v>
      </c>
      <c r="C538" s="6" t="s">
        <v>394</v>
      </c>
      <c r="D538" s="6" t="s">
        <v>889</v>
      </c>
      <c r="E538" s="6" t="s">
        <v>890</v>
      </c>
      <c r="F538" s="6" t="s">
        <v>401</v>
      </c>
      <c r="G538" s="4" t="s">
        <v>2837</v>
      </c>
      <c r="H538" s="4" t="s">
        <v>2922</v>
      </c>
      <c r="I538" s="6" t="s">
        <v>402</v>
      </c>
      <c r="J538" s="6" t="s">
        <v>31</v>
      </c>
      <c r="K538" s="12">
        <f>_xlfn.XLOOKUP(B538,[1]Sheet1!$B:$B,[1]Sheet1!$N:$N,0)</f>
        <v>0</v>
      </c>
      <c r="L538" s="12">
        <f>_xlfn.XLOOKUP(B538,[1]Sheet1!$B:$B,[1]Sheet1!$O:$O,0)</f>
        <v>19097</v>
      </c>
      <c r="M538" s="12">
        <f>_xlfn.XLOOKUP(B538,[1]Sheet1!$B:$B,[1]Sheet1!$P:$P,0)</f>
        <v>0</v>
      </c>
      <c r="N538" s="12">
        <f>_xlfn.XLOOKUP(B538,[1]Sheet1!$B:$B,[1]Sheet1!$Q:$Q,0)</f>
        <v>55903</v>
      </c>
      <c r="O538" s="12">
        <f>_xlfn.XLOOKUP(B538,[1]Sheet1!$B:$B,[1]Sheet1!$R:$R,0)</f>
        <v>55000</v>
      </c>
      <c r="P538" s="12">
        <f>_xlfn.XLOOKUP(B538,[1]Sheet1!$B:$B,[1]Sheet1!$S:$S,0)</f>
        <v>100000</v>
      </c>
      <c r="Q538" s="12">
        <f>_xlfn.XLOOKUP(B538,[1]Sheet1!$B:$B,[1]Sheet1!$T:$T,0)</f>
        <v>0</v>
      </c>
      <c r="R538" s="12">
        <f>_xlfn.XLOOKUP(B538,[1]Sheet1!$B:$B,[1]Sheet1!$U:$U,0)</f>
        <v>0</v>
      </c>
      <c r="S538" s="12">
        <f>_xlfn.XLOOKUP(B538,[1]Sheet1!$B:$B,[1]Sheet1!$V:$V,0)</f>
        <v>211475</v>
      </c>
      <c r="T538" s="12">
        <f>_xlfn.XLOOKUP(B538,[1]Sheet1!$B:$B,[1]Sheet1!$W:$W,0)</f>
        <v>0</v>
      </c>
      <c r="U538" s="12">
        <f>_xlfn.XLOOKUP(B538,[1]Sheet1!$B:$B,[1]Sheet1!$X:$X,0)</f>
        <v>0</v>
      </c>
      <c r="V538" s="12">
        <f>_xlfn.XLOOKUP(B538,[1]Sheet1!$B:$B,[1]Sheet1!$Y:$Y,0)</f>
        <v>176775</v>
      </c>
      <c r="W538" s="12">
        <f t="shared" si="19"/>
        <v>618250</v>
      </c>
      <c r="X538" s="6" t="s">
        <v>895</v>
      </c>
      <c r="Y538" s="6" t="s">
        <v>392</v>
      </c>
      <c r="Z538" s="6" t="s">
        <v>393</v>
      </c>
      <c r="AA538" s="6" t="s">
        <v>402</v>
      </c>
      <c r="AB538" s="6" t="s">
        <v>36</v>
      </c>
      <c r="AC538" s="6" t="s">
        <v>37</v>
      </c>
      <c r="AD538" s="6" t="s">
        <v>863</v>
      </c>
      <c r="AE538" s="6" t="s">
        <v>39</v>
      </c>
      <c r="AF538" s="6" t="s">
        <v>40</v>
      </c>
      <c r="AG538" s="7">
        <v>618250</v>
      </c>
      <c r="AH538" s="11">
        <f>_xlfn.XLOOKUP(B538,[1]Sheet1!$B:$B,[1]Sheet1!$AB:$AB,0)</f>
        <v>618250</v>
      </c>
    </row>
    <row r="539" spans="2:34" ht="16.8" thickTop="1" thickBot="1" x14ac:dyDescent="0.35">
      <c r="B539" s="3" t="str">
        <f t="shared" si="18"/>
        <v>45191994511000677Print Runs-N1424791200104</v>
      </c>
      <c r="C539" s="8" t="s">
        <v>394</v>
      </c>
      <c r="D539" s="8" t="s">
        <v>889</v>
      </c>
      <c r="E539" s="8" t="s">
        <v>890</v>
      </c>
      <c r="F539" s="8" t="s">
        <v>307</v>
      </c>
      <c r="G539" s="4" t="s">
        <v>2830</v>
      </c>
      <c r="H539" s="4" t="s">
        <v>2922</v>
      </c>
      <c r="I539" s="8" t="s">
        <v>305</v>
      </c>
      <c r="J539" s="8" t="s">
        <v>31</v>
      </c>
      <c r="K539" s="12">
        <f>_xlfn.XLOOKUP(B539,[1]Sheet1!$B:$B,[1]Sheet1!$N:$N,0)</f>
        <v>0</v>
      </c>
      <c r="L539" s="12">
        <f>_xlfn.XLOOKUP(B539,[1]Sheet1!$B:$B,[1]Sheet1!$O:$O,0)</f>
        <v>2014.3</v>
      </c>
      <c r="M539" s="12">
        <f>_xlfn.XLOOKUP(B539,[1]Sheet1!$B:$B,[1]Sheet1!$P:$P,0)</f>
        <v>2820.0199999999995</v>
      </c>
      <c r="N539" s="12">
        <f>_xlfn.XLOOKUP(B539,[1]Sheet1!$B:$B,[1]Sheet1!$Q:$Q,0)</f>
        <v>160165.70000000001</v>
      </c>
      <c r="O539" s="12">
        <f>_xlfn.XLOOKUP(B539,[1]Sheet1!$B:$B,[1]Sheet1!$R:$R,0)</f>
        <v>110000</v>
      </c>
      <c r="P539" s="12">
        <f>_xlfn.XLOOKUP(B539,[1]Sheet1!$B:$B,[1]Sheet1!$S:$S,0)</f>
        <v>44000</v>
      </c>
      <c r="Q539" s="12">
        <f>_xlfn.XLOOKUP(B539,[1]Sheet1!$B:$B,[1]Sheet1!$T:$T,0)</f>
        <v>220000</v>
      </c>
      <c r="R539" s="12">
        <f>_xlfn.XLOOKUP(B539,[1]Sheet1!$B:$B,[1]Sheet1!$U:$U,0)</f>
        <v>33000</v>
      </c>
      <c r="S539" s="12">
        <f>_xlfn.XLOOKUP(B539,[1]Sheet1!$B:$B,[1]Sheet1!$V:$V,0)</f>
        <v>33000</v>
      </c>
      <c r="T539" s="12">
        <f>_xlfn.XLOOKUP(B539,[1]Sheet1!$B:$B,[1]Sheet1!$W:$W,0)</f>
        <v>165000</v>
      </c>
      <c r="U539" s="12">
        <f>_xlfn.XLOOKUP(B539,[1]Sheet1!$B:$B,[1]Sheet1!$X:$X,0)</f>
        <v>165000</v>
      </c>
      <c r="V539" s="12">
        <f>_xlfn.XLOOKUP(B539,[1]Sheet1!$B:$B,[1]Sheet1!$Y:$Y,0)</f>
        <v>165000</v>
      </c>
      <c r="W539" s="12">
        <f t="shared" si="19"/>
        <v>1100000.02</v>
      </c>
      <c r="X539" s="8" t="s">
        <v>893</v>
      </c>
      <c r="Y539" s="8" t="s">
        <v>392</v>
      </c>
      <c r="Z539" s="8" t="s">
        <v>393</v>
      </c>
      <c r="AA539" s="8" t="s">
        <v>305</v>
      </c>
      <c r="AB539" s="8" t="s">
        <v>36</v>
      </c>
      <c r="AC539" s="8" t="s">
        <v>37</v>
      </c>
      <c r="AD539" s="8" t="s">
        <v>863</v>
      </c>
      <c r="AE539" s="8" t="s">
        <v>39</v>
      </c>
      <c r="AF539" s="8" t="s">
        <v>40</v>
      </c>
      <c r="AG539" s="9">
        <v>1100000</v>
      </c>
      <c r="AH539" s="11">
        <f>_xlfn.XLOOKUP(B539,[1]Sheet1!$B:$B,[1]Sheet1!$AB:$AB,0)</f>
        <v>1100000.02</v>
      </c>
    </row>
    <row r="540" spans="2:34" ht="16.8" thickTop="1" thickBot="1" x14ac:dyDescent="0.35">
      <c r="B540" s="3" t="str">
        <f t="shared" si="18"/>
        <v>45191994511000677Translation-N1424701200104</v>
      </c>
      <c r="C540" s="6" t="s">
        <v>394</v>
      </c>
      <c r="D540" s="6" t="s">
        <v>889</v>
      </c>
      <c r="E540" s="6" t="s">
        <v>890</v>
      </c>
      <c r="F540" s="6" t="s">
        <v>896</v>
      </c>
      <c r="G540" s="4" t="s">
        <v>2834</v>
      </c>
      <c r="H540" s="4" t="s">
        <v>2922</v>
      </c>
      <c r="I540" s="6" t="s">
        <v>356</v>
      </c>
      <c r="J540" s="6" t="s">
        <v>31</v>
      </c>
      <c r="K540" s="12">
        <f>_xlfn.XLOOKUP(B540,[1]Sheet1!$B:$B,[1]Sheet1!$N:$N,0)</f>
        <v>0</v>
      </c>
      <c r="L540" s="12">
        <f>_xlfn.XLOOKUP(B540,[1]Sheet1!$B:$B,[1]Sheet1!$O:$O,0)</f>
        <v>0</v>
      </c>
      <c r="M540" s="12">
        <f>_xlfn.XLOOKUP(B540,[1]Sheet1!$B:$B,[1]Sheet1!$P:$P,0)</f>
        <v>0</v>
      </c>
      <c r="N540" s="12">
        <f>_xlfn.XLOOKUP(B540,[1]Sheet1!$B:$B,[1]Sheet1!$Q:$Q,0)</f>
        <v>257110</v>
      </c>
      <c r="O540" s="12">
        <f>_xlfn.XLOOKUP(B540,[1]Sheet1!$B:$B,[1]Sheet1!$R:$R,0)</f>
        <v>275475</v>
      </c>
      <c r="P540" s="12">
        <f>_xlfn.XLOOKUP(B540,[1]Sheet1!$B:$B,[1]Sheet1!$S:$S,0)</f>
        <v>91825</v>
      </c>
      <c r="Q540" s="12">
        <f>_xlfn.XLOOKUP(B540,[1]Sheet1!$B:$B,[1]Sheet1!$T:$T,0)</f>
        <v>55095</v>
      </c>
      <c r="R540" s="12">
        <f>_xlfn.XLOOKUP(B540,[1]Sheet1!$B:$B,[1]Sheet1!$U:$U,0)</f>
        <v>55095</v>
      </c>
      <c r="S540" s="12">
        <f>_xlfn.XLOOKUP(B540,[1]Sheet1!$B:$B,[1]Sheet1!$V:$V,0)</f>
        <v>275475</v>
      </c>
      <c r="T540" s="12">
        <f>_xlfn.XLOOKUP(B540,[1]Sheet1!$B:$B,[1]Sheet1!$W:$W,0)</f>
        <v>275475</v>
      </c>
      <c r="U540" s="12">
        <f>_xlfn.XLOOKUP(B540,[1]Sheet1!$B:$B,[1]Sheet1!$X:$X,0)</f>
        <v>275475</v>
      </c>
      <c r="V540" s="12">
        <f>_xlfn.XLOOKUP(B540,[1]Sheet1!$B:$B,[1]Sheet1!$Y:$Y,0)</f>
        <v>275475</v>
      </c>
      <c r="W540" s="12">
        <f t="shared" si="19"/>
        <v>1836500</v>
      </c>
      <c r="X540" s="6" t="s">
        <v>897</v>
      </c>
      <c r="Y540" s="6" t="s">
        <v>392</v>
      </c>
      <c r="Z540" s="6" t="s">
        <v>393</v>
      </c>
      <c r="AA540" s="6" t="s">
        <v>356</v>
      </c>
      <c r="AB540" s="6" t="s">
        <v>36</v>
      </c>
      <c r="AC540" s="6" t="s">
        <v>37</v>
      </c>
      <c r="AD540" s="6" t="s">
        <v>863</v>
      </c>
      <c r="AE540" s="6" t="s">
        <v>39</v>
      </c>
      <c r="AF540" s="6" t="s">
        <v>40</v>
      </c>
      <c r="AG540" s="7">
        <v>1836500</v>
      </c>
      <c r="AH540" s="11">
        <f>_xlfn.XLOOKUP(B540,[1]Sheet1!$B:$B,[1]Sheet1!$AB:$AB,0)</f>
        <v>1836500</v>
      </c>
    </row>
    <row r="541" spans="2:34" ht="16.8" thickTop="1" thickBot="1" x14ac:dyDescent="0.35">
      <c r="B541" s="3" t="str">
        <f t="shared" si="18"/>
        <v>45191994511000677Typesetting-N1431114200104</v>
      </c>
      <c r="C541" s="8" t="s">
        <v>394</v>
      </c>
      <c r="D541" s="8" t="s">
        <v>889</v>
      </c>
      <c r="E541" s="8" t="s">
        <v>890</v>
      </c>
      <c r="F541" s="8" t="s">
        <v>404</v>
      </c>
      <c r="G541" s="4" t="s">
        <v>2838</v>
      </c>
      <c r="H541" s="4" t="s">
        <v>2922</v>
      </c>
      <c r="I541" s="8" t="s">
        <v>405</v>
      </c>
      <c r="J541" s="8" t="s">
        <v>31</v>
      </c>
      <c r="K541" s="12">
        <f>_xlfn.XLOOKUP(B541,[1]Sheet1!$B:$B,[1]Sheet1!$N:$N,0)</f>
        <v>0</v>
      </c>
      <c r="L541" s="12">
        <f>_xlfn.XLOOKUP(B541,[1]Sheet1!$B:$B,[1]Sheet1!$O:$O,0)</f>
        <v>0</v>
      </c>
      <c r="M541" s="12">
        <f>_xlfn.XLOOKUP(B541,[1]Sheet1!$B:$B,[1]Sheet1!$P:$P,0)</f>
        <v>0</v>
      </c>
      <c r="N541" s="12">
        <f>_xlfn.XLOOKUP(B541,[1]Sheet1!$B:$B,[1]Sheet1!$Q:$Q,0)</f>
        <v>30000</v>
      </c>
      <c r="O541" s="12">
        <f>_xlfn.XLOOKUP(B541,[1]Sheet1!$B:$B,[1]Sheet1!$R:$R,0)</f>
        <v>60000</v>
      </c>
      <c r="P541" s="12">
        <f>_xlfn.XLOOKUP(B541,[1]Sheet1!$B:$B,[1]Sheet1!$S:$S,0)</f>
        <v>30000</v>
      </c>
      <c r="Q541" s="12">
        <f>_xlfn.XLOOKUP(B541,[1]Sheet1!$B:$B,[1]Sheet1!$T:$T,0)</f>
        <v>30000</v>
      </c>
      <c r="R541" s="12">
        <f>_xlfn.XLOOKUP(B541,[1]Sheet1!$B:$B,[1]Sheet1!$U:$U,0)</f>
        <v>0</v>
      </c>
      <c r="S541" s="12">
        <f>_xlfn.XLOOKUP(B541,[1]Sheet1!$B:$B,[1]Sheet1!$V:$V,0)</f>
        <v>60000</v>
      </c>
      <c r="T541" s="12">
        <f>_xlfn.XLOOKUP(B541,[1]Sheet1!$B:$B,[1]Sheet1!$W:$W,0)</f>
        <v>0</v>
      </c>
      <c r="U541" s="12">
        <f>_xlfn.XLOOKUP(B541,[1]Sheet1!$B:$B,[1]Sheet1!$X:$X,0)</f>
        <v>60000</v>
      </c>
      <c r="V541" s="12">
        <f>_xlfn.XLOOKUP(B541,[1]Sheet1!$B:$B,[1]Sheet1!$Y:$Y,0)</f>
        <v>30000</v>
      </c>
      <c r="W541" s="12">
        <f t="shared" si="19"/>
        <v>300000</v>
      </c>
      <c r="X541" s="8" t="s">
        <v>898</v>
      </c>
      <c r="Y541" s="8" t="s">
        <v>392</v>
      </c>
      <c r="Z541" s="8" t="s">
        <v>393</v>
      </c>
      <c r="AA541" s="8" t="s">
        <v>405</v>
      </c>
      <c r="AB541" s="8" t="s">
        <v>36</v>
      </c>
      <c r="AC541" s="8" t="s">
        <v>37</v>
      </c>
      <c r="AD541" s="8" t="s">
        <v>863</v>
      </c>
      <c r="AE541" s="8" t="s">
        <v>39</v>
      </c>
      <c r="AF541" s="8" t="s">
        <v>40</v>
      </c>
      <c r="AG541" s="9">
        <v>300000</v>
      </c>
      <c r="AH541" s="11">
        <f>_xlfn.XLOOKUP(B541,[1]Sheet1!$B:$B,[1]Sheet1!$AB:$AB,0)</f>
        <v>300000</v>
      </c>
    </row>
    <row r="542" spans="2:34" ht="16.8" thickTop="1" thickBot="1" x14ac:dyDescent="0.35">
      <c r="B542" s="3" t="str">
        <f t="shared" si="18"/>
        <v>45191974511000681Mission &amp; Travel-N1423821200104</v>
      </c>
      <c r="C542" s="6" t="s">
        <v>903</v>
      </c>
      <c r="D542" s="6" t="s">
        <v>899</v>
      </c>
      <c r="E542" s="6" t="s">
        <v>900</v>
      </c>
      <c r="F542" s="6" t="s">
        <v>472</v>
      </c>
      <c r="G542" s="4" t="s">
        <v>2805</v>
      </c>
      <c r="H542" s="4" t="s">
        <v>2922</v>
      </c>
      <c r="I542" s="6" t="s">
        <v>55</v>
      </c>
      <c r="J542" s="6" t="s">
        <v>31</v>
      </c>
      <c r="K542" s="12">
        <f>_xlfn.XLOOKUP(B542,[1]Sheet1!$B:$B,[1]Sheet1!$N:$N,0)</f>
        <v>0</v>
      </c>
      <c r="L542" s="12">
        <f>_xlfn.XLOOKUP(B542,[1]Sheet1!$B:$B,[1]Sheet1!$O:$O,0)</f>
        <v>0</v>
      </c>
      <c r="M542" s="12">
        <f>_xlfn.XLOOKUP(B542,[1]Sheet1!$B:$B,[1]Sheet1!$P:$P,0)</f>
        <v>0</v>
      </c>
      <c r="N542" s="12">
        <f>_xlfn.XLOOKUP(B542,[1]Sheet1!$B:$B,[1]Sheet1!$Q:$Q,0)</f>
        <v>0</v>
      </c>
      <c r="O542" s="12">
        <f>_xlfn.XLOOKUP(B542,[1]Sheet1!$B:$B,[1]Sheet1!$R:$R,0)</f>
        <v>39000</v>
      </c>
      <c r="P542" s="12">
        <f>_xlfn.XLOOKUP(B542,[1]Sheet1!$B:$B,[1]Sheet1!$S:$S,0)</f>
        <v>0</v>
      </c>
      <c r="Q542" s="12">
        <f>_xlfn.XLOOKUP(B542,[1]Sheet1!$B:$B,[1]Sheet1!$T:$T,0)</f>
        <v>0</v>
      </c>
      <c r="R542" s="12">
        <f>_xlfn.XLOOKUP(B542,[1]Sheet1!$B:$B,[1]Sheet1!$U:$U,0)</f>
        <v>0</v>
      </c>
      <c r="S542" s="12">
        <f>_xlfn.XLOOKUP(B542,[1]Sheet1!$B:$B,[1]Sheet1!$V:$V,0)</f>
        <v>0</v>
      </c>
      <c r="T542" s="12">
        <f>_xlfn.XLOOKUP(B542,[1]Sheet1!$B:$B,[1]Sheet1!$W:$W,0)</f>
        <v>24000</v>
      </c>
      <c r="U542" s="12">
        <f>_xlfn.XLOOKUP(B542,[1]Sheet1!$B:$B,[1]Sheet1!$X:$X,0)</f>
        <v>37000</v>
      </c>
      <c r="V542" s="12">
        <f>_xlfn.XLOOKUP(B542,[1]Sheet1!$B:$B,[1]Sheet1!$Y:$Y,0)</f>
        <v>0</v>
      </c>
      <c r="W542" s="12">
        <f t="shared" si="19"/>
        <v>100000</v>
      </c>
      <c r="X542" s="6" t="s">
        <v>901</v>
      </c>
      <c r="Y542" s="6" t="s">
        <v>392</v>
      </c>
      <c r="Z542" s="6" t="s">
        <v>902</v>
      </c>
      <c r="AA542" s="6" t="s">
        <v>55</v>
      </c>
      <c r="AB542" s="6" t="s">
        <v>36</v>
      </c>
      <c r="AC542" s="6" t="s">
        <v>37</v>
      </c>
      <c r="AD542" s="6" t="s">
        <v>848</v>
      </c>
      <c r="AE542" s="6" t="s">
        <v>39</v>
      </c>
      <c r="AF542" s="6" t="s">
        <v>40</v>
      </c>
      <c r="AG542" s="7">
        <v>100000</v>
      </c>
      <c r="AH542" s="11">
        <f>_xlfn.XLOOKUP(B542,[1]Sheet1!$B:$B,[1]Sheet1!$AB:$AB,0)</f>
        <v>100000</v>
      </c>
    </row>
    <row r="543" spans="2:34" ht="16.8" thickTop="1" thickBot="1" x14ac:dyDescent="0.35">
      <c r="B543" s="3" t="str">
        <f t="shared" si="18"/>
        <v>45191964511000685PR&amp;MediaCoverage-N1424781200104</v>
      </c>
      <c r="C543" s="8" t="s">
        <v>843</v>
      </c>
      <c r="D543" s="8" t="s">
        <v>904</v>
      </c>
      <c r="E543" s="8" t="s">
        <v>905</v>
      </c>
      <c r="F543" s="8" t="s">
        <v>906</v>
      </c>
      <c r="G543" s="4" t="s">
        <v>2815</v>
      </c>
      <c r="H543" s="4" t="s">
        <v>2922</v>
      </c>
      <c r="I543" s="8" t="s">
        <v>100</v>
      </c>
      <c r="J543" s="8" t="s">
        <v>31</v>
      </c>
      <c r="K543" s="12">
        <f>_xlfn.XLOOKUP(B543,[1]Sheet1!$B:$B,[1]Sheet1!$N:$N,0)</f>
        <v>0</v>
      </c>
      <c r="L543" s="12">
        <f>_xlfn.XLOOKUP(B543,[1]Sheet1!$B:$B,[1]Sheet1!$O:$O,0)</f>
        <v>0</v>
      </c>
      <c r="M543" s="12">
        <f>_xlfn.XLOOKUP(B543,[1]Sheet1!$B:$B,[1]Sheet1!$P:$P,0)</f>
        <v>0</v>
      </c>
      <c r="N543" s="12">
        <f>_xlfn.XLOOKUP(B543,[1]Sheet1!$B:$B,[1]Sheet1!$Q:$Q,0)</f>
        <v>298080</v>
      </c>
      <c r="O543" s="12">
        <f>_xlfn.XLOOKUP(B543,[1]Sheet1!$B:$B,[1]Sheet1!$R:$R,0)</f>
        <v>74520</v>
      </c>
      <c r="P543" s="12">
        <f>_xlfn.XLOOKUP(B543,[1]Sheet1!$B:$B,[1]Sheet1!$S:$S,0)</f>
        <v>74520</v>
      </c>
      <c r="Q543" s="12">
        <f>_xlfn.XLOOKUP(B543,[1]Sheet1!$B:$B,[1]Sheet1!$T:$T,0)</f>
        <v>74520</v>
      </c>
      <c r="R543" s="12">
        <f>_xlfn.XLOOKUP(B543,[1]Sheet1!$B:$B,[1]Sheet1!$U:$U,0)</f>
        <v>74520</v>
      </c>
      <c r="S543" s="12">
        <f>_xlfn.XLOOKUP(B543,[1]Sheet1!$B:$B,[1]Sheet1!$V:$V,0)</f>
        <v>74520</v>
      </c>
      <c r="T543" s="12">
        <f>_xlfn.XLOOKUP(B543,[1]Sheet1!$B:$B,[1]Sheet1!$W:$W,0)</f>
        <v>74520</v>
      </c>
      <c r="U543" s="12">
        <f>_xlfn.XLOOKUP(B543,[1]Sheet1!$B:$B,[1]Sheet1!$X:$X,0)</f>
        <v>74520</v>
      </c>
      <c r="V543" s="12">
        <f>_xlfn.XLOOKUP(B543,[1]Sheet1!$B:$B,[1]Sheet1!$Y:$Y,0)</f>
        <v>173880</v>
      </c>
      <c r="W543" s="12">
        <f t="shared" si="19"/>
        <v>993600</v>
      </c>
      <c r="X543" s="8" t="s">
        <v>907</v>
      </c>
      <c r="Y543" s="8" t="s">
        <v>392</v>
      </c>
      <c r="Z543" s="8" t="s">
        <v>842</v>
      </c>
      <c r="AA543" s="8" t="s">
        <v>100</v>
      </c>
      <c r="AB543" s="8" t="s">
        <v>36</v>
      </c>
      <c r="AC543" s="8" t="s">
        <v>37</v>
      </c>
      <c r="AD543" s="8" t="s">
        <v>844</v>
      </c>
      <c r="AE543" s="8" t="s">
        <v>39</v>
      </c>
      <c r="AF543" s="8" t="s">
        <v>40</v>
      </c>
      <c r="AG543" s="9">
        <v>993600</v>
      </c>
      <c r="AH543" s="11">
        <f>_xlfn.XLOOKUP(B543,[1]Sheet1!$B:$B,[1]Sheet1!$AB:$AB,0)</f>
        <v>993600</v>
      </c>
    </row>
    <row r="544" spans="2:34" ht="16.8" thickTop="1" thickBot="1" x14ac:dyDescent="0.35">
      <c r="B544" s="3" t="str">
        <f t="shared" si="18"/>
        <v>45191994511000686Mission &amp; Travel-N1423821200104</v>
      </c>
      <c r="C544" s="6" t="s">
        <v>394</v>
      </c>
      <c r="D544" s="6" t="s">
        <v>908</v>
      </c>
      <c r="E544" s="6" t="s">
        <v>909</v>
      </c>
      <c r="F544" s="6" t="s">
        <v>472</v>
      </c>
      <c r="G544" s="4" t="s">
        <v>2805</v>
      </c>
      <c r="H544" s="4" t="s">
        <v>2922</v>
      </c>
      <c r="I544" s="6" t="s">
        <v>55</v>
      </c>
      <c r="J544" s="6" t="s">
        <v>31</v>
      </c>
      <c r="K544" s="12">
        <f>_xlfn.XLOOKUP(B544,[1]Sheet1!$B:$B,[1]Sheet1!$N:$N,0)</f>
        <v>0</v>
      </c>
      <c r="L544" s="12">
        <f>_xlfn.XLOOKUP(B544,[1]Sheet1!$B:$B,[1]Sheet1!$O:$O,0)</f>
        <v>24000</v>
      </c>
      <c r="M544" s="12">
        <f>_xlfn.XLOOKUP(B544,[1]Sheet1!$B:$B,[1]Sheet1!$P:$P,0)</f>
        <v>20000</v>
      </c>
      <c r="N544" s="12">
        <f>_xlfn.XLOOKUP(B544,[1]Sheet1!$B:$B,[1]Sheet1!$Q:$Q,0)</f>
        <v>0</v>
      </c>
      <c r="O544" s="12">
        <f>_xlfn.XLOOKUP(B544,[1]Sheet1!$B:$B,[1]Sheet1!$R:$R,0)</f>
        <v>10500</v>
      </c>
      <c r="P544" s="12">
        <f>_xlfn.XLOOKUP(B544,[1]Sheet1!$B:$B,[1]Sheet1!$S:$S,0)</f>
        <v>27500</v>
      </c>
      <c r="Q544" s="12">
        <f>_xlfn.XLOOKUP(B544,[1]Sheet1!$B:$B,[1]Sheet1!$T:$T,0)</f>
        <v>0</v>
      </c>
      <c r="R544" s="12">
        <f>_xlfn.XLOOKUP(B544,[1]Sheet1!$B:$B,[1]Sheet1!$U:$U,0)</f>
        <v>0</v>
      </c>
      <c r="S544" s="12">
        <f>_xlfn.XLOOKUP(B544,[1]Sheet1!$B:$B,[1]Sheet1!$V:$V,0)</f>
        <v>44000</v>
      </c>
      <c r="T544" s="12">
        <f>_xlfn.XLOOKUP(B544,[1]Sheet1!$B:$B,[1]Sheet1!$W:$W,0)</f>
        <v>28000</v>
      </c>
      <c r="U544" s="12">
        <f>_xlfn.XLOOKUP(B544,[1]Sheet1!$B:$B,[1]Sheet1!$X:$X,0)</f>
        <v>56000</v>
      </c>
      <c r="V544" s="12">
        <f>_xlfn.XLOOKUP(B544,[1]Sheet1!$B:$B,[1]Sheet1!$Y:$Y,0)</f>
        <v>0</v>
      </c>
      <c r="W544" s="12">
        <f t="shared" si="19"/>
        <v>210000</v>
      </c>
      <c r="X544" s="6" t="s">
        <v>910</v>
      </c>
      <c r="Y544" s="6" t="s">
        <v>392</v>
      </c>
      <c r="Z544" s="6" t="s">
        <v>393</v>
      </c>
      <c r="AA544" s="6" t="s">
        <v>55</v>
      </c>
      <c r="AB544" s="6" t="s">
        <v>36</v>
      </c>
      <c r="AC544" s="6" t="s">
        <v>37</v>
      </c>
      <c r="AD544" s="6" t="s">
        <v>848</v>
      </c>
      <c r="AE544" s="6" t="s">
        <v>39</v>
      </c>
      <c r="AF544" s="6" t="s">
        <v>40</v>
      </c>
      <c r="AG544" s="7">
        <v>191650</v>
      </c>
      <c r="AH544" s="11">
        <f>_xlfn.XLOOKUP(B544,[1]Sheet1!$B:$B,[1]Sheet1!$AB:$AB,0)</f>
        <v>184000</v>
      </c>
    </row>
    <row r="545" spans="2:34" ht="16.8" thickTop="1" thickBot="1" x14ac:dyDescent="0.35">
      <c r="B545" s="3" t="str">
        <f t="shared" si="18"/>
        <v>45192034511000692Freelancers-N2424521200104</v>
      </c>
      <c r="C545" s="8" t="s">
        <v>916</v>
      </c>
      <c r="D545" s="8" t="s">
        <v>911</v>
      </c>
      <c r="E545" s="8" t="s">
        <v>912</v>
      </c>
      <c r="F545" s="8" t="s">
        <v>913</v>
      </c>
      <c r="G545" s="4" t="s">
        <v>2804</v>
      </c>
      <c r="H545" s="4" t="s">
        <v>2922</v>
      </c>
      <c r="I545" s="8" t="s">
        <v>51</v>
      </c>
      <c r="J545" s="8" t="s">
        <v>31</v>
      </c>
      <c r="K545" s="12">
        <f>_xlfn.XLOOKUP(B545,[1]Sheet1!$B:$B,[1]Sheet1!$N:$N,0)</f>
        <v>0</v>
      </c>
      <c r="L545" s="12">
        <f>_xlfn.XLOOKUP(B545,[1]Sheet1!$B:$B,[1]Sheet1!$O:$O,0)</f>
        <v>50000</v>
      </c>
      <c r="M545" s="12">
        <f>_xlfn.XLOOKUP(B545,[1]Sheet1!$B:$B,[1]Sheet1!$P:$P,0)</f>
        <v>50000</v>
      </c>
      <c r="N545" s="12">
        <f>_xlfn.XLOOKUP(B545,[1]Sheet1!$B:$B,[1]Sheet1!$Q:$Q,0)</f>
        <v>100000</v>
      </c>
      <c r="O545" s="12">
        <f>_xlfn.XLOOKUP(B545,[1]Sheet1!$B:$B,[1]Sheet1!$R:$R,0)</f>
        <v>50000</v>
      </c>
      <c r="P545" s="12">
        <f>_xlfn.XLOOKUP(B545,[1]Sheet1!$B:$B,[1]Sheet1!$S:$S,0)</f>
        <v>50000</v>
      </c>
      <c r="Q545" s="12">
        <f>_xlfn.XLOOKUP(B545,[1]Sheet1!$B:$B,[1]Sheet1!$T:$T,0)</f>
        <v>50000</v>
      </c>
      <c r="R545" s="12">
        <f>_xlfn.XLOOKUP(B545,[1]Sheet1!$B:$B,[1]Sheet1!$U:$U,0)</f>
        <v>50000</v>
      </c>
      <c r="S545" s="12">
        <f>_xlfn.XLOOKUP(B545,[1]Sheet1!$B:$B,[1]Sheet1!$V:$V,0)</f>
        <v>49000</v>
      </c>
      <c r="T545" s="12">
        <f>_xlfn.XLOOKUP(B545,[1]Sheet1!$B:$B,[1]Sheet1!$W:$W,0)</f>
        <v>40000</v>
      </c>
      <c r="U545" s="12">
        <f>_xlfn.XLOOKUP(B545,[1]Sheet1!$B:$B,[1]Sheet1!$X:$X,0)</f>
        <v>40000</v>
      </c>
      <c r="V545" s="12">
        <f>_xlfn.XLOOKUP(B545,[1]Sheet1!$B:$B,[1]Sheet1!$Y:$Y,0)</f>
        <v>0</v>
      </c>
      <c r="W545" s="12">
        <f t="shared" si="19"/>
        <v>529000</v>
      </c>
      <c r="X545" s="8" t="s">
        <v>914</v>
      </c>
      <c r="Y545" s="8" t="s">
        <v>392</v>
      </c>
      <c r="Z545" s="8" t="s">
        <v>915</v>
      </c>
      <c r="AA545" s="8" t="s">
        <v>53</v>
      </c>
      <c r="AB545" s="8" t="s">
        <v>36</v>
      </c>
      <c r="AC545" s="8" t="s">
        <v>37</v>
      </c>
      <c r="AD545" s="8" t="s">
        <v>848</v>
      </c>
      <c r="AE545" s="8" t="s">
        <v>39</v>
      </c>
      <c r="AF545" s="8" t="s">
        <v>40</v>
      </c>
      <c r="AG545" s="9">
        <v>579000</v>
      </c>
      <c r="AH545" s="11">
        <f>_xlfn.XLOOKUP(B545,[1]Sheet1!$B:$B,[1]Sheet1!$AB:$AB,0)</f>
        <v>579000</v>
      </c>
    </row>
    <row r="546" spans="2:34" ht="16.8" thickTop="1" thickBot="1" x14ac:dyDescent="0.35">
      <c r="B546" s="3" t="str">
        <f t="shared" si="18"/>
        <v>45192034511000692Hospitality-N2424761200104</v>
      </c>
      <c r="C546" s="6" t="s">
        <v>916</v>
      </c>
      <c r="D546" s="6" t="s">
        <v>911</v>
      </c>
      <c r="E546" s="6" t="s">
        <v>912</v>
      </c>
      <c r="F546" s="6" t="s">
        <v>637</v>
      </c>
      <c r="G546" s="4" t="s">
        <v>2811</v>
      </c>
      <c r="H546" s="4" t="s">
        <v>2922</v>
      </c>
      <c r="I546" s="6" t="s">
        <v>84</v>
      </c>
      <c r="J546" s="6" t="s">
        <v>31</v>
      </c>
      <c r="K546" s="12">
        <f>_xlfn.XLOOKUP(B546,[1]Sheet1!$B:$B,[1]Sheet1!$N:$N,0)</f>
        <v>0</v>
      </c>
      <c r="L546" s="12">
        <f>_xlfn.XLOOKUP(B546,[1]Sheet1!$B:$B,[1]Sheet1!$O:$O,0)</f>
        <v>0</v>
      </c>
      <c r="M546" s="12">
        <f>_xlfn.XLOOKUP(B546,[1]Sheet1!$B:$B,[1]Sheet1!$P:$P,0)</f>
        <v>0</v>
      </c>
      <c r="N546" s="12">
        <f>_xlfn.XLOOKUP(B546,[1]Sheet1!$B:$B,[1]Sheet1!$Q:$Q,0)</f>
        <v>10000</v>
      </c>
      <c r="O546" s="12">
        <f>_xlfn.XLOOKUP(B546,[1]Sheet1!$B:$B,[1]Sheet1!$R:$R,0)</f>
        <v>0</v>
      </c>
      <c r="P546" s="12">
        <f>_xlfn.XLOOKUP(B546,[1]Sheet1!$B:$B,[1]Sheet1!$S:$S,0)</f>
        <v>10000</v>
      </c>
      <c r="Q546" s="12">
        <f>_xlfn.XLOOKUP(B546,[1]Sheet1!$B:$B,[1]Sheet1!$T:$T,0)</f>
        <v>0</v>
      </c>
      <c r="R546" s="12">
        <f>_xlfn.XLOOKUP(B546,[1]Sheet1!$B:$B,[1]Sheet1!$U:$U,0)</f>
        <v>10000</v>
      </c>
      <c r="S546" s="12">
        <f>_xlfn.XLOOKUP(B546,[1]Sheet1!$B:$B,[1]Sheet1!$V:$V,0)</f>
        <v>20000</v>
      </c>
      <c r="T546" s="12">
        <f>_xlfn.XLOOKUP(B546,[1]Sheet1!$B:$B,[1]Sheet1!$W:$W,0)</f>
        <v>5000</v>
      </c>
      <c r="U546" s="12">
        <f>_xlfn.XLOOKUP(B546,[1]Sheet1!$B:$B,[1]Sheet1!$X:$X,0)</f>
        <v>10000</v>
      </c>
      <c r="V546" s="12">
        <f>_xlfn.XLOOKUP(B546,[1]Sheet1!$B:$B,[1]Sheet1!$Y:$Y,0)</f>
        <v>10000</v>
      </c>
      <c r="W546" s="12">
        <f t="shared" si="19"/>
        <v>75000</v>
      </c>
      <c r="X546" s="6" t="s">
        <v>917</v>
      </c>
      <c r="Y546" s="6" t="s">
        <v>392</v>
      </c>
      <c r="Z546" s="6" t="s">
        <v>915</v>
      </c>
      <c r="AA546" s="6" t="s">
        <v>84</v>
      </c>
      <c r="AB546" s="6" t="s">
        <v>36</v>
      </c>
      <c r="AC546" s="6" t="s">
        <v>37</v>
      </c>
      <c r="AD546" s="6" t="s">
        <v>848</v>
      </c>
      <c r="AE546" s="6" t="s">
        <v>39</v>
      </c>
      <c r="AF546" s="6" t="s">
        <v>40</v>
      </c>
      <c r="AG546" s="7">
        <v>75000</v>
      </c>
      <c r="AH546" s="11">
        <f>_xlfn.XLOOKUP(B546,[1]Sheet1!$B:$B,[1]Sheet1!$AB:$AB,0)</f>
        <v>75000</v>
      </c>
    </row>
    <row r="547" spans="2:34" ht="16.8" thickTop="1" thickBot="1" x14ac:dyDescent="0.35">
      <c r="B547" s="3" t="str">
        <f t="shared" si="18"/>
        <v>45192034511000692Market Research-N2423411200104</v>
      </c>
      <c r="C547" s="8" t="s">
        <v>916</v>
      </c>
      <c r="D547" s="8" t="s">
        <v>911</v>
      </c>
      <c r="E547" s="8" t="s">
        <v>912</v>
      </c>
      <c r="F547" s="8" t="s">
        <v>918</v>
      </c>
      <c r="G547" s="4" t="s">
        <v>2833</v>
      </c>
      <c r="H547" s="4" t="s">
        <v>2922</v>
      </c>
      <c r="I547" s="8" t="s">
        <v>330</v>
      </c>
      <c r="J547" s="8" t="s">
        <v>31</v>
      </c>
      <c r="K547" s="12">
        <f>_xlfn.XLOOKUP(B547,[1]Sheet1!$B:$B,[1]Sheet1!$N:$N,0)</f>
        <v>0</v>
      </c>
      <c r="L547" s="12">
        <f>_xlfn.XLOOKUP(B547,[1]Sheet1!$B:$B,[1]Sheet1!$O:$O,0)</f>
        <v>0</v>
      </c>
      <c r="M547" s="12">
        <f>_xlfn.XLOOKUP(B547,[1]Sheet1!$B:$B,[1]Sheet1!$P:$P,0)</f>
        <v>0</v>
      </c>
      <c r="N547" s="12">
        <f>_xlfn.XLOOKUP(B547,[1]Sheet1!$B:$B,[1]Sheet1!$Q:$Q,0)</f>
        <v>491163</v>
      </c>
      <c r="O547" s="12">
        <f>_xlfn.XLOOKUP(B547,[1]Sheet1!$B:$B,[1]Sheet1!$R:$R,0)</f>
        <v>0</v>
      </c>
      <c r="P547" s="12">
        <f>_xlfn.XLOOKUP(B547,[1]Sheet1!$B:$B,[1]Sheet1!$S:$S,0)</f>
        <v>100000</v>
      </c>
      <c r="Q547" s="12">
        <f>_xlfn.XLOOKUP(B547,[1]Sheet1!$B:$B,[1]Sheet1!$T:$T,0)</f>
        <v>72091</v>
      </c>
      <c r="R547" s="12">
        <f>_xlfn.XLOOKUP(B547,[1]Sheet1!$B:$B,[1]Sheet1!$U:$U,0)</f>
        <v>200000</v>
      </c>
      <c r="S547" s="12">
        <f>_xlfn.XLOOKUP(B547,[1]Sheet1!$B:$B,[1]Sheet1!$V:$V,0)</f>
        <v>293373</v>
      </c>
      <c r="T547" s="12">
        <f>_xlfn.XLOOKUP(B547,[1]Sheet1!$B:$B,[1]Sheet1!$W:$W,0)</f>
        <v>0</v>
      </c>
      <c r="U547" s="12">
        <f>_xlfn.XLOOKUP(B547,[1]Sheet1!$B:$B,[1]Sheet1!$X:$X,0)</f>
        <v>0</v>
      </c>
      <c r="V547" s="12">
        <f>_xlfn.XLOOKUP(B547,[1]Sheet1!$B:$B,[1]Sheet1!$Y:$Y,0)</f>
        <v>293373</v>
      </c>
      <c r="W547" s="12">
        <f t="shared" si="19"/>
        <v>1450000</v>
      </c>
      <c r="X547" s="8" t="s">
        <v>919</v>
      </c>
      <c r="Y547" s="8" t="s">
        <v>392</v>
      </c>
      <c r="Z547" s="8" t="s">
        <v>915</v>
      </c>
      <c r="AA547" s="8" t="s">
        <v>330</v>
      </c>
      <c r="AB547" s="8" t="s">
        <v>36</v>
      </c>
      <c r="AC547" s="8" t="s">
        <v>37</v>
      </c>
      <c r="AD547" s="8" t="s">
        <v>848</v>
      </c>
      <c r="AE547" s="8" t="s">
        <v>39</v>
      </c>
      <c r="AF547" s="8" t="s">
        <v>40</v>
      </c>
      <c r="AG547" s="9">
        <v>1450000</v>
      </c>
      <c r="AH547" s="11">
        <f>_xlfn.XLOOKUP(B547,[1]Sheet1!$B:$B,[1]Sheet1!$AB:$AB,0)</f>
        <v>1450000</v>
      </c>
    </row>
    <row r="548" spans="2:34" ht="16.8" thickTop="1" thickBot="1" x14ac:dyDescent="0.35">
      <c r="B548" s="3" t="str">
        <f t="shared" si="18"/>
        <v>45192034511000692Mission &amp; Travel-N2423821200104</v>
      </c>
      <c r="C548" s="6" t="s">
        <v>916</v>
      </c>
      <c r="D548" s="6" t="s">
        <v>911</v>
      </c>
      <c r="E548" s="6" t="s">
        <v>912</v>
      </c>
      <c r="F548" s="6" t="s">
        <v>867</v>
      </c>
      <c r="G548" s="4" t="s">
        <v>2805</v>
      </c>
      <c r="H548" s="4" t="s">
        <v>2922</v>
      </c>
      <c r="I548" s="6" t="s">
        <v>55</v>
      </c>
      <c r="J548" s="6" t="s">
        <v>31</v>
      </c>
      <c r="K548" s="12">
        <f>_xlfn.XLOOKUP(B548,[1]Sheet1!$B:$B,[1]Sheet1!$N:$N,0)</f>
        <v>0</v>
      </c>
      <c r="L548" s="12">
        <f>_xlfn.XLOOKUP(B548,[1]Sheet1!$B:$B,[1]Sheet1!$O:$O,0)</f>
        <v>4000</v>
      </c>
      <c r="M548" s="12">
        <f>_xlfn.XLOOKUP(B548,[1]Sheet1!$B:$B,[1]Sheet1!$P:$P,0)</f>
        <v>0</v>
      </c>
      <c r="N548" s="12">
        <f>_xlfn.XLOOKUP(B548,[1]Sheet1!$B:$B,[1]Sheet1!$Q:$Q,0)</f>
        <v>46000</v>
      </c>
      <c r="O548" s="12">
        <f>_xlfn.XLOOKUP(B548,[1]Sheet1!$B:$B,[1]Sheet1!$R:$R,0)</f>
        <v>0</v>
      </c>
      <c r="P548" s="12">
        <f>_xlfn.XLOOKUP(B548,[1]Sheet1!$B:$B,[1]Sheet1!$S:$S,0)</f>
        <v>0</v>
      </c>
      <c r="Q548" s="12">
        <f>_xlfn.XLOOKUP(B548,[1]Sheet1!$B:$B,[1]Sheet1!$T:$T,0)</f>
        <v>0</v>
      </c>
      <c r="R548" s="12">
        <f>_xlfn.XLOOKUP(B548,[1]Sheet1!$B:$B,[1]Sheet1!$U:$U,0)</f>
        <v>0</v>
      </c>
      <c r="S548" s="12">
        <f>_xlfn.XLOOKUP(B548,[1]Sheet1!$B:$B,[1]Sheet1!$V:$V,0)</f>
        <v>0</v>
      </c>
      <c r="T548" s="12">
        <f>_xlfn.XLOOKUP(B548,[1]Sheet1!$B:$B,[1]Sheet1!$W:$W,0)</f>
        <v>50000</v>
      </c>
      <c r="U548" s="12">
        <f>_xlfn.XLOOKUP(B548,[1]Sheet1!$B:$B,[1]Sheet1!$X:$X,0)</f>
        <v>0</v>
      </c>
      <c r="V548" s="12">
        <f>_xlfn.XLOOKUP(B548,[1]Sheet1!$B:$B,[1]Sheet1!$Y:$Y,0)</f>
        <v>0</v>
      </c>
      <c r="W548" s="12">
        <f t="shared" si="19"/>
        <v>100000</v>
      </c>
      <c r="X548" s="6" t="s">
        <v>920</v>
      </c>
      <c r="Y548" s="6" t="s">
        <v>392</v>
      </c>
      <c r="Z548" s="6" t="s">
        <v>915</v>
      </c>
      <c r="AA548" s="6" t="s">
        <v>55</v>
      </c>
      <c r="AB548" s="6" t="s">
        <v>36</v>
      </c>
      <c r="AC548" s="6" t="s">
        <v>37</v>
      </c>
      <c r="AD548" s="6" t="s">
        <v>848</v>
      </c>
      <c r="AE548" s="6" t="s">
        <v>39</v>
      </c>
      <c r="AF548" s="6" t="s">
        <v>40</v>
      </c>
      <c r="AG548" s="7">
        <v>160000</v>
      </c>
      <c r="AH548" s="11">
        <f>_xlfn.XLOOKUP(B548,[1]Sheet1!$B:$B,[1]Sheet1!$AB:$AB,0)</f>
        <v>160000</v>
      </c>
    </row>
    <row r="549" spans="2:34" ht="16.8" thickTop="1" thickBot="1" x14ac:dyDescent="0.35">
      <c r="B549" s="3" t="str">
        <f t="shared" si="18"/>
        <v>45192034511000692Strategy Advice-N2421123200104</v>
      </c>
      <c r="C549" s="8" t="s">
        <v>916</v>
      </c>
      <c r="D549" s="8" t="s">
        <v>911</v>
      </c>
      <c r="E549" s="8" t="s">
        <v>912</v>
      </c>
      <c r="F549" s="8" t="s">
        <v>921</v>
      </c>
      <c r="G549" s="4" t="s">
        <v>2827</v>
      </c>
      <c r="H549" s="4" t="s">
        <v>2922</v>
      </c>
      <c r="I549" s="8" t="s">
        <v>237</v>
      </c>
      <c r="J549" s="8" t="s">
        <v>31</v>
      </c>
      <c r="K549" s="12">
        <f>_xlfn.XLOOKUP(B549,[1]Sheet1!$B:$B,[1]Sheet1!$N:$N,0)</f>
        <v>0</v>
      </c>
      <c r="L549" s="12">
        <f>_xlfn.XLOOKUP(B549,[1]Sheet1!$B:$B,[1]Sheet1!$O:$O,0)</f>
        <v>0</v>
      </c>
      <c r="M549" s="12">
        <f>_xlfn.XLOOKUP(B549,[1]Sheet1!$B:$B,[1]Sheet1!$P:$P,0)</f>
        <v>0</v>
      </c>
      <c r="N549" s="12">
        <f>_xlfn.XLOOKUP(B549,[1]Sheet1!$B:$B,[1]Sheet1!$Q:$Q,0)</f>
        <v>1285999.3333333333</v>
      </c>
      <c r="O549" s="12">
        <f>_xlfn.XLOOKUP(B549,[1]Sheet1!$B:$B,[1]Sheet1!$R:$R,0)</f>
        <v>0</v>
      </c>
      <c r="P549" s="12">
        <f>_xlfn.XLOOKUP(B549,[1]Sheet1!$B:$B,[1]Sheet1!$S:$S,0)</f>
        <v>0</v>
      </c>
      <c r="Q549" s="12">
        <f>_xlfn.XLOOKUP(B549,[1]Sheet1!$B:$B,[1]Sheet1!$T:$T,0)</f>
        <v>1285999.3333333333</v>
      </c>
      <c r="R549" s="12">
        <f>_xlfn.XLOOKUP(B549,[1]Sheet1!$B:$B,[1]Sheet1!$U:$U,0)</f>
        <v>0</v>
      </c>
      <c r="S549" s="12">
        <f>_xlfn.XLOOKUP(B549,[1]Sheet1!$B:$B,[1]Sheet1!$V:$V,0)</f>
        <v>0</v>
      </c>
      <c r="T549" s="12">
        <f>_xlfn.XLOOKUP(B549,[1]Sheet1!$B:$B,[1]Sheet1!$W:$W,0)</f>
        <v>1285999.3333333333</v>
      </c>
      <c r="U549" s="12">
        <f>_xlfn.XLOOKUP(B549,[1]Sheet1!$B:$B,[1]Sheet1!$X:$X,0)</f>
        <v>0</v>
      </c>
      <c r="V549" s="12">
        <f>_xlfn.XLOOKUP(B549,[1]Sheet1!$B:$B,[1]Sheet1!$Y:$Y,0)</f>
        <v>0</v>
      </c>
      <c r="W549" s="12">
        <f t="shared" si="19"/>
        <v>3857998</v>
      </c>
      <c r="X549" s="8" t="s">
        <v>922</v>
      </c>
      <c r="Y549" s="8" t="s">
        <v>392</v>
      </c>
      <c r="Z549" s="8" t="s">
        <v>915</v>
      </c>
      <c r="AA549" s="8" t="s">
        <v>237</v>
      </c>
      <c r="AB549" s="8" t="s">
        <v>36</v>
      </c>
      <c r="AC549" s="8" t="s">
        <v>37</v>
      </c>
      <c r="AD549" s="8" t="s">
        <v>848</v>
      </c>
      <c r="AE549" s="8" t="s">
        <v>39</v>
      </c>
      <c r="AF549" s="8" t="s">
        <v>40</v>
      </c>
      <c r="AG549" s="9">
        <v>4005998</v>
      </c>
      <c r="AH549" s="11">
        <f>_xlfn.XLOOKUP(B549,[1]Sheet1!$B:$B,[1]Sheet1!$AB:$AB,0)</f>
        <v>4005998</v>
      </c>
    </row>
    <row r="550" spans="2:34" ht="16.8" thickTop="1" thickBot="1" x14ac:dyDescent="0.35">
      <c r="B550" s="3" t="str">
        <f t="shared" si="18"/>
        <v>45192034511000692Translation-N2424701200104</v>
      </c>
      <c r="C550" s="6" t="s">
        <v>916</v>
      </c>
      <c r="D550" s="6" t="s">
        <v>911</v>
      </c>
      <c r="E550" s="6" t="s">
        <v>912</v>
      </c>
      <c r="F550" s="6" t="s">
        <v>923</v>
      </c>
      <c r="G550" s="4" t="s">
        <v>2834</v>
      </c>
      <c r="H550" s="4" t="s">
        <v>2922</v>
      </c>
      <c r="I550" s="6" t="s">
        <v>356</v>
      </c>
      <c r="J550" s="6" t="s">
        <v>31</v>
      </c>
      <c r="K550" s="12">
        <f>_xlfn.XLOOKUP(B550,[1]Sheet1!$B:$B,[1]Sheet1!$N:$N,0)</f>
        <v>0</v>
      </c>
      <c r="L550" s="12">
        <f>_xlfn.XLOOKUP(B550,[1]Sheet1!$B:$B,[1]Sheet1!$O:$O,0)</f>
        <v>0</v>
      </c>
      <c r="M550" s="12">
        <f>_xlfn.XLOOKUP(B550,[1]Sheet1!$B:$B,[1]Sheet1!$P:$P,0)</f>
        <v>0</v>
      </c>
      <c r="N550" s="12">
        <f>_xlfn.XLOOKUP(B550,[1]Sheet1!$B:$B,[1]Sheet1!$Q:$Q,0)</f>
        <v>116500</v>
      </c>
      <c r="O550" s="12">
        <f>_xlfn.XLOOKUP(B550,[1]Sheet1!$B:$B,[1]Sheet1!$R:$R,0)</f>
        <v>0</v>
      </c>
      <c r="P550" s="12">
        <f>_xlfn.XLOOKUP(B550,[1]Sheet1!$B:$B,[1]Sheet1!$S:$S,0)</f>
        <v>0</v>
      </c>
      <c r="Q550" s="12">
        <f>_xlfn.XLOOKUP(B550,[1]Sheet1!$B:$B,[1]Sheet1!$T:$T,0)</f>
        <v>14000</v>
      </c>
      <c r="R550" s="12">
        <f>_xlfn.XLOOKUP(B550,[1]Sheet1!$B:$B,[1]Sheet1!$U:$U,0)</f>
        <v>0</v>
      </c>
      <c r="S550" s="12">
        <f>_xlfn.XLOOKUP(B550,[1]Sheet1!$B:$B,[1]Sheet1!$V:$V,0)</f>
        <v>100000</v>
      </c>
      <c r="T550" s="12">
        <f>_xlfn.XLOOKUP(B550,[1]Sheet1!$B:$B,[1]Sheet1!$W:$W,0)</f>
        <v>90000</v>
      </c>
      <c r="U550" s="12">
        <f>_xlfn.XLOOKUP(B550,[1]Sheet1!$B:$B,[1]Sheet1!$X:$X,0)</f>
        <v>0</v>
      </c>
      <c r="V550" s="12">
        <f>_xlfn.XLOOKUP(B550,[1]Sheet1!$B:$B,[1]Sheet1!$Y:$Y,0)</f>
        <v>179500</v>
      </c>
      <c r="W550" s="12">
        <f t="shared" si="19"/>
        <v>500000</v>
      </c>
      <c r="X550" s="6" t="s">
        <v>924</v>
      </c>
      <c r="Y550" s="6" t="s">
        <v>392</v>
      </c>
      <c r="Z550" s="6" t="s">
        <v>915</v>
      </c>
      <c r="AA550" s="6" t="s">
        <v>356</v>
      </c>
      <c r="AB550" s="6" t="s">
        <v>36</v>
      </c>
      <c r="AC550" s="6" t="s">
        <v>37</v>
      </c>
      <c r="AD550" s="6" t="s">
        <v>848</v>
      </c>
      <c r="AE550" s="6" t="s">
        <v>39</v>
      </c>
      <c r="AF550" s="6" t="s">
        <v>40</v>
      </c>
      <c r="AG550" s="7">
        <v>500000</v>
      </c>
      <c r="AH550" s="11">
        <f>_xlfn.XLOOKUP(B550,[1]Sheet1!$B:$B,[1]Sheet1!$AB:$AB,0)</f>
        <v>500000</v>
      </c>
    </row>
    <row r="551" spans="2:34" ht="16.8" thickTop="1" thickBot="1" x14ac:dyDescent="0.35">
      <c r="B551" s="3" t="str">
        <f t="shared" si="18"/>
        <v>45191964511000695Photo &amp; Video-N424221200104</v>
      </c>
      <c r="C551" s="8" t="s">
        <v>843</v>
      </c>
      <c r="D551" s="8" t="s">
        <v>925</v>
      </c>
      <c r="E551" s="8" t="s">
        <v>926</v>
      </c>
      <c r="F551" s="8" t="s">
        <v>927</v>
      </c>
      <c r="G551" s="4" t="s">
        <v>2824</v>
      </c>
      <c r="H551" s="4" t="s">
        <v>2922</v>
      </c>
      <c r="I551" s="8" t="s">
        <v>209</v>
      </c>
      <c r="J551" s="8" t="s">
        <v>31</v>
      </c>
      <c r="K551" s="12">
        <f>_xlfn.XLOOKUP(B551,[1]Sheet1!$B:$B,[1]Sheet1!$N:$N,0)</f>
        <v>0</v>
      </c>
      <c r="L551" s="12">
        <f>_xlfn.XLOOKUP(B551,[1]Sheet1!$B:$B,[1]Sheet1!$O:$O,0)</f>
        <v>0</v>
      </c>
      <c r="M551" s="12">
        <f>_xlfn.XLOOKUP(B551,[1]Sheet1!$B:$B,[1]Sheet1!$P:$P,0)</f>
        <v>0</v>
      </c>
      <c r="N551" s="12">
        <f>_xlfn.XLOOKUP(B551,[1]Sheet1!$B:$B,[1]Sheet1!$Q:$Q,0)</f>
        <v>0</v>
      </c>
      <c r="O551" s="12">
        <f>_xlfn.XLOOKUP(B551,[1]Sheet1!$B:$B,[1]Sheet1!$R:$R,0)</f>
        <v>0</v>
      </c>
      <c r="P551" s="12">
        <f>_xlfn.XLOOKUP(B551,[1]Sheet1!$B:$B,[1]Sheet1!$S:$S,0)</f>
        <v>285000</v>
      </c>
      <c r="Q551" s="12">
        <f>_xlfn.XLOOKUP(B551,[1]Sheet1!$B:$B,[1]Sheet1!$T:$T,0)</f>
        <v>0</v>
      </c>
      <c r="R551" s="12">
        <f>_xlfn.XLOOKUP(B551,[1]Sheet1!$B:$B,[1]Sheet1!$U:$U,0)</f>
        <v>0</v>
      </c>
      <c r="S551" s="12">
        <f>_xlfn.XLOOKUP(B551,[1]Sheet1!$B:$B,[1]Sheet1!$V:$V,0)</f>
        <v>0</v>
      </c>
      <c r="T551" s="12">
        <f>_xlfn.XLOOKUP(B551,[1]Sheet1!$B:$B,[1]Sheet1!$W:$W,0)</f>
        <v>0</v>
      </c>
      <c r="U551" s="12">
        <f>_xlfn.XLOOKUP(B551,[1]Sheet1!$B:$B,[1]Sheet1!$X:$X,0)</f>
        <v>0</v>
      </c>
      <c r="V551" s="12">
        <f>_xlfn.XLOOKUP(B551,[1]Sheet1!$B:$B,[1]Sheet1!$Y:$Y,0)</f>
        <v>0</v>
      </c>
      <c r="W551" s="12">
        <f t="shared" si="19"/>
        <v>285000</v>
      </c>
      <c r="X551" s="8" t="s">
        <v>928</v>
      </c>
      <c r="Y551" s="8" t="s">
        <v>392</v>
      </c>
      <c r="Z551" s="8" t="s">
        <v>842</v>
      </c>
      <c r="AA551" s="8" t="s">
        <v>209</v>
      </c>
      <c r="AB551" s="8" t="s">
        <v>36</v>
      </c>
      <c r="AC551" s="8" t="s">
        <v>37</v>
      </c>
      <c r="AD551" s="8" t="s">
        <v>395</v>
      </c>
      <c r="AE551" s="8" t="s">
        <v>39</v>
      </c>
      <c r="AF551" s="8" t="s">
        <v>40</v>
      </c>
      <c r="AG551" s="9">
        <v>285000</v>
      </c>
      <c r="AH551" s="11">
        <f>_xlfn.XLOOKUP(B551,[1]Sheet1!$B:$B,[1]Sheet1!$AB:$AB,0)</f>
        <v>285000</v>
      </c>
    </row>
    <row r="552" spans="2:34" ht="16.8" thickTop="1" thickBot="1" x14ac:dyDescent="0.35">
      <c r="B552" s="3" t="str">
        <f t="shared" si="18"/>
        <v>45112504511000708Cleaning Service-N422311200104</v>
      </c>
      <c r="C552" s="6" t="s">
        <v>67</v>
      </c>
      <c r="D552" s="6" t="s">
        <v>929</v>
      </c>
      <c r="E552" s="6" t="s">
        <v>930</v>
      </c>
      <c r="F552" s="6" t="s">
        <v>79</v>
      </c>
      <c r="G552" s="4" t="s">
        <v>2810</v>
      </c>
      <c r="H552" s="4" t="s">
        <v>2922</v>
      </c>
      <c r="I552" s="6" t="s">
        <v>80</v>
      </c>
      <c r="J552" s="6" t="s">
        <v>31</v>
      </c>
      <c r="K552" s="12">
        <f>_xlfn.XLOOKUP(B552,[1]Sheet1!$B:$B,[1]Sheet1!$N:$N,0)</f>
        <v>0</v>
      </c>
      <c r="L552" s="12">
        <f>_xlfn.XLOOKUP(B552,[1]Sheet1!$B:$B,[1]Sheet1!$O:$O,0)</f>
        <v>0</v>
      </c>
      <c r="M552" s="12">
        <f>_xlfn.XLOOKUP(B552,[1]Sheet1!$B:$B,[1]Sheet1!$P:$P,0)</f>
        <v>0</v>
      </c>
      <c r="N552" s="12">
        <f>_xlfn.XLOOKUP(B552,[1]Sheet1!$B:$B,[1]Sheet1!$Q:$Q,0)</f>
        <v>1883</v>
      </c>
      <c r="O552" s="12">
        <f>_xlfn.XLOOKUP(B552,[1]Sheet1!$B:$B,[1]Sheet1!$R:$R,0)</f>
        <v>1883</v>
      </c>
      <c r="P552" s="12">
        <f>_xlfn.XLOOKUP(B552,[1]Sheet1!$B:$B,[1]Sheet1!$S:$S,0)</f>
        <v>1883</v>
      </c>
      <c r="Q552" s="12">
        <f>_xlfn.XLOOKUP(B552,[1]Sheet1!$B:$B,[1]Sheet1!$T:$T,0)</f>
        <v>1883</v>
      </c>
      <c r="R552" s="12">
        <f>_xlfn.XLOOKUP(B552,[1]Sheet1!$B:$B,[1]Sheet1!$U:$U,0)</f>
        <v>1883</v>
      </c>
      <c r="S552" s="12">
        <f>_xlfn.XLOOKUP(B552,[1]Sheet1!$B:$B,[1]Sheet1!$V:$V,0)</f>
        <v>1883</v>
      </c>
      <c r="T552" s="12">
        <f>_xlfn.XLOOKUP(B552,[1]Sheet1!$B:$B,[1]Sheet1!$W:$W,0)</f>
        <v>1883</v>
      </c>
      <c r="U552" s="12">
        <f>_xlfn.XLOOKUP(B552,[1]Sheet1!$B:$B,[1]Sheet1!$X:$X,0)</f>
        <v>1883</v>
      </c>
      <c r="V552" s="12">
        <f>_xlfn.XLOOKUP(B552,[1]Sheet1!$B:$B,[1]Sheet1!$Y:$Y,0)</f>
        <v>7529</v>
      </c>
      <c r="W552" s="12">
        <f t="shared" si="19"/>
        <v>22593</v>
      </c>
      <c r="X552" s="6" t="s">
        <v>81</v>
      </c>
      <c r="Y552" s="6" t="s">
        <v>65</v>
      </c>
      <c r="Z552" s="6" t="s">
        <v>66</v>
      </c>
      <c r="AA552" s="6" t="s">
        <v>80</v>
      </c>
      <c r="AB552" s="6" t="s">
        <v>36</v>
      </c>
      <c r="AC552" s="6" t="s">
        <v>37</v>
      </c>
      <c r="AD552" s="6" t="s">
        <v>69</v>
      </c>
      <c r="AE552" s="6" t="s">
        <v>39</v>
      </c>
      <c r="AF552" s="6" t="s">
        <v>40</v>
      </c>
      <c r="AG552" s="7">
        <v>22592.7</v>
      </c>
      <c r="AH552" s="11">
        <f>_xlfn.XLOOKUP(B552,[1]Sheet1!$B:$B,[1]Sheet1!$AB:$AB,0)</f>
        <v>22593</v>
      </c>
    </row>
    <row r="553" spans="2:34" ht="16.8" thickTop="1" thickBot="1" x14ac:dyDescent="0.35">
      <c r="B553" s="3" t="str">
        <f t="shared" si="18"/>
        <v>45112504511000708Maintenance-N426212200104</v>
      </c>
      <c r="C553" s="8" t="s">
        <v>67</v>
      </c>
      <c r="D553" s="8" t="s">
        <v>929</v>
      </c>
      <c r="E553" s="8" t="s">
        <v>930</v>
      </c>
      <c r="F553" s="8" t="s">
        <v>95</v>
      </c>
      <c r="G553" s="4" t="s">
        <v>2814</v>
      </c>
      <c r="H553" s="4" t="s">
        <v>2922</v>
      </c>
      <c r="I553" s="8" t="s">
        <v>96</v>
      </c>
      <c r="J553" s="8" t="s">
        <v>31</v>
      </c>
      <c r="K553" s="12">
        <f>_xlfn.XLOOKUP(B553,[1]Sheet1!$B:$B,[1]Sheet1!$N:$N,0)</f>
        <v>0</v>
      </c>
      <c r="L553" s="12">
        <f>_xlfn.XLOOKUP(B553,[1]Sheet1!$B:$B,[1]Sheet1!$O:$O,0)</f>
        <v>0</v>
      </c>
      <c r="M553" s="12">
        <f>_xlfn.XLOOKUP(B553,[1]Sheet1!$B:$B,[1]Sheet1!$P:$P,0)</f>
        <v>0</v>
      </c>
      <c r="N553" s="12">
        <f>_xlfn.XLOOKUP(B553,[1]Sheet1!$B:$B,[1]Sheet1!$Q:$Q,0)</f>
        <v>7423</v>
      </c>
      <c r="O553" s="12">
        <f>_xlfn.XLOOKUP(B553,[1]Sheet1!$B:$B,[1]Sheet1!$R:$R,0)</f>
        <v>1856</v>
      </c>
      <c r="P553" s="12">
        <f>_xlfn.XLOOKUP(B553,[1]Sheet1!$B:$B,[1]Sheet1!$S:$S,0)</f>
        <v>1856</v>
      </c>
      <c r="Q553" s="12">
        <f>_xlfn.XLOOKUP(B553,[1]Sheet1!$B:$B,[1]Sheet1!$T:$T,0)</f>
        <v>1856</v>
      </c>
      <c r="R553" s="12">
        <f>_xlfn.XLOOKUP(B553,[1]Sheet1!$B:$B,[1]Sheet1!$U:$U,0)</f>
        <v>1856</v>
      </c>
      <c r="S553" s="12">
        <f>_xlfn.XLOOKUP(B553,[1]Sheet1!$B:$B,[1]Sheet1!$V:$V,0)</f>
        <v>1856</v>
      </c>
      <c r="T553" s="12">
        <f>_xlfn.XLOOKUP(B553,[1]Sheet1!$B:$B,[1]Sheet1!$W:$W,0)</f>
        <v>1856</v>
      </c>
      <c r="U553" s="12">
        <f>_xlfn.XLOOKUP(B553,[1]Sheet1!$B:$B,[1]Sheet1!$X:$X,0)</f>
        <v>1856</v>
      </c>
      <c r="V553" s="12">
        <f>_xlfn.XLOOKUP(B553,[1]Sheet1!$B:$B,[1]Sheet1!$Y:$Y,0)</f>
        <v>1855</v>
      </c>
      <c r="W553" s="12">
        <f t="shared" si="19"/>
        <v>22270</v>
      </c>
      <c r="X553" s="8" t="s">
        <v>97</v>
      </c>
      <c r="Y553" s="8" t="s">
        <v>65</v>
      </c>
      <c r="Z553" s="8" t="s">
        <v>66</v>
      </c>
      <c r="AA553" s="8" t="s">
        <v>96</v>
      </c>
      <c r="AB553" s="8" t="s">
        <v>36</v>
      </c>
      <c r="AC553" s="8" t="s">
        <v>37</v>
      </c>
      <c r="AD553" s="8" t="s">
        <v>69</v>
      </c>
      <c r="AE553" s="8" t="s">
        <v>39</v>
      </c>
      <c r="AF553" s="8" t="s">
        <v>40</v>
      </c>
      <c r="AG553" s="9">
        <v>22270</v>
      </c>
      <c r="AH553" s="11">
        <f>_xlfn.XLOOKUP(B553,[1]Sheet1!$B:$B,[1]Sheet1!$AB:$AB,0)</f>
        <v>22270</v>
      </c>
    </row>
    <row r="554" spans="2:34" ht="16.8" thickTop="1" thickBot="1" x14ac:dyDescent="0.35">
      <c r="B554" s="3" t="str">
        <f t="shared" si="18"/>
        <v>45112504511000708Pest Control-N422321200104</v>
      </c>
      <c r="C554" s="6" t="s">
        <v>67</v>
      </c>
      <c r="D554" s="6" t="s">
        <v>929</v>
      </c>
      <c r="E554" s="6" t="s">
        <v>930</v>
      </c>
      <c r="F554" s="6" t="s">
        <v>103</v>
      </c>
      <c r="G554" s="4" t="s">
        <v>2816</v>
      </c>
      <c r="H554" s="4" t="s">
        <v>2922</v>
      </c>
      <c r="I554" s="6" t="s">
        <v>104</v>
      </c>
      <c r="J554" s="6" t="s">
        <v>31</v>
      </c>
      <c r="K554" s="12">
        <f>_xlfn.XLOOKUP(B554,[1]Sheet1!$B:$B,[1]Sheet1!$N:$N,0)</f>
        <v>0</v>
      </c>
      <c r="L554" s="12">
        <f>_xlfn.XLOOKUP(B554,[1]Sheet1!$B:$B,[1]Sheet1!$O:$O,0)</f>
        <v>0</v>
      </c>
      <c r="M554" s="12">
        <f>_xlfn.XLOOKUP(B554,[1]Sheet1!$B:$B,[1]Sheet1!$P:$P,0)</f>
        <v>0</v>
      </c>
      <c r="N554" s="12">
        <f>_xlfn.XLOOKUP(B554,[1]Sheet1!$B:$B,[1]Sheet1!$Q:$Q,0)</f>
        <v>10000</v>
      </c>
      <c r="O554" s="12">
        <f>_xlfn.XLOOKUP(B554,[1]Sheet1!$B:$B,[1]Sheet1!$R:$R,0)</f>
        <v>10000</v>
      </c>
      <c r="P554" s="12">
        <f>_xlfn.XLOOKUP(B554,[1]Sheet1!$B:$B,[1]Sheet1!$S:$S,0)</f>
        <v>0</v>
      </c>
      <c r="Q554" s="12">
        <f>_xlfn.XLOOKUP(B554,[1]Sheet1!$B:$B,[1]Sheet1!$T:$T,0)</f>
        <v>10000</v>
      </c>
      <c r="R554" s="12">
        <f>_xlfn.XLOOKUP(B554,[1]Sheet1!$B:$B,[1]Sheet1!$U:$U,0)</f>
        <v>0</v>
      </c>
      <c r="S554" s="12">
        <f>_xlfn.XLOOKUP(B554,[1]Sheet1!$B:$B,[1]Sheet1!$V:$V,0)</f>
        <v>10000</v>
      </c>
      <c r="T554" s="12">
        <f>_xlfn.XLOOKUP(B554,[1]Sheet1!$B:$B,[1]Sheet1!$W:$W,0)</f>
        <v>0</v>
      </c>
      <c r="U554" s="12">
        <f>_xlfn.XLOOKUP(B554,[1]Sheet1!$B:$B,[1]Sheet1!$X:$X,0)</f>
        <v>10000</v>
      </c>
      <c r="V554" s="12">
        <f>_xlfn.XLOOKUP(B554,[1]Sheet1!$B:$B,[1]Sheet1!$Y:$Y,0)</f>
        <v>0</v>
      </c>
      <c r="W554" s="12">
        <f t="shared" si="19"/>
        <v>50000</v>
      </c>
      <c r="X554" s="6" t="s">
        <v>105</v>
      </c>
      <c r="Y554" s="6" t="s">
        <v>65</v>
      </c>
      <c r="Z554" s="6" t="s">
        <v>66</v>
      </c>
      <c r="AA554" s="6" t="s">
        <v>106</v>
      </c>
      <c r="AB554" s="6" t="s">
        <v>36</v>
      </c>
      <c r="AC554" s="6" t="s">
        <v>37</v>
      </c>
      <c r="AD554" s="6" t="s">
        <v>69</v>
      </c>
      <c r="AE554" s="6" t="s">
        <v>39</v>
      </c>
      <c r="AF554" s="6" t="s">
        <v>40</v>
      </c>
      <c r="AG554" s="7">
        <v>50000</v>
      </c>
      <c r="AH554" s="11">
        <f>_xlfn.XLOOKUP(B554,[1]Sheet1!$B:$B,[1]Sheet1!$AB:$AB,0)</f>
        <v>50000</v>
      </c>
    </row>
    <row r="555" spans="2:34" ht="16.8" thickTop="1" thickBot="1" x14ac:dyDescent="0.35">
      <c r="B555" s="3" t="str">
        <f t="shared" si="18"/>
        <v>45112504511000708Security Service-N424551200104</v>
      </c>
      <c r="C555" s="8" t="s">
        <v>67</v>
      </c>
      <c r="D555" s="8" t="s">
        <v>929</v>
      </c>
      <c r="E555" s="8" t="s">
        <v>930</v>
      </c>
      <c r="F555" s="8" t="s">
        <v>107</v>
      </c>
      <c r="G555" s="4" t="s">
        <v>2817</v>
      </c>
      <c r="H555" s="4" t="s">
        <v>2922</v>
      </c>
      <c r="I555" s="8" t="s">
        <v>108</v>
      </c>
      <c r="J555" s="8" t="s">
        <v>31</v>
      </c>
      <c r="K555" s="12">
        <f>_xlfn.XLOOKUP(B555,[1]Sheet1!$B:$B,[1]Sheet1!$N:$N,0)</f>
        <v>0</v>
      </c>
      <c r="L555" s="12">
        <f>_xlfn.XLOOKUP(B555,[1]Sheet1!$B:$B,[1]Sheet1!$O:$O,0)</f>
        <v>0</v>
      </c>
      <c r="M555" s="12">
        <f>_xlfn.XLOOKUP(B555,[1]Sheet1!$B:$B,[1]Sheet1!$P:$P,0)</f>
        <v>0</v>
      </c>
      <c r="N555" s="12">
        <f>_xlfn.XLOOKUP(B555,[1]Sheet1!$B:$B,[1]Sheet1!$Q:$Q,0)</f>
        <v>33200</v>
      </c>
      <c r="O555" s="12">
        <f>_xlfn.XLOOKUP(B555,[1]Sheet1!$B:$B,[1]Sheet1!$R:$R,0)</f>
        <v>8300</v>
      </c>
      <c r="P555" s="12">
        <f>_xlfn.XLOOKUP(B555,[1]Sheet1!$B:$B,[1]Sheet1!$S:$S,0)</f>
        <v>8300</v>
      </c>
      <c r="Q555" s="12">
        <f>_xlfn.XLOOKUP(B555,[1]Sheet1!$B:$B,[1]Sheet1!$T:$T,0)</f>
        <v>8300</v>
      </c>
      <c r="R555" s="12">
        <f>_xlfn.XLOOKUP(B555,[1]Sheet1!$B:$B,[1]Sheet1!$U:$U,0)</f>
        <v>8300</v>
      </c>
      <c r="S555" s="12">
        <f>_xlfn.XLOOKUP(B555,[1]Sheet1!$B:$B,[1]Sheet1!$V:$V,0)</f>
        <v>8300</v>
      </c>
      <c r="T555" s="12">
        <f>_xlfn.XLOOKUP(B555,[1]Sheet1!$B:$B,[1]Sheet1!$W:$W,0)</f>
        <v>8300</v>
      </c>
      <c r="U555" s="12">
        <f>_xlfn.XLOOKUP(B555,[1]Sheet1!$B:$B,[1]Sheet1!$X:$X,0)</f>
        <v>8300</v>
      </c>
      <c r="V555" s="12">
        <f>_xlfn.XLOOKUP(B555,[1]Sheet1!$B:$B,[1]Sheet1!$Y:$Y,0)</f>
        <v>8300</v>
      </c>
      <c r="W555" s="12">
        <f t="shared" si="19"/>
        <v>99600</v>
      </c>
      <c r="X555" s="8" t="s">
        <v>109</v>
      </c>
      <c r="Y555" s="8" t="s">
        <v>65</v>
      </c>
      <c r="Z555" s="8" t="s">
        <v>66</v>
      </c>
      <c r="AA555" s="8" t="s">
        <v>108</v>
      </c>
      <c r="AB555" s="8" t="s">
        <v>36</v>
      </c>
      <c r="AC555" s="8" t="s">
        <v>37</v>
      </c>
      <c r="AD555" s="8" t="s">
        <v>69</v>
      </c>
      <c r="AE555" s="8" t="s">
        <v>39</v>
      </c>
      <c r="AF555" s="8" t="s">
        <v>40</v>
      </c>
      <c r="AG555" s="9">
        <v>99600.4</v>
      </c>
      <c r="AH555" s="11">
        <f>_xlfn.XLOOKUP(B555,[1]Sheet1!$B:$B,[1]Sheet1!$AB:$AB,0)</f>
        <v>99600</v>
      </c>
    </row>
    <row r="556" spans="2:34" ht="16.8" thickTop="1" thickBot="1" x14ac:dyDescent="0.35">
      <c r="B556" s="3" t="str">
        <f t="shared" si="18"/>
        <v>45112504511000708Utilities-N423931200104</v>
      </c>
      <c r="C556" s="6" t="s">
        <v>67</v>
      </c>
      <c r="D556" s="6" t="s">
        <v>929</v>
      </c>
      <c r="E556" s="6" t="s">
        <v>930</v>
      </c>
      <c r="F556" s="6" t="s">
        <v>110</v>
      </c>
      <c r="G556" s="4" t="s">
        <v>2818</v>
      </c>
      <c r="H556" s="4" t="s">
        <v>2922</v>
      </c>
      <c r="I556" s="6" t="s">
        <v>111</v>
      </c>
      <c r="J556" s="6" t="s">
        <v>31</v>
      </c>
      <c r="K556" s="12">
        <f>_xlfn.XLOOKUP(B556,[1]Sheet1!$B:$B,[1]Sheet1!$N:$N,0)</f>
        <v>0</v>
      </c>
      <c r="L556" s="12">
        <f>_xlfn.XLOOKUP(B556,[1]Sheet1!$B:$B,[1]Sheet1!$O:$O,0)</f>
        <v>0</v>
      </c>
      <c r="M556" s="12">
        <f>_xlfn.XLOOKUP(B556,[1]Sheet1!$B:$B,[1]Sheet1!$P:$P,0)</f>
        <v>0</v>
      </c>
      <c r="N556" s="12">
        <f>_xlfn.XLOOKUP(B556,[1]Sheet1!$B:$B,[1]Sheet1!$Q:$Q,0)</f>
        <v>31222.1666</v>
      </c>
      <c r="O556" s="12">
        <f>_xlfn.XLOOKUP(B556,[1]Sheet1!$B:$B,[1]Sheet1!$R:$R,0)</f>
        <v>15611.0833</v>
      </c>
      <c r="P556" s="12">
        <f>_xlfn.XLOOKUP(B556,[1]Sheet1!$B:$B,[1]Sheet1!$S:$S,0)</f>
        <v>15611.0833</v>
      </c>
      <c r="Q556" s="12">
        <f>_xlfn.XLOOKUP(B556,[1]Sheet1!$B:$B,[1]Sheet1!$T:$T,0)</f>
        <v>15611.0833</v>
      </c>
      <c r="R556" s="12">
        <f>_xlfn.XLOOKUP(B556,[1]Sheet1!$B:$B,[1]Sheet1!$U:$U,0)</f>
        <v>15611.0833</v>
      </c>
      <c r="S556" s="12">
        <f>_xlfn.XLOOKUP(B556,[1]Sheet1!$B:$B,[1]Sheet1!$V:$V,0)</f>
        <v>15611.0833</v>
      </c>
      <c r="T556" s="12">
        <f>_xlfn.XLOOKUP(B556,[1]Sheet1!$B:$B,[1]Sheet1!$W:$W,0)</f>
        <v>15611.0833</v>
      </c>
      <c r="U556" s="12">
        <f>_xlfn.XLOOKUP(B556,[1]Sheet1!$B:$B,[1]Sheet1!$X:$X,0)</f>
        <v>15611.0833</v>
      </c>
      <c r="V556" s="12">
        <f>_xlfn.XLOOKUP(B556,[1]Sheet1!$B:$B,[1]Sheet1!$Y:$Y,0)</f>
        <v>46833.25</v>
      </c>
      <c r="W556" s="12">
        <f t="shared" si="19"/>
        <v>187332.99970000001</v>
      </c>
      <c r="X556" s="6" t="s">
        <v>112</v>
      </c>
      <c r="Y556" s="6" t="s">
        <v>65</v>
      </c>
      <c r="Z556" s="6" t="s">
        <v>66</v>
      </c>
      <c r="AA556" s="6" t="s">
        <v>111</v>
      </c>
      <c r="AB556" s="6" t="s">
        <v>36</v>
      </c>
      <c r="AC556" s="6" t="s">
        <v>37</v>
      </c>
      <c r="AD556" s="6" t="s">
        <v>69</v>
      </c>
      <c r="AE556" s="6" t="s">
        <v>39</v>
      </c>
      <c r="AF556" s="6" t="s">
        <v>40</v>
      </c>
      <c r="AG556" s="7">
        <v>187332.2</v>
      </c>
      <c r="AH556" s="11">
        <f>_xlfn.XLOOKUP(B556,[1]Sheet1!$B:$B,[1]Sheet1!$AB:$AB,0)</f>
        <v>187332.99970000001</v>
      </c>
    </row>
    <row r="557" spans="2:34" ht="16.8" thickTop="1" thickBot="1" x14ac:dyDescent="0.35">
      <c r="B557" s="3" t="str">
        <f t="shared" si="18"/>
        <v>45112504511000708Waste Mgmnt-N424591200104</v>
      </c>
      <c r="C557" s="8" t="s">
        <v>67</v>
      </c>
      <c r="D557" s="8" t="s">
        <v>929</v>
      </c>
      <c r="E557" s="8" t="s">
        <v>930</v>
      </c>
      <c r="F557" s="8" t="s">
        <v>382</v>
      </c>
      <c r="G557" s="4" t="s">
        <v>2836</v>
      </c>
      <c r="H557" s="4" t="s">
        <v>2922</v>
      </c>
      <c r="I557" s="8" t="s">
        <v>383</v>
      </c>
      <c r="J557" s="8" t="s">
        <v>31</v>
      </c>
      <c r="K557" s="12">
        <f>_xlfn.XLOOKUP(B557,[1]Sheet1!$B:$B,[1]Sheet1!$N:$N,0)</f>
        <v>0</v>
      </c>
      <c r="L557" s="12">
        <f>_xlfn.XLOOKUP(B557,[1]Sheet1!$B:$B,[1]Sheet1!$O:$O,0)</f>
        <v>0</v>
      </c>
      <c r="M557" s="12">
        <f>_xlfn.XLOOKUP(B557,[1]Sheet1!$B:$B,[1]Sheet1!$P:$P,0)</f>
        <v>0</v>
      </c>
      <c r="N557" s="12">
        <f>_xlfn.XLOOKUP(B557,[1]Sheet1!$B:$B,[1]Sheet1!$Q:$Q,0)</f>
        <v>2561</v>
      </c>
      <c r="O557" s="12">
        <f>_xlfn.XLOOKUP(B557,[1]Sheet1!$B:$B,[1]Sheet1!$R:$R,0)</f>
        <v>0</v>
      </c>
      <c r="P557" s="12">
        <f>_xlfn.XLOOKUP(B557,[1]Sheet1!$B:$B,[1]Sheet1!$S:$S,0)</f>
        <v>0</v>
      </c>
      <c r="Q557" s="12">
        <f>_xlfn.XLOOKUP(B557,[1]Sheet1!$B:$B,[1]Sheet1!$T:$T,0)</f>
        <v>2561</v>
      </c>
      <c r="R557" s="12">
        <f>_xlfn.XLOOKUP(B557,[1]Sheet1!$B:$B,[1]Sheet1!$U:$U,0)</f>
        <v>0</v>
      </c>
      <c r="S557" s="12">
        <f>_xlfn.XLOOKUP(B557,[1]Sheet1!$B:$B,[1]Sheet1!$V:$V,0)</f>
        <v>0</v>
      </c>
      <c r="T557" s="12">
        <f>_xlfn.XLOOKUP(B557,[1]Sheet1!$B:$B,[1]Sheet1!$W:$W,0)</f>
        <v>0</v>
      </c>
      <c r="U557" s="12">
        <f>_xlfn.XLOOKUP(B557,[1]Sheet1!$B:$B,[1]Sheet1!$X:$X,0)</f>
        <v>2562</v>
      </c>
      <c r="V557" s="12">
        <f>_xlfn.XLOOKUP(B557,[1]Sheet1!$B:$B,[1]Sheet1!$Y:$Y,0)</f>
        <v>0</v>
      </c>
      <c r="W557" s="12">
        <f t="shared" si="19"/>
        <v>7684</v>
      </c>
      <c r="X557" s="8" t="s">
        <v>384</v>
      </c>
      <c r="Y557" s="8" t="s">
        <v>65</v>
      </c>
      <c r="Z557" s="8" t="s">
        <v>66</v>
      </c>
      <c r="AA557" s="8" t="s">
        <v>383</v>
      </c>
      <c r="AB557" s="8" t="s">
        <v>36</v>
      </c>
      <c r="AC557" s="8" t="s">
        <v>37</v>
      </c>
      <c r="AD557" s="8" t="s">
        <v>69</v>
      </c>
      <c r="AE557" s="8" t="s">
        <v>39</v>
      </c>
      <c r="AF557" s="8" t="s">
        <v>40</v>
      </c>
      <c r="AG557" s="9">
        <v>7684.2</v>
      </c>
      <c r="AH557" s="11">
        <f>_xlfn.XLOOKUP(B557,[1]Sheet1!$B:$B,[1]Sheet1!$AB:$AB,0)</f>
        <v>7684</v>
      </c>
    </row>
    <row r="558" spans="2:34" ht="16.8" thickTop="1" thickBot="1" x14ac:dyDescent="0.35">
      <c r="B558" s="3" t="str">
        <f t="shared" si="18"/>
        <v>45102304511000709Maintenance-N1426212200104</v>
      </c>
      <c r="C558" s="6" t="s">
        <v>467</v>
      </c>
      <c r="D558" s="6" t="s">
        <v>931</v>
      </c>
      <c r="E558" s="6" t="s">
        <v>932</v>
      </c>
      <c r="F558" s="6" t="s">
        <v>625</v>
      </c>
      <c r="G558" s="4" t="s">
        <v>2814</v>
      </c>
      <c r="H558" s="4" t="s">
        <v>2922</v>
      </c>
      <c r="I558" s="6" t="s">
        <v>96</v>
      </c>
      <c r="J558" s="6" t="s">
        <v>31</v>
      </c>
      <c r="K558" s="12">
        <f>_xlfn.XLOOKUP(B558,[1]Sheet1!$B:$B,[1]Sheet1!$N:$N,0)</f>
        <v>0</v>
      </c>
      <c r="L558" s="12">
        <f>_xlfn.XLOOKUP(B558,[1]Sheet1!$B:$B,[1]Sheet1!$O:$O,0)</f>
        <v>0</v>
      </c>
      <c r="M558" s="12">
        <f>_xlfn.XLOOKUP(B558,[1]Sheet1!$B:$B,[1]Sheet1!$P:$P,0)</f>
        <v>0</v>
      </c>
      <c r="N558" s="12">
        <f>_xlfn.XLOOKUP(B558,[1]Sheet1!$B:$B,[1]Sheet1!$Q:$Q,0)</f>
        <v>26664</v>
      </c>
      <c r="O558" s="12">
        <f>_xlfn.XLOOKUP(B558,[1]Sheet1!$B:$B,[1]Sheet1!$R:$R,0)</f>
        <v>6667</v>
      </c>
      <c r="P558" s="12">
        <f>_xlfn.XLOOKUP(B558,[1]Sheet1!$B:$B,[1]Sheet1!$S:$S,0)</f>
        <v>6667</v>
      </c>
      <c r="Q558" s="12">
        <f>_xlfn.XLOOKUP(B558,[1]Sheet1!$B:$B,[1]Sheet1!$T:$T,0)</f>
        <v>6667</v>
      </c>
      <c r="R558" s="12">
        <f>_xlfn.XLOOKUP(B558,[1]Sheet1!$B:$B,[1]Sheet1!$U:$U,0)</f>
        <v>6667</v>
      </c>
      <c r="S558" s="12">
        <f>_xlfn.XLOOKUP(B558,[1]Sheet1!$B:$B,[1]Sheet1!$V:$V,0)</f>
        <v>6667</v>
      </c>
      <c r="T558" s="12">
        <f>_xlfn.XLOOKUP(B558,[1]Sheet1!$B:$B,[1]Sheet1!$W:$W,0)</f>
        <v>6667</v>
      </c>
      <c r="U558" s="12">
        <f>_xlfn.XLOOKUP(B558,[1]Sheet1!$B:$B,[1]Sheet1!$X:$X,0)</f>
        <v>6667</v>
      </c>
      <c r="V558" s="12">
        <f>_xlfn.XLOOKUP(B558,[1]Sheet1!$B:$B,[1]Sheet1!$Y:$Y,0)</f>
        <v>6667</v>
      </c>
      <c r="W558" s="12">
        <f t="shared" si="19"/>
        <v>80000</v>
      </c>
      <c r="X558" s="6" t="s">
        <v>626</v>
      </c>
      <c r="Y558" s="6" t="s">
        <v>132</v>
      </c>
      <c r="Z558" s="6" t="s">
        <v>466</v>
      </c>
      <c r="AA558" s="6" t="s">
        <v>96</v>
      </c>
      <c r="AB558" s="6" t="s">
        <v>36</v>
      </c>
      <c r="AC558" s="6" t="s">
        <v>37</v>
      </c>
      <c r="AD558" s="6" t="s">
        <v>468</v>
      </c>
      <c r="AE558" s="6" t="s">
        <v>39</v>
      </c>
      <c r="AF558" s="6" t="s">
        <v>40</v>
      </c>
      <c r="AG558" s="7">
        <v>80000</v>
      </c>
      <c r="AH558" s="11">
        <f>_xlfn.XLOOKUP(B558,[1]Sheet1!$B:$B,[1]Sheet1!$AB:$AB,0)</f>
        <v>80000</v>
      </c>
    </row>
    <row r="559" spans="2:34" ht="16.8" thickTop="1" thickBot="1" x14ac:dyDescent="0.35">
      <c r="B559" s="3" t="str">
        <f t="shared" si="18"/>
        <v>45155004511000718Sponsorship Fees-L424811201096</v>
      </c>
      <c r="C559" s="8" t="s">
        <v>513</v>
      </c>
      <c r="D559" s="8" t="s">
        <v>933</v>
      </c>
      <c r="E559" s="8" t="s">
        <v>934</v>
      </c>
      <c r="F559" s="8" t="s">
        <v>935</v>
      </c>
      <c r="G559" s="4" t="s">
        <v>2802</v>
      </c>
      <c r="H559" s="4" t="s">
        <v>2927</v>
      </c>
      <c r="I559" s="8" t="s">
        <v>30</v>
      </c>
      <c r="J559" s="8" t="s">
        <v>31</v>
      </c>
      <c r="K559" s="12">
        <f>_xlfn.XLOOKUP(B559,[1]Sheet1!$B:$B,[1]Sheet1!$N:$N,0)</f>
        <v>0</v>
      </c>
      <c r="L559" s="12">
        <f>_xlfn.XLOOKUP(B559,[1]Sheet1!$B:$B,[1]Sheet1!$O:$O,0)</f>
        <v>0</v>
      </c>
      <c r="M559" s="12">
        <f>_xlfn.XLOOKUP(B559,[1]Sheet1!$B:$B,[1]Sheet1!$P:$P,0)</f>
        <v>0</v>
      </c>
      <c r="N559" s="12">
        <f>_xlfn.XLOOKUP(B559,[1]Sheet1!$B:$B,[1]Sheet1!$Q:$Q,0)</f>
        <v>1224333</v>
      </c>
      <c r="O559" s="12">
        <f>_xlfn.XLOOKUP(B559,[1]Sheet1!$B:$B,[1]Sheet1!$R:$R,0)</f>
        <v>0</v>
      </c>
      <c r="P559" s="12">
        <f>_xlfn.XLOOKUP(B559,[1]Sheet1!$B:$B,[1]Sheet1!$S:$S,0)</f>
        <v>0</v>
      </c>
      <c r="Q559" s="12">
        <f>_xlfn.XLOOKUP(B559,[1]Sheet1!$B:$B,[1]Sheet1!$T:$T,0)</f>
        <v>1224333</v>
      </c>
      <c r="R559" s="12">
        <f>_xlfn.XLOOKUP(B559,[1]Sheet1!$B:$B,[1]Sheet1!$U:$U,0)</f>
        <v>0</v>
      </c>
      <c r="S559" s="12">
        <f>_xlfn.XLOOKUP(B559,[1]Sheet1!$B:$B,[1]Sheet1!$V:$V,0)</f>
        <v>0</v>
      </c>
      <c r="T559" s="12">
        <f>_xlfn.XLOOKUP(B559,[1]Sheet1!$B:$B,[1]Sheet1!$W:$W,0)</f>
        <v>1224334</v>
      </c>
      <c r="U559" s="12">
        <f>_xlfn.XLOOKUP(B559,[1]Sheet1!$B:$B,[1]Sheet1!$X:$X,0)</f>
        <v>0</v>
      </c>
      <c r="V559" s="12">
        <f>_xlfn.XLOOKUP(B559,[1]Sheet1!$B:$B,[1]Sheet1!$Y:$Y,0)</f>
        <v>0</v>
      </c>
      <c r="W559" s="12">
        <f t="shared" si="19"/>
        <v>3673000</v>
      </c>
      <c r="X559" s="8" t="s">
        <v>936</v>
      </c>
      <c r="Y559" s="8" t="s">
        <v>211</v>
      </c>
      <c r="Z559" s="8" t="s">
        <v>512</v>
      </c>
      <c r="AA559" s="8" t="s">
        <v>30</v>
      </c>
      <c r="AB559" s="8" t="s">
        <v>937</v>
      </c>
      <c r="AC559" s="8" t="s">
        <v>37</v>
      </c>
      <c r="AD559" s="8" t="s">
        <v>143</v>
      </c>
      <c r="AE559" s="8" t="s">
        <v>39</v>
      </c>
      <c r="AF559" s="8" t="s">
        <v>40</v>
      </c>
      <c r="AG559" s="9">
        <v>3673000</v>
      </c>
      <c r="AH559" s="11">
        <f>_xlfn.XLOOKUP(B559,[1]Sheet1!$B:$B,[1]Sheet1!$AB:$AB,0)</f>
        <v>3673000</v>
      </c>
    </row>
    <row r="560" spans="2:34" ht="16.8" thickTop="1" thickBot="1" x14ac:dyDescent="0.35">
      <c r="B560" s="3" t="str">
        <f t="shared" si="18"/>
        <v>45115504511000721SM Prodct&amp;Develp-N422511200104</v>
      </c>
      <c r="C560" s="6" t="s">
        <v>154</v>
      </c>
      <c r="D560" s="6" t="s">
        <v>938</v>
      </c>
      <c r="E560" s="6" t="s">
        <v>939</v>
      </c>
      <c r="F560" s="6" t="s">
        <v>435</v>
      </c>
      <c r="G560" s="4" t="s">
        <v>2819</v>
      </c>
      <c r="H560" s="4" t="s">
        <v>2922</v>
      </c>
      <c r="I560" s="6" t="s">
        <v>151</v>
      </c>
      <c r="J560" s="6" t="s">
        <v>31</v>
      </c>
      <c r="K560" s="12">
        <f>_xlfn.XLOOKUP(B560,[1]Sheet1!$B:$B,[1]Sheet1!$N:$N,0)</f>
        <v>0</v>
      </c>
      <c r="L560" s="12">
        <f>_xlfn.XLOOKUP(B560,[1]Sheet1!$B:$B,[1]Sheet1!$O:$O,0)</f>
        <v>0</v>
      </c>
      <c r="M560" s="12">
        <f>_xlfn.XLOOKUP(B560,[1]Sheet1!$B:$B,[1]Sheet1!$P:$P,0)</f>
        <v>0</v>
      </c>
      <c r="N560" s="12">
        <f>_xlfn.XLOOKUP(B560,[1]Sheet1!$B:$B,[1]Sheet1!$Q:$Q,0)</f>
        <v>0</v>
      </c>
      <c r="O560" s="12">
        <f>_xlfn.XLOOKUP(B560,[1]Sheet1!$B:$B,[1]Sheet1!$R:$R,0)</f>
        <v>100000</v>
      </c>
      <c r="P560" s="12">
        <f>_xlfn.XLOOKUP(B560,[1]Sheet1!$B:$B,[1]Sheet1!$S:$S,0)</f>
        <v>100000</v>
      </c>
      <c r="Q560" s="12">
        <f>_xlfn.XLOOKUP(B560,[1]Sheet1!$B:$B,[1]Sheet1!$T:$T,0)</f>
        <v>100000</v>
      </c>
      <c r="R560" s="12">
        <f>_xlfn.XLOOKUP(B560,[1]Sheet1!$B:$B,[1]Sheet1!$U:$U,0)</f>
        <v>300000</v>
      </c>
      <c r="S560" s="12">
        <f>_xlfn.XLOOKUP(B560,[1]Sheet1!$B:$B,[1]Sheet1!$V:$V,0)</f>
        <v>200000</v>
      </c>
      <c r="T560" s="12">
        <f>_xlfn.XLOOKUP(B560,[1]Sheet1!$B:$B,[1]Sheet1!$W:$W,0)</f>
        <v>300000</v>
      </c>
      <c r="U560" s="12">
        <f>_xlfn.XLOOKUP(B560,[1]Sheet1!$B:$B,[1]Sheet1!$X:$X,0)</f>
        <v>300000</v>
      </c>
      <c r="V560" s="12">
        <f>_xlfn.XLOOKUP(B560,[1]Sheet1!$B:$B,[1]Sheet1!$Y:$Y,0)</f>
        <v>312788</v>
      </c>
      <c r="W560" s="12">
        <f t="shared" si="19"/>
        <v>1712788</v>
      </c>
      <c r="X560" s="6" t="s">
        <v>940</v>
      </c>
      <c r="Y560" s="6" t="s">
        <v>65</v>
      </c>
      <c r="Z560" s="6" t="s">
        <v>153</v>
      </c>
      <c r="AA560" s="6" t="s">
        <v>151</v>
      </c>
      <c r="AB560" s="6" t="s">
        <v>36</v>
      </c>
      <c r="AC560" s="6" t="s">
        <v>37</v>
      </c>
      <c r="AD560" s="6" t="s">
        <v>119</v>
      </c>
      <c r="AE560" s="6" t="s">
        <v>39</v>
      </c>
      <c r="AF560" s="6" t="s">
        <v>40</v>
      </c>
      <c r="AG560" s="7">
        <v>1712788</v>
      </c>
      <c r="AH560" s="11">
        <f>_xlfn.XLOOKUP(B560,[1]Sheet1!$B:$B,[1]Sheet1!$AB:$AB,0)</f>
        <v>1712788</v>
      </c>
    </row>
    <row r="561" spans="2:34" ht="16.8" thickTop="1" thickBot="1" x14ac:dyDescent="0.35">
      <c r="B561" s="3" t="str">
        <f t="shared" si="18"/>
        <v>45155004511000723IP Events-N422401200104</v>
      </c>
      <c r="C561" s="8" t="s">
        <v>513</v>
      </c>
      <c r="D561" s="8" t="s">
        <v>941</v>
      </c>
      <c r="E561" s="8" t="s">
        <v>942</v>
      </c>
      <c r="F561" s="8" t="s">
        <v>943</v>
      </c>
      <c r="G561" s="4" t="s">
        <v>2807</v>
      </c>
      <c r="H561" s="4" t="s">
        <v>2922</v>
      </c>
      <c r="I561" s="8" t="s">
        <v>63</v>
      </c>
      <c r="J561" s="8" t="s">
        <v>31</v>
      </c>
      <c r="K561" s="12">
        <f>_xlfn.XLOOKUP(B561,[1]Sheet1!$B:$B,[1]Sheet1!$N:$N,0)</f>
        <v>0</v>
      </c>
      <c r="L561" s="12">
        <f>_xlfn.XLOOKUP(B561,[1]Sheet1!$B:$B,[1]Sheet1!$O:$O,0)</f>
        <v>0</v>
      </c>
      <c r="M561" s="12">
        <f>_xlfn.XLOOKUP(B561,[1]Sheet1!$B:$B,[1]Sheet1!$P:$P,0)</f>
        <v>0</v>
      </c>
      <c r="N561" s="12">
        <f>_xlfn.XLOOKUP(B561,[1]Sheet1!$B:$B,[1]Sheet1!$Q:$Q,0)</f>
        <v>9119774</v>
      </c>
      <c r="O561" s="12">
        <f>_xlfn.XLOOKUP(B561,[1]Sheet1!$B:$B,[1]Sheet1!$R:$R,0)</f>
        <v>2707500</v>
      </c>
      <c r="P561" s="12">
        <f>_xlfn.XLOOKUP(B561,[1]Sheet1!$B:$B,[1]Sheet1!$S:$S,0)</f>
        <v>0</v>
      </c>
      <c r="Q561" s="12">
        <f>_xlfn.XLOOKUP(B561,[1]Sheet1!$B:$B,[1]Sheet1!$T:$T,0)</f>
        <v>0</v>
      </c>
      <c r="R561" s="12">
        <f>_xlfn.XLOOKUP(B561,[1]Sheet1!$B:$B,[1]Sheet1!$U:$U,0)</f>
        <v>0</v>
      </c>
      <c r="S561" s="12">
        <f>_xlfn.XLOOKUP(B561,[1]Sheet1!$B:$B,[1]Sheet1!$V:$V,0)</f>
        <v>0</v>
      </c>
      <c r="T561" s="12">
        <f>_xlfn.XLOOKUP(B561,[1]Sheet1!$B:$B,[1]Sheet1!$W:$W,0)</f>
        <v>0</v>
      </c>
      <c r="U561" s="12">
        <f>_xlfn.XLOOKUP(B561,[1]Sheet1!$B:$B,[1]Sheet1!$X:$X,0)</f>
        <v>2612726</v>
      </c>
      <c r="V561" s="12">
        <f>_xlfn.XLOOKUP(B561,[1]Sheet1!$B:$B,[1]Sheet1!$Y:$Y,0)</f>
        <v>0</v>
      </c>
      <c r="W561" s="12">
        <f t="shared" si="19"/>
        <v>14440000</v>
      </c>
      <c r="X561" s="8" t="s">
        <v>524</v>
      </c>
      <c r="Y561" s="8" t="s">
        <v>211</v>
      </c>
      <c r="Z561" s="8" t="s">
        <v>512</v>
      </c>
      <c r="AA561" s="8" t="s">
        <v>68</v>
      </c>
      <c r="AB561" s="8" t="s">
        <v>36</v>
      </c>
      <c r="AC561" s="8" t="s">
        <v>37</v>
      </c>
      <c r="AD561" s="8" t="s">
        <v>342</v>
      </c>
      <c r="AE561" s="8" t="s">
        <v>39</v>
      </c>
      <c r="AF561" s="8" t="s">
        <v>40</v>
      </c>
      <c r="AG561" s="9">
        <v>14440000</v>
      </c>
      <c r="AH561" s="11">
        <f>_xlfn.XLOOKUP(B561,[1]Sheet1!$B:$B,[1]Sheet1!$AB:$AB,0)</f>
        <v>14440000</v>
      </c>
    </row>
    <row r="562" spans="2:34" ht="16.8" thickTop="1" thickBot="1" x14ac:dyDescent="0.35">
      <c r="B562" s="3" t="str">
        <f t="shared" si="18"/>
        <v>45155004511000723Talent Fees-N422511200104</v>
      </c>
      <c r="C562" s="6" t="s">
        <v>513</v>
      </c>
      <c r="D562" s="6" t="s">
        <v>941</v>
      </c>
      <c r="E562" s="6" t="s">
        <v>942</v>
      </c>
      <c r="F562" s="6" t="s">
        <v>262</v>
      </c>
      <c r="G562" s="4" t="s">
        <v>2819</v>
      </c>
      <c r="H562" s="4" t="s">
        <v>2922</v>
      </c>
      <c r="I562" s="6" t="s">
        <v>151</v>
      </c>
      <c r="J562" s="6" t="s">
        <v>31</v>
      </c>
      <c r="K562" s="12">
        <f>_xlfn.XLOOKUP(B562,[1]Sheet1!$B:$B,[1]Sheet1!$N:$N,0)</f>
        <v>0</v>
      </c>
      <c r="L562" s="12">
        <f>_xlfn.XLOOKUP(B562,[1]Sheet1!$B:$B,[1]Sheet1!$O:$O,0)</f>
        <v>0</v>
      </c>
      <c r="M562" s="12">
        <f>_xlfn.XLOOKUP(B562,[1]Sheet1!$B:$B,[1]Sheet1!$P:$P,0)</f>
        <v>0</v>
      </c>
      <c r="N562" s="12">
        <f>_xlfn.XLOOKUP(B562,[1]Sheet1!$B:$B,[1]Sheet1!$Q:$Q,0)</f>
        <v>0</v>
      </c>
      <c r="O562" s="12">
        <f>_xlfn.XLOOKUP(B562,[1]Sheet1!$B:$B,[1]Sheet1!$R:$R,0)</f>
        <v>3610000</v>
      </c>
      <c r="P562" s="12">
        <f>_xlfn.XLOOKUP(B562,[1]Sheet1!$B:$B,[1]Sheet1!$S:$S,0)</f>
        <v>0</v>
      </c>
      <c r="Q562" s="12">
        <f>_xlfn.XLOOKUP(B562,[1]Sheet1!$B:$B,[1]Sheet1!$T:$T,0)</f>
        <v>0</v>
      </c>
      <c r="R562" s="12">
        <f>_xlfn.XLOOKUP(B562,[1]Sheet1!$B:$B,[1]Sheet1!$U:$U,0)</f>
        <v>0</v>
      </c>
      <c r="S562" s="12">
        <f>_xlfn.XLOOKUP(B562,[1]Sheet1!$B:$B,[1]Sheet1!$V:$V,0)</f>
        <v>0</v>
      </c>
      <c r="T562" s="12">
        <f>_xlfn.XLOOKUP(B562,[1]Sheet1!$B:$B,[1]Sheet1!$W:$W,0)</f>
        <v>0</v>
      </c>
      <c r="U562" s="12">
        <f>_xlfn.XLOOKUP(B562,[1]Sheet1!$B:$B,[1]Sheet1!$X:$X,0)</f>
        <v>0</v>
      </c>
      <c r="V562" s="12">
        <f>_xlfn.XLOOKUP(B562,[1]Sheet1!$B:$B,[1]Sheet1!$Y:$Y,0)</f>
        <v>0</v>
      </c>
      <c r="W562" s="12">
        <f t="shared" si="19"/>
        <v>3610000</v>
      </c>
      <c r="X562" s="6" t="s">
        <v>525</v>
      </c>
      <c r="Y562" s="6" t="s">
        <v>211</v>
      </c>
      <c r="Z562" s="6" t="s">
        <v>512</v>
      </c>
      <c r="AA562" s="6" t="s">
        <v>151</v>
      </c>
      <c r="AB562" s="6" t="s">
        <v>36</v>
      </c>
      <c r="AC562" s="6" t="s">
        <v>37</v>
      </c>
      <c r="AD562" s="6" t="s">
        <v>342</v>
      </c>
      <c r="AE562" s="6" t="s">
        <v>39</v>
      </c>
      <c r="AF562" s="6" t="s">
        <v>40</v>
      </c>
      <c r="AG562" s="7">
        <v>3610000</v>
      </c>
      <c r="AH562" s="11">
        <f>_xlfn.XLOOKUP(B562,[1]Sheet1!$B:$B,[1]Sheet1!$AB:$AB,0)</f>
        <v>3610000</v>
      </c>
    </row>
    <row r="563" spans="2:34" ht="16.8" thickTop="1" thickBot="1" x14ac:dyDescent="0.35">
      <c r="B563" s="3" t="str">
        <f t="shared" si="18"/>
        <v>45155004511000725Co-Invest Events-N1422401200104</v>
      </c>
      <c r="C563" s="8" t="s">
        <v>513</v>
      </c>
      <c r="D563" s="8" t="s">
        <v>944</v>
      </c>
      <c r="E563" s="8" t="s">
        <v>945</v>
      </c>
      <c r="F563" s="8" t="s">
        <v>946</v>
      </c>
      <c r="G563" s="4" t="s">
        <v>2807</v>
      </c>
      <c r="H563" s="4" t="s">
        <v>2922</v>
      </c>
      <c r="I563" s="8" t="s">
        <v>63</v>
      </c>
      <c r="J563" s="8" t="s">
        <v>31</v>
      </c>
      <c r="K563" s="12">
        <f>_xlfn.XLOOKUP(B563,[1]Sheet1!$B:$B,[1]Sheet1!$N:$N,0)</f>
        <v>0</v>
      </c>
      <c r="L563" s="12">
        <f>_xlfn.XLOOKUP(B563,[1]Sheet1!$B:$B,[1]Sheet1!$O:$O,0)</f>
        <v>0</v>
      </c>
      <c r="M563" s="12">
        <f>_xlfn.XLOOKUP(B563,[1]Sheet1!$B:$B,[1]Sheet1!$P:$P,0)</f>
        <v>0</v>
      </c>
      <c r="N563" s="12">
        <f>_xlfn.XLOOKUP(B563,[1]Sheet1!$B:$B,[1]Sheet1!$Q:$Q,0)</f>
        <v>0</v>
      </c>
      <c r="O563" s="12">
        <f>_xlfn.XLOOKUP(B563,[1]Sheet1!$B:$B,[1]Sheet1!$R:$R,0)</f>
        <v>0</v>
      </c>
      <c r="P563" s="12">
        <f>_xlfn.XLOOKUP(B563,[1]Sheet1!$B:$B,[1]Sheet1!$S:$S,0)</f>
        <v>17100</v>
      </c>
      <c r="Q563" s="12">
        <f>_xlfn.XLOOKUP(B563,[1]Sheet1!$B:$B,[1]Sheet1!$T:$T,0)</f>
        <v>0</v>
      </c>
      <c r="R563" s="12">
        <f>_xlfn.XLOOKUP(B563,[1]Sheet1!$B:$B,[1]Sheet1!$U:$U,0)</f>
        <v>0</v>
      </c>
      <c r="S563" s="12">
        <f>_xlfn.XLOOKUP(B563,[1]Sheet1!$B:$B,[1]Sheet1!$V:$V,0)</f>
        <v>0</v>
      </c>
      <c r="T563" s="12">
        <f>_xlfn.XLOOKUP(B563,[1]Sheet1!$B:$B,[1]Sheet1!$W:$W,0)</f>
        <v>0</v>
      </c>
      <c r="U563" s="12">
        <f>_xlfn.XLOOKUP(B563,[1]Sheet1!$B:$B,[1]Sheet1!$X:$X,0)</f>
        <v>8511698</v>
      </c>
      <c r="V563" s="12">
        <f>_xlfn.XLOOKUP(B563,[1]Sheet1!$B:$B,[1]Sheet1!$Y:$Y,0)</f>
        <v>0</v>
      </c>
      <c r="W563" s="12">
        <f t="shared" si="19"/>
        <v>8528798</v>
      </c>
      <c r="X563" s="8" t="s">
        <v>524</v>
      </c>
      <c r="Y563" s="8" t="s">
        <v>211</v>
      </c>
      <c r="Z563" s="8" t="s">
        <v>512</v>
      </c>
      <c r="AA563" s="8" t="s">
        <v>68</v>
      </c>
      <c r="AB563" s="8" t="s">
        <v>36</v>
      </c>
      <c r="AC563" s="8" t="s">
        <v>37</v>
      </c>
      <c r="AD563" s="8" t="s">
        <v>342</v>
      </c>
      <c r="AE563" s="8" t="s">
        <v>39</v>
      </c>
      <c r="AF563" s="8" t="s">
        <v>40</v>
      </c>
      <c r="AG563" s="9">
        <v>8528798</v>
      </c>
      <c r="AH563" s="11">
        <f>_xlfn.XLOOKUP(B563,[1]Sheet1!$B:$B,[1]Sheet1!$AB:$AB,0)</f>
        <v>8528798</v>
      </c>
    </row>
    <row r="564" spans="2:34" ht="16.8" thickTop="1" thickBot="1" x14ac:dyDescent="0.35">
      <c r="B564" s="3" t="str">
        <f t="shared" si="18"/>
        <v>45155004511000725IP Events-L1422401050729</v>
      </c>
      <c r="C564" s="6" t="s">
        <v>513</v>
      </c>
      <c r="D564" s="6" t="s">
        <v>944</v>
      </c>
      <c r="E564" s="6" t="s">
        <v>945</v>
      </c>
      <c r="F564" s="6" t="s">
        <v>515</v>
      </c>
      <c r="G564" s="4" t="s">
        <v>2807</v>
      </c>
      <c r="H564" s="4" t="s">
        <v>2928</v>
      </c>
      <c r="I564" s="6" t="s">
        <v>63</v>
      </c>
      <c r="J564" s="6" t="s">
        <v>31</v>
      </c>
      <c r="K564" s="12">
        <f>_xlfn.XLOOKUP(B564,[1]Sheet1!$B:$B,[1]Sheet1!$N:$N,0)</f>
        <v>0</v>
      </c>
      <c r="L564" s="12">
        <f>_xlfn.XLOOKUP(B564,[1]Sheet1!$B:$B,[1]Sheet1!$O:$O,0)</f>
        <v>0</v>
      </c>
      <c r="M564" s="12">
        <f>_xlfn.XLOOKUP(B564,[1]Sheet1!$B:$B,[1]Sheet1!$P:$P,0)</f>
        <v>0</v>
      </c>
      <c r="N564" s="12">
        <f>_xlfn.XLOOKUP(B564,[1]Sheet1!$B:$B,[1]Sheet1!$Q:$Q,0)</f>
        <v>52891200</v>
      </c>
      <c r="O564" s="12">
        <f>_xlfn.XLOOKUP(B564,[1]Sheet1!$B:$B,[1]Sheet1!$R:$R,0)</f>
        <v>0</v>
      </c>
      <c r="P564" s="12">
        <f>_xlfn.XLOOKUP(B564,[1]Sheet1!$B:$B,[1]Sheet1!$S:$S,0)</f>
        <v>52872200</v>
      </c>
      <c r="Q564" s="12">
        <f>_xlfn.XLOOKUP(B564,[1]Sheet1!$B:$B,[1]Sheet1!$T:$T,0)</f>
        <v>0</v>
      </c>
      <c r="R564" s="12">
        <f>_xlfn.XLOOKUP(B564,[1]Sheet1!$B:$B,[1]Sheet1!$U:$U,0)</f>
        <v>0</v>
      </c>
      <c r="S564" s="12">
        <f>_xlfn.XLOOKUP(B564,[1]Sheet1!$B:$B,[1]Sheet1!$V:$V,0)</f>
        <v>0</v>
      </c>
      <c r="T564" s="12">
        <f>_xlfn.XLOOKUP(B564,[1]Sheet1!$B:$B,[1]Sheet1!$W:$W,0)</f>
        <v>0</v>
      </c>
      <c r="U564" s="12">
        <f>_xlfn.XLOOKUP(B564,[1]Sheet1!$B:$B,[1]Sheet1!$X:$X,0)</f>
        <v>0</v>
      </c>
      <c r="V564" s="12">
        <f>_xlfn.XLOOKUP(B564,[1]Sheet1!$B:$B,[1]Sheet1!$Y:$Y,0)</f>
        <v>0</v>
      </c>
      <c r="W564" s="12">
        <f t="shared" si="19"/>
        <v>105763400</v>
      </c>
      <c r="X564" s="6" t="s">
        <v>947</v>
      </c>
      <c r="Y564" s="6" t="s">
        <v>211</v>
      </c>
      <c r="Z564" s="6" t="s">
        <v>512</v>
      </c>
      <c r="AA564" s="6" t="s">
        <v>68</v>
      </c>
      <c r="AB564" s="6" t="s">
        <v>948</v>
      </c>
      <c r="AC564" s="6" t="s">
        <v>37</v>
      </c>
      <c r="AD564" s="6" t="s">
        <v>342</v>
      </c>
      <c r="AE564" s="6" t="s">
        <v>39</v>
      </c>
      <c r="AF564" s="6" t="s">
        <v>40</v>
      </c>
      <c r="AG564" s="7">
        <v>105763400</v>
      </c>
      <c r="AH564" s="11">
        <f>_xlfn.XLOOKUP(B564,[1]Sheet1!$B:$B,[1]Sheet1!$AB:$AB,0)</f>
        <v>105763400</v>
      </c>
    </row>
    <row r="565" spans="2:34" ht="16.8" thickTop="1" thickBot="1" x14ac:dyDescent="0.35">
      <c r="B565" s="3" t="str">
        <f t="shared" si="18"/>
        <v>45155004511000725IP Rights-L423531050729</v>
      </c>
      <c r="C565" s="8" t="s">
        <v>513</v>
      </c>
      <c r="D565" s="8" t="s">
        <v>944</v>
      </c>
      <c r="E565" s="8" t="s">
        <v>945</v>
      </c>
      <c r="F565" s="8" t="s">
        <v>949</v>
      </c>
      <c r="G565" s="4" t="s">
        <v>2860</v>
      </c>
      <c r="H565" s="4" t="s">
        <v>2928</v>
      </c>
      <c r="I565" s="8" t="s">
        <v>950</v>
      </c>
      <c r="J565" s="8" t="s">
        <v>31</v>
      </c>
      <c r="K565" s="12">
        <f>_xlfn.XLOOKUP(B565,[1]Sheet1!$B:$B,[1]Sheet1!$N:$N,0)</f>
        <v>0</v>
      </c>
      <c r="L565" s="12">
        <f>_xlfn.XLOOKUP(B565,[1]Sheet1!$B:$B,[1]Sheet1!$O:$O,0)</f>
        <v>0</v>
      </c>
      <c r="M565" s="12">
        <f>_xlfn.XLOOKUP(B565,[1]Sheet1!$B:$B,[1]Sheet1!$P:$P,0)</f>
        <v>0</v>
      </c>
      <c r="N565" s="12">
        <f>_xlfn.XLOOKUP(B565,[1]Sheet1!$B:$B,[1]Sheet1!$Q:$Q,0)</f>
        <v>16895800</v>
      </c>
      <c r="O565" s="12">
        <f>_xlfn.XLOOKUP(B565,[1]Sheet1!$B:$B,[1]Sheet1!$R:$R,0)</f>
        <v>0</v>
      </c>
      <c r="P565" s="12">
        <f>_xlfn.XLOOKUP(B565,[1]Sheet1!$B:$B,[1]Sheet1!$S:$S,0)</f>
        <v>16895800</v>
      </c>
      <c r="Q565" s="12">
        <f>_xlfn.XLOOKUP(B565,[1]Sheet1!$B:$B,[1]Sheet1!$T:$T,0)</f>
        <v>0</v>
      </c>
      <c r="R565" s="12">
        <f>_xlfn.XLOOKUP(B565,[1]Sheet1!$B:$B,[1]Sheet1!$U:$U,0)</f>
        <v>0</v>
      </c>
      <c r="S565" s="12">
        <f>_xlfn.XLOOKUP(B565,[1]Sheet1!$B:$B,[1]Sheet1!$V:$V,0)</f>
        <v>0</v>
      </c>
      <c r="T565" s="12">
        <f>_xlfn.XLOOKUP(B565,[1]Sheet1!$B:$B,[1]Sheet1!$W:$W,0)</f>
        <v>0</v>
      </c>
      <c r="U565" s="12">
        <f>_xlfn.XLOOKUP(B565,[1]Sheet1!$B:$B,[1]Sheet1!$X:$X,0)</f>
        <v>0</v>
      </c>
      <c r="V565" s="12">
        <f>_xlfn.XLOOKUP(B565,[1]Sheet1!$B:$B,[1]Sheet1!$Y:$Y,0)</f>
        <v>0</v>
      </c>
      <c r="W565" s="12">
        <f t="shared" si="19"/>
        <v>33791600</v>
      </c>
      <c r="X565" s="8" t="s">
        <v>951</v>
      </c>
      <c r="Y565" s="8" t="s">
        <v>211</v>
      </c>
      <c r="Z565" s="8" t="s">
        <v>512</v>
      </c>
      <c r="AA565" s="8" t="s">
        <v>950</v>
      </c>
      <c r="AB565" s="8" t="s">
        <v>948</v>
      </c>
      <c r="AC565" s="8" t="s">
        <v>37</v>
      </c>
      <c r="AD565" s="8" t="s">
        <v>342</v>
      </c>
      <c r="AE565" s="8" t="s">
        <v>39</v>
      </c>
      <c r="AF565" s="8" t="s">
        <v>40</v>
      </c>
      <c r="AG565" s="9">
        <v>33791600</v>
      </c>
      <c r="AH565" s="11">
        <f>_xlfn.XLOOKUP(B565,[1]Sheet1!$B:$B,[1]Sheet1!$AB:$AB,0)</f>
        <v>33791600</v>
      </c>
    </row>
    <row r="566" spans="2:34" ht="16.8" thickTop="1" thickBot="1" x14ac:dyDescent="0.35">
      <c r="B566" s="3" t="str">
        <f t="shared" si="18"/>
        <v>45191974511000727Sponsorship Fees-N1424811200104</v>
      </c>
      <c r="C566" s="6" t="s">
        <v>903</v>
      </c>
      <c r="D566" s="6" t="s">
        <v>952</v>
      </c>
      <c r="E566" s="6" t="s">
        <v>953</v>
      </c>
      <c r="F566" s="6" t="s">
        <v>29</v>
      </c>
      <c r="G566" s="4" t="s">
        <v>2802</v>
      </c>
      <c r="H566" s="4" t="s">
        <v>2922</v>
      </c>
      <c r="I566" s="6" t="s">
        <v>30</v>
      </c>
      <c r="J566" s="6" t="s">
        <v>31</v>
      </c>
      <c r="K566" s="12">
        <f>_xlfn.XLOOKUP(B566,[1]Sheet1!$B:$B,[1]Sheet1!$N:$N,0)</f>
        <v>0</v>
      </c>
      <c r="L566" s="12">
        <f>_xlfn.XLOOKUP(B566,[1]Sheet1!$B:$B,[1]Sheet1!$O:$O,0)</f>
        <v>0</v>
      </c>
      <c r="M566" s="12">
        <f>_xlfn.XLOOKUP(B566,[1]Sheet1!$B:$B,[1]Sheet1!$P:$P,0)</f>
        <v>0</v>
      </c>
      <c r="N566" s="12">
        <f>_xlfn.XLOOKUP(B566,[1]Sheet1!$B:$B,[1]Sheet1!$Q:$Q,0)</f>
        <v>0</v>
      </c>
      <c r="O566" s="12">
        <f>_xlfn.XLOOKUP(B566,[1]Sheet1!$B:$B,[1]Sheet1!$R:$R,0)</f>
        <v>0</v>
      </c>
      <c r="P566" s="12">
        <f>_xlfn.XLOOKUP(B566,[1]Sheet1!$B:$B,[1]Sheet1!$S:$S,0)</f>
        <v>0</v>
      </c>
      <c r="Q566" s="12">
        <f>_xlfn.XLOOKUP(B566,[1]Sheet1!$B:$B,[1]Sheet1!$T:$T,0)</f>
        <v>0</v>
      </c>
      <c r="R566" s="12">
        <f>_xlfn.XLOOKUP(B566,[1]Sheet1!$B:$B,[1]Sheet1!$U:$U,0)</f>
        <v>0</v>
      </c>
      <c r="S566" s="12">
        <f>_xlfn.XLOOKUP(B566,[1]Sheet1!$B:$B,[1]Sheet1!$V:$V,0)</f>
        <v>2500000</v>
      </c>
      <c r="T566" s="12">
        <f>_xlfn.XLOOKUP(B566,[1]Sheet1!$B:$B,[1]Sheet1!$W:$W,0)</f>
        <v>0</v>
      </c>
      <c r="U566" s="12">
        <f>_xlfn.XLOOKUP(B566,[1]Sheet1!$B:$B,[1]Sheet1!$X:$X,0)</f>
        <v>0</v>
      </c>
      <c r="V566" s="12">
        <f>_xlfn.XLOOKUP(B566,[1]Sheet1!$B:$B,[1]Sheet1!$Y:$Y,0)</f>
        <v>0</v>
      </c>
      <c r="W566" s="12">
        <f t="shared" si="19"/>
        <v>2500000</v>
      </c>
      <c r="X566" s="6" t="s">
        <v>954</v>
      </c>
      <c r="Y566" s="6" t="s">
        <v>392</v>
      </c>
      <c r="Z566" s="6" t="s">
        <v>902</v>
      </c>
      <c r="AA566" s="6" t="s">
        <v>30</v>
      </c>
      <c r="AB566" s="6" t="s">
        <v>36</v>
      </c>
      <c r="AC566" s="6" t="s">
        <v>37</v>
      </c>
      <c r="AD566" s="6" t="s">
        <v>848</v>
      </c>
      <c r="AE566" s="6" t="s">
        <v>39</v>
      </c>
      <c r="AF566" s="6" t="s">
        <v>40</v>
      </c>
      <c r="AG566" s="7">
        <v>2500000</v>
      </c>
      <c r="AH566" s="11">
        <f>_xlfn.XLOOKUP(B566,[1]Sheet1!$B:$B,[1]Sheet1!$AB:$AB,0)</f>
        <v>2500000</v>
      </c>
    </row>
    <row r="567" spans="2:34" ht="16.8" thickTop="1" thickBot="1" x14ac:dyDescent="0.35">
      <c r="B567" s="3" t="str">
        <f t="shared" si="18"/>
        <v>45191974511000728Freelancers-N424521200104</v>
      </c>
      <c r="C567" s="8" t="s">
        <v>903</v>
      </c>
      <c r="D567" s="8" t="s">
        <v>955</v>
      </c>
      <c r="E567" s="8" t="s">
        <v>956</v>
      </c>
      <c r="F567" s="8" t="s">
        <v>50</v>
      </c>
      <c r="G567" s="4" t="s">
        <v>2804</v>
      </c>
      <c r="H567" s="4" t="s">
        <v>2922</v>
      </c>
      <c r="I567" s="8" t="s">
        <v>51</v>
      </c>
      <c r="J567" s="8" t="s">
        <v>31</v>
      </c>
      <c r="K567" s="12">
        <f>_xlfn.XLOOKUP(B567,[1]Sheet1!$B:$B,[1]Sheet1!$N:$N,0)</f>
        <v>0</v>
      </c>
      <c r="L567" s="12">
        <f>_xlfn.XLOOKUP(B567,[1]Sheet1!$B:$B,[1]Sheet1!$O:$O,0)</f>
        <v>36500</v>
      </c>
      <c r="M567" s="12">
        <f>_xlfn.XLOOKUP(B567,[1]Sheet1!$B:$B,[1]Sheet1!$P:$P,0)</f>
        <v>36500</v>
      </c>
      <c r="N567" s="12">
        <f>_xlfn.XLOOKUP(B567,[1]Sheet1!$B:$B,[1]Sheet1!$Q:$Q,0)</f>
        <v>73000</v>
      </c>
      <c r="O567" s="12">
        <f>_xlfn.XLOOKUP(B567,[1]Sheet1!$B:$B,[1]Sheet1!$R:$R,0)</f>
        <v>36500</v>
      </c>
      <c r="P567" s="12">
        <f>_xlfn.XLOOKUP(B567,[1]Sheet1!$B:$B,[1]Sheet1!$S:$S,0)</f>
        <v>36500</v>
      </c>
      <c r="Q567" s="12">
        <f>_xlfn.XLOOKUP(B567,[1]Sheet1!$B:$B,[1]Sheet1!$T:$T,0)</f>
        <v>0</v>
      </c>
      <c r="R567" s="12">
        <f>_xlfn.XLOOKUP(B567,[1]Sheet1!$B:$B,[1]Sheet1!$U:$U,0)</f>
        <v>0</v>
      </c>
      <c r="S567" s="12">
        <f>_xlfn.XLOOKUP(B567,[1]Sheet1!$B:$B,[1]Sheet1!$V:$V,0)</f>
        <v>0</v>
      </c>
      <c r="T567" s="12">
        <f>_xlfn.XLOOKUP(B567,[1]Sheet1!$B:$B,[1]Sheet1!$W:$W,0)</f>
        <v>0</v>
      </c>
      <c r="U567" s="12">
        <f>_xlfn.XLOOKUP(B567,[1]Sheet1!$B:$B,[1]Sheet1!$X:$X,0)</f>
        <v>0</v>
      </c>
      <c r="V567" s="12">
        <f>_xlfn.XLOOKUP(B567,[1]Sheet1!$B:$B,[1]Sheet1!$Y:$Y,0)</f>
        <v>0</v>
      </c>
      <c r="W567" s="12">
        <f t="shared" si="19"/>
        <v>219000</v>
      </c>
      <c r="X567" s="8" t="s">
        <v>957</v>
      </c>
      <c r="Y567" s="8" t="s">
        <v>392</v>
      </c>
      <c r="Z567" s="8" t="s">
        <v>902</v>
      </c>
      <c r="AA567" s="8" t="s">
        <v>53</v>
      </c>
      <c r="AB567" s="8" t="s">
        <v>36</v>
      </c>
      <c r="AC567" s="8" t="s">
        <v>37</v>
      </c>
      <c r="AD567" s="8" t="s">
        <v>395</v>
      </c>
      <c r="AE567" s="8" t="s">
        <v>39</v>
      </c>
      <c r="AF567" s="8" t="s">
        <v>40</v>
      </c>
      <c r="AG567" s="9">
        <v>219000</v>
      </c>
      <c r="AH567" s="11">
        <f>_xlfn.XLOOKUP(B567,[1]Sheet1!$B:$B,[1]Sheet1!$AB:$AB,0)</f>
        <v>219000</v>
      </c>
    </row>
    <row r="568" spans="2:34" ht="16.8" thickTop="1" thickBot="1" x14ac:dyDescent="0.35">
      <c r="B568" s="3" t="str">
        <f t="shared" si="18"/>
        <v>45192004511000729Activation&amp;Prog-N2422401200104</v>
      </c>
      <c r="C568" s="6" t="s">
        <v>962</v>
      </c>
      <c r="D568" s="6" t="s">
        <v>958</v>
      </c>
      <c r="E568" s="6" t="s">
        <v>959</v>
      </c>
      <c r="F568" s="6" t="s">
        <v>853</v>
      </c>
      <c r="G568" s="4" t="s">
        <v>2807</v>
      </c>
      <c r="H568" s="4" t="s">
        <v>2922</v>
      </c>
      <c r="I568" s="6" t="s">
        <v>63</v>
      </c>
      <c r="J568" s="6" t="s">
        <v>31</v>
      </c>
      <c r="K568" s="12">
        <f>_xlfn.XLOOKUP(B568,[1]Sheet1!$B:$B,[1]Sheet1!$N:$N,0)</f>
        <v>0</v>
      </c>
      <c r="L568" s="12">
        <f>_xlfn.XLOOKUP(B568,[1]Sheet1!$B:$B,[1]Sheet1!$O:$O,0)</f>
        <v>0</v>
      </c>
      <c r="M568" s="12">
        <f>_xlfn.XLOOKUP(B568,[1]Sheet1!$B:$B,[1]Sheet1!$P:$P,0)</f>
        <v>0</v>
      </c>
      <c r="N568" s="12">
        <f>_xlfn.XLOOKUP(B568,[1]Sheet1!$B:$B,[1]Sheet1!$Q:$Q,0)</f>
        <v>1461316</v>
      </c>
      <c r="O568" s="12">
        <f>_xlfn.XLOOKUP(B568,[1]Sheet1!$B:$B,[1]Sheet1!$R:$R,0)</f>
        <v>0</v>
      </c>
      <c r="P568" s="12">
        <f>_xlfn.XLOOKUP(B568,[1]Sheet1!$B:$B,[1]Sheet1!$S:$S,0)</f>
        <v>0</v>
      </c>
      <c r="Q568" s="12">
        <f>_xlfn.XLOOKUP(B568,[1]Sheet1!$B:$B,[1]Sheet1!$T:$T,0)</f>
        <v>0</v>
      </c>
      <c r="R568" s="12">
        <f>_xlfn.XLOOKUP(B568,[1]Sheet1!$B:$B,[1]Sheet1!$U:$U,0)</f>
        <v>0</v>
      </c>
      <c r="S568" s="12">
        <f>_xlfn.XLOOKUP(B568,[1]Sheet1!$B:$B,[1]Sheet1!$V:$V,0)</f>
        <v>0</v>
      </c>
      <c r="T568" s="12">
        <f>_xlfn.XLOOKUP(B568,[1]Sheet1!$B:$B,[1]Sheet1!$W:$W,0)</f>
        <v>0</v>
      </c>
      <c r="U568" s="12">
        <f>_xlfn.XLOOKUP(B568,[1]Sheet1!$B:$B,[1]Sheet1!$X:$X,0)</f>
        <v>0</v>
      </c>
      <c r="V568" s="12">
        <f>_xlfn.XLOOKUP(B568,[1]Sheet1!$B:$B,[1]Sheet1!$Y:$Y,0)</f>
        <v>0</v>
      </c>
      <c r="W568" s="12">
        <f t="shared" si="19"/>
        <v>1461316</v>
      </c>
      <c r="X568" s="6" t="s">
        <v>960</v>
      </c>
      <c r="Y568" s="6" t="s">
        <v>392</v>
      </c>
      <c r="Z568" s="6" t="s">
        <v>961</v>
      </c>
      <c r="AA568" s="6" t="s">
        <v>68</v>
      </c>
      <c r="AB568" s="6" t="s">
        <v>36</v>
      </c>
      <c r="AC568" s="6" t="s">
        <v>37</v>
      </c>
      <c r="AD568" s="6" t="s">
        <v>859</v>
      </c>
      <c r="AE568" s="6" t="s">
        <v>39</v>
      </c>
      <c r="AF568" s="6" t="s">
        <v>40</v>
      </c>
      <c r="AG568" s="7">
        <v>1461316</v>
      </c>
      <c r="AH568" s="11">
        <f>_xlfn.XLOOKUP(B568,[1]Sheet1!$B:$B,[1]Sheet1!$AB:$AB,0)</f>
        <v>1461316</v>
      </c>
    </row>
    <row r="569" spans="2:34" ht="16.8" thickTop="1" thickBot="1" x14ac:dyDescent="0.35">
      <c r="B569" s="3" t="str">
        <f t="shared" si="18"/>
        <v>45192004511000729Design &amp; Build-N2424221200104</v>
      </c>
      <c r="C569" s="8" t="s">
        <v>962</v>
      </c>
      <c r="D569" s="8" t="s">
        <v>958</v>
      </c>
      <c r="E569" s="8" t="s">
        <v>959</v>
      </c>
      <c r="F569" s="8" t="s">
        <v>963</v>
      </c>
      <c r="G569" s="4" t="s">
        <v>2824</v>
      </c>
      <c r="H569" s="4" t="s">
        <v>2922</v>
      </c>
      <c r="I569" s="8" t="s">
        <v>209</v>
      </c>
      <c r="J569" s="8" t="s">
        <v>31</v>
      </c>
      <c r="K569" s="12">
        <f>_xlfn.XLOOKUP(B569,[1]Sheet1!$B:$B,[1]Sheet1!$N:$N,0)</f>
        <v>0</v>
      </c>
      <c r="L569" s="12">
        <f>_xlfn.XLOOKUP(B569,[1]Sheet1!$B:$B,[1]Sheet1!$O:$O,0)</f>
        <v>0</v>
      </c>
      <c r="M569" s="12">
        <f>_xlfn.XLOOKUP(B569,[1]Sheet1!$B:$B,[1]Sheet1!$P:$P,0)</f>
        <v>0</v>
      </c>
      <c r="N569" s="12">
        <f>_xlfn.XLOOKUP(B569,[1]Sheet1!$B:$B,[1]Sheet1!$Q:$Q,0)</f>
        <v>3941465</v>
      </c>
      <c r="O569" s="12">
        <f>_xlfn.XLOOKUP(B569,[1]Sheet1!$B:$B,[1]Sheet1!$R:$R,0)</f>
        <v>0</v>
      </c>
      <c r="P569" s="12">
        <f>_xlfn.XLOOKUP(B569,[1]Sheet1!$B:$B,[1]Sheet1!$S:$S,0)</f>
        <v>0</v>
      </c>
      <c r="Q569" s="12">
        <f>_xlfn.XLOOKUP(B569,[1]Sheet1!$B:$B,[1]Sheet1!$T:$T,0)</f>
        <v>0</v>
      </c>
      <c r="R569" s="12">
        <f>_xlfn.XLOOKUP(B569,[1]Sheet1!$B:$B,[1]Sheet1!$U:$U,0)</f>
        <v>0</v>
      </c>
      <c r="S569" s="12">
        <f>_xlfn.XLOOKUP(B569,[1]Sheet1!$B:$B,[1]Sheet1!$V:$V,0)</f>
        <v>0</v>
      </c>
      <c r="T569" s="12">
        <f>_xlfn.XLOOKUP(B569,[1]Sheet1!$B:$B,[1]Sheet1!$W:$W,0)</f>
        <v>0</v>
      </c>
      <c r="U569" s="12">
        <f>_xlfn.XLOOKUP(B569,[1]Sheet1!$B:$B,[1]Sheet1!$X:$X,0)</f>
        <v>0</v>
      </c>
      <c r="V569" s="12">
        <f>_xlfn.XLOOKUP(B569,[1]Sheet1!$B:$B,[1]Sheet1!$Y:$Y,0)</f>
        <v>0</v>
      </c>
      <c r="W569" s="12">
        <f t="shared" si="19"/>
        <v>3941465</v>
      </c>
      <c r="X569" s="8" t="s">
        <v>964</v>
      </c>
      <c r="Y569" s="8" t="s">
        <v>392</v>
      </c>
      <c r="Z569" s="8" t="s">
        <v>961</v>
      </c>
      <c r="AA569" s="8" t="s">
        <v>209</v>
      </c>
      <c r="AB569" s="8" t="s">
        <v>36</v>
      </c>
      <c r="AC569" s="8" t="s">
        <v>37</v>
      </c>
      <c r="AD569" s="8" t="s">
        <v>859</v>
      </c>
      <c r="AE569" s="8" t="s">
        <v>39</v>
      </c>
      <c r="AF569" s="8" t="s">
        <v>40</v>
      </c>
      <c r="AG569" s="9">
        <v>3766465</v>
      </c>
      <c r="AH569" s="11">
        <f>_xlfn.XLOOKUP(B569,[1]Sheet1!$B:$B,[1]Sheet1!$AB:$AB,0)</f>
        <v>3766465</v>
      </c>
    </row>
    <row r="570" spans="2:34" ht="16.8" thickTop="1" thickBot="1" x14ac:dyDescent="0.35">
      <c r="B570" s="3" t="str">
        <f t="shared" si="18"/>
        <v>45192004511000729Hospitality-N2424761200104</v>
      </c>
      <c r="C570" s="6" t="s">
        <v>962</v>
      </c>
      <c r="D570" s="6" t="s">
        <v>958</v>
      </c>
      <c r="E570" s="6" t="s">
        <v>959</v>
      </c>
      <c r="F570" s="6" t="s">
        <v>637</v>
      </c>
      <c r="G570" s="4" t="s">
        <v>2811</v>
      </c>
      <c r="H570" s="4" t="s">
        <v>2922</v>
      </c>
      <c r="I570" s="6" t="s">
        <v>84</v>
      </c>
      <c r="J570" s="6" t="s">
        <v>31</v>
      </c>
      <c r="K570" s="12">
        <f>_xlfn.XLOOKUP(B570,[1]Sheet1!$B:$B,[1]Sheet1!$N:$N,0)</f>
        <v>0</v>
      </c>
      <c r="L570" s="12">
        <f>_xlfn.XLOOKUP(B570,[1]Sheet1!$B:$B,[1]Sheet1!$O:$O,0)</f>
        <v>0</v>
      </c>
      <c r="M570" s="12">
        <f>_xlfn.XLOOKUP(B570,[1]Sheet1!$B:$B,[1]Sheet1!$P:$P,0)</f>
        <v>0</v>
      </c>
      <c r="N570" s="12">
        <f>_xlfn.XLOOKUP(B570,[1]Sheet1!$B:$B,[1]Sheet1!$Q:$Q,0)</f>
        <v>46850</v>
      </c>
      <c r="O570" s="12">
        <f>_xlfn.XLOOKUP(B570,[1]Sheet1!$B:$B,[1]Sheet1!$R:$R,0)</f>
        <v>0</v>
      </c>
      <c r="P570" s="12">
        <f>_xlfn.XLOOKUP(B570,[1]Sheet1!$B:$B,[1]Sheet1!$S:$S,0)</f>
        <v>0</v>
      </c>
      <c r="Q570" s="12">
        <f>_xlfn.XLOOKUP(B570,[1]Sheet1!$B:$B,[1]Sheet1!$T:$T,0)</f>
        <v>0</v>
      </c>
      <c r="R570" s="12">
        <f>_xlfn.XLOOKUP(B570,[1]Sheet1!$B:$B,[1]Sheet1!$U:$U,0)</f>
        <v>0</v>
      </c>
      <c r="S570" s="12">
        <f>_xlfn.XLOOKUP(B570,[1]Sheet1!$B:$B,[1]Sheet1!$V:$V,0)</f>
        <v>0</v>
      </c>
      <c r="T570" s="12">
        <f>_xlfn.XLOOKUP(B570,[1]Sheet1!$B:$B,[1]Sheet1!$W:$W,0)</f>
        <v>0</v>
      </c>
      <c r="U570" s="12">
        <f>_xlfn.XLOOKUP(B570,[1]Sheet1!$B:$B,[1]Sheet1!$X:$X,0)</f>
        <v>0</v>
      </c>
      <c r="V570" s="12">
        <f>_xlfn.XLOOKUP(B570,[1]Sheet1!$B:$B,[1]Sheet1!$Y:$Y,0)</f>
        <v>0</v>
      </c>
      <c r="W570" s="12">
        <f t="shared" si="19"/>
        <v>46850</v>
      </c>
      <c r="X570" s="6" t="s">
        <v>965</v>
      </c>
      <c r="Y570" s="6" t="s">
        <v>392</v>
      </c>
      <c r="Z570" s="6" t="s">
        <v>961</v>
      </c>
      <c r="AA570" s="6" t="s">
        <v>84</v>
      </c>
      <c r="AB570" s="6" t="s">
        <v>36</v>
      </c>
      <c r="AC570" s="6" t="s">
        <v>37</v>
      </c>
      <c r="AD570" s="6" t="s">
        <v>859</v>
      </c>
      <c r="AE570" s="6" t="s">
        <v>39</v>
      </c>
      <c r="AF570" s="6" t="s">
        <v>40</v>
      </c>
      <c r="AG570" s="7">
        <v>52578</v>
      </c>
      <c r="AH570" s="11">
        <f>_xlfn.XLOOKUP(B570,[1]Sheet1!$B:$B,[1]Sheet1!$AB:$AB,0)</f>
        <v>52578</v>
      </c>
    </row>
    <row r="571" spans="2:34" ht="16.8" thickTop="1" thickBot="1" x14ac:dyDescent="0.35">
      <c r="B571" s="3" t="str">
        <f t="shared" si="18"/>
        <v>45192004511000729Licenses Fees-N424131200104</v>
      </c>
      <c r="C571" s="8" t="s">
        <v>962</v>
      </c>
      <c r="D571" s="8" t="s">
        <v>958</v>
      </c>
      <c r="E571" s="8" t="s">
        <v>959</v>
      </c>
      <c r="F571" s="8" t="s">
        <v>365</v>
      </c>
      <c r="G571" s="4" t="s">
        <v>2835</v>
      </c>
      <c r="H571" s="4" t="s">
        <v>2922</v>
      </c>
      <c r="I571" s="8" t="s">
        <v>366</v>
      </c>
      <c r="J571" s="8" t="s">
        <v>31</v>
      </c>
      <c r="K571" s="12">
        <f>_xlfn.XLOOKUP(B571,[1]Sheet1!$B:$B,[1]Sheet1!$N:$N,0)</f>
        <v>0</v>
      </c>
      <c r="L571" s="12">
        <f>_xlfn.XLOOKUP(B571,[1]Sheet1!$B:$B,[1]Sheet1!$O:$O,0)</f>
        <v>0</v>
      </c>
      <c r="M571" s="12">
        <f>_xlfn.XLOOKUP(B571,[1]Sheet1!$B:$B,[1]Sheet1!$P:$P,0)</f>
        <v>0</v>
      </c>
      <c r="N571" s="12">
        <f>_xlfn.XLOOKUP(B571,[1]Sheet1!$B:$B,[1]Sheet1!$Q:$Q,0)</f>
        <v>0</v>
      </c>
      <c r="O571" s="12">
        <f>_xlfn.XLOOKUP(B571,[1]Sheet1!$B:$B,[1]Sheet1!$R:$R,0)</f>
        <v>0</v>
      </c>
      <c r="P571" s="12">
        <f>_xlfn.XLOOKUP(B571,[1]Sheet1!$B:$B,[1]Sheet1!$S:$S,0)</f>
        <v>0</v>
      </c>
      <c r="Q571" s="12">
        <f>_xlfn.XLOOKUP(B571,[1]Sheet1!$B:$B,[1]Sheet1!$T:$T,0)</f>
        <v>0</v>
      </c>
      <c r="R571" s="12">
        <f>_xlfn.XLOOKUP(B571,[1]Sheet1!$B:$B,[1]Sheet1!$U:$U,0)</f>
        <v>0</v>
      </c>
      <c r="S571" s="12">
        <f>_xlfn.XLOOKUP(B571,[1]Sheet1!$B:$B,[1]Sheet1!$V:$V,0)</f>
        <v>0</v>
      </c>
      <c r="T571" s="12">
        <f>_xlfn.XLOOKUP(B571,[1]Sheet1!$B:$B,[1]Sheet1!$W:$W,0)</f>
        <v>0</v>
      </c>
      <c r="U571" s="12">
        <f>_xlfn.XLOOKUP(B571,[1]Sheet1!$B:$B,[1]Sheet1!$X:$X,0)</f>
        <v>0</v>
      </c>
      <c r="V571" s="12">
        <f>_xlfn.XLOOKUP(B571,[1]Sheet1!$B:$B,[1]Sheet1!$Y:$Y,0)</f>
        <v>0</v>
      </c>
      <c r="W571" s="12">
        <f t="shared" si="19"/>
        <v>0</v>
      </c>
      <c r="X571" s="8" t="s">
        <v>966</v>
      </c>
      <c r="Y571" s="8" t="s">
        <v>392</v>
      </c>
      <c r="Z571" s="8" t="s">
        <v>961</v>
      </c>
      <c r="AA571" s="8" t="s">
        <v>366</v>
      </c>
      <c r="AB571" s="8" t="s">
        <v>36</v>
      </c>
      <c r="AC571" s="8" t="s">
        <v>37</v>
      </c>
      <c r="AD571" s="8" t="s">
        <v>859</v>
      </c>
      <c r="AE571" s="8" t="s">
        <v>39</v>
      </c>
      <c r="AF571" s="8" t="s">
        <v>40</v>
      </c>
      <c r="AG571" s="9">
        <v>633161</v>
      </c>
      <c r="AH571" s="11">
        <f>_xlfn.XLOOKUP(B571,[1]Sheet1!$B:$B,[1]Sheet1!$AB:$AB,0)</f>
        <v>633161</v>
      </c>
    </row>
    <row r="572" spans="2:34" ht="16.8" thickTop="1" thickBot="1" x14ac:dyDescent="0.35">
      <c r="B572" s="3" t="str">
        <f t="shared" si="18"/>
        <v>45192004511000729Mission &amp; Travel-N2423821200104</v>
      </c>
      <c r="C572" s="6" t="s">
        <v>962</v>
      </c>
      <c r="D572" s="6" t="s">
        <v>958</v>
      </c>
      <c r="E572" s="6" t="s">
        <v>959</v>
      </c>
      <c r="F572" s="6" t="s">
        <v>867</v>
      </c>
      <c r="G572" s="4" t="s">
        <v>2805</v>
      </c>
      <c r="H572" s="4" t="s">
        <v>2922</v>
      </c>
      <c r="I572" s="6" t="s">
        <v>55</v>
      </c>
      <c r="J572" s="6" t="s">
        <v>31</v>
      </c>
      <c r="K572" s="12">
        <f>_xlfn.XLOOKUP(B572,[1]Sheet1!$B:$B,[1]Sheet1!$N:$N,0)</f>
        <v>0</v>
      </c>
      <c r="L572" s="12">
        <f>_xlfn.XLOOKUP(B572,[1]Sheet1!$B:$B,[1]Sheet1!$O:$O,0)</f>
        <v>51200</v>
      </c>
      <c r="M572" s="12">
        <f>_xlfn.XLOOKUP(B572,[1]Sheet1!$B:$B,[1]Sheet1!$P:$P,0)</f>
        <v>900</v>
      </c>
      <c r="N572" s="12">
        <f>_xlfn.XLOOKUP(B572,[1]Sheet1!$B:$B,[1]Sheet1!$Q:$Q,0)</f>
        <v>266207</v>
      </c>
      <c r="O572" s="12">
        <f>_xlfn.XLOOKUP(B572,[1]Sheet1!$B:$B,[1]Sheet1!$R:$R,0)</f>
        <v>0</v>
      </c>
      <c r="P572" s="12">
        <f>_xlfn.XLOOKUP(B572,[1]Sheet1!$B:$B,[1]Sheet1!$S:$S,0)</f>
        <v>0</v>
      </c>
      <c r="Q572" s="12">
        <f>_xlfn.XLOOKUP(B572,[1]Sheet1!$B:$B,[1]Sheet1!$T:$T,0)</f>
        <v>0</v>
      </c>
      <c r="R572" s="12">
        <f>_xlfn.XLOOKUP(B572,[1]Sheet1!$B:$B,[1]Sheet1!$U:$U,0)</f>
        <v>0</v>
      </c>
      <c r="S572" s="12">
        <f>_xlfn.XLOOKUP(B572,[1]Sheet1!$B:$B,[1]Sheet1!$V:$V,0)</f>
        <v>0</v>
      </c>
      <c r="T572" s="12">
        <f>_xlfn.XLOOKUP(B572,[1]Sheet1!$B:$B,[1]Sheet1!$W:$W,0)</f>
        <v>0</v>
      </c>
      <c r="U572" s="12">
        <f>_xlfn.XLOOKUP(B572,[1]Sheet1!$B:$B,[1]Sheet1!$X:$X,0)</f>
        <v>0</v>
      </c>
      <c r="V572" s="12">
        <f>_xlfn.XLOOKUP(B572,[1]Sheet1!$B:$B,[1]Sheet1!$Y:$Y,0)</f>
        <v>0</v>
      </c>
      <c r="W572" s="12">
        <f t="shared" si="19"/>
        <v>318307</v>
      </c>
      <c r="X572" s="6" t="s">
        <v>967</v>
      </c>
      <c r="Y572" s="6" t="s">
        <v>392</v>
      </c>
      <c r="Z572" s="6" t="s">
        <v>961</v>
      </c>
      <c r="AA572" s="6" t="s">
        <v>55</v>
      </c>
      <c r="AB572" s="6" t="s">
        <v>36</v>
      </c>
      <c r="AC572" s="6" t="s">
        <v>37</v>
      </c>
      <c r="AD572" s="6" t="s">
        <v>859</v>
      </c>
      <c r="AE572" s="6" t="s">
        <v>39</v>
      </c>
      <c r="AF572" s="6" t="s">
        <v>40</v>
      </c>
      <c r="AG572" s="7">
        <v>312579</v>
      </c>
      <c r="AH572" s="11">
        <f>_xlfn.XLOOKUP(B572,[1]Sheet1!$B:$B,[1]Sheet1!$AB:$AB,0)</f>
        <v>312579</v>
      </c>
    </row>
    <row r="573" spans="2:34" ht="16.8" thickTop="1" thickBot="1" x14ac:dyDescent="0.35">
      <c r="B573" s="3" t="str">
        <f t="shared" si="18"/>
        <v>45191964511000729PR&amp;MediaCoverage-N1424781200104</v>
      </c>
      <c r="C573" s="8" t="s">
        <v>843</v>
      </c>
      <c r="D573" s="8" t="s">
        <v>958</v>
      </c>
      <c r="E573" s="8" t="s">
        <v>959</v>
      </c>
      <c r="F573" s="8" t="s">
        <v>906</v>
      </c>
      <c r="G573" s="4" t="s">
        <v>2815</v>
      </c>
      <c r="H573" s="4" t="s">
        <v>2922</v>
      </c>
      <c r="I573" s="8" t="s">
        <v>100</v>
      </c>
      <c r="J573" s="8" t="s">
        <v>31</v>
      </c>
      <c r="K573" s="12">
        <f>_xlfn.XLOOKUP(B573,[1]Sheet1!$B:$B,[1]Sheet1!$N:$N,0)</f>
        <v>0</v>
      </c>
      <c r="L573" s="12">
        <f>_xlfn.XLOOKUP(B573,[1]Sheet1!$B:$B,[1]Sheet1!$O:$O,0)</f>
        <v>0</v>
      </c>
      <c r="M573" s="12">
        <f>_xlfn.XLOOKUP(B573,[1]Sheet1!$B:$B,[1]Sheet1!$P:$P,0)</f>
        <v>0</v>
      </c>
      <c r="N573" s="12">
        <f>_xlfn.XLOOKUP(B573,[1]Sheet1!$B:$B,[1]Sheet1!$Q:$Q,0)</f>
        <v>115000</v>
      </c>
      <c r="O573" s="12">
        <f>_xlfn.XLOOKUP(B573,[1]Sheet1!$B:$B,[1]Sheet1!$R:$R,0)</f>
        <v>0</v>
      </c>
      <c r="P573" s="12">
        <f>_xlfn.XLOOKUP(B573,[1]Sheet1!$B:$B,[1]Sheet1!$S:$S,0)</f>
        <v>0</v>
      </c>
      <c r="Q573" s="12">
        <f>_xlfn.XLOOKUP(B573,[1]Sheet1!$B:$B,[1]Sheet1!$T:$T,0)</f>
        <v>0</v>
      </c>
      <c r="R573" s="12">
        <f>_xlfn.XLOOKUP(B573,[1]Sheet1!$B:$B,[1]Sheet1!$U:$U,0)</f>
        <v>0</v>
      </c>
      <c r="S573" s="12">
        <f>_xlfn.XLOOKUP(B573,[1]Sheet1!$B:$B,[1]Sheet1!$V:$V,0)</f>
        <v>0</v>
      </c>
      <c r="T573" s="12">
        <f>_xlfn.XLOOKUP(B573,[1]Sheet1!$B:$B,[1]Sheet1!$W:$W,0)</f>
        <v>0</v>
      </c>
      <c r="U573" s="12">
        <f>_xlfn.XLOOKUP(B573,[1]Sheet1!$B:$B,[1]Sheet1!$X:$X,0)</f>
        <v>0</v>
      </c>
      <c r="V573" s="12">
        <f>_xlfn.XLOOKUP(B573,[1]Sheet1!$B:$B,[1]Sheet1!$Y:$Y,0)</f>
        <v>0</v>
      </c>
      <c r="W573" s="12">
        <f t="shared" si="19"/>
        <v>115000</v>
      </c>
      <c r="X573" s="8" t="s">
        <v>968</v>
      </c>
      <c r="Y573" s="8" t="s">
        <v>392</v>
      </c>
      <c r="Z573" s="8" t="s">
        <v>842</v>
      </c>
      <c r="AA573" s="8" t="s">
        <v>100</v>
      </c>
      <c r="AB573" s="8" t="s">
        <v>36</v>
      </c>
      <c r="AC573" s="8" t="s">
        <v>37</v>
      </c>
      <c r="AD573" s="8" t="s">
        <v>395</v>
      </c>
      <c r="AE573" s="8" t="s">
        <v>39</v>
      </c>
      <c r="AF573" s="8" t="s">
        <v>40</v>
      </c>
      <c r="AG573" s="9">
        <v>290000</v>
      </c>
      <c r="AH573" s="11">
        <f>_xlfn.XLOOKUP(B573,[1]Sheet1!$B:$B,[1]Sheet1!$AB:$AB,0)</f>
        <v>290000</v>
      </c>
    </row>
    <row r="574" spans="2:34" ht="16.8" thickTop="1" thickBot="1" x14ac:dyDescent="0.35">
      <c r="B574" s="3" t="str">
        <f t="shared" si="18"/>
        <v>45192004511000730Activation&amp;Prog-N2422401200104</v>
      </c>
      <c r="C574" s="6" t="s">
        <v>962</v>
      </c>
      <c r="D574" s="6" t="s">
        <v>969</v>
      </c>
      <c r="E574" s="6" t="s">
        <v>970</v>
      </c>
      <c r="F574" s="6" t="s">
        <v>853</v>
      </c>
      <c r="G574" s="4" t="s">
        <v>2807</v>
      </c>
      <c r="H574" s="4" t="s">
        <v>2922</v>
      </c>
      <c r="I574" s="6" t="s">
        <v>63</v>
      </c>
      <c r="J574" s="6" t="s">
        <v>31</v>
      </c>
      <c r="K574" s="12">
        <f>_xlfn.XLOOKUP(B574,[1]Sheet1!$B:$B,[1]Sheet1!$N:$N,0)</f>
        <v>0</v>
      </c>
      <c r="L574" s="12">
        <f>_xlfn.XLOOKUP(B574,[1]Sheet1!$B:$B,[1]Sheet1!$O:$O,0)</f>
        <v>0</v>
      </c>
      <c r="M574" s="12">
        <f>_xlfn.XLOOKUP(B574,[1]Sheet1!$B:$B,[1]Sheet1!$P:$P,0)</f>
        <v>0</v>
      </c>
      <c r="N574" s="12">
        <f>_xlfn.XLOOKUP(B574,[1]Sheet1!$B:$B,[1]Sheet1!$Q:$Q,0)</f>
        <v>0</v>
      </c>
      <c r="O574" s="12">
        <f>_xlfn.XLOOKUP(B574,[1]Sheet1!$B:$B,[1]Sheet1!$R:$R,0)</f>
        <v>0</v>
      </c>
      <c r="P574" s="12">
        <f>_xlfn.XLOOKUP(B574,[1]Sheet1!$B:$B,[1]Sheet1!$S:$S,0)</f>
        <v>0</v>
      </c>
      <c r="Q574" s="12">
        <f>_xlfn.XLOOKUP(B574,[1]Sheet1!$B:$B,[1]Sheet1!$T:$T,0)</f>
        <v>0</v>
      </c>
      <c r="R574" s="12">
        <f>_xlfn.XLOOKUP(B574,[1]Sheet1!$B:$B,[1]Sheet1!$U:$U,0)</f>
        <v>0</v>
      </c>
      <c r="S574" s="12">
        <f>_xlfn.XLOOKUP(B574,[1]Sheet1!$B:$B,[1]Sheet1!$V:$V,0)</f>
        <v>0</v>
      </c>
      <c r="T574" s="12">
        <f>_xlfn.XLOOKUP(B574,[1]Sheet1!$B:$B,[1]Sheet1!$W:$W,0)</f>
        <v>0</v>
      </c>
      <c r="U574" s="12">
        <f>_xlfn.XLOOKUP(B574,[1]Sheet1!$B:$B,[1]Sheet1!$X:$X,0)</f>
        <v>0</v>
      </c>
      <c r="V574" s="12">
        <f>_xlfn.XLOOKUP(B574,[1]Sheet1!$B:$B,[1]Sheet1!$Y:$Y,0)</f>
        <v>550000</v>
      </c>
      <c r="W574" s="12">
        <f t="shared" si="19"/>
        <v>550000</v>
      </c>
      <c r="X574" s="6" t="s">
        <v>960</v>
      </c>
      <c r="Y574" s="6" t="s">
        <v>392</v>
      </c>
      <c r="Z574" s="6" t="s">
        <v>961</v>
      </c>
      <c r="AA574" s="6" t="s">
        <v>68</v>
      </c>
      <c r="AB574" s="6" t="s">
        <v>36</v>
      </c>
      <c r="AC574" s="6" t="s">
        <v>37</v>
      </c>
      <c r="AD574" s="6" t="s">
        <v>859</v>
      </c>
      <c r="AE574" s="6" t="s">
        <v>39</v>
      </c>
      <c r="AF574" s="6" t="s">
        <v>40</v>
      </c>
      <c r="AG574" s="7">
        <v>550000</v>
      </c>
      <c r="AH574" s="11">
        <f>_xlfn.XLOOKUP(B574,[1]Sheet1!$B:$B,[1]Sheet1!$AB:$AB,0)</f>
        <v>550000</v>
      </c>
    </row>
    <row r="575" spans="2:34" ht="16.8" thickTop="1" thickBot="1" x14ac:dyDescent="0.35">
      <c r="B575" s="3" t="str">
        <f t="shared" si="18"/>
        <v>45192004511000730Design &amp; Build-N2424221200104</v>
      </c>
      <c r="C575" s="8" t="s">
        <v>962</v>
      </c>
      <c r="D575" s="8" t="s">
        <v>969</v>
      </c>
      <c r="E575" s="8" t="s">
        <v>970</v>
      </c>
      <c r="F575" s="8" t="s">
        <v>963</v>
      </c>
      <c r="G575" s="4" t="s">
        <v>2824</v>
      </c>
      <c r="H575" s="4" t="s">
        <v>2922</v>
      </c>
      <c r="I575" s="8" t="s">
        <v>209</v>
      </c>
      <c r="J575" s="8" t="s">
        <v>31</v>
      </c>
      <c r="K575" s="12">
        <f>_xlfn.XLOOKUP(B575,[1]Sheet1!$B:$B,[1]Sheet1!$N:$N,0)</f>
        <v>0</v>
      </c>
      <c r="L575" s="12">
        <f>_xlfn.XLOOKUP(B575,[1]Sheet1!$B:$B,[1]Sheet1!$O:$O,0)</f>
        <v>0</v>
      </c>
      <c r="M575" s="12">
        <f>_xlfn.XLOOKUP(B575,[1]Sheet1!$B:$B,[1]Sheet1!$P:$P,0)</f>
        <v>0</v>
      </c>
      <c r="N575" s="12">
        <f>_xlfn.XLOOKUP(B575,[1]Sheet1!$B:$B,[1]Sheet1!$Q:$Q,0)</f>
        <v>0</v>
      </c>
      <c r="O575" s="12">
        <f>_xlfn.XLOOKUP(B575,[1]Sheet1!$B:$B,[1]Sheet1!$R:$R,0)</f>
        <v>0</v>
      </c>
      <c r="P575" s="12">
        <f>_xlfn.XLOOKUP(B575,[1]Sheet1!$B:$B,[1]Sheet1!$S:$S,0)</f>
        <v>0</v>
      </c>
      <c r="Q575" s="12">
        <f>_xlfn.XLOOKUP(B575,[1]Sheet1!$B:$B,[1]Sheet1!$T:$T,0)</f>
        <v>0</v>
      </c>
      <c r="R575" s="12">
        <f>_xlfn.XLOOKUP(B575,[1]Sheet1!$B:$B,[1]Sheet1!$U:$U,0)</f>
        <v>0</v>
      </c>
      <c r="S575" s="12">
        <f>_xlfn.XLOOKUP(B575,[1]Sheet1!$B:$B,[1]Sheet1!$V:$V,0)</f>
        <v>0</v>
      </c>
      <c r="T575" s="12">
        <f>_xlfn.XLOOKUP(B575,[1]Sheet1!$B:$B,[1]Sheet1!$W:$W,0)</f>
        <v>0</v>
      </c>
      <c r="U575" s="12">
        <f>_xlfn.XLOOKUP(B575,[1]Sheet1!$B:$B,[1]Sheet1!$X:$X,0)</f>
        <v>0</v>
      </c>
      <c r="V575" s="12">
        <f>_xlfn.XLOOKUP(B575,[1]Sheet1!$B:$B,[1]Sheet1!$Y:$Y,0)</f>
        <v>3448848</v>
      </c>
      <c r="W575" s="12">
        <f t="shared" si="19"/>
        <v>3448848</v>
      </c>
      <c r="X575" s="8" t="s">
        <v>964</v>
      </c>
      <c r="Y575" s="8" t="s">
        <v>392</v>
      </c>
      <c r="Z575" s="8" t="s">
        <v>961</v>
      </c>
      <c r="AA575" s="8" t="s">
        <v>209</v>
      </c>
      <c r="AB575" s="8" t="s">
        <v>36</v>
      </c>
      <c r="AC575" s="8" t="s">
        <v>37</v>
      </c>
      <c r="AD575" s="8" t="s">
        <v>859</v>
      </c>
      <c r="AE575" s="8" t="s">
        <v>39</v>
      </c>
      <c r="AF575" s="8" t="s">
        <v>40</v>
      </c>
      <c r="AG575" s="9">
        <v>3448848</v>
      </c>
      <c r="AH575" s="11">
        <f>_xlfn.XLOOKUP(B575,[1]Sheet1!$B:$B,[1]Sheet1!$AB:$AB,0)</f>
        <v>3448848</v>
      </c>
    </row>
    <row r="576" spans="2:34" ht="16.8" thickTop="1" thickBot="1" x14ac:dyDescent="0.35">
      <c r="B576" s="3" t="str">
        <f t="shared" si="18"/>
        <v>45192004511000730Event Consumable-N3421125200104</v>
      </c>
      <c r="C576" s="6" t="s">
        <v>962</v>
      </c>
      <c r="D576" s="6" t="s">
        <v>969</v>
      </c>
      <c r="E576" s="6" t="s">
        <v>970</v>
      </c>
      <c r="F576" s="6" t="s">
        <v>971</v>
      </c>
      <c r="G576" s="4" t="s">
        <v>2803</v>
      </c>
      <c r="H576" s="4" t="s">
        <v>2922</v>
      </c>
      <c r="I576" s="6" t="s">
        <v>44</v>
      </c>
      <c r="J576" s="6" t="s">
        <v>31</v>
      </c>
      <c r="K576" s="12">
        <f>_xlfn.XLOOKUP(B576,[1]Sheet1!$B:$B,[1]Sheet1!$N:$N,0)</f>
        <v>0</v>
      </c>
      <c r="L576" s="12">
        <f>_xlfn.XLOOKUP(B576,[1]Sheet1!$B:$B,[1]Sheet1!$O:$O,0)</f>
        <v>0</v>
      </c>
      <c r="M576" s="12">
        <f>_xlfn.XLOOKUP(B576,[1]Sheet1!$B:$B,[1]Sheet1!$P:$P,0)</f>
        <v>0</v>
      </c>
      <c r="N576" s="12">
        <f>_xlfn.XLOOKUP(B576,[1]Sheet1!$B:$B,[1]Sheet1!$Q:$Q,0)</f>
        <v>0</v>
      </c>
      <c r="O576" s="12">
        <f>_xlfn.XLOOKUP(B576,[1]Sheet1!$B:$B,[1]Sheet1!$R:$R,0)</f>
        <v>0</v>
      </c>
      <c r="P576" s="12">
        <f>_xlfn.XLOOKUP(B576,[1]Sheet1!$B:$B,[1]Sheet1!$S:$S,0)</f>
        <v>0</v>
      </c>
      <c r="Q576" s="12">
        <f>_xlfn.XLOOKUP(B576,[1]Sheet1!$B:$B,[1]Sheet1!$T:$T,0)</f>
        <v>0</v>
      </c>
      <c r="R576" s="12">
        <f>_xlfn.XLOOKUP(B576,[1]Sheet1!$B:$B,[1]Sheet1!$U:$U,0)</f>
        <v>0</v>
      </c>
      <c r="S576" s="12">
        <f>_xlfn.XLOOKUP(B576,[1]Sheet1!$B:$B,[1]Sheet1!$V:$V,0)</f>
        <v>0</v>
      </c>
      <c r="T576" s="12">
        <f>_xlfn.XLOOKUP(B576,[1]Sheet1!$B:$B,[1]Sheet1!$W:$W,0)</f>
        <v>0</v>
      </c>
      <c r="U576" s="12">
        <f>_xlfn.XLOOKUP(B576,[1]Sheet1!$B:$B,[1]Sheet1!$X:$X,0)</f>
        <v>0</v>
      </c>
      <c r="V576" s="12">
        <f>_xlfn.XLOOKUP(B576,[1]Sheet1!$B:$B,[1]Sheet1!$Y:$Y,0)</f>
        <v>170000</v>
      </c>
      <c r="W576" s="12">
        <f t="shared" si="19"/>
        <v>170000</v>
      </c>
      <c r="X576" s="6" t="s">
        <v>972</v>
      </c>
      <c r="Y576" s="6" t="s">
        <v>392</v>
      </c>
      <c r="Z576" s="6" t="s">
        <v>961</v>
      </c>
      <c r="AA576" s="6" t="s">
        <v>44</v>
      </c>
      <c r="AB576" s="6" t="s">
        <v>36</v>
      </c>
      <c r="AC576" s="6" t="s">
        <v>37</v>
      </c>
      <c r="AD576" s="6" t="s">
        <v>859</v>
      </c>
      <c r="AE576" s="6" t="s">
        <v>39</v>
      </c>
      <c r="AF576" s="6" t="s">
        <v>40</v>
      </c>
      <c r="AG576" s="7">
        <v>170000</v>
      </c>
      <c r="AH576" s="11">
        <f>_xlfn.XLOOKUP(B576,[1]Sheet1!$B:$B,[1]Sheet1!$AB:$AB,0)</f>
        <v>170000</v>
      </c>
    </row>
    <row r="577" spans="2:34" ht="16.8" thickTop="1" thickBot="1" x14ac:dyDescent="0.35">
      <c r="B577" s="3" t="str">
        <f t="shared" si="18"/>
        <v>45192004511000730Hospitality-N2424761200104</v>
      </c>
      <c r="C577" s="8" t="s">
        <v>962</v>
      </c>
      <c r="D577" s="8" t="s">
        <v>969</v>
      </c>
      <c r="E577" s="8" t="s">
        <v>970</v>
      </c>
      <c r="F577" s="8" t="s">
        <v>637</v>
      </c>
      <c r="G577" s="4" t="s">
        <v>2811</v>
      </c>
      <c r="H577" s="4" t="s">
        <v>2922</v>
      </c>
      <c r="I577" s="8" t="s">
        <v>84</v>
      </c>
      <c r="J577" s="8" t="s">
        <v>31</v>
      </c>
      <c r="K577" s="12">
        <f>_xlfn.XLOOKUP(B577,[1]Sheet1!$B:$B,[1]Sheet1!$N:$N,0)</f>
        <v>0</v>
      </c>
      <c r="L577" s="12">
        <f>_xlfn.XLOOKUP(B577,[1]Sheet1!$B:$B,[1]Sheet1!$O:$O,0)</f>
        <v>0</v>
      </c>
      <c r="M577" s="12">
        <f>_xlfn.XLOOKUP(B577,[1]Sheet1!$B:$B,[1]Sheet1!$P:$P,0)</f>
        <v>0</v>
      </c>
      <c r="N577" s="12">
        <f>_xlfn.XLOOKUP(B577,[1]Sheet1!$B:$B,[1]Sheet1!$Q:$Q,0)</f>
        <v>0</v>
      </c>
      <c r="O577" s="12">
        <f>_xlfn.XLOOKUP(B577,[1]Sheet1!$B:$B,[1]Sheet1!$R:$R,0)</f>
        <v>0</v>
      </c>
      <c r="P577" s="12">
        <f>_xlfn.XLOOKUP(B577,[1]Sheet1!$B:$B,[1]Sheet1!$S:$S,0)</f>
        <v>0</v>
      </c>
      <c r="Q577" s="12">
        <f>_xlfn.XLOOKUP(B577,[1]Sheet1!$B:$B,[1]Sheet1!$T:$T,0)</f>
        <v>0</v>
      </c>
      <c r="R577" s="12">
        <f>_xlfn.XLOOKUP(B577,[1]Sheet1!$B:$B,[1]Sheet1!$U:$U,0)</f>
        <v>0</v>
      </c>
      <c r="S577" s="12">
        <f>_xlfn.XLOOKUP(B577,[1]Sheet1!$B:$B,[1]Sheet1!$V:$V,0)</f>
        <v>0</v>
      </c>
      <c r="T577" s="12">
        <f>_xlfn.XLOOKUP(B577,[1]Sheet1!$B:$B,[1]Sheet1!$W:$W,0)</f>
        <v>0</v>
      </c>
      <c r="U577" s="12">
        <f>_xlfn.XLOOKUP(B577,[1]Sheet1!$B:$B,[1]Sheet1!$X:$X,0)</f>
        <v>0</v>
      </c>
      <c r="V577" s="12">
        <f>_xlfn.XLOOKUP(B577,[1]Sheet1!$B:$B,[1]Sheet1!$Y:$Y,0)</f>
        <v>171000</v>
      </c>
      <c r="W577" s="12">
        <f t="shared" si="19"/>
        <v>171000</v>
      </c>
      <c r="X577" s="8" t="s">
        <v>965</v>
      </c>
      <c r="Y577" s="8" t="s">
        <v>392</v>
      </c>
      <c r="Z577" s="8" t="s">
        <v>961</v>
      </c>
      <c r="AA577" s="8" t="s">
        <v>84</v>
      </c>
      <c r="AB577" s="8" t="s">
        <v>36</v>
      </c>
      <c r="AC577" s="8" t="s">
        <v>37</v>
      </c>
      <c r="AD577" s="8" t="s">
        <v>859</v>
      </c>
      <c r="AE577" s="8" t="s">
        <v>39</v>
      </c>
      <c r="AF577" s="8" t="s">
        <v>40</v>
      </c>
      <c r="AG577" s="9">
        <v>171000</v>
      </c>
      <c r="AH577" s="11">
        <f>_xlfn.XLOOKUP(B577,[1]Sheet1!$B:$B,[1]Sheet1!$AB:$AB,0)</f>
        <v>171000</v>
      </c>
    </row>
    <row r="578" spans="2:34" ht="16.8" thickTop="1" thickBot="1" x14ac:dyDescent="0.35">
      <c r="B578" s="3" t="str">
        <f t="shared" si="18"/>
        <v>45192004511000730Licenses Fees-N424131200104</v>
      </c>
      <c r="C578" s="6" t="s">
        <v>962</v>
      </c>
      <c r="D578" s="6" t="s">
        <v>969</v>
      </c>
      <c r="E578" s="6" t="s">
        <v>970</v>
      </c>
      <c r="F578" s="6" t="s">
        <v>365</v>
      </c>
      <c r="G578" s="4" t="s">
        <v>2835</v>
      </c>
      <c r="H578" s="4" t="s">
        <v>2922</v>
      </c>
      <c r="I578" s="6" t="s">
        <v>366</v>
      </c>
      <c r="J578" s="6" t="s">
        <v>31</v>
      </c>
      <c r="K578" s="12">
        <f>_xlfn.XLOOKUP(B578,[1]Sheet1!$B:$B,[1]Sheet1!$N:$N,0)</f>
        <v>0</v>
      </c>
      <c r="L578" s="12">
        <f>_xlfn.XLOOKUP(B578,[1]Sheet1!$B:$B,[1]Sheet1!$O:$O,0)</f>
        <v>0</v>
      </c>
      <c r="M578" s="12">
        <f>_xlfn.XLOOKUP(B578,[1]Sheet1!$B:$B,[1]Sheet1!$P:$P,0)</f>
        <v>0</v>
      </c>
      <c r="N578" s="12">
        <f>_xlfn.XLOOKUP(B578,[1]Sheet1!$B:$B,[1]Sheet1!$Q:$Q,0)</f>
        <v>0</v>
      </c>
      <c r="O578" s="12">
        <f>_xlfn.XLOOKUP(B578,[1]Sheet1!$B:$B,[1]Sheet1!$R:$R,0)</f>
        <v>0</v>
      </c>
      <c r="P578" s="12">
        <f>_xlfn.XLOOKUP(B578,[1]Sheet1!$B:$B,[1]Sheet1!$S:$S,0)</f>
        <v>0</v>
      </c>
      <c r="Q578" s="12">
        <f>_xlfn.XLOOKUP(B578,[1]Sheet1!$B:$B,[1]Sheet1!$T:$T,0)</f>
        <v>0</v>
      </c>
      <c r="R578" s="12">
        <f>_xlfn.XLOOKUP(B578,[1]Sheet1!$B:$B,[1]Sheet1!$U:$U,0)</f>
        <v>0</v>
      </c>
      <c r="S578" s="12">
        <f>_xlfn.XLOOKUP(B578,[1]Sheet1!$B:$B,[1]Sheet1!$V:$V,0)</f>
        <v>0</v>
      </c>
      <c r="T578" s="12">
        <f>_xlfn.XLOOKUP(B578,[1]Sheet1!$B:$B,[1]Sheet1!$W:$W,0)</f>
        <v>0</v>
      </c>
      <c r="U578" s="12">
        <f>_xlfn.XLOOKUP(B578,[1]Sheet1!$B:$B,[1]Sheet1!$X:$X,0)</f>
        <v>0</v>
      </c>
      <c r="V578" s="12">
        <f>_xlfn.XLOOKUP(B578,[1]Sheet1!$B:$B,[1]Sheet1!$Y:$Y,0)</f>
        <v>646000</v>
      </c>
      <c r="W578" s="12">
        <f t="shared" si="19"/>
        <v>646000</v>
      </c>
      <c r="X578" s="6" t="s">
        <v>966</v>
      </c>
      <c r="Y578" s="6" t="s">
        <v>392</v>
      </c>
      <c r="Z578" s="6" t="s">
        <v>961</v>
      </c>
      <c r="AA578" s="6" t="s">
        <v>366</v>
      </c>
      <c r="AB578" s="6" t="s">
        <v>36</v>
      </c>
      <c r="AC578" s="6" t="s">
        <v>37</v>
      </c>
      <c r="AD578" s="6" t="s">
        <v>859</v>
      </c>
      <c r="AE578" s="6" t="s">
        <v>39</v>
      </c>
      <c r="AF578" s="6" t="s">
        <v>40</v>
      </c>
      <c r="AG578" s="7">
        <v>646000</v>
      </c>
      <c r="AH578" s="11">
        <f>_xlfn.XLOOKUP(B578,[1]Sheet1!$B:$B,[1]Sheet1!$AB:$AB,0)</f>
        <v>646000</v>
      </c>
    </row>
    <row r="579" spans="2:34" ht="16.8" thickTop="1" thickBot="1" x14ac:dyDescent="0.35">
      <c r="B579" s="3" t="str">
        <f t="shared" si="18"/>
        <v>45192004511000730Mission &amp; Travel-N2423821200104</v>
      </c>
      <c r="C579" s="8" t="s">
        <v>962</v>
      </c>
      <c r="D579" s="8" t="s">
        <v>969</v>
      </c>
      <c r="E579" s="8" t="s">
        <v>970</v>
      </c>
      <c r="F579" s="8" t="s">
        <v>867</v>
      </c>
      <c r="G579" s="4" t="s">
        <v>2805</v>
      </c>
      <c r="H579" s="4" t="s">
        <v>2922</v>
      </c>
      <c r="I579" s="8" t="s">
        <v>55</v>
      </c>
      <c r="J579" s="8" t="s">
        <v>31</v>
      </c>
      <c r="K579" s="12">
        <f>_xlfn.XLOOKUP(B579,[1]Sheet1!$B:$B,[1]Sheet1!$N:$N,0)</f>
        <v>0</v>
      </c>
      <c r="L579" s="12">
        <f>_xlfn.XLOOKUP(B579,[1]Sheet1!$B:$B,[1]Sheet1!$O:$O,0)</f>
        <v>0</v>
      </c>
      <c r="M579" s="12">
        <f>_xlfn.XLOOKUP(B579,[1]Sheet1!$B:$B,[1]Sheet1!$P:$P,0)</f>
        <v>0</v>
      </c>
      <c r="N579" s="12">
        <f>_xlfn.XLOOKUP(B579,[1]Sheet1!$B:$B,[1]Sheet1!$Q:$Q,0)</f>
        <v>0</v>
      </c>
      <c r="O579" s="12">
        <f>_xlfn.XLOOKUP(B579,[1]Sheet1!$B:$B,[1]Sheet1!$R:$R,0)</f>
        <v>0</v>
      </c>
      <c r="P579" s="12">
        <f>_xlfn.XLOOKUP(B579,[1]Sheet1!$B:$B,[1]Sheet1!$S:$S,0)</f>
        <v>0</v>
      </c>
      <c r="Q579" s="12">
        <f>_xlfn.XLOOKUP(B579,[1]Sheet1!$B:$B,[1]Sheet1!$T:$T,0)</f>
        <v>0</v>
      </c>
      <c r="R579" s="12">
        <f>_xlfn.XLOOKUP(B579,[1]Sheet1!$B:$B,[1]Sheet1!$U:$U,0)</f>
        <v>0</v>
      </c>
      <c r="S579" s="12">
        <f>_xlfn.XLOOKUP(B579,[1]Sheet1!$B:$B,[1]Sheet1!$V:$V,0)</f>
        <v>0</v>
      </c>
      <c r="T579" s="12">
        <f>_xlfn.XLOOKUP(B579,[1]Sheet1!$B:$B,[1]Sheet1!$W:$W,0)</f>
        <v>0</v>
      </c>
      <c r="U579" s="12">
        <f>_xlfn.XLOOKUP(B579,[1]Sheet1!$B:$B,[1]Sheet1!$X:$X,0)</f>
        <v>407000</v>
      </c>
      <c r="V579" s="12">
        <f>_xlfn.XLOOKUP(B579,[1]Sheet1!$B:$B,[1]Sheet1!$Y:$Y,0)</f>
        <v>0</v>
      </c>
      <c r="W579" s="12">
        <f t="shared" si="19"/>
        <v>407000</v>
      </c>
      <c r="X579" s="8" t="s">
        <v>967</v>
      </c>
      <c r="Y579" s="8" t="s">
        <v>392</v>
      </c>
      <c r="Z579" s="8" t="s">
        <v>961</v>
      </c>
      <c r="AA579" s="8" t="s">
        <v>55</v>
      </c>
      <c r="AB579" s="8" t="s">
        <v>36</v>
      </c>
      <c r="AC579" s="8" t="s">
        <v>37</v>
      </c>
      <c r="AD579" s="8" t="s">
        <v>859</v>
      </c>
      <c r="AE579" s="8" t="s">
        <v>39</v>
      </c>
      <c r="AF579" s="8" t="s">
        <v>40</v>
      </c>
      <c r="AG579" s="9">
        <v>407000</v>
      </c>
      <c r="AH579" s="11">
        <f>_xlfn.XLOOKUP(B579,[1]Sheet1!$B:$B,[1]Sheet1!$AB:$AB,0)</f>
        <v>407000</v>
      </c>
    </row>
    <row r="580" spans="2:34" ht="16.8" thickTop="1" thickBot="1" x14ac:dyDescent="0.35">
      <c r="B580" s="3" t="str">
        <f t="shared" ref="B580:B643" si="20">C580&amp;D580&amp;F580&amp;G580&amp;H580</f>
        <v>45191964511000730PR&amp;MediaCoverage-N1424781200104</v>
      </c>
      <c r="C580" s="6" t="s">
        <v>843</v>
      </c>
      <c r="D580" s="6" t="s">
        <v>969</v>
      </c>
      <c r="E580" s="6" t="s">
        <v>970</v>
      </c>
      <c r="F580" s="6" t="s">
        <v>906</v>
      </c>
      <c r="G580" s="4" t="s">
        <v>2815</v>
      </c>
      <c r="H580" s="4" t="s">
        <v>2922</v>
      </c>
      <c r="I580" s="6" t="s">
        <v>100</v>
      </c>
      <c r="J580" s="6" t="s">
        <v>31</v>
      </c>
      <c r="K580" s="12">
        <f>_xlfn.XLOOKUP(B580,[1]Sheet1!$B:$B,[1]Sheet1!$N:$N,0)</f>
        <v>0</v>
      </c>
      <c r="L580" s="12">
        <f>_xlfn.XLOOKUP(B580,[1]Sheet1!$B:$B,[1]Sheet1!$O:$O,0)</f>
        <v>0</v>
      </c>
      <c r="M580" s="12">
        <f>_xlfn.XLOOKUP(B580,[1]Sheet1!$B:$B,[1]Sheet1!$P:$P,0)</f>
        <v>0</v>
      </c>
      <c r="N580" s="12">
        <f>_xlfn.XLOOKUP(B580,[1]Sheet1!$B:$B,[1]Sheet1!$Q:$Q,0)</f>
        <v>0</v>
      </c>
      <c r="O580" s="12">
        <f>_xlfn.XLOOKUP(B580,[1]Sheet1!$B:$B,[1]Sheet1!$R:$R,0)</f>
        <v>0</v>
      </c>
      <c r="P580" s="12">
        <f>_xlfn.XLOOKUP(B580,[1]Sheet1!$B:$B,[1]Sheet1!$S:$S,0)</f>
        <v>0</v>
      </c>
      <c r="Q580" s="12">
        <f>_xlfn.XLOOKUP(B580,[1]Sheet1!$B:$B,[1]Sheet1!$T:$T,0)</f>
        <v>0</v>
      </c>
      <c r="R580" s="12">
        <f>_xlfn.XLOOKUP(B580,[1]Sheet1!$B:$B,[1]Sheet1!$U:$U,0)</f>
        <v>0</v>
      </c>
      <c r="S580" s="12">
        <f>_xlfn.XLOOKUP(B580,[1]Sheet1!$B:$B,[1]Sheet1!$V:$V,0)</f>
        <v>0</v>
      </c>
      <c r="T580" s="12">
        <f>_xlfn.XLOOKUP(B580,[1]Sheet1!$B:$B,[1]Sheet1!$W:$W,0)</f>
        <v>0</v>
      </c>
      <c r="U580" s="12">
        <f>_xlfn.XLOOKUP(B580,[1]Sheet1!$B:$B,[1]Sheet1!$X:$X,0)</f>
        <v>625000</v>
      </c>
      <c r="V580" s="12">
        <f>_xlfn.XLOOKUP(B580,[1]Sheet1!$B:$B,[1]Sheet1!$Y:$Y,0)</f>
        <v>0</v>
      </c>
      <c r="W580" s="12">
        <f t="shared" ref="W580:W643" si="21">SUM(K580:V580)</f>
        <v>625000</v>
      </c>
      <c r="X580" s="6" t="s">
        <v>973</v>
      </c>
      <c r="Y580" s="6" t="s">
        <v>392</v>
      </c>
      <c r="Z580" s="6" t="s">
        <v>842</v>
      </c>
      <c r="AA580" s="6" t="s">
        <v>100</v>
      </c>
      <c r="AB580" s="6" t="s">
        <v>36</v>
      </c>
      <c r="AC580" s="6" t="s">
        <v>37</v>
      </c>
      <c r="AD580" s="6" t="s">
        <v>859</v>
      </c>
      <c r="AE580" s="6" t="s">
        <v>39</v>
      </c>
      <c r="AF580" s="6" t="s">
        <v>40</v>
      </c>
      <c r="AG580" s="7">
        <v>625000</v>
      </c>
      <c r="AH580" s="11">
        <f>_xlfn.XLOOKUP(B580,[1]Sheet1!$B:$B,[1]Sheet1!$AB:$AB,0)</f>
        <v>625000</v>
      </c>
    </row>
    <row r="581" spans="2:34" ht="16.8" thickTop="1" thickBot="1" x14ac:dyDescent="0.35">
      <c r="B581" s="3" t="str">
        <f t="shared" si="20"/>
        <v>45192014511000731Sponsorship Fees-N2424811200104</v>
      </c>
      <c r="C581" s="8" t="s">
        <v>876</v>
      </c>
      <c r="D581" s="8" t="s">
        <v>974</v>
      </c>
      <c r="E581" s="8" t="s">
        <v>975</v>
      </c>
      <c r="F581" s="8" t="s">
        <v>976</v>
      </c>
      <c r="G581" s="4" t="s">
        <v>2802</v>
      </c>
      <c r="H581" s="4" t="s">
        <v>2922</v>
      </c>
      <c r="I581" s="8" t="s">
        <v>30</v>
      </c>
      <c r="J581" s="8" t="s">
        <v>31</v>
      </c>
      <c r="K581" s="12">
        <f>_xlfn.XLOOKUP(B581,[1]Sheet1!$B:$B,[1]Sheet1!$N:$N,0)</f>
        <v>0</v>
      </c>
      <c r="L581" s="12">
        <f>_xlfn.XLOOKUP(B581,[1]Sheet1!$B:$B,[1]Sheet1!$O:$O,0)</f>
        <v>0</v>
      </c>
      <c r="M581" s="12">
        <f>_xlfn.XLOOKUP(B581,[1]Sheet1!$B:$B,[1]Sheet1!$P:$P,0)</f>
        <v>0</v>
      </c>
      <c r="N581" s="12">
        <f>_xlfn.XLOOKUP(B581,[1]Sheet1!$B:$B,[1]Sheet1!$Q:$Q,0)</f>
        <v>0</v>
      </c>
      <c r="O581" s="12">
        <f>_xlfn.XLOOKUP(B581,[1]Sheet1!$B:$B,[1]Sheet1!$R:$R,0)</f>
        <v>0</v>
      </c>
      <c r="P581" s="12">
        <f>_xlfn.XLOOKUP(B581,[1]Sheet1!$B:$B,[1]Sheet1!$S:$S,0)</f>
        <v>0</v>
      </c>
      <c r="Q581" s="12">
        <f>_xlfn.XLOOKUP(B581,[1]Sheet1!$B:$B,[1]Sheet1!$T:$T,0)</f>
        <v>1652940</v>
      </c>
      <c r="R581" s="12">
        <f>_xlfn.XLOOKUP(B581,[1]Sheet1!$B:$B,[1]Sheet1!$U:$U,0)</f>
        <v>0</v>
      </c>
      <c r="S581" s="12">
        <f>_xlfn.XLOOKUP(B581,[1]Sheet1!$B:$B,[1]Sheet1!$V:$V,0)</f>
        <v>0</v>
      </c>
      <c r="T581" s="12">
        <f>_xlfn.XLOOKUP(B581,[1]Sheet1!$B:$B,[1]Sheet1!$W:$W,0)</f>
        <v>0</v>
      </c>
      <c r="U581" s="12">
        <f>_xlfn.XLOOKUP(B581,[1]Sheet1!$B:$B,[1]Sheet1!$X:$X,0)</f>
        <v>0</v>
      </c>
      <c r="V581" s="12">
        <f>_xlfn.XLOOKUP(B581,[1]Sheet1!$B:$B,[1]Sheet1!$Y:$Y,0)</f>
        <v>0</v>
      </c>
      <c r="W581" s="12">
        <f t="shared" si="21"/>
        <v>1652940</v>
      </c>
      <c r="X581" s="8" t="s">
        <v>977</v>
      </c>
      <c r="Y581" s="8" t="s">
        <v>392</v>
      </c>
      <c r="Z581" s="8" t="s">
        <v>875</v>
      </c>
      <c r="AA581" s="8" t="s">
        <v>30</v>
      </c>
      <c r="AB581" s="8" t="s">
        <v>36</v>
      </c>
      <c r="AC581" s="8" t="s">
        <v>37</v>
      </c>
      <c r="AD581" s="8" t="s">
        <v>395</v>
      </c>
      <c r="AE581" s="8" t="s">
        <v>39</v>
      </c>
      <c r="AF581" s="8" t="s">
        <v>40</v>
      </c>
      <c r="AG581" s="9">
        <v>1652940</v>
      </c>
      <c r="AH581" s="11">
        <f>_xlfn.XLOOKUP(B581,[1]Sheet1!$B:$B,[1]Sheet1!$AB:$AB,0)</f>
        <v>1652940</v>
      </c>
    </row>
    <row r="582" spans="2:34" ht="16.8" thickTop="1" thickBot="1" x14ac:dyDescent="0.35">
      <c r="B582" s="3" t="str">
        <f t="shared" si="20"/>
        <v>45155004511000733Sponsorship Fees-N424811200104</v>
      </c>
      <c r="C582" s="6" t="s">
        <v>513</v>
      </c>
      <c r="D582" s="6" t="s">
        <v>978</v>
      </c>
      <c r="E582" s="6" t="s">
        <v>979</v>
      </c>
      <c r="F582" s="6" t="s">
        <v>506</v>
      </c>
      <c r="G582" s="4" t="s">
        <v>2802</v>
      </c>
      <c r="H582" s="4" t="s">
        <v>2922</v>
      </c>
      <c r="I582" s="6" t="s">
        <v>30</v>
      </c>
      <c r="J582" s="6" t="s">
        <v>31</v>
      </c>
      <c r="K582" s="12">
        <f>_xlfn.XLOOKUP(B582,[1]Sheet1!$B:$B,[1]Sheet1!$N:$N,0)</f>
        <v>0</v>
      </c>
      <c r="L582" s="12">
        <f>_xlfn.XLOOKUP(B582,[1]Sheet1!$B:$B,[1]Sheet1!$O:$O,0)</f>
        <v>0</v>
      </c>
      <c r="M582" s="12">
        <f>_xlfn.XLOOKUP(B582,[1]Sheet1!$B:$B,[1]Sheet1!$P:$P,0)</f>
        <v>0</v>
      </c>
      <c r="N582" s="12">
        <f>_xlfn.XLOOKUP(B582,[1]Sheet1!$B:$B,[1]Sheet1!$Q:$Q,0)</f>
        <v>0</v>
      </c>
      <c r="O582" s="12">
        <f>_xlfn.XLOOKUP(B582,[1]Sheet1!$B:$B,[1]Sheet1!$R:$R,0)</f>
        <v>367300</v>
      </c>
      <c r="P582" s="12">
        <f>_xlfn.XLOOKUP(B582,[1]Sheet1!$B:$B,[1]Sheet1!$S:$S,0)</f>
        <v>275475</v>
      </c>
      <c r="Q582" s="12">
        <f>_xlfn.XLOOKUP(B582,[1]Sheet1!$B:$B,[1]Sheet1!$T:$T,0)</f>
        <v>0</v>
      </c>
      <c r="R582" s="12">
        <f>_xlfn.XLOOKUP(B582,[1]Sheet1!$B:$B,[1]Sheet1!$U:$U,0)</f>
        <v>0</v>
      </c>
      <c r="S582" s="12">
        <f>_xlfn.XLOOKUP(B582,[1]Sheet1!$B:$B,[1]Sheet1!$V:$V,0)</f>
        <v>0</v>
      </c>
      <c r="T582" s="12">
        <f>_xlfn.XLOOKUP(B582,[1]Sheet1!$B:$B,[1]Sheet1!$W:$W,0)</f>
        <v>2387450</v>
      </c>
      <c r="U582" s="12">
        <f>_xlfn.XLOOKUP(B582,[1]Sheet1!$B:$B,[1]Sheet1!$X:$X,0)</f>
        <v>1836500</v>
      </c>
      <c r="V582" s="12">
        <f>_xlfn.XLOOKUP(B582,[1]Sheet1!$B:$B,[1]Sheet1!$Y:$Y,0)</f>
        <v>2203800</v>
      </c>
      <c r="W582" s="12">
        <f t="shared" si="21"/>
        <v>7070525</v>
      </c>
      <c r="X582" s="6" t="s">
        <v>518</v>
      </c>
      <c r="Y582" s="6" t="s">
        <v>211</v>
      </c>
      <c r="Z582" s="6" t="s">
        <v>512</v>
      </c>
      <c r="AA582" s="6" t="s">
        <v>30</v>
      </c>
      <c r="AB582" s="6" t="s">
        <v>36</v>
      </c>
      <c r="AC582" s="6" t="s">
        <v>37</v>
      </c>
      <c r="AD582" s="6" t="s">
        <v>342</v>
      </c>
      <c r="AE582" s="6" t="s">
        <v>39</v>
      </c>
      <c r="AF582" s="6" t="s">
        <v>40</v>
      </c>
      <c r="AG582" s="7">
        <v>7070525</v>
      </c>
      <c r="AH582" s="11">
        <f>_xlfn.XLOOKUP(B582,[1]Sheet1!$B:$B,[1]Sheet1!$AB:$AB,0)</f>
        <v>7070525</v>
      </c>
    </row>
    <row r="583" spans="2:34" ht="16.8" thickTop="1" thickBot="1" x14ac:dyDescent="0.35">
      <c r="B583" s="3" t="str">
        <f t="shared" si="20"/>
        <v>45155004511000735Co-Invest Events-L1422401050730</v>
      </c>
      <c r="C583" s="8" t="s">
        <v>513</v>
      </c>
      <c r="D583" s="8" t="s">
        <v>980</v>
      </c>
      <c r="E583" s="8" t="s">
        <v>981</v>
      </c>
      <c r="F583" s="8" t="s">
        <v>982</v>
      </c>
      <c r="G583" s="4" t="s">
        <v>2807</v>
      </c>
      <c r="H583" s="4" t="s">
        <v>2929</v>
      </c>
      <c r="I583" s="8" t="s">
        <v>63</v>
      </c>
      <c r="J583" s="8" t="s">
        <v>31</v>
      </c>
      <c r="K583" s="12">
        <f>_xlfn.XLOOKUP(B583,[1]Sheet1!$B:$B,[1]Sheet1!$N:$N,0)</f>
        <v>0</v>
      </c>
      <c r="L583" s="12">
        <f>_xlfn.XLOOKUP(B583,[1]Sheet1!$B:$B,[1]Sheet1!$O:$O,0)</f>
        <v>0</v>
      </c>
      <c r="M583" s="12">
        <f>_xlfn.XLOOKUP(B583,[1]Sheet1!$B:$B,[1]Sheet1!$P:$P,0)</f>
        <v>0</v>
      </c>
      <c r="N583" s="12">
        <f>_xlfn.XLOOKUP(B583,[1]Sheet1!$B:$B,[1]Sheet1!$Q:$Q,0)</f>
        <v>0</v>
      </c>
      <c r="O583" s="12">
        <f>_xlfn.XLOOKUP(B583,[1]Sheet1!$B:$B,[1]Sheet1!$R:$R,0)</f>
        <v>0</v>
      </c>
      <c r="P583" s="12">
        <f>_xlfn.XLOOKUP(B583,[1]Sheet1!$B:$B,[1]Sheet1!$S:$S,0)</f>
        <v>0</v>
      </c>
      <c r="Q583" s="12">
        <f>_xlfn.XLOOKUP(B583,[1]Sheet1!$B:$B,[1]Sheet1!$T:$T,0)</f>
        <v>6700000</v>
      </c>
      <c r="R583" s="12">
        <f>_xlfn.XLOOKUP(B583,[1]Sheet1!$B:$B,[1]Sheet1!$U:$U,0)</f>
        <v>0</v>
      </c>
      <c r="S583" s="12">
        <f>_xlfn.XLOOKUP(B583,[1]Sheet1!$B:$B,[1]Sheet1!$V:$V,0)</f>
        <v>30150000</v>
      </c>
      <c r="T583" s="12">
        <f>_xlfn.XLOOKUP(B583,[1]Sheet1!$B:$B,[1]Sheet1!$W:$W,0)</f>
        <v>0</v>
      </c>
      <c r="U583" s="12">
        <f>_xlfn.XLOOKUP(B583,[1]Sheet1!$B:$B,[1]Sheet1!$X:$X,0)</f>
        <v>30150000</v>
      </c>
      <c r="V583" s="12">
        <f>_xlfn.XLOOKUP(B583,[1]Sheet1!$B:$B,[1]Sheet1!$Y:$Y,0)</f>
        <v>0</v>
      </c>
      <c r="W583" s="12">
        <f t="shared" si="21"/>
        <v>67000000</v>
      </c>
      <c r="X583" s="8" t="s">
        <v>983</v>
      </c>
      <c r="Y583" s="8" t="s">
        <v>211</v>
      </c>
      <c r="Z583" s="8" t="s">
        <v>512</v>
      </c>
      <c r="AA583" s="8" t="s">
        <v>68</v>
      </c>
      <c r="AB583" s="8" t="s">
        <v>984</v>
      </c>
      <c r="AC583" s="8" t="s">
        <v>37</v>
      </c>
      <c r="AD583" s="8" t="s">
        <v>342</v>
      </c>
      <c r="AE583" s="8" t="s">
        <v>39</v>
      </c>
      <c r="AF583" s="8" t="s">
        <v>40</v>
      </c>
      <c r="AG583" s="9">
        <v>67000000</v>
      </c>
      <c r="AH583" s="11">
        <f>_xlfn.XLOOKUP(B583,[1]Sheet1!$B:$B,[1]Sheet1!$AB:$AB,0)</f>
        <v>67000000</v>
      </c>
    </row>
    <row r="584" spans="2:34" ht="16.8" thickTop="1" thickBot="1" x14ac:dyDescent="0.35">
      <c r="B584" s="3" t="str">
        <f t="shared" si="20"/>
        <v>45155004511000744Audit Services-N421125200104</v>
      </c>
      <c r="C584" s="6" t="s">
        <v>513</v>
      </c>
      <c r="D584" s="6" t="s">
        <v>985</v>
      </c>
      <c r="E584" s="6" t="s">
        <v>986</v>
      </c>
      <c r="F584" s="6" t="s">
        <v>43</v>
      </c>
      <c r="G584" s="4" t="s">
        <v>2803</v>
      </c>
      <c r="H584" s="4" t="s">
        <v>2922</v>
      </c>
      <c r="I584" s="6" t="s">
        <v>44</v>
      </c>
      <c r="J584" s="6" t="s">
        <v>31</v>
      </c>
      <c r="K584" s="12">
        <f>_xlfn.XLOOKUP(B584,[1]Sheet1!$B:$B,[1]Sheet1!$N:$N,0)</f>
        <v>0</v>
      </c>
      <c r="L584" s="12">
        <f>_xlfn.XLOOKUP(B584,[1]Sheet1!$B:$B,[1]Sheet1!$O:$O,0)</f>
        <v>0</v>
      </c>
      <c r="M584" s="12">
        <f>_xlfn.XLOOKUP(B584,[1]Sheet1!$B:$B,[1]Sheet1!$P:$P,0)</f>
        <v>0</v>
      </c>
      <c r="N584" s="12">
        <f>_xlfn.XLOOKUP(B584,[1]Sheet1!$B:$B,[1]Sheet1!$Q:$Q,0)</f>
        <v>0</v>
      </c>
      <c r="O584" s="12">
        <f>_xlfn.XLOOKUP(B584,[1]Sheet1!$B:$B,[1]Sheet1!$R:$R,0)</f>
        <v>0</v>
      </c>
      <c r="P584" s="12">
        <f>_xlfn.XLOOKUP(B584,[1]Sheet1!$B:$B,[1]Sheet1!$S:$S,0)</f>
        <v>0</v>
      </c>
      <c r="Q584" s="12">
        <f>_xlfn.XLOOKUP(B584,[1]Sheet1!$B:$B,[1]Sheet1!$T:$T,0)</f>
        <v>1050000</v>
      </c>
      <c r="R584" s="12">
        <f>_xlfn.XLOOKUP(B584,[1]Sheet1!$B:$B,[1]Sheet1!$U:$U,0)</f>
        <v>336000</v>
      </c>
      <c r="S584" s="12">
        <f>_xlfn.XLOOKUP(B584,[1]Sheet1!$B:$B,[1]Sheet1!$V:$V,0)</f>
        <v>0</v>
      </c>
      <c r="T584" s="12">
        <f>_xlfn.XLOOKUP(B584,[1]Sheet1!$B:$B,[1]Sheet1!$W:$W,0)</f>
        <v>514000</v>
      </c>
      <c r="U584" s="12">
        <f>_xlfn.XLOOKUP(B584,[1]Sheet1!$B:$B,[1]Sheet1!$X:$X,0)</f>
        <v>350000</v>
      </c>
      <c r="V584" s="12">
        <f>_xlfn.XLOOKUP(B584,[1]Sheet1!$B:$B,[1]Sheet1!$Y:$Y,0)</f>
        <v>0</v>
      </c>
      <c r="W584" s="12">
        <f t="shared" si="21"/>
        <v>2250000</v>
      </c>
      <c r="X584" s="6" t="s">
        <v>987</v>
      </c>
      <c r="Y584" s="6" t="s">
        <v>211</v>
      </c>
      <c r="Z584" s="6" t="s">
        <v>512</v>
      </c>
      <c r="AA584" s="6" t="s">
        <v>44</v>
      </c>
      <c r="AB584" s="6" t="s">
        <v>36</v>
      </c>
      <c r="AC584" s="6" t="s">
        <v>37</v>
      </c>
      <c r="AD584" s="6" t="s">
        <v>342</v>
      </c>
      <c r="AE584" s="6" t="s">
        <v>39</v>
      </c>
      <c r="AF584" s="6" t="s">
        <v>40</v>
      </c>
      <c r="AG584" s="7">
        <v>2250000</v>
      </c>
      <c r="AH584" s="11">
        <f>_xlfn.XLOOKUP(B584,[1]Sheet1!$B:$B,[1]Sheet1!$AB:$AB,0)</f>
        <v>2250000</v>
      </c>
    </row>
    <row r="585" spans="2:34" ht="16.8" thickTop="1" thickBot="1" x14ac:dyDescent="0.35">
      <c r="B585" s="3" t="str">
        <f t="shared" si="20"/>
        <v>45101704511000751Admin Expenses-N421125200104</v>
      </c>
      <c r="C585" s="8" t="s">
        <v>142</v>
      </c>
      <c r="D585" s="8" t="s">
        <v>988</v>
      </c>
      <c r="E585" s="8" t="s">
        <v>989</v>
      </c>
      <c r="F585" s="8" t="s">
        <v>130</v>
      </c>
      <c r="G585" s="4" t="s">
        <v>2803</v>
      </c>
      <c r="H585" s="4" t="s">
        <v>2922</v>
      </c>
      <c r="I585" s="8" t="s">
        <v>44</v>
      </c>
      <c r="J585" s="8" t="s">
        <v>31</v>
      </c>
      <c r="K585" s="12">
        <f>_xlfn.XLOOKUP(B585,[1]Sheet1!$B:$B,[1]Sheet1!$N:$N,0)</f>
        <v>0</v>
      </c>
      <c r="L585" s="12">
        <f>_xlfn.XLOOKUP(B585,[1]Sheet1!$B:$B,[1]Sheet1!$O:$O,0)</f>
        <v>0</v>
      </c>
      <c r="M585" s="12">
        <f>_xlfn.XLOOKUP(B585,[1]Sheet1!$B:$B,[1]Sheet1!$P:$P,0)</f>
        <v>0</v>
      </c>
      <c r="N585" s="12">
        <f>_xlfn.XLOOKUP(B585,[1]Sheet1!$B:$B,[1]Sheet1!$Q:$Q,0)</f>
        <v>0</v>
      </c>
      <c r="O585" s="12">
        <f>_xlfn.XLOOKUP(B585,[1]Sheet1!$B:$B,[1]Sheet1!$R:$R,0)</f>
        <v>0</v>
      </c>
      <c r="P585" s="12">
        <f>_xlfn.XLOOKUP(B585,[1]Sheet1!$B:$B,[1]Sheet1!$S:$S,0)</f>
        <v>0</v>
      </c>
      <c r="Q585" s="12">
        <f>_xlfn.XLOOKUP(B585,[1]Sheet1!$B:$B,[1]Sheet1!$T:$T,0)</f>
        <v>0</v>
      </c>
      <c r="R585" s="12">
        <f>_xlfn.XLOOKUP(B585,[1]Sheet1!$B:$B,[1]Sheet1!$U:$U,0)</f>
        <v>0</v>
      </c>
      <c r="S585" s="12">
        <f>_xlfn.XLOOKUP(B585,[1]Sheet1!$B:$B,[1]Sheet1!$V:$V,0)</f>
        <v>0</v>
      </c>
      <c r="T585" s="12">
        <f>_xlfn.XLOOKUP(B585,[1]Sheet1!$B:$B,[1]Sheet1!$W:$W,0)</f>
        <v>0</v>
      </c>
      <c r="U585" s="12">
        <f>_xlfn.XLOOKUP(B585,[1]Sheet1!$B:$B,[1]Sheet1!$X:$X,0)</f>
        <v>8205</v>
      </c>
      <c r="V585" s="12">
        <f>_xlfn.XLOOKUP(B585,[1]Sheet1!$B:$B,[1]Sheet1!$Y:$Y,0)</f>
        <v>0</v>
      </c>
      <c r="W585" s="12">
        <f t="shared" si="21"/>
        <v>8205</v>
      </c>
      <c r="X585" s="8" t="s">
        <v>140</v>
      </c>
      <c r="Y585" s="8" t="s">
        <v>132</v>
      </c>
      <c r="Z585" s="8" t="s">
        <v>141</v>
      </c>
      <c r="AA585" s="8" t="s">
        <v>44</v>
      </c>
      <c r="AB585" s="8" t="s">
        <v>36</v>
      </c>
      <c r="AC585" s="8" t="s">
        <v>37</v>
      </c>
      <c r="AD585" s="8" t="s">
        <v>143</v>
      </c>
      <c r="AE585" s="8" t="s">
        <v>39</v>
      </c>
      <c r="AF585" s="8" t="s">
        <v>40</v>
      </c>
      <c r="AG585" s="9">
        <v>8205</v>
      </c>
      <c r="AH585" s="11">
        <f>_xlfn.XLOOKUP(B585,[1]Sheet1!$B:$B,[1]Sheet1!$AB:$AB,0)</f>
        <v>8205</v>
      </c>
    </row>
    <row r="586" spans="2:34" ht="16.8" thickTop="1" thickBot="1" x14ac:dyDescent="0.35">
      <c r="B586" s="3" t="str">
        <f t="shared" si="20"/>
        <v>45101704511000751Audit Services-N421125200104</v>
      </c>
      <c r="C586" s="6" t="s">
        <v>142</v>
      </c>
      <c r="D586" s="6" t="s">
        <v>988</v>
      </c>
      <c r="E586" s="6" t="s">
        <v>989</v>
      </c>
      <c r="F586" s="6" t="s">
        <v>43</v>
      </c>
      <c r="G586" s="4" t="s">
        <v>2803</v>
      </c>
      <c r="H586" s="4" t="s">
        <v>2922</v>
      </c>
      <c r="I586" s="6" t="s">
        <v>44</v>
      </c>
      <c r="J586" s="6" t="s">
        <v>31</v>
      </c>
      <c r="K586" s="12">
        <f>_xlfn.XLOOKUP(B586,[1]Sheet1!$B:$B,[1]Sheet1!$N:$N,0)</f>
        <v>0</v>
      </c>
      <c r="L586" s="12">
        <f>_xlfn.XLOOKUP(B586,[1]Sheet1!$B:$B,[1]Sheet1!$O:$O,0)</f>
        <v>0</v>
      </c>
      <c r="M586" s="12">
        <f>_xlfn.XLOOKUP(B586,[1]Sheet1!$B:$B,[1]Sheet1!$P:$P,0)</f>
        <v>0</v>
      </c>
      <c r="N586" s="12">
        <f>_xlfn.XLOOKUP(B586,[1]Sheet1!$B:$B,[1]Sheet1!$Q:$Q,0)</f>
        <v>0</v>
      </c>
      <c r="O586" s="12">
        <f>_xlfn.XLOOKUP(B586,[1]Sheet1!$B:$B,[1]Sheet1!$R:$R,0)</f>
        <v>57405</v>
      </c>
      <c r="P586" s="12">
        <f>_xlfn.XLOOKUP(B586,[1]Sheet1!$B:$B,[1]Sheet1!$S:$S,0)</f>
        <v>0</v>
      </c>
      <c r="Q586" s="12">
        <f>_xlfn.XLOOKUP(B586,[1]Sheet1!$B:$B,[1]Sheet1!$T:$T,0)</f>
        <v>0</v>
      </c>
      <c r="R586" s="12">
        <f>_xlfn.XLOOKUP(B586,[1]Sheet1!$B:$B,[1]Sheet1!$U:$U,0)</f>
        <v>22500</v>
      </c>
      <c r="S586" s="12">
        <f>_xlfn.XLOOKUP(B586,[1]Sheet1!$B:$B,[1]Sheet1!$V:$V,0)</f>
        <v>5464</v>
      </c>
      <c r="T586" s="12">
        <f>_xlfn.XLOOKUP(B586,[1]Sheet1!$B:$B,[1]Sheet1!$W:$W,0)</f>
        <v>0</v>
      </c>
      <c r="U586" s="12">
        <f>_xlfn.XLOOKUP(B586,[1]Sheet1!$B:$B,[1]Sheet1!$X:$X,0)</f>
        <v>106700</v>
      </c>
      <c r="V586" s="12">
        <f>_xlfn.XLOOKUP(B586,[1]Sheet1!$B:$B,[1]Sheet1!$Y:$Y,0)</f>
        <v>0</v>
      </c>
      <c r="W586" s="12">
        <f t="shared" si="21"/>
        <v>192069</v>
      </c>
      <c r="X586" s="6" t="s">
        <v>140</v>
      </c>
      <c r="Y586" s="6" t="s">
        <v>132</v>
      </c>
      <c r="Z586" s="6" t="s">
        <v>141</v>
      </c>
      <c r="AA586" s="6" t="s">
        <v>44</v>
      </c>
      <c r="AB586" s="6" t="s">
        <v>36</v>
      </c>
      <c r="AC586" s="6" t="s">
        <v>37</v>
      </c>
      <c r="AD586" s="6" t="s">
        <v>143</v>
      </c>
      <c r="AE586" s="6" t="s">
        <v>39</v>
      </c>
      <c r="AF586" s="6" t="s">
        <v>40</v>
      </c>
      <c r="AG586" s="7">
        <v>192069</v>
      </c>
      <c r="AH586" s="11">
        <f>_xlfn.XLOOKUP(B586,[1]Sheet1!$B:$B,[1]Sheet1!$AB:$AB,0)</f>
        <v>192069</v>
      </c>
    </row>
    <row r="587" spans="2:34" ht="16.8" thickTop="1" thickBot="1" x14ac:dyDescent="0.35">
      <c r="B587" s="3" t="str">
        <f t="shared" si="20"/>
        <v>45101704511000751Freelancer-N424521200104</v>
      </c>
      <c r="C587" s="8" t="s">
        <v>142</v>
      </c>
      <c r="D587" s="8" t="s">
        <v>988</v>
      </c>
      <c r="E587" s="8" t="s">
        <v>989</v>
      </c>
      <c r="F587" s="8" t="s">
        <v>990</v>
      </c>
      <c r="G587" s="4" t="s">
        <v>2804</v>
      </c>
      <c r="H587" s="4" t="s">
        <v>2922</v>
      </c>
      <c r="I587" s="8" t="s">
        <v>51</v>
      </c>
      <c r="J587" s="8" t="s">
        <v>31</v>
      </c>
      <c r="K587" s="12">
        <f>_xlfn.XLOOKUP(B587,[1]Sheet1!$B:$B,[1]Sheet1!$N:$N,0)</f>
        <v>0</v>
      </c>
      <c r="L587" s="12">
        <f>_xlfn.XLOOKUP(B587,[1]Sheet1!$B:$B,[1]Sheet1!$O:$O,0)</f>
        <v>42400</v>
      </c>
      <c r="M587" s="12">
        <f>_xlfn.XLOOKUP(B587,[1]Sheet1!$B:$B,[1]Sheet1!$P:$P,0)</f>
        <v>0</v>
      </c>
      <c r="N587" s="12">
        <f>_xlfn.XLOOKUP(B587,[1]Sheet1!$B:$B,[1]Sheet1!$Q:$Q,0)</f>
        <v>44000</v>
      </c>
      <c r="O587" s="12">
        <f>_xlfn.XLOOKUP(B587,[1]Sheet1!$B:$B,[1]Sheet1!$R:$R,0)</f>
        <v>22000</v>
      </c>
      <c r="P587" s="12">
        <f>_xlfn.XLOOKUP(B587,[1]Sheet1!$B:$B,[1]Sheet1!$S:$S,0)</f>
        <v>22000</v>
      </c>
      <c r="Q587" s="12">
        <f>_xlfn.XLOOKUP(B587,[1]Sheet1!$B:$B,[1]Sheet1!$T:$T,0)</f>
        <v>0</v>
      </c>
      <c r="R587" s="12">
        <f>_xlfn.XLOOKUP(B587,[1]Sheet1!$B:$B,[1]Sheet1!$U:$U,0)</f>
        <v>0</v>
      </c>
      <c r="S587" s="12">
        <f>_xlfn.XLOOKUP(B587,[1]Sheet1!$B:$B,[1]Sheet1!$V:$V,0)</f>
        <v>0</v>
      </c>
      <c r="T587" s="12">
        <f>_xlfn.XLOOKUP(B587,[1]Sheet1!$B:$B,[1]Sheet1!$W:$W,0)</f>
        <v>0</v>
      </c>
      <c r="U587" s="12">
        <f>_xlfn.XLOOKUP(B587,[1]Sheet1!$B:$B,[1]Sheet1!$X:$X,0)</f>
        <v>0</v>
      </c>
      <c r="V587" s="12">
        <f>_xlfn.XLOOKUP(B587,[1]Sheet1!$B:$B,[1]Sheet1!$Y:$Y,0)</f>
        <v>0</v>
      </c>
      <c r="W587" s="12">
        <f t="shared" si="21"/>
        <v>130400</v>
      </c>
      <c r="X587" s="8" t="s">
        <v>991</v>
      </c>
      <c r="Y587" s="8" t="s">
        <v>132</v>
      </c>
      <c r="Z587" s="8" t="s">
        <v>141</v>
      </c>
      <c r="AA587" s="8" t="s">
        <v>53</v>
      </c>
      <c r="AB587" s="8" t="s">
        <v>36</v>
      </c>
      <c r="AC587" s="8" t="s">
        <v>37</v>
      </c>
      <c r="AD587" s="8" t="s">
        <v>143</v>
      </c>
      <c r="AE587" s="8" t="s">
        <v>39</v>
      </c>
      <c r="AF587" s="8" t="s">
        <v>40</v>
      </c>
      <c r="AG587" s="9">
        <v>394400</v>
      </c>
      <c r="AH587" s="11">
        <f>_xlfn.XLOOKUP(B587,[1]Sheet1!$B:$B,[1]Sheet1!$AB:$AB,0)</f>
        <v>394400</v>
      </c>
    </row>
    <row r="588" spans="2:34" ht="16.8" thickTop="1" thickBot="1" x14ac:dyDescent="0.35">
      <c r="B588" s="3" t="str">
        <f t="shared" si="20"/>
        <v>45101704511000751Licenses Fees-N424131200104</v>
      </c>
      <c r="C588" s="6" t="s">
        <v>142</v>
      </c>
      <c r="D588" s="6" t="s">
        <v>988</v>
      </c>
      <c r="E588" s="6" t="s">
        <v>989</v>
      </c>
      <c r="F588" s="6" t="s">
        <v>365</v>
      </c>
      <c r="G588" s="4" t="s">
        <v>2835</v>
      </c>
      <c r="H588" s="4" t="s">
        <v>2922</v>
      </c>
      <c r="I588" s="6" t="s">
        <v>366</v>
      </c>
      <c r="J588" s="6" t="s">
        <v>31</v>
      </c>
      <c r="K588" s="12">
        <f>_xlfn.XLOOKUP(B588,[1]Sheet1!$B:$B,[1]Sheet1!$N:$N,0)</f>
        <v>0</v>
      </c>
      <c r="L588" s="12">
        <f>_xlfn.XLOOKUP(B588,[1]Sheet1!$B:$B,[1]Sheet1!$O:$O,0)</f>
        <v>0</v>
      </c>
      <c r="M588" s="12">
        <f>_xlfn.XLOOKUP(B588,[1]Sheet1!$B:$B,[1]Sheet1!$P:$P,0)</f>
        <v>0</v>
      </c>
      <c r="N588" s="12">
        <f>_xlfn.XLOOKUP(B588,[1]Sheet1!$B:$B,[1]Sheet1!$Q:$Q,0)</f>
        <v>0</v>
      </c>
      <c r="O588" s="12">
        <f>_xlfn.XLOOKUP(B588,[1]Sheet1!$B:$B,[1]Sheet1!$R:$R,0)</f>
        <v>0</v>
      </c>
      <c r="P588" s="12">
        <f>_xlfn.XLOOKUP(B588,[1]Sheet1!$B:$B,[1]Sheet1!$S:$S,0)</f>
        <v>0</v>
      </c>
      <c r="Q588" s="12">
        <f>_xlfn.XLOOKUP(B588,[1]Sheet1!$B:$B,[1]Sheet1!$T:$T,0)</f>
        <v>0</v>
      </c>
      <c r="R588" s="12">
        <f>_xlfn.XLOOKUP(B588,[1]Sheet1!$B:$B,[1]Sheet1!$U:$U,0)</f>
        <v>107892</v>
      </c>
      <c r="S588" s="12">
        <f>_xlfn.XLOOKUP(B588,[1]Sheet1!$B:$B,[1]Sheet1!$V:$V,0)</f>
        <v>0</v>
      </c>
      <c r="T588" s="12">
        <f>_xlfn.XLOOKUP(B588,[1]Sheet1!$B:$B,[1]Sheet1!$W:$W,0)</f>
        <v>0</v>
      </c>
      <c r="U588" s="12">
        <f>_xlfn.XLOOKUP(B588,[1]Sheet1!$B:$B,[1]Sheet1!$X:$X,0)</f>
        <v>8600</v>
      </c>
      <c r="V588" s="12">
        <f>_xlfn.XLOOKUP(B588,[1]Sheet1!$B:$B,[1]Sheet1!$Y:$Y,0)</f>
        <v>0</v>
      </c>
      <c r="W588" s="12">
        <f t="shared" si="21"/>
        <v>116492</v>
      </c>
      <c r="X588" s="6" t="s">
        <v>992</v>
      </c>
      <c r="Y588" s="6" t="s">
        <v>132</v>
      </c>
      <c r="Z588" s="6" t="s">
        <v>141</v>
      </c>
      <c r="AA588" s="6" t="s">
        <v>366</v>
      </c>
      <c r="AB588" s="6" t="s">
        <v>36</v>
      </c>
      <c r="AC588" s="6" t="s">
        <v>37</v>
      </c>
      <c r="AD588" s="6" t="s">
        <v>143</v>
      </c>
      <c r="AE588" s="6" t="s">
        <v>39</v>
      </c>
      <c r="AF588" s="6" t="s">
        <v>40</v>
      </c>
      <c r="AG588" s="7">
        <v>116492</v>
      </c>
      <c r="AH588" s="11">
        <f>_xlfn.XLOOKUP(B588,[1]Sheet1!$B:$B,[1]Sheet1!$AB:$AB,0)</f>
        <v>116492</v>
      </c>
    </row>
    <row r="589" spans="2:34" ht="16.8" thickTop="1" thickBot="1" x14ac:dyDescent="0.35">
      <c r="B589" s="3" t="str">
        <f t="shared" si="20"/>
        <v>45101704511000751ManagementAdvice-N424521200104</v>
      </c>
      <c r="C589" s="8" t="s">
        <v>142</v>
      </c>
      <c r="D589" s="8" t="s">
        <v>988</v>
      </c>
      <c r="E589" s="8" t="s">
        <v>989</v>
      </c>
      <c r="F589" s="8" t="s">
        <v>230</v>
      </c>
      <c r="G589" s="4" t="s">
        <v>2804</v>
      </c>
      <c r="H589" s="4" t="s">
        <v>2922</v>
      </c>
      <c r="I589" s="8" t="s">
        <v>51</v>
      </c>
      <c r="J589" s="8" t="s">
        <v>31</v>
      </c>
      <c r="K589" s="12">
        <f>_xlfn.XLOOKUP(B589,[1]Sheet1!$B:$B,[1]Sheet1!$N:$N,0)</f>
        <v>0</v>
      </c>
      <c r="L589" s="12">
        <f>_xlfn.XLOOKUP(B589,[1]Sheet1!$B:$B,[1]Sheet1!$O:$O,0)</f>
        <v>0</v>
      </c>
      <c r="M589" s="12">
        <f>_xlfn.XLOOKUP(B589,[1]Sheet1!$B:$B,[1]Sheet1!$P:$P,0)</f>
        <v>0</v>
      </c>
      <c r="N589" s="12">
        <f>_xlfn.XLOOKUP(B589,[1]Sheet1!$B:$B,[1]Sheet1!$Q:$Q,0)</f>
        <v>0</v>
      </c>
      <c r="O589" s="12">
        <f>_xlfn.XLOOKUP(B589,[1]Sheet1!$B:$B,[1]Sheet1!$R:$R,0)</f>
        <v>226846</v>
      </c>
      <c r="P589" s="12">
        <f>_xlfn.XLOOKUP(B589,[1]Sheet1!$B:$B,[1]Sheet1!$S:$S,0)</f>
        <v>258559</v>
      </c>
      <c r="Q589" s="12">
        <f>_xlfn.XLOOKUP(B589,[1]Sheet1!$B:$B,[1]Sheet1!$T:$T,0)</f>
        <v>0</v>
      </c>
      <c r="R589" s="12">
        <f>_xlfn.XLOOKUP(B589,[1]Sheet1!$B:$B,[1]Sheet1!$U:$U,0)</f>
        <v>0</v>
      </c>
      <c r="S589" s="12">
        <f>_xlfn.XLOOKUP(B589,[1]Sheet1!$B:$B,[1]Sheet1!$V:$V,0)</f>
        <v>300000</v>
      </c>
      <c r="T589" s="12">
        <f>_xlfn.XLOOKUP(B589,[1]Sheet1!$B:$B,[1]Sheet1!$W:$W,0)</f>
        <v>0</v>
      </c>
      <c r="U589" s="12">
        <f>_xlfn.XLOOKUP(B589,[1]Sheet1!$B:$B,[1]Sheet1!$X:$X,0)</f>
        <v>193070</v>
      </c>
      <c r="V589" s="12">
        <f>_xlfn.XLOOKUP(B589,[1]Sheet1!$B:$B,[1]Sheet1!$Y:$Y,0)</f>
        <v>0</v>
      </c>
      <c r="W589" s="12">
        <f t="shared" si="21"/>
        <v>978475</v>
      </c>
      <c r="X589" s="8" t="s">
        <v>991</v>
      </c>
      <c r="Y589" s="8" t="s">
        <v>132</v>
      </c>
      <c r="Z589" s="8" t="s">
        <v>141</v>
      </c>
      <c r="AA589" s="8" t="s">
        <v>53</v>
      </c>
      <c r="AB589" s="8" t="s">
        <v>36</v>
      </c>
      <c r="AC589" s="8" t="s">
        <v>37</v>
      </c>
      <c r="AD589" s="8" t="s">
        <v>143</v>
      </c>
      <c r="AE589" s="8" t="s">
        <v>39</v>
      </c>
      <c r="AF589" s="8" t="s">
        <v>40</v>
      </c>
      <c r="AG589" s="9">
        <v>838975</v>
      </c>
      <c r="AH589" s="11">
        <f>_xlfn.XLOOKUP(B589,[1]Sheet1!$B:$B,[1]Sheet1!$AB:$AB,0)</f>
        <v>838975</v>
      </c>
    </row>
    <row r="590" spans="2:34" ht="16.8" thickTop="1" thickBot="1" x14ac:dyDescent="0.35">
      <c r="B590" s="3" t="str">
        <f t="shared" si="20"/>
        <v>45101704511000751Mission &amp; Travel-N423821200104</v>
      </c>
      <c r="C590" s="6" t="s">
        <v>142</v>
      </c>
      <c r="D590" s="6" t="s">
        <v>988</v>
      </c>
      <c r="E590" s="6" t="s">
        <v>989</v>
      </c>
      <c r="F590" s="6" t="s">
        <v>54</v>
      </c>
      <c r="G590" s="4" t="s">
        <v>2805</v>
      </c>
      <c r="H590" s="4" t="s">
        <v>2922</v>
      </c>
      <c r="I590" s="6" t="s">
        <v>55</v>
      </c>
      <c r="J590" s="6" t="s">
        <v>31</v>
      </c>
      <c r="K590" s="12">
        <f>_xlfn.XLOOKUP(B590,[1]Sheet1!$B:$B,[1]Sheet1!$N:$N,0)</f>
        <v>0</v>
      </c>
      <c r="L590" s="12">
        <f>_xlfn.XLOOKUP(B590,[1]Sheet1!$B:$B,[1]Sheet1!$O:$O,0)</f>
        <v>0</v>
      </c>
      <c r="M590" s="12">
        <f>_xlfn.XLOOKUP(B590,[1]Sheet1!$B:$B,[1]Sheet1!$P:$P,0)</f>
        <v>1000</v>
      </c>
      <c r="N590" s="12">
        <f>_xlfn.XLOOKUP(B590,[1]Sheet1!$B:$B,[1]Sheet1!$Q:$Q,0)</f>
        <v>7750</v>
      </c>
      <c r="O590" s="12">
        <f>_xlfn.XLOOKUP(B590,[1]Sheet1!$B:$B,[1]Sheet1!$R:$R,0)</f>
        <v>0</v>
      </c>
      <c r="P590" s="12">
        <f>_xlfn.XLOOKUP(B590,[1]Sheet1!$B:$B,[1]Sheet1!$S:$S,0)</f>
        <v>1950</v>
      </c>
      <c r="Q590" s="12">
        <f>_xlfn.XLOOKUP(B590,[1]Sheet1!$B:$B,[1]Sheet1!$T:$T,0)</f>
        <v>0</v>
      </c>
      <c r="R590" s="12">
        <f>_xlfn.XLOOKUP(B590,[1]Sheet1!$B:$B,[1]Sheet1!$U:$U,0)</f>
        <v>1200</v>
      </c>
      <c r="S590" s="12">
        <f>_xlfn.XLOOKUP(B590,[1]Sheet1!$B:$B,[1]Sheet1!$V:$V,0)</f>
        <v>0</v>
      </c>
      <c r="T590" s="12">
        <f>_xlfn.XLOOKUP(B590,[1]Sheet1!$B:$B,[1]Sheet1!$W:$W,0)</f>
        <v>0</v>
      </c>
      <c r="U590" s="12">
        <f>_xlfn.XLOOKUP(B590,[1]Sheet1!$B:$B,[1]Sheet1!$X:$X,0)</f>
        <v>0</v>
      </c>
      <c r="V590" s="12">
        <f>_xlfn.XLOOKUP(B590,[1]Sheet1!$B:$B,[1]Sheet1!$Y:$Y,0)</f>
        <v>13000</v>
      </c>
      <c r="W590" s="12">
        <f t="shared" si="21"/>
        <v>24900</v>
      </c>
      <c r="X590" s="6" t="s">
        <v>144</v>
      </c>
      <c r="Y590" s="6" t="s">
        <v>132</v>
      </c>
      <c r="Z590" s="6" t="s">
        <v>141</v>
      </c>
      <c r="AA590" s="6" t="s">
        <v>55</v>
      </c>
      <c r="AB590" s="6" t="s">
        <v>36</v>
      </c>
      <c r="AC590" s="6" t="s">
        <v>37</v>
      </c>
      <c r="AD590" s="6" t="s">
        <v>143</v>
      </c>
      <c r="AE590" s="6" t="s">
        <v>39</v>
      </c>
      <c r="AF590" s="6" t="s">
        <v>40</v>
      </c>
      <c r="AG590" s="7">
        <v>24900</v>
      </c>
      <c r="AH590" s="11">
        <f>_xlfn.XLOOKUP(B590,[1]Sheet1!$B:$B,[1]Sheet1!$AB:$AB,0)</f>
        <v>24900</v>
      </c>
    </row>
    <row r="591" spans="2:34" ht="16.8" thickTop="1" thickBot="1" x14ac:dyDescent="0.35">
      <c r="B591" s="3" t="str">
        <f t="shared" si="20"/>
        <v>45101704511000752Admin Expenses-N421125200104</v>
      </c>
      <c r="C591" s="8" t="s">
        <v>142</v>
      </c>
      <c r="D591" s="8" t="s">
        <v>993</v>
      </c>
      <c r="E591" s="8" t="s">
        <v>994</v>
      </c>
      <c r="F591" s="8" t="s">
        <v>130</v>
      </c>
      <c r="G591" s="4" t="s">
        <v>2803</v>
      </c>
      <c r="H591" s="4" t="s">
        <v>2922</v>
      </c>
      <c r="I591" s="8" t="s">
        <v>44</v>
      </c>
      <c r="J591" s="8" t="s">
        <v>31</v>
      </c>
      <c r="K591" s="12">
        <f>_xlfn.XLOOKUP(B591,[1]Sheet1!$B:$B,[1]Sheet1!$N:$N,0)</f>
        <v>0</v>
      </c>
      <c r="L591" s="12">
        <f>_xlfn.XLOOKUP(B591,[1]Sheet1!$B:$B,[1]Sheet1!$O:$O,0)</f>
        <v>0</v>
      </c>
      <c r="M591" s="12">
        <f>_xlfn.XLOOKUP(B591,[1]Sheet1!$B:$B,[1]Sheet1!$P:$P,0)</f>
        <v>0</v>
      </c>
      <c r="N591" s="12">
        <f>_xlfn.XLOOKUP(B591,[1]Sheet1!$B:$B,[1]Sheet1!$Q:$Q,0)</f>
        <v>9375</v>
      </c>
      <c r="O591" s="12">
        <f>_xlfn.XLOOKUP(B591,[1]Sheet1!$B:$B,[1]Sheet1!$R:$R,0)</f>
        <v>3000</v>
      </c>
      <c r="P591" s="12">
        <f>_xlfn.XLOOKUP(B591,[1]Sheet1!$B:$B,[1]Sheet1!$S:$S,0)</f>
        <v>8375</v>
      </c>
      <c r="Q591" s="12">
        <f>_xlfn.XLOOKUP(B591,[1]Sheet1!$B:$B,[1]Sheet1!$T:$T,0)</f>
        <v>10000</v>
      </c>
      <c r="R591" s="12">
        <f>_xlfn.XLOOKUP(B591,[1]Sheet1!$B:$B,[1]Sheet1!$U:$U,0)</f>
        <v>4000</v>
      </c>
      <c r="S591" s="12">
        <f>_xlfn.XLOOKUP(B591,[1]Sheet1!$B:$B,[1]Sheet1!$V:$V,0)</f>
        <v>13375</v>
      </c>
      <c r="T591" s="12">
        <f>_xlfn.XLOOKUP(B591,[1]Sheet1!$B:$B,[1]Sheet1!$W:$W,0)</f>
        <v>0</v>
      </c>
      <c r="U591" s="12">
        <f>_xlfn.XLOOKUP(B591,[1]Sheet1!$B:$B,[1]Sheet1!$X:$X,0)</f>
        <v>30935</v>
      </c>
      <c r="V591" s="12">
        <f>_xlfn.XLOOKUP(B591,[1]Sheet1!$B:$B,[1]Sheet1!$Y:$Y,0)</f>
        <v>0</v>
      </c>
      <c r="W591" s="12">
        <f t="shared" si="21"/>
        <v>79060</v>
      </c>
      <c r="X591" s="8" t="s">
        <v>140</v>
      </c>
      <c r="Y591" s="8" t="s">
        <v>132</v>
      </c>
      <c r="Z591" s="8" t="s">
        <v>141</v>
      </c>
      <c r="AA591" s="8" t="s">
        <v>44</v>
      </c>
      <c r="AB591" s="8" t="s">
        <v>36</v>
      </c>
      <c r="AC591" s="8" t="s">
        <v>37</v>
      </c>
      <c r="AD591" s="8" t="s">
        <v>143</v>
      </c>
      <c r="AE591" s="8" t="s">
        <v>39</v>
      </c>
      <c r="AF591" s="8" t="s">
        <v>40</v>
      </c>
      <c r="AG591" s="9">
        <v>79060</v>
      </c>
      <c r="AH591" s="11">
        <f>_xlfn.XLOOKUP(B591,[1]Sheet1!$B:$B,[1]Sheet1!$AB:$AB,0)</f>
        <v>79060</v>
      </c>
    </row>
    <row r="592" spans="2:34" ht="16.8" thickTop="1" thickBot="1" x14ac:dyDescent="0.35">
      <c r="B592" s="3" t="str">
        <f t="shared" si="20"/>
        <v>45101704511000752Clinic Services-N423351200104</v>
      </c>
      <c r="C592" s="6" t="s">
        <v>142</v>
      </c>
      <c r="D592" s="6" t="s">
        <v>993</v>
      </c>
      <c r="E592" s="6" t="s">
        <v>994</v>
      </c>
      <c r="F592" s="6" t="s">
        <v>995</v>
      </c>
      <c r="G592" s="4" t="s">
        <v>2861</v>
      </c>
      <c r="H592" s="4" t="s">
        <v>2922</v>
      </c>
      <c r="I592" s="6" t="s">
        <v>996</v>
      </c>
      <c r="J592" s="6" t="s">
        <v>31</v>
      </c>
      <c r="K592" s="12">
        <f>_xlfn.XLOOKUP(B592,[1]Sheet1!$B:$B,[1]Sheet1!$N:$N,0)</f>
        <v>0</v>
      </c>
      <c r="L592" s="12">
        <f>_xlfn.XLOOKUP(B592,[1]Sheet1!$B:$B,[1]Sheet1!$O:$O,0)</f>
        <v>0</v>
      </c>
      <c r="M592" s="12">
        <f>_xlfn.XLOOKUP(B592,[1]Sheet1!$B:$B,[1]Sheet1!$P:$P,0)</f>
        <v>0</v>
      </c>
      <c r="N592" s="12">
        <f>_xlfn.XLOOKUP(B592,[1]Sheet1!$B:$B,[1]Sheet1!$Q:$Q,0)</f>
        <v>35000</v>
      </c>
      <c r="O592" s="12">
        <f>_xlfn.XLOOKUP(B592,[1]Sheet1!$B:$B,[1]Sheet1!$R:$R,0)</f>
        <v>8750</v>
      </c>
      <c r="P592" s="12">
        <f>_xlfn.XLOOKUP(B592,[1]Sheet1!$B:$B,[1]Sheet1!$S:$S,0)</f>
        <v>8750</v>
      </c>
      <c r="Q592" s="12">
        <f>_xlfn.XLOOKUP(B592,[1]Sheet1!$B:$B,[1]Sheet1!$T:$T,0)</f>
        <v>8750</v>
      </c>
      <c r="R592" s="12">
        <f>_xlfn.XLOOKUP(B592,[1]Sheet1!$B:$B,[1]Sheet1!$U:$U,0)</f>
        <v>8750</v>
      </c>
      <c r="S592" s="12">
        <f>_xlfn.XLOOKUP(B592,[1]Sheet1!$B:$B,[1]Sheet1!$V:$V,0)</f>
        <v>8750</v>
      </c>
      <c r="T592" s="12">
        <f>_xlfn.XLOOKUP(B592,[1]Sheet1!$B:$B,[1]Sheet1!$W:$W,0)</f>
        <v>8750</v>
      </c>
      <c r="U592" s="12">
        <f>_xlfn.XLOOKUP(B592,[1]Sheet1!$B:$B,[1]Sheet1!$X:$X,0)</f>
        <v>11356</v>
      </c>
      <c r="V592" s="12">
        <f>_xlfn.XLOOKUP(B592,[1]Sheet1!$B:$B,[1]Sheet1!$Y:$Y,0)</f>
        <v>31550</v>
      </c>
      <c r="W592" s="12">
        <f t="shared" si="21"/>
        <v>130406</v>
      </c>
      <c r="X592" s="6" t="s">
        <v>997</v>
      </c>
      <c r="Y592" s="6" t="s">
        <v>132</v>
      </c>
      <c r="Z592" s="6" t="s">
        <v>141</v>
      </c>
      <c r="AA592" s="6" t="s">
        <v>998</v>
      </c>
      <c r="AB592" s="6" t="s">
        <v>36</v>
      </c>
      <c r="AC592" s="6" t="s">
        <v>37</v>
      </c>
      <c r="AD592" s="6" t="s">
        <v>143</v>
      </c>
      <c r="AE592" s="6" t="s">
        <v>39</v>
      </c>
      <c r="AF592" s="6" t="s">
        <v>40</v>
      </c>
      <c r="AG592" s="7">
        <v>130406</v>
      </c>
      <c r="AH592" s="11">
        <f>_xlfn.XLOOKUP(B592,[1]Sheet1!$B:$B,[1]Sheet1!$AB:$AB,0)</f>
        <v>130406</v>
      </c>
    </row>
    <row r="593" spans="2:34" ht="16.8" thickTop="1" thickBot="1" x14ac:dyDescent="0.35">
      <c r="B593" s="3" t="str">
        <f t="shared" si="20"/>
        <v>45101704511000752Freelancers-N424521200104</v>
      </c>
      <c r="C593" s="8" t="s">
        <v>142</v>
      </c>
      <c r="D593" s="8" t="s">
        <v>993</v>
      </c>
      <c r="E593" s="8" t="s">
        <v>994</v>
      </c>
      <c r="F593" s="8" t="s">
        <v>50</v>
      </c>
      <c r="G593" s="4" t="s">
        <v>2804</v>
      </c>
      <c r="H593" s="4" t="s">
        <v>2922</v>
      </c>
      <c r="I593" s="8" t="s">
        <v>51</v>
      </c>
      <c r="J593" s="8" t="s">
        <v>31</v>
      </c>
      <c r="K593" s="12">
        <f>_xlfn.XLOOKUP(B593,[1]Sheet1!$B:$B,[1]Sheet1!$N:$N,0)</f>
        <v>0</v>
      </c>
      <c r="L593" s="12">
        <f>_xlfn.XLOOKUP(B593,[1]Sheet1!$B:$B,[1]Sheet1!$O:$O,0)</f>
        <v>19333</v>
      </c>
      <c r="M593" s="12">
        <f>_xlfn.XLOOKUP(B593,[1]Sheet1!$B:$B,[1]Sheet1!$P:$P,0)</f>
        <v>40000</v>
      </c>
      <c r="N593" s="12">
        <f>_xlfn.XLOOKUP(B593,[1]Sheet1!$B:$B,[1]Sheet1!$Q:$Q,0)</f>
        <v>20000</v>
      </c>
      <c r="O593" s="12">
        <f>_xlfn.XLOOKUP(B593,[1]Sheet1!$B:$B,[1]Sheet1!$R:$R,0)</f>
        <v>20000</v>
      </c>
      <c r="P593" s="12">
        <f>_xlfn.XLOOKUP(B593,[1]Sheet1!$B:$B,[1]Sheet1!$S:$S,0)</f>
        <v>20000</v>
      </c>
      <c r="Q593" s="12">
        <f>_xlfn.XLOOKUP(B593,[1]Sheet1!$B:$B,[1]Sheet1!$T:$T,0)</f>
        <v>20000</v>
      </c>
      <c r="R593" s="12">
        <f>_xlfn.XLOOKUP(B593,[1]Sheet1!$B:$B,[1]Sheet1!$U:$U,0)</f>
        <v>20000</v>
      </c>
      <c r="S593" s="12">
        <f>_xlfn.XLOOKUP(B593,[1]Sheet1!$B:$B,[1]Sheet1!$V:$V,0)</f>
        <v>20000</v>
      </c>
      <c r="T593" s="12">
        <f>_xlfn.XLOOKUP(B593,[1]Sheet1!$B:$B,[1]Sheet1!$W:$W,0)</f>
        <v>20000</v>
      </c>
      <c r="U593" s="12">
        <f>_xlfn.XLOOKUP(B593,[1]Sheet1!$B:$B,[1]Sheet1!$X:$X,0)</f>
        <v>20000</v>
      </c>
      <c r="V593" s="12">
        <f>_xlfn.XLOOKUP(B593,[1]Sheet1!$B:$B,[1]Sheet1!$Y:$Y,0)</f>
        <v>20000</v>
      </c>
      <c r="W593" s="12">
        <f t="shared" si="21"/>
        <v>239333</v>
      </c>
      <c r="X593" s="8" t="s">
        <v>991</v>
      </c>
      <c r="Y593" s="8" t="s">
        <v>132</v>
      </c>
      <c r="Z593" s="8" t="s">
        <v>141</v>
      </c>
      <c r="AA593" s="8" t="s">
        <v>53</v>
      </c>
      <c r="AB593" s="8" t="s">
        <v>36</v>
      </c>
      <c r="AC593" s="8" t="s">
        <v>37</v>
      </c>
      <c r="AD593" s="8" t="s">
        <v>143</v>
      </c>
      <c r="AE593" s="8" t="s">
        <v>39</v>
      </c>
      <c r="AF593" s="8" t="s">
        <v>40</v>
      </c>
      <c r="AG593" s="9">
        <v>239334</v>
      </c>
      <c r="AH593" s="11">
        <f>_xlfn.XLOOKUP(B593,[1]Sheet1!$B:$B,[1]Sheet1!$AB:$AB,0)</f>
        <v>239333</v>
      </c>
    </row>
    <row r="594" spans="2:34" ht="16.8" thickTop="1" thickBot="1" x14ac:dyDescent="0.35">
      <c r="B594" s="3" t="str">
        <f t="shared" si="20"/>
        <v>45101704511000752Health &amp; Safety-NC491911300105</v>
      </c>
      <c r="C594" s="6" t="s">
        <v>142</v>
      </c>
      <c r="D594" s="6" t="s">
        <v>993</v>
      </c>
      <c r="E594" s="6" t="s">
        <v>994</v>
      </c>
      <c r="F594" s="6" t="s">
        <v>999</v>
      </c>
      <c r="G594" s="4" t="s">
        <v>2862</v>
      </c>
      <c r="H594" s="4" t="s">
        <v>2923</v>
      </c>
      <c r="I594" s="6" t="s">
        <v>1000</v>
      </c>
      <c r="J594" s="6" t="s">
        <v>31</v>
      </c>
      <c r="K594" s="12">
        <f>_xlfn.XLOOKUP(B594,[1]Sheet1!$B:$B,[1]Sheet1!$N:$N,0)</f>
        <v>0</v>
      </c>
      <c r="L594" s="12">
        <f>_xlfn.XLOOKUP(B594,[1]Sheet1!$B:$B,[1]Sheet1!$O:$O,0)</f>
        <v>0</v>
      </c>
      <c r="M594" s="12">
        <f>_xlfn.XLOOKUP(B594,[1]Sheet1!$B:$B,[1]Sheet1!$P:$P,0)</f>
        <v>0</v>
      </c>
      <c r="N594" s="12">
        <f>_xlfn.XLOOKUP(B594,[1]Sheet1!$B:$B,[1]Sheet1!$Q:$Q,0)</f>
        <v>0</v>
      </c>
      <c r="O594" s="12">
        <f>_xlfn.XLOOKUP(B594,[1]Sheet1!$B:$B,[1]Sheet1!$R:$R,0)</f>
        <v>2500</v>
      </c>
      <c r="P594" s="12">
        <f>_xlfn.XLOOKUP(B594,[1]Sheet1!$B:$B,[1]Sheet1!$S:$S,0)</f>
        <v>0</v>
      </c>
      <c r="Q594" s="12">
        <f>_xlfn.XLOOKUP(B594,[1]Sheet1!$B:$B,[1]Sheet1!$T:$T,0)</f>
        <v>0</v>
      </c>
      <c r="R594" s="12">
        <f>_xlfn.XLOOKUP(B594,[1]Sheet1!$B:$B,[1]Sheet1!$U:$U,0)</f>
        <v>2500</v>
      </c>
      <c r="S594" s="12">
        <f>_xlfn.XLOOKUP(B594,[1]Sheet1!$B:$B,[1]Sheet1!$V:$V,0)</f>
        <v>0</v>
      </c>
      <c r="T594" s="12">
        <f>_xlfn.XLOOKUP(B594,[1]Sheet1!$B:$B,[1]Sheet1!$W:$W,0)</f>
        <v>4000</v>
      </c>
      <c r="U594" s="12">
        <f>_xlfn.XLOOKUP(B594,[1]Sheet1!$B:$B,[1]Sheet1!$X:$X,0)</f>
        <v>0</v>
      </c>
      <c r="V594" s="12">
        <f>_xlfn.XLOOKUP(B594,[1]Sheet1!$B:$B,[1]Sheet1!$Y:$Y,0)</f>
        <v>0</v>
      </c>
      <c r="W594" s="12">
        <f t="shared" si="21"/>
        <v>9000</v>
      </c>
      <c r="X594" s="6" t="s">
        <v>1001</v>
      </c>
      <c r="Y594" s="6" t="s">
        <v>132</v>
      </c>
      <c r="Z594" s="6" t="s">
        <v>141</v>
      </c>
      <c r="AA594" s="6" t="s">
        <v>1000</v>
      </c>
      <c r="AB594" s="6" t="s">
        <v>93</v>
      </c>
      <c r="AC594" s="6" t="s">
        <v>94</v>
      </c>
      <c r="AD594" s="6" t="s">
        <v>38</v>
      </c>
      <c r="AE594" s="6" t="s">
        <v>39</v>
      </c>
      <c r="AF594" s="6" t="s">
        <v>40</v>
      </c>
      <c r="AG594" s="7">
        <v>9000</v>
      </c>
      <c r="AH594" s="11">
        <f>_xlfn.XLOOKUP(B594,[1]Sheet1!$B:$B,[1]Sheet1!$AB:$AB,0)</f>
        <v>9000</v>
      </c>
    </row>
    <row r="595" spans="2:34" ht="16.8" thickTop="1" thickBot="1" x14ac:dyDescent="0.35">
      <c r="B595" s="3" t="str">
        <f t="shared" si="20"/>
        <v>45101704511000752Mission &amp; Travel-N423821200104</v>
      </c>
      <c r="C595" s="8" t="s">
        <v>142</v>
      </c>
      <c r="D595" s="8" t="s">
        <v>993</v>
      </c>
      <c r="E595" s="8" t="s">
        <v>994</v>
      </c>
      <c r="F595" s="8" t="s">
        <v>54</v>
      </c>
      <c r="G595" s="4" t="s">
        <v>2805</v>
      </c>
      <c r="H595" s="4" t="s">
        <v>2922</v>
      </c>
      <c r="I595" s="8" t="s">
        <v>55</v>
      </c>
      <c r="J595" s="8" t="s">
        <v>31</v>
      </c>
      <c r="K595" s="12">
        <f>_xlfn.XLOOKUP(B595,[1]Sheet1!$B:$B,[1]Sheet1!$N:$N,0)</f>
        <v>0</v>
      </c>
      <c r="L595" s="12">
        <f>_xlfn.XLOOKUP(B595,[1]Sheet1!$B:$B,[1]Sheet1!$O:$O,0)</f>
        <v>0</v>
      </c>
      <c r="M595" s="12">
        <f>_xlfn.XLOOKUP(B595,[1]Sheet1!$B:$B,[1]Sheet1!$P:$P,0)</f>
        <v>800</v>
      </c>
      <c r="N595" s="12">
        <f>_xlfn.XLOOKUP(B595,[1]Sheet1!$B:$B,[1]Sheet1!$Q:$Q,0)</f>
        <v>11950</v>
      </c>
      <c r="O595" s="12">
        <f>_xlfn.XLOOKUP(B595,[1]Sheet1!$B:$B,[1]Sheet1!$R:$R,0)</f>
        <v>4000</v>
      </c>
      <c r="P595" s="12">
        <f>_xlfn.XLOOKUP(B595,[1]Sheet1!$B:$B,[1]Sheet1!$S:$S,0)</f>
        <v>4000</v>
      </c>
      <c r="Q595" s="12">
        <f>_xlfn.XLOOKUP(B595,[1]Sheet1!$B:$B,[1]Sheet1!$T:$T,0)</f>
        <v>1800</v>
      </c>
      <c r="R595" s="12">
        <f>_xlfn.XLOOKUP(B595,[1]Sheet1!$B:$B,[1]Sheet1!$U:$U,0)</f>
        <v>0</v>
      </c>
      <c r="S595" s="12">
        <f>_xlfn.XLOOKUP(B595,[1]Sheet1!$B:$B,[1]Sheet1!$V:$V,0)</f>
        <v>10000</v>
      </c>
      <c r="T595" s="12">
        <f>_xlfn.XLOOKUP(B595,[1]Sheet1!$B:$B,[1]Sheet1!$W:$W,0)</f>
        <v>5200</v>
      </c>
      <c r="U595" s="12">
        <f>_xlfn.XLOOKUP(B595,[1]Sheet1!$B:$B,[1]Sheet1!$X:$X,0)</f>
        <v>2550</v>
      </c>
      <c r="V595" s="12">
        <f>_xlfn.XLOOKUP(B595,[1]Sheet1!$B:$B,[1]Sheet1!$Y:$Y,0)</f>
        <v>7200</v>
      </c>
      <c r="W595" s="12">
        <f t="shared" si="21"/>
        <v>47500</v>
      </c>
      <c r="X595" s="8" t="s">
        <v>144</v>
      </c>
      <c r="Y595" s="8" t="s">
        <v>132</v>
      </c>
      <c r="Z595" s="8" t="s">
        <v>141</v>
      </c>
      <c r="AA595" s="8" t="s">
        <v>55</v>
      </c>
      <c r="AB595" s="8" t="s">
        <v>36</v>
      </c>
      <c r="AC595" s="8" t="s">
        <v>37</v>
      </c>
      <c r="AD595" s="8" t="s">
        <v>143</v>
      </c>
      <c r="AE595" s="8" t="s">
        <v>39</v>
      </c>
      <c r="AF595" s="8" t="s">
        <v>40</v>
      </c>
      <c r="AG595" s="9">
        <v>47500</v>
      </c>
      <c r="AH595" s="11">
        <f>_xlfn.XLOOKUP(B595,[1]Sheet1!$B:$B,[1]Sheet1!$AB:$AB,0)</f>
        <v>47500</v>
      </c>
    </row>
    <row r="596" spans="2:34" ht="16.8" thickTop="1" thickBot="1" x14ac:dyDescent="0.35">
      <c r="B596" s="3" t="str">
        <f t="shared" si="20"/>
        <v>45101704511000753Audit Services-N421125200104</v>
      </c>
      <c r="C596" s="6" t="s">
        <v>142</v>
      </c>
      <c r="D596" s="6" t="s">
        <v>1002</v>
      </c>
      <c r="E596" s="6" t="s">
        <v>1003</v>
      </c>
      <c r="F596" s="6" t="s">
        <v>43</v>
      </c>
      <c r="G596" s="4" t="s">
        <v>2803</v>
      </c>
      <c r="H596" s="4" t="s">
        <v>2922</v>
      </c>
      <c r="I596" s="6" t="s">
        <v>44</v>
      </c>
      <c r="J596" s="6" t="s">
        <v>31</v>
      </c>
      <c r="K596" s="12">
        <f>_xlfn.XLOOKUP(B596,[1]Sheet1!$B:$B,[1]Sheet1!$N:$N,0)</f>
        <v>0</v>
      </c>
      <c r="L596" s="12">
        <f>_xlfn.XLOOKUP(B596,[1]Sheet1!$B:$B,[1]Sheet1!$O:$O,0)</f>
        <v>0</v>
      </c>
      <c r="M596" s="12">
        <f>_xlfn.XLOOKUP(B596,[1]Sheet1!$B:$B,[1]Sheet1!$P:$P,0)</f>
        <v>0</v>
      </c>
      <c r="N596" s="12">
        <f>_xlfn.XLOOKUP(B596,[1]Sheet1!$B:$B,[1]Sheet1!$Q:$Q,0)</f>
        <v>0</v>
      </c>
      <c r="O596" s="12">
        <f>_xlfn.XLOOKUP(B596,[1]Sheet1!$B:$B,[1]Sheet1!$R:$R,0)</f>
        <v>15000</v>
      </c>
      <c r="P596" s="12">
        <f>_xlfn.XLOOKUP(B596,[1]Sheet1!$B:$B,[1]Sheet1!$S:$S,0)</f>
        <v>15000</v>
      </c>
      <c r="Q596" s="12">
        <f>_xlfn.XLOOKUP(B596,[1]Sheet1!$B:$B,[1]Sheet1!$T:$T,0)</f>
        <v>15000</v>
      </c>
      <c r="R596" s="12">
        <f>_xlfn.XLOOKUP(B596,[1]Sheet1!$B:$B,[1]Sheet1!$U:$U,0)</f>
        <v>28500</v>
      </c>
      <c r="S596" s="12">
        <f>_xlfn.XLOOKUP(B596,[1]Sheet1!$B:$B,[1]Sheet1!$V:$V,0)</f>
        <v>15000</v>
      </c>
      <c r="T596" s="12">
        <f>_xlfn.XLOOKUP(B596,[1]Sheet1!$B:$B,[1]Sheet1!$W:$W,0)</f>
        <v>15000</v>
      </c>
      <c r="U596" s="12">
        <f>_xlfn.XLOOKUP(B596,[1]Sheet1!$B:$B,[1]Sheet1!$X:$X,0)</f>
        <v>43500</v>
      </c>
      <c r="V596" s="12">
        <f>_xlfn.XLOOKUP(B596,[1]Sheet1!$B:$B,[1]Sheet1!$Y:$Y,0)</f>
        <v>0</v>
      </c>
      <c r="W596" s="12">
        <f t="shared" si="21"/>
        <v>147000</v>
      </c>
      <c r="X596" s="6" t="s">
        <v>140</v>
      </c>
      <c r="Y596" s="6" t="s">
        <v>132</v>
      </c>
      <c r="Z596" s="6" t="s">
        <v>141</v>
      </c>
      <c r="AA596" s="6" t="s">
        <v>44</v>
      </c>
      <c r="AB596" s="6" t="s">
        <v>36</v>
      </c>
      <c r="AC596" s="6" t="s">
        <v>37</v>
      </c>
      <c r="AD596" s="6" t="s">
        <v>143</v>
      </c>
      <c r="AE596" s="6" t="s">
        <v>39</v>
      </c>
      <c r="AF596" s="6" t="s">
        <v>40</v>
      </c>
      <c r="AG596" s="7">
        <v>147000</v>
      </c>
      <c r="AH596" s="11">
        <f>_xlfn.XLOOKUP(B596,[1]Sheet1!$B:$B,[1]Sheet1!$AB:$AB,0)</f>
        <v>147000</v>
      </c>
    </row>
    <row r="597" spans="2:34" ht="16.8" thickTop="1" thickBot="1" x14ac:dyDescent="0.35">
      <c r="B597" s="3" t="str">
        <f t="shared" si="20"/>
        <v>45101704511000753Mission &amp; Travel-N423821200104</v>
      </c>
      <c r="C597" s="8" t="s">
        <v>142</v>
      </c>
      <c r="D597" s="8" t="s">
        <v>1002</v>
      </c>
      <c r="E597" s="8" t="s">
        <v>1003</v>
      </c>
      <c r="F597" s="8" t="s">
        <v>54</v>
      </c>
      <c r="G597" s="4" t="s">
        <v>2805</v>
      </c>
      <c r="H597" s="4" t="s">
        <v>2922</v>
      </c>
      <c r="I597" s="8" t="s">
        <v>55</v>
      </c>
      <c r="J597" s="8" t="s">
        <v>31</v>
      </c>
      <c r="K597" s="12">
        <f>_xlfn.XLOOKUP(B597,[1]Sheet1!$B:$B,[1]Sheet1!$N:$N,0)</f>
        <v>0</v>
      </c>
      <c r="L597" s="12">
        <f>_xlfn.XLOOKUP(B597,[1]Sheet1!$B:$B,[1]Sheet1!$O:$O,0)</f>
        <v>0</v>
      </c>
      <c r="M597" s="12">
        <f>_xlfn.XLOOKUP(B597,[1]Sheet1!$B:$B,[1]Sheet1!$P:$P,0)</f>
        <v>0</v>
      </c>
      <c r="N597" s="12">
        <f>_xlfn.XLOOKUP(B597,[1]Sheet1!$B:$B,[1]Sheet1!$Q:$Q,0)</f>
        <v>0</v>
      </c>
      <c r="O597" s="12">
        <f>_xlfn.XLOOKUP(B597,[1]Sheet1!$B:$B,[1]Sheet1!$R:$R,0)</f>
        <v>0</v>
      </c>
      <c r="P597" s="12">
        <f>_xlfn.XLOOKUP(B597,[1]Sheet1!$B:$B,[1]Sheet1!$S:$S,0)</f>
        <v>0</v>
      </c>
      <c r="Q597" s="12">
        <f>_xlfn.XLOOKUP(B597,[1]Sheet1!$B:$B,[1]Sheet1!$T:$T,0)</f>
        <v>0</v>
      </c>
      <c r="R597" s="12">
        <f>_xlfn.XLOOKUP(B597,[1]Sheet1!$B:$B,[1]Sheet1!$U:$U,0)</f>
        <v>0</v>
      </c>
      <c r="S597" s="12">
        <f>_xlfn.XLOOKUP(B597,[1]Sheet1!$B:$B,[1]Sheet1!$V:$V,0)</f>
        <v>0</v>
      </c>
      <c r="T597" s="12">
        <f>_xlfn.XLOOKUP(B597,[1]Sheet1!$B:$B,[1]Sheet1!$W:$W,0)</f>
        <v>0</v>
      </c>
      <c r="U597" s="12">
        <f>_xlfn.XLOOKUP(B597,[1]Sheet1!$B:$B,[1]Sheet1!$X:$X,0)</f>
        <v>0</v>
      </c>
      <c r="V597" s="12">
        <f>_xlfn.XLOOKUP(B597,[1]Sheet1!$B:$B,[1]Sheet1!$Y:$Y,0)</f>
        <v>0</v>
      </c>
      <c r="W597" s="12">
        <f t="shared" si="21"/>
        <v>0</v>
      </c>
      <c r="X597" s="8" t="s">
        <v>144</v>
      </c>
      <c r="Y597" s="8" t="s">
        <v>132</v>
      </c>
      <c r="Z597" s="8" t="s">
        <v>141</v>
      </c>
      <c r="AA597" s="8" t="s">
        <v>55</v>
      </c>
      <c r="AB597" s="8" t="s">
        <v>36</v>
      </c>
      <c r="AC597" s="8" t="s">
        <v>37</v>
      </c>
      <c r="AD597" s="8" t="s">
        <v>143</v>
      </c>
      <c r="AE597" s="8" t="s">
        <v>39</v>
      </c>
      <c r="AF597" s="8" t="s">
        <v>40</v>
      </c>
      <c r="AG597" s="9">
        <v>0.5</v>
      </c>
      <c r="AH597" s="11">
        <f>_xlfn.XLOOKUP(B597,[1]Sheet1!$B:$B,[1]Sheet1!$AB:$AB,0)</f>
        <v>0</v>
      </c>
    </row>
    <row r="598" spans="2:34" ht="16.8" thickTop="1" thickBot="1" x14ac:dyDescent="0.35">
      <c r="B598" s="3" t="str">
        <f t="shared" si="20"/>
        <v>45101704511000754Admin Expenses-N421125200104</v>
      </c>
      <c r="C598" s="6" t="s">
        <v>142</v>
      </c>
      <c r="D598" s="6" t="s">
        <v>1004</v>
      </c>
      <c r="E598" s="6" t="s">
        <v>1005</v>
      </c>
      <c r="F598" s="6" t="s">
        <v>130</v>
      </c>
      <c r="G598" s="4" t="s">
        <v>2803</v>
      </c>
      <c r="H598" s="4" t="s">
        <v>2922</v>
      </c>
      <c r="I598" s="6" t="s">
        <v>44</v>
      </c>
      <c r="J598" s="6" t="s">
        <v>31</v>
      </c>
      <c r="K598" s="12">
        <f>_xlfn.XLOOKUP(B598,[1]Sheet1!$B:$B,[1]Sheet1!$N:$N,0)</f>
        <v>0</v>
      </c>
      <c r="L598" s="12">
        <f>_xlfn.XLOOKUP(B598,[1]Sheet1!$B:$B,[1]Sheet1!$O:$O,0)</f>
        <v>0</v>
      </c>
      <c r="M598" s="12">
        <f>_xlfn.XLOOKUP(B598,[1]Sheet1!$B:$B,[1]Sheet1!$P:$P,0)</f>
        <v>1688</v>
      </c>
      <c r="N598" s="12">
        <f>_xlfn.XLOOKUP(B598,[1]Sheet1!$B:$B,[1]Sheet1!$Q:$Q,0)</f>
        <v>712</v>
      </c>
      <c r="O598" s="12">
        <f>_xlfn.XLOOKUP(B598,[1]Sheet1!$B:$B,[1]Sheet1!$R:$R,0)</f>
        <v>500</v>
      </c>
      <c r="P598" s="12">
        <f>_xlfn.XLOOKUP(B598,[1]Sheet1!$B:$B,[1]Sheet1!$S:$S,0)</f>
        <v>500</v>
      </c>
      <c r="Q598" s="12">
        <f>_xlfn.XLOOKUP(B598,[1]Sheet1!$B:$B,[1]Sheet1!$T:$T,0)</f>
        <v>500</v>
      </c>
      <c r="R598" s="12">
        <f>_xlfn.XLOOKUP(B598,[1]Sheet1!$B:$B,[1]Sheet1!$U:$U,0)</f>
        <v>500</v>
      </c>
      <c r="S598" s="12">
        <f>_xlfn.XLOOKUP(B598,[1]Sheet1!$B:$B,[1]Sheet1!$V:$V,0)</f>
        <v>500</v>
      </c>
      <c r="T598" s="12">
        <f>_xlfn.XLOOKUP(B598,[1]Sheet1!$B:$B,[1]Sheet1!$W:$W,0)</f>
        <v>500</v>
      </c>
      <c r="U598" s="12">
        <f>_xlfn.XLOOKUP(B598,[1]Sheet1!$B:$B,[1]Sheet1!$X:$X,0)</f>
        <v>5600</v>
      </c>
      <c r="V598" s="12">
        <f>_xlfn.XLOOKUP(B598,[1]Sheet1!$B:$B,[1]Sheet1!$Y:$Y,0)</f>
        <v>0</v>
      </c>
      <c r="W598" s="12">
        <f t="shared" si="21"/>
        <v>11000</v>
      </c>
      <c r="X598" s="6" t="s">
        <v>140</v>
      </c>
      <c r="Y598" s="6" t="s">
        <v>132</v>
      </c>
      <c r="Z598" s="6" t="s">
        <v>141</v>
      </c>
      <c r="AA598" s="6" t="s">
        <v>44</v>
      </c>
      <c r="AB598" s="6" t="s">
        <v>36</v>
      </c>
      <c r="AC598" s="6" t="s">
        <v>37</v>
      </c>
      <c r="AD598" s="6" t="s">
        <v>143</v>
      </c>
      <c r="AE598" s="6" t="s">
        <v>39</v>
      </c>
      <c r="AF598" s="6" t="s">
        <v>40</v>
      </c>
      <c r="AG598" s="7">
        <v>11000</v>
      </c>
      <c r="AH598" s="11">
        <f>_xlfn.XLOOKUP(B598,[1]Sheet1!$B:$B,[1]Sheet1!$AB:$AB,0)</f>
        <v>11000</v>
      </c>
    </row>
    <row r="599" spans="2:34" ht="16.8" thickTop="1" thickBot="1" x14ac:dyDescent="0.35">
      <c r="B599" s="3" t="str">
        <f t="shared" si="20"/>
        <v>45101704511000754Mission &amp; Travel-N423821200104</v>
      </c>
      <c r="C599" s="8" t="s">
        <v>142</v>
      </c>
      <c r="D599" s="8" t="s">
        <v>1004</v>
      </c>
      <c r="E599" s="8" t="s">
        <v>1005</v>
      </c>
      <c r="F599" s="8" t="s">
        <v>54</v>
      </c>
      <c r="G599" s="4" t="s">
        <v>2805</v>
      </c>
      <c r="H599" s="4" t="s">
        <v>2922</v>
      </c>
      <c r="I599" s="8" t="s">
        <v>55</v>
      </c>
      <c r="J599" s="8" t="s">
        <v>31</v>
      </c>
      <c r="K599" s="12">
        <f>_xlfn.XLOOKUP(B599,[1]Sheet1!$B:$B,[1]Sheet1!$N:$N,0)</f>
        <v>0</v>
      </c>
      <c r="L599" s="12">
        <f>_xlfn.XLOOKUP(B599,[1]Sheet1!$B:$B,[1]Sheet1!$O:$O,0)</f>
        <v>0</v>
      </c>
      <c r="M599" s="12">
        <f>_xlfn.XLOOKUP(B599,[1]Sheet1!$B:$B,[1]Sheet1!$P:$P,0)</f>
        <v>0</v>
      </c>
      <c r="N599" s="12">
        <f>_xlfn.XLOOKUP(B599,[1]Sheet1!$B:$B,[1]Sheet1!$Q:$Q,0)</f>
        <v>13000</v>
      </c>
      <c r="O599" s="12">
        <f>_xlfn.XLOOKUP(B599,[1]Sheet1!$B:$B,[1]Sheet1!$R:$R,0)</f>
        <v>0</v>
      </c>
      <c r="P599" s="12">
        <f>_xlfn.XLOOKUP(B599,[1]Sheet1!$B:$B,[1]Sheet1!$S:$S,0)</f>
        <v>1800</v>
      </c>
      <c r="Q599" s="12">
        <f>_xlfn.XLOOKUP(B599,[1]Sheet1!$B:$B,[1]Sheet1!$T:$T,0)</f>
        <v>0</v>
      </c>
      <c r="R599" s="12">
        <f>_xlfn.XLOOKUP(B599,[1]Sheet1!$B:$B,[1]Sheet1!$U:$U,0)</f>
        <v>0</v>
      </c>
      <c r="S599" s="12">
        <f>_xlfn.XLOOKUP(B599,[1]Sheet1!$B:$B,[1]Sheet1!$V:$V,0)</f>
        <v>1200</v>
      </c>
      <c r="T599" s="12">
        <f>_xlfn.XLOOKUP(B599,[1]Sheet1!$B:$B,[1]Sheet1!$W:$W,0)</f>
        <v>1800</v>
      </c>
      <c r="U599" s="12">
        <f>_xlfn.XLOOKUP(B599,[1]Sheet1!$B:$B,[1]Sheet1!$X:$X,0)</f>
        <v>26200</v>
      </c>
      <c r="V599" s="12">
        <f>_xlfn.XLOOKUP(B599,[1]Sheet1!$B:$B,[1]Sheet1!$Y:$Y,0)</f>
        <v>125450</v>
      </c>
      <c r="W599" s="12">
        <f t="shared" si="21"/>
        <v>169450</v>
      </c>
      <c r="X599" s="8" t="s">
        <v>144</v>
      </c>
      <c r="Y599" s="8" t="s">
        <v>132</v>
      </c>
      <c r="Z599" s="8" t="s">
        <v>141</v>
      </c>
      <c r="AA599" s="8" t="s">
        <v>55</v>
      </c>
      <c r="AB599" s="8" t="s">
        <v>36</v>
      </c>
      <c r="AC599" s="8" t="s">
        <v>37</v>
      </c>
      <c r="AD599" s="8" t="s">
        <v>143</v>
      </c>
      <c r="AE599" s="8" t="s">
        <v>39</v>
      </c>
      <c r="AF599" s="8" t="s">
        <v>40</v>
      </c>
      <c r="AG599" s="9">
        <v>169450.5</v>
      </c>
      <c r="AH599" s="11">
        <f>_xlfn.XLOOKUP(B599,[1]Sheet1!$B:$B,[1]Sheet1!$AB:$AB,0)</f>
        <v>169450</v>
      </c>
    </row>
    <row r="600" spans="2:34" ht="16.8" thickTop="1" thickBot="1" x14ac:dyDescent="0.35">
      <c r="B600" s="3" t="str">
        <f t="shared" si="20"/>
        <v>45102504511000758EndUser Software-N422911200104</v>
      </c>
      <c r="C600" s="6" t="s">
        <v>480</v>
      </c>
      <c r="D600" s="6" t="s">
        <v>1006</v>
      </c>
      <c r="E600" s="6" t="s">
        <v>1007</v>
      </c>
      <c r="F600" s="6" t="s">
        <v>1008</v>
      </c>
      <c r="G600" s="4" t="s">
        <v>2863</v>
      </c>
      <c r="H600" s="4" t="s">
        <v>2922</v>
      </c>
      <c r="I600" s="6" t="s">
        <v>1009</v>
      </c>
      <c r="J600" s="6" t="s">
        <v>31</v>
      </c>
      <c r="K600" s="12">
        <f>_xlfn.XLOOKUP(B600,[1]Sheet1!$B:$B,[1]Sheet1!$N:$N,0)</f>
        <v>0</v>
      </c>
      <c r="L600" s="12">
        <f>_xlfn.XLOOKUP(B600,[1]Sheet1!$B:$B,[1]Sheet1!$O:$O,0)</f>
        <v>0</v>
      </c>
      <c r="M600" s="12">
        <f>_xlfn.XLOOKUP(B600,[1]Sheet1!$B:$B,[1]Sheet1!$P:$P,0)</f>
        <v>0</v>
      </c>
      <c r="N600" s="12">
        <f>_xlfn.XLOOKUP(B600,[1]Sheet1!$B:$B,[1]Sheet1!$Q:$Q,0)</f>
        <v>0</v>
      </c>
      <c r="O600" s="12">
        <f>_xlfn.XLOOKUP(B600,[1]Sheet1!$B:$B,[1]Sheet1!$R:$R,0)</f>
        <v>0</v>
      </c>
      <c r="P600" s="12">
        <f>_xlfn.XLOOKUP(B600,[1]Sheet1!$B:$B,[1]Sheet1!$S:$S,0)</f>
        <v>0</v>
      </c>
      <c r="Q600" s="12">
        <f>_xlfn.XLOOKUP(B600,[1]Sheet1!$B:$B,[1]Sheet1!$T:$T,0)</f>
        <v>0</v>
      </c>
      <c r="R600" s="12">
        <f>_xlfn.XLOOKUP(B600,[1]Sheet1!$B:$B,[1]Sheet1!$U:$U,0)</f>
        <v>0</v>
      </c>
      <c r="S600" s="12">
        <f>_xlfn.XLOOKUP(B600,[1]Sheet1!$B:$B,[1]Sheet1!$V:$V,0)</f>
        <v>0</v>
      </c>
      <c r="T600" s="12">
        <f>_xlfn.XLOOKUP(B600,[1]Sheet1!$B:$B,[1]Sheet1!$W:$W,0)</f>
        <v>0</v>
      </c>
      <c r="U600" s="12">
        <f>_xlfn.XLOOKUP(B600,[1]Sheet1!$B:$B,[1]Sheet1!$X:$X,0)</f>
        <v>214278</v>
      </c>
      <c r="V600" s="12">
        <f>_xlfn.XLOOKUP(B600,[1]Sheet1!$B:$B,[1]Sheet1!$Y:$Y,0)</f>
        <v>0</v>
      </c>
      <c r="W600" s="12">
        <f t="shared" si="21"/>
        <v>214278</v>
      </c>
      <c r="X600" s="6" t="s">
        <v>1010</v>
      </c>
      <c r="Y600" s="6" t="s">
        <v>132</v>
      </c>
      <c r="Z600" s="6" t="s">
        <v>479</v>
      </c>
      <c r="AA600" s="6" t="s">
        <v>1011</v>
      </c>
      <c r="AB600" s="6" t="s">
        <v>36</v>
      </c>
      <c r="AC600" s="6" t="s">
        <v>37</v>
      </c>
      <c r="AD600" s="6" t="s">
        <v>482</v>
      </c>
      <c r="AE600" s="6" t="s">
        <v>39</v>
      </c>
      <c r="AF600" s="6" t="s">
        <v>40</v>
      </c>
      <c r="AG600" s="7">
        <v>214278</v>
      </c>
      <c r="AH600" s="11">
        <f>_xlfn.XLOOKUP(B600,[1]Sheet1!$B:$B,[1]Sheet1!$AB:$AB,0)</f>
        <v>214278</v>
      </c>
    </row>
    <row r="601" spans="2:34" ht="16.8" thickTop="1" thickBot="1" x14ac:dyDescent="0.35">
      <c r="B601" s="3" t="str">
        <f t="shared" si="20"/>
        <v>45102504511000758System Licenses-N425252200104</v>
      </c>
      <c r="C601" s="8" t="s">
        <v>480</v>
      </c>
      <c r="D601" s="8" t="s">
        <v>1006</v>
      </c>
      <c r="E601" s="8" t="s">
        <v>1007</v>
      </c>
      <c r="F601" s="8" t="s">
        <v>180</v>
      </c>
      <c r="G601" s="4" t="s">
        <v>2821</v>
      </c>
      <c r="H601" s="4" t="s">
        <v>2922</v>
      </c>
      <c r="I601" s="8" t="s">
        <v>181</v>
      </c>
      <c r="J601" s="8" t="s">
        <v>31</v>
      </c>
      <c r="K601" s="12">
        <f>_xlfn.XLOOKUP(B601,[1]Sheet1!$B:$B,[1]Sheet1!$N:$N,0)</f>
        <v>0</v>
      </c>
      <c r="L601" s="12">
        <f>_xlfn.XLOOKUP(B601,[1]Sheet1!$B:$B,[1]Sheet1!$O:$O,0)</f>
        <v>0</v>
      </c>
      <c r="M601" s="12">
        <f>_xlfn.XLOOKUP(B601,[1]Sheet1!$B:$B,[1]Sheet1!$P:$P,0)</f>
        <v>0</v>
      </c>
      <c r="N601" s="12">
        <f>_xlfn.XLOOKUP(B601,[1]Sheet1!$B:$B,[1]Sheet1!$Q:$Q,0)</f>
        <v>5300</v>
      </c>
      <c r="O601" s="12">
        <f>_xlfn.XLOOKUP(B601,[1]Sheet1!$B:$B,[1]Sheet1!$R:$R,0)</f>
        <v>0</v>
      </c>
      <c r="P601" s="12">
        <f>_xlfn.XLOOKUP(B601,[1]Sheet1!$B:$B,[1]Sheet1!$S:$S,0)</f>
        <v>0</v>
      </c>
      <c r="Q601" s="12">
        <f>_xlfn.XLOOKUP(B601,[1]Sheet1!$B:$B,[1]Sheet1!$T:$T,0)</f>
        <v>0</v>
      </c>
      <c r="R601" s="12">
        <f>_xlfn.XLOOKUP(B601,[1]Sheet1!$B:$B,[1]Sheet1!$U:$U,0)</f>
        <v>0</v>
      </c>
      <c r="S601" s="12">
        <f>_xlfn.XLOOKUP(B601,[1]Sheet1!$B:$B,[1]Sheet1!$V:$V,0)</f>
        <v>0</v>
      </c>
      <c r="T601" s="12">
        <f>_xlfn.XLOOKUP(B601,[1]Sheet1!$B:$B,[1]Sheet1!$W:$W,0)</f>
        <v>0</v>
      </c>
      <c r="U601" s="12">
        <f>_xlfn.XLOOKUP(B601,[1]Sheet1!$B:$B,[1]Sheet1!$X:$X,0)</f>
        <v>0</v>
      </c>
      <c r="V601" s="12">
        <f>_xlfn.XLOOKUP(B601,[1]Sheet1!$B:$B,[1]Sheet1!$Y:$Y,0)</f>
        <v>0</v>
      </c>
      <c r="W601" s="12">
        <f t="shared" si="21"/>
        <v>5300</v>
      </c>
      <c r="X601" s="8" t="s">
        <v>487</v>
      </c>
      <c r="Y601" s="8" t="s">
        <v>132</v>
      </c>
      <c r="Z601" s="8" t="s">
        <v>479</v>
      </c>
      <c r="AA601" s="8" t="s">
        <v>183</v>
      </c>
      <c r="AB601" s="8" t="s">
        <v>36</v>
      </c>
      <c r="AC601" s="8" t="s">
        <v>37</v>
      </c>
      <c r="AD601" s="8" t="s">
        <v>482</v>
      </c>
      <c r="AE601" s="8" t="s">
        <v>39</v>
      </c>
      <c r="AF601" s="8" t="s">
        <v>40</v>
      </c>
      <c r="AG601" s="9">
        <v>5300</v>
      </c>
      <c r="AH601" s="11">
        <f>_xlfn.XLOOKUP(B601,[1]Sheet1!$B:$B,[1]Sheet1!$AB:$AB,0)</f>
        <v>5300</v>
      </c>
    </row>
    <row r="602" spans="2:34" ht="16.8" thickTop="1" thickBot="1" x14ac:dyDescent="0.35">
      <c r="B602" s="3" t="str">
        <f t="shared" si="20"/>
        <v>45102504511000760Manpower-N424521200104</v>
      </c>
      <c r="C602" s="6" t="s">
        <v>480</v>
      </c>
      <c r="D602" s="6" t="s">
        <v>1012</v>
      </c>
      <c r="E602" s="6" t="s">
        <v>1013</v>
      </c>
      <c r="F602" s="6" t="s">
        <v>98</v>
      </c>
      <c r="G602" s="4" t="s">
        <v>2804</v>
      </c>
      <c r="H602" s="4" t="s">
        <v>2922</v>
      </c>
      <c r="I602" s="6" t="s">
        <v>51</v>
      </c>
      <c r="J602" s="6" t="s">
        <v>31</v>
      </c>
      <c r="K602" s="12">
        <f>_xlfn.XLOOKUP(B602,[1]Sheet1!$B:$B,[1]Sheet1!$N:$N,0)</f>
        <v>0</v>
      </c>
      <c r="L602" s="12">
        <f>_xlfn.XLOOKUP(B602,[1]Sheet1!$B:$B,[1]Sheet1!$O:$O,0)</f>
        <v>0</v>
      </c>
      <c r="M602" s="12">
        <f>_xlfn.XLOOKUP(B602,[1]Sheet1!$B:$B,[1]Sheet1!$P:$P,0)</f>
        <v>0</v>
      </c>
      <c r="N602" s="12">
        <f>_xlfn.XLOOKUP(B602,[1]Sheet1!$B:$B,[1]Sheet1!$Q:$Q,0)</f>
        <v>0</v>
      </c>
      <c r="O602" s="12">
        <f>_xlfn.XLOOKUP(B602,[1]Sheet1!$B:$B,[1]Sheet1!$R:$R,0)</f>
        <v>0</v>
      </c>
      <c r="P602" s="12">
        <f>_xlfn.XLOOKUP(B602,[1]Sheet1!$B:$B,[1]Sheet1!$S:$S,0)</f>
        <v>0</v>
      </c>
      <c r="Q602" s="12">
        <f>_xlfn.XLOOKUP(B602,[1]Sheet1!$B:$B,[1]Sheet1!$T:$T,0)</f>
        <v>0</v>
      </c>
      <c r="R602" s="12">
        <f>_xlfn.XLOOKUP(B602,[1]Sheet1!$B:$B,[1]Sheet1!$U:$U,0)</f>
        <v>0</v>
      </c>
      <c r="S602" s="12">
        <f>_xlfn.XLOOKUP(B602,[1]Sheet1!$B:$B,[1]Sheet1!$V:$V,0)</f>
        <v>0</v>
      </c>
      <c r="T602" s="12">
        <f>_xlfn.XLOOKUP(B602,[1]Sheet1!$B:$B,[1]Sheet1!$W:$W,0)</f>
        <v>0</v>
      </c>
      <c r="U602" s="12">
        <f>_xlfn.XLOOKUP(B602,[1]Sheet1!$B:$B,[1]Sheet1!$X:$X,0)</f>
        <v>0</v>
      </c>
      <c r="V602" s="12">
        <f>_xlfn.XLOOKUP(B602,[1]Sheet1!$B:$B,[1]Sheet1!$Y:$Y,0)</f>
        <v>0</v>
      </c>
      <c r="W602" s="12">
        <f t="shared" si="21"/>
        <v>0</v>
      </c>
      <c r="X602" s="6" t="s">
        <v>1014</v>
      </c>
      <c r="Y602" s="6" t="s">
        <v>132</v>
      </c>
      <c r="Z602" s="6" t="s">
        <v>479</v>
      </c>
      <c r="AA602" s="6" t="s">
        <v>53</v>
      </c>
      <c r="AB602" s="6" t="s">
        <v>36</v>
      </c>
      <c r="AC602" s="6" t="s">
        <v>37</v>
      </c>
      <c r="AD602" s="6" t="s">
        <v>482</v>
      </c>
      <c r="AE602" s="6" t="s">
        <v>39</v>
      </c>
      <c r="AF602" s="6" t="s">
        <v>40</v>
      </c>
      <c r="AG602" s="7">
        <v>1000000</v>
      </c>
      <c r="AH602" s="11">
        <f>_xlfn.XLOOKUP(B602,[1]Sheet1!$B:$B,[1]Sheet1!$AB:$AB,0)</f>
        <v>1000000</v>
      </c>
    </row>
    <row r="603" spans="2:34" ht="16.8" thickTop="1" thickBot="1" x14ac:dyDescent="0.35">
      <c r="B603" s="3" t="str">
        <f t="shared" si="20"/>
        <v>45102504511000760System Licenses-N425252200104</v>
      </c>
      <c r="C603" s="8" t="s">
        <v>480</v>
      </c>
      <c r="D603" s="8" t="s">
        <v>1012</v>
      </c>
      <c r="E603" s="8" t="s">
        <v>1013</v>
      </c>
      <c r="F603" s="8" t="s">
        <v>180</v>
      </c>
      <c r="G603" s="4" t="s">
        <v>2821</v>
      </c>
      <c r="H603" s="4" t="s">
        <v>2922</v>
      </c>
      <c r="I603" s="8" t="s">
        <v>181</v>
      </c>
      <c r="J603" s="8" t="s">
        <v>31</v>
      </c>
      <c r="K603" s="12">
        <f>_xlfn.XLOOKUP(B603,[1]Sheet1!$B:$B,[1]Sheet1!$N:$N,0)</f>
        <v>0</v>
      </c>
      <c r="L603" s="12">
        <f>_xlfn.XLOOKUP(B603,[1]Sheet1!$B:$B,[1]Sheet1!$O:$O,0)</f>
        <v>0</v>
      </c>
      <c r="M603" s="12">
        <f>_xlfn.XLOOKUP(B603,[1]Sheet1!$B:$B,[1]Sheet1!$P:$P,0)</f>
        <v>0</v>
      </c>
      <c r="N603" s="12">
        <f>_xlfn.XLOOKUP(B603,[1]Sheet1!$B:$B,[1]Sheet1!$Q:$Q,0)</f>
        <v>21250</v>
      </c>
      <c r="O603" s="12">
        <f>_xlfn.XLOOKUP(B603,[1]Sheet1!$B:$B,[1]Sheet1!$R:$R,0)</f>
        <v>0</v>
      </c>
      <c r="P603" s="12">
        <f>_xlfn.XLOOKUP(B603,[1]Sheet1!$B:$B,[1]Sheet1!$S:$S,0)</f>
        <v>21250</v>
      </c>
      <c r="Q603" s="12">
        <f>_xlfn.XLOOKUP(B603,[1]Sheet1!$B:$B,[1]Sheet1!$T:$T,0)</f>
        <v>0</v>
      </c>
      <c r="R603" s="12">
        <f>_xlfn.XLOOKUP(B603,[1]Sheet1!$B:$B,[1]Sheet1!$U:$U,0)</f>
        <v>0</v>
      </c>
      <c r="S603" s="12">
        <f>_xlfn.XLOOKUP(B603,[1]Sheet1!$B:$B,[1]Sheet1!$V:$V,0)</f>
        <v>21250</v>
      </c>
      <c r="T603" s="12">
        <f>_xlfn.XLOOKUP(B603,[1]Sheet1!$B:$B,[1]Sheet1!$W:$W,0)</f>
        <v>0</v>
      </c>
      <c r="U603" s="12">
        <f>_xlfn.XLOOKUP(B603,[1]Sheet1!$B:$B,[1]Sheet1!$X:$X,0)</f>
        <v>151250</v>
      </c>
      <c r="V603" s="12">
        <f>_xlfn.XLOOKUP(B603,[1]Sheet1!$B:$B,[1]Sheet1!$Y:$Y,0)</f>
        <v>0</v>
      </c>
      <c r="W603" s="12">
        <f t="shared" si="21"/>
        <v>215000</v>
      </c>
      <c r="X603" s="8" t="s">
        <v>487</v>
      </c>
      <c r="Y603" s="8" t="s">
        <v>132</v>
      </c>
      <c r="Z603" s="8" t="s">
        <v>479</v>
      </c>
      <c r="AA603" s="8" t="s">
        <v>183</v>
      </c>
      <c r="AB603" s="8" t="s">
        <v>36</v>
      </c>
      <c r="AC603" s="8" t="s">
        <v>37</v>
      </c>
      <c r="AD603" s="8" t="s">
        <v>482</v>
      </c>
      <c r="AE603" s="8" t="s">
        <v>39</v>
      </c>
      <c r="AF603" s="8" t="s">
        <v>40</v>
      </c>
      <c r="AG603" s="9">
        <v>298750</v>
      </c>
      <c r="AH603" s="11">
        <f>_xlfn.XLOOKUP(B603,[1]Sheet1!$B:$B,[1]Sheet1!$AB:$AB,0)</f>
        <v>298750</v>
      </c>
    </row>
    <row r="604" spans="2:34" ht="16.8" thickTop="1" thickBot="1" x14ac:dyDescent="0.35">
      <c r="B604" s="3" t="str">
        <f t="shared" si="20"/>
        <v>45120104511000761Freelancers-N424521200104</v>
      </c>
      <c r="C604" s="6" t="s">
        <v>1018</v>
      </c>
      <c r="D604" s="6" t="s">
        <v>1015</v>
      </c>
      <c r="E604" s="6" t="s">
        <v>33</v>
      </c>
      <c r="F604" s="6" t="s">
        <v>50</v>
      </c>
      <c r="G604" s="4" t="s">
        <v>2804</v>
      </c>
      <c r="H604" s="4" t="s">
        <v>2922</v>
      </c>
      <c r="I604" s="6" t="s">
        <v>51</v>
      </c>
      <c r="J604" s="6" t="s">
        <v>31</v>
      </c>
      <c r="K604" s="12">
        <f>_xlfn.XLOOKUP(B604,[1]Sheet1!$B:$B,[1]Sheet1!$N:$N,0)</f>
        <v>0</v>
      </c>
      <c r="L604" s="12">
        <f>_xlfn.XLOOKUP(B604,[1]Sheet1!$B:$B,[1]Sheet1!$O:$O,0)</f>
        <v>0</v>
      </c>
      <c r="M604" s="12">
        <f>_xlfn.XLOOKUP(B604,[1]Sheet1!$B:$B,[1]Sheet1!$P:$P,0)</f>
        <v>0</v>
      </c>
      <c r="N604" s="12">
        <f>_xlfn.XLOOKUP(B604,[1]Sheet1!$B:$B,[1]Sheet1!$Q:$Q,0)</f>
        <v>0</v>
      </c>
      <c r="O604" s="12">
        <f>_xlfn.XLOOKUP(B604,[1]Sheet1!$B:$B,[1]Sheet1!$R:$R,0)</f>
        <v>0</v>
      </c>
      <c r="P604" s="12">
        <f>_xlfn.XLOOKUP(B604,[1]Sheet1!$B:$B,[1]Sheet1!$S:$S,0)</f>
        <v>0</v>
      </c>
      <c r="Q604" s="12">
        <f>_xlfn.XLOOKUP(B604,[1]Sheet1!$B:$B,[1]Sheet1!$T:$T,0)</f>
        <v>0</v>
      </c>
      <c r="R604" s="12">
        <f>_xlfn.XLOOKUP(B604,[1]Sheet1!$B:$B,[1]Sheet1!$U:$U,0)</f>
        <v>0</v>
      </c>
      <c r="S604" s="12">
        <f>_xlfn.XLOOKUP(B604,[1]Sheet1!$B:$B,[1]Sheet1!$V:$V,0)</f>
        <v>0</v>
      </c>
      <c r="T604" s="12">
        <f>_xlfn.XLOOKUP(B604,[1]Sheet1!$B:$B,[1]Sheet1!$W:$W,0)</f>
        <v>0</v>
      </c>
      <c r="U604" s="12">
        <f>_xlfn.XLOOKUP(B604,[1]Sheet1!$B:$B,[1]Sheet1!$X:$X,0)</f>
        <v>0</v>
      </c>
      <c r="V604" s="12">
        <f>_xlfn.XLOOKUP(B604,[1]Sheet1!$B:$B,[1]Sheet1!$Y:$Y,0)</f>
        <v>0</v>
      </c>
      <c r="W604" s="12">
        <f t="shared" si="21"/>
        <v>0</v>
      </c>
      <c r="X604" s="6" t="s">
        <v>1016</v>
      </c>
      <c r="Y604" s="6" t="s">
        <v>721</v>
      </c>
      <c r="Z604" s="6" t="s">
        <v>1017</v>
      </c>
      <c r="AA604" s="6" t="s">
        <v>53</v>
      </c>
      <c r="AB604" s="6" t="s">
        <v>36</v>
      </c>
      <c r="AC604" s="6" t="s">
        <v>37</v>
      </c>
      <c r="AD604" s="6" t="s">
        <v>38</v>
      </c>
      <c r="AE604" s="6" t="s">
        <v>39</v>
      </c>
      <c r="AF604" s="6" t="s">
        <v>40</v>
      </c>
      <c r="AG604" s="7">
        <v>819000</v>
      </c>
      <c r="AH604" s="11">
        <f>_xlfn.XLOOKUP(B604,[1]Sheet1!$B:$B,[1]Sheet1!$AB:$AB,0)</f>
        <v>819000</v>
      </c>
    </row>
    <row r="605" spans="2:34" ht="16.8" thickTop="1" thickBot="1" x14ac:dyDescent="0.35">
      <c r="B605" s="3" t="str">
        <f t="shared" si="20"/>
        <v>45120104511000761Hospitality-N424761200104</v>
      </c>
      <c r="C605" s="8" t="s">
        <v>1018</v>
      </c>
      <c r="D605" s="8" t="s">
        <v>1015</v>
      </c>
      <c r="E605" s="8" t="s">
        <v>33</v>
      </c>
      <c r="F605" s="8" t="s">
        <v>83</v>
      </c>
      <c r="G605" s="4" t="s">
        <v>2811</v>
      </c>
      <c r="H605" s="4" t="s">
        <v>2922</v>
      </c>
      <c r="I605" s="8" t="s">
        <v>84</v>
      </c>
      <c r="J605" s="8" t="s">
        <v>31</v>
      </c>
      <c r="K605" s="12">
        <f>_xlfn.XLOOKUP(B605,[1]Sheet1!$B:$B,[1]Sheet1!$N:$N,0)</f>
        <v>0</v>
      </c>
      <c r="L605" s="12">
        <f>_xlfn.XLOOKUP(B605,[1]Sheet1!$B:$B,[1]Sheet1!$O:$O,0)</f>
        <v>7345</v>
      </c>
      <c r="M605" s="12">
        <f>_xlfn.XLOOKUP(B605,[1]Sheet1!$B:$B,[1]Sheet1!$P:$P,0)</f>
        <v>0</v>
      </c>
      <c r="N605" s="12">
        <f>_xlfn.XLOOKUP(B605,[1]Sheet1!$B:$B,[1]Sheet1!$Q:$Q,0)</f>
        <v>12655</v>
      </c>
      <c r="O605" s="12">
        <f>_xlfn.XLOOKUP(B605,[1]Sheet1!$B:$B,[1]Sheet1!$R:$R,0)</f>
        <v>0</v>
      </c>
      <c r="P605" s="12">
        <f>_xlfn.XLOOKUP(B605,[1]Sheet1!$B:$B,[1]Sheet1!$S:$S,0)</f>
        <v>30000</v>
      </c>
      <c r="Q605" s="12">
        <f>_xlfn.XLOOKUP(B605,[1]Sheet1!$B:$B,[1]Sheet1!$T:$T,0)</f>
        <v>0</v>
      </c>
      <c r="R605" s="12">
        <f>_xlfn.XLOOKUP(B605,[1]Sheet1!$B:$B,[1]Sheet1!$U:$U,0)</f>
        <v>30000</v>
      </c>
      <c r="S605" s="12">
        <f>_xlfn.XLOOKUP(B605,[1]Sheet1!$B:$B,[1]Sheet1!$V:$V,0)</f>
        <v>30000</v>
      </c>
      <c r="T605" s="12">
        <f>_xlfn.XLOOKUP(B605,[1]Sheet1!$B:$B,[1]Sheet1!$W:$W,0)</f>
        <v>30000</v>
      </c>
      <c r="U605" s="12">
        <f>_xlfn.XLOOKUP(B605,[1]Sheet1!$B:$B,[1]Sheet1!$X:$X,0)</f>
        <v>30000</v>
      </c>
      <c r="V605" s="12">
        <f>_xlfn.XLOOKUP(B605,[1]Sheet1!$B:$B,[1]Sheet1!$Y:$Y,0)</f>
        <v>30000</v>
      </c>
      <c r="W605" s="12">
        <f t="shared" si="21"/>
        <v>200000</v>
      </c>
      <c r="X605" s="8" t="s">
        <v>1019</v>
      </c>
      <c r="Y605" s="8" t="s">
        <v>721</v>
      </c>
      <c r="Z605" s="8" t="s">
        <v>1017</v>
      </c>
      <c r="AA605" s="8" t="s">
        <v>84</v>
      </c>
      <c r="AB605" s="8" t="s">
        <v>36</v>
      </c>
      <c r="AC605" s="8" t="s">
        <v>37</v>
      </c>
      <c r="AD605" s="8" t="s">
        <v>724</v>
      </c>
      <c r="AE605" s="8" t="s">
        <v>39</v>
      </c>
      <c r="AF605" s="8" t="s">
        <v>40</v>
      </c>
      <c r="AG605" s="9">
        <v>139600</v>
      </c>
      <c r="AH605" s="11">
        <f>_xlfn.XLOOKUP(B605,[1]Sheet1!$B:$B,[1]Sheet1!$AB:$AB,0)</f>
        <v>139600</v>
      </c>
    </row>
    <row r="606" spans="2:34" ht="16.8" thickTop="1" thickBot="1" x14ac:dyDescent="0.35">
      <c r="B606" s="3" t="str">
        <f t="shared" si="20"/>
        <v>45120104511000761ManagementAdvice-N1424521200104</v>
      </c>
      <c r="C606" s="6" t="s">
        <v>1018</v>
      </c>
      <c r="D606" s="6" t="s">
        <v>1015</v>
      </c>
      <c r="E606" s="6" t="s">
        <v>33</v>
      </c>
      <c r="F606" s="6" t="s">
        <v>725</v>
      </c>
      <c r="G606" s="4" t="s">
        <v>2804</v>
      </c>
      <c r="H606" s="4" t="s">
        <v>2922</v>
      </c>
      <c r="I606" s="6" t="s">
        <v>51</v>
      </c>
      <c r="J606" s="6" t="s">
        <v>31</v>
      </c>
      <c r="K606" s="12">
        <f>_xlfn.XLOOKUP(B606,[1]Sheet1!$B:$B,[1]Sheet1!$N:$N,0)</f>
        <v>0</v>
      </c>
      <c r="L606" s="12">
        <f>_xlfn.XLOOKUP(B606,[1]Sheet1!$B:$B,[1]Sheet1!$O:$O,0)</f>
        <v>0</v>
      </c>
      <c r="M606" s="12">
        <f>_xlfn.XLOOKUP(B606,[1]Sheet1!$B:$B,[1]Sheet1!$P:$P,0)</f>
        <v>0</v>
      </c>
      <c r="N606" s="12">
        <f>_xlfn.XLOOKUP(B606,[1]Sheet1!$B:$B,[1]Sheet1!$Q:$Q,0)</f>
        <v>300000</v>
      </c>
      <c r="O606" s="12">
        <f>_xlfn.XLOOKUP(B606,[1]Sheet1!$B:$B,[1]Sheet1!$R:$R,0)</f>
        <v>150000</v>
      </c>
      <c r="P606" s="12">
        <f>_xlfn.XLOOKUP(B606,[1]Sheet1!$B:$B,[1]Sheet1!$S:$S,0)</f>
        <v>150000</v>
      </c>
      <c r="Q606" s="12">
        <f>_xlfn.XLOOKUP(B606,[1]Sheet1!$B:$B,[1]Sheet1!$T:$T,0)</f>
        <v>150000</v>
      </c>
      <c r="R606" s="12">
        <f>_xlfn.XLOOKUP(B606,[1]Sheet1!$B:$B,[1]Sheet1!$U:$U,0)</f>
        <v>150000</v>
      </c>
      <c r="S606" s="12">
        <f>_xlfn.XLOOKUP(B606,[1]Sheet1!$B:$B,[1]Sheet1!$V:$V,0)</f>
        <v>150000</v>
      </c>
      <c r="T606" s="12">
        <f>_xlfn.XLOOKUP(B606,[1]Sheet1!$B:$B,[1]Sheet1!$W:$W,0)</f>
        <v>150000</v>
      </c>
      <c r="U606" s="12">
        <f>_xlfn.XLOOKUP(B606,[1]Sheet1!$B:$B,[1]Sheet1!$X:$X,0)</f>
        <v>150000</v>
      </c>
      <c r="V606" s="12">
        <f>_xlfn.XLOOKUP(B606,[1]Sheet1!$B:$B,[1]Sheet1!$Y:$Y,0)</f>
        <v>150000</v>
      </c>
      <c r="W606" s="12">
        <f t="shared" si="21"/>
        <v>1500000</v>
      </c>
      <c r="X606" s="6" t="s">
        <v>1020</v>
      </c>
      <c r="Y606" s="6" t="s">
        <v>721</v>
      </c>
      <c r="Z606" s="6" t="s">
        <v>1017</v>
      </c>
      <c r="AA606" s="6" t="s">
        <v>53</v>
      </c>
      <c r="AB606" s="6" t="s">
        <v>36</v>
      </c>
      <c r="AC606" s="6" t="s">
        <v>37</v>
      </c>
      <c r="AD606" s="6" t="s">
        <v>724</v>
      </c>
      <c r="AE606" s="6" t="s">
        <v>39</v>
      </c>
      <c r="AF606" s="6" t="s">
        <v>40</v>
      </c>
      <c r="AG606" s="7">
        <v>836000</v>
      </c>
      <c r="AH606" s="11">
        <f>_xlfn.XLOOKUP(B606,[1]Sheet1!$B:$B,[1]Sheet1!$AB:$AB,0)</f>
        <v>836000</v>
      </c>
    </row>
    <row r="607" spans="2:34" ht="16.8" thickTop="1" thickBot="1" x14ac:dyDescent="0.35">
      <c r="B607" s="3" t="str">
        <f t="shared" si="20"/>
        <v>45120104511000761Mission &amp; Travel-N423821200104</v>
      </c>
      <c r="C607" s="8" t="s">
        <v>1018</v>
      </c>
      <c r="D607" s="8" t="s">
        <v>1015</v>
      </c>
      <c r="E607" s="8" t="s">
        <v>33</v>
      </c>
      <c r="F607" s="8" t="s">
        <v>54</v>
      </c>
      <c r="G607" s="4" t="s">
        <v>2805</v>
      </c>
      <c r="H607" s="4" t="s">
        <v>2922</v>
      </c>
      <c r="I607" s="8" t="s">
        <v>55</v>
      </c>
      <c r="J607" s="8" t="s">
        <v>31</v>
      </c>
      <c r="K607" s="12">
        <f>_xlfn.XLOOKUP(B607,[1]Sheet1!$B:$B,[1]Sheet1!$N:$N,0)</f>
        <v>0</v>
      </c>
      <c r="L607" s="12">
        <f>_xlfn.XLOOKUP(B607,[1]Sheet1!$B:$B,[1]Sheet1!$O:$O,0)</f>
        <v>25000</v>
      </c>
      <c r="M607" s="12">
        <f>_xlfn.XLOOKUP(B607,[1]Sheet1!$B:$B,[1]Sheet1!$P:$P,0)</f>
        <v>0</v>
      </c>
      <c r="N607" s="12">
        <f>_xlfn.XLOOKUP(B607,[1]Sheet1!$B:$B,[1]Sheet1!$Q:$Q,0)</f>
        <v>0</v>
      </c>
      <c r="O607" s="12">
        <f>_xlfn.XLOOKUP(B607,[1]Sheet1!$B:$B,[1]Sheet1!$R:$R,0)</f>
        <v>40000</v>
      </c>
      <c r="P607" s="12">
        <f>_xlfn.XLOOKUP(B607,[1]Sheet1!$B:$B,[1]Sheet1!$S:$S,0)</f>
        <v>0</v>
      </c>
      <c r="Q607" s="12">
        <f>_xlfn.XLOOKUP(B607,[1]Sheet1!$B:$B,[1]Sheet1!$T:$T,0)</f>
        <v>0</v>
      </c>
      <c r="R607" s="12">
        <f>_xlfn.XLOOKUP(B607,[1]Sheet1!$B:$B,[1]Sheet1!$U:$U,0)</f>
        <v>0</v>
      </c>
      <c r="S607" s="12">
        <f>_xlfn.XLOOKUP(B607,[1]Sheet1!$B:$B,[1]Sheet1!$V:$V,0)</f>
        <v>0</v>
      </c>
      <c r="T607" s="12">
        <f>_xlfn.XLOOKUP(B607,[1]Sheet1!$B:$B,[1]Sheet1!$W:$W,0)</f>
        <v>0</v>
      </c>
      <c r="U607" s="12">
        <f>_xlfn.XLOOKUP(B607,[1]Sheet1!$B:$B,[1]Sheet1!$X:$X,0)</f>
        <v>35000</v>
      </c>
      <c r="V607" s="12">
        <f>_xlfn.XLOOKUP(B607,[1]Sheet1!$B:$B,[1]Sheet1!$Y:$Y,0)</f>
        <v>0</v>
      </c>
      <c r="W607" s="12">
        <f t="shared" si="21"/>
        <v>100000</v>
      </c>
      <c r="X607" s="8" t="s">
        <v>1021</v>
      </c>
      <c r="Y607" s="8" t="s">
        <v>721</v>
      </c>
      <c r="Z607" s="8" t="s">
        <v>1017</v>
      </c>
      <c r="AA607" s="8" t="s">
        <v>55</v>
      </c>
      <c r="AB607" s="8" t="s">
        <v>36</v>
      </c>
      <c r="AC607" s="8" t="s">
        <v>37</v>
      </c>
      <c r="AD607" s="8" t="s">
        <v>724</v>
      </c>
      <c r="AE607" s="8" t="s">
        <v>39</v>
      </c>
      <c r="AF607" s="8" t="s">
        <v>40</v>
      </c>
      <c r="AG607" s="9">
        <v>200000</v>
      </c>
      <c r="AH607" s="11">
        <f>_xlfn.XLOOKUP(B607,[1]Sheet1!$B:$B,[1]Sheet1!$AB:$AB,0)</f>
        <v>200000</v>
      </c>
    </row>
    <row r="608" spans="2:34" ht="16.8" thickTop="1" thickBot="1" x14ac:dyDescent="0.35">
      <c r="B608" s="3" t="str">
        <f t="shared" si="20"/>
        <v>45191994511000764AudioBook Create-N1424791200104</v>
      </c>
      <c r="C608" s="6" t="s">
        <v>394</v>
      </c>
      <c r="D608" s="6" t="s">
        <v>1022</v>
      </c>
      <c r="E608" s="6" t="s">
        <v>1023</v>
      </c>
      <c r="F608" s="6" t="s">
        <v>1024</v>
      </c>
      <c r="G608" s="4" t="s">
        <v>2830</v>
      </c>
      <c r="H608" s="4" t="s">
        <v>2922</v>
      </c>
      <c r="I608" s="6" t="s">
        <v>305</v>
      </c>
      <c r="J608" s="6" t="s">
        <v>31</v>
      </c>
      <c r="K608" s="12">
        <f>_xlfn.XLOOKUP(B608,[1]Sheet1!$B:$B,[1]Sheet1!$N:$N,0)</f>
        <v>0</v>
      </c>
      <c r="L608" s="12">
        <f>_xlfn.XLOOKUP(B608,[1]Sheet1!$B:$B,[1]Sheet1!$O:$O,0)</f>
        <v>0</v>
      </c>
      <c r="M608" s="12">
        <f>_xlfn.XLOOKUP(B608,[1]Sheet1!$B:$B,[1]Sheet1!$P:$P,0)</f>
        <v>0</v>
      </c>
      <c r="N608" s="12">
        <f>_xlfn.XLOOKUP(B608,[1]Sheet1!$B:$B,[1]Sheet1!$Q:$Q,0)</f>
        <v>40000</v>
      </c>
      <c r="O608" s="12">
        <f>_xlfn.XLOOKUP(B608,[1]Sheet1!$B:$B,[1]Sheet1!$R:$R,0)</f>
        <v>0</v>
      </c>
      <c r="P608" s="12">
        <f>_xlfn.XLOOKUP(B608,[1]Sheet1!$B:$B,[1]Sheet1!$S:$S,0)</f>
        <v>40000</v>
      </c>
      <c r="Q608" s="12">
        <f>_xlfn.XLOOKUP(B608,[1]Sheet1!$B:$B,[1]Sheet1!$T:$T,0)</f>
        <v>0</v>
      </c>
      <c r="R608" s="12">
        <f>_xlfn.XLOOKUP(B608,[1]Sheet1!$B:$B,[1]Sheet1!$U:$U,0)</f>
        <v>0</v>
      </c>
      <c r="S608" s="12">
        <f>_xlfn.XLOOKUP(B608,[1]Sheet1!$B:$B,[1]Sheet1!$V:$V,0)</f>
        <v>0</v>
      </c>
      <c r="T608" s="12">
        <f>_xlfn.XLOOKUP(B608,[1]Sheet1!$B:$B,[1]Sheet1!$W:$W,0)</f>
        <v>0</v>
      </c>
      <c r="U608" s="12">
        <f>_xlfn.XLOOKUP(B608,[1]Sheet1!$B:$B,[1]Sheet1!$X:$X,0)</f>
        <v>50410</v>
      </c>
      <c r="V608" s="12">
        <f>_xlfn.XLOOKUP(B608,[1]Sheet1!$B:$B,[1]Sheet1!$Y:$Y,0)</f>
        <v>0</v>
      </c>
      <c r="W608" s="12">
        <f t="shared" si="21"/>
        <v>130410</v>
      </c>
      <c r="X608" s="6" t="s">
        <v>893</v>
      </c>
      <c r="Y608" s="6" t="s">
        <v>392</v>
      </c>
      <c r="Z608" s="6" t="s">
        <v>393</v>
      </c>
      <c r="AA608" s="6" t="s">
        <v>305</v>
      </c>
      <c r="AB608" s="6" t="s">
        <v>36</v>
      </c>
      <c r="AC608" s="6" t="s">
        <v>37</v>
      </c>
      <c r="AD608" s="6" t="s">
        <v>863</v>
      </c>
      <c r="AE608" s="6" t="s">
        <v>39</v>
      </c>
      <c r="AF608" s="6" t="s">
        <v>40</v>
      </c>
      <c r="AG608" s="7">
        <v>130410</v>
      </c>
      <c r="AH608" s="11">
        <f>_xlfn.XLOOKUP(B608,[1]Sheet1!$B:$B,[1]Sheet1!$AB:$AB,0)</f>
        <v>130410</v>
      </c>
    </row>
    <row r="609" spans="2:34" ht="16.8" thickTop="1" thickBot="1" x14ac:dyDescent="0.35">
      <c r="B609" s="3" t="str">
        <f t="shared" si="20"/>
        <v>45191994511000764E-bookConversion-N1424791200104</v>
      </c>
      <c r="C609" s="8" t="s">
        <v>394</v>
      </c>
      <c r="D609" s="8" t="s">
        <v>1022</v>
      </c>
      <c r="E609" s="8" t="s">
        <v>1023</v>
      </c>
      <c r="F609" s="8" t="s">
        <v>1025</v>
      </c>
      <c r="G609" s="4" t="s">
        <v>2830</v>
      </c>
      <c r="H609" s="4" t="s">
        <v>2922</v>
      </c>
      <c r="I609" s="8" t="s">
        <v>305</v>
      </c>
      <c r="J609" s="8" t="s">
        <v>31</v>
      </c>
      <c r="K609" s="12">
        <f>_xlfn.XLOOKUP(B609,[1]Sheet1!$B:$B,[1]Sheet1!$N:$N,0)</f>
        <v>0</v>
      </c>
      <c r="L609" s="12">
        <f>_xlfn.XLOOKUP(B609,[1]Sheet1!$B:$B,[1]Sheet1!$O:$O,0)</f>
        <v>0</v>
      </c>
      <c r="M609" s="12">
        <f>_xlfn.XLOOKUP(B609,[1]Sheet1!$B:$B,[1]Sheet1!$P:$P,0)</f>
        <v>0</v>
      </c>
      <c r="N609" s="12">
        <f>_xlfn.XLOOKUP(B609,[1]Sheet1!$B:$B,[1]Sheet1!$Q:$Q,0)</f>
        <v>0</v>
      </c>
      <c r="O609" s="12">
        <f>_xlfn.XLOOKUP(B609,[1]Sheet1!$B:$B,[1]Sheet1!$R:$R,0)</f>
        <v>116509</v>
      </c>
      <c r="P609" s="12">
        <f>_xlfn.XLOOKUP(B609,[1]Sheet1!$B:$B,[1]Sheet1!$S:$S,0)</f>
        <v>0</v>
      </c>
      <c r="Q609" s="12">
        <f>_xlfn.XLOOKUP(B609,[1]Sheet1!$B:$B,[1]Sheet1!$T:$T,0)</f>
        <v>0</v>
      </c>
      <c r="R609" s="12">
        <f>_xlfn.XLOOKUP(B609,[1]Sheet1!$B:$B,[1]Sheet1!$U:$U,0)</f>
        <v>100000</v>
      </c>
      <c r="S609" s="12">
        <f>_xlfn.XLOOKUP(B609,[1]Sheet1!$B:$B,[1]Sheet1!$V:$V,0)</f>
        <v>0</v>
      </c>
      <c r="T609" s="12">
        <f>_xlfn.XLOOKUP(B609,[1]Sheet1!$B:$B,[1]Sheet1!$W:$W,0)</f>
        <v>0</v>
      </c>
      <c r="U609" s="12">
        <f>_xlfn.XLOOKUP(B609,[1]Sheet1!$B:$B,[1]Sheet1!$X:$X,0)</f>
        <v>100000</v>
      </c>
      <c r="V609" s="12">
        <f>_xlfn.XLOOKUP(B609,[1]Sheet1!$B:$B,[1]Sheet1!$Y:$Y,0)</f>
        <v>0</v>
      </c>
      <c r="W609" s="12">
        <f t="shared" si="21"/>
        <v>316509</v>
      </c>
      <c r="X609" s="8" t="s">
        <v>893</v>
      </c>
      <c r="Y609" s="8" t="s">
        <v>392</v>
      </c>
      <c r="Z609" s="8" t="s">
        <v>393</v>
      </c>
      <c r="AA609" s="8" t="s">
        <v>305</v>
      </c>
      <c r="AB609" s="8" t="s">
        <v>36</v>
      </c>
      <c r="AC609" s="8" t="s">
        <v>37</v>
      </c>
      <c r="AD609" s="8" t="s">
        <v>863</v>
      </c>
      <c r="AE609" s="8" t="s">
        <v>39</v>
      </c>
      <c r="AF609" s="8" t="s">
        <v>40</v>
      </c>
      <c r="AG609" s="9">
        <v>316509</v>
      </c>
      <c r="AH609" s="11">
        <f>_xlfn.XLOOKUP(B609,[1]Sheet1!$B:$B,[1]Sheet1!$AB:$AB,0)</f>
        <v>316509</v>
      </c>
    </row>
    <row r="610" spans="2:34" ht="16.8" thickTop="1" thickBot="1" x14ac:dyDescent="0.35">
      <c r="B610" s="3" t="str">
        <f t="shared" si="20"/>
        <v>45191994511000764eBook Distribute-N1425301200104</v>
      </c>
      <c r="C610" s="6" t="s">
        <v>394</v>
      </c>
      <c r="D610" s="6" t="s">
        <v>1022</v>
      </c>
      <c r="E610" s="6" t="s">
        <v>1023</v>
      </c>
      <c r="F610" s="6" t="s">
        <v>1026</v>
      </c>
      <c r="G610" s="4" t="s">
        <v>2864</v>
      </c>
      <c r="H610" s="4" t="s">
        <v>2922</v>
      </c>
      <c r="I610" s="6" t="s">
        <v>1027</v>
      </c>
      <c r="J610" s="6" t="s">
        <v>31</v>
      </c>
      <c r="K610" s="12">
        <f>_xlfn.XLOOKUP(B610,[1]Sheet1!$B:$B,[1]Sheet1!$N:$N,0)</f>
        <v>0</v>
      </c>
      <c r="L610" s="12">
        <f>_xlfn.XLOOKUP(B610,[1]Sheet1!$B:$B,[1]Sheet1!$O:$O,0)</f>
        <v>0</v>
      </c>
      <c r="M610" s="12">
        <f>_xlfn.XLOOKUP(B610,[1]Sheet1!$B:$B,[1]Sheet1!$P:$P,0)</f>
        <v>0</v>
      </c>
      <c r="N610" s="12">
        <f>_xlfn.XLOOKUP(B610,[1]Sheet1!$B:$B,[1]Sheet1!$Q:$Q,0)</f>
        <v>0</v>
      </c>
      <c r="O610" s="12">
        <f>_xlfn.XLOOKUP(B610,[1]Sheet1!$B:$B,[1]Sheet1!$R:$R,0)</f>
        <v>80000</v>
      </c>
      <c r="P610" s="12">
        <f>_xlfn.XLOOKUP(B610,[1]Sheet1!$B:$B,[1]Sheet1!$S:$S,0)</f>
        <v>0</v>
      </c>
      <c r="Q610" s="12">
        <f>_xlfn.XLOOKUP(B610,[1]Sheet1!$B:$B,[1]Sheet1!$T:$T,0)</f>
        <v>0</v>
      </c>
      <c r="R610" s="12">
        <f>_xlfn.XLOOKUP(B610,[1]Sheet1!$B:$B,[1]Sheet1!$U:$U,0)</f>
        <v>0</v>
      </c>
      <c r="S610" s="12">
        <f>_xlfn.XLOOKUP(B610,[1]Sheet1!$B:$B,[1]Sheet1!$V:$V,0)</f>
        <v>0</v>
      </c>
      <c r="T610" s="12">
        <f>_xlfn.XLOOKUP(B610,[1]Sheet1!$B:$B,[1]Sheet1!$W:$W,0)</f>
        <v>0</v>
      </c>
      <c r="U610" s="12">
        <f>_xlfn.XLOOKUP(B610,[1]Sheet1!$B:$B,[1]Sheet1!$X:$X,0)</f>
        <v>57700</v>
      </c>
      <c r="V610" s="12">
        <f>_xlfn.XLOOKUP(B610,[1]Sheet1!$B:$B,[1]Sheet1!$Y:$Y,0)</f>
        <v>0</v>
      </c>
      <c r="W610" s="12">
        <f t="shared" si="21"/>
        <v>137700</v>
      </c>
      <c r="X610" s="6" t="s">
        <v>1028</v>
      </c>
      <c r="Y610" s="6" t="s">
        <v>392</v>
      </c>
      <c r="Z610" s="6" t="s">
        <v>393</v>
      </c>
      <c r="AA610" s="6" t="s">
        <v>1029</v>
      </c>
      <c r="AB610" s="6" t="s">
        <v>36</v>
      </c>
      <c r="AC610" s="6" t="s">
        <v>37</v>
      </c>
      <c r="AD610" s="6" t="s">
        <v>863</v>
      </c>
      <c r="AE610" s="6" t="s">
        <v>39</v>
      </c>
      <c r="AF610" s="6" t="s">
        <v>40</v>
      </c>
      <c r="AG610" s="7">
        <v>137700</v>
      </c>
      <c r="AH610" s="11">
        <f>_xlfn.XLOOKUP(B610,[1]Sheet1!$B:$B,[1]Sheet1!$AB:$AB,0)</f>
        <v>137700</v>
      </c>
    </row>
    <row r="611" spans="2:34" ht="16.8" thickTop="1" thickBot="1" x14ac:dyDescent="0.35">
      <c r="B611" s="3" t="str">
        <f t="shared" si="20"/>
        <v>45191974511000765Print Runs-N1424791200104</v>
      </c>
      <c r="C611" s="8" t="s">
        <v>903</v>
      </c>
      <c r="D611" s="8" t="s">
        <v>1030</v>
      </c>
      <c r="E611" s="8" t="s">
        <v>1031</v>
      </c>
      <c r="F611" s="8" t="s">
        <v>307</v>
      </c>
      <c r="G611" s="4" t="s">
        <v>2830</v>
      </c>
      <c r="H611" s="4" t="s">
        <v>2922</v>
      </c>
      <c r="I611" s="8" t="s">
        <v>305</v>
      </c>
      <c r="J611" s="8" t="s">
        <v>31</v>
      </c>
      <c r="K611" s="12">
        <f>_xlfn.XLOOKUP(B611,[1]Sheet1!$B:$B,[1]Sheet1!$N:$N,0)</f>
        <v>0</v>
      </c>
      <c r="L611" s="12">
        <f>_xlfn.XLOOKUP(B611,[1]Sheet1!$B:$B,[1]Sheet1!$O:$O,0)</f>
        <v>0</v>
      </c>
      <c r="M611" s="12">
        <f>_xlfn.XLOOKUP(B611,[1]Sheet1!$B:$B,[1]Sheet1!$P:$P,0)</f>
        <v>0</v>
      </c>
      <c r="N611" s="12">
        <f>_xlfn.XLOOKUP(B611,[1]Sheet1!$B:$B,[1]Sheet1!$Q:$Q,0)</f>
        <v>100000</v>
      </c>
      <c r="O611" s="12">
        <f>_xlfn.XLOOKUP(B611,[1]Sheet1!$B:$B,[1]Sheet1!$R:$R,0)</f>
        <v>0</v>
      </c>
      <c r="P611" s="12">
        <f>_xlfn.XLOOKUP(B611,[1]Sheet1!$B:$B,[1]Sheet1!$S:$S,0)</f>
        <v>0</v>
      </c>
      <c r="Q611" s="12">
        <f>_xlfn.XLOOKUP(B611,[1]Sheet1!$B:$B,[1]Sheet1!$T:$T,0)</f>
        <v>0</v>
      </c>
      <c r="R611" s="12">
        <f>_xlfn.XLOOKUP(B611,[1]Sheet1!$B:$B,[1]Sheet1!$U:$U,0)</f>
        <v>0</v>
      </c>
      <c r="S611" s="12">
        <f>_xlfn.XLOOKUP(B611,[1]Sheet1!$B:$B,[1]Sheet1!$V:$V,0)</f>
        <v>0</v>
      </c>
      <c r="T611" s="12">
        <f>_xlfn.XLOOKUP(B611,[1]Sheet1!$B:$B,[1]Sheet1!$W:$W,0)</f>
        <v>0</v>
      </c>
      <c r="U611" s="12">
        <f>_xlfn.XLOOKUP(B611,[1]Sheet1!$B:$B,[1]Sheet1!$X:$X,0)</f>
        <v>0</v>
      </c>
      <c r="V611" s="12">
        <f>_xlfn.XLOOKUP(B611,[1]Sheet1!$B:$B,[1]Sheet1!$Y:$Y,0)</f>
        <v>0</v>
      </c>
      <c r="W611" s="12">
        <f t="shared" si="21"/>
        <v>100000</v>
      </c>
      <c r="X611" s="8" t="s">
        <v>1032</v>
      </c>
      <c r="Y611" s="8" t="s">
        <v>392</v>
      </c>
      <c r="Z611" s="8" t="s">
        <v>902</v>
      </c>
      <c r="AA611" s="8" t="s">
        <v>305</v>
      </c>
      <c r="AB611" s="8" t="s">
        <v>36</v>
      </c>
      <c r="AC611" s="8" t="s">
        <v>37</v>
      </c>
      <c r="AD611" s="8" t="s">
        <v>848</v>
      </c>
      <c r="AE611" s="8" t="s">
        <v>39</v>
      </c>
      <c r="AF611" s="8" t="s">
        <v>40</v>
      </c>
      <c r="AG611" s="9">
        <v>100000</v>
      </c>
      <c r="AH611" s="11">
        <f>_xlfn.XLOOKUP(B611,[1]Sheet1!$B:$B,[1]Sheet1!$AB:$AB,0)</f>
        <v>100000</v>
      </c>
    </row>
    <row r="612" spans="2:34" ht="16.8" thickTop="1" thickBot="1" x14ac:dyDescent="0.35">
      <c r="B612" s="3" t="str">
        <f t="shared" si="20"/>
        <v>45191974511000765Research&amp;Survey-N1423411200104</v>
      </c>
      <c r="C612" s="6" t="s">
        <v>903</v>
      </c>
      <c r="D612" s="6" t="s">
        <v>1030</v>
      </c>
      <c r="E612" s="6" t="s">
        <v>1031</v>
      </c>
      <c r="F612" s="6" t="s">
        <v>1033</v>
      </c>
      <c r="G612" s="4" t="s">
        <v>2833</v>
      </c>
      <c r="H612" s="4" t="s">
        <v>2922</v>
      </c>
      <c r="I612" s="6" t="s">
        <v>330</v>
      </c>
      <c r="J612" s="6" t="s">
        <v>31</v>
      </c>
      <c r="K612" s="12">
        <f>_xlfn.XLOOKUP(B612,[1]Sheet1!$B:$B,[1]Sheet1!$N:$N,0)</f>
        <v>0</v>
      </c>
      <c r="L612" s="12">
        <f>_xlfn.XLOOKUP(B612,[1]Sheet1!$B:$B,[1]Sheet1!$O:$O,0)</f>
        <v>0</v>
      </c>
      <c r="M612" s="12">
        <f>_xlfn.XLOOKUP(B612,[1]Sheet1!$B:$B,[1]Sheet1!$P:$P,0)</f>
        <v>0</v>
      </c>
      <c r="N612" s="12">
        <f>_xlfn.XLOOKUP(B612,[1]Sheet1!$B:$B,[1]Sheet1!$Q:$Q,0)</f>
        <v>21500</v>
      </c>
      <c r="O612" s="12">
        <f>_xlfn.XLOOKUP(B612,[1]Sheet1!$B:$B,[1]Sheet1!$R:$R,0)</f>
        <v>0</v>
      </c>
      <c r="P612" s="12">
        <f>_xlfn.XLOOKUP(B612,[1]Sheet1!$B:$B,[1]Sheet1!$S:$S,0)</f>
        <v>0</v>
      </c>
      <c r="Q612" s="12">
        <f>_xlfn.XLOOKUP(B612,[1]Sheet1!$B:$B,[1]Sheet1!$T:$T,0)</f>
        <v>0</v>
      </c>
      <c r="R612" s="12">
        <f>_xlfn.XLOOKUP(B612,[1]Sheet1!$B:$B,[1]Sheet1!$U:$U,0)</f>
        <v>0</v>
      </c>
      <c r="S612" s="12">
        <f>_xlfn.XLOOKUP(B612,[1]Sheet1!$B:$B,[1]Sheet1!$V:$V,0)</f>
        <v>0</v>
      </c>
      <c r="T612" s="12">
        <f>_xlfn.XLOOKUP(B612,[1]Sheet1!$B:$B,[1]Sheet1!$W:$W,0)</f>
        <v>0</v>
      </c>
      <c r="U612" s="12">
        <f>_xlfn.XLOOKUP(B612,[1]Sheet1!$B:$B,[1]Sheet1!$X:$X,0)</f>
        <v>71580</v>
      </c>
      <c r="V612" s="12">
        <f>_xlfn.XLOOKUP(B612,[1]Sheet1!$B:$B,[1]Sheet1!$Y:$Y,0)</f>
        <v>0</v>
      </c>
      <c r="W612" s="12">
        <f t="shared" si="21"/>
        <v>93080</v>
      </c>
      <c r="X612" s="6" t="s">
        <v>1034</v>
      </c>
      <c r="Y612" s="6" t="s">
        <v>392</v>
      </c>
      <c r="Z612" s="6" t="s">
        <v>902</v>
      </c>
      <c r="AA612" s="6" t="s">
        <v>330</v>
      </c>
      <c r="AB612" s="6" t="s">
        <v>36</v>
      </c>
      <c r="AC612" s="6" t="s">
        <v>37</v>
      </c>
      <c r="AD612" s="6" t="s">
        <v>848</v>
      </c>
      <c r="AE612" s="6" t="s">
        <v>39</v>
      </c>
      <c r="AF612" s="6" t="s">
        <v>40</v>
      </c>
      <c r="AG612" s="7">
        <v>93080</v>
      </c>
      <c r="AH612" s="11">
        <f>_xlfn.XLOOKUP(B612,[1]Sheet1!$B:$B,[1]Sheet1!$AB:$AB,0)</f>
        <v>93080</v>
      </c>
    </row>
    <row r="613" spans="2:34" ht="16.8" thickTop="1" thickBot="1" x14ac:dyDescent="0.35">
      <c r="B613" s="3" t="str">
        <f t="shared" si="20"/>
        <v>45191974511000766Awards &amp; Prizes-N1424231200104</v>
      </c>
      <c r="C613" s="8" t="s">
        <v>903</v>
      </c>
      <c r="D613" s="8" t="s">
        <v>1035</v>
      </c>
      <c r="E613" s="8" t="s">
        <v>1036</v>
      </c>
      <c r="F613" s="8" t="s">
        <v>1037</v>
      </c>
      <c r="G613" s="4" t="s">
        <v>2832</v>
      </c>
      <c r="H613" s="4" t="s">
        <v>2922</v>
      </c>
      <c r="I613" s="8" t="s">
        <v>324</v>
      </c>
      <c r="J613" s="8" t="s">
        <v>31</v>
      </c>
      <c r="K613" s="12">
        <f>_xlfn.XLOOKUP(B613,[1]Sheet1!$B:$B,[1]Sheet1!$N:$N,0)</f>
        <v>0</v>
      </c>
      <c r="L613" s="12">
        <f>_xlfn.XLOOKUP(B613,[1]Sheet1!$B:$B,[1]Sheet1!$O:$O,0)</f>
        <v>0</v>
      </c>
      <c r="M613" s="12">
        <f>_xlfn.XLOOKUP(B613,[1]Sheet1!$B:$B,[1]Sheet1!$P:$P,0)</f>
        <v>0</v>
      </c>
      <c r="N613" s="12">
        <f>_xlfn.XLOOKUP(B613,[1]Sheet1!$B:$B,[1]Sheet1!$Q:$Q,0)</f>
        <v>0</v>
      </c>
      <c r="O613" s="12">
        <f>_xlfn.XLOOKUP(B613,[1]Sheet1!$B:$B,[1]Sheet1!$R:$R,0)</f>
        <v>0</v>
      </c>
      <c r="P613" s="12">
        <f>_xlfn.XLOOKUP(B613,[1]Sheet1!$B:$B,[1]Sheet1!$S:$S,0)</f>
        <v>0</v>
      </c>
      <c r="Q613" s="12">
        <f>_xlfn.XLOOKUP(B613,[1]Sheet1!$B:$B,[1]Sheet1!$T:$T,0)</f>
        <v>0</v>
      </c>
      <c r="R613" s="12">
        <f>_xlfn.XLOOKUP(B613,[1]Sheet1!$B:$B,[1]Sheet1!$U:$U,0)</f>
        <v>0</v>
      </c>
      <c r="S613" s="12">
        <f>_xlfn.XLOOKUP(B613,[1]Sheet1!$B:$B,[1]Sheet1!$V:$V,0)</f>
        <v>45000</v>
      </c>
      <c r="T613" s="12">
        <f>_xlfn.XLOOKUP(B613,[1]Sheet1!$B:$B,[1]Sheet1!$W:$W,0)</f>
        <v>0</v>
      </c>
      <c r="U613" s="12">
        <f>_xlfn.XLOOKUP(B613,[1]Sheet1!$B:$B,[1]Sheet1!$X:$X,0)</f>
        <v>0</v>
      </c>
      <c r="V613" s="12">
        <f>_xlfn.XLOOKUP(B613,[1]Sheet1!$B:$B,[1]Sheet1!$Y:$Y,0)</f>
        <v>0</v>
      </c>
      <c r="W613" s="12">
        <f t="shared" si="21"/>
        <v>45000</v>
      </c>
      <c r="X613" s="8" t="s">
        <v>1038</v>
      </c>
      <c r="Y613" s="8" t="s">
        <v>392</v>
      </c>
      <c r="Z613" s="8" t="s">
        <v>902</v>
      </c>
      <c r="AA613" s="8" t="s">
        <v>326</v>
      </c>
      <c r="AB613" s="8" t="s">
        <v>36</v>
      </c>
      <c r="AC613" s="8" t="s">
        <v>37</v>
      </c>
      <c r="AD613" s="8" t="s">
        <v>863</v>
      </c>
      <c r="AE613" s="8" t="s">
        <v>39</v>
      </c>
      <c r="AF613" s="8" t="s">
        <v>40</v>
      </c>
      <c r="AG613" s="9">
        <v>45000</v>
      </c>
      <c r="AH613" s="11">
        <f>_xlfn.XLOOKUP(B613,[1]Sheet1!$B:$B,[1]Sheet1!$AB:$AB,0)</f>
        <v>45000</v>
      </c>
    </row>
    <row r="614" spans="2:34" ht="16.8" thickTop="1" thickBot="1" x14ac:dyDescent="0.35">
      <c r="B614" s="3" t="str">
        <f t="shared" si="20"/>
        <v>45191974511000766CampaignProductn-N1422511200104</v>
      </c>
      <c r="C614" s="6" t="s">
        <v>903</v>
      </c>
      <c r="D614" s="6" t="s">
        <v>1035</v>
      </c>
      <c r="E614" s="6" t="s">
        <v>1036</v>
      </c>
      <c r="F614" s="6" t="s">
        <v>840</v>
      </c>
      <c r="G614" s="4" t="s">
        <v>2819</v>
      </c>
      <c r="H614" s="4" t="s">
        <v>2922</v>
      </c>
      <c r="I614" s="6" t="s">
        <v>151</v>
      </c>
      <c r="J614" s="6" t="s">
        <v>31</v>
      </c>
      <c r="K614" s="12">
        <f>_xlfn.XLOOKUP(B614,[1]Sheet1!$B:$B,[1]Sheet1!$N:$N,0)</f>
        <v>0</v>
      </c>
      <c r="L614" s="12">
        <f>_xlfn.XLOOKUP(B614,[1]Sheet1!$B:$B,[1]Sheet1!$O:$O,0)</f>
        <v>0</v>
      </c>
      <c r="M614" s="12">
        <f>_xlfn.XLOOKUP(B614,[1]Sheet1!$B:$B,[1]Sheet1!$P:$P,0)</f>
        <v>0</v>
      </c>
      <c r="N614" s="12">
        <f>_xlfn.XLOOKUP(B614,[1]Sheet1!$B:$B,[1]Sheet1!$Q:$Q,0)</f>
        <v>0</v>
      </c>
      <c r="O614" s="12">
        <f>_xlfn.XLOOKUP(B614,[1]Sheet1!$B:$B,[1]Sheet1!$R:$R,0)</f>
        <v>0</v>
      </c>
      <c r="P614" s="12">
        <f>_xlfn.XLOOKUP(B614,[1]Sheet1!$B:$B,[1]Sheet1!$S:$S,0)</f>
        <v>0</v>
      </c>
      <c r="Q614" s="12">
        <f>_xlfn.XLOOKUP(B614,[1]Sheet1!$B:$B,[1]Sheet1!$T:$T,0)</f>
        <v>0</v>
      </c>
      <c r="R614" s="12">
        <f>_xlfn.XLOOKUP(B614,[1]Sheet1!$B:$B,[1]Sheet1!$U:$U,0)</f>
        <v>200000</v>
      </c>
      <c r="S614" s="12">
        <f>_xlfn.XLOOKUP(B614,[1]Sheet1!$B:$B,[1]Sheet1!$V:$V,0)</f>
        <v>0</v>
      </c>
      <c r="T614" s="12">
        <f>_xlfn.XLOOKUP(B614,[1]Sheet1!$B:$B,[1]Sheet1!$W:$W,0)</f>
        <v>0</v>
      </c>
      <c r="U614" s="12">
        <f>_xlfn.XLOOKUP(B614,[1]Sheet1!$B:$B,[1]Sheet1!$X:$X,0)</f>
        <v>200000</v>
      </c>
      <c r="V614" s="12">
        <f>_xlfn.XLOOKUP(B614,[1]Sheet1!$B:$B,[1]Sheet1!$Y:$Y,0)</f>
        <v>0</v>
      </c>
      <c r="W614" s="12">
        <f t="shared" si="21"/>
        <v>400000</v>
      </c>
      <c r="X614" s="6" t="s">
        <v>1039</v>
      </c>
      <c r="Y614" s="6" t="s">
        <v>392</v>
      </c>
      <c r="Z614" s="6" t="s">
        <v>902</v>
      </c>
      <c r="AA614" s="6" t="s">
        <v>151</v>
      </c>
      <c r="AB614" s="6" t="s">
        <v>36</v>
      </c>
      <c r="AC614" s="6" t="s">
        <v>37</v>
      </c>
      <c r="AD614" s="6" t="s">
        <v>859</v>
      </c>
      <c r="AE614" s="6" t="s">
        <v>39</v>
      </c>
      <c r="AF614" s="6" t="s">
        <v>40</v>
      </c>
      <c r="AG614" s="7">
        <v>400000</v>
      </c>
      <c r="AH614" s="11">
        <f>_xlfn.XLOOKUP(B614,[1]Sheet1!$B:$B,[1]Sheet1!$AB:$AB,0)</f>
        <v>400000</v>
      </c>
    </row>
    <row r="615" spans="2:34" ht="16.8" thickTop="1" thickBot="1" x14ac:dyDescent="0.35">
      <c r="B615" s="3" t="str">
        <f t="shared" si="20"/>
        <v>45192004511000768Activation&amp;Prog-N1422401200104</v>
      </c>
      <c r="C615" s="8" t="s">
        <v>962</v>
      </c>
      <c r="D615" s="8" t="s">
        <v>1040</v>
      </c>
      <c r="E615" s="8" t="s">
        <v>1041</v>
      </c>
      <c r="F615" s="8" t="s">
        <v>371</v>
      </c>
      <c r="G615" s="4" t="s">
        <v>2807</v>
      </c>
      <c r="H615" s="4" t="s">
        <v>2922</v>
      </c>
      <c r="I615" s="8" t="s">
        <v>63</v>
      </c>
      <c r="J615" s="8" t="s">
        <v>31</v>
      </c>
      <c r="K615" s="12">
        <f>_xlfn.XLOOKUP(B615,[1]Sheet1!$B:$B,[1]Sheet1!$N:$N,0)</f>
        <v>0</v>
      </c>
      <c r="L615" s="12">
        <f>_xlfn.XLOOKUP(B615,[1]Sheet1!$B:$B,[1]Sheet1!$O:$O,0)</f>
        <v>4000</v>
      </c>
      <c r="M615" s="12">
        <f>_xlfn.XLOOKUP(B615,[1]Sheet1!$B:$B,[1]Sheet1!$P:$P,0)</f>
        <v>23209</v>
      </c>
      <c r="N615" s="12">
        <f>_xlfn.XLOOKUP(B615,[1]Sheet1!$B:$B,[1]Sheet1!$Q:$Q,0)</f>
        <v>58132</v>
      </c>
      <c r="O615" s="12">
        <f>_xlfn.XLOOKUP(B615,[1]Sheet1!$B:$B,[1]Sheet1!$R:$R,0)</f>
        <v>28447</v>
      </c>
      <c r="P615" s="12">
        <f>_xlfn.XLOOKUP(B615,[1]Sheet1!$B:$B,[1]Sheet1!$S:$S,0)</f>
        <v>28447</v>
      </c>
      <c r="Q615" s="12">
        <f>_xlfn.XLOOKUP(B615,[1]Sheet1!$B:$B,[1]Sheet1!$T:$T,0)</f>
        <v>28447</v>
      </c>
      <c r="R615" s="12">
        <f>_xlfn.XLOOKUP(B615,[1]Sheet1!$B:$B,[1]Sheet1!$U:$U,0)</f>
        <v>28447</v>
      </c>
      <c r="S615" s="12">
        <f>_xlfn.XLOOKUP(B615,[1]Sheet1!$B:$B,[1]Sheet1!$V:$V,0)</f>
        <v>28447</v>
      </c>
      <c r="T615" s="12">
        <f>_xlfn.XLOOKUP(B615,[1]Sheet1!$B:$B,[1]Sheet1!$W:$W,0)</f>
        <v>28447</v>
      </c>
      <c r="U615" s="12">
        <f>_xlfn.XLOOKUP(B615,[1]Sheet1!$B:$B,[1]Sheet1!$X:$X,0)</f>
        <v>28447</v>
      </c>
      <c r="V615" s="12">
        <f>_xlfn.XLOOKUP(B615,[1]Sheet1!$B:$B,[1]Sheet1!$Y:$Y,0)</f>
        <v>28446</v>
      </c>
      <c r="W615" s="12">
        <f t="shared" si="21"/>
        <v>312916</v>
      </c>
      <c r="X615" s="8" t="s">
        <v>1042</v>
      </c>
      <c r="Y615" s="8" t="s">
        <v>392</v>
      </c>
      <c r="Z615" s="8" t="s">
        <v>961</v>
      </c>
      <c r="AA615" s="8" t="s">
        <v>68</v>
      </c>
      <c r="AB615" s="8" t="s">
        <v>36</v>
      </c>
      <c r="AC615" s="8" t="s">
        <v>37</v>
      </c>
      <c r="AD615" s="8" t="s">
        <v>848</v>
      </c>
      <c r="AE615" s="8" t="s">
        <v>39</v>
      </c>
      <c r="AF615" s="8" t="s">
        <v>40</v>
      </c>
      <c r="AG615" s="9">
        <v>516916</v>
      </c>
      <c r="AH615" s="11">
        <f>_xlfn.XLOOKUP(B615,[1]Sheet1!$B:$B,[1]Sheet1!$AB:$AB,0)</f>
        <v>516916</v>
      </c>
    </row>
    <row r="616" spans="2:34" ht="16.8" thickTop="1" thickBot="1" x14ac:dyDescent="0.35">
      <c r="B616" s="3" t="str">
        <f t="shared" si="20"/>
        <v>45192004511000769Activation&amp;Prog-N2422401200104</v>
      </c>
      <c r="C616" s="6" t="s">
        <v>962</v>
      </c>
      <c r="D616" s="6" t="s">
        <v>1043</v>
      </c>
      <c r="E616" s="6" t="s">
        <v>1044</v>
      </c>
      <c r="F616" s="6" t="s">
        <v>853</v>
      </c>
      <c r="G616" s="4" t="s">
        <v>2807</v>
      </c>
      <c r="H616" s="4" t="s">
        <v>2922</v>
      </c>
      <c r="I616" s="6" t="s">
        <v>63</v>
      </c>
      <c r="J616" s="6" t="s">
        <v>31</v>
      </c>
      <c r="K616" s="12">
        <f>_xlfn.XLOOKUP(B616,[1]Sheet1!$B:$B,[1]Sheet1!$N:$N,0)</f>
        <v>0</v>
      </c>
      <c r="L616" s="12">
        <f>_xlfn.XLOOKUP(B616,[1]Sheet1!$B:$B,[1]Sheet1!$O:$O,0)</f>
        <v>0</v>
      </c>
      <c r="M616" s="12">
        <f>_xlfn.XLOOKUP(B616,[1]Sheet1!$B:$B,[1]Sheet1!$P:$P,0)</f>
        <v>0</v>
      </c>
      <c r="N616" s="12">
        <f>_xlfn.XLOOKUP(B616,[1]Sheet1!$B:$B,[1]Sheet1!$Q:$Q,0)</f>
        <v>0</v>
      </c>
      <c r="O616" s="12">
        <f>_xlfn.XLOOKUP(B616,[1]Sheet1!$B:$B,[1]Sheet1!$R:$R,0)</f>
        <v>0</v>
      </c>
      <c r="P616" s="12">
        <f>_xlfn.XLOOKUP(B616,[1]Sheet1!$B:$B,[1]Sheet1!$S:$S,0)</f>
        <v>0</v>
      </c>
      <c r="Q616" s="12">
        <f>_xlfn.XLOOKUP(B616,[1]Sheet1!$B:$B,[1]Sheet1!$T:$T,0)</f>
        <v>0</v>
      </c>
      <c r="R616" s="12">
        <f>_xlfn.XLOOKUP(B616,[1]Sheet1!$B:$B,[1]Sheet1!$U:$U,0)</f>
        <v>0</v>
      </c>
      <c r="S616" s="12">
        <f>_xlfn.XLOOKUP(B616,[1]Sheet1!$B:$B,[1]Sheet1!$V:$V,0)</f>
        <v>0</v>
      </c>
      <c r="T616" s="12">
        <f>_xlfn.XLOOKUP(B616,[1]Sheet1!$B:$B,[1]Sheet1!$W:$W,0)</f>
        <v>1534890</v>
      </c>
      <c r="U616" s="12">
        <f>_xlfn.XLOOKUP(B616,[1]Sheet1!$B:$B,[1]Sheet1!$X:$X,0)</f>
        <v>0</v>
      </c>
      <c r="V616" s="12">
        <f>_xlfn.XLOOKUP(B616,[1]Sheet1!$B:$B,[1]Sheet1!$Y:$Y,0)</f>
        <v>0</v>
      </c>
      <c r="W616" s="12">
        <f t="shared" si="21"/>
        <v>1534890</v>
      </c>
      <c r="X616" s="6" t="s">
        <v>960</v>
      </c>
      <c r="Y616" s="6" t="s">
        <v>392</v>
      </c>
      <c r="Z616" s="6" t="s">
        <v>961</v>
      </c>
      <c r="AA616" s="6" t="s">
        <v>68</v>
      </c>
      <c r="AB616" s="6" t="s">
        <v>36</v>
      </c>
      <c r="AC616" s="6" t="s">
        <v>37</v>
      </c>
      <c r="AD616" s="6" t="s">
        <v>859</v>
      </c>
      <c r="AE616" s="6" t="s">
        <v>39</v>
      </c>
      <c r="AF616" s="6" t="s">
        <v>40</v>
      </c>
      <c r="AG616" s="7">
        <v>2428412</v>
      </c>
      <c r="AH616" s="11">
        <f>_xlfn.XLOOKUP(B616,[1]Sheet1!$B:$B,[1]Sheet1!$AB:$AB,0)</f>
        <v>2428412</v>
      </c>
    </row>
    <row r="617" spans="2:34" ht="16.8" thickTop="1" thickBot="1" x14ac:dyDescent="0.35">
      <c r="B617" s="3" t="str">
        <f t="shared" si="20"/>
        <v>45192004511000769Design &amp; Build-N2424221200104</v>
      </c>
      <c r="C617" s="8" t="s">
        <v>962</v>
      </c>
      <c r="D617" s="8" t="s">
        <v>1043</v>
      </c>
      <c r="E617" s="8" t="s">
        <v>1044</v>
      </c>
      <c r="F617" s="8" t="s">
        <v>963</v>
      </c>
      <c r="G617" s="4" t="s">
        <v>2824</v>
      </c>
      <c r="H617" s="4" t="s">
        <v>2922</v>
      </c>
      <c r="I617" s="8" t="s">
        <v>209</v>
      </c>
      <c r="J617" s="8" t="s">
        <v>31</v>
      </c>
      <c r="K617" s="12">
        <f>_xlfn.XLOOKUP(B617,[1]Sheet1!$B:$B,[1]Sheet1!$N:$N,0)</f>
        <v>0</v>
      </c>
      <c r="L617" s="12">
        <f>_xlfn.XLOOKUP(B617,[1]Sheet1!$B:$B,[1]Sheet1!$O:$O,0)</f>
        <v>0</v>
      </c>
      <c r="M617" s="12">
        <f>_xlfn.XLOOKUP(B617,[1]Sheet1!$B:$B,[1]Sheet1!$P:$P,0)</f>
        <v>0</v>
      </c>
      <c r="N617" s="12">
        <f>_xlfn.XLOOKUP(B617,[1]Sheet1!$B:$B,[1]Sheet1!$Q:$Q,0)</f>
        <v>0</v>
      </c>
      <c r="O617" s="12">
        <f>_xlfn.XLOOKUP(B617,[1]Sheet1!$B:$B,[1]Sheet1!$R:$R,0)</f>
        <v>0</v>
      </c>
      <c r="P617" s="12">
        <f>_xlfn.XLOOKUP(B617,[1]Sheet1!$B:$B,[1]Sheet1!$S:$S,0)</f>
        <v>0</v>
      </c>
      <c r="Q617" s="12">
        <f>_xlfn.XLOOKUP(B617,[1]Sheet1!$B:$B,[1]Sheet1!$T:$T,0)</f>
        <v>0</v>
      </c>
      <c r="R617" s="12">
        <f>_xlfn.XLOOKUP(B617,[1]Sheet1!$B:$B,[1]Sheet1!$U:$U,0)</f>
        <v>0</v>
      </c>
      <c r="S617" s="12">
        <f>_xlfn.XLOOKUP(B617,[1]Sheet1!$B:$B,[1]Sheet1!$V:$V,0)</f>
        <v>0</v>
      </c>
      <c r="T617" s="12">
        <f>_xlfn.XLOOKUP(B617,[1]Sheet1!$B:$B,[1]Sheet1!$W:$W,0)</f>
        <v>0</v>
      </c>
      <c r="U617" s="12">
        <f>_xlfn.XLOOKUP(B617,[1]Sheet1!$B:$B,[1]Sheet1!$X:$X,0)</f>
        <v>10708691</v>
      </c>
      <c r="V617" s="12">
        <f>_xlfn.XLOOKUP(B617,[1]Sheet1!$B:$B,[1]Sheet1!$Y:$Y,0)</f>
        <v>0</v>
      </c>
      <c r="W617" s="12">
        <f t="shared" si="21"/>
        <v>10708691</v>
      </c>
      <c r="X617" s="8" t="s">
        <v>964</v>
      </c>
      <c r="Y617" s="8" t="s">
        <v>392</v>
      </c>
      <c r="Z617" s="8" t="s">
        <v>961</v>
      </c>
      <c r="AA617" s="8" t="s">
        <v>209</v>
      </c>
      <c r="AB617" s="8" t="s">
        <v>36</v>
      </c>
      <c r="AC617" s="8" t="s">
        <v>37</v>
      </c>
      <c r="AD617" s="8" t="s">
        <v>859</v>
      </c>
      <c r="AE617" s="8" t="s">
        <v>39</v>
      </c>
      <c r="AF617" s="8" t="s">
        <v>40</v>
      </c>
      <c r="AG617" s="9">
        <v>10708691</v>
      </c>
      <c r="AH617" s="11">
        <f>_xlfn.XLOOKUP(B617,[1]Sheet1!$B:$B,[1]Sheet1!$AB:$AB,0)</f>
        <v>10708691</v>
      </c>
    </row>
    <row r="618" spans="2:34" ht="16.8" thickTop="1" thickBot="1" x14ac:dyDescent="0.35">
      <c r="B618" s="3" t="str">
        <f t="shared" si="20"/>
        <v>45192004511000769Event Consumable-N2421125200104</v>
      </c>
      <c r="C618" s="6" t="s">
        <v>962</v>
      </c>
      <c r="D618" s="6" t="s">
        <v>1043</v>
      </c>
      <c r="E618" s="6" t="s">
        <v>1044</v>
      </c>
      <c r="F618" s="6" t="s">
        <v>1045</v>
      </c>
      <c r="G618" s="4" t="s">
        <v>2803</v>
      </c>
      <c r="H618" s="4" t="s">
        <v>2922</v>
      </c>
      <c r="I618" s="6" t="s">
        <v>44</v>
      </c>
      <c r="J618" s="6" t="s">
        <v>31</v>
      </c>
      <c r="K618" s="12">
        <f>_xlfn.XLOOKUP(B618,[1]Sheet1!$B:$B,[1]Sheet1!$N:$N,0)</f>
        <v>0</v>
      </c>
      <c r="L618" s="12">
        <f>_xlfn.XLOOKUP(B618,[1]Sheet1!$B:$B,[1]Sheet1!$O:$O,0)</f>
        <v>0</v>
      </c>
      <c r="M618" s="12">
        <f>_xlfn.XLOOKUP(B618,[1]Sheet1!$B:$B,[1]Sheet1!$P:$P,0)</f>
        <v>0</v>
      </c>
      <c r="N618" s="12">
        <f>_xlfn.XLOOKUP(B618,[1]Sheet1!$B:$B,[1]Sheet1!$Q:$Q,0)</f>
        <v>0</v>
      </c>
      <c r="O618" s="12">
        <f>_xlfn.XLOOKUP(B618,[1]Sheet1!$B:$B,[1]Sheet1!$R:$R,0)</f>
        <v>0</v>
      </c>
      <c r="P618" s="12">
        <f>_xlfn.XLOOKUP(B618,[1]Sheet1!$B:$B,[1]Sheet1!$S:$S,0)</f>
        <v>0</v>
      </c>
      <c r="Q618" s="12">
        <f>_xlfn.XLOOKUP(B618,[1]Sheet1!$B:$B,[1]Sheet1!$T:$T,0)</f>
        <v>0</v>
      </c>
      <c r="R618" s="12">
        <f>_xlfn.XLOOKUP(B618,[1]Sheet1!$B:$B,[1]Sheet1!$U:$U,0)</f>
        <v>0</v>
      </c>
      <c r="S618" s="12">
        <f>_xlfn.XLOOKUP(B618,[1]Sheet1!$B:$B,[1]Sheet1!$V:$V,0)</f>
        <v>0</v>
      </c>
      <c r="T618" s="12">
        <f>_xlfn.XLOOKUP(B618,[1]Sheet1!$B:$B,[1]Sheet1!$W:$W,0)</f>
        <v>1388029</v>
      </c>
      <c r="U618" s="12">
        <f>_xlfn.XLOOKUP(B618,[1]Sheet1!$B:$B,[1]Sheet1!$X:$X,0)</f>
        <v>1388029</v>
      </c>
      <c r="V618" s="12">
        <f>_xlfn.XLOOKUP(B618,[1]Sheet1!$B:$B,[1]Sheet1!$Y:$Y,0)</f>
        <v>0</v>
      </c>
      <c r="W618" s="12">
        <f t="shared" si="21"/>
        <v>2776058</v>
      </c>
      <c r="X618" s="6" t="s">
        <v>1046</v>
      </c>
      <c r="Y618" s="6" t="s">
        <v>392</v>
      </c>
      <c r="Z618" s="6" t="s">
        <v>961</v>
      </c>
      <c r="AA618" s="6" t="s">
        <v>44</v>
      </c>
      <c r="AB618" s="6" t="s">
        <v>36</v>
      </c>
      <c r="AC618" s="6" t="s">
        <v>37</v>
      </c>
      <c r="AD618" s="6" t="s">
        <v>395</v>
      </c>
      <c r="AE618" s="6" t="s">
        <v>39</v>
      </c>
      <c r="AF618" s="6" t="s">
        <v>40</v>
      </c>
      <c r="AG618" s="7">
        <v>3407000</v>
      </c>
      <c r="AH618" s="11">
        <f>_xlfn.XLOOKUP(B618,[1]Sheet1!$B:$B,[1]Sheet1!$AB:$AB,0)</f>
        <v>3407000</v>
      </c>
    </row>
    <row r="619" spans="2:34" ht="16.8" thickTop="1" thickBot="1" x14ac:dyDescent="0.35">
      <c r="B619" s="3" t="str">
        <f t="shared" si="20"/>
        <v>45192004511000769Hospitality-N2424761200104</v>
      </c>
      <c r="C619" s="8" t="s">
        <v>962</v>
      </c>
      <c r="D619" s="8" t="s">
        <v>1043</v>
      </c>
      <c r="E619" s="8" t="s">
        <v>1044</v>
      </c>
      <c r="F619" s="8" t="s">
        <v>637</v>
      </c>
      <c r="G619" s="4" t="s">
        <v>2811</v>
      </c>
      <c r="H619" s="4" t="s">
        <v>2922</v>
      </c>
      <c r="I619" s="8" t="s">
        <v>84</v>
      </c>
      <c r="J619" s="8" t="s">
        <v>31</v>
      </c>
      <c r="K619" s="12">
        <f>_xlfn.XLOOKUP(B619,[1]Sheet1!$B:$B,[1]Sheet1!$N:$N,0)</f>
        <v>0</v>
      </c>
      <c r="L619" s="12">
        <f>_xlfn.XLOOKUP(B619,[1]Sheet1!$B:$B,[1]Sheet1!$O:$O,0)</f>
        <v>0</v>
      </c>
      <c r="M619" s="12">
        <f>_xlfn.XLOOKUP(B619,[1]Sheet1!$B:$B,[1]Sheet1!$P:$P,0)</f>
        <v>0</v>
      </c>
      <c r="N619" s="12">
        <f>_xlfn.XLOOKUP(B619,[1]Sheet1!$B:$B,[1]Sheet1!$Q:$Q,0)</f>
        <v>0</v>
      </c>
      <c r="O619" s="12">
        <f>_xlfn.XLOOKUP(B619,[1]Sheet1!$B:$B,[1]Sheet1!$R:$R,0)</f>
        <v>0</v>
      </c>
      <c r="P619" s="12">
        <f>_xlfn.XLOOKUP(B619,[1]Sheet1!$B:$B,[1]Sheet1!$S:$S,0)</f>
        <v>0</v>
      </c>
      <c r="Q619" s="12">
        <f>_xlfn.XLOOKUP(B619,[1]Sheet1!$B:$B,[1]Sheet1!$T:$T,0)</f>
        <v>0</v>
      </c>
      <c r="R619" s="12">
        <f>_xlfn.XLOOKUP(B619,[1]Sheet1!$B:$B,[1]Sheet1!$U:$U,0)</f>
        <v>0</v>
      </c>
      <c r="S619" s="12">
        <f>_xlfn.XLOOKUP(B619,[1]Sheet1!$B:$B,[1]Sheet1!$V:$V,0)</f>
        <v>0</v>
      </c>
      <c r="T619" s="12">
        <f>_xlfn.XLOOKUP(B619,[1]Sheet1!$B:$B,[1]Sheet1!$W:$W,0)</f>
        <v>2000000</v>
      </c>
      <c r="U619" s="12">
        <f>_xlfn.XLOOKUP(B619,[1]Sheet1!$B:$B,[1]Sheet1!$X:$X,0)</f>
        <v>0</v>
      </c>
      <c r="V619" s="12">
        <f>_xlfn.XLOOKUP(B619,[1]Sheet1!$B:$B,[1]Sheet1!$Y:$Y,0)</f>
        <v>0</v>
      </c>
      <c r="W619" s="12">
        <f t="shared" si="21"/>
        <v>2000000</v>
      </c>
      <c r="X619" s="8" t="s">
        <v>965</v>
      </c>
      <c r="Y619" s="8" t="s">
        <v>392</v>
      </c>
      <c r="Z619" s="8" t="s">
        <v>961</v>
      </c>
      <c r="AA619" s="8" t="s">
        <v>84</v>
      </c>
      <c r="AB619" s="8" t="s">
        <v>36</v>
      </c>
      <c r="AC619" s="8" t="s">
        <v>37</v>
      </c>
      <c r="AD619" s="8" t="s">
        <v>859</v>
      </c>
      <c r="AE619" s="8" t="s">
        <v>39</v>
      </c>
      <c r="AF619" s="8" t="s">
        <v>40</v>
      </c>
      <c r="AG619" s="9">
        <v>2500000</v>
      </c>
      <c r="AH619" s="11">
        <f>_xlfn.XLOOKUP(B619,[1]Sheet1!$B:$B,[1]Sheet1!$AB:$AB,0)</f>
        <v>2500000</v>
      </c>
    </row>
    <row r="620" spans="2:34" ht="16.8" thickTop="1" thickBot="1" x14ac:dyDescent="0.35">
      <c r="B620" s="3" t="str">
        <f t="shared" si="20"/>
        <v>45192004511000769Licenses Fees-N424131200104</v>
      </c>
      <c r="C620" s="6" t="s">
        <v>962</v>
      </c>
      <c r="D620" s="6" t="s">
        <v>1043</v>
      </c>
      <c r="E620" s="6" t="s">
        <v>1044</v>
      </c>
      <c r="F620" s="6" t="s">
        <v>365</v>
      </c>
      <c r="G620" s="4" t="s">
        <v>2835</v>
      </c>
      <c r="H620" s="4" t="s">
        <v>2922</v>
      </c>
      <c r="I620" s="6" t="s">
        <v>366</v>
      </c>
      <c r="J620" s="6" t="s">
        <v>31</v>
      </c>
      <c r="K620" s="12">
        <f>_xlfn.XLOOKUP(B620,[1]Sheet1!$B:$B,[1]Sheet1!$N:$N,0)</f>
        <v>0</v>
      </c>
      <c r="L620" s="12">
        <f>_xlfn.XLOOKUP(B620,[1]Sheet1!$B:$B,[1]Sheet1!$O:$O,0)</f>
        <v>0</v>
      </c>
      <c r="M620" s="12">
        <f>_xlfn.XLOOKUP(B620,[1]Sheet1!$B:$B,[1]Sheet1!$P:$P,0)</f>
        <v>0</v>
      </c>
      <c r="N620" s="12">
        <f>_xlfn.XLOOKUP(B620,[1]Sheet1!$B:$B,[1]Sheet1!$Q:$Q,0)</f>
        <v>0</v>
      </c>
      <c r="O620" s="12">
        <f>_xlfn.XLOOKUP(B620,[1]Sheet1!$B:$B,[1]Sheet1!$R:$R,0)</f>
        <v>0</v>
      </c>
      <c r="P620" s="12">
        <f>_xlfn.XLOOKUP(B620,[1]Sheet1!$B:$B,[1]Sheet1!$S:$S,0)</f>
        <v>0</v>
      </c>
      <c r="Q620" s="12">
        <f>_xlfn.XLOOKUP(B620,[1]Sheet1!$B:$B,[1]Sheet1!$T:$T,0)</f>
        <v>0</v>
      </c>
      <c r="R620" s="12">
        <f>_xlfn.XLOOKUP(B620,[1]Sheet1!$B:$B,[1]Sheet1!$U:$U,0)</f>
        <v>0</v>
      </c>
      <c r="S620" s="12">
        <f>_xlfn.XLOOKUP(B620,[1]Sheet1!$B:$B,[1]Sheet1!$V:$V,0)</f>
        <v>0</v>
      </c>
      <c r="T620" s="12">
        <f>_xlfn.XLOOKUP(B620,[1]Sheet1!$B:$B,[1]Sheet1!$W:$W,0)</f>
        <v>4981552</v>
      </c>
      <c r="U620" s="12">
        <f>_xlfn.XLOOKUP(B620,[1]Sheet1!$B:$B,[1]Sheet1!$X:$X,0)</f>
        <v>0</v>
      </c>
      <c r="V620" s="12">
        <f>_xlfn.XLOOKUP(B620,[1]Sheet1!$B:$B,[1]Sheet1!$Y:$Y,0)</f>
        <v>0</v>
      </c>
      <c r="W620" s="12">
        <f t="shared" si="21"/>
        <v>4981552</v>
      </c>
      <c r="X620" s="6" t="s">
        <v>966</v>
      </c>
      <c r="Y620" s="6" t="s">
        <v>392</v>
      </c>
      <c r="Z620" s="6" t="s">
        <v>961</v>
      </c>
      <c r="AA620" s="6" t="s">
        <v>366</v>
      </c>
      <c r="AB620" s="6" t="s">
        <v>36</v>
      </c>
      <c r="AC620" s="6" t="s">
        <v>37</v>
      </c>
      <c r="AD620" s="6" t="s">
        <v>859</v>
      </c>
      <c r="AE620" s="6" t="s">
        <v>39</v>
      </c>
      <c r="AF620" s="6" t="s">
        <v>40</v>
      </c>
      <c r="AG620" s="7">
        <v>4981552</v>
      </c>
      <c r="AH620" s="11">
        <f>_xlfn.XLOOKUP(B620,[1]Sheet1!$B:$B,[1]Sheet1!$AB:$AB,0)</f>
        <v>4981552</v>
      </c>
    </row>
    <row r="621" spans="2:34" ht="16.8" thickTop="1" thickBot="1" x14ac:dyDescent="0.35">
      <c r="B621" s="3" t="str">
        <f t="shared" si="20"/>
        <v>45191964511000769Media Coverage-N1422511200104</v>
      </c>
      <c r="C621" s="8" t="s">
        <v>843</v>
      </c>
      <c r="D621" s="8" t="s">
        <v>1043</v>
      </c>
      <c r="E621" s="8" t="s">
        <v>1044</v>
      </c>
      <c r="F621" s="8" t="s">
        <v>1047</v>
      </c>
      <c r="G621" s="4" t="s">
        <v>2819</v>
      </c>
      <c r="H621" s="4" t="s">
        <v>2922</v>
      </c>
      <c r="I621" s="8" t="s">
        <v>151</v>
      </c>
      <c r="J621" s="8" t="s">
        <v>31</v>
      </c>
      <c r="K621" s="12">
        <f>_xlfn.XLOOKUP(B621,[1]Sheet1!$B:$B,[1]Sheet1!$N:$N,0)</f>
        <v>0</v>
      </c>
      <c r="L621" s="12">
        <f>_xlfn.XLOOKUP(B621,[1]Sheet1!$B:$B,[1]Sheet1!$O:$O,0)</f>
        <v>0</v>
      </c>
      <c r="M621" s="12">
        <f>_xlfn.XLOOKUP(B621,[1]Sheet1!$B:$B,[1]Sheet1!$P:$P,0)</f>
        <v>0</v>
      </c>
      <c r="N621" s="12">
        <f>_xlfn.XLOOKUP(B621,[1]Sheet1!$B:$B,[1]Sheet1!$Q:$Q,0)</f>
        <v>0</v>
      </c>
      <c r="O621" s="12">
        <f>_xlfn.XLOOKUP(B621,[1]Sheet1!$B:$B,[1]Sheet1!$R:$R,0)</f>
        <v>0</v>
      </c>
      <c r="P621" s="12">
        <f>_xlfn.XLOOKUP(B621,[1]Sheet1!$B:$B,[1]Sheet1!$S:$S,0)</f>
        <v>0</v>
      </c>
      <c r="Q621" s="12">
        <f>_xlfn.XLOOKUP(B621,[1]Sheet1!$B:$B,[1]Sheet1!$T:$T,0)</f>
        <v>0</v>
      </c>
      <c r="R621" s="12">
        <f>_xlfn.XLOOKUP(B621,[1]Sheet1!$B:$B,[1]Sheet1!$U:$U,0)</f>
        <v>0</v>
      </c>
      <c r="S621" s="12">
        <f>_xlfn.XLOOKUP(B621,[1]Sheet1!$B:$B,[1]Sheet1!$V:$V,0)</f>
        <v>0</v>
      </c>
      <c r="T621" s="12">
        <f>_xlfn.XLOOKUP(B621,[1]Sheet1!$B:$B,[1]Sheet1!$W:$W,0)</f>
        <v>1250000</v>
      </c>
      <c r="U621" s="12">
        <f>_xlfn.XLOOKUP(B621,[1]Sheet1!$B:$B,[1]Sheet1!$X:$X,0)</f>
        <v>0</v>
      </c>
      <c r="V621" s="12">
        <f>_xlfn.XLOOKUP(B621,[1]Sheet1!$B:$B,[1]Sheet1!$Y:$Y,0)</f>
        <v>0</v>
      </c>
      <c r="W621" s="12">
        <f t="shared" si="21"/>
        <v>1250000</v>
      </c>
      <c r="X621" s="8" t="s">
        <v>1048</v>
      </c>
      <c r="Y621" s="8" t="s">
        <v>392</v>
      </c>
      <c r="Z621" s="8" t="s">
        <v>842</v>
      </c>
      <c r="AA621" s="8" t="s">
        <v>151</v>
      </c>
      <c r="AB621" s="8" t="s">
        <v>36</v>
      </c>
      <c r="AC621" s="8" t="s">
        <v>37</v>
      </c>
      <c r="AD621" s="8" t="s">
        <v>863</v>
      </c>
      <c r="AE621" s="8" t="s">
        <v>39</v>
      </c>
      <c r="AF621" s="8" t="s">
        <v>40</v>
      </c>
      <c r="AG621" s="9">
        <v>1250000</v>
      </c>
      <c r="AH621" s="11">
        <f>_xlfn.XLOOKUP(B621,[1]Sheet1!$B:$B,[1]Sheet1!$AB:$AB,0)</f>
        <v>1250000</v>
      </c>
    </row>
    <row r="622" spans="2:34" ht="16.8" thickTop="1" thickBot="1" x14ac:dyDescent="0.35">
      <c r="B622" s="3" t="str">
        <f t="shared" si="20"/>
        <v>45191964511000769Offline Ads-N1422511200104</v>
      </c>
      <c r="C622" s="6" t="s">
        <v>843</v>
      </c>
      <c r="D622" s="6" t="s">
        <v>1043</v>
      </c>
      <c r="E622" s="6" t="s">
        <v>1044</v>
      </c>
      <c r="F622" s="6" t="s">
        <v>1049</v>
      </c>
      <c r="G622" s="4" t="s">
        <v>2819</v>
      </c>
      <c r="H622" s="4" t="s">
        <v>2922</v>
      </c>
      <c r="I622" s="6" t="s">
        <v>151</v>
      </c>
      <c r="J622" s="6" t="s">
        <v>31</v>
      </c>
      <c r="K622" s="12">
        <f>_xlfn.XLOOKUP(B622,[1]Sheet1!$B:$B,[1]Sheet1!$N:$N,0)</f>
        <v>0</v>
      </c>
      <c r="L622" s="12">
        <f>_xlfn.XLOOKUP(B622,[1]Sheet1!$B:$B,[1]Sheet1!$O:$O,0)</f>
        <v>0</v>
      </c>
      <c r="M622" s="12">
        <f>_xlfn.XLOOKUP(B622,[1]Sheet1!$B:$B,[1]Sheet1!$P:$P,0)</f>
        <v>0</v>
      </c>
      <c r="N622" s="12">
        <f>_xlfn.XLOOKUP(B622,[1]Sheet1!$B:$B,[1]Sheet1!$Q:$Q,0)</f>
        <v>250000</v>
      </c>
      <c r="O622" s="12">
        <f>_xlfn.XLOOKUP(B622,[1]Sheet1!$B:$B,[1]Sheet1!$R:$R,0)</f>
        <v>250000</v>
      </c>
      <c r="P622" s="12">
        <f>_xlfn.XLOOKUP(B622,[1]Sheet1!$B:$B,[1]Sheet1!$S:$S,0)</f>
        <v>0</v>
      </c>
      <c r="Q622" s="12">
        <f>_xlfn.XLOOKUP(B622,[1]Sheet1!$B:$B,[1]Sheet1!$T:$T,0)</f>
        <v>0</v>
      </c>
      <c r="R622" s="12">
        <f>_xlfn.XLOOKUP(B622,[1]Sheet1!$B:$B,[1]Sheet1!$U:$U,0)</f>
        <v>0</v>
      </c>
      <c r="S622" s="12">
        <f>_xlfn.XLOOKUP(B622,[1]Sheet1!$B:$B,[1]Sheet1!$V:$V,0)</f>
        <v>0</v>
      </c>
      <c r="T622" s="12">
        <f>_xlfn.XLOOKUP(B622,[1]Sheet1!$B:$B,[1]Sheet1!$W:$W,0)</f>
        <v>0</v>
      </c>
      <c r="U622" s="12">
        <f>_xlfn.XLOOKUP(B622,[1]Sheet1!$B:$B,[1]Sheet1!$X:$X,0)</f>
        <v>0</v>
      </c>
      <c r="V622" s="12">
        <f>_xlfn.XLOOKUP(B622,[1]Sheet1!$B:$B,[1]Sheet1!$Y:$Y,0)</f>
        <v>0</v>
      </c>
      <c r="W622" s="12">
        <f t="shared" si="21"/>
        <v>500000</v>
      </c>
      <c r="X622" s="6" t="s">
        <v>1050</v>
      </c>
      <c r="Y622" s="6" t="s">
        <v>392</v>
      </c>
      <c r="Z622" s="6" t="s">
        <v>842</v>
      </c>
      <c r="AA622" s="6" t="s">
        <v>151</v>
      </c>
      <c r="AB622" s="6" t="s">
        <v>36</v>
      </c>
      <c r="AC622" s="6" t="s">
        <v>37</v>
      </c>
      <c r="AD622" s="6" t="s">
        <v>395</v>
      </c>
      <c r="AE622" s="6" t="s">
        <v>39</v>
      </c>
      <c r="AF622" s="6" t="s">
        <v>40</v>
      </c>
      <c r="AG622" s="7">
        <v>500000</v>
      </c>
      <c r="AH622" s="11">
        <f>_xlfn.XLOOKUP(B622,[1]Sheet1!$B:$B,[1]Sheet1!$AB:$AB,0)</f>
        <v>500000</v>
      </c>
    </row>
    <row r="623" spans="2:34" ht="16.8" thickTop="1" thickBot="1" x14ac:dyDescent="0.35">
      <c r="B623" s="3" t="str">
        <f t="shared" si="20"/>
        <v>45191964511000769PR&amp;MediaCoverage-N1424781200104</v>
      </c>
      <c r="C623" s="8" t="s">
        <v>843</v>
      </c>
      <c r="D623" s="8" t="s">
        <v>1043</v>
      </c>
      <c r="E623" s="8" t="s">
        <v>1044</v>
      </c>
      <c r="F623" s="8" t="s">
        <v>906</v>
      </c>
      <c r="G623" s="4" t="s">
        <v>2815</v>
      </c>
      <c r="H623" s="4" t="s">
        <v>2922</v>
      </c>
      <c r="I623" s="8" t="s">
        <v>100</v>
      </c>
      <c r="J623" s="8" t="s">
        <v>31</v>
      </c>
      <c r="K623" s="12">
        <f>_xlfn.XLOOKUP(B623,[1]Sheet1!$B:$B,[1]Sheet1!$N:$N,0)</f>
        <v>0</v>
      </c>
      <c r="L623" s="12">
        <f>_xlfn.XLOOKUP(B623,[1]Sheet1!$B:$B,[1]Sheet1!$O:$O,0)</f>
        <v>0</v>
      </c>
      <c r="M623" s="12">
        <f>_xlfn.XLOOKUP(B623,[1]Sheet1!$B:$B,[1]Sheet1!$P:$P,0)</f>
        <v>0</v>
      </c>
      <c r="N623" s="12">
        <f>_xlfn.XLOOKUP(B623,[1]Sheet1!$B:$B,[1]Sheet1!$Q:$Q,0)</f>
        <v>0</v>
      </c>
      <c r="O623" s="12">
        <f>_xlfn.XLOOKUP(B623,[1]Sheet1!$B:$B,[1]Sheet1!$R:$R,0)</f>
        <v>0</v>
      </c>
      <c r="P623" s="12">
        <f>_xlfn.XLOOKUP(B623,[1]Sheet1!$B:$B,[1]Sheet1!$S:$S,0)</f>
        <v>0</v>
      </c>
      <c r="Q623" s="12">
        <f>_xlfn.XLOOKUP(B623,[1]Sheet1!$B:$B,[1]Sheet1!$T:$T,0)</f>
        <v>0</v>
      </c>
      <c r="R623" s="12">
        <f>_xlfn.XLOOKUP(B623,[1]Sheet1!$B:$B,[1]Sheet1!$U:$U,0)</f>
        <v>0</v>
      </c>
      <c r="S623" s="12">
        <f>_xlfn.XLOOKUP(B623,[1]Sheet1!$B:$B,[1]Sheet1!$V:$V,0)</f>
        <v>600000</v>
      </c>
      <c r="T623" s="12">
        <f>_xlfn.XLOOKUP(B623,[1]Sheet1!$B:$B,[1]Sheet1!$W:$W,0)</f>
        <v>0</v>
      </c>
      <c r="U623" s="12">
        <f>_xlfn.XLOOKUP(B623,[1]Sheet1!$B:$B,[1]Sheet1!$X:$X,0)</f>
        <v>0</v>
      </c>
      <c r="V623" s="12">
        <f>_xlfn.XLOOKUP(B623,[1]Sheet1!$B:$B,[1]Sheet1!$Y:$Y,0)</f>
        <v>0</v>
      </c>
      <c r="W623" s="12">
        <f t="shared" si="21"/>
        <v>600000</v>
      </c>
      <c r="X623" s="8" t="s">
        <v>968</v>
      </c>
      <c r="Y623" s="8" t="s">
        <v>392</v>
      </c>
      <c r="Z623" s="8" t="s">
        <v>842</v>
      </c>
      <c r="AA623" s="8" t="s">
        <v>100</v>
      </c>
      <c r="AB623" s="8" t="s">
        <v>36</v>
      </c>
      <c r="AC623" s="8" t="s">
        <v>37</v>
      </c>
      <c r="AD623" s="8" t="s">
        <v>395</v>
      </c>
      <c r="AE623" s="8" t="s">
        <v>39</v>
      </c>
      <c r="AF623" s="8" t="s">
        <v>40</v>
      </c>
      <c r="AG623" s="9">
        <v>600000</v>
      </c>
      <c r="AH623" s="11">
        <f>_xlfn.XLOOKUP(B623,[1]Sheet1!$B:$B,[1]Sheet1!$AB:$AB,0)</f>
        <v>600000</v>
      </c>
    </row>
    <row r="624" spans="2:34" ht="16.8" thickTop="1" thickBot="1" x14ac:dyDescent="0.35">
      <c r="B624" s="3" t="str">
        <f t="shared" si="20"/>
        <v>45192004511000769Venue&amp;Room Rent-N2422401200104</v>
      </c>
      <c r="C624" s="6" t="s">
        <v>962</v>
      </c>
      <c r="D624" s="6" t="s">
        <v>1043</v>
      </c>
      <c r="E624" s="6" t="s">
        <v>1044</v>
      </c>
      <c r="F624" s="6" t="s">
        <v>1051</v>
      </c>
      <c r="G624" s="4" t="s">
        <v>2807</v>
      </c>
      <c r="H624" s="4" t="s">
        <v>2922</v>
      </c>
      <c r="I624" s="6" t="s">
        <v>63</v>
      </c>
      <c r="J624" s="6" t="s">
        <v>31</v>
      </c>
      <c r="K624" s="12">
        <f>_xlfn.XLOOKUP(B624,[1]Sheet1!$B:$B,[1]Sheet1!$N:$N,0)</f>
        <v>0</v>
      </c>
      <c r="L624" s="12">
        <f>_xlfn.XLOOKUP(B624,[1]Sheet1!$B:$B,[1]Sheet1!$O:$O,0)</f>
        <v>0</v>
      </c>
      <c r="M624" s="12">
        <f>_xlfn.XLOOKUP(B624,[1]Sheet1!$B:$B,[1]Sheet1!$P:$P,0)</f>
        <v>0</v>
      </c>
      <c r="N624" s="12">
        <f>_xlfn.XLOOKUP(B624,[1]Sheet1!$B:$B,[1]Sheet1!$Q:$Q,0)</f>
        <v>0</v>
      </c>
      <c r="O624" s="12">
        <f>_xlfn.XLOOKUP(B624,[1]Sheet1!$B:$B,[1]Sheet1!$R:$R,0)</f>
        <v>0</v>
      </c>
      <c r="P624" s="12">
        <f>_xlfn.XLOOKUP(B624,[1]Sheet1!$B:$B,[1]Sheet1!$S:$S,0)</f>
        <v>0</v>
      </c>
      <c r="Q624" s="12">
        <f>_xlfn.XLOOKUP(B624,[1]Sheet1!$B:$B,[1]Sheet1!$T:$T,0)</f>
        <v>0</v>
      </c>
      <c r="R624" s="12">
        <f>_xlfn.XLOOKUP(B624,[1]Sheet1!$B:$B,[1]Sheet1!$U:$U,0)</f>
        <v>9725309</v>
      </c>
      <c r="S624" s="12">
        <f>_xlfn.XLOOKUP(B624,[1]Sheet1!$B:$B,[1]Sheet1!$V:$V,0)</f>
        <v>0</v>
      </c>
      <c r="T624" s="12">
        <f>_xlfn.XLOOKUP(B624,[1]Sheet1!$B:$B,[1]Sheet1!$W:$W,0)</f>
        <v>0</v>
      </c>
      <c r="U624" s="12">
        <f>_xlfn.XLOOKUP(B624,[1]Sheet1!$B:$B,[1]Sheet1!$X:$X,0)</f>
        <v>0</v>
      </c>
      <c r="V624" s="12">
        <f>_xlfn.XLOOKUP(B624,[1]Sheet1!$B:$B,[1]Sheet1!$Y:$Y,0)</f>
        <v>0</v>
      </c>
      <c r="W624" s="12">
        <f t="shared" si="21"/>
        <v>9725309</v>
      </c>
      <c r="X624" s="6" t="s">
        <v>960</v>
      </c>
      <c r="Y624" s="6" t="s">
        <v>392</v>
      </c>
      <c r="Z624" s="6" t="s">
        <v>961</v>
      </c>
      <c r="AA624" s="6" t="s">
        <v>68</v>
      </c>
      <c r="AB624" s="6" t="s">
        <v>36</v>
      </c>
      <c r="AC624" s="6" t="s">
        <v>37</v>
      </c>
      <c r="AD624" s="6" t="s">
        <v>859</v>
      </c>
      <c r="AE624" s="6" t="s">
        <v>39</v>
      </c>
      <c r="AF624" s="6" t="s">
        <v>40</v>
      </c>
      <c r="AG624" s="7">
        <v>7067685</v>
      </c>
      <c r="AH624" s="11">
        <f>_xlfn.XLOOKUP(B624,[1]Sheet1!$B:$B,[1]Sheet1!$AB:$AB,0)</f>
        <v>7067685</v>
      </c>
    </row>
    <row r="625" spans="2:34" ht="16.8" thickTop="1" thickBot="1" x14ac:dyDescent="0.35">
      <c r="B625" s="3" t="str">
        <f t="shared" si="20"/>
        <v>45102504511000770Admin Expenses-N421125200104</v>
      </c>
      <c r="C625" s="8" t="s">
        <v>480</v>
      </c>
      <c r="D625" s="8" t="s">
        <v>1052</v>
      </c>
      <c r="E625" s="8" t="s">
        <v>1053</v>
      </c>
      <c r="F625" s="8" t="s">
        <v>130</v>
      </c>
      <c r="G625" s="4" t="s">
        <v>2803</v>
      </c>
      <c r="H625" s="4" t="s">
        <v>2922</v>
      </c>
      <c r="I625" s="8" t="s">
        <v>44</v>
      </c>
      <c r="J625" s="8" t="s">
        <v>31</v>
      </c>
      <c r="K625" s="12">
        <f>_xlfn.XLOOKUP(B625,[1]Sheet1!$B:$B,[1]Sheet1!$N:$N,0)</f>
        <v>0</v>
      </c>
      <c r="L625" s="12">
        <f>_xlfn.XLOOKUP(B625,[1]Sheet1!$B:$B,[1]Sheet1!$O:$O,0)</f>
        <v>0</v>
      </c>
      <c r="M625" s="12">
        <f>_xlfn.XLOOKUP(B625,[1]Sheet1!$B:$B,[1]Sheet1!$P:$P,0)</f>
        <v>67675.899999999994</v>
      </c>
      <c r="N625" s="12">
        <f>_xlfn.XLOOKUP(B625,[1]Sheet1!$B:$B,[1]Sheet1!$Q:$Q,0)</f>
        <v>134324.1</v>
      </c>
      <c r="O625" s="12">
        <f>_xlfn.XLOOKUP(B625,[1]Sheet1!$B:$B,[1]Sheet1!$R:$R,0)</f>
        <v>64000</v>
      </c>
      <c r="P625" s="12">
        <f>_xlfn.XLOOKUP(B625,[1]Sheet1!$B:$B,[1]Sheet1!$S:$S,0)</f>
        <v>0</v>
      </c>
      <c r="Q625" s="12">
        <f>_xlfn.XLOOKUP(B625,[1]Sheet1!$B:$B,[1]Sheet1!$T:$T,0)</f>
        <v>228000</v>
      </c>
      <c r="R625" s="12">
        <f>_xlfn.XLOOKUP(B625,[1]Sheet1!$B:$B,[1]Sheet1!$U:$U,0)</f>
        <v>0</v>
      </c>
      <c r="S625" s="12">
        <f>_xlfn.XLOOKUP(B625,[1]Sheet1!$B:$B,[1]Sheet1!$V:$V,0)</f>
        <v>78000</v>
      </c>
      <c r="T625" s="12">
        <f>_xlfn.XLOOKUP(B625,[1]Sheet1!$B:$B,[1]Sheet1!$W:$W,0)</f>
        <v>0</v>
      </c>
      <c r="U625" s="12">
        <f>_xlfn.XLOOKUP(B625,[1]Sheet1!$B:$B,[1]Sheet1!$X:$X,0)</f>
        <v>132857</v>
      </c>
      <c r="V625" s="12">
        <f>_xlfn.XLOOKUP(B625,[1]Sheet1!$B:$B,[1]Sheet1!$Y:$Y,0)</f>
        <v>0</v>
      </c>
      <c r="W625" s="12">
        <f t="shared" si="21"/>
        <v>704857</v>
      </c>
      <c r="X625" s="8" t="s">
        <v>1054</v>
      </c>
      <c r="Y625" s="8" t="s">
        <v>132</v>
      </c>
      <c r="Z625" s="8" t="s">
        <v>479</v>
      </c>
      <c r="AA625" s="8" t="s">
        <v>44</v>
      </c>
      <c r="AB625" s="8" t="s">
        <v>36</v>
      </c>
      <c r="AC625" s="8" t="s">
        <v>37</v>
      </c>
      <c r="AD625" s="8" t="s">
        <v>482</v>
      </c>
      <c r="AE625" s="8" t="s">
        <v>39</v>
      </c>
      <c r="AF625" s="8" t="s">
        <v>40</v>
      </c>
      <c r="AG625" s="9">
        <v>704857</v>
      </c>
      <c r="AH625" s="11">
        <f>_xlfn.XLOOKUP(B625,[1]Sheet1!$B:$B,[1]Sheet1!$AB:$AB,0)</f>
        <v>704857</v>
      </c>
    </row>
    <row r="626" spans="2:34" ht="16.8" thickTop="1" thickBot="1" x14ac:dyDescent="0.35">
      <c r="B626" s="3" t="str">
        <f t="shared" si="20"/>
        <v>45102504511000770Freelancers-N424521200104</v>
      </c>
      <c r="C626" s="6" t="s">
        <v>480</v>
      </c>
      <c r="D626" s="6" t="s">
        <v>1052</v>
      </c>
      <c r="E626" s="6" t="s">
        <v>1053</v>
      </c>
      <c r="F626" s="6" t="s">
        <v>50</v>
      </c>
      <c r="G626" s="4" t="s">
        <v>2804</v>
      </c>
      <c r="H626" s="4" t="s">
        <v>2922</v>
      </c>
      <c r="I626" s="6" t="s">
        <v>51</v>
      </c>
      <c r="J626" s="6" t="s">
        <v>31</v>
      </c>
      <c r="K626" s="12">
        <f>_xlfn.XLOOKUP(B626,[1]Sheet1!$B:$B,[1]Sheet1!$N:$N,0)</f>
        <v>0</v>
      </c>
      <c r="L626" s="12">
        <f>_xlfn.XLOOKUP(B626,[1]Sheet1!$B:$B,[1]Sheet1!$O:$O,0)</f>
        <v>0</v>
      </c>
      <c r="M626" s="12">
        <f>_xlfn.XLOOKUP(B626,[1]Sheet1!$B:$B,[1]Sheet1!$P:$P,0)</f>
        <v>135000</v>
      </c>
      <c r="N626" s="12">
        <f>_xlfn.XLOOKUP(B626,[1]Sheet1!$B:$B,[1]Sheet1!$Q:$Q,0)</f>
        <v>75000</v>
      </c>
      <c r="O626" s="12">
        <f>_xlfn.XLOOKUP(B626,[1]Sheet1!$B:$B,[1]Sheet1!$R:$R,0)</f>
        <v>60000</v>
      </c>
      <c r="P626" s="12">
        <f>_xlfn.XLOOKUP(B626,[1]Sheet1!$B:$B,[1]Sheet1!$S:$S,0)</f>
        <v>60000</v>
      </c>
      <c r="Q626" s="12">
        <f>_xlfn.XLOOKUP(B626,[1]Sheet1!$B:$B,[1]Sheet1!$T:$T,0)</f>
        <v>60000</v>
      </c>
      <c r="R626" s="12">
        <f>_xlfn.XLOOKUP(B626,[1]Sheet1!$B:$B,[1]Sheet1!$U:$U,0)</f>
        <v>60000</v>
      </c>
      <c r="S626" s="12">
        <f>_xlfn.XLOOKUP(B626,[1]Sheet1!$B:$B,[1]Sheet1!$V:$V,0)</f>
        <v>60000</v>
      </c>
      <c r="T626" s="12">
        <f>_xlfn.XLOOKUP(B626,[1]Sheet1!$B:$B,[1]Sheet1!$W:$W,0)</f>
        <v>60000</v>
      </c>
      <c r="U626" s="12">
        <f>_xlfn.XLOOKUP(B626,[1]Sheet1!$B:$B,[1]Sheet1!$X:$X,0)</f>
        <v>60000</v>
      </c>
      <c r="V626" s="12">
        <f>_xlfn.XLOOKUP(B626,[1]Sheet1!$B:$B,[1]Sheet1!$Y:$Y,0)</f>
        <v>75000</v>
      </c>
      <c r="W626" s="12">
        <f t="shared" si="21"/>
        <v>705000</v>
      </c>
      <c r="X626" s="6" t="s">
        <v>1014</v>
      </c>
      <c r="Y626" s="6" t="s">
        <v>132</v>
      </c>
      <c r="Z626" s="6" t="s">
        <v>479</v>
      </c>
      <c r="AA626" s="6" t="s">
        <v>53</v>
      </c>
      <c r="AB626" s="6" t="s">
        <v>36</v>
      </c>
      <c r="AC626" s="6" t="s">
        <v>37</v>
      </c>
      <c r="AD626" s="6" t="s">
        <v>482</v>
      </c>
      <c r="AE626" s="6" t="s">
        <v>39</v>
      </c>
      <c r="AF626" s="6" t="s">
        <v>40</v>
      </c>
      <c r="AG626" s="7">
        <v>2289194</v>
      </c>
      <c r="AH626" s="11">
        <f>_xlfn.XLOOKUP(B626,[1]Sheet1!$B:$B,[1]Sheet1!$AB:$AB,0)</f>
        <v>2289194</v>
      </c>
    </row>
    <row r="627" spans="2:34" ht="16.8" thickTop="1" thickBot="1" x14ac:dyDescent="0.35">
      <c r="B627" s="3" t="str">
        <f t="shared" si="20"/>
        <v>45102504511000770Mission &amp; Travel-N423821200104</v>
      </c>
      <c r="C627" s="8" t="s">
        <v>480</v>
      </c>
      <c r="D627" s="8" t="s">
        <v>1052</v>
      </c>
      <c r="E627" s="8" t="s">
        <v>1053</v>
      </c>
      <c r="F627" s="8" t="s">
        <v>54</v>
      </c>
      <c r="G627" s="4" t="s">
        <v>2805</v>
      </c>
      <c r="H627" s="4" t="s">
        <v>2922</v>
      </c>
      <c r="I627" s="8" t="s">
        <v>55</v>
      </c>
      <c r="J627" s="8" t="s">
        <v>31</v>
      </c>
      <c r="K627" s="12">
        <f>_xlfn.XLOOKUP(B627,[1]Sheet1!$B:$B,[1]Sheet1!$N:$N,0)</f>
        <v>0</v>
      </c>
      <c r="L627" s="12">
        <f>_xlfn.XLOOKUP(B627,[1]Sheet1!$B:$B,[1]Sheet1!$O:$O,0)</f>
        <v>0</v>
      </c>
      <c r="M627" s="12">
        <f>_xlfn.XLOOKUP(B627,[1]Sheet1!$B:$B,[1]Sheet1!$P:$P,0)</f>
        <v>0</v>
      </c>
      <c r="N627" s="12">
        <f>_xlfn.XLOOKUP(B627,[1]Sheet1!$B:$B,[1]Sheet1!$Q:$Q,0)</f>
        <v>45906.25</v>
      </c>
      <c r="O627" s="12">
        <f>_xlfn.XLOOKUP(B627,[1]Sheet1!$B:$B,[1]Sheet1!$R:$R,0)</f>
        <v>0</v>
      </c>
      <c r="P627" s="12">
        <f>_xlfn.XLOOKUP(B627,[1]Sheet1!$B:$B,[1]Sheet1!$S:$S,0)</f>
        <v>0</v>
      </c>
      <c r="Q627" s="12">
        <f>_xlfn.XLOOKUP(B627,[1]Sheet1!$B:$B,[1]Sheet1!$T:$T,0)</f>
        <v>45906.25</v>
      </c>
      <c r="R627" s="12">
        <f>_xlfn.XLOOKUP(B627,[1]Sheet1!$B:$B,[1]Sheet1!$U:$U,0)</f>
        <v>0</v>
      </c>
      <c r="S627" s="12">
        <f>_xlfn.XLOOKUP(B627,[1]Sheet1!$B:$B,[1]Sheet1!$V:$V,0)</f>
        <v>45906.25</v>
      </c>
      <c r="T627" s="12">
        <f>_xlfn.XLOOKUP(B627,[1]Sheet1!$B:$B,[1]Sheet1!$W:$W,0)</f>
        <v>0</v>
      </c>
      <c r="U627" s="12">
        <f>_xlfn.XLOOKUP(B627,[1]Sheet1!$B:$B,[1]Sheet1!$X:$X,0)</f>
        <v>49781.25</v>
      </c>
      <c r="V627" s="12">
        <f>_xlfn.XLOOKUP(B627,[1]Sheet1!$B:$B,[1]Sheet1!$Y:$Y,0)</f>
        <v>0</v>
      </c>
      <c r="W627" s="12">
        <f t="shared" si="21"/>
        <v>187500</v>
      </c>
      <c r="X627" s="8" t="s">
        <v>1055</v>
      </c>
      <c r="Y627" s="8" t="s">
        <v>132</v>
      </c>
      <c r="Z627" s="8" t="s">
        <v>479</v>
      </c>
      <c r="AA627" s="8" t="s">
        <v>55</v>
      </c>
      <c r="AB627" s="8" t="s">
        <v>36</v>
      </c>
      <c r="AC627" s="8" t="s">
        <v>37</v>
      </c>
      <c r="AD627" s="8" t="s">
        <v>482</v>
      </c>
      <c r="AE627" s="8" t="s">
        <v>39</v>
      </c>
      <c r="AF627" s="8" t="s">
        <v>40</v>
      </c>
      <c r="AG627" s="9">
        <v>187500</v>
      </c>
      <c r="AH627" s="11">
        <f>_xlfn.XLOOKUP(B627,[1]Sheet1!$B:$B,[1]Sheet1!$AB:$AB,0)</f>
        <v>187500</v>
      </c>
    </row>
    <row r="628" spans="2:34" ht="16.8" thickTop="1" thickBot="1" x14ac:dyDescent="0.35">
      <c r="B628" s="3" t="str">
        <f t="shared" si="20"/>
        <v>45102504511000770TechnologyAdvice-N424521200104</v>
      </c>
      <c r="C628" s="6" t="s">
        <v>480</v>
      </c>
      <c r="D628" s="6" t="s">
        <v>1052</v>
      </c>
      <c r="E628" s="6" t="s">
        <v>1053</v>
      </c>
      <c r="F628" s="6" t="s">
        <v>1056</v>
      </c>
      <c r="G628" s="4" t="s">
        <v>2804</v>
      </c>
      <c r="H628" s="4" t="s">
        <v>2922</v>
      </c>
      <c r="I628" s="6" t="s">
        <v>51</v>
      </c>
      <c r="J628" s="6" t="s">
        <v>31</v>
      </c>
      <c r="K628" s="12">
        <f>_xlfn.XLOOKUP(B628,[1]Sheet1!$B:$B,[1]Sheet1!$N:$N,0)</f>
        <v>0</v>
      </c>
      <c r="L628" s="12">
        <f>_xlfn.XLOOKUP(B628,[1]Sheet1!$B:$B,[1]Sheet1!$O:$O,0)</f>
        <v>0</v>
      </c>
      <c r="M628" s="12">
        <f>_xlfn.XLOOKUP(B628,[1]Sheet1!$B:$B,[1]Sheet1!$P:$P,0)</f>
        <v>0</v>
      </c>
      <c r="N628" s="12">
        <f>_xlfn.XLOOKUP(B628,[1]Sheet1!$B:$B,[1]Sheet1!$Q:$Q,0)</f>
        <v>0</v>
      </c>
      <c r="O628" s="12">
        <f>_xlfn.XLOOKUP(B628,[1]Sheet1!$B:$B,[1]Sheet1!$R:$R,0)</f>
        <v>0</v>
      </c>
      <c r="P628" s="12">
        <f>_xlfn.XLOOKUP(B628,[1]Sheet1!$B:$B,[1]Sheet1!$S:$S,0)</f>
        <v>0</v>
      </c>
      <c r="Q628" s="12">
        <f>_xlfn.XLOOKUP(B628,[1]Sheet1!$B:$B,[1]Sheet1!$T:$T,0)</f>
        <v>1913524.2</v>
      </c>
      <c r="R628" s="12">
        <f>_xlfn.XLOOKUP(B628,[1]Sheet1!$B:$B,[1]Sheet1!$U:$U,0)</f>
        <v>0</v>
      </c>
      <c r="S628" s="12">
        <f>_xlfn.XLOOKUP(B628,[1]Sheet1!$B:$B,[1]Sheet1!$V:$V,0)</f>
        <v>1913524.2</v>
      </c>
      <c r="T628" s="12">
        <f>_xlfn.XLOOKUP(B628,[1]Sheet1!$B:$B,[1]Sheet1!$W:$W,0)</f>
        <v>0</v>
      </c>
      <c r="U628" s="12">
        <f>_xlfn.XLOOKUP(B628,[1]Sheet1!$B:$B,[1]Sheet1!$X:$X,0)</f>
        <v>2551365.6</v>
      </c>
      <c r="V628" s="12">
        <f>_xlfn.XLOOKUP(B628,[1]Sheet1!$B:$B,[1]Sheet1!$Y:$Y,0)</f>
        <v>0</v>
      </c>
      <c r="W628" s="12">
        <f t="shared" si="21"/>
        <v>6378414</v>
      </c>
      <c r="X628" s="6" t="s">
        <v>1014</v>
      </c>
      <c r="Y628" s="6" t="s">
        <v>132</v>
      </c>
      <c r="Z628" s="6" t="s">
        <v>479</v>
      </c>
      <c r="AA628" s="6" t="s">
        <v>53</v>
      </c>
      <c r="AB628" s="6" t="s">
        <v>36</v>
      </c>
      <c r="AC628" s="6" t="s">
        <v>37</v>
      </c>
      <c r="AD628" s="6" t="s">
        <v>482</v>
      </c>
      <c r="AE628" s="6" t="s">
        <v>39</v>
      </c>
      <c r="AF628" s="6" t="s">
        <v>40</v>
      </c>
      <c r="AG628" s="7">
        <v>6378414</v>
      </c>
      <c r="AH628" s="11">
        <f>_xlfn.XLOOKUP(B628,[1]Sheet1!$B:$B,[1]Sheet1!$AB:$AB,0)</f>
        <v>6378414</v>
      </c>
    </row>
    <row r="629" spans="2:34" ht="16.8" thickTop="1" thickBot="1" x14ac:dyDescent="0.35">
      <c r="B629" s="3" t="str">
        <f t="shared" si="20"/>
        <v>45102304511000773Ad-hoc Repairs-N426427200104</v>
      </c>
      <c r="C629" s="8" t="s">
        <v>467</v>
      </c>
      <c r="D629" s="8" t="s">
        <v>1057</v>
      </c>
      <c r="E629" s="8" t="s">
        <v>1058</v>
      </c>
      <c r="F629" s="8" t="s">
        <v>70</v>
      </c>
      <c r="G629" s="4" t="s">
        <v>2808</v>
      </c>
      <c r="H629" s="4" t="s">
        <v>2922</v>
      </c>
      <c r="I629" s="8" t="s">
        <v>71</v>
      </c>
      <c r="J629" s="8" t="s">
        <v>31</v>
      </c>
      <c r="K629" s="12">
        <f>_xlfn.XLOOKUP(B629,[1]Sheet1!$B:$B,[1]Sheet1!$N:$N,0)</f>
        <v>0</v>
      </c>
      <c r="L629" s="12">
        <f>_xlfn.XLOOKUP(B629,[1]Sheet1!$B:$B,[1]Sheet1!$O:$O,0)</f>
        <v>0</v>
      </c>
      <c r="M629" s="12">
        <f>_xlfn.XLOOKUP(B629,[1]Sheet1!$B:$B,[1]Sheet1!$P:$P,0)</f>
        <v>0</v>
      </c>
      <c r="N629" s="12">
        <f>_xlfn.XLOOKUP(B629,[1]Sheet1!$B:$B,[1]Sheet1!$Q:$Q,0)</f>
        <v>0</v>
      </c>
      <c r="O629" s="12">
        <f>_xlfn.XLOOKUP(B629,[1]Sheet1!$B:$B,[1]Sheet1!$R:$R,0)</f>
        <v>0</v>
      </c>
      <c r="P629" s="12">
        <f>_xlfn.XLOOKUP(B629,[1]Sheet1!$B:$B,[1]Sheet1!$S:$S,0)</f>
        <v>0</v>
      </c>
      <c r="Q629" s="12">
        <f>_xlfn.XLOOKUP(B629,[1]Sheet1!$B:$B,[1]Sheet1!$T:$T,0)</f>
        <v>0</v>
      </c>
      <c r="R629" s="12">
        <f>_xlfn.XLOOKUP(B629,[1]Sheet1!$B:$B,[1]Sheet1!$U:$U,0)</f>
        <v>0</v>
      </c>
      <c r="S629" s="12">
        <f>_xlfn.XLOOKUP(B629,[1]Sheet1!$B:$B,[1]Sheet1!$V:$V,0)</f>
        <v>0</v>
      </c>
      <c r="T629" s="12">
        <f>_xlfn.XLOOKUP(B629,[1]Sheet1!$B:$B,[1]Sheet1!$W:$W,0)</f>
        <v>0</v>
      </c>
      <c r="U629" s="12">
        <f>_xlfn.XLOOKUP(B629,[1]Sheet1!$B:$B,[1]Sheet1!$X:$X,0)</f>
        <v>62230</v>
      </c>
      <c r="V629" s="12">
        <f>_xlfn.XLOOKUP(B629,[1]Sheet1!$B:$B,[1]Sheet1!$Y:$Y,0)</f>
        <v>0</v>
      </c>
      <c r="W629" s="12">
        <f t="shared" si="21"/>
        <v>62230</v>
      </c>
      <c r="X629" s="8" t="s">
        <v>622</v>
      </c>
      <c r="Y629" s="8" t="s">
        <v>132</v>
      </c>
      <c r="Z629" s="8" t="s">
        <v>466</v>
      </c>
      <c r="AA629" s="8" t="s">
        <v>71</v>
      </c>
      <c r="AB629" s="8" t="s">
        <v>36</v>
      </c>
      <c r="AC629" s="8" t="s">
        <v>37</v>
      </c>
      <c r="AD629" s="8" t="s">
        <v>468</v>
      </c>
      <c r="AE629" s="8" t="s">
        <v>39</v>
      </c>
      <c r="AF629" s="8" t="s">
        <v>40</v>
      </c>
      <c r="AG629" s="9">
        <v>62230</v>
      </c>
      <c r="AH629" s="11">
        <f>_xlfn.XLOOKUP(B629,[1]Sheet1!$B:$B,[1]Sheet1!$AB:$AB,0)</f>
        <v>62230</v>
      </c>
    </row>
    <row r="630" spans="2:34" ht="16.8" thickTop="1" thickBot="1" x14ac:dyDescent="0.35">
      <c r="B630" s="3" t="str">
        <f t="shared" si="20"/>
        <v>45102304511000773Cleaning Service-N1422311200104</v>
      </c>
      <c r="C630" s="6" t="s">
        <v>467</v>
      </c>
      <c r="D630" s="6" t="s">
        <v>1057</v>
      </c>
      <c r="E630" s="6" t="s">
        <v>1058</v>
      </c>
      <c r="F630" s="6" t="s">
        <v>623</v>
      </c>
      <c r="G630" s="4" t="s">
        <v>2810</v>
      </c>
      <c r="H630" s="4" t="s">
        <v>2922</v>
      </c>
      <c r="I630" s="6" t="s">
        <v>80</v>
      </c>
      <c r="J630" s="6" t="s">
        <v>31</v>
      </c>
      <c r="K630" s="12">
        <f>_xlfn.XLOOKUP(B630,[1]Sheet1!$B:$B,[1]Sheet1!$N:$N,0)</f>
        <v>0</v>
      </c>
      <c r="L630" s="12">
        <f>_xlfn.XLOOKUP(B630,[1]Sheet1!$B:$B,[1]Sheet1!$O:$O,0)</f>
        <v>0</v>
      </c>
      <c r="M630" s="12">
        <f>_xlfn.XLOOKUP(B630,[1]Sheet1!$B:$B,[1]Sheet1!$P:$P,0)</f>
        <v>0</v>
      </c>
      <c r="N630" s="12">
        <f>_xlfn.XLOOKUP(B630,[1]Sheet1!$B:$B,[1]Sheet1!$Q:$Q,0)</f>
        <v>12400</v>
      </c>
      <c r="O630" s="12">
        <f>_xlfn.XLOOKUP(B630,[1]Sheet1!$B:$B,[1]Sheet1!$R:$R,0)</f>
        <v>3100</v>
      </c>
      <c r="P630" s="12">
        <f>_xlfn.XLOOKUP(B630,[1]Sheet1!$B:$B,[1]Sheet1!$S:$S,0)</f>
        <v>3100</v>
      </c>
      <c r="Q630" s="12">
        <f>_xlfn.XLOOKUP(B630,[1]Sheet1!$B:$B,[1]Sheet1!$T:$T,0)</f>
        <v>3100</v>
      </c>
      <c r="R630" s="12">
        <f>_xlfn.XLOOKUP(B630,[1]Sheet1!$B:$B,[1]Sheet1!$U:$U,0)</f>
        <v>3100</v>
      </c>
      <c r="S630" s="12">
        <f>_xlfn.XLOOKUP(B630,[1]Sheet1!$B:$B,[1]Sheet1!$V:$V,0)</f>
        <v>3100</v>
      </c>
      <c r="T630" s="12">
        <f>_xlfn.XLOOKUP(B630,[1]Sheet1!$B:$B,[1]Sheet1!$W:$W,0)</f>
        <v>3100</v>
      </c>
      <c r="U630" s="12">
        <f>_xlfn.XLOOKUP(B630,[1]Sheet1!$B:$B,[1]Sheet1!$X:$X,0)</f>
        <v>3100</v>
      </c>
      <c r="V630" s="12">
        <f>_xlfn.XLOOKUP(B630,[1]Sheet1!$B:$B,[1]Sheet1!$Y:$Y,0)</f>
        <v>3100</v>
      </c>
      <c r="W630" s="12">
        <f t="shared" si="21"/>
        <v>37200</v>
      </c>
      <c r="X630" s="6" t="s">
        <v>624</v>
      </c>
      <c r="Y630" s="6" t="s">
        <v>132</v>
      </c>
      <c r="Z630" s="6" t="s">
        <v>466</v>
      </c>
      <c r="AA630" s="6" t="s">
        <v>80</v>
      </c>
      <c r="AB630" s="6" t="s">
        <v>36</v>
      </c>
      <c r="AC630" s="6" t="s">
        <v>37</v>
      </c>
      <c r="AD630" s="6" t="s">
        <v>468</v>
      </c>
      <c r="AE630" s="6" t="s">
        <v>39</v>
      </c>
      <c r="AF630" s="6" t="s">
        <v>40</v>
      </c>
      <c r="AG630" s="7">
        <v>37200</v>
      </c>
      <c r="AH630" s="11">
        <f>_xlfn.XLOOKUP(B630,[1]Sheet1!$B:$B,[1]Sheet1!$AB:$AB,0)</f>
        <v>37200</v>
      </c>
    </row>
    <row r="631" spans="2:34" ht="16.8" thickTop="1" thickBot="1" x14ac:dyDescent="0.35">
      <c r="B631" s="3" t="str">
        <f t="shared" si="20"/>
        <v>45102304511000773Interior Fit Out-NC1491711300105</v>
      </c>
      <c r="C631" s="8" t="s">
        <v>467</v>
      </c>
      <c r="D631" s="8" t="s">
        <v>1057</v>
      </c>
      <c r="E631" s="8" t="s">
        <v>1058</v>
      </c>
      <c r="F631" s="8" t="s">
        <v>638</v>
      </c>
      <c r="G631" s="4" t="s">
        <v>2854</v>
      </c>
      <c r="H631" s="4" t="s">
        <v>2923</v>
      </c>
      <c r="I631" s="8" t="s">
        <v>639</v>
      </c>
      <c r="J631" s="8" t="s">
        <v>31</v>
      </c>
      <c r="K631" s="12">
        <f>_xlfn.XLOOKUP(B631,[1]Sheet1!$B:$B,[1]Sheet1!$N:$N,0)</f>
        <v>0</v>
      </c>
      <c r="L631" s="12">
        <f>_xlfn.XLOOKUP(B631,[1]Sheet1!$B:$B,[1]Sheet1!$O:$O,0)</f>
        <v>0</v>
      </c>
      <c r="M631" s="12">
        <f>_xlfn.XLOOKUP(B631,[1]Sheet1!$B:$B,[1]Sheet1!$P:$P,0)</f>
        <v>0</v>
      </c>
      <c r="N631" s="12">
        <f>_xlfn.XLOOKUP(B631,[1]Sheet1!$B:$B,[1]Sheet1!$Q:$Q,0)</f>
        <v>25000</v>
      </c>
      <c r="O631" s="12">
        <f>_xlfn.XLOOKUP(B631,[1]Sheet1!$B:$B,[1]Sheet1!$R:$R,0)</f>
        <v>0</v>
      </c>
      <c r="P631" s="12">
        <f>_xlfn.XLOOKUP(B631,[1]Sheet1!$B:$B,[1]Sheet1!$S:$S,0)</f>
        <v>22500</v>
      </c>
      <c r="Q631" s="12">
        <f>_xlfn.XLOOKUP(B631,[1]Sheet1!$B:$B,[1]Sheet1!$T:$T,0)</f>
        <v>0</v>
      </c>
      <c r="R631" s="12">
        <f>_xlfn.XLOOKUP(B631,[1]Sheet1!$B:$B,[1]Sheet1!$U:$U,0)</f>
        <v>0</v>
      </c>
      <c r="S631" s="12">
        <f>_xlfn.XLOOKUP(B631,[1]Sheet1!$B:$B,[1]Sheet1!$V:$V,0)</f>
        <v>0</v>
      </c>
      <c r="T631" s="12">
        <f>_xlfn.XLOOKUP(B631,[1]Sheet1!$B:$B,[1]Sheet1!$W:$W,0)</f>
        <v>0</v>
      </c>
      <c r="U631" s="12">
        <f>_xlfn.XLOOKUP(B631,[1]Sheet1!$B:$B,[1]Sheet1!$X:$X,0)</f>
        <v>0</v>
      </c>
      <c r="V631" s="12">
        <f>_xlfn.XLOOKUP(B631,[1]Sheet1!$B:$B,[1]Sheet1!$Y:$Y,0)</f>
        <v>0</v>
      </c>
      <c r="W631" s="12">
        <f t="shared" si="21"/>
        <v>47500</v>
      </c>
      <c r="X631" s="8" t="s">
        <v>640</v>
      </c>
      <c r="Y631" s="8" t="s">
        <v>132</v>
      </c>
      <c r="Z631" s="8" t="s">
        <v>466</v>
      </c>
      <c r="AA631" s="8" t="s">
        <v>639</v>
      </c>
      <c r="AB631" s="8" t="s">
        <v>93</v>
      </c>
      <c r="AC631" s="8" t="s">
        <v>94</v>
      </c>
      <c r="AD631" s="8" t="s">
        <v>468</v>
      </c>
      <c r="AE631" s="8" t="s">
        <v>39</v>
      </c>
      <c r="AF631" s="8" t="s">
        <v>40</v>
      </c>
      <c r="AG631" s="9">
        <v>47500</v>
      </c>
      <c r="AH631" s="11">
        <f>_xlfn.XLOOKUP(B631,[1]Sheet1!$B:$B,[1]Sheet1!$AB:$AB,0)</f>
        <v>47500</v>
      </c>
    </row>
    <row r="632" spans="2:34" ht="16.8" thickTop="1" thickBot="1" x14ac:dyDescent="0.35">
      <c r="B632" s="3" t="str">
        <f t="shared" si="20"/>
        <v>45102304511000773Maintenance-N1426212200104</v>
      </c>
      <c r="C632" s="6" t="s">
        <v>467</v>
      </c>
      <c r="D632" s="6" t="s">
        <v>1057</v>
      </c>
      <c r="E632" s="6" t="s">
        <v>1058</v>
      </c>
      <c r="F632" s="6" t="s">
        <v>625</v>
      </c>
      <c r="G632" s="4" t="s">
        <v>2814</v>
      </c>
      <c r="H632" s="4" t="s">
        <v>2922</v>
      </c>
      <c r="I632" s="6" t="s">
        <v>96</v>
      </c>
      <c r="J632" s="6" t="s">
        <v>31</v>
      </c>
      <c r="K632" s="12">
        <f>_xlfn.XLOOKUP(B632,[1]Sheet1!$B:$B,[1]Sheet1!$N:$N,0)</f>
        <v>0</v>
      </c>
      <c r="L632" s="12">
        <f>_xlfn.XLOOKUP(B632,[1]Sheet1!$B:$B,[1]Sheet1!$O:$O,0)</f>
        <v>0</v>
      </c>
      <c r="M632" s="12">
        <f>_xlfn.XLOOKUP(B632,[1]Sheet1!$B:$B,[1]Sheet1!$P:$P,0)</f>
        <v>0</v>
      </c>
      <c r="N632" s="12">
        <f>_xlfn.XLOOKUP(B632,[1]Sheet1!$B:$B,[1]Sheet1!$Q:$Q,0)</f>
        <v>7600</v>
      </c>
      <c r="O632" s="12">
        <f>_xlfn.XLOOKUP(B632,[1]Sheet1!$B:$B,[1]Sheet1!$R:$R,0)</f>
        <v>1900</v>
      </c>
      <c r="P632" s="12">
        <f>_xlfn.XLOOKUP(B632,[1]Sheet1!$B:$B,[1]Sheet1!$S:$S,0)</f>
        <v>1900</v>
      </c>
      <c r="Q632" s="12">
        <f>_xlfn.XLOOKUP(B632,[1]Sheet1!$B:$B,[1]Sheet1!$T:$T,0)</f>
        <v>1900</v>
      </c>
      <c r="R632" s="12">
        <f>_xlfn.XLOOKUP(B632,[1]Sheet1!$B:$B,[1]Sheet1!$U:$U,0)</f>
        <v>1900</v>
      </c>
      <c r="S632" s="12">
        <f>_xlfn.XLOOKUP(B632,[1]Sheet1!$B:$B,[1]Sheet1!$V:$V,0)</f>
        <v>1900</v>
      </c>
      <c r="T632" s="12">
        <f>_xlfn.XLOOKUP(B632,[1]Sheet1!$B:$B,[1]Sheet1!$W:$W,0)</f>
        <v>1900</v>
      </c>
      <c r="U632" s="12">
        <f>_xlfn.XLOOKUP(B632,[1]Sheet1!$B:$B,[1]Sheet1!$X:$X,0)</f>
        <v>1900</v>
      </c>
      <c r="V632" s="12">
        <f>_xlfn.XLOOKUP(B632,[1]Sheet1!$B:$B,[1]Sheet1!$Y:$Y,0)</f>
        <v>1900</v>
      </c>
      <c r="W632" s="12">
        <f t="shared" si="21"/>
        <v>22800</v>
      </c>
      <c r="X632" s="6" t="s">
        <v>626</v>
      </c>
      <c r="Y632" s="6" t="s">
        <v>132</v>
      </c>
      <c r="Z632" s="6" t="s">
        <v>466</v>
      </c>
      <c r="AA632" s="6" t="s">
        <v>96</v>
      </c>
      <c r="AB632" s="6" t="s">
        <v>36</v>
      </c>
      <c r="AC632" s="6" t="s">
        <v>37</v>
      </c>
      <c r="AD632" s="6" t="s">
        <v>468</v>
      </c>
      <c r="AE632" s="6" t="s">
        <v>39</v>
      </c>
      <c r="AF632" s="6" t="s">
        <v>40</v>
      </c>
      <c r="AG632" s="7">
        <v>22800</v>
      </c>
      <c r="AH632" s="11">
        <f>_xlfn.XLOOKUP(B632,[1]Sheet1!$B:$B,[1]Sheet1!$AB:$AB,0)</f>
        <v>22800</v>
      </c>
    </row>
    <row r="633" spans="2:34" ht="16.8" thickTop="1" thickBot="1" x14ac:dyDescent="0.35">
      <c r="B633" s="3" t="str">
        <f t="shared" si="20"/>
        <v>45102304511000773Security Service-N1424551200104</v>
      </c>
      <c r="C633" s="8" t="s">
        <v>467</v>
      </c>
      <c r="D633" s="8" t="s">
        <v>1057</v>
      </c>
      <c r="E633" s="8" t="s">
        <v>1058</v>
      </c>
      <c r="F633" s="8" t="s">
        <v>627</v>
      </c>
      <c r="G633" s="4" t="s">
        <v>2817</v>
      </c>
      <c r="H633" s="4" t="s">
        <v>2922</v>
      </c>
      <c r="I633" s="8" t="s">
        <v>108</v>
      </c>
      <c r="J633" s="8" t="s">
        <v>31</v>
      </c>
      <c r="K633" s="12">
        <f>_xlfn.XLOOKUP(B633,[1]Sheet1!$B:$B,[1]Sheet1!$N:$N,0)</f>
        <v>0</v>
      </c>
      <c r="L633" s="12">
        <f>_xlfn.XLOOKUP(B633,[1]Sheet1!$B:$B,[1]Sheet1!$O:$O,0)</f>
        <v>0</v>
      </c>
      <c r="M633" s="12">
        <f>_xlfn.XLOOKUP(B633,[1]Sheet1!$B:$B,[1]Sheet1!$P:$P,0)</f>
        <v>0</v>
      </c>
      <c r="N633" s="12">
        <f>_xlfn.XLOOKUP(B633,[1]Sheet1!$B:$B,[1]Sheet1!$Q:$Q,0)</f>
        <v>36048</v>
      </c>
      <c r="O633" s="12">
        <f>_xlfn.XLOOKUP(B633,[1]Sheet1!$B:$B,[1]Sheet1!$R:$R,0)</f>
        <v>9012</v>
      </c>
      <c r="P633" s="12">
        <f>_xlfn.XLOOKUP(B633,[1]Sheet1!$B:$B,[1]Sheet1!$S:$S,0)</f>
        <v>9012</v>
      </c>
      <c r="Q633" s="12">
        <f>_xlfn.XLOOKUP(B633,[1]Sheet1!$B:$B,[1]Sheet1!$T:$T,0)</f>
        <v>9012</v>
      </c>
      <c r="R633" s="12">
        <f>_xlfn.XLOOKUP(B633,[1]Sheet1!$B:$B,[1]Sheet1!$U:$U,0)</f>
        <v>9012</v>
      </c>
      <c r="S633" s="12">
        <f>_xlfn.XLOOKUP(B633,[1]Sheet1!$B:$B,[1]Sheet1!$V:$V,0)</f>
        <v>9012</v>
      </c>
      <c r="T633" s="12">
        <f>_xlfn.XLOOKUP(B633,[1]Sheet1!$B:$B,[1]Sheet1!$W:$W,0)</f>
        <v>9012</v>
      </c>
      <c r="U633" s="12">
        <f>_xlfn.XLOOKUP(B633,[1]Sheet1!$B:$B,[1]Sheet1!$X:$X,0)</f>
        <v>9012</v>
      </c>
      <c r="V633" s="12">
        <f>_xlfn.XLOOKUP(B633,[1]Sheet1!$B:$B,[1]Sheet1!$Y:$Y,0)</f>
        <v>9012</v>
      </c>
      <c r="W633" s="12">
        <f t="shared" si="21"/>
        <v>108144</v>
      </c>
      <c r="X633" s="8" t="s">
        <v>628</v>
      </c>
      <c r="Y633" s="8" t="s">
        <v>132</v>
      </c>
      <c r="Z633" s="8" t="s">
        <v>466</v>
      </c>
      <c r="AA633" s="8" t="s">
        <v>108</v>
      </c>
      <c r="AB633" s="8" t="s">
        <v>36</v>
      </c>
      <c r="AC633" s="8" t="s">
        <v>37</v>
      </c>
      <c r="AD633" s="8" t="s">
        <v>468</v>
      </c>
      <c r="AE633" s="8" t="s">
        <v>39</v>
      </c>
      <c r="AF633" s="8" t="s">
        <v>40</v>
      </c>
      <c r="AG633" s="9">
        <v>108144</v>
      </c>
      <c r="AH633" s="11">
        <f>_xlfn.XLOOKUP(B633,[1]Sheet1!$B:$B,[1]Sheet1!$AB:$AB,0)</f>
        <v>108144</v>
      </c>
    </row>
    <row r="634" spans="2:34" ht="16.8" thickTop="1" thickBot="1" x14ac:dyDescent="0.35">
      <c r="B634" s="3" t="str">
        <f t="shared" si="20"/>
        <v>45102204511000779Event Management-N422401200104</v>
      </c>
      <c r="C634" s="6" t="s">
        <v>134</v>
      </c>
      <c r="D634" s="6" t="s">
        <v>1059</v>
      </c>
      <c r="E634" s="6" t="s">
        <v>1060</v>
      </c>
      <c r="F634" s="6" t="s">
        <v>162</v>
      </c>
      <c r="G634" s="4" t="s">
        <v>2807</v>
      </c>
      <c r="H634" s="4" t="s">
        <v>2922</v>
      </c>
      <c r="I634" s="6" t="s">
        <v>63</v>
      </c>
      <c r="J634" s="6" t="s">
        <v>31</v>
      </c>
      <c r="K634" s="12">
        <f>_xlfn.XLOOKUP(B634,[1]Sheet1!$B:$B,[1]Sheet1!$N:$N,0)</f>
        <v>0</v>
      </c>
      <c r="L634" s="12">
        <f>_xlfn.XLOOKUP(B634,[1]Sheet1!$B:$B,[1]Sheet1!$O:$O,0)</f>
        <v>0</v>
      </c>
      <c r="M634" s="12">
        <f>_xlfn.XLOOKUP(B634,[1]Sheet1!$B:$B,[1]Sheet1!$P:$P,0)</f>
        <v>73075</v>
      </c>
      <c r="N634" s="12">
        <f>_xlfn.XLOOKUP(B634,[1]Sheet1!$B:$B,[1]Sheet1!$Q:$Q,0)</f>
        <v>54375</v>
      </c>
      <c r="O634" s="12">
        <f>_xlfn.XLOOKUP(B634,[1]Sheet1!$B:$B,[1]Sheet1!$R:$R,0)</f>
        <v>204500</v>
      </c>
      <c r="P634" s="12">
        <f>_xlfn.XLOOKUP(B634,[1]Sheet1!$B:$B,[1]Sheet1!$S:$S,0)</f>
        <v>0</v>
      </c>
      <c r="Q634" s="12">
        <f>_xlfn.XLOOKUP(B634,[1]Sheet1!$B:$B,[1]Sheet1!$T:$T,0)</f>
        <v>123000</v>
      </c>
      <c r="R634" s="12">
        <f>_xlfn.XLOOKUP(B634,[1]Sheet1!$B:$B,[1]Sheet1!$U:$U,0)</f>
        <v>0</v>
      </c>
      <c r="S634" s="12">
        <f>_xlfn.XLOOKUP(B634,[1]Sheet1!$B:$B,[1]Sheet1!$V:$V,0)</f>
        <v>23500</v>
      </c>
      <c r="T634" s="12">
        <f>_xlfn.XLOOKUP(B634,[1]Sheet1!$B:$B,[1]Sheet1!$W:$W,0)</f>
        <v>0</v>
      </c>
      <c r="U634" s="12">
        <f>_xlfn.XLOOKUP(B634,[1]Sheet1!$B:$B,[1]Sheet1!$X:$X,0)</f>
        <v>355000</v>
      </c>
      <c r="V634" s="12">
        <f>_xlfn.XLOOKUP(B634,[1]Sheet1!$B:$B,[1]Sheet1!$Y:$Y,0)</f>
        <v>355000</v>
      </c>
      <c r="W634" s="12">
        <f t="shared" si="21"/>
        <v>1188450</v>
      </c>
      <c r="X634" s="6" t="s">
        <v>1061</v>
      </c>
      <c r="Y634" s="6" t="s">
        <v>132</v>
      </c>
      <c r="Z634" s="6" t="s">
        <v>133</v>
      </c>
      <c r="AA634" s="6" t="s">
        <v>68</v>
      </c>
      <c r="AB634" s="6" t="s">
        <v>36</v>
      </c>
      <c r="AC634" s="6" t="s">
        <v>37</v>
      </c>
      <c r="AD634" s="6" t="s">
        <v>135</v>
      </c>
      <c r="AE634" s="6" t="s">
        <v>39</v>
      </c>
      <c r="AF634" s="6" t="s">
        <v>40</v>
      </c>
      <c r="AG634" s="7">
        <v>3230450</v>
      </c>
      <c r="AH634" s="11">
        <f>_xlfn.XLOOKUP(B634,[1]Sheet1!$B:$B,[1]Sheet1!$AB:$AB,0)</f>
        <v>3230450</v>
      </c>
    </row>
    <row r="635" spans="2:34" ht="16.8" thickTop="1" thickBot="1" x14ac:dyDescent="0.35">
      <c r="B635" s="3" t="str">
        <f t="shared" si="20"/>
        <v>45102204511000782Awards &amp; Prizes-N424231200104</v>
      </c>
      <c r="C635" s="8" t="s">
        <v>134</v>
      </c>
      <c r="D635" s="8" t="s">
        <v>1062</v>
      </c>
      <c r="E635" s="8" t="s">
        <v>1063</v>
      </c>
      <c r="F635" s="8" t="s">
        <v>590</v>
      </c>
      <c r="G635" s="4" t="s">
        <v>2832</v>
      </c>
      <c r="H635" s="4" t="s">
        <v>2922</v>
      </c>
      <c r="I635" s="8" t="s">
        <v>324</v>
      </c>
      <c r="J635" s="8" t="s">
        <v>31</v>
      </c>
      <c r="K635" s="12">
        <f>_xlfn.XLOOKUP(B635,[1]Sheet1!$B:$B,[1]Sheet1!$N:$N,0)</f>
        <v>0</v>
      </c>
      <c r="L635" s="12">
        <f>_xlfn.XLOOKUP(B635,[1]Sheet1!$B:$B,[1]Sheet1!$O:$O,0)</f>
        <v>0</v>
      </c>
      <c r="M635" s="12">
        <f>_xlfn.XLOOKUP(B635,[1]Sheet1!$B:$B,[1]Sheet1!$P:$P,0)</f>
        <v>92000</v>
      </c>
      <c r="N635" s="12">
        <f>_xlfn.XLOOKUP(B635,[1]Sheet1!$B:$B,[1]Sheet1!$Q:$Q,0)</f>
        <v>0</v>
      </c>
      <c r="O635" s="12">
        <f>_xlfn.XLOOKUP(B635,[1]Sheet1!$B:$B,[1]Sheet1!$R:$R,0)</f>
        <v>0</v>
      </c>
      <c r="P635" s="12">
        <f>_xlfn.XLOOKUP(B635,[1]Sheet1!$B:$B,[1]Sheet1!$S:$S,0)</f>
        <v>0</v>
      </c>
      <c r="Q635" s="12">
        <f>_xlfn.XLOOKUP(B635,[1]Sheet1!$B:$B,[1]Sheet1!$T:$T,0)</f>
        <v>0</v>
      </c>
      <c r="R635" s="12">
        <f>_xlfn.XLOOKUP(B635,[1]Sheet1!$B:$B,[1]Sheet1!$U:$U,0)</f>
        <v>0</v>
      </c>
      <c r="S635" s="12">
        <f>_xlfn.XLOOKUP(B635,[1]Sheet1!$B:$B,[1]Sheet1!$V:$V,0)</f>
        <v>0</v>
      </c>
      <c r="T635" s="12">
        <f>_xlfn.XLOOKUP(B635,[1]Sheet1!$B:$B,[1]Sheet1!$W:$W,0)</f>
        <v>0</v>
      </c>
      <c r="U635" s="12">
        <f>_xlfn.XLOOKUP(B635,[1]Sheet1!$B:$B,[1]Sheet1!$X:$X,0)</f>
        <v>0</v>
      </c>
      <c r="V635" s="12">
        <f>_xlfn.XLOOKUP(B635,[1]Sheet1!$B:$B,[1]Sheet1!$Y:$Y,0)</f>
        <v>5319</v>
      </c>
      <c r="W635" s="12">
        <f t="shared" si="21"/>
        <v>97319</v>
      </c>
      <c r="X635" s="8" t="s">
        <v>1064</v>
      </c>
      <c r="Y635" s="8" t="s">
        <v>132</v>
      </c>
      <c r="Z635" s="8" t="s">
        <v>133</v>
      </c>
      <c r="AA635" s="8" t="s">
        <v>326</v>
      </c>
      <c r="AB635" s="8" t="s">
        <v>36</v>
      </c>
      <c r="AC635" s="8" t="s">
        <v>37</v>
      </c>
      <c r="AD635" s="8" t="s">
        <v>135</v>
      </c>
      <c r="AE635" s="8" t="s">
        <v>39</v>
      </c>
      <c r="AF635" s="8" t="s">
        <v>40</v>
      </c>
      <c r="AG635" s="9">
        <v>2874819</v>
      </c>
      <c r="AH635" s="11">
        <f>_xlfn.XLOOKUP(B635,[1]Sheet1!$B:$B,[1]Sheet1!$AB:$AB,0)</f>
        <v>2874819</v>
      </c>
    </row>
    <row r="636" spans="2:34" ht="16.8" thickTop="1" thickBot="1" x14ac:dyDescent="0.35">
      <c r="B636" s="3" t="str">
        <f t="shared" si="20"/>
        <v>45102504511000785Freelancers-N424521200104</v>
      </c>
      <c r="C636" s="6" t="s">
        <v>480</v>
      </c>
      <c r="D636" s="6" t="s">
        <v>1065</v>
      </c>
      <c r="E636" s="6" t="s">
        <v>1066</v>
      </c>
      <c r="F636" s="6" t="s">
        <v>50</v>
      </c>
      <c r="G636" s="4" t="s">
        <v>2804</v>
      </c>
      <c r="H636" s="4" t="s">
        <v>2922</v>
      </c>
      <c r="I636" s="6" t="s">
        <v>51</v>
      </c>
      <c r="J636" s="6" t="s">
        <v>31</v>
      </c>
      <c r="K636" s="12">
        <f>_xlfn.XLOOKUP(B636,[1]Sheet1!$B:$B,[1]Sheet1!$N:$N,0)</f>
        <v>0</v>
      </c>
      <c r="L636" s="12">
        <f>_xlfn.XLOOKUP(B636,[1]Sheet1!$B:$B,[1]Sheet1!$O:$O,0)</f>
        <v>154000</v>
      </c>
      <c r="M636" s="12">
        <f>_xlfn.XLOOKUP(B636,[1]Sheet1!$B:$B,[1]Sheet1!$P:$P,0)</f>
        <v>55000</v>
      </c>
      <c r="N636" s="12">
        <f>_xlfn.XLOOKUP(B636,[1]Sheet1!$B:$B,[1]Sheet1!$Q:$Q,0)</f>
        <v>102000</v>
      </c>
      <c r="O636" s="12">
        <f>_xlfn.XLOOKUP(B636,[1]Sheet1!$B:$B,[1]Sheet1!$R:$R,0)</f>
        <v>80258</v>
      </c>
      <c r="P636" s="12">
        <f>_xlfn.XLOOKUP(B636,[1]Sheet1!$B:$B,[1]Sheet1!$S:$S,0)</f>
        <v>126000</v>
      </c>
      <c r="Q636" s="12">
        <f>_xlfn.XLOOKUP(B636,[1]Sheet1!$B:$B,[1]Sheet1!$T:$T,0)</f>
        <v>151000</v>
      </c>
      <c r="R636" s="12">
        <f>_xlfn.XLOOKUP(B636,[1]Sheet1!$B:$B,[1]Sheet1!$U:$U,0)</f>
        <v>151000</v>
      </c>
      <c r="S636" s="12">
        <f>_xlfn.XLOOKUP(B636,[1]Sheet1!$B:$B,[1]Sheet1!$V:$V,0)</f>
        <v>151000</v>
      </c>
      <c r="T636" s="12">
        <f>_xlfn.XLOOKUP(B636,[1]Sheet1!$B:$B,[1]Sheet1!$W:$W,0)</f>
        <v>151000</v>
      </c>
      <c r="U636" s="12">
        <f>_xlfn.XLOOKUP(B636,[1]Sheet1!$B:$B,[1]Sheet1!$X:$X,0)</f>
        <v>151000</v>
      </c>
      <c r="V636" s="12">
        <f>_xlfn.XLOOKUP(B636,[1]Sheet1!$B:$B,[1]Sheet1!$Y:$Y,0)</f>
        <v>151742</v>
      </c>
      <c r="W636" s="12">
        <f t="shared" si="21"/>
        <v>1424000</v>
      </c>
      <c r="X636" s="6" t="s">
        <v>1014</v>
      </c>
      <c r="Y636" s="6" t="s">
        <v>132</v>
      </c>
      <c r="Z636" s="6" t="s">
        <v>479</v>
      </c>
      <c r="AA636" s="6" t="s">
        <v>53</v>
      </c>
      <c r="AB636" s="6" t="s">
        <v>36</v>
      </c>
      <c r="AC636" s="6" t="s">
        <v>37</v>
      </c>
      <c r="AD636" s="6" t="s">
        <v>482</v>
      </c>
      <c r="AE636" s="6" t="s">
        <v>39</v>
      </c>
      <c r="AF636" s="6" t="s">
        <v>40</v>
      </c>
      <c r="AG636" s="7">
        <v>1755387</v>
      </c>
      <c r="AH636" s="11">
        <f>_xlfn.XLOOKUP(B636,[1]Sheet1!$B:$B,[1]Sheet1!$AB:$AB,0)</f>
        <v>1755387</v>
      </c>
    </row>
    <row r="637" spans="2:34" ht="16.8" thickTop="1" thickBot="1" x14ac:dyDescent="0.35">
      <c r="B637" s="3" t="str">
        <f t="shared" si="20"/>
        <v>45102504511000785Managed Service-N422212200104</v>
      </c>
      <c r="C637" s="8" t="s">
        <v>480</v>
      </c>
      <c r="D637" s="8" t="s">
        <v>1065</v>
      </c>
      <c r="E637" s="8" t="s">
        <v>1066</v>
      </c>
      <c r="F637" s="8" t="s">
        <v>476</v>
      </c>
      <c r="G637" s="4" t="s">
        <v>2845</v>
      </c>
      <c r="H637" s="4" t="s">
        <v>2922</v>
      </c>
      <c r="I637" s="8" t="s">
        <v>477</v>
      </c>
      <c r="J637" s="8" t="s">
        <v>31</v>
      </c>
      <c r="K637" s="12">
        <f>_xlfn.XLOOKUP(B637,[1]Sheet1!$B:$B,[1]Sheet1!$N:$N,0)</f>
        <v>0</v>
      </c>
      <c r="L637" s="12">
        <f>_xlfn.XLOOKUP(B637,[1]Sheet1!$B:$B,[1]Sheet1!$O:$O,0)</f>
        <v>0</v>
      </c>
      <c r="M637" s="12">
        <f>_xlfn.XLOOKUP(B637,[1]Sheet1!$B:$B,[1]Sheet1!$P:$P,0)</f>
        <v>0</v>
      </c>
      <c r="N637" s="12">
        <f>_xlfn.XLOOKUP(B637,[1]Sheet1!$B:$B,[1]Sheet1!$Q:$Q,0)</f>
        <v>3445865.64</v>
      </c>
      <c r="O637" s="12">
        <f>_xlfn.XLOOKUP(B637,[1]Sheet1!$B:$B,[1]Sheet1!$R:$R,0)</f>
        <v>890975.72000000009</v>
      </c>
      <c r="P637" s="12">
        <f>_xlfn.XLOOKUP(B637,[1]Sheet1!$B:$B,[1]Sheet1!$S:$S,0)</f>
        <v>890975.72000000009</v>
      </c>
      <c r="Q637" s="12">
        <f>_xlfn.XLOOKUP(B637,[1]Sheet1!$B:$B,[1]Sheet1!$T:$T,0)</f>
        <v>890975.72000000009</v>
      </c>
      <c r="R637" s="12">
        <f>_xlfn.XLOOKUP(B637,[1]Sheet1!$B:$B,[1]Sheet1!$U:$U,0)</f>
        <v>890975.72000000009</v>
      </c>
      <c r="S637" s="12">
        <f>_xlfn.XLOOKUP(B637,[1]Sheet1!$B:$B,[1]Sheet1!$V:$V,0)</f>
        <v>890975.72000000009</v>
      </c>
      <c r="T637" s="12">
        <f>_xlfn.XLOOKUP(B637,[1]Sheet1!$B:$B,[1]Sheet1!$W:$W,0)</f>
        <v>890975.72000000009</v>
      </c>
      <c r="U637" s="12">
        <f>_xlfn.XLOOKUP(B637,[1]Sheet1!$B:$B,[1]Sheet1!$X:$X,0)</f>
        <v>890975.72000000009</v>
      </c>
      <c r="V637" s="12">
        <f>_xlfn.XLOOKUP(B637,[1]Sheet1!$B:$B,[1]Sheet1!$Y:$Y,0)</f>
        <v>890975.72000000009</v>
      </c>
      <c r="W637" s="12">
        <f t="shared" si="21"/>
        <v>10573671.4</v>
      </c>
      <c r="X637" s="8" t="s">
        <v>478</v>
      </c>
      <c r="Y637" s="8" t="s">
        <v>132</v>
      </c>
      <c r="Z637" s="8" t="s">
        <v>479</v>
      </c>
      <c r="AA637" s="8" t="s">
        <v>481</v>
      </c>
      <c r="AB637" s="8" t="s">
        <v>36</v>
      </c>
      <c r="AC637" s="8" t="s">
        <v>37</v>
      </c>
      <c r="AD637" s="8" t="s">
        <v>482</v>
      </c>
      <c r="AE637" s="8" t="s">
        <v>39</v>
      </c>
      <c r="AF637" s="8" t="s">
        <v>40</v>
      </c>
      <c r="AG637" s="9">
        <v>10573671</v>
      </c>
      <c r="AH637" s="11">
        <f>_xlfn.XLOOKUP(B637,[1]Sheet1!$B:$B,[1]Sheet1!$AB:$AB,0)</f>
        <v>10573671.4</v>
      </c>
    </row>
    <row r="638" spans="2:34" ht="16.8" thickTop="1" thickBot="1" x14ac:dyDescent="0.35">
      <c r="B638" s="3" t="str">
        <f t="shared" si="20"/>
        <v>45102504511000785System Licenses-N425252200104</v>
      </c>
      <c r="C638" s="6" t="s">
        <v>480</v>
      </c>
      <c r="D638" s="6" t="s">
        <v>1065</v>
      </c>
      <c r="E638" s="6" t="s">
        <v>1066</v>
      </c>
      <c r="F638" s="6" t="s">
        <v>180</v>
      </c>
      <c r="G638" s="4" t="s">
        <v>2821</v>
      </c>
      <c r="H638" s="4" t="s">
        <v>2922</v>
      </c>
      <c r="I638" s="6" t="s">
        <v>181</v>
      </c>
      <c r="J638" s="6" t="s">
        <v>31</v>
      </c>
      <c r="K638" s="12">
        <f>_xlfn.XLOOKUP(B638,[1]Sheet1!$B:$B,[1]Sheet1!$N:$N,0)</f>
        <v>0</v>
      </c>
      <c r="L638" s="12">
        <f>_xlfn.XLOOKUP(B638,[1]Sheet1!$B:$B,[1]Sheet1!$O:$O,0)</f>
        <v>0</v>
      </c>
      <c r="M638" s="12">
        <f>_xlfn.XLOOKUP(B638,[1]Sheet1!$B:$B,[1]Sheet1!$P:$P,0)</f>
        <v>0</v>
      </c>
      <c r="N638" s="12">
        <f>_xlfn.XLOOKUP(B638,[1]Sheet1!$B:$B,[1]Sheet1!$Q:$Q,0)</f>
        <v>0</v>
      </c>
      <c r="O638" s="12">
        <f>_xlfn.XLOOKUP(B638,[1]Sheet1!$B:$B,[1]Sheet1!$R:$R,0)</f>
        <v>70000</v>
      </c>
      <c r="P638" s="12">
        <f>_xlfn.XLOOKUP(B638,[1]Sheet1!$B:$B,[1]Sheet1!$S:$S,0)</f>
        <v>166708</v>
      </c>
      <c r="Q638" s="12">
        <f>_xlfn.XLOOKUP(B638,[1]Sheet1!$B:$B,[1]Sheet1!$T:$T,0)</f>
        <v>142756</v>
      </c>
      <c r="R638" s="12">
        <f>_xlfn.XLOOKUP(B638,[1]Sheet1!$B:$B,[1]Sheet1!$U:$U,0)</f>
        <v>142756</v>
      </c>
      <c r="S638" s="12">
        <f>_xlfn.XLOOKUP(B638,[1]Sheet1!$B:$B,[1]Sheet1!$V:$V,0)</f>
        <v>1932756</v>
      </c>
      <c r="T638" s="12">
        <f>_xlfn.XLOOKUP(B638,[1]Sheet1!$B:$B,[1]Sheet1!$W:$W,0)</f>
        <v>1197657</v>
      </c>
      <c r="U638" s="12">
        <f>_xlfn.XLOOKUP(B638,[1]Sheet1!$B:$B,[1]Sheet1!$X:$X,0)</f>
        <v>3995260</v>
      </c>
      <c r="V638" s="12">
        <f>_xlfn.XLOOKUP(B638,[1]Sheet1!$B:$B,[1]Sheet1!$Y:$Y,0)</f>
        <v>2180317</v>
      </c>
      <c r="W638" s="12">
        <f t="shared" si="21"/>
        <v>9828210</v>
      </c>
      <c r="X638" s="6" t="s">
        <v>487</v>
      </c>
      <c r="Y638" s="6" t="s">
        <v>132</v>
      </c>
      <c r="Z638" s="6" t="s">
        <v>479</v>
      </c>
      <c r="AA638" s="6" t="s">
        <v>183</v>
      </c>
      <c r="AB638" s="6" t="s">
        <v>36</v>
      </c>
      <c r="AC638" s="6" t="s">
        <v>37</v>
      </c>
      <c r="AD638" s="6" t="s">
        <v>482</v>
      </c>
      <c r="AE638" s="6" t="s">
        <v>39</v>
      </c>
      <c r="AF638" s="6" t="s">
        <v>40</v>
      </c>
      <c r="AG638" s="7">
        <v>9780969</v>
      </c>
      <c r="AH638" s="11">
        <f>_xlfn.XLOOKUP(B638,[1]Sheet1!$B:$B,[1]Sheet1!$AB:$AB,0)</f>
        <v>9780969</v>
      </c>
    </row>
    <row r="639" spans="2:34" ht="16.8" thickTop="1" thickBot="1" x14ac:dyDescent="0.35">
      <c r="B639" s="3" t="str">
        <f t="shared" si="20"/>
        <v>45102504511000785System Maintain-N1422212200104</v>
      </c>
      <c r="C639" s="8" t="s">
        <v>480</v>
      </c>
      <c r="D639" s="8" t="s">
        <v>1065</v>
      </c>
      <c r="E639" s="8" t="s">
        <v>1066</v>
      </c>
      <c r="F639" s="8" t="s">
        <v>1067</v>
      </c>
      <c r="G639" s="4" t="s">
        <v>2845</v>
      </c>
      <c r="H639" s="4" t="s">
        <v>2922</v>
      </c>
      <c r="I639" s="8" t="s">
        <v>477</v>
      </c>
      <c r="J639" s="8" t="s">
        <v>31</v>
      </c>
      <c r="K639" s="12">
        <f>_xlfn.XLOOKUP(B639,[1]Sheet1!$B:$B,[1]Sheet1!$N:$N,0)</f>
        <v>0</v>
      </c>
      <c r="L639" s="12">
        <f>_xlfn.XLOOKUP(B639,[1]Sheet1!$B:$B,[1]Sheet1!$O:$O,0)</f>
        <v>0</v>
      </c>
      <c r="M639" s="12">
        <f>_xlfn.XLOOKUP(B639,[1]Sheet1!$B:$B,[1]Sheet1!$P:$P,0)</f>
        <v>0</v>
      </c>
      <c r="N639" s="12">
        <f>_xlfn.XLOOKUP(B639,[1]Sheet1!$B:$B,[1]Sheet1!$Q:$Q,0)</f>
        <v>0</v>
      </c>
      <c r="O639" s="12">
        <f>_xlfn.XLOOKUP(B639,[1]Sheet1!$B:$B,[1]Sheet1!$R:$R,0)</f>
        <v>0</v>
      </c>
      <c r="P639" s="12">
        <f>_xlfn.XLOOKUP(B639,[1]Sheet1!$B:$B,[1]Sheet1!$S:$S,0)</f>
        <v>0</v>
      </c>
      <c r="Q639" s="12">
        <f>_xlfn.XLOOKUP(B639,[1]Sheet1!$B:$B,[1]Sheet1!$T:$T,0)</f>
        <v>0</v>
      </c>
      <c r="R639" s="12">
        <f>_xlfn.XLOOKUP(B639,[1]Sheet1!$B:$B,[1]Sheet1!$U:$U,0)</f>
        <v>0</v>
      </c>
      <c r="S639" s="12">
        <f>_xlfn.XLOOKUP(B639,[1]Sheet1!$B:$B,[1]Sheet1!$V:$V,0)</f>
        <v>0</v>
      </c>
      <c r="T639" s="12">
        <f>_xlfn.XLOOKUP(B639,[1]Sheet1!$B:$B,[1]Sheet1!$W:$W,0)</f>
        <v>666369.55000000005</v>
      </c>
      <c r="U639" s="12">
        <f>_xlfn.XLOOKUP(B639,[1]Sheet1!$B:$B,[1]Sheet1!$X:$X,0)</f>
        <v>0</v>
      </c>
      <c r="V639" s="12">
        <f>_xlfn.XLOOKUP(B639,[1]Sheet1!$B:$B,[1]Sheet1!$Y:$Y,0)</f>
        <v>0</v>
      </c>
      <c r="W639" s="12">
        <f t="shared" si="21"/>
        <v>666369.55000000005</v>
      </c>
      <c r="X639" s="8" t="s">
        <v>478</v>
      </c>
      <c r="Y639" s="8" t="s">
        <v>132</v>
      </c>
      <c r="Z639" s="8" t="s">
        <v>479</v>
      </c>
      <c r="AA639" s="8" t="s">
        <v>481</v>
      </c>
      <c r="AB639" s="8" t="s">
        <v>36</v>
      </c>
      <c r="AC639" s="8" t="s">
        <v>37</v>
      </c>
      <c r="AD639" s="8" t="s">
        <v>482</v>
      </c>
      <c r="AE639" s="8" t="s">
        <v>39</v>
      </c>
      <c r="AF639" s="8" t="s">
        <v>40</v>
      </c>
      <c r="AG639" s="9">
        <v>666369</v>
      </c>
      <c r="AH639" s="11">
        <f>_xlfn.XLOOKUP(B639,[1]Sheet1!$B:$B,[1]Sheet1!$AB:$AB,0)</f>
        <v>666369.55000000005</v>
      </c>
    </row>
    <row r="640" spans="2:34" ht="16.8" thickTop="1" thickBot="1" x14ac:dyDescent="0.35">
      <c r="B640" s="3" t="str">
        <f t="shared" si="20"/>
        <v>45102504511000785Systems Develop-N425301200104</v>
      </c>
      <c r="C640" s="6" t="s">
        <v>480</v>
      </c>
      <c r="D640" s="6" t="s">
        <v>1065</v>
      </c>
      <c r="E640" s="6" t="s">
        <v>1066</v>
      </c>
      <c r="F640" s="6" t="s">
        <v>1068</v>
      </c>
      <c r="G640" s="4" t="s">
        <v>2864</v>
      </c>
      <c r="H640" s="4" t="s">
        <v>2922</v>
      </c>
      <c r="I640" s="6" t="s">
        <v>1027</v>
      </c>
      <c r="J640" s="6" t="s">
        <v>31</v>
      </c>
      <c r="K640" s="12">
        <f>_xlfn.XLOOKUP(B640,[1]Sheet1!$B:$B,[1]Sheet1!$N:$N,0)</f>
        <v>0</v>
      </c>
      <c r="L640" s="12">
        <f>_xlfn.XLOOKUP(B640,[1]Sheet1!$B:$B,[1]Sheet1!$O:$O,0)</f>
        <v>0</v>
      </c>
      <c r="M640" s="12">
        <f>_xlfn.XLOOKUP(B640,[1]Sheet1!$B:$B,[1]Sheet1!$P:$P,0)</f>
        <v>0</v>
      </c>
      <c r="N640" s="12">
        <f>_xlfn.XLOOKUP(B640,[1]Sheet1!$B:$B,[1]Sheet1!$Q:$Q,0)</f>
        <v>1976293.3172727274</v>
      </c>
      <c r="O640" s="12">
        <f>_xlfn.XLOOKUP(B640,[1]Sheet1!$B:$B,[1]Sheet1!$R:$R,0)</f>
        <v>597306.60909090913</v>
      </c>
      <c r="P640" s="12">
        <f>_xlfn.XLOOKUP(B640,[1]Sheet1!$B:$B,[1]Sheet1!$S:$S,0)</f>
        <v>597306.60909090913</v>
      </c>
      <c r="Q640" s="12">
        <f>_xlfn.XLOOKUP(B640,[1]Sheet1!$B:$B,[1]Sheet1!$T:$T,0)</f>
        <v>597306.60909090913</v>
      </c>
      <c r="R640" s="12">
        <f>_xlfn.XLOOKUP(B640,[1]Sheet1!$B:$B,[1]Sheet1!$U:$U,0)</f>
        <v>597306.60909090913</v>
      </c>
      <c r="S640" s="12">
        <f>_xlfn.XLOOKUP(B640,[1]Sheet1!$B:$B,[1]Sheet1!$V:$V,0)</f>
        <v>597306.60909090913</v>
      </c>
      <c r="T640" s="12">
        <f>_xlfn.XLOOKUP(B640,[1]Sheet1!$B:$B,[1]Sheet1!$W:$W,0)</f>
        <v>597306.60909090913</v>
      </c>
      <c r="U640" s="12">
        <f>_xlfn.XLOOKUP(B640,[1]Sheet1!$B:$B,[1]Sheet1!$X:$X,0)</f>
        <v>597306.60909090913</v>
      </c>
      <c r="V640" s="12">
        <f>_xlfn.XLOOKUP(B640,[1]Sheet1!$B:$B,[1]Sheet1!$Y:$Y,0)</f>
        <v>597307.66909090907</v>
      </c>
      <c r="W640" s="12">
        <f t="shared" si="21"/>
        <v>6754747.2500000019</v>
      </c>
      <c r="X640" s="6" t="s">
        <v>1069</v>
      </c>
      <c r="Y640" s="6" t="s">
        <v>132</v>
      </c>
      <c r="Z640" s="6" t="s">
        <v>479</v>
      </c>
      <c r="AA640" s="6" t="s">
        <v>1029</v>
      </c>
      <c r="AB640" s="6" t="s">
        <v>36</v>
      </c>
      <c r="AC640" s="6" t="s">
        <v>37</v>
      </c>
      <c r="AD640" s="6" t="s">
        <v>482</v>
      </c>
      <c r="AE640" s="6" t="s">
        <v>39</v>
      </c>
      <c r="AF640" s="6" t="s">
        <v>40</v>
      </c>
      <c r="AG640" s="7">
        <v>8399773</v>
      </c>
      <c r="AH640" s="11">
        <f>_xlfn.XLOOKUP(B640,[1]Sheet1!$B:$B,[1]Sheet1!$AB:$AB,0)</f>
        <v>8399773.2500000019</v>
      </c>
    </row>
    <row r="641" spans="2:34" ht="16.8" thickTop="1" thickBot="1" x14ac:dyDescent="0.35">
      <c r="B641" s="3" t="str">
        <f t="shared" si="20"/>
        <v>45102504511000785Systems Develop-NC493140300105</v>
      </c>
      <c r="C641" s="8" t="s">
        <v>480</v>
      </c>
      <c r="D641" s="8" t="s">
        <v>1065</v>
      </c>
      <c r="E641" s="8" t="s">
        <v>1066</v>
      </c>
      <c r="F641" s="8" t="s">
        <v>184</v>
      </c>
      <c r="G641" s="4" t="s">
        <v>2822</v>
      </c>
      <c r="H641" s="4" t="s">
        <v>2923</v>
      </c>
      <c r="I641" s="8" t="s">
        <v>185</v>
      </c>
      <c r="J641" s="8" t="s">
        <v>31</v>
      </c>
      <c r="K641" s="12">
        <f>_xlfn.XLOOKUP(B641,[1]Sheet1!$B:$B,[1]Sheet1!$N:$N,0)</f>
        <v>0</v>
      </c>
      <c r="L641" s="12">
        <f>_xlfn.XLOOKUP(B641,[1]Sheet1!$B:$B,[1]Sheet1!$O:$O,0)</f>
        <v>0</v>
      </c>
      <c r="M641" s="12">
        <f>_xlfn.XLOOKUP(B641,[1]Sheet1!$B:$B,[1]Sheet1!$P:$P,0)</f>
        <v>0</v>
      </c>
      <c r="N641" s="12">
        <f>_xlfn.XLOOKUP(B641,[1]Sheet1!$B:$B,[1]Sheet1!$Q:$Q,0)</f>
        <v>982361.11</v>
      </c>
      <c r="O641" s="12">
        <f>_xlfn.XLOOKUP(B641,[1]Sheet1!$B:$B,[1]Sheet1!$R:$R,0)</f>
        <v>290111.11</v>
      </c>
      <c r="P641" s="12">
        <f>_xlfn.XLOOKUP(B641,[1]Sheet1!$B:$B,[1]Sheet1!$S:$S,0)</f>
        <v>236111.11</v>
      </c>
      <c r="Q641" s="12">
        <f>_xlfn.XLOOKUP(B641,[1]Sheet1!$B:$B,[1]Sheet1!$T:$T,0)</f>
        <v>236111.11</v>
      </c>
      <c r="R641" s="12">
        <f>_xlfn.XLOOKUP(B641,[1]Sheet1!$B:$B,[1]Sheet1!$U:$U,0)</f>
        <v>236111.11</v>
      </c>
      <c r="S641" s="12">
        <f>_xlfn.XLOOKUP(B641,[1]Sheet1!$B:$B,[1]Sheet1!$V:$V,0)</f>
        <v>436111.11</v>
      </c>
      <c r="T641" s="12">
        <f>_xlfn.XLOOKUP(B641,[1]Sheet1!$B:$B,[1]Sheet1!$W:$W,0)</f>
        <v>236111.11</v>
      </c>
      <c r="U641" s="12">
        <f>_xlfn.XLOOKUP(B641,[1]Sheet1!$B:$B,[1]Sheet1!$X:$X,0)</f>
        <v>1279735.1099999999</v>
      </c>
      <c r="V641" s="12">
        <f>_xlfn.XLOOKUP(B641,[1]Sheet1!$B:$B,[1]Sheet1!$Y:$Y,0)</f>
        <v>236111.12</v>
      </c>
      <c r="W641" s="12">
        <f t="shared" si="21"/>
        <v>4168873.9999999995</v>
      </c>
      <c r="X641" s="8" t="s">
        <v>1070</v>
      </c>
      <c r="Y641" s="8" t="s">
        <v>132</v>
      </c>
      <c r="Z641" s="8" t="s">
        <v>479</v>
      </c>
      <c r="AA641" s="8" t="s">
        <v>185</v>
      </c>
      <c r="AB641" s="8" t="s">
        <v>93</v>
      </c>
      <c r="AC641" s="8" t="s">
        <v>94</v>
      </c>
      <c r="AD641" s="8" t="s">
        <v>482</v>
      </c>
      <c r="AE641" s="8" t="s">
        <v>39</v>
      </c>
      <c r="AF641" s="8" t="s">
        <v>40</v>
      </c>
      <c r="AG641" s="9">
        <v>4168874</v>
      </c>
      <c r="AH641" s="11">
        <f>_xlfn.XLOOKUP(B641,[1]Sheet1!$B:$B,[1]Sheet1!$AB:$AB,0)</f>
        <v>4168873.9999999995</v>
      </c>
    </row>
    <row r="642" spans="2:34" ht="16.8" thickTop="1" thickBot="1" x14ac:dyDescent="0.35">
      <c r="B642" s="3" t="str">
        <f t="shared" si="20"/>
        <v>45153004511000789Admin Expenses-N1421125200104</v>
      </c>
      <c r="C642" s="6" t="s">
        <v>1075</v>
      </c>
      <c r="D642" s="6" t="s">
        <v>1071</v>
      </c>
      <c r="E642" s="6" t="s">
        <v>1072</v>
      </c>
      <c r="F642" s="6" t="s">
        <v>73</v>
      </c>
      <c r="G642" s="4" t="s">
        <v>2803</v>
      </c>
      <c r="H642" s="4" t="s">
        <v>2922</v>
      </c>
      <c r="I642" s="6" t="s">
        <v>44</v>
      </c>
      <c r="J642" s="6" t="s">
        <v>31</v>
      </c>
      <c r="K642" s="12">
        <f>_xlfn.XLOOKUP(B642,[1]Sheet1!$B:$B,[1]Sheet1!$N:$N,0)</f>
        <v>0</v>
      </c>
      <c r="L642" s="12">
        <f>_xlfn.XLOOKUP(B642,[1]Sheet1!$B:$B,[1]Sheet1!$O:$O,0)</f>
        <v>0</v>
      </c>
      <c r="M642" s="12">
        <f>_xlfn.XLOOKUP(B642,[1]Sheet1!$B:$B,[1]Sheet1!$P:$P,0)</f>
        <v>0</v>
      </c>
      <c r="N642" s="12">
        <f>_xlfn.XLOOKUP(B642,[1]Sheet1!$B:$B,[1]Sheet1!$Q:$Q,0)</f>
        <v>0</v>
      </c>
      <c r="O642" s="12">
        <f>_xlfn.XLOOKUP(B642,[1]Sheet1!$B:$B,[1]Sheet1!$R:$R,0)</f>
        <v>0</v>
      </c>
      <c r="P642" s="12">
        <f>_xlfn.XLOOKUP(B642,[1]Sheet1!$B:$B,[1]Sheet1!$S:$S,0)</f>
        <v>26675</v>
      </c>
      <c r="Q642" s="12">
        <f>_xlfn.XLOOKUP(B642,[1]Sheet1!$B:$B,[1]Sheet1!$T:$T,0)</f>
        <v>0</v>
      </c>
      <c r="R642" s="12">
        <f>_xlfn.XLOOKUP(B642,[1]Sheet1!$B:$B,[1]Sheet1!$U:$U,0)</f>
        <v>0</v>
      </c>
      <c r="S642" s="12">
        <f>_xlfn.XLOOKUP(B642,[1]Sheet1!$B:$B,[1]Sheet1!$V:$V,0)</f>
        <v>30000</v>
      </c>
      <c r="T642" s="12">
        <f>_xlfn.XLOOKUP(B642,[1]Sheet1!$B:$B,[1]Sheet1!$W:$W,0)</f>
        <v>0</v>
      </c>
      <c r="U642" s="12">
        <f>_xlfn.XLOOKUP(B642,[1]Sheet1!$B:$B,[1]Sheet1!$X:$X,0)</f>
        <v>0</v>
      </c>
      <c r="V642" s="12">
        <f>_xlfn.XLOOKUP(B642,[1]Sheet1!$B:$B,[1]Sheet1!$Y:$Y,0)</f>
        <v>40000</v>
      </c>
      <c r="W642" s="12">
        <f t="shared" si="21"/>
        <v>96675</v>
      </c>
      <c r="X642" s="6" t="s">
        <v>1073</v>
      </c>
      <c r="Y642" s="6" t="s">
        <v>211</v>
      </c>
      <c r="Z642" s="6" t="s">
        <v>1074</v>
      </c>
      <c r="AA642" s="6" t="s">
        <v>44</v>
      </c>
      <c r="AB642" s="6" t="s">
        <v>36</v>
      </c>
      <c r="AC642" s="6" t="s">
        <v>37</v>
      </c>
      <c r="AD642" s="6" t="s">
        <v>342</v>
      </c>
      <c r="AE642" s="6" t="s">
        <v>39</v>
      </c>
      <c r="AF642" s="6" t="s">
        <v>40</v>
      </c>
      <c r="AG642" s="7">
        <v>96674.6</v>
      </c>
      <c r="AH642" s="11">
        <f>_xlfn.XLOOKUP(B642,[1]Sheet1!$B:$B,[1]Sheet1!$AB:$AB,0)</f>
        <v>96675</v>
      </c>
    </row>
    <row r="643" spans="2:34" ht="16.8" thickTop="1" thickBot="1" x14ac:dyDescent="0.35">
      <c r="B643" s="3" t="str">
        <f t="shared" si="20"/>
        <v>45153004511000789Freelancers-N424521200104</v>
      </c>
      <c r="C643" s="8" t="s">
        <v>1075</v>
      </c>
      <c r="D643" s="8" t="s">
        <v>1071</v>
      </c>
      <c r="E643" s="8" t="s">
        <v>1072</v>
      </c>
      <c r="F643" s="8" t="s">
        <v>50</v>
      </c>
      <c r="G643" s="4" t="s">
        <v>2804</v>
      </c>
      <c r="H643" s="4" t="s">
        <v>2922</v>
      </c>
      <c r="I643" s="8" t="s">
        <v>51</v>
      </c>
      <c r="J643" s="8" t="s">
        <v>31</v>
      </c>
      <c r="K643" s="12">
        <f>_xlfn.XLOOKUP(B643,[1]Sheet1!$B:$B,[1]Sheet1!$N:$N,0)</f>
        <v>0</v>
      </c>
      <c r="L643" s="12">
        <f>_xlfn.XLOOKUP(B643,[1]Sheet1!$B:$B,[1]Sheet1!$O:$O,0)</f>
        <v>0</v>
      </c>
      <c r="M643" s="12">
        <f>_xlfn.XLOOKUP(B643,[1]Sheet1!$B:$B,[1]Sheet1!$P:$P,0)</f>
        <v>0</v>
      </c>
      <c r="N643" s="12">
        <f>_xlfn.XLOOKUP(B643,[1]Sheet1!$B:$B,[1]Sheet1!$Q:$Q,0)</f>
        <v>20630</v>
      </c>
      <c r="O643" s="12">
        <f>_xlfn.XLOOKUP(B643,[1]Sheet1!$B:$B,[1]Sheet1!$R:$R,0)</f>
        <v>19965</v>
      </c>
      <c r="P643" s="12">
        <f>_xlfn.XLOOKUP(B643,[1]Sheet1!$B:$B,[1]Sheet1!$S:$S,0)</f>
        <v>19965</v>
      </c>
      <c r="Q643" s="12">
        <f>_xlfn.XLOOKUP(B643,[1]Sheet1!$B:$B,[1]Sheet1!$T:$T,0)</f>
        <v>19965</v>
      </c>
      <c r="R643" s="12">
        <f>_xlfn.XLOOKUP(B643,[1]Sheet1!$B:$B,[1]Sheet1!$U:$U,0)</f>
        <v>19965</v>
      </c>
      <c r="S643" s="12">
        <f>_xlfn.XLOOKUP(B643,[1]Sheet1!$B:$B,[1]Sheet1!$V:$V,0)</f>
        <v>19965</v>
      </c>
      <c r="T643" s="12">
        <f>_xlfn.XLOOKUP(B643,[1]Sheet1!$B:$B,[1]Sheet1!$W:$W,0)</f>
        <v>19965</v>
      </c>
      <c r="U643" s="12">
        <f>_xlfn.XLOOKUP(B643,[1]Sheet1!$B:$B,[1]Sheet1!$X:$X,0)</f>
        <v>19965</v>
      </c>
      <c r="V643" s="12">
        <f>_xlfn.XLOOKUP(B643,[1]Sheet1!$B:$B,[1]Sheet1!$Y:$Y,0)</f>
        <v>19965</v>
      </c>
      <c r="W643" s="12">
        <f t="shared" si="21"/>
        <v>180350</v>
      </c>
      <c r="X643" s="8" t="s">
        <v>1076</v>
      </c>
      <c r="Y643" s="8" t="s">
        <v>211</v>
      </c>
      <c r="Z643" s="8" t="s">
        <v>1074</v>
      </c>
      <c r="AA643" s="8" t="s">
        <v>53</v>
      </c>
      <c r="AB643" s="8" t="s">
        <v>36</v>
      </c>
      <c r="AC643" s="8" t="s">
        <v>37</v>
      </c>
      <c r="AD643" s="8" t="s">
        <v>1077</v>
      </c>
      <c r="AE643" s="8" t="s">
        <v>39</v>
      </c>
      <c r="AF643" s="8" t="s">
        <v>40</v>
      </c>
      <c r="AG643" s="9">
        <v>180350</v>
      </c>
      <c r="AH643" s="11">
        <f>_xlfn.XLOOKUP(B643,[1]Sheet1!$B:$B,[1]Sheet1!$AB:$AB,0)</f>
        <v>180350</v>
      </c>
    </row>
    <row r="644" spans="2:34" ht="16.8" thickTop="1" thickBot="1" x14ac:dyDescent="0.35">
      <c r="B644" s="3" t="str">
        <f t="shared" ref="B644:B707" si="22">C644&amp;D644&amp;F644&amp;G644&amp;H644</f>
        <v>45153004511000789Mystery Shopper-N421191200104</v>
      </c>
      <c r="C644" s="6" t="s">
        <v>1075</v>
      </c>
      <c r="D644" s="6" t="s">
        <v>1071</v>
      </c>
      <c r="E644" s="6" t="s">
        <v>1072</v>
      </c>
      <c r="F644" s="6" t="s">
        <v>1078</v>
      </c>
      <c r="G644" s="4" t="s">
        <v>2851</v>
      </c>
      <c r="H644" s="4" t="s">
        <v>2922</v>
      </c>
      <c r="I644" s="6" t="s">
        <v>550</v>
      </c>
      <c r="J644" s="6" t="s">
        <v>31</v>
      </c>
      <c r="K644" s="12">
        <f>_xlfn.XLOOKUP(B644,[1]Sheet1!$B:$B,[1]Sheet1!$N:$N,0)</f>
        <v>0</v>
      </c>
      <c r="L644" s="12">
        <f>_xlfn.XLOOKUP(B644,[1]Sheet1!$B:$B,[1]Sheet1!$O:$O,0)</f>
        <v>0</v>
      </c>
      <c r="M644" s="12">
        <f>_xlfn.XLOOKUP(B644,[1]Sheet1!$B:$B,[1]Sheet1!$P:$P,0)</f>
        <v>75808</v>
      </c>
      <c r="N644" s="12">
        <f>_xlfn.XLOOKUP(B644,[1]Sheet1!$B:$B,[1]Sheet1!$Q:$Q,0)</f>
        <v>40070</v>
      </c>
      <c r="O644" s="12">
        <f>_xlfn.XLOOKUP(B644,[1]Sheet1!$B:$B,[1]Sheet1!$R:$R,0)</f>
        <v>60035</v>
      </c>
      <c r="P644" s="12">
        <f>_xlfn.XLOOKUP(B644,[1]Sheet1!$B:$B,[1]Sheet1!$S:$S,0)</f>
        <v>60035</v>
      </c>
      <c r="Q644" s="12">
        <f>_xlfn.XLOOKUP(B644,[1]Sheet1!$B:$B,[1]Sheet1!$T:$T,0)</f>
        <v>390017.5</v>
      </c>
      <c r="R644" s="12">
        <f>_xlfn.XLOOKUP(B644,[1]Sheet1!$B:$B,[1]Sheet1!$U:$U,0)</f>
        <v>390017.5</v>
      </c>
      <c r="S644" s="12">
        <f>_xlfn.XLOOKUP(B644,[1]Sheet1!$B:$B,[1]Sheet1!$V:$V,0)</f>
        <v>390017.5</v>
      </c>
      <c r="T644" s="12">
        <f>_xlfn.XLOOKUP(B644,[1]Sheet1!$B:$B,[1]Sheet1!$W:$W,0)</f>
        <v>390017.5</v>
      </c>
      <c r="U644" s="12">
        <f>_xlfn.XLOOKUP(B644,[1]Sheet1!$B:$B,[1]Sheet1!$X:$X,0)</f>
        <v>390017.5</v>
      </c>
      <c r="V644" s="12">
        <f>_xlfn.XLOOKUP(B644,[1]Sheet1!$B:$B,[1]Sheet1!$Y:$Y,0)</f>
        <v>3318126.25</v>
      </c>
      <c r="W644" s="12">
        <f t="shared" ref="W644:W707" si="23">SUM(K644:V644)</f>
        <v>5504161.75</v>
      </c>
      <c r="X644" s="6" t="s">
        <v>1079</v>
      </c>
      <c r="Y644" s="6" t="s">
        <v>211</v>
      </c>
      <c r="Z644" s="6" t="s">
        <v>1074</v>
      </c>
      <c r="AA644" s="6" t="s">
        <v>552</v>
      </c>
      <c r="AB644" s="6" t="s">
        <v>36</v>
      </c>
      <c r="AC644" s="6" t="s">
        <v>37</v>
      </c>
      <c r="AD644" s="6" t="s">
        <v>1077</v>
      </c>
      <c r="AE644" s="6" t="s">
        <v>39</v>
      </c>
      <c r="AF644" s="6" t="s">
        <v>40</v>
      </c>
      <c r="AG644" s="7">
        <v>1989162</v>
      </c>
      <c r="AH644" s="11">
        <f>_xlfn.XLOOKUP(B644,[1]Sheet1!$B:$B,[1]Sheet1!$AB:$AB,0)</f>
        <v>1989161.75</v>
      </c>
    </row>
    <row r="645" spans="2:34" ht="16.8" thickTop="1" thickBot="1" x14ac:dyDescent="0.35">
      <c r="B645" s="3" t="str">
        <f t="shared" si="22"/>
        <v>45153004511000794Mission &amp; Travel-N423821200104</v>
      </c>
      <c r="C645" s="8" t="s">
        <v>1075</v>
      </c>
      <c r="D645" s="8" t="s">
        <v>1080</v>
      </c>
      <c r="E645" s="8" t="s">
        <v>1081</v>
      </c>
      <c r="F645" s="8" t="s">
        <v>54</v>
      </c>
      <c r="G645" s="4" t="s">
        <v>2805</v>
      </c>
      <c r="H645" s="4" t="s">
        <v>2922</v>
      </c>
      <c r="I645" s="8" t="s">
        <v>55</v>
      </c>
      <c r="J645" s="8" t="s">
        <v>31</v>
      </c>
      <c r="K645" s="12">
        <f>_xlfn.XLOOKUP(B645,[1]Sheet1!$B:$B,[1]Sheet1!$N:$N,0)</f>
        <v>0</v>
      </c>
      <c r="L645" s="12">
        <f>_xlfn.XLOOKUP(B645,[1]Sheet1!$B:$B,[1]Sheet1!$O:$O,0)</f>
        <v>0</v>
      </c>
      <c r="M645" s="12">
        <f>_xlfn.XLOOKUP(B645,[1]Sheet1!$B:$B,[1]Sheet1!$P:$P,0)</f>
        <v>0</v>
      </c>
      <c r="N645" s="12">
        <f>_xlfn.XLOOKUP(B645,[1]Sheet1!$B:$B,[1]Sheet1!$Q:$Q,0)</f>
        <v>0</v>
      </c>
      <c r="O645" s="12">
        <f>_xlfn.XLOOKUP(B645,[1]Sheet1!$B:$B,[1]Sheet1!$R:$R,0)</f>
        <v>0</v>
      </c>
      <c r="P645" s="12">
        <f>_xlfn.XLOOKUP(B645,[1]Sheet1!$B:$B,[1]Sheet1!$S:$S,0)</f>
        <v>101000</v>
      </c>
      <c r="Q645" s="12">
        <f>_xlfn.XLOOKUP(B645,[1]Sheet1!$B:$B,[1]Sheet1!$T:$T,0)</f>
        <v>0</v>
      </c>
      <c r="R645" s="12">
        <f>_xlfn.XLOOKUP(B645,[1]Sheet1!$B:$B,[1]Sheet1!$U:$U,0)</f>
        <v>0</v>
      </c>
      <c r="S645" s="12">
        <f>_xlfn.XLOOKUP(B645,[1]Sheet1!$B:$B,[1]Sheet1!$V:$V,0)</f>
        <v>79300</v>
      </c>
      <c r="T645" s="12">
        <f>_xlfn.XLOOKUP(B645,[1]Sheet1!$B:$B,[1]Sheet1!$W:$W,0)</f>
        <v>56300</v>
      </c>
      <c r="U645" s="12">
        <f>_xlfn.XLOOKUP(B645,[1]Sheet1!$B:$B,[1]Sheet1!$X:$X,0)</f>
        <v>0</v>
      </c>
      <c r="V645" s="12">
        <f>_xlfn.XLOOKUP(B645,[1]Sheet1!$B:$B,[1]Sheet1!$Y:$Y,0)</f>
        <v>89206</v>
      </c>
      <c r="W645" s="12">
        <f t="shared" si="23"/>
        <v>325806</v>
      </c>
      <c r="X645" s="8" t="s">
        <v>1082</v>
      </c>
      <c r="Y645" s="8" t="s">
        <v>211</v>
      </c>
      <c r="Z645" s="8" t="s">
        <v>1074</v>
      </c>
      <c r="AA645" s="8" t="s">
        <v>55</v>
      </c>
      <c r="AB645" s="8" t="s">
        <v>36</v>
      </c>
      <c r="AC645" s="8" t="s">
        <v>37</v>
      </c>
      <c r="AD645" s="8" t="s">
        <v>1077</v>
      </c>
      <c r="AE645" s="8" t="s">
        <v>39</v>
      </c>
      <c r="AF645" s="8" t="s">
        <v>40</v>
      </c>
      <c r="AG645" s="9">
        <v>325806</v>
      </c>
      <c r="AH645" s="11">
        <f>_xlfn.XLOOKUP(B645,[1]Sheet1!$B:$B,[1]Sheet1!$AB:$AB,0)</f>
        <v>325806</v>
      </c>
    </row>
    <row r="646" spans="2:34" ht="16.8" thickTop="1" thickBot="1" x14ac:dyDescent="0.35">
      <c r="B646" s="3" t="str">
        <f t="shared" si="22"/>
        <v>45154004511000798Mission &amp; Travel-L423821201931</v>
      </c>
      <c r="C646" s="6" t="s">
        <v>213</v>
      </c>
      <c r="D646" s="6" t="s">
        <v>1083</v>
      </c>
      <c r="E646" s="6" t="s">
        <v>1084</v>
      </c>
      <c r="F646" s="6" t="s">
        <v>1085</v>
      </c>
      <c r="G646" s="4" t="s">
        <v>2805</v>
      </c>
      <c r="H646" s="4" t="s">
        <v>2925</v>
      </c>
      <c r="I646" s="6" t="s">
        <v>55</v>
      </c>
      <c r="J646" s="6" t="s">
        <v>31</v>
      </c>
      <c r="K646" s="12">
        <f>_xlfn.XLOOKUP(B646,[1]Sheet1!$B:$B,[1]Sheet1!$N:$N,0)</f>
        <v>0</v>
      </c>
      <c r="L646" s="12">
        <f>_xlfn.XLOOKUP(B646,[1]Sheet1!$B:$B,[1]Sheet1!$O:$O,0)</f>
        <v>0</v>
      </c>
      <c r="M646" s="12">
        <f>_xlfn.XLOOKUP(B646,[1]Sheet1!$B:$B,[1]Sheet1!$P:$P,0)</f>
        <v>0</v>
      </c>
      <c r="N646" s="12">
        <f>_xlfn.XLOOKUP(B646,[1]Sheet1!$B:$B,[1]Sheet1!$Q:$Q,0)</f>
        <v>0</v>
      </c>
      <c r="O646" s="12">
        <f>_xlfn.XLOOKUP(B646,[1]Sheet1!$B:$B,[1]Sheet1!$R:$R,0)</f>
        <v>47000</v>
      </c>
      <c r="P646" s="12">
        <f>_xlfn.XLOOKUP(B646,[1]Sheet1!$B:$B,[1]Sheet1!$S:$S,0)</f>
        <v>94000</v>
      </c>
      <c r="Q646" s="12">
        <f>_xlfn.XLOOKUP(B646,[1]Sheet1!$B:$B,[1]Sheet1!$T:$T,0)</f>
        <v>0</v>
      </c>
      <c r="R646" s="12">
        <f>_xlfn.XLOOKUP(B646,[1]Sheet1!$B:$B,[1]Sheet1!$U:$U,0)</f>
        <v>72690</v>
      </c>
      <c r="S646" s="12">
        <f>_xlfn.XLOOKUP(B646,[1]Sheet1!$B:$B,[1]Sheet1!$V:$V,0)</f>
        <v>22500</v>
      </c>
      <c r="T646" s="12">
        <f>_xlfn.XLOOKUP(B646,[1]Sheet1!$B:$B,[1]Sheet1!$W:$W,0)</f>
        <v>0</v>
      </c>
      <c r="U646" s="12">
        <f>_xlfn.XLOOKUP(B646,[1]Sheet1!$B:$B,[1]Sheet1!$X:$X,0)</f>
        <v>17000</v>
      </c>
      <c r="V646" s="12">
        <f>_xlfn.XLOOKUP(B646,[1]Sheet1!$B:$B,[1]Sheet1!$Y:$Y,0)</f>
        <v>17500</v>
      </c>
      <c r="W646" s="12">
        <f t="shared" si="23"/>
        <v>270690</v>
      </c>
      <c r="X646" s="6" t="s">
        <v>1086</v>
      </c>
      <c r="Y646" s="6" t="s">
        <v>211</v>
      </c>
      <c r="Z646" s="6" t="s">
        <v>212</v>
      </c>
      <c r="AA646" s="6" t="s">
        <v>55</v>
      </c>
      <c r="AB646" s="6" t="s">
        <v>327</v>
      </c>
      <c r="AC646" s="6" t="s">
        <v>37</v>
      </c>
      <c r="AD646" s="6" t="s">
        <v>143</v>
      </c>
      <c r="AE646" s="6" t="s">
        <v>39</v>
      </c>
      <c r="AF646" s="6" t="s">
        <v>40</v>
      </c>
      <c r="AG646" s="7">
        <v>270690</v>
      </c>
      <c r="AH646" s="11">
        <f>_xlfn.XLOOKUP(B646,[1]Sheet1!$B:$B,[1]Sheet1!$AB:$AB,0)</f>
        <v>270690</v>
      </c>
    </row>
    <row r="647" spans="2:34" ht="16.8" thickTop="1" thickBot="1" x14ac:dyDescent="0.35">
      <c r="B647" s="3" t="str">
        <f t="shared" si="22"/>
        <v>45154004511000798Partnership Fees-N422401200104</v>
      </c>
      <c r="C647" s="8" t="s">
        <v>213</v>
      </c>
      <c r="D647" s="8" t="s">
        <v>1083</v>
      </c>
      <c r="E647" s="8" t="s">
        <v>1084</v>
      </c>
      <c r="F647" s="8" t="s">
        <v>1087</v>
      </c>
      <c r="G647" s="4" t="s">
        <v>2807</v>
      </c>
      <c r="H647" s="4" t="s">
        <v>2922</v>
      </c>
      <c r="I647" s="8" t="s">
        <v>63</v>
      </c>
      <c r="J647" s="8" t="s">
        <v>31</v>
      </c>
      <c r="K647" s="12">
        <f>_xlfn.XLOOKUP(B647,[1]Sheet1!$B:$B,[1]Sheet1!$N:$N,0)</f>
        <v>0</v>
      </c>
      <c r="L647" s="12">
        <f>_xlfn.XLOOKUP(B647,[1]Sheet1!$B:$B,[1]Sheet1!$O:$O,0)</f>
        <v>0</v>
      </c>
      <c r="M647" s="12">
        <f>_xlfn.XLOOKUP(B647,[1]Sheet1!$B:$B,[1]Sheet1!$P:$P,0)</f>
        <v>2319586.7999999998</v>
      </c>
      <c r="N647" s="12">
        <f>_xlfn.XLOOKUP(B647,[1]Sheet1!$B:$B,[1]Sheet1!$Q:$Q,0)</f>
        <v>0</v>
      </c>
      <c r="O647" s="12">
        <f>_xlfn.XLOOKUP(B647,[1]Sheet1!$B:$B,[1]Sheet1!$R:$R,0)</f>
        <v>3670413</v>
      </c>
      <c r="P647" s="12">
        <f>_xlfn.XLOOKUP(B647,[1]Sheet1!$B:$B,[1]Sheet1!$S:$S,0)</f>
        <v>0</v>
      </c>
      <c r="Q647" s="12">
        <f>_xlfn.XLOOKUP(B647,[1]Sheet1!$B:$B,[1]Sheet1!$T:$T,0)</f>
        <v>2497000</v>
      </c>
      <c r="R647" s="12">
        <f>_xlfn.XLOOKUP(B647,[1]Sheet1!$B:$B,[1]Sheet1!$U:$U,0)</f>
        <v>0</v>
      </c>
      <c r="S647" s="12">
        <f>_xlfn.XLOOKUP(B647,[1]Sheet1!$B:$B,[1]Sheet1!$V:$V,0)</f>
        <v>0</v>
      </c>
      <c r="T647" s="12">
        <f>_xlfn.XLOOKUP(B647,[1]Sheet1!$B:$B,[1]Sheet1!$W:$W,0)</f>
        <v>0</v>
      </c>
      <c r="U647" s="12">
        <f>_xlfn.XLOOKUP(B647,[1]Sheet1!$B:$B,[1]Sheet1!$X:$X,0)</f>
        <v>0</v>
      </c>
      <c r="V647" s="12">
        <f>_xlfn.XLOOKUP(B647,[1]Sheet1!$B:$B,[1]Sheet1!$Y:$Y,0)</f>
        <v>277000</v>
      </c>
      <c r="W647" s="12">
        <f t="shared" si="23"/>
        <v>8763999.8000000007</v>
      </c>
      <c r="X647" s="8" t="s">
        <v>219</v>
      </c>
      <c r="Y647" s="8" t="s">
        <v>211</v>
      </c>
      <c r="Z647" s="8" t="s">
        <v>212</v>
      </c>
      <c r="AA647" s="8" t="s">
        <v>68</v>
      </c>
      <c r="AB647" s="8" t="s">
        <v>36</v>
      </c>
      <c r="AC647" s="8" t="s">
        <v>37</v>
      </c>
      <c r="AD647" s="8" t="s">
        <v>214</v>
      </c>
      <c r="AE647" s="8" t="s">
        <v>39</v>
      </c>
      <c r="AF647" s="8" t="s">
        <v>40</v>
      </c>
      <c r="AG647" s="9">
        <v>8764000</v>
      </c>
      <c r="AH647" s="11">
        <f>_xlfn.XLOOKUP(B647,[1]Sheet1!$B:$B,[1]Sheet1!$AB:$AB,0)</f>
        <v>8763999.8000000007</v>
      </c>
    </row>
    <row r="648" spans="2:34" ht="16.8" thickTop="1" thickBot="1" x14ac:dyDescent="0.35">
      <c r="B648" s="3" t="str">
        <f t="shared" si="22"/>
        <v>45155004511000809Event Management-N422401200104</v>
      </c>
      <c r="C648" s="6" t="s">
        <v>513</v>
      </c>
      <c r="D648" s="6" t="s">
        <v>1088</v>
      </c>
      <c r="E648" s="6" t="s">
        <v>1089</v>
      </c>
      <c r="F648" s="6" t="s">
        <v>162</v>
      </c>
      <c r="G648" s="4" t="s">
        <v>2807</v>
      </c>
      <c r="H648" s="4" t="s">
        <v>2922</v>
      </c>
      <c r="I648" s="6" t="s">
        <v>63</v>
      </c>
      <c r="J648" s="6" t="s">
        <v>31</v>
      </c>
      <c r="K648" s="12">
        <f>_xlfn.XLOOKUP(B648,[1]Sheet1!$B:$B,[1]Sheet1!$N:$N,0)</f>
        <v>0</v>
      </c>
      <c r="L648" s="12">
        <f>_xlfn.XLOOKUP(B648,[1]Sheet1!$B:$B,[1]Sheet1!$O:$O,0)</f>
        <v>0</v>
      </c>
      <c r="M648" s="12">
        <f>_xlfn.XLOOKUP(B648,[1]Sheet1!$B:$B,[1]Sheet1!$P:$P,0)</f>
        <v>35526630</v>
      </c>
      <c r="N648" s="12">
        <f>_xlfn.XLOOKUP(B648,[1]Sheet1!$B:$B,[1]Sheet1!$Q:$Q,0)</f>
        <v>10201896.23</v>
      </c>
      <c r="O648" s="12">
        <f>_xlfn.XLOOKUP(B648,[1]Sheet1!$B:$B,[1]Sheet1!$R:$R,0)</f>
        <v>363602</v>
      </c>
      <c r="P648" s="12">
        <f>_xlfn.XLOOKUP(B648,[1]Sheet1!$B:$B,[1]Sheet1!$S:$S,0)</f>
        <v>0</v>
      </c>
      <c r="Q648" s="12">
        <f>_xlfn.XLOOKUP(B648,[1]Sheet1!$B:$B,[1]Sheet1!$T:$T,0)</f>
        <v>0</v>
      </c>
      <c r="R648" s="12">
        <f>_xlfn.XLOOKUP(B648,[1]Sheet1!$B:$B,[1]Sheet1!$U:$U,0)</f>
        <v>0</v>
      </c>
      <c r="S648" s="12">
        <f>_xlfn.XLOOKUP(B648,[1]Sheet1!$B:$B,[1]Sheet1!$V:$V,0)</f>
        <v>0</v>
      </c>
      <c r="T648" s="12">
        <f>_xlfn.XLOOKUP(B648,[1]Sheet1!$B:$B,[1]Sheet1!$W:$W,0)</f>
        <v>11963410.75</v>
      </c>
      <c r="U648" s="12">
        <f>_xlfn.XLOOKUP(B648,[1]Sheet1!$B:$B,[1]Sheet1!$X:$X,0)</f>
        <v>0</v>
      </c>
      <c r="V648" s="12">
        <f>_xlfn.XLOOKUP(B648,[1]Sheet1!$B:$B,[1]Sheet1!$Y:$Y,0)</f>
        <v>0</v>
      </c>
      <c r="W648" s="12">
        <f t="shared" si="23"/>
        <v>58055538.980000004</v>
      </c>
      <c r="X648" s="6" t="s">
        <v>524</v>
      </c>
      <c r="Y648" s="6" t="s">
        <v>211</v>
      </c>
      <c r="Z648" s="6" t="s">
        <v>512</v>
      </c>
      <c r="AA648" s="6" t="s">
        <v>68</v>
      </c>
      <c r="AB648" s="6" t="s">
        <v>36</v>
      </c>
      <c r="AC648" s="6" t="s">
        <v>37</v>
      </c>
      <c r="AD648" s="6" t="s">
        <v>342</v>
      </c>
      <c r="AE648" s="6" t="s">
        <v>39</v>
      </c>
      <c r="AF648" s="6" t="s">
        <v>40</v>
      </c>
      <c r="AG648" s="7">
        <v>58055539</v>
      </c>
      <c r="AH648" s="11">
        <f>_xlfn.XLOOKUP(B648,[1]Sheet1!$B:$B,[1]Sheet1!$AB:$AB,0)</f>
        <v>58055538.980000004</v>
      </c>
    </row>
    <row r="649" spans="2:34" ht="16.8" thickTop="1" thickBot="1" x14ac:dyDescent="0.35">
      <c r="B649" s="3" t="str">
        <f t="shared" si="22"/>
        <v>45150104511000809Event Management-ND422401200104</v>
      </c>
      <c r="C649" s="8" t="s">
        <v>1093</v>
      </c>
      <c r="D649" s="8" t="s">
        <v>1088</v>
      </c>
      <c r="E649" s="8" t="s">
        <v>1089</v>
      </c>
      <c r="F649" s="8" t="s">
        <v>1090</v>
      </c>
      <c r="G649" s="4" t="s">
        <v>2807</v>
      </c>
      <c r="H649" s="4" t="s">
        <v>2922</v>
      </c>
      <c r="I649" s="8" t="s">
        <v>63</v>
      </c>
      <c r="J649" s="8" t="s">
        <v>31</v>
      </c>
      <c r="K649" s="12">
        <f>_xlfn.XLOOKUP(B649,[1]Sheet1!$B:$B,[1]Sheet1!$N:$N,0)</f>
        <v>0</v>
      </c>
      <c r="L649" s="12">
        <f>_xlfn.XLOOKUP(B649,[1]Sheet1!$B:$B,[1]Sheet1!$O:$O,0)</f>
        <v>0</v>
      </c>
      <c r="M649" s="12">
        <f>_xlfn.XLOOKUP(B649,[1]Sheet1!$B:$B,[1]Sheet1!$P:$P,0)</f>
        <v>0</v>
      </c>
      <c r="N649" s="12">
        <f>_xlfn.XLOOKUP(B649,[1]Sheet1!$B:$B,[1]Sheet1!$Q:$Q,0)</f>
        <v>0</v>
      </c>
      <c r="O649" s="12">
        <f>_xlfn.XLOOKUP(B649,[1]Sheet1!$B:$B,[1]Sheet1!$R:$R,0)</f>
        <v>0</v>
      </c>
      <c r="P649" s="12">
        <f>_xlfn.XLOOKUP(B649,[1]Sheet1!$B:$B,[1]Sheet1!$S:$S,0)</f>
        <v>17600000</v>
      </c>
      <c r="Q649" s="12">
        <f>_xlfn.XLOOKUP(B649,[1]Sheet1!$B:$B,[1]Sheet1!$T:$T,0)</f>
        <v>0</v>
      </c>
      <c r="R649" s="12">
        <f>_xlfn.XLOOKUP(B649,[1]Sheet1!$B:$B,[1]Sheet1!$U:$U,0)</f>
        <v>0</v>
      </c>
      <c r="S649" s="12">
        <f>_xlfn.XLOOKUP(B649,[1]Sheet1!$B:$B,[1]Sheet1!$V:$V,0)</f>
        <v>0</v>
      </c>
      <c r="T649" s="12">
        <f>_xlfn.XLOOKUP(B649,[1]Sheet1!$B:$B,[1]Sheet1!$W:$W,0)</f>
        <v>0</v>
      </c>
      <c r="U649" s="12">
        <f>_xlfn.XLOOKUP(B649,[1]Sheet1!$B:$B,[1]Sheet1!$X:$X,0)</f>
        <v>0</v>
      </c>
      <c r="V649" s="12">
        <f>_xlfn.XLOOKUP(B649,[1]Sheet1!$B:$B,[1]Sheet1!$Y:$Y,0)</f>
        <v>80000000</v>
      </c>
      <c r="W649" s="12">
        <f t="shared" si="23"/>
        <v>97600000</v>
      </c>
      <c r="X649" s="8" t="s">
        <v>1091</v>
      </c>
      <c r="Y649" s="8" t="s">
        <v>211</v>
      </c>
      <c r="Z649" s="8" t="s">
        <v>1092</v>
      </c>
      <c r="AA649" s="8" t="s">
        <v>68</v>
      </c>
      <c r="AB649" s="8" t="s">
        <v>36</v>
      </c>
      <c r="AC649" s="8" t="s">
        <v>37</v>
      </c>
      <c r="AD649" s="8" t="s">
        <v>342</v>
      </c>
      <c r="AE649" s="8" t="s">
        <v>39</v>
      </c>
      <c r="AF649" s="8" t="s">
        <v>40</v>
      </c>
      <c r="AG649" s="9">
        <v>97600000</v>
      </c>
      <c r="AH649" s="11">
        <f>_xlfn.XLOOKUP(B649,[1]Sheet1!$B:$B,[1]Sheet1!$AB:$AB,0)</f>
        <v>97600000</v>
      </c>
    </row>
    <row r="650" spans="2:34" ht="16.8" thickTop="1" thickBot="1" x14ac:dyDescent="0.35">
      <c r="B650" s="3" t="str">
        <f t="shared" si="22"/>
        <v>45150104511000809Manpower-N424521200104</v>
      </c>
      <c r="C650" s="6" t="s">
        <v>1093</v>
      </c>
      <c r="D650" s="6" t="s">
        <v>1088</v>
      </c>
      <c r="E650" s="6" t="s">
        <v>1089</v>
      </c>
      <c r="F650" s="6" t="s">
        <v>98</v>
      </c>
      <c r="G650" s="4" t="s">
        <v>2804</v>
      </c>
      <c r="H650" s="4" t="s">
        <v>2922</v>
      </c>
      <c r="I650" s="6" t="s">
        <v>51</v>
      </c>
      <c r="J650" s="6" t="s">
        <v>31</v>
      </c>
      <c r="K650" s="12">
        <f>_xlfn.XLOOKUP(B650,[1]Sheet1!$B:$B,[1]Sheet1!$N:$N,0)</f>
        <v>0</v>
      </c>
      <c r="L650" s="12">
        <f>_xlfn.XLOOKUP(B650,[1]Sheet1!$B:$B,[1]Sheet1!$O:$O,0)</f>
        <v>0</v>
      </c>
      <c r="M650" s="12">
        <f>_xlfn.XLOOKUP(B650,[1]Sheet1!$B:$B,[1]Sheet1!$P:$P,0)</f>
        <v>0</v>
      </c>
      <c r="N650" s="12">
        <f>_xlfn.XLOOKUP(B650,[1]Sheet1!$B:$B,[1]Sheet1!$Q:$Q,0)</f>
        <v>0</v>
      </c>
      <c r="O650" s="12">
        <f>_xlfn.XLOOKUP(B650,[1]Sheet1!$B:$B,[1]Sheet1!$R:$R,0)</f>
        <v>0</v>
      </c>
      <c r="P650" s="12">
        <f>_xlfn.XLOOKUP(B650,[1]Sheet1!$B:$B,[1]Sheet1!$S:$S,0)</f>
        <v>0</v>
      </c>
      <c r="Q650" s="12">
        <f>_xlfn.XLOOKUP(B650,[1]Sheet1!$B:$B,[1]Sheet1!$T:$T,0)</f>
        <v>0</v>
      </c>
      <c r="R650" s="12">
        <f>_xlfn.XLOOKUP(B650,[1]Sheet1!$B:$B,[1]Sheet1!$U:$U,0)</f>
        <v>0</v>
      </c>
      <c r="S650" s="12">
        <f>_xlfn.XLOOKUP(B650,[1]Sheet1!$B:$B,[1]Sheet1!$V:$V,0)</f>
        <v>0</v>
      </c>
      <c r="T650" s="12">
        <f>_xlfn.XLOOKUP(B650,[1]Sheet1!$B:$B,[1]Sheet1!$W:$W,0)</f>
        <v>0</v>
      </c>
      <c r="U650" s="12">
        <f>_xlfn.XLOOKUP(B650,[1]Sheet1!$B:$B,[1]Sheet1!$X:$X,0)</f>
        <v>0</v>
      </c>
      <c r="V650" s="12">
        <f>_xlfn.XLOOKUP(B650,[1]Sheet1!$B:$B,[1]Sheet1!$Y:$Y,0)</f>
        <v>0</v>
      </c>
      <c r="W650" s="12">
        <f t="shared" si="23"/>
        <v>0</v>
      </c>
      <c r="X650" s="6" t="s">
        <v>1094</v>
      </c>
      <c r="Y650" s="6" t="s">
        <v>211</v>
      </c>
      <c r="Z650" s="6" t="s">
        <v>1092</v>
      </c>
      <c r="AA650" s="6" t="s">
        <v>53</v>
      </c>
      <c r="AB650" s="6" t="s">
        <v>36</v>
      </c>
      <c r="AC650" s="6" t="s">
        <v>37</v>
      </c>
      <c r="AD650" s="6" t="s">
        <v>342</v>
      </c>
      <c r="AE650" s="6" t="s">
        <v>39</v>
      </c>
      <c r="AF650" s="6" t="s">
        <v>40</v>
      </c>
      <c r="AG650" s="7">
        <v>1700000</v>
      </c>
      <c r="AH650" s="11">
        <f>_xlfn.XLOOKUP(B650,[1]Sheet1!$B:$B,[1]Sheet1!$AB:$AB,0)</f>
        <v>1700000</v>
      </c>
    </row>
    <row r="651" spans="2:34" ht="16.8" thickTop="1" thickBot="1" x14ac:dyDescent="0.35">
      <c r="B651" s="3" t="str">
        <f t="shared" si="22"/>
        <v>45155004511000810Admin Expenses-N421125200104</v>
      </c>
      <c r="C651" s="8" t="s">
        <v>513</v>
      </c>
      <c r="D651" s="8" t="s">
        <v>1095</v>
      </c>
      <c r="E651" s="8" t="s">
        <v>1096</v>
      </c>
      <c r="F651" s="8" t="s">
        <v>130</v>
      </c>
      <c r="G651" s="4" t="s">
        <v>2803</v>
      </c>
      <c r="H651" s="4" t="s">
        <v>2922</v>
      </c>
      <c r="I651" s="8" t="s">
        <v>44</v>
      </c>
      <c r="J651" s="8" t="s">
        <v>31</v>
      </c>
      <c r="K651" s="12">
        <f>_xlfn.XLOOKUP(B651,[1]Sheet1!$B:$B,[1]Sheet1!$N:$N,0)</f>
        <v>0</v>
      </c>
      <c r="L651" s="12">
        <f>_xlfn.XLOOKUP(B651,[1]Sheet1!$B:$B,[1]Sheet1!$O:$O,0)</f>
        <v>0</v>
      </c>
      <c r="M651" s="12">
        <f>_xlfn.XLOOKUP(B651,[1]Sheet1!$B:$B,[1]Sheet1!$P:$P,0)</f>
        <v>0</v>
      </c>
      <c r="N651" s="12">
        <f>_xlfn.XLOOKUP(B651,[1]Sheet1!$B:$B,[1]Sheet1!$Q:$Q,0)</f>
        <v>77778</v>
      </c>
      <c r="O651" s="12">
        <f>_xlfn.XLOOKUP(B651,[1]Sheet1!$B:$B,[1]Sheet1!$R:$R,0)</f>
        <v>75000</v>
      </c>
      <c r="P651" s="12">
        <f>_xlfn.XLOOKUP(B651,[1]Sheet1!$B:$B,[1]Sheet1!$S:$S,0)</f>
        <v>75000</v>
      </c>
      <c r="Q651" s="12">
        <f>_xlfn.XLOOKUP(B651,[1]Sheet1!$B:$B,[1]Sheet1!$T:$T,0)</f>
        <v>100000</v>
      </c>
      <c r="R651" s="12">
        <f>_xlfn.XLOOKUP(B651,[1]Sheet1!$B:$B,[1]Sheet1!$U:$U,0)</f>
        <v>100000</v>
      </c>
      <c r="S651" s="12">
        <f>_xlfn.XLOOKUP(B651,[1]Sheet1!$B:$B,[1]Sheet1!$V:$V,0)</f>
        <v>200000</v>
      </c>
      <c r="T651" s="12">
        <f>_xlfn.XLOOKUP(B651,[1]Sheet1!$B:$B,[1]Sheet1!$W:$W,0)</f>
        <v>200000</v>
      </c>
      <c r="U651" s="12">
        <f>_xlfn.XLOOKUP(B651,[1]Sheet1!$B:$B,[1]Sheet1!$X:$X,0)</f>
        <v>100000</v>
      </c>
      <c r="V651" s="12">
        <f>_xlfn.XLOOKUP(B651,[1]Sheet1!$B:$B,[1]Sheet1!$Y:$Y,0)</f>
        <v>35649</v>
      </c>
      <c r="W651" s="12">
        <f t="shared" si="23"/>
        <v>963427</v>
      </c>
      <c r="X651" s="8" t="s">
        <v>987</v>
      </c>
      <c r="Y651" s="8" t="s">
        <v>211</v>
      </c>
      <c r="Z651" s="8" t="s">
        <v>512</v>
      </c>
      <c r="AA651" s="8" t="s">
        <v>44</v>
      </c>
      <c r="AB651" s="8" t="s">
        <v>36</v>
      </c>
      <c r="AC651" s="8" t="s">
        <v>37</v>
      </c>
      <c r="AD651" s="8" t="s">
        <v>342</v>
      </c>
      <c r="AE651" s="8" t="s">
        <v>39</v>
      </c>
      <c r="AF651" s="8" t="s">
        <v>40</v>
      </c>
      <c r="AG651" s="9">
        <v>1263427</v>
      </c>
      <c r="AH651" s="11">
        <f>_xlfn.XLOOKUP(B651,[1]Sheet1!$B:$B,[1]Sheet1!$AB:$AB,0)</f>
        <v>1263427</v>
      </c>
    </row>
    <row r="652" spans="2:34" ht="16.8" thickTop="1" thickBot="1" x14ac:dyDescent="0.35">
      <c r="B652" s="3" t="str">
        <f t="shared" si="22"/>
        <v>45155004511000810Freelancers-N424521200104</v>
      </c>
      <c r="C652" s="6" t="s">
        <v>513</v>
      </c>
      <c r="D652" s="6" t="s">
        <v>1095</v>
      </c>
      <c r="E652" s="6" t="s">
        <v>1096</v>
      </c>
      <c r="F652" s="6" t="s">
        <v>50</v>
      </c>
      <c r="G652" s="4" t="s">
        <v>2804</v>
      </c>
      <c r="H652" s="4" t="s">
        <v>2922</v>
      </c>
      <c r="I652" s="6" t="s">
        <v>51</v>
      </c>
      <c r="J652" s="6" t="s">
        <v>31</v>
      </c>
      <c r="K652" s="12">
        <f>_xlfn.XLOOKUP(B652,[1]Sheet1!$B:$B,[1]Sheet1!$N:$N,0)</f>
        <v>189500</v>
      </c>
      <c r="L652" s="12">
        <f>_xlfn.XLOOKUP(B652,[1]Sheet1!$B:$B,[1]Sheet1!$O:$O,0)</f>
        <v>111416.65999999997</v>
      </c>
      <c r="M652" s="12">
        <f>_xlfn.XLOOKUP(B652,[1]Sheet1!$B:$B,[1]Sheet1!$P:$P,0)</f>
        <v>0</v>
      </c>
      <c r="N652" s="12">
        <f>_xlfn.XLOOKUP(B652,[1]Sheet1!$B:$B,[1]Sheet1!$Q:$Q,0)</f>
        <v>560874</v>
      </c>
      <c r="O652" s="12">
        <f>_xlfn.XLOOKUP(B652,[1]Sheet1!$B:$B,[1]Sheet1!$R:$R,0)</f>
        <v>254500</v>
      </c>
      <c r="P652" s="12">
        <f>_xlfn.XLOOKUP(B652,[1]Sheet1!$B:$B,[1]Sheet1!$S:$S,0)</f>
        <v>254500</v>
      </c>
      <c r="Q652" s="12">
        <f>_xlfn.XLOOKUP(B652,[1]Sheet1!$B:$B,[1]Sheet1!$T:$T,0)</f>
        <v>254500</v>
      </c>
      <c r="R652" s="12">
        <f>_xlfn.XLOOKUP(B652,[1]Sheet1!$B:$B,[1]Sheet1!$U:$U,0)</f>
        <v>254500</v>
      </c>
      <c r="S652" s="12">
        <f>_xlfn.XLOOKUP(B652,[1]Sheet1!$B:$B,[1]Sheet1!$V:$V,0)</f>
        <v>254500</v>
      </c>
      <c r="T652" s="12">
        <f>_xlfn.XLOOKUP(B652,[1]Sheet1!$B:$B,[1]Sheet1!$W:$W,0)</f>
        <v>254500</v>
      </c>
      <c r="U652" s="12">
        <f>_xlfn.XLOOKUP(B652,[1]Sheet1!$B:$B,[1]Sheet1!$X:$X,0)</f>
        <v>279500</v>
      </c>
      <c r="V652" s="12">
        <f>_xlfn.XLOOKUP(B652,[1]Sheet1!$B:$B,[1]Sheet1!$Y:$Y,0)</f>
        <v>280477</v>
      </c>
      <c r="W652" s="12">
        <f t="shared" si="23"/>
        <v>2948767.66</v>
      </c>
      <c r="X652" s="6" t="s">
        <v>1097</v>
      </c>
      <c r="Y652" s="6" t="s">
        <v>211</v>
      </c>
      <c r="Z652" s="6" t="s">
        <v>512</v>
      </c>
      <c r="AA652" s="6" t="s">
        <v>53</v>
      </c>
      <c r="AB652" s="6" t="s">
        <v>36</v>
      </c>
      <c r="AC652" s="6" t="s">
        <v>37</v>
      </c>
      <c r="AD652" s="6" t="s">
        <v>342</v>
      </c>
      <c r="AE652" s="6" t="s">
        <v>39</v>
      </c>
      <c r="AF652" s="6" t="s">
        <v>40</v>
      </c>
      <c r="AG652" s="7">
        <v>1973105</v>
      </c>
      <c r="AH652" s="11">
        <f>_xlfn.XLOOKUP(B652,[1]Sheet1!$B:$B,[1]Sheet1!$AB:$AB,0)</f>
        <v>1973104.6600000001</v>
      </c>
    </row>
    <row r="653" spans="2:34" ht="16.8" thickTop="1" thickBot="1" x14ac:dyDescent="0.35">
      <c r="B653" s="3" t="str">
        <f t="shared" si="22"/>
        <v>45155004511000810Mission &amp; Travel-N423821200104</v>
      </c>
      <c r="C653" s="8" t="s">
        <v>513</v>
      </c>
      <c r="D653" s="8" t="s">
        <v>1095</v>
      </c>
      <c r="E653" s="8" t="s">
        <v>1096</v>
      </c>
      <c r="F653" s="8" t="s">
        <v>54</v>
      </c>
      <c r="G653" s="4" t="s">
        <v>2805</v>
      </c>
      <c r="H653" s="4" t="s">
        <v>2922</v>
      </c>
      <c r="I653" s="8" t="s">
        <v>55</v>
      </c>
      <c r="J653" s="8" t="s">
        <v>31</v>
      </c>
      <c r="K653" s="12">
        <f>_xlfn.XLOOKUP(B653,[1]Sheet1!$B:$B,[1]Sheet1!$N:$N,0)</f>
        <v>0</v>
      </c>
      <c r="L653" s="12">
        <f>_xlfn.XLOOKUP(B653,[1]Sheet1!$B:$B,[1]Sheet1!$O:$O,0)</f>
        <v>0</v>
      </c>
      <c r="M653" s="12">
        <f>_xlfn.XLOOKUP(B653,[1]Sheet1!$B:$B,[1]Sheet1!$P:$P,0)</f>
        <v>12500</v>
      </c>
      <c r="N653" s="12">
        <f>_xlfn.XLOOKUP(B653,[1]Sheet1!$B:$B,[1]Sheet1!$Q:$Q,0)</f>
        <v>0</v>
      </c>
      <c r="O653" s="12">
        <f>_xlfn.XLOOKUP(B653,[1]Sheet1!$B:$B,[1]Sheet1!$R:$R,0)</f>
        <v>0</v>
      </c>
      <c r="P653" s="12">
        <f>_xlfn.XLOOKUP(B653,[1]Sheet1!$B:$B,[1]Sheet1!$S:$S,0)</f>
        <v>0</v>
      </c>
      <c r="Q653" s="12">
        <f>_xlfn.XLOOKUP(B653,[1]Sheet1!$B:$B,[1]Sheet1!$T:$T,0)</f>
        <v>200000</v>
      </c>
      <c r="R653" s="12">
        <f>_xlfn.XLOOKUP(B653,[1]Sheet1!$B:$B,[1]Sheet1!$U:$U,0)</f>
        <v>100000</v>
      </c>
      <c r="S653" s="12">
        <f>_xlfn.XLOOKUP(B653,[1]Sheet1!$B:$B,[1]Sheet1!$V:$V,0)</f>
        <v>100000</v>
      </c>
      <c r="T653" s="12">
        <f>_xlfn.XLOOKUP(B653,[1]Sheet1!$B:$B,[1]Sheet1!$W:$W,0)</f>
        <v>300000</v>
      </c>
      <c r="U653" s="12">
        <f>_xlfn.XLOOKUP(B653,[1]Sheet1!$B:$B,[1]Sheet1!$X:$X,0)</f>
        <v>400000</v>
      </c>
      <c r="V653" s="12">
        <f>_xlfn.XLOOKUP(B653,[1]Sheet1!$B:$B,[1]Sheet1!$Y:$Y,0)</f>
        <v>887500</v>
      </c>
      <c r="W653" s="12">
        <f t="shared" si="23"/>
        <v>2000000</v>
      </c>
      <c r="X653" s="8" t="s">
        <v>1098</v>
      </c>
      <c r="Y653" s="8" t="s">
        <v>211</v>
      </c>
      <c r="Z653" s="8" t="s">
        <v>512</v>
      </c>
      <c r="AA653" s="8" t="s">
        <v>55</v>
      </c>
      <c r="AB653" s="8" t="s">
        <v>36</v>
      </c>
      <c r="AC653" s="8" t="s">
        <v>37</v>
      </c>
      <c r="AD653" s="8" t="s">
        <v>342</v>
      </c>
      <c r="AE653" s="8" t="s">
        <v>39</v>
      </c>
      <c r="AF653" s="8" t="s">
        <v>40</v>
      </c>
      <c r="AG653" s="9">
        <v>849645</v>
      </c>
      <c r="AH653" s="11">
        <f>_xlfn.XLOOKUP(B653,[1]Sheet1!$B:$B,[1]Sheet1!$AB:$AB,0)</f>
        <v>849645</v>
      </c>
    </row>
    <row r="654" spans="2:34" ht="16.8" thickTop="1" thickBot="1" x14ac:dyDescent="0.35">
      <c r="B654" s="3" t="str">
        <f t="shared" si="22"/>
        <v>45155004511000810Strategy Advice-N421123200104</v>
      </c>
      <c r="C654" s="6" t="s">
        <v>513</v>
      </c>
      <c r="D654" s="6" t="s">
        <v>1095</v>
      </c>
      <c r="E654" s="6" t="s">
        <v>1096</v>
      </c>
      <c r="F654" s="6" t="s">
        <v>236</v>
      </c>
      <c r="G654" s="4" t="s">
        <v>2827</v>
      </c>
      <c r="H654" s="4" t="s">
        <v>2922</v>
      </c>
      <c r="I654" s="6" t="s">
        <v>237</v>
      </c>
      <c r="J654" s="6" t="s">
        <v>31</v>
      </c>
      <c r="K654" s="12">
        <f>_xlfn.XLOOKUP(B654,[1]Sheet1!$B:$B,[1]Sheet1!$N:$N,0)</f>
        <v>0</v>
      </c>
      <c r="L654" s="12">
        <f>_xlfn.XLOOKUP(B654,[1]Sheet1!$B:$B,[1]Sheet1!$O:$O,0)</f>
        <v>0</v>
      </c>
      <c r="M654" s="12">
        <f>_xlfn.XLOOKUP(B654,[1]Sheet1!$B:$B,[1]Sheet1!$P:$P,0)</f>
        <v>0</v>
      </c>
      <c r="N654" s="12">
        <f>_xlfn.XLOOKUP(B654,[1]Sheet1!$B:$B,[1]Sheet1!$Q:$Q,0)</f>
        <v>0</v>
      </c>
      <c r="O654" s="12">
        <f>_xlfn.XLOOKUP(B654,[1]Sheet1!$B:$B,[1]Sheet1!$R:$R,0)</f>
        <v>400000</v>
      </c>
      <c r="P654" s="12">
        <f>_xlfn.XLOOKUP(B654,[1]Sheet1!$B:$B,[1]Sheet1!$S:$S,0)</f>
        <v>0</v>
      </c>
      <c r="Q654" s="12">
        <f>_xlfn.XLOOKUP(B654,[1]Sheet1!$B:$B,[1]Sheet1!$T:$T,0)</f>
        <v>0</v>
      </c>
      <c r="R654" s="12">
        <f>_xlfn.XLOOKUP(B654,[1]Sheet1!$B:$B,[1]Sheet1!$U:$U,0)</f>
        <v>0</v>
      </c>
      <c r="S654" s="12">
        <f>_xlfn.XLOOKUP(B654,[1]Sheet1!$B:$B,[1]Sheet1!$V:$V,0)</f>
        <v>400000</v>
      </c>
      <c r="T654" s="12">
        <f>_xlfn.XLOOKUP(B654,[1]Sheet1!$B:$B,[1]Sheet1!$W:$W,0)</f>
        <v>0</v>
      </c>
      <c r="U654" s="12">
        <f>_xlfn.XLOOKUP(B654,[1]Sheet1!$B:$B,[1]Sheet1!$X:$X,0)</f>
        <v>400000</v>
      </c>
      <c r="V654" s="12">
        <f>_xlfn.XLOOKUP(B654,[1]Sheet1!$B:$B,[1]Sheet1!$Y:$Y,0)</f>
        <v>0</v>
      </c>
      <c r="W654" s="12">
        <f t="shared" si="23"/>
        <v>1200000</v>
      </c>
      <c r="X654" s="6" t="s">
        <v>1099</v>
      </c>
      <c r="Y654" s="6" t="s">
        <v>211</v>
      </c>
      <c r="Z654" s="6" t="s">
        <v>512</v>
      </c>
      <c r="AA654" s="6" t="s">
        <v>237</v>
      </c>
      <c r="AB654" s="6" t="s">
        <v>36</v>
      </c>
      <c r="AC654" s="6" t="s">
        <v>37</v>
      </c>
      <c r="AD654" s="6" t="s">
        <v>342</v>
      </c>
      <c r="AE654" s="6" t="s">
        <v>39</v>
      </c>
      <c r="AF654" s="6" t="s">
        <v>40</v>
      </c>
      <c r="AG654" s="7">
        <v>1340015</v>
      </c>
      <c r="AH654" s="11">
        <f>_xlfn.XLOOKUP(B654,[1]Sheet1!$B:$B,[1]Sheet1!$AB:$AB,0)</f>
        <v>1340015</v>
      </c>
    </row>
    <row r="655" spans="2:34" ht="16.8" thickTop="1" thickBot="1" x14ac:dyDescent="0.35">
      <c r="B655" s="3" t="str">
        <f t="shared" si="22"/>
        <v>45155004511000810Venue&amp;Room Rent-N422401200104</v>
      </c>
      <c r="C655" s="8" t="s">
        <v>513</v>
      </c>
      <c r="D655" s="8" t="s">
        <v>1095</v>
      </c>
      <c r="E655" s="8" t="s">
        <v>1096</v>
      </c>
      <c r="F655" s="8" t="s">
        <v>218</v>
      </c>
      <c r="G655" s="4" t="s">
        <v>2807</v>
      </c>
      <c r="H655" s="4" t="s">
        <v>2922</v>
      </c>
      <c r="I655" s="8" t="s">
        <v>63</v>
      </c>
      <c r="J655" s="8" t="s">
        <v>31</v>
      </c>
      <c r="K655" s="12">
        <f>_xlfn.XLOOKUP(B655,[1]Sheet1!$B:$B,[1]Sheet1!$N:$N,0)</f>
        <v>0</v>
      </c>
      <c r="L655" s="12">
        <f>_xlfn.XLOOKUP(B655,[1]Sheet1!$B:$B,[1]Sheet1!$O:$O,0)</f>
        <v>0</v>
      </c>
      <c r="M655" s="12">
        <f>_xlfn.XLOOKUP(B655,[1]Sheet1!$B:$B,[1]Sheet1!$P:$P,0)</f>
        <v>0</v>
      </c>
      <c r="N655" s="12">
        <f>_xlfn.XLOOKUP(B655,[1]Sheet1!$B:$B,[1]Sheet1!$Q:$Q,0)</f>
        <v>0</v>
      </c>
      <c r="O655" s="12">
        <f>_xlfn.XLOOKUP(B655,[1]Sheet1!$B:$B,[1]Sheet1!$R:$R,0)</f>
        <v>0</v>
      </c>
      <c r="P655" s="12">
        <f>_xlfn.XLOOKUP(B655,[1]Sheet1!$B:$B,[1]Sheet1!$S:$S,0)</f>
        <v>0</v>
      </c>
      <c r="Q655" s="12">
        <f>_xlfn.XLOOKUP(B655,[1]Sheet1!$B:$B,[1]Sheet1!$T:$T,0)</f>
        <v>0</v>
      </c>
      <c r="R655" s="12">
        <f>_xlfn.XLOOKUP(B655,[1]Sheet1!$B:$B,[1]Sheet1!$U:$U,0)</f>
        <v>625000</v>
      </c>
      <c r="S655" s="12">
        <f>_xlfn.XLOOKUP(B655,[1]Sheet1!$B:$B,[1]Sheet1!$V:$V,0)</f>
        <v>0</v>
      </c>
      <c r="T655" s="12">
        <f>_xlfn.XLOOKUP(B655,[1]Sheet1!$B:$B,[1]Sheet1!$W:$W,0)</f>
        <v>625000</v>
      </c>
      <c r="U655" s="12">
        <f>_xlfn.XLOOKUP(B655,[1]Sheet1!$B:$B,[1]Sheet1!$X:$X,0)</f>
        <v>0</v>
      </c>
      <c r="V655" s="12">
        <f>_xlfn.XLOOKUP(B655,[1]Sheet1!$B:$B,[1]Sheet1!$Y:$Y,0)</f>
        <v>0</v>
      </c>
      <c r="W655" s="12">
        <f t="shared" si="23"/>
        <v>1250000</v>
      </c>
      <c r="X655" s="8" t="s">
        <v>524</v>
      </c>
      <c r="Y655" s="8" t="s">
        <v>211</v>
      </c>
      <c r="Z655" s="8" t="s">
        <v>512</v>
      </c>
      <c r="AA655" s="8" t="s">
        <v>68</v>
      </c>
      <c r="AB655" s="8" t="s">
        <v>36</v>
      </c>
      <c r="AC655" s="8" t="s">
        <v>37</v>
      </c>
      <c r="AD655" s="8" t="s">
        <v>342</v>
      </c>
      <c r="AE655" s="8" t="s">
        <v>39</v>
      </c>
      <c r="AF655" s="8" t="s">
        <v>40</v>
      </c>
      <c r="AG655" s="9">
        <v>1250000</v>
      </c>
      <c r="AH655" s="11">
        <f>_xlfn.XLOOKUP(B655,[1]Sheet1!$B:$B,[1]Sheet1!$AB:$AB,0)</f>
        <v>1250000</v>
      </c>
    </row>
    <row r="656" spans="2:34" ht="16.8" thickTop="1" thickBot="1" x14ac:dyDescent="0.35">
      <c r="B656" s="3" t="str">
        <f t="shared" si="22"/>
        <v>45122004511000815Audit Services-N1421125200104</v>
      </c>
      <c r="C656" s="6" t="s">
        <v>731</v>
      </c>
      <c r="D656" s="6" t="s">
        <v>1100</v>
      </c>
      <c r="E656" s="6" t="s">
        <v>1101</v>
      </c>
      <c r="F656" s="6" t="s">
        <v>1102</v>
      </c>
      <c r="G656" s="4" t="s">
        <v>2803</v>
      </c>
      <c r="H656" s="4" t="s">
        <v>2922</v>
      </c>
      <c r="I656" s="6" t="s">
        <v>44</v>
      </c>
      <c r="J656" s="6" t="s">
        <v>31</v>
      </c>
      <c r="K656" s="12">
        <f>_xlfn.XLOOKUP(B656,[1]Sheet1!$B:$B,[1]Sheet1!$N:$N,0)</f>
        <v>0</v>
      </c>
      <c r="L656" s="12">
        <f>_xlfn.XLOOKUP(B656,[1]Sheet1!$B:$B,[1]Sheet1!$O:$O,0)</f>
        <v>0</v>
      </c>
      <c r="M656" s="12">
        <f>_xlfn.XLOOKUP(B656,[1]Sheet1!$B:$B,[1]Sheet1!$P:$P,0)</f>
        <v>0</v>
      </c>
      <c r="N656" s="12">
        <f>_xlfn.XLOOKUP(B656,[1]Sheet1!$B:$B,[1]Sheet1!$Q:$Q,0)</f>
        <v>380000</v>
      </c>
      <c r="O656" s="12">
        <f>_xlfn.XLOOKUP(B656,[1]Sheet1!$B:$B,[1]Sheet1!$R:$R,0)</f>
        <v>190000</v>
      </c>
      <c r="P656" s="12">
        <f>_xlfn.XLOOKUP(B656,[1]Sheet1!$B:$B,[1]Sheet1!$S:$S,0)</f>
        <v>190000</v>
      </c>
      <c r="Q656" s="12">
        <f>_xlfn.XLOOKUP(B656,[1]Sheet1!$B:$B,[1]Sheet1!$T:$T,0)</f>
        <v>190000</v>
      </c>
      <c r="R656" s="12">
        <f>_xlfn.XLOOKUP(B656,[1]Sheet1!$B:$B,[1]Sheet1!$U:$U,0)</f>
        <v>0</v>
      </c>
      <c r="S656" s="12">
        <f>_xlfn.XLOOKUP(B656,[1]Sheet1!$B:$B,[1]Sheet1!$V:$V,0)</f>
        <v>0</v>
      </c>
      <c r="T656" s="12">
        <f>_xlfn.XLOOKUP(B656,[1]Sheet1!$B:$B,[1]Sheet1!$W:$W,0)</f>
        <v>0</v>
      </c>
      <c r="U656" s="12">
        <f>_xlfn.XLOOKUP(B656,[1]Sheet1!$B:$B,[1]Sheet1!$X:$X,0)</f>
        <v>0</v>
      </c>
      <c r="V656" s="12">
        <f>_xlfn.XLOOKUP(B656,[1]Sheet1!$B:$B,[1]Sheet1!$Y:$Y,0)</f>
        <v>0</v>
      </c>
      <c r="W656" s="12">
        <f t="shared" si="23"/>
        <v>950000</v>
      </c>
      <c r="X656" s="6" t="s">
        <v>1103</v>
      </c>
      <c r="Y656" s="6" t="s">
        <v>721</v>
      </c>
      <c r="Z656" s="6" t="s">
        <v>730</v>
      </c>
      <c r="AA656" s="6" t="s">
        <v>44</v>
      </c>
      <c r="AB656" s="6" t="s">
        <v>36</v>
      </c>
      <c r="AC656" s="6" t="s">
        <v>37</v>
      </c>
      <c r="AD656" s="6" t="s">
        <v>732</v>
      </c>
      <c r="AE656" s="6" t="s">
        <v>39</v>
      </c>
      <c r="AF656" s="6" t="s">
        <v>40</v>
      </c>
      <c r="AG656" s="7">
        <v>950000</v>
      </c>
      <c r="AH656" s="11">
        <f>_xlfn.XLOOKUP(B656,[1]Sheet1!$B:$B,[1]Sheet1!$AB:$AB,0)</f>
        <v>950000</v>
      </c>
    </row>
    <row r="657" spans="2:34" ht="16.8" thickTop="1" thickBot="1" x14ac:dyDescent="0.35">
      <c r="B657" s="3" t="str">
        <f t="shared" si="22"/>
        <v>45122004511000815General Retainer-N421125200104</v>
      </c>
      <c r="C657" s="8" t="s">
        <v>731</v>
      </c>
      <c r="D657" s="8" t="s">
        <v>1100</v>
      </c>
      <c r="E657" s="8" t="s">
        <v>1101</v>
      </c>
      <c r="F657" s="8" t="s">
        <v>1104</v>
      </c>
      <c r="G657" s="4" t="s">
        <v>2803</v>
      </c>
      <c r="H657" s="4" t="s">
        <v>2922</v>
      </c>
      <c r="I657" s="8" t="s">
        <v>44</v>
      </c>
      <c r="J657" s="8" t="s">
        <v>31</v>
      </c>
      <c r="K657" s="12">
        <f>_xlfn.XLOOKUP(B657,[1]Sheet1!$B:$B,[1]Sheet1!$N:$N,0)</f>
        <v>0</v>
      </c>
      <c r="L657" s="12">
        <f>_xlfn.XLOOKUP(B657,[1]Sheet1!$B:$B,[1]Sheet1!$O:$O,0)</f>
        <v>0</v>
      </c>
      <c r="M657" s="12">
        <f>_xlfn.XLOOKUP(B657,[1]Sheet1!$B:$B,[1]Sheet1!$P:$P,0)</f>
        <v>0</v>
      </c>
      <c r="N657" s="12">
        <f>_xlfn.XLOOKUP(B657,[1]Sheet1!$B:$B,[1]Sheet1!$Q:$Q,0)</f>
        <v>0</v>
      </c>
      <c r="O657" s="12">
        <f>_xlfn.XLOOKUP(B657,[1]Sheet1!$B:$B,[1]Sheet1!$R:$R,0)</f>
        <v>1000000</v>
      </c>
      <c r="P657" s="12">
        <f>_xlfn.XLOOKUP(B657,[1]Sheet1!$B:$B,[1]Sheet1!$S:$S,0)</f>
        <v>0</v>
      </c>
      <c r="Q657" s="12">
        <f>_xlfn.XLOOKUP(B657,[1]Sheet1!$B:$B,[1]Sheet1!$T:$T,0)</f>
        <v>0</v>
      </c>
      <c r="R657" s="12">
        <f>_xlfn.XLOOKUP(B657,[1]Sheet1!$B:$B,[1]Sheet1!$U:$U,0)</f>
        <v>1000000</v>
      </c>
      <c r="S657" s="12">
        <f>_xlfn.XLOOKUP(B657,[1]Sheet1!$B:$B,[1]Sheet1!$V:$V,0)</f>
        <v>0</v>
      </c>
      <c r="T657" s="12">
        <f>_xlfn.XLOOKUP(B657,[1]Sheet1!$B:$B,[1]Sheet1!$W:$W,0)</f>
        <v>0</v>
      </c>
      <c r="U657" s="12">
        <f>_xlfn.XLOOKUP(B657,[1]Sheet1!$B:$B,[1]Sheet1!$X:$X,0)</f>
        <v>2000000</v>
      </c>
      <c r="V657" s="12">
        <f>_xlfn.XLOOKUP(B657,[1]Sheet1!$B:$B,[1]Sheet1!$Y:$Y,0)</f>
        <v>0</v>
      </c>
      <c r="W657" s="12">
        <f t="shared" si="23"/>
        <v>4000000</v>
      </c>
      <c r="X657" s="8" t="s">
        <v>1103</v>
      </c>
      <c r="Y657" s="8" t="s">
        <v>721</v>
      </c>
      <c r="Z657" s="8" t="s">
        <v>730</v>
      </c>
      <c r="AA657" s="8" t="s">
        <v>44</v>
      </c>
      <c r="AB657" s="8" t="s">
        <v>36</v>
      </c>
      <c r="AC657" s="8" t="s">
        <v>37</v>
      </c>
      <c r="AD657" s="8" t="s">
        <v>732</v>
      </c>
      <c r="AE657" s="8" t="s">
        <v>39</v>
      </c>
      <c r="AF657" s="8" t="s">
        <v>40</v>
      </c>
      <c r="AG657" s="9">
        <v>4000000</v>
      </c>
      <c r="AH657" s="11">
        <f>_xlfn.XLOOKUP(B657,[1]Sheet1!$B:$B,[1]Sheet1!$AB:$AB,0)</f>
        <v>4000000</v>
      </c>
    </row>
    <row r="658" spans="2:34" ht="16.8" thickTop="1" thickBot="1" x14ac:dyDescent="0.35">
      <c r="B658" s="3" t="str">
        <f t="shared" si="22"/>
        <v>45122004511000815Manpower-N1424521200104</v>
      </c>
      <c r="C658" s="6" t="s">
        <v>731</v>
      </c>
      <c r="D658" s="6" t="s">
        <v>1100</v>
      </c>
      <c r="E658" s="6" t="s">
        <v>1101</v>
      </c>
      <c r="F658" s="6" t="s">
        <v>470</v>
      </c>
      <c r="G658" s="4" t="s">
        <v>2804</v>
      </c>
      <c r="H658" s="4" t="s">
        <v>2922</v>
      </c>
      <c r="I658" s="6" t="s">
        <v>51</v>
      </c>
      <c r="J658" s="6" t="s">
        <v>31</v>
      </c>
      <c r="K658" s="12">
        <f>_xlfn.XLOOKUP(B658,[1]Sheet1!$B:$B,[1]Sheet1!$N:$N,0)</f>
        <v>0</v>
      </c>
      <c r="L658" s="12">
        <f>_xlfn.XLOOKUP(B658,[1]Sheet1!$B:$B,[1]Sheet1!$O:$O,0)</f>
        <v>0</v>
      </c>
      <c r="M658" s="12">
        <f>_xlfn.XLOOKUP(B658,[1]Sheet1!$B:$B,[1]Sheet1!$P:$P,0)</f>
        <v>0</v>
      </c>
      <c r="N658" s="12">
        <f>_xlfn.XLOOKUP(B658,[1]Sheet1!$B:$B,[1]Sheet1!$Q:$Q,0)</f>
        <v>4113040</v>
      </c>
      <c r="O658" s="12">
        <f>_xlfn.XLOOKUP(B658,[1]Sheet1!$B:$B,[1]Sheet1!$R:$R,0)</f>
        <v>1199266</v>
      </c>
      <c r="P658" s="12">
        <f>_xlfn.XLOOKUP(B658,[1]Sheet1!$B:$B,[1]Sheet1!$S:$S,0)</f>
        <v>2599266</v>
      </c>
      <c r="Q658" s="12">
        <f>_xlfn.XLOOKUP(B658,[1]Sheet1!$B:$B,[1]Sheet1!$T:$T,0)</f>
        <v>2201694</v>
      </c>
      <c r="R658" s="12">
        <f>_xlfn.XLOOKUP(B658,[1]Sheet1!$B:$B,[1]Sheet1!$U:$U,0)</f>
        <v>1199266</v>
      </c>
      <c r="S658" s="12">
        <f>_xlfn.XLOOKUP(B658,[1]Sheet1!$B:$B,[1]Sheet1!$V:$V,0)</f>
        <v>2199266</v>
      </c>
      <c r="T658" s="12">
        <f>_xlfn.XLOOKUP(B658,[1]Sheet1!$B:$B,[1]Sheet1!$W:$W,0)</f>
        <v>1199266</v>
      </c>
      <c r="U658" s="12">
        <f>_xlfn.XLOOKUP(B658,[1]Sheet1!$B:$B,[1]Sheet1!$X:$X,0)</f>
        <v>1199267</v>
      </c>
      <c r="V658" s="12">
        <f>_xlfn.XLOOKUP(B658,[1]Sheet1!$B:$B,[1]Sheet1!$Y:$Y,0)</f>
        <v>1402714</v>
      </c>
      <c r="W658" s="12">
        <f t="shared" si="23"/>
        <v>17313045</v>
      </c>
      <c r="X658" s="6" t="s">
        <v>1105</v>
      </c>
      <c r="Y658" s="6" t="s">
        <v>721</v>
      </c>
      <c r="Z658" s="6" t="s">
        <v>730</v>
      </c>
      <c r="AA658" s="6" t="s">
        <v>53</v>
      </c>
      <c r="AB658" s="6" t="s">
        <v>36</v>
      </c>
      <c r="AC658" s="6" t="s">
        <v>37</v>
      </c>
      <c r="AD658" s="6" t="s">
        <v>732</v>
      </c>
      <c r="AE658" s="6" t="s">
        <v>39</v>
      </c>
      <c r="AF658" s="6" t="s">
        <v>40</v>
      </c>
      <c r="AG658" s="7">
        <v>13751081</v>
      </c>
      <c r="AH658" s="11">
        <f>_xlfn.XLOOKUP(B658,[1]Sheet1!$B:$B,[1]Sheet1!$AB:$AB,0)</f>
        <v>13751081</v>
      </c>
    </row>
    <row r="659" spans="2:34" ht="16.8" thickTop="1" thickBot="1" x14ac:dyDescent="0.35">
      <c r="B659" s="3" t="str">
        <f t="shared" si="22"/>
        <v>45122004511000815Systems Develop-NC1493140300105</v>
      </c>
      <c r="C659" s="8" t="s">
        <v>731</v>
      </c>
      <c r="D659" s="8" t="s">
        <v>1100</v>
      </c>
      <c r="E659" s="8" t="s">
        <v>1101</v>
      </c>
      <c r="F659" s="8" t="s">
        <v>1106</v>
      </c>
      <c r="G659" s="4" t="s">
        <v>2822</v>
      </c>
      <c r="H659" s="4" t="s">
        <v>2923</v>
      </c>
      <c r="I659" s="8" t="s">
        <v>185</v>
      </c>
      <c r="J659" s="8" t="s">
        <v>31</v>
      </c>
      <c r="K659" s="12">
        <f>_xlfn.XLOOKUP(B659,[1]Sheet1!$B:$B,[1]Sheet1!$N:$N,0)</f>
        <v>0</v>
      </c>
      <c r="L659" s="12">
        <f>_xlfn.XLOOKUP(B659,[1]Sheet1!$B:$B,[1]Sheet1!$O:$O,0)</f>
        <v>0</v>
      </c>
      <c r="M659" s="12">
        <f>_xlfn.XLOOKUP(B659,[1]Sheet1!$B:$B,[1]Sheet1!$P:$P,0)</f>
        <v>0</v>
      </c>
      <c r="N659" s="12">
        <f>_xlfn.XLOOKUP(B659,[1]Sheet1!$B:$B,[1]Sheet1!$Q:$Q,0)</f>
        <v>3600000</v>
      </c>
      <c r="O659" s="12">
        <f>_xlfn.XLOOKUP(B659,[1]Sheet1!$B:$B,[1]Sheet1!$R:$R,0)</f>
        <v>5000000</v>
      </c>
      <c r="P659" s="12">
        <f>_xlfn.XLOOKUP(B659,[1]Sheet1!$B:$B,[1]Sheet1!$S:$S,0)</f>
        <v>5800000</v>
      </c>
      <c r="Q659" s="12">
        <f>_xlfn.XLOOKUP(B659,[1]Sheet1!$B:$B,[1]Sheet1!$T:$T,0)</f>
        <v>5800000</v>
      </c>
      <c r="R659" s="12">
        <f>_xlfn.XLOOKUP(B659,[1]Sheet1!$B:$B,[1]Sheet1!$U:$U,0)</f>
        <v>5800000</v>
      </c>
      <c r="S659" s="12">
        <f>_xlfn.XLOOKUP(B659,[1]Sheet1!$B:$B,[1]Sheet1!$V:$V,0)</f>
        <v>4800000</v>
      </c>
      <c r="T659" s="12">
        <f>_xlfn.XLOOKUP(B659,[1]Sheet1!$B:$B,[1]Sheet1!$W:$W,0)</f>
        <v>4500000</v>
      </c>
      <c r="U659" s="12">
        <f>_xlfn.XLOOKUP(B659,[1]Sheet1!$B:$B,[1]Sheet1!$X:$X,0)</f>
        <v>3500000</v>
      </c>
      <c r="V659" s="12">
        <f>_xlfn.XLOOKUP(B659,[1]Sheet1!$B:$B,[1]Sheet1!$Y:$Y,0)</f>
        <v>0</v>
      </c>
      <c r="W659" s="12">
        <f t="shared" si="23"/>
        <v>38800000</v>
      </c>
      <c r="X659" s="8" t="s">
        <v>1107</v>
      </c>
      <c r="Y659" s="8" t="s">
        <v>721</v>
      </c>
      <c r="Z659" s="8" t="s">
        <v>730</v>
      </c>
      <c r="AA659" s="8" t="s">
        <v>185</v>
      </c>
      <c r="AB659" s="8" t="s">
        <v>93</v>
      </c>
      <c r="AC659" s="8" t="s">
        <v>94</v>
      </c>
      <c r="AD659" s="8" t="s">
        <v>732</v>
      </c>
      <c r="AE659" s="8" t="s">
        <v>39</v>
      </c>
      <c r="AF659" s="8" t="s">
        <v>40</v>
      </c>
      <c r="AG659" s="9">
        <v>41961000.859999999</v>
      </c>
      <c r="AH659" s="11">
        <f>_xlfn.XLOOKUP(B659,[1]Sheet1!$B:$B,[1]Sheet1!$AB:$AB,0)</f>
        <v>41961001</v>
      </c>
    </row>
    <row r="660" spans="2:34" ht="16.8" thickTop="1" thickBot="1" x14ac:dyDescent="0.35">
      <c r="B660" s="3" t="str">
        <f t="shared" si="22"/>
        <v>45110104511000816Event Management-N422401200104</v>
      </c>
      <c r="C660" s="6" t="s">
        <v>268</v>
      </c>
      <c r="D660" s="6" t="s">
        <v>1108</v>
      </c>
      <c r="E660" s="6" t="s">
        <v>1109</v>
      </c>
      <c r="F660" s="6" t="s">
        <v>162</v>
      </c>
      <c r="G660" s="4" t="s">
        <v>2807</v>
      </c>
      <c r="H660" s="4" t="s">
        <v>2922</v>
      </c>
      <c r="I660" s="6" t="s">
        <v>63</v>
      </c>
      <c r="J660" s="6" t="s">
        <v>31</v>
      </c>
      <c r="K660" s="12">
        <f>_xlfn.XLOOKUP(B660,[1]Sheet1!$B:$B,[1]Sheet1!$N:$N,0)</f>
        <v>0</v>
      </c>
      <c r="L660" s="12">
        <f>_xlfn.XLOOKUP(B660,[1]Sheet1!$B:$B,[1]Sheet1!$O:$O,0)</f>
        <v>0</v>
      </c>
      <c r="M660" s="12">
        <f>_xlfn.XLOOKUP(B660,[1]Sheet1!$B:$B,[1]Sheet1!$P:$P,0)</f>
        <v>0</v>
      </c>
      <c r="N660" s="12">
        <f>_xlfn.XLOOKUP(B660,[1]Sheet1!$B:$B,[1]Sheet1!$Q:$Q,0)</f>
        <v>0</v>
      </c>
      <c r="O660" s="12">
        <f>_xlfn.XLOOKUP(B660,[1]Sheet1!$B:$B,[1]Sheet1!$R:$R,0)</f>
        <v>0</v>
      </c>
      <c r="P660" s="12">
        <f>_xlfn.XLOOKUP(B660,[1]Sheet1!$B:$B,[1]Sheet1!$S:$S,0)</f>
        <v>0</v>
      </c>
      <c r="Q660" s="12">
        <f>_xlfn.XLOOKUP(B660,[1]Sheet1!$B:$B,[1]Sheet1!$T:$T,0)</f>
        <v>0</v>
      </c>
      <c r="R660" s="12">
        <f>_xlfn.XLOOKUP(B660,[1]Sheet1!$B:$B,[1]Sheet1!$U:$U,0)</f>
        <v>3038800</v>
      </c>
      <c r="S660" s="12">
        <f>_xlfn.XLOOKUP(B660,[1]Sheet1!$B:$B,[1]Sheet1!$V:$V,0)</f>
        <v>0</v>
      </c>
      <c r="T660" s="12">
        <f>_xlfn.XLOOKUP(B660,[1]Sheet1!$B:$B,[1]Sheet1!$W:$W,0)</f>
        <v>0</v>
      </c>
      <c r="U660" s="12">
        <f>_xlfn.XLOOKUP(B660,[1]Sheet1!$B:$B,[1]Sheet1!$X:$X,0)</f>
        <v>0</v>
      </c>
      <c r="V660" s="12">
        <f>_xlfn.XLOOKUP(B660,[1]Sheet1!$B:$B,[1]Sheet1!$Y:$Y,0)</f>
        <v>0</v>
      </c>
      <c r="W660" s="12">
        <f t="shared" si="23"/>
        <v>3038800</v>
      </c>
      <c r="X660" s="6" t="s">
        <v>1110</v>
      </c>
      <c r="Y660" s="6" t="s">
        <v>65</v>
      </c>
      <c r="Z660" s="6" t="s">
        <v>267</v>
      </c>
      <c r="AA660" s="6" t="s">
        <v>68</v>
      </c>
      <c r="AB660" s="6" t="s">
        <v>36</v>
      </c>
      <c r="AC660" s="6" t="s">
        <v>37</v>
      </c>
      <c r="AD660" s="6" t="s">
        <v>102</v>
      </c>
      <c r="AE660" s="6" t="s">
        <v>39</v>
      </c>
      <c r="AF660" s="6" t="s">
        <v>40</v>
      </c>
      <c r="AG660" s="7">
        <v>3038800</v>
      </c>
      <c r="AH660" s="11">
        <f>_xlfn.XLOOKUP(B660,[1]Sheet1!$B:$B,[1]Sheet1!$AB:$AB,0)</f>
        <v>3038800</v>
      </c>
    </row>
    <row r="661" spans="2:34" ht="16.8" thickTop="1" thickBot="1" x14ac:dyDescent="0.35">
      <c r="B661" s="3" t="str">
        <f t="shared" si="22"/>
        <v>45115504511000819SM Prodct&amp;Develp-N422511200104</v>
      </c>
      <c r="C661" s="8" t="s">
        <v>154</v>
      </c>
      <c r="D661" s="8" t="s">
        <v>1111</v>
      </c>
      <c r="E661" s="8" t="s">
        <v>1112</v>
      </c>
      <c r="F661" s="8" t="s">
        <v>435</v>
      </c>
      <c r="G661" s="4" t="s">
        <v>2819</v>
      </c>
      <c r="H661" s="4" t="s">
        <v>2922</v>
      </c>
      <c r="I661" s="8" t="s">
        <v>151</v>
      </c>
      <c r="J661" s="8" t="s">
        <v>31</v>
      </c>
      <c r="K661" s="12">
        <f>_xlfn.XLOOKUP(B661,[1]Sheet1!$B:$B,[1]Sheet1!$N:$N,0)</f>
        <v>0</v>
      </c>
      <c r="L661" s="12">
        <f>_xlfn.XLOOKUP(B661,[1]Sheet1!$B:$B,[1]Sheet1!$O:$O,0)</f>
        <v>0</v>
      </c>
      <c r="M661" s="12">
        <f>_xlfn.XLOOKUP(B661,[1]Sheet1!$B:$B,[1]Sheet1!$P:$P,0)</f>
        <v>0</v>
      </c>
      <c r="N661" s="12">
        <f>_xlfn.XLOOKUP(B661,[1]Sheet1!$B:$B,[1]Sheet1!$Q:$Q,0)</f>
        <v>0</v>
      </c>
      <c r="O661" s="12">
        <f>_xlfn.XLOOKUP(B661,[1]Sheet1!$B:$B,[1]Sheet1!$R:$R,0)</f>
        <v>116411</v>
      </c>
      <c r="P661" s="12">
        <f>_xlfn.XLOOKUP(B661,[1]Sheet1!$B:$B,[1]Sheet1!$S:$S,0)</f>
        <v>0</v>
      </c>
      <c r="Q661" s="12">
        <f>_xlfn.XLOOKUP(B661,[1]Sheet1!$B:$B,[1]Sheet1!$T:$T,0)</f>
        <v>0</v>
      </c>
      <c r="R661" s="12">
        <f>_xlfn.XLOOKUP(B661,[1]Sheet1!$B:$B,[1]Sheet1!$U:$U,0)</f>
        <v>0</v>
      </c>
      <c r="S661" s="12">
        <f>_xlfn.XLOOKUP(B661,[1]Sheet1!$B:$B,[1]Sheet1!$V:$V,0)</f>
        <v>0</v>
      </c>
      <c r="T661" s="12">
        <f>_xlfn.XLOOKUP(B661,[1]Sheet1!$B:$B,[1]Sheet1!$W:$W,0)</f>
        <v>0</v>
      </c>
      <c r="U661" s="12">
        <f>_xlfn.XLOOKUP(B661,[1]Sheet1!$B:$B,[1]Sheet1!$X:$X,0)</f>
        <v>0</v>
      </c>
      <c r="V661" s="12">
        <f>_xlfn.XLOOKUP(B661,[1]Sheet1!$B:$B,[1]Sheet1!$Y:$Y,0)</f>
        <v>0</v>
      </c>
      <c r="W661" s="12">
        <f t="shared" si="23"/>
        <v>116411</v>
      </c>
      <c r="X661" s="8" t="s">
        <v>940</v>
      </c>
      <c r="Y661" s="8" t="s">
        <v>65</v>
      </c>
      <c r="Z661" s="8" t="s">
        <v>153</v>
      </c>
      <c r="AA661" s="8" t="s">
        <v>151</v>
      </c>
      <c r="AB661" s="8" t="s">
        <v>36</v>
      </c>
      <c r="AC661" s="8" t="s">
        <v>37</v>
      </c>
      <c r="AD661" s="8" t="s">
        <v>119</v>
      </c>
      <c r="AE661" s="8" t="s">
        <v>39</v>
      </c>
      <c r="AF661" s="8" t="s">
        <v>40</v>
      </c>
      <c r="AG661" s="9">
        <v>116411</v>
      </c>
      <c r="AH661" s="11">
        <f>_xlfn.XLOOKUP(B661,[1]Sheet1!$B:$B,[1]Sheet1!$AB:$AB,0)</f>
        <v>116411</v>
      </c>
    </row>
    <row r="662" spans="2:34" ht="16.8" thickTop="1" thickBot="1" x14ac:dyDescent="0.35">
      <c r="B662" s="3" t="str">
        <f t="shared" si="22"/>
        <v>45112504511000820Activation&amp;Prog-N422401200104</v>
      </c>
      <c r="C662" s="6" t="s">
        <v>67</v>
      </c>
      <c r="D662" s="6" t="s">
        <v>1113</v>
      </c>
      <c r="E662" s="6" t="s">
        <v>1114</v>
      </c>
      <c r="F662" s="6" t="s">
        <v>62</v>
      </c>
      <c r="G662" s="4" t="s">
        <v>2807</v>
      </c>
      <c r="H662" s="4" t="s">
        <v>2922</v>
      </c>
      <c r="I662" s="6" t="s">
        <v>63</v>
      </c>
      <c r="J662" s="6" t="s">
        <v>31</v>
      </c>
      <c r="K662" s="12">
        <f>_xlfn.XLOOKUP(B662,[1]Sheet1!$B:$B,[1]Sheet1!$N:$N,0)</f>
        <v>0</v>
      </c>
      <c r="L662" s="12">
        <f>_xlfn.XLOOKUP(B662,[1]Sheet1!$B:$B,[1]Sheet1!$O:$O,0)</f>
        <v>0</v>
      </c>
      <c r="M662" s="12">
        <f>_xlfn.XLOOKUP(B662,[1]Sheet1!$B:$B,[1]Sheet1!$P:$P,0)</f>
        <v>0</v>
      </c>
      <c r="N662" s="12">
        <f>_xlfn.XLOOKUP(B662,[1]Sheet1!$B:$B,[1]Sheet1!$Q:$Q,0)</f>
        <v>1045100</v>
      </c>
      <c r="O662" s="12">
        <f>_xlfn.XLOOKUP(B662,[1]Sheet1!$B:$B,[1]Sheet1!$R:$R,0)</f>
        <v>121300</v>
      </c>
      <c r="P662" s="12">
        <f>_xlfn.XLOOKUP(B662,[1]Sheet1!$B:$B,[1]Sheet1!$S:$S,0)</f>
        <v>85000</v>
      </c>
      <c r="Q662" s="12">
        <f>_xlfn.XLOOKUP(B662,[1]Sheet1!$B:$B,[1]Sheet1!$T:$T,0)</f>
        <v>65000</v>
      </c>
      <c r="R662" s="12">
        <f>_xlfn.XLOOKUP(B662,[1]Sheet1!$B:$B,[1]Sheet1!$U:$U,0)</f>
        <v>16300</v>
      </c>
      <c r="S662" s="12">
        <f>_xlfn.XLOOKUP(B662,[1]Sheet1!$B:$B,[1]Sheet1!$V:$V,0)</f>
        <v>108000</v>
      </c>
      <c r="T662" s="12">
        <f>_xlfn.XLOOKUP(B662,[1]Sheet1!$B:$B,[1]Sheet1!$W:$W,0)</f>
        <v>345000</v>
      </c>
      <c r="U662" s="12">
        <f>_xlfn.XLOOKUP(B662,[1]Sheet1!$B:$B,[1]Sheet1!$X:$X,0)</f>
        <v>2359300</v>
      </c>
      <c r="V662" s="12">
        <f>_xlfn.XLOOKUP(B662,[1]Sheet1!$B:$B,[1]Sheet1!$Y:$Y,0)</f>
        <v>1635000</v>
      </c>
      <c r="W662" s="12">
        <f t="shared" si="23"/>
        <v>5780000</v>
      </c>
      <c r="X662" s="6" t="s">
        <v>64</v>
      </c>
      <c r="Y662" s="6" t="s">
        <v>65</v>
      </c>
      <c r="Z662" s="6" t="s">
        <v>66</v>
      </c>
      <c r="AA662" s="6" t="s">
        <v>68</v>
      </c>
      <c r="AB662" s="6" t="s">
        <v>36</v>
      </c>
      <c r="AC662" s="6" t="s">
        <v>37</v>
      </c>
      <c r="AD662" s="6" t="s">
        <v>69</v>
      </c>
      <c r="AE662" s="6" t="s">
        <v>39</v>
      </c>
      <c r="AF662" s="6" t="s">
        <v>40</v>
      </c>
      <c r="AG662" s="7">
        <v>5790800</v>
      </c>
      <c r="AH662" s="11">
        <f>_xlfn.XLOOKUP(B662,[1]Sheet1!$B:$B,[1]Sheet1!$AB:$AB,0)</f>
        <v>5790800</v>
      </c>
    </row>
    <row r="663" spans="2:34" ht="16.8" thickTop="1" thickBot="1" x14ac:dyDescent="0.35">
      <c r="B663" s="3" t="str">
        <f t="shared" si="22"/>
        <v>45112504511000820Admin Expenses-N1421125200104</v>
      </c>
      <c r="C663" s="8" t="s">
        <v>67</v>
      </c>
      <c r="D663" s="8" t="s">
        <v>1113</v>
      </c>
      <c r="E663" s="8" t="s">
        <v>1114</v>
      </c>
      <c r="F663" s="8" t="s">
        <v>73</v>
      </c>
      <c r="G663" s="4" t="s">
        <v>2803</v>
      </c>
      <c r="H663" s="4" t="s">
        <v>2922</v>
      </c>
      <c r="I663" s="8" t="s">
        <v>44</v>
      </c>
      <c r="J663" s="8" t="s">
        <v>31</v>
      </c>
      <c r="K663" s="12">
        <f>_xlfn.XLOOKUP(B663,[1]Sheet1!$B:$B,[1]Sheet1!$N:$N,0)</f>
        <v>0</v>
      </c>
      <c r="L663" s="12">
        <f>_xlfn.XLOOKUP(B663,[1]Sheet1!$B:$B,[1]Sheet1!$O:$O,0)</f>
        <v>0</v>
      </c>
      <c r="M663" s="12">
        <f>_xlfn.XLOOKUP(B663,[1]Sheet1!$B:$B,[1]Sheet1!$P:$P,0)</f>
        <v>0</v>
      </c>
      <c r="N663" s="12">
        <f>_xlfn.XLOOKUP(B663,[1]Sheet1!$B:$B,[1]Sheet1!$Q:$Q,0)</f>
        <v>73520</v>
      </c>
      <c r="O663" s="12">
        <f>_xlfn.XLOOKUP(B663,[1]Sheet1!$B:$B,[1]Sheet1!$R:$R,0)</f>
        <v>35000</v>
      </c>
      <c r="P663" s="12">
        <f>_xlfn.XLOOKUP(B663,[1]Sheet1!$B:$B,[1]Sheet1!$S:$S,0)</f>
        <v>48000</v>
      </c>
      <c r="Q663" s="12">
        <f>_xlfn.XLOOKUP(B663,[1]Sheet1!$B:$B,[1]Sheet1!$T:$T,0)</f>
        <v>60000</v>
      </c>
      <c r="R663" s="12">
        <f>_xlfn.XLOOKUP(B663,[1]Sheet1!$B:$B,[1]Sheet1!$U:$U,0)</f>
        <v>60000</v>
      </c>
      <c r="S663" s="12">
        <f>_xlfn.XLOOKUP(B663,[1]Sheet1!$B:$B,[1]Sheet1!$V:$V,0)</f>
        <v>60000</v>
      </c>
      <c r="T663" s="12">
        <f>_xlfn.XLOOKUP(B663,[1]Sheet1!$B:$B,[1]Sheet1!$W:$W,0)</f>
        <v>50000</v>
      </c>
      <c r="U663" s="12">
        <f>_xlfn.XLOOKUP(B663,[1]Sheet1!$B:$B,[1]Sheet1!$X:$X,0)</f>
        <v>60000</v>
      </c>
      <c r="V663" s="12">
        <f>_xlfn.XLOOKUP(B663,[1]Sheet1!$B:$B,[1]Sheet1!$Y:$Y,0)</f>
        <v>60000</v>
      </c>
      <c r="W663" s="12">
        <f t="shared" si="23"/>
        <v>506520</v>
      </c>
      <c r="X663" s="8" t="s">
        <v>74</v>
      </c>
      <c r="Y663" s="8" t="s">
        <v>65</v>
      </c>
      <c r="Z663" s="8" t="s">
        <v>66</v>
      </c>
      <c r="AA663" s="8" t="s">
        <v>44</v>
      </c>
      <c r="AB663" s="8" t="s">
        <v>36</v>
      </c>
      <c r="AC663" s="8" t="s">
        <v>37</v>
      </c>
      <c r="AD663" s="8" t="s">
        <v>69</v>
      </c>
      <c r="AE663" s="8" t="s">
        <v>39</v>
      </c>
      <c r="AF663" s="8" t="s">
        <v>40</v>
      </c>
      <c r="AG663" s="9">
        <v>201520</v>
      </c>
      <c r="AH663" s="11">
        <f>_xlfn.XLOOKUP(B663,[1]Sheet1!$B:$B,[1]Sheet1!$AB:$AB,0)</f>
        <v>201520</v>
      </c>
    </row>
    <row r="664" spans="2:34" ht="16.8" thickTop="1" thickBot="1" x14ac:dyDescent="0.35">
      <c r="B664" s="3" t="str">
        <f t="shared" si="22"/>
        <v>45112504511000820Cleaning Service-N422311200104</v>
      </c>
      <c r="C664" s="6" t="s">
        <v>67</v>
      </c>
      <c r="D664" s="6" t="s">
        <v>1113</v>
      </c>
      <c r="E664" s="6" t="s">
        <v>1114</v>
      </c>
      <c r="F664" s="6" t="s">
        <v>79</v>
      </c>
      <c r="G664" s="4" t="s">
        <v>2810</v>
      </c>
      <c r="H664" s="4" t="s">
        <v>2922</v>
      </c>
      <c r="I664" s="6" t="s">
        <v>80</v>
      </c>
      <c r="J664" s="6" t="s">
        <v>31</v>
      </c>
      <c r="K664" s="12">
        <f>_xlfn.XLOOKUP(B664,[1]Sheet1!$B:$B,[1]Sheet1!$N:$N,0)</f>
        <v>0</v>
      </c>
      <c r="L664" s="12">
        <f>_xlfn.XLOOKUP(B664,[1]Sheet1!$B:$B,[1]Sheet1!$O:$O,0)</f>
        <v>0</v>
      </c>
      <c r="M664" s="12">
        <f>_xlfn.XLOOKUP(B664,[1]Sheet1!$B:$B,[1]Sheet1!$P:$P,0)</f>
        <v>0</v>
      </c>
      <c r="N664" s="12">
        <f>_xlfn.XLOOKUP(B664,[1]Sheet1!$B:$B,[1]Sheet1!$Q:$Q,0)</f>
        <v>130000</v>
      </c>
      <c r="O664" s="12">
        <f>_xlfn.XLOOKUP(B664,[1]Sheet1!$B:$B,[1]Sheet1!$R:$R,0)</f>
        <v>65000</v>
      </c>
      <c r="P664" s="12">
        <f>_xlfn.XLOOKUP(B664,[1]Sheet1!$B:$B,[1]Sheet1!$S:$S,0)</f>
        <v>65000</v>
      </c>
      <c r="Q664" s="12">
        <f>_xlfn.XLOOKUP(B664,[1]Sheet1!$B:$B,[1]Sheet1!$T:$T,0)</f>
        <v>65000</v>
      </c>
      <c r="R664" s="12">
        <f>_xlfn.XLOOKUP(B664,[1]Sheet1!$B:$B,[1]Sheet1!$U:$U,0)</f>
        <v>65000</v>
      </c>
      <c r="S664" s="12">
        <f>_xlfn.XLOOKUP(B664,[1]Sheet1!$B:$B,[1]Sheet1!$V:$V,0)</f>
        <v>48000</v>
      </c>
      <c r="T664" s="12">
        <f>_xlfn.XLOOKUP(B664,[1]Sheet1!$B:$B,[1]Sheet1!$W:$W,0)</f>
        <v>0</v>
      </c>
      <c r="U664" s="12">
        <f>_xlfn.XLOOKUP(B664,[1]Sheet1!$B:$B,[1]Sheet1!$X:$X,0)</f>
        <v>0</v>
      </c>
      <c r="V664" s="12">
        <f>_xlfn.XLOOKUP(B664,[1]Sheet1!$B:$B,[1]Sheet1!$Y:$Y,0)</f>
        <v>0</v>
      </c>
      <c r="W664" s="12">
        <f t="shared" si="23"/>
        <v>438000</v>
      </c>
      <c r="X664" s="6" t="s">
        <v>81</v>
      </c>
      <c r="Y664" s="6" t="s">
        <v>65</v>
      </c>
      <c r="Z664" s="6" t="s">
        <v>66</v>
      </c>
      <c r="AA664" s="6" t="s">
        <v>80</v>
      </c>
      <c r="AB664" s="6" t="s">
        <v>36</v>
      </c>
      <c r="AC664" s="6" t="s">
        <v>37</v>
      </c>
      <c r="AD664" s="6" t="s">
        <v>69</v>
      </c>
      <c r="AE664" s="6" t="s">
        <v>39</v>
      </c>
      <c r="AF664" s="6" t="s">
        <v>40</v>
      </c>
      <c r="AG664" s="7">
        <v>438000</v>
      </c>
      <c r="AH664" s="11">
        <f>_xlfn.XLOOKUP(B664,[1]Sheet1!$B:$B,[1]Sheet1!$AB:$AB,0)</f>
        <v>438000</v>
      </c>
    </row>
    <row r="665" spans="2:34" ht="16.8" thickTop="1" thickBot="1" x14ac:dyDescent="0.35">
      <c r="B665" s="3" t="str">
        <f t="shared" si="22"/>
        <v>45112504511000820Edu &amp; Outreach-N422401200104</v>
      </c>
      <c r="C665" s="8" t="s">
        <v>67</v>
      </c>
      <c r="D665" s="8" t="s">
        <v>1113</v>
      </c>
      <c r="E665" s="8" t="s">
        <v>1114</v>
      </c>
      <c r="F665" s="8" t="s">
        <v>155</v>
      </c>
      <c r="G665" s="4" t="s">
        <v>2807</v>
      </c>
      <c r="H665" s="4" t="s">
        <v>2922</v>
      </c>
      <c r="I665" s="8" t="s">
        <v>63</v>
      </c>
      <c r="J665" s="8" t="s">
        <v>31</v>
      </c>
      <c r="K665" s="12">
        <f>_xlfn.XLOOKUP(B665,[1]Sheet1!$B:$B,[1]Sheet1!$N:$N,0)</f>
        <v>0</v>
      </c>
      <c r="L665" s="12">
        <f>_xlfn.XLOOKUP(B665,[1]Sheet1!$B:$B,[1]Sheet1!$O:$O,0)</f>
        <v>0</v>
      </c>
      <c r="M665" s="12">
        <f>_xlfn.XLOOKUP(B665,[1]Sheet1!$B:$B,[1]Sheet1!$P:$P,0)</f>
        <v>0</v>
      </c>
      <c r="N665" s="12">
        <f>_xlfn.XLOOKUP(B665,[1]Sheet1!$B:$B,[1]Sheet1!$Q:$Q,0)</f>
        <v>100000</v>
      </c>
      <c r="O665" s="12">
        <f>_xlfn.XLOOKUP(B665,[1]Sheet1!$B:$B,[1]Sheet1!$R:$R,0)</f>
        <v>50000</v>
      </c>
      <c r="P665" s="12">
        <f>_xlfn.XLOOKUP(B665,[1]Sheet1!$B:$B,[1]Sheet1!$S:$S,0)</f>
        <v>50000</v>
      </c>
      <c r="Q665" s="12">
        <f>_xlfn.XLOOKUP(B665,[1]Sheet1!$B:$B,[1]Sheet1!$T:$T,0)</f>
        <v>90000</v>
      </c>
      <c r="R665" s="12">
        <f>_xlfn.XLOOKUP(B665,[1]Sheet1!$B:$B,[1]Sheet1!$U:$U,0)</f>
        <v>70000</v>
      </c>
      <c r="S665" s="12">
        <f>_xlfn.XLOOKUP(B665,[1]Sheet1!$B:$B,[1]Sheet1!$V:$V,0)</f>
        <v>0</v>
      </c>
      <c r="T665" s="12">
        <f>_xlfn.XLOOKUP(B665,[1]Sheet1!$B:$B,[1]Sheet1!$W:$W,0)</f>
        <v>40000</v>
      </c>
      <c r="U665" s="12">
        <f>_xlfn.XLOOKUP(B665,[1]Sheet1!$B:$B,[1]Sheet1!$X:$X,0)</f>
        <v>0</v>
      </c>
      <c r="V665" s="12">
        <f>_xlfn.XLOOKUP(B665,[1]Sheet1!$B:$B,[1]Sheet1!$Y:$Y,0)</f>
        <v>100000</v>
      </c>
      <c r="W665" s="12">
        <f t="shared" si="23"/>
        <v>500000</v>
      </c>
      <c r="X665" s="8" t="s">
        <v>64</v>
      </c>
      <c r="Y665" s="8" t="s">
        <v>65</v>
      </c>
      <c r="Z665" s="8" t="s">
        <v>66</v>
      </c>
      <c r="AA665" s="8" t="s">
        <v>68</v>
      </c>
      <c r="AB665" s="8" t="s">
        <v>36</v>
      </c>
      <c r="AC665" s="8" t="s">
        <v>37</v>
      </c>
      <c r="AD665" s="8" t="s">
        <v>69</v>
      </c>
      <c r="AE665" s="8" t="s">
        <v>39</v>
      </c>
      <c r="AF665" s="8" t="s">
        <v>40</v>
      </c>
      <c r="AG665" s="9">
        <v>500000</v>
      </c>
      <c r="AH665" s="11">
        <f>_xlfn.XLOOKUP(B665,[1]Sheet1!$B:$B,[1]Sheet1!$AB:$AB,0)</f>
        <v>500000</v>
      </c>
    </row>
    <row r="666" spans="2:34" ht="16.8" thickTop="1" thickBot="1" x14ac:dyDescent="0.35">
      <c r="B666" s="3" t="str">
        <f t="shared" si="22"/>
        <v>45112504511000820FM Mgmnt (E-E)-N426212200104</v>
      </c>
      <c r="C666" s="6" t="s">
        <v>67</v>
      </c>
      <c r="D666" s="6" t="s">
        <v>1113</v>
      </c>
      <c r="E666" s="6" t="s">
        <v>1114</v>
      </c>
      <c r="F666" s="6" t="s">
        <v>380</v>
      </c>
      <c r="G666" s="4" t="s">
        <v>2814</v>
      </c>
      <c r="H666" s="4" t="s">
        <v>2922</v>
      </c>
      <c r="I666" s="6" t="s">
        <v>96</v>
      </c>
      <c r="J666" s="6" t="s">
        <v>31</v>
      </c>
      <c r="K666" s="12">
        <f>_xlfn.XLOOKUP(B666,[1]Sheet1!$B:$B,[1]Sheet1!$N:$N,0)</f>
        <v>0</v>
      </c>
      <c r="L666" s="12">
        <f>_xlfn.XLOOKUP(B666,[1]Sheet1!$B:$B,[1]Sheet1!$O:$O,0)</f>
        <v>0</v>
      </c>
      <c r="M666" s="12">
        <f>_xlfn.XLOOKUP(B666,[1]Sheet1!$B:$B,[1]Sheet1!$P:$P,0)</f>
        <v>0</v>
      </c>
      <c r="N666" s="12">
        <f>_xlfn.XLOOKUP(B666,[1]Sheet1!$B:$B,[1]Sheet1!$Q:$Q,0)</f>
        <v>60000</v>
      </c>
      <c r="O666" s="12">
        <f>_xlfn.XLOOKUP(B666,[1]Sheet1!$B:$B,[1]Sheet1!$R:$R,0)</f>
        <v>30000</v>
      </c>
      <c r="P666" s="12">
        <f>_xlfn.XLOOKUP(B666,[1]Sheet1!$B:$B,[1]Sheet1!$S:$S,0)</f>
        <v>30000</v>
      </c>
      <c r="Q666" s="12">
        <f>_xlfn.XLOOKUP(B666,[1]Sheet1!$B:$B,[1]Sheet1!$T:$T,0)</f>
        <v>30000</v>
      </c>
      <c r="R666" s="12">
        <f>_xlfn.XLOOKUP(B666,[1]Sheet1!$B:$B,[1]Sheet1!$U:$U,0)</f>
        <v>30000</v>
      </c>
      <c r="S666" s="12">
        <f>_xlfn.XLOOKUP(B666,[1]Sheet1!$B:$B,[1]Sheet1!$V:$V,0)</f>
        <v>900</v>
      </c>
      <c r="T666" s="12">
        <f>_xlfn.XLOOKUP(B666,[1]Sheet1!$B:$B,[1]Sheet1!$W:$W,0)</f>
        <v>0</v>
      </c>
      <c r="U666" s="12">
        <f>_xlfn.XLOOKUP(B666,[1]Sheet1!$B:$B,[1]Sheet1!$X:$X,0)</f>
        <v>0</v>
      </c>
      <c r="V666" s="12">
        <f>_xlfn.XLOOKUP(B666,[1]Sheet1!$B:$B,[1]Sheet1!$Y:$Y,0)</f>
        <v>0</v>
      </c>
      <c r="W666" s="12">
        <f t="shared" si="23"/>
        <v>180900</v>
      </c>
      <c r="X666" s="6" t="s">
        <v>97</v>
      </c>
      <c r="Y666" s="6" t="s">
        <v>65</v>
      </c>
      <c r="Z666" s="6" t="s">
        <v>66</v>
      </c>
      <c r="AA666" s="6" t="s">
        <v>96</v>
      </c>
      <c r="AB666" s="6" t="s">
        <v>36</v>
      </c>
      <c r="AC666" s="6" t="s">
        <v>37</v>
      </c>
      <c r="AD666" s="6" t="s">
        <v>69</v>
      </c>
      <c r="AE666" s="6" t="s">
        <v>39</v>
      </c>
      <c r="AF666" s="6" t="s">
        <v>40</v>
      </c>
      <c r="AG666" s="7">
        <v>180900</v>
      </c>
      <c r="AH666" s="11">
        <f>_xlfn.XLOOKUP(B666,[1]Sheet1!$B:$B,[1]Sheet1!$AB:$AB,0)</f>
        <v>180900</v>
      </c>
    </row>
    <row r="667" spans="2:34" ht="16.8" thickTop="1" thickBot="1" x14ac:dyDescent="0.35">
      <c r="B667" s="3" t="str">
        <f t="shared" si="22"/>
        <v>45112504511000820Freelancers-N424521200104</v>
      </c>
      <c r="C667" s="8" t="s">
        <v>67</v>
      </c>
      <c r="D667" s="8" t="s">
        <v>1113</v>
      </c>
      <c r="E667" s="8" t="s">
        <v>1114</v>
      </c>
      <c r="F667" s="8" t="s">
        <v>50</v>
      </c>
      <c r="G667" s="4" t="s">
        <v>2804</v>
      </c>
      <c r="H667" s="4" t="s">
        <v>2922</v>
      </c>
      <c r="I667" s="8" t="s">
        <v>51</v>
      </c>
      <c r="J667" s="8" t="s">
        <v>31</v>
      </c>
      <c r="K667" s="12">
        <f>_xlfn.XLOOKUP(B667,[1]Sheet1!$B:$B,[1]Sheet1!$N:$N,0)</f>
        <v>0</v>
      </c>
      <c r="L667" s="12">
        <f>_xlfn.XLOOKUP(B667,[1]Sheet1!$B:$B,[1]Sheet1!$O:$O,0)</f>
        <v>0</v>
      </c>
      <c r="M667" s="12">
        <f>_xlfn.XLOOKUP(B667,[1]Sheet1!$B:$B,[1]Sheet1!$P:$P,0)</f>
        <v>0</v>
      </c>
      <c r="N667" s="12">
        <f>_xlfn.XLOOKUP(B667,[1]Sheet1!$B:$B,[1]Sheet1!$Q:$Q,0)</f>
        <v>84000</v>
      </c>
      <c r="O667" s="12">
        <f>_xlfn.XLOOKUP(B667,[1]Sheet1!$B:$B,[1]Sheet1!$R:$R,0)</f>
        <v>21000</v>
      </c>
      <c r="P667" s="12">
        <f>_xlfn.XLOOKUP(B667,[1]Sheet1!$B:$B,[1]Sheet1!$S:$S,0)</f>
        <v>21000</v>
      </c>
      <c r="Q667" s="12">
        <f>_xlfn.XLOOKUP(B667,[1]Sheet1!$B:$B,[1]Sheet1!$T:$T,0)</f>
        <v>21000</v>
      </c>
      <c r="R667" s="12">
        <f>_xlfn.XLOOKUP(B667,[1]Sheet1!$B:$B,[1]Sheet1!$U:$U,0)</f>
        <v>21000</v>
      </c>
      <c r="S667" s="12">
        <f>_xlfn.XLOOKUP(B667,[1]Sheet1!$B:$B,[1]Sheet1!$V:$V,0)</f>
        <v>21000</v>
      </c>
      <c r="T667" s="12">
        <f>_xlfn.XLOOKUP(B667,[1]Sheet1!$B:$B,[1]Sheet1!$W:$W,0)</f>
        <v>21000</v>
      </c>
      <c r="U667" s="12">
        <f>_xlfn.XLOOKUP(B667,[1]Sheet1!$B:$B,[1]Sheet1!$X:$X,0)</f>
        <v>21000</v>
      </c>
      <c r="V667" s="12">
        <f>_xlfn.XLOOKUP(B667,[1]Sheet1!$B:$B,[1]Sheet1!$Y:$Y,0)</f>
        <v>21000</v>
      </c>
      <c r="W667" s="12">
        <f t="shared" si="23"/>
        <v>252000</v>
      </c>
      <c r="X667" s="8" t="s">
        <v>82</v>
      </c>
      <c r="Y667" s="8" t="s">
        <v>65</v>
      </c>
      <c r="Z667" s="8" t="s">
        <v>66</v>
      </c>
      <c r="AA667" s="8" t="s">
        <v>53</v>
      </c>
      <c r="AB667" s="8" t="s">
        <v>36</v>
      </c>
      <c r="AC667" s="8" t="s">
        <v>37</v>
      </c>
      <c r="AD667" s="8" t="s">
        <v>69</v>
      </c>
      <c r="AE667" s="8" t="s">
        <v>39</v>
      </c>
      <c r="AF667" s="8" t="s">
        <v>40</v>
      </c>
      <c r="AG667" s="9">
        <v>252000</v>
      </c>
      <c r="AH667" s="11">
        <f>_xlfn.XLOOKUP(B667,[1]Sheet1!$B:$B,[1]Sheet1!$AB:$AB,0)</f>
        <v>252000</v>
      </c>
    </row>
    <row r="668" spans="2:34" ht="16.8" thickTop="1" thickBot="1" x14ac:dyDescent="0.35">
      <c r="B668" s="3" t="str">
        <f t="shared" si="22"/>
        <v>45112504511000820Hospitality-N424761200104</v>
      </c>
      <c r="C668" s="6" t="s">
        <v>67</v>
      </c>
      <c r="D668" s="6" t="s">
        <v>1113</v>
      </c>
      <c r="E668" s="6" t="s">
        <v>1114</v>
      </c>
      <c r="F668" s="6" t="s">
        <v>83</v>
      </c>
      <c r="G668" s="4" t="s">
        <v>2811</v>
      </c>
      <c r="H668" s="4" t="s">
        <v>2922</v>
      </c>
      <c r="I668" s="6" t="s">
        <v>84</v>
      </c>
      <c r="J668" s="6" t="s">
        <v>31</v>
      </c>
      <c r="K668" s="12">
        <f>_xlfn.XLOOKUP(B668,[1]Sheet1!$B:$B,[1]Sheet1!$N:$N,0)</f>
        <v>0</v>
      </c>
      <c r="L668" s="12">
        <f>_xlfn.XLOOKUP(B668,[1]Sheet1!$B:$B,[1]Sheet1!$O:$O,0)</f>
        <v>0</v>
      </c>
      <c r="M668" s="12">
        <f>_xlfn.XLOOKUP(B668,[1]Sheet1!$B:$B,[1]Sheet1!$P:$P,0)</f>
        <v>0</v>
      </c>
      <c r="N668" s="12">
        <f>_xlfn.XLOOKUP(B668,[1]Sheet1!$B:$B,[1]Sheet1!$Q:$Q,0)</f>
        <v>60000</v>
      </c>
      <c r="O668" s="12">
        <f>_xlfn.XLOOKUP(B668,[1]Sheet1!$B:$B,[1]Sheet1!$R:$R,0)</f>
        <v>30000</v>
      </c>
      <c r="P668" s="12">
        <f>_xlfn.XLOOKUP(B668,[1]Sheet1!$B:$B,[1]Sheet1!$S:$S,0)</f>
        <v>30000</v>
      </c>
      <c r="Q668" s="12">
        <f>_xlfn.XLOOKUP(B668,[1]Sheet1!$B:$B,[1]Sheet1!$T:$T,0)</f>
        <v>30000</v>
      </c>
      <c r="R668" s="12">
        <f>_xlfn.XLOOKUP(B668,[1]Sheet1!$B:$B,[1]Sheet1!$U:$U,0)</f>
        <v>20900</v>
      </c>
      <c r="S668" s="12">
        <f>_xlfn.XLOOKUP(B668,[1]Sheet1!$B:$B,[1]Sheet1!$V:$V,0)</f>
        <v>0</v>
      </c>
      <c r="T668" s="12">
        <f>_xlfn.XLOOKUP(B668,[1]Sheet1!$B:$B,[1]Sheet1!$W:$W,0)</f>
        <v>0</v>
      </c>
      <c r="U668" s="12">
        <f>_xlfn.XLOOKUP(B668,[1]Sheet1!$B:$B,[1]Sheet1!$X:$X,0)</f>
        <v>0</v>
      </c>
      <c r="V668" s="12">
        <f>_xlfn.XLOOKUP(B668,[1]Sheet1!$B:$B,[1]Sheet1!$Y:$Y,0)</f>
        <v>0</v>
      </c>
      <c r="W668" s="12">
        <f t="shared" si="23"/>
        <v>170900</v>
      </c>
      <c r="X668" s="6" t="s">
        <v>85</v>
      </c>
      <c r="Y668" s="6" t="s">
        <v>65</v>
      </c>
      <c r="Z668" s="6" t="s">
        <v>66</v>
      </c>
      <c r="AA668" s="6" t="s">
        <v>84</v>
      </c>
      <c r="AB668" s="6" t="s">
        <v>36</v>
      </c>
      <c r="AC668" s="6" t="s">
        <v>37</v>
      </c>
      <c r="AD668" s="6" t="s">
        <v>69</v>
      </c>
      <c r="AE668" s="6" t="s">
        <v>39</v>
      </c>
      <c r="AF668" s="6" t="s">
        <v>40</v>
      </c>
      <c r="AG668" s="7">
        <v>170900</v>
      </c>
      <c r="AH668" s="11">
        <f>_xlfn.XLOOKUP(B668,[1]Sheet1!$B:$B,[1]Sheet1!$AB:$AB,0)</f>
        <v>170900</v>
      </c>
    </row>
    <row r="669" spans="2:34" ht="16.8" thickTop="1" thickBot="1" x14ac:dyDescent="0.35">
      <c r="B669" s="3" t="str">
        <f t="shared" si="22"/>
        <v>45112504511000820Landscaping-N432614200104</v>
      </c>
      <c r="C669" s="8" t="s">
        <v>67</v>
      </c>
      <c r="D669" s="8" t="s">
        <v>1113</v>
      </c>
      <c r="E669" s="8" t="s">
        <v>1114</v>
      </c>
      <c r="F669" s="8" t="s">
        <v>86</v>
      </c>
      <c r="G669" s="4" t="s">
        <v>2812</v>
      </c>
      <c r="H669" s="4" t="s">
        <v>2922</v>
      </c>
      <c r="I669" s="8" t="s">
        <v>87</v>
      </c>
      <c r="J669" s="8" t="s">
        <v>31</v>
      </c>
      <c r="K669" s="12">
        <f>_xlfn.XLOOKUP(B669,[1]Sheet1!$B:$B,[1]Sheet1!$N:$N,0)</f>
        <v>0</v>
      </c>
      <c r="L669" s="12">
        <f>_xlfn.XLOOKUP(B669,[1]Sheet1!$B:$B,[1]Sheet1!$O:$O,0)</f>
        <v>0</v>
      </c>
      <c r="M669" s="12">
        <f>_xlfn.XLOOKUP(B669,[1]Sheet1!$B:$B,[1]Sheet1!$P:$P,0)</f>
        <v>0</v>
      </c>
      <c r="N669" s="12">
        <f>_xlfn.XLOOKUP(B669,[1]Sheet1!$B:$B,[1]Sheet1!$Q:$Q,0)</f>
        <v>80000</v>
      </c>
      <c r="O669" s="12">
        <f>_xlfn.XLOOKUP(B669,[1]Sheet1!$B:$B,[1]Sheet1!$R:$R,0)</f>
        <v>40000</v>
      </c>
      <c r="P669" s="12">
        <f>_xlfn.XLOOKUP(B669,[1]Sheet1!$B:$B,[1]Sheet1!$S:$S,0)</f>
        <v>40000</v>
      </c>
      <c r="Q669" s="12">
        <f>_xlfn.XLOOKUP(B669,[1]Sheet1!$B:$B,[1]Sheet1!$T:$T,0)</f>
        <v>40000</v>
      </c>
      <c r="R669" s="12">
        <f>_xlfn.XLOOKUP(B669,[1]Sheet1!$B:$B,[1]Sheet1!$U:$U,0)</f>
        <v>40000</v>
      </c>
      <c r="S669" s="12">
        <f>_xlfn.XLOOKUP(B669,[1]Sheet1!$B:$B,[1]Sheet1!$V:$V,0)</f>
        <v>40000</v>
      </c>
      <c r="T669" s="12">
        <f>_xlfn.XLOOKUP(B669,[1]Sheet1!$B:$B,[1]Sheet1!$W:$W,0)</f>
        <v>32000</v>
      </c>
      <c r="U669" s="12">
        <f>_xlfn.XLOOKUP(B669,[1]Sheet1!$B:$B,[1]Sheet1!$X:$X,0)</f>
        <v>0</v>
      </c>
      <c r="V669" s="12">
        <f>_xlfn.XLOOKUP(B669,[1]Sheet1!$B:$B,[1]Sheet1!$Y:$Y,0)</f>
        <v>0</v>
      </c>
      <c r="W669" s="12">
        <f t="shared" si="23"/>
        <v>312000</v>
      </c>
      <c r="X669" s="8" t="s">
        <v>88</v>
      </c>
      <c r="Y669" s="8" t="s">
        <v>65</v>
      </c>
      <c r="Z669" s="8" t="s">
        <v>66</v>
      </c>
      <c r="AA669" s="8" t="s">
        <v>87</v>
      </c>
      <c r="AB669" s="8" t="s">
        <v>36</v>
      </c>
      <c r="AC669" s="8" t="s">
        <v>37</v>
      </c>
      <c r="AD669" s="8" t="s">
        <v>69</v>
      </c>
      <c r="AE669" s="8" t="s">
        <v>39</v>
      </c>
      <c r="AF669" s="8" t="s">
        <v>40</v>
      </c>
      <c r="AG669" s="9">
        <v>312000</v>
      </c>
      <c r="AH669" s="11">
        <f>_xlfn.XLOOKUP(B669,[1]Sheet1!$B:$B,[1]Sheet1!$AB:$AB,0)</f>
        <v>312000</v>
      </c>
    </row>
    <row r="670" spans="2:34" ht="16.8" thickTop="1" thickBot="1" x14ac:dyDescent="0.35">
      <c r="B670" s="3" t="str">
        <f t="shared" si="22"/>
        <v>45112504511000820Lease Improve-N490600300105</v>
      </c>
      <c r="C670" s="6" t="s">
        <v>67</v>
      </c>
      <c r="D670" s="6" t="s">
        <v>1113</v>
      </c>
      <c r="E670" s="6" t="s">
        <v>1114</v>
      </c>
      <c r="F670" s="6" t="s">
        <v>89</v>
      </c>
      <c r="G670" s="4" t="s">
        <v>2813</v>
      </c>
      <c r="H670" s="4" t="s">
        <v>2923</v>
      </c>
      <c r="I670" s="6" t="s">
        <v>90</v>
      </c>
      <c r="J670" s="6" t="s">
        <v>31</v>
      </c>
      <c r="K670" s="12">
        <f>_xlfn.XLOOKUP(B670,[1]Sheet1!$B:$B,[1]Sheet1!$N:$N,0)</f>
        <v>0</v>
      </c>
      <c r="L670" s="12">
        <f>_xlfn.XLOOKUP(B670,[1]Sheet1!$B:$B,[1]Sheet1!$O:$O,0)</f>
        <v>0</v>
      </c>
      <c r="M670" s="12">
        <f>_xlfn.XLOOKUP(B670,[1]Sheet1!$B:$B,[1]Sheet1!$P:$P,0)</f>
        <v>0</v>
      </c>
      <c r="N670" s="12">
        <f>_xlfn.XLOOKUP(B670,[1]Sheet1!$B:$B,[1]Sheet1!$Q:$Q,0)</f>
        <v>0</v>
      </c>
      <c r="O670" s="12">
        <f>_xlfn.XLOOKUP(B670,[1]Sheet1!$B:$B,[1]Sheet1!$R:$R,0)</f>
        <v>0</v>
      </c>
      <c r="P670" s="12">
        <f>_xlfn.XLOOKUP(B670,[1]Sheet1!$B:$B,[1]Sheet1!$S:$S,0)</f>
        <v>269498</v>
      </c>
      <c r="Q670" s="12">
        <f>_xlfn.XLOOKUP(B670,[1]Sheet1!$B:$B,[1]Sheet1!$T:$T,0)</f>
        <v>0</v>
      </c>
      <c r="R670" s="12">
        <f>_xlfn.XLOOKUP(B670,[1]Sheet1!$B:$B,[1]Sheet1!$U:$U,0)</f>
        <v>0</v>
      </c>
      <c r="S670" s="12">
        <f>_xlfn.XLOOKUP(B670,[1]Sheet1!$B:$B,[1]Sheet1!$V:$V,0)</f>
        <v>0</v>
      </c>
      <c r="T670" s="12">
        <f>_xlfn.XLOOKUP(B670,[1]Sheet1!$B:$B,[1]Sheet1!$W:$W,0)</f>
        <v>0</v>
      </c>
      <c r="U670" s="12">
        <f>_xlfn.XLOOKUP(B670,[1]Sheet1!$B:$B,[1]Sheet1!$X:$X,0)</f>
        <v>0</v>
      </c>
      <c r="V670" s="12">
        <f>_xlfn.XLOOKUP(B670,[1]Sheet1!$B:$B,[1]Sheet1!$Y:$Y,0)</f>
        <v>0</v>
      </c>
      <c r="W670" s="12">
        <f t="shared" si="23"/>
        <v>269498</v>
      </c>
      <c r="X670" s="6" t="s">
        <v>91</v>
      </c>
      <c r="Y670" s="6" t="s">
        <v>65</v>
      </c>
      <c r="Z670" s="6" t="s">
        <v>66</v>
      </c>
      <c r="AA670" s="6" t="s">
        <v>92</v>
      </c>
      <c r="AB670" s="6" t="s">
        <v>93</v>
      </c>
      <c r="AC670" s="6" t="s">
        <v>94</v>
      </c>
      <c r="AD670" s="6" t="s">
        <v>69</v>
      </c>
      <c r="AE670" s="6" t="s">
        <v>39</v>
      </c>
      <c r="AF670" s="6" t="s">
        <v>40</v>
      </c>
      <c r="AG670" s="7">
        <v>4469498</v>
      </c>
      <c r="AH670" s="11">
        <f>_xlfn.XLOOKUP(B670,[1]Sheet1!$B:$B,[1]Sheet1!$AB:$AB,0)</f>
        <v>4469498</v>
      </c>
    </row>
    <row r="671" spans="2:34" ht="16.8" thickTop="1" thickBot="1" x14ac:dyDescent="0.35">
      <c r="B671" s="3" t="str">
        <f t="shared" si="22"/>
        <v>45112504511000820Maintenance-N426212200104</v>
      </c>
      <c r="C671" s="8" t="s">
        <v>67</v>
      </c>
      <c r="D671" s="8" t="s">
        <v>1113</v>
      </c>
      <c r="E671" s="8" t="s">
        <v>1114</v>
      </c>
      <c r="F671" s="8" t="s">
        <v>95</v>
      </c>
      <c r="G671" s="4" t="s">
        <v>2814</v>
      </c>
      <c r="H671" s="4" t="s">
        <v>2922</v>
      </c>
      <c r="I671" s="8" t="s">
        <v>96</v>
      </c>
      <c r="J671" s="8" t="s">
        <v>31</v>
      </c>
      <c r="K671" s="12">
        <f>_xlfn.XLOOKUP(B671,[1]Sheet1!$B:$B,[1]Sheet1!$N:$N,0)</f>
        <v>0</v>
      </c>
      <c r="L671" s="12">
        <f>_xlfn.XLOOKUP(B671,[1]Sheet1!$B:$B,[1]Sheet1!$O:$O,0)</f>
        <v>0</v>
      </c>
      <c r="M671" s="12">
        <f>_xlfn.XLOOKUP(B671,[1]Sheet1!$B:$B,[1]Sheet1!$P:$P,0)</f>
        <v>0</v>
      </c>
      <c r="N671" s="12">
        <f>_xlfn.XLOOKUP(B671,[1]Sheet1!$B:$B,[1]Sheet1!$Q:$Q,0)</f>
        <v>110000</v>
      </c>
      <c r="O671" s="12">
        <f>_xlfn.XLOOKUP(B671,[1]Sheet1!$B:$B,[1]Sheet1!$R:$R,0)</f>
        <v>55000</v>
      </c>
      <c r="P671" s="12">
        <f>_xlfn.XLOOKUP(B671,[1]Sheet1!$B:$B,[1]Sheet1!$S:$S,0)</f>
        <v>55000</v>
      </c>
      <c r="Q671" s="12">
        <f>_xlfn.XLOOKUP(B671,[1]Sheet1!$B:$B,[1]Sheet1!$T:$T,0)</f>
        <v>55000</v>
      </c>
      <c r="R671" s="12">
        <f>_xlfn.XLOOKUP(B671,[1]Sheet1!$B:$B,[1]Sheet1!$U:$U,0)</f>
        <v>55000</v>
      </c>
      <c r="S671" s="12">
        <f>_xlfn.XLOOKUP(B671,[1]Sheet1!$B:$B,[1]Sheet1!$V:$V,0)</f>
        <v>55000</v>
      </c>
      <c r="T671" s="12">
        <f>_xlfn.XLOOKUP(B671,[1]Sheet1!$B:$B,[1]Sheet1!$W:$W,0)</f>
        <v>55000</v>
      </c>
      <c r="U671" s="12">
        <f>_xlfn.XLOOKUP(B671,[1]Sheet1!$B:$B,[1]Sheet1!$X:$X,0)</f>
        <v>70000</v>
      </c>
      <c r="V671" s="12">
        <f>_xlfn.XLOOKUP(B671,[1]Sheet1!$B:$B,[1]Sheet1!$Y:$Y,0)</f>
        <v>0</v>
      </c>
      <c r="W671" s="12">
        <f t="shared" si="23"/>
        <v>510000</v>
      </c>
      <c r="X671" s="8" t="s">
        <v>97</v>
      </c>
      <c r="Y671" s="8" t="s">
        <v>65</v>
      </c>
      <c r="Z671" s="8" t="s">
        <v>66</v>
      </c>
      <c r="AA671" s="8" t="s">
        <v>96</v>
      </c>
      <c r="AB671" s="8" t="s">
        <v>36</v>
      </c>
      <c r="AC671" s="8" t="s">
        <v>37</v>
      </c>
      <c r="AD671" s="8" t="s">
        <v>69</v>
      </c>
      <c r="AE671" s="8" t="s">
        <v>39</v>
      </c>
      <c r="AF671" s="8" t="s">
        <v>40</v>
      </c>
      <c r="AG671" s="9">
        <v>510000</v>
      </c>
      <c r="AH671" s="11">
        <f>_xlfn.XLOOKUP(B671,[1]Sheet1!$B:$B,[1]Sheet1!$AB:$AB,0)</f>
        <v>510000</v>
      </c>
    </row>
    <row r="672" spans="2:34" ht="16.8" thickTop="1" thickBot="1" x14ac:dyDescent="0.35">
      <c r="B672" s="3" t="str">
        <f t="shared" si="22"/>
        <v>45112504511000820Manpower-N424521200104</v>
      </c>
      <c r="C672" s="6" t="s">
        <v>67</v>
      </c>
      <c r="D672" s="6" t="s">
        <v>1113</v>
      </c>
      <c r="E672" s="6" t="s">
        <v>1114</v>
      </c>
      <c r="F672" s="6" t="s">
        <v>98</v>
      </c>
      <c r="G672" s="4" t="s">
        <v>2804</v>
      </c>
      <c r="H672" s="4" t="s">
        <v>2922</v>
      </c>
      <c r="I672" s="6" t="s">
        <v>51</v>
      </c>
      <c r="J672" s="6" t="s">
        <v>31</v>
      </c>
      <c r="K672" s="12">
        <f>_xlfn.XLOOKUP(B672,[1]Sheet1!$B:$B,[1]Sheet1!$N:$N,0)</f>
        <v>0</v>
      </c>
      <c r="L672" s="12">
        <f>_xlfn.XLOOKUP(B672,[1]Sheet1!$B:$B,[1]Sheet1!$O:$O,0)</f>
        <v>243456.71</v>
      </c>
      <c r="M672" s="12">
        <f>_xlfn.XLOOKUP(B672,[1]Sheet1!$B:$B,[1]Sheet1!$P:$P,0)</f>
        <v>0</v>
      </c>
      <c r="N672" s="12">
        <f>_xlfn.XLOOKUP(B672,[1]Sheet1!$B:$B,[1]Sheet1!$Q:$Q,0)</f>
        <v>838470.31</v>
      </c>
      <c r="O672" s="12">
        <f>_xlfn.XLOOKUP(B672,[1]Sheet1!$B:$B,[1]Sheet1!$R:$R,0)</f>
        <v>279490.01</v>
      </c>
      <c r="P672" s="12">
        <f>_xlfn.XLOOKUP(B672,[1]Sheet1!$B:$B,[1]Sheet1!$S:$S,0)</f>
        <v>279490.01</v>
      </c>
      <c r="Q672" s="12">
        <f>_xlfn.XLOOKUP(B672,[1]Sheet1!$B:$B,[1]Sheet1!$T:$T,0)</f>
        <v>279490.01</v>
      </c>
      <c r="R672" s="12">
        <f>_xlfn.XLOOKUP(B672,[1]Sheet1!$B:$B,[1]Sheet1!$U:$U,0)</f>
        <v>279490.01</v>
      </c>
      <c r="S672" s="12">
        <f>_xlfn.XLOOKUP(B672,[1]Sheet1!$B:$B,[1]Sheet1!$V:$V,0)</f>
        <v>279490.01</v>
      </c>
      <c r="T672" s="12">
        <f>_xlfn.XLOOKUP(B672,[1]Sheet1!$B:$B,[1]Sheet1!$W:$W,0)</f>
        <v>279490.01</v>
      </c>
      <c r="U672" s="12">
        <f>_xlfn.XLOOKUP(B672,[1]Sheet1!$B:$B,[1]Sheet1!$X:$X,0)</f>
        <v>279490.01</v>
      </c>
      <c r="V672" s="12">
        <f>_xlfn.XLOOKUP(B672,[1]Sheet1!$B:$B,[1]Sheet1!$Y:$Y,0)</f>
        <v>279490.01</v>
      </c>
      <c r="W672" s="12">
        <f t="shared" si="23"/>
        <v>3317847.0999999996</v>
      </c>
      <c r="X672" s="6" t="s">
        <v>82</v>
      </c>
      <c r="Y672" s="6" t="s">
        <v>65</v>
      </c>
      <c r="Z672" s="6" t="s">
        <v>66</v>
      </c>
      <c r="AA672" s="6" t="s">
        <v>53</v>
      </c>
      <c r="AB672" s="6" t="s">
        <v>36</v>
      </c>
      <c r="AC672" s="6" t="s">
        <v>37</v>
      </c>
      <c r="AD672" s="6" t="s">
        <v>69</v>
      </c>
      <c r="AE672" s="6" t="s">
        <v>39</v>
      </c>
      <c r="AF672" s="6" t="s">
        <v>40</v>
      </c>
      <c r="AG672" s="7">
        <v>3317847</v>
      </c>
      <c r="AH672" s="11">
        <f>_xlfn.XLOOKUP(B672,[1]Sheet1!$B:$B,[1]Sheet1!$AB:$AB,0)</f>
        <v>3317847.0999999996</v>
      </c>
    </row>
    <row r="673" spans="2:34" ht="16.8" thickTop="1" thickBot="1" x14ac:dyDescent="0.35">
      <c r="B673" s="3" t="str">
        <f t="shared" si="22"/>
        <v>45115504511000820Media Mgmnt &amp;Buy-N2422511200104</v>
      </c>
      <c r="C673" s="8" t="s">
        <v>154</v>
      </c>
      <c r="D673" s="8" t="s">
        <v>1113</v>
      </c>
      <c r="E673" s="8" t="s">
        <v>1114</v>
      </c>
      <c r="F673" s="8" t="s">
        <v>1115</v>
      </c>
      <c r="G673" s="4" t="s">
        <v>2819</v>
      </c>
      <c r="H673" s="4" t="s">
        <v>2922</v>
      </c>
      <c r="I673" s="8" t="s">
        <v>151</v>
      </c>
      <c r="J673" s="8" t="s">
        <v>31</v>
      </c>
      <c r="K673" s="12">
        <f>_xlfn.XLOOKUP(B673,[1]Sheet1!$B:$B,[1]Sheet1!$N:$N,0)</f>
        <v>0</v>
      </c>
      <c r="L673" s="12">
        <f>_xlfn.XLOOKUP(B673,[1]Sheet1!$B:$B,[1]Sheet1!$O:$O,0)</f>
        <v>0</v>
      </c>
      <c r="M673" s="12">
        <f>_xlfn.XLOOKUP(B673,[1]Sheet1!$B:$B,[1]Sheet1!$P:$P,0)</f>
        <v>0</v>
      </c>
      <c r="N673" s="12">
        <f>_xlfn.XLOOKUP(B673,[1]Sheet1!$B:$B,[1]Sheet1!$Q:$Q,0)</f>
        <v>0</v>
      </c>
      <c r="O673" s="12">
        <f>_xlfn.XLOOKUP(B673,[1]Sheet1!$B:$B,[1]Sheet1!$R:$R,0)</f>
        <v>0</v>
      </c>
      <c r="P673" s="12">
        <f>_xlfn.XLOOKUP(B673,[1]Sheet1!$B:$B,[1]Sheet1!$S:$S,0)</f>
        <v>0</v>
      </c>
      <c r="Q673" s="12">
        <f>_xlfn.XLOOKUP(B673,[1]Sheet1!$B:$B,[1]Sheet1!$T:$T,0)</f>
        <v>0</v>
      </c>
      <c r="R673" s="12">
        <f>_xlfn.XLOOKUP(B673,[1]Sheet1!$B:$B,[1]Sheet1!$U:$U,0)</f>
        <v>0</v>
      </c>
      <c r="S673" s="12">
        <f>_xlfn.XLOOKUP(B673,[1]Sheet1!$B:$B,[1]Sheet1!$V:$V,0)</f>
        <v>0</v>
      </c>
      <c r="T673" s="12">
        <f>_xlfn.XLOOKUP(B673,[1]Sheet1!$B:$B,[1]Sheet1!$W:$W,0)</f>
        <v>0</v>
      </c>
      <c r="U673" s="12">
        <f>_xlfn.XLOOKUP(B673,[1]Sheet1!$B:$B,[1]Sheet1!$X:$X,0)</f>
        <v>0</v>
      </c>
      <c r="V673" s="12">
        <f>_xlfn.XLOOKUP(B673,[1]Sheet1!$B:$B,[1]Sheet1!$Y:$Y,0)</f>
        <v>10000</v>
      </c>
      <c r="W673" s="12">
        <f t="shared" si="23"/>
        <v>10000</v>
      </c>
      <c r="X673" s="8" t="s">
        <v>940</v>
      </c>
      <c r="Y673" s="8" t="s">
        <v>65</v>
      </c>
      <c r="Z673" s="8" t="s">
        <v>153</v>
      </c>
      <c r="AA673" s="8" t="s">
        <v>151</v>
      </c>
      <c r="AB673" s="8" t="s">
        <v>36</v>
      </c>
      <c r="AC673" s="8" t="s">
        <v>37</v>
      </c>
      <c r="AD673" s="8" t="s">
        <v>119</v>
      </c>
      <c r="AE673" s="8" t="s">
        <v>39</v>
      </c>
      <c r="AF673" s="8" t="s">
        <v>40</v>
      </c>
      <c r="AG673" s="9">
        <v>1010000</v>
      </c>
      <c r="AH673" s="11">
        <f>_xlfn.XLOOKUP(B673,[1]Sheet1!$B:$B,[1]Sheet1!$AB:$AB,0)</f>
        <v>1010000</v>
      </c>
    </row>
    <row r="674" spans="2:34" ht="16.8" thickTop="1" thickBot="1" x14ac:dyDescent="0.35">
      <c r="B674" s="3" t="str">
        <f t="shared" si="22"/>
        <v>45112504511000820Mission &amp; Travel-N423821200104</v>
      </c>
      <c r="C674" s="6" t="s">
        <v>67</v>
      </c>
      <c r="D674" s="6" t="s">
        <v>1113</v>
      </c>
      <c r="E674" s="6" t="s">
        <v>1114</v>
      </c>
      <c r="F674" s="6" t="s">
        <v>54</v>
      </c>
      <c r="G674" s="4" t="s">
        <v>2805</v>
      </c>
      <c r="H674" s="4" t="s">
        <v>2922</v>
      </c>
      <c r="I674" s="6" t="s">
        <v>55</v>
      </c>
      <c r="J674" s="6" t="s">
        <v>31</v>
      </c>
      <c r="K674" s="12">
        <f>_xlfn.XLOOKUP(B674,[1]Sheet1!$B:$B,[1]Sheet1!$N:$N,0)</f>
        <v>0</v>
      </c>
      <c r="L674" s="12">
        <f>_xlfn.XLOOKUP(B674,[1]Sheet1!$B:$B,[1]Sheet1!$O:$O,0)</f>
        <v>0</v>
      </c>
      <c r="M674" s="12">
        <f>_xlfn.XLOOKUP(B674,[1]Sheet1!$B:$B,[1]Sheet1!$P:$P,0)</f>
        <v>0</v>
      </c>
      <c r="N674" s="12">
        <f>_xlfn.XLOOKUP(B674,[1]Sheet1!$B:$B,[1]Sheet1!$Q:$Q,0)</f>
        <v>0</v>
      </c>
      <c r="O674" s="12">
        <f>_xlfn.XLOOKUP(B674,[1]Sheet1!$B:$B,[1]Sheet1!$R:$R,0)</f>
        <v>0</v>
      </c>
      <c r="P674" s="12">
        <f>_xlfn.XLOOKUP(B674,[1]Sheet1!$B:$B,[1]Sheet1!$S:$S,0)</f>
        <v>0</v>
      </c>
      <c r="Q674" s="12">
        <f>_xlfn.XLOOKUP(B674,[1]Sheet1!$B:$B,[1]Sheet1!$T:$T,0)</f>
        <v>0</v>
      </c>
      <c r="R674" s="12">
        <f>_xlfn.XLOOKUP(B674,[1]Sheet1!$B:$B,[1]Sheet1!$U:$U,0)</f>
        <v>0</v>
      </c>
      <c r="S674" s="12">
        <f>_xlfn.XLOOKUP(B674,[1]Sheet1!$B:$B,[1]Sheet1!$V:$V,0)</f>
        <v>0</v>
      </c>
      <c r="T674" s="12">
        <f>_xlfn.XLOOKUP(B674,[1]Sheet1!$B:$B,[1]Sheet1!$W:$W,0)</f>
        <v>0</v>
      </c>
      <c r="U674" s="12">
        <f>_xlfn.XLOOKUP(B674,[1]Sheet1!$B:$B,[1]Sheet1!$X:$X,0)</f>
        <v>0</v>
      </c>
      <c r="V674" s="12">
        <f>_xlfn.XLOOKUP(B674,[1]Sheet1!$B:$B,[1]Sheet1!$Y:$Y,0)</f>
        <v>0</v>
      </c>
      <c r="W674" s="12">
        <f t="shared" si="23"/>
        <v>0</v>
      </c>
      <c r="X674" s="6" t="s">
        <v>1116</v>
      </c>
      <c r="Y674" s="6" t="s">
        <v>65</v>
      </c>
      <c r="Z674" s="6" t="s">
        <v>66</v>
      </c>
      <c r="AA674" s="6" t="s">
        <v>55</v>
      </c>
      <c r="AB674" s="6" t="s">
        <v>36</v>
      </c>
      <c r="AC674" s="6" t="s">
        <v>37</v>
      </c>
      <c r="AD674" s="6" t="s">
        <v>69</v>
      </c>
      <c r="AE674" s="6" t="s">
        <v>39</v>
      </c>
      <c r="AF674" s="6" t="s">
        <v>40</v>
      </c>
      <c r="AG674" s="7">
        <v>290000</v>
      </c>
      <c r="AH674" s="11">
        <f>_xlfn.XLOOKUP(B674,[1]Sheet1!$B:$B,[1]Sheet1!$AB:$AB,0)</f>
        <v>290000</v>
      </c>
    </row>
    <row r="675" spans="2:34" ht="16.8" thickTop="1" thickBot="1" x14ac:dyDescent="0.35">
      <c r="B675" s="3" t="str">
        <f t="shared" si="22"/>
        <v>45112504511000820Pest Control-N422321200104</v>
      </c>
      <c r="C675" s="8" t="s">
        <v>67</v>
      </c>
      <c r="D675" s="8" t="s">
        <v>1113</v>
      </c>
      <c r="E675" s="8" t="s">
        <v>1114</v>
      </c>
      <c r="F675" s="8" t="s">
        <v>103</v>
      </c>
      <c r="G675" s="4" t="s">
        <v>2816</v>
      </c>
      <c r="H675" s="4" t="s">
        <v>2922</v>
      </c>
      <c r="I675" s="8" t="s">
        <v>104</v>
      </c>
      <c r="J675" s="8" t="s">
        <v>31</v>
      </c>
      <c r="K675" s="12">
        <f>_xlfn.XLOOKUP(B675,[1]Sheet1!$B:$B,[1]Sheet1!$N:$N,0)</f>
        <v>0</v>
      </c>
      <c r="L675" s="12">
        <f>_xlfn.XLOOKUP(B675,[1]Sheet1!$B:$B,[1]Sheet1!$O:$O,0)</f>
        <v>0</v>
      </c>
      <c r="M675" s="12">
        <f>_xlfn.XLOOKUP(B675,[1]Sheet1!$B:$B,[1]Sheet1!$P:$P,0)</f>
        <v>0</v>
      </c>
      <c r="N675" s="12">
        <f>_xlfn.XLOOKUP(B675,[1]Sheet1!$B:$B,[1]Sheet1!$Q:$Q,0)</f>
        <v>40000</v>
      </c>
      <c r="O675" s="12">
        <f>_xlfn.XLOOKUP(B675,[1]Sheet1!$B:$B,[1]Sheet1!$R:$R,0)</f>
        <v>20000</v>
      </c>
      <c r="P675" s="12">
        <f>_xlfn.XLOOKUP(B675,[1]Sheet1!$B:$B,[1]Sheet1!$S:$S,0)</f>
        <v>20000</v>
      </c>
      <c r="Q675" s="12">
        <f>_xlfn.XLOOKUP(B675,[1]Sheet1!$B:$B,[1]Sheet1!$T:$T,0)</f>
        <v>20000</v>
      </c>
      <c r="R675" s="12">
        <f>_xlfn.XLOOKUP(B675,[1]Sheet1!$B:$B,[1]Sheet1!$U:$U,0)</f>
        <v>20000</v>
      </c>
      <c r="S675" s="12">
        <f>_xlfn.XLOOKUP(B675,[1]Sheet1!$B:$B,[1]Sheet1!$V:$V,0)</f>
        <v>20000</v>
      </c>
      <c r="T675" s="12">
        <f>_xlfn.XLOOKUP(B675,[1]Sheet1!$B:$B,[1]Sheet1!$W:$W,0)</f>
        <v>20000</v>
      </c>
      <c r="U675" s="12">
        <f>_xlfn.XLOOKUP(B675,[1]Sheet1!$B:$B,[1]Sheet1!$X:$X,0)</f>
        <v>20000</v>
      </c>
      <c r="V675" s="12">
        <f>_xlfn.XLOOKUP(B675,[1]Sheet1!$B:$B,[1]Sheet1!$Y:$Y,0)</f>
        <v>900</v>
      </c>
      <c r="W675" s="12">
        <f t="shared" si="23"/>
        <v>180900</v>
      </c>
      <c r="X675" s="8" t="s">
        <v>105</v>
      </c>
      <c r="Y675" s="8" t="s">
        <v>65</v>
      </c>
      <c r="Z675" s="8" t="s">
        <v>66</v>
      </c>
      <c r="AA675" s="8" t="s">
        <v>106</v>
      </c>
      <c r="AB675" s="8" t="s">
        <v>36</v>
      </c>
      <c r="AC675" s="8" t="s">
        <v>37</v>
      </c>
      <c r="AD675" s="8" t="s">
        <v>69</v>
      </c>
      <c r="AE675" s="8" t="s">
        <v>39</v>
      </c>
      <c r="AF675" s="8" t="s">
        <v>40</v>
      </c>
      <c r="AG675" s="9">
        <v>180900</v>
      </c>
      <c r="AH675" s="11">
        <f>_xlfn.XLOOKUP(B675,[1]Sheet1!$B:$B,[1]Sheet1!$AB:$AB,0)</f>
        <v>180900</v>
      </c>
    </row>
    <row r="676" spans="2:34" ht="16.8" thickTop="1" thickBot="1" x14ac:dyDescent="0.35">
      <c r="B676" s="3" t="str">
        <f t="shared" si="22"/>
        <v>45112504511000820Security Service-N424551200104</v>
      </c>
      <c r="C676" s="6" t="s">
        <v>67</v>
      </c>
      <c r="D676" s="6" t="s">
        <v>1113</v>
      </c>
      <c r="E676" s="6" t="s">
        <v>1114</v>
      </c>
      <c r="F676" s="6" t="s">
        <v>107</v>
      </c>
      <c r="G676" s="4" t="s">
        <v>2817</v>
      </c>
      <c r="H676" s="4" t="s">
        <v>2922</v>
      </c>
      <c r="I676" s="6" t="s">
        <v>108</v>
      </c>
      <c r="J676" s="6" t="s">
        <v>31</v>
      </c>
      <c r="K676" s="12">
        <f>_xlfn.XLOOKUP(B676,[1]Sheet1!$B:$B,[1]Sheet1!$N:$N,0)</f>
        <v>0</v>
      </c>
      <c r="L676" s="12">
        <f>_xlfn.XLOOKUP(B676,[1]Sheet1!$B:$B,[1]Sheet1!$O:$O,0)</f>
        <v>0</v>
      </c>
      <c r="M676" s="12">
        <f>_xlfn.XLOOKUP(B676,[1]Sheet1!$B:$B,[1]Sheet1!$P:$P,0)</f>
        <v>0</v>
      </c>
      <c r="N676" s="12">
        <f>_xlfn.XLOOKUP(B676,[1]Sheet1!$B:$B,[1]Sheet1!$Q:$Q,0)</f>
        <v>340000</v>
      </c>
      <c r="O676" s="12">
        <f>_xlfn.XLOOKUP(B676,[1]Sheet1!$B:$B,[1]Sheet1!$R:$R,0)</f>
        <v>170000</v>
      </c>
      <c r="P676" s="12">
        <f>_xlfn.XLOOKUP(B676,[1]Sheet1!$B:$B,[1]Sheet1!$S:$S,0)</f>
        <v>170000</v>
      </c>
      <c r="Q676" s="12">
        <f>_xlfn.XLOOKUP(B676,[1]Sheet1!$B:$B,[1]Sheet1!$T:$T,0)</f>
        <v>170000</v>
      </c>
      <c r="R676" s="12">
        <f>_xlfn.XLOOKUP(B676,[1]Sheet1!$B:$B,[1]Sheet1!$U:$U,0)</f>
        <v>170000</v>
      </c>
      <c r="S676" s="12">
        <f>_xlfn.XLOOKUP(B676,[1]Sheet1!$B:$B,[1]Sheet1!$V:$V,0)</f>
        <v>170000</v>
      </c>
      <c r="T676" s="12">
        <f>_xlfn.XLOOKUP(B676,[1]Sheet1!$B:$B,[1]Sheet1!$W:$W,0)</f>
        <v>170000</v>
      </c>
      <c r="U676" s="12">
        <f>_xlfn.XLOOKUP(B676,[1]Sheet1!$B:$B,[1]Sheet1!$X:$X,0)</f>
        <v>154600</v>
      </c>
      <c r="V676" s="12">
        <f>_xlfn.XLOOKUP(B676,[1]Sheet1!$B:$B,[1]Sheet1!$Y:$Y,0)</f>
        <v>0</v>
      </c>
      <c r="W676" s="12">
        <f t="shared" si="23"/>
        <v>1514600</v>
      </c>
      <c r="X676" s="6" t="s">
        <v>109</v>
      </c>
      <c r="Y676" s="6" t="s">
        <v>65</v>
      </c>
      <c r="Z676" s="6" t="s">
        <v>66</v>
      </c>
      <c r="AA676" s="6" t="s">
        <v>108</v>
      </c>
      <c r="AB676" s="6" t="s">
        <v>36</v>
      </c>
      <c r="AC676" s="6" t="s">
        <v>37</v>
      </c>
      <c r="AD676" s="6" t="s">
        <v>69</v>
      </c>
      <c r="AE676" s="6" t="s">
        <v>39</v>
      </c>
      <c r="AF676" s="6" t="s">
        <v>40</v>
      </c>
      <c r="AG676" s="7">
        <v>1514600</v>
      </c>
      <c r="AH676" s="11">
        <f>_xlfn.XLOOKUP(B676,[1]Sheet1!$B:$B,[1]Sheet1!$AB:$AB,0)</f>
        <v>1514600</v>
      </c>
    </row>
    <row r="677" spans="2:34" ht="16.8" thickTop="1" thickBot="1" x14ac:dyDescent="0.35">
      <c r="B677" s="3" t="str">
        <f t="shared" si="22"/>
        <v>45112504511000820Utilities-N423931200104</v>
      </c>
      <c r="C677" s="8" t="s">
        <v>67</v>
      </c>
      <c r="D677" s="8" t="s">
        <v>1113</v>
      </c>
      <c r="E677" s="8" t="s">
        <v>1114</v>
      </c>
      <c r="F677" s="8" t="s">
        <v>110</v>
      </c>
      <c r="G677" s="4" t="s">
        <v>2818</v>
      </c>
      <c r="H677" s="4" t="s">
        <v>2922</v>
      </c>
      <c r="I677" s="8" t="s">
        <v>111</v>
      </c>
      <c r="J677" s="8" t="s">
        <v>31</v>
      </c>
      <c r="K677" s="12">
        <f>_xlfn.XLOOKUP(B677,[1]Sheet1!$B:$B,[1]Sheet1!$N:$N,0)</f>
        <v>0</v>
      </c>
      <c r="L677" s="12">
        <f>_xlfn.XLOOKUP(B677,[1]Sheet1!$B:$B,[1]Sheet1!$O:$O,0)</f>
        <v>0</v>
      </c>
      <c r="M677" s="12">
        <f>_xlfn.XLOOKUP(B677,[1]Sheet1!$B:$B,[1]Sheet1!$P:$P,0)</f>
        <v>0</v>
      </c>
      <c r="N677" s="12">
        <f>_xlfn.XLOOKUP(B677,[1]Sheet1!$B:$B,[1]Sheet1!$Q:$Q,0)</f>
        <v>285000</v>
      </c>
      <c r="O677" s="12">
        <f>_xlfn.XLOOKUP(B677,[1]Sheet1!$B:$B,[1]Sheet1!$R:$R,0)</f>
        <v>95000</v>
      </c>
      <c r="P677" s="12">
        <f>_xlfn.XLOOKUP(B677,[1]Sheet1!$B:$B,[1]Sheet1!$S:$S,0)</f>
        <v>95000</v>
      </c>
      <c r="Q677" s="12">
        <f>_xlfn.XLOOKUP(B677,[1]Sheet1!$B:$B,[1]Sheet1!$T:$T,0)</f>
        <v>95000</v>
      </c>
      <c r="R677" s="12">
        <f>_xlfn.XLOOKUP(B677,[1]Sheet1!$B:$B,[1]Sheet1!$U:$U,0)</f>
        <v>95000</v>
      </c>
      <c r="S677" s="12">
        <f>_xlfn.XLOOKUP(B677,[1]Sheet1!$B:$B,[1]Sheet1!$V:$V,0)</f>
        <v>95000</v>
      </c>
      <c r="T677" s="12">
        <f>_xlfn.XLOOKUP(B677,[1]Sheet1!$B:$B,[1]Sheet1!$W:$W,0)</f>
        <v>95000</v>
      </c>
      <c r="U677" s="12">
        <f>_xlfn.XLOOKUP(B677,[1]Sheet1!$B:$B,[1]Sheet1!$X:$X,0)</f>
        <v>115000</v>
      </c>
      <c r="V677" s="12">
        <f>_xlfn.XLOOKUP(B677,[1]Sheet1!$B:$B,[1]Sheet1!$Y:$Y,0)</f>
        <v>114140</v>
      </c>
      <c r="W677" s="12">
        <f t="shared" si="23"/>
        <v>1084140</v>
      </c>
      <c r="X677" s="8" t="s">
        <v>112</v>
      </c>
      <c r="Y677" s="8" t="s">
        <v>65</v>
      </c>
      <c r="Z677" s="8" t="s">
        <v>66</v>
      </c>
      <c r="AA677" s="8" t="s">
        <v>111</v>
      </c>
      <c r="AB677" s="8" t="s">
        <v>36</v>
      </c>
      <c r="AC677" s="8" t="s">
        <v>37</v>
      </c>
      <c r="AD677" s="8" t="s">
        <v>69</v>
      </c>
      <c r="AE677" s="8" t="s">
        <v>39</v>
      </c>
      <c r="AF677" s="8" t="s">
        <v>40</v>
      </c>
      <c r="AG677" s="9">
        <v>1084140</v>
      </c>
      <c r="AH677" s="11">
        <f>_xlfn.XLOOKUP(B677,[1]Sheet1!$B:$B,[1]Sheet1!$AB:$AB,0)</f>
        <v>1084140</v>
      </c>
    </row>
    <row r="678" spans="2:34" ht="16.8" thickTop="1" thickBot="1" x14ac:dyDescent="0.35">
      <c r="B678" s="3" t="str">
        <f t="shared" si="22"/>
        <v>45112504511000820Waste Mgmnt-N424591200104</v>
      </c>
      <c r="C678" s="6" t="s">
        <v>67</v>
      </c>
      <c r="D678" s="6" t="s">
        <v>1113</v>
      </c>
      <c r="E678" s="6" t="s">
        <v>1114</v>
      </c>
      <c r="F678" s="6" t="s">
        <v>382</v>
      </c>
      <c r="G678" s="4" t="s">
        <v>2836</v>
      </c>
      <c r="H678" s="4" t="s">
        <v>2922</v>
      </c>
      <c r="I678" s="6" t="s">
        <v>383</v>
      </c>
      <c r="J678" s="6" t="s">
        <v>31</v>
      </c>
      <c r="K678" s="12">
        <f>_xlfn.XLOOKUP(B678,[1]Sheet1!$B:$B,[1]Sheet1!$N:$N,0)</f>
        <v>0</v>
      </c>
      <c r="L678" s="12">
        <f>_xlfn.XLOOKUP(B678,[1]Sheet1!$B:$B,[1]Sheet1!$O:$O,0)</f>
        <v>0</v>
      </c>
      <c r="M678" s="12">
        <f>_xlfn.XLOOKUP(B678,[1]Sheet1!$B:$B,[1]Sheet1!$P:$P,0)</f>
        <v>0</v>
      </c>
      <c r="N678" s="12">
        <f>_xlfn.XLOOKUP(B678,[1]Sheet1!$B:$B,[1]Sheet1!$Q:$Q,0)</f>
        <v>16180</v>
      </c>
      <c r="O678" s="12">
        <f>_xlfn.XLOOKUP(B678,[1]Sheet1!$B:$B,[1]Sheet1!$R:$R,0)</f>
        <v>10000</v>
      </c>
      <c r="P678" s="12">
        <f>_xlfn.XLOOKUP(B678,[1]Sheet1!$B:$B,[1]Sheet1!$S:$S,0)</f>
        <v>10000</v>
      </c>
      <c r="Q678" s="12">
        <f>_xlfn.XLOOKUP(B678,[1]Sheet1!$B:$B,[1]Sheet1!$T:$T,0)</f>
        <v>0</v>
      </c>
      <c r="R678" s="12">
        <f>_xlfn.XLOOKUP(B678,[1]Sheet1!$B:$B,[1]Sheet1!$U:$U,0)</f>
        <v>0</v>
      </c>
      <c r="S678" s="12">
        <f>_xlfn.XLOOKUP(B678,[1]Sheet1!$B:$B,[1]Sheet1!$V:$V,0)</f>
        <v>0</v>
      </c>
      <c r="T678" s="12">
        <f>_xlfn.XLOOKUP(B678,[1]Sheet1!$B:$B,[1]Sheet1!$W:$W,0)</f>
        <v>0</v>
      </c>
      <c r="U678" s="12">
        <f>_xlfn.XLOOKUP(B678,[1]Sheet1!$B:$B,[1]Sheet1!$X:$X,0)</f>
        <v>0</v>
      </c>
      <c r="V678" s="12">
        <f>_xlfn.XLOOKUP(B678,[1]Sheet1!$B:$B,[1]Sheet1!$Y:$Y,0)</f>
        <v>0</v>
      </c>
      <c r="W678" s="12">
        <f t="shared" si="23"/>
        <v>36180</v>
      </c>
      <c r="X678" s="6" t="s">
        <v>384</v>
      </c>
      <c r="Y678" s="6" t="s">
        <v>65</v>
      </c>
      <c r="Z678" s="6" t="s">
        <v>66</v>
      </c>
      <c r="AA678" s="6" t="s">
        <v>383</v>
      </c>
      <c r="AB678" s="6" t="s">
        <v>36</v>
      </c>
      <c r="AC678" s="6" t="s">
        <v>37</v>
      </c>
      <c r="AD678" s="6" t="s">
        <v>69</v>
      </c>
      <c r="AE678" s="6" t="s">
        <v>39</v>
      </c>
      <c r="AF678" s="6" t="s">
        <v>40</v>
      </c>
      <c r="AG678" s="7">
        <v>36180</v>
      </c>
      <c r="AH678" s="11">
        <f>_xlfn.XLOOKUP(B678,[1]Sheet1!$B:$B,[1]Sheet1!$AB:$AB,0)</f>
        <v>36180</v>
      </c>
    </row>
    <row r="679" spans="2:34" ht="16.8" thickTop="1" thickBot="1" x14ac:dyDescent="0.35">
      <c r="B679" s="3" t="str">
        <f t="shared" si="22"/>
        <v>45150104511000826Freelancers-N424521200104</v>
      </c>
      <c r="C679" s="8" t="s">
        <v>1093</v>
      </c>
      <c r="D679" s="8" t="s">
        <v>1117</v>
      </c>
      <c r="E679" s="8" t="s">
        <v>1118</v>
      </c>
      <c r="F679" s="8" t="s">
        <v>50</v>
      </c>
      <c r="G679" s="4" t="s">
        <v>2804</v>
      </c>
      <c r="H679" s="4" t="s">
        <v>2922</v>
      </c>
      <c r="I679" s="8" t="s">
        <v>51</v>
      </c>
      <c r="J679" s="8" t="s">
        <v>31</v>
      </c>
      <c r="K679" s="12">
        <f>_xlfn.XLOOKUP(B679,[1]Sheet1!$B:$B,[1]Sheet1!$N:$N,0)</f>
        <v>0</v>
      </c>
      <c r="L679" s="12">
        <f>_xlfn.XLOOKUP(B679,[1]Sheet1!$B:$B,[1]Sheet1!$O:$O,0)</f>
        <v>502000</v>
      </c>
      <c r="M679" s="12">
        <f>_xlfn.XLOOKUP(B679,[1]Sheet1!$B:$B,[1]Sheet1!$P:$P,0)</f>
        <v>23000</v>
      </c>
      <c r="N679" s="12">
        <f>_xlfn.XLOOKUP(B679,[1]Sheet1!$B:$B,[1]Sheet1!$Q:$Q,0)</f>
        <v>245000</v>
      </c>
      <c r="O679" s="12">
        <f>_xlfn.XLOOKUP(B679,[1]Sheet1!$B:$B,[1]Sheet1!$R:$R,0)</f>
        <v>230741.93</v>
      </c>
      <c r="P679" s="12">
        <f>_xlfn.XLOOKUP(B679,[1]Sheet1!$B:$B,[1]Sheet1!$S:$S,0)</f>
        <v>200000</v>
      </c>
      <c r="Q679" s="12">
        <f>_xlfn.XLOOKUP(B679,[1]Sheet1!$B:$B,[1]Sheet1!$T:$T,0)</f>
        <v>200000</v>
      </c>
      <c r="R679" s="12">
        <f>_xlfn.XLOOKUP(B679,[1]Sheet1!$B:$B,[1]Sheet1!$U:$U,0)</f>
        <v>142903.22580645161</v>
      </c>
      <c r="S679" s="12">
        <f>_xlfn.XLOOKUP(B679,[1]Sheet1!$B:$B,[1]Sheet1!$V:$V,0)</f>
        <v>126666.66666666667</v>
      </c>
      <c r="T679" s="12">
        <f>_xlfn.XLOOKUP(B679,[1]Sheet1!$B:$B,[1]Sheet1!$W:$W,0)</f>
        <v>103548.3870967742</v>
      </c>
      <c r="U679" s="12">
        <f>_xlfn.XLOOKUP(B679,[1]Sheet1!$B:$B,[1]Sheet1!$X:$X,0)</f>
        <v>70000</v>
      </c>
      <c r="V679" s="12">
        <f>_xlfn.XLOOKUP(B679,[1]Sheet1!$B:$B,[1]Sheet1!$Y:$Y,0)</f>
        <v>70000</v>
      </c>
      <c r="W679" s="12">
        <f t="shared" si="23"/>
        <v>1913860.2095698926</v>
      </c>
      <c r="X679" s="8" t="s">
        <v>1094</v>
      </c>
      <c r="Y679" s="8" t="s">
        <v>211</v>
      </c>
      <c r="Z679" s="8" t="s">
        <v>1092</v>
      </c>
      <c r="AA679" s="8" t="s">
        <v>53</v>
      </c>
      <c r="AB679" s="8" t="s">
        <v>36</v>
      </c>
      <c r="AC679" s="8" t="s">
        <v>37</v>
      </c>
      <c r="AD679" s="8" t="s">
        <v>342</v>
      </c>
      <c r="AE679" s="8" t="s">
        <v>39</v>
      </c>
      <c r="AF679" s="8" t="s">
        <v>40</v>
      </c>
      <c r="AG679" s="9">
        <v>2858860</v>
      </c>
      <c r="AH679" s="11">
        <f>_xlfn.XLOOKUP(B679,[1]Sheet1!$B:$B,[1]Sheet1!$AB:$AB,0)</f>
        <v>2858860.2095698928</v>
      </c>
    </row>
    <row r="680" spans="2:34" ht="16.8" thickTop="1" thickBot="1" x14ac:dyDescent="0.35">
      <c r="B680" s="3" t="str">
        <f t="shared" si="22"/>
        <v>45150104511000826Hospitality-N424761200104</v>
      </c>
      <c r="C680" s="6" t="s">
        <v>1093</v>
      </c>
      <c r="D680" s="6" t="s">
        <v>1117</v>
      </c>
      <c r="E680" s="6" t="s">
        <v>1118</v>
      </c>
      <c r="F680" s="6" t="s">
        <v>83</v>
      </c>
      <c r="G680" s="4" t="s">
        <v>2811</v>
      </c>
      <c r="H680" s="4" t="s">
        <v>2922</v>
      </c>
      <c r="I680" s="6" t="s">
        <v>84</v>
      </c>
      <c r="J680" s="6" t="s">
        <v>31</v>
      </c>
      <c r="K680" s="12">
        <f>_xlfn.XLOOKUP(B680,[1]Sheet1!$B:$B,[1]Sheet1!$N:$N,0)</f>
        <v>0</v>
      </c>
      <c r="L680" s="12">
        <f>_xlfn.XLOOKUP(B680,[1]Sheet1!$B:$B,[1]Sheet1!$O:$O,0)</f>
        <v>0</v>
      </c>
      <c r="M680" s="12">
        <f>_xlfn.XLOOKUP(B680,[1]Sheet1!$B:$B,[1]Sheet1!$P:$P,0)</f>
        <v>0</v>
      </c>
      <c r="N680" s="12">
        <f>_xlfn.XLOOKUP(B680,[1]Sheet1!$B:$B,[1]Sheet1!$Q:$Q,0)</f>
        <v>5250</v>
      </c>
      <c r="O680" s="12">
        <f>_xlfn.XLOOKUP(B680,[1]Sheet1!$B:$B,[1]Sheet1!$R:$R,0)</f>
        <v>0</v>
      </c>
      <c r="P680" s="12">
        <f>_xlfn.XLOOKUP(B680,[1]Sheet1!$B:$B,[1]Sheet1!$S:$S,0)</f>
        <v>0</v>
      </c>
      <c r="Q680" s="12">
        <f>_xlfn.XLOOKUP(B680,[1]Sheet1!$B:$B,[1]Sheet1!$T:$T,0)</f>
        <v>0</v>
      </c>
      <c r="R680" s="12">
        <f>_xlfn.XLOOKUP(B680,[1]Sheet1!$B:$B,[1]Sheet1!$U:$U,0)</f>
        <v>0</v>
      </c>
      <c r="S680" s="12">
        <f>_xlfn.XLOOKUP(B680,[1]Sheet1!$B:$B,[1]Sheet1!$V:$V,0)</f>
        <v>0</v>
      </c>
      <c r="T680" s="12">
        <f>_xlfn.XLOOKUP(B680,[1]Sheet1!$B:$B,[1]Sheet1!$W:$W,0)</f>
        <v>0</v>
      </c>
      <c r="U680" s="12">
        <f>_xlfn.XLOOKUP(B680,[1]Sheet1!$B:$B,[1]Sheet1!$X:$X,0)</f>
        <v>0</v>
      </c>
      <c r="V680" s="12">
        <f>_xlfn.XLOOKUP(B680,[1]Sheet1!$B:$B,[1]Sheet1!$Y:$Y,0)</f>
        <v>294750</v>
      </c>
      <c r="W680" s="12">
        <f t="shared" si="23"/>
        <v>300000</v>
      </c>
      <c r="X680" s="6" t="s">
        <v>1119</v>
      </c>
      <c r="Y680" s="6" t="s">
        <v>211</v>
      </c>
      <c r="Z680" s="6" t="s">
        <v>1092</v>
      </c>
      <c r="AA680" s="6" t="s">
        <v>84</v>
      </c>
      <c r="AB680" s="6" t="s">
        <v>36</v>
      </c>
      <c r="AC680" s="6" t="s">
        <v>37</v>
      </c>
      <c r="AD680" s="6" t="s">
        <v>342</v>
      </c>
      <c r="AE680" s="6" t="s">
        <v>39</v>
      </c>
      <c r="AF680" s="6" t="s">
        <v>40</v>
      </c>
      <c r="AG680" s="7">
        <v>200000</v>
      </c>
      <c r="AH680" s="11">
        <f>_xlfn.XLOOKUP(B680,[1]Sheet1!$B:$B,[1]Sheet1!$AB:$AB,0)</f>
        <v>200000</v>
      </c>
    </row>
    <row r="681" spans="2:34" ht="16.8" thickTop="1" thickBot="1" x14ac:dyDescent="0.35">
      <c r="B681" s="3" t="str">
        <f t="shared" si="22"/>
        <v>45150104511000826Mission &amp; Travel-N423821200104</v>
      </c>
      <c r="C681" s="8" t="s">
        <v>1093</v>
      </c>
      <c r="D681" s="8" t="s">
        <v>1117</v>
      </c>
      <c r="E681" s="8" t="s">
        <v>1118</v>
      </c>
      <c r="F681" s="8" t="s">
        <v>54</v>
      </c>
      <c r="G681" s="4" t="s">
        <v>2805</v>
      </c>
      <c r="H681" s="4" t="s">
        <v>2922</v>
      </c>
      <c r="I681" s="8" t="s">
        <v>55</v>
      </c>
      <c r="J681" s="8" t="s">
        <v>31</v>
      </c>
      <c r="K681" s="12">
        <f>_xlfn.XLOOKUP(B681,[1]Sheet1!$B:$B,[1]Sheet1!$N:$N,0)</f>
        <v>0</v>
      </c>
      <c r="L681" s="12">
        <f>_xlfn.XLOOKUP(B681,[1]Sheet1!$B:$B,[1]Sheet1!$O:$O,0)</f>
        <v>0</v>
      </c>
      <c r="M681" s="12">
        <f>_xlfn.XLOOKUP(B681,[1]Sheet1!$B:$B,[1]Sheet1!$P:$P,0)</f>
        <v>36750</v>
      </c>
      <c r="N681" s="12">
        <f>_xlfn.XLOOKUP(B681,[1]Sheet1!$B:$B,[1]Sheet1!$Q:$Q,0)</f>
        <v>0</v>
      </c>
      <c r="O681" s="12">
        <f>_xlfn.XLOOKUP(B681,[1]Sheet1!$B:$B,[1]Sheet1!$R:$R,0)</f>
        <v>122750</v>
      </c>
      <c r="P681" s="12">
        <f>_xlfn.XLOOKUP(B681,[1]Sheet1!$B:$B,[1]Sheet1!$S:$S,0)</f>
        <v>0</v>
      </c>
      <c r="Q681" s="12">
        <f>_xlfn.XLOOKUP(B681,[1]Sheet1!$B:$B,[1]Sheet1!$T:$T,0)</f>
        <v>53200</v>
      </c>
      <c r="R681" s="12">
        <f>_xlfn.XLOOKUP(B681,[1]Sheet1!$B:$B,[1]Sheet1!$U:$U,0)</f>
        <v>0</v>
      </c>
      <c r="S681" s="12">
        <f>_xlfn.XLOOKUP(B681,[1]Sheet1!$B:$B,[1]Sheet1!$V:$V,0)</f>
        <v>80000</v>
      </c>
      <c r="T681" s="12">
        <f>_xlfn.XLOOKUP(B681,[1]Sheet1!$B:$B,[1]Sheet1!$W:$W,0)</f>
        <v>0</v>
      </c>
      <c r="U681" s="12">
        <f>_xlfn.XLOOKUP(B681,[1]Sheet1!$B:$B,[1]Sheet1!$X:$X,0)</f>
        <v>82500</v>
      </c>
      <c r="V681" s="12">
        <f>_xlfn.XLOOKUP(B681,[1]Sheet1!$B:$B,[1]Sheet1!$Y:$Y,0)</f>
        <v>374800</v>
      </c>
      <c r="W681" s="12">
        <f t="shared" si="23"/>
        <v>750000</v>
      </c>
      <c r="X681" s="8" t="s">
        <v>1120</v>
      </c>
      <c r="Y681" s="8" t="s">
        <v>211</v>
      </c>
      <c r="Z681" s="8" t="s">
        <v>1092</v>
      </c>
      <c r="AA681" s="8" t="s">
        <v>55</v>
      </c>
      <c r="AB681" s="8" t="s">
        <v>36</v>
      </c>
      <c r="AC681" s="8" t="s">
        <v>37</v>
      </c>
      <c r="AD681" s="8" t="s">
        <v>342</v>
      </c>
      <c r="AE681" s="8" t="s">
        <v>39</v>
      </c>
      <c r="AF681" s="8" t="s">
        <v>40</v>
      </c>
      <c r="AG681" s="9">
        <v>750000</v>
      </c>
      <c r="AH681" s="11">
        <f>_xlfn.XLOOKUP(B681,[1]Sheet1!$B:$B,[1]Sheet1!$AB:$AB,0)</f>
        <v>750000</v>
      </c>
    </row>
    <row r="682" spans="2:34" ht="16.8" thickTop="1" thickBot="1" x14ac:dyDescent="0.35">
      <c r="B682" s="3" t="str">
        <f t="shared" si="22"/>
        <v>45150104511000826Other Expenses-N424991200104</v>
      </c>
      <c r="C682" s="6" t="s">
        <v>1093</v>
      </c>
      <c r="D682" s="6" t="s">
        <v>1117</v>
      </c>
      <c r="E682" s="6" t="s">
        <v>1118</v>
      </c>
      <c r="F682" s="6" t="s">
        <v>57</v>
      </c>
      <c r="G682" s="4" t="s">
        <v>2806</v>
      </c>
      <c r="H682" s="4" t="s">
        <v>2922</v>
      </c>
      <c r="I682" s="6" t="s">
        <v>58</v>
      </c>
      <c r="J682" s="6" t="s">
        <v>31</v>
      </c>
      <c r="K682" s="12">
        <f>_xlfn.XLOOKUP(B682,[1]Sheet1!$B:$B,[1]Sheet1!$N:$N,0)</f>
        <v>0</v>
      </c>
      <c r="L682" s="12">
        <f>_xlfn.XLOOKUP(B682,[1]Sheet1!$B:$B,[1]Sheet1!$O:$O,0)</f>
        <v>0</v>
      </c>
      <c r="M682" s="12">
        <f>_xlfn.XLOOKUP(B682,[1]Sheet1!$B:$B,[1]Sheet1!$P:$P,0)</f>
        <v>0</v>
      </c>
      <c r="N682" s="12">
        <f>_xlfn.XLOOKUP(B682,[1]Sheet1!$B:$B,[1]Sheet1!$Q:$Q,0)</f>
        <v>0</v>
      </c>
      <c r="O682" s="12">
        <f>_xlfn.XLOOKUP(B682,[1]Sheet1!$B:$B,[1]Sheet1!$R:$R,0)</f>
        <v>23793</v>
      </c>
      <c r="P682" s="12">
        <f>_xlfn.XLOOKUP(B682,[1]Sheet1!$B:$B,[1]Sheet1!$S:$S,0)</f>
        <v>23793</v>
      </c>
      <c r="Q682" s="12">
        <f>_xlfn.XLOOKUP(B682,[1]Sheet1!$B:$B,[1]Sheet1!$T:$T,0)</f>
        <v>0</v>
      </c>
      <c r="R682" s="12">
        <f>_xlfn.XLOOKUP(B682,[1]Sheet1!$B:$B,[1]Sheet1!$U:$U,0)</f>
        <v>0</v>
      </c>
      <c r="S682" s="12">
        <f>_xlfn.XLOOKUP(B682,[1]Sheet1!$B:$B,[1]Sheet1!$V:$V,0)</f>
        <v>0</v>
      </c>
      <c r="T682" s="12">
        <f>_xlfn.XLOOKUP(B682,[1]Sheet1!$B:$B,[1]Sheet1!$W:$W,0)</f>
        <v>23793</v>
      </c>
      <c r="U682" s="12">
        <f>_xlfn.XLOOKUP(B682,[1]Sheet1!$B:$B,[1]Sheet1!$X:$X,0)</f>
        <v>47586</v>
      </c>
      <c r="V682" s="12">
        <f>_xlfn.XLOOKUP(B682,[1]Sheet1!$B:$B,[1]Sheet1!$Y:$Y,0)</f>
        <v>131035</v>
      </c>
      <c r="W682" s="12">
        <f t="shared" si="23"/>
        <v>250000</v>
      </c>
      <c r="X682" s="6" t="s">
        <v>1121</v>
      </c>
      <c r="Y682" s="6" t="s">
        <v>211</v>
      </c>
      <c r="Z682" s="6" t="s">
        <v>1092</v>
      </c>
      <c r="AA682" s="6" t="s">
        <v>58</v>
      </c>
      <c r="AB682" s="6" t="s">
        <v>36</v>
      </c>
      <c r="AC682" s="6" t="s">
        <v>37</v>
      </c>
      <c r="AD682" s="6" t="s">
        <v>342</v>
      </c>
      <c r="AE682" s="6" t="s">
        <v>39</v>
      </c>
      <c r="AF682" s="6" t="s">
        <v>40</v>
      </c>
      <c r="AG682" s="7">
        <v>153200</v>
      </c>
      <c r="AH682" s="11">
        <f>_xlfn.XLOOKUP(B682,[1]Sheet1!$B:$B,[1]Sheet1!$AB:$AB,0)</f>
        <v>153200</v>
      </c>
    </row>
    <row r="683" spans="2:34" ht="16.8" thickTop="1" thickBot="1" x14ac:dyDescent="0.35">
      <c r="B683" s="3" t="str">
        <f t="shared" si="22"/>
        <v>45101104511000829Acquisitions-L491811301439</v>
      </c>
      <c r="C683" s="8" t="s">
        <v>224</v>
      </c>
      <c r="D683" s="8" t="s">
        <v>1122</v>
      </c>
      <c r="E683" s="8" t="s">
        <v>1123</v>
      </c>
      <c r="F683" s="8" t="s">
        <v>1124</v>
      </c>
      <c r="G683" s="4" t="s">
        <v>2825</v>
      </c>
      <c r="H683" s="4" t="s">
        <v>2930</v>
      </c>
      <c r="I683" s="8" t="s">
        <v>226</v>
      </c>
      <c r="J683" s="8" t="s">
        <v>31</v>
      </c>
      <c r="K683" s="12">
        <f>_xlfn.XLOOKUP(B683,[1]Sheet1!$B:$B,[1]Sheet1!$N:$N,0)</f>
        <v>0</v>
      </c>
      <c r="L683" s="12">
        <f>_xlfn.XLOOKUP(B683,[1]Sheet1!$B:$B,[1]Sheet1!$O:$O,0)</f>
        <v>0</v>
      </c>
      <c r="M683" s="12">
        <f>_xlfn.XLOOKUP(B683,[1]Sheet1!$B:$B,[1]Sheet1!$P:$P,0)</f>
        <v>868032100</v>
      </c>
      <c r="N683" s="12">
        <f>_xlfn.XLOOKUP(B683,[1]Sheet1!$B:$B,[1]Sheet1!$Q:$Q,0)</f>
        <v>0</v>
      </c>
      <c r="O683" s="12">
        <f>_xlfn.XLOOKUP(B683,[1]Sheet1!$B:$B,[1]Sheet1!$R:$R,0)</f>
        <v>0</v>
      </c>
      <c r="P683" s="12">
        <f>_xlfn.XLOOKUP(B683,[1]Sheet1!$B:$B,[1]Sheet1!$S:$S,0)</f>
        <v>0</v>
      </c>
      <c r="Q683" s="12">
        <f>_xlfn.XLOOKUP(B683,[1]Sheet1!$B:$B,[1]Sheet1!$T:$T,0)</f>
        <v>0</v>
      </c>
      <c r="R683" s="12">
        <f>_xlfn.XLOOKUP(B683,[1]Sheet1!$B:$B,[1]Sheet1!$U:$U,0)</f>
        <v>0</v>
      </c>
      <c r="S683" s="12">
        <f>_xlfn.XLOOKUP(B683,[1]Sheet1!$B:$B,[1]Sheet1!$V:$V,0)</f>
        <v>0</v>
      </c>
      <c r="T683" s="12">
        <f>_xlfn.XLOOKUP(B683,[1]Sheet1!$B:$B,[1]Sheet1!$W:$W,0)</f>
        <v>0</v>
      </c>
      <c r="U683" s="12">
        <f>_xlfn.XLOOKUP(B683,[1]Sheet1!$B:$B,[1]Sheet1!$X:$X,0)</f>
        <v>0</v>
      </c>
      <c r="V683" s="12">
        <f>_xlfn.XLOOKUP(B683,[1]Sheet1!$B:$B,[1]Sheet1!$Y:$Y,0)</f>
        <v>0</v>
      </c>
      <c r="W683" s="12">
        <f t="shared" si="23"/>
        <v>868032100</v>
      </c>
      <c r="X683" s="8" t="s">
        <v>1125</v>
      </c>
      <c r="Y683" s="8" t="s">
        <v>33</v>
      </c>
      <c r="Z683" s="8" t="s">
        <v>223</v>
      </c>
      <c r="AA683" s="8" t="s">
        <v>228</v>
      </c>
      <c r="AB683" s="8" t="s">
        <v>1126</v>
      </c>
      <c r="AC683" s="8" t="s">
        <v>94</v>
      </c>
      <c r="AD683" s="8" t="s">
        <v>38</v>
      </c>
      <c r="AE683" s="8" t="s">
        <v>39</v>
      </c>
      <c r="AF683" s="8" t="s">
        <v>40</v>
      </c>
      <c r="AG683" s="9">
        <v>1077724774</v>
      </c>
      <c r="AH683" s="11">
        <f>_xlfn.XLOOKUP(B683,[1]Sheet1!$B:$B,[1]Sheet1!$AB:$AB,0)</f>
        <v>1077724774</v>
      </c>
    </row>
    <row r="684" spans="2:34" ht="16.8" thickTop="1" thickBot="1" x14ac:dyDescent="0.35">
      <c r="B684" s="3" t="str">
        <f t="shared" si="22"/>
        <v>45155004511000849Hospitality-N424761200104</v>
      </c>
      <c r="C684" s="6" t="s">
        <v>513</v>
      </c>
      <c r="D684" s="6" t="s">
        <v>1127</v>
      </c>
      <c r="E684" s="6" t="s">
        <v>1128</v>
      </c>
      <c r="F684" s="6" t="s">
        <v>83</v>
      </c>
      <c r="G684" s="4" t="s">
        <v>2811</v>
      </c>
      <c r="H684" s="4" t="s">
        <v>2922</v>
      </c>
      <c r="I684" s="6" t="s">
        <v>84</v>
      </c>
      <c r="J684" s="6" t="s">
        <v>31</v>
      </c>
      <c r="K684" s="12">
        <f>_xlfn.XLOOKUP(B684,[1]Sheet1!$B:$B,[1]Sheet1!$N:$N,0)</f>
        <v>0</v>
      </c>
      <c r="L684" s="12">
        <f>_xlfn.XLOOKUP(B684,[1]Sheet1!$B:$B,[1]Sheet1!$O:$O,0)</f>
        <v>0</v>
      </c>
      <c r="M684" s="12">
        <f>_xlfn.XLOOKUP(B684,[1]Sheet1!$B:$B,[1]Sheet1!$P:$P,0)</f>
        <v>0</v>
      </c>
      <c r="N684" s="12">
        <f>_xlfn.XLOOKUP(B684,[1]Sheet1!$B:$B,[1]Sheet1!$Q:$Q,0)</f>
        <v>0</v>
      </c>
      <c r="O684" s="12">
        <f>_xlfn.XLOOKUP(B684,[1]Sheet1!$B:$B,[1]Sheet1!$R:$R,0)</f>
        <v>0</v>
      </c>
      <c r="P684" s="12">
        <f>_xlfn.XLOOKUP(B684,[1]Sheet1!$B:$B,[1]Sheet1!$S:$S,0)</f>
        <v>0</v>
      </c>
      <c r="Q684" s="12">
        <f>_xlfn.XLOOKUP(B684,[1]Sheet1!$B:$B,[1]Sheet1!$T:$T,0)</f>
        <v>0</v>
      </c>
      <c r="R684" s="12">
        <f>_xlfn.XLOOKUP(B684,[1]Sheet1!$B:$B,[1]Sheet1!$U:$U,0)</f>
        <v>0</v>
      </c>
      <c r="S684" s="12">
        <f>_xlfn.XLOOKUP(B684,[1]Sheet1!$B:$B,[1]Sheet1!$V:$V,0)</f>
        <v>0</v>
      </c>
      <c r="T684" s="12">
        <f>_xlfn.XLOOKUP(B684,[1]Sheet1!$B:$B,[1]Sheet1!$W:$W,0)</f>
        <v>0</v>
      </c>
      <c r="U684" s="12">
        <f>_xlfn.XLOOKUP(B684,[1]Sheet1!$B:$B,[1]Sheet1!$X:$X,0)</f>
        <v>0</v>
      </c>
      <c r="V684" s="12">
        <f>_xlfn.XLOOKUP(B684,[1]Sheet1!$B:$B,[1]Sheet1!$Y:$Y,0)</f>
        <v>0</v>
      </c>
      <c r="W684" s="12">
        <f t="shared" si="23"/>
        <v>0</v>
      </c>
      <c r="X684" s="6" t="s">
        <v>1129</v>
      </c>
      <c r="Y684" s="6" t="s">
        <v>211</v>
      </c>
      <c r="Z684" s="6" t="s">
        <v>512</v>
      </c>
      <c r="AA684" s="6" t="s">
        <v>84</v>
      </c>
      <c r="AB684" s="6" t="s">
        <v>36</v>
      </c>
      <c r="AC684" s="6" t="s">
        <v>37</v>
      </c>
      <c r="AD684" s="6" t="s">
        <v>342</v>
      </c>
      <c r="AE684" s="6" t="s">
        <v>39</v>
      </c>
      <c r="AF684" s="6" t="s">
        <v>40</v>
      </c>
      <c r="AG684" s="7">
        <v>240000</v>
      </c>
      <c r="AH684" s="11">
        <f>_xlfn.XLOOKUP(B684,[1]Sheet1!$B:$B,[1]Sheet1!$AB:$AB,0)</f>
        <v>240000</v>
      </c>
    </row>
    <row r="685" spans="2:34" ht="16.8" thickTop="1" thickBot="1" x14ac:dyDescent="0.35">
      <c r="B685" s="3" t="str">
        <f t="shared" si="22"/>
        <v>45155004511000849Sponsorship Fees-N424811200104</v>
      </c>
      <c r="C685" s="8" t="s">
        <v>513</v>
      </c>
      <c r="D685" s="8" t="s">
        <v>1127</v>
      </c>
      <c r="E685" s="8" t="s">
        <v>1128</v>
      </c>
      <c r="F685" s="8" t="s">
        <v>506</v>
      </c>
      <c r="G685" s="4" t="s">
        <v>2802</v>
      </c>
      <c r="H685" s="4" t="s">
        <v>2922</v>
      </c>
      <c r="I685" s="8" t="s">
        <v>30</v>
      </c>
      <c r="J685" s="8" t="s">
        <v>31</v>
      </c>
      <c r="K685" s="12">
        <f>_xlfn.XLOOKUP(B685,[1]Sheet1!$B:$B,[1]Sheet1!$N:$N,0)</f>
        <v>0</v>
      </c>
      <c r="L685" s="12">
        <f>_xlfn.XLOOKUP(B685,[1]Sheet1!$B:$B,[1]Sheet1!$O:$O,0)</f>
        <v>0</v>
      </c>
      <c r="M685" s="12">
        <f>_xlfn.XLOOKUP(B685,[1]Sheet1!$B:$B,[1]Sheet1!$P:$P,0)</f>
        <v>0</v>
      </c>
      <c r="N685" s="12">
        <f>_xlfn.XLOOKUP(B685,[1]Sheet1!$B:$B,[1]Sheet1!$Q:$Q,0)</f>
        <v>0</v>
      </c>
      <c r="O685" s="12">
        <f>_xlfn.XLOOKUP(B685,[1]Sheet1!$B:$B,[1]Sheet1!$R:$R,0)</f>
        <v>0</v>
      </c>
      <c r="P685" s="12">
        <f>_xlfn.XLOOKUP(B685,[1]Sheet1!$B:$B,[1]Sheet1!$S:$S,0)</f>
        <v>0</v>
      </c>
      <c r="Q685" s="12">
        <f>_xlfn.XLOOKUP(B685,[1]Sheet1!$B:$B,[1]Sheet1!$T:$T,0)</f>
        <v>0</v>
      </c>
      <c r="R685" s="12">
        <f>_xlfn.XLOOKUP(B685,[1]Sheet1!$B:$B,[1]Sheet1!$U:$U,0)</f>
        <v>0</v>
      </c>
      <c r="S685" s="12">
        <f>_xlfn.XLOOKUP(B685,[1]Sheet1!$B:$B,[1]Sheet1!$V:$V,0)</f>
        <v>0</v>
      </c>
      <c r="T685" s="12">
        <f>_xlfn.XLOOKUP(B685,[1]Sheet1!$B:$B,[1]Sheet1!$W:$W,0)</f>
        <v>0</v>
      </c>
      <c r="U685" s="12">
        <f>_xlfn.XLOOKUP(B685,[1]Sheet1!$B:$B,[1]Sheet1!$X:$X,0)</f>
        <v>5000000</v>
      </c>
      <c r="V685" s="12">
        <f>_xlfn.XLOOKUP(B685,[1]Sheet1!$B:$B,[1]Sheet1!$Y:$Y,0)</f>
        <v>6500000</v>
      </c>
      <c r="W685" s="12">
        <f t="shared" si="23"/>
        <v>11500000</v>
      </c>
      <c r="X685" s="8" t="s">
        <v>518</v>
      </c>
      <c r="Y685" s="8" t="s">
        <v>211</v>
      </c>
      <c r="Z685" s="8" t="s">
        <v>512</v>
      </c>
      <c r="AA685" s="8" t="s">
        <v>30</v>
      </c>
      <c r="AB685" s="8" t="s">
        <v>36</v>
      </c>
      <c r="AC685" s="8" t="s">
        <v>37</v>
      </c>
      <c r="AD685" s="8" t="s">
        <v>342</v>
      </c>
      <c r="AE685" s="8" t="s">
        <v>39</v>
      </c>
      <c r="AF685" s="8" t="s">
        <v>40</v>
      </c>
      <c r="AG685" s="9">
        <v>11260000</v>
      </c>
      <c r="AH685" s="11">
        <f>_xlfn.XLOOKUP(B685,[1]Sheet1!$B:$B,[1]Sheet1!$AB:$AB,0)</f>
        <v>11260000</v>
      </c>
    </row>
    <row r="686" spans="2:34" ht="16.8" thickTop="1" thickBot="1" x14ac:dyDescent="0.35">
      <c r="B686" s="3" t="str">
        <f t="shared" si="22"/>
        <v>45155004511000854Co-Invest Events-N422401200104</v>
      </c>
      <c r="C686" s="6" t="s">
        <v>513</v>
      </c>
      <c r="D686" s="6" t="s">
        <v>1130</v>
      </c>
      <c r="E686" s="6" t="s">
        <v>1131</v>
      </c>
      <c r="F686" s="6" t="s">
        <v>523</v>
      </c>
      <c r="G686" s="4" t="s">
        <v>2807</v>
      </c>
      <c r="H686" s="4" t="s">
        <v>2922</v>
      </c>
      <c r="I686" s="6" t="s">
        <v>63</v>
      </c>
      <c r="J686" s="6" t="s">
        <v>31</v>
      </c>
      <c r="K686" s="12">
        <f>_xlfn.XLOOKUP(B686,[1]Sheet1!$B:$B,[1]Sheet1!$N:$N,0)</f>
        <v>0</v>
      </c>
      <c r="L686" s="12">
        <f>_xlfn.XLOOKUP(B686,[1]Sheet1!$B:$B,[1]Sheet1!$O:$O,0)</f>
        <v>0</v>
      </c>
      <c r="M686" s="12">
        <f>_xlfn.XLOOKUP(B686,[1]Sheet1!$B:$B,[1]Sheet1!$P:$P,0)</f>
        <v>0</v>
      </c>
      <c r="N686" s="12">
        <f>_xlfn.XLOOKUP(B686,[1]Sheet1!$B:$B,[1]Sheet1!$Q:$Q,0)</f>
        <v>0</v>
      </c>
      <c r="O686" s="12">
        <f>_xlfn.XLOOKUP(B686,[1]Sheet1!$B:$B,[1]Sheet1!$R:$R,0)</f>
        <v>0</v>
      </c>
      <c r="P686" s="12">
        <f>_xlfn.XLOOKUP(B686,[1]Sheet1!$B:$B,[1]Sheet1!$S:$S,0)</f>
        <v>0</v>
      </c>
      <c r="Q686" s="12">
        <f>_xlfn.XLOOKUP(B686,[1]Sheet1!$B:$B,[1]Sheet1!$T:$T,0)</f>
        <v>0</v>
      </c>
      <c r="R686" s="12">
        <f>_xlfn.XLOOKUP(B686,[1]Sheet1!$B:$B,[1]Sheet1!$U:$U,0)</f>
        <v>0</v>
      </c>
      <c r="S686" s="12">
        <f>_xlfn.XLOOKUP(B686,[1]Sheet1!$B:$B,[1]Sheet1!$V:$V,0)</f>
        <v>0</v>
      </c>
      <c r="T686" s="12">
        <f>_xlfn.XLOOKUP(B686,[1]Sheet1!$B:$B,[1]Sheet1!$W:$W,0)</f>
        <v>1000000</v>
      </c>
      <c r="U686" s="12">
        <f>_xlfn.XLOOKUP(B686,[1]Sheet1!$B:$B,[1]Sheet1!$X:$X,0)</f>
        <v>0</v>
      </c>
      <c r="V686" s="12">
        <f>_xlfn.XLOOKUP(B686,[1]Sheet1!$B:$B,[1]Sheet1!$Y:$Y,0)</f>
        <v>0</v>
      </c>
      <c r="W686" s="12">
        <f t="shared" si="23"/>
        <v>1000000</v>
      </c>
      <c r="X686" s="6" t="s">
        <v>524</v>
      </c>
      <c r="Y686" s="6" t="s">
        <v>211</v>
      </c>
      <c r="Z686" s="6" t="s">
        <v>512</v>
      </c>
      <c r="AA686" s="6" t="s">
        <v>68</v>
      </c>
      <c r="AB686" s="6" t="s">
        <v>36</v>
      </c>
      <c r="AC686" s="6" t="s">
        <v>37</v>
      </c>
      <c r="AD686" s="6" t="s">
        <v>342</v>
      </c>
      <c r="AE686" s="6" t="s">
        <v>39</v>
      </c>
      <c r="AF686" s="6" t="s">
        <v>40</v>
      </c>
      <c r="AG686" s="7">
        <v>11611000</v>
      </c>
      <c r="AH686" s="11">
        <f>_xlfn.XLOOKUP(B686,[1]Sheet1!$B:$B,[1]Sheet1!$AB:$AB,0)</f>
        <v>11611000</v>
      </c>
    </row>
    <row r="687" spans="2:34" ht="16.8" thickTop="1" thickBot="1" x14ac:dyDescent="0.35">
      <c r="B687" s="3" t="str">
        <f t="shared" si="22"/>
        <v>45155004511000859Event Management-N422401200104</v>
      </c>
      <c r="C687" s="8" t="s">
        <v>513</v>
      </c>
      <c r="D687" s="8" t="s">
        <v>1132</v>
      </c>
      <c r="E687" s="8" t="s">
        <v>1133</v>
      </c>
      <c r="F687" s="8" t="s">
        <v>162</v>
      </c>
      <c r="G687" s="4" t="s">
        <v>2807</v>
      </c>
      <c r="H687" s="4" t="s">
        <v>2922</v>
      </c>
      <c r="I687" s="8" t="s">
        <v>63</v>
      </c>
      <c r="J687" s="8" t="s">
        <v>31</v>
      </c>
      <c r="K687" s="12">
        <f>_xlfn.XLOOKUP(B687,[1]Sheet1!$B:$B,[1]Sheet1!$N:$N,0)</f>
        <v>0</v>
      </c>
      <c r="L687" s="12">
        <f>_xlfn.XLOOKUP(B687,[1]Sheet1!$B:$B,[1]Sheet1!$O:$O,0)</f>
        <v>0</v>
      </c>
      <c r="M687" s="12">
        <f>_xlfn.XLOOKUP(B687,[1]Sheet1!$B:$B,[1]Sheet1!$P:$P,0)</f>
        <v>0</v>
      </c>
      <c r="N687" s="12">
        <f>_xlfn.XLOOKUP(B687,[1]Sheet1!$B:$B,[1]Sheet1!$Q:$Q,0)</f>
        <v>755446.8</v>
      </c>
      <c r="O687" s="12">
        <f>_xlfn.XLOOKUP(B687,[1]Sheet1!$B:$B,[1]Sheet1!$R:$R,0)</f>
        <v>0</v>
      </c>
      <c r="P687" s="12">
        <f>_xlfn.XLOOKUP(B687,[1]Sheet1!$B:$B,[1]Sheet1!$S:$S,0)</f>
        <v>0</v>
      </c>
      <c r="Q687" s="12">
        <f>_xlfn.XLOOKUP(B687,[1]Sheet1!$B:$B,[1]Sheet1!$T:$T,0)</f>
        <v>0</v>
      </c>
      <c r="R687" s="12">
        <f>_xlfn.XLOOKUP(B687,[1]Sheet1!$B:$B,[1]Sheet1!$U:$U,0)</f>
        <v>0</v>
      </c>
      <c r="S687" s="12">
        <f>_xlfn.XLOOKUP(B687,[1]Sheet1!$B:$B,[1]Sheet1!$V:$V,0)</f>
        <v>0</v>
      </c>
      <c r="T687" s="12">
        <f>_xlfn.XLOOKUP(B687,[1]Sheet1!$B:$B,[1]Sheet1!$W:$W,0)</f>
        <v>0</v>
      </c>
      <c r="U687" s="12">
        <f>_xlfn.XLOOKUP(B687,[1]Sheet1!$B:$B,[1]Sheet1!$X:$X,0)</f>
        <v>0</v>
      </c>
      <c r="V687" s="12">
        <f>_xlfn.XLOOKUP(B687,[1]Sheet1!$B:$B,[1]Sheet1!$Y:$Y,0)</f>
        <v>0</v>
      </c>
      <c r="W687" s="12">
        <f t="shared" si="23"/>
        <v>755446.8</v>
      </c>
      <c r="X687" s="8" t="s">
        <v>524</v>
      </c>
      <c r="Y687" s="8" t="s">
        <v>211</v>
      </c>
      <c r="Z687" s="8" t="s">
        <v>512</v>
      </c>
      <c r="AA687" s="8" t="s">
        <v>68</v>
      </c>
      <c r="AB687" s="8" t="s">
        <v>36</v>
      </c>
      <c r="AC687" s="8" t="s">
        <v>37</v>
      </c>
      <c r="AD687" s="8" t="s">
        <v>342</v>
      </c>
      <c r="AE687" s="8" t="s">
        <v>39</v>
      </c>
      <c r="AF687" s="8" t="s">
        <v>40</v>
      </c>
      <c r="AG687" s="9">
        <v>755446.8</v>
      </c>
      <c r="AH687" s="11">
        <f>_xlfn.XLOOKUP(B687,[1]Sheet1!$B:$B,[1]Sheet1!$AB:$AB,0)</f>
        <v>755446.8</v>
      </c>
    </row>
    <row r="688" spans="2:34" ht="16.8" thickTop="1" thickBot="1" x14ac:dyDescent="0.35">
      <c r="B688" s="3" t="str">
        <f t="shared" si="22"/>
        <v>45157004511000860Admin Expenses-N422191200104</v>
      </c>
      <c r="C688" s="6" t="s">
        <v>341</v>
      </c>
      <c r="D688" s="6" t="s">
        <v>1134</v>
      </c>
      <c r="E688" s="6" t="s">
        <v>1135</v>
      </c>
      <c r="F688" s="6" t="s">
        <v>130</v>
      </c>
      <c r="G688" s="4" t="s">
        <v>2826</v>
      </c>
      <c r="H688" s="4" t="s">
        <v>2922</v>
      </c>
      <c r="I688" s="6" t="s">
        <v>233</v>
      </c>
      <c r="J688" s="6" t="s">
        <v>31</v>
      </c>
      <c r="K688" s="12">
        <f>_xlfn.XLOOKUP(B688,[1]Sheet1!$B:$B,[1]Sheet1!$N:$N,0)</f>
        <v>0</v>
      </c>
      <c r="L688" s="12">
        <f>_xlfn.XLOOKUP(B688,[1]Sheet1!$B:$B,[1]Sheet1!$O:$O,0)</f>
        <v>0</v>
      </c>
      <c r="M688" s="12">
        <f>_xlfn.XLOOKUP(B688,[1]Sheet1!$B:$B,[1]Sheet1!$P:$P,0)</f>
        <v>0</v>
      </c>
      <c r="N688" s="12">
        <f>_xlfn.XLOOKUP(B688,[1]Sheet1!$B:$B,[1]Sheet1!$Q:$Q,0)</f>
        <v>0</v>
      </c>
      <c r="O688" s="12">
        <f>_xlfn.XLOOKUP(B688,[1]Sheet1!$B:$B,[1]Sheet1!$R:$R,0)</f>
        <v>0</v>
      </c>
      <c r="P688" s="12">
        <f>_xlfn.XLOOKUP(B688,[1]Sheet1!$B:$B,[1]Sheet1!$S:$S,0)</f>
        <v>0</v>
      </c>
      <c r="Q688" s="12">
        <f>_xlfn.XLOOKUP(B688,[1]Sheet1!$B:$B,[1]Sheet1!$T:$T,0)</f>
        <v>0</v>
      </c>
      <c r="R688" s="12">
        <f>_xlfn.XLOOKUP(B688,[1]Sheet1!$B:$B,[1]Sheet1!$U:$U,0)</f>
        <v>0</v>
      </c>
      <c r="S688" s="12">
        <f>_xlfn.XLOOKUP(B688,[1]Sheet1!$B:$B,[1]Sheet1!$V:$V,0)</f>
        <v>0</v>
      </c>
      <c r="T688" s="12">
        <f>_xlfn.XLOOKUP(B688,[1]Sheet1!$B:$B,[1]Sheet1!$W:$W,0)</f>
        <v>0</v>
      </c>
      <c r="U688" s="12">
        <f>_xlfn.XLOOKUP(B688,[1]Sheet1!$B:$B,[1]Sheet1!$X:$X,0)</f>
        <v>0</v>
      </c>
      <c r="V688" s="12">
        <f>_xlfn.XLOOKUP(B688,[1]Sheet1!$B:$B,[1]Sheet1!$Y:$Y,0)</f>
        <v>0</v>
      </c>
      <c r="W688" s="12">
        <f t="shared" si="23"/>
        <v>0</v>
      </c>
      <c r="X688" s="6" t="s">
        <v>1136</v>
      </c>
      <c r="Y688" s="6" t="s">
        <v>211</v>
      </c>
      <c r="Z688" s="6" t="s">
        <v>340</v>
      </c>
      <c r="AA688" s="6" t="s">
        <v>235</v>
      </c>
      <c r="AB688" s="6" t="s">
        <v>36</v>
      </c>
      <c r="AC688" s="6" t="s">
        <v>37</v>
      </c>
      <c r="AD688" s="6" t="s">
        <v>342</v>
      </c>
      <c r="AE688" s="6" t="s">
        <v>39</v>
      </c>
      <c r="AF688" s="6" t="s">
        <v>40</v>
      </c>
      <c r="AG688" s="7">
        <v>82182</v>
      </c>
      <c r="AH688" s="11">
        <f>_xlfn.XLOOKUP(B688,[1]Sheet1!$B:$B,[1]Sheet1!$AB:$AB,0)</f>
        <v>82182</v>
      </c>
    </row>
    <row r="689" spans="2:34" ht="16.8" thickTop="1" thickBot="1" x14ac:dyDescent="0.35">
      <c r="B689" s="3" t="str">
        <f t="shared" si="22"/>
        <v>45157004511000860CampaignProductn-N422511200104</v>
      </c>
      <c r="C689" s="8" t="s">
        <v>341</v>
      </c>
      <c r="D689" s="8" t="s">
        <v>1134</v>
      </c>
      <c r="E689" s="8" t="s">
        <v>1135</v>
      </c>
      <c r="F689" s="8" t="s">
        <v>1137</v>
      </c>
      <c r="G689" s="4" t="s">
        <v>2819</v>
      </c>
      <c r="H689" s="4" t="s">
        <v>2922</v>
      </c>
      <c r="I689" s="8" t="s">
        <v>151</v>
      </c>
      <c r="J689" s="8" t="s">
        <v>31</v>
      </c>
      <c r="K689" s="12">
        <f>_xlfn.XLOOKUP(B689,[1]Sheet1!$B:$B,[1]Sheet1!$N:$N,0)</f>
        <v>0</v>
      </c>
      <c r="L689" s="12">
        <f>_xlfn.XLOOKUP(B689,[1]Sheet1!$B:$B,[1]Sheet1!$O:$O,0)</f>
        <v>0</v>
      </c>
      <c r="M689" s="12">
        <f>_xlfn.XLOOKUP(B689,[1]Sheet1!$B:$B,[1]Sheet1!$P:$P,0)</f>
        <v>0</v>
      </c>
      <c r="N689" s="12">
        <f>_xlfn.XLOOKUP(B689,[1]Sheet1!$B:$B,[1]Sheet1!$Q:$Q,0)</f>
        <v>0</v>
      </c>
      <c r="O689" s="12">
        <f>_xlfn.XLOOKUP(B689,[1]Sheet1!$B:$B,[1]Sheet1!$R:$R,0)</f>
        <v>0</v>
      </c>
      <c r="P689" s="12">
        <f>_xlfn.XLOOKUP(B689,[1]Sheet1!$B:$B,[1]Sheet1!$S:$S,0)</f>
        <v>0</v>
      </c>
      <c r="Q689" s="12">
        <f>_xlfn.XLOOKUP(B689,[1]Sheet1!$B:$B,[1]Sheet1!$T:$T,0)</f>
        <v>0</v>
      </c>
      <c r="R689" s="12">
        <f>_xlfn.XLOOKUP(B689,[1]Sheet1!$B:$B,[1]Sheet1!$U:$U,0)</f>
        <v>0</v>
      </c>
      <c r="S689" s="12">
        <f>_xlfn.XLOOKUP(B689,[1]Sheet1!$B:$B,[1]Sheet1!$V:$V,0)</f>
        <v>0</v>
      </c>
      <c r="T689" s="12">
        <f>_xlfn.XLOOKUP(B689,[1]Sheet1!$B:$B,[1]Sheet1!$W:$W,0)</f>
        <v>0</v>
      </c>
      <c r="U689" s="12">
        <f>_xlfn.XLOOKUP(B689,[1]Sheet1!$B:$B,[1]Sheet1!$X:$X,0)</f>
        <v>0</v>
      </c>
      <c r="V689" s="12">
        <f>_xlfn.XLOOKUP(B689,[1]Sheet1!$B:$B,[1]Sheet1!$Y:$Y,0)</f>
        <v>0</v>
      </c>
      <c r="W689" s="12">
        <f t="shared" si="23"/>
        <v>0</v>
      </c>
      <c r="X689" s="8" t="s">
        <v>1138</v>
      </c>
      <c r="Y689" s="8" t="s">
        <v>211</v>
      </c>
      <c r="Z689" s="8" t="s">
        <v>340</v>
      </c>
      <c r="AA689" s="8" t="s">
        <v>151</v>
      </c>
      <c r="AB689" s="8" t="s">
        <v>36</v>
      </c>
      <c r="AC689" s="8" t="s">
        <v>37</v>
      </c>
      <c r="AD689" s="8" t="s">
        <v>342</v>
      </c>
      <c r="AE689" s="8" t="s">
        <v>39</v>
      </c>
      <c r="AF689" s="8" t="s">
        <v>40</v>
      </c>
      <c r="AG689" s="9">
        <v>198000</v>
      </c>
      <c r="AH689" s="11">
        <f>_xlfn.XLOOKUP(B689,[1]Sheet1!$B:$B,[1]Sheet1!$AB:$AB,0)</f>
        <v>198000</v>
      </c>
    </row>
    <row r="690" spans="2:34" ht="16.8" thickTop="1" thickBot="1" x14ac:dyDescent="0.35">
      <c r="B690" s="3" t="str">
        <f t="shared" si="22"/>
        <v>45157004511000860Co-Invest Events-N422401200104</v>
      </c>
      <c r="C690" s="6" t="s">
        <v>341</v>
      </c>
      <c r="D690" s="6" t="s">
        <v>1134</v>
      </c>
      <c r="E690" s="6" t="s">
        <v>1135</v>
      </c>
      <c r="F690" s="6" t="s">
        <v>523</v>
      </c>
      <c r="G690" s="4" t="s">
        <v>2807</v>
      </c>
      <c r="H690" s="4" t="s">
        <v>2922</v>
      </c>
      <c r="I690" s="6" t="s">
        <v>63</v>
      </c>
      <c r="J690" s="6" t="s">
        <v>31</v>
      </c>
      <c r="K690" s="12">
        <f>_xlfn.XLOOKUP(B690,[1]Sheet1!$B:$B,[1]Sheet1!$N:$N,0)</f>
        <v>0</v>
      </c>
      <c r="L690" s="12">
        <f>_xlfn.XLOOKUP(B690,[1]Sheet1!$B:$B,[1]Sheet1!$O:$O,0)</f>
        <v>0</v>
      </c>
      <c r="M690" s="12">
        <f>_xlfn.XLOOKUP(B690,[1]Sheet1!$B:$B,[1]Sheet1!$P:$P,0)</f>
        <v>0</v>
      </c>
      <c r="N690" s="12">
        <f>_xlfn.XLOOKUP(B690,[1]Sheet1!$B:$B,[1]Sheet1!$Q:$Q,0)</f>
        <v>0</v>
      </c>
      <c r="O690" s="12">
        <f>_xlfn.XLOOKUP(B690,[1]Sheet1!$B:$B,[1]Sheet1!$R:$R,0)</f>
        <v>0</v>
      </c>
      <c r="P690" s="12">
        <f>_xlfn.XLOOKUP(B690,[1]Sheet1!$B:$B,[1]Sheet1!$S:$S,0)</f>
        <v>0</v>
      </c>
      <c r="Q690" s="12">
        <f>_xlfn.XLOOKUP(B690,[1]Sheet1!$B:$B,[1]Sheet1!$T:$T,0)</f>
        <v>0</v>
      </c>
      <c r="R690" s="12">
        <f>_xlfn.XLOOKUP(B690,[1]Sheet1!$B:$B,[1]Sheet1!$U:$U,0)</f>
        <v>0</v>
      </c>
      <c r="S690" s="12">
        <f>_xlfn.XLOOKUP(B690,[1]Sheet1!$B:$B,[1]Sheet1!$V:$V,0)</f>
        <v>0</v>
      </c>
      <c r="T690" s="12">
        <f>_xlfn.XLOOKUP(B690,[1]Sheet1!$B:$B,[1]Sheet1!$W:$W,0)</f>
        <v>0</v>
      </c>
      <c r="U690" s="12">
        <f>_xlfn.XLOOKUP(B690,[1]Sheet1!$B:$B,[1]Sheet1!$X:$X,0)</f>
        <v>0</v>
      </c>
      <c r="V690" s="12">
        <f>_xlfn.XLOOKUP(B690,[1]Sheet1!$B:$B,[1]Sheet1!$Y:$Y,0)</f>
        <v>0</v>
      </c>
      <c r="W690" s="12">
        <f t="shared" si="23"/>
        <v>0</v>
      </c>
      <c r="X690" s="6" t="s">
        <v>1139</v>
      </c>
      <c r="Y690" s="6" t="s">
        <v>211</v>
      </c>
      <c r="Z690" s="6" t="s">
        <v>340</v>
      </c>
      <c r="AA690" s="6" t="s">
        <v>68</v>
      </c>
      <c r="AB690" s="6" t="s">
        <v>36</v>
      </c>
      <c r="AC690" s="6" t="s">
        <v>37</v>
      </c>
      <c r="AD690" s="6" t="s">
        <v>342</v>
      </c>
      <c r="AE690" s="6" t="s">
        <v>39</v>
      </c>
      <c r="AF690" s="6" t="s">
        <v>40</v>
      </c>
      <c r="AG690" s="7">
        <v>10000000</v>
      </c>
      <c r="AH690" s="11">
        <f>_xlfn.XLOOKUP(B690,[1]Sheet1!$B:$B,[1]Sheet1!$AB:$AB,0)</f>
        <v>10000000</v>
      </c>
    </row>
    <row r="691" spans="2:34" ht="16.8" thickTop="1" thickBot="1" x14ac:dyDescent="0.35">
      <c r="B691" s="3" t="str">
        <f t="shared" si="22"/>
        <v>45157004511000860FM Mgmnt (E-E)-N426212200104</v>
      </c>
      <c r="C691" s="8" t="s">
        <v>341</v>
      </c>
      <c r="D691" s="8" t="s">
        <v>1134</v>
      </c>
      <c r="E691" s="8" t="s">
        <v>1135</v>
      </c>
      <c r="F691" s="8" t="s">
        <v>380</v>
      </c>
      <c r="G691" s="4" t="s">
        <v>2814</v>
      </c>
      <c r="H691" s="4" t="s">
        <v>2922</v>
      </c>
      <c r="I691" s="8" t="s">
        <v>96</v>
      </c>
      <c r="J691" s="8" t="s">
        <v>31</v>
      </c>
      <c r="K691" s="12">
        <f>_xlfn.XLOOKUP(B691,[1]Sheet1!$B:$B,[1]Sheet1!$N:$N,0)</f>
        <v>0</v>
      </c>
      <c r="L691" s="12">
        <f>_xlfn.XLOOKUP(B691,[1]Sheet1!$B:$B,[1]Sheet1!$O:$O,0)</f>
        <v>0</v>
      </c>
      <c r="M691" s="12">
        <f>_xlfn.XLOOKUP(B691,[1]Sheet1!$B:$B,[1]Sheet1!$P:$P,0)</f>
        <v>0</v>
      </c>
      <c r="N691" s="12">
        <f>_xlfn.XLOOKUP(B691,[1]Sheet1!$B:$B,[1]Sheet1!$Q:$Q,0)</f>
        <v>0</v>
      </c>
      <c r="O691" s="12">
        <f>_xlfn.XLOOKUP(B691,[1]Sheet1!$B:$B,[1]Sheet1!$R:$R,0)</f>
        <v>0</v>
      </c>
      <c r="P691" s="12">
        <f>_xlfn.XLOOKUP(B691,[1]Sheet1!$B:$B,[1]Sheet1!$S:$S,0)</f>
        <v>0</v>
      </c>
      <c r="Q691" s="12">
        <f>_xlfn.XLOOKUP(B691,[1]Sheet1!$B:$B,[1]Sheet1!$T:$T,0)</f>
        <v>0</v>
      </c>
      <c r="R691" s="12">
        <f>_xlfn.XLOOKUP(B691,[1]Sheet1!$B:$B,[1]Sheet1!$U:$U,0)</f>
        <v>0</v>
      </c>
      <c r="S691" s="12">
        <f>_xlfn.XLOOKUP(B691,[1]Sheet1!$B:$B,[1]Sheet1!$V:$V,0)</f>
        <v>0</v>
      </c>
      <c r="T691" s="12">
        <f>_xlfn.XLOOKUP(B691,[1]Sheet1!$B:$B,[1]Sheet1!$W:$W,0)</f>
        <v>0</v>
      </c>
      <c r="U691" s="12">
        <f>_xlfn.XLOOKUP(B691,[1]Sheet1!$B:$B,[1]Sheet1!$X:$X,0)</f>
        <v>0</v>
      </c>
      <c r="V691" s="12">
        <f>_xlfn.XLOOKUP(B691,[1]Sheet1!$B:$B,[1]Sheet1!$Y:$Y,0)</f>
        <v>0</v>
      </c>
      <c r="W691" s="12">
        <f t="shared" si="23"/>
        <v>0</v>
      </c>
      <c r="X691" s="8" t="s">
        <v>1140</v>
      </c>
      <c r="Y691" s="8" t="s">
        <v>211</v>
      </c>
      <c r="Z691" s="8" t="s">
        <v>340</v>
      </c>
      <c r="AA691" s="8" t="s">
        <v>96</v>
      </c>
      <c r="AB691" s="8" t="s">
        <v>36</v>
      </c>
      <c r="AC691" s="8" t="s">
        <v>37</v>
      </c>
      <c r="AD691" s="8" t="s">
        <v>342</v>
      </c>
      <c r="AE691" s="8" t="s">
        <v>39</v>
      </c>
      <c r="AF691" s="8" t="s">
        <v>40</v>
      </c>
      <c r="AG691" s="9">
        <v>5745707</v>
      </c>
      <c r="AH691" s="11">
        <f>_xlfn.XLOOKUP(B691,[1]Sheet1!$B:$B,[1]Sheet1!$AB:$AB,0)</f>
        <v>5745707</v>
      </c>
    </row>
    <row r="692" spans="2:34" ht="16.8" thickTop="1" thickBot="1" x14ac:dyDescent="0.35">
      <c r="B692" s="3" t="str">
        <f t="shared" si="22"/>
        <v>45157004511000860Freelancers-N424521200104</v>
      </c>
      <c r="C692" s="6" t="s">
        <v>341</v>
      </c>
      <c r="D692" s="6" t="s">
        <v>1134</v>
      </c>
      <c r="E692" s="6" t="s">
        <v>1135</v>
      </c>
      <c r="F692" s="6" t="s">
        <v>50</v>
      </c>
      <c r="G692" s="4" t="s">
        <v>2804</v>
      </c>
      <c r="H692" s="4" t="s">
        <v>2922</v>
      </c>
      <c r="I692" s="6" t="s">
        <v>51</v>
      </c>
      <c r="J692" s="6" t="s">
        <v>31</v>
      </c>
      <c r="K692" s="12">
        <f>_xlfn.XLOOKUP(B692,[1]Sheet1!$B:$B,[1]Sheet1!$N:$N,0)</f>
        <v>0</v>
      </c>
      <c r="L692" s="12">
        <f>_xlfn.XLOOKUP(B692,[1]Sheet1!$B:$B,[1]Sheet1!$O:$O,0)</f>
        <v>0</v>
      </c>
      <c r="M692" s="12">
        <f>_xlfn.XLOOKUP(B692,[1]Sheet1!$B:$B,[1]Sheet1!$P:$P,0)</f>
        <v>54000</v>
      </c>
      <c r="N692" s="12">
        <f>_xlfn.XLOOKUP(B692,[1]Sheet1!$B:$B,[1]Sheet1!$Q:$Q,0)</f>
        <v>0</v>
      </c>
      <c r="O692" s="12">
        <f>_xlfn.XLOOKUP(B692,[1]Sheet1!$B:$B,[1]Sheet1!$R:$R,0)</f>
        <v>0</v>
      </c>
      <c r="P692" s="12">
        <f>_xlfn.XLOOKUP(B692,[1]Sheet1!$B:$B,[1]Sheet1!$S:$S,0)</f>
        <v>0</v>
      </c>
      <c r="Q692" s="12">
        <f>_xlfn.XLOOKUP(B692,[1]Sheet1!$B:$B,[1]Sheet1!$T:$T,0)</f>
        <v>0</v>
      </c>
      <c r="R692" s="12">
        <f>_xlfn.XLOOKUP(B692,[1]Sheet1!$B:$B,[1]Sheet1!$U:$U,0)</f>
        <v>0</v>
      </c>
      <c r="S692" s="12">
        <f>_xlfn.XLOOKUP(B692,[1]Sheet1!$B:$B,[1]Sheet1!$V:$V,0)</f>
        <v>0</v>
      </c>
      <c r="T692" s="12">
        <f>_xlfn.XLOOKUP(B692,[1]Sheet1!$B:$B,[1]Sheet1!$W:$W,0)</f>
        <v>0</v>
      </c>
      <c r="U692" s="12">
        <f>_xlfn.XLOOKUP(B692,[1]Sheet1!$B:$B,[1]Sheet1!$X:$X,0)</f>
        <v>0</v>
      </c>
      <c r="V692" s="12">
        <f>_xlfn.XLOOKUP(B692,[1]Sheet1!$B:$B,[1]Sheet1!$Y:$Y,0)</f>
        <v>0</v>
      </c>
      <c r="W692" s="12">
        <f t="shared" si="23"/>
        <v>54000</v>
      </c>
      <c r="X692" s="6" t="s">
        <v>339</v>
      </c>
      <c r="Y692" s="6" t="s">
        <v>211</v>
      </c>
      <c r="Z692" s="6" t="s">
        <v>340</v>
      </c>
      <c r="AA692" s="6" t="s">
        <v>53</v>
      </c>
      <c r="AB692" s="6" t="s">
        <v>36</v>
      </c>
      <c r="AC692" s="6" t="s">
        <v>37</v>
      </c>
      <c r="AD692" s="6" t="s">
        <v>342</v>
      </c>
      <c r="AE692" s="6" t="s">
        <v>39</v>
      </c>
      <c r="AF692" s="6" t="s">
        <v>40</v>
      </c>
      <c r="AG692" s="7">
        <v>216000</v>
      </c>
      <c r="AH692" s="11">
        <f>_xlfn.XLOOKUP(B692,[1]Sheet1!$B:$B,[1]Sheet1!$AB:$AB,0)</f>
        <v>216000</v>
      </c>
    </row>
    <row r="693" spans="2:34" ht="16.8" thickTop="1" thickBot="1" x14ac:dyDescent="0.35">
      <c r="B693" s="3" t="str">
        <f t="shared" si="22"/>
        <v>45157004511000860ManagementAdvice-N421119200104</v>
      </c>
      <c r="C693" s="8" t="s">
        <v>341</v>
      </c>
      <c r="D693" s="8" t="s">
        <v>1134</v>
      </c>
      <c r="E693" s="8" t="s">
        <v>1135</v>
      </c>
      <c r="F693" s="8" t="s">
        <v>230</v>
      </c>
      <c r="G693" s="4" t="s">
        <v>2857</v>
      </c>
      <c r="H693" s="4" t="s">
        <v>2922</v>
      </c>
      <c r="I693" s="8" t="s">
        <v>739</v>
      </c>
      <c r="J693" s="8" t="s">
        <v>31</v>
      </c>
      <c r="K693" s="12">
        <f>_xlfn.XLOOKUP(B693,[1]Sheet1!$B:$B,[1]Sheet1!$N:$N,0)</f>
        <v>0</v>
      </c>
      <c r="L693" s="12">
        <f>_xlfn.XLOOKUP(B693,[1]Sheet1!$B:$B,[1]Sheet1!$O:$O,0)</f>
        <v>0</v>
      </c>
      <c r="M693" s="12">
        <f>_xlfn.XLOOKUP(B693,[1]Sheet1!$B:$B,[1]Sheet1!$P:$P,0)</f>
        <v>0</v>
      </c>
      <c r="N693" s="12">
        <f>_xlfn.XLOOKUP(B693,[1]Sheet1!$B:$B,[1]Sheet1!$Q:$Q,0)</f>
        <v>0</v>
      </c>
      <c r="O693" s="12">
        <f>_xlfn.XLOOKUP(B693,[1]Sheet1!$B:$B,[1]Sheet1!$R:$R,0)</f>
        <v>0</v>
      </c>
      <c r="P693" s="12">
        <f>_xlfn.XLOOKUP(B693,[1]Sheet1!$B:$B,[1]Sheet1!$S:$S,0)</f>
        <v>0</v>
      </c>
      <c r="Q693" s="12">
        <f>_xlfn.XLOOKUP(B693,[1]Sheet1!$B:$B,[1]Sheet1!$T:$T,0)</f>
        <v>0</v>
      </c>
      <c r="R693" s="12">
        <f>_xlfn.XLOOKUP(B693,[1]Sheet1!$B:$B,[1]Sheet1!$U:$U,0)</f>
        <v>0</v>
      </c>
      <c r="S693" s="12">
        <f>_xlfn.XLOOKUP(B693,[1]Sheet1!$B:$B,[1]Sheet1!$V:$V,0)</f>
        <v>0</v>
      </c>
      <c r="T693" s="12">
        <f>_xlfn.XLOOKUP(B693,[1]Sheet1!$B:$B,[1]Sheet1!$W:$W,0)</f>
        <v>0</v>
      </c>
      <c r="U693" s="12">
        <f>_xlfn.XLOOKUP(B693,[1]Sheet1!$B:$B,[1]Sheet1!$X:$X,0)</f>
        <v>0</v>
      </c>
      <c r="V693" s="12">
        <f>_xlfn.XLOOKUP(B693,[1]Sheet1!$B:$B,[1]Sheet1!$Y:$Y,0)</f>
        <v>0</v>
      </c>
      <c r="W693" s="12">
        <f t="shared" si="23"/>
        <v>0</v>
      </c>
      <c r="X693" s="8" t="s">
        <v>1141</v>
      </c>
      <c r="Y693" s="8" t="s">
        <v>211</v>
      </c>
      <c r="Z693" s="8" t="s">
        <v>340</v>
      </c>
      <c r="AA693" s="8" t="s">
        <v>741</v>
      </c>
      <c r="AB693" s="8" t="s">
        <v>36</v>
      </c>
      <c r="AC693" s="8" t="s">
        <v>37</v>
      </c>
      <c r="AD693" s="8" t="s">
        <v>342</v>
      </c>
      <c r="AE693" s="8" t="s">
        <v>39</v>
      </c>
      <c r="AF693" s="8" t="s">
        <v>40</v>
      </c>
      <c r="AG693" s="9">
        <v>2494331</v>
      </c>
      <c r="AH693" s="11">
        <f>_xlfn.XLOOKUP(B693,[1]Sheet1!$B:$B,[1]Sheet1!$AB:$AB,0)</f>
        <v>2494331</v>
      </c>
    </row>
    <row r="694" spans="2:34" ht="16.8" thickTop="1" thickBot="1" x14ac:dyDescent="0.35">
      <c r="B694" s="3" t="str">
        <f t="shared" si="22"/>
        <v>45157004511000860Manpower-N424521200104</v>
      </c>
      <c r="C694" s="6" t="s">
        <v>341</v>
      </c>
      <c r="D694" s="6" t="s">
        <v>1134</v>
      </c>
      <c r="E694" s="6" t="s">
        <v>1135</v>
      </c>
      <c r="F694" s="6" t="s">
        <v>98</v>
      </c>
      <c r="G694" s="4" t="s">
        <v>2804</v>
      </c>
      <c r="H694" s="4" t="s">
        <v>2922</v>
      </c>
      <c r="I694" s="6" t="s">
        <v>51</v>
      </c>
      <c r="J694" s="6" t="s">
        <v>31</v>
      </c>
      <c r="K694" s="12">
        <f>_xlfn.XLOOKUP(B694,[1]Sheet1!$B:$B,[1]Sheet1!$N:$N,0)</f>
        <v>0</v>
      </c>
      <c r="L694" s="12">
        <f>_xlfn.XLOOKUP(B694,[1]Sheet1!$B:$B,[1]Sheet1!$O:$O,0)</f>
        <v>0</v>
      </c>
      <c r="M694" s="12">
        <f>_xlfn.XLOOKUP(B694,[1]Sheet1!$B:$B,[1]Sheet1!$P:$P,0)</f>
        <v>0</v>
      </c>
      <c r="N694" s="12">
        <f>_xlfn.XLOOKUP(B694,[1]Sheet1!$B:$B,[1]Sheet1!$Q:$Q,0)</f>
        <v>0</v>
      </c>
      <c r="O694" s="12">
        <f>_xlfn.XLOOKUP(B694,[1]Sheet1!$B:$B,[1]Sheet1!$R:$R,0)</f>
        <v>0</v>
      </c>
      <c r="P694" s="12">
        <f>_xlfn.XLOOKUP(B694,[1]Sheet1!$B:$B,[1]Sheet1!$S:$S,0)</f>
        <v>0</v>
      </c>
      <c r="Q694" s="12">
        <f>_xlfn.XLOOKUP(B694,[1]Sheet1!$B:$B,[1]Sheet1!$T:$T,0)</f>
        <v>0</v>
      </c>
      <c r="R694" s="12">
        <f>_xlfn.XLOOKUP(B694,[1]Sheet1!$B:$B,[1]Sheet1!$U:$U,0)</f>
        <v>0</v>
      </c>
      <c r="S694" s="12">
        <f>_xlfn.XLOOKUP(B694,[1]Sheet1!$B:$B,[1]Sheet1!$V:$V,0)</f>
        <v>0</v>
      </c>
      <c r="T694" s="12">
        <f>_xlfn.XLOOKUP(B694,[1]Sheet1!$B:$B,[1]Sheet1!$W:$W,0)</f>
        <v>0</v>
      </c>
      <c r="U694" s="12">
        <f>_xlfn.XLOOKUP(B694,[1]Sheet1!$B:$B,[1]Sheet1!$X:$X,0)</f>
        <v>0</v>
      </c>
      <c r="V694" s="12">
        <f>_xlfn.XLOOKUP(B694,[1]Sheet1!$B:$B,[1]Sheet1!$Y:$Y,0)</f>
        <v>0</v>
      </c>
      <c r="W694" s="12">
        <f t="shared" si="23"/>
        <v>0</v>
      </c>
      <c r="X694" s="6" t="s">
        <v>339</v>
      </c>
      <c r="Y694" s="6" t="s">
        <v>211</v>
      </c>
      <c r="Z694" s="6" t="s">
        <v>340</v>
      </c>
      <c r="AA694" s="6" t="s">
        <v>53</v>
      </c>
      <c r="AB694" s="6" t="s">
        <v>36</v>
      </c>
      <c r="AC694" s="6" t="s">
        <v>37</v>
      </c>
      <c r="AD694" s="6" t="s">
        <v>342</v>
      </c>
      <c r="AE694" s="6" t="s">
        <v>39</v>
      </c>
      <c r="AF694" s="6" t="s">
        <v>40</v>
      </c>
      <c r="AG694" s="7">
        <v>1640230</v>
      </c>
      <c r="AH694" s="11">
        <f>_xlfn.XLOOKUP(B694,[1]Sheet1!$B:$B,[1]Sheet1!$AB:$AB,0)</f>
        <v>1640230</v>
      </c>
    </row>
    <row r="695" spans="2:34" ht="16.8" thickTop="1" thickBot="1" x14ac:dyDescent="0.35">
      <c r="B695" s="3" t="str">
        <f t="shared" si="22"/>
        <v>45157004511000860Mission &amp; Travel-N423821200104</v>
      </c>
      <c r="C695" s="8" t="s">
        <v>341</v>
      </c>
      <c r="D695" s="8" t="s">
        <v>1134</v>
      </c>
      <c r="E695" s="8" t="s">
        <v>1135</v>
      </c>
      <c r="F695" s="8" t="s">
        <v>54</v>
      </c>
      <c r="G695" s="4" t="s">
        <v>2805</v>
      </c>
      <c r="H695" s="4" t="s">
        <v>2922</v>
      </c>
      <c r="I695" s="8" t="s">
        <v>55</v>
      </c>
      <c r="J695" s="8" t="s">
        <v>31</v>
      </c>
      <c r="K695" s="12">
        <f>_xlfn.XLOOKUP(B695,[1]Sheet1!$B:$B,[1]Sheet1!$N:$N,0)</f>
        <v>0</v>
      </c>
      <c r="L695" s="12">
        <f>_xlfn.XLOOKUP(B695,[1]Sheet1!$B:$B,[1]Sheet1!$O:$O,0)</f>
        <v>0</v>
      </c>
      <c r="M695" s="12">
        <f>_xlfn.XLOOKUP(B695,[1]Sheet1!$B:$B,[1]Sheet1!$P:$P,0)</f>
        <v>0</v>
      </c>
      <c r="N695" s="12">
        <f>_xlfn.XLOOKUP(B695,[1]Sheet1!$B:$B,[1]Sheet1!$Q:$Q,0)</f>
        <v>0</v>
      </c>
      <c r="O695" s="12">
        <f>_xlfn.XLOOKUP(B695,[1]Sheet1!$B:$B,[1]Sheet1!$R:$R,0)</f>
        <v>0</v>
      </c>
      <c r="P695" s="12">
        <f>_xlfn.XLOOKUP(B695,[1]Sheet1!$B:$B,[1]Sheet1!$S:$S,0)</f>
        <v>0</v>
      </c>
      <c r="Q695" s="12">
        <f>_xlfn.XLOOKUP(B695,[1]Sheet1!$B:$B,[1]Sheet1!$T:$T,0)</f>
        <v>0</v>
      </c>
      <c r="R695" s="12">
        <f>_xlfn.XLOOKUP(B695,[1]Sheet1!$B:$B,[1]Sheet1!$U:$U,0)</f>
        <v>0</v>
      </c>
      <c r="S695" s="12">
        <f>_xlfn.XLOOKUP(B695,[1]Sheet1!$B:$B,[1]Sheet1!$V:$V,0)</f>
        <v>0</v>
      </c>
      <c r="T695" s="12">
        <f>_xlfn.XLOOKUP(B695,[1]Sheet1!$B:$B,[1]Sheet1!$W:$W,0)</f>
        <v>0</v>
      </c>
      <c r="U695" s="12">
        <f>_xlfn.XLOOKUP(B695,[1]Sheet1!$B:$B,[1]Sheet1!$X:$X,0)</f>
        <v>0</v>
      </c>
      <c r="V695" s="12">
        <f>_xlfn.XLOOKUP(B695,[1]Sheet1!$B:$B,[1]Sheet1!$Y:$Y,0)</f>
        <v>0</v>
      </c>
      <c r="W695" s="12">
        <f t="shared" si="23"/>
        <v>0</v>
      </c>
      <c r="X695" s="8" t="s">
        <v>1142</v>
      </c>
      <c r="Y695" s="8" t="s">
        <v>211</v>
      </c>
      <c r="Z695" s="8" t="s">
        <v>340</v>
      </c>
      <c r="AA695" s="8" t="s">
        <v>55</v>
      </c>
      <c r="AB695" s="8" t="s">
        <v>36</v>
      </c>
      <c r="AC695" s="8" t="s">
        <v>37</v>
      </c>
      <c r="AD695" s="8" t="s">
        <v>342</v>
      </c>
      <c r="AE695" s="8" t="s">
        <v>39</v>
      </c>
      <c r="AF695" s="8" t="s">
        <v>40</v>
      </c>
      <c r="AG695" s="9">
        <v>145500</v>
      </c>
      <c r="AH695" s="11">
        <f>_xlfn.XLOOKUP(B695,[1]Sheet1!$B:$B,[1]Sheet1!$AB:$AB,0)</f>
        <v>145500</v>
      </c>
    </row>
    <row r="696" spans="2:34" ht="16.8" thickTop="1" thickBot="1" x14ac:dyDescent="0.35">
      <c r="B696" s="3" t="str">
        <f t="shared" si="22"/>
        <v>45157004511000860Sponsorship Fees-N424811200104</v>
      </c>
      <c r="C696" s="6" t="s">
        <v>341</v>
      </c>
      <c r="D696" s="6" t="s">
        <v>1134</v>
      </c>
      <c r="E696" s="6" t="s">
        <v>1135</v>
      </c>
      <c r="F696" s="6" t="s">
        <v>506</v>
      </c>
      <c r="G696" s="4" t="s">
        <v>2802</v>
      </c>
      <c r="H696" s="4" t="s">
        <v>2922</v>
      </c>
      <c r="I696" s="6" t="s">
        <v>30</v>
      </c>
      <c r="J696" s="6" t="s">
        <v>31</v>
      </c>
      <c r="K696" s="12">
        <f>_xlfn.XLOOKUP(B696,[1]Sheet1!$B:$B,[1]Sheet1!$N:$N,0)</f>
        <v>0</v>
      </c>
      <c r="L696" s="12">
        <f>_xlfn.XLOOKUP(B696,[1]Sheet1!$B:$B,[1]Sheet1!$O:$O,0)</f>
        <v>0</v>
      </c>
      <c r="M696" s="12">
        <f>_xlfn.XLOOKUP(B696,[1]Sheet1!$B:$B,[1]Sheet1!$P:$P,0)</f>
        <v>0</v>
      </c>
      <c r="N696" s="12">
        <f>_xlfn.XLOOKUP(B696,[1]Sheet1!$B:$B,[1]Sheet1!$Q:$Q,0)</f>
        <v>0</v>
      </c>
      <c r="O696" s="12">
        <f>_xlfn.XLOOKUP(B696,[1]Sheet1!$B:$B,[1]Sheet1!$R:$R,0)</f>
        <v>0</v>
      </c>
      <c r="P696" s="12">
        <f>_xlfn.XLOOKUP(B696,[1]Sheet1!$B:$B,[1]Sheet1!$S:$S,0)</f>
        <v>0</v>
      </c>
      <c r="Q696" s="12">
        <f>_xlfn.XLOOKUP(B696,[1]Sheet1!$B:$B,[1]Sheet1!$T:$T,0)</f>
        <v>0</v>
      </c>
      <c r="R696" s="12">
        <f>_xlfn.XLOOKUP(B696,[1]Sheet1!$B:$B,[1]Sheet1!$U:$U,0)</f>
        <v>0</v>
      </c>
      <c r="S696" s="12">
        <f>_xlfn.XLOOKUP(B696,[1]Sheet1!$B:$B,[1]Sheet1!$V:$V,0)</f>
        <v>0</v>
      </c>
      <c r="T696" s="12">
        <f>_xlfn.XLOOKUP(B696,[1]Sheet1!$B:$B,[1]Sheet1!$W:$W,0)</f>
        <v>0</v>
      </c>
      <c r="U696" s="12">
        <f>_xlfn.XLOOKUP(B696,[1]Sheet1!$B:$B,[1]Sheet1!$X:$X,0)</f>
        <v>0</v>
      </c>
      <c r="V696" s="12">
        <f>_xlfn.XLOOKUP(B696,[1]Sheet1!$B:$B,[1]Sheet1!$Y:$Y,0)</f>
        <v>0</v>
      </c>
      <c r="W696" s="12">
        <f t="shared" si="23"/>
        <v>0</v>
      </c>
      <c r="X696" s="6" t="s">
        <v>1143</v>
      </c>
      <c r="Y696" s="6" t="s">
        <v>211</v>
      </c>
      <c r="Z696" s="6" t="s">
        <v>340</v>
      </c>
      <c r="AA696" s="6" t="s">
        <v>30</v>
      </c>
      <c r="AB696" s="6" t="s">
        <v>36</v>
      </c>
      <c r="AC696" s="6" t="s">
        <v>37</v>
      </c>
      <c r="AD696" s="6" t="s">
        <v>342</v>
      </c>
      <c r="AE696" s="6" t="s">
        <v>39</v>
      </c>
      <c r="AF696" s="6" t="s">
        <v>40</v>
      </c>
      <c r="AG696" s="7">
        <v>6741000</v>
      </c>
      <c r="AH696" s="11">
        <f>_xlfn.XLOOKUP(B696,[1]Sheet1!$B:$B,[1]Sheet1!$AB:$AB,0)</f>
        <v>6741000</v>
      </c>
    </row>
    <row r="697" spans="2:34" ht="16.8" thickTop="1" thickBot="1" x14ac:dyDescent="0.35">
      <c r="B697" s="3" t="str">
        <f t="shared" si="22"/>
        <v>45157004511000860Trade Partners-N424251200104</v>
      </c>
      <c r="C697" s="8" t="s">
        <v>341</v>
      </c>
      <c r="D697" s="8" t="s">
        <v>1134</v>
      </c>
      <c r="E697" s="8" t="s">
        <v>1135</v>
      </c>
      <c r="F697" s="8" t="s">
        <v>1144</v>
      </c>
      <c r="G697" s="4" t="s">
        <v>2852</v>
      </c>
      <c r="H697" s="4" t="s">
        <v>2922</v>
      </c>
      <c r="I697" s="8" t="s">
        <v>569</v>
      </c>
      <c r="J697" s="8" t="s">
        <v>31</v>
      </c>
      <c r="K697" s="12">
        <f>_xlfn.XLOOKUP(B697,[1]Sheet1!$B:$B,[1]Sheet1!$N:$N,0)</f>
        <v>0</v>
      </c>
      <c r="L697" s="12">
        <f>_xlfn.XLOOKUP(B697,[1]Sheet1!$B:$B,[1]Sheet1!$O:$O,0)</f>
        <v>0</v>
      </c>
      <c r="M697" s="12">
        <f>_xlfn.XLOOKUP(B697,[1]Sheet1!$B:$B,[1]Sheet1!$P:$P,0)</f>
        <v>0</v>
      </c>
      <c r="N697" s="12">
        <f>_xlfn.XLOOKUP(B697,[1]Sheet1!$B:$B,[1]Sheet1!$Q:$Q,0)</f>
        <v>0</v>
      </c>
      <c r="O697" s="12">
        <f>_xlfn.XLOOKUP(B697,[1]Sheet1!$B:$B,[1]Sheet1!$R:$R,0)</f>
        <v>0</v>
      </c>
      <c r="P697" s="12">
        <f>_xlfn.XLOOKUP(B697,[1]Sheet1!$B:$B,[1]Sheet1!$S:$S,0)</f>
        <v>0</v>
      </c>
      <c r="Q697" s="12">
        <f>_xlfn.XLOOKUP(B697,[1]Sheet1!$B:$B,[1]Sheet1!$T:$T,0)</f>
        <v>0</v>
      </c>
      <c r="R697" s="12">
        <f>_xlfn.XLOOKUP(B697,[1]Sheet1!$B:$B,[1]Sheet1!$U:$U,0)</f>
        <v>0</v>
      </c>
      <c r="S697" s="12">
        <f>_xlfn.XLOOKUP(B697,[1]Sheet1!$B:$B,[1]Sheet1!$V:$V,0)</f>
        <v>0</v>
      </c>
      <c r="T697" s="12">
        <f>_xlfn.XLOOKUP(B697,[1]Sheet1!$B:$B,[1]Sheet1!$W:$W,0)</f>
        <v>0</v>
      </c>
      <c r="U697" s="12">
        <f>_xlfn.XLOOKUP(B697,[1]Sheet1!$B:$B,[1]Sheet1!$X:$X,0)</f>
        <v>0</v>
      </c>
      <c r="V697" s="12">
        <f>_xlfn.XLOOKUP(B697,[1]Sheet1!$B:$B,[1]Sheet1!$Y:$Y,0)</f>
        <v>0</v>
      </c>
      <c r="W697" s="12">
        <f t="shared" si="23"/>
        <v>0</v>
      </c>
      <c r="X697" s="8" t="s">
        <v>1145</v>
      </c>
      <c r="Y697" s="8" t="s">
        <v>211</v>
      </c>
      <c r="Z697" s="8" t="s">
        <v>340</v>
      </c>
      <c r="AA697" s="8" t="s">
        <v>569</v>
      </c>
      <c r="AB697" s="8" t="s">
        <v>36</v>
      </c>
      <c r="AC697" s="8" t="s">
        <v>37</v>
      </c>
      <c r="AD697" s="8" t="s">
        <v>342</v>
      </c>
      <c r="AE697" s="8" t="s">
        <v>39</v>
      </c>
      <c r="AF697" s="8" t="s">
        <v>40</v>
      </c>
      <c r="AG697" s="9">
        <v>1489491</v>
      </c>
      <c r="AH697" s="11">
        <f>_xlfn.XLOOKUP(B697,[1]Sheet1!$B:$B,[1]Sheet1!$AB:$AB,0)</f>
        <v>1489491</v>
      </c>
    </row>
    <row r="698" spans="2:34" ht="16.8" thickTop="1" thickBot="1" x14ac:dyDescent="0.35">
      <c r="B698" s="3" t="str">
        <f t="shared" si="22"/>
        <v>45157004511000860Trade Promotion-N424251200104</v>
      </c>
      <c r="C698" s="6" t="s">
        <v>341</v>
      </c>
      <c r="D698" s="6" t="s">
        <v>1134</v>
      </c>
      <c r="E698" s="6" t="s">
        <v>1135</v>
      </c>
      <c r="F698" s="6" t="s">
        <v>748</v>
      </c>
      <c r="G698" s="4" t="s">
        <v>2852</v>
      </c>
      <c r="H698" s="4" t="s">
        <v>2922</v>
      </c>
      <c r="I698" s="6" t="s">
        <v>569</v>
      </c>
      <c r="J698" s="6" t="s">
        <v>31</v>
      </c>
      <c r="K698" s="12">
        <f>_xlfn.XLOOKUP(B698,[1]Sheet1!$B:$B,[1]Sheet1!$N:$N,0)</f>
        <v>0</v>
      </c>
      <c r="L698" s="12">
        <f>_xlfn.XLOOKUP(B698,[1]Sheet1!$B:$B,[1]Sheet1!$O:$O,0)</f>
        <v>0</v>
      </c>
      <c r="M698" s="12">
        <f>_xlfn.XLOOKUP(B698,[1]Sheet1!$B:$B,[1]Sheet1!$P:$P,0)</f>
        <v>0</v>
      </c>
      <c r="N698" s="12">
        <f>_xlfn.XLOOKUP(B698,[1]Sheet1!$B:$B,[1]Sheet1!$Q:$Q,0)</f>
        <v>0</v>
      </c>
      <c r="O698" s="12">
        <f>_xlfn.XLOOKUP(B698,[1]Sheet1!$B:$B,[1]Sheet1!$R:$R,0)</f>
        <v>0</v>
      </c>
      <c r="P698" s="12">
        <f>_xlfn.XLOOKUP(B698,[1]Sheet1!$B:$B,[1]Sheet1!$S:$S,0)</f>
        <v>0</v>
      </c>
      <c r="Q698" s="12">
        <f>_xlfn.XLOOKUP(B698,[1]Sheet1!$B:$B,[1]Sheet1!$T:$T,0)</f>
        <v>0</v>
      </c>
      <c r="R698" s="12">
        <f>_xlfn.XLOOKUP(B698,[1]Sheet1!$B:$B,[1]Sheet1!$U:$U,0)</f>
        <v>0</v>
      </c>
      <c r="S698" s="12">
        <f>_xlfn.XLOOKUP(B698,[1]Sheet1!$B:$B,[1]Sheet1!$V:$V,0)</f>
        <v>0</v>
      </c>
      <c r="T698" s="12">
        <f>_xlfn.XLOOKUP(B698,[1]Sheet1!$B:$B,[1]Sheet1!$W:$W,0)</f>
        <v>0</v>
      </c>
      <c r="U698" s="12">
        <f>_xlfn.XLOOKUP(B698,[1]Sheet1!$B:$B,[1]Sheet1!$X:$X,0)</f>
        <v>0</v>
      </c>
      <c r="V698" s="12">
        <f>_xlfn.XLOOKUP(B698,[1]Sheet1!$B:$B,[1]Sheet1!$Y:$Y,0)</f>
        <v>0</v>
      </c>
      <c r="W698" s="12">
        <f t="shared" si="23"/>
        <v>0</v>
      </c>
      <c r="X698" s="6" t="s">
        <v>1145</v>
      </c>
      <c r="Y698" s="6" t="s">
        <v>211</v>
      </c>
      <c r="Z698" s="6" t="s">
        <v>340</v>
      </c>
      <c r="AA698" s="6" t="s">
        <v>569</v>
      </c>
      <c r="AB698" s="6" t="s">
        <v>36</v>
      </c>
      <c r="AC698" s="6" t="s">
        <v>37</v>
      </c>
      <c r="AD698" s="6" t="s">
        <v>342</v>
      </c>
      <c r="AE698" s="6" t="s">
        <v>39</v>
      </c>
      <c r="AF698" s="6" t="s">
        <v>40</v>
      </c>
      <c r="AG698" s="7">
        <v>874000</v>
      </c>
      <c r="AH698" s="11">
        <f>_xlfn.XLOOKUP(B698,[1]Sheet1!$B:$B,[1]Sheet1!$AB:$AB,0)</f>
        <v>874000</v>
      </c>
    </row>
    <row r="699" spans="2:34" ht="16.8" thickTop="1" thickBot="1" x14ac:dyDescent="0.35">
      <c r="B699" s="3" t="str">
        <f t="shared" si="22"/>
        <v>45157004511000860Transportation-N424251200104</v>
      </c>
      <c r="C699" s="8" t="s">
        <v>341</v>
      </c>
      <c r="D699" s="8" t="s">
        <v>1134</v>
      </c>
      <c r="E699" s="8" t="s">
        <v>1135</v>
      </c>
      <c r="F699" s="8" t="s">
        <v>1146</v>
      </c>
      <c r="G699" s="4" t="s">
        <v>2852</v>
      </c>
      <c r="H699" s="4" t="s">
        <v>2922</v>
      </c>
      <c r="I699" s="8" t="s">
        <v>569</v>
      </c>
      <c r="J699" s="8" t="s">
        <v>31</v>
      </c>
      <c r="K699" s="12">
        <f>_xlfn.XLOOKUP(B699,[1]Sheet1!$B:$B,[1]Sheet1!$N:$N,0)</f>
        <v>0</v>
      </c>
      <c r="L699" s="12">
        <f>_xlfn.XLOOKUP(B699,[1]Sheet1!$B:$B,[1]Sheet1!$O:$O,0)</f>
        <v>0</v>
      </c>
      <c r="M699" s="12">
        <f>_xlfn.XLOOKUP(B699,[1]Sheet1!$B:$B,[1]Sheet1!$P:$P,0)</f>
        <v>0</v>
      </c>
      <c r="N699" s="12">
        <f>_xlfn.XLOOKUP(B699,[1]Sheet1!$B:$B,[1]Sheet1!$Q:$Q,0)</f>
        <v>0</v>
      </c>
      <c r="O699" s="12">
        <f>_xlfn.XLOOKUP(B699,[1]Sheet1!$B:$B,[1]Sheet1!$R:$R,0)</f>
        <v>0</v>
      </c>
      <c r="P699" s="12">
        <f>_xlfn.XLOOKUP(B699,[1]Sheet1!$B:$B,[1]Sheet1!$S:$S,0)</f>
        <v>0</v>
      </c>
      <c r="Q699" s="12">
        <f>_xlfn.XLOOKUP(B699,[1]Sheet1!$B:$B,[1]Sheet1!$T:$T,0)</f>
        <v>0</v>
      </c>
      <c r="R699" s="12">
        <f>_xlfn.XLOOKUP(B699,[1]Sheet1!$B:$B,[1]Sheet1!$U:$U,0)</f>
        <v>0</v>
      </c>
      <c r="S699" s="12">
        <f>_xlfn.XLOOKUP(B699,[1]Sheet1!$B:$B,[1]Sheet1!$V:$V,0)</f>
        <v>0</v>
      </c>
      <c r="T699" s="12">
        <f>_xlfn.XLOOKUP(B699,[1]Sheet1!$B:$B,[1]Sheet1!$W:$W,0)</f>
        <v>0</v>
      </c>
      <c r="U699" s="12">
        <f>_xlfn.XLOOKUP(B699,[1]Sheet1!$B:$B,[1]Sheet1!$X:$X,0)</f>
        <v>0</v>
      </c>
      <c r="V699" s="12">
        <f>_xlfn.XLOOKUP(B699,[1]Sheet1!$B:$B,[1]Sheet1!$Y:$Y,0)</f>
        <v>0</v>
      </c>
      <c r="W699" s="12">
        <f t="shared" si="23"/>
        <v>0</v>
      </c>
      <c r="X699" s="8" t="s">
        <v>1145</v>
      </c>
      <c r="Y699" s="8" t="s">
        <v>211</v>
      </c>
      <c r="Z699" s="8" t="s">
        <v>340</v>
      </c>
      <c r="AA699" s="8" t="s">
        <v>569</v>
      </c>
      <c r="AB699" s="8" t="s">
        <v>36</v>
      </c>
      <c r="AC699" s="8" t="s">
        <v>37</v>
      </c>
      <c r="AD699" s="8" t="s">
        <v>342</v>
      </c>
      <c r="AE699" s="8" t="s">
        <v>39</v>
      </c>
      <c r="AF699" s="8" t="s">
        <v>40</v>
      </c>
      <c r="AG699" s="9">
        <v>373040</v>
      </c>
      <c r="AH699" s="11">
        <f>_xlfn.XLOOKUP(B699,[1]Sheet1!$B:$B,[1]Sheet1!$AB:$AB,0)</f>
        <v>373040</v>
      </c>
    </row>
    <row r="700" spans="2:34" ht="16.8" thickTop="1" thickBot="1" x14ac:dyDescent="0.35">
      <c r="B700" s="3" t="str">
        <f t="shared" si="22"/>
        <v>45111504511000864Interior Fit Out-N491711300105</v>
      </c>
      <c r="C700" s="6" t="s">
        <v>299</v>
      </c>
      <c r="D700" s="6" t="s">
        <v>1147</v>
      </c>
      <c r="E700" s="6" t="s">
        <v>1148</v>
      </c>
      <c r="F700" s="6" t="s">
        <v>1149</v>
      </c>
      <c r="G700" s="4" t="s">
        <v>2854</v>
      </c>
      <c r="H700" s="4" t="s">
        <v>2923</v>
      </c>
      <c r="I700" s="6" t="s">
        <v>639</v>
      </c>
      <c r="J700" s="6" t="s">
        <v>31</v>
      </c>
      <c r="K700" s="12">
        <f>_xlfn.XLOOKUP(B700,[1]Sheet1!$B:$B,[1]Sheet1!$N:$N,0)</f>
        <v>0</v>
      </c>
      <c r="L700" s="12">
        <f>_xlfn.XLOOKUP(B700,[1]Sheet1!$B:$B,[1]Sheet1!$O:$O,0)</f>
        <v>0</v>
      </c>
      <c r="M700" s="12">
        <f>_xlfn.XLOOKUP(B700,[1]Sheet1!$B:$B,[1]Sheet1!$P:$P,0)</f>
        <v>0</v>
      </c>
      <c r="N700" s="12">
        <f>_xlfn.XLOOKUP(B700,[1]Sheet1!$B:$B,[1]Sheet1!$Q:$Q,0)</f>
        <v>0</v>
      </c>
      <c r="O700" s="12">
        <f>_xlfn.XLOOKUP(B700,[1]Sheet1!$B:$B,[1]Sheet1!$R:$R,0)</f>
        <v>0</v>
      </c>
      <c r="P700" s="12">
        <f>_xlfn.XLOOKUP(B700,[1]Sheet1!$B:$B,[1]Sheet1!$S:$S,0)</f>
        <v>0</v>
      </c>
      <c r="Q700" s="12">
        <f>_xlfn.XLOOKUP(B700,[1]Sheet1!$B:$B,[1]Sheet1!$T:$T,0)</f>
        <v>500000</v>
      </c>
      <c r="R700" s="12">
        <f>_xlfn.XLOOKUP(B700,[1]Sheet1!$B:$B,[1]Sheet1!$U:$U,0)</f>
        <v>0</v>
      </c>
      <c r="S700" s="12">
        <f>_xlfn.XLOOKUP(B700,[1]Sheet1!$B:$B,[1]Sheet1!$V:$V,0)</f>
        <v>0</v>
      </c>
      <c r="T700" s="12">
        <f>_xlfn.XLOOKUP(B700,[1]Sheet1!$B:$B,[1]Sheet1!$W:$W,0)</f>
        <v>600000</v>
      </c>
      <c r="U700" s="12">
        <f>_xlfn.XLOOKUP(B700,[1]Sheet1!$B:$B,[1]Sheet1!$X:$X,0)</f>
        <v>600000</v>
      </c>
      <c r="V700" s="12">
        <f>_xlfn.XLOOKUP(B700,[1]Sheet1!$B:$B,[1]Sheet1!$Y:$Y,0)</f>
        <v>0</v>
      </c>
      <c r="W700" s="12">
        <f t="shared" si="23"/>
        <v>1700000</v>
      </c>
      <c r="X700" s="6" t="s">
        <v>1150</v>
      </c>
      <c r="Y700" s="6" t="s">
        <v>65</v>
      </c>
      <c r="Z700" s="6" t="s">
        <v>298</v>
      </c>
      <c r="AA700" s="6" t="s">
        <v>639</v>
      </c>
      <c r="AB700" s="6" t="s">
        <v>93</v>
      </c>
      <c r="AC700" s="6" t="s">
        <v>94</v>
      </c>
      <c r="AD700" s="6" t="s">
        <v>69</v>
      </c>
      <c r="AE700" s="6" t="s">
        <v>39</v>
      </c>
      <c r="AF700" s="6" t="s">
        <v>40</v>
      </c>
      <c r="AG700" s="7">
        <v>1700000</v>
      </c>
      <c r="AH700" s="11">
        <f>_xlfn.XLOOKUP(B700,[1]Sheet1!$B:$B,[1]Sheet1!$AB:$AB,0)</f>
        <v>1700000</v>
      </c>
    </row>
    <row r="701" spans="2:34" ht="16.8" thickTop="1" thickBot="1" x14ac:dyDescent="0.35">
      <c r="B701" s="3" t="str">
        <f t="shared" si="22"/>
        <v>45102504511000871Managed Service-N422212200104</v>
      </c>
      <c r="C701" s="8" t="s">
        <v>480</v>
      </c>
      <c r="D701" s="8" t="s">
        <v>1151</v>
      </c>
      <c r="E701" s="8" t="s">
        <v>1152</v>
      </c>
      <c r="F701" s="8" t="s">
        <v>476</v>
      </c>
      <c r="G701" s="4" t="s">
        <v>2845</v>
      </c>
      <c r="H701" s="4" t="s">
        <v>2922</v>
      </c>
      <c r="I701" s="8" t="s">
        <v>477</v>
      </c>
      <c r="J701" s="8" t="s">
        <v>31</v>
      </c>
      <c r="K701" s="12">
        <f>_xlfn.XLOOKUP(B701,[1]Sheet1!$B:$B,[1]Sheet1!$N:$N,0)</f>
        <v>0</v>
      </c>
      <c r="L701" s="12">
        <f>_xlfn.XLOOKUP(B701,[1]Sheet1!$B:$B,[1]Sheet1!$O:$O,0)</f>
        <v>0</v>
      </c>
      <c r="M701" s="12">
        <f>_xlfn.XLOOKUP(B701,[1]Sheet1!$B:$B,[1]Sheet1!$P:$P,0)</f>
        <v>0</v>
      </c>
      <c r="N701" s="12">
        <f>_xlfn.XLOOKUP(B701,[1]Sheet1!$B:$B,[1]Sheet1!$Q:$Q,0)</f>
        <v>0</v>
      </c>
      <c r="O701" s="12">
        <f>_xlfn.XLOOKUP(B701,[1]Sheet1!$B:$B,[1]Sheet1!$R:$R,0)</f>
        <v>479880</v>
      </c>
      <c r="P701" s="12">
        <f>_xlfn.XLOOKUP(B701,[1]Sheet1!$B:$B,[1]Sheet1!$S:$S,0)</f>
        <v>0</v>
      </c>
      <c r="Q701" s="12">
        <f>_xlfn.XLOOKUP(B701,[1]Sheet1!$B:$B,[1]Sheet1!$T:$T,0)</f>
        <v>0</v>
      </c>
      <c r="R701" s="12">
        <f>_xlfn.XLOOKUP(B701,[1]Sheet1!$B:$B,[1]Sheet1!$U:$U,0)</f>
        <v>0</v>
      </c>
      <c r="S701" s="12">
        <f>_xlfn.XLOOKUP(B701,[1]Sheet1!$B:$B,[1]Sheet1!$V:$V,0)</f>
        <v>0</v>
      </c>
      <c r="T701" s="12">
        <f>_xlfn.XLOOKUP(B701,[1]Sheet1!$B:$B,[1]Sheet1!$W:$W,0)</f>
        <v>480000</v>
      </c>
      <c r="U701" s="12">
        <f>_xlfn.XLOOKUP(B701,[1]Sheet1!$B:$B,[1]Sheet1!$X:$X,0)</f>
        <v>0</v>
      </c>
      <c r="V701" s="12">
        <f>_xlfn.XLOOKUP(B701,[1]Sheet1!$B:$B,[1]Sheet1!$Y:$Y,0)</f>
        <v>0</v>
      </c>
      <c r="W701" s="12">
        <f t="shared" si="23"/>
        <v>959880</v>
      </c>
      <c r="X701" s="8" t="s">
        <v>478</v>
      </c>
      <c r="Y701" s="8" t="s">
        <v>132</v>
      </c>
      <c r="Z701" s="8" t="s">
        <v>479</v>
      </c>
      <c r="AA701" s="8" t="s">
        <v>481</v>
      </c>
      <c r="AB701" s="8" t="s">
        <v>36</v>
      </c>
      <c r="AC701" s="8" t="s">
        <v>37</v>
      </c>
      <c r="AD701" s="8" t="s">
        <v>482</v>
      </c>
      <c r="AE701" s="8" t="s">
        <v>39</v>
      </c>
      <c r="AF701" s="8" t="s">
        <v>40</v>
      </c>
      <c r="AG701" s="9">
        <v>959880</v>
      </c>
      <c r="AH701" s="11">
        <f>_xlfn.XLOOKUP(B701,[1]Sheet1!$B:$B,[1]Sheet1!$AB:$AB,0)</f>
        <v>959880</v>
      </c>
    </row>
    <row r="702" spans="2:34" ht="16.8" thickTop="1" thickBot="1" x14ac:dyDescent="0.35">
      <c r="B702" s="3" t="str">
        <f t="shared" si="22"/>
        <v>45102504511000871MobileAppSupport-N422212200104</v>
      </c>
      <c r="C702" s="6" t="s">
        <v>480</v>
      </c>
      <c r="D702" s="6" t="s">
        <v>1151</v>
      </c>
      <c r="E702" s="6" t="s">
        <v>1152</v>
      </c>
      <c r="F702" s="6" t="s">
        <v>1153</v>
      </c>
      <c r="G702" s="4" t="s">
        <v>2845</v>
      </c>
      <c r="H702" s="4" t="s">
        <v>2922</v>
      </c>
      <c r="I702" s="6" t="s">
        <v>477</v>
      </c>
      <c r="J702" s="6" t="s">
        <v>31</v>
      </c>
      <c r="K702" s="12">
        <f>_xlfn.XLOOKUP(B702,[1]Sheet1!$B:$B,[1]Sheet1!$N:$N,0)</f>
        <v>0</v>
      </c>
      <c r="L702" s="12">
        <f>_xlfn.XLOOKUP(B702,[1]Sheet1!$B:$B,[1]Sheet1!$O:$O,0)</f>
        <v>0</v>
      </c>
      <c r="M702" s="12">
        <f>_xlfn.XLOOKUP(B702,[1]Sheet1!$B:$B,[1]Sheet1!$P:$P,0)</f>
        <v>0</v>
      </c>
      <c r="N702" s="12">
        <f>_xlfn.XLOOKUP(B702,[1]Sheet1!$B:$B,[1]Sheet1!$Q:$Q,0)</f>
        <v>0</v>
      </c>
      <c r="O702" s="12">
        <f>_xlfn.XLOOKUP(B702,[1]Sheet1!$B:$B,[1]Sheet1!$R:$R,0)</f>
        <v>0</v>
      </c>
      <c r="P702" s="12">
        <f>_xlfn.XLOOKUP(B702,[1]Sheet1!$B:$B,[1]Sheet1!$S:$S,0)</f>
        <v>0</v>
      </c>
      <c r="Q702" s="12">
        <f>_xlfn.XLOOKUP(B702,[1]Sheet1!$B:$B,[1]Sheet1!$T:$T,0)</f>
        <v>0</v>
      </c>
      <c r="R702" s="12">
        <f>_xlfn.XLOOKUP(B702,[1]Sheet1!$B:$B,[1]Sheet1!$U:$U,0)</f>
        <v>0</v>
      </c>
      <c r="S702" s="12">
        <f>_xlfn.XLOOKUP(B702,[1]Sheet1!$B:$B,[1]Sheet1!$V:$V,0)</f>
        <v>0</v>
      </c>
      <c r="T702" s="12">
        <f>_xlfn.XLOOKUP(B702,[1]Sheet1!$B:$B,[1]Sheet1!$W:$W,0)</f>
        <v>0</v>
      </c>
      <c r="U702" s="12">
        <f>_xlfn.XLOOKUP(B702,[1]Sheet1!$B:$B,[1]Sheet1!$X:$X,0)</f>
        <v>455000</v>
      </c>
      <c r="V702" s="12">
        <f>_xlfn.XLOOKUP(B702,[1]Sheet1!$B:$B,[1]Sheet1!$Y:$Y,0)</f>
        <v>0</v>
      </c>
      <c r="W702" s="12">
        <f t="shared" si="23"/>
        <v>455000</v>
      </c>
      <c r="X702" s="6" t="s">
        <v>478</v>
      </c>
      <c r="Y702" s="6" t="s">
        <v>132</v>
      </c>
      <c r="Z702" s="6" t="s">
        <v>479</v>
      </c>
      <c r="AA702" s="6" t="s">
        <v>481</v>
      </c>
      <c r="AB702" s="6" t="s">
        <v>36</v>
      </c>
      <c r="AC702" s="6" t="s">
        <v>37</v>
      </c>
      <c r="AD702" s="6" t="s">
        <v>482</v>
      </c>
      <c r="AE702" s="6" t="s">
        <v>39</v>
      </c>
      <c r="AF702" s="6" t="s">
        <v>40</v>
      </c>
      <c r="AG702" s="7">
        <v>455000</v>
      </c>
      <c r="AH702" s="11">
        <f>_xlfn.XLOOKUP(B702,[1]Sheet1!$B:$B,[1]Sheet1!$AB:$AB,0)</f>
        <v>455000</v>
      </c>
    </row>
    <row r="703" spans="2:34" ht="16.8" thickTop="1" thickBot="1" x14ac:dyDescent="0.35">
      <c r="B703" s="3" t="str">
        <f t="shared" si="22"/>
        <v>45102504511000871Network Service-N422214200104</v>
      </c>
      <c r="C703" s="8" t="s">
        <v>480</v>
      </c>
      <c r="D703" s="8" t="s">
        <v>1151</v>
      </c>
      <c r="E703" s="8" t="s">
        <v>1152</v>
      </c>
      <c r="F703" s="8" t="s">
        <v>1154</v>
      </c>
      <c r="G703" s="4" t="s">
        <v>2865</v>
      </c>
      <c r="H703" s="4" t="s">
        <v>2922</v>
      </c>
      <c r="I703" s="8" t="s">
        <v>1155</v>
      </c>
      <c r="J703" s="8" t="s">
        <v>31</v>
      </c>
      <c r="K703" s="12">
        <f>_xlfn.XLOOKUP(B703,[1]Sheet1!$B:$B,[1]Sheet1!$N:$N,0)</f>
        <v>0</v>
      </c>
      <c r="L703" s="12">
        <f>_xlfn.XLOOKUP(B703,[1]Sheet1!$B:$B,[1]Sheet1!$O:$O,0)</f>
        <v>0</v>
      </c>
      <c r="M703" s="12">
        <f>_xlfn.XLOOKUP(B703,[1]Sheet1!$B:$B,[1]Sheet1!$P:$P,0)</f>
        <v>0</v>
      </c>
      <c r="N703" s="12">
        <f>_xlfn.XLOOKUP(B703,[1]Sheet1!$B:$B,[1]Sheet1!$Q:$Q,0)</f>
        <v>0</v>
      </c>
      <c r="O703" s="12">
        <f>_xlfn.XLOOKUP(B703,[1]Sheet1!$B:$B,[1]Sheet1!$R:$R,0)</f>
        <v>200000</v>
      </c>
      <c r="P703" s="12">
        <f>_xlfn.XLOOKUP(B703,[1]Sheet1!$B:$B,[1]Sheet1!$S:$S,0)</f>
        <v>0</v>
      </c>
      <c r="Q703" s="12">
        <f>_xlfn.XLOOKUP(B703,[1]Sheet1!$B:$B,[1]Sheet1!$T:$T,0)</f>
        <v>0</v>
      </c>
      <c r="R703" s="12">
        <f>_xlfn.XLOOKUP(B703,[1]Sheet1!$B:$B,[1]Sheet1!$U:$U,0)</f>
        <v>0</v>
      </c>
      <c r="S703" s="12">
        <f>_xlfn.XLOOKUP(B703,[1]Sheet1!$B:$B,[1]Sheet1!$V:$V,0)</f>
        <v>0</v>
      </c>
      <c r="T703" s="12">
        <f>_xlfn.XLOOKUP(B703,[1]Sheet1!$B:$B,[1]Sheet1!$W:$W,0)</f>
        <v>0</v>
      </c>
      <c r="U703" s="12">
        <f>_xlfn.XLOOKUP(B703,[1]Sheet1!$B:$B,[1]Sheet1!$X:$X,0)</f>
        <v>0</v>
      </c>
      <c r="V703" s="12">
        <f>_xlfn.XLOOKUP(B703,[1]Sheet1!$B:$B,[1]Sheet1!$Y:$Y,0)</f>
        <v>0</v>
      </c>
      <c r="W703" s="12">
        <f t="shared" si="23"/>
        <v>200000</v>
      </c>
      <c r="X703" s="8" t="s">
        <v>1156</v>
      </c>
      <c r="Y703" s="8" t="s">
        <v>132</v>
      </c>
      <c r="Z703" s="8" t="s">
        <v>479</v>
      </c>
      <c r="AA703" s="8" t="s">
        <v>1157</v>
      </c>
      <c r="AB703" s="8" t="s">
        <v>36</v>
      </c>
      <c r="AC703" s="8" t="s">
        <v>37</v>
      </c>
      <c r="AD703" s="8" t="s">
        <v>482</v>
      </c>
      <c r="AE703" s="8" t="s">
        <v>39</v>
      </c>
      <c r="AF703" s="8" t="s">
        <v>40</v>
      </c>
      <c r="AG703" s="9">
        <v>200000</v>
      </c>
      <c r="AH703" s="11">
        <f>_xlfn.XLOOKUP(B703,[1]Sheet1!$B:$B,[1]Sheet1!$AB:$AB,0)</f>
        <v>200000</v>
      </c>
    </row>
    <row r="704" spans="2:34" ht="16.8" thickTop="1" thickBot="1" x14ac:dyDescent="0.35">
      <c r="B704" s="3" t="str">
        <f t="shared" si="22"/>
        <v>45102504511000871Peripherals-NC1491320300105</v>
      </c>
      <c r="C704" s="6" t="s">
        <v>480</v>
      </c>
      <c r="D704" s="6" t="s">
        <v>1151</v>
      </c>
      <c r="E704" s="6" t="s">
        <v>1152</v>
      </c>
      <c r="F704" s="6" t="s">
        <v>1158</v>
      </c>
      <c r="G704" s="4" t="s">
        <v>2866</v>
      </c>
      <c r="H704" s="4" t="s">
        <v>2923</v>
      </c>
      <c r="I704" s="6" t="s">
        <v>1159</v>
      </c>
      <c r="J704" s="6" t="s">
        <v>31</v>
      </c>
      <c r="K704" s="12">
        <f>_xlfn.XLOOKUP(B704,[1]Sheet1!$B:$B,[1]Sheet1!$N:$N,0)</f>
        <v>0</v>
      </c>
      <c r="L704" s="12">
        <f>_xlfn.XLOOKUP(B704,[1]Sheet1!$B:$B,[1]Sheet1!$O:$O,0)</f>
        <v>0</v>
      </c>
      <c r="M704" s="12">
        <f>_xlfn.XLOOKUP(B704,[1]Sheet1!$B:$B,[1]Sheet1!$P:$P,0)</f>
        <v>0</v>
      </c>
      <c r="N704" s="12">
        <f>_xlfn.XLOOKUP(B704,[1]Sheet1!$B:$B,[1]Sheet1!$Q:$Q,0)</f>
        <v>0</v>
      </c>
      <c r="O704" s="12">
        <f>_xlfn.XLOOKUP(B704,[1]Sheet1!$B:$B,[1]Sheet1!$R:$R,0)</f>
        <v>0</v>
      </c>
      <c r="P704" s="12">
        <f>_xlfn.XLOOKUP(B704,[1]Sheet1!$B:$B,[1]Sheet1!$S:$S,0)</f>
        <v>0</v>
      </c>
      <c r="Q704" s="12">
        <f>_xlfn.XLOOKUP(B704,[1]Sheet1!$B:$B,[1]Sheet1!$T:$T,0)</f>
        <v>0</v>
      </c>
      <c r="R704" s="12">
        <f>_xlfn.XLOOKUP(B704,[1]Sheet1!$B:$B,[1]Sheet1!$U:$U,0)</f>
        <v>0</v>
      </c>
      <c r="S704" s="12">
        <f>_xlfn.XLOOKUP(B704,[1]Sheet1!$B:$B,[1]Sheet1!$V:$V,0)</f>
        <v>0</v>
      </c>
      <c r="T704" s="12">
        <f>_xlfn.XLOOKUP(B704,[1]Sheet1!$B:$B,[1]Sheet1!$W:$W,0)</f>
        <v>0</v>
      </c>
      <c r="U704" s="12">
        <f>_xlfn.XLOOKUP(B704,[1]Sheet1!$B:$B,[1]Sheet1!$X:$X,0)</f>
        <v>90100</v>
      </c>
      <c r="V704" s="12">
        <f>_xlfn.XLOOKUP(B704,[1]Sheet1!$B:$B,[1]Sheet1!$Y:$Y,0)</f>
        <v>0</v>
      </c>
      <c r="W704" s="12">
        <f t="shared" si="23"/>
        <v>90100</v>
      </c>
      <c r="X704" s="6" t="s">
        <v>1160</v>
      </c>
      <c r="Y704" s="6" t="s">
        <v>132</v>
      </c>
      <c r="Z704" s="6" t="s">
        <v>479</v>
      </c>
      <c r="AA704" s="6" t="s">
        <v>1159</v>
      </c>
      <c r="AB704" s="6" t="s">
        <v>93</v>
      </c>
      <c r="AC704" s="6" t="s">
        <v>94</v>
      </c>
      <c r="AD704" s="6" t="s">
        <v>482</v>
      </c>
      <c r="AE704" s="6" t="s">
        <v>39</v>
      </c>
      <c r="AF704" s="6" t="s">
        <v>40</v>
      </c>
      <c r="AG704" s="7">
        <v>90100</v>
      </c>
      <c r="AH704" s="11">
        <f>_xlfn.XLOOKUP(B704,[1]Sheet1!$B:$B,[1]Sheet1!$AB:$AB,0)</f>
        <v>90100</v>
      </c>
    </row>
    <row r="705" spans="2:34" ht="16.8" thickTop="1" thickBot="1" x14ac:dyDescent="0.35">
      <c r="B705" s="3" t="str">
        <f t="shared" si="22"/>
        <v>45102504511000871System Licenses-N425252200104</v>
      </c>
      <c r="C705" s="8" t="s">
        <v>480</v>
      </c>
      <c r="D705" s="8" t="s">
        <v>1151</v>
      </c>
      <c r="E705" s="8" t="s">
        <v>1152</v>
      </c>
      <c r="F705" s="8" t="s">
        <v>180</v>
      </c>
      <c r="G705" s="4" t="s">
        <v>2821</v>
      </c>
      <c r="H705" s="4" t="s">
        <v>2922</v>
      </c>
      <c r="I705" s="8" t="s">
        <v>181</v>
      </c>
      <c r="J705" s="8" t="s">
        <v>31</v>
      </c>
      <c r="K705" s="12">
        <f>_xlfn.XLOOKUP(B705,[1]Sheet1!$B:$B,[1]Sheet1!$N:$N,0)</f>
        <v>0</v>
      </c>
      <c r="L705" s="12">
        <f>_xlfn.XLOOKUP(B705,[1]Sheet1!$B:$B,[1]Sheet1!$O:$O,0)</f>
        <v>0</v>
      </c>
      <c r="M705" s="12">
        <f>_xlfn.XLOOKUP(B705,[1]Sheet1!$B:$B,[1]Sheet1!$P:$P,0)</f>
        <v>0</v>
      </c>
      <c r="N705" s="12">
        <f>_xlfn.XLOOKUP(B705,[1]Sheet1!$B:$B,[1]Sheet1!$Q:$Q,0)</f>
        <v>0</v>
      </c>
      <c r="O705" s="12">
        <f>_xlfn.XLOOKUP(B705,[1]Sheet1!$B:$B,[1]Sheet1!$R:$R,0)</f>
        <v>0</v>
      </c>
      <c r="P705" s="12">
        <f>_xlfn.XLOOKUP(B705,[1]Sheet1!$B:$B,[1]Sheet1!$S:$S,0)</f>
        <v>0</v>
      </c>
      <c r="Q705" s="12">
        <f>_xlfn.XLOOKUP(B705,[1]Sheet1!$B:$B,[1]Sheet1!$T:$T,0)</f>
        <v>209199</v>
      </c>
      <c r="R705" s="12">
        <f>_xlfn.XLOOKUP(B705,[1]Sheet1!$B:$B,[1]Sheet1!$U:$U,0)</f>
        <v>0</v>
      </c>
      <c r="S705" s="12">
        <f>_xlfn.XLOOKUP(B705,[1]Sheet1!$B:$B,[1]Sheet1!$V:$V,0)</f>
        <v>0</v>
      </c>
      <c r="T705" s="12">
        <f>_xlfn.XLOOKUP(B705,[1]Sheet1!$B:$B,[1]Sheet1!$W:$W,0)</f>
        <v>0</v>
      </c>
      <c r="U705" s="12">
        <f>_xlfn.XLOOKUP(B705,[1]Sheet1!$B:$B,[1]Sheet1!$X:$X,0)</f>
        <v>0</v>
      </c>
      <c r="V705" s="12">
        <f>_xlfn.XLOOKUP(B705,[1]Sheet1!$B:$B,[1]Sheet1!$Y:$Y,0)</f>
        <v>0</v>
      </c>
      <c r="W705" s="12">
        <f t="shared" si="23"/>
        <v>209199</v>
      </c>
      <c r="X705" s="8" t="s">
        <v>487</v>
      </c>
      <c r="Y705" s="8" t="s">
        <v>132</v>
      </c>
      <c r="Z705" s="8" t="s">
        <v>479</v>
      </c>
      <c r="AA705" s="8" t="s">
        <v>183</v>
      </c>
      <c r="AB705" s="8" t="s">
        <v>36</v>
      </c>
      <c r="AC705" s="8" t="s">
        <v>37</v>
      </c>
      <c r="AD705" s="8" t="s">
        <v>482</v>
      </c>
      <c r="AE705" s="8" t="s">
        <v>39</v>
      </c>
      <c r="AF705" s="8" t="s">
        <v>40</v>
      </c>
      <c r="AG705" s="9">
        <v>209199</v>
      </c>
      <c r="AH705" s="11">
        <f>_xlfn.XLOOKUP(B705,[1]Sheet1!$B:$B,[1]Sheet1!$AB:$AB,0)</f>
        <v>209199</v>
      </c>
    </row>
    <row r="706" spans="2:34" ht="16.8" thickTop="1" thickBot="1" x14ac:dyDescent="0.35">
      <c r="B706" s="3" t="str">
        <f t="shared" si="22"/>
        <v>45102504511000871System Maintain-N1422212200104</v>
      </c>
      <c r="C706" s="6" t="s">
        <v>480</v>
      </c>
      <c r="D706" s="6" t="s">
        <v>1151</v>
      </c>
      <c r="E706" s="6" t="s">
        <v>1152</v>
      </c>
      <c r="F706" s="6" t="s">
        <v>1067</v>
      </c>
      <c r="G706" s="4" t="s">
        <v>2845</v>
      </c>
      <c r="H706" s="4" t="s">
        <v>2922</v>
      </c>
      <c r="I706" s="6" t="s">
        <v>477</v>
      </c>
      <c r="J706" s="6" t="s">
        <v>31</v>
      </c>
      <c r="K706" s="12">
        <f>_xlfn.XLOOKUP(B706,[1]Sheet1!$B:$B,[1]Sheet1!$N:$N,0)</f>
        <v>0</v>
      </c>
      <c r="L706" s="12">
        <f>_xlfn.XLOOKUP(B706,[1]Sheet1!$B:$B,[1]Sheet1!$O:$O,0)</f>
        <v>0</v>
      </c>
      <c r="M706" s="12">
        <f>_xlfn.XLOOKUP(B706,[1]Sheet1!$B:$B,[1]Sheet1!$P:$P,0)</f>
        <v>0</v>
      </c>
      <c r="N706" s="12">
        <f>_xlfn.XLOOKUP(B706,[1]Sheet1!$B:$B,[1]Sheet1!$Q:$Q,0)</f>
        <v>59745.84</v>
      </c>
      <c r="O706" s="12">
        <f>_xlfn.XLOOKUP(B706,[1]Sheet1!$B:$B,[1]Sheet1!$R:$R,0)</f>
        <v>22672.92</v>
      </c>
      <c r="P706" s="12">
        <f>_xlfn.XLOOKUP(B706,[1]Sheet1!$B:$B,[1]Sheet1!$S:$S,0)</f>
        <v>115282.92</v>
      </c>
      <c r="Q706" s="12">
        <f>_xlfn.XLOOKUP(B706,[1]Sheet1!$B:$B,[1]Sheet1!$T:$T,0)</f>
        <v>61672.92</v>
      </c>
      <c r="R706" s="12">
        <f>_xlfn.XLOOKUP(B706,[1]Sheet1!$B:$B,[1]Sheet1!$U:$U,0)</f>
        <v>14400</v>
      </c>
      <c r="S706" s="12">
        <f>_xlfn.XLOOKUP(B706,[1]Sheet1!$B:$B,[1]Sheet1!$V:$V,0)</f>
        <v>60705</v>
      </c>
      <c r="T706" s="12">
        <f>_xlfn.XLOOKUP(B706,[1]Sheet1!$B:$B,[1]Sheet1!$W:$W,0)</f>
        <v>889996</v>
      </c>
      <c r="U706" s="12">
        <f>_xlfn.XLOOKUP(B706,[1]Sheet1!$B:$B,[1]Sheet1!$X:$X,0)</f>
        <v>370640.4</v>
      </c>
      <c r="V706" s="12">
        <f>_xlfn.XLOOKUP(B706,[1]Sheet1!$B:$B,[1]Sheet1!$Y:$Y,0)</f>
        <v>0</v>
      </c>
      <c r="W706" s="12">
        <f t="shared" si="23"/>
        <v>1595116</v>
      </c>
      <c r="X706" s="6" t="s">
        <v>478</v>
      </c>
      <c r="Y706" s="6" t="s">
        <v>132</v>
      </c>
      <c r="Z706" s="6" t="s">
        <v>479</v>
      </c>
      <c r="AA706" s="6" t="s">
        <v>481</v>
      </c>
      <c r="AB706" s="6" t="s">
        <v>36</v>
      </c>
      <c r="AC706" s="6" t="s">
        <v>37</v>
      </c>
      <c r="AD706" s="6" t="s">
        <v>482</v>
      </c>
      <c r="AE706" s="6" t="s">
        <v>39</v>
      </c>
      <c r="AF706" s="6" t="s">
        <v>40</v>
      </c>
      <c r="AG706" s="7">
        <v>1595116</v>
      </c>
      <c r="AH706" s="11">
        <f>_xlfn.XLOOKUP(B706,[1]Sheet1!$B:$B,[1]Sheet1!$AB:$AB,0)</f>
        <v>1595116</v>
      </c>
    </row>
    <row r="707" spans="2:34" ht="16.8" thickTop="1" thickBot="1" x14ac:dyDescent="0.35">
      <c r="B707" s="3" t="str">
        <f t="shared" si="22"/>
        <v>45102504511000871Systems Develop-NC493140300105</v>
      </c>
      <c r="C707" s="8" t="s">
        <v>480</v>
      </c>
      <c r="D707" s="8" t="s">
        <v>1151</v>
      </c>
      <c r="E707" s="8" t="s">
        <v>1152</v>
      </c>
      <c r="F707" s="8" t="s">
        <v>184</v>
      </c>
      <c r="G707" s="4" t="s">
        <v>2822</v>
      </c>
      <c r="H707" s="4" t="s">
        <v>2923</v>
      </c>
      <c r="I707" s="8" t="s">
        <v>185</v>
      </c>
      <c r="J707" s="8" t="s">
        <v>31</v>
      </c>
      <c r="K707" s="12">
        <f>_xlfn.XLOOKUP(B707,[1]Sheet1!$B:$B,[1]Sheet1!$N:$N,0)</f>
        <v>0</v>
      </c>
      <c r="L707" s="12">
        <f>_xlfn.XLOOKUP(B707,[1]Sheet1!$B:$B,[1]Sheet1!$O:$O,0)</f>
        <v>0</v>
      </c>
      <c r="M707" s="12">
        <f>_xlfn.XLOOKUP(B707,[1]Sheet1!$B:$B,[1]Sheet1!$P:$P,0)</f>
        <v>0</v>
      </c>
      <c r="N707" s="12">
        <f>_xlfn.XLOOKUP(B707,[1]Sheet1!$B:$B,[1]Sheet1!$Q:$Q,0)</f>
        <v>0</v>
      </c>
      <c r="O707" s="12">
        <f>_xlfn.XLOOKUP(B707,[1]Sheet1!$B:$B,[1]Sheet1!$R:$R,0)</f>
        <v>0</v>
      </c>
      <c r="P707" s="12">
        <f>_xlfn.XLOOKUP(B707,[1]Sheet1!$B:$B,[1]Sheet1!$S:$S,0)</f>
        <v>0</v>
      </c>
      <c r="Q707" s="12">
        <f>_xlfn.XLOOKUP(B707,[1]Sheet1!$B:$B,[1]Sheet1!$T:$T,0)</f>
        <v>0</v>
      </c>
      <c r="R707" s="12">
        <f>_xlfn.XLOOKUP(B707,[1]Sheet1!$B:$B,[1]Sheet1!$U:$U,0)</f>
        <v>0</v>
      </c>
      <c r="S707" s="12">
        <f>_xlfn.XLOOKUP(B707,[1]Sheet1!$B:$B,[1]Sheet1!$V:$V,0)</f>
        <v>0</v>
      </c>
      <c r="T707" s="12">
        <f>_xlfn.XLOOKUP(B707,[1]Sheet1!$B:$B,[1]Sheet1!$W:$W,0)</f>
        <v>2826080</v>
      </c>
      <c r="U707" s="12">
        <f>_xlfn.XLOOKUP(B707,[1]Sheet1!$B:$B,[1]Sheet1!$X:$X,0)</f>
        <v>0</v>
      </c>
      <c r="V707" s="12">
        <f>_xlfn.XLOOKUP(B707,[1]Sheet1!$B:$B,[1]Sheet1!$Y:$Y,0)</f>
        <v>0</v>
      </c>
      <c r="W707" s="12">
        <f t="shared" si="23"/>
        <v>2826080</v>
      </c>
      <c r="X707" s="8" t="s">
        <v>1070</v>
      </c>
      <c r="Y707" s="8" t="s">
        <v>132</v>
      </c>
      <c r="Z707" s="8" t="s">
        <v>479</v>
      </c>
      <c r="AA707" s="8" t="s">
        <v>185</v>
      </c>
      <c r="AB707" s="8" t="s">
        <v>93</v>
      </c>
      <c r="AC707" s="8" t="s">
        <v>94</v>
      </c>
      <c r="AD707" s="8" t="s">
        <v>482</v>
      </c>
      <c r="AE707" s="8" t="s">
        <v>39</v>
      </c>
      <c r="AF707" s="8" t="s">
        <v>40</v>
      </c>
      <c r="AG707" s="9">
        <v>2326080</v>
      </c>
      <c r="AH707" s="11">
        <f>_xlfn.XLOOKUP(B707,[1]Sheet1!$B:$B,[1]Sheet1!$AB:$AB,0)</f>
        <v>2326080</v>
      </c>
    </row>
    <row r="708" spans="2:34" ht="16.8" thickTop="1" thickBot="1" x14ac:dyDescent="0.35">
      <c r="B708" s="3" t="str">
        <f t="shared" ref="B708:B771" si="24">C708&amp;D708&amp;F708&amp;G708&amp;H708</f>
        <v>45102504511000871Website Support-N422212200104</v>
      </c>
      <c r="C708" s="6" t="s">
        <v>480</v>
      </c>
      <c r="D708" s="6" t="s">
        <v>1151</v>
      </c>
      <c r="E708" s="6" t="s">
        <v>1152</v>
      </c>
      <c r="F708" s="6" t="s">
        <v>1161</v>
      </c>
      <c r="G708" s="4" t="s">
        <v>2845</v>
      </c>
      <c r="H708" s="4" t="s">
        <v>2922</v>
      </c>
      <c r="I708" s="6" t="s">
        <v>477</v>
      </c>
      <c r="J708" s="6" t="s">
        <v>31</v>
      </c>
      <c r="K708" s="12">
        <f>_xlfn.XLOOKUP(B708,[1]Sheet1!$B:$B,[1]Sheet1!$N:$N,0)</f>
        <v>0</v>
      </c>
      <c r="L708" s="12">
        <f>_xlfn.XLOOKUP(B708,[1]Sheet1!$B:$B,[1]Sheet1!$O:$O,0)</f>
        <v>0</v>
      </c>
      <c r="M708" s="12">
        <f>_xlfn.XLOOKUP(B708,[1]Sheet1!$B:$B,[1]Sheet1!$P:$P,0)</f>
        <v>0</v>
      </c>
      <c r="N708" s="12">
        <f>_xlfn.XLOOKUP(B708,[1]Sheet1!$B:$B,[1]Sheet1!$Q:$Q,0)</f>
        <v>0</v>
      </c>
      <c r="O708" s="12">
        <f>_xlfn.XLOOKUP(B708,[1]Sheet1!$B:$B,[1]Sheet1!$R:$R,0)</f>
        <v>0</v>
      </c>
      <c r="P708" s="12">
        <f>_xlfn.XLOOKUP(B708,[1]Sheet1!$B:$B,[1]Sheet1!$S:$S,0)</f>
        <v>0</v>
      </c>
      <c r="Q708" s="12">
        <f>_xlfn.XLOOKUP(B708,[1]Sheet1!$B:$B,[1]Sheet1!$T:$T,0)</f>
        <v>55590</v>
      </c>
      <c r="R708" s="12">
        <f>_xlfn.XLOOKUP(B708,[1]Sheet1!$B:$B,[1]Sheet1!$U:$U,0)</f>
        <v>0</v>
      </c>
      <c r="S708" s="12">
        <f>_xlfn.XLOOKUP(B708,[1]Sheet1!$B:$B,[1]Sheet1!$V:$V,0)</f>
        <v>0</v>
      </c>
      <c r="T708" s="12">
        <f>_xlfn.XLOOKUP(B708,[1]Sheet1!$B:$B,[1]Sheet1!$W:$W,0)</f>
        <v>0</v>
      </c>
      <c r="U708" s="12">
        <f>_xlfn.XLOOKUP(B708,[1]Sheet1!$B:$B,[1]Sheet1!$X:$X,0)</f>
        <v>1017110</v>
      </c>
      <c r="V708" s="12">
        <f>_xlfn.XLOOKUP(B708,[1]Sheet1!$B:$B,[1]Sheet1!$Y:$Y,0)</f>
        <v>0</v>
      </c>
      <c r="W708" s="12">
        <f t="shared" ref="W708:W771" si="25">SUM(K708:V708)</f>
        <v>1072700</v>
      </c>
      <c r="X708" s="6" t="s">
        <v>478</v>
      </c>
      <c r="Y708" s="6" t="s">
        <v>132</v>
      </c>
      <c r="Z708" s="6" t="s">
        <v>479</v>
      </c>
      <c r="AA708" s="6" t="s">
        <v>481</v>
      </c>
      <c r="AB708" s="6" t="s">
        <v>36</v>
      </c>
      <c r="AC708" s="6" t="s">
        <v>37</v>
      </c>
      <c r="AD708" s="6" t="s">
        <v>482</v>
      </c>
      <c r="AE708" s="6" t="s">
        <v>39</v>
      </c>
      <c r="AF708" s="6" t="s">
        <v>40</v>
      </c>
      <c r="AG708" s="7">
        <v>1072700</v>
      </c>
      <c r="AH708" s="11">
        <f>_xlfn.XLOOKUP(B708,[1]Sheet1!$B:$B,[1]Sheet1!$AB:$AB,0)</f>
        <v>1072700</v>
      </c>
    </row>
    <row r="709" spans="2:34" ht="16.8" thickTop="1" thickBot="1" x14ac:dyDescent="0.35">
      <c r="B709" s="3" t="str">
        <f t="shared" si="24"/>
        <v>45102504511000872System Licenses-N425252200104</v>
      </c>
      <c r="C709" s="8" t="s">
        <v>480</v>
      </c>
      <c r="D709" s="8" t="s">
        <v>1162</v>
      </c>
      <c r="E709" s="8" t="s">
        <v>1163</v>
      </c>
      <c r="F709" s="8" t="s">
        <v>180</v>
      </c>
      <c r="G709" s="4" t="s">
        <v>2821</v>
      </c>
      <c r="H709" s="4" t="s">
        <v>2922</v>
      </c>
      <c r="I709" s="8" t="s">
        <v>181</v>
      </c>
      <c r="J709" s="8" t="s">
        <v>31</v>
      </c>
      <c r="K709" s="12">
        <f>_xlfn.XLOOKUP(B709,[1]Sheet1!$B:$B,[1]Sheet1!$N:$N,0)</f>
        <v>0</v>
      </c>
      <c r="L709" s="12">
        <f>_xlfn.XLOOKUP(B709,[1]Sheet1!$B:$B,[1]Sheet1!$O:$O,0)</f>
        <v>0</v>
      </c>
      <c r="M709" s="12">
        <f>_xlfn.XLOOKUP(B709,[1]Sheet1!$B:$B,[1]Sheet1!$P:$P,0)</f>
        <v>0</v>
      </c>
      <c r="N709" s="12">
        <f>_xlfn.XLOOKUP(B709,[1]Sheet1!$B:$B,[1]Sheet1!$Q:$Q,0)</f>
        <v>693000</v>
      </c>
      <c r="O709" s="12">
        <f>_xlfn.XLOOKUP(B709,[1]Sheet1!$B:$B,[1]Sheet1!$R:$R,0)</f>
        <v>0</v>
      </c>
      <c r="P709" s="12">
        <f>_xlfn.XLOOKUP(B709,[1]Sheet1!$B:$B,[1]Sheet1!$S:$S,0)</f>
        <v>2825</v>
      </c>
      <c r="Q709" s="12">
        <f>_xlfn.XLOOKUP(B709,[1]Sheet1!$B:$B,[1]Sheet1!$T:$T,0)</f>
        <v>40000</v>
      </c>
      <c r="R709" s="12">
        <f>_xlfn.XLOOKUP(B709,[1]Sheet1!$B:$B,[1]Sheet1!$U:$U,0)</f>
        <v>0</v>
      </c>
      <c r="S709" s="12">
        <f>_xlfn.XLOOKUP(B709,[1]Sheet1!$B:$B,[1]Sheet1!$V:$V,0)</f>
        <v>0</v>
      </c>
      <c r="T709" s="12">
        <f>_xlfn.XLOOKUP(B709,[1]Sheet1!$B:$B,[1]Sheet1!$W:$W,0)</f>
        <v>0</v>
      </c>
      <c r="U709" s="12">
        <f>_xlfn.XLOOKUP(B709,[1]Sheet1!$B:$B,[1]Sheet1!$X:$X,0)</f>
        <v>392266</v>
      </c>
      <c r="V709" s="12">
        <f>_xlfn.XLOOKUP(B709,[1]Sheet1!$B:$B,[1]Sheet1!$Y:$Y,0)</f>
        <v>0</v>
      </c>
      <c r="W709" s="12">
        <f t="shared" si="25"/>
        <v>1128091</v>
      </c>
      <c r="X709" s="8" t="s">
        <v>487</v>
      </c>
      <c r="Y709" s="8" t="s">
        <v>132</v>
      </c>
      <c r="Z709" s="8" t="s">
        <v>479</v>
      </c>
      <c r="AA709" s="8" t="s">
        <v>183</v>
      </c>
      <c r="AB709" s="8" t="s">
        <v>36</v>
      </c>
      <c r="AC709" s="8" t="s">
        <v>37</v>
      </c>
      <c r="AD709" s="8" t="s">
        <v>482</v>
      </c>
      <c r="AE709" s="8" t="s">
        <v>39</v>
      </c>
      <c r="AF709" s="8" t="s">
        <v>40</v>
      </c>
      <c r="AG709" s="9">
        <v>1128091</v>
      </c>
      <c r="AH709" s="11">
        <f>_xlfn.XLOOKUP(B709,[1]Sheet1!$B:$B,[1]Sheet1!$AB:$AB,0)</f>
        <v>1128091</v>
      </c>
    </row>
    <row r="710" spans="2:34" ht="16.8" thickTop="1" thickBot="1" x14ac:dyDescent="0.35">
      <c r="B710" s="3" t="str">
        <f t="shared" si="24"/>
        <v>45102504511000872System Maintain-N1422212200104</v>
      </c>
      <c r="C710" s="6" t="s">
        <v>480</v>
      </c>
      <c r="D710" s="6" t="s">
        <v>1162</v>
      </c>
      <c r="E710" s="6" t="s">
        <v>1163</v>
      </c>
      <c r="F710" s="6" t="s">
        <v>1067</v>
      </c>
      <c r="G710" s="4" t="s">
        <v>2845</v>
      </c>
      <c r="H710" s="4" t="s">
        <v>2922</v>
      </c>
      <c r="I710" s="6" t="s">
        <v>477</v>
      </c>
      <c r="J710" s="6" t="s">
        <v>31</v>
      </c>
      <c r="K710" s="12">
        <f>_xlfn.XLOOKUP(B710,[1]Sheet1!$B:$B,[1]Sheet1!$N:$N,0)</f>
        <v>0</v>
      </c>
      <c r="L710" s="12">
        <f>_xlfn.XLOOKUP(B710,[1]Sheet1!$B:$B,[1]Sheet1!$O:$O,0)</f>
        <v>0</v>
      </c>
      <c r="M710" s="12">
        <f>_xlfn.XLOOKUP(B710,[1]Sheet1!$B:$B,[1]Sheet1!$P:$P,0)</f>
        <v>0</v>
      </c>
      <c r="N710" s="12">
        <f>_xlfn.XLOOKUP(B710,[1]Sheet1!$B:$B,[1]Sheet1!$Q:$Q,0)</f>
        <v>396293.95</v>
      </c>
      <c r="O710" s="12">
        <f>_xlfn.XLOOKUP(B710,[1]Sheet1!$B:$B,[1]Sheet1!$R:$R,0)</f>
        <v>11500</v>
      </c>
      <c r="P710" s="12">
        <f>_xlfn.XLOOKUP(B710,[1]Sheet1!$B:$B,[1]Sheet1!$S:$S,0)</f>
        <v>538670</v>
      </c>
      <c r="Q710" s="12">
        <f>_xlfn.XLOOKUP(B710,[1]Sheet1!$B:$B,[1]Sheet1!$T:$T,0)</f>
        <v>186646.95</v>
      </c>
      <c r="R710" s="12">
        <f>_xlfn.XLOOKUP(B710,[1]Sheet1!$B:$B,[1]Sheet1!$U:$U,0)</f>
        <v>11500</v>
      </c>
      <c r="S710" s="12">
        <f>_xlfn.XLOOKUP(B710,[1]Sheet1!$B:$B,[1]Sheet1!$V:$V,0)</f>
        <v>11500</v>
      </c>
      <c r="T710" s="12">
        <f>_xlfn.XLOOKUP(B710,[1]Sheet1!$B:$B,[1]Sheet1!$W:$W,0)</f>
        <v>516746.95</v>
      </c>
      <c r="U710" s="12">
        <f>_xlfn.XLOOKUP(B710,[1]Sheet1!$B:$B,[1]Sheet1!$X:$X,0)</f>
        <v>138540</v>
      </c>
      <c r="V710" s="12">
        <f>_xlfn.XLOOKUP(B710,[1]Sheet1!$B:$B,[1]Sheet1!$Y:$Y,0)</f>
        <v>186646.95</v>
      </c>
      <c r="W710" s="12">
        <f t="shared" si="25"/>
        <v>1998044.7999999998</v>
      </c>
      <c r="X710" s="6" t="s">
        <v>478</v>
      </c>
      <c r="Y710" s="6" t="s">
        <v>132</v>
      </c>
      <c r="Z710" s="6" t="s">
        <v>479</v>
      </c>
      <c r="AA710" s="6" t="s">
        <v>481</v>
      </c>
      <c r="AB710" s="6" t="s">
        <v>36</v>
      </c>
      <c r="AC710" s="6" t="s">
        <v>37</v>
      </c>
      <c r="AD710" s="6" t="s">
        <v>482</v>
      </c>
      <c r="AE710" s="6" t="s">
        <v>39</v>
      </c>
      <c r="AF710" s="6" t="s">
        <v>40</v>
      </c>
      <c r="AG710" s="7">
        <v>1910875</v>
      </c>
      <c r="AH710" s="11">
        <f>_xlfn.XLOOKUP(B710,[1]Sheet1!$B:$B,[1]Sheet1!$AB:$AB,0)</f>
        <v>1910874.7999999998</v>
      </c>
    </row>
    <row r="711" spans="2:34" ht="16.8" thickTop="1" thickBot="1" x14ac:dyDescent="0.35">
      <c r="B711" s="3" t="str">
        <f t="shared" si="24"/>
        <v>45102504511000872Systems Develop-NC493140300105</v>
      </c>
      <c r="C711" s="8" t="s">
        <v>480</v>
      </c>
      <c r="D711" s="8" t="s">
        <v>1162</v>
      </c>
      <c r="E711" s="8" t="s">
        <v>1163</v>
      </c>
      <c r="F711" s="8" t="s">
        <v>184</v>
      </c>
      <c r="G711" s="4" t="s">
        <v>2822</v>
      </c>
      <c r="H711" s="4" t="s">
        <v>2923</v>
      </c>
      <c r="I711" s="8" t="s">
        <v>185</v>
      </c>
      <c r="J711" s="8" t="s">
        <v>31</v>
      </c>
      <c r="K711" s="12">
        <f>_xlfn.XLOOKUP(B711,[1]Sheet1!$B:$B,[1]Sheet1!$N:$N,0)</f>
        <v>0</v>
      </c>
      <c r="L711" s="12">
        <f>_xlfn.XLOOKUP(B711,[1]Sheet1!$B:$B,[1]Sheet1!$O:$O,0)</f>
        <v>0</v>
      </c>
      <c r="M711" s="12">
        <f>_xlfn.XLOOKUP(B711,[1]Sheet1!$B:$B,[1]Sheet1!$P:$P,0)</f>
        <v>0</v>
      </c>
      <c r="N711" s="12">
        <f>_xlfn.XLOOKUP(B711,[1]Sheet1!$B:$B,[1]Sheet1!$Q:$Q,0)</f>
        <v>0</v>
      </c>
      <c r="O711" s="12">
        <f>_xlfn.XLOOKUP(B711,[1]Sheet1!$B:$B,[1]Sheet1!$R:$R,0)</f>
        <v>0</v>
      </c>
      <c r="P711" s="12">
        <f>_xlfn.XLOOKUP(B711,[1]Sheet1!$B:$B,[1]Sheet1!$S:$S,0)</f>
        <v>0</v>
      </c>
      <c r="Q711" s="12">
        <f>_xlfn.XLOOKUP(B711,[1]Sheet1!$B:$B,[1]Sheet1!$T:$T,0)</f>
        <v>0</v>
      </c>
      <c r="R711" s="12">
        <f>_xlfn.XLOOKUP(B711,[1]Sheet1!$B:$B,[1]Sheet1!$U:$U,0)</f>
        <v>75000</v>
      </c>
      <c r="S711" s="12">
        <f>_xlfn.XLOOKUP(B711,[1]Sheet1!$B:$B,[1]Sheet1!$V:$V,0)</f>
        <v>911500</v>
      </c>
      <c r="T711" s="12">
        <f>_xlfn.XLOOKUP(B711,[1]Sheet1!$B:$B,[1]Sheet1!$W:$W,0)</f>
        <v>500000</v>
      </c>
      <c r="U711" s="12">
        <f>_xlfn.XLOOKUP(B711,[1]Sheet1!$B:$B,[1]Sheet1!$X:$X,0)</f>
        <v>661500</v>
      </c>
      <c r="V711" s="12">
        <f>_xlfn.XLOOKUP(B711,[1]Sheet1!$B:$B,[1]Sheet1!$Y:$Y,0)</f>
        <v>0</v>
      </c>
      <c r="W711" s="12">
        <f t="shared" si="25"/>
        <v>2148000</v>
      </c>
      <c r="X711" s="8" t="s">
        <v>1070</v>
      </c>
      <c r="Y711" s="8" t="s">
        <v>132</v>
      </c>
      <c r="Z711" s="8" t="s">
        <v>479</v>
      </c>
      <c r="AA711" s="8" t="s">
        <v>185</v>
      </c>
      <c r="AB711" s="8" t="s">
        <v>93</v>
      </c>
      <c r="AC711" s="8" t="s">
        <v>94</v>
      </c>
      <c r="AD711" s="8" t="s">
        <v>482</v>
      </c>
      <c r="AE711" s="8" t="s">
        <v>39</v>
      </c>
      <c r="AF711" s="8" t="s">
        <v>40</v>
      </c>
      <c r="AG711" s="9">
        <v>2113000</v>
      </c>
      <c r="AH711" s="11">
        <f>_xlfn.XLOOKUP(B711,[1]Sheet1!$B:$B,[1]Sheet1!$AB:$AB,0)</f>
        <v>2113000</v>
      </c>
    </row>
    <row r="712" spans="2:34" ht="16.8" thickTop="1" thickBot="1" x14ac:dyDescent="0.35">
      <c r="B712" s="3" t="str">
        <f t="shared" si="24"/>
        <v>45102504511000873Peripherals-NC491320300105</v>
      </c>
      <c r="C712" s="6" t="s">
        <v>480</v>
      </c>
      <c r="D712" s="6" t="s">
        <v>1164</v>
      </c>
      <c r="E712" s="6" t="s">
        <v>1165</v>
      </c>
      <c r="F712" s="6" t="s">
        <v>1166</v>
      </c>
      <c r="G712" s="4" t="s">
        <v>2866</v>
      </c>
      <c r="H712" s="4" t="s">
        <v>2923</v>
      </c>
      <c r="I712" s="6" t="s">
        <v>1159</v>
      </c>
      <c r="J712" s="6" t="s">
        <v>31</v>
      </c>
      <c r="K712" s="12">
        <f>_xlfn.XLOOKUP(B712,[1]Sheet1!$B:$B,[1]Sheet1!$N:$N,0)</f>
        <v>0</v>
      </c>
      <c r="L712" s="12">
        <f>_xlfn.XLOOKUP(B712,[1]Sheet1!$B:$B,[1]Sheet1!$O:$O,0)</f>
        <v>0</v>
      </c>
      <c r="M712" s="12">
        <f>_xlfn.XLOOKUP(B712,[1]Sheet1!$B:$B,[1]Sheet1!$P:$P,0)</f>
        <v>0</v>
      </c>
      <c r="N712" s="12">
        <f>_xlfn.XLOOKUP(B712,[1]Sheet1!$B:$B,[1]Sheet1!$Q:$Q,0)</f>
        <v>0</v>
      </c>
      <c r="O712" s="12">
        <f>_xlfn.XLOOKUP(B712,[1]Sheet1!$B:$B,[1]Sheet1!$R:$R,0)</f>
        <v>0</v>
      </c>
      <c r="P712" s="12">
        <f>_xlfn.XLOOKUP(B712,[1]Sheet1!$B:$B,[1]Sheet1!$S:$S,0)</f>
        <v>0</v>
      </c>
      <c r="Q712" s="12">
        <f>_xlfn.XLOOKUP(B712,[1]Sheet1!$B:$B,[1]Sheet1!$T:$T,0)</f>
        <v>0</v>
      </c>
      <c r="R712" s="12">
        <f>_xlfn.XLOOKUP(B712,[1]Sheet1!$B:$B,[1]Sheet1!$U:$U,0)</f>
        <v>0</v>
      </c>
      <c r="S712" s="12">
        <f>_xlfn.XLOOKUP(B712,[1]Sheet1!$B:$B,[1]Sheet1!$V:$V,0)</f>
        <v>0</v>
      </c>
      <c r="T712" s="12">
        <f>_xlfn.XLOOKUP(B712,[1]Sheet1!$B:$B,[1]Sheet1!$W:$W,0)</f>
        <v>0</v>
      </c>
      <c r="U712" s="12">
        <f>_xlfn.XLOOKUP(B712,[1]Sheet1!$B:$B,[1]Sheet1!$X:$X,0)</f>
        <v>600000</v>
      </c>
      <c r="V712" s="12">
        <f>_xlfn.XLOOKUP(B712,[1]Sheet1!$B:$B,[1]Sheet1!$Y:$Y,0)</f>
        <v>0</v>
      </c>
      <c r="W712" s="12">
        <f t="shared" si="25"/>
        <v>600000</v>
      </c>
      <c r="X712" s="6" t="s">
        <v>1160</v>
      </c>
      <c r="Y712" s="6" t="s">
        <v>132</v>
      </c>
      <c r="Z712" s="6" t="s">
        <v>479</v>
      </c>
      <c r="AA712" s="6" t="s">
        <v>1159</v>
      </c>
      <c r="AB712" s="6" t="s">
        <v>93</v>
      </c>
      <c r="AC712" s="6" t="s">
        <v>94</v>
      </c>
      <c r="AD712" s="6" t="s">
        <v>482</v>
      </c>
      <c r="AE712" s="6" t="s">
        <v>39</v>
      </c>
      <c r="AF712" s="6" t="s">
        <v>40</v>
      </c>
      <c r="AG712" s="7">
        <v>600000</v>
      </c>
      <c r="AH712" s="11">
        <f>_xlfn.XLOOKUP(B712,[1]Sheet1!$B:$B,[1]Sheet1!$AB:$AB,0)</f>
        <v>600000</v>
      </c>
    </row>
    <row r="713" spans="2:34" ht="16.8" thickTop="1" thickBot="1" x14ac:dyDescent="0.35">
      <c r="B713" s="3" t="str">
        <f t="shared" si="24"/>
        <v>45102504511000873System Licenses-N425252200104</v>
      </c>
      <c r="C713" s="8" t="s">
        <v>480</v>
      </c>
      <c r="D713" s="8" t="s">
        <v>1164</v>
      </c>
      <c r="E713" s="8" t="s">
        <v>1165</v>
      </c>
      <c r="F713" s="8" t="s">
        <v>180</v>
      </c>
      <c r="G713" s="4" t="s">
        <v>2821</v>
      </c>
      <c r="H713" s="4" t="s">
        <v>2922</v>
      </c>
      <c r="I713" s="8" t="s">
        <v>181</v>
      </c>
      <c r="J713" s="8" t="s">
        <v>31</v>
      </c>
      <c r="K713" s="12">
        <f>_xlfn.XLOOKUP(B713,[1]Sheet1!$B:$B,[1]Sheet1!$N:$N,0)</f>
        <v>0</v>
      </c>
      <c r="L713" s="12">
        <f>_xlfn.XLOOKUP(B713,[1]Sheet1!$B:$B,[1]Sheet1!$O:$O,0)</f>
        <v>0</v>
      </c>
      <c r="M713" s="12">
        <f>_xlfn.XLOOKUP(B713,[1]Sheet1!$B:$B,[1]Sheet1!$P:$P,0)</f>
        <v>0</v>
      </c>
      <c r="N713" s="12">
        <f>_xlfn.XLOOKUP(B713,[1]Sheet1!$B:$B,[1]Sheet1!$Q:$Q,0)</f>
        <v>0</v>
      </c>
      <c r="O713" s="12">
        <f>_xlfn.XLOOKUP(B713,[1]Sheet1!$B:$B,[1]Sheet1!$R:$R,0)</f>
        <v>0</v>
      </c>
      <c r="P713" s="12">
        <f>_xlfn.XLOOKUP(B713,[1]Sheet1!$B:$B,[1]Sheet1!$S:$S,0)</f>
        <v>0</v>
      </c>
      <c r="Q713" s="12">
        <f>_xlfn.XLOOKUP(B713,[1]Sheet1!$B:$B,[1]Sheet1!$T:$T,0)</f>
        <v>209199</v>
      </c>
      <c r="R713" s="12">
        <f>_xlfn.XLOOKUP(B713,[1]Sheet1!$B:$B,[1]Sheet1!$U:$U,0)</f>
        <v>0</v>
      </c>
      <c r="S713" s="12">
        <f>_xlfn.XLOOKUP(B713,[1]Sheet1!$B:$B,[1]Sheet1!$V:$V,0)</f>
        <v>0</v>
      </c>
      <c r="T713" s="12">
        <f>_xlfn.XLOOKUP(B713,[1]Sheet1!$B:$B,[1]Sheet1!$W:$W,0)</f>
        <v>605871.51</v>
      </c>
      <c r="U713" s="12">
        <f>_xlfn.XLOOKUP(B713,[1]Sheet1!$B:$B,[1]Sheet1!$X:$X,0)</f>
        <v>3700000</v>
      </c>
      <c r="V713" s="12">
        <f>_xlfn.XLOOKUP(B713,[1]Sheet1!$B:$B,[1]Sheet1!$Y:$Y,0)</f>
        <v>0</v>
      </c>
      <c r="W713" s="12">
        <f t="shared" si="25"/>
        <v>4515070.51</v>
      </c>
      <c r="X713" s="8" t="s">
        <v>487</v>
      </c>
      <c r="Y713" s="8" t="s">
        <v>132</v>
      </c>
      <c r="Z713" s="8" t="s">
        <v>479</v>
      </c>
      <c r="AA713" s="8" t="s">
        <v>183</v>
      </c>
      <c r="AB713" s="8" t="s">
        <v>36</v>
      </c>
      <c r="AC713" s="8" t="s">
        <v>37</v>
      </c>
      <c r="AD713" s="8" t="s">
        <v>482</v>
      </c>
      <c r="AE713" s="8" t="s">
        <v>39</v>
      </c>
      <c r="AF713" s="8" t="s">
        <v>40</v>
      </c>
      <c r="AG713" s="9">
        <v>4132212.51</v>
      </c>
      <c r="AH713" s="11">
        <f>_xlfn.XLOOKUP(B713,[1]Sheet1!$B:$B,[1]Sheet1!$AB:$AB,0)</f>
        <v>4132212.51</v>
      </c>
    </row>
    <row r="714" spans="2:34" ht="16.8" thickTop="1" thickBot="1" x14ac:dyDescent="0.35">
      <c r="B714" s="3" t="str">
        <f t="shared" si="24"/>
        <v>45102504511000873System Licenses-NC493140300105</v>
      </c>
      <c r="C714" s="6" t="s">
        <v>480</v>
      </c>
      <c r="D714" s="6" t="s">
        <v>1164</v>
      </c>
      <c r="E714" s="6" t="s">
        <v>1165</v>
      </c>
      <c r="F714" s="6" t="s">
        <v>1167</v>
      </c>
      <c r="G714" s="4" t="s">
        <v>2822</v>
      </c>
      <c r="H714" s="4" t="s">
        <v>2923</v>
      </c>
      <c r="I714" s="6" t="s">
        <v>185</v>
      </c>
      <c r="J714" s="6" t="s">
        <v>31</v>
      </c>
      <c r="K714" s="12">
        <f>_xlfn.XLOOKUP(B714,[1]Sheet1!$B:$B,[1]Sheet1!$N:$N,0)</f>
        <v>0</v>
      </c>
      <c r="L714" s="12">
        <f>_xlfn.XLOOKUP(B714,[1]Sheet1!$B:$B,[1]Sheet1!$O:$O,0)</f>
        <v>0</v>
      </c>
      <c r="M714" s="12">
        <f>_xlfn.XLOOKUP(B714,[1]Sheet1!$B:$B,[1]Sheet1!$P:$P,0)</f>
        <v>0</v>
      </c>
      <c r="N714" s="12">
        <f>_xlfn.XLOOKUP(B714,[1]Sheet1!$B:$B,[1]Sheet1!$Q:$Q,0)</f>
        <v>0</v>
      </c>
      <c r="O714" s="12">
        <f>_xlfn.XLOOKUP(B714,[1]Sheet1!$B:$B,[1]Sheet1!$R:$R,0)</f>
        <v>0</v>
      </c>
      <c r="P714" s="12">
        <f>_xlfn.XLOOKUP(B714,[1]Sheet1!$B:$B,[1]Sheet1!$S:$S,0)</f>
        <v>0</v>
      </c>
      <c r="Q714" s="12">
        <f>_xlfn.XLOOKUP(B714,[1]Sheet1!$B:$B,[1]Sheet1!$T:$T,0)</f>
        <v>0</v>
      </c>
      <c r="R714" s="12">
        <f>_xlfn.XLOOKUP(B714,[1]Sheet1!$B:$B,[1]Sheet1!$U:$U,0)</f>
        <v>0</v>
      </c>
      <c r="S714" s="12">
        <f>_xlfn.XLOOKUP(B714,[1]Sheet1!$B:$B,[1]Sheet1!$V:$V,0)</f>
        <v>570000</v>
      </c>
      <c r="T714" s="12">
        <f>_xlfn.XLOOKUP(B714,[1]Sheet1!$B:$B,[1]Sheet1!$W:$W,0)</f>
        <v>0</v>
      </c>
      <c r="U714" s="12">
        <f>_xlfn.XLOOKUP(B714,[1]Sheet1!$B:$B,[1]Sheet1!$X:$X,0)</f>
        <v>205750</v>
      </c>
      <c r="V714" s="12">
        <f>_xlfn.XLOOKUP(B714,[1]Sheet1!$B:$B,[1]Sheet1!$Y:$Y,0)</f>
        <v>0</v>
      </c>
      <c r="W714" s="12">
        <f t="shared" si="25"/>
        <v>775750</v>
      </c>
      <c r="X714" s="6" t="s">
        <v>1070</v>
      </c>
      <c r="Y714" s="6" t="s">
        <v>132</v>
      </c>
      <c r="Z714" s="6" t="s">
        <v>479</v>
      </c>
      <c r="AA714" s="6" t="s">
        <v>185</v>
      </c>
      <c r="AB714" s="6" t="s">
        <v>93</v>
      </c>
      <c r="AC714" s="6" t="s">
        <v>94</v>
      </c>
      <c r="AD714" s="6" t="s">
        <v>482</v>
      </c>
      <c r="AE714" s="6" t="s">
        <v>39</v>
      </c>
      <c r="AF714" s="6" t="s">
        <v>40</v>
      </c>
      <c r="AG714" s="7">
        <v>775750</v>
      </c>
      <c r="AH714" s="11">
        <f>_xlfn.XLOOKUP(B714,[1]Sheet1!$B:$B,[1]Sheet1!$AB:$AB,0)</f>
        <v>775750</v>
      </c>
    </row>
    <row r="715" spans="2:34" ht="16.8" thickTop="1" thickBot="1" x14ac:dyDescent="0.35">
      <c r="B715" s="3" t="str">
        <f t="shared" si="24"/>
        <v>45102504511000873System Maintain-N1422212200104</v>
      </c>
      <c r="C715" s="8" t="s">
        <v>480</v>
      </c>
      <c r="D715" s="8" t="s">
        <v>1164</v>
      </c>
      <c r="E715" s="8" t="s">
        <v>1165</v>
      </c>
      <c r="F715" s="8" t="s">
        <v>1067</v>
      </c>
      <c r="G715" s="4" t="s">
        <v>2845</v>
      </c>
      <c r="H715" s="4" t="s">
        <v>2922</v>
      </c>
      <c r="I715" s="8" t="s">
        <v>477</v>
      </c>
      <c r="J715" s="8" t="s">
        <v>31</v>
      </c>
      <c r="K715" s="12">
        <f>_xlfn.XLOOKUP(B715,[1]Sheet1!$B:$B,[1]Sheet1!$N:$N,0)</f>
        <v>0</v>
      </c>
      <c r="L715" s="12">
        <f>_xlfn.XLOOKUP(B715,[1]Sheet1!$B:$B,[1]Sheet1!$O:$O,0)</f>
        <v>0</v>
      </c>
      <c r="M715" s="12">
        <f>_xlfn.XLOOKUP(B715,[1]Sheet1!$B:$B,[1]Sheet1!$P:$P,0)</f>
        <v>0</v>
      </c>
      <c r="N715" s="12">
        <f>_xlfn.XLOOKUP(B715,[1]Sheet1!$B:$B,[1]Sheet1!$Q:$Q,0)</f>
        <v>35046.6</v>
      </c>
      <c r="O715" s="12">
        <f>_xlfn.XLOOKUP(B715,[1]Sheet1!$B:$B,[1]Sheet1!$R:$R,0)</f>
        <v>3282.3</v>
      </c>
      <c r="P715" s="12">
        <f>_xlfn.XLOOKUP(B715,[1]Sheet1!$B:$B,[1]Sheet1!$S:$S,0)</f>
        <v>358282.3</v>
      </c>
      <c r="Q715" s="12">
        <f>_xlfn.XLOOKUP(B715,[1]Sheet1!$B:$B,[1]Sheet1!$T:$T,0)</f>
        <v>129482.3</v>
      </c>
      <c r="R715" s="12">
        <f>_xlfn.XLOOKUP(B715,[1]Sheet1!$B:$B,[1]Sheet1!$U:$U,0)</f>
        <v>106662.45</v>
      </c>
      <c r="S715" s="12">
        <f>_xlfn.XLOOKUP(B715,[1]Sheet1!$B:$B,[1]Sheet1!$V:$V,0)</f>
        <v>3282.3</v>
      </c>
      <c r="T715" s="12">
        <f>_xlfn.XLOOKUP(B715,[1]Sheet1!$B:$B,[1]Sheet1!$W:$W,0)</f>
        <v>2828564.3</v>
      </c>
      <c r="U715" s="12">
        <f>_xlfn.XLOOKUP(B715,[1]Sheet1!$B:$B,[1]Sheet1!$X:$X,0)</f>
        <v>50623.3</v>
      </c>
      <c r="V715" s="12">
        <f>_xlfn.XLOOKUP(B715,[1]Sheet1!$B:$B,[1]Sheet1!$Y:$Y,0)</f>
        <v>0</v>
      </c>
      <c r="W715" s="12">
        <f t="shared" si="25"/>
        <v>3515225.8499999996</v>
      </c>
      <c r="X715" s="8" t="s">
        <v>478</v>
      </c>
      <c r="Y715" s="8" t="s">
        <v>132</v>
      </c>
      <c r="Z715" s="8" t="s">
        <v>479</v>
      </c>
      <c r="AA715" s="8" t="s">
        <v>481</v>
      </c>
      <c r="AB715" s="8" t="s">
        <v>36</v>
      </c>
      <c r="AC715" s="8" t="s">
        <v>37</v>
      </c>
      <c r="AD715" s="8" t="s">
        <v>482</v>
      </c>
      <c r="AE715" s="8" t="s">
        <v>39</v>
      </c>
      <c r="AF715" s="8" t="s">
        <v>40</v>
      </c>
      <c r="AG715" s="9">
        <v>1813120</v>
      </c>
      <c r="AH715" s="11">
        <f>_xlfn.XLOOKUP(B715,[1]Sheet1!$B:$B,[1]Sheet1!$AB:$AB,0)</f>
        <v>1813119.8499999996</v>
      </c>
    </row>
    <row r="716" spans="2:34" ht="16.8" thickTop="1" thickBot="1" x14ac:dyDescent="0.35">
      <c r="B716" s="3" t="str">
        <f t="shared" si="24"/>
        <v>45102504511000873Systems Develop-NC493140300105</v>
      </c>
      <c r="C716" s="6" t="s">
        <v>480</v>
      </c>
      <c r="D716" s="6" t="s">
        <v>1164</v>
      </c>
      <c r="E716" s="6" t="s">
        <v>1165</v>
      </c>
      <c r="F716" s="6" t="s">
        <v>184</v>
      </c>
      <c r="G716" s="4" t="s">
        <v>2822</v>
      </c>
      <c r="H716" s="4" t="s">
        <v>2923</v>
      </c>
      <c r="I716" s="6" t="s">
        <v>185</v>
      </c>
      <c r="J716" s="6" t="s">
        <v>31</v>
      </c>
      <c r="K716" s="12">
        <f>_xlfn.XLOOKUP(B716,[1]Sheet1!$B:$B,[1]Sheet1!$N:$N,0)</f>
        <v>0</v>
      </c>
      <c r="L716" s="12">
        <f>_xlfn.XLOOKUP(B716,[1]Sheet1!$B:$B,[1]Sheet1!$O:$O,0)</f>
        <v>0</v>
      </c>
      <c r="M716" s="12">
        <f>_xlfn.XLOOKUP(B716,[1]Sheet1!$B:$B,[1]Sheet1!$P:$P,0)</f>
        <v>0</v>
      </c>
      <c r="N716" s="12">
        <f>_xlfn.XLOOKUP(B716,[1]Sheet1!$B:$B,[1]Sheet1!$Q:$Q,0)</f>
        <v>0</v>
      </c>
      <c r="O716" s="12">
        <f>_xlfn.XLOOKUP(B716,[1]Sheet1!$B:$B,[1]Sheet1!$R:$R,0)</f>
        <v>0</v>
      </c>
      <c r="P716" s="12">
        <f>_xlfn.XLOOKUP(B716,[1]Sheet1!$B:$B,[1]Sheet1!$S:$S,0)</f>
        <v>0</v>
      </c>
      <c r="Q716" s="12">
        <f>_xlfn.XLOOKUP(B716,[1]Sheet1!$B:$B,[1]Sheet1!$T:$T,0)</f>
        <v>201280</v>
      </c>
      <c r="R716" s="12">
        <f>_xlfn.XLOOKUP(B716,[1]Sheet1!$B:$B,[1]Sheet1!$U:$U,0)</f>
        <v>186000</v>
      </c>
      <c r="S716" s="12">
        <f>_xlfn.XLOOKUP(B716,[1]Sheet1!$B:$B,[1]Sheet1!$V:$V,0)</f>
        <v>303000</v>
      </c>
      <c r="T716" s="12">
        <f>_xlfn.XLOOKUP(B716,[1]Sheet1!$B:$B,[1]Sheet1!$W:$W,0)</f>
        <v>1600000</v>
      </c>
      <c r="U716" s="12">
        <f>_xlfn.XLOOKUP(B716,[1]Sheet1!$B:$B,[1]Sheet1!$X:$X,0)</f>
        <v>800000</v>
      </c>
      <c r="V716" s="12">
        <f>_xlfn.XLOOKUP(B716,[1]Sheet1!$B:$B,[1]Sheet1!$Y:$Y,0)</f>
        <v>0</v>
      </c>
      <c r="W716" s="12">
        <f t="shared" si="25"/>
        <v>3090280</v>
      </c>
      <c r="X716" s="6" t="s">
        <v>1070</v>
      </c>
      <c r="Y716" s="6" t="s">
        <v>132</v>
      </c>
      <c r="Z716" s="6" t="s">
        <v>479</v>
      </c>
      <c r="AA716" s="6" t="s">
        <v>185</v>
      </c>
      <c r="AB716" s="6" t="s">
        <v>93</v>
      </c>
      <c r="AC716" s="6" t="s">
        <v>94</v>
      </c>
      <c r="AD716" s="6" t="s">
        <v>482</v>
      </c>
      <c r="AE716" s="6" t="s">
        <v>39</v>
      </c>
      <c r="AF716" s="6" t="s">
        <v>40</v>
      </c>
      <c r="AG716" s="7">
        <v>2532139</v>
      </c>
      <c r="AH716" s="11">
        <f>_xlfn.XLOOKUP(B716,[1]Sheet1!$B:$B,[1]Sheet1!$AB:$AB,0)</f>
        <v>2532139</v>
      </c>
    </row>
    <row r="717" spans="2:34" ht="16.8" thickTop="1" thickBot="1" x14ac:dyDescent="0.35">
      <c r="B717" s="3" t="str">
        <f t="shared" si="24"/>
        <v>45102504511000873Website Design-NC493140300105</v>
      </c>
      <c r="C717" s="8" t="s">
        <v>480</v>
      </c>
      <c r="D717" s="8" t="s">
        <v>1164</v>
      </c>
      <c r="E717" s="8" t="s">
        <v>1165</v>
      </c>
      <c r="F717" s="8" t="s">
        <v>1168</v>
      </c>
      <c r="G717" s="4" t="s">
        <v>2822</v>
      </c>
      <c r="H717" s="4" t="s">
        <v>2923</v>
      </c>
      <c r="I717" s="8" t="s">
        <v>185</v>
      </c>
      <c r="J717" s="8" t="s">
        <v>31</v>
      </c>
      <c r="K717" s="12">
        <f>_xlfn.XLOOKUP(B717,[1]Sheet1!$B:$B,[1]Sheet1!$N:$N,0)</f>
        <v>0</v>
      </c>
      <c r="L717" s="12">
        <f>_xlfn.XLOOKUP(B717,[1]Sheet1!$B:$B,[1]Sheet1!$O:$O,0)</f>
        <v>0</v>
      </c>
      <c r="M717" s="12">
        <f>_xlfn.XLOOKUP(B717,[1]Sheet1!$B:$B,[1]Sheet1!$P:$P,0)</f>
        <v>0</v>
      </c>
      <c r="N717" s="12">
        <f>_xlfn.XLOOKUP(B717,[1]Sheet1!$B:$B,[1]Sheet1!$Q:$Q,0)</f>
        <v>0</v>
      </c>
      <c r="O717" s="12">
        <f>_xlfn.XLOOKUP(B717,[1]Sheet1!$B:$B,[1]Sheet1!$R:$R,0)</f>
        <v>0</v>
      </c>
      <c r="P717" s="12">
        <f>_xlfn.XLOOKUP(B717,[1]Sheet1!$B:$B,[1]Sheet1!$S:$S,0)</f>
        <v>0</v>
      </c>
      <c r="Q717" s="12">
        <f>_xlfn.XLOOKUP(B717,[1]Sheet1!$B:$B,[1]Sheet1!$T:$T,0)</f>
        <v>0</v>
      </c>
      <c r="R717" s="12">
        <f>_xlfn.XLOOKUP(B717,[1]Sheet1!$B:$B,[1]Sheet1!$U:$U,0)</f>
        <v>0</v>
      </c>
      <c r="S717" s="12">
        <f>_xlfn.XLOOKUP(B717,[1]Sheet1!$B:$B,[1]Sheet1!$V:$V,0)</f>
        <v>0</v>
      </c>
      <c r="T717" s="12">
        <f>_xlfn.XLOOKUP(B717,[1]Sheet1!$B:$B,[1]Sheet1!$W:$W,0)</f>
        <v>3319000</v>
      </c>
      <c r="U717" s="12">
        <f>_xlfn.XLOOKUP(B717,[1]Sheet1!$B:$B,[1]Sheet1!$X:$X,0)</f>
        <v>1153705</v>
      </c>
      <c r="V717" s="12">
        <f>_xlfn.XLOOKUP(B717,[1]Sheet1!$B:$B,[1]Sheet1!$Y:$Y,0)</f>
        <v>0</v>
      </c>
      <c r="W717" s="12">
        <f t="shared" si="25"/>
        <v>4472705</v>
      </c>
      <c r="X717" s="8" t="s">
        <v>1070</v>
      </c>
      <c r="Y717" s="8" t="s">
        <v>132</v>
      </c>
      <c r="Z717" s="8" t="s">
        <v>479</v>
      </c>
      <c r="AA717" s="8" t="s">
        <v>185</v>
      </c>
      <c r="AB717" s="8" t="s">
        <v>93</v>
      </c>
      <c r="AC717" s="8" t="s">
        <v>94</v>
      </c>
      <c r="AD717" s="8" t="s">
        <v>482</v>
      </c>
      <c r="AE717" s="8" t="s">
        <v>39</v>
      </c>
      <c r="AF717" s="8" t="s">
        <v>40</v>
      </c>
      <c r="AG717" s="9">
        <v>3835705</v>
      </c>
      <c r="AH717" s="11">
        <f>_xlfn.XLOOKUP(B717,[1]Sheet1!$B:$B,[1]Sheet1!$AB:$AB,0)</f>
        <v>3835705</v>
      </c>
    </row>
    <row r="718" spans="2:34" ht="16.8" thickTop="1" thickBot="1" x14ac:dyDescent="0.35">
      <c r="B718" s="3" t="str">
        <f t="shared" si="24"/>
        <v>45102504511000873Website Support-N422212200104</v>
      </c>
      <c r="C718" s="6" t="s">
        <v>480</v>
      </c>
      <c r="D718" s="6" t="s">
        <v>1164</v>
      </c>
      <c r="E718" s="6" t="s">
        <v>1165</v>
      </c>
      <c r="F718" s="6" t="s">
        <v>1161</v>
      </c>
      <c r="G718" s="4" t="s">
        <v>2845</v>
      </c>
      <c r="H718" s="4" t="s">
        <v>2922</v>
      </c>
      <c r="I718" s="6" t="s">
        <v>477</v>
      </c>
      <c r="J718" s="6" t="s">
        <v>31</v>
      </c>
      <c r="K718" s="12">
        <f>_xlfn.XLOOKUP(B718,[1]Sheet1!$B:$B,[1]Sheet1!$N:$N,0)</f>
        <v>0</v>
      </c>
      <c r="L718" s="12">
        <f>_xlfn.XLOOKUP(B718,[1]Sheet1!$B:$B,[1]Sheet1!$O:$O,0)</f>
        <v>0</v>
      </c>
      <c r="M718" s="12">
        <f>_xlfn.XLOOKUP(B718,[1]Sheet1!$B:$B,[1]Sheet1!$P:$P,0)</f>
        <v>0</v>
      </c>
      <c r="N718" s="12">
        <f>_xlfn.XLOOKUP(B718,[1]Sheet1!$B:$B,[1]Sheet1!$Q:$Q,0)</f>
        <v>392724.66000000003</v>
      </c>
      <c r="O718" s="12">
        <f>_xlfn.XLOOKUP(B718,[1]Sheet1!$B:$B,[1]Sheet1!$R:$R,0)</f>
        <v>14708.33</v>
      </c>
      <c r="P718" s="12">
        <f>_xlfn.XLOOKUP(B718,[1]Sheet1!$B:$B,[1]Sheet1!$S:$S,0)</f>
        <v>14708.33</v>
      </c>
      <c r="Q718" s="12">
        <f>_xlfn.XLOOKUP(B718,[1]Sheet1!$B:$B,[1]Sheet1!$T:$T,0)</f>
        <v>14708.33</v>
      </c>
      <c r="R718" s="12">
        <f>_xlfn.XLOOKUP(B718,[1]Sheet1!$B:$B,[1]Sheet1!$U:$U,0)</f>
        <v>14708.33</v>
      </c>
      <c r="S718" s="12">
        <f>_xlfn.XLOOKUP(B718,[1]Sheet1!$B:$B,[1]Sheet1!$V:$V,0)</f>
        <v>14708.33</v>
      </c>
      <c r="T718" s="12">
        <f>_xlfn.XLOOKUP(B718,[1]Sheet1!$B:$B,[1]Sheet1!$W:$W,0)</f>
        <v>14708.33</v>
      </c>
      <c r="U718" s="12">
        <f>_xlfn.XLOOKUP(B718,[1]Sheet1!$B:$B,[1]Sheet1!$X:$X,0)</f>
        <v>48625.03</v>
      </c>
      <c r="V718" s="12">
        <f>_xlfn.XLOOKUP(B718,[1]Sheet1!$B:$B,[1]Sheet1!$Y:$Y,0)</f>
        <v>0</v>
      </c>
      <c r="W718" s="12">
        <f t="shared" si="25"/>
        <v>529599.67000000016</v>
      </c>
      <c r="X718" s="6" t="s">
        <v>478</v>
      </c>
      <c r="Y718" s="6" t="s">
        <v>132</v>
      </c>
      <c r="Z718" s="6" t="s">
        <v>479</v>
      </c>
      <c r="AA718" s="6" t="s">
        <v>481</v>
      </c>
      <c r="AB718" s="6" t="s">
        <v>36</v>
      </c>
      <c r="AC718" s="6" t="s">
        <v>37</v>
      </c>
      <c r="AD718" s="6" t="s">
        <v>482</v>
      </c>
      <c r="AE718" s="6" t="s">
        <v>39</v>
      </c>
      <c r="AF718" s="6" t="s">
        <v>40</v>
      </c>
      <c r="AG718" s="7">
        <v>529600</v>
      </c>
      <c r="AH718" s="11">
        <f>_xlfn.XLOOKUP(B718,[1]Sheet1!$B:$B,[1]Sheet1!$AB:$AB,0)</f>
        <v>529599.67000000016</v>
      </c>
    </row>
    <row r="719" spans="2:34" ht="16.8" thickTop="1" thickBot="1" x14ac:dyDescent="0.35">
      <c r="B719" s="3" t="str">
        <f t="shared" si="24"/>
        <v>45102504511000875System Licenses-N425252200104</v>
      </c>
      <c r="C719" s="8" t="s">
        <v>480</v>
      </c>
      <c r="D719" s="8" t="s">
        <v>1169</v>
      </c>
      <c r="E719" s="8" t="s">
        <v>1170</v>
      </c>
      <c r="F719" s="8" t="s">
        <v>180</v>
      </c>
      <c r="G719" s="4" t="s">
        <v>2821</v>
      </c>
      <c r="H719" s="4" t="s">
        <v>2922</v>
      </c>
      <c r="I719" s="8" t="s">
        <v>181</v>
      </c>
      <c r="J719" s="8" t="s">
        <v>31</v>
      </c>
      <c r="K719" s="12">
        <f>_xlfn.XLOOKUP(B719,[1]Sheet1!$B:$B,[1]Sheet1!$N:$N,0)</f>
        <v>0</v>
      </c>
      <c r="L719" s="12">
        <f>_xlfn.XLOOKUP(B719,[1]Sheet1!$B:$B,[1]Sheet1!$O:$O,0)</f>
        <v>0</v>
      </c>
      <c r="M719" s="12">
        <f>_xlfn.XLOOKUP(B719,[1]Sheet1!$B:$B,[1]Sheet1!$P:$P,0)</f>
        <v>64290.17</v>
      </c>
      <c r="N719" s="12">
        <f>_xlfn.XLOOKUP(B719,[1]Sheet1!$B:$B,[1]Sheet1!$Q:$Q,0)</f>
        <v>1844929.83</v>
      </c>
      <c r="O719" s="12">
        <f>_xlfn.XLOOKUP(B719,[1]Sheet1!$B:$B,[1]Sheet1!$R:$R,0)</f>
        <v>50000</v>
      </c>
      <c r="P719" s="12">
        <f>_xlfn.XLOOKUP(B719,[1]Sheet1!$B:$B,[1]Sheet1!$S:$S,0)</f>
        <v>50000</v>
      </c>
      <c r="Q719" s="12">
        <f>_xlfn.XLOOKUP(B719,[1]Sheet1!$B:$B,[1]Sheet1!$T:$T,0)</f>
        <v>50000</v>
      </c>
      <c r="R719" s="12">
        <f>_xlfn.XLOOKUP(B719,[1]Sheet1!$B:$B,[1]Sheet1!$U:$U,0)</f>
        <v>118122</v>
      </c>
      <c r="S719" s="12">
        <f>_xlfn.XLOOKUP(B719,[1]Sheet1!$B:$B,[1]Sheet1!$V:$V,0)</f>
        <v>50000</v>
      </c>
      <c r="T719" s="12">
        <f>_xlfn.XLOOKUP(B719,[1]Sheet1!$B:$B,[1]Sheet1!$W:$W,0)</f>
        <v>1250907.5</v>
      </c>
      <c r="U719" s="12">
        <f>_xlfn.XLOOKUP(B719,[1]Sheet1!$B:$B,[1]Sheet1!$X:$X,0)</f>
        <v>2004006</v>
      </c>
      <c r="V719" s="12">
        <f>_xlfn.XLOOKUP(B719,[1]Sheet1!$B:$B,[1]Sheet1!$Y:$Y,0)</f>
        <v>164000</v>
      </c>
      <c r="W719" s="12">
        <f t="shared" si="25"/>
        <v>5646255.5</v>
      </c>
      <c r="X719" s="8" t="s">
        <v>487</v>
      </c>
      <c r="Y719" s="8" t="s">
        <v>132</v>
      </c>
      <c r="Z719" s="8" t="s">
        <v>479</v>
      </c>
      <c r="AA719" s="8" t="s">
        <v>183</v>
      </c>
      <c r="AB719" s="8" t="s">
        <v>36</v>
      </c>
      <c r="AC719" s="8" t="s">
        <v>37</v>
      </c>
      <c r="AD719" s="8" t="s">
        <v>482</v>
      </c>
      <c r="AE719" s="8" t="s">
        <v>39</v>
      </c>
      <c r="AF719" s="8" t="s">
        <v>40</v>
      </c>
      <c r="AG719" s="9">
        <v>6542255.5</v>
      </c>
      <c r="AH719" s="11">
        <f>_xlfn.XLOOKUP(B719,[1]Sheet1!$B:$B,[1]Sheet1!$AB:$AB,0)</f>
        <v>6542255.5</v>
      </c>
    </row>
    <row r="720" spans="2:34" ht="16.8" thickTop="1" thickBot="1" x14ac:dyDescent="0.35">
      <c r="B720" s="3" t="str">
        <f t="shared" si="24"/>
        <v>45102504511000875Systems Develop-NC1493140300105</v>
      </c>
      <c r="C720" s="6" t="s">
        <v>480</v>
      </c>
      <c r="D720" s="6" t="s">
        <v>1169</v>
      </c>
      <c r="E720" s="6" t="s">
        <v>1170</v>
      </c>
      <c r="F720" s="6" t="s">
        <v>1106</v>
      </c>
      <c r="G720" s="4" t="s">
        <v>2822</v>
      </c>
      <c r="H720" s="4" t="s">
        <v>2923</v>
      </c>
      <c r="I720" s="6" t="s">
        <v>185</v>
      </c>
      <c r="J720" s="6" t="s">
        <v>31</v>
      </c>
      <c r="K720" s="12">
        <f>_xlfn.XLOOKUP(B720,[1]Sheet1!$B:$B,[1]Sheet1!$N:$N,0)</f>
        <v>0</v>
      </c>
      <c r="L720" s="12">
        <f>_xlfn.XLOOKUP(B720,[1]Sheet1!$B:$B,[1]Sheet1!$O:$O,0)</f>
        <v>0</v>
      </c>
      <c r="M720" s="12">
        <f>_xlfn.XLOOKUP(B720,[1]Sheet1!$B:$B,[1]Sheet1!$P:$P,0)</f>
        <v>0</v>
      </c>
      <c r="N720" s="12">
        <f>_xlfn.XLOOKUP(B720,[1]Sheet1!$B:$B,[1]Sheet1!$Q:$Q,0)</f>
        <v>0</v>
      </c>
      <c r="O720" s="12">
        <f>_xlfn.XLOOKUP(B720,[1]Sheet1!$B:$B,[1]Sheet1!$R:$R,0)</f>
        <v>0</v>
      </c>
      <c r="P720" s="12">
        <f>_xlfn.XLOOKUP(B720,[1]Sheet1!$B:$B,[1]Sheet1!$S:$S,0)</f>
        <v>0</v>
      </c>
      <c r="Q720" s="12">
        <f>_xlfn.XLOOKUP(B720,[1]Sheet1!$B:$B,[1]Sheet1!$T:$T,0)</f>
        <v>0</v>
      </c>
      <c r="R720" s="12">
        <f>_xlfn.XLOOKUP(B720,[1]Sheet1!$B:$B,[1]Sheet1!$U:$U,0)</f>
        <v>0</v>
      </c>
      <c r="S720" s="12">
        <f>_xlfn.XLOOKUP(B720,[1]Sheet1!$B:$B,[1]Sheet1!$V:$V,0)</f>
        <v>0</v>
      </c>
      <c r="T720" s="12">
        <f>_xlfn.XLOOKUP(B720,[1]Sheet1!$B:$B,[1]Sheet1!$W:$W,0)</f>
        <v>0</v>
      </c>
      <c r="U720" s="12">
        <f>_xlfn.XLOOKUP(B720,[1]Sheet1!$B:$B,[1]Sheet1!$X:$X,0)</f>
        <v>0</v>
      </c>
      <c r="V720" s="12">
        <f>_xlfn.XLOOKUP(B720,[1]Sheet1!$B:$B,[1]Sheet1!$Y:$Y,0)</f>
        <v>0</v>
      </c>
      <c r="W720" s="12">
        <f t="shared" si="25"/>
        <v>0</v>
      </c>
      <c r="X720" s="6" t="s">
        <v>1070</v>
      </c>
      <c r="Y720" s="6" t="s">
        <v>132</v>
      </c>
      <c r="Z720" s="6" t="s">
        <v>479</v>
      </c>
      <c r="AA720" s="6" t="s">
        <v>185</v>
      </c>
      <c r="AB720" s="6" t="s">
        <v>93</v>
      </c>
      <c r="AC720" s="6" t="s">
        <v>94</v>
      </c>
      <c r="AD720" s="6" t="s">
        <v>482</v>
      </c>
      <c r="AE720" s="6" t="s">
        <v>39</v>
      </c>
      <c r="AF720" s="6" t="s">
        <v>40</v>
      </c>
      <c r="AG720" s="7">
        <v>350000</v>
      </c>
      <c r="AH720" s="11">
        <f>_xlfn.XLOOKUP(B720,[1]Sheet1!$B:$B,[1]Sheet1!$AB:$AB,0)</f>
        <v>350000</v>
      </c>
    </row>
    <row r="721" spans="2:34" ht="16.8" thickTop="1" thickBot="1" x14ac:dyDescent="0.35">
      <c r="B721" s="3" t="str">
        <f t="shared" si="24"/>
        <v>45102504511000875Website Support-N422212200104</v>
      </c>
      <c r="C721" s="8" t="s">
        <v>480</v>
      </c>
      <c r="D721" s="8" t="s">
        <v>1169</v>
      </c>
      <c r="E721" s="8" t="s">
        <v>1170</v>
      </c>
      <c r="F721" s="8" t="s">
        <v>1161</v>
      </c>
      <c r="G721" s="4" t="s">
        <v>2845</v>
      </c>
      <c r="H721" s="4" t="s">
        <v>2922</v>
      </c>
      <c r="I721" s="8" t="s">
        <v>477</v>
      </c>
      <c r="J721" s="8" t="s">
        <v>31</v>
      </c>
      <c r="K721" s="12">
        <f>_xlfn.XLOOKUP(B721,[1]Sheet1!$B:$B,[1]Sheet1!$N:$N,0)</f>
        <v>0</v>
      </c>
      <c r="L721" s="12">
        <f>_xlfn.XLOOKUP(B721,[1]Sheet1!$B:$B,[1]Sheet1!$O:$O,0)</f>
        <v>0</v>
      </c>
      <c r="M721" s="12">
        <f>_xlfn.XLOOKUP(B721,[1]Sheet1!$B:$B,[1]Sheet1!$P:$P,0)</f>
        <v>0</v>
      </c>
      <c r="N721" s="12">
        <f>_xlfn.XLOOKUP(B721,[1]Sheet1!$B:$B,[1]Sheet1!$Q:$Q,0)</f>
        <v>397494</v>
      </c>
      <c r="O721" s="12">
        <f>_xlfn.XLOOKUP(B721,[1]Sheet1!$B:$B,[1]Sheet1!$R:$R,0)</f>
        <v>1192482</v>
      </c>
      <c r="P721" s="12">
        <f>_xlfn.XLOOKUP(B721,[1]Sheet1!$B:$B,[1]Sheet1!$S:$S,0)</f>
        <v>0</v>
      </c>
      <c r="Q721" s="12">
        <f>_xlfn.XLOOKUP(B721,[1]Sheet1!$B:$B,[1]Sheet1!$T:$T,0)</f>
        <v>1500000</v>
      </c>
      <c r="R721" s="12">
        <f>_xlfn.XLOOKUP(B721,[1]Sheet1!$B:$B,[1]Sheet1!$U:$U,0)</f>
        <v>1192482</v>
      </c>
      <c r="S721" s="12">
        <f>_xlfn.XLOOKUP(B721,[1]Sheet1!$B:$B,[1]Sheet1!$V:$V,0)</f>
        <v>0</v>
      </c>
      <c r="T721" s="12">
        <f>_xlfn.XLOOKUP(B721,[1]Sheet1!$B:$B,[1]Sheet1!$W:$W,0)</f>
        <v>517946</v>
      </c>
      <c r="U721" s="12">
        <f>_xlfn.XLOOKUP(B721,[1]Sheet1!$B:$B,[1]Sheet1!$X:$X,0)</f>
        <v>1987470</v>
      </c>
      <c r="V721" s="12">
        <f>_xlfn.XLOOKUP(B721,[1]Sheet1!$B:$B,[1]Sheet1!$Y:$Y,0)</f>
        <v>0</v>
      </c>
      <c r="W721" s="12">
        <f t="shared" si="25"/>
        <v>6787874</v>
      </c>
      <c r="X721" s="8" t="s">
        <v>478</v>
      </c>
      <c r="Y721" s="8" t="s">
        <v>132</v>
      </c>
      <c r="Z721" s="8" t="s">
        <v>479</v>
      </c>
      <c r="AA721" s="8" t="s">
        <v>481</v>
      </c>
      <c r="AB721" s="8" t="s">
        <v>36</v>
      </c>
      <c r="AC721" s="8" t="s">
        <v>37</v>
      </c>
      <c r="AD721" s="8" t="s">
        <v>482</v>
      </c>
      <c r="AE721" s="8" t="s">
        <v>39</v>
      </c>
      <c r="AF721" s="8" t="s">
        <v>40</v>
      </c>
      <c r="AG721" s="9">
        <v>6798260</v>
      </c>
      <c r="AH721" s="11">
        <f>_xlfn.XLOOKUP(B721,[1]Sheet1!$B:$B,[1]Sheet1!$AB:$AB,0)</f>
        <v>6798260</v>
      </c>
    </row>
    <row r="722" spans="2:34" ht="16.8" thickTop="1" thickBot="1" x14ac:dyDescent="0.35">
      <c r="B722" s="3" t="str">
        <f t="shared" si="24"/>
        <v>45102504511000876Cloud Services-N422218200104</v>
      </c>
      <c r="C722" s="6" t="s">
        <v>480</v>
      </c>
      <c r="D722" s="6" t="s">
        <v>1171</v>
      </c>
      <c r="E722" s="6" t="s">
        <v>1172</v>
      </c>
      <c r="F722" s="6" t="s">
        <v>1173</v>
      </c>
      <c r="G722" s="4" t="s">
        <v>2867</v>
      </c>
      <c r="H722" s="4" t="s">
        <v>2922</v>
      </c>
      <c r="I722" s="6" t="s">
        <v>1174</v>
      </c>
      <c r="J722" s="6" t="s">
        <v>31</v>
      </c>
      <c r="K722" s="12">
        <f>_xlfn.XLOOKUP(B722,[1]Sheet1!$B:$B,[1]Sheet1!$N:$N,0)</f>
        <v>0</v>
      </c>
      <c r="L722" s="12">
        <f>_xlfn.XLOOKUP(B722,[1]Sheet1!$B:$B,[1]Sheet1!$O:$O,0)</f>
        <v>0</v>
      </c>
      <c r="M722" s="12">
        <f>_xlfn.XLOOKUP(B722,[1]Sheet1!$B:$B,[1]Sheet1!$P:$P,0)</f>
        <v>0</v>
      </c>
      <c r="N722" s="12">
        <f>_xlfn.XLOOKUP(B722,[1]Sheet1!$B:$B,[1]Sheet1!$Q:$Q,0)</f>
        <v>0</v>
      </c>
      <c r="O722" s="12">
        <f>_xlfn.XLOOKUP(B722,[1]Sheet1!$B:$B,[1]Sheet1!$R:$R,0)</f>
        <v>0</v>
      </c>
      <c r="P722" s="12">
        <f>_xlfn.XLOOKUP(B722,[1]Sheet1!$B:$B,[1]Sheet1!$S:$S,0)</f>
        <v>0</v>
      </c>
      <c r="Q722" s="12">
        <f>_xlfn.XLOOKUP(B722,[1]Sheet1!$B:$B,[1]Sheet1!$T:$T,0)</f>
        <v>0</v>
      </c>
      <c r="R722" s="12">
        <f>_xlfn.XLOOKUP(B722,[1]Sheet1!$B:$B,[1]Sheet1!$U:$U,0)</f>
        <v>0</v>
      </c>
      <c r="S722" s="12">
        <f>_xlfn.XLOOKUP(B722,[1]Sheet1!$B:$B,[1]Sheet1!$V:$V,0)</f>
        <v>0</v>
      </c>
      <c r="T722" s="12">
        <f>_xlfn.XLOOKUP(B722,[1]Sheet1!$B:$B,[1]Sheet1!$W:$W,0)</f>
        <v>2016</v>
      </c>
      <c r="U722" s="12">
        <f>_xlfn.XLOOKUP(B722,[1]Sheet1!$B:$B,[1]Sheet1!$X:$X,0)</f>
        <v>2305891</v>
      </c>
      <c r="V722" s="12">
        <f>_xlfn.XLOOKUP(B722,[1]Sheet1!$B:$B,[1]Sheet1!$Y:$Y,0)</f>
        <v>0</v>
      </c>
      <c r="W722" s="12">
        <f t="shared" si="25"/>
        <v>2307907</v>
      </c>
      <c r="X722" s="6" t="s">
        <v>1175</v>
      </c>
      <c r="Y722" s="6" t="s">
        <v>132</v>
      </c>
      <c r="Z722" s="6" t="s">
        <v>479</v>
      </c>
      <c r="AA722" s="6" t="s">
        <v>1176</v>
      </c>
      <c r="AB722" s="6" t="s">
        <v>36</v>
      </c>
      <c r="AC722" s="6" t="s">
        <v>37</v>
      </c>
      <c r="AD722" s="6" t="s">
        <v>482</v>
      </c>
      <c r="AE722" s="6" t="s">
        <v>39</v>
      </c>
      <c r="AF722" s="6" t="s">
        <v>40</v>
      </c>
      <c r="AG722" s="7">
        <v>2307907</v>
      </c>
      <c r="AH722" s="11">
        <f>_xlfn.XLOOKUP(B722,[1]Sheet1!$B:$B,[1]Sheet1!$AB:$AB,0)</f>
        <v>2307907</v>
      </c>
    </row>
    <row r="723" spans="2:34" ht="16.8" thickTop="1" thickBot="1" x14ac:dyDescent="0.35">
      <c r="B723" s="3" t="str">
        <f t="shared" si="24"/>
        <v>45102504511000876System Licenses-N425252200104</v>
      </c>
      <c r="C723" s="8" t="s">
        <v>480</v>
      </c>
      <c r="D723" s="8" t="s">
        <v>1171</v>
      </c>
      <c r="E723" s="8" t="s">
        <v>1172</v>
      </c>
      <c r="F723" s="8" t="s">
        <v>180</v>
      </c>
      <c r="G723" s="4" t="s">
        <v>2821</v>
      </c>
      <c r="H723" s="4" t="s">
        <v>2922</v>
      </c>
      <c r="I723" s="8" t="s">
        <v>181</v>
      </c>
      <c r="J723" s="8" t="s">
        <v>31</v>
      </c>
      <c r="K723" s="12">
        <f>_xlfn.XLOOKUP(B723,[1]Sheet1!$B:$B,[1]Sheet1!$N:$N,0)</f>
        <v>0</v>
      </c>
      <c r="L723" s="12">
        <f>_xlfn.XLOOKUP(B723,[1]Sheet1!$B:$B,[1]Sheet1!$O:$O,0)</f>
        <v>0</v>
      </c>
      <c r="M723" s="12">
        <f>_xlfn.XLOOKUP(B723,[1]Sheet1!$B:$B,[1]Sheet1!$P:$P,0)</f>
        <v>0</v>
      </c>
      <c r="N723" s="12">
        <f>_xlfn.XLOOKUP(B723,[1]Sheet1!$B:$B,[1]Sheet1!$Q:$Q,0)</f>
        <v>0</v>
      </c>
      <c r="O723" s="12">
        <f>_xlfn.XLOOKUP(B723,[1]Sheet1!$B:$B,[1]Sheet1!$R:$R,0)</f>
        <v>0</v>
      </c>
      <c r="P723" s="12">
        <f>_xlfn.XLOOKUP(B723,[1]Sheet1!$B:$B,[1]Sheet1!$S:$S,0)</f>
        <v>12000</v>
      </c>
      <c r="Q723" s="12">
        <f>_xlfn.XLOOKUP(B723,[1]Sheet1!$B:$B,[1]Sheet1!$T:$T,0)</f>
        <v>0</v>
      </c>
      <c r="R723" s="12">
        <f>_xlfn.XLOOKUP(B723,[1]Sheet1!$B:$B,[1]Sheet1!$U:$U,0)</f>
        <v>225000</v>
      </c>
      <c r="S723" s="12">
        <f>_xlfn.XLOOKUP(B723,[1]Sheet1!$B:$B,[1]Sheet1!$V:$V,0)</f>
        <v>642429</v>
      </c>
      <c r="T723" s="12">
        <f>_xlfn.XLOOKUP(B723,[1]Sheet1!$B:$B,[1]Sheet1!$W:$W,0)</f>
        <v>45928</v>
      </c>
      <c r="U723" s="12">
        <f>_xlfn.XLOOKUP(B723,[1]Sheet1!$B:$B,[1]Sheet1!$X:$X,0)</f>
        <v>3412116</v>
      </c>
      <c r="V723" s="12">
        <f>_xlfn.XLOOKUP(B723,[1]Sheet1!$B:$B,[1]Sheet1!$Y:$Y,0)</f>
        <v>0</v>
      </c>
      <c r="W723" s="12">
        <f t="shared" si="25"/>
        <v>4337473</v>
      </c>
      <c r="X723" s="8" t="s">
        <v>487</v>
      </c>
      <c r="Y723" s="8" t="s">
        <v>132</v>
      </c>
      <c r="Z723" s="8" t="s">
        <v>479</v>
      </c>
      <c r="AA723" s="8" t="s">
        <v>183</v>
      </c>
      <c r="AB723" s="8" t="s">
        <v>36</v>
      </c>
      <c r="AC723" s="8" t="s">
        <v>37</v>
      </c>
      <c r="AD723" s="8" t="s">
        <v>482</v>
      </c>
      <c r="AE723" s="8" t="s">
        <v>39</v>
      </c>
      <c r="AF723" s="8" t="s">
        <v>40</v>
      </c>
      <c r="AG723" s="9">
        <v>4090384</v>
      </c>
      <c r="AH723" s="11">
        <f>_xlfn.XLOOKUP(B723,[1]Sheet1!$B:$B,[1]Sheet1!$AB:$AB,0)</f>
        <v>4090384</v>
      </c>
    </row>
    <row r="724" spans="2:34" ht="16.8" thickTop="1" thickBot="1" x14ac:dyDescent="0.35">
      <c r="B724" s="3" t="str">
        <f t="shared" si="24"/>
        <v>45102504511000876System Licenses-NC493140300105</v>
      </c>
      <c r="C724" s="6" t="s">
        <v>480</v>
      </c>
      <c r="D724" s="6" t="s">
        <v>1171</v>
      </c>
      <c r="E724" s="6" t="s">
        <v>1172</v>
      </c>
      <c r="F724" s="6" t="s">
        <v>1167</v>
      </c>
      <c r="G724" s="4" t="s">
        <v>2822</v>
      </c>
      <c r="H724" s="4" t="s">
        <v>2923</v>
      </c>
      <c r="I724" s="6" t="s">
        <v>185</v>
      </c>
      <c r="J724" s="6" t="s">
        <v>31</v>
      </c>
      <c r="K724" s="12">
        <f>_xlfn.XLOOKUP(B724,[1]Sheet1!$B:$B,[1]Sheet1!$N:$N,0)</f>
        <v>0</v>
      </c>
      <c r="L724" s="12">
        <f>_xlfn.XLOOKUP(B724,[1]Sheet1!$B:$B,[1]Sheet1!$O:$O,0)</f>
        <v>0</v>
      </c>
      <c r="M724" s="12">
        <f>_xlfn.XLOOKUP(B724,[1]Sheet1!$B:$B,[1]Sheet1!$P:$P,0)</f>
        <v>0</v>
      </c>
      <c r="N724" s="12">
        <f>_xlfn.XLOOKUP(B724,[1]Sheet1!$B:$B,[1]Sheet1!$Q:$Q,0)</f>
        <v>0</v>
      </c>
      <c r="O724" s="12">
        <f>_xlfn.XLOOKUP(B724,[1]Sheet1!$B:$B,[1]Sheet1!$R:$R,0)</f>
        <v>0</v>
      </c>
      <c r="P724" s="12">
        <f>_xlfn.XLOOKUP(B724,[1]Sheet1!$B:$B,[1]Sheet1!$S:$S,0)</f>
        <v>0</v>
      </c>
      <c r="Q724" s="12">
        <f>_xlfn.XLOOKUP(B724,[1]Sheet1!$B:$B,[1]Sheet1!$T:$T,0)</f>
        <v>400000</v>
      </c>
      <c r="R724" s="12">
        <f>_xlfn.XLOOKUP(B724,[1]Sheet1!$B:$B,[1]Sheet1!$U:$U,0)</f>
        <v>0</v>
      </c>
      <c r="S724" s="12">
        <f>_xlfn.XLOOKUP(B724,[1]Sheet1!$B:$B,[1]Sheet1!$V:$V,0)</f>
        <v>0</v>
      </c>
      <c r="T724" s="12">
        <f>_xlfn.XLOOKUP(B724,[1]Sheet1!$B:$B,[1]Sheet1!$W:$W,0)</f>
        <v>0</v>
      </c>
      <c r="U724" s="12">
        <f>_xlfn.XLOOKUP(B724,[1]Sheet1!$B:$B,[1]Sheet1!$X:$X,0)</f>
        <v>0</v>
      </c>
      <c r="V724" s="12">
        <f>_xlfn.XLOOKUP(B724,[1]Sheet1!$B:$B,[1]Sheet1!$Y:$Y,0)</f>
        <v>0</v>
      </c>
      <c r="W724" s="12">
        <f t="shared" si="25"/>
        <v>400000</v>
      </c>
      <c r="X724" s="6" t="s">
        <v>1070</v>
      </c>
      <c r="Y724" s="6" t="s">
        <v>132</v>
      </c>
      <c r="Z724" s="6" t="s">
        <v>479</v>
      </c>
      <c r="AA724" s="6" t="s">
        <v>185</v>
      </c>
      <c r="AB724" s="6" t="s">
        <v>93</v>
      </c>
      <c r="AC724" s="6" t="s">
        <v>94</v>
      </c>
      <c r="AD724" s="6" t="s">
        <v>482</v>
      </c>
      <c r="AE724" s="6" t="s">
        <v>39</v>
      </c>
      <c r="AF724" s="6" t="s">
        <v>40</v>
      </c>
      <c r="AG724" s="7">
        <v>400000</v>
      </c>
      <c r="AH724" s="11">
        <f>_xlfn.XLOOKUP(B724,[1]Sheet1!$B:$B,[1]Sheet1!$AB:$AB,0)</f>
        <v>400000</v>
      </c>
    </row>
    <row r="725" spans="2:34" ht="16.8" thickTop="1" thickBot="1" x14ac:dyDescent="0.35">
      <c r="B725" s="3" t="str">
        <f t="shared" si="24"/>
        <v>45102504511000876System Maintain-N1422212200104</v>
      </c>
      <c r="C725" s="8" t="s">
        <v>480</v>
      </c>
      <c r="D725" s="8" t="s">
        <v>1171</v>
      </c>
      <c r="E725" s="8" t="s">
        <v>1172</v>
      </c>
      <c r="F725" s="8" t="s">
        <v>1067</v>
      </c>
      <c r="G725" s="4" t="s">
        <v>2845</v>
      </c>
      <c r="H725" s="4" t="s">
        <v>2922</v>
      </c>
      <c r="I725" s="8" t="s">
        <v>477</v>
      </c>
      <c r="J725" s="8" t="s">
        <v>31</v>
      </c>
      <c r="K725" s="12">
        <f>_xlfn.XLOOKUP(B725,[1]Sheet1!$B:$B,[1]Sheet1!$N:$N,0)</f>
        <v>0</v>
      </c>
      <c r="L725" s="12">
        <f>_xlfn.XLOOKUP(B725,[1]Sheet1!$B:$B,[1]Sheet1!$O:$O,0)</f>
        <v>0</v>
      </c>
      <c r="M725" s="12">
        <f>_xlfn.XLOOKUP(B725,[1]Sheet1!$B:$B,[1]Sheet1!$P:$P,0)</f>
        <v>0</v>
      </c>
      <c r="N725" s="12">
        <f>_xlfn.XLOOKUP(B725,[1]Sheet1!$B:$B,[1]Sheet1!$Q:$Q,0)</f>
        <v>124060</v>
      </c>
      <c r="O725" s="12">
        <f>_xlfn.XLOOKUP(B725,[1]Sheet1!$B:$B,[1]Sheet1!$R:$R,0)</f>
        <v>0</v>
      </c>
      <c r="P725" s="12">
        <f>_xlfn.XLOOKUP(B725,[1]Sheet1!$B:$B,[1]Sheet1!$S:$S,0)</f>
        <v>0</v>
      </c>
      <c r="Q725" s="12">
        <f>_xlfn.XLOOKUP(B725,[1]Sheet1!$B:$B,[1]Sheet1!$T:$T,0)</f>
        <v>0</v>
      </c>
      <c r="R725" s="12">
        <f>_xlfn.XLOOKUP(B725,[1]Sheet1!$B:$B,[1]Sheet1!$U:$U,0)</f>
        <v>65000</v>
      </c>
      <c r="S725" s="12">
        <f>_xlfn.XLOOKUP(B725,[1]Sheet1!$B:$B,[1]Sheet1!$V:$V,0)</f>
        <v>0</v>
      </c>
      <c r="T725" s="12">
        <f>_xlfn.XLOOKUP(B725,[1]Sheet1!$B:$B,[1]Sheet1!$W:$W,0)</f>
        <v>0</v>
      </c>
      <c r="U725" s="12">
        <f>_xlfn.XLOOKUP(B725,[1]Sheet1!$B:$B,[1]Sheet1!$X:$X,0)</f>
        <v>0</v>
      </c>
      <c r="V725" s="12">
        <f>_xlfn.XLOOKUP(B725,[1]Sheet1!$B:$B,[1]Sheet1!$Y:$Y,0)</f>
        <v>0</v>
      </c>
      <c r="W725" s="12">
        <f t="shared" si="25"/>
        <v>189060</v>
      </c>
      <c r="X725" s="8" t="s">
        <v>478</v>
      </c>
      <c r="Y725" s="8" t="s">
        <v>132</v>
      </c>
      <c r="Z725" s="8" t="s">
        <v>479</v>
      </c>
      <c r="AA725" s="8" t="s">
        <v>481</v>
      </c>
      <c r="AB725" s="8" t="s">
        <v>36</v>
      </c>
      <c r="AC725" s="8" t="s">
        <v>37</v>
      </c>
      <c r="AD725" s="8" t="s">
        <v>482</v>
      </c>
      <c r="AE725" s="8" t="s">
        <v>39</v>
      </c>
      <c r="AF725" s="8" t="s">
        <v>40</v>
      </c>
      <c r="AG725" s="9">
        <v>184569</v>
      </c>
      <c r="AH725" s="11">
        <f>_xlfn.XLOOKUP(B725,[1]Sheet1!$B:$B,[1]Sheet1!$AB:$AB,0)</f>
        <v>184569</v>
      </c>
    </row>
    <row r="726" spans="2:34" ht="16.8" thickTop="1" thickBot="1" x14ac:dyDescent="0.35">
      <c r="B726" s="3" t="str">
        <f t="shared" si="24"/>
        <v>45102504511000876Systems Develop-NC493140300105</v>
      </c>
      <c r="C726" s="6" t="s">
        <v>480</v>
      </c>
      <c r="D726" s="6" t="s">
        <v>1171</v>
      </c>
      <c r="E726" s="6" t="s">
        <v>1172</v>
      </c>
      <c r="F726" s="6" t="s">
        <v>184</v>
      </c>
      <c r="G726" s="4" t="s">
        <v>2822</v>
      </c>
      <c r="H726" s="4" t="s">
        <v>2923</v>
      </c>
      <c r="I726" s="6" t="s">
        <v>185</v>
      </c>
      <c r="J726" s="6" t="s">
        <v>31</v>
      </c>
      <c r="K726" s="12">
        <f>_xlfn.XLOOKUP(B726,[1]Sheet1!$B:$B,[1]Sheet1!$N:$N,0)</f>
        <v>0</v>
      </c>
      <c r="L726" s="12">
        <f>_xlfn.XLOOKUP(B726,[1]Sheet1!$B:$B,[1]Sheet1!$O:$O,0)</f>
        <v>0</v>
      </c>
      <c r="M726" s="12">
        <f>_xlfn.XLOOKUP(B726,[1]Sheet1!$B:$B,[1]Sheet1!$P:$P,0)</f>
        <v>0</v>
      </c>
      <c r="N726" s="12">
        <f>_xlfn.XLOOKUP(B726,[1]Sheet1!$B:$B,[1]Sheet1!$Q:$Q,0)</f>
        <v>0</v>
      </c>
      <c r="O726" s="12">
        <f>_xlfn.XLOOKUP(B726,[1]Sheet1!$B:$B,[1]Sheet1!$R:$R,0)</f>
        <v>0</v>
      </c>
      <c r="P726" s="12">
        <f>_xlfn.XLOOKUP(B726,[1]Sheet1!$B:$B,[1]Sheet1!$S:$S,0)</f>
        <v>200000</v>
      </c>
      <c r="Q726" s="12">
        <f>_xlfn.XLOOKUP(B726,[1]Sheet1!$B:$B,[1]Sheet1!$T:$T,0)</f>
        <v>50000</v>
      </c>
      <c r="R726" s="12">
        <f>_xlfn.XLOOKUP(B726,[1]Sheet1!$B:$B,[1]Sheet1!$U:$U,0)</f>
        <v>0</v>
      </c>
      <c r="S726" s="12">
        <f>_xlfn.XLOOKUP(B726,[1]Sheet1!$B:$B,[1]Sheet1!$V:$V,0)</f>
        <v>570000</v>
      </c>
      <c r="T726" s="12">
        <f>_xlfn.XLOOKUP(B726,[1]Sheet1!$B:$B,[1]Sheet1!$W:$W,0)</f>
        <v>4947706</v>
      </c>
      <c r="U726" s="12">
        <f>_xlfn.XLOOKUP(B726,[1]Sheet1!$B:$B,[1]Sheet1!$X:$X,0)</f>
        <v>100000</v>
      </c>
      <c r="V726" s="12">
        <f>_xlfn.XLOOKUP(B726,[1]Sheet1!$B:$B,[1]Sheet1!$Y:$Y,0)</f>
        <v>0</v>
      </c>
      <c r="W726" s="12">
        <f t="shared" si="25"/>
        <v>5867706</v>
      </c>
      <c r="X726" s="6" t="s">
        <v>1070</v>
      </c>
      <c r="Y726" s="6" t="s">
        <v>132</v>
      </c>
      <c r="Z726" s="6" t="s">
        <v>479</v>
      </c>
      <c r="AA726" s="6" t="s">
        <v>185</v>
      </c>
      <c r="AB726" s="6" t="s">
        <v>93</v>
      </c>
      <c r="AC726" s="6" t="s">
        <v>94</v>
      </c>
      <c r="AD726" s="6" t="s">
        <v>482</v>
      </c>
      <c r="AE726" s="6" t="s">
        <v>39</v>
      </c>
      <c r="AF726" s="6" t="s">
        <v>40</v>
      </c>
      <c r="AG726" s="7">
        <v>2645706</v>
      </c>
      <c r="AH726" s="11">
        <f>_xlfn.XLOOKUP(B726,[1]Sheet1!$B:$B,[1]Sheet1!$AB:$AB,0)</f>
        <v>2645706</v>
      </c>
    </row>
    <row r="727" spans="2:34" ht="16.8" thickTop="1" thickBot="1" x14ac:dyDescent="0.35">
      <c r="B727" s="3" t="str">
        <f t="shared" si="24"/>
        <v>45102504511000877Network Service-N422214200104</v>
      </c>
      <c r="C727" s="8" t="s">
        <v>480</v>
      </c>
      <c r="D727" s="8" t="s">
        <v>1177</v>
      </c>
      <c r="E727" s="8" t="s">
        <v>1178</v>
      </c>
      <c r="F727" s="8" t="s">
        <v>1154</v>
      </c>
      <c r="G727" s="4" t="s">
        <v>2865</v>
      </c>
      <c r="H727" s="4" t="s">
        <v>2922</v>
      </c>
      <c r="I727" s="8" t="s">
        <v>1155</v>
      </c>
      <c r="J727" s="8" t="s">
        <v>31</v>
      </c>
      <c r="K727" s="12">
        <f>_xlfn.XLOOKUP(B727,[1]Sheet1!$B:$B,[1]Sheet1!$N:$N,0)</f>
        <v>0</v>
      </c>
      <c r="L727" s="12">
        <f>_xlfn.XLOOKUP(B727,[1]Sheet1!$B:$B,[1]Sheet1!$O:$O,0)</f>
        <v>0</v>
      </c>
      <c r="M727" s="12">
        <f>_xlfn.XLOOKUP(B727,[1]Sheet1!$B:$B,[1]Sheet1!$P:$P,0)</f>
        <v>0</v>
      </c>
      <c r="N727" s="12">
        <f>_xlfn.XLOOKUP(B727,[1]Sheet1!$B:$B,[1]Sheet1!$Q:$Q,0)</f>
        <v>52000</v>
      </c>
      <c r="O727" s="12">
        <f>_xlfn.XLOOKUP(B727,[1]Sheet1!$B:$B,[1]Sheet1!$R:$R,0)</f>
        <v>13000</v>
      </c>
      <c r="P727" s="12">
        <f>_xlfn.XLOOKUP(B727,[1]Sheet1!$B:$B,[1]Sheet1!$S:$S,0)</f>
        <v>13000</v>
      </c>
      <c r="Q727" s="12">
        <f>_xlfn.XLOOKUP(B727,[1]Sheet1!$B:$B,[1]Sheet1!$T:$T,0)</f>
        <v>13000</v>
      </c>
      <c r="R727" s="12">
        <f>_xlfn.XLOOKUP(B727,[1]Sheet1!$B:$B,[1]Sheet1!$U:$U,0)</f>
        <v>13000</v>
      </c>
      <c r="S727" s="12">
        <f>_xlfn.XLOOKUP(B727,[1]Sheet1!$B:$B,[1]Sheet1!$V:$V,0)</f>
        <v>13000</v>
      </c>
      <c r="T727" s="12">
        <f>_xlfn.XLOOKUP(B727,[1]Sheet1!$B:$B,[1]Sheet1!$W:$W,0)</f>
        <v>13000</v>
      </c>
      <c r="U727" s="12">
        <f>_xlfn.XLOOKUP(B727,[1]Sheet1!$B:$B,[1]Sheet1!$X:$X,0)</f>
        <v>13000</v>
      </c>
      <c r="V727" s="12">
        <f>_xlfn.XLOOKUP(B727,[1]Sheet1!$B:$B,[1]Sheet1!$Y:$Y,0)</f>
        <v>13000</v>
      </c>
      <c r="W727" s="12">
        <f t="shared" si="25"/>
        <v>156000</v>
      </c>
      <c r="X727" s="8" t="s">
        <v>1156</v>
      </c>
      <c r="Y727" s="8" t="s">
        <v>132</v>
      </c>
      <c r="Z727" s="8" t="s">
        <v>479</v>
      </c>
      <c r="AA727" s="8" t="s">
        <v>1157</v>
      </c>
      <c r="AB727" s="8" t="s">
        <v>36</v>
      </c>
      <c r="AC727" s="8" t="s">
        <v>37</v>
      </c>
      <c r="AD727" s="8" t="s">
        <v>482</v>
      </c>
      <c r="AE727" s="8" t="s">
        <v>39</v>
      </c>
      <c r="AF727" s="8" t="s">
        <v>40</v>
      </c>
      <c r="AG727" s="9">
        <v>156000</v>
      </c>
      <c r="AH727" s="11">
        <f>_xlfn.XLOOKUP(B727,[1]Sheet1!$B:$B,[1]Sheet1!$AB:$AB,0)</f>
        <v>156000</v>
      </c>
    </row>
    <row r="728" spans="2:34" ht="16.8" thickTop="1" thickBot="1" x14ac:dyDescent="0.35">
      <c r="B728" s="3" t="str">
        <f t="shared" si="24"/>
        <v>45102504511000877System Licenses-N425252200104</v>
      </c>
      <c r="C728" s="6" t="s">
        <v>480</v>
      </c>
      <c r="D728" s="6" t="s">
        <v>1177</v>
      </c>
      <c r="E728" s="6" t="s">
        <v>1178</v>
      </c>
      <c r="F728" s="6" t="s">
        <v>180</v>
      </c>
      <c r="G728" s="4" t="s">
        <v>2821</v>
      </c>
      <c r="H728" s="4" t="s">
        <v>2922</v>
      </c>
      <c r="I728" s="6" t="s">
        <v>181</v>
      </c>
      <c r="J728" s="6" t="s">
        <v>31</v>
      </c>
      <c r="K728" s="12">
        <f>_xlfn.XLOOKUP(B728,[1]Sheet1!$B:$B,[1]Sheet1!$N:$N,0)</f>
        <v>0</v>
      </c>
      <c r="L728" s="12">
        <f>_xlfn.XLOOKUP(B728,[1]Sheet1!$B:$B,[1]Sheet1!$O:$O,0)</f>
        <v>0</v>
      </c>
      <c r="M728" s="12">
        <f>_xlfn.XLOOKUP(B728,[1]Sheet1!$B:$B,[1]Sheet1!$P:$P,0)</f>
        <v>0</v>
      </c>
      <c r="N728" s="12">
        <f>_xlfn.XLOOKUP(B728,[1]Sheet1!$B:$B,[1]Sheet1!$Q:$Q,0)</f>
        <v>0</v>
      </c>
      <c r="O728" s="12">
        <f>_xlfn.XLOOKUP(B728,[1]Sheet1!$B:$B,[1]Sheet1!$R:$R,0)</f>
        <v>100000</v>
      </c>
      <c r="P728" s="12">
        <f>_xlfn.XLOOKUP(B728,[1]Sheet1!$B:$B,[1]Sheet1!$S:$S,0)</f>
        <v>609238.5</v>
      </c>
      <c r="Q728" s="12">
        <f>_xlfn.XLOOKUP(B728,[1]Sheet1!$B:$B,[1]Sheet1!$T:$T,0)</f>
        <v>0</v>
      </c>
      <c r="R728" s="12">
        <f>_xlfn.XLOOKUP(B728,[1]Sheet1!$B:$B,[1]Sheet1!$U:$U,0)</f>
        <v>0</v>
      </c>
      <c r="S728" s="12">
        <f>_xlfn.XLOOKUP(B728,[1]Sheet1!$B:$B,[1]Sheet1!$V:$V,0)</f>
        <v>0</v>
      </c>
      <c r="T728" s="12">
        <f>_xlfn.XLOOKUP(B728,[1]Sheet1!$B:$B,[1]Sheet1!$W:$W,0)</f>
        <v>100000</v>
      </c>
      <c r="U728" s="12">
        <f>_xlfn.XLOOKUP(B728,[1]Sheet1!$B:$B,[1]Sheet1!$X:$X,0)</f>
        <v>1022608</v>
      </c>
      <c r="V728" s="12">
        <f>_xlfn.XLOOKUP(B728,[1]Sheet1!$B:$B,[1]Sheet1!$Y:$Y,0)</f>
        <v>0</v>
      </c>
      <c r="W728" s="12">
        <f t="shared" si="25"/>
        <v>1831846.5</v>
      </c>
      <c r="X728" s="6" t="s">
        <v>487</v>
      </c>
      <c r="Y728" s="6" t="s">
        <v>132</v>
      </c>
      <c r="Z728" s="6" t="s">
        <v>479</v>
      </c>
      <c r="AA728" s="6" t="s">
        <v>183</v>
      </c>
      <c r="AB728" s="6" t="s">
        <v>36</v>
      </c>
      <c r="AC728" s="6" t="s">
        <v>37</v>
      </c>
      <c r="AD728" s="6" t="s">
        <v>482</v>
      </c>
      <c r="AE728" s="6" t="s">
        <v>39</v>
      </c>
      <c r="AF728" s="6" t="s">
        <v>40</v>
      </c>
      <c r="AG728" s="7">
        <v>1862246.5</v>
      </c>
      <c r="AH728" s="11">
        <f>_xlfn.XLOOKUP(B728,[1]Sheet1!$B:$B,[1]Sheet1!$AB:$AB,0)</f>
        <v>1862246.5</v>
      </c>
    </row>
    <row r="729" spans="2:34" ht="16.8" thickTop="1" thickBot="1" x14ac:dyDescent="0.35">
      <c r="B729" s="3" t="str">
        <f t="shared" si="24"/>
        <v>45102504511000877System Maintain-N422212200104</v>
      </c>
      <c r="C729" s="8" t="s">
        <v>480</v>
      </c>
      <c r="D729" s="8" t="s">
        <v>1177</v>
      </c>
      <c r="E729" s="8" t="s">
        <v>1178</v>
      </c>
      <c r="F729" s="8" t="s">
        <v>488</v>
      </c>
      <c r="G729" s="4" t="s">
        <v>2845</v>
      </c>
      <c r="H729" s="4" t="s">
        <v>2922</v>
      </c>
      <c r="I729" s="8" t="s">
        <v>477</v>
      </c>
      <c r="J729" s="8" t="s">
        <v>31</v>
      </c>
      <c r="K729" s="12">
        <f>_xlfn.XLOOKUP(B729,[1]Sheet1!$B:$B,[1]Sheet1!$N:$N,0)</f>
        <v>0</v>
      </c>
      <c r="L729" s="12">
        <f>_xlfn.XLOOKUP(B729,[1]Sheet1!$B:$B,[1]Sheet1!$O:$O,0)</f>
        <v>0</v>
      </c>
      <c r="M729" s="12">
        <f>_xlfn.XLOOKUP(B729,[1]Sheet1!$B:$B,[1]Sheet1!$P:$P,0)</f>
        <v>0</v>
      </c>
      <c r="N729" s="12">
        <f>_xlfn.XLOOKUP(B729,[1]Sheet1!$B:$B,[1]Sheet1!$Q:$Q,0)</f>
        <v>111985.5</v>
      </c>
      <c r="O729" s="12">
        <f>_xlfn.XLOOKUP(B729,[1]Sheet1!$B:$B,[1]Sheet1!$R:$R,0)</f>
        <v>0</v>
      </c>
      <c r="P729" s="12">
        <f>_xlfn.XLOOKUP(B729,[1]Sheet1!$B:$B,[1]Sheet1!$S:$S,0)</f>
        <v>972065.5</v>
      </c>
      <c r="Q729" s="12">
        <f>_xlfn.XLOOKUP(B729,[1]Sheet1!$B:$B,[1]Sheet1!$T:$T,0)</f>
        <v>279272</v>
      </c>
      <c r="R729" s="12">
        <f>_xlfn.XLOOKUP(B729,[1]Sheet1!$B:$B,[1]Sheet1!$U:$U,0)</f>
        <v>497358</v>
      </c>
      <c r="S729" s="12">
        <f>_xlfn.XLOOKUP(B729,[1]Sheet1!$B:$B,[1]Sheet1!$V:$V,0)</f>
        <v>361985.5</v>
      </c>
      <c r="T729" s="12">
        <f>_xlfn.XLOOKUP(B729,[1]Sheet1!$B:$B,[1]Sheet1!$W:$W,0)</f>
        <v>1043875</v>
      </c>
      <c r="U729" s="12">
        <f>_xlfn.XLOOKUP(B729,[1]Sheet1!$B:$B,[1]Sheet1!$X:$X,0)</f>
        <v>1175000</v>
      </c>
      <c r="V729" s="12">
        <f>_xlfn.XLOOKUP(B729,[1]Sheet1!$B:$B,[1]Sheet1!$Y:$Y,0)</f>
        <v>275685.5</v>
      </c>
      <c r="W729" s="12">
        <f t="shared" si="25"/>
        <v>4717227</v>
      </c>
      <c r="X729" s="8" t="s">
        <v>478</v>
      </c>
      <c r="Y729" s="8" t="s">
        <v>132</v>
      </c>
      <c r="Z729" s="8" t="s">
        <v>479</v>
      </c>
      <c r="AA729" s="8" t="s">
        <v>481</v>
      </c>
      <c r="AB729" s="8" t="s">
        <v>36</v>
      </c>
      <c r="AC729" s="8" t="s">
        <v>37</v>
      </c>
      <c r="AD729" s="8" t="s">
        <v>482</v>
      </c>
      <c r="AE729" s="8" t="s">
        <v>39</v>
      </c>
      <c r="AF729" s="8" t="s">
        <v>40</v>
      </c>
      <c r="AG729" s="9">
        <v>3695841</v>
      </c>
      <c r="AH729" s="11">
        <f>_xlfn.XLOOKUP(B729,[1]Sheet1!$B:$B,[1]Sheet1!$AB:$AB,0)</f>
        <v>3695841</v>
      </c>
    </row>
    <row r="730" spans="2:34" ht="16.8" thickTop="1" thickBot="1" x14ac:dyDescent="0.35">
      <c r="B730" s="3" t="str">
        <f t="shared" si="24"/>
        <v>45102504511000877Systems Develop -N1425301200104</v>
      </c>
      <c r="C730" s="6" t="s">
        <v>480</v>
      </c>
      <c r="D730" s="6" t="s">
        <v>1177</v>
      </c>
      <c r="E730" s="6" t="s">
        <v>1178</v>
      </c>
      <c r="F730" s="6" t="s">
        <v>1179</v>
      </c>
      <c r="G730" s="4" t="s">
        <v>2864</v>
      </c>
      <c r="H730" s="4" t="s">
        <v>2922</v>
      </c>
      <c r="I730" s="6" t="s">
        <v>1027</v>
      </c>
      <c r="J730" s="6" t="s">
        <v>31</v>
      </c>
      <c r="K730" s="12">
        <f>_xlfn.XLOOKUP(B730,[1]Sheet1!$B:$B,[1]Sheet1!$N:$N,0)</f>
        <v>0</v>
      </c>
      <c r="L730" s="12">
        <f>_xlfn.XLOOKUP(B730,[1]Sheet1!$B:$B,[1]Sheet1!$O:$O,0)</f>
        <v>0</v>
      </c>
      <c r="M730" s="12">
        <f>_xlfn.XLOOKUP(B730,[1]Sheet1!$B:$B,[1]Sheet1!$P:$P,0)</f>
        <v>0</v>
      </c>
      <c r="N730" s="12">
        <f>_xlfn.XLOOKUP(B730,[1]Sheet1!$B:$B,[1]Sheet1!$Q:$Q,0)</f>
        <v>0</v>
      </c>
      <c r="O730" s="12">
        <f>_xlfn.XLOOKUP(B730,[1]Sheet1!$B:$B,[1]Sheet1!$R:$R,0)</f>
        <v>0</v>
      </c>
      <c r="P730" s="12">
        <f>_xlfn.XLOOKUP(B730,[1]Sheet1!$B:$B,[1]Sheet1!$S:$S,0)</f>
        <v>225000</v>
      </c>
      <c r="Q730" s="12">
        <f>_xlfn.XLOOKUP(B730,[1]Sheet1!$B:$B,[1]Sheet1!$T:$T,0)</f>
        <v>0</v>
      </c>
      <c r="R730" s="12">
        <f>_xlfn.XLOOKUP(B730,[1]Sheet1!$B:$B,[1]Sheet1!$U:$U,0)</f>
        <v>0</v>
      </c>
      <c r="S730" s="12">
        <f>_xlfn.XLOOKUP(B730,[1]Sheet1!$B:$B,[1]Sheet1!$V:$V,0)</f>
        <v>0</v>
      </c>
      <c r="T730" s="12">
        <f>_xlfn.XLOOKUP(B730,[1]Sheet1!$B:$B,[1]Sheet1!$W:$W,0)</f>
        <v>225000</v>
      </c>
      <c r="U730" s="12">
        <f>_xlfn.XLOOKUP(B730,[1]Sheet1!$B:$B,[1]Sheet1!$X:$X,0)</f>
        <v>0</v>
      </c>
      <c r="V730" s="12">
        <f>_xlfn.XLOOKUP(B730,[1]Sheet1!$B:$B,[1]Sheet1!$Y:$Y,0)</f>
        <v>0</v>
      </c>
      <c r="W730" s="12">
        <f t="shared" si="25"/>
        <v>450000</v>
      </c>
      <c r="X730" s="6" t="s">
        <v>1069</v>
      </c>
      <c r="Y730" s="6" t="s">
        <v>132</v>
      </c>
      <c r="Z730" s="6" t="s">
        <v>479</v>
      </c>
      <c r="AA730" s="6" t="s">
        <v>1029</v>
      </c>
      <c r="AB730" s="6" t="s">
        <v>36</v>
      </c>
      <c r="AC730" s="6" t="s">
        <v>37</v>
      </c>
      <c r="AD730" s="6" t="s">
        <v>482</v>
      </c>
      <c r="AE730" s="6" t="s">
        <v>39</v>
      </c>
      <c r="AF730" s="6" t="s">
        <v>40</v>
      </c>
      <c r="AG730" s="7">
        <v>589550</v>
      </c>
      <c r="AH730" s="11">
        <f>_xlfn.XLOOKUP(B730,[1]Sheet1!$B:$B,[1]Sheet1!$AB:$AB,0)</f>
        <v>589550</v>
      </c>
    </row>
    <row r="731" spans="2:34" ht="16.8" thickTop="1" thickBot="1" x14ac:dyDescent="0.35">
      <c r="B731" s="3" t="str">
        <f t="shared" si="24"/>
        <v>45102504511000877Systems Develop-NC493140300105</v>
      </c>
      <c r="C731" s="8" t="s">
        <v>480</v>
      </c>
      <c r="D731" s="8" t="s">
        <v>1177</v>
      </c>
      <c r="E731" s="8" t="s">
        <v>1178</v>
      </c>
      <c r="F731" s="8" t="s">
        <v>184</v>
      </c>
      <c r="G731" s="4" t="s">
        <v>2822</v>
      </c>
      <c r="H731" s="4" t="s">
        <v>2923</v>
      </c>
      <c r="I731" s="8" t="s">
        <v>185</v>
      </c>
      <c r="J731" s="8" t="s">
        <v>31</v>
      </c>
      <c r="K731" s="12">
        <f>_xlfn.XLOOKUP(B731,[1]Sheet1!$B:$B,[1]Sheet1!$N:$N,0)</f>
        <v>0</v>
      </c>
      <c r="L731" s="12">
        <f>_xlfn.XLOOKUP(B731,[1]Sheet1!$B:$B,[1]Sheet1!$O:$O,0)</f>
        <v>0</v>
      </c>
      <c r="M731" s="12">
        <f>_xlfn.XLOOKUP(B731,[1]Sheet1!$B:$B,[1]Sheet1!$P:$P,0)</f>
        <v>0</v>
      </c>
      <c r="N731" s="12">
        <f>_xlfn.XLOOKUP(B731,[1]Sheet1!$B:$B,[1]Sheet1!$Q:$Q,0)</f>
        <v>0</v>
      </c>
      <c r="O731" s="12">
        <f>_xlfn.XLOOKUP(B731,[1]Sheet1!$B:$B,[1]Sheet1!$R:$R,0)</f>
        <v>0</v>
      </c>
      <c r="P731" s="12">
        <f>_xlfn.XLOOKUP(B731,[1]Sheet1!$B:$B,[1]Sheet1!$S:$S,0)</f>
        <v>497259</v>
      </c>
      <c r="Q731" s="12">
        <f>_xlfn.XLOOKUP(B731,[1]Sheet1!$B:$B,[1]Sheet1!$T:$T,0)</f>
        <v>200000</v>
      </c>
      <c r="R731" s="12">
        <f>_xlfn.XLOOKUP(B731,[1]Sheet1!$B:$B,[1]Sheet1!$U:$U,0)</f>
        <v>303333</v>
      </c>
      <c r="S731" s="12">
        <f>_xlfn.XLOOKUP(B731,[1]Sheet1!$B:$B,[1]Sheet1!$V:$V,0)</f>
        <v>500000</v>
      </c>
      <c r="T731" s="12">
        <f>_xlfn.XLOOKUP(B731,[1]Sheet1!$B:$B,[1]Sheet1!$W:$W,0)</f>
        <v>1100592</v>
      </c>
      <c r="U731" s="12">
        <f>_xlfn.XLOOKUP(B731,[1]Sheet1!$B:$B,[1]Sheet1!$X:$X,0)</f>
        <v>0</v>
      </c>
      <c r="V731" s="12">
        <f>_xlfn.XLOOKUP(B731,[1]Sheet1!$B:$B,[1]Sheet1!$Y:$Y,0)</f>
        <v>303334</v>
      </c>
      <c r="W731" s="12">
        <f t="shared" si="25"/>
        <v>2904518</v>
      </c>
      <c r="X731" s="8" t="s">
        <v>1070</v>
      </c>
      <c r="Y731" s="8" t="s">
        <v>132</v>
      </c>
      <c r="Z731" s="8" t="s">
        <v>479</v>
      </c>
      <c r="AA731" s="8" t="s">
        <v>185</v>
      </c>
      <c r="AB731" s="8" t="s">
        <v>93</v>
      </c>
      <c r="AC731" s="8" t="s">
        <v>94</v>
      </c>
      <c r="AD731" s="8" t="s">
        <v>482</v>
      </c>
      <c r="AE731" s="8" t="s">
        <v>39</v>
      </c>
      <c r="AF731" s="8" t="s">
        <v>40</v>
      </c>
      <c r="AG731" s="9">
        <v>6159600</v>
      </c>
      <c r="AH731" s="11">
        <f>_xlfn.XLOOKUP(B731,[1]Sheet1!$B:$B,[1]Sheet1!$AB:$AB,0)</f>
        <v>6159600</v>
      </c>
    </row>
    <row r="732" spans="2:34" ht="16.8" thickTop="1" thickBot="1" x14ac:dyDescent="0.35">
      <c r="B732" s="3" t="str">
        <f t="shared" si="24"/>
        <v>45102504511000877Website Support-N422212200104</v>
      </c>
      <c r="C732" s="6" t="s">
        <v>480</v>
      </c>
      <c r="D732" s="6" t="s">
        <v>1177</v>
      </c>
      <c r="E732" s="6" t="s">
        <v>1178</v>
      </c>
      <c r="F732" s="6" t="s">
        <v>1161</v>
      </c>
      <c r="G732" s="4" t="s">
        <v>2845</v>
      </c>
      <c r="H732" s="4" t="s">
        <v>2922</v>
      </c>
      <c r="I732" s="6" t="s">
        <v>477</v>
      </c>
      <c r="J732" s="6" t="s">
        <v>31</v>
      </c>
      <c r="K732" s="12">
        <f>_xlfn.XLOOKUP(B732,[1]Sheet1!$B:$B,[1]Sheet1!$N:$N,0)</f>
        <v>0</v>
      </c>
      <c r="L732" s="12">
        <f>_xlfn.XLOOKUP(B732,[1]Sheet1!$B:$B,[1]Sheet1!$O:$O,0)</f>
        <v>0</v>
      </c>
      <c r="M732" s="12">
        <f>_xlfn.XLOOKUP(B732,[1]Sheet1!$B:$B,[1]Sheet1!$P:$P,0)</f>
        <v>0</v>
      </c>
      <c r="N732" s="12">
        <f>_xlfn.XLOOKUP(B732,[1]Sheet1!$B:$B,[1]Sheet1!$Q:$Q,0)</f>
        <v>208291.13</v>
      </c>
      <c r="O732" s="12">
        <f>_xlfn.XLOOKUP(B732,[1]Sheet1!$B:$B,[1]Sheet1!$R:$R,0)</f>
        <v>0</v>
      </c>
      <c r="P732" s="12">
        <f>_xlfn.XLOOKUP(B732,[1]Sheet1!$B:$B,[1]Sheet1!$S:$S,0)</f>
        <v>61758.13</v>
      </c>
      <c r="Q732" s="12">
        <f>_xlfn.XLOOKUP(B732,[1]Sheet1!$B:$B,[1]Sheet1!$T:$T,0)</f>
        <v>0</v>
      </c>
      <c r="R732" s="12">
        <f>_xlfn.XLOOKUP(B732,[1]Sheet1!$B:$B,[1]Sheet1!$U:$U,0)</f>
        <v>148500</v>
      </c>
      <c r="S732" s="12">
        <f>_xlfn.XLOOKUP(B732,[1]Sheet1!$B:$B,[1]Sheet1!$V:$V,0)</f>
        <v>60108.740000000005</v>
      </c>
      <c r="T732" s="12">
        <f>_xlfn.XLOOKUP(B732,[1]Sheet1!$B:$B,[1]Sheet1!$W:$W,0)</f>
        <v>0</v>
      </c>
      <c r="U732" s="12">
        <f>_xlfn.XLOOKUP(B732,[1]Sheet1!$B:$B,[1]Sheet1!$X:$X,0)</f>
        <v>776380</v>
      </c>
      <c r="V732" s="12">
        <f>_xlfn.XLOOKUP(B732,[1]Sheet1!$B:$B,[1]Sheet1!$Y:$Y,0)</f>
        <v>303000</v>
      </c>
      <c r="W732" s="12">
        <f t="shared" si="25"/>
        <v>1558038</v>
      </c>
      <c r="X732" s="6" t="s">
        <v>478</v>
      </c>
      <c r="Y732" s="6" t="s">
        <v>132</v>
      </c>
      <c r="Z732" s="6" t="s">
        <v>479</v>
      </c>
      <c r="AA732" s="6" t="s">
        <v>481</v>
      </c>
      <c r="AB732" s="6" t="s">
        <v>36</v>
      </c>
      <c r="AC732" s="6" t="s">
        <v>37</v>
      </c>
      <c r="AD732" s="6" t="s">
        <v>482</v>
      </c>
      <c r="AE732" s="6" t="s">
        <v>39</v>
      </c>
      <c r="AF732" s="6" t="s">
        <v>40</v>
      </c>
      <c r="AG732" s="7">
        <v>1558038</v>
      </c>
      <c r="AH732" s="11">
        <f>_xlfn.XLOOKUP(B732,[1]Sheet1!$B:$B,[1]Sheet1!$AB:$AB,0)</f>
        <v>1558038</v>
      </c>
    </row>
    <row r="733" spans="2:34" ht="16.8" thickTop="1" thickBot="1" x14ac:dyDescent="0.35">
      <c r="B733" s="3" t="str">
        <f t="shared" si="24"/>
        <v>45102504511000877Website Support-NC493140300105</v>
      </c>
      <c r="C733" s="8" t="s">
        <v>480</v>
      </c>
      <c r="D733" s="8" t="s">
        <v>1177</v>
      </c>
      <c r="E733" s="8" t="s">
        <v>1178</v>
      </c>
      <c r="F733" s="8" t="s">
        <v>1180</v>
      </c>
      <c r="G733" s="4" t="s">
        <v>2822</v>
      </c>
      <c r="H733" s="4" t="s">
        <v>2923</v>
      </c>
      <c r="I733" s="8" t="s">
        <v>185</v>
      </c>
      <c r="J733" s="8" t="s">
        <v>31</v>
      </c>
      <c r="K733" s="12">
        <f>_xlfn.XLOOKUP(B733,[1]Sheet1!$B:$B,[1]Sheet1!$N:$N,0)</f>
        <v>0</v>
      </c>
      <c r="L733" s="12">
        <f>_xlfn.XLOOKUP(B733,[1]Sheet1!$B:$B,[1]Sheet1!$O:$O,0)</f>
        <v>0</v>
      </c>
      <c r="M733" s="12">
        <f>_xlfn.XLOOKUP(B733,[1]Sheet1!$B:$B,[1]Sheet1!$P:$P,0)</f>
        <v>0</v>
      </c>
      <c r="N733" s="12">
        <f>_xlfn.XLOOKUP(B733,[1]Sheet1!$B:$B,[1]Sheet1!$Q:$Q,0)</f>
        <v>0</v>
      </c>
      <c r="O733" s="12">
        <f>_xlfn.XLOOKUP(B733,[1]Sheet1!$B:$B,[1]Sheet1!$R:$R,0)</f>
        <v>0</v>
      </c>
      <c r="P733" s="12">
        <f>_xlfn.XLOOKUP(B733,[1]Sheet1!$B:$B,[1]Sheet1!$S:$S,0)</f>
        <v>0</v>
      </c>
      <c r="Q733" s="12">
        <f>_xlfn.XLOOKUP(B733,[1]Sheet1!$B:$B,[1]Sheet1!$T:$T,0)</f>
        <v>200000</v>
      </c>
      <c r="R733" s="12">
        <f>_xlfn.XLOOKUP(B733,[1]Sheet1!$B:$B,[1]Sheet1!$U:$U,0)</f>
        <v>0</v>
      </c>
      <c r="S733" s="12">
        <f>_xlfn.XLOOKUP(B733,[1]Sheet1!$B:$B,[1]Sheet1!$V:$V,0)</f>
        <v>200000</v>
      </c>
      <c r="T733" s="12">
        <f>_xlfn.XLOOKUP(B733,[1]Sheet1!$B:$B,[1]Sheet1!$W:$W,0)</f>
        <v>0</v>
      </c>
      <c r="U733" s="12">
        <f>_xlfn.XLOOKUP(B733,[1]Sheet1!$B:$B,[1]Sheet1!$X:$X,0)</f>
        <v>0</v>
      </c>
      <c r="V733" s="12">
        <f>_xlfn.XLOOKUP(B733,[1]Sheet1!$B:$B,[1]Sheet1!$Y:$Y,0)</f>
        <v>0</v>
      </c>
      <c r="W733" s="12">
        <f t="shared" si="25"/>
        <v>400000</v>
      </c>
      <c r="X733" s="8" t="s">
        <v>1070</v>
      </c>
      <c r="Y733" s="8" t="s">
        <v>132</v>
      </c>
      <c r="Z733" s="8" t="s">
        <v>479</v>
      </c>
      <c r="AA733" s="8" t="s">
        <v>185</v>
      </c>
      <c r="AB733" s="8" t="s">
        <v>93</v>
      </c>
      <c r="AC733" s="8" t="s">
        <v>94</v>
      </c>
      <c r="AD733" s="8" t="s">
        <v>482</v>
      </c>
      <c r="AE733" s="8" t="s">
        <v>39</v>
      </c>
      <c r="AF733" s="8" t="s">
        <v>40</v>
      </c>
      <c r="AG733" s="9">
        <v>400000</v>
      </c>
      <c r="AH733" s="11">
        <f>_xlfn.XLOOKUP(B733,[1]Sheet1!$B:$B,[1]Sheet1!$AB:$AB,0)</f>
        <v>400000</v>
      </c>
    </row>
    <row r="734" spans="2:34" ht="16.8" thickTop="1" thickBot="1" x14ac:dyDescent="0.35">
      <c r="B734" s="3" t="str">
        <f t="shared" si="24"/>
        <v>45102504511000878System Licenses-N425252200104</v>
      </c>
      <c r="C734" s="6" t="s">
        <v>480</v>
      </c>
      <c r="D734" s="6" t="s">
        <v>1181</v>
      </c>
      <c r="E734" s="6" t="s">
        <v>1182</v>
      </c>
      <c r="F734" s="6" t="s">
        <v>180</v>
      </c>
      <c r="G734" s="4" t="s">
        <v>2821</v>
      </c>
      <c r="H734" s="4" t="s">
        <v>2922</v>
      </c>
      <c r="I734" s="6" t="s">
        <v>181</v>
      </c>
      <c r="J734" s="6" t="s">
        <v>31</v>
      </c>
      <c r="K734" s="12">
        <f>_xlfn.XLOOKUP(B734,[1]Sheet1!$B:$B,[1]Sheet1!$N:$N,0)</f>
        <v>0</v>
      </c>
      <c r="L734" s="12">
        <f>_xlfn.XLOOKUP(B734,[1]Sheet1!$B:$B,[1]Sheet1!$O:$O,0)</f>
        <v>0</v>
      </c>
      <c r="M734" s="12">
        <f>_xlfn.XLOOKUP(B734,[1]Sheet1!$B:$B,[1]Sheet1!$P:$P,0)</f>
        <v>0</v>
      </c>
      <c r="N734" s="12">
        <f>_xlfn.XLOOKUP(B734,[1]Sheet1!$B:$B,[1]Sheet1!$Q:$Q,0)</f>
        <v>156400</v>
      </c>
      <c r="O734" s="12">
        <f>_xlfn.XLOOKUP(B734,[1]Sheet1!$B:$B,[1]Sheet1!$R:$R,0)</f>
        <v>40000</v>
      </c>
      <c r="P734" s="12">
        <f>_xlfn.XLOOKUP(B734,[1]Sheet1!$B:$B,[1]Sheet1!$S:$S,0)</f>
        <v>0</v>
      </c>
      <c r="Q734" s="12">
        <f>_xlfn.XLOOKUP(B734,[1]Sheet1!$B:$B,[1]Sheet1!$T:$T,0)</f>
        <v>685600</v>
      </c>
      <c r="R734" s="12">
        <f>_xlfn.XLOOKUP(B734,[1]Sheet1!$B:$B,[1]Sheet1!$U:$U,0)</f>
        <v>66000</v>
      </c>
      <c r="S734" s="12">
        <f>_xlfn.XLOOKUP(B734,[1]Sheet1!$B:$B,[1]Sheet1!$V:$V,0)</f>
        <v>174800</v>
      </c>
      <c r="T734" s="12">
        <f>_xlfn.XLOOKUP(B734,[1]Sheet1!$B:$B,[1]Sheet1!$W:$W,0)</f>
        <v>176170</v>
      </c>
      <c r="U734" s="12">
        <f>_xlfn.XLOOKUP(B734,[1]Sheet1!$B:$B,[1]Sheet1!$X:$X,0)</f>
        <v>1029488</v>
      </c>
      <c r="V734" s="12">
        <f>_xlfn.XLOOKUP(B734,[1]Sheet1!$B:$B,[1]Sheet1!$Y:$Y,0)</f>
        <v>0</v>
      </c>
      <c r="W734" s="12">
        <f t="shared" si="25"/>
        <v>2328458</v>
      </c>
      <c r="X734" s="6" t="s">
        <v>487</v>
      </c>
      <c r="Y734" s="6" t="s">
        <v>132</v>
      </c>
      <c r="Z734" s="6" t="s">
        <v>479</v>
      </c>
      <c r="AA734" s="6" t="s">
        <v>183</v>
      </c>
      <c r="AB734" s="6" t="s">
        <v>36</v>
      </c>
      <c r="AC734" s="6" t="s">
        <v>37</v>
      </c>
      <c r="AD734" s="6" t="s">
        <v>482</v>
      </c>
      <c r="AE734" s="6" t="s">
        <v>39</v>
      </c>
      <c r="AF734" s="6" t="s">
        <v>40</v>
      </c>
      <c r="AG734" s="7">
        <v>2028458</v>
      </c>
      <c r="AH734" s="11">
        <f>_xlfn.XLOOKUP(B734,[1]Sheet1!$B:$B,[1]Sheet1!$AB:$AB,0)</f>
        <v>2028458</v>
      </c>
    </row>
    <row r="735" spans="2:34" ht="16.8" thickTop="1" thickBot="1" x14ac:dyDescent="0.35">
      <c r="B735" s="3" t="str">
        <f t="shared" si="24"/>
        <v>45102504511000878Systems Develop-NC493140300105</v>
      </c>
      <c r="C735" s="8" t="s">
        <v>480</v>
      </c>
      <c r="D735" s="8" t="s">
        <v>1181</v>
      </c>
      <c r="E735" s="8" t="s">
        <v>1182</v>
      </c>
      <c r="F735" s="8" t="s">
        <v>184</v>
      </c>
      <c r="G735" s="4" t="s">
        <v>2822</v>
      </c>
      <c r="H735" s="4" t="s">
        <v>2923</v>
      </c>
      <c r="I735" s="8" t="s">
        <v>185</v>
      </c>
      <c r="J735" s="8" t="s">
        <v>31</v>
      </c>
      <c r="K735" s="12">
        <f>_xlfn.XLOOKUP(B735,[1]Sheet1!$B:$B,[1]Sheet1!$N:$N,0)</f>
        <v>0</v>
      </c>
      <c r="L735" s="12">
        <f>_xlfn.XLOOKUP(B735,[1]Sheet1!$B:$B,[1]Sheet1!$O:$O,0)</f>
        <v>0</v>
      </c>
      <c r="M735" s="12">
        <f>_xlfn.XLOOKUP(B735,[1]Sheet1!$B:$B,[1]Sheet1!$P:$P,0)</f>
        <v>0</v>
      </c>
      <c r="N735" s="12">
        <f>_xlfn.XLOOKUP(B735,[1]Sheet1!$B:$B,[1]Sheet1!$Q:$Q,0)</f>
        <v>0</v>
      </c>
      <c r="O735" s="12">
        <f>_xlfn.XLOOKUP(B735,[1]Sheet1!$B:$B,[1]Sheet1!$R:$R,0)</f>
        <v>0</v>
      </c>
      <c r="P735" s="12">
        <f>_xlfn.XLOOKUP(B735,[1]Sheet1!$B:$B,[1]Sheet1!$S:$S,0)</f>
        <v>420000</v>
      </c>
      <c r="Q735" s="12">
        <f>_xlfn.XLOOKUP(B735,[1]Sheet1!$B:$B,[1]Sheet1!$T:$T,0)</f>
        <v>0</v>
      </c>
      <c r="R735" s="12">
        <f>_xlfn.XLOOKUP(B735,[1]Sheet1!$B:$B,[1]Sheet1!$U:$U,0)</f>
        <v>0</v>
      </c>
      <c r="S735" s="12">
        <f>_xlfn.XLOOKUP(B735,[1]Sheet1!$B:$B,[1]Sheet1!$V:$V,0)</f>
        <v>198315</v>
      </c>
      <c r="T735" s="12">
        <f>_xlfn.XLOOKUP(B735,[1]Sheet1!$B:$B,[1]Sheet1!$W:$W,0)</f>
        <v>250000</v>
      </c>
      <c r="U735" s="12">
        <f>_xlfn.XLOOKUP(B735,[1]Sheet1!$B:$B,[1]Sheet1!$X:$X,0)</f>
        <v>220000</v>
      </c>
      <c r="V735" s="12">
        <f>_xlfn.XLOOKUP(B735,[1]Sheet1!$B:$B,[1]Sheet1!$Y:$Y,0)</f>
        <v>0</v>
      </c>
      <c r="W735" s="12">
        <f t="shared" si="25"/>
        <v>1088315</v>
      </c>
      <c r="X735" s="8" t="s">
        <v>1070</v>
      </c>
      <c r="Y735" s="8" t="s">
        <v>132</v>
      </c>
      <c r="Z735" s="8" t="s">
        <v>479</v>
      </c>
      <c r="AA735" s="8" t="s">
        <v>185</v>
      </c>
      <c r="AB735" s="8" t="s">
        <v>93</v>
      </c>
      <c r="AC735" s="8" t="s">
        <v>94</v>
      </c>
      <c r="AD735" s="8" t="s">
        <v>482</v>
      </c>
      <c r="AE735" s="8" t="s">
        <v>39</v>
      </c>
      <c r="AF735" s="8" t="s">
        <v>40</v>
      </c>
      <c r="AG735" s="9">
        <v>2788315</v>
      </c>
      <c r="AH735" s="11">
        <f>_xlfn.XLOOKUP(B735,[1]Sheet1!$B:$B,[1]Sheet1!$AB:$AB,0)</f>
        <v>2788315</v>
      </c>
    </row>
    <row r="736" spans="2:34" ht="16.8" thickTop="1" thickBot="1" x14ac:dyDescent="0.35">
      <c r="B736" s="3" t="str">
        <f t="shared" si="24"/>
        <v>45192014511000880Awards &amp; Prizes-N2424231200104</v>
      </c>
      <c r="C736" s="6" t="s">
        <v>876</v>
      </c>
      <c r="D736" s="6" t="s">
        <v>1183</v>
      </c>
      <c r="E736" s="6" t="s">
        <v>1184</v>
      </c>
      <c r="F736" s="6" t="s">
        <v>873</v>
      </c>
      <c r="G736" s="4" t="s">
        <v>2832</v>
      </c>
      <c r="H736" s="4" t="s">
        <v>2922</v>
      </c>
      <c r="I736" s="6" t="s">
        <v>324</v>
      </c>
      <c r="J736" s="6" t="s">
        <v>31</v>
      </c>
      <c r="K736" s="12">
        <f>_xlfn.XLOOKUP(B736,[1]Sheet1!$B:$B,[1]Sheet1!$N:$N,0)</f>
        <v>0</v>
      </c>
      <c r="L736" s="12">
        <f>_xlfn.XLOOKUP(B736,[1]Sheet1!$B:$B,[1]Sheet1!$O:$O,0)</f>
        <v>0</v>
      </c>
      <c r="M736" s="12">
        <f>_xlfn.XLOOKUP(B736,[1]Sheet1!$B:$B,[1]Sheet1!$P:$P,0)</f>
        <v>0</v>
      </c>
      <c r="N736" s="12">
        <f>_xlfn.XLOOKUP(B736,[1]Sheet1!$B:$B,[1]Sheet1!$Q:$Q,0)</f>
        <v>0</v>
      </c>
      <c r="O736" s="12">
        <f>_xlfn.XLOOKUP(B736,[1]Sheet1!$B:$B,[1]Sheet1!$R:$R,0)</f>
        <v>0</v>
      </c>
      <c r="P736" s="12">
        <f>_xlfn.XLOOKUP(B736,[1]Sheet1!$B:$B,[1]Sheet1!$S:$S,0)</f>
        <v>0</v>
      </c>
      <c r="Q736" s="12">
        <f>_xlfn.XLOOKUP(B736,[1]Sheet1!$B:$B,[1]Sheet1!$T:$T,0)</f>
        <v>0</v>
      </c>
      <c r="R736" s="12">
        <f>_xlfn.XLOOKUP(B736,[1]Sheet1!$B:$B,[1]Sheet1!$U:$U,0)</f>
        <v>0</v>
      </c>
      <c r="S736" s="12">
        <f>_xlfn.XLOOKUP(B736,[1]Sheet1!$B:$B,[1]Sheet1!$V:$V,0)</f>
        <v>0</v>
      </c>
      <c r="T736" s="12">
        <f>_xlfn.XLOOKUP(B736,[1]Sheet1!$B:$B,[1]Sheet1!$W:$W,0)</f>
        <v>0</v>
      </c>
      <c r="U736" s="12">
        <f>_xlfn.XLOOKUP(B736,[1]Sheet1!$B:$B,[1]Sheet1!$X:$X,0)</f>
        <v>750000</v>
      </c>
      <c r="V736" s="12">
        <f>_xlfn.XLOOKUP(B736,[1]Sheet1!$B:$B,[1]Sheet1!$Y:$Y,0)</f>
        <v>750000</v>
      </c>
      <c r="W736" s="12">
        <f t="shared" si="25"/>
        <v>1500000</v>
      </c>
      <c r="X736" s="6" t="s">
        <v>874</v>
      </c>
      <c r="Y736" s="6" t="s">
        <v>392</v>
      </c>
      <c r="Z736" s="6" t="s">
        <v>875</v>
      </c>
      <c r="AA736" s="6" t="s">
        <v>326</v>
      </c>
      <c r="AB736" s="6" t="s">
        <v>36</v>
      </c>
      <c r="AC736" s="6" t="s">
        <v>37</v>
      </c>
      <c r="AD736" s="6" t="s">
        <v>859</v>
      </c>
      <c r="AE736" s="6" t="s">
        <v>39</v>
      </c>
      <c r="AF736" s="6" t="s">
        <v>40</v>
      </c>
      <c r="AG736" s="7">
        <v>1500000</v>
      </c>
      <c r="AH736" s="11">
        <f>_xlfn.XLOOKUP(B736,[1]Sheet1!$B:$B,[1]Sheet1!$AB:$AB,0)</f>
        <v>1500000</v>
      </c>
    </row>
    <row r="737" spans="2:34" ht="16.8" thickTop="1" thickBot="1" x14ac:dyDescent="0.35">
      <c r="B737" s="3" t="str">
        <f t="shared" si="24"/>
        <v>45192014511000880Committee Member-N2421115200104</v>
      </c>
      <c r="C737" s="8" t="s">
        <v>876</v>
      </c>
      <c r="D737" s="8" t="s">
        <v>1183</v>
      </c>
      <c r="E737" s="8" t="s">
        <v>1184</v>
      </c>
      <c r="F737" s="8" t="s">
        <v>877</v>
      </c>
      <c r="G737" s="4" t="s">
        <v>2859</v>
      </c>
      <c r="H737" s="4" t="s">
        <v>2922</v>
      </c>
      <c r="I737" s="8" t="s">
        <v>878</v>
      </c>
      <c r="J737" s="8" t="s">
        <v>31</v>
      </c>
      <c r="K737" s="12">
        <f>_xlfn.XLOOKUP(B737,[1]Sheet1!$B:$B,[1]Sheet1!$N:$N,0)</f>
        <v>0</v>
      </c>
      <c r="L737" s="12">
        <f>_xlfn.XLOOKUP(B737,[1]Sheet1!$B:$B,[1]Sheet1!$O:$O,0)</f>
        <v>0</v>
      </c>
      <c r="M737" s="12">
        <f>_xlfn.XLOOKUP(B737,[1]Sheet1!$B:$B,[1]Sheet1!$P:$P,0)</f>
        <v>0</v>
      </c>
      <c r="N737" s="12">
        <f>_xlfn.XLOOKUP(B737,[1]Sheet1!$B:$B,[1]Sheet1!$Q:$Q,0)</f>
        <v>0</v>
      </c>
      <c r="O737" s="12">
        <f>_xlfn.XLOOKUP(B737,[1]Sheet1!$B:$B,[1]Sheet1!$R:$R,0)</f>
        <v>0</v>
      </c>
      <c r="P737" s="12">
        <f>_xlfn.XLOOKUP(B737,[1]Sheet1!$B:$B,[1]Sheet1!$S:$S,0)</f>
        <v>0</v>
      </c>
      <c r="Q737" s="12">
        <f>_xlfn.XLOOKUP(B737,[1]Sheet1!$B:$B,[1]Sheet1!$T:$T,0)</f>
        <v>45000</v>
      </c>
      <c r="R737" s="12">
        <f>_xlfn.XLOOKUP(B737,[1]Sheet1!$B:$B,[1]Sheet1!$U:$U,0)</f>
        <v>0</v>
      </c>
      <c r="S737" s="12">
        <f>_xlfn.XLOOKUP(B737,[1]Sheet1!$B:$B,[1]Sheet1!$V:$V,0)</f>
        <v>0</v>
      </c>
      <c r="T737" s="12">
        <f>_xlfn.XLOOKUP(B737,[1]Sheet1!$B:$B,[1]Sheet1!$W:$W,0)</f>
        <v>605000</v>
      </c>
      <c r="U737" s="12">
        <f>_xlfn.XLOOKUP(B737,[1]Sheet1!$B:$B,[1]Sheet1!$X:$X,0)</f>
        <v>0</v>
      </c>
      <c r="V737" s="12">
        <f>_xlfn.XLOOKUP(B737,[1]Sheet1!$B:$B,[1]Sheet1!$Y:$Y,0)</f>
        <v>0</v>
      </c>
      <c r="W737" s="12">
        <f t="shared" si="25"/>
        <v>650000</v>
      </c>
      <c r="X737" s="8" t="s">
        <v>879</v>
      </c>
      <c r="Y737" s="8" t="s">
        <v>392</v>
      </c>
      <c r="Z737" s="8" t="s">
        <v>875</v>
      </c>
      <c r="AA737" s="8" t="s">
        <v>878</v>
      </c>
      <c r="AB737" s="8" t="s">
        <v>36</v>
      </c>
      <c r="AC737" s="8" t="s">
        <v>37</v>
      </c>
      <c r="AD737" s="8" t="s">
        <v>863</v>
      </c>
      <c r="AE737" s="8" t="s">
        <v>39</v>
      </c>
      <c r="AF737" s="8" t="s">
        <v>40</v>
      </c>
      <c r="AG737" s="9">
        <v>650000</v>
      </c>
      <c r="AH737" s="11">
        <f>_xlfn.XLOOKUP(B737,[1]Sheet1!$B:$B,[1]Sheet1!$AB:$AB,0)</f>
        <v>650000</v>
      </c>
    </row>
    <row r="738" spans="2:34" ht="16.8" thickTop="1" thickBot="1" x14ac:dyDescent="0.35">
      <c r="B738" s="3" t="str">
        <f t="shared" si="24"/>
        <v>45192014511000880Event Management-N2422401200104</v>
      </c>
      <c r="C738" s="6" t="s">
        <v>876</v>
      </c>
      <c r="D738" s="6" t="s">
        <v>1183</v>
      </c>
      <c r="E738" s="6" t="s">
        <v>1184</v>
      </c>
      <c r="F738" s="6" t="s">
        <v>387</v>
      </c>
      <c r="G738" s="4" t="s">
        <v>2807</v>
      </c>
      <c r="H738" s="4" t="s">
        <v>2922</v>
      </c>
      <c r="I738" s="6" t="s">
        <v>63</v>
      </c>
      <c r="J738" s="6" t="s">
        <v>31</v>
      </c>
      <c r="K738" s="12">
        <f>_xlfn.XLOOKUP(B738,[1]Sheet1!$B:$B,[1]Sheet1!$N:$N,0)</f>
        <v>0</v>
      </c>
      <c r="L738" s="12">
        <f>_xlfn.XLOOKUP(B738,[1]Sheet1!$B:$B,[1]Sheet1!$O:$O,0)</f>
        <v>0</v>
      </c>
      <c r="M738" s="12">
        <f>_xlfn.XLOOKUP(B738,[1]Sheet1!$B:$B,[1]Sheet1!$P:$P,0)</f>
        <v>0</v>
      </c>
      <c r="N738" s="12">
        <f>_xlfn.XLOOKUP(B738,[1]Sheet1!$B:$B,[1]Sheet1!$Q:$Q,0)</f>
        <v>0</v>
      </c>
      <c r="O738" s="12">
        <f>_xlfn.XLOOKUP(B738,[1]Sheet1!$B:$B,[1]Sheet1!$R:$R,0)</f>
        <v>0</v>
      </c>
      <c r="P738" s="12">
        <f>_xlfn.XLOOKUP(B738,[1]Sheet1!$B:$B,[1]Sheet1!$S:$S,0)</f>
        <v>0</v>
      </c>
      <c r="Q738" s="12">
        <f>_xlfn.XLOOKUP(B738,[1]Sheet1!$B:$B,[1]Sheet1!$T:$T,0)</f>
        <v>0</v>
      </c>
      <c r="R738" s="12">
        <f>_xlfn.XLOOKUP(B738,[1]Sheet1!$B:$B,[1]Sheet1!$U:$U,0)</f>
        <v>0</v>
      </c>
      <c r="S738" s="12">
        <f>_xlfn.XLOOKUP(B738,[1]Sheet1!$B:$B,[1]Sheet1!$V:$V,0)</f>
        <v>0</v>
      </c>
      <c r="T738" s="12">
        <f>_xlfn.XLOOKUP(B738,[1]Sheet1!$B:$B,[1]Sheet1!$W:$W,0)</f>
        <v>0</v>
      </c>
      <c r="U738" s="12">
        <f>_xlfn.XLOOKUP(B738,[1]Sheet1!$B:$B,[1]Sheet1!$X:$X,0)</f>
        <v>1500000</v>
      </c>
      <c r="V738" s="12">
        <f>_xlfn.XLOOKUP(B738,[1]Sheet1!$B:$B,[1]Sheet1!$Y:$Y,0)</f>
        <v>0</v>
      </c>
      <c r="W738" s="12">
        <f t="shared" si="25"/>
        <v>1500000</v>
      </c>
      <c r="X738" s="6" t="s">
        <v>880</v>
      </c>
      <c r="Y738" s="6" t="s">
        <v>392</v>
      </c>
      <c r="Z738" s="6" t="s">
        <v>875</v>
      </c>
      <c r="AA738" s="6" t="s">
        <v>68</v>
      </c>
      <c r="AB738" s="6" t="s">
        <v>36</v>
      </c>
      <c r="AC738" s="6" t="s">
        <v>37</v>
      </c>
      <c r="AD738" s="6" t="s">
        <v>859</v>
      </c>
      <c r="AE738" s="6" t="s">
        <v>39</v>
      </c>
      <c r="AF738" s="6" t="s">
        <v>40</v>
      </c>
      <c r="AG738" s="7">
        <v>1500000</v>
      </c>
      <c r="AH738" s="11">
        <f>_xlfn.XLOOKUP(B738,[1]Sheet1!$B:$B,[1]Sheet1!$AB:$AB,0)</f>
        <v>1500000</v>
      </c>
    </row>
    <row r="739" spans="2:34" ht="16.8" thickTop="1" thickBot="1" x14ac:dyDescent="0.35">
      <c r="B739" s="3" t="str">
        <f t="shared" si="24"/>
        <v>45192014511000880Gen Logistics-N3424671200104</v>
      </c>
      <c r="C739" s="8" t="s">
        <v>876</v>
      </c>
      <c r="D739" s="8" t="s">
        <v>1183</v>
      </c>
      <c r="E739" s="8" t="s">
        <v>1184</v>
      </c>
      <c r="F739" s="8" t="s">
        <v>1185</v>
      </c>
      <c r="G739" s="4" t="s">
        <v>2831</v>
      </c>
      <c r="H739" s="4" t="s">
        <v>2922</v>
      </c>
      <c r="I739" s="8" t="s">
        <v>312</v>
      </c>
      <c r="J739" s="8" t="s">
        <v>31</v>
      </c>
      <c r="K739" s="12">
        <f>_xlfn.XLOOKUP(B739,[1]Sheet1!$B:$B,[1]Sheet1!$N:$N,0)</f>
        <v>0</v>
      </c>
      <c r="L739" s="12">
        <f>_xlfn.XLOOKUP(B739,[1]Sheet1!$B:$B,[1]Sheet1!$O:$O,0)</f>
        <v>0</v>
      </c>
      <c r="M739" s="12">
        <f>_xlfn.XLOOKUP(B739,[1]Sheet1!$B:$B,[1]Sheet1!$P:$P,0)</f>
        <v>0</v>
      </c>
      <c r="N739" s="12">
        <f>_xlfn.XLOOKUP(B739,[1]Sheet1!$B:$B,[1]Sheet1!$Q:$Q,0)</f>
        <v>244100</v>
      </c>
      <c r="O739" s="12">
        <f>_xlfn.XLOOKUP(B739,[1]Sheet1!$B:$B,[1]Sheet1!$R:$R,0)</f>
        <v>0</v>
      </c>
      <c r="P739" s="12">
        <f>_xlfn.XLOOKUP(B739,[1]Sheet1!$B:$B,[1]Sheet1!$S:$S,0)</f>
        <v>0</v>
      </c>
      <c r="Q739" s="12">
        <f>_xlfn.XLOOKUP(B739,[1]Sheet1!$B:$B,[1]Sheet1!$T:$T,0)</f>
        <v>0</v>
      </c>
      <c r="R739" s="12">
        <f>_xlfn.XLOOKUP(B739,[1]Sheet1!$B:$B,[1]Sheet1!$U:$U,0)</f>
        <v>0</v>
      </c>
      <c r="S739" s="12">
        <f>_xlfn.XLOOKUP(B739,[1]Sheet1!$B:$B,[1]Sheet1!$V:$V,0)</f>
        <v>0</v>
      </c>
      <c r="T739" s="12">
        <f>_xlfn.XLOOKUP(B739,[1]Sheet1!$B:$B,[1]Sheet1!$W:$W,0)</f>
        <v>0</v>
      </c>
      <c r="U739" s="12">
        <f>_xlfn.XLOOKUP(B739,[1]Sheet1!$B:$B,[1]Sheet1!$X:$X,0)</f>
        <v>0</v>
      </c>
      <c r="V739" s="12">
        <f>_xlfn.XLOOKUP(B739,[1]Sheet1!$B:$B,[1]Sheet1!$Y:$Y,0)</f>
        <v>0</v>
      </c>
      <c r="W739" s="12">
        <f t="shared" si="25"/>
        <v>244100</v>
      </c>
      <c r="X739" s="8" t="s">
        <v>882</v>
      </c>
      <c r="Y739" s="8" t="s">
        <v>392</v>
      </c>
      <c r="Z739" s="8" t="s">
        <v>875</v>
      </c>
      <c r="AA739" s="8" t="s">
        <v>314</v>
      </c>
      <c r="AB739" s="8" t="s">
        <v>36</v>
      </c>
      <c r="AC739" s="8" t="s">
        <v>37</v>
      </c>
      <c r="AD739" s="8" t="s">
        <v>859</v>
      </c>
      <c r="AE739" s="8" t="s">
        <v>39</v>
      </c>
      <c r="AF739" s="8" t="s">
        <v>40</v>
      </c>
      <c r="AG739" s="9">
        <v>244100</v>
      </c>
      <c r="AH739" s="11">
        <f>_xlfn.XLOOKUP(B739,[1]Sheet1!$B:$B,[1]Sheet1!$AB:$AB,0)</f>
        <v>244100</v>
      </c>
    </row>
    <row r="740" spans="2:34" ht="16.8" thickTop="1" thickBot="1" x14ac:dyDescent="0.35">
      <c r="B740" s="3" t="str">
        <f t="shared" si="24"/>
        <v>45192014511000880Hospitality-N2424761200104</v>
      </c>
      <c r="C740" s="6" t="s">
        <v>876</v>
      </c>
      <c r="D740" s="6" t="s">
        <v>1183</v>
      </c>
      <c r="E740" s="6" t="s">
        <v>1184</v>
      </c>
      <c r="F740" s="6" t="s">
        <v>637</v>
      </c>
      <c r="G740" s="4" t="s">
        <v>2811</v>
      </c>
      <c r="H740" s="4" t="s">
        <v>2922</v>
      </c>
      <c r="I740" s="6" t="s">
        <v>84</v>
      </c>
      <c r="J740" s="6" t="s">
        <v>31</v>
      </c>
      <c r="K740" s="12">
        <f>_xlfn.XLOOKUP(B740,[1]Sheet1!$B:$B,[1]Sheet1!$N:$N,0)</f>
        <v>0</v>
      </c>
      <c r="L740" s="12">
        <f>_xlfn.XLOOKUP(B740,[1]Sheet1!$B:$B,[1]Sheet1!$O:$O,0)</f>
        <v>0</v>
      </c>
      <c r="M740" s="12">
        <f>_xlfn.XLOOKUP(B740,[1]Sheet1!$B:$B,[1]Sheet1!$P:$P,0)</f>
        <v>0</v>
      </c>
      <c r="N740" s="12">
        <f>_xlfn.XLOOKUP(B740,[1]Sheet1!$B:$B,[1]Sheet1!$Q:$Q,0)</f>
        <v>0</v>
      </c>
      <c r="O740" s="12">
        <f>_xlfn.XLOOKUP(B740,[1]Sheet1!$B:$B,[1]Sheet1!$R:$R,0)</f>
        <v>0</v>
      </c>
      <c r="P740" s="12">
        <f>_xlfn.XLOOKUP(B740,[1]Sheet1!$B:$B,[1]Sheet1!$S:$S,0)</f>
        <v>70000</v>
      </c>
      <c r="Q740" s="12">
        <f>_xlfn.XLOOKUP(B740,[1]Sheet1!$B:$B,[1]Sheet1!$T:$T,0)</f>
        <v>0</v>
      </c>
      <c r="R740" s="12">
        <f>_xlfn.XLOOKUP(B740,[1]Sheet1!$B:$B,[1]Sheet1!$U:$U,0)</f>
        <v>50000</v>
      </c>
      <c r="S740" s="12">
        <f>_xlfn.XLOOKUP(B740,[1]Sheet1!$B:$B,[1]Sheet1!$V:$V,0)</f>
        <v>0</v>
      </c>
      <c r="T740" s="12">
        <f>_xlfn.XLOOKUP(B740,[1]Sheet1!$B:$B,[1]Sheet1!$W:$W,0)</f>
        <v>52000</v>
      </c>
      <c r="U740" s="12">
        <f>_xlfn.XLOOKUP(B740,[1]Sheet1!$B:$B,[1]Sheet1!$X:$X,0)</f>
        <v>28000</v>
      </c>
      <c r="V740" s="12">
        <f>_xlfn.XLOOKUP(B740,[1]Sheet1!$B:$B,[1]Sheet1!$Y:$Y,0)</f>
        <v>0</v>
      </c>
      <c r="W740" s="12">
        <f t="shared" si="25"/>
        <v>200000</v>
      </c>
      <c r="X740" s="6" t="s">
        <v>883</v>
      </c>
      <c r="Y740" s="6" t="s">
        <v>392</v>
      </c>
      <c r="Z740" s="6" t="s">
        <v>875</v>
      </c>
      <c r="AA740" s="6" t="s">
        <v>84</v>
      </c>
      <c r="AB740" s="6" t="s">
        <v>36</v>
      </c>
      <c r="AC740" s="6" t="s">
        <v>37</v>
      </c>
      <c r="AD740" s="6" t="s">
        <v>859</v>
      </c>
      <c r="AE740" s="6" t="s">
        <v>39</v>
      </c>
      <c r="AF740" s="6" t="s">
        <v>40</v>
      </c>
      <c r="AG740" s="7">
        <v>200000</v>
      </c>
      <c r="AH740" s="11">
        <f>_xlfn.XLOOKUP(B740,[1]Sheet1!$B:$B,[1]Sheet1!$AB:$AB,0)</f>
        <v>200000</v>
      </c>
    </row>
    <row r="741" spans="2:34" ht="16.8" thickTop="1" thickBot="1" x14ac:dyDescent="0.35">
      <c r="B741" s="3" t="str">
        <f t="shared" si="24"/>
        <v>45192014511000880Prizes &amp; Comps-N2424231200104</v>
      </c>
      <c r="C741" s="8" t="s">
        <v>876</v>
      </c>
      <c r="D741" s="8" t="s">
        <v>1183</v>
      </c>
      <c r="E741" s="8" t="s">
        <v>1184</v>
      </c>
      <c r="F741" s="8" t="s">
        <v>886</v>
      </c>
      <c r="G741" s="4" t="s">
        <v>2832</v>
      </c>
      <c r="H741" s="4" t="s">
        <v>2922</v>
      </c>
      <c r="I741" s="8" t="s">
        <v>324</v>
      </c>
      <c r="J741" s="8" t="s">
        <v>31</v>
      </c>
      <c r="K741" s="12">
        <f>_xlfn.XLOOKUP(B741,[1]Sheet1!$B:$B,[1]Sheet1!$N:$N,0)</f>
        <v>0</v>
      </c>
      <c r="L741" s="12">
        <f>_xlfn.XLOOKUP(B741,[1]Sheet1!$B:$B,[1]Sheet1!$O:$O,0)</f>
        <v>0</v>
      </c>
      <c r="M741" s="12">
        <f>_xlfn.XLOOKUP(B741,[1]Sheet1!$B:$B,[1]Sheet1!$P:$P,0)</f>
        <v>0</v>
      </c>
      <c r="N741" s="12">
        <f>_xlfn.XLOOKUP(B741,[1]Sheet1!$B:$B,[1]Sheet1!$Q:$Q,0)</f>
        <v>0</v>
      </c>
      <c r="O741" s="12">
        <f>_xlfn.XLOOKUP(B741,[1]Sheet1!$B:$B,[1]Sheet1!$R:$R,0)</f>
        <v>20000</v>
      </c>
      <c r="P741" s="12">
        <f>_xlfn.XLOOKUP(B741,[1]Sheet1!$B:$B,[1]Sheet1!$S:$S,0)</f>
        <v>0</v>
      </c>
      <c r="Q741" s="12">
        <f>_xlfn.XLOOKUP(B741,[1]Sheet1!$B:$B,[1]Sheet1!$T:$T,0)</f>
        <v>0</v>
      </c>
      <c r="R741" s="12">
        <f>_xlfn.XLOOKUP(B741,[1]Sheet1!$B:$B,[1]Sheet1!$U:$U,0)</f>
        <v>0</v>
      </c>
      <c r="S741" s="12">
        <f>_xlfn.XLOOKUP(B741,[1]Sheet1!$B:$B,[1]Sheet1!$V:$V,0)</f>
        <v>0</v>
      </c>
      <c r="T741" s="12">
        <f>_xlfn.XLOOKUP(B741,[1]Sheet1!$B:$B,[1]Sheet1!$W:$W,0)</f>
        <v>0</v>
      </c>
      <c r="U741" s="12">
        <f>_xlfn.XLOOKUP(B741,[1]Sheet1!$B:$B,[1]Sheet1!$X:$X,0)</f>
        <v>20000</v>
      </c>
      <c r="V741" s="12">
        <f>_xlfn.XLOOKUP(B741,[1]Sheet1!$B:$B,[1]Sheet1!$Y:$Y,0)</f>
        <v>0</v>
      </c>
      <c r="W741" s="12">
        <f t="shared" si="25"/>
        <v>40000</v>
      </c>
      <c r="X741" s="8" t="s">
        <v>874</v>
      </c>
      <c r="Y741" s="8" t="s">
        <v>392</v>
      </c>
      <c r="Z741" s="8" t="s">
        <v>875</v>
      </c>
      <c r="AA741" s="8" t="s">
        <v>326</v>
      </c>
      <c r="AB741" s="8" t="s">
        <v>36</v>
      </c>
      <c r="AC741" s="8" t="s">
        <v>37</v>
      </c>
      <c r="AD741" s="8" t="s">
        <v>859</v>
      </c>
      <c r="AE741" s="8" t="s">
        <v>39</v>
      </c>
      <c r="AF741" s="8" t="s">
        <v>40</v>
      </c>
      <c r="AG741" s="9">
        <v>40000</v>
      </c>
      <c r="AH741" s="11">
        <f>_xlfn.XLOOKUP(B741,[1]Sheet1!$B:$B,[1]Sheet1!$AB:$AB,0)</f>
        <v>40000</v>
      </c>
    </row>
    <row r="742" spans="2:34" ht="16.8" thickTop="1" thickBot="1" x14ac:dyDescent="0.35">
      <c r="B742" s="3" t="str">
        <f t="shared" si="24"/>
        <v>45192034511000881Event Consumable-N2421125200104</v>
      </c>
      <c r="C742" s="6" t="s">
        <v>916</v>
      </c>
      <c r="D742" s="6" t="s">
        <v>1186</v>
      </c>
      <c r="E742" s="6" t="s">
        <v>1187</v>
      </c>
      <c r="F742" s="6" t="s">
        <v>1045</v>
      </c>
      <c r="G742" s="4" t="s">
        <v>2803</v>
      </c>
      <c r="H742" s="4" t="s">
        <v>2922</v>
      </c>
      <c r="I742" s="6" t="s">
        <v>44</v>
      </c>
      <c r="J742" s="6" t="s">
        <v>31</v>
      </c>
      <c r="K742" s="12">
        <f>_xlfn.XLOOKUP(B742,[1]Sheet1!$B:$B,[1]Sheet1!$N:$N,0)</f>
        <v>0</v>
      </c>
      <c r="L742" s="12">
        <f>_xlfn.XLOOKUP(B742,[1]Sheet1!$B:$B,[1]Sheet1!$O:$O,0)</f>
        <v>0</v>
      </c>
      <c r="M742" s="12">
        <f>_xlfn.XLOOKUP(B742,[1]Sheet1!$B:$B,[1]Sheet1!$P:$P,0)</f>
        <v>0</v>
      </c>
      <c r="N742" s="12">
        <f>_xlfn.XLOOKUP(B742,[1]Sheet1!$B:$B,[1]Sheet1!$Q:$Q,0)</f>
        <v>75000</v>
      </c>
      <c r="O742" s="12">
        <f>_xlfn.XLOOKUP(B742,[1]Sheet1!$B:$B,[1]Sheet1!$R:$R,0)</f>
        <v>0</v>
      </c>
      <c r="P742" s="12">
        <f>_xlfn.XLOOKUP(B742,[1]Sheet1!$B:$B,[1]Sheet1!$S:$S,0)</f>
        <v>0</v>
      </c>
      <c r="Q742" s="12">
        <f>_xlfn.XLOOKUP(B742,[1]Sheet1!$B:$B,[1]Sheet1!$T:$T,0)</f>
        <v>0</v>
      </c>
      <c r="R742" s="12">
        <f>_xlfn.XLOOKUP(B742,[1]Sheet1!$B:$B,[1]Sheet1!$U:$U,0)</f>
        <v>25000</v>
      </c>
      <c r="S742" s="12">
        <f>_xlfn.XLOOKUP(B742,[1]Sheet1!$B:$B,[1]Sheet1!$V:$V,0)</f>
        <v>27729</v>
      </c>
      <c r="T742" s="12">
        <f>_xlfn.XLOOKUP(B742,[1]Sheet1!$B:$B,[1]Sheet1!$W:$W,0)</f>
        <v>0</v>
      </c>
      <c r="U742" s="12">
        <f>_xlfn.XLOOKUP(B742,[1]Sheet1!$B:$B,[1]Sheet1!$X:$X,0)</f>
        <v>0</v>
      </c>
      <c r="V742" s="12">
        <f>_xlfn.XLOOKUP(B742,[1]Sheet1!$B:$B,[1]Sheet1!$Y:$Y,0)</f>
        <v>0</v>
      </c>
      <c r="W742" s="12">
        <f t="shared" si="25"/>
        <v>127729</v>
      </c>
      <c r="X742" s="6" t="s">
        <v>1188</v>
      </c>
      <c r="Y742" s="6" t="s">
        <v>392</v>
      </c>
      <c r="Z742" s="6" t="s">
        <v>915</v>
      </c>
      <c r="AA742" s="6" t="s">
        <v>44</v>
      </c>
      <c r="AB742" s="6" t="s">
        <v>36</v>
      </c>
      <c r="AC742" s="6" t="s">
        <v>37</v>
      </c>
      <c r="AD742" s="6" t="s">
        <v>395</v>
      </c>
      <c r="AE742" s="6" t="s">
        <v>39</v>
      </c>
      <c r="AF742" s="6" t="s">
        <v>40</v>
      </c>
      <c r="AG742" s="7">
        <v>16729</v>
      </c>
      <c r="AH742" s="11">
        <f>_xlfn.XLOOKUP(B742,[1]Sheet1!$B:$B,[1]Sheet1!$AB:$AB,0)</f>
        <v>16729</v>
      </c>
    </row>
    <row r="743" spans="2:34" ht="16.8" thickTop="1" thickBot="1" x14ac:dyDescent="0.35">
      <c r="B743" s="3" t="str">
        <f t="shared" si="24"/>
        <v>45192034511000881Event Management-N2422401200104</v>
      </c>
      <c r="C743" s="8" t="s">
        <v>916</v>
      </c>
      <c r="D743" s="8" t="s">
        <v>1186</v>
      </c>
      <c r="E743" s="8" t="s">
        <v>1187</v>
      </c>
      <c r="F743" s="8" t="s">
        <v>387</v>
      </c>
      <c r="G743" s="4" t="s">
        <v>2807</v>
      </c>
      <c r="H743" s="4" t="s">
        <v>2922</v>
      </c>
      <c r="I743" s="8" t="s">
        <v>63</v>
      </c>
      <c r="J743" s="8" t="s">
        <v>31</v>
      </c>
      <c r="K743" s="12">
        <f>_xlfn.XLOOKUP(B743,[1]Sheet1!$B:$B,[1]Sheet1!$N:$N,0)</f>
        <v>0</v>
      </c>
      <c r="L743" s="12">
        <f>_xlfn.XLOOKUP(B743,[1]Sheet1!$B:$B,[1]Sheet1!$O:$O,0)</f>
        <v>0</v>
      </c>
      <c r="M743" s="12">
        <f>_xlfn.XLOOKUP(B743,[1]Sheet1!$B:$B,[1]Sheet1!$P:$P,0)</f>
        <v>0</v>
      </c>
      <c r="N743" s="12">
        <f>_xlfn.XLOOKUP(B743,[1]Sheet1!$B:$B,[1]Sheet1!$Q:$Q,0)</f>
        <v>750000</v>
      </c>
      <c r="O743" s="12">
        <f>_xlfn.XLOOKUP(B743,[1]Sheet1!$B:$B,[1]Sheet1!$R:$R,0)</f>
        <v>0</v>
      </c>
      <c r="P743" s="12">
        <f>_xlfn.XLOOKUP(B743,[1]Sheet1!$B:$B,[1]Sheet1!$S:$S,0)</f>
        <v>0</v>
      </c>
      <c r="Q743" s="12">
        <f>_xlfn.XLOOKUP(B743,[1]Sheet1!$B:$B,[1]Sheet1!$T:$T,0)</f>
        <v>0</v>
      </c>
      <c r="R743" s="12">
        <f>_xlfn.XLOOKUP(B743,[1]Sheet1!$B:$B,[1]Sheet1!$U:$U,0)</f>
        <v>1500000</v>
      </c>
      <c r="S743" s="12">
        <f>_xlfn.XLOOKUP(B743,[1]Sheet1!$B:$B,[1]Sheet1!$V:$V,0)</f>
        <v>2750000</v>
      </c>
      <c r="T743" s="12">
        <f>_xlfn.XLOOKUP(B743,[1]Sheet1!$B:$B,[1]Sheet1!$W:$W,0)</f>
        <v>0</v>
      </c>
      <c r="U743" s="12">
        <f>_xlfn.XLOOKUP(B743,[1]Sheet1!$B:$B,[1]Sheet1!$X:$X,0)</f>
        <v>0</v>
      </c>
      <c r="V743" s="12">
        <f>_xlfn.XLOOKUP(B743,[1]Sheet1!$B:$B,[1]Sheet1!$Y:$Y,0)</f>
        <v>0</v>
      </c>
      <c r="W743" s="12">
        <f t="shared" si="25"/>
        <v>5000000</v>
      </c>
      <c r="X743" s="8" t="s">
        <v>1189</v>
      </c>
      <c r="Y743" s="8" t="s">
        <v>392</v>
      </c>
      <c r="Z743" s="8" t="s">
        <v>915</v>
      </c>
      <c r="AA743" s="8" t="s">
        <v>68</v>
      </c>
      <c r="AB743" s="8" t="s">
        <v>36</v>
      </c>
      <c r="AC743" s="8" t="s">
        <v>37</v>
      </c>
      <c r="AD743" s="8" t="s">
        <v>395</v>
      </c>
      <c r="AE743" s="8" t="s">
        <v>39</v>
      </c>
      <c r="AF743" s="8" t="s">
        <v>40</v>
      </c>
      <c r="AG743" s="9">
        <v>5000000</v>
      </c>
      <c r="AH743" s="11">
        <f>_xlfn.XLOOKUP(B743,[1]Sheet1!$B:$B,[1]Sheet1!$AB:$AB,0)</f>
        <v>5000000</v>
      </c>
    </row>
    <row r="744" spans="2:34" ht="16.8" thickTop="1" thickBot="1" x14ac:dyDescent="0.35">
      <c r="B744" s="3" t="str">
        <f t="shared" si="24"/>
        <v>45192034511000881Freelancers-N424521200104</v>
      </c>
      <c r="C744" s="6" t="s">
        <v>916</v>
      </c>
      <c r="D744" s="6" t="s">
        <v>1186</v>
      </c>
      <c r="E744" s="6" t="s">
        <v>1187</v>
      </c>
      <c r="F744" s="6" t="s">
        <v>50</v>
      </c>
      <c r="G744" s="4" t="s">
        <v>2804</v>
      </c>
      <c r="H744" s="4" t="s">
        <v>2922</v>
      </c>
      <c r="I744" s="6" t="s">
        <v>51</v>
      </c>
      <c r="J744" s="6" t="s">
        <v>31</v>
      </c>
      <c r="K744" s="12">
        <f>_xlfn.XLOOKUP(B744,[1]Sheet1!$B:$B,[1]Sheet1!$N:$N,0)</f>
        <v>0</v>
      </c>
      <c r="L744" s="12">
        <f>_xlfn.XLOOKUP(B744,[1]Sheet1!$B:$B,[1]Sheet1!$O:$O,0)</f>
        <v>0</v>
      </c>
      <c r="M744" s="12">
        <f>_xlfn.XLOOKUP(B744,[1]Sheet1!$B:$B,[1]Sheet1!$P:$P,0)</f>
        <v>0</v>
      </c>
      <c r="N744" s="12">
        <f>_xlfn.XLOOKUP(B744,[1]Sheet1!$B:$B,[1]Sheet1!$Q:$Q,0)</f>
        <v>0</v>
      </c>
      <c r="O744" s="12">
        <f>_xlfn.XLOOKUP(B744,[1]Sheet1!$B:$B,[1]Sheet1!$R:$R,0)</f>
        <v>0</v>
      </c>
      <c r="P744" s="12">
        <f>_xlfn.XLOOKUP(B744,[1]Sheet1!$B:$B,[1]Sheet1!$S:$S,0)</f>
        <v>0</v>
      </c>
      <c r="Q744" s="12">
        <f>_xlfn.XLOOKUP(B744,[1]Sheet1!$B:$B,[1]Sheet1!$T:$T,0)</f>
        <v>0</v>
      </c>
      <c r="R744" s="12">
        <f>_xlfn.XLOOKUP(B744,[1]Sheet1!$B:$B,[1]Sheet1!$U:$U,0)</f>
        <v>0</v>
      </c>
      <c r="S744" s="12">
        <f>_xlfn.XLOOKUP(B744,[1]Sheet1!$B:$B,[1]Sheet1!$V:$V,0)</f>
        <v>0</v>
      </c>
      <c r="T744" s="12">
        <f>_xlfn.XLOOKUP(B744,[1]Sheet1!$B:$B,[1]Sheet1!$W:$W,0)</f>
        <v>0</v>
      </c>
      <c r="U744" s="12">
        <f>_xlfn.XLOOKUP(B744,[1]Sheet1!$B:$B,[1]Sheet1!$X:$X,0)</f>
        <v>0</v>
      </c>
      <c r="V744" s="12">
        <f>_xlfn.XLOOKUP(B744,[1]Sheet1!$B:$B,[1]Sheet1!$Y:$Y,0)</f>
        <v>0</v>
      </c>
      <c r="W744" s="12">
        <f t="shared" si="25"/>
        <v>0</v>
      </c>
      <c r="X744" s="6" t="s">
        <v>1190</v>
      </c>
      <c r="Y744" s="6" t="s">
        <v>392</v>
      </c>
      <c r="Z744" s="6" t="s">
        <v>915</v>
      </c>
      <c r="AA744" s="6" t="s">
        <v>53</v>
      </c>
      <c r="AB744" s="6" t="s">
        <v>36</v>
      </c>
      <c r="AC744" s="6" t="s">
        <v>37</v>
      </c>
      <c r="AD744" s="6" t="s">
        <v>395</v>
      </c>
      <c r="AE744" s="6" t="s">
        <v>39</v>
      </c>
      <c r="AF744" s="6" t="s">
        <v>40</v>
      </c>
      <c r="AG744" s="7">
        <v>212000</v>
      </c>
      <c r="AH744" s="11">
        <f>_xlfn.XLOOKUP(B744,[1]Sheet1!$B:$B,[1]Sheet1!$AB:$AB,0)</f>
        <v>212000</v>
      </c>
    </row>
    <row r="745" spans="2:34" ht="16.8" thickTop="1" thickBot="1" x14ac:dyDescent="0.35">
      <c r="B745" s="3" t="str">
        <f t="shared" si="24"/>
        <v>45192034511000881Hospitality-N2424761200104</v>
      </c>
      <c r="C745" s="8" t="s">
        <v>916</v>
      </c>
      <c r="D745" s="8" t="s">
        <v>1186</v>
      </c>
      <c r="E745" s="8" t="s">
        <v>1187</v>
      </c>
      <c r="F745" s="8" t="s">
        <v>637</v>
      </c>
      <c r="G745" s="4" t="s">
        <v>2811</v>
      </c>
      <c r="H745" s="4" t="s">
        <v>2922</v>
      </c>
      <c r="I745" s="8" t="s">
        <v>84</v>
      </c>
      <c r="J745" s="8" t="s">
        <v>31</v>
      </c>
      <c r="K745" s="12">
        <f>_xlfn.XLOOKUP(B745,[1]Sheet1!$B:$B,[1]Sheet1!$N:$N,0)</f>
        <v>0</v>
      </c>
      <c r="L745" s="12">
        <f>_xlfn.XLOOKUP(B745,[1]Sheet1!$B:$B,[1]Sheet1!$O:$O,0)</f>
        <v>0</v>
      </c>
      <c r="M745" s="12">
        <f>_xlfn.XLOOKUP(B745,[1]Sheet1!$B:$B,[1]Sheet1!$P:$P,0)</f>
        <v>0</v>
      </c>
      <c r="N745" s="12">
        <f>_xlfn.XLOOKUP(B745,[1]Sheet1!$B:$B,[1]Sheet1!$Q:$Q,0)</f>
        <v>0</v>
      </c>
      <c r="O745" s="12">
        <f>_xlfn.XLOOKUP(B745,[1]Sheet1!$B:$B,[1]Sheet1!$R:$R,0)</f>
        <v>0</v>
      </c>
      <c r="P745" s="12">
        <f>_xlfn.XLOOKUP(B745,[1]Sheet1!$B:$B,[1]Sheet1!$S:$S,0)</f>
        <v>0</v>
      </c>
      <c r="Q745" s="12">
        <f>_xlfn.XLOOKUP(B745,[1]Sheet1!$B:$B,[1]Sheet1!$T:$T,0)</f>
        <v>0</v>
      </c>
      <c r="R745" s="12">
        <f>_xlfn.XLOOKUP(B745,[1]Sheet1!$B:$B,[1]Sheet1!$U:$U,0)</f>
        <v>0</v>
      </c>
      <c r="S745" s="12">
        <f>_xlfn.XLOOKUP(B745,[1]Sheet1!$B:$B,[1]Sheet1!$V:$V,0)</f>
        <v>200000</v>
      </c>
      <c r="T745" s="12">
        <f>_xlfn.XLOOKUP(B745,[1]Sheet1!$B:$B,[1]Sheet1!$W:$W,0)</f>
        <v>610373</v>
      </c>
      <c r="U745" s="12">
        <f>_xlfn.XLOOKUP(B745,[1]Sheet1!$B:$B,[1]Sheet1!$X:$X,0)</f>
        <v>0</v>
      </c>
      <c r="V745" s="12">
        <f>_xlfn.XLOOKUP(B745,[1]Sheet1!$B:$B,[1]Sheet1!$Y:$Y,0)</f>
        <v>0</v>
      </c>
      <c r="W745" s="12">
        <f t="shared" si="25"/>
        <v>810373</v>
      </c>
      <c r="X745" s="8" t="s">
        <v>1191</v>
      </c>
      <c r="Y745" s="8" t="s">
        <v>392</v>
      </c>
      <c r="Z745" s="8" t="s">
        <v>915</v>
      </c>
      <c r="AA745" s="8" t="s">
        <v>84</v>
      </c>
      <c r="AB745" s="8" t="s">
        <v>36</v>
      </c>
      <c r="AC745" s="8" t="s">
        <v>37</v>
      </c>
      <c r="AD745" s="8" t="s">
        <v>395</v>
      </c>
      <c r="AE745" s="8" t="s">
        <v>39</v>
      </c>
      <c r="AF745" s="8" t="s">
        <v>40</v>
      </c>
      <c r="AG745" s="9">
        <v>810373</v>
      </c>
      <c r="AH745" s="11">
        <f>_xlfn.XLOOKUP(B745,[1]Sheet1!$B:$B,[1]Sheet1!$AB:$AB,0)</f>
        <v>810373</v>
      </c>
    </row>
    <row r="746" spans="2:34" ht="16.8" thickTop="1" thickBot="1" x14ac:dyDescent="0.35">
      <c r="B746" s="3" t="str">
        <f t="shared" si="24"/>
        <v>45192034511000881Media Mgmnt &amp;Buy-N422511200104</v>
      </c>
      <c r="C746" s="6" t="s">
        <v>916</v>
      </c>
      <c r="D746" s="6" t="s">
        <v>1186</v>
      </c>
      <c r="E746" s="6" t="s">
        <v>1187</v>
      </c>
      <c r="F746" s="6" t="s">
        <v>166</v>
      </c>
      <c r="G746" s="4" t="s">
        <v>2819</v>
      </c>
      <c r="H746" s="4" t="s">
        <v>2922</v>
      </c>
      <c r="I746" s="6" t="s">
        <v>151</v>
      </c>
      <c r="J746" s="6" t="s">
        <v>31</v>
      </c>
      <c r="K746" s="12">
        <f>_xlfn.XLOOKUP(B746,[1]Sheet1!$B:$B,[1]Sheet1!$N:$N,0)</f>
        <v>0</v>
      </c>
      <c r="L746" s="12">
        <f>_xlfn.XLOOKUP(B746,[1]Sheet1!$B:$B,[1]Sheet1!$O:$O,0)</f>
        <v>0</v>
      </c>
      <c r="M746" s="12">
        <f>_xlfn.XLOOKUP(B746,[1]Sheet1!$B:$B,[1]Sheet1!$P:$P,0)</f>
        <v>0</v>
      </c>
      <c r="N746" s="12">
        <f>_xlfn.XLOOKUP(B746,[1]Sheet1!$B:$B,[1]Sheet1!$Q:$Q,0)</f>
        <v>100000</v>
      </c>
      <c r="O746" s="12">
        <f>_xlfn.XLOOKUP(B746,[1]Sheet1!$B:$B,[1]Sheet1!$R:$R,0)</f>
        <v>0</v>
      </c>
      <c r="P746" s="12">
        <f>_xlfn.XLOOKUP(B746,[1]Sheet1!$B:$B,[1]Sheet1!$S:$S,0)</f>
        <v>0</v>
      </c>
      <c r="Q746" s="12">
        <f>_xlfn.XLOOKUP(B746,[1]Sheet1!$B:$B,[1]Sheet1!$T:$T,0)</f>
        <v>192887</v>
      </c>
      <c r="R746" s="12">
        <f>_xlfn.XLOOKUP(B746,[1]Sheet1!$B:$B,[1]Sheet1!$U:$U,0)</f>
        <v>0</v>
      </c>
      <c r="S746" s="12">
        <f>_xlfn.XLOOKUP(B746,[1]Sheet1!$B:$B,[1]Sheet1!$V:$V,0)</f>
        <v>200000</v>
      </c>
      <c r="T746" s="12">
        <f>_xlfn.XLOOKUP(B746,[1]Sheet1!$B:$B,[1]Sheet1!$W:$W,0)</f>
        <v>0</v>
      </c>
      <c r="U746" s="12">
        <f>_xlfn.XLOOKUP(B746,[1]Sheet1!$B:$B,[1]Sheet1!$X:$X,0)</f>
        <v>0</v>
      </c>
      <c r="V746" s="12">
        <f>_xlfn.XLOOKUP(B746,[1]Sheet1!$B:$B,[1]Sheet1!$Y:$Y,0)</f>
        <v>0</v>
      </c>
      <c r="W746" s="12">
        <f t="shared" si="25"/>
        <v>492887</v>
      </c>
      <c r="X746" s="6" t="s">
        <v>1192</v>
      </c>
      <c r="Y746" s="6" t="s">
        <v>392</v>
      </c>
      <c r="Z746" s="6" t="s">
        <v>915</v>
      </c>
      <c r="AA746" s="6" t="s">
        <v>151</v>
      </c>
      <c r="AB746" s="6" t="s">
        <v>36</v>
      </c>
      <c r="AC746" s="6" t="s">
        <v>37</v>
      </c>
      <c r="AD746" s="6" t="s">
        <v>395</v>
      </c>
      <c r="AE746" s="6" t="s">
        <v>39</v>
      </c>
      <c r="AF746" s="6" t="s">
        <v>40</v>
      </c>
      <c r="AG746" s="7">
        <v>492887</v>
      </c>
      <c r="AH746" s="11">
        <f>_xlfn.XLOOKUP(B746,[1]Sheet1!$B:$B,[1]Sheet1!$AB:$AB,0)</f>
        <v>492887</v>
      </c>
    </row>
    <row r="747" spans="2:34" ht="16.8" thickTop="1" thickBot="1" x14ac:dyDescent="0.35">
      <c r="B747" s="3" t="str">
        <f t="shared" si="24"/>
        <v>45192034511000881Talent Mgmnt-N2422401200104</v>
      </c>
      <c r="C747" s="8" t="s">
        <v>916</v>
      </c>
      <c r="D747" s="8" t="s">
        <v>1186</v>
      </c>
      <c r="E747" s="8" t="s">
        <v>1187</v>
      </c>
      <c r="F747" s="8" t="s">
        <v>1193</v>
      </c>
      <c r="G747" s="4" t="s">
        <v>2807</v>
      </c>
      <c r="H747" s="4" t="s">
        <v>2922</v>
      </c>
      <c r="I747" s="8" t="s">
        <v>63</v>
      </c>
      <c r="J747" s="8" t="s">
        <v>31</v>
      </c>
      <c r="K747" s="12">
        <f>_xlfn.XLOOKUP(B747,[1]Sheet1!$B:$B,[1]Sheet1!$N:$N,0)</f>
        <v>0</v>
      </c>
      <c r="L747" s="12">
        <f>_xlfn.XLOOKUP(B747,[1]Sheet1!$B:$B,[1]Sheet1!$O:$O,0)</f>
        <v>0</v>
      </c>
      <c r="M747" s="12">
        <f>_xlfn.XLOOKUP(B747,[1]Sheet1!$B:$B,[1]Sheet1!$P:$P,0)</f>
        <v>0</v>
      </c>
      <c r="N747" s="12">
        <f>_xlfn.XLOOKUP(B747,[1]Sheet1!$B:$B,[1]Sheet1!$Q:$Q,0)</f>
        <v>0</v>
      </c>
      <c r="O747" s="12">
        <f>_xlfn.XLOOKUP(B747,[1]Sheet1!$B:$B,[1]Sheet1!$R:$R,0)</f>
        <v>0</v>
      </c>
      <c r="P747" s="12">
        <f>_xlfn.XLOOKUP(B747,[1]Sheet1!$B:$B,[1]Sheet1!$S:$S,0)</f>
        <v>0</v>
      </c>
      <c r="Q747" s="12">
        <f>_xlfn.XLOOKUP(B747,[1]Sheet1!$B:$B,[1]Sheet1!$T:$T,0)</f>
        <v>0</v>
      </c>
      <c r="R747" s="12">
        <f>_xlfn.XLOOKUP(B747,[1]Sheet1!$B:$B,[1]Sheet1!$U:$U,0)</f>
        <v>0</v>
      </c>
      <c r="S747" s="12">
        <f>_xlfn.XLOOKUP(B747,[1]Sheet1!$B:$B,[1]Sheet1!$V:$V,0)</f>
        <v>386192</v>
      </c>
      <c r="T747" s="12">
        <f>_xlfn.XLOOKUP(B747,[1]Sheet1!$B:$B,[1]Sheet1!$W:$W,0)</f>
        <v>0</v>
      </c>
      <c r="U747" s="12">
        <f>_xlfn.XLOOKUP(B747,[1]Sheet1!$B:$B,[1]Sheet1!$X:$X,0)</f>
        <v>0</v>
      </c>
      <c r="V747" s="12">
        <f>_xlfn.XLOOKUP(B747,[1]Sheet1!$B:$B,[1]Sheet1!$Y:$Y,0)</f>
        <v>0</v>
      </c>
      <c r="W747" s="12">
        <f t="shared" si="25"/>
        <v>386192</v>
      </c>
      <c r="X747" s="8" t="s">
        <v>1189</v>
      </c>
      <c r="Y747" s="8" t="s">
        <v>392</v>
      </c>
      <c r="Z747" s="8" t="s">
        <v>915</v>
      </c>
      <c r="AA747" s="8" t="s">
        <v>68</v>
      </c>
      <c r="AB747" s="8" t="s">
        <v>36</v>
      </c>
      <c r="AC747" s="8" t="s">
        <v>37</v>
      </c>
      <c r="AD747" s="8" t="s">
        <v>395</v>
      </c>
      <c r="AE747" s="8" t="s">
        <v>39</v>
      </c>
      <c r="AF747" s="8" t="s">
        <v>40</v>
      </c>
      <c r="AG747" s="9">
        <v>386192</v>
      </c>
      <c r="AH747" s="11">
        <f>_xlfn.XLOOKUP(B747,[1]Sheet1!$B:$B,[1]Sheet1!$AB:$AB,0)</f>
        <v>386192</v>
      </c>
    </row>
    <row r="748" spans="2:34" ht="16.8" thickTop="1" thickBot="1" x14ac:dyDescent="0.35">
      <c r="B748" s="3" t="str">
        <f t="shared" si="24"/>
        <v>45192034511000881Venue&amp;Room Rent-N2422401200104</v>
      </c>
      <c r="C748" s="6" t="s">
        <v>916</v>
      </c>
      <c r="D748" s="6" t="s">
        <v>1186</v>
      </c>
      <c r="E748" s="6" t="s">
        <v>1187</v>
      </c>
      <c r="F748" s="6" t="s">
        <v>1051</v>
      </c>
      <c r="G748" s="4" t="s">
        <v>2807</v>
      </c>
      <c r="H748" s="4" t="s">
        <v>2922</v>
      </c>
      <c r="I748" s="6" t="s">
        <v>63</v>
      </c>
      <c r="J748" s="6" t="s">
        <v>31</v>
      </c>
      <c r="K748" s="12">
        <f>_xlfn.XLOOKUP(B748,[1]Sheet1!$B:$B,[1]Sheet1!$N:$N,0)</f>
        <v>0</v>
      </c>
      <c r="L748" s="12">
        <f>_xlfn.XLOOKUP(B748,[1]Sheet1!$B:$B,[1]Sheet1!$O:$O,0)</f>
        <v>0</v>
      </c>
      <c r="M748" s="12">
        <f>_xlfn.XLOOKUP(B748,[1]Sheet1!$B:$B,[1]Sheet1!$P:$P,0)</f>
        <v>0</v>
      </c>
      <c r="N748" s="12">
        <f>_xlfn.XLOOKUP(B748,[1]Sheet1!$B:$B,[1]Sheet1!$Q:$Q,0)</f>
        <v>377816</v>
      </c>
      <c r="O748" s="12">
        <f>_xlfn.XLOOKUP(B748,[1]Sheet1!$B:$B,[1]Sheet1!$R:$R,0)</f>
        <v>0</v>
      </c>
      <c r="P748" s="12">
        <f>_xlfn.XLOOKUP(B748,[1]Sheet1!$B:$B,[1]Sheet1!$S:$S,0)</f>
        <v>0</v>
      </c>
      <c r="Q748" s="12">
        <f>_xlfn.XLOOKUP(B748,[1]Sheet1!$B:$B,[1]Sheet1!$T:$T,0)</f>
        <v>0</v>
      </c>
      <c r="R748" s="12">
        <f>_xlfn.XLOOKUP(B748,[1]Sheet1!$B:$B,[1]Sheet1!$U:$U,0)</f>
        <v>0</v>
      </c>
      <c r="S748" s="12">
        <f>_xlfn.XLOOKUP(B748,[1]Sheet1!$B:$B,[1]Sheet1!$V:$V,0)</f>
        <v>377816</v>
      </c>
      <c r="T748" s="12">
        <f>_xlfn.XLOOKUP(B748,[1]Sheet1!$B:$B,[1]Sheet1!$W:$W,0)</f>
        <v>0</v>
      </c>
      <c r="U748" s="12">
        <f>_xlfn.XLOOKUP(B748,[1]Sheet1!$B:$B,[1]Sheet1!$X:$X,0)</f>
        <v>0</v>
      </c>
      <c r="V748" s="12">
        <f>_xlfn.XLOOKUP(B748,[1]Sheet1!$B:$B,[1]Sheet1!$Y:$Y,0)</f>
        <v>0</v>
      </c>
      <c r="W748" s="12">
        <f t="shared" si="25"/>
        <v>755632</v>
      </c>
      <c r="X748" s="6" t="s">
        <v>1189</v>
      </c>
      <c r="Y748" s="6" t="s">
        <v>392</v>
      </c>
      <c r="Z748" s="6" t="s">
        <v>915</v>
      </c>
      <c r="AA748" s="6" t="s">
        <v>68</v>
      </c>
      <c r="AB748" s="6" t="s">
        <v>36</v>
      </c>
      <c r="AC748" s="6" t="s">
        <v>37</v>
      </c>
      <c r="AD748" s="6" t="s">
        <v>395</v>
      </c>
      <c r="AE748" s="6" t="s">
        <v>39</v>
      </c>
      <c r="AF748" s="6" t="s">
        <v>40</v>
      </c>
      <c r="AG748" s="7">
        <v>500000</v>
      </c>
      <c r="AH748" s="11">
        <f>_xlfn.XLOOKUP(B748,[1]Sheet1!$B:$B,[1]Sheet1!$AB:$AB,0)</f>
        <v>500000</v>
      </c>
    </row>
    <row r="749" spans="2:34" ht="16.8" thickTop="1" thickBot="1" x14ac:dyDescent="0.35">
      <c r="B749" s="3" t="str">
        <f t="shared" si="24"/>
        <v>45191974511000882Sponsorship Fees-N1424811200104</v>
      </c>
      <c r="C749" s="8" t="s">
        <v>903</v>
      </c>
      <c r="D749" s="8" t="s">
        <v>1194</v>
      </c>
      <c r="E749" s="8" t="s">
        <v>1195</v>
      </c>
      <c r="F749" s="8" t="s">
        <v>29</v>
      </c>
      <c r="G749" s="4" t="s">
        <v>2802</v>
      </c>
      <c r="H749" s="4" t="s">
        <v>2922</v>
      </c>
      <c r="I749" s="8" t="s">
        <v>30</v>
      </c>
      <c r="J749" s="8" t="s">
        <v>31</v>
      </c>
      <c r="K749" s="12">
        <f>_xlfn.XLOOKUP(B749,[1]Sheet1!$B:$B,[1]Sheet1!$N:$N,0)</f>
        <v>0</v>
      </c>
      <c r="L749" s="12">
        <f>_xlfn.XLOOKUP(B749,[1]Sheet1!$B:$B,[1]Sheet1!$O:$O,0)</f>
        <v>0</v>
      </c>
      <c r="M749" s="12">
        <f>_xlfn.XLOOKUP(B749,[1]Sheet1!$B:$B,[1]Sheet1!$P:$P,0)</f>
        <v>0</v>
      </c>
      <c r="N749" s="12">
        <f>_xlfn.XLOOKUP(B749,[1]Sheet1!$B:$B,[1]Sheet1!$Q:$Q,0)</f>
        <v>0</v>
      </c>
      <c r="O749" s="12">
        <f>_xlfn.XLOOKUP(B749,[1]Sheet1!$B:$B,[1]Sheet1!$R:$R,0)</f>
        <v>0</v>
      </c>
      <c r="P749" s="12">
        <f>_xlfn.XLOOKUP(B749,[1]Sheet1!$B:$B,[1]Sheet1!$S:$S,0)</f>
        <v>200000</v>
      </c>
      <c r="Q749" s="12">
        <f>_xlfn.XLOOKUP(B749,[1]Sheet1!$B:$B,[1]Sheet1!$T:$T,0)</f>
        <v>0</v>
      </c>
      <c r="R749" s="12">
        <f>_xlfn.XLOOKUP(B749,[1]Sheet1!$B:$B,[1]Sheet1!$U:$U,0)</f>
        <v>0</v>
      </c>
      <c r="S749" s="12">
        <f>_xlfn.XLOOKUP(B749,[1]Sheet1!$B:$B,[1]Sheet1!$V:$V,0)</f>
        <v>340000</v>
      </c>
      <c r="T749" s="12">
        <f>_xlfn.XLOOKUP(B749,[1]Sheet1!$B:$B,[1]Sheet1!$W:$W,0)</f>
        <v>0</v>
      </c>
      <c r="U749" s="12">
        <f>_xlfn.XLOOKUP(B749,[1]Sheet1!$B:$B,[1]Sheet1!$X:$X,0)</f>
        <v>340000</v>
      </c>
      <c r="V749" s="12">
        <f>_xlfn.XLOOKUP(B749,[1]Sheet1!$B:$B,[1]Sheet1!$Y:$Y,0)</f>
        <v>0</v>
      </c>
      <c r="W749" s="12">
        <f t="shared" si="25"/>
        <v>880000</v>
      </c>
      <c r="X749" s="8" t="s">
        <v>1196</v>
      </c>
      <c r="Y749" s="8" t="s">
        <v>392</v>
      </c>
      <c r="Z749" s="8" t="s">
        <v>902</v>
      </c>
      <c r="AA749" s="8" t="s">
        <v>30</v>
      </c>
      <c r="AB749" s="8" t="s">
        <v>36</v>
      </c>
      <c r="AC749" s="8" t="s">
        <v>37</v>
      </c>
      <c r="AD749" s="8" t="s">
        <v>863</v>
      </c>
      <c r="AE749" s="8" t="s">
        <v>39</v>
      </c>
      <c r="AF749" s="8" t="s">
        <v>40</v>
      </c>
      <c r="AG749" s="9">
        <v>880000</v>
      </c>
      <c r="AH749" s="11">
        <f>_xlfn.XLOOKUP(B749,[1]Sheet1!$B:$B,[1]Sheet1!$AB:$AB,0)</f>
        <v>880000</v>
      </c>
    </row>
    <row r="750" spans="2:34" ht="16.8" thickTop="1" thickBot="1" x14ac:dyDescent="0.35">
      <c r="B750" s="3" t="str">
        <f t="shared" si="24"/>
        <v>45192004511000883Activation&amp;Prog-N1422401200104</v>
      </c>
      <c r="C750" s="6" t="s">
        <v>962</v>
      </c>
      <c r="D750" s="6" t="s">
        <v>1197</v>
      </c>
      <c r="E750" s="6" t="s">
        <v>1198</v>
      </c>
      <c r="F750" s="6" t="s">
        <v>371</v>
      </c>
      <c r="G750" s="4" t="s">
        <v>2807</v>
      </c>
      <c r="H750" s="4" t="s">
        <v>2922</v>
      </c>
      <c r="I750" s="6" t="s">
        <v>63</v>
      </c>
      <c r="J750" s="6" t="s">
        <v>31</v>
      </c>
      <c r="K750" s="12">
        <f>_xlfn.XLOOKUP(B750,[1]Sheet1!$B:$B,[1]Sheet1!$N:$N,0)</f>
        <v>0</v>
      </c>
      <c r="L750" s="12">
        <f>_xlfn.XLOOKUP(B750,[1]Sheet1!$B:$B,[1]Sheet1!$O:$O,0)</f>
        <v>0</v>
      </c>
      <c r="M750" s="12">
        <f>_xlfn.XLOOKUP(B750,[1]Sheet1!$B:$B,[1]Sheet1!$P:$P,0)</f>
        <v>0</v>
      </c>
      <c r="N750" s="12">
        <f>_xlfn.XLOOKUP(B750,[1]Sheet1!$B:$B,[1]Sheet1!$Q:$Q,0)</f>
        <v>0</v>
      </c>
      <c r="O750" s="12">
        <f>_xlfn.XLOOKUP(B750,[1]Sheet1!$B:$B,[1]Sheet1!$R:$R,0)</f>
        <v>617000</v>
      </c>
      <c r="P750" s="12">
        <f>_xlfn.XLOOKUP(B750,[1]Sheet1!$B:$B,[1]Sheet1!$S:$S,0)</f>
        <v>233000</v>
      </c>
      <c r="Q750" s="12">
        <f>_xlfn.XLOOKUP(B750,[1]Sheet1!$B:$B,[1]Sheet1!$T:$T,0)</f>
        <v>0</v>
      </c>
      <c r="R750" s="12">
        <f>_xlfn.XLOOKUP(B750,[1]Sheet1!$B:$B,[1]Sheet1!$U:$U,0)</f>
        <v>0</v>
      </c>
      <c r="S750" s="12">
        <f>_xlfn.XLOOKUP(B750,[1]Sheet1!$B:$B,[1]Sheet1!$V:$V,0)</f>
        <v>0</v>
      </c>
      <c r="T750" s="12">
        <f>_xlfn.XLOOKUP(B750,[1]Sheet1!$B:$B,[1]Sheet1!$W:$W,0)</f>
        <v>0</v>
      </c>
      <c r="U750" s="12">
        <f>_xlfn.XLOOKUP(B750,[1]Sheet1!$B:$B,[1]Sheet1!$X:$X,0)</f>
        <v>1101236</v>
      </c>
      <c r="V750" s="12">
        <f>_xlfn.XLOOKUP(B750,[1]Sheet1!$B:$B,[1]Sheet1!$Y:$Y,0)</f>
        <v>0</v>
      </c>
      <c r="W750" s="12">
        <f t="shared" si="25"/>
        <v>1951236</v>
      </c>
      <c r="X750" s="6" t="s">
        <v>960</v>
      </c>
      <c r="Y750" s="6" t="s">
        <v>392</v>
      </c>
      <c r="Z750" s="6" t="s">
        <v>961</v>
      </c>
      <c r="AA750" s="6" t="s">
        <v>68</v>
      </c>
      <c r="AB750" s="6" t="s">
        <v>36</v>
      </c>
      <c r="AC750" s="6" t="s">
        <v>37</v>
      </c>
      <c r="AD750" s="6" t="s">
        <v>859</v>
      </c>
      <c r="AE750" s="6" t="s">
        <v>39</v>
      </c>
      <c r="AF750" s="6" t="s">
        <v>40</v>
      </c>
      <c r="AG750" s="7">
        <v>1951236</v>
      </c>
      <c r="AH750" s="11">
        <f>_xlfn.XLOOKUP(B750,[1]Sheet1!$B:$B,[1]Sheet1!$AB:$AB,0)</f>
        <v>1951236</v>
      </c>
    </row>
    <row r="751" spans="2:34" ht="16.8" thickTop="1" thickBot="1" x14ac:dyDescent="0.35">
      <c r="B751" s="3" t="str">
        <f t="shared" si="24"/>
        <v>45192004511000883Freelancers-N1424521200104</v>
      </c>
      <c r="C751" s="8" t="s">
        <v>962</v>
      </c>
      <c r="D751" s="8" t="s">
        <v>1197</v>
      </c>
      <c r="E751" s="8" t="s">
        <v>1198</v>
      </c>
      <c r="F751" s="8" t="s">
        <v>303</v>
      </c>
      <c r="G751" s="4" t="s">
        <v>2804</v>
      </c>
      <c r="H751" s="4" t="s">
        <v>2922</v>
      </c>
      <c r="I751" s="8" t="s">
        <v>51</v>
      </c>
      <c r="J751" s="8" t="s">
        <v>31</v>
      </c>
      <c r="K751" s="12">
        <f>_xlfn.XLOOKUP(B751,[1]Sheet1!$B:$B,[1]Sheet1!$N:$N,0)</f>
        <v>0</v>
      </c>
      <c r="L751" s="12">
        <f>_xlfn.XLOOKUP(B751,[1]Sheet1!$B:$B,[1]Sheet1!$O:$O,0)</f>
        <v>36000</v>
      </c>
      <c r="M751" s="12">
        <f>_xlfn.XLOOKUP(B751,[1]Sheet1!$B:$B,[1]Sheet1!$P:$P,0)</f>
        <v>0</v>
      </c>
      <c r="N751" s="12">
        <f>_xlfn.XLOOKUP(B751,[1]Sheet1!$B:$B,[1]Sheet1!$Q:$Q,0)</f>
        <v>36000</v>
      </c>
      <c r="O751" s="12">
        <f>_xlfn.XLOOKUP(B751,[1]Sheet1!$B:$B,[1]Sheet1!$R:$R,0)</f>
        <v>18000</v>
      </c>
      <c r="P751" s="12">
        <f>_xlfn.XLOOKUP(B751,[1]Sheet1!$B:$B,[1]Sheet1!$S:$S,0)</f>
        <v>18000</v>
      </c>
      <c r="Q751" s="12">
        <f>_xlfn.XLOOKUP(B751,[1]Sheet1!$B:$B,[1]Sheet1!$T:$T,0)</f>
        <v>18000</v>
      </c>
      <c r="R751" s="12">
        <f>_xlfn.XLOOKUP(B751,[1]Sheet1!$B:$B,[1]Sheet1!$U:$U,0)</f>
        <v>18000</v>
      </c>
      <c r="S751" s="12">
        <f>_xlfn.XLOOKUP(B751,[1]Sheet1!$B:$B,[1]Sheet1!$V:$V,0)</f>
        <v>18000</v>
      </c>
      <c r="T751" s="12">
        <f>_xlfn.XLOOKUP(B751,[1]Sheet1!$B:$B,[1]Sheet1!$W:$W,0)</f>
        <v>18000</v>
      </c>
      <c r="U751" s="12">
        <f>_xlfn.XLOOKUP(B751,[1]Sheet1!$B:$B,[1]Sheet1!$X:$X,0)</f>
        <v>18000</v>
      </c>
      <c r="V751" s="12">
        <f>_xlfn.XLOOKUP(B751,[1]Sheet1!$B:$B,[1]Sheet1!$Y:$Y,0)</f>
        <v>18000</v>
      </c>
      <c r="W751" s="12">
        <f t="shared" si="25"/>
        <v>216000</v>
      </c>
      <c r="X751" s="8" t="s">
        <v>1199</v>
      </c>
      <c r="Y751" s="8" t="s">
        <v>392</v>
      </c>
      <c r="Z751" s="8" t="s">
        <v>961</v>
      </c>
      <c r="AA751" s="8" t="s">
        <v>53</v>
      </c>
      <c r="AB751" s="8" t="s">
        <v>36</v>
      </c>
      <c r="AC751" s="8" t="s">
        <v>37</v>
      </c>
      <c r="AD751" s="8" t="s">
        <v>395</v>
      </c>
      <c r="AE751" s="8" t="s">
        <v>39</v>
      </c>
      <c r="AF751" s="8" t="s">
        <v>40</v>
      </c>
      <c r="AG751" s="9">
        <v>216000</v>
      </c>
      <c r="AH751" s="11">
        <f>_xlfn.XLOOKUP(B751,[1]Sheet1!$B:$B,[1]Sheet1!$AB:$AB,0)</f>
        <v>216000</v>
      </c>
    </row>
    <row r="752" spans="2:34" ht="16.8" thickTop="1" thickBot="1" x14ac:dyDescent="0.35">
      <c r="B752" s="3" t="str">
        <f t="shared" si="24"/>
        <v>45192004511000883Mission &amp; Travel-N1423821200104</v>
      </c>
      <c r="C752" s="6" t="s">
        <v>962</v>
      </c>
      <c r="D752" s="6" t="s">
        <v>1197</v>
      </c>
      <c r="E752" s="6" t="s">
        <v>1198</v>
      </c>
      <c r="F752" s="6" t="s">
        <v>472</v>
      </c>
      <c r="G752" s="4" t="s">
        <v>2805</v>
      </c>
      <c r="H752" s="4" t="s">
        <v>2922</v>
      </c>
      <c r="I752" s="6" t="s">
        <v>55</v>
      </c>
      <c r="J752" s="6" t="s">
        <v>31</v>
      </c>
      <c r="K752" s="12">
        <f>_xlfn.XLOOKUP(B752,[1]Sheet1!$B:$B,[1]Sheet1!$N:$N,0)</f>
        <v>0</v>
      </c>
      <c r="L752" s="12">
        <f>_xlfn.XLOOKUP(B752,[1]Sheet1!$B:$B,[1]Sheet1!$O:$O,0)</f>
        <v>182000</v>
      </c>
      <c r="M752" s="12">
        <f>_xlfn.XLOOKUP(B752,[1]Sheet1!$B:$B,[1]Sheet1!$P:$P,0)</f>
        <v>0</v>
      </c>
      <c r="N752" s="12">
        <f>_xlfn.XLOOKUP(B752,[1]Sheet1!$B:$B,[1]Sheet1!$Q:$Q,0)</f>
        <v>18000</v>
      </c>
      <c r="O752" s="12">
        <f>_xlfn.XLOOKUP(B752,[1]Sheet1!$B:$B,[1]Sheet1!$R:$R,0)</f>
        <v>50000</v>
      </c>
      <c r="P752" s="12">
        <f>_xlfn.XLOOKUP(B752,[1]Sheet1!$B:$B,[1]Sheet1!$S:$S,0)</f>
        <v>50000</v>
      </c>
      <c r="Q752" s="12">
        <f>_xlfn.XLOOKUP(B752,[1]Sheet1!$B:$B,[1]Sheet1!$T:$T,0)</f>
        <v>50000</v>
      </c>
      <c r="R752" s="12">
        <f>_xlfn.XLOOKUP(B752,[1]Sheet1!$B:$B,[1]Sheet1!$U:$U,0)</f>
        <v>50000</v>
      </c>
      <c r="S752" s="12">
        <f>_xlfn.XLOOKUP(B752,[1]Sheet1!$B:$B,[1]Sheet1!$V:$V,0)</f>
        <v>50000</v>
      </c>
      <c r="T752" s="12">
        <f>_xlfn.XLOOKUP(B752,[1]Sheet1!$B:$B,[1]Sheet1!$W:$W,0)</f>
        <v>150000</v>
      </c>
      <c r="U752" s="12">
        <f>_xlfn.XLOOKUP(B752,[1]Sheet1!$B:$B,[1]Sheet1!$X:$X,0)</f>
        <v>25000</v>
      </c>
      <c r="V752" s="12">
        <f>_xlfn.XLOOKUP(B752,[1]Sheet1!$B:$B,[1]Sheet1!$Y:$Y,0)</f>
        <v>50000</v>
      </c>
      <c r="W752" s="12">
        <f t="shared" si="25"/>
        <v>675000</v>
      </c>
      <c r="X752" s="6" t="s">
        <v>967</v>
      </c>
      <c r="Y752" s="6" t="s">
        <v>392</v>
      </c>
      <c r="Z752" s="6" t="s">
        <v>961</v>
      </c>
      <c r="AA752" s="6" t="s">
        <v>55</v>
      </c>
      <c r="AB752" s="6" t="s">
        <v>36</v>
      </c>
      <c r="AC752" s="6" t="s">
        <v>37</v>
      </c>
      <c r="AD752" s="6" t="s">
        <v>859</v>
      </c>
      <c r="AE752" s="6" t="s">
        <v>39</v>
      </c>
      <c r="AF752" s="6" t="s">
        <v>40</v>
      </c>
      <c r="AG752" s="7">
        <v>675000</v>
      </c>
      <c r="AH752" s="11">
        <f>_xlfn.XLOOKUP(B752,[1]Sheet1!$B:$B,[1]Sheet1!$AB:$AB,0)</f>
        <v>649000</v>
      </c>
    </row>
    <row r="753" spans="2:34" ht="16.8" thickTop="1" thickBot="1" x14ac:dyDescent="0.35">
      <c r="B753" s="3" t="str">
        <f t="shared" si="24"/>
        <v>45191964511000886Online Ads-N1422511200104</v>
      </c>
      <c r="C753" s="8" t="s">
        <v>843</v>
      </c>
      <c r="D753" s="8" t="s">
        <v>1200</v>
      </c>
      <c r="E753" s="8" t="s">
        <v>1201</v>
      </c>
      <c r="F753" s="8" t="s">
        <v>1202</v>
      </c>
      <c r="G753" s="4" t="s">
        <v>2819</v>
      </c>
      <c r="H753" s="4" t="s">
        <v>2922</v>
      </c>
      <c r="I753" s="8" t="s">
        <v>151</v>
      </c>
      <c r="J753" s="8" t="s">
        <v>31</v>
      </c>
      <c r="K753" s="12">
        <f>_xlfn.XLOOKUP(B753,[1]Sheet1!$B:$B,[1]Sheet1!$N:$N,0)</f>
        <v>0</v>
      </c>
      <c r="L753" s="12">
        <f>_xlfn.XLOOKUP(B753,[1]Sheet1!$B:$B,[1]Sheet1!$O:$O,0)</f>
        <v>0</v>
      </c>
      <c r="M753" s="12">
        <f>_xlfn.XLOOKUP(B753,[1]Sheet1!$B:$B,[1]Sheet1!$P:$P,0)</f>
        <v>0</v>
      </c>
      <c r="N753" s="12">
        <f>_xlfn.XLOOKUP(B753,[1]Sheet1!$B:$B,[1]Sheet1!$Q:$Q,0)</f>
        <v>500000</v>
      </c>
      <c r="O753" s="12">
        <f>_xlfn.XLOOKUP(B753,[1]Sheet1!$B:$B,[1]Sheet1!$R:$R,0)</f>
        <v>0</v>
      </c>
      <c r="P753" s="12">
        <f>_xlfn.XLOOKUP(B753,[1]Sheet1!$B:$B,[1]Sheet1!$S:$S,0)</f>
        <v>334748</v>
      </c>
      <c r="Q753" s="12">
        <f>_xlfn.XLOOKUP(B753,[1]Sheet1!$B:$B,[1]Sheet1!$T:$T,0)</f>
        <v>0</v>
      </c>
      <c r="R753" s="12">
        <f>_xlfn.XLOOKUP(B753,[1]Sheet1!$B:$B,[1]Sheet1!$U:$U,0)</f>
        <v>0</v>
      </c>
      <c r="S753" s="12">
        <f>_xlfn.XLOOKUP(B753,[1]Sheet1!$B:$B,[1]Sheet1!$V:$V,0)</f>
        <v>300000</v>
      </c>
      <c r="T753" s="12">
        <f>_xlfn.XLOOKUP(B753,[1]Sheet1!$B:$B,[1]Sheet1!$W:$W,0)</f>
        <v>0</v>
      </c>
      <c r="U753" s="12">
        <f>_xlfn.XLOOKUP(B753,[1]Sheet1!$B:$B,[1]Sheet1!$X:$X,0)</f>
        <v>0</v>
      </c>
      <c r="V753" s="12">
        <f>_xlfn.XLOOKUP(B753,[1]Sheet1!$B:$B,[1]Sheet1!$Y:$Y,0)</f>
        <v>510036</v>
      </c>
      <c r="W753" s="12">
        <f t="shared" si="25"/>
        <v>1644784</v>
      </c>
      <c r="X753" s="8" t="s">
        <v>841</v>
      </c>
      <c r="Y753" s="8" t="s">
        <v>392</v>
      </c>
      <c r="Z753" s="8" t="s">
        <v>842</v>
      </c>
      <c r="AA753" s="8" t="s">
        <v>151</v>
      </c>
      <c r="AB753" s="8" t="s">
        <v>36</v>
      </c>
      <c r="AC753" s="8" t="s">
        <v>37</v>
      </c>
      <c r="AD753" s="8" t="s">
        <v>844</v>
      </c>
      <c r="AE753" s="8" t="s">
        <v>39</v>
      </c>
      <c r="AF753" s="8" t="s">
        <v>40</v>
      </c>
      <c r="AG753" s="9">
        <v>1930416</v>
      </c>
      <c r="AH753" s="11">
        <f>_xlfn.XLOOKUP(B753,[1]Sheet1!$B:$B,[1]Sheet1!$AB:$AB,0)</f>
        <v>1930416</v>
      </c>
    </row>
    <row r="754" spans="2:34" ht="16.8" thickTop="1" thickBot="1" x14ac:dyDescent="0.35">
      <c r="B754" s="3" t="str">
        <f t="shared" si="24"/>
        <v>45191964511000886Photo &amp; Video-N1424221200104</v>
      </c>
      <c r="C754" s="6" t="s">
        <v>843</v>
      </c>
      <c r="D754" s="6" t="s">
        <v>1200</v>
      </c>
      <c r="E754" s="6" t="s">
        <v>1201</v>
      </c>
      <c r="F754" s="6" t="s">
        <v>1203</v>
      </c>
      <c r="G754" s="4" t="s">
        <v>2824</v>
      </c>
      <c r="H754" s="4" t="s">
        <v>2922</v>
      </c>
      <c r="I754" s="6" t="s">
        <v>209</v>
      </c>
      <c r="J754" s="6" t="s">
        <v>31</v>
      </c>
      <c r="K754" s="12">
        <f>_xlfn.XLOOKUP(B754,[1]Sheet1!$B:$B,[1]Sheet1!$N:$N,0)</f>
        <v>0</v>
      </c>
      <c r="L754" s="12">
        <f>_xlfn.XLOOKUP(B754,[1]Sheet1!$B:$B,[1]Sheet1!$O:$O,0)</f>
        <v>0</v>
      </c>
      <c r="M754" s="12">
        <f>_xlfn.XLOOKUP(B754,[1]Sheet1!$B:$B,[1]Sheet1!$P:$P,0)</f>
        <v>0</v>
      </c>
      <c r="N754" s="12">
        <f>_xlfn.XLOOKUP(B754,[1]Sheet1!$B:$B,[1]Sheet1!$Q:$Q,0)</f>
        <v>250000</v>
      </c>
      <c r="O754" s="12">
        <f>_xlfn.XLOOKUP(B754,[1]Sheet1!$B:$B,[1]Sheet1!$R:$R,0)</f>
        <v>250000</v>
      </c>
      <c r="P754" s="12">
        <f>_xlfn.XLOOKUP(B754,[1]Sheet1!$B:$B,[1]Sheet1!$S:$S,0)</f>
        <v>0</v>
      </c>
      <c r="Q754" s="12">
        <f>_xlfn.XLOOKUP(B754,[1]Sheet1!$B:$B,[1]Sheet1!$T:$T,0)</f>
        <v>0</v>
      </c>
      <c r="R754" s="12">
        <f>_xlfn.XLOOKUP(B754,[1]Sheet1!$B:$B,[1]Sheet1!$U:$U,0)</f>
        <v>0</v>
      </c>
      <c r="S754" s="12">
        <f>_xlfn.XLOOKUP(B754,[1]Sheet1!$B:$B,[1]Sheet1!$V:$V,0)</f>
        <v>0</v>
      </c>
      <c r="T754" s="12">
        <f>_xlfn.XLOOKUP(B754,[1]Sheet1!$B:$B,[1]Sheet1!$W:$W,0)</f>
        <v>0</v>
      </c>
      <c r="U754" s="12">
        <f>_xlfn.XLOOKUP(B754,[1]Sheet1!$B:$B,[1]Sheet1!$X:$X,0)</f>
        <v>0</v>
      </c>
      <c r="V754" s="12">
        <f>_xlfn.XLOOKUP(B754,[1]Sheet1!$B:$B,[1]Sheet1!$Y:$Y,0)</f>
        <v>0</v>
      </c>
      <c r="W754" s="12">
        <f t="shared" si="25"/>
        <v>500000</v>
      </c>
      <c r="X754" s="6" t="s">
        <v>1204</v>
      </c>
      <c r="Y754" s="6" t="s">
        <v>392</v>
      </c>
      <c r="Z754" s="6" t="s">
        <v>842</v>
      </c>
      <c r="AA754" s="6" t="s">
        <v>209</v>
      </c>
      <c r="AB754" s="6" t="s">
        <v>36</v>
      </c>
      <c r="AC754" s="6" t="s">
        <v>37</v>
      </c>
      <c r="AD754" s="6" t="s">
        <v>844</v>
      </c>
      <c r="AE754" s="6" t="s">
        <v>39</v>
      </c>
      <c r="AF754" s="6" t="s">
        <v>40</v>
      </c>
      <c r="AG754" s="7">
        <v>500000</v>
      </c>
      <c r="AH754" s="11">
        <f>_xlfn.XLOOKUP(B754,[1]Sheet1!$B:$B,[1]Sheet1!$AB:$AB,0)</f>
        <v>500000</v>
      </c>
    </row>
    <row r="755" spans="2:34" ht="16.8" thickTop="1" thickBot="1" x14ac:dyDescent="0.35">
      <c r="B755" s="3" t="str">
        <f t="shared" si="24"/>
        <v>45191964511000886SM Managnt E-E-N1422511200104</v>
      </c>
      <c r="C755" s="8" t="s">
        <v>843</v>
      </c>
      <c r="D755" s="8" t="s">
        <v>1200</v>
      </c>
      <c r="E755" s="8" t="s">
        <v>1201</v>
      </c>
      <c r="F755" s="8" t="s">
        <v>1205</v>
      </c>
      <c r="G755" s="4" t="s">
        <v>2819</v>
      </c>
      <c r="H755" s="4" t="s">
        <v>2922</v>
      </c>
      <c r="I755" s="8" t="s">
        <v>151</v>
      </c>
      <c r="J755" s="8" t="s">
        <v>31</v>
      </c>
      <c r="K755" s="12">
        <f>_xlfn.XLOOKUP(B755,[1]Sheet1!$B:$B,[1]Sheet1!$N:$N,0)</f>
        <v>0</v>
      </c>
      <c r="L755" s="12">
        <f>_xlfn.XLOOKUP(B755,[1]Sheet1!$B:$B,[1]Sheet1!$O:$O,0)</f>
        <v>0</v>
      </c>
      <c r="M755" s="12">
        <f>_xlfn.XLOOKUP(B755,[1]Sheet1!$B:$B,[1]Sheet1!$P:$P,0)</f>
        <v>736200</v>
      </c>
      <c r="N755" s="12">
        <f>_xlfn.XLOOKUP(B755,[1]Sheet1!$B:$B,[1]Sheet1!$Q:$Q,0)</f>
        <v>0</v>
      </c>
      <c r="O755" s="12">
        <f>_xlfn.XLOOKUP(B755,[1]Sheet1!$B:$B,[1]Sheet1!$R:$R,0)</f>
        <v>736200</v>
      </c>
      <c r="P755" s="12">
        <f>_xlfn.XLOOKUP(B755,[1]Sheet1!$B:$B,[1]Sheet1!$S:$S,0)</f>
        <v>736200</v>
      </c>
      <c r="Q755" s="12">
        <f>_xlfn.XLOOKUP(B755,[1]Sheet1!$B:$B,[1]Sheet1!$T:$T,0)</f>
        <v>368100</v>
      </c>
      <c r="R755" s="12">
        <f>_xlfn.XLOOKUP(B755,[1]Sheet1!$B:$B,[1]Sheet1!$U:$U,0)</f>
        <v>368100</v>
      </c>
      <c r="S755" s="12">
        <f>_xlfn.XLOOKUP(B755,[1]Sheet1!$B:$B,[1]Sheet1!$V:$V,0)</f>
        <v>368100</v>
      </c>
      <c r="T755" s="12">
        <f>_xlfn.XLOOKUP(B755,[1]Sheet1!$B:$B,[1]Sheet1!$W:$W,0)</f>
        <v>368100</v>
      </c>
      <c r="U755" s="12">
        <f>_xlfn.XLOOKUP(B755,[1]Sheet1!$B:$B,[1]Sheet1!$X:$X,0)</f>
        <v>368100</v>
      </c>
      <c r="V755" s="12">
        <f>_xlfn.XLOOKUP(B755,[1]Sheet1!$B:$B,[1]Sheet1!$Y:$Y,0)</f>
        <v>1840500</v>
      </c>
      <c r="W755" s="12">
        <f t="shared" si="25"/>
        <v>5889600</v>
      </c>
      <c r="X755" s="8" t="s">
        <v>841</v>
      </c>
      <c r="Y755" s="8" t="s">
        <v>392</v>
      </c>
      <c r="Z755" s="8" t="s">
        <v>842</v>
      </c>
      <c r="AA755" s="8" t="s">
        <v>151</v>
      </c>
      <c r="AB755" s="8" t="s">
        <v>36</v>
      </c>
      <c r="AC755" s="8" t="s">
        <v>37</v>
      </c>
      <c r="AD755" s="8" t="s">
        <v>844</v>
      </c>
      <c r="AE755" s="8" t="s">
        <v>39</v>
      </c>
      <c r="AF755" s="8" t="s">
        <v>40</v>
      </c>
      <c r="AG755" s="9">
        <v>5889600</v>
      </c>
      <c r="AH755" s="11">
        <f>_xlfn.XLOOKUP(B755,[1]Sheet1!$B:$B,[1]Sheet1!$AB:$AB,0)</f>
        <v>5889600</v>
      </c>
    </row>
    <row r="756" spans="2:34" ht="16.8" thickTop="1" thickBot="1" x14ac:dyDescent="0.35">
      <c r="B756" s="3" t="str">
        <f t="shared" si="24"/>
        <v>45191964511000886SM Prodct&amp;Develp-N1422511200104</v>
      </c>
      <c r="C756" s="6" t="s">
        <v>843</v>
      </c>
      <c r="D756" s="6" t="s">
        <v>1200</v>
      </c>
      <c r="E756" s="6" t="s">
        <v>1201</v>
      </c>
      <c r="F756" s="6" t="s">
        <v>1206</v>
      </c>
      <c r="G756" s="4" t="s">
        <v>2819</v>
      </c>
      <c r="H756" s="4" t="s">
        <v>2922</v>
      </c>
      <c r="I756" s="6" t="s">
        <v>151</v>
      </c>
      <c r="J756" s="6" t="s">
        <v>31</v>
      </c>
      <c r="K756" s="12">
        <f>_xlfn.XLOOKUP(B756,[1]Sheet1!$B:$B,[1]Sheet1!$N:$N,0)</f>
        <v>0</v>
      </c>
      <c r="L756" s="12">
        <f>_xlfn.XLOOKUP(B756,[1]Sheet1!$B:$B,[1]Sheet1!$O:$O,0)</f>
        <v>0</v>
      </c>
      <c r="M756" s="12">
        <f>_xlfn.XLOOKUP(B756,[1]Sheet1!$B:$B,[1]Sheet1!$P:$P,0)</f>
        <v>0</v>
      </c>
      <c r="N756" s="12">
        <f>_xlfn.XLOOKUP(B756,[1]Sheet1!$B:$B,[1]Sheet1!$Q:$Q,0)</f>
        <v>0</v>
      </c>
      <c r="O756" s="12">
        <f>_xlfn.XLOOKUP(B756,[1]Sheet1!$B:$B,[1]Sheet1!$R:$R,0)</f>
        <v>0</v>
      </c>
      <c r="P756" s="12">
        <f>_xlfn.XLOOKUP(B756,[1]Sheet1!$B:$B,[1]Sheet1!$S:$S,0)</f>
        <v>0</v>
      </c>
      <c r="Q756" s="12">
        <f>_xlfn.XLOOKUP(B756,[1]Sheet1!$B:$B,[1]Sheet1!$T:$T,0)</f>
        <v>750000</v>
      </c>
      <c r="R756" s="12">
        <f>_xlfn.XLOOKUP(B756,[1]Sheet1!$B:$B,[1]Sheet1!$U:$U,0)</f>
        <v>0</v>
      </c>
      <c r="S756" s="12">
        <f>_xlfn.XLOOKUP(B756,[1]Sheet1!$B:$B,[1]Sheet1!$V:$V,0)</f>
        <v>0</v>
      </c>
      <c r="T756" s="12">
        <f>_xlfn.XLOOKUP(B756,[1]Sheet1!$B:$B,[1]Sheet1!$W:$W,0)</f>
        <v>0</v>
      </c>
      <c r="U756" s="12">
        <f>_xlfn.XLOOKUP(B756,[1]Sheet1!$B:$B,[1]Sheet1!$X:$X,0)</f>
        <v>0</v>
      </c>
      <c r="V756" s="12">
        <f>_xlfn.XLOOKUP(B756,[1]Sheet1!$B:$B,[1]Sheet1!$Y:$Y,0)</f>
        <v>0</v>
      </c>
      <c r="W756" s="12">
        <f t="shared" si="25"/>
        <v>750000</v>
      </c>
      <c r="X756" s="6" t="s">
        <v>841</v>
      </c>
      <c r="Y756" s="6" t="s">
        <v>392</v>
      </c>
      <c r="Z756" s="6" t="s">
        <v>842</v>
      </c>
      <c r="AA756" s="6" t="s">
        <v>151</v>
      </c>
      <c r="AB756" s="6" t="s">
        <v>36</v>
      </c>
      <c r="AC756" s="6" t="s">
        <v>37</v>
      </c>
      <c r="AD756" s="6" t="s">
        <v>844</v>
      </c>
      <c r="AE756" s="6" t="s">
        <v>39</v>
      </c>
      <c r="AF756" s="6" t="s">
        <v>40</v>
      </c>
      <c r="AG756" s="7">
        <v>750000</v>
      </c>
      <c r="AH756" s="11">
        <f>_xlfn.XLOOKUP(B756,[1]Sheet1!$B:$B,[1]Sheet1!$AB:$AB,0)</f>
        <v>750000</v>
      </c>
    </row>
    <row r="757" spans="2:34" ht="16.8" thickTop="1" thickBot="1" x14ac:dyDescent="0.35">
      <c r="B757" s="3" t="str">
        <f t="shared" si="24"/>
        <v>45191964511000887E-E Ops and Prod-N1421125200104</v>
      </c>
      <c r="C757" s="8" t="s">
        <v>843</v>
      </c>
      <c r="D757" s="8" t="s">
        <v>1207</v>
      </c>
      <c r="E757" s="8" t="s">
        <v>1208</v>
      </c>
      <c r="F757" s="8" t="s">
        <v>1209</v>
      </c>
      <c r="G757" s="4" t="s">
        <v>2803</v>
      </c>
      <c r="H757" s="4" t="s">
        <v>2922</v>
      </c>
      <c r="I757" s="8" t="s">
        <v>44</v>
      </c>
      <c r="J757" s="8" t="s">
        <v>31</v>
      </c>
      <c r="K757" s="12">
        <f>_xlfn.XLOOKUP(B757,[1]Sheet1!$B:$B,[1]Sheet1!$N:$N,0)</f>
        <v>0</v>
      </c>
      <c r="L757" s="12">
        <f>_xlfn.XLOOKUP(B757,[1]Sheet1!$B:$B,[1]Sheet1!$O:$O,0)</f>
        <v>0</v>
      </c>
      <c r="M757" s="12">
        <f>_xlfn.XLOOKUP(B757,[1]Sheet1!$B:$B,[1]Sheet1!$P:$P,0)</f>
        <v>0</v>
      </c>
      <c r="N757" s="12">
        <f>_xlfn.XLOOKUP(B757,[1]Sheet1!$B:$B,[1]Sheet1!$Q:$Q,0)</f>
        <v>16000</v>
      </c>
      <c r="O757" s="12">
        <f>_xlfn.XLOOKUP(B757,[1]Sheet1!$B:$B,[1]Sheet1!$R:$R,0)</f>
        <v>0</v>
      </c>
      <c r="P757" s="12">
        <f>_xlfn.XLOOKUP(B757,[1]Sheet1!$B:$B,[1]Sheet1!$S:$S,0)</f>
        <v>16000</v>
      </c>
      <c r="Q757" s="12">
        <f>_xlfn.XLOOKUP(B757,[1]Sheet1!$B:$B,[1]Sheet1!$T:$T,0)</f>
        <v>0</v>
      </c>
      <c r="R757" s="12">
        <f>_xlfn.XLOOKUP(B757,[1]Sheet1!$B:$B,[1]Sheet1!$U:$U,0)</f>
        <v>10000</v>
      </c>
      <c r="S757" s="12">
        <f>_xlfn.XLOOKUP(B757,[1]Sheet1!$B:$B,[1]Sheet1!$V:$V,0)</f>
        <v>16000</v>
      </c>
      <c r="T757" s="12">
        <f>_xlfn.XLOOKUP(B757,[1]Sheet1!$B:$B,[1]Sheet1!$W:$W,0)</f>
        <v>16000</v>
      </c>
      <c r="U757" s="12">
        <f>_xlfn.XLOOKUP(B757,[1]Sheet1!$B:$B,[1]Sheet1!$X:$X,0)</f>
        <v>16000</v>
      </c>
      <c r="V757" s="12">
        <f>_xlfn.XLOOKUP(B757,[1]Sheet1!$B:$B,[1]Sheet1!$Y:$Y,0)</f>
        <v>10069</v>
      </c>
      <c r="W757" s="12">
        <f t="shared" si="25"/>
        <v>100069</v>
      </c>
      <c r="X757" s="8" t="s">
        <v>1210</v>
      </c>
      <c r="Y757" s="8" t="s">
        <v>392</v>
      </c>
      <c r="Z757" s="8" t="s">
        <v>842</v>
      </c>
      <c r="AA757" s="8" t="s">
        <v>44</v>
      </c>
      <c r="AB757" s="8" t="s">
        <v>36</v>
      </c>
      <c r="AC757" s="8" t="s">
        <v>37</v>
      </c>
      <c r="AD757" s="8" t="s">
        <v>844</v>
      </c>
      <c r="AE757" s="8" t="s">
        <v>39</v>
      </c>
      <c r="AF757" s="8" t="s">
        <v>40</v>
      </c>
      <c r="AG757" s="9">
        <v>100069</v>
      </c>
      <c r="AH757" s="11">
        <f>_xlfn.XLOOKUP(B757,[1]Sheet1!$B:$B,[1]Sheet1!$AB:$AB,0)</f>
        <v>100069</v>
      </c>
    </row>
    <row r="758" spans="2:34" ht="16.8" thickTop="1" thickBot="1" x14ac:dyDescent="0.35">
      <c r="B758" s="3" t="str">
        <f t="shared" si="24"/>
        <v>45191964511000887Freelancers-N1424521200104</v>
      </c>
      <c r="C758" s="6" t="s">
        <v>843</v>
      </c>
      <c r="D758" s="6" t="s">
        <v>1207</v>
      </c>
      <c r="E758" s="6" t="s">
        <v>1208</v>
      </c>
      <c r="F758" s="6" t="s">
        <v>303</v>
      </c>
      <c r="G758" s="4" t="s">
        <v>2804</v>
      </c>
      <c r="H758" s="4" t="s">
        <v>2922</v>
      </c>
      <c r="I758" s="6" t="s">
        <v>51</v>
      </c>
      <c r="J758" s="6" t="s">
        <v>31</v>
      </c>
      <c r="K758" s="12">
        <f>_xlfn.XLOOKUP(B758,[1]Sheet1!$B:$B,[1]Sheet1!$N:$N,0)</f>
        <v>0</v>
      </c>
      <c r="L758" s="12">
        <f>_xlfn.XLOOKUP(B758,[1]Sheet1!$B:$B,[1]Sheet1!$O:$O,0)</f>
        <v>40000</v>
      </c>
      <c r="M758" s="12">
        <f>_xlfn.XLOOKUP(B758,[1]Sheet1!$B:$B,[1]Sheet1!$P:$P,0)</f>
        <v>21333</v>
      </c>
      <c r="N758" s="12">
        <f>_xlfn.XLOOKUP(B758,[1]Sheet1!$B:$B,[1]Sheet1!$Q:$Q,0)</f>
        <v>41332</v>
      </c>
      <c r="O758" s="12">
        <f>_xlfn.XLOOKUP(B758,[1]Sheet1!$B:$B,[1]Sheet1!$R:$R,0)</f>
        <v>40000</v>
      </c>
      <c r="P758" s="12">
        <f>_xlfn.XLOOKUP(B758,[1]Sheet1!$B:$B,[1]Sheet1!$S:$S,0)</f>
        <v>58667</v>
      </c>
      <c r="Q758" s="12">
        <f>_xlfn.XLOOKUP(B758,[1]Sheet1!$B:$B,[1]Sheet1!$T:$T,0)</f>
        <v>58278</v>
      </c>
      <c r="R758" s="12">
        <f>_xlfn.XLOOKUP(B758,[1]Sheet1!$B:$B,[1]Sheet1!$U:$U,0)</f>
        <v>58278</v>
      </c>
      <c r="S758" s="12">
        <f>_xlfn.XLOOKUP(B758,[1]Sheet1!$B:$B,[1]Sheet1!$V:$V,0)</f>
        <v>58278</v>
      </c>
      <c r="T758" s="12">
        <f>_xlfn.XLOOKUP(B758,[1]Sheet1!$B:$B,[1]Sheet1!$W:$W,0)</f>
        <v>58278</v>
      </c>
      <c r="U758" s="12">
        <f>_xlfn.XLOOKUP(B758,[1]Sheet1!$B:$B,[1]Sheet1!$X:$X,0)</f>
        <v>58278</v>
      </c>
      <c r="V758" s="12">
        <f>_xlfn.XLOOKUP(B758,[1]Sheet1!$B:$B,[1]Sheet1!$Y:$Y,0)</f>
        <v>58278</v>
      </c>
      <c r="W758" s="12">
        <f t="shared" si="25"/>
        <v>551000</v>
      </c>
      <c r="X758" s="6" t="s">
        <v>1211</v>
      </c>
      <c r="Y758" s="6" t="s">
        <v>392</v>
      </c>
      <c r="Z758" s="6" t="s">
        <v>842</v>
      </c>
      <c r="AA758" s="6" t="s">
        <v>53</v>
      </c>
      <c r="AB758" s="6" t="s">
        <v>36</v>
      </c>
      <c r="AC758" s="6" t="s">
        <v>37</v>
      </c>
      <c r="AD758" s="6" t="s">
        <v>844</v>
      </c>
      <c r="AE758" s="6" t="s">
        <v>39</v>
      </c>
      <c r="AF758" s="6" t="s">
        <v>40</v>
      </c>
      <c r="AG758" s="7">
        <v>460500</v>
      </c>
      <c r="AH758" s="11">
        <f>_xlfn.XLOOKUP(B758,[1]Sheet1!$B:$B,[1]Sheet1!$AB:$AB,0)</f>
        <v>460500</v>
      </c>
    </row>
    <row r="759" spans="2:34" ht="16.8" thickTop="1" thickBot="1" x14ac:dyDescent="0.35">
      <c r="B759" s="3" t="str">
        <f t="shared" si="24"/>
        <v>45191964511000887Hospitality-N1424761200104</v>
      </c>
      <c r="C759" s="8" t="s">
        <v>843</v>
      </c>
      <c r="D759" s="8" t="s">
        <v>1207</v>
      </c>
      <c r="E759" s="8" t="s">
        <v>1208</v>
      </c>
      <c r="F759" s="8" t="s">
        <v>399</v>
      </c>
      <c r="G759" s="4" t="s">
        <v>2811</v>
      </c>
      <c r="H759" s="4" t="s">
        <v>2922</v>
      </c>
      <c r="I759" s="8" t="s">
        <v>84</v>
      </c>
      <c r="J759" s="8" t="s">
        <v>31</v>
      </c>
      <c r="K759" s="12">
        <f>_xlfn.XLOOKUP(B759,[1]Sheet1!$B:$B,[1]Sheet1!$N:$N,0)</f>
        <v>0</v>
      </c>
      <c r="L759" s="12">
        <f>_xlfn.XLOOKUP(B759,[1]Sheet1!$B:$B,[1]Sheet1!$O:$O,0)</f>
        <v>61333</v>
      </c>
      <c r="M759" s="12">
        <f>_xlfn.XLOOKUP(B759,[1]Sheet1!$B:$B,[1]Sheet1!$P:$P,0)</f>
        <v>0</v>
      </c>
      <c r="N759" s="12">
        <f>_xlfn.XLOOKUP(B759,[1]Sheet1!$B:$B,[1]Sheet1!$Q:$Q,0)</f>
        <v>8667</v>
      </c>
      <c r="O759" s="12">
        <f>_xlfn.XLOOKUP(B759,[1]Sheet1!$B:$B,[1]Sheet1!$R:$R,0)</f>
        <v>0</v>
      </c>
      <c r="P759" s="12">
        <f>_xlfn.XLOOKUP(B759,[1]Sheet1!$B:$B,[1]Sheet1!$S:$S,0)</f>
        <v>0</v>
      </c>
      <c r="Q759" s="12">
        <f>_xlfn.XLOOKUP(B759,[1]Sheet1!$B:$B,[1]Sheet1!$T:$T,0)</f>
        <v>0</v>
      </c>
      <c r="R759" s="12">
        <f>_xlfn.XLOOKUP(B759,[1]Sheet1!$B:$B,[1]Sheet1!$U:$U,0)</f>
        <v>0</v>
      </c>
      <c r="S759" s="12">
        <f>_xlfn.XLOOKUP(B759,[1]Sheet1!$B:$B,[1]Sheet1!$V:$V,0)</f>
        <v>0</v>
      </c>
      <c r="T759" s="12">
        <f>_xlfn.XLOOKUP(B759,[1]Sheet1!$B:$B,[1]Sheet1!$W:$W,0)</f>
        <v>0</v>
      </c>
      <c r="U759" s="12">
        <f>_xlfn.XLOOKUP(B759,[1]Sheet1!$B:$B,[1]Sheet1!$X:$X,0)</f>
        <v>30000</v>
      </c>
      <c r="V759" s="12">
        <f>_xlfn.XLOOKUP(B759,[1]Sheet1!$B:$B,[1]Sheet1!$Y:$Y,0)</f>
        <v>0</v>
      </c>
      <c r="W759" s="12">
        <f t="shared" si="25"/>
        <v>100000</v>
      </c>
      <c r="X759" s="8" t="s">
        <v>1212</v>
      </c>
      <c r="Y759" s="8" t="s">
        <v>392</v>
      </c>
      <c r="Z759" s="8" t="s">
        <v>842</v>
      </c>
      <c r="AA759" s="8" t="s">
        <v>84</v>
      </c>
      <c r="AB759" s="8" t="s">
        <v>36</v>
      </c>
      <c r="AC759" s="8" t="s">
        <v>37</v>
      </c>
      <c r="AD759" s="8" t="s">
        <v>844</v>
      </c>
      <c r="AE759" s="8" t="s">
        <v>39</v>
      </c>
      <c r="AF759" s="8" t="s">
        <v>40</v>
      </c>
      <c r="AG759" s="9">
        <v>100000</v>
      </c>
      <c r="AH759" s="11">
        <f>_xlfn.XLOOKUP(B759,[1]Sheet1!$B:$B,[1]Sheet1!$AB:$AB,0)</f>
        <v>100000</v>
      </c>
    </row>
    <row r="760" spans="2:34" ht="16.8" thickTop="1" thickBot="1" x14ac:dyDescent="0.35">
      <c r="B760" s="3" t="str">
        <f t="shared" si="24"/>
        <v>45191964511000887Mission &amp; Travel-N1423821200104</v>
      </c>
      <c r="C760" s="6" t="s">
        <v>843</v>
      </c>
      <c r="D760" s="6" t="s">
        <v>1207</v>
      </c>
      <c r="E760" s="6" t="s">
        <v>1208</v>
      </c>
      <c r="F760" s="6" t="s">
        <v>472</v>
      </c>
      <c r="G760" s="4" t="s">
        <v>2805</v>
      </c>
      <c r="H760" s="4" t="s">
        <v>2922</v>
      </c>
      <c r="I760" s="6" t="s">
        <v>55</v>
      </c>
      <c r="J760" s="6" t="s">
        <v>31</v>
      </c>
      <c r="K760" s="12">
        <f>_xlfn.XLOOKUP(B760,[1]Sheet1!$B:$B,[1]Sheet1!$N:$N,0)</f>
        <v>0</v>
      </c>
      <c r="L760" s="12">
        <f>_xlfn.XLOOKUP(B760,[1]Sheet1!$B:$B,[1]Sheet1!$O:$O,0)</f>
        <v>41500</v>
      </c>
      <c r="M760" s="12">
        <f>_xlfn.XLOOKUP(B760,[1]Sheet1!$B:$B,[1]Sheet1!$P:$P,0)</f>
        <v>0</v>
      </c>
      <c r="N760" s="12">
        <f>_xlfn.XLOOKUP(B760,[1]Sheet1!$B:$B,[1]Sheet1!$Q:$Q,0)</f>
        <v>144000</v>
      </c>
      <c r="O760" s="12">
        <f>_xlfn.XLOOKUP(B760,[1]Sheet1!$B:$B,[1]Sheet1!$R:$R,0)</f>
        <v>0</v>
      </c>
      <c r="P760" s="12">
        <f>_xlfn.XLOOKUP(B760,[1]Sheet1!$B:$B,[1]Sheet1!$S:$S,0)</f>
        <v>0</v>
      </c>
      <c r="Q760" s="12">
        <f>_xlfn.XLOOKUP(B760,[1]Sheet1!$B:$B,[1]Sheet1!$T:$T,0)</f>
        <v>0</v>
      </c>
      <c r="R760" s="12">
        <f>_xlfn.XLOOKUP(B760,[1]Sheet1!$B:$B,[1]Sheet1!$U:$U,0)</f>
        <v>0</v>
      </c>
      <c r="S760" s="12">
        <f>_xlfn.XLOOKUP(B760,[1]Sheet1!$B:$B,[1]Sheet1!$V:$V,0)</f>
        <v>0</v>
      </c>
      <c r="T760" s="12">
        <f>_xlfn.XLOOKUP(B760,[1]Sheet1!$B:$B,[1]Sheet1!$W:$W,0)</f>
        <v>0</v>
      </c>
      <c r="U760" s="12">
        <f>_xlfn.XLOOKUP(B760,[1]Sheet1!$B:$B,[1]Sheet1!$X:$X,0)</f>
        <v>22500</v>
      </c>
      <c r="V760" s="12">
        <f>_xlfn.XLOOKUP(B760,[1]Sheet1!$B:$B,[1]Sheet1!$Y:$Y,0)</f>
        <v>177000</v>
      </c>
      <c r="W760" s="12">
        <f t="shared" si="25"/>
        <v>385000</v>
      </c>
      <c r="X760" s="6" t="s">
        <v>1213</v>
      </c>
      <c r="Y760" s="6" t="s">
        <v>392</v>
      </c>
      <c r="Z760" s="6" t="s">
        <v>842</v>
      </c>
      <c r="AA760" s="6" t="s">
        <v>55</v>
      </c>
      <c r="AB760" s="6" t="s">
        <v>36</v>
      </c>
      <c r="AC760" s="6" t="s">
        <v>37</v>
      </c>
      <c r="AD760" s="6" t="s">
        <v>844</v>
      </c>
      <c r="AE760" s="6" t="s">
        <v>39</v>
      </c>
      <c r="AF760" s="6" t="s">
        <v>40</v>
      </c>
      <c r="AG760" s="7">
        <v>385000</v>
      </c>
      <c r="AH760" s="11">
        <f>_xlfn.XLOOKUP(B760,[1]Sheet1!$B:$B,[1]Sheet1!$AB:$AB,0)</f>
        <v>385000</v>
      </c>
    </row>
    <row r="761" spans="2:34" ht="16.8" thickTop="1" thickBot="1" x14ac:dyDescent="0.35">
      <c r="B761" s="3" t="str">
        <f t="shared" si="24"/>
        <v>45191994511000888TranslationGrant-N1424701200104</v>
      </c>
      <c r="C761" s="8" t="s">
        <v>394</v>
      </c>
      <c r="D761" s="8" t="s">
        <v>1214</v>
      </c>
      <c r="E761" s="8" t="s">
        <v>1215</v>
      </c>
      <c r="F761" s="8" t="s">
        <v>1216</v>
      </c>
      <c r="G761" s="4" t="s">
        <v>2834</v>
      </c>
      <c r="H761" s="4" t="s">
        <v>2922</v>
      </c>
      <c r="I761" s="8" t="s">
        <v>356</v>
      </c>
      <c r="J761" s="8" t="s">
        <v>31</v>
      </c>
      <c r="K761" s="12">
        <f>_xlfn.XLOOKUP(B761,[1]Sheet1!$B:$B,[1]Sheet1!$N:$N,0)</f>
        <v>0</v>
      </c>
      <c r="L761" s="12">
        <f>_xlfn.XLOOKUP(B761,[1]Sheet1!$B:$B,[1]Sheet1!$O:$O,0)</f>
        <v>0</v>
      </c>
      <c r="M761" s="12">
        <f>_xlfn.XLOOKUP(B761,[1]Sheet1!$B:$B,[1]Sheet1!$P:$P,0)</f>
        <v>0</v>
      </c>
      <c r="N761" s="12">
        <f>_xlfn.XLOOKUP(B761,[1]Sheet1!$B:$B,[1]Sheet1!$Q:$Q,0)</f>
        <v>0</v>
      </c>
      <c r="O761" s="12">
        <f>_xlfn.XLOOKUP(B761,[1]Sheet1!$B:$B,[1]Sheet1!$R:$R,0)</f>
        <v>0</v>
      </c>
      <c r="P761" s="12">
        <f>_xlfn.XLOOKUP(B761,[1]Sheet1!$B:$B,[1]Sheet1!$S:$S,0)</f>
        <v>0</v>
      </c>
      <c r="Q761" s="12">
        <f>_xlfn.XLOOKUP(B761,[1]Sheet1!$B:$B,[1]Sheet1!$T:$T,0)</f>
        <v>0</v>
      </c>
      <c r="R761" s="12">
        <f>_xlfn.XLOOKUP(B761,[1]Sheet1!$B:$B,[1]Sheet1!$U:$U,0)</f>
        <v>184200</v>
      </c>
      <c r="S761" s="12">
        <f>_xlfn.XLOOKUP(B761,[1]Sheet1!$B:$B,[1]Sheet1!$V:$V,0)</f>
        <v>184200</v>
      </c>
      <c r="T761" s="12">
        <f>_xlfn.XLOOKUP(B761,[1]Sheet1!$B:$B,[1]Sheet1!$W:$W,0)</f>
        <v>184200</v>
      </c>
      <c r="U761" s="12">
        <f>_xlfn.XLOOKUP(B761,[1]Sheet1!$B:$B,[1]Sheet1!$X:$X,0)</f>
        <v>184200</v>
      </c>
      <c r="V761" s="12">
        <f>_xlfn.XLOOKUP(B761,[1]Sheet1!$B:$B,[1]Sheet1!$Y:$Y,0)</f>
        <v>184200</v>
      </c>
      <c r="W761" s="12">
        <f t="shared" si="25"/>
        <v>921000</v>
      </c>
      <c r="X761" s="8" t="s">
        <v>1217</v>
      </c>
      <c r="Y761" s="8" t="s">
        <v>392</v>
      </c>
      <c r="Z761" s="8" t="s">
        <v>393</v>
      </c>
      <c r="AA761" s="8" t="s">
        <v>356</v>
      </c>
      <c r="AB761" s="8" t="s">
        <v>36</v>
      </c>
      <c r="AC761" s="8" t="s">
        <v>37</v>
      </c>
      <c r="AD761" s="8" t="s">
        <v>859</v>
      </c>
      <c r="AE761" s="8" t="s">
        <v>39</v>
      </c>
      <c r="AF761" s="8" t="s">
        <v>40</v>
      </c>
      <c r="AG761" s="9">
        <v>921000</v>
      </c>
      <c r="AH761" s="11">
        <f>_xlfn.XLOOKUP(B761,[1]Sheet1!$B:$B,[1]Sheet1!$AB:$AB,0)</f>
        <v>921000</v>
      </c>
    </row>
    <row r="762" spans="2:34" ht="16.8" thickTop="1" thickBot="1" x14ac:dyDescent="0.35">
      <c r="B762" s="3" t="str">
        <f t="shared" si="24"/>
        <v>45191964511000890Brand Management-N1422511200104</v>
      </c>
      <c r="C762" s="6" t="s">
        <v>843</v>
      </c>
      <c r="D762" s="6" t="s">
        <v>1218</v>
      </c>
      <c r="E762" s="6" t="s">
        <v>1219</v>
      </c>
      <c r="F762" s="6" t="s">
        <v>1220</v>
      </c>
      <c r="G762" s="4" t="s">
        <v>2819</v>
      </c>
      <c r="H762" s="4" t="s">
        <v>2922</v>
      </c>
      <c r="I762" s="6" t="s">
        <v>151</v>
      </c>
      <c r="J762" s="6" t="s">
        <v>31</v>
      </c>
      <c r="K762" s="12">
        <f>_xlfn.XLOOKUP(B762,[1]Sheet1!$B:$B,[1]Sheet1!$N:$N,0)</f>
        <v>0</v>
      </c>
      <c r="L762" s="12">
        <f>_xlfn.XLOOKUP(B762,[1]Sheet1!$B:$B,[1]Sheet1!$O:$O,0)</f>
        <v>12555</v>
      </c>
      <c r="M762" s="12">
        <f>_xlfn.XLOOKUP(B762,[1]Sheet1!$B:$B,[1]Sheet1!$P:$P,0)</f>
        <v>79147.5</v>
      </c>
      <c r="N762" s="12">
        <f>_xlfn.XLOOKUP(B762,[1]Sheet1!$B:$B,[1]Sheet1!$Q:$Q,0)</f>
        <v>15877.5</v>
      </c>
      <c r="O762" s="12">
        <f>_xlfn.XLOOKUP(B762,[1]Sheet1!$B:$B,[1]Sheet1!$R:$R,0)</f>
        <v>37745</v>
      </c>
      <c r="P762" s="12">
        <f>_xlfn.XLOOKUP(B762,[1]Sheet1!$B:$B,[1]Sheet1!$S:$S,0)</f>
        <v>25190</v>
      </c>
      <c r="Q762" s="12">
        <f>_xlfn.XLOOKUP(B762,[1]Sheet1!$B:$B,[1]Sheet1!$T:$T,0)</f>
        <v>20263</v>
      </c>
      <c r="R762" s="12">
        <f>_xlfn.XLOOKUP(B762,[1]Sheet1!$B:$B,[1]Sheet1!$U:$U,0)</f>
        <v>20263</v>
      </c>
      <c r="S762" s="12">
        <f>_xlfn.XLOOKUP(B762,[1]Sheet1!$B:$B,[1]Sheet1!$V:$V,0)</f>
        <v>20263</v>
      </c>
      <c r="T762" s="12">
        <f>_xlfn.XLOOKUP(B762,[1]Sheet1!$B:$B,[1]Sheet1!$W:$W,0)</f>
        <v>20263</v>
      </c>
      <c r="U762" s="12">
        <f>_xlfn.XLOOKUP(B762,[1]Sheet1!$B:$B,[1]Sheet1!$X:$X,0)</f>
        <v>20263</v>
      </c>
      <c r="V762" s="12">
        <f>_xlfn.XLOOKUP(B762,[1]Sheet1!$B:$B,[1]Sheet1!$Y:$Y,0)</f>
        <v>9000</v>
      </c>
      <c r="W762" s="12">
        <f t="shared" si="25"/>
        <v>280830</v>
      </c>
      <c r="X762" s="6" t="s">
        <v>841</v>
      </c>
      <c r="Y762" s="6" t="s">
        <v>392</v>
      </c>
      <c r="Z762" s="6" t="s">
        <v>842</v>
      </c>
      <c r="AA762" s="6" t="s">
        <v>151</v>
      </c>
      <c r="AB762" s="6" t="s">
        <v>36</v>
      </c>
      <c r="AC762" s="6" t="s">
        <v>37</v>
      </c>
      <c r="AD762" s="6" t="s">
        <v>844</v>
      </c>
      <c r="AE762" s="6" t="s">
        <v>39</v>
      </c>
      <c r="AF762" s="6" t="s">
        <v>40</v>
      </c>
      <c r="AG762" s="7">
        <v>371330</v>
      </c>
      <c r="AH762" s="11">
        <f>_xlfn.XLOOKUP(B762,[1]Sheet1!$B:$B,[1]Sheet1!$AB:$AB,0)</f>
        <v>371330</v>
      </c>
    </row>
    <row r="763" spans="2:34" ht="16.8" thickTop="1" thickBot="1" x14ac:dyDescent="0.35">
      <c r="B763" s="3" t="str">
        <f t="shared" si="24"/>
        <v>45101954511000892Edit &amp; Copywrite-N2421115200104</v>
      </c>
      <c r="C763" s="8" t="s">
        <v>835</v>
      </c>
      <c r="D763" s="8" t="s">
        <v>1221</v>
      </c>
      <c r="E763" s="8" t="s">
        <v>1222</v>
      </c>
      <c r="F763" s="8" t="s">
        <v>1223</v>
      </c>
      <c r="G763" s="4" t="s">
        <v>2859</v>
      </c>
      <c r="H763" s="4" t="s">
        <v>2922</v>
      </c>
      <c r="I763" s="8" t="s">
        <v>878</v>
      </c>
      <c r="J763" s="8" t="s">
        <v>31</v>
      </c>
      <c r="K763" s="12">
        <f>_xlfn.XLOOKUP(B763,[1]Sheet1!$B:$B,[1]Sheet1!$N:$N,0)</f>
        <v>0</v>
      </c>
      <c r="L763" s="12">
        <f>_xlfn.XLOOKUP(B763,[1]Sheet1!$B:$B,[1]Sheet1!$O:$O,0)</f>
        <v>0</v>
      </c>
      <c r="M763" s="12">
        <f>_xlfn.XLOOKUP(B763,[1]Sheet1!$B:$B,[1]Sheet1!$P:$P,0)</f>
        <v>0</v>
      </c>
      <c r="N763" s="12">
        <f>_xlfn.XLOOKUP(B763,[1]Sheet1!$B:$B,[1]Sheet1!$Q:$Q,0)</f>
        <v>68000</v>
      </c>
      <c r="O763" s="12">
        <f>_xlfn.XLOOKUP(B763,[1]Sheet1!$B:$B,[1]Sheet1!$R:$R,0)</f>
        <v>4000</v>
      </c>
      <c r="P763" s="12">
        <f>_xlfn.XLOOKUP(B763,[1]Sheet1!$B:$B,[1]Sheet1!$S:$S,0)</f>
        <v>4000</v>
      </c>
      <c r="Q763" s="12">
        <f>_xlfn.XLOOKUP(B763,[1]Sheet1!$B:$B,[1]Sheet1!$T:$T,0)</f>
        <v>4000</v>
      </c>
      <c r="R763" s="12">
        <f>_xlfn.XLOOKUP(B763,[1]Sheet1!$B:$B,[1]Sheet1!$U:$U,0)</f>
        <v>4000</v>
      </c>
      <c r="S763" s="12">
        <f>_xlfn.XLOOKUP(B763,[1]Sheet1!$B:$B,[1]Sheet1!$V:$V,0)</f>
        <v>4000</v>
      </c>
      <c r="T763" s="12">
        <f>_xlfn.XLOOKUP(B763,[1]Sheet1!$B:$B,[1]Sheet1!$W:$W,0)</f>
        <v>4000</v>
      </c>
      <c r="U763" s="12">
        <f>_xlfn.XLOOKUP(B763,[1]Sheet1!$B:$B,[1]Sheet1!$X:$X,0)</f>
        <v>4000</v>
      </c>
      <c r="V763" s="12">
        <f>_xlfn.XLOOKUP(B763,[1]Sheet1!$B:$B,[1]Sheet1!$Y:$Y,0)</f>
        <v>4000</v>
      </c>
      <c r="W763" s="12">
        <f t="shared" si="25"/>
        <v>100000</v>
      </c>
      <c r="X763" s="8" t="s">
        <v>1224</v>
      </c>
      <c r="Y763" s="8" t="s">
        <v>392</v>
      </c>
      <c r="Z763" s="8" t="s">
        <v>834</v>
      </c>
      <c r="AA763" s="8" t="s">
        <v>878</v>
      </c>
      <c r="AB763" s="8" t="s">
        <v>36</v>
      </c>
      <c r="AC763" s="8" t="s">
        <v>37</v>
      </c>
      <c r="AD763" s="8" t="s">
        <v>395</v>
      </c>
      <c r="AE763" s="8" t="s">
        <v>39</v>
      </c>
      <c r="AF763" s="8" t="s">
        <v>40</v>
      </c>
      <c r="AG763" s="9">
        <v>100000</v>
      </c>
      <c r="AH763" s="11">
        <f>_xlfn.XLOOKUP(B763,[1]Sheet1!$B:$B,[1]Sheet1!$AB:$AB,0)</f>
        <v>100000</v>
      </c>
    </row>
    <row r="764" spans="2:34" ht="16.8" thickTop="1" thickBot="1" x14ac:dyDescent="0.35">
      <c r="B764" s="3" t="str">
        <f t="shared" si="24"/>
        <v>45101954511000892Event Management-N2422401200104</v>
      </c>
      <c r="C764" s="6" t="s">
        <v>835</v>
      </c>
      <c r="D764" s="6" t="s">
        <v>1221</v>
      </c>
      <c r="E764" s="6" t="s">
        <v>1222</v>
      </c>
      <c r="F764" s="6" t="s">
        <v>387</v>
      </c>
      <c r="G764" s="4" t="s">
        <v>2807</v>
      </c>
      <c r="H764" s="4" t="s">
        <v>2922</v>
      </c>
      <c r="I764" s="6" t="s">
        <v>63</v>
      </c>
      <c r="J764" s="6" t="s">
        <v>31</v>
      </c>
      <c r="K764" s="12">
        <f>_xlfn.XLOOKUP(B764,[1]Sheet1!$B:$B,[1]Sheet1!$N:$N,0)</f>
        <v>0</v>
      </c>
      <c r="L764" s="12">
        <f>_xlfn.XLOOKUP(B764,[1]Sheet1!$B:$B,[1]Sheet1!$O:$O,0)</f>
        <v>0</v>
      </c>
      <c r="M764" s="12">
        <f>_xlfn.XLOOKUP(B764,[1]Sheet1!$B:$B,[1]Sheet1!$P:$P,0)</f>
        <v>0</v>
      </c>
      <c r="N764" s="12">
        <f>_xlfn.XLOOKUP(B764,[1]Sheet1!$B:$B,[1]Sheet1!$Q:$Q,0)</f>
        <v>158938</v>
      </c>
      <c r="O764" s="12">
        <f>_xlfn.XLOOKUP(B764,[1]Sheet1!$B:$B,[1]Sheet1!$R:$R,0)</f>
        <v>0</v>
      </c>
      <c r="P764" s="12">
        <f>_xlfn.XLOOKUP(B764,[1]Sheet1!$B:$B,[1]Sheet1!$S:$S,0)</f>
        <v>0</v>
      </c>
      <c r="Q764" s="12">
        <f>_xlfn.XLOOKUP(B764,[1]Sheet1!$B:$B,[1]Sheet1!$T:$T,0)</f>
        <v>0</v>
      </c>
      <c r="R764" s="12">
        <f>_xlfn.XLOOKUP(B764,[1]Sheet1!$B:$B,[1]Sheet1!$U:$U,0)</f>
        <v>8000</v>
      </c>
      <c r="S764" s="12">
        <f>_xlfn.XLOOKUP(B764,[1]Sheet1!$B:$B,[1]Sheet1!$V:$V,0)</f>
        <v>0</v>
      </c>
      <c r="T764" s="12">
        <f>_xlfn.XLOOKUP(B764,[1]Sheet1!$B:$B,[1]Sheet1!$W:$W,0)</f>
        <v>0</v>
      </c>
      <c r="U764" s="12">
        <f>_xlfn.XLOOKUP(B764,[1]Sheet1!$B:$B,[1]Sheet1!$X:$X,0)</f>
        <v>7000</v>
      </c>
      <c r="V764" s="12">
        <f>_xlfn.XLOOKUP(B764,[1]Sheet1!$B:$B,[1]Sheet1!$Y:$Y,0)</f>
        <v>9000</v>
      </c>
      <c r="W764" s="12">
        <f t="shared" si="25"/>
        <v>182938</v>
      </c>
      <c r="X764" s="6" t="s">
        <v>833</v>
      </c>
      <c r="Y764" s="6" t="s">
        <v>392</v>
      </c>
      <c r="Z764" s="6" t="s">
        <v>834</v>
      </c>
      <c r="AA764" s="6" t="s">
        <v>68</v>
      </c>
      <c r="AB764" s="6" t="s">
        <v>36</v>
      </c>
      <c r="AC764" s="6" t="s">
        <v>37</v>
      </c>
      <c r="AD764" s="6" t="s">
        <v>38</v>
      </c>
      <c r="AE764" s="6" t="s">
        <v>39</v>
      </c>
      <c r="AF764" s="6" t="s">
        <v>40</v>
      </c>
      <c r="AG764" s="7">
        <v>182938</v>
      </c>
      <c r="AH764" s="11">
        <f>_xlfn.XLOOKUP(B764,[1]Sheet1!$B:$B,[1]Sheet1!$AB:$AB,0)</f>
        <v>182938</v>
      </c>
    </row>
    <row r="765" spans="2:34" ht="16.8" thickTop="1" thickBot="1" x14ac:dyDescent="0.35">
      <c r="B765" s="3" t="str">
        <f t="shared" si="24"/>
        <v>45101954511000892Freelancers-N2424521200104</v>
      </c>
      <c r="C765" s="8" t="s">
        <v>835</v>
      </c>
      <c r="D765" s="8" t="s">
        <v>1221</v>
      </c>
      <c r="E765" s="8" t="s">
        <v>1222</v>
      </c>
      <c r="F765" s="8" t="s">
        <v>913</v>
      </c>
      <c r="G765" s="4" t="s">
        <v>2804</v>
      </c>
      <c r="H765" s="4" t="s">
        <v>2922</v>
      </c>
      <c r="I765" s="8" t="s">
        <v>51</v>
      </c>
      <c r="J765" s="8" t="s">
        <v>31</v>
      </c>
      <c r="K765" s="12">
        <f>_xlfn.XLOOKUP(B765,[1]Sheet1!$B:$B,[1]Sheet1!$N:$N,0)</f>
        <v>0</v>
      </c>
      <c r="L765" s="12">
        <f>_xlfn.XLOOKUP(B765,[1]Sheet1!$B:$B,[1]Sheet1!$O:$O,0)</f>
        <v>0</v>
      </c>
      <c r="M765" s="12">
        <f>_xlfn.XLOOKUP(B765,[1]Sheet1!$B:$B,[1]Sheet1!$P:$P,0)</f>
        <v>15000</v>
      </c>
      <c r="N765" s="12">
        <f>_xlfn.XLOOKUP(B765,[1]Sheet1!$B:$B,[1]Sheet1!$Q:$Q,0)</f>
        <v>45000</v>
      </c>
      <c r="O765" s="12">
        <f>_xlfn.XLOOKUP(B765,[1]Sheet1!$B:$B,[1]Sheet1!$R:$R,0)</f>
        <v>25000</v>
      </c>
      <c r="P765" s="12">
        <f>_xlfn.XLOOKUP(B765,[1]Sheet1!$B:$B,[1]Sheet1!$S:$S,0)</f>
        <v>25000</v>
      </c>
      <c r="Q765" s="12">
        <f>_xlfn.XLOOKUP(B765,[1]Sheet1!$B:$B,[1]Sheet1!$T:$T,0)</f>
        <v>25000</v>
      </c>
      <c r="R765" s="12">
        <f>_xlfn.XLOOKUP(B765,[1]Sheet1!$B:$B,[1]Sheet1!$U:$U,0)</f>
        <v>25000</v>
      </c>
      <c r="S765" s="12">
        <f>_xlfn.XLOOKUP(B765,[1]Sheet1!$B:$B,[1]Sheet1!$V:$V,0)</f>
        <v>35000</v>
      </c>
      <c r="T765" s="12">
        <f>_xlfn.XLOOKUP(B765,[1]Sheet1!$B:$B,[1]Sheet1!$W:$W,0)</f>
        <v>35000</v>
      </c>
      <c r="U765" s="12">
        <f>_xlfn.XLOOKUP(B765,[1]Sheet1!$B:$B,[1]Sheet1!$X:$X,0)</f>
        <v>35000</v>
      </c>
      <c r="V765" s="12">
        <f>_xlfn.XLOOKUP(B765,[1]Sheet1!$B:$B,[1]Sheet1!$Y:$Y,0)</f>
        <v>35000</v>
      </c>
      <c r="W765" s="12">
        <f t="shared" si="25"/>
        <v>300000</v>
      </c>
      <c r="X765" s="8" t="s">
        <v>836</v>
      </c>
      <c r="Y765" s="8" t="s">
        <v>392</v>
      </c>
      <c r="Z765" s="8" t="s">
        <v>834</v>
      </c>
      <c r="AA765" s="8" t="s">
        <v>53</v>
      </c>
      <c r="AB765" s="8" t="s">
        <v>36</v>
      </c>
      <c r="AC765" s="8" t="s">
        <v>37</v>
      </c>
      <c r="AD765" s="8" t="s">
        <v>38</v>
      </c>
      <c r="AE765" s="8" t="s">
        <v>39</v>
      </c>
      <c r="AF765" s="8" t="s">
        <v>40</v>
      </c>
      <c r="AG765" s="9">
        <v>315500</v>
      </c>
      <c r="AH765" s="11">
        <f>_xlfn.XLOOKUP(B765,[1]Sheet1!$B:$B,[1]Sheet1!$AB:$AB,0)</f>
        <v>315500</v>
      </c>
    </row>
    <row r="766" spans="2:34" ht="16.8" thickTop="1" thickBot="1" x14ac:dyDescent="0.35">
      <c r="B766" s="3" t="str">
        <f t="shared" si="24"/>
        <v>45101704511000902Hospitality-N424761200104</v>
      </c>
      <c r="C766" s="6" t="s">
        <v>142</v>
      </c>
      <c r="D766" s="6" t="s">
        <v>1225</v>
      </c>
      <c r="E766" s="6" t="s">
        <v>1226</v>
      </c>
      <c r="F766" s="6" t="s">
        <v>83</v>
      </c>
      <c r="G766" s="4" t="s">
        <v>2811</v>
      </c>
      <c r="H766" s="4" t="s">
        <v>2922</v>
      </c>
      <c r="I766" s="6" t="s">
        <v>84</v>
      </c>
      <c r="J766" s="6" t="s">
        <v>31</v>
      </c>
      <c r="K766" s="12">
        <f>_xlfn.XLOOKUP(B766,[1]Sheet1!$B:$B,[1]Sheet1!$N:$N,0)</f>
        <v>0</v>
      </c>
      <c r="L766" s="12">
        <f>_xlfn.XLOOKUP(B766,[1]Sheet1!$B:$B,[1]Sheet1!$O:$O,0)</f>
        <v>0</v>
      </c>
      <c r="M766" s="12">
        <f>_xlfn.XLOOKUP(B766,[1]Sheet1!$B:$B,[1]Sheet1!$P:$P,0)</f>
        <v>0</v>
      </c>
      <c r="N766" s="12">
        <f>_xlfn.XLOOKUP(B766,[1]Sheet1!$B:$B,[1]Sheet1!$Q:$Q,0)</f>
        <v>29000</v>
      </c>
      <c r="O766" s="12">
        <f>_xlfn.XLOOKUP(B766,[1]Sheet1!$B:$B,[1]Sheet1!$R:$R,0)</f>
        <v>15000</v>
      </c>
      <c r="P766" s="12">
        <f>_xlfn.XLOOKUP(B766,[1]Sheet1!$B:$B,[1]Sheet1!$S:$S,0)</f>
        <v>0</v>
      </c>
      <c r="Q766" s="12">
        <f>_xlfn.XLOOKUP(B766,[1]Sheet1!$B:$B,[1]Sheet1!$T:$T,0)</f>
        <v>0</v>
      </c>
      <c r="R766" s="12">
        <f>_xlfn.XLOOKUP(B766,[1]Sheet1!$B:$B,[1]Sheet1!$U:$U,0)</f>
        <v>15000</v>
      </c>
      <c r="S766" s="12">
        <f>_xlfn.XLOOKUP(B766,[1]Sheet1!$B:$B,[1]Sheet1!$V:$V,0)</f>
        <v>15000</v>
      </c>
      <c r="T766" s="12">
        <f>_xlfn.XLOOKUP(B766,[1]Sheet1!$B:$B,[1]Sheet1!$W:$W,0)</f>
        <v>0</v>
      </c>
      <c r="U766" s="12">
        <f>_xlfn.XLOOKUP(B766,[1]Sheet1!$B:$B,[1]Sheet1!$X:$X,0)</f>
        <v>29912</v>
      </c>
      <c r="V766" s="12">
        <f>_xlfn.XLOOKUP(B766,[1]Sheet1!$B:$B,[1]Sheet1!$Y:$Y,0)</f>
        <v>0</v>
      </c>
      <c r="W766" s="12">
        <f t="shared" si="25"/>
        <v>103912</v>
      </c>
      <c r="X766" s="6" t="s">
        <v>1227</v>
      </c>
      <c r="Y766" s="6" t="s">
        <v>132</v>
      </c>
      <c r="Z766" s="6" t="s">
        <v>141</v>
      </c>
      <c r="AA766" s="6" t="s">
        <v>84</v>
      </c>
      <c r="AB766" s="6" t="s">
        <v>36</v>
      </c>
      <c r="AC766" s="6" t="s">
        <v>37</v>
      </c>
      <c r="AD766" s="6" t="s">
        <v>143</v>
      </c>
      <c r="AE766" s="6" t="s">
        <v>39</v>
      </c>
      <c r="AF766" s="6" t="s">
        <v>40</v>
      </c>
      <c r="AG766" s="7">
        <v>103912</v>
      </c>
      <c r="AH766" s="11">
        <f>_xlfn.XLOOKUP(B766,[1]Sheet1!$B:$B,[1]Sheet1!$AB:$AB,0)</f>
        <v>103912</v>
      </c>
    </row>
    <row r="767" spans="2:34" ht="16.8" thickTop="1" thickBot="1" x14ac:dyDescent="0.35">
      <c r="B767" s="3" t="str">
        <f t="shared" si="24"/>
        <v>45101704511000902Mission &amp; Travel-N423821200104</v>
      </c>
      <c r="C767" s="8" t="s">
        <v>142</v>
      </c>
      <c r="D767" s="8" t="s">
        <v>1225</v>
      </c>
      <c r="E767" s="8" t="s">
        <v>1226</v>
      </c>
      <c r="F767" s="8" t="s">
        <v>54</v>
      </c>
      <c r="G767" s="4" t="s">
        <v>2805</v>
      </c>
      <c r="H767" s="4" t="s">
        <v>2922</v>
      </c>
      <c r="I767" s="8" t="s">
        <v>55</v>
      </c>
      <c r="J767" s="8" t="s">
        <v>31</v>
      </c>
      <c r="K767" s="12">
        <f>_xlfn.XLOOKUP(B767,[1]Sheet1!$B:$B,[1]Sheet1!$N:$N,0)</f>
        <v>0</v>
      </c>
      <c r="L767" s="12">
        <f>_xlfn.XLOOKUP(B767,[1]Sheet1!$B:$B,[1]Sheet1!$O:$O,0)</f>
        <v>0</v>
      </c>
      <c r="M767" s="12">
        <f>_xlfn.XLOOKUP(B767,[1]Sheet1!$B:$B,[1]Sheet1!$P:$P,0)</f>
        <v>0</v>
      </c>
      <c r="N767" s="12">
        <f>_xlfn.XLOOKUP(B767,[1]Sheet1!$B:$B,[1]Sheet1!$Q:$Q,0)</f>
        <v>600</v>
      </c>
      <c r="O767" s="12">
        <f>_xlfn.XLOOKUP(B767,[1]Sheet1!$B:$B,[1]Sheet1!$R:$R,0)</f>
        <v>9000</v>
      </c>
      <c r="P767" s="12">
        <f>_xlfn.XLOOKUP(B767,[1]Sheet1!$B:$B,[1]Sheet1!$S:$S,0)</f>
        <v>0</v>
      </c>
      <c r="Q767" s="12">
        <f>_xlfn.XLOOKUP(B767,[1]Sheet1!$B:$B,[1]Sheet1!$T:$T,0)</f>
        <v>0</v>
      </c>
      <c r="R767" s="12">
        <f>_xlfn.XLOOKUP(B767,[1]Sheet1!$B:$B,[1]Sheet1!$U:$U,0)</f>
        <v>0</v>
      </c>
      <c r="S767" s="12">
        <f>_xlfn.XLOOKUP(B767,[1]Sheet1!$B:$B,[1]Sheet1!$V:$V,0)</f>
        <v>0</v>
      </c>
      <c r="T767" s="12">
        <f>_xlfn.XLOOKUP(B767,[1]Sheet1!$B:$B,[1]Sheet1!$W:$W,0)</f>
        <v>13500</v>
      </c>
      <c r="U767" s="12">
        <f>_xlfn.XLOOKUP(B767,[1]Sheet1!$B:$B,[1]Sheet1!$X:$X,0)</f>
        <v>64455</v>
      </c>
      <c r="V767" s="12">
        <f>_xlfn.XLOOKUP(B767,[1]Sheet1!$B:$B,[1]Sheet1!$Y:$Y,0)</f>
        <v>0</v>
      </c>
      <c r="W767" s="12">
        <f t="shared" si="25"/>
        <v>87555</v>
      </c>
      <c r="X767" s="8" t="s">
        <v>144</v>
      </c>
      <c r="Y767" s="8" t="s">
        <v>132</v>
      </c>
      <c r="Z767" s="8" t="s">
        <v>141</v>
      </c>
      <c r="AA767" s="8" t="s">
        <v>55</v>
      </c>
      <c r="AB767" s="8" t="s">
        <v>36</v>
      </c>
      <c r="AC767" s="8" t="s">
        <v>37</v>
      </c>
      <c r="AD767" s="8" t="s">
        <v>143</v>
      </c>
      <c r="AE767" s="8" t="s">
        <v>39</v>
      </c>
      <c r="AF767" s="8" t="s">
        <v>40</v>
      </c>
      <c r="AG767" s="9">
        <v>87555</v>
      </c>
      <c r="AH767" s="11">
        <f>_xlfn.XLOOKUP(B767,[1]Sheet1!$B:$B,[1]Sheet1!$AB:$AB,0)</f>
        <v>87555</v>
      </c>
    </row>
    <row r="768" spans="2:34" ht="16.8" thickTop="1" thickBot="1" x14ac:dyDescent="0.35">
      <c r="B768" s="3" t="str">
        <f t="shared" si="24"/>
        <v>45112504511000903Activation&amp;Prog-N422401200104</v>
      </c>
      <c r="C768" s="6" t="s">
        <v>67</v>
      </c>
      <c r="D768" s="6" t="s">
        <v>1228</v>
      </c>
      <c r="E768" s="6" t="s">
        <v>1229</v>
      </c>
      <c r="F768" s="6" t="s">
        <v>62</v>
      </c>
      <c r="G768" s="4" t="s">
        <v>2807</v>
      </c>
      <c r="H768" s="4" t="s">
        <v>2922</v>
      </c>
      <c r="I768" s="6" t="s">
        <v>63</v>
      </c>
      <c r="J768" s="6" t="s">
        <v>31</v>
      </c>
      <c r="K768" s="12">
        <f>_xlfn.XLOOKUP(B768,[1]Sheet1!$B:$B,[1]Sheet1!$N:$N,0)</f>
        <v>0</v>
      </c>
      <c r="L768" s="12">
        <f>_xlfn.XLOOKUP(B768,[1]Sheet1!$B:$B,[1]Sheet1!$O:$O,0)</f>
        <v>0</v>
      </c>
      <c r="M768" s="12">
        <f>_xlfn.XLOOKUP(B768,[1]Sheet1!$B:$B,[1]Sheet1!$P:$P,0)</f>
        <v>0</v>
      </c>
      <c r="N768" s="12">
        <f>_xlfn.XLOOKUP(B768,[1]Sheet1!$B:$B,[1]Sheet1!$Q:$Q,0)</f>
        <v>0</v>
      </c>
      <c r="O768" s="12">
        <f>_xlfn.XLOOKUP(B768,[1]Sheet1!$B:$B,[1]Sheet1!$R:$R,0)</f>
        <v>0</v>
      </c>
      <c r="P768" s="12">
        <f>_xlfn.XLOOKUP(B768,[1]Sheet1!$B:$B,[1]Sheet1!$S:$S,0)</f>
        <v>0</v>
      </c>
      <c r="Q768" s="12">
        <f>_xlfn.XLOOKUP(B768,[1]Sheet1!$B:$B,[1]Sheet1!$T:$T,0)</f>
        <v>0</v>
      </c>
      <c r="R768" s="12">
        <f>_xlfn.XLOOKUP(B768,[1]Sheet1!$B:$B,[1]Sheet1!$U:$U,0)</f>
        <v>0</v>
      </c>
      <c r="S768" s="12">
        <f>_xlfn.XLOOKUP(B768,[1]Sheet1!$B:$B,[1]Sheet1!$V:$V,0)</f>
        <v>0</v>
      </c>
      <c r="T768" s="12">
        <f>_xlfn.XLOOKUP(B768,[1]Sheet1!$B:$B,[1]Sheet1!$W:$W,0)</f>
        <v>0</v>
      </c>
      <c r="U768" s="12">
        <f>_xlfn.XLOOKUP(B768,[1]Sheet1!$B:$B,[1]Sheet1!$X:$X,0)</f>
        <v>0</v>
      </c>
      <c r="V768" s="12">
        <f>_xlfn.XLOOKUP(B768,[1]Sheet1!$B:$B,[1]Sheet1!$Y:$Y,0)</f>
        <v>1000000</v>
      </c>
      <c r="W768" s="12">
        <f t="shared" si="25"/>
        <v>1000000</v>
      </c>
      <c r="X768" s="6" t="s">
        <v>64</v>
      </c>
      <c r="Y768" s="6" t="s">
        <v>65</v>
      </c>
      <c r="Z768" s="6" t="s">
        <v>66</v>
      </c>
      <c r="AA768" s="6" t="s">
        <v>68</v>
      </c>
      <c r="AB768" s="6" t="s">
        <v>36</v>
      </c>
      <c r="AC768" s="6" t="s">
        <v>37</v>
      </c>
      <c r="AD768" s="6" t="s">
        <v>69</v>
      </c>
      <c r="AE768" s="6" t="s">
        <v>39</v>
      </c>
      <c r="AF768" s="6" t="s">
        <v>40</v>
      </c>
      <c r="AG768" s="7">
        <v>1000000</v>
      </c>
      <c r="AH768" s="11">
        <f>_xlfn.XLOOKUP(B768,[1]Sheet1!$B:$B,[1]Sheet1!$AB:$AB,0)</f>
        <v>1000000</v>
      </c>
    </row>
    <row r="769" spans="2:34" ht="16.8" thickTop="1" thickBot="1" x14ac:dyDescent="0.35">
      <c r="B769" s="3" t="str">
        <f t="shared" si="24"/>
        <v>45112504511000903Cleaning Service-N422311200104</v>
      </c>
      <c r="C769" s="8" t="s">
        <v>67</v>
      </c>
      <c r="D769" s="8" t="s">
        <v>1228</v>
      </c>
      <c r="E769" s="8" t="s">
        <v>1229</v>
      </c>
      <c r="F769" s="8" t="s">
        <v>79</v>
      </c>
      <c r="G769" s="4" t="s">
        <v>2810</v>
      </c>
      <c r="H769" s="4" t="s">
        <v>2922</v>
      </c>
      <c r="I769" s="8" t="s">
        <v>80</v>
      </c>
      <c r="J769" s="8" t="s">
        <v>31</v>
      </c>
      <c r="K769" s="12">
        <f>_xlfn.XLOOKUP(B769,[1]Sheet1!$B:$B,[1]Sheet1!$N:$N,0)</f>
        <v>0</v>
      </c>
      <c r="L769" s="12">
        <f>_xlfn.XLOOKUP(B769,[1]Sheet1!$B:$B,[1]Sheet1!$O:$O,0)</f>
        <v>0</v>
      </c>
      <c r="M769" s="12">
        <f>_xlfn.XLOOKUP(B769,[1]Sheet1!$B:$B,[1]Sheet1!$P:$P,0)</f>
        <v>0</v>
      </c>
      <c r="N769" s="12">
        <f>_xlfn.XLOOKUP(B769,[1]Sheet1!$B:$B,[1]Sheet1!$Q:$Q,0)</f>
        <v>50000</v>
      </c>
      <c r="O769" s="12">
        <f>_xlfn.XLOOKUP(B769,[1]Sheet1!$B:$B,[1]Sheet1!$R:$R,0)</f>
        <v>25000</v>
      </c>
      <c r="P769" s="12">
        <f>_xlfn.XLOOKUP(B769,[1]Sheet1!$B:$B,[1]Sheet1!$S:$S,0)</f>
        <v>25000</v>
      </c>
      <c r="Q769" s="12">
        <f>_xlfn.XLOOKUP(B769,[1]Sheet1!$B:$B,[1]Sheet1!$T:$T,0)</f>
        <v>25000</v>
      </c>
      <c r="R769" s="12">
        <f>_xlfn.XLOOKUP(B769,[1]Sheet1!$B:$B,[1]Sheet1!$U:$U,0)</f>
        <v>25000</v>
      </c>
      <c r="S769" s="12">
        <f>_xlfn.XLOOKUP(B769,[1]Sheet1!$B:$B,[1]Sheet1!$V:$V,0)</f>
        <v>25000</v>
      </c>
      <c r="T769" s="12">
        <f>_xlfn.XLOOKUP(B769,[1]Sheet1!$B:$B,[1]Sheet1!$W:$W,0)</f>
        <v>25000</v>
      </c>
      <c r="U769" s="12">
        <f>_xlfn.XLOOKUP(B769,[1]Sheet1!$B:$B,[1]Sheet1!$X:$X,0)</f>
        <v>25000</v>
      </c>
      <c r="V769" s="12">
        <f>_xlfn.XLOOKUP(B769,[1]Sheet1!$B:$B,[1]Sheet1!$Y:$Y,0)</f>
        <v>3992</v>
      </c>
      <c r="W769" s="12">
        <f t="shared" si="25"/>
        <v>228992</v>
      </c>
      <c r="X769" s="8" t="s">
        <v>81</v>
      </c>
      <c r="Y769" s="8" t="s">
        <v>65</v>
      </c>
      <c r="Z769" s="8" t="s">
        <v>66</v>
      </c>
      <c r="AA769" s="8" t="s">
        <v>80</v>
      </c>
      <c r="AB769" s="8" t="s">
        <v>36</v>
      </c>
      <c r="AC769" s="8" t="s">
        <v>37</v>
      </c>
      <c r="AD769" s="8" t="s">
        <v>69</v>
      </c>
      <c r="AE769" s="8" t="s">
        <v>39</v>
      </c>
      <c r="AF769" s="8" t="s">
        <v>40</v>
      </c>
      <c r="AG769" s="9">
        <v>228992</v>
      </c>
      <c r="AH769" s="11">
        <f>_xlfn.XLOOKUP(B769,[1]Sheet1!$B:$B,[1]Sheet1!$AB:$AB,0)</f>
        <v>228992</v>
      </c>
    </row>
    <row r="770" spans="2:34" ht="16.8" thickTop="1" thickBot="1" x14ac:dyDescent="0.35">
      <c r="B770" s="3" t="str">
        <f t="shared" si="24"/>
        <v>45112504511000903Landscaping-N432614200104</v>
      </c>
      <c r="C770" s="6" t="s">
        <v>67</v>
      </c>
      <c r="D770" s="6" t="s">
        <v>1228</v>
      </c>
      <c r="E770" s="6" t="s">
        <v>1229</v>
      </c>
      <c r="F770" s="6" t="s">
        <v>86</v>
      </c>
      <c r="G770" s="4" t="s">
        <v>2812</v>
      </c>
      <c r="H770" s="4" t="s">
        <v>2922</v>
      </c>
      <c r="I770" s="6" t="s">
        <v>87</v>
      </c>
      <c r="J770" s="6" t="s">
        <v>31</v>
      </c>
      <c r="K770" s="12">
        <f>_xlfn.XLOOKUP(B770,[1]Sheet1!$B:$B,[1]Sheet1!$N:$N,0)</f>
        <v>0</v>
      </c>
      <c r="L770" s="12">
        <f>_xlfn.XLOOKUP(B770,[1]Sheet1!$B:$B,[1]Sheet1!$O:$O,0)</f>
        <v>0</v>
      </c>
      <c r="M770" s="12">
        <f>_xlfn.XLOOKUP(B770,[1]Sheet1!$B:$B,[1]Sheet1!$P:$P,0)</f>
        <v>0</v>
      </c>
      <c r="N770" s="12">
        <f>_xlfn.XLOOKUP(B770,[1]Sheet1!$B:$B,[1]Sheet1!$Q:$Q,0)</f>
        <v>30000</v>
      </c>
      <c r="O770" s="12">
        <f>_xlfn.XLOOKUP(B770,[1]Sheet1!$B:$B,[1]Sheet1!$R:$R,0)</f>
        <v>15000</v>
      </c>
      <c r="P770" s="12">
        <f>_xlfn.XLOOKUP(B770,[1]Sheet1!$B:$B,[1]Sheet1!$S:$S,0)</f>
        <v>15000</v>
      </c>
      <c r="Q770" s="12">
        <f>_xlfn.XLOOKUP(B770,[1]Sheet1!$B:$B,[1]Sheet1!$T:$T,0)</f>
        <v>15000</v>
      </c>
      <c r="R770" s="12">
        <f>_xlfn.XLOOKUP(B770,[1]Sheet1!$B:$B,[1]Sheet1!$U:$U,0)</f>
        <v>15000</v>
      </c>
      <c r="S770" s="12">
        <f>_xlfn.XLOOKUP(B770,[1]Sheet1!$B:$B,[1]Sheet1!$V:$V,0)</f>
        <v>15000</v>
      </c>
      <c r="T770" s="12">
        <f>_xlfn.XLOOKUP(B770,[1]Sheet1!$B:$B,[1]Sheet1!$W:$W,0)</f>
        <v>15000</v>
      </c>
      <c r="U770" s="12">
        <f>_xlfn.XLOOKUP(B770,[1]Sheet1!$B:$B,[1]Sheet1!$X:$X,0)</f>
        <v>15000</v>
      </c>
      <c r="V770" s="12">
        <f>_xlfn.XLOOKUP(B770,[1]Sheet1!$B:$B,[1]Sheet1!$Y:$Y,0)</f>
        <v>15000</v>
      </c>
      <c r="W770" s="12">
        <f t="shared" si="25"/>
        <v>150000</v>
      </c>
      <c r="X770" s="6" t="s">
        <v>88</v>
      </c>
      <c r="Y770" s="6" t="s">
        <v>65</v>
      </c>
      <c r="Z770" s="6" t="s">
        <v>66</v>
      </c>
      <c r="AA770" s="6" t="s">
        <v>87</v>
      </c>
      <c r="AB770" s="6" t="s">
        <v>36</v>
      </c>
      <c r="AC770" s="6" t="s">
        <v>37</v>
      </c>
      <c r="AD770" s="6" t="s">
        <v>69</v>
      </c>
      <c r="AE770" s="6" t="s">
        <v>39</v>
      </c>
      <c r="AF770" s="6" t="s">
        <v>40</v>
      </c>
      <c r="AG770" s="7">
        <v>150000</v>
      </c>
      <c r="AH770" s="11">
        <f>_xlfn.XLOOKUP(B770,[1]Sheet1!$B:$B,[1]Sheet1!$AB:$AB,0)</f>
        <v>150000</v>
      </c>
    </row>
    <row r="771" spans="2:34" ht="16.8" thickTop="1" thickBot="1" x14ac:dyDescent="0.35">
      <c r="B771" s="3" t="str">
        <f t="shared" si="24"/>
        <v>45112504511000903Lease Improve-N490600300105</v>
      </c>
      <c r="C771" s="8" t="s">
        <v>67</v>
      </c>
      <c r="D771" s="8" t="s">
        <v>1228</v>
      </c>
      <c r="E771" s="8" t="s">
        <v>1229</v>
      </c>
      <c r="F771" s="8" t="s">
        <v>89</v>
      </c>
      <c r="G771" s="4" t="s">
        <v>2813</v>
      </c>
      <c r="H771" s="4" t="s">
        <v>2923</v>
      </c>
      <c r="I771" s="8" t="s">
        <v>90</v>
      </c>
      <c r="J771" s="8" t="s">
        <v>31</v>
      </c>
      <c r="K771" s="12">
        <f>_xlfn.XLOOKUP(B771,[1]Sheet1!$B:$B,[1]Sheet1!$N:$N,0)</f>
        <v>0</v>
      </c>
      <c r="L771" s="12">
        <f>_xlfn.XLOOKUP(B771,[1]Sheet1!$B:$B,[1]Sheet1!$O:$O,0)</f>
        <v>0</v>
      </c>
      <c r="M771" s="12">
        <f>_xlfn.XLOOKUP(B771,[1]Sheet1!$B:$B,[1]Sheet1!$P:$P,0)</f>
        <v>0</v>
      </c>
      <c r="N771" s="12">
        <f>_xlfn.XLOOKUP(B771,[1]Sheet1!$B:$B,[1]Sheet1!$Q:$Q,0)</f>
        <v>0</v>
      </c>
      <c r="O771" s="12">
        <f>_xlfn.XLOOKUP(B771,[1]Sheet1!$B:$B,[1]Sheet1!$R:$R,0)</f>
        <v>0</v>
      </c>
      <c r="P771" s="12">
        <f>_xlfn.XLOOKUP(B771,[1]Sheet1!$B:$B,[1]Sheet1!$S:$S,0)</f>
        <v>0</v>
      </c>
      <c r="Q771" s="12">
        <f>_xlfn.XLOOKUP(B771,[1]Sheet1!$B:$B,[1]Sheet1!$T:$T,0)</f>
        <v>0</v>
      </c>
      <c r="R771" s="12">
        <f>_xlfn.XLOOKUP(B771,[1]Sheet1!$B:$B,[1]Sheet1!$U:$U,0)</f>
        <v>0</v>
      </c>
      <c r="S771" s="12">
        <f>_xlfn.XLOOKUP(B771,[1]Sheet1!$B:$B,[1]Sheet1!$V:$V,0)</f>
        <v>0</v>
      </c>
      <c r="T771" s="12">
        <f>_xlfn.XLOOKUP(B771,[1]Sheet1!$B:$B,[1]Sheet1!$W:$W,0)</f>
        <v>0</v>
      </c>
      <c r="U771" s="12">
        <f>_xlfn.XLOOKUP(B771,[1]Sheet1!$B:$B,[1]Sheet1!$X:$X,0)</f>
        <v>0</v>
      </c>
      <c r="V771" s="12">
        <f>_xlfn.XLOOKUP(B771,[1]Sheet1!$B:$B,[1]Sheet1!$Y:$Y,0)</f>
        <v>0</v>
      </c>
      <c r="W771" s="12">
        <f t="shared" si="25"/>
        <v>0</v>
      </c>
      <c r="X771" s="8" t="s">
        <v>91</v>
      </c>
      <c r="Y771" s="8" t="s">
        <v>65</v>
      </c>
      <c r="Z771" s="8" t="s">
        <v>66</v>
      </c>
      <c r="AA771" s="8" t="s">
        <v>92</v>
      </c>
      <c r="AB771" s="8" t="s">
        <v>93</v>
      </c>
      <c r="AC771" s="8" t="s">
        <v>94</v>
      </c>
      <c r="AD771" s="8" t="s">
        <v>69</v>
      </c>
      <c r="AE771" s="8" t="s">
        <v>39</v>
      </c>
      <c r="AF771" s="8" t="s">
        <v>40</v>
      </c>
      <c r="AG771" s="9">
        <v>1000000</v>
      </c>
      <c r="AH771" s="11">
        <f>_xlfn.XLOOKUP(B771,[1]Sheet1!$B:$B,[1]Sheet1!$AB:$AB,0)</f>
        <v>1000000</v>
      </c>
    </row>
    <row r="772" spans="2:34" ht="16.8" thickTop="1" thickBot="1" x14ac:dyDescent="0.35">
      <c r="B772" s="3" t="str">
        <f t="shared" ref="B772:B835" si="26">C772&amp;D772&amp;F772&amp;G772&amp;H772</f>
        <v>45112504511000903Maintenance-N426212200104</v>
      </c>
      <c r="C772" s="6" t="s">
        <v>67</v>
      </c>
      <c r="D772" s="6" t="s">
        <v>1228</v>
      </c>
      <c r="E772" s="6" t="s">
        <v>1229</v>
      </c>
      <c r="F772" s="6" t="s">
        <v>95</v>
      </c>
      <c r="G772" s="4" t="s">
        <v>2814</v>
      </c>
      <c r="H772" s="4" t="s">
        <v>2922</v>
      </c>
      <c r="I772" s="6" t="s">
        <v>96</v>
      </c>
      <c r="J772" s="6" t="s">
        <v>31</v>
      </c>
      <c r="K772" s="12">
        <f>_xlfn.XLOOKUP(B772,[1]Sheet1!$B:$B,[1]Sheet1!$N:$N,0)</f>
        <v>0</v>
      </c>
      <c r="L772" s="12">
        <f>_xlfn.XLOOKUP(B772,[1]Sheet1!$B:$B,[1]Sheet1!$O:$O,0)</f>
        <v>0</v>
      </c>
      <c r="M772" s="12">
        <f>_xlfn.XLOOKUP(B772,[1]Sheet1!$B:$B,[1]Sheet1!$P:$P,0)</f>
        <v>0</v>
      </c>
      <c r="N772" s="12">
        <f>_xlfn.XLOOKUP(B772,[1]Sheet1!$B:$B,[1]Sheet1!$Q:$Q,0)</f>
        <v>0</v>
      </c>
      <c r="O772" s="12">
        <f>_xlfn.XLOOKUP(B772,[1]Sheet1!$B:$B,[1]Sheet1!$R:$R,0)</f>
        <v>0</v>
      </c>
      <c r="P772" s="12">
        <f>_xlfn.XLOOKUP(B772,[1]Sheet1!$B:$B,[1]Sheet1!$S:$S,0)</f>
        <v>0</v>
      </c>
      <c r="Q772" s="12">
        <f>_xlfn.XLOOKUP(B772,[1]Sheet1!$B:$B,[1]Sheet1!$T:$T,0)</f>
        <v>0</v>
      </c>
      <c r="R772" s="12">
        <f>_xlfn.XLOOKUP(B772,[1]Sheet1!$B:$B,[1]Sheet1!$U:$U,0)</f>
        <v>0</v>
      </c>
      <c r="S772" s="12">
        <f>_xlfn.XLOOKUP(B772,[1]Sheet1!$B:$B,[1]Sheet1!$V:$V,0)</f>
        <v>0</v>
      </c>
      <c r="T772" s="12">
        <f>_xlfn.XLOOKUP(B772,[1]Sheet1!$B:$B,[1]Sheet1!$W:$W,0)</f>
        <v>179791</v>
      </c>
      <c r="U772" s="12">
        <f>_xlfn.XLOOKUP(B772,[1]Sheet1!$B:$B,[1]Sheet1!$X:$X,0)</f>
        <v>179791</v>
      </c>
      <c r="V772" s="12">
        <f>_xlfn.XLOOKUP(B772,[1]Sheet1!$B:$B,[1]Sheet1!$Y:$Y,0)</f>
        <v>179792</v>
      </c>
      <c r="W772" s="12">
        <f t="shared" ref="W772:W835" si="27">SUM(K772:V772)</f>
        <v>539374</v>
      </c>
      <c r="X772" s="6" t="s">
        <v>97</v>
      </c>
      <c r="Y772" s="6" t="s">
        <v>65</v>
      </c>
      <c r="Z772" s="6" t="s">
        <v>66</v>
      </c>
      <c r="AA772" s="6" t="s">
        <v>96</v>
      </c>
      <c r="AB772" s="6" t="s">
        <v>36</v>
      </c>
      <c r="AC772" s="6" t="s">
        <v>37</v>
      </c>
      <c r="AD772" s="6" t="s">
        <v>69</v>
      </c>
      <c r="AE772" s="6" t="s">
        <v>39</v>
      </c>
      <c r="AF772" s="6" t="s">
        <v>40</v>
      </c>
      <c r="AG772" s="7">
        <v>539374</v>
      </c>
      <c r="AH772" s="11">
        <f>_xlfn.XLOOKUP(B772,[1]Sheet1!$B:$B,[1]Sheet1!$AB:$AB,0)</f>
        <v>539374</v>
      </c>
    </row>
    <row r="773" spans="2:34" ht="16.8" thickTop="1" thickBot="1" x14ac:dyDescent="0.35">
      <c r="B773" s="3" t="str">
        <f t="shared" si="26"/>
        <v>45112504511000903Security Service-N424551200104</v>
      </c>
      <c r="C773" s="8" t="s">
        <v>67</v>
      </c>
      <c r="D773" s="8" t="s">
        <v>1228</v>
      </c>
      <c r="E773" s="8" t="s">
        <v>1229</v>
      </c>
      <c r="F773" s="8" t="s">
        <v>107</v>
      </c>
      <c r="G773" s="4" t="s">
        <v>2817</v>
      </c>
      <c r="H773" s="4" t="s">
        <v>2922</v>
      </c>
      <c r="I773" s="8" t="s">
        <v>108</v>
      </c>
      <c r="J773" s="8" t="s">
        <v>31</v>
      </c>
      <c r="K773" s="12">
        <f>_xlfn.XLOOKUP(B773,[1]Sheet1!$B:$B,[1]Sheet1!$N:$N,0)</f>
        <v>0</v>
      </c>
      <c r="L773" s="12">
        <f>_xlfn.XLOOKUP(B773,[1]Sheet1!$B:$B,[1]Sheet1!$O:$O,0)</f>
        <v>0</v>
      </c>
      <c r="M773" s="12">
        <f>_xlfn.XLOOKUP(B773,[1]Sheet1!$B:$B,[1]Sheet1!$P:$P,0)</f>
        <v>0</v>
      </c>
      <c r="N773" s="12">
        <f>_xlfn.XLOOKUP(B773,[1]Sheet1!$B:$B,[1]Sheet1!$Q:$Q,0)</f>
        <v>80000</v>
      </c>
      <c r="O773" s="12">
        <f>_xlfn.XLOOKUP(B773,[1]Sheet1!$B:$B,[1]Sheet1!$R:$R,0)</f>
        <v>40000</v>
      </c>
      <c r="P773" s="12">
        <f>_xlfn.XLOOKUP(B773,[1]Sheet1!$B:$B,[1]Sheet1!$S:$S,0)</f>
        <v>40000</v>
      </c>
      <c r="Q773" s="12">
        <f>_xlfn.XLOOKUP(B773,[1]Sheet1!$B:$B,[1]Sheet1!$T:$T,0)</f>
        <v>40000</v>
      </c>
      <c r="R773" s="12">
        <f>_xlfn.XLOOKUP(B773,[1]Sheet1!$B:$B,[1]Sheet1!$U:$U,0)</f>
        <v>40000</v>
      </c>
      <c r="S773" s="12">
        <f>_xlfn.XLOOKUP(B773,[1]Sheet1!$B:$B,[1]Sheet1!$V:$V,0)</f>
        <v>40000</v>
      </c>
      <c r="T773" s="12">
        <f>_xlfn.XLOOKUP(B773,[1]Sheet1!$B:$B,[1]Sheet1!$W:$W,0)</f>
        <v>40000</v>
      </c>
      <c r="U773" s="12">
        <f>_xlfn.XLOOKUP(B773,[1]Sheet1!$B:$B,[1]Sheet1!$X:$X,0)</f>
        <v>11640</v>
      </c>
      <c r="V773" s="12">
        <f>_xlfn.XLOOKUP(B773,[1]Sheet1!$B:$B,[1]Sheet1!$Y:$Y,0)</f>
        <v>0</v>
      </c>
      <c r="W773" s="12">
        <f t="shared" si="27"/>
        <v>331640</v>
      </c>
      <c r="X773" s="8" t="s">
        <v>109</v>
      </c>
      <c r="Y773" s="8" t="s">
        <v>65</v>
      </c>
      <c r="Z773" s="8" t="s">
        <v>66</v>
      </c>
      <c r="AA773" s="8" t="s">
        <v>108</v>
      </c>
      <c r="AB773" s="8" t="s">
        <v>36</v>
      </c>
      <c r="AC773" s="8" t="s">
        <v>37</v>
      </c>
      <c r="AD773" s="8" t="s">
        <v>69</v>
      </c>
      <c r="AE773" s="8" t="s">
        <v>39</v>
      </c>
      <c r="AF773" s="8" t="s">
        <v>40</v>
      </c>
      <c r="AG773" s="9">
        <v>331640</v>
      </c>
      <c r="AH773" s="11">
        <f>_xlfn.XLOOKUP(B773,[1]Sheet1!$B:$B,[1]Sheet1!$AB:$AB,0)</f>
        <v>331640</v>
      </c>
    </row>
    <row r="774" spans="2:34" ht="16.8" thickTop="1" thickBot="1" x14ac:dyDescent="0.35">
      <c r="B774" s="3" t="str">
        <f t="shared" si="26"/>
        <v>45112504511000903Utilities-N423931200104</v>
      </c>
      <c r="C774" s="6" t="s">
        <v>67</v>
      </c>
      <c r="D774" s="6" t="s">
        <v>1228</v>
      </c>
      <c r="E774" s="6" t="s">
        <v>1229</v>
      </c>
      <c r="F774" s="6" t="s">
        <v>110</v>
      </c>
      <c r="G774" s="4" t="s">
        <v>2818</v>
      </c>
      <c r="H774" s="4" t="s">
        <v>2922</v>
      </c>
      <c r="I774" s="6" t="s">
        <v>111</v>
      </c>
      <c r="J774" s="6" t="s">
        <v>31</v>
      </c>
      <c r="K774" s="12">
        <f>_xlfn.XLOOKUP(B774,[1]Sheet1!$B:$B,[1]Sheet1!$N:$N,0)</f>
        <v>0</v>
      </c>
      <c r="L774" s="12">
        <f>_xlfn.XLOOKUP(B774,[1]Sheet1!$B:$B,[1]Sheet1!$O:$O,0)</f>
        <v>0</v>
      </c>
      <c r="M774" s="12">
        <f>_xlfn.XLOOKUP(B774,[1]Sheet1!$B:$B,[1]Sheet1!$P:$P,0)</f>
        <v>0</v>
      </c>
      <c r="N774" s="12">
        <f>_xlfn.XLOOKUP(B774,[1]Sheet1!$B:$B,[1]Sheet1!$Q:$Q,0)</f>
        <v>65000</v>
      </c>
      <c r="O774" s="12">
        <f>_xlfn.XLOOKUP(B774,[1]Sheet1!$B:$B,[1]Sheet1!$R:$R,0)</f>
        <v>20000</v>
      </c>
      <c r="P774" s="12">
        <f>_xlfn.XLOOKUP(B774,[1]Sheet1!$B:$B,[1]Sheet1!$S:$S,0)</f>
        <v>20000</v>
      </c>
      <c r="Q774" s="12">
        <f>_xlfn.XLOOKUP(B774,[1]Sheet1!$B:$B,[1]Sheet1!$T:$T,0)</f>
        <v>20000</v>
      </c>
      <c r="R774" s="12">
        <f>_xlfn.XLOOKUP(B774,[1]Sheet1!$B:$B,[1]Sheet1!$U:$U,0)</f>
        <v>20000</v>
      </c>
      <c r="S774" s="12">
        <f>_xlfn.XLOOKUP(B774,[1]Sheet1!$B:$B,[1]Sheet1!$V:$V,0)</f>
        <v>20000</v>
      </c>
      <c r="T774" s="12">
        <f>_xlfn.XLOOKUP(B774,[1]Sheet1!$B:$B,[1]Sheet1!$W:$W,0)</f>
        <v>20000</v>
      </c>
      <c r="U774" s="12">
        <f>_xlfn.XLOOKUP(B774,[1]Sheet1!$B:$B,[1]Sheet1!$X:$X,0)</f>
        <v>20000</v>
      </c>
      <c r="V774" s="12">
        <f>_xlfn.XLOOKUP(B774,[1]Sheet1!$B:$B,[1]Sheet1!$Y:$Y,0)</f>
        <v>23024</v>
      </c>
      <c r="W774" s="12">
        <f t="shared" si="27"/>
        <v>228024</v>
      </c>
      <c r="X774" s="6" t="s">
        <v>112</v>
      </c>
      <c r="Y774" s="6" t="s">
        <v>65</v>
      </c>
      <c r="Z774" s="6" t="s">
        <v>66</v>
      </c>
      <c r="AA774" s="6" t="s">
        <v>111</v>
      </c>
      <c r="AB774" s="6" t="s">
        <v>36</v>
      </c>
      <c r="AC774" s="6" t="s">
        <v>37</v>
      </c>
      <c r="AD774" s="6" t="s">
        <v>69</v>
      </c>
      <c r="AE774" s="6" t="s">
        <v>39</v>
      </c>
      <c r="AF774" s="6" t="s">
        <v>40</v>
      </c>
      <c r="AG774" s="7">
        <v>228024</v>
      </c>
      <c r="AH774" s="11">
        <f>_xlfn.XLOOKUP(B774,[1]Sheet1!$B:$B,[1]Sheet1!$AB:$AB,0)</f>
        <v>228024</v>
      </c>
    </row>
    <row r="775" spans="2:34" ht="16.8" thickTop="1" thickBot="1" x14ac:dyDescent="0.35">
      <c r="B775" s="3" t="str">
        <f t="shared" si="26"/>
        <v>45118004511000907Freelancers-N424521200104</v>
      </c>
      <c r="C775" s="8" t="s">
        <v>191</v>
      </c>
      <c r="D775" s="8" t="s">
        <v>1230</v>
      </c>
      <c r="E775" s="8" t="s">
        <v>1231</v>
      </c>
      <c r="F775" s="8" t="s">
        <v>50</v>
      </c>
      <c r="G775" s="4" t="s">
        <v>2804</v>
      </c>
      <c r="H775" s="4" t="s">
        <v>2922</v>
      </c>
      <c r="I775" s="8" t="s">
        <v>51</v>
      </c>
      <c r="J775" s="8" t="s">
        <v>31</v>
      </c>
      <c r="K775" s="12">
        <f>_xlfn.XLOOKUP(B775,[1]Sheet1!$B:$B,[1]Sheet1!$N:$N,0)</f>
        <v>0</v>
      </c>
      <c r="L775" s="12">
        <f>_xlfn.XLOOKUP(B775,[1]Sheet1!$B:$B,[1]Sheet1!$O:$O,0)</f>
        <v>0</v>
      </c>
      <c r="M775" s="12">
        <f>_xlfn.XLOOKUP(B775,[1]Sheet1!$B:$B,[1]Sheet1!$P:$P,0)</f>
        <v>0</v>
      </c>
      <c r="N775" s="12">
        <f>_xlfn.XLOOKUP(B775,[1]Sheet1!$B:$B,[1]Sheet1!$Q:$Q,0)</f>
        <v>71000</v>
      </c>
      <c r="O775" s="12">
        <f>_xlfn.XLOOKUP(B775,[1]Sheet1!$B:$B,[1]Sheet1!$R:$R,0)</f>
        <v>71000</v>
      </c>
      <c r="P775" s="12">
        <f>_xlfn.XLOOKUP(B775,[1]Sheet1!$B:$B,[1]Sheet1!$S:$S,0)</f>
        <v>177000</v>
      </c>
      <c r="Q775" s="12">
        <f>_xlfn.XLOOKUP(B775,[1]Sheet1!$B:$B,[1]Sheet1!$T:$T,0)</f>
        <v>71000</v>
      </c>
      <c r="R775" s="12">
        <f>_xlfn.XLOOKUP(B775,[1]Sheet1!$B:$B,[1]Sheet1!$U:$U,0)</f>
        <v>71000</v>
      </c>
      <c r="S775" s="12">
        <f>_xlfn.XLOOKUP(B775,[1]Sheet1!$B:$B,[1]Sheet1!$V:$V,0)</f>
        <v>71000</v>
      </c>
      <c r="T775" s="12">
        <f>_xlfn.XLOOKUP(B775,[1]Sheet1!$B:$B,[1]Sheet1!$W:$W,0)</f>
        <v>71000</v>
      </c>
      <c r="U775" s="12">
        <f>_xlfn.XLOOKUP(B775,[1]Sheet1!$B:$B,[1]Sheet1!$X:$X,0)</f>
        <v>71000</v>
      </c>
      <c r="V775" s="12">
        <f>_xlfn.XLOOKUP(B775,[1]Sheet1!$B:$B,[1]Sheet1!$Y:$Y,0)</f>
        <v>106000</v>
      </c>
      <c r="W775" s="12">
        <f t="shared" si="27"/>
        <v>780000</v>
      </c>
      <c r="X775" s="8" t="s">
        <v>616</v>
      </c>
      <c r="Y775" s="8" t="s">
        <v>65</v>
      </c>
      <c r="Z775" s="8" t="s">
        <v>190</v>
      </c>
      <c r="AA775" s="8" t="s">
        <v>53</v>
      </c>
      <c r="AB775" s="8" t="s">
        <v>36</v>
      </c>
      <c r="AC775" s="8" t="s">
        <v>37</v>
      </c>
      <c r="AD775" s="8" t="s">
        <v>192</v>
      </c>
      <c r="AE775" s="8" t="s">
        <v>39</v>
      </c>
      <c r="AF775" s="8" t="s">
        <v>40</v>
      </c>
      <c r="AG775" s="9">
        <v>780000</v>
      </c>
      <c r="AH775" s="11">
        <f>_xlfn.XLOOKUP(B775,[1]Sheet1!$B:$B,[1]Sheet1!$AB:$AB,0)</f>
        <v>780000</v>
      </c>
    </row>
    <row r="776" spans="2:34" ht="16.8" thickTop="1" thickBot="1" x14ac:dyDescent="0.35">
      <c r="B776" s="3" t="str">
        <f t="shared" si="26"/>
        <v>45118004511000909Art Materials-N432626200104</v>
      </c>
      <c r="C776" s="6" t="s">
        <v>191</v>
      </c>
      <c r="D776" s="6" t="s">
        <v>1232</v>
      </c>
      <c r="E776" s="6" t="s">
        <v>1233</v>
      </c>
      <c r="F776" s="6" t="s">
        <v>283</v>
      </c>
      <c r="G776" s="4" t="s">
        <v>2809</v>
      </c>
      <c r="H776" s="4" t="s">
        <v>2922</v>
      </c>
      <c r="I776" s="6" t="s">
        <v>76</v>
      </c>
      <c r="J776" s="6" t="s">
        <v>31</v>
      </c>
      <c r="K776" s="12">
        <f>_xlfn.XLOOKUP(B776,[1]Sheet1!$B:$B,[1]Sheet1!$N:$N,0)</f>
        <v>0</v>
      </c>
      <c r="L776" s="12">
        <f>_xlfn.XLOOKUP(B776,[1]Sheet1!$B:$B,[1]Sheet1!$O:$O,0)</f>
        <v>0</v>
      </c>
      <c r="M776" s="12">
        <f>_xlfn.XLOOKUP(B776,[1]Sheet1!$B:$B,[1]Sheet1!$P:$P,0)</f>
        <v>0</v>
      </c>
      <c r="N776" s="12">
        <f>_xlfn.XLOOKUP(B776,[1]Sheet1!$B:$B,[1]Sheet1!$Q:$Q,0)</f>
        <v>0</v>
      </c>
      <c r="O776" s="12">
        <f>_xlfn.XLOOKUP(B776,[1]Sheet1!$B:$B,[1]Sheet1!$R:$R,0)</f>
        <v>0</v>
      </c>
      <c r="P776" s="12">
        <f>_xlfn.XLOOKUP(B776,[1]Sheet1!$B:$B,[1]Sheet1!$S:$S,0)</f>
        <v>0</v>
      </c>
      <c r="Q776" s="12">
        <f>_xlfn.XLOOKUP(B776,[1]Sheet1!$B:$B,[1]Sheet1!$T:$T,0)</f>
        <v>0</v>
      </c>
      <c r="R776" s="12">
        <f>_xlfn.XLOOKUP(B776,[1]Sheet1!$B:$B,[1]Sheet1!$U:$U,0)</f>
        <v>0</v>
      </c>
      <c r="S776" s="12">
        <f>_xlfn.XLOOKUP(B776,[1]Sheet1!$B:$B,[1]Sheet1!$V:$V,0)</f>
        <v>0</v>
      </c>
      <c r="T776" s="12">
        <f>_xlfn.XLOOKUP(B776,[1]Sheet1!$B:$B,[1]Sheet1!$W:$W,0)</f>
        <v>0</v>
      </c>
      <c r="U776" s="12">
        <f>_xlfn.XLOOKUP(B776,[1]Sheet1!$B:$B,[1]Sheet1!$X:$X,0)</f>
        <v>500000</v>
      </c>
      <c r="V776" s="12">
        <f>_xlfn.XLOOKUP(B776,[1]Sheet1!$B:$B,[1]Sheet1!$Y:$Y,0)</f>
        <v>0</v>
      </c>
      <c r="W776" s="12">
        <f t="shared" si="27"/>
        <v>500000</v>
      </c>
      <c r="X776" s="6" t="s">
        <v>614</v>
      </c>
      <c r="Y776" s="6" t="s">
        <v>65</v>
      </c>
      <c r="Z776" s="6" t="s">
        <v>190</v>
      </c>
      <c r="AA776" s="6" t="s">
        <v>78</v>
      </c>
      <c r="AB776" s="6" t="s">
        <v>36</v>
      </c>
      <c r="AC776" s="6" t="s">
        <v>37</v>
      </c>
      <c r="AD776" s="6" t="s">
        <v>192</v>
      </c>
      <c r="AE776" s="6" t="s">
        <v>39</v>
      </c>
      <c r="AF776" s="6" t="s">
        <v>40</v>
      </c>
      <c r="AG776" s="7">
        <v>350000</v>
      </c>
      <c r="AH776" s="11">
        <f>_xlfn.XLOOKUP(B776,[1]Sheet1!$B:$B,[1]Sheet1!$AB:$AB,0)</f>
        <v>350000</v>
      </c>
    </row>
    <row r="777" spans="2:34" ht="16.8" thickTop="1" thickBot="1" x14ac:dyDescent="0.35">
      <c r="B777" s="3" t="str">
        <f t="shared" si="26"/>
        <v>45118004511000909Event Management-N422401200104</v>
      </c>
      <c r="C777" s="8" t="s">
        <v>191</v>
      </c>
      <c r="D777" s="8" t="s">
        <v>1232</v>
      </c>
      <c r="E777" s="8" t="s">
        <v>1233</v>
      </c>
      <c r="F777" s="8" t="s">
        <v>162</v>
      </c>
      <c r="G777" s="4" t="s">
        <v>2807</v>
      </c>
      <c r="H777" s="4" t="s">
        <v>2922</v>
      </c>
      <c r="I777" s="8" t="s">
        <v>63</v>
      </c>
      <c r="J777" s="8" t="s">
        <v>31</v>
      </c>
      <c r="K777" s="12">
        <f>_xlfn.XLOOKUP(B777,[1]Sheet1!$B:$B,[1]Sheet1!$N:$N,0)</f>
        <v>0</v>
      </c>
      <c r="L777" s="12">
        <f>_xlfn.XLOOKUP(B777,[1]Sheet1!$B:$B,[1]Sheet1!$O:$O,0)</f>
        <v>0</v>
      </c>
      <c r="M777" s="12">
        <f>_xlfn.XLOOKUP(B777,[1]Sheet1!$B:$B,[1]Sheet1!$P:$P,0)</f>
        <v>0</v>
      </c>
      <c r="N777" s="12">
        <f>_xlfn.XLOOKUP(B777,[1]Sheet1!$B:$B,[1]Sheet1!$Q:$Q,0)</f>
        <v>0</v>
      </c>
      <c r="O777" s="12">
        <f>_xlfn.XLOOKUP(B777,[1]Sheet1!$B:$B,[1]Sheet1!$R:$R,0)</f>
        <v>0</v>
      </c>
      <c r="P777" s="12">
        <f>_xlfn.XLOOKUP(B777,[1]Sheet1!$B:$B,[1]Sheet1!$S:$S,0)</f>
        <v>0</v>
      </c>
      <c r="Q777" s="12">
        <f>_xlfn.XLOOKUP(B777,[1]Sheet1!$B:$B,[1]Sheet1!$T:$T,0)</f>
        <v>0</v>
      </c>
      <c r="R777" s="12">
        <f>_xlfn.XLOOKUP(B777,[1]Sheet1!$B:$B,[1]Sheet1!$U:$U,0)</f>
        <v>0</v>
      </c>
      <c r="S777" s="12">
        <f>_xlfn.XLOOKUP(B777,[1]Sheet1!$B:$B,[1]Sheet1!$V:$V,0)</f>
        <v>330000</v>
      </c>
      <c r="T777" s="12">
        <f>_xlfn.XLOOKUP(B777,[1]Sheet1!$B:$B,[1]Sheet1!$W:$W,0)</f>
        <v>0</v>
      </c>
      <c r="U777" s="12">
        <f>_xlfn.XLOOKUP(B777,[1]Sheet1!$B:$B,[1]Sheet1!$X:$X,0)</f>
        <v>0</v>
      </c>
      <c r="V777" s="12">
        <f>_xlfn.XLOOKUP(B777,[1]Sheet1!$B:$B,[1]Sheet1!$Y:$Y,0)</f>
        <v>30000</v>
      </c>
      <c r="W777" s="12">
        <f t="shared" si="27"/>
        <v>360000</v>
      </c>
      <c r="X777" s="8" t="s">
        <v>615</v>
      </c>
      <c r="Y777" s="8" t="s">
        <v>65</v>
      </c>
      <c r="Z777" s="8" t="s">
        <v>190</v>
      </c>
      <c r="AA777" s="8" t="s">
        <v>68</v>
      </c>
      <c r="AB777" s="8" t="s">
        <v>36</v>
      </c>
      <c r="AC777" s="8" t="s">
        <v>37</v>
      </c>
      <c r="AD777" s="8" t="s">
        <v>192</v>
      </c>
      <c r="AE777" s="8" t="s">
        <v>39</v>
      </c>
      <c r="AF777" s="8" t="s">
        <v>40</v>
      </c>
      <c r="AG777" s="9">
        <v>360000</v>
      </c>
      <c r="AH777" s="11">
        <f>_xlfn.XLOOKUP(B777,[1]Sheet1!$B:$B,[1]Sheet1!$AB:$AB,0)</f>
        <v>360000</v>
      </c>
    </row>
    <row r="778" spans="2:34" ht="16.8" thickTop="1" thickBot="1" x14ac:dyDescent="0.35">
      <c r="B778" s="3" t="str">
        <f t="shared" si="26"/>
        <v>45118004511000909Freelancers-N424521200104</v>
      </c>
      <c r="C778" s="6" t="s">
        <v>191</v>
      </c>
      <c r="D778" s="6" t="s">
        <v>1232</v>
      </c>
      <c r="E778" s="6" t="s">
        <v>1233</v>
      </c>
      <c r="F778" s="6" t="s">
        <v>50</v>
      </c>
      <c r="G778" s="4" t="s">
        <v>2804</v>
      </c>
      <c r="H778" s="4" t="s">
        <v>2922</v>
      </c>
      <c r="I778" s="6" t="s">
        <v>51</v>
      </c>
      <c r="J778" s="6" t="s">
        <v>31</v>
      </c>
      <c r="K778" s="12">
        <f>_xlfn.XLOOKUP(B778,[1]Sheet1!$B:$B,[1]Sheet1!$N:$N,0)</f>
        <v>0</v>
      </c>
      <c r="L778" s="12">
        <f>_xlfn.XLOOKUP(B778,[1]Sheet1!$B:$B,[1]Sheet1!$O:$O,0)</f>
        <v>0</v>
      </c>
      <c r="M778" s="12">
        <f>_xlfn.XLOOKUP(B778,[1]Sheet1!$B:$B,[1]Sheet1!$P:$P,0)</f>
        <v>156000</v>
      </c>
      <c r="N778" s="12">
        <f>_xlfn.XLOOKUP(B778,[1]Sheet1!$B:$B,[1]Sheet1!$Q:$Q,0)</f>
        <v>0</v>
      </c>
      <c r="O778" s="12">
        <f>_xlfn.XLOOKUP(B778,[1]Sheet1!$B:$B,[1]Sheet1!$R:$R,0)</f>
        <v>0</v>
      </c>
      <c r="P778" s="12">
        <f>_xlfn.XLOOKUP(B778,[1]Sheet1!$B:$B,[1]Sheet1!$S:$S,0)</f>
        <v>0</v>
      </c>
      <c r="Q778" s="12">
        <f>_xlfn.XLOOKUP(B778,[1]Sheet1!$B:$B,[1]Sheet1!$T:$T,0)</f>
        <v>0</v>
      </c>
      <c r="R778" s="12">
        <f>_xlfn.XLOOKUP(B778,[1]Sheet1!$B:$B,[1]Sheet1!$U:$U,0)</f>
        <v>0</v>
      </c>
      <c r="S778" s="12">
        <f>_xlfn.XLOOKUP(B778,[1]Sheet1!$B:$B,[1]Sheet1!$V:$V,0)</f>
        <v>0</v>
      </c>
      <c r="T778" s="12">
        <f>_xlfn.XLOOKUP(B778,[1]Sheet1!$B:$B,[1]Sheet1!$W:$W,0)</f>
        <v>0</v>
      </c>
      <c r="U778" s="12">
        <f>_xlfn.XLOOKUP(B778,[1]Sheet1!$B:$B,[1]Sheet1!$X:$X,0)</f>
        <v>1344000</v>
      </c>
      <c r="V778" s="12">
        <f>_xlfn.XLOOKUP(B778,[1]Sheet1!$B:$B,[1]Sheet1!$Y:$Y,0)</f>
        <v>0</v>
      </c>
      <c r="W778" s="12">
        <f t="shared" si="27"/>
        <v>1500000</v>
      </c>
      <c r="X778" s="6" t="s">
        <v>616</v>
      </c>
      <c r="Y778" s="6" t="s">
        <v>65</v>
      </c>
      <c r="Z778" s="6" t="s">
        <v>190</v>
      </c>
      <c r="AA778" s="6" t="s">
        <v>53</v>
      </c>
      <c r="AB778" s="6" t="s">
        <v>36</v>
      </c>
      <c r="AC778" s="6" t="s">
        <v>37</v>
      </c>
      <c r="AD778" s="6" t="s">
        <v>192</v>
      </c>
      <c r="AE778" s="6" t="s">
        <v>39</v>
      </c>
      <c r="AF778" s="6" t="s">
        <v>40</v>
      </c>
      <c r="AG778" s="7">
        <v>1300000</v>
      </c>
      <c r="AH778" s="11">
        <f>_xlfn.XLOOKUP(B778,[1]Sheet1!$B:$B,[1]Sheet1!$AB:$AB,0)</f>
        <v>1300000</v>
      </c>
    </row>
    <row r="779" spans="2:34" ht="16.8" thickTop="1" thickBot="1" x14ac:dyDescent="0.35">
      <c r="B779" s="3" t="str">
        <f t="shared" si="26"/>
        <v>45118004511000910Activation&amp;Prog-N422401200104</v>
      </c>
      <c r="C779" s="8" t="s">
        <v>191</v>
      </c>
      <c r="D779" s="8" t="s">
        <v>1234</v>
      </c>
      <c r="E779" s="8" t="s">
        <v>1235</v>
      </c>
      <c r="F779" s="8" t="s">
        <v>62</v>
      </c>
      <c r="G779" s="4" t="s">
        <v>2807</v>
      </c>
      <c r="H779" s="4" t="s">
        <v>2922</v>
      </c>
      <c r="I779" s="8" t="s">
        <v>63</v>
      </c>
      <c r="J779" s="8" t="s">
        <v>31</v>
      </c>
      <c r="K779" s="12">
        <f>_xlfn.XLOOKUP(B779,[1]Sheet1!$B:$B,[1]Sheet1!$N:$N,0)</f>
        <v>0</v>
      </c>
      <c r="L779" s="12">
        <f>_xlfn.XLOOKUP(B779,[1]Sheet1!$B:$B,[1]Sheet1!$O:$O,0)</f>
        <v>0</v>
      </c>
      <c r="M779" s="12">
        <f>_xlfn.XLOOKUP(B779,[1]Sheet1!$B:$B,[1]Sheet1!$P:$P,0)</f>
        <v>0</v>
      </c>
      <c r="N779" s="12">
        <f>_xlfn.XLOOKUP(B779,[1]Sheet1!$B:$B,[1]Sheet1!$Q:$Q,0)</f>
        <v>0</v>
      </c>
      <c r="O779" s="12">
        <f>_xlfn.XLOOKUP(B779,[1]Sheet1!$B:$B,[1]Sheet1!$R:$R,0)</f>
        <v>34000</v>
      </c>
      <c r="P779" s="12">
        <f>_xlfn.XLOOKUP(B779,[1]Sheet1!$B:$B,[1]Sheet1!$S:$S,0)</f>
        <v>90000</v>
      </c>
      <c r="Q779" s="12">
        <f>_xlfn.XLOOKUP(B779,[1]Sheet1!$B:$B,[1]Sheet1!$T:$T,0)</f>
        <v>25000</v>
      </c>
      <c r="R779" s="12">
        <f>_xlfn.XLOOKUP(B779,[1]Sheet1!$B:$B,[1]Sheet1!$U:$U,0)</f>
        <v>90000</v>
      </c>
      <c r="S779" s="12">
        <f>_xlfn.XLOOKUP(B779,[1]Sheet1!$B:$B,[1]Sheet1!$V:$V,0)</f>
        <v>39000</v>
      </c>
      <c r="T779" s="12">
        <f>_xlfn.XLOOKUP(B779,[1]Sheet1!$B:$B,[1]Sheet1!$W:$W,0)</f>
        <v>90000</v>
      </c>
      <c r="U779" s="12">
        <f>_xlfn.XLOOKUP(B779,[1]Sheet1!$B:$B,[1]Sheet1!$X:$X,0)</f>
        <v>40000</v>
      </c>
      <c r="V779" s="12">
        <f>_xlfn.XLOOKUP(B779,[1]Sheet1!$B:$B,[1]Sheet1!$Y:$Y,0)</f>
        <v>40000</v>
      </c>
      <c r="W779" s="12">
        <f t="shared" si="27"/>
        <v>448000</v>
      </c>
      <c r="X779" s="8" t="s">
        <v>615</v>
      </c>
      <c r="Y779" s="8" t="s">
        <v>65</v>
      </c>
      <c r="Z779" s="8" t="s">
        <v>190</v>
      </c>
      <c r="AA779" s="8" t="s">
        <v>68</v>
      </c>
      <c r="AB779" s="8" t="s">
        <v>36</v>
      </c>
      <c r="AC779" s="8" t="s">
        <v>37</v>
      </c>
      <c r="AD779" s="8" t="s">
        <v>192</v>
      </c>
      <c r="AE779" s="8" t="s">
        <v>39</v>
      </c>
      <c r="AF779" s="8" t="s">
        <v>40</v>
      </c>
      <c r="AG779" s="9">
        <v>448000</v>
      </c>
      <c r="AH779" s="11">
        <f>_xlfn.XLOOKUP(B779,[1]Sheet1!$B:$B,[1]Sheet1!$AB:$AB,0)</f>
        <v>448000</v>
      </c>
    </row>
    <row r="780" spans="2:34" ht="16.8" thickTop="1" thickBot="1" x14ac:dyDescent="0.35">
      <c r="B780" s="3" t="str">
        <f t="shared" si="26"/>
        <v>45118004511000910Event Management-N422401200104</v>
      </c>
      <c r="C780" s="6" t="s">
        <v>191</v>
      </c>
      <c r="D780" s="6" t="s">
        <v>1234</v>
      </c>
      <c r="E780" s="6" t="s">
        <v>1235</v>
      </c>
      <c r="F780" s="6" t="s">
        <v>162</v>
      </c>
      <c r="G780" s="4" t="s">
        <v>2807</v>
      </c>
      <c r="H780" s="4" t="s">
        <v>2922</v>
      </c>
      <c r="I780" s="6" t="s">
        <v>63</v>
      </c>
      <c r="J780" s="6" t="s">
        <v>31</v>
      </c>
      <c r="K780" s="12">
        <f>_xlfn.XLOOKUP(B780,[1]Sheet1!$B:$B,[1]Sheet1!$N:$N,0)</f>
        <v>0</v>
      </c>
      <c r="L780" s="12">
        <f>_xlfn.XLOOKUP(B780,[1]Sheet1!$B:$B,[1]Sheet1!$O:$O,0)</f>
        <v>0</v>
      </c>
      <c r="M780" s="12">
        <f>_xlfn.XLOOKUP(B780,[1]Sheet1!$B:$B,[1]Sheet1!$P:$P,0)</f>
        <v>0</v>
      </c>
      <c r="N780" s="12">
        <f>_xlfn.XLOOKUP(B780,[1]Sheet1!$B:$B,[1]Sheet1!$Q:$Q,0)</f>
        <v>0</v>
      </c>
      <c r="O780" s="12">
        <f>_xlfn.XLOOKUP(B780,[1]Sheet1!$B:$B,[1]Sheet1!$R:$R,0)</f>
        <v>0</v>
      </c>
      <c r="P780" s="12">
        <f>_xlfn.XLOOKUP(B780,[1]Sheet1!$B:$B,[1]Sheet1!$S:$S,0)</f>
        <v>10000</v>
      </c>
      <c r="Q780" s="12">
        <f>_xlfn.XLOOKUP(B780,[1]Sheet1!$B:$B,[1]Sheet1!$T:$T,0)</f>
        <v>0</v>
      </c>
      <c r="R780" s="12">
        <f>_xlfn.XLOOKUP(B780,[1]Sheet1!$B:$B,[1]Sheet1!$U:$U,0)</f>
        <v>0</v>
      </c>
      <c r="S780" s="12">
        <f>_xlfn.XLOOKUP(B780,[1]Sheet1!$B:$B,[1]Sheet1!$V:$V,0)</f>
        <v>0</v>
      </c>
      <c r="T780" s="12">
        <f>_xlfn.XLOOKUP(B780,[1]Sheet1!$B:$B,[1]Sheet1!$W:$W,0)</f>
        <v>11000</v>
      </c>
      <c r="U780" s="12">
        <f>_xlfn.XLOOKUP(B780,[1]Sheet1!$B:$B,[1]Sheet1!$X:$X,0)</f>
        <v>16000</v>
      </c>
      <c r="V780" s="12">
        <f>_xlfn.XLOOKUP(B780,[1]Sheet1!$B:$B,[1]Sheet1!$Y:$Y,0)</f>
        <v>11000</v>
      </c>
      <c r="W780" s="12">
        <f t="shared" si="27"/>
        <v>48000</v>
      </c>
      <c r="X780" s="6" t="s">
        <v>615</v>
      </c>
      <c r="Y780" s="6" t="s">
        <v>65</v>
      </c>
      <c r="Z780" s="6" t="s">
        <v>190</v>
      </c>
      <c r="AA780" s="6" t="s">
        <v>68</v>
      </c>
      <c r="AB780" s="6" t="s">
        <v>36</v>
      </c>
      <c r="AC780" s="6" t="s">
        <v>37</v>
      </c>
      <c r="AD780" s="6" t="s">
        <v>192</v>
      </c>
      <c r="AE780" s="6" t="s">
        <v>39</v>
      </c>
      <c r="AF780" s="6" t="s">
        <v>40</v>
      </c>
      <c r="AG780" s="7">
        <v>48000</v>
      </c>
      <c r="AH780" s="11">
        <f>_xlfn.XLOOKUP(B780,[1]Sheet1!$B:$B,[1]Sheet1!$AB:$AB,0)</f>
        <v>48000</v>
      </c>
    </row>
    <row r="781" spans="2:34" ht="16.8" thickTop="1" thickBot="1" x14ac:dyDescent="0.35">
      <c r="B781" s="3" t="str">
        <f t="shared" si="26"/>
        <v>45118004511000910Freelancers-N424521200104</v>
      </c>
      <c r="C781" s="8" t="s">
        <v>191</v>
      </c>
      <c r="D781" s="8" t="s">
        <v>1234</v>
      </c>
      <c r="E781" s="8" t="s">
        <v>1235</v>
      </c>
      <c r="F781" s="8" t="s">
        <v>50</v>
      </c>
      <c r="G781" s="4" t="s">
        <v>2804</v>
      </c>
      <c r="H781" s="4" t="s">
        <v>2922</v>
      </c>
      <c r="I781" s="8" t="s">
        <v>51</v>
      </c>
      <c r="J781" s="8" t="s">
        <v>31</v>
      </c>
      <c r="K781" s="12">
        <f>_xlfn.XLOOKUP(B781,[1]Sheet1!$B:$B,[1]Sheet1!$N:$N,0)</f>
        <v>0</v>
      </c>
      <c r="L781" s="12">
        <f>_xlfn.XLOOKUP(B781,[1]Sheet1!$B:$B,[1]Sheet1!$O:$O,0)</f>
        <v>0</v>
      </c>
      <c r="M781" s="12">
        <f>_xlfn.XLOOKUP(B781,[1]Sheet1!$B:$B,[1]Sheet1!$P:$P,0)</f>
        <v>51500</v>
      </c>
      <c r="N781" s="12">
        <f>_xlfn.XLOOKUP(B781,[1]Sheet1!$B:$B,[1]Sheet1!$Q:$Q,0)</f>
        <v>0</v>
      </c>
      <c r="O781" s="12">
        <f>_xlfn.XLOOKUP(B781,[1]Sheet1!$B:$B,[1]Sheet1!$R:$R,0)</f>
        <v>35500</v>
      </c>
      <c r="P781" s="12">
        <f>_xlfn.XLOOKUP(B781,[1]Sheet1!$B:$B,[1]Sheet1!$S:$S,0)</f>
        <v>23000</v>
      </c>
      <c r="Q781" s="12">
        <f>_xlfn.XLOOKUP(B781,[1]Sheet1!$B:$B,[1]Sheet1!$T:$T,0)</f>
        <v>43000</v>
      </c>
      <c r="R781" s="12">
        <f>_xlfn.XLOOKUP(B781,[1]Sheet1!$B:$B,[1]Sheet1!$U:$U,0)</f>
        <v>45000</v>
      </c>
      <c r="S781" s="12">
        <f>_xlfn.XLOOKUP(B781,[1]Sheet1!$B:$B,[1]Sheet1!$V:$V,0)</f>
        <v>25000</v>
      </c>
      <c r="T781" s="12">
        <f>_xlfn.XLOOKUP(B781,[1]Sheet1!$B:$B,[1]Sheet1!$W:$W,0)</f>
        <v>31000</v>
      </c>
      <c r="U781" s="12">
        <f>_xlfn.XLOOKUP(B781,[1]Sheet1!$B:$B,[1]Sheet1!$X:$X,0)</f>
        <v>172500</v>
      </c>
      <c r="V781" s="12">
        <f>_xlfn.XLOOKUP(B781,[1]Sheet1!$B:$B,[1]Sheet1!$Y:$Y,0)</f>
        <v>65000</v>
      </c>
      <c r="W781" s="12">
        <f t="shared" si="27"/>
        <v>491500</v>
      </c>
      <c r="X781" s="8" t="s">
        <v>616</v>
      </c>
      <c r="Y781" s="8" t="s">
        <v>65</v>
      </c>
      <c r="Z781" s="8" t="s">
        <v>190</v>
      </c>
      <c r="AA781" s="8" t="s">
        <v>53</v>
      </c>
      <c r="AB781" s="8" t="s">
        <v>36</v>
      </c>
      <c r="AC781" s="8" t="s">
        <v>37</v>
      </c>
      <c r="AD781" s="8" t="s">
        <v>192</v>
      </c>
      <c r="AE781" s="8" t="s">
        <v>39</v>
      </c>
      <c r="AF781" s="8" t="s">
        <v>40</v>
      </c>
      <c r="AG781" s="9">
        <v>491500</v>
      </c>
      <c r="AH781" s="11">
        <f>_xlfn.XLOOKUP(B781,[1]Sheet1!$B:$B,[1]Sheet1!$AB:$AB,0)</f>
        <v>491500</v>
      </c>
    </row>
    <row r="782" spans="2:34" ht="16.8" thickTop="1" thickBot="1" x14ac:dyDescent="0.35">
      <c r="B782" s="3" t="str">
        <f t="shared" si="26"/>
        <v>45118004511000910Media Mgmnt &amp;Buy-N422511200104</v>
      </c>
      <c r="C782" s="6" t="s">
        <v>191</v>
      </c>
      <c r="D782" s="6" t="s">
        <v>1234</v>
      </c>
      <c r="E782" s="6" t="s">
        <v>1235</v>
      </c>
      <c r="F782" s="6" t="s">
        <v>166</v>
      </c>
      <c r="G782" s="4" t="s">
        <v>2819</v>
      </c>
      <c r="H782" s="4" t="s">
        <v>2922</v>
      </c>
      <c r="I782" s="6" t="s">
        <v>151</v>
      </c>
      <c r="J782" s="6" t="s">
        <v>31</v>
      </c>
      <c r="K782" s="12">
        <f>_xlfn.XLOOKUP(B782,[1]Sheet1!$B:$B,[1]Sheet1!$N:$N,0)</f>
        <v>0</v>
      </c>
      <c r="L782" s="12">
        <f>_xlfn.XLOOKUP(B782,[1]Sheet1!$B:$B,[1]Sheet1!$O:$O,0)</f>
        <v>0</v>
      </c>
      <c r="M782" s="12">
        <f>_xlfn.XLOOKUP(B782,[1]Sheet1!$B:$B,[1]Sheet1!$P:$P,0)</f>
        <v>0</v>
      </c>
      <c r="N782" s="12">
        <f>_xlfn.XLOOKUP(B782,[1]Sheet1!$B:$B,[1]Sheet1!$Q:$Q,0)</f>
        <v>0</v>
      </c>
      <c r="O782" s="12">
        <f>_xlfn.XLOOKUP(B782,[1]Sheet1!$B:$B,[1]Sheet1!$R:$R,0)</f>
        <v>0</v>
      </c>
      <c r="P782" s="12">
        <f>_xlfn.XLOOKUP(B782,[1]Sheet1!$B:$B,[1]Sheet1!$S:$S,0)</f>
        <v>0</v>
      </c>
      <c r="Q782" s="12">
        <f>_xlfn.XLOOKUP(B782,[1]Sheet1!$B:$B,[1]Sheet1!$T:$T,0)</f>
        <v>0</v>
      </c>
      <c r="R782" s="12">
        <f>_xlfn.XLOOKUP(B782,[1]Sheet1!$B:$B,[1]Sheet1!$U:$U,0)</f>
        <v>0</v>
      </c>
      <c r="S782" s="12">
        <f>_xlfn.XLOOKUP(B782,[1]Sheet1!$B:$B,[1]Sheet1!$V:$V,0)</f>
        <v>0</v>
      </c>
      <c r="T782" s="12">
        <f>_xlfn.XLOOKUP(B782,[1]Sheet1!$B:$B,[1]Sheet1!$W:$W,0)</f>
        <v>20000</v>
      </c>
      <c r="U782" s="12">
        <f>_xlfn.XLOOKUP(B782,[1]Sheet1!$B:$B,[1]Sheet1!$X:$X,0)</f>
        <v>20000</v>
      </c>
      <c r="V782" s="12">
        <f>_xlfn.XLOOKUP(B782,[1]Sheet1!$B:$B,[1]Sheet1!$Y:$Y,0)</f>
        <v>25000</v>
      </c>
      <c r="W782" s="12">
        <f t="shared" si="27"/>
        <v>65000</v>
      </c>
      <c r="X782" s="6" t="s">
        <v>1236</v>
      </c>
      <c r="Y782" s="6" t="s">
        <v>65</v>
      </c>
      <c r="Z782" s="6" t="s">
        <v>190</v>
      </c>
      <c r="AA782" s="6" t="s">
        <v>151</v>
      </c>
      <c r="AB782" s="6" t="s">
        <v>36</v>
      </c>
      <c r="AC782" s="6" t="s">
        <v>37</v>
      </c>
      <c r="AD782" s="6" t="s">
        <v>192</v>
      </c>
      <c r="AE782" s="6" t="s">
        <v>39</v>
      </c>
      <c r="AF782" s="6" t="s">
        <v>40</v>
      </c>
      <c r="AG782" s="7">
        <v>65000</v>
      </c>
      <c r="AH782" s="11">
        <f>_xlfn.XLOOKUP(B782,[1]Sheet1!$B:$B,[1]Sheet1!$AB:$AB,0)</f>
        <v>65000</v>
      </c>
    </row>
    <row r="783" spans="2:34" ht="16.8" thickTop="1" thickBot="1" x14ac:dyDescent="0.35">
      <c r="B783" s="3" t="str">
        <f t="shared" si="26"/>
        <v>45118004511000910Mission &amp; Travel-N423821200104</v>
      </c>
      <c r="C783" s="8" t="s">
        <v>191</v>
      </c>
      <c r="D783" s="8" t="s">
        <v>1234</v>
      </c>
      <c r="E783" s="8" t="s">
        <v>1235</v>
      </c>
      <c r="F783" s="8" t="s">
        <v>54</v>
      </c>
      <c r="G783" s="4" t="s">
        <v>2805</v>
      </c>
      <c r="H783" s="4" t="s">
        <v>2922</v>
      </c>
      <c r="I783" s="8" t="s">
        <v>55</v>
      </c>
      <c r="J783" s="8" t="s">
        <v>31</v>
      </c>
      <c r="K783" s="12">
        <f>_xlfn.XLOOKUP(B783,[1]Sheet1!$B:$B,[1]Sheet1!$N:$N,0)</f>
        <v>0</v>
      </c>
      <c r="L783" s="12">
        <f>_xlfn.XLOOKUP(B783,[1]Sheet1!$B:$B,[1]Sheet1!$O:$O,0)</f>
        <v>0</v>
      </c>
      <c r="M783" s="12">
        <f>_xlfn.XLOOKUP(B783,[1]Sheet1!$B:$B,[1]Sheet1!$P:$P,0)</f>
        <v>0</v>
      </c>
      <c r="N783" s="12">
        <f>_xlfn.XLOOKUP(B783,[1]Sheet1!$B:$B,[1]Sheet1!$Q:$Q,0)</f>
        <v>0</v>
      </c>
      <c r="O783" s="12">
        <f>_xlfn.XLOOKUP(B783,[1]Sheet1!$B:$B,[1]Sheet1!$R:$R,0)</f>
        <v>6000</v>
      </c>
      <c r="P783" s="12">
        <f>_xlfn.XLOOKUP(B783,[1]Sheet1!$B:$B,[1]Sheet1!$S:$S,0)</f>
        <v>6000</v>
      </c>
      <c r="Q783" s="12">
        <f>_xlfn.XLOOKUP(B783,[1]Sheet1!$B:$B,[1]Sheet1!$T:$T,0)</f>
        <v>0</v>
      </c>
      <c r="R783" s="12">
        <f>_xlfn.XLOOKUP(B783,[1]Sheet1!$B:$B,[1]Sheet1!$U:$U,0)</f>
        <v>12000</v>
      </c>
      <c r="S783" s="12">
        <f>_xlfn.XLOOKUP(B783,[1]Sheet1!$B:$B,[1]Sheet1!$V:$V,0)</f>
        <v>6000</v>
      </c>
      <c r="T783" s="12">
        <f>_xlfn.XLOOKUP(B783,[1]Sheet1!$B:$B,[1]Sheet1!$W:$W,0)</f>
        <v>0</v>
      </c>
      <c r="U783" s="12">
        <f>_xlfn.XLOOKUP(B783,[1]Sheet1!$B:$B,[1]Sheet1!$X:$X,0)</f>
        <v>25000</v>
      </c>
      <c r="V783" s="12">
        <f>_xlfn.XLOOKUP(B783,[1]Sheet1!$B:$B,[1]Sheet1!$Y:$Y,0)</f>
        <v>20000</v>
      </c>
      <c r="W783" s="12">
        <f t="shared" si="27"/>
        <v>75000</v>
      </c>
      <c r="X783" s="8" t="s">
        <v>618</v>
      </c>
      <c r="Y783" s="8" t="s">
        <v>65</v>
      </c>
      <c r="Z783" s="8" t="s">
        <v>190</v>
      </c>
      <c r="AA783" s="8" t="s">
        <v>55</v>
      </c>
      <c r="AB783" s="8" t="s">
        <v>36</v>
      </c>
      <c r="AC783" s="8" t="s">
        <v>37</v>
      </c>
      <c r="AD783" s="8" t="s">
        <v>192</v>
      </c>
      <c r="AE783" s="8" t="s">
        <v>39</v>
      </c>
      <c r="AF783" s="8" t="s">
        <v>40</v>
      </c>
      <c r="AG783" s="9">
        <v>75000</v>
      </c>
      <c r="AH783" s="11">
        <f>_xlfn.XLOOKUP(B783,[1]Sheet1!$B:$B,[1]Sheet1!$AB:$AB,0)</f>
        <v>75000</v>
      </c>
    </row>
    <row r="784" spans="2:34" ht="16.8" thickTop="1" thickBot="1" x14ac:dyDescent="0.35">
      <c r="B784" s="3" t="str">
        <f t="shared" si="26"/>
        <v>45118004511000910Translation-N424701200104</v>
      </c>
      <c r="C784" s="6" t="s">
        <v>191</v>
      </c>
      <c r="D784" s="6" t="s">
        <v>1234</v>
      </c>
      <c r="E784" s="6" t="s">
        <v>1235</v>
      </c>
      <c r="F784" s="6" t="s">
        <v>355</v>
      </c>
      <c r="G784" s="4" t="s">
        <v>2834</v>
      </c>
      <c r="H784" s="4" t="s">
        <v>2922</v>
      </c>
      <c r="I784" s="6" t="s">
        <v>356</v>
      </c>
      <c r="J784" s="6" t="s">
        <v>31</v>
      </c>
      <c r="K784" s="12">
        <f>_xlfn.XLOOKUP(B784,[1]Sheet1!$B:$B,[1]Sheet1!$N:$N,0)</f>
        <v>0</v>
      </c>
      <c r="L784" s="12">
        <f>_xlfn.XLOOKUP(B784,[1]Sheet1!$B:$B,[1]Sheet1!$O:$O,0)</f>
        <v>0</v>
      </c>
      <c r="M784" s="12">
        <f>_xlfn.XLOOKUP(B784,[1]Sheet1!$B:$B,[1]Sheet1!$P:$P,0)</f>
        <v>0</v>
      </c>
      <c r="N784" s="12">
        <f>_xlfn.XLOOKUP(B784,[1]Sheet1!$B:$B,[1]Sheet1!$Q:$Q,0)</f>
        <v>600</v>
      </c>
      <c r="O784" s="12">
        <f>_xlfn.XLOOKUP(B784,[1]Sheet1!$B:$B,[1]Sheet1!$R:$R,0)</f>
        <v>0</v>
      </c>
      <c r="P784" s="12">
        <f>_xlfn.XLOOKUP(B784,[1]Sheet1!$B:$B,[1]Sheet1!$S:$S,0)</f>
        <v>600</v>
      </c>
      <c r="Q784" s="12">
        <f>_xlfn.XLOOKUP(B784,[1]Sheet1!$B:$B,[1]Sheet1!$T:$T,0)</f>
        <v>0</v>
      </c>
      <c r="R784" s="12">
        <f>_xlfn.XLOOKUP(B784,[1]Sheet1!$B:$B,[1]Sheet1!$U:$U,0)</f>
        <v>600</v>
      </c>
      <c r="S784" s="12">
        <f>_xlfn.XLOOKUP(B784,[1]Sheet1!$B:$B,[1]Sheet1!$V:$V,0)</f>
        <v>0</v>
      </c>
      <c r="T784" s="12">
        <f>_xlfn.XLOOKUP(B784,[1]Sheet1!$B:$B,[1]Sheet1!$W:$W,0)</f>
        <v>2000</v>
      </c>
      <c r="U784" s="12">
        <f>_xlfn.XLOOKUP(B784,[1]Sheet1!$B:$B,[1]Sheet1!$X:$X,0)</f>
        <v>600</v>
      </c>
      <c r="V784" s="12">
        <f>_xlfn.XLOOKUP(B784,[1]Sheet1!$B:$B,[1]Sheet1!$Y:$Y,0)</f>
        <v>600</v>
      </c>
      <c r="W784" s="12">
        <f t="shared" si="27"/>
        <v>5000</v>
      </c>
      <c r="X784" s="6" t="s">
        <v>1237</v>
      </c>
      <c r="Y784" s="6" t="s">
        <v>65</v>
      </c>
      <c r="Z784" s="6" t="s">
        <v>190</v>
      </c>
      <c r="AA784" s="6" t="s">
        <v>356</v>
      </c>
      <c r="AB784" s="6" t="s">
        <v>36</v>
      </c>
      <c r="AC784" s="6" t="s">
        <v>37</v>
      </c>
      <c r="AD784" s="6" t="s">
        <v>192</v>
      </c>
      <c r="AE784" s="6" t="s">
        <v>39</v>
      </c>
      <c r="AF784" s="6" t="s">
        <v>40</v>
      </c>
      <c r="AG784" s="7">
        <v>5000</v>
      </c>
      <c r="AH784" s="11">
        <f>_xlfn.XLOOKUP(B784,[1]Sheet1!$B:$B,[1]Sheet1!$AB:$AB,0)</f>
        <v>5000</v>
      </c>
    </row>
    <row r="785" spans="2:34" ht="16.8" thickTop="1" thickBot="1" x14ac:dyDescent="0.35">
      <c r="B785" s="3" t="str">
        <f t="shared" si="26"/>
        <v>45115504511000914Media Mgmnt &amp;Buy-N422511200104</v>
      </c>
      <c r="C785" s="8" t="s">
        <v>154</v>
      </c>
      <c r="D785" s="8" t="s">
        <v>1238</v>
      </c>
      <c r="E785" s="8" t="s">
        <v>1239</v>
      </c>
      <c r="F785" s="8" t="s">
        <v>166</v>
      </c>
      <c r="G785" s="4" t="s">
        <v>2819</v>
      </c>
      <c r="H785" s="4" t="s">
        <v>2922</v>
      </c>
      <c r="I785" s="8" t="s">
        <v>151</v>
      </c>
      <c r="J785" s="8" t="s">
        <v>31</v>
      </c>
      <c r="K785" s="12">
        <f>_xlfn.XLOOKUP(B785,[1]Sheet1!$B:$B,[1]Sheet1!$N:$N,0)</f>
        <v>0</v>
      </c>
      <c r="L785" s="12">
        <f>_xlfn.XLOOKUP(B785,[1]Sheet1!$B:$B,[1]Sheet1!$O:$O,0)</f>
        <v>0</v>
      </c>
      <c r="M785" s="12">
        <f>_xlfn.XLOOKUP(B785,[1]Sheet1!$B:$B,[1]Sheet1!$P:$P,0)</f>
        <v>0</v>
      </c>
      <c r="N785" s="12">
        <f>_xlfn.XLOOKUP(B785,[1]Sheet1!$B:$B,[1]Sheet1!$Q:$Q,0)</f>
        <v>0</v>
      </c>
      <c r="O785" s="12">
        <f>_xlfn.XLOOKUP(B785,[1]Sheet1!$B:$B,[1]Sheet1!$R:$R,0)</f>
        <v>0</v>
      </c>
      <c r="P785" s="12">
        <f>_xlfn.XLOOKUP(B785,[1]Sheet1!$B:$B,[1]Sheet1!$S:$S,0)</f>
        <v>0</v>
      </c>
      <c r="Q785" s="12">
        <f>_xlfn.XLOOKUP(B785,[1]Sheet1!$B:$B,[1]Sheet1!$T:$T,0)</f>
        <v>0</v>
      </c>
      <c r="R785" s="12">
        <f>_xlfn.XLOOKUP(B785,[1]Sheet1!$B:$B,[1]Sheet1!$U:$U,0)</f>
        <v>0</v>
      </c>
      <c r="S785" s="12">
        <f>_xlfn.XLOOKUP(B785,[1]Sheet1!$B:$B,[1]Sheet1!$V:$V,0)</f>
        <v>0</v>
      </c>
      <c r="T785" s="12">
        <f>_xlfn.XLOOKUP(B785,[1]Sheet1!$B:$B,[1]Sheet1!$W:$W,0)</f>
        <v>200000</v>
      </c>
      <c r="U785" s="12">
        <f>_xlfn.XLOOKUP(B785,[1]Sheet1!$B:$B,[1]Sheet1!$X:$X,0)</f>
        <v>249604</v>
      </c>
      <c r="V785" s="12">
        <f>_xlfn.XLOOKUP(B785,[1]Sheet1!$B:$B,[1]Sheet1!$Y:$Y,0)</f>
        <v>0</v>
      </c>
      <c r="W785" s="12">
        <f t="shared" si="27"/>
        <v>449604</v>
      </c>
      <c r="X785" s="8" t="s">
        <v>167</v>
      </c>
      <c r="Y785" s="8" t="s">
        <v>65</v>
      </c>
      <c r="Z785" s="8" t="s">
        <v>153</v>
      </c>
      <c r="AA785" s="8" t="s">
        <v>151</v>
      </c>
      <c r="AB785" s="8" t="s">
        <v>36</v>
      </c>
      <c r="AC785" s="8" t="s">
        <v>37</v>
      </c>
      <c r="AD785" s="8" t="s">
        <v>102</v>
      </c>
      <c r="AE785" s="8" t="s">
        <v>39</v>
      </c>
      <c r="AF785" s="8" t="s">
        <v>40</v>
      </c>
      <c r="AG785" s="9">
        <v>449604</v>
      </c>
      <c r="AH785" s="11">
        <f>_xlfn.XLOOKUP(B785,[1]Sheet1!$B:$B,[1]Sheet1!$AB:$AB,0)</f>
        <v>449604</v>
      </c>
    </row>
    <row r="786" spans="2:34" ht="16.8" thickTop="1" thickBot="1" x14ac:dyDescent="0.35">
      <c r="B786" s="3" t="str">
        <f t="shared" si="26"/>
        <v>45115504511000920Media Mgmnt &amp;Buy-N422511200104</v>
      </c>
      <c r="C786" s="6" t="s">
        <v>154</v>
      </c>
      <c r="D786" s="6" t="s">
        <v>1240</v>
      </c>
      <c r="E786" s="6" t="s">
        <v>1241</v>
      </c>
      <c r="F786" s="6" t="s">
        <v>166</v>
      </c>
      <c r="G786" s="4" t="s">
        <v>2819</v>
      </c>
      <c r="H786" s="4" t="s">
        <v>2922</v>
      </c>
      <c r="I786" s="6" t="s">
        <v>151</v>
      </c>
      <c r="J786" s="6" t="s">
        <v>31</v>
      </c>
      <c r="K786" s="12">
        <f>_xlfn.XLOOKUP(B786,[1]Sheet1!$B:$B,[1]Sheet1!$N:$N,0)</f>
        <v>0</v>
      </c>
      <c r="L786" s="12">
        <f>_xlfn.XLOOKUP(B786,[1]Sheet1!$B:$B,[1]Sheet1!$O:$O,0)</f>
        <v>0</v>
      </c>
      <c r="M786" s="12">
        <f>_xlfn.XLOOKUP(B786,[1]Sheet1!$B:$B,[1]Sheet1!$P:$P,0)</f>
        <v>0</v>
      </c>
      <c r="N786" s="12">
        <f>_xlfn.XLOOKUP(B786,[1]Sheet1!$B:$B,[1]Sheet1!$Q:$Q,0)</f>
        <v>50000</v>
      </c>
      <c r="O786" s="12">
        <f>_xlfn.XLOOKUP(B786,[1]Sheet1!$B:$B,[1]Sheet1!$R:$R,0)</f>
        <v>250000</v>
      </c>
      <c r="P786" s="12">
        <f>_xlfn.XLOOKUP(B786,[1]Sheet1!$B:$B,[1]Sheet1!$S:$S,0)</f>
        <v>250000</v>
      </c>
      <c r="Q786" s="12">
        <f>_xlfn.XLOOKUP(B786,[1]Sheet1!$B:$B,[1]Sheet1!$T:$T,0)</f>
        <v>0</v>
      </c>
      <c r="R786" s="12">
        <f>_xlfn.XLOOKUP(B786,[1]Sheet1!$B:$B,[1]Sheet1!$U:$U,0)</f>
        <v>0</v>
      </c>
      <c r="S786" s="12">
        <f>_xlfn.XLOOKUP(B786,[1]Sheet1!$B:$B,[1]Sheet1!$V:$V,0)</f>
        <v>0</v>
      </c>
      <c r="T786" s="12">
        <f>_xlfn.XLOOKUP(B786,[1]Sheet1!$B:$B,[1]Sheet1!$W:$W,0)</f>
        <v>72668</v>
      </c>
      <c r="U786" s="12">
        <f>_xlfn.XLOOKUP(B786,[1]Sheet1!$B:$B,[1]Sheet1!$X:$X,0)</f>
        <v>55890</v>
      </c>
      <c r="V786" s="12">
        <f>_xlfn.XLOOKUP(B786,[1]Sheet1!$B:$B,[1]Sheet1!$Y:$Y,0)</f>
        <v>0</v>
      </c>
      <c r="W786" s="12">
        <f t="shared" si="27"/>
        <v>678558</v>
      </c>
      <c r="X786" s="6" t="s">
        <v>710</v>
      </c>
      <c r="Y786" s="6" t="s">
        <v>65</v>
      </c>
      <c r="Z786" s="6" t="s">
        <v>153</v>
      </c>
      <c r="AA786" s="6" t="s">
        <v>151</v>
      </c>
      <c r="AB786" s="6" t="s">
        <v>36</v>
      </c>
      <c r="AC786" s="6" t="s">
        <v>37</v>
      </c>
      <c r="AD786" s="6" t="s">
        <v>708</v>
      </c>
      <c r="AE786" s="6" t="s">
        <v>39</v>
      </c>
      <c r="AF786" s="6" t="s">
        <v>40</v>
      </c>
      <c r="AG786" s="7">
        <v>678557.7</v>
      </c>
      <c r="AH786" s="11">
        <f>_xlfn.XLOOKUP(B786,[1]Sheet1!$B:$B,[1]Sheet1!$AB:$AB,0)</f>
        <v>678558</v>
      </c>
    </row>
    <row r="787" spans="2:34" ht="16.8" thickTop="1" thickBot="1" x14ac:dyDescent="0.35">
      <c r="B787" s="3" t="str">
        <f t="shared" si="26"/>
        <v>45155004511000926Co-Invest Events-N422401200104</v>
      </c>
      <c r="C787" s="8" t="s">
        <v>513</v>
      </c>
      <c r="D787" s="8" t="s">
        <v>1242</v>
      </c>
      <c r="E787" s="8" t="s">
        <v>1243</v>
      </c>
      <c r="F787" s="8" t="s">
        <v>523</v>
      </c>
      <c r="G787" s="4" t="s">
        <v>2807</v>
      </c>
      <c r="H787" s="4" t="s">
        <v>2922</v>
      </c>
      <c r="I787" s="8" t="s">
        <v>63</v>
      </c>
      <c r="J787" s="8" t="s">
        <v>31</v>
      </c>
      <c r="K787" s="12">
        <f>_xlfn.XLOOKUP(B787,[1]Sheet1!$B:$B,[1]Sheet1!$N:$N,0)</f>
        <v>0</v>
      </c>
      <c r="L787" s="12">
        <f>_xlfn.XLOOKUP(B787,[1]Sheet1!$B:$B,[1]Sheet1!$O:$O,0)</f>
        <v>0</v>
      </c>
      <c r="M787" s="12">
        <f>_xlfn.XLOOKUP(B787,[1]Sheet1!$B:$B,[1]Sheet1!$P:$P,0)</f>
        <v>0</v>
      </c>
      <c r="N787" s="12">
        <f>_xlfn.XLOOKUP(B787,[1]Sheet1!$B:$B,[1]Sheet1!$Q:$Q,0)</f>
        <v>9112500</v>
      </c>
      <c r="O787" s="12">
        <f>_xlfn.XLOOKUP(B787,[1]Sheet1!$B:$B,[1]Sheet1!$R:$R,0)</f>
        <v>6075000</v>
      </c>
      <c r="P787" s="12">
        <f>_xlfn.XLOOKUP(B787,[1]Sheet1!$B:$B,[1]Sheet1!$S:$S,0)</f>
        <v>3037500</v>
      </c>
      <c r="Q787" s="12">
        <f>_xlfn.XLOOKUP(B787,[1]Sheet1!$B:$B,[1]Sheet1!$T:$T,0)</f>
        <v>0</v>
      </c>
      <c r="R787" s="12">
        <f>_xlfn.XLOOKUP(B787,[1]Sheet1!$B:$B,[1]Sheet1!$U:$U,0)</f>
        <v>0</v>
      </c>
      <c r="S787" s="12">
        <f>_xlfn.XLOOKUP(B787,[1]Sheet1!$B:$B,[1]Sheet1!$V:$V,0)</f>
        <v>0</v>
      </c>
      <c r="T787" s="12">
        <f>_xlfn.XLOOKUP(B787,[1]Sheet1!$B:$B,[1]Sheet1!$W:$W,0)</f>
        <v>0</v>
      </c>
      <c r="U787" s="12">
        <f>_xlfn.XLOOKUP(B787,[1]Sheet1!$B:$B,[1]Sheet1!$X:$X,0)</f>
        <v>6075000</v>
      </c>
      <c r="V787" s="12">
        <f>_xlfn.XLOOKUP(B787,[1]Sheet1!$B:$B,[1]Sheet1!$Y:$Y,0)</f>
        <v>0</v>
      </c>
      <c r="W787" s="12">
        <f t="shared" si="27"/>
        <v>24300000</v>
      </c>
      <c r="X787" s="8" t="s">
        <v>524</v>
      </c>
      <c r="Y787" s="8" t="s">
        <v>211</v>
      </c>
      <c r="Z787" s="8" t="s">
        <v>512</v>
      </c>
      <c r="AA787" s="8" t="s">
        <v>68</v>
      </c>
      <c r="AB787" s="8" t="s">
        <v>36</v>
      </c>
      <c r="AC787" s="8" t="s">
        <v>37</v>
      </c>
      <c r="AD787" s="8" t="s">
        <v>342</v>
      </c>
      <c r="AE787" s="8" t="s">
        <v>39</v>
      </c>
      <c r="AF787" s="8" t="s">
        <v>40</v>
      </c>
      <c r="AG787" s="9">
        <v>16195975</v>
      </c>
      <c r="AH787" s="11">
        <f>_xlfn.XLOOKUP(B787,[1]Sheet1!$B:$B,[1]Sheet1!$AB:$AB,0)</f>
        <v>16195975</v>
      </c>
    </row>
    <row r="788" spans="2:34" ht="16.8" thickTop="1" thickBot="1" x14ac:dyDescent="0.35">
      <c r="B788" s="3" t="str">
        <f t="shared" si="26"/>
        <v>45155004511000927IP Events-N422401200104</v>
      </c>
      <c r="C788" s="6" t="s">
        <v>513</v>
      </c>
      <c r="D788" s="6" t="s">
        <v>1244</v>
      </c>
      <c r="E788" s="6" t="s">
        <v>1245</v>
      </c>
      <c r="F788" s="6" t="s">
        <v>943</v>
      </c>
      <c r="G788" s="4" t="s">
        <v>2807</v>
      </c>
      <c r="H788" s="4" t="s">
        <v>2922</v>
      </c>
      <c r="I788" s="6" t="s">
        <v>63</v>
      </c>
      <c r="J788" s="6" t="s">
        <v>31</v>
      </c>
      <c r="K788" s="12">
        <f>_xlfn.XLOOKUP(B788,[1]Sheet1!$B:$B,[1]Sheet1!$N:$N,0)</f>
        <v>0</v>
      </c>
      <c r="L788" s="12">
        <f>_xlfn.XLOOKUP(B788,[1]Sheet1!$B:$B,[1]Sheet1!$O:$O,0)</f>
        <v>0</v>
      </c>
      <c r="M788" s="12">
        <f>_xlfn.XLOOKUP(B788,[1]Sheet1!$B:$B,[1]Sheet1!$P:$P,0)</f>
        <v>0</v>
      </c>
      <c r="N788" s="12">
        <f>_xlfn.XLOOKUP(B788,[1]Sheet1!$B:$B,[1]Sheet1!$Q:$Q,0)</f>
        <v>5500000</v>
      </c>
      <c r="O788" s="12">
        <f>_xlfn.XLOOKUP(B788,[1]Sheet1!$B:$B,[1]Sheet1!$R:$R,0)</f>
        <v>0</v>
      </c>
      <c r="P788" s="12">
        <f>_xlfn.XLOOKUP(B788,[1]Sheet1!$B:$B,[1]Sheet1!$S:$S,0)</f>
        <v>3000000</v>
      </c>
      <c r="Q788" s="12">
        <f>_xlfn.XLOOKUP(B788,[1]Sheet1!$B:$B,[1]Sheet1!$T:$T,0)</f>
        <v>0</v>
      </c>
      <c r="R788" s="12">
        <f>_xlfn.XLOOKUP(B788,[1]Sheet1!$B:$B,[1]Sheet1!$U:$U,0)</f>
        <v>2500000</v>
      </c>
      <c r="S788" s="12">
        <f>_xlfn.XLOOKUP(B788,[1]Sheet1!$B:$B,[1]Sheet1!$V:$V,0)</f>
        <v>0</v>
      </c>
      <c r="T788" s="12">
        <f>_xlfn.XLOOKUP(B788,[1]Sheet1!$B:$B,[1]Sheet1!$W:$W,0)</f>
        <v>1000000</v>
      </c>
      <c r="U788" s="12">
        <f>_xlfn.XLOOKUP(B788,[1]Sheet1!$B:$B,[1]Sheet1!$X:$X,0)</f>
        <v>85000</v>
      </c>
      <c r="V788" s="12">
        <f>_xlfn.XLOOKUP(B788,[1]Sheet1!$B:$B,[1]Sheet1!$Y:$Y,0)</f>
        <v>0</v>
      </c>
      <c r="W788" s="12">
        <f t="shared" si="27"/>
        <v>12085000</v>
      </c>
      <c r="X788" s="6" t="s">
        <v>524</v>
      </c>
      <c r="Y788" s="6" t="s">
        <v>211</v>
      </c>
      <c r="Z788" s="6" t="s">
        <v>512</v>
      </c>
      <c r="AA788" s="6" t="s">
        <v>68</v>
      </c>
      <c r="AB788" s="6" t="s">
        <v>36</v>
      </c>
      <c r="AC788" s="6" t="s">
        <v>37</v>
      </c>
      <c r="AD788" s="6" t="s">
        <v>342</v>
      </c>
      <c r="AE788" s="6" t="s">
        <v>39</v>
      </c>
      <c r="AF788" s="6" t="s">
        <v>40</v>
      </c>
      <c r="AG788" s="7">
        <v>12085000</v>
      </c>
      <c r="AH788" s="11">
        <f>_xlfn.XLOOKUP(B788,[1]Sheet1!$B:$B,[1]Sheet1!$AB:$AB,0)</f>
        <v>12085000</v>
      </c>
    </row>
    <row r="789" spans="2:34" ht="16.8" thickTop="1" thickBot="1" x14ac:dyDescent="0.35">
      <c r="B789" s="3" t="str">
        <f t="shared" si="26"/>
        <v>45159004511000935Admin Expenses-N1421125200104</v>
      </c>
      <c r="C789" s="8" t="s">
        <v>827</v>
      </c>
      <c r="D789" s="8" t="s">
        <v>1246</v>
      </c>
      <c r="E789" s="8" t="s">
        <v>1247</v>
      </c>
      <c r="F789" s="8" t="s">
        <v>73</v>
      </c>
      <c r="G789" s="4" t="s">
        <v>2803</v>
      </c>
      <c r="H789" s="4" t="s">
        <v>2922</v>
      </c>
      <c r="I789" s="8" t="s">
        <v>44</v>
      </c>
      <c r="J789" s="8" t="s">
        <v>31</v>
      </c>
      <c r="K789" s="12">
        <f>_xlfn.XLOOKUP(B789,[1]Sheet1!$B:$B,[1]Sheet1!$N:$N,0)</f>
        <v>0</v>
      </c>
      <c r="L789" s="12">
        <f>_xlfn.XLOOKUP(B789,[1]Sheet1!$B:$B,[1]Sheet1!$O:$O,0)</f>
        <v>0</v>
      </c>
      <c r="M789" s="12">
        <f>_xlfn.XLOOKUP(B789,[1]Sheet1!$B:$B,[1]Sheet1!$P:$P,0)</f>
        <v>0</v>
      </c>
      <c r="N789" s="12">
        <f>_xlfn.XLOOKUP(B789,[1]Sheet1!$B:$B,[1]Sheet1!$Q:$Q,0)</f>
        <v>5500</v>
      </c>
      <c r="O789" s="12">
        <f>_xlfn.XLOOKUP(B789,[1]Sheet1!$B:$B,[1]Sheet1!$R:$R,0)</f>
        <v>0</v>
      </c>
      <c r="P789" s="12">
        <f>_xlfn.XLOOKUP(B789,[1]Sheet1!$B:$B,[1]Sheet1!$S:$S,0)</f>
        <v>0</v>
      </c>
      <c r="Q789" s="12">
        <f>_xlfn.XLOOKUP(B789,[1]Sheet1!$B:$B,[1]Sheet1!$T:$T,0)</f>
        <v>0</v>
      </c>
      <c r="R789" s="12">
        <f>_xlfn.XLOOKUP(B789,[1]Sheet1!$B:$B,[1]Sheet1!$U:$U,0)</f>
        <v>0</v>
      </c>
      <c r="S789" s="12">
        <f>_xlfn.XLOOKUP(B789,[1]Sheet1!$B:$B,[1]Sheet1!$V:$V,0)</f>
        <v>0</v>
      </c>
      <c r="T789" s="12">
        <f>_xlfn.XLOOKUP(B789,[1]Sheet1!$B:$B,[1]Sheet1!$W:$W,0)</f>
        <v>0</v>
      </c>
      <c r="U789" s="12">
        <f>_xlfn.XLOOKUP(B789,[1]Sheet1!$B:$B,[1]Sheet1!$X:$X,0)</f>
        <v>0</v>
      </c>
      <c r="V789" s="12">
        <f>_xlfn.XLOOKUP(B789,[1]Sheet1!$B:$B,[1]Sheet1!$Y:$Y,0)</f>
        <v>0</v>
      </c>
      <c r="W789" s="12">
        <f t="shared" si="27"/>
        <v>5500</v>
      </c>
      <c r="X789" s="8" t="s">
        <v>1248</v>
      </c>
      <c r="Y789" s="8" t="s">
        <v>211</v>
      </c>
      <c r="Z789" s="8" t="s">
        <v>826</v>
      </c>
      <c r="AA789" s="8" t="s">
        <v>44</v>
      </c>
      <c r="AB789" s="8" t="s">
        <v>36</v>
      </c>
      <c r="AC789" s="8" t="s">
        <v>37</v>
      </c>
      <c r="AD789" s="8" t="s">
        <v>214</v>
      </c>
      <c r="AE789" s="8" t="s">
        <v>39</v>
      </c>
      <c r="AF789" s="8" t="s">
        <v>40</v>
      </c>
      <c r="AG789" s="9">
        <v>5500</v>
      </c>
      <c r="AH789" s="11">
        <f>_xlfn.XLOOKUP(B789,[1]Sheet1!$B:$B,[1]Sheet1!$AB:$AB,0)</f>
        <v>5500</v>
      </c>
    </row>
    <row r="790" spans="2:34" ht="16.8" thickTop="1" thickBot="1" x14ac:dyDescent="0.35">
      <c r="B790" s="3" t="str">
        <f t="shared" si="26"/>
        <v>45159004511000935Mission &amp; Travel-N1423821200104</v>
      </c>
      <c r="C790" s="6" t="s">
        <v>827</v>
      </c>
      <c r="D790" s="6" t="s">
        <v>1246</v>
      </c>
      <c r="E790" s="6" t="s">
        <v>1247</v>
      </c>
      <c r="F790" s="6" t="s">
        <v>472</v>
      </c>
      <c r="G790" s="4" t="s">
        <v>2805</v>
      </c>
      <c r="H790" s="4" t="s">
        <v>2922</v>
      </c>
      <c r="I790" s="6" t="s">
        <v>55</v>
      </c>
      <c r="J790" s="6" t="s">
        <v>31</v>
      </c>
      <c r="K790" s="12">
        <f>_xlfn.XLOOKUP(B790,[1]Sheet1!$B:$B,[1]Sheet1!$N:$N,0)</f>
        <v>0</v>
      </c>
      <c r="L790" s="12">
        <f>_xlfn.XLOOKUP(B790,[1]Sheet1!$B:$B,[1]Sheet1!$O:$O,0)</f>
        <v>0</v>
      </c>
      <c r="M790" s="12">
        <f>_xlfn.XLOOKUP(B790,[1]Sheet1!$B:$B,[1]Sheet1!$P:$P,0)</f>
        <v>0</v>
      </c>
      <c r="N790" s="12">
        <f>_xlfn.XLOOKUP(B790,[1]Sheet1!$B:$B,[1]Sheet1!$Q:$Q,0)</f>
        <v>0</v>
      </c>
      <c r="O790" s="12">
        <f>_xlfn.XLOOKUP(B790,[1]Sheet1!$B:$B,[1]Sheet1!$R:$R,0)</f>
        <v>0</v>
      </c>
      <c r="P790" s="12">
        <f>_xlfn.XLOOKUP(B790,[1]Sheet1!$B:$B,[1]Sheet1!$S:$S,0)</f>
        <v>0</v>
      </c>
      <c r="Q790" s="12">
        <f>_xlfn.XLOOKUP(B790,[1]Sheet1!$B:$B,[1]Sheet1!$T:$T,0)</f>
        <v>0</v>
      </c>
      <c r="R790" s="12">
        <f>_xlfn.XLOOKUP(B790,[1]Sheet1!$B:$B,[1]Sheet1!$U:$U,0)</f>
        <v>51167</v>
      </c>
      <c r="S790" s="12">
        <f>_xlfn.XLOOKUP(B790,[1]Sheet1!$B:$B,[1]Sheet1!$V:$V,0)</f>
        <v>132600</v>
      </c>
      <c r="T790" s="12">
        <f>_xlfn.XLOOKUP(B790,[1]Sheet1!$B:$B,[1]Sheet1!$W:$W,0)</f>
        <v>75250</v>
      </c>
      <c r="U790" s="12">
        <f>_xlfn.XLOOKUP(B790,[1]Sheet1!$B:$B,[1]Sheet1!$X:$X,0)</f>
        <v>0</v>
      </c>
      <c r="V790" s="12">
        <f>_xlfn.XLOOKUP(B790,[1]Sheet1!$B:$B,[1]Sheet1!$Y:$Y,0)</f>
        <v>0</v>
      </c>
      <c r="W790" s="12">
        <f t="shared" si="27"/>
        <v>259017</v>
      </c>
      <c r="X790" s="6" t="s">
        <v>828</v>
      </c>
      <c r="Y790" s="6" t="s">
        <v>211</v>
      </c>
      <c r="Z790" s="6" t="s">
        <v>826</v>
      </c>
      <c r="AA790" s="6" t="s">
        <v>55</v>
      </c>
      <c r="AB790" s="6" t="s">
        <v>36</v>
      </c>
      <c r="AC790" s="6" t="s">
        <v>37</v>
      </c>
      <c r="AD790" s="6" t="s">
        <v>214</v>
      </c>
      <c r="AE790" s="6" t="s">
        <v>39</v>
      </c>
      <c r="AF790" s="6" t="s">
        <v>40</v>
      </c>
      <c r="AG790" s="7">
        <v>259017</v>
      </c>
      <c r="AH790" s="11">
        <f>_xlfn.XLOOKUP(B790,[1]Sheet1!$B:$B,[1]Sheet1!$AB:$AB,0)</f>
        <v>259017</v>
      </c>
    </row>
    <row r="791" spans="2:34" ht="16.8" thickTop="1" thickBot="1" x14ac:dyDescent="0.35">
      <c r="B791" s="3" t="str">
        <f t="shared" si="26"/>
        <v>45159004511000935Trade Partners-N1424251200104</v>
      </c>
      <c r="C791" s="8" t="s">
        <v>827</v>
      </c>
      <c r="D791" s="8" t="s">
        <v>1246</v>
      </c>
      <c r="E791" s="8" t="s">
        <v>1247</v>
      </c>
      <c r="F791" s="8" t="s">
        <v>1249</v>
      </c>
      <c r="G791" s="4" t="s">
        <v>2852</v>
      </c>
      <c r="H791" s="4" t="s">
        <v>2922</v>
      </c>
      <c r="I791" s="8" t="s">
        <v>569</v>
      </c>
      <c r="J791" s="8" t="s">
        <v>31</v>
      </c>
      <c r="K791" s="12">
        <f>_xlfn.XLOOKUP(B791,[1]Sheet1!$B:$B,[1]Sheet1!$N:$N,0)</f>
        <v>0</v>
      </c>
      <c r="L791" s="12">
        <f>_xlfn.XLOOKUP(B791,[1]Sheet1!$B:$B,[1]Sheet1!$O:$O,0)</f>
        <v>0</v>
      </c>
      <c r="M791" s="12">
        <f>_xlfn.XLOOKUP(B791,[1]Sheet1!$B:$B,[1]Sheet1!$P:$P,0)</f>
        <v>0</v>
      </c>
      <c r="N791" s="12">
        <f>_xlfn.XLOOKUP(B791,[1]Sheet1!$B:$B,[1]Sheet1!$Q:$Q,0)</f>
        <v>0</v>
      </c>
      <c r="O791" s="12">
        <f>_xlfn.XLOOKUP(B791,[1]Sheet1!$B:$B,[1]Sheet1!$R:$R,0)</f>
        <v>0</v>
      </c>
      <c r="P791" s="12">
        <f>_xlfn.XLOOKUP(B791,[1]Sheet1!$B:$B,[1]Sheet1!$S:$S,0)</f>
        <v>57250</v>
      </c>
      <c r="Q791" s="12">
        <f>_xlfn.XLOOKUP(B791,[1]Sheet1!$B:$B,[1]Sheet1!$T:$T,0)</f>
        <v>0</v>
      </c>
      <c r="R791" s="12">
        <f>_xlfn.XLOOKUP(B791,[1]Sheet1!$B:$B,[1]Sheet1!$U:$U,0)</f>
        <v>0</v>
      </c>
      <c r="S791" s="12">
        <f>_xlfn.XLOOKUP(B791,[1]Sheet1!$B:$B,[1]Sheet1!$V:$V,0)</f>
        <v>0</v>
      </c>
      <c r="T791" s="12">
        <f>_xlfn.XLOOKUP(B791,[1]Sheet1!$B:$B,[1]Sheet1!$W:$W,0)</f>
        <v>0</v>
      </c>
      <c r="U791" s="12">
        <f>_xlfn.XLOOKUP(B791,[1]Sheet1!$B:$B,[1]Sheet1!$X:$X,0)</f>
        <v>0</v>
      </c>
      <c r="V791" s="12">
        <f>_xlfn.XLOOKUP(B791,[1]Sheet1!$B:$B,[1]Sheet1!$Y:$Y,0)</f>
        <v>0</v>
      </c>
      <c r="W791" s="12">
        <f t="shared" si="27"/>
        <v>57250</v>
      </c>
      <c r="X791" s="8" t="s">
        <v>830</v>
      </c>
      <c r="Y791" s="8" t="s">
        <v>211</v>
      </c>
      <c r="Z791" s="8" t="s">
        <v>826</v>
      </c>
      <c r="AA791" s="8" t="s">
        <v>569</v>
      </c>
      <c r="AB791" s="8" t="s">
        <v>36</v>
      </c>
      <c r="AC791" s="8" t="s">
        <v>37</v>
      </c>
      <c r="AD791" s="8" t="s">
        <v>214</v>
      </c>
      <c r="AE791" s="8" t="s">
        <v>39</v>
      </c>
      <c r="AF791" s="8" t="s">
        <v>40</v>
      </c>
      <c r="AG791" s="9">
        <v>57250</v>
      </c>
      <c r="AH791" s="11">
        <f>_xlfn.XLOOKUP(B791,[1]Sheet1!$B:$B,[1]Sheet1!$AB:$AB,0)</f>
        <v>57250</v>
      </c>
    </row>
    <row r="792" spans="2:34" ht="16.8" thickTop="1" thickBot="1" x14ac:dyDescent="0.35">
      <c r="B792" s="3" t="str">
        <f t="shared" si="26"/>
        <v>45159004511000935Trade Promotion-N1424251200104</v>
      </c>
      <c r="C792" s="6" t="s">
        <v>827</v>
      </c>
      <c r="D792" s="6" t="s">
        <v>1246</v>
      </c>
      <c r="E792" s="6" t="s">
        <v>1247</v>
      </c>
      <c r="F792" s="6" t="s">
        <v>829</v>
      </c>
      <c r="G792" s="4" t="s">
        <v>2852</v>
      </c>
      <c r="H792" s="4" t="s">
        <v>2922</v>
      </c>
      <c r="I792" s="6" t="s">
        <v>569</v>
      </c>
      <c r="J792" s="6" t="s">
        <v>31</v>
      </c>
      <c r="K792" s="12">
        <f>_xlfn.XLOOKUP(B792,[1]Sheet1!$B:$B,[1]Sheet1!$N:$N,0)</f>
        <v>0</v>
      </c>
      <c r="L792" s="12">
        <f>_xlfn.XLOOKUP(B792,[1]Sheet1!$B:$B,[1]Sheet1!$O:$O,0)</f>
        <v>0</v>
      </c>
      <c r="M792" s="12">
        <f>_xlfn.XLOOKUP(B792,[1]Sheet1!$B:$B,[1]Sheet1!$P:$P,0)</f>
        <v>0</v>
      </c>
      <c r="N792" s="12">
        <f>_xlfn.XLOOKUP(B792,[1]Sheet1!$B:$B,[1]Sheet1!$Q:$Q,0)</f>
        <v>0</v>
      </c>
      <c r="O792" s="12">
        <f>_xlfn.XLOOKUP(B792,[1]Sheet1!$B:$B,[1]Sheet1!$R:$R,0)</f>
        <v>0</v>
      </c>
      <c r="P792" s="12">
        <f>_xlfn.XLOOKUP(B792,[1]Sheet1!$B:$B,[1]Sheet1!$S:$S,0)</f>
        <v>260000</v>
      </c>
      <c r="Q792" s="12">
        <f>_xlfn.XLOOKUP(B792,[1]Sheet1!$B:$B,[1]Sheet1!$T:$T,0)</f>
        <v>50000</v>
      </c>
      <c r="R792" s="12">
        <f>_xlfn.XLOOKUP(B792,[1]Sheet1!$B:$B,[1]Sheet1!$U:$U,0)</f>
        <v>0</v>
      </c>
      <c r="S792" s="12">
        <f>_xlfn.XLOOKUP(B792,[1]Sheet1!$B:$B,[1]Sheet1!$V:$V,0)</f>
        <v>24000</v>
      </c>
      <c r="T792" s="12">
        <f>_xlfn.XLOOKUP(B792,[1]Sheet1!$B:$B,[1]Sheet1!$W:$W,0)</f>
        <v>20000</v>
      </c>
      <c r="U792" s="12">
        <f>_xlfn.XLOOKUP(B792,[1]Sheet1!$B:$B,[1]Sheet1!$X:$X,0)</f>
        <v>0</v>
      </c>
      <c r="V792" s="12">
        <f>_xlfn.XLOOKUP(B792,[1]Sheet1!$B:$B,[1]Sheet1!$Y:$Y,0)</f>
        <v>130000</v>
      </c>
      <c r="W792" s="12">
        <f t="shared" si="27"/>
        <v>484000</v>
      </c>
      <c r="X792" s="6" t="s">
        <v>830</v>
      </c>
      <c r="Y792" s="6" t="s">
        <v>211</v>
      </c>
      <c r="Z792" s="6" t="s">
        <v>826</v>
      </c>
      <c r="AA792" s="6" t="s">
        <v>569</v>
      </c>
      <c r="AB792" s="6" t="s">
        <v>36</v>
      </c>
      <c r="AC792" s="6" t="s">
        <v>37</v>
      </c>
      <c r="AD792" s="6" t="s">
        <v>214</v>
      </c>
      <c r="AE792" s="6" t="s">
        <v>39</v>
      </c>
      <c r="AF792" s="6" t="s">
        <v>40</v>
      </c>
      <c r="AG792" s="7">
        <v>484000</v>
      </c>
      <c r="AH792" s="11">
        <f>_xlfn.XLOOKUP(B792,[1]Sheet1!$B:$B,[1]Sheet1!$AB:$AB,0)</f>
        <v>484000</v>
      </c>
    </row>
    <row r="793" spans="2:34" ht="16.8" thickTop="1" thickBot="1" x14ac:dyDescent="0.35">
      <c r="B793" s="3" t="str">
        <f t="shared" si="26"/>
        <v>45159004511000942Event Management-N1422401200104</v>
      </c>
      <c r="C793" s="8" t="s">
        <v>827</v>
      </c>
      <c r="D793" s="8" t="s">
        <v>1250</v>
      </c>
      <c r="E793" s="8" t="s">
        <v>1251</v>
      </c>
      <c r="F793" s="8" t="s">
        <v>122</v>
      </c>
      <c r="G793" s="4" t="s">
        <v>2807</v>
      </c>
      <c r="H793" s="4" t="s">
        <v>2922</v>
      </c>
      <c r="I793" s="8" t="s">
        <v>63</v>
      </c>
      <c r="J793" s="8" t="s">
        <v>31</v>
      </c>
      <c r="K793" s="12">
        <f>_xlfn.XLOOKUP(B793,[1]Sheet1!$B:$B,[1]Sheet1!$N:$N,0)</f>
        <v>0</v>
      </c>
      <c r="L793" s="12">
        <f>_xlfn.XLOOKUP(B793,[1]Sheet1!$B:$B,[1]Sheet1!$O:$O,0)</f>
        <v>0</v>
      </c>
      <c r="M793" s="12">
        <f>_xlfn.XLOOKUP(B793,[1]Sheet1!$B:$B,[1]Sheet1!$P:$P,0)</f>
        <v>0</v>
      </c>
      <c r="N793" s="12">
        <f>_xlfn.XLOOKUP(B793,[1]Sheet1!$B:$B,[1]Sheet1!$Q:$Q,0)</f>
        <v>0</v>
      </c>
      <c r="O793" s="12">
        <f>_xlfn.XLOOKUP(B793,[1]Sheet1!$B:$B,[1]Sheet1!$R:$R,0)</f>
        <v>0</v>
      </c>
      <c r="P793" s="12">
        <f>_xlfn.XLOOKUP(B793,[1]Sheet1!$B:$B,[1]Sheet1!$S:$S,0)</f>
        <v>0</v>
      </c>
      <c r="Q793" s="12">
        <f>_xlfn.XLOOKUP(B793,[1]Sheet1!$B:$B,[1]Sheet1!$T:$T,0)</f>
        <v>1160000</v>
      </c>
      <c r="R793" s="12">
        <f>_xlfn.XLOOKUP(B793,[1]Sheet1!$B:$B,[1]Sheet1!$U:$U,0)</f>
        <v>0</v>
      </c>
      <c r="S793" s="12">
        <f>_xlfn.XLOOKUP(B793,[1]Sheet1!$B:$B,[1]Sheet1!$V:$V,0)</f>
        <v>0</v>
      </c>
      <c r="T793" s="12">
        <f>_xlfn.XLOOKUP(B793,[1]Sheet1!$B:$B,[1]Sheet1!$W:$W,0)</f>
        <v>0</v>
      </c>
      <c r="U793" s="12">
        <f>_xlfn.XLOOKUP(B793,[1]Sheet1!$B:$B,[1]Sheet1!$X:$X,0)</f>
        <v>1160000</v>
      </c>
      <c r="V793" s="12">
        <f>_xlfn.XLOOKUP(B793,[1]Sheet1!$B:$B,[1]Sheet1!$Y:$Y,0)</f>
        <v>580000</v>
      </c>
      <c r="W793" s="12">
        <f t="shared" si="27"/>
        <v>2900000</v>
      </c>
      <c r="X793" s="8" t="s">
        <v>1252</v>
      </c>
      <c r="Y793" s="8" t="s">
        <v>211</v>
      </c>
      <c r="Z793" s="8" t="s">
        <v>826</v>
      </c>
      <c r="AA793" s="8" t="s">
        <v>68</v>
      </c>
      <c r="AB793" s="8" t="s">
        <v>36</v>
      </c>
      <c r="AC793" s="8" t="s">
        <v>37</v>
      </c>
      <c r="AD793" s="8" t="s">
        <v>214</v>
      </c>
      <c r="AE793" s="8" t="s">
        <v>39</v>
      </c>
      <c r="AF793" s="8" t="s">
        <v>40</v>
      </c>
      <c r="AG793" s="9">
        <v>2900000</v>
      </c>
      <c r="AH793" s="11">
        <f>_xlfn.XLOOKUP(B793,[1]Sheet1!$B:$B,[1]Sheet1!$AB:$AB,0)</f>
        <v>2900000</v>
      </c>
    </row>
    <row r="794" spans="2:34" ht="16.8" thickTop="1" thickBot="1" x14ac:dyDescent="0.35">
      <c r="B794" s="3" t="str">
        <f t="shared" si="26"/>
        <v>45159004511000942GSA Retainer-N1421125200104</v>
      </c>
      <c r="C794" s="6" t="s">
        <v>827</v>
      </c>
      <c r="D794" s="6" t="s">
        <v>1250</v>
      </c>
      <c r="E794" s="6" t="s">
        <v>1251</v>
      </c>
      <c r="F794" s="6" t="s">
        <v>1253</v>
      </c>
      <c r="G794" s="4" t="s">
        <v>2803</v>
      </c>
      <c r="H794" s="4" t="s">
        <v>2922</v>
      </c>
      <c r="I794" s="6" t="s">
        <v>44</v>
      </c>
      <c r="J794" s="6" t="s">
        <v>31</v>
      </c>
      <c r="K794" s="12">
        <f>_xlfn.XLOOKUP(B794,[1]Sheet1!$B:$B,[1]Sheet1!$N:$N,0)</f>
        <v>0</v>
      </c>
      <c r="L794" s="12">
        <f>_xlfn.XLOOKUP(B794,[1]Sheet1!$B:$B,[1]Sheet1!$O:$O,0)</f>
        <v>0</v>
      </c>
      <c r="M794" s="12">
        <f>_xlfn.XLOOKUP(B794,[1]Sheet1!$B:$B,[1]Sheet1!$P:$P,0)</f>
        <v>0</v>
      </c>
      <c r="N794" s="12">
        <f>_xlfn.XLOOKUP(B794,[1]Sheet1!$B:$B,[1]Sheet1!$Q:$Q,0)</f>
        <v>91178.993749999994</v>
      </c>
      <c r="O794" s="12">
        <f>_xlfn.XLOOKUP(B794,[1]Sheet1!$B:$B,[1]Sheet1!$R:$R,0)</f>
        <v>29655.4375</v>
      </c>
      <c r="P794" s="12">
        <f>_xlfn.XLOOKUP(B794,[1]Sheet1!$B:$B,[1]Sheet1!$S:$S,0)</f>
        <v>29655.4375</v>
      </c>
      <c r="Q794" s="12">
        <f>_xlfn.XLOOKUP(B794,[1]Sheet1!$B:$B,[1]Sheet1!$T:$T,0)</f>
        <v>29655.4375</v>
      </c>
      <c r="R794" s="12">
        <f>_xlfn.XLOOKUP(B794,[1]Sheet1!$B:$B,[1]Sheet1!$U:$U,0)</f>
        <v>29655.4375</v>
      </c>
      <c r="S794" s="12">
        <f>_xlfn.XLOOKUP(B794,[1]Sheet1!$B:$B,[1]Sheet1!$V:$V,0)</f>
        <v>29655.4375</v>
      </c>
      <c r="T794" s="12">
        <f>_xlfn.XLOOKUP(B794,[1]Sheet1!$B:$B,[1]Sheet1!$W:$W,0)</f>
        <v>29655.4375</v>
      </c>
      <c r="U794" s="12">
        <f>_xlfn.XLOOKUP(B794,[1]Sheet1!$B:$B,[1]Sheet1!$X:$X,0)</f>
        <v>29655.4375</v>
      </c>
      <c r="V794" s="12">
        <f>_xlfn.XLOOKUP(B794,[1]Sheet1!$B:$B,[1]Sheet1!$Y:$Y,0)</f>
        <v>29655.4375</v>
      </c>
      <c r="W794" s="12">
        <f t="shared" si="27"/>
        <v>328422.49375000002</v>
      </c>
      <c r="X794" s="6" t="s">
        <v>1248</v>
      </c>
      <c r="Y794" s="6" t="s">
        <v>211</v>
      </c>
      <c r="Z794" s="6" t="s">
        <v>826</v>
      </c>
      <c r="AA794" s="6" t="s">
        <v>44</v>
      </c>
      <c r="AB794" s="6" t="s">
        <v>36</v>
      </c>
      <c r="AC794" s="6" t="s">
        <v>37</v>
      </c>
      <c r="AD794" s="6" t="s">
        <v>214</v>
      </c>
      <c r="AE794" s="6" t="s">
        <v>39</v>
      </c>
      <c r="AF794" s="6" t="s">
        <v>40</v>
      </c>
      <c r="AG794" s="7">
        <v>304422</v>
      </c>
      <c r="AH794" s="11">
        <f>_xlfn.XLOOKUP(B794,[1]Sheet1!$B:$B,[1]Sheet1!$AB:$AB,0)</f>
        <v>304422.49375000002</v>
      </c>
    </row>
    <row r="795" spans="2:34" ht="16.8" thickTop="1" thickBot="1" x14ac:dyDescent="0.35">
      <c r="B795" s="3" t="str">
        <f t="shared" si="26"/>
        <v>45159004511000942MICE-M&amp;I-N1461412200104</v>
      </c>
      <c r="C795" s="8" t="s">
        <v>827</v>
      </c>
      <c r="D795" s="8" t="s">
        <v>1250</v>
      </c>
      <c r="E795" s="8" t="s">
        <v>1251</v>
      </c>
      <c r="F795" s="8" t="s">
        <v>1254</v>
      </c>
      <c r="G795" s="4" t="s">
        <v>2868</v>
      </c>
      <c r="H795" s="4" t="s">
        <v>2922</v>
      </c>
      <c r="I795" s="8" t="s">
        <v>1255</v>
      </c>
      <c r="J795" s="8" t="s">
        <v>31</v>
      </c>
      <c r="K795" s="12">
        <f>_xlfn.XLOOKUP(B795,[1]Sheet1!$B:$B,[1]Sheet1!$N:$N,0)</f>
        <v>0</v>
      </c>
      <c r="L795" s="12">
        <f>_xlfn.XLOOKUP(B795,[1]Sheet1!$B:$B,[1]Sheet1!$O:$O,0)</f>
        <v>0</v>
      </c>
      <c r="M795" s="12">
        <f>_xlfn.XLOOKUP(B795,[1]Sheet1!$B:$B,[1]Sheet1!$P:$P,0)</f>
        <v>0</v>
      </c>
      <c r="N795" s="12">
        <f>_xlfn.XLOOKUP(B795,[1]Sheet1!$B:$B,[1]Sheet1!$Q:$Q,0)</f>
        <v>2216039</v>
      </c>
      <c r="O795" s="12">
        <f>_xlfn.XLOOKUP(B795,[1]Sheet1!$B:$B,[1]Sheet1!$R:$R,0)</f>
        <v>400000</v>
      </c>
      <c r="P795" s="12">
        <f>_xlfn.XLOOKUP(B795,[1]Sheet1!$B:$B,[1]Sheet1!$S:$S,0)</f>
        <v>500000</v>
      </c>
      <c r="Q795" s="12">
        <f>_xlfn.XLOOKUP(B795,[1]Sheet1!$B:$B,[1]Sheet1!$T:$T,0)</f>
        <v>383961</v>
      </c>
      <c r="R795" s="12">
        <f>_xlfn.XLOOKUP(B795,[1]Sheet1!$B:$B,[1]Sheet1!$U:$U,0)</f>
        <v>0</v>
      </c>
      <c r="S795" s="12">
        <f>_xlfn.XLOOKUP(B795,[1]Sheet1!$B:$B,[1]Sheet1!$V:$V,0)</f>
        <v>0</v>
      </c>
      <c r="T795" s="12">
        <f>_xlfn.XLOOKUP(B795,[1]Sheet1!$B:$B,[1]Sheet1!$W:$W,0)</f>
        <v>0</v>
      </c>
      <c r="U795" s="12">
        <f>_xlfn.XLOOKUP(B795,[1]Sheet1!$B:$B,[1]Sheet1!$X:$X,0)</f>
        <v>0</v>
      </c>
      <c r="V795" s="12">
        <f>_xlfn.XLOOKUP(B795,[1]Sheet1!$B:$B,[1]Sheet1!$Y:$Y,0)</f>
        <v>500000</v>
      </c>
      <c r="W795" s="12">
        <f t="shared" si="27"/>
        <v>4000000</v>
      </c>
      <c r="X795" s="8" t="s">
        <v>1256</v>
      </c>
      <c r="Y795" s="8" t="s">
        <v>211</v>
      </c>
      <c r="Z795" s="8" t="s">
        <v>826</v>
      </c>
      <c r="AA795" s="8" t="s">
        <v>1255</v>
      </c>
      <c r="AB795" s="8" t="s">
        <v>36</v>
      </c>
      <c r="AC795" s="8" t="s">
        <v>37</v>
      </c>
      <c r="AD795" s="8" t="s">
        <v>214</v>
      </c>
      <c r="AE795" s="8" t="s">
        <v>39</v>
      </c>
      <c r="AF795" s="8" t="s">
        <v>40</v>
      </c>
      <c r="AG795" s="9">
        <v>3497737</v>
      </c>
      <c r="AH795" s="11">
        <f>_xlfn.XLOOKUP(B795,[1]Sheet1!$B:$B,[1]Sheet1!$AB:$AB,0)</f>
        <v>3497737</v>
      </c>
    </row>
    <row r="796" spans="2:34" ht="16.8" thickTop="1" thickBot="1" x14ac:dyDescent="0.35">
      <c r="B796" s="3" t="str">
        <f t="shared" si="26"/>
        <v>45159004511000942Mission &amp; Travel-N423821200104</v>
      </c>
      <c r="C796" s="6" t="s">
        <v>827</v>
      </c>
      <c r="D796" s="6" t="s">
        <v>1250</v>
      </c>
      <c r="E796" s="6" t="s">
        <v>1251</v>
      </c>
      <c r="F796" s="6" t="s">
        <v>54</v>
      </c>
      <c r="G796" s="4" t="s">
        <v>2805</v>
      </c>
      <c r="H796" s="4" t="s">
        <v>2922</v>
      </c>
      <c r="I796" s="6" t="s">
        <v>55</v>
      </c>
      <c r="J796" s="6" t="s">
        <v>31</v>
      </c>
      <c r="K796" s="12">
        <f>_xlfn.XLOOKUP(B796,[1]Sheet1!$B:$B,[1]Sheet1!$N:$N,0)</f>
        <v>0</v>
      </c>
      <c r="L796" s="12">
        <f>_xlfn.XLOOKUP(B796,[1]Sheet1!$B:$B,[1]Sheet1!$O:$O,0)</f>
        <v>0</v>
      </c>
      <c r="M796" s="12">
        <f>_xlfn.XLOOKUP(B796,[1]Sheet1!$B:$B,[1]Sheet1!$P:$P,0)</f>
        <v>0</v>
      </c>
      <c r="N796" s="12">
        <f>_xlfn.XLOOKUP(B796,[1]Sheet1!$B:$B,[1]Sheet1!$Q:$Q,0)</f>
        <v>0</v>
      </c>
      <c r="O796" s="12">
        <f>_xlfn.XLOOKUP(B796,[1]Sheet1!$B:$B,[1]Sheet1!$R:$R,0)</f>
        <v>0</v>
      </c>
      <c r="P796" s="12">
        <f>_xlfn.XLOOKUP(B796,[1]Sheet1!$B:$B,[1]Sheet1!$S:$S,0)</f>
        <v>18000</v>
      </c>
      <c r="Q796" s="12">
        <f>_xlfn.XLOOKUP(B796,[1]Sheet1!$B:$B,[1]Sheet1!$T:$T,0)</f>
        <v>18000</v>
      </c>
      <c r="R796" s="12">
        <f>_xlfn.XLOOKUP(B796,[1]Sheet1!$B:$B,[1]Sheet1!$U:$U,0)</f>
        <v>44578</v>
      </c>
      <c r="S796" s="12">
        <f>_xlfn.XLOOKUP(B796,[1]Sheet1!$B:$B,[1]Sheet1!$V:$V,0)</f>
        <v>0</v>
      </c>
      <c r="T796" s="12">
        <f>_xlfn.XLOOKUP(B796,[1]Sheet1!$B:$B,[1]Sheet1!$W:$W,0)</f>
        <v>23000</v>
      </c>
      <c r="U796" s="12">
        <f>_xlfn.XLOOKUP(B796,[1]Sheet1!$B:$B,[1]Sheet1!$X:$X,0)</f>
        <v>0</v>
      </c>
      <c r="V796" s="12">
        <f>_xlfn.XLOOKUP(B796,[1]Sheet1!$B:$B,[1]Sheet1!$Y:$Y,0)</f>
        <v>18000</v>
      </c>
      <c r="W796" s="12">
        <f t="shared" si="27"/>
        <v>121578</v>
      </c>
      <c r="X796" s="6" t="s">
        <v>828</v>
      </c>
      <c r="Y796" s="6" t="s">
        <v>211</v>
      </c>
      <c r="Z796" s="6" t="s">
        <v>826</v>
      </c>
      <c r="AA796" s="6" t="s">
        <v>55</v>
      </c>
      <c r="AB796" s="6" t="s">
        <v>36</v>
      </c>
      <c r="AC796" s="6" t="s">
        <v>37</v>
      </c>
      <c r="AD796" s="6" t="s">
        <v>214</v>
      </c>
      <c r="AE796" s="6" t="s">
        <v>39</v>
      </c>
      <c r="AF796" s="6" t="s">
        <v>40</v>
      </c>
      <c r="AG796" s="7">
        <v>71578</v>
      </c>
      <c r="AH796" s="11">
        <f>_xlfn.XLOOKUP(B796,[1]Sheet1!$B:$B,[1]Sheet1!$AB:$AB,0)</f>
        <v>71578</v>
      </c>
    </row>
    <row r="797" spans="2:34" ht="16.8" thickTop="1" thickBot="1" x14ac:dyDescent="0.35">
      <c r="B797" s="3" t="str">
        <f t="shared" si="26"/>
        <v>45159004511000942PR&amp;MediaCoverage-N1424781200104</v>
      </c>
      <c r="C797" s="8" t="s">
        <v>827</v>
      </c>
      <c r="D797" s="8" t="s">
        <v>1250</v>
      </c>
      <c r="E797" s="8" t="s">
        <v>1251</v>
      </c>
      <c r="F797" s="8" t="s">
        <v>906</v>
      </c>
      <c r="G797" s="4" t="s">
        <v>2815</v>
      </c>
      <c r="H797" s="4" t="s">
        <v>2922</v>
      </c>
      <c r="I797" s="8" t="s">
        <v>100</v>
      </c>
      <c r="J797" s="8" t="s">
        <v>31</v>
      </c>
      <c r="K797" s="12">
        <f>_xlfn.XLOOKUP(B797,[1]Sheet1!$B:$B,[1]Sheet1!$N:$N,0)</f>
        <v>0</v>
      </c>
      <c r="L797" s="12">
        <f>_xlfn.XLOOKUP(B797,[1]Sheet1!$B:$B,[1]Sheet1!$O:$O,0)</f>
        <v>0</v>
      </c>
      <c r="M797" s="12">
        <f>_xlfn.XLOOKUP(B797,[1]Sheet1!$B:$B,[1]Sheet1!$P:$P,0)</f>
        <v>0</v>
      </c>
      <c r="N797" s="12">
        <f>_xlfn.XLOOKUP(B797,[1]Sheet1!$B:$B,[1]Sheet1!$Q:$Q,0)</f>
        <v>0</v>
      </c>
      <c r="O797" s="12">
        <f>_xlfn.XLOOKUP(B797,[1]Sheet1!$B:$B,[1]Sheet1!$R:$R,0)</f>
        <v>0</v>
      </c>
      <c r="P797" s="12">
        <f>_xlfn.XLOOKUP(B797,[1]Sheet1!$B:$B,[1]Sheet1!$S:$S,0)</f>
        <v>0</v>
      </c>
      <c r="Q797" s="12">
        <f>_xlfn.XLOOKUP(B797,[1]Sheet1!$B:$B,[1]Sheet1!$T:$T,0)</f>
        <v>0</v>
      </c>
      <c r="R797" s="12">
        <f>_xlfn.XLOOKUP(B797,[1]Sheet1!$B:$B,[1]Sheet1!$U:$U,0)</f>
        <v>0</v>
      </c>
      <c r="S797" s="12">
        <f>_xlfn.XLOOKUP(B797,[1]Sheet1!$B:$B,[1]Sheet1!$V:$V,0)</f>
        <v>0</v>
      </c>
      <c r="T797" s="12">
        <f>_xlfn.XLOOKUP(B797,[1]Sheet1!$B:$B,[1]Sheet1!$W:$W,0)</f>
        <v>803875</v>
      </c>
      <c r="U797" s="12">
        <f>_xlfn.XLOOKUP(B797,[1]Sheet1!$B:$B,[1]Sheet1!$X:$X,0)</f>
        <v>0</v>
      </c>
      <c r="V797" s="12">
        <f>_xlfn.XLOOKUP(B797,[1]Sheet1!$B:$B,[1]Sheet1!$Y:$Y,0)</f>
        <v>0</v>
      </c>
      <c r="W797" s="12">
        <f t="shared" si="27"/>
        <v>803875</v>
      </c>
      <c r="X797" s="8" t="s">
        <v>1257</v>
      </c>
      <c r="Y797" s="8" t="s">
        <v>211</v>
      </c>
      <c r="Z797" s="8" t="s">
        <v>826</v>
      </c>
      <c r="AA797" s="8" t="s">
        <v>100</v>
      </c>
      <c r="AB797" s="8" t="s">
        <v>36</v>
      </c>
      <c r="AC797" s="8" t="s">
        <v>37</v>
      </c>
      <c r="AD797" s="8" t="s">
        <v>214</v>
      </c>
      <c r="AE797" s="8" t="s">
        <v>39</v>
      </c>
      <c r="AF797" s="8" t="s">
        <v>40</v>
      </c>
      <c r="AG797" s="9">
        <v>977875</v>
      </c>
      <c r="AH797" s="11">
        <f>_xlfn.XLOOKUP(B797,[1]Sheet1!$B:$B,[1]Sheet1!$AB:$AB,0)</f>
        <v>977875</v>
      </c>
    </row>
    <row r="798" spans="2:34" ht="16.8" thickTop="1" thickBot="1" x14ac:dyDescent="0.35">
      <c r="B798" s="3" t="str">
        <f t="shared" si="26"/>
        <v>45159004511000942Partnership Fees-N1422401200104</v>
      </c>
      <c r="C798" s="6" t="s">
        <v>827</v>
      </c>
      <c r="D798" s="6" t="s">
        <v>1250</v>
      </c>
      <c r="E798" s="6" t="s">
        <v>1251</v>
      </c>
      <c r="F798" s="6" t="s">
        <v>1258</v>
      </c>
      <c r="G798" s="4" t="s">
        <v>2807</v>
      </c>
      <c r="H798" s="4" t="s">
        <v>2922</v>
      </c>
      <c r="I798" s="6" t="s">
        <v>63</v>
      </c>
      <c r="J798" s="6" t="s">
        <v>31</v>
      </c>
      <c r="K798" s="12">
        <f>_xlfn.XLOOKUP(B798,[1]Sheet1!$B:$B,[1]Sheet1!$N:$N,0)</f>
        <v>0</v>
      </c>
      <c r="L798" s="12">
        <f>_xlfn.XLOOKUP(B798,[1]Sheet1!$B:$B,[1]Sheet1!$O:$O,0)</f>
        <v>0</v>
      </c>
      <c r="M798" s="12">
        <f>_xlfn.XLOOKUP(B798,[1]Sheet1!$B:$B,[1]Sheet1!$P:$P,0)</f>
        <v>0</v>
      </c>
      <c r="N798" s="12">
        <f>_xlfn.XLOOKUP(B798,[1]Sheet1!$B:$B,[1]Sheet1!$Q:$Q,0)</f>
        <v>0</v>
      </c>
      <c r="O798" s="12">
        <f>_xlfn.XLOOKUP(B798,[1]Sheet1!$B:$B,[1]Sheet1!$R:$R,0)</f>
        <v>542000</v>
      </c>
      <c r="P798" s="12">
        <f>_xlfn.XLOOKUP(B798,[1]Sheet1!$B:$B,[1]Sheet1!$S:$S,0)</f>
        <v>0</v>
      </c>
      <c r="Q798" s="12">
        <f>_xlfn.XLOOKUP(B798,[1]Sheet1!$B:$B,[1]Sheet1!$T:$T,0)</f>
        <v>0</v>
      </c>
      <c r="R798" s="12">
        <f>_xlfn.XLOOKUP(B798,[1]Sheet1!$B:$B,[1]Sheet1!$U:$U,0)</f>
        <v>0</v>
      </c>
      <c r="S798" s="12">
        <f>_xlfn.XLOOKUP(B798,[1]Sheet1!$B:$B,[1]Sheet1!$V:$V,0)</f>
        <v>0</v>
      </c>
      <c r="T798" s="12">
        <f>_xlfn.XLOOKUP(B798,[1]Sheet1!$B:$B,[1]Sheet1!$W:$W,0)</f>
        <v>0</v>
      </c>
      <c r="U798" s="12">
        <f>_xlfn.XLOOKUP(B798,[1]Sheet1!$B:$B,[1]Sheet1!$X:$X,0)</f>
        <v>0</v>
      </c>
      <c r="V798" s="12">
        <f>_xlfn.XLOOKUP(B798,[1]Sheet1!$B:$B,[1]Sheet1!$Y:$Y,0)</f>
        <v>0</v>
      </c>
      <c r="W798" s="12">
        <f t="shared" si="27"/>
        <v>542000</v>
      </c>
      <c r="X798" s="6" t="s">
        <v>1252</v>
      </c>
      <c r="Y798" s="6" t="s">
        <v>211</v>
      </c>
      <c r="Z798" s="6" t="s">
        <v>826</v>
      </c>
      <c r="AA798" s="6" t="s">
        <v>68</v>
      </c>
      <c r="AB798" s="6" t="s">
        <v>36</v>
      </c>
      <c r="AC798" s="6" t="s">
        <v>37</v>
      </c>
      <c r="AD798" s="6" t="s">
        <v>214</v>
      </c>
      <c r="AE798" s="6" t="s">
        <v>39</v>
      </c>
      <c r="AF798" s="6" t="s">
        <v>40</v>
      </c>
      <c r="AG798" s="7">
        <v>529000</v>
      </c>
      <c r="AH798" s="11">
        <f>_xlfn.XLOOKUP(B798,[1]Sheet1!$B:$B,[1]Sheet1!$AB:$AB,0)</f>
        <v>529000</v>
      </c>
    </row>
    <row r="799" spans="2:34" ht="16.8" thickTop="1" thickBot="1" x14ac:dyDescent="0.35">
      <c r="B799" s="3" t="str">
        <f t="shared" si="26"/>
        <v>45159004511000942Trade Promotion-N1424251200104</v>
      </c>
      <c r="C799" s="8" t="s">
        <v>827</v>
      </c>
      <c r="D799" s="8" t="s">
        <v>1250</v>
      </c>
      <c r="E799" s="8" t="s">
        <v>1251</v>
      </c>
      <c r="F799" s="8" t="s">
        <v>829</v>
      </c>
      <c r="G799" s="4" t="s">
        <v>2852</v>
      </c>
      <c r="H799" s="4" t="s">
        <v>2922</v>
      </c>
      <c r="I799" s="8" t="s">
        <v>569</v>
      </c>
      <c r="J799" s="8" t="s">
        <v>31</v>
      </c>
      <c r="K799" s="12">
        <f>_xlfn.XLOOKUP(B799,[1]Sheet1!$B:$B,[1]Sheet1!$N:$N,0)</f>
        <v>0</v>
      </c>
      <c r="L799" s="12">
        <f>_xlfn.XLOOKUP(B799,[1]Sheet1!$B:$B,[1]Sheet1!$O:$O,0)</f>
        <v>0</v>
      </c>
      <c r="M799" s="12">
        <f>_xlfn.XLOOKUP(B799,[1]Sheet1!$B:$B,[1]Sheet1!$P:$P,0)</f>
        <v>0</v>
      </c>
      <c r="N799" s="12">
        <f>_xlfn.XLOOKUP(B799,[1]Sheet1!$B:$B,[1]Sheet1!$Q:$Q,0)</f>
        <v>10850</v>
      </c>
      <c r="O799" s="12">
        <f>_xlfn.XLOOKUP(B799,[1]Sheet1!$B:$B,[1]Sheet1!$R:$R,0)</f>
        <v>0</v>
      </c>
      <c r="P799" s="12">
        <f>_xlfn.XLOOKUP(B799,[1]Sheet1!$B:$B,[1]Sheet1!$S:$S,0)</f>
        <v>20000</v>
      </c>
      <c r="Q799" s="12">
        <f>_xlfn.XLOOKUP(B799,[1]Sheet1!$B:$B,[1]Sheet1!$T:$T,0)</f>
        <v>54681</v>
      </c>
      <c r="R799" s="12">
        <f>_xlfn.XLOOKUP(B799,[1]Sheet1!$B:$B,[1]Sheet1!$U:$U,0)</f>
        <v>0</v>
      </c>
      <c r="S799" s="12">
        <f>_xlfn.XLOOKUP(B799,[1]Sheet1!$B:$B,[1]Sheet1!$V:$V,0)</f>
        <v>50979</v>
      </c>
      <c r="T799" s="12">
        <f>_xlfn.XLOOKUP(B799,[1]Sheet1!$B:$B,[1]Sheet1!$W:$W,0)</f>
        <v>40000</v>
      </c>
      <c r="U799" s="12">
        <f>_xlfn.XLOOKUP(B799,[1]Sheet1!$B:$B,[1]Sheet1!$X:$X,0)</f>
        <v>53490</v>
      </c>
      <c r="V799" s="12">
        <f>_xlfn.XLOOKUP(B799,[1]Sheet1!$B:$B,[1]Sheet1!$Y:$Y,0)</f>
        <v>20000</v>
      </c>
      <c r="W799" s="12">
        <f t="shared" si="27"/>
        <v>250000</v>
      </c>
      <c r="X799" s="8" t="s">
        <v>830</v>
      </c>
      <c r="Y799" s="8" t="s">
        <v>211</v>
      </c>
      <c r="Z799" s="8" t="s">
        <v>826</v>
      </c>
      <c r="AA799" s="8" t="s">
        <v>569</v>
      </c>
      <c r="AB799" s="8" t="s">
        <v>36</v>
      </c>
      <c r="AC799" s="8" t="s">
        <v>37</v>
      </c>
      <c r="AD799" s="8" t="s">
        <v>214</v>
      </c>
      <c r="AE799" s="8" t="s">
        <v>39</v>
      </c>
      <c r="AF799" s="8" t="s">
        <v>40</v>
      </c>
      <c r="AG799" s="9">
        <v>250000</v>
      </c>
      <c r="AH799" s="11">
        <f>_xlfn.XLOOKUP(B799,[1]Sheet1!$B:$B,[1]Sheet1!$AB:$AB,0)</f>
        <v>250000</v>
      </c>
    </row>
    <row r="800" spans="2:34" ht="16.8" thickTop="1" thickBot="1" x14ac:dyDescent="0.35">
      <c r="B800" s="3" t="str">
        <f t="shared" si="26"/>
        <v>45154004511000943MICE-Association-N461412200104</v>
      </c>
      <c r="C800" s="6" t="s">
        <v>213</v>
      </c>
      <c r="D800" s="6" t="s">
        <v>1259</v>
      </c>
      <c r="E800" s="6" t="s">
        <v>1260</v>
      </c>
      <c r="F800" s="6" t="s">
        <v>1261</v>
      </c>
      <c r="G800" s="4" t="s">
        <v>2868</v>
      </c>
      <c r="H800" s="4" t="s">
        <v>2922</v>
      </c>
      <c r="I800" s="6" t="s">
        <v>1255</v>
      </c>
      <c r="J800" s="6" t="s">
        <v>31</v>
      </c>
      <c r="K800" s="12">
        <f>_xlfn.XLOOKUP(B800,[1]Sheet1!$B:$B,[1]Sheet1!$N:$N,0)</f>
        <v>0</v>
      </c>
      <c r="L800" s="12">
        <f>_xlfn.XLOOKUP(B800,[1]Sheet1!$B:$B,[1]Sheet1!$O:$O,0)</f>
        <v>0</v>
      </c>
      <c r="M800" s="12">
        <f>_xlfn.XLOOKUP(B800,[1]Sheet1!$B:$B,[1]Sheet1!$P:$P,0)</f>
        <v>0</v>
      </c>
      <c r="N800" s="12">
        <f>_xlfn.XLOOKUP(B800,[1]Sheet1!$B:$B,[1]Sheet1!$Q:$Q,0)</f>
        <v>42339</v>
      </c>
      <c r="O800" s="12">
        <f>_xlfn.XLOOKUP(B800,[1]Sheet1!$B:$B,[1]Sheet1!$R:$R,0)</f>
        <v>0</v>
      </c>
      <c r="P800" s="12">
        <f>_xlfn.XLOOKUP(B800,[1]Sheet1!$B:$B,[1]Sheet1!$S:$S,0)</f>
        <v>0</v>
      </c>
      <c r="Q800" s="12">
        <f>_xlfn.XLOOKUP(B800,[1]Sheet1!$B:$B,[1]Sheet1!$T:$T,0)</f>
        <v>0</v>
      </c>
      <c r="R800" s="12">
        <f>_xlfn.XLOOKUP(B800,[1]Sheet1!$B:$B,[1]Sheet1!$U:$U,0)</f>
        <v>0</v>
      </c>
      <c r="S800" s="12">
        <f>_xlfn.XLOOKUP(B800,[1]Sheet1!$B:$B,[1]Sheet1!$V:$V,0)</f>
        <v>0</v>
      </c>
      <c r="T800" s="12">
        <f>_xlfn.XLOOKUP(B800,[1]Sheet1!$B:$B,[1]Sheet1!$W:$W,0)</f>
        <v>0</v>
      </c>
      <c r="U800" s="12">
        <f>_xlfn.XLOOKUP(B800,[1]Sheet1!$B:$B,[1]Sheet1!$X:$X,0)</f>
        <v>0</v>
      </c>
      <c r="V800" s="12">
        <f>_xlfn.XLOOKUP(B800,[1]Sheet1!$B:$B,[1]Sheet1!$Y:$Y,0)</f>
        <v>0</v>
      </c>
      <c r="W800" s="12">
        <f t="shared" si="27"/>
        <v>42339</v>
      </c>
      <c r="X800" s="6" t="s">
        <v>1262</v>
      </c>
      <c r="Y800" s="6" t="s">
        <v>211</v>
      </c>
      <c r="Z800" s="6" t="s">
        <v>212</v>
      </c>
      <c r="AA800" s="6" t="s">
        <v>1255</v>
      </c>
      <c r="AB800" s="6" t="s">
        <v>36</v>
      </c>
      <c r="AC800" s="6" t="s">
        <v>37</v>
      </c>
      <c r="AD800" s="6" t="s">
        <v>214</v>
      </c>
      <c r="AE800" s="6" t="s">
        <v>39</v>
      </c>
      <c r="AF800" s="6" t="s">
        <v>40</v>
      </c>
      <c r="AG800" s="7">
        <v>42339.1</v>
      </c>
      <c r="AH800" s="11">
        <f>_xlfn.XLOOKUP(B800,[1]Sheet1!$B:$B,[1]Sheet1!$AB:$AB,0)</f>
        <v>42339</v>
      </c>
    </row>
    <row r="801" spans="2:34" ht="16.8" thickTop="1" thickBot="1" x14ac:dyDescent="0.35">
      <c r="B801" s="3" t="str">
        <f t="shared" si="26"/>
        <v>45154004511000943Mission &amp; Travel-N423821200104</v>
      </c>
      <c r="C801" s="8" t="s">
        <v>213</v>
      </c>
      <c r="D801" s="8" t="s">
        <v>1259</v>
      </c>
      <c r="E801" s="8" t="s">
        <v>1260</v>
      </c>
      <c r="F801" s="8" t="s">
        <v>54</v>
      </c>
      <c r="G801" s="4" t="s">
        <v>2805</v>
      </c>
      <c r="H801" s="4" t="s">
        <v>2922</v>
      </c>
      <c r="I801" s="8" t="s">
        <v>55</v>
      </c>
      <c r="J801" s="8" t="s">
        <v>31</v>
      </c>
      <c r="K801" s="12">
        <f>_xlfn.XLOOKUP(B801,[1]Sheet1!$B:$B,[1]Sheet1!$N:$N,0)</f>
        <v>0</v>
      </c>
      <c r="L801" s="12">
        <f>_xlfn.XLOOKUP(B801,[1]Sheet1!$B:$B,[1]Sheet1!$O:$O,0)</f>
        <v>0</v>
      </c>
      <c r="M801" s="12">
        <f>_xlfn.XLOOKUP(B801,[1]Sheet1!$B:$B,[1]Sheet1!$P:$P,0)</f>
        <v>14400</v>
      </c>
      <c r="N801" s="12">
        <f>_xlfn.XLOOKUP(B801,[1]Sheet1!$B:$B,[1]Sheet1!$Q:$Q,0)</f>
        <v>0</v>
      </c>
      <c r="O801" s="12">
        <f>_xlfn.XLOOKUP(B801,[1]Sheet1!$B:$B,[1]Sheet1!$R:$R,0)</f>
        <v>55600</v>
      </c>
      <c r="P801" s="12">
        <f>_xlfn.XLOOKUP(B801,[1]Sheet1!$B:$B,[1]Sheet1!$S:$S,0)</f>
        <v>0</v>
      </c>
      <c r="Q801" s="12">
        <f>_xlfn.XLOOKUP(B801,[1]Sheet1!$B:$B,[1]Sheet1!$T:$T,0)</f>
        <v>167807.77020217557</v>
      </c>
      <c r="R801" s="12">
        <f>_xlfn.XLOOKUP(B801,[1]Sheet1!$B:$B,[1]Sheet1!$U:$U,0)</f>
        <v>21000</v>
      </c>
      <c r="S801" s="12">
        <f>_xlfn.XLOOKUP(B801,[1]Sheet1!$B:$B,[1]Sheet1!$V:$V,0)</f>
        <v>0</v>
      </c>
      <c r="T801" s="12">
        <f>_xlfn.XLOOKUP(B801,[1]Sheet1!$B:$B,[1]Sheet1!$W:$W,0)</f>
        <v>0</v>
      </c>
      <c r="U801" s="12">
        <f>_xlfn.XLOOKUP(B801,[1]Sheet1!$B:$B,[1]Sheet1!$X:$X,0)</f>
        <v>0</v>
      </c>
      <c r="V801" s="12">
        <f>_xlfn.XLOOKUP(B801,[1]Sheet1!$B:$B,[1]Sheet1!$Y:$Y,0)</f>
        <v>0</v>
      </c>
      <c r="W801" s="12">
        <f t="shared" si="27"/>
        <v>258807.77020217557</v>
      </c>
      <c r="X801" s="8" t="s">
        <v>216</v>
      </c>
      <c r="Y801" s="8" t="s">
        <v>211</v>
      </c>
      <c r="Z801" s="8" t="s">
        <v>212</v>
      </c>
      <c r="AA801" s="8" t="s">
        <v>55</v>
      </c>
      <c r="AB801" s="8" t="s">
        <v>36</v>
      </c>
      <c r="AC801" s="8" t="s">
        <v>37</v>
      </c>
      <c r="AD801" s="8" t="s">
        <v>214</v>
      </c>
      <c r="AE801" s="8" t="s">
        <v>39</v>
      </c>
      <c r="AF801" s="8" t="s">
        <v>40</v>
      </c>
      <c r="AG801" s="9">
        <v>258808</v>
      </c>
      <c r="AH801" s="11">
        <f>_xlfn.XLOOKUP(B801,[1]Sheet1!$B:$B,[1]Sheet1!$AB:$AB,0)</f>
        <v>258807.77020217557</v>
      </c>
    </row>
    <row r="802" spans="2:34" ht="16.8" thickTop="1" thickBot="1" x14ac:dyDescent="0.35">
      <c r="B802" s="3" t="str">
        <f t="shared" si="26"/>
        <v>45154004511000943Partnership Fees-N422401200104</v>
      </c>
      <c r="C802" s="6" t="s">
        <v>213</v>
      </c>
      <c r="D802" s="6" t="s">
        <v>1259</v>
      </c>
      <c r="E802" s="6" t="s">
        <v>1260</v>
      </c>
      <c r="F802" s="6" t="s">
        <v>1087</v>
      </c>
      <c r="G802" s="4" t="s">
        <v>2807</v>
      </c>
      <c r="H802" s="4" t="s">
        <v>2922</v>
      </c>
      <c r="I802" s="6" t="s">
        <v>63</v>
      </c>
      <c r="J802" s="6" t="s">
        <v>31</v>
      </c>
      <c r="K802" s="12">
        <f>_xlfn.XLOOKUP(B802,[1]Sheet1!$B:$B,[1]Sheet1!$N:$N,0)</f>
        <v>0</v>
      </c>
      <c r="L802" s="12">
        <f>_xlfn.XLOOKUP(B802,[1]Sheet1!$B:$B,[1]Sheet1!$O:$O,0)</f>
        <v>0</v>
      </c>
      <c r="M802" s="12">
        <f>_xlfn.XLOOKUP(B802,[1]Sheet1!$B:$B,[1]Sheet1!$P:$P,0)</f>
        <v>0</v>
      </c>
      <c r="N802" s="12">
        <f>_xlfn.XLOOKUP(B802,[1]Sheet1!$B:$B,[1]Sheet1!$Q:$Q,0)</f>
        <v>197628.84</v>
      </c>
      <c r="O802" s="12">
        <f>_xlfn.XLOOKUP(B802,[1]Sheet1!$B:$B,[1]Sheet1!$R:$R,0)</f>
        <v>80000</v>
      </c>
      <c r="P802" s="12">
        <f>_xlfn.XLOOKUP(B802,[1]Sheet1!$B:$B,[1]Sheet1!$S:$S,0)</f>
        <v>0</v>
      </c>
      <c r="Q802" s="12">
        <f>_xlfn.XLOOKUP(B802,[1]Sheet1!$B:$B,[1]Sheet1!$T:$T,0)</f>
        <v>385000</v>
      </c>
      <c r="R802" s="12">
        <f>_xlfn.XLOOKUP(B802,[1]Sheet1!$B:$B,[1]Sheet1!$U:$U,0)</f>
        <v>120000</v>
      </c>
      <c r="S802" s="12">
        <f>_xlfn.XLOOKUP(B802,[1]Sheet1!$B:$B,[1]Sheet1!$V:$V,0)</f>
        <v>20000</v>
      </c>
      <c r="T802" s="12">
        <f>_xlfn.XLOOKUP(B802,[1]Sheet1!$B:$B,[1]Sheet1!$W:$W,0)</f>
        <v>0</v>
      </c>
      <c r="U802" s="12">
        <f>_xlfn.XLOOKUP(B802,[1]Sheet1!$B:$B,[1]Sheet1!$X:$X,0)</f>
        <v>0</v>
      </c>
      <c r="V802" s="12">
        <f>_xlfn.XLOOKUP(B802,[1]Sheet1!$B:$B,[1]Sheet1!$Y:$Y,0)</f>
        <v>0</v>
      </c>
      <c r="W802" s="12">
        <f t="shared" si="27"/>
        <v>802628.84</v>
      </c>
      <c r="X802" s="6" t="s">
        <v>219</v>
      </c>
      <c r="Y802" s="6" t="s">
        <v>211</v>
      </c>
      <c r="Z802" s="6" t="s">
        <v>212</v>
      </c>
      <c r="AA802" s="6" t="s">
        <v>68</v>
      </c>
      <c r="AB802" s="6" t="s">
        <v>36</v>
      </c>
      <c r="AC802" s="6" t="s">
        <v>37</v>
      </c>
      <c r="AD802" s="6" t="s">
        <v>214</v>
      </c>
      <c r="AE802" s="6" t="s">
        <v>39</v>
      </c>
      <c r="AF802" s="6" t="s">
        <v>40</v>
      </c>
      <c r="AG802" s="7">
        <v>802629</v>
      </c>
      <c r="AH802" s="11">
        <f>_xlfn.XLOOKUP(B802,[1]Sheet1!$B:$B,[1]Sheet1!$AB:$AB,0)</f>
        <v>802628.84</v>
      </c>
    </row>
    <row r="803" spans="2:34" ht="16.8" thickTop="1" thickBot="1" x14ac:dyDescent="0.35">
      <c r="B803" s="3" t="str">
        <f t="shared" si="26"/>
        <v>45154004511000943Trade Promotion-N424251200104</v>
      </c>
      <c r="C803" s="8" t="s">
        <v>213</v>
      </c>
      <c r="D803" s="8" t="s">
        <v>1259</v>
      </c>
      <c r="E803" s="8" t="s">
        <v>1260</v>
      </c>
      <c r="F803" s="8" t="s">
        <v>748</v>
      </c>
      <c r="G803" s="4" t="s">
        <v>2852</v>
      </c>
      <c r="H803" s="4" t="s">
        <v>2922</v>
      </c>
      <c r="I803" s="8" t="s">
        <v>569</v>
      </c>
      <c r="J803" s="8" t="s">
        <v>31</v>
      </c>
      <c r="K803" s="12">
        <f>_xlfn.XLOOKUP(B803,[1]Sheet1!$B:$B,[1]Sheet1!$N:$N,0)</f>
        <v>0</v>
      </c>
      <c r="L803" s="12">
        <f>_xlfn.XLOOKUP(B803,[1]Sheet1!$B:$B,[1]Sheet1!$O:$O,0)</f>
        <v>0</v>
      </c>
      <c r="M803" s="12">
        <f>_xlfn.XLOOKUP(B803,[1]Sheet1!$B:$B,[1]Sheet1!$P:$P,0)</f>
        <v>1154</v>
      </c>
      <c r="N803" s="12">
        <f>_xlfn.XLOOKUP(B803,[1]Sheet1!$B:$B,[1]Sheet1!$Q:$Q,0)</f>
        <v>41507</v>
      </c>
      <c r="O803" s="12">
        <f>_xlfn.XLOOKUP(B803,[1]Sheet1!$B:$B,[1]Sheet1!$R:$R,0)</f>
        <v>20000</v>
      </c>
      <c r="P803" s="12">
        <f>_xlfn.XLOOKUP(B803,[1]Sheet1!$B:$B,[1]Sheet1!$S:$S,0)</f>
        <v>30000</v>
      </c>
      <c r="Q803" s="12">
        <f>_xlfn.XLOOKUP(B803,[1]Sheet1!$B:$B,[1]Sheet1!$T:$T,0)</f>
        <v>0</v>
      </c>
      <c r="R803" s="12">
        <f>_xlfn.XLOOKUP(B803,[1]Sheet1!$B:$B,[1]Sheet1!$U:$U,0)</f>
        <v>20000</v>
      </c>
      <c r="S803" s="12">
        <f>_xlfn.XLOOKUP(B803,[1]Sheet1!$B:$B,[1]Sheet1!$V:$V,0)</f>
        <v>0</v>
      </c>
      <c r="T803" s="12">
        <f>_xlfn.XLOOKUP(B803,[1]Sheet1!$B:$B,[1]Sheet1!$W:$W,0)</f>
        <v>75000</v>
      </c>
      <c r="U803" s="12">
        <f>_xlfn.XLOOKUP(B803,[1]Sheet1!$B:$B,[1]Sheet1!$X:$X,0)</f>
        <v>25000</v>
      </c>
      <c r="V803" s="12">
        <f>_xlfn.XLOOKUP(B803,[1]Sheet1!$B:$B,[1]Sheet1!$Y:$Y,0)</f>
        <v>100000</v>
      </c>
      <c r="W803" s="12">
        <f t="shared" si="27"/>
        <v>312661</v>
      </c>
      <c r="X803" s="8" t="s">
        <v>1263</v>
      </c>
      <c r="Y803" s="8" t="s">
        <v>211</v>
      </c>
      <c r="Z803" s="8" t="s">
        <v>212</v>
      </c>
      <c r="AA803" s="8" t="s">
        <v>569</v>
      </c>
      <c r="AB803" s="8" t="s">
        <v>36</v>
      </c>
      <c r="AC803" s="8" t="s">
        <v>37</v>
      </c>
      <c r="AD803" s="8" t="s">
        <v>214</v>
      </c>
      <c r="AE803" s="8" t="s">
        <v>39</v>
      </c>
      <c r="AF803" s="8" t="s">
        <v>40</v>
      </c>
      <c r="AG803" s="9">
        <v>312661</v>
      </c>
      <c r="AH803" s="11">
        <f>_xlfn.XLOOKUP(B803,[1]Sheet1!$B:$B,[1]Sheet1!$AB:$AB,0)</f>
        <v>312661</v>
      </c>
    </row>
    <row r="804" spans="2:34" ht="16.8" thickTop="1" thickBot="1" x14ac:dyDescent="0.35">
      <c r="B804" s="3" t="str">
        <f t="shared" si="26"/>
        <v>45117504511000944Mission &amp; Travel-N423821200104</v>
      </c>
      <c r="C804" s="6" t="s">
        <v>118</v>
      </c>
      <c r="D804" s="6" t="s">
        <v>1264</v>
      </c>
      <c r="E804" s="6" t="s">
        <v>1265</v>
      </c>
      <c r="F804" s="6" t="s">
        <v>54</v>
      </c>
      <c r="G804" s="4" t="s">
        <v>2805</v>
      </c>
      <c r="H804" s="4" t="s">
        <v>2922</v>
      </c>
      <c r="I804" s="6" t="s">
        <v>55</v>
      </c>
      <c r="J804" s="6" t="s">
        <v>31</v>
      </c>
      <c r="K804" s="12">
        <f>_xlfn.XLOOKUP(B804,[1]Sheet1!$B:$B,[1]Sheet1!$N:$N,0)</f>
        <v>0</v>
      </c>
      <c r="L804" s="12">
        <f>_xlfn.XLOOKUP(B804,[1]Sheet1!$B:$B,[1]Sheet1!$O:$O,0)</f>
        <v>0</v>
      </c>
      <c r="M804" s="12">
        <f>_xlfn.XLOOKUP(B804,[1]Sheet1!$B:$B,[1]Sheet1!$P:$P,0)</f>
        <v>0</v>
      </c>
      <c r="N804" s="12">
        <f>_xlfn.XLOOKUP(B804,[1]Sheet1!$B:$B,[1]Sheet1!$Q:$Q,0)</f>
        <v>0</v>
      </c>
      <c r="O804" s="12">
        <f>_xlfn.XLOOKUP(B804,[1]Sheet1!$B:$B,[1]Sheet1!$R:$R,0)</f>
        <v>0</v>
      </c>
      <c r="P804" s="12">
        <f>_xlfn.XLOOKUP(B804,[1]Sheet1!$B:$B,[1]Sheet1!$S:$S,0)</f>
        <v>0</v>
      </c>
      <c r="Q804" s="12">
        <f>_xlfn.XLOOKUP(B804,[1]Sheet1!$B:$B,[1]Sheet1!$T:$T,0)</f>
        <v>0</v>
      </c>
      <c r="R804" s="12">
        <f>_xlfn.XLOOKUP(B804,[1]Sheet1!$B:$B,[1]Sheet1!$U:$U,0)</f>
        <v>0</v>
      </c>
      <c r="S804" s="12">
        <f>_xlfn.XLOOKUP(B804,[1]Sheet1!$B:$B,[1]Sheet1!$V:$V,0)</f>
        <v>0</v>
      </c>
      <c r="T804" s="12">
        <f>_xlfn.XLOOKUP(B804,[1]Sheet1!$B:$B,[1]Sheet1!$W:$W,0)</f>
        <v>0</v>
      </c>
      <c r="U804" s="12">
        <f>_xlfn.XLOOKUP(B804,[1]Sheet1!$B:$B,[1]Sheet1!$X:$X,0)</f>
        <v>250000</v>
      </c>
      <c r="V804" s="12">
        <f>_xlfn.XLOOKUP(B804,[1]Sheet1!$B:$B,[1]Sheet1!$Y:$Y,0)</f>
        <v>250000</v>
      </c>
      <c r="W804" s="12">
        <f t="shared" si="27"/>
        <v>500000</v>
      </c>
      <c r="X804" s="6" t="s">
        <v>1266</v>
      </c>
      <c r="Y804" s="6" t="s">
        <v>65</v>
      </c>
      <c r="Z804" s="6" t="s">
        <v>117</v>
      </c>
      <c r="AA804" s="6" t="s">
        <v>55</v>
      </c>
      <c r="AB804" s="6" t="s">
        <v>36</v>
      </c>
      <c r="AC804" s="6" t="s">
        <v>37</v>
      </c>
      <c r="AD804" s="6" t="s">
        <v>102</v>
      </c>
      <c r="AE804" s="6" t="s">
        <v>39</v>
      </c>
      <c r="AF804" s="6" t="s">
        <v>40</v>
      </c>
      <c r="AG804" s="7">
        <v>500000</v>
      </c>
      <c r="AH804" s="11">
        <f>_xlfn.XLOOKUP(B804,[1]Sheet1!$B:$B,[1]Sheet1!$AB:$AB,0)</f>
        <v>500000</v>
      </c>
    </row>
    <row r="805" spans="2:34" ht="16.8" thickTop="1" thickBot="1" x14ac:dyDescent="0.35">
      <c r="B805" s="3" t="str">
        <f t="shared" si="26"/>
        <v>45117004511000946Event Management-N422401200104</v>
      </c>
      <c r="C805" s="8" t="s">
        <v>260</v>
      </c>
      <c r="D805" s="8" t="s">
        <v>1267</v>
      </c>
      <c r="E805" s="8" t="s">
        <v>1268</v>
      </c>
      <c r="F805" s="8" t="s">
        <v>162</v>
      </c>
      <c r="G805" s="4" t="s">
        <v>2807</v>
      </c>
      <c r="H805" s="4" t="s">
        <v>2922</v>
      </c>
      <c r="I805" s="8" t="s">
        <v>63</v>
      </c>
      <c r="J805" s="8" t="s">
        <v>31</v>
      </c>
      <c r="K805" s="12">
        <f>_xlfn.XLOOKUP(B805,[1]Sheet1!$B:$B,[1]Sheet1!$N:$N,0)</f>
        <v>0</v>
      </c>
      <c r="L805" s="12">
        <f>_xlfn.XLOOKUP(B805,[1]Sheet1!$B:$B,[1]Sheet1!$O:$O,0)</f>
        <v>0</v>
      </c>
      <c r="M805" s="12">
        <f>_xlfn.XLOOKUP(B805,[1]Sheet1!$B:$B,[1]Sheet1!$P:$P,0)</f>
        <v>0</v>
      </c>
      <c r="N805" s="12">
        <f>_xlfn.XLOOKUP(B805,[1]Sheet1!$B:$B,[1]Sheet1!$Q:$Q,0)</f>
        <v>0</v>
      </c>
      <c r="O805" s="12">
        <f>_xlfn.XLOOKUP(B805,[1]Sheet1!$B:$B,[1]Sheet1!$R:$R,0)</f>
        <v>0</v>
      </c>
      <c r="P805" s="12">
        <f>_xlfn.XLOOKUP(B805,[1]Sheet1!$B:$B,[1]Sheet1!$S:$S,0)</f>
        <v>0</v>
      </c>
      <c r="Q805" s="12">
        <f>_xlfn.XLOOKUP(B805,[1]Sheet1!$B:$B,[1]Sheet1!$T:$T,0)</f>
        <v>3633864.94</v>
      </c>
      <c r="R805" s="12">
        <f>_xlfn.XLOOKUP(B805,[1]Sheet1!$B:$B,[1]Sheet1!$U:$U,0)</f>
        <v>0</v>
      </c>
      <c r="S805" s="12">
        <f>_xlfn.XLOOKUP(B805,[1]Sheet1!$B:$B,[1]Sheet1!$V:$V,0)</f>
        <v>0</v>
      </c>
      <c r="T805" s="12">
        <f>_xlfn.XLOOKUP(B805,[1]Sheet1!$B:$B,[1]Sheet1!$W:$W,0)</f>
        <v>0</v>
      </c>
      <c r="U805" s="12">
        <f>_xlfn.XLOOKUP(B805,[1]Sheet1!$B:$B,[1]Sheet1!$X:$X,0)</f>
        <v>3049720.7</v>
      </c>
      <c r="V805" s="12">
        <f>_xlfn.XLOOKUP(B805,[1]Sheet1!$B:$B,[1]Sheet1!$Y:$Y,0)</f>
        <v>851301</v>
      </c>
      <c r="W805" s="12">
        <f t="shared" si="27"/>
        <v>7534886.6400000006</v>
      </c>
      <c r="X805" s="8" t="s">
        <v>258</v>
      </c>
      <c r="Y805" s="8" t="s">
        <v>65</v>
      </c>
      <c r="Z805" s="8" t="s">
        <v>259</v>
      </c>
      <c r="AA805" s="8" t="s">
        <v>68</v>
      </c>
      <c r="AB805" s="8" t="s">
        <v>36</v>
      </c>
      <c r="AC805" s="8" t="s">
        <v>37</v>
      </c>
      <c r="AD805" s="8" t="s">
        <v>102</v>
      </c>
      <c r="AE805" s="8" t="s">
        <v>39</v>
      </c>
      <c r="AF805" s="8" t="s">
        <v>40</v>
      </c>
      <c r="AG805" s="9">
        <v>7534887.0999999996</v>
      </c>
      <c r="AH805" s="11">
        <f>_xlfn.XLOOKUP(B805,[1]Sheet1!$B:$B,[1]Sheet1!$AB:$AB,0)</f>
        <v>7534886.6400000006</v>
      </c>
    </row>
    <row r="806" spans="2:34" ht="16.8" thickTop="1" thickBot="1" x14ac:dyDescent="0.35">
      <c r="B806" s="3" t="str">
        <f t="shared" si="26"/>
        <v>45117004511000946Freelancers-N424521200104</v>
      </c>
      <c r="C806" s="6" t="s">
        <v>260</v>
      </c>
      <c r="D806" s="6" t="s">
        <v>1267</v>
      </c>
      <c r="E806" s="6" t="s">
        <v>1268</v>
      </c>
      <c r="F806" s="6" t="s">
        <v>50</v>
      </c>
      <c r="G806" s="4" t="s">
        <v>2804</v>
      </c>
      <c r="H806" s="4" t="s">
        <v>2922</v>
      </c>
      <c r="I806" s="6" t="s">
        <v>51</v>
      </c>
      <c r="J806" s="6" t="s">
        <v>31</v>
      </c>
      <c r="K806" s="12">
        <f>_xlfn.XLOOKUP(B806,[1]Sheet1!$B:$B,[1]Sheet1!$N:$N,0)</f>
        <v>0</v>
      </c>
      <c r="L806" s="12">
        <f>_xlfn.XLOOKUP(B806,[1]Sheet1!$B:$B,[1]Sheet1!$O:$O,0)</f>
        <v>0</v>
      </c>
      <c r="M806" s="12">
        <f>_xlfn.XLOOKUP(B806,[1]Sheet1!$B:$B,[1]Sheet1!$P:$P,0)</f>
        <v>80000</v>
      </c>
      <c r="N806" s="12">
        <f>_xlfn.XLOOKUP(B806,[1]Sheet1!$B:$B,[1]Sheet1!$Q:$Q,0)</f>
        <v>0</v>
      </c>
      <c r="O806" s="12">
        <f>_xlfn.XLOOKUP(B806,[1]Sheet1!$B:$B,[1]Sheet1!$R:$R,0)</f>
        <v>112000</v>
      </c>
      <c r="P806" s="12">
        <f>_xlfn.XLOOKUP(B806,[1]Sheet1!$B:$B,[1]Sheet1!$S:$S,0)</f>
        <v>192000</v>
      </c>
      <c r="Q806" s="12">
        <f>_xlfn.XLOOKUP(B806,[1]Sheet1!$B:$B,[1]Sheet1!$T:$T,0)</f>
        <v>192000</v>
      </c>
      <c r="R806" s="12">
        <f>_xlfn.XLOOKUP(B806,[1]Sheet1!$B:$B,[1]Sheet1!$U:$U,0)</f>
        <v>192000</v>
      </c>
      <c r="S806" s="12">
        <f>_xlfn.XLOOKUP(B806,[1]Sheet1!$B:$B,[1]Sheet1!$V:$V,0)</f>
        <v>177000</v>
      </c>
      <c r="T806" s="12">
        <f>_xlfn.XLOOKUP(B806,[1]Sheet1!$B:$B,[1]Sheet1!$W:$W,0)</f>
        <v>434000</v>
      </c>
      <c r="U806" s="12">
        <f>_xlfn.XLOOKUP(B806,[1]Sheet1!$B:$B,[1]Sheet1!$X:$X,0)</f>
        <v>136000</v>
      </c>
      <c r="V806" s="12">
        <f>_xlfn.XLOOKUP(B806,[1]Sheet1!$B:$B,[1]Sheet1!$Y:$Y,0)</f>
        <v>256000</v>
      </c>
      <c r="W806" s="12">
        <f t="shared" si="27"/>
        <v>1771000</v>
      </c>
      <c r="X806" s="6" t="s">
        <v>443</v>
      </c>
      <c r="Y806" s="6" t="s">
        <v>65</v>
      </c>
      <c r="Z806" s="6" t="s">
        <v>259</v>
      </c>
      <c r="AA806" s="6" t="s">
        <v>53</v>
      </c>
      <c r="AB806" s="6" t="s">
        <v>36</v>
      </c>
      <c r="AC806" s="6" t="s">
        <v>37</v>
      </c>
      <c r="AD806" s="6" t="s">
        <v>102</v>
      </c>
      <c r="AE806" s="6" t="s">
        <v>39</v>
      </c>
      <c r="AF806" s="6" t="s">
        <v>40</v>
      </c>
      <c r="AG806" s="7">
        <v>1771000</v>
      </c>
      <c r="AH806" s="11">
        <f>_xlfn.XLOOKUP(B806,[1]Sheet1!$B:$B,[1]Sheet1!$AB:$AB,0)</f>
        <v>1771000</v>
      </c>
    </row>
    <row r="807" spans="2:34" ht="16.8" thickTop="1" thickBot="1" x14ac:dyDescent="0.35">
      <c r="B807" s="3" t="str">
        <f t="shared" si="26"/>
        <v>45117004511000946Hospitality-N424761200104</v>
      </c>
      <c r="C807" s="8" t="s">
        <v>260</v>
      </c>
      <c r="D807" s="8" t="s">
        <v>1267</v>
      </c>
      <c r="E807" s="8" t="s">
        <v>1268</v>
      </c>
      <c r="F807" s="8" t="s">
        <v>83</v>
      </c>
      <c r="G807" s="4" t="s">
        <v>2811</v>
      </c>
      <c r="H807" s="4" t="s">
        <v>2922</v>
      </c>
      <c r="I807" s="8" t="s">
        <v>84</v>
      </c>
      <c r="J807" s="8" t="s">
        <v>31</v>
      </c>
      <c r="K807" s="12">
        <f>_xlfn.XLOOKUP(B807,[1]Sheet1!$B:$B,[1]Sheet1!$N:$N,0)</f>
        <v>0</v>
      </c>
      <c r="L807" s="12">
        <f>_xlfn.XLOOKUP(B807,[1]Sheet1!$B:$B,[1]Sheet1!$O:$O,0)</f>
        <v>0</v>
      </c>
      <c r="M807" s="12">
        <f>_xlfn.XLOOKUP(B807,[1]Sheet1!$B:$B,[1]Sheet1!$P:$P,0)</f>
        <v>0</v>
      </c>
      <c r="N807" s="12">
        <f>_xlfn.XLOOKUP(B807,[1]Sheet1!$B:$B,[1]Sheet1!$Q:$Q,0)</f>
        <v>0</v>
      </c>
      <c r="O807" s="12">
        <f>_xlfn.XLOOKUP(B807,[1]Sheet1!$B:$B,[1]Sheet1!$R:$R,0)</f>
        <v>0</v>
      </c>
      <c r="P807" s="12">
        <f>_xlfn.XLOOKUP(B807,[1]Sheet1!$B:$B,[1]Sheet1!$S:$S,0)</f>
        <v>0</v>
      </c>
      <c r="Q807" s="12">
        <f>_xlfn.XLOOKUP(B807,[1]Sheet1!$B:$B,[1]Sheet1!$T:$T,0)</f>
        <v>0</v>
      </c>
      <c r="R807" s="12">
        <f>_xlfn.XLOOKUP(B807,[1]Sheet1!$B:$B,[1]Sheet1!$U:$U,0)</f>
        <v>0</v>
      </c>
      <c r="S807" s="12">
        <f>_xlfn.XLOOKUP(B807,[1]Sheet1!$B:$B,[1]Sheet1!$V:$V,0)</f>
        <v>0</v>
      </c>
      <c r="T807" s="12">
        <f>_xlfn.XLOOKUP(B807,[1]Sheet1!$B:$B,[1]Sheet1!$W:$W,0)</f>
        <v>0</v>
      </c>
      <c r="U807" s="12">
        <f>_xlfn.XLOOKUP(B807,[1]Sheet1!$B:$B,[1]Sheet1!$X:$X,0)</f>
        <v>3683590</v>
      </c>
      <c r="V807" s="12">
        <f>_xlfn.XLOOKUP(B807,[1]Sheet1!$B:$B,[1]Sheet1!$Y:$Y,0)</f>
        <v>2910150.8</v>
      </c>
      <c r="W807" s="12">
        <f t="shared" si="27"/>
        <v>6593740.7999999998</v>
      </c>
      <c r="X807" s="8" t="s">
        <v>315</v>
      </c>
      <c r="Y807" s="8" t="s">
        <v>65</v>
      </c>
      <c r="Z807" s="8" t="s">
        <v>259</v>
      </c>
      <c r="AA807" s="8" t="s">
        <v>84</v>
      </c>
      <c r="AB807" s="8" t="s">
        <v>36</v>
      </c>
      <c r="AC807" s="8" t="s">
        <v>37</v>
      </c>
      <c r="AD807" s="8" t="s">
        <v>102</v>
      </c>
      <c r="AE807" s="8" t="s">
        <v>39</v>
      </c>
      <c r="AF807" s="8" t="s">
        <v>40</v>
      </c>
      <c r="AG807" s="9">
        <v>6593741</v>
      </c>
      <c r="AH807" s="11">
        <f>_xlfn.XLOOKUP(B807,[1]Sheet1!$B:$B,[1]Sheet1!$AB:$AB,0)</f>
        <v>6593740.7999999998</v>
      </c>
    </row>
    <row r="808" spans="2:34" ht="16.8" thickTop="1" thickBot="1" x14ac:dyDescent="0.35">
      <c r="B808" s="3" t="str">
        <f t="shared" si="26"/>
        <v>45117004511000946Partnership Fees-N422401200104</v>
      </c>
      <c r="C808" s="6" t="s">
        <v>260</v>
      </c>
      <c r="D808" s="6" t="s">
        <v>1267</v>
      </c>
      <c r="E808" s="6" t="s">
        <v>1268</v>
      </c>
      <c r="F808" s="6" t="s">
        <v>1087</v>
      </c>
      <c r="G808" s="4" t="s">
        <v>2807</v>
      </c>
      <c r="H808" s="4" t="s">
        <v>2922</v>
      </c>
      <c r="I808" s="6" t="s">
        <v>63</v>
      </c>
      <c r="J808" s="6" t="s">
        <v>31</v>
      </c>
      <c r="K808" s="12">
        <f>_xlfn.XLOOKUP(B808,[1]Sheet1!$B:$B,[1]Sheet1!$N:$N,0)</f>
        <v>0</v>
      </c>
      <c r="L808" s="12">
        <f>_xlfn.XLOOKUP(B808,[1]Sheet1!$B:$B,[1]Sheet1!$O:$O,0)</f>
        <v>0</v>
      </c>
      <c r="M808" s="12">
        <f>_xlfn.XLOOKUP(B808,[1]Sheet1!$B:$B,[1]Sheet1!$P:$P,0)</f>
        <v>0</v>
      </c>
      <c r="N808" s="12">
        <f>_xlfn.XLOOKUP(B808,[1]Sheet1!$B:$B,[1]Sheet1!$Q:$Q,0)</f>
        <v>77130.899999999994</v>
      </c>
      <c r="O808" s="12">
        <f>_xlfn.XLOOKUP(B808,[1]Sheet1!$B:$B,[1]Sheet1!$R:$R,0)</f>
        <v>82665.5</v>
      </c>
      <c r="P808" s="12">
        <f>_xlfn.XLOOKUP(B808,[1]Sheet1!$B:$B,[1]Sheet1!$S:$S,0)</f>
        <v>82665.5</v>
      </c>
      <c r="Q808" s="12">
        <f>_xlfn.XLOOKUP(B808,[1]Sheet1!$B:$B,[1]Sheet1!$T:$T,0)</f>
        <v>77130.899999999994</v>
      </c>
      <c r="R808" s="12">
        <f>_xlfn.XLOOKUP(B808,[1]Sheet1!$B:$B,[1]Sheet1!$U:$U,0)</f>
        <v>0</v>
      </c>
      <c r="S808" s="12">
        <f>_xlfn.XLOOKUP(B808,[1]Sheet1!$B:$B,[1]Sheet1!$V:$V,0)</f>
        <v>400000</v>
      </c>
      <c r="T808" s="12">
        <f>_xlfn.XLOOKUP(B808,[1]Sheet1!$B:$B,[1]Sheet1!$W:$W,0)</f>
        <v>77130.899999999994</v>
      </c>
      <c r="U808" s="12">
        <f>_xlfn.XLOOKUP(B808,[1]Sheet1!$B:$B,[1]Sheet1!$X:$X,0)</f>
        <v>0</v>
      </c>
      <c r="V808" s="12">
        <f>_xlfn.XLOOKUP(B808,[1]Sheet1!$B:$B,[1]Sheet1!$Y:$Y,0)</f>
        <v>1138817.8</v>
      </c>
      <c r="W808" s="12">
        <f t="shared" si="27"/>
        <v>1935541.5</v>
      </c>
      <c r="X808" s="6" t="s">
        <v>258</v>
      </c>
      <c r="Y808" s="6" t="s">
        <v>65</v>
      </c>
      <c r="Z808" s="6" t="s">
        <v>259</v>
      </c>
      <c r="AA808" s="6" t="s">
        <v>68</v>
      </c>
      <c r="AB808" s="6" t="s">
        <v>36</v>
      </c>
      <c r="AC808" s="6" t="s">
        <v>37</v>
      </c>
      <c r="AD808" s="6" t="s">
        <v>102</v>
      </c>
      <c r="AE808" s="6" t="s">
        <v>39</v>
      </c>
      <c r="AF808" s="6" t="s">
        <v>40</v>
      </c>
      <c r="AG808" s="7">
        <v>1935542</v>
      </c>
      <c r="AH808" s="11">
        <f>_xlfn.XLOOKUP(B808,[1]Sheet1!$B:$B,[1]Sheet1!$AB:$AB,0)</f>
        <v>1935541.5</v>
      </c>
    </row>
    <row r="809" spans="2:34" ht="16.8" thickTop="1" thickBot="1" x14ac:dyDescent="0.35">
      <c r="B809" s="3" t="str">
        <f t="shared" si="26"/>
        <v>45131404511000947CampaignProdRtnr-N1422511200104</v>
      </c>
      <c r="C809" s="8" t="s">
        <v>335</v>
      </c>
      <c r="D809" s="8" t="s">
        <v>1269</v>
      </c>
      <c r="E809" s="8" t="s">
        <v>1270</v>
      </c>
      <c r="F809" s="8" t="s">
        <v>1271</v>
      </c>
      <c r="G809" s="4" t="s">
        <v>2819</v>
      </c>
      <c r="H809" s="4" t="s">
        <v>2922</v>
      </c>
      <c r="I809" s="8" t="s">
        <v>151</v>
      </c>
      <c r="J809" s="8" t="s">
        <v>31</v>
      </c>
      <c r="K809" s="12">
        <f>_xlfn.XLOOKUP(B809,[1]Sheet1!$B:$B,[1]Sheet1!$N:$N,0)</f>
        <v>0</v>
      </c>
      <c r="L809" s="12">
        <f>_xlfn.XLOOKUP(B809,[1]Sheet1!$B:$B,[1]Sheet1!$O:$O,0)</f>
        <v>0</v>
      </c>
      <c r="M809" s="12">
        <f>_xlfn.XLOOKUP(B809,[1]Sheet1!$B:$B,[1]Sheet1!$P:$P,0)</f>
        <v>0</v>
      </c>
      <c r="N809" s="12">
        <f>_xlfn.XLOOKUP(B809,[1]Sheet1!$B:$B,[1]Sheet1!$Q:$Q,0)</f>
        <v>4149797.54</v>
      </c>
      <c r="O809" s="12">
        <f>_xlfn.XLOOKUP(B809,[1]Sheet1!$B:$B,[1]Sheet1!$R:$R,0)</f>
        <v>911471.54</v>
      </c>
      <c r="P809" s="12">
        <f>_xlfn.XLOOKUP(B809,[1]Sheet1!$B:$B,[1]Sheet1!$S:$S,0)</f>
        <v>911471.54</v>
      </c>
      <c r="Q809" s="12">
        <f>_xlfn.XLOOKUP(B809,[1]Sheet1!$B:$B,[1]Sheet1!$T:$T,0)</f>
        <v>911471.54</v>
      </c>
      <c r="R809" s="12">
        <f>_xlfn.XLOOKUP(B809,[1]Sheet1!$B:$B,[1]Sheet1!$U:$U,0)</f>
        <v>911471.54</v>
      </c>
      <c r="S809" s="12">
        <f>_xlfn.XLOOKUP(B809,[1]Sheet1!$B:$B,[1]Sheet1!$V:$V,0)</f>
        <v>911471.54</v>
      </c>
      <c r="T809" s="12">
        <f>_xlfn.XLOOKUP(B809,[1]Sheet1!$B:$B,[1]Sheet1!$W:$W,0)</f>
        <v>911471.54</v>
      </c>
      <c r="U809" s="12">
        <f>_xlfn.XLOOKUP(B809,[1]Sheet1!$B:$B,[1]Sheet1!$X:$X,0)</f>
        <v>911471.54</v>
      </c>
      <c r="V809" s="12">
        <f>_xlfn.XLOOKUP(B809,[1]Sheet1!$B:$B,[1]Sheet1!$Y:$Y,0)</f>
        <v>1822943.09</v>
      </c>
      <c r="W809" s="12">
        <f t="shared" si="27"/>
        <v>12353041.41</v>
      </c>
      <c r="X809" s="8" t="s">
        <v>1272</v>
      </c>
      <c r="Y809" s="8" t="s">
        <v>319</v>
      </c>
      <c r="Z809" s="8" t="s">
        <v>334</v>
      </c>
      <c r="AA809" s="8" t="s">
        <v>151</v>
      </c>
      <c r="AB809" s="8" t="s">
        <v>36</v>
      </c>
      <c r="AC809" s="8" t="s">
        <v>37</v>
      </c>
      <c r="AD809" s="8" t="s">
        <v>322</v>
      </c>
      <c r="AE809" s="8" t="s">
        <v>39</v>
      </c>
      <c r="AF809" s="8" t="s">
        <v>40</v>
      </c>
      <c r="AG809" s="9">
        <v>8982590</v>
      </c>
      <c r="AH809" s="11">
        <f>_xlfn.XLOOKUP(B809,[1]Sheet1!$B:$B,[1]Sheet1!$AB:$AB,0)</f>
        <v>8982590.4100000001</v>
      </c>
    </row>
    <row r="810" spans="2:34" ht="16.8" thickTop="1" thickBot="1" x14ac:dyDescent="0.35">
      <c r="B810" s="3" t="str">
        <f t="shared" si="26"/>
        <v>45150104511000972Strategy Advice-N421123200104</v>
      </c>
      <c r="C810" s="6" t="s">
        <v>1093</v>
      </c>
      <c r="D810" s="6" t="s">
        <v>1273</v>
      </c>
      <c r="E810" s="6" t="s">
        <v>1274</v>
      </c>
      <c r="F810" s="6" t="s">
        <v>236</v>
      </c>
      <c r="G810" s="4" t="s">
        <v>2827</v>
      </c>
      <c r="H810" s="4" t="s">
        <v>2922</v>
      </c>
      <c r="I810" s="6" t="s">
        <v>237</v>
      </c>
      <c r="J810" s="6" t="s">
        <v>31</v>
      </c>
      <c r="K810" s="12">
        <f>_xlfn.XLOOKUP(B810,[1]Sheet1!$B:$B,[1]Sheet1!$N:$N,0)</f>
        <v>0</v>
      </c>
      <c r="L810" s="12">
        <f>_xlfn.XLOOKUP(B810,[1]Sheet1!$B:$B,[1]Sheet1!$O:$O,0)</f>
        <v>0</v>
      </c>
      <c r="M810" s="12">
        <f>_xlfn.XLOOKUP(B810,[1]Sheet1!$B:$B,[1]Sheet1!$P:$P,0)</f>
        <v>0</v>
      </c>
      <c r="N810" s="12">
        <f>_xlfn.XLOOKUP(B810,[1]Sheet1!$B:$B,[1]Sheet1!$Q:$Q,0)</f>
        <v>0</v>
      </c>
      <c r="O810" s="12">
        <f>_xlfn.XLOOKUP(B810,[1]Sheet1!$B:$B,[1]Sheet1!$R:$R,0)</f>
        <v>0</v>
      </c>
      <c r="P810" s="12">
        <f>_xlfn.XLOOKUP(B810,[1]Sheet1!$B:$B,[1]Sheet1!$S:$S,0)</f>
        <v>0</v>
      </c>
      <c r="Q810" s="12">
        <f>_xlfn.XLOOKUP(B810,[1]Sheet1!$B:$B,[1]Sheet1!$T:$T,0)</f>
        <v>0</v>
      </c>
      <c r="R810" s="12">
        <f>_xlfn.XLOOKUP(B810,[1]Sheet1!$B:$B,[1]Sheet1!$U:$U,0)</f>
        <v>392688</v>
      </c>
      <c r="S810" s="12">
        <f>_xlfn.XLOOKUP(B810,[1]Sheet1!$B:$B,[1]Sheet1!$V:$V,0)</f>
        <v>0</v>
      </c>
      <c r="T810" s="12">
        <f>_xlfn.XLOOKUP(B810,[1]Sheet1!$B:$B,[1]Sheet1!$W:$W,0)</f>
        <v>0</v>
      </c>
      <c r="U810" s="12">
        <f>_xlfn.XLOOKUP(B810,[1]Sheet1!$B:$B,[1]Sheet1!$X:$X,0)</f>
        <v>1570755</v>
      </c>
      <c r="V810" s="12">
        <f>_xlfn.XLOOKUP(B810,[1]Sheet1!$B:$B,[1]Sheet1!$Y:$Y,0)</f>
        <v>1963446</v>
      </c>
      <c r="W810" s="12">
        <f t="shared" si="27"/>
        <v>3926889</v>
      </c>
      <c r="X810" s="6" t="s">
        <v>1275</v>
      </c>
      <c r="Y810" s="6" t="s">
        <v>211</v>
      </c>
      <c r="Z810" s="6" t="s">
        <v>1092</v>
      </c>
      <c r="AA810" s="6" t="s">
        <v>237</v>
      </c>
      <c r="AB810" s="6" t="s">
        <v>36</v>
      </c>
      <c r="AC810" s="6" t="s">
        <v>37</v>
      </c>
      <c r="AD810" s="6" t="s">
        <v>342</v>
      </c>
      <c r="AE810" s="6" t="s">
        <v>39</v>
      </c>
      <c r="AF810" s="6" t="s">
        <v>40</v>
      </c>
      <c r="AG810" s="7">
        <v>2215889</v>
      </c>
      <c r="AH810" s="11">
        <f>_xlfn.XLOOKUP(B810,[1]Sheet1!$B:$B,[1]Sheet1!$AB:$AB,0)</f>
        <v>2215889</v>
      </c>
    </row>
    <row r="811" spans="2:34" ht="16.8" thickTop="1" thickBot="1" x14ac:dyDescent="0.35">
      <c r="B811" s="3" t="str">
        <f t="shared" si="26"/>
        <v>45153004511000977Awards &amp; Prizes-N424231200104</v>
      </c>
      <c r="C811" s="8" t="s">
        <v>1075</v>
      </c>
      <c r="D811" s="8" t="s">
        <v>1276</v>
      </c>
      <c r="E811" s="8" t="s">
        <v>1277</v>
      </c>
      <c r="F811" s="8" t="s">
        <v>590</v>
      </c>
      <c r="G811" s="4" t="s">
        <v>2832</v>
      </c>
      <c r="H811" s="4" t="s">
        <v>2922</v>
      </c>
      <c r="I811" s="8" t="s">
        <v>324</v>
      </c>
      <c r="J811" s="8" t="s">
        <v>31</v>
      </c>
      <c r="K811" s="12">
        <f>_xlfn.XLOOKUP(B811,[1]Sheet1!$B:$B,[1]Sheet1!$N:$N,0)</f>
        <v>0</v>
      </c>
      <c r="L811" s="12">
        <f>_xlfn.XLOOKUP(B811,[1]Sheet1!$B:$B,[1]Sheet1!$O:$O,0)</f>
        <v>0</v>
      </c>
      <c r="M811" s="12">
        <f>_xlfn.XLOOKUP(B811,[1]Sheet1!$B:$B,[1]Sheet1!$P:$P,0)</f>
        <v>0</v>
      </c>
      <c r="N811" s="12">
        <f>_xlfn.XLOOKUP(B811,[1]Sheet1!$B:$B,[1]Sheet1!$Q:$Q,0)</f>
        <v>0</v>
      </c>
      <c r="O811" s="12">
        <f>_xlfn.XLOOKUP(B811,[1]Sheet1!$B:$B,[1]Sheet1!$R:$R,0)</f>
        <v>0</v>
      </c>
      <c r="P811" s="12">
        <f>_xlfn.XLOOKUP(B811,[1]Sheet1!$B:$B,[1]Sheet1!$S:$S,0)</f>
        <v>0</v>
      </c>
      <c r="Q811" s="12">
        <f>_xlfn.XLOOKUP(B811,[1]Sheet1!$B:$B,[1]Sheet1!$T:$T,0)</f>
        <v>0</v>
      </c>
      <c r="R811" s="12">
        <f>_xlfn.XLOOKUP(B811,[1]Sheet1!$B:$B,[1]Sheet1!$U:$U,0)</f>
        <v>0</v>
      </c>
      <c r="S811" s="12">
        <f>_xlfn.XLOOKUP(B811,[1]Sheet1!$B:$B,[1]Sheet1!$V:$V,0)</f>
        <v>0</v>
      </c>
      <c r="T811" s="12">
        <f>_xlfn.XLOOKUP(B811,[1]Sheet1!$B:$B,[1]Sheet1!$W:$W,0)</f>
        <v>0</v>
      </c>
      <c r="U811" s="12">
        <f>_xlfn.XLOOKUP(B811,[1]Sheet1!$B:$B,[1]Sheet1!$X:$X,0)</f>
        <v>0</v>
      </c>
      <c r="V811" s="12">
        <f>_xlfn.XLOOKUP(B811,[1]Sheet1!$B:$B,[1]Sheet1!$Y:$Y,0)</f>
        <v>0</v>
      </c>
      <c r="W811" s="12">
        <f t="shared" si="27"/>
        <v>0</v>
      </c>
      <c r="X811" s="8" t="s">
        <v>1278</v>
      </c>
      <c r="Y811" s="8" t="s">
        <v>211</v>
      </c>
      <c r="Z811" s="8" t="s">
        <v>1074</v>
      </c>
      <c r="AA811" s="8" t="s">
        <v>326</v>
      </c>
      <c r="AB811" s="8" t="s">
        <v>36</v>
      </c>
      <c r="AC811" s="8" t="s">
        <v>37</v>
      </c>
      <c r="AD811" s="8" t="s">
        <v>1077</v>
      </c>
      <c r="AE811" s="8" t="s">
        <v>39</v>
      </c>
      <c r="AF811" s="8" t="s">
        <v>40</v>
      </c>
      <c r="AG811" s="9">
        <v>6475</v>
      </c>
      <c r="AH811" s="11">
        <f>_xlfn.XLOOKUP(B811,[1]Sheet1!$B:$B,[1]Sheet1!$AB:$AB,0)</f>
        <v>6475</v>
      </c>
    </row>
    <row r="812" spans="2:34" ht="16.8" thickTop="1" thickBot="1" x14ac:dyDescent="0.35">
      <c r="B812" s="3" t="str">
        <f t="shared" si="26"/>
        <v>45153004511000977Licenses Fees-N424131200104</v>
      </c>
      <c r="C812" s="6" t="s">
        <v>1075</v>
      </c>
      <c r="D812" s="6" t="s">
        <v>1276</v>
      </c>
      <c r="E812" s="6" t="s">
        <v>1277</v>
      </c>
      <c r="F812" s="6" t="s">
        <v>365</v>
      </c>
      <c r="G812" s="4" t="s">
        <v>2835</v>
      </c>
      <c r="H812" s="4" t="s">
        <v>2922</v>
      </c>
      <c r="I812" s="6" t="s">
        <v>366</v>
      </c>
      <c r="J812" s="6" t="s">
        <v>31</v>
      </c>
      <c r="K812" s="12">
        <f>_xlfn.XLOOKUP(B812,[1]Sheet1!$B:$B,[1]Sheet1!$N:$N,0)</f>
        <v>0</v>
      </c>
      <c r="L812" s="12">
        <f>_xlfn.XLOOKUP(B812,[1]Sheet1!$B:$B,[1]Sheet1!$O:$O,0)</f>
        <v>0</v>
      </c>
      <c r="M812" s="12">
        <f>_xlfn.XLOOKUP(B812,[1]Sheet1!$B:$B,[1]Sheet1!$P:$P,0)</f>
        <v>0</v>
      </c>
      <c r="N812" s="12">
        <f>_xlfn.XLOOKUP(B812,[1]Sheet1!$B:$B,[1]Sheet1!$Q:$Q,0)</f>
        <v>0</v>
      </c>
      <c r="O812" s="12">
        <f>_xlfn.XLOOKUP(B812,[1]Sheet1!$B:$B,[1]Sheet1!$R:$R,0)</f>
        <v>0</v>
      </c>
      <c r="P812" s="12">
        <f>_xlfn.XLOOKUP(B812,[1]Sheet1!$B:$B,[1]Sheet1!$S:$S,0)</f>
        <v>0</v>
      </c>
      <c r="Q812" s="12">
        <f>_xlfn.XLOOKUP(B812,[1]Sheet1!$B:$B,[1]Sheet1!$T:$T,0)</f>
        <v>0</v>
      </c>
      <c r="R812" s="12">
        <f>_xlfn.XLOOKUP(B812,[1]Sheet1!$B:$B,[1]Sheet1!$U:$U,0)</f>
        <v>85000</v>
      </c>
      <c r="S812" s="12">
        <f>_xlfn.XLOOKUP(B812,[1]Sheet1!$B:$B,[1]Sheet1!$V:$V,0)</f>
        <v>50000</v>
      </c>
      <c r="T812" s="12">
        <f>_xlfn.XLOOKUP(B812,[1]Sheet1!$B:$B,[1]Sheet1!$W:$W,0)</f>
        <v>0</v>
      </c>
      <c r="U812" s="12">
        <f>_xlfn.XLOOKUP(B812,[1]Sheet1!$B:$B,[1]Sheet1!$X:$X,0)</f>
        <v>0</v>
      </c>
      <c r="V812" s="12">
        <f>_xlfn.XLOOKUP(B812,[1]Sheet1!$B:$B,[1]Sheet1!$Y:$Y,0)</f>
        <v>50000</v>
      </c>
      <c r="W812" s="12">
        <f t="shared" si="27"/>
        <v>185000</v>
      </c>
      <c r="X812" s="6" t="s">
        <v>1279</v>
      </c>
      <c r="Y812" s="6" t="s">
        <v>211</v>
      </c>
      <c r="Z812" s="6" t="s">
        <v>1074</v>
      </c>
      <c r="AA812" s="6" t="s">
        <v>366</v>
      </c>
      <c r="AB812" s="6" t="s">
        <v>36</v>
      </c>
      <c r="AC812" s="6" t="s">
        <v>37</v>
      </c>
      <c r="AD812" s="6" t="s">
        <v>1077</v>
      </c>
      <c r="AE812" s="6" t="s">
        <v>39</v>
      </c>
      <c r="AF812" s="6" t="s">
        <v>40</v>
      </c>
      <c r="AG812" s="7">
        <v>185000</v>
      </c>
      <c r="AH812" s="11">
        <f>_xlfn.XLOOKUP(B812,[1]Sheet1!$B:$B,[1]Sheet1!$AB:$AB,0)</f>
        <v>185000</v>
      </c>
    </row>
    <row r="813" spans="2:34" ht="16.8" thickTop="1" thickBot="1" x14ac:dyDescent="0.35">
      <c r="B813" s="3" t="str">
        <f t="shared" si="26"/>
        <v>45153004511000977Research&amp;Survey-N423411200104</v>
      </c>
      <c r="C813" s="8" t="s">
        <v>1075</v>
      </c>
      <c r="D813" s="8" t="s">
        <v>1276</v>
      </c>
      <c r="E813" s="8" t="s">
        <v>1277</v>
      </c>
      <c r="F813" s="8" t="s">
        <v>381</v>
      </c>
      <c r="G813" s="4" t="s">
        <v>2833</v>
      </c>
      <c r="H813" s="4" t="s">
        <v>2922</v>
      </c>
      <c r="I813" s="8" t="s">
        <v>330</v>
      </c>
      <c r="J813" s="8" t="s">
        <v>31</v>
      </c>
      <c r="K813" s="12">
        <f>_xlfn.XLOOKUP(B813,[1]Sheet1!$B:$B,[1]Sheet1!$N:$N,0)</f>
        <v>0</v>
      </c>
      <c r="L813" s="12">
        <f>_xlfn.XLOOKUP(B813,[1]Sheet1!$B:$B,[1]Sheet1!$O:$O,0)</f>
        <v>0</v>
      </c>
      <c r="M813" s="12">
        <f>_xlfn.XLOOKUP(B813,[1]Sheet1!$B:$B,[1]Sheet1!$P:$P,0)</f>
        <v>0</v>
      </c>
      <c r="N813" s="12">
        <f>_xlfn.XLOOKUP(B813,[1]Sheet1!$B:$B,[1]Sheet1!$Q:$Q,0)</f>
        <v>0</v>
      </c>
      <c r="O813" s="12">
        <f>_xlfn.XLOOKUP(B813,[1]Sheet1!$B:$B,[1]Sheet1!$R:$R,0)</f>
        <v>0</v>
      </c>
      <c r="P813" s="12">
        <f>_xlfn.XLOOKUP(B813,[1]Sheet1!$B:$B,[1]Sheet1!$S:$S,0)</f>
        <v>0</v>
      </c>
      <c r="Q813" s="12">
        <f>_xlfn.XLOOKUP(B813,[1]Sheet1!$B:$B,[1]Sheet1!$T:$T,0)</f>
        <v>0</v>
      </c>
      <c r="R813" s="12">
        <f>_xlfn.XLOOKUP(B813,[1]Sheet1!$B:$B,[1]Sheet1!$U:$U,0)</f>
        <v>215000</v>
      </c>
      <c r="S813" s="12">
        <f>_xlfn.XLOOKUP(B813,[1]Sheet1!$B:$B,[1]Sheet1!$V:$V,0)</f>
        <v>300000</v>
      </c>
      <c r="T813" s="12">
        <f>_xlfn.XLOOKUP(B813,[1]Sheet1!$B:$B,[1]Sheet1!$W:$W,0)</f>
        <v>0</v>
      </c>
      <c r="U813" s="12">
        <f>_xlfn.XLOOKUP(B813,[1]Sheet1!$B:$B,[1]Sheet1!$X:$X,0)</f>
        <v>0</v>
      </c>
      <c r="V813" s="12">
        <f>_xlfn.XLOOKUP(B813,[1]Sheet1!$B:$B,[1]Sheet1!$Y:$Y,0)</f>
        <v>500000</v>
      </c>
      <c r="W813" s="12">
        <f t="shared" si="27"/>
        <v>1015000</v>
      </c>
      <c r="X813" s="8" t="s">
        <v>1280</v>
      </c>
      <c r="Y813" s="8" t="s">
        <v>211</v>
      </c>
      <c r="Z813" s="8" t="s">
        <v>1074</v>
      </c>
      <c r="AA813" s="8" t="s">
        <v>330</v>
      </c>
      <c r="AB813" s="8" t="s">
        <v>36</v>
      </c>
      <c r="AC813" s="8" t="s">
        <v>37</v>
      </c>
      <c r="AD813" s="8" t="s">
        <v>1077</v>
      </c>
      <c r="AE813" s="8" t="s">
        <v>39</v>
      </c>
      <c r="AF813" s="8" t="s">
        <v>40</v>
      </c>
      <c r="AG813" s="9">
        <v>3077</v>
      </c>
      <c r="AH813" s="11">
        <f>_xlfn.XLOOKUP(B813,[1]Sheet1!$B:$B,[1]Sheet1!$AB:$AB,0)</f>
        <v>3077</v>
      </c>
    </row>
    <row r="814" spans="2:34" ht="16.8" thickTop="1" thickBot="1" x14ac:dyDescent="0.35">
      <c r="B814" s="3" t="str">
        <f t="shared" si="26"/>
        <v>45153004511000978ManagementAdvice-N424521200104</v>
      </c>
      <c r="C814" s="6" t="s">
        <v>1075</v>
      </c>
      <c r="D814" s="6" t="s">
        <v>1281</v>
      </c>
      <c r="E814" s="6" t="s">
        <v>1282</v>
      </c>
      <c r="F814" s="6" t="s">
        <v>230</v>
      </c>
      <c r="G814" s="4" t="s">
        <v>2804</v>
      </c>
      <c r="H814" s="4" t="s">
        <v>2922</v>
      </c>
      <c r="I814" s="6" t="s">
        <v>51</v>
      </c>
      <c r="J814" s="6" t="s">
        <v>31</v>
      </c>
      <c r="K814" s="12">
        <f>_xlfn.XLOOKUP(B814,[1]Sheet1!$B:$B,[1]Sheet1!$N:$N,0)</f>
        <v>0</v>
      </c>
      <c r="L814" s="12">
        <f>_xlfn.XLOOKUP(B814,[1]Sheet1!$B:$B,[1]Sheet1!$O:$O,0)</f>
        <v>0</v>
      </c>
      <c r="M814" s="12">
        <f>_xlfn.XLOOKUP(B814,[1]Sheet1!$B:$B,[1]Sheet1!$P:$P,0)</f>
        <v>0</v>
      </c>
      <c r="N814" s="12">
        <f>_xlfn.XLOOKUP(B814,[1]Sheet1!$B:$B,[1]Sheet1!$Q:$Q,0)</f>
        <v>570375</v>
      </c>
      <c r="O814" s="12">
        <f>_xlfn.XLOOKUP(B814,[1]Sheet1!$B:$B,[1]Sheet1!$R:$R,0)</f>
        <v>321375</v>
      </c>
      <c r="P814" s="12">
        <f>_xlfn.XLOOKUP(B814,[1]Sheet1!$B:$B,[1]Sheet1!$S:$S,0)</f>
        <v>1074500</v>
      </c>
      <c r="Q814" s="12">
        <f>_xlfn.XLOOKUP(B814,[1]Sheet1!$B:$B,[1]Sheet1!$T:$T,0)</f>
        <v>1446375</v>
      </c>
      <c r="R814" s="12">
        <f>_xlfn.XLOOKUP(B814,[1]Sheet1!$B:$B,[1]Sheet1!$U:$U,0)</f>
        <v>2273375</v>
      </c>
      <c r="S814" s="12">
        <f>_xlfn.XLOOKUP(B814,[1]Sheet1!$B:$B,[1]Sheet1!$V:$V,0)</f>
        <v>1274750</v>
      </c>
      <c r="T814" s="12">
        <f>_xlfn.XLOOKUP(B814,[1]Sheet1!$B:$B,[1]Sheet1!$W:$W,0)</f>
        <v>824500</v>
      </c>
      <c r="U814" s="12">
        <f>_xlfn.XLOOKUP(B814,[1]Sheet1!$B:$B,[1]Sheet1!$X:$X,0)</f>
        <v>974500</v>
      </c>
      <c r="V814" s="12">
        <f>_xlfn.XLOOKUP(B814,[1]Sheet1!$B:$B,[1]Sheet1!$Y:$Y,0)</f>
        <v>1549000</v>
      </c>
      <c r="W814" s="12">
        <f t="shared" si="27"/>
        <v>10308750</v>
      </c>
      <c r="X814" s="6" t="s">
        <v>1076</v>
      </c>
      <c r="Y814" s="6" t="s">
        <v>211</v>
      </c>
      <c r="Z814" s="6" t="s">
        <v>1074</v>
      </c>
      <c r="AA814" s="6" t="s">
        <v>53</v>
      </c>
      <c r="AB814" s="6" t="s">
        <v>36</v>
      </c>
      <c r="AC814" s="6" t="s">
        <v>37</v>
      </c>
      <c r="AD814" s="6" t="s">
        <v>1077</v>
      </c>
      <c r="AE814" s="6" t="s">
        <v>39</v>
      </c>
      <c r="AF814" s="6" t="s">
        <v>40</v>
      </c>
      <c r="AG814" s="7">
        <v>8428800</v>
      </c>
      <c r="AH814" s="11">
        <f>_xlfn.XLOOKUP(B814,[1]Sheet1!$B:$B,[1]Sheet1!$AB:$AB,0)</f>
        <v>8428800</v>
      </c>
    </row>
    <row r="815" spans="2:34" ht="16.8" thickTop="1" thickBot="1" x14ac:dyDescent="0.35">
      <c r="B815" s="3" t="str">
        <f t="shared" si="26"/>
        <v>45153004511000979Design &amp; Build-NC491211300105</v>
      </c>
      <c r="C815" s="8" t="s">
        <v>1075</v>
      </c>
      <c r="D815" s="8" t="s">
        <v>1283</v>
      </c>
      <c r="E815" s="8" t="s">
        <v>1284</v>
      </c>
      <c r="F815" s="8" t="s">
        <v>1285</v>
      </c>
      <c r="G815" s="4" t="s">
        <v>2839</v>
      </c>
      <c r="H815" s="4" t="s">
        <v>2923</v>
      </c>
      <c r="I815" s="8" t="s">
        <v>411</v>
      </c>
      <c r="J815" s="8" t="s">
        <v>31</v>
      </c>
      <c r="K815" s="12">
        <f>_xlfn.XLOOKUP(B815,[1]Sheet1!$B:$B,[1]Sheet1!$N:$N,0)</f>
        <v>0</v>
      </c>
      <c r="L815" s="12">
        <f>_xlfn.XLOOKUP(B815,[1]Sheet1!$B:$B,[1]Sheet1!$O:$O,0)</f>
        <v>0</v>
      </c>
      <c r="M815" s="12">
        <f>_xlfn.XLOOKUP(B815,[1]Sheet1!$B:$B,[1]Sheet1!$P:$P,0)</f>
        <v>0</v>
      </c>
      <c r="N815" s="12">
        <f>_xlfn.XLOOKUP(B815,[1]Sheet1!$B:$B,[1]Sheet1!$Q:$Q,0)</f>
        <v>0</v>
      </c>
      <c r="O815" s="12">
        <f>_xlfn.XLOOKUP(B815,[1]Sheet1!$B:$B,[1]Sheet1!$R:$R,0)</f>
        <v>0</v>
      </c>
      <c r="P815" s="12">
        <f>_xlfn.XLOOKUP(B815,[1]Sheet1!$B:$B,[1]Sheet1!$S:$S,0)</f>
        <v>0</v>
      </c>
      <c r="Q815" s="12">
        <f>_xlfn.XLOOKUP(B815,[1]Sheet1!$B:$B,[1]Sheet1!$T:$T,0)</f>
        <v>0</v>
      </c>
      <c r="R815" s="12">
        <f>_xlfn.XLOOKUP(B815,[1]Sheet1!$B:$B,[1]Sheet1!$U:$U,0)</f>
        <v>0</v>
      </c>
      <c r="S815" s="12">
        <f>_xlfn.XLOOKUP(B815,[1]Sheet1!$B:$B,[1]Sheet1!$V:$V,0)</f>
        <v>650000</v>
      </c>
      <c r="T815" s="12">
        <f>_xlfn.XLOOKUP(B815,[1]Sheet1!$B:$B,[1]Sheet1!$W:$W,0)</f>
        <v>0</v>
      </c>
      <c r="U815" s="12">
        <f>_xlfn.XLOOKUP(B815,[1]Sheet1!$B:$B,[1]Sheet1!$X:$X,0)</f>
        <v>900000</v>
      </c>
      <c r="V815" s="12">
        <f>_xlfn.XLOOKUP(B815,[1]Sheet1!$B:$B,[1]Sheet1!$Y:$Y,0)</f>
        <v>0</v>
      </c>
      <c r="W815" s="12">
        <f t="shared" si="27"/>
        <v>1550000</v>
      </c>
      <c r="X815" s="8" t="s">
        <v>1286</v>
      </c>
      <c r="Y815" s="8" t="s">
        <v>211</v>
      </c>
      <c r="Z815" s="8" t="s">
        <v>1074</v>
      </c>
      <c r="AA815" s="8" t="s">
        <v>411</v>
      </c>
      <c r="AB815" s="8" t="s">
        <v>93</v>
      </c>
      <c r="AC815" s="8" t="s">
        <v>94</v>
      </c>
      <c r="AD815" s="8" t="s">
        <v>342</v>
      </c>
      <c r="AE815" s="8" t="s">
        <v>39</v>
      </c>
      <c r="AF815" s="8" t="s">
        <v>40</v>
      </c>
      <c r="AG815" s="9">
        <v>42801</v>
      </c>
      <c r="AH815" s="11">
        <f>_xlfn.XLOOKUP(B815,[1]Sheet1!$B:$B,[1]Sheet1!$AB:$AB,0)</f>
        <v>42801</v>
      </c>
    </row>
    <row r="816" spans="2:34" ht="16.8" thickTop="1" thickBot="1" x14ac:dyDescent="0.35">
      <c r="B816" s="3" t="str">
        <f t="shared" si="26"/>
        <v>45153004511000979System Maintain-N422211200104</v>
      </c>
      <c r="C816" s="6" t="s">
        <v>1075</v>
      </c>
      <c r="D816" s="6" t="s">
        <v>1283</v>
      </c>
      <c r="E816" s="6" t="s">
        <v>1284</v>
      </c>
      <c r="F816" s="6" t="s">
        <v>488</v>
      </c>
      <c r="G816" s="4" t="s">
        <v>2869</v>
      </c>
      <c r="H816" s="4" t="s">
        <v>2922</v>
      </c>
      <c r="I816" s="6" t="s">
        <v>1287</v>
      </c>
      <c r="J816" s="6" t="s">
        <v>31</v>
      </c>
      <c r="K816" s="12">
        <f>_xlfn.XLOOKUP(B816,[1]Sheet1!$B:$B,[1]Sheet1!$N:$N,0)</f>
        <v>0</v>
      </c>
      <c r="L816" s="12">
        <f>_xlfn.XLOOKUP(B816,[1]Sheet1!$B:$B,[1]Sheet1!$O:$O,0)</f>
        <v>0</v>
      </c>
      <c r="M816" s="12">
        <f>_xlfn.XLOOKUP(B816,[1]Sheet1!$B:$B,[1]Sheet1!$P:$P,0)</f>
        <v>0</v>
      </c>
      <c r="N816" s="12">
        <f>_xlfn.XLOOKUP(B816,[1]Sheet1!$B:$B,[1]Sheet1!$Q:$Q,0)</f>
        <v>0</v>
      </c>
      <c r="O816" s="12">
        <f>_xlfn.XLOOKUP(B816,[1]Sheet1!$B:$B,[1]Sheet1!$R:$R,0)</f>
        <v>0</v>
      </c>
      <c r="P816" s="12">
        <f>_xlfn.XLOOKUP(B816,[1]Sheet1!$B:$B,[1]Sheet1!$S:$S,0)</f>
        <v>0</v>
      </c>
      <c r="Q816" s="12">
        <f>_xlfn.XLOOKUP(B816,[1]Sheet1!$B:$B,[1]Sheet1!$T:$T,0)</f>
        <v>0</v>
      </c>
      <c r="R816" s="12">
        <f>_xlfn.XLOOKUP(B816,[1]Sheet1!$B:$B,[1]Sheet1!$U:$U,0)</f>
        <v>450000</v>
      </c>
      <c r="S816" s="12">
        <f>_xlfn.XLOOKUP(B816,[1]Sheet1!$B:$B,[1]Sheet1!$V:$V,0)</f>
        <v>0</v>
      </c>
      <c r="T816" s="12">
        <f>_xlfn.XLOOKUP(B816,[1]Sheet1!$B:$B,[1]Sheet1!$W:$W,0)</f>
        <v>0</v>
      </c>
      <c r="U816" s="12">
        <f>_xlfn.XLOOKUP(B816,[1]Sheet1!$B:$B,[1]Sheet1!$X:$X,0)</f>
        <v>0</v>
      </c>
      <c r="V816" s="12">
        <f>_xlfn.XLOOKUP(B816,[1]Sheet1!$B:$B,[1]Sheet1!$Y:$Y,0)</f>
        <v>450000</v>
      </c>
      <c r="W816" s="12">
        <f t="shared" si="27"/>
        <v>900000</v>
      </c>
      <c r="X816" s="6" t="s">
        <v>1288</v>
      </c>
      <c r="Y816" s="6" t="s">
        <v>211</v>
      </c>
      <c r="Z816" s="6" t="s">
        <v>1074</v>
      </c>
      <c r="AA816" s="6" t="s">
        <v>1289</v>
      </c>
      <c r="AB816" s="6" t="s">
        <v>36</v>
      </c>
      <c r="AC816" s="6" t="s">
        <v>37</v>
      </c>
      <c r="AD816" s="6" t="s">
        <v>1077</v>
      </c>
      <c r="AE816" s="6" t="s">
        <v>39</v>
      </c>
      <c r="AF816" s="6" t="s">
        <v>40</v>
      </c>
      <c r="AG816" s="7">
        <v>900000</v>
      </c>
      <c r="AH816" s="11">
        <f>_xlfn.XLOOKUP(B816,[1]Sheet1!$B:$B,[1]Sheet1!$AB:$AB,0)</f>
        <v>900000</v>
      </c>
    </row>
    <row r="817" spans="2:34" ht="16.8" thickTop="1" thickBot="1" x14ac:dyDescent="0.35">
      <c r="B817" s="3" t="str">
        <f t="shared" si="26"/>
        <v>45154004511000981MICE-Association-L461412201931</v>
      </c>
      <c r="C817" s="8" t="s">
        <v>213</v>
      </c>
      <c r="D817" s="8" t="s">
        <v>1290</v>
      </c>
      <c r="E817" s="8" t="s">
        <v>1291</v>
      </c>
      <c r="F817" s="8" t="s">
        <v>1292</v>
      </c>
      <c r="G817" s="4" t="s">
        <v>2868</v>
      </c>
      <c r="H817" s="4" t="s">
        <v>2925</v>
      </c>
      <c r="I817" s="8" t="s">
        <v>1255</v>
      </c>
      <c r="J817" s="8" t="s">
        <v>31</v>
      </c>
      <c r="K817" s="12">
        <f>_xlfn.XLOOKUP(B817,[1]Sheet1!$B:$B,[1]Sheet1!$N:$N,0)</f>
        <v>0</v>
      </c>
      <c r="L817" s="12">
        <f>_xlfn.XLOOKUP(B817,[1]Sheet1!$B:$B,[1]Sheet1!$O:$O,0)</f>
        <v>0</v>
      </c>
      <c r="M817" s="12">
        <f>_xlfn.XLOOKUP(B817,[1]Sheet1!$B:$B,[1]Sheet1!$P:$P,0)</f>
        <v>823864</v>
      </c>
      <c r="N817" s="12">
        <f>_xlfn.XLOOKUP(B817,[1]Sheet1!$B:$B,[1]Sheet1!$Q:$Q,0)</f>
        <v>1012136</v>
      </c>
      <c r="O817" s="12">
        <f>_xlfn.XLOOKUP(B817,[1]Sheet1!$B:$B,[1]Sheet1!$R:$R,0)</f>
        <v>2142000</v>
      </c>
      <c r="P817" s="12">
        <f>_xlfn.XLOOKUP(B817,[1]Sheet1!$B:$B,[1]Sheet1!$S:$S,0)</f>
        <v>460000</v>
      </c>
      <c r="Q817" s="12">
        <f>_xlfn.XLOOKUP(B817,[1]Sheet1!$B:$B,[1]Sheet1!$T:$T,0)</f>
        <v>2460000</v>
      </c>
      <c r="R817" s="12">
        <f>_xlfn.XLOOKUP(B817,[1]Sheet1!$B:$B,[1]Sheet1!$U:$U,0)</f>
        <v>2545000</v>
      </c>
      <c r="S817" s="12">
        <f>_xlfn.XLOOKUP(B817,[1]Sheet1!$B:$B,[1]Sheet1!$V:$V,0)</f>
        <v>200000</v>
      </c>
      <c r="T817" s="12">
        <f>_xlfn.XLOOKUP(B817,[1]Sheet1!$B:$B,[1]Sheet1!$W:$W,0)</f>
        <v>250000</v>
      </c>
      <c r="U817" s="12">
        <f>_xlfn.XLOOKUP(B817,[1]Sheet1!$B:$B,[1]Sheet1!$X:$X,0)</f>
        <v>0</v>
      </c>
      <c r="V817" s="12">
        <f>_xlfn.XLOOKUP(B817,[1]Sheet1!$B:$B,[1]Sheet1!$Y:$Y,0)</f>
        <v>5410000</v>
      </c>
      <c r="W817" s="12">
        <f t="shared" si="27"/>
        <v>15303000</v>
      </c>
      <c r="X817" s="8" t="s">
        <v>1293</v>
      </c>
      <c r="Y817" s="8" t="s">
        <v>211</v>
      </c>
      <c r="Z817" s="8" t="s">
        <v>212</v>
      </c>
      <c r="AA817" s="8" t="s">
        <v>1255</v>
      </c>
      <c r="AB817" s="8" t="s">
        <v>327</v>
      </c>
      <c r="AC817" s="8" t="s">
        <v>37</v>
      </c>
      <c r="AD817" s="8" t="s">
        <v>143</v>
      </c>
      <c r="AE817" s="8" t="s">
        <v>39</v>
      </c>
      <c r="AF817" s="8" t="s">
        <v>40</v>
      </c>
      <c r="AG817" s="9">
        <v>15303000</v>
      </c>
      <c r="AH817" s="11">
        <f>_xlfn.XLOOKUP(B817,[1]Sheet1!$B:$B,[1]Sheet1!$AB:$AB,0)</f>
        <v>15303000</v>
      </c>
    </row>
    <row r="818" spans="2:34" ht="16.8" thickTop="1" thickBot="1" x14ac:dyDescent="0.35">
      <c r="B818" s="3" t="str">
        <f t="shared" si="26"/>
        <v>45154004511000981MICE-M&amp;I-N461412200104</v>
      </c>
      <c r="C818" s="6" t="s">
        <v>213</v>
      </c>
      <c r="D818" s="6" t="s">
        <v>1290</v>
      </c>
      <c r="E818" s="6" t="s">
        <v>1291</v>
      </c>
      <c r="F818" s="6" t="s">
        <v>1294</v>
      </c>
      <c r="G818" s="4" t="s">
        <v>2868</v>
      </c>
      <c r="H818" s="4" t="s">
        <v>2922</v>
      </c>
      <c r="I818" s="6" t="s">
        <v>1255</v>
      </c>
      <c r="J818" s="6" t="s">
        <v>31</v>
      </c>
      <c r="K818" s="12">
        <f>_xlfn.XLOOKUP(B818,[1]Sheet1!$B:$B,[1]Sheet1!$N:$N,0)</f>
        <v>0</v>
      </c>
      <c r="L818" s="12">
        <f>_xlfn.XLOOKUP(B818,[1]Sheet1!$B:$B,[1]Sheet1!$O:$O,0)</f>
        <v>0</v>
      </c>
      <c r="M818" s="12">
        <f>_xlfn.XLOOKUP(B818,[1]Sheet1!$B:$B,[1]Sheet1!$P:$P,0)</f>
        <v>81450</v>
      </c>
      <c r="N818" s="12">
        <f>_xlfn.XLOOKUP(B818,[1]Sheet1!$B:$B,[1]Sheet1!$Q:$Q,0)</f>
        <v>235000</v>
      </c>
      <c r="O818" s="12">
        <f>_xlfn.XLOOKUP(B818,[1]Sheet1!$B:$B,[1]Sheet1!$R:$R,0)</f>
        <v>2510950</v>
      </c>
      <c r="P818" s="12">
        <f>_xlfn.XLOOKUP(B818,[1]Sheet1!$B:$B,[1]Sheet1!$S:$S,0)</f>
        <v>581725</v>
      </c>
      <c r="Q818" s="12">
        <f>_xlfn.XLOOKUP(B818,[1]Sheet1!$B:$B,[1]Sheet1!$T:$T,0)</f>
        <v>89000</v>
      </c>
      <c r="R818" s="12">
        <f>_xlfn.XLOOKUP(B818,[1]Sheet1!$B:$B,[1]Sheet1!$U:$U,0)</f>
        <v>575000</v>
      </c>
      <c r="S818" s="12">
        <f>_xlfn.XLOOKUP(B818,[1]Sheet1!$B:$B,[1]Sheet1!$V:$V,0)</f>
        <v>0</v>
      </c>
      <c r="T818" s="12">
        <f>_xlfn.XLOOKUP(B818,[1]Sheet1!$B:$B,[1]Sheet1!$W:$W,0)</f>
        <v>0</v>
      </c>
      <c r="U818" s="12">
        <f>_xlfn.XLOOKUP(B818,[1]Sheet1!$B:$B,[1]Sheet1!$X:$X,0)</f>
        <v>0</v>
      </c>
      <c r="V818" s="12">
        <f>_xlfn.XLOOKUP(B818,[1]Sheet1!$B:$B,[1]Sheet1!$Y:$Y,0)</f>
        <v>0</v>
      </c>
      <c r="W818" s="12">
        <f t="shared" si="27"/>
        <v>4073125</v>
      </c>
      <c r="X818" s="6" t="s">
        <v>1262</v>
      </c>
      <c r="Y818" s="6" t="s">
        <v>211</v>
      </c>
      <c r="Z818" s="6" t="s">
        <v>212</v>
      </c>
      <c r="AA818" s="6" t="s">
        <v>1255</v>
      </c>
      <c r="AB818" s="6" t="s">
        <v>36</v>
      </c>
      <c r="AC818" s="6" t="s">
        <v>37</v>
      </c>
      <c r="AD818" s="6" t="s">
        <v>214</v>
      </c>
      <c r="AE818" s="6" t="s">
        <v>39</v>
      </c>
      <c r="AF818" s="6" t="s">
        <v>40</v>
      </c>
      <c r="AG818" s="7">
        <v>4073125</v>
      </c>
      <c r="AH818" s="11">
        <f>_xlfn.XLOOKUP(B818,[1]Sheet1!$B:$B,[1]Sheet1!$AB:$AB,0)</f>
        <v>4073125</v>
      </c>
    </row>
    <row r="819" spans="2:34" ht="16.8" thickTop="1" thickBot="1" x14ac:dyDescent="0.35">
      <c r="B819" s="3" t="str">
        <f t="shared" si="26"/>
        <v>45154004511000981MICE-Trade Shows-L422401201931</v>
      </c>
      <c r="C819" s="8" t="s">
        <v>213</v>
      </c>
      <c r="D819" s="8" t="s">
        <v>1290</v>
      </c>
      <c r="E819" s="8" t="s">
        <v>1291</v>
      </c>
      <c r="F819" s="8" t="s">
        <v>1295</v>
      </c>
      <c r="G819" s="4" t="s">
        <v>2807</v>
      </c>
      <c r="H819" s="4" t="s">
        <v>2925</v>
      </c>
      <c r="I819" s="8" t="s">
        <v>63</v>
      </c>
      <c r="J819" s="8" t="s">
        <v>31</v>
      </c>
      <c r="K819" s="12">
        <f>_xlfn.XLOOKUP(B819,[1]Sheet1!$B:$B,[1]Sheet1!$N:$N,0)</f>
        <v>0</v>
      </c>
      <c r="L819" s="12">
        <f>_xlfn.XLOOKUP(B819,[1]Sheet1!$B:$B,[1]Sheet1!$O:$O,0)</f>
        <v>0</v>
      </c>
      <c r="M819" s="12">
        <f>_xlfn.XLOOKUP(B819,[1]Sheet1!$B:$B,[1]Sheet1!$P:$P,0)</f>
        <v>0</v>
      </c>
      <c r="N819" s="12">
        <f>_xlfn.XLOOKUP(B819,[1]Sheet1!$B:$B,[1]Sheet1!$Q:$Q,0)</f>
        <v>0</v>
      </c>
      <c r="O819" s="12">
        <f>_xlfn.XLOOKUP(B819,[1]Sheet1!$B:$B,[1]Sheet1!$R:$R,0)</f>
        <v>0</v>
      </c>
      <c r="P819" s="12">
        <f>_xlfn.XLOOKUP(B819,[1]Sheet1!$B:$B,[1]Sheet1!$S:$S,0)</f>
        <v>0</v>
      </c>
      <c r="Q819" s="12">
        <f>_xlfn.XLOOKUP(B819,[1]Sheet1!$B:$B,[1]Sheet1!$T:$T,0)</f>
        <v>0</v>
      </c>
      <c r="R819" s="12">
        <f>_xlfn.XLOOKUP(B819,[1]Sheet1!$B:$B,[1]Sheet1!$U:$U,0)</f>
        <v>0</v>
      </c>
      <c r="S819" s="12">
        <f>_xlfn.XLOOKUP(B819,[1]Sheet1!$B:$B,[1]Sheet1!$V:$V,0)</f>
        <v>0</v>
      </c>
      <c r="T819" s="12">
        <f>_xlfn.XLOOKUP(B819,[1]Sheet1!$B:$B,[1]Sheet1!$W:$W,0)</f>
        <v>0</v>
      </c>
      <c r="U819" s="12">
        <f>_xlfn.XLOOKUP(B819,[1]Sheet1!$B:$B,[1]Sheet1!$X:$X,0)</f>
        <v>0</v>
      </c>
      <c r="V819" s="12">
        <f>_xlfn.XLOOKUP(B819,[1]Sheet1!$B:$B,[1]Sheet1!$Y:$Y,0)</f>
        <v>1541160.21136884</v>
      </c>
      <c r="W819" s="12">
        <f t="shared" si="27"/>
        <v>1541160.21136884</v>
      </c>
      <c r="X819" s="8" t="s">
        <v>1296</v>
      </c>
      <c r="Y819" s="8" t="s">
        <v>211</v>
      </c>
      <c r="Z819" s="8" t="s">
        <v>212</v>
      </c>
      <c r="AA819" s="8" t="s">
        <v>68</v>
      </c>
      <c r="AB819" s="8" t="s">
        <v>327</v>
      </c>
      <c r="AC819" s="8" t="s">
        <v>37</v>
      </c>
      <c r="AD819" s="8" t="s">
        <v>143</v>
      </c>
      <c r="AE819" s="8" t="s">
        <v>39</v>
      </c>
      <c r="AF819" s="8" t="s">
        <v>40</v>
      </c>
      <c r="AG819" s="9">
        <v>1541160</v>
      </c>
      <c r="AH819" s="11">
        <f>_xlfn.XLOOKUP(B819,[1]Sheet1!$B:$B,[1]Sheet1!$AB:$AB,0)</f>
        <v>1541160.21136884</v>
      </c>
    </row>
    <row r="820" spans="2:34" ht="16.8" thickTop="1" thickBot="1" x14ac:dyDescent="0.35">
      <c r="B820" s="3" t="str">
        <f t="shared" si="26"/>
        <v>45154004511000981MICE-Trade Shows-N422401200104</v>
      </c>
      <c r="C820" s="6" t="s">
        <v>213</v>
      </c>
      <c r="D820" s="6" t="s">
        <v>1290</v>
      </c>
      <c r="E820" s="6" t="s">
        <v>1291</v>
      </c>
      <c r="F820" s="6" t="s">
        <v>1297</v>
      </c>
      <c r="G820" s="4" t="s">
        <v>2807</v>
      </c>
      <c r="H820" s="4" t="s">
        <v>2922</v>
      </c>
      <c r="I820" s="6" t="s">
        <v>63</v>
      </c>
      <c r="J820" s="6" t="s">
        <v>31</v>
      </c>
      <c r="K820" s="12">
        <f>_xlfn.XLOOKUP(B820,[1]Sheet1!$B:$B,[1]Sheet1!$N:$N,0)</f>
        <v>0</v>
      </c>
      <c r="L820" s="12">
        <f>_xlfn.XLOOKUP(B820,[1]Sheet1!$B:$B,[1]Sheet1!$O:$O,0)</f>
        <v>0</v>
      </c>
      <c r="M820" s="12">
        <f>_xlfn.XLOOKUP(B820,[1]Sheet1!$B:$B,[1]Sheet1!$P:$P,0)</f>
        <v>7634626</v>
      </c>
      <c r="N820" s="12">
        <f>_xlfn.XLOOKUP(B820,[1]Sheet1!$B:$B,[1]Sheet1!$Q:$Q,0)</f>
        <v>0</v>
      </c>
      <c r="O820" s="12">
        <f>_xlfn.XLOOKUP(B820,[1]Sheet1!$B:$B,[1]Sheet1!$R:$R,0)</f>
        <v>8623147</v>
      </c>
      <c r="P820" s="12">
        <f>_xlfn.XLOOKUP(B820,[1]Sheet1!$B:$B,[1]Sheet1!$S:$S,0)</f>
        <v>0</v>
      </c>
      <c r="Q820" s="12">
        <f>_xlfn.XLOOKUP(B820,[1]Sheet1!$B:$B,[1]Sheet1!$T:$T,0)</f>
        <v>5539963.5700000003</v>
      </c>
      <c r="R820" s="12">
        <f>_xlfn.XLOOKUP(B820,[1]Sheet1!$B:$B,[1]Sheet1!$U:$U,0)</f>
        <v>2815000</v>
      </c>
      <c r="S820" s="12">
        <f>_xlfn.XLOOKUP(B820,[1]Sheet1!$B:$B,[1]Sheet1!$V:$V,0)</f>
        <v>1500000</v>
      </c>
      <c r="T820" s="12">
        <f>_xlfn.XLOOKUP(B820,[1]Sheet1!$B:$B,[1]Sheet1!$W:$W,0)</f>
        <v>0</v>
      </c>
      <c r="U820" s="12">
        <f>_xlfn.XLOOKUP(B820,[1]Sheet1!$B:$B,[1]Sheet1!$X:$X,0)</f>
        <v>0</v>
      </c>
      <c r="V820" s="12">
        <f>_xlfn.XLOOKUP(B820,[1]Sheet1!$B:$B,[1]Sheet1!$Y:$Y,0)</f>
        <v>1319955.7886311561</v>
      </c>
      <c r="W820" s="12">
        <f t="shared" si="27"/>
        <v>27432692.358631156</v>
      </c>
      <c r="X820" s="6" t="s">
        <v>219</v>
      </c>
      <c r="Y820" s="6" t="s">
        <v>211</v>
      </c>
      <c r="Z820" s="6" t="s">
        <v>212</v>
      </c>
      <c r="AA820" s="6" t="s">
        <v>68</v>
      </c>
      <c r="AB820" s="6" t="s">
        <v>36</v>
      </c>
      <c r="AC820" s="6" t="s">
        <v>37</v>
      </c>
      <c r="AD820" s="6" t="s">
        <v>214</v>
      </c>
      <c r="AE820" s="6" t="s">
        <v>39</v>
      </c>
      <c r="AF820" s="6" t="s">
        <v>40</v>
      </c>
      <c r="AG820" s="7">
        <v>27235692</v>
      </c>
      <c r="AH820" s="11">
        <f>_xlfn.XLOOKUP(B820,[1]Sheet1!$B:$B,[1]Sheet1!$AB:$AB,0)</f>
        <v>27235692.358631156</v>
      </c>
    </row>
    <row r="821" spans="2:34" ht="16.8" thickTop="1" thickBot="1" x14ac:dyDescent="0.35">
      <c r="B821" s="3" t="str">
        <f t="shared" si="26"/>
        <v>45153004511000984Freelancers-N424521200104</v>
      </c>
      <c r="C821" s="8" t="s">
        <v>1075</v>
      </c>
      <c r="D821" s="8" t="s">
        <v>1298</v>
      </c>
      <c r="E821" s="8" t="s">
        <v>1299</v>
      </c>
      <c r="F821" s="8" t="s">
        <v>50</v>
      </c>
      <c r="G821" s="4" t="s">
        <v>2804</v>
      </c>
      <c r="H821" s="4" t="s">
        <v>2922</v>
      </c>
      <c r="I821" s="8" t="s">
        <v>51</v>
      </c>
      <c r="J821" s="8" t="s">
        <v>31</v>
      </c>
      <c r="K821" s="12">
        <f>_xlfn.XLOOKUP(B821,[1]Sheet1!$B:$B,[1]Sheet1!$N:$N,0)</f>
        <v>0</v>
      </c>
      <c r="L821" s="12">
        <f>_xlfn.XLOOKUP(B821,[1]Sheet1!$B:$B,[1]Sheet1!$O:$O,0)</f>
        <v>37299.5</v>
      </c>
      <c r="M821" s="12">
        <f>_xlfn.XLOOKUP(B821,[1]Sheet1!$B:$B,[1]Sheet1!$P:$P,0)</f>
        <v>74130</v>
      </c>
      <c r="N821" s="12">
        <f>_xlfn.XLOOKUP(B821,[1]Sheet1!$B:$B,[1]Sheet1!$Q:$Q,0)</f>
        <v>0</v>
      </c>
      <c r="O821" s="12">
        <f>_xlfn.XLOOKUP(B821,[1]Sheet1!$B:$B,[1]Sheet1!$R:$R,0)</f>
        <v>0</v>
      </c>
      <c r="P821" s="12">
        <f>_xlfn.XLOOKUP(B821,[1]Sheet1!$B:$B,[1]Sheet1!$S:$S,0)</f>
        <v>0</v>
      </c>
      <c r="Q821" s="12">
        <f>_xlfn.XLOOKUP(B821,[1]Sheet1!$B:$B,[1]Sheet1!$T:$T,0)</f>
        <v>0</v>
      </c>
      <c r="R821" s="12">
        <f>_xlfn.XLOOKUP(B821,[1]Sheet1!$B:$B,[1]Sheet1!$U:$U,0)</f>
        <v>0</v>
      </c>
      <c r="S821" s="12">
        <f>_xlfn.XLOOKUP(B821,[1]Sheet1!$B:$B,[1]Sheet1!$V:$V,0)</f>
        <v>0</v>
      </c>
      <c r="T821" s="12">
        <f>_xlfn.XLOOKUP(B821,[1]Sheet1!$B:$B,[1]Sheet1!$W:$W,0)</f>
        <v>0</v>
      </c>
      <c r="U821" s="12">
        <f>_xlfn.XLOOKUP(B821,[1]Sheet1!$B:$B,[1]Sheet1!$X:$X,0)</f>
        <v>0</v>
      </c>
      <c r="V821" s="12">
        <f>_xlfn.XLOOKUP(B821,[1]Sheet1!$B:$B,[1]Sheet1!$Y:$Y,0)</f>
        <v>0</v>
      </c>
      <c r="W821" s="12">
        <f t="shared" si="27"/>
        <v>111429.5</v>
      </c>
      <c r="X821" s="8" t="s">
        <v>1076</v>
      </c>
      <c r="Y821" s="8" t="s">
        <v>211</v>
      </c>
      <c r="Z821" s="8" t="s">
        <v>1074</v>
      </c>
      <c r="AA821" s="8" t="s">
        <v>53</v>
      </c>
      <c r="AB821" s="8" t="s">
        <v>36</v>
      </c>
      <c r="AC821" s="8" t="s">
        <v>37</v>
      </c>
      <c r="AD821" s="8" t="s">
        <v>1077</v>
      </c>
      <c r="AE821" s="8" t="s">
        <v>39</v>
      </c>
      <c r="AF821" s="8" t="s">
        <v>40</v>
      </c>
      <c r="AG821" s="9">
        <v>187359.6</v>
      </c>
      <c r="AH821" s="11">
        <f>_xlfn.XLOOKUP(B821,[1]Sheet1!$B:$B,[1]Sheet1!$AB:$AB,0)</f>
        <v>187359.5</v>
      </c>
    </row>
    <row r="822" spans="2:34" ht="16.8" thickTop="1" thickBot="1" x14ac:dyDescent="0.35">
      <c r="B822" s="3" t="str">
        <f t="shared" si="26"/>
        <v>45102304511000985Ad-hoc Repairs-N1426427200104</v>
      </c>
      <c r="C822" s="6" t="s">
        <v>467</v>
      </c>
      <c r="D822" s="6" t="s">
        <v>1300</v>
      </c>
      <c r="E822" s="6" t="s">
        <v>1301</v>
      </c>
      <c r="F822" s="6" t="s">
        <v>621</v>
      </c>
      <c r="G822" s="4" t="s">
        <v>2808</v>
      </c>
      <c r="H822" s="4" t="s">
        <v>2922</v>
      </c>
      <c r="I822" s="6" t="s">
        <v>71</v>
      </c>
      <c r="J822" s="6" t="s">
        <v>31</v>
      </c>
      <c r="K822" s="12">
        <f>_xlfn.XLOOKUP(B822,[1]Sheet1!$B:$B,[1]Sheet1!$N:$N,0)</f>
        <v>0</v>
      </c>
      <c r="L822" s="12">
        <f>_xlfn.XLOOKUP(B822,[1]Sheet1!$B:$B,[1]Sheet1!$O:$O,0)</f>
        <v>0</v>
      </c>
      <c r="M822" s="12">
        <f>_xlfn.XLOOKUP(B822,[1]Sheet1!$B:$B,[1]Sheet1!$P:$P,0)</f>
        <v>0</v>
      </c>
      <c r="N822" s="12">
        <f>_xlfn.XLOOKUP(B822,[1]Sheet1!$B:$B,[1]Sheet1!$Q:$Q,0)</f>
        <v>16400</v>
      </c>
      <c r="O822" s="12">
        <f>_xlfn.XLOOKUP(B822,[1]Sheet1!$B:$B,[1]Sheet1!$R:$R,0)</f>
        <v>4100</v>
      </c>
      <c r="P822" s="12">
        <f>_xlfn.XLOOKUP(B822,[1]Sheet1!$B:$B,[1]Sheet1!$S:$S,0)</f>
        <v>4100</v>
      </c>
      <c r="Q822" s="12">
        <f>_xlfn.XLOOKUP(B822,[1]Sheet1!$B:$B,[1]Sheet1!$T:$T,0)</f>
        <v>4100</v>
      </c>
      <c r="R822" s="12">
        <f>_xlfn.XLOOKUP(B822,[1]Sheet1!$B:$B,[1]Sheet1!$U:$U,0)</f>
        <v>4100</v>
      </c>
      <c r="S822" s="12">
        <f>_xlfn.XLOOKUP(B822,[1]Sheet1!$B:$B,[1]Sheet1!$V:$V,0)</f>
        <v>4300</v>
      </c>
      <c r="T822" s="12">
        <f>_xlfn.XLOOKUP(B822,[1]Sheet1!$B:$B,[1]Sheet1!$W:$W,0)</f>
        <v>4300</v>
      </c>
      <c r="U822" s="12">
        <f>_xlfn.XLOOKUP(B822,[1]Sheet1!$B:$B,[1]Sheet1!$X:$X,0)</f>
        <v>4300</v>
      </c>
      <c r="V822" s="12">
        <f>_xlfn.XLOOKUP(B822,[1]Sheet1!$B:$B,[1]Sheet1!$Y:$Y,0)</f>
        <v>4300</v>
      </c>
      <c r="W822" s="12">
        <f t="shared" si="27"/>
        <v>50000</v>
      </c>
      <c r="X822" s="6" t="s">
        <v>622</v>
      </c>
      <c r="Y822" s="6" t="s">
        <v>132</v>
      </c>
      <c r="Z822" s="6" t="s">
        <v>466</v>
      </c>
      <c r="AA822" s="6" t="s">
        <v>71</v>
      </c>
      <c r="AB822" s="6" t="s">
        <v>36</v>
      </c>
      <c r="AC822" s="6" t="s">
        <v>37</v>
      </c>
      <c r="AD822" s="6" t="s">
        <v>468</v>
      </c>
      <c r="AE822" s="6" t="s">
        <v>39</v>
      </c>
      <c r="AF822" s="6" t="s">
        <v>40</v>
      </c>
      <c r="AG822" s="7">
        <v>50000</v>
      </c>
      <c r="AH822" s="11">
        <f>_xlfn.XLOOKUP(B822,[1]Sheet1!$B:$B,[1]Sheet1!$AB:$AB,0)</f>
        <v>50000</v>
      </c>
    </row>
    <row r="823" spans="2:34" ht="16.8" thickTop="1" thickBot="1" x14ac:dyDescent="0.35">
      <c r="B823" s="3" t="str">
        <f t="shared" si="26"/>
        <v>45102304511000985Interior Fit Out-NC1491711300105</v>
      </c>
      <c r="C823" s="8" t="s">
        <v>467</v>
      </c>
      <c r="D823" s="8" t="s">
        <v>1300</v>
      </c>
      <c r="E823" s="8" t="s">
        <v>1301</v>
      </c>
      <c r="F823" s="8" t="s">
        <v>638</v>
      </c>
      <c r="G823" s="4" t="s">
        <v>2854</v>
      </c>
      <c r="H823" s="4" t="s">
        <v>2923</v>
      </c>
      <c r="I823" s="8" t="s">
        <v>639</v>
      </c>
      <c r="J823" s="8" t="s">
        <v>31</v>
      </c>
      <c r="K823" s="12">
        <f>_xlfn.XLOOKUP(B823,[1]Sheet1!$B:$B,[1]Sheet1!$N:$N,0)</f>
        <v>0</v>
      </c>
      <c r="L823" s="12">
        <f>_xlfn.XLOOKUP(B823,[1]Sheet1!$B:$B,[1]Sheet1!$O:$O,0)</f>
        <v>0</v>
      </c>
      <c r="M823" s="12">
        <f>_xlfn.XLOOKUP(B823,[1]Sheet1!$B:$B,[1]Sheet1!$P:$P,0)</f>
        <v>0</v>
      </c>
      <c r="N823" s="12">
        <f>_xlfn.XLOOKUP(B823,[1]Sheet1!$B:$B,[1]Sheet1!$Q:$Q,0)</f>
        <v>19000</v>
      </c>
      <c r="O823" s="12">
        <f>_xlfn.XLOOKUP(B823,[1]Sheet1!$B:$B,[1]Sheet1!$R:$R,0)</f>
        <v>0</v>
      </c>
      <c r="P823" s="12">
        <f>_xlfn.XLOOKUP(B823,[1]Sheet1!$B:$B,[1]Sheet1!$S:$S,0)</f>
        <v>0</v>
      </c>
      <c r="Q823" s="12">
        <f>_xlfn.XLOOKUP(B823,[1]Sheet1!$B:$B,[1]Sheet1!$T:$T,0)</f>
        <v>10000</v>
      </c>
      <c r="R823" s="12">
        <f>_xlfn.XLOOKUP(B823,[1]Sheet1!$B:$B,[1]Sheet1!$U:$U,0)</f>
        <v>0</v>
      </c>
      <c r="S823" s="12">
        <f>_xlfn.XLOOKUP(B823,[1]Sheet1!$B:$B,[1]Sheet1!$V:$V,0)</f>
        <v>18500</v>
      </c>
      <c r="T823" s="12">
        <f>_xlfn.XLOOKUP(B823,[1]Sheet1!$B:$B,[1]Sheet1!$W:$W,0)</f>
        <v>0</v>
      </c>
      <c r="U823" s="12">
        <f>_xlfn.XLOOKUP(B823,[1]Sheet1!$B:$B,[1]Sheet1!$X:$X,0)</f>
        <v>0</v>
      </c>
      <c r="V823" s="12">
        <f>_xlfn.XLOOKUP(B823,[1]Sheet1!$B:$B,[1]Sheet1!$Y:$Y,0)</f>
        <v>0</v>
      </c>
      <c r="W823" s="12">
        <f t="shared" si="27"/>
        <v>47500</v>
      </c>
      <c r="X823" s="8" t="s">
        <v>640</v>
      </c>
      <c r="Y823" s="8" t="s">
        <v>132</v>
      </c>
      <c r="Z823" s="8" t="s">
        <v>466</v>
      </c>
      <c r="AA823" s="8" t="s">
        <v>639</v>
      </c>
      <c r="AB823" s="8" t="s">
        <v>93</v>
      </c>
      <c r="AC823" s="8" t="s">
        <v>94</v>
      </c>
      <c r="AD823" s="8" t="s">
        <v>468</v>
      </c>
      <c r="AE823" s="8" t="s">
        <v>39</v>
      </c>
      <c r="AF823" s="8" t="s">
        <v>40</v>
      </c>
      <c r="AG823" s="9">
        <v>47500</v>
      </c>
      <c r="AH823" s="11">
        <f>_xlfn.XLOOKUP(B823,[1]Sheet1!$B:$B,[1]Sheet1!$AB:$AB,0)</f>
        <v>47500</v>
      </c>
    </row>
    <row r="824" spans="2:34" ht="16.8" thickTop="1" thickBot="1" x14ac:dyDescent="0.35">
      <c r="B824" s="3" t="str">
        <f t="shared" si="26"/>
        <v>45102304511000985Maintenance-N1426212200104</v>
      </c>
      <c r="C824" s="6" t="s">
        <v>467</v>
      </c>
      <c r="D824" s="6" t="s">
        <v>1300</v>
      </c>
      <c r="E824" s="6" t="s">
        <v>1301</v>
      </c>
      <c r="F824" s="6" t="s">
        <v>625</v>
      </c>
      <c r="G824" s="4" t="s">
        <v>2814</v>
      </c>
      <c r="H824" s="4" t="s">
        <v>2922</v>
      </c>
      <c r="I824" s="6" t="s">
        <v>96</v>
      </c>
      <c r="J824" s="6" t="s">
        <v>31</v>
      </c>
      <c r="K824" s="12">
        <f>_xlfn.XLOOKUP(B824,[1]Sheet1!$B:$B,[1]Sheet1!$N:$N,0)</f>
        <v>0</v>
      </c>
      <c r="L824" s="12">
        <f>_xlfn.XLOOKUP(B824,[1]Sheet1!$B:$B,[1]Sheet1!$O:$O,0)</f>
        <v>0</v>
      </c>
      <c r="M824" s="12">
        <f>_xlfn.XLOOKUP(B824,[1]Sheet1!$B:$B,[1]Sheet1!$P:$P,0)</f>
        <v>0</v>
      </c>
      <c r="N824" s="12">
        <f>_xlfn.XLOOKUP(B824,[1]Sheet1!$B:$B,[1]Sheet1!$Q:$Q,0)</f>
        <v>16000</v>
      </c>
      <c r="O824" s="12">
        <f>_xlfn.XLOOKUP(B824,[1]Sheet1!$B:$B,[1]Sheet1!$R:$R,0)</f>
        <v>4000</v>
      </c>
      <c r="P824" s="12">
        <f>_xlfn.XLOOKUP(B824,[1]Sheet1!$B:$B,[1]Sheet1!$S:$S,0)</f>
        <v>4000</v>
      </c>
      <c r="Q824" s="12">
        <f>_xlfn.XLOOKUP(B824,[1]Sheet1!$B:$B,[1]Sheet1!$T:$T,0)</f>
        <v>4000</v>
      </c>
      <c r="R824" s="12">
        <f>_xlfn.XLOOKUP(B824,[1]Sheet1!$B:$B,[1]Sheet1!$U:$U,0)</f>
        <v>4000</v>
      </c>
      <c r="S824" s="12">
        <f>_xlfn.XLOOKUP(B824,[1]Sheet1!$B:$B,[1]Sheet1!$V:$V,0)</f>
        <v>4000</v>
      </c>
      <c r="T824" s="12">
        <f>_xlfn.XLOOKUP(B824,[1]Sheet1!$B:$B,[1]Sheet1!$W:$W,0)</f>
        <v>4000</v>
      </c>
      <c r="U824" s="12">
        <f>_xlfn.XLOOKUP(B824,[1]Sheet1!$B:$B,[1]Sheet1!$X:$X,0)</f>
        <v>4000</v>
      </c>
      <c r="V824" s="12">
        <f>_xlfn.XLOOKUP(B824,[1]Sheet1!$B:$B,[1]Sheet1!$Y:$Y,0)</f>
        <v>4000</v>
      </c>
      <c r="W824" s="12">
        <f t="shared" si="27"/>
        <v>48000</v>
      </c>
      <c r="X824" s="6" t="s">
        <v>626</v>
      </c>
      <c r="Y824" s="6" t="s">
        <v>132</v>
      </c>
      <c r="Z824" s="6" t="s">
        <v>466</v>
      </c>
      <c r="AA824" s="6" t="s">
        <v>96</v>
      </c>
      <c r="AB824" s="6" t="s">
        <v>36</v>
      </c>
      <c r="AC824" s="6" t="s">
        <v>37</v>
      </c>
      <c r="AD824" s="6" t="s">
        <v>468</v>
      </c>
      <c r="AE824" s="6" t="s">
        <v>39</v>
      </c>
      <c r="AF824" s="6" t="s">
        <v>40</v>
      </c>
      <c r="AG824" s="7">
        <v>48000</v>
      </c>
      <c r="AH824" s="11">
        <f>_xlfn.XLOOKUP(B824,[1]Sheet1!$B:$B,[1]Sheet1!$AB:$AB,0)</f>
        <v>48000</v>
      </c>
    </row>
    <row r="825" spans="2:34" ht="16.8" thickTop="1" thickBot="1" x14ac:dyDescent="0.35">
      <c r="B825" s="3" t="str">
        <f t="shared" si="26"/>
        <v>45102304511000985Security Service-N1424551200104</v>
      </c>
      <c r="C825" s="8" t="s">
        <v>467</v>
      </c>
      <c r="D825" s="8" t="s">
        <v>1300</v>
      </c>
      <c r="E825" s="8" t="s">
        <v>1301</v>
      </c>
      <c r="F825" s="8" t="s">
        <v>627</v>
      </c>
      <c r="G825" s="4" t="s">
        <v>2817</v>
      </c>
      <c r="H825" s="4" t="s">
        <v>2922</v>
      </c>
      <c r="I825" s="8" t="s">
        <v>108</v>
      </c>
      <c r="J825" s="8" t="s">
        <v>31</v>
      </c>
      <c r="K825" s="12">
        <f>_xlfn.XLOOKUP(B825,[1]Sheet1!$B:$B,[1]Sheet1!$N:$N,0)</f>
        <v>0</v>
      </c>
      <c r="L825" s="12">
        <f>_xlfn.XLOOKUP(B825,[1]Sheet1!$B:$B,[1]Sheet1!$O:$O,0)</f>
        <v>0</v>
      </c>
      <c r="M825" s="12">
        <f>_xlfn.XLOOKUP(B825,[1]Sheet1!$B:$B,[1]Sheet1!$P:$P,0)</f>
        <v>0</v>
      </c>
      <c r="N825" s="12">
        <f>_xlfn.XLOOKUP(B825,[1]Sheet1!$B:$B,[1]Sheet1!$Q:$Q,0)</f>
        <v>99600</v>
      </c>
      <c r="O825" s="12">
        <f>_xlfn.XLOOKUP(B825,[1]Sheet1!$B:$B,[1]Sheet1!$R:$R,0)</f>
        <v>24900</v>
      </c>
      <c r="P825" s="12">
        <f>_xlfn.XLOOKUP(B825,[1]Sheet1!$B:$B,[1]Sheet1!$S:$S,0)</f>
        <v>24900</v>
      </c>
      <c r="Q825" s="12">
        <f>_xlfn.XLOOKUP(B825,[1]Sheet1!$B:$B,[1]Sheet1!$T:$T,0)</f>
        <v>24900</v>
      </c>
      <c r="R825" s="12">
        <f>_xlfn.XLOOKUP(B825,[1]Sheet1!$B:$B,[1]Sheet1!$U:$U,0)</f>
        <v>24900</v>
      </c>
      <c r="S825" s="12">
        <f>_xlfn.XLOOKUP(B825,[1]Sheet1!$B:$B,[1]Sheet1!$V:$V,0)</f>
        <v>24900</v>
      </c>
      <c r="T825" s="12">
        <f>_xlfn.XLOOKUP(B825,[1]Sheet1!$B:$B,[1]Sheet1!$W:$W,0)</f>
        <v>24900</v>
      </c>
      <c r="U825" s="12">
        <f>_xlfn.XLOOKUP(B825,[1]Sheet1!$B:$B,[1]Sheet1!$X:$X,0)</f>
        <v>24900</v>
      </c>
      <c r="V825" s="12">
        <f>_xlfn.XLOOKUP(B825,[1]Sheet1!$B:$B,[1]Sheet1!$Y:$Y,0)</f>
        <v>24900</v>
      </c>
      <c r="W825" s="12">
        <f t="shared" si="27"/>
        <v>298800</v>
      </c>
      <c r="X825" s="8" t="s">
        <v>628</v>
      </c>
      <c r="Y825" s="8" t="s">
        <v>132</v>
      </c>
      <c r="Z825" s="8" t="s">
        <v>466</v>
      </c>
      <c r="AA825" s="8" t="s">
        <v>108</v>
      </c>
      <c r="AB825" s="8" t="s">
        <v>36</v>
      </c>
      <c r="AC825" s="8" t="s">
        <v>37</v>
      </c>
      <c r="AD825" s="8" t="s">
        <v>468</v>
      </c>
      <c r="AE825" s="8" t="s">
        <v>39</v>
      </c>
      <c r="AF825" s="8" t="s">
        <v>40</v>
      </c>
      <c r="AG825" s="9">
        <v>298800</v>
      </c>
      <c r="AH825" s="11">
        <f>_xlfn.XLOOKUP(B825,[1]Sheet1!$B:$B,[1]Sheet1!$AB:$AB,0)</f>
        <v>298800</v>
      </c>
    </row>
    <row r="826" spans="2:34" ht="16.8" thickTop="1" thickBot="1" x14ac:dyDescent="0.35">
      <c r="B826" s="3" t="str">
        <f t="shared" si="26"/>
        <v>45102104511000987Admin Expenses-N1421125200104</v>
      </c>
      <c r="C826" s="6" t="s">
        <v>448</v>
      </c>
      <c r="D826" s="6" t="s">
        <v>1302</v>
      </c>
      <c r="E826" s="6" t="s">
        <v>1303</v>
      </c>
      <c r="F826" s="6" t="s">
        <v>73</v>
      </c>
      <c r="G826" s="4" t="s">
        <v>2803</v>
      </c>
      <c r="H826" s="4" t="s">
        <v>2922</v>
      </c>
      <c r="I826" s="6" t="s">
        <v>44</v>
      </c>
      <c r="J826" s="6" t="s">
        <v>31</v>
      </c>
      <c r="K826" s="12">
        <f>_xlfn.XLOOKUP(B826,[1]Sheet1!$B:$B,[1]Sheet1!$N:$N,0)</f>
        <v>0</v>
      </c>
      <c r="L826" s="12">
        <f>_xlfn.XLOOKUP(B826,[1]Sheet1!$B:$B,[1]Sheet1!$O:$O,0)</f>
        <v>0</v>
      </c>
      <c r="M826" s="12">
        <f>_xlfn.XLOOKUP(B826,[1]Sheet1!$B:$B,[1]Sheet1!$P:$P,0)</f>
        <v>0</v>
      </c>
      <c r="N826" s="12">
        <f>_xlfn.XLOOKUP(B826,[1]Sheet1!$B:$B,[1]Sheet1!$Q:$Q,0)</f>
        <v>4000</v>
      </c>
      <c r="O826" s="12">
        <f>_xlfn.XLOOKUP(B826,[1]Sheet1!$B:$B,[1]Sheet1!$R:$R,0)</f>
        <v>0</v>
      </c>
      <c r="P826" s="12">
        <f>_xlfn.XLOOKUP(B826,[1]Sheet1!$B:$B,[1]Sheet1!$S:$S,0)</f>
        <v>5000</v>
      </c>
      <c r="Q826" s="12">
        <f>_xlfn.XLOOKUP(B826,[1]Sheet1!$B:$B,[1]Sheet1!$T:$T,0)</f>
        <v>48035</v>
      </c>
      <c r="R826" s="12">
        <f>_xlfn.XLOOKUP(B826,[1]Sheet1!$B:$B,[1]Sheet1!$U:$U,0)</f>
        <v>5000</v>
      </c>
      <c r="S826" s="12">
        <f>_xlfn.XLOOKUP(B826,[1]Sheet1!$B:$B,[1]Sheet1!$V:$V,0)</f>
        <v>0</v>
      </c>
      <c r="T826" s="12">
        <f>_xlfn.XLOOKUP(B826,[1]Sheet1!$B:$B,[1]Sheet1!$W:$W,0)</f>
        <v>0</v>
      </c>
      <c r="U826" s="12">
        <f>_xlfn.XLOOKUP(B826,[1]Sheet1!$B:$B,[1]Sheet1!$X:$X,0)</f>
        <v>5000</v>
      </c>
      <c r="V826" s="12">
        <f>_xlfn.XLOOKUP(B826,[1]Sheet1!$B:$B,[1]Sheet1!$Y:$Y,0)</f>
        <v>0</v>
      </c>
      <c r="W826" s="12">
        <f t="shared" si="27"/>
        <v>67035</v>
      </c>
      <c r="X826" s="6" t="s">
        <v>1304</v>
      </c>
      <c r="Y826" s="6" t="s">
        <v>132</v>
      </c>
      <c r="Z826" s="6" t="s">
        <v>447</v>
      </c>
      <c r="AA826" s="6" t="s">
        <v>44</v>
      </c>
      <c r="AB826" s="6" t="s">
        <v>36</v>
      </c>
      <c r="AC826" s="6" t="s">
        <v>37</v>
      </c>
      <c r="AD826" s="6" t="s">
        <v>143</v>
      </c>
      <c r="AE826" s="6" t="s">
        <v>39</v>
      </c>
      <c r="AF826" s="6" t="s">
        <v>40</v>
      </c>
      <c r="AG826" s="7">
        <v>67035</v>
      </c>
      <c r="AH826" s="11">
        <f>_xlfn.XLOOKUP(B826,[1]Sheet1!$B:$B,[1]Sheet1!$AB:$AB,0)</f>
        <v>67035</v>
      </c>
    </row>
    <row r="827" spans="2:34" ht="16.8" thickTop="1" thickBot="1" x14ac:dyDescent="0.35">
      <c r="B827" s="3" t="str">
        <f t="shared" si="26"/>
        <v>45102104511000987Audit Services-N1421125200104</v>
      </c>
      <c r="C827" s="8" t="s">
        <v>448</v>
      </c>
      <c r="D827" s="8" t="s">
        <v>1302</v>
      </c>
      <c r="E827" s="8" t="s">
        <v>1303</v>
      </c>
      <c r="F827" s="8" t="s">
        <v>1102</v>
      </c>
      <c r="G827" s="4" t="s">
        <v>2803</v>
      </c>
      <c r="H827" s="4" t="s">
        <v>2922</v>
      </c>
      <c r="I827" s="8" t="s">
        <v>44</v>
      </c>
      <c r="J827" s="8" t="s">
        <v>31</v>
      </c>
      <c r="K827" s="12">
        <f>_xlfn.XLOOKUP(B827,[1]Sheet1!$B:$B,[1]Sheet1!$N:$N,0)</f>
        <v>0</v>
      </c>
      <c r="L827" s="12">
        <f>_xlfn.XLOOKUP(B827,[1]Sheet1!$B:$B,[1]Sheet1!$O:$O,0)</f>
        <v>0</v>
      </c>
      <c r="M827" s="12">
        <f>_xlfn.XLOOKUP(B827,[1]Sheet1!$B:$B,[1]Sheet1!$P:$P,0)</f>
        <v>0</v>
      </c>
      <c r="N827" s="12">
        <f>_xlfn.XLOOKUP(B827,[1]Sheet1!$B:$B,[1]Sheet1!$Q:$Q,0)</f>
        <v>0</v>
      </c>
      <c r="O827" s="12">
        <f>_xlfn.XLOOKUP(B827,[1]Sheet1!$B:$B,[1]Sheet1!$R:$R,0)</f>
        <v>0</v>
      </c>
      <c r="P827" s="12">
        <f>_xlfn.XLOOKUP(B827,[1]Sheet1!$B:$B,[1]Sheet1!$S:$S,0)</f>
        <v>0</v>
      </c>
      <c r="Q827" s="12">
        <f>_xlfn.XLOOKUP(B827,[1]Sheet1!$B:$B,[1]Sheet1!$T:$T,0)</f>
        <v>243200</v>
      </c>
      <c r="R827" s="12">
        <f>_xlfn.XLOOKUP(B827,[1]Sheet1!$B:$B,[1]Sheet1!$U:$U,0)</f>
        <v>121600</v>
      </c>
      <c r="S827" s="12">
        <f>_xlfn.XLOOKUP(B827,[1]Sheet1!$B:$B,[1]Sheet1!$V:$V,0)</f>
        <v>121600</v>
      </c>
      <c r="T827" s="12">
        <f>_xlfn.XLOOKUP(B827,[1]Sheet1!$B:$B,[1]Sheet1!$W:$W,0)</f>
        <v>0</v>
      </c>
      <c r="U827" s="12">
        <f>_xlfn.XLOOKUP(B827,[1]Sheet1!$B:$B,[1]Sheet1!$X:$X,0)</f>
        <v>212800</v>
      </c>
      <c r="V827" s="12">
        <f>_xlfn.XLOOKUP(B827,[1]Sheet1!$B:$B,[1]Sheet1!$Y:$Y,0)</f>
        <v>477280</v>
      </c>
      <c r="W827" s="12">
        <f t="shared" si="27"/>
        <v>1176480</v>
      </c>
      <c r="X827" s="8" t="s">
        <v>446</v>
      </c>
      <c r="Y827" s="8" t="s">
        <v>132</v>
      </c>
      <c r="Z827" s="8" t="s">
        <v>447</v>
      </c>
      <c r="AA827" s="8" t="s">
        <v>44</v>
      </c>
      <c r="AB827" s="8" t="s">
        <v>36</v>
      </c>
      <c r="AC827" s="8" t="s">
        <v>37</v>
      </c>
      <c r="AD827" s="8" t="s">
        <v>449</v>
      </c>
      <c r="AE827" s="8" t="s">
        <v>39</v>
      </c>
      <c r="AF827" s="8" t="s">
        <v>40</v>
      </c>
      <c r="AG827" s="9">
        <v>1176480</v>
      </c>
      <c r="AH827" s="11">
        <f>_xlfn.XLOOKUP(B827,[1]Sheet1!$B:$B,[1]Sheet1!$AB:$AB,0)</f>
        <v>1176480</v>
      </c>
    </row>
    <row r="828" spans="2:34" ht="16.8" thickTop="1" thickBot="1" x14ac:dyDescent="0.35">
      <c r="B828" s="3" t="str">
        <f t="shared" si="26"/>
        <v>45102104511000987ComplianceAdvice-N1424521200104</v>
      </c>
      <c r="C828" s="6" t="s">
        <v>448</v>
      </c>
      <c r="D828" s="6" t="s">
        <v>1302</v>
      </c>
      <c r="E828" s="6" t="s">
        <v>1303</v>
      </c>
      <c r="F828" s="6" t="s">
        <v>1305</v>
      </c>
      <c r="G828" s="4" t="s">
        <v>2804</v>
      </c>
      <c r="H828" s="4" t="s">
        <v>2922</v>
      </c>
      <c r="I828" s="6" t="s">
        <v>51</v>
      </c>
      <c r="J828" s="6" t="s">
        <v>31</v>
      </c>
      <c r="K828" s="12">
        <f>_xlfn.XLOOKUP(B828,[1]Sheet1!$B:$B,[1]Sheet1!$N:$N,0)</f>
        <v>0</v>
      </c>
      <c r="L828" s="12">
        <f>_xlfn.XLOOKUP(B828,[1]Sheet1!$B:$B,[1]Sheet1!$O:$O,0)</f>
        <v>0</v>
      </c>
      <c r="M828" s="12">
        <f>_xlfn.XLOOKUP(B828,[1]Sheet1!$B:$B,[1]Sheet1!$P:$P,0)</f>
        <v>0</v>
      </c>
      <c r="N828" s="12">
        <f>_xlfn.XLOOKUP(B828,[1]Sheet1!$B:$B,[1]Sheet1!$Q:$Q,0)</f>
        <v>0</v>
      </c>
      <c r="O828" s="12">
        <f>_xlfn.XLOOKUP(B828,[1]Sheet1!$B:$B,[1]Sheet1!$R:$R,0)</f>
        <v>0</v>
      </c>
      <c r="P828" s="12">
        <f>_xlfn.XLOOKUP(B828,[1]Sheet1!$B:$B,[1]Sheet1!$S:$S,0)</f>
        <v>0</v>
      </c>
      <c r="Q828" s="12">
        <f>_xlfn.XLOOKUP(B828,[1]Sheet1!$B:$B,[1]Sheet1!$T:$T,0)</f>
        <v>0</v>
      </c>
      <c r="R828" s="12">
        <f>_xlfn.XLOOKUP(B828,[1]Sheet1!$B:$B,[1]Sheet1!$U:$U,0)</f>
        <v>0</v>
      </c>
      <c r="S828" s="12">
        <f>_xlfn.XLOOKUP(B828,[1]Sheet1!$B:$B,[1]Sheet1!$V:$V,0)</f>
        <v>0</v>
      </c>
      <c r="T828" s="12">
        <f>_xlfn.XLOOKUP(B828,[1]Sheet1!$B:$B,[1]Sheet1!$W:$W,0)</f>
        <v>0</v>
      </c>
      <c r="U828" s="12">
        <f>_xlfn.XLOOKUP(B828,[1]Sheet1!$B:$B,[1]Sheet1!$X:$X,0)</f>
        <v>150000</v>
      </c>
      <c r="V828" s="12">
        <f>_xlfn.XLOOKUP(B828,[1]Sheet1!$B:$B,[1]Sheet1!$Y:$Y,0)</f>
        <v>0</v>
      </c>
      <c r="W828" s="12">
        <f t="shared" si="27"/>
        <v>150000</v>
      </c>
      <c r="X828" s="6" t="s">
        <v>1306</v>
      </c>
      <c r="Y828" s="6" t="s">
        <v>132</v>
      </c>
      <c r="Z828" s="6" t="s">
        <v>447</v>
      </c>
      <c r="AA828" s="6" t="s">
        <v>53</v>
      </c>
      <c r="AB828" s="6" t="s">
        <v>36</v>
      </c>
      <c r="AC828" s="6" t="s">
        <v>37</v>
      </c>
      <c r="AD828" s="6" t="s">
        <v>143</v>
      </c>
      <c r="AE828" s="6" t="s">
        <v>39</v>
      </c>
      <c r="AF828" s="6" t="s">
        <v>40</v>
      </c>
      <c r="AG828" s="7">
        <v>150000</v>
      </c>
      <c r="AH828" s="11">
        <f>_xlfn.XLOOKUP(B828,[1]Sheet1!$B:$B,[1]Sheet1!$AB:$AB,0)</f>
        <v>150000</v>
      </c>
    </row>
    <row r="829" spans="2:34" ht="16.8" thickTop="1" thickBot="1" x14ac:dyDescent="0.35">
      <c r="B829" s="3" t="str">
        <f t="shared" si="26"/>
        <v>45102104511000987Freelancers-N1424521200104</v>
      </c>
      <c r="C829" s="8" t="s">
        <v>448</v>
      </c>
      <c r="D829" s="8" t="s">
        <v>1302</v>
      </c>
      <c r="E829" s="8" t="s">
        <v>1303</v>
      </c>
      <c r="F829" s="8" t="s">
        <v>303</v>
      </c>
      <c r="G829" s="4" t="s">
        <v>2804</v>
      </c>
      <c r="H829" s="4" t="s">
        <v>2922</v>
      </c>
      <c r="I829" s="8" t="s">
        <v>51</v>
      </c>
      <c r="J829" s="8" t="s">
        <v>31</v>
      </c>
      <c r="K829" s="12">
        <f>_xlfn.XLOOKUP(B829,[1]Sheet1!$B:$B,[1]Sheet1!$N:$N,0)</f>
        <v>0</v>
      </c>
      <c r="L829" s="12">
        <f>_xlfn.XLOOKUP(B829,[1]Sheet1!$B:$B,[1]Sheet1!$O:$O,0)</f>
        <v>88000</v>
      </c>
      <c r="M829" s="12">
        <f>_xlfn.XLOOKUP(B829,[1]Sheet1!$B:$B,[1]Sheet1!$P:$P,0)</f>
        <v>22000</v>
      </c>
      <c r="N829" s="12">
        <f>_xlfn.XLOOKUP(B829,[1]Sheet1!$B:$B,[1]Sheet1!$Q:$Q,0)</f>
        <v>66000</v>
      </c>
      <c r="O829" s="12">
        <f>_xlfn.XLOOKUP(B829,[1]Sheet1!$B:$B,[1]Sheet1!$R:$R,0)</f>
        <v>44000</v>
      </c>
      <c r="P829" s="12">
        <f>_xlfn.XLOOKUP(B829,[1]Sheet1!$B:$B,[1]Sheet1!$S:$S,0)</f>
        <v>44000</v>
      </c>
      <c r="Q829" s="12">
        <f>_xlfn.XLOOKUP(B829,[1]Sheet1!$B:$B,[1]Sheet1!$T:$T,0)</f>
        <v>44000</v>
      </c>
      <c r="R829" s="12">
        <f>_xlfn.XLOOKUP(B829,[1]Sheet1!$B:$B,[1]Sheet1!$U:$U,0)</f>
        <v>44000</v>
      </c>
      <c r="S829" s="12">
        <f>_xlfn.XLOOKUP(B829,[1]Sheet1!$B:$B,[1]Sheet1!$V:$V,0)</f>
        <v>44000</v>
      </c>
      <c r="T829" s="12">
        <f>_xlfn.XLOOKUP(B829,[1]Sheet1!$B:$B,[1]Sheet1!$W:$W,0)</f>
        <v>44000</v>
      </c>
      <c r="U829" s="12">
        <f>_xlfn.XLOOKUP(B829,[1]Sheet1!$B:$B,[1]Sheet1!$X:$X,0)</f>
        <v>44000</v>
      </c>
      <c r="V829" s="12">
        <f>_xlfn.XLOOKUP(B829,[1]Sheet1!$B:$B,[1]Sheet1!$Y:$Y,0)</f>
        <v>44000</v>
      </c>
      <c r="W829" s="12">
        <f t="shared" si="27"/>
        <v>528000</v>
      </c>
      <c r="X829" s="8" t="s">
        <v>453</v>
      </c>
      <c r="Y829" s="8" t="s">
        <v>132</v>
      </c>
      <c r="Z829" s="8" t="s">
        <v>447</v>
      </c>
      <c r="AA829" s="8" t="s">
        <v>53</v>
      </c>
      <c r="AB829" s="8" t="s">
        <v>36</v>
      </c>
      <c r="AC829" s="8" t="s">
        <v>37</v>
      </c>
      <c r="AD829" s="8" t="s">
        <v>449</v>
      </c>
      <c r="AE829" s="8" t="s">
        <v>39</v>
      </c>
      <c r="AF829" s="8" t="s">
        <v>40</v>
      </c>
      <c r="AG829" s="9">
        <v>724400</v>
      </c>
      <c r="AH829" s="11">
        <f>_xlfn.XLOOKUP(B829,[1]Sheet1!$B:$B,[1]Sheet1!$AB:$AB,0)</f>
        <v>724400</v>
      </c>
    </row>
    <row r="830" spans="2:34" ht="16.8" thickTop="1" thickBot="1" x14ac:dyDescent="0.35">
      <c r="B830" s="3" t="str">
        <f t="shared" si="26"/>
        <v>45102104511000987Mission &amp; Travel-N1423821200104</v>
      </c>
      <c r="C830" s="6" t="s">
        <v>448</v>
      </c>
      <c r="D830" s="6" t="s">
        <v>1302</v>
      </c>
      <c r="E830" s="6" t="s">
        <v>1303</v>
      </c>
      <c r="F830" s="6" t="s">
        <v>472</v>
      </c>
      <c r="G830" s="4" t="s">
        <v>2805</v>
      </c>
      <c r="H830" s="4" t="s">
        <v>2922</v>
      </c>
      <c r="I830" s="6" t="s">
        <v>55</v>
      </c>
      <c r="J830" s="6" t="s">
        <v>31</v>
      </c>
      <c r="K830" s="12">
        <f>_xlfn.XLOOKUP(B830,[1]Sheet1!$B:$B,[1]Sheet1!$N:$N,0)</f>
        <v>0</v>
      </c>
      <c r="L830" s="12">
        <f>_xlfn.XLOOKUP(B830,[1]Sheet1!$B:$B,[1]Sheet1!$O:$O,0)</f>
        <v>0</v>
      </c>
      <c r="M830" s="12">
        <f>_xlfn.XLOOKUP(B830,[1]Sheet1!$B:$B,[1]Sheet1!$P:$P,0)</f>
        <v>0</v>
      </c>
      <c r="N830" s="12">
        <f>_xlfn.XLOOKUP(B830,[1]Sheet1!$B:$B,[1]Sheet1!$Q:$Q,0)</f>
        <v>4000</v>
      </c>
      <c r="O830" s="12">
        <f>_xlfn.XLOOKUP(B830,[1]Sheet1!$B:$B,[1]Sheet1!$R:$R,0)</f>
        <v>0</v>
      </c>
      <c r="P830" s="12">
        <f>_xlfn.XLOOKUP(B830,[1]Sheet1!$B:$B,[1]Sheet1!$S:$S,0)</f>
        <v>52500</v>
      </c>
      <c r="Q830" s="12">
        <f>_xlfn.XLOOKUP(B830,[1]Sheet1!$B:$B,[1]Sheet1!$T:$T,0)</f>
        <v>41200</v>
      </c>
      <c r="R830" s="12">
        <f>_xlfn.XLOOKUP(B830,[1]Sheet1!$B:$B,[1]Sheet1!$U:$U,0)</f>
        <v>1200</v>
      </c>
      <c r="S830" s="12">
        <f>_xlfn.XLOOKUP(B830,[1]Sheet1!$B:$B,[1]Sheet1!$V:$V,0)</f>
        <v>4600</v>
      </c>
      <c r="T830" s="12">
        <f>_xlfn.XLOOKUP(B830,[1]Sheet1!$B:$B,[1]Sheet1!$W:$W,0)</f>
        <v>8310</v>
      </c>
      <c r="U830" s="12">
        <f>_xlfn.XLOOKUP(B830,[1]Sheet1!$B:$B,[1]Sheet1!$X:$X,0)</f>
        <v>17600</v>
      </c>
      <c r="V830" s="12">
        <f>_xlfn.XLOOKUP(B830,[1]Sheet1!$B:$B,[1]Sheet1!$Y:$Y,0)</f>
        <v>0</v>
      </c>
      <c r="W830" s="12">
        <f t="shared" si="27"/>
        <v>129410</v>
      </c>
      <c r="X830" s="6" t="s">
        <v>1307</v>
      </c>
      <c r="Y830" s="6" t="s">
        <v>132</v>
      </c>
      <c r="Z830" s="6" t="s">
        <v>447</v>
      </c>
      <c r="AA830" s="6" t="s">
        <v>55</v>
      </c>
      <c r="AB830" s="6" t="s">
        <v>36</v>
      </c>
      <c r="AC830" s="6" t="s">
        <v>37</v>
      </c>
      <c r="AD830" s="6" t="s">
        <v>143</v>
      </c>
      <c r="AE830" s="6" t="s">
        <v>39</v>
      </c>
      <c r="AF830" s="6" t="s">
        <v>40</v>
      </c>
      <c r="AG830" s="7">
        <v>129410</v>
      </c>
      <c r="AH830" s="11">
        <f>_xlfn.XLOOKUP(B830,[1]Sheet1!$B:$B,[1]Sheet1!$AB:$AB,0)</f>
        <v>129410</v>
      </c>
    </row>
    <row r="831" spans="2:34" ht="16.8" thickTop="1" thickBot="1" x14ac:dyDescent="0.35">
      <c r="B831" s="3" t="str">
        <f t="shared" si="26"/>
        <v>45101704511000988Admin Expenses-N421125200104</v>
      </c>
      <c r="C831" s="8" t="s">
        <v>142</v>
      </c>
      <c r="D831" s="8" t="s">
        <v>1308</v>
      </c>
      <c r="E831" s="8" t="s">
        <v>1309</v>
      </c>
      <c r="F831" s="8" t="s">
        <v>130</v>
      </c>
      <c r="G831" s="4" t="s">
        <v>2803</v>
      </c>
      <c r="H831" s="4" t="s">
        <v>2922</v>
      </c>
      <c r="I831" s="8" t="s">
        <v>44</v>
      </c>
      <c r="J831" s="8" t="s">
        <v>31</v>
      </c>
      <c r="K831" s="12">
        <f>_xlfn.XLOOKUP(B831,[1]Sheet1!$B:$B,[1]Sheet1!$N:$N,0)</f>
        <v>0</v>
      </c>
      <c r="L831" s="12">
        <f>_xlfn.XLOOKUP(B831,[1]Sheet1!$B:$B,[1]Sheet1!$O:$O,0)</f>
        <v>0</v>
      </c>
      <c r="M831" s="12">
        <f>_xlfn.XLOOKUP(B831,[1]Sheet1!$B:$B,[1]Sheet1!$P:$P,0)</f>
        <v>17510.599999999999</v>
      </c>
      <c r="N831" s="12">
        <f>_xlfn.XLOOKUP(B831,[1]Sheet1!$B:$B,[1]Sheet1!$Q:$Q,0)</f>
        <v>0</v>
      </c>
      <c r="O831" s="12">
        <f>_xlfn.XLOOKUP(B831,[1]Sheet1!$B:$B,[1]Sheet1!$R:$R,0)</f>
        <v>0</v>
      </c>
      <c r="P831" s="12">
        <f>_xlfn.XLOOKUP(B831,[1]Sheet1!$B:$B,[1]Sheet1!$S:$S,0)</f>
        <v>4889</v>
      </c>
      <c r="Q831" s="12">
        <f>_xlfn.XLOOKUP(B831,[1]Sheet1!$B:$B,[1]Sheet1!$T:$T,0)</f>
        <v>153000</v>
      </c>
      <c r="R831" s="12">
        <f>_xlfn.XLOOKUP(B831,[1]Sheet1!$B:$B,[1]Sheet1!$U:$U,0)</f>
        <v>7300</v>
      </c>
      <c r="S831" s="12">
        <f>_xlfn.XLOOKUP(B831,[1]Sheet1!$B:$B,[1]Sheet1!$V:$V,0)</f>
        <v>7300</v>
      </c>
      <c r="T831" s="12">
        <f>_xlfn.XLOOKUP(B831,[1]Sheet1!$B:$B,[1]Sheet1!$W:$W,0)</f>
        <v>164100</v>
      </c>
      <c r="U831" s="12">
        <f>_xlfn.XLOOKUP(B831,[1]Sheet1!$B:$B,[1]Sheet1!$X:$X,0)</f>
        <v>12900</v>
      </c>
      <c r="V831" s="12">
        <f>_xlfn.XLOOKUP(B831,[1]Sheet1!$B:$B,[1]Sheet1!$Y:$Y,0)</f>
        <v>0</v>
      </c>
      <c r="W831" s="12">
        <f t="shared" si="27"/>
        <v>366999.6</v>
      </c>
      <c r="X831" s="8" t="s">
        <v>140</v>
      </c>
      <c r="Y831" s="8" t="s">
        <v>132</v>
      </c>
      <c r="Z831" s="8" t="s">
        <v>141</v>
      </c>
      <c r="AA831" s="8" t="s">
        <v>44</v>
      </c>
      <c r="AB831" s="8" t="s">
        <v>36</v>
      </c>
      <c r="AC831" s="8" t="s">
        <v>37</v>
      </c>
      <c r="AD831" s="8" t="s">
        <v>143</v>
      </c>
      <c r="AE831" s="8" t="s">
        <v>39</v>
      </c>
      <c r="AF831" s="8" t="s">
        <v>40</v>
      </c>
      <c r="AG831" s="9">
        <v>367000</v>
      </c>
      <c r="AH831" s="11">
        <f>_xlfn.XLOOKUP(B831,[1]Sheet1!$B:$B,[1]Sheet1!$AB:$AB,0)</f>
        <v>366999.6</v>
      </c>
    </row>
    <row r="832" spans="2:34" ht="16.8" thickTop="1" thickBot="1" x14ac:dyDescent="0.35">
      <c r="B832" s="3" t="str">
        <f t="shared" si="26"/>
        <v>45101704511000988Audit Services-N421125200104</v>
      </c>
      <c r="C832" s="6" t="s">
        <v>142</v>
      </c>
      <c r="D832" s="6" t="s">
        <v>1308</v>
      </c>
      <c r="E832" s="6" t="s">
        <v>1309</v>
      </c>
      <c r="F832" s="6" t="s">
        <v>43</v>
      </c>
      <c r="G832" s="4" t="s">
        <v>2803</v>
      </c>
      <c r="H832" s="4" t="s">
        <v>2922</v>
      </c>
      <c r="I832" s="6" t="s">
        <v>44</v>
      </c>
      <c r="J832" s="6" t="s">
        <v>31</v>
      </c>
      <c r="K832" s="12">
        <f>_xlfn.XLOOKUP(B832,[1]Sheet1!$B:$B,[1]Sheet1!$N:$N,0)</f>
        <v>0</v>
      </c>
      <c r="L832" s="12">
        <f>_xlfn.XLOOKUP(B832,[1]Sheet1!$B:$B,[1]Sheet1!$O:$O,0)</f>
        <v>0</v>
      </c>
      <c r="M832" s="12">
        <f>_xlfn.XLOOKUP(B832,[1]Sheet1!$B:$B,[1]Sheet1!$P:$P,0)</f>
        <v>0</v>
      </c>
      <c r="N832" s="12">
        <f>_xlfn.XLOOKUP(B832,[1]Sheet1!$B:$B,[1]Sheet1!$Q:$Q,0)</f>
        <v>228000</v>
      </c>
      <c r="O832" s="12">
        <f>_xlfn.XLOOKUP(B832,[1]Sheet1!$B:$B,[1]Sheet1!$R:$R,0)</f>
        <v>99000</v>
      </c>
      <c r="P832" s="12">
        <f>_xlfn.XLOOKUP(B832,[1]Sheet1!$B:$B,[1]Sheet1!$S:$S,0)</f>
        <v>99000</v>
      </c>
      <c r="Q832" s="12">
        <f>_xlfn.XLOOKUP(B832,[1]Sheet1!$B:$B,[1]Sheet1!$T:$T,0)</f>
        <v>99000</v>
      </c>
      <c r="R832" s="12">
        <f>_xlfn.XLOOKUP(B832,[1]Sheet1!$B:$B,[1]Sheet1!$U:$U,0)</f>
        <v>99000</v>
      </c>
      <c r="S832" s="12">
        <f>_xlfn.XLOOKUP(B832,[1]Sheet1!$B:$B,[1]Sheet1!$V:$V,0)</f>
        <v>99000</v>
      </c>
      <c r="T832" s="12">
        <f>_xlfn.XLOOKUP(B832,[1]Sheet1!$B:$B,[1]Sheet1!$W:$W,0)</f>
        <v>93000</v>
      </c>
      <c r="U832" s="12">
        <f>_xlfn.XLOOKUP(B832,[1]Sheet1!$B:$B,[1]Sheet1!$X:$X,0)</f>
        <v>90000</v>
      </c>
      <c r="V832" s="12">
        <f>_xlfn.XLOOKUP(B832,[1]Sheet1!$B:$B,[1]Sheet1!$Y:$Y,0)</f>
        <v>0</v>
      </c>
      <c r="W832" s="12">
        <f t="shared" si="27"/>
        <v>906000</v>
      </c>
      <c r="X832" s="6" t="s">
        <v>140</v>
      </c>
      <c r="Y832" s="6" t="s">
        <v>132</v>
      </c>
      <c r="Z832" s="6" t="s">
        <v>141</v>
      </c>
      <c r="AA832" s="6" t="s">
        <v>44</v>
      </c>
      <c r="AB832" s="6" t="s">
        <v>36</v>
      </c>
      <c r="AC832" s="6" t="s">
        <v>37</v>
      </c>
      <c r="AD832" s="6" t="s">
        <v>143</v>
      </c>
      <c r="AE832" s="6" t="s">
        <v>39</v>
      </c>
      <c r="AF832" s="6" t="s">
        <v>40</v>
      </c>
      <c r="AG832" s="7">
        <v>906000</v>
      </c>
      <c r="AH832" s="11">
        <f>_xlfn.XLOOKUP(B832,[1]Sheet1!$B:$B,[1]Sheet1!$AB:$AB,0)</f>
        <v>906000</v>
      </c>
    </row>
    <row r="833" spans="2:34" ht="16.8" thickTop="1" thickBot="1" x14ac:dyDescent="0.35">
      <c r="B833" s="3" t="str">
        <f t="shared" si="26"/>
        <v>45101704511000988Mission &amp; Travel-N423821200104</v>
      </c>
      <c r="C833" s="8" t="s">
        <v>142</v>
      </c>
      <c r="D833" s="8" t="s">
        <v>1308</v>
      </c>
      <c r="E833" s="8" t="s">
        <v>1309</v>
      </c>
      <c r="F833" s="8" t="s">
        <v>54</v>
      </c>
      <c r="G833" s="4" t="s">
        <v>2805</v>
      </c>
      <c r="H833" s="4" t="s">
        <v>2922</v>
      </c>
      <c r="I833" s="8" t="s">
        <v>55</v>
      </c>
      <c r="J833" s="8" t="s">
        <v>31</v>
      </c>
      <c r="K833" s="12">
        <f>_xlfn.XLOOKUP(B833,[1]Sheet1!$B:$B,[1]Sheet1!$N:$N,0)</f>
        <v>0</v>
      </c>
      <c r="L833" s="12">
        <f>_xlfn.XLOOKUP(B833,[1]Sheet1!$B:$B,[1]Sheet1!$O:$O,0)</f>
        <v>0</v>
      </c>
      <c r="M833" s="12">
        <f>_xlfn.XLOOKUP(B833,[1]Sheet1!$B:$B,[1]Sheet1!$P:$P,0)</f>
        <v>0</v>
      </c>
      <c r="N833" s="12">
        <f>_xlfn.XLOOKUP(B833,[1]Sheet1!$B:$B,[1]Sheet1!$Q:$Q,0)</f>
        <v>0</v>
      </c>
      <c r="O833" s="12">
        <f>_xlfn.XLOOKUP(B833,[1]Sheet1!$B:$B,[1]Sheet1!$R:$R,0)</f>
        <v>31500</v>
      </c>
      <c r="P833" s="12">
        <f>_xlfn.XLOOKUP(B833,[1]Sheet1!$B:$B,[1]Sheet1!$S:$S,0)</f>
        <v>0</v>
      </c>
      <c r="Q833" s="12">
        <f>_xlfn.XLOOKUP(B833,[1]Sheet1!$B:$B,[1]Sheet1!$T:$T,0)</f>
        <v>0</v>
      </c>
      <c r="R833" s="12">
        <f>_xlfn.XLOOKUP(B833,[1]Sheet1!$B:$B,[1]Sheet1!$U:$U,0)</f>
        <v>19000</v>
      </c>
      <c r="S833" s="12">
        <f>_xlfn.XLOOKUP(B833,[1]Sheet1!$B:$B,[1]Sheet1!$V:$V,0)</f>
        <v>33000</v>
      </c>
      <c r="T833" s="12">
        <f>_xlfn.XLOOKUP(B833,[1]Sheet1!$B:$B,[1]Sheet1!$W:$W,0)</f>
        <v>66500</v>
      </c>
      <c r="U833" s="12">
        <f>_xlfn.XLOOKUP(B833,[1]Sheet1!$B:$B,[1]Sheet1!$X:$X,0)</f>
        <v>0</v>
      </c>
      <c r="V833" s="12">
        <f>_xlfn.XLOOKUP(B833,[1]Sheet1!$B:$B,[1]Sheet1!$Y:$Y,0)</f>
        <v>76650</v>
      </c>
      <c r="W833" s="12">
        <f t="shared" si="27"/>
        <v>226650</v>
      </c>
      <c r="X833" s="8" t="s">
        <v>144</v>
      </c>
      <c r="Y833" s="8" t="s">
        <v>132</v>
      </c>
      <c r="Z833" s="8" t="s">
        <v>141</v>
      </c>
      <c r="AA833" s="8" t="s">
        <v>55</v>
      </c>
      <c r="AB833" s="8" t="s">
        <v>36</v>
      </c>
      <c r="AC833" s="8" t="s">
        <v>37</v>
      </c>
      <c r="AD833" s="8" t="s">
        <v>143</v>
      </c>
      <c r="AE833" s="8" t="s">
        <v>39</v>
      </c>
      <c r="AF833" s="8" t="s">
        <v>40</v>
      </c>
      <c r="AG833" s="9">
        <v>226650</v>
      </c>
      <c r="AH833" s="11">
        <f>_xlfn.XLOOKUP(B833,[1]Sheet1!$B:$B,[1]Sheet1!$AB:$AB,0)</f>
        <v>226650</v>
      </c>
    </row>
    <row r="834" spans="2:34" ht="16.8" thickTop="1" thickBot="1" x14ac:dyDescent="0.35">
      <c r="B834" s="3" t="str">
        <f t="shared" si="26"/>
        <v>45153004511001004Maintenance-N426212200104</v>
      </c>
      <c r="C834" s="6" t="s">
        <v>1075</v>
      </c>
      <c r="D834" s="6" t="s">
        <v>1310</v>
      </c>
      <c r="E834" s="6" t="s">
        <v>1311</v>
      </c>
      <c r="F834" s="6" t="s">
        <v>95</v>
      </c>
      <c r="G834" s="4" t="s">
        <v>2814</v>
      </c>
      <c r="H834" s="4" t="s">
        <v>2922</v>
      </c>
      <c r="I834" s="6" t="s">
        <v>96</v>
      </c>
      <c r="J834" s="6" t="s">
        <v>31</v>
      </c>
      <c r="K834" s="12">
        <f>_xlfn.XLOOKUP(B834,[1]Sheet1!$B:$B,[1]Sheet1!$N:$N,0)</f>
        <v>0</v>
      </c>
      <c r="L834" s="12">
        <f>_xlfn.XLOOKUP(B834,[1]Sheet1!$B:$B,[1]Sheet1!$O:$O,0)</f>
        <v>0</v>
      </c>
      <c r="M834" s="12">
        <f>_xlfn.XLOOKUP(B834,[1]Sheet1!$B:$B,[1]Sheet1!$P:$P,0)</f>
        <v>0</v>
      </c>
      <c r="N834" s="12">
        <f>_xlfn.XLOOKUP(B834,[1]Sheet1!$B:$B,[1]Sheet1!$Q:$Q,0)</f>
        <v>54402</v>
      </c>
      <c r="O834" s="12">
        <f>_xlfn.XLOOKUP(B834,[1]Sheet1!$B:$B,[1]Sheet1!$R:$R,0)</f>
        <v>27201</v>
      </c>
      <c r="P834" s="12">
        <f>_xlfn.XLOOKUP(B834,[1]Sheet1!$B:$B,[1]Sheet1!$S:$S,0)</f>
        <v>27201</v>
      </c>
      <c r="Q834" s="12">
        <f>_xlfn.XLOOKUP(B834,[1]Sheet1!$B:$B,[1]Sheet1!$T:$T,0)</f>
        <v>27201</v>
      </c>
      <c r="R834" s="12">
        <f>_xlfn.XLOOKUP(B834,[1]Sheet1!$B:$B,[1]Sheet1!$U:$U,0)</f>
        <v>27201</v>
      </c>
      <c r="S834" s="12">
        <f>_xlfn.XLOOKUP(B834,[1]Sheet1!$B:$B,[1]Sheet1!$V:$V,0)</f>
        <v>27201</v>
      </c>
      <c r="T834" s="12">
        <f>_xlfn.XLOOKUP(B834,[1]Sheet1!$B:$B,[1]Sheet1!$W:$W,0)</f>
        <v>27201</v>
      </c>
      <c r="U834" s="12">
        <f>_xlfn.XLOOKUP(B834,[1]Sheet1!$B:$B,[1]Sheet1!$X:$X,0)</f>
        <v>27201</v>
      </c>
      <c r="V834" s="12">
        <f>_xlfn.XLOOKUP(B834,[1]Sheet1!$B:$B,[1]Sheet1!$Y:$Y,0)</f>
        <v>81603</v>
      </c>
      <c r="W834" s="12">
        <f t="shared" si="27"/>
        <v>326412</v>
      </c>
      <c r="X834" s="6" t="s">
        <v>1312</v>
      </c>
      <c r="Y834" s="6" t="s">
        <v>211</v>
      </c>
      <c r="Z834" s="6" t="s">
        <v>1074</v>
      </c>
      <c r="AA834" s="6" t="s">
        <v>96</v>
      </c>
      <c r="AB834" s="6" t="s">
        <v>36</v>
      </c>
      <c r="AC834" s="6" t="s">
        <v>37</v>
      </c>
      <c r="AD834" s="6" t="s">
        <v>1077</v>
      </c>
      <c r="AE834" s="6" t="s">
        <v>39</v>
      </c>
      <c r="AF834" s="6" t="s">
        <v>40</v>
      </c>
      <c r="AG834" s="7">
        <v>56554</v>
      </c>
      <c r="AH834" s="11">
        <f>_xlfn.XLOOKUP(B834,[1]Sheet1!$B:$B,[1]Sheet1!$AB:$AB,0)</f>
        <v>56554</v>
      </c>
    </row>
    <row r="835" spans="2:34" ht="16.8" thickTop="1" thickBot="1" x14ac:dyDescent="0.35">
      <c r="B835" s="3" t="str">
        <f t="shared" si="26"/>
        <v>45153004511001004Manpower-N424521200104</v>
      </c>
      <c r="C835" s="8" t="s">
        <v>1075</v>
      </c>
      <c r="D835" s="8" t="s">
        <v>1310</v>
      </c>
      <c r="E835" s="8" t="s">
        <v>1311</v>
      </c>
      <c r="F835" s="8" t="s">
        <v>98</v>
      </c>
      <c r="G835" s="4" t="s">
        <v>2804</v>
      </c>
      <c r="H835" s="4" t="s">
        <v>2922</v>
      </c>
      <c r="I835" s="8" t="s">
        <v>51</v>
      </c>
      <c r="J835" s="8" t="s">
        <v>31</v>
      </c>
      <c r="K835" s="12">
        <f>_xlfn.XLOOKUP(B835,[1]Sheet1!$B:$B,[1]Sheet1!$N:$N,0)</f>
        <v>0</v>
      </c>
      <c r="L835" s="12">
        <f>_xlfn.XLOOKUP(B835,[1]Sheet1!$B:$B,[1]Sheet1!$O:$O,0)</f>
        <v>0</v>
      </c>
      <c r="M835" s="12">
        <f>_xlfn.XLOOKUP(B835,[1]Sheet1!$B:$B,[1]Sheet1!$P:$P,0)</f>
        <v>0</v>
      </c>
      <c r="N835" s="12">
        <f>_xlfn.XLOOKUP(B835,[1]Sheet1!$B:$B,[1]Sheet1!$Q:$Q,0)</f>
        <v>402288</v>
      </c>
      <c r="O835" s="12">
        <f>_xlfn.XLOOKUP(B835,[1]Sheet1!$B:$B,[1]Sheet1!$R:$R,0)</f>
        <v>100572</v>
      </c>
      <c r="P835" s="12">
        <f>_xlfn.XLOOKUP(B835,[1]Sheet1!$B:$B,[1]Sheet1!$S:$S,0)</f>
        <v>100572</v>
      </c>
      <c r="Q835" s="12">
        <f>_xlfn.XLOOKUP(B835,[1]Sheet1!$B:$B,[1]Sheet1!$T:$T,0)</f>
        <v>100572</v>
      </c>
      <c r="R835" s="12">
        <f>_xlfn.XLOOKUP(B835,[1]Sheet1!$B:$B,[1]Sheet1!$U:$U,0)</f>
        <v>100572</v>
      </c>
      <c r="S835" s="12">
        <f>_xlfn.XLOOKUP(B835,[1]Sheet1!$B:$B,[1]Sheet1!$V:$V,0)</f>
        <v>100572</v>
      </c>
      <c r="T835" s="12">
        <f>_xlfn.XLOOKUP(B835,[1]Sheet1!$B:$B,[1]Sheet1!$W:$W,0)</f>
        <v>100572</v>
      </c>
      <c r="U835" s="12">
        <f>_xlfn.XLOOKUP(B835,[1]Sheet1!$B:$B,[1]Sheet1!$X:$X,0)</f>
        <v>100571</v>
      </c>
      <c r="V835" s="12">
        <f>_xlfn.XLOOKUP(B835,[1]Sheet1!$B:$B,[1]Sheet1!$Y:$Y,0)</f>
        <v>100571</v>
      </c>
      <c r="W835" s="12">
        <f t="shared" si="27"/>
        <v>1206862</v>
      </c>
      <c r="X835" s="8" t="s">
        <v>1076</v>
      </c>
      <c r="Y835" s="8" t="s">
        <v>211</v>
      </c>
      <c r="Z835" s="8" t="s">
        <v>1074</v>
      </c>
      <c r="AA835" s="8" t="s">
        <v>53</v>
      </c>
      <c r="AB835" s="8" t="s">
        <v>36</v>
      </c>
      <c r="AC835" s="8" t="s">
        <v>37</v>
      </c>
      <c r="AD835" s="8" t="s">
        <v>1077</v>
      </c>
      <c r="AE835" s="8" t="s">
        <v>39</v>
      </c>
      <c r="AF835" s="8" t="s">
        <v>40</v>
      </c>
      <c r="AG835" s="9">
        <v>703868</v>
      </c>
      <c r="AH835" s="11">
        <f>_xlfn.XLOOKUP(B835,[1]Sheet1!$B:$B,[1]Sheet1!$AB:$AB,0)</f>
        <v>703868</v>
      </c>
    </row>
    <row r="836" spans="2:34" ht="16.8" thickTop="1" thickBot="1" x14ac:dyDescent="0.35">
      <c r="B836" s="3" t="str">
        <f t="shared" ref="B836:B899" si="28">C836&amp;D836&amp;F836&amp;G836&amp;H836</f>
        <v>45153004511001004Parking Fees-N425112200104</v>
      </c>
      <c r="C836" s="6" t="s">
        <v>1075</v>
      </c>
      <c r="D836" s="6" t="s">
        <v>1310</v>
      </c>
      <c r="E836" s="6" t="s">
        <v>1311</v>
      </c>
      <c r="F836" s="6" t="s">
        <v>1313</v>
      </c>
      <c r="G836" s="4" t="s">
        <v>2848</v>
      </c>
      <c r="H836" s="4" t="s">
        <v>2922</v>
      </c>
      <c r="I836" s="6" t="s">
        <v>533</v>
      </c>
      <c r="J836" s="6" t="s">
        <v>31</v>
      </c>
      <c r="K836" s="12">
        <f>_xlfn.XLOOKUP(B836,[1]Sheet1!$B:$B,[1]Sheet1!$N:$N,0)</f>
        <v>0</v>
      </c>
      <c r="L836" s="12">
        <f>_xlfn.XLOOKUP(B836,[1]Sheet1!$B:$B,[1]Sheet1!$O:$O,0)</f>
        <v>0</v>
      </c>
      <c r="M836" s="12">
        <f>_xlfn.XLOOKUP(B836,[1]Sheet1!$B:$B,[1]Sheet1!$P:$P,0)</f>
        <v>0</v>
      </c>
      <c r="N836" s="12">
        <f>_xlfn.XLOOKUP(B836,[1]Sheet1!$B:$B,[1]Sheet1!$Q:$Q,0)</f>
        <v>0</v>
      </c>
      <c r="O836" s="12">
        <f>_xlfn.XLOOKUP(B836,[1]Sheet1!$B:$B,[1]Sheet1!$R:$R,0)</f>
        <v>0</v>
      </c>
      <c r="P836" s="12">
        <f>_xlfn.XLOOKUP(B836,[1]Sheet1!$B:$B,[1]Sheet1!$S:$S,0)</f>
        <v>0</v>
      </c>
      <c r="Q836" s="12">
        <f>_xlfn.XLOOKUP(B836,[1]Sheet1!$B:$B,[1]Sheet1!$T:$T,0)</f>
        <v>0</v>
      </c>
      <c r="R836" s="12">
        <f>_xlfn.XLOOKUP(B836,[1]Sheet1!$B:$B,[1]Sheet1!$U:$U,0)</f>
        <v>0</v>
      </c>
      <c r="S836" s="12">
        <f>_xlfn.XLOOKUP(B836,[1]Sheet1!$B:$B,[1]Sheet1!$V:$V,0)</f>
        <v>0</v>
      </c>
      <c r="T836" s="12">
        <f>_xlfn.XLOOKUP(B836,[1]Sheet1!$B:$B,[1]Sheet1!$W:$W,0)</f>
        <v>80000</v>
      </c>
      <c r="U836" s="12">
        <f>_xlfn.XLOOKUP(B836,[1]Sheet1!$B:$B,[1]Sheet1!$X:$X,0)</f>
        <v>0</v>
      </c>
      <c r="V836" s="12">
        <f>_xlfn.XLOOKUP(B836,[1]Sheet1!$B:$B,[1]Sheet1!$Y:$Y,0)</f>
        <v>0</v>
      </c>
      <c r="W836" s="12">
        <f t="shared" ref="W836:W899" si="29">SUM(K836:V836)</f>
        <v>80000</v>
      </c>
      <c r="X836" s="6" t="s">
        <v>1314</v>
      </c>
      <c r="Y836" s="6" t="s">
        <v>211</v>
      </c>
      <c r="Z836" s="6" t="s">
        <v>1074</v>
      </c>
      <c r="AA836" s="6" t="s">
        <v>533</v>
      </c>
      <c r="AB836" s="6" t="s">
        <v>36</v>
      </c>
      <c r="AC836" s="6" t="s">
        <v>37</v>
      </c>
      <c r="AD836" s="6" t="s">
        <v>1077</v>
      </c>
      <c r="AE836" s="6" t="s">
        <v>39</v>
      </c>
      <c r="AF836" s="6" t="s">
        <v>40</v>
      </c>
      <c r="AG836" s="7">
        <v>80000</v>
      </c>
      <c r="AH836" s="11">
        <f>_xlfn.XLOOKUP(B836,[1]Sheet1!$B:$B,[1]Sheet1!$AB:$AB,0)</f>
        <v>80000</v>
      </c>
    </row>
    <row r="837" spans="2:34" ht="16.8" thickTop="1" thickBot="1" x14ac:dyDescent="0.35">
      <c r="B837" s="3" t="str">
        <f t="shared" si="28"/>
        <v>45153004511001005Freelancers-N424521200104</v>
      </c>
      <c r="C837" s="8" t="s">
        <v>1075</v>
      </c>
      <c r="D837" s="8" t="s">
        <v>1315</v>
      </c>
      <c r="E837" s="8" t="s">
        <v>1316</v>
      </c>
      <c r="F837" s="8" t="s">
        <v>50</v>
      </c>
      <c r="G837" s="4" t="s">
        <v>2804</v>
      </c>
      <c r="H837" s="4" t="s">
        <v>2922</v>
      </c>
      <c r="I837" s="8" t="s">
        <v>51</v>
      </c>
      <c r="J837" s="8" t="s">
        <v>31</v>
      </c>
      <c r="K837" s="12">
        <f>_xlfn.XLOOKUP(B837,[1]Sheet1!$B:$B,[1]Sheet1!$N:$N,0)</f>
        <v>0</v>
      </c>
      <c r="L837" s="12">
        <f>_xlfn.XLOOKUP(B837,[1]Sheet1!$B:$B,[1]Sheet1!$O:$O,0)</f>
        <v>0</v>
      </c>
      <c r="M837" s="12">
        <f>_xlfn.XLOOKUP(B837,[1]Sheet1!$B:$B,[1]Sheet1!$P:$P,0)</f>
        <v>0</v>
      </c>
      <c r="N837" s="12">
        <f>_xlfn.XLOOKUP(B837,[1]Sheet1!$B:$B,[1]Sheet1!$Q:$Q,0)</f>
        <v>1800</v>
      </c>
      <c r="O837" s="12">
        <f>_xlfn.XLOOKUP(B837,[1]Sheet1!$B:$B,[1]Sheet1!$R:$R,0)</f>
        <v>18000</v>
      </c>
      <c r="P837" s="12">
        <f>_xlfn.XLOOKUP(B837,[1]Sheet1!$B:$B,[1]Sheet1!$S:$S,0)</f>
        <v>18000</v>
      </c>
      <c r="Q837" s="12">
        <f>_xlfn.XLOOKUP(B837,[1]Sheet1!$B:$B,[1]Sheet1!$T:$T,0)</f>
        <v>18000</v>
      </c>
      <c r="R837" s="12">
        <f>_xlfn.XLOOKUP(B837,[1]Sheet1!$B:$B,[1]Sheet1!$U:$U,0)</f>
        <v>18000</v>
      </c>
      <c r="S837" s="12">
        <f>_xlfn.XLOOKUP(B837,[1]Sheet1!$B:$B,[1]Sheet1!$V:$V,0)</f>
        <v>18000</v>
      </c>
      <c r="T837" s="12">
        <f>_xlfn.XLOOKUP(B837,[1]Sheet1!$B:$B,[1]Sheet1!$W:$W,0)</f>
        <v>18000</v>
      </c>
      <c r="U837" s="12">
        <f>_xlfn.XLOOKUP(B837,[1]Sheet1!$B:$B,[1]Sheet1!$X:$X,0)</f>
        <v>18000</v>
      </c>
      <c r="V837" s="12">
        <f>_xlfn.XLOOKUP(B837,[1]Sheet1!$B:$B,[1]Sheet1!$Y:$Y,0)</f>
        <v>36000</v>
      </c>
      <c r="W837" s="12">
        <f t="shared" si="29"/>
        <v>163800</v>
      </c>
      <c r="X837" s="8" t="s">
        <v>1076</v>
      </c>
      <c r="Y837" s="8" t="s">
        <v>211</v>
      </c>
      <c r="Z837" s="8" t="s">
        <v>1074</v>
      </c>
      <c r="AA837" s="8" t="s">
        <v>53</v>
      </c>
      <c r="AB837" s="8" t="s">
        <v>36</v>
      </c>
      <c r="AC837" s="8" t="s">
        <v>37</v>
      </c>
      <c r="AD837" s="8" t="s">
        <v>1077</v>
      </c>
      <c r="AE837" s="8" t="s">
        <v>39</v>
      </c>
      <c r="AF837" s="8" t="s">
        <v>40</v>
      </c>
      <c r="AG837" s="9">
        <v>730090</v>
      </c>
      <c r="AH837" s="11">
        <f>_xlfn.XLOOKUP(B837,[1]Sheet1!$B:$B,[1]Sheet1!$AB:$AB,0)</f>
        <v>730090</v>
      </c>
    </row>
    <row r="838" spans="2:34" ht="16.8" thickTop="1" thickBot="1" x14ac:dyDescent="0.35">
      <c r="B838" s="3" t="str">
        <f t="shared" si="28"/>
        <v>45153004511001005ManagementAdvice-N424521200104</v>
      </c>
      <c r="C838" s="6" t="s">
        <v>1075</v>
      </c>
      <c r="D838" s="6" t="s">
        <v>1315</v>
      </c>
      <c r="E838" s="6" t="s">
        <v>1316</v>
      </c>
      <c r="F838" s="6" t="s">
        <v>230</v>
      </c>
      <c r="G838" s="4" t="s">
        <v>2804</v>
      </c>
      <c r="H838" s="4" t="s">
        <v>2922</v>
      </c>
      <c r="I838" s="6" t="s">
        <v>51</v>
      </c>
      <c r="J838" s="6" t="s">
        <v>31</v>
      </c>
      <c r="K838" s="12">
        <f>_xlfn.XLOOKUP(B838,[1]Sheet1!$B:$B,[1]Sheet1!$N:$N,0)</f>
        <v>0</v>
      </c>
      <c r="L838" s="12">
        <f>_xlfn.XLOOKUP(B838,[1]Sheet1!$B:$B,[1]Sheet1!$O:$O,0)</f>
        <v>0</v>
      </c>
      <c r="M838" s="12">
        <f>_xlfn.XLOOKUP(B838,[1]Sheet1!$B:$B,[1]Sheet1!$P:$P,0)</f>
        <v>0</v>
      </c>
      <c r="N838" s="12">
        <f>_xlfn.XLOOKUP(B838,[1]Sheet1!$B:$B,[1]Sheet1!$Q:$Q,0)</f>
        <v>0</v>
      </c>
      <c r="O838" s="12">
        <f>_xlfn.XLOOKUP(B838,[1]Sheet1!$B:$B,[1]Sheet1!$R:$R,0)</f>
        <v>772281</v>
      </c>
      <c r="P838" s="12">
        <f>_xlfn.XLOOKUP(B838,[1]Sheet1!$B:$B,[1]Sheet1!$S:$S,0)</f>
        <v>772281</v>
      </c>
      <c r="Q838" s="12">
        <f>_xlfn.XLOOKUP(B838,[1]Sheet1!$B:$B,[1]Sheet1!$T:$T,0)</f>
        <v>772281</v>
      </c>
      <c r="R838" s="12">
        <f>_xlfn.XLOOKUP(B838,[1]Sheet1!$B:$B,[1]Sheet1!$U:$U,0)</f>
        <v>772281</v>
      </c>
      <c r="S838" s="12">
        <f>_xlfn.XLOOKUP(B838,[1]Sheet1!$B:$B,[1]Sheet1!$V:$V,0)</f>
        <v>772281</v>
      </c>
      <c r="T838" s="12">
        <f>_xlfn.XLOOKUP(B838,[1]Sheet1!$B:$B,[1]Sheet1!$W:$W,0)</f>
        <v>772281</v>
      </c>
      <c r="U838" s="12">
        <f>_xlfn.XLOOKUP(B838,[1]Sheet1!$B:$B,[1]Sheet1!$X:$X,0)</f>
        <v>308913</v>
      </c>
      <c r="V838" s="12">
        <f>_xlfn.XLOOKUP(B838,[1]Sheet1!$B:$B,[1]Sheet1!$Y:$Y,0)</f>
        <v>1235651</v>
      </c>
      <c r="W838" s="12">
        <f t="shared" si="29"/>
        <v>6178250</v>
      </c>
      <c r="X838" s="6" t="s">
        <v>1076</v>
      </c>
      <c r="Y838" s="6" t="s">
        <v>211</v>
      </c>
      <c r="Z838" s="6" t="s">
        <v>1074</v>
      </c>
      <c r="AA838" s="6" t="s">
        <v>53</v>
      </c>
      <c r="AB838" s="6" t="s">
        <v>36</v>
      </c>
      <c r="AC838" s="6" t="s">
        <v>37</v>
      </c>
      <c r="AD838" s="6" t="s">
        <v>1077</v>
      </c>
      <c r="AE838" s="6" t="s">
        <v>39</v>
      </c>
      <c r="AF838" s="6" t="s">
        <v>40</v>
      </c>
      <c r="AG838" s="7">
        <v>6178250</v>
      </c>
      <c r="AH838" s="11">
        <f>_xlfn.XLOOKUP(B838,[1]Sheet1!$B:$B,[1]Sheet1!$AB:$AB,0)</f>
        <v>6178250</v>
      </c>
    </row>
    <row r="839" spans="2:34" ht="16.8" thickTop="1" thickBot="1" x14ac:dyDescent="0.35">
      <c r="B839" s="3" t="str">
        <f t="shared" si="28"/>
        <v>45153004511001005Manpower-N424521200104</v>
      </c>
      <c r="C839" s="8" t="s">
        <v>1075</v>
      </c>
      <c r="D839" s="8" t="s">
        <v>1315</v>
      </c>
      <c r="E839" s="8" t="s">
        <v>1316</v>
      </c>
      <c r="F839" s="8" t="s">
        <v>98</v>
      </c>
      <c r="G839" s="4" t="s">
        <v>2804</v>
      </c>
      <c r="H839" s="4" t="s">
        <v>2922</v>
      </c>
      <c r="I839" s="8" t="s">
        <v>51</v>
      </c>
      <c r="J839" s="8" t="s">
        <v>31</v>
      </c>
      <c r="K839" s="12">
        <f>_xlfn.XLOOKUP(B839,[1]Sheet1!$B:$B,[1]Sheet1!$N:$N,0)</f>
        <v>0</v>
      </c>
      <c r="L839" s="12">
        <f>_xlfn.XLOOKUP(B839,[1]Sheet1!$B:$B,[1]Sheet1!$O:$O,0)</f>
        <v>0</v>
      </c>
      <c r="M839" s="12">
        <f>_xlfn.XLOOKUP(B839,[1]Sheet1!$B:$B,[1]Sheet1!$P:$P,0)</f>
        <v>0</v>
      </c>
      <c r="N839" s="12">
        <f>_xlfn.XLOOKUP(B839,[1]Sheet1!$B:$B,[1]Sheet1!$Q:$Q,0)</f>
        <v>158500</v>
      </c>
      <c r="O839" s="12">
        <f>_xlfn.XLOOKUP(B839,[1]Sheet1!$B:$B,[1]Sheet1!$R:$R,0)</f>
        <v>59500</v>
      </c>
      <c r="P839" s="12">
        <f>_xlfn.XLOOKUP(B839,[1]Sheet1!$B:$B,[1]Sheet1!$S:$S,0)</f>
        <v>59500</v>
      </c>
      <c r="Q839" s="12">
        <f>_xlfn.XLOOKUP(B839,[1]Sheet1!$B:$B,[1]Sheet1!$T:$T,0)</f>
        <v>59500</v>
      </c>
      <c r="R839" s="12">
        <f>_xlfn.XLOOKUP(B839,[1]Sheet1!$B:$B,[1]Sheet1!$U:$U,0)</f>
        <v>59500</v>
      </c>
      <c r="S839" s="12">
        <f>_xlfn.XLOOKUP(B839,[1]Sheet1!$B:$B,[1]Sheet1!$V:$V,0)</f>
        <v>59500</v>
      </c>
      <c r="T839" s="12">
        <f>_xlfn.XLOOKUP(B839,[1]Sheet1!$B:$B,[1]Sheet1!$W:$W,0)</f>
        <v>59500</v>
      </c>
      <c r="U839" s="12">
        <f>_xlfn.XLOOKUP(B839,[1]Sheet1!$B:$B,[1]Sheet1!$X:$X,0)</f>
        <v>59500</v>
      </c>
      <c r="V839" s="12">
        <f>_xlfn.XLOOKUP(B839,[1]Sheet1!$B:$B,[1]Sheet1!$Y:$Y,0)</f>
        <v>119000</v>
      </c>
      <c r="W839" s="12">
        <f t="shared" si="29"/>
        <v>694000</v>
      </c>
      <c r="X839" s="8" t="s">
        <v>1076</v>
      </c>
      <c r="Y839" s="8" t="s">
        <v>211</v>
      </c>
      <c r="Z839" s="8" t="s">
        <v>1074</v>
      </c>
      <c r="AA839" s="8" t="s">
        <v>53</v>
      </c>
      <c r="AB839" s="8" t="s">
        <v>36</v>
      </c>
      <c r="AC839" s="8" t="s">
        <v>37</v>
      </c>
      <c r="AD839" s="8" t="s">
        <v>1077</v>
      </c>
      <c r="AE839" s="8" t="s">
        <v>39</v>
      </c>
      <c r="AF839" s="8" t="s">
        <v>40</v>
      </c>
      <c r="AG839" s="9">
        <v>1184000</v>
      </c>
      <c r="AH839" s="11">
        <f>_xlfn.XLOOKUP(B839,[1]Sheet1!$B:$B,[1]Sheet1!$AB:$AB,0)</f>
        <v>1184000</v>
      </c>
    </row>
    <row r="840" spans="2:34" ht="16.8" thickTop="1" thickBot="1" x14ac:dyDescent="0.35">
      <c r="B840" s="3" t="str">
        <f t="shared" si="28"/>
        <v>45112504511001038Activation&amp;Prog-N422401200104</v>
      </c>
      <c r="C840" s="6" t="s">
        <v>67</v>
      </c>
      <c r="D840" s="6" t="s">
        <v>1317</v>
      </c>
      <c r="E840" s="6" t="s">
        <v>1318</v>
      </c>
      <c r="F840" s="6" t="s">
        <v>62</v>
      </c>
      <c r="G840" s="4" t="s">
        <v>2807</v>
      </c>
      <c r="H840" s="4" t="s">
        <v>2922</v>
      </c>
      <c r="I840" s="6" t="s">
        <v>63</v>
      </c>
      <c r="J840" s="6" t="s">
        <v>31</v>
      </c>
      <c r="K840" s="12">
        <f>_xlfn.XLOOKUP(B840,[1]Sheet1!$B:$B,[1]Sheet1!$N:$N,0)</f>
        <v>0</v>
      </c>
      <c r="L840" s="12">
        <f>_xlfn.XLOOKUP(B840,[1]Sheet1!$B:$B,[1]Sheet1!$O:$O,0)</f>
        <v>0</v>
      </c>
      <c r="M840" s="12">
        <f>_xlfn.XLOOKUP(B840,[1]Sheet1!$B:$B,[1]Sheet1!$P:$P,0)</f>
        <v>0</v>
      </c>
      <c r="N840" s="12">
        <f>_xlfn.XLOOKUP(B840,[1]Sheet1!$B:$B,[1]Sheet1!$Q:$Q,0)</f>
        <v>7000</v>
      </c>
      <c r="O840" s="12">
        <f>_xlfn.XLOOKUP(B840,[1]Sheet1!$B:$B,[1]Sheet1!$R:$R,0)</f>
        <v>0</v>
      </c>
      <c r="P840" s="12">
        <f>_xlfn.XLOOKUP(B840,[1]Sheet1!$B:$B,[1]Sheet1!$S:$S,0)</f>
        <v>75000</v>
      </c>
      <c r="Q840" s="12">
        <f>_xlfn.XLOOKUP(B840,[1]Sheet1!$B:$B,[1]Sheet1!$T:$T,0)</f>
        <v>0</v>
      </c>
      <c r="R840" s="12">
        <f>_xlfn.XLOOKUP(B840,[1]Sheet1!$B:$B,[1]Sheet1!$U:$U,0)</f>
        <v>0</v>
      </c>
      <c r="S840" s="12">
        <f>_xlfn.XLOOKUP(B840,[1]Sheet1!$B:$B,[1]Sheet1!$V:$V,0)</f>
        <v>45000</v>
      </c>
      <c r="T840" s="12">
        <f>_xlfn.XLOOKUP(B840,[1]Sheet1!$B:$B,[1]Sheet1!$W:$W,0)</f>
        <v>0</v>
      </c>
      <c r="U840" s="12">
        <f>_xlfn.XLOOKUP(B840,[1]Sheet1!$B:$B,[1]Sheet1!$X:$X,0)</f>
        <v>0</v>
      </c>
      <c r="V840" s="12">
        <f>_xlfn.XLOOKUP(B840,[1]Sheet1!$B:$B,[1]Sheet1!$Y:$Y,0)</f>
        <v>1373000</v>
      </c>
      <c r="W840" s="12">
        <f t="shared" si="29"/>
        <v>1500000</v>
      </c>
      <c r="X840" s="6" t="s">
        <v>64</v>
      </c>
      <c r="Y840" s="6" t="s">
        <v>65</v>
      </c>
      <c r="Z840" s="6" t="s">
        <v>66</v>
      </c>
      <c r="AA840" s="6" t="s">
        <v>68</v>
      </c>
      <c r="AB840" s="6" t="s">
        <v>36</v>
      </c>
      <c r="AC840" s="6" t="s">
        <v>37</v>
      </c>
      <c r="AD840" s="6" t="s">
        <v>69</v>
      </c>
      <c r="AE840" s="6" t="s">
        <v>39</v>
      </c>
      <c r="AF840" s="6" t="s">
        <v>40</v>
      </c>
      <c r="AG840" s="7">
        <v>1500000</v>
      </c>
      <c r="AH840" s="11">
        <f>_xlfn.XLOOKUP(B840,[1]Sheet1!$B:$B,[1]Sheet1!$AB:$AB,0)</f>
        <v>1500000</v>
      </c>
    </row>
    <row r="841" spans="2:34" ht="16.8" thickTop="1" thickBot="1" x14ac:dyDescent="0.35">
      <c r="B841" s="3" t="str">
        <f t="shared" si="28"/>
        <v>45112504511001038Admin Expenses-N1421125200104</v>
      </c>
      <c r="C841" s="8" t="s">
        <v>67</v>
      </c>
      <c r="D841" s="8" t="s">
        <v>1317</v>
      </c>
      <c r="E841" s="8" t="s">
        <v>1318</v>
      </c>
      <c r="F841" s="8" t="s">
        <v>73</v>
      </c>
      <c r="G841" s="4" t="s">
        <v>2803</v>
      </c>
      <c r="H841" s="4" t="s">
        <v>2922</v>
      </c>
      <c r="I841" s="8" t="s">
        <v>44</v>
      </c>
      <c r="J841" s="8" t="s">
        <v>31</v>
      </c>
      <c r="K841" s="12">
        <f>_xlfn.XLOOKUP(B841,[1]Sheet1!$B:$B,[1]Sheet1!$N:$N,0)</f>
        <v>0</v>
      </c>
      <c r="L841" s="12">
        <f>_xlfn.XLOOKUP(B841,[1]Sheet1!$B:$B,[1]Sheet1!$O:$O,0)</f>
        <v>0</v>
      </c>
      <c r="M841" s="12">
        <f>_xlfn.XLOOKUP(B841,[1]Sheet1!$B:$B,[1]Sheet1!$P:$P,0)</f>
        <v>0</v>
      </c>
      <c r="N841" s="12">
        <f>_xlfn.XLOOKUP(B841,[1]Sheet1!$B:$B,[1]Sheet1!$Q:$Q,0)</f>
        <v>89000</v>
      </c>
      <c r="O841" s="12">
        <f>_xlfn.XLOOKUP(B841,[1]Sheet1!$B:$B,[1]Sheet1!$R:$R,0)</f>
        <v>22250</v>
      </c>
      <c r="P841" s="12">
        <f>_xlfn.XLOOKUP(B841,[1]Sheet1!$B:$B,[1]Sheet1!$S:$S,0)</f>
        <v>22250</v>
      </c>
      <c r="Q841" s="12">
        <f>_xlfn.XLOOKUP(B841,[1]Sheet1!$B:$B,[1]Sheet1!$T:$T,0)</f>
        <v>22250</v>
      </c>
      <c r="R841" s="12">
        <f>_xlfn.XLOOKUP(B841,[1]Sheet1!$B:$B,[1]Sheet1!$U:$U,0)</f>
        <v>22250</v>
      </c>
      <c r="S841" s="12">
        <f>_xlfn.XLOOKUP(B841,[1]Sheet1!$B:$B,[1]Sheet1!$V:$V,0)</f>
        <v>47250.44</v>
      </c>
      <c r="T841" s="12">
        <f>_xlfn.XLOOKUP(B841,[1]Sheet1!$B:$B,[1]Sheet1!$W:$W,0)</f>
        <v>66750</v>
      </c>
      <c r="U841" s="12">
        <f>_xlfn.XLOOKUP(B841,[1]Sheet1!$B:$B,[1]Sheet1!$X:$X,0)</f>
        <v>64410</v>
      </c>
      <c r="V841" s="12">
        <f>_xlfn.XLOOKUP(B841,[1]Sheet1!$B:$B,[1]Sheet1!$Y:$Y,0)</f>
        <v>87569</v>
      </c>
      <c r="W841" s="12">
        <f t="shared" si="29"/>
        <v>443979.44</v>
      </c>
      <c r="X841" s="8" t="s">
        <v>74</v>
      </c>
      <c r="Y841" s="8" t="s">
        <v>65</v>
      </c>
      <c r="Z841" s="8" t="s">
        <v>66</v>
      </c>
      <c r="AA841" s="8" t="s">
        <v>44</v>
      </c>
      <c r="AB841" s="8" t="s">
        <v>36</v>
      </c>
      <c r="AC841" s="8" t="s">
        <v>37</v>
      </c>
      <c r="AD841" s="8" t="s">
        <v>69</v>
      </c>
      <c r="AE841" s="8" t="s">
        <v>39</v>
      </c>
      <c r="AF841" s="8" t="s">
        <v>40</v>
      </c>
      <c r="AG841" s="9">
        <v>443979</v>
      </c>
      <c r="AH841" s="11">
        <f>_xlfn.XLOOKUP(B841,[1]Sheet1!$B:$B,[1]Sheet1!$AB:$AB,0)</f>
        <v>443979.44</v>
      </c>
    </row>
    <row r="842" spans="2:34" ht="16.8" thickTop="1" thickBot="1" x14ac:dyDescent="0.35">
      <c r="B842" s="3" t="str">
        <f t="shared" si="28"/>
        <v>45112504511001038FM Mgmnt (E-E)-N426212200104</v>
      </c>
      <c r="C842" s="6" t="s">
        <v>67</v>
      </c>
      <c r="D842" s="6" t="s">
        <v>1317</v>
      </c>
      <c r="E842" s="6" t="s">
        <v>1318</v>
      </c>
      <c r="F842" s="6" t="s">
        <v>380</v>
      </c>
      <c r="G842" s="4" t="s">
        <v>2814</v>
      </c>
      <c r="H842" s="4" t="s">
        <v>2922</v>
      </c>
      <c r="I842" s="6" t="s">
        <v>96</v>
      </c>
      <c r="J842" s="6" t="s">
        <v>31</v>
      </c>
      <c r="K842" s="12">
        <f>_xlfn.XLOOKUP(B842,[1]Sheet1!$B:$B,[1]Sheet1!$N:$N,0)</f>
        <v>0</v>
      </c>
      <c r="L842" s="12">
        <f>_xlfn.XLOOKUP(B842,[1]Sheet1!$B:$B,[1]Sheet1!$O:$O,0)</f>
        <v>0</v>
      </c>
      <c r="M842" s="12">
        <f>_xlfn.XLOOKUP(B842,[1]Sheet1!$B:$B,[1]Sheet1!$P:$P,0)</f>
        <v>0</v>
      </c>
      <c r="N842" s="12">
        <f>_xlfn.XLOOKUP(B842,[1]Sheet1!$B:$B,[1]Sheet1!$Q:$Q,0)</f>
        <v>103043.44</v>
      </c>
      <c r="O842" s="12">
        <f>_xlfn.XLOOKUP(B842,[1]Sheet1!$B:$B,[1]Sheet1!$R:$R,0)</f>
        <v>25760.86</v>
      </c>
      <c r="P842" s="12">
        <f>_xlfn.XLOOKUP(B842,[1]Sheet1!$B:$B,[1]Sheet1!$S:$S,0)</f>
        <v>25760.86</v>
      </c>
      <c r="Q842" s="12">
        <f>_xlfn.XLOOKUP(B842,[1]Sheet1!$B:$B,[1]Sheet1!$T:$T,0)</f>
        <v>25760.86</v>
      </c>
      <c r="R842" s="12">
        <f>_xlfn.XLOOKUP(B842,[1]Sheet1!$B:$B,[1]Sheet1!$U:$U,0)</f>
        <v>25760.86</v>
      </c>
      <c r="S842" s="12">
        <f>_xlfn.XLOOKUP(B842,[1]Sheet1!$B:$B,[1]Sheet1!$V:$V,0)</f>
        <v>25760.86</v>
      </c>
      <c r="T842" s="12">
        <f>_xlfn.XLOOKUP(B842,[1]Sheet1!$B:$B,[1]Sheet1!$W:$W,0)</f>
        <v>25760.86</v>
      </c>
      <c r="U842" s="12">
        <f>_xlfn.XLOOKUP(B842,[1]Sheet1!$B:$B,[1]Sheet1!$X:$X,0)</f>
        <v>25760.86</v>
      </c>
      <c r="V842" s="12">
        <f>_xlfn.XLOOKUP(B842,[1]Sheet1!$B:$B,[1]Sheet1!$Y:$Y,0)</f>
        <v>18131</v>
      </c>
      <c r="W842" s="12">
        <f t="shared" si="29"/>
        <v>301500.45999999996</v>
      </c>
      <c r="X842" s="6" t="s">
        <v>97</v>
      </c>
      <c r="Y842" s="6" t="s">
        <v>65</v>
      </c>
      <c r="Z842" s="6" t="s">
        <v>66</v>
      </c>
      <c r="AA842" s="6" t="s">
        <v>96</v>
      </c>
      <c r="AB842" s="6" t="s">
        <v>36</v>
      </c>
      <c r="AC842" s="6" t="s">
        <v>37</v>
      </c>
      <c r="AD842" s="6" t="s">
        <v>69</v>
      </c>
      <c r="AE842" s="6" t="s">
        <v>39</v>
      </c>
      <c r="AF842" s="6" t="s">
        <v>40</v>
      </c>
      <c r="AG842" s="7">
        <v>301500</v>
      </c>
      <c r="AH842" s="11">
        <f>_xlfn.XLOOKUP(B842,[1]Sheet1!$B:$B,[1]Sheet1!$AB:$AB,0)</f>
        <v>301500.45999999996</v>
      </c>
    </row>
    <row r="843" spans="2:34" ht="16.8" thickTop="1" thickBot="1" x14ac:dyDescent="0.35">
      <c r="B843" s="3" t="str">
        <f t="shared" si="28"/>
        <v>45112504511001038Freelancers-N424521200104</v>
      </c>
      <c r="C843" s="8" t="s">
        <v>67</v>
      </c>
      <c r="D843" s="8" t="s">
        <v>1317</v>
      </c>
      <c r="E843" s="8" t="s">
        <v>1318</v>
      </c>
      <c r="F843" s="8" t="s">
        <v>50</v>
      </c>
      <c r="G843" s="4" t="s">
        <v>2804</v>
      </c>
      <c r="H843" s="4" t="s">
        <v>2922</v>
      </c>
      <c r="I843" s="8" t="s">
        <v>51</v>
      </c>
      <c r="J843" s="8" t="s">
        <v>31</v>
      </c>
      <c r="K843" s="12">
        <f>_xlfn.XLOOKUP(B843,[1]Sheet1!$B:$B,[1]Sheet1!$N:$N,0)</f>
        <v>0</v>
      </c>
      <c r="L843" s="12">
        <f>_xlfn.XLOOKUP(B843,[1]Sheet1!$B:$B,[1]Sheet1!$O:$O,0)</f>
        <v>0</v>
      </c>
      <c r="M843" s="12">
        <f>_xlfn.XLOOKUP(B843,[1]Sheet1!$B:$B,[1]Sheet1!$P:$P,0)</f>
        <v>0</v>
      </c>
      <c r="N843" s="12">
        <f>_xlfn.XLOOKUP(B843,[1]Sheet1!$B:$B,[1]Sheet1!$Q:$Q,0)</f>
        <v>60000</v>
      </c>
      <c r="O843" s="12">
        <f>_xlfn.XLOOKUP(B843,[1]Sheet1!$B:$B,[1]Sheet1!$R:$R,0)</f>
        <v>15000</v>
      </c>
      <c r="P843" s="12">
        <f>_xlfn.XLOOKUP(B843,[1]Sheet1!$B:$B,[1]Sheet1!$S:$S,0)</f>
        <v>15000</v>
      </c>
      <c r="Q843" s="12">
        <f>_xlfn.XLOOKUP(B843,[1]Sheet1!$B:$B,[1]Sheet1!$T:$T,0)</f>
        <v>15000</v>
      </c>
      <c r="R843" s="12">
        <f>_xlfn.XLOOKUP(B843,[1]Sheet1!$B:$B,[1]Sheet1!$U:$U,0)</f>
        <v>15000</v>
      </c>
      <c r="S843" s="12">
        <f>_xlfn.XLOOKUP(B843,[1]Sheet1!$B:$B,[1]Sheet1!$V:$V,0)</f>
        <v>15000</v>
      </c>
      <c r="T843" s="12">
        <f>_xlfn.XLOOKUP(B843,[1]Sheet1!$B:$B,[1]Sheet1!$W:$W,0)</f>
        <v>0</v>
      </c>
      <c r="U843" s="12">
        <f>_xlfn.XLOOKUP(B843,[1]Sheet1!$B:$B,[1]Sheet1!$X:$X,0)</f>
        <v>0</v>
      </c>
      <c r="V843" s="12">
        <f>_xlfn.XLOOKUP(B843,[1]Sheet1!$B:$B,[1]Sheet1!$Y:$Y,0)</f>
        <v>0</v>
      </c>
      <c r="W843" s="12">
        <f t="shared" si="29"/>
        <v>135000</v>
      </c>
      <c r="X843" s="8" t="s">
        <v>82</v>
      </c>
      <c r="Y843" s="8" t="s">
        <v>65</v>
      </c>
      <c r="Z843" s="8" t="s">
        <v>66</v>
      </c>
      <c r="AA843" s="8" t="s">
        <v>53</v>
      </c>
      <c r="AB843" s="8" t="s">
        <v>36</v>
      </c>
      <c r="AC843" s="8" t="s">
        <v>37</v>
      </c>
      <c r="AD843" s="8" t="s">
        <v>69</v>
      </c>
      <c r="AE843" s="8" t="s">
        <v>39</v>
      </c>
      <c r="AF843" s="8" t="s">
        <v>40</v>
      </c>
      <c r="AG843" s="9">
        <v>135000</v>
      </c>
      <c r="AH843" s="11">
        <f>_xlfn.XLOOKUP(B843,[1]Sheet1!$B:$B,[1]Sheet1!$AB:$AB,0)</f>
        <v>135000</v>
      </c>
    </row>
    <row r="844" spans="2:34" ht="16.8" thickTop="1" thickBot="1" x14ac:dyDescent="0.35">
      <c r="B844" s="3" t="str">
        <f t="shared" si="28"/>
        <v>45112504511001038Manpower-N424521200104</v>
      </c>
      <c r="C844" s="6" t="s">
        <v>67</v>
      </c>
      <c r="D844" s="6" t="s">
        <v>1317</v>
      </c>
      <c r="E844" s="6" t="s">
        <v>1318</v>
      </c>
      <c r="F844" s="6" t="s">
        <v>98</v>
      </c>
      <c r="G844" s="4" t="s">
        <v>2804</v>
      </c>
      <c r="H844" s="4" t="s">
        <v>2922</v>
      </c>
      <c r="I844" s="6" t="s">
        <v>51</v>
      </c>
      <c r="J844" s="6" t="s">
        <v>31</v>
      </c>
      <c r="K844" s="12">
        <f>_xlfn.XLOOKUP(B844,[1]Sheet1!$B:$B,[1]Sheet1!$N:$N,0)</f>
        <v>0</v>
      </c>
      <c r="L844" s="12">
        <f>_xlfn.XLOOKUP(B844,[1]Sheet1!$B:$B,[1]Sheet1!$O:$O,0)</f>
        <v>0</v>
      </c>
      <c r="M844" s="12">
        <f>_xlfn.XLOOKUP(B844,[1]Sheet1!$B:$B,[1]Sheet1!$P:$P,0)</f>
        <v>0</v>
      </c>
      <c r="N844" s="12">
        <f>_xlfn.XLOOKUP(B844,[1]Sheet1!$B:$B,[1]Sheet1!$Q:$Q,0)</f>
        <v>159190</v>
      </c>
      <c r="O844" s="12">
        <f>_xlfn.XLOOKUP(B844,[1]Sheet1!$B:$B,[1]Sheet1!$R:$R,0)</f>
        <v>94595</v>
      </c>
      <c r="P844" s="12">
        <f>_xlfn.XLOOKUP(B844,[1]Sheet1!$B:$B,[1]Sheet1!$S:$S,0)</f>
        <v>94595</v>
      </c>
      <c r="Q844" s="12">
        <f>_xlfn.XLOOKUP(B844,[1]Sheet1!$B:$B,[1]Sheet1!$T:$T,0)</f>
        <v>94595</v>
      </c>
      <c r="R844" s="12">
        <f>_xlfn.XLOOKUP(B844,[1]Sheet1!$B:$B,[1]Sheet1!$U:$U,0)</f>
        <v>94595</v>
      </c>
      <c r="S844" s="12">
        <f>_xlfn.XLOOKUP(B844,[1]Sheet1!$B:$B,[1]Sheet1!$V:$V,0)</f>
        <v>41869</v>
      </c>
      <c r="T844" s="12">
        <f>_xlfn.XLOOKUP(B844,[1]Sheet1!$B:$B,[1]Sheet1!$W:$W,0)</f>
        <v>0</v>
      </c>
      <c r="U844" s="12">
        <f>_xlfn.XLOOKUP(B844,[1]Sheet1!$B:$B,[1]Sheet1!$X:$X,0)</f>
        <v>0</v>
      </c>
      <c r="V844" s="12">
        <f>_xlfn.XLOOKUP(B844,[1]Sheet1!$B:$B,[1]Sheet1!$Y:$Y,0)</f>
        <v>0</v>
      </c>
      <c r="W844" s="12">
        <f t="shared" si="29"/>
        <v>579439</v>
      </c>
      <c r="X844" s="6" t="s">
        <v>82</v>
      </c>
      <c r="Y844" s="6" t="s">
        <v>65</v>
      </c>
      <c r="Z844" s="6" t="s">
        <v>66</v>
      </c>
      <c r="AA844" s="6" t="s">
        <v>53</v>
      </c>
      <c r="AB844" s="6" t="s">
        <v>36</v>
      </c>
      <c r="AC844" s="6" t="s">
        <v>37</v>
      </c>
      <c r="AD844" s="6" t="s">
        <v>69</v>
      </c>
      <c r="AE844" s="6" t="s">
        <v>39</v>
      </c>
      <c r="AF844" s="6" t="s">
        <v>40</v>
      </c>
      <c r="AG844" s="7">
        <v>579439</v>
      </c>
      <c r="AH844" s="11">
        <f>_xlfn.XLOOKUP(B844,[1]Sheet1!$B:$B,[1]Sheet1!$AB:$AB,0)</f>
        <v>579439</v>
      </c>
    </row>
    <row r="845" spans="2:34" ht="16.8" thickTop="1" thickBot="1" x14ac:dyDescent="0.35">
      <c r="B845" s="3" t="str">
        <f t="shared" si="28"/>
        <v>45111504511001041Design &amp; Build-N1491211300105</v>
      </c>
      <c r="C845" s="8" t="s">
        <v>299</v>
      </c>
      <c r="D845" s="8" t="s">
        <v>1319</v>
      </c>
      <c r="E845" s="8" t="s">
        <v>1320</v>
      </c>
      <c r="F845" s="8" t="s">
        <v>1321</v>
      </c>
      <c r="G845" s="4" t="s">
        <v>2839</v>
      </c>
      <c r="H845" s="4" t="s">
        <v>2923</v>
      </c>
      <c r="I845" s="8" t="s">
        <v>411</v>
      </c>
      <c r="J845" s="8" t="s">
        <v>31</v>
      </c>
      <c r="K845" s="12">
        <f>_xlfn.XLOOKUP(B845,[1]Sheet1!$B:$B,[1]Sheet1!$N:$N,0)</f>
        <v>0</v>
      </c>
      <c r="L845" s="12">
        <f>_xlfn.XLOOKUP(B845,[1]Sheet1!$B:$B,[1]Sheet1!$O:$O,0)</f>
        <v>0</v>
      </c>
      <c r="M845" s="12">
        <f>_xlfn.XLOOKUP(B845,[1]Sheet1!$B:$B,[1]Sheet1!$P:$P,0)</f>
        <v>0</v>
      </c>
      <c r="N845" s="12">
        <f>_xlfn.XLOOKUP(B845,[1]Sheet1!$B:$B,[1]Sheet1!$Q:$Q,0)</f>
        <v>0</v>
      </c>
      <c r="O845" s="12">
        <f>_xlfn.XLOOKUP(B845,[1]Sheet1!$B:$B,[1]Sheet1!$R:$R,0)</f>
        <v>0</v>
      </c>
      <c r="P845" s="12">
        <f>_xlfn.XLOOKUP(B845,[1]Sheet1!$B:$B,[1]Sheet1!$S:$S,0)</f>
        <v>0</v>
      </c>
      <c r="Q845" s="12">
        <f>_xlfn.XLOOKUP(B845,[1]Sheet1!$B:$B,[1]Sheet1!$T:$T,0)</f>
        <v>0</v>
      </c>
      <c r="R845" s="12">
        <f>_xlfn.XLOOKUP(B845,[1]Sheet1!$B:$B,[1]Sheet1!$U:$U,0)</f>
        <v>5500000</v>
      </c>
      <c r="S845" s="12">
        <f>_xlfn.XLOOKUP(B845,[1]Sheet1!$B:$B,[1]Sheet1!$V:$V,0)</f>
        <v>6500000</v>
      </c>
      <c r="T845" s="12">
        <f>_xlfn.XLOOKUP(B845,[1]Sheet1!$B:$B,[1]Sheet1!$W:$W,0)</f>
        <v>7000000</v>
      </c>
      <c r="U845" s="12">
        <f>_xlfn.XLOOKUP(B845,[1]Sheet1!$B:$B,[1]Sheet1!$X:$X,0)</f>
        <v>400000</v>
      </c>
      <c r="V845" s="12">
        <f>_xlfn.XLOOKUP(B845,[1]Sheet1!$B:$B,[1]Sheet1!$Y:$Y,0)</f>
        <v>4849000</v>
      </c>
      <c r="W845" s="12">
        <f t="shared" si="29"/>
        <v>24249000</v>
      </c>
      <c r="X845" s="8" t="s">
        <v>1322</v>
      </c>
      <c r="Y845" s="8" t="s">
        <v>65</v>
      </c>
      <c r="Z845" s="8" t="s">
        <v>298</v>
      </c>
      <c r="AA845" s="8" t="s">
        <v>411</v>
      </c>
      <c r="AB845" s="8" t="s">
        <v>93</v>
      </c>
      <c r="AC845" s="8" t="s">
        <v>94</v>
      </c>
      <c r="AD845" s="8" t="s">
        <v>69</v>
      </c>
      <c r="AE845" s="8" t="s">
        <v>39</v>
      </c>
      <c r="AF845" s="8" t="s">
        <v>40</v>
      </c>
      <c r="AG845" s="9">
        <v>4249000</v>
      </c>
      <c r="AH845" s="11">
        <f>_xlfn.XLOOKUP(B845,[1]Sheet1!$B:$B,[1]Sheet1!$AB:$AB,0)</f>
        <v>4249000</v>
      </c>
    </row>
    <row r="846" spans="2:34" ht="16.8" thickTop="1" thickBot="1" x14ac:dyDescent="0.35">
      <c r="B846" s="3" t="str">
        <f t="shared" si="28"/>
        <v>45191994511001049CampaignProductn-N2422511200104</v>
      </c>
      <c r="C846" s="6" t="s">
        <v>394</v>
      </c>
      <c r="D846" s="6" t="s">
        <v>1323</v>
      </c>
      <c r="E846" s="6" t="s">
        <v>1324</v>
      </c>
      <c r="F846" s="6" t="s">
        <v>1325</v>
      </c>
      <c r="G846" s="4" t="s">
        <v>2819</v>
      </c>
      <c r="H846" s="4" t="s">
        <v>2922</v>
      </c>
      <c r="I846" s="6" t="s">
        <v>151</v>
      </c>
      <c r="J846" s="6" t="s">
        <v>31</v>
      </c>
      <c r="K846" s="12">
        <f>_xlfn.XLOOKUP(B846,[1]Sheet1!$B:$B,[1]Sheet1!$N:$N,0)</f>
        <v>0</v>
      </c>
      <c r="L846" s="12">
        <f>_xlfn.XLOOKUP(B846,[1]Sheet1!$B:$B,[1]Sheet1!$O:$O,0)</f>
        <v>0</v>
      </c>
      <c r="M846" s="12">
        <f>_xlfn.XLOOKUP(B846,[1]Sheet1!$B:$B,[1]Sheet1!$P:$P,0)</f>
        <v>0</v>
      </c>
      <c r="N846" s="12">
        <f>_xlfn.XLOOKUP(B846,[1]Sheet1!$B:$B,[1]Sheet1!$Q:$Q,0)</f>
        <v>0</v>
      </c>
      <c r="O846" s="12">
        <f>_xlfn.XLOOKUP(B846,[1]Sheet1!$B:$B,[1]Sheet1!$R:$R,0)</f>
        <v>0</v>
      </c>
      <c r="P846" s="12">
        <f>_xlfn.XLOOKUP(B846,[1]Sheet1!$B:$B,[1]Sheet1!$S:$S,0)</f>
        <v>0</v>
      </c>
      <c r="Q846" s="12">
        <f>_xlfn.XLOOKUP(B846,[1]Sheet1!$B:$B,[1]Sheet1!$T:$T,0)</f>
        <v>0</v>
      </c>
      <c r="R846" s="12">
        <f>_xlfn.XLOOKUP(B846,[1]Sheet1!$B:$B,[1]Sheet1!$U:$U,0)</f>
        <v>0</v>
      </c>
      <c r="S846" s="12">
        <f>_xlfn.XLOOKUP(B846,[1]Sheet1!$B:$B,[1]Sheet1!$V:$V,0)</f>
        <v>350000</v>
      </c>
      <c r="T846" s="12">
        <f>_xlfn.XLOOKUP(B846,[1]Sheet1!$B:$B,[1]Sheet1!$W:$W,0)</f>
        <v>0</v>
      </c>
      <c r="U846" s="12">
        <f>_xlfn.XLOOKUP(B846,[1]Sheet1!$B:$B,[1]Sheet1!$X:$X,0)</f>
        <v>0</v>
      </c>
      <c r="V846" s="12">
        <f>_xlfn.XLOOKUP(B846,[1]Sheet1!$B:$B,[1]Sheet1!$Y:$Y,0)</f>
        <v>0</v>
      </c>
      <c r="W846" s="12">
        <f t="shared" si="29"/>
        <v>350000</v>
      </c>
      <c r="X846" s="6" t="s">
        <v>1326</v>
      </c>
      <c r="Y846" s="6" t="s">
        <v>392</v>
      </c>
      <c r="Z846" s="6" t="s">
        <v>393</v>
      </c>
      <c r="AA846" s="6" t="s">
        <v>151</v>
      </c>
      <c r="AB846" s="6" t="s">
        <v>36</v>
      </c>
      <c r="AC846" s="6" t="s">
        <v>37</v>
      </c>
      <c r="AD846" s="6" t="s">
        <v>863</v>
      </c>
      <c r="AE846" s="6" t="s">
        <v>39</v>
      </c>
      <c r="AF846" s="6" t="s">
        <v>40</v>
      </c>
      <c r="AG846" s="7">
        <v>350000</v>
      </c>
      <c r="AH846" s="11">
        <f>_xlfn.XLOOKUP(B846,[1]Sheet1!$B:$B,[1]Sheet1!$AB:$AB,0)</f>
        <v>350000</v>
      </c>
    </row>
    <row r="847" spans="2:34" ht="16.8" thickTop="1" thickBot="1" x14ac:dyDescent="0.35">
      <c r="B847" s="3" t="str">
        <f t="shared" si="28"/>
        <v>45192014511001051Awards &amp; Prizes-N2424231200104</v>
      </c>
      <c r="C847" s="8" t="s">
        <v>876</v>
      </c>
      <c r="D847" s="8" t="s">
        <v>1327</v>
      </c>
      <c r="E847" s="8" t="s">
        <v>1328</v>
      </c>
      <c r="F847" s="8" t="s">
        <v>873</v>
      </c>
      <c r="G847" s="4" t="s">
        <v>2832</v>
      </c>
      <c r="H847" s="4" t="s">
        <v>2922</v>
      </c>
      <c r="I847" s="8" t="s">
        <v>324</v>
      </c>
      <c r="J847" s="8" t="s">
        <v>31</v>
      </c>
      <c r="K847" s="12">
        <f>_xlfn.XLOOKUP(B847,[1]Sheet1!$B:$B,[1]Sheet1!$N:$N,0)</f>
        <v>0</v>
      </c>
      <c r="L847" s="12">
        <f>_xlfn.XLOOKUP(B847,[1]Sheet1!$B:$B,[1]Sheet1!$O:$O,0)</f>
        <v>0</v>
      </c>
      <c r="M847" s="12">
        <f>_xlfn.XLOOKUP(B847,[1]Sheet1!$B:$B,[1]Sheet1!$P:$P,0)</f>
        <v>0</v>
      </c>
      <c r="N847" s="12">
        <f>_xlfn.XLOOKUP(B847,[1]Sheet1!$B:$B,[1]Sheet1!$Q:$Q,0)</f>
        <v>0</v>
      </c>
      <c r="O847" s="12">
        <f>_xlfn.XLOOKUP(B847,[1]Sheet1!$B:$B,[1]Sheet1!$R:$R,0)</f>
        <v>0</v>
      </c>
      <c r="P847" s="12">
        <f>_xlfn.XLOOKUP(B847,[1]Sheet1!$B:$B,[1]Sheet1!$S:$S,0)</f>
        <v>0</v>
      </c>
      <c r="Q847" s="12">
        <f>_xlfn.XLOOKUP(B847,[1]Sheet1!$B:$B,[1]Sheet1!$T:$T,0)</f>
        <v>0</v>
      </c>
      <c r="R847" s="12">
        <f>_xlfn.XLOOKUP(B847,[1]Sheet1!$B:$B,[1]Sheet1!$U:$U,0)</f>
        <v>0</v>
      </c>
      <c r="S847" s="12">
        <f>_xlfn.XLOOKUP(B847,[1]Sheet1!$B:$B,[1]Sheet1!$V:$V,0)</f>
        <v>0</v>
      </c>
      <c r="T847" s="12">
        <f>_xlfn.XLOOKUP(B847,[1]Sheet1!$B:$B,[1]Sheet1!$W:$W,0)</f>
        <v>385000</v>
      </c>
      <c r="U847" s="12">
        <f>_xlfn.XLOOKUP(B847,[1]Sheet1!$B:$B,[1]Sheet1!$X:$X,0)</f>
        <v>0</v>
      </c>
      <c r="V847" s="12">
        <f>_xlfn.XLOOKUP(B847,[1]Sheet1!$B:$B,[1]Sheet1!$Y:$Y,0)</f>
        <v>2000000</v>
      </c>
      <c r="W847" s="12">
        <f t="shared" si="29"/>
        <v>2385000</v>
      </c>
      <c r="X847" s="8" t="s">
        <v>874</v>
      </c>
      <c r="Y847" s="8" t="s">
        <v>392</v>
      </c>
      <c r="Z847" s="8" t="s">
        <v>875</v>
      </c>
      <c r="AA847" s="8" t="s">
        <v>326</v>
      </c>
      <c r="AB847" s="8" t="s">
        <v>36</v>
      </c>
      <c r="AC847" s="8" t="s">
        <v>37</v>
      </c>
      <c r="AD847" s="8" t="s">
        <v>859</v>
      </c>
      <c r="AE847" s="8" t="s">
        <v>39</v>
      </c>
      <c r="AF847" s="8" t="s">
        <v>40</v>
      </c>
      <c r="AG847" s="9">
        <v>2355000</v>
      </c>
      <c r="AH847" s="11">
        <f>_xlfn.XLOOKUP(B847,[1]Sheet1!$B:$B,[1]Sheet1!$AB:$AB,0)</f>
        <v>2355000</v>
      </c>
    </row>
    <row r="848" spans="2:34" ht="16.8" thickTop="1" thickBot="1" x14ac:dyDescent="0.35">
      <c r="B848" s="3" t="str">
        <f t="shared" si="28"/>
        <v>45192014511001051Committee Member-N2421115200104</v>
      </c>
      <c r="C848" s="6" t="s">
        <v>876</v>
      </c>
      <c r="D848" s="6" t="s">
        <v>1327</v>
      </c>
      <c r="E848" s="6" t="s">
        <v>1328</v>
      </c>
      <c r="F848" s="6" t="s">
        <v>877</v>
      </c>
      <c r="G848" s="4" t="s">
        <v>2859</v>
      </c>
      <c r="H848" s="4" t="s">
        <v>2922</v>
      </c>
      <c r="I848" s="6" t="s">
        <v>878</v>
      </c>
      <c r="J848" s="6" t="s">
        <v>31</v>
      </c>
      <c r="K848" s="12">
        <f>_xlfn.XLOOKUP(B848,[1]Sheet1!$B:$B,[1]Sheet1!$N:$N,0)</f>
        <v>0</v>
      </c>
      <c r="L848" s="12">
        <f>_xlfn.XLOOKUP(B848,[1]Sheet1!$B:$B,[1]Sheet1!$O:$O,0)</f>
        <v>0</v>
      </c>
      <c r="M848" s="12">
        <f>_xlfn.XLOOKUP(B848,[1]Sheet1!$B:$B,[1]Sheet1!$P:$P,0)</f>
        <v>0</v>
      </c>
      <c r="N848" s="12">
        <f>_xlfn.XLOOKUP(B848,[1]Sheet1!$B:$B,[1]Sheet1!$Q:$Q,0)</f>
        <v>0</v>
      </c>
      <c r="O848" s="12">
        <f>_xlfn.XLOOKUP(B848,[1]Sheet1!$B:$B,[1]Sheet1!$R:$R,0)</f>
        <v>0</v>
      </c>
      <c r="P848" s="12">
        <f>_xlfn.XLOOKUP(B848,[1]Sheet1!$B:$B,[1]Sheet1!$S:$S,0)</f>
        <v>0</v>
      </c>
      <c r="Q848" s="12">
        <f>_xlfn.XLOOKUP(B848,[1]Sheet1!$B:$B,[1]Sheet1!$T:$T,0)</f>
        <v>45000</v>
      </c>
      <c r="R848" s="12">
        <f>_xlfn.XLOOKUP(B848,[1]Sheet1!$B:$B,[1]Sheet1!$U:$U,0)</f>
        <v>0</v>
      </c>
      <c r="S848" s="12">
        <f>_xlfn.XLOOKUP(B848,[1]Sheet1!$B:$B,[1]Sheet1!$V:$V,0)</f>
        <v>0</v>
      </c>
      <c r="T848" s="12">
        <f>_xlfn.XLOOKUP(B848,[1]Sheet1!$B:$B,[1]Sheet1!$W:$W,0)</f>
        <v>555000</v>
      </c>
      <c r="U848" s="12">
        <f>_xlfn.XLOOKUP(B848,[1]Sheet1!$B:$B,[1]Sheet1!$X:$X,0)</f>
        <v>0</v>
      </c>
      <c r="V848" s="12">
        <f>_xlfn.XLOOKUP(B848,[1]Sheet1!$B:$B,[1]Sheet1!$Y:$Y,0)</f>
        <v>0</v>
      </c>
      <c r="W848" s="12">
        <f t="shared" si="29"/>
        <v>600000</v>
      </c>
      <c r="X848" s="6" t="s">
        <v>879</v>
      </c>
      <c r="Y848" s="6" t="s">
        <v>392</v>
      </c>
      <c r="Z848" s="6" t="s">
        <v>875</v>
      </c>
      <c r="AA848" s="6" t="s">
        <v>878</v>
      </c>
      <c r="AB848" s="6" t="s">
        <v>36</v>
      </c>
      <c r="AC848" s="6" t="s">
        <v>37</v>
      </c>
      <c r="AD848" s="6" t="s">
        <v>863</v>
      </c>
      <c r="AE848" s="6" t="s">
        <v>39</v>
      </c>
      <c r="AF848" s="6" t="s">
        <v>40</v>
      </c>
      <c r="AG848" s="7">
        <v>600000</v>
      </c>
      <c r="AH848" s="11">
        <f>_xlfn.XLOOKUP(B848,[1]Sheet1!$B:$B,[1]Sheet1!$AB:$AB,0)</f>
        <v>600000</v>
      </c>
    </row>
    <row r="849" spans="2:34" ht="16.8" thickTop="1" thickBot="1" x14ac:dyDescent="0.35">
      <c r="B849" s="3" t="str">
        <f t="shared" si="28"/>
        <v>45192014511001051Event Management-N2422401200104</v>
      </c>
      <c r="C849" s="8" t="s">
        <v>876</v>
      </c>
      <c r="D849" s="8" t="s">
        <v>1327</v>
      </c>
      <c r="E849" s="8" t="s">
        <v>1328</v>
      </c>
      <c r="F849" s="8" t="s">
        <v>387</v>
      </c>
      <c r="G849" s="4" t="s">
        <v>2807</v>
      </c>
      <c r="H849" s="4" t="s">
        <v>2922</v>
      </c>
      <c r="I849" s="8" t="s">
        <v>63</v>
      </c>
      <c r="J849" s="8" t="s">
        <v>31</v>
      </c>
      <c r="K849" s="12">
        <f>_xlfn.XLOOKUP(B849,[1]Sheet1!$B:$B,[1]Sheet1!$N:$N,0)</f>
        <v>0</v>
      </c>
      <c r="L849" s="12">
        <f>_xlfn.XLOOKUP(B849,[1]Sheet1!$B:$B,[1]Sheet1!$O:$O,0)</f>
        <v>0</v>
      </c>
      <c r="M849" s="12">
        <f>_xlfn.XLOOKUP(B849,[1]Sheet1!$B:$B,[1]Sheet1!$P:$P,0)</f>
        <v>0</v>
      </c>
      <c r="N849" s="12">
        <f>_xlfn.XLOOKUP(B849,[1]Sheet1!$B:$B,[1]Sheet1!$Q:$Q,0)</f>
        <v>2000700</v>
      </c>
      <c r="O849" s="12">
        <f>_xlfn.XLOOKUP(B849,[1]Sheet1!$B:$B,[1]Sheet1!$R:$R,0)</f>
        <v>0</v>
      </c>
      <c r="P849" s="12">
        <f>_xlfn.XLOOKUP(B849,[1]Sheet1!$B:$B,[1]Sheet1!$S:$S,0)</f>
        <v>0</v>
      </c>
      <c r="Q849" s="12">
        <f>_xlfn.XLOOKUP(B849,[1]Sheet1!$B:$B,[1]Sheet1!$T:$T,0)</f>
        <v>0</v>
      </c>
      <c r="R849" s="12">
        <f>_xlfn.XLOOKUP(B849,[1]Sheet1!$B:$B,[1]Sheet1!$U:$U,0)</f>
        <v>0</v>
      </c>
      <c r="S849" s="12">
        <f>_xlfn.XLOOKUP(B849,[1]Sheet1!$B:$B,[1]Sheet1!$V:$V,0)</f>
        <v>0</v>
      </c>
      <c r="T849" s="12">
        <f>_xlfn.XLOOKUP(B849,[1]Sheet1!$B:$B,[1]Sheet1!$W:$W,0)</f>
        <v>0</v>
      </c>
      <c r="U849" s="12">
        <f>_xlfn.XLOOKUP(B849,[1]Sheet1!$B:$B,[1]Sheet1!$X:$X,0)</f>
        <v>0</v>
      </c>
      <c r="V849" s="12">
        <f>_xlfn.XLOOKUP(B849,[1]Sheet1!$B:$B,[1]Sheet1!$Y:$Y,0)</f>
        <v>0</v>
      </c>
      <c r="W849" s="12">
        <f t="shared" si="29"/>
        <v>2000700</v>
      </c>
      <c r="X849" s="8" t="s">
        <v>880</v>
      </c>
      <c r="Y849" s="8" t="s">
        <v>392</v>
      </c>
      <c r="Z849" s="8" t="s">
        <v>875</v>
      </c>
      <c r="AA849" s="8" t="s">
        <v>68</v>
      </c>
      <c r="AB849" s="8" t="s">
        <v>36</v>
      </c>
      <c r="AC849" s="8" t="s">
        <v>37</v>
      </c>
      <c r="AD849" s="8" t="s">
        <v>859</v>
      </c>
      <c r="AE849" s="8" t="s">
        <v>39</v>
      </c>
      <c r="AF849" s="8" t="s">
        <v>40</v>
      </c>
      <c r="AG849" s="9">
        <v>2000700</v>
      </c>
      <c r="AH849" s="11">
        <f>_xlfn.XLOOKUP(B849,[1]Sheet1!$B:$B,[1]Sheet1!$AB:$AB,0)</f>
        <v>2000700</v>
      </c>
    </row>
    <row r="850" spans="2:34" ht="16.8" thickTop="1" thickBot="1" x14ac:dyDescent="0.35">
      <c r="B850" s="3" t="str">
        <f t="shared" si="28"/>
        <v>45192014511001051Hospitality-N2424761200104</v>
      </c>
      <c r="C850" s="6" t="s">
        <v>876</v>
      </c>
      <c r="D850" s="6" t="s">
        <v>1327</v>
      </c>
      <c r="E850" s="6" t="s">
        <v>1328</v>
      </c>
      <c r="F850" s="6" t="s">
        <v>637</v>
      </c>
      <c r="G850" s="4" t="s">
        <v>2811</v>
      </c>
      <c r="H850" s="4" t="s">
        <v>2922</v>
      </c>
      <c r="I850" s="6" t="s">
        <v>84</v>
      </c>
      <c r="J850" s="6" t="s">
        <v>31</v>
      </c>
      <c r="K850" s="12">
        <f>_xlfn.XLOOKUP(B850,[1]Sheet1!$B:$B,[1]Sheet1!$N:$N,0)</f>
        <v>0</v>
      </c>
      <c r="L850" s="12">
        <f>_xlfn.XLOOKUP(B850,[1]Sheet1!$B:$B,[1]Sheet1!$O:$O,0)</f>
        <v>0</v>
      </c>
      <c r="M850" s="12">
        <f>_xlfn.XLOOKUP(B850,[1]Sheet1!$B:$B,[1]Sheet1!$P:$P,0)</f>
        <v>0</v>
      </c>
      <c r="N850" s="12">
        <f>_xlfn.XLOOKUP(B850,[1]Sheet1!$B:$B,[1]Sheet1!$Q:$Q,0)</f>
        <v>75000</v>
      </c>
      <c r="O850" s="12">
        <f>_xlfn.XLOOKUP(B850,[1]Sheet1!$B:$B,[1]Sheet1!$R:$R,0)</f>
        <v>90000</v>
      </c>
      <c r="P850" s="12">
        <f>_xlfn.XLOOKUP(B850,[1]Sheet1!$B:$B,[1]Sheet1!$S:$S,0)</f>
        <v>45000</v>
      </c>
      <c r="Q850" s="12">
        <f>_xlfn.XLOOKUP(B850,[1]Sheet1!$B:$B,[1]Sheet1!$T:$T,0)</f>
        <v>0</v>
      </c>
      <c r="R850" s="12">
        <f>_xlfn.XLOOKUP(B850,[1]Sheet1!$B:$B,[1]Sheet1!$U:$U,0)</f>
        <v>0</v>
      </c>
      <c r="S850" s="12">
        <f>_xlfn.XLOOKUP(B850,[1]Sheet1!$B:$B,[1]Sheet1!$V:$V,0)</f>
        <v>40000</v>
      </c>
      <c r="T850" s="12">
        <f>_xlfn.XLOOKUP(B850,[1]Sheet1!$B:$B,[1]Sheet1!$W:$W,0)</f>
        <v>0</v>
      </c>
      <c r="U850" s="12">
        <f>_xlfn.XLOOKUP(B850,[1]Sheet1!$B:$B,[1]Sheet1!$X:$X,0)</f>
        <v>0</v>
      </c>
      <c r="V850" s="12">
        <f>_xlfn.XLOOKUP(B850,[1]Sheet1!$B:$B,[1]Sheet1!$Y:$Y,0)</f>
        <v>0</v>
      </c>
      <c r="W850" s="12">
        <f t="shared" si="29"/>
        <v>250000</v>
      </c>
      <c r="X850" s="6" t="s">
        <v>883</v>
      </c>
      <c r="Y850" s="6" t="s">
        <v>392</v>
      </c>
      <c r="Z850" s="6" t="s">
        <v>875</v>
      </c>
      <c r="AA850" s="6" t="s">
        <v>84</v>
      </c>
      <c r="AB850" s="6" t="s">
        <v>36</v>
      </c>
      <c r="AC850" s="6" t="s">
        <v>37</v>
      </c>
      <c r="AD850" s="6" t="s">
        <v>859</v>
      </c>
      <c r="AE850" s="6" t="s">
        <v>39</v>
      </c>
      <c r="AF850" s="6" t="s">
        <v>40</v>
      </c>
      <c r="AG850" s="7">
        <v>250000</v>
      </c>
      <c r="AH850" s="11">
        <f>_xlfn.XLOOKUP(B850,[1]Sheet1!$B:$B,[1]Sheet1!$AB:$AB,0)</f>
        <v>250000</v>
      </c>
    </row>
    <row r="851" spans="2:34" ht="16.8" thickTop="1" thickBot="1" x14ac:dyDescent="0.35">
      <c r="B851" s="3" t="str">
        <f t="shared" si="28"/>
        <v>45155004511001052Sponsorship Fees-N424811200104</v>
      </c>
      <c r="C851" s="8" t="s">
        <v>513</v>
      </c>
      <c r="D851" s="8" t="s">
        <v>1329</v>
      </c>
      <c r="E851" s="8" t="s">
        <v>1330</v>
      </c>
      <c r="F851" s="8" t="s">
        <v>506</v>
      </c>
      <c r="G851" s="4" t="s">
        <v>2802</v>
      </c>
      <c r="H851" s="4" t="s">
        <v>2922</v>
      </c>
      <c r="I851" s="8" t="s">
        <v>30</v>
      </c>
      <c r="J851" s="8" t="s">
        <v>31</v>
      </c>
      <c r="K851" s="12">
        <f>_xlfn.XLOOKUP(B851,[1]Sheet1!$B:$B,[1]Sheet1!$N:$N,0)</f>
        <v>0</v>
      </c>
      <c r="L851" s="12">
        <f>_xlfn.XLOOKUP(B851,[1]Sheet1!$B:$B,[1]Sheet1!$O:$O,0)</f>
        <v>0</v>
      </c>
      <c r="M851" s="12">
        <f>_xlfn.XLOOKUP(B851,[1]Sheet1!$B:$B,[1]Sheet1!$P:$P,0)</f>
        <v>0</v>
      </c>
      <c r="N851" s="12">
        <f>_xlfn.XLOOKUP(B851,[1]Sheet1!$B:$B,[1]Sheet1!$Q:$Q,0)</f>
        <v>4760208</v>
      </c>
      <c r="O851" s="12">
        <f>_xlfn.XLOOKUP(B851,[1]Sheet1!$B:$B,[1]Sheet1!$R:$R,0)</f>
        <v>0</v>
      </c>
      <c r="P851" s="12">
        <f>_xlfn.XLOOKUP(B851,[1]Sheet1!$B:$B,[1]Sheet1!$S:$S,0)</f>
        <v>0</v>
      </c>
      <c r="Q851" s="12">
        <f>_xlfn.XLOOKUP(B851,[1]Sheet1!$B:$B,[1]Sheet1!$T:$T,0)</f>
        <v>0</v>
      </c>
      <c r="R851" s="12">
        <f>_xlfn.XLOOKUP(B851,[1]Sheet1!$B:$B,[1]Sheet1!$U:$U,0)</f>
        <v>0</v>
      </c>
      <c r="S851" s="12">
        <f>_xlfn.XLOOKUP(B851,[1]Sheet1!$B:$B,[1]Sheet1!$V:$V,0)</f>
        <v>0</v>
      </c>
      <c r="T851" s="12">
        <f>_xlfn.XLOOKUP(B851,[1]Sheet1!$B:$B,[1]Sheet1!$W:$W,0)</f>
        <v>5509500</v>
      </c>
      <c r="U851" s="12">
        <f>_xlfn.XLOOKUP(B851,[1]Sheet1!$B:$B,[1]Sheet1!$X:$X,0)</f>
        <v>0</v>
      </c>
      <c r="V851" s="12">
        <f>_xlfn.XLOOKUP(B851,[1]Sheet1!$B:$B,[1]Sheet1!$Y:$Y,0)</f>
        <v>0</v>
      </c>
      <c r="W851" s="12">
        <f t="shared" si="29"/>
        <v>10269708</v>
      </c>
      <c r="X851" s="8" t="s">
        <v>518</v>
      </c>
      <c r="Y851" s="8" t="s">
        <v>211</v>
      </c>
      <c r="Z851" s="8" t="s">
        <v>512</v>
      </c>
      <c r="AA851" s="8" t="s">
        <v>30</v>
      </c>
      <c r="AB851" s="8" t="s">
        <v>36</v>
      </c>
      <c r="AC851" s="8" t="s">
        <v>37</v>
      </c>
      <c r="AD851" s="8" t="s">
        <v>342</v>
      </c>
      <c r="AE851" s="8" t="s">
        <v>39</v>
      </c>
      <c r="AF851" s="8" t="s">
        <v>40</v>
      </c>
      <c r="AG851" s="9">
        <v>10269708</v>
      </c>
      <c r="AH851" s="11">
        <f>_xlfn.XLOOKUP(B851,[1]Sheet1!$B:$B,[1]Sheet1!$AB:$AB,0)</f>
        <v>10269708</v>
      </c>
    </row>
    <row r="852" spans="2:34" ht="16.8" thickTop="1" thickBot="1" x14ac:dyDescent="0.35">
      <c r="B852" s="3" t="str">
        <f t="shared" si="28"/>
        <v>45155004511001055Co-Invest Events-N1422401200104</v>
      </c>
      <c r="C852" s="6" t="s">
        <v>513</v>
      </c>
      <c r="D852" s="6" t="s">
        <v>1331</v>
      </c>
      <c r="E852" s="6" t="s">
        <v>1332</v>
      </c>
      <c r="F852" s="6" t="s">
        <v>946</v>
      </c>
      <c r="G852" s="4" t="s">
        <v>2807</v>
      </c>
      <c r="H852" s="4" t="s">
        <v>2922</v>
      </c>
      <c r="I852" s="6" t="s">
        <v>63</v>
      </c>
      <c r="J852" s="6" t="s">
        <v>31</v>
      </c>
      <c r="K852" s="12">
        <f>_xlfn.XLOOKUP(B852,[1]Sheet1!$B:$B,[1]Sheet1!$N:$N,0)</f>
        <v>0</v>
      </c>
      <c r="L852" s="12">
        <f>_xlfn.XLOOKUP(B852,[1]Sheet1!$B:$B,[1]Sheet1!$O:$O,0)</f>
        <v>0</v>
      </c>
      <c r="M852" s="12">
        <f>_xlfn.XLOOKUP(B852,[1]Sheet1!$B:$B,[1]Sheet1!$P:$P,0)</f>
        <v>0</v>
      </c>
      <c r="N852" s="12">
        <f>_xlfn.XLOOKUP(B852,[1]Sheet1!$B:$B,[1]Sheet1!$Q:$Q,0)</f>
        <v>0</v>
      </c>
      <c r="O852" s="12">
        <f>_xlfn.XLOOKUP(B852,[1]Sheet1!$B:$B,[1]Sheet1!$R:$R,0)</f>
        <v>3159034</v>
      </c>
      <c r="P852" s="12">
        <f>_xlfn.XLOOKUP(B852,[1]Sheet1!$B:$B,[1]Sheet1!$S:$S,0)</f>
        <v>0</v>
      </c>
      <c r="Q852" s="12">
        <f>_xlfn.XLOOKUP(B852,[1]Sheet1!$B:$B,[1]Sheet1!$T:$T,0)</f>
        <v>0</v>
      </c>
      <c r="R852" s="12">
        <f>_xlfn.XLOOKUP(B852,[1]Sheet1!$B:$B,[1]Sheet1!$U:$U,0)</f>
        <v>0</v>
      </c>
      <c r="S852" s="12">
        <f>_xlfn.XLOOKUP(B852,[1]Sheet1!$B:$B,[1]Sheet1!$V:$V,0)</f>
        <v>0</v>
      </c>
      <c r="T852" s="12">
        <f>_xlfn.XLOOKUP(B852,[1]Sheet1!$B:$B,[1]Sheet1!$W:$W,0)</f>
        <v>1579517</v>
      </c>
      <c r="U852" s="12">
        <f>_xlfn.XLOOKUP(B852,[1]Sheet1!$B:$B,[1]Sheet1!$X:$X,0)</f>
        <v>0</v>
      </c>
      <c r="V852" s="12">
        <f>_xlfn.XLOOKUP(B852,[1]Sheet1!$B:$B,[1]Sheet1!$Y:$Y,0)</f>
        <v>1579516</v>
      </c>
      <c r="W852" s="12">
        <f t="shared" si="29"/>
        <v>6318067</v>
      </c>
      <c r="X852" s="6" t="s">
        <v>524</v>
      </c>
      <c r="Y852" s="6" t="s">
        <v>211</v>
      </c>
      <c r="Z852" s="6" t="s">
        <v>512</v>
      </c>
      <c r="AA852" s="6" t="s">
        <v>68</v>
      </c>
      <c r="AB852" s="6" t="s">
        <v>36</v>
      </c>
      <c r="AC852" s="6" t="s">
        <v>37</v>
      </c>
      <c r="AD852" s="6" t="s">
        <v>342</v>
      </c>
      <c r="AE852" s="6" t="s">
        <v>39</v>
      </c>
      <c r="AF852" s="6" t="s">
        <v>40</v>
      </c>
      <c r="AG852" s="7">
        <v>6318067</v>
      </c>
      <c r="AH852" s="11">
        <f>_xlfn.XLOOKUP(B852,[1]Sheet1!$B:$B,[1]Sheet1!$AB:$AB,0)</f>
        <v>6318067</v>
      </c>
    </row>
    <row r="853" spans="2:34" ht="16.8" thickTop="1" thickBot="1" x14ac:dyDescent="0.35">
      <c r="B853" s="3" t="str">
        <f t="shared" si="28"/>
        <v>45155004511001055IP Rights-L423531201760</v>
      </c>
      <c r="C853" s="8" t="s">
        <v>513</v>
      </c>
      <c r="D853" s="8" t="s">
        <v>1331</v>
      </c>
      <c r="E853" s="8" t="s">
        <v>1332</v>
      </c>
      <c r="F853" s="8" t="s">
        <v>949</v>
      </c>
      <c r="G853" s="4" t="s">
        <v>2860</v>
      </c>
      <c r="H853" s="4" t="s">
        <v>2931</v>
      </c>
      <c r="I853" s="8" t="s">
        <v>950</v>
      </c>
      <c r="J853" s="8" t="s">
        <v>31</v>
      </c>
      <c r="K853" s="12">
        <f>_xlfn.XLOOKUP(B853,[1]Sheet1!$B:$B,[1]Sheet1!$N:$N,0)</f>
        <v>0</v>
      </c>
      <c r="L853" s="12">
        <f>_xlfn.XLOOKUP(B853,[1]Sheet1!$B:$B,[1]Sheet1!$O:$O,0)</f>
        <v>0</v>
      </c>
      <c r="M853" s="12">
        <f>_xlfn.XLOOKUP(B853,[1]Sheet1!$B:$B,[1]Sheet1!$P:$P,0)</f>
        <v>0</v>
      </c>
      <c r="N853" s="12">
        <f>_xlfn.XLOOKUP(B853,[1]Sheet1!$B:$B,[1]Sheet1!$Q:$Q,0)</f>
        <v>18366000</v>
      </c>
      <c r="O853" s="12">
        <f>_xlfn.XLOOKUP(B853,[1]Sheet1!$B:$B,[1]Sheet1!$R:$R,0)</f>
        <v>0</v>
      </c>
      <c r="P853" s="12">
        <f>_xlfn.XLOOKUP(B853,[1]Sheet1!$B:$B,[1]Sheet1!$S:$S,0)</f>
        <v>0</v>
      </c>
      <c r="Q853" s="12">
        <f>_xlfn.XLOOKUP(B853,[1]Sheet1!$B:$B,[1]Sheet1!$T:$T,0)</f>
        <v>18366000</v>
      </c>
      <c r="R853" s="12">
        <f>_xlfn.XLOOKUP(B853,[1]Sheet1!$B:$B,[1]Sheet1!$U:$U,0)</f>
        <v>0</v>
      </c>
      <c r="S853" s="12">
        <f>_xlfn.XLOOKUP(B853,[1]Sheet1!$B:$B,[1]Sheet1!$V:$V,0)</f>
        <v>0</v>
      </c>
      <c r="T853" s="12">
        <f>_xlfn.XLOOKUP(B853,[1]Sheet1!$B:$B,[1]Sheet1!$W:$W,0)</f>
        <v>0</v>
      </c>
      <c r="U853" s="12">
        <f>_xlfn.XLOOKUP(B853,[1]Sheet1!$B:$B,[1]Sheet1!$X:$X,0)</f>
        <v>0</v>
      </c>
      <c r="V853" s="12">
        <f>_xlfn.XLOOKUP(B853,[1]Sheet1!$B:$B,[1]Sheet1!$Y:$Y,0)</f>
        <v>0</v>
      </c>
      <c r="W853" s="12">
        <f t="shared" si="29"/>
        <v>36732000</v>
      </c>
      <c r="X853" s="8" t="s">
        <v>1333</v>
      </c>
      <c r="Y853" s="8" t="s">
        <v>211</v>
      </c>
      <c r="Z853" s="8" t="s">
        <v>512</v>
      </c>
      <c r="AA853" s="8" t="s">
        <v>950</v>
      </c>
      <c r="AB853" s="8" t="s">
        <v>1334</v>
      </c>
      <c r="AC853" s="8" t="s">
        <v>37</v>
      </c>
      <c r="AD853" s="8" t="s">
        <v>342</v>
      </c>
      <c r="AE853" s="8" t="s">
        <v>39</v>
      </c>
      <c r="AF853" s="8" t="s">
        <v>40</v>
      </c>
      <c r="AG853" s="9">
        <v>36732000</v>
      </c>
      <c r="AH853" s="11">
        <f>_xlfn.XLOOKUP(B853,[1]Sheet1!$B:$B,[1]Sheet1!$AB:$AB,0)</f>
        <v>36732000</v>
      </c>
    </row>
    <row r="854" spans="2:34" ht="16.8" thickTop="1" thickBot="1" x14ac:dyDescent="0.35">
      <c r="B854" s="3" t="str">
        <f t="shared" si="28"/>
        <v>45155004511001060Sponsorship Fees-N424811200104</v>
      </c>
      <c r="C854" s="6" t="s">
        <v>513</v>
      </c>
      <c r="D854" s="6" t="s">
        <v>1335</v>
      </c>
      <c r="E854" s="6" t="s">
        <v>1336</v>
      </c>
      <c r="F854" s="6" t="s">
        <v>506</v>
      </c>
      <c r="G854" s="4" t="s">
        <v>2802</v>
      </c>
      <c r="H854" s="4" t="s">
        <v>2922</v>
      </c>
      <c r="I854" s="6" t="s">
        <v>30</v>
      </c>
      <c r="J854" s="6" t="s">
        <v>31</v>
      </c>
      <c r="K854" s="12">
        <f>_xlfn.XLOOKUP(B854,[1]Sheet1!$B:$B,[1]Sheet1!$N:$N,0)</f>
        <v>0</v>
      </c>
      <c r="L854" s="12">
        <f>_xlfn.XLOOKUP(B854,[1]Sheet1!$B:$B,[1]Sheet1!$O:$O,0)</f>
        <v>0</v>
      </c>
      <c r="M854" s="12">
        <f>_xlfn.XLOOKUP(B854,[1]Sheet1!$B:$B,[1]Sheet1!$P:$P,0)</f>
        <v>0</v>
      </c>
      <c r="N854" s="12">
        <f>_xlfn.XLOOKUP(B854,[1]Sheet1!$B:$B,[1]Sheet1!$Q:$Q,0)</f>
        <v>0</v>
      </c>
      <c r="O854" s="12">
        <f>_xlfn.XLOOKUP(B854,[1]Sheet1!$B:$B,[1]Sheet1!$R:$R,0)</f>
        <v>0</v>
      </c>
      <c r="P854" s="12">
        <f>_xlfn.XLOOKUP(B854,[1]Sheet1!$B:$B,[1]Sheet1!$S:$S,0)</f>
        <v>0</v>
      </c>
      <c r="Q854" s="12">
        <f>_xlfn.XLOOKUP(B854,[1]Sheet1!$B:$B,[1]Sheet1!$T:$T,0)</f>
        <v>0</v>
      </c>
      <c r="R854" s="12">
        <f>_xlfn.XLOOKUP(B854,[1]Sheet1!$B:$B,[1]Sheet1!$U:$U,0)</f>
        <v>0</v>
      </c>
      <c r="S854" s="12">
        <f>_xlfn.XLOOKUP(B854,[1]Sheet1!$B:$B,[1]Sheet1!$V:$V,0)</f>
        <v>0</v>
      </c>
      <c r="T854" s="12">
        <f>_xlfn.XLOOKUP(B854,[1]Sheet1!$B:$B,[1]Sheet1!$W:$W,0)</f>
        <v>3200000</v>
      </c>
      <c r="U854" s="12">
        <f>_xlfn.XLOOKUP(B854,[1]Sheet1!$B:$B,[1]Sheet1!$X:$X,0)</f>
        <v>0</v>
      </c>
      <c r="V854" s="12">
        <f>_xlfn.XLOOKUP(B854,[1]Sheet1!$B:$B,[1]Sheet1!$Y:$Y,0)</f>
        <v>800000</v>
      </c>
      <c r="W854" s="12">
        <f t="shared" si="29"/>
        <v>4000000</v>
      </c>
      <c r="X854" s="6" t="s">
        <v>518</v>
      </c>
      <c r="Y854" s="6" t="s">
        <v>211</v>
      </c>
      <c r="Z854" s="6" t="s">
        <v>512</v>
      </c>
      <c r="AA854" s="6" t="s">
        <v>30</v>
      </c>
      <c r="AB854" s="6" t="s">
        <v>36</v>
      </c>
      <c r="AC854" s="6" t="s">
        <v>37</v>
      </c>
      <c r="AD854" s="6" t="s">
        <v>342</v>
      </c>
      <c r="AE854" s="6" t="s">
        <v>39</v>
      </c>
      <c r="AF854" s="6" t="s">
        <v>40</v>
      </c>
      <c r="AG854" s="7">
        <v>4000000</v>
      </c>
      <c r="AH854" s="11">
        <f>_xlfn.XLOOKUP(B854,[1]Sheet1!$B:$B,[1]Sheet1!$AB:$AB,0)</f>
        <v>4000000</v>
      </c>
    </row>
    <row r="855" spans="2:34" ht="16.8" thickTop="1" thickBot="1" x14ac:dyDescent="0.35">
      <c r="B855" s="3" t="str">
        <f t="shared" si="28"/>
        <v>45155004511001062Sponsorship Fees-N424811200104</v>
      </c>
      <c r="C855" s="8" t="s">
        <v>513</v>
      </c>
      <c r="D855" s="8" t="s">
        <v>1337</v>
      </c>
      <c r="E855" s="8" t="s">
        <v>1338</v>
      </c>
      <c r="F855" s="8" t="s">
        <v>506</v>
      </c>
      <c r="G855" s="4" t="s">
        <v>2802</v>
      </c>
      <c r="H855" s="4" t="s">
        <v>2922</v>
      </c>
      <c r="I855" s="8" t="s">
        <v>30</v>
      </c>
      <c r="J855" s="8" t="s">
        <v>31</v>
      </c>
      <c r="K855" s="12">
        <f>_xlfn.XLOOKUP(B855,[1]Sheet1!$B:$B,[1]Sheet1!$N:$N,0)</f>
        <v>0</v>
      </c>
      <c r="L855" s="12">
        <f>_xlfn.XLOOKUP(B855,[1]Sheet1!$B:$B,[1]Sheet1!$O:$O,0)</f>
        <v>0</v>
      </c>
      <c r="M855" s="12">
        <f>_xlfn.XLOOKUP(B855,[1]Sheet1!$B:$B,[1]Sheet1!$P:$P,0)</f>
        <v>0</v>
      </c>
      <c r="N855" s="12">
        <f>_xlfn.XLOOKUP(B855,[1]Sheet1!$B:$B,[1]Sheet1!$Q:$Q,0)</f>
        <v>0</v>
      </c>
      <c r="O855" s="12">
        <f>_xlfn.XLOOKUP(B855,[1]Sheet1!$B:$B,[1]Sheet1!$R:$R,0)</f>
        <v>0</v>
      </c>
      <c r="P855" s="12">
        <f>_xlfn.XLOOKUP(B855,[1]Sheet1!$B:$B,[1]Sheet1!$S:$S,0)</f>
        <v>0</v>
      </c>
      <c r="Q855" s="12">
        <f>_xlfn.XLOOKUP(B855,[1]Sheet1!$B:$B,[1]Sheet1!$T:$T,0)</f>
        <v>0</v>
      </c>
      <c r="R855" s="12">
        <f>_xlfn.XLOOKUP(B855,[1]Sheet1!$B:$B,[1]Sheet1!$U:$U,0)</f>
        <v>1430000</v>
      </c>
      <c r="S855" s="12">
        <f>_xlfn.XLOOKUP(B855,[1]Sheet1!$B:$B,[1]Sheet1!$V:$V,0)</f>
        <v>1072500</v>
      </c>
      <c r="T855" s="12">
        <f>_xlfn.XLOOKUP(B855,[1]Sheet1!$B:$B,[1]Sheet1!$W:$W,0)</f>
        <v>715000</v>
      </c>
      <c r="U855" s="12">
        <f>_xlfn.XLOOKUP(B855,[1]Sheet1!$B:$B,[1]Sheet1!$X:$X,0)</f>
        <v>357500</v>
      </c>
      <c r="V855" s="12">
        <f>_xlfn.XLOOKUP(B855,[1]Sheet1!$B:$B,[1]Sheet1!$Y:$Y,0)</f>
        <v>0</v>
      </c>
      <c r="W855" s="12">
        <f t="shared" si="29"/>
        <v>3575000</v>
      </c>
      <c r="X855" s="8" t="s">
        <v>518</v>
      </c>
      <c r="Y855" s="8" t="s">
        <v>211</v>
      </c>
      <c r="Z855" s="8" t="s">
        <v>512</v>
      </c>
      <c r="AA855" s="8" t="s">
        <v>30</v>
      </c>
      <c r="AB855" s="8" t="s">
        <v>36</v>
      </c>
      <c r="AC855" s="8" t="s">
        <v>37</v>
      </c>
      <c r="AD855" s="8" t="s">
        <v>342</v>
      </c>
      <c r="AE855" s="8" t="s">
        <v>39</v>
      </c>
      <c r="AF855" s="8" t="s">
        <v>40</v>
      </c>
      <c r="AG855" s="9">
        <v>3575000</v>
      </c>
      <c r="AH855" s="11">
        <f>_xlfn.XLOOKUP(B855,[1]Sheet1!$B:$B,[1]Sheet1!$AB:$AB,0)</f>
        <v>3575000</v>
      </c>
    </row>
    <row r="856" spans="2:34" ht="16.8" thickTop="1" thickBot="1" x14ac:dyDescent="0.35">
      <c r="B856" s="3" t="str">
        <f t="shared" si="28"/>
        <v>45150104511001067Talent Accom-N423831200104</v>
      </c>
      <c r="C856" s="6" t="s">
        <v>1093</v>
      </c>
      <c r="D856" s="6" t="s">
        <v>1339</v>
      </c>
      <c r="E856" s="6" t="s">
        <v>1340</v>
      </c>
      <c r="F856" s="6" t="s">
        <v>1341</v>
      </c>
      <c r="G856" s="4" t="s">
        <v>2870</v>
      </c>
      <c r="H856" s="4" t="s">
        <v>2922</v>
      </c>
      <c r="I856" s="6" t="s">
        <v>1342</v>
      </c>
      <c r="J856" s="6" t="s">
        <v>31</v>
      </c>
      <c r="K856" s="12">
        <f>_xlfn.XLOOKUP(B856,[1]Sheet1!$B:$B,[1]Sheet1!$N:$N,0)</f>
        <v>0</v>
      </c>
      <c r="L856" s="12">
        <f>_xlfn.XLOOKUP(B856,[1]Sheet1!$B:$B,[1]Sheet1!$O:$O,0)</f>
        <v>0</v>
      </c>
      <c r="M856" s="12">
        <f>_xlfn.XLOOKUP(B856,[1]Sheet1!$B:$B,[1]Sheet1!$P:$P,0)</f>
        <v>0</v>
      </c>
      <c r="N856" s="12">
        <f>_xlfn.XLOOKUP(B856,[1]Sheet1!$B:$B,[1]Sheet1!$Q:$Q,0)</f>
        <v>0</v>
      </c>
      <c r="O856" s="12">
        <f>_xlfn.XLOOKUP(B856,[1]Sheet1!$B:$B,[1]Sheet1!$R:$R,0)</f>
        <v>0</v>
      </c>
      <c r="P856" s="12">
        <f>_xlfn.XLOOKUP(B856,[1]Sheet1!$B:$B,[1]Sheet1!$S:$S,0)</f>
        <v>0</v>
      </c>
      <c r="Q856" s="12">
        <f>_xlfn.XLOOKUP(B856,[1]Sheet1!$B:$B,[1]Sheet1!$T:$T,0)</f>
        <v>0</v>
      </c>
      <c r="R856" s="12">
        <f>_xlfn.XLOOKUP(B856,[1]Sheet1!$B:$B,[1]Sheet1!$U:$U,0)</f>
        <v>0</v>
      </c>
      <c r="S856" s="12">
        <f>_xlfn.XLOOKUP(B856,[1]Sheet1!$B:$B,[1]Sheet1!$V:$V,0)</f>
        <v>0</v>
      </c>
      <c r="T856" s="12">
        <f>_xlfn.XLOOKUP(B856,[1]Sheet1!$B:$B,[1]Sheet1!$W:$W,0)</f>
        <v>0</v>
      </c>
      <c r="U856" s="12">
        <f>_xlfn.XLOOKUP(B856,[1]Sheet1!$B:$B,[1]Sheet1!$X:$X,0)</f>
        <v>0</v>
      </c>
      <c r="V856" s="12">
        <f>_xlfn.XLOOKUP(B856,[1]Sheet1!$B:$B,[1]Sheet1!$Y:$Y,0)</f>
        <v>210740</v>
      </c>
      <c r="W856" s="12">
        <f t="shared" si="29"/>
        <v>210740</v>
      </c>
      <c r="X856" s="6" t="s">
        <v>1343</v>
      </c>
      <c r="Y856" s="6" t="s">
        <v>211</v>
      </c>
      <c r="Z856" s="6" t="s">
        <v>1092</v>
      </c>
      <c r="AA856" s="6" t="s">
        <v>1342</v>
      </c>
      <c r="AB856" s="6" t="s">
        <v>36</v>
      </c>
      <c r="AC856" s="6" t="s">
        <v>37</v>
      </c>
      <c r="AD856" s="6" t="s">
        <v>342</v>
      </c>
      <c r="AE856" s="6" t="s">
        <v>39</v>
      </c>
      <c r="AF856" s="6" t="s">
        <v>40</v>
      </c>
      <c r="AG856" s="7">
        <v>98800</v>
      </c>
      <c r="AH856" s="11">
        <f>_xlfn.XLOOKUP(B856,[1]Sheet1!$B:$B,[1]Sheet1!$AB:$AB,0)</f>
        <v>98800</v>
      </c>
    </row>
    <row r="857" spans="2:34" ht="16.8" thickTop="1" thickBot="1" x14ac:dyDescent="0.35">
      <c r="B857" s="3" t="str">
        <f t="shared" si="28"/>
        <v>45150104511001070Hospitality-N424761200104</v>
      </c>
      <c r="C857" s="8" t="s">
        <v>1093</v>
      </c>
      <c r="D857" s="8" t="s">
        <v>1344</v>
      </c>
      <c r="E857" s="8" t="s">
        <v>1345</v>
      </c>
      <c r="F857" s="8" t="s">
        <v>83</v>
      </c>
      <c r="G857" s="4" t="s">
        <v>2811</v>
      </c>
      <c r="H857" s="4" t="s">
        <v>2922</v>
      </c>
      <c r="I857" s="8" t="s">
        <v>84</v>
      </c>
      <c r="J857" s="8" t="s">
        <v>31</v>
      </c>
      <c r="K857" s="12">
        <f>_xlfn.XLOOKUP(B857,[1]Sheet1!$B:$B,[1]Sheet1!$N:$N,0)</f>
        <v>0</v>
      </c>
      <c r="L857" s="12">
        <f>_xlfn.XLOOKUP(B857,[1]Sheet1!$B:$B,[1]Sheet1!$O:$O,0)</f>
        <v>0</v>
      </c>
      <c r="M857" s="12">
        <f>_xlfn.XLOOKUP(B857,[1]Sheet1!$B:$B,[1]Sheet1!$P:$P,0)</f>
        <v>0</v>
      </c>
      <c r="N857" s="12">
        <f>_xlfn.XLOOKUP(B857,[1]Sheet1!$B:$B,[1]Sheet1!$Q:$Q,0)</f>
        <v>0</v>
      </c>
      <c r="O857" s="12">
        <f>_xlfn.XLOOKUP(B857,[1]Sheet1!$B:$B,[1]Sheet1!$R:$R,0)</f>
        <v>0</v>
      </c>
      <c r="P857" s="12">
        <f>_xlfn.XLOOKUP(B857,[1]Sheet1!$B:$B,[1]Sheet1!$S:$S,0)</f>
        <v>0</v>
      </c>
      <c r="Q857" s="12">
        <f>_xlfn.XLOOKUP(B857,[1]Sheet1!$B:$B,[1]Sheet1!$T:$T,0)</f>
        <v>0</v>
      </c>
      <c r="R857" s="12">
        <f>_xlfn.XLOOKUP(B857,[1]Sheet1!$B:$B,[1]Sheet1!$U:$U,0)</f>
        <v>0</v>
      </c>
      <c r="S857" s="12">
        <f>_xlfn.XLOOKUP(B857,[1]Sheet1!$B:$B,[1]Sheet1!$V:$V,0)</f>
        <v>0</v>
      </c>
      <c r="T857" s="12">
        <f>_xlfn.XLOOKUP(B857,[1]Sheet1!$B:$B,[1]Sheet1!$W:$W,0)</f>
        <v>0</v>
      </c>
      <c r="U857" s="12">
        <f>_xlfn.XLOOKUP(B857,[1]Sheet1!$B:$B,[1]Sheet1!$X:$X,0)</f>
        <v>0</v>
      </c>
      <c r="V857" s="12">
        <f>_xlfn.XLOOKUP(B857,[1]Sheet1!$B:$B,[1]Sheet1!$Y:$Y,0)</f>
        <v>1000000</v>
      </c>
      <c r="W857" s="12">
        <f t="shared" si="29"/>
        <v>1000000</v>
      </c>
      <c r="X857" s="8" t="s">
        <v>1119</v>
      </c>
      <c r="Y857" s="8" t="s">
        <v>211</v>
      </c>
      <c r="Z857" s="8" t="s">
        <v>1092</v>
      </c>
      <c r="AA857" s="8" t="s">
        <v>84</v>
      </c>
      <c r="AB857" s="8" t="s">
        <v>36</v>
      </c>
      <c r="AC857" s="8" t="s">
        <v>37</v>
      </c>
      <c r="AD857" s="8" t="s">
        <v>342</v>
      </c>
      <c r="AE857" s="8" t="s">
        <v>39</v>
      </c>
      <c r="AF857" s="8" t="s">
        <v>40</v>
      </c>
      <c r="AG857" s="9">
        <v>1000000</v>
      </c>
      <c r="AH857" s="11">
        <f>_xlfn.XLOOKUP(B857,[1]Sheet1!$B:$B,[1]Sheet1!$AB:$AB,0)</f>
        <v>1000000</v>
      </c>
    </row>
    <row r="858" spans="2:34" ht="16.8" thickTop="1" thickBot="1" x14ac:dyDescent="0.35">
      <c r="B858" s="3" t="str">
        <f t="shared" si="28"/>
        <v>45150104511001078Hospitality-N424761200104</v>
      </c>
      <c r="C858" s="6" t="s">
        <v>1093</v>
      </c>
      <c r="D858" s="6" t="s">
        <v>1346</v>
      </c>
      <c r="E858" s="6" t="s">
        <v>1347</v>
      </c>
      <c r="F858" s="6" t="s">
        <v>83</v>
      </c>
      <c r="G858" s="4" t="s">
        <v>2811</v>
      </c>
      <c r="H858" s="4" t="s">
        <v>2922</v>
      </c>
      <c r="I858" s="6" t="s">
        <v>84</v>
      </c>
      <c r="J858" s="6" t="s">
        <v>31</v>
      </c>
      <c r="K858" s="12">
        <f>_xlfn.XLOOKUP(B858,[1]Sheet1!$B:$B,[1]Sheet1!$N:$N,0)</f>
        <v>0</v>
      </c>
      <c r="L858" s="12">
        <f>_xlfn.XLOOKUP(B858,[1]Sheet1!$B:$B,[1]Sheet1!$O:$O,0)</f>
        <v>0</v>
      </c>
      <c r="M858" s="12">
        <f>_xlfn.XLOOKUP(B858,[1]Sheet1!$B:$B,[1]Sheet1!$P:$P,0)</f>
        <v>0</v>
      </c>
      <c r="N858" s="12">
        <f>_xlfn.XLOOKUP(B858,[1]Sheet1!$B:$B,[1]Sheet1!$Q:$Q,0)</f>
        <v>0</v>
      </c>
      <c r="O858" s="12">
        <f>_xlfn.XLOOKUP(B858,[1]Sheet1!$B:$B,[1]Sheet1!$R:$R,0)</f>
        <v>0</v>
      </c>
      <c r="P858" s="12">
        <f>_xlfn.XLOOKUP(B858,[1]Sheet1!$B:$B,[1]Sheet1!$S:$S,0)</f>
        <v>80000</v>
      </c>
      <c r="Q858" s="12">
        <f>_xlfn.XLOOKUP(B858,[1]Sheet1!$B:$B,[1]Sheet1!$T:$T,0)</f>
        <v>0</v>
      </c>
      <c r="R858" s="12">
        <f>_xlfn.XLOOKUP(B858,[1]Sheet1!$B:$B,[1]Sheet1!$U:$U,0)</f>
        <v>0</v>
      </c>
      <c r="S858" s="12">
        <f>_xlfn.XLOOKUP(B858,[1]Sheet1!$B:$B,[1]Sheet1!$V:$V,0)</f>
        <v>0</v>
      </c>
      <c r="T858" s="12">
        <f>_xlfn.XLOOKUP(B858,[1]Sheet1!$B:$B,[1]Sheet1!$W:$W,0)</f>
        <v>0</v>
      </c>
      <c r="U858" s="12">
        <f>_xlfn.XLOOKUP(B858,[1]Sheet1!$B:$B,[1]Sheet1!$X:$X,0)</f>
        <v>0</v>
      </c>
      <c r="V858" s="12">
        <f>_xlfn.XLOOKUP(B858,[1]Sheet1!$B:$B,[1]Sheet1!$Y:$Y,0)</f>
        <v>60000</v>
      </c>
      <c r="W858" s="12">
        <f t="shared" si="29"/>
        <v>140000</v>
      </c>
      <c r="X858" s="6" t="s">
        <v>1119</v>
      </c>
      <c r="Y858" s="6" t="s">
        <v>211</v>
      </c>
      <c r="Z858" s="6" t="s">
        <v>1092</v>
      </c>
      <c r="AA858" s="6" t="s">
        <v>84</v>
      </c>
      <c r="AB858" s="6" t="s">
        <v>36</v>
      </c>
      <c r="AC858" s="6" t="s">
        <v>37</v>
      </c>
      <c r="AD858" s="6" t="s">
        <v>342</v>
      </c>
      <c r="AE858" s="6" t="s">
        <v>39</v>
      </c>
      <c r="AF858" s="6" t="s">
        <v>40</v>
      </c>
      <c r="AG858" s="7">
        <v>140000</v>
      </c>
      <c r="AH858" s="11">
        <f>_xlfn.XLOOKUP(B858,[1]Sheet1!$B:$B,[1]Sheet1!$AB:$AB,0)</f>
        <v>140000</v>
      </c>
    </row>
    <row r="859" spans="2:34" ht="16.8" thickTop="1" thickBot="1" x14ac:dyDescent="0.35">
      <c r="B859" s="3" t="str">
        <f t="shared" si="28"/>
        <v>45150104511001082Activation&amp;Prog-N422401200104</v>
      </c>
      <c r="C859" s="8" t="s">
        <v>1093</v>
      </c>
      <c r="D859" s="8" t="s">
        <v>1348</v>
      </c>
      <c r="E859" s="8" t="s">
        <v>1349</v>
      </c>
      <c r="F859" s="8" t="s">
        <v>62</v>
      </c>
      <c r="G859" s="4" t="s">
        <v>2807</v>
      </c>
      <c r="H859" s="4" t="s">
        <v>2922</v>
      </c>
      <c r="I859" s="8" t="s">
        <v>63</v>
      </c>
      <c r="J859" s="8" t="s">
        <v>31</v>
      </c>
      <c r="K859" s="12">
        <f>_xlfn.XLOOKUP(B859,[1]Sheet1!$B:$B,[1]Sheet1!$N:$N,0)</f>
        <v>0</v>
      </c>
      <c r="L859" s="12">
        <f>_xlfn.XLOOKUP(B859,[1]Sheet1!$B:$B,[1]Sheet1!$O:$O,0)</f>
        <v>0</v>
      </c>
      <c r="M859" s="12">
        <f>_xlfn.XLOOKUP(B859,[1]Sheet1!$B:$B,[1]Sheet1!$P:$P,0)</f>
        <v>0</v>
      </c>
      <c r="N859" s="12">
        <f>_xlfn.XLOOKUP(B859,[1]Sheet1!$B:$B,[1]Sheet1!$Q:$Q,0)</f>
        <v>0</v>
      </c>
      <c r="O859" s="12">
        <f>_xlfn.XLOOKUP(B859,[1]Sheet1!$B:$B,[1]Sheet1!$R:$R,0)</f>
        <v>0</v>
      </c>
      <c r="P859" s="12">
        <f>_xlfn.XLOOKUP(B859,[1]Sheet1!$B:$B,[1]Sheet1!$S:$S,0)</f>
        <v>150000</v>
      </c>
      <c r="Q859" s="12">
        <f>_xlfn.XLOOKUP(B859,[1]Sheet1!$B:$B,[1]Sheet1!$T:$T,0)</f>
        <v>0</v>
      </c>
      <c r="R859" s="12">
        <f>_xlfn.XLOOKUP(B859,[1]Sheet1!$B:$B,[1]Sheet1!$U:$U,0)</f>
        <v>0</v>
      </c>
      <c r="S859" s="12">
        <f>_xlfn.XLOOKUP(B859,[1]Sheet1!$B:$B,[1]Sheet1!$V:$V,0)</f>
        <v>0</v>
      </c>
      <c r="T859" s="12">
        <f>_xlfn.XLOOKUP(B859,[1]Sheet1!$B:$B,[1]Sheet1!$W:$W,0)</f>
        <v>0</v>
      </c>
      <c r="U859" s="12">
        <f>_xlfn.XLOOKUP(B859,[1]Sheet1!$B:$B,[1]Sheet1!$X:$X,0)</f>
        <v>0</v>
      </c>
      <c r="V859" s="12">
        <f>_xlfn.XLOOKUP(B859,[1]Sheet1!$B:$B,[1]Sheet1!$Y:$Y,0)</f>
        <v>0</v>
      </c>
      <c r="W859" s="12">
        <f t="shared" si="29"/>
        <v>150000</v>
      </c>
      <c r="X859" s="8" t="s">
        <v>1350</v>
      </c>
      <c r="Y859" s="8" t="s">
        <v>211</v>
      </c>
      <c r="Z859" s="8" t="s">
        <v>1092</v>
      </c>
      <c r="AA859" s="8" t="s">
        <v>68</v>
      </c>
      <c r="AB859" s="8" t="s">
        <v>36</v>
      </c>
      <c r="AC859" s="8" t="s">
        <v>37</v>
      </c>
      <c r="AD859" s="8" t="s">
        <v>38</v>
      </c>
      <c r="AE859" s="8" t="s">
        <v>39</v>
      </c>
      <c r="AF859" s="8" t="s">
        <v>40</v>
      </c>
      <c r="AG859" s="9">
        <v>150000</v>
      </c>
      <c r="AH859" s="11">
        <f>_xlfn.XLOOKUP(B859,[1]Sheet1!$B:$B,[1]Sheet1!$AB:$AB,0)</f>
        <v>150000</v>
      </c>
    </row>
    <row r="860" spans="2:34" ht="16.8" thickTop="1" thickBot="1" x14ac:dyDescent="0.35">
      <c r="B860" s="3" t="str">
        <f t="shared" si="28"/>
        <v>45150104511001083Entertainment-N422401200104</v>
      </c>
      <c r="C860" s="6" t="s">
        <v>1093</v>
      </c>
      <c r="D860" s="6" t="s">
        <v>1351</v>
      </c>
      <c r="E860" s="6" t="s">
        <v>1352</v>
      </c>
      <c r="F860" s="6" t="s">
        <v>1353</v>
      </c>
      <c r="G860" s="4" t="s">
        <v>2807</v>
      </c>
      <c r="H860" s="4" t="s">
        <v>2922</v>
      </c>
      <c r="I860" s="6" t="s">
        <v>63</v>
      </c>
      <c r="J860" s="6" t="s">
        <v>31</v>
      </c>
      <c r="K860" s="12">
        <f>_xlfn.XLOOKUP(B860,[1]Sheet1!$B:$B,[1]Sheet1!$N:$N,0)</f>
        <v>0</v>
      </c>
      <c r="L860" s="12">
        <f>_xlfn.XLOOKUP(B860,[1]Sheet1!$B:$B,[1]Sheet1!$O:$O,0)</f>
        <v>0</v>
      </c>
      <c r="M860" s="12">
        <f>_xlfn.XLOOKUP(B860,[1]Sheet1!$B:$B,[1]Sheet1!$P:$P,0)</f>
        <v>0</v>
      </c>
      <c r="N860" s="12">
        <f>_xlfn.XLOOKUP(B860,[1]Sheet1!$B:$B,[1]Sheet1!$Q:$Q,0)</f>
        <v>0</v>
      </c>
      <c r="O860" s="12">
        <f>_xlfn.XLOOKUP(B860,[1]Sheet1!$B:$B,[1]Sheet1!$R:$R,0)</f>
        <v>0</v>
      </c>
      <c r="P860" s="12">
        <f>_xlfn.XLOOKUP(B860,[1]Sheet1!$B:$B,[1]Sheet1!$S:$S,0)</f>
        <v>0</v>
      </c>
      <c r="Q860" s="12">
        <f>_xlfn.XLOOKUP(B860,[1]Sheet1!$B:$B,[1]Sheet1!$T:$T,0)</f>
        <v>0</v>
      </c>
      <c r="R860" s="12">
        <f>_xlfn.XLOOKUP(B860,[1]Sheet1!$B:$B,[1]Sheet1!$U:$U,0)</f>
        <v>0</v>
      </c>
      <c r="S860" s="12">
        <f>_xlfn.XLOOKUP(B860,[1]Sheet1!$B:$B,[1]Sheet1!$V:$V,0)</f>
        <v>0</v>
      </c>
      <c r="T860" s="12">
        <f>_xlfn.XLOOKUP(B860,[1]Sheet1!$B:$B,[1]Sheet1!$W:$W,0)</f>
        <v>0</v>
      </c>
      <c r="U860" s="12">
        <f>_xlfn.XLOOKUP(B860,[1]Sheet1!$B:$B,[1]Sheet1!$X:$X,0)</f>
        <v>0</v>
      </c>
      <c r="V860" s="12">
        <f>_xlfn.XLOOKUP(B860,[1]Sheet1!$B:$B,[1]Sheet1!$Y:$Y,0)</f>
        <v>30000</v>
      </c>
      <c r="W860" s="12">
        <f t="shared" si="29"/>
        <v>30000</v>
      </c>
      <c r="X860" s="6" t="s">
        <v>1091</v>
      </c>
      <c r="Y860" s="6" t="s">
        <v>211</v>
      </c>
      <c r="Z860" s="6" t="s">
        <v>1092</v>
      </c>
      <c r="AA860" s="6" t="s">
        <v>68</v>
      </c>
      <c r="AB860" s="6" t="s">
        <v>36</v>
      </c>
      <c r="AC860" s="6" t="s">
        <v>37</v>
      </c>
      <c r="AD860" s="6" t="s">
        <v>342</v>
      </c>
      <c r="AE860" s="6" t="s">
        <v>39</v>
      </c>
      <c r="AF860" s="6" t="s">
        <v>40</v>
      </c>
      <c r="AG860" s="7">
        <v>30000</v>
      </c>
      <c r="AH860" s="11">
        <f>_xlfn.XLOOKUP(B860,[1]Sheet1!$B:$B,[1]Sheet1!$AB:$AB,0)</f>
        <v>30000</v>
      </c>
    </row>
    <row r="861" spans="2:34" ht="16.8" thickTop="1" thickBot="1" x14ac:dyDescent="0.35">
      <c r="B861" s="3" t="str">
        <f t="shared" si="28"/>
        <v>45131304511001095Sponsorship Fees-L424811201931</v>
      </c>
      <c r="C861" s="8" t="s">
        <v>321</v>
      </c>
      <c r="D861" s="8" t="s">
        <v>1354</v>
      </c>
      <c r="E861" s="8" t="s">
        <v>1355</v>
      </c>
      <c r="F861" s="8" t="s">
        <v>935</v>
      </c>
      <c r="G861" s="4" t="s">
        <v>2802</v>
      </c>
      <c r="H861" s="4" t="s">
        <v>2925</v>
      </c>
      <c r="I861" s="8" t="s">
        <v>30</v>
      </c>
      <c r="J861" s="8" t="s">
        <v>31</v>
      </c>
      <c r="K861" s="12">
        <f>_xlfn.XLOOKUP(B861,[1]Sheet1!$B:$B,[1]Sheet1!$N:$N,0)</f>
        <v>0</v>
      </c>
      <c r="L861" s="12">
        <f>_xlfn.XLOOKUP(B861,[1]Sheet1!$B:$B,[1]Sheet1!$O:$O,0)</f>
        <v>0</v>
      </c>
      <c r="M861" s="12">
        <f>_xlfn.XLOOKUP(B861,[1]Sheet1!$B:$B,[1]Sheet1!$P:$P,0)</f>
        <v>0</v>
      </c>
      <c r="N861" s="12">
        <f>_xlfn.XLOOKUP(B861,[1]Sheet1!$B:$B,[1]Sheet1!$Q:$Q,0)</f>
        <v>2530000</v>
      </c>
      <c r="O861" s="12">
        <f>_xlfn.XLOOKUP(B861,[1]Sheet1!$B:$B,[1]Sheet1!$R:$R,0)</f>
        <v>875000</v>
      </c>
      <c r="P861" s="12">
        <f>_xlfn.XLOOKUP(B861,[1]Sheet1!$B:$B,[1]Sheet1!$S:$S,0)</f>
        <v>450000</v>
      </c>
      <c r="Q861" s="12">
        <f>_xlfn.XLOOKUP(B861,[1]Sheet1!$B:$B,[1]Sheet1!$T:$T,0)</f>
        <v>0</v>
      </c>
      <c r="R861" s="12">
        <f>_xlfn.XLOOKUP(B861,[1]Sheet1!$B:$B,[1]Sheet1!$U:$U,0)</f>
        <v>90000</v>
      </c>
      <c r="S861" s="12">
        <f>_xlfn.XLOOKUP(B861,[1]Sheet1!$B:$B,[1]Sheet1!$V:$V,0)</f>
        <v>500000</v>
      </c>
      <c r="T861" s="12">
        <f>_xlfn.XLOOKUP(B861,[1]Sheet1!$B:$B,[1]Sheet1!$W:$W,0)</f>
        <v>1200000</v>
      </c>
      <c r="U861" s="12">
        <f>_xlfn.XLOOKUP(B861,[1]Sheet1!$B:$B,[1]Sheet1!$X:$X,0)</f>
        <v>450000</v>
      </c>
      <c r="V861" s="12">
        <f>_xlfn.XLOOKUP(B861,[1]Sheet1!$B:$B,[1]Sheet1!$Y:$Y,0)</f>
        <v>905000</v>
      </c>
      <c r="W861" s="12">
        <f t="shared" si="29"/>
        <v>7000000</v>
      </c>
      <c r="X861" s="8" t="s">
        <v>1356</v>
      </c>
      <c r="Y861" s="8" t="s">
        <v>319</v>
      </c>
      <c r="Z861" s="8" t="s">
        <v>320</v>
      </c>
      <c r="AA861" s="8" t="s">
        <v>30</v>
      </c>
      <c r="AB861" s="8" t="s">
        <v>327</v>
      </c>
      <c r="AC861" s="8" t="s">
        <v>37</v>
      </c>
      <c r="AD861" s="8" t="s">
        <v>342</v>
      </c>
      <c r="AE861" s="8" t="s">
        <v>39</v>
      </c>
      <c r="AF861" s="8" t="s">
        <v>40</v>
      </c>
      <c r="AG861" s="9">
        <v>6604954</v>
      </c>
      <c r="AH861" s="11">
        <f>_xlfn.XLOOKUP(B861,[1]Sheet1!$B:$B,[1]Sheet1!$AB:$AB,0)</f>
        <v>6604954</v>
      </c>
    </row>
    <row r="862" spans="2:34" ht="16.8" thickTop="1" thickBot="1" x14ac:dyDescent="0.35">
      <c r="B862" s="3" t="str">
        <f t="shared" si="28"/>
        <v>45131304511001117Media Mgmnt &amp;Buy-L422511201931</v>
      </c>
      <c r="C862" s="6" t="s">
        <v>321</v>
      </c>
      <c r="D862" s="6" t="s">
        <v>1357</v>
      </c>
      <c r="E862" s="6" t="s">
        <v>1358</v>
      </c>
      <c r="F862" s="6" t="s">
        <v>559</v>
      </c>
      <c r="G862" s="4" t="s">
        <v>2819</v>
      </c>
      <c r="H862" s="4" t="s">
        <v>2925</v>
      </c>
      <c r="I862" s="6" t="s">
        <v>151</v>
      </c>
      <c r="J862" s="6" t="s">
        <v>31</v>
      </c>
      <c r="K862" s="12">
        <f>_xlfn.XLOOKUP(B862,[1]Sheet1!$B:$B,[1]Sheet1!$N:$N,0)</f>
        <v>0</v>
      </c>
      <c r="L862" s="12">
        <f>_xlfn.XLOOKUP(B862,[1]Sheet1!$B:$B,[1]Sheet1!$O:$O,0)</f>
        <v>0</v>
      </c>
      <c r="M862" s="12">
        <f>_xlfn.XLOOKUP(B862,[1]Sheet1!$B:$B,[1]Sheet1!$P:$P,0)</f>
        <v>0</v>
      </c>
      <c r="N862" s="12">
        <f>_xlfn.XLOOKUP(B862,[1]Sheet1!$B:$B,[1]Sheet1!$Q:$Q,0)</f>
        <v>189891</v>
      </c>
      <c r="O862" s="12">
        <f>_xlfn.XLOOKUP(B862,[1]Sheet1!$B:$B,[1]Sheet1!$R:$R,0)</f>
        <v>0</v>
      </c>
      <c r="P862" s="12">
        <f>_xlfn.XLOOKUP(B862,[1]Sheet1!$B:$B,[1]Sheet1!$S:$S,0)</f>
        <v>0</v>
      </c>
      <c r="Q862" s="12">
        <f>_xlfn.XLOOKUP(B862,[1]Sheet1!$B:$B,[1]Sheet1!$T:$T,0)</f>
        <v>0</v>
      </c>
      <c r="R862" s="12">
        <f>_xlfn.XLOOKUP(B862,[1]Sheet1!$B:$B,[1]Sheet1!$U:$U,0)</f>
        <v>0</v>
      </c>
      <c r="S862" s="12">
        <f>_xlfn.XLOOKUP(B862,[1]Sheet1!$B:$B,[1]Sheet1!$V:$V,0)</f>
        <v>0</v>
      </c>
      <c r="T862" s="12">
        <f>_xlfn.XLOOKUP(B862,[1]Sheet1!$B:$B,[1]Sheet1!$W:$W,0)</f>
        <v>0</v>
      </c>
      <c r="U862" s="12">
        <f>_xlfn.XLOOKUP(B862,[1]Sheet1!$B:$B,[1]Sheet1!$X:$X,0)</f>
        <v>0</v>
      </c>
      <c r="V862" s="12">
        <f>_xlfn.XLOOKUP(B862,[1]Sheet1!$B:$B,[1]Sheet1!$Y:$Y,0)</f>
        <v>0</v>
      </c>
      <c r="W862" s="12">
        <f t="shared" si="29"/>
        <v>189891</v>
      </c>
      <c r="X862" s="6" t="s">
        <v>1359</v>
      </c>
      <c r="Y862" s="6" t="s">
        <v>319</v>
      </c>
      <c r="Z862" s="6" t="s">
        <v>320</v>
      </c>
      <c r="AA862" s="6" t="s">
        <v>151</v>
      </c>
      <c r="AB862" s="6" t="s">
        <v>327</v>
      </c>
      <c r="AC862" s="6" t="s">
        <v>37</v>
      </c>
      <c r="AD862" s="6" t="s">
        <v>342</v>
      </c>
      <c r="AE862" s="6" t="s">
        <v>39</v>
      </c>
      <c r="AF862" s="6" t="s">
        <v>40</v>
      </c>
      <c r="AG862" s="7">
        <v>189891</v>
      </c>
      <c r="AH862" s="11">
        <f>_xlfn.XLOOKUP(B862,[1]Sheet1!$B:$B,[1]Sheet1!$AB:$AB,0)</f>
        <v>189891</v>
      </c>
    </row>
    <row r="863" spans="2:34" ht="16.8" thickTop="1" thickBot="1" x14ac:dyDescent="0.35">
      <c r="B863" s="3" t="str">
        <f t="shared" si="28"/>
        <v>45131304511001118General Retainer-N421125200104</v>
      </c>
      <c r="C863" s="8" t="s">
        <v>321</v>
      </c>
      <c r="D863" s="8" t="s">
        <v>1360</v>
      </c>
      <c r="E863" s="8" t="s">
        <v>1361</v>
      </c>
      <c r="F863" s="8" t="s">
        <v>1104</v>
      </c>
      <c r="G863" s="4" t="s">
        <v>2803</v>
      </c>
      <c r="H863" s="4" t="s">
        <v>2922</v>
      </c>
      <c r="I863" s="8" t="s">
        <v>44</v>
      </c>
      <c r="J863" s="8" t="s">
        <v>31</v>
      </c>
      <c r="K863" s="12">
        <f>_xlfn.XLOOKUP(B863,[1]Sheet1!$B:$B,[1]Sheet1!$N:$N,0)</f>
        <v>0</v>
      </c>
      <c r="L863" s="12">
        <f>_xlfn.XLOOKUP(B863,[1]Sheet1!$B:$B,[1]Sheet1!$O:$O,0)</f>
        <v>0</v>
      </c>
      <c r="M863" s="12">
        <f>_xlfn.XLOOKUP(B863,[1]Sheet1!$B:$B,[1]Sheet1!$P:$P,0)</f>
        <v>0</v>
      </c>
      <c r="N863" s="12">
        <f>_xlfn.XLOOKUP(B863,[1]Sheet1!$B:$B,[1]Sheet1!$Q:$Q,0)</f>
        <v>2136887.4</v>
      </c>
      <c r="O863" s="12">
        <f>_xlfn.XLOOKUP(B863,[1]Sheet1!$B:$B,[1]Sheet1!$R:$R,0)</f>
        <v>424054</v>
      </c>
      <c r="P863" s="12">
        <f>_xlfn.XLOOKUP(B863,[1]Sheet1!$B:$B,[1]Sheet1!$S:$S,0)</f>
        <v>424054</v>
      </c>
      <c r="Q863" s="12">
        <f>_xlfn.XLOOKUP(B863,[1]Sheet1!$B:$B,[1]Sheet1!$T:$T,0)</f>
        <v>424054</v>
      </c>
      <c r="R863" s="12">
        <f>_xlfn.XLOOKUP(B863,[1]Sheet1!$B:$B,[1]Sheet1!$U:$U,0)</f>
        <v>424054</v>
      </c>
      <c r="S863" s="12">
        <f>_xlfn.XLOOKUP(B863,[1]Sheet1!$B:$B,[1]Sheet1!$V:$V,0)</f>
        <v>424054</v>
      </c>
      <c r="T863" s="12">
        <f>_xlfn.XLOOKUP(B863,[1]Sheet1!$B:$B,[1]Sheet1!$W:$W,0)</f>
        <v>424054</v>
      </c>
      <c r="U863" s="12">
        <f>_xlfn.XLOOKUP(B863,[1]Sheet1!$B:$B,[1]Sheet1!$X:$X,0)</f>
        <v>424054</v>
      </c>
      <c r="V863" s="12">
        <f>_xlfn.XLOOKUP(B863,[1]Sheet1!$B:$B,[1]Sheet1!$Y:$Y,0)</f>
        <v>424054</v>
      </c>
      <c r="W863" s="12">
        <f t="shared" si="29"/>
        <v>5529319.4000000004</v>
      </c>
      <c r="X863" s="8" t="s">
        <v>318</v>
      </c>
      <c r="Y863" s="8" t="s">
        <v>319</v>
      </c>
      <c r="Z863" s="8" t="s">
        <v>320</v>
      </c>
      <c r="AA863" s="8" t="s">
        <v>44</v>
      </c>
      <c r="AB863" s="8" t="s">
        <v>36</v>
      </c>
      <c r="AC863" s="8" t="s">
        <v>37</v>
      </c>
      <c r="AD863" s="8" t="s">
        <v>322</v>
      </c>
      <c r="AE863" s="8" t="s">
        <v>39</v>
      </c>
      <c r="AF863" s="8" t="s">
        <v>40</v>
      </c>
      <c r="AG863" s="9">
        <v>5529319</v>
      </c>
      <c r="AH863" s="11">
        <f>_xlfn.XLOOKUP(B863,[1]Sheet1!$B:$B,[1]Sheet1!$AB:$AB,0)</f>
        <v>5529319.4000000004</v>
      </c>
    </row>
    <row r="864" spans="2:34" ht="16.8" thickTop="1" thickBot="1" x14ac:dyDescent="0.35">
      <c r="B864" s="3" t="str">
        <f t="shared" si="28"/>
        <v>45155004511001119Event Management-N422401200104</v>
      </c>
      <c r="C864" s="6" t="s">
        <v>513</v>
      </c>
      <c r="D864" s="6" t="s">
        <v>1362</v>
      </c>
      <c r="E864" s="6" t="s">
        <v>1363</v>
      </c>
      <c r="F864" s="6" t="s">
        <v>162</v>
      </c>
      <c r="G864" s="4" t="s">
        <v>2807</v>
      </c>
      <c r="H864" s="4" t="s">
        <v>2922</v>
      </c>
      <c r="I864" s="6" t="s">
        <v>63</v>
      </c>
      <c r="J864" s="6" t="s">
        <v>31</v>
      </c>
      <c r="K864" s="12">
        <f>_xlfn.XLOOKUP(B864,[1]Sheet1!$B:$B,[1]Sheet1!$N:$N,0)</f>
        <v>0</v>
      </c>
      <c r="L864" s="12">
        <f>_xlfn.XLOOKUP(B864,[1]Sheet1!$B:$B,[1]Sheet1!$O:$O,0)</f>
        <v>0</v>
      </c>
      <c r="M864" s="12">
        <f>_xlfn.XLOOKUP(B864,[1]Sheet1!$B:$B,[1]Sheet1!$P:$P,0)</f>
        <v>0</v>
      </c>
      <c r="N864" s="12">
        <f>_xlfn.XLOOKUP(B864,[1]Sheet1!$B:$B,[1]Sheet1!$Q:$Q,0)</f>
        <v>0</v>
      </c>
      <c r="O864" s="12">
        <f>_xlfn.XLOOKUP(B864,[1]Sheet1!$B:$B,[1]Sheet1!$R:$R,0)</f>
        <v>1267351</v>
      </c>
      <c r="P864" s="12">
        <f>_xlfn.XLOOKUP(B864,[1]Sheet1!$B:$B,[1]Sheet1!$S:$S,0)</f>
        <v>0</v>
      </c>
      <c r="Q864" s="12">
        <f>_xlfn.XLOOKUP(B864,[1]Sheet1!$B:$B,[1]Sheet1!$T:$T,0)</f>
        <v>0</v>
      </c>
      <c r="R864" s="12">
        <f>_xlfn.XLOOKUP(B864,[1]Sheet1!$B:$B,[1]Sheet1!$U:$U,0)</f>
        <v>0</v>
      </c>
      <c r="S864" s="12">
        <f>_xlfn.XLOOKUP(B864,[1]Sheet1!$B:$B,[1]Sheet1!$V:$V,0)</f>
        <v>0</v>
      </c>
      <c r="T864" s="12">
        <f>_xlfn.XLOOKUP(B864,[1]Sheet1!$B:$B,[1]Sheet1!$W:$W,0)</f>
        <v>0</v>
      </c>
      <c r="U864" s="12">
        <f>_xlfn.XLOOKUP(B864,[1]Sheet1!$B:$B,[1]Sheet1!$X:$X,0)</f>
        <v>0</v>
      </c>
      <c r="V864" s="12">
        <f>_xlfn.XLOOKUP(B864,[1]Sheet1!$B:$B,[1]Sheet1!$Y:$Y,0)</f>
        <v>0</v>
      </c>
      <c r="W864" s="12">
        <f t="shared" si="29"/>
        <v>1267351</v>
      </c>
      <c r="X864" s="6" t="s">
        <v>524</v>
      </c>
      <c r="Y864" s="6" t="s">
        <v>211</v>
      </c>
      <c r="Z864" s="6" t="s">
        <v>512</v>
      </c>
      <c r="AA864" s="6" t="s">
        <v>68</v>
      </c>
      <c r="AB864" s="6" t="s">
        <v>36</v>
      </c>
      <c r="AC864" s="6" t="s">
        <v>37</v>
      </c>
      <c r="AD864" s="6" t="s">
        <v>342</v>
      </c>
      <c r="AE864" s="6" t="s">
        <v>39</v>
      </c>
      <c r="AF864" s="6" t="s">
        <v>40</v>
      </c>
      <c r="AG864" s="7">
        <v>795297</v>
      </c>
      <c r="AH864" s="11">
        <f>_xlfn.XLOOKUP(B864,[1]Sheet1!$B:$B,[1]Sheet1!$AB:$AB,0)</f>
        <v>795297</v>
      </c>
    </row>
    <row r="865" spans="2:34" ht="16.8" thickTop="1" thickBot="1" x14ac:dyDescent="0.35">
      <c r="B865" s="3" t="str">
        <f t="shared" si="28"/>
        <v>45155004511001120Fireworks-N422401200104</v>
      </c>
      <c r="C865" s="8" t="s">
        <v>513</v>
      </c>
      <c r="D865" s="8" t="s">
        <v>1364</v>
      </c>
      <c r="E865" s="8" t="s">
        <v>1365</v>
      </c>
      <c r="F865" s="8" t="s">
        <v>1366</v>
      </c>
      <c r="G865" s="4" t="s">
        <v>2807</v>
      </c>
      <c r="H865" s="4" t="s">
        <v>2922</v>
      </c>
      <c r="I865" s="8" t="s">
        <v>63</v>
      </c>
      <c r="J865" s="8" t="s">
        <v>31</v>
      </c>
      <c r="K865" s="12">
        <f>_xlfn.XLOOKUP(B865,[1]Sheet1!$B:$B,[1]Sheet1!$N:$N,0)</f>
        <v>0</v>
      </c>
      <c r="L865" s="12">
        <f>_xlfn.XLOOKUP(B865,[1]Sheet1!$B:$B,[1]Sheet1!$O:$O,0)</f>
        <v>0</v>
      </c>
      <c r="M865" s="12">
        <f>_xlfn.XLOOKUP(B865,[1]Sheet1!$B:$B,[1]Sheet1!$P:$P,0)</f>
        <v>0</v>
      </c>
      <c r="N865" s="12">
        <f>_xlfn.XLOOKUP(B865,[1]Sheet1!$B:$B,[1]Sheet1!$Q:$Q,0)</f>
        <v>1850000</v>
      </c>
      <c r="O865" s="12">
        <f>_xlfn.XLOOKUP(B865,[1]Sheet1!$B:$B,[1]Sheet1!$R:$R,0)</f>
        <v>740000</v>
      </c>
      <c r="P865" s="12">
        <f>_xlfn.XLOOKUP(B865,[1]Sheet1!$B:$B,[1]Sheet1!$S:$S,0)</f>
        <v>740000</v>
      </c>
      <c r="Q865" s="12">
        <f>_xlfn.XLOOKUP(B865,[1]Sheet1!$B:$B,[1]Sheet1!$T:$T,0)</f>
        <v>0</v>
      </c>
      <c r="R865" s="12">
        <f>_xlfn.XLOOKUP(B865,[1]Sheet1!$B:$B,[1]Sheet1!$U:$U,0)</f>
        <v>0</v>
      </c>
      <c r="S865" s="12">
        <f>_xlfn.XLOOKUP(B865,[1]Sheet1!$B:$B,[1]Sheet1!$V:$V,0)</f>
        <v>270000</v>
      </c>
      <c r="T865" s="12">
        <f>_xlfn.XLOOKUP(B865,[1]Sheet1!$B:$B,[1]Sheet1!$W:$W,0)</f>
        <v>0</v>
      </c>
      <c r="U865" s="12">
        <f>_xlfn.XLOOKUP(B865,[1]Sheet1!$B:$B,[1]Sheet1!$X:$X,0)</f>
        <v>3400000</v>
      </c>
      <c r="V865" s="12">
        <f>_xlfn.XLOOKUP(B865,[1]Sheet1!$B:$B,[1]Sheet1!$Y:$Y,0)</f>
        <v>261500</v>
      </c>
      <c r="W865" s="12">
        <f t="shared" si="29"/>
        <v>7261500</v>
      </c>
      <c r="X865" s="8" t="s">
        <v>524</v>
      </c>
      <c r="Y865" s="8" t="s">
        <v>211</v>
      </c>
      <c r="Z865" s="8" t="s">
        <v>512</v>
      </c>
      <c r="AA865" s="8" t="s">
        <v>68</v>
      </c>
      <c r="AB865" s="8" t="s">
        <v>36</v>
      </c>
      <c r="AC865" s="8" t="s">
        <v>37</v>
      </c>
      <c r="AD865" s="8" t="s">
        <v>342</v>
      </c>
      <c r="AE865" s="8" t="s">
        <v>39</v>
      </c>
      <c r="AF865" s="8" t="s">
        <v>40</v>
      </c>
      <c r="AG865" s="9">
        <v>6274500</v>
      </c>
      <c r="AH865" s="11">
        <f>_xlfn.XLOOKUP(B865,[1]Sheet1!$B:$B,[1]Sheet1!$AB:$AB,0)</f>
        <v>6274500</v>
      </c>
    </row>
    <row r="866" spans="2:34" ht="16.8" thickTop="1" thickBot="1" x14ac:dyDescent="0.35">
      <c r="B866" s="3" t="str">
        <f t="shared" si="28"/>
        <v>45159004511001128Freelancers-N1424521200104</v>
      </c>
      <c r="C866" s="6" t="s">
        <v>827</v>
      </c>
      <c r="D866" s="6" t="s">
        <v>1367</v>
      </c>
      <c r="E866" s="6" t="s">
        <v>1368</v>
      </c>
      <c r="F866" s="6" t="s">
        <v>303</v>
      </c>
      <c r="G866" s="4" t="s">
        <v>2804</v>
      </c>
      <c r="H866" s="4" t="s">
        <v>2922</v>
      </c>
      <c r="I866" s="6" t="s">
        <v>51</v>
      </c>
      <c r="J866" s="6" t="s">
        <v>31</v>
      </c>
      <c r="K866" s="12">
        <f>_xlfn.XLOOKUP(B866,[1]Sheet1!$B:$B,[1]Sheet1!$N:$N,0)</f>
        <v>114000</v>
      </c>
      <c r="L866" s="12">
        <f>_xlfn.XLOOKUP(B866,[1]Sheet1!$B:$B,[1]Sheet1!$O:$O,0)</f>
        <v>45000</v>
      </c>
      <c r="M866" s="12">
        <f>_xlfn.XLOOKUP(B866,[1]Sheet1!$B:$B,[1]Sheet1!$P:$P,0)</f>
        <v>0</v>
      </c>
      <c r="N866" s="12">
        <f>_xlfn.XLOOKUP(B866,[1]Sheet1!$B:$B,[1]Sheet1!$Q:$Q,0)</f>
        <v>102786</v>
      </c>
      <c r="O866" s="12">
        <f>_xlfn.XLOOKUP(B866,[1]Sheet1!$B:$B,[1]Sheet1!$R:$R,0)</f>
        <v>65000</v>
      </c>
      <c r="P866" s="12">
        <f>_xlfn.XLOOKUP(B866,[1]Sheet1!$B:$B,[1]Sheet1!$S:$S,0)</f>
        <v>65000</v>
      </c>
      <c r="Q866" s="12">
        <f>_xlfn.XLOOKUP(B866,[1]Sheet1!$B:$B,[1]Sheet1!$T:$T,0)</f>
        <v>65000</v>
      </c>
      <c r="R866" s="12">
        <f>_xlfn.XLOOKUP(B866,[1]Sheet1!$B:$B,[1]Sheet1!$U:$U,0)</f>
        <v>65000</v>
      </c>
      <c r="S866" s="12">
        <f>_xlfn.XLOOKUP(B866,[1]Sheet1!$B:$B,[1]Sheet1!$V:$V,0)</f>
        <v>65000</v>
      </c>
      <c r="T866" s="12">
        <f>_xlfn.XLOOKUP(B866,[1]Sheet1!$B:$B,[1]Sheet1!$W:$W,0)</f>
        <v>65000</v>
      </c>
      <c r="U866" s="12">
        <f>_xlfn.XLOOKUP(B866,[1]Sheet1!$B:$B,[1]Sheet1!$X:$X,0)</f>
        <v>65000</v>
      </c>
      <c r="V866" s="12">
        <f>_xlfn.XLOOKUP(B866,[1]Sheet1!$B:$B,[1]Sheet1!$Y:$Y,0)</f>
        <v>40322.580645161288</v>
      </c>
      <c r="W866" s="12">
        <f t="shared" si="29"/>
        <v>757108.58064516133</v>
      </c>
      <c r="X866" s="6" t="s">
        <v>1369</v>
      </c>
      <c r="Y866" s="6" t="s">
        <v>211</v>
      </c>
      <c r="Z866" s="6" t="s">
        <v>826</v>
      </c>
      <c r="AA866" s="6" t="s">
        <v>53</v>
      </c>
      <c r="AB866" s="6" t="s">
        <v>36</v>
      </c>
      <c r="AC866" s="6" t="s">
        <v>37</v>
      </c>
      <c r="AD866" s="6" t="s">
        <v>214</v>
      </c>
      <c r="AE866" s="6" t="s">
        <v>39</v>
      </c>
      <c r="AF866" s="6" t="s">
        <v>40</v>
      </c>
      <c r="AG866" s="7">
        <v>617109</v>
      </c>
      <c r="AH866" s="11">
        <f>_xlfn.XLOOKUP(B866,[1]Sheet1!$B:$B,[1]Sheet1!$AB:$AB,0)</f>
        <v>617108.58064516133</v>
      </c>
    </row>
    <row r="867" spans="2:34" ht="16.8" thickTop="1" thickBot="1" x14ac:dyDescent="0.35">
      <c r="B867" s="3" t="str">
        <f t="shared" si="28"/>
        <v>45159004511001128Strategy Advice-N2421123200104</v>
      </c>
      <c r="C867" s="8" t="s">
        <v>827</v>
      </c>
      <c r="D867" s="8" t="s">
        <v>1367</v>
      </c>
      <c r="E867" s="8" t="s">
        <v>1368</v>
      </c>
      <c r="F867" s="8" t="s">
        <v>921</v>
      </c>
      <c r="G867" s="4" t="s">
        <v>2827</v>
      </c>
      <c r="H867" s="4" t="s">
        <v>2922</v>
      </c>
      <c r="I867" s="8" t="s">
        <v>237</v>
      </c>
      <c r="J867" s="8" t="s">
        <v>31</v>
      </c>
      <c r="K867" s="12">
        <f>_xlfn.XLOOKUP(B867,[1]Sheet1!$B:$B,[1]Sheet1!$N:$N,0)</f>
        <v>0</v>
      </c>
      <c r="L867" s="12">
        <f>_xlfn.XLOOKUP(B867,[1]Sheet1!$B:$B,[1]Sheet1!$O:$O,0)</f>
        <v>0</v>
      </c>
      <c r="M867" s="12">
        <f>_xlfn.XLOOKUP(B867,[1]Sheet1!$B:$B,[1]Sheet1!$P:$P,0)</f>
        <v>0</v>
      </c>
      <c r="N867" s="12">
        <f>_xlfn.XLOOKUP(B867,[1]Sheet1!$B:$B,[1]Sheet1!$Q:$Q,0)</f>
        <v>0</v>
      </c>
      <c r="O867" s="12">
        <f>_xlfn.XLOOKUP(B867,[1]Sheet1!$B:$B,[1]Sheet1!$R:$R,0)</f>
        <v>0</v>
      </c>
      <c r="P867" s="12">
        <f>_xlfn.XLOOKUP(B867,[1]Sheet1!$B:$B,[1]Sheet1!$S:$S,0)</f>
        <v>0</v>
      </c>
      <c r="Q867" s="12">
        <f>_xlfn.XLOOKUP(B867,[1]Sheet1!$B:$B,[1]Sheet1!$T:$T,0)</f>
        <v>0</v>
      </c>
      <c r="R867" s="12">
        <f>_xlfn.XLOOKUP(B867,[1]Sheet1!$B:$B,[1]Sheet1!$U:$U,0)</f>
        <v>0</v>
      </c>
      <c r="S867" s="12">
        <f>_xlfn.XLOOKUP(B867,[1]Sheet1!$B:$B,[1]Sheet1!$V:$V,0)</f>
        <v>0</v>
      </c>
      <c r="T867" s="12">
        <f>_xlfn.XLOOKUP(B867,[1]Sheet1!$B:$B,[1]Sheet1!$W:$W,0)</f>
        <v>0</v>
      </c>
      <c r="U867" s="12">
        <f>_xlfn.XLOOKUP(B867,[1]Sheet1!$B:$B,[1]Sheet1!$X:$X,0)</f>
        <v>0</v>
      </c>
      <c r="V867" s="12">
        <f>_xlfn.XLOOKUP(B867,[1]Sheet1!$B:$B,[1]Sheet1!$Y:$Y,0)</f>
        <v>0</v>
      </c>
      <c r="W867" s="12">
        <f t="shared" si="29"/>
        <v>0</v>
      </c>
      <c r="X867" s="8" t="s">
        <v>1370</v>
      </c>
      <c r="Y867" s="8" t="s">
        <v>211</v>
      </c>
      <c r="Z867" s="8" t="s">
        <v>826</v>
      </c>
      <c r="AA867" s="8" t="s">
        <v>237</v>
      </c>
      <c r="AB867" s="8" t="s">
        <v>36</v>
      </c>
      <c r="AC867" s="8" t="s">
        <v>37</v>
      </c>
      <c r="AD867" s="8" t="s">
        <v>214</v>
      </c>
      <c r="AE867" s="8" t="s">
        <v>39</v>
      </c>
      <c r="AF867" s="8" t="s">
        <v>40</v>
      </c>
      <c r="AG867" s="9">
        <v>555000</v>
      </c>
      <c r="AH867" s="11">
        <f>_xlfn.XLOOKUP(B867,[1]Sheet1!$B:$B,[1]Sheet1!$AB:$AB,0)</f>
        <v>555000</v>
      </c>
    </row>
    <row r="868" spans="2:34" ht="16.8" thickTop="1" thickBot="1" x14ac:dyDescent="0.35">
      <c r="B868" s="3" t="str">
        <f t="shared" si="28"/>
        <v>45150104511001134Admin Expenses-N3421125200104</v>
      </c>
      <c r="C868" s="6" t="s">
        <v>1093</v>
      </c>
      <c r="D868" s="6" t="s">
        <v>1371</v>
      </c>
      <c r="E868" s="6" t="s">
        <v>1372</v>
      </c>
      <c r="F868" s="6" t="s">
        <v>1373</v>
      </c>
      <c r="G868" s="4" t="s">
        <v>2803</v>
      </c>
      <c r="H868" s="4" t="s">
        <v>2922</v>
      </c>
      <c r="I868" s="6" t="s">
        <v>44</v>
      </c>
      <c r="J868" s="6" t="s">
        <v>31</v>
      </c>
      <c r="K868" s="12">
        <f>_xlfn.XLOOKUP(B868,[1]Sheet1!$B:$B,[1]Sheet1!$N:$N,0)</f>
        <v>0</v>
      </c>
      <c r="L868" s="12">
        <f>_xlfn.XLOOKUP(B868,[1]Sheet1!$B:$B,[1]Sheet1!$O:$O,0)</f>
        <v>0</v>
      </c>
      <c r="M868" s="12">
        <f>_xlfn.XLOOKUP(B868,[1]Sheet1!$B:$B,[1]Sheet1!$P:$P,0)</f>
        <v>0</v>
      </c>
      <c r="N868" s="12">
        <f>_xlfn.XLOOKUP(B868,[1]Sheet1!$B:$B,[1]Sheet1!$Q:$Q,0)</f>
        <v>0</v>
      </c>
      <c r="O868" s="12">
        <f>_xlfn.XLOOKUP(B868,[1]Sheet1!$B:$B,[1]Sheet1!$R:$R,0)</f>
        <v>0</v>
      </c>
      <c r="P868" s="12">
        <f>_xlfn.XLOOKUP(B868,[1]Sheet1!$B:$B,[1]Sheet1!$S:$S,0)</f>
        <v>0</v>
      </c>
      <c r="Q868" s="12">
        <f>_xlfn.XLOOKUP(B868,[1]Sheet1!$B:$B,[1]Sheet1!$T:$T,0)</f>
        <v>0</v>
      </c>
      <c r="R868" s="12">
        <f>_xlfn.XLOOKUP(B868,[1]Sheet1!$B:$B,[1]Sheet1!$U:$U,0)</f>
        <v>0</v>
      </c>
      <c r="S868" s="12">
        <f>_xlfn.XLOOKUP(B868,[1]Sheet1!$B:$B,[1]Sheet1!$V:$V,0)</f>
        <v>0</v>
      </c>
      <c r="T868" s="12">
        <f>_xlfn.XLOOKUP(B868,[1]Sheet1!$B:$B,[1]Sheet1!$W:$W,0)</f>
        <v>0</v>
      </c>
      <c r="U868" s="12">
        <f>_xlfn.XLOOKUP(B868,[1]Sheet1!$B:$B,[1]Sheet1!$X:$X,0)</f>
        <v>5000</v>
      </c>
      <c r="V868" s="12">
        <f>_xlfn.XLOOKUP(B868,[1]Sheet1!$B:$B,[1]Sheet1!$Y:$Y,0)</f>
        <v>15000</v>
      </c>
      <c r="W868" s="12">
        <f t="shared" si="29"/>
        <v>20000</v>
      </c>
      <c r="X868" s="6" t="s">
        <v>1374</v>
      </c>
      <c r="Y868" s="6" t="s">
        <v>211</v>
      </c>
      <c r="Z868" s="6" t="s">
        <v>1092</v>
      </c>
      <c r="AA868" s="6" t="s">
        <v>44</v>
      </c>
      <c r="AB868" s="6" t="s">
        <v>36</v>
      </c>
      <c r="AC868" s="6" t="s">
        <v>37</v>
      </c>
      <c r="AD868" s="6" t="s">
        <v>342</v>
      </c>
      <c r="AE868" s="6" t="s">
        <v>39</v>
      </c>
      <c r="AF868" s="6" t="s">
        <v>40</v>
      </c>
      <c r="AG868" s="7">
        <v>20000</v>
      </c>
      <c r="AH868" s="11">
        <f>_xlfn.XLOOKUP(B868,[1]Sheet1!$B:$B,[1]Sheet1!$AB:$AB,0)</f>
        <v>20000</v>
      </c>
    </row>
    <row r="869" spans="2:34" ht="16.8" thickTop="1" thickBot="1" x14ac:dyDescent="0.35">
      <c r="B869" s="3" t="str">
        <f t="shared" si="28"/>
        <v>45150104511001134CampaignProductn-N422511200104</v>
      </c>
      <c r="C869" s="8" t="s">
        <v>1093</v>
      </c>
      <c r="D869" s="8" t="s">
        <v>1371</v>
      </c>
      <c r="E869" s="8" t="s">
        <v>1372</v>
      </c>
      <c r="F869" s="8" t="s">
        <v>1137</v>
      </c>
      <c r="G869" s="4" t="s">
        <v>2819</v>
      </c>
      <c r="H869" s="4" t="s">
        <v>2922</v>
      </c>
      <c r="I869" s="8" t="s">
        <v>151</v>
      </c>
      <c r="J869" s="8" t="s">
        <v>31</v>
      </c>
      <c r="K869" s="12">
        <f>_xlfn.XLOOKUP(B869,[1]Sheet1!$B:$B,[1]Sheet1!$N:$N,0)</f>
        <v>0</v>
      </c>
      <c r="L869" s="12">
        <f>_xlfn.XLOOKUP(B869,[1]Sheet1!$B:$B,[1]Sheet1!$O:$O,0)</f>
        <v>0</v>
      </c>
      <c r="M869" s="12">
        <f>_xlfn.XLOOKUP(B869,[1]Sheet1!$B:$B,[1]Sheet1!$P:$P,0)</f>
        <v>0</v>
      </c>
      <c r="N869" s="12">
        <f>_xlfn.XLOOKUP(B869,[1]Sheet1!$B:$B,[1]Sheet1!$Q:$Q,0)</f>
        <v>0</v>
      </c>
      <c r="O869" s="12">
        <f>_xlfn.XLOOKUP(B869,[1]Sheet1!$B:$B,[1]Sheet1!$R:$R,0)</f>
        <v>0</v>
      </c>
      <c r="P869" s="12">
        <f>_xlfn.XLOOKUP(B869,[1]Sheet1!$B:$B,[1]Sheet1!$S:$S,0)</f>
        <v>0</v>
      </c>
      <c r="Q869" s="12">
        <f>_xlfn.XLOOKUP(B869,[1]Sheet1!$B:$B,[1]Sheet1!$T:$T,0)</f>
        <v>612500</v>
      </c>
      <c r="R869" s="12">
        <f>_xlfn.XLOOKUP(B869,[1]Sheet1!$B:$B,[1]Sheet1!$U:$U,0)</f>
        <v>567500</v>
      </c>
      <c r="S869" s="12">
        <f>_xlfn.XLOOKUP(B869,[1]Sheet1!$B:$B,[1]Sheet1!$V:$V,0)</f>
        <v>662500</v>
      </c>
      <c r="T869" s="12">
        <f>_xlfn.XLOOKUP(B869,[1]Sheet1!$B:$B,[1]Sheet1!$W:$W,0)</f>
        <v>612500</v>
      </c>
      <c r="U869" s="12">
        <f>_xlfn.XLOOKUP(B869,[1]Sheet1!$B:$B,[1]Sheet1!$X:$X,0)</f>
        <v>813333</v>
      </c>
      <c r="V869" s="12">
        <f>_xlfn.XLOOKUP(B869,[1]Sheet1!$B:$B,[1]Sheet1!$Y:$Y,0)</f>
        <v>1631667</v>
      </c>
      <c r="W869" s="12">
        <f t="shared" si="29"/>
        <v>4900000</v>
      </c>
      <c r="X869" s="8" t="s">
        <v>1375</v>
      </c>
      <c r="Y869" s="8" t="s">
        <v>211</v>
      </c>
      <c r="Z869" s="8" t="s">
        <v>1092</v>
      </c>
      <c r="AA869" s="8" t="s">
        <v>151</v>
      </c>
      <c r="AB869" s="8" t="s">
        <v>36</v>
      </c>
      <c r="AC869" s="8" t="s">
        <v>37</v>
      </c>
      <c r="AD869" s="8" t="s">
        <v>342</v>
      </c>
      <c r="AE869" s="8" t="s">
        <v>39</v>
      </c>
      <c r="AF869" s="8" t="s">
        <v>40</v>
      </c>
      <c r="AG869" s="9">
        <v>1998600</v>
      </c>
      <c r="AH869" s="11">
        <f>_xlfn.XLOOKUP(B869,[1]Sheet1!$B:$B,[1]Sheet1!$AB:$AB,0)</f>
        <v>1998600</v>
      </c>
    </row>
    <row r="870" spans="2:34" ht="16.8" thickTop="1" thickBot="1" x14ac:dyDescent="0.35">
      <c r="B870" s="3" t="str">
        <f t="shared" si="28"/>
        <v>45150104511001134Hospitality-N1424761200104</v>
      </c>
      <c r="C870" s="6" t="s">
        <v>1093</v>
      </c>
      <c r="D870" s="6" t="s">
        <v>1371</v>
      </c>
      <c r="E870" s="6" t="s">
        <v>1372</v>
      </c>
      <c r="F870" s="6" t="s">
        <v>399</v>
      </c>
      <c r="G870" s="4" t="s">
        <v>2811</v>
      </c>
      <c r="H870" s="4" t="s">
        <v>2922</v>
      </c>
      <c r="I870" s="6" t="s">
        <v>84</v>
      </c>
      <c r="J870" s="6" t="s">
        <v>31</v>
      </c>
      <c r="K870" s="12">
        <f>_xlfn.XLOOKUP(B870,[1]Sheet1!$B:$B,[1]Sheet1!$N:$N,0)</f>
        <v>0</v>
      </c>
      <c r="L870" s="12">
        <f>_xlfn.XLOOKUP(B870,[1]Sheet1!$B:$B,[1]Sheet1!$O:$O,0)</f>
        <v>0</v>
      </c>
      <c r="M870" s="12">
        <f>_xlfn.XLOOKUP(B870,[1]Sheet1!$B:$B,[1]Sheet1!$P:$P,0)</f>
        <v>0</v>
      </c>
      <c r="N870" s="12">
        <f>_xlfn.XLOOKUP(B870,[1]Sheet1!$B:$B,[1]Sheet1!$Q:$Q,0)</f>
        <v>0</v>
      </c>
      <c r="O870" s="12">
        <f>_xlfn.XLOOKUP(B870,[1]Sheet1!$B:$B,[1]Sheet1!$R:$R,0)</f>
        <v>0</v>
      </c>
      <c r="P870" s="12">
        <f>_xlfn.XLOOKUP(B870,[1]Sheet1!$B:$B,[1]Sheet1!$S:$S,0)</f>
        <v>0</v>
      </c>
      <c r="Q870" s="12">
        <f>_xlfn.XLOOKUP(B870,[1]Sheet1!$B:$B,[1]Sheet1!$T:$T,0)</f>
        <v>0</v>
      </c>
      <c r="R870" s="12">
        <f>_xlfn.XLOOKUP(B870,[1]Sheet1!$B:$B,[1]Sheet1!$U:$U,0)</f>
        <v>0</v>
      </c>
      <c r="S870" s="12">
        <f>_xlfn.XLOOKUP(B870,[1]Sheet1!$B:$B,[1]Sheet1!$V:$V,0)</f>
        <v>0</v>
      </c>
      <c r="T870" s="12">
        <f>_xlfn.XLOOKUP(B870,[1]Sheet1!$B:$B,[1]Sheet1!$W:$W,0)</f>
        <v>40000</v>
      </c>
      <c r="U870" s="12">
        <f>_xlfn.XLOOKUP(B870,[1]Sheet1!$B:$B,[1]Sheet1!$X:$X,0)</f>
        <v>0</v>
      </c>
      <c r="V870" s="12">
        <f>_xlfn.XLOOKUP(B870,[1]Sheet1!$B:$B,[1]Sheet1!$Y:$Y,0)</f>
        <v>40000</v>
      </c>
      <c r="W870" s="12">
        <f t="shared" si="29"/>
        <v>80000</v>
      </c>
      <c r="X870" s="6" t="s">
        <v>1119</v>
      </c>
      <c r="Y870" s="6" t="s">
        <v>211</v>
      </c>
      <c r="Z870" s="6" t="s">
        <v>1092</v>
      </c>
      <c r="AA870" s="6" t="s">
        <v>84</v>
      </c>
      <c r="AB870" s="6" t="s">
        <v>36</v>
      </c>
      <c r="AC870" s="6" t="s">
        <v>37</v>
      </c>
      <c r="AD870" s="6" t="s">
        <v>342</v>
      </c>
      <c r="AE870" s="6" t="s">
        <v>39</v>
      </c>
      <c r="AF870" s="6" t="s">
        <v>40</v>
      </c>
      <c r="AG870" s="7">
        <v>80000</v>
      </c>
      <c r="AH870" s="11">
        <f>_xlfn.XLOOKUP(B870,[1]Sheet1!$B:$B,[1]Sheet1!$AB:$AB,0)</f>
        <v>80000</v>
      </c>
    </row>
    <row r="871" spans="2:34" ht="16.8" thickTop="1" thickBot="1" x14ac:dyDescent="0.35">
      <c r="B871" s="3" t="str">
        <f t="shared" si="28"/>
        <v>45150104511001134ManagementAdvice-N424521200104</v>
      </c>
      <c r="C871" s="8" t="s">
        <v>1093</v>
      </c>
      <c r="D871" s="8" t="s">
        <v>1371</v>
      </c>
      <c r="E871" s="8" t="s">
        <v>1372</v>
      </c>
      <c r="F871" s="8" t="s">
        <v>230</v>
      </c>
      <c r="G871" s="4" t="s">
        <v>2804</v>
      </c>
      <c r="H871" s="4" t="s">
        <v>2922</v>
      </c>
      <c r="I871" s="8" t="s">
        <v>51</v>
      </c>
      <c r="J871" s="8" t="s">
        <v>31</v>
      </c>
      <c r="K871" s="12">
        <f>_xlfn.XLOOKUP(B871,[1]Sheet1!$B:$B,[1]Sheet1!$N:$N,0)</f>
        <v>0</v>
      </c>
      <c r="L871" s="12">
        <f>_xlfn.XLOOKUP(B871,[1]Sheet1!$B:$B,[1]Sheet1!$O:$O,0)</f>
        <v>0</v>
      </c>
      <c r="M871" s="12">
        <f>_xlfn.XLOOKUP(B871,[1]Sheet1!$B:$B,[1]Sheet1!$P:$P,0)</f>
        <v>0</v>
      </c>
      <c r="N871" s="12">
        <f>_xlfn.XLOOKUP(B871,[1]Sheet1!$B:$B,[1]Sheet1!$Q:$Q,0)</f>
        <v>0</v>
      </c>
      <c r="O871" s="12">
        <f>_xlfn.XLOOKUP(B871,[1]Sheet1!$B:$B,[1]Sheet1!$R:$R,0)</f>
        <v>0</v>
      </c>
      <c r="P871" s="12">
        <f>_xlfn.XLOOKUP(B871,[1]Sheet1!$B:$B,[1]Sheet1!$S:$S,0)</f>
        <v>350000</v>
      </c>
      <c r="Q871" s="12">
        <f>_xlfn.XLOOKUP(B871,[1]Sheet1!$B:$B,[1]Sheet1!$T:$T,0)</f>
        <v>350000</v>
      </c>
      <c r="R871" s="12">
        <f>_xlfn.XLOOKUP(B871,[1]Sheet1!$B:$B,[1]Sheet1!$U:$U,0)</f>
        <v>550000</v>
      </c>
      <c r="S871" s="12">
        <f>_xlfn.XLOOKUP(B871,[1]Sheet1!$B:$B,[1]Sheet1!$V:$V,0)</f>
        <v>0</v>
      </c>
      <c r="T871" s="12">
        <f>_xlfn.XLOOKUP(B871,[1]Sheet1!$B:$B,[1]Sheet1!$W:$W,0)</f>
        <v>0</v>
      </c>
      <c r="U871" s="12">
        <f>_xlfn.XLOOKUP(B871,[1]Sheet1!$B:$B,[1]Sheet1!$X:$X,0)</f>
        <v>0</v>
      </c>
      <c r="V871" s="12">
        <f>_xlfn.XLOOKUP(B871,[1]Sheet1!$B:$B,[1]Sheet1!$Y:$Y,0)</f>
        <v>550000</v>
      </c>
      <c r="W871" s="12">
        <f t="shared" si="29"/>
        <v>1800000</v>
      </c>
      <c r="X871" s="8" t="s">
        <v>1094</v>
      </c>
      <c r="Y871" s="8" t="s">
        <v>211</v>
      </c>
      <c r="Z871" s="8" t="s">
        <v>1092</v>
      </c>
      <c r="AA871" s="8" t="s">
        <v>53</v>
      </c>
      <c r="AB871" s="8" t="s">
        <v>36</v>
      </c>
      <c r="AC871" s="8" t="s">
        <v>37</v>
      </c>
      <c r="AD871" s="8" t="s">
        <v>342</v>
      </c>
      <c r="AE871" s="8" t="s">
        <v>39</v>
      </c>
      <c r="AF871" s="8" t="s">
        <v>40</v>
      </c>
      <c r="AG871" s="9">
        <v>1800000</v>
      </c>
      <c r="AH871" s="11">
        <f>_xlfn.XLOOKUP(B871,[1]Sheet1!$B:$B,[1]Sheet1!$AB:$AB,0)</f>
        <v>1800000</v>
      </c>
    </row>
    <row r="872" spans="2:34" ht="16.8" thickTop="1" thickBot="1" x14ac:dyDescent="0.35">
      <c r="B872" s="3" t="str">
        <f t="shared" si="28"/>
        <v>45150104511001134Mission &amp; Travel-N1423821200104</v>
      </c>
      <c r="C872" s="6" t="s">
        <v>1093</v>
      </c>
      <c r="D872" s="6" t="s">
        <v>1371</v>
      </c>
      <c r="E872" s="6" t="s">
        <v>1372</v>
      </c>
      <c r="F872" s="6" t="s">
        <v>472</v>
      </c>
      <c r="G872" s="4" t="s">
        <v>2805</v>
      </c>
      <c r="H872" s="4" t="s">
        <v>2922</v>
      </c>
      <c r="I872" s="6" t="s">
        <v>55</v>
      </c>
      <c r="J872" s="6" t="s">
        <v>31</v>
      </c>
      <c r="K872" s="12">
        <f>_xlfn.XLOOKUP(B872,[1]Sheet1!$B:$B,[1]Sheet1!$N:$N,0)</f>
        <v>0</v>
      </c>
      <c r="L872" s="12">
        <f>_xlfn.XLOOKUP(B872,[1]Sheet1!$B:$B,[1]Sheet1!$O:$O,0)</f>
        <v>0</v>
      </c>
      <c r="M872" s="12">
        <f>_xlfn.XLOOKUP(B872,[1]Sheet1!$B:$B,[1]Sheet1!$P:$P,0)</f>
        <v>0</v>
      </c>
      <c r="N872" s="12">
        <f>_xlfn.XLOOKUP(B872,[1]Sheet1!$B:$B,[1]Sheet1!$Q:$Q,0)</f>
        <v>0</v>
      </c>
      <c r="O872" s="12">
        <f>_xlfn.XLOOKUP(B872,[1]Sheet1!$B:$B,[1]Sheet1!$R:$R,0)</f>
        <v>0</v>
      </c>
      <c r="P872" s="12">
        <f>_xlfn.XLOOKUP(B872,[1]Sheet1!$B:$B,[1]Sheet1!$S:$S,0)</f>
        <v>0</v>
      </c>
      <c r="Q872" s="12">
        <f>_xlfn.XLOOKUP(B872,[1]Sheet1!$B:$B,[1]Sheet1!$T:$T,0)</f>
        <v>0</v>
      </c>
      <c r="R872" s="12">
        <f>_xlfn.XLOOKUP(B872,[1]Sheet1!$B:$B,[1]Sheet1!$U:$U,0)</f>
        <v>0</v>
      </c>
      <c r="S872" s="12">
        <f>_xlfn.XLOOKUP(B872,[1]Sheet1!$B:$B,[1]Sheet1!$V:$V,0)</f>
        <v>0</v>
      </c>
      <c r="T872" s="12">
        <f>_xlfn.XLOOKUP(B872,[1]Sheet1!$B:$B,[1]Sheet1!$W:$W,0)</f>
        <v>0</v>
      </c>
      <c r="U872" s="12">
        <f>_xlfn.XLOOKUP(B872,[1]Sheet1!$B:$B,[1]Sheet1!$X:$X,0)</f>
        <v>93610</v>
      </c>
      <c r="V872" s="12">
        <f>_xlfn.XLOOKUP(B872,[1]Sheet1!$B:$B,[1]Sheet1!$Y:$Y,0)</f>
        <v>76390</v>
      </c>
      <c r="W872" s="12">
        <f t="shared" si="29"/>
        <v>170000</v>
      </c>
      <c r="X872" s="6" t="s">
        <v>1120</v>
      </c>
      <c r="Y872" s="6" t="s">
        <v>211</v>
      </c>
      <c r="Z872" s="6" t="s">
        <v>1092</v>
      </c>
      <c r="AA872" s="6" t="s">
        <v>55</v>
      </c>
      <c r="AB872" s="6" t="s">
        <v>36</v>
      </c>
      <c r="AC872" s="6" t="s">
        <v>37</v>
      </c>
      <c r="AD872" s="6" t="s">
        <v>342</v>
      </c>
      <c r="AE872" s="6" t="s">
        <v>39</v>
      </c>
      <c r="AF872" s="6" t="s">
        <v>40</v>
      </c>
      <c r="AG872" s="7">
        <v>170000</v>
      </c>
      <c r="AH872" s="11">
        <f>_xlfn.XLOOKUP(B872,[1]Sheet1!$B:$B,[1]Sheet1!$AB:$AB,0)</f>
        <v>170000</v>
      </c>
    </row>
    <row r="873" spans="2:34" ht="16.8" thickTop="1" thickBot="1" x14ac:dyDescent="0.35">
      <c r="B873" s="3" t="str">
        <f t="shared" si="28"/>
        <v>45155004511001136Event Management-N422401200104</v>
      </c>
      <c r="C873" s="8" t="s">
        <v>513</v>
      </c>
      <c r="D873" s="8" t="s">
        <v>1376</v>
      </c>
      <c r="E873" s="8" t="s">
        <v>1377</v>
      </c>
      <c r="F873" s="8" t="s">
        <v>162</v>
      </c>
      <c r="G873" s="4" t="s">
        <v>2807</v>
      </c>
      <c r="H873" s="4" t="s">
        <v>2922</v>
      </c>
      <c r="I873" s="8" t="s">
        <v>63</v>
      </c>
      <c r="J873" s="8" t="s">
        <v>31</v>
      </c>
      <c r="K873" s="12">
        <f>_xlfn.XLOOKUP(B873,[1]Sheet1!$B:$B,[1]Sheet1!$N:$N,0)</f>
        <v>0</v>
      </c>
      <c r="L873" s="12">
        <f>_xlfn.XLOOKUP(B873,[1]Sheet1!$B:$B,[1]Sheet1!$O:$O,0)</f>
        <v>0</v>
      </c>
      <c r="M873" s="12">
        <f>_xlfn.XLOOKUP(B873,[1]Sheet1!$B:$B,[1]Sheet1!$P:$P,0)</f>
        <v>88324364</v>
      </c>
      <c r="N873" s="12">
        <f>_xlfn.XLOOKUP(B873,[1]Sheet1!$B:$B,[1]Sheet1!$Q:$Q,0)</f>
        <v>0</v>
      </c>
      <c r="O873" s="12">
        <f>_xlfn.XLOOKUP(B873,[1]Sheet1!$B:$B,[1]Sheet1!$R:$R,0)</f>
        <v>809100</v>
      </c>
      <c r="P873" s="12">
        <f>_xlfn.XLOOKUP(B873,[1]Sheet1!$B:$B,[1]Sheet1!$S:$S,0)</f>
        <v>0</v>
      </c>
      <c r="Q873" s="12">
        <f>_xlfn.XLOOKUP(B873,[1]Sheet1!$B:$B,[1]Sheet1!$T:$T,0)</f>
        <v>0</v>
      </c>
      <c r="R873" s="12">
        <f>_xlfn.XLOOKUP(B873,[1]Sheet1!$B:$B,[1]Sheet1!$U:$U,0)</f>
        <v>0</v>
      </c>
      <c r="S873" s="12">
        <f>_xlfn.XLOOKUP(B873,[1]Sheet1!$B:$B,[1]Sheet1!$V:$V,0)</f>
        <v>0</v>
      </c>
      <c r="T873" s="12">
        <f>_xlfn.XLOOKUP(B873,[1]Sheet1!$B:$B,[1]Sheet1!$W:$W,0)</f>
        <v>3463923.23</v>
      </c>
      <c r="U873" s="12">
        <f>_xlfn.XLOOKUP(B873,[1]Sheet1!$B:$B,[1]Sheet1!$X:$X,0)</f>
        <v>0</v>
      </c>
      <c r="V873" s="12">
        <f>_xlfn.XLOOKUP(B873,[1]Sheet1!$B:$B,[1]Sheet1!$Y:$Y,0)</f>
        <v>3666731.3999999901</v>
      </c>
      <c r="W873" s="12">
        <f t="shared" si="29"/>
        <v>96264118.629999995</v>
      </c>
      <c r="X873" s="8" t="s">
        <v>524</v>
      </c>
      <c r="Y873" s="8" t="s">
        <v>211</v>
      </c>
      <c r="Z873" s="8" t="s">
        <v>512</v>
      </c>
      <c r="AA873" s="8" t="s">
        <v>68</v>
      </c>
      <c r="AB873" s="8" t="s">
        <v>36</v>
      </c>
      <c r="AC873" s="8" t="s">
        <v>37</v>
      </c>
      <c r="AD873" s="8" t="s">
        <v>342</v>
      </c>
      <c r="AE873" s="8" t="s">
        <v>39</v>
      </c>
      <c r="AF873" s="8" t="s">
        <v>40</v>
      </c>
      <c r="AG873" s="9">
        <v>96264119</v>
      </c>
      <c r="AH873" s="11">
        <f>_xlfn.XLOOKUP(B873,[1]Sheet1!$B:$B,[1]Sheet1!$AB:$AB,0)</f>
        <v>96264118.629999995</v>
      </c>
    </row>
    <row r="874" spans="2:34" ht="16.8" thickTop="1" thickBot="1" x14ac:dyDescent="0.35">
      <c r="B874" s="3" t="str">
        <f t="shared" si="28"/>
        <v>45181134511001137Freelancers-N1424521200104</v>
      </c>
      <c r="C874" s="6" t="s">
        <v>1382</v>
      </c>
      <c r="D874" s="6" t="s">
        <v>1378</v>
      </c>
      <c r="E874" s="6" t="s">
        <v>1379</v>
      </c>
      <c r="F874" s="6" t="s">
        <v>303</v>
      </c>
      <c r="G874" s="4" t="s">
        <v>2804</v>
      </c>
      <c r="H874" s="4" t="s">
        <v>2922</v>
      </c>
      <c r="I874" s="6" t="s">
        <v>51</v>
      </c>
      <c r="J874" s="6" t="s">
        <v>31</v>
      </c>
      <c r="K874" s="12">
        <f>_xlfn.XLOOKUP(B874,[1]Sheet1!$B:$B,[1]Sheet1!$N:$N,0)</f>
        <v>116167</v>
      </c>
      <c r="L874" s="12">
        <f>_xlfn.XLOOKUP(B874,[1]Sheet1!$B:$B,[1]Sheet1!$O:$O,0)</f>
        <v>210333</v>
      </c>
      <c r="M874" s="12">
        <f>_xlfn.XLOOKUP(B874,[1]Sheet1!$B:$B,[1]Sheet1!$P:$P,0)</f>
        <v>286500</v>
      </c>
      <c r="N874" s="12">
        <f>_xlfn.XLOOKUP(B874,[1]Sheet1!$B:$B,[1]Sheet1!$Q:$Q,0)</f>
        <v>0</v>
      </c>
      <c r="O874" s="12">
        <f>_xlfn.XLOOKUP(B874,[1]Sheet1!$B:$B,[1]Sheet1!$R:$R,0)</f>
        <v>69000</v>
      </c>
      <c r="P874" s="12">
        <f>_xlfn.XLOOKUP(B874,[1]Sheet1!$B:$B,[1]Sheet1!$S:$S,0)</f>
        <v>239000</v>
      </c>
      <c r="Q874" s="12">
        <f>_xlfn.XLOOKUP(B874,[1]Sheet1!$B:$B,[1]Sheet1!$T:$T,0)</f>
        <v>98500</v>
      </c>
      <c r="R874" s="12">
        <f>_xlfn.XLOOKUP(B874,[1]Sheet1!$B:$B,[1]Sheet1!$U:$U,0)</f>
        <v>98500</v>
      </c>
      <c r="S874" s="12">
        <f>_xlfn.XLOOKUP(B874,[1]Sheet1!$B:$B,[1]Sheet1!$V:$V,0)</f>
        <v>358000</v>
      </c>
      <c r="T874" s="12">
        <f>_xlfn.XLOOKUP(B874,[1]Sheet1!$B:$B,[1]Sheet1!$W:$W,0)</f>
        <v>350000</v>
      </c>
      <c r="U874" s="12">
        <f>_xlfn.XLOOKUP(B874,[1]Sheet1!$B:$B,[1]Sheet1!$X:$X,0)</f>
        <v>231666</v>
      </c>
      <c r="V874" s="12">
        <f>_xlfn.XLOOKUP(B874,[1]Sheet1!$B:$B,[1]Sheet1!$Y:$Y,0)</f>
        <v>231667</v>
      </c>
      <c r="W874" s="12">
        <f t="shared" si="29"/>
        <v>2289333</v>
      </c>
      <c r="X874" s="6" t="s">
        <v>1380</v>
      </c>
      <c r="Y874" s="6" t="s">
        <v>33</v>
      </c>
      <c r="Z874" s="6" t="s">
        <v>1381</v>
      </c>
      <c r="AA874" s="6" t="s">
        <v>53</v>
      </c>
      <c r="AB874" s="6" t="s">
        <v>36</v>
      </c>
      <c r="AC874" s="6" t="s">
        <v>37</v>
      </c>
      <c r="AD874" s="6" t="s">
        <v>270</v>
      </c>
      <c r="AE874" s="6" t="s">
        <v>39</v>
      </c>
      <c r="AF874" s="6" t="s">
        <v>40</v>
      </c>
      <c r="AG874" s="7">
        <v>8960003</v>
      </c>
      <c r="AH874" s="11">
        <f>_xlfn.XLOOKUP(B874,[1]Sheet1!$B:$B,[1]Sheet1!$AB:$AB,0)</f>
        <v>8960003</v>
      </c>
    </row>
    <row r="875" spans="2:34" ht="16.8" thickTop="1" thickBot="1" x14ac:dyDescent="0.35">
      <c r="B875" s="3" t="str">
        <f t="shared" si="28"/>
        <v>45181134511001137Strategy Advice-N421123200104</v>
      </c>
      <c r="C875" s="8" t="s">
        <v>1382</v>
      </c>
      <c r="D875" s="8" t="s">
        <v>1378</v>
      </c>
      <c r="E875" s="8" t="s">
        <v>1379</v>
      </c>
      <c r="F875" s="8" t="s">
        <v>236</v>
      </c>
      <c r="G875" s="4" t="s">
        <v>2827</v>
      </c>
      <c r="H875" s="4" t="s">
        <v>2922</v>
      </c>
      <c r="I875" s="8" t="s">
        <v>237</v>
      </c>
      <c r="J875" s="8" t="s">
        <v>31</v>
      </c>
      <c r="K875" s="12">
        <f>_xlfn.XLOOKUP(B875,[1]Sheet1!$B:$B,[1]Sheet1!$N:$N,0)</f>
        <v>0</v>
      </c>
      <c r="L875" s="12">
        <f>_xlfn.XLOOKUP(B875,[1]Sheet1!$B:$B,[1]Sheet1!$O:$O,0)</f>
        <v>0</v>
      </c>
      <c r="M875" s="12">
        <f>_xlfn.XLOOKUP(B875,[1]Sheet1!$B:$B,[1]Sheet1!$P:$P,0)</f>
        <v>0</v>
      </c>
      <c r="N875" s="12">
        <f>_xlfn.XLOOKUP(B875,[1]Sheet1!$B:$B,[1]Sheet1!$Q:$Q,0)</f>
        <v>6108462</v>
      </c>
      <c r="O875" s="12">
        <f>_xlfn.XLOOKUP(B875,[1]Sheet1!$B:$B,[1]Sheet1!$R:$R,0)</f>
        <v>59909</v>
      </c>
      <c r="P875" s="12">
        <f>_xlfn.XLOOKUP(B875,[1]Sheet1!$B:$B,[1]Sheet1!$S:$S,0)</f>
        <v>59909</v>
      </c>
      <c r="Q875" s="12">
        <f>_xlfn.XLOOKUP(B875,[1]Sheet1!$B:$B,[1]Sheet1!$T:$T,0)</f>
        <v>59909</v>
      </c>
      <c r="R875" s="12">
        <f>_xlfn.XLOOKUP(B875,[1]Sheet1!$B:$B,[1]Sheet1!$U:$U,0)</f>
        <v>0</v>
      </c>
      <c r="S875" s="12">
        <f>_xlfn.XLOOKUP(B875,[1]Sheet1!$B:$B,[1]Sheet1!$V:$V,0)</f>
        <v>0</v>
      </c>
      <c r="T875" s="12">
        <f>_xlfn.XLOOKUP(B875,[1]Sheet1!$B:$B,[1]Sheet1!$W:$W,0)</f>
        <v>0</v>
      </c>
      <c r="U875" s="12">
        <f>_xlfn.XLOOKUP(B875,[1]Sheet1!$B:$B,[1]Sheet1!$X:$X,0)</f>
        <v>0</v>
      </c>
      <c r="V875" s="12">
        <f>_xlfn.XLOOKUP(B875,[1]Sheet1!$B:$B,[1]Sheet1!$Y:$Y,0)</f>
        <v>0</v>
      </c>
      <c r="W875" s="12">
        <f t="shared" si="29"/>
        <v>6288189</v>
      </c>
      <c r="X875" s="8" t="s">
        <v>1383</v>
      </c>
      <c r="Y875" s="8" t="s">
        <v>33</v>
      </c>
      <c r="Z875" s="8" t="s">
        <v>1381</v>
      </c>
      <c r="AA875" s="8" t="s">
        <v>237</v>
      </c>
      <c r="AB875" s="8" t="s">
        <v>36</v>
      </c>
      <c r="AC875" s="8" t="s">
        <v>37</v>
      </c>
      <c r="AD875" s="8" t="s">
        <v>270</v>
      </c>
      <c r="AE875" s="8" t="s">
        <v>39</v>
      </c>
      <c r="AF875" s="8" t="s">
        <v>40</v>
      </c>
      <c r="AG875" s="9">
        <v>6288189</v>
      </c>
      <c r="AH875" s="11">
        <f>_xlfn.XLOOKUP(B875,[1]Sheet1!$B:$B,[1]Sheet1!$AB:$AB,0)</f>
        <v>6288189</v>
      </c>
    </row>
    <row r="876" spans="2:34" ht="16.8" thickTop="1" thickBot="1" x14ac:dyDescent="0.35">
      <c r="B876" s="3" t="str">
        <f t="shared" si="28"/>
        <v>45181134511001141Event Management-N422401200104</v>
      </c>
      <c r="C876" s="6" t="s">
        <v>1382</v>
      </c>
      <c r="D876" s="6" t="s">
        <v>1384</v>
      </c>
      <c r="E876" s="6" t="s">
        <v>1385</v>
      </c>
      <c r="F876" s="6" t="s">
        <v>162</v>
      </c>
      <c r="G876" s="4" t="s">
        <v>2807</v>
      </c>
      <c r="H876" s="4" t="s">
        <v>2922</v>
      </c>
      <c r="I876" s="6" t="s">
        <v>63</v>
      </c>
      <c r="J876" s="6" t="s">
        <v>31</v>
      </c>
      <c r="K876" s="12">
        <f>_xlfn.XLOOKUP(B876,[1]Sheet1!$B:$B,[1]Sheet1!$N:$N,0)</f>
        <v>0</v>
      </c>
      <c r="L876" s="12">
        <f>_xlfn.XLOOKUP(B876,[1]Sheet1!$B:$B,[1]Sheet1!$O:$O,0)</f>
        <v>0</v>
      </c>
      <c r="M876" s="12">
        <f>_xlfn.XLOOKUP(B876,[1]Sheet1!$B:$B,[1]Sheet1!$P:$P,0)</f>
        <v>0</v>
      </c>
      <c r="N876" s="12">
        <f>_xlfn.XLOOKUP(B876,[1]Sheet1!$B:$B,[1]Sheet1!$Q:$Q,0)</f>
        <v>660110</v>
      </c>
      <c r="O876" s="12">
        <f>_xlfn.XLOOKUP(B876,[1]Sheet1!$B:$B,[1]Sheet1!$R:$R,0)</f>
        <v>50000</v>
      </c>
      <c r="P876" s="12">
        <f>_xlfn.XLOOKUP(B876,[1]Sheet1!$B:$B,[1]Sheet1!$S:$S,0)</f>
        <v>50000</v>
      </c>
      <c r="Q876" s="12">
        <f>_xlfn.XLOOKUP(B876,[1]Sheet1!$B:$B,[1]Sheet1!$T:$T,0)</f>
        <v>50000</v>
      </c>
      <c r="R876" s="12">
        <f>_xlfn.XLOOKUP(B876,[1]Sheet1!$B:$B,[1]Sheet1!$U:$U,0)</f>
        <v>1100000</v>
      </c>
      <c r="S876" s="12">
        <f>_xlfn.XLOOKUP(B876,[1]Sheet1!$B:$B,[1]Sheet1!$V:$V,0)</f>
        <v>50000</v>
      </c>
      <c r="T876" s="12">
        <f>_xlfn.XLOOKUP(B876,[1]Sheet1!$B:$B,[1]Sheet1!$W:$W,0)</f>
        <v>3805382</v>
      </c>
      <c r="U876" s="12">
        <f>_xlfn.XLOOKUP(B876,[1]Sheet1!$B:$B,[1]Sheet1!$X:$X,0)</f>
        <v>1804922</v>
      </c>
      <c r="V876" s="12">
        <f>_xlfn.XLOOKUP(B876,[1]Sheet1!$B:$B,[1]Sheet1!$Y:$Y,0)</f>
        <v>99890</v>
      </c>
      <c r="W876" s="12">
        <f t="shared" si="29"/>
        <v>7670304</v>
      </c>
      <c r="X876" s="6" t="s">
        <v>1386</v>
      </c>
      <c r="Y876" s="6" t="s">
        <v>33</v>
      </c>
      <c r="Z876" s="6" t="s">
        <v>1381</v>
      </c>
      <c r="AA876" s="6" t="s">
        <v>68</v>
      </c>
      <c r="AB876" s="6" t="s">
        <v>36</v>
      </c>
      <c r="AC876" s="6" t="s">
        <v>37</v>
      </c>
      <c r="AD876" s="6" t="s">
        <v>270</v>
      </c>
      <c r="AE876" s="6" t="s">
        <v>39</v>
      </c>
      <c r="AF876" s="6" t="s">
        <v>40</v>
      </c>
      <c r="AG876" s="7">
        <v>7339779</v>
      </c>
      <c r="AH876" s="11">
        <f>_xlfn.XLOOKUP(B876,[1]Sheet1!$B:$B,[1]Sheet1!$AB:$AB,0)</f>
        <v>7339779</v>
      </c>
    </row>
    <row r="877" spans="2:34" ht="16.8" thickTop="1" thickBot="1" x14ac:dyDescent="0.35">
      <c r="B877" s="3" t="str">
        <f t="shared" si="28"/>
        <v>45181134511001143Concept Develop-N423411200104</v>
      </c>
      <c r="C877" s="8" t="s">
        <v>1382</v>
      </c>
      <c r="D877" s="8" t="s">
        <v>1387</v>
      </c>
      <c r="E877" s="8" t="s">
        <v>1388</v>
      </c>
      <c r="F877" s="8" t="s">
        <v>378</v>
      </c>
      <c r="G877" s="4" t="s">
        <v>2833</v>
      </c>
      <c r="H877" s="4" t="s">
        <v>2922</v>
      </c>
      <c r="I877" s="8" t="s">
        <v>330</v>
      </c>
      <c r="J877" s="8" t="s">
        <v>31</v>
      </c>
      <c r="K877" s="12">
        <f>_xlfn.XLOOKUP(B877,[1]Sheet1!$B:$B,[1]Sheet1!$N:$N,0)</f>
        <v>0</v>
      </c>
      <c r="L877" s="12" t="str">
        <f>_xlfn.XLOOKUP(B877,[1]Sheet1!$B:$B,[1]Sheet1!$O:$O,0)</f>
        <v>-</v>
      </c>
      <c r="M877" s="12">
        <f>_xlfn.XLOOKUP(B877,[1]Sheet1!$B:$B,[1]Sheet1!$P:$P,0)</f>
        <v>3672500</v>
      </c>
      <c r="N877" s="12">
        <f>_xlfn.XLOOKUP(B877,[1]Sheet1!$B:$B,[1]Sheet1!$Q:$Q,0)</f>
        <v>223370</v>
      </c>
      <c r="O877" s="12">
        <f>_xlfn.XLOOKUP(B877,[1]Sheet1!$B:$B,[1]Sheet1!$R:$R,0)</f>
        <v>0</v>
      </c>
      <c r="P877" s="12">
        <f>_xlfn.XLOOKUP(B877,[1]Sheet1!$B:$B,[1]Sheet1!$S:$S,0)</f>
        <v>0</v>
      </c>
      <c r="Q877" s="12">
        <f>_xlfn.XLOOKUP(B877,[1]Sheet1!$B:$B,[1]Sheet1!$T:$T,0)</f>
        <v>3672500</v>
      </c>
      <c r="R877" s="12">
        <f>_xlfn.XLOOKUP(B877,[1]Sheet1!$B:$B,[1]Sheet1!$U:$U,0)</f>
        <v>0</v>
      </c>
      <c r="S877" s="12">
        <f>_xlfn.XLOOKUP(B877,[1]Sheet1!$B:$B,[1]Sheet1!$V:$V,0)</f>
        <v>223370</v>
      </c>
      <c r="T877" s="12">
        <f>_xlfn.XLOOKUP(B877,[1]Sheet1!$B:$B,[1]Sheet1!$W:$W,0)</f>
        <v>0</v>
      </c>
      <c r="U877" s="12">
        <f>_xlfn.XLOOKUP(B877,[1]Sheet1!$B:$B,[1]Sheet1!$X:$X,0)</f>
        <v>951630</v>
      </c>
      <c r="V877" s="12">
        <f>_xlfn.XLOOKUP(B877,[1]Sheet1!$B:$B,[1]Sheet1!$Y:$Y,0)</f>
        <v>0</v>
      </c>
      <c r="W877" s="12">
        <f t="shared" si="29"/>
        <v>8743370</v>
      </c>
      <c r="X877" s="8" t="s">
        <v>1389</v>
      </c>
      <c r="Y877" s="8" t="s">
        <v>33</v>
      </c>
      <c r="Z877" s="8" t="s">
        <v>1381</v>
      </c>
      <c r="AA877" s="8" t="s">
        <v>330</v>
      </c>
      <c r="AB877" s="8" t="s">
        <v>36</v>
      </c>
      <c r="AC877" s="8" t="s">
        <v>37</v>
      </c>
      <c r="AD877" s="8" t="s">
        <v>270</v>
      </c>
      <c r="AE877" s="8" t="s">
        <v>39</v>
      </c>
      <c r="AF877" s="8" t="s">
        <v>40</v>
      </c>
      <c r="AG877" s="9">
        <v>8743370</v>
      </c>
      <c r="AH877" s="11">
        <f>_xlfn.XLOOKUP(B877,[1]Sheet1!$B:$B,[1]Sheet1!$AB:$AB,0)</f>
        <v>8743370</v>
      </c>
    </row>
    <row r="878" spans="2:34" ht="16.8" thickTop="1" thickBot="1" x14ac:dyDescent="0.35">
      <c r="B878" s="3" t="str">
        <f t="shared" si="28"/>
        <v>45181134511001143Event Management-N422401200104</v>
      </c>
      <c r="C878" s="6" t="s">
        <v>1382</v>
      </c>
      <c r="D878" s="6" t="s">
        <v>1387</v>
      </c>
      <c r="E878" s="6" t="s">
        <v>1388</v>
      </c>
      <c r="F878" s="6" t="s">
        <v>162</v>
      </c>
      <c r="G878" s="4" t="s">
        <v>2807</v>
      </c>
      <c r="H878" s="4" t="s">
        <v>2922</v>
      </c>
      <c r="I878" s="6" t="s">
        <v>63</v>
      </c>
      <c r="J878" s="6" t="s">
        <v>31</v>
      </c>
      <c r="K878" s="12">
        <f>_xlfn.XLOOKUP(B878,[1]Sheet1!$B:$B,[1]Sheet1!$N:$N,0)</f>
        <v>0</v>
      </c>
      <c r="L878" s="12">
        <f>_xlfn.XLOOKUP(B878,[1]Sheet1!$B:$B,[1]Sheet1!$O:$O,0)</f>
        <v>0</v>
      </c>
      <c r="M878" s="12">
        <f>_xlfn.XLOOKUP(B878,[1]Sheet1!$B:$B,[1]Sheet1!$P:$P,0)</f>
        <v>22800</v>
      </c>
      <c r="N878" s="12">
        <f>_xlfn.XLOOKUP(B878,[1]Sheet1!$B:$B,[1]Sheet1!$Q:$Q,0)</f>
        <v>16800</v>
      </c>
      <c r="O878" s="12">
        <f>_xlfn.XLOOKUP(B878,[1]Sheet1!$B:$B,[1]Sheet1!$R:$R,0)</f>
        <v>25000</v>
      </c>
      <c r="P878" s="12">
        <f>_xlfn.XLOOKUP(B878,[1]Sheet1!$B:$B,[1]Sheet1!$S:$S,0)</f>
        <v>25000</v>
      </c>
      <c r="Q878" s="12">
        <f>_xlfn.XLOOKUP(B878,[1]Sheet1!$B:$B,[1]Sheet1!$T:$T,0)</f>
        <v>25000</v>
      </c>
      <c r="R878" s="12">
        <f>_xlfn.XLOOKUP(B878,[1]Sheet1!$B:$B,[1]Sheet1!$U:$U,0)</f>
        <v>25000</v>
      </c>
      <c r="S878" s="12">
        <f>_xlfn.XLOOKUP(B878,[1]Sheet1!$B:$B,[1]Sheet1!$V:$V,0)</f>
        <v>25000</v>
      </c>
      <c r="T878" s="12">
        <f>_xlfn.XLOOKUP(B878,[1]Sheet1!$B:$B,[1]Sheet1!$W:$W,0)</f>
        <v>770000</v>
      </c>
      <c r="U878" s="12">
        <f>_xlfn.XLOOKUP(B878,[1]Sheet1!$B:$B,[1]Sheet1!$X:$X,0)</f>
        <v>1037698</v>
      </c>
      <c r="V878" s="12">
        <f>_xlfn.XLOOKUP(B878,[1]Sheet1!$B:$B,[1]Sheet1!$Y:$Y,0)</f>
        <v>0</v>
      </c>
      <c r="W878" s="12">
        <f t="shared" si="29"/>
        <v>1972298</v>
      </c>
      <c r="X878" s="6" t="s">
        <v>1386</v>
      </c>
      <c r="Y878" s="6" t="s">
        <v>33</v>
      </c>
      <c r="Z878" s="6" t="s">
        <v>1381</v>
      </c>
      <c r="AA878" s="6" t="s">
        <v>68</v>
      </c>
      <c r="AB878" s="6" t="s">
        <v>36</v>
      </c>
      <c r="AC878" s="6" t="s">
        <v>37</v>
      </c>
      <c r="AD878" s="6" t="s">
        <v>270</v>
      </c>
      <c r="AE878" s="6" t="s">
        <v>39</v>
      </c>
      <c r="AF878" s="6" t="s">
        <v>40</v>
      </c>
      <c r="AG878" s="7">
        <v>408783.6</v>
      </c>
      <c r="AH878" s="11">
        <f>_xlfn.XLOOKUP(B878,[1]Sheet1!$B:$B,[1]Sheet1!$AB:$AB,0)</f>
        <v>408784</v>
      </c>
    </row>
    <row r="879" spans="2:34" ht="16.8" thickTop="1" thickBot="1" x14ac:dyDescent="0.35">
      <c r="B879" s="3" t="str">
        <f t="shared" si="28"/>
        <v>45181134511001143Hospitality-N424761200104</v>
      </c>
      <c r="C879" s="8" t="s">
        <v>1382</v>
      </c>
      <c r="D879" s="8" t="s">
        <v>1387</v>
      </c>
      <c r="E879" s="8" t="s">
        <v>1388</v>
      </c>
      <c r="F879" s="8" t="s">
        <v>83</v>
      </c>
      <c r="G879" s="4" t="s">
        <v>2811</v>
      </c>
      <c r="H879" s="4" t="s">
        <v>2922</v>
      </c>
      <c r="I879" s="8" t="s">
        <v>84</v>
      </c>
      <c r="J879" s="8" t="s">
        <v>31</v>
      </c>
      <c r="K879" s="12">
        <f>_xlfn.XLOOKUP(B879,[1]Sheet1!$B:$B,[1]Sheet1!$N:$N,0)</f>
        <v>0</v>
      </c>
      <c r="L879" s="12">
        <f>_xlfn.XLOOKUP(B879,[1]Sheet1!$B:$B,[1]Sheet1!$O:$O,0)</f>
        <v>0</v>
      </c>
      <c r="M879" s="12">
        <f>_xlfn.XLOOKUP(B879,[1]Sheet1!$B:$B,[1]Sheet1!$P:$P,0)</f>
        <v>0</v>
      </c>
      <c r="N879" s="12">
        <f>_xlfn.XLOOKUP(B879,[1]Sheet1!$B:$B,[1]Sheet1!$Q:$Q,0)</f>
        <v>88400</v>
      </c>
      <c r="O879" s="12">
        <f>_xlfn.XLOOKUP(B879,[1]Sheet1!$B:$B,[1]Sheet1!$R:$R,0)</f>
        <v>0</v>
      </c>
      <c r="P879" s="12">
        <f>_xlfn.XLOOKUP(B879,[1]Sheet1!$B:$B,[1]Sheet1!$S:$S,0)</f>
        <v>0</v>
      </c>
      <c r="Q879" s="12">
        <f>_xlfn.XLOOKUP(B879,[1]Sheet1!$B:$B,[1]Sheet1!$T:$T,0)</f>
        <v>0</v>
      </c>
      <c r="R879" s="12">
        <f>_xlfn.XLOOKUP(B879,[1]Sheet1!$B:$B,[1]Sheet1!$U:$U,0)</f>
        <v>0</v>
      </c>
      <c r="S879" s="12">
        <f>_xlfn.XLOOKUP(B879,[1]Sheet1!$B:$B,[1]Sheet1!$V:$V,0)</f>
        <v>0</v>
      </c>
      <c r="T879" s="12">
        <f>_xlfn.XLOOKUP(B879,[1]Sheet1!$B:$B,[1]Sheet1!$W:$W,0)</f>
        <v>0</v>
      </c>
      <c r="U879" s="12">
        <f>_xlfn.XLOOKUP(B879,[1]Sheet1!$B:$B,[1]Sheet1!$X:$X,0)</f>
        <v>0</v>
      </c>
      <c r="V879" s="12">
        <f>_xlfn.XLOOKUP(B879,[1]Sheet1!$B:$B,[1]Sheet1!$Y:$Y,0)</f>
        <v>0</v>
      </c>
      <c r="W879" s="12">
        <f t="shared" si="29"/>
        <v>88400</v>
      </c>
      <c r="X879" s="8" t="s">
        <v>1390</v>
      </c>
      <c r="Y879" s="8" t="s">
        <v>33</v>
      </c>
      <c r="Z879" s="8" t="s">
        <v>1381</v>
      </c>
      <c r="AA879" s="8" t="s">
        <v>84</v>
      </c>
      <c r="AB879" s="8" t="s">
        <v>36</v>
      </c>
      <c r="AC879" s="8" t="s">
        <v>37</v>
      </c>
      <c r="AD879" s="8" t="s">
        <v>270</v>
      </c>
      <c r="AE879" s="8" t="s">
        <v>39</v>
      </c>
      <c r="AF879" s="8" t="s">
        <v>40</v>
      </c>
      <c r="AG879" s="9">
        <v>143690</v>
      </c>
      <c r="AH879" s="11">
        <f>_xlfn.XLOOKUP(B879,[1]Sheet1!$B:$B,[1]Sheet1!$AB:$AB,0)</f>
        <v>143690</v>
      </c>
    </row>
    <row r="880" spans="2:34" ht="16.8" thickTop="1" thickBot="1" x14ac:dyDescent="0.35">
      <c r="B880" s="3" t="str">
        <f t="shared" si="28"/>
        <v>45181134511001144Admin Expenses-N421125200104</v>
      </c>
      <c r="C880" s="6" t="s">
        <v>1382</v>
      </c>
      <c r="D880" s="6" t="s">
        <v>1391</v>
      </c>
      <c r="E880" s="6" t="s">
        <v>1392</v>
      </c>
      <c r="F880" s="6" t="s">
        <v>130</v>
      </c>
      <c r="G880" s="4" t="s">
        <v>2803</v>
      </c>
      <c r="H880" s="4" t="s">
        <v>2922</v>
      </c>
      <c r="I880" s="6" t="s">
        <v>44</v>
      </c>
      <c r="J880" s="6" t="s">
        <v>31</v>
      </c>
      <c r="K880" s="12">
        <f>_xlfn.XLOOKUP(B880,[1]Sheet1!$B:$B,[1]Sheet1!$N:$N,0)</f>
        <v>0</v>
      </c>
      <c r="L880" s="12">
        <f>_xlfn.XLOOKUP(B880,[1]Sheet1!$B:$B,[1]Sheet1!$O:$O,0)</f>
        <v>0</v>
      </c>
      <c r="M880" s="12">
        <f>_xlfn.XLOOKUP(B880,[1]Sheet1!$B:$B,[1]Sheet1!$P:$P,0)</f>
        <v>2330</v>
      </c>
      <c r="N880" s="12">
        <f>_xlfn.XLOOKUP(B880,[1]Sheet1!$B:$B,[1]Sheet1!$Q:$Q,0)</f>
        <v>105670</v>
      </c>
      <c r="O880" s="12">
        <f>_xlfn.XLOOKUP(B880,[1]Sheet1!$B:$B,[1]Sheet1!$R:$R,0)</f>
        <v>12000</v>
      </c>
      <c r="P880" s="12">
        <f>_xlfn.XLOOKUP(B880,[1]Sheet1!$B:$B,[1]Sheet1!$S:$S,0)</f>
        <v>12000</v>
      </c>
      <c r="Q880" s="12">
        <f>_xlfn.XLOOKUP(B880,[1]Sheet1!$B:$B,[1]Sheet1!$T:$T,0)</f>
        <v>12000</v>
      </c>
      <c r="R880" s="12">
        <f>_xlfn.XLOOKUP(B880,[1]Sheet1!$B:$B,[1]Sheet1!$U:$U,0)</f>
        <v>12000</v>
      </c>
      <c r="S880" s="12">
        <f>_xlfn.XLOOKUP(B880,[1]Sheet1!$B:$B,[1]Sheet1!$V:$V,0)</f>
        <v>12000</v>
      </c>
      <c r="T880" s="12">
        <f>_xlfn.XLOOKUP(B880,[1]Sheet1!$B:$B,[1]Sheet1!$W:$W,0)</f>
        <v>12000</v>
      </c>
      <c r="U880" s="12">
        <f>_xlfn.XLOOKUP(B880,[1]Sheet1!$B:$B,[1]Sheet1!$X:$X,0)</f>
        <v>12000</v>
      </c>
      <c r="V880" s="12">
        <f>_xlfn.XLOOKUP(B880,[1]Sheet1!$B:$B,[1]Sheet1!$Y:$Y,0)</f>
        <v>12000</v>
      </c>
      <c r="W880" s="12">
        <f t="shared" si="29"/>
        <v>204000</v>
      </c>
      <c r="X880" s="6" t="s">
        <v>1393</v>
      </c>
      <c r="Y880" s="6" t="s">
        <v>33</v>
      </c>
      <c r="Z880" s="6" t="s">
        <v>1381</v>
      </c>
      <c r="AA880" s="6" t="s">
        <v>44</v>
      </c>
      <c r="AB880" s="6" t="s">
        <v>36</v>
      </c>
      <c r="AC880" s="6" t="s">
        <v>37</v>
      </c>
      <c r="AD880" s="6" t="s">
        <v>270</v>
      </c>
      <c r="AE880" s="6" t="s">
        <v>39</v>
      </c>
      <c r="AF880" s="6" t="s">
        <v>40</v>
      </c>
      <c r="AG880" s="7">
        <v>204000</v>
      </c>
      <c r="AH880" s="11">
        <f>_xlfn.XLOOKUP(B880,[1]Sheet1!$B:$B,[1]Sheet1!$AB:$AB,0)</f>
        <v>204000</v>
      </c>
    </row>
    <row r="881" spans="2:34" ht="16.8" thickTop="1" thickBot="1" x14ac:dyDescent="0.35">
      <c r="B881" s="3" t="str">
        <f t="shared" si="28"/>
        <v>45181134511001144FeasibilityStudy-N424521200104</v>
      </c>
      <c r="C881" s="8" t="s">
        <v>1382</v>
      </c>
      <c r="D881" s="8" t="s">
        <v>1391</v>
      </c>
      <c r="E881" s="8" t="s">
        <v>1392</v>
      </c>
      <c r="F881" s="8" t="s">
        <v>792</v>
      </c>
      <c r="G881" s="4" t="s">
        <v>2804</v>
      </c>
      <c r="H881" s="4" t="s">
        <v>2922</v>
      </c>
      <c r="I881" s="8" t="s">
        <v>51</v>
      </c>
      <c r="J881" s="8" t="s">
        <v>31</v>
      </c>
      <c r="K881" s="12">
        <f>_xlfn.XLOOKUP(B881,[1]Sheet1!$B:$B,[1]Sheet1!$N:$N,0)</f>
        <v>0</v>
      </c>
      <c r="L881" s="12">
        <f>_xlfn.XLOOKUP(B881,[1]Sheet1!$B:$B,[1]Sheet1!$O:$O,0)</f>
        <v>0</v>
      </c>
      <c r="M881" s="12">
        <f>_xlfn.XLOOKUP(B881,[1]Sheet1!$B:$B,[1]Sheet1!$P:$P,0)</f>
        <v>0</v>
      </c>
      <c r="N881" s="12">
        <f>_xlfn.XLOOKUP(B881,[1]Sheet1!$B:$B,[1]Sheet1!$Q:$Q,0)</f>
        <v>2321666</v>
      </c>
      <c r="O881" s="12">
        <f>_xlfn.XLOOKUP(B881,[1]Sheet1!$B:$B,[1]Sheet1!$R:$R,0)</f>
        <v>2270833</v>
      </c>
      <c r="P881" s="12">
        <f>_xlfn.XLOOKUP(B881,[1]Sheet1!$B:$B,[1]Sheet1!$S:$S,0)</f>
        <v>3081458</v>
      </c>
      <c r="Q881" s="12">
        <f>_xlfn.XLOOKUP(B881,[1]Sheet1!$B:$B,[1]Sheet1!$T:$T,0)</f>
        <v>2270833</v>
      </c>
      <c r="R881" s="12">
        <f>_xlfn.XLOOKUP(B881,[1]Sheet1!$B:$B,[1]Sheet1!$U:$U,0)</f>
        <v>3081458</v>
      </c>
      <c r="S881" s="12">
        <f>_xlfn.XLOOKUP(B881,[1]Sheet1!$B:$B,[1]Sheet1!$V:$V,0)</f>
        <v>1185833</v>
      </c>
      <c r="T881" s="12">
        <f>_xlfn.XLOOKUP(B881,[1]Sheet1!$B:$B,[1]Sheet1!$W:$W,0)</f>
        <v>1996458</v>
      </c>
      <c r="U881" s="12">
        <f>_xlfn.XLOOKUP(B881,[1]Sheet1!$B:$B,[1]Sheet1!$X:$X,0)</f>
        <v>1320000</v>
      </c>
      <c r="V881" s="12">
        <f>_xlfn.XLOOKUP(B881,[1]Sheet1!$B:$B,[1]Sheet1!$Y:$Y,0)</f>
        <v>1400625</v>
      </c>
      <c r="W881" s="12">
        <f t="shared" si="29"/>
        <v>18929164</v>
      </c>
      <c r="X881" s="8" t="s">
        <v>1380</v>
      </c>
      <c r="Y881" s="8" t="s">
        <v>33</v>
      </c>
      <c r="Z881" s="8" t="s">
        <v>1381</v>
      </c>
      <c r="AA881" s="8" t="s">
        <v>53</v>
      </c>
      <c r="AB881" s="8" t="s">
        <v>36</v>
      </c>
      <c r="AC881" s="8" t="s">
        <v>37</v>
      </c>
      <c r="AD881" s="8" t="s">
        <v>270</v>
      </c>
      <c r="AE881" s="8" t="s">
        <v>39</v>
      </c>
      <c r="AF881" s="8" t="s">
        <v>40</v>
      </c>
      <c r="AG881" s="9">
        <v>12218894</v>
      </c>
      <c r="AH881" s="11">
        <f>_xlfn.XLOOKUP(B881,[1]Sheet1!$B:$B,[1]Sheet1!$AB:$AB,0)</f>
        <v>12218894</v>
      </c>
    </row>
    <row r="882" spans="2:34" ht="16.8" thickTop="1" thickBot="1" x14ac:dyDescent="0.35">
      <c r="B882" s="3" t="str">
        <f t="shared" si="28"/>
        <v>45181134511001144Furniture-N491711300105</v>
      </c>
      <c r="C882" s="6" t="s">
        <v>1382</v>
      </c>
      <c r="D882" s="6" t="s">
        <v>1391</v>
      </c>
      <c r="E882" s="6" t="s">
        <v>1392</v>
      </c>
      <c r="F882" s="6" t="s">
        <v>1394</v>
      </c>
      <c r="G882" s="4" t="s">
        <v>2854</v>
      </c>
      <c r="H882" s="4" t="s">
        <v>2923</v>
      </c>
      <c r="I882" s="6" t="s">
        <v>639</v>
      </c>
      <c r="J882" s="6" t="s">
        <v>31</v>
      </c>
      <c r="K882" s="12">
        <f>_xlfn.XLOOKUP(B882,[1]Sheet1!$B:$B,[1]Sheet1!$N:$N,0)</f>
        <v>0</v>
      </c>
      <c r="L882" s="12">
        <f>_xlfn.XLOOKUP(B882,[1]Sheet1!$B:$B,[1]Sheet1!$O:$O,0)</f>
        <v>0</v>
      </c>
      <c r="M882" s="12">
        <f>_xlfn.XLOOKUP(B882,[1]Sheet1!$B:$B,[1]Sheet1!$P:$P,0)</f>
        <v>0</v>
      </c>
      <c r="N882" s="12">
        <f>_xlfn.XLOOKUP(B882,[1]Sheet1!$B:$B,[1]Sheet1!$Q:$Q,0)</f>
        <v>115791</v>
      </c>
      <c r="O882" s="12">
        <f>_xlfn.XLOOKUP(B882,[1]Sheet1!$B:$B,[1]Sheet1!$R:$R,0)</f>
        <v>0</v>
      </c>
      <c r="P882" s="12">
        <f>_xlfn.XLOOKUP(B882,[1]Sheet1!$B:$B,[1]Sheet1!$S:$S,0)</f>
        <v>500000</v>
      </c>
      <c r="Q882" s="12">
        <f>_xlfn.XLOOKUP(B882,[1]Sheet1!$B:$B,[1]Sheet1!$T:$T,0)</f>
        <v>0</v>
      </c>
      <c r="R882" s="12">
        <f>_xlfn.XLOOKUP(B882,[1]Sheet1!$B:$B,[1]Sheet1!$U:$U,0)</f>
        <v>500000</v>
      </c>
      <c r="S882" s="12">
        <f>_xlfn.XLOOKUP(B882,[1]Sheet1!$B:$B,[1]Sheet1!$V:$V,0)</f>
        <v>562104</v>
      </c>
      <c r="T882" s="12">
        <f>_xlfn.XLOOKUP(B882,[1]Sheet1!$B:$B,[1]Sheet1!$W:$W,0)</f>
        <v>0</v>
      </c>
      <c r="U882" s="12">
        <f>_xlfn.XLOOKUP(B882,[1]Sheet1!$B:$B,[1]Sheet1!$X:$X,0)</f>
        <v>0</v>
      </c>
      <c r="V882" s="12">
        <f>_xlfn.XLOOKUP(B882,[1]Sheet1!$B:$B,[1]Sheet1!$Y:$Y,0)</f>
        <v>562105</v>
      </c>
      <c r="W882" s="12">
        <f t="shared" si="29"/>
        <v>2240000</v>
      </c>
      <c r="X882" s="6" t="s">
        <v>1395</v>
      </c>
      <c r="Y882" s="6" t="s">
        <v>33</v>
      </c>
      <c r="Z882" s="6" t="s">
        <v>1381</v>
      </c>
      <c r="AA882" s="6" t="s">
        <v>639</v>
      </c>
      <c r="AB882" s="6" t="s">
        <v>93</v>
      </c>
      <c r="AC882" s="6" t="s">
        <v>94</v>
      </c>
      <c r="AD882" s="6" t="s">
        <v>1396</v>
      </c>
      <c r="AE882" s="6" t="s">
        <v>39</v>
      </c>
      <c r="AF882" s="6" t="s">
        <v>40</v>
      </c>
      <c r="AG882" s="7">
        <v>1716263</v>
      </c>
      <c r="AH882" s="11">
        <f>_xlfn.XLOOKUP(B882,[1]Sheet1!$B:$B,[1]Sheet1!$AB:$AB,0)</f>
        <v>1716263</v>
      </c>
    </row>
    <row r="883" spans="2:34" ht="16.8" thickTop="1" thickBot="1" x14ac:dyDescent="0.35">
      <c r="B883" s="3" t="str">
        <f t="shared" si="28"/>
        <v>45181134511001144Hospitality-N424761200104</v>
      </c>
      <c r="C883" s="8" t="s">
        <v>1382</v>
      </c>
      <c r="D883" s="8" t="s">
        <v>1391</v>
      </c>
      <c r="E883" s="8" t="s">
        <v>1392</v>
      </c>
      <c r="F883" s="8" t="s">
        <v>83</v>
      </c>
      <c r="G883" s="4" t="s">
        <v>2811</v>
      </c>
      <c r="H883" s="4" t="s">
        <v>2922</v>
      </c>
      <c r="I883" s="8" t="s">
        <v>84</v>
      </c>
      <c r="J883" s="8" t="s">
        <v>31</v>
      </c>
      <c r="K883" s="12">
        <f>_xlfn.XLOOKUP(B883,[1]Sheet1!$B:$B,[1]Sheet1!$N:$N,0)</f>
        <v>0</v>
      </c>
      <c r="L883" s="12">
        <f>_xlfn.XLOOKUP(B883,[1]Sheet1!$B:$B,[1]Sheet1!$O:$O,0)</f>
        <v>0</v>
      </c>
      <c r="M883" s="12">
        <f>_xlfn.XLOOKUP(B883,[1]Sheet1!$B:$B,[1]Sheet1!$P:$P,0)</f>
        <v>0</v>
      </c>
      <c r="N883" s="12">
        <f>_xlfn.XLOOKUP(B883,[1]Sheet1!$B:$B,[1]Sheet1!$Q:$Q,0)</f>
        <v>20000</v>
      </c>
      <c r="O883" s="12">
        <f>_xlfn.XLOOKUP(B883,[1]Sheet1!$B:$B,[1]Sheet1!$R:$R,0)</f>
        <v>10000</v>
      </c>
      <c r="P883" s="12">
        <f>_xlfn.XLOOKUP(B883,[1]Sheet1!$B:$B,[1]Sheet1!$S:$S,0)</f>
        <v>10000</v>
      </c>
      <c r="Q883" s="12">
        <f>_xlfn.XLOOKUP(B883,[1]Sheet1!$B:$B,[1]Sheet1!$T:$T,0)</f>
        <v>10000</v>
      </c>
      <c r="R883" s="12">
        <f>_xlfn.XLOOKUP(B883,[1]Sheet1!$B:$B,[1]Sheet1!$U:$U,0)</f>
        <v>10000</v>
      </c>
      <c r="S883" s="12">
        <f>_xlfn.XLOOKUP(B883,[1]Sheet1!$B:$B,[1]Sheet1!$V:$V,0)</f>
        <v>10000</v>
      </c>
      <c r="T883" s="12">
        <f>_xlfn.XLOOKUP(B883,[1]Sheet1!$B:$B,[1]Sheet1!$W:$W,0)</f>
        <v>10000</v>
      </c>
      <c r="U883" s="12">
        <f>_xlfn.XLOOKUP(B883,[1]Sheet1!$B:$B,[1]Sheet1!$X:$X,0)</f>
        <v>10000</v>
      </c>
      <c r="V883" s="12">
        <f>_xlfn.XLOOKUP(B883,[1]Sheet1!$B:$B,[1]Sheet1!$Y:$Y,0)</f>
        <v>10000</v>
      </c>
      <c r="W883" s="12">
        <f t="shared" si="29"/>
        <v>100000</v>
      </c>
      <c r="X883" s="8" t="s">
        <v>1390</v>
      </c>
      <c r="Y883" s="8" t="s">
        <v>33</v>
      </c>
      <c r="Z883" s="8" t="s">
        <v>1381</v>
      </c>
      <c r="AA883" s="8" t="s">
        <v>84</v>
      </c>
      <c r="AB883" s="8" t="s">
        <v>36</v>
      </c>
      <c r="AC883" s="8" t="s">
        <v>37</v>
      </c>
      <c r="AD883" s="8" t="s">
        <v>270</v>
      </c>
      <c r="AE883" s="8" t="s">
        <v>39</v>
      </c>
      <c r="AF883" s="8" t="s">
        <v>40</v>
      </c>
      <c r="AG883" s="9">
        <v>100000</v>
      </c>
      <c r="AH883" s="11">
        <f>_xlfn.XLOOKUP(B883,[1]Sheet1!$B:$B,[1]Sheet1!$AB:$AB,0)</f>
        <v>100000</v>
      </c>
    </row>
    <row r="884" spans="2:34" ht="16.8" thickTop="1" thickBot="1" x14ac:dyDescent="0.35">
      <c r="B884" s="3" t="str">
        <f t="shared" si="28"/>
        <v>45181134511001144Mission &amp; Travel-N423821200104</v>
      </c>
      <c r="C884" s="6" t="s">
        <v>1382</v>
      </c>
      <c r="D884" s="6" t="s">
        <v>1391</v>
      </c>
      <c r="E884" s="6" t="s">
        <v>1392</v>
      </c>
      <c r="F884" s="6" t="s">
        <v>54</v>
      </c>
      <c r="G884" s="4" t="s">
        <v>2805</v>
      </c>
      <c r="H884" s="4" t="s">
        <v>2922</v>
      </c>
      <c r="I884" s="6" t="s">
        <v>55</v>
      </c>
      <c r="J884" s="6" t="s">
        <v>31</v>
      </c>
      <c r="K884" s="12">
        <f>_xlfn.XLOOKUP(B884,[1]Sheet1!$B:$B,[1]Sheet1!$N:$N,0)</f>
        <v>0</v>
      </c>
      <c r="L884" s="12">
        <f>_xlfn.XLOOKUP(B884,[1]Sheet1!$B:$B,[1]Sheet1!$O:$O,0)</f>
        <v>0</v>
      </c>
      <c r="M884" s="12">
        <f>_xlfn.XLOOKUP(B884,[1]Sheet1!$B:$B,[1]Sheet1!$P:$P,0)</f>
        <v>0</v>
      </c>
      <c r="N884" s="12">
        <f>_xlfn.XLOOKUP(B884,[1]Sheet1!$B:$B,[1]Sheet1!$Q:$Q,0)</f>
        <v>0</v>
      </c>
      <c r="O884" s="12">
        <f>_xlfn.XLOOKUP(B884,[1]Sheet1!$B:$B,[1]Sheet1!$R:$R,0)</f>
        <v>0</v>
      </c>
      <c r="P884" s="12">
        <f>_xlfn.XLOOKUP(B884,[1]Sheet1!$B:$B,[1]Sheet1!$S:$S,0)</f>
        <v>0</v>
      </c>
      <c r="Q884" s="12">
        <f>_xlfn.XLOOKUP(B884,[1]Sheet1!$B:$B,[1]Sheet1!$T:$T,0)</f>
        <v>100000</v>
      </c>
      <c r="R884" s="12">
        <f>_xlfn.XLOOKUP(B884,[1]Sheet1!$B:$B,[1]Sheet1!$U:$U,0)</f>
        <v>155000</v>
      </c>
      <c r="S884" s="12">
        <f>_xlfn.XLOOKUP(B884,[1]Sheet1!$B:$B,[1]Sheet1!$V:$V,0)</f>
        <v>100000</v>
      </c>
      <c r="T884" s="12">
        <f>_xlfn.XLOOKUP(B884,[1]Sheet1!$B:$B,[1]Sheet1!$W:$W,0)</f>
        <v>0</v>
      </c>
      <c r="U884" s="12">
        <f>_xlfn.XLOOKUP(B884,[1]Sheet1!$B:$B,[1]Sheet1!$X:$X,0)</f>
        <v>0</v>
      </c>
      <c r="V884" s="12">
        <f>_xlfn.XLOOKUP(B884,[1]Sheet1!$B:$B,[1]Sheet1!$Y:$Y,0)</f>
        <v>0</v>
      </c>
      <c r="W884" s="12">
        <f t="shared" si="29"/>
        <v>355000</v>
      </c>
      <c r="X884" s="6" t="s">
        <v>1397</v>
      </c>
      <c r="Y884" s="6" t="s">
        <v>33</v>
      </c>
      <c r="Z884" s="6" t="s">
        <v>1381</v>
      </c>
      <c r="AA884" s="6" t="s">
        <v>55</v>
      </c>
      <c r="AB884" s="6" t="s">
        <v>36</v>
      </c>
      <c r="AC884" s="6" t="s">
        <v>37</v>
      </c>
      <c r="AD884" s="6" t="s">
        <v>270</v>
      </c>
      <c r="AE884" s="6" t="s">
        <v>39</v>
      </c>
      <c r="AF884" s="6" t="s">
        <v>40</v>
      </c>
      <c r="AG884" s="7">
        <v>355000</v>
      </c>
      <c r="AH884" s="11">
        <f>_xlfn.XLOOKUP(B884,[1]Sheet1!$B:$B,[1]Sheet1!$AB:$AB,0)</f>
        <v>355000</v>
      </c>
    </row>
    <row r="885" spans="2:34" ht="16.8" thickTop="1" thickBot="1" x14ac:dyDescent="0.35">
      <c r="B885" s="3" t="str">
        <f t="shared" si="28"/>
        <v>45181134511001144System Licenses-N425252200104</v>
      </c>
      <c r="C885" s="8" t="s">
        <v>1382</v>
      </c>
      <c r="D885" s="8" t="s">
        <v>1391</v>
      </c>
      <c r="E885" s="8" t="s">
        <v>1392</v>
      </c>
      <c r="F885" s="8" t="s">
        <v>180</v>
      </c>
      <c r="G885" s="4" t="s">
        <v>2821</v>
      </c>
      <c r="H885" s="4" t="s">
        <v>2922</v>
      </c>
      <c r="I885" s="8" t="s">
        <v>181</v>
      </c>
      <c r="J885" s="8" t="s">
        <v>31</v>
      </c>
      <c r="K885" s="12">
        <f>_xlfn.XLOOKUP(B885,[1]Sheet1!$B:$B,[1]Sheet1!$N:$N,0)</f>
        <v>0</v>
      </c>
      <c r="L885" s="12">
        <f>_xlfn.XLOOKUP(B885,[1]Sheet1!$B:$B,[1]Sheet1!$O:$O,0)</f>
        <v>0</v>
      </c>
      <c r="M885" s="12">
        <f>_xlfn.XLOOKUP(B885,[1]Sheet1!$B:$B,[1]Sheet1!$P:$P,0)</f>
        <v>0</v>
      </c>
      <c r="N885" s="12">
        <f>_xlfn.XLOOKUP(B885,[1]Sheet1!$B:$B,[1]Sheet1!$Q:$Q,0)</f>
        <v>0</v>
      </c>
      <c r="O885" s="12">
        <f>_xlfn.XLOOKUP(B885,[1]Sheet1!$B:$B,[1]Sheet1!$R:$R,0)</f>
        <v>0</v>
      </c>
      <c r="P885" s="12">
        <f>_xlfn.XLOOKUP(B885,[1]Sheet1!$B:$B,[1]Sheet1!$S:$S,0)</f>
        <v>0</v>
      </c>
      <c r="Q885" s="12">
        <f>_xlfn.XLOOKUP(B885,[1]Sheet1!$B:$B,[1]Sheet1!$T:$T,0)</f>
        <v>0</v>
      </c>
      <c r="R885" s="12">
        <f>_xlfn.XLOOKUP(B885,[1]Sheet1!$B:$B,[1]Sheet1!$U:$U,0)</f>
        <v>0</v>
      </c>
      <c r="S885" s="12">
        <f>_xlfn.XLOOKUP(B885,[1]Sheet1!$B:$B,[1]Sheet1!$V:$V,0)</f>
        <v>0</v>
      </c>
      <c r="T885" s="12">
        <f>_xlfn.XLOOKUP(B885,[1]Sheet1!$B:$B,[1]Sheet1!$W:$W,0)</f>
        <v>0</v>
      </c>
      <c r="U885" s="12">
        <f>_xlfn.XLOOKUP(B885,[1]Sheet1!$B:$B,[1]Sheet1!$X:$X,0)</f>
        <v>0</v>
      </c>
      <c r="V885" s="12">
        <f>_xlfn.XLOOKUP(B885,[1]Sheet1!$B:$B,[1]Sheet1!$Y:$Y,0)</f>
        <v>0</v>
      </c>
      <c r="W885" s="12">
        <f t="shared" si="29"/>
        <v>0</v>
      </c>
      <c r="X885" s="8" t="s">
        <v>1398</v>
      </c>
      <c r="Y885" s="8" t="s">
        <v>33</v>
      </c>
      <c r="Z885" s="8" t="s">
        <v>1381</v>
      </c>
      <c r="AA885" s="8" t="s">
        <v>183</v>
      </c>
      <c r="AB885" s="8" t="s">
        <v>36</v>
      </c>
      <c r="AC885" s="8" t="s">
        <v>37</v>
      </c>
      <c r="AD885" s="8" t="s">
        <v>270</v>
      </c>
      <c r="AE885" s="8" t="s">
        <v>39</v>
      </c>
      <c r="AF885" s="8" t="s">
        <v>40</v>
      </c>
      <c r="AG885" s="9">
        <v>537302</v>
      </c>
      <c r="AH885" s="11">
        <f>_xlfn.XLOOKUP(B885,[1]Sheet1!$B:$B,[1]Sheet1!$AB:$AB,0)</f>
        <v>537302</v>
      </c>
    </row>
    <row r="886" spans="2:34" ht="16.8" thickTop="1" thickBot="1" x14ac:dyDescent="0.35">
      <c r="B886" s="3" t="str">
        <f t="shared" si="28"/>
        <v>45181134511001146PR Mgmnt E-E-N424781200104</v>
      </c>
      <c r="C886" s="6" t="s">
        <v>1382</v>
      </c>
      <c r="D886" s="6" t="s">
        <v>1399</v>
      </c>
      <c r="E886" s="6" t="s">
        <v>1400</v>
      </c>
      <c r="F886" s="6" t="s">
        <v>99</v>
      </c>
      <c r="G886" s="4" t="s">
        <v>2815</v>
      </c>
      <c r="H886" s="4" t="s">
        <v>2922</v>
      </c>
      <c r="I886" s="6" t="s">
        <v>100</v>
      </c>
      <c r="J886" s="6" t="s">
        <v>31</v>
      </c>
      <c r="K886" s="12">
        <f>_xlfn.XLOOKUP(B886,[1]Sheet1!$B:$B,[1]Sheet1!$N:$N,0)</f>
        <v>0</v>
      </c>
      <c r="L886" s="12">
        <f>_xlfn.XLOOKUP(B886,[1]Sheet1!$B:$B,[1]Sheet1!$O:$O,0)</f>
        <v>0</v>
      </c>
      <c r="M886" s="12">
        <f>_xlfn.XLOOKUP(B886,[1]Sheet1!$B:$B,[1]Sheet1!$P:$P,0)</f>
        <v>0</v>
      </c>
      <c r="N886" s="12">
        <f>_xlfn.XLOOKUP(B886,[1]Sheet1!$B:$B,[1]Sheet1!$Q:$Q,0)</f>
        <v>1274810</v>
      </c>
      <c r="O886" s="12">
        <f>_xlfn.XLOOKUP(B886,[1]Sheet1!$B:$B,[1]Sheet1!$R:$R,0)</f>
        <v>750779</v>
      </c>
      <c r="P886" s="12">
        <f>_xlfn.XLOOKUP(B886,[1]Sheet1!$B:$B,[1]Sheet1!$S:$S,0)</f>
        <v>980658</v>
      </c>
      <c r="Q886" s="12">
        <f>_xlfn.XLOOKUP(B886,[1]Sheet1!$B:$B,[1]Sheet1!$T:$T,0)</f>
        <v>285140</v>
      </c>
      <c r="R886" s="12">
        <f>_xlfn.XLOOKUP(B886,[1]Sheet1!$B:$B,[1]Sheet1!$U:$U,0)</f>
        <v>285140</v>
      </c>
      <c r="S886" s="12">
        <f>_xlfn.XLOOKUP(B886,[1]Sheet1!$B:$B,[1]Sheet1!$V:$V,0)</f>
        <v>802640</v>
      </c>
      <c r="T886" s="12">
        <f>_xlfn.XLOOKUP(B886,[1]Sheet1!$B:$B,[1]Sheet1!$W:$W,0)</f>
        <v>82640</v>
      </c>
      <c r="U886" s="12">
        <f>_xlfn.XLOOKUP(B886,[1]Sheet1!$B:$B,[1]Sheet1!$X:$X,0)</f>
        <v>262640</v>
      </c>
      <c r="V886" s="12">
        <f>_xlfn.XLOOKUP(B886,[1]Sheet1!$B:$B,[1]Sheet1!$Y:$Y,0)</f>
        <v>82640</v>
      </c>
      <c r="W886" s="12">
        <f t="shared" si="29"/>
        <v>4807087</v>
      </c>
      <c r="X886" s="6" t="s">
        <v>1401</v>
      </c>
      <c r="Y886" s="6" t="s">
        <v>33</v>
      </c>
      <c r="Z886" s="6" t="s">
        <v>1381</v>
      </c>
      <c r="AA886" s="6" t="s">
        <v>100</v>
      </c>
      <c r="AB886" s="6" t="s">
        <v>36</v>
      </c>
      <c r="AC886" s="6" t="s">
        <v>37</v>
      </c>
      <c r="AD886" s="6" t="s">
        <v>270</v>
      </c>
      <c r="AE886" s="6" t="s">
        <v>39</v>
      </c>
      <c r="AF886" s="6" t="s">
        <v>40</v>
      </c>
      <c r="AG886" s="7">
        <v>4807087</v>
      </c>
      <c r="AH886" s="11">
        <f>_xlfn.XLOOKUP(B886,[1]Sheet1!$B:$B,[1]Sheet1!$AB:$AB,0)</f>
        <v>4807087</v>
      </c>
    </row>
    <row r="887" spans="2:34" ht="16.8" thickTop="1" thickBot="1" x14ac:dyDescent="0.35">
      <c r="B887" s="3" t="str">
        <f t="shared" si="28"/>
        <v>45181134511001148Subsidies-N462512200104</v>
      </c>
      <c r="C887" s="8" t="s">
        <v>1382</v>
      </c>
      <c r="D887" s="8" t="s">
        <v>1402</v>
      </c>
      <c r="E887" s="8" t="s">
        <v>1403</v>
      </c>
      <c r="F887" s="8" t="s">
        <v>1404</v>
      </c>
      <c r="G887" s="4" t="s">
        <v>2871</v>
      </c>
      <c r="H887" s="4" t="s">
        <v>2922</v>
      </c>
      <c r="I887" s="8" t="s">
        <v>1405</v>
      </c>
      <c r="J887" s="8" t="s">
        <v>31</v>
      </c>
      <c r="K887" s="12">
        <f>_xlfn.XLOOKUP(B887,[1]Sheet1!$B:$B,[1]Sheet1!$N:$N,0)</f>
        <v>0</v>
      </c>
      <c r="L887" s="12">
        <f>_xlfn.XLOOKUP(B887,[1]Sheet1!$B:$B,[1]Sheet1!$O:$O,0)</f>
        <v>0</v>
      </c>
      <c r="M887" s="12">
        <f>_xlfn.XLOOKUP(B887,[1]Sheet1!$B:$B,[1]Sheet1!$P:$P,0)</f>
        <v>1265719</v>
      </c>
      <c r="N887" s="12">
        <f>_xlfn.XLOOKUP(B887,[1]Sheet1!$B:$B,[1]Sheet1!$Q:$Q,0)</f>
        <v>3219236</v>
      </c>
      <c r="O887" s="12">
        <f>_xlfn.XLOOKUP(B887,[1]Sheet1!$B:$B,[1]Sheet1!$R:$R,0)</f>
        <v>3379025</v>
      </c>
      <c r="P887" s="12">
        <f>_xlfn.XLOOKUP(B887,[1]Sheet1!$B:$B,[1]Sheet1!$S:$S,0)</f>
        <v>2675989</v>
      </c>
      <c r="Q887" s="12">
        <f>_xlfn.XLOOKUP(B887,[1]Sheet1!$B:$B,[1]Sheet1!$T:$T,0)</f>
        <v>3142122</v>
      </c>
      <c r="R887" s="12">
        <f>_xlfn.XLOOKUP(B887,[1]Sheet1!$B:$B,[1]Sheet1!$U:$U,0)</f>
        <v>2317156</v>
      </c>
      <c r="S887" s="12">
        <f>_xlfn.XLOOKUP(B887,[1]Sheet1!$B:$B,[1]Sheet1!$V:$V,0)</f>
        <v>1298940</v>
      </c>
      <c r="T887" s="12">
        <f>_xlfn.XLOOKUP(B887,[1]Sheet1!$B:$B,[1]Sheet1!$W:$W,0)</f>
        <v>1840285</v>
      </c>
      <c r="U887" s="12">
        <f>_xlfn.XLOOKUP(B887,[1]Sheet1!$B:$B,[1]Sheet1!$X:$X,0)</f>
        <v>2376194</v>
      </c>
      <c r="V887" s="12">
        <f>_xlfn.XLOOKUP(B887,[1]Sheet1!$B:$B,[1]Sheet1!$Y:$Y,0)</f>
        <v>1133700</v>
      </c>
      <c r="W887" s="12">
        <f t="shared" si="29"/>
        <v>22648366</v>
      </c>
      <c r="X887" s="8" t="s">
        <v>1406</v>
      </c>
      <c r="Y887" s="8" t="s">
        <v>33</v>
      </c>
      <c r="Z887" s="8" t="s">
        <v>1381</v>
      </c>
      <c r="AA887" s="8" t="s">
        <v>1405</v>
      </c>
      <c r="AB887" s="8" t="s">
        <v>36</v>
      </c>
      <c r="AC887" s="8" t="s">
        <v>37</v>
      </c>
      <c r="AD887" s="8" t="s">
        <v>270</v>
      </c>
      <c r="AE887" s="8" t="s">
        <v>39</v>
      </c>
      <c r="AF887" s="8" t="s">
        <v>40</v>
      </c>
      <c r="AG887" s="9">
        <v>22648366</v>
      </c>
      <c r="AH887" s="11">
        <f>_xlfn.XLOOKUP(B887,[1]Sheet1!$B:$B,[1]Sheet1!$AB:$AB,0)</f>
        <v>22648366</v>
      </c>
    </row>
    <row r="888" spans="2:34" ht="16.8" thickTop="1" thickBot="1" x14ac:dyDescent="0.35">
      <c r="B888" s="3" t="str">
        <f t="shared" si="28"/>
        <v>45181134511001149Facilities Rent-N425112200104</v>
      </c>
      <c r="C888" s="6" t="s">
        <v>1382</v>
      </c>
      <c r="D888" s="6" t="s">
        <v>1407</v>
      </c>
      <c r="E888" s="6" t="s">
        <v>1408</v>
      </c>
      <c r="F888" s="6" t="s">
        <v>532</v>
      </c>
      <c r="G888" s="4" t="s">
        <v>2848</v>
      </c>
      <c r="H888" s="4" t="s">
        <v>2922</v>
      </c>
      <c r="I888" s="6" t="s">
        <v>533</v>
      </c>
      <c r="J888" s="6" t="s">
        <v>31</v>
      </c>
      <c r="K888" s="12">
        <f>_xlfn.XLOOKUP(B888,[1]Sheet1!$B:$B,[1]Sheet1!$N:$N,0)</f>
        <v>0</v>
      </c>
      <c r="L888" s="12">
        <f>_xlfn.XLOOKUP(B888,[1]Sheet1!$B:$B,[1]Sheet1!$O:$O,0)</f>
        <v>0</v>
      </c>
      <c r="M888" s="12">
        <f>_xlfn.XLOOKUP(B888,[1]Sheet1!$B:$B,[1]Sheet1!$P:$P,0)</f>
        <v>20000</v>
      </c>
      <c r="N888" s="12">
        <f>_xlfn.XLOOKUP(B888,[1]Sheet1!$B:$B,[1]Sheet1!$Q:$Q,0)</f>
        <v>2669776</v>
      </c>
      <c r="O888" s="12">
        <f>_xlfn.XLOOKUP(B888,[1]Sheet1!$B:$B,[1]Sheet1!$R:$R,0)</f>
        <v>0</v>
      </c>
      <c r="P888" s="12">
        <f>_xlfn.XLOOKUP(B888,[1]Sheet1!$B:$B,[1]Sheet1!$S:$S,0)</f>
        <v>1394339</v>
      </c>
      <c r="Q888" s="12">
        <f>_xlfn.XLOOKUP(B888,[1]Sheet1!$B:$B,[1]Sheet1!$T:$T,0)</f>
        <v>20000</v>
      </c>
      <c r="R888" s="12">
        <f>_xlfn.XLOOKUP(B888,[1]Sheet1!$B:$B,[1]Sheet1!$U:$U,0)</f>
        <v>1807517</v>
      </c>
      <c r="S888" s="12">
        <f>_xlfn.XLOOKUP(B888,[1]Sheet1!$B:$B,[1]Sheet1!$V:$V,0)</f>
        <v>0</v>
      </c>
      <c r="T888" s="12">
        <f>_xlfn.XLOOKUP(B888,[1]Sheet1!$B:$B,[1]Sheet1!$W:$W,0)</f>
        <v>0</v>
      </c>
      <c r="U888" s="12">
        <f>_xlfn.XLOOKUP(B888,[1]Sheet1!$B:$B,[1]Sheet1!$X:$X,0)</f>
        <v>0</v>
      </c>
      <c r="V888" s="12">
        <f>_xlfn.XLOOKUP(B888,[1]Sheet1!$B:$B,[1]Sheet1!$Y:$Y,0)</f>
        <v>0</v>
      </c>
      <c r="W888" s="12">
        <f t="shared" si="29"/>
        <v>5911632</v>
      </c>
      <c r="X888" s="6" t="s">
        <v>1409</v>
      </c>
      <c r="Y888" s="6" t="s">
        <v>33</v>
      </c>
      <c r="Z888" s="6" t="s">
        <v>1381</v>
      </c>
      <c r="AA888" s="6" t="s">
        <v>533</v>
      </c>
      <c r="AB888" s="6" t="s">
        <v>36</v>
      </c>
      <c r="AC888" s="6" t="s">
        <v>37</v>
      </c>
      <c r="AD888" s="6" t="s">
        <v>270</v>
      </c>
      <c r="AE888" s="6" t="s">
        <v>39</v>
      </c>
      <c r="AF888" s="6" t="s">
        <v>40</v>
      </c>
      <c r="AG888" s="7">
        <v>6882554</v>
      </c>
      <c r="AH888" s="11">
        <f>_xlfn.XLOOKUP(B888,[1]Sheet1!$B:$B,[1]Sheet1!$AB:$AB,0)</f>
        <v>6882554</v>
      </c>
    </row>
    <row r="889" spans="2:34" ht="16.8" thickTop="1" thickBot="1" x14ac:dyDescent="0.35">
      <c r="B889" s="3" t="str">
        <f t="shared" si="28"/>
        <v>45126004511001151Freelancers-N1424521200104</v>
      </c>
      <c r="C889" s="8" t="s">
        <v>1414</v>
      </c>
      <c r="D889" s="8" t="s">
        <v>1410</v>
      </c>
      <c r="E889" s="8" t="s">
        <v>1411</v>
      </c>
      <c r="F889" s="8" t="s">
        <v>303</v>
      </c>
      <c r="G889" s="4" t="s">
        <v>2804</v>
      </c>
      <c r="H889" s="4" t="s">
        <v>2922</v>
      </c>
      <c r="I889" s="8" t="s">
        <v>51</v>
      </c>
      <c r="J889" s="8" t="s">
        <v>31</v>
      </c>
      <c r="K889" s="12">
        <f>_xlfn.XLOOKUP(B889,[1]Sheet1!$B:$B,[1]Sheet1!$N:$N,0)</f>
        <v>200600</v>
      </c>
      <c r="L889" s="12">
        <f>_xlfn.XLOOKUP(B889,[1]Sheet1!$B:$B,[1]Sheet1!$O:$O,0)</f>
        <v>200600</v>
      </c>
      <c r="M889" s="12">
        <f>_xlfn.XLOOKUP(B889,[1]Sheet1!$B:$B,[1]Sheet1!$P:$P,0)</f>
        <v>290131.88</v>
      </c>
      <c r="N889" s="12">
        <f>_xlfn.XLOOKUP(B889,[1]Sheet1!$B:$B,[1]Sheet1!$Q:$Q,0)</f>
        <v>89079.12</v>
      </c>
      <c r="O889" s="12">
        <f>_xlfn.XLOOKUP(B889,[1]Sheet1!$B:$B,[1]Sheet1!$R:$R,0)</f>
        <v>0</v>
      </c>
      <c r="P889" s="12">
        <f>_xlfn.XLOOKUP(B889,[1]Sheet1!$B:$B,[1]Sheet1!$S:$S,0)</f>
        <v>0</v>
      </c>
      <c r="Q889" s="12">
        <f>_xlfn.XLOOKUP(B889,[1]Sheet1!$B:$B,[1]Sheet1!$T:$T,0)</f>
        <v>0</v>
      </c>
      <c r="R889" s="12">
        <f>_xlfn.XLOOKUP(B889,[1]Sheet1!$B:$B,[1]Sheet1!$U:$U,0)</f>
        <v>0</v>
      </c>
      <c r="S889" s="12">
        <f>_xlfn.XLOOKUP(B889,[1]Sheet1!$B:$B,[1]Sheet1!$V:$V,0)</f>
        <v>0</v>
      </c>
      <c r="T889" s="12">
        <f>_xlfn.XLOOKUP(B889,[1]Sheet1!$B:$B,[1]Sheet1!$W:$W,0)</f>
        <v>0</v>
      </c>
      <c r="U889" s="12">
        <f>_xlfn.XLOOKUP(B889,[1]Sheet1!$B:$B,[1]Sheet1!$X:$X,0)</f>
        <v>0</v>
      </c>
      <c r="V889" s="12">
        <f>_xlfn.XLOOKUP(B889,[1]Sheet1!$B:$B,[1]Sheet1!$Y:$Y,0)</f>
        <v>0</v>
      </c>
      <c r="W889" s="12">
        <f t="shared" si="29"/>
        <v>780411</v>
      </c>
      <c r="X889" s="8" t="s">
        <v>1412</v>
      </c>
      <c r="Y889" s="8" t="s">
        <v>33</v>
      </c>
      <c r="Z889" s="8" t="s">
        <v>1413</v>
      </c>
      <c r="AA889" s="8" t="s">
        <v>53</v>
      </c>
      <c r="AB889" s="8" t="s">
        <v>36</v>
      </c>
      <c r="AC889" s="8" t="s">
        <v>37</v>
      </c>
      <c r="AD889" s="8" t="s">
        <v>1396</v>
      </c>
      <c r="AE889" s="8" t="s">
        <v>39</v>
      </c>
      <c r="AF889" s="8" t="s">
        <v>40</v>
      </c>
      <c r="AG889" s="9">
        <v>780411</v>
      </c>
      <c r="AH889" s="11">
        <f>_xlfn.XLOOKUP(B889,[1]Sheet1!$B:$B,[1]Sheet1!$AB:$AB,0)</f>
        <v>780411</v>
      </c>
    </row>
    <row r="890" spans="2:34" ht="16.8" thickTop="1" thickBot="1" x14ac:dyDescent="0.35">
      <c r="B890" s="3" t="str">
        <f t="shared" si="28"/>
        <v>45126004511001151Manpower-N1424521200104</v>
      </c>
      <c r="C890" s="6" t="s">
        <v>1414</v>
      </c>
      <c r="D890" s="6" t="s">
        <v>1410</v>
      </c>
      <c r="E890" s="6" t="s">
        <v>1411</v>
      </c>
      <c r="F890" s="6" t="s">
        <v>470</v>
      </c>
      <c r="G890" s="4" t="s">
        <v>2804</v>
      </c>
      <c r="H890" s="4" t="s">
        <v>2922</v>
      </c>
      <c r="I890" s="6" t="s">
        <v>51</v>
      </c>
      <c r="J890" s="6" t="s">
        <v>31</v>
      </c>
      <c r="K890" s="12">
        <f>_xlfn.XLOOKUP(B890,[1]Sheet1!$B:$B,[1]Sheet1!$N:$N,0)</f>
        <v>0</v>
      </c>
      <c r="L890" s="12">
        <f>_xlfn.XLOOKUP(B890,[1]Sheet1!$B:$B,[1]Sheet1!$O:$O,0)</f>
        <v>0</v>
      </c>
      <c r="M890" s="12">
        <f>_xlfn.XLOOKUP(B890,[1]Sheet1!$B:$B,[1]Sheet1!$P:$P,0)</f>
        <v>0</v>
      </c>
      <c r="N890" s="12">
        <f>_xlfn.XLOOKUP(B890,[1]Sheet1!$B:$B,[1]Sheet1!$Q:$Q,0)</f>
        <v>260136.67</v>
      </c>
      <c r="O890" s="12">
        <f>_xlfn.XLOOKUP(B890,[1]Sheet1!$B:$B,[1]Sheet1!$R:$R,0)</f>
        <v>260136.67</v>
      </c>
      <c r="P890" s="12">
        <f>_xlfn.XLOOKUP(B890,[1]Sheet1!$B:$B,[1]Sheet1!$S:$S,0)</f>
        <v>260136.67</v>
      </c>
      <c r="Q890" s="12">
        <f>_xlfn.XLOOKUP(B890,[1]Sheet1!$B:$B,[1]Sheet1!$T:$T,0)</f>
        <v>260136.67</v>
      </c>
      <c r="R890" s="12">
        <f>_xlfn.XLOOKUP(B890,[1]Sheet1!$B:$B,[1]Sheet1!$U:$U,0)</f>
        <v>260136.67</v>
      </c>
      <c r="S890" s="12">
        <f>_xlfn.XLOOKUP(B890,[1]Sheet1!$B:$B,[1]Sheet1!$V:$V,0)</f>
        <v>260136.67</v>
      </c>
      <c r="T890" s="12">
        <f>_xlfn.XLOOKUP(B890,[1]Sheet1!$B:$B,[1]Sheet1!$W:$W,0)</f>
        <v>260136.67</v>
      </c>
      <c r="U890" s="12">
        <f>_xlfn.XLOOKUP(B890,[1]Sheet1!$B:$B,[1]Sheet1!$X:$X,0)</f>
        <v>260136.67</v>
      </c>
      <c r="V890" s="12">
        <f>_xlfn.XLOOKUP(B890,[1]Sheet1!$B:$B,[1]Sheet1!$Y:$Y,0)</f>
        <v>260136.67</v>
      </c>
      <c r="W890" s="12">
        <f t="shared" si="29"/>
        <v>2341230.0299999998</v>
      </c>
      <c r="X890" s="6" t="s">
        <v>1412</v>
      </c>
      <c r="Y890" s="6" t="s">
        <v>33</v>
      </c>
      <c r="Z890" s="6" t="s">
        <v>1413</v>
      </c>
      <c r="AA890" s="6" t="s">
        <v>53</v>
      </c>
      <c r="AB890" s="6" t="s">
        <v>36</v>
      </c>
      <c r="AC890" s="6" t="s">
        <v>37</v>
      </c>
      <c r="AD890" s="6" t="s">
        <v>1396</v>
      </c>
      <c r="AE890" s="6" t="s">
        <v>39</v>
      </c>
      <c r="AF890" s="6" t="s">
        <v>40</v>
      </c>
      <c r="AG890" s="7">
        <v>2341230</v>
      </c>
      <c r="AH890" s="11">
        <f>_xlfn.XLOOKUP(B890,[1]Sheet1!$B:$B,[1]Sheet1!$AB:$AB,0)</f>
        <v>2341230.0299999998</v>
      </c>
    </row>
    <row r="891" spans="2:34" ht="16.8" thickTop="1" thickBot="1" x14ac:dyDescent="0.35">
      <c r="B891" s="3" t="str">
        <f t="shared" si="28"/>
        <v>45126004511001151Print Runs-N1424791200104</v>
      </c>
      <c r="C891" s="8" t="s">
        <v>1414</v>
      </c>
      <c r="D891" s="8" t="s">
        <v>1410</v>
      </c>
      <c r="E891" s="8" t="s">
        <v>1411</v>
      </c>
      <c r="F891" s="8" t="s">
        <v>307</v>
      </c>
      <c r="G891" s="4" t="s">
        <v>2830</v>
      </c>
      <c r="H891" s="4" t="s">
        <v>2922</v>
      </c>
      <c r="I891" s="8" t="s">
        <v>305</v>
      </c>
      <c r="J891" s="8" t="s">
        <v>31</v>
      </c>
      <c r="K891" s="12">
        <f>_xlfn.XLOOKUP(B891,[1]Sheet1!$B:$B,[1]Sheet1!$N:$N,0)</f>
        <v>0</v>
      </c>
      <c r="L891" s="12">
        <f>_xlfn.XLOOKUP(B891,[1]Sheet1!$B:$B,[1]Sheet1!$O:$O,0)</f>
        <v>0</v>
      </c>
      <c r="M891" s="12">
        <f>_xlfn.XLOOKUP(B891,[1]Sheet1!$B:$B,[1]Sheet1!$P:$P,0)</f>
        <v>0</v>
      </c>
      <c r="N891" s="12">
        <f>_xlfn.XLOOKUP(B891,[1]Sheet1!$B:$B,[1]Sheet1!$Q:$Q,0)</f>
        <v>150000</v>
      </c>
      <c r="O891" s="12">
        <f>_xlfn.XLOOKUP(B891,[1]Sheet1!$B:$B,[1]Sheet1!$R:$R,0)</f>
        <v>70000</v>
      </c>
      <c r="P891" s="12">
        <f>_xlfn.XLOOKUP(B891,[1]Sheet1!$B:$B,[1]Sheet1!$S:$S,0)</f>
        <v>70000</v>
      </c>
      <c r="Q891" s="12">
        <f>_xlfn.XLOOKUP(B891,[1]Sheet1!$B:$B,[1]Sheet1!$T:$T,0)</f>
        <v>70000</v>
      </c>
      <c r="R891" s="12">
        <f>_xlfn.XLOOKUP(B891,[1]Sheet1!$B:$B,[1]Sheet1!$U:$U,0)</f>
        <v>70000</v>
      </c>
      <c r="S891" s="12">
        <f>_xlfn.XLOOKUP(B891,[1]Sheet1!$B:$B,[1]Sheet1!$V:$V,0)</f>
        <v>70000</v>
      </c>
      <c r="T891" s="12">
        <f>_xlfn.XLOOKUP(B891,[1]Sheet1!$B:$B,[1]Sheet1!$W:$W,0)</f>
        <v>0</v>
      </c>
      <c r="U891" s="12">
        <f>_xlfn.XLOOKUP(B891,[1]Sheet1!$B:$B,[1]Sheet1!$X:$X,0)</f>
        <v>0</v>
      </c>
      <c r="V891" s="12">
        <f>_xlfn.XLOOKUP(B891,[1]Sheet1!$B:$B,[1]Sheet1!$Y:$Y,0)</f>
        <v>0</v>
      </c>
      <c r="W891" s="12">
        <f t="shared" si="29"/>
        <v>500000</v>
      </c>
      <c r="X891" s="8" t="s">
        <v>1415</v>
      </c>
      <c r="Y891" s="8" t="s">
        <v>33</v>
      </c>
      <c r="Z891" s="8" t="s">
        <v>1413</v>
      </c>
      <c r="AA891" s="8" t="s">
        <v>305</v>
      </c>
      <c r="AB891" s="8" t="s">
        <v>36</v>
      </c>
      <c r="AC891" s="8" t="s">
        <v>37</v>
      </c>
      <c r="AD891" s="8" t="s">
        <v>1396</v>
      </c>
      <c r="AE891" s="8" t="s">
        <v>39</v>
      </c>
      <c r="AF891" s="8" t="s">
        <v>40</v>
      </c>
      <c r="AG891" s="9">
        <v>500000</v>
      </c>
      <c r="AH891" s="11">
        <f>_xlfn.XLOOKUP(B891,[1]Sheet1!$B:$B,[1]Sheet1!$AB:$AB,0)</f>
        <v>500000</v>
      </c>
    </row>
    <row r="892" spans="2:34" ht="16.8" thickTop="1" thickBot="1" x14ac:dyDescent="0.35">
      <c r="B892" s="3" t="str">
        <f t="shared" si="28"/>
        <v>45155004511001161Activation&amp;Prog-N422401200104</v>
      </c>
      <c r="C892" s="6" t="s">
        <v>513</v>
      </c>
      <c r="D892" s="6" t="s">
        <v>1416</v>
      </c>
      <c r="E892" s="6" t="s">
        <v>1417</v>
      </c>
      <c r="F892" s="6" t="s">
        <v>62</v>
      </c>
      <c r="G892" s="4" t="s">
        <v>2807</v>
      </c>
      <c r="H892" s="4" t="s">
        <v>2922</v>
      </c>
      <c r="I892" s="6" t="s">
        <v>63</v>
      </c>
      <c r="J892" s="6" t="s">
        <v>31</v>
      </c>
      <c r="K892" s="12">
        <f>_xlfn.XLOOKUP(B892,[1]Sheet1!$B:$B,[1]Sheet1!$N:$N,0)</f>
        <v>0</v>
      </c>
      <c r="L892" s="12">
        <f>_xlfn.XLOOKUP(B892,[1]Sheet1!$B:$B,[1]Sheet1!$O:$O,0)</f>
        <v>0</v>
      </c>
      <c r="M892" s="12">
        <f>_xlfn.XLOOKUP(B892,[1]Sheet1!$B:$B,[1]Sheet1!$P:$P,0)</f>
        <v>0</v>
      </c>
      <c r="N892" s="12">
        <f>_xlfn.XLOOKUP(B892,[1]Sheet1!$B:$B,[1]Sheet1!$Q:$Q,0)</f>
        <v>0</v>
      </c>
      <c r="O892" s="12">
        <f>_xlfn.XLOOKUP(B892,[1]Sheet1!$B:$B,[1]Sheet1!$R:$R,0)</f>
        <v>0</v>
      </c>
      <c r="P892" s="12">
        <f>_xlfn.XLOOKUP(B892,[1]Sheet1!$B:$B,[1]Sheet1!$S:$S,0)</f>
        <v>0</v>
      </c>
      <c r="Q892" s="12">
        <f>_xlfn.XLOOKUP(B892,[1]Sheet1!$B:$B,[1]Sheet1!$T:$T,0)</f>
        <v>4500000</v>
      </c>
      <c r="R892" s="12">
        <f>_xlfn.XLOOKUP(B892,[1]Sheet1!$B:$B,[1]Sheet1!$U:$U,0)</f>
        <v>2250000</v>
      </c>
      <c r="S892" s="12">
        <f>_xlfn.XLOOKUP(B892,[1]Sheet1!$B:$B,[1]Sheet1!$V:$V,0)</f>
        <v>0</v>
      </c>
      <c r="T892" s="12">
        <f>_xlfn.XLOOKUP(B892,[1]Sheet1!$B:$B,[1]Sheet1!$W:$W,0)</f>
        <v>0</v>
      </c>
      <c r="U892" s="12">
        <f>_xlfn.XLOOKUP(B892,[1]Sheet1!$B:$B,[1]Sheet1!$X:$X,0)</f>
        <v>2250000</v>
      </c>
      <c r="V892" s="12">
        <f>_xlfn.XLOOKUP(B892,[1]Sheet1!$B:$B,[1]Sheet1!$Y:$Y,0)</f>
        <v>0</v>
      </c>
      <c r="W892" s="12">
        <f t="shared" si="29"/>
        <v>9000000</v>
      </c>
      <c r="X892" s="6" t="s">
        <v>524</v>
      </c>
      <c r="Y892" s="6" t="s">
        <v>211</v>
      </c>
      <c r="Z892" s="6" t="s">
        <v>512</v>
      </c>
      <c r="AA892" s="6" t="s">
        <v>68</v>
      </c>
      <c r="AB892" s="6" t="s">
        <v>36</v>
      </c>
      <c r="AC892" s="6" t="s">
        <v>37</v>
      </c>
      <c r="AD892" s="6" t="s">
        <v>342</v>
      </c>
      <c r="AE892" s="6" t="s">
        <v>39</v>
      </c>
      <c r="AF892" s="6" t="s">
        <v>40</v>
      </c>
      <c r="AG892" s="7">
        <v>9000000</v>
      </c>
      <c r="AH892" s="11">
        <f>_xlfn.XLOOKUP(B892,[1]Sheet1!$B:$B,[1]Sheet1!$AB:$AB,0)</f>
        <v>9000000</v>
      </c>
    </row>
    <row r="893" spans="2:34" ht="16.8" thickTop="1" thickBot="1" x14ac:dyDescent="0.35">
      <c r="B893" s="3" t="str">
        <f t="shared" si="28"/>
        <v>45155004511001169Sponsorship Fees-N424811200104</v>
      </c>
      <c r="C893" s="8" t="s">
        <v>513</v>
      </c>
      <c r="D893" s="8" t="s">
        <v>1418</v>
      </c>
      <c r="E893" s="8" t="s">
        <v>1419</v>
      </c>
      <c r="F893" s="8" t="s">
        <v>506</v>
      </c>
      <c r="G893" s="4" t="s">
        <v>2802</v>
      </c>
      <c r="H893" s="4" t="s">
        <v>2922</v>
      </c>
      <c r="I893" s="8" t="s">
        <v>30</v>
      </c>
      <c r="J893" s="8" t="s">
        <v>31</v>
      </c>
      <c r="K893" s="12">
        <f>_xlfn.XLOOKUP(B893,[1]Sheet1!$B:$B,[1]Sheet1!$N:$N,0)</f>
        <v>0</v>
      </c>
      <c r="L893" s="12">
        <f>_xlfn.XLOOKUP(B893,[1]Sheet1!$B:$B,[1]Sheet1!$O:$O,0)</f>
        <v>0</v>
      </c>
      <c r="M893" s="12">
        <f>_xlfn.XLOOKUP(B893,[1]Sheet1!$B:$B,[1]Sheet1!$P:$P,0)</f>
        <v>0</v>
      </c>
      <c r="N893" s="12">
        <f>_xlfn.XLOOKUP(B893,[1]Sheet1!$B:$B,[1]Sheet1!$Q:$Q,0)</f>
        <v>0</v>
      </c>
      <c r="O893" s="12">
        <f>_xlfn.XLOOKUP(B893,[1]Sheet1!$B:$B,[1]Sheet1!$R:$R,0)</f>
        <v>0</v>
      </c>
      <c r="P893" s="12">
        <f>_xlfn.XLOOKUP(B893,[1]Sheet1!$B:$B,[1]Sheet1!$S:$S,0)</f>
        <v>0</v>
      </c>
      <c r="Q893" s="12">
        <f>_xlfn.XLOOKUP(B893,[1]Sheet1!$B:$B,[1]Sheet1!$T:$T,0)</f>
        <v>0</v>
      </c>
      <c r="R893" s="12">
        <f>_xlfn.XLOOKUP(B893,[1]Sheet1!$B:$B,[1]Sheet1!$U:$U,0)</f>
        <v>0</v>
      </c>
      <c r="S893" s="12">
        <f>_xlfn.XLOOKUP(B893,[1]Sheet1!$B:$B,[1]Sheet1!$V:$V,0)</f>
        <v>0</v>
      </c>
      <c r="T893" s="12">
        <f>_xlfn.XLOOKUP(B893,[1]Sheet1!$B:$B,[1]Sheet1!$W:$W,0)</f>
        <v>0</v>
      </c>
      <c r="U893" s="12">
        <f>_xlfn.XLOOKUP(B893,[1]Sheet1!$B:$B,[1]Sheet1!$X:$X,0)</f>
        <v>3500000</v>
      </c>
      <c r="V893" s="12">
        <f>_xlfn.XLOOKUP(B893,[1]Sheet1!$B:$B,[1]Sheet1!$Y:$Y,0)</f>
        <v>0</v>
      </c>
      <c r="W893" s="12">
        <f t="shared" si="29"/>
        <v>3500000</v>
      </c>
      <c r="X893" s="8" t="s">
        <v>518</v>
      </c>
      <c r="Y893" s="8" t="s">
        <v>211</v>
      </c>
      <c r="Z893" s="8" t="s">
        <v>512</v>
      </c>
      <c r="AA893" s="8" t="s">
        <v>30</v>
      </c>
      <c r="AB893" s="8" t="s">
        <v>36</v>
      </c>
      <c r="AC893" s="8" t="s">
        <v>37</v>
      </c>
      <c r="AD893" s="8" t="s">
        <v>342</v>
      </c>
      <c r="AE893" s="8" t="s">
        <v>39</v>
      </c>
      <c r="AF893" s="8" t="s">
        <v>40</v>
      </c>
      <c r="AG893" s="9">
        <v>3500000</v>
      </c>
      <c r="AH893" s="11">
        <f>_xlfn.XLOOKUP(B893,[1]Sheet1!$B:$B,[1]Sheet1!$AB:$AB,0)</f>
        <v>3500000</v>
      </c>
    </row>
    <row r="894" spans="2:34" ht="16.8" thickTop="1" thickBot="1" x14ac:dyDescent="0.35">
      <c r="B894" s="3" t="str">
        <f t="shared" si="28"/>
        <v>45155004511001170Sponsorship Fees-N424811200104</v>
      </c>
      <c r="C894" s="6" t="s">
        <v>513</v>
      </c>
      <c r="D894" s="6" t="s">
        <v>1420</v>
      </c>
      <c r="E894" s="6" t="s">
        <v>1421</v>
      </c>
      <c r="F894" s="6" t="s">
        <v>506</v>
      </c>
      <c r="G894" s="4" t="s">
        <v>2802</v>
      </c>
      <c r="H894" s="4" t="s">
        <v>2922</v>
      </c>
      <c r="I894" s="6" t="s">
        <v>30</v>
      </c>
      <c r="J894" s="6" t="s">
        <v>31</v>
      </c>
      <c r="K894" s="12">
        <f>_xlfn.XLOOKUP(B894,[1]Sheet1!$B:$B,[1]Sheet1!$N:$N,0)</f>
        <v>0</v>
      </c>
      <c r="L894" s="12">
        <f>_xlfn.XLOOKUP(B894,[1]Sheet1!$B:$B,[1]Sheet1!$O:$O,0)</f>
        <v>0</v>
      </c>
      <c r="M894" s="12">
        <f>_xlfn.XLOOKUP(B894,[1]Sheet1!$B:$B,[1]Sheet1!$P:$P,0)</f>
        <v>0</v>
      </c>
      <c r="N894" s="12">
        <f>_xlfn.XLOOKUP(B894,[1]Sheet1!$B:$B,[1]Sheet1!$Q:$Q,0)</f>
        <v>0</v>
      </c>
      <c r="O894" s="12">
        <f>_xlfn.XLOOKUP(B894,[1]Sheet1!$B:$B,[1]Sheet1!$R:$R,0)</f>
        <v>0</v>
      </c>
      <c r="P894" s="12">
        <f>_xlfn.XLOOKUP(B894,[1]Sheet1!$B:$B,[1]Sheet1!$S:$S,0)</f>
        <v>0</v>
      </c>
      <c r="Q894" s="12">
        <f>_xlfn.XLOOKUP(B894,[1]Sheet1!$B:$B,[1]Sheet1!$T:$T,0)</f>
        <v>0</v>
      </c>
      <c r="R894" s="12">
        <f>_xlfn.XLOOKUP(B894,[1]Sheet1!$B:$B,[1]Sheet1!$U:$U,0)</f>
        <v>5000000</v>
      </c>
      <c r="S894" s="12">
        <f>_xlfn.XLOOKUP(B894,[1]Sheet1!$B:$B,[1]Sheet1!$V:$V,0)</f>
        <v>0</v>
      </c>
      <c r="T894" s="12">
        <f>_xlfn.XLOOKUP(B894,[1]Sheet1!$B:$B,[1]Sheet1!$W:$W,0)</f>
        <v>0</v>
      </c>
      <c r="U894" s="12">
        <f>_xlfn.XLOOKUP(B894,[1]Sheet1!$B:$B,[1]Sheet1!$X:$X,0)</f>
        <v>0</v>
      </c>
      <c r="V894" s="12">
        <f>_xlfn.XLOOKUP(B894,[1]Sheet1!$B:$B,[1]Sheet1!$Y:$Y,0)</f>
        <v>0</v>
      </c>
      <c r="W894" s="12">
        <f t="shared" si="29"/>
        <v>5000000</v>
      </c>
      <c r="X894" s="6" t="s">
        <v>518</v>
      </c>
      <c r="Y894" s="6" t="s">
        <v>211</v>
      </c>
      <c r="Z894" s="6" t="s">
        <v>512</v>
      </c>
      <c r="AA894" s="6" t="s">
        <v>30</v>
      </c>
      <c r="AB894" s="6" t="s">
        <v>36</v>
      </c>
      <c r="AC894" s="6" t="s">
        <v>37</v>
      </c>
      <c r="AD894" s="6" t="s">
        <v>342</v>
      </c>
      <c r="AE894" s="6" t="s">
        <v>39</v>
      </c>
      <c r="AF894" s="6" t="s">
        <v>40</v>
      </c>
      <c r="AG894" s="7">
        <v>5000000</v>
      </c>
      <c r="AH894" s="11">
        <f>_xlfn.XLOOKUP(B894,[1]Sheet1!$B:$B,[1]Sheet1!$AB:$AB,0)</f>
        <v>5000000</v>
      </c>
    </row>
    <row r="895" spans="2:34" ht="16.8" thickTop="1" thickBot="1" x14ac:dyDescent="0.35">
      <c r="B895" s="3" t="str">
        <f t="shared" si="28"/>
        <v>45192034511001179Activation&amp;Prog-N2422401200104</v>
      </c>
      <c r="C895" s="8" t="s">
        <v>916</v>
      </c>
      <c r="D895" s="8" t="s">
        <v>1422</v>
      </c>
      <c r="E895" s="8" t="s">
        <v>1423</v>
      </c>
      <c r="F895" s="8" t="s">
        <v>853</v>
      </c>
      <c r="G895" s="4" t="s">
        <v>2807</v>
      </c>
      <c r="H895" s="4" t="s">
        <v>2922</v>
      </c>
      <c r="I895" s="8" t="s">
        <v>63</v>
      </c>
      <c r="J895" s="8" t="s">
        <v>31</v>
      </c>
      <c r="K895" s="12">
        <f>_xlfn.XLOOKUP(B895,[1]Sheet1!$B:$B,[1]Sheet1!$N:$N,0)</f>
        <v>0</v>
      </c>
      <c r="L895" s="12">
        <f>_xlfn.XLOOKUP(B895,[1]Sheet1!$B:$B,[1]Sheet1!$O:$O,0)</f>
        <v>0</v>
      </c>
      <c r="M895" s="12">
        <f>_xlfn.XLOOKUP(B895,[1]Sheet1!$B:$B,[1]Sheet1!$P:$P,0)</f>
        <v>0</v>
      </c>
      <c r="N895" s="12">
        <f>_xlfn.XLOOKUP(B895,[1]Sheet1!$B:$B,[1]Sheet1!$Q:$Q,0)</f>
        <v>0</v>
      </c>
      <c r="O895" s="12">
        <f>_xlfn.XLOOKUP(B895,[1]Sheet1!$B:$B,[1]Sheet1!$R:$R,0)</f>
        <v>0</v>
      </c>
      <c r="P895" s="12">
        <f>_xlfn.XLOOKUP(B895,[1]Sheet1!$B:$B,[1]Sheet1!$S:$S,0)</f>
        <v>0</v>
      </c>
      <c r="Q895" s="12">
        <f>_xlfn.XLOOKUP(B895,[1]Sheet1!$B:$B,[1]Sheet1!$T:$T,0)</f>
        <v>0</v>
      </c>
      <c r="R895" s="12">
        <f>_xlfn.XLOOKUP(B895,[1]Sheet1!$B:$B,[1]Sheet1!$U:$U,0)</f>
        <v>0</v>
      </c>
      <c r="S895" s="12">
        <f>_xlfn.XLOOKUP(B895,[1]Sheet1!$B:$B,[1]Sheet1!$V:$V,0)</f>
        <v>0</v>
      </c>
      <c r="T895" s="12">
        <f>_xlfn.XLOOKUP(B895,[1]Sheet1!$B:$B,[1]Sheet1!$W:$W,0)</f>
        <v>2677458</v>
      </c>
      <c r="U895" s="12">
        <f>_xlfn.XLOOKUP(B895,[1]Sheet1!$B:$B,[1]Sheet1!$X:$X,0)</f>
        <v>2677458</v>
      </c>
      <c r="V895" s="12">
        <f>_xlfn.XLOOKUP(B895,[1]Sheet1!$B:$B,[1]Sheet1!$Y:$Y,0)</f>
        <v>0</v>
      </c>
      <c r="W895" s="12">
        <f t="shared" si="29"/>
        <v>5354916</v>
      </c>
      <c r="X895" s="8" t="s">
        <v>1189</v>
      </c>
      <c r="Y895" s="8" t="s">
        <v>392</v>
      </c>
      <c r="Z895" s="8" t="s">
        <v>915</v>
      </c>
      <c r="AA895" s="8" t="s">
        <v>68</v>
      </c>
      <c r="AB895" s="8" t="s">
        <v>36</v>
      </c>
      <c r="AC895" s="8" t="s">
        <v>37</v>
      </c>
      <c r="AD895" s="8" t="s">
        <v>395</v>
      </c>
      <c r="AE895" s="8" t="s">
        <v>39</v>
      </c>
      <c r="AF895" s="8" t="s">
        <v>40</v>
      </c>
      <c r="AG895" s="9">
        <v>5354916</v>
      </c>
      <c r="AH895" s="11">
        <f>_xlfn.XLOOKUP(B895,[1]Sheet1!$B:$B,[1]Sheet1!$AB:$AB,0)</f>
        <v>5354916</v>
      </c>
    </row>
    <row r="896" spans="2:34" ht="16.8" thickTop="1" thickBot="1" x14ac:dyDescent="0.35">
      <c r="B896" s="3" t="str">
        <f t="shared" si="28"/>
        <v>45192034511001179Design &amp; Build-N2424221200104</v>
      </c>
      <c r="C896" s="6" t="s">
        <v>916</v>
      </c>
      <c r="D896" s="6" t="s">
        <v>1422</v>
      </c>
      <c r="E896" s="6" t="s">
        <v>1423</v>
      </c>
      <c r="F896" s="6" t="s">
        <v>963</v>
      </c>
      <c r="G896" s="4" t="s">
        <v>2824</v>
      </c>
      <c r="H896" s="4" t="s">
        <v>2922</v>
      </c>
      <c r="I896" s="6" t="s">
        <v>209</v>
      </c>
      <c r="J896" s="6" t="s">
        <v>31</v>
      </c>
      <c r="K896" s="12">
        <f>_xlfn.XLOOKUP(B896,[1]Sheet1!$B:$B,[1]Sheet1!$N:$N,0)</f>
        <v>0</v>
      </c>
      <c r="L896" s="12">
        <f>_xlfn.XLOOKUP(B896,[1]Sheet1!$B:$B,[1]Sheet1!$O:$O,0)</f>
        <v>0</v>
      </c>
      <c r="M896" s="12">
        <f>_xlfn.XLOOKUP(B896,[1]Sheet1!$B:$B,[1]Sheet1!$P:$P,0)</f>
        <v>0</v>
      </c>
      <c r="N896" s="12">
        <f>_xlfn.XLOOKUP(B896,[1]Sheet1!$B:$B,[1]Sheet1!$Q:$Q,0)</f>
        <v>995000</v>
      </c>
      <c r="O896" s="12">
        <f>_xlfn.XLOOKUP(B896,[1]Sheet1!$B:$B,[1]Sheet1!$R:$R,0)</f>
        <v>0</v>
      </c>
      <c r="P896" s="12">
        <f>_xlfn.XLOOKUP(B896,[1]Sheet1!$B:$B,[1]Sheet1!$S:$S,0)</f>
        <v>0</v>
      </c>
      <c r="Q896" s="12">
        <f>_xlfn.XLOOKUP(B896,[1]Sheet1!$B:$B,[1]Sheet1!$T:$T,0)</f>
        <v>0</v>
      </c>
      <c r="R896" s="12">
        <f>_xlfn.XLOOKUP(B896,[1]Sheet1!$B:$B,[1]Sheet1!$U:$U,0)</f>
        <v>0</v>
      </c>
      <c r="S896" s="12">
        <f>_xlfn.XLOOKUP(B896,[1]Sheet1!$B:$B,[1]Sheet1!$V:$V,0)</f>
        <v>0</v>
      </c>
      <c r="T896" s="12">
        <f>_xlfn.XLOOKUP(B896,[1]Sheet1!$B:$B,[1]Sheet1!$W:$W,0)</f>
        <v>1005000</v>
      </c>
      <c r="U896" s="12">
        <f>_xlfn.XLOOKUP(B896,[1]Sheet1!$B:$B,[1]Sheet1!$X:$X,0)</f>
        <v>2191498.5</v>
      </c>
      <c r="V896" s="12">
        <f>_xlfn.XLOOKUP(B896,[1]Sheet1!$B:$B,[1]Sheet1!$Y:$Y,0)</f>
        <v>2191498.5</v>
      </c>
      <c r="W896" s="12">
        <f t="shared" si="29"/>
        <v>6382997</v>
      </c>
      <c r="X896" s="6" t="s">
        <v>1424</v>
      </c>
      <c r="Y896" s="6" t="s">
        <v>392</v>
      </c>
      <c r="Z896" s="6" t="s">
        <v>915</v>
      </c>
      <c r="AA896" s="6" t="s">
        <v>209</v>
      </c>
      <c r="AB896" s="6" t="s">
        <v>36</v>
      </c>
      <c r="AC896" s="6" t="s">
        <v>37</v>
      </c>
      <c r="AD896" s="6" t="s">
        <v>395</v>
      </c>
      <c r="AE896" s="6" t="s">
        <v>39</v>
      </c>
      <c r="AF896" s="6" t="s">
        <v>40</v>
      </c>
      <c r="AG896" s="7">
        <v>6382997</v>
      </c>
      <c r="AH896" s="11">
        <f>_xlfn.XLOOKUP(B896,[1]Sheet1!$B:$B,[1]Sheet1!$AB:$AB,0)</f>
        <v>6382997</v>
      </c>
    </row>
    <row r="897" spans="2:34" ht="16.8" thickTop="1" thickBot="1" x14ac:dyDescent="0.35">
      <c r="B897" s="3" t="str">
        <f t="shared" si="28"/>
        <v>45192034511001179Event Consumable-N2421125200104</v>
      </c>
      <c r="C897" s="8" t="s">
        <v>916</v>
      </c>
      <c r="D897" s="8" t="s">
        <v>1422</v>
      </c>
      <c r="E897" s="8" t="s">
        <v>1423</v>
      </c>
      <c r="F897" s="8" t="s">
        <v>1045</v>
      </c>
      <c r="G897" s="4" t="s">
        <v>2803</v>
      </c>
      <c r="H897" s="4" t="s">
        <v>2922</v>
      </c>
      <c r="I897" s="8" t="s">
        <v>44</v>
      </c>
      <c r="J897" s="8" t="s">
        <v>31</v>
      </c>
      <c r="K897" s="12">
        <f>_xlfn.XLOOKUP(B897,[1]Sheet1!$B:$B,[1]Sheet1!$N:$N,0)</f>
        <v>0</v>
      </c>
      <c r="L897" s="12">
        <f>_xlfn.XLOOKUP(B897,[1]Sheet1!$B:$B,[1]Sheet1!$O:$O,0)</f>
        <v>0</v>
      </c>
      <c r="M897" s="12">
        <f>_xlfn.XLOOKUP(B897,[1]Sheet1!$B:$B,[1]Sheet1!$P:$P,0)</f>
        <v>0</v>
      </c>
      <c r="N897" s="12">
        <f>_xlfn.XLOOKUP(B897,[1]Sheet1!$B:$B,[1]Sheet1!$Q:$Q,0)</f>
        <v>0</v>
      </c>
      <c r="O897" s="12">
        <f>_xlfn.XLOOKUP(B897,[1]Sheet1!$B:$B,[1]Sheet1!$R:$R,0)</f>
        <v>0</v>
      </c>
      <c r="P897" s="12">
        <f>_xlfn.XLOOKUP(B897,[1]Sheet1!$B:$B,[1]Sheet1!$S:$S,0)</f>
        <v>0</v>
      </c>
      <c r="Q897" s="12">
        <f>_xlfn.XLOOKUP(B897,[1]Sheet1!$B:$B,[1]Sheet1!$T:$T,0)</f>
        <v>0</v>
      </c>
      <c r="R897" s="12">
        <f>_xlfn.XLOOKUP(B897,[1]Sheet1!$B:$B,[1]Sheet1!$U:$U,0)</f>
        <v>0</v>
      </c>
      <c r="S897" s="12">
        <f>_xlfn.XLOOKUP(B897,[1]Sheet1!$B:$B,[1]Sheet1!$V:$V,0)</f>
        <v>500000</v>
      </c>
      <c r="T897" s="12">
        <f>_xlfn.XLOOKUP(B897,[1]Sheet1!$B:$B,[1]Sheet1!$W:$W,0)</f>
        <v>0</v>
      </c>
      <c r="U897" s="12">
        <f>_xlfn.XLOOKUP(B897,[1]Sheet1!$B:$B,[1]Sheet1!$X:$X,0)</f>
        <v>0</v>
      </c>
      <c r="V897" s="12">
        <f>_xlfn.XLOOKUP(B897,[1]Sheet1!$B:$B,[1]Sheet1!$Y:$Y,0)</f>
        <v>0</v>
      </c>
      <c r="W897" s="12">
        <f t="shared" si="29"/>
        <v>500000</v>
      </c>
      <c r="X897" s="8" t="s">
        <v>1188</v>
      </c>
      <c r="Y897" s="8" t="s">
        <v>392</v>
      </c>
      <c r="Z897" s="8" t="s">
        <v>915</v>
      </c>
      <c r="AA897" s="8" t="s">
        <v>44</v>
      </c>
      <c r="AB897" s="8" t="s">
        <v>36</v>
      </c>
      <c r="AC897" s="8" t="s">
        <v>37</v>
      </c>
      <c r="AD897" s="8" t="s">
        <v>395</v>
      </c>
      <c r="AE897" s="8" t="s">
        <v>39</v>
      </c>
      <c r="AF897" s="8" t="s">
        <v>40</v>
      </c>
      <c r="AG897" s="9">
        <v>500000</v>
      </c>
      <c r="AH897" s="11">
        <f>_xlfn.XLOOKUP(B897,[1]Sheet1!$B:$B,[1]Sheet1!$AB:$AB,0)</f>
        <v>500000</v>
      </c>
    </row>
    <row r="898" spans="2:34" ht="16.8" thickTop="1" thickBot="1" x14ac:dyDescent="0.35">
      <c r="B898" s="3" t="str">
        <f t="shared" si="28"/>
        <v>45192034511001179Media Mgmnt &amp;Buy-N2422511200104</v>
      </c>
      <c r="C898" s="6" t="s">
        <v>916</v>
      </c>
      <c r="D898" s="6" t="s">
        <v>1422</v>
      </c>
      <c r="E898" s="6" t="s">
        <v>1423</v>
      </c>
      <c r="F898" s="6" t="s">
        <v>1115</v>
      </c>
      <c r="G898" s="4" t="s">
        <v>2819</v>
      </c>
      <c r="H898" s="4" t="s">
        <v>2922</v>
      </c>
      <c r="I898" s="6" t="s">
        <v>151</v>
      </c>
      <c r="J898" s="6" t="s">
        <v>31</v>
      </c>
      <c r="K898" s="12">
        <f>_xlfn.XLOOKUP(B898,[1]Sheet1!$B:$B,[1]Sheet1!$N:$N,0)</f>
        <v>0</v>
      </c>
      <c r="L898" s="12">
        <f>_xlfn.XLOOKUP(B898,[1]Sheet1!$B:$B,[1]Sheet1!$O:$O,0)</f>
        <v>0</v>
      </c>
      <c r="M898" s="12">
        <f>_xlfn.XLOOKUP(B898,[1]Sheet1!$B:$B,[1]Sheet1!$P:$P,0)</f>
        <v>0</v>
      </c>
      <c r="N898" s="12">
        <f>_xlfn.XLOOKUP(B898,[1]Sheet1!$B:$B,[1]Sheet1!$Q:$Q,0)</f>
        <v>0</v>
      </c>
      <c r="O898" s="12">
        <f>_xlfn.XLOOKUP(B898,[1]Sheet1!$B:$B,[1]Sheet1!$R:$R,0)</f>
        <v>0</v>
      </c>
      <c r="P898" s="12">
        <f>_xlfn.XLOOKUP(B898,[1]Sheet1!$B:$B,[1]Sheet1!$S:$S,0)</f>
        <v>0</v>
      </c>
      <c r="Q898" s="12">
        <f>_xlfn.XLOOKUP(B898,[1]Sheet1!$B:$B,[1]Sheet1!$T:$T,0)</f>
        <v>0</v>
      </c>
      <c r="R898" s="12">
        <f>_xlfn.XLOOKUP(B898,[1]Sheet1!$B:$B,[1]Sheet1!$U:$U,0)</f>
        <v>0</v>
      </c>
      <c r="S898" s="12">
        <f>_xlfn.XLOOKUP(B898,[1]Sheet1!$B:$B,[1]Sheet1!$V:$V,0)</f>
        <v>0</v>
      </c>
      <c r="T898" s="12">
        <f>_xlfn.XLOOKUP(B898,[1]Sheet1!$B:$B,[1]Sheet1!$W:$W,0)</f>
        <v>0</v>
      </c>
      <c r="U898" s="12">
        <f>_xlfn.XLOOKUP(B898,[1]Sheet1!$B:$B,[1]Sheet1!$X:$X,0)</f>
        <v>3296222</v>
      </c>
      <c r="V898" s="12">
        <f>_xlfn.XLOOKUP(B898,[1]Sheet1!$B:$B,[1]Sheet1!$Y:$Y,0)</f>
        <v>0</v>
      </c>
      <c r="W898" s="12">
        <f t="shared" si="29"/>
        <v>3296222</v>
      </c>
      <c r="X898" s="6" t="s">
        <v>1192</v>
      </c>
      <c r="Y898" s="6" t="s">
        <v>392</v>
      </c>
      <c r="Z898" s="6" t="s">
        <v>915</v>
      </c>
      <c r="AA898" s="6" t="s">
        <v>151</v>
      </c>
      <c r="AB898" s="6" t="s">
        <v>36</v>
      </c>
      <c r="AC898" s="6" t="s">
        <v>37</v>
      </c>
      <c r="AD898" s="6" t="s">
        <v>395</v>
      </c>
      <c r="AE898" s="6" t="s">
        <v>39</v>
      </c>
      <c r="AF898" s="6" t="s">
        <v>40</v>
      </c>
      <c r="AG898" s="7">
        <v>3296222</v>
      </c>
      <c r="AH898" s="11">
        <f>_xlfn.XLOOKUP(B898,[1]Sheet1!$B:$B,[1]Sheet1!$AB:$AB,0)</f>
        <v>3296222</v>
      </c>
    </row>
    <row r="899" spans="2:34" ht="16.8" thickTop="1" thickBot="1" x14ac:dyDescent="0.35">
      <c r="B899" s="3" t="str">
        <f t="shared" si="28"/>
        <v>45192034511001179PR Mgmnt E-E-N2424781200104</v>
      </c>
      <c r="C899" s="8" t="s">
        <v>916</v>
      </c>
      <c r="D899" s="8" t="s">
        <v>1422</v>
      </c>
      <c r="E899" s="8" t="s">
        <v>1423</v>
      </c>
      <c r="F899" s="8" t="s">
        <v>1425</v>
      </c>
      <c r="G899" s="4" t="s">
        <v>2815</v>
      </c>
      <c r="H899" s="4" t="s">
        <v>2922</v>
      </c>
      <c r="I899" s="8" t="s">
        <v>100</v>
      </c>
      <c r="J899" s="8" t="s">
        <v>31</v>
      </c>
      <c r="K899" s="12">
        <f>_xlfn.XLOOKUP(B899,[1]Sheet1!$B:$B,[1]Sheet1!$N:$N,0)</f>
        <v>0</v>
      </c>
      <c r="L899" s="12">
        <f>_xlfn.XLOOKUP(B899,[1]Sheet1!$B:$B,[1]Sheet1!$O:$O,0)</f>
        <v>0</v>
      </c>
      <c r="M899" s="12">
        <f>_xlfn.XLOOKUP(B899,[1]Sheet1!$B:$B,[1]Sheet1!$P:$P,0)</f>
        <v>0</v>
      </c>
      <c r="N899" s="12">
        <f>_xlfn.XLOOKUP(B899,[1]Sheet1!$B:$B,[1]Sheet1!$Q:$Q,0)</f>
        <v>0</v>
      </c>
      <c r="O899" s="12">
        <f>_xlfn.XLOOKUP(B899,[1]Sheet1!$B:$B,[1]Sheet1!$R:$R,0)</f>
        <v>0</v>
      </c>
      <c r="P899" s="12">
        <f>_xlfn.XLOOKUP(B899,[1]Sheet1!$B:$B,[1]Sheet1!$S:$S,0)</f>
        <v>0</v>
      </c>
      <c r="Q899" s="12">
        <f>_xlfn.XLOOKUP(B899,[1]Sheet1!$B:$B,[1]Sheet1!$T:$T,0)</f>
        <v>0</v>
      </c>
      <c r="R899" s="12">
        <f>_xlfn.XLOOKUP(B899,[1]Sheet1!$B:$B,[1]Sheet1!$U:$U,0)</f>
        <v>0</v>
      </c>
      <c r="S899" s="12">
        <f>_xlfn.XLOOKUP(B899,[1]Sheet1!$B:$B,[1]Sheet1!$V:$V,0)</f>
        <v>0</v>
      </c>
      <c r="T899" s="12">
        <f>_xlfn.XLOOKUP(B899,[1]Sheet1!$B:$B,[1]Sheet1!$W:$W,0)</f>
        <v>155288.33333333334</v>
      </c>
      <c r="U899" s="12">
        <f>_xlfn.XLOOKUP(B899,[1]Sheet1!$B:$B,[1]Sheet1!$X:$X,0)</f>
        <v>155288.33333333334</v>
      </c>
      <c r="V899" s="12">
        <f>_xlfn.XLOOKUP(B899,[1]Sheet1!$B:$B,[1]Sheet1!$Y:$Y,0)</f>
        <v>155288.33333333334</v>
      </c>
      <c r="W899" s="12">
        <f t="shared" si="29"/>
        <v>465865</v>
      </c>
      <c r="X899" s="8" t="s">
        <v>1426</v>
      </c>
      <c r="Y899" s="8" t="s">
        <v>392</v>
      </c>
      <c r="Z899" s="8" t="s">
        <v>915</v>
      </c>
      <c r="AA899" s="8" t="s">
        <v>100</v>
      </c>
      <c r="AB899" s="8" t="s">
        <v>36</v>
      </c>
      <c r="AC899" s="8" t="s">
        <v>37</v>
      </c>
      <c r="AD899" s="8" t="s">
        <v>395</v>
      </c>
      <c r="AE899" s="8" t="s">
        <v>39</v>
      </c>
      <c r="AF899" s="8" t="s">
        <v>40</v>
      </c>
      <c r="AG899" s="9">
        <v>465865</v>
      </c>
      <c r="AH899" s="11">
        <f>_xlfn.XLOOKUP(B899,[1]Sheet1!$B:$B,[1]Sheet1!$AB:$AB,0)</f>
        <v>465865</v>
      </c>
    </row>
    <row r="900" spans="2:34" ht="16.8" thickTop="1" thickBot="1" x14ac:dyDescent="0.35">
      <c r="B900" s="3" t="str">
        <f t="shared" ref="B900:B963" si="30">C900&amp;D900&amp;F900&amp;G900&amp;H900</f>
        <v>45117004511001180Art Acquisition-NC1491811300105</v>
      </c>
      <c r="C900" s="6" t="s">
        <v>260</v>
      </c>
      <c r="D900" s="6" t="s">
        <v>1427</v>
      </c>
      <c r="E900" s="6" t="s">
        <v>1428</v>
      </c>
      <c r="F900" s="6" t="s">
        <v>1429</v>
      </c>
      <c r="G900" s="4" t="s">
        <v>2825</v>
      </c>
      <c r="H900" s="4" t="s">
        <v>2923</v>
      </c>
      <c r="I900" s="6" t="s">
        <v>226</v>
      </c>
      <c r="J900" s="6" t="s">
        <v>31</v>
      </c>
      <c r="K900" s="12">
        <f>_xlfn.XLOOKUP(B900,[1]Sheet1!$B:$B,[1]Sheet1!$N:$N,0)</f>
        <v>0</v>
      </c>
      <c r="L900" s="12">
        <f>_xlfn.XLOOKUP(B900,[1]Sheet1!$B:$B,[1]Sheet1!$O:$O,0)</f>
        <v>0</v>
      </c>
      <c r="M900" s="12">
        <f>_xlfn.XLOOKUP(B900,[1]Sheet1!$B:$B,[1]Sheet1!$P:$P,0)</f>
        <v>0</v>
      </c>
      <c r="N900" s="12">
        <f>_xlfn.XLOOKUP(B900,[1]Sheet1!$B:$B,[1]Sheet1!$Q:$Q,0)</f>
        <v>1769850</v>
      </c>
      <c r="O900" s="12">
        <f>_xlfn.XLOOKUP(B900,[1]Sheet1!$B:$B,[1]Sheet1!$R:$R,0)</f>
        <v>0</v>
      </c>
      <c r="P900" s="12">
        <f>_xlfn.XLOOKUP(B900,[1]Sheet1!$B:$B,[1]Sheet1!$S:$S,0)</f>
        <v>1322100.1499999999</v>
      </c>
      <c r="Q900" s="12">
        <f>_xlfn.XLOOKUP(B900,[1]Sheet1!$B:$B,[1]Sheet1!$T:$T,0)</f>
        <v>0</v>
      </c>
      <c r="R900" s="12">
        <f>_xlfn.XLOOKUP(B900,[1]Sheet1!$B:$B,[1]Sheet1!$U:$U,0)</f>
        <v>0</v>
      </c>
      <c r="S900" s="12">
        <f>_xlfn.XLOOKUP(B900,[1]Sheet1!$B:$B,[1]Sheet1!$V:$V,0)</f>
        <v>0</v>
      </c>
      <c r="T900" s="12">
        <f>_xlfn.XLOOKUP(B900,[1]Sheet1!$B:$B,[1]Sheet1!$W:$W,0)</f>
        <v>5508750</v>
      </c>
      <c r="U900" s="12">
        <f>_xlfn.XLOOKUP(B900,[1]Sheet1!$B:$B,[1]Sheet1!$X:$X,0)</f>
        <v>1218975</v>
      </c>
      <c r="V900" s="12">
        <f>_xlfn.XLOOKUP(B900,[1]Sheet1!$B:$B,[1]Sheet1!$Y:$Y,0)</f>
        <v>0</v>
      </c>
      <c r="W900" s="12">
        <f t="shared" ref="W900:W963" si="31">SUM(K900:V900)</f>
        <v>9819675.1500000004</v>
      </c>
      <c r="X900" s="6" t="s">
        <v>1430</v>
      </c>
      <c r="Y900" s="6" t="s">
        <v>65</v>
      </c>
      <c r="Z900" s="6" t="s">
        <v>259</v>
      </c>
      <c r="AA900" s="6" t="s">
        <v>228</v>
      </c>
      <c r="AB900" s="6" t="s">
        <v>93</v>
      </c>
      <c r="AC900" s="6" t="s">
        <v>94</v>
      </c>
      <c r="AD900" s="6" t="s">
        <v>102</v>
      </c>
      <c r="AE900" s="6" t="s">
        <v>39</v>
      </c>
      <c r="AF900" s="6" t="s">
        <v>40</v>
      </c>
      <c r="AG900" s="7">
        <v>9819675</v>
      </c>
      <c r="AH900" s="11">
        <f>_xlfn.XLOOKUP(B900,[1]Sheet1!$B:$B,[1]Sheet1!$AB:$AB,0)</f>
        <v>9819675.1500000004</v>
      </c>
    </row>
    <row r="901" spans="2:34" ht="16.8" thickTop="1" thickBot="1" x14ac:dyDescent="0.35">
      <c r="B901" s="3" t="str">
        <f t="shared" si="30"/>
        <v>45117004511001180Art Commission-NC1491811300105</v>
      </c>
      <c r="C901" s="8" t="s">
        <v>260</v>
      </c>
      <c r="D901" s="8" t="s">
        <v>1427</v>
      </c>
      <c r="E901" s="8" t="s">
        <v>1428</v>
      </c>
      <c r="F901" s="8" t="s">
        <v>1431</v>
      </c>
      <c r="G901" s="4" t="s">
        <v>2825</v>
      </c>
      <c r="H901" s="4" t="s">
        <v>2923</v>
      </c>
      <c r="I901" s="8" t="s">
        <v>226</v>
      </c>
      <c r="J901" s="8" t="s">
        <v>31</v>
      </c>
      <c r="K901" s="12">
        <f>_xlfn.XLOOKUP(B901,[1]Sheet1!$B:$B,[1]Sheet1!$N:$N,0)</f>
        <v>0</v>
      </c>
      <c r="L901" s="12">
        <f>_xlfn.XLOOKUP(B901,[1]Sheet1!$B:$B,[1]Sheet1!$O:$O,0)</f>
        <v>0</v>
      </c>
      <c r="M901" s="12">
        <f>_xlfn.XLOOKUP(B901,[1]Sheet1!$B:$B,[1]Sheet1!$P:$P,0)</f>
        <v>0</v>
      </c>
      <c r="N901" s="12">
        <f>_xlfn.XLOOKUP(B901,[1]Sheet1!$B:$B,[1]Sheet1!$Q:$Q,0)</f>
        <v>1064555</v>
      </c>
      <c r="O901" s="12">
        <f>_xlfn.XLOOKUP(B901,[1]Sheet1!$B:$B,[1]Sheet1!$R:$R,0)</f>
        <v>1064555</v>
      </c>
      <c r="P901" s="12">
        <f>_xlfn.XLOOKUP(B901,[1]Sheet1!$B:$B,[1]Sheet1!$S:$S,0)</f>
        <v>1064555</v>
      </c>
      <c r="Q901" s="12">
        <f>_xlfn.XLOOKUP(B901,[1]Sheet1!$B:$B,[1]Sheet1!$T:$T,0)</f>
        <v>1064555</v>
      </c>
      <c r="R901" s="12">
        <f>_xlfn.XLOOKUP(B901,[1]Sheet1!$B:$B,[1]Sheet1!$U:$U,0)</f>
        <v>1064555</v>
      </c>
      <c r="S901" s="12">
        <f>_xlfn.XLOOKUP(B901,[1]Sheet1!$B:$B,[1]Sheet1!$V:$V,0)</f>
        <v>1064555</v>
      </c>
      <c r="T901" s="12">
        <f>_xlfn.XLOOKUP(B901,[1]Sheet1!$B:$B,[1]Sheet1!$W:$W,0)</f>
        <v>1064555</v>
      </c>
      <c r="U901" s="12">
        <f>_xlfn.XLOOKUP(B901,[1]Sheet1!$B:$B,[1]Sheet1!$X:$X,0)</f>
        <v>1064555</v>
      </c>
      <c r="V901" s="12">
        <f>_xlfn.XLOOKUP(B901,[1]Sheet1!$B:$B,[1]Sheet1!$Y:$Y,0)</f>
        <v>1064560</v>
      </c>
      <c r="W901" s="12">
        <f t="shared" si="31"/>
        <v>9581000</v>
      </c>
      <c r="X901" s="8" t="s">
        <v>1430</v>
      </c>
      <c r="Y901" s="8" t="s">
        <v>65</v>
      </c>
      <c r="Z901" s="8" t="s">
        <v>259</v>
      </c>
      <c r="AA901" s="8" t="s">
        <v>228</v>
      </c>
      <c r="AB901" s="8" t="s">
        <v>93</v>
      </c>
      <c r="AC901" s="8" t="s">
        <v>94</v>
      </c>
      <c r="AD901" s="8" t="s">
        <v>102</v>
      </c>
      <c r="AE901" s="8" t="s">
        <v>39</v>
      </c>
      <c r="AF901" s="8" t="s">
        <v>40</v>
      </c>
      <c r="AG901" s="9">
        <v>9581000</v>
      </c>
      <c r="AH901" s="11">
        <f>_xlfn.XLOOKUP(B901,[1]Sheet1!$B:$B,[1]Sheet1!$AB:$AB,0)</f>
        <v>9581000</v>
      </c>
    </row>
    <row r="902" spans="2:34" ht="16.8" thickTop="1" thickBot="1" x14ac:dyDescent="0.35">
      <c r="B902" s="3" t="str">
        <f t="shared" si="30"/>
        <v>45117004511001180Event Management-N1422401200104</v>
      </c>
      <c r="C902" s="6" t="s">
        <v>260</v>
      </c>
      <c r="D902" s="6" t="s">
        <v>1427</v>
      </c>
      <c r="E902" s="6" t="s">
        <v>1428</v>
      </c>
      <c r="F902" s="6" t="s">
        <v>122</v>
      </c>
      <c r="G902" s="4" t="s">
        <v>2807</v>
      </c>
      <c r="H902" s="4" t="s">
        <v>2922</v>
      </c>
      <c r="I902" s="6" t="s">
        <v>63</v>
      </c>
      <c r="J902" s="6" t="s">
        <v>31</v>
      </c>
      <c r="K902" s="12">
        <f>_xlfn.XLOOKUP(B902,[1]Sheet1!$B:$B,[1]Sheet1!$N:$N,0)</f>
        <v>0</v>
      </c>
      <c r="L902" s="12">
        <f>_xlfn.XLOOKUP(B902,[1]Sheet1!$B:$B,[1]Sheet1!$O:$O,0)</f>
        <v>3678000</v>
      </c>
      <c r="M902" s="12">
        <f>_xlfn.XLOOKUP(B902,[1]Sheet1!$B:$B,[1]Sheet1!$P:$P,0)</f>
        <v>100372.36000000034</v>
      </c>
      <c r="N902" s="12">
        <f>_xlfn.XLOOKUP(B902,[1]Sheet1!$B:$B,[1]Sheet1!$Q:$Q,0)</f>
        <v>0</v>
      </c>
      <c r="O902" s="12">
        <f>_xlfn.XLOOKUP(B902,[1]Sheet1!$B:$B,[1]Sheet1!$R:$R,0)</f>
        <v>42272401.159999996</v>
      </c>
      <c r="P902" s="12">
        <f>_xlfn.XLOOKUP(B902,[1]Sheet1!$B:$B,[1]Sheet1!$S:$S,0)</f>
        <v>6046381.54</v>
      </c>
      <c r="Q902" s="12">
        <f>_xlfn.XLOOKUP(B902,[1]Sheet1!$B:$B,[1]Sheet1!$T:$T,0)</f>
        <v>0</v>
      </c>
      <c r="R902" s="12">
        <f>_xlfn.XLOOKUP(B902,[1]Sheet1!$B:$B,[1]Sheet1!$U:$U,0)</f>
        <v>6718198.5999999996</v>
      </c>
      <c r="S902" s="12">
        <f>_xlfn.XLOOKUP(B902,[1]Sheet1!$B:$B,[1]Sheet1!$V:$V,0)</f>
        <v>0</v>
      </c>
      <c r="T902" s="12">
        <f>_xlfn.XLOOKUP(B902,[1]Sheet1!$B:$B,[1]Sheet1!$W:$W,0)</f>
        <v>10500000</v>
      </c>
      <c r="U902" s="12">
        <f>_xlfn.XLOOKUP(B902,[1]Sheet1!$B:$B,[1]Sheet1!$X:$X,0)</f>
        <v>0</v>
      </c>
      <c r="V902" s="12">
        <f>_xlfn.XLOOKUP(B902,[1]Sheet1!$B:$B,[1]Sheet1!$Y:$Y,0)</f>
        <v>0</v>
      </c>
      <c r="W902" s="12">
        <f t="shared" si="31"/>
        <v>69315353.659999996</v>
      </c>
      <c r="X902" s="6" t="s">
        <v>258</v>
      </c>
      <c r="Y902" s="6" t="s">
        <v>65</v>
      </c>
      <c r="Z902" s="6" t="s">
        <v>259</v>
      </c>
      <c r="AA902" s="6" t="s">
        <v>68</v>
      </c>
      <c r="AB902" s="6" t="s">
        <v>36</v>
      </c>
      <c r="AC902" s="6" t="s">
        <v>37</v>
      </c>
      <c r="AD902" s="6" t="s">
        <v>102</v>
      </c>
      <c r="AE902" s="6" t="s">
        <v>39</v>
      </c>
      <c r="AF902" s="6" t="s">
        <v>40</v>
      </c>
      <c r="AG902" s="7">
        <v>69260353</v>
      </c>
      <c r="AH902" s="11">
        <f>_xlfn.XLOOKUP(B902,[1]Sheet1!$B:$B,[1]Sheet1!$AB:$AB,0)</f>
        <v>69260353</v>
      </c>
    </row>
    <row r="903" spans="2:34" ht="16.8" thickTop="1" thickBot="1" x14ac:dyDescent="0.35">
      <c r="B903" s="3" t="str">
        <f t="shared" si="30"/>
        <v>45117004511001180FeasibilityStudy-N1424521200104</v>
      </c>
      <c r="C903" s="8" t="s">
        <v>260</v>
      </c>
      <c r="D903" s="8" t="s">
        <v>1427</v>
      </c>
      <c r="E903" s="8" t="s">
        <v>1428</v>
      </c>
      <c r="F903" s="8" t="s">
        <v>1432</v>
      </c>
      <c r="G903" s="4" t="s">
        <v>2804</v>
      </c>
      <c r="H903" s="4" t="s">
        <v>2922</v>
      </c>
      <c r="I903" s="8" t="s">
        <v>51</v>
      </c>
      <c r="J903" s="8" t="s">
        <v>31</v>
      </c>
      <c r="K903" s="12">
        <f>_xlfn.XLOOKUP(B903,[1]Sheet1!$B:$B,[1]Sheet1!$N:$N,0)</f>
        <v>0</v>
      </c>
      <c r="L903" s="12">
        <f>_xlfn.XLOOKUP(B903,[1]Sheet1!$B:$B,[1]Sheet1!$O:$O,0)</f>
        <v>0</v>
      </c>
      <c r="M903" s="12">
        <f>_xlfn.XLOOKUP(B903,[1]Sheet1!$B:$B,[1]Sheet1!$P:$P,0)</f>
        <v>0</v>
      </c>
      <c r="N903" s="12">
        <f>_xlfn.XLOOKUP(B903,[1]Sheet1!$B:$B,[1]Sheet1!$Q:$Q,0)</f>
        <v>0</v>
      </c>
      <c r="O903" s="12">
        <f>_xlfn.XLOOKUP(B903,[1]Sheet1!$B:$B,[1]Sheet1!$R:$R,0)</f>
        <v>0</v>
      </c>
      <c r="P903" s="12">
        <f>_xlfn.XLOOKUP(B903,[1]Sheet1!$B:$B,[1]Sheet1!$S:$S,0)</f>
        <v>150000</v>
      </c>
      <c r="Q903" s="12">
        <f>_xlfn.XLOOKUP(B903,[1]Sheet1!$B:$B,[1]Sheet1!$T:$T,0)</f>
        <v>0</v>
      </c>
      <c r="R903" s="12">
        <f>_xlfn.XLOOKUP(B903,[1]Sheet1!$B:$B,[1]Sheet1!$U:$U,0)</f>
        <v>0</v>
      </c>
      <c r="S903" s="12">
        <f>_xlfn.XLOOKUP(B903,[1]Sheet1!$B:$B,[1]Sheet1!$V:$V,0)</f>
        <v>0</v>
      </c>
      <c r="T903" s="12">
        <f>_xlfn.XLOOKUP(B903,[1]Sheet1!$B:$B,[1]Sheet1!$W:$W,0)</f>
        <v>0</v>
      </c>
      <c r="U903" s="12">
        <f>_xlfn.XLOOKUP(B903,[1]Sheet1!$B:$B,[1]Sheet1!$X:$X,0)</f>
        <v>150000</v>
      </c>
      <c r="V903" s="12">
        <f>_xlfn.XLOOKUP(B903,[1]Sheet1!$B:$B,[1]Sheet1!$Y:$Y,0)</f>
        <v>0</v>
      </c>
      <c r="W903" s="12">
        <f t="shared" si="31"/>
        <v>300000</v>
      </c>
      <c r="X903" s="8" t="s">
        <v>443</v>
      </c>
      <c r="Y903" s="8" t="s">
        <v>65</v>
      </c>
      <c r="Z903" s="8" t="s">
        <v>259</v>
      </c>
      <c r="AA903" s="8" t="s">
        <v>53</v>
      </c>
      <c r="AB903" s="8" t="s">
        <v>36</v>
      </c>
      <c r="AC903" s="8" t="s">
        <v>37</v>
      </c>
      <c r="AD903" s="8" t="s">
        <v>102</v>
      </c>
      <c r="AE903" s="8" t="s">
        <v>39</v>
      </c>
      <c r="AF903" s="8" t="s">
        <v>40</v>
      </c>
      <c r="AG903" s="9">
        <v>300000</v>
      </c>
      <c r="AH903" s="11">
        <f>_xlfn.XLOOKUP(B903,[1]Sheet1!$B:$B,[1]Sheet1!$AB:$AB,0)</f>
        <v>300000</v>
      </c>
    </row>
    <row r="904" spans="2:34" ht="16.8" thickTop="1" thickBot="1" x14ac:dyDescent="0.35">
      <c r="B904" s="3" t="str">
        <f t="shared" si="30"/>
        <v>45117004511001180Freelancers-N1424521200104</v>
      </c>
      <c r="C904" s="6" t="s">
        <v>260</v>
      </c>
      <c r="D904" s="6" t="s">
        <v>1427</v>
      </c>
      <c r="E904" s="6" t="s">
        <v>1428</v>
      </c>
      <c r="F904" s="6" t="s">
        <v>303</v>
      </c>
      <c r="G904" s="4" t="s">
        <v>2804</v>
      </c>
      <c r="H904" s="4" t="s">
        <v>2922</v>
      </c>
      <c r="I904" s="6" t="s">
        <v>51</v>
      </c>
      <c r="J904" s="6" t="s">
        <v>31</v>
      </c>
      <c r="K904" s="12">
        <f>_xlfn.XLOOKUP(B904,[1]Sheet1!$B:$B,[1]Sheet1!$N:$N,0)</f>
        <v>0</v>
      </c>
      <c r="L904" s="12">
        <f>_xlfn.XLOOKUP(B904,[1]Sheet1!$B:$B,[1]Sheet1!$O:$O,0)</f>
        <v>0</v>
      </c>
      <c r="M904" s="12">
        <f>_xlfn.XLOOKUP(B904,[1]Sheet1!$B:$B,[1]Sheet1!$P:$P,0)</f>
        <v>873274.64</v>
      </c>
      <c r="N904" s="12">
        <f>_xlfn.XLOOKUP(B904,[1]Sheet1!$B:$B,[1]Sheet1!$Q:$Q,0)</f>
        <v>0</v>
      </c>
      <c r="O904" s="12">
        <f>_xlfn.XLOOKUP(B904,[1]Sheet1!$B:$B,[1]Sheet1!$R:$R,0)</f>
        <v>207441</v>
      </c>
      <c r="P904" s="12">
        <f>_xlfn.XLOOKUP(B904,[1]Sheet1!$B:$B,[1]Sheet1!$S:$S,0)</f>
        <v>270179</v>
      </c>
      <c r="Q904" s="12">
        <f>_xlfn.XLOOKUP(B904,[1]Sheet1!$B:$B,[1]Sheet1!$T:$T,0)</f>
        <v>270179</v>
      </c>
      <c r="R904" s="12">
        <f>_xlfn.XLOOKUP(B904,[1]Sheet1!$B:$B,[1]Sheet1!$U:$U,0)</f>
        <v>270179</v>
      </c>
      <c r="S904" s="12">
        <f>_xlfn.XLOOKUP(B904,[1]Sheet1!$B:$B,[1]Sheet1!$V:$V,0)</f>
        <v>270179</v>
      </c>
      <c r="T904" s="12">
        <f>_xlfn.XLOOKUP(B904,[1]Sheet1!$B:$B,[1]Sheet1!$W:$W,0)</f>
        <v>270179</v>
      </c>
      <c r="U904" s="12">
        <f>_xlfn.XLOOKUP(B904,[1]Sheet1!$B:$B,[1]Sheet1!$X:$X,0)</f>
        <v>270179</v>
      </c>
      <c r="V904" s="12">
        <f>_xlfn.XLOOKUP(B904,[1]Sheet1!$B:$B,[1]Sheet1!$Y:$Y,0)</f>
        <v>340358</v>
      </c>
      <c r="W904" s="12">
        <f t="shared" si="31"/>
        <v>3042147.64</v>
      </c>
      <c r="X904" s="6" t="s">
        <v>443</v>
      </c>
      <c r="Y904" s="6" t="s">
        <v>65</v>
      </c>
      <c r="Z904" s="6" t="s">
        <v>259</v>
      </c>
      <c r="AA904" s="6" t="s">
        <v>53</v>
      </c>
      <c r="AB904" s="6" t="s">
        <v>36</v>
      </c>
      <c r="AC904" s="6" t="s">
        <v>37</v>
      </c>
      <c r="AD904" s="6" t="s">
        <v>102</v>
      </c>
      <c r="AE904" s="6" t="s">
        <v>39</v>
      </c>
      <c r="AF904" s="6" t="s">
        <v>40</v>
      </c>
      <c r="AG904" s="7">
        <v>3308148</v>
      </c>
      <c r="AH904" s="11">
        <f>_xlfn.XLOOKUP(B904,[1]Sheet1!$B:$B,[1]Sheet1!$AB:$AB,0)</f>
        <v>3308147.64</v>
      </c>
    </row>
    <row r="905" spans="2:34" ht="16.8" thickTop="1" thickBot="1" x14ac:dyDescent="0.35">
      <c r="B905" s="3" t="str">
        <f t="shared" si="30"/>
        <v>45117004511001180Hospitality-N1424761200104</v>
      </c>
      <c r="C905" s="8" t="s">
        <v>260</v>
      </c>
      <c r="D905" s="8" t="s">
        <v>1427</v>
      </c>
      <c r="E905" s="8" t="s">
        <v>1428</v>
      </c>
      <c r="F905" s="8" t="s">
        <v>399</v>
      </c>
      <c r="G905" s="4" t="s">
        <v>2811</v>
      </c>
      <c r="H905" s="4" t="s">
        <v>2922</v>
      </c>
      <c r="I905" s="8" t="s">
        <v>84</v>
      </c>
      <c r="J905" s="8" t="s">
        <v>31</v>
      </c>
      <c r="K905" s="12">
        <f>_xlfn.XLOOKUP(B905,[1]Sheet1!$B:$B,[1]Sheet1!$N:$N,0)</f>
        <v>0</v>
      </c>
      <c r="L905" s="12">
        <f>_xlfn.XLOOKUP(B905,[1]Sheet1!$B:$B,[1]Sheet1!$O:$O,0)</f>
        <v>0</v>
      </c>
      <c r="M905" s="12">
        <f>_xlfn.XLOOKUP(B905,[1]Sheet1!$B:$B,[1]Sheet1!$P:$P,0)</f>
        <v>0</v>
      </c>
      <c r="N905" s="12">
        <f>_xlfn.XLOOKUP(B905,[1]Sheet1!$B:$B,[1]Sheet1!$Q:$Q,0)</f>
        <v>0</v>
      </c>
      <c r="O905" s="12">
        <f>_xlfn.XLOOKUP(B905,[1]Sheet1!$B:$B,[1]Sheet1!$R:$R,0)</f>
        <v>0</v>
      </c>
      <c r="P905" s="12">
        <f>_xlfn.XLOOKUP(B905,[1]Sheet1!$B:$B,[1]Sheet1!$S:$S,0)</f>
        <v>0</v>
      </c>
      <c r="Q905" s="12">
        <f>_xlfn.XLOOKUP(B905,[1]Sheet1!$B:$B,[1]Sheet1!$T:$T,0)</f>
        <v>450000</v>
      </c>
      <c r="R905" s="12">
        <f>_xlfn.XLOOKUP(B905,[1]Sheet1!$B:$B,[1]Sheet1!$U:$U,0)</f>
        <v>0</v>
      </c>
      <c r="S905" s="12">
        <f>_xlfn.XLOOKUP(B905,[1]Sheet1!$B:$B,[1]Sheet1!$V:$V,0)</f>
        <v>0</v>
      </c>
      <c r="T905" s="12">
        <f>_xlfn.XLOOKUP(B905,[1]Sheet1!$B:$B,[1]Sheet1!$W:$W,0)</f>
        <v>450000</v>
      </c>
      <c r="U905" s="12">
        <f>_xlfn.XLOOKUP(B905,[1]Sheet1!$B:$B,[1]Sheet1!$X:$X,0)</f>
        <v>0</v>
      </c>
      <c r="V905" s="12">
        <f>_xlfn.XLOOKUP(B905,[1]Sheet1!$B:$B,[1]Sheet1!$Y:$Y,0)</f>
        <v>0</v>
      </c>
      <c r="W905" s="12">
        <f t="shared" si="31"/>
        <v>900000</v>
      </c>
      <c r="X905" s="8" t="s">
        <v>315</v>
      </c>
      <c r="Y905" s="8" t="s">
        <v>65</v>
      </c>
      <c r="Z905" s="8" t="s">
        <v>259</v>
      </c>
      <c r="AA905" s="8" t="s">
        <v>84</v>
      </c>
      <c r="AB905" s="8" t="s">
        <v>36</v>
      </c>
      <c r="AC905" s="8" t="s">
        <v>37</v>
      </c>
      <c r="AD905" s="8" t="s">
        <v>102</v>
      </c>
      <c r="AE905" s="8" t="s">
        <v>39</v>
      </c>
      <c r="AF905" s="8" t="s">
        <v>40</v>
      </c>
      <c r="AG905" s="9">
        <v>900000</v>
      </c>
      <c r="AH905" s="11">
        <f>_xlfn.XLOOKUP(B905,[1]Sheet1!$B:$B,[1]Sheet1!$AB:$AB,0)</f>
        <v>900000</v>
      </c>
    </row>
    <row r="906" spans="2:34" ht="16.8" thickTop="1" thickBot="1" x14ac:dyDescent="0.35">
      <c r="B906" s="3" t="str">
        <f t="shared" si="30"/>
        <v>45117004511001180Plant &amp; Tools-NC1491351300105</v>
      </c>
      <c r="C906" s="6" t="s">
        <v>260</v>
      </c>
      <c r="D906" s="6" t="s">
        <v>1427</v>
      </c>
      <c r="E906" s="6" t="s">
        <v>1428</v>
      </c>
      <c r="F906" s="6" t="s">
        <v>1433</v>
      </c>
      <c r="G906" s="4" t="s">
        <v>2829</v>
      </c>
      <c r="H906" s="4" t="s">
        <v>2923</v>
      </c>
      <c r="I906" s="6" t="s">
        <v>292</v>
      </c>
      <c r="J906" s="6" t="s">
        <v>31</v>
      </c>
      <c r="K906" s="12">
        <f>_xlfn.XLOOKUP(B906,[1]Sheet1!$B:$B,[1]Sheet1!$N:$N,0)</f>
        <v>0</v>
      </c>
      <c r="L906" s="12">
        <f>_xlfn.XLOOKUP(B906,[1]Sheet1!$B:$B,[1]Sheet1!$O:$O,0)</f>
        <v>0</v>
      </c>
      <c r="M906" s="12">
        <f>_xlfn.XLOOKUP(B906,[1]Sheet1!$B:$B,[1]Sheet1!$P:$P,0)</f>
        <v>0</v>
      </c>
      <c r="N906" s="12">
        <f>_xlfn.XLOOKUP(B906,[1]Sheet1!$B:$B,[1]Sheet1!$Q:$Q,0)</f>
        <v>0</v>
      </c>
      <c r="O906" s="12">
        <f>_xlfn.XLOOKUP(B906,[1]Sheet1!$B:$B,[1]Sheet1!$R:$R,0)</f>
        <v>155347</v>
      </c>
      <c r="P906" s="12">
        <f>_xlfn.XLOOKUP(B906,[1]Sheet1!$B:$B,[1]Sheet1!$S:$S,0)</f>
        <v>1278401</v>
      </c>
      <c r="Q906" s="12">
        <f>_xlfn.XLOOKUP(B906,[1]Sheet1!$B:$B,[1]Sheet1!$T:$T,0)</f>
        <v>0</v>
      </c>
      <c r="R906" s="12">
        <f>_xlfn.XLOOKUP(B906,[1]Sheet1!$B:$B,[1]Sheet1!$U:$U,0)</f>
        <v>0</v>
      </c>
      <c r="S906" s="12">
        <f>_xlfn.XLOOKUP(B906,[1]Sheet1!$B:$B,[1]Sheet1!$V:$V,0)</f>
        <v>6165577</v>
      </c>
      <c r="T906" s="12">
        <f>_xlfn.XLOOKUP(B906,[1]Sheet1!$B:$B,[1]Sheet1!$W:$W,0)</f>
        <v>0</v>
      </c>
      <c r="U906" s="12">
        <f>_xlfn.XLOOKUP(B906,[1]Sheet1!$B:$B,[1]Sheet1!$X:$X,0)</f>
        <v>500000</v>
      </c>
      <c r="V906" s="12">
        <f>_xlfn.XLOOKUP(B906,[1]Sheet1!$B:$B,[1]Sheet1!$Y:$Y,0)</f>
        <v>0</v>
      </c>
      <c r="W906" s="12">
        <f t="shared" si="31"/>
        <v>8099325</v>
      </c>
      <c r="X906" s="6" t="s">
        <v>1434</v>
      </c>
      <c r="Y906" s="6" t="s">
        <v>65</v>
      </c>
      <c r="Z906" s="6" t="s">
        <v>259</v>
      </c>
      <c r="AA906" s="6" t="s">
        <v>292</v>
      </c>
      <c r="AB906" s="6" t="s">
        <v>93</v>
      </c>
      <c r="AC906" s="6" t="s">
        <v>94</v>
      </c>
      <c r="AD906" s="6" t="s">
        <v>102</v>
      </c>
      <c r="AE906" s="6" t="s">
        <v>39</v>
      </c>
      <c r="AF906" s="6" t="s">
        <v>40</v>
      </c>
      <c r="AG906" s="7">
        <v>8099325</v>
      </c>
      <c r="AH906" s="11">
        <f>_xlfn.XLOOKUP(B906,[1]Sheet1!$B:$B,[1]Sheet1!$AB:$AB,0)</f>
        <v>8099325</v>
      </c>
    </row>
    <row r="907" spans="2:34" ht="16.8" thickTop="1" thickBot="1" x14ac:dyDescent="0.35">
      <c r="B907" s="3" t="str">
        <f t="shared" si="30"/>
        <v>45117004511001180Strategy Advice-N1421123200104</v>
      </c>
      <c r="C907" s="8" t="s">
        <v>260</v>
      </c>
      <c r="D907" s="8" t="s">
        <v>1427</v>
      </c>
      <c r="E907" s="8" t="s">
        <v>1428</v>
      </c>
      <c r="F907" s="8" t="s">
        <v>1435</v>
      </c>
      <c r="G907" s="4" t="s">
        <v>2827</v>
      </c>
      <c r="H907" s="4" t="s">
        <v>2922</v>
      </c>
      <c r="I907" s="8" t="s">
        <v>237</v>
      </c>
      <c r="J907" s="8" t="s">
        <v>31</v>
      </c>
      <c r="K907" s="12">
        <f>_xlfn.XLOOKUP(B907,[1]Sheet1!$B:$B,[1]Sheet1!$N:$N,0)</f>
        <v>0</v>
      </c>
      <c r="L907" s="12">
        <f>_xlfn.XLOOKUP(B907,[1]Sheet1!$B:$B,[1]Sheet1!$O:$O,0)</f>
        <v>0</v>
      </c>
      <c r="M907" s="12">
        <f>_xlfn.XLOOKUP(B907,[1]Sheet1!$B:$B,[1]Sheet1!$P:$P,0)</f>
        <v>0</v>
      </c>
      <c r="N907" s="12">
        <f>_xlfn.XLOOKUP(B907,[1]Sheet1!$B:$B,[1]Sheet1!$Q:$Q,0)</f>
        <v>0</v>
      </c>
      <c r="O907" s="12">
        <f>_xlfn.XLOOKUP(B907,[1]Sheet1!$B:$B,[1]Sheet1!$R:$R,0)</f>
        <v>2242498.1800000002</v>
      </c>
      <c r="P907" s="12">
        <f>_xlfn.XLOOKUP(B907,[1]Sheet1!$B:$B,[1]Sheet1!$S:$S,0)</f>
        <v>9750000</v>
      </c>
      <c r="Q907" s="12">
        <f>_xlfn.XLOOKUP(B907,[1]Sheet1!$B:$B,[1]Sheet1!$T:$T,0)</f>
        <v>0</v>
      </c>
      <c r="R907" s="12">
        <f>_xlfn.XLOOKUP(B907,[1]Sheet1!$B:$B,[1]Sheet1!$U:$U,0)</f>
        <v>0</v>
      </c>
      <c r="S907" s="12">
        <f>_xlfn.XLOOKUP(B907,[1]Sheet1!$B:$B,[1]Sheet1!$V:$V,0)</f>
        <v>0</v>
      </c>
      <c r="T907" s="12">
        <f>_xlfn.XLOOKUP(B907,[1]Sheet1!$B:$B,[1]Sheet1!$W:$W,0)</f>
        <v>0</v>
      </c>
      <c r="U907" s="12">
        <f>_xlfn.XLOOKUP(B907,[1]Sheet1!$B:$B,[1]Sheet1!$X:$X,0)</f>
        <v>9550000</v>
      </c>
      <c r="V907" s="12">
        <f>_xlfn.XLOOKUP(B907,[1]Sheet1!$B:$B,[1]Sheet1!$Y:$Y,0)</f>
        <v>0</v>
      </c>
      <c r="W907" s="12">
        <f t="shared" si="31"/>
        <v>21542498.18</v>
      </c>
      <c r="X907" s="8" t="s">
        <v>1436</v>
      </c>
      <c r="Y907" s="8" t="s">
        <v>65</v>
      </c>
      <c r="Z907" s="8" t="s">
        <v>259</v>
      </c>
      <c r="AA907" s="8" t="s">
        <v>237</v>
      </c>
      <c r="AB907" s="8" t="s">
        <v>36</v>
      </c>
      <c r="AC907" s="8" t="s">
        <v>37</v>
      </c>
      <c r="AD907" s="8" t="s">
        <v>102</v>
      </c>
      <c r="AE907" s="8" t="s">
        <v>39</v>
      </c>
      <c r="AF907" s="8" t="s">
        <v>40</v>
      </c>
      <c r="AG907" s="9">
        <v>21542498</v>
      </c>
      <c r="AH907" s="11">
        <f>_xlfn.XLOOKUP(B907,[1]Sheet1!$B:$B,[1]Sheet1!$AB:$AB,0)</f>
        <v>21542498.18</v>
      </c>
    </row>
    <row r="908" spans="2:34" ht="16.8" thickTop="1" thickBot="1" x14ac:dyDescent="0.35">
      <c r="B908" s="3" t="str">
        <f t="shared" si="30"/>
        <v>45126004511001183Admin Expenses-N1421125200104</v>
      </c>
      <c r="C908" s="6" t="s">
        <v>1414</v>
      </c>
      <c r="D908" s="6" t="s">
        <v>1437</v>
      </c>
      <c r="E908" s="6" t="s">
        <v>1438</v>
      </c>
      <c r="F908" s="6" t="s">
        <v>73</v>
      </c>
      <c r="G908" s="4" t="s">
        <v>2803</v>
      </c>
      <c r="H908" s="4" t="s">
        <v>2922</v>
      </c>
      <c r="I908" s="6" t="s">
        <v>44</v>
      </c>
      <c r="J908" s="6" t="s">
        <v>31</v>
      </c>
      <c r="K908" s="12">
        <f>_xlfn.XLOOKUP(B908,[1]Sheet1!$B:$B,[1]Sheet1!$N:$N,0)</f>
        <v>0</v>
      </c>
      <c r="L908" s="12">
        <f>_xlfn.XLOOKUP(B908,[1]Sheet1!$B:$B,[1]Sheet1!$O:$O,0)</f>
        <v>0</v>
      </c>
      <c r="M908" s="12">
        <f>_xlfn.XLOOKUP(B908,[1]Sheet1!$B:$B,[1]Sheet1!$P:$P,0)</f>
        <v>0</v>
      </c>
      <c r="N908" s="12">
        <f>_xlfn.XLOOKUP(B908,[1]Sheet1!$B:$B,[1]Sheet1!$Q:$Q,0)</f>
        <v>62867</v>
      </c>
      <c r="O908" s="12">
        <f>_xlfn.XLOOKUP(B908,[1]Sheet1!$B:$B,[1]Sheet1!$R:$R,0)</f>
        <v>32867</v>
      </c>
      <c r="P908" s="12">
        <f>_xlfn.XLOOKUP(B908,[1]Sheet1!$B:$B,[1]Sheet1!$S:$S,0)</f>
        <v>32867</v>
      </c>
      <c r="Q908" s="12">
        <f>_xlfn.XLOOKUP(B908,[1]Sheet1!$B:$B,[1]Sheet1!$T:$T,0)</f>
        <v>32867</v>
      </c>
      <c r="R908" s="12">
        <f>_xlfn.XLOOKUP(B908,[1]Sheet1!$B:$B,[1]Sheet1!$U:$U,0)</f>
        <v>32867</v>
      </c>
      <c r="S908" s="12">
        <f>_xlfn.XLOOKUP(B908,[1]Sheet1!$B:$B,[1]Sheet1!$V:$V,0)</f>
        <v>32867</v>
      </c>
      <c r="T908" s="12">
        <f>_xlfn.XLOOKUP(B908,[1]Sheet1!$B:$B,[1]Sheet1!$W:$W,0)</f>
        <v>32867</v>
      </c>
      <c r="U908" s="12">
        <f>_xlfn.XLOOKUP(B908,[1]Sheet1!$B:$B,[1]Sheet1!$X:$X,0)</f>
        <v>32867</v>
      </c>
      <c r="V908" s="12">
        <f>_xlfn.XLOOKUP(B908,[1]Sheet1!$B:$B,[1]Sheet1!$Y:$Y,0)</f>
        <v>32867</v>
      </c>
      <c r="W908" s="12">
        <f t="shared" si="31"/>
        <v>325803</v>
      </c>
      <c r="X908" s="6" t="s">
        <v>1439</v>
      </c>
      <c r="Y908" s="6" t="s">
        <v>33</v>
      </c>
      <c r="Z908" s="6" t="s">
        <v>1413</v>
      </c>
      <c r="AA908" s="6" t="s">
        <v>44</v>
      </c>
      <c r="AB908" s="6" t="s">
        <v>36</v>
      </c>
      <c r="AC908" s="6" t="s">
        <v>37</v>
      </c>
      <c r="AD908" s="6" t="s">
        <v>38</v>
      </c>
      <c r="AE908" s="6" t="s">
        <v>39</v>
      </c>
      <c r="AF908" s="6" t="s">
        <v>40</v>
      </c>
      <c r="AG908" s="7">
        <v>117303</v>
      </c>
      <c r="AH908" s="11">
        <f>_xlfn.XLOOKUP(B908,[1]Sheet1!$B:$B,[1]Sheet1!$AB:$AB,0)</f>
        <v>117303</v>
      </c>
    </row>
    <row r="909" spans="2:34" ht="16.8" thickTop="1" thickBot="1" x14ac:dyDescent="0.35">
      <c r="B909" s="3" t="str">
        <f t="shared" si="30"/>
        <v>45126004511001183Facilities Rent-N1425112200104</v>
      </c>
      <c r="C909" s="8" t="s">
        <v>1414</v>
      </c>
      <c r="D909" s="8" t="s">
        <v>1437</v>
      </c>
      <c r="E909" s="8" t="s">
        <v>1438</v>
      </c>
      <c r="F909" s="8" t="s">
        <v>631</v>
      </c>
      <c r="G909" s="4" t="s">
        <v>2848</v>
      </c>
      <c r="H909" s="4" t="s">
        <v>2922</v>
      </c>
      <c r="I909" s="8" t="s">
        <v>533</v>
      </c>
      <c r="J909" s="8" t="s">
        <v>31</v>
      </c>
      <c r="K909" s="12">
        <f>_xlfn.XLOOKUP(B909,[1]Sheet1!$B:$B,[1]Sheet1!$N:$N,0)</f>
        <v>0</v>
      </c>
      <c r="L909" s="12">
        <f>_xlfn.XLOOKUP(B909,[1]Sheet1!$B:$B,[1]Sheet1!$O:$O,0)</f>
        <v>0</v>
      </c>
      <c r="M909" s="12">
        <f>_xlfn.XLOOKUP(B909,[1]Sheet1!$B:$B,[1]Sheet1!$P:$P,0)</f>
        <v>0</v>
      </c>
      <c r="N909" s="12">
        <f>_xlfn.XLOOKUP(B909,[1]Sheet1!$B:$B,[1]Sheet1!$Q:$Q,0)</f>
        <v>148435.91999999998</v>
      </c>
      <c r="O909" s="12">
        <f>_xlfn.XLOOKUP(B909,[1]Sheet1!$B:$B,[1]Sheet1!$R:$R,0)</f>
        <v>37108.92</v>
      </c>
      <c r="P909" s="12">
        <f>_xlfn.XLOOKUP(B909,[1]Sheet1!$B:$B,[1]Sheet1!$S:$S,0)</f>
        <v>37108.92</v>
      </c>
      <c r="Q909" s="12">
        <f>_xlfn.XLOOKUP(B909,[1]Sheet1!$B:$B,[1]Sheet1!$T:$T,0)</f>
        <v>37108.92</v>
      </c>
      <c r="R909" s="12">
        <f>_xlfn.XLOOKUP(B909,[1]Sheet1!$B:$B,[1]Sheet1!$U:$U,0)</f>
        <v>37108.92</v>
      </c>
      <c r="S909" s="12">
        <f>_xlfn.XLOOKUP(B909,[1]Sheet1!$B:$B,[1]Sheet1!$V:$V,0)</f>
        <v>37108.92</v>
      </c>
      <c r="T909" s="12">
        <f>_xlfn.XLOOKUP(B909,[1]Sheet1!$B:$B,[1]Sheet1!$W:$W,0)</f>
        <v>37108.92</v>
      </c>
      <c r="U909" s="12">
        <f>_xlfn.XLOOKUP(B909,[1]Sheet1!$B:$B,[1]Sheet1!$X:$X,0)</f>
        <v>37108.92</v>
      </c>
      <c r="V909" s="12">
        <f>_xlfn.XLOOKUP(B909,[1]Sheet1!$B:$B,[1]Sheet1!$Y:$Y,0)</f>
        <v>37108.92</v>
      </c>
      <c r="W909" s="12">
        <f t="shared" si="31"/>
        <v>445307.27999999985</v>
      </c>
      <c r="X909" s="8" t="s">
        <v>1440</v>
      </c>
      <c r="Y909" s="8" t="s">
        <v>33</v>
      </c>
      <c r="Z909" s="8" t="s">
        <v>1413</v>
      </c>
      <c r="AA909" s="8" t="s">
        <v>533</v>
      </c>
      <c r="AB909" s="8" t="s">
        <v>36</v>
      </c>
      <c r="AC909" s="8" t="s">
        <v>37</v>
      </c>
      <c r="AD909" s="8" t="s">
        <v>38</v>
      </c>
      <c r="AE909" s="8" t="s">
        <v>39</v>
      </c>
      <c r="AF909" s="8" t="s">
        <v>40</v>
      </c>
      <c r="AG909" s="9">
        <v>653807</v>
      </c>
      <c r="AH909" s="11">
        <f>_xlfn.XLOOKUP(B909,[1]Sheet1!$B:$B,[1]Sheet1!$AB:$AB,0)</f>
        <v>653807.2799999998</v>
      </c>
    </row>
    <row r="910" spans="2:34" ht="16.8" thickTop="1" thickBot="1" x14ac:dyDescent="0.35">
      <c r="B910" s="3" t="str">
        <f t="shared" si="30"/>
        <v>45126004511001183Furniture-N1491711300105</v>
      </c>
      <c r="C910" s="6" t="s">
        <v>1414</v>
      </c>
      <c r="D910" s="6" t="s">
        <v>1437</v>
      </c>
      <c r="E910" s="6" t="s">
        <v>1438</v>
      </c>
      <c r="F910" s="6" t="s">
        <v>1441</v>
      </c>
      <c r="G910" s="4" t="s">
        <v>2854</v>
      </c>
      <c r="H910" s="4" t="s">
        <v>2923</v>
      </c>
      <c r="I910" s="6" t="s">
        <v>639</v>
      </c>
      <c r="J910" s="6" t="s">
        <v>31</v>
      </c>
      <c r="K910" s="12">
        <f>_xlfn.XLOOKUP(B910,[1]Sheet1!$B:$B,[1]Sheet1!$N:$N,0)</f>
        <v>0</v>
      </c>
      <c r="L910" s="12">
        <f>_xlfn.XLOOKUP(B910,[1]Sheet1!$B:$B,[1]Sheet1!$O:$O,0)</f>
        <v>0</v>
      </c>
      <c r="M910" s="12">
        <f>_xlfn.XLOOKUP(B910,[1]Sheet1!$B:$B,[1]Sheet1!$P:$P,0)</f>
        <v>0</v>
      </c>
      <c r="N910" s="12">
        <f>_xlfn.XLOOKUP(B910,[1]Sheet1!$B:$B,[1]Sheet1!$Q:$Q,0)</f>
        <v>0</v>
      </c>
      <c r="O910" s="12">
        <f>_xlfn.XLOOKUP(B910,[1]Sheet1!$B:$B,[1]Sheet1!$R:$R,0)</f>
        <v>220000</v>
      </c>
      <c r="P910" s="12">
        <f>_xlfn.XLOOKUP(B910,[1]Sheet1!$B:$B,[1]Sheet1!$S:$S,0)</f>
        <v>0</v>
      </c>
      <c r="Q910" s="12">
        <f>_xlfn.XLOOKUP(B910,[1]Sheet1!$B:$B,[1]Sheet1!$T:$T,0)</f>
        <v>0</v>
      </c>
      <c r="R910" s="12">
        <f>_xlfn.XLOOKUP(B910,[1]Sheet1!$B:$B,[1]Sheet1!$U:$U,0)</f>
        <v>0</v>
      </c>
      <c r="S910" s="12">
        <f>_xlfn.XLOOKUP(B910,[1]Sheet1!$B:$B,[1]Sheet1!$V:$V,0)</f>
        <v>660000</v>
      </c>
      <c r="T910" s="12">
        <f>_xlfn.XLOOKUP(B910,[1]Sheet1!$B:$B,[1]Sheet1!$W:$W,0)</f>
        <v>0</v>
      </c>
      <c r="U910" s="12">
        <f>_xlfn.XLOOKUP(B910,[1]Sheet1!$B:$B,[1]Sheet1!$X:$X,0)</f>
        <v>1320000</v>
      </c>
      <c r="V910" s="12">
        <f>_xlfn.XLOOKUP(B910,[1]Sheet1!$B:$B,[1]Sheet1!$Y:$Y,0)</f>
        <v>0</v>
      </c>
      <c r="W910" s="12">
        <f t="shared" si="31"/>
        <v>2200000</v>
      </c>
      <c r="X910" s="6" t="s">
        <v>1442</v>
      </c>
      <c r="Y910" s="6" t="s">
        <v>33</v>
      </c>
      <c r="Z910" s="6" t="s">
        <v>1413</v>
      </c>
      <c r="AA910" s="6" t="s">
        <v>639</v>
      </c>
      <c r="AB910" s="6" t="s">
        <v>93</v>
      </c>
      <c r="AC910" s="6" t="s">
        <v>94</v>
      </c>
      <c r="AD910" s="6" t="s">
        <v>38</v>
      </c>
      <c r="AE910" s="6" t="s">
        <v>39</v>
      </c>
      <c r="AF910" s="6" t="s">
        <v>40</v>
      </c>
      <c r="AG910" s="7">
        <v>497222</v>
      </c>
      <c r="AH910" s="11">
        <f>_xlfn.XLOOKUP(B910,[1]Sheet1!$B:$B,[1]Sheet1!$AB:$AB,0)</f>
        <v>497222</v>
      </c>
    </row>
    <row r="911" spans="2:34" ht="16.8" thickTop="1" thickBot="1" x14ac:dyDescent="0.35">
      <c r="B911" s="3" t="str">
        <f t="shared" si="30"/>
        <v>45126004511001183Mission &amp; Travel-N1423821200104</v>
      </c>
      <c r="C911" s="8" t="s">
        <v>1414</v>
      </c>
      <c r="D911" s="8" t="s">
        <v>1437</v>
      </c>
      <c r="E911" s="8" t="s">
        <v>1438</v>
      </c>
      <c r="F911" s="8" t="s">
        <v>472</v>
      </c>
      <c r="G911" s="4" t="s">
        <v>2805</v>
      </c>
      <c r="H911" s="4" t="s">
        <v>2922</v>
      </c>
      <c r="I911" s="8" t="s">
        <v>55</v>
      </c>
      <c r="J911" s="8" t="s">
        <v>31</v>
      </c>
      <c r="K911" s="12">
        <f>_xlfn.XLOOKUP(B911,[1]Sheet1!$B:$B,[1]Sheet1!$N:$N,0)</f>
        <v>0</v>
      </c>
      <c r="L911" s="12">
        <f>_xlfn.XLOOKUP(B911,[1]Sheet1!$B:$B,[1]Sheet1!$O:$O,0)</f>
        <v>0</v>
      </c>
      <c r="M911" s="12">
        <f>_xlfn.XLOOKUP(B911,[1]Sheet1!$B:$B,[1]Sheet1!$P:$P,0)</f>
        <v>0</v>
      </c>
      <c r="N911" s="12">
        <f>_xlfn.XLOOKUP(B911,[1]Sheet1!$B:$B,[1]Sheet1!$Q:$Q,0)</f>
        <v>0</v>
      </c>
      <c r="O911" s="12">
        <f>_xlfn.XLOOKUP(B911,[1]Sheet1!$B:$B,[1]Sheet1!$R:$R,0)</f>
        <v>0</v>
      </c>
      <c r="P911" s="12">
        <f>_xlfn.XLOOKUP(B911,[1]Sheet1!$B:$B,[1]Sheet1!$S:$S,0)</f>
        <v>0</v>
      </c>
      <c r="Q911" s="12">
        <f>_xlfn.XLOOKUP(B911,[1]Sheet1!$B:$B,[1]Sheet1!$T:$T,0)</f>
        <v>0</v>
      </c>
      <c r="R911" s="12">
        <f>_xlfn.XLOOKUP(B911,[1]Sheet1!$B:$B,[1]Sheet1!$U:$U,0)</f>
        <v>100000</v>
      </c>
      <c r="S911" s="12">
        <f>_xlfn.XLOOKUP(B911,[1]Sheet1!$B:$B,[1]Sheet1!$V:$V,0)</f>
        <v>150000</v>
      </c>
      <c r="T911" s="12">
        <f>_xlfn.XLOOKUP(B911,[1]Sheet1!$B:$B,[1]Sheet1!$W:$W,0)</f>
        <v>0</v>
      </c>
      <c r="U911" s="12">
        <f>_xlfn.XLOOKUP(B911,[1]Sheet1!$B:$B,[1]Sheet1!$X:$X,0)</f>
        <v>0</v>
      </c>
      <c r="V911" s="12">
        <f>_xlfn.XLOOKUP(B911,[1]Sheet1!$B:$B,[1]Sheet1!$Y:$Y,0)</f>
        <v>0</v>
      </c>
      <c r="W911" s="12">
        <f t="shared" si="31"/>
        <v>250000</v>
      </c>
      <c r="X911" s="8" t="s">
        <v>1443</v>
      </c>
      <c r="Y911" s="8" t="s">
        <v>33</v>
      </c>
      <c r="Z911" s="8" t="s">
        <v>1413</v>
      </c>
      <c r="AA911" s="8" t="s">
        <v>55</v>
      </c>
      <c r="AB911" s="8" t="s">
        <v>36</v>
      </c>
      <c r="AC911" s="8" t="s">
        <v>37</v>
      </c>
      <c r="AD911" s="8" t="s">
        <v>38</v>
      </c>
      <c r="AE911" s="8" t="s">
        <v>39</v>
      </c>
      <c r="AF911" s="8" t="s">
        <v>40</v>
      </c>
      <c r="AG911" s="9">
        <v>250000</v>
      </c>
      <c r="AH911" s="11">
        <f>_xlfn.XLOOKUP(B911,[1]Sheet1!$B:$B,[1]Sheet1!$AB:$AB,0)</f>
        <v>250000</v>
      </c>
    </row>
    <row r="912" spans="2:34" ht="16.8" thickTop="1" thickBot="1" x14ac:dyDescent="0.35">
      <c r="B912" s="3" t="str">
        <f t="shared" si="30"/>
        <v>45123004511001184Freelancers-N424521200104</v>
      </c>
      <c r="C912" s="6" t="s">
        <v>723</v>
      </c>
      <c r="D912" s="6" t="s">
        <v>1444</v>
      </c>
      <c r="E912" s="6" t="s">
        <v>1445</v>
      </c>
      <c r="F912" s="6" t="s">
        <v>50</v>
      </c>
      <c r="G912" s="4" t="s">
        <v>2804</v>
      </c>
      <c r="H912" s="4" t="s">
        <v>2922</v>
      </c>
      <c r="I912" s="6" t="s">
        <v>51</v>
      </c>
      <c r="J912" s="6" t="s">
        <v>31</v>
      </c>
      <c r="K912" s="12">
        <f>_xlfn.XLOOKUP(B912,[1]Sheet1!$B:$B,[1]Sheet1!$N:$N,0)</f>
        <v>0</v>
      </c>
      <c r="L912" s="12">
        <f>_xlfn.XLOOKUP(B912,[1]Sheet1!$B:$B,[1]Sheet1!$O:$O,0)</f>
        <v>136000</v>
      </c>
      <c r="M912" s="12">
        <f>_xlfn.XLOOKUP(B912,[1]Sheet1!$B:$B,[1]Sheet1!$P:$P,0)</f>
        <v>68000</v>
      </c>
      <c r="N912" s="12">
        <f>_xlfn.XLOOKUP(B912,[1]Sheet1!$B:$B,[1]Sheet1!$Q:$Q,0)</f>
        <v>68000</v>
      </c>
      <c r="O912" s="12">
        <f>_xlfn.XLOOKUP(B912,[1]Sheet1!$B:$B,[1]Sheet1!$R:$R,0)</f>
        <v>68000</v>
      </c>
      <c r="P912" s="12">
        <f>_xlfn.XLOOKUP(B912,[1]Sheet1!$B:$B,[1]Sheet1!$S:$S,0)</f>
        <v>68000</v>
      </c>
      <c r="Q912" s="12">
        <f>_xlfn.XLOOKUP(B912,[1]Sheet1!$B:$B,[1]Sheet1!$T:$T,0)</f>
        <v>68000</v>
      </c>
      <c r="R912" s="12">
        <f>_xlfn.XLOOKUP(B912,[1]Sheet1!$B:$B,[1]Sheet1!$U:$U,0)</f>
        <v>68000</v>
      </c>
      <c r="S912" s="12">
        <f>_xlfn.XLOOKUP(B912,[1]Sheet1!$B:$B,[1]Sheet1!$V:$V,0)</f>
        <v>68000</v>
      </c>
      <c r="T912" s="12">
        <f>_xlfn.XLOOKUP(B912,[1]Sheet1!$B:$B,[1]Sheet1!$W:$W,0)</f>
        <v>68000</v>
      </c>
      <c r="U912" s="12">
        <f>_xlfn.XLOOKUP(B912,[1]Sheet1!$B:$B,[1]Sheet1!$X:$X,0)</f>
        <v>0</v>
      </c>
      <c r="V912" s="12">
        <f>_xlfn.XLOOKUP(B912,[1]Sheet1!$B:$B,[1]Sheet1!$Y:$Y,0)</f>
        <v>0</v>
      </c>
      <c r="W912" s="12">
        <f t="shared" si="31"/>
        <v>680000</v>
      </c>
      <c r="X912" s="6" t="s">
        <v>726</v>
      </c>
      <c r="Y912" s="6" t="s">
        <v>721</v>
      </c>
      <c r="Z912" s="6" t="s">
        <v>722</v>
      </c>
      <c r="AA912" s="6" t="s">
        <v>53</v>
      </c>
      <c r="AB912" s="6" t="s">
        <v>36</v>
      </c>
      <c r="AC912" s="6" t="s">
        <v>37</v>
      </c>
      <c r="AD912" s="6" t="s">
        <v>724</v>
      </c>
      <c r="AE912" s="6" t="s">
        <v>39</v>
      </c>
      <c r="AF912" s="6" t="s">
        <v>40</v>
      </c>
      <c r="AG912" s="7">
        <v>680000</v>
      </c>
      <c r="AH912" s="11">
        <f>_xlfn.XLOOKUP(B912,[1]Sheet1!$B:$B,[1]Sheet1!$AB:$AB,0)</f>
        <v>680000</v>
      </c>
    </row>
    <row r="913" spans="2:34" ht="16.8" thickTop="1" thickBot="1" x14ac:dyDescent="0.35">
      <c r="B913" s="3" t="str">
        <f t="shared" si="30"/>
        <v>45123004511001184Hospitality-N424761200104</v>
      </c>
      <c r="C913" s="8" t="s">
        <v>723</v>
      </c>
      <c r="D913" s="8" t="s">
        <v>1444</v>
      </c>
      <c r="E913" s="8" t="s">
        <v>1445</v>
      </c>
      <c r="F913" s="8" t="s">
        <v>83</v>
      </c>
      <c r="G913" s="4" t="s">
        <v>2811</v>
      </c>
      <c r="H913" s="4" t="s">
        <v>2922</v>
      </c>
      <c r="I913" s="8" t="s">
        <v>84</v>
      </c>
      <c r="J913" s="8" t="s">
        <v>31</v>
      </c>
      <c r="K913" s="12">
        <f>_xlfn.XLOOKUP(B913,[1]Sheet1!$B:$B,[1]Sheet1!$N:$N,0)</f>
        <v>0</v>
      </c>
      <c r="L913" s="12">
        <f>_xlfn.XLOOKUP(B913,[1]Sheet1!$B:$B,[1]Sheet1!$O:$O,0)</f>
        <v>0</v>
      </c>
      <c r="M913" s="12">
        <f>_xlfn.XLOOKUP(B913,[1]Sheet1!$B:$B,[1]Sheet1!$P:$P,0)</f>
        <v>0</v>
      </c>
      <c r="N913" s="12">
        <f>_xlfn.XLOOKUP(B913,[1]Sheet1!$B:$B,[1]Sheet1!$Q:$Q,0)</f>
        <v>0</v>
      </c>
      <c r="O913" s="12">
        <f>_xlfn.XLOOKUP(B913,[1]Sheet1!$B:$B,[1]Sheet1!$R:$R,0)</f>
        <v>0</v>
      </c>
      <c r="P913" s="12">
        <f>_xlfn.XLOOKUP(B913,[1]Sheet1!$B:$B,[1]Sheet1!$S:$S,0)</f>
        <v>0</v>
      </c>
      <c r="Q913" s="12">
        <f>_xlfn.XLOOKUP(B913,[1]Sheet1!$B:$B,[1]Sheet1!$T:$T,0)</f>
        <v>0</v>
      </c>
      <c r="R913" s="12">
        <f>_xlfn.XLOOKUP(B913,[1]Sheet1!$B:$B,[1]Sheet1!$U:$U,0)</f>
        <v>46995</v>
      </c>
      <c r="S913" s="12">
        <f>_xlfn.XLOOKUP(B913,[1]Sheet1!$B:$B,[1]Sheet1!$V:$V,0)</f>
        <v>0</v>
      </c>
      <c r="T913" s="12">
        <f>_xlfn.XLOOKUP(B913,[1]Sheet1!$B:$B,[1]Sheet1!$W:$W,0)</f>
        <v>0</v>
      </c>
      <c r="U913" s="12">
        <f>_xlfn.XLOOKUP(B913,[1]Sheet1!$B:$B,[1]Sheet1!$X:$X,0)</f>
        <v>0</v>
      </c>
      <c r="V913" s="12">
        <f>_xlfn.XLOOKUP(B913,[1]Sheet1!$B:$B,[1]Sheet1!$Y:$Y,0)</f>
        <v>0</v>
      </c>
      <c r="W913" s="12">
        <f t="shared" si="31"/>
        <v>46995</v>
      </c>
      <c r="X913" s="8" t="s">
        <v>1446</v>
      </c>
      <c r="Y913" s="8" t="s">
        <v>721</v>
      </c>
      <c r="Z913" s="8" t="s">
        <v>722</v>
      </c>
      <c r="AA913" s="8" t="s">
        <v>84</v>
      </c>
      <c r="AB913" s="8" t="s">
        <v>36</v>
      </c>
      <c r="AC913" s="8" t="s">
        <v>37</v>
      </c>
      <c r="AD913" s="8" t="s">
        <v>724</v>
      </c>
      <c r="AE913" s="8" t="s">
        <v>39</v>
      </c>
      <c r="AF913" s="8" t="s">
        <v>40</v>
      </c>
      <c r="AG913" s="9">
        <v>46995</v>
      </c>
      <c r="AH913" s="11">
        <f>_xlfn.XLOOKUP(B913,[1]Sheet1!$B:$B,[1]Sheet1!$AB:$AB,0)</f>
        <v>46995</v>
      </c>
    </row>
    <row r="914" spans="2:34" ht="16.8" thickTop="1" thickBot="1" x14ac:dyDescent="0.35">
      <c r="B914" s="3" t="str">
        <f t="shared" si="30"/>
        <v>45123004511001184Manpower-N424521200104</v>
      </c>
      <c r="C914" s="6" t="s">
        <v>723</v>
      </c>
      <c r="D914" s="6" t="s">
        <v>1444</v>
      </c>
      <c r="E914" s="6" t="s">
        <v>1445</v>
      </c>
      <c r="F914" s="6" t="s">
        <v>98</v>
      </c>
      <c r="G914" s="4" t="s">
        <v>2804</v>
      </c>
      <c r="H914" s="4" t="s">
        <v>2922</v>
      </c>
      <c r="I914" s="6" t="s">
        <v>51</v>
      </c>
      <c r="J914" s="6" t="s">
        <v>31</v>
      </c>
      <c r="K914" s="12">
        <f>_xlfn.XLOOKUP(B914,[1]Sheet1!$B:$B,[1]Sheet1!$N:$N,0)</f>
        <v>0</v>
      </c>
      <c r="L914" s="12">
        <f>_xlfn.XLOOKUP(B914,[1]Sheet1!$B:$B,[1]Sheet1!$O:$O,0)</f>
        <v>0</v>
      </c>
      <c r="M914" s="12">
        <f>_xlfn.XLOOKUP(B914,[1]Sheet1!$B:$B,[1]Sheet1!$P:$P,0)</f>
        <v>0</v>
      </c>
      <c r="N914" s="12">
        <f>_xlfn.XLOOKUP(B914,[1]Sheet1!$B:$B,[1]Sheet1!$Q:$Q,0)</f>
        <v>0</v>
      </c>
      <c r="O914" s="12">
        <f>_xlfn.XLOOKUP(B914,[1]Sheet1!$B:$B,[1]Sheet1!$R:$R,0)</f>
        <v>0</v>
      </c>
      <c r="P914" s="12">
        <f>_xlfn.XLOOKUP(B914,[1]Sheet1!$B:$B,[1]Sheet1!$S:$S,0)</f>
        <v>0</v>
      </c>
      <c r="Q914" s="12">
        <f>_xlfn.XLOOKUP(B914,[1]Sheet1!$B:$B,[1]Sheet1!$T:$T,0)</f>
        <v>0</v>
      </c>
      <c r="R914" s="12">
        <f>_xlfn.XLOOKUP(B914,[1]Sheet1!$B:$B,[1]Sheet1!$U:$U,0)</f>
        <v>0</v>
      </c>
      <c r="S914" s="12">
        <f>_xlfn.XLOOKUP(B914,[1]Sheet1!$B:$B,[1]Sheet1!$V:$V,0)</f>
        <v>0</v>
      </c>
      <c r="T914" s="12">
        <f>_xlfn.XLOOKUP(B914,[1]Sheet1!$B:$B,[1]Sheet1!$W:$W,0)</f>
        <v>0</v>
      </c>
      <c r="U914" s="12">
        <f>_xlfn.XLOOKUP(B914,[1]Sheet1!$B:$B,[1]Sheet1!$X:$X,0)</f>
        <v>0</v>
      </c>
      <c r="V914" s="12">
        <f>_xlfn.XLOOKUP(B914,[1]Sheet1!$B:$B,[1]Sheet1!$Y:$Y,0)</f>
        <v>0</v>
      </c>
      <c r="W914" s="12">
        <f t="shared" si="31"/>
        <v>0</v>
      </c>
      <c r="X914" s="6" t="s">
        <v>726</v>
      </c>
      <c r="Y914" s="6" t="s">
        <v>721</v>
      </c>
      <c r="Z914" s="6" t="s">
        <v>722</v>
      </c>
      <c r="AA914" s="6" t="s">
        <v>53</v>
      </c>
      <c r="AB914" s="6" t="s">
        <v>36</v>
      </c>
      <c r="AC914" s="6" t="s">
        <v>37</v>
      </c>
      <c r="AD914" s="6" t="s">
        <v>724</v>
      </c>
      <c r="AE914" s="6" t="s">
        <v>39</v>
      </c>
      <c r="AF914" s="6" t="s">
        <v>40</v>
      </c>
      <c r="AG914" s="7">
        <v>3400000</v>
      </c>
      <c r="AH914" s="11">
        <f>_xlfn.XLOOKUP(B914,[1]Sheet1!$B:$B,[1]Sheet1!$AB:$AB,0)</f>
        <v>3400000</v>
      </c>
    </row>
    <row r="915" spans="2:34" ht="16.8" thickTop="1" thickBot="1" x14ac:dyDescent="0.35">
      <c r="B915" s="3" t="str">
        <f t="shared" si="30"/>
        <v>45123004511001185Strategy Advice-N421123200104</v>
      </c>
      <c r="C915" s="8" t="s">
        <v>723</v>
      </c>
      <c r="D915" s="8" t="s">
        <v>1447</v>
      </c>
      <c r="E915" s="8" t="s">
        <v>1448</v>
      </c>
      <c r="F915" s="8" t="s">
        <v>236</v>
      </c>
      <c r="G915" s="4" t="s">
        <v>2827</v>
      </c>
      <c r="H915" s="4" t="s">
        <v>2922</v>
      </c>
      <c r="I915" s="8" t="s">
        <v>237</v>
      </c>
      <c r="J915" s="8" t="s">
        <v>31</v>
      </c>
      <c r="K915" s="12">
        <f>_xlfn.XLOOKUP(B915,[1]Sheet1!$B:$B,[1]Sheet1!$N:$N,0)</f>
        <v>0</v>
      </c>
      <c r="L915" s="12">
        <f>_xlfn.XLOOKUP(B915,[1]Sheet1!$B:$B,[1]Sheet1!$O:$O,0)</f>
        <v>0</v>
      </c>
      <c r="M915" s="12">
        <f>_xlfn.XLOOKUP(B915,[1]Sheet1!$B:$B,[1]Sheet1!$P:$P,0)</f>
        <v>0</v>
      </c>
      <c r="N915" s="12">
        <f>_xlfn.XLOOKUP(B915,[1]Sheet1!$B:$B,[1]Sheet1!$Q:$Q,0)</f>
        <v>0</v>
      </c>
      <c r="O915" s="12">
        <f>_xlfn.XLOOKUP(B915,[1]Sheet1!$B:$B,[1]Sheet1!$R:$R,0)</f>
        <v>0</v>
      </c>
      <c r="P915" s="12">
        <f>_xlfn.XLOOKUP(B915,[1]Sheet1!$B:$B,[1]Sheet1!$S:$S,0)</f>
        <v>890000</v>
      </c>
      <c r="Q915" s="12">
        <f>_xlfn.XLOOKUP(B915,[1]Sheet1!$B:$B,[1]Sheet1!$T:$T,0)</f>
        <v>500000</v>
      </c>
      <c r="R915" s="12">
        <f>_xlfn.XLOOKUP(B915,[1]Sheet1!$B:$B,[1]Sheet1!$U:$U,0)</f>
        <v>500000</v>
      </c>
      <c r="S915" s="12">
        <f>_xlfn.XLOOKUP(B915,[1]Sheet1!$B:$B,[1]Sheet1!$V:$V,0)</f>
        <v>1000000</v>
      </c>
      <c r="T915" s="12">
        <f>_xlfn.XLOOKUP(B915,[1]Sheet1!$B:$B,[1]Sheet1!$W:$W,0)</f>
        <v>1000000</v>
      </c>
      <c r="U915" s="12">
        <f>_xlfn.XLOOKUP(B915,[1]Sheet1!$B:$B,[1]Sheet1!$X:$X,0)</f>
        <v>1000000</v>
      </c>
      <c r="V915" s="12">
        <f>_xlfn.XLOOKUP(B915,[1]Sheet1!$B:$B,[1]Sheet1!$Y:$Y,0)</f>
        <v>1000000</v>
      </c>
      <c r="W915" s="12">
        <f t="shared" si="31"/>
        <v>5890000</v>
      </c>
      <c r="X915" s="8" t="s">
        <v>1449</v>
      </c>
      <c r="Y915" s="8" t="s">
        <v>721</v>
      </c>
      <c r="Z915" s="8" t="s">
        <v>722</v>
      </c>
      <c r="AA915" s="8" t="s">
        <v>237</v>
      </c>
      <c r="AB915" s="8" t="s">
        <v>36</v>
      </c>
      <c r="AC915" s="8" t="s">
        <v>37</v>
      </c>
      <c r="AD915" s="8" t="s">
        <v>724</v>
      </c>
      <c r="AE915" s="8" t="s">
        <v>39</v>
      </c>
      <c r="AF915" s="8" t="s">
        <v>40</v>
      </c>
      <c r="AG915" s="9">
        <v>5890000</v>
      </c>
      <c r="AH915" s="11">
        <f>_xlfn.XLOOKUP(B915,[1]Sheet1!$B:$B,[1]Sheet1!$AB:$AB,0)</f>
        <v>5890000</v>
      </c>
    </row>
    <row r="916" spans="2:34" ht="16.8" thickTop="1" thickBot="1" x14ac:dyDescent="0.35">
      <c r="B916" s="3" t="str">
        <f t="shared" si="30"/>
        <v>45123004511001187ManagementAdvice-N1424521200104</v>
      </c>
      <c r="C916" s="6" t="s">
        <v>723</v>
      </c>
      <c r="D916" s="6" t="s">
        <v>1450</v>
      </c>
      <c r="E916" s="6" t="s">
        <v>1451</v>
      </c>
      <c r="F916" s="6" t="s">
        <v>725</v>
      </c>
      <c r="G916" s="4" t="s">
        <v>2804</v>
      </c>
      <c r="H916" s="4" t="s">
        <v>2922</v>
      </c>
      <c r="I916" s="6" t="s">
        <v>51</v>
      </c>
      <c r="J916" s="6" t="s">
        <v>31</v>
      </c>
      <c r="K916" s="12">
        <f>_xlfn.XLOOKUP(B916,[1]Sheet1!$B:$B,[1]Sheet1!$N:$N,0)</f>
        <v>0</v>
      </c>
      <c r="L916" s="12">
        <f>_xlfn.XLOOKUP(B916,[1]Sheet1!$B:$B,[1]Sheet1!$O:$O,0)</f>
        <v>0</v>
      </c>
      <c r="M916" s="12">
        <f>_xlfn.XLOOKUP(B916,[1]Sheet1!$B:$B,[1]Sheet1!$P:$P,0)</f>
        <v>0</v>
      </c>
      <c r="N916" s="12">
        <f>_xlfn.XLOOKUP(B916,[1]Sheet1!$B:$B,[1]Sheet1!$Q:$Q,0)</f>
        <v>0</v>
      </c>
      <c r="O916" s="12">
        <f>_xlfn.XLOOKUP(B916,[1]Sheet1!$B:$B,[1]Sheet1!$R:$R,0)</f>
        <v>0</v>
      </c>
      <c r="P916" s="12">
        <f>_xlfn.XLOOKUP(B916,[1]Sheet1!$B:$B,[1]Sheet1!$S:$S,0)</f>
        <v>0</v>
      </c>
      <c r="Q916" s="12">
        <f>_xlfn.XLOOKUP(B916,[1]Sheet1!$B:$B,[1]Sheet1!$T:$T,0)</f>
        <v>1967771</v>
      </c>
      <c r="R916" s="12">
        <f>_xlfn.XLOOKUP(B916,[1]Sheet1!$B:$B,[1]Sheet1!$U:$U,0)</f>
        <v>0</v>
      </c>
      <c r="S916" s="12">
        <f>_xlfn.XLOOKUP(B916,[1]Sheet1!$B:$B,[1]Sheet1!$V:$V,0)</f>
        <v>1500000</v>
      </c>
      <c r="T916" s="12">
        <f>_xlfn.XLOOKUP(B916,[1]Sheet1!$B:$B,[1]Sheet1!$W:$W,0)</f>
        <v>0</v>
      </c>
      <c r="U916" s="12">
        <f>_xlfn.XLOOKUP(B916,[1]Sheet1!$B:$B,[1]Sheet1!$X:$X,0)</f>
        <v>1500000</v>
      </c>
      <c r="V916" s="12">
        <f>_xlfn.XLOOKUP(B916,[1]Sheet1!$B:$B,[1]Sheet1!$Y:$Y,0)</f>
        <v>0</v>
      </c>
      <c r="W916" s="12">
        <f t="shared" si="31"/>
        <v>4967771</v>
      </c>
      <c r="X916" s="6" t="s">
        <v>726</v>
      </c>
      <c r="Y916" s="6" t="s">
        <v>721</v>
      </c>
      <c r="Z916" s="6" t="s">
        <v>722</v>
      </c>
      <c r="AA916" s="6" t="s">
        <v>53</v>
      </c>
      <c r="AB916" s="6" t="s">
        <v>36</v>
      </c>
      <c r="AC916" s="6" t="s">
        <v>37</v>
      </c>
      <c r="AD916" s="6" t="s">
        <v>724</v>
      </c>
      <c r="AE916" s="6" t="s">
        <v>39</v>
      </c>
      <c r="AF916" s="6" t="s">
        <v>40</v>
      </c>
      <c r="AG916" s="7">
        <v>4967771</v>
      </c>
      <c r="AH916" s="11">
        <f>_xlfn.XLOOKUP(B916,[1]Sheet1!$B:$B,[1]Sheet1!$AB:$AB,0)</f>
        <v>4967771</v>
      </c>
    </row>
    <row r="917" spans="2:34" ht="16.8" thickTop="1" thickBot="1" x14ac:dyDescent="0.35">
      <c r="B917" s="3" t="str">
        <f t="shared" si="30"/>
        <v>45101704511001189Admin Expenses-N421125200104</v>
      </c>
      <c r="C917" s="8" t="s">
        <v>142</v>
      </c>
      <c r="D917" s="8" t="s">
        <v>1452</v>
      </c>
      <c r="E917" s="8" t="s">
        <v>1453</v>
      </c>
      <c r="F917" s="8" t="s">
        <v>130</v>
      </c>
      <c r="G917" s="4" t="s">
        <v>2803</v>
      </c>
      <c r="H917" s="4" t="s">
        <v>2922</v>
      </c>
      <c r="I917" s="8" t="s">
        <v>44</v>
      </c>
      <c r="J917" s="8" t="s">
        <v>31</v>
      </c>
      <c r="K917" s="12">
        <f>_xlfn.XLOOKUP(B917,[1]Sheet1!$B:$B,[1]Sheet1!$N:$N,0)</f>
        <v>0</v>
      </c>
      <c r="L917" s="12">
        <f>_xlfn.XLOOKUP(B917,[1]Sheet1!$B:$B,[1]Sheet1!$O:$O,0)</f>
        <v>0</v>
      </c>
      <c r="M917" s="12">
        <f>_xlfn.XLOOKUP(B917,[1]Sheet1!$B:$B,[1]Sheet1!$P:$P,0)</f>
        <v>18201.25</v>
      </c>
      <c r="N917" s="12">
        <f>_xlfn.XLOOKUP(B917,[1]Sheet1!$B:$B,[1]Sheet1!$Q:$Q,0)</f>
        <v>1998.75</v>
      </c>
      <c r="O917" s="12">
        <f>_xlfn.XLOOKUP(B917,[1]Sheet1!$B:$B,[1]Sheet1!$R:$R,0)</f>
        <v>2400</v>
      </c>
      <c r="P917" s="12">
        <f>_xlfn.XLOOKUP(B917,[1]Sheet1!$B:$B,[1]Sheet1!$S:$S,0)</f>
        <v>800</v>
      </c>
      <c r="Q917" s="12">
        <f>_xlfn.XLOOKUP(B917,[1]Sheet1!$B:$B,[1]Sheet1!$T:$T,0)</f>
        <v>800</v>
      </c>
      <c r="R917" s="12">
        <f>_xlfn.XLOOKUP(B917,[1]Sheet1!$B:$B,[1]Sheet1!$U:$U,0)</f>
        <v>0</v>
      </c>
      <c r="S917" s="12">
        <f>_xlfn.XLOOKUP(B917,[1]Sheet1!$B:$B,[1]Sheet1!$V:$V,0)</f>
        <v>800</v>
      </c>
      <c r="T917" s="12">
        <f>_xlfn.XLOOKUP(B917,[1]Sheet1!$B:$B,[1]Sheet1!$W:$W,0)</f>
        <v>800</v>
      </c>
      <c r="U917" s="12">
        <f>_xlfn.XLOOKUP(B917,[1]Sheet1!$B:$B,[1]Sheet1!$X:$X,0)</f>
        <v>2400</v>
      </c>
      <c r="V917" s="12">
        <f>_xlfn.XLOOKUP(B917,[1]Sheet1!$B:$B,[1]Sheet1!$Y:$Y,0)</f>
        <v>0</v>
      </c>
      <c r="W917" s="12">
        <f t="shared" si="31"/>
        <v>28200</v>
      </c>
      <c r="X917" s="8" t="s">
        <v>140</v>
      </c>
      <c r="Y917" s="8" t="s">
        <v>132</v>
      </c>
      <c r="Z917" s="8" t="s">
        <v>141</v>
      </c>
      <c r="AA917" s="8" t="s">
        <v>44</v>
      </c>
      <c r="AB917" s="8" t="s">
        <v>36</v>
      </c>
      <c r="AC917" s="8" t="s">
        <v>37</v>
      </c>
      <c r="AD917" s="8" t="s">
        <v>143</v>
      </c>
      <c r="AE917" s="8" t="s">
        <v>39</v>
      </c>
      <c r="AF917" s="8" t="s">
        <v>40</v>
      </c>
      <c r="AG917" s="9">
        <v>23000</v>
      </c>
      <c r="AH917" s="11">
        <f>_xlfn.XLOOKUP(B917,[1]Sheet1!$B:$B,[1]Sheet1!$AB:$AB,0)</f>
        <v>23000</v>
      </c>
    </row>
    <row r="918" spans="2:34" ht="16.8" thickTop="1" thickBot="1" x14ac:dyDescent="0.35">
      <c r="B918" s="3" t="str">
        <f t="shared" si="30"/>
        <v>45101704511001189Mission &amp; Travel-N423821200104</v>
      </c>
      <c r="C918" s="6" t="s">
        <v>142</v>
      </c>
      <c r="D918" s="6" t="s">
        <v>1452</v>
      </c>
      <c r="E918" s="6" t="s">
        <v>1453</v>
      </c>
      <c r="F918" s="6" t="s">
        <v>54</v>
      </c>
      <c r="G918" s="4" t="s">
        <v>2805</v>
      </c>
      <c r="H918" s="4" t="s">
        <v>2922</v>
      </c>
      <c r="I918" s="6" t="s">
        <v>55</v>
      </c>
      <c r="J918" s="6" t="s">
        <v>31</v>
      </c>
      <c r="K918" s="12">
        <f>_xlfn.XLOOKUP(B918,[1]Sheet1!$B:$B,[1]Sheet1!$N:$N,0)</f>
        <v>0</v>
      </c>
      <c r="L918" s="12">
        <f>_xlfn.XLOOKUP(B918,[1]Sheet1!$B:$B,[1]Sheet1!$O:$O,0)</f>
        <v>0</v>
      </c>
      <c r="M918" s="12">
        <f>_xlfn.XLOOKUP(B918,[1]Sheet1!$B:$B,[1]Sheet1!$P:$P,0)</f>
        <v>0</v>
      </c>
      <c r="N918" s="12">
        <f>_xlfn.XLOOKUP(B918,[1]Sheet1!$B:$B,[1]Sheet1!$Q:$Q,0)</f>
        <v>3000</v>
      </c>
      <c r="O918" s="12">
        <f>_xlfn.XLOOKUP(B918,[1]Sheet1!$B:$B,[1]Sheet1!$R:$R,0)</f>
        <v>0</v>
      </c>
      <c r="P918" s="12">
        <f>_xlfn.XLOOKUP(B918,[1]Sheet1!$B:$B,[1]Sheet1!$S:$S,0)</f>
        <v>0</v>
      </c>
      <c r="Q918" s="12">
        <f>_xlfn.XLOOKUP(B918,[1]Sheet1!$B:$B,[1]Sheet1!$T:$T,0)</f>
        <v>0</v>
      </c>
      <c r="R918" s="12">
        <f>_xlfn.XLOOKUP(B918,[1]Sheet1!$B:$B,[1]Sheet1!$U:$U,0)</f>
        <v>3600</v>
      </c>
      <c r="S918" s="12">
        <f>_xlfn.XLOOKUP(B918,[1]Sheet1!$B:$B,[1]Sheet1!$V:$V,0)</f>
        <v>0</v>
      </c>
      <c r="T918" s="12">
        <f>_xlfn.XLOOKUP(B918,[1]Sheet1!$B:$B,[1]Sheet1!$W:$W,0)</f>
        <v>1800</v>
      </c>
      <c r="U918" s="12">
        <f>_xlfn.XLOOKUP(B918,[1]Sheet1!$B:$B,[1]Sheet1!$X:$X,0)</f>
        <v>2400</v>
      </c>
      <c r="V918" s="12">
        <f>_xlfn.XLOOKUP(B918,[1]Sheet1!$B:$B,[1]Sheet1!$Y:$Y,0)</f>
        <v>0</v>
      </c>
      <c r="W918" s="12">
        <f t="shared" si="31"/>
        <v>10800</v>
      </c>
      <c r="X918" s="6" t="s">
        <v>144</v>
      </c>
      <c r="Y918" s="6" t="s">
        <v>132</v>
      </c>
      <c r="Z918" s="6" t="s">
        <v>141</v>
      </c>
      <c r="AA918" s="6" t="s">
        <v>55</v>
      </c>
      <c r="AB918" s="6" t="s">
        <v>36</v>
      </c>
      <c r="AC918" s="6" t="s">
        <v>37</v>
      </c>
      <c r="AD918" s="6" t="s">
        <v>143</v>
      </c>
      <c r="AE918" s="6" t="s">
        <v>39</v>
      </c>
      <c r="AF918" s="6" t="s">
        <v>40</v>
      </c>
      <c r="AG918" s="7">
        <v>9400</v>
      </c>
      <c r="AH918" s="11">
        <f>_xlfn.XLOOKUP(B918,[1]Sheet1!$B:$B,[1]Sheet1!$AB:$AB,0)</f>
        <v>9400</v>
      </c>
    </row>
    <row r="919" spans="2:34" ht="16.8" thickTop="1" thickBot="1" x14ac:dyDescent="0.35">
      <c r="B919" s="3" t="str">
        <f t="shared" si="30"/>
        <v>45101704511001189Training &amp; Dev-N421191200104</v>
      </c>
      <c r="C919" s="8" t="s">
        <v>142</v>
      </c>
      <c r="D919" s="8" t="s">
        <v>1452</v>
      </c>
      <c r="E919" s="8" t="s">
        <v>1453</v>
      </c>
      <c r="F919" s="8" t="s">
        <v>786</v>
      </c>
      <c r="G919" s="4" t="s">
        <v>2851</v>
      </c>
      <c r="H919" s="4" t="s">
        <v>2922</v>
      </c>
      <c r="I919" s="8" t="s">
        <v>550</v>
      </c>
      <c r="J919" s="8" t="s">
        <v>31</v>
      </c>
      <c r="K919" s="12">
        <f>_xlfn.XLOOKUP(B919,[1]Sheet1!$B:$B,[1]Sheet1!$N:$N,0)</f>
        <v>0</v>
      </c>
      <c r="L919" s="12">
        <f>_xlfn.XLOOKUP(B919,[1]Sheet1!$B:$B,[1]Sheet1!$O:$O,0)</f>
        <v>0</v>
      </c>
      <c r="M919" s="12">
        <f>_xlfn.XLOOKUP(B919,[1]Sheet1!$B:$B,[1]Sheet1!$P:$P,0)</f>
        <v>0</v>
      </c>
      <c r="N919" s="12">
        <f>_xlfn.XLOOKUP(B919,[1]Sheet1!$B:$B,[1]Sheet1!$Q:$Q,0)</f>
        <v>527629</v>
      </c>
      <c r="O919" s="12">
        <f>_xlfn.XLOOKUP(B919,[1]Sheet1!$B:$B,[1]Sheet1!$R:$R,0)</f>
        <v>68025</v>
      </c>
      <c r="P919" s="12">
        <f>_xlfn.XLOOKUP(B919,[1]Sheet1!$B:$B,[1]Sheet1!$S:$S,0)</f>
        <v>33503</v>
      </c>
      <c r="Q919" s="12">
        <f>_xlfn.XLOOKUP(B919,[1]Sheet1!$B:$B,[1]Sheet1!$T:$T,0)</f>
        <v>28500</v>
      </c>
      <c r="R919" s="12">
        <f>_xlfn.XLOOKUP(B919,[1]Sheet1!$B:$B,[1]Sheet1!$U:$U,0)</f>
        <v>0</v>
      </c>
      <c r="S919" s="12">
        <f>_xlfn.XLOOKUP(B919,[1]Sheet1!$B:$B,[1]Sheet1!$V:$V,0)</f>
        <v>29000</v>
      </c>
      <c r="T919" s="12">
        <f>_xlfn.XLOOKUP(B919,[1]Sheet1!$B:$B,[1]Sheet1!$W:$W,0)</f>
        <v>22500</v>
      </c>
      <c r="U919" s="12">
        <f>_xlfn.XLOOKUP(B919,[1]Sheet1!$B:$B,[1]Sheet1!$X:$X,0)</f>
        <v>193200</v>
      </c>
      <c r="V919" s="12">
        <f>_xlfn.XLOOKUP(B919,[1]Sheet1!$B:$B,[1]Sheet1!$Y:$Y,0)</f>
        <v>0</v>
      </c>
      <c r="W919" s="12">
        <f t="shared" si="31"/>
        <v>902357</v>
      </c>
      <c r="X919" s="8" t="s">
        <v>1454</v>
      </c>
      <c r="Y919" s="8" t="s">
        <v>132</v>
      </c>
      <c r="Z919" s="8" t="s">
        <v>141</v>
      </c>
      <c r="AA919" s="8" t="s">
        <v>552</v>
      </c>
      <c r="AB919" s="8" t="s">
        <v>36</v>
      </c>
      <c r="AC919" s="8" t="s">
        <v>37</v>
      </c>
      <c r="AD919" s="8" t="s">
        <v>143</v>
      </c>
      <c r="AE919" s="8" t="s">
        <v>39</v>
      </c>
      <c r="AF919" s="8" t="s">
        <v>40</v>
      </c>
      <c r="AG919" s="9">
        <v>784457</v>
      </c>
      <c r="AH919" s="11">
        <f>_xlfn.XLOOKUP(B919,[1]Sheet1!$B:$B,[1]Sheet1!$AB:$AB,0)</f>
        <v>784457</v>
      </c>
    </row>
    <row r="920" spans="2:34" ht="16.8" thickTop="1" thickBot="1" x14ac:dyDescent="0.35">
      <c r="B920" s="3" t="str">
        <f t="shared" si="30"/>
        <v>45150104511001194Licenses Fees-N424131200104</v>
      </c>
      <c r="C920" s="6" t="s">
        <v>1093</v>
      </c>
      <c r="D920" s="6" t="s">
        <v>1455</v>
      </c>
      <c r="E920" s="6" t="s">
        <v>1456</v>
      </c>
      <c r="F920" s="6" t="s">
        <v>365</v>
      </c>
      <c r="G920" s="4" t="s">
        <v>2835</v>
      </c>
      <c r="H920" s="4" t="s">
        <v>2922</v>
      </c>
      <c r="I920" s="6" t="s">
        <v>366</v>
      </c>
      <c r="J920" s="6" t="s">
        <v>31</v>
      </c>
      <c r="K920" s="12">
        <f>_xlfn.XLOOKUP(B920,[1]Sheet1!$B:$B,[1]Sheet1!$N:$N,0)</f>
        <v>0</v>
      </c>
      <c r="L920" s="12">
        <f>_xlfn.XLOOKUP(B920,[1]Sheet1!$B:$B,[1]Sheet1!$O:$O,0)</f>
        <v>0</v>
      </c>
      <c r="M920" s="12">
        <f>_xlfn.XLOOKUP(B920,[1]Sheet1!$B:$B,[1]Sheet1!$P:$P,0)</f>
        <v>0</v>
      </c>
      <c r="N920" s="12">
        <f>_xlfn.XLOOKUP(B920,[1]Sheet1!$B:$B,[1]Sheet1!$Q:$Q,0)</f>
        <v>0</v>
      </c>
      <c r="O920" s="12">
        <f>_xlfn.XLOOKUP(B920,[1]Sheet1!$B:$B,[1]Sheet1!$R:$R,0)</f>
        <v>158000</v>
      </c>
      <c r="P920" s="12">
        <f>_xlfn.XLOOKUP(B920,[1]Sheet1!$B:$B,[1]Sheet1!$S:$S,0)</f>
        <v>0</v>
      </c>
      <c r="Q920" s="12">
        <f>_xlfn.XLOOKUP(B920,[1]Sheet1!$B:$B,[1]Sheet1!$T:$T,0)</f>
        <v>0</v>
      </c>
      <c r="R920" s="12">
        <f>_xlfn.XLOOKUP(B920,[1]Sheet1!$B:$B,[1]Sheet1!$U:$U,0)</f>
        <v>0</v>
      </c>
      <c r="S920" s="12">
        <f>_xlfn.XLOOKUP(B920,[1]Sheet1!$B:$B,[1]Sheet1!$V:$V,0)</f>
        <v>0</v>
      </c>
      <c r="T920" s="12">
        <f>_xlfn.XLOOKUP(B920,[1]Sheet1!$B:$B,[1]Sheet1!$W:$W,0)</f>
        <v>0</v>
      </c>
      <c r="U920" s="12">
        <f>_xlfn.XLOOKUP(B920,[1]Sheet1!$B:$B,[1]Sheet1!$X:$X,0)</f>
        <v>0</v>
      </c>
      <c r="V920" s="12">
        <f>_xlfn.XLOOKUP(B920,[1]Sheet1!$B:$B,[1]Sheet1!$Y:$Y,0)</f>
        <v>0</v>
      </c>
      <c r="W920" s="12">
        <f t="shared" si="31"/>
        <v>158000</v>
      </c>
      <c r="X920" s="6" t="s">
        <v>1457</v>
      </c>
      <c r="Y920" s="6" t="s">
        <v>211</v>
      </c>
      <c r="Z920" s="6" t="s">
        <v>1092</v>
      </c>
      <c r="AA920" s="6" t="s">
        <v>366</v>
      </c>
      <c r="AB920" s="6" t="s">
        <v>36</v>
      </c>
      <c r="AC920" s="6" t="s">
        <v>37</v>
      </c>
      <c r="AD920" s="6" t="s">
        <v>342</v>
      </c>
      <c r="AE920" s="6" t="s">
        <v>39</v>
      </c>
      <c r="AF920" s="6" t="s">
        <v>40</v>
      </c>
      <c r="AG920" s="7">
        <v>164000</v>
      </c>
      <c r="AH920" s="11">
        <f>_xlfn.XLOOKUP(B920,[1]Sheet1!$B:$B,[1]Sheet1!$AB:$AB,0)</f>
        <v>164000</v>
      </c>
    </row>
    <row r="921" spans="2:34" ht="16.8" thickTop="1" thickBot="1" x14ac:dyDescent="0.35">
      <c r="B921" s="3" t="str">
        <f t="shared" si="30"/>
        <v>45150104511001195Strategy Advice-N421123200104</v>
      </c>
      <c r="C921" s="8" t="s">
        <v>1093</v>
      </c>
      <c r="D921" s="8" t="s">
        <v>1458</v>
      </c>
      <c r="E921" s="8" t="s">
        <v>1459</v>
      </c>
      <c r="F921" s="8" t="s">
        <v>236</v>
      </c>
      <c r="G921" s="4" t="s">
        <v>2827</v>
      </c>
      <c r="H921" s="4" t="s">
        <v>2922</v>
      </c>
      <c r="I921" s="8" t="s">
        <v>237</v>
      </c>
      <c r="J921" s="8" t="s">
        <v>31</v>
      </c>
      <c r="K921" s="12">
        <f>_xlfn.XLOOKUP(B921,[1]Sheet1!$B:$B,[1]Sheet1!$N:$N,0)</f>
        <v>0</v>
      </c>
      <c r="L921" s="12">
        <f>_xlfn.XLOOKUP(B921,[1]Sheet1!$B:$B,[1]Sheet1!$O:$O,0)</f>
        <v>0</v>
      </c>
      <c r="M921" s="12">
        <f>_xlfn.XLOOKUP(B921,[1]Sheet1!$B:$B,[1]Sheet1!$P:$P,0)</f>
        <v>0</v>
      </c>
      <c r="N921" s="12">
        <f>_xlfn.XLOOKUP(B921,[1]Sheet1!$B:$B,[1]Sheet1!$Q:$Q,0)</f>
        <v>72763.199999999997</v>
      </c>
      <c r="O921" s="12">
        <f>_xlfn.XLOOKUP(B921,[1]Sheet1!$B:$B,[1]Sheet1!$R:$R,0)</f>
        <v>36381.599999999999</v>
      </c>
      <c r="P921" s="12">
        <f>_xlfn.XLOOKUP(B921,[1]Sheet1!$B:$B,[1]Sheet1!$S:$S,0)</f>
        <v>36381.599999999999</v>
      </c>
      <c r="Q921" s="12">
        <f>_xlfn.XLOOKUP(B921,[1]Sheet1!$B:$B,[1]Sheet1!$T:$T,0)</f>
        <v>56611.6</v>
      </c>
      <c r="R921" s="12">
        <f>_xlfn.XLOOKUP(B921,[1]Sheet1!$B:$B,[1]Sheet1!$U:$U,0)</f>
        <v>36381.599999999999</v>
      </c>
      <c r="S921" s="12">
        <f>_xlfn.XLOOKUP(B921,[1]Sheet1!$B:$B,[1]Sheet1!$V:$V,0)</f>
        <v>36381.599999999999</v>
      </c>
      <c r="T921" s="12">
        <f>_xlfn.XLOOKUP(B921,[1]Sheet1!$B:$B,[1]Sheet1!$W:$W,0)</f>
        <v>36381.599999999999</v>
      </c>
      <c r="U921" s="12">
        <f>_xlfn.XLOOKUP(B921,[1]Sheet1!$B:$B,[1]Sheet1!$X:$X,0)</f>
        <v>36381.599999999999</v>
      </c>
      <c r="V921" s="12">
        <f>_xlfn.XLOOKUP(B921,[1]Sheet1!$B:$B,[1]Sheet1!$Y:$Y,0)</f>
        <v>137423.6</v>
      </c>
      <c r="W921" s="12">
        <f t="shared" si="31"/>
        <v>485088</v>
      </c>
      <c r="X921" s="8" t="s">
        <v>1275</v>
      </c>
      <c r="Y921" s="8" t="s">
        <v>211</v>
      </c>
      <c r="Z921" s="8" t="s">
        <v>1092</v>
      </c>
      <c r="AA921" s="8" t="s">
        <v>237</v>
      </c>
      <c r="AB921" s="8" t="s">
        <v>36</v>
      </c>
      <c r="AC921" s="8" t="s">
        <v>37</v>
      </c>
      <c r="AD921" s="8" t="s">
        <v>342</v>
      </c>
      <c r="AE921" s="8" t="s">
        <v>39</v>
      </c>
      <c r="AF921" s="8" t="s">
        <v>40</v>
      </c>
      <c r="AG921" s="9">
        <v>485088</v>
      </c>
      <c r="AH921" s="11">
        <f>_xlfn.XLOOKUP(B921,[1]Sheet1!$B:$B,[1]Sheet1!$AB:$AB,0)</f>
        <v>485088</v>
      </c>
    </row>
    <row r="922" spans="2:34" ht="16.8" thickTop="1" thickBot="1" x14ac:dyDescent="0.35">
      <c r="B922" s="3" t="str">
        <f t="shared" si="30"/>
        <v>45159004511001208Design &amp; Build-N1424221200104</v>
      </c>
      <c r="C922" s="6" t="s">
        <v>827</v>
      </c>
      <c r="D922" s="6" t="s">
        <v>1460</v>
      </c>
      <c r="E922" s="6" t="s">
        <v>1461</v>
      </c>
      <c r="F922" s="6" t="s">
        <v>1321</v>
      </c>
      <c r="G922" s="4" t="s">
        <v>2824</v>
      </c>
      <c r="H922" s="4" t="s">
        <v>2922</v>
      </c>
      <c r="I922" s="6" t="s">
        <v>209</v>
      </c>
      <c r="J922" s="6" t="s">
        <v>31</v>
      </c>
      <c r="K922" s="12">
        <f>_xlfn.XLOOKUP(B922,[1]Sheet1!$B:$B,[1]Sheet1!$N:$N,0)</f>
        <v>0</v>
      </c>
      <c r="L922" s="12">
        <f>_xlfn.XLOOKUP(B922,[1]Sheet1!$B:$B,[1]Sheet1!$O:$O,0)</f>
        <v>0</v>
      </c>
      <c r="M922" s="12">
        <f>_xlfn.XLOOKUP(B922,[1]Sheet1!$B:$B,[1]Sheet1!$P:$P,0)</f>
        <v>0</v>
      </c>
      <c r="N922" s="12">
        <f>_xlfn.XLOOKUP(B922,[1]Sheet1!$B:$B,[1]Sheet1!$Q:$Q,0)</f>
        <v>0</v>
      </c>
      <c r="O922" s="12">
        <f>_xlfn.XLOOKUP(B922,[1]Sheet1!$B:$B,[1]Sheet1!$R:$R,0)</f>
        <v>0</v>
      </c>
      <c r="P922" s="12">
        <f>_xlfn.XLOOKUP(B922,[1]Sheet1!$B:$B,[1]Sheet1!$S:$S,0)</f>
        <v>0</v>
      </c>
      <c r="Q922" s="12">
        <f>_xlfn.XLOOKUP(B922,[1]Sheet1!$B:$B,[1]Sheet1!$T:$T,0)</f>
        <v>0</v>
      </c>
      <c r="R922" s="12">
        <f>_xlfn.XLOOKUP(B922,[1]Sheet1!$B:$B,[1]Sheet1!$U:$U,0)</f>
        <v>0</v>
      </c>
      <c r="S922" s="12">
        <f>_xlfn.XLOOKUP(B922,[1]Sheet1!$B:$B,[1]Sheet1!$V:$V,0)</f>
        <v>0</v>
      </c>
      <c r="T922" s="12">
        <f>_xlfn.XLOOKUP(B922,[1]Sheet1!$B:$B,[1]Sheet1!$W:$W,0)</f>
        <v>0</v>
      </c>
      <c r="U922" s="12">
        <f>_xlfn.XLOOKUP(B922,[1]Sheet1!$B:$B,[1]Sheet1!$X:$X,0)</f>
        <v>0</v>
      </c>
      <c r="V922" s="12">
        <f>_xlfn.XLOOKUP(B922,[1]Sheet1!$B:$B,[1]Sheet1!$Y:$Y,0)</f>
        <v>247500</v>
      </c>
      <c r="W922" s="12">
        <f t="shared" si="31"/>
        <v>247500</v>
      </c>
      <c r="X922" s="6" t="s">
        <v>1462</v>
      </c>
      <c r="Y922" s="6" t="s">
        <v>211</v>
      </c>
      <c r="Z922" s="6" t="s">
        <v>826</v>
      </c>
      <c r="AA922" s="6" t="s">
        <v>209</v>
      </c>
      <c r="AB922" s="6" t="s">
        <v>36</v>
      </c>
      <c r="AC922" s="6" t="s">
        <v>37</v>
      </c>
      <c r="AD922" s="6" t="s">
        <v>214</v>
      </c>
      <c r="AE922" s="6" t="s">
        <v>39</v>
      </c>
      <c r="AF922" s="6" t="s">
        <v>40</v>
      </c>
      <c r="AG922" s="7">
        <v>209500</v>
      </c>
      <c r="AH922" s="11">
        <f>_xlfn.XLOOKUP(B922,[1]Sheet1!$B:$B,[1]Sheet1!$AB:$AB,0)</f>
        <v>209500</v>
      </c>
    </row>
    <row r="923" spans="2:34" ht="16.8" thickTop="1" thickBot="1" x14ac:dyDescent="0.35">
      <c r="B923" s="3" t="str">
        <f t="shared" si="30"/>
        <v>45159004511001208Hospitality-N1424761200104</v>
      </c>
      <c r="C923" s="8" t="s">
        <v>827</v>
      </c>
      <c r="D923" s="8" t="s">
        <v>1460</v>
      </c>
      <c r="E923" s="8" t="s">
        <v>1461</v>
      </c>
      <c r="F923" s="8" t="s">
        <v>399</v>
      </c>
      <c r="G923" s="4" t="s">
        <v>2811</v>
      </c>
      <c r="H923" s="4" t="s">
        <v>2922</v>
      </c>
      <c r="I923" s="8" t="s">
        <v>84</v>
      </c>
      <c r="J923" s="8" t="s">
        <v>31</v>
      </c>
      <c r="K923" s="12">
        <f>_xlfn.XLOOKUP(B923,[1]Sheet1!$B:$B,[1]Sheet1!$N:$N,0)</f>
        <v>0</v>
      </c>
      <c r="L923" s="12">
        <f>_xlfn.XLOOKUP(B923,[1]Sheet1!$B:$B,[1]Sheet1!$O:$O,0)</f>
        <v>0</v>
      </c>
      <c r="M923" s="12">
        <f>_xlfn.XLOOKUP(B923,[1]Sheet1!$B:$B,[1]Sheet1!$P:$P,0)</f>
        <v>0</v>
      </c>
      <c r="N923" s="12">
        <f>_xlfn.XLOOKUP(B923,[1]Sheet1!$B:$B,[1]Sheet1!$Q:$Q,0)</f>
        <v>0</v>
      </c>
      <c r="O923" s="12">
        <f>_xlfn.XLOOKUP(B923,[1]Sheet1!$B:$B,[1]Sheet1!$R:$R,0)</f>
        <v>0</v>
      </c>
      <c r="P923" s="12">
        <f>_xlfn.XLOOKUP(B923,[1]Sheet1!$B:$B,[1]Sheet1!$S:$S,0)</f>
        <v>0</v>
      </c>
      <c r="Q923" s="12">
        <f>_xlfn.XLOOKUP(B923,[1]Sheet1!$B:$B,[1]Sheet1!$T:$T,0)</f>
        <v>0</v>
      </c>
      <c r="R923" s="12">
        <f>_xlfn.XLOOKUP(B923,[1]Sheet1!$B:$B,[1]Sheet1!$U:$U,0)</f>
        <v>0</v>
      </c>
      <c r="S923" s="12">
        <f>_xlfn.XLOOKUP(B923,[1]Sheet1!$B:$B,[1]Sheet1!$V:$V,0)</f>
        <v>0</v>
      </c>
      <c r="T923" s="12">
        <f>_xlfn.XLOOKUP(B923,[1]Sheet1!$B:$B,[1]Sheet1!$W:$W,0)</f>
        <v>0</v>
      </c>
      <c r="U923" s="12">
        <f>_xlfn.XLOOKUP(B923,[1]Sheet1!$B:$B,[1]Sheet1!$X:$X,0)</f>
        <v>0</v>
      </c>
      <c r="V923" s="12">
        <f>_xlfn.XLOOKUP(B923,[1]Sheet1!$B:$B,[1]Sheet1!$Y:$Y,0)</f>
        <v>72000</v>
      </c>
      <c r="W923" s="12">
        <f t="shared" si="31"/>
        <v>72000</v>
      </c>
      <c r="X923" s="8" t="s">
        <v>1463</v>
      </c>
      <c r="Y923" s="8" t="s">
        <v>211</v>
      </c>
      <c r="Z923" s="8" t="s">
        <v>826</v>
      </c>
      <c r="AA923" s="8" t="s">
        <v>84</v>
      </c>
      <c r="AB923" s="8" t="s">
        <v>36</v>
      </c>
      <c r="AC923" s="8" t="s">
        <v>37</v>
      </c>
      <c r="AD923" s="8" t="s">
        <v>214</v>
      </c>
      <c r="AE923" s="8" t="s">
        <v>39</v>
      </c>
      <c r="AF923" s="8" t="s">
        <v>40</v>
      </c>
      <c r="AG923" s="9">
        <v>72000</v>
      </c>
      <c r="AH923" s="11">
        <f>_xlfn.XLOOKUP(B923,[1]Sheet1!$B:$B,[1]Sheet1!$AB:$AB,0)</f>
        <v>72000</v>
      </c>
    </row>
    <row r="924" spans="2:34" ht="16.8" thickTop="1" thickBot="1" x14ac:dyDescent="0.35">
      <c r="B924" s="3" t="str">
        <f t="shared" si="30"/>
        <v>45159004511001208Venue&amp;Room Rent-N1422401200104</v>
      </c>
      <c r="C924" s="6" t="s">
        <v>827</v>
      </c>
      <c r="D924" s="6" t="s">
        <v>1460</v>
      </c>
      <c r="E924" s="6" t="s">
        <v>1461</v>
      </c>
      <c r="F924" s="6" t="s">
        <v>1464</v>
      </c>
      <c r="G924" s="4" t="s">
        <v>2807</v>
      </c>
      <c r="H924" s="4" t="s">
        <v>2922</v>
      </c>
      <c r="I924" s="6" t="s">
        <v>63</v>
      </c>
      <c r="J924" s="6" t="s">
        <v>31</v>
      </c>
      <c r="K924" s="12">
        <f>_xlfn.XLOOKUP(B924,[1]Sheet1!$B:$B,[1]Sheet1!$N:$N,0)</f>
        <v>0</v>
      </c>
      <c r="L924" s="12">
        <f>_xlfn.XLOOKUP(B924,[1]Sheet1!$B:$B,[1]Sheet1!$O:$O,0)</f>
        <v>0</v>
      </c>
      <c r="M924" s="12">
        <f>_xlfn.XLOOKUP(B924,[1]Sheet1!$B:$B,[1]Sheet1!$P:$P,0)</f>
        <v>0</v>
      </c>
      <c r="N924" s="12">
        <f>_xlfn.XLOOKUP(B924,[1]Sheet1!$B:$B,[1]Sheet1!$Q:$Q,0)</f>
        <v>0</v>
      </c>
      <c r="O924" s="12">
        <f>_xlfn.XLOOKUP(B924,[1]Sheet1!$B:$B,[1]Sheet1!$R:$R,0)</f>
        <v>1159775</v>
      </c>
      <c r="P924" s="12">
        <f>_xlfn.XLOOKUP(B924,[1]Sheet1!$B:$B,[1]Sheet1!$S:$S,0)</f>
        <v>0</v>
      </c>
      <c r="Q924" s="12">
        <f>_xlfn.XLOOKUP(B924,[1]Sheet1!$B:$B,[1]Sheet1!$T:$T,0)</f>
        <v>0</v>
      </c>
      <c r="R924" s="12">
        <f>_xlfn.XLOOKUP(B924,[1]Sheet1!$B:$B,[1]Sheet1!$U:$U,0)</f>
        <v>0</v>
      </c>
      <c r="S924" s="12">
        <f>_xlfn.XLOOKUP(B924,[1]Sheet1!$B:$B,[1]Sheet1!$V:$V,0)</f>
        <v>0</v>
      </c>
      <c r="T924" s="12">
        <f>_xlfn.XLOOKUP(B924,[1]Sheet1!$B:$B,[1]Sheet1!$W:$W,0)</f>
        <v>0</v>
      </c>
      <c r="U924" s="12">
        <f>_xlfn.XLOOKUP(B924,[1]Sheet1!$B:$B,[1]Sheet1!$X:$X,0)</f>
        <v>0</v>
      </c>
      <c r="V924" s="12">
        <f>_xlfn.XLOOKUP(B924,[1]Sheet1!$B:$B,[1]Sheet1!$Y:$Y,0)</f>
        <v>0</v>
      </c>
      <c r="W924" s="12">
        <f t="shared" si="31"/>
        <v>1159775</v>
      </c>
      <c r="X924" s="6" t="s">
        <v>1252</v>
      </c>
      <c r="Y924" s="6" t="s">
        <v>211</v>
      </c>
      <c r="Z924" s="6" t="s">
        <v>826</v>
      </c>
      <c r="AA924" s="6" t="s">
        <v>68</v>
      </c>
      <c r="AB924" s="6" t="s">
        <v>36</v>
      </c>
      <c r="AC924" s="6" t="s">
        <v>37</v>
      </c>
      <c r="AD924" s="6" t="s">
        <v>214</v>
      </c>
      <c r="AE924" s="6" t="s">
        <v>39</v>
      </c>
      <c r="AF924" s="6" t="s">
        <v>40</v>
      </c>
      <c r="AG924" s="7">
        <v>1197775</v>
      </c>
      <c r="AH924" s="11">
        <f>_xlfn.XLOOKUP(B924,[1]Sheet1!$B:$B,[1]Sheet1!$AB:$AB,0)</f>
        <v>1197775</v>
      </c>
    </row>
    <row r="925" spans="2:34" ht="16.8" thickTop="1" thickBot="1" x14ac:dyDescent="0.35">
      <c r="B925" s="3" t="str">
        <f t="shared" si="30"/>
        <v>45159004511001209Design &amp; Build-N1424221200104</v>
      </c>
      <c r="C925" s="8" t="s">
        <v>827</v>
      </c>
      <c r="D925" s="8" t="s">
        <v>1465</v>
      </c>
      <c r="E925" s="8" t="s">
        <v>1466</v>
      </c>
      <c r="F925" s="8" t="s">
        <v>1321</v>
      </c>
      <c r="G925" s="4" t="s">
        <v>2824</v>
      </c>
      <c r="H925" s="4" t="s">
        <v>2922</v>
      </c>
      <c r="I925" s="8" t="s">
        <v>209</v>
      </c>
      <c r="J925" s="8" t="s">
        <v>31</v>
      </c>
      <c r="K925" s="12">
        <f>_xlfn.XLOOKUP(B925,[1]Sheet1!$B:$B,[1]Sheet1!$N:$N,0)</f>
        <v>0</v>
      </c>
      <c r="L925" s="12">
        <f>_xlfn.XLOOKUP(B925,[1]Sheet1!$B:$B,[1]Sheet1!$O:$O,0)</f>
        <v>0</v>
      </c>
      <c r="M925" s="12">
        <f>_xlfn.XLOOKUP(B925,[1]Sheet1!$B:$B,[1]Sheet1!$P:$P,0)</f>
        <v>0</v>
      </c>
      <c r="N925" s="12">
        <f>_xlfn.XLOOKUP(B925,[1]Sheet1!$B:$B,[1]Sheet1!$Q:$Q,0)</f>
        <v>0</v>
      </c>
      <c r="O925" s="12">
        <f>_xlfn.XLOOKUP(B925,[1]Sheet1!$B:$B,[1]Sheet1!$R:$R,0)</f>
        <v>0</v>
      </c>
      <c r="P925" s="12">
        <f>_xlfn.XLOOKUP(B925,[1]Sheet1!$B:$B,[1]Sheet1!$S:$S,0)</f>
        <v>0</v>
      </c>
      <c r="Q925" s="12">
        <f>_xlfn.XLOOKUP(B925,[1]Sheet1!$B:$B,[1]Sheet1!$T:$T,0)</f>
        <v>0</v>
      </c>
      <c r="R925" s="12">
        <f>_xlfn.XLOOKUP(B925,[1]Sheet1!$B:$B,[1]Sheet1!$U:$U,0)</f>
        <v>0</v>
      </c>
      <c r="S925" s="12">
        <f>_xlfn.XLOOKUP(B925,[1]Sheet1!$B:$B,[1]Sheet1!$V:$V,0)</f>
        <v>367290</v>
      </c>
      <c r="T925" s="12">
        <f>_xlfn.XLOOKUP(B925,[1]Sheet1!$B:$B,[1]Sheet1!$W:$W,0)</f>
        <v>0</v>
      </c>
      <c r="U925" s="12">
        <f>_xlfn.XLOOKUP(B925,[1]Sheet1!$B:$B,[1]Sheet1!$X:$X,0)</f>
        <v>0</v>
      </c>
      <c r="V925" s="12">
        <f>_xlfn.XLOOKUP(B925,[1]Sheet1!$B:$B,[1]Sheet1!$Y:$Y,0)</f>
        <v>0</v>
      </c>
      <c r="W925" s="12">
        <f t="shared" si="31"/>
        <v>367290</v>
      </c>
      <c r="X925" s="8" t="s">
        <v>1462</v>
      </c>
      <c r="Y925" s="8" t="s">
        <v>211</v>
      </c>
      <c r="Z925" s="8" t="s">
        <v>826</v>
      </c>
      <c r="AA925" s="8" t="s">
        <v>209</v>
      </c>
      <c r="AB925" s="8" t="s">
        <v>36</v>
      </c>
      <c r="AC925" s="8" t="s">
        <v>37</v>
      </c>
      <c r="AD925" s="8" t="s">
        <v>214</v>
      </c>
      <c r="AE925" s="8" t="s">
        <v>39</v>
      </c>
      <c r="AF925" s="8" t="s">
        <v>40</v>
      </c>
      <c r="AG925" s="9">
        <v>367290</v>
      </c>
      <c r="AH925" s="11">
        <f>_xlfn.XLOOKUP(B925,[1]Sheet1!$B:$B,[1]Sheet1!$AB:$AB,0)</f>
        <v>367290</v>
      </c>
    </row>
    <row r="926" spans="2:34" ht="16.8" thickTop="1" thickBot="1" x14ac:dyDescent="0.35">
      <c r="B926" s="3" t="str">
        <f t="shared" si="30"/>
        <v>45159004511001209Hospitality-N1424761200104</v>
      </c>
      <c r="C926" s="6" t="s">
        <v>827</v>
      </c>
      <c r="D926" s="6" t="s">
        <v>1465</v>
      </c>
      <c r="E926" s="6" t="s">
        <v>1466</v>
      </c>
      <c r="F926" s="6" t="s">
        <v>399</v>
      </c>
      <c r="G926" s="4" t="s">
        <v>2811</v>
      </c>
      <c r="H926" s="4" t="s">
        <v>2922</v>
      </c>
      <c r="I926" s="6" t="s">
        <v>84</v>
      </c>
      <c r="J926" s="6" t="s">
        <v>31</v>
      </c>
      <c r="K926" s="12">
        <f>_xlfn.XLOOKUP(B926,[1]Sheet1!$B:$B,[1]Sheet1!$N:$N,0)</f>
        <v>0</v>
      </c>
      <c r="L926" s="12">
        <f>_xlfn.XLOOKUP(B926,[1]Sheet1!$B:$B,[1]Sheet1!$O:$O,0)</f>
        <v>0</v>
      </c>
      <c r="M926" s="12">
        <f>_xlfn.XLOOKUP(B926,[1]Sheet1!$B:$B,[1]Sheet1!$P:$P,0)</f>
        <v>0</v>
      </c>
      <c r="N926" s="12">
        <f>_xlfn.XLOOKUP(B926,[1]Sheet1!$B:$B,[1]Sheet1!$Q:$Q,0)</f>
        <v>0</v>
      </c>
      <c r="O926" s="12">
        <f>_xlfn.XLOOKUP(B926,[1]Sheet1!$B:$B,[1]Sheet1!$R:$R,0)</f>
        <v>0</v>
      </c>
      <c r="P926" s="12">
        <f>_xlfn.XLOOKUP(B926,[1]Sheet1!$B:$B,[1]Sheet1!$S:$S,0)</f>
        <v>0</v>
      </c>
      <c r="Q926" s="12">
        <f>_xlfn.XLOOKUP(B926,[1]Sheet1!$B:$B,[1]Sheet1!$T:$T,0)</f>
        <v>0</v>
      </c>
      <c r="R926" s="12">
        <f>_xlfn.XLOOKUP(B926,[1]Sheet1!$B:$B,[1]Sheet1!$U:$U,0)</f>
        <v>0</v>
      </c>
      <c r="S926" s="12">
        <f>_xlfn.XLOOKUP(B926,[1]Sheet1!$B:$B,[1]Sheet1!$V:$V,0)</f>
        <v>72000</v>
      </c>
      <c r="T926" s="12">
        <f>_xlfn.XLOOKUP(B926,[1]Sheet1!$B:$B,[1]Sheet1!$W:$W,0)</f>
        <v>0</v>
      </c>
      <c r="U926" s="12">
        <f>_xlfn.XLOOKUP(B926,[1]Sheet1!$B:$B,[1]Sheet1!$X:$X,0)</f>
        <v>0</v>
      </c>
      <c r="V926" s="12">
        <f>_xlfn.XLOOKUP(B926,[1]Sheet1!$B:$B,[1]Sheet1!$Y:$Y,0)</f>
        <v>0</v>
      </c>
      <c r="W926" s="12">
        <f t="shared" si="31"/>
        <v>72000</v>
      </c>
      <c r="X926" s="6" t="s">
        <v>1463</v>
      </c>
      <c r="Y926" s="6" t="s">
        <v>211</v>
      </c>
      <c r="Z926" s="6" t="s">
        <v>826</v>
      </c>
      <c r="AA926" s="6" t="s">
        <v>84</v>
      </c>
      <c r="AB926" s="6" t="s">
        <v>36</v>
      </c>
      <c r="AC926" s="6" t="s">
        <v>37</v>
      </c>
      <c r="AD926" s="6" t="s">
        <v>214</v>
      </c>
      <c r="AE926" s="6" t="s">
        <v>39</v>
      </c>
      <c r="AF926" s="6" t="s">
        <v>40</v>
      </c>
      <c r="AG926" s="7">
        <v>82000</v>
      </c>
      <c r="AH926" s="11">
        <f>_xlfn.XLOOKUP(B926,[1]Sheet1!$B:$B,[1]Sheet1!$AB:$AB,0)</f>
        <v>82000</v>
      </c>
    </row>
    <row r="927" spans="2:34" ht="16.8" thickTop="1" thickBot="1" x14ac:dyDescent="0.35">
      <c r="B927" s="3" t="str">
        <f t="shared" si="30"/>
        <v>45159004511001209Venue&amp;Room Rent-N1422401200104</v>
      </c>
      <c r="C927" s="8" t="s">
        <v>827</v>
      </c>
      <c r="D927" s="8" t="s">
        <v>1465</v>
      </c>
      <c r="E927" s="8" t="s">
        <v>1466</v>
      </c>
      <c r="F927" s="8" t="s">
        <v>1464</v>
      </c>
      <c r="G927" s="4" t="s">
        <v>2807</v>
      </c>
      <c r="H927" s="4" t="s">
        <v>2922</v>
      </c>
      <c r="I927" s="8" t="s">
        <v>63</v>
      </c>
      <c r="J927" s="8" t="s">
        <v>31</v>
      </c>
      <c r="K927" s="12">
        <f>_xlfn.XLOOKUP(B927,[1]Sheet1!$B:$B,[1]Sheet1!$N:$N,0)</f>
        <v>0</v>
      </c>
      <c r="L927" s="12">
        <f>_xlfn.XLOOKUP(B927,[1]Sheet1!$B:$B,[1]Sheet1!$O:$O,0)</f>
        <v>0</v>
      </c>
      <c r="M927" s="12">
        <f>_xlfn.XLOOKUP(B927,[1]Sheet1!$B:$B,[1]Sheet1!$P:$P,0)</f>
        <v>206339.41250000001</v>
      </c>
      <c r="N927" s="12">
        <f>_xlfn.XLOOKUP(B927,[1]Sheet1!$B:$B,[1]Sheet1!$Q:$Q,0)</f>
        <v>21935.587499999994</v>
      </c>
      <c r="O927" s="12">
        <f>_xlfn.XLOOKUP(B927,[1]Sheet1!$B:$B,[1]Sheet1!$R:$R,0)</f>
        <v>0</v>
      </c>
      <c r="P927" s="12">
        <f>_xlfn.XLOOKUP(B927,[1]Sheet1!$B:$B,[1]Sheet1!$S:$S,0)</f>
        <v>0</v>
      </c>
      <c r="Q927" s="12">
        <f>_xlfn.XLOOKUP(B927,[1]Sheet1!$B:$B,[1]Sheet1!$T:$T,0)</f>
        <v>0</v>
      </c>
      <c r="R927" s="12">
        <f>_xlfn.XLOOKUP(B927,[1]Sheet1!$B:$B,[1]Sheet1!$U:$U,0)</f>
        <v>0</v>
      </c>
      <c r="S927" s="12">
        <f>_xlfn.XLOOKUP(B927,[1]Sheet1!$B:$B,[1]Sheet1!$V:$V,0)</f>
        <v>0</v>
      </c>
      <c r="T927" s="12">
        <f>_xlfn.XLOOKUP(B927,[1]Sheet1!$B:$B,[1]Sheet1!$W:$W,0)</f>
        <v>0</v>
      </c>
      <c r="U927" s="12">
        <f>_xlfn.XLOOKUP(B927,[1]Sheet1!$B:$B,[1]Sheet1!$X:$X,0)</f>
        <v>0</v>
      </c>
      <c r="V927" s="12">
        <f>_xlfn.XLOOKUP(B927,[1]Sheet1!$B:$B,[1]Sheet1!$Y:$Y,0)</f>
        <v>0</v>
      </c>
      <c r="W927" s="12">
        <f t="shared" si="31"/>
        <v>228275</v>
      </c>
      <c r="X927" s="8" t="s">
        <v>1252</v>
      </c>
      <c r="Y927" s="8" t="s">
        <v>211</v>
      </c>
      <c r="Z927" s="8" t="s">
        <v>826</v>
      </c>
      <c r="AA927" s="8" t="s">
        <v>68</v>
      </c>
      <c r="AB927" s="8" t="s">
        <v>36</v>
      </c>
      <c r="AC927" s="8" t="s">
        <v>37</v>
      </c>
      <c r="AD927" s="8" t="s">
        <v>214</v>
      </c>
      <c r="AE927" s="8" t="s">
        <v>39</v>
      </c>
      <c r="AF927" s="8" t="s">
        <v>40</v>
      </c>
      <c r="AG927" s="9">
        <v>228275</v>
      </c>
      <c r="AH927" s="11">
        <f>_xlfn.XLOOKUP(B927,[1]Sheet1!$B:$B,[1]Sheet1!$AB:$AB,0)</f>
        <v>228275</v>
      </c>
    </row>
    <row r="928" spans="2:34" ht="16.8" thickTop="1" thickBot="1" x14ac:dyDescent="0.35">
      <c r="B928" s="3" t="str">
        <f t="shared" si="30"/>
        <v>45159004511001210Design &amp; Build-N1424221200104</v>
      </c>
      <c r="C928" s="6" t="s">
        <v>827</v>
      </c>
      <c r="D928" s="6" t="s">
        <v>1467</v>
      </c>
      <c r="E928" s="6" t="s">
        <v>1468</v>
      </c>
      <c r="F928" s="6" t="s">
        <v>1321</v>
      </c>
      <c r="G928" s="4" t="s">
        <v>2824</v>
      </c>
      <c r="H928" s="4" t="s">
        <v>2922</v>
      </c>
      <c r="I928" s="6" t="s">
        <v>209</v>
      </c>
      <c r="J928" s="6" t="s">
        <v>31</v>
      </c>
      <c r="K928" s="12">
        <f>_xlfn.XLOOKUP(B928,[1]Sheet1!$B:$B,[1]Sheet1!$N:$N,0)</f>
        <v>0</v>
      </c>
      <c r="L928" s="12">
        <f>_xlfn.XLOOKUP(B928,[1]Sheet1!$B:$B,[1]Sheet1!$O:$O,0)</f>
        <v>0</v>
      </c>
      <c r="M928" s="12">
        <f>_xlfn.XLOOKUP(B928,[1]Sheet1!$B:$B,[1]Sheet1!$P:$P,0)</f>
        <v>0</v>
      </c>
      <c r="N928" s="12">
        <f>_xlfn.XLOOKUP(B928,[1]Sheet1!$B:$B,[1]Sheet1!$Q:$Q,0)</f>
        <v>0</v>
      </c>
      <c r="O928" s="12">
        <f>_xlfn.XLOOKUP(B928,[1]Sheet1!$B:$B,[1]Sheet1!$R:$R,0)</f>
        <v>0</v>
      </c>
      <c r="P928" s="12">
        <f>_xlfn.XLOOKUP(B928,[1]Sheet1!$B:$B,[1]Sheet1!$S:$S,0)</f>
        <v>0</v>
      </c>
      <c r="Q928" s="12">
        <f>_xlfn.XLOOKUP(B928,[1]Sheet1!$B:$B,[1]Sheet1!$T:$T,0)</f>
        <v>0</v>
      </c>
      <c r="R928" s="12">
        <f>_xlfn.XLOOKUP(B928,[1]Sheet1!$B:$B,[1]Sheet1!$U:$U,0)</f>
        <v>0</v>
      </c>
      <c r="S928" s="12">
        <f>_xlfn.XLOOKUP(B928,[1]Sheet1!$B:$B,[1]Sheet1!$V:$V,0)</f>
        <v>0</v>
      </c>
      <c r="T928" s="12">
        <f>_xlfn.XLOOKUP(B928,[1]Sheet1!$B:$B,[1]Sheet1!$W:$W,0)</f>
        <v>0</v>
      </c>
      <c r="U928" s="12">
        <f>_xlfn.XLOOKUP(B928,[1]Sheet1!$B:$B,[1]Sheet1!$X:$X,0)</f>
        <v>0</v>
      </c>
      <c r="V928" s="12">
        <f>_xlfn.XLOOKUP(B928,[1]Sheet1!$B:$B,[1]Sheet1!$Y:$Y,0)</f>
        <v>247995</v>
      </c>
      <c r="W928" s="12">
        <f t="shared" si="31"/>
        <v>247995</v>
      </c>
      <c r="X928" s="6" t="s">
        <v>1462</v>
      </c>
      <c r="Y928" s="6" t="s">
        <v>211</v>
      </c>
      <c r="Z928" s="6" t="s">
        <v>826</v>
      </c>
      <c r="AA928" s="6" t="s">
        <v>209</v>
      </c>
      <c r="AB928" s="6" t="s">
        <v>36</v>
      </c>
      <c r="AC928" s="6" t="s">
        <v>37</v>
      </c>
      <c r="AD928" s="6" t="s">
        <v>214</v>
      </c>
      <c r="AE928" s="6" t="s">
        <v>39</v>
      </c>
      <c r="AF928" s="6" t="s">
        <v>40</v>
      </c>
      <c r="AG928" s="7">
        <v>287995</v>
      </c>
      <c r="AH928" s="11">
        <f>_xlfn.XLOOKUP(B928,[1]Sheet1!$B:$B,[1]Sheet1!$AB:$AB,0)</f>
        <v>287995</v>
      </c>
    </row>
    <row r="929" spans="2:34" ht="16.8" thickTop="1" thickBot="1" x14ac:dyDescent="0.35">
      <c r="B929" s="3" t="str">
        <f t="shared" si="30"/>
        <v>45159004511001210Hospitality-N1424761200104</v>
      </c>
      <c r="C929" s="8" t="s">
        <v>827</v>
      </c>
      <c r="D929" s="8" t="s">
        <v>1467</v>
      </c>
      <c r="E929" s="8" t="s">
        <v>1468</v>
      </c>
      <c r="F929" s="8" t="s">
        <v>399</v>
      </c>
      <c r="G929" s="4" t="s">
        <v>2811</v>
      </c>
      <c r="H929" s="4" t="s">
        <v>2922</v>
      </c>
      <c r="I929" s="8" t="s">
        <v>84</v>
      </c>
      <c r="J929" s="8" t="s">
        <v>31</v>
      </c>
      <c r="K929" s="12">
        <f>_xlfn.XLOOKUP(B929,[1]Sheet1!$B:$B,[1]Sheet1!$N:$N,0)</f>
        <v>0</v>
      </c>
      <c r="L929" s="12">
        <f>_xlfn.XLOOKUP(B929,[1]Sheet1!$B:$B,[1]Sheet1!$O:$O,0)</f>
        <v>0</v>
      </c>
      <c r="M929" s="12">
        <f>_xlfn.XLOOKUP(B929,[1]Sheet1!$B:$B,[1]Sheet1!$P:$P,0)</f>
        <v>0</v>
      </c>
      <c r="N929" s="12">
        <f>_xlfn.XLOOKUP(B929,[1]Sheet1!$B:$B,[1]Sheet1!$Q:$Q,0)</f>
        <v>0</v>
      </c>
      <c r="O929" s="12">
        <f>_xlfn.XLOOKUP(B929,[1]Sheet1!$B:$B,[1]Sheet1!$R:$R,0)</f>
        <v>0</v>
      </c>
      <c r="P929" s="12">
        <f>_xlfn.XLOOKUP(B929,[1]Sheet1!$B:$B,[1]Sheet1!$S:$S,0)</f>
        <v>0</v>
      </c>
      <c r="Q929" s="12">
        <f>_xlfn.XLOOKUP(B929,[1]Sheet1!$B:$B,[1]Sheet1!$T:$T,0)</f>
        <v>0</v>
      </c>
      <c r="R929" s="12">
        <f>_xlfn.XLOOKUP(B929,[1]Sheet1!$B:$B,[1]Sheet1!$U:$U,0)</f>
        <v>0</v>
      </c>
      <c r="S929" s="12">
        <f>_xlfn.XLOOKUP(B929,[1]Sheet1!$B:$B,[1]Sheet1!$V:$V,0)</f>
        <v>0</v>
      </c>
      <c r="T929" s="12">
        <f>_xlfn.XLOOKUP(B929,[1]Sheet1!$B:$B,[1]Sheet1!$W:$W,0)</f>
        <v>0</v>
      </c>
      <c r="U929" s="12">
        <f>_xlfn.XLOOKUP(B929,[1]Sheet1!$B:$B,[1]Sheet1!$X:$X,0)</f>
        <v>0</v>
      </c>
      <c r="V929" s="12">
        <f>_xlfn.XLOOKUP(B929,[1]Sheet1!$B:$B,[1]Sheet1!$Y:$Y,0)</f>
        <v>52200</v>
      </c>
      <c r="W929" s="12">
        <f t="shared" si="31"/>
        <v>52200</v>
      </c>
      <c r="X929" s="8" t="s">
        <v>1463</v>
      </c>
      <c r="Y929" s="8" t="s">
        <v>211</v>
      </c>
      <c r="Z929" s="8" t="s">
        <v>826</v>
      </c>
      <c r="AA929" s="8" t="s">
        <v>84</v>
      </c>
      <c r="AB929" s="8" t="s">
        <v>36</v>
      </c>
      <c r="AC929" s="8" t="s">
        <v>37</v>
      </c>
      <c r="AD929" s="8" t="s">
        <v>214</v>
      </c>
      <c r="AE929" s="8" t="s">
        <v>39</v>
      </c>
      <c r="AF929" s="8" t="s">
        <v>40</v>
      </c>
      <c r="AG929" s="9">
        <v>42200</v>
      </c>
      <c r="AH929" s="11">
        <f>_xlfn.XLOOKUP(B929,[1]Sheet1!$B:$B,[1]Sheet1!$AB:$AB,0)</f>
        <v>42200</v>
      </c>
    </row>
    <row r="930" spans="2:34" ht="16.8" thickTop="1" thickBot="1" x14ac:dyDescent="0.35">
      <c r="B930" s="3" t="str">
        <f t="shared" si="30"/>
        <v>45159004511001210Venue&amp;Room Rent-N1422401200104</v>
      </c>
      <c r="C930" s="6" t="s">
        <v>827</v>
      </c>
      <c r="D930" s="6" t="s">
        <v>1467</v>
      </c>
      <c r="E930" s="6" t="s">
        <v>1468</v>
      </c>
      <c r="F930" s="6" t="s">
        <v>1464</v>
      </c>
      <c r="G930" s="4" t="s">
        <v>2807</v>
      </c>
      <c r="H930" s="4" t="s">
        <v>2922</v>
      </c>
      <c r="I930" s="6" t="s">
        <v>63</v>
      </c>
      <c r="J930" s="6" t="s">
        <v>31</v>
      </c>
      <c r="K930" s="12">
        <f>_xlfn.XLOOKUP(B930,[1]Sheet1!$B:$B,[1]Sheet1!$N:$N,0)</f>
        <v>0</v>
      </c>
      <c r="L930" s="12">
        <f>_xlfn.XLOOKUP(B930,[1]Sheet1!$B:$B,[1]Sheet1!$O:$O,0)</f>
        <v>0</v>
      </c>
      <c r="M930" s="12">
        <f>_xlfn.XLOOKUP(B930,[1]Sheet1!$B:$B,[1]Sheet1!$P:$P,0)</f>
        <v>0</v>
      </c>
      <c r="N930" s="12">
        <f>_xlfn.XLOOKUP(B930,[1]Sheet1!$B:$B,[1]Sheet1!$Q:$Q,0)</f>
        <v>0</v>
      </c>
      <c r="O930" s="12">
        <f>_xlfn.XLOOKUP(B930,[1]Sheet1!$B:$B,[1]Sheet1!$R:$R,0)</f>
        <v>0</v>
      </c>
      <c r="P930" s="12">
        <f>_xlfn.XLOOKUP(B930,[1]Sheet1!$B:$B,[1]Sheet1!$S:$S,0)</f>
        <v>0</v>
      </c>
      <c r="Q930" s="12">
        <f>_xlfn.XLOOKUP(B930,[1]Sheet1!$B:$B,[1]Sheet1!$T:$T,0)</f>
        <v>0</v>
      </c>
      <c r="R930" s="12">
        <f>_xlfn.XLOOKUP(B930,[1]Sheet1!$B:$B,[1]Sheet1!$U:$U,0)</f>
        <v>0</v>
      </c>
      <c r="S930" s="12">
        <f>_xlfn.XLOOKUP(B930,[1]Sheet1!$B:$B,[1]Sheet1!$V:$V,0)</f>
        <v>0</v>
      </c>
      <c r="T930" s="12">
        <f>_xlfn.XLOOKUP(B930,[1]Sheet1!$B:$B,[1]Sheet1!$W:$W,0)</f>
        <v>0</v>
      </c>
      <c r="U930" s="12">
        <f>_xlfn.XLOOKUP(B930,[1]Sheet1!$B:$B,[1]Sheet1!$X:$X,0)</f>
        <v>0</v>
      </c>
      <c r="V930" s="12">
        <f>_xlfn.XLOOKUP(B930,[1]Sheet1!$B:$B,[1]Sheet1!$Y:$Y,0)</f>
        <v>122475</v>
      </c>
      <c r="W930" s="12">
        <f t="shared" si="31"/>
        <v>122475</v>
      </c>
      <c r="X930" s="6" t="s">
        <v>1252</v>
      </c>
      <c r="Y930" s="6" t="s">
        <v>211</v>
      </c>
      <c r="Z930" s="6" t="s">
        <v>826</v>
      </c>
      <c r="AA930" s="6" t="s">
        <v>68</v>
      </c>
      <c r="AB930" s="6" t="s">
        <v>36</v>
      </c>
      <c r="AC930" s="6" t="s">
        <v>37</v>
      </c>
      <c r="AD930" s="6" t="s">
        <v>214</v>
      </c>
      <c r="AE930" s="6" t="s">
        <v>39</v>
      </c>
      <c r="AF930" s="6" t="s">
        <v>40</v>
      </c>
      <c r="AG930" s="7">
        <v>82475</v>
      </c>
      <c r="AH930" s="11">
        <f>_xlfn.XLOOKUP(B930,[1]Sheet1!$B:$B,[1]Sheet1!$AB:$AB,0)</f>
        <v>82475</v>
      </c>
    </row>
    <row r="931" spans="2:34" ht="16.8" thickTop="1" thickBot="1" x14ac:dyDescent="0.35">
      <c r="B931" s="3" t="str">
        <f t="shared" si="30"/>
        <v>45151004511001213Admin Expenses-N1421125200104</v>
      </c>
      <c r="C931" s="8" t="s">
        <v>746</v>
      </c>
      <c r="D931" s="8" t="s">
        <v>1469</v>
      </c>
      <c r="E931" s="8" t="s">
        <v>1470</v>
      </c>
      <c r="F931" s="8" t="s">
        <v>73</v>
      </c>
      <c r="G931" s="4" t="s">
        <v>2803</v>
      </c>
      <c r="H931" s="4" t="s">
        <v>2922</v>
      </c>
      <c r="I931" s="8" t="s">
        <v>44</v>
      </c>
      <c r="J931" s="8" t="s">
        <v>31</v>
      </c>
      <c r="K931" s="12">
        <f>_xlfn.XLOOKUP(B931,[1]Sheet1!$B:$B,[1]Sheet1!$N:$N,0)</f>
        <v>0</v>
      </c>
      <c r="L931" s="12">
        <f>_xlfn.XLOOKUP(B931,[1]Sheet1!$B:$B,[1]Sheet1!$O:$O,0)</f>
        <v>0</v>
      </c>
      <c r="M931" s="12">
        <f>_xlfn.XLOOKUP(B931,[1]Sheet1!$B:$B,[1]Sheet1!$P:$P,0)</f>
        <v>0</v>
      </c>
      <c r="N931" s="12">
        <f>_xlfn.XLOOKUP(B931,[1]Sheet1!$B:$B,[1]Sheet1!$Q:$Q,0)</f>
        <v>0</v>
      </c>
      <c r="O931" s="12">
        <f>_xlfn.XLOOKUP(B931,[1]Sheet1!$B:$B,[1]Sheet1!$R:$R,0)</f>
        <v>0</v>
      </c>
      <c r="P931" s="12">
        <f>_xlfn.XLOOKUP(B931,[1]Sheet1!$B:$B,[1]Sheet1!$S:$S,0)</f>
        <v>525000</v>
      </c>
      <c r="Q931" s="12">
        <f>_xlfn.XLOOKUP(B931,[1]Sheet1!$B:$B,[1]Sheet1!$T:$T,0)</f>
        <v>810000</v>
      </c>
      <c r="R931" s="12">
        <f>_xlfn.XLOOKUP(B931,[1]Sheet1!$B:$B,[1]Sheet1!$U:$U,0)</f>
        <v>0</v>
      </c>
      <c r="S931" s="12">
        <f>_xlfn.XLOOKUP(B931,[1]Sheet1!$B:$B,[1]Sheet1!$V:$V,0)</f>
        <v>108000</v>
      </c>
      <c r="T931" s="12">
        <f>_xlfn.XLOOKUP(B931,[1]Sheet1!$B:$B,[1]Sheet1!$W:$W,0)</f>
        <v>108000</v>
      </c>
      <c r="U931" s="12">
        <f>_xlfn.XLOOKUP(B931,[1]Sheet1!$B:$B,[1]Sheet1!$X:$X,0)</f>
        <v>0</v>
      </c>
      <c r="V931" s="12">
        <f>_xlfn.XLOOKUP(B931,[1]Sheet1!$B:$B,[1]Sheet1!$Y:$Y,0)</f>
        <v>0</v>
      </c>
      <c r="W931" s="12">
        <f t="shared" si="31"/>
        <v>1551000</v>
      </c>
      <c r="X931" s="8" t="s">
        <v>744</v>
      </c>
      <c r="Y931" s="8" t="s">
        <v>211</v>
      </c>
      <c r="Z931" s="8" t="s">
        <v>745</v>
      </c>
      <c r="AA931" s="8" t="s">
        <v>44</v>
      </c>
      <c r="AB931" s="8" t="s">
        <v>36</v>
      </c>
      <c r="AC931" s="8" t="s">
        <v>37</v>
      </c>
      <c r="AD931" s="8" t="s">
        <v>214</v>
      </c>
      <c r="AE931" s="8" t="s">
        <v>39</v>
      </c>
      <c r="AF931" s="8" t="s">
        <v>40</v>
      </c>
      <c r="AG931" s="9">
        <v>1001250</v>
      </c>
      <c r="AH931" s="11">
        <f>_xlfn.XLOOKUP(B931,[1]Sheet1!$B:$B,[1]Sheet1!$AB:$AB,0)</f>
        <v>1001250</v>
      </c>
    </row>
    <row r="932" spans="2:34" ht="16.8" thickTop="1" thickBot="1" x14ac:dyDescent="0.35">
      <c r="B932" s="3" t="str">
        <f t="shared" si="30"/>
        <v>45151004511001213Content Partner-N421125200104</v>
      </c>
      <c r="C932" s="6" t="s">
        <v>746</v>
      </c>
      <c r="D932" s="6" t="s">
        <v>1469</v>
      </c>
      <c r="E932" s="6" t="s">
        <v>1470</v>
      </c>
      <c r="F932" s="6" t="s">
        <v>1471</v>
      </c>
      <c r="G932" s="4" t="s">
        <v>2803</v>
      </c>
      <c r="H932" s="4" t="s">
        <v>2922</v>
      </c>
      <c r="I932" s="6" t="s">
        <v>44</v>
      </c>
      <c r="J932" s="6" t="s">
        <v>31</v>
      </c>
      <c r="K932" s="12">
        <f>_xlfn.XLOOKUP(B932,[1]Sheet1!$B:$B,[1]Sheet1!$N:$N,0)</f>
        <v>0</v>
      </c>
      <c r="L932" s="12">
        <f>_xlfn.XLOOKUP(B932,[1]Sheet1!$B:$B,[1]Sheet1!$O:$O,0)</f>
        <v>0</v>
      </c>
      <c r="M932" s="12">
        <f>_xlfn.XLOOKUP(B932,[1]Sheet1!$B:$B,[1]Sheet1!$P:$P,0)</f>
        <v>0</v>
      </c>
      <c r="N932" s="12">
        <f>_xlfn.XLOOKUP(B932,[1]Sheet1!$B:$B,[1]Sheet1!$Q:$Q,0)</f>
        <v>75000</v>
      </c>
      <c r="O932" s="12">
        <f>_xlfn.XLOOKUP(B932,[1]Sheet1!$B:$B,[1]Sheet1!$R:$R,0)</f>
        <v>0</v>
      </c>
      <c r="P932" s="12">
        <f>_xlfn.XLOOKUP(B932,[1]Sheet1!$B:$B,[1]Sheet1!$S:$S,0)</f>
        <v>1020000</v>
      </c>
      <c r="Q932" s="12">
        <f>_xlfn.XLOOKUP(B932,[1]Sheet1!$B:$B,[1]Sheet1!$T:$T,0)</f>
        <v>0</v>
      </c>
      <c r="R932" s="12">
        <f>_xlfn.XLOOKUP(B932,[1]Sheet1!$B:$B,[1]Sheet1!$U:$U,0)</f>
        <v>0</v>
      </c>
      <c r="S932" s="12">
        <f>_xlfn.XLOOKUP(B932,[1]Sheet1!$B:$B,[1]Sheet1!$V:$V,0)</f>
        <v>0</v>
      </c>
      <c r="T932" s="12">
        <f>_xlfn.XLOOKUP(B932,[1]Sheet1!$B:$B,[1]Sheet1!$W:$W,0)</f>
        <v>75000</v>
      </c>
      <c r="U932" s="12">
        <f>_xlfn.XLOOKUP(B932,[1]Sheet1!$B:$B,[1]Sheet1!$X:$X,0)</f>
        <v>0</v>
      </c>
      <c r="V932" s="12">
        <f>_xlfn.XLOOKUP(B932,[1]Sheet1!$B:$B,[1]Sheet1!$Y:$Y,0)</f>
        <v>0</v>
      </c>
      <c r="W932" s="12">
        <f t="shared" si="31"/>
        <v>1170000</v>
      </c>
      <c r="X932" s="6" t="s">
        <v>744</v>
      </c>
      <c r="Y932" s="6" t="s">
        <v>211</v>
      </c>
      <c r="Z932" s="6" t="s">
        <v>745</v>
      </c>
      <c r="AA932" s="6" t="s">
        <v>44</v>
      </c>
      <c r="AB932" s="6" t="s">
        <v>36</v>
      </c>
      <c r="AC932" s="6" t="s">
        <v>37</v>
      </c>
      <c r="AD932" s="6" t="s">
        <v>214</v>
      </c>
      <c r="AE932" s="6" t="s">
        <v>39</v>
      </c>
      <c r="AF932" s="6" t="s">
        <v>40</v>
      </c>
      <c r="AG932" s="7">
        <v>1170000</v>
      </c>
      <c r="AH932" s="11">
        <f>_xlfn.XLOOKUP(B932,[1]Sheet1!$B:$B,[1]Sheet1!$AB:$AB,0)</f>
        <v>1170000</v>
      </c>
    </row>
    <row r="933" spans="2:34" ht="16.8" thickTop="1" thickBot="1" x14ac:dyDescent="0.35">
      <c r="B933" s="3" t="str">
        <f t="shared" si="30"/>
        <v>45151004511001213PRMgmnt E-E Rtnr-N421125200104</v>
      </c>
      <c r="C933" s="8" t="s">
        <v>746</v>
      </c>
      <c r="D933" s="8" t="s">
        <v>1469</v>
      </c>
      <c r="E933" s="8" t="s">
        <v>1470</v>
      </c>
      <c r="F933" s="8" t="s">
        <v>566</v>
      </c>
      <c r="G933" s="4" t="s">
        <v>2803</v>
      </c>
      <c r="H933" s="4" t="s">
        <v>2922</v>
      </c>
      <c r="I933" s="8" t="s">
        <v>44</v>
      </c>
      <c r="J933" s="8" t="s">
        <v>31</v>
      </c>
      <c r="K933" s="12">
        <f>_xlfn.XLOOKUP(B933,[1]Sheet1!$B:$B,[1]Sheet1!$N:$N,0)</f>
        <v>0</v>
      </c>
      <c r="L933" s="12">
        <f>_xlfn.XLOOKUP(B933,[1]Sheet1!$B:$B,[1]Sheet1!$O:$O,0)</f>
        <v>0</v>
      </c>
      <c r="M933" s="12">
        <f>_xlfn.XLOOKUP(B933,[1]Sheet1!$B:$B,[1]Sheet1!$P:$P,0)</f>
        <v>0</v>
      </c>
      <c r="N933" s="12">
        <f>_xlfn.XLOOKUP(B933,[1]Sheet1!$B:$B,[1]Sheet1!$Q:$Q,0)</f>
        <v>1101600</v>
      </c>
      <c r="O933" s="12">
        <f>_xlfn.XLOOKUP(B933,[1]Sheet1!$B:$B,[1]Sheet1!$R:$R,0)</f>
        <v>275400</v>
      </c>
      <c r="P933" s="12">
        <f>_xlfn.XLOOKUP(B933,[1]Sheet1!$B:$B,[1]Sheet1!$S:$S,0)</f>
        <v>275400</v>
      </c>
      <c r="Q933" s="12">
        <f>_xlfn.XLOOKUP(B933,[1]Sheet1!$B:$B,[1]Sheet1!$T:$T,0)</f>
        <v>275400</v>
      </c>
      <c r="R933" s="12">
        <f>_xlfn.XLOOKUP(B933,[1]Sheet1!$B:$B,[1]Sheet1!$U:$U,0)</f>
        <v>275400</v>
      </c>
      <c r="S933" s="12">
        <f>_xlfn.XLOOKUP(B933,[1]Sheet1!$B:$B,[1]Sheet1!$V:$V,0)</f>
        <v>275400</v>
      </c>
      <c r="T933" s="12">
        <f>_xlfn.XLOOKUP(B933,[1]Sheet1!$B:$B,[1]Sheet1!$W:$W,0)</f>
        <v>275400</v>
      </c>
      <c r="U933" s="12">
        <f>_xlfn.XLOOKUP(B933,[1]Sheet1!$B:$B,[1]Sheet1!$X:$X,0)</f>
        <v>275400</v>
      </c>
      <c r="V933" s="12">
        <f>_xlfn.XLOOKUP(B933,[1]Sheet1!$B:$B,[1]Sheet1!$Y:$Y,0)</f>
        <v>275400</v>
      </c>
      <c r="W933" s="12">
        <f t="shared" si="31"/>
        <v>3304800</v>
      </c>
      <c r="X933" s="8" t="s">
        <v>744</v>
      </c>
      <c r="Y933" s="8" t="s">
        <v>211</v>
      </c>
      <c r="Z933" s="8" t="s">
        <v>745</v>
      </c>
      <c r="AA933" s="8" t="s">
        <v>44</v>
      </c>
      <c r="AB933" s="8" t="s">
        <v>36</v>
      </c>
      <c r="AC933" s="8" t="s">
        <v>37</v>
      </c>
      <c r="AD933" s="8" t="s">
        <v>214</v>
      </c>
      <c r="AE933" s="8" t="s">
        <v>39</v>
      </c>
      <c r="AF933" s="8" t="s">
        <v>40</v>
      </c>
      <c r="AG933" s="9">
        <v>3304800</v>
      </c>
      <c r="AH933" s="11">
        <f>_xlfn.XLOOKUP(B933,[1]Sheet1!$B:$B,[1]Sheet1!$AB:$AB,0)</f>
        <v>3304800</v>
      </c>
    </row>
    <row r="934" spans="2:34" ht="16.8" thickTop="1" thickBot="1" x14ac:dyDescent="0.35">
      <c r="B934" s="3" t="str">
        <f t="shared" si="30"/>
        <v>45151004511001213Trade Promotion-N424251200104</v>
      </c>
      <c r="C934" s="6" t="s">
        <v>746</v>
      </c>
      <c r="D934" s="6" t="s">
        <v>1469</v>
      </c>
      <c r="E934" s="6" t="s">
        <v>1470</v>
      </c>
      <c r="F934" s="6" t="s">
        <v>748</v>
      </c>
      <c r="G934" s="4" t="s">
        <v>2852</v>
      </c>
      <c r="H934" s="4" t="s">
        <v>2922</v>
      </c>
      <c r="I934" s="6" t="s">
        <v>569</v>
      </c>
      <c r="J934" s="6" t="s">
        <v>31</v>
      </c>
      <c r="K934" s="12">
        <f>_xlfn.XLOOKUP(B934,[1]Sheet1!$B:$B,[1]Sheet1!$N:$N,0)</f>
        <v>0</v>
      </c>
      <c r="L934" s="12">
        <f>_xlfn.XLOOKUP(B934,[1]Sheet1!$B:$B,[1]Sheet1!$O:$O,0)</f>
        <v>0</v>
      </c>
      <c r="M934" s="12">
        <f>_xlfn.XLOOKUP(B934,[1]Sheet1!$B:$B,[1]Sheet1!$P:$P,0)</f>
        <v>0</v>
      </c>
      <c r="N934" s="12">
        <f>_xlfn.XLOOKUP(B934,[1]Sheet1!$B:$B,[1]Sheet1!$Q:$Q,0)</f>
        <v>0</v>
      </c>
      <c r="O934" s="12">
        <f>_xlfn.XLOOKUP(B934,[1]Sheet1!$B:$B,[1]Sheet1!$R:$R,0)</f>
        <v>0</v>
      </c>
      <c r="P934" s="12">
        <f>_xlfn.XLOOKUP(B934,[1]Sheet1!$B:$B,[1]Sheet1!$S:$S,0)</f>
        <v>150000</v>
      </c>
      <c r="Q934" s="12">
        <f>_xlfn.XLOOKUP(B934,[1]Sheet1!$B:$B,[1]Sheet1!$T:$T,0)</f>
        <v>250000</v>
      </c>
      <c r="R934" s="12">
        <f>_xlfn.XLOOKUP(B934,[1]Sheet1!$B:$B,[1]Sheet1!$U:$U,0)</f>
        <v>245000</v>
      </c>
      <c r="S934" s="12">
        <f>_xlfn.XLOOKUP(B934,[1]Sheet1!$B:$B,[1]Sheet1!$V:$V,0)</f>
        <v>0</v>
      </c>
      <c r="T934" s="12">
        <f>_xlfn.XLOOKUP(B934,[1]Sheet1!$B:$B,[1]Sheet1!$W:$W,0)</f>
        <v>1860000</v>
      </c>
      <c r="U934" s="12">
        <f>_xlfn.XLOOKUP(B934,[1]Sheet1!$B:$B,[1]Sheet1!$X:$X,0)</f>
        <v>0</v>
      </c>
      <c r="V934" s="12">
        <f>_xlfn.XLOOKUP(B934,[1]Sheet1!$B:$B,[1]Sheet1!$Y:$Y,0)</f>
        <v>490000</v>
      </c>
      <c r="W934" s="12">
        <f t="shared" si="31"/>
        <v>2995000</v>
      </c>
      <c r="X934" s="6" t="s">
        <v>749</v>
      </c>
      <c r="Y934" s="6" t="s">
        <v>211</v>
      </c>
      <c r="Z934" s="6" t="s">
        <v>745</v>
      </c>
      <c r="AA934" s="6" t="s">
        <v>569</v>
      </c>
      <c r="AB934" s="6" t="s">
        <v>36</v>
      </c>
      <c r="AC934" s="6" t="s">
        <v>37</v>
      </c>
      <c r="AD934" s="6" t="s">
        <v>214</v>
      </c>
      <c r="AE934" s="6" t="s">
        <v>39</v>
      </c>
      <c r="AF934" s="6" t="s">
        <v>40</v>
      </c>
      <c r="AG934" s="7">
        <v>2995000</v>
      </c>
      <c r="AH934" s="11">
        <f>_xlfn.XLOOKUP(B934,[1]Sheet1!$B:$B,[1]Sheet1!$AB:$AB,0)</f>
        <v>2995000</v>
      </c>
    </row>
    <row r="935" spans="2:34" ht="16.8" thickTop="1" thickBot="1" x14ac:dyDescent="0.35">
      <c r="B935" s="3" t="str">
        <f t="shared" si="30"/>
        <v>45118004511001214Printed Material-N424790200104</v>
      </c>
      <c r="C935" s="8" t="s">
        <v>191</v>
      </c>
      <c r="D935" s="8" t="s">
        <v>1472</v>
      </c>
      <c r="E935" s="8" t="s">
        <v>1473</v>
      </c>
      <c r="F935" s="8" t="s">
        <v>1474</v>
      </c>
      <c r="G935" s="4" t="s">
        <v>2872</v>
      </c>
      <c r="H935" s="4" t="s">
        <v>2922</v>
      </c>
      <c r="I935" s="8" t="s">
        <v>1475</v>
      </c>
      <c r="J935" s="8" t="s">
        <v>31</v>
      </c>
      <c r="K935" s="12">
        <f>_xlfn.XLOOKUP(B935,[1]Sheet1!$B:$B,[1]Sheet1!$N:$N,0)</f>
        <v>0</v>
      </c>
      <c r="L935" s="12">
        <f>_xlfn.XLOOKUP(B935,[1]Sheet1!$B:$B,[1]Sheet1!$O:$O,0)</f>
        <v>0</v>
      </c>
      <c r="M935" s="12">
        <f>_xlfn.XLOOKUP(B935,[1]Sheet1!$B:$B,[1]Sheet1!$P:$P,0)</f>
        <v>1225</v>
      </c>
      <c r="N935" s="12">
        <f>_xlfn.XLOOKUP(B935,[1]Sheet1!$B:$B,[1]Sheet1!$Q:$Q,0)</f>
        <v>10675</v>
      </c>
      <c r="O935" s="12">
        <f>_xlfn.XLOOKUP(B935,[1]Sheet1!$B:$B,[1]Sheet1!$R:$R,0)</f>
        <v>210300</v>
      </c>
      <c r="P935" s="12">
        <f>_xlfn.XLOOKUP(B935,[1]Sheet1!$B:$B,[1]Sheet1!$S:$S,0)</f>
        <v>23800</v>
      </c>
      <c r="Q935" s="12">
        <f>_xlfn.XLOOKUP(B935,[1]Sheet1!$B:$B,[1]Sheet1!$T:$T,0)</f>
        <v>11900</v>
      </c>
      <c r="R935" s="12">
        <f>_xlfn.XLOOKUP(B935,[1]Sheet1!$B:$B,[1]Sheet1!$U:$U,0)</f>
        <v>74700</v>
      </c>
      <c r="S935" s="12">
        <f>_xlfn.XLOOKUP(B935,[1]Sheet1!$B:$B,[1]Sheet1!$V:$V,0)</f>
        <v>21000</v>
      </c>
      <c r="T935" s="12">
        <f>_xlfn.XLOOKUP(B935,[1]Sheet1!$B:$B,[1]Sheet1!$W:$W,0)</f>
        <v>30900</v>
      </c>
      <c r="U935" s="12">
        <f>_xlfn.XLOOKUP(B935,[1]Sheet1!$B:$B,[1]Sheet1!$X:$X,0)</f>
        <v>36200</v>
      </c>
      <c r="V935" s="12">
        <f>_xlfn.XLOOKUP(B935,[1]Sheet1!$B:$B,[1]Sheet1!$Y:$Y,0)</f>
        <v>49400</v>
      </c>
      <c r="W935" s="12">
        <f t="shared" si="31"/>
        <v>470100</v>
      </c>
      <c r="X935" s="8" t="s">
        <v>1476</v>
      </c>
      <c r="Y935" s="8" t="s">
        <v>65</v>
      </c>
      <c r="Z935" s="8" t="s">
        <v>190</v>
      </c>
      <c r="AA935" s="8" t="s">
        <v>1475</v>
      </c>
      <c r="AB935" s="8" t="s">
        <v>36</v>
      </c>
      <c r="AC935" s="8" t="s">
        <v>37</v>
      </c>
      <c r="AD935" s="8" t="s">
        <v>192</v>
      </c>
      <c r="AE935" s="8" t="s">
        <v>39</v>
      </c>
      <c r="AF935" s="8" t="s">
        <v>40</v>
      </c>
      <c r="AG935" s="9">
        <v>470100</v>
      </c>
      <c r="AH935" s="11">
        <f>_xlfn.XLOOKUP(B935,[1]Sheet1!$B:$B,[1]Sheet1!$AB:$AB,0)</f>
        <v>470100</v>
      </c>
    </row>
    <row r="936" spans="2:34" ht="16.8" thickTop="1" thickBot="1" x14ac:dyDescent="0.35">
      <c r="B936" s="3" t="str">
        <f t="shared" si="30"/>
        <v>45118004511001214Strategy Advice-N421123200104</v>
      </c>
      <c r="C936" s="6" t="s">
        <v>191</v>
      </c>
      <c r="D936" s="6" t="s">
        <v>1472</v>
      </c>
      <c r="E936" s="6" t="s">
        <v>1473</v>
      </c>
      <c r="F936" s="6" t="s">
        <v>236</v>
      </c>
      <c r="G936" s="4" t="s">
        <v>2827</v>
      </c>
      <c r="H936" s="4" t="s">
        <v>2922</v>
      </c>
      <c r="I936" s="6" t="s">
        <v>237</v>
      </c>
      <c r="J936" s="6" t="s">
        <v>31</v>
      </c>
      <c r="K936" s="12">
        <f>_xlfn.XLOOKUP(B936,[1]Sheet1!$B:$B,[1]Sheet1!$N:$N,0)</f>
        <v>0</v>
      </c>
      <c r="L936" s="12">
        <f>_xlfn.XLOOKUP(B936,[1]Sheet1!$B:$B,[1]Sheet1!$O:$O,0)</f>
        <v>0</v>
      </c>
      <c r="M936" s="12">
        <f>_xlfn.XLOOKUP(B936,[1]Sheet1!$B:$B,[1]Sheet1!$P:$P,0)</f>
        <v>0</v>
      </c>
      <c r="N936" s="12">
        <f>_xlfn.XLOOKUP(B936,[1]Sheet1!$B:$B,[1]Sheet1!$Q:$Q,0)</f>
        <v>0</v>
      </c>
      <c r="O936" s="12">
        <f>_xlfn.XLOOKUP(B936,[1]Sheet1!$B:$B,[1]Sheet1!$R:$R,0)</f>
        <v>72000</v>
      </c>
      <c r="P936" s="12">
        <f>_xlfn.XLOOKUP(B936,[1]Sheet1!$B:$B,[1]Sheet1!$S:$S,0)</f>
        <v>72000</v>
      </c>
      <c r="Q936" s="12">
        <f>_xlfn.XLOOKUP(B936,[1]Sheet1!$B:$B,[1]Sheet1!$T:$T,0)</f>
        <v>72000</v>
      </c>
      <c r="R936" s="12">
        <f>_xlfn.XLOOKUP(B936,[1]Sheet1!$B:$B,[1]Sheet1!$U:$U,0)</f>
        <v>72000</v>
      </c>
      <c r="S936" s="12">
        <f>_xlfn.XLOOKUP(B936,[1]Sheet1!$B:$B,[1]Sheet1!$V:$V,0)</f>
        <v>72000</v>
      </c>
      <c r="T936" s="12">
        <f>_xlfn.XLOOKUP(B936,[1]Sheet1!$B:$B,[1]Sheet1!$W:$W,0)</f>
        <v>72000</v>
      </c>
      <c r="U936" s="12">
        <f>_xlfn.XLOOKUP(B936,[1]Sheet1!$B:$B,[1]Sheet1!$X:$X,0)</f>
        <v>72000</v>
      </c>
      <c r="V936" s="12">
        <f>_xlfn.XLOOKUP(B936,[1]Sheet1!$B:$B,[1]Sheet1!$Y:$Y,0)</f>
        <v>216000</v>
      </c>
      <c r="W936" s="12">
        <f t="shared" si="31"/>
        <v>720000</v>
      </c>
      <c r="X936" s="6" t="s">
        <v>1477</v>
      </c>
      <c r="Y936" s="6" t="s">
        <v>65</v>
      </c>
      <c r="Z936" s="6" t="s">
        <v>190</v>
      </c>
      <c r="AA936" s="6" t="s">
        <v>237</v>
      </c>
      <c r="AB936" s="6" t="s">
        <v>36</v>
      </c>
      <c r="AC936" s="6" t="s">
        <v>37</v>
      </c>
      <c r="AD936" s="6" t="s">
        <v>192</v>
      </c>
      <c r="AE936" s="6" t="s">
        <v>39</v>
      </c>
      <c r="AF936" s="6" t="s">
        <v>40</v>
      </c>
      <c r="AG936" s="7">
        <v>53800</v>
      </c>
      <c r="AH936" s="11">
        <f>_xlfn.XLOOKUP(B936,[1]Sheet1!$B:$B,[1]Sheet1!$AB:$AB,0)</f>
        <v>53800</v>
      </c>
    </row>
    <row r="937" spans="2:34" ht="16.8" thickTop="1" thickBot="1" x14ac:dyDescent="0.35">
      <c r="B937" s="3" t="str">
        <f t="shared" si="30"/>
        <v>45102304511001217Ad-hoc Repairs-N1426427200104</v>
      </c>
      <c r="C937" s="8" t="s">
        <v>467</v>
      </c>
      <c r="D937" s="8" t="s">
        <v>1478</v>
      </c>
      <c r="E937" s="8" t="s">
        <v>1479</v>
      </c>
      <c r="F937" s="8" t="s">
        <v>621</v>
      </c>
      <c r="G937" s="4" t="s">
        <v>2808</v>
      </c>
      <c r="H937" s="4" t="s">
        <v>2922</v>
      </c>
      <c r="I937" s="8" t="s">
        <v>71</v>
      </c>
      <c r="J937" s="8" t="s">
        <v>31</v>
      </c>
      <c r="K937" s="12">
        <f>_xlfn.XLOOKUP(B937,[1]Sheet1!$B:$B,[1]Sheet1!$N:$N,0)</f>
        <v>0</v>
      </c>
      <c r="L937" s="12">
        <f>_xlfn.XLOOKUP(B937,[1]Sheet1!$B:$B,[1]Sheet1!$O:$O,0)</f>
        <v>0</v>
      </c>
      <c r="M937" s="12">
        <f>_xlfn.XLOOKUP(B937,[1]Sheet1!$B:$B,[1]Sheet1!$P:$P,0)</f>
        <v>0</v>
      </c>
      <c r="N937" s="12">
        <f>_xlfn.XLOOKUP(B937,[1]Sheet1!$B:$B,[1]Sheet1!$Q:$Q,0)</f>
        <v>16400</v>
      </c>
      <c r="O937" s="12">
        <f>_xlfn.XLOOKUP(B937,[1]Sheet1!$B:$B,[1]Sheet1!$R:$R,0)</f>
        <v>4100</v>
      </c>
      <c r="P937" s="12">
        <f>_xlfn.XLOOKUP(B937,[1]Sheet1!$B:$B,[1]Sheet1!$S:$S,0)</f>
        <v>4100</v>
      </c>
      <c r="Q937" s="12">
        <f>_xlfn.XLOOKUP(B937,[1]Sheet1!$B:$B,[1]Sheet1!$T:$T,0)</f>
        <v>4100</v>
      </c>
      <c r="R937" s="12">
        <f>_xlfn.XLOOKUP(B937,[1]Sheet1!$B:$B,[1]Sheet1!$U:$U,0)</f>
        <v>4100</v>
      </c>
      <c r="S937" s="12">
        <f>_xlfn.XLOOKUP(B937,[1]Sheet1!$B:$B,[1]Sheet1!$V:$V,0)</f>
        <v>4300</v>
      </c>
      <c r="T937" s="12">
        <f>_xlfn.XLOOKUP(B937,[1]Sheet1!$B:$B,[1]Sheet1!$W:$W,0)</f>
        <v>4300</v>
      </c>
      <c r="U937" s="12">
        <f>_xlfn.XLOOKUP(B937,[1]Sheet1!$B:$B,[1]Sheet1!$X:$X,0)</f>
        <v>4300</v>
      </c>
      <c r="V937" s="12">
        <f>_xlfn.XLOOKUP(B937,[1]Sheet1!$B:$B,[1]Sheet1!$Y:$Y,0)</f>
        <v>4300</v>
      </c>
      <c r="W937" s="12">
        <f t="shared" si="31"/>
        <v>50000</v>
      </c>
      <c r="X937" s="8" t="s">
        <v>622</v>
      </c>
      <c r="Y937" s="8" t="s">
        <v>132</v>
      </c>
      <c r="Z937" s="8" t="s">
        <v>466</v>
      </c>
      <c r="AA937" s="8" t="s">
        <v>71</v>
      </c>
      <c r="AB937" s="8" t="s">
        <v>36</v>
      </c>
      <c r="AC937" s="8" t="s">
        <v>37</v>
      </c>
      <c r="AD937" s="8" t="s">
        <v>468</v>
      </c>
      <c r="AE937" s="8" t="s">
        <v>39</v>
      </c>
      <c r="AF937" s="8" t="s">
        <v>40</v>
      </c>
      <c r="AG937" s="9">
        <v>50000</v>
      </c>
      <c r="AH937" s="11">
        <f>_xlfn.XLOOKUP(B937,[1]Sheet1!$B:$B,[1]Sheet1!$AB:$AB,0)</f>
        <v>50000</v>
      </c>
    </row>
    <row r="938" spans="2:34" ht="16.8" thickTop="1" thickBot="1" x14ac:dyDescent="0.35">
      <c r="B938" s="3" t="str">
        <f t="shared" si="30"/>
        <v>45102304511001217Cleaning Service-N1422311200104</v>
      </c>
      <c r="C938" s="6" t="s">
        <v>467</v>
      </c>
      <c r="D938" s="6" t="s">
        <v>1478</v>
      </c>
      <c r="E938" s="6" t="s">
        <v>1479</v>
      </c>
      <c r="F938" s="6" t="s">
        <v>623</v>
      </c>
      <c r="G938" s="4" t="s">
        <v>2810</v>
      </c>
      <c r="H938" s="4" t="s">
        <v>2922</v>
      </c>
      <c r="I938" s="6" t="s">
        <v>80</v>
      </c>
      <c r="J938" s="6" t="s">
        <v>31</v>
      </c>
      <c r="K938" s="12">
        <f>_xlfn.XLOOKUP(B938,[1]Sheet1!$B:$B,[1]Sheet1!$N:$N,0)</f>
        <v>0</v>
      </c>
      <c r="L938" s="12">
        <f>_xlfn.XLOOKUP(B938,[1]Sheet1!$B:$B,[1]Sheet1!$O:$O,0)</f>
        <v>0</v>
      </c>
      <c r="M938" s="12">
        <f>_xlfn.XLOOKUP(B938,[1]Sheet1!$B:$B,[1]Sheet1!$P:$P,0)</f>
        <v>0</v>
      </c>
      <c r="N938" s="12">
        <f>_xlfn.XLOOKUP(B938,[1]Sheet1!$B:$B,[1]Sheet1!$Q:$Q,0)</f>
        <v>61000</v>
      </c>
      <c r="O938" s="12">
        <f>_xlfn.XLOOKUP(B938,[1]Sheet1!$B:$B,[1]Sheet1!$R:$R,0)</f>
        <v>15250</v>
      </c>
      <c r="P938" s="12">
        <f>_xlfn.XLOOKUP(B938,[1]Sheet1!$B:$B,[1]Sheet1!$S:$S,0)</f>
        <v>15250</v>
      </c>
      <c r="Q938" s="12">
        <f>_xlfn.XLOOKUP(B938,[1]Sheet1!$B:$B,[1]Sheet1!$T:$T,0)</f>
        <v>15250</v>
      </c>
      <c r="R938" s="12">
        <f>_xlfn.XLOOKUP(B938,[1]Sheet1!$B:$B,[1]Sheet1!$U:$U,0)</f>
        <v>15250</v>
      </c>
      <c r="S938" s="12">
        <f>_xlfn.XLOOKUP(B938,[1]Sheet1!$B:$B,[1]Sheet1!$V:$V,0)</f>
        <v>15250</v>
      </c>
      <c r="T938" s="12">
        <f>_xlfn.XLOOKUP(B938,[1]Sheet1!$B:$B,[1]Sheet1!$W:$W,0)</f>
        <v>15250</v>
      </c>
      <c r="U938" s="12">
        <f>_xlfn.XLOOKUP(B938,[1]Sheet1!$B:$B,[1]Sheet1!$X:$X,0)</f>
        <v>15250</v>
      </c>
      <c r="V938" s="12">
        <f>_xlfn.XLOOKUP(B938,[1]Sheet1!$B:$B,[1]Sheet1!$Y:$Y,0)</f>
        <v>15250</v>
      </c>
      <c r="W938" s="12">
        <f t="shared" si="31"/>
        <v>183000</v>
      </c>
      <c r="X938" s="6" t="s">
        <v>624</v>
      </c>
      <c r="Y938" s="6" t="s">
        <v>132</v>
      </c>
      <c r="Z938" s="6" t="s">
        <v>466</v>
      </c>
      <c r="AA938" s="6" t="s">
        <v>80</v>
      </c>
      <c r="AB938" s="6" t="s">
        <v>36</v>
      </c>
      <c r="AC938" s="6" t="s">
        <v>37</v>
      </c>
      <c r="AD938" s="6" t="s">
        <v>468</v>
      </c>
      <c r="AE938" s="6" t="s">
        <v>39</v>
      </c>
      <c r="AF938" s="6" t="s">
        <v>40</v>
      </c>
      <c r="AG938" s="7">
        <v>183000</v>
      </c>
      <c r="AH938" s="11">
        <f>_xlfn.XLOOKUP(B938,[1]Sheet1!$B:$B,[1]Sheet1!$AB:$AB,0)</f>
        <v>183000</v>
      </c>
    </row>
    <row r="939" spans="2:34" ht="16.8" thickTop="1" thickBot="1" x14ac:dyDescent="0.35">
      <c r="B939" s="3" t="str">
        <f t="shared" si="30"/>
        <v>45102304511001217Facilities Rent-N1425112200104</v>
      </c>
      <c r="C939" s="8" t="s">
        <v>467</v>
      </c>
      <c r="D939" s="8" t="s">
        <v>1478</v>
      </c>
      <c r="E939" s="8" t="s">
        <v>1479</v>
      </c>
      <c r="F939" s="8" t="s">
        <v>631</v>
      </c>
      <c r="G939" s="4" t="s">
        <v>2848</v>
      </c>
      <c r="H939" s="4" t="s">
        <v>2922</v>
      </c>
      <c r="I939" s="8" t="s">
        <v>533</v>
      </c>
      <c r="J939" s="8" t="s">
        <v>31</v>
      </c>
      <c r="K939" s="12">
        <f>_xlfn.XLOOKUP(B939,[1]Sheet1!$B:$B,[1]Sheet1!$N:$N,0)</f>
        <v>0</v>
      </c>
      <c r="L939" s="12">
        <f>_xlfn.XLOOKUP(B939,[1]Sheet1!$B:$B,[1]Sheet1!$O:$O,0)</f>
        <v>0</v>
      </c>
      <c r="M939" s="12">
        <f>_xlfn.XLOOKUP(B939,[1]Sheet1!$B:$B,[1]Sheet1!$P:$P,0)</f>
        <v>0</v>
      </c>
      <c r="N939" s="12">
        <f>_xlfn.XLOOKUP(B939,[1]Sheet1!$B:$B,[1]Sheet1!$Q:$Q,0)</f>
        <v>0</v>
      </c>
      <c r="O939" s="12">
        <f>_xlfn.XLOOKUP(B939,[1]Sheet1!$B:$B,[1]Sheet1!$R:$R,0)</f>
        <v>0</v>
      </c>
      <c r="P939" s="12">
        <f>_xlfn.XLOOKUP(B939,[1]Sheet1!$B:$B,[1]Sheet1!$S:$S,0)</f>
        <v>0</v>
      </c>
      <c r="Q939" s="12">
        <f>_xlfn.XLOOKUP(B939,[1]Sheet1!$B:$B,[1]Sheet1!$T:$T,0)</f>
        <v>0</v>
      </c>
      <c r="R939" s="12">
        <f>_xlfn.XLOOKUP(B939,[1]Sheet1!$B:$B,[1]Sheet1!$U:$U,0)</f>
        <v>0</v>
      </c>
      <c r="S939" s="12">
        <f>_xlfn.XLOOKUP(B939,[1]Sheet1!$B:$B,[1]Sheet1!$V:$V,0)</f>
        <v>0</v>
      </c>
      <c r="T939" s="12">
        <f>_xlfn.XLOOKUP(B939,[1]Sheet1!$B:$B,[1]Sheet1!$W:$W,0)</f>
        <v>0</v>
      </c>
      <c r="U939" s="12">
        <f>_xlfn.XLOOKUP(B939,[1]Sheet1!$B:$B,[1]Sheet1!$X:$X,0)</f>
        <v>3826680</v>
      </c>
      <c r="V939" s="12">
        <f>_xlfn.XLOOKUP(B939,[1]Sheet1!$B:$B,[1]Sheet1!$Y:$Y,0)</f>
        <v>0</v>
      </c>
      <c r="W939" s="12">
        <f t="shared" si="31"/>
        <v>3826680</v>
      </c>
      <c r="X939" s="8" t="s">
        <v>632</v>
      </c>
      <c r="Y939" s="8" t="s">
        <v>132</v>
      </c>
      <c r="Z939" s="8" t="s">
        <v>466</v>
      </c>
      <c r="AA939" s="8" t="s">
        <v>533</v>
      </c>
      <c r="AB939" s="8" t="s">
        <v>36</v>
      </c>
      <c r="AC939" s="8" t="s">
        <v>37</v>
      </c>
      <c r="AD939" s="8" t="s">
        <v>468</v>
      </c>
      <c r="AE939" s="8" t="s">
        <v>39</v>
      </c>
      <c r="AF939" s="8" t="s">
        <v>40</v>
      </c>
      <c r="AG939" s="9">
        <v>3826680</v>
      </c>
      <c r="AH939" s="11">
        <f>_xlfn.XLOOKUP(B939,[1]Sheet1!$B:$B,[1]Sheet1!$AB:$AB,0)</f>
        <v>3826680</v>
      </c>
    </row>
    <row r="940" spans="2:34" ht="16.8" thickTop="1" thickBot="1" x14ac:dyDescent="0.35">
      <c r="B940" s="3" t="str">
        <f t="shared" si="30"/>
        <v>45102304511001217Interior Fit Out-NC1491711300105</v>
      </c>
      <c r="C940" s="6" t="s">
        <v>467</v>
      </c>
      <c r="D940" s="6" t="s">
        <v>1478</v>
      </c>
      <c r="E940" s="6" t="s">
        <v>1479</v>
      </c>
      <c r="F940" s="6" t="s">
        <v>638</v>
      </c>
      <c r="G940" s="4" t="s">
        <v>2854</v>
      </c>
      <c r="H940" s="4" t="s">
        <v>2923</v>
      </c>
      <c r="I940" s="6" t="s">
        <v>639</v>
      </c>
      <c r="J940" s="6" t="s">
        <v>31</v>
      </c>
      <c r="K940" s="12">
        <f>_xlfn.XLOOKUP(B940,[1]Sheet1!$B:$B,[1]Sheet1!$N:$N,0)</f>
        <v>0</v>
      </c>
      <c r="L940" s="12">
        <f>_xlfn.XLOOKUP(B940,[1]Sheet1!$B:$B,[1]Sheet1!$O:$O,0)</f>
        <v>0</v>
      </c>
      <c r="M940" s="12">
        <f>_xlfn.XLOOKUP(B940,[1]Sheet1!$B:$B,[1]Sheet1!$P:$P,0)</f>
        <v>0</v>
      </c>
      <c r="N940" s="12">
        <f>_xlfn.XLOOKUP(B940,[1]Sheet1!$B:$B,[1]Sheet1!$Q:$Q,0)</f>
        <v>130000</v>
      </c>
      <c r="O940" s="12">
        <f>_xlfn.XLOOKUP(B940,[1]Sheet1!$B:$B,[1]Sheet1!$R:$R,0)</f>
        <v>30000</v>
      </c>
      <c r="P940" s="12">
        <f>_xlfn.XLOOKUP(B940,[1]Sheet1!$B:$B,[1]Sheet1!$S:$S,0)</f>
        <v>0</v>
      </c>
      <c r="Q940" s="12">
        <f>_xlfn.XLOOKUP(B940,[1]Sheet1!$B:$B,[1]Sheet1!$T:$T,0)</f>
        <v>0</v>
      </c>
      <c r="R940" s="12">
        <f>_xlfn.XLOOKUP(B940,[1]Sheet1!$B:$B,[1]Sheet1!$U:$U,0)</f>
        <v>75000</v>
      </c>
      <c r="S940" s="12">
        <f>_xlfn.XLOOKUP(B940,[1]Sheet1!$B:$B,[1]Sheet1!$V:$V,0)</f>
        <v>0</v>
      </c>
      <c r="T940" s="12">
        <f>_xlfn.XLOOKUP(B940,[1]Sheet1!$B:$B,[1]Sheet1!$W:$W,0)</f>
        <v>0</v>
      </c>
      <c r="U940" s="12">
        <f>_xlfn.XLOOKUP(B940,[1]Sheet1!$B:$B,[1]Sheet1!$X:$X,0)</f>
        <v>50000</v>
      </c>
      <c r="V940" s="12">
        <f>_xlfn.XLOOKUP(B940,[1]Sheet1!$B:$B,[1]Sheet1!$Y:$Y,0)</f>
        <v>0</v>
      </c>
      <c r="W940" s="12">
        <f t="shared" si="31"/>
        <v>285000</v>
      </c>
      <c r="X940" s="6" t="s">
        <v>640</v>
      </c>
      <c r="Y940" s="6" t="s">
        <v>132</v>
      </c>
      <c r="Z940" s="6" t="s">
        <v>466</v>
      </c>
      <c r="AA940" s="6" t="s">
        <v>639</v>
      </c>
      <c r="AB940" s="6" t="s">
        <v>93</v>
      </c>
      <c r="AC940" s="6" t="s">
        <v>94</v>
      </c>
      <c r="AD940" s="6" t="s">
        <v>468</v>
      </c>
      <c r="AE940" s="6" t="s">
        <v>39</v>
      </c>
      <c r="AF940" s="6" t="s">
        <v>40</v>
      </c>
      <c r="AG940" s="7">
        <v>285000</v>
      </c>
      <c r="AH940" s="11">
        <f>_xlfn.XLOOKUP(B940,[1]Sheet1!$B:$B,[1]Sheet1!$AB:$AB,0)</f>
        <v>285000</v>
      </c>
    </row>
    <row r="941" spans="2:34" ht="16.8" thickTop="1" thickBot="1" x14ac:dyDescent="0.35">
      <c r="B941" s="3" t="str">
        <f t="shared" si="30"/>
        <v>45102304511001217Maintenance-N1426212200104</v>
      </c>
      <c r="C941" s="8" t="s">
        <v>467</v>
      </c>
      <c r="D941" s="8" t="s">
        <v>1478</v>
      </c>
      <c r="E941" s="8" t="s">
        <v>1479</v>
      </c>
      <c r="F941" s="8" t="s">
        <v>625</v>
      </c>
      <c r="G941" s="4" t="s">
        <v>2814</v>
      </c>
      <c r="H941" s="4" t="s">
        <v>2922</v>
      </c>
      <c r="I941" s="8" t="s">
        <v>96</v>
      </c>
      <c r="J941" s="8" t="s">
        <v>31</v>
      </c>
      <c r="K941" s="12">
        <f>_xlfn.XLOOKUP(B941,[1]Sheet1!$B:$B,[1]Sheet1!$N:$N,0)</f>
        <v>0</v>
      </c>
      <c r="L941" s="12">
        <f>_xlfn.XLOOKUP(B941,[1]Sheet1!$B:$B,[1]Sheet1!$O:$O,0)</f>
        <v>0</v>
      </c>
      <c r="M941" s="12">
        <f>_xlfn.XLOOKUP(B941,[1]Sheet1!$B:$B,[1]Sheet1!$P:$P,0)</f>
        <v>0</v>
      </c>
      <c r="N941" s="12">
        <f>_xlfn.XLOOKUP(B941,[1]Sheet1!$B:$B,[1]Sheet1!$Q:$Q,0)</f>
        <v>55662</v>
      </c>
      <c r="O941" s="12">
        <f>_xlfn.XLOOKUP(B941,[1]Sheet1!$B:$B,[1]Sheet1!$R:$R,0)</f>
        <v>13917</v>
      </c>
      <c r="P941" s="12">
        <f>_xlfn.XLOOKUP(B941,[1]Sheet1!$B:$B,[1]Sheet1!$S:$S,0)</f>
        <v>13917</v>
      </c>
      <c r="Q941" s="12">
        <f>_xlfn.XLOOKUP(B941,[1]Sheet1!$B:$B,[1]Sheet1!$T:$T,0)</f>
        <v>13917</v>
      </c>
      <c r="R941" s="12">
        <f>_xlfn.XLOOKUP(B941,[1]Sheet1!$B:$B,[1]Sheet1!$U:$U,0)</f>
        <v>13917</v>
      </c>
      <c r="S941" s="12">
        <f>_xlfn.XLOOKUP(B941,[1]Sheet1!$B:$B,[1]Sheet1!$V:$V,0)</f>
        <v>13917</v>
      </c>
      <c r="T941" s="12">
        <f>_xlfn.XLOOKUP(B941,[1]Sheet1!$B:$B,[1]Sheet1!$W:$W,0)</f>
        <v>13917</v>
      </c>
      <c r="U941" s="12">
        <f>_xlfn.XLOOKUP(B941,[1]Sheet1!$B:$B,[1]Sheet1!$X:$X,0)</f>
        <v>13917</v>
      </c>
      <c r="V941" s="12">
        <f>_xlfn.XLOOKUP(B941,[1]Sheet1!$B:$B,[1]Sheet1!$Y:$Y,0)</f>
        <v>13919</v>
      </c>
      <c r="W941" s="12">
        <f t="shared" si="31"/>
        <v>167000</v>
      </c>
      <c r="X941" s="8" t="s">
        <v>626</v>
      </c>
      <c r="Y941" s="8" t="s">
        <v>132</v>
      </c>
      <c r="Z941" s="8" t="s">
        <v>466</v>
      </c>
      <c r="AA941" s="8" t="s">
        <v>96</v>
      </c>
      <c r="AB941" s="8" t="s">
        <v>36</v>
      </c>
      <c r="AC941" s="8" t="s">
        <v>37</v>
      </c>
      <c r="AD941" s="8" t="s">
        <v>468</v>
      </c>
      <c r="AE941" s="8" t="s">
        <v>39</v>
      </c>
      <c r="AF941" s="8" t="s">
        <v>40</v>
      </c>
      <c r="AG941" s="9">
        <v>167000</v>
      </c>
      <c r="AH941" s="11">
        <f>_xlfn.XLOOKUP(B941,[1]Sheet1!$B:$B,[1]Sheet1!$AB:$AB,0)</f>
        <v>167000</v>
      </c>
    </row>
    <row r="942" spans="2:34" ht="16.8" thickTop="1" thickBot="1" x14ac:dyDescent="0.35">
      <c r="B942" s="3" t="str">
        <f t="shared" si="30"/>
        <v>45102304511001218Ad-hoc Repairs-N1426427200104</v>
      </c>
      <c r="C942" s="6" t="s">
        <v>467</v>
      </c>
      <c r="D942" s="6" t="s">
        <v>1480</v>
      </c>
      <c r="E942" s="6" t="s">
        <v>1481</v>
      </c>
      <c r="F942" s="6" t="s">
        <v>621</v>
      </c>
      <c r="G942" s="4" t="s">
        <v>2808</v>
      </c>
      <c r="H942" s="4" t="s">
        <v>2922</v>
      </c>
      <c r="I942" s="6" t="s">
        <v>71</v>
      </c>
      <c r="J942" s="6" t="s">
        <v>31</v>
      </c>
      <c r="K942" s="12">
        <f>_xlfn.XLOOKUP(B942,[1]Sheet1!$B:$B,[1]Sheet1!$N:$N,0)</f>
        <v>0</v>
      </c>
      <c r="L942" s="12">
        <f>_xlfn.XLOOKUP(B942,[1]Sheet1!$B:$B,[1]Sheet1!$O:$O,0)</f>
        <v>0</v>
      </c>
      <c r="M942" s="12">
        <f>_xlfn.XLOOKUP(B942,[1]Sheet1!$B:$B,[1]Sheet1!$P:$P,0)</f>
        <v>0</v>
      </c>
      <c r="N942" s="12">
        <f>_xlfn.XLOOKUP(B942,[1]Sheet1!$B:$B,[1]Sheet1!$Q:$Q,0)</f>
        <v>4000</v>
      </c>
      <c r="O942" s="12">
        <f>_xlfn.XLOOKUP(B942,[1]Sheet1!$B:$B,[1]Sheet1!$R:$R,0)</f>
        <v>1000</v>
      </c>
      <c r="P942" s="12">
        <f>_xlfn.XLOOKUP(B942,[1]Sheet1!$B:$B,[1]Sheet1!$S:$S,0)</f>
        <v>1000</v>
      </c>
      <c r="Q942" s="12">
        <f>_xlfn.XLOOKUP(B942,[1]Sheet1!$B:$B,[1]Sheet1!$T:$T,0)</f>
        <v>1000</v>
      </c>
      <c r="R942" s="12">
        <f>_xlfn.XLOOKUP(B942,[1]Sheet1!$B:$B,[1]Sheet1!$U:$U,0)</f>
        <v>1000</v>
      </c>
      <c r="S942" s="12">
        <f>_xlfn.XLOOKUP(B942,[1]Sheet1!$B:$B,[1]Sheet1!$V:$V,0)</f>
        <v>1000</v>
      </c>
      <c r="T942" s="12">
        <f>_xlfn.XLOOKUP(B942,[1]Sheet1!$B:$B,[1]Sheet1!$W:$W,0)</f>
        <v>1000</v>
      </c>
      <c r="U942" s="12">
        <f>_xlfn.XLOOKUP(B942,[1]Sheet1!$B:$B,[1]Sheet1!$X:$X,0)</f>
        <v>1000</v>
      </c>
      <c r="V942" s="12">
        <f>_xlfn.XLOOKUP(B942,[1]Sheet1!$B:$B,[1]Sheet1!$Y:$Y,0)</f>
        <v>1000</v>
      </c>
      <c r="W942" s="12">
        <f t="shared" si="31"/>
        <v>12000</v>
      </c>
      <c r="X942" s="6" t="s">
        <v>622</v>
      </c>
      <c r="Y942" s="6" t="s">
        <v>132</v>
      </c>
      <c r="Z942" s="6" t="s">
        <v>466</v>
      </c>
      <c r="AA942" s="6" t="s">
        <v>71</v>
      </c>
      <c r="AB942" s="6" t="s">
        <v>36</v>
      </c>
      <c r="AC942" s="6" t="s">
        <v>37</v>
      </c>
      <c r="AD942" s="6" t="s">
        <v>468</v>
      </c>
      <c r="AE942" s="6" t="s">
        <v>39</v>
      </c>
      <c r="AF942" s="6" t="s">
        <v>40</v>
      </c>
      <c r="AG942" s="7">
        <v>12000</v>
      </c>
      <c r="AH942" s="11">
        <f>_xlfn.XLOOKUP(B942,[1]Sheet1!$B:$B,[1]Sheet1!$AB:$AB,0)</f>
        <v>12000</v>
      </c>
    </row>
    <row r="943" spans="2:34" ht="16.8" thickTop="1" thickBot="1" x14ac:dyDescent="0.35">
      <c r="B943" s="3" t="str">
        <f t="shared" si="30"/>
        <v>45102304511001218Cleaning Service-N1422311200104</v>
      </c>
      <c r="C943" s="8" t="s">
        <v>467</v>
      </c>
      <c r="D943" s="8" t="s">
        <v>1480</v>
      </c>
      <c r="E943" s="8" t="s">
        <v>1481</v>
      </c>
      <c r="F943" s="8" t="s">
        <v>623</v>
      </c>
      <c r="G943" s="4" t="s">
        <v>2810</v>
      </c>
      <c r="H943" s="4" t="s">
        <v>2922</v>
      </c>
      <c r="I943" s="8" t="s">
        <v>80</v>
      </c>
      <c r="J943" s="8" t="s">
        <v>31</v>
      </c>
      <c r="K943" s="12">
        <f>_xlfn.XLOOKUP(B943,[1]Sheet1!$B:$B,[1]Sheet1!$N:$N,0)</f>
        <v>0</v>
      </c>
      <c r="L943" s="12">
        <f>_xlfn.XLOOKUP(B943,[1]Sheet1!$B:$B,[1]Sheet1!$O:$O,0)</f>
        <v>0</v>
      </c>
      <c r="M943" s="12">
        <f>_xlfn.XLOOKUP(B943,[1]Sheet1!$B:$B,[1]Sheet1!$P:$P,0)</f>
        <v>0</v>
      </c>
      <c r="N943" s="12">
        <f>_xlfn.XLOOKUP(B943,[1]Sheet1!$B:$B,[1]Sheet1!$Q:$Q,0)</f>
        <v>22400</v>
      </c>
      <c r="O943" s="12">
        <f>_xlfn.XLOOKUP(B943,[1]Sheet1!$B:$B,[1]Sheet1!$R:$R,0)</f>
        <v>5600</v>
      </c>
      <c r="P943" s="12">
        <f>_xlfn.XLOOKUP(B943,[1]Sheet1!$B:$B,[1]Sheet1!$S:$S,0)</f>
        <v>5600</v>
      </c>
      <c r="Q943" s="12">
        <f>_xlfn.XLOOKUP(B943,[1]Sheet1!$B:$B,[1]Sheet1!$T:$T,0)</f>
        <v>5600</v>
      </c>
      <c r="R943" s="12">
        <f>_xlfn.XLOOKUP(B943,[1]Sheet1!$B:$B,[1]Sheet1!$U:$U,0)</f>
        <v>5600</v>
      </c>
      <c r="S943" s="12">
        <f>_xlfn.XLOOKUP(B943,[1]Sheet1!$B:$B,[1]Sheet1!$V:$V,0)</f>
        <v>5600</v>
      </c>
      <c r="T943" s="12">
        <f>_xlfn.XLOOKUP(B943,[1]Sheet1!$B:$B,[1]Sheet1!$W:$W,0)</f>
        <v>5600</v>
      </c>
      <c r="U943" s="12">
        <f>_xlfn.XLOOKUP(B943,[1]Sheet1!$B:$B,[1]Sheet1!$X:$X,0)</f>
        <v>5600</v>
      </c>
      <c r="V943" s="12">
        <f>_xlfn.XLOOKUP(B943,[1]Sheet1!$B:$B,[1]Sheet1!$Y:$Y,0)</f>
        <v>5600</v>
      </c>
      <c r="W943" s="12">
        <f t="shared" si="31"/>
        <v>67200</v>
      </c>
      <c r="X943" s="8" t="s">
        <v>624</v>
      </c>
      <c r="Y943" s="8" t="s">
        <v>132</v>
      </c>
      <c r="Z943" s="8" t="s">
        <v>466</v>
      </c>
      <c r="AA943" s="8" t="s">
        <v>80</v>
      </c>
      <c r="AB943" s="8" t="s">
        <v>36</v>
      </c>
      <c r="AC943" s="8" t="s">
        <v>37</v>
      </c>
      <c r="AD943" s="8" t="s">
        <v>468</v>
      </c>
      <c r="AE943" s="8" t="s">
        <v>39</v>
      </c>
      <c r="AF943" s="8" t="s">
        <v>40</v>
      </c>
      <c r="AG943" s="9">
        <v>67200</v>
      </c>
      <c r="AH943" s="11">
        <f>_xlfn.XLOOKUP(B943,[1]Sheet1!$B:$B,[1]Sheet1!$AB:$AB,0)</f>
        <v>67200</v>
      </c>
    </row>
    <row r="944" spans="2:34" ht="16.8" thickTop="1" thickBot="1" x14ac:dyDescent="0.35">
      <c r="B944" s="3" t="str">
        <f t="shared" si="30"/>
        <v>45102304511001218Facilities Rent-N1425112200104</v>
      </c>
      <c r="C944" s="6" t="s">
        <v>467</v>
      </c>
      <c r="D944" s="6" t="s">
        <v>1480</v>
      </c>
      <c r="E944" s="6" t="s">
        <v>1481</v>
      </c>
      <c r="F944" s="6" t="s">
        <v>631</v>
      </c>
      <c r="G944" s="4" t="s">
        <v>2848</v>
      </c>
      <c r="H944" s="4" t="s">
        <v>2922</v>
      </c>
      <c r="I944" s="6" t="s">
        <v>533</v>
      </c>
      <c r="J944" s="6" t="s">
        <v>31</v>
      </c>
      <c r="K944" s="12">
        <f>_xlfn.XLOOKUP(B944,[1]Sheet1!$B:$B,[1]Sheet1!$N:$N,0)</f>
        <v>0</v>
      </c>
      <c r="L944" s="12">
        <f>_xlfn.XLOOKUP(B944,[1]Sheet1!$B:$B,[1]Sheet1!$O:$O,0)</f>
        <v>0</v>
      </c>
      <c r="M944" s="12">
        <f>_xlfn.XLOOKUP(B944,[1]Sheet1!$B:$B,[1]Sheet1!$P:$P,0)</f>
        <v>0</v>
      </c>
      <c r="N944" s="12">
        <f>_xlfn.XLOOKUP(B944,[1]Sheet1!$B:$B,[1]Sheet1!$Q:$Q,0)</f>
        <v>0</v>
      </c>
      <c r="O944" s="12">
        <f>_xlfn.XLOOKUP(B944,[1]Sheet1!$B:$B,[1]Sheet1!$R:$R,0)</f>
        <v>0</v>
      </c>
      <c r="P944" s="12">
        <f>_xlfn.XLOOKUP(B944,[1]Sheet1!$B:$B,[1]Sheet1!$S:$S,0)</f>
        <v>0</v>
      </c>
      <c r="Q944" s="12">
        <f>_xlfn.XLOOKUP(B944,[1]Sheet1!$B:$B,[1]Sheet1!$T:$T,0)</f>
        <v>0</v>
      </c>
      <c r="R944" s="12">
        <f>_xlfn.XLOOKUP(B944,[1]Sheet1!$B:$B,[1]Sheet1!$U:$U,0)</f>
        <v>0</v>
      </c>
      <c r="S944" s="12">
        <f>_xlfn.XLOOKUP(B944,[1]Sheet1!$B:$B,[1]Sheet1!$V:$V,0)</f>
        <v>624104.25</v>
      </c>
      <c r="T944" s="12">
        <f>_xlfn.XLOOKUP(B944,[1]Sheet1!$B:$B,[1]Sheet1!$W:$W,0)</f>
        <v>0</v>
      </c>
      <c r="U944" s="12">
        <f>_xlfn.XLOOKUP(B944,[1]Sheet1!$B:$B,[1]Sheet1!$X:$X,0)</f>
        <v>0</v>
      </c>
      <c r="V944" s="12">
        <f>_xlfn.XLOOKUP(B944,[1]Sheet1!$B:$B,[1]Sheet1!$Y:$Y,0)</f>
        <v>0</v>
      </c>
      <c r="W944" s="12">
        <f t="shared" si="31"/>
        <v>624104.25</v>
      </c>
      <c r="X944" s="6" t="s">
        <v>632</v>
      </c>
      <c r="Y944" s="6" t="s">
        <v>132</v>
      </c>
      <c r="Z944" s="6" t="s">
        <v>466</v>
      </c>
      <c r="AA944" s="6" t="s">
        <v>533</v>
      </c>
      <c r="AB944" s="6" t="s">
        <v>36</v>
      </c>
      <c r="AC944" s="6" t="s">
        <v>37</v>
      </c>
      <c r="AD944" s="6" t="s">
        <v>468</v>
      </c>
      <c r="AE944" s="6" t="s">
        <v>39</v>
      </c>
      <c r="AF944" s="6" t="s">
        <v>40</v>
      </c>
      <c r="AG944" s="7">
        <v>624104</v>
      </c>
      <c r="AH944" s="11">
        <f>_xlfn.XLOOKUP(B944,[1]Sheet1!$B:$B,[1]Sheet1!$AB:$AB,0)</f>
        <v>624104.25</v>
      </c>
    </row>
    <row r="945" spans="2:34" ht="16.8" thickTop="1" thickBot="1" x14ac:dyDescent="0.35">
      <c r="B945" s="3" t="str">
        <f t="shared" si="30"/>
        <v>45102304511001218Hospitality-N1424761200104</v>
      </c>
      <c r="C945" s="8" t="s">
        <v>467</v>
      </c>
      <c r="D945" s="8" t="s">
        <v>1480</v>
      </c>
      <c r="E945" s="8" t="s">
        <v>1481</v>
      </c>
      <c r="F945" s="8" t="s">
        <v>399</v>
      </c>
      <c r="G945" s="4" t="s">
        <v>2811</v>
      </c>
      <c r="H945" s="4" t="s">
        <v>2922</v>
      </c>
      <c r="I945" s="8" t="s">
        <v>84</v>
      </c>
      <c r="J945" s="8" t="s">
        <v>31</v>
      </c>
      <c r="K945" s="12">
        <f>_xlfn.XLOOKUP(B945,[1]Sheet1!$B:$B,[1]Sheet1!$N:$N,0)</f>
        <v>0</v>
      </c>
      <c r="L945" s="12">
        <f>_xlfn.XLOOKUP(B945,[1]Sheet1!$B:$B,[1]Sheet1!$O:$O,0)</f>
        <v>0</v>
      </c>
      <c r="M945" s="12">
        <f>_xlfn.XLOOKUP(B945,[1]Sheet1!$B:$B,[1]Sheet1!$P:$P,0)</f>
        <v>0</v>
      </c>
      <c r="N945" s="12">
        <f>_xlfn.XLOOKUP(B945,[1]Sheet1!$B:$B,[1]Sheet1!$Q:$Q,0)</f>
        <v>20000</v>
      </c>
      <c r="O945" s="12">
        <f>_xlfn.XLOOKUP(B945,[1]Sheet1!$B:$B,[1]Sheet1!$R:$R,0)</f>
        <v>5000</v>
      </c>
      <c r="P945" s="12">
        <f>_xlfn.XLOOKUP(B945,[1]Sheet1!$B:$B,[1]Sheet1!$S:$S,0)</f>
        <v>5000</v>
      </c>
      <c r="Q945" s="12">
        <f>_xlfn.XLOOKUP(B945,[1]Sheet1!$B:$B,[1]Sheet1!$T:$T,0)</f>
        <v>5000</v>
      </c>
      <c r="R945" s="12">
        <f>_xlfn.XLOOKUP(B945,[1]Sheet1!$B:$B,[1]Sheet1!$U:$U,0)</f>
        <v>5000</v>
      </c>
      <c r="S945" s="12">
        <f>_xlfn.XLOOKUP(B945,[1]Sheet1!$B:$B,[1]Sheet1!$V:$V,0)</f>
        <v>5000</v>
      </c>
      <c r="T945" s="12">
        <f>_xlfn.XLOOKUP(B945,[1]Sheet1!$B:$B,[1]Sheet1!$W:$W,0)</f>
        <v>5000</v>
      </c>
      <c r="U945" s="12">
        <f>_xlfn.XLOOKUP(B945,[1]Sheet1!$B:$B,[1]Sheet1!$X:$X,0)</f>
        <v>5000</v>
      </c>
      <c r="V945" s="12">
        <f>_xlfn.XLOOKUP(B945,[1]Sheet1!$B:$B,[1]Sheet1!$Y:$Y,0)</f>
        <v>5000</v>
      </c>
      <c r="W945" s="12">
        <f t="shared" si="31"/>
        <v>60000</v>
      </c>
      <c r="X945" s="8" t="s">
        <v>469</v>
      </c>
      <c r="Y945" s="8" t="s">
        <v>132</v>
      </c>
      <c r="Z945" s="8" t="s">
        <v>466</v>
      </c>
      <c r="AA945" s="8" t="s">
        <v>84</v>
      </c>
      <c r="AB945" s="8" t="s">
        <v>36</v>
      </c>
      <c r="AC945" s="8" t="s">
        <v>37</v>
      </c>
      <c r="AD945" s="8" t="s">
        <v>468</v>
      </c>
      <c r="AE945" s="8" t="s">
        <v>39</v>
      </c>
      <c r="AF945" s="8" t="s">
        <v>40</v>
      </c>
      <c r="AG945" s="9">
        <v>60000</v>
      </c>
      <c r="AH945" s="11">
        <f>_xlfn.XLOOKUP(B945,[1]Sheet1!$B:$B,[1]Sheet1!$AB:$AB,0)</f>
        <v>60000</v>
      </c>
    </row>
    <row r="946" spans="2:34" ht="16.8" thickTop="1" thickBot="1" x14ac:dyDescent="0.35">
      <c r="B946" s="3" t="str">
        <f t="shared" si="30"/>
        <v>45102304511001218Interior Fit Out-NC1491711300105</v>
      </c>
      <c r="C946" s="6" t="s">
        <v>467</v>
      </c>
      <c r="D946" s="6" t="s">
        <v>1480</v>
      </c>
      <c r="E946" s="6" t="s">
        <v>1481</v>
      </c>
      <c r="F946" s="6" t="s">
        <v>638</v>
      </c>
      <c r="G946" s="4" t="s">
        <v>2854</v>
      </c>
      <c r="H946" s="4" t="s">
        <v>2923</v>
      </c>
      <c r="I946" s="6" t="s">
        <v>639</v>
      </c>
      <c r="J946" s="6" t="s">
        <v>31</v>
      </c>
      <c r="K946" s="12">
        <f>_xlfn.XLOOKUP(B946,[1]Sheet1!$B:$B,[1]Sheet1!$N:$N,0)</f>
        <v>0</v>
      </c>
      <c r="L946" s="12">
        <f>_xlfn.XLOOKUP(B946,[1]Sheet1!$B:$B,[1]Sheet1!$O:$O,0)</f>
        <v>0</v>
      </c>
      <c r="M946" s="12">
        <f>_xlfn.XLOOKUP(B946,[1]Sheet1!$B:$B,[1]Sheet1!$P:$P,0)</f>
        <v>0</v>
      </c>
      <c r="N946" s="12">
        <f>_xlfn.XLOOKUP(B946,[1]Sheet1!$B:$B,[1]Sheet1!$Q:$Q,0)</f>
        <v>0</v>
      </c>
      <c r="O946" s="12">
        <f>_xlfn.XLOOKUP(B946,[1]Sheet1!$B:$B,[1]Sheet1!$R:$R,0)</f>
        <v>0</v>
      </c>
      <c r="P946" s="12">
        <f>_xlfn.XLOOKUP(B946,[1]Sheet1!$B:$B,[1]Sheet1!$S:$S,0)</f>
        <v>0</v>
      </c>
      <c r="Q946" s="12">
        <f>_xlfn.XLOOKUP(B946,[1]Sheet1!$B:$B,[1]Sheet1!$T:$T,0)</f>
        <v>0</v>
      </c>
      <c r="R946" s="12">
        <f>_xlfn.XLOOKUP(B946,[1]Sheet1!$B:$B,[1]Sheet1!$U:$U,0)</f>
        <v>0</v>
      </c>
      <c r="S946" s="12">
        <f>_xlfn.XLOOKUP(B946,[1]Sheet1!$B:$B,[1]Sheet1!$V:$V,0)</f>
        <v>0</v>
      </c>
      <c r="T946" s="12">
        <f>_xlfn.XLOOKUP(B946,[1]Sheet1!$B:$B,[1]Sheet1!$W:$W,0)</f>
        <v>0</v>
      </c>
      <c r="U946" s="12">
        <f>_xlfn.XLOOKUP(B946,[1]Sheet1!$B:$B,[1]Sheet1!$X:$X,0)</f>
        <v>143000</v>
      </c>
      <c r="V946" s="12">
        <f>_xlfn.XLOOKUP(B946,[1]Sheet1!$B:$B,[1]Sheet1!$Y:$Y,0)</f>
        <v>0</v>
      </c>
      <c r="W946" s="12">
        <f t="shared" si="31"/>
        <v>143000</v>
      </c>
      <c r="X946" s="6" t="s">
        <v>640</v>
      </c>
      <c r="Y946" s="6" t="s">
        <v>132</v>
      </c>
      <c r="Z946" s="6" t="s">
        <v>466</v>
      </c>
      <c r="AA946" s="6" t="s">
        <v>639</v>
      </c>
      <c r="AB946" s="6" t="s">
        <v>93</v>
      </c>
      <c r="AC946" s="6" t="s">
        <v>94</v>
      </c>
      <c r="AD946" s="6" t="s">
        <v>468</v>
      </c>
      <c r="AE946" s="6" t="s">
        <v>39</v>
      </c>
      <c r="AF946" s="6" t="s">
        <v>40</v>
      </c>
      <c r="AG946" s="7">
        <v>143000</v>
      </c>
      <c r="AH946" s="11">
        <f>_xlfn.XLOOKUP(B946,[1]Sheet1!$B:$B,[1]Sheet1!$AB:$AB,0)</f>
        <v>143000</v>
      </c>
    </row>
    <row r="947" spans="2:34" ht="16.8" thickTop="1" thickBot="1" x14ac:dyDescent="0.35">
      <c r="B947" s="3" t="str">
        <f t="shared" si="30"/>
        <v>45102304511001218Maintenance-N1426212200104</v>
      </c>
      <c r="C947" s="8" t="s">
        <v>467</v>
      </c>
      <c r="D947" s="8" t="s">
        <v>1480</v>
      </c>
      <c r="E947" s="8" t="s">
        <v>1481</v>
      </c>
      <c r="F947" s="8" t="s">
        <v>625</v>
      </c>
      <c r="G947" s="4" t="s">
        <v>2814</v>
      </c>
      <c r="H947" s="4" t="s">
        <v>2922</v>
      </c>
      <c r="I947" s="8" t="s">
        <v>96</v>
      </c>
      <c r="J947" s="8" t="s">
        <v>31</v>
      </c>
      <c r="K947" s="12">
        <f>_xlfn.XLOOKUP(B947,[1]Sheet1!$B:$B,[1]Sheet1!$N:$N,0)</f>
        <v>0</v>
      </c>
      <c r="L947" s="12">
        <f>_xlfn.XLOOKUP(B947,[1]Sheet1!$B:$B,[1]Sheet1!$O:$O,0)</f>
        <v>0</v>
      </c>
      <c r="M947" s="12">
        <f>_xlfn.XLOOKUP(B947,[1]Sheet1!$B:$B,[1]Sheet1!$P:$P,0)</f>
        <v>0</v>
      </c>
      <c r="N947" s="12">
        <f>_xlfn.XLOOKUP(B947,[1]Sheet1!$B:$B,[1]Sheet1!$Q:$Q,0)</f>
        <v>4400</v>
      </c>
      <c r="O947" s="12">
        <f>_xlfn.XLOOKUP(B947,[1]Sheet1!$B:$B,[1]Sheet1!$R:$R,0)</f>
        <v>1100</v>
      </c>
      <c r="P947" s="12">
        <f>_xlfn.XLOOKUP(B947,[1]Sheet1!$B:$B,[1]Sheet1!$S:$S,0)</f>
        <v>1100</v>
      </c>
      <c r="Q947" s="12">
        <f>_xlfn.XLOOKUP(B947,[1]Sheet1!$B:$B,[1]Sheet1!$T:$T,0)</f>
        <v>1100</v>
      </c>
      <c r="R947" s="12">
        <f>_xlfn.XLOOKUP(B947,[1]Sheet1!$B:$B,[1]Sheet1!$U:$U,0)</f>
        <v>1100</v>
      </c>
      <c r="S947" s="12">
        <f>_xlfn.XLOOKUP(B947,[1]Sheet1!$B:$B,[1]Sheet1!$V:$V,0)</f>
        <v>1100</v>
      </c>
      <c r="T947" s="12">
        <f>_xlfn.XLOOKUP(B947,[1]Sheet1!$B:$B,[1]Sheet1!$W:$W,0)</f>
        <v>1100</v>
      </c>
      <c r="U947" s="12">
        <f>_xlfn.XLOOKUP(B947,[1]Sheet1!$B:$B,[1]Sheet1!$X:$X,0)</f>
        <v>1100</v>
      </c>
      <c r="V947" s="12">
        <f>_xlfn.XLOOKUP(B947,[1]Sheet1!$B:$B,[1]Sheet1!$Y:$Y,0)</f>
        <v>1100</v>
      </c>
      <c r="W947" s="12">
        <f t="shared" si="31"/>
        <v>13200</v>
      </c>
      <c r="X947" s="8" t="s">
        <v>626</v>
      </c>
      <c r="Y947" s="8" t="s">
        <v>132</v>
      </c>
      <c r="Z947" s="8" t="s">
        <v>466</v>
      </c>
      <c r="AA947" s="8" t="s">
        <v>96</v>
      </c>
      <c r="AB947" s="8" t="s">
        <v>36</v>
      </c>
      <c r="AC947" s="8" t="s">
        <v>37</v>
      </c>
      <c r="AD947" s="8" t="s">
        <v>468</v>
      </c>
      <c r="AE947" s="8" t="s">
        <v>39</v>
      </c>
      <c r="AF947" s="8" t="s">
        <v>40</v>
      </c>
      <c r="AG947" s="9">
        <v>13200</v>
      </c>
      <c r="AH947" s="11">
        <f>_xlfn.XLOOKUP(B947,[1]Sheet1!$B:$B,[1]Sheet1!$AB:$AB,0)</f>
        <v>13200</v>
      </c>
    </row>
    <row r="948" spans="2:34" ht="16.8" thickTop="1" thickBot="1" x14ac:dyDescent="0.35">
      <c r="B948" s="3" t="str">
        <f t="shared" si="30"/>
        <v>45155004511001221Event Management-L422401050723</v>
      </c>
      <c r="C948" s="6" t="s">
        <v>513</v>
      </c>
      <c r="D948" s="6" t="s">
        <v>1482</v>
      </c>
      <c r="E948" s="6" t="s">
        <v>1483</v>
      </c>
      <c r="F948" s="6" t="s">
        <v>1484</v>
      </c>
      <c r="G948" s="4" t="s">
        <v>2807</v>
      </c>
      <c r="H948" s="4" t="s">
        <v>2926</v>
      </c>
      <c r="I948" s="6" t="s">
        <v>63</v>
      </c>
      <c r="J948" s="6" t="s">
        <v>31</v>
      </c>
      <c r="K948" s="12">
        <f>_xlfn.XLOOKUP(B948,[1]Sheet1!$B:$B,[1]Sheet1!$N:$N,0)</f>
        <v>0</v>
      </c>
      <c r="L948" s="12">
        <f>_xlfn.XLOOKUP(B948,[1]Sheet1!$B:$B,[1]Sheet1!$O:$O,0)</f>
        <v>0</v>
      </c>
      <c r="M948" s="12">
        <f>_xlfn.XLOOKUP(B948,[1]Sheet1!$B:$B,[1]Sheet1!$P:$P,0)</f>
        <v>0</v>
      </c>
      <c r="N948" s="12">
        <f>_xlfn.XLOOKUP(B948,[1]Sheet1!$B:$B,[1]Sheet1!$Q:$Q,0)</f>
        <v>0</v>
      </c>
      <c r="O948" s="12">
        <f>_xlfn.XLOOKUP(B948,[1]Sheet1!$B:$B,[1]Sheet1!$R:$R,0)</f>
        <v>0</v>
      </c>
      <c r="P948" s="12">
        <f>_xlfn.XLOOKUP(B948,[1]Sheet1!$B:$B,[1]Sheet1!$S:$S,0)</f>
        <v>0</v>
      </c>
      <c r="Q948" s="12">
        <f>_xlfn.XLOOKUP(B948,[1]Sheet1!$B:$B,[1]Sheet1!$T:$T,0)</f>
        <v>0</v>
      </c>
      <c r="R948" s="12">
        <f>_xlfn.XLOOKUP(B948,[1]Sheet1!$B:$B,[1]Sheet1!$U:$U,0)</f>
        <v>1818467</v>
      </c>
      <c r="S948" s="12">
        <f>_xlfn.XLOOKUP(B948,[1]Sheet1!$B:$B,[1]Sheet1!$V:$V,0)</f>
        <v>8443720</v>
      </c>
      <c r="T948" s="12">
        <f>_xlfn.XLOOKUP(B948,[1]Sheet1!$B:$B,[1]Sheet1!$W:$W,0)</f>
        <v>0</v>
      </c>
      <c r="U948" s="12">
        <f>_xlfn.XLOOKUP(B948,[1]Sheet1!$B:$B,[1]Sheet1!$X:$X,0)</f>
        <v>0</v>
      </c>
      <c r="V948" s="12">
        <f>_xlfn.XLOOKUP(B948,[1]Sheet1!$B:$B,[1]Sheet1!$Y:$Y,0)</f>
        <v>0</v>
      </c>
      <c r="W948" s="12">
        <f t="shared" si="31"/>
        <v>10262187</v>
      </c>
      <c r="X948" s="6" t="s">
        <v>511</v>
      </c>
      <c r="Y948" s="6" t="s">
        <v>211</v>
      </c>
      <c r="Z948" s="6" t="s">
        <v>512</v>
      </c>
      <c r="AA948" s="6" t="s">
        <v>68</v>
      </c>
      <c r="AB948" s="6" t="s">
        <v>514</v>
      </c>
      <c r="AC948" s="6" t="s">
        <v>37</v>
      </c>
      <c r="AD948" s="6" t="s">
        <v>342</v>
      </c>
      <c r="AE948" s="6" t="s">
        <v>39</v>
      </c>
      <c r="AF948" s="6" t="s">
        <v>40</v>
      </c>
      <c r="AG948" s="7">
        <v>10262189</v>
      </c>
      <c r="AH948" s="11">
        <f>_xlfn.XLOOKUP(B948,[1]Sheet1!$B:$B,[1]Sheet1!$AB:$AB,0)</f>
        <v>10262187</v>
      </c>
    </row>
    <row r="949" spans="2:34" ht="16.8" thickTop="1" thickBot="1" x14ac:dyDescent="0.35">
      <c r="B949" s="3" t="str">
        <f t="shared" si="30"/>
        <v>45155004511001221Event Management-N1422401200104</v>
      </c>
      <c r="C949" s="8" t="s">
        <v>513</v>
      </c>
      <c r="D949" s="8" t="s">
        <v>1482</v>
      </c>
      <c r="E949" s="8" t="s">
        <v>1483</v>
      </c>
      <c r="F949" s="8" t="s">
        <v>122</v>
      </c>
      <c r="G949" s="4" t="s">
        <v>2807</v>
      </c>
      <c r="H949" s="4" t="s">
        <v>2922</v>
      </c>
      <c r="I949" s="8" t="s">
        <v>63</v>
      </c>
      <c r="J949" s="8" t="s">
        <v>31</v>
      </c>
      <c r="K949" s="12">
        <f>_xlfn.XLOOKUP(B949,[1]Sheet1!$B:$B,[1]Sheet1!$N:$N,0)</f>
        <v>0</v>
      </c>
      <c r="L949" s="12">
        <f>_xlfn.XLOOKUP(B949,[1]Sheet1!$B:$B,[1]Sheet1!$O:$O,0)</f>
        <v>0</v>
      </c>
      <c r="M949" s="12">
        <f>_xlfn.XLOOKUP(B949,[1]Sheet1!$B:$B,[1]Sheet1!$P:$P,0)</f>
        <v>0</v>
      </c>
      <c r="N949" s="12">
        <f>_xlfn.XLOOKUP(B949,[1]Sheet1!$B:$B,[1]Sheet1!$Q:$Q,0)</f>
        <v>0</v>
      </c>
      <c r="O949" s="12">
        <f>_xlfn.XLOOKUP(B949,[1]Sheet1!$B:$B,[1]Sheet1!$R:$R,0)</f>
        <v>0</v>
      </c>
      <c r="P949" s="12">
        <f>_xlfn.XLOOKUP(B949,[1]Sheet1!$B:$B,[1]Sheet1!$S:$S,0)</f>
        <v>0</v>
      </c>
      <c r="Q949" s="12">
        <f>_xlfn.XLOOKUP(B949,[1]Sheet1!$B:$B,[1]Sheet1!$T:$T,0)</f>
        <v>0</v>
      </c>
      <c r="R949" s="12">
        <f>_xlfn.XLOOKUP(B949,[1]Sheet1!$B:$B,[1]Sheet1!$U:$U,0)</f>
        <v>1353985</v>
      </c>
      <c r="S949" s="12">
        <f>_xlfn.XLOOKUP(B949,[1]Sheet1!$B:$B,[1]Sheet1!$V:$V,0)</f>
        <v>0</v>
      </c>
      <c r="T949" s="12">
        <f>_xlfn.XLOOKUP(B949,[1]Sheet1!$B:$B,[1]Sheet1!$W:$W,0)</f>
        <v>0</v>
      </c>
      <c r="U949" s="12">
        <f>_xlfn.XLOOKUP(B949,[1]Sheet1!$B:$B,[1]Sheet1!$X:$X,0)</f>
        <v>0</v>
      </c>
      <c r="V949" s="12">
        <f>_xlfn.XLOOKUP(B949,[1]Sheet1!$B:$B,[1]Sheet1!$Y:$Y,0)</f>
        <v>0</v>
      </c>
      <c r="W949" s="12">
        <f t="shared" si="31"/>
        <v>1353985</v>
      </c>
      <c r="X949" s="8" t="s">
        <v>524</v>
      </c>
      <c r="Y949" s="8" t="s">
        <v>211</v>
      </c>
      <c r="Z949" s="8" t="s">
        <v>512</v>
      </c>
      <c r="AA949" s="8" t="s">
        <v>68</v>
      </c>
      <c r="AB949" s="8" t="s">
        <v>36</v>
      </c>
      <c r="AC949" s="8" t="s">
        <v>37</v>
      </c>
      <c r="AD949" s="8" t="s">
        <v>342</v>
      </c>
      <c r="AE949" s="8" t="s">
        <v>39</v>
      </c>
      <c r="AF949" s="8" t="s">
        <v>40</v>
      </c>
      <c r="AG949" s="9">
        <v>1353985</v>
      </c>
      <c r="AH949" s="11">
        <f>_xlfn.XLOOKUP(B949,[1]Sheet1!$B:$B,[1]Sheet1!$AB:$AB,0)</f>
        <v>1353985</v>
      </c>
    </row>
    <row r="950" spans="2:34" ht="16.8" thickTop="1" thickBot="1" x14ac:dyDescent="0.35">
      <c r="B950" s="3" t="str">
        <f t="shared" si="30"/>
        <v>45155004511001221IP Events-L422401050723</v>
      </c>
      <c r="C950" s="6" t="s">
        <v>513</v>
      </c>
      <c r="D950" s="6" t="s">
        <v>1482</v>
      </c>
      <c r="E950" s="6" t="s">
        <v>1483</v>
      </c>
      <c r="F950" s="6" t="s">
        <v>1485</v>
      </c>
      <c r="G950" s="4" t="s">
        <v>2807</v>
      </c>
      <c r="H950" s="4" t="s">
        <v>2926</v>
      </c>
      <c r="I950" s="6" t="s">
        <v>63</v>
      </c>
      <c r="J950" s="6" t="s">
        <v>31</v>
      </c>
      <c r="K950" s="12">
        <f>_xlfn.XLOOKUP(B950,[1]Sheet1!$B:$B,[1]Sheet1!$N:$N,0)</f>
        <v>0</v>
      </c>
      <c r="L950" s="12">
        <f>_xlfn.XLOOKUP(B950,[1]Sheet1!$B:$B,[1]Sheet1!$O:$O,0)</f>
        <v>0</v>
      </c>
      <c r="M950" s="12">
        <f>_xlfn.XLOOKUP(B950,[1]Sheet1!$B:$B,[1]Sheet1!$P:$P,0)</f>
        <v>0</v>
      </c>
      <c r="N950" s="12">
        <f>_xlfn.XLOOKUP(B950,[1]Sheet1!$B:$B,[1]Sheet1!$Q:$Q,0)</f>
        <v>11010000</v>
      </c>
      <c r="O950" s="12">
        <f>_xlfn.XLOOKUP(B950,[1]Sheet1!$B:$B,[1]Sheet1!$R:$R,0)</f>
        <v>0</v>
      </c>
      <c r="P950" s="12">
        <f>_xlfn.XLOOKUP(B950,[1]Sheet1!$B:$B,[1]Sheet1!$S:$S,0)</f>
        <v>0</v>
      </c>
      <c r="Q950" s="12">
        <f>_xlfn.XLOOKUP(B950,[1]Sheet1!$B:$B,[1]Sheet1!$T:$T,0)</f>
        <v>0</v>
      </c>
      <c r="R950" s="12">
        <f>_xlfn.XLOOKUP(B950,[1]Sheet1!$B:$B,[1]Sheet1!$U:$U,0)</f>
        <v>0</v>
      </c>
      <c r="S950" s="12">
        <f>_xlfn.XLOOKUP(B950,[1]Sheet1!$B:$B,[1]Sheet1!$V:$V,0)</f>
        <v>0</v>
      </c>
      <c r="T950" s="12">
        <f>_xlfn.XLOOKUP(B950,[1]Sheet1!$B:$B,[1]Sheet1!$W:$W,0)</f>
        <v>11010000</v>
      </c>
      <c r="U950" s="12">
        <f>_xlfn.XLOOKUP(B950,[1]Sheet1!$B:$B,[1]Sheet1!$X:$X,0)</f>
        <v>0</v>
      </c>
      <c r="V950" s="12">
        <f>_xlfn.XLOOKUP(B950,[1]Sheet1!$B:$B,[1]Sheet1!$Y:$Y,0)</f>
        <v>0</v>
      </c>
      <c r="W950" s="12">
        <f t="shared" si="31"/>
        <v>22020000</v>
      </c>
      <c r="X950" s="6" t="s">
        <v>511</v>
      </c>
      <c r="Y950" s="6" t="s">
        <v>211</v>
      </c>
      <c r="Z950" s="6" t="s">
        <v>512</v>
      </c>
      <c r="AA950" s="6" t="s">
        <v>68</v>
      </c>
      <c r="AB950" s="6" t="s">
        <v>514</v>
      </c>
      <c r="AC950" s="6" t="s">
        <v>37</v>
      </c>
      <c r="AD950" s="6" t="s">
        <v>342</v>
      </c>
      <c r="AE950" s="6" t="s">
        <v>39</v>
      </c>
      <c r="AF950" s="6" t="s">
        <v>40</v>
      </c>
      <c r="AG950" s="7">
        <v>22020000</v>
      </c>
      <c r="AH950" s="11">
        <f>_xlfn.XLOOKUP(B950,[1]Sheet1!$B:$B,[1]Sheet1!$AB:$AB,0)</f>
        <v>22020000</v>
      </c>
    </row>
    <row r="951" spans="2:34" ht="16.8" thickTop="1" thickBot="1" x14ac:dyDescent="0.35">
      <c r="B951" s="3" t="str">
        <f t="shared" si="30"/>
        <v>45155004511001223Co-Invest Events-N422401200104</v>
      </c>
      <c r="C951" s="8" t="s">
        <v>513</v>
      </c>
      <c r="D951" s="8" t="s">
        <v>1486</v>
      </c>
      <c r="E951" s="8" t="s">
        <v>1487</v>
      </c>
      <c r="F951" s="8" t="s">
        <v>523</v>
      </c>
      <c r="G951" s="4" t="s">
        <v>2807</v>
      </c>
      <c r="H951" s="4" t="s">
        <v>2922</v>
      </c>
      <c r="I951" s="8" t="s">
        <v>63</v>
      </c>
      <c r="J951" s="8" t="s">
        <v>31</v>
      </c>
      <c r="K951" s="12">
        <f>_xlfn.XLOOKUP(B951,[1]Sheet1!$B:$B,[1]Sheet1!$N:$N,0)</f>
        <v>0</v>
      </c>
      <c r="L951" s="12">
        <f>_xlfn.XLOOKUP(B951,[1]Sheet1!$B:$B,[1]Sheet1!$O:$O,0)</f>
        <v>0</v>
      </c>
      <c r="M951" s="12">
        <f>_xlfn.XLOOKUP(B951,[1]Sheet1!$B:$B,[1]Sheet1!$P:$P,0)</f>
        <v>7500000</v>
      </c>
      <c r="N951" s="12">
        <f>_xlfn.XLOOKUP(B951,[1]Sheet1!$B:$B,[1]Sheet1!$Q:$Q,0)</f>
        <v>0</v>
      </c>
      <c r="O951" s="12">
        <f>_xlfn.XLOOKUP(B951,[1]Sheet1!$B:$B,[1]Sheet1!$R:$R,0)</f>
        <v>0</v>
      </c>
      <c r="P951" s="12">
        <f>_xlfn.XLOOKUP(B951,[1]Sheet1!$B:$B,[1]Sheet1!$S:$S,0)</f>
        <v>1500000</v>
      </c>
      <c r="Q951" s="12">
        <f>_xlfn.XLOOKUP(B951,[1]Sheet1!$B:$B,[1]Sheet1!$T:$T,0)</f>
        <v>0</v>
      </c>
      <c r="R951" s="12">
        <f>_xlfn.XLOOKUP(B951,[1]Sheet1!$B:$B,[1]Sheet1!$U:$U,0)</f>
        <v>0</v>
      </c>
      <c r="S951" s="12">
        <f>_xlfn.XLOOKUP(B951,[1]Sheet1!$B:$B,[1]Sheet1!$V:$V,0)</f>
        <v>0</v>
      </c>
      <c r="T951" s="12">
        <f>_xlfn.XLOOKUP(B951,[1]Sheet1!$B:$B,[1]Sheet1!$W:$W,0)</f>
        <v>6000000</v>
      </c>
      <c r="U951" s="12">
        <f>_xlfn.XLOOKUP(B951,[1]Sheet1!$B:$B,[1]Sheet1!$X:$X,0)</f>
        <v>0</v>
      </c>
      <c r="V951" s="12">
        <f>_xlfn.XLOOKUP(B951,[1]Sheet1!$B:$B,[1]Sheet1!$Y:$Y,0)</f>
        <v>0</v>
      </c>
      <c r="W951" s="12">
        <f t="shared" si="31"/>
        <v>15000000</v>
      </c>
      <c r="X951" s="8" t="s">
        <v>524</v>
      </c>
      <c r="Y951" s="8" t="s">
        <v>211</v>
      </c>
      <c r="Z951" s="8" t="s">
        <v>512</v>
      </c>
      <c r="AA951" s="8" t="s">
        <v>68</v>
      </c>
      <c r="AB951" s="8" t="s">
        <v>36</v>
      </c>
      <c r="AC951" s="8" t="s">
        <v>37</v>
      </c>
      <c r="AD951" s="8" t="s">
        <v>342</v>
      </c>
      <c r="AE951" s="8" t="s">
        <v>39</v>
      </c>
      <c r="AF951" s="8" t="s">
        <v>40</v>
      </c>
      <c r="AG951" s="9">
        <v>15000000</v>
      </c>
      <c r="AH951" s="11">
        <f>_xlfn.XLOOKUP(B951,[1]Sheet1!$B:$B,[1]Sheet1!$AB:$AB,0)</f>
        <v>15000000</v>
      </c>
    </row>
    <row r="952" spans="2:34" ht="16.8" thickTop="1" thickBot="1" x14ac:dyDescent="0.35">
      <c r="B952" s="3" t="str">
        <f t="shared" si="30"/>
        <v>45131304511001229Sponsorship Fees-L424811201931</v>
      </c>
      <c r="C952" s="6" t="s">
        <v>321</v>
      </c>
      <c r="D952" s="6" t="s">
        <v>1488</v>
      </c>
      <c r="E952" s="6" t="s">
        <v>1489</v>
      </c>
      <c r="F952" s="6" t="s">
        <v>935</v>
      </c>
      <c r="G952" s="4" t="s">
        <v>2802</v>
      </c>
      <c r="H952" s="4" t="s">
        <v>2925</v>
      </c>
      <c r="I952" s="6" t="s">
        <v>30</v>
      </c>
      <c r="J952" s="6" t="s">
        <v>31</v>
      </c>
      <c r="K952" s="12">
        <f>_xlfn.XLOOKUP(B952,[1]Sheet1!$B:$B,[1]Sheet1!$N:$N,0)</f>
        <v>0</v>
      </c>
      <c r="L952" s="12">
        <f>_xlfn.XLOOKUP(B952,[1]Sheet1!$B:$B,[1]Sheet1!$O:$O,0)</f>
        <v>0</v>
      </c>
      <c r="M952" s="12">
        <f>_xlfn.XLOOKUP(B952,[1]Sheet1!$B:$B,[1]Sheet1!$P:$P,0)</f>
        <v>0</v>
      </c>
      <c r="N952" s="12">
        <f>_xlfn.XLOOKUP(B952,[1]Sheet1!$B:$B,[1]Sheet1!$Q:$Q,0)</f>
        <v>0</v>
      </c>
      <c r="O952" s="12">
        <f>_xlfn.XLOOKUP(B952,[1]Sheet1!$B:$B,[1]Sheet1!$R:$R,0)</f>
        <v>0</v>
      </c>
      <c r="P952" s="12">
        <f>_xlfn.XLOOKUP(B952,[1]Sheet1!$B:$B,[1]Sheet1!$S:$S,0)</f>
        <v>1138320</v>
      </c>
      <c r="Q952" s="12">
        <f>_xlfn.XLOOKUP(B952,[1]Sheet1!$B:$B,[1]Sheet1!$T:$T,0)</f>
        <v>0</v>
      </c>
      <c r="R952" s="12">
        <f>_xlfn.XLOOKUP(B952,[1]Sheet1!$B:$B,[1]Sheet1!$U:$U,0)</f>
        <v>15422400</v>
      </c>
      <c r="S952" s="12">
        <f>_xlfn.XLOOKUP(B952,[1]Sheet1!$B:$B,[1]Sheet1!$V:$V,0)</f>
        <v>0</v>
      </c>
      <c r="T952" s="12">
        <f>_xlfn.XLOOKUP(B952,[1]Sheet1!$B:$B,[1]Sheet1!$W:$W,0)</f>
        <v>0</v>
      </c>
      <c r="U952" s="12">
        <f>_xlfn.XLOOKUP(B952,[1]Sheet1!$B:$B,[1]Sheet1!$X:$X,0)</f>
        <v>0</v>
      </c>
      <c r="V952" s="12">
        <f>_xlfn.XLOOKUP(B952,[1]Sheet1!$B:$B,[1]Sheet1!$Y:$Y,0)</f>
        <v>0</v>
      </c>
      <c r="W952" s="12">
        <f t="shared" si="31"/>
        <v>16560720</v>
      </c>
      <c r="X952" s="6" t="s">
        <v>1356</v>
      </c>
      <c r="Y952" s="6" t="s">
        <v>319</v>
      </c>
      <c r="Z952" s="6" t="s">
        <v>320</v>
      </c>
      <c r="AA952" s="6" t="s">
        <v>30</v>
      </c>
      <c r="AB952" s="6" t="s">
        <v>327</v>
      </c>
      <c r="AC952" s="6" t="s">
        <v>37</v>
      </c>
      <c r="AD952" s="6" t="s">
        <v>342</v>
      </c>
      <c r="AE952" s="6" t="s">
        <v>39</v>
      </c>
      <c r="AF952" s="6" t="s">
        <v>40</v>
      </c>
      <c r="AG952" s="7">
        <v>16560720</v>
      </c>
      <c r="AH952" s="11">
        <f>_xlfn.XLOOKUP(B952,[1]Sheet1!$B:$B,[1]Sheet1!$AB:$AB,0)</f>
        <v>16560720</v>
      </c>
    </row>
    <row r="953" spans="2:34" ht="16.8" thickTop="1" thickBot="1" x14ac:dyDescent="0.35">
      <c r="B953" s="3" t="str">
        <f t="shared" si="30"/>
        <v>45157004511001235Gen Logistics-N1424671200104</v>
      </c>
      <c r="C953" s="8" t="s">
        <v>341</v>
      </c>
      <c r="D953" s="8" t="s">
        <v>1490</v>
      </c>
      <c r="E953" s="8" t="s">
        <v>1491</v>
      </c>
      <c r="F953" s="8" t="s">
        <v>1492</v>
      </c>
      <c r="G953" s="4" t="s">
        <v>2831</v>
      </c>
      <c r="H953" s="4" t="s">
        <v>2922</v>
      </c>
      <c r="I953" s="8" t="s">
        <v>312</v>
      </c>
      <c r="J953" s="8" t="s">
        <v>31</v>
      </c>
      <c r="K953" s="12">
        <f>_xlfn.XLOOKUP(B953,[1]Sheet1!$B:$B,[1]Sheet1!$N:$N,0)</f>
        <v>0</v>
      </c>
      <c r="L953" s="12">
        <f>_xlfn.XLOOKUP(B953,[1]Sheet1!$B:$B,[1]Sheet1!$O:$O,0)</f>
        <v>0</v>
      </c>
      <c r="M953" s="12">
        <f>_xlfn.XLOOKUP(B953,[1]Sheet1!$B:$B,[1]Sheet1!$P:$P,0)</f>
        <v>0</v>
      </c>
      <c r="N953" s="12">
        <f>_xlfn.XLOOKUP(B953,[1]Sheet1!$B:$B,[1]Sheet1!$Q:$Q,0)</f>
        <v>659010</v>
      </c>
      <c r="O953" s="12">
        <f>_xlfn.XLOOKUP(B953,[1]Sheet1!$B:$B,[1]Sheet1!$R:$R,0)</f>
        <v>219670</v>
      </c>
      <c r="P953" s="12">
        <f>_xlfn.XLOOKUP(B953,[1]Sheet1!$B:$B,[1]Sheet1!$S:$S,0)</f>
        <v>219670</v>
      </c>
      <c r="Q953" s="12">
        <f>_xlfn.XLOOKUP(B953,[1]Sheet1!$B:$B,[1]Sheet1!$T:$T,0)</f>
        <v>219670</v>
      </c>
      <c r="R953" s="12">
        <f>_xlfn.XLOOKUP(B953,[1]Sheet1!$B:$B,[1]Sheet1!$U:$U,0)</f>
        <v>219670</v>
      </c>
      <c r="S953" s="12">
        <f>_xlfn.XLOOKUP(B953,[1]Sheet1!$B:$B,[1]Sheet1!$V:$V,0)</f>
        <v>219670</v>
      </c>
      <c r="T953" s="12">
        <f>_xlfn.XLOOKUP(B953,[1]Sheet1!$B:$B,[1]Sheet1!$W:$W,0)</f>
        <v>219670</v>
      </c>
      <c r="U953" s="12">
        <f>_xlfn.XLOOKUP(B953,[1]Sheet1!$B:$B,[1]Sheet1!$X:$X,0)</f>
        <v>219670</v>
      </c>
      <c r="V953" s="12">
        <f>_xlfn.XLOOKUP(B953,[1]Sheet1!$B:$B,[1]Sheet1!$Y:$Y,0)</f>
        <v>810032.83333333302</v>
      </c>
      <c r="W953" s="12">
        <f t="shared" si="31"/>
        <v>3006732.833333333</v>
      </c>
      <c r="X953" s="8" t="s">
        <v>1493</v>
      </c>
      <c r="Y953" s="8" t="s">
        <v>211</v>
      </c>
      <c r="Z953" s="8" t="s">
        <v>340</v>
      </c>
      <c r="AA953" s="8" t="s">
        <v>314</v>
      </c>
      <c r="AB953" s="8" t="s">
        <v>36</v>
      </c>
      <c r="AC953" s="8" t="s">
        <v>37</v>
      </c>
      <c r="AD953" s="8" t="s">
        <v>342</v>
      </c>
      <c r="AE953" s="8" t="s">
        <v>39</v>
      </c>
      <c r="AF953" s="8" t="s">
        <v>40</v>
      </c>
      <c r="AG953" s="9">
        <v>2165833</v>
      </c>
      <c r="AH953" s="11">
        <f>_xlfn.XLOOKUP(B953,[1]Sheet1!$B:$B,[1]Sheet1!$AB:$AB,0)</f>
        <v>2165832.9999999991</v>
      </c>
    </row>
    <row r="954" spans="2:34" ht="16.8" thickTop="1" thickBot="1" x14ac:dyDescent="0.35">
      <c r="B954" s="3" t="str">
        <f t="shared" si="30"/>
        <v>45155004511001237IP Events-N422401200104</v>
      </c>
      <c r="C954" s="6" t="s">
        <v>513</v>
      </c>
      <c r="D954" s="6" t="s">
        <v>1494</v>
      </c>
      <c r="E954" s="6" t="s">
        <v>1495</v>
      </c>
      <c r="F954" s="6" t="s">
        <v>943</v>
      </c>
      <c r="G954" s="4" t="s">
        <v>2807</v>
      </c>
      <c r="H954" s="4" t="s">
        <v>2922</v>
      </c>
      <c r="I954" s="6" t="s">
        <v>63</v>
      </c>
      <c r="J954" s="6" t="s">
        <v>31</v>
      </c>
      <c r="K954" s="12">
        <f>_xlfn.XLOOKUP(B954,[1]Sheet1!$B:$B,[1]Sheet1!$N:$N,0)</f>
        <v>0</v>
      </c>
      <c r="L954" s="12">
        <f>_xlfn.XLOOKUP(B954,[1]Sheet1!$B:$B,[1]Sheet1!$O:$O,0)</f>
        <v>0</v>
      </c>
      <c r="M954" s="12">
        <f>_xlfn.XLOOKUP(B954,[1]Sheet1!$B:$B,[1]Sheet1!$P:$P,0)</f>
        <v>7200000</v>
      </c>
      <c r="N954" s="12">
        <f>_xlfn.XLOOKUP(B954,[1]Sheet1!$B:$B,[1]Sheet1!$Q:$Q,0)</f>
        <v>0</v>
      </c>
      <c r="O954" s="12">
        <f>_xlfn.XLOOKUP(B954,[1]Sheet1!$B:$B,[1]Sheet1!$R:$R,0)</f>
        <v>0</v>
      </c>
      <c r="P954" s="12">
        <f>_xlfn.XLOOKUP(B954,[1]Sheet1!$B:$B,[1]Sheet1!$S:$S,0)</f>
        <v>0</v>
      </c>
      <c r="Q954" s="12">
        <f>_xlfn.XLOOKUP(B954,[1]Sheet1!$B:$B,[1]Sheet1!$T:$T,0)</f>
        <v>0</v>
      </c>
      <c r="R954" s="12">
        <f>_xlfn.XLOOKUP(B954,[1]Sheet1!$B:$B,[1]Sheet1!$U:$U,0)</f>
        <v>2025000</v>
      </c>
      <c r="S954" s="12">
        <f>_xlfn.XLOOKUP(B954,[1]Sheet1!$B:$B,[1]Sheet1!$V:$V,0)</f>
        <v>0</v>
      </c>
      <c r="T954" s="12">
        <f>_xlfn.XLOOKUP(B954,[1]Sheet1!$B:$B,[1]Sheet1!$W:$W,0)</f>
        <v>0</v>
      </c>
      <c r="U954" s="12">
        <f>_xlfn.XLOOKUP(B954,[1]Sheet1!$B:$B,[1]Sheet1!$X:$X,0)</f>
        <v>5554500</v>
      </c>
      <c r="V954" s="12">
        <f>_xlfn.XLOOKUP(B954,[1]Sheet1!$B:$B,[1]Sheet1!$Y:$Y,0)</f>
        <v>0</v>
      </c>
      <c r="W954" s="12">
        <f t="shared" si="31"/>
        <v>14779500</v>
      </c>
      <c r="X954" s="6" t="s">
        <v>524</v>
      </c>
      <c r="Y954" s="6" t="s">
        <v>211</v>
      </c>
      <c r="Z954" s="6" t="s">
        <v>512</v>
      </c>
      <c r="AA954" s="6" t="s">
        <v>68</v>
      </c>
      <c r="AB954" s="6" t="s">
        <v>36</v>
      </c>
      <c r="AC954" s="6" t="s">
        <v>37</v>
      </c>
      <c r="AD954" s="6" t="s">
        <v>342</v>
      </c>
      <c r="AE954" s="6" t="s">
        <v>39</v>
      </c>
      <c r="AF954" s="6" t="s">
        <v>40</v>
      </c>
      <c r="AG954" s="7">
        <v>13729500</v>
      </c>
      <c r="AH954" s="11">
        <f>_xlfn.XLOOKUP(B954,[1]Sheet1!$B:$B,[1]Sheet1!$AB:$AB,0)</f>
        <v>13729500</v>
      </c>
    </row>
    <row r="955" spans="2:34" ht="16.8" thickTop="1" thickBot="1" x14ac:dyDescent="0.35">
      <c r="B955" s="3" t="str">
        <f t="shared" si="30"/>
        <v>45155004511001239Co-Invest Events-N422401200104</v>
      </c>
      <c r="C955" s="8" t="s">
        <v>513</v>
      </c>
      <c r="D955" s="8" t="s">
        <v>1496</v>
      </c>
      <c r="E955" s="8" t="s">
        <v>1497</v>
      </c>
      <c r="F955" s="8" t="s">
        <v>523</v>
      </c>
      <c r="G955" s="4" t="s">
        <v>2807</v>
      </c>
      <c r="H955" s="4" t="s">
        <v>2922</v>
      </c>
      <c r="I955" s="8" t="s">
        <v>63</v>
      </c>
      <c r="J955" s="8" t="s">
        <v>31</v>
      </c>
      <c r="K955" s="12">
        <f>_xlfn.XLOOKUP(B955,[1]Sheet1!$B:$B,[1]Sheet1!$N:$N,0)</f>
        <v>0</v>
      </c>
      <c r="L955" s="12">
        <f>_xlfn.XLOOKUP(B955,[1]Sheet1!$B:$B,[1]Sheet1!$O:$O,0)</f>
        <v>0</v>
      </c>
      <c r="M955" s="12">
        <f>_xlfn.XLOOKUP(B955,[1]Sheet1!$B:$B,[1]Sheet1!$P:$P,0)</f>
        <v>0</v>
      </c>
      <c r="N955" s="12">
        <f>_xlfn.XLOOKUP(B955,[1]Sheet1!$B:$B,[1]Sheet1!$Q:$Q,0)</f>
        <v>0</v>
      </c>
      <c r="O955" s="12">
        <f>_xlfn.XLOOKUP(B955,[1]Sheet1!$B:$B,[1]Sheet1!$R:$R,0)</f>
        <v>0</v>
      </c>
      <c r="P955" s="12">
        <f>_xlfn.XLOOKUP(B955,[1]Sheet1!$B:$B,[1]Sheet1!$S:$S,0)</f>
        <v>0</v>
      </c>
      <c r="Q955" s="12">
        <f>_xlfn.XLOOKUP(B955,[1]Sheet1!$B:$B,[1]Sheet1!$T:$T,0)</f>
        <v>9180000</v>
      </c>
      <c r="R955" s="12">
        <f>_xlfn.XLOOKUP(B955,[1]Sheet1!$B:$B,[1]Sheet1!$U:$U,0)</f>
        <v>0</v>
      </c>
      <c r="S955" s="12">
        <f>_xlfn.XLOOKUP(B955,[1]Sheet1!$B:$B,[1]Sheet1!$V:$V,0)</f>
        <v>0</v>
      </c>
      <c r="T955" s="12">
        <f>_xlfn.XLOOKUP(B955,[1]Sheet1!$B:$B,[1]Sheet1!$W:$W,0)</f>
        <v>0</v>
      </c>
      <c r="U955" s="12">
        <f>_xlfn.XLOOKUP(B955,[1]Sheet1!$B:$B,[1]Sheet1!$X:$X,0)</f>
        <v>0</v>
      </c>
      <c r="V955" s="12">
        <f>_xlfn.XLOOKUP(B955,[1]Sheet1!$B:$B,[1]Sheet1!$Y:$Y,0)</f>
        <v>0</v>
      </c>
      <c r="W955" s="12">
        <f t="shared" si="31"/>
        <v>9180000</v>
      </c>
      <c r="X955" s="8" t="s">
        <v>524</v>
      </c>
      <c r="Y955" s="8" t="s">
        <v>211</v>
      </c>
      <c r="Z955" s="8" t="s">
        <v>512</v>
      </c>
      <c r="AA955" s="8" t="s">
        <v>68</v>
      </c>
      <c r="AB955" s="8" t="s">
        <v>36</v>
      </c>
      <c r="AC955" s="8" t="s">
        <v>37</v>
      </c>
      <c r="AD955" s="8" t="s">
        <v>342</v>
      </c>
      <c r="AE955" s="8" t="s">
        <v>39</v>
      </c>
      <c r="AF955" s="8" t="s">
        <v>40</v>
      </c>
      <c r="AG955" s="9">
        <v>9180000</v>
      </c>
      <c r="AH955" s="11">
        <f>_xlfn.XLOOKUP(B955,[1]Sheet1!$B:$B,[1]Sheet1!$AB:$AB,0)</f>
        <v>9180000</v>
      </c>
    </row>
    <row r="956" spans="2:34" ht="16.8" thickTop="1" thickBot="1" x14ac:dyDescent="0.35">
      <c r="B956" s="3" t="str">
        <f t="shared" si="30"/>
        <v>45155004511001246Co-Invest Events-N422401200104</v>
      </c>
      <c r="C956" s="6" t="s">
        <v>513</v>
      </c>
      <c r="D956" s="6" t="s">
        <v>1498</v>
      </c>
      <c r="E956" s="6" t="s">
        <v>1499</v>
      </c>
      <c r="F956" s="6" t="s">
        <v>523</v>
      </c>
      <c r="G956" s="4" t="s">
        <v>2807</v>
      </c>
      <c r="H956" s="4" t="s">
        <v>2922</v>
      </c>
      <c r="I956" s="6" t="s">
        <v>63</v>
      </c>
      <c r="J956" s="6" t="s">
        <v>31</v>
      </c>
      <c r="K956" s="12">
        <f>_xlfn.XLOOKUP(B956,[1]Sheet1!$B:$B,[1]Sheet1!$N:$N,0)</f>
        <v>0</v>
      </c>
      <c r="L956" s="12">
        <f>_xlfn.XLOOKUP(B956,[1]Sheet1!$B:$B,[1]Sheet1!$O:$O,0)</f>
        <v>0</v>
      </c>
      <c r="M956" s="12">
        <f>_xlfn.XLOOKUP(B956,[1]Sheet1!$B:$B,[1]Sheet1!$P:$P,0)</f>
        <v>0</v>
      </c>
      <c r="N956" s="12">
        <f>_xlfn.XLOOKUP(B956,[1]Sheet1!$B:$B,[1]Sheet1!$Q:$Q,0)</f>
        <v>0</v>
      </c>
      <c r="O956" s="12">
        <f>_xlfn.XLOOKUP(B956,[1]Sheet1!$B:$B,[1]Sheet1!$R:$R,0)</f>
        <v>0</v>
      </c>
      <c r="P956" s="12">
        <f>_xlfn.XLOOKUP(B956,[1]Sheet1!$B:$B,[1]Sheet1!$S:$S,0)</f>
        <v>4220963</v>
      </c>
      <c r="Q956" s="12">
        <f>_xlfn.XLOOKUP(B956,[1]Sheet1!$B:$B,[1]Sheet1!$T:$T,0)</f>
        <v>0</v>
      </c>
      <c r="R956" s="12">
        <f>_xlfn.XLOOKUP(B956,[1]Sheet1!$B:$B,[1]Sheet1!$U:$U,0)</f>
        <v>0</v>
      </c>
      <c r="S956" s="12">
        <f>_xlfn.XLOOKUP(B956,[1]Sheet1!$B:$B,[1]Sheet1!$V:$V,0)</f>
        <v>0</v>
      </c>
      <c r="T956" s="12">
        <f>_xlfn.XLOOKUP(B956,[1]Sheet1!$B:$B,[1]Sheet1!$W:$W,0)</f>
        <v>0</v>
      </c>
      <c r="U956" s="12">
        <f>_xlfn.XLOOKUP(B956,[1]Sheet1!$B:$B,[1]Sheet1!$X:$X,0)</f>
        <v>12000000</v>
      </c>
      <c r="V956" s="12">
        <f>_xlfn.XLOOKUP(B956,[1]Sheet1!$B:$B,[1]Sheet1!$Y:$Y,0)</f>
        <v>0</v>
      </c>
      <c r="W956" s="12">
        <f t="shared" si="31"/>
        <v>16220963</v>
      </c>
      <c r="X956" s="6" t="s">
        <v>524</v>
      </c>
      <c r="Y956" s="6" t="s">
        <v>211</v>
      </c>
      <c r="Z956" s="6" t="s">
        <v>512</v>
      </c>
      <c r="AA956" s="6" t="s">
        <v>68</v>
      </c>
      <c r="AB956" s="6" t="s">
        <v>36</v>
      </c>
      <c r="AC956" s="6" t="s">
        <v>37</v>
      </c>
      <c r="AD956" s="6" t="s">
        <v>342</v>
      </c>
      <c r="AE956" s="6" t="s">
        <v>39</v>
      </c>
      <c r="AF956" s="6" t="s">
        <v>40</v>
      </c>
      <c r="AG956" s="7">
        <v>16220963</v>
      </c>
      <c r="AH956" s="11">
        <f>_xlfn.XLOOKUP(B956,[1]Sheet1!$B:$B,[1]Sheet1!$AB:$AB,0)</f>
        <v>16220963</v>
      </c>
    </row>
    <row r="957" spans="2:34" ht="16.8" thickTop="1" thickBot="1" x14ac:dyDescent="0.35">
      <c r="B957" s="3" t="str">
        <f t="shared" si="30"/>
        <v>45155004511001248Activation&amp;Prog-N422401200104</v>
      </c>
      <c r="C957" s="8" t="s">
        <v>513</v>
      </c>
      <c r="D957" s="8" t="s">
        <v>1500</v>
      </c>
      <c r="E957" s="8" t="s">
        <v>1501</v>
      </c>
      <c r="F957" s="8" t="s">
        <v>62</v>
      </c>
      <c r="G957" s="4" t="s">
        <v>2807</v>
      </c>
      <c r="H957" s="4" t="s">
        <v>2922</v>
      </c>
      <c r="I957" s="8" t="s">
        <v>63</v>
      </c>
      <c r="J957" s="8" t="s">
        <v>31</v>
      </c>
      <c r="K957" s="12">
        <f>_xlfn.XLOOKUP(B957,[1]Sheet1!$B:$B,[1]Sheet1!$N:$N,0)</f>
        <v>0</v>
      </c>
      <c r="L957" s="12">
        <f>_xlfn.XLOOKUP(B957,[1]Sheet1!$B:$B,[1]Sheet1!$O:$O,0)</f>
        <v>0</v>
      </c>
      <c r="M957" s="12">
        <f>_xlfn.XLOOKUP(B957,[1]Sheet1!$B:$B,[1]Sheet1!$P:$P,0)</f>
        <v>0</v>
      </c>
      <c r="N957" s="12">
        <f>_xlfn.XLOOKUP(B957,[1]Sheet1!$B:$B,[1]Sheet1!$Q:$Q,0)</f>
        <v>0</v>
      </c>
      <c r="O957" s="12">
        <f>_xlfn.XLOOKUP(B957,[1]Sheet1!$B:$B,[1]Sheet1!$R:$R,0)</f>
        <v>0</v>
      </c>
      <c r="P957" s="12">
        <f>_xlfn.XLOOKUP(B957,[1]Sheet1!$B:$B,[1]Sheet1!$S:$S,0)</f>
        <v>0</v>
      </c>
      <c r="Q957" s="12">
        <f>_xlfn.XLOOKUP(B957,[1]Sheet1!$B:$B,[1]Sheet1!$T:$T,0)</f>
        <v>0</v>
      </c>
      <c r="R957" s="12">
        <f>_xlfn.XLOOKUP(B957,[1]Sheet1!$B:$B,[1]Sheet1!$U:$U,0)</f>
        <v>0</v>
      </c>
      <c r="S957" s="12">
        <f>_xlfn.XLOOKUP(B957,[1]Sheet1!$B:$B,[1]Sheet1!$V:$V,0)</f>
        <v>0</v>
      </c>
      <c r="T957" s="12">
        <f>_xlfn.XLOOKUP(B957,[1]Sheet1!$B:$B,[1]Sheet1!$W:$W,0)</f>
        <v>0</v>
      </c>
      <c r="U957" s="12">
        <f>_xlfn.XLOOKUP(B957,[1]Sheet1!$B:$B,[1]Sheet1!$X:$X,0)</f>
        <v>3500000</v>
      </c>
      <c r="V957" s="12">
        <f>_xlfn.XLOOKUP(B957,[1]Sheet1!$B:$B,[1]Sheet1!$Y:$Y,0)</f>
        <v>0</v>
      </c>
      <c r="W957" s="12">
        <f t="shared" si="31"/>
        <v>3500000</v>
      </c>
      <c r="X957" s="8" t="s">
        <v>524</v>
      </c>
      <c r="Y957" s="8" t="s">
        <v>211</v>
      </c>
      <c r="Z957" s="8" t="s">
        <v>512</v>
      </c>
      <c r="AA957" s="8" t="s">
        <v>68</v>
      </c>
      <c r="AB957" s="8" t="s">
        <v>36</v>
      </c>
      <c r="AC957" s="8" t="s">
        <v>37</v>
      </c>
      <c r="AD957" s="8" t="s">
        <v>342</v>
      </c>
      <c r="AE957" s="8" t="s">
        <v>39</v>
      </c>
      <c r="AF957" s="8" t="s">
        <v>40</v>
      </c>
      <c r="AG957" s="9">
        <v>3500000</v>
      </c>
      <c r="AH957" s="11">
        <f>_xlfn.XLOOKUP(B957,[1]Sheet1!$B:$B,[1]Sheet1!$AB:$AB,0)</f>
        <v>3500000</v>
      </c>
    </row>
    <row r="958" spans="2:34" ht="16.8" thickTop="1" thickBot="1" x14ac:dyDescent="0.35">
      <c r="B958" s="3" t="str">
        <f t="shared" si="30"/>
        <v>45101954511001251Event Management-N1422401200104</v>
      </c>
      <c r="C958" s="6" t="s">
        <v>835</v>
      </c>
      <c r="D958" s="6" t="s">
        <v>1502</v>
      </c>
      <c r="E958" s="6" t="s">
        <v>1503</v>
      </c>
      <c r="F958" s="6" t="s">
        <v>122</v>
      </c>
      <c r="G958" s="4" t="s">
        <v>2807</v>
      </c>
      <c r="H958" s="4" t="s">
        <v>2922</v>
      </c>
      <c r="I958" s="6" t="s">
        <v>63</v>
      </c>
      <c r="J958" s="6" t="s">
        <v>31</v>
      </c>
      <c r="K958" s="12">
        <f>_xlfn.XLOOKUP(B958,[1]Sheet1!$B:$B,[1]Sheet1!$N:$N,0)</f>
        <v>0</v>
      </c>
      <c r="L958" s="12">
        <f>_xlfn.XLOOKUP(B958,[1]Sheet1!$B:$B,[1]Sheet1!$O:$O,0)</f>
        <v>0</v>
      </c>
      <c r="M958" s="12">
        <f>_xlfn.XLOOKUP(B958,[1]Sheet1!$B:$B,[1]Sheet1!$P:$P,0)</f>
        <v>0</v>
      </c>
      <c r="N958" s="12">
        <f>_xlfn.XLOOKUP(B958,[1]Sheet1!$B:$B,[1]Sheet1!$Q:$Q,0)</f>
        <v>63000</v>
      </c>
      <c r="O958" s="12">
        <f>_xlfn.XLOOKUP(B958,[1]Sheet1!$B:$B,[1]Sheet1!$R:$R,0)</f>
        <v>0</v>
      </c>
      <c r="P958" s="12">
        <f>_xlfn.XLOOKUP(B958,[1]Sheet1!$B:$B,[1]Sheet1!$S:$S,0)</f>
        <v>0</v>
      </c>
      <c r="Q958" s="12">
        <f>_xlfn.XLOOKUP(B958,[1]Sheet1!$B:$B,[1]Sheet1!$T:$T,0)</f>
        <v>0</v>
      </c>
      <c r="R958" s="12">
        <f>_xlfn.XLOOKUP(B958,[1]Sheet1!$B:$B,[1]Sheet1!$U:$U,0)</f>
        <v>0</v>
      </c>
      <c r="S958" s="12">
        <f>_xlfn.XLOOKUP(B958,[1]Sheet1!$B:$B,[1]Sheet1!$V:$V,0)</f>
        <v>0</v>
      </c>
      <c r="T958" s="12">
        <f>_xlfn.XLOOKUP(B958,[1]Sheet1!$B:$B,[1]Sheet1!$W:$W,0)</f>
        <v>99000</v>
      </c>
      <c r="U958" s="12">
        <f>_xlfn.XLOOKUP(B958,[1]Sheet1!$B:$B,[1]Sheet1!$X:$X,0)</f>
        <v>0</v>
      </c>
      <c r="V958" s="12">
        <f>_xlfn.XLOOKUP(B958,[1]Sheet1!$B:$B,[1]Sheet1!$Y:$Y,0)</f>
        <v>0</v>
      </c>
      <c r="W958" s="12">
        <f t="shared" si="31"/>
        <v>162000</v>
      </c>
      <c r="X958" s="6" t="s">
        <v>1504</v>
      </c>
      <c r="Y958" s="6" t="s">
        <v>392</v>
      </c>
      <c r="Z958" s="6" t="s">
        <v>834</v>
      </c>
      <c r="AA958" s="6" t="s">
        <v>68</v>
      </c>
      <c r="AB958" s="6" t="s">
        <v>36</v>
      </c>
      <c r="AC958" s="6" t="s">
        <v>37</v>
      </c>
      <c r="AD958" s="6" t="s">
        <v>848</v>
      </c>
      <c r="AE958" s="6" t="s">
        <v>39</v>
      </c>
      <c r="AF958" s="6" t="s">
        <v>40</v>
      </c>
      <c r="AG958" s="7">
        <v>212000</v>
      </c>
      <c r="AH958" s="11">
        <f>_xlfn.XLOOKUP(B958,[1]Sheet1!$B:$B,[1]Sheet1!$AB:$AB,0)</f>
        <v>212000</v>
      </c>
    </row>
    <row r="959" spans="2:34" ht="16.8" thickTop="1" thickBot="1" x14ac:dyDescent="0.35">
      <c r="B959" s="3" t="str">
        <f t="shared" si="30"/>
        <v>45155004511001252Sponsorship Fees-N424811200104</v>
      </c>
      <c r="C959" s="8" t="s">
        <v>513</v>
      </c>
      <c r="D959" s="8" t="s">
        <v>1505</v>
      </c>
      <c r="E959" s="8" t="s">
        <v>1506</v>
      </c>
      <c r="F959" s="8" t="s">
        <v>506</v>
      </c>
      <c r="G959" s="4" t="s">
        <v>2802</v>
      </c>
      <c r="H959" s="4" t="s">
        <v>2922</v>
      </c>
      <c r="I959" s="8" t="s">
        <v>30</v>
      </c>
      <c r="J959" s="8" t="s">
        <v>31</v>
      </c>
      <c r="K959" s="12">
        <f>_xlfn.XLOOKUP(B959,[1]Sheet1!$B:$B,[1]Sheet1!$N:$N,0)</f>
        <v>0</v>
      </c>
      <c r="L959" s="12">
        <f>_xlfn.XLOOKUP(B959,[1]Sheet1!$B:$B,[1]Sheet1!$O:$O,0)</f>
        <v>0</v>
      </c>
      <c r="M959" s="12">
        <f>_xlfn.XLOOKUP(B959,[1]Sheet1!$B:$B,[1]Sheet1!$P:$P,0)</f>
        <v>0</v>
      </c>
      <c r="N959" s="12">
        <f>_xlfn.XLOOKUP(B959,[1]Sheet1!$B:$B,[1]Sheet1!$Q:$Q,0)</f>
        <v>1992005.1</v>
      </c>
      <c r="O959" s="12">
        <f>_xlfn.XLOOKUP(B959,[1]Sheet1!$B:$B,[1]Sheet1!$R:$R,0)</f>
        <v>0</v>
      </c>
      <c r="P959" s="12">
        <f>_xlfn.XLOOKUP(B959,[1]Sheet1!$B:$B,[1]Sheet1!$S:$S,0)</f>
        <v>0</v>
      </c>
      <c r="Q959" s="12">
        <f>_xlfn.XLOOKUP(B959,[1]Sheet1!$B:$B,[1]Sheet1!$T:$T,0)</f>
        <v>0</v>
      </c>
      <c r="R959" s="12">
        <f>_xlfn.XLOOKUP(B959,[1]Sheet1!$B:$B,[1]Sheet1!$U:$U,0)</f>
        <v>0</v>
      </c>
      <c r="S959" s="12">
        <f>_xlfn.XLOOKUP(B959,[1]Sheet1!$B:$B,[1]Sheet1!$V:$V,0)</f>
        <v>0</v>
      </c>
      <c r="T959" s="12">
        <f>_xlfn.XLOOKUP(B959,[1]Sheet1!$B:$B,[1]Sheet1!$W:$W,0)</f>
        <v>0</v>
      </c>
      <c r="U959" s="12">
        <f>_xlfn.XLOOKUP(B959,[1]Sheet1!$B:$B,[1]Sheet1!$X:$X,0)</f>
        <v>221333.90000000002</v>
      </c>
      <c r="V959" s="12">
        <f>_xlfn.XLOOKUP(B959,[1]Sheet1!$B:$B,[1]Sheet1!$Y:$Y,0)</f>
        <v>0</v>
      </c>
      <c r="W959" s="12">
        <f t="shared" si="31"/>
        <v>2213339</v>
      </c>
      <c r="X959" s="8" t="s">
        <v>518</v>
      </c>
      <c r="Y959" s="8" t="s">
        <v>211</v>
      </c>
      <c r="Z959" s="8" t="s">
        <v>512</v>
      </c>
      <c r="AA959" s="8" t="s">
        <v>30</v>
      </c>
      <c r="AB959" s="8" t="s">
        <v>36</v>
      </c>
      <c r="AC959" s="8" t="s">
        <v>37</v>
      </c>
      <c r="AD959" s="8" t="s">
        <v>342</v>
      </c>
      <c r="AE959" s="8" t="s">
        <v>39</v>
      </c>
      <c r="AF959" s="8" t="s">
        <v>40</v>
      </c>
      <c r="AG959" s="9">
        <v>2792364</v>
      </c>
      <c r="AH959" s="11">
        <f>_xlfn.XLOOKUP(B959,[1]Sheet1!$B:$B,[1]Sheet1!$AB:$AB,0)</f>
        <v>2792364</v>
      </c>
    </row>
    <row r="960" spans="2:34" ht="16.8" thickTop="1" thickBot="1" x14ac:dyDescent="0.35">
      <c r="B960" s="3" t="str">
        <f t="shared" si="30"/>
        <v>45155004511001260General Retainer-N2421125200104</v>
      </c>
      <c r="C960" s="6" t="s">
        <v>513</v>
      </c>
      <c r="D960" s="6" t="s">
        <v>1507</v>
      </c>
      <c r="E960" s="6" t="s">
        <v>1508</v>
      </c>
      <c r="F960" s="6" t="s">
        <v>1509</v>
      </c>
      <c r="G960" s="4" t="s">
        <v>2803</v>
      </c>
      <c r="H960" s="4" t="s">
        <v>2922</v>
      </c>
      <c r="I960" s="6" t="s">
        <v>44</v>
      </c>
      <c r="J960" s="6" t="s">
        <v>31</v>
      </c>
      <c r="K960" s="12">
        <f>_xlfn.XLOOKUP(B960,[1]Sheet1!$B:$B,[1]Sheet1!$N:$N,0)</f>
        <v>0</v>
      </c>
      <c r="L960" s="12">
        <f>_xlfn.XLOOKUP(B960,[1]Sheet1!$B:$B,[1]Sheet1!$O:$O,0)</f>
        <v>0</v>
      </c>
      <c r="M960" s="12">
        <f>_xlfn.XLOOKUP(B960,[1]Sheet1!$B:$B,[1]Sheet1!$P:$P,0)</f>
        <v>0</v>
      </c>
      <c r="N960" s="12">
        <f>_xlfn.XLOOKUP(B960,[1]Sheet1!$B:$B,[1]Sheet1!$Q:$Q,0)</f>
        <v>1320000</v>
      </c>
      <c r="O960" s="12">
        <f>_xlfn.XLOOKUP(B960,[1]Sheet1!$B:$B,[1]Sheet1!$R:$R,0)</f>
        <v>330000</v>
      </c>
      <c r="P960" s="12">
        <f>_xlfn.XLOOKUP(B960,[1]Sheet1!$B:$B,[1]Sheet1!$S:$S,0)</f>
        <v>330000</v>
      </c>
      <c r="Q960" s="12">
        <f>_xlfn.XLOOKUP(B960,[1]Sheet1!$B:$B,[1]Sheet1!$T:$T,0)</f>
        <v>330000</v>
      </c>
      <c r="R960" s="12">
        <f>_xlfn.XLOOKUP(B960,[1]Sheet1!$B:$B,[1]Sheet1!$U:$U,0)</f>
        <v>330000</v>
      </c>
      <c r="S960" s="12">
        <f>_xlfn.XLOOKUP(B960,[1]Sheet1!$B:$B,[1]Sheet1!$V:$V,0)</f>
        <v>330000</v>
      </c>
      <c r="T960" s="12">
        <f>_xlfn.XLOOKUP(B960,[1]Sheet1!$B:$B,[1]Sheet1!$W:$W,0)</f>
        <v>330000</v>
      </c>
      <c r="U960" s="12">
        <f>_xlfn.XLOOKUP(B960,[1]Sheet1!$B:$B,[1]Sheet1!$X:$X,0)</f>
        <v>330000</v>
      </c>
      <c r="V960" s="12">
        <f>_xlfn.XLOOKUP(B960,[1]Sheet1!$B:$B,[1]Sheet1!$Y:$Y,0)</f>
        <v>1465000</v>
      </c>
      <c r="W960" s="12">
        <f t="shared" si="31"/>
        <v>5095000</v>
      </c>
      <c r="X960" s="6" t="s">
        <v>987</v>
      </c>
      <c r="Y960" s="6" t="s">
        <v>211</v>
      </c>
      <c r="Z960" s="6" t="s">
        <v>512</v>
      </c>
      <c r="AA960" s="6" t="s">
        <v>44</v>
      </c>
      <c r="AB960" s="6" t="s">
        <v>36</v>
      </c>
      <c r="AC960" s="6" t="s">
        <v>37</v>
      </c>
      <c r="AD960" s="6" t="s">
        <v>342</v>
      </c>
      <c r="AE960" s="6" t="s">
        <v>39</v>
      </c>
      <c r="AF960" s="6" t="s">
        <v>40</v>
      </c>
      <c r="AG960" s="7">
        <v>5095000</v>
      </c>
      <c r="AH960" s="11">
        <f>_xlfn.XLOOKUP(B960,[1]Sheet1!$B:$B,[1]Sheet1!$AB:$AB,0)</f>
        <v>5095000</v>
      </c>
    </row>
    <row r="961" spans="2:34" ht="16.8" thickTop="1" thickBot="1" x14ac:dyDescent="0.35">
      <c r="B961" s="3" t="str">
        <f t="shared" si="30"/>
        <v>45155004511001260Licenses Fees-N2424131200104</v>
      </c>
      <c r="C961" s="8" t="s">
        <v>513</v>
      </c>
      <c r="D961" s="8" t="s">
        <v>1507</v>
      </c>
      <c r="E961" s="8" t="s">
        <v>1508</v>
      </c>
      <c r="F961" s="8" t="s">
        <v>865</v>
      </c>
      <c r="G961" s="4" t="s">
        <v>2835</v>
      </c>
      <c r="H961" s="4" t="s">
        <v>2922</v>
      </c>
      <c r="I961" s="8" t="s">
        <v>366</v>
      </c>
      <c r="J961" s="8" t="s">
        <v>31</v>
      </c>
      <c r="K961" s="12">
        <f>_xlfn.XLOOKUP(B961,[1]Sheet1!$B:$B,[1]Sheet1!$N:$N,0)</f>
        <v>0</v>
      </c>
      <c r="L961" s="12">
        <f>_xlfn.XLOOKUP(B961,[1]Sheet1!$B:$B,[1]Sheet1!$O:$O,0)</f>
        <v>0</v>
      </c>
      <c r="M961" s="12">
        <f>_xlfn.XLOOKUP(B961,[1]Sheet1!$B:$B,[1]Sheet1!$P:$P,0)</f>
        <v>0</v>
      </c>
      <c r="N961" s="12">
        <f>_xlfn.XLOOKUP(B961,[1]Sheet1!$B:$B,[1]Sheet1!$Q:$Q,0)</f>
        <v>0</v>
      </c>
      <c r="O961" s="12">
        <f>_xlfn.XLOOKUP(B961,[1]Sheet1!$B:$B,[1]Sheet1!$R:$R,0)</f>
        <v>0</v>
      </c>
      <c r="P961" s="12">
        <f>_xlfn.XLOOKUP(B961,[1]Sheet1!$B:$B,[1]Sheet1!$S:$S,0)</f>
        <v>0</v>
      </c>
      <c r="Q961" s="12">
        <f>_xlfn.XLOOKUP(B961,[1]Sheet1!$B:$B,[1]Sheet1!$T:$T,0)</f>
        <v>0</v>
      </c>
      <c r="R961" s="12">
        <f>_xlfn.XLOOKUP(B961,[1]Sheet1!$B:$B,[1]Sheet1!$U:$U,0)</f>
        <v>0</v>
      </c>
      <c r="S961" s="12">
        <f>_xlfn.XLOOKUP(B961,[1]Sheet1!$B:$B,[1]Sheet1!$V:$V,0)</f>
        <v>0</v>
      </c>
      <c r="T961" s="12">
        <f>_xlfn.XLOOKUP(B961,[1]Sheet1!$B:$B,[1]Sheet1!$W:$W,0)</f>
        <v>0</v>
      </c>
      <c r="U961" s="12">
        <f>_xlfn.XLOOKUP(B961,[1]Sheet1!$B:$B,[1]Sheet1!$X:$X,0)</f>
        <v>350500</v>
      </c>
      <c r="V961" s="12">
        <f>_xlfn.XLOOKUP(B961,[1]Sheet1!$B:$B,[1]Sheet1!$Y:$Y,0)</f>
        <v>0</v>
      </c>
      <c r="W961" s="12">
        <f t="shared" si="31"/>
        <v>350500</v>
      </c>
      <c r="X961" s="8" t="s">
        <v>1510</v>
      </c>
      <c r="Y961" s="8" t="s">
        <v>211</v>
      </c>
      <c r="Z961" s="8" t="s">
        <v>512</v>
      </c>
      <c r="AA961" s="8" t="s">
        <v>366</v>
      </c>
      <c r="AB961" s="8" t="s">
        <v>36</v>
      </c>
      <c r="AC961" s="8" t="s">
        <v>37</v>
      </c>
      <c r="AD961" s="8" t="s">
        <v>342</v>
      </c>
      <c r="AE961" s="8" t="s">
        <v>39</v>
      </c>
      <c r="AF961" s="8" t="s">
        <v>40</v>
      </c>
      <c r="AG961" s="9">
        <v>350500</v>
      </c>
      <c r="AH961" s="11">
        <f>_xlfn.XLOOKUP(B961,[1]Sheet1!$B:$B,[1]Sheet1!$AB:$AB,0)</f>
        <v>350500</v>
      </c>
    </row>
    <row r="962" spans="2:34" ht="16.8" thickTop="1" thickBot="1" x14ac:dyDescent="0.35">
      <c r="B962" s="3" t="str">
        <f t="shared" si="30"/>
        <v>45155004511001260Mission &amp; Travel-N1423821200104</v>
      </c>
      <c r="C962" s="6" t="s">
        <v>513</v>
      </c>
      <c r="D962" s="6" t="s">
        <v>1507</v>
      </c>
      <c r="E962" s="6" t="s">
        <v>1508</v>
      </c>
      <c r="F962" s="6" t="s">
        <v>472</v>
      </c>
      <c r="G962" s="4" t="s">
        <v>2805</v>
      </c>
      <c r="H962" s="4" t="s">
        <v>2922</v>
      </c>
      <c r="I962" s="6" t="s">
        <v>55</v>
      </c>
      <c r="J962" s="6" t="s">
        <v>31</v>
      </c>
      <c r="K962" s="12">
        <f>_xlfn.XLOOKUP(B962,[1]Sheet1!$B:$B,[1]Sheet1!$N:$N,0)</f>
        <v>0</v>
      </c>
      <c r="L962" s="12">
        <f>_xlfn.XLOOKUP(B962,[1]Sheet1!$B:$B,[1]Sheet1!$O:$O,0)</f>
        <v>0</v>
      </c>
      <c r="M962" s="12">
        <f>_xlfn.XLOOKUP(B962,[1]Sheet1!$B:$B,[1]Sheet1!$P:$P,0)</f>
        <v>0</v>
      </c>
      <c r="N962" s="12">
        <f>_xlfn.XLOOKUP(B962,[1]Sheet1!$B:$B,[1]Sheet1!$Q:$Q,0)</f>
        <v>0</v>
      </c>
      <c r="O962" s="12">
        <f>_xlfn.XLOOKUP(B962,[1]Sheet1!$B:$B,[1]Sheet1!$R:$R,0)</f>
        <v>0</v>
      </c>
      <c r="P962" s="12">
        <f>_xlfn.XLOOKUP(B962,[1]Sheet1!$B:$B,[1]Sheet1!$S:$S,0)</f>
        <v>0</v>
      </c>
      <c r="Q962" s="12">
        <f>_xlfn.XLOOKUP(B962,[1]Sheet1!$B:$B,[1]Sheet1!$T:$T,0)</f>
        <v>0</v>
      </c>
      <c r="R962" s="12">
        <f>_xlfn.XLOOKUP(B962,[1]Sheet1!$B:$B,[1]Sheet1!$U:$U,0)</f>
        <v>0</v>
      </c>
      <c r="S962" s="12">
        <f>_xlfn.XLOOKUP(B962,[1]Sheet1!$B:$B,[1]Sheet1!$V:$V,0)</f>
        <v>20000</v>
      </c>
      <c r="T962" s="12">
        <f>_xlfn.XLOOKUP(B962,[1]Sheet1!$B:$B,[1]Sheet1!$W:$W,0)</f>
        <v>0</v>
      </c>
      <c r="U962" s="12">
        <f>_xlfn.XLOOKUP(B962,[1]Sheet1!$B:$B,[1]Sheet1!$X:$X,0)</f>
        <v>31800</v>
      </c>
      <c r="V962" s="12">
        <f>_xlfn.XLOOKUP(B962,[1]Sheet1!$B:$B,[1]Sheet1!$Y:$Y,0)</f>
        <v>20000</v>
      </c>
      <c r="W962" s="12">
        <f t="shared" si="31"/>
        <v>71800</v>
      </c>
      <c r="X962" s="6" t="s">
        <v>1098</v>
      </c>
      <c r="Y962" s="6" t="s">
        <v>211</v>
      </c>
      <c r="Z962" s="6" t="s">
        <v>512</v>
      </c>
      <c r="AA962" s="6" t="s">
        <v>55</v>
      </c>
      <c r="AB962" s="6" t="s">
        <v>36</v>
      </c>
      <c r="AC962" s="6" t="s">
        <v>37</v>
      </c>
      <c r="AD962" s="6" t="s">
        <v>342</v>
      </c>
      <c r="AE962" s="6" t="s">
        <v>39</v>
      </c>
      <c r="AF962" s="6" t="s">
        <v>40</v>
      </c>
      <c r="AG962" s="7">
        <v>71800</v>
      </c>
      <c r="AH962" s="11">
        <f>_xlfn.XLOOKUP(B962,[1]Sheet1!$B:$B,[1]Sheet1!$AB:$AB,0)</f>
        <v>71800</v>
      </c>
    </row>
    <row r="963" spans="2:34" ht="16.8" thickTop="1" thickBot="1" x14ac:dyDescent="0.35">
      <c r="B963" s="3" t="str">
        <f t="shared" si="30"/>
        <v>45112504511001261Activation&amp;Prog-N422401200104</v>
      </c>
      <c r="C963" s="8" t="s">
        <v>67</v>
      </c>
      <c r="D963" s="8" t="s">
        <v>1511</v>
      </c>
      <c r="E963" s="8" t="s">
        <v>1512</v>
      </c>
      <c r="F963" s="8" t="s">
        <v>62</v>
      </c>
      <c r="G963" s="4" t="s">
        <v>2807</v>
      </c>
      <c r="H963" s="4" t="s">
        <v>2922</v>
      </c>
      <c r="I963" s="8" t="s">
        <v>63</v>
      </c>
      <c r="J963" s="8" t="s">
        <v>31</v>
      </c>
      <c r="K963" s="12">
        <f>_xlfn.XLOOKUP(B963,[1]Sheet1!$B:$B,[1]Sheet1!$N:$N,0)</f>
        <v>0</v>
      </c>
      <c r="L963" s="12">
        <f>_xlfn.XLOOKUP(B963,[1]Sheet1!$B:$B,[1]Sheet1!$O:$O,0)</f>
        <v>0</v>
      </c>
      <c r="M963" s="12">
        <f>_xlfn.XLOOKUP(B963,[1]Sheet1!$B:$B,[1]Sheet1!$P:$P,0)</f>
        <v>0</v>
      </c>
      <c r="N963" s="12">
        <f>_xlfn.XLOOKUP(B963,[1]Sheet1!$B:$B,[1]Sheet1!$Q:$Q,0)</f>
        <v>1600000</v>
      </c>
      <c r="O963" s="12">
        <f>_xlfn.XLOOKUP(B963,[1]Sheet1!$B:$B,[1]Sheet1!$R:$R,0)</f>
        <v>100000</v>
      </c>
      <c r="P963" s="12">
        <f>_xlfn.XLOOKUP(B963,[1]Sheet1!$B:$B,[1]Sheet1!$S:$S,0)</f>
        <v>0</v>
      </c>
      <c r="Q963" s="12">
        <f>_xlfn.XLOOKUP(B963,[1]Sheet1!$B:$B,[1]Sheet1!$T:$T,0)</f>
        <v>0</v>
      </c>
      <c r="R963" s="12">
        <f>_xlfn.XLOOKUP(B963,[1]Sheet1!$B:$B,[1]Sheet1!$U:$U,0)</f>
        <v>0</v>
      </c>
      <c r="S963" s="12">
        <f>_xlfn.XLOOKUP(B963,[1]Sheet1!$B:$B,[1]Sheet1!$V:$V,0)</f>
        <v>0</v>
      </c>
      <c r="T963" s="12">
        <f>_xlfn.XLOOKUP(B963,[1]Sheet1!$B:$B,[1]Sheet1!$W:$W,0)</f>
        <v>525184</v>
      </c>
      <c r="U963" s="12">
        <f>_xlfn.XLOOKUP(B963,[1]Sheet1!$B:$B,[1]Sheet1!$X:$X,0)</f>
        <v>0</v>
      </c>
      <c r="V963" s="12">
        <f>_xlfn.XLOOKUP(B963,[1]Sheet1!$B:$B,[1]Sheet1!$Y:$Y,0)</f>
        <v>0</v>
      </c>
      <c r="W963" s="12">
        <f t="shared" si="31"/>
        <v>2225184</v>
      </c>
      <c r="X963" s="8" t="s">
        <v>64</v>
      </c>
      <c r="Y963" s="8" t="s">
        <v>65</v>
      </c>
      <c r="Z963" s="8" t="s">
        <v>66</v>
      </c>
      <c r="AA963" s="8" t="s">
        <v>68</v>
      </c>
      <c r="AB963" s="8" t="s">
        <v>36</v>
      </c>
      <c r="AC963" s="8" t="s">
        <v>37</v>
      </c>
      <c r="AD963" s="8" t="s">
        <v>69</v>
      </c>
      <c r="AE963" s="8" t="s">
        <v>39</v>
      </c>
      <c r="AF963" s="8" t="s">
        <v>40</v>
      </c>
      <c r="AG963" s="9">
        <v>2225184.2000000002</v>
      </c>
      <c r="AH963" s="11">
        <f>_xlfn.XLOOKUP(B963,[1]Sheet1!$B:$B,[1]Sheet1!$AB:$AB,0)</f>
        <v>2225184</v>
      </c>
    </row>
    <row r="964" spans="2:34" ht="16.8" thickTop="1" thickBot="1" x14ac:dyDescent="0.35">
      <c r="B964" s="3" t="str">
        <f t="shared" ref="B964:B1027" si="32">C964&amp;D964&amp;F964&amp;G964&amp;H964</f>
        <v>45112504511001261Ad-hoc Repairs-N426427200104</v>
      </c>
      <c r="C964" s="6" t="s">
        <v>67</v>
      </c>
      <c r="D964" s="6" t="s">
        <v>1511</v>
      </c>
      <c r="E964" s="6" t="s">
        <v>1512</v>
      </c>
      <c r="F964" s="6" t="s">
        <v>70</v>
      </c>
      <c r="G964" s="4" t="s">
        <v>2808</v>
      </c>
      <c r="H964" s="4" t="s">
        <v>2922</v>
      </c>
      <c r="I964" s="6" t="s">
        <v>71</v>
      </c>
      <c r="J964" s="6" t="s">
        <v>31</v>
      </c>
      <c r="K964" s="12">
        <f>_xlfn.XLOOKUP(B964,[1]Sheet1!$B:$B,[1]Sheet1!$N:$N,0)</f>
        <v>0</v>
      </c>
      <c r="L964" s="12">
        <f>_xlfn.XLOOKUP(B964,[1]Sheet1!$B:$B,[1]Sheet1!$O:$O,0)</f>
        <v>0</v>
      </c>
      <c r="M964" s="12">
        <f>_xlfn.XLOOKUP(B964,[1]Sheet1!$B:$B,[1]Sheet1!$P:$P,0)</f>
        <v>0</v>
      </c>
      <c r="N964" s="12">
        <f>_xlfn.XLOOKUP(B964,[1]Sheet1!$B:$B,[1]Sheet1!$Q:$Q,0)</f>
        <v>39240</v>
      </c>
      <c r="O964" s="12">
        <f>_xlfn.XLOOKUP(B964,[1]Sheet1!$B:$B,[1]Sheet1!$R:$R,0)</f>
        <v>9810</v>
      </c>
      <c r="P964" s="12">
        <f>_xlfn.XLOOKUP(B964,[1]Sheet1!$B:$B,[1]Sheet1!$S:$S,0)</f>
        <v>9810</v>
      </c>
      <c r="Q964" s="12">
        <f>_xlfn.XLOOKUP(B964,[1]Sheet1!$B:$B,[1]Sheet1!$T:$T,0)</f>
        <v>9810</v>
      </c>
      <c r="R964" s="12">
        <f>_xlfn.XLOOKUP(B964,[1]Sheet1!$B:$B,[1]Sheet1!$U:$U,0)</f>
        <v>9810</v>
      </c>
      <c r="S964" s="12">
        <f>_xlfn.XLOOKUP(B964,[1]Sheet1!$B:$B,[1]Sheet1!$V:$V,0)</f>
        <v>9810</v>
      </c>
      <c r="T964" s="12">
        <f>_xlfn.XLOOKUP(B964,[1]Sheet1!$B:$B,[1]Sheet1!$W:$W,0)</f>
        <v>9810</v>
      </c>
      <c r="U964" s="12">
        <f>_xlfn.XLOOKUP(B964,[1]Sheet1!$B:$B,[1]Sheet1!$X:$X,0)</f>
        <v>9810</v>
      </c>
      <c r="V964" s="12">
        <f>_xlfn.XLOOKUP(B964,[1]Sheet1!$B:$B,[1]Sheet1!$Y:$Y,0)</f>
        <v>9810</v>
      </c>
      <c r="W964" s="12">
        <f t="shared" ref="W964:W1027" si="33">SUM(K964:V964)</f>
        <v>117720</v>
      </c>
      <c r="X964" s="6" t="s">
        <v>72</v>
      </c>
      <c r="Y964" s="6" t="s">
        <v>65</v>
      </c>
      <c r="Z964" s="6" t="s">
        <v>66</v>
      </c>
      <c r="AA964" s="6" t="s">
        <v>71</v>
      </c>
      <c r="AB964" s="6" t="s">
        <v>36</v>
      </c>
      <c r="AC964" s="6" t="s">
        <v>37</v>
      </c>
      <c r="AD964" s="6" t="s">
        <v>69</v>
      </c>
      <c r="AE964" s="6" t="s">
        <v>39</v>
      </c>
      <c r="AF964" s="6" t="s">
        <v>40</v>
      </c>
      <c r="AG964" s="7">
        <v>117720</v>
      </c>
      <c r="AH964" s="11">
        <f>_xlfn.XLOOKUP(B964,[1]Sheet1!$B:$B,[1]Sheet1!$AB:$AB,0)</f>
        <v>117720</v>
      </c>
    </row>
    <row r="965" spans="2:34" ht="16.8" thickTop="1" thickBot="1" x14ac:dyDescent="0.35">
      <c r="B965" s="3" t="str">
        <f t="shared" si="32"/>
        <v>45112504511001261Admin Expenses-N1421125200104</v>
      </c>
      <c r="C965" s="8" t="s">
        <v>67</v>
      </c>
      <c r="D965" s="8" t="s">
        <v>1511</v>
      </c>
      <c r="E965" s="8" t="s">
        <v>1512</v>
      </c>
      <c r="F965" s="8" t="s">
        <v>73</v>
      </c>
      <c r="G965" s="4" t="s">
        <v>2803</v>
      </c>
      <c r="H965" s="4" t="s">
        <v>2922</v>
      </c>
      <c r="I965" s="8" t="s">
        <v>44</v>
      </c>
      <c r="J965" s="8" t="s">
        <v>31</v>
      </c>
      <c r="K965" s="12">
        <f>_xlfn.XLOOKUP(B965,[1]Sheet1!$B:$B,[1]Sheet1!$N:$N,0)</f>
        <v>0</v>
      </c>
      <c r="L965" s="12">
        <f>_xlfn.XLOOKUP(B965,[1]Sheet1!$B:$B,[1]Sheet1!$O:$O,0)</f>
        <v>0</v>
      </c>
      <c r="M965" s="12">
        <f>_xlfn.XLOOKUP(B965,[1]Sheet1!$B:$B,[1]Sheet1!$P:$P,0)</f>
        <v>0</v>
      </c>
      <c r="N965" s="12">
        <f>_xlfn.XLOOKUP(B965,[1]Sheet1!$B:$B,[1]Sheet1!$Q:$Q,0)</f>
        <v>54000</v>
      </c>
      <c r="O965" s="12">
        <f>_xlfn.XLOOKUP(B965,[1]Sheet1!$B:$B,[1]Sheet1!$R:$R,0)</f>
        <v>13500</v>
      </c>
      <c r="P965" s="12">
        <f>_xlfn.XLOOKUP(B965,[1]Sheet1!$B:$B,[1]Sheet1!$S:$S,0)</f>
        <v>13500</v>
      </c>
      <c r="Q965" s="12">
        <f>_xlfn.XLOOKUP(B965,[1]Sheet1!$B:$B,[1]Sheet1!$T:$T,0)</f>
        <v>13500</v>
      </c>
      <c r="R965" s="12">
        <f>_xlfn.XLOOKUP(B965,[1]Sheet1!$B:$B,[1]Sheet1!$U:$U,0)</f>
        <v>13500</v>
      </c>
      <c r="S965" s="12">
        <f>_xlfn.XLOOKUP(B965,[1]Sheet1!$B:$B,[1]Sheet1!$V:$V,0)</f>
        <v>13500</v>
      </c>
      <c r="T965" s="12">
        <f>_xlfn.XLOOKUP(B965,[1]Sheet1!$B:$B,[1]Sheet1!$W:$W,0)</f>
        <v>13500</v>
      </c>
      <c r="U965" s="12">
        <f>_xlfn.XLOOKUP(B965,[1]Sheet1!$B:$B,[1]Sheet1!$X:$X,0)</f>
        <v>13500</v>
      </c>
      <c r="V965" s="12">
        <f>_xlfn.XLOOKUP(B965,[1]Sheet1!$B:$B,[1]Sheet1!$Y:$Y,0)</f>
        <v>13500</v>
      </c>
      <c r="W965" s="12">
        <f t="shared" si="33"/>
        <v>162000</v>
      </c>
      <c r="X965" s="8" t="s">
        <v>74</v>
      </c>
      <c r="Y965" s="8" t="s">
        <v>65</v>
      </c>
      <c r="Z965" s="8" t="s">
        <v>66</v>
      </c>
      <c r="AA965" s="8" t="s">
        <v>44</v>
      </c>
      <c r="AB965" s="8" t="s">
        <v>36</v>
      </c>
      <c r="AC965" s="8" t="s">
        <v>37</v>
      </c>
      <c r="AD965" s="8" t="s">
        <v>69</v>
      </c>
      <c r="AE965" s="8" t="s">
        <v>39</v>
      </c>
      <c r="AF965" s="8" t="s">
        <v>40</v>
      </c>
      <c r="AG965" s="9">
        <v>162000</v>
      </c>
      <c r="AH965" s="11">
        <f>_xlfn.XLOOKUP(B965,[1]Sheet1!$B:$B,[1]Sheet1!$AB:$AB,0)</f>
        <v>162000</v>
      </c>
    </row>
    <row r="966" spans="2:34" ht="16.8" thickTop="1" thickBot="1" x14ac:dyDescent="0.35">
      <c r="B966" s="3" t="str">
        <f t="shared" si="32"/>
        <v>45112504511001261Cleaning Service-N422311200104</v>
      </c>
      <c r="C966" s="6" t="s">
        <v>67</v>
      </c>
      <c r="D966" s="6" t="s">
        <v>1511</v>
      </c>
      <c r="E966" s="6" t="s">
        <v>1512</v>
      </c>
      <c r="F966" s="6" t="s">
        <v>79</v>
      </c>
      <c r="G966" s="4" t="s">
        <v>2810</v>
      </c>
      <c r="H966" s="4" t="s">
        <v>2922</v>
      </c>
      <c r="I966" s="6" t="s">
        <v>80</v>
      </c>
      <c r="J966" s="6" t="s">
        <v>31</v>
      </c>
      <c r="K966" s="12">
        <f>_xlfn.XLOOKUP(B966,[1]Sheet1!$B:$B,[1]Sheet1!$N:$N,0)</f>
        <v>0</v>
      </c>
      <c r="L966" s="12">
        <f>_xlfn.XLOOKUP(B966,[1]Sheet1!$B:$B,[1]Sheet1!$O:$O,0)</f>
        <v>0</v>
      </c>
      <c r="M966" s="12">
        <f>_xlfn.XLOOKUP(B966,[1]Sheet1!$B:$B,[1]Sheet1!$P:$P,0)</f>
        <v>0</v>
      </c>
      <c r="N966" s="12">
        <f>_xlfn.XLOOKUP(B966,[1]Sheet1!$B:$B,[1]Sheet1!$Q:$Q,0)</f>
        <v>108000</v>
      </c>
      <c r="O966" s="12">
        <f>_xlfn.XLOOKUP(B966,[1]Sheet1!$B:$B,[1]Sheet1!$R:$R,0)</f>
        <v>0</v>
      </c>
      <c r="P966" s="12">
        <f>_xlfn.XLOOKUP(B966,[1]Sheet1!$B:$B,[1]Sheet1!$S:$S,0)</f>
        <v>0</v>
      </c>
      <c r="Q966" s="12">
        <f>_xlfn.XLOOKUP(B966,[1]Sheet1!$B:$B,[1]Sheet1!$T:$T,0)</f>
        <v>0</v>
      </c>
      <c r="R966" s="12">
        <f>_xlfn.XLOOKUP(B966,[1]Sheet1!$B:$B,[1]Sheet1!$U:$U,0)</f>
        <v>0</v>
      </c>
      <c r="S966" s="12">
        <f>_xlfn.XLOOKUP(B966,[1]Sheet1!$B:$B,[1]Sheet1!$V:$V,0)</f>
        <v>0</v>
      </c>
      <c r="T966" s="12">
        <f>_xlfn.XLOOKUP(B966,[1]Sheet1!$B:$B,[1]Sheet1!$W:$W,0)</f>
        <v>0</v>
      </c>
      <c r="U966" s="12">
        <f>_xlfn.XLOOKUP(B966,[1]Sheet1!$B:$B,[1]Sheet1!$X:$X,0)</f>
        <v>0</v>
      </c>
      <c r="V966" s="12">
        <f>_xlfn.XLOOKUP(B966,[1]Sheet1!$B:$B,[1]Sheet1!$Y:$Y,0)</f>
        <v>0</v>
      </c>
      <c r="W966" s="12">
        <f t="shared" si="33"/>
        <v>108000</v>
      </c>
      <c r="X966" s="6" t="s">
        <v>81</v>
      </c>
      <c r="Y966" s="6" t="s">
        <v>65</v>
      </c>
      <c r="Z966" s="6" t="s">
        <v>66</v>
      </c>
      <c r="AA966" s="6" t="s">
        <v>80</v>
      </c>
      <c r="AB966" s="6" t="s">
        <v>36</v>
      </c>
      <c r="AC966" s="6" t="s">
        <v>37</v>
      </c>
      <c r="AD966" s="6" t="s">
        <v>69</v>
      </c>
      <c r="AE966" s="6" t="s">
        <v>39</v>
      </c>
      <c r="AF966" s="6" t="s">
        <v>40</v>
      </c>
      <c r="AG966" s="7">
        <v>108000</v>
      </c>
      <c r="AH966" s="11">
        <f>_xlfn.XLOOKUP(B966,[1]Sheet1!$B:$B,[1]Sheet1!$AB:$AB,0)</f>
        <v>108000</v>
      </c>
    </row>
    <row r="967" spans="2:34" ht="16.8" thickTop="1" thickBot="1" x14ac:dyDescent="0.35">
      <c r="B967" s="3" t="str">
        <f t="shared" si="32"/>
        <v>45112504511001261Freelancers-N424521200104</v>
      </c>
      <c r="C967" s="8" t="s">
        <v>67</v>
      </c>
      <c r="D967" s="8" t="s">
        <v>1511</v>
      </c>
      <c r="E967" s="8" t="s">
        <v>1512</v>
      </c>
      <c r="F967" s="8" t="s">
        <v>50</v>
      </c>
      <c r="G967" s="4" t="s">
        <v>2804</v>
      </c>
      <c r="H967" s="4" t="s">
        <v>2922</v>
      </c>
      <c r="I967" s="8" t="s">
        <v>51</v>
      </c>
      <c r="J967" s="8" t="s">
        <v>31</v>
      </c>
      <c r="K967" s="12">
        <f>_xlfn.XLOOKUP(B967,[1]Sheet1!$B:$B,[1]Sheet1!$N:$N,0)</f>
        <v>0</v>
      </c>
      <c r="L967" s="12">
        <f>_xlfn.XLOOKUP(B967,[1]Sheet1!$B:$B,[1]Sheet1!$O:$O,0)</f>
        <v>0</v>
      </c>
      <c r="M967" s="12">
        <f>_xlfn.XLOOKUP(B967,[1]Sheet1!$B:$B,[1]Sheet1!$P:$P,0)</f>
        <v>84498.7</v>
      </c>
      <c r="N967" s="12">
        <f>_xlfn.XLOOKUP(B967,[1]Sheet1!$B:$B,[1]Sheet1!$Q:$Q,0)</f>
        <v>215501.3</v>
      </c>
      <c r="O967" s="12">
        <f>_xlfn.XLOOKUP(B967,[1]Sheet1!$B:$B,[1]Sheet1!$R:$R,0)</f>
        <v>14000</v>
      </c>
      <c r="P967" s="12">
        <f>_xlfn.XLOOKUP(B967,[1]Sheet1!$B:$B,[1]Sheet1!$S:$S,0)</f>
        <v>0</v>
      </c>
      <c r="Q967" s="12">
        <f>_xlfn.XLOOKUP(B967,[1]Sheet1!$B:$B,[1]Sheet1!$T:$T,0)</f>
        <v>0</v>
      </c>
      <c r="R967" s="12">
        <f>_xlfn.XLOOKUP(B967,[1]Sheet1!$B:$B,[1]Sheet1!$U:$U,0)</f>
        <v>0</v>
      </c>
      <c r="S967" s="12">
        <f>_xlfn.XLOOKUP(B967,[1]Sheet1!$B:$B,[1]Sheet1!$V:$V,0)</f>
        <v>0</v>
      </c>
      <c r="T967" s="12">
        <f>_xlfn.XLOOKUP(B967,[1]Sheet1!$B:$B,[1]Sheet1!$W:$W,0)</f>
        <v>0</v>
      </c>
      <c r="U967" s="12">
        <f>_xlfn.XLOOKUP(B967,[1]Sheet1!$B:$B,[1]Sheet1!$X:$X,0)</f>
        <v>0</v>
      </c>
      <c r="V967" s="12">
        <f>_xlfn.XLOOKUP(B967,[1]Sheet1!$B:$B,[1]Sheet1!$Y:$Y,0)</f>
        <v>0</v>
      </c>
      <c r="W967" s="12">
        <f t="shared" si="33"/>
        <v>314000</v>
      </c>
      <c r="X967" s="8" t="s">
        <v>82</v>
      </c>
      <c r="Y967" s="8" t="s">
        <v>65</v>
      </c>
      <c r="Z967" s="8" t="s">
        <v>66</v>
      </c>
      <c r="AA967" s="8" t="s">
        <v>53</v>
      </c>
      <c r="AB967" s="8" t="s">
        <v>36</v>
      </c>
      <c r="AC967" s="8" t="s">
        <v>37</v>
      </c>
      <c r="AD967" s="8" t="s">
        <v>69</v>
      </c>
      <c r="AE967" s="8" t="s">
        <v>39</v>
      </c>
      <c r="AF967" s="8" t="s">
        <v>40</v>
      </c>
      <c r="AG967" s="9">
        <v>314000</v>
      </c>
      <c r="AH967" s="11">
        <f>_xlfn.XLOOKUP(B967,[1]Sheet1!$B:$B,[1]Sheet1!$AB:$AB,0)</f>
        <v>314000</v>
      </c>
    </row>
    <row r="968" spans="2:34" ht="16.8" thickTop="1" thickBot="1" x14ac:dyDescent="0.35">
      <c r="B968" s="3" t="str">
        <f t="shared" si="32"/>
        <v>45112504511001261Hospitality-N424761200104</v>
      </c>
      <c r="C968" s="6" t="s">
        <v>67</v>
      </c>
      <c r="D968" s="6" t="s">
        <v>1511</v>
      </c>
      <c r="E968" s="6" t="s">
        <v>1512</v>
      </c>
      <c r="F968" s="6" t="s">
        <v>83</v>
      </c>
      <c r="G968" s="4" t="s">
        <v>2811</v>
      </c>
      <c r="H968" s="4" t="s">
        <v>2922</v>
      </c>
      <c r="I968" s="6" t="s">
        <v>84</v>
      </c>
      <c r="J968" s="6" t="s">
        <v>31</v>
      </c>
      <c r="K968" s="12">
        <f>_xlfn.XLOOKUP(B968,[1]Sheet1!$B:$B,[1]Sheet1!$N:$N,0)</f>
        <v>0</v>
      </c>
      <c r="L968" s="12">
        <f>_xlfn.XLOOKUP(B968,[1]Sheet1!$B:$B,[1]Sheet1!$O:$O,0)</f>
        <v>0</v>
      </c>
      <c r="M968" s="12">
        <f>_xlfn.XLOOKUP(B968,[1]Sheet1!$B:$B,[1]Sheet1!$P:$P,0)</f>
        <v>0</v>
      </c>
      <c r="N968" s="12">
        <f>_xlfn.XLOOKUP(B968,[1]Sheet1!$B:$B,[1]Sheet1!$Q:$Q,0)</f>
        <v>43939.360000000001</v>
      </c>
      <c r="O968" s="12">
        <f>_xlfn.XLOOKUP(B968,[1]Sheet1!$B:$B,[1]Sheet1!$R:$R,0)</f>
        <v>10984.69</v>
      </c>
      <c r="P968" s="12">
        <f>_xlfn.XLOOKUP(B968,[1]Sheet1!$B:$B,[1]Sheet1!$S:$S,0)</f>
        <v>10984.69</v>
      </c>
      <c r="Q968" s="12">
        <f>_xlfn.XLOOKUP(B968,[1]Sheet1!$B:$B,[1]Sheet1!$T:$T,0)</f>
        <v>10984.69</v>
      </c>
      <c r="R968" s="12">
        <f>_xlfn.XLOOKUP(B968,[1]Sheet1!$B:$B,[1]Sheet1!$U:$U,0)</f>
        <v>12746.69</v>
      </c>
      <c r="S968" s="12">
        <f>_xlfn.XLOOKUP(B968,[1]Sheet1!$B:$B,[1]Sheet1!$V:$V,0)</f>
        <v>0</v>
      </c>
      <c r="T968" s="12">
        <f>_xlfn.XLOOKUP(B968,[1]Sheet1!$B:$B,[1]Sheet1!$W:$W,0)</f>
        <v>0</v>
      </c>
      <c r="U968" s="12">
        <f>_xlfn.XLOOKUP(B968,[1]Sheet1!$B:$B,[1]Sheet1!$X:$X,0)</f>
        <v>0</v>
      </c>
      <c r="V968" s="12">
        <f>_xlfn.XLOOKUP(B968,[1]Sheet1!$B:$B,[1]Sheet1!$Y:$Y,0)</f>
        <v>0</v>
      </c>
      <c r="W968" s="12">
        <f t="shared" si="33"/>
        <v>89640.12000000001</v>
      </c>
      <c r="X968" s="6" t="s">
        <v>85</v>
      </c>
      <c r="Y968" s="6" t="s">
        <v>65</v>
      </c>
      <c r="Z968" s="6" t="s">
        <v>66</v>
      </c>
      <c r="AA968" s="6" t="s">
        <v>84</v>
      </c>
      <c r="AB968" s="6" t="s">
        <v>36</v>
      </c>
      <c r="AC968" s="6" t="s">
        <v>37</v>
      </c>
      <c r="AD968" s="6" t="s">
        <v>69</v>
      </c>
      <c r="AE968" s="6" t="s">
        <v>39</v>
      </c>
      <c r="AF968" s="6" t="s">
        <v>40</v>
      </c>
      <c r="AG968" s="7">
        <v>89640</v>
      </c>
      <c r="AH968" s="11">
        <f>_xlfn.XLOOKUP(B968,[1]Sheet1!$B:$B,[1]Sheet1!$AB:$AB,0)</f>
        <v>89640.12000000001</v>
      </c>
    </row>
    <row r="969" spans="2:34" ht="16.8" thickTop="1" thickBot="1" x14ac:dyDescent="0.35">
      <c r="B969" s="3" t="str">
        <f t="shared" si="32"/>
        <v>45112504511001261Landscaping-N432614200104</v>
      </c>
      <c r="C969" s="8" t="s">
        <v>67</v>
      </c>
      <c r="D969" s="8" t="s">
        <v>1511</v>
      </c>
      <c r="E969" s="8" t="s">
        <v>1512</v>
      </c>
      <c r="F969" s="8" t="s">
        <v>86</v>
      </c>
      <c r="G969" s="4" t="s">
        <v>2812</v>
      </c>
      <c r="H969" s="4" t="s">
        <v>2922</v>
      </c>
      <c r="I969" s="8" t="s">
        <v>87</v>
      </c>
      <c r="J969" s="8" t="s">
        <v>31</v>
      </c>
      <c r="K969" s="12">
        <f>_xlfn.XLOOKUP(B969,[1]Sheet1!$B:$B,[1]Sheet1!$N:$N,0)</f>
        <v>0</v>
      </c>
      <c r="L969" s="12">
        <f>_xlfn.XLOOKUP(B969,[1]Sheet1!$B:$B,[1]Sheet1!$O:$O,0)</f>
        <v>0</v>
      </c>
      <c r="M969" s="12">
        <f>_xlfn.XLOOKUP(B969,[1]Sheet1!$B:$B,[1]Sheet1!$P:$P,0)</f>
        <v>0</v>
      </c>
      <c r="N969" s="12">
        <f>_xlfn.XLOOKUP(B969,[1]Sheet1!$B:$B,[1]Sheet1!$Q:$Q,0)</f>
        <v>76571.92</v>
      </c>
      <c r="O969" s="12">
        <f>_xlfn.XLOOKUP(B969,[1]Sheet1!$B:$B,[1]Sheet1!$R:$R,0)</f>
        <v>0</v>
      </c>
      <c r="P969" s="12">
        <f>_xlfn.XLOOKUP(B969,[1]Sheet1!$B:$B,[1]Sheet1!$S:$S,0)</f>
        <v>0</v>
      </c>
      <c r="Q969" s="12">
        <f>_xlfn.XLOOKUP(B969,[1]Sheet1!$B:$B,[1]Sheet1!$T:$T,0)</f>
        <v>0</v>
      </c>
      <c r="R969" s="12">
        <f>_xlfn.XLOOKUP(B969,[1]Sheet1!$B:$B,[1]Sheet1!$U:$U,0)</f>
        <v>0</v>
      </c>
      <c r="S969" s="12">
        <f>_xlfn.XLOOKUP(B969,[1]Sheet1!$B:$B,[1]Sheet1!$V:$V,0)</f>
        <v>0</v>
      </c>
      <c r="T969" s="12">
        <f>_xlfn.XLOOKUP(B969,[1]Sheet1!$B:$B,[1]Sheet1!$W:$W,0)</f>
        <v>0</v>
      </c>
      <c r="U969" s="12">
        <f>_xlfn.XLOOKUP(B969,[1]Sheet1!$B:$B,[1]Sheet1!$X:$X,0)</f>
        <v>0</v>
      </c>
      <c r="V969" s="12">
        <f>_xlfn.XLOOKUP(B969,[1]Sheet1!$B:$B,[1]Sheet1!$Y:$Y,0)</f>
        <v>0</v>
      </c>
      <c r="W969" s="12">
        <f t="shared" si="33"/>
        <v>76571.92</v>
      </c>
      <c r="X969" s="8" t="s">
        <v>88</v>
      </c>
      <c r="Y969" s="8" t="s">
        <v>65</v>
      </c>
      <c r="Z969" s="8" t="s">
        <v>66</v>
      </c>
      <c r="AA969" s="8" t="s">
        <v>87</v>
      </c>
      <c r="AB969" s="8" t="s">
        <v>36</v>
      </c>
      <c r="AC969" s="8" t="s">
        <v>37</v>
      </c>
      <c r="AD969" s="8" t="s">
        <v>69</v>
      </c>
      <c r="AE969" s="8" t="s">
        <v>39</v>
      </c>
      <c r="AF969" s="8" t="s">
        <v>40</v>
      </c>
      <c r="AG969" s="9">
        <v>76572</v>
      </c>
      <c r="AH969" s="11">
        <f>_xlfn.XLOOKUP(B969,[1]Sheet1!$B:$B,[1]Sheet1!$AB:$AB,0)</f>
        <v>76571.92</v>
      </c>
    </row>
    <row r="970" spans="2:34" ht="16.8" thickTop="1" thickBot="1" x14ac:dyDescent="0.35">
      <c r="B970" s="3" t="str">
        <f t="shared" si="32"/>
        <v>45112504511001261Lease Improve-N490600300105</v>
      </c>
      <c r="C970" s="6" t="s">
        <v>67</v>
      </c>
      <c r="D970" s="6" t="s">
        <v>1511</v>
      </c>
      <c r="E970" s="6" t="s">
        <v>1512</v>
      </c>
      <c r="F970" s="6" t="s">
        <v>89</v>
      </c>
      <c r="G970" s="4" t="s">
        <v>2813</v>
      </c>
      <c r="H970" s="4" t="s">
        <v>2923</v>
      </c>
      <c r="I970" s="6" t="s">
        <v>90</v>
      </c>
      <c r="J970" s="6" t="s">
        <v>31</v>
      </c>
      <c r="K970" s="12">
        <f>_xlfn.XLOOKUP(B970,[1]Sheet1!$B:$B,[1]Sheet1!$N:$N,0)</f>
        <v>0</v>
      </c>
      <c r="L970" s="12">
        <f>_xlfn.XLOOKUP(B970,[1]Sheet1!$B:$B,[1]Sheet1!$O:$O,0)</f>
        <v>0</v>
      </c>
      <c r="M970" s="12">
        <f>_xlfn.XLOOKUP(B970,[1]Sheet1!$B:$B,[1]Sheet1!$P:$P,0)</f>
        <v>0</v>
      </c>
      <c r="N970" s="12">
        <f>_xlfn.XLOOKUP(B970,[1]Sheet1!$B:$B,[1]Sheet1!$Q:$Q,0)</f>
        <v>0</v>
      </c>
      <c r="O970" s="12">
        <f>_xlfn.XLOOKUP(B970,[1]Sheet1!$B:$B,[1]Sheet1!$R:$R,0)</f>
        <v>0</v>
      </c>
      <c r="P970" s="12">
        <f>_xlfn.XLOOKUP(B970,[1]Sheet1!$B:$B,[1]Sheet1!$S:$S,0)</f>
        <v>2249201</v>
      </c>
      <c r="Q970" s="12">
        <f>_xlfn.XLOOKUP(B970,[1]Sheet1!$B:$B,[1]Sheet1!$T:$T,0)</f>
        <v>0</v>
      </c>
      <c r="R970" s="12">
        <f>_xlfn.XLOOKUP(B970,[1]Sheet1!$B:$B,[1]Sheet1!$U:$U,0)</f>
        <v>0</v>
      </c>
      <c r="S970" s="12">
        <f>_xlfn.XLOOKUP(B970,[1]Sheet1!$B:$B,[1]Sheet1!$V:$V,0)</f>
        <v>0</v>
      </c>
      <c r="T970" s="12">
        <f>_xlfn.XLOOKUP(B970,[1]Sheet1!$B:$B,[1]Sheet1!$W:$W,0)</f>
        <v>0</v>
      </c>
      <c r="U970" s="12">
        <f>_xlfn.XLOOKUP(B970,[1]Sheet1!$B:$B,[1]Sheet1!$X:$X,0)</f>
        <v>0</v>
      </c>
      <c r="V970" s="12">
        <f>_xlfn.XLOOKUP(B970,[1]Sheet1!$B:$B,[1]Sheet1!$Y:$Y,0)</f>
        <v>2249201</v>
      </c>
      <c r="W970" s="12">
        <f t="shared" si="33"/>
        <v>4498402</v>
      </c>
      <c r="X970" s="6" t="s">
        <v>91</v>
      </c>
      <c r="Y970" s="6" t="s">
        <v>65</v>
      </c>
      <c r="Z970" s="6" t="s">
        <v>66</v>
      </c>
      <c r="AA970" s="6" t="s">
        <v>92</v>
      </c>
      <c r="AB970" s="6" t="s">
        <v>93</v>
      </c>
      <c r="AC970" s="6" t="s">
        <v>94</v>
      </c>
      <c r="AD970" s="6" t="s">
        <v>69</v>
      </c>
      <c r="AE970" s="6" t="s">
        <v>39</v>
      </c>
      <c r="AF970" s="6" t="s">
        <v>40</v>
      </c>
      <c r="AG970" s="7">
        <v>8883402</v>
      </c>
      <c r="AH970" s="11">
        <f>_xlfn.XLOOKUP(B970,[1]Sheet1!$B:$B,[1]Sheet1!$AB:$AB,0)</f>
        <v>8883402</v>
      </c>
    </row>
    <row r="971" spans="2:34" ht="16.8" thickTop="1" thickBot="1" x14ac:dyDescent="0.35">
      <c r="B971" s="3" t="str">
        <f t="shared" si="32"/>
        <v>45112504511001261Maintenance-N426212200104</v>
      </c>
      <c r="C971" s="8" t="s">
        <v>67</v>
      </c>
      <c r="D971" s="8" t="s">
        <v>1511</v>
      </c>
      <c r="E971" s="8" t="s">
        <v>1512</v>
      </c>
      <c r="F971" s="8" t="s">
        <v>95</v>
      </c>
      <c r="G971" s="4" t="s">
        <v>2814</v>
      </c>
      <c r="H971" s="4" t="s">
        <v>2922</v>
      </c>
      <c r="I971" s="8" t="s">
        <v>96</v>
      </c>
      <c r="J971" s="8" t="s">
        <v>31</v>
      </c>
      <c r="K971" s="12">
        <f>_xlfn.XLOOKUP(B971,[1]Sheet1!$B:$B,[1]Sheet1!$N:$N,0)</f>
        <v>0</v>
      </c>
      <c r="L971" s="12">
        <f>_xlfn.XLOOKUP(B971,[1]Sheet1!$B:$B,[1]Sheet1!$O:$O,0)</f>
        <v>0</v>
      </c>
      <c r="M971" s="12">
        <f>_xlfn.XLOOKUP(B971,[1]Sheet1!$B:$B,[1]Sheet1!$P:$P,0)</f>
        <v>0</v>
      </c>
      <c r="N971" s="12">
        <f>_xlfn.XLOOKUP(B971,[1]Sheet1!$B:$B,[1]Sheet1!$Q:$Q,0)</f>
        <v>154961.20000000001</v>
      </c>
      <c r="O971" s="12">
        <f>_xlfn.XLOOKUP(B971,[1]Sheet1!$B:$B,[1]Sheet1!$R:$R,0)</f>
        <v>38740.300000000003</v>
      </c>
      <c r="P971" s="12">
        <f>_xlfn.XLOOKUP(B971,[1]Sheet1!$B:$B,[1]Sheet1!$S:$S,0)</f>
        <v>26877.3</v>
      </c>
      <c r="Q971" s="12">
        <f>_xlfn.XLOOKUP(B971,[1]Sheet1!$B:$B,[1]Sheet1!$T:$T,0)</f>
        <v>0</v>
      </c>
      <c r="R971" s="12">
        <f>_xlfn.XLOOKUP(B971,[1]Sheet1!$B:$B,[1]Sheet1!$U:$U,0)</f>
        <v>0</v>
      </c>
      <c r="S971" s="12">
        <f>_xlfn.XLOOKUP(B971,[1]Sheet1!$B:$B,[1]Sheet1!$V:$V,0)</f>
        <v>0</v>
      </c>
      <c r="T971" s="12">
        <f>_xlfn.XLOOKUP(B971,[1]Sheet1!$B:$B,[1]Sheet1!$W:$W,0)</f>
        <v>0</v>
      </c>
      <c r="U971" s="12">
        <f>_xlfn.XLOOKUP(B971,[1]Sheet1!$B:$B,[1]Sheet1!$X:$X,0)</f>
        <v>0</v>
      </c>
      <c r="V971" s="12">
        <f>_xlfn.XLOOKUP(B971,[1]Sheet1!$B:$B,[1]Sheet1!$Y:$Y,0)</f>
        <v>0</v>
      </c>
      <c r="W971" s="12">
        <f t="shared" si="33"/>
        <v>220578.8</v>
      </c>
      <c r="X971" s="8" t="s">
        <v>97</v>
      </c>
      <c r="Y971" s="8" t="s">
        <v>65</v>
      </c>
      <c r="Z971" s="8" t="s">
        <v>66</v>
      </c>
      <c r="AA971" s="8" t="s">
        <v>96</v>
      </c>
      <c r="AB971" s="8" t="s">
        <v>36</v>
      </c>
      <c r="AC971" s="8" t="s">
        <v>37</v>
      </c>
      <c r="AD971" s="8" t="s">
        <v>69</v>
      </c>
      <c r="AE971" s="8" t="s">
        <v>39</v>
      </c>
      <c r="AF971" s="8" t="s">
        <v>40</v>
      </c>
      <c r="AG971" s="9">
        <v>220579.20000000001</v>
      </c>
      <c r="AH971" s="11">
        <f>_xlfn.XLOOKUP(B971,[1]Sheet1!$B:$B,[1]Sheet1!$AB:$AB,0)</f>
        <v>220578.8</v>
      </c>
    </row>
    <row r="972" spans="2:34" ht="16.8" thickTop="1" thickBot="1" x14ac:dyDescent="0.35">
      <c r="B972" s="3" t="str">
        <f t="shared" si="32"/>
        <v>45112504511001261Manpower-N424521200104</v>
      </c>
      <c r="C972" s="6" t="s">
        <v>67</v>
      </c>
      <c r="D972" s="6" t="s">
        <v>1511</v>
      </c>
      <c r="E972" s="6" t="s">
        <v>1512</v>
      </c>
      <c r="F972" s="6" t="s">
        <v>98</v>
      </c>
      <c r="G972" s="4" t="s">
        <v>2804</v>
      </c>
      <c r="H972" s="4" t="s">
        <v>2922</v>
      </c>
      <c r="I972" s="6" t="s">
        <v>51</v>
      </c>
      <c r="J972" s="6" t="s">
        <v>31</v>
      </c>
      <c r="K972" s="12">
        <f>_xlfn.XLOOKUP(B972,[1]Sheet1!$B:$B,[1]Sheet1!$N:$N,0)</f>
        <v>0</v>
      </c>
      <c r="L972" s="12">
        <f>_xlfn.XLOOKUP(B972,[1]Sheet1!$B:$B,[1]Sheet1!$O:$O,0)</f>
        <v>0</v>
      </c>
      <c r="M972" s="12">
        <f>_xlfn.XLOOKUP(B972,[1]Sheet1!$B:$B,[1]Sheet1!$P:$P,0)</f>
        <v>0</v>
      </c>
      <c r="N972" s="12">
        <f>_xlfn.XLOOKUP(B972,[1]Sheet1!$B:$B,[1]Sheet1!$Q:$Q,0)</f>
        <v>358155.24</v>
      </c>
      <c r="O972" s="12">
        <f>_xlfn.XLOOKUP(B972,[1]Sheet1!$B:$B,[1]Sheet1!$R:$R,0)</f>
        <v>179077.62</v>
      </c>
      <c r="P972" s="12">
        <f>_xlfn.XLOOKUP(B972,[1]Sheet1!$B:$B,[1]Sheet1!$S:$S,0)</f>
        <v>179077.62</v>
      </c>
      <c r="Q972" s="12">
        <f>_xlfn.XLOOKUP(B972,[1]Sheet1!$B:$B,[1]Sheet1!$T:$T,0)</f>
        <v>179077.62</v>
      </c>
      <c r="R972" s="12">
        <f>_xlfn.XLOOKUP(B972,[1]Sheet1!$B:$B,[1]Sheet1!$U:$U,0)</f>
        <v>179077.62</v>
      </c>
      <c r="S972" s="12">
        <f>_xlfn.XLOOKUP(B972,[1]Sheet1!$B:$B,[1]Sheet1!$V:$V,0)</f>
        <v>179077.62</v>
      </c>
      <c r="T972" s="12">
        <f>_xlfn.XLOOKUP(B972,[1]Sheet1!$B:$B,[1]Sheet1!$W:$W,0)</f>
        <v>179077.62</v>
      </c>
      <c r="U972" s="12">
        <f>_xlfn.XLOOKUP(B972,[1]Sheet1!$B:$B,[1]Sheet1!$X:$X,0)</f>
        <v>384921</v>
      </c>
      <c r="V972" s="12">
        <f>_xlfn.XLOOKUP(B972,[1]Sheet1!$B:$B,[1]Sheet1!$Y:$Y,0)</f>
        <v>384922</v>
      </c>
      <c r="W972" s="12">
        <f t="shared" si="33"/>
        <v>2202463.96</v>
      </c>
      <c r="X972" s="6" t="s">
        <v>82</v>
      </c>
      <c r="Y972" s="6" t="s">
        <v>65</v>
      </c>
      <c r="Z972" s="6" t="s">
        <v>66</v>
      </c>
      <c r="AA972" s="6" t="s">
        <v>53</v>
      </c>
      <c r="AB972" s="6" t="s">
        <v>36</v>
      </c>
      <c r="AC972" s="6" t="s">
        <v>37</v>
      </c>
      <c r="AD972" s="6" t="s">
        <v>69</v>
      </c>
      <c r="AE972" s="6" t="s">
        <v>39</v>
      </c>
      <c r="AF972" s="6" t="s">
        <v>40</v>
      </c>
      <c r="AG972" s="7">
        <v>2202464</v>
      </c>
      <c r="AH972" s="11">
        <f>_xlfn.XLOOKUP(B972,[1]Sheet1!$B:$B,[1]Sheet1!$AB:$AB,0)</f>
        <v>2202463.96</v>
      </c>
    </row>
    <row r="973" spans="2:34" ht="16.8" thickTop="1" thickBot="1" x14ac:dyDescent="0.35">
      <c r="B973" s="3" t="str">
        <f t="shared" si="32"/>
        <v>45112504511001261Pest Control-N422321200104</v>
      </c>
      <c r="C973" s="8" t="s">
        <v>67</v>
      </c>
      <c r="D973" s="8" t="s">
        <v>1511</v>
      </c>
      <c r="E973" s="8" t="s">
        <v>1512</v>
      </c>
      <c r="F973" s="8" t="s">
        <v>103</v>
      </c>
      <c r="G973" s="4" t="s">
        <v>2816</v>
      </c>
      <c r="H973" s="4" t="s">
        <v>2922</v>
      </c>
      <c r="I973" s="8" t="s">
        <v>104</v>
      </c>
      <c r="J973" s="8" t="s">
        <v>31</v>
      </c>
      <c r="K973" s="12">
        <f>_xlfn.XLOOKUP(B973,[1]Sheet1!$B:$B,[1]Sheet1!$N:$N,0)</f>
        <v>0</v>
      </c>
      <c r="L973" s="12">
        <f>_xlfn.XLOOKUP(B973,[1]Sheet1!$B:$B,[1]Sheet1!$O:$O,0)</f>
        <v>0</v>
      </c>
      <c r="M973" s="12">
        <f>_xlfn.XLOOKUP(B973,[1]Sheet1!$B:$B,[1]Sheet1!$P:$P,0)</f>
        <v>0</v>
      </c>
      <c r="N973" s="12">
        <f>_xlfn.XLOOKUP(B973,[1]Sheet1!$B:$B,[1]Sheet1!$Q:$Q,0)</f>
        <v>7500</v>
      </c>
      <c r="O973" s="12">
        <f>_xlfn.XLOOKUP(B973,[1]Sheet1!$B:$B,[1]Sheet1!$R:$R,0)</f>
        <v>1875</v>
      </c>
      <c r="P973" s="12">
        <f>_xlfn.XLOOKUP(B973,[1]Sheet1!$B:$B,[1]Sheet1!$S:$S,0)</f>
        <v>1875</v>
      </c>
      <c r="Q973" s="12">
        <f>_xlfn.XLOOKUP(B973,[1]Sheet1!$B:$B,[1]Sheet1!$T:$T,0)</f>
        <v>1875</v>
      </c>
      <c r="R973" s="12">
        <f>_xlfn.XLOOKUP(B973,[1]Sheet1!$B:$B,[1]Sheet1!$U:$U,0)</f>
        <v>1875</v>
      </c>
      <c r="S973" s="12">
        <f>_xlfn.XLOOKUP(B973,[1]Sheet1!$B:$B,[1]Sheet1!$V:$V,0)</f>
        <v>1875</v>
      </c>
      <c r="T973" s="12">
        <f>_xlfn.XLOOKUP(B973,[1]Sheet1!$B:$B,[1]Sheet1!$W:$W,0)</f>
        <v>1875</v>
      </c>
      <c r="U973" s="12">
        <f>_xlfn.XLOOKUP(B973,[1]Sheet1!$B:$B,[1]Sheet1!$X:$X,0)</f>
        <v>1875</v>
      </c>
      <c r="V973" s="12">
        <f>_xlfn.XLOOKUP(B973,[1]Sheet1!$B:$B,[1]Sheet1!$Y:$Y,0)</f>
        <v>1874</v>
      </c>
      <c r="W973" s="12">
        <f t="shared" si="33"/>
        <v>22499</v>
      </c>
      <c r="X973" s="8" t="s">
        <v>105</v>
      </c>
      <c r="Y973" s="8" t="s">
        <v>65</v>
      </c>
      <c r="Z973" s="8" t="s">
        <v>66</v>
      </c>
      <c r="AA973" s="8" t="s">
        <v>106</v>
      </c>
      <c r="AB973" s="8" t="s">
        <v>36</v>
      </c>
      <c r="AC973" s="8" t="s">
        <v>37</v>
      </c>
      <c r="AD973" s="8" t="s">
        <v>69</v>
      </c>
      <c r="AE973" s="8" t="s">
        <v>39</v>
      </c>
      <c r="AF973" s="8" t="s">
        <v>40</v>
      </c>
      <c r="AG973" s="9">
        <v>22500</v>
      </c>
      <c r="AH973" s="11">
        <f>_xlfn.XLOOKUP(B973,[1]Sheet1!$B:$B,[1]Sheet1!$AB:$AB,0)</f>
        <v>22499</v>
      </c>
    </row>
    <row r="974" spans="2:34" ht="16.8" thickTop="1" thickBot="1" x14ac:dyDescent="0.35">
      <c r="B974" s="3" t="str">
        <f t="shared" si="32"/>
        <v>45115504511001261SM Managnt E-E-N422511200104</v>
      </c>
      <c r="C974" s="6" t="s">
        <v>154</v>
      </c>
      <c r="D974" s="6" t="s">
        <v>1511</v>
      </c>
      <c r="E974" s="6" t="s">
        <v>1512</v>
      </c>
      <c r="F974" s="6" t="s">
        <v>255</v>
      </c>
      <c r="G974" s="4" t="s">
        <v>2819</v>
      </c>
      <c r="H974" s="4" t="s">
        <v>2922</v>
      </c>
      <c r="I974" s="6" t="s">
        <v>151</v>
      </c>
      <c r="J974" s="6" t="s">
        <v>31</v>
      </c>
      <c r="K974" s="12">
        <f>_xlfn.XLOOKUP(B974,[1]Sheet1!$B:$B,[1]Sheet1!$N:$N,0)</f>
        <v>0</v>
      </c>
      <c r="L974" s="12">
        <f>_xlfn.XLOOKUP(B974,[1]Sheet1!$B:$B,[1]Sheet1!$O:$O,0)</f>
        <v>0</v>
      </c>
      <c r="M974" s="12">
        <f>_xlfn.XLOOKUP(B974,[1]Sheet1!$B:$B,[1]Sheet1!$P:$P,0)</f>
        <v>0</v>
      </c>
      <c r="N974" s="12">
        <f>_xlfn.XLOOKUP(B974,[1]Sheet1!$B:$B,[1]Sheet1!$Q:$Q,0)</f>
        <v>0</v>
      </c>
      <c r="O974" s="12">
        <f>_xlfn.XLOOKUP(B974,[1]Sheet1!$B:$B,[1]Sheet1!$R:$R,0)</f>
        <v>0</v>
      </c>
      <c r="P974" s="12">
        <f>_xlfn.XLOOKUP(B974,[1]Sheet1!$B:$B,[1]Sheet1!$S:$S,0)</f>
        <v>0</v>
      </c>
      <c r="Q974" s="12">
        <f>_xlfn.XLOOKUP(B974,[1]Sheet1!$B:$B,[1]Sheet1!$T:$T,0)</f>
        <v>0</v>
      </c>
      <c r="R974" s="12">
        <f>_xlfn.XLOOKUP(B974,[1]Sheet1!$B:$B,[1]Sheet1!$U:$U,0)</f>
        <v>0</v>
      </c>
      <c r="S974" s="12">
        <f>_xlfn.XLOOKUP(B974,[1]Sheet1!$B:$B,[1]Sheet1!$V:$V,0)</f>
        <v>0</v>
      </c>
      <c r="T974" s="12">
        <f>_xlfn.XLOOKUP(B974,[1]Sheet1!$B:$B,[1]Sheet1!$W:$W,0)</f>
        <v>0</v>
      </c>
      <c r="U974" s="12">
        <f>_xlfn.XLOOKUP(B974,[1]Sheet1!$B:$B,[1]Sheet1!$X:$X,0)</f>
        <v>0</v>
      </c>
      <c r="V974" s="12">
        <f>_xlfn.XLOOKUP(B974,[1]Sheet1!$B:$B,[1]Sheet1!$Y:$Y,0)</f>
        <v>9997.6200000009994</v>
      </c>
      <c r="W974" s="12">
        <f t="shared" si="33"/>
        <v>9997.6200000009994</v>
      </c>
      <c r="X974" s="6" t="s">
        <v>152</v>
      </c>
      <c r="Y974" s="6" t="s">
        <v>65</v>
      </c>
      <c r="Z974" s="6" t="s">
        <v>153</v>
      </c>
      <c r="AA974" s="6" t="s">
        <v>151</v>
      </c>
      <c r="AB974" s="6" t="s">
        <v>36</v>
      </c>
      <c r="AC974" s="6" t="s">
        <v>37</v>
      </c>
      <c r="AD974" s="6" t="s">
        <v>69</v>
      </c>
      <c r="AE974" s="6" t="s">
        <v>39</v>
      </c>
      <c r="AF974" s="6" t="s">
        <v>40</v>
      </c>
      <c r="AG974" s="7">
        <v>9998</v>
      </c>
      <c r="AH974" s="11">
        <f>_xlfn.XLOOKUP(B974,[1]Sheet1!$B:$B,[1]Sheet1!$AB:$AB,0)</f>
        <v>9997.6200000009994</v>
      </c>
    </row>
    <row r="975" spans="2:34" ht="16.8" thickTop="1" thickBot="1" x14ac:dyDescent="0.35">
      <c r="B975" s="3" t="str">
        <f t="shared" si="32"/>
        <v>45112504511001261Security Service-N424551200104</v>
      </c>
      <c r="C975" s="8" t="s">
        <v>67</v>
      </c>
      <c r="D975" s="8" t="s">
        <v>1511</v>
      </c>
      <c r="E975" s="8" t="s">
        <v>1512</v>
      </c>
      <c r="F975" s="8" t="s">
        <v>107</v>
      </c>
      <c r="G975" s="4" t="s">
        <v>2817</v>
      </c>
      <c r="H975" s="4" t="s">
        <v>2922</v>
      </c>
      <c r="I975" s="8" t="s">
        <v>108</v>
      </c>
      <c r="J975" s="8" t="s">
        <v>31</v>
      </c>
      <c r="K975" s="12">
        <f>_xlfn.XLOOKUP(B975,[1]Sheet1!$B:$B,[1]Sheet1!$N:$N,0)</f>
        <v>0</v>
      </c>
      <c r="L975" s="12">
        <f>_xlfn.XLOOKUP(B975,[1]Sheet1!$B:$B,[1]Sheet1!$O:$O,0)</f>
        <v>0</v>
      </c>
      <c r="M975" s="12">
        <f>_xlfn.XLOOKUP(B975,[1]Sheet1!$B:$B,[1]Sheet1!$P:$P,0)</f>
        <v>0</v>
      </c>
      <c r="N975" s="12">
        <f>_xlfn.XLOOKUP(B975,[1]Sheet1!$B:$B,[1]Sheet1!$Q:$Q,0)</f>
        <v>128820</v>
      </c>
      <c r="O975" s="12">
        <f>_xlfn.XLOOKUP(B975,[1]Sheet1!$B:$B,[1]Sheet1!$R:$R,0)</f>
        <v>32205</v>
      </c>
      <c r="P975" s="12">
        <f>_xlfn.XLOOKUP(B975,[1]Sheet1!$B:$B,[1]Sheet1!$S:$S,0)</f>
        <v>32205</v>
      </c>
      <c r="Q975" s="12">
        <f>_xlfn.XLOOKUP(B975,[1]Sheet1!$B:$B,[1]Sheet1!$T:$T,0)</f>
        <v>32205</v>
      </c>
      <c r="R975" s="12">
        <f>_xlfn.XLOOKUP(B975,[1]Sheet1!$B:$B,[1]Sheet1!$U:$U,0)</f>
        <v>32205</v>
      </c>
      <c r="S975" s="12">
        <f>_xlfn.XLOOKUP(B975,[1]Sheet1!$B:$B,[1]Sheet1!$V:$V,0)</f>
        <v>32205</v>
      </c>
      <c r="T975" s="12">
        <f>_xlfn.XLOOKUP(B975,[1]Sheet1!$B:$B,[1]Sheet1!$W:$W,0)</f>
        <v>33259</v>
      </c>
      <c r="U975" s="12">
        <f>_xlfn.XLOOKUP(B975,[1]Sheet1!$B:$B,[1]Sheet1!$X:$X,0)</f>
        <v>0</v>
      </c>
      <c r="V975" s="12">
        <f>_xlfn.XLOOKUP(B975,[1]Sheet1!$B:$B,[1]Sheet1!$Y:$Y,0)</f>
        <v>0</v>
      </c>
      <c r="W975" s="12">
        <f t="shared" si="33"/>
        <v>323104</v>
      </c>
      <c r="X975" s="8" t="s">
        <v>109</v>
      </c>
      <c r="Y975" s="8" t="s">
        <v>65</v>
      </c>
      <c r="Z975" s="8" t="s">
        <v>66</v>
      </c>
      <c r="AA975" s="8" t="s">
        <v>108</v>
      </c>
      <c r="AB975" s="8" t="s">
        <v>36</v>
      </c>
      <c r="AC975" s="8" t="s">
        <v>37</v>
      </c>
      <c r="AD975" s="8" t="s">
        <v>69</v>
      </c>
      <c r="AE975" s="8" t="s">
        <v>39</v>
      </c>
      <c r="AF975" s="8" t="s">
        <v>40</v>
      </c>
      <c r="AG975" s="9">
        <v>323103.59999999998</v>
      </c>
      <c r="AH975" s="11">
        <f>_xlfn.XLOOKUP(B975,[1]Sheet1!$B:$B,[1]Sheet1!$AB:$AB,0)</f>
        <v>323104</v>
      </c>
    </row>
    <row r="976" spans="2:34" ht="16.8" thickTop="1" thickBot="1" x14ac:dyDescent="0.35">
      <c r="B976" s="3" t="str">
        <f t="shared" si="32"/>
        <v>45112504511001261Utilities-N423931200104</v>
      </c>
      <c r="C976" s="6" t="s">
        <v>67</v>
      </c>
      <c r="D976" s="6" t="s">
        <v>1511</v>
      </c>
      <c r="E976" s="6" t="s">
        <v>1512</v>
      </c>
      <c r="F976" s="6" t="s">
        <v>110</v>
      </c>
      <c r="G976" s="4" t="s">
        <v>2818</v>
      </c>
      <c r="H976" s="4" t="s">
        <v>2922</v>
      </c>
      <c r="I976" s="6" t="s">
        <v>111</v>
      </c>
      <c r="J976" s="6" t="s">
        <v>31</v>
      </c>
      <c r="K976" s="12">
        <f>_xlfn.XLOOKUP(B976,[1]Sheet1!$B:$B,[1]Sheet1!$N:$N,0)</f>
        <v>0</v>
      </c>
      <c r="L976" s="12">
        <f>_xlfn.XLOOKUP(B976,[1]Sheet1!$B:$B,[1]Sheet1!$O:$O,0)</f>
        <v>0</v>
      </c>
      <c r="M976" s="12">
        <f>_xlfn.XLOOKUP(B976,[1]Sheet1!$B:$B,[1]Sheet1!$P:$P,0)</f>
        <v>0</v>
      </c>
      <c r="N976" s="12">
        <f>_xlfn.XLOOKUP(B976,[1]Sheet1!$B:$B,[1]Sheet1!$Q:$Q,0)</f>
        <v>82500</v>
      </c>
      <c r="O976" s="12">
        <f>_xlfn.XLOOKUP(B976,[1]Sheet1!$B:$B,[1]Sheet1!$R:$R,0)</f>
        <v>20625</v>
      </c>
      <c r="P976" s="12">
        <f>_xlfn.XLOOKUP(B976,[1]Sheet1!$B:$B,[1]Sheet1!$S:$S,0)</f>
        <v>20625</v>
      </c>
      <c r="Q976" s="12">
        <f>_xlfn.XLOOKUP(B976,[1]Sheet1!$B:$B,[1]Sheet1!$T:$T,0)</f>
        <v>20625</v>
      </c>
      <c r="R976" s="12">
        <f>_xlfn.XLOOKUP(B976,[1]Sheet1!$B:$B,[1]Sheet1!$U:$U,0)</f>
        <v>20625</v>
      </c>
      <c r="S976" s="12">
        <f>_xlfn.XLOOKUP(B976,[1]Sheet1!$B:$B,[1]Sheet1!$V:$V,0)</f>
        <v>20625</v>
      </c>
      <c r="T976" s="12">
        <f>_xlfn.XLOOKUP(B976,[1]Sheet1!$B:$B,[1]Sheet1!$W:$W,0)</f>
        <v>20625</v>
      </c>
      <c r="U976" s="12">
        <f>_xlfn.XLOOKUP(B976,[1]Sheet1!$B:$B,[1]Sheet1!$X:$X,0)</f>
        <v>20625</v>
      </c>
      <c r="V976" s="12">
        <f>_xlfn.XLOOKUP(B976,[1]Sheet1!$B:$B,[1]Sheet1!$Y:$Y,0)</f>
        <v>20625</v>
      </c>
      <c r="W976" s="12">
        <f t="shared" si="33"/>
        <v>247500</v>
      </c>
      <c r="X976" s="6" t="s">
        <v>112</v>
      </c>
      <c r="Y976" s="6" t="s">
        <v>65</v>
      </c>
      <c r="Z976" s="6" t="s">
        <v>66</v>
      </c>
      <c r="AA976" s="6" t="s">
        <v>111</v>
      </c>
      <c r="AB976" s="6" t="s">
        <v>36</v>
      </c>
      <c r="AC976" s="6" t="s">
        <v>37</v>
      </c>
      <c r="AD976" s="6" t="s">
        <v>69</v>
      </c>
      <c r="AE976" s="6" t="s">
        <v>39</v>
      </c>
      <c r="AF976" s="6" t="s">
        <v>40</v>
      </c>
      <c r="AG976" s="7">
        <v>247500</v>
      </c>
      <c r="AH976" s="11">
        <f>_xlfn.XLOOKUP(B976,[1]Sheet1!$B:$B,[1]Sheet1!$AB:$AB,0)</f>
        <v>247500</v>
      </c>
    </row>
    <row r="977" spans="2:34" ht="16.8" thickTop="1" thickBot="1" x14ac:dyDescent="0.35">
      <c r="B977" s="3" t="str">
        <f t="shared" si="32"/>
        <v>45112504511001263Ad-hoc Repairs-N426427200104</v>
      </c>
      <c r="C977" s="8" t="s">
        <v>67</v>
      </c>
      <c r="D977" s="8" t="s">
        <v>1513</v>
      </c>
      <c r="E977" s="8" t="s">
        <v>1514</v>
      </c>
      <c r="F977" s="8" t="s">
        <v>70</v>
      </c>
      <c r="G977" s="4" t="s">
        <v>2808</v>
      </c>
      <c r="H977" s="4" t="s">
        <v>2922</v>
      </c>
      <c r="I977" s="8" t="s">
        <v>71</v>
      </c>
      <c r="J977" s="8" t="s">
        <v>31</v>
      </c>
      <c r="K977" s="12">
        <f>_xlfn.XLOOKUP(B977,[1]Sheet1!$B:$B,[1]Sheet1!$N:$N,0)</f>
        <v>0</v>
      </c>
      <c r="L977" s="12">
        <f>_xlfn.XLOOKUP(B977,[1]Sheet1!$B:$B,[1]Sheet1!$O:$O,0)</f>
        <v>0</v>
      </c>
      <c r="M977" s="12">
        <f>_xlfn.XLOOKUP(B977,[1]Sheet1!$B:$B,[1]Sheet1!$P:$P,0)</f>
        <v>0</v>
      </c>
      <c r="N977" s="12">
        <f>_xlfn.XLOOKUP(B977,[1]Sheet1!$B:$B,[1]Sheet1!$Q:$Q,0)</f>
        <v>24436</v>
      </c>
      <c r="O977" s="12">
        <f>_xlfn.XLOOKUP(B977,[1]Sheet1!$B:$B,[1]Sheet1!$R:$R,0)</f>
        <v>6109</v>
      </c>
      <c r="P977" s="12">
        <f>_xlfn.XLOOKUP(B977,[1]Sheet1!$B:$B,[1]Sheet1!$S:$S,0)</f>
        <v>6109</v>
      </c>
      <c r="Q977" s="12">
        <f>_xlfn.XLOOKUP(B977,[1]Sheet1!$B:$B,[1]Sheet1!$T:$T,0)</f>
        <v>6109</v>
      </c>
      <c r="R977" s="12">
        <f>_xlfn.XLOOKUP(B977,[1]Sheet1!$B:$B,[1]Sheet1!$U:$U,0)</f>
        <v>6109</v>
      </c>
      <c r="S977" s="12">
        <f>_xlfn.XLOOKUP(B977,[1]Sheet1!$B:$B,[1]Sheet1!$V:$V,0)</f>
        <v>6109</v>
      </c>
      <c r="T977" s="12">
        <f>_xlfn.XLOOKUP(B977,[1]Sheet1!$B:$B,[1]Sheet1!$W:$W,0)</f>
        <v>6109</v>
      </c>
      <c r="U977" s="12">
        <f>_xlfn.XLOOKUP(B977,[1]Sheet1!$B:$B,[1]Sheet1!$X:$X,0)</f>
        <v>6109</v>
      </c>
      <c r="V977" s="12">
        <f>_xlfn.XLOOKUP(B977,[1]Sheet1!$B:$B,[1]Sheet1!$Y:$Y,0)</f>
        <v>6110</v>
      </c>
      <c r="W977" s="12">
        <f t="shared" si="33"/>
        <v>73309</v>
      </c>
      <c r="X977" s="8" t="s">
        <v>72</v>
      </c>
      <c r="Y977" s="8" t="s">
        <v>65</v>
      </c>
      <c r="Z977" s="8" t="s">
        <v>66</v>
      </c>
      <c r="AA977" s="8" t="s">
        <v>71</v>
      </c>
      <c r="AB977" s="8" t="s">
        <v>36</v>
      </c>
      <c r="AC977" s="8" t="s">
        <v>37</v>
      </c>
      <c r="AD977" s="8" t="s">
        <v>69</v>
      </c>
      <c r="AE977" s="8" t="s">
        <v>39</v>
      </c>
      <c r="AF977" s="8" t="s">
        <v>40</v>
      </c>
      <c r="AG977" s="9">
        <v>73310</v>
      </c>
      <c r="AH977" s="11">
        <f>_xlfn.XLOOKUP(B977,[1]Sheet1!$B:$B,[1]Sheet1!$AB:$AB,0)</f>
        <v>73309</v>
      </c>
    </row>
    <row r="978" spans="2:34" ht="16.8" thickTop="1" thickBot="1" x14ac:dyDescent="0.35">
      <c r="B978" s="3" t="str">
        <f t="shared" si="32"/>
        <v>45112504511001263Cleaning Service-N422311200104</v>
      </c>
      <c r="C978" s="6" t="s">
        <v>67</v>
      </c>
      <c r="D978" s="6" t="s">
        <v>1513</v>
      </c>
      <c r="E978" s="6" t="s">
        <v>1514</v>
      </c>
      <c r="F978" s="6" t="s">
        <v>79</v>
      </c>
      <c r="G978" s="4" t="s">
        <v>2810</v>
      </c>
      <c r="H978" s="4" t="s">
        <v>2922</v>
      </c>
      <c r="I978" s="6" t="s">
        <v>80</v>
      </c>
      <c r="J978" s="6" t="s">
        <v>31</v>
      </c>
      <c r="K978" s="12">
        <f>_xlfn.XLOOKUP(B978,[1]Sheet1!$B:$B,[1]Sheet1!$N:$N,0)</f>
        <v>0</v>
      </c>
      <c r="L978" s="12">
        <f>_xlfn.XLOOKUP(B978,[1]Sheet1!$B:$B,[1]Sheet1!$O:$O,0)</f>
        <v>0</v>
      </c>
      <c r="M978" s="12">
        <f>_xlfn.XLOOKUP(B978,[1]Sheet1!$B:$B,[1]Sheet1!$P:$P,0)</f>
        <v>0</v>
      </c>
      <c r="N978" s="12">
        <f>_xlfn.XLOOKUP(B978,[1]Sheet1!$B:$B,[1]Sheet1!$Q:$Q,0)</f>
        <v>15741</v>
      </c>
      <c r="O978" s="12">
        <f>_xlfn.XLOOKUP(B978,[1]Sheet1!$B:$B,[1]Sheet1!$R:$R,0)</f>
        <v>3935</v>
      </c>
      <c r="P978" s="12">
        <f>_xlfn.XLOOKUP(B978,[1]Sheet1!$B:$B,[1]Sheet1!$S:$S,0)</f>
        <v>3935</v>
      </c>
      <c r="Q978" s="12">
        <f>_xlfn.XLOOKUP(B978,[1]Sheet1!$B:$B,[1]Sheet1!$T:$T,0)</f>
        <v>3935</v>
      </c>
      <c r="R978" s="12">
        <f>_xlfn.XLOOKUP(B978,[1]Sheet1!$B:$B,[1]Sheet1!$U:$U,0)</f>
        <v>3935</v>
      </c>
      <c r="S978" s="12">
        <f>_xlfn.XLOOKUP(B978,[1]Sheet1!$B:$B,[1]Sheet1!$V:$V,0)</f>
        <v>3935</v>
      </c>
      <c r="T978" s="12">
        <f>_xlfn.XLOOKUP(B978,[1]Sheet1!$B:$B,[1]Sheet1!$W:$W,0)</f>
        <v>3935</v>
      </c>
      <c r="U978" s="12">
        <f>_xlfn.XLOOKUP(B978,[1]Sheet1!$B:$B,[1]Sheet1!$X:$X,0)</f>
        <v>3935</v>
      </c>
      <c r="V978" s="12">
        <f>_xlfn.XLOOKUP(B978,[1]Sheet1!$B:$B,[1]Sheet1!$Y:$Y,0)</f>
        <v>3936</v>
      </c>
      <c r="W978" s="12">
        <f t="shared" si="33"/>
        <v>47222</v>
      </c>
      <c r="X978" s="6" t="s">
        <v>81</v>
      </c>
      <c r="Y978" s="6" t="s">
        <v>65</v>
      </c>
      <c r="Z978" s="6" t="s">
        <v>66</v>
      </c>
      <c r="AA978" s="6" t="s">
        <v>80</v>
      </c>
      <c r="AB978" s="6" t="s">
        <v>36</v>
      </c>
      <c r="AC978" s="6" t="s">
        <v>37</v>
      </c>
      <c r="AD978" s="6" t="s">
        <v>69</v>
      </c>
      <c r="AE978" s="6" t="s">
        <v>39</v>
      </c>
      <c r="AF978" s="6" t="s">
        <v>40</v>
      </c>
      <c r="AG978" s="7">
        <v>47222.1</v>
      </c>
      <c r="AH978" s="11">
        <f>_xlfn.XLOOKUP(B978,[1]Sheet1!$B:$B,[1]Sheet1!$AB:$AB,0)</f>
        <v>47222</v>
      </c>
    </row>
    <row r="979" spans="2:34" ht="16.8" thickTop="1" thickBot="1" x14ac:dyDescent="0.35">
      <c r="B979" s="3" t="str">
        <f t="shared" si="32"/>
        <v>45112504511001263Landscaping-N432614200104</v>
      </c>
      <c r="C979" s="8" t="s">
        <v>67</v>
      </c>
      <c r="D979" s="8" t="s">
        <v>1513</v>
      </c>
      <c r="E979" s="8" t="s">
        <v>1514</v>
      </c>
      <c r="F979" s="8" t="s">
        <v>86</v>
      </c>
      <c r="G979" s="4" t="s">
        <v>2812</v>
      </c>
      <c r="H979" s="4" t="s">
        <v>2922</v>
      </c>
      <c r="I979" s="8" t="s">
        <v>87</v>
      </c>
      <c r="J979" s="8" t="s">
        <v>31</v>
      </c>
      <c r="K979" s="12">
        <f>_xlfn.XLOOKUP(B979,[1]Sheet1!$B:$B,[1]Sheet1!$N:$N,0)</f>
        <v>0</v>
      </c>
      <c r="L979" s="12">
        <f>_xlfn.XLOOKUP(B979,[1]Sheet1!$B:$B,[1]Sheet1!$O:$O,0)</f>
        <v>0</v>
      </c>
      <c r="M979" s="12">
        <f>_xlfn.XLOOKUP(B979,[1]Sheet1!$B:$B,[1]Sheet1!$P:$P,0)</f>
        <v>0</v>
      </c>
      <c r="N979" s="12">
        <f>_xlfn.XLOOKUP(B979,[1]Sheet1!$B:$B,[1]Sheet1!$Q:$Q,0)</f>
        <v>15208</v>
      </c>
      <c r="O979" s="12">
        <f>_xlfn.XLOOKUP(B979,[1]Sheet1!$B:$B,[1]Sheet1!$R:$R,0)</f>
        <v>3802</v>
      </c>
      <c r="P979" s="12">
        <f>_xlfn.XLOOKUP(B979,[1]Sheet1!$B:$B,[1]Sheet1!$S:$S,0)</f>
        <v>3802</v>
      </c>
      <c r="Q979" s="12">
        <f>_xlfn.XLOOKUP(B979,[1]Sheet1!$B:$B,[1]Sheet1!$T:$T,0)</f>
        <v>3802</v>
      </c>
      <c r="R979" s="12">
        <f>_xlfn.XLOOKUP(B979,[1]Sheet1!$B:$B,[1]Sheet1!$U:$U,0)</f>
        <v>3802</v>
      </c>
      <c r="S979" s="12">
        <f>_xlfn.XLOOKUP(B979,[1]Sheet1!$B:$B,[1]Sheet1!$V:$V,0)</f>
        <v>3802</v>
      </c>
      <c r="T979" s="12">
        <f>_xlfn.XLOOKUP(B979,[1]Sheet1!$B:$B,[1]Sheet1!$W:$W,0)</f>
        <v>3802</v>
      </c>
      <c r="U979" s="12">
        <f>_xlfn.XLOOKUP(B979,[1]Sheet1!$B:$B,[1]Sheet1!$X:$X,0)</f>
        <v>3802</v>
      </c>
      <c r="V979" s="12">
        <f>_xlfn.XLOOKUP(B979,[1]Sheet1!$B:$B,[1]Sheet1!$Y:$Y,0)</f>
        <v>3803</v>
      </c>
      <c r="W979" s="12">
        <f t="shared" si="33"/>
        <v>45625</v>
      </c>
      <c r="X979" s="8" t="s">
        <v>88</v>
      </c>
      <c r="Y979" s="8" t="s">
        <v>65</v>
      </c>
      <c r="Z979" s="8" t="s">
        <v>66</v>
      </c>
      <c r="AA979" s="8" t="s">
        <v>87</v>
      </c>
      <c r="AB979" s="8" t="s">
        <v>36</v>
      </c>
      <c r="AC979" s="8" t="s">
        <v>37</v>
      </c>
      <c r="AD979" s="8" t="s">
        <v>69</v>
      </c>
      <c r="AE979" s="8" t="s">
        <v>39</v>
      </c>
      <c r="AF979" s="8" t="s">
        <v>40</v>
      </c>
      <c r="AG979" s="9">
        <v>45624.44</v>
      </c>
      <c r="AH979" s="11">
        <f>_xlfn.XLOOKUP(B979,[1]Sheet1!$B:$B,[1]Sheet1!$AB:$AB,0)</f>
        <v>45625</v>
      </c>
    </row>
    <row r="980" spans="2:34" ht="16.8" thickTop="1" thickBot="1" x14ac:dyDescent="0.35">
      <c r="B980" s="3" t="str">
        <f t="shared" si="32"/>
        <v>45112504511001263Maintenance-N426212200104</v>
      </c>
      <c r="C980" s="6" t="s">
        <v>67</v>
      </c>
      <c r="D980" s="6" t="s">
        <v>1513</v>
      </c>
      <c r="E980" s="6" t="s">
        <v>1514</v>
      </c>
      <c r="F980" s="6" t="s">
        <v>95</v>
      </c>
      <c r="G980" s="4" t="s">
        <v>2814</v>
      </c>
      <c r="H980" s="4" t="s">
        <v>2922</v>
      </c>
      <c r="I980" s="6" t="s">
        <v>96</v>
      </c>
      <c r="J980" s="6" t="s">
        <v>31</v>
      </c>
      <c r="K980" s="12">
        <f>_xlfn.XLOOKUP(B980,[1]Sheet1!$B:$B,[1]Sheet1!$N:$N,0)</f>
        <v>0</v>
      </c>
      <c r="L980" s="12">
        <f>_xlfn.XLOOKUP(B980,[1]Sheet1!$B:$B,[1]Sheet1!$O:$O,0)</f>
        <v>0</v>
      </c>
      <c r="M980" s="12">
        <f>_xlfn.XLOOKUP(B980,[1]Sheet1!$B:$B,[1]Sheet1!$P:$P,0)</f>
        <v>0</v>
      </c>
      <c r="N980" s="12">
        <f>_xlfn.XLOOKUP(B980,[1]Sheet1!$B:$B,[1]Sheet1!$Q:$Q,0)</f>
        <v>10409</v>
      </c>
      <c r="O980" s="12">
        <f>_xlfn.XLOOKUP(B980,[1]Sheet1!$B:$B,[1]Sheet1!$R:$R,0)</f>
        <v>2602</v>
      </c>
      <c r="P980" s="12">
        <f>_xlfn.XLOOKUP(B980,[1]Sheet1!$B:$B,[1]Sheet1!$S:$S,0)</f>
        <v>2602</v>
      </c>
      <c r="Q980" s="12">
        <f>_xlfn.XLOOKUP(B980,[1]Sheet1!$B:$B,[1]Sheet1!$T:$T,0)</f>
        <v>2602</v>
      </c>
      <c r="R980" s="12">
        <f>_xlfn.XLOOKUP(B980,[1]Sheet1!$B:$B,[1]Sheet1!$U:$U,0)</f>
        <v>2602</v>
      </c>
      <c r="S980" s="12">
        <f>_xlfn.XLOOKUP(B980,[1]Sheet1!$B:$B,[1]Sheet1!$V:$V,0)</f>
        <v>2602</v>
      </c>
      <c r="T980" s="12">
        <f>_xlfn.XLOOKUP(B980,[1]Sheet1!$B:$B,[1]Sheet1!$W:$W,0)</f>
        <v>2602</v>
      </c>
      <c r="U980" s="12">
        <f>_xlfn.XLOOKUP(B980,[1]Sheet1!$B:$B,[1]Sheet1!$X:$X,0)</f>
        <v>2603</v>
      </c>
      <c r="V980" s="12">
        <f>_xlfn.XLOOKUP(B980,[1]Sheet1!$B:$B,[1]Sheet1!$Y:$Y,0)</f>
        <v>2601</v>
      </c>
      <c r="W980" s="12">
        <f t="shared" si="33"/>
        <v>31225</v>
      </c>
      <c r="X980" s="6" t="s">
        <v>97</v>
      </c>
      <c r="Y980" s="6" t="s">
        <v>65</v>
      </c>
      <c r="Z980" s="6" t="s">
        <v>66</v>
      </c>
      <c r="AA980" s="6" t="s">
        <v>96</v>
      </c>
      <c r="AB980" s="6" t="s">
        <v>36</v>
      </c>
      <c r="AC980" s="6" t="s">
        <v>37</v>
      </c>
      <c r="AD980" s="6" t="s">
        <v>69</v>
      </c>
      <c r="AE980" s="6" t="s">
        <v>39</v>
      </c>
      <c r="AF980" s="6" t="s">
        <v>40</v>
      </c>
      <c r="AG980" s="7">
        <v>31225.16</v>
      </c>
      <c r="AH980" s="11">
        <f>_xlfn.XLOOKUP(B980,[1]Sheet1!$B:$B,[1]Sheet1!$AB:$AB,0)</f>
        <v>31225</v>
      </c>
    </row>
    <row r="981" spans="2:34" ht="16.8" thickTop="1" thickBot="1" x14ac:dyDescent="0.35">
      <c r="B981" s="3" t="str">
        <f t="shared" si="32"/>
        <v>45112504511001263Pest Control-N422321200104</v>
      </c>
      <c r="C981" s="8" t="s">
        <v>67</v>
      </c>
      <c r="D981" s="8" t="s">
        <v>1513</v>
      </c>
      <c r="E981" s="8" t="s">
        <v>1514</v>
      </c>
      <c r="F981" s="8" t="s">
        <v>103</v>
      </c>
      <c r="G981" s="4" t="s">
        <v>2816</v>
      </c>
      <c r="H981" s="4" t="s">
        <v>2922</v>
      </c>
      <c r="I981" s="8" t="s">
        <v>104</v>
      </c>
      <c r="J981" s="8" t="s">
        <v>31</v>
      </c>
      <c r="K981" s="12">
        <f>_xlfn.XLOOKUP(B981,[1]Sheet1!$B:$B,[1]Sheet1!$N:$N,0)</f>
        <v>0</v>
      </c>
      <c r="L981" s="12">
        <f>_xlfn.XLOOKUP(B981,[1]Sheet1!$B:$B,[1]Sheet1!$O:$O,0)</f>
        <v>0</v>
      </c>
      <c r="M981" s="12">
        <f>_xlfn.XLOOKUP(B981,[1]Sheet1!$B:$B,[1]Sheet1!$P:$P,0)</f>
        <v>0</v>
      </c>
      <c r="N981" s="12">
        <f>_xlfn.XLOOKUP(B981,[1]Sheet1!$B:$B,[1]Sheet1!$Q:$Q,0)</f>
        <v>3244</v>
      </c>
      <c r="O981" s="12">
        <f>_xlfn.XLOOKUP(B981,[1]Sheet1!$B:$B,[1]Sheet1!$R:$R,0)</f>
        <v>811</v>
      </c>
      <c r="P981" s="12">
        <f>_xlfn.XLOOKUP(B981,[1]Sheet1!$B:$B,[1]Sheet1!$S:$S,0)</f>
        <v>811</v>
      </c>
      <c r="Q981" s="12">
        <f>_xlfn.XLOOKUP(B981,[1]Sheet1!$B:$B,[1]Sheet1!$T:$T,0)</f>
        <v>811</v>
      </c>
      <c r="R981" s="12">
        <f>_xlfn.XLOOKUP(B981,[1]Sheet1!$B:$B,[1]Sheet1!$U:$U,0)</f>
        <v>811</v>
      </c>
      <c r="S981" s="12">
        <f>_xlfn.XLOOKUP(B981,[1]Sheet1!$B:$B,[1]Sheet1!$V:$V,0)</f>
        <v>811</v>
      </c>
      <c r="T981" s="12">
        <f>_xlfn.XLOOKUP(B981,[1]Sheet1!$B:$B,[1]Sheet1!$W:$W,0)</f>
        <v>811</v>
      </c>
      <c r="U981" s="12">
        <f>_xlfn.XLOOKUP(B981,[1]Sheet1!$B:$B,[1]Sheet1!$X:$X,0)</f>
        <v>811</v>
      </c>
      <c r="V981" s="12">
        <f>_xlfn.XLOOKUP(B981,[1]Sheet1!$B:$B,[1]Sheet1!$Y:$Y,0)</f>
        <v>809</v>
      </c>
      <c r="W981" s="12">
        <f t="shared" si="33"/>
        <v>9730</v>
      </c>
      <c r="X981" s="8" t="s">
        <v>105</v>
      </c>
      <c r="Y981" s="8" t="s">
        <v>65</v>
      </c>
      <c r="Z981" s="8" t="s">
        <v>66</v>
      </c>
      <c r="AA981" s="8" t="s">
        <v>106</v>
      </c>
      <c r="AB981" s="8" t="s">
        <v>36</v>
      </c>
      <c r="AC981" s="8" t="s">
        <v>37</v>
      </c>
      <c r="AD981" s="8" t="s">
        <v>69</v>
      </c>
      <c r="AE981" s="8" t="s">
        <v>39</v>
      </c>
      <c r="AF981" s="8" t="s">
        <v>40</v>
      </c>
      <c r="AG981" s="9">
        <v>9730.4</v>
      </c>
      <c r="AH981" s="11">
        <f>_xlfn.XLOOKUP(B981,[1]Sheet1!$B:$B,[1]Sheet1!$AB:$AB,0)</f>
        <v>9730</v>
      </c>
    </row>
    <row r="982" spans="2:34" ht="16.8" thickTop="1" thickBot="1" x14ac:dyDescent="0.35">
      <c r="B982" s="3" t="str">
        <f t="shared" si="32"/>
        <v>45112504511001263Security Service-N424551200104</v>
      </c>
      <c r="C982" s="6" t="s">
        <v>67</v>
      </c>
      <c r="D982" s="6" t="s">
        <v>1513</v>
      </c>
      <c r="E982" s="6" t="s">
        <v>1514</v>
      </c>
      <c r="F982" s="6" t="s">
        <v>107</v>
      </c>
      <c r="G982" s="4" t="s">
        <v>2817</v>
      </c>
      <c r="H982" s="4" t="s">
        <v>2922</v>
      </c>
      <c r="I982" s="6" t="s">
        <v>108</v>
      </c>
      <c r="J982" s="6" t="s">
        <v>31</v>
      </c>
      <c r="K982" s="12">
        <f>_xlfn.XLOOKUP(B982,[1]Sheet1!$B:$B,[1]Sheet1!$N:$N,0)</f>
        <v>0</v>
      </c>
      <c r="L982" s="12">
        <f>_xlfn.XLOOKUP(B982,[1]Sheet1!$B:$B,[1]Sheet1!$O:$O,0)</f>
        <v>0</v>
      </c>
      <c r="M982" s="12">
        <f>_xlfn.XLOOKUP(B982,[1]Sheet1!$B:$B,[1]Sheet1!$P:$P,0)</f>
        <v>0</v>
      </c>
      <c r="N982" s="12">
        <f>_xlfn.XLOOKUP(B982,[1]Sheet1!$B:$B,[1]Sheet1!$Q:$Q,0)</f>
        <v>60000</v>
      </c>
      <c r="O982" s="12">
        <f>_xlfn.XLOOKUP(B982,[1]Sheet1!$B:$B,[1]Sheet1!$R:$R,0)</f>
        <v>15000</v>
      </c>
      <c r="P982" s="12">
        <f>_xlfn.XLOOKUP(B982,[1]Sheet1!$B:$B,[1]Sheet1!$S:$S,0)</f>
        <v>15000</v>
      </c>
      <c r="Q982" s="12">
        <f>_xlfn.XLOOKUP(B982,[1]Sheet1!$B:$B,[1]Sheet1!$T:$T,0)</f>
        <v>15000</v>
      </c>
      <c r="R982" s="12">
        <f>_xlfn.XLOOKUP(B982,[1]Sheet1!$B:$B,[1]Sheet1!$U:$U,0)</f>
        <v>15000</v>
      </c>
      <c r="S982" s="12">
        <f>_xlfn.XLOOKUP(B982,[1]Sheet1!$B:$B,[1]Sheet1!$V:$V,0)</f>
        <v>15000</v>
      </c>
      <c r="T982" s="12">
        <f>_xlfn.XLOOKUP(B982,[1]Sheet1!$B:$B,[1]Sheet1!$W:$W,0)</f>
        <v>15000</v>
      </c>
      <c r="U982" s="12">
        <f>_xlfn.XLOOKUP(B982,[1]Sheet1!$B:$B,[1]Sheet1!$X:$X,0)</f>
        <v>15000</v>
      </c>
      <c r="V982" s="12">
        <f>_xlfn.XLOOKUP(B982,[1]Sheet1!$B:$B,[1]Sheet1!$Y:$Y,0)</f>
        <v>15000</v>
      </c>
      <c r="W982" s="12">
        <f t="shared" si="33"/>
        <v>180000</v>
      </c>
      <c r="X982" s="6" t="s">
        <v>109</v>
      </c>
      <c r="Y982" s="6" t="s">
        <v>65</v>
      </c>
      <c r="Z982" s="6" t="s">
        <v>66</v>
      </c>
      <c r="AA982" s="6" t="s">
        <v>108</v>
      </c>
      <c r="AB982" s="6" t="s">
        <v>36</v>
      </c>
      <c r="AC982" s="6" t="s">
        <v>37</v>
      </c>
      <c r="AD982" s="6" t="s">
        <v>69</v>
      </c>
      <c r="AE982" s="6" t="s">
        <v>39</v>
      </c>
      <c r="AF982" s="6" t="s">
        <v>40</v>
      </c>
      <c r="AG982" s="7">
        <v>180000</v>
      </c>
      <c r="AH982" s="11">
        <f>_xlfn.XLOOKUP(B982,[1]Sheet1!$B:$B,[1]Sheet1!$AB:$AB,0)</f>
        <v>180000</v>
      </c>
    </row>
    <row r="983" spans="2:34" ht="16.8" thickTop="1" thickBot="1" x14ac:dyDescent="0.35">
      <c r="B983" s="3" t="str">
        <f t="shared" si="32"/>
        <v>45112504511001263Utilities-N423931200104</v>
      </c>
      <c r="C983" s="8" t="s">
        <v>67</v>
      </c>
      <c r="D983" s="8" t="s">
        <v>1513</v>
      </c>
      <c r="E983" s="8" t="s">
        <v>1514</v>
      </c>
      <c r="F983" s="8" t="s">
        <v>110</v>
      </c>
      <c r="G983" s="4" t="s">
        <v>2818</v>
      </c>
      <c r="H983" s="4" t="s">
        <v>2922</v>
      </c>
      <c r="I983" s="8" t="s">
        <v>111</v>
      </c>
      <c r="J983" s="8" t="s">
        <v>31</v>
      </c>
      <c r="K983" s="12">
        <f>_xlfn.XLOOKUP(B983,[1]Sheet1!$B:$B,[1]Sheet1!$N:$N,0)</f>
        <v>0</v>
      </c>
      <c r="L983" s="12">
        <f>_xlfn.XLOOKUP(B983,[1]Sheet1!$B:$B,[1]Sheet1!$O:$O,0)</f>
        <v>0</v>
      </c>
      <c r="M983" s="12">
        <f>_xlfn.XLOOKUP(B983,[1]Sheet1!$B:$B,[1]Sheet1!$P:$P,0)</f>
        <v>0</v>
      </c>
      <c r="N983" s="12">
        <f>_xlfn.XLOOKUP(B983,[1]Sheet1!$B:$B,[1]Sheet1!$Q:$Q,0)</f>
        <v>23645</v>
      </c>
      <c r="O983" s="12">
        <f>_xlfn.XLOOKUP(B983,[1]Sheet1!$B:$B,[1]Sheet1!$R:$R,0)</f>
        <v>11822.5</v>
      </c>
      <c r="P983" s="12">
        <f>_xlfn.XLOOKUP(B983,[1]Sheet1!$B:$B,[1]Sheet1!$S:$S,0)</f>
        <v>11822.5</v>
      </c>
      <c r="Q983" s="12">
        <f>_xlfn.XLOOKUP(B983,[1]Sheet1!$B:$B,[1]Sheet1!$T:$T,0)</f>
        <v>11822.5</v>
      </c>
      <c r="R983" s="12">
        <f>_xlfn.XLOOKUP(B983,[1]Sheet1!$B:$B,[1]Sheet1!$U:$U,0)</f>
        <v>11822.5</v>
      </c>
      <c r="S983" s="12">
        <f>_xlfn.XLOOKUP(B983,[1]Sheet1!$B:$B,[1]Sheet1!$V:$V,0)</f>
        <v>11822.5</v>
      </c>
      <c r="T983" s="12">
        <f>_xlfn.XLOOKUP(B983,[1]Sheet1!$B:$B,[1]Sheet1!$W:$W,0)</f>
        <v>11822.5</v>
      </c>
      <c r="U983" s="12">
        <f>_xlfn.XLOOKUP(B983,[1]Sheet1!$B:$B,[1]Sheet1!$X:$X,0)</f>
        <v>11822.5</v>
      </c>
      <c r="V983" s="12">
        <f>_xlfn.XLOOKUP(B983,[1]Sheet1!$B:$B,[1]Sheet1!$Y:$Y,0)</f>
        <v>35467.5</v>
      </c>
      <c r="W983" s="12">
        <f t="shared" si="33"/>
        <v>141870</v>
      </c>
      <c r="X983" s="8" t="s">
        <v>112</v>
      </c>
      <c r="Y983" s="8" t="s">
        <v>65</v>
      </c>
      <c r="Z983" s="8" t="s">
        <v>66</v>
      </c>
      <c r="AA983" s="8" t="s">
        <v>111</v>
      </c>
      <c r="AB983" s="8" t="s">
        <v>36</v>
      </c>
      <c r="AC983" s="8" t="s">
        <v>37</v>
      </c>
      <c r="AD983" s="8" t="s">
        <v>69</v>
      </c>
      <c r="AE983" s="8" t="s">
        <v>39</v>
      </c>
      <c r="AF983" s="8" t="s">
        <v>40</v>
      </c>
      <c r="AG983" s="9">
        <v>141875.10999999999</v>
      </c>
      <c r="AH983" s="11">
        <f>_xlfn.XLOOKUP(B983,[1]Sheet1!$B:$B,[1]Sheet1!$AB:$AB,0)</f>
        <v>141870</v>
      </c>
    </row>
    <row r="984" spans="2:34" ht="16.8" thickTop="1" thickBot="1" x14ac:dyDescent="0.35">
      <c r="B984" s="3" t="str">
        <f t="shared" si="32"/>
        <v>45112504511001263Waste Mgmnt-N424591200104</v>
      </c>
      <c r="C984" s="6" t="s">
        <v>67</v>
      </c>
      <c r="D984" s="6" t="s">
        <v>1513</v>
      </c>
      <c r="E984" s="6" t="s">
        <v>1514</v>
      </c>
      <c r="F984" s="6" t="s">
        <v>382</v>
      </c>
      <c r="G984" s="4" t="s">
        <v>2836</v>
      </c>
      <c r="H984" s="4" t="s">
        <v>2922</v>
      </c>
      <c r="I984" s="6" t="s">
        <v>383</v>
      </c>
      <c r="J984" s="6" t="s">
        <v>31</v>
      </c>
      <c r="K984" s="12">
        <f>_xlfn.XLOOKUP(B984,[1]Sheet1!$B:$B,[1]Sheet1!$N:$N,0)</f>
        <v>0</v>
      </c>
      <c r="L984" s="12">
        <f>_xlfn.XLOOKUP(B984,[1]Sheet1!$B:$B,[1]Sheet1!$O:$O,0)</f>
        <v>0</v>
      </c>
      <c r="M984" s="12">
        <f>_xlfn.XLOOKUP(B984,[1]Sheet1!$B:$B,[1]Sheet1!$P:$P,0)</f>
        <v>0</v>
      </c>
      <c r="N984" s="12">
        <f>_xlfn.XLOOKUP(B984,[1]Sheet1!$B:$B,[1]Sheet1!$Q:$Q,0)</f>
        <v>0</v>
      </c>
      <c r="O984" s="12">
        <f>_xlfn.XLOOKUP(B984,[1]Sheet1!$B:$B,[1]Sheet1!$R:$R,0)</f>
        <v>1848</v>
      </c>
      <c r="P984" s="12">
        <f>_xlfn.XLOOKUP(B984,[1]Sheet1!$B:$B,[1]Sheet1!$S:$S,0)</f>
        <v>0</v>
      </c>
      <c r="Q984" s="12">
        <f>_xlfn.XLOOKUP(B984,[1]Sheet1!$B:$B,[1]Sheet1!$T:$T,0)</f>
        <v>0</v>
      </c>
      <c r="R984" s="12">
        <f>_xlfn.XLOOKUP(B984,[1]Sheet1!$B:$B,[1]Sheet1!$U:$U,0)</f>
        <v>1848</v>
      </c>
      <c r="S984" s="12">
        <f>_xlfn.XLOOKUP(B984,[1]Sheet1!$B:$B,[1]Sheet1!$V:$V,0)</f>
        <v>0</v>
      </c>
      <c r="T984" s="12">
        <f>_xlfn.XLOOKUP(B984,[1]Sheet1!$B:$B,[1]Sheet1!$W:$W,0)</f>
        <v>0</v>
      </c>
      <c r="U984" s="12">
        <f>_xlfn.XLOOKUP(B984,[1]Sheet1!$B:$B,[1]Sheet1!$X:$X,0)</f>
        <v>1849</v>
      </c>
      <c r="V984" s="12">
        <f>_xlfn.XLOOKUP(B984,[1]Sheet1!$B:$B,[1]Sheet1!$Y:$Y,0)</f>
        <v>0</v>
      </c>
      <c r="W984" s="12">
        <f t="shared" si="33"/>
        <v>5545</v>
      </c>
      <c r="X984" s="6" t="s">
        <v>384</v>
      </c>
      <c r="Y984" s="6" t="s">
        <v>65</v>
      </c>
      <c r="Z984" s="6" t="s">
        <v>66</v>
      </c>
      <c r="AA984" s="6" t="s">
        <v>383</v>
      </c>
      <c r="AB984" s="6" t="s">
        <v>36</v>
      </c>
      <c r="AC984" s="6" t="s">
        <v>37</v>
      </c>
      <c r="AD984" s="6" t="s">
        <v>69</v>
      </c>
      <c r="AE984" s="6" t="s">
        <v>39</v>
      </c>
      <c r="AF984" s="6" t="s">
        <v>40</v>
      </c>
      <c r="AG984" s="7">
        <v>5544.9</v>
      </c>
      <c r="AH984" s="11">
        <f>_xlfn.XLOOKUP(B984,[1]Sheet1!$B:$B,[1]Sheet1!$AB:$AB,0)</f>
        <v>5545</v>
      </c>
    </row>
    <row r="985" spans="2:34" ht="16.8" thickTop="1" thickBot="1" x14ac:dyDescent="0.35">
      <c r="B985" s="3" t="str">
        <f t="shared" si="32"/>
        <v>45150104511001265Licenses Fees-N424131200104</v>
      </c>
      <c r="C985" s="8" t="s">
        <v>1093</v>
      </c>
      <c r="D985" s="8" t="s">
        <v>1515</v>
      </c>
      <c r="E985" s="8" t="s">
        <v>1516</v>
      </c>
      <c r="F985" s="8" t="s">
        <v>365</v>
      </c>
      <c r="G985" s="4" t="s">
        <v>2835</v>
      </c>
      <c r="H985" s="4" t="s">
        <v>2922</v>
      </c>
      <c r="I985" s="8" t="s">
        <v>366</v>
      </c>
      <c r="J985" s="8" t="s">
        <v>31</v>
      </c>
      <c r="K985" s="12">
        <f>_xlfn.XLOOKUP(B985,[1]Sheet1!$B:$B,[1]Sheet1!$N:$N,0)</f>
        <v>0</v>
      </c>
      <c r="L985" s="12">
        <f>_xlfn.XLOOKUP(B985,[1]Sheet1!$B:$B,[1]Sheet1!$O:$O,0)</f>
        <v>0</v>
      </c>
      <c r="M985" s="12">
        <f>_xlfn.XLOOKUP(B985,[1]Sheet1!$B:$B,[1]Sheet1!$P:$P,0)</f>
        <v>0</v>
      </c>
      <c r="N985" s="12">
        <f>_xlfn.XLOOKUP(B985,[1]Sheet1!$B:$B,[1]Sheet1!$Q:$Q,0)</f>
        <v>0</v>
      </c>
      <c r="O985" s="12">
        <f>_xlfn.XLOOKUP(B985,[1]Sheet1!$B:$B,[1]Sheet1!$R:$R,0)</f>
        <v>0</v>
      </c>
      <c r="P985" s="12">
        <f>_xlfn.XLOOKUP(B985,[1]Sheet1!$B:$B,[1]Sheet1!$S:$S,0)</f>
        <v>0</v>
      </c>
      <c r="Q985" s="12">
        <f>_xlfn.XLOOKUP(B985,[1]Sheet1!$B:$B,[1]Sheet1!$T:$T,0)</f>
        <v>0</v>
      </c>
      <c r="R985" s="12">
        <f>_xlfn.XLOOKUP(B985,[1]Sheet1!$B:$B,[1]Sheet1!$U:$U,0)</f>
        <v>0</v>
      </c>
      <c r="S985" s="12">
        <f>_xlfn.XLOOKUP(B985,[1]Sheet1!$B:$B,[1]Sheet1!$V:$V,0)</f>
        <v>0</v>
      </c>
      <c r="T985" s="12">
        <f>_xlfn.XLOOKUP(B985,[1]Sheet1!$B:$B,[1]Sheet1!$W:$W,0)</f>
        <v>0</v>
      </c>
      <c r="U985" s="12">
        <f>_xlfn.XLOOKUP(B985,[1]Sheet1!$B:$B,[1]Sheet1!$X:$X,0)</f>
        <v>0</v>
      </c>
      <c r="V985" s="12">
        <f>_xlfn.XLOOKUP(B985,[1]Sheet1!$B:$B,[1]Sheet1!$Y:$Y,0)</f>
        <v>35600</v>
      </c>
      <c r="W985" s="12">
        <f t="shared" si="33"/>
        <v>35600</v>
      </c>
      <c r="X985" s="8" t="s">
        <v>1457</v>
      </c>
      <c r="Y985" s="8" t="s">
        <v>211</v>
      </c>
      <c r="Z985" s="8" t="s">
        <v>1092</v>
      </c>
      <c r="AA985" s="8" t="s">
        <v>366</v>
      </c>
      <c r="AB985" s="8" t="s">
        <v>36</v>
      </c>
      <c r="AC985" s="8" t="s">
        <v>37</v>
      </c>
      <c r="AD985" s="8" t="s">
        <v>342</v>
      </c>
      <c r="AE985" s="8" t="s">
        <v>39</v>
      </c>
      <c r="AF985" s="8" t="s">
        <v>40</v>
      </c>
      <c r="AG985" s="9">
        <v>35600</v>
      </c>
      <c r="AH985" s="11">
        <f>_xlfn.XLOOKUP(B985,[1]Sheet1!$B:$B,[1]Sheet1!$AB:$AB,0)</f>
        <v>35600</v>
      </c>
    </row>
    <row r="986" spans="2:34" ht="16.8" thickTop="1" thickBot="1" x14ac:dyDescent="0.35">
      <c r="B986" s="3" t="str">
        <f t="shared" si="32"/>
        <v>45112504511001267ComplianceAdvice-N424521200104</v>
      </c>
      <c r="C986" s="6" t="s">
        <v>67</v>
      </c>
      <c r="D986" s="6" t="s">
        <v>1517</v>
      </c>
      <c r="E986" s="6" t="s">
        <v>1518</v>
      </c>
      <c r="F986" s="6" t="s">
        <v>1519</v>
      </c>
      <c r="G986" s="4" t="s">
        <v>2804</v>
      </c>
      <c r="H986" s="4" t="s">
        <v>2922</v>
      </c>
      <c r="I986" s="6" t="s">
        <v>51</v>
      </c>
      <c r="J986" s="6" t="s">
        <v>31</v>
      </c>
      <c r="K986" s="12">
        <f>_xlfn.XLOOKUP(B986,[1]Sheet1!$B:$B,[1]Sheet1!$N:$N,0)</f>
        <v>0</v>
      </c>
      <c r="L986" s="12">
        <f>_xlfn.XLOOKUP(B986,[1]Sheet1!$B:$B,[1]Sheet1!$O:$O,0)</f>
        <v>0</v>
      </c>
      <c r="M986" s="12">
        <f>_xlfn.XLOOKUP(B986,[1]Sheet1!$B:$B,[1]Sheet1!$P:$P,0)</f>
        <v>8720.2800000000007</v>
      </c>
      <c r="N986" s="12">
        <f>_xlfn.XLOOKUP(B986,[1]Sheet1!$B:$B,[1]Sheet1!$Q:$Q,0)</f>
        <v>0</v>
      </c>
      <c r="O986" s="12">
        <f>_xlfn.XLOOKUP(B986,[1]Sheet1!$B:$B,[1]Sheet1!$R:$R,0)</f>
        <v>0</v>
      </c>
      <c r="P986" s="12">
        <f>_xlfn.XLOOKUP(B986,[1]Sheet1!$B:$B,[1]Sheet1!$S:$S,0)</f>
        <v>258780</v>
      </c>
      <c r="Q986" s="12">
        <f>_xlfn.XLOOKUP(B986,[1]Sheet1!$B:$B,[1]Sheet1!$T:$T,0)</f>
        <v>0</v>
      </c>
      <c r="R986" s="12">
        <f>_xlfn.XLOOKUP(B986,[1]Sheet1!$B:$B,[1]Sheet1!$U:$U,0)</f>
        <v>0</v>
      </c>
      <c r="S986" s="12">
        <f>_xlfn.XLOOKUP(B986,[1]Sheet1!$B:$B,[1]Sheet1!$V:$V,0)</f>
        <v>287500</v>
      </c>
      <c r="T986" s="12">
        <f>_xlfn.XLOOKUP(B986,[1]Sheet1!$B:$B,[1]Sheet1!$W:$W,0)</f>
        <v>0</v>
      </c>
      <c r="U986" s="12">
        <f>_xlfn.XLOOKUP(B986,[1]Sheet1!$B:$B,[1]Sheet1!$X:$X,0)</f>
        <v>263227</v>
      </c>
      <c r="V986" s="12">
        <f>_xlfn.XLOOKUP(B986,[1]Sheet1!$B:$B,[1]Sheet1!$Y:$Y,0)</f>
        <v>0</v>
      </c>
      <c r="W986" s="12">
        <f t="shared" si="33"/>
        <v>818227.28</v>
      </c>
      <c r="X986" s="6" t="s">
        <v>82</v>
      </c>
      <c r="Y986" s="6" t="s">
        <v>65</v>
      </c>
      <c r="Z986" s="6" t="s">
        <v>66</v>
      </c>
      <c r="AA986" s="6" t="s">
        <v>53</v>
      </c>
      <c r="AB986" s="6" t="s">
        <v>36</v>
      </c>
      <c r="AC986" s="6" t="s">
        <v>37</v>
      </c>
      <c r="AD986" s="6" t="s">
        <v>69</v>
      </c>
      <c r="AE986" s="6" t="s">
        <v>39</v>
      </c>
      <c r="AF986" s="6" t="s">
        <v>40</v>
      </c>
      <c r="AG986" s="7">
        <v>687268.07</v>
      </c>
      <c r="AH986" s="11">
        <f>_xlfn.XLOOKUP(B986,[1]Sheet1!$B:$B,[1]Sheet1!$AB:$AB,0)</f>
        <v>687268.28</v>
      </c>
    </row>
    <row r="987" spans="2:34" ht="16.8" thickTop="1" thickBot="1" x14ac:dyDescent="0.35">
      <c r="B987" s="3" t="str">
        <f t="shared" si="32"/>
        <v>45112504511001267Freelancers-N424521200104</v>
      </c>
      <c r="C987" s="8" t="s">
        <v>67</v>
      </c>
      <c r="D987" s="8" t="s">
        <v>1517</v>
      </c>
      <c r="E987" s="8" t="s">
        <v>1518</v>
      </c>
      <c r="F987" s="8" t="s">
        <v>50</v>
      </c>
      <c r="G987" s="4" t="s">
        <v>2804</v>
      </c>
      <c r="H987" s="4" t="s">
        <v>2922</v>
      </c>
      <c r="I987" s="8" t="s">
        <v>51</v>
      </c>
      <c r="J987" s="8" t="s">
        <v>31</v>
      </c>
      <c r="K987" s="12">
        <f>_xlfn.XLOOKUP(B987,[1]Sheet1!$B:$B,[1]Sheet1!$N:$N,0)</f>
        <v>0</v>
      </c>
      <c r="L987" s="12">
        <f>_xlfn.XLOOKUP(B987,[1]Sheet1!$B:$B,[1]Sheet1!$O:$O,0)</f>
        <v>0</v>
      </c>
      <c r="M987" s="12">
        <f>_xlfn.XLOOKUP(B987,[1]Sheet1!$B:$B,[1]Sheet1!$P:$P,0)</f>
        <v>0</v>
      </c>
      <c r="N987" s="12">
        <f>_xlfn.XLOOKUP(B987,[1]Sheet1!$B:$B,[1]Sheet1!$Q:$Q,0)</f>
        <v>25000</v>
      </c>
      <c r="O987" s="12">
        <f>_xlfn.XLOOKUP(B987,[1]Sheet1!$B:$B,[1]Sheet1!$R:$R,0)</f>
        <v>12500</v>
      </c>
      <c r="P987" s="12">
        <f>_xlfn.XLOOKUP(B987,[1]Sheet1!$B:$B,[1]Sheet1!$S:$S,0)</f>
        <v>0</v>
      </c>
      <c r="Q987" s="12">
        <f>_xlfn.XLOOKUP(B987,[1]Sheet1!$B:$B,[1]Sheet1!$T:$T,0)</f>
        <v>0</v>
      </c>
      <c r="R987" s="12">
        <f>_xlfn.XLOOKUP(B987,[1]Sheet1!$B:$B,[1]Sheet1!$U:$U,0)</f>
        <v>0</v>
      </c>
      <c r="S987" s="12">
        <f>_xlfn.XLOOKUP(B987,[1]Sheet1!$B:$B,[1]Sheet1!$V:$V,0)</f>
        <v>0</v>
      </c>
      <c r="T987" s="12">
        <f>_xlfn.XLOOKUP(B987,[1]Sheet1!$B:$B,[1]Sheet1!$W:$W,0)</f>
        <v>0</v>
      </c>
      <c r="U987" s="12">
        <f>_xlfn.XLOOKUP(B987,[1]Sheet1!$B:$B,[1]Sheet1!$X:$X,0)</f>
        <v>0</v>
      </c>
      <c r="V987" s="12">
        <f>_xlfn.XLOOKUP(B987,[1]Sheet1!$B:$B,[1]Sheet1!$Y:$Y,0)</f>
        <v>0</v>
      </c>
      <c r="W987" s="12">
        <f t="shared" si="33"/>
        <v>37500</v>
      </c>
      <c r="X987" s="8" t="s">
        <v>82</v>
      </c>
      <c r="Y987" s="8" t="s">
        <v>65</v>
      </c>
      <c r="Z987" s="8" t="s">
        <v>66</v>
      </c>
      <c r="AA987" s="8" t="s">
        <v>53</v>
      </c>
      <c r="AB987" s="8" t="s">
        <v>36</v>
      </c>
      <c r="AC987" s="8" t="s">
        <v>37</v>
      </c>
      <c r="AD987" s="8" t="s">
        <v>69</v>
      </c>
      <c r="AE987" s="8" t="s">
        <v>39</v>
      </c>
      <c r="AF987" s="8" t="s">
        <v>40</v>
      </c>
      <c r="AG987" s="9">
        <v>37500</v>
      </c>
      <c r="AH987" s="11">
        <f>_xlfn.XLOOKUP(B987,[1]Sheet1!$B:$B,[1]Sheet1!$AB:$AB,0)</f>
        <v>37500</v>
      </c>
    </row>
    <row r="988" spans="2:34" ht="16.8" thickTop="1" thickBot="1" x14ac:dyDescent="0.35">
      <c r="B988" s="3" t="str">
        <f t="shared" si="32"/>
        <v>45112504511001267Manpower-N424521200104</v>
      </c>
      <c r="C988" s="6" t="s">
        <v>67</v>
      </c>
      <c r="D988" s="6" t="s">
        <v>1517</v>
      </c>
      <c r="E988" s="6" t="s">
        <v>1518</v>
      </c>
      <c r="F988" s="6" t="s">
        <v>98</v>
      </c>
      <c r="G988" s="4" t="s">
        <v>2804</v>
      </c>
      <c r="H988" s="4" t="s">
        <v>2922</v>
      </c>
      <c r="I988" s="6" t="s">
        <v>51</v>
      </c>
      <c r="J988" s="6" t="s">
        <v>31</v>
      </c>
      <c r="K988" s="12">
        <f>_xlfn.XLOOKUP(B988,[1]Sheet1!$B:$B,[1]Sheet1!$N:$N,0)</f>
        <v>0</v>
      </c>
      <c r="L988" s="12">
        <f>_xlfn.XLOOKUP(B988,[1]Sheet1!$B:$B,[1]Sheet1!$O:$O,0)</f>
        <v>0</v>
      </c>
      <c r="M988" s="12">
        <f>_xlfn.XLOOKUP(B988,[1]Sheet1!$B:$B,[1]Sheet1!$P:$P,0)</f>
        <v>0</v>
      </c>
      <c r="N988" s="12">
        <f>_xlfn.XLOOKUP(B988,[1]Sheet1!$B:$B,[1]Sheet1!$Q:$Q,0)</f>
        <v>0</v>
      </c>
      <c r="O988" s="12">
        <f>_xlfn.XLOOKUP(B988,[1]Sheet1!$B:$B,[1]Sheet1!$R:$R,0)</f>
        <v>43601.4</v>
      </c>
      <c r="P988" s="12">
        <f>_xlfn.XLOOKUP(B988,[1]Sheet1!$B:$B,[1]Sheet1!$S:$S,0)</f>
        <v>8720.2800000000007</v>
      </c>
      <c r="Q988" s="12">
        <f>_xlfn.XLOOKUP(B988,[1]Sheet1!$B:$B,[1]Sheet1!$T:$T,0)</f>
        <v>8720.2800000000007</v>
      </c>
      <c r="R988" s="12">
        <f>_xlfn.XLOOKUP(B988,[1]Sheet1!$B:$B,[1]Sheet1!$U:$U,0)</f>
        <v>8720.2800000000007</v>
      </c>
      <c r="S988" s="12">
        <f>_xlfn.XLOOKUP(B988,[1]Sheet1!$B:$B,[1]Sheet1!$V:$V,0)</f>
        <v>8720.2800000000007</v>
      </c>
      <c r="T988" s="12">
        <f>_xlfn.XLOOKUP(B988,[1]Sheet1!$B:$B,[1]Sheet1!$W:$W,0)</f>
        <v>8720.2800000000007</v>
      </c>
      <c r="U988" s="12">
        <f>_xlfn.XLOOKUP(B988,[1]Sheet1!$B:$B,[1]Sheet1!$X:$X,0)</f>
        <v>17440.560000000001</v>
      </c>
      <c r="V988" s="12">
        <f>_xlfn.XLOOKUP(B988,[1]Sheet1!$B:$B,[1]Sheet1!$Y:$Y,0)</f>
        <v>0</v>
      </c>
      <c r="W988" s="12">
        <f t="shared" si="33"/>
        <v>104643.36</v>
      </c>
      <c r="X988" s="6" t="s">
        <v>82</v>
      </c>
      <c r="Y988" s="6" t="s">
        <v>65</v>
      </c>
      <c r="Z988" s="6" t="s">
        <v>66</v>
      </c>
      <c r="AA988" s="6" t="s">
        <v>53</v>
      </c>
      <c r="AB988" s="6" t="s">
        <v>36</v>
      </c>
      <c r="AC988" s="6" t="s">
        <v>37</v>
      </c>
      <c r="AD988" s="6" t="s">
        <v>69</v>
      </c>
      <c r="AE988" s="6" t="s">
        <v>39</v>
      </c>
      <c r="AF988" s="6" t="s">
        <v>40</v>
      </c>
      <c r="AG988" s="7">
        <v>104643</v>
      </c>
      <c r="AH988" s="11">
        <f>_xlfn.XLOOKUP(B988,[1]Sheet1!$B:$B,[1]Sheet1!$AB:$AB,0)</f>
        <v>104643.36</v>
      </c>
    </row>
    <row r="989" spans="2:34" ht="16.8" thickTop="1" thickBot="1" x14ac:dyDescent="0.35">
      <c r="B989" s="3" t="str">
        <f t="shared" si="32"/>
        <v>45112504511001268Hospitality-N424761200104</v>
      </c>
      <c r="C989" s="8" t="s">
        <v>67</v>
      </c>
      <c r="D989" s="8" t="s">
        <v>1520</v>
      </c>
      <c r="E989" s="8" t="s">
        <v>1521</v>
      </c>
      <c r="F989" s="8" t="s">
        <v>83</v>
      </c>
      <c r="G989" s="4" t="s">
        <v>2811</v>
      </c>
      <c r="H989" s="4" t="s">
        <v>2922</v>
      </c>
      <c r="I989" s="8" t="s">
        <v>84</v>
      </c>
      <c r="J989" s="8" t="s">
        <v>31</v>
      </c>
      <c r="K989" s="12">
        <f>_xlfn.XLOOKUP(B989,[1]Sheet1!$B:$B,[1]Sheet1!$N:$N,0)</f>
        <v>0</v>
      </c>
      <c r="L989" s="12">
        <f>_xlfn.XLOOKUP(B989,[1]Sheet1!$B:$B,[1]Sheet1!$O:$O,0)</f>
        <v>0</v>
      </c>
      <c r="M989" s="12">
        <f>_xlfn.XLOOKUP(B989,[1]Sheet1!$B:$B,[1]Sheet1!$P:$P,0)</f>
        <v>0</v>
      </c>
      <c r="N989" s="12">
        <f>_xlfn.XLOOKUP(B989,[1]Sheet1!$B:$B,[1]Sheet1!$Q:$Q,0)</f>
        <v>530000</v>
      </c>
      <c r="O989" s="12">
        <f>_xlfn.XLOOKUP(B989,[1]Sheet1!$B:$B,[1]Sheet1!$R:$R,0)</f>
        <v>0</v>
      </c>
      <c r="P989" s="12">
        <f>_xlfn.XLOOKUP(B989,[1]Sheet1!$B:$B,[1]Sheet1!$S:$S,0)</f>
        <v>0</v>
      </c>
      <c r="Q989" s="12">
        <f>_xlfn.XLOOKUP(B989,[1]Sheet1!$B:$B,[1]Sheet1!$T:$T,0)</f>
        <v>0</v>
      </c>
      <c r="R989" s="12">
        <f>_xlfn.XLOOKUP(B989,[1]Sheet1!$B:$B,[1]Sheet1!$U:$U,0)</f>
        <v>0</v>
      </c>
      <c r="S989" s="12">
        <f>_xlfn.XLOOKUP(B989,[1]Sheet1!$B:$B,[1]Sheet1!$V:$V,0)</f>
        <v>0</v>
      </c>
      <c r="T989" s="12">
        <f>_xlfn.XLOOKUP(B989,[1]Sheet1!$B:$B,[1]Sheet1!$W:$W,0)</f>
        <v>0</v>
      </c>
      <c r="U989" s="12">
        <f>_xlfn.XLOOKUP(B989,[1]Sheet1!$B:$B,[1]Sheet1!$X:$X,0)</f>
        <v>0</v>
      </c>
      <c r="V989" s="12">
        <f>_xlfn.XLOOKUP(B989,[1]Sheet1!$B:$B,[1]Sheet1!$Y:$Y,0)</f>
        <v>0</v>
      </c>
      <c r="W989" s="12">
        <f t="shared" si="33"/>
        <v>530000</v>
      </c>
      <c r="X989" s="8" t="s">
        <v>85</v>
      </c>
      <c r="Y989" s="8" t="s">
        <v>65</v>
      </c>
      <c r="Z989" s="8" t="s">
        <v>66</v>
      </c>
      <c r="AA989" s="8" t="s">
        <v>84</v>
      </c>
      <c r="AB989" s="8" t="s">
        <v>36</v>
      </c>
      <c r="AC989" s="8" t="s">
        <v>37</v>
      </c>
      <c r="AD989" s="8" t="s">
        <v>69</v>
      </c>
      <c r="AE989" s="8" t="s">
        <v>39</v>
      </c>
      <c r="AF989" s="8" t="s">
        <v>40</v>
      </c>
      <c r="AG989" s="9">
        <v>505000</v>
      </c>
      <c r="AH989" s="11">
        <f>_xlfn.XLOOKUP(B989,[1]Sheet1!$B:$B,[1]Sheet1!$AB:$AB,0)</f>
        <v>505000</v>
      </c>
    </row>
    <row r="990" spans="2:34" ht="16.8" thickTop="1" thickBot="1" x14ac:dyDescent="0.35">
      <c r="B990" s="3" t="str">
        <f t="shared" si="32"/>
        <v>45112504511001268Mission &amp; Travel-N423821200104</v>
      </c>
      <c r="C990" s="6" t="s">
        <v>67</v>
      </c>
      <c r="D990" s="6" t="s">
        <v>1520</v>
      </c>
      <c r="E990" s="6" t="s">
        <v>1521</v>
      </c>
      <c r="F990" s="6" t="s">
        <v>54</v>
      </c>
      <c r="G990" s="4" t="s">
        <v>2805</v>
      </c>
      <c r="H990" s="4" t="s">
        <v>2922</v>
      </c>
      <c r="I990" s="6" t="s">
        <v>55</v>
      </c>
      <c r="J990" s="6" t="s">
        <v>31</v>
      </c>
      <c r="K990" s="12">
        <f>_xlfn.XLOOKUP(B990,[1]Sheet1!$B:$B,[1]Sheet1!$N:$N,0)</f>
        <v>0</v>
      </c>
      <c r="L990" s="12">
        <f>_xlfn.XLOOKUP(B990,[1]Sheet1!$B:$B,[1]Sheet1!$O:$O,0)</f>
        <v>26200</v>
      </c>
      <c r="M990" s="12">
        <f>_xlfn.XLOOKUP(B990,[1]Sheet1!$B:$B,[1]Sheet1!$P:$P,0)</f>
        <v>1600</v>
      </c>
      <c r="N990" s="12">
        <f>_xlfn.XLOOKUP(B990,[1]Sheet1!$B:$B,[1]Sheet1!$Q:$Q,0)</f>
        <v>23000</v>
      </c>
      <c r="O990" s="12">
        <f>_xlfn.XLOOKUP(B990,[1]Sheet1!$B:$B,[1]Sheet1!$R:$R,0)</f>
        <v>0</v>
      </c>
      <c r="P990" s="12">
        <f>_xlfn.XLOOKUP(B990,[1]Sheet1!$B:$B,[1]Sheet1!$S:$S,0)</f>
        <v>399670</v>
      </c>
      <c r="Q990" s="12">
        <f>_xlfn.XLOOKUP(B990,[1]Sheet1!$B:$B,[1]Sheet1!$T:$T,0)</f>
        <v>0</v>
      </c>
      <c r="R990" s="12">
        <f>_xlfn.XLOOKUP(B990,[1]Sheet1!$B:$B,[1]Sheet1!$U:$U,0)</f>
        <v>0</v>
      </c>
      <c r="S990" s="12">
        <f>_xlfn.XLOOKUP(B990,[1]Sheet1!$B:$B,[1]Sheet1!$V:$V,0)</f>
        <v>399670</v>
      </c>
      <c r="T990" s="12">
        <f>_xlfn.XLOOKUP(B990,[1]Sheet1!$B:$B,[1]Sheet1!$W:$W,0)</f>
        <v>0</v>
      </c>
      <c r="U990" s="12">
        <f>_xlfn.XLOOKUP(B990,[1]Sheet1!$B:$B,[1]Sheet1!$X:$X,0)</f>
        <v>0</v>
      </c>
      <c r="V990" s="12">
        <f>_xlfn.XLOOKUP(B990,[1]Sheet1!$B:$B,[1]Sheet1!$Y:$Y,0)</f>
        <v>799340</v>
      </c>
      <c r="W990" s="12">
        <f t="shared" si="33"/>
        <v>1649480</v>
      </c>
      <c r="X990" s="6" t="s">
        <v>1116</v>
      </c>
      <c r="Y990" s="6" t="s">
        <v>65</v>
      </c>
      <c r="Z990" s="6" t="s">
        <v>66</v>
      </c>
      <c r="AA990" s="6" t="s">
        <v>55</v>
      </c>
      <c r="AB990" s="6" t="s">
        <v>36</v>
      </c>
      <c r="AC990" s="6" t="s">
        <v>37</v>
      </c>
      <c r="AD990" s="6" t="s">
        <v>69</v>
      </c>
      <c r="AE990" s="6" t="s">
        <v>39</v>
      </c>
      <c r="AF990" s="6" t="s">
        <v>40</v>
      </c>
      <c r="AG990" s="7">
        <v>1664480</v>
      </c>
      <c r="AH990" s="11">
        <f>_xlfn.XLOOKUP(B990,[1]Sheet1!$B:$B,[1]Sheet1!$AB:$AB,0)</f>
        <v>1664480</v>
      </c>
    </row>
    <row r="991" spans="2:34" ht="16.8" thickTop="1" thickBot="1" x14ac:dyDescent="0.35">
      <c r="B991" s="3" t="str">
        <f t="shared" si="32"/>
        <v>45112504511001269Admin Expenses-N1421125200104</v>
      </c>
      <c r="C991" s="8" t="s">
        <v>67</v>
      </c>
      <c r="D991" s="8" t="s">
        <v>1522</v>
      </c>
      <c r="E991" s="8" t="s">
        <v>1523</v>
      </c>
      <c r="F991" s="8" t="s">
        <v>73</v>
      </c>
      <c r="G991" s="4" t="s">
        <v>2803</v>
      </c>
      <c r="H991" s="4" t="s">
        <v>2922</v>
      </c>
      <c r="I991" s="8" t="s">
        <v>44</v>
      </c>
      <c r="J991" s="8" t="s">
        <v>31</v>
      </c>
      <c r="K991" s="12">
        <f>_xlfn.XLOOKUP(B991,[1]Sheet1!$B:$B,[1]Sheet1!$N:$N,0)</f>
        <v>0</v>
      </c>
      <c r="L991" s="12">
        <f>_xlfn.XLOOKUP(B991,[1]Sheet1!$B:$B,[1]Sheet1!$O:$O,0)</f>
        <v>0</v>
      </c>
      <c r="M991" s="12">
        <f>_xlfn.XLOOKUP(B991,[1]Sheet1!$B:$B,[1]Sheet1!$P:$P,0)</f>
        <v>49930</v>
      </c>
      <c r="N991" s="12">
        <f>_xlfn.XLOOKUP(B991,[1]Sheet1!$B:$B,[1]Sheet1!$Q:$Q,0)</f>
        <v>70</v>
      </c>
      <c r="O991" s="12">
        <f>_xlfn.XLOOKUP(B991,[1]Sheet1!$B:$B,[1]Sheet1!$R:$R,0)</f>
        <v>0</v>
      </c>
      <c r="P991" s="12">
        <f>_xlfn.XLOOKUP(B991,[1]Sheet1!$B:$B,[1]Sheet1!$S:$S,0)</f>
        <v>0</v>
      </c>
      <c r="Q991" s="12">
        <f>_xlfn.XLOOKUP(B991,[1]Sheet1!$B:$B,[1]Sheet1!$T:$T,0)</f>
        <v>0</v>
      </c>
      <c r="R991" s="12">
        <f>_xlfn.XLOOKUP(B991,[1]Sheet1!$B:$B,[1]Sheet1!$U:$U,0)</f>
        <v>0</v>
      </c>
      <c r="S991" s="12">
        <f>_xlfn.XLOOKUP(B991,[1]Sheet1!$B:$B,[1]Sheet1!$V:$V,0)</f>
        <v>0</v>
      </c>
      <c r="T991" s="12">
        <f>_xlfn.XLOOKUP(B991,[1]Sheet1!$B:$B,[1]Sheet1!$W:$W,0)</f>
        <v>247497</v>
      </c>
      <c r="U991" s="12">
        <f>_xlfn.XLOOKUP(B991,[1]Sheet1!$B:$B,[1]Sheet1!$X:$X,0)</f>
        <v>397917</v>
      </c>
      <c r="V991" s="12">
        <f>_xlfn.XLOOKUP(B991,[1]Sheet1!$B:$B,[1]Sheet1!$Y:$Y,0)</f>
        <v>397919</v>
      </c>
      <c r="W991" s="12">
        <f t="shared" si="33"/>
        <v>1093333</v>
      </c>
      <c r="X991" s="8" t="s">
        <v>74</v>
      </c>
      <c r="Y991" s="8" t="s">
        <v>65</v>
      </c>
      <c r="Z991" s="8" t="s">
        <v>66</v>
      </c>
      <c r="AA991" s="8" t="s">
        <v>44</v>
      </c>
      <c r="AB991" s="8" t="s">
        <v>36</v>
      </c>
      <c r="AC991" s="8" t="s">
        <v>37</v>
      </c>
      <c r="AD991" s="8" t="s">
        <v>69</v>
      </c>
      <c r="AE991" s="8" t="s">
        <v>39</v>
      </c>
      <c r="AF991" s="8" t="s">
        <v>40</v>
      </c>
      <c r="AG991" s="9">
        <v>1093333</v>
      </c>
      <c r="AH991" s="11">
        <f>_xlfn.XLOOKUP(B991,[1]Sheet1!$B:$B,[1]Sheet1!$AB:$AB,0)</f>
        <v>1093333</v>
      </c>
    </row>
    <row r="992" spans="2:34" ht="16.8" thickTop="1" thickBot="1" x14ac:dyDescent="0.35">
      <c r="B992" s="3" t="str">
        <f t="shared" si="32"/>
        <v>45112504511001269E-E Ops and Prod-N1421125200104</v>
      </c>
      <c r="C992" s="6" t="s">
        <v>67</v>
      </c>
      <c r="D992" s="6" t="s">
        <v>1522</v>
      </c>
      <c r="E992" s="6" t="s">
        <v>1523</v>
      </c>
      <c r="F992" s="6" t="s">
        <v>1209</v>
      </c>
      <c r="G992" s="4" t="s">
        <v>2803</v>
      </c>
      <c r="H992" s="4" t="s">
        <v>2922</v>
      </c>
      <c r="I992" s="6" t="s">
        <v>44</v>
      </c>
      <c r="J992" s="6" t="s">
        <v>31</v>
      </c>
      <c r="K992" s="12">
        <f>_xlfn.XLOOKUP(B992,[1]Sheet1!$B:$B,[1]Sheet1!$N:$N,0)</f>
        <v>0</v>
      </c>
      <c r="L992" s="12">
        <f>_xlfn.XLOOKUP(B992,[1]Sheet1!$B:$B,[1]Sheet1!$O:$O,0)</f>
        <v>0</v>
      </c>
      <c r="M992" s="12">
        <f>_xlfn.XLOOKUP(B992,[1]Sheet1!$B:$B,[1]Sheet1!$P:$P,0)</f>
        <v>0</v>
      </c>
      <c r="N992" s="12">
        <f>_xlfn.XLOOKUP(B992,[1]Sheet1!$B:$B,[1]Sheet1!$Q:$Q,0)</f>
        <v>0</v>
      </c>
      <c r="O992" s="12">
        <f>_xlfn.XLOOKUP(B992,[1]Sheet1!$B:$B,[1]Sheet1!$R:$R,0)</f>
        <v>0</v>
      </c>
      <c r="P992" s="12">
        <f>_xlfn.XLOOKUP(B992,[1]Sheet1!$B:$B,[1]Sheet1!$S:$S,0)</f>
        <v>0</v>
      </c>
      <c r="Q992" s="12">
        <f>_xlfn.XLOOKUP(B992,[1]Sheet1!$B:$B,[1]Sheet1!$T:$T,0)</f>
        <v>0</v>
      </c>
      <c r="R992" s="12">
        <f>_xlfn.XLOOKUP(B992,[1]Sheet1!$B:$B,[1]Sheet1!$U:$U,0)</f>
        <v>0</v>
      </c>
      <c r="S992" s="12">
        <f>_xlfn.XLOOKUP(B992,[1]Sheet1!$B:$B,[1]Sheet1!$V:$V,0)</f>
        <v>0</v>
      </c>
      <c r="T992" s="12">
        <f>_xlfn.XLOOKUP(B992,[1]Sheet1!$B:$B,[1]Sheet1!$W:$W,0)</f>
        <v>213310</v>
      </c>
      <c r="U992" s="12">
        <f>_xlfn.XLOOKUP(B992,[1]Sheet1!$B:$B,[1]Sheet1!$X:$X,0)</f>
        <v>213313</v>
      </c>
      <c r="V992" s="12">
        <f>_xlfn.XLOOKUP(B992,[1]Sheet1!$B:$B,[1]Sheet1!$Y:$Y,0)</f>
        <v>213315</v>
      </c>
      <c r="W992" s="12">
        <f t="shared" si="33"/>
        <v>639938</v>
      </c>
      <c r="X992" s="6" t="s">
        <v>74</v>
      </c>
      <c r="Y992" s="6" t="s">
        <v>65</v>
      </c>
      <c r="Z992" s="6" t="s">
        <v>66</v>
      </c>
      <c r="AA992" s="6" t="s">
        <v>44</v>
      </c>
      <c r="AB992" s="6" t="s">
        <v>36</v>
      </c>
      <c r="AC992" s="6" t="s">
        <v>37</v>
      </c>
      <c r="AD992" s="6" t="s">
        <v>69</v>
      </c>
      <c r="AE992" s="6" t="s">
        <v>39</v>
      </c>
      <c r="AF992" s="6" t="s">
        <v>40</v>
      </c>
      <c r="AG992" s="7">
        <v>687461.93</v>
      </c>
      <c r="AH992" s="11">
        <f>_xlfn.XLOOKUP(B992,[1]Sheet1!$B:$B,[1]Sheet1!$AB:$AB,0)</f>
        <v>687462</v>
      </c>
    </row>
    <row r="993" spans="2:34" ht="16.8" thickTop="1" thickBot="1" x14ac:dyDescent="0.35">
      <c r="B993" s="3" t="str">
        <f t="shared" si="32"/>
        <v>45112504511001269Freelancers-N424521200104</v>
      </c>
      <c r="C993" s="8" t="s">
        <v>67</v>
      </c>
      <c r="D993" s="8" t="s">
        <v>1522</v>
      </c>
      <c r="E993" s="8" t="s">
        <v>1523</v>
      </c>
      <c r="F993" s="8" t="s">
        <v>50</v>
      </c>
      <c r="G993" s="4" t="s">
        <v>2804</v>
      </c>
      <c r="H993" s="4" t="s">
        <v>2922</v>
      </c>
      <c r="I993" s="8" t="s">
        <v>51</v>
      </c>
      <c r="J993" s="8" t="s">
        <v>31</v>
      </c>
      <c r="K993" s="12">
        <f>_xlfn.XLOOKUP(B993,[1]Sheet1!$B:$B,[1]Sheet1!$N:$N,0)</f>
        <v>0</v>
      </c>
      <c r="L993" s="12">
        <f>_xlfn.XLOOKUP(B993,[1]Sheet1!$B:$B,[1]Sheet1!$O:$O,0)</f>
        <v>281000</v>
      </c>
      <c r="M993" s="12">
        <f>_xlfn.XLOOKUP(B993,[1]Sheet1!$B:$B,[1]Sheet1!$P:$P,0)</f>
        <v>0</v>
      </c>
      <c r="N993" s="12">
        <f>_xlfn.XLOOKUP(B993,[1]Sheet1!$B:$B,[1]Sheet1!$Q:$Q,0)</f>
        <v>195000</v>
      </c>
      <c r="O993" s="12">
        <f>_xlfn.XLOOKUP(B993,[1]Sheet1!$B:$B,[1]Sheet1!$R:$R,0)</f>
        <v>119000</v>
      </c>
      <c r="P993" s="12">
        <f>_xlfn.XLOOKUP(B993,[1]Sheet1!$B:$B,[1]Sheet1!$S:$S,0)</f>
        <v>119000</v>
      </c>
      <c r="Q993" s="12">
        <f>_xlfn.XLOOKUP(B993,[1]Sheet1!$B:$B,[1]Sheet1!$T:$T,0)</f>
        <v>119000</v>
      </c>
      <c r="R993" s="12">
        <f>_xlfn.XLOOKUP(B993,[1]Sheet1!$B:$B,[1]Sheet1!$U:$U,0)</f>
        <v>119000</v>
      </c>
      <c r="S993" s="12">
        <f>_xlfn.XLOOKUP(B993,[1]Sheet1!$B:$B,[1]Sheet1!$V:$V,0)</f>
        <v>119000</v>
      </c>
      <c r="T993" s="12">
        <f>_xlfn.XLOOKUP(B993,[1]Sheet1!$B:$B,[1]Sheet1!$W:$W,0)</f>
        <v>119000</v>
      </c>
      <c r="U993" s="12">
        <f>_xlfn.XLOOKUP(B993,[1]Sheet1!$B:$B,[1]Sheet1!$X:$X,0)</f>
        <v>119000</v>
      </c>
      <c r="V993" s="12">
        <f>_xlfn.XLOOKUP(B993,[1]Sheet1!$B:$B,[1]Sheet1!$Y:$Y,0)</f>
        <v>119000</v>
      </c>
      <c r="W993" s="12">
        <f t="shared" si="33"/>
        <v>1428000</v>
      </c>
      <c r="X993" s="8" t="s">
        <v>82</v>
      </c>
      <c r="Y993" s="8" t="s">
        <v>65</v>
      </c>
      <c r="Z993" s="8" t="s">
        <v>66</v>
      </c>
      <c r="AA993" s="8" t="s">
        <v>53</v>
      </c>
      <c r="AB993" s="8" t="s">
        <v>36</v>
      </c>
      <c r="AC993" s="8" t="s">
        <v>37</v>
      </c>
      <c r="AD993" s="8" t="s">
        <v>69</v>
      </c>
      <c r="AE993" s="8" t="s">
        <v>39</v>
      </c>
      <c r="AF993" s="8" t="s">
        <v>40</v>
      </c>
      <c r="AG993" s="9">
        <v>1399310</v>
      </c>
      <c r="AH993" s="11">
        <f>_xlfn.XLOOKUP(B993,[1]Sheet1!$B:$B,[1]Sheet1!$AB:$AB,0)</f>
        <v>1399310</v>
      </c>
    </row>
    <row r="994" spans="2:34" ht="16.8" thickTop="1" thickBot="1" x14ac:dyDescent="0.35">
      <c r="B994" s="3" t="str">
        <f t="shared" si="32"/>
        <v>45112504511001269Manpower-N424521200104</v>
      </c>
      <c r="C994" s="6" t="s">
        <v>67</v>
      </c>
      <c r="D994" s="6" t="s">
        <v>1522</v>
      </c>
      <c r="E994" s="6" t="s">
        <v>1523</v>
      </c>
      <c r="F994" s="6" t="s">
        <v>98</v>
      </c>
      <c r="G994" s="4" t="s">
        <v>2804</v>
      </c>
      <c r="H994" s="4" t="s">
        <v>2922</v>
      </c>
      <c r="I994" s="6" t="s">
        <v>51</v>
      </c>
      <c r="J994" s="6" t="s">
        <v>31</v>
      </c>
      <c r="K994" s="12">
        <f>_xlfn.XLOOKUP(B994,[1]Sheet1!$B:$B,[1]Sheet1!$N:$N,0)</f>
        <v>0</v>
      </c>
      <c r="L994" s="12">
        <f>_xlfn.XLOOKUP(B994,[1]Sheet1!$B:$B,[1]Sheet1!$O:$O,0)</f>
        <v>0</v>
      </c>
      <c r="M994" s="12">
        <f>_xlfn.XLOOKUP(B994,[1]Sheet1!$B:$B,[1]Sheet1!$P:$P,0)</f>
        <v>0</v>
      </c>
      <c r="N994" s="12">
        <f>_xlfn.XLOOKUP(B994,[1]Sheet1!$B:$B,[1]Sheet1!$Q:$Q,0)</f>
        <v>450800</v>
      </c>
      <c r="O994" s="12">
        <f>_xlfn.XLOOKUP(B994,[1]Sheet1!$B:$B,[1]Sheet1!$R:$R,0)</f>
        <v>112700</v>
      </c>
      <c r="P994" s="12">
        <f>_xlfn.XLOOKUP(B994,[1]Sheet1!$B:$B,[1]Sheet1!$S:$S,0)</f>
        <v>112700</v>
      </c>
      <c r="Q994" s="12">
        <f>_xlfn.XLOOKUP(B994,[1]Sheet1!$B:$B,[1]Sheet1!$T:$T,0)</f>
        <v>112700</v>
      </c>
      <c r="R994" s="12">
        <f>_xlfn.XLOOKUP(B994,[1]Sheet1!$B:$B,[1]Sheet1!$U:$U,0)</f>
        <v>112700</v>
      </c>
      <c r="S994" s="12">
        <f>_xlfn.XLOOKUP(B994,[1]Sheet1!$B:$B,[1]Sheet1!$V:$V,0)</f>
        <v>112700</v>
      </c>
      <c r="T994" s="12">
        <f>_xlfn.XLOOKUP(B994,[1]Sheet1!$B:$B,[1]Sheet1!$W:$W,0)</f>
        <v>112700</v>
      </c>
      <c r="U994" s="12">
        <f>_xlfn.XLOOKUP(B994,[1]Sheet1!$B:$B,[1]Sheet1!$X:$X,0)</f>
        <v>112700</v>
      </c>
      <c r="V994" s="12">
        <f>_xlfn.XLOOKUP(B994,[1]Sheet1!$B:$B,[1]Sheet1!$Y:$Y,0)</f>
        <v>112700</v>
      </c>
      <c r="W994" s="12">
        <f t="shared" si="33"/>
        <v>1352400</v>
      </c>
      <c r="X994" s="6" t="s">
        <v>82</v>
      </c>
      <c r="Y994" s="6" t="s">
        <v>65</v>
      </c>
      <c r="Z994" s="6" t="s">
        <v>66</v>
      </c>
      <c r="AA994" s="6" t="s">
        <v>53</v>
      </c>
      <c r="AB994" s="6" t="s">
        <v>36</v>
      </c>
      <c r="AC994" s="6" t="s">
        <v>37</v>
      </c>
      <c r="AD994" s="6" t="s">
        <v>69</v>
      </c>
      <c r="AE994" s="6" t="s">
        <v>39</v>
      </c>
      <c r="AF994" s="6" t="s">
        <v>40</v>
      </c>
      <c r="AG994" s="7">
        <v>1352400</v>
      </c>
      <c r="AH994" s="11">
        <f>_xlfn.XLOOKUP(B994,[1]Sheet1!$B:$B,[1]Sheet1!$AB:$AB,0)</f>
        <v>1352400</v>
      </c>
    </row>
    <row r="995" spans="2:34" ht="16.8" thickTop="1" thickBot="1" x14ac:dyDescent="0.35">
      <c r="B995" s="3" t="str">
        <f t="shared" si="32"/>
        <v>45112504511001270E-E Ops and Prod-N1421125200104</v>
      </c>
      <c r="C995" s="8" t="s">
        <v>67</v>
      </c>
      <c r="D995" s="8" t="s">
        <v>1524</v>
      </c>
      <c r="E995" s="8" t="s">
        <v>1525</v>
      </c>
      <c r="F995" s="8" t="s">
        <v>1209</v>
      </c>
      <c r="G995" s="4" t="s">
        <v>2803</v>
      </c>
      <c r="H995" s="4" t="s">
        <v>2922</v>
      </c>
      <c r="I995" s="8" t="s">
        <v>44</v>
      </c>
      <c r="J995" s="8" t="s">
        <v>31</v>
      </c>
      <c r="K995" s="12">
        <f>_xlfn.XLOOKUP(B995,[1]Sheet1!$B:$B,[1]Sheet1!$N:$N,0)</f>
        <v>0</v>
      </c>
      <c r="L995" s="12">
        <f>_xlfn.XLOOKUP(B995,[1]Sheet1!$B:$B,[1]Sheet1!$O:$O,0)</f>
        <v>0</v>
      </c>
      <c r="M995" s="12">
        <f>_xlfn.XLOOKUP(B995,[1]Sheet1!$B:$B,[1]Sheet1!$P:$P,0)</f>
        <v>0</v>
      </c>
      <c r="N995" s="12">
        <f>_xlfn.XLOOKUP(B995,[1]Sheet1!$B:$B,[1]Sheet1!$Q:$Q,0)</f>
        <v>0</v>
      </c>
      <c r="O995" s="12">
        <f>_xlfn.XLOOKUP(B995,[1]Sheet1!$B:$B,[1]Sheet1!$R:$R,0)</f>
        <v>0</v>
      </c>
      <c r="P995" s="12">
        <f>_xlfn.XLOOKUP(B995,[1]Sheet1!$B:$B,[1]Sheet1!$S:$S,0)</f>
        <v>0</v>
      </c>
      <c r="Q995" s="12">
        <f>_xlfn.XLOOKUP(B995,[1]Sheet1!$B:$B,[1]Sheet1!$T:$T,0)</f>
        <v>0</v>
      </c>
      <c r="R995" s="12">
        <f>_xlfn.XLOOKUP(B995,[1]Sheet1!$B:$B,[1]Sheet1!$U:$U,0)</f>
        <v>0</v>
      </c>
      <c r="S995" s="12">
        <f>_xlfn.XLOOKUP(B995,[1]Sheet1!$B:$B,[1]Sheet1!$V:$V,0)</f>
        <v>0</v>
      </c>
      <c r="T995" s="12">
        <f>_xlfn.XLOOKUP(B995,[1]Sheet1!$B:$B,[1]Sheet1!$W:$W,0)</f>
        <v>0</v>
      </c>
      <c r="U995" s="12">
        <f>_xlfn.XLOOKUP(B995,[1]Sheet1!$B:$B,[1]Sheet1!$X:$X,0)</f>
        <v>0</v>
      </c>
      <c r="V995" s="12">
        <f>_xlfn.XLOOKUP(B995,[1]Sheet1!$B:$B,[1]Sheet1!$Y:$Y,0)</f>
        <v>30000</v>
      </c>
      <c r="W995" s="12">
        <f t="shared" si="33"/>
        <v>30000</v>
      </c>
      <c r="X995" s="8" t="s">
        <v>74</v>
      </c>
      <c r="Y995" s="8" t="s">
        <v>65</v>
      </c>
      <c r="Z995" s="8" t="s">
        <v>66</v>
      </c>
      <c r="AA995" s="8" t="s">
        <v>44</v>
      </c>
      <c r="AB995" s="8" t="s">
        <v>36</v>
      </c>
      <c r="AC995" s="8" t="s">
        <v>37</v>
      </c>
      <c r="AD995" s="8" t="s">
        <v>69</v>
      </c>
      <c r="AE995" s="8" t="s">
        <v>39</v>
      </c>
      <c r="AF995" s="8" t="s">
        <v>40</v>
      </c>
      <c r="AG995" s="9">
        <v>41025</v>
      </c>
      <c r="AH995" s="11">
        <f>_xlfn.XLOOKUP(B995,[1]Sheet1!$B:$B,[1]Sheet1!$AB:$AB,0)</f>
        <v>41025</v>
      </c>
    </row>
    <row r="996" spans="2:34" ht="16.8" thickTop="1" thickBot="1" x14ac:dyDescent="0.35">
      <c r="B996" s="3" t="str">
        <f t="shared" si="32"/>
        <v>45112504511001270Freelancers-N424521200104</v>
      </c>
      <c r="C996" s="6" t="s">
        <v>67</v>
      </c>
      <c r="D996" s="6" t="s">
        <v>1524</v>
      </c>
      <c r="E996" s="6" t="s">
        <v>1525</v>
      </c>
      <c r="F996" s="6" t="s">
        <v>50</v>
      </c>
      <c r="G996" s="4" t="s">
        <v>2804</v>
      </c>
      <c r="H996" s="4" t="s">
        <v>2922</v>
      </c>
      <c r="I996" s="6" t="s">
        <v>51</v>
      </c>
      <c r="J996" s="6" t="s">
        <v>31</v>
      </c>
      <c r="K996" s="12">
        <f>_xlfn.XLOOKUP(B996,[1]Sheet1!$B:$B,[1]Sheet1!$N:$N,0)</f>
        <v>0</v>
      </c>
      <c r="L996" s="12">
        <f>_xlfn.XLOOKUP(B996,[1]Sheet1!$B:$B,[1]Sheet1!$O:$O,0)</f>
        <v>0</v>
      </c>
      <c r="M996" s="12">
        <f>_xlfn.XLOOKUP(B996,[1]Sheet1!$B:$B,[1]Sheet1!$P:$P,0)</f>
        <v>0</v>
      </c>
      <c r="N996" s="12">
        <f>_xlfn.XLOOKUP(B996,[1]Sheet1!$B:$B,[1]Sheet1!$Q:$Q,0)</f>
        <v>30000</v>
      </c>
      <c r="O996" s="12">
        <f>_xlfn.XLOOKUP(B996,[1]Sheet1!$B:$B,[1]Sheet1!$R:$R,0)</f>
        <v>30000</v>
      </c>
      <c r="P996" s="12">
        <f>_xlfn.XLOOKUP(B996,[1]Sheet1!$B:$B,[1]Sheet1!$S:$S,0)</f>
        <v>30000</v>
      </c>
      <c r="Q996" s="12">
        <f>_xlfn.XLOOKUP(B996,[1]Sheet1!$B:$B,[1]Sheet1!$T:$T,0)</f>
        <v>30000</v>
      </c>
      <c r="R996" s="12">
        <f>_xlfn.XLOOKUP(B996,[1]Sheet1!$B:$B,[1]Sheet1!$U:$U,0)</f>
        <v>30000</v>
      </c>
      <c r="S996" s="12">
        <f>_xlfn.XLOOKUP(B996,[1]Sheet1!$B:$B,[1]Sheet1!$V:$V,0)</f>
        <v>30000</v>
      </c>
      <c r="T996" s="12">
        <f>_xlfn.XLOOKUP(B996,[1]Sheet1!$B:$B,[1]Sheet1!$W:$W,0)</f>
        <v>30000</v>
      </c>
      <c r="U996" s="12">
        <f>_xlfn.XLOOKUP(B996,[1]Sheet1!$B:$B,[1]Sheet1!$X:$X,0)</f>
        <v>30000</v>
      </c>
      <c r="V996" s="12">
        <f>_xlfn.XLOOKUP(B996,[1]Sheet1!$B:$B,[1]Sheet1!$Y:$Y,0)</f>
        <v>30000</v>
      </c>
      <c r="W996" s="12">
        <f t="shared" si="33"/>
        <v>270000</v>
      </c>
      <c r="X996" s="6" t="s">
        <v>82</v>
      </c>
      <c r="Y996" s="6" t="s">
        <v>65</v>
      </c>
      <c r="Z996" s="6" t="s">
        <v>66</v>
      </c>
      <c r="AA996" s="6" t="s">
        <v>53</v>
      </c>
      <c r="AB996" s="6" t="s">
        <v>36</v>
      </c>
      <c r="AC996" s="6" t="s">
        <v>37</v>
      </c>
      <c r="AD996" s="6" t="s">
        <v>69</v>
      </c>
      <c r="AE996" s="6" t="s">
        <v>39</v>
      </c>
      <c r="AF996" s="6" t="s">
        <v>40</v>
      </c>
      <c r="AG996" s="7">
        <v>270000</v>
      </c>
      <c r="AH996" s="11">
        <f>_xlfn.XLOOKUP(B996,[1]Sheet1!$B:$B,[1]Sheet1!$AB:$AB,0)</f>
        <v>270000</v>
      </c>
    </row>
    <row r="997" spans="2:34" ht="16.8" thickTop="1" thickBot="1" x14ac:dyDescent="0.35">
      <c r="B997" s="3" t="str">
        <f t="shared" si="32"/>
        <v>45112504511001270Manpower-N424521200104</v>
      </c>
      <c r="C997" s="8" t="s">
        <v>67</v>
      </c>
      <c r="D997" s="8" t="s">
        <v>1524</v>
      </c>
      <c r="E997" s="8" t="s">
        <v>1525</v>
      </c>
      <c r="F997" s="8" t="s">
        <v>98</v>
      </c>
      <c r="G997" s="4" t="s">
        <v>2804</v>
      </c>
      <c r="H997" s="4" t="s">
        <v>2922</v>
      </c>
      <c r="I997" s="8" t="s">
        <v>51</v>
      </c>
      <c r="J997" s="8" t="s">
        <v>31</v>
      </c>
      <c r="K997" s="12">
        <f>_xlfn.XLOOKUP(B997,[1]Sheet1!$B:$B,[1]Sheet1!$N:$N,0)</f>
        <v>0</v>
      </c>
      <c r="L997" s="12">
        <f>_xlfn.XLOOKUP(B997,[1]Sheet1!$B:$B,[1]Sheet1!$O:$O,0)</f>
        <v>0</v>
      </c>
      <c r="M997" s="12">
        <f>_xlfn.XLOOKUP(B997,[1]Sheet1!$B:$B,[1]Sheet1!$P:$P,0)</f>
        <v>0</v>
      </c>
      <c r="N997" s="12">
        <f>_xlfn.XLOOKUP(B997,[1]Sheet1!$B:$B,[1]Sheet1!$Q:$Q,0)</f>
        <v>106439</v>
      </c>
      <c r="O997" s="12">
        <f>_xlfn.XLOOKUP(B997,[1]Sheet1!$B:$B,[1]Sheet1!$R:$R,0)</f>
        <v>33468</v>
      </c>
      <c r="P997" s="12">
        <f>_xlfn.XLOOKUP(B997,[1]Sheet1!$B:$B,[1]Sheet1!$S:$S,0)</f>
        <v>33468</v>
      </c>
      <c r="Q997" s="12">
        <f>_xlfn.XLOOKUP(B997,[1]Sheet1!$B:$B,[1]Sheet1!$T:$T,0)</f>
        <v>33468</v>
      </c>
      <c r="R997" s="12">
        <f>_xlfn.XLOOKUP(B997,[1]Sheet1!$B:$B,[1]Sheet1!$U:$U,0)</f>
        <v>33468</v>
      </c>
      <c r="S997" s="12">
        <f>_xlfn.XLOOKUP(B997,[1]Sheet1!$B:$B,[1]Sheet1!$V:$V,0)</f>
        <v>33468</v>
      </c>
      <c r="T997" s="12">
        <f>_xlfn.XLOOKUP(B997,[1]Sheet1!$B:$B,[1]Sheet1!$W:$W,0)</f>
        <v>62307</v>
      </c>
      <c r="U997" s="12">
        <f>_xlfn.XLOOKUP(B997,[1]Sheet1!$B:$B,[1]Sheet1!$X:$X,0)</f>
        <v>62307</v>
      </c>
      <c r="V997" s="12">
        <f>_xlfn.XLOOKUP(B997,[1]Sheet1!$B:$B,[1]Sheet1!$Y:$Y,0)</f>
        <v>62307</v>
      </c>
      <c r="W997" s="12">
        <f t="shared" si="33"/>
        <v>460700</v>
      </c>
      <c r="X997" s="8" t="s">
        <v>82</v>
      </c>
      <c r="Y997" s="8" t="s">
        <v>65</v>
      </c>
      <c r="Z997" s="8" t="s">
        <v>66</v>
      </c>
      <c r="AA997" s="8" t="s">
        <v>53</v>
      </c>
      <c r="AB997" s="8" t="s">
        <v>36</v>
      </c>
      <c r="AC997" s="8" t="s">
        <v>37</v>
      </c>
      <c r="AD997" s="8" t="s">
        <v>69</v>
      </c>
      <c r="AE997" s="8" t="s">
        <v>39</v>
      </c>
      <c r="AF997" s="8" t="s">
        <v>40</v>
      </c>
      <c r="AG997" s="9">
        <v>480700</v>
      </c>
      <c r="AH997" s="11">
        <f>_xlfn.XLOOKUP(B997,[1]Sheet1!$B:$B,[1]Sheet1!$AB:$AB,0)</f>
        <v>480700</v>
      </c>
    </row>
    <row r="998" spans="2:34" ht="16.8" thickTop="1" thickBot="1" x14ac:dyDescent="0.35">
      <c r="B998" s="3" t="str">
        <f t="shared" si="32"/>
        <v>45131304511001271Sponsorship Fees-L424811201931</v>
      </c>
      <c r="C998" s="6" t="s">
        <v>321</v>
      </c>
      <c r="D998" s="6" t="s">
        <v>1526</v>
      </c>
      <c r="E998" s="6" t="s">
        <v>1527</v>
      </c>
      <c r="F998" s="6" t="s">
        <v>935</v>
      </c>
      <c r="G998" s="4" t="s">
        <v>2802</v>
      </c>
      <c r="H998" s="4" t="s">
        <v>2925</v>
      </c>
      <c r="I998" s="6" t="s">
        <v>30</v>
      </c>
      <c r="J998" s="6" t="s">
        <v>31</v>
      </c>
      <c r="K998" s="12">
        <f>_xlfn.XLOOKUP(B998,[1]Sheet1!$B:$B,[1]Sheet1!$N:$N,0)</f>
        <v>0</v>
      </c>
      <c r="L998" s="12">
        <f>_xlfn.XLOOKUP(B998,[1]Sheet1!$B:$B,[1]Sheet1!$O:$O,0)</f>
        <v>0</v>
      </c>
      <c r="M998" s="12">
        <f>_xlfn.XLOOKUP(B998,[1]Sheet1!$B:$B,[1]Sheet1!$P:$P,0)</f>
        <v>0</v>
      </c>
      <c r="N998" s="12">
        <f>_xlfn.XLOOKUP(B998,[1]Sheet1!$B:$B,[1]Sheet1!$Q:$Q,0)</f>
        <v>0</v>
      </c>
      <c r="O998" s="12">
        <f>_xlfn.XLOOKUP(B998,[1]Sheet1!$B:$B,[1]Sheet1!$R:$R,0)</f>
        <v>0</v>
      </c>
      <c r="P998" s="12">
        <f>_xlfn.XLOOKUP(B998,[1]Sheet1!$B:$B,[1]Sheet1!$S:$S,0)</f>
        <v>0</v>
      </c>
      <c r="Q998" s="12">
        <f>_xlfn.XLOOKUP(B998,[1]Sheet1!$B:$B,[1]Sheet1!$T:$T,0)</f>
        <v>1372700</v>
      </c>
      <c r="R998" s="12">
        <f>_xlfn.XLOOKUP(B998,[1]Sheet1!$B:$B,[1]Sheet1!$U:$U,0)</f>
        <v>0</v>
      </c>
      <c r="S998" s="12">
        <f>_xlfn.XLOOKUP(B998,[1]Sheet1!$B:$B,[1]Sheet1!$V:$V,0)</f>
        <v>0</v>
      </c>
      <c r="T998" s="12">
        <f>_xlfn.XLOOKUP(B998,[1]Sheet1!$B:$B,[1]Sheet1!$W:$W,0)</f>
        <v>0</v>
      </c>
      <c r="U998" s="12">
        <f>_xlfn.XLOOKUP(B998,[1]Sheet1!$B:$B,[1]Sheet1!$X:$X,0)</f>
        <v>0</v>
      </c>
      <c r="V998" s="12">
        <f>_xlfn.XLOOKUP(B998,[1]Sheet1!$B:$B,[1]Sheet1!$Y:$Y,0)</f>
        <v>1372700</v>
      </c>
      <c r="W998" s="12">
        <f t="shared" si="33"/>
        <v>2745400</v>
      </c>
      <c r="X998" s="6" t="s">
        <v>1356</v>
      </c>
      <c r="Y998" s="6" t="s">
        <v>319</v>
      </c>
      <c r="Z998" s="6" t="s">
        <v>320</v>
      </c>
      <c r="AA998" s="6" t="s">
        <v>30</v>
      </c>
      <c r="AB998" s="6" t="s">
        <v>327</v>
      </c>
      <c r="AC998" s="6" t="s">
        <v>37</v>
      </c>
      <c r="AD998" s="6" t="s">
        <v>342</v>
      </c>
      <c r="AE998" s="6" t="s">
        <v>39</v>
      </c>
      <c r="AF998" s="6" t="s">
        <v>40</v>
      </c>
      <c r="AG998" s="7">
        <v>2745400</v>
      </c>
      <c r="AH998" s="11">
        <f>_xlfn.XLOOKUP(B998,[1]Sheet1!$B:$B,[1]Sheet1!$AB:$AB,0)</f>
        <v>2745400</v>
      </c>
    </row>
    <row r="999" spans="2:34" ht="16.8" thickTop="1" thickBot="1" x14ac:dyDescent="0.35">
      <c r="B999" s="3" t="str">
        <f t="shared" si="32"/>
        <v>45102304511001272Ad-hoc Repairs-N1426427200104</v>
      </c>
      <c r="C999" s="8" t="s">
        <v>467</v>
      </c>
      <c r="D999" s="8" t="s">
        <v>1528</v>
      </c>
      <c r="E999" s="8" t="s">
        <v>1529</v>
      </c>
      <c r="F999" s="8" t="s">
        <v>621</v>
      </c>
      <c r="G999" s="4" t="s">
        <v>2808</v>
      </c>
      <c r="H999" s="4" t="s">
        <v>2922</v>
      </c>
      <c r="I999" s="8" t="s">
        <v>71</v>
      </c>
      <c r="J999" s="8" t="s">
        <v>31</v>
      </c>
      <c r="K999" s="12">
        <f>_xlfn.XLOOKUP(B999,[1]Sheet1!$B:$B,[1]Sheet1!$N:$N,0)</f>
        <v>0</v>
      </c>
      <c r="L999" s="12">
        <f>_xlfn.XLOOKUP(B999,[1]Sheet1!$B:$B,[1]Sheet1!$O:$O,0)</f>
        <v>0</v>
      </c>
      <c r="M999" s="12">
        <f>_xlfn.XLOOKUP(B999,[1]Sheet1!$B:$B,[1]Sheet1!$P:$P,0)</f>
        <v>0</v>
      </c>
      <c r="N999" s="12">
        <f>_xlfn.XLOOKUP(B999,[1]Sheet1!$B:$B,[1]Sheet1!$Q:$Q,0)</f>
        <v>10800</v>
      </c>
      <c r="O999" s="12">
        <f>_xlfn.XLOOKUP(B999,[1]Sheet1!$B:$B,[1]Sheet1!$R:$R,0)</f>
        <v>2700</v>
      </c>
      <c r="P999" s="12">
        <f>_xlfn.XLOOKUP(B999,[1]Sheet1!$B:$B,[1]Sheet1!$S:$S,0)</f>
        <v>2700</v>
      </c>
      <c r="Q999" s="12">
        <f>_xlfn.XLOOKUP(B999,[1]Sheet1!$B:$B,[1]Sheet1!$T:$T,0)</f>
        <v>2700</v>
      </c>
      <c r="R999" s="12">
        <f>_xlfn.XLOOKUP(B999,[1]Sheet1!$B:$B,[1]Sheet1!$U:$U,0)</f>
        <v>2700</v>
      </c>
      <c r="S999" s="12">
        <f>_xlfn.XLOOKUP(B999,[1]Sheet1!$B:$B,[1]Sheet1!$V:$V,0)</f>
        <v>2700</v>
      </c>
      <c r="T999" s="12">
        <f>_xlfn.XLOOKUP(B999,[1]Sheet1!$B:$B,[1]Sheet1!$W:$W,0)</f>
        <v>2700</v>
      </c>
      <c r="U999" s="12">
        <f>_xlfn.XLOOKUP(B999,[1]Sheet1!$B:$B,[1]Sheet1!$X:$X,0)</f>
        <v>2700</v>
      </c>
      <c r="V999" s="12">
        <f>_xlfn.XLOOKUP(B999,[1]Sheet1!$B:$B,[1]Sheet1!$Y:$Y,0)</f>
        <v>2700</v>
      </c>
      <c r="W999" s="12">
        <f t="shared" si="33"/>
        <v>32400</v>
      </c>
      <c r="X999" s="8" t="s">
        <v>622</v>
      </c>
      <c r="Y999" s="8" t="s">
        <v>132</v>
      </c>
      <c r="Z999" s="8" t="s">
        <v>466</v>
      </c>
      <c r="AA999" s="8" t="s">
        <v>71</v>
      </c>
      <c r="AB999" s="8" t="s">
        <v>36</v>
      </c>
      <c r="AC999" s="8" t="s">
        <v>37</v>
      </c>
      <c r="AD999" s="8" t="s">
        <v>468</v>
      </c>
      <c r="AE999" s="8" t="s">
        <v>39</v>
      </c>
      <c r="AF999" s="8" t="s">
        <v>40</v>
      </c>
      <c r="AG999" s="9">
        <v>32400</v>
      </c>
      <c r="AH999" s="11">
        <f>_xlfn.XLOOKUP(B999,[1]Sheet1!$B:$B,[1]Sheet1!$AB:$AB,0)</f>
        <v>32400</v>
      </c>
    </row>
    <row r="1000" spans="2:34" ht="16.8" thickTop="1" thickBot="1" x14ac:dyDescent="0.35">
      <c r="B1000" s="3" t="str">
        <f t="shared" si="32"/>
        <v>45102304511001272Cleaning Service-N1422311200104</v>
      </c>
      <c r="C1000" s="6" t="s">
        <v>467</v>
      </c>
      <c r="D1000" s="6" t="s">
        <v>1528</v>
      </c>
      <c r="E1000" s="6" t="s">
        <v>1529</v>
      </c>
      <c r="F1000" s="6" t="s">
        <v>623</v>
      </c>
      <c r="G1000" s="4" t="s">
        <v>2810</v>
      </c>
      <c r="H1000" s="4" t="s">
        <v>2922</v>
      </c>
      <c r="I1000" s="6" t="s">
        <v>80</v>
      </c>
      <c r="J1000" s="6" t="s">
        <v>31</v>
      </c>
      <c r="K1000" s="12">
        <f>_xlfn.XLOOKUP(B1000,[1]Sheet1!$B:$B,[1]Sheet1!$N:$N,0)</f>
        <v>0</v>
      </c>
      <c r="L1000" s="12">
        <f>_xlfn.XLOOKUP(B1000,[1]Sheet1!$B:$B,[1]Sheet1!$O:$O,0)</f>
        <v>0</v>
      </c>
      <c r="M1000" s="12">
        <f>_xlfn.XLOOKUP(B1000,[1]Sheet1!$B:$B,[1]Sheet1!$P:$P,0)</f>
        <v>0</v>
      </c>
      <c r="N1000" s="12">
        <f>_xlfn.XLOOKUP(B1000,[1]Sheet1!$B:$B,[1]Sheet1!$Q:$Q,0)</f>
        <v>45000</v>
      </c>
      <c r="O1000" s="12">
        <f>_xlfn.XLOOKUP(B1000,[1]Sheet1!$B:$B,[1]Sheet1!$R:$R,0)</f>
        <v>11250</v>
      </c>
      <c r="P1000" s="12">
        <f>_xlfn.XLOOKUP(B1000,[1]Sheet1!$B:$B,[1]Sheet1!$S:$S,0)</f>
        <v>11250</v>
      </c>
      <c r="Q1000" s="12">
        <f>_xlfn.XLOOKUP(B1000,[1]Sheet1!$B:$B,[1]Sheet1!$T:$T,0)</f>
        <v>11250</v>
      </c>
      <c r="R1000" s="12">
        <f>_xlfn.XLOOKUP(B1000,[1]Sheet1!$B:$B,[1]Sheet1!$U:$U,0)</f>
        <v>11250</v>
      </c>
      <c r="S1000" s="12">
        <f>_xlfn.XLOOKUP(B1000,[1]Sheet1!$B:$B,[1]Sheet1!$V:$V,0)</f>
        <v>11250</v>
      </c>
      <c r="T1000" s="12">
        <f>_xlfn.XLOOKUP(B1000,[1]Sheet1!$B:$B,[1]Sheet1!$W:$W,0)</f>
        <v>11250</v>
      </c>
      <c r="U1000" s="12">
        <f>_xlfn.XLOOKUP(B1000,[1]Sheet1!$B:$B,[1]Sheet1!$X:$X,0)</f>
        <v>11250</v>
      </c>
      <c r="V1000" s="12">
        <f>_xlfn.XLOOKUP(B1000,[1]Sheet1!$B:$B,[1]Sheet1!$Y:$Y,0)</f>
        <v>11250</v>
      </c>
      <c r="W1000" s="12">
        <f t="shared" si="33"/>
        <v>135000</v>
      </c>
      <c r="X1000" s="6" t="s">
        <v>624</v>
      </c>
      <c r="Y1000" s="6" t="s">
        <v>132</v>
      </c>
      <c r="Z1000" s="6" t="s">
        <v>466</v>
      </c>
      <c r="AA1000" s="6" t="s">
        <v>80</v>
      </c>
      <c r="AB1000" s="6" t="s">
        <v>36</v>
      </c>
      <c r="AC1000" s="6" t="s">
        <v>37</v>
      </c>
      <c r="AD1000" s="6" t="s">
        <v>468</v>
      </c>
      <c r="AE1000" s="6" t="s">
        <v>39</v>
      </c>
      <c r="AF1000" s="6" t="s">
        <v>40</v>
      </c>
      <c r="AG1000" s="7">
        <v>135000</v>
      </c>
      <c r="AH1000" s="11">
        <f>_xlfn.XLOOKUP(B1000,[1]Sheet1!$B:$B,[1]Sheet1!$AB:$AB,0)</f>
        <v>135000</v>
      </c>
    </row>
    <row r="1001" spans="2:34" ht="16.8" thickTop="1" thickBot="1" x14ac:dyDescent="0.35">
      <c r="B1001" s="3" t="str">
        <f t="shared" si="32"/>
        <v>45102304511001272Facilities Rent-N1425112200104</v>
      </c>
      <c r="C1001" s="8" t="s">
        <v>467</v>
      </c>
      <c r="D1001" s="8" t="s">
        <v>1528</v>
      </c>
      <c r="E1001" s="8" t="s">
        <v>1529</v>
      </c>
      <c r="F1001" s="8" t="s">
        <v>631</v>
      </c>
      <c r="G1001" s="4" t="s">
        <v>2848</v>
      </c>
      <c r="H1001" s="4" t="s">
        <v>2922</v>
      </c>
      <c r="I1001" s="8" t="s">
        <v>533</v>
      </c>
      <c r="J1001" s="8" t="s">
        <v>31</v>
      </c>
      <c r="K1001" s="12">
        <f>_xlfn.XLOOKUP(B1001,[1]Sheet1!$B:$B,[1]Sheet1!$N:$N,0)</f>
        <v>0</v>
      </c>
      <c r="L1001" s="12">
        <f>_xlfn.XLOOKUP(B1001,[1]Sheet1!$B:$B,[1]Sheet1!$O:$O,0)</f>
        <v>0</v>
      </c>
      <c r="M1001" s="12">
        <f>_xlfn.XLOOKUP(B1001,[1]Sheet1!$B:$B,[1]Sheet1!$P:$P,0)</f>
        <v>0</v>
      </c>
      <c r="N1001" s="12">
        <f>_xlfn.XLOOKUP(B1001,[1]Sheet1!$B:$B,[1]Sheet1!$Q:$Q,0)</f>
        <v>0</v>
      </c>
      <c r="O1001" s="12">
        <f>_xlfn.XLOOKUP(B1001,[1]Sheet1!$B:$B,[1]Sheet1!$R:$R,0)</f>
        <v>53666</v>
      </c>
      <c r="P1001" s="12">
        <f>_xlfn.XLOOKUP(B1001,[1]Sheet1!$B:$B,[1]Sheet1!$S:$S,0)</f>
        <v>0</v>
      </c>
      <c r="Q1001" s="12">
        <f>_xlfn.XLOOKUP(B1001,[1]Sheet1!$B:$B,[1]Sheet1!$T:$T,0)</f>
        <v>0</v>
      </c>
      <c r="R1001" s="12">
        <f>_xlfn.XLOOKUP(B1001,[1]Sheet1!$B:$B,[1]Sheet1!$U:$U,0)</f>
        <v>0</v>
      </c>
      <c r="S1001" s="12">
        <f>_xlfn.XLOOKUP(B1001,[1]Sheet1!$B:$B,[1]Sheet1!$V:$V,0)</f>
        <v>0</v>
      </c>
      <c r="T1001" s="12">
        <f>_xlfn.XLOOKUP(B1001,[1]Sheet1!$B:$B,[1]Sheet1!$W:$W,0)</f>
        <v>0</v>
      </c>
      <c r="U1001" s="12">
        <f>_xlfn.XLOOKUP(B1001,[1]Sheet1!$B:$B,[1]Sheet1!$X:$X,0)</f>
        <v>0</v>
      </c>
      <c r="V1001" s="12">
        <f>_xlfn.XLOOKUP(B1001,[1]Sheet1!$B:$B,[1]Sheet1!$Y:$Y,0)</f>
        <v>0</v>
      </c>
      <c r="W1001" s="12">
        <f t="shared" si="33"/>
        <v>53666</v>
      </c>
      <c r="X1001" s="8" t="s">
        <v>632</v>
      </c>
      <c r="Y1001" s="8" t="s">
        <v>132</v>
      </c>
      <c r="Z1001" s="8" t="s">
        <v>466</v>
      </c>
      <c r="AA1001" s="8" t="s">
        <v>533</v>
      </c>
      <c r="AB1001" s="8" t="s">
        <v>36</v>
      </c>
      <c r="AC1001" s="8" t="s">
        <v>37</v>
      </c>
      <c r="AD1001" s="8" t="s">
        <v>468</v>
      </c>
      <c r="AE1001" s="8" t="s">
        <v>39</v>
      </c>
      <c r="AF1001" s="8" t="s">
        <v>40</v>
      </c>
      <c r="AG1001" s="9">
        <v>53666.1</v>
      </c>
      <c r="AH1001" s="11">
        <f>_xlfn.XLOOKUP(B1001,[1]Sheet1!$B:$B,[1]Sheet1!$AB:$AB,0)</f>
        <v>53666</v>
      </c>
    </row>
    <row r="1002" spans="2:34" ht="16.8" thickTop="1" thickBot="1" x14ac:dyDescent="0.35">
      <c r="B1002" s="3" t="str">
        <f t="shared" si="32"/>
        <v>45102304511001272Hospitality-N1424761200104</v>
      </c>
      <c r="C1002" s="6" t="s">
        <v>467</v>
      </c>
      <c r="D1002" s="6" t="s">
        <v>1528</v>
      </c>
      <c r="E1002" s="6" t="s">
        <v>1529</v>
      </c>
      <c r="F1002" s="6" t="s">
        <v>399</v>
      </c>
      <c r="G1002" s="4" t="s">
        <v>2811</v>
      </c>
      <c r="H1002" s="4" t="s">
        <v>2922</v>
      </c>
      <c r="I1002" s="6" t="s">
        <v>84</v>
      </c>
      <c r="J1002" s="6" t="s">
        <v>31</v>
      </c>
      <c r="K1002" s="12">
        <f>_xlfn.XLOOKUP(B1002,[1]Sheet1!$B:$B,[1]Sheet1!$N:$N,0)</f>
        <v>0</v>
      </c>
      <c r="L1002" s="12">
        <f>_xlfn.XLOOKUP(B1002,[1]Sheet1!$B:$B,[1]Sheet1!$O:$O,0)</f>
        <v>0</v>
      </c>
      <c r="M1002" s="12">
        <f>_xlfn.XLOOKUP(B1002,[1]Sheet1!$B:$B,[1]Sheet1!$P:$P,0)</f>
        <v>0</v>
      </c>
      <c r="N1002" s="12">
        <f>_xlfn.XLOOKUP(B1002,[1]Sheet1!$B:$B,[1]Sheet1!$Q:$Q,0)</f>
        <v>57600</v>
      </c>
      <c r="O1002" s="12">
        <f>_xlfn.XLOOKUP(B1002,[1]Sheet1!$B:$B,[1]Sheet1!$R:$R,0)</f>
        <v>14400</v>
      </c>
      <c r="P1002" s="12">
        <f>_xlfn.XLOOKUP(B1002,[1]Sheet1!$B:$B,[1]Sheet1!$S:$S,0)</f>
        <v>14400</v>
      </c>
      <c r="Q1002" s="12">
        <f>_xlfn.XLOOKUP(B1002,[1]Sheet1!$B:$B,[1]Sheet1!$T:$T,0)</f>
        <v>14400</v>
      </c>
      <c r="R1002" s="12">
        <f>_xlfn.XLOOKUP(B1002,[1]Sheet1!$B:$B,[1]Sheet1!$U:$U,0)</f>
        <v>14400</v>
      </c>
      <c r="S1002" s="12">
        <f>_xlfn.XLOOKUP(B1002,[1]Sheet1!$B:$B,[1]Sheet1!$V:$V,0)</f>
        <v>14400</v>
      </c>
      <c r="T1002" s="12">
        <f>_xlfn.XLOOKUP(B1002,[1]Sheet1!$B:$B,[1]Sheet1!$W:$W,0)</f>
        <v>14400</v>
      </c>
      <c r="U1002" s="12">
        <f>_xlfn.XLOOKUP(B1002,[1]Sheet1!$B:$B,[1]Sheet1!$X:$X,0)</f>
        <v>14400</v>
      </c>
      <c r="V1002" s="12">
        <f>_xlfn.XLOOKUP(B1002,[1]Sheet1!$B:$B,[1]Sheet1!$Y:$Y,0)</f>
        <v>14400</v>
      </c>
      <c r="W1002" s="12">
        <f t="shared" si="33"/>
        <v>172800</v>
      </c>
      <c r="X1002" s="6" t="s">
        <v>469</v>
      </c>
      <c r="Y1002" s="6" t="s">
        <v>132</v>
      </c>
      <c r="Z1002" s="6" t="s">
        <v>466</v>
      </c>
      <c r="AA1002" s="6" t="s">
        <v>84</v>
      </c>
      <c r="AB1002" s="6" t="s">
        <v>36</v>
      </c>
      <c r="AC1002" s="6" t="s">
        <v>37</v>
      </c>
      <c r="AD1002" s="6" t="s">
        <v>468</v>
      </c>
      <c r="AE1002" s="6" t="s">
        <v>39</v>
      </c>
      <c r="AF1002" s="6" t="s">
        <v>40</v>
      </c>
      <c r="AG1002" s="7">
        <v>172800</v>
      </c>
      <c r="AH1002" s="11">
        <f>_xlfn.XLOOKUP(B1002,[1]Sheet1!$B:$B,[1]Sheet1!$AB:$AB,0)</f>
        <v>172800</v>
      </c>
    </row>
    <row r="1003" spans="2:34" ht="16.8" thickTop="1" thickBot="1" x14ac:dyDescent="0.35">
      <c r="B1003" s="3" t="str">
        <f t="shared" si="32"/>
        <v>45102304511001272Landscaping-N1432614200104</v>
      </c>
      <c r="C1003" s="8" t="s">
        <v>467</v>
      </c>
      <c r="D1003" s="8" t="s">
        <v>1528</v>
      </c>
      <c r="E1003" s="8" t="s">
        <v>1529</v>
      </c>
      <c r="F1003" s="8" t="s">
        <v>694</v>
      </c>
      <c r="G1003" s="4" t="s">
        <v>2812</v>
      </c>
      <c r="H1003" s="4" t="s">
        <v>2922</v>
      </c>
      <c r="I1003" s="8" t="s">
        <v>87</v>
      </c>
      <c r="J1003" s="8" t="s">
        <v>31</v>
      </c>
      <c r="K1003" s="12">
        <f>_xlfn.XLOOKUP(B1003,[1]Sheet1!$B:$B,[1]Sheet1!$N:$N,0)</f>
        <v>0</v>
      </c>
      <c r="L1003" s="12">
        <f>_xlfn.XLOOKUP(B1003,[1]Sheet1!$B:$B,[1]Sheet1!$O:$O,0)</f>
        <v>0</v>
      </c>
      <c r="M1003" s="12">
        <f>_xlfn.XLOOKUP(B1003,[1]Sheet1!$B:$B,[1]Sheet1!$P:$P,0)</f>
        <v>0</v>
      </c>
      <c r="N1003" s="12">
        <f>_xlfn.XLOOKUP(B1003,[1]Sheet1!$B:$B,[1]Sheet1!$Q:$Q,0)</f>
        <v>15000</v>
      </c>
      <c r="O1003" s="12">
        <f>_xlfn.XLOOKUP(B1003,[1]Sheet1!$B:$B,[1]Sheet1!$R:$R,0)</f>
        <v>3750</v>
      </c>
      <c r="P1003" s="12">
        <f>_xlfn.XLOOKUP(B1003,[1]Sheet1!$B:$B,[1]Sheet1!$S:$S,0)</f>
        <v>3750</v>
      </c>
      <c r="Q1003" s="12">
        <f>_xlfn.XLOOKUP(B1003,[1]Sheet1!$B:$B,[1]Sheet1!$T:$T,0)</f>
        <v>3750</v>
      </c>
      <c r="R1003" s="12">
        <f>_xlfn.XLOOKUP(B1003,[1]Sheet1!$B:$B,[1]Sheet1!$U:$U,0)</f>
        <v>3750</v>
      </c>
      <c r="S1003" s="12">
        <f>_xlfn.XLOOKUP(B1003,[1]Sheet1!$B:$B,[1]Sheet1!$V:$V,0)</f>
        <v>3750</v>
      </c>
      <c r="T1003" s="12">
        <f>_xlfn.XLOOKUP(B1003,[1]Sheet1!$B:$B,[1]Sheet1!$W:$W,0)</f>
        <v>3750</v>
      </c>
      <c r="U1003" s="12">
        <f>_xlfn.XLOOKUP(B1003,[1]Sheet1!$B:$B,[1]Sheet1!$X:$X,0)</f>
        <v>3750</v>
      </c>
      <c r="V1003" s="12">
        <f>_xlfn.XLOOKUP(B1003,[1]Sheet1!$B:$B,[1]Sheet1!$Y:$Y,0)</f>
        <v>3750</v>
      </c>
      <c r="W1003" s="12">
        <f t="shared" si="33"/>
        <v>45000</v>
      </c>
      <c r="X1003" s="8" t="s">
        <v>695</v>
      </c>
      <c r="Y1003" s="8" t="s">
        <v>132</v>
      </c>
      <c r="Z1003" s="8" t="s">
        <v>466</v>
      </c>
      <c r="AA1003" s="8" t="s">
        <v>87</v>
      </c>
      <c r="AB1003" s="8" t="s">
        <v>36</v>
      </c>
      <c r="AC1003" s="8" t="s">
        <v>37</v>
      </c>
      <c r="AD1003" s="8" t="s">
        <v>468</v>
      </c>
      <c r="AE1003" s="8" t="s">
        <v>39</v>
      </c>
      <c r="AF1003" s="8" t="s">
        <v>40</v>
      </c>
      <c r="AG1003" s="9">
        <v>45000</v>
      </c>
      <c r="AH1003" s="11">
        <f>_xlfn.XLOOKUP(B1003,[1]Sheet1!$B:$B,[1]Sheet1!$AB:$AB,0)</f>
        <v>45000</v>
      </c>
    </row>
    <row r="1004" spans="2:34" ht="16.8" thickTop="1" thickBot="1" x14ac:dyDescent="0.35">
      <c r="B1004" s="3" t="str">
        <f t="shared" si="32"/>
        <v>45102304511001272Maintenance-N1426212200104</v>
      </c>
      <c r="C1004" s="6" t="s">
        <v>467</v>
      </c>
      <c r="D1004" s="6" t="s">
        <v>1528</v>
      </c>
      <c r="E1004" s="6" t="s">
        <v>1529</v>
      </c>
      <c r="F1004" s="6" t="s">
        <v>625</v>
      </c>
      <c r="G1004" s="4" t="s">
        <v>2814</v>
      </c>
      <c r="H1004" s="4" t="s">
        <v>2922</v>
      </c>
      <c r="I1004" s="6" t="s">
        <v>96</v>
      </c>
      <c r="J1004" s="6" t="s">
        <v>31</v>
      </c>
      <c r="K1004" s="12">
        <f>_xlfn.XLOOKUP(B1004,[1]Sheet1!$B:$B,[1]Sheet1!$N:$N,0)</f>
        <v>0</v>
      </c>
      <c r="L1004" s="12">
        <f>_xlfn.XLOOKUP(B1004,[1]Sheet1!$B:$B,[1]Sheet1!$O:$O,0)</f>
        <v>0</v>
      </c>
      <c r="M1004" s="12">
        <f>_xlfn.XLOOKUP(B1004,[1]Sheet1!$B:$B,[1]Sheet1!$P:$P,0)</f>
        <v>0</v>
      </c>
      <c r="N1004" s="12">
        <f>_xlfn.XLOOKUP(B1004,[1]Sheet1!$B:$B,[1]Sheet1!$Q:$Q,0)</f>
        <v>108120</v>
      </c>
      <c r="O1004" s="12">
        <f>_xlfn.XLOOKUP(B1004,[1]Sheet1!$B:$B,[1]Sheet1!$R:$R,0)</f>
        <v>27030</v>
      </c>
      <c r="P1004" s="12">
        <f>_xlfn.XLOOKUP(B1004,[1]Sheet1!$B:$B,[1]Sheet1!$S:$S,0)</f>
        <v>27030</v>
      </c>
      <c r="Q1004" s="12">
        <f>_xlfn.XLOOKUP(B1004,[1]Sheet1!$B:$B,[1]Sheet1!$T:$T,0)</f>
        <v>27030</v>
      </c>
      <c r="R1004" s="12">
        <f>_xlfn.XLOOKUP(B1004,[1]Sheet1!$B:$B,[1]Sheet1!$U:$U,0)</f>
        <v>27030</v>
      </c>
      <c r="S1004" s="12">
        <f>_xlfn.XLOOKUP(B1004,[1]Sheet1!$B:$B,[1]Sheet1!$V:$V,0)</f>
        <v>27030</v>
      </c>
      <c r="T1004" s="12">
        <f>_xlfn.XLOOKUP(B1004,[1]Sheet1!$B:$B,[1]Sheet1!$W:$W,0)</f>
        <v>27030</v>
      </c>
      <c r="U1004" s="12">
        <f>_xlfn.XLOOKUP(B1004,[1]Sheet1!$B:$B,[1]Sheet1!$X:$X,0)</f>
        <v>27030</v>
      </c>
      <c r="V1004" s="12">
        <f>_xlfn.XLOOKUP(B1004,[1]Sheet1!$B:$B,[1]Sheet1!$Y:$Y,0)</f>
        <v>27030</v>
      </c>
      <c r="W1004" s="12">
        <f t="shared" si="33"/>
        <v>324360</v>
      </c>
      <c r="X1004" s="6" t="s">
        <v>626</v>
      </c>
      <c r="Y1004" s="6" t="s">
        <v>132</v>
      </c>
      <c r="Z1004" s="6" t="s">
        <v>466</v>
      </c>
      <c r="AA1004" s="6" t="s">
        <v>96</v>
      </c>
      <c r="AB1004" s="6" t="s">
        <v>36</v>
      </c>
      <c r="AC1004" s="6" t="s">
        <v>37</v>
      </c>
      <c r="AD1004" s="6" t="s">
        <v>468</v>
      </c>
      <c r="AE1004" s="6" t="s">
        <v>39</v>
      </c>
      <c r="AF1004" s="6" t="s">
        <v>40</v>
      </c>
      <c r="AG1004" s="7">
        <v>324360</v>
      </c>
      <c r="AH1004" s="11">
        <f>_xlfn.XLOOKUP(B1004,[1]Sheet1!$B:$B,[1]Sheet1!$AB:$AB,0)</f>
        <v>324360</v>
      </c>
    </row>
    <row r="1005" spans="2:34" ht="16.8" thickTop="1" thickBot="1" x14ac:dyDescent="0.35">
      <c r="B1005" s="3" t="str">
        <f t="shared" si="32"/>
        <v>45102304511001272Security Service-N1424551200104</v>
      </c>
      <c r="C1005" s="8" t="s">
        <v>467</v>
      </c>
      <c r="D1005" s="8" t="s">
        <v>1528</v>
      </c>
      <c r="E1005" s="8" t="s">
        <v>1529</v>
      </c>
      <c r="F1005" s="8" t="s">
        <v>627</v>
      </c>
      <c r="G1005" s="4" t="s">
        <v>2817</v>
      </c>
      <c r="H1005" s="4" t="s">
        <v>2922</v>
      </c>
      <c r="I1005" s="8" t="s">
        <v>108</v>
      </c>
      <c r="J1005" s="8" t="s">
        <v>31</v>
      </c>
      <c r="K1005" s="12">
        <f>_xlfn.XLOOKUP(B1005,[1]Sheet1!$B:$B,[1]Sheet1!$N:$N,0)</f>
        <v>0</v>
      </c>
      <c r="L1005" s="12">
        <f>_xlfn.XLOOKUP(B1005,[1]Sheet1!$B:$B,[1]Sheet1!$O:$O,0)</f>
        <v>0</v>
      </c>
      <c r="M1005" s="12">
        <f>_xlfn.XLOOKUP(B1005,[1]Sheet1!$B:$B,[1]Sheet1!$P:$P,0)</f>
        <v>0</v>
      </c>
      <c r="N1005" s="12">
        <f>_xlfn.XLOOKUP(B1005,[1]Sheet1!$B:$B,[1]Sheet1!$Q:$Q,0)</f>
        <v>16600</v>
      </c>
      <c r="O1005" s="12">
        <f>_xlfn.XLOOKUP(B1005,[1]Sheet1!$B:$B,[1]Sheet1!$R:$R,0)</f>
        <v>4150</v>
      </c>
      <c r="P1005" s="12">
        <f>_xlfn.XLOOKUP(B1005,[1]Sheet1!$B:$B,[1]Sheet1!$S:$S,0)</f>
        <v>4150</v>
      </c>
      <c r="Q1005" s="12">
        <f>_xlfn.XLOOKUP(B1005,[1]Sheet1!$B:$B,[1]Sheet1!$T:$T,0)</f>
        <v>4150</v>
      </c>
      <c r="R1005" s="12">
        <f>_xlfn.XLOOKUP(B1005,[1]Sheet1!$B:$B,[1]Sheet1!$U:$U,0)</f>
        <v>4150</v>
      </c>
      <c r="S1005" s="12">
        <f>_xlfn.XLOOKUP(B1005,[1]Sheet1!$B:$B,[1]Sheet1!$V:$V,0)</f>
        <v>4150</v>
      </c>
      <c r="T1005" s="12">
        <f>_xlfn.XLOOKUP(B1005,[1]Sheet1!$B:$B,[1]Sheet1!$W:$W,0)</f>
        <v>4150</v>
      </c>
      <c r="U1005" s="12">
        <f>_xlfn.XLOOKUP(B1005,[1]Sheet1!$B:$B,[1]Sheet1!$X:$X,0)</f>
        <v>4150</v>
      </c>
      <c r="V1005" s="12">
        <f>_xlfn.XLOOKUP(B1005,[1]Sheet1!$B:$B,[1]Sheet1!$Y:$Y,0)</f>
        <v>4150</v>
      </c>
      <c r="W1005" s="12">
        <f t="shared" si="33"/>
        <v>49800</v>
      </c>
      <c r="X1005" s="8" t="s">
        <v>628</v>
      </c>
      <c r="Y1005" s="8" t="s">
        <v>132</v>
      </c>
      <c r="Z1005" s="8" t="s">
        <v>466</v>
      </c>
      <c r="AA1005" s="8" t="s">
        <v>108</v>
      </c>
      <c r="AB1005" s="8" t="s">
        <v>36</v>
      </c>
      <c r="AC1005" s="8" t="s">
        <v>37</v>
      </c>
      <c r="AD1005" s="8" t="s">
        <v>468</v>
      </c>
      <c r="AE1005" s="8" t="s">
        <v>39</v>
      </c>
      <c r="AF1005" s="8" t="s">
        <v>40</v>
      </c>
      <c r="AG1005" s="9">
        <v>49800</v>
      </c>
      <c r="AH1005" s="11">
        <f>_xlfn.XLOOKUP(B1005,[1]Sheet1!$B:$B,[1]Sheet1!$AB:$AB,0)</f>
        <v>49800</v>
      </c>
    </row>
    <row r="1006" spans="2:34" ht="16.8" thickTop="1" thickBot="1" x14ac:dyDescent="0.35">
      <c r="B1006" s="3" t="str">
        <f t="shared" si="32"/>
        <v>45102304511001273Ad-hoc Repairs-N1426427200104</v>
      </c>
      <c r="C1006" s="6" t="s">
        <v>467</v>
      </c>
      <c r="D1006" s="6" t="s">
        <v>1530</v>
      </c>
      <c r="E1006" s="6" t="s">
        <v>1531</v>
      </c>
      <c r="F1006" s="6" t="s">
        <v>621</v>
      </c>
      <c r="G1006" s="4" t="s">
        <v>2808</v>
      </c>
      <c r="H1006" s="4" t="s">
        <v>2922</v>
      </c>
      <c r="I1006" s="6" t="s">
        <v>71</v>
      </c>
      <c r="J1006" s="6" t="s">
        <v>31</v>
      </c>
      <c r="K1006" s="12">
        <f>_xlfn.XLOOKUP(B1006,[1]Sheet1!$B:$B,[1]Sheet1!$N:$N,0)</f>
        <v>0</v>
      </c>
      <c r="L1006" s="12">
        <f>_xlfn.XLOOKUP(B1006,[1]Sheet1!$B:$B,[1]Sheet1!$O:$O,0)</f>
        <v>0</v>
      </c>
      <c r="M1006" s="12">
        <f>_xlfn.XLOOKUP(B1006,[1]Sheet1!$B:$B,[1]Sheet1!$P:$P,0)</f>
        <v>0</v>
      </c>
      <c r="N1006" s="12">
        <f>_xlfn.XLOOKUP(B1006,[1]Sheet1!$B:$B,[1]Sheet1!$Q:$Q,0)</f>
        <v>2000</v>
      </c>
      <c r="O1006" s="12">
        <f>_xlfn.XLOOKUP(B1006,[1]Sheet1!$B:$B,[1]Sheet1!$R:$R,0)</f>
        <v>0</v>
      </c>
      <c r="P1006" s="12">
        <f>_xlfn.XLOOKUP(B1006,[1]Sheet1!$B:$B,[1]Sheet1!$S:$S,0)</f>
        <v>0</v>
      </c>
      <c r="Q1006" s="12">
        <f>_xlfn.XLOOKUP(B1006,[1]Sheet1!$B:$B,[1]Sheet1!$T:$T,0)</f>
        <v>2000</v>
      </c>
      <c r="R1006" s="12">
        <f>_xlfn.XLOOKUP(B1006,[1]Sheet1!$B:$B,[1]Sheet1!$U:$U,0)</f>
        <v>0</v>
      </c>
      <c r="S1006" s="12">
        <f>_xlfn.XLOOKUP(B1006,[1]Sheet1!$B:$B,[1]Sheet1!$V:$V,0)</f>
        <v>2000</v>
      </c>
      <c r="T1006" s="12">
        <f>_xlfn.XLOOKUP(B1006,[1]Sheet1!$B:$B,[1]Sheet1!$W:$W,0)</f>
        <v>0</v>
      </c>
      <c r="U1006" s="12">
        <f>_xlfn.XLOOKUP(B1006,[1]Sheet1!$B:$B,[1]Sheet1!$X:$X,0)</f>
        <v>0</v>
      </c>
      <c r="V1006" s="12">
        <f>_xlfn.XLOOKUP(B1006,[1]Sheet1!$B:$B,[1]Sheet1!$Y:$Y,0)</f>
        <v>0</v>
      </c>
      <c r="W1006" s="12">
        <f t="shared" si="33"/>
        <v>6000</v>
      </c>
      <c r="X1006" s="6" t="s">
        <v>622</v>
      </c>
      <c r="Y1006" s="6" t="s">
        <v>132</v>
      </c>
      <c r="Z1006" s="6" t="s">
        <v>466</v>
      </c>
      <c r="AA1006" s="6" t="s">
        <v>71</v>
      </c>
      <c r="AB1006" s="6" t="s">
        <v>36</v>
      </c>
      <c r="AC1006" s="6" t="s">
        <v>37</v>
      </c>
      <c r="AD1006" s="6" t="s">
        <v>468</v>
      </c>
      <c r="AE1006" s="6" t="s">
        <v>39</v>
      </c>
      <c r="AF1006" s="6" t="s">
        <v>40</v>
      </c>
      <c r="AG1006" s="7">
        <v>6000</v>
      </c>
      <c r="AH1006" s="11">
        <f>_xlfn.XLOOKUP(B1006,[1]Sheet1!$B:$B,[1]Sheet1!$AB:$AB,0)</f>
        <v>6000</v>
      </c>
    </row>
    <row r="1007" spans="2:34" ht="16.8" thickTop="1" thickBot="1" x14ac:dyDescent="0.35">
      <c r="B1007" s="3" t="str">
        <f t="shared" si="32"/>
        <v>45102304511001273Cleaning Service-N1422311200104</v>
      </c>
      <c r="C1007" s="8" t="s">
        <v>467</v>
      </c>
      <c r="D1007" s="8" t="s">
        <v>1530</v>
      </c>
      <c r="E1007" s="8" t="s">
        <v>1531</v>
      </c>
      <c r="F1007" s="8" t="s">
        <v>623</v>
      </c>
      <c r="G1007" s="4" t="s">
        <v>2810</v>
      </c>
      <c r="H1007" s="4" t="s">
        <v>2922</v>
      </c>
      <c r="I1007" s="8" t="s">
        <v>80</v>
      </c>
      <c r="J1007" s="8" t="s">
        <v>31</v>
      </c>
      <c r="K1007" s="12">
        <f>_xlfn.XLOOKUP(B1007,[1]Sheet1!$B:$B,[1]Sheet1!$N:$N,0)</f>
        <v>0</v>
      </c>
      <c r="L1007" s="12">
        <f>_xlfn.XLOOKUP(B1007,[1]Sheet1!$B:$B,[1]Sheet1!$O:$O,0)</f>
        <v>0</v>
      </c>
      <c r="M1007" s="12">
        <f>_xlfn.XLOOKUP(B1007,[1]Sheet1!$B:$B,[1]Sheet1!$P:$P,0)</f>
        <v>0</v>
      </c>
      <c r="N1007" s="12">
        <f>_xlfn.XLOOKUP(B1007,[1]Sheet1!$B:$B,[1]Sheet1!$Q:$Q,0)</f>
        <v>12600</v>
      </c>
      <c r="O1007" s="12">
        <f>_xlfn.XLOOKUP(B1007,[1]Sheet1!$B:$B,[1]Sheet1!$R:$R,0)</f>
        <v>3150</v>
      </c>
      <c r="P1007" s="12">
        <f>_xlfn.XLOOKUP(B1007,[1]Sheet1!$B:$B,[1]Sheet1!$S:$S,0)</f>
        <v>3150</v>
      </c>
      <c r="Q1007" s="12">
        <f>_xlfn.XLOOKUP(B1007,[1]Sheet1!$B:$B,[1]Sheet1!$T:$T,0)</f>
        <v>3150</v>
      </c>
      <c r="R1007" s="12">
        <f>_xlfn.XLOOKUP(B1007,[1]Sheet1!$B:$B,[1]Sheet1!$U:$U,0)</f>
        <v>3150</v>
      </c>
      <c r="S1007" s="12">
        <f>_xlfn.XLOOKUP(B1007,[1]Sheet1!$B:$B,[1]Sheet1!$V:$V,0)</f>
        <v>3150</v>
      </c>
      <c r="T1007" s="12">
        <f>_xlfn.XLOOKUP(B1007,[1]Sheet1!$B:$B,[1]Sheet1!$W:$W,0)</f>
        <v>3150</v>
      </c>
      <c r="U1007" s="12">
        <f>_xlfn.XLOOKUP(B1007,[1]Sheet1!$B:$B,[1]Sheet1!$X:$X,0)</f>
        <v>3150</v>
      </c>
      <c r="V1007" s="12">
        <f>_xlfn.XLOOKUP(B1007,[1]Sheet1!$B:$B,[1]Sheet1!$Y:$Y,0)</f>
        <v>3150</v>
      </c>
      <c r="W1007" s="12">
        <f t="shared" si="33"/>
        <v>37800</v>
      </c>
      <c r="X1007" s="8" t="s">
        <v>624</v>
      </c>
      <c r="Y1007" s="8" t="s">
        <v>132</v>
      </c>
      <c r="Z1007" s="8" t="s">
        <v>466</v>
      </c>
      <c r="AA1007" s="8" t="s">
        <v>80</v>
      </c>
      <c r="AB1007" s="8" t="s">
        <v>36</v>
      </c>
      <c r="AC1007" s="8" t="s">
        <v>37</v>
      </c>
      <c r="AD1007" s="8" t="s">
        <v>468</v>
      </c>
      <c r="AE1007" s="8" t="s">
        <v>39</v>
      </c>
      <c r="AF1007" s="8" t="s">
        <v>40</v>
      </c>
      <c r="AG1007" s="9">
        <v>37800</v>
      </c>
      <c r="AH1007" s="11">
        <f>_xlfn.XLOOKUP(B1007,[1]Sheet1!$B:$B,[1]Sheet1!$AB:$AB,0)</f>
        <v>37800</v>
      </c>
    </row>
    <row r="1008" spans="2:34" ht="16.8" thickTop="1" thickBot="1" x14ac:dyDescent="0.35">
      <c r="B1008" s="3" t="str">
        <f t="shared" si="32"/>
        <v>45102304511001273Hospitality-N1424761200104</v>
      </c>
      <c r="C1008" s="6" t="s">
        <v>467</v>
      </c>
      <c r="D1008" s="6" t="s">
        <v>1530</v>
      </c>
      <c r="E1008" s="6" t="s">
        <v>1531</v>
      </c>
      <c r="F1008" s="6" t="s">
        <v>399</v>
      </c>
      <c r="G1008" s="4" t="s">
        <v>2811</v>
      </c>
      <c r="H1008" s="4" t="s">
        <v>2922</v>
      </c>
      <c r="I1008" s="6" t="s">
        <v>84</v>
      </c>
      <c r="J1008" s="6" t="s">
        <v>31</v>
      </c>
      <c r="K1008" s="12">
        <f>_xlfn.XLOOKUP(B1008,[1]Sheet1!$B:$B,[1]Sheet1!$N:$N,0)</f>
        <v>0</v>
      </c>
      <c r="L1008" s="12">
        <f>_xlfn.XLOOKUP(B1008,[1]Sheet1!$B:$B,[1]Sheet1!$O:$O,0)</f>
        <v>0</v>
      </c>
      <c r="M1008" s="12">
        <f>_xlfn.XLOOKUP(B1008,[1]Sheet1!$B:$B,[1]Sheet1!$P:$P,0)</f>
        <v>0</v>
      </c>
      <c r="N1008" s="12">
        <f>_xlfn.XLOOKUP(B1008,[1]Sheet1!$B:$B,[1]Sheet1!$Q:$Q,0)</f>
        <v>17632</v>
      </c>
      <c r="O1008" s="12">
        <f>_xlfn.XLOOKUP(B1008,[1]Sheet1!$B:$B,[1]Sheet1!$R:$R,0)</f>
        <v>4408</v>
      </c>
      <c r="P1008" s="12">
        <f>_xlfn.XLOOKUP(B1008,[1]Sheet1!$B:$B,[1]Sheet1!$S:$S,0)</f>
        <v>4408</v>
      </c>
      <c r="Q1008" s="12">
        <f>_xlfn.XLOOKUP(B1008,[1]Sheet1!$B:$B,[1]Sheet1!$T:$T,0)</f>
        <v>4408</v>
      </c>
      <c r="R1008" s="12">
        <f>_xlfn.XLOOKUP(B1008,[1]Sheet1!$B:$B,[1]Sheet1!$U:$U,0)</f>
        <v>4408</v>
      </c>
      <c r="S1008" s="12">
        <f>_xlfn.XLOOKUP(B1008,[1]Sheet1!$B:$B,[1]Sheet1!$V:$V,0)</f>
        <v>4408</v>
      </c>
      <c r="T1008" s="12">
        <f>_xlfn.XLOOKUP(B1008,[1]Sheet1!$B:$B,[1]Sheet1!$W:$W,0)</f>
        <v>4410</v>
      </c>
      <c r="U1008" s="12">
        <f>_xlfn.XLOOKUP(B1008,[1]Sheet1!$B:$B,[1]Sheet1!$X:$X,0)</f>
        <v>4410</v>
      </c>
      <c r="V1008" s="12">
        <f>_xlfn.XLOOKUP(B1008,[1]Sheet1!$B:$B,[1]Sheet1!$Y:$Y,0)</f>
        <v>4408</v>
      </c>
      <c r="W1008" s="12">
        <f t="shared" si="33"/>
        <v>52900</v>
      </c>
      <c r="X1008" s="6" t="s">
        <v>469</v>
      </c>
      <c r="Y1008" s="6" t="s">
        <v>132</v>
      </c>
      <c r="Z1008" s="6" t="s">
        <v>466</v>
      </c>
      <c r="AA1008" s="6" t="s">
        <v>84</v>
      </c>
      <c r="AB1008" s="6" t="s">
        <v>36</v>
      </c>
      <c r="AC1008" s="6" t="s">
        <v>37</v>
      </c>
      <c r="AD1008" s="6" t="s">
        <v>468</v>
      </c>
      <c r="AE1008" s="6" t="s">
        <v>39</v>
      </c>
      <c r="AF1008" s="6" t="s">
        <v>40</v>
      </c>
      <c r="AG1008" s="7">
        <v>52900</v>
      </c>
      <c r="AH1008" s="11">
        <f>_xlfn.XLOOKUP(B1008,[1]Sheet1!$B:$B,[1]Sheet1!$AB:$AB,0)</f>
        <v>52900</v>
      </c>
    </row>
    <row r="1009" spans="2:34" ht="16.8" thickTop="1" thickBot="1" x14ac:dyDescent="0.35">
      <c r="B1009" s="3" t="str">
        <f t="shared" si="32"/>
        <v>45102304511001273Maintenance-N1426212200104</v>
      </c>
      <c r="C1009" s="8" t="s">
        <v>467</v>
      </c>
      <c r="D1009" s="8" t="s">
        <v>1530</v>
      </c>
      <c r="E1009" s="8" t="s">
        <v>1531</v>
      </c>
      <c r="F1009" s="8" t="s">
        <v>625</v>
      </c>
      <c r="G1009" s="4" t="s">
        <v>2814</v>
      </c>
      <c r="H1009" s="4" t="s">
        <v>2922</v>
      </c>
      <c r="I1009" s="8" t="s">
        <v>96</v>
      </c>
      <c r="J1009" s="8" t="s">
        <v>31</v>
      </c>
      <c r="K1009" s="12">
        <f>_xlfn.XLOOKUP(B1009,[1]Sheet1!$B:$B,[1]Sheet1!$N:$N,0)</f>
        <v>0</v>
      </c>
      <c r="L1009" s="12">
        <f>_xlfn.XLOOKUP(B1009,[1]Sheet1!$B:$B,[1]Sheet1!$O:$O,0)</f>
        <v>0</v>
      </c>
      <c r="M1009" s="12">
        <f>_xlfn.XLOOKUP(B1009,[1]Sheet1!$B:$B,[1]Sheet1!$P:$P,0)</f>
        <v>0</v>
      </c>
      <c r="N1009" s="12">
        <f>_xlfn.XLOOKUP(B1009,[1]Sheet1!$B:$B,[1]Sheet1!$Q:$Q,0)</f>
        <v>6336</v>
      </c>
      <c r="O1009" s="12">
        <f>_xlfn.XLOOKUP(B1009,[1]Sheet1!$B:$B,[1]Sheet1!$R:$R,0)</f>
        <v>1583</v>
      </c>
      <c r="P1009" s="12">
        <f>_xlfn.XLOOKUP(B1009,[1]Sheet1!$B:$B,[1]Sheet1!$S:$S,0)</f>
        <v>1583</v>
      </c>
      <c r="Q1009" s="12">
        <f>_xlfn.XLOOKUP(B1009,[1]Sheet1!$B:$B,[1]Sheet1!$T:$T,0)</f>
        <v>1583</v>
      </c>
      <c r="R1009" s="12">
        <f>_xlfn.XLOOKUP(B1009,[1]Sheet1!$B:$B,[1]Sheet1!$U:$U,0)</f>
        <v>1583</v>
      </c>
      <c r="S1009" s="12">
        <f>_xlfn.XLOOKUP(B1009,[1]Sheet1!$B:$B,[1]Sheet1!$V:$V,0)</f>
        <v>1583</v>
      </c>
      <c r="T1009" s="12">
        <f>_xlfn.XLOOKUP(B1009,[1]Sheet1!$B:$B,[1]Sheet1!$W:$W,0)</f>
        <v>1583</v>
      </c>
      <c r="U1009" s="12">
        <f>_xlfn.XLOOKUP(B1009,[1]Sheet1!$B:$B,[1]Sheet1!$X:$X,0)</f>
        <v>1583</v>
      </c>
      <c r="V1009" s="12">
        <f>_xlfn.XLOOKUP(B1009,[1]Sheet1!$B:$B,[1]Sheet1!$Y:$Y,0)</f>
        <v>1583</v>
      </c>
      <c r="W1009" s="12">
        <f t="shared" si="33"/>
        <v>19000</v>
      </c>
      <c r="X1009" s="8" t="s">
        <v>626</v>
      </c>
      <c r="Y1009" s="8" t="s">
        <v>132</v>
      </c>
      <c r="Z1009" s="8" t="s">
        <v>466</v>
      </c>
      <c r="AA1009" s="8" t="s">
        <v>96</v>
      </c>
      <c r="AB1009" s="8" t="s">
        <v>36</v>
      </c>
      <c r="AC1009" s="8" t="s">
        <v>37</v>
      </c>
      <c r="AD1009" s="8" t="s">
        <v>468</v>
      </c>
      <c r="AE1009" s="8" t="s">
        <v>39</v>
      </c>
      <c r="AF1009" s="8" t="s">
        <v>40</v>
      </c>
      <c r="AG1009" s="9">
        <v>19000</v>
      </c>
      <c r="AH1009" s="11">
        <f>_xlfn.XLOOKUP(B1009,[1]Sheet1!$B:$B,[1]Sheet1!$AB:$AB,0)</f>
        <v>19000</v>
      </c>
    </row>
    <row r="1010" spans="2:34" ht="16.8" thickTop="1" thickBot="1" x14ac:dyDescent="0.35">
      <c r="B1010" s="3" t="str">
        <f t="shared" si="32"/>
        <v>45102304511001274Ad-hoc Repairs-N1426427200104</v>
      </c>
      <c r="C1010" s="6" t="s">
        <v>467</v>
      </c>
      <c r="D1010" s="6" t="s">
        <v>1532</v>
      </c>
      <c r="E1010" s="6" t="s">
        <v>1533</v>
      </c>
      <c r="F1010" s="6" t="s">
        <v>621</v>
      </c>
      <c r="G1010" s="4" t="s">
        <v>2808</v>
      </c>
      <c r="H1010" s="4" t="s">
        <v>2922</v>
      </c>
      <c r="I1010" s="6" t="s">
        <v>71</v>
      </c>
      <c r="J1010" s="6" t="s">
        <v>31</v>
      </c>
      <c r="K1010" s="12">
        <f>_xlfn.XLOOKUP(B1010,[1]Sheet1!$B:$B,[1]Sheet1!$N:$N,0)</f>
        <v>0</v>
      </c>
      <c r="L1010" s="12">
        <f>_xlfn.XLOOKUP(B1010,[1]Sheet1!$B:$B,[1]Sheet1!$O:$O,0)</f>
        <v>0</v>
      </c>
      <c r="M1010" s="12">
        <f>_xlfn.XLOOKUP(B1010,[1]Sheet1!$B:$B,[1]Sheet1!$P:$P,0)</f>
        <v>0</v>
      </c>
      <c r="N1010" s="12">
        <f>_xlfn.XLOOKUP(B1010,[1]Sheet1!$B:$B,[1]Sheet1!$Q:$Q,0)</f>
        <v>1000</v>
      </c>
      <c r="O1010" s="12">
        <f>_xlfn.XLOOKUP(B1010,[1]Sheet1!$B:$B,[1]Sheet1!$R:$R,0)</f>
        <v>0</v>
      </c>
      <c r="P1010" s="12">
        <f>_xlfn.XLOOKUP(B1010,[1]Sheet1!$B:$B,[1]Sheet1!$S:$S,0)</f>
        <v>0</v>
      </c>
      <c r="Q1010" s="12">
        <f>_xlfn.XLOOKUP(B1010,[1]Sheet1!$B:$B,[1]Sheet1!$T:$T,0)</f>
        <v>1000</v>
      </c>
      <c r="R1010" s="12">
        <f>_xlfn.XLOOKUP(B1010,[1]Sheet1!$B:$B,[1]Sheet1!$U:$U,0)</f>
        <v>0</v>
      </c>
      <c r="S1010" s="12">
        <f>_xlfn.XLOOKUP(B1010,[1]Sheet1!$B:$B,[1]Sheet1!$V:$V,0)</f>
        <v>0</v>
      </c>
      <c r="T1010" s="12">
        <f>_xlfn.XLOOKUP(B1010,[1]Sheet1!$B:$B,[1]Sheet1!$W:$W,0)</f>
        <v>1000</v>
      </c>
      <c r="U1010" s="12">
        <f>_xlfn.XLOOKUP(B1010,[1]Sheet1!$B:$B,[1]Sheet1!$X:$X,0)</f>
        <v>0</v>
      </c>
      <c r="V1010" s="12">
        <f>_xlfn.XLOOKUP(B1010,[1]Sheet1!$B:$B,[1]Sheet1!$Y:$Y,0)</f>
        <v>0</v>
      </c>
      <c r="W1010" s="12">
        <f t="shared" si="33"/>
        <v>3000</v>
      </c>
      <c r="X1010" s="6" t="s">
        <v>622</v>
      </c>
      <c r="Y1010" s="6" t="s">
        <v>132</v>
      </c>
      <c r="Z1010" s="6" t="s">
        <v>466</v>
      </c>
      <c r="AA1010" s="6" t="s">
        <v>71</v>
      </c>
      <c r="AB1010" s="6" t="s">
        <v>36</v>
      </c>
      <c r="AC1010" s="6" t="s">
        <v>37</v>
      </c>
      <c r="AD1010" s="6" t="s">
        <v>468</v>
      </c>
      <c r="AE1010" s="6" t="s">
        <v>39</v>
      </c>
      <c r="AF1010" s="6" t="s">
        <v>40</v>
      </c>
      <c r="AG1010" s="7">
        <v>3000</v>
      </c>
      <c r="AH1010" s="11">
        <f>_xlfn.XLOOKUP(B1010,[1]Sheet1!$B:$B,[1]Sheet1!$AB:$AB,0)</f>
        <v>3000</v>
      </c>
    </row>
    <row r="1011" spans="2:34" ht="16.8" thickTop="1" thickBot="1" x14ac:dyDescent="0.35">
      <c r="B1011" s="3" t="str">
        <f t="shared" si="32"/>
        <v>45102304511001274Cleaning Service-N1422311200104</v>
      </c>
      <c r="C1011" s="8" t="s">
        <v>467</v>
      </c>
      <c r="D1011" s="8" t="s">
        <v>1532</v>
      </c>
      <c r="E1011" s="8" t="s">
        <v>1533</v>
      </c>
      <c r="F1011" s="8" t="s">
        <v>623</v>
      </c>
      <c r="G1011" s="4" t="s">
        <v>2810</v>
      </c>
      <c r="H1011" s="4" t="s">
        <v>2922</v>
      </c>
      <c r="I1011" s="8" t="s">
        <v>80</v>
      </c>
      <c r="J1011" s="8" t="s">
        <v>31</v>
      </c>
      <c r="K1011" s="12">
        <f>_xlfn.XLOOKUP(B1011,[1]Sheet1!$B:$B,[1]Sheet1!$N:$N,0)</f>
        <v>0</v>
      </c>
      <c r="L1011" s="12">
        <f>_xlfn.XLOOKUP(B1011,[1]Sheet1!$B:$B,[1]Sheet1!$O:$O,0)</f>
        <v>0</v>
      </c>
      <c r="M1011" s="12">
        <f>_xlfn.XLOOKUP(B1011,[1]Sheet1!$B:$B,[1]Sheet1!$P:$P,0)</f>
        <v>0</v>
      </c>
      <c r="N1011" s="12">
        <f>_xlfn.XLOOKUP(B1011,[1]Sheet1!$B:$B,[1]Sheet1!$Q:$Q,0)</f>
        <v>24800</v>
      </c>
      <c r="O1011" s="12">
        <f>_xlfn.XLOOKUP(B1011,[1]Sheet1!$B:$B,[1]Sheet1!$R:$R,0)</f>
        <v>6200</v>
      </c>
      <c r="P1011" s="12">
        <f>_xlfn.XLOOKUP(B1011,[1]Sheet1!$B:$B,[1]Sheet1!$S:$S,0)</f>
        <v>6200</v>
      </c>
      <c r="Q1011" s="12">
        <f>_xlfn.XLOOKUP(B1011,[1]Sheet1!$B:$B,[1]Sheet1!$T:$T,0)</f>
        <v>6200</v>
      </c>
      <c r="R1011" s="12">
        <f>_xlfn.XLOOKUP(B1011,[1]Sheet1!$B:$B,[1]Sheet1!$U:$U,0)</f>
        <v>6200</v>
      </c>
      <c r="S1011" s="12">
        <f>_xlfn.XLOOKUP(B1011,[1]Sheet1!$B:$B,[1]Sheet1!$V:$V,0)</f>
        <v>6200</v>
      </c>
      <c r="T1011" s="12">
        <f>_xlfn.XLOOKUP(B1011,[1]Sheet1!$B:$B,[1]Sheet1!$W:$W,0)</f>
        <v>6200</v>
      </c>
      <c r="U1011" s="12">
        <f>_xlfn.XLOOKUP(B1011,[1]Sheet1!$B:$B,[1]Sheet1!$X:$X,0)</f>
        <v>6200</v>
      </c>
      <c r="V1011" s="12">
        <f>_xlfn.XLOOKUP(B1011,[1]Sheet1!$B:$B,[1]Sheet1!$Y:$Y,0)</f>
        <v>6200</v>
      </c>
      <c r="W1011" s="12">
        <f t="shared" si="33"/>
        <v>74400</v>
      </c>
      <c r="X1011" s="8" t="s">
        <v>624</v>
      </c>
      <c r="Y1011" s="8" t="s">
        <v>132</v>
      </c>
      <c r="Z1011" s="8" t="s">
        <v>466</v>
      </c>
      <c r="AA1011" s="8" t="s">
        <v>80</v>
      </c>
      <c r="AB1011" s="8" t="s">
        <v>36</v>
      </c>
      <c r="AC1011" s="8" t="s">
        <v>37</v>
      </c>
      <c r="AD1011" s="8" t="s">
        <v>468</v>
      </c>
      <c r="AE1011" s="8" t="s">
        <v>39</v>
      </c>
      <c r="AF1011" s="8" t="s">
        <v>40</v>
      </c>
      <c r="AG1011" s="9">
        <v>74400</v>
      </c>
      <c r="AH1011" s="11">
        <f>_xlfn.XLOOKUP(B1011,[1]Sheet1!$B:$B,[1]Sheet1!$AB:$AB,0)</f>
        <v>74400</v>
      </c>
    </row>
    <row r="1012" spans="2:34" ht="16.8" thickTop="1" thickBot="1" x14ac:dyDescent="0.35">
      <c r="B1012" s="3" t="str">
        <f t="shared" si="32"/>
        <v>45102304511001274Hospitality-N1424761200104</v>
      </c>
      <c r="C1012" s="6" t="s">
        <v>467</v>
      </c>
      <c r="D1012" s="6" t="s">
        <v>1532</v>
      </c>
      <c r="E1012" s="6" t="s">
        <v>1533</v>
      </c>
      <c r="F1012" s="6" t="s">
        <v>399</v>
      </c>
      <c r="G1012" s="4" t="s">
        <v>2811</v>
      </c>
      <c r="H1012" s="4" t="s">
        <v>2922</v>
      </c>
      <c r="I1012" s="6" t="s">
        <v>84</v>
      </c>
      <c r="J1012" s="6" t="s">
        <v>31</v>
      </c>
      <c r="K1012" s="12">
        <f>_xlfn.XLOOKUP(B1012,[1]Sheet1!$B:$B,[1]Sheet1!$N:$N,0)</f>
        <v>0</v>
      </c>
      <c r="L1012" s="12">
        <f>_xlfn.XLOOKUP(B1012,[1]Sheet1!$B:$B,[1]Sheet1!$O:$O,0)</f>
        <v>0</v>
      </c>
      <c r="M1012" s="12">
        <f>_xlfn.XLOOKUP(B1012,[1]Sheet1!$B:$B,[1]Sheet1!$P:$P,0)</f>
        <v>0</v>
      </c>
      <c r="N1012" s="12">
        <f>_xlfn.XLOOKUP(B1012,[1]Sheet1!$B:$B,[1]Sheet1!$Q:$Q,0)</f>
        <v>21332</v>
      </c>
      <c r="O1012" s="12">
        <f>_xlfn.XLOOKUP(B1012,[1]Sheet1!$B:$B,[1]Sheet1!$R:$R,0)</f>
        <v>5333</v>
      </c>
      <c r="P1012" s="12">
        <f>_xlfn.XLOOKUP(B1012,[1]Sheet1!$B:$B,[1]Sheet1!$S:$S,0)</f>
        <v>5333</v>
      </c>
      <c r="Q1012" s="12">
        <f>_xlfn.XLOOKUP(B1012,[1]Sheet1!$B:$B,[1]Sheet1!$T:$T,0)</f>
        <v>5333</v>
      </c>
      <c r="R1012" s="12">
        <f>_xlfn.XLOOKUP(B1012,[1]Sheet1!$B:$B,[1]Sheet1!$U:$U,0)</f>
        <v>5333</v>
      </c>
      <c r="S1012" s="12">
        <f>_xlfn.XLOOKUP(B1012,[1]Sheet1!$B:$B,[1]Sheet1!$V:$V,0)</f>
        <v>5333</v>
      </c>
      <c r="T1012" s="12">
        <f>_xlfn.XLOOKUP(B1012,[1]Sheet1!$B:$B,[1]Sheet1!$W:$W,0)</f>
        <v>5333</v>
      </c>
      <c r="U1012" s="12">
        <f>_xlfn.XLOOKUP(B1012,[1]Sheet1!$B:$B,[1]Sheet1!$X:$X,0)</f>
        <v>5333</v>
      </c>
      <c r="V1012" s="12">
        <f>_xlfn.XLOOKUP(B1012,[1]Sheet1!$B:$B,[1]Sheet1!$Y:$Y,0)</f>
        <v>5337</v>
      </c>
      <c r="W1012" s="12">
        <f t="shared" si="33"/>
        <v>64000</v>
      </c>
      <c r="X1012" s="6" t="s">
        <v>469</v>
      </c>
      <c r="Y1012" s="6" t="s">
        <v>132</v>
      </c>
      <c r="Z1012" s="6" t="s">
        <v>466</v>
      </c>
      <c r="AA1012" s="6" t="s">
        <v>84</v>
      </c>
      <c r="AB1012" s="6" t="s">
        <v>36</v>
      </c>
      <c r="AC1012" s="6" t="s">
        <v>37</v>
      </c>
      <c r="AD1012" s="6" t="s">
        <v>468</v>
      </c>
      <c r="AE1012" s="6" t="s">
        <v>39</v>
      </c>
      <c r="AF1012" s="6" t="s">
        <v>40</v>
      </c>
      <c r="AG1012" s="7">
        <v>64000</v>
      </c>
      <c r="AH1012" s="11">
        <f>_xlfn.XLOOKUP(B1012,[1]Sheet1!$B:$B,[1]Sheet1!$AB:$AB,0)</f>
        <v>64000</v>
      </c>
    </row>
    <row r="1013" spans="2:34" ht="16.8" thickTop="1" thickBot="1" x14ac:dyDescent="0.35">
      <c r="B1013" s="3" t="str">
        <f t="shared" si="32"/>
        <v>45102304511001274Interior Fit Out-NC1491711300105</v>
      </c>
      <c r="C1013" s="8" t="s">
        <v>467</v>
      </c>
      <c r="D1013" s="8" t="s">
        <v>1532</v>
      </c>
      <c r="E1013" s="8" t="s">
        <v>1533</v>
      </c>
      <c r="F1013" s="8" t="s">
        <v>638</v>
      </c>
      <c r="G1013" s="4" t="s">
        <v>2854</v>
      </c>
      <c r="H1013" s="4" t="s">
        <v>2923</v>
      </c>
      <c r="I1013" s="8" t="s">
        <v>639</v>
      </c>
      <c r="J1013" s="8" t="s">
        <v>31</v>
      </c>
      <c r="K1013" s="12">
        <f>_xlfn.XLOOKUP(B1013,[1]Sheet1!$B:$B,[1]Sheet1!$N:$N,0)</f>
        <v>0</v>
      </c>
      <c r="L1013" s="12">
        <f>_xlfn.XLOOKUP(B1013,[1]Sheet1!$B:$B,[1]Sheet1!$O:$O,0)</f>
        <v>0</v>
      </c>
      <c r="M1013" s="12">
        <f>_xlfn.XLOOKUP(B1013,[1]Sheet1!$B:$B,[1]Sheet1!$P:$P,0)</f>
        <v>0</v>
      </c>
      <c r="N1013" s="12">
        <f>_xlfn.XLOOKUP(B1013,[1]Sheet1!$B:$B,[1]Sheet1!$Q:$Q,0)</f>
        <v>5000</v>
      </c>
      <c r="O1013" s="12">
        <f>_xlfn.XLOOKUP(B1013,[1]Sheet1!$B:$B,[1]Sheet1!$R:$R,0)</f>
        <v>0</v>
      </c>
      <c r="P1013" s="12">
        <f>_xlfn.XLOOKUP(B1013,[1]Sheet1!$B:$B,[1]Sheet1!$S:$S,0)</f>
        <v>5000</v>
      </c>
      <c r="Q1013" s="12">
        <f>_xlfn.XLOOKUP(B1013,[1]Sheet1!$B:$B,[1]Sheet1!$T:$T,0)</f>
        <v>0</v>
      </c>
      <c r="R1013" s="12">
        <f>_xlfn.XLOOKUP(B1013,[1]Sheet1!$B:$B,[1]Sheet1!$U:$U,0)</f>
        <v>0</v>
      </c>
      <c r="S1013" s="12">
        <f>_xlfn.XLOOKUP(B1013,[1]Sheet1!$B:$B,[1]Sheet1!$V:$V,0)</f>
        <v>5000</v>
      </c>
      <c r="T1013" s="12">
        <f>_xlfn.XLOOKUP(B1013,[1]Sheet1!$B:$B,[1]Sheet1!$W:$W,0)</f>
        <v>0</v>
      </c>
      <c r="U1013" s="12">
        <f>_xlfn.XLOOKUP(B1013,[1]Sheet1!$B:$B,[1]Sheet1!$X:$X,0)</f>
        <v>4000</v>
      </c>
      <c r="V1013" s="12">
        <f>_xlfn.XLOOKUP(B1013,[1]Sheet1!$B:$B,[1]Sheet1!$Y:$Y,0)</f>
        <v>0</v>
      </c>
      <c r="W1013" s="12">
        <f t="shared" si="33"/>
        <v>19000</v>
      </c>
      <c r="X1013" s="8" t="s">
        <v>640</v>
      </c>
      <c r="Y1013" s="8" t="s">
        <v>132</v>
      </c>
      <c r="Z1013" s="8" t="s">
        <v>466</v>
      </c>
      <c r="AA1013" s="8" t="s">
        <v>639</v>
      </c>
      <c r="AB1013" s="8" t="s">
        <v>93</v>
      </c>
      <c r="AC1013" s="8" t="s">
        <v>94</v>
      </c>
      <c r="AD1013" s="8" t="s">
        <v>468</v>
      </c>
      <c r="AE1013" s="8" t="s">
        <v>39</v>
      </c>
      <c r="AF1013" s="8" t="s">
        <v>40</v>
      </c>
      <c r="AG1013" s="9">
        <v>19000</v>
      </c>
      <c r="AH1013" s="11">
        <f>_xlfn.XLOOKUP(B1013,[1]Sheet1!$B:$B,[1]Sheet1!$AB:$AB,0)</f>
        <v>19000</v>
      </c>
    </row>
    <row r="1014" spans="2:34" ht="16.8" thickTop="1" thickBot="1" x14ac:dyDescent="0.35">
      <c r="B1014" s="3" t="str">
        <f t="shared" si="32"/>
        <v>45102304511001274Maintenance-N1426212200104</v>
      </c>
      <c r="C1014" s="6" t="s">
        <v>467</v>
      </c>
      <c r="D1014" s="6" t="s">
        <v>1532</v>
      </c>
      <c r="E1014" s="6" t="s">
        <v>1533</v>
      </c>
      <c r="F1014" s="6" t="s">
        <v>625</v>
      </c>
      <c r="G1014" s="4" t="s">
        <v>2814</v>
      </c>
      <c r="H1014" s="4" t="s">
        <v>2922</v>
      </c>
      <c r="I1014" s="6" t="s">
        <v>96</v>
      </c>
      <c r="J1014" s="6" t="s">
        <v>31</v>
      </c>
      <c r="K1014" s="12">
        <f>_xlfn.XLOOKUP(B1014,[1]Sheet1!$B:$B,[1]Sheet1!$N:$N,0)</f>
        <v>0</v>
      </c>
      <c r="L1014" s="12">
        <f>_xlfn.XLOOKUP(B1014,[1]Sheet1!$B:$B,[1]Sheet1!$O:$O,0)</f>
        <v>0</v>
      </c>
      <c r="M1014" s="12">
        <f>_xlfn.XLOOKUP(B1014,[1]Sheet1!$B:$B,[1]Sheet1!$P:$P,0)</f>
        <v>0</v>
      </c>
      <c r="N1014" s="12">
        <f>_xlfn.XLOOKUP(B1014,[1]Sheet1!$B:$B,[1]Sheet1!$Q:$Q,0)</f>
        <v>20000</v>
      </c>
      <c r="O1014" s="12">
        <f>_xlfn.XLOOKUP(B1014,[1]Sheet1!$B:$B,[1]Sheet1!$R:$R,0)</f>
        <v>5000</v>
      </c>
      <c r="P1014" s="12">
        <f>_xlfn.XLOOKUP(B1014,[1]Sheet1!$B:$B,[1]Sheet1!$S:$S,0)</f>
        <v>5000</v>
      </c>
      <c r="Q1014" s="12">
        <f>_xlfn.XLOOKUP(B1014,[1]Sheet1!$B:$B,[1]Sheet1!$T:$T,0)</f>
        <v>5000</v>
      </c>
      <c r="R1014" s="12">
        <f>_xlfn.XLOOKUP(B1014,[1]Sheet1!$B:$B,[1]Sheet1!$U:$U,0)</f>
        <v>5000</v>
      </c>
      <c r="S1014" s="12">
        <f>_xlfn.XLOOKUP(B1014,[1]Sheet1!$B:$B,[1]Sheet1!$V:$V,0)</f>
        <v>5000</v>
      </c>
      <c r="T1014" s="12">
        <f>_xlfn.XLOOKUP(B1014,[1]Sheet1!$B:$B,[1]Sheet1!$W:$W,0)</f>
        <v>5000</v>
      </c>
      <c r="U1014" s="12">
        <f>_xlfn.XLOOKUP(B1014,[1]Sheet1!$B:$B,[1]Sheet1!$X:$X,0)</f>
        <v>5000</v>
      </c>
      <c r="V1014" s="12">
        <f>_xlfn.XLOOKUP(B1014,[1]Sheet1!$B:$B,[1]Sheet1!$Y:$Y,0)</f>
        <v>5000</v>
      </c>
      <c r="W1014" s="12">
        <f t="shared" si="33"/>
        <v>60000</v>
      </c>
      <c r="X1014" s="6" t="s">
        <v>626</v>
      </c>
      <c r="Y1014" s="6" t="s">
        <v>132</v>
      </c>
      <c r="Z1014" s="6" t="s">
        <v>466</v>
      </c>
      <c r="AA1014" s="6" t="s">
        <v>96</v>
      </c>
      <c r="AB1014" s="6" t="s">
        <v>36</v>
      </c>
      <c r="AC1014" s="6" t="s">
        <v>37</v>
      </c>
      <c r="AD1014" s="6" t="s">
        <v>468</v>
      </c>
      <c r="AE1014" s="6" t="s">
        <v>39</v>
      </c>
      <c r="AF1014" s="6" t="s">
        <v>40</v>
      </c>
      <c r="AG1014" s="7">
        <v>60000</v>
      </c>
      <c r="AH1014" s="11">
        <f>_xlfn.XLOOKUP(B1014,[1]Sheet1!$B:$B,[1]Sheet1!$AB:$AB,0)</f>
        <v>60000</v>
      </c>
    </row>
    <row r="1015" spans="2:34" ht="16.8" thickTop="1" thickBot="1" x14ac:dyDescent="0.35">
      <c r="B1015" s="3" t="str">
        <f t="shared" si="32"/>
        <v>45102304511001274Security Service-N1424551200104</v>
      </c>
      <c r="C1015" s="8" t="s">
        <v>467</v>
      </c>
      <c r="D1015" s="8" t="s">
        <v>1532</v>
      </c>
      <c r="E1015" s="8" t="s">
        <v>1533</v>
      </c>
      <c r="F1015" s="8" t="s">
        <v>627</v>
      </c>
      <c r="G1015" s="4" t="s">
        <v>2817</v>
      </c>
      <c r="H1015" s="4" t="s">
        <v>2922</v>
      </c>
      <c r="I1015" s="8" t="s">
        <v>108</v>
      </c>
      <c r="J1015" s="8" t="s">
        <v>31</v>
      </c>
      <c r="K1015" s="12">
        <f>_xlfn.XLOOKUP(B1015,[1]Sheet1!$B:$B,[1]Sheet1!$N:$N,0)</f>
        <v>0</v>
      </c>
      <c r="L1015" s="12">
        <f>_xlfn.XLOOKUP(B1015,[1]Sheet1!$B:$B,[1]Sheet1!$O:$O,0)</f>
        <v>0</v>
      </c>
      <c r="M1015" s="12">
        <f>_xlfn.XLOOKUP(B1015,[1]Sheet1!$B:$B,[1]Sheet1!$P:$P,0)</f>
        <v>0</v>
      </c>
      <c r="N1015" s="12">
        <f>_xlfn.XLOOKUP(B1015,[1]Sheet1!$B:$B,[1]Sheet1!$Q:$Q,0)</f>
        <v>34000</v>
      </c>
      <c r="O1015" s="12">
        <f>_xlfn.XLOOKUP(B1015,[1]Sheet1!$B:$B,[1]Sheet1!$R:$R,0)</f>
        <v>8500</v>
      </c>
      <c r="P1015" s="12">
        <f>_xlfn.XLOOKUP(B1015,[1]Sheet1!$B:$B,[1]Sheet1!$S:$S,0)</f>
        <v>8500</v>
      </c>
      <c r="Q1015" s="12">
        <f>_xlfn.XLOOKUP(B1015,[1]Sheet1!$B:$B,[1]Sheet1!$T:$T,0)</f>
        <v>8500</v>
      </c>
      <c r="R1015" s="12">
        <f>_xlfn.XLOOKUP(B1015,[1]Sheet1!$B:$B,[1]Sheet1!$U:$U,0)</f>
        <v>8500</v>
      </c>
      <c r="S1015" s="12">
        <f>_xlfn.XLOOKUP(B1015,[1]Sheet1!$B:$B,[1]Sheet1!$V:$V,0)</f>
        <v>8500</v>
      </c>
      <c r="T1015" s="12">
        <f>_xlfn.XLOOKUP(B1015,[1]Sheet1!$B:$B,[1]Sheet1!$W:$W,0)</f>
        <v>8500</v>
      </c>
      <c r="U1015" s="12">
        <f>_xlfn.XLOOKUP(B1015,[1]Sheet1!$B:$B,[1]Sheet1!$X:$X,0)</f>
        <v>8500</v>
      </c>
      <c r="V1015" s="12">
        <f>_xlfn.XLOOKUP(B1015,[1]Sheet1!$B:$B,[1]Sheet1!$Y:$Y,0)</f>
        <v>8500</v>
      </c>
      <c r="W1015" s="12">
        <f t="shared" si="33"/>
        <v>102000</v>
      </c>
      <c r="X1015" s="8" t="s">
        <v>628</v>
      </c>
      <c r="Y1015" s="8" t="s">
        <v>132</v>
      </c>
      <c r="Z1015" s="8" t="s">
        <v>466</v>
      </c>
      <c r="AA1015" s="8" t="s">
        <v>108</v>
      </c>
      <c r="AB1015" s="8" t="s">
        <v>36</v>
      </c>
      <c r="AC1015" s="8" t="s">
        <v>37</v>
      </c>
      <c r="AD1015" s="8" t="s">
        <v>468</v>
      </c>
      <c r="AE1015" s="8" t="s">
        <v>39</v>
      </c>
      <c r="AF1015" s="8" t="s">
        <v>40</v>
      </c>
      <c r="AG1015" s="9">
        <v>102000</v>
      </c>
      <c r="AH1015" s="11">
        <f>_xlfn.XLOOKUP(B1015,[1]Sheet1!$B:$B,[1]Sheet1!$AB:$AB,0)</f>
        <v>102000</v>
      </c>
    </row>
    <row r="1016" spans="2:34" ht="16.8" thickTop="1" thickBot="1" x14ac:dyDescent="0.35">
      <c r="B1016" s="3" t="str">
        <f t="shared" si="32"/>
        <v>45113004511001292Research&amp;Survey-N423411200104</v>
      </c>
      <c r="C1016" s="6" t="s">
        <v>288</v>
      </c>
      <c r="D1016" s="6" t="s">
        <v>1534</v>
      </c>
      <c r="E1016" s="6" t="s">
        <v>1535</v>
      </c>
      <c r="F1016" s="6" t="s">
        <v>381</v>
      </c>
      <c r="G1016" s="4" t="s">
        <v>2833</v>
      </c>
      <c r="H1016" s="4" t="s">
        <v>2922</v>
      </c>
      <c r="I1016" s="6" t="s">
        <v>330</v>
      </c>
      <c r="J1016" s="6" t="s">
        <v>31</v>
      </c>
      <c r="K1016" s="12">
        <f>_xlfn.XLOOKUP(B1016,[1]Sheet1!$B:$B,[1]Sheet1!$N:$N,0)</f>
        <v>0</v>
      </c>
      <c r="L1016" s="12">
        <f>_xlfn.XLOOKUP(B1016,[1]Sheet1!$B:$B,[1]Sheet1!$O:$O,0)</f>
        <v>0</v>
      </c>
      <c r="M1016" s="12">
        <f>_xlfn.XLOOKUP(B1016,[1]Sheet1!$B:$B,[1]Sheet1!$P:$P,0)</f>
        <v>0</v>
      </c>
      <c r="N1016" s="12">
        <f>_xlfn.XLOOKUP(B1016,[1]Sheet1!$B:$B,[1]Sheet1!$Q:$Q,0)</f>
        <v>0</v>
      </c>
      <c r="O1016" s="12">
        <f>_xlfn.XLOOKUP(B1016,[1]Sheet1!$B:$B,[1]Sheet1!$R:$R,0)</f>
        <v>0</v>
      </c>
      <c r="P1016" s="12">
        <f>_xlfn.XLOOKUP(B1016,[1]Sheet1!$B:$B,[1]Sheet1!$S:$S,0)</f>
        <v>0</v>
      </c>
      <c r="Q1016" s="12">
        <f>_xlfn.XLOOKUP(B1016,[1]Sheet1!$B:$B,[1]Sheet1!$T:$T,0)</f>
        <v>0</v>
      </c>
      <c r="R1016" s="12">
        <f>_xlfn.XLOOKUP(B1016,[1]Sheet1!$B:$B,[1]Sheet1!$U:$U,0)</f>
        <v>0</v>
      </c>
      <c r="S1016" s="12">
        <f>_xlfn.XLOOKUP(B1016,[1]Sheet1!$B:$B,[1]Sheet1!$V:$V,0)</f>
        <v>0</v>
      </c>
      <c r="T1016" s="12">
        <f>_xlfn.XLOOKUP(B1016,[1]Sheet1!$B:$B,[1]Sheet1!$W:$W,0)</f>
        <v>0</v>
      </c>
      <c r="U1016" s="12">
        <f>_xlfn.XLOOKUP(B1016,[1]Sheet1!$B:$B,[1]Sheet1!$X:$X,0)</f>
        <v>0</v>
      </c>
      <c r="V1016" s="12">
        <f>_xlfn.XLOOKUP(B1016,[1]Sheet1!$B:$B,[1]Sheet1!$Y:$Y,0)</f>
        <v>200000</v>
      </c>
      <c r="W1016" s="12">
        <f t="shared" si="33"/>
        <v>200000</v>
      </c>
      <c r="X1016" s="6" t="s">
        <v>794</v>
      </c>
      <c r="Y1016" s="6" t="s">
        <v>65</v>
      </c>
      <c r="Z1016" s="6" t="s">
        <v>287</v>
      </c>
      <c r="AA1016" s="6" t="s">
        <v>330</v>
      </c>
      <c r="AB1016" s="6" t="s">
        <v>36</v>
      </c>
      <c r="AC1016" s="6" t="s">
        <v>37</v>
      </c>
      <c r="AD1016" s="6" t="s">
        <v>126</v>
      </c>
      <c r="AE1016" s="6" t="s">
        <v>39</v>
      </c>
      <c r="AF1016" s="6" t="s">
        <v>40</v>
      </c>
      <c r="AG1016" s="7">
        <v>186710</v>
      </c>
      <c r="AH1016" s="11">
        <f>_xlfn.XLOOKUP(B1016,[1]Sheet1!$B:$B,[1]Sheet1!$AB:$AB,0)</f>
        <v>186710</v>
      </c>
    </row>
    <row r="1017" spans="2:34" ht="16.8" thickTop="1" thickBot="1" x14ac:dyDescent="0.35">
      <c r="B1017" s="3" t="str">
        <f t="shared" si="32"/>
        <v>45110104511001300Admin Expenses-N421125200104</v>
      </c>
      <c r="C1017" s="8" t="s">
        <v>268</v>
      </c>
      <c r="D1017" s="8" t="s">
        <v>1536</v>
      </c>
      <c r="E1017" s="8" t="s">
        <v>1537</v>
      </c>
      <c r="F1017" s="8" t="s">
        <v>130</v>
      </c>
      <c r="G1017" s="4" t="s">
        <v>2803</v>
      </c>
      <c r="H1017" s="4" t="s">
        <v>2922</v>
      </c>
      <c r="I1017" s="8" t="s">
        <v>44</v>
      </c>
      <c r="J1017" s="8" t="s">
        <v>31</v>
      </c>
      <c r="K1017" s="12">
        <f>_xlfn.XLOOKUP(B1017,[1]Sheet1!$B:$B,[1]Sheet1!$N:$N,0)</f>
        <v>0</v>
      </c>
      <c r="L1017" s="12">
        <f>_xlfn.XLOOKUP(B1017,[1]Sheet1!$B:$B,[1]Sheet1!$O:$O,0)</f>
        <v>0</v>
      </c>
      <c r="M1017" s="12">
        <f>_xlfn.XLOOKUP(B1017,[1]Sheet1!$B:$B,[1]Sheet1!$P:$P,0)</f>
        <v>0</v>
      </c>
      <c r="N1017" s="12">
        <f>_xlfn.XLOOKUP(B1017,[1]Sheet1!$B:$B,[1]Sheet1!$Q:$Q,0)</f>
        <v>0</v>
      </c>
      <c r="O1017" s="12">
        <f>_xlfn.XLOOKUP(B1017,[1]Sheet1!$B:$B,[1]Sheet1!$R:$R,0)</f>
        <v>0</v>
      </c>
      <c r="P1017" s="12">
        <f>_xlfn.XLOOKUP(B1017,[1]Sheet1!$B:$B,[1]Sheet1!$S:$S,0)</f>
        <v>0</v>
      </c>
      <c r="Q1017" s="12">
        <f>_xlfn.XLOOKUP(B1017,[1]Sheet1!$B:$B,[1]Sheet1!$T:$T,0)</f>
        <v>0</v>
      </c>
      <c r="R1017" s="12">
        <f>_xlfn.XLOOKUP(B1017,[1]Sheet1!$B:$B,[1]Sheet1!$U:$U,0)</f>
        <v>15000</v>
      </c>
      <c r="S1017" s="12">
        <f>_xlfn.XLOOKUP(B1017,[1]Sheet1!$B:$B,[1]Sheet1!$V:$V,0)</f>
        <v>15000</v>
      </c>
      <c r="T1017" s="12">
        <f>_xlfn.XLOOKUP(B1017,[1]Sheet1!$B:$B,[1]Sheet1!$W:$W,0)</f>
        <v>15000</v>
      </c>
      <c r="U1017" s="12">
        <f>_xlfn.XLOOKUP(B1017,[1]Sheet1!$B:$B,[1]Sheet1!$X:$X,0)</f>
        <v>15000</v>
      </c>
      <c r="V1017" s="12">
        <f>_xlfn.XLOOKUP(B1017,[1]Sheet1!$B:$B,[1]Sheet1!$Y:$Y,0)</f>
        <v>15000</v>
      </c>
      <c r="W1017" s="12">
        <f t="shared" si="33"/>
        <v>75000</v>
      </c>
      <c r="X1017" s="8" t="s">
        <v>266</v>
      </c>
      <c r="Y1017" s="8" t="s">
        <v>65</v>
      </c>
      <c r="Z1017" s="8" t="s">
        <v>267</v>
      </c>
      <c r="AA1017" s="8" t="s">
        <v>44</v>
      </c>
      <c r="AB1017" s="8" t="s">
        <v>36</v>
      </c>
      <c r="AC1017" s="8" t="s">
        <v>37</v>
      </c>
      <c r="AD1017" s="8" t="s">
        <v>69</v>
      </c>
      <c r="AE1017" s="8" t="s">
        <v>39</v>
      </c>
      <c r="AF1017" s="8" t="s">
        <v>40</v>
      </c>
      <c r="AG1017" s="9">
        <v>75000</v>
      </c>
      <c r="AH1017" s="11">
        <f>_xlfn.XLOOKUP(B1017,[1]Sheet1!$B:$B,[1]Sheet1!$AB:$AB,0)</f>
        <v>75000</v>
      </c>
    </row>
    <row r="1018" spans="2:34" ht="16.8" thickTop="1" thickBot="1" x14ac:dyDescent="0.35">
      <c r="B1018" s="3" t="str">
        <f t="shared" si="32"/>
        <v>45110104511001300Design &amp; Build-NC491211300105</v>
      </c>
      <c r="C1018" s="6" t="s">
        <v>268</v>
      </c>
      <c r="D1018" s="6" t="s">
        <v>1536</v>
      </c>
      <c r="E1018" s="6" t="s">
        <v>1537</v>
      </c>
      <c r="F1018" s="6" t="s">
        <v>1285</v>
      </c>
      <c r="G1018" s="4" t="s">
        <v>2839</v>
      </c>
      <c r="H1018" s="4" t="s">
        <v>2923</v>
      </c>
      <c r="I1018" s="6" t="s">
        <v>411</v>
      </c>
      <c r="J1018" s="6" t="s">
        <v>31</v>
      </c>
      <c r="K1018" s="12">
        <f>_xlfn.XLOOKUP(B1018,[1]Sheet1!$B:$B,[1]Sheet1!$N:$N,0)</f>
        <v>0</v>
      </c>
      <c r="L1018" s="12">
        <f>_xlfn.XLOOKUP(B1018,[1]Sheet1!$B:$B,[1]Sheet1!$O:$O,0)</f>
        <v>0</v>
      </c>
      <c r="M1018" s="12">
        <f>_xlfn.XLOOKUP(B1018,[1]Sheet1!$B:$B,[1]Sheet1!$P:$P,0)</f>
        <v>0</v>
      </c>
      <c r="N1018" s="12">
        <f>_xlfn.XLOOKUP(B1018,[1]Sheet1!$B:$B,[1]Sheet1!$Q:$Q,0)</f>
        <v>0</v>
      </c>
      <c r="O1018" s="12">
        <f>_xlfn.XLOOKUP(B1018,[1]Sheet1!$B:$B,[1]Sheet1!$R:$R,0)</f>
        <v>0</v>
      </c>
      <c r="P1018" s="12">
        <f>_xlfn.XLOOKUP(B1018,[1]Sheet1!$B:$B,[1]Sheet1!$S:$S,0)</f>
        <v>0</v>
      </c>
      <c r="Q1018" s="12">
        <f>_xlfn.XLOOKUP(B1018,[1]Sheet1!$B:$B,[1]Sheet1!$T:$T,0)</f>
        <v>0</v>
      </c>
      <c r="R1018" s="12">
        <f>_xlfn.XLOOKUP(B1018,[1]Sheet1!$B:$B,[1]Sheet1!$U:$U,0)</f>
        <v>0</v>
      </c>
      <c r="S1018" s="12">
        <f>_xlfn.XLOOKUP(B1018,[1]Sheet1!$B:$B,[1]Sheet1!$V:$V,0)</f>
        <v>0</v>
      </c>
      <c r="T1018" s="12">
        <f>_xlfn.XLOOKUP(B1018,[1]Sheet1!$B:$B,[1]Sheet1!$W:$W,0)</f>
        <v>0</v>
      </c>
      <c r="U1018" s="12">
        <f>_xlfn.XLOOKUP(B1018,[1]Sheet1!$B:$B,[1]Sheet1!$X:$X,0)</f>
        <v>1800000</v>
      </c>
      <c r="V1018" s="12">
        <f>_xlfn.XLOOKUP(B1018,[1]Sheet1!$B:$B,[1]Sheet1!$Y:$Y,0)</f>
        <v>0</v>
      </c>
      <c r="W1018" s="12">
        <f t="shared" si="33"/>
        <v>1800000</v>
      </c>
      <c r="X1018" s="6" t="s">
        <v>1538</v>
      </c>
      <c r="Y1018" s="6" t="s">
        <v>65</v>
      </c>
      <c r="Z1018" s="6" t="s">
        <v>267</v>
      </c>
      <c r="AA1018" s="6" t="s">
        <v>411</v>
      </c>
      <c r="AB1018" s="6" t="s">
        <v>93</v>
      </c>
      <c r="AC1018" s="6" t="s">
        <v>94</v>
      </c>
      <c r="AD1018" s="6" t="s">
        <v>69</v>
      </c>
      <c r="AE1018" s="6" t="s">
        <v>39</v>
      </c>
      <c r="AF1018" s="6" t="s">
        <v>40</v>
      </c>
      <c r="AG1018" s="7">
        <v>1800000</v>
      </c>
      <c r="AH1018" s="11">
        <f>_xlfn.XLOOKUP(B1018,[1]Sheet1!$B:$B,[1]Sheet1!$AB:$AB,0)</f>
        <v>1800000</v>
      </c>
    </row>
    <row r="1019" spans="2:34" ht="16.8" thickTop="1" thickBot="1" x14ac:dyDescent="0.35">
      <c r="B1019" s="3" t="str">
        <f t="shared" si="32"/>
        <v>45110104511001300Event Management-N422401200104</v>
      </c>
      <c r="C1019" s="8" t="s">
        <v>268</v>
      </c>
      <c r="D1019" s="8" t="s">
        <v>1536</v>
      </c>
      <c r="E1019" s="8" t="s">
        <v>1537</v>
      </c>
      <c r="F1019" s="8" t="s">
        <v>162</v>
      </c>
      <c r="G1019" s="4" t="s">
        <v>2807</v>
      </c>
      <c r="H1019" s="4" t="s">
        <v>2922</v>
      </c>
      <c r="I1019" s="8" t="s">
        <v>63</v>
      </c>
      <c r="J1019" s="8" t="s">
        <v>31</v>
      </c>
      <c r="K1019" s="12">
        <f>_xlfn.XLOOKUP(B1019,[1]Sheet1!$B:$B,[1]Sheet1!$N:$N,0)</f>
        <v>0</v>
      </c>
      <c r="L1019" s="12">
        <f>_xlfn.XLOOKUP(B1019,[1]Sheet1!$B:$B,[1]Sheet1!$O:$O,0)</f>
        <v>0</v>
      </c>
      <c r="M1019" s="12">
        <f>_xlfn.XLOOKUP(B1019,[1]Sheet1!$B:$B,[1]Sheet1!$P:$P,0)</f>
        <v>0</v>
      </c>
      <c r="N1019" s="12">
        <f>_xlfn.XLOOKUP(B1019,[1]Sheet1!$B:$B,[1]Sheet1!$Q:$Q,0)</f>
        <v>0</v>
      </c>
      <c r="O1019" s="12">
        <f>_xlfn.XLOOKUP(B1019,[1]Sheet1!$B:$B,[1]Sheet1!$R:$R,0)</f>
        <v>0</v>
      </c>
      <c r="P1019" s="12">
        <f>_xlfn.XLOOKUP(B1019,[1]Sheet1!$B:$B,[1]Sheet1!$S:$S,0)</f>
        <v>0</v>
      </c>
      <c r="Q1019" s="12">
        <f>_xlfn.XLOOKUP(B1019,[1]Sheet1!$B:$B,[1]Sheet1!$T:$T,0)</f>
        <v>0</v>
      </c>
      <c r="R1019" s="12">
        <f>_xlfn.XLOOKUP(B1019,[1]Sheet1!$B:$B,[1]Sheet1!$U:$U,0)</f>
        <v>0</v>
      </c>
      <c r="S1019" s="12">
        <f>_xlfn.XLOOKUP(B1019,[1]Sheet1!$B:$B,[1]Sheet1!$V:$V,0)</f>
        <v>0</v>
      </c>
      <c r="T1019" s="12">
        <f>_xlfn.XLOOKUP(B1019,[1]Sheet1!$B:$B,[1]Sheet1!$W:$W,0)</f>
        <v>0</v>
      </c>
      <c r="U1019" s="12">
        <f>_xlfn.XLOOKUP(B1019,[1]Sheet1!$B:$B,[1]Sheet1!$X:$X,0)</f>
        <v>0</v>
      </c>
      <c r="V1019" s="12">
        <f>_xlfn.XLOOKUP(B1019,[1]Sheet1!$B:$B,[1]Sheet1!$Y:$Y,0)</f>
        <v>2740000</v>
      </c>
      <c r="W1019" s="12">
        <f t="shared" si="33"/>
        <v>2740000</v>
      </c>
      <c r="X1019" s="8" t="s">
        <v>1539</v>
      </c>
      <c r="Y1019" s="8" t="s">
        <v>65</v>
      </c>
      <c r="Z1019" s="8" t="s">
        <v>267</v>
      </c>
      <c r="AA1019" s="8" t="s">
        <v>68</v>
      </c>
      <c r="AB1019" s="8" t="s">
        <v>36</v>
      </c>
      <c r="AC1019" s="8" t="s">
        <v>37</v>
      </c>
      <c r="AD1019" s="8" t="s">
        <v>69</v>
      </c>
      <c r="AE1019" s="8" t="s">
        <v>39</v>
      </c>
      <c r="AF1019" s="8" t="s">
        <v>40</v>
      </c>
      <c r="AG1019" s="9">
        <v>2740000</v>
      </c>
      <c r="AH1019" s="11">
        <f>_xlfn.XLOOKUP(B1019,[1]Sheet1!$B:$B,[1]Sheet1!$AB:$AB,0)</f>
        <v>2740000</v>
      </c>
    </row>
    <row r="1020" spans="2:34" ht="16.8" thickTop="1" thickBot="1" x14ac:dyDescent="0.35">
      <c r="B1020" s="3" t="str">
        <f t="shared" si="32"/>
        <v>45110104511001300FM Mgmnt (E-E)-N426212200104</v>
      </c>
      <c r="C1020" s="6" t="s">
        <v>268</v>
      </c>
      <c r="D1020" s="6" t="s">
        <v>1536</v>
      </c>
      <c r="E1020" s="6" t="s">
        <v>1537</v>
      </c>
      <c r="F1020" s="6" t="s">
        <v>380</v>
      </c>
      <c r="G1020" s="4" t="s">
        <v>2814</v>
      </c>
      <c r="H1020" s="4" t="s">
        <v>2922</v>
      </c>
      <c r="I1020" s="6" t="s">
        <v>96</v>
      </c>
      <c r="J1020" s="6" t="s">
        <v>31</v>
      </c>
      <c r="K1020" s="12">
        <f>_xlfn.XLOOKUP(B1020,[1]Sheet1!$B:$B,[1]Sheet1!$N:$N,0)</f>
        <v>0</v>
      </c>
      <c r="L1020" s="12">
        <f>_xlfn.XLOOKUP(B1020,[1]Sheet1!$B:$B,[1]Sheet1!$O:$O,0)</f>
        <v>0</v>
      </c>
      <c r="M1020" s="12">
        <f>_xlfn.XLOOKUP(B1020,[1]Sheet1!$B:$B,[1]Sheet1!$P:$P,0)</f>
        <v>0</v>
      </c>
      <c r="N1020" s="12">
        <f>_xlfn.XLOOKUP(B1020,[1]Sheet1!$B:$B,[1]Sheet1!$Q:$Q,0)</f>
        <v>0</v>
      </c>
      <c r="O1020" s="12">
        <f>_xlfn.XLOOKUP(B1020,[1]Sheet1!$B:$B,[1]Sheet1!$R:$R,0)</f>
        <v>0</v>
      </c>
      <c r="P1020" s="12">
        <f>_xlfn.XLOOKUP(B1020,[1]Sheet1!$B:$B,[1]Sheet1!$S:$S,0)</f>
        <v>0</v>
      </c>
      <c r="Q1020" s="12">
        <f>_xlfn.XLOOKUP(B1020,[1]Sheet1!$B:$B,[1]Sheet1!$T:$T,0)</f>
        <v>0</v>
      </c>
      <c r="R1020" s="12">
        <f>_xlfn.XLOOKUP(B1020,[1]Sheet1!$B:$B,[1]Sheet1!$U:$U,0)</f>
        <v>0</v>
      </c>
      <c r="S1020" s="12">
        <f>_xlfn.XLOOKUP(B1020,[1]Sheet1!$B:$B,[1]Sheet1!$V:$V,0)</f>
        <v>0</v>
      </c>
      <c r="T1020" s="12">
        <f>_xlfn.XLOOKUP(B1020,[1]Sheet1!$B:$B,[1]Sheet1!$W:$W,0)</f>
        <v>0</v>
      </c>
      <c r="U1020" s="12">
        <f>_xlfn.XLOOKUP(B1020,[1]Sheet1!$B:$B,[1]Sheet1!$X:$X,0)</f>
        <v>0</v>
      </c>
      <c r="V1020" s="12">
        <f>_xlfn.XLOOKUP(B1020,[1]Sheet1!$B:$B,[1]Sheet1!$Y:$Y,0)</f>
        <v>0</v>
      </c>
      <c r="W1020" s="12">
        <f t="shared" si="33"/>
        <v>0</v>
      </c>
      <c r="X1020" s="6" t="s">
        <v>1540</v>
      </c>
      <c r="Y1020" s="6" t="s">
        <v>65</v>
      </c>
      <c r="Z1020" s="6" t="s">
        <v>267</v>
      </c>
      <c r="AA1020" s="6" t="s">
        <v>96</v>
      </c>
      <c r="AB1020" s="6" t="s">
        <v>36</v>
      </c>
      <c r="AC1020" s="6" t="s">
        <v>37</v>
      </c>
      <c r="AD1020" s="6" t="s">
        <v>69</v>
      </c>
      <c r="AE1020" s="6" t="s">
        <v>39</v>
      </c>
      <c r="AF1020" s="6" t="s">
        <v>40</v>
      </c>
      <c r="AG1020" s="7">
        <v>458467</v>
      </c>
      <c r="AH1020" s="11">
        <f>_xlfn.XLOOKUP(B1020,[1]Sheet1!$B:$B,[1]Sheet1!$AB:$AB,0)</f>
        <v>458467</v>
      </c>
    </row>
    <row r="1021" spans="2:34" ht="16.8" thickTop="1" thickBot="1" x14ac:dyDescent="0.35">
      <c r="B1021" s="3" t="str">
        <f t="shared" si="32"/>
        <v>45110104511001300Freelancers-N424521200104</v>
      </c>
      <c r="C1021" s="8" t="s">
        <v>268</v>
      </c>
      <c r="D1021" s="8" t="s">
        <v>1536</v>
      </c>
      <c r="E1021" s="8" t="s">
        <v>1537</v>
      </c>
      <c r="F1021" s="8" t="s">
        <v>50</v>
      </c>
      <c r="G1021" s="4" t="s">
        <v>2804</v>
      </c>
      <c r="H1021" s="4" t="s">
        <v>2922</v>
      </c>
      <c r="I1021" s="8" t="s">
        <v>51</v>
      </c>
      <c r="J1021" s="8" t="s">
        <v>31</v>
      </c>
      <c r="K1021" s="12">
        <f>_xlfn.XLOOKUP(B1021,[1]Sheet1!$B:$B,[1]Sheet1!$N:$N,0)</f>
        <v>0</v>
      </c>
      <c r="L1021" s="12">
        <f>_xlfn.XLOOKUP(B1021,[1]Sheet1!$B:$B,[1]Sheet1!$O:$O,0)</f>
        <v>0</v>
      </c>
      <c r="M1021" s="12">
        <f>_xlfn.XLOOKUP(B1021,[1]Sheet1!$B:$B,[1]Sheet1!$P:$P,0)</f>
        <v>91000</v>
      </c>
      <c r="N1021" s="12">
        <f>_xlfn.XLOOKUP(B1021,[1]Sheet1!$B:$B,[1]Sheet1!$Q:$Q,0)</f>
        <v>0</v>
      </c>
      <c r="O1021" s="12">
        <f>_xlfn.XLOOKUP(B1021,[1]Sheet1!$B:$B,[1]Sheet1!$R:$R,0)</f>
        <v>169539</v>
      </c>
      <c r="P1021" s="12">
        <f>_xlfn.XLOOKUP(B1021,[1]Sheet1!$B:$B,[1]Sheet1!$S:$S,0)</f>
        <v>260539</v>
      </c>
      <c r="Q1021" s="12">
        <f>_xlfn.XLOOKUP(B1021,[1]Sheet1!$B:$B,[1]Sheet1!$T:$T,0)</f>
        <v>260539</v>
      </c>
      <c r="R1021" s="12">
        <f>_xlfn.XLOOKUP(B1021,[1]Sheet1!$B:$B,[1]Sheet1!$U:$U,0)</f>
        <v>260539</v>
      </c>
      <c r="S1021" s="12">
        <f>_xlfn.XLOOKUP(B1021,[1]Sheet1!$B:$B,[1]Sheet1!$V:$V,0)</f>
        <v>260539</v>
      </c>
      <c r="T1021" s="12">
        <f>_xlfn.XLOOKUP(B1021,[1]Sheet1!$B:$B,[1]Sheet1!$W:$W,0)</f>
        <v>260539</v>
      </c>
      <c r="U1021" s="12">
        <f>_xlfn.XLOOKUP(B1021,[1]Sheet1!$B:$B,[1]Sheet1!$X:$X,0)</f>
        <v>260539</v>
      </c>
      <c r="V1021" s="12">
        <f>_xlfn.XLOOKUP(B1021,[1]Sheet1!$B:$B,[1]Sheet1!$Y:$Y,0)</f>
        <v>260539</v>
      </c>
      <c r="W1021" s="12">
        <f t="shared" si="33"/>
        <v>2084312</v>
      </c>
      <c r="X1021" s="8" t="s">
        <v>1541</v>
      </c>
      <c r="Y1021" s="8" t="s">
        <v>65</v>
      </c>
      <c r="Z1021" s="8" t="s">
        <v>267</v>
      </c>
      <c r="AA1021" s="8" t="s">
        <v>53</v>
      </c>
      <c r="AB1021" s="8" t="s">
        <v>36</v>
      </c>
      <c r="AC1021" s="8" t="s">
        <v>37</v>
      </c>
      <c r="AD1021" s="8" t="s">
        <v>69</v>
      </c>
      <c r="AE1021" s="8" t="s">
        <v>39</v>
      </c>
      <c r="AF1021" s="8" t="s">
        <v>40</v>
      </c>
      <c r="AG1021" s="9">
        <v>2084312</v>
      </c>
      <c r="AH1021" s="11">
        <f>_xlfn.XLOOKUP(B1021,[1]Sheet1!$B:$B,[1]Sheet1!$AB:$AB,0)</f>
        <v>2084312</v>
      </c>
    </row>
    <row r="1022" spans="2:34" ht="16.8" thickTop="1" thickBot="1" x14ac:dyDescent="0.35">
      <c r="B1022" s="3" t="str">
        <f t="shared" si="32"/>
        <v>45110104511001300SM Managnt E-E-N422511200104</v>
      </c>
      <c r="C1022" s="6" t="s">
        <v>268</v>
      </c>
      <c r="D1022" s="6" t="s">
        <v>1536</v>
      </c>
      <c r="E1022" s="6" t="s">
        <v>1537</v>
      </c>
      <c r="F1022" s="6" t="s">
        <v>255</v>
      </c>
      <c r="G1022" s="4" t="s">
        <v>2819</v>
      </c>
      <c r="H1022" s="4" t="s">
        <v>2922</v>
      </c>
      <c r="I1022" s="6" t="s">
        <v>151</v>
      </c>
      <c r="J1022" s="6" t="s">
        <v>31</v>
      </c>
      <c r="K1022" s="12">
        <f>_xlfn.XLOOKUP(B1022,[1]Sheet1!$B:$B,[1]Sheet1!$N:$N,0)</f>
        <v>0</v>
      </c>
      <c r="L1022" s="12">
        <f>_xlfn.XLOOKUP(B1022,[1]Sheet1!$B:$B,[1]Sheet1!$O:$O,0)</f>
        <v>0</v>
      </c>
      <c r="M1022" s="12">
        <f>_xlfn.XLOOKUP(B1022,[1]Sheet1!$B:$B,[1]Sheet1!$P:$P,0)</f>
        <v>0</v>
      </c>
      <c r="N1022" s="12">
        <f>_xlfn.XLOOKUP(B1022,[1]Sheet1!$B:$B,[1]Sheet1!$Q:$Q,0)</f>
        <v>0</v>
      </c>
      <c r="O1022" s="12">
        <f>_xlfn.XLOOKUP(B1022,[1]Sheet1!$B:$B,[1]Sheet1!$R:$R,0)</f>
        <v>0</v>
      </c>
      <c r="P1022" s="12">
        <f>_xlfn.XLOOKUP(B1022,[1]Sheet1!$B:$B,[1]Sheet1!$S:$S,0)</f>
        <v>0</v>
      </c>
      <c r="Q1022" s="12">
        <f>_xlfn.XLOOKUP(B1022,[1]Sheet1!$B:$B,[1]Sheet1!$T:$T,0)</f>
        <v>0</v>
      </c>
      <c r="R1022" s="12">
        <f>_xlfn.XLOOKUP(B1022,[1]Sheet1!$B:$B,[1]Sheet1!$U:$U,0)</f>
        <v>0</v>
      </c>
      <c r="S1022" s="12">
        <f>_xlfn.XLOOKUP(B1022,[1]Sheet1!$B:$B,[1]Sheet1!$V:$V,0)</f>
        <v>0</v>
      </c>
      <c r="T1022" s="12">
        <f>_xlfn.XLOOKUP(B1022,[1]Sheet1!$B:$B,[1]Sheet1!$W:$W,0)</f>
        <v>0</v>
      </c>
      <c r="U1022" s="12">
        <f>_xlfn.XLOOKUP(B1022,[1]Sheet1!$B:$B,[1]Sheet1!$X:$X,0)</f>
        <v>0</v>
      </c>
      <c r="V1022" s="12">
        <f>_xlfn.XLOOKUP(B1022,[1]Sheet1!$B:$B,[1]Sheet1!$Y:$Y,0)</f>
        <v>1500000</v>
      </c>
      <c r="W1022" s="12">
        <f t="shared" si="33"/>
        <v>1500000</v>
      </c>
      <c r="X1022" s="6" t="s">
        <v>1542</v>
      </c>
      <c r="Y1022" s="6" t="s">
        <v>65</v>
      </c>
      <c r="Z1022" s="6" t="s">
        <v>267</v>
      </c>
      <c r="AA1022" s="6" t="s">
        <v>151</v>
      </c>
      <c r="AB1022" s="6" t="s">
        <v>36</v>
      </c>
      <c r="AC1022" s="6" t="s">
        <v>37</v>
      </c>
      <c r="AD1022" s="6" t="s">
        <v>69</v>
      </c>
      <c r="AE1022" s="6" t="s">
        <v>39</v>
      </c>
      <c r="AF1022" s="6" t="s">
        <v>40</v>
      </c>
      <c r="AG1022" s="7">
        <v>1041533</v>
      </c>
      <c r="AH1022" s="11">
        <f>_xlfn.XLOOKUP(B1022,[1]Sheet1!$B:$B,[1]Sheet1!$AB:$AB,0)</f>
        <v>1041533</v>
      </c>
    </row>
    <row r="1023" spans="2:34" ht="16.8" thickTop="1" thickBot="1" x14ac:dyDescent="0.35">
      <c r="B1023" s="3" t="str">
        <f t="shared" si="32"/>
        <v>45110104511001301Cultural Advice-N1424521200104</v>
      </c>
      <c r="C1023" s="8" t="s">
        <v>268</v>
      </c>
      <c r="D1023" s="8" t="s">
        <v>1543</v>
      </c>
      <c r="E1023" s="8" t="s">
        <v>1544</v>
      </c>
      <c r="F1023" s="8" t="s">
        <v>1545</v>
      </c>
      <c r="G1023" s="4" t="s">
        <v>2804</v>
      </c>
      <c r="H1023" s="4" t="s">
        <v>2922</v>
      </c>
      <c r="I1023" s="8" t="s">
        <v>51</v>
      </c>
      <c r="J1023" s="8" t="s">
        <v>31</v>
      </c>
      <c r="K1023" s="12">
        <f>_xlfn.XLOOKUP(B1023,[1]Sheet1!$B:$B,[1]Sheet1!$N:$N,0)</f>
        <v>0</v>
      </c>
      <c r="L1023" s="12">
        <f>_xlfn.XLOOKUP(B1023,[1]Sheet1!$B:$B,[1]Sheet1!$O:$O,0)</f>
        <v>0</v>
      </c>
      <c r="M1023" s="12">
        <f>_xlfn.XLOOKUP(B1023,[1]Sheet1!$B:$B,[1]Sheet1!$P:$P,0)</f>
        <v>0</v>
      </c>
      <c r="N1023" s="12">
        <f>_xlfn.XLOOKUP(B1023,[1]Sheet1!$B:$B,[1]Sheet1!$Q:$Q,0)</f>
        <v>0</v>
      </c>
      <c r="O1023" s="12">
        <f>_xlfn.XLOOKUP(B1023,[1]Sheet1!$B:$B,[1]Sheet1!$R:$R,0)</f>
        <v>0</v>
      </c>
      <c r="P1023" s="12">
        <f>_xlfn.XLOOKUP(B1023,[1]Sheet1!$B:$B,[1]Sheet1!$S:$S,0)</f>
        <v>0</v>
      </c>
      <c r="Q1023" s="12">
        <f>_xlfn.XLOOKUP(B1023,[1]Sheet1!$B:$B,[1]Sheet1!$T:$T,0)</f>
        <v>0</v>
      </c>
      <c r="R1023" s="12">
        <f>_xlfn.XLOOKUP(B1023,[1]Sheet1!$B:$B,[1]Sheet1!$U:$U,0)</f>
        <v>0</v>
      </c>
      <c r="S1023" s="12">
        <f>_xlfn.XLOOKUP(B1023,[1]Sheet1!$B:$B,[1]Sheet1!$V:$V,0)</f>
        <v>0</v>
      </c>
      <c r="T1023" s="12">
        <f>_xlfn.XLOOKUP(B1023,[1]Sheet1!$B:$B,[1]Sheet1!$W:$W,0)</f>
        <v>4443197</v>
      </c>
      <c r="U1023" s="12">
        <f>_xlfn.XLOOKUP(B1023,[1]Sheet1!$B:$B,[1]Sheet1!$X:$X,0)</f>
        <v>0</v>
      </c>
      <c r="V1023" s="12">
        <f>_xlfn.XLOOKUP(B1023,[1]Sheet1!$B:$B,[1]Sheet1!$Y:$Y,0)</f>
        <v>0</v>
      </c>
      <c r="W1023" s="12">
        <f t="shared" si="33"/>
        <v>4443197</v>
      </c>
      <c r="X1023" s="8" t="s">
        <v>1541</v>
      </c>
      <c r="Y1023" s="8" t="s">
        <v>65</v>
      </c>
      <c r="Z1023" s="8" t="s">
        <v>267</v>
      </c>
      <c r="AA1023" s="8" t="s">
        <v>53</v>
      </c>
      <c r="AB1023" s="8" t="s">
        <v>36</v>
      </c>
      <c r="AC1023" s="8" t="s">
        <v>37</v>
      </c>
      <c r="AD1023" s="8" t="s">
        <v>69</v>
      </c>
      <c r="AE1023" s="8" t="s">
        <v>39</v>
      </c>
      <c r="AF1023" s="8" t="s">
        <v>40</v>
      </c>
      <c r="AG1023" s="9">
        <v>4443197</v>
      </c>
      <c r="AH1023" s="11">
        <f>_xlfn.XLOOKUP(B1023,[1]Sheet1!$B:$B,[1]Sheet1!$AB:$AB,0)</f>
        <v>4443197</v>
      </c>
    </row>
    <row r="1024" spans="2:34" ht="16.8" thickTop="1" thickBot="1" x14ac:dyDescent="0.35">
      <c r="B1024" s="3" t="str">
        <f t="shared" si="32"/>
        <v>45110104511001301Freelancers-N424521200104</v>
      </c>
      <c r="C1024" s="6" t="s">
        <v>268</v>
      </c>
      <c r="D1024" s="6" t="s">
        <v>1543</v>
      </c>
      <c r="E1024" s="6" t="s">
        <v>1544</v>
      </c>
      <c r="F1024" s="6" t="s">
        <v>50</v>
      </c>
      <c r="G1024" s="4" t="s">
        <v>2804</v>
      </c>
      <c r="H1024" s="4" t="s">
        <v>2922</v>
      </c>
      <c r="I1024" s="6" t="s">
        <v>51</v>
      </c>
      <c r="J1024" s="6" t="s">
        <v>31</v>
      </c>
      <c r="K1024" s="12">
        <f>_xlfn.XLOOKUP(B1024,[1]Sheet1!$B:$B,[1]Sheet1!$N:$N,0)</f>
        <v>0</v>
      </c>
      <c r="L1024" s="12">
        <f>_xlfn.XLOOKUP(B1024,[1]Sheet1!$B:$B,[1]Sheet1!$O:$O,0)</f>
        <v>0</v>
      </c>
      <c r="M1024" s="12">
        <f>_xlfn.XLOOKUP(B1024,[1]Sheet1!$B:$B,[1]Sheet1!$P:$P,0)</f>
        <v>0</v>
      </c>
      <c r="N1024" s="12">
        <f>_xlfn.XLOOKUP(B1024,[1]Sheet1!$B:$B,[1]Sheet1!$Q:$Q,0)</f>
        <v>161000</v>
      </c>
      <c r="O1024" s="12">
        <f>_xlfn.XLOOKUP(B1024,[1]Sheet1!$B:$B,[1]Sheet1!$R:$R,0)</f>
        <v>161000</v>
      </c>
      <c r="P1024" s="12">
        <f>_xlfn.XLOOKUP(B1024,[1]Sheet1!$B:$B,[1]Sheet1!$S:$S,0)</f>
        <v>161000</v>
      </c>
      <c r="Q1024" s="12">
        <f>_xlfn.XLOOKUP(B1024,[1]Sheet1!$B:$B,[1]Sheet1!$T:$T,0)</f>
        <v>161000</v>
      </c>
      <c r="R1024" s="12">
        <f>_xlfn.XLOOKUP(B1024,[1]Sheet1!$B:$B,[1]Sheet1!$U:$U,0)</f>
        <v>161000</v>
      </c>
      <c r="S1024" s="12">
        <f>_xlfn.XLOOKUP(B1024,[1]Sheet1!$B:$B,[1]Sheet1!$V:$V,0)</f>
        <v>161000</v>
      </c>
      <c r="T1024" s="12">
        <f>_xlfn.XLOOKUP(B1024,[1]Sheet1!$B:$B,[1]Sheet1!$W:$W,0)</f>
        <v>161000</v>
      </c>
      <c r="U1024" s="12">
        <f>_xlfn.XLOOKUP(B1024,[1]Sheet1!$B:$B,[1]Sheet1!$X:$X,0)</f>
        <v>161000</v>
      </c>
      <c r="V1024" s="12">
        <f>_xlfn.XLOOKUP(B1024,[1]Sheet1!$B:$B,[1]Sheet1!$Y:$Y,0)</f>
        <v>322000</v>
      </c>
      <c r="W1024" s="12">
        <f t="shared" si="33"/>
        <v>1610000</v>
      </c>
      <c r="X1024" s="6" t="s">
        <v>1541</v>
      </c>
      <c r="Y1024" s="6" t="s">
        <v>65</v>
      </c>
      <c r="Z1024" s="6" t="s">
        <v>267</v>
      </c>
      <c r="AA1024" s="6" t="s">
        <v>53</v>
      </c>
      <c r="AB1024" s="6" t="s">
        <v>36</v>
      </c>
      <c r="AC1024" s="6" t="s">
        <v>37</v>
      </c>
      <c r="AD1024" s="6" t="s">
        <v>69</v>
      </c>
      <c r="AE1024" s="6" t="s">
        <v>39</v>
      </c>
      <c r="AF1024" s="6" t="s">
        <v>40</v>
      </c>
      <c r="AG1024" s="7">
        <v>1610000</v>
      </c>
      <c r="AH1024" s="11">
        <f>_xlfn.XLOOKUP(B1024,[1]Sheet1!$B:$B,[1]Sheet1!$AB:$AB,0)</f>
        <v>1610000</v>
      </c>
    </row>
    <row r="1025" spans="2:34" ht="16.8" thickTop="1" thickBot="1" x14ac:dyDescent="0.35">
      <c r="B1025" s="3" t="str">
        <f t="shared" si="32"/>
        <v>45100114511001308Sponsorship Fees-N1424811200104</v>
      </c>
      <c r="C1025" s="8" t="s">
        <v>35</v>
      </c>
      <c r="D1025" s="8" t="s">
        <v>1546</v>
      </c>
      <c r="E1025" s="8" t="s">
        <v>1547</v>
      </c>
      <c r="F1025" s="8" t="s">
        <v>29</v>
      </c>
      <c r="G1025" s="4" t="s">
        <v>2802</v>
      </c>
      <c r="H1025" s="4" t="s">
        <v>2922</v>
      </c>
      <c r="I1025" s="8" t="s">
        <v>30</v>
      </c>
      <c r="J1025" s="8" t="s">
        <v>31</v>
      </c>
      <c r="K1025" s="12">
        <f>_xlfn.XLOOKUP(B1025,[1]Sheet1!$B:$B,[1]Sheet1!$N:$N,0)</f>
        <v>0</v>
      </c>
      <c r="L1025" s="12">
        <f>_xlfn.XLOOKUP(B1025,[1]Sheet1!$B:$B,[1]Sheet1!$O:$O,0)</f>
        <v>0</v>
      </c>
      <c r="M1025" s="12">
        <f>_xlfn.XLOOKUP(B1025,[1]Sheet1!$B:$B,[1]Sheet1!$P:$P,0)</f>
        <v>0</v>
      </c>
      <c r="N1025" s="12">
        <f>_xlfn.XLOOKUP(B1025,[1]Sheet1!$B:$B,[1]Sheet1!$Q:$Q,0)</f>
        <v>0</v>
      </c>
      <c r="O1025" s="12">
        <f>_xlfn.XLOOKUP(B1025,[1]Sheet1!$B:$B,[1]Sheet1!$R:$R,0)</f>
        <v>0</v>
      </c>
      <c r="P1025" s="12">
        <f>_xlfn.XLOOKUP(B1025,[1]Sheet1!$B:$B,[1]Sheet1!$S:$S,0)</f>
        <v>179000000</v>
      </c>
      <c r="Q1025" s="12">
        <f>_xlfn.XLOOKUP(B1025,[1]Sheet1!$B:$B,[1]Sheet1!$T:$T,0)</f>
        <v>0</v>
      </c>
      <c r="R1025" s="12">
        <f>_xlfn.XLOOKUP(B1025,[1]Sheet1!$B:$B,[1]Sheet1!$U:$U,0)</f>
        <v>0</v>
      </c>
      <c r="S1025" s="12">
        <f>_xlfn.XLOOKUP(B1025,[1]Sheet1!$B:$B,[1]Sheet1!$V:$V,0)</f>
        <v>0</v>
      </c>
      <c r="T1025" s="12">
        <f>_xlfn.XLOOKUP(B1025,[1]Sheet1!$B:$B,[1]Sheet1!$W:$W,0)</f>
        <v>0</v>
      </c>
      <c r="U1025" s="12">
        <f>_xlfn.XLOOKUP(B1025,[1]Sheet1!$B:$B,[1]Sheet1!$X:$X,0)</f>
        <v>0</v>
      </c>
      <c r="V1025" s="12">
        <f>_xlfn.XLOOKUP(B1025,[1]Sheet1!$B:$B,[1]Sheet1!$Y:$Y,0)</f>
        <v>0</v>
      </c>
      <c r="W1025" s="12">
        <f t="shared" si="33"/>
        <v>179000000</v>
      </c>
      <c r="X1025" s="8" t="s">
        <v>32</v>
      </c>
      <c r="Y1025" s="8" t="s">
        <v>33</v>
      </c>
      <c r="Z1025" s="8" t="s">
        <v>34</v>
      </c>
      <c r="AA1025" s="8" t="s">
        <v>30</v>
      </c>
      <c r="AB1025" s="8" t="s">
        <v>36</v>
      </c>
      <c r="AC1025" s="8" t="s">
        <v>37</v>
      </c>
      <c r="AD1025" s="8" t="s">
        <v>38</v>
      </c>
      <c r="AE1025" s="8" t="s">
        <v>39</v>
      </c>
      <c r="AF1025" s="8" t="s">
        <v>40</v>
      </c>
      <c r="AG1025" s="9">
        <v>179000000</v>
      </c>
      <c r="AH1025" s="11">
        <f>_xlfn.XLOOKUP(B1025,[1]Sheet1!$B:$B,[1]Sheet1!$AB:$AB,0)</f>
        <v>179000000</v>
      </c>
    </row>
    <row r="1026" spans="2:34" ht="16.8" thickTop="1" thickBot="1" x14ac:dyDescent="0.35">
      <c r="B1026" s="3" t="str">
        <f t="shared" si="32"/>
        <v>45110104511001309Event Management-N422401200104</v>
      </c>
      <c r="C1026" s="6" t="s">
        <v>268</v>
      </c>
      <c r="D1026" s="6" t="s">
        <v>1548</v>
      </c>
      <c r="E1026" s="6" t="s">
        <v>1549</v>
      </c>
      <c r="F1026" s="6" t="s">
        <v>162</v>
      </c>
      <c r="G1026" s="4" t="s">
        <v>2807</v>
      </c>
      <c r="H1026" s="4" t="s">
        <v>2922</v>
      </c>
      <c r="I1026" s="6" t="s">
        <v>63</v>
      </c>
      <c r="J1026" s="6" t="s">
        <v>31</v>
      </c>
      <c r="K1026" s="12">
        <f>_xlfn.XLOOKUP(B1026,[1]Sheet1!$B:$B,[1]Sheet1!$N:$N,0)</f>
        <v>0</v>
      </c>
      <c r="L1026" s="12">
        <f>_xlfn.XLOOKUP(B1026,[1]Sheet1!$B:$B,[1]Sheet1!$O:$O,0)</f>
        <v>0</v>
      </c>
      <c r="M1026" s="12">
        <f>_xlfn.XLOOKUP(B1026,[1]Sheet1!$B:$B,[1]Sheet1!$P:$P,0)</f>
        <v>0</v>
      </c>
      <c r="N1026" s="12">
        <f>_xlfn.XLOOKUP(B1026,[1]Sheet1!$B:$B,[1]Sheet1!$Q:$Q,0)</f>
        <v>0</v>
      </c>
      <c r="O1026" s="12">
        <f>_xlfn.XLOOKUP(B1026,[1]Sheet1!$B:$B,[1]Sheet1!$R:$R,0)</f>
        <v>0</v>
      </c>
      <c r="P1026" s="12">
        <f>_xlfn.XLOOKUP(B1026,[1]Sheet1!$B:$B,[1]Sheet1!$S:$S,0)</f>
        <v>0</v>
      </c>
      <c r="Q1026" s="12">
        <f>_xlfn.XLOOKUP(B1026,[1]Sheet1!$B:$B,[1]Sheet1!$T:$T,0)</f>
        <v>0</v>
      </c>
      <c r="R1026" s="12">
        <f>_xlfn.XLOOKUP(B1026,[1]Sheet1!$B:$B,[1]Sheet1!$U:$U,0)</f>
        <v>0</v>
      </c>
      <c r="S1026" s="12">
        <f>_xlfn.XLOOKUP(B1026,[1]Sheet1!$B:$B,[1]Sheet1!$V:$V,0)</f>
        <v>0</v>
      </c>
      <c r="T1026" s="12">
        <f>_xlfn.XLOOKUP(B1026,[1]Sheet1!$B:$B,[1]Sheet1!$W:$W,0)</f>
        <v>0</v>
      </c>
      <c r="U1026" s="12">
        <f>_xlfn.XLOOKUP(B1026,[1]Sheet1!$B:$B,[1]Sheet1!$X:$X,0)</f>
        <v>0</v>
      </c>
      <c r="V1026" s="12">
        <f>_xlfn.XLOOKUP(B1026,[1]Sheet1!$B:$B,[1]Sheet1!$Y:$Y,0)</f>
        <v>0</v>
      </c>
      <c r="W1026" s="12">
        <f t="shared" si="33"/>
        <v>0</v>
      </c>
      <c r="X1026" s="6" t="s">
        <v>1110</v>
      </c>
      <c r="Y1026" s="6" t="s">
        <v>65</v>
      </c>
      <c r="Z1026" s="6" t="s">
        <v>267</v>
      </c>
      <c r="AA1026" s="6" t="s">
        <v>68</v>
      </c>
      <c r="AB1026" s="6" t="s">
        <v>36</v>
      </c>
      <c r="AC1026" s="6" t="s">
        <v>37</v>
      </c>
      <c r="AD1026" s="6" t="s">
        <v>102</v>
      </c>
      <c r="AE1026" s="6" t="s">
        <v>39</v>
      </c>
      <c r="AF1026" s="6" t="s">
        <v>40</v>
      </c>
      <c r="AG1026" s="7">
        <v>0.8</v>
      </c>
      <c r="AH1026" s="11">
        <f>_xlfn.XLOOKUP(B1026,[1]Sheet1!$B:$B,[1]Sheet1!$AB:$AB,0)</f>
        <v>0</v>
      </c>
    </row>
    <row r="1027" spans="2:34" ht="16.8" thickTop="1" thickBot="1" x14ac:dyDescent="0.35">
      <c r="B1027" s="3" t="str">
        <f t="shared" si="32"/>
        <v>45110104511001310Concept Develop-N495511300105</v>
      </c>
      <c r="C1027" s="8" t="s">
        <v>268</v>
      </c>
      <c r="D1027" s="8" t="s">
        <v>1550</v>
      </c>
      <c r="E1027" s="8" t="s">
        <v>1551</v>
      </c>
      <c r="F1027" s="8" t="s">
        <v>378</v>
      </c>
      <c r="G1027" s="4" t="s">
        <v>2873</v>
      </c>
      <c r="H1027" s="4" t="s">
        <v>2923</v>
      </c>
      <c r="I1027" s="8" t="s">
        <v>1552</v>
      </c>
      <c r="J1027" s="8" t="s">
        <v>31</v>
      </c>
      <c r="K1027" s="12">
        <f>_xlfn.XLOOKUP(B1027,[1]Sheet1!$B:$B,[1]Sheet1!$N:$N,0)</f>
        <v>0</v>
      </c>
      <c r="L1027" s="12">
        <f>_xlfn.XLOOKUP(B1027,[1]Sheet1!$B:$B,[1]Sheet1!$O:$O,0)</f>
        <v>0</v>
      </c>
      <c r="M1027" s="12">
        <f>_xlfn.XLOOKUP(B1027,[1]Sheet1!$B:$B,[1]Sheet1!$P:$P,0)</f>
        <v>0</v>
      </c>
      <c r="N1027" s="12">
        <f>_xlfn.XLOOKUP(B1027,[1]Sheet1!$B:$B,[1]Sheet1!$Q:$Q,0)</f>
        <v>0</v>
      </c>
      <c r="O1027" s="12">
        <f>_xlfn.XLOOKUP(B1027,[1]Sheet1!$B:$B,[1]Sheet1!$R:$R,0)</f>
        <v>300000</v>
      </c>
      <c r="P1027" s="12">
        <f>_xlfn.XLOOKUP(B1027,[1]Sheet1!$B:$B,[1]Sheet1!$S:$S,0)</f>
        <v>0</v>
      </c>
      <c r="Q1027" s="12">
        <f>_xlfn.XLOOKUP(B1027,[1]Sheet1!$B:$B,[1]Sheet1!$T:$T,0)</f>
        <v>0</v>
      </c>
      <c r="R1027" s="12">
        <f>_xlfn.XLOOKUP(B1027,[1]Sheet1!$B:$B,[1]Sheet1!$U:$U,0)</f>
        <v>420000</v>
      </c>
      <c r="S1027" s="12">
        <f>_xlfn.XLOOKUP(B1027,[1]Sheet1!$B:$B,[1]Sheet1!$V:$V,0)</f>
        <v>0</v>
      </c>
      <c r="T1027" s="12">
        <f>_xlfn.XLOOKUP(B1027,[1]Sheet1!$B:$B,[1]Sheet1!$W:$W,0)</f>
        <v>0</v>
      </c>
      <c r="U1027" s="12">
        <f>_xlfn.XLOOKUP(B1027,[1]Sheet1!$B:$B,[1]Sheet1!$X:$X,0)</f>
        <v>0</v>
      </c>
      <c r="V1027" s="12">
        <f>_xlfn.XLOOKUP(B1027,[1]Sheet1!$B:$B,[1]Sheet1!$Y:$Y,0)</f>
        <v>0</v>
      </c>
      <c r="W1027" s="12">
        <f t="shared" si="33"/>
        <v>720000</v>
      </c>
      <c r="X1027" s="8" t="s">
        <v>1553</v>
      </c>
      <c r="Y1027" s="8" t="s">
        <v>65</v>
      </c>
      <c r="Z1027" s="8" t="s">
        <v>267</v>
      </c>
      <c r="AA1027" s="8" t="s">
        <v>1552</v>
      </c>
      <c r="AB1027" s="8" t="s">
        <v>93</v>
      </c>
      <c r="AC1027" s="8" t="s">
        <v>94</v>
      </c>
      <c r="AD1027" s="8" t="s">
        <v>102</v>
      </c>
      <c r="AE1027" s="8" t="s">
        <v>39</v>
      </c>
      <c r="AF1027" s="8" t="s">
        <v>40</v>
      </c>
      <c r="AG1027" s="9">
        <v>340000</v>
      </c>
      <c r="AH1027" s="11">
        <f>_xlfn.XLOOKUP(B1027,[1]Sheet1!$B:$B,[1]Sheet1!$AB:$AB,0)</f>
        <v>340000</v>
      </c>
    </row>
    <row r="1028" spans="2:34" ht="16.8" thickTop="1" thickBot="1" x14ac:dyDescent="0.35">
      <c r="B1028" s="3" t="str">
        <f t="shared" ref="B1028:B1091" si="34">C1028&amp;D1028&amp;F1028&amp;G1028&amp;H1028</f>
        <v>45110104511001312Concept Develop-N495511300105</v>
      </c>
      <c r="C1028" s="6" t="s">
        <v>268</v>
      </c>
      <c r="D1028" s="6" t="s">
        <v>1554</v>
      </c>
      <c r="E1028" s="6" t="s">
        <v>1555</v>
      </c>
      <c r="F1028" s="6" t="s">
        <v>378</v>
      </c>
      <c r="G1028" s="4" t="s">
        <v>2873</v>
      </c>
      <c r="H1028" s="4" t="s">
        <v>2923</v>
      </c>
      <c r="I1028" s="6" t="s">
        <v>1552</v>
      </c>
      <c r="J1028" s="6" t="s">
        <v>31</v>
      </c>
      <c r="K1028" s="12">
        <f>_xlfn.XLOOKUP(B1028,[1]Sheet1!$B:$B,[1]Sheet1!$N:$N,0)</f>
        <v>0</v>
      </c>
      <c r="L1028" s="12">
        <f>_xlfn.XLOOKUP(B1028,[1]Sheet1!$B:$B,[1]Sheet1!$O:$O,0)</f>
        <v>0</v>
      </c>
      <c r="M1028" s="12">
        <f>_xlfn.XLOOKUP(B1028,[1]Sheet1!$B:$B,[1]Sheet1!$P:$P,0)</f>
        <v>0</v>
      </c>
      <c r="N1028" s="12">
        <f>_xlfn.XLOOKUP(B1028,[1]Sheet1!$B:$B,[1]Sheet1!$Q:$Q,0)</f>
        <v>0</v>
      </c>
      <c r="O1028" s="12">
        <f>_xlfn.XLOOKUP(B1028,[1]Sheet1!$B:$B,[1]Sheet1!$R:$R,0)</f>
        <v>0</v>
      </c>
      <c r="P1028" s="12">
        <f>_xlfn.XLOOKUP(B1028,[1]Sheet1!$B:$B,[1]Sheet1!$S:$S,0)</f>
        <v>0</v>
      </c>
      <c r="Q1028" s="12">
        <f>_xlfn.XLOOKUP(B1028,[1]Sheet1!$B:$B,[1]Sheet1!$T:$T,0)</f>
        <v>0</v>
      </c>
      <c r="R1028" s="12">
        <f>_xlfn.XLOOKUP(B1028,[1]Sheet1!$B:$B,[1]Sheet1!$U:$U,0)</f>
        <v>2020000</v>
      </c>
      <c r="S1028" s="12">
        <f>_xlfn.XLOOKUP(B1028,[1]Sheet1!$B:$B,[1]Sheet1!$V:$V,0)</f>
        <v>0</v>
      </c>
      <c r="T1028" s="12">
        <f>_xlfn.XLOOKUP(B1028,[1]Sheet1!$B:$B,[1]Sheet1!$W:$W,0)</f>
        <v>2600000</v>
      </c>
      <c r="U1028" s="12">
        <f>_xlfn.XLOOKUP(B1028,[1]Sheet1!$B:$B,[1]Sheet1!$X:$X,0)</f>
        <v>0</v>
      </c>
      <c r="V1028" s="12">
        <f>_xlfn.XLOOKUP(B1028,[1]Sheet1!$B:$B,[1]Sheet1!$Y:$Y,0)</f>
        <v>0</v>
      </c>
      <c r="W1028" s="12">
        <f t="shared" ref="W1028:W1091" si="35">SUM(K1028:V1028)</f>
        <v>4620000</v>
      </c>
      <c r="X1028" s="6" t="s">
        <v>1553</v>
      </c>
      <c r="Y1028" s="6" t="s">
        <v>65</v>
      </c>
      <c r="Z1028" s="6" t="s">
        <v>267</v>
      </c>
      <c r="AA1028" s="6" t="s">
        <v>1552</v>
      </c>
      <c r="AB1028" s="6" t="s">
        <v>93</v>
      </c>
      <c r="AC1028" s="6" t="s">
        <v>94</v>
      </c>
      <c r="AD1028" s="6" t="s">
        <v>102</v>
      </c>
      <c r="AE1028" s="6" t="s">
        <v>39</v>
      </c>
      <c r="AF1028" s="6" t="s">
        <v>40</v>
      </c>
      <c r="AG1028" s="7">
        <v>1000000</v>
      </c>
      <c r="AH1028" s="11">
        <f>_xlfn.XLOOKUP(B1028,[1]Sheet1!$B:$B,[1]Sheet1!$AB:$AB,0)</f>
        <v>1000000</v>
      </c>
    </row>
    <row r="1029" spans="2:34" ht="16.8" thickTop="1" thickBot="1" x14ac:dyDescent="0.35">
      <c r="B1029" s="3" t="str">
        <f t="shared" si="34"/>
        <v>45155004511001317Sponsorship Fees-N424811200104</v>
      </c>
      <c r="C1029" s="8" t="s">
        <v>513</v>
      </c>
      <c r="D1029" s="8" t="s">
        <v>1556</v>
      </c>
      <c r="E1029" s="8" t="s">
        <v>1557</v>
      </c>
      <c r="F1029" s="8" t="s">
        <v>506</v>
      </c>
      <c r="G1029" s="4" t="s">
        <v>2802</v>
      </c>
      <c r="H1029" s="4" t="s">
        <v>2922</v>
      </c>
      <c r="I1029" s="8" t="s">
        <v>30</v>
      </c>
      <c r="J1029" s="8" t="s">
        <v>31</v>
      </c>
      <c r="K1029" s="12">
        <f>_xlfn.XLOOKUP(B1029,[1]Sheet1!$B:$B,[1]Sheet1!$N:$N,0)</f>
        <v>0</v>
      </c>
      <c r="L1029" s="12">
        <f>_xlfn.XLOOKUP(B1029,[1]Sheet1!$B:$B,[1]Sheet1!$O:$O,0)</f>
        <v>0</v>
      </c>
      <c r="M1029" s="12">
        <f>_xlfn.XLOOKUP(B1029,[1]Sheet1!$B:$B,[1]Sheet1!$P:$P,0)</f>
        <v>0</v>
      </c>
      <c r="N1029" s="12">
        <f>_xlfn.XLOOKUP(B1029,[1]Sheet1!$B:$B,[1]Sheet1!$Q:$Q,0)</f>
        <v>300000</v>
      </c>
      <c r="O1029" s="12">
        <f>_xlfn.XLOOKUP(B1029,[1]Sheet1!$B:$B,[1]Sheet1!$R:$R,0)</f>
        <v>350000</v>
      </c>
      <c r="P1029" s="12">
        <f>_xlfn.XLOOKUP(B1029,[1]Sheet1!$B:$B,[1]Sheet1!$S:$S,0)</f>
        <v>448750</v>
      </c>
      <c r="Q1029" s="12">
        <f>_xlfn.XLOOKUP(B1029,[1]Sheet1!$B:$B,[1]Sheet1!$T:$T,0)</f>
        <v>0</v>
      </c>
      <c r="R1029" s="12">
        <f>_xlfn.XLOOKUP(B1029,[1]Sheet1!$B:$B,[1]Sheet1!$U:$U,0)</f>
        <v>0</v>
      </c>
      <c r="S1029" s="12">
        <f>_xlfn.XLOOKUP(B1029,[1]Sheet1!$B:$B,[1]Sheet1!$V:$V,0)</f>
        <v>0</v>
      </c>
      <c r="T1029" s="12">
        <f>_xlfn.XLOOKUP(B1029,[1]Sheet1!$B:$B,[1]Sheet1!$W:$W,0)</f>
        <v>0</v>
      </c>
      <c r="U1029" s="12">
        <f>_xlfn.XLOOKUP(B1029,[1]Sheet1!$B:$B,[1]Sheet1!$X:$X,0)</f>
        <v>0</v>
      </c>
      <c r="V1029" s="12">
        <f>_xlfn.XLOOKUP(B1029,[1]Sheet1!$B:$B,[1]Sheet1!$Y:$Y,0)</f>
        <v>0</v>
      </c>
      <c r="W1029" s="12">
        <f t="shared" si="35"/>
        <v>1098750</v>
      </c>
      <c r="X1029" s="8" t="s">
        <v>518</v>
      </c>
      <c r="Y1029" s="8" t="s">
        <v>211</v>
      </c>
      <c r="Z1029" s="8" t="s">
        <v>512</v>
      </c>
      <c r="AA1029" s="8" t="s">
        <v>30</v>
      </c>
      <c r="AB1029" s="8" t="s">
        <v>36</v>
      </c>
      <c r="AC1029" s="8" t="s">
        <v>37</v>
      </c>
      <c r="AD1029" s="8" t="s">
        <v>342</v>
      </c>
      <c r="AE1029" s="8" t="s">
        <v>39</v>
      </c>
      <c r="AF1029" s="8" t="s">
        <v>40</v>
      </c>
      <c r="AG1029" s="9">
        <v>2665485</v>
      </c>
      <c r="AH1029" s="11">
        <f>_xlfn.XLOOKUP(B1029,[1]Sheet1!$B:$B,[1]Sheet1!$AB:$AB,0)</f>
        <v>2665486</v>
      </c>
    </row>
    <row r="1030" spans="2:34" ht="16.8" thickTop="1" thickBot="1" x14ac:dyDescent="0.35">
      <c r="B1030" s="3" t="str">
        <f t="shared" si="34"/>
        <v>45100114511001322ManagementAdvice-N424521200104</v>
      </c>
      <c r="C1030" s="6" t="s">
        <v>35</v>
      </c>
      <c r="D1030" s="6" t="s">
        <v>1558</v>
      </c>
      <c r="E1030" s="6" t="s">
        <v>1559</v>
      </c>
      <c r="F1030" s="6" t="s">
        <v>230</v>
      </c>
      <c r="G1030" s="4" t="s">
        <v>2804</v>
      </c>
      <c r="H1030" s="4" t="s">
        <v>2922</v>
      </c>
      <c r="I1030" s="6" t="s">
        <v>51</v>
      </c>
      <c r="J1030" s="6" t="s">
        <v>31</v>
      </c>
      <c r="K1030" s="12">
        <f>_xlfn.XLOOKUP(B1030,[1]Sheet1!$B:$B,[1]Sheet1!$N:$N,0)</f>
        <v>0</v>
      </c>
      <c r="L1030" s="12">
        <f>_xlfn.XLOOKUP(B1030,[1]Sheet1!$B:$B,[1]Sheet1!$O:$O,0)</f>
        <v>0</v>
      </c>
      <c r="M1030" s="12">
        <f>_xlfn.XLOOKUP(B1030,[1]Sheet1!$B:$B,[1]Sheet1!$P:$P,0)</f>
        <v>0</v>
      </c>
      <c r="N1030" s="12">
        <f>_xlfn.XLOOKUP(B1030,[1]Sheet1!$B:$B,[1]Sheet1!$Q:$Q,0)</f>
        <v>0</v>
      </c>
      <c r="O1030" s="12">
        <f>_xlfn.XLOOKUP(B1030,[1]Sheet1!$B:$B,[1]Sheet1!$R:$R,0)</f>
        <v>0</v>
      </c>
      <c r="P1030" s="12">
        <f>_xlfn.XLOOKUP(B1030,[1]Sheet1!$B:$B,[1]Sheet1!$S:$S,0)</f>
        <v>0</v>
      </c>
      <c r="Q1030" s="12">
        <f>_xlfn.XLOOKUP(B1030,[1]Sheet1!$B:$B,[1]Sheet1!$T:$T,0)</f>
        <v>0</v>
      </c>
      <c r="R1030" s="12">
        <f>_xlfn.XLOOKUP(B1030,[1]Sheet1!$B:$B,[1]Sheet1!$U:$U,0)</f>
        <v>0</v>
      </c>
      <c r="S1030" s="12">
        <f>_xlfn.XLOOKUP(B1030,[1]Sheet1!$B:$B,[1]Sheet1!$V:$V,0)</f>
        <v>0</v>
      </c>
      <c r="T1030" s="12">
        <f>_xlfn.XLOOKUP(B1030,[1]Sheet1!$B:$B,[1]Sheet1!$W:$W,0)</f>
        <v>0</v>
      </c>
      <c r="U1030" s="12">
        <f>_xlfn.XLOOKUP(B1030,[1]Sheet1!$B:$B,[1]Sheet1!$X:$X,0)</f>
        <v>0</v>
      </c>
      <c r="V1030" s="12">
        <f>_xlfn.XLOOKUP(B1030,[1]Sheet1!$B:$B,[1]Sheet1!$Y:$Y,0)</f>
        <v>0</v>
      </c>
      <c r="W1030" s="12">
        <f t="shared" si="35"/>
        <v>0</v>
      </c>
      <c r="X1030" s="6" t="s">
        <v>1560</v>
      </c>
      <c r="Y1030" s="6" t="s">
        <v>33</v>
      </c>
      <c r="Z1030" s="6" t="s">
        <v>34</v>
      </c>
      <c r="AA1030" s="6" t="s">
        <v>53</v>
      </c>
      <c r="AB1030" s="6" t="s">
        <v>36</v>
      </c>
      <c r="AC1030" s="6" t="s">
        <v>37</v>
      </c>
      <c r="AD1030" s="6" t="s">
        <v>38</v>
      </c>
      <c r="AE1030" s="6" t="s">
        <v>39</v>
      </c>
      <c r="AF1030" s="6" t="s">
        <v>40</v>
      </c>
      <c r="AG1030" s="7">
        <v>4900000</v>
      </c>
      <c r="AH1030" s="11">
        <f>_xlfn.XLOOKUP(B1030,[1]Sheet1!$B:$B,[1]Sheet1!$AB:$AB,0)</f>
        <v>4900000</v>
      </c>
    </row>
    <row r="1031" spans="2:34" ht="16.8" thickTop="1" thickBot="1" x14ac:dyDescent="0.35">
      <c r="B1031" s="3" t="str">
        <f t="shared" si="34"/>
        <v>45131304511001322Sponsorship Fees-L1424811201932</v>
      </c>
      <c r="C1031" s="8" t="s">
        <v>321</v>
      </c>
      <c r="D1031" s="8" t="s">
        <v>1558</v>
      </c>
      <c r="E1031" s="8" t="s">
        <v>1559</v>
      </c>
      <c r="F1031" s="8" t="s">
        <v>1561</v>
      </c>
      <c r="G1031" s="4" t="s">
        <v>2802</v>
      </c>
      <c r="H1031" s="4" t="s">
        <v>2932</v>
      </c>
      <c r="I1031" s="8" t="s">
        <v>30</v>
      </c>
      <c r="J1031" s="8" t="s">
        <v>31</v>
      </c>
      <c r="K1031" s="12">
        <f>_xlfn.XLOOKUP(B1031,[1]Sheet1!$B:$B,[1]Sheet1!$N:$N,0)</f>
        <v>0</v>
      </c>
      <c r="L1031" s="12">
        <f>_xlfn.XLOOKUP(B1031,[1]Sheet1!$B:$B,[1]Sheet1!$O:$O,0)</f>
        <v>0</v>
      </c>
      <c r="M1031" s="12">
        <f>_xlfn.XLOOKUP(B1031,[1]Sheet1!$B:$B,[1]Sheet1!$P:$P,0)</f>
        <v>0</v>
      </c>
      <c r="N1031" s="12">
        <f>_xlfn.XLOOKUP(B1031,[1]Sheet1!$B:$B,[1]Sheet1!$Q:$Q,0)</f>
        <v>0</v>
      </c>
      <c r="O1031" s="12">
        <f>_xlfn.XLOOKUP(B1031,[1]Sheet1!$B:$B,[1]Sheet1!$R:$R,0)</f>
        <v>0</v>
      </c>
      <c r="P1031" s="12">
        <f>_xlfn.XLOOKUP(B1031,[1]Sheet1!$B:$B,[1]Sheet1!$S:$S,0)</f>
        <v>0</v>
      </c>
      <c r="Q1031" s="12">
        <f>_xlfn.XLOOKUP(B1031,[1]Sheet1!$B:$B,[1]Sheet1!$T:$T,0)</f>
        <v>0</v>
      </c>
      <c r="R1031" s="12">
        <f>_xlfn.XLOOKUP(B1031,[1]Sheet1!$B:$B,[1]Sheet1!$U:$U,0)</f>
        <v>0</v>
      </c>
      <c r="S1031" s="12">
        <f>_xlfn.XLOOKUP(B1031,[1]Sheet1!$B:$B,[1]Sheet1!$V:$V,0)</f>
        <v>0</v>
      </c>
      <c r="T1031" s="12">
        <f>_xlfn.XLOOKUP(B1031,[1]Sheet1!$B:$B,[1]Sheet1!$W:$W,0)</f>
        <v>73500000</v>
      </c>
      <c r="U1031" s="12">
        <f>_xlfn.XLOOKUP(B1031,[1]Sheet1!$B:$B,[1]Sheet1!$X:$X,0)</f>
        <v>0</v>
      </c>
      <c r="V1031" s="12">
        <f>_xlfn.XLOOKUP(B1031,[1]Sheet1!$B:$B,[1]Sheet1!$Y:$Y,0)</f>
        <v>0</v>
      </c>
      <c r="W1031" s="12">
        <f t="shared" si="35"/>
        <v>73500000</v>
      </c>
      <c r="X1031" s="8" t="s">
        <v>1562</v>
      </c>
      <c r="Y1031" s="8" t="s">
        <v>319</v>
      </c>
      <c r="Z1031" s="8" t="s">
        <v>320</v>
      </c>
      <c r="AA1031" s="8" t="s">
        <v>30</v>
      </c>
      <c r="AB1031" s="8" t="s">
        <v>1563</v>
      </c>
      <c r="AC1031" s="8" t="s">
        <v>37</v>
      </c>
      <c r="AD1031" s="8" t="s">
        <v>342</v>
      </c>
      <c r="AE1031" s="8" t="s">
        <v>39</v>
      </c>
      <c r="AF1031" s="8" t="s">
        <v>40</v>
      </c>
      <c r="AG1031" s="9">
        <v>73500000</v>
      </c>
      <c r="AH1031" s="11">
        <f>_xlfn.XLOOKUP(B1031,[1]Sheet1!$B:$B,[1]Sheet1!$AB:$AB,0)</f>
        <v>73500000</v>
      </c>
    </row>
    <row r="1032" spans="2:34" ht="16.8" thickTop="1" thickBot="1" x14ac:dyDescent="0.35">
      <c r="B1032" s="3" t="str">
        <f t="shared" si="34"/>
        <v>45155004511001325Event Management-N422401200104</v>
      </c>
      <c r="C1032" s="6" t="s">
        <v>513</v>
      </c>
      <c r="D1032" s="6" t="s">
        <v>1564</v>
      </c>
      <c r="E1032" s="6" t="s">
        <v>1565</v>
      </c>
      <c r="F1032" s="6" t="s">
        <v>162</v>
      </c>
      <c r="G1032" s="4" t="s">
        <v>2807</v>
      </c>
      <c r="H1032" s="4" t="s">
        <v>2922</v>
      </c>
      <c r="I1032" s="6" t="s">
        <v>63</v>
      </c>
      <c r="J1032" s="6" t="s">
        <v>31</v>
      </c>
      <c r="K1032" s="12">
        <f>_xlfn.XLOOKUP(B1032,[1]Sheet1!$B:$B,[1]Sheet1!$N:$N,0)</f>
        <v>0</v>
      </c>
      <c r="L1032" s="12">
        <f>_xlfn.XLOOKUP(B1032,[1]Sheet1!$B:$B,[1]Sheet1!$O:$O,0)</f>
        <v>0</v>
      </c>
      <c r="M1032" s="12">
        <f>_xlfn.XLOOKUP(B1032,[1]Sheet1!$B:$B,[1]Sheet1!$P:$P,0)</f>
        <v>8532500</v>
      </c>
      <c r="N1032" s="12">
        <f>_xlfn.XLOOKUP(B1032,[1]Sheet1!$B:$B,[1]Sheet1!$Q:$Q,0)</f>
        <v>3400000</v>
      </c>
      <c r="O1032" s="12">
        <f>_xlfn.XLOOKUP(B1032,[1]Sheet1!$B:$B,[1]Sheet1!$R:$R,0)</f>
        <v>2040000</v>
      </c>
      <c r="P1032" s="12">
        <f>_xlfn.XLOOKUP(B1032,[1]Sheet1!$B:$B,[1]Sheet1!$S:$S,0)</f>
        <v>0</v>
      </c>
      <c r="Q1032" s="12">
        <f>_xlfn.XLOOKUP(B1032,[1]Sheet1!$B:$B,[1]Sheet1!$T:$T,0)</f>
        <v>1000000</v>
      </c>
      <c r="R1032" s="12">
        <f>_xlfn.XLOOKUP(B1032,[1]Sheet1!$B:$B,[1]Sheet1!$U:$U,0)</f>
        <v>190000</v>
      </c>
      <c r="S1032" s="12">
        <f>_xlfn.XLOOKUP(B1032,[1]Sheet1!$B:$B,[1]Sheet1!$V:$V,0)</f>
        <v>0</v>
      </c>
      <c r="T1032" s="12">
        <f>_xlfn.XLOOKUP(B1032,[1]Sheet1!$B:$B,[1]Sheet1!$W:$W,0)</f>
        <v>0</v>
      </c>
      <c r="U1032" s="12">
        <f>_xlfn.XLOOKUP(B1032,[1]Sheet1!$B:$B,[1]Sheet1!$X:$X,0)</f>
        <v>0</v>
      </c>
      <c r="V1032" s="12">
        <f>_xlfn.XLOOKUP(B1032,[1]Sheet1!$B:$B,[1]Sheet1!$Y:$Y,0)</f>
        <v>0</v>
      </c>
      <c r="W1032" s="12">
        <f t="shared" si="35"/>
        <v>15162500</v>
      </c>
      <c r="X1032" s="6" t="s">
        <v>524</v>
      </c>
      <c r="Y1032" s="6" t="s">
        <v>211</v>
      </c>
      <c r="Z1032" s="6" t="s">
        <v>512</v>
      </c>
      <c r="AA1032" s="6" t="s">
        <v>68</v>
      </c>
      <c r="AB1032" s="6" t="s">
        <v>36</v>
      </c>
      <c r="AC1032" s="6" t="s">
        <v>37</v>
      </c>
      <c r="AD1032" s="6" t="s">
        <v>342</v>
      </c>
      <c r="AE1032" s="6" t="s">
        <v>39</v>
      </c>
      <c r="AF1032" s="6" t="s">
        <v>40</v>
      </c>
      <c r="AG1032" s="7">
        <v>11932500</v>
      </c>
      <c r="AH1032" s="11">
        <f>_xlfn.XLOOKUP(B1032,[1]Sheet1!$B:$B,[1]Sheet1!$AB:$AB,0)</f>
        <v>11932500</v>
      </c>
    </row>
    <row r="1033" spans="2:34" ht="16.8" thickTop="1" thickBot="1" x14ac:dyDescent="0.35">
      <c r="B1033" s="3" t="str">
        <f t="shared" si="34"/>
        <v>45102204511001326Event Management-N422401200104</v>
      </c>
      <c r="C1033" s="8" t="s">
        <v>134</v>
      </c>
      <c r="D1033" s="8" t="s">
        <v>1566</v>
      </c>
      <c r="E1033" s="8" t="s">
        <v>1567</v>
      </c>
      <c r="F1033" s="8" t="s">
        <v>162</v>
      </c>
      <c r="G1033" s="4" t="s">
        <v>2807</v>
      </c>
      <c r="H1033" s="4" t="s">
        <v>2922</v>
      </c>
      <c r="I1033" s="8" t="s">
        <v>63</v>
      </c>
      <c r="J1033" s="8" t="s">
        <v>31</v>
      </c>
      <c r="K1033" s="12">
        <f>_xlfn.XLOOKUP(B1033,[1]Sheet1!$B:$B,[1]Sheet1!$N:$N,0)</f>
        <v>0</v>
      </c>
      <c r="L1033" s="12">
        <f>_xlfn.XLOOKUP(B1033,[1]Sheet1!$B:$B,[1]Sheet1!$O:$O,0)</f>
        <v>0</v>
      </c>
      <c r="M1033" s="12">
        <f>_xlfn.XLOOKUP(B1033,[1]Sheet1!$B:$B,[1]Sheet1!$P:$P,0)</f>
        <v>1600</v>
      </c>
      <c r="N1033" s="12">
        <f>_xlfn.XLOOKUP(B1033,[1]Sheet1!$B:$B,[1]Sheet1!$Q:$Q,0)</f>
        <v>38400</v>
      </c>
      <c r="O1033" s="12">
        <f>_xlfn.XLOOKUP(B1033,[1]Sheet1!$B:$B,[1]Sheet1!$R:$R,0)</f>
        <v>32000</v>
      </c>
      <c r="P1033" s="12">
        <f>_xlfn.XLOOKUP(B1033,[1]Sheet1!$B:$B,[1]Sheet1!$S:$S,0)</f>
        <v>0</v>
      </c>
      <c r="Q1033" s="12">
        <f>_xlfn.XLOOKUP(B1033,[1]Sheet1!$B:$B,[1]Sheet1!$T:$T,0)</f>
        <v>0</v>
      </c>
      <c r="R1033" s="12">
        <f>_xlfn.XLOOKUP(B1033,[1]Sheet1!$B:$B,[1]Sheet1!$U:$U,0)</f>
        <v>9500</v>
      </c>
      <c r="S1033" s="12">
        <f>_xlfn.XLOOKUP(B1033,[1]Sheet1!$B:$B,[1]Sheet1!$V:$V,0)</f>
        <v>0</v>
      </c>
      <c r="T1033" s="12">
        <f>_xlfn.XLOOKUP(B1033,[1]Sheet1!$B:$B,[1]Sheet1!$W:$W,0)</f>
        <v>235000</v>
      </c>
      <c r="U1033" s="12">
        <f>_xlfn.XLOOKUP(B1033,[1]Sheet1!$B:$B,[1]Sheet1!$X:$X,0)</f>
        <v>200000</v>
      </c>
      <c r="V1033" s="12">
        <f>_xlfn.XLOOKUP(B1033,[1]Sheet1!$B:$B,[1]Sheet1!$Y:$Y,0)</f>
        <v>28000</v>
      </c>
      <c r="W1033" s="12">
        <f t="shared" si="35"/>
        <v>544500</v>
      </c>
      <c r="X1033" s="8" t="s">
        <v>1061</v>
      </c>
      <c r="Y1033" s="8" t="s">
        <v>132</v>
      </c>
      <c r="Z1033" s="8" t="s">
        <v>133</v>
      </c>
      <c r="AA1033" s="8" t="s">
        <v>68</v>
      </c>
      <c r="AB1033" s="8" t="s">
        <v>36</v>
      </c>
      <c r="AC1033" s="8" t="s">
        <v>37</v>
      </c>
      <c r="AD1033" s="8" t="s">
        <v>135</v>
      </c>
      <c r="AE1033" s="8" t="s">
        <v>39</v>
      </c>
      <c r="AF1033" s="8" t="s">
        <v>40</v>
      </c>
      <c r="AG1033" s="9">
        <v>840650</v>
      </c>
      <c r="AH1033" s="11">
        <f>_xlfn.XLOOKUP(B1033,[1]Sheet1!$B:$B,[1]Sheet1!$AB:$AB,0)</f>
        <v>840650</v>
      </c>
    </row>
    <row r="1034" spans="2:34" ht="16.8" thickTop="1" thickBot="1" x14ac:dyDescent="0.35">
      <c r="B1034" s="3" t="str">
        <f t="shared" si="34"/>
        <v>45155004511001328Co-Invest Events-N422401200104</v>
      </c>
      <c r="C1034" s="6" t="s">
        <v>513</v>
      </c>
      <c r="D1034" s="6" t="s">
        <v>1568</v>
      </c>
      <c r="E1034" s="6" t="s">
        <v>1569</v>
      </c>
      <c r="F1034" s="6" t="s">
        <v>523</v>
      </c>
      <c r="G1034" s="4" t="s">
        <v>2807</v>
      </c>
      <c r="H1034" s="4" t="s">
        <v>2922</v>
      </c>
      <c r="I1034" s="6" t="s">
        <v>63</v>
      </c>
      <c r="J1034" s="6" t="s">
        <v>31</v>
      </c>
      <c r="K1034" s="12">
        <f>_xlfn.XLOOKUP(B1034,[1]Sheet1!$B:$B,[1]Sheet1!$N:$N,0)</f>
        <v>0</v>
      </c>
      <c r="L1034" s="12">
        <f>_xlfn.XLOOKUP(B1034,[1]Sheet1!$B:$B,[1]Sheet1!$O:$O,0)</f>
        <v>0</v>
      </c>
      <c r="M1034" s="12">
        <f>_xlfn.XLOOKUP(B1034,[1]Sheet1!$B:$B,[1]Sheet1!$P:$P,0)</f>
        <v>0</v>
      </c>
      <c r="N1034" s="12">
        <f>_xlfn.XLOOKUP(B1034,[1]Sheet1!$B:$B,[1]Sheet1!$Q:$Q,0)</f>
        <v>6000000</v>
      </c>
      <c r="O1034" s="12">
        <f>_xlfn.XLOOKUP(B1034,[1]Sheet1!$B:$B,[1]Sheet1!$R:$R,0)</f>
        <v>0</v>
      </c>
      <c r="P1034" s="12">
        <f>_xlfn.XLOOKUP(B1034,[1]Sheet1!$B:$B,[1]Sheet1!$S:$S,0)</f>
        <v>0</v>
      </c>
      <c r="Q1034" s="12">
        <f>_xlfn.XLOOKUP(B1034,[1]Sheet1!$B:$B,[1]Sheet1!$T:$T,0)</f>
        <v>0</v>
      </c>
      <c r="R1034" s="12">
        <f>_xlfn.XLOOKUP(B1034,[1]Sheet1!$B:$B,[1]Sheet1!$U:$U,0)</f>
        <v>21000000</v>
      </c>
      <c r="S1034" s="12">
        <f>_xlfn.XLOOKUP(B1034,[1]Sheet1!$B:$B,[1]Sheet1!$V:$V,0)</f>
        <v>0</v>
      </c>
      <c r="T1034" s="12">
        <f>_xlfn.XLOOKUP(B1034,[1]Sheet1!$B:$B,[1]Sheet1!$W:$W,0)</f>
        <v>15750000</v>
      </c>
      <c r="U1034" s="12">
        <f>_xlfn.XLOOKUP(B1034,[1]Sheet1!$B:$B,[1]Sheet1!$X:$X,0)</f>
        <v>0</v>
      </c>
      <c r="V1034" s="12">
        <f>_xlfn.XLOOKUP(B1034,[1]Sheet1!$B:$B,[1]Sheet1!$Y:$Y,0)</f>
        <v>5625000</v>
      </c>
      <c r="W1034" s="12">
        <f t="shared" si="35"/>
        <v>48375000</v>
      </c>
      <c r="X1034" s="6" t="s">
        <v>524</v>
      </c>
      <c r="Y1034" s="6" t="s">
        <v>211</v>
      </c>
      <c r="Z1034" s="6" t="s">
        <v>512</v>
      </c>
      <c r="AA1034" s="6" t="s">
        <v>68</v>
      </c>
      <c r="AB1034" s="6" t="s">
        <v>36</v>
      </c>
      <c r="AC1034" s="6" t="s">
        <v>37</v>
      </c>
      <c r="AD1034" s="6" t="s">
        <v>342</v>
      </c>
      <c r="AE1034" s="6" t="s">
        <v>39</v>
      </c>
      <c r="AF1034" s="6" t="s">
        <v>40</v>
      </c>
      <c r="AG1034" s="7">
        <v>43384000</v>
      </c>
      <c r="AH1034" s="11">
        <f>_xlfn.XLOOKUP(B1034,[1]Sheet1!$B:$B,[1]Sheet1!$AB:$AB,0)</f>
        <v>43384000</v>
      </c>
    </row>
    <row r="1035" spans="2:34" ht="16.8" thickTop="1" thickBot="1" x14ac:dyDescent="0.35">
      <c r="B1035" s="3" t="str">
        <f t="shared" si="34"/>
        <v>45155004511001328Facilities Rent-N425112200104</v>
      </c>
      <c r="C1035" s="8" t="s">
        <v>513</v>
      </c>
      <c r="D1035" s="8" t="s">
        <v>1568</v>
      </c>
      <c r="E1035" s="8" t="s">
        <v>1569</v>
      </c>
      <c r="F1035" s="8" t="s">
        <v>532</v>
      </c>
      <c r="G1035" s="4" t="s">
        <v>2848</v>
      </c>
      <c r="H1035" s="4" t="s">
        <v>2922</v>
      </c>
      <c r="I1035" s="8" t="s">
        <v>533</v>
      </c>
      <c r="J1035" s="8" t="s">
        <v>31</v>
      </c>
      <c r="K1035" s="12">
        <f>_xlfn.XLOOKUP(B1035,[1]Sheet1!$B:$B,[1]Sheet1!$N:$N,0)</f>
        <v>0</v>
      </c>
      <c r="L1035" s="12">
        <f>_xlfn.XLOOKUP(B1035,[1]Sheet1!$B:$B,[1]Sheet1!$O:$O,0)</f>
        <v>0</v>
      </c>
      <c r="M1035" s="12">
        <f>_xlfn.XLOOKUP(B1035,[1]Sheet1!$B:$B,[1]Sheet1!$P:$P,0)</f>
        <v>0</v>
      </c>
      <c r="N1035" s="12">
        <f>_xlfn.XLOOKUP(B1035,[1]Sheet1!$B:$B,[1]Sheet1!$Q:$Q,0)</f>
        <v>266075.05194805196</v>
      </c>
      <c r="O1035" s="12">
        <f>_xlfn.XLOOKUP(B1035,[1]Sheet1!$B:$B,[1]Sheet1!$R:$R,0)</f>
        <v>88691.683982683986</v>
      </c>
      <c r="P1035" s="12">
        <f>_xlfn.XLOOKUP(B1035,[1]Sheet1!$B:$B,[1]Sheet1!$S:$S,0)</f>
        <v>88691.683982683986</v>
      </c>
      <c r="Q1035" s="12">
        <f>_xlfn.XLOOKUP(B1035,[1]Sheet1!$B:$B,[1]Sheet1!$T:$T,0)</f>
        <v>88691.683982683986</v>
      </c>
      <c r="R1035" s="12">
        <f>_xlfn.XLOOKUP(B1035,[1]Sheet1!$B:$B,[1]Sheet1!$U:$U,0)</f>
        <v>88691.683982683986</v>
      </c>
      <c r="S1035" s="12">
        <f>_xlfn.XLOOKUP(B1035,[1]Sheet1!$B:$B,[1]Sheet1!$V:$V,0)</f>
        <v>88691.683982683986</v>
      </c>
      <c r="T1035" s="12">
        <f>_xlfn.XLOOKUP(B1035,[1]Sheet1!$B:$B,[1]Sheet1!$W:$W,0)</f>
        <v>88691.683982683986</v>
      </c>
      <c r="U1035" s="12">
        <f>_xlfn.XLOOKUP(B1035,[1]Sheet1!$B:$B,[1]Sheet1!$X:$X,0)</f>
        <v>88691.683982683986</v>
      </c>
      <c r="V1035" s="12">
        <f>_xlfn.XLOOKUP(B1035,[1]Sheet1!$B:$B,[1]Sheet1!$Y:$Y,0)</f>
        <v>88691.683982683986</v>
      </c>
      <c r="W1035" s="12">
        <f t="shared" si="35"/>
        <v>975608.52380952402</v>
      </c>
      <c r="X1035" s="8" t="s">
        <v>1570</v>
      </c>
      <c r="Y1035" s="8" t="s">
        <v>211</v>
      </c>
      <c r="Z1035" s="8" t="s">
        <v>512</v>
      </c>
      <c r="AA1035" s="8" t="s">
        <v>533</v>
      </c>
      <c r="AB1035" s="8" t="s">
        <v>36</v>
      </c>
      <c r="AC1035" s="8" t="s">
        <v>37</v>
      </c>
      <c r="AD1035" s="8" t="s">
        <v>342</v>
      </c>
      <c r="AE1035" s="8" t="s">
        <v>39</v>
      </c>
      <c r="AF1035" s="8" t="s">
        <v>40</v>
      </c>
      <c r="AG1035" s="9">
        <v>975609</v>
      </c>
      <c r="AH1035" s="11">
        <f>_xlfn.XLOOKUP(B1035,[1]Sheet1!$B:$B,[1]Sheet1!$AB:$AB,0)</f>
        <v>975608.52380952402</v>
      </c>
    </row>
    <row r="1036" spans="2:34" ht="16.8" thickTop="1" thickBot="1" x14ac:dyDescent="0.35">
      <c r="B1036" s="3" t="str">
        <f t="shared" si="34"/>
        <v>45155004511001329Co-Invest Events-N422401200104</v>
      </c>
      <c r="C1036" s="6" t="s">
        <v>513</v>
      </c>
      <c r="D1036" s="6" t="s">
        <v>1571</v>
      </c>
      <c r="E1036" s="6" t="s">
        <v>1572</v>
      </c>
      <c r="F1036" s="6" t="s">
        <v>523</v>
      </c>
      <c r="G1036" s="4" t="s">
        <v>2807</v>
      </c>
      <c r="H1036" s="4" t="s">
        <v>2922</v>
      </c>
      <c r="I1036" s="6" t="s">
        <v>63</v>
      </c>
      <c r="J1036" s="6" t="s">
        <v>31</v>
      </c>
      <c r="K1036" s="12">
        <f>_xlfn.XLOOKUP(B1036,[1]Sheet1!$B:$B,[1]Sheet1!$N:$N,0)</f>
        <v>0</v>
      </c>
      <c r="L1036" s="12">
        <f>_xlfn.XLOOKUP(B1036,[1]Sheet1!$B:$B,[1]Sheet1!$O:$O,0)</f>
        <v>0</v>
      </c>
      <c r="M1036" s="12">
        <f>_xlfn.XLOOKUP(B1036,[1]Sheet1!$B:$B,[1]Sheet1!$P:$P,0)</f>
        <v>0</v>
      </c>
      <c r="N1036" s="12">
        <f>_xlfn.XLOOKUP(B1036,[1]Sheet1!$B:$B,[1]Sheet1!$Q:$Q,0)</f>
        <v>0</v>
      </c>
      <c r="O1036" s="12">
        <f>_xlfn.XLOOKUP(B1036,[1]Sheet1!$B:$B,[1]Sheet1!$R:$R,0)</f>
        <v>0</v>
      </c>
      <c r="P1036" s="12">
        <f>_xlfn.XLOOKUP(B1036,[1]Sheet1!$B:$B,[1]Sheet1!$S:$S,0)</f>
        <v>0</v>
      </c>
      <c r="Q1036" s="12">
        <f>_xlfn.XLOOKUP(B1036,[1]Sheet1!$B:$B,[1]Sheet1!$T:$T,0)</f>
        <v>0</v>
      </c>
      <c r="R1036" s="12">
        <f>_xlfn.XLOOKUP(B1036,[1]Sheet1!$B:$B,[1]Sheet1!$U:$U,0)</f>
        <v>0</v>
      </c>
      <c r="S1036" s="12">
        <f>_xlfn.XLOOKUP(B1036,[1]Sheet1!$B:$B,[1]Sheet1!$V:$V,0)</f>
        <v>0</v>
      </c>
      <c r="T1036" s="12">
        <f>_xlfn.XLOOKUP(B1036,[1]Sheet1!$B:$B,[1]Sheet1!$W:$W,0)</f>
        <v>0</v>
      </c>
      <c r="U1036" s="12">
        <f>_xlfn.XLOOKUP(B1036,[1]Sheet1!$B:$B,[1]Sheet1!$X:$X,0)</f>
        <v>0</v>
      </c>
      <c r="V1036" s="12">
        <f>_xlfn.XLOOKUP(B1036,[1]Sheet1!$B:$B,[1]Sheet1!$Y:$Y,0)</f>
        <v>1024000</v>
      </c>
      <c r="W1036" s="12">
        <f t="shared" si="35"/>
        <v>1024000</v>
      </c>
      <c r="X1036" s="6" t="s">
        <v>524</v>
      </c>
      <c r="Y1036" s="6" t="s">
        <v>211</v>
      </c>
      <c r="Z1036" s="6" t="s">
        <v>512</v>
      </c>
      <c r="AA1036" s="6" t="s">
        <v>68</v>
      </c>
      <c r="AB1036" s="6" t="s">
        <v>36</v>
      </c>
      <c r="AC1036" s="6" t="s">
        <v>37</v>
      </c>
      <c r="AD1036" s="6" t="s">
        <v>342</v>
      </c>
      <c r="AE1036" s="6" t="s">
        <v>39</v>
      </c>
      <c r="AF1036" s="6" t="s">
        <v>40</v>
      </c>
      <c r="AG1036" s="7">
        <v>1024000</v>
      </c>
      <c r="AH1036" s="11">
        <f>_xlfn.XLOOKUP(B1036,[1]Sheet1!$B:$B,[1]Sheet1!$AB:$AB,0)</f>
        <v>1024000</v>
      </c>
    </row>
    <row r="1037" spans="2:34" ht="16.8" thickTop="1" thickBot="1" x14ac:dyDescent="0.35">
      <c r="B1037" s="3" t="str">
        <f t="shared" si="34"/>
        <v>45155004511001330Co-Invest Events-N422401200104</v>
      </c>
      <c r="C1037" s="8" t="s">
        <v>513</v>
      </c>
      <c r="D1037" s="8" t="s">
        <v>1573</v>
      </c>
      <c r="E1037" s="8" t="s">
        <v>1574</v>
      </c>
      <c r="F1037" s="8" t="s">
        <v>523</v>
      </c>
      <c r="G1037" s="4" t="s">
        <v>2807</v>
      </c>
      <c r="H1037" s="4" t="s">
        <v>2922</v>
      </c>
      <c r="I1037" s="8" t="s">
        <v>63</v>
      </c>
      <c r="J1037" s="8" t="s">
        <v>31</v>
      </c>
      <c r="K1037" s="12">
        <f>_xlfn.XLOOKUP(B1037,[1]Sheet1!$B:$B,[1]Sheet1!$N:$N,0)</f>
        <v>0</v>
      </c>
      <c r="L1037" s="12">
        <f>_xlfn.XLOOKUP(B1037,[1]Sheet1!$B:$B,[1]Sheet1!$O:$O,0)</f>
        <v>0</v>
      </c>
      <c r="M1037" s="12">
        <f>_xlfn.XLOOKUP(B1037,[1]Sheet1!$B:$B,[1]Sheet1!$P:$P,0)</f>
        <v>0</v>
      </c>
      <c r="N1037" s="12">
        <f>_xlfn.XLOOKUP(B1037,[1]Sheet1!$B:$B,[1]Sheet1!$Q:$Q,0)</f>
        <v>560000</v>
      </c>
      <c r="O1037" s="12">
        <f>_xlfn.XLOOKUP(B1037,[1]Sheet1!$B:$B,[1]Sheet1!$R:$R,0)</f>
        <v>0</v>
      </c>
      <c r="P1037" s="12">
        <f>_xlfn.XLOOKUP(B1037,[1]Sheet1!$B:$B,[1]Sheet1!$S:$S,0)</f>
        <v>0</v>
      </c>
      <c r="Q1037" s="12">
        <f>_xlfn.XLOOKUP(B1037,[1]Sheet1!$B:$B,[1]Sheet1!$T:$T,0)</f>
        <v>0</v>
      </c>
      <c r="R1037" s="12">
        <f>_xlfn.XLOOKUP(B1037,[1]Sheet1!$B:$B,[1]Sheet1!$U:$U,0)</f>
        <v>0</v>
      </c>
      <c r="S1037" s="12">
        <f>_xlfn.XLOOKUP(B1037,[1]Sheet1!$B:$B,[1]Sheet1!$V:$V,0)</f>
        <v>2240000</v>
      </c>
      <c r="T1037" s="12">
        <f>_xlfn.XLOOKUP(B1037,[1]Sheet1!$B:$B,[1]Sheet1!$W:$W,0)</f>
        <v>1680000</v>
      </c>
      <c r="U1037" s="12">
        <f>_xlfn.XLOOKUP(B1037,[1]Sheet1!$B:$B,[1]Sheet1!$X:$X,0)</f>
        <v>5103557</v>
      </c>
      <c r="V1037" s="12">
        <f>_xlfn.XLOOKUP(B1037,[1]Sheet1!$B:$B,[1]Sheet1!$Y:$Y,0)</f>
        <v>1120000</v>
      </c>
      <c r="W1037" s="12">
        <f t="shared" si="35"/>
        <v>10703557</v>
      </c>
      <c r="X1037" s="8" t="s">
        <v>524</v>
      </c>
      <c r="Y1037" s="8" t="s">
        <v>211</v>
      </c>
      <c r="Z1037" s="8" t="s">
        <v>512</v>
      </c>
      <c r="AA1037" s="8" t="s">
        <v>68</v>
      </c>
      <c r="AB1037" s="8" t="s">
        <v>36</v>
      </c>
      <c r="AC1037" s="8" t="s">
        <v>37</v>
      </c>
      <c r="AD1037" s="8" t="s">
        <v>342</v>
      </c>
      <c r="AE1037" s="8" t="s">
        <v>39</v>
      </c>
      <c r="AF1037" s="8" t="s">
        <v>40</v>
      </c>
      <c r="AG1037" s="9">
        <v>8203557</v>
      </c>
      <c r="AH1037" s="11">
        <f>_xlfn.XLOOKUP(B1037,[1]Sheet1!$B:$B,[1]Sheet1!$AB:$AB,0)</f>
        <v>8203557</v>
      </c>
    </row>
    <row r="1038" spans="2:34" ht="16.8" thickTop="1" thickBot="1" x14ac:dyDescent="0.35">
      <c r="B1038" s="3" t="str">
        <f t="shared" si="34"/>
        <v>45157004511001332Event Management-N2422401200104</v>
      </c>
      <c r="C1038" s="6" t="s">
        <v>341</v>
      </c>
      <c r="D1038" s="6" t="s">
        <v>1575</v>
      </c>
      <c r="E1038" s="6" t="s">
        <v>1576</v>
      </c>
      <c r="F1038" s="6" t="s">
        <v>387</v>
      </c>
      <c r="G1038" s="4" t="s">
        <v>2807</v>
      </c>
      <c r="H1038" s="4" t="s">
        <v>2922</v>
      </c>
      <c r="I1038" s="6" t="s">
        <v>63</v>
      </c>
      <c r="J1038" s="6" t="s">
        <v>31</v>
      </c>
      <c r="K1038" s="12">
        <f>_xlfn.XLOOKUP(B1038,[1]Sheet1!$B:$B,[1]Sheet1!$N:$N,0)</f>
        <v>0</v>
      </c>
      <c r="L1038" s="12">
        <f>_xlfn.XLOOKUP(B1038,[1]Sheet1!$B:$B,[1]Sheet1!$O:$O,0)</f>
        <v>0</v>
      </c>
      <c r="M1038" s="12">
        <f>_xlfn.XLOOKUP(B1038,[1]Sheet1!$B:$B,[1]Sheet1!$P:$P,0)</f>
        <v>0</v>
      </c>
      <c r="N1038" s="12">
        <f>_xlfn.XLOOKUP(B1038,[1]Sheet1!$B:$B,[1]Sheet1!$Q:$Q,0)</f>
        <v>0</v>
      </c>
      <c r="O1038" s="12">
        <f>_xlfn.XLOOKUP(B1038,[1]Sheet1!$B:$B,[1]Sheet1!$R:$R,0)</f>
        <v>0</v>
      </c>
      <c r="P1038" s="12">
        <f>_xlfn.XLOOKUP(B1038,[1]Sheet1!$B:$B,[1]Sheet1!$S:$S,0)</f>
        <v>0</v>
      </c>
      <c r="Q1038" s="12">
        <f>_xlfn.XLOOKUP(B1038,[1]Sheet1!$B:$B,[1]Sheet1!$T:$T,0)</f>
        <v>0</v>
      </c>
      <c r="R1038" s="12">
        <f>_xlfn.XLOOKUP(B1038,[1]Sheet1!$B:$B,[1]Sheet1!$U:$U,0)</f>
        <v>0</v>
      </c>
      <c r="S1038" s="12">
        <f>_xlfn.XLOOKUP(B1038,[1]Sheet1!$B:$B,[1]Sheet1!$V:$V,0)</f>
        <v>0</v>
      </c>
      <c r="T1038" s="12">
        <f>_xlfn.XLOOKUP(B1038,[1]Sheet1!$B:$B,[1]Sheet1!$W:$W,0)</f>
        <v>0</v>
      </c>
      <c r="U1038" s="12">
        <f>_xlfn.XLOOKUP(B1038,[1]Sheet1!$B:$B,[1]Sheet1!$X:$X,0)</f>
        <v>0</v>
      </c>
      <c r="V1038" s="12">
        <f>_xlfn.XLOOKUP(B1038,[1]Sheet1!$B:$B,[1]Sheet1!$Y:$Y,0)</f>
        <v>0</v>
      </c>
      <c r="W1038" s="12">
        <f t="shared" si="35"/>
        <v>0</v>
      </c>
      <c r="X1038" s="6" t="s">
        <v>1577</v>
      </c>
      <c r="Y1038" s="6" t="s">
        <v>211</v>
      </c>
      <c r="Z1038" s="6" t="s">
        <v>340</v>
      </c>
      <c r="AA1038" s="6" t="s">
        <v>68</v>
      </c>
      <c r="AB1038" s="6" t="s">
        <v>36</v>
      </c>
      <c r="AC1038" s="6" t="s">
        <v>37</v>
      </c>
      <c r="AD1038" s="6" t="s">
        <v>102</v>
      </c>
      <c r="AE1038" s="6" t="s">
        <v>39</v>
      </c>
      <c r="AF1038" s="6" t="s">
        <v>40</v>
      </c>
      <c r="AG1038" s="7">
        <v>21008400</v>
      </c>
      <c r="AH1038" s="11">
        <f>_xlfn.XLOOKUP(B1038,[1]Sheet1!$B:$B,[1]Sheet1!$AB:$AB,0)</f>
        <v>21008400</v>
      </c>
    </row>
    <row r="1039" spans="2:34" ht="16.8" thickTop="1" thickBot="1" x14ac:dyDescent="0.35">
      <c r="B1039" s="3" t="str">
        <f t="shared" si="34"/>
        <v>45131304511001335Media Mgmnt &amp;Buy-L422511201931</v>
      </c>
      <c r="C1039" s="8" t="s">
        <v>321</v>
      </c>
      <c r="D1039" s="8" t="s">
        <v>1578</v>
      </c>
      <c r="E1039" s="8" t="s">
        <v>1579</v>
      </c>
      <c r="F1039" s="8" t="s">
        <v>559</v>
      </c>
      <c r="G1039" s="4" t="s">
        <v>2819</v>
      </c>
      <c r="H1039" s="4" t="s">
        <v>2925</v>
      </c>
      <c r="I1039" s="8" t="s">
        <v>151</v>
      </c>
      <c r="J1039" s="8" t="s">
        <v>31</v>
      </c>
      <c r="K1039" s="12">
        <f>_xlfn.XLOOKUP(B1039,[1]Sheet1!$B:$B,[1]Sheet1!$N:$N,0)</f>
        <v>0</v>
      </c>
      <c r="L1039" s="12">
        <f>_xlfn.XLOOKUP(B1039,[1]Sheet1!$B:$B,[1]Sheet1!$O:$O,0)</f>
        <v>0</v>
      </c>
      <c r="M1039" s="12">
        <f>_xlfn.XLOOKUP(B1039,[1]Sheet1!$B:$B,[1]Sheet1!$P:$P,0)</f>
        <v>0</v>
      </c>
      <c r="N1039" s="12">
        <f>_xlfn.XLOOKUP(B1039,[1]Sheet1!$B:$B,[1]Sheet1!$Q:$Q,0)</f>
        <v>22954412</v>
      </c>
      <c r="O1039" s="12">
        <f>_xlfn.XLOOKUP(B1039,[1]Sheet1!$B:$B,[1]Sheet1!$R:$R,0)</f>
        <v>0</v>
      </c>
      <c r="P1039" s="12">
        <f>_xlfn.XLOOKUP(B1039,[1]Sheet1!$B:$B,[1]Sheet1!$S:$S,0)</f>
        <v>0</v>
      </c>
      <c r="Q1039" s="12">
        <f>_xlfn.XLOOKUP(B1039,[1]Sheet1!$B:$B,[1]Sheet1!$T:$T,0)</f>
        <v>0</v>
      </c>
      <c r="R1039" s="12">
        <f>_xlfn.XLOOKUP(B1039,[1]Sheet1!$B:$B,[1]Sheet1!$U:$U,0)</f>
        <v>0</v>
      </c>
      <c r="S1039" s="12">
        <f>_xlfn.XLOOKUP(B1039,[1]Sheet1!$B:$B,[1]Sheet1!$V:$V,0)</f>
        <v>0</v>
      </c>
      <c r="T1039" s="12">
        <f>_xlfn.XLOOKUP(B1039,[1]Sheet1!$B:$B,[1]Sheet1!$W:$W,0)</f>
        <v>0</v>
      </c>
      <c r="U1039" s="12">
        <f>_xlfn.XLOOKUP(B1039,[1]Sheet1!$B:$B,[1]Sheet1!$X:$X,0)</f>
        <v>0</v>
      </c>
      <c r="V1039" s="12">
        <f>_xlfn.XLOOKUP(B1039,[1]Sheet1!$B:$B,[1]Sheet1!$Y:$Y,0)</f>
        <v>0</v>
      </c>
      <c r="W1039" s="12">
        <f t="shared" si="35"/>
        <v>22954412</v>
      </c>
      <c r="X1039" s="8" t="s">
        <v>1359</v>
      </c>
      <c r="Y1039" s="8" t="s">
        <v>319</v>
      </c>
      <c r="Z1039" s="8" t="s">
        <v>320</v>
      </c>
      <c r="AA1039" s="8" t="s">
        <v>151</v>
      </c>
      <c r="AB1039" s="8" t="s">
        <v>327</v>
      </c>
      <c r="AC1039" s="8" t="s">
        <v>37</v>
      </c>
      <c r="AD1039" s="8" t="s">
        <v>342</v>
      </c>
      <c r="AE1039" s="8" t="s">
        <v>39</v>
      </c>
      <c r="AF1039" s="8" t="s">
        <v>40</v>
      </c>
      <c r="AG1039" s="9">
        <v>22954412</v>
      </c>
      <c r="AH1039" s="11">
        <f>_xlfn.XLOOKUP(B1039,[1]Sheet1!$B:$B,[1]Sheet1!$AB:$AB,0)</f>
        <v>22954412</v>
      </c>
    </row>
    <row r="1040" spans="2:34" ht="16.8" thickTop="1" thickBot="1" x14ac:dyDescent="0.35">
      <c r="B1040" s="3" t="str">
        <f t="shared" si="34"/>
        <v>45131304511001335Talent Fees-L422511201931</v>
      </c>
      <c r="C1040" s="6" t="s">
        <v>321</v>
      </c>
      <c r="D1040" s="6" t="s">
        <v>1578</v>
      </c>
      <c r="E1040" s="6" t="s">
        <v>1579</v>
      </c>
      <c r="F1040" s="6" t="s">
        <v>1580</v>
      </c>
      <c r="G1040" s="4" t="s">
        <v>2819</v>
      </c>
      <c r="H1040" s="4" t="s">
        <v>2925</v>
      </c>
      <c r="I1040" s="6" t="s">
        <v>151</v>
      </c>
      <c r="J1040" s="6" t="s">
        <v>31</v>
      </c>
      <c r="K1040" s="12">
        <f>_xlfn.XLOOKUP(B1040,[1]Sheet1!$B:$B,[1]Sheet1!$N:$N,0)</f>
        <v>0</v>
      </c>
      <c r="L1040" s="12">
        <f>_xlfn.XLOOKUP(B1040,[1]Sheet1!$B:$B,[1]Sheet1!$O:$O,0)</f>
        <v>0</v>
      </c>
      <c r="M1040" s="12">
        <f>_xlfn.XLOOKUP(B1040,[1]Sheet1!$B:$B,[1]Sheet1!$P:$P,0)</f>
        <v>0</v>
      </c>
      <c r="N1040" s="12">
        <f>_xlfn.XLOOKUP(B1040,[1]Sheet1!$B:$B,[1]Sheet1!$Q:$Q,0)</f>
        <v>20185000</v>
      </c>
      <c r="O1040" s="12">
        <f>_xlfn.XLOOKUP(B1040,[1]Sheet1!$B:$B,[1]Sheet1!$R:$R,0)</f>
        <v>0</v>
      </c>
      <c r="P1040" s="12">
        <f>_xlfn.XLOOKUP(B1040,[1]Sheet1!$B:$B,[1]Sheet1!$S:$S,0)</f>
        <v>0</v>
      </c>
      <c r="Q1040" s="12">
        <f>_xlfn.XLOOKUP(B1040,[1]Sheet1!$B:$B,[1]Sheet1!$T:$T,0)</f>
        <v>0</v>
      </c>
      <c r="R1040" s="12">
        <f>_xlfn.XLOOKUP(B1040,[1]Sheet1!$B:$B,[1]Sheet1!$U:$U,0)</f>
        <v>0</v>
      </c>
      <c r="S1040" s="12">
        <f>_xlfn.XLOOKUP(B1040,[1]Sheet1!$B:$B,[1]Sheet1!$V:$V,0)</f>
        <v>0</v>
      </c>
      <c r="T1040" s="12">
        <f>_xlfn.XLOOKUP(B1040,[1]Sheet1!$B:$B,[1]Sheet1!$W:$W,0)</f>
        <v>4373100</v>
      </c>
      <c r="U1040" s="12">
        <f>_xlfn.XLOOKUP(B1040,[1]Sheet1!$B:$B,[1]Sheet1!$X:$X,0)</f>
        <v>0</v>
      </c>
      <c r="V1040" s="12">
        <f>_xlfn.XLOOKUP(B1040,[1]Sheet1!$B:$B,[1]Sheet1!$Y:$Y,0)</f>
        <v>0</v>
      </c>
      <c r="W1040" s="12">
        <f t="shared" si="35"/>
        <v>24558100</v>
      </c>
      <c r="X1040" s="6" t="s">
        <v>1359</v>
      </c>
      <c r="Y1040" s="6" t="s">
        <v>319</v>
      </c>
      <c r="Z1040" s="6" t="s">
        <v>320</v>
      </c>
      <c r="AA1040" s="6" t="s">
        <v>151</v>
      </c>
      <c r="AB1040" s="6" t="s">
        <v>327</v>
      </c>
      <c r="AC1040" s="6" t="s">
        <v>37</v>
      </c>
      <c r="AD1040" s="6" t="s">
        <v>342</v>
      </c>
      <c r="AE1040" s="6" t="s">
        <v>39</v>
      </c>
      <c r="AF1040" s="6" t="s">
        <v>40</v>
      </c>
      <c r="AG1040" s="7">
        <v>24558100</v>
      </c>
      <c r="AH1040" s="11">
        <f>_xlfn.XLOOKUP(B1040,[1]Sheet1!$B:$B,[1]Sheet1!$AB:$AB,0)</f>
        <v>24558100</v>
      </c>
    </row>
    <row r="1041" spans="2:34" ht="16.8" thickTop="1" thickBot="1" x14ac:dyDescent="0.35">
      <c r="B1041" s="3" t="str">
        <f t="shared" si="34"/>
        <v>45131304511001339Media Mgmnt &amp;Buy-L422511201931</v>
      </c>
      <c r="C1041" s="8" t="s">
        <v>321</v>
      </c>
      <c r="D1041" s="8" t="s">
        <v>1581</v>
      </c>
      <c r="E1041" s="8" t="s">
        <v>1582</v>
      </c>
      <c r="F1041" s="8" t="s">
        <v>559</v>
      </c>
      <c r="G1041" s="4" t="s">
        <v>2819</v>
      </c>
      <c r="H1041" s="4" t="s">
        <v>2925</v>
      </c>
      <c r="I1041" s="8" t="s">
        <v>151</v>
      </c>
      <c r="J1041" s="8" t="s">
        <v>31</v>
      </c>
      <c r="K1041" s="12">
        <f>_xlfn.XLOOKUP(B1041,[1]Sheet1!$B:$B,[1]Sheet1!$N:$N,0)</f>
        <v>0</v>
      </c>
      <c r="L1041" s="12">
        <f>_xlfn.XLOOKUP(B1041,[1]Sheet1!$B:$B,[1]Sheet1!$O:$O,0)</f>
        <v>0</v>
      </c>
      <c r="M1041" s="12">
        <f>_xlfn.XLOOKUP(B1041,[1]Sheet1!$B:$B,[1]Sheet1!$P:$P,0)</f>
        <v>0</v>
      </c>
      <c r="N1041" s="12">
        <f>_xlfn.XLOOKUP(B1041,[1]Sheet1!$B:$B,[1]Sheet1!$Q:$Q,0)</f>
        <v>18479379</v>
      </c>
      <c r="O1041" s="12">
        <f>_xlfn.XLOOKUP(B1041,[1]Sheet1!$B:$B,[1]Sheet1!$R:$R,0)</f>
        <v>0</v>
      </c>
      <c r="P1041" s="12">
        <f>_xlfn.XLOOKUP(B1041,[1]Sheet1!$B:$B,[1]Sheet1!$S:$S,0)</f>
        <v>0</v>
      </c>
      <c r="Q1041" s="12">
        <f>_xlfn.XLOOKUP(B1041,[1]Sheet1!$B:$B,[1]Sheet1!$T:$T,0)</f>
        <v>0</v>
      </c>
      <c r="R1041" s="12">
        <f>_xlfn.XLOOKUP(B1041,[1]Sheet1!$B:$B,[1]Sheet1!$U:$U,0)</f>
        <v>0</v>
      </c>
      <c r="S1041" s="12">
        <f>_xlfn.XLOOKUP(B1041,[1]Sheet1!$B:$B,[1]Sheet1!$V:$V,0)</f>
        <v>0</v>
      </c>
      <c r="T1041" s="12">
        <f>_xlfn.XLOOKUP(B1041,[1]Sheet1!$B:$B,[1]Sheet1!$W:$W,0)</f>
        <v>0</v>
      </c>
      <c r="U1041" s="12">
        <f>_xlfn.XLOOKUP(B1041,[1]Sheet1!$B:$B,[1]Sheet1!$X:$X,0)</f>
        <v>0</v>
      </c>
      <c r="V1041" s="12">
        <f>_xlfn.XLOOKUP(B1041,[1]Sheet1!$B:$B,[1]Sheet1!$Y:$Y,0)</f>
        <v>0</v>
      </c>
      <c r="W1041" s="12">
        <f t="shared" si="35"/>
        <v>18479379</v>
      </c>
      <c r="X1041" s="8" t="s">
        <v>1359</v>
      </c>
      <c r="Y1041" s="8" t="s">
        <v>319</v>
      </c>
      <c r="Z1041" s="8" t="s">
        <v>320</v>
      </c>
      <c r="AA1041" s="8" t="s">
        <v>151</v>
      </c>
      <c r="AB1041" s="8" t="s">
        <v>327</v>
      </c>
      <c r="AC1041" s="8" t="s">
        <v>37</v>
      </c>
      <c r="AD1041" s="8" t="s">
        <v>342</v>
      </c>
      <c r="AE1041" s="8" t="s">
        <v>39</v>
      </c>
      <c r="AF1041" s="8" t="s">
        <v>40</v>
      </c>
      <c r="AG1041" s="9">
        <v>18479379</v>
      </c>
      <c r="AH1041" s="11">
        <f>_xlfn.XLOOKUP(B1041,[1]Sheet1!$B:$B,[1]Sheet1!$AB:$AB,0)</f>
        <v>18479379</v>
      </c>
    </row>
    <row r="1042" spans="2:34" ht="16.8" thickTop="1" thickBot="1" x14ac:dyDescent="0.35">
      <c r="B1042" s="3" t="str">
        <f t="shared" si="34"/>
        <v>45131304511001340Celebrities-L422511201931</v>
      </c>
      <c r="C1042" s="6" t="s">
        <v>321</v>
      </c>
      <c r="D1042" s="6" t="s">
        <v>1583</v>
      </c>
      <c r="E1042" s="6" t="s">
        <v>1584</v>
      </c>
      <c r="F1042" s="6" t="s">
        <v>1585</v>
      </c>
      <c r="G1042" s="4" t="s">
        <v>2819</v>
      </c>
      <c r="H1042" s="4" t="s">
        <v>2925</v>
      </c>
      <c r="I1042" s="6" t="s">
        <v>151</v>
      </c>
      <c r="J1042" s="6" t="s">
        <v>31</v>
      </c>
      <c r="K1042" s="12">
        <f>_xlfn.XLOOKUP(B1042,[1]Sheet1!$B:$B,[1]Sheet1!$N:$N,0)</f>
        <v>0</v>
      </c>
      <c r="L1042" s="12">
        <f>_xlfn.XLOOKUP(B1042,[1]Sheet1!$B:$B,[1]Sheet1!$O:$O,0)</f>
        <v>0</v>
      </c>
      <c r="M1042" s="12">
        <f>_xlfn.XLOOKUP(B1042,[1]Sheet1!$B:$B,[1]Sheet1!$P:$P,0)</f>
        <v>0</v>
      </c>
      <c r="N1042" s="12">
        <f>_xlfn.XLOOKUP(B1042,[1]Sheet1!$B:$B,[1]Sheet1!$Q:$Q,0)</f>
        <v>0</v>
      </c>
      <c r="O1042" s="12">
        <f>_xlfn.XLOOKUP(B1042,[1]Sheet1!$B:$B,[1]Sheet1!$R:$R,0)</f>
        <v>0</v>
      </c>
      <c r="P1042" s="12">
        <f>_xlfn.XLOOKUP(B1042,[1]Sheet1!$B:$B,[1]Sheet1!$S:$S,0)</f>
        <v>0</v>
      </c>
      <c r="Q1042" s="12">
        <f>_xlfn.XLOOKUP(B1042,[1]Sheet1!$B:$B,[1]Sheet1!$T:$T,0)</f>
        <v>0</v>
      </c>
      <c r="R1042" s="12">
        <f>_xlfn.XLOOKUP(B1042,[1]Sheet1!$B:$B,[1]Sheet1!$U:$U,0)</f>
        <v>0</v>
      </c>
      <c r="S1042" s="12">
        <f>_xlfn.XLOOKUP(B1042,[1]Sheet1!$B:$B,[1]Sheet1!$V:$V,0)</f>
        <v>0</v>
      </c>
      <c r="T1042" s="12">
        <f>_xlfn.XLOOKUP(B1042,[1]Sheet1!$B:$B,[1]Sheet1!$W:$W,0)</f>
        <v>0</v>
      </c>
      <c r="U1042" s="12">
        <f>_xlfn.XLOOKUP(B1042,[1]Sheet1!$B:$B,[1]Sheet1!$X:$X,0)</f>
        <v>0</v>
      </c>
      <c r="V1042" s="12">
        <f>_xlfn.XLOOKUP(B1042,[1]Sheet1!$B:$B,[1]Sheet1!$Y:$Y,0)</f>
        <v>26217746</v>
      </c>
      <c r="W1042" s="12">
        <f t="shared" si="35"/>
        <v>26217746</v>
      </c>
      <c r="X1042" s="6" t="s">
        <v>1359</v>
      </c>
      <c r="Y1042" s="6" t="s">
        <v>319</v>
      </c>
      <c r="Z1042" s="6" t="s">
        <v>320</v>
      </c>
      <c r="AA1042" s="6" t="s">
        <v>151</v>
      </c>
      <c r="AB1042" s="6" t="s">
        <v>327</v>
      </c>
      <c r="AC1042" s="6" t="s">
        <v>37</v>
      </c>
      <c r="AD1042" s="6" t="s">
        <v>342</v>
      </c>
      <c r="AE1042" s="6" t="s">
        <v>39</v>
      </c>
      <c r="AF1042" s="6" t="s">
        <v>40</v>
      </c>
      <c r="AG1042" s="7">
        <v>26217746</v>
      </c>
      <c r="AH1042" s="11">
        <f>_xlfn.XLOOKUP(B1042,[1]Sheet1!$B:$B,[1]Sheet1!$AB:$AB,0)</f>
        <v>26217746</v>
      </c>
    </row>
    <row r="1043" spans="2:34" ht="16.8" thickTop="1" thickBot="1" x14ac:dyDescent="0.35">
      <c r="B1043" s="3" t="str">
        <f t="shared" si="34"/>
        <v>45131304511001343Celebrities-N422511200104</v>
      </c>
      <c r="C1043" s="8" t="s">
        <v>321</v>
      </c>
      <c r="D1043" s="8" t="s">
        <v>1586</v>
      </c>
      <c r="E1043" s="8" t="s">
        <v>1587</v>
      </c>
      <c r="F1043" s="8" t="s">
        <v>1588</v>
      </c>
      <c r="G1043" s="4" t="s">
        <v>2819</v>
      </c>
      <c r="H1043" s="4" t="s">
        <v>2922</v>
      </c>
      <c r="I1043" s="8" t="s">
        <v>151</v>
      </c>
      <c r="J1043" s="8" t="s">
        <v>31</v>
      </c>
      <c r="K1043" s="12">
        <f>_xlfn.XLOOKUP(B1043,[1]Sheet1!$B:$B,[1]Sheet1!$N:$N,0)</f>
        <v>0</v>
      </c>
      <c r="L1043" s="12">
        <f>_xlfn.XLOOKUP(B1043,[1]Sheet1!$B:$B,[1]Sheet1!$O:$O,0)</f>
        <v>0</v>
      </c>
      <c r="M1043" s="12">
        <f>_xlfn.XLOOKUP(B1043,[1]Sheet1!$B:$B,[1]Sheet1!$P:$P,0)</f>
        <v>0</v>
      </c>
      <c r="N1043" s="12">
        <f>_xlfn.XLOOKUP(B1043,[1]Sheet1!$B:$B,[1]Sheet1!$Q:$Q,0)</f>
        <v>5049759.7</v>
      </c>
      <c r="O1043" s="12">
        <f>_xlfn.XLOOKUP(B1043,[1]Sheet1!$B:$B,[1]Sheet1!$R:$R,0)</f>
        <v>1207430</v>
      </c>
      <c r="P1043" s="12">
        <f>_xlfn.XLOOKUP(B1043,[1]Sheet1!$B:$B,[1]Sheet1!$S:$S,0)</f>
        <v>51380</v>
      </c>
      <c r="Q1043" s="12">
        <f>_xlfn.XLOOKUP(B1043,[1]Sheet1!$B:$B,[1]Sheet1!$T:$T,0)</f>
        <v>154140</v>
      </c>
      <c r="R1043" s="12">
        <f>_xlfn.XLOOKUP(B1043,[1]Sheet1!$B:$B,[1]Sheet1!$U:$U,0)</f>
        <v>102760</v>
      </c>
      <c r="S1043" s="12">
        <f>_xlfn.XLOOKUP(B1043,[1]Sheet1!$B:$B,[1]Sheet1!$V:$V,0)</f>
        <v>411040</v>
      </c>
      <c r="T1043" s="12">
        <f>_xlfn.XLOOKUP(B1043,[1]Sheet1!$B:$B,[1]Sheet1!$W:$W,0)</f>
        <v>3725050</v>
      </c>
      <c r="U1043" s="12">
        <f>_xlfn.XLOOKUP(B1043,[1]Sheet1!$B:$B,[1]Sheet1!$X:$X,0)</f>
        <v>13163373</v>
      </c>
      <c r="V1043" s="12">
        <f>_xlfn.XLOOKUP(B1043,[1]Sheet1!$B:$B,[1]Sheet1!$Y:$Y,0)</f>
        <v>513800</v>
      </c>
      <c r="W1043" s="12">
        <f t="shared" si="35"/>
        <v>24378732.699999999</v>
      </c>
      <c r="X1043" s="8" t="s">
        <v>1589</v>
      </c>
      <c r="Y1043" s="8" t="s">
        <v>319</v>
      </c>
      <c r="Z1043" s="8" t="s">
        <v>320</v>
      </c>
      <c r="AA1043" s="8" t="s">
        <v>151</v>
      </c>
      <c r="AB1043" s="8" t="s">
        <v>36</v>
      </c>
      <c r="AC1043" s="8" t="s">
        <v>37</v>
      </c>
      <c r="AD1043" s="8" t="s">
        <v>322</v>
      </c>
      <c r="AE1043" s="8" t="s">
        <v>39</v>
      </c>
      <c r="AF1043" s="8" t="s">
        <v>40</v>
      </c>
      <c r="AG1043" s="9">
        <v>11206877</v>
      </c>
      <c r="AH1043" s="11">
        <f>_xlfn.XLOOKUP(B1043,[1]Sheet1!$B:$B,[1]Sheet1!$AB:$AB,0)</f>
        <v>11206876.699999999</v>
      </c>
    </row>
    <row r="1044" spans="2:34" ht="16.8" thickTop="1" thickBot="1" x14ac:dyDescent="0.35">
      <c r="B1044" s="3" t="str">
        <f t="shared" si="34"/>
        <v>45131304511001346Offline Ads-L422511201931</v>
      </c>
      <c r="C1044" s="6" t="s">
        <v>321</v>
      </c>
      <c r="D1044" s="6" t="s">
        <v>1590</v>
      </c>
      <c r="E1044" s="6" t="s">
        <v>1591</v>
      </c>
      <c r="F1044" s="6" t="s">
        <v>1592</v>
      </c>
      <c r="G1044" s="4" t="s">
        <v>2819</v>
      </c>
      <c r="H1044" s="4" t="s">
        <v>2925</v>
      </c>
      <c r="I1044" s="6" t="s">
        <v>151</v>
      </c>
      <c r="J1044" s="6" t="s">
        <v>31</v>
      </c>
      <c r="K1044" s="12">
        <f>_xlfn.XLOOKUP(B1044,[1]Sheet1!$B:$B,[1]Sheet1!$N:$N,0)</f>
        <v>0</v>
      </c>
      <c r="L1044" s="12">
        <f>_xlfn.XLOOKUP(B1044,[1]Sheet1!$B:$B,[1]Sheet1!$O:$O,0)</f>
        <v>0</v>
      </c>
      <c r="M1044" s="12">
        <f>_xlfn.XLOOKUP(B1044,[1]Sheet1!$B:$B,[1]Sheet1!$P:$P,0)</f>
        <v>0</v>
      </c>
      <c r="N1044" s="12">
        <f>_xlfn.XLOOKUP(B1044,[1]Sheet1!$B:$B,[1]Sheet1!$Q:$Q,0)</f>
        <v>0</v>
      </c>
      <c r="O1044" s="12">
        <f>_xlfn.XLOOKUP(B1044,[1]Sheet1!$B:$B,[1]Sheet1!$R:$R,0)</f>
        <v>0</v>
      </c>
      <c r="P1044" s="12">
        <f>_xlfn.XLOOKUP(B1044,[1]Sheet1!$B:$B,[1]Sheet1!$S:$S,0)</f>
        <v>0</v>
      </c>
      <c r="Q1044" s="12">
        <f>_xlfn.XLOOKUP(B1044,[1]Sheet1!$B:$B,[1]Sheet1!$T:$T,0)</f>
        <v>0</v>
      </c>
      <c r="R1044" s="12">
        <f>_xlfn.XLOOKUP(B1044,[1]Sheet1!$B:$B,[1]Sheet1!$U:$U,0)</f>
        <v>0</v>
      </c>
      <c r="S1044" s="12">
        <f>_xlfn.XLOOKUP(B1044,[1]Sheet1!$B:$B,[1]Sheet1!$V:$V,0)</f>
        <v>0</v>
      </c>
      <c r="T1044" s="12">
        <f>_xlfn.XLOOKUP(B1044,[1]Sheet1!$B:$B,[1]Sheet1!$W:$W,0)</f>
        <v>0</v>
      </c>
      <c r="U1044" s="12">
        <f>_xlfn.XLOOKUP(B1044,[1]Sheet1!$B:$B,[1]Sheet1!$X:$X,0)</f>
        <v>0</v>
      </c>
      <c r="V1044" s="12">
        <f>_xlfn.XLOOKUP(B1044,[1]Sheet1!$B:$B,[1]Sheet1!$Y:$Y,0)</f>
        <v>7500000</v>
      </c>
      <c r="W1044" s="12">
        <f t="shared" si="35"/>
        <v>7500000</v>
      </c>
      <c r="X1044" s="6" t="s">
        <v>1359</v>
      </c>
      <c r="Y1044" s="6" t="s">
        <v>319</v>
      </c>
      <c r="Z1044" s="6" t="s">
        <v>320</v>
      </c>
      <c r="AA1044" s="6" t="s">
        <v>151</v>
      </c>
      <c r="AB1044" s="6" t="s">
        <v>327</v>
      </c>
      <c r="AC1044" s="6" t="s">
        <v>37</v>
      </c>
      <c r="AD1044" s="6" t="s">
        <v>342</v>
      </c>
      <c r="AE1044" s="6" t="s">
        <v>39</v>
      </c>
      <c r="AF1044" s="6" t="s">
        <v>40</v>
      </c>
      <c r="AG1044" s="7">
        <v>7500000</v>
      </c>
      <c r="AH1044" s="11">
        <f>_xlfn.XLOOKUP(B1044,[1]Sheet1!$B:$B,[1]Sheet1!$AB:$AB,0)</f>
        <v>7500000</v>
      </c>
    </row>
    <row r="1045" spans="2:34" ht="16.8" thickTop="1" thickBot="1" x14ac:dyDescent="0.35">
      <c r="B1045" s="3" t="str">
        <f t="shared" si="34"/>
        <v>45131304511001347Media Mgmnt &amp;Buy-L422511201931</v>
      </c>
      <c r="C1045" s="8" t="s">
        <v>321</v>
      </c>
      <c r="D1045" s="8" t="s">
        <v>1593</v>
      </c>
      <c r="E1045" s="8" t="s">
        <v>1594</v>
      </c>
      <c r="F1045" s="8" t="s">
        <v>559</v>
      </c>
      <c r="G1045" s="4" t="s">
        <v>2819</v>
      </c>
      <c r="H1045" s="4" t="s">
        <v>2925</v>
      </c>
      <c r="I1045" s="8" t="s">
        <v>151</v>
      </c>
      <c r="J1045" s="8" t="s">
        <v>31</v>
      </c>
      <c r="K1045" s="12">
        <f>_xlfn.XLOOKUP(B1045,[1]Sheet1!$B:$B,[1]Sheet1!$N:$N,0)</f>
        <v>0</v>
      </c>
      <c r="L1045" s="12">
        <f>_xlfn.XLOOKUP(B1045,[1]Sheet1!$B:$B,[1]Sheet1!$O:$O,0)</f>
        <v>0</v>
      </c>
      <c r="M1045" s="12">
        <f>_xlfn.XLOOKUP(B1045,[1]Sheet1!$B:$B,[1]Sheet1!$P:$P,0)</f>
        <v>0</v>
      </c>
      <c r="N1045" s="12">
        <f>_xlfn.XLOOKUP(B1045,[1]Sheet1!$B:$B,[1]Sheet1!$Q:$Q,0)</f>
        <v>0</v>
      </c>
      <c r="O1045" s="12">
        <f>_xlfn.XLOOKUP(B1045,[1]Sheet1!$B:$B,[1]Sheet1!$R:$R,0)</f>
        <v>4800000</v>
      </c>
      <c r="P1045" s="12">
        <f>_xlfn.XLOOKUP(B1045,[1]Sheet1!$B:$B,[1]Sheet1!$S:$S,0)</f>
        <v>1600000</v>
      </c>
      <c r="Q1045" s="12">
        <f>_xlfn.XLOOKUP(B1045,[1]Sheet1!$B:$B,[1]Sheet1!$T:$T,0)</f>
        <v>1600000</v>
      </c>
      <c r="R1045" s="12">
        <f>_xlfn.XLOOKUP(B1045,[1]Sheet1!$B:$B,[1]Sheet1!$U:$U,0)</f>
        <v>1600000</v>
      </c>
      <c r="S1045" s="12">
        <f>_xlfn.XLOOKUP(B1045,[1]Sheet1!$B:$B,[1]Sheet1!$V:$V,0)</f>
        <v>1600000</v>
      </c>
      <c r="T1045" s="12">
        <f>_xlfn.XLOOKUP(B1045,[1]Sheet1!$B:$B,[1]Sheet1!$W:$W,0)</f>
        <v>1600000</v>
      </c>
      <c r="U1045" s="12">
        <f>_xlfn.XLOOKUP(B1045,[1]Sheet1!$B:$B,[1]Sheet1!$X:$X,0)</f>
        <v>1600000</v>
      </c>
      <c r="V1045" s="12">
        <f>_xlfn.XLOOKUP(B1045,[1]Sheet1!$B:$B,[1]Sheet1!$Y:$Y,0)</f>
        <v>1600000</v>
      </c>
      <c r="W1045" s="12">
        <f t="shared" si="35"/>
        <v>16000000</v>
      </c>
      <c r="X1045" s="8" t="s">
        <v>1359</v>
      </c>
      <c r="Y1045" s="8" t="s">
        <v>319</v>
      </c>
      <c r="Z1045" s="8" t="s">
        <v>320</v>
      </c>
      <c r="AA1045" s="8" t="s">
        <v>151</v>
      </c>
      <c r="AB1045" s="8" t="s">
        <v>327</v>
      </c>
      <c r="AC1045" s="8" t="s">
        <v>37</v>
      </c>
      <c r="AD1045" s="8" t="s">
        <v>342</v>
      </c>
      <c r="AE1045" s="8" t="s">
        <v>39</v>
      </c>
      <c r="AF1045" s="8" t="s">
        <v>40</v>
      </c>
      <c r="AG1045" s="9">
        <v>16000000</v>
      </c>
      <c r="AH1045" s="11">
        <f>_xlfn.XLOOKUP(B1045,[1]Sheet1!$B:$B,[1]Sheet1!$AB:$AB,0)</f>
        <v>16000000</v>
      </c>
    </row>
    <row r="1046" spans="2:34" ht="16.8" thickTop="1" thickBot="1" x14ac:dyDescent="0.35">
      <c r="B1046" s="3" t="str">
        <f t="shared" si="34"/>
        <v>45131304511001349Offline Ads-L422511201931</v>
      </c>
      <c r="C1046" s="6" t="s">
        <v>321</v>
      </c>
      <c r="D1046" s="6" t="s">
        <v>1595</v>
      </c>
      <c r="E1046" s="6" t="s">
        <v>1596</v>
      </c>
      <c r="F1046" s="6" t="s">
        <v>1592</v>
      </c>
      <c r="G1046" s="4" t="s">
        <v>2819</v>
      </c>
      <c r="H1046" s="4" t="s">
        <v>2925</v>
      </c>
      <c r="I1046" s="6" t="s">
        <v>151</v>
      </c>
      <c r="J1046" s="6" t="s">
        <v>31</v>
      </c>
      <c r="K1046" s="12">
        <f>_xlfn.XLOOKUP(B1046,[1]Sheet1!$B:$B,[1]Sheet1!$N:$N,0)</f>
        <v>0</v>
      </c>
      <c r="L1046" s="12">
        <f>_xlfn.XLOOKUP(B1046,[1]Sheet1!$B:$B,[1]Sheet1!$O:$O,0)</f>
        <v>0</v>
      </c>
      <c r="M1046" s="12">
        <f>_xlfn.XLOOKUP(B1046,[1]Sheet1!$B:$B,[1]Sheet1!$P:$P,0)</f>
        <v>0</v>
      </c>
      <c r="N1046" s="12">
        <f>_xlfn.XLOOKUP(B1046,[1]Sheet1!$B:$B,[1]Sheet1!$Q:$Q,0)</f>
        <v>3344056.4000000004</v>
      </c>
      <c r="O1046" s="12">
        <f>_xlfn.XLOOKUP(B1046,[1]Sheet1!$B:$B,[1]Sheet1!$R:$R,0)</f>
        <v>0</v>
      </c>
      <c r="P1046" s="12">
        <f>_xlfn.XLOOKUP(B1046,[1]Sheet1!$B:$B,[1]Sheet1!$S:$S,0)</f>
        <v>0</v>
      </c>
      <c r="Q1046" s="12">
        <f>_xlfn.XLOOKUP(B1046,[1]Sheet1!$B:$B,[1]Sheet1!$T:$T,0)</f>
        <v>0</v>
      </c>
      <c r="R1046" s="12">
        <f>_xlfn.XLOOKUP(B1046,[1]Sheet1!$B:$B,[1]Sheet1!$U:$U,0)</f>
        <v>836014.10000000009</v>
      </c>
      <c r="S1046" s="12">
        <f>_xlfn.XLOOKUP(B1046,[1]Sheet1!$B:$B,[1]Sheet1!$V:$V,0)</f>
        <v>836014.10000000009</v>
      </c>
      <c r="T1046" s="12">
        <f>_xlfn.XLOOKUP(B1046,[1]Sheet1!$B:$B,[1]Sheet1!$W:$W,0)</f>
        <v>836014.10000000009</v>
      </c>
      <c r="U1046" s="12">
        <f>_xlfn.XLOOKUP(B1046,[1]Sheet1!$B:$B,[1]Sheet1!$X:$X,0)</f>
        <v>836014.10000000009</v>
      </c>
      <c r="V1046" s="12">
        <f>_xlfn.XLOOKUP(B1046,[1]Sheet1!$B:$B,[1]Sheet1!$Y:$Y,0)</f>
        <v>836014.10000000009</v>
      </c>
      <c r="W1046" s="12">
        <f t="shared" si="35"/>
        <v>7524126.9000000004</v>
      </c>
      <c r="X1046" s="6" t="s">
        <v>1359</v>
      </c>
      <c r="Y1046" s="6" t="s">
        <v>319</v>
      </c>
      <c r="Z1046" s="6" t="s">
        <v>320</v>
      </c>
      <c r="AA1046" s="6" t="s">
        <v>151</v>
      </c>
      <c r="AB1046" s="6" t="s">
        <v>327</v>
      </c>
      <c r="AC1046" s="6" t="s">
        <v>37</v>
      </c>
      <c r="AD1046" s="6" t="s">
        <v>342</v>
      </c>
      <c r="AE1046" s="6" t="s">
        <v>39</v>
      </c>
      <c r="AF1046" s="6" t="s">
        <v>40</v>
      </c>
      <c r="AG1046" s="7">
        <v>7524128</v>
      </c>
      <c r="AH1046" s="11">
        <f>_xlfn.XLOOKUP(B1046,[1]Sheet1!$B:$B,[1]Sheet1!$AB:$AB,0)</f>
        <v>7524126.9000000004</v>
      </c>
    </row>
    <row r="1047" spans="2:34" ht="16.8" thickTop="1" thickBot="1" x14ac:dyDescent="0.35">
      <c r="B1047" s="3" t="str">
        <f t="shared" si="34"/>
        <v>45131304511001350Offline Ads-L422511201931</v>
      </c>
      <c r="C1047" s="8" t="s">
        <v>321</v>
      </c>
      <c r="D1047" s="8" t="s">
        <v>1597</v>
      </c>
      <c r="E1047" s="8" t="s">
        <v>1598</v>
      </c>
      <c r="F1047" s="8" t="s">
        <v>1592</v>
      </c>
      <c r="G1047" s="4" t="s">
        <v>2819</v>
      </c>
      <c r="H1047" s="4" t="s">
        <v>2925</v>
      </c>
      <c r="I1047" s="8" t="s">
        <v>151</v>
      </c>
      <c r="J1047" s="8" t="s">
        <v>31</v>
      </c>
      <c r="K1047" s="12">
        <f>_xlfn.XLOOKUP(B1047,[1]Sheet1!$B:$B,[1]Sheet1!$N:$N,0)</f>
        <v>0</v>
      </c>
      <c r="L1047" s="12">
        <f>_xlfn.XLOOKUP(B1047,[1]Sheet1!$B:$B,[1]Sheet1!$O:$O,0)</f>
        <v>0</v>
      </c>
      <c r="M1047" s="12">
        <f>_xlfn.XLOOKUP(B1047,[1]Sheet1!$B:$B,[1]Sheet1!$P:$P,0)</f>
        <v>0</v>
      </c>
      <c r="N1047" s="12">
        <f>_xlfn.XLOOKUP(B1047,[1]Sheet1!$B:$B,[1]Sheet1!$Q:$Q,0)</f>
        <v>3372372</v>
      </c>
      <c r="O1047" s="12">
        <f>_xlfn.XLOOKUP(B1047,[1]Sheet1!$B:$B,[1]Sheet1!$R:$R,0)</f>
        <v>0</v>
      </c>
      <c r="P1047" s="12">
        <f>_xlfn.XLOOKUP(B1047,[1]Sheet1!$B:$B,[1]Sheet1!$S:$S,0)</f>
        <v>0</v>
      </c>
      <c r="Q1047" s="12">
        <f>_xlfn.XLOOKUP(B1047,[1]Sheet1!$B:$B,[1]Sheet1!$T:$T,0)</f>
        <v>0</v>
      </c>
      <c r="R1047" s="12">
        <f>_xlfn.XLOOKUP(B1047,[1]Sheet1!$B:$B,[1]Sheet1!$U:$U,0)</f>
        <v>843093</v>
      </c>
      <c r="S1047" s="12">
        <f>_xlfn.XLOOKUP(B1047,[1]Sheet1!$B:$B,[1]Sheet1!$V:$V,0)</f>
        <v>843093</v>
      </c>
      <c r="T1047" s="12">
        <f>_xlfn.XLOOKUP(B1047,[1]Sheet1!$B:$B,[1]Sheet1!$W:$W,0)</f>
        <v>843093</v>
      </c>
      <c r="U1047" s="12">
        <f>_xlfn.XLOOKUP(B1047,[1]Sheet1!$B:$B,[1]Sheet1!$X:$X,0)</f>
        <v>843093</v>
      </c>
      <c r="V1047" s="12">
        <f>_xlfn.XLOOKUP(B1047,[1]Sheet1!$B:$B,[1]Sheet1!$Y:$Y,0)</f>
        <v>843093</v>
      </c>
      <c r="W1047" s="12">
        <f t="shared" si="35"/>
        <v>7587837</v>
      </c>
      <c r="X1047" s="8" t="s">
        <v>1359</v>
      </c>
      <c r="Y1047" s="8" t="s">
        <v>319</v>
      </c>
      <c r="Z1047" s="8" t="s">
        <v>320</v>
      </c>
      <c r="AA1047" s="8" t="s">
        <v>151</v>
      </c>
      <c r="AB1047" s="8" t="s">
        <v>327</v>
      </c>
      <c r="AC1047" s="8" t="s">
        <v>37</v>
      </c>
      <c r="AD1047" s="8" t="s">
        <v>342</v>
      </c>
      <c r="AE1047" s="8" t="s">
        <v>39</v>
      </c>
      <c r="AF1047" s="8" t="s">
        <v>40</v>
      </c>
      <c r="AG1047" s="9">
        <v>7587837</v>
      </c>
      <c r="AH1047" s="11">
        <f>_xlfn.XLOOKUP(B1047,[1]Sheet1!$B:$B,[1]Sheet1!$AB:$AB,0)</f>
        <v>7587837</v>
      </c>
    </row>
    <row r="1048" spans="2:34" ht="16.8" thickTop="1" thickBot="1" x14ac:dyDescent="0.35">
      <c r="B1048" s="3" t="str">
        <f t="shared" si="34"/>
        <v>45131304511001352Offline Ads-L422511201931</v>
      </c>
      <c r="C1048" s="6" t="s">
        <v>321</v>
      </c>
      <c r="D1048" s="6" t="s">
        <v>1599</v>
      </c>
      <c r="E1048" s="6" t="s">
        <v>1600</v>
      </c>
      <c r="F1048" s="6" t="s">
        <v>1592</v>
      </c>
      <c r="G1048" s="4" t="s">
        <v>2819</v>
      </c>
      <c r="H1048" s="4" t="s">
        <v>2925</v>
      </c>
      <c r="I1048" s="6" t="s">
        <v>151</v>
      </c>
      <c r="J1048" s="6" t="s">
        <v>31</v>
      </c>
      <c r="K1048" s="12">
        <f>_xlfn.XLOOKUP(B1048,[1]Sheet1!$B:$B,[1]Sheet1!$N:$N,0)</f>
        <v>0</v>
      </c>
      <c r="L1048" s="12">
        <f>_xlfn.XLOOKUP(B1048,[1]Sheet1!$B:$B,[1]Sheet1!$O:$O,0)</f>
        <v>0</v>
      </c>
      <c r="M1048" s="12">
        <f>_xlfn.XLOOKUP(B1048,[1]Sheet1!$B:$B,[1]Sheet1!$P:$P,0)</f>
        <v>0</v>
      </c>
      <c r="N1048" s="12">
        <f>_xlfn.XLOOKUP(B1048,[1]Sheet1!$B:$B,[1]Sheet1!$Q:$Q,0)</f>
        <v>3118849</v>
      </c>
      <c r="O1048" s="12">
        <f>_xlfn.XLOOKUP(B1048,[1]Sheet1!$B:$B,[1]Sheet1!$R:$R,0)</f>
        <v>0</v>
      </c>
      <c r="P1048" s="12">
        <f>_xlfn.XLOOKUP(B1048,[1]Sheet1!$B:$B,[1]Sheet1!$S:$S,0)</f>
        <v>0</v>
      </c>
      <c r="Q1048" s="12">
        <f>_xlfn.XLOOKUP(B1048,[1]Sheet1!$B:$B,[1]Sheet1!$T:$T,0)</f>
        <v>0</v>
      </c>
      <c r="R1048" s="12">
        <f>_xlfn.XLOOKUP(B1048,[1]Sheet1!$B:$B,[1]Sheet1!$U:$U,0)</f>
        <v>0</v>
      </c>
      <c r="S1048" s="12">
        <f>_xlfn.XLOOKUP(B1048,[1]Sheet1!$B:$B,[1]Sheet1!$V:$V,0)</f>
        <v>0</v>
      </c>
      <c r="T1048" s="12">
        <f>_xlfn.XLOOKUP(B1048,[1]Sheet1!$B:$B,[1]Sheet1!$W:$W,0)</f>
        <v>0</v>
      </c>
      <c r="U1048" s="12">
        <f>_xlfn.XLOOKUP(B1048,[1]Sheet1!$B:$B,[1]Sheet1!$X:$X,0)</f>
        <v>0</v>
      </c>
      <c r="V1048" s="12">
        <f>_xlfn.XLOOKUP(B1048,[1]Sheet1!$B:$B,[1]Sheet1!$Y:$Y,0)</f>
        <v>0</v>
      </c>
      <c r="W1048" s="12">
        <f t="shared" si="35"/>
        <v>3118849</v>
      </c>
      <c r="X1048" s="6" t="s">
        <v>1359</v>
      </c>
      <c r="Y1048" s="6" t="s">
        <v>319</v>
      </c>
      <c r="Z1048" s="6" t="s">
        <v>320</v>
      </c>
      <c r="AA1048" s="6" t="s">
        <v>151</v>
      </c>
      <c r="AB1048" s="6" t="s">
        <v>327</v>
      </c>
      <c r="AC1048" s="6" t="s">
        <v>37</v>
      </c>
      <c r="AD1048" s="6" t="s">
        <v>342</v>
      </c>
      <c r="AE1048" s="6" t="s">
        <v>39</v>
      </c>
      <c r="AF1048" s="6" t="s">
        <v>40</v>
      </c>
      <c r="AG1048" s="7">
        <v>3118849</v>
      </c>
      <c r="AH1048" s="11">
        <f>_xlfn.XLOOKUP(B1048,[1]Sheet1!$B:$B,[1]Sheet1!$AB:$AB,0)</f>
        <v>3118849</v>
      </c>
    </row>
    <row r="1049" spans="2:34" ht="16.8" thickTop="1" thickBot="1" x14ac:dyDescent="0.35">
      <c r="B1049" s="3" t="str">
        <f t="shared" si="34"/>
        <v>45131304511001355Offline Ads-L422511201931</v>
      </c>
      <c r="C1049" s="8" t="s">
        <v>321</v>
      </c>
      <c r="D1049" s="8" t="s">
        <v>1601</v>
      </c>
      <c r="E1049" s="8" t="s">
        <v>1602</v>
      </c>
      <c r="F1049" s="8" t="s">
        <v>1592</v>
      </c>
      <c r="G1049" s="4" t="s">
        <v>2819</v>
      </c>
      <c r="H1049" s="4" t="s">
        <v>2925</v>
      </c>
      <c r="I1049" s="8" t="s">
        <v>151</v>
      </c>
      <c r="J1049" s="8" t="s">
        <v>31</v>
      </c>
      <c r="K1049" s="12">
        <f>_xlfn.XLOOKUP(B1049,[1]Sheet1!$B:$B,[1]Sheet1!$N:$N,0)</f>
        <v>0</v>
      </c>
      <c r="L1049" s="12">
        <f>_xlfn.XLOOKUP(B1049,[1]Sheet1!$B:$B,[1]Sheet1!$O:$O,0)</f>
        <v>0</v>
      </c>
      <c r="M1049" s="12">
        <f>_xlfn.XLOOKUP(B1049,[1]Sheet1!$B:$B,[1]Sheet1!$P:$P,0)</f>
        <v>0</v>
      </c>
      <c r="N1049" s="12">
        <f>_xlfn.XLOOKUP(B1049,[1]Sheet1!$B:$B,[1]Sheet1!$Q:$Q,0)</f>
        <v>1886025.6</v>
      </c>
      <c r="O1049" s="12">
        <f>_xlfn.XLOOKUP(B1049,[1]Sheet1!$B:$B,[1]Sheet1!$R:$R,0)</f>
        <v>0</v>
      </c>
      <c r="P1049" s="12">
        <f>_xlfn.XLOOKUP(B1049,[1]Sheet1!$B:$B,[1]Sheet1!$S:$S,0)</f>
        <v>0</v>
      </c>
      <c r="Q1049" s="12">
        <f>_xlfn.XLOOKUP(B1049,[1]Sheet1!$B:$B,[1]Sheet1!$T:$T,0)</f>
        <v>0</v>
      </c>
      <c r="R1049" s="12">
        <f>_xlfn.XLOOKUP(B1049,[1]Sheet1!$B:$B,[1]Sheet1!$U:$U,0)</f>
        <v>471506.4</v>
      </c>
      <c r="S1049" s="12">
        <f>_xlfn.XLOOKUP(B1049,[1]Sheet1!$B:$B,[1]Sheet1!$V:$V,0)</f>
        <v>471506.4</v>
      </c>
      <c r="T1049" s="12">
        <f>_xlfn.XLOOKUP(B1049,[1]Sheet1!$B:$B,[1]Sheet1!$W:$W,0)</f>
        <v>471506.4</v>
      </c>
      <c r="U1049" s="12">
        <f>_xlfn.XLOOKUP(B1049,[1]Sheet1!$B:$B,[1]Sheet1!$X:$X,0)</f>
        <v>471506.4</v>
      </c>
      <c r="V1049" s="12">
        <f>_xlfn.XLOOKUP(B1049,[1]Sheet1!$B:$B,[1]Sheet1!$Y:$Y,0)</f>
        <v>471506.4</v>
      </c>
      <c r="W1049" s="12">
        <f t="shared" si="35"/>
        <v>4243557.5999999996</v>
      </c>
      <c r="X1049" s="8" t="s">
        <v>1359</v>
      </c>
      <c r="Y1049" s="8" t="s">
        <v>319</v>
      </c>
      <c r="Z1049" s="8" t="s">
        <v>320</v>
      </c>
      <c r="AA1049" s="8" t="s">
        <v>151</v>
      </c>
      <c r="AB1049" s="8" t="s">
        <v>327</v>
      </c>
      <c r="AC1049" s="8" t="s">
        <v>37</v>
      </c>
      <c r="AD1049" s="8" t="s">
        <v>342</v>
      </c>
      <c r="AE1049" s="8" t="s">
        <v>39</v>
      </c>
      <c r="AF1049" s="8" t="s">
        <v>40</v>
      </c>
      <c r="AG1049" s="9">
        <v>4243558</v>
      </c>
      <c r="AH1049" s="11">
        <f>_xlfn.XLOOKUP(B1049,[1]Sheet1!$B:$B,[1]Sheet1!$AB:$AB,0)</f>
        <v>4243557.5999999996</v>
      </c>
    </row>
    <row r="1050" spans="2:34" ht="16.8" thickTop="1" thickBot="1" x14ac:dyDescent="0.35">
      <c r="B1050" s="3" t="str">
        <f t="shared" si="34"/>
        <v>45131304511001356Offline Ads-L422511201931</v>
      </c>
      <c r="C1050" s="6" t="s">
        <v>321</v>
      </c>
      <c r="D1050" s="6" t="s">
        <v>1603</v>
      </c>
      <c r="E1050" s="6" t="s">
        <v>1604</v>
      </c>
      <c r="F1050" s="6" t="s">
        <v>1592</v>
      </c>
      <c r="G1050" s="4" t="s">
        <v>2819</v>
      </c>
      <c r="H1050" s="4" t="s">
        <v>2925</v>
      </c>
      <c r="I1050" s="6" t="s">
        <v>151</v>
      </c>
      <c r="J1050" s="6" t="s">
        <v>31</v>
      </c>
      <c r="K1050" s="12">
        <f>_xlfn.XLOOKUP(B1050,[1]Sheet1!$B:$B,[1]Sheet1!$N:$N,0)</f>
        <v>0</v>
      </c>
      <c r="L1050" s="12">
        <f>_xlfn.XLOOKUP(B1050,[1]Sheet1!$B:$B,[1]Sheet1!$O:$O,0)</f>
        <v>0</v>
      </c>
      <c r="M1050" s="12">
        <f>_xlfn.XLOOKUP(B1050,[1]Sheet1!$B:$B,[1]Sheet1!$P:$P,0)</f>
        <v>0</v>
      </c>
      <c r="N1050" s="12">
        <f>_xlfn.XLOOKUP(B1050,[1]Sheet1!$B:$B,[1]Sheet1!$Q:$Q,0)</f>
        <v>1721720.4000000001</v>
      </c>
      <c r="O1050" s="12">
        <f>_xlfn.XLOOKUP(B1050,[1]Sheet1!$B:$B,[1]Sheet1!$R:$R,0)</f>
        <v>0</v>
      </c>
      <c r="P1050" s="12">
        <f>_xlfn.XLOOKUP(B1050,[1]Sheet1!$B:$B,[1]Sheet1!$S:$S,0)</f>
        <v>0</v>
      </c>
      <c r="Q1050" s="12">
        <f>_xlfn.XLOOKUP(B1050,[1]Sheet1!$B:$B,[1]Sheet1!$T:$T,0)</f>
        <v>0</v>
      </c>
      <c r="R1050" s="12">
        <f>_xlfn.XLOOKUP(B1050,[1]Sheet1!$B:$B,[1]Sheet1!$U:$U,0)</f>
        <v>430430.10000000003</v>
      </c>
      <c r="S1050" s="12">
        <f>_xlfn.XLOOKUP(B1050,[1]Sheet1!$B:$B,[1]Sheet1!$V:$V,0)</f>
        <v>430430.10000000003</v>
      </c>
      <c r="T1050" s="12">
        <f>_xlfn.XLOOKUP(B1050,[1]Sheet1!$B:$B,[1]Sheet1!$W:$W,0)</f>
        <v>430430.10000000003</v>
      </c>
      <c r="U1050" s="12">
        <f>_xlfn.XLOOKUP(B1050,[1]Sheet1!$B:$B,[1]Sheet1!$X:$X,0)</f>
        <v>430430.10000000003</v>
      </c>
      <c r="V1050" s="12">
        <f>_xlfn.XLOOKUP(B1050,[1]Sheet1!$B:$B,[1]Sheet1!$Y:$Y,0)</f>
        <v>430430.10000000003</v>
      </c>
      <c r="W1050" s="12">
        <f t="shared" si="35"/>
        <v>3873870.9000000004</v>
      </c>
      <c r="X1050" s="6" t="s">
        <v>1359</v>
      </c>
      <c r="Y1050" s="6" t="s">
        <v>319</v>
      </c>
      <c r="Z1050" s="6" t="s">
        <v>320</v>
      </c>
      <c r="AA1050" s="6" t="s">
        <v>151</v>
      </c>
      <c r="AB1050" s="6" t="s">
        <v>327</v>
      </c>
      <c r="AC1050" s="6" t="s">
        <v>37</v>
      </c>
      <c r="AD1050" s="6" t="s">
        <v>342</v>
      </c>
      <c r="AE1050" s="6" t="s">
        <v>39</v>
      </c>
      <c r="AF1050" s="6" t="s">
        <v>40</v>
      </c>
      <c r="AG1050" s="7">
        <v>3873872</v>
      </c>
      <c r="AH1050" s="11">
        <f>_xlfn.XLOOKUP(B1050,[1]Sheet1!$B:$B,[1]Sheet1!$AB:$AB,0)</f>
        <v>3873870.9000000004</v>
      </c>
    </row>
    <row r="1051" spans="2:34" ht="16.8" thickTop="1" thickBot="1" x14ac:dyDescent="0.35">
      <c r="B1051" s="3" t="str">
        <f t="shared" si="34"/>
        <v>45131304511001358Sponsorship Fees-L424811201931</v>
      </c>
      <c r="C1051" s="8" t="s">
        <v>321</v>
      </c>
      <c r="D1051" s="8" t="s">
        <v>1605</v>
      </c>
      <c r="E1051" s="8" t="s">
        <v>1606</v>
      </c>
      <c r="F1051" s="8" t="s">
        <v>935</v>
      </c>
      <c r="G1051" s="4" t="s">
        <v>2802</v>
      </c>
      <c r="H1051" s="4" t="s">
        <v>2925</v>
      </c>
      <c r="I1051" s="8" t="s">
        <v>30</v>
      </c>
      <c r="J1051" s="8" t="s">
        <v>31</v>
      </c>
      <c r="K1051" s="12">
        <f>_xlfn.XLOOKUP(B1051,[1]Sheet1!$B:$B,[1]Sheet1!$N:$N,0)</f>
        <v>0</v>
      </c>
      <c r="L1051" s="12">
        <f>_xlfn.XLOOKUP(B1051,[1]Sheet1!$B:$B,[1]Sheet1!$O:$O,0)</f>
        <v>0</v>
      </c>
      <c r="M1051" s="12">
        <f>_xlfn.XLOOKUP(B1051,[1]Sheet1!$B:$B,[1]Sheet1!$P:$P,0)</f>
        <v>0</v>
      </c>
      <c r="N1051" s="12">
        <f>_xlfn.XLOOKUP(B1051,[1]Sheet1!$B:$B,[1]Sheet1!$Q:$Q,0)</f>
        <v>10500000</v>
      </c>
      <c r="O1051" s="12">
        <f>_xlfn.XLOOKUP(B1051,[1]Sheet1!$B:$B,[1]Sheet1!$R:$R,0)</f>
        <v>0</v>
      </c>
      <c r="P1051" s="12">
        <f>_xlfn.XLOOKUP(B1051,[1]Sheet1!$B:$B,[1]Sheet1!$S:$S,0)</f>
        <v>0</v>
      </c>
      <c r="Q1051" s="12">
        <f>_xlfn.XLOOKUP(B1051,[1]Sheet1!$B:$B,[1]Sheet1!$T:$T,0)</f>
        <v>10657500</v>
      </c>
      <c r="R1051" s="12">
        <f>_xlfn.XLOOKUP(B1051,[1]Sheet1!$B:$B,[1]Sheet1!$U:$U,0)</f>
        <v>0</v>
      </c>
      <c r="S1051" s="12">
        <f>_xlfn.XLOOKUP(B1051,[1]Sheet1!$B:$B,[1]Sheet1!$V:$V,0)</f>
        <v>0</v>
      </c>
      <c r="T1051" s="12">
        <f>_xlfn.XLOOKUP(B1051,[1]Sheet1!$B:$B,[1]Sheet1!$W:$W,0)</f>
        <v>0</v>
      </c>
      <c r="U1051" s="12">
        <f>_xlfn.XLOOKUP(B1051,[1]Sheet1!$B:$B,[1]Sheet1!$X:$X,0)</f>
        <v>0</v>
      </c>
      <c r="V1051" s="12">
        <f>_xlfn.XLOOKUP(B1051,[1]Sheet1!$B:$B,[1]Sheet1!$Y:$Y,0)</f>
        <v>0</v>
      </c>
      <c r="W1051" s="12">
        <f t="shared" si="35"/>
        <v>21157500</v>
      </c>
      <c r="X1051" s="8" t="s">
        <v>1356</v>
      </c>
      <c r="Y1051" s="8" t="s">
        <v>319</v>
      </c>
      <c r="Z1051" s="8" t="s">
        <v>320</v>
      </c>
      <c r="AA1051" s="8" t="s">
        <v>30</v>
      </c>
      <c r="AB1051" s="8" t="s">
        <v>327</v>
      </c>
      <c r="AC1051" s="8" t="s">
        <v>37</v>
      </c>
      <c r="AD1051" s="8" t="s">
        <v>342</v>
      </c>
      <c r="AE1051" s="8" t="s">
        <v>39</v>
      </c>
      <c r="AF1051" s="8" t="s">
        <v>40</v>
      </c>
      <c r="AG1051" s="9">
        <v>21571795</v>
      </c>
      <c r="AH1051" s="11">
        <f>_xlfn.XLOOKUP(B1051,[1]Sheet1!$B:$B,[1]Sheet1!$AB:$AB,0)</f>
        <v>21571795</v>
      </c>
    </row>
    <row r="1052" spans="2:34" ht="16.8" thickTop="1" thickBot="1" x14ac:dyDescent="0.35">
      <c r="B1052" s="3" t="str">
        <f t="shared" si="34"/>
        <v>45131304511001359Offline Ads-L422511201931</v>
      </c>
      <c r="C1052" s="6" t="s">
        <v>321</v>
      </c>
      <c r="D1052" s="6" t="s">
        <v>1607</v>
      </c>
      <c r="E1052" s="6" t="s">
        <v>1608</v>
      </c>
      <c r="F1052" s="6" t="s">
        <v>1592</v>
      </c>
      <c r="G1052" s="4" t="s">
        <v>2819</v>
      </c>
      <c r="H1052" s="4" t="s">
        <v>2925</v>
      </c>
      <c r="I1052" s="6" t="s">
        <v>151</v>
      </c>
      <c r="J1052" s="6" t="s">
        <v>31</v>
      </c>
      <c r="K1052" s="12">
        <f>_xlfn.XLOOKUP(B1052,[1]Sheet1!$B:$B,[1]Sheet1!$N:$N,0)</f>
        <v>0</v>
      </c>
      <c r="L1052" s="12">
        <f>_xlfn.XLOOKUP(B1052,[1]Sheet1!$B:$B,[1]Sheet1!$O:$O,0)</f>
        <v>0</v>
      </c>
      <c r="M1052" s="12">
        <f>_xlfn.XLOOKUP(B1052,[1]Sheet1!$B:$B,[1]Sheet1!$P:$P,0)</f>
        <v>0</v>
      </c>
      <c r="N1052" s="12">
        <f>_xlfn.XLOOKUP(B1052,[1]Sheet1!$B:$B,[1]Sheet1!$Q:$Q,0)</f>
        <v>1571694.8</v>
      </c>
      <c r="O1052" s="12">
        <f>_xlfn.XLOOKUP(B1052,[1]Sheet1!$B:$B,[1]Sheet1!$R:$R,0)</f>
        <v>0</v>
      </c>
      <c r="P1052" s="12">
        <f>_xlfn.XLOOKUP(B1052,[1]Sheet1!$B:$B,[1]Sheet1!$S:$S,0)</f>
        <v>0</v>
      </c>
      <c r="Q1052" s="12">
        <f>_xlfn.XLOOKUP(B1052,[1]Sheet1!$B:$B,[1]Sheet1!$T:$T,0)</f>
        <v>0</v>
      </c>
      <c r="R1052" s="12">
        <f>_xlfn.XLOOKUP(B1052,[1]Sheet1!$B:$B,[1]Sheet1!$U:$U,0)</f>
        <v>392923.7</v>
      </c>
      <c r="S1052" s="12">
        <f>_xlfn.XLOOKUP(B1052,[1]Sheet1!$B:$B,[1]Sheet1!$V:$V,0)</f>
        <v>392923.7</v>
      </c>
      <c r="T1052" s="12">
        <f>_xlfn.XLOOKUP(B1052,[1]Sheet1!$B:$B,[1]Sheet1!$W:$W,0)</f>
        <v>392923.7</v>
      </c>
      <c r="U1052" s="12">
        <f>_xlfn.XLOOKUP(B1052,[1]Sheet1!$B:$B,[1]Sheet1!$X:$X,0)</f>
        <v>392923.7</v>
      </c>
      <c r="V1052" s="12">
        <f>_xlfn.XLOOKUP(B1052,[1]Sheet1!$B:$B,[1]Sheet1!$Y:$Y,0)</f>
        <v>392923.7</v>
      </c>
      <c r="W1052" s="12">
        <f t="shared" si="35"/>
        <v>3536313.3000000007</v>
      </c>
      <c r="X1052" s="6" t="s">
        <v>1359</v>
      </c>
      <c r="Y1052" s="6" t="s">
        <v>319</v>
      </c>
      <c r="Z1052" s="6" t="s">
        <v>320</v>
      </c>
      <c r="AA1052" s="6" t="s">
        <v>151</v>
      </c>
      <c r="AB1052" s="6" t="s">
        <v>327</v>
      </c>
      <c r="AC1052" s="6" t="s">
        <v>37</v>
      </c>
      <c r="AD1052" s="6" t="s">
        <v>342</v>
      </c>
      <c r="AE1052" s="6" t="s">
        <v>39</v>
      </c>
      <c r="AF1052" s="6" t="s">
        <v>40</v>
      </c>
      <c r="AG1052" s="7">
        <v>3536313</v>
      </c>
      <c r="AH1052" s="11">
        <f>_xlfn.XLOOKUP(B1052,[1]Sheet1!$B:$B,[1]Sheet1!$AB:$AB,0)</f>
        <v>3536313.3000000007</v>
      </c>
    </row>
    <row r="1053" spans="2:34" ht="16.8" thickTop="1" thickBot="1" x14ac:dyDescent="0.35">
      <c r="B1053" s="3" t="str">
        <f t="shared" si="34"/>
        <v>45131404511001361CampaignProductn-l1422511201931</v>
      </c>
      <c r="C1053" s="8" t="s">
        <v>335</v>
      </c>
      <c r="D1053" s="8" t="s">
        <v>1609</v>
      </c>
      <c r="E1053" s="8" t="s">
        <v>1610</v>
      </c>
      <c r="F1053" s="8" t="s">
        <v>1611</v>
      </c>
      <c r="G1053" s="4" t="s">
        <v>2819</v>
      </c>
      <c r="H1053" s="4" t="s">
        <v>2925</v>
      </c>
      <c r="I1053" s="8" t="s">
        <v>151</v>
      </c>
      <c r="J1053" s="8" t="s">
        <v>31</v>
      </c>
      <c r="K1053" s="12">
        <f>_xlfn.XLOOKUP(B1053,[1]Sheet1!$B:$B,[1]Sheet1!$N:$N,0)</f>
        <v>0</v>
      </c>
      <c r="L1053" s="12">
        <f>_xlfn.XLOOKUP(B1053,[1]Sheet1!$B:$B,[1]Sheet1!$O:$O,0)</f>
        <v>0</v>
      </c>
      <c r="M1053" s="12">
        <f>_xlfn.XLOOKUP(B1053,[1]Sheet1!$B:$B,[1]Sheet1!$P:$P,0)</f>
        <v>0</v>
      </c>
      <c r="N1053" s="12">
        <f>_xlfn.XLOOKUP(B1053,[1]Sheet1!$B:$B,[1]Sheet1!$Q:$Q,0)</f>
        <v>100000</v>
      </c>
      <c r="O1053" s="12">
        <f>_xlfn.XLOOKUP(B1053,[1]Sheet1!$B:$B,[1]Sheet1!$R:$R,0)</f>
        <v>0</v>
      </c>
      <c r="P1053" s="12">
        <f>_xlfn.XLOOKUP(B1053,[1]Sheet1!$B:$B,[1]Sheet1!$S:$S,0)</f>
        <v>0</v>
      </c>
      <c r="Q1053" s="12">
        <f>_xlfn.XLOOKUP(B1053,[1]Sheet1!$B:$B,[1]Sheet1!$T:$T,0)</f>
        <v>0</v>
      </c>
      <c r="R1053" s="12">
        <f>_xlfn.XLOOKUP(B1053,[1]Sheet1!$B:$B,[1]Sheet1!$U:$U,0)</f>
        <v>0</v>
      </c>
      <c r="S1053" s="12">
        <f>_xlfn.XLOOKUP(B1053,[1]Sheet1!$B:$B,[1]Sheet1!$V:$V,0)</f>
        <v>0</v>
      </c>
      <c r="T1053" s="12">
        <f>_xlfn.XLOOKUP(B1053,[1]Sheet1!$B:$B,[1]Sheet1!$W:$W,0)</f>
        <v>200000</v>
      </c>
      <c r="U1053" s="12">
        <f>_xlfn.XLOOKUP(B1053,[1]Sheet1!$B:$B,[1]Sheet1!$X:$X,0)</f>
        <v>200000</v>
      </c>
      <c r="V1053" s="12">
        <f>_xlfn.XLOOKUP(B1053,[1]Sheet1!$B:$B,[1]Sheet1!$Y:$Y,0)</f>
        <v>200000</v>
      </c>
      <c r="W1053" s="12">
        <f t="shared" si="35"/>
        <v>700000</v>
      </c>
      <c r="X1053" s="8" t="s">
        <v>1612</v>
      </c>
      <c r="Y1053" s="8" t="s">
        <v>319</v>
      </c>
      <c r="Z1053" s="8" t="s">
        <v>334</v>
      </c>
      <c r="AA1053" s="8" t="s">
        <v>151</v>
      </c>
      <c r="AB1053" s="8" t="s">
        <v>327</v>
      </c>
      <c r="AC1053" s="8" t="s">
        <v>37</v>
      </c>
      <c r="AD1053" s="8" t="s">
        <v>342</v>
      </c>
      <c r="AE1053" s="8" t="s">
        <v>39</v>
      </c>
      <c r="AF1053" s="8" t="s">
        <v>40</v>
      </c>
      <c r="AG1053" s="9">
        <v>700000</v>
      </c>
      <c r="AH1053" s="11">
        <f>_xlfn.XLOOKUP(B1053,[1]Sheet1!$B:$B,[1]Sheet1!$AB:$AB,0)</f>
        <v>700000</v>
      </c>
    </row>
    <row r="1054" spans="2:34" ht="16.8" thickTop="1" thickBot="1" x14ac:dyDescent="0.35">
      <c r="B1054" s="3" t="str">
        <f t="shared" si="34"/>
        <v>45131304511001362Celebrities-L422511201931</v>
      </c>
      <c r="C1054" s="6" t="s">
        <v>321</v>
      </c>
      <c r="D1054" s="6" t="s">
        <v>1613</v>
      </c>
      <c r="E1054" s="6" t="s">
        <v>1614</v>
      </c>
      <c r="F1054" s="6" t="s">
        <v>1585</v>
      </c>
      <c r="G1054" s="4" t="s">
        <v>2819</v>
      </c>
      <c r="H1054" s="4" t="s">
        <v>2925</v>
      </c>
      <c r="I1054" s="6" t="s">
        <v>151</v>
      </c>
      <c r="J1054" s="6" t="s">
        <v>31</v>
      </c>
      <c r="K1054" s="12">
        <f>_xlfn.XLOOKUP(B1054,[1]Sheet1!$B:$B,[1]Sheet1!$N:$N,0)</f>
        <v>0</v>
      </c>
      <c r="L1054" s="12">
        <f>_xlfn.XLOOKUP(B1054,[1]Sheet1!$B:$B,[1]Sheet1!$O:$O,0)</f>
        <v>0</v>
      </c>
      <c r="M1054" s="12">
        <f>_xlfn.XLOOKUP(B1054,[1]Sheet1!$B:$B,[1]Sheet1!$P:$P,0)</f>
        <v>0</v>
      </c>
      <c r="N1054" s="12">
        <f>_xlfn.XLOOKUP(B1054,[1]Sheet1!$B:$B,[1]Sheet1!$Q:$Q,0)</f>
        <v>0</v>
      </c>
      <c r="O1054" s="12">
        <f>_xlfn.XLOOKUP(B1054,[1]Sheet1!$B:$B,[1]Sheet1!$R:$R,0)</f>
        <v>0</v>
      </c>
      <c r="P1054" s="12">
        <f>_xlfn.XLOOKUP(B1054,[1]Sheet1!$B:$B,[1]Sheet1!$S:$S,0)</f>
        <v>0</v>
      </c>
      <c r="Q1054" s="12">
        <f>_xlfn.XLOOKUP(B1054,[1]Sheet1!$B:$B,[1]Sheet1!$T:$T,0)</f>
        <v>0</v>
      </c>
      <c r="R1054" s="12">
        <f>_xlfn.XLOOKUP(B1054,[1]Sheet1!$B:$B,[1]Sheet1!$U:$U,0)</f>
        <v>0</v>
      </c>
      <c r="S1054" s="12">
        <f>_xlfn.XLOOKUP(B1054,[1]Sheet1!$B:$B,[1]Sheet1!$V:$V,0)</f>
        <v>0</v>
      </c>
      <c r="T1054" s="12">
        <f>_xlfn.XLOOKUP(B1054,[1]Sheet1!$B:$B,[1]Sheet1!$W:$W,0)</f>
        <v>13909851</v>
      </c>
      <c r="U1054" s="12">
        <f>_xlfn.XLOOKUP(B1054,[1]Sheet1!$B:$B,[1]Sheet1!$X:$X,0)</f>
        <v>0</v>
      </c>
      <c r="V1054" s="12">
        <f>_xlfn.XLOOKUP(B1054,[1]Sheet1!$B:$B,[1]Sheet1!$Y:$Y,0)</f>
        <v>0</v>
      </c>
      <c r="W1054" s="12">
        <f t="shared" si="35"/>
        <v>13909851</v>
      </c>
      <c r="X1054" s="6" t="s">
        <v>1359</v>
      </c>
      <c r="Y1054" s="6" t="s">
        <v>319</v>
      </c>
      <c r="Z1054" s="6" t="s">
        <v>320</v>
      </c>
      <c r="AA1054" s="6" t="s">
        <v>151</v>
      </c>
      <c r="AB1054" s="6" t="s">
        <v>327</v>
      </c>
      <c r="AC1054" s="6" t="s">
        <v>37</v>
      </c>
      <c r="AD1054" s="6" t="s">
        <v>342</v>
      </c>
      <c r="AE1054" s="6" t="s">
        <v>39</v>
      </c>
      <c r="AF1054" s="6" t="s">
        <v>40</v>
      </c>
      <c r="AG1054" s="7">
        <v>13909851</v>
      </c>
      <c r="AH1054" s="11">
        <f>_xlfn.XLOOKUP(B1054,[1]Sheet1!$B:$B,[1]Sheet1!$AB:$AB,0)</f>
        <v>13909851</v>
      </c>
    </row>
    <row r="1055" spans="2:34" ht="16.8" thickTop="1" thickBot="1" x14ac:dyDescent="0.35">
      <c r="B1055" s="3" t="str">
        <f t="shared" si="34"/>
        <v>45131304511001367Offline Ads-L422511201931</v>
      </c>
      <c r="C1055" s="8" t="s">
        <v>321</v>
      </c>
      <c r="D1055" s="8" t="s">
        <v>1615</v>
      </c>
      <c r="E1055" s="8" t="s">
        <v>1616</v>
      </c>
      <c r="F1055" s="8" t="s">
        <v>1592</v>
      </c>
      <c r="G1055" s="4" t="s">
        <v>2819</v>
      </c>
      <c r="H1055" s="4" t="s">
        <v>2925</v>
      </c>
      <c r="I1055" s="8" t="s">
        <v>151</v>
      </c>
      <c r="J1055" s="8" t="s">
        <v>31</v>
      </c>
      <c r="K1055" s="12">
        <f>_xlfn.XLOOKUP(B1055,[1]Sheet1!$B:$B,[1]Sheet1!$N:$N,0)</f>
        <v>0</v>
      </c>
      <c r="L1055" s="12">
        <f>_xlfn.XLOOKUP(B1055,[1]Sheet1!$B:$B,[1]Sheet1!$O:$O,0)</f>
        <v>0</v>
      </c>
      <c r="M1055" s="12">
        <f>_xlfn.XLOOKUP(B1055,[1]Sheet1!$B:$B,[1]Sheet1!$P:$P,0)</f>
        <v>0</v>
      </c>
      <c r="N1055" s="12">
        <f>_xlfn.XLOOKUP(B1055,[1]Sheet1!$B:$B,[1]Sheet1!$Q:$Q,0)</f>
        <v>1072597.2</v>
      </c>
      <c r="O1055" s="12">
        <f>_xlfn.XLOOKUP(B1055,[1]Sheet1!$B:$B,[1]Sheet1!$R:$R,0)</f>
        <v>0</v>
      </c>
      <c r="P1055" s="12">
        <f>_xlfn.XLOOKUP(B1055,[1]Sheet1!$B:$B,[1]Sheet1!$S:$S,0)</f>
        <v>0</v>
      </c>
      <c r="Q1055" s="12">
        <f>_xlfn.XLOOKUP(B1055,[1]Sheet1!$B:$B,[1]Sheet1!$T:$T,0)</f>
        <v>0</v>
      </c>
      <c r="R1055" s="12">
        <f>_xlfn.XLOOKUP(B1055,[1]Sheet1!$B:$B,[1]Sheet1!$U:$U,0)</f>
        <v>268149.3</v>
      </c>
      <c r="S1055" s="12">
        <f>_xlfn.XLOOKUP(B1055,[1]Sheet1!$B:$B,[1]Sheet1!$V:$V,0)</f>
        <v>268149.3</v>
      </c>
      <c r="T1055" s="12">
        <f>_xlfn.XLOOKUP(B1055,[1]Sheet1!$B:$B,[1]Sheet1!$W:$W,0)</f>
        <v>268149.3</v>
      </c>
      <c r="U1055" s="12">
        <f>_xlfn.XLOOKUP(B1055,[1]Sheet1!$B:$B,[1]Sheet1!$X:$X,0)</f>
        <v>268149.3</v>
      </c>
      <c r="V1055" s="12">
        <f>_xlfn.XLOOKUP(B1055,[1]Sheet1!$B:$B,[1]Sheet1!$Y:$Y,0)</f>
        <v>268149.3</v>
      </c>
      <c r="W1055" s="12">
        <f t="shared" si="35"/>
        <v>2413343.6999999997</v>
      </c>
      <c r="X1055" s="8" t="s">
        <v>1359</v>
      </c>
      <c r="Y1055" s="8" t="s">
        <v>319</v>
      </c>
      <c r="Z1055" s="8" t="s">
        <v>320</v>
      </c>
      <c r="AA1055" s="8" t="s">
        <v>151</v>
      </c>
      <c r="AB1055" s="8" t="s">
        <v>327</v>
      </c>
      <c r="AC1055" s="8" t="s">
        <v>37</v>
      </c>
      <c r="AD1055" s="8" t="s">
        <v>342</v>
      </c>
      <c r="AE1055" s="8" t="s">
        <v>39</v>
      </c>
      <c r="AF1055" s="8" t="s">
        <v>40</v>
      </c>
      <c r="AG1055" s="9">
        <v>2413345</v>
      </c>
      <c r="AH1055" s="11">
        <f>_xlfn.XLOOKUP(B1055,[1]Sheet1!$B:$B,[1]Sheet1!$AB:$AB,0)</f>
        <v>2413343.6999999997</v>
      </c>
    </row>
    <row r="1056" spans="2:34" ht="16.8" thickTop="1" thickBot="1" x14ac:dyDescent="0.35">
      <c r="B1056" s="3" t="str">
        <f t="shared" si="34"/>
        <v>45131304511001369Celebrities-L422511201931</v>
      </c>
      <c r="C1056" s="6" t="s">
        <v>321</v>
      </c>
      <c r="D1056" s="6" t="s">
        <v>1617</v>
      </c>
      <c r="E1056" s="6" t="s">
        <v>1618</v>
      </c>
      <c r="F1056" s="6" t="s">
        <v>1585</v>
      </c>
      <c r="G1056" s="4" t="s">
        <v>2819</v>
      </c>
      <c r="H1056" s="4" t="s">
        <v>2925</v>
      </c>
      <c r="I1056" s="6" t="s">
        <v>151</v>
      </c>
      <c r="J1056" s="6" t="s">
        <v>31</v>
      </c>
      <c r="K1056" s="12">
        <f>_xlfn.XLOOKUP(B1056,[1]Sheet1!$B:$B,[1]Sheet1!$N:$N,0)</f>
        <v>0</v>
      </c>
      <c r="L1056" s="12">
        <f>_xlfn.XLOOKUP(B1056,[1]Sheet1!$B:$B,[1]Sheet1!$O:$O,0)</f>
        <v>0</v>
      </c>
      <c r="M1056" s="12">
        <f>_xlfn.XLOOKUP(B1056,[1]Sheet1!$B:$B,[1]Sheet1!$P:$P,0)</f>
        <v>0</v>
      </c>
      <c r="N1056" s="12">
        <f>_xlfn.XLOOKUP(B1056,[1]Sheet1!$B:$B,[1]Sheet1!$Q:$Q,0)</f>
        <v>0</v>
      </c>
      <c r="O1056" s="12">
        <f>_xlfn.XLOOKUP(B1056,[1]Sheet1!$B:$B,[1]Sheet1!$R:$R,0)</f>
        <v>0</v>
      </c>
      <c r="P1056" s="12">
        <f>_xlfn.XLOOKUP(B1056,[1]Sheet1!$B:$B,[1]Sheet1!$S:$S,0)</f>
        <v>0</v>
      </c>
      <c r="Q1056" s="12">
        <f>_xlfn.XLOOKUP(B1056,[1]Sheet1!$B:$B,[1]Sheet1!$T:$T,0)</f>
        <v>0</v>
      </c>
      <c r="R1056" s="12">
        <f>_xlfn.XLOOKUP(B1056,[1]Sheet1!$B:$B,[1]Sheet1!$U:$U,0)</f>
        <v>0</v>
      </c>
      <c r="S1056" s="12">
        <f>_xlfn.XLOOKUP(B1056,[1]Sheet1!$B:$B,[1]Sheet1!$V:$V,0)</f>
        <v>0</v>
      </c>
      <c r="T1056" s="12">
        <f>_xlfn.XLOOKUP(B1056,[1]Sheet1!$B:$B,[1]Sheet1!$W:$W,0)</f>
        <v>2195027</v>
      </c>
      <c r="U1056" s="12">
        <f>_xlfn.XLOOKUP(B1056,[1]Sheet1!$B:$B,[1]Sheet1!$X:$X,0)</f>
        <v>0</v>
      </c>
      <c r="V1056" s="12">
        <f>_xlfn.XLOOKUP(B1056,[1]Sheet1!$B:$B,[1]Sheet1!$Y:$Y,0)</f>
        <v>0</v>
      </c>
      <c r="W1056" s="12">
        <f t="shared" si="35"/>
        <v>2195027</v>
      </c>
      <c r="X1056" s="6" t="s">
        <v>1359</v>
      </c>
      <c r="Y1056" s="6" t="s">
        <v>319</v>
      </c>
      <c r="Z1056" s="6" t="s">
        <v>320</v>
      </c>
      <c r="AA1056" s="6" t="s">
        <v>151</v>
      </c>
      <c r="AB1056" s="6" t="s">
        <v>327</v>
      </c>
      <c r="AC1056" s="6" t="s">
        <v>37</v>
      </c>
      <c r="AD1056" s="6" t="s">
        <v>342</v>
      </c>
      <c r="AE1056" s="6" t="s">
        <v>39</v>
      </c>
      <c r="AF1056" s="6" t="s">
        <v>40</v>
      </c>
      <c r="AG1056" s="7">
        <v>2195027</v>
      </c>
      <c r="AH1056" s="11">
        <f>_xlfn.XLOOKUP(B1056,[1]Sheet1!$B:$B,[1]Sheet1!$AB:$AB,0)</f>
        <v>2195027</v>
      </c>
    </row>
    <row r="1057" spans="2:34" ht="16.8" thickTop="1" thickBot="1" x14ac:dyDescent="0.35">
      <c r="B1057" s="3" t="str">
        <f t="shared" si="34"/>
        <v>45131304511001370Offline Ads-L422511201931</v>
      </c>
      <c r="C1057" s="8" t="s">
        <v>321</v>
      </c>
      <c r="D1057" s="8" t="s">
        <v>1619</v>
      </c>
      <c r="E1057" s="8" t="s">
        <v>1620</v>
      </c>
      <c r="F1057" s="8" t="s">
        <v>1592</v>
      </c>
      <c r="G1057" s="4" t="s">
        <v>2819</v>
      </c>
      <c r="H1057" s="4" t="s">
        <v>2925</v>
      </c>
      <c r="I1057" s="8" t="s">
        <v>151</v>
      </c>
      <c r="J1057" s="8" t="s">
        <v>31</v>
      </c>
      <c r="K1057" s="12">
        <f>_xlfn.XLOOKUP(B1057,[1]Sheet1!$B:$B,[1]Sheet1!$N:$N,0)</f>
        <v>0</v>
      </c>
      <c r="L1057" s="12">
        <f>_xlfn.XLOOKUP(B1057,[1]Sheet1!$B:$B,[1]Sheet1!$O:$O,0)</f>
        <v>0</v>
      </c>
      <c r="M1057" s="12">
        <f>_xlfn.XLOOKUP(B1057,[1]Sheet1!$B:$B,[1]Sheet1!$P:$P,0)</f>
        <v>0</v>
      </c>
      <c r="N1057" s="12">
        <f>_xlfn.XLOOKUP(B1057,[1]Sheet1!$B:$B,[1]Sheet1!$Q:$Q,0)</f>
        <v>799165.60000000009</v>
      </c>
      <c r="O1057" s="12">
        <f>_xlfn.XLOOKUP(B1057,[1]Sheet1!$B:$B,[1]Sheet1!$R:$R,0)</f>
        <v>0</v>
      </c>
      <c r="P1057" s="12">
        <f>_xlfn.XLOOKUP(B1057,[1]Sheet1!$B:$B,[1]Sheet1!$S:$S,0)</f>
        <v>0</v>
      </c>
      <c r="Q1057" s="12">
        <f>_xlfn.XLOOKUP(B1057,[1]Sheet1!$B:$B,[1]Sheet1!$T:$T,0)</f>
        <v>0</v>
      </c>
      <c r="R1057" s="12">
        <f>_xlfn.XLOOKUP(B1057,[1]Sheet1!$B:$B,[1]Sheet1!$U:$U,0)</f>
        <v>199791.40000000002</v>
      </c>
      <c r="S1057" s="12">
        <f>_xlfn.XLOOKUP(B1057,[1]Sheet1!$B:$B,[1]Sheet1!$V:$V,0)</f>
        <v>199791.40000000002</v>
      </c>
      <c r="T1057" s="12">
        <f>_xlfn.XLOOKUP(B1057,[1]Sheet1!$B:$B,[1]Sheet1!$W:$W,0)</f>
        <v>199791.40000000002</v>
      </c>
      <c r="U1057" s="12">
        <f>_xlfn.XLOOKUP(B1057,[1]Sheet1!$B:$B,[1]Sheet1!$X:$X,0)</f>
        <v>199791.40000000002</v>
      </c>
      <c r="V1057" s="12">
        <f>_xlfn.XLOOKUP(B1057,[1]Sheet1!$B:$B,[1]Sheet1!$Y:$Y,0)</f>
        <v>199791.40000000002</v>
      </c>
      <c r="W1057" s="12">
        <f t="shared" si="35"/>
        <v>1798122.6</v>
      </c>
      <c r="X1057" s="8" t="s">
        <v>1359</v>
      </c>
      <c r="Y1057" s="8" t="s">
        <v>319</v>
      </c>
      <c r="Z1057" s="8" t="s">
        <v>320</v>
      </c>
      <c r="AA1057" s="8" t="s">
        <v>151</v>
      </c>
      <c r="AB1057" s="8" t="s">
        <v>327</v>
      </c>
      <c r="AC1057" s="8" t="s">
        <v>37</v>
      </c>
      <c r="AD1057" s="8" t="s">
        <v>342</v>
      </c>
      <c r="AE1057" s="8" t="s">
        <v>39</v>
      </c>
      <c r="AF1057" s="8" t="s">
        <v>40</v>
      </c>
      <c r="AG1057" s="9">
        <v>1798123</v>
      </c>
      <c r="AH1057" s="11">
        <f>_xlfn.XLOOKUP(B1057,[1]Sheet1!$B:$B,[1]Sheet1!$AB:$AB,0)</f>
        <v>1798122.6</v>
      </c>
    </row>
    <row r="1058" spans="2:34" ht="16.8" thickTop="1" thickBot="1" x14ac:dyDescent="0.35">
      <c r="B1058" s="3" t="str">
        <f t="shared" si="34"/>
        <v>45131304511001371Media Mgmnt &amp;Buy-L422511201931</v>
      </c>
      <c r="C1058" s="6" t="s">
        <v>321</v>
      </c>
      <c r="D1058" s="6" t="s">
        <v>1621</v>
      </c>
      <c r="E1058" s="6" t="s">
        <v>1622</v>
      </c>
      <c r="F1058" s="6" t="s">
        <v>559</v>
      </c>
      <c r="G1058" s="4" t="s">
        <v>2819</v>
      </c>
      <c r="H1058" s="4" t="s">
        <v>2925</v>
      </c>
      <c r="I1058" s="6" t="s">
        <v>151</v>
      </c>
      <c r="J1058" s="6" t="s">
        <v>31</v>
      </c>
      <c r="K1058" s="12">
        <f>_xlfn.XLOOKUP(B1058,[1]Sheet1!$B:$B,[1]Sheet1!$N:$N,0)</f>
        <v>0</v>
      </c>
      <c r="L1058" s="12">
        <f>_xlfn.XLOOKUP(B1058,[1]Sheet1!$B:$B,[1]Sheet1!$O:$O,0)</f>
        <v>0</v>
      </c>
      <c r="M1058" s="12">
        <f>_xlfn.XLOOKUP(B1058,[1]Sheet1!$B:$B,[1]Sheet1!$P:$P,0)</f>
        <v>0</v>
      </c>
      <c r="N1058" s="12">
        <f>_xlfn.XLOOKUP(B1058,[1]Sheet1!$B:$B,[1]Sheet1!$Q:$Q,0)</f>
        <v>0</v>
      </c>
      <c r="O1058" s="12">
        <f>_xlfn.XLOOKUP(B1058,[1]Sheet1!$B:$B,[1]Sheet1!$R:$R,0)</f>
        <v>0</v>
      </c>
      <c r="P1058" s="12">
        <f>_xlfn.XLOOKUP(B1058,[1]Sheet1!$B:$B,[1]Sheet1!$S:$S,0)</f>
        <v>0</v>
      </c>
      <c r="Q1058" s="12">
        <f>_xlfn.XLOOKUP(B1058,[1]Sheet1!$B:$B,[1]Sheet1!$T:$T,0)</f>
        <v>0</v>
      </c>
      <c r="R1058" s="12">
        <f>_xlfn.XLOOKUP(B1058,[1]Sheet1!$B:$B,[1]Sheet1!$U:$U,0)</f>
        <v>0</v>
      </c>
      <c r="S1058" s="12">
        <f>_xlfn.XLOOKUP(B1058,[1]Sheet1!$B:$B,[1]Sheet1!$V:$V,0)</f>
        <v>0</v>
      </c>
      <c r="T1058" s="12">
        <f>_xlfn.XLOOKUP(B1058,[1]Sheet1!$B:$B,[1]Sheet1!$W:$W,0)</f>
        <v>0</v>
      </c>
      <c r="U1058" s="12">
        <f>_xlfn.XLOOKUP(B1058,[1]Sheet1!$B:$B,[1]Sheet1!$X:$X,0)</f>
        <v>81579.792055720347</v>
      </c>
      <c r="V1058" s="12">
        <f>_xlfn.XLOOKUP(B1058,[1]Sheet1!$B:$B,[1]Sheet1!$Y:$Y,0)</f>
        <v>54386.528037146898</v>
      </c>
      <c r="W1058" s="12">
        <f t="shared" si="35"/>
        <v>135966.32009286724</v>
      </c>
      <c r="X1058" s="6" t="s">
        <v>1359</v>
      </c>
      <c r="Y1058" s="6" t="s">
        <v>319</v>
      </c>
      <c r="Z1058" s="6" t="s">
        <v>320</v>
      </c>
      <c r="AA1058" s="6" t="s">
        <v>151</v>
      </c>
      <c r="AB1058" s="6" t="s">
        <v>327</v>
      </c>
      <c r="AC1058" s="6" t="s">
        <v>37</v>
      </c>
      <c r="AD1058" s="6" t="s">
        <v>342</v>
      </c>
      <c r="AE1058" s="6" t="s">
        <v>39</v>
      </c>
      <c r="AF1058" s="6" t="s">
        <v>40</v>
      </c>
      <c r="AG1058" s="7">
        <v>135966</v>
      </c>
      <c r="AH1058" s="11">
        <f>_xlfn.XLOOKUP(B1058,[1]Sheet1!$B:$B,[1]Sheet1!$AB:$AB,0)</f>
        <v>135966.32009286724</v>
      </c>
    </row>
    <row r="1059" spans="2:34" ht="16.8" thickTop="1" thickBot="1" x14ac:dyDescent="0.35">
      <c r="B1059" s="3" t="str">
        <f t="shared" si="34"/>
        <v>45131104511001372Activation&amp;Prog-N422401200104</v>
      </c>
      <c r="C1059" s="8" t="s">
        <v>348</v>
      </c>
      <c r="D1059" s="8" t="s">
        <v>1623</v>
      </c>
      <c r="E1059" s="8" t="s">
        <v>1624</v>
      </c>
      <c r="F1059" s="8" t="s">
        <v>62</v>
      </c>
      <c r="G1059" s="4" t="s">
        <v>2807</v>
      </c>
      <c r="H1059" s="4" t="s">
        <v>2922</v>
      </c>
      <c r="I1059" s="8" t="s">
        <v>63</v>
      </c>
      <c r="J1059" s="8" t="s">
        <v>31</v>
      </c>
      <c r="K1059" s="12">
        <f>_xlfn.XLOOKUP(B1059,[1]Sheet1!$B:$B,[1]Sheet1!$N:$N,0)</f>
        <v>0</v>
      </c>
      <c r="L1059" s="12">
        <f>_xlfn.XLOOKUP(B1059,[1]Sheet1!$B:$B,[1]Sheet1!$O:$O,0)</f>
        <v>0</v>
      </c>
      <c r="M1059" s="12">
        <f>_xlfn.XLOOKUP(B1059,[1]Sheet1!$B:$B,[1]Sheet1!$P:$P,0)</f>
        <v>0</v>
      </c>
      <c r="N1059" s="12">
        <f>_xlfn.XLOOKUP(B1059,[1]Sheet1!$B:$B,[1]Sheet1!$Q:$Q,0)</f>
        <v>0</v>
      </c>
      <c r="O1059" s="12">
        <f>_xlfn.XLOOKUP(B1059,[1]Sheet1!$B:$B,[1]Sheet1!$R:$R,0)</f>
        <v>250000</v>
      </c>
      <c r="P1059" s="12">
        <f>_xlfn.XLOOKUP(B1059,[1]Sheet1!$B:$B,[1]Sheet1!$S:$S,0)</f>
        <v>0</v>
      </c>
      <c r="Q1059" s="12">
        <f>_xlfn.XLOOKUP(B1059,[1]Sheet1!$B:$B,[1]Sheet1!$T:$T,0)</f>
        <v>0</v>
      </c>
      <c r="R1059" s="12">
        <f>_xlfn.XLOOKUP(B1059,[1]Sheet1!$B:$B,[1]Sheet1!$U:$U,0)</f>
        <v>250000</v>
      </c>
      <c r="S1059" s="12">
        <f>_xlfn.XLOOKUP(B1059,[1]Sheet1!$B:$B,[1]Sheet1!$V:$V,0)</f>
        <v>250000</v>
      </c>
      <c r="T1059" s="12">
        <f>_xlfn.XLOOKUP(B1059,[1]Sheet1!$B:$B,[1]Sheet1!$W:$W,0)</f>
        <v>500000</v>
      </c>
      <c r="U1059" s="12">
        <f>_xlfn.XLOOKUP(B1059,[1]Sheet1!$B:$B,[1]Sheet1!$X:$X,0)</f>
        <v>500000</v>
      </c>
      <c r="V1059" s="12">
        <f>_xlfn.XLOOKUP(B1059,[1]Sheet1!$B:$B,[1]Sheet1!$Y:$Y,0)</f>
        <v>250000</v>
      </c>
      <c r="W1059" s="12">
        <f t="shared" si="35"/>
        <v>2000000</v>
      </c>
      <c r="X1059" s="8" t="s">
        <v>1625</v>
      </c>
      <c r="Y1059" s="8" t="s">
        <v>319</v>
      </c>
      <c r="Z1059" s="8" t="s">
        <v>347</v>
      </c>
      <c r="AA1059" s="8" t="s">
        <v>68</v>
      </c>
      <c r="AB1059" s="8" t="s">
        <v>36</v>
      </c>
      <c r="AC1059" s="8" t="s">
        <v>37</v>
      </c>
      <c r="AD1059" s="8" t="s">
        <v>322</v>
      </c>
      <c r="AE1059" s="8" t="s">
        <v>39</v>
      </c>
      <c r="AF1059" s="8" t="s">
        <v>40</v>
      </c>
      <c r="AG1059" s="9">
        <v>2000000</v>
      </c>
      <c r="AH1059" s="11">
        <f>_xlfn.XLOOKUP(B1059,[1]Sheet1!$B:$B,[1]Sheet1!$AB:$AB,0)</f>
        <v>2000000</v>
      </c>
    </row>
    <row r="1060" spans="2:34" ht="16.8" thickTop="1" thickBot="1" x14ac:dyDescent="0.35">
      <c r="B1060" s="3" t="str">
        <f t="shared" si="34"/>
        <v>45131304511001373Media Mgmnt &amp;Buy-L422511201931</v>
      </c>
      <c r="C1060" s="6" t="s">
        <v>321</v>
      </c>
      <c r="D1060" s="6" t="s">
        <v>1626</v>
      </c>
      <c r="E1060" s="6" t="s">
        <v>1627</v>
      </c>
      <c r="F1060" s="6" t="s">
        <v>559</v>
      </c>
      <c r="G1060" s="4" t="s">
        <v>2819</v>
      </c>
      <c r="H1060" s="4" t="s">
        <v>2925</v>
      </c>
      <c r="I1060" s="6" t="s">
        <v>151</v>
      </c>
      <c r="J1060" s="6" t="s">
        <v>31</v>
      </c>
      <c r="K1060" s="12">
        <f>_xlfn.XLOOKUP(B1060,[1]Sheet1!$B:$B,[1]Sheet1!$N:$N,0)</f>
        <v>0</v>
      </c>
      <c r="L1060" s="12">
        <f>_xlfn.XLOOKUP(B1060,[1]Sheet1!$B:$B,[1]Sheet1!$O:$O,0)</f>
        <v>0</v>
      </c>
      <c r="M1060" s="12">
        <f>_xlfn.XLOOKUP(B1060,[1]Sheet1!$B:$B,[1]Sheet1!$P:$P,0)</f>
        <v>0</v>
      </c>
      <c r="N1060" s="12">
        <f>_xlfn.XLOOKUP(B1060,[1]Sheet1!$B:$B,[1]Sheet1!$Q:$Q,0)</f>
        <v>0</v>
      </c>
      <c r="O1060" s="12">
        <f>_xlfn.XLOOKUP(B1060,[1]Sheet1!$B:$B,[1]Sheet1!$R:$R,0)</f>
        <v>0</v>
      </c>
      <c r="P1060" s="12">
        <f>_xlfn.XLOOKUP(B1060,[1]Sheet1!$B:$B,[1]Sheet1!$S:$S,0)</f>
        <v>0</v>
      </c>
      <c r="Q1060" s="12">
        <f>_xlfn.XLOOKUP(B1060,[1]Sheet1!$B:$B,[1]Sheet1!$T:$T,0)</f>
        <v>0</v>
      </c>
      <c r="R1060" s="12">
        <f>_xlfn.XLOOKUP(B1060,[1]Sheet1!$B:$B,[1]Sheet1!$U:$U,0)</f>
        <v>0</v>
      </c>
      <c r="S1060" s="12">
        <f>_xlfn.XLOOKUP(B1060,[1]Sheet1!$B:$B,[1]Sheet1!$V:$V,0)</f>
        <v>0</v>
      </c>
      <c r="T1060" s="12">
        <f>_xlfn.XLOOKUP(B1060,[1]Sheet1!$B:$B,[1]Sheet1!$W:$W,0)</f>
        <v>879552.17682778463</v>
      </c>
      <c r="U1060" s="12">
        <f>_xlfn.XLOOKUP(B1060,[1]Sheet1!$B:$B,[1]Sheet1!$X:$X,0)</f>
        <v>527731.3060966708</v>
      </c>
      <c r="V1060" s="12">
        <f>_xlfn.XLOOKUP(B1060,[1]Sheet1!$B:$B,[1]Sheet1!$Y:$Y,0)</f>
        <v>351820.87073111389</v>
      </c>
      <c r="W1060" s="12">
        <f t="shared" si="35"/>
        <v>1759104.3536555693</v>
      </c>
      <c r="X1060" s="6" t="s">
        <v>1359</v>
      </c>
      <c r="Y1060" s="6" t="s">
        <v>319</v>
      </c>
      <c r="Z1060" s="6" t="s">
        <v>320</v>
      </c>
      <c r="AA1060" s="6" t="s">
        <v>151</v>
      </c>
      <c r="AB1060" s="6" t="s">
        <v>327</v>
      </c>
      <c r="AC1060" s="6" t="s">
        <v>37</v>
      </c>
      <c r="AD1060" s="6" t="s">
        <v>342</v>
      </c>
      <c r="AE1060" s="6" t="s">
        <v>39</v>
      </c>
      <c r="AF1060" s="6" t="s">
        <v>40</v>
      </c>
      <c r="AG1060" s="7">
        <v>1759105</v>
      </c>
      <c r="AH1060" s="11">
        <f>_xlfn.XLOOKUP(B1060,[1]Sheet1!$B:$B,[1]Sheet1!$AB:$AB,0)</f>
        <v>1759104.3536555693</v>
      </c>
    </row>
    <row r="1061" spans="2:34" ht="16.8" thickTop="1" thickBot="1" x14ac:dyDescent="0.35">
      <c r="B1061" s="3" t="str">
        <f t="shared" si="34"/>
        <v>45113004511001379Research&amp;Survey-N423411200104</v>
      </c>
      <c r="C1061" s="8" t="s">
        <v>288</v>
      </c>
      <c r="D1061" s="8" t="s">
        <v>1628</v>
      </c>
      <c r="E1061" s="8" t="s">
        <v>1629</v>
      </c>
      <c r="F1061" s="8" t="s">
        <v>381</v>
      </c>
      <c r="G1061" s="4" t="s">
        <v>2833</v>
      </c>
      <c r="H1061" s="4" t="s">
        <v>2922</v>
      </c>
      <c r="I1061" s="8" t="s">
        <v>330</v>
      </c>
      <c r="J1061" s="8" t="s">
        <v>31</v>
      </c>
      <c r="K1061" s="12">
        <f>_xlfn.XLOOKUP(B1061,[1]Sheet1!$B:$B,[1]Sheet1!$N:$N,0)</f>
        <v>0</v>
      </c>
      <c r="L1061" s="12">
        <f>_xlfn.XLOOKUP(B1061,[1]Sheet1!$B:$B,[1]Sheet1!$O:$O,0)</f>
        <v>0</v>
      </c>
      <c r="M1061" s="12">
        <f>_xlfn.XLOOKUP(B1061,[1]Sheet1!$B:$B,[1]Sheet1!$P:$P,0)</f>
        <v>0</v>
      </c>
      <c r="N1061" s="12">
        <f>_xlfn.XLOOKUP(B1061,[1]Sheet1!$B:$B,[1]Sheet1!$Q:$Q,0)</f>
        <v>229188</v>
      </c>
      <c r="O1061" s="12">
        <f>_xlfn.XLOOKUP(B1061,[1]Sheet1!$B:$B,[1]Sheet1!$R:$R,0)</f>
        <v>317056</v>
      </c>
      <c r="P1061" s="12">
        <f>_xlfn.XLOOKUP(B1061,[1]Sheet1!$B:$B,[1]Sheet1!$S:$S,0)</f>
        <v>796378</v>
      </c>
      <c r="Q1061" s="12">
        <f>_xlfn.XLOOKUP(B1061,[1]Sheet1!$B:$B,[1]Sheet1!$T:$T,0)</f>
        <v>317056</v>
      </c>
      <c r="R1061" s="12">
        <f>_xlfn.XLOOKUP(B1061,[1]Sheet1!$B:$B,[1]Sheet1!$U:$U,0)</f>
        <v>382008</v>
      </c>
      <c r="S1061" s="12">
        <f>_xlfn.XLOOKUP(B1061,[1]Sheet1!$B:$B,[1]Sheet1!$V:$V,0)</f>
        <v>1312528</v>
      </c>
      <c r="T1061" s="12">
        <f>_xlfn.XLOOKUP(B1061,[1]Sheet1!$B:$B,[1]Sheet1!$W:$W,0)</f>
        <v>892836</v>
      </c>
      <c r="U1061" s="12">
        <f>_xlfn.XLOOKUP(B1061,[1]Sheet1!$B:$B,[1]Sheet1!$X:$X,0)</f>
        <v>1221614</v>
      </c>
      <c r="V1061" s="12">
        <f>_xlfn.XLOOKUP(B1061,[1]Sheet1!$B:$B,[1]Sheet1!$Y:$Y,0)</f>
        <v>398189</v>
      </c>
      <c r="W1061" s="12">
        <f t="shared" si="35"/>
        <v>5866853</v>
      </c>
      <c r="X1061" s="8" t="s">
        <v>794</v>
      </c>
      <c r="Y1061" s="8" t="s">
        <v>65</v>
      </c>
      <c r="Z1061" s="8" t="s">
        <v>287</v>
      </c>
      <c r="AA1061" s="8" t="s">
        <v>330</v>
      </c>
      <c r="AB1061" s="8" t="s">
        <v>36</v>
      </c>
      <c r="AC1061" s="8" t="s">
        <v>37</v>
      </c>
      <c r="AD1061" s="8" t="s">
        <v>126</v>
      </c>
      <c r="AE1061" s="8" t="s">
        <v>39</v>
      </c>
      <c r="AF1061" s="8" t="s">
        <v>40</v>
      </c>
      <c r="AG1061" s="9">
        <v>4370395.9400000004</v>
      </c>
      <c r="AH1061" s="11">
        <f>_xlfn.XLOOKUP(B1061,[1]Sheet1!$B:$B,[1]Sheet1!$AB:$AB,0)</f>
        <v>4370395.9399999995</v>
      </c>
    </row>
    <row r="1062" spans="2:34" ht="16.8" thickTop="1" thickBot="1" x14ac:dyDescent="0.35">
      <c r="B1062" s="3" t="str">
        <f t="shared" si="34"/>
        <v>45110104511001380Sponsership - N1462616502026</v>
      </c>
      <c r="C1062" s="6" t="s">
        <v>268</v>
      </c>
      <c r="D1062" s="6" t="s">
        <v>1630</v>
      </c>
      <c r="E1062" s="6" t="s">
        <v>1631</v>
      </c>
      <c r="F1062" s="6" t="s">
        <v>1632</v>
      </c>
      <c r="G1062" s="4" t="s">
        <v>2874</v>
      </c>
      <c r="H1062" s="4" t="s">
        <v>2933</v>
      </c>
      <c r="I1062" s="6" t="s">
        <v>1633</v>
      </c>
      <c r="J1062" s="6" t="s">
        <v>31</v>
      </c>
      <c r="K1062" s="12">
        <f>_xlfn.XLOOKUP(B1062,[1]Sheet1!$B:$B,[1]Sheet1!$N:$N,0)</f>
        <v>0</v>
      </c>
      <c r="L1062" s="12">
        <f>_xlfn.XLOOKUP(B1062,[1]Sheet1!$B:$B,[1]Sheet1!$O:$O,0)</f>
        <v>0</v>
      </c>
      <c r="M1062" s="12">
        <f>_xlfn.XLOOKUP(B1062,[1]Sheet1!$B:$B,[1]Sheet1!$P:$P,0)</f>
        <v>0</v>
      </c>
      <c r="N1062" s="12">
        <f>_xlfn.XLOOKUP(B1062,[1]Sheet1!$B:$B,[1]Sheet1!$Q:$Q,0)</f>
        <v>0</v>
      </c>
      <c r="O1062" s="12">
        <f>_xlfn.XLOOKUP(B1062,[1]Sheet1!$B:$B,[1]Sheet1!$R:$R,0)</f>
        <v>0</v>
      </c>
      <c r="P1062" s="12">
        <f>_xlfn.XLOOKUP(B1062,[1]Sheet1!$B:$B,[1]Sheet1!$S:$S,0)</f>
        <v>0</v>
      </c>
      <c r="Q1062" s="12">
        <f>_xlfn.XLOOKUP(B1062,[1]Sheet1!$B:$B,[1]Sheet1!$T:$T,0)</f>
        <v>0</v>
      </c>
      <c r="R1062" s="12">
        <f>_xlfn.XLOOKUP(B1062,[1]Sheet1!$B:$B,[1]Sheet1!$U:$U,0)</f>
        <v>0</v>
      </c>
      <c r="S1062" s="12">
        <f>_xlfn.XLOOKUP(B1062,[1]Sheet1!$B:$B,[1]Sheet1!$V:$V,0)</f>
        <v>0</v>
      </c>
      <c r="T1062" s="12">
        <f>_xlfn.XLOOKUP(B1062,[1]Sheet1!$B:$B,[1]Sheet1!$W:$W,0)</f>
        <v>0</v>
      </c>
      <c r="U1062" s="12">
        <f>_xlfn.XLOOKUP(B1062,[1]Sheet1!$B:$B,[1]Sheet1!$X:$X,0)</f>
        <v>0</v>
      </c>
      <c r="V1062" s="12">
        <f>_xlfn.XLOOKUP(B1062,[1]Sheet1!$B:$B,[1]Sheet1!$Y:$Y,0)</f>
        <v>0</v>
      </c>
      <c r="W1062" s="12">
        <f t="shared" si="35"/>
        <v>0</v>
      </c>
      <c r="X1062" s="6" t="s">
        <v>1634</v>
      </c>
      <c r="Y1062" s="6" t="s">
        <v>65</v>
      </c>
      <c r="Z1062" s="6" t="s">
        <v>267</v>
      </c>
      <c r="AA1062" s="6" t="s">
        <v>1635</v>
      </c>
      <c r="AB1062" s="6" t="s">
        <v>1636</v>
      </c>
      <c r="AC1062" s="6" t="s">
        <v>1637</v>
      </c>
      <c r="AD1062" s="6" t="s">
        <v>38</v>
      </c>
      <c r="AE1062" s="6" t="s">
        <v>39</v>
      </c>
      <c r="AF1062" s="6" t="s">
        <v>40</v>
      </c>
      <c r="AG1062" s="7">
        <v>20163000</v>
      </c>
      <c r="AH1062" s="11">
        <f>_xlfn.XLOOKUP(B1062,[1]Sheet1!$B:$B,[1]Sheet1!$AB:$AB,0)</f>
        <v>0</v>
      </c>
    </row>
    <row r="1063" spans="2:34" ht="16.8" thickTop="1" thickBot="1" x14ac:dyDescent="0.35">
      <c r="B1063" s="3" t="str">
        <f t="shared" si="34"/>
        <v>45110104511001391Gov. Grant - N462611402025</v>
      </c>
      <c r="C1063" s="8" t="s">
        <v>268</v>
      </c>
      <c r="D1063" s="8" t="s">
        <v>1638</v>
      </c>
      <c r="E1063" s="8" t="s">
        <v>1639</v>
      </c>
      <c r="F1063" s="8" t="s">
        <v>1640</v>
      </c>
      <c r="G1063" s="4" t="s">
        <v>2875</v>
      </c>
      <c r="H1063" s="4" t="s">
        <v>2934</v>
      </c>
      <c r="I1063" s="8" t="s">
        <v>1641</v>
      </c>
      <c r="J1063" s="8" t="s">
        <v>31</v>
      </c>
      <c r="K1063" s="12">
        <f>_xlfn.XLOOKUP(B1063,[1]Sheet1!$B:$B,[1]Sheet1!$N:$N,0)</f>
        <v>0</v>
      </c>
      <c r="L1063" s="12">
        <f>_xlfn.XLOOKUP(B1063,[1]Sheet1!$B:$B,[1]Sheet1!$O:$O,0)</f>
        <v>0</v>
      </c>
      <c r="M1063" s="12">
        <f>_xlfn.XLOOKUP(B1063,[1]Sheet1!$B:$B,[1]Sheet1!$P:$P,0)</f>
        <v>0</v>
      </c>
      <c r="N1063" s="12">
        <f>_xlfn.XLOOKUP(B1063,[1]Sheet1!$B:$B,[1]Sheet1!$Q:$Q,0)</f>
        <v>0</v>
      </c>
      <c r="O1063" s="12">
        <f>_xlfn.XLOOKUP(B1063,[1]Sheet1!$B:$B,[1]Sheet1!$R:$R,0)</f>
        <v>0</v>
      </c>
      <c r="P1063" s="12">
        <f>_xlfn.XLOOKUP(B1063,[1]Sheet1!$B:$B,[1]Sheet1!$S:$S,0)</f>
        <v>0</v>
      </c>
      <c r="Q1063" s="12">
        <f>_xlfn.XLOOKUP(B1063,[1]Sheet1!$B:$B,[1]Sheet1!$T:$T,0)</f>
        <v>0</v>
      </c>
      <c r="R1063" s="12">
        <f>_xlfn.XLOOKUP(B1063,[1]Sheet1!$B:$B,[1]Sheet1!$U:$U,0)</f>
        <v>0</v>
      </c>
      <c r="S1063" s="12">
        <f>_xlfn.XLOOKUP(B1063,[1]Sheet1!$B:$B,[1]Sheet1!$V:$V,0)</f>
        <v>0</v>
      </c>
      <c r="T1063" s="12">
        <f>_xlfn.XLOOKUP(B1063,[1]Sheet1!$B:$B,[1]Sheet1!$W:$W,0)</f>
        <v>0</v>
      </c>
      <c r="U1063" s="12">
        <f>_xlfn.XLOOKUP(B1063,[1]Sheet1!$B:$B,[1]Sheet1!$X:$X,0)</f>
        <v>0</v>
      </c>
      <c r="V1063" s="12">
        <f>_xlfn.XLOOKUP(B1063,[1]Sheet1!$B:$B,[1]Sheet1!$Y:$Y,0)</f>
        <v>0</v>
      </c>
      <c r="W1063" s="12">
        <f t="shared" si="35"/>
        <v>0</v>
      </c>
      <c r="X1063" s="8" t="s">
        <v>1642</v>
      </c>
      <c r="Y1063" s="8" t="s">
        <v>65</v>
      </c>
      <c r="Z1063" s="8" t="s">
        <v>267</v>
      </c>
      <c r="AA1063" s="8" t="s">
        <v>1643</v>
      </c>
      <c r="AB1063" s="8" t="s">
        <v>1644</v>
      </c>
      <c r="AC1063" s="8" t="s">
        <v>1645</v>
      </c>
      <c r="AD1063" s="8" t="s">
        <v>38</v>
      </c>
      <c r="AE1063" s="8" t="s">
        <v>39</v>
      </c>
      <c r="AF1063" s="8" t="s">
        <v>40</v>
      </c>
      <c r="AG1063" s="9">
        <v>5500000</v>
      </c>
      <c r="AH1063" s="11">
        <f>_xlfn.XLOOKUP(B1063,[1]Sheet1!$B:$B,[1]Sheet1!$AB:$AB,0)</f>
        <v>0</v>
      </c>
    </row>
    <row r="1064" spans="2:34" ht="16.8" thickTop="1" thickBot="1" x14ac:dyDescent="0.35">
      <c r="B1064" s="3" t="str">
        <f t="shared" si="34"/>
        <v>45110104511001394Admin Expenses-N1421125200104</v>
      </c>
      <c r="C1064" s="6" t="s">
        <v>268</v>
      </c>
      <c r="D1064" s="6" t="s">
        <v>1646</v>
      </c>
      <c r="E1064" s="6" t="s">
        <v>1647</v>
      </c>
      <c r="F1064" s="6" t="s">
        <v>73</v>
      </c>
      <c r="G1064" s="4" t="s">
        <v>2803</v>
      </c>
      <c r="H1064" s="4" t="s">
        <v>2922</v>
      </c>
      <c r="I1064" s="6" t="s">
        <v>44</v>
      </c>
      <c r="J1064" s="6" t="s">
        <v>31</v>
      </c>
      <c r="K1064" s="12">
        <f>_xlfn.XLOOKUP(B1064,[1]Sheet1!$B:$B,[1]Sheet1!$N:$N,0)</f>
        <v>0</v>
      </c>
      <c r="L1064" s="12">
        <f>_xlfn.XLOOKUP(B1064,[1]Sheet1!$B:$B,[1]Sheet1!$O:$O,0)</f>
        <v>0</v>
      </c>
      <c r="M1064" s="12">
        <f>_xlfn.XLOOKUP(B1064,[1]Sheet1!$B:$B,[1]Sheet1!$P:$P,0)</f>
        <v>0</v>
      </c>
      <c r="N1064" s="12">
        <f>_xlfn.XLOOKUP(B1064,[1]Sheet1!$B:$B,[1]Sheet1!$Q:$Q,0)</f>
        <v>0</v>
      </c>
      <c r="O1064" s="12">
        <f>_xlfn.XLOOKUP(B1064,[1]Sheet1!$B:$B,[1]Sheet1!$R:$R,0)</f>
        <v>0</v>
      </c>
      <c r="P1064" s="12">
        <f>_xlfn.XLOOKUP(B1064,[1]Sheet1!$B:$B,[1]Sheet1!$S:$S,0)</f>
        <v>0</v>
      </c>
      <c r="Q1064" s="12">
        <f>_xlfn.XLOOKUP(B1064,[1]Sheet1!$B:$B,[1]Sheet1!$T:$T,0)</f>
        <v>0</v>
      </c>
      <c r="R1064" s="12">
        <f>_xlfn.XLOOKUP(B1064,[1]Sheet1!$B:$B,[1]Sheet1!$U:$U,0)</f>
        <v>0</v>
      </c>
      <c r="S1064" s="12">
        <f>_xlfn.XLOOKUP(B1064,[1]Sheet1!$B:$B,[1]Sheet1!$V:$V,0)</f>
        <v>0</v>
      </c>
      <c r="T1064" s="12">
        <f>_xlfn.XLOOKUP(B1064,[1]Sheet1!$B:$B,[1]Sheet1!$W:$W,0)</f>
        <v>0</v>
      </c>
      <c r="U1064" s="12">
        <f>_xlfn.XLOOKUP(B1064,[1]Sheet1!$B:$B,[1]Sheet1!$X:$X,0)</f>
        <v>0</v>
      </c>
      <c r="V1064" s="12">
        <f>_xlfn.XLOOKUP(B1064,[1]Sheet1!$B:$B,[1]Sheet1!$Y:$Y,0)</f>
        <v>0</v>
      </c>
      <c r="W1064" s="12">
        <f t="shared" si="35"/>
        <v>0</v>
      </c>
      <c r="X1064" s="6" t="s">
        <v>1648</v>
      </c>
      <c r="Y1064" s="6" t="s">
        <v>65</v>
      </c>
      <c r="Z1064" s="6" t="s">
        <v>267</v>
      </c>
      <c r="AA1064" s="6" t="s">
        <v>44</v>
      </c>
      <c r="AB1064" s="6" t="s">
        <v>36</v>
      </c>
      <c r="AC1064" s="6" t="s">
        <v>37</v>
      </c>
      <c r="AD1064" s="6" t="s">
        <v>102</v>
      </c>
      <c r="AE1064" s="6" t="s">
        <v>39</v>
      </c>
      <c r="AF1064" s="6" t="s">
        <v>40</v>
      </c>
      <c r="AG1064" s="7">
        <v>300000</v>
      </c>
      <c r="AH1064" s="11">
        <f>_xlfn.XLOOKUP(B1064,[1]Sheet1!$B:$B,[1]Sheet1!$AB:$AB,0)</f>
        <v>300000</v>
      </c>
    </row>
    <row r="1065" spans="2:34" ht="16.8" thickTop="1" thickBot="1" x14ac:dyDescent="0.35">
      <c r="B1065" s="3" t="str">
        <f t="shared" si="34"/>
        <v>45110104511001394Event Management-N422401200104</v>
      </c>
      <c r="C1065" s="8" t="s">
        <v>268</v>
      </c>
      <c r="D1065" s="8" t="s">
        <v>1646</v>
      </c>
      <c r="E1065" s="8" t="s">
        <v>1647</v>
      </c>
      <c r="F1065" s="8" t="s">
        <v>162</v>
      </c>
      <c r="G1065" s="4" t="s">
        <v>2807</v>
      </c>
      <c r="H1065" s="4" t="s">
        <v>2922</v>
      </c>
      <c r="I1065" s="8" t="s">
        <v>63</v>
      </c>
      <c r="J1065" s="8" t="s">
        <v>31</v>
      </c>
      <c r="K1065" s="12">
        <f>_xlfn.XLOOKUP(B1065,[1]Sheet1!$B:$B,[1]Sheet1!$N:$N,0)</f>
        <v>0</v>
      </c>
      <c r="L1065" s="12">
        <f>_xlfn.XLOOKUP(B1065,[1]Sheet1!$B:$B,[1]Sheet1!$O:$O,0)</f>
        <v>0</v>
      </c>
      <c r="M1065" s="12">
        <f>_xlfn.XLOOKUP(B1065,[1]Sheet1!$B:$B,[1]Sheet1!$P:$P,0)</f>
        <v>0</v>
      </c>
      <c r="N1065" s="12">
        <f>_xlfn.XLOOKUP(B1065,[1]Sheet1!$B:$B,[1]Sheet1!$Q:$Q,0)</f>
        <v>0</v>
      </c>
      <c r="O1065" s="12">
        <f>_xlfn.XLOOKUP(B1065,[1]Sheet1!$B:$B,[1]Sheet1!$R:$R,0)</f>
        <v>0</v>
      </c>
      <c r="P1065" s="12">
        <f>_xlfn.XLOOKUP(B1065,[1]Sheet1!$B:$B,[1]Sheet1!$S:$S,0)</f>
        <v>0</v>
      </c>
      <c r="Q1065" s="12">
        <f>_xlfn.XLOOKUP(B1065,[1]Sheet1!$B:$B,[1]Sheet1!$T:$T,0)</f>
        <v>0</v>
      </c>
      <c r="R1065" s="12">
        <f>_xlfn.XLOOKUP(B1065,[1]Sheet1!$B:$B,[1]Sheet1!$U:$U,0)</f>
        <v>0</v>
      </c>
      <c r="S1065" s="12">
        <f>_xlfn.XLOOKUP(B1065,[1]Sheet1!$B:$B,[1]Sheet1!$V:$V,0)</f>
        <v>0</v>
      </c>
      <c r="T1065" s="12">
        <f>_xlfn.XLOOKUP(B1065,[1]Sheet1!$B:$B,[1]Sheet1!$W:$W,0)</f>
        <v>0</v>
      </c>
      <c r="U1065" s="12">
        <f>_xlfn.XLOOKUP(B1065,[1]Sheet1!$B:$B,[1]Sheet1!$X:$X,0)</f>
        <v>0</v>
      </c>
      <c r="V1065" s="12">
        <f>_xlfn.XLOOKUP(B1065,[1]Sheet1!$B:$B,[1]Sheet1!$Y:$Y,0)</f>
        <v>0</v>
      </c>
      <c r="W1065" s="12">
        <f t="shared" si="35"/>
        <v>0</v>
      </c>
      <c r="X1065" s="8" t="s">
        <v>1110</v>
      </c>
      <c r="Y1065" s="8" t="s">
        <v>65</v>
      </c>
      <c r="Z1065" s="8" t="s">
        <v>267</v>
      </c>
      <c r="AA1065" s="8" t="s">
        <v>68</v>
      </c>
      <c r="AB1065" s="8" t="s">
        <v>36</v>
      </c>
      <c r="AC1065" s="8" t="s">
        <v>37</v>
      </c>
      <c r="AD1065" s="8" t="s">
        <v>102</v>
      </c>
      <c r="AE1065" s="8" t="s">
        <v>39</v>
      </c>
      <c r="AF1065" s="8" t="s">
        <v>40</v>
      </c>
      <c r="AG1065" s="9">
        <v>3847698</v>
      </c>
      <c r="AH1065" s="11">
        <f>_xlfn.XLOOKUP(B1065,[1]Sheet1!$B:$B,[1]Sheet1!$AB:$AB,0)</f>
        <v>3847698</v>
      </c>
    </row>
    <row r="1066" spans="2:34" ht="16.8" thickTop="1" thickBot="1" x14ac:dyDescent="0.35">
      <c r="B1066" s="3" t="str">
        <f t="shared" si="34"/>
        <v>45110104511001394Freelancers-N424521200104</v>
      </c>
      <c r="C1066" s="6" t="s">
        <v>268</v>
      </c>
      <c r="D1066" s="6" t="s">
        <v>1646</v>
      </c>
      <c r="E1066" s="6" t="s">
        <v>1647</v>
      </c>
      <c r="F1066" s="6" t="s">
        <v>50</v>
      </c>
      <c r="G1066" s="4" t="s">
        <v>2804</v>
      </c>
      <c r="H1066" s="4" t="s">
        <v>2922</v>
      </c>
      <c r="I1066" s="6" t="s">
        <v>51</v>
      </c>
      <c r="J1066" s="6" t="s">
        <v>31</v>
      </c>
      <c r="K1066" s="12">
        <f>_xlfn.XLOOKUP(B1066,[1]Sheet1!$B:$B,[1]Sheet1!$N:$N,0)</f>
        <v>0</v>
      </c>
      <c r="L1066" s="12">
        <f>_xlfn.XLOOKUP(B1066,[1]Sheet1!$B:$B,[1]Sheet1!$O:$O,0)</f>
        <v>0</v>
      </c>
      <c r="M1066" s="12">
        <f>_xlfn.XLOOKUP(B1066,[1]Sheet1!$B:$B,[1]Sheet1!$P:$P,0)</f>
        <v>41499.25</v>
      </c>
      <c r="N1066" s="12">
        <f>_xlfn.XLOOKUP(B1066,[1]Sheet1!$B:$B,[1]Sheet1!$Q:$Q,0)</f>
        <v>34216</v>
      </c>
      <c r="O1066" s="12">
        <f>_xlfn.XLOOKUP(B1066,[1]Sheet1!$B:$B,[1]Sheet1!$R:$R,0)</f>
        <v>25238.416666666668</v>
      </c>
      <c r="P1066" s="12">
        <f>_xlfn.XLOOKUP(B1066,[1]Sheet1!$B:$B,[1]Sheet1!$S:$S,0)</f>
        <v>25238.416666666668</v>
      </c>
      <c r="Q1066" s="12">
        <f>_xlfn.XLOOKUP(B1066,[1]Sheet1!$B:$B,[1]Sheet1!$T:$T,0)</f>
        <v>25238.416666666668</v>
      </c>
      <c r="R1066" s="12">
        <f>_xlfn.XLOOKUP(B1066,[1]Sheet1!$B:$B,[1]Sheet1!$U:$U,0)</f>
        <v>25238.416666666668</v>
      </c>
      <c r="S1066" s="12">
        <f>_xlfn.XLOOKUP(B1066,[1]Sheet1!$B:$B,[1]Sheet1!$V:$V,0)</f>
        <v>25238.416666666668</v>
      </c>
      <c r="T1066" s="12">
        <f>_xlfn.XLOOKUP(B1066,[1]Sheet1!$B:$B,[1]Sheet1!$W:$W,0)</f>
        <v>25238.416666666668</v>
      </c>
      <c r="U1066" s="12">
        <f>_xlfn.XLOOKUP(B1066,[1]Sheet1!$B:$B,[1]Sheet1!$X:$X,0)</f>
        <v>25238.416666666668</v>
      </c>
      <c r="V1066" s="12">
        <f>_xlfn.XLOOKUP(B1066,[1]Sheet1!$B:$B,[1]Sheet1!$Y:$Y,0)</f>
        <v>50477</v>
      </c>
      <c r="W1066" s="12">
        <f t="shared" si="35"/>
        <v>302861.16666666663</v>
      </c>
      <c r="X1066" s="6" t="s">
        <v>271</v>
      </c>
      <c r="Y1066" s="6" t="s">
        <v>65</v>
      </c>
      <c r="Z1066" s="6" t="s">
        <v>267</v>
      </c>
      <c r="AA1066" s="6" t="s">
        <v>53</v>
      </c>
      <c r="AB1066" s="6" t="s">
        <v>36</v>
      </c>
      <c r="AC1066" s="6" t="s">
        <v>37</v>
      </c>
      <c r="AD1066" s="6" t="s">
        <v>270</v>
      </c>
      <c r="AE1066" s="6" t="s">
        <v>39</v>
      </c>
      <c r="AF1066" s="6" t="s">
        <v>40</v>
      </c>
      <c r="AG1066" s="7">
        <v>902862</v>
      </c>
      <c r="AH1066" s="11">
        <f>_xlfn.XLOOKUP(B1066,[1]Sheet1!$B:$B,[1]Sheet1!$AB:$AB,0)</f>
        <v>902861.16666666663</v>
      </c>
    </row>
    <row r="1067" spans="2:34" ht="16.8" thickTop="1" thickBot="1" x14ac:dyDescent="0.35">
      <c r="B1067" s="3" t="str">
        <f t="shared" si="34"/>
        <v>45155004511001395Event Management-N422401200104</v>
      </c>
      <c r="C1067" s="8" t="s">
        <v>513</v>
      </c>
      <c r="D1067" s="8" t="s">
        <v>1649</v>
      </c>
      <c r="E1067" s="8" t="s">
        <v>1650</v>
      </c>
      <c r="F1067" s="8" t="s">
        <v>162</v>
      </c>
      <c r="G1067" s="4" t="s">
        <v>2807</v>
      </c>
      <c r="H1067" s="4" t="s">
        <v>2922</v>
      </c>
      <c r="I1067" s="8" t="s">
        <v>63</v>
      </c>
      <c r="J1067" s="8" t="s">
        <v>31</v>
      </c>
      <c r="K1067" s="12">
        <f>_xlfn.XLOOKUP(B1067,[1]Sheet1!$B:$B,[1]Sheet1!$N:$N,0)</f>
        <v>0</v>
      </c>
      <c r="L1067" s="12">
        <f>_xlfn.XLOOKUP(B1067,[1]Sheet1!$B:$B,[1]Sheet1!$O:$O,0)</f>
        <v>0</v>
      </c>
      <c r="M1067" s="12">
        <f>_xlfn.XLOOKUP(B1067,[1]Sheet1!$B:$B,[1]Sheet1!$P:$P,0)</f>
        <v>9711155</v>
      </c>
      <c r="N1067" s="12">
        <f>_xlfn.XLOOKUP(B1067,[1]Sheet1!$B:$B,[1]Sheet1!$Q:$Q,0)</f>
        <v>0</v>
      </c>
      <c r="O1067" s="12">
        <f>_xlfn.XLOOKUP(B1067,[1]Sheet1!$B:$B,[1]Sheet1!$R:$R,0)</f>
        <v>0</v>
      </c>
      <c r="P1067" s="12">
        <f>_xlfn.XLOOKUP(B1067,[1]Sheet1!$B:$B,[1]Sheet1!$S:$S,0)</f>
        <v>0</v>
      </c>
      <c r="Q1067" s="12">
        <f>_xlfn.XLOOKUP(B1067,[1]Sheet1!$B:$B,[1]Sheet1!$T:$T,0)</f>
        <v>0</v>
      </c>
      <c r="R1067" s="12">
        <f>_xlfn.XLOOKUP(B1067,[1]Sheet1!$B:$B,[1]Sheet1!$U:$U,0)</f>
        <v>0</v>
      </c>
      <c r="S1067" s="12">
        <f>_xlfn.XLOOKUP(B1067,[1]Sheet1!$B:$B,[1]Sheet1!$V:$V,0)</f>
        <v>0</v>
      </c>
      <c r="T1067" s="12">
        <f>_xlfn.XLOOKUP(B1067,[1]Sheet1!$B:$B,[1]Sheet1!$W:$W,0)</f>
        <v>288845</v>
      </c>
      <c r="U1067" s="12">
        <f>_xlfn.XLOOKUP(B1067,[1]Sheet1!$B:$B,[1]Sheet1!$X:$X,0)</f>
        <v>0</v>
      </c>
      <c r="V1067" s="12">
        <f>_xlfn.XLOOKUP(B1067,[1]Sheet1!$B:$B,[1]Sheet1!$Y:$Y,0)</f>
        <v>900000</v>
      </c>
      <c r="W1067" s="12">
        <f t="shared" si="35"/>
        <v>10900000</v>
      </c>
      <c r="X1067" s="8" t="s">
        <v>524</v>
      </c>
      <c r="Y1067" s="8" t="s">
        <v>211</v>
      </c>
      <c r="Z1067" s="8" t="s">
        <v>512</v>
      </c>
      <c r="AA1067" s="8" t="s">
        <v>68</v>
      </c>
      <c r="AB1067" s="8" t="s">
        <v>36</v>
      </c>
      <c r="AC1067" s="8" t="s">
        <v>37</v>
      </c>
      <c r="AD1067" s="8" t="s">
        <v>342</v>
      </c>
      <c r="AE1067" s="8" t="s">
        <v>39</v>
      </c>
      <c r="AF1067" s="8" t="s">
        <v>40</v>
      </c>
      <c r="AG1067" s="9">
        <v>10900000</v>
      </c>
      <c r="AH1067" s="11">
        <f>_xlfn.XLOOKUP(B1067,[1]Sheet1!$B:$B,[1]Sheet1!$AB:$AB,0)</f>
        <v>10900000</v>
      </c>
    </row>
    <row r="1068" spans="2:34" ht="16.8" thickTop="1" thickBot="1" x14ac:dyDescent="0.35">
      <c r="B1068" s="3" t="str">
        <f t="shared" si="34"/>
        <v>45153004511001397ManagementAdvice-N424521200104</v>
      </c>
      <c r="C1068" s="6" t="s">
        <v>1075</v>
      </c>
      <c r="D1068" s="6" t="s">
        <v>1651</v>
      </c>
      <c r="E1068" s="6" t="s">
        <v>1652</v>
      </c>
      <c r="F1068" s="6" t="s">
        <v>230</v>
      </c>
      <c r="G1068" s="4" t="s">
        <v>2804</v>
      </c>
      <c r="H1068" s="4" t="s">
        <v>2922</v>
      </c>
      <c r="I1068" s="6" t="s">
        <v>51</v>
      </c>
      <c r="J1068" s="6" t="s">
        <v>31</v>
      </c>
      <c r="K1068" s="12">
        <f>_xlfn.XLOOKUP(B1068,[1]Sheet1!$B:$B,[1]Sheet1!$N:$N,0)</f>
        <v>0</v>
      </c>
      <c r="L1068" s="12">
        <f>_xlfn.XLOOKUP(B1068,[1]Sheet1!$B:$B,[1]Sheet1!$O:$O,0)</f>
        <v>0</v>
      </c>
      <c r="M1068" s="12">
        <f>_xlfn.XLOOKUP(B1068,[1]Sheet1!$B:$B,[1]Sheet1!$P:$P,0)</f>
        <v>0</v>
      </c>
      <c r="N1068" s="12">
        <f>_xlfn.XLOOKUP(B1068,[1]Sheet1!$B:$B,[1]Sheet1!$Q:$Q,0)</f>
        <v>0</v>
      </c>
      <c r="O1068" s="12">
        <f>_xlfn.XLOOKUP(B1068,[1]Sheet1!$B:$B,[1]Sheet1!$R:$R,0)</f>
        <v>0</v>
      </c>
      <c r="P1068" s="12">
        <f>_xlfn.XLOOKUP(B1068,[1]Sheet1!$B:$B,[1]Sheet1!$S:$S,0)</f>
        <v>0</v>
      </c>
      <c r="Q1068" s="12">
        <f>_xlfn.XLOOKUP(B1068,[1]Sheet1!$B:$B,[1]Sheet1!$T:$T,0)</f>
        <v>0</v>
      </c>
      <c r="R1068" s="12">
        <f>_xlfn.XLOOKUP(B1068,[1]Sheet1!$B:$B,[1]Sheet1!$U:$U,0)</f>
        <v>0</v>
      </c>
      <c r="S1068" s="12">
        <f>_xlfn.XLOOKUP(B1068,[1]Sheet1!$B:$B,[1]Sheet1!$V:$V,0)</f>
        <v>0</v>
      </c>
      <c r="T1068" s="12">
        <f>_xlfn.XLOOKUP(B1068,[1]Sheet1!$B:$B,[1]Sheet1!$W:$W,0)</f>
        <v>500000</v>
      </c>
      <c r="U1068" s="12">
        <f>_xlfn.XLOOKUP(B1068,[1]Sheet1!$B:$B,[1]Sheet1!$X:$X,0)</f>
        <v>0</v>
      </c>
      <c r="V1068" s="12">
        <f>_xlfn.XLOOKUP(B1068,[1]Sheet1!$B:$B,[1]Sheet1!$Y:$Y,0)</f>
        <v>1500000</v>
      </c>
      <c r="W1068" s="12">
        <f t="shared" si="35"/>
        <v>2000000</v>
      </c>
      <c r="X1068" s="6" t="s">
        <v>1076</v>
      </c>
      <c r="Y1068" s="6" t="s">
        <v>211</v>
      </c>
      <c r="Z1068" s="6" t="s">
        <v>1074</v>
      </c>
      <c r="AA1068" s="6" t="s">
        <v>53</v>
      </c>
      <c r="AB1068" s="6" t="s">
        <v>36</v>
      </c>
      <c r="AC1068" s="6" t="s">
        <v>37</v>
      </c>
      <c r="AD1068" s="6" t="s">
        <v>1077</v>
      </c>
      <c r="AE1068" s="6" t="s">
        <v>39</v>
      </c>
      <c r="AF1068" s="6" t="s">
        <v>40</v>
      </c>
      <c r="AG1068" s="7">
        <v>1000000</v>
      </c>
      <c r="AH1068" s="11">
        <f>_xlfn.XLOOKUP(B1068,[1]Sheet1!$B:$B,[1]Sheet1!$AB:$AB,0)</f>
        <v>1000000</v>
      </c>
    </row>
    <row r="1069" spans="2:34" ht="16.8" thickTop="1" thickBot="1" x14ac:dyDescent="0.35">
      <c r="B1069" s="3" t="str">
        <f t="shared" si="34"/>
        <v>45122004511001397Manpower-N424521200104</v>
      </c>
      <c r="C1069" s="8" t="s">
        <v>731</v>
      </c>
      <c r="D1069" s="8" t="s">
        <v>1651</v>
      </c>
      <c r="E1069" s="8" t="s">
        <v>1652</v>
      </c>
      <c r="F1069" s="8" t="s">
        <v>98</v>
      </c>
      <c r="G1069" s="4" t="s">
        <v>2804</v>
      </c>
      <c r="H1069" s="4" t="s">
        <v>2922</v>
      </c>
      <c r="I1069" s="8" t="s">
        <v>51</v>
      </c>
      <c r="J1069" s="8" t="s">
        <v>31</v>
      </c>
      <c r="K1069" s="12">
        <f>_xlfn.XLOOKUP(B1069,[1]Sheet1!$B:$B,[1]Sheet1!$N:$N,0)</f>
        <v>0</v>
      </c>
      <c r="L1069" s="12">
        <f>_xlfn.XLOOKUP(B1069,[1]Sheet1!$B:$B,[1]Sheet1!$O:$O,0)</f>
        <v>0</v>
      </c>
      <c r="M1069" s="12">
        <f>_xlfn.XLOOKUP(B1069,[1]Sheet1!$B:$B,[1]Sheet1!$P:$P,0)</f>
        <v>0</v>
      </c>
      <c r="N1069" s="12">
        <f>_xlfn.XLOOKUP(B1069,[1]Sheet1!$B:$B,[1]Sheet1!$Q:$Q,0)</f>
        <v>680000</v>
      </c>
      <c r="O1069" s="12">
        <f>_xlfn.XLOOKUP(B1069,[1]Sheet1!$B:$B,[1]Sheet1!$R:$R,0)</f>
        <v>170000</v>
      </c>
      <c r="P1069" s="12">
        <f>_xlfn.XLOOKUP(B1069,[1]Sheet1!$B:$B,[1]Sheet1!$S:$S,0)</f>
        <v>170000</v>
      </c>
      <c r="Q1069" s="12">
        <f>_xlfn.XLOOKUP(B1069,[1]Sheet1!$B:$B,[1]Sheet1!$T:$T,0)</f>
        <v>170000</v>
      </c>
      <c r="R1069" s="12">
        <f>_xlfn.XLOOKUP(B1069,[1]Sheet1!$B:$B,[1]Sheet1!$U:$U,0)</f>
        <v>170000</v>
      </c>
      <c r="S1069" s="12">
        <f>_xlfn.XLOOKUP(B1069,[1]Sheet1!$B:$B,[1]Sheet1!$V:$V,0)</f>
        <v>170000</v>
      </c>
      <c r="T1069" s="12">
        <f>_xlfn.XLOOKUP(B1069,[1]Sheet1!$B:$B,[1]Sheet1!$W:$W,0)</f>
        <v>170000</v>
      </c>
      <c r="U1069" s="12">
        <f>_xlfn.XLOOKUP(B1069,[1]Sheet1!$B:$B,[1]Sheet1!$X:$X,0)</f>
        <v>170000</v>
      </c>
      <c r="V1069" s="12">
        <f>_xlfn.XLOOKUP(B1069,[1]Sheet1!$B:$B,[1]Sheet1!$Y:$Y,0)</f>
        <v>170000</v>
      </c>
      <c r="W1069" s="12">
        <f t="shared" si="35"/>
        <v>2040000</v>
      </c>
      <c r="X1069" s="8" t="s">
        <v>1105</v>
      </c>
      <c r="Y1069" s="8" t="s">
        <v>721</v>
      </c>
      <c r="Z1069" s="8" t="s">
        <v>730</v>
      </c>
      <c r="AA1069" s="8" t="s">
        <v>53</v>
      </c>
      <c r="AB1069" s="8" t="s">
        <v>36</v>
      </c>
      <c r="AC1069" s="8" t="s">
        <v>37</v>
      </c>
      <c r="AD1069" s="8" t="s">
        <v>732</v>
      </c>
      <c r="AE1069" s="8" t="s">
        <v>39</v>
      </c>
      <c r="AF1069" s="8" t="s">
        <v>40</v>
      </c>
      <c r="AG1069" s="9">
        <v>2040000</v>
      </c>
      <c r="AH1069" s="11">
        <f>_xlfn.XLOOKUP(B1069,[1]Sheet1!$B:$B,[1]Sheet1!$AB:$AB,0)</f>
        <v>2040000</v>
      </c>
    </row>
    <row r="1070" spans="2:34" ht="16.8" thickTop="1" thickBot="1" x14ac:dyDescent="0.35">
      <c r="B1070" s="3" t="str">
        <f t="shared" si="34"/>
        <v>45155004511001398Activation&amp;Prog-N422401202061</v>
      </c>
      <c r="C1070" s="6" t="s">
        <v>513</v>
      </c>
      <c r="D1070" s="6" t="s">
        <v>1653</v>
      </c>
      <c r="E1070" s="6" t="s">
        <v>1654</v>
      </c>
      <c r="F1070" s="6" t="s">
        <v>62</v>
      </c>
      <c r="G1070" s="4" t="s">
        <v>2807</v>
      </c>
      <c r="H1070" s="4" t="s">
        <v>2935</v>
      </c>
      <c r="I1070" s="6" t="s">
        <v>63</v>
      </c>
      <c r="J1070" s="6" t="s">
        <v>31</v>
      </c>
      <c r="K1070" s="12">
        <f>_xlfn.XLOOKUP(B1070,[1]Sheet1!$B:$B,[1]Sheet1!$N:$N,0)</f>
        <v>0</v>
      </c>
      <c r="L1070" s="12">
        <f>_xlfn.XLOOKUP(B1070,[1]Sheet1!$B:$B,[1]Sheet1!$O:$O,0)</f>
        <v>0</v>
      </c>
      <c r="M1070" s="12">
        <f>_xlfn.XLOOKUP(B1070,[1]Sheet1!$B:$B,[1]Sheet1!$P:$P,0)</f>
        <v>19005187.5</v>
      </c>
      <c r="N1070" s="12">
        <f>_xlfn.XLOOKUP(B1070,[1]Sheet1!$B:$B,[1]Sheet1!$Q:$Q,0)</f>
        <v>2587.5</v>
      </c>
      <c r="O1070" s="12">
        <f>_xlfn.XLOOKUP(B1070,[1]Sheet1!$B:$B,[1]Sheet1!$R:$R,0)</f>
        <v>0</v>
      </c>
      <c r="P1070" s="12">
        <f>_xlfn.XLOOKUP(B1070,[1]Sheet1!$B:$B,[1]Sheet1!$S:$S,0)</f>
        <v>19007775</v>
      </c>
      <c r="Q1070" s="12">
        <f>_xlfn.XLOOKUP(B1070,[1]Sheet1!$B:$B,[1]Sheet1!$T:$T,0)</f>
        <v>0</v>
      </c>
      <c r="R1070" s="12">
        <f>_xlfn.XLOOKUP(B1070,[1]Sheet1!$B:$B,[1]Sheet1!$U:$U,0)</f>
        <v>0</v>
      </c>
      <c r="S1070" s="12">
        <f>_xlfn.XLOOKUP(B1070,[1]Sheet1!$B:$B,[1]Sheet1!$V:$V,0)</f>
        <v>19007775</v>
      </c>
      <c r="T1070" s="12">
        <f>_xlfn.XLOOKUP(B1070,[1]Sheet1!$B:$B,[1]Sheet1!$W:$W,0)</f>
        <v>0</v>
      </c>
      <c r="U1070" s="12">
        <f>_xlfn.XLOOKUP(B1070,[1]Sheet1!$B:$B,[1]Sheet1!$X:$X,0)</f>
        <v>0</v>
      </c>
      <c r="V1070" s="12">
        <f>_xlfn.XLOOKUP(B1070,[1]Sheet1!$B:$B,[1]Sheet1!$Y:$Y,0)</f>
        <v>19007675</v>
      </c>
      <c r="W1070" s="12">
        <f t="shared" si="35"/>
        <v>76031000</v>
      </c>
      <c r="X1070" s="6" t="s">
        <v>1655</v>
      </c>
      <c r="Y1070" s="6" t="s">
        <v>211</v>
      </c>
      <c r="Z1070" s="6" t="s">
        <v>512</v>
      </c>
      <c r="AA1070" s="6" t="s">
        <v>68</v>
      </c>
      <c r="AB1070" s="6" t="s">
        <v>1656</v>
      </c>
      <c r="AC1070" s="6" t="s">
        <v>37</v>
      </c>
      <c r="AD1070" s="6" t="s">
        <v>342</v>
      </c>
      <c r="AE1070" s="6" t="s">
        <v>39</v>
      </c>
      <c r="AF1070" s="6" t="s">
        <v>40</v>
      </c>
      <c r="AG1070" s="7">
        <v>76031000</v>
      </c>
      <c r="AH1070" s="11">
        <f>_xlfn.XLOOKUP(B1070,[1]Sheet1!$B:$B,[1]Sheet1!$AB:$AB,0)</f>
        <v>76031000</v>
      </c>
    </row>
    <row r="1071" spans="2:34" ht="16.8" thickTop="1" thickBot="1" x14ac:dyDescent="0.35">
      <c r="B1071" s="3" t="str">
        <f t="shared" si="34"/>
        <v>45150104511001399Activation&amp;Prog-N422401200104</v>
      </c>
      <c r="C1071" s="8" t="s">
        <v>1093</v>
      </c>
      <c r="D1071" s="8" t="s">
        <v>1657</v>
      </c>
      <c r="E1071" s="8" t="s">
        <v>1658</v>
      </c>
      <c r="F1071" s="8" t="s">
        <v>62</v>
      </c>
      <c r="G1071" s="4" t="s">
        <v>2807</v>
      </c>
      <c r="H1071" s="4" t="s">
        <v>2922</v>
      </c>
      <c r="I1071" s="8" t="s">
        <v>63</v>
      </c>
      <c r="J1071" s="8" t="s">
        <v>31</v>
      </c>
      <c r="K1071" s="12">
        <f>_xlfn.XLOOKUP(B1071,[1]Sheet1!$B:$B,[1]Sheet1!$N:$N,0)</f>
        <v>0</v>
      </c>
      <c r="L1071" s="12">
        <f>_xlfn.XLOOKUP(B1071,[1]Sheet1!$B:$B,[1]Sheet1!$O:$O,0)</f>
        <v>0</v>
      </c>
      <c r="M1071" s="12">
        <f>_xlfn.XLOOKUP(B1071,[1]Sheet1!$B:$B,[1]Sheet1!$P:$P,0)</f>
        <v>0</v>
      </c>
      <c r="N1071" s="12">
        <f>_xlfn.XLOOKUP(B1071,[1]Sheet1!$B:$B,[1]Sheet1!$Q:$Q,0)</f>
        <v>0</v>
      </c>
      <c r="O1071" s="12">
        <f>_xlfn.XLOOKUP(B1071,[1]Sheet1!$B:$B,[1]Sheet1!$R:$R,0)</f>
        <v>0</v>
      </c>
      <c r="P1071" s="12">
        <f>_xlfn.XLOOKUP(B1071,[1]Sheet1!$B:$B,[1]Sheet1!$S:$S,0)</f>
        <v>0</v>
      </c>
      <c r="Q1071" s="12">
        <f>_xlfn.XLOOKUP(B1071,[1]Sheet1!$B:$B,[1]Sheet1!$T:$T,0)</f>
        <v>80000</v>
      </c>
      <c r="R1071" s="12">
        <f>_xlfn.XLOOKUP(B1071,[1]Sheet1!$B:$B,[1]Sheet1!$U:$U,0)</f>
        <v>0</v>
      </c>
      <c r="S1071" s="12">
        <f>_xlfn.XLOOKUP(B1071,[1]Sheet1!$B:$B,[1]Sheet1!$V:$V,0)</f>
        <v>0</v>
      </c>
      <c r="T1071" s="12">
        <f>_xlfn.XLOOKUP(B1071,[1]Sheet1!$B:$B,[1]Sheet1!$W:$W,0)</f>
        <v>364030</v>
      </c>
      <c r="U1071" s="12">
        <f>_xlfn.XLOOKUP(B1071,[1]Sheet1!$B:$B,[1]Sheet1!$X:$X,0)</f>
        <v>0</v>
      </c>
      <c r="V1071" s="12">
        <f>_xlfn.XLOOKUP(B1071,[1]Sheet1!$B:$B,[1]Sheet1!$Y:$Y,0)</f>
        <v>364030</v>
      </c>
      <c r="W1071" s="12">
        <f t="shared" si="35"/>
        <v>808060</v>
      </c>
      <c r="X1071" s="8" t="s">
        <v>1091</v>
      </c>
      <c r="Y1071" s="8" t="s">
        <v>211</v>
      </c>
      <c r="Z1071" s="8" t="s">
        <v>1092</v>
      </c>
      <c r="AA1071" s="8" t="s">
        <v>68</v>
      </c>
      <c r="AB1071" s="8" t="s">
        <v>36</v>
      </c>
      <c r="AC1071" s="8" t="s">
        <v>37</v>
      </c>
      <c r="AD1071" s="8" t="s">
        <v>342</v>
      </c>
      <c r="AE1071" s="8" t="s">
        <v>39</v>
      </c>
      <c r="AF1071" s="8" t="s">
        <v>40</v>
      </c>
      <c r="AG1071" s="9">
        <v>1100000</v>
      </c>
      <c r="AH1071" s="11">
        <f>_xlfn.XLOOKUP(B1071,[1]Sheet1!$B:$B,[1]Sheet1!$AB:$AB,0)</f>
        <v>1100000</v>
      </c>
    </row>
    <row r="1072" spans="2:34" ht="16.8" thickTop="1" thickBot="1" x14ac:dyDescent="0.35">
      <c r="B1072" s="3" t="str">
        <f t="shared" si="34"/>
        <v>45155004511001400IP Events-N423531200104</v>
      </c>
      <c r="C1072" s="6" t="s">
        <v>513</v>
      </c>
      <c r="D1072" s="6" t="s">
        <v>1659</v>
      </c>
      <c r="E1072" s="6" t="s">
        <v>1660</v>
      </c>
      <c r="F1072" s="6" t="s">
        <v>943</v>
      </c>
      <c r="G1072" s="4" t="s">
        <v>2860</v>
      </c>
      <c r="H1072" s="4" t="s">
        <v>2922</v>
      </c>
      <c r="I1072" s="6" t="s">
        <v>950</v>
      </c>
      <c r="J1072" s="6" t="s">
        <v>31</v>
      </c>
      <c r="K1072" s="12">
        <f>_xlfn.XLOOKUP(B1072,[1]Sheet1!$B:$B,[1]Sheet1!$N:$N,0)</f>
        <v>0</v>
      </c>
      <c r="L1072" s="12">
        <f>_xlfn.XLOOKUP(B1072,[1]Sheet1!$B:$B,[1]Sheet1!$O:$O,0)</f>
        <v>0</v>
      </c>
      <c r="M1072" s="12">
        <f>_xlfn.XLOOKUP(B1072,[1]Sheet1!$B:$B,[1]Sheet1!$P:$P,0)</f>
        <v>0</v>
      </c>
      <c r="N1072" s="12">
        <f>_xlfn.XLOOKUP(B1072,[1]Sheet1!$B:$B,[1]Sheet1!$Q:$Q,0)</f>
        <v>5000000</v>
      </c>
      <c r="O1072" s="12">
        <f>_xlfn.XLOOKUP(B1072,[1]Sheet1!$B:$B,[1]Sheet1!$R:$R,0)</f>
        <v>0</v>
      </c>
      <c r="P1072" s="12">
        <f>_xlfn.XLOOKUP(B1072,[1]Sheet1!$B:$B,[1]Sheet1!$S:$S,0)</f>
        <v>0</v>
      </c>
      <c r="Q1072" s="12">
        <f>_xlfn.XLOOKUP(B1072,[1]Sheet1!$B:$B,[1]Sheet1!$T:$T,0)</f>
        <v>0</v>
      </c>
      <c r="R1072" s="12">
        <f>_xlfn.XLOOKUP(B1072,[1]Sheet1!$B:$B,[1]Sheet1!$U:$U,0)</f>
        <v>0</v>
      </c>
      <c r="S1072" s="12">
        <f>_xlfn.XLOOKUP(B1072,[1]Sheet1!$B:$B,[1]Sheet1!$V:$V,0)</f>
        <v>0</v>
      </c>
      <c r="T1072" s="12">
        <f>_xlfn.XLOOKUP(B1072,[1]Sheet1!$B:$B,[1]Sheet1!$W:$W,0)</f>
        <v>0</v>
      </c>
      <c r="U1072" s="12">
        <f>_xlfn.XLOOKUP(B1072,[1]Sheet1!$B:$B,[1]Sheet1!$X:$X,0)</f>
        <v>0</v>
      </c>
      <c r="V1072" s="12">
        <f>_xlfn.XLOOKUP(B1072,[1]Sheet1!$B:$B,[1]Sheet1!$Y:$Y,0)</f>
        <v>0</v>
      </c>
      <c r="W1072" s="12">
        <f t="shared" si="35"/>
        <v>5000000</v>
      </c>
      <c r="X1072" s="6" t="s">
        <v>1661</v>
      </c>
      <c r="Y1072" s="6" t="s">
        <v>211</v>
      </c>
      <c r="Z1072" s="6" t="s">
        <v>512</v>
      </c>
      <c r="AA1072" s="6" t="s">
        <v>950</v>
      </c>
      <c r="AB1072" s="6" t="s">
        <v>36</v>
      </c>
      <c r="AC1072" s="6" t="s">
        <v>37</v>
      </c>
      <c r="AD1072" s="6" t="s">
        <v>342</v>
      </c>
      <c r="AE1072" s="6" t="s">
        <v>39</v>
      </c>
      <c r="AF1072" s="6" t="s">
        <v>40</v>
      </c>
      <c r="AG1072" s="7">
        <v>5000000</v>
      </c>
      <c r="AH1072" s="11">
        <f>_xlfn.XLOOKUP(B1072,[1]Sheet1!$B:$B,[1]Sheet1!$AB:$AB,0)</f>
        <v>5000000</v>
      </c>
    </row>
    <row r="1073" spans="2:34" ht="16.8" thickTop="1" thickBot="1" x14ac:dyDescent="0.35">
      <c r="B1073" s="3" t="str">
        <f t="shared" si="34"/>
        <v>45155004511001401Co-Invest Events-N422401200104</v>
      </c>
      <c r="C1073" s="8" t="s">
        <v>513</v>
      </c>
      <c r="D1073" s="8" t="s">
        <v>1662</v>
      </c>
      <c r="E1073" s="8" t="s">
        <v>1663</v>
      </c>
      <c r="F1073" s="8" t="s">
        <v>523</v>
      </c>
      <c r="G1073" s="4" t="s">
        <v>2807</v>
      </c>
      <c r="H1073" s="4" t="s">
        <v>2922</v>
      </c>
      <c r="I1073" s="8" t="s">
        <v>63</v>
      </c>
      <c r="J1073" s="8" t="s">
        <v>31</v>
      </c>
      <c r="K1073" s="12">
        <f>_xlfn.XLOOKUP(B1073,[1]Sheet1!$B:$B,[1]Sheet1!$N:$N,0)</f>
        <v>0</v>
      </c>
      <c r="L1073" s="12">
        <f>_xlfn.XLOOKUP(B1073,[1]Sheet1!$B:$B,[1]Sheet1!$O:$O,0)</f>
        <v>0</v>
      </c>
      <c r="M1073" s="12">
        <f>_xlfn.XLOOKUP(B1073,[1]Sheet1!$B:$B,[1]Sheet1!$P:$P,0)</f>
        <v>0</v>
      </c>
      <c r="N1073" s="12">
        <f>_xlfn.XLOOKUP(B1073,[1]Sheet1!$B:$B,[1]Sheet1!$Q:$Q,0)</f>
        <v>0</v>
      </c>
      <c r="O1073" s="12">
        <f>_xlfn.XLOOKUP(B1073,[1]Sheet1!$B:$B,[1]Sheet1!$R:$R,0)</f>
        <v>0</v>
      </c>
      <c r="P1073" s="12">
        <f>_xlfn.XLOOKUP(B1073,[1]Sheet1!$B:$B,[1]Sheet1!$S:$S,0)</f>
        <v>6606000</v>
      </c>
      <c r="Q1073" s="12">
        <f>_xlfn.XLOOKUP(B1073,[1]Sheet1!$B:$B,[1]Sheet1!$T:$T,0)</f>
        <v>0</v>
      </c>
      <c r="R1073" s="12">
        <f>_xlfn.XLOOKUP(B1073,[1]Sheet1!$B:$B,[1]Sheet1!$U:$U,0)</f>
        <v>0</v>
      </c>
      <c r="S1073" s="12">
        <f>_xlfn.XLOOKUP(B1073,[1]Sheet1!$B:$B,[1]Sheet1!$V:$V,0)</f>
        <v>0</v>
      </c>
      <c r="T1073" s="12">
        <f>_xlfn.XLOOKUP(B1073,[1]Sheet1!$B:$B,[1]Sheet1!$W:$W,0)</f>
        <v>0</v>
      </c>
      <c r="U1073" s="12">
        <f>_xlfn.XLOOKUP(B1073,[1]Sheet1!$B:$B,[1]Sheet1!$X:$X,0)</f>
        <v>734000</v>
      </c>
      <c r="V1073" s="12">
        <f>_xlfn.XLOOKUP(B1073,[1]Sheet1!$B:$B,[1]Sheet1!$Y:$Y,0)</f>
        <v>0</v>
      </c>
      <c r="W1073" s="12">
        <f t="shared" si="35"/>
        <v>7340000</v>
      </c>
      <c r="X1073" s="8" t="s">
        <v>524</v>
      </c>
      <c r="Y1073" s="8" t="s">
        <v>211</v>
      </c>
      <c r="Z1073" s="8" t="s">
        <v>512</v>
      </c>
      <c r="AA1073" s="8" t="s">
        <v>68</v>
      </c>
      <c r="AB1073" s="8" t="s">
        <v>36</v>
      </c>
      <c r="AC1073" s="8" t="s">
        <v>37</v>
      </c>
      <c r="AD1073" s="8" t="s">
        <v>342</v>
      </c>
      <c r="AE1073" s="8" t="s">
        <v>39</v>
      </c>
      <c r="AF1073" s="8" t="s">
        <v>40</v>
      </c>
      <c r="AG1073" s="9">
        <v>7340000</v>
      </c>
      <c r="AH1073" s="11">
        <f>_xlfn.XLOOKUP(B1073,[1]Sheet1!$B:$B,[1]Sheet1!$AB:$AB,0)</f>
        <v>7340000</v>
      </c>
    </row>
    <row r="1074" spans="2:34" ht="16.8" thickTop="1" thickBot="1" x14ac:dyDescent="0.35">
      <c r="B1074" s="3" t="str">
        <f t="shared" si="34"/>
        <v>45150204511001404Admin Expenses-N421125200104</v>
      </c>
      <c r="C1074" s="6" t="s">
        <v>1668</v>
      </c>
      <c r="D1074" s="6" t="s">
        <v>1664</v>
      </c>
      <c r="E1074" s="6" t="s">
        <v>1665</v>
      </c>
      <c r="F1074" s="6" t="s">
        <v>130</v>
      </c>
      <c r="G1074" s="4" t="s">
        <v>2803</v>
      </c>
      <c r="H1074" s="4" t="s">
        <v>2922</v>
      </c>
      <c r="I1074" s="6" t="s">
        <v>44</v>
      </c>
      <c r="J1074" s="6" t="s">
        <v>31</v>
      </c>
      <c r="K1074" s="12">
        <f>_xlfn.XLOOKUP(B1074,[1]Sheet1!$B:$B,[1]Sheet1!$N:$N,0)</f>
        <v>0</v>
      </c>
      <c r="L1074" s="12">
        <f>_xlfn.XLOOKUP(B1074,[1]Sheet1!$B:$B,[1]Sheet1!$O:$O,0)</f>
        <v>0</v>
      </c>
      <c r="M1074" s="12">
        <f>_xlfn.XLOOKUP(B1074,[1]Sheet1!$B:$B,[1]Sheet1!$P:$P,0)</f>
        <v>0</v>
      </c>
      <c r="N1074" s="12">
        <f>_xlfn.XLOOKUP(B1074,[1]Sheet1!$B:$B,[1]Sheet1!$Q:$Q,0)</f>
        <v>0</v>
      </c>
      <c r="O1074" s="12">
        <f>_xlfn.XLOOKUP(B1074,[1]Sheet1!$B:$B,[1]Sheet1!$R:$R,0)</f>
        <v>0</v>
      </c>
      <c r="P1074" s="12">
        <f>_xlfn.XLOOKUP(B1074,[1]Sheet1!$B:$B,[1]Sheet1!$S:$S,0)</f>
        <v>0</v>
      </c>
      <c r="Q1074" s="12">
        <f>_xlfn.XLOOKUP(B1074,[1]Sheet1!$B:$B,[1]Sheet1!$T:$T,0)</f>
        <v>0</v>
      </c>
      <c r="R1074" s="12">
        <f>_xlfn.XLOOKUP(B1074,[1]Sheet1!$B:$B,[1]Sheet1!$U:$U,0)</f>
        <v>0</v>
      </c>
      <c r="S1074" s="12">
        <f>_xlfn.XLOOKUP(B1074,[1]Sheet1!$B:$B,[1]Sheet1!$V:$V,0)</f>
        <v>0</v>
      </c>
      <c r="T1074" s="12">
        <f>_xlfn.XLOOKUP(B1074,[1]Sheet1!$B:$B,[1]Sheet1!$W:$W,0)</f>
        <v>0</v>
      </c>
      <c r="U1074" s="12">
        <f>_xlfn.XLOOKUP(B1074,[1]Sheet1!$B:$B,[1]Sheet1!$X:$X,0)</f>
        <v>0</v>
      </c>
      <c r="V1074" s="12">
        <f>_xlfn.XLOOKUP(B1074,[1]Sheet1!$B:$B,[1]Sheet1!$Y:$Y,0)</f>
        <v>3000</v>
      </c>
      <c r="W1074" s="12">
        <f t="shared" si="35"/>
        <v>3000</v>
      </c>
      <c r="X1074" s="6" t="s">
        <v>1666</v>
      </c>
      <c r="Y1074" s="6" t="s">
        <v>211</v>
      </c>
      <c r="Z1074" s="6" t="s">
        <v>1667</v>
      </c>
      <c r="AA1074" s="6" t="s">
        <v>44</v>
      </c>
      <c r="AB1074" s="6" t="s">
        <v>36</v>
      </c>
      <c r="AC1074" s="6" t="s">
        <v>37</v>
      </c>
      <c r="AD1074" s="6" t="s">
        <v>143</v>
      </c>
      <c r="AE1074" s="6" t="s">
        <v>39</v>
      </c>
      <c r="AF1074" s="6" t="s">
        <v>40</v>
      </c>
      <c r="AG1074" s="7">
        <v>3000</v>
      </c>
      <c r="AH1074" s="11">
        <f>_xlfn.XLOOKUP(B1074,[1]Sheet1!$B:$B,[1]Sheet1!$AB:$AB,0)</f>
        <v>3000</v>
      </c>
    </row>
    <row r="1075" spans="2:34" ht="16.8" thickTop="1" thickBot="1" x14ac:dyDescent="0.35">
      <c r="B1075" s="3" t="str">
        <f t="shared" si="34"/>
        <v>45150204511001404ManagementAdvice-N424521200104</v>
      </c>
      <c r="C1075" s="8" t="s">
        <v>1668</v>
      </c>
      <c r="D1075" s="8" t="s">
        <v>1664</v>
      </c>
      <c r="E1075" s="8" t="s">
        <v>1665</v>
      </c>
      <c r="F1075" s="8" t="s">
        <v>230</v>
      </c>
      <c r="G1075" s="4" t="s">
        <v>2804</v>
      </c>
      <c r="H1075" s="4" t="s">
        <v>2922</v>
      </c>
      <c r="I1075" s="8" t="s">
        <v>51</v>
      </c>
      <c r="J1075" s="8" t="s">
        <v>31</v>
      </c>
      <c r="K1075" s="12">
        <f>_xlfn.XLOOKUP(B1075,[1]Sheet1!$B:$B,[1]Sheet1!$N:$N,0)</f>
        <v>0</v>
      </c>
      <c r="L1075" s="12">
        <f>_xlfn.XLOOKUP(B1075,[1]Sheet1!$B:$B,[1]Sheet1!$O:$O,0)</f>
        <v>0</v>
      </c>
      <c r="M1075" s="12">
        <f>_xlfn.XLOOKUP(B1075,[1]Sheet1!$B:$B,[1]Sheet1!$P:$P,0)</f>
        <v>0</v>
      </c>
      <c r="N1075" s="12">
        <f>_xlfn.XLOOKUP(B1075,[1]Sheet1!$B:$B,[1]Sheet1!$Q:$Q,0)</f>
        <v>0</v>
      </c>
      <c r="O1075" s="12">
        <f>_xlfn.XLOOKUP(B1075,[1]Sheet1!$B:$B,[1]Sheet1!$R:$R,0)</f>
        <v>581574</v>
      </c>
      <c r="P1075" s="12">
        <f>_xlfn.XLOOKUP(B1075,[1]Sheet1!$B:$B,[1]Sheet1!$S:$S,0)</f>
        <v>0</v>
      </c>
      <c r="Q1075" s="12">
        <f>_xlfn.XLOOKUP(B1075,[1]Sheet1!$B:$B,[1]Sheet1!$T:$T,0)</f>
        <v>0</v>
      </c>
      <c r="R1075" s="12">
        <f>_xlfn.XLOOKUP(B1075,[1]Sheet1!$B:$B,[1]Sheet1!$U:$U,0)</f>
        <v>0</v>
      </c>
      <c r="S1075" s="12">
        <f>_xlfn.XLOOKUP(B1075,[1]Sheet1!$B:$B,[1]Sheet1!$V:$V,0)</f>
        <v>0</v>
      </c>
      <c r="T1075" s="12">
        <f>_xlfn.XLOOKUP(B1075,[1]Sheet1!$B:$B,[1]Sheet1!$W:$W,0)</f>
        <v>48950.333333333336</v>
      </c>
      <c r="U1075" s="12">
        <f>_xlfn.XLOOKUP(B1075,[1]Sheet1!$B:$B,[1]Sheet1!$X:$X,0)</f>
        <v>48950.333333333336</v>
      </c>
      <c r="V1075" s="12">
        <f>_xlfn.XLOOKUP(B1075,[1]Sheet1!$B:$B,[1]Sheet1!$Y:$Y,0)</f>
        <v>48950.333333333336</v>
      </c>
      <c r="W1075" s="12">
        <f t="shared" si="35"/>
        <v>728425.00000000012</v>
      </c>
      <c r="X1075" s="8" t="s">
        <v>1669</v>
      </c>
      <c r="Y1075" s="8" t="s">
        <v>211</v>
      </c>
      <c r="Z1075" s="8" t="s">
        <v>1667</v>
      </c>
      <c r="AA1075" s="8" t="s">
        <v>53</v>
      </c>
      <c r="AB1075" s="8" t="s">
        <v>36</v>
      </c>
      <c r="AC1075" s="8" t="s">
        <v>37</v>
      </c>
      <c r="AD1075" s="8" t="s">
        <v>143</v>
      </c>
      <c r="AE1075" s="8" t="s">
        <v>39</v>
      </c>
      <c r="AF1075" s="8" t="s">
        <v>40</v>
      </c>
      <c r="AG1075" s="9">
        <v>493425</v>
      </c>
      <c r="AH1075" s="11">
        <f>_xlfn.XLOOKUP(B1075,[1]Sheet1!$B:$B,[1]Sheet1!$AB:$AB,0)</f>
        <v>493425.00000000012</v>
      </c>
    </row>
    <row r="1076" spans="2:34" ht="16.8" thickTop="1" thickBot="1" x14ac:dyDescent="0.35">
      <c r="B1076" s="3" t="str">
        <f t="shared" si="34"/>
        <v>45150204511001404Mission &amp; Travel-N423821200104</v>
      </c>
      <c r="C1076" s="6" t="s">
        <v>1668</v>
      </c>
      <c r="D1076" s="6" t="s">
        <v>1664</v>
      </c>
      <c r="E1076" s="6" t="s">
        <v>1665</v>
      </c>
      <c r="F1076" s="6" t="s">
        <v>54</v>
      </c>
      <c r="G1076" s="4" t="s">
        <v>2805</v>
      </c>
      <c r="H1076" s="4" t="s">
        <v>2922</v>
      </c>
      <c r="I1076" s="6" t="s">
        <v>55</v>
      </c>
      <c r="J1076" s="6" t="s">
        <v>31</v>
      </c>
      <c r="K1076" s="12">
        <f>_xlfn.XLOOKUP(B1076,[1]Sheet1!$B:$B,[1]Sheet1!$N:$N,0)</f>
        <v>0</v>
      </c>
      <c r="L1076" s="12">
        <f>_xlfn.XLOOKUP(B1076,[1]Sheet1!$B:$B,[1]Sheet1!$O:$O,0)</f>
        <v>0</v>
      </c>
      <c r="M1076" s="12">
        <f>_xlfn.XLOOKUP(B1076,[1]Sheet1!$B:$B,[1]Sheet1!$P:$P,0)</f>
        <v>0</v>
      </c>
      <c r="N1076" s="12">
        <f>_xlfn.XLOOKUP(B1076,[1]Sheet1!$B:$B,[1]Sheet1!$Q:$Q,0)</f>
        <v>0</v>
      </c>
      <c r="O1076" s="12">
        <f>_xlfn.XLOOKUP(B1076,[1]Sheet1!$B:$B,[1]Sheet1!$R:$R,0)</f>
        <v>0</v>
      </c>
      <c r="P1076" s="12">
        <f>_xlfn.XLOOKUP(B1076,[1]Sheet1!$B:$B,[1]Sheet1!$S:$S,0)</f>
        <v>0</v>
      </c>
      <c r="Q1076" s="12">
        <f>_xlfn.XLOOKUP(B1076,[1]Sheet1!$B:$B,[1]Sheet1!$T:$T,0)</f>
        <v>0</v>
      </c>
      <c r="R1076" s="12">
        <f>_xlfn.XLOOKUP(B1076,[1]Sheet1!$B:$B,[1]Sheet1!$U:$U,0)</f>
        <v>0</v>
      </c>
      <c r="S1076" s="12">
        <f>_xlfn.XLOOKUP(B1076,[1]Sheet1!$B:$B,[1]Sheet1!$V:$V,0)</f>
        <v>0</v>
      </c>
      <c r="T1076" s="12">
        <f>_xlfn.XLOOKUP(B1076,[1]Sheet1!$B:$B,[1]Sheet1!$W:$W,0)</f>
        <v>0</v>
      </c>
      <c r="U1076" s="12">
        <f>_xlfn.XLOOKUP(B1076,[1]Sheet1!$B:$B,[1]Sheet1!$X:$X,0)</f>
        <v>600</v>
      </c>
      <c r="V1076" s="12">
        <f>_xlfn.XLOOKUP(B1076,[1]Sheet1!$B:$B,[1]Sheet1!$Y:$Y,0)</f>
        <v>600</v>
      </c>
      <c r="W1076" s="12">
        <f t="shared" si="35"/>
        <v>1200</v>
      </c>
      <c r="X1076" s="6" t="s">
        <v>1670</v>
      </c>
      <c r="Y1076" s="6" t="s">
        <v>211</v>
      </c>
      <c r="Z1076" s="6" t="s">
        <v>1667</v>
      </c>
      <c r="AA1076" s="6" t="s">
        <v>55</v>
      </c>
      <c r="AB1076" s="6" t="s">
        <v>36</v>
      </c>
      <c r="AC1076" s="6" t="s">
        <v>37</v>
      </c>
      <c r="AD1076" s="6" t="s">
        <v>143</v>
      </c>
      <c r="AE1076" s="6" t="s">
        <v>39</v>
      </c>
      <c r="AF1076" s="6" t="s">
        <v>40</v>
      </c>
      <c r="AG1076" s="7">
        <v>1200</v>
      </c>
      <c r="AH1076" s="11">
        <f>_xlfn.XLOOKUP(B1076,[1]Sheet1!$B:$B,[1]Sheet1!$AB:$AB,0)</f>
        <v>1200</v>
      </c>
    </row>
    <row r="1077" spans="2:34" ht="16.8" thickTop="1" thickBot="1" x14ac:dyDescent="0.35">
      <c r="B1077" s="3" t="str">
        <f t="shared" si="34"/>
        <v>45150204511001404Venue&amp;Room Rent-N422401200104</v>
      </c>
      <c r="C1077" s="8" t="s">
        <v>1668</v>
      </c>
      <c r="D1077" s="8" t="s">
        <v>1664</v>
      </c>
      <c r="E1077" s="8" t="s">
        <v>1665</v>
      </c>
      <c r="F1077" s="8" t="s">
        <v>218</v>
      </c>
      <c r="G1077" s="4" t="s">
        <v>2807</v>
      </c>
      <c r="H1077" s="4" t="s">
        <v>2922</v>
      </c>
      <c r="I1077" s="8" t="s">
        <v>63</v>
      </c>
      <c r="J1077" s="8" t="s">
        <v>31</v>
      </c>
      <c r="K1077" s="12">
        <f>_xlfn.XLOOKUP(B1077,[1]Sheet1!$B:$B,[1]Sheet1!$N:$N,0)</f>
        <v>0</v>
      </c>
      <c r="L1077" s="12">
        <f>_xlfn.XLOOKUP(B1077,[1]Sheet1!$B:$B,[1]Sheet1!$O:$O,0)</f>
        <v>0</v>
      </c>
      <c r="M1077" s="12">
        <f>_xlfn.XLOOKUP(B1077,[1]Sheet1!$B:$B,[1]Sheet1!$P:$P,0)</f>
        <v>0</v>
      </c>
      <c r="N1077" s="12">
        <f>_xlfn.XLOOKUP(B1077,[1]Sheet1!$B:$B,[1]Sheet1!$Q:$Q,0)</f>
        <v>32575</v>
      </c>
      <c r="O1077" s="12">
        <f>_xlfn.XLOOKUP(B1077,[1]Sheet1!$B:$B,[1]Sheet1!$R:$R,0)</f>
        <v>0</v>
      </c>
      <c r="P1077" s="12">
        <f>_xlfn.XLOOKUP(B1077,[1]Sheet1!$B:$B,[1]Sheet1!$S:$S,0)</f>
        <v>0</v>
      </c>
      <c r="Q1077" s="12">
        <f>_xlfn.XLOOKUP(B1077,[1]Sheet1!$B:$B,[1]Sheet1!$T:$T,0)</f>
        <v>0</v>
      </c>
      <c r="R1077" s="12">
        <f>_xlfn.XLOOKUP(B1077,[1]Sheet1!$B:$B,[1]Sheet1!$U:$U,0)</f>
        <v>0</v>
      </c>
      <c r="S1077" s="12">
        <f>_xlfn.XLOOKUP(B1077,[1]Sheet1!$B:$B,[1]Sheet1!$V:$V,0)</f>
        <v>0</v>
      </c>
      <c r="T1077" s="12">
        <f>_xlfn.XLOOKUP(B1077,[1]Sheet1!$B:$B,[1]Sheet1!$W:$W,0)</f>
        <v>0</v>
      </c>
      <c r="U1077" s="12">
        <f>_xlfn.XLOOKUP(B1077,[1]Sheet1!$B:$B,[1]Sheet1!$X:$X,0)</f>
        <v>0</v>
      </c>
      <c r="V1077" s="12">
        <f>_xlfn.XLOOKUP(B1077,[1]Sheet1!$B:$B,[1]Sheet1!$Y:$Y,0)</f>
        <v>0</v>
      </c>
      <c r="W1077" s="12">
        <f t="shared" si="35"/>
        <v>32575</v>
      </c>
      <c r="X1077" s="8" t="s">
        <v>1671</v>
      </c>
      <c r="Y1077" s="8" t="s">
        <v>211</v>
      </c>
      <c r="Z1077" s="8" t="s">
        <v>1667</v>
      </c>
      <c r="AA1077" s="8" t="s">
        <v>68</v>
      </c>
      <c r="AB1077" s="8" t="s">
        <v>36</v>
      </c>
      <c r="AC1077" s="8" t="s">
        <v>37</v>
      </c>
      <c r="AD1077" s="8" t="s">
        <v>143</v>
      </c>
      <c r="AE1077" s="8" t="s">
        <v>39</v>
      </c>
      <c r="AF1077" s="8" t="s">
        <v>40</v>
      </c>
      <c r="AG1077" s="9">
        <v>32575</v>
      </c>
      <c r="AH1077" s="11">
        <f>_xlfn.XLOOKUP(B1077,[1]Sheet1!$B:$B,[1]Sheet1!$AB:$AB,0)</f>
        <v>32575</v>
      </c>
    </row>
    <row r="1078" spans="2:34" ht="16.8" thickTop="1" thickBot="1" x14ac:dyDescent="0.35">
      <c r="B1078" s="3" t="str">
        <f t="shared" si="34"/>
        <v>45150204511001405Admin Expenses-N421125200104</v>
      </c>
      <c r="C1078" s="6" t="s">
        <v>1668</v>
      </c>
      <c r="D1078" s="6" t="s">
        <v>1672</v>
      </c>
      <c r="E1078" s="6" t="s">
        <v>1673</v>
      </c>
      <c r="F1078" s="6" t="s">
        <v>130</v>
      </c>
      <c r="G1078" s="4" t="s">
        <v>2803</v>
      </c>
      <c r="H1078" s="4" t="s">
        <v>2922</v>
      </c>
      <c r="I1078" s="6" t="s">
        <v>44</v>
      </c>
      <c r="J1078" s="6" t="s">
        <v>31</v>
      </c>
      <c r="K1078" s="12">
        <f>_xlfn.XLOOKUP(B1078,[1]Sheet1!$B:$B,[1]Sheet1!$N:$N,0)</f>
        <v>0</v>
      </c>
      <c r="L1078" s="12">
        <f>_xlfn.XLOOKUP(B1078,[1]Sheet1!$B:$B,[1]Sheet1!$O:$O,0)</f>
        <v>0</v>
      </c>
      <c r="M1078" s="12">
        <f>_xlfn.XLOOKUP(B1078,[1]Sheet1!$B:$B,[1]Sheet1!$P:$P,0)</f>
        <v>0</v>
      </c>
      <c r="N1078" s="12">
        <f>_xlfn.XLOOKUP(B1078,[1]Sheet1!$B:$B,[1]Sheet1!$Q:$Q,0)</f>
        <v>0</v>
      </c>
      <c r="O1078" s="12">
        <f>_xlfn.XLOOKUP(B1078,[1]Sheet1!$B:$B,[1]Sheet1!$R:$R,0)</f>
        <v>0</v>
      </c>
      <c r="P1078" s="12">
        <f>_xlfn.XLOOKUP(B1078,[1]Sheet1!$B:$B,[1]Sheet1!$S:$S,0)</f>
        <v>0</v>
      </c>
      <c r="Q1078" s="12">
        <f>_xlfn.XLOOKUP(B1078,[1]Sheet1!$B:$B,[1]Sheet1!$T:$T,0)</f>
        <v>0</v>
      </c>
      <c r="R1078" s="12">
        <f>_xlfn.XLOOKUP(B1078,[1]Sheet1!$B:$B,[1]Sheet1!$U:$U,0)</f>
        <v>5000</v>
      </c>
      <c r="S1078" s="12">
        <f>_xlfn.XLOOKUP(B1078,[1]Sheet1!$B:$B,[1]Sheet1!$V:$V,0)</f>
        <v>0</v>
      </c>
      <c r="T1078" s="12">
        <f>_xlfn.XLOOKUP(B1078,[1]Sheet1!$B:$B,[1]Sheet1!$W:$W,0)</f>
        <v>0</v>
      </c>
      <c r="U1078" s="12">
        <f>_xlfn.XLOOKUP(B1078,[1]Sheet1!$B:$B,[1]Sheet1!$X:$X,0)</f>
        <v>0</v>
      </c>
      <c r="V1078" s="12">
        <f>_xlfn.XLOOKUP(B1078,[1]Sheet1!$B:$B,[1]Sheet1!$Y:$Y,0)</f>
        <v>5000</v>
      </c>
      <c r="W1078" s="12">
        <f t="shared" si="35"/>
        <v>10000</v>
      </c>
      <c r="X1078" s="6" t="s">
        <v>1666</v>
      </c>
      <c r="Y1078" s="6" t="s">
        <v>211</v>
      </c>
      <c r="Z1078" s="6" t="s">
        <v>1667</v>
      </c>
      <c r="AA1078" s="6" t="s">
        <v>44</v>
      </c>
      <c r="AB1078" s="6" t="s">
        <v>36</v>
      </c>
      <c r="AC1078" s="6" t="s">
        <v>37</v>
      </c>
      <c r="AD1078" s="6" t="s">
        <v>143</v>
      </c>
      <c r="AE1078" s="6" t="s">
        <v>39</v>
      </c>
      <c r="AF1078" s="6" t="s">
        <v>40</v>
      </c>
      <c r="AG1078" s="7">
        <v>10000</v>
      </c>
      <c r="AH1078" s="11">
        <f>_xlfn.XLOOKUP(B1078,[1]Sheet1!$B:$B,[1]Sheet1!$AB:$AB,0)</f>
        <v>10000</v>
      </c>
    </row>
    <row r="1079" spans="2:34" ht="16.8" thickTop="1" thickBot="1" x14ac:dyDescent="0.35">
      <c r="B1079" s="3" t="str">
        <f t="shared" si="34"/>
        <v>45150204511001405Event Management-N422401200104</v>
      </c>
      <c r="C1079" s="8" t="s">
        <v>1668</v>
      </c>
      <c r="D1079" s="8" t="s">
        <v>1672</v>
      </c>
      <c r="E1079" s="8" t="s">
        <v>1673</v>
      </c>
      <c r="F1079" s="8" t="s">
        <v>162</v>
      </c>
      <c r="G1079" s="4" t="s">
        <v>2807</v>
      </c>
      <c r="H1079" s="4" t="s">
        <v>2922</v>
      </c>
      <c r="I1079" s="8" t="s">
        <v>63</v>
      </c>
      <c r="J1079" s="8" t="s">
        <v>31</v>
      </c>
      <c r="K1079" s="12">
        <f>_xlfn.XLOOKUP(B1079,[1]Sheet1!$B:$B,[1]Sheet1!$N:$N,0)</f>
        <v>0</v>
      </c>
      <c r="L1079" s="12">
        <f>_xlfn.XLOOKUP(B1079,[1]Sheet1!$B:$B,[1]Sheet1!$O:$O,0)</f>
        <v>0</v>
      </c>
      <c r="M1079" s="12">
        <f>_xlfn.XLOOKUP(B1079,[1]Sheet1!$B:$B,[1]Sheet1!$P:$P,0)</f>
        <v>0</v>
      </c>
      <c r="N1079" s="12">
        <f>_xlfn.XLOOKUP(B1079,[1]Sheet1!$B:$B,[1]Sheet1!$Q:$Q,0)</f>
        <v>0</v>
      </c>
      <c r="O1079" s="12">
        <f>_xlfn.XLOOKUP(B1079,[1]Sheet1!$B:$B,[1]Sheet1!$R:$R,0)</f>
        <v>0</v>
      </c>
      <c r="P1079" s="12">
        <f>_xlfn.XLOOKUP(B1079,[1]Sheet1!$B:$B,[1]Sheet1!$S:$S,0)</f>
        <v>0</v>
      </c>
      <c r="Q1079" s="12">
        <f>_xlfn.XLOOKUP(B1079,[1]Sheet1!$B:$B,[1]Sheet1!$T:$T,0)</f>
        <v>0</v>
      </c>
      <c r="R1079" s="12">
        <f>_xlfn.XLOOKUP(B1079,[1]Sheet1!$B:$B,[1]Sheet1!$U:$U,0)</f>
        <v>0</v>
      </c>
      <c r="S1079" s="12">
        <f>_xlfn.XLOOKUP(B1079,[1]Sheet1!$B:$B,[1]Sheet1!$V:$V,0)</f>
        <v>400000</v>
      </c>
      <c r="T1079" s="12">
        <f>_xlfn.XLOOKUP(B1079,[1]Sheet1!$B:$B,[1]Sheet1!$W:$W,0)</f>
        <v>673000</v>
      </c>
      <c r="U1079" s="12">
        <f>_xlfn.XLOOKUP(B1079,[1]Sheet1!$B:$B,[1]Sheet1!$X:$X,0)</f>
        <v>0</v>
      </c>
      <c r="V1079" s="12">
        <f>_xlfn.XLOOKUP(B1079,[1]Sheet1!$B:$B,[1]Sheet1!$Y:$Y,0)</f>
        <v>438250</v>
      </c>
      <c r="W1079" s="12">
        <f t="shared" si="35"/>
        <v>1511250</v>
      </c>
      <c r="X1079" s="8" t="s">
        <v>1671</v>
      </c>
      <c r="Y1079" s="8" t="s">
        <v>211</v>
      </c>
      <c r="Z1079" s="8" t="s">
        <v>1667</v>
      </c>
      <c r="AA1079" s="8" t="s">
        <v>68</v>
      </c>
      <c r="AB1079" s="8" t="s">
        <v>36</v>
      </c>
      <c r="AC1079" s="8" t="s">
        <v>37</v>
      </c>
      <c r="AD1079" s="8" t="s">
        <v>143</v>
      </c>
      <c r="AE1079" s="8" t="s">
        <v>39</v>
      </c>
      <c r="AF1079" s="8" t="s">
        <v>40</v>
      </c>
      <c r="AG1079" s="9">
        <v>1691250</v>
      </c>
      <c r="AH1079" s="11">
        <f>_xlfn.XLOOKUP(B1079,[1]Sheet1!$B:$B,[1]Sheet1!$AB:$AB,0)</f>
        <v>1691250</v>
      </c>
    </row>
    <row r="1080" spans="2:34" ht="16.8" thickTop="1" thickBot="1" x14ac:dyDescent="0.35">
      <c r="B1080" s="3" t="str">
        <f t="shared" si="34"/>
        <v>45150204511001405Freelancers-N424521200104</v>
      </c>
      <c r="C1080" s="6" t="s">
        <v>1668</v>
      </c>
      <c r="D1080" s="6" t="s">
        <v>1672</v>
      </c>
      <c r="E1080" s="6" t="s">
        <v>1673</v>
      </c>
      <c r="F1080" s="6" t="s">
        <v>50</v>
      </c>
      <c r="G1080" s="4" t="s">
        <v>2804</v>
      </c>
      <c r="H1080" s="4" t="s">
        <v>2922</v>
      </c>
      <c r="I1080" s="6" t="s">
        <v>51</v>
      </c>
      <c r="J1080" s="6" t="s">
        <v>31</v>
      </c>
      <c r="K1080" s="12">
        <f>_xlfn.XLOOKUP(B1080,[1]Sheet1!$B:$B,[1]Sheet1!$N:$N,0)</f>
        <v>0</v>
      </c>
      <c r="L1080" s="12">
        <f>_xlfn.XLOOKUP(B1080,[1]Sheet1!$B:$B,[1]Sheet1!$O:$O,0)</f>
        <v>0</v>
      </c>
      <c r="M1080" s="12">
        <f>_xlfn.XLOOKUP(B1080,[1]Sheet1!$B:$B,[1]Sheet1!$P:$P,0)</f>
        <v>120000</v>
      </c>
      <c r="N1080" s="12">
        <f>_xlfn.XLOOKUP(B1080,[1]Sheet1!$B:$B,[1]Sheet1!$Q:$Q,0)</f>
        <v>0</v>
      </c>
      <c r="O1080" s="12">
        <f>_xlfn.XLOOKUP(B1080,[1]Sheet1!$B:$B,[1]Sheet1!$R:$R,0)</f>
        <v>49000</v>
      </c>
      <c r="P1080" s="12">
        <f>_xlfn.XLOOKUP(B1080,[1]Sheet1!$B:$B,[1]Sheet1!$S:$S,0)</f>
        <v>77000</v>
      </c>
      <c r="Q1080" s="12">
        <f>_xlfn.XLOOKUP(B1080,[1]Sheet1!$B:$B,[1]Sheet1!$T:$T,0)</f>
        <v>77000</v>
      </c>
      <c r="R1080" s="12">
        <f>_xlfn.XLOOKUP(B1080,[1]Sheet1!$B:$B,[1]Sheet1!$U:$U,0)</f>
        <v>77000</v>
      </c>
      <c r="S1080" s="12">
        <f>_xlfn.XLOOKUP(B1080,[1]Sheet1!$B:$B,[1]Sheet1!$V:$V,0)</f>
        <v>77000</v>
      </c>
      <c r="T1080" s="12">
        <f>_xlfn.XLOOKUP(B1080,[1]Sheet1!$B:$B,[1]Sheet1!$W:$W,0)</f>
        <v>32000</v>
      </c>
      <c r="U1080" s="12">
        <f>_xlfn.XLOOKUP(B1080,[1]Sheet1!$B:$B,[1]Sheet1!$X:$X,0)</f>
        <v>32000</v>
      </c>
      <c r="V1080" s="12">
        <f>_xlfn.XLOOKUP(B1080,[1]Sheet1!$B:$B,[1]Sheet1!$Y:$Y,0)</f>
        <v>32000</v>
      </c>
      <c r="W1080" s="12">
        <f t="shared" si="35"/>
        <v>573000</v>
      </c>
      <c r="X1080" s="6" t="s">
        <v>1669</v>
      </c>
      <c r="Y1080" s="6" t="s">
        <v>211</v>
      </c>
      <c r="Z1080" s="6" t="s">
        <v>1667</v>
      </c>
      <c r="AA1080" s="6" t="s">
        <v>53</v>
      </c>
      <c r="AB1080" s="6" t="s">
        <v>36</v>
      </c>
      <c r="AC1080" s="6" t="s">
        <v>37</v>
      </c>
      <c r="AD1080" s="6" t="s">
        <v>143</v>
      </c>
      <c r="AE1080" s="6" t="s">
        <v>39</v>
      </c>
      <c r="AF1080" s="6" t="s">
        <v>40</v>
      </c>
      <c r="AG1080" s="7">
        <v>639000</v>
      </c>
      <c r="AH1080" s="11">
        <f>_xlfn.XLOOKUP(B1080,[1]Sheet1!$B:$B,[1]Sheet1!$AB:$AB,0)</f>
        <v>639000</v>
      </c>
    </row>
    <row r="1081" spans="2:34" ht="16.8" thickTop="1" thickBot="1" x14ac:dyDescent="0.35">
      <c r="B1081" s="3" t="str">
        <f t="shared" si="34"/>
        <v>45150204511001405Mission &amp; Travel-N423821200104</v>
      </c>
      <c r="C1081" s="8" t="s">
        <v>1668</v>
      </c>
      <c r="D1081" s="8" t="s">
        <v>1672</v>
      </c>
      <c r="E1081" s="8" t="s">
        <v>1673</v>
      </c>
      <c r="F1081" s="8" t="s">
        <v>54</v>
      </c>
      <c r="G1081" s="4" t="s">
        <v>2805</v>
      </c>
      <c r="H1081" s="4" t="s">
        <v>2922</v>
      </c>
      <c r="I1081" s="8" t="s">
        <v>55</v>
      </c>
      <c r="J1081" s="8" t="s">
        <v>31</v>
      </c>
      <c r="K1081" s="12">
        <f>_xlfn.XLOOKUP(B1081,[1]Sheet1!$B:$B,[1]Sheet1!$N:$N,0)</f>
        <v>0</v>
      </c>
      <c r="L1081" s="12">
        <f>_xlfn.XLOOKUP(B1081,[1]Sheet1!$B:$B,[1]Sheet1!$O:$O,0)</f>
        <v>0</v>
      </c>
      <c r="M1081" s="12">
        <f>_xlfn.XLOOKUP(B1081,[1]Sheet1!$B:$B,[1]Sheet1!$P:$P,0)</f>
        <v>0</v>
      </c>
      <c r="N1081" s="12">
        <f>_xlfn.XLOOKUP(B1081,[1]Sheet1!$B:$B,[1]Sheet1!$Q:$Q,0)</f>
        <v>0</v>
      </c>
      <c r="O1081" s="12">
        <f>_xlfn.XLOOKUP(B1081,[1]Sheet1!$B:$B,[1]Sheet1!$R:$R,0)</f>
        <v>8000</v>
      </c>
      <c r="P1081" s="12">
        <f>_xlfn.XLOOKUP(B1081,[1]Sheet1!$B:$B,[1]Sheet1!$S:$S,0)</f>
        <v>8000</v>
      </c>
      <c r="Q1081" s="12">
        <f>_xlfn.XLOOKUP(B1081,[1]Sheet1!$B:$B,[1]Sheet1!$T:$T,0)</f>
        <v>0</v>
      </c>
      <c r="R1081" s="12">
        <f>_xlfn.XLOOKUP(B1081,[1]Sheet1!$B:$B,[1]Sheet1!$U:$U,0)</f>
        <v>0</v>
      </c>
      <c r="S1081" s="12">
        <f>_xlfn.XLOOKUP(B1081,[1]Sheet1!$B:$B,[1]Sheet1!$V:$V,0)</f>
        <v>0</v>
      </c>
      <c r="T1081" s="12">
        <f>_xlfn.XLOOKUP(B1081,[1]Sheet1!$B:$B,[1]Sheet1!$W:$W,0)</f>
        <v>8000</v>
      </c>
      <c r="U1081" s="12">
        <f>_xlfn.XLOOKUP(B1081,[1]Sheet1!$B:$B,[1]Sheet1!$X:$X,0)</f>
        <v>8000</v>
      </c>
      <c r="V1081" s="12">
        <f>_xlfn.XLOOKUP(B1081,[1]Sheet1!$B:$B,[1]Sheet1!$Y:$Y,0)</f>
        <v>0</v>
      </c>
      <c r="W1081" s="12">
        <f t="shared" si="35"/>
        <v>32000</v>
      </c>
      <c r="X1081" s="8" t="s">
        <v>1670</v>
      </c>
      <c r="Y1081" s="8" t="s">
        <v>211</v>
      </c>
      <c r="Z1081" s="8" t="s">
        <v>1667</v>
      </c>
      <c r="AA1081" s="8" t="s">
        <v>55</v>
      </c>
      <c r="AB1081" s="8" t="s">
        <v>36</v>
      </c>
      <c r="AC1081" s="8" t="s">
        <v>37</v>
      </c>
      <c r="AD1081" s="8" t="s">
        <v>143</v>
      </c>
      <c r="AE1081" s="8" t="s">
        <v>39</v>
      </c>
      <c r="AF1081" s="8" t="s">
        <v>40</v>
      </c>
      <c r="AG1081" s="9">
        <v>87000</v>
      </c>
      <c r="AH1081" s="11">
        <f>_xlfn.XLOOKUP(B1081,[1]Sheet1!$B:$B,[1]Sheet1!$AB:$AB,0)</f>
        <v>87000</v>
      </c>
    </row>
    <row r="1082" spans="2:34" ht="16.8" thickTop="1" thickBot="1" x14ac:dyDescent="0.35">
      <c r="B1082" s="3" t="str">
        <f t="shared" si="34"/>
        <v>45150204511001405Venue&amp;Room Rent-N422401200104</v>
      </c>
      <c r="C1082" s="6" t="s">
        <v>1668</v>
      </c>
      <c r="D1082" s="6" t="s">
        <v>1672</v>
      </c>
      <c r="E1082" s="6" t="s">
        <v>1673</v>
      </c>
      <c r="F1082" s="6" t="s">
        <v>218</v>
      </c>
      <c r="G1082" s="4" t="s">
        <v>2807</v>
      </c>
      <c r="H1082" s="4" t="s">
        <v>2922</v>
      </c>
      <c r="I1082" s="6" t="s">
        <v>63</v>
      </c>
      <c r="J1082" s="6" t="s">
        <v>31</v>
      </c>
      <c r="K1082" s="12">
        <f>_xlfn.XLOOKUP(B1082,[1]Sheet1!$B:$B,[1]Sheet1!$N:$N,0)</f>
        <v>0</v>
      </c>
      <c r="L1082" s="12">
        <f>_xlfn.XLOOKUP(B1082,[1]Sheet1!$B:$B,[1]Sheet1!$O:$O,0)</f>
        <v>0</v>
      </c>
      <c r="M1082" s="12">
        <f>_xlfn.XLOOKUP(B1082,[1]Sheet1!$B:$B,[1]Sheet1!$P:$P,0)</f>
        <v>0</v>
      </c>
      <c r="N1082" s="12">
        <f>_xlfn.XLOOKUP(B1082,[1]Sheet1!$B:$B,[1]Sheet1!$Q:$Q,0)</f>
        <v>0</v>
      </c>
      <c r="O1082" s="12">
        <f>_xlfn.XLOOKUP(B1082,[1]Sheet1!$B:$B,[1]Sheet1!$R:$R,0)</f>
        <v>0</v>
      </c>
      <c r="P1082" s="12">
        <f>_xlfn.XLOOKUP(B1082,[1]Sheet1!$B:$B,[1]Sheet1!$S:$S,0)</f>
        <v>0</v>
      </c>
      <c r="Q1082" s="12">
        <f>_xlfn.XLOOKUP(B1082,[1]Sheet1!$B:$B,[1]Sheet1!$T:$T,0)</f>
        <v>0</v>
      </c>
      <c r="R1082" s="12">
        <f>_xlfn.XLOOKUP(B1082,[1]Sheet1!$B:$B,[1]Sheet1!$U:$U,0)</f>
        <v>80000</v>
      </c>
      <c r="S1082" s="12">
        <f>_xlfn.XLOOKUP(B1082,[1]Sheet1!$B:$B,[1]Sheet1!$V:$V,0)</f>
        <v>0</v>
      </c>
      <c r="T1082" s="12">
        <f>_xlfn.XLOOKUP(B1082,[1]Sheet1!$B:$B,[1]Sheet1!$W:$W,0)</f>
        <v>0</v>
      </c>
      <c r="U1082" s="12">
        <f>_xlfn.XLOOKUP(B1082,[1]Sheet1!$B:$B,[1]Sheet1!$X:$X,0)</f>
        <v>0</v>
      </c>
      <c r="V1082" s="12">
        <f>_xlfn.XLOOKUP(B1082,[1]Sheet1!$B:$B,[1]Sheet1!$Y:$Y,0)</f>
        <v>0</v>
      </c>
      <c r="W1082" s="12">
        <f t="shared" si="35"/>
        <v>80000</v>
      </c>
      <c r="X1082" s="6" t="s">
        <v>1671</v>
      </c>
      <c r="Y1082" s="6" t="s">
        <v>211</v>
      </c>
      <c r="Z1082" s="6" t="s">
        <v>1667</v>
      </c>
      <c r="AA1082" s="6" t="s">
        <v>68</v>
      </c>
      <c r="AB1082" s="6" t="s">
        <v>36</v>
      </c>
      <c r="AC1082" s="6" t="s">
        <v>37</v>
      </c>
      <c r="AD1082" s="6" t="s">
        <v>143</v>
      </c>
      <c r="AE1082" s="6" t="s">
        <v>39</v>
      </c>
      <c r="AF1082" s="6" t="s">
        <v>40</v>
      </c>
      <c r="AG1082" s="7">
        <v>80000</v>
      </c>
      <c r="AH1082" s="11">
        <f>_xlfn.XLOOKUP(B1082,[1]Sheet1!$B:$B,[1]Sheet1!$AB:$AB,0)</f>
        <v>80000</v>
      </c>
    </row>
    <row r="1083" spans="2:34" ht="16.8" thickTop="1" thickBot="1" x14ac:dyDescent="0.35">
      <c r="B1083" s="3" t="str">
        <f t="shared" si="34"/>
        <v>45150204511001406Campaign Mgmnt-N422511200104</v>
      </c>
      <c r="C1083" s="8" t="s">
        <v>1668</v>
      </c>
      <c r="D1083" s="8" t="s">
        <v>1674</v>
      </c>
      <c r="E1083" s="8" t="s">
        <v>1675</v>
      </c>
      <c r="F1083" s="8" t="s">
        <v>709</v>
      </c>
      <c r="G1083" s="4" t="s">
        <v>2819</v>
      </c>
      <c r="H1083" s="4" t="s">
        <v>2922</v>
      </c>
      <c r="I1083" s="8" t="s">
        <v>151</v>
      </c>
      <c r="J1083" s="8" t="s">
        <v>31</v>
      </c>
      <c r="K1083" s="12">
        <f>_xlfn.XLOOKUP(B1083,[1]Sheet1!$B:$B,[1]Sheet1!$N:$N,0)</f>
        <v>0</v>
      </c>
      <c r="L1083" s="12">
        <f>_xlfn.XLOOKUP(B1083,[1]Sheet1!$B:$B,[1]Sheet1!$O:$O,0)</f>
        <v>0</v>
      </c>
      <c r="M1083" s="12">
        <f>_xlfn.XLOOKUP(B1083,[1]Sheet1!$B:$B,[1]Sheet1!$P:$P,0)</f>
        <v>0</v>
      </c>
      <c r="N1083" s="12">
        <f>_xlfn.XLOOKUP(B1083,[1]Sheet1!$B:$B,[1]Sheet1!$Q:$Q,0)</f>
        <v>0</v>
      </c>
      <c r="O1083" s="12">
        <f>_xlfn.XLOOKUP(B1083,[1]Sheet1!$B:$B,[1]Sheet1!$R:$R,0)</f>
        <v>0</v>
      </c>
      <c r="P1083" s="12">
        <f>_xlfn.XLOOKUP(B1083,[1]Sheet1!$B:$B,[1]Sheet1!$S:$S,0)</f>
        <v>0</v>
      </c>
      <c r="Q1083" s="12">
        <f>_xlfn.XLOOKUP(B1083,[1]Sheet1!$B:$B,[1]Sheet1!$T:$T,0)</f>
        <v>0</v>
      </c>
      <c r="R1083" s="12">
        <f>_xlfn.XLOOKUP(B1083,[1]Sheet1!$B:$B,[1]Sheet1!$U:$U,0)</f>
        <v>45000</v>
      </c>
      <c r="S1083" s="12">
        <f>_xlfn.XLOOKUP(B1083,[1]Sheet1!$B:$B,[1]Sheet1!$V:$V,0)</f>
        <v>0</v>
      </c>
      <c r="T1083" s="12">
        <f>_xlfn.XLOOKUP(B1083,[1]Sheet1!$B:$B,[1]Sheet1!$W:$W,0)</f>
        <v>45000</v>
      </c>
      <c r="U1083" s="12">
        <f>_xlfn.XLOOKUP(B1083,[1]Sheet1!$B:$B,[1]Sheet1!$X:$X,0)</f>
        <v>0</v>
      </c>
      <c r="V1083" s="12">
        <f>_xlfn.XLOOKUP(B1083,[1]Sheet1!$B:$B,[1]Sheet1!$Y:$Y,0)</f>
        <v>60000</v>
      </c>
      <c r="W1083" s="12">
        <f t="shared" si="35"/>
        <v>150000</v>
      </c>
      <c r="X1083" s="8" t="s">
        <v>1676</v>
      </c>
      <c r="Y1083" s="8" t="s">
        <v>211</v>
      </c>
      <c r="Z1083" s="8" t="s">
        <v>1667</v>
      </c>
      <c r="AA1083" s="8" t="s">
        <v>151</v>
      </c>
      <c r="AB1083" s="8" t="s">
        <v>36</v>
      </c>
      <c r="AC1083" s="8" t="s">
        <v>37</v>
      </c>
      <c r="AD1083" s="8" t="s">
        <v>143</v>
      </c>
      <c r="AE1083" s="8" t="s">
        <v>39</v>
      </c>
      <c r="AF1083" s="8" t="s">
        <v>40</v>
      </c>
      <c r="AG1083" s="9">
        <v>150000</v>
      </c>
      <c r="AH1083" s="11">
        <f>_xlfn.XLOOKUP(B1083,[1]Sheet1!$B:$B,[1]Sheet1!$AB:$AB,0)</f>
        <v>150000</v>
      </c>
    </row>
    <row r="1084" spans="2:34" ht="16.8" thickTop="1" thickBot="1" x14ac:dyDescent="0.35">
      <c r="B1084" s="3" t="str">
        <f t="shared" si="34"/>
        <v>45102504511001407Awards &amp; Prizes-N424231200104</v>
      </c>
      <c r="C1084" s="6" t="s">
        <v>480</v>
      </c>
      <c r="D1084" s="6" t="s">
        <v>1677</v>
      </c>
      <c r="E1084" s="6" t="s">
        <v>1678</v>
      </c>
      <c r="F1084" s="6" t="s">
        <v>590</v>
      </c>
      <c r="G1084" s="4" t="s">
        <v>2832</v>
      </c>
      <c r="H1084" s="4" t="s">
        <v>2922</v>
      </c>
      <c r="I1084" s="6" t="s">
        <v>324</v>
      </c>
      <c r="J1084" s="6" t="s">
        <v>31</v>
      </c>
      <c r="K1084" s="12">
        <f>_xlfn.XLOOKUP(B1084,[1]Sheet1!$B:$B,[1]Sheet1!$N:$N,0)</f>
        <v>0</v>
      </c>
      <c r="L1084" s="12">
        <f>_xlfn.XLOOKUP(B1084,[1]Sheet1!$B:$B,[1]Sheet1!$O:$O,0)</f>
        <v>0</v>
      </c>
      <c r="M1084" s="12">
        <f>_xlfn.XLOOKUP(B1084,[1]Sheet1!$B:$B,[1]Sheet1!$P:$P,0)</f>
        <v>0</v>
      </c>
      <c r="N1084" s="12">
        <f>_xlfn.XLOOKUP(B1084,[1]Sheet1!$B:$B,[1]Sheet1!$Q:$Q,0)</f>
        <v>0</v>
      </c>
      <c r="O1084" s="12">
        <f>_xlfn.XLOOKUP(B1084,[1]Sheet1!$B:$B,[1]Sheet1!$R:$R,0)</f>
        <v>0</v>
      </c>
      <c r="P1084" s="12">
        <f>_xlfn.XLOOKUP(B1084,[1]Sheet1!$B:$B,[1]Sheet1!$S:$S,0)</f>
        <v>0</v>
      </c>
      <c r="Q1084" s="12">
        <f>_xlfn.XLOOKUP(B1084,[1]Sheet1!$B:$B,[1]Sheet1!$T:$T,0)</f>
        <v>0</v>
      </c>
      <c r="R1084" s="12">
        <f>_xlfn.XLOOKUP(B1084,[1]Sheet1!$B:$B,[1]Sheet1!$U:$U,0)</f>
        <v>0</v>
      </c>
      <c r="S1084" s="12">
        <f>_xlfn.XLOOKUP(B1084,[1]Sheet1!$B:$B,[1]Sheet1!$V:$V,0)</f>
        <v>0</v>
      </c>
      <c r="T1084" s="12">
        <f>_xlfn.XLOOKUP(B1084,[1]Sheet1!$B:$B,[1]Sheet1!$W:$W,0)</f>
        <v>0</v>
      </c>
      <c r="U1084" s="12">
        <f>_xlfn.XLOOKUP(B1084,[1]Sheet1!$B:$B,[1]Sheet1!$X:$X,0)</f>
        <v>0</v>
      </c>
      <c r="V1084" s="12">
        <f>_xlfn.XLOOKUP(B1084,[1]Sheet1!$B:$B,[1]Sheet1!$Y:$Y,0)</f>
        <v>0</v>
      </c>
      <c r="W1084" s="12">
        <f t="shared" si="35"/>
        <v>0</v>
      </c>
      <c r="X1084" s="6" t="s">
        <v>1679</v>
      </c>
      <c r="Y1084" s="6" t="s">
        <v>132</v>
      </c>
      <c r="Z1084" s="6" t="s">
        <v>479</v>
      </c>
      <c r="AA1084" s="6" t="s">
        <v>326</v>
      </c>
      <c r="AB1084" s="6" t="s">
        <v>36</v>
      </c>
      <c r="AC1084" s="6" t="s">
        <v>37</v>
      </c>
      <c r="AD1084" s="6" t="s">
        <v>732</v>
      </c>
      <c r="AE1084" s="6" t="s">
        <v>39</v>
      </c>
      <c r="AF1084" s="6" t="s">
        <v>40</v>
      </c>
      <c r="AG1084" s="7">
        <v>72000</v>
      </c>
      <c r="AH1084" s="11">
        <f>_xlfn.XLOOKUP(B1084,[1]Sheet1!$B:$B,[1]Sheet1!$AB:$AB,0)</f>
        <v>72000</v>
      </c>
    </row>
    <row r="1085" spans="2:34" ht="16.8" thickTop="1" thickBot="1" x14ac:dyDescent="0.35">
      <c r="B1085" s="3" t="str">
        <f t="shared" si="34"/>
        <v>45102504511001407EndUser Software-N422911200104</v>
      </c>
      <c r="C1085" s="8" t="s">
        <v>480</v>
      </c>
      <c r="D1085" s="8" t="s">
        <v>1677</v>
      </c>
      <c r="E1085" s="8" t="s">
        <v>1678</v>
      </c>
      <c r="F1085" s="8" t="s">
        <v>1008</v>
      </c>
      <c r="G1085" s="4" t="s">
        <v>2863</v>
      </c>
      <c r="H1085" s="4" t="s">
        <v>2922</v>
      </c>
      <c r="I1085" s="8" t="s">
        <v>1009</v>
      </c>
      <c r="J1085" s="8" t="s">
        <v>31</v>
      </c>
      <c r="K1085" s="12">
        <f>_xlfn.XLOOKUP(B1085,[1]Sheet1!$B:$B,[1]Sheet1!$N:$N,0)</f>
        <v>0</v>
      </c>
      <c r="L1085" s="12">
        <f>_xlfn.XLOOKUP(B1085,[1]Sheet1!$B:$B,[1]Sheet1!$O:$O,0)</f>
        <v>0</v>
      </c>
      <c r="M1085" s="12">
        <f>_xlfn.XLOOKUP(B1085,[1]Sheet1!$B:$B,[1]Sheet1!$P:$P,0)</f>
        <v>0</v>
      </c>
      <c r="N1085" s="12">
        <f>_xlfn.XLOOKUP(B1085,[1]Sheet1!$B:$B,[1]Sheet1!$Q:$Q,0)</f>
        <v>298927</v>
      </c>
      <c r="O1085" s="12">
        <f>_xlfn.XLOOKUP(B1085,[1]Sheet1!$B:$B,[1]Sheet1!$R:$R,0)</f>
        <v>1650987.47</v>
      </c>
      <c r="P1085" s="12">
        <f>_xlfn.XLOOKUP(B1085,[1]Sheet1!$B:$B,[1]Sheet1!$S:$S,0)</f>
        <v>0</v>
      </c>
      <c r="Q1085" s="12">
        <f>_xlfn.XLOOKUP(B1085,[1]Sheet1!$B:$B,[1]Sheet1!$T:$T,0)</f>
        <v>0</v>
      </c>
      <c r="R1085" s="12">
        <f>_xlfn.XLOOKUP(B1085,[1]Sheet1!$B:$B,[1]Sheet1!$U:$U,0)</f>
        <v>0</v>
      </c>
      <c r="S1085" s="12">
        <f>_xlfn.XLOOKUP(B1085,[1]Sheet1!$B:$B,[1]Sheet1!$V:$V,0)</f>
        <v>0</v>
      </c>
      <c r="T1085" s="12">
        <f>_xlfn.XLOOKUP(B1085,[1]Sheet1!$B:$B,[1]Sheet1!$W:$W,0)</f>
        <v>1929724</v>
      </c>
      <c r="U1085" s="12">
        <f>_xlfn.XLOOKUP(B1085,[1]Sheet1!$B:$B,[1]Sheet1!$X:$X,0)</f>
        <v>0</v>
      </c>
      <c r="V1085" s="12">
        <f>_xlfn.XLOOKUP(B1085,[1]Sheet1!$B:$B,[1]Sheet1!$Y:$Y,0)</f>
        <v>0</v>
      </c>
      <c r="W1085" s="12">
        <f t="shared" si="35"/>
        <v>3879638.4699999997</v>
      </c>
      <c r="X1085" s="8" t="s">
        <v>1010</v>
      </c>
      <c r="Y1085" s="8" t="s">
        <v>132</v>
      </c>
      <c r="Z1085" s="8" t="s">
        <v>479</v>
      </c>
      <c r="AA1085" s="8" t="s">
        <v>1011</v>
      </c>
      <c r="AB1085" s="8" t="s">
        <v>36</v>
      </c>
      <c r="AC1085" s="8" t="s">
        <v>37</v>
      </c>
      <c r="AD1085" s="8" t="s">
        <v>482</v>
      </c>
      <c r="AE1085" s="8" t="s">
        <v>39</v>
      </c>
      <c r="AF1085" s="8" t="s">
        <v>40</v>
      </c>
      <c r="AG1085" s="9">
        <v>4390228</v>
      </c>
      <c r="AH1085" s="11">
        <f>_xlfn.XLOOKUP(B1085,[1]Sheet1!$B:$B,[1]Sheet1!$AB:$AB,0)</f>
        <v>4390228.47</v>
      </c>
    </row>
    <row r="1086" spans="2:34" ht="16.8" thickTop="1" thickBot="1" x14ac:dyDescent="0.35">
      <c r="B1086" s="3" t="str">
        <f t="shared" si="34"/>
        <v>45102504511001407Laptop  Desktop-NC491320300105</v>
      </c>
      <c r="C1086" s="6" t="s">
        <v>480</v>
      </c>
      <c r="D1086" s="6" t="s">
        <v>1677</v>
      </c>
      <c r="E1086" s="6" t="s">
        <v>1678</v>
      </c>
      <c r="F1086" s="6" t="s">
        <v>1680</v>
      </c>
      <c r="G1086" s="4" t="s">
        <v>2866</v>
      </c>
      <c r="H1086" s="4" t="s">
        <v>2923</v>
      </c>
      <c r="I1086" s="6" t="s">
        <v>1159</v>
      </c>
      <c r="J1086" s="6" t="s">
        <v>31</v>
      </c>
      <c r="K1086" s="12">
        <f>_xlfn.XLOOKUP(B1086,[1]Sheet1!$B:$B,[1]Sheet1!$N:$N,0)</f>
        <v>0</v>
      </c>
      <c r="L1086" s="12">
        <f>_xlfn.XLOOKUP(B1086,[1]Sheet1!$B:$B,[1]Sheet1!$O:$O,0)</f>
        <v>0</v>
      </c>
      <c r="M1086" s="12">
        <f>_xlfn.XLOOKUP(B1086,[1]Sheet1!$B:$B,[1]Sheet1!$P:$P,0)</f>
        <v>0</v>
      </c>
      <c r="N1086" s="12">
        <f>_xlfn.XLOOKUP(B1086,[1]Sheet1!$B:$B,[1]Sheet1!$Q:$Q,0)</f>
        <v>2546100</v>
      </c>
      <c r="O1086" s="12">
        <f>_xlfn.XLOOKUP(B1086,[1]Sheet1!$B:$B,[1]Sheet1!$R:$R,0)</f>
        <v>0</v>
      </c>
      <c r="P1086" s="12">
        <f>_xlfn.XLOOKUP(B1086,[1]Sheet1!$B:$B,[1]Sheet1!$S:$S,0)</f>
        <v>0</v>
      </c>
      <c r="Q1086" s="12">
        <f>_xlfn.XLOOKUP(B1086,[1]Sheet1!$B:$B,[1]Sheet1!$T:$T,0)</f>
        <v>0</v>
      </c>
      <c r="R1086" s="12">
        <f>_xlfn.XLOOKUP(B1086,[1]Sheet1!$B:$B,[1]Sheet1!$U:$U,0)</f>
        <v>0</v>
      </c>
      <c r="S1086" s="12">
        <f>_xlfn.XLOOKUP(B1086,[1]Sheet1!$B:$B,[1]Sheet1!$V:$V,0)</f>
        <v>0</v>
      </c>
      <c r="T1086" s="12">
        <f>_xlfn.XLOOKUP(B1086,[1]Sheet1!$B:$B,[1]Sheet1!$W:$W,0)</f>
        <v>0</v>
      </c>
      <c r="U1086" s="12">
        <f>_xlfn.XLOOKUP(B1086,[1]Sheet1!$B:$B,[1]Sheet1!$X:$X,0)</f>
        <v>0</v>
      </c>
      <c r="V1086" s="12">
        <f>_xlfn.XLOOKUP(B1086,[1]Sheet1!$B:$B,[1]Sheet1!$Y:$Y,0)</f>
        <v>0</v>
      </c>
      <c r="W1086" s="12">
        <f t="shared" si="35"/>
        <v>2546100</v>
      </c>
      <c r="X1086" s="6" t="s">
        <v>1160</v>
      </c>
      <c r="Y1086" s="6" t="s">
        <v>132</v>
      </c>
      <c r="Z1086" s="6" t="s">
        <v>479</v>
      </c>
      <c r="AA1086" s="6" t="s">
        <v>1159</v>
      </c>
      <c r="AB1086" s="6" t="s">
        <v>93</v>
      </c>
      <c r="AC1086" s="6" t="s">
        <v>94</v>
      </c>
      <c r="AD1086" s="6" t="s">
        <v>482</v>
      </c>
      <c r="AE1086" s="6" t="s">
        <v>39</v>
      </c>
      <c r="AF1086" s="6" t="s">
        <v>40</v>
      </c>
      <c r="AG1086" s="7">
        <v>4645048</v>
      </c>
      <c r="AH1086" s="11">
        <f>_xlfn.XLOOKUP(B1086,[1]Sheet1!$B:$B,[1]Sheet1!$AB:$AB,0)</f>
        <v>4645048</v>
      </c>
    </row>
    <row r="1087" spans="2:34" ht="16.8" thickTop="1" thickBot="1" x14ac:dyDescent="0.35">
      <c r="B1087" s="3" t="str">
        <f t="shared" si="34"/>
        <v>45102504511001407Managed Service-N422212200104</v>
      </c>
      <c r="C1087" s="8" t="s">
        <v>480</v>
      </c>
      <c r="D1087" s="8" t="s">
        <v>1677</v>
      </c>
      <c r="E1087" s="8" t="s">
        <v>1678</v>
      </c>
      <c r="F1087" s="8" t="s">
        <v>476</v>
      </c>
      <c r="G1087" s="4" t="s">
        <v>2845</v>
      </c>
      <c r="H1087" s="4" t="s">
        <v>2922</v>
      </c>
      <c r="I1087" s="8" t="s">
        <v>477</v>
      </c>
      <c r="J1087" s="8" t="s">
        <v>31</v>
      </c>
      <c r="K1087" s="12">
        <f>_xlfn.XLOOKUP(B1087,[1]Sheet1!$B:$B,[1]Sheet1!$N:$N,0)</f>
        <v>0</v>
      </c>
      <c r="L1087" s="12">
        <f>_xlfn.XLOOKUP(B1087,[1]Sheet1!$B:$B,[1]Sheet1!$O:$O,0)</f>
        <v>0</v>
      </c>
      <c r="M1087" s="12">
        <f>_xlfn.XLOOKUP(B1087,[1]Sheet1!$B:$B,[1]Sheet1!$P:$P,0)</f>
        <v>0</v>
      </c>
      <c r="N1087" s="12">
        <f>_xlfn.XLOOKUP(B1087,[1]Sheet1!$B:$B,[1]Sheet1!$Q:$Q,0)</f>
        <v>24750</v>
      </c>
      <c r="O1087" s="12">
        <f>_xlfn.XLOOKUP(B1087,[1]Sheet1!$B:$B,[1]Sheet1!$R:$R,0)</f>
        <v>0</v>
      </c>
      <c r="P1087" s="12">
        <f>_xlfn.XLOOKUP(B1087,[1]Sheet1!$B:$B,[1]Sheet1!$S:$S,0)</f>
        <v>24750</v>
      </c>
      <c r="Q1087" s="12">
        <f>_xlfn.XLOOKUP(B1087,[1]Sheet1!$B:$B,[1]Sheet1!$T:$T,0)</f>
        <v>0</v>
      </c>
      <c r="R1087" s="12">
        <f>_xlfn.XLOOKUP(B1087,[1]Sheet1!$B:$B,[1]Sheet1!$U:$U,0)</f>
        <v>0</v>
      </c>
      <c r="S1087" s="12">
        <f>_xlfn.XLOOKUP(B1087,[1]Sheet1!$B:$B,[1]Sheet1!$V:$V,0)</f>
        <v>24750</v>
      </c>
      <c r="T1087" s="12">
        <f>_xlfn.XLOOKUP(B1087,[1]Sheet1!$B:$B,[1]Sheet1!$W:$W,0)</f>
        <v>0</v>
      </c>
      <c r="U1087" s="12">
        <f>_xlfn.XLOOKUP(B1087,[1]Sheet1!$B:$B,[1]Sheet1!$X:$X,0)</f>
        <v>0</v>
      </c>
      <c r="V1087" s="12">
        <f>_xlfn.XLOOKUP(B1087,[1]Sheet1!$B:$B,[1]Sheet1!$Y:$Y,0)</f>
        <v>24750</v>
      </c>
      <c r="W1087" s="12">
        <f t="shared" si="35"/>
        <v>99000</v>
      </c>
      <c r="X1087" s="8" t="s">
        <v>478</v>
      </c>
      <c r="Y1087" s="8" t="s">
        <v>132</v>
      </c>
      <c r="Z1087" s="8" t="s">
        <v>479</v>
      </c>
      <c r="AA1087" s="8" t="s">
        <v>481</v>
      </c>
      <c r="AB1087" s="8" t="s">
        <v>36</v>
      </c>
      <c r="AC1087" s="8" t="s">
        <v>37</v>
      </c>
      <c r="AD1087" s="8" t="s">
        <v>482</v>
      </c>
      <c r="AE1087" s="8" t="s">
        <v>39</v>
      </c>
      <c r="AF1087" s="8" t="s">
        <v>40</v>
      </c>
      <c r="AG1087" s="9">
        <v>99000</v>
      </c>
      <c r="AH1087" s="11">
        <f>_xlfn.XLOOKUP(B1087,[1]Sheet1!$B:$B,[1]Sheet1!$AB:$AB,0)</f>
        <v>99000</v>
      </c>
    </row>
    <row r="1088" spans="2:34" ht="16.8" thickTop="1" thickBot="1" x14ac:dyDescent="0.35">
      <c r="B1088" s="3" t="str">
        <f t="shared" si="34"/>
        <v>45102504511001407NetworkHardware-NC491356300105</v>
      </c>
      <c r="C1088" s="6" t="s">
        <v>480</v>
      </c>
      <c r="D1088" s="6" t="s">
        <v>1677</v>
      </c>
      <c r="E1088" s="6" t="s">
        <v>1678</v>
      </c>
      <c r="F1088" s="6" t="s">
        <v>1681</v>
      </c>
      <c r="G1088" s="4" t="s">
        <v>2876</v>
      </c>
      <c r="H1088" s="4" t="s">
        <v>2923</v>
      </c>
      <c r="I1088" s="6" t="s">
        <v>1682</v>
      </c>
      <c r="J1088" s="6" t="s">
        <v>31</v>
      </c>
      <c r="K1088" s="12">
        <f>_xlfn.XLOOKUP(B1088,[1]Sheet1!$B:$B,[1]Sheet1!$N:$N,0)</f>
        <v>0</v>
      </c>
      <c r="L1088" s="12">
        <f>_xlfn.XLOOKUP(B1088,[1]Sheet1!$B:$B,[1]Sheet1!$O:$O,0)</f>
        <v>0</v>
      </c>
      <c r="M1088" s="12">
        <f>_xlfn.XLOOKUP(B1088,[1]Sheet1!$B:$B,[1]Sheet1!$P:$P,0)</f>
        <v>0</v>
      </c>
      <c r="N1088" s="12">
        <f>_xlfn.XLOOKUP(B1088,[1]Sheet1!$B:$B,[1]Sheet1!$Q:$Q,0)</f>
        <v>0</v>
      </c>
      <c r="O1088" s="12">
        <f>_xlfn.XLOOKUP(B1088,[1]Sheet1!$B:$B,[1]Sheet1!$R:$R,0)</f>
        <v>0</v>
      </c>
      <c r="P1088" s="12">
        <f>_xlfn.XLOOKUP(B1088,[1]Sheet1!$B:$B,[1]Sheet1!$S:$S,0)</f>
        <v>0</v>
      </c>
      <c r="Q1088" s="12">
        <f>_xlfn.XLOOKUP(B1088,[1]Sheet1!$B:$B,[1]Sheet1!$T:$T,0)</f>
        <v>0</v>
      </c>
      <c r="R1088" s="12">
        <f>_xlfn.XLOOKUP(B1088,[1]Sheet1!$B:$B,[1]Sheet1!$U:$U,0)</f>
        <v>1450000</v>
      </c>
      <c r="S1088" s="12">
        <f>_xlfn.XLOOKUP(B1088,[1]Sheet1!$B:$B,[1]Sheet1!$V:$V,0)</f>
        <v>0</v>
      </c>
      <c r="T1088" s="12">
        <f>_xlfn.XLOOKUP(B1088,[1]Sheet1!$B:$B,[1]Sheet1!$W:$W,0)</f>
        <v>0</v>
      </c>
      <c r="U1088" s="12">
        <f>_xlfn.XLOOKUP(B1088,[1]Sheet1!$B:$B,[1]Sheet1!$X:$X,0)</f>
        <v>0</v>
      </c>
      <c r="V1088" s="12">
        <f>_xlfn.XLOOKUP(B1088,[1]Sheet1!$B:$B,[1]Sheet1!$Y:$Y,0)</f>
        <v>0</v>
      </c>
      <c r="W1088" s="12">
        <f t="shared" si="35"/>
        <v>1450000</v>
      </c>
      <c r="X1088" s="6" t="s">
        <v>1683</v>
      </c>
      <c r="Y1088" s="6" t="s">
        <v>132</v>
      </c>
      <c r="Z1088" s="6" t="s">
        <v>479</v>
      </c>
      <c r="AA1088" s="6" t="s">
        <v>1682</v>
      </c>
      <c r="AB1088" s="6" t="s">
        <v>93</v>
      </c>
      <c r="AC1088" s="6" t="s">
        <v>94</v>
      </c>
      <c r="AD1088" s="6" t="s">
        <v>482</v>
      </c>
      <c r="AE1088" s="6" t="s">
        <v>39</v>
      </c>
      <c r="AF1088" s="6" t="s">
        <v>40</v>
      </c>
      <c r="AG1088" s="7">
        <v>990000</v>
      </c>
      <c r="AH1088" s="11">
        <f>_xlfn.XLOOKUP(B1088,[1]Sheet1!$B:$B,[1]Sheet1!$AB:$AB,0)</f>
        <v>990000</v>
      </c>
    </row>
    <row r="1089" spans="2:34" ht="16.8" thickTop="1" thickBot="1" x14ac:dyDescent="0.35">
      <c r="B1089" s="3" t="str">
        <f t="shared" si="34"/>
        <v>45102504511001407Peripherals-NC491320300105</v>
      </c>
      <c r="C1089" s="8" t="s">
        <v>480</v>
      </c>
      <c r="D1089" s="8" t="s">
        <v>1677</v>
      </c>
      <c r="E1089" s="8" t="s">
        <v>1678</v>
      </c>
      <c r="F1089" s="8" t="s">
        <v>1166</v>
      </c>
      <c r="G1089" s="4" t="s">
        <v>2866</v>
      </c>
      <c r="H1089" s="4" t="s">
        <v>2923</v>
      </c>
      <c r="I1089" s="8" t="s">
        <v>1159</v>
      </c>
      <c r="J1089" s="8" t="s">
        <v>31</v>
      </c>
      <c r="K1089" s="12">
        <f>_xlfn.XLOOKUP(B1089,[1]Sheet1!$B:$B,[1]Sheet1!$N:$N,0)</f>
        <v>0</v>
      </c>
      <c r="L1089" s="12">
        <f>_xlfn.XLOOKUP(B1089,[1]Sheet1!$B:$B,[1]Sheet1!$O:$O,0)</f>
        <v>0</v>
      </c>
      <c r="M1089" s="12">
        <f>_xlfn.XLOOKUP(B1089,[1]Sheet1!$B:$B,[1]Sheet1!$P:$P,0)</f>
        <v>0</v>
      </c>
      <c r="N1089" s="12">
        <f>_xlfn.XLOOKUP(B1089,[1]Sheet1!$B:$B,[1]Sheet1!$Q:$Q,0)</f>
        <v>0</v>
      </c>
      <c r="O1089" s="12">
        <f>_xlfn.XLOOKUP(B1089,[1]Sheet1!$B:$B,[1]Sheet1!$R:$R,0)</f>
        <v>0</v>
      </c>
      <c r="P1089" s="12">
        <f>_xlfn.XLOOKUP(B1089,[1]Sheet1!$B:$B,[1]Sheet1!$S:$S,0)</f>
        <v>0</v>
      </c>
      <c r="Q1089" s="12">
        <f>_xlfn.XLOOKUP(B1089,[1]Sheet1!$B:$B,[1]Sheet1!$T:$T,0)</f>
        <v>550000</v>
      </c>
      <c r="R1089" s="12">
        <f>_xlfn.XLOOKUP(B1089,[1]Sheet1!$B:$B,[1]Sheet1!$U:$U,0)</f>
        <v>0</v>
      </c>
      <c r="S1089" s="12">
        <f>_xlfn.XLOOKUP(B1089,[1]Sheet1!$B:$B,[1]Sheet1!$V:$V,0)</f>
        <v>0</v>
      </c>
      <c r="T1089" s="12">
        <f>_xlfn.XLOOKUP(B1089,[1]Sheet1!$B:$B,[1]Sheet1!$W:$W,0)</f>
        <v>0</v>
      </c>
      <c r="U1089" s="12">
        <f>_xlfn.XLOOKUP(B1089,[1]Sheet1!$B:$B,[1]Sheet1!$X:$X,0)</f>
        <v>0</v>
      </c>
      <c r="V1089" s="12">
        <f>_xlfn.XLOOKUP(B1089,[1]Sheet1!$B:$B,[1]Sheet1!$Y:$Y,0)</f>
        <v>0</v>
      </c>
      <c r="W1089" s="12">
        <f t="shared" si="35"/>
        <v>550000</v>
      </c>
      <c r="X1089" s="8" t="s">
        <v>1160</v>
      </c>
      <c r="Y1089" s="8" t="s">
        <v>132</v>
      </c>
      <c r="Z1089" s="8" t="s">
        <v>479</v>
      </c>
      <c r="AA1089" s="8" t="s">
        <v>1159</v>
      </c>
      <c r="AB1089" s="8" t="s">
        <v>93</v>
      </c>
      <c r="AC1089" s="8" t="s">
        <v>94</v>
      </c>
      <c r="AD1089" s="8" t="s">
        <v>482</v>
      </c>
      <c r="AE1089" s="8" t="s">
        <v>39</v>
      </c>
      <c r="AF1089" s="8" t="s">
        <v>40</v>
      </c>
      <c r="AG1089" s="9">
        <v>263765</v>
      </c>
      <c r="AH1089" s="11">
        <f>_xlfn.XLOOKUP(B1089,[1]Sheet1!$B:$B,[1]Sheet1!$AB:$AB,0)</f>
        <v>263765</v>
      </c>
    </row>
    <row r="1090" spans="2:34" ht="16.8" thickTop="1" thickBot="1" x14ac:dyDescent="0.35">
      <c r="B1090" s="3" t="str">
        <f t="shared" si="34"/>
        <v>45102504511001407System Maintain-N1422212200104</v>
      </c>
      <c r="C1090" s="6" t="s">
        <v>480</v>
      </c>
      <c r="D1090" s="6" t="s">
        <v>1677</v>
      </c>
      <c r="E1090" s="6" t="s">
        <v>1678</v>
      </c>
      <c r="F1090" s="6" t="s">
        <v>1067</v>
      </c>
      <c r="G1090" s="4" t="s">
        <v>2845</v>
      </c>
      <c r="H1090" s="4" t="s">
        <v>2922</v>
      </c>
      <c r="I1090" s="6" t="s">
        <v>477</v>
      </c>
      <c r="J1090" s="6" t="s">
        <v>31</v>
      </c>
      <c r="K1090" s="12">
        <f>_xlfn.XLOOKUP(B1090,[1]Sheet1!$B:$B,[1]Sheet1!$N:$N,0)</f>
        <v>0</v>
      </c>
      <c r="L1090" s="12">
        <f>_xlfn.XLOOKUP(B1090,[1]Sheet1!$B:$B,[1]Sheet1!$O:$O,0)</f>
        <v>0</v>
      </c>
      <c r="M1090" s="12">
        <f>_xlfn.XLOOKUP(B1090,[1]Sheet1!$B:$B,[1]Sheet1!$P:$P,0)</f>
        <v>0</v>
      </c>
      <c r="N1090" s="12">
        <f>_xlfn.XLOOKUP(B1090,[1]Sheet1!$B:$B,[1]Sheet1!$Q:$Q,0)</f>
        <v>68000</v>
      </c>
      <c r="O1090" s="12">
        <f>_xlfn.XLOOKUP(B1090,[1]Sheet1!$B:$B,[1]Sheet1!$R:$R,0)</f>
        <v>0</v>
      </c>
      <c r="P1090" s="12">
        <f>_xlfn.XLOOKUP(B1090,[1]Sheet1!$B:$B,[1]Sheet1!$S:$S,0)</f>
        <v>68000</v>
      </c>
      <c r="Q1090" s="12">
        <f>_xlfn.XLOOKUP(B1090,[1]Sheet1!$B:$B,[1]Sheet1!$T:$T,0)</f>
        <v>0</v>
      </c>
      <c r="R1090" s="12">
        <f>_xlfn.XLOOKUP(B1090,[1]Sheet1!$B:$B,[1]Sheet1!$U:$U,0)</f>
        <v>0</v>
      </c>
      <c r="S1090" s="12">
        <f>_xlfn.XLOOKUP(B1090,[1]Sheet1!$B:$B,[1]Sheet1!$V:$V,0)</f>
        <v>68000</v>
      </c>
      <c r="T1090" s="12">
        <f>_xlfn.XLOOKUP(B1090,[1]Sheet1!$B:$B,[1]Sheet1!$W:$W,0)</f>
        <v>0</v>
      </c>
      <c r="U1090" s="12">
        <f>_xlfn.XLOOKUP(B1090,[1]Sheet1!$B:$B,[1]Sheet1!$X:$X,0)</f>
        <v>0</v>
      </c>
      <c r="V1090" s="12">
        <f>_xlfn.XLOOKUP(B1090,[1]Sheet1!$B:$B,[1]Sheet1!$Y:$Y,0)</f>
        <v>68000</v>
      </c>
      <c r="W1090" s="12">
        <f t="shared" si="35"/>
        <v>272000</v>
      </c>
      <c r="X1090" s="6" t="s">
        <v>478</v>
      </c>
      <c r="Y1090" s="6" t="s">
        <v>132</v>
      </c>
      <c r="Z1090" s="6" t="s">
        <v>479</v>
      </c>
      <c r="AA1090" s="6" t="s">
        <v>481</v>
      </c>
      <c r="AB1090" s="6" t="s">
        <v>36</v>
      </c>
      <c r="AC1090" s="6" t="s">
        <v>37</v>
      </c>
      <c r="AD1090" s="6" t="s">
        <v>482</v>
      </c>
      <c r="AE1090" s="6" t="s">
        <v>39</v>
      </c>
      <c r="AF1090" s="6" t="s">
        <v>40</v>
      </c>
      <c r="AG1090" s="7">
        <v>272000</v>
      </c>
      <c r="AH1090" s="11">
        <f>_xlfn.XLOOKUP(B1090,[1]Sheet1!$B:$B,[1]Sheet1!$AB:$AB,0)</f>
        <v>272000</v>
      </c>
    </row>
    <row r="1091" spans="2:34" ht="16.8" thickTop="1" thickBot="1" x14ac:dyDescent="0.35">
      <c r="B1091" s="3" t="str">
        <f t="shared" si="34"/>
        <v>45102504511001408Cloud Services-N422218200104</v>
      </c>
      <c r="C1091" s="8" t="s">
        <v>480</v>
      </c>
      <c r="D1091" s="8" t="s">
        <v>1684</v>
      </c>
      <c r="E1091" s="8" t="s">
        <v>1685</v>
      </c>
      <c r="F1091" s="8" t="s">
        <v>1173</v>
      </c>
      <c r="G1091" s="4" t="s">
        <v>2867</v>
      </c>
      <c r="H1091" s="4" t="s">
        <v>2922</v>
      </c>
      <c r="I1091" s="8" t="s">
        <v>1174</v>
      </c>
      <c r="J1091" s="8" t="s">
        <v>31</v>
      </c>
      <c r="K1091" s="12">
        <f>_xlfn.XLOOKUP(B1091,[1]Sheet1!$B:$B,[1]Sheet1!$N:$N,0)</f>
        <v>0</v>
      </c>
      <c r="L1091" s="12">
        <f>_xlfn.XLOOKUP(B1091,[1]Sheet1!$B:$B,[1]Sheet1!$O:$O,0)</f>
        <v>0</v>
      </c>
      <c r="M1091" s="12">
        <f>_xlfn.XLOOKUP(B1091,[1]Sheet1!$B:$B,[1]Sheet1!$P:$P,0)</f>
        <v>0</v>
      </c>
      <c r="N1091" s="12">
        <f>_xlfn.XLOOKUP(B1091,[1]Sheet1!$B:$B,[1]Sheet1!$Q:$Q,0)</f>
        <v>4743336</v>
      </c>
      <c r="O1091" s="12">
        <f>_xlfn.XLOOKUP(B1091,[1]Sheet1!$B:$B,[1]Sheet1!$R:$R,0)</f>
        <v>1185834</v>
      </c>
      <c r="P1091" s="12">
        <f>_xlfn.XLOOKUP(B1091,[1]Sheet1!$B:$B,[1]Sheet1!$S:$S,0)</f>
        <v>1185834</v>
      </c>
      <c r="Q1091" s="12">
        <f>_xlfn.XLOOKUP(B1091,[1]Sheet1!$B:$B,[1]Sheet1!$T:$T,0)</f>
        <v>1185834</v>
      </c>
      <c r="R1091" s="12">
        <f>_xlfn.XLOOKUP(B1091,[1]Sheet1!$B:$B,[1]Sheet1!$U:$U,0)</f>
        <v>1185834</v>
      </c>
      <c r="S1091" s="12">
        <f>_xlfn.XLOOKUP(B1091,[1]Sheet1!$B:$B,[1]Sheet1!$V:$V,0)</f>
        <v>1185834</v>
      </c>
      <c r="T1091" s="12">
        <f>_xlfn.XLOOKUP(B1091,[1]Sheet1!$B:$B,[1]Sheet1!$W:$W,0)</f>
        <v>1185834</v>
      </c>
      <c r="U1091" s="12">
        <f>_xlfn.XLOOKUP(B1091,[1]Sheet1!$B:$B,[1]Sheet1!$X:$X,0)</f>
        <v>1185834</v>
      </c>
      <c r="V1091" s="12">
        <f>_xlfn.XLOOKUP(B1091,[1]Sheet1!$B:$B,[1]Sheet1!$Y:$Y,0)</f>
        <v>1185834</v>
      </c>
      <c r="W1091" s="12">
        <f t="shared" si="35"/>
        <v>14230008</v>
      </c>
      <c r="X1091" s="8" t="s">
        <v>1175</v>
      </c>
      <c r="Y1091" s="8" t="s">
        <v>132</v>
      </c>
      <c r="Z1091" s="8" t="s">
        <v>479</v>
      </c>
      <c r="AA1091" s="8" t="s">
        <v>1176</v>
      </c>
      <c r="AB1091" s="8" t="s">
        <v>36</v>
      </c>
      <c r="AC1091" s="8" t="s">
        <v>37</v>
      </c>
      <c r="AD1091" s="8" t="s">
        <v>482</v>
      </c>
      <c r="AE1091" s="8" t="s">
        <v>39</v>
      </c>
      <c r="AF1091" s="8" t="s">
        <v>40</v>
      </c>
      <c r="AG1091" s="9">
        <v>15192866</v>
      </c>
      <c r="AH1091" s="11">
        <f>_xlfn.XLOOKUP(B1091,[1]Sheet1!$B:$B,[1]Sheet1!$AB:$AB,0)</f>
        <v>15192866</v>
      </c>
    </row>
    <row r="1092" spans="2:34" ht="16.8" thickTop="1" thickBot="1" x14ac:dyDescent="0.35">
      <c r="B1092" s="3" t="str">
        <f t="shared" ref="B1092:B1155" si="36">C1092&amp;D1092&amp;F1092&amp;G1092&amp;H1092</f>
        <v>45102504511001408Managed Service-N422212200104</v>
      </c>
      <c r="C1092" s="6" t="s">
        <v>480</v>
      </c>
      <c r="D1092" s="6" t="s">
        <v>1684</v>
      </c>
      <c r="E1092" s="6" t="s">
        <v>1685</v>
      </c>
      <c r="F1092" s="6" t="s">
        <v>476</v>
      </c>
      <c r="G1092" s="4" t="s">
        <v>2845</v>
      </c>
      <c r="H1092" s="4" t="s">
        <v>2922</v>
      </c>
      <c r="I1092" s="6" t="s">
        <v>477</v>
      </c>
      <c r="J1092" s="6" t="s">
        <v>31</v>
      </c>
      <c r="K1092" s="12">
        <f>_xlfn.XLOOKUP(B1092,[1]Sheet1!$B:$B,[1]Sheet1!$N:$N,0)</f>
        <v>0</v>
      </c>
      <c r="L1092" s="12">
        <f>_xlfn.XLOOKUP(B1092,[1]Sheet1!$B:$B,[1]Sheet1!$O:$O,0)</f>
        <v>0</v>
      </c>
      <c r="M1092" s="12">
        <f>_xlfn.XLOOKUP(B1092,[1]Sheet1!$B:$B,[1]Sheet1!$P:$P,0)</f>
        <v>0</v>
      </c>
      <c r="N1092" s="12">
        <f>_xlfn.XLOOKUP(B1092,[1]Sheet1!$B:$B,[1]Sheet1!$Q:$Q,0)</f>
        <v>2952582.3333333335</v>
      </c>
      <c r="O1092" s="12">
        <f>_xlfn.XLOOKUP(B1092,[1]Sheet1!$B:$B,[1]Sheet1!$R:$R,0)</f>
        <v>738145.66666666663</v>
      </c>
      <c r="P1092" s="12">
        <f>_xlfn.XLOOKUP(B1092,[1]Sheet1!$B:$B,[1]Sheet1!$S:$S,0)</f>
        <v>738145.66666666663</v>
      </c>
      <c r="Q1092" s="12">
        <f>_xlfn.XLOOKUP(B1092,[1]Sheet1!$B:$B,[1]Sheet1!$T:$T,0)</f>
        <v>738145.66666666663</v>
      </c>
      <c r="R1092" s="12">
        <f>_xlfn.XLOOKUP(B1092,[1]Sheet1!$B:$B,[1]Sheet1!$U:$U,0)</f>
        <v>738145.66666666663</v>
      </c>
      <c r="S1092" s="12">
        <f>_xlfn.XLOOKUP(B1092,[1]Sheet1!$B:$B,[1]Sheet1!$V:$V,0)</f>
        <v>738145.66666666663</v>
      </c>
      <c r="T1092" s="12">
        <f>_xlfn.XLOOKUP(B1092,[1]Sheet1!$B:$B,[1]Sheet1!$W:$W,0)</f>
        <v>738145.66666666663</v>
      </c>
      <c r="U1092" s="12">
        <f>_xlfn.XLOOKUP(B1092,[1]Sheet1!$B:$B,[1]Sheet1!$X:$X,0)</f>
        <v>738145.66666666663</v>
      </c>
      <c r="V1092" s="12">
        <f>_xlfn.XLOOKUP(B1092,[1]Sheet1!$B:$B,[1]Sheet1!$Y:$Y,0)</f>
        <v>738145.66666666663</v>
      </c>
      <c r="W1092" s="12">
        <f t="shared" ref="W1092:W1155" si="37">SUM(K1092:V1092)</f>
        <v>8857747.6666666679</v>
      </c>
      <c r="X1092" s="6" t="s">
        <v>478</v>
      </c>
      <c r="Y1092" s="6" t="s">
        <v>132</v>
      </c>
      <c r="Z1092" s="6" t="s">
        <v>479</v>
      </c>
      <c r="AA1092" s="6" t="s">
        <v>481</v>
      </c>
      <c r="AB1092" s="6" t="s">
        <v>36</v>
      </c>
      <c r="AC1092" s="6" t="s">
        <v>37</v>
      </c>
      <c r="AD1092" s="6" t="s">
        <v>482</v>
      </c>
      <c r="AE1092" s="6" t="s">
        <v>39</v>
      </c>
      <c r="AF1092" s="6" t="s">
        <v>40</v>
      </c>
      <c r="AG1092" s="7">
        <v>8857748</v>
      </c>
      <c r="AH1092" s="11">
        <f>_xlfn.XLOOKUP(B1092,[1]Sheet1!$B:$B,[1]Sheet1!$AB:$AB,0)</f>
        <v>8857747.6666666679</v>
      </c>
    </row>
    <row r="1093" spans="2:34" ht="16.8" thickTop="1" thickBot="1" x14ac:dyDescent="0.35">
      <c r="B1093" s="3" t="str">
        <f t="shared" si="36"/>
        <v>45102504511001408Network Service-NC491356300105</v>
      </c>
      <c r="C1093" s="8" t="s">
        <v>480</v>
      </c>
      <c r="D1093" s="8" t="s">
        <v>1684</v>
      </c>
      <c r="E1093" s="8" t="s">
        <v>1685</v>
      </c>
      <c r="F1093" s="8" t="s">
        <v>1686</v>
      </c>
      <c r="G1093" s="4" t="s">
        <v>2876</v>
      </c>
      <c r="H1093" s="4" t="s">
        <v>2923</v>
      </c>
      <c r="I1093" s="8" t="s">
        <v>1682</v>
      </c>
      <c r="J1093" s="8" t="s">
        <v>31</v>
      </c>
      <c r="K1093" s="12">
        <f>_xlfn.XLOOKUP(B1093,[1]Sheet1!$B:$B,[1]Sheet1!$N:$N,0)</f>
        <v>0</v>
      </c>
      <c r="L1093" s="12">
        <f>_xlfn.XLOOKUP(B1093,[1]Sheet1!$B:$B,[1]Sheet1!$O:$O,0)</f>
        <v>0</v>
      </c>
      <c r="M1093" s="12">
        <f>_xlfn.XLOOKUP(B1093,[1]Sheet1!$B:$B,[1]Sheet1!$P:$P,0)</f>
        <v>0</v>
      </c>
      <c r="N1093" s="12">
        <f>_xlfn.XLOOKUP(B1093,[1]Sheet1!$B:$B,[1]Sheet1!$Q:$Q,0)</f>
        <v>120000</v>
      </c>
      <c r="O1093" s="12">
        <f>_xlfn.XLOOKUP(B1093,[1]Sheet1!$B:$B,[1]Sheet1!$R:$R,0)</f>
        <v>0</v>
      </c>
      <c r="P1093" s="12">
        <f>_xlfn.XLOOKUP(B1093,[1]Sheet1!$B:$B,[1]Sheet1!$S:$S,0)</f>
        <v>0</v>
      </c>
      <c r="Q1093" s="12">
        <f>_xlfn.XLOOKUP(B1093,[1]Sheet1!$B:$B,[1]Sheet1!$T:$T,0)</f>
        <v>0</v>
      </c>
      <c r="R1093" s="12">
        <f>_xlfn.XLOOKUP(B1093,[1]Sheet1!$B:$B,[1]Sheet1!$U:$U,0)</f>
        <v>0</v>
      </c>
      <c r="S1093" s="12">
        <f>_xlfn.XLOOKUP(B1093,[1]Sheet1!$B:$B,[1]Sheet1!$V:$V,0)</f>
        <v>0</v>
      </c>
      <c r="T1093" s="12">
        <f>_xlfn.XLOOKUP(B1093,[1]Sheet1!$B:$B,[1]Sheet1!$W:$W,0)</f>
        <v>0</v>
      </c>
      <c r="U1093" s="12">
        <f>_xlfn.XLOOKUP(B1093,[1]Sheet1!$B:$B,[1]Sheet1!$X:$X,0)</f>
        <v>0</v>
      </c>
      <c r="V1093" s="12">
        <f>_xlfn.XLOOKUP(B1093,[1]Sheet1!$B:$B,[1]Sheet1!$Y:$Y,0)</f>
        <v>0</v>
      </c>
      <c r="W1093" s="12">
        <f t="shared" si="37"/>
        <v>120000</v>
      </c>
      <c r="X1093" s="8" t="s">
        <v>1683</v>
      </c>
      <c r="Y1093" s="8" t="s">
        <v>132</v>
      </c>
      <c r="Z1093" s="8" t="s">
        <v>479</v>
      </c>
      <c r="AA1093" s="8" t="s">
        <v>1682</v>
      </c>
      <c r="AB1093" s="8" t="s">
        <v>93</v>
      </c>
      <c r="AC1093" s="8" t="s">
        <v>94</v>
      </c>
      <c r="AD1093" s="8" t="s">
        <v>482</v>
      </c>
      <c r="AE1093" s="8" t="s">
        <v>39</v>
      </c>
      <c r="AF1093" s="8" t="s">
        <v>40</v>
      </c>
      <c r="AG1093" s="9">
        <v>120000</v>
      </c>
      <c r="AH1093" s="11">
        <f>_xlfn.XLOOKUP(B1093,[1]Sheet1!$B:$B,[1]Sheet1!$AB:$AB,0)</f>
        <v>120000</v>
      </c>
    </row>
    <row r="1094" spans="2:34" ht="16.8" thickTop="1" thickBot="1" x14ac:dyDescent="0.35">
      <c r="B1094" s="3" t="str">
        <f t="shared" si="36"/>
        <v>45102504511001408NetworkHardware-NC491356300105</v>
      </c>
      <c r="C1094" s="6" t="s">
        <v>480</v>
      </c>
      <c r="D1094" s="6" t="s">
        <v>1684</v>
      </c>
      <c r="E1094" s="6" t="s">
        <v>1685</v>
      </c>
      <c r="F1094" s="6" t="s">
        <v>1681</v>
      </c>
      <c r="G1094" s="4" t="s">
        <v>2876</v>
      </c>
      <c r="H1094" s="4" t="s">
        <v>2923</v>
      </c>
      <c r="I1094" s="6" t="s">
        <v>1682</v>
      </c>
      <c r="J1094" s="6" t="s">
        <v>31</v>
      </c>
      <c r="K1094" s="12">
        <f>_xlfn.XLOOKUP(B1094,[1]Sheet1!$B:$B,[1]Sheet1!$N:$N,0)</f>
        <v>0</v>
      </c>
      <c r="L1094" s="12">
        <f>_xlfn.XLOOKUP(B1094,[1]Sheet1!$B:$B,[1]Sheet1!$O:$O,0)</f>
        <v>0</v>
      </c>
      <c r="M1094" s="12">
        <f>_xlfn.XLOOKUP(B1094,[1]Sheet1!$B:$B,[1]Sheet1!$P:$P,0)</f>
        <v>0</v>
      </c>
      <c r="N1094" s="12">
        <f>_xlfn.XLOOKUP(B1094,[1]Sheet1!$B:$B,[1]Sheet1!$Q:$Q,0)</f>
        <v>0</v>
      </c>
      <c r="O1094" s="12">
        <f>_xlfn.XLOOKUP(B1094,[1]Sheet1!$B:$B,[1]Sheet1!$R:$R,0)</f>
        <v>0</v>
      </c>
      <c r="P1094" s="12">
        <f>_xlfn.XLOOKUP(B1094,[1]Sheet1!$B:$B,[1]Sheet1!$S:$S,0)</f>
        <v>0</v>
      </c>
      <c r="Q1094" s="12">
        <f>_xlfn.XLOOKUP(B1094,[1]Sheet1!$B:$B,[1]Sheet1!$T:$T,0)</f>
        <v>1000000</v>
      </c>
      <c r="R1094" s="12">
        <f>_xlfn.XLOOKUP(B1094,[1]Sheet1!$B:$B,[1]Sheet1!$U:$U,0)</f>
        <v>100000</v>
      </c>
      <c r="S1094" s="12">
        <f>_xlfn.XLOOKUP(B1094,[1]Sheet1!$B:$B,[1]Sheet1!$V:$V,0)</f>
        <v>0</v>
      </c>
      <c r="T1094" s="12">
        <f>_xlfn.XLOOKUP(B1094,[1]Sheet1!$B:$B,[1]Sheet1!$W:$W,0)</f>
        <v>2800000</v>
      </c>
      <c r="U1094" s="12">
        <f>_xlfn.XLOOKUP(B1094,[1]Sheet1!$B:$B,[1]Sheet1!$X:$X,0)</f>
        <v>0</v>
      </c>
      <c r="V1094" s="12">
        <f>_xlfn.XLOOKUP(B1094,[1]Sheet1!$B:$B,[1]Sheet1!$Y:$Y,0)</f>
        <v>0</v>
      </c>
      <c r="W1094" s="12">
        <f t="shared" si="37"/>
        <v>3900000</v>
      </c>
      <c r="X1094" s="6" t="s">
        <v>1683</v>
      </c>
      <c r="Y1094" s="6" t="s">
        <v>132</v>
      </c>
      <c r="Z1094" s="6" t="s">
        <v>479</v>
      </c>
      <c r="AA1094" s="6" t="s">
        <v>1682</v>
      </c>
      <c r="AB1094" s="6" t="s">
        <v>93</v>
      </c>
      <c r="AC1094" s="6" t="s">
        <v>94</v>
      </c>
      <c r="AD1094" s="6" t="s">
        <v>482</v>
      </c>
      <c r="AE1094" s="6" t="s">
        <v>39</v>
      </c>
      <c r="AF1094" s="6" t="s">
        <v>40</v>
      </c>
      <c r="AG1094" s="7">
        <v>4976483</v>
      </c>
      <c r="AH1094" s="11">
        <f>_xlfn.XLOOKUP(B1094,[1]Sheet1!$B:$B,[1]Sheet1!$AB:$AB,0)</f>
        <v>4976483</v>
      </c>
    </row>
    <row r="1095" spans="2:34" ht="16.8" thickTop="1" thickBot="1" x14ac:dyDescent="0.35">
      <c r="B1095" s="3" t="str">
        <f t="shared" si="36"/>
        <v>45102504511001408System Licenses-N425252200104</v>
      </c>
      <c r="C1095" s="8" t="s">
        <v>480</v>
      </c>
      <c r="D1095" s="8" t="s">
        <v>1684</v>
      </c>
      <c r="E1095" s="8" t="s">
        <v>1685</v>
      </c>
      <c r="F1095" s="8" t="s">
        <v>180</v>
      </c>
      <c r="G1095" s="4" t="s">
        <v>2821</v>
      </c>
      <c r="H1095" s="4" t="s">
        <v>2922</v>
      </c>
      <c r="I1095" s="8" t="s">
        <v>181</v>
      </c>
      <c r="J1095" s="8" t="s">
        <v>31</v>
      </c>
      <c r="K1095" s="12">
        <f>_xlfn.XLOOKUP(B1095,[1]Sheet1!$B:$B,[1]Sheet1!$N:$N,0)</f>
        <v>0</v>
      </c>
      <c r="L1095" s="12">
        <f>_xlfn.XLOOKUP(B1095,[1]Sheet1!$B:$B,[1]Sheet1!$O:$O,0)</f>
        <v>0</v>
      </c>
      <c r="M1095" s="12">
        <f>_xlfn.XLOOKUP(B1095,[1]Sheet1!$B:$B,[1]Sheet1!$P:$P,0)</f>
        <v>2126929.06</v>
      </c>
      <c r="N1095" s="12">
        <f>_xlfn.XLOOKUP(B1095,[1]Sheet1!$B:$B,[1]Sheet1!$Q:$Q,0)</f>
        <v>339737.25</v>
      </c>
      <c r="O1095" s="12">
        <f>_xlfn.XLOOKUP(B1095,[1]Sheet1!$B:$B,[1]Sheet1!$R:$R,0)</f>
        <v>299150</v>
      </c>
      <c r="P1095" s="12">
        <f>_xlfn.XLOOKUP(B1095,[1]Sheet1!$B:$B,[1]Sheet1!$S:$S,0)</f>
        <v>28400</v>
      </c>
      <c r="Q1095" s="12">
        <f>_xlfn.XLOOKUP(B1095,[1]Sheet1!$B:$B,[1]Sheet1!$T:$T,0)</f>
        <v>28400</v>
      </c>
      <c r="R1095" s="12">
        <f>_xlfn.XLOOKUP(B1095,[1]Sheet1!$B:$B,[1]Sheet1!$U:$U,0)</f>
        <v>608400</v>
      </c>
      <c r="S1095" s="12">
        <f>_xlfn.XLOOKUP(B1095,[1]Sheet1!$B:$B,[1]Sheet1!$V:$V,0)</f>
        <v>9066822</v>
      </c>
      <c r="T1095" s="12">
        <f>_xlfn.XLOOKUP(B1095,[1]Sheet1!$B:$B,[1]Sheet1!$W:$W,0)</f>
        <v>56400</v>
      </c>
      <c r="U1095" s="12">
        <f>_xlfn.XLOOKUP(B1095,[1]Sheet1!$B:$B,[1]Sheet1!$X:$X,0)</f>
        <v>28400</v>
      </c>
      <c r="V1095" s="12">
        <f>_xlfn.XLOOKUP(B1095,[1]Sheet1!$B:$B,[1]Sheet1!$Y:$Y,0)</f>
        <v>28400</v>
      </c>
      <c r="W1095" s="12">
        <f t="shared" si="37"/>
        <v>12611038.310000001</v>
      </c>
      <c r="X1095" s="8" t="s">
        <v>487</v>
      </c>
      <c r="Y1095" s="8" t="s">
        <v>132</v>
      </c>
      <c r="Z1095" s="8" t="s">
        <v>479</v>
      </c>
      <c r="AA1095" s="8" t="s">
        <v>183</v>
      </c>
      <c r="AB1095" s="8" t="s">
        <v>36</v>
      </c>
      <c r="AC1095" s="8" t="s">
        <v>37</v>
      </c>
      <c r="AD1095" s="8" t="s">
        <v>482</v>
      </c>
      <c r="AE1095" s="8" t="s">
        <v>39</v>
      </c>
      <c r="AF1095" s="8" t="s">
        <v>40</v>
      </c>
      <c r="AG1095" s="9">
        <v>14028675</v>
      </c>
      <c r="AH1095" s="11">
        <f>_xlfn.XLOOKUP(B1095,[1]Sheet1!$B:$B,[1]Sheet1!$AB:$AB,0)</f>
        <v>14028675.310000001</v>
      </c>
    </row>
    <row r="1096" spans="2:34" ht="16.8" thickTop="1" thickBot="1" x14ac:dyDescent="0.35">
      <c r="B1096" s="3" t="str">
        <f t="shared" si="36"/>
        <v>45102504511001408System Maintain-N1422212200104</v>
      </c>
      <c r="C1096" s="6" t="s">
        <v>480</v>
      </c>
      <c r="D1096" s="6" t="s">
        <v>1684</v>
      </c>
      <c r="E1096" s="6" t="s">
        <v>1685</v>
      </c>
      <c r="F1096" s="6" t="s">
        <v>1067</v>
      </c>
      <c r="G1096" s="4" t="s">
        <v>2845</v>
      </c>
      <c r="H1096" s="4" t="s">
        <v>2922</v>
      </c>
      <c r="I1096" s="6" t="s">
        <v>477</v>
      </c>
      <c r="J1096" s="6" t="s">
        <v>31</v>
      </c>
      <c r="K1096" s="12">
        <f>_xlfn.XLOOKUP(B1096,[1]Sheet1!$B:$B,[1]Sheet1!$N:$N,0)</f>
        <v>0</v>
      </c>
      <c r="L1096" s="12">
        <f>_xlfn.XLOOKUP(B1096,[1]Sheet1!$B:$B,[1]Sheet1!$O:$O,0)</f>
        <v>0</v>
      </c>
      <c r="M1096" s="12">
        <f>_xlfn.XLOOKUP(B1096,[1]Sheet1!$B:$B,[1]Sheet1!$P:$P,0)</f>
        <v>0</v>
      </c>
      <c r="N1096" s="12">
        <f>_xlfn.XLOOKUP(B1096,[1]Sheet1!$B:$B,[1]Sheet1!$Q:$Q,0)</f>
        <v>0</v>
      </c>
      <c r="O1096" s="12">
        <f>_xlfn.XLOOKUP(B1096,[1]Sheet1!$B:$B,[1]Sheet1!$R:$R,0)</f>
        <v>0</v>
      </c>
      <c r="P1096" s="12">
        <f>_xlfn.XLOOKUP(B1096,[1]Sheet1!$B:$B,[1]Sheet1!$S:$S,0)</f>
        <v>0</v>
      </c>
      <c r="Q1096" s="12">
        <f>_xlfn.XLOOKUP(B1096,[1]Sheet1!$B:$B,[1]Sheet1!$T:$T,0)</f>
        <v>0</v>
      </c>
      <c r="R1096" s="12">
        <f>_xlfn.XLOOKUP(B1096,[1]Sheet1!$B:$B,[1]Sheet1!$U:$U,0)</f>
        <v>0</v>
      </c>
      <c r="S1096" s="12">
        <f>_xlfn.XLOOKUP(B1096,[1]Sheet1!$B:$B,[1]Sheet1!$V:$V,0)</f>
        <v>42000</v>
      </c>
      <c r="T1096" s="12">
        <f>_xlfn.XLOOKUP(B1096,[1]Sheet1!$B:$B,[1]Sheet1!$W:$W,0)</f>
        <v>0</v>
      </c>
      <c r="U1096" s="12">
        <f>_xlfn.XLOOKUP(B1096,[1]Sheet1!$B:$B,[1]Sheet1!$X:$X,0)</f>
        <v>0</v>
      </c>
      <c r="V1096" s="12">
        <f>_xlfn.XLOOKUP(B1096,[1]Sheet1!$B:$B,[1]Sheet1!$Y:$Y,0)</f>
        <v>0</v>
      </c>
      <c r="W1096" s="12">
        <f t="shared" si="37"/>
        <v>42000</v>
      </c>
      <c r="X1096" s="6" t="s">
        <v>478</v>
      </c>
      <c r="Y1096" s="6" t="s">
        <v>132</v>
      </c>
      <c r="Z1096" s="6" t="s">
        <v>479</v>
      </c>
      <c r="AA1096" s="6" t="s">
        <v>481</v>
      </c>
      <c r="AB1096" s="6" t="s">
        <v>36</v>
      </c>
      <c r="AC1096" s="6" t="s">
        <v>37</v>
      </c>
      <c r="AD1096" s="6" t="s">
        <v>482</v>
      </c>
      <c r="AE1096" s="6" t="s">
        <v>39</v>
      </c>
      <c r="AF1096" s="6" t="s">
        <v>40</v>
      </c>
      <c r="AG1096" s="7">
        <v>42000</v>
      </c>
      <c r="AH1096" s="11">
        <f>_xlfn.XLOOKUP(B1096,[1]Sheet1!$B:$B,[1]Sheet1!$AB:$AB,0)</f>
        <v>42000</v>
      </c>
    </row>
    <row r="1097" spans="2:34" ht="16.8" thickTop="1" thickBot="1" x14ac:dyDescent="0.35">
      <c r="B1097" s="3" t="str">
        <f t="shared" si="36"/>
        <v>45102504511001409System Licenses-N425252200104</v>
      </c>
      <c r="C1097" s="8" t="s">
        <v>480</v>
      </c>
      <c r="D1097" s="8" t="s">
        <v>1687</v>
      </c>
      <c r="E1097" s="8" t="s">
        <v>1688</v>
      </c>
      <c r="F1097" s="8" t="s">
        <v>180</v>
      </c>
      <c r="G1097" s="4" t="s">
        <v>2821</v>
      </c>
      <c r="H1097" s="4" t="s">
        <v>2922</v>
      </c>
      <c r="I1097" s="8" t="s">
        <v>181</v>
      </c>
      <c r="J1097" s="8" t="s">
        <v>31</v>
      </c>
      <c r="K1097" s="12">
        <f>_xlfn.XLOOKUP(B1097,[1]Sheet1!$B:$B,[1]Sheet1!$N:$N,0)</f>
        <v>0</v>
      </c>
      <c r="L1097" s="12">
        <f>_xlfn.XLOOKUP(B1097,[1]Sheet1!$B:$B,[1]Sheet1!$O:$O,0)</f>
        <v>0</v>
      </c>
      <c r="M1097" s="12">
        <f>_xlfn.XLOOKUP(B1097,[1]Sheet1!$B:$B,[1]Sheet1!$P:$P,0)</f>
        <v>0</v>
      </c>
      <c r="N1097" s="12">
        <f>_xlfn.XLOOKUP(B1097,[1]Sheet1!$B:$B,[1]Sheet1!$Q:$Q,0)</f>
        <v>5000</v>
      </c>
      <c r="O1097" s="12">
        <f>_xlfn.XLOOKUP(B1097,[1]Sheet1!$B:$B,[1]Sheet1!$R:$R,0)</f>
        <v>0</v>
      </c>
      <c r="P1097" s="12">
        <f>_xlfn.XLOOKUP(B1097,[1]Sheet1!$B:$B,[1]Sheet1!$S:$S,0)</f>
        <v>0</v>
      </c>
      <c r="Q1097" s="12">
        <f>_xlfn.XLOOKUP(B1097,[1]Sheet1!$B:$B,[1]Sheet1!$T:$T,0)</f>
        <v>0</v>
      </c>
      <c r="R1097" s="12">
        <f>_xlfn.XLOOKUP(B1097,[1]Sheet1!$B:$B,[1]Sheet1!$U:$U,0)</f>
        <v>0</v>
      </c>
      <c r="S1097" s="12">
        <f>_xlfn.XLOOKUP(B1097,[1]Sheet1!$B:$B,[1]Sheet1!$V:$V,0)</f>
        <v>0</v>
      </c>
      <c r="T1097" s="12">
        <f>_xlfn.XLOOKUP(B1097,[1]Sheet1!$B:$B,[1]Sheet1!$W:$W,0)</f>
        <v>0</v>
      </c>
      <c r="U1097" s="12">
        <f>_xlfn.XLOOKUP(B1097,[1]Sheet1!$B:$B,[1]Sheet1!$X:$X,0)</f>
        <v>0</v>
      </c>
      <c r="V1097" s="12">
        <f>_xlfn.XLOOKUP(B1097,[1]Sheet1!$B:$B,[1]Sheet1!$Y:$Y,0)</f>
        <v>0</v>
      </c>
      <c r="W1097" s="12">
        <f t="shared" si="37"/>
        <v>5000</v>
      </c>
      <c r="X1097" s="8" t="s">
        <v>487</v>
      </c>
      <c r="Y1097" s="8" t="s">
        <v>132</v>
      </c>
      <c r="Z1097" s="8" t="s">
        <v>479</v>
      </c>
      <c r="AA1097" s="8" t="s">
        <v>183</v>
      </c>
      <c r="AB1097" s="8" t="s">
        <v>36</v>
      </c>
      <c r="AC1097" s="8" t="s">
        <v>37</v>
      </c>
      <c r="AD1097" s="8" t="s">
        <v>482</v>
      </c>
      <c r="AE1097" s="8" t="s">
        <v>39</v>
      </c>
      <c r="AF1097" s="8" t="s">
        <v>40</v>
      </c>
      <c r="AG1097" s="9">
        <v>17628</v>
      </c>
      <c r="AH1097" s="11">
        <f>_xlfn.XLOOKUP(B1097,[1]Sheet1!$B:$B,[1]Sheet1!$AB:$AB,0)</f>
        <v>17628</v>
      </c>
    </row>
    <row r="1098" spans="2:34" ht="16.8" thickTop="1" thickBot="1" x14ac:dyDescent="0.35">
      <c r="B1098" s="3" t="str">
        <f t="shared" si="36"/>
        <v>45102504511001409Systems Develop-NC493140300105</v>
      </c>
      <c r="C1098" s="6" t="s">
        <v>480</v>
      </c>
      <c r="D1098" s="6" t="s">
        <v>1687</v>
      </c>
      <c r="E1098" s="6" t="s">
        <v>1688</v>
      </c>
      <c r="F1098" s="6" t="s">
        <v>184</v>
      </c>
      <c r="G1098" s="4" t="s">
        <v>2822</v>
      </c>
      <c r="H1098" s="4" t="s">
        <v>2923</v>
      </c>
      <c r="I1098" s="6" t="s">
        <v>185</v>
      </c>
      <c r="J1098" s="6" t="s">
        <v>31</v>
      </c>
      <c r="K1098" s="12">
        <f>_xlfn.XLOOKUP(B1098,[1]Sheet1!$B:$B,[1]Sheet1!$N:$N,0)</f>
        <v>0</v>
      </c>
      <c r="L1098" s="12">
        <f>_xlfn.XLOOKUP(B1098,[1]Sheet1!$B:$B,[1]Sheet1!$O:$O,0)</f>
        <v>0</v>
      </c>
      <c r="M1098" s="12">
        <f>_xlfn.XLOOKUP(B1098,[1]Sheet1!$B:$B,[1]Sheet1!$P:$P,0)</f>
        <v>0</v>
      </c>
      <c r="N1098" s="12">
        <f>_xlfn.XLOOKUP(B1098,[1]Sheet1!$B:$B,[1]Sheet1!$Q:$Q,0)</f>
        <v>0</v>
      </c>
      <c r="O1098" s="12">
        <f>_xlfn.XLOOKUP(B1098,[1]Sheet1!$B:$B,[1]Sheet1!$R:$R,0)</f>
        <v>0</v>
      </c>
      <c r="P1098" s="12">
        <f>_xlfn.XLOOKUP(B1098,[1]Sheet1!$B:$B,[1]Sheet1!$S:$S,0)</f>
        <v>0</v>
      </c>
      <c r="Q1098" s="12">
        <f>_xlfn.XLOOKUP(B1098,[1]Sheet1!$B:$B,[1]Sheet1!$T:$T,0)</f>
        <v>0</v>
      </c>
      <c r="R1098" s="12">
        <f>_xlfn.XLOOKUP(B1098,[1]Sheet1!$B:$B,[1]Sheet1!$U:$U,0)</f>
        <v>0</v>
      </c>
      <c r="S1098" s="12">
        <f>_xlfn.XLOOKUP(B1098,[1]Sheet1!$B:$B,[1]Sheet1!$V:$V,0)</f>
        <v>0</v>
      </c>
      <c r="T1098" s="12">
        <f>_xlfn.XLOOKUP(B1098,[1]Sheet1!$B:$B,[1]Sheet1!$W:$W,0)</f>
        <v>0</v>
      </c>
      <c r="U1098" s="12">
        <f>_xlfn.XLOOKUP(B1098,[1]Sheet1!$B:$B,[1]Sheet1!$X:$X,0)</f>
        <v>0</v>
      </c>
      <c r="V1098" s="12">
        <f>_xlfn.XLOOKUP(B1098,[1]Sheet1!$B:$B,[1]Sheet1!$Y:$Y,0)</f>
        <v>0</v>
      </c>
      <c r="W1098" s="12">
        <f t="shared" si="37"/>
        <v>0</v>
      </c>
      <c r="X1098" s="6" t="s">
        <v>1070</v>
      </c>
      <c r="Y1098" s="6" t="s">
        <v>132</v>
      </c>
      <c r="Z1098" s="6" t="s">
        <v>479</v>
      </c>
      <c r="AA1098" s="6" t="s">
        <v>185</v>
      </c>
      <c r="AB1098" s="6" t="s">
        <v>93</v>
      </c>
      <c r="AC1098" s="6" t="s">
        <v>94</v>
      </c>
      <c r="AD1098" s="6" t="s">
        <v>482</v>
      </c>
      <c r="AE1098" s="6" t="s">
        <v>39</v>
      </c>
      <c r="AF1098" s="6" t="s">
        <v>40</v>
      </c>
      <c r="AG1098" s="7">
        <v>775115</v>
      </c>
      <c r="AH1098" s="11">
        <f>_xlfn.XLOOKUP(B1098,[1]Sheet1!$B:$B,[1]Sheet1!$AB:$AB,0)</f>
        <v>775115</v>
      </c>
    </row>
    <row r="1099" spans="2:34" ht="16.8" thickTop="1" thickBot="1" x14ac:dyDescent="0.35">
      <c r="B1099" s="3" t="str">
        <f t="shared" si="36"/>
        <v>45192014511001410Content Partner-N1424781200104</v>
      </c>
      <c r="C1099" s="8" t="s">
        <v>876</v>
      </c>
      <c r="D1099" s="8" t="s">
        <v>1689</v>
      </c>
      <c r="E1099" s="8" t="s">
        <v>1690</v>
      </c>
      <c r="F1099" s="8" t="s">
        <v>1691</v>
      </c>
      <c r="G1099" s="4" t="s">
        <v>2815</v>
      </c>
      <c r="H1099" s="4" t="s">
        <v>2922</v>
      </c>
      <c r="I1099" s="8" t="s">
        <v>100</v>
      </c>
      <c r="J1099" s="8" t="s">
        <v>31</v>
      </c>
      <c r="K1099" s="12">
        <f>_xlfn.XLOOKUP(B1099,[1]Sheet1!$B:$B,[1]Sheet1!$N:$N,0)</f>
        <v>0</v>
      </c>
      <c r="L1099" s="12">
        <f>_xlfn.XLOOKUP(B1099,[1]Sheet1!$B:$B,[1]Sheet1!$O:$O,0)</f>
        <v>0</v>
      </c>
      <c r="M1099" s="12">
        <f>_xlfn.XLOOKUP(B1099,[1]Sheet1!$B:$B,[1]Sheet1!$P:$P,0)</f>
        <v>0</v>
      </c>
      <c r="N1099" s="12">
        <f>_xlfn.XLOOKUP(B1099,[1]Sheet1!$B:$B,[1]Sheet1!$Q:$Q,0)</f>
        <v>0</v>
      </c>
      <c r="O1099" s="12">
        <f>_xlfn.XLOOKUP(B1099,[1]Sheet1!$B:$B,[1]Sheet1!$R:$R,0)</f>
        <v>0</v>
      </c>
      <c r="P1099" s="12">
        <f>_xlfn.XLOOKUP(B1099,[1]Sheet1!$B:$B,[1]Sheet1!$S:$S,0)</f>
        <v>0</v>
      </c>
      <c r="Q1099" s="12">
        <f>_xlfn.XLOOKUP(B1099,[1]Sheet1!$B:$B,[1]Sheet1!$T:$T,0)</f>
        <v>0</v>
      </c>
      <c r="R1099" s="12">
        <f>_xlfn.XLOOKUP(B1099,[1]Sheet1!$B:$B,[1]Sheet1!$U:$U,0)</f>
        <v>0</v>
      </c>
      <c r="S1099" s="12">
        <f>_xlfn.XLOOKUP(B1099,[1]Sheet1!$B:$B,[1]Sheet1!$V:$V,0)</f>
        <v>0</v>
      </c>
      <c r="T1099" s="12">
        <f>_xlfn.XLOOKUP(B1099,[1]Sheet1!$B:$B,[1]Sheet1!$W:$W,0)</f>
        <v>0</v>
      </c>
      <c r="U1099" s="12">
        <f>_xlfn.XLOOKUP(B1099,[1]Sheet1!$B:$B,[1]Sheet1!$X:$X,0)</f>
        <v>0</v>
      </c>
      <c r="V1099" s="12">
        <f>_xlfn.XLOOKUP(B1099,[1]Sheet1!$B:$B,[1]Sheet1!$Y:$Y,0)</f>
        <v>0</v>
      </c>
      <c r="W1099" s="12">
        <f t="shared" si="37"/>
        <v>0</v>
      </c>
      <c r="X1099" s="8" t="s">
        <v>885</v>
      </c>
      <c r="Y1099" s="8" t="s">
        <v>392</v>
      </c>
      <c r="Z1099" s="8" t="s">
        <v>875</v>
      </c>
      <c r="AA1099" s="8" t="s">
        <v>100</v>
      </c>
      <c r="AB1099" s="8" t="s">
        <v>36</v>
      </c>
      <c r="AC1099" s="8" t="s">
        <v>37</v>
      </c>
      <c r="AD1099" s="8" t="s">
        <v>859</v>
      </c>
      <c r="AE1099" s="8" t="s">
        <v>39</v>
      </c>
      <c r="AF1099" s="8" t="s">
        <v>40</v>
      </c>
      <c r="AG1099" s="9">
        <v>450000</v>
      </c>
      <c r="AH1099" s="11">
        <f>_xlfn.XLOOKUP(B1099,[1]Sheet1!$B:$B,[1]Sheet1!$AB:$AB,0)</f>
        <v>450000</v>
      </c>
    </row>
    <row r="1100" spans="2:34" ht="16.8" thickTop="1" thickBot="1" x14ac:dyDescent="0.35">
      <c r="B1100" s="3" t="str">
        <f t="shared" si="36"/>
        <v>45122004511001417Admin Expenses-N1421125200104</v>
      </c>
      <c r="C1100" s="6" t="s">
        <v>731</v>
      </c>
      <c r="D1100" s="6" t="s">
        <v>1692</v>
      </c>
      <c r="E1100" s="6" t="s">
        <v>1693</v>
      </c>
      <c r="F1100" s="6" t="s">
        <v>73</v>
      </c>
      <c r="G1100" s="4" t="s">
        <v>2803</v>
      </c>
      <c r="H1100" s="4" t="s">
        <v>2922</v>
      </c>
      <c r="I1100" s="6" t="s">
        <v>44</v>
      </c>
      <c r="J1100" s="6" t="s">
        <v>31</v>
      </c>
      <c r="K1100" s="12">
        <f>_xlfn.XLOOKUP(B1100,[1]Sheet1!$B:$B,[1]Sheet1!$N:$N,0)</f>
        <v>0</v>
      </c>
      <c r="L1100" s="12">
        <f>_xlfn.XLOOKUP(B1100,[1]Sheet1!$B:$B,[1]Sheet1!$O:$O,0)</f>
        <v>0</v>
      </c>
      <c r="M1100" s="12">
        <f>_xlfn.XLOOKUP(B1100,[1]Sheet1!$B:$B,[1]Sheet1!$P:$P,0)</f>
        <v>0</v>
      </c>
      <c r="N1100" s="12">
        <f>_xlfn.XLOOKUP(B1100,[1]Sheet1!$B:$B,[1]Sheet1!$Q:$Q,0)</f>
        <v>54000</v>
      </c>
      <c r="O1100" s="12">
        <f>_xlfn.XLOOKUP(B1100,[1]Sheet1!$B:$B,[1]Sheet1!$R:$R,0)</f>
        <v>6000</v>
      </c>
      <c r="P1100" s="12">
        <f>_xlfn.XLOOKUP(B1100,[1]Sheet1!$B:$B,[1]Sheet1!$S:$S,0)</f>
        <v>1000</v>
      </c>
      <c r="Q1100" s="12">
        <f>_xlfn.XLOOKUP(B1100,[1]Sheet1!$B:$B,[1]Sheet1!$T:$T,0)</f>
        <v>121000</v>
      </c>
      <c r="R1100" s="12">
        <f>_xlfn.XLOOKUP(B1100,[1]Sheet1!$B:$B,[1]Sheet1!$U:$U,0)</f>
        <v>6000</v>
      </c>
      <c r="S1100" s="12">
        <f>_xlfn.XLOOKUP(B1100,[1]Sheet1!$B:$B,[1]Sheet1!$V:$V,0)</f>
        <v>1000</v>
      </c>
      <c r="T1100" s="12">
        <f>_xlfn.XLOOKUP(B1100,[1]Sheet1!$B:$B,[1]Sheet1!$W:$W,0)</f>
        <v>1000</v>
      </c>
      <c r="U1100" s="12">
        <f>_xlfn.XLOOKUP(B1100,[1]Sheet1!$B:$B,[1]Sheet1!$X:$X,0)</f>
        <v>6000</v>
      </c>
      <c r="V1100" s="12">
        <f>_xlfn.XLOOKUP(B1100,[1]Sheet1!$B:$B,[1]Sheet1!$Y:$Y,0)</f>
        <v>4000</v>
      </c>
      <c r="W1100" s="12">
        <f t="shared" si="37"/>
        <v>200000</v>
      </c>
      <c r="X1100" s="6" t="s">
        <v>1103</v>
      </c>
      <c r="Y1100" s="6" t="s">
        <v>721</v>
      </c>
      <c r="Z1100" s="6" t="s">
        <v>730</v>
      </c>
      <c r="AA1100" s="6" t="s">
        <v>44</v>
      </c>
      <c r="AB1100" s="6" t="s">
        <v>36</v>
      </c>
      <c r="AC1100" s="6" t="s">
        <v>37</v>
      </c>
      <c r="AD1100" s="6" t="s">
        <v>732</v>
      </c>
      <c r="AE1100" s="6" t="s">
        <v>39</v>
      </c>
      <c r="AF1100" s="6" t="s">
        <v>40</v>
      </c>
      <c r="AG1100" s="7">
        <v>200000</v>
      </c>
      <c r="AH1100" s="11">
        <f>_xlfn.XLOOKUP(B1100,[1]Sheet1!$B:$B,[1]Sheet1!$AB:$AB,0)</f>
        <v>200000</v>
      </c>
    </row>
    <row r="1101" spans="2:34" ht="16.8" thickTop="1" thickBot="1" x14ac:dyDescent="0.35">
      <c r="B1101" s="3" t="str">
        <f t="shared" si="36"/>
        <v>45122004511001417Mission &amp; Travel-N1423821200104</v>
      </c>
      <c r="C1101" s="8" t="s">
        <v>731</v>
      </c>
      <c r="D1101" s="8" t="s">
        <v>1692</v>
      </c>
      <c r="E1101" s="8" t="s">
        <v>1693</v>
      </c>
      <c r="F1101" s="8" t="s">
        <v>472</v>
      </c>
      <c r="G1101" s="4" t="s">
        <v>2805</v>
      </c>
      <c r="H1101" s="4" t="s">
        <v>2922</v>
      </c>
      <c r="I1101" s="8" t="s">
        <v>55</v>
      </c>
      <c r="J1101" s="8" t="s">
        <v>31</v>
      </c>
      <c r="K1101" s="12">
        <f>_xlfn.XLOOKUP(B1101,[1]Sheet1!$B:$B,[1]Sheet1!$N:$N,0)</f>
        <v>0</v>
      </c>
      <c r="L1101" s="12">
        <f>_xlfn.XLOOKUP(B1101,[1]Sheet1!$B:$B,[1]Sheet1!$O:$O,0)</f>
        <v>0</v>
      </c>
      <c r="M1101" s="12">
        <f>_xlfn.XLOOKUP(B1101,[1]Sheet1!$B:$B,[1]Sheet1!$P:$P,0)</f>
        <v>0</v>
      </c>
      <c r="N1101" s="12">
        <f>_xlfn.XLOOKUP(B1101,[1]Sheet1!$B:$B,[1]Sheet1!$Q:$Q,0)</f>
        <v>0</v>
      </c>
      <c r="O1101" s="12">
        <f>_xlfn.XLOOKUP(B1101,[1]Sheet1!$B:$B,[1]Sheet1!$R:$R,0)</f>
        <v>0</v>
      </c>
      <c r="P1101" s="12">
        <f>_xlfn.XLOOKUP(B1101,[1]Sheet1!$B:$B,[1]Sheet1!$S:$S,0)</f>
        <v>0</v>
      </c>
      <c r="Q1101" s="12">
        <f>_xlfn.XLOOKUP(B1101,[1]Sheet1!$B:$B,[1]Sheet1!$T:$T,0)</f>
        <v>27000</v>
      </c>
      <c r="R1101" s="12">
        <f>_xlfn.XLOOKUP(B1101,[1]Sheet1!$B:$B,[1]Sheet1!$U:$U,0)</f>
        <v>0</v>
      </c>
      <c r="S1101" s="12">
        <f>_xlfn.XLOOKUP(B1101,[1]Sheet1!$B:$B,[1]Sheet1!$V:$V,0)</f>
        <v>0</v>
      </c>
      <c r="T1101" s="12">
        <f>_xlfn.XLOOKUP(B1101,[1]Sheet1!$B:$B,[1]Sheet1!$W:$W,0)</f>
        <v>100000</v>
      </c>
      <c r="U1101" s="12">
        <f>_xlfn.XLOOKUP(B1101,[1]Sheet1!$B:$B,[1]Sheet1!$X:$X,0)</f>
        <v>0</v>
      </c>
      <c r="V1101" s="12">
        <f>_xlfn.XLOOKUP(B1101,[1]Sheet1!$B:$B,[1]Sheet1!$Y:$Y,0)</f>
        <v>0</v>
      </c>
      <c r="W1101" s="12">
        <f t="shared" si="37"/>
        <v>127000</v>
      </c>
      <c r="X1101" s="8" t="s">
        <v>1694</v>
      </c>
      <c r="Y1101" s="8" t="s">
        <v>721</v>
      </c>
      <c r="Z1101" s="8" t="s">
        <v>730</v>
      </c>
      <c r="AA1101" s="8" t="s">
        <v>55</v>
      </c>
      <c r="AB1101" s="8" t="s">
        <v>36</v>
      </c>
      <c r="AC1101" s="8" t="s">
        <v>37</v>
      </c>
      <c r="AD1101" s="8" t="s">
        <v>732</v>
      </c>
      <c r="AE1101" s="8" t="s">
        <v>39</v>
      </c>
      <c r="AF1101" s="8" t="s">
        <v>40</v>
      </c>
      <c r="AG1101" s="9">
        <v>127000</v>
      </c>
      <c r="AH1101" s="11">
        <f>_xlfn.XLOOKUP(B1101,[1]Sheet1!$B:$B,[1]Sheet1!$AB:$AB,0)</f>
        <v>127000</v>
      </c>
    </row>
    <row r="1102" spans="2:34" ht="16.8" thickTop="1" thickBot="1" x14ac:dyDescent="0.35">
      <c r="B1102" s="3" t="str">
        <f t="shared" si="36"/>
        <v>45122004511001417Other Expenses-N1424991200104</v>
      </c>
      <c r="C1102" s="6" t="s">
        <v>731</v>
      </c>
      <c r="D1102" s="6" t="s">
        <v>1692</v>
      </c>
      <c r="E1102" s="6" t="s">
        <v>1693</v>
      </c>
      <c r="F1102" s="6" t="s">
        <v>667</v>
      </c>
      <c r="G1102" s="4" t="s">
        <v>2806</v>
      </c>
      <c r="H1102" s="4" t="s">
        <v>2922</v>
      </c>
      <c r="I1102" s="6" t="s">
        <v>58</v>
      </c>
      <c r="J1102" s="6" t="s">
        <v>31</v>
      </c>
      <c r="K1102" s="12">
        <f>_xlfn.XLOOKUP(B1102,[1]Sheet1!$B:$B,[1]Sheet1!$N:$N,0)</f>
        <v>0</v>
      </c>
      <c r="L1102" s="12">
        <f>_xlfn.XLOOKUP(B1102,[1]Sheet1!$B:$B,[1]Sheet1!$O:$O,0)</f>
        <v>0</v>
      </c>
      <c r="M1102" s="12">
        <f>_xlfn.XLOOKUP(B1102,[1]Sheet1!$B:$B,[1]Sheet1!$P:$P,0)</f>
        <v>0</v>
      </c>
      <c r="N1102" s="12">
        <f>_xlfn.XLOOKUP(B1102,[1]Sheet1!$B:$B,[1]Sheet1!$Q:$Q,0)</f>
        <v>16000</v>
      </c>
      <c r="O1102" s="12">
        <f>_xlfn.XLOOKUP(B1102,[1]Sheet1!$B:$B,[1]Sheet1!$R:$R,0)</f>
        <v>8000</v>
      </c>
      <c r="P1102" s="12">
        <f>_xlfn.XLOOKUP(B1102,[1]Sheet1!$B:$B,[1]Sheet1!$S:$S,0)</f>
        <v>8000</v>
      </c>
      <c r="Q1102" s="12">
        <f>_xlfn.XLOOKUP(B1102,[1]Sheet1!$B:$B,[1]Sheet1!$T:$T,0)</f>
        <v>8000</v>
      </c>
      <c r="R1102" s="12">
        <f>_xlfn.XLOOKUP(B1102,[1]Sheet1!$B:$B,[1]Sheet1!$U:$U,0)</f>
        <v>8000</v>
      </c>
      <c r="S1102" s="12">
        <f>_xlfn.XLOOKUP(B1102,[1]Sheet1!$B:$B,[1]Sheet1!$V:$V,0)</f>
        <v>8000</v>
      </c>
      <c r="T1102" s="12">
        <f>_xlfn.XLOOKUP(B1102,[1]Sheet1!$B:$B,[1]Sheet1!$W:$W,0)</f>
        <v>8000</v>
      </c>
      <c r="U1102" s="12">
        <f>_xlfn.XLOOKUP(B1102,[1]Sheet1!$B:$B,[1]Sheet1!$X:$X,0)</f>
        <v>8000</v>
      </c>
      <c r="V1102" s="12">
        <f>_xlfn.XLOOKUP(B1102,[1]Sheet1!$B:$B,[1]Sheet1!$Y:$Y,0)</f>
        <v>8000</v>
      </c>
      <c r="W1102" s="12">
        <f t="shared" si="37"/>
        <v>80000</v>
      </c>
      <c r="X1102" s="6" t="s">
        <v>1695</v>
      </c>
      <c r="Y1102" s="6" t="s">
        <v>721</v>
      </c>
      <c r="Z1102" s="6" t="s">
        <v>730</v>
      </c>
      <c r="AA1102" s="6" t="s">
        <v>58</v>
      </c>
      <c r="AB1102" s="6" t="s">
        <v>36</v>
      </c>
      <c r="AC1102" s="6" t="s">
        <v>37</v>
      </c>
      <c r="AD1102" s="6" t="s">
        <v>732</v>
      </c>
      <c r="AE1102" s="6" t="s">
        <v>39</v>
      </c>
      <c r="AF1102" s="6" t="s">
        <v>40</v>
      </c>
      <c r="AG1102" s="7">
        <v>80000</v>
      </c>
      <c r="AH1102" s="11">
        <f>_xlfn.XLOOKUP(B1102,[1]Sheet1!$B:$B,[1]Sheet1!$AB:$AB,0)</f>
        <v>80000</v>
      </c>
    </row>
    <row r="1103" spans="2:34" ht="16.8" thickTop="1" thickBot="1" x14ac:dyDescent="0.35">
      <c r="B1103" s="3" t="str">
        <f t="shared" si="36"/>
        <v>45122004511001418Freelancers-N1424521200104</v>
      </c>
      <c r="C1103" s="8" t="s">
        <v>731</v>
      </c>
      <c r="D1103" s="8" t="s">
        <v>1696</v>
      </c>
      <c r="E1103" s="8" t="s">
        <v>1697</v>
      </c>
      <c r="F1103" s="8" t="s">
        <v>303</v>
      </c>
      <c r="G1103" s="4" t="s">
        <v>2804</v>
      </c>
      <c r="H1103" s="4" t="s">
        <v>2922</v>
      </c>
      <c r="I1103" s="8" t="s">
        <v>51</v>
      </c>
      <c r="J1103" s="8" t="s">
        <v>31</v>
      </c>
      <c r="K1103" s="12">
        <f>_xlfn.XLOOKUP(B1103,[1]Sheet1!$B:$B,[1]Sheet1!$N:$N,0)</f>
        <v>0</v>
      </c>
      <c r="L1103" s="12">
        <f>_xlfn.XLOOKUP(B1103,[1]Sheet1!$B:$B,[1]Sheet1!$O:$O,0)</f>
        <v>0</v>
      </c>
      <c r="M1103" s="12">
        <f>_xlfn.XLOOKUP(B1103,[1]Sheet1!$B:$B,[1]Sheet1!$P:$P,0)</f>
        <v>0</v>
      </c>
      <c r="N1103" s="12">
        <f>_xlfn.XLOOKUP(B1103,[1]Sheet1!$B:$B,[1]Sheet1!$Q:$Q,0)</f>
        <v>413800</v>
      </c>
      <c r="O1103" s="12">
        <f>_xlfn.XLOOKUP(B1103,[1]Sheet1!$B:$B,[1]Sheet1!$R:$R,0)</f>
        <v>199450</v>
      </c>
      <c r="P1103" s="12">
        <f>_xlfn.XLOOKUP(B1103,[1]Sheet1!$B:$B,[1]Sheet1!$S:$S,0)</f>
        <v>199450</v>
      </c>
      <c r="Q1103" s="12">
        <f>_xlfn.XLOOKUP(B1103,[1]Sheet1!$B:$B,[1]Sheet1!$T:$T,0)</f>
        <v>199450</v>
      </c>
      <c r="R1103" s="12">
        <f>_xlfn.XLOOKUP(B1103,[1]Sheet1!$B:$B,[1]Sheet1!$U:$U,0)</f>
        <v>199450</v>
      </c>
      <c r="S1103" s="12">
        <f>_xlfn.XLOOKUP(B1103,[1]Sheet1!$B:$B,[1]Sheet1!$V:$V,0)</f>
        <v>199450</v>
      </c>
      <c r="T1103" s="12">
        <f>_xlfn.XLOOKUP(B1103,[1]Sheet1!$B:$B,[1]Sheet1!$W:$W,0)</f>
        <v>199450</v>
      </c>
      <c r="U1103" s="12">
        <f>_xlfn.XLOOKUP(B1103,[1]Sheet1!$B:$B,[1]Sheet1!$X:$X,0)</f>
        <v>199450</v>
      </c>
      <c r="V1103" s="12">
        <f>_xlfn.XLOOKUP(B1103,[1]Sheet1!$B:$B,[1]Sheet1!$Y:$Y,0)</f>
        <v>190050</v>
      </c>
      <c r="W1103" s="12">
        <f t="shared" si="37"/>
        <v>2000000</v>
      </c>
      <c r="X1103" s="8" t="s">
        <v>1105</v>
      </c>
      <c r="Y1103" s="8" t="s">
        <v>721</v>
      </c>
      <c r="Z1103" s="8" t="s">
        <v>730</v>
      </c>
      <c r="AA1103" s="8" t="s">
        <v>53</v>
      </c>
      <c r="AB1103" s="8" t="s">
        <v>36</v>
      </c>
      <c r="AC1103" s="8" t="s">
        <v>37</v>
      </c>
      <c r="AD1103" s="8" t="s">
        <v>732</v>
      </c>
      <c r="AE1103" s="8" t="s">
        <v>39</v>
      </c>
      <c r="AF1103" s="8" t="s">
        <v>40</v>
      </c>
      <c r="AG1103" s="9">
        <v>2000000</v>
      </c>
      <c r="AH1103" s="11">
        <f>_xlfn.XLOOKUP(B1103,[1]Sheet1!$B:$B,[1]Sheet1!$AB:$AB,0)</f>
        <v>2000000</v>
      </c>
    </row>
    <row r="1104" spans="2:34" ht="16.8" thickTop="1" thickBot="1" x14ac:dyDescent="0.35">
      <c r="B1104" s="3" t="str">
        <f t="shared" si="36"/>
        <v>45122004511001418Licenses Fees-N1424131200104</v>
      </c>
      <c r="C1104" s="6" t="s">
        <v>731</v>
      </c>
      <c r="D1104" s="6" t="s">
        <v>1696</v>
      </c>
      <c r="E1104" s="6" t="s">
        <v>1697</v>
      </c>
      <c r="F1104" s="6" t="s">
        <v>1698</v>
      </c>
      <c r="G1104" s="4" t="s">
        <v>2835</v>
      </c>
      <c r="H1104" s="4" t="s">
        <v>2922</v>
      </c>
      <c r="I1104" s="6" t="s">
        <v>366</v>
      </c>
      <c r="J1104" s="6" t="s">
        <v>31</v>
      </c>
      <c r="K1104" s="12">
        <f>_xlfn.XLOOKUP(B1104,[1]Sheet1!$B:$B,[1]Sheet1!$N:$N,0)</f>
        <v>0</v>
      </c>
      <c r="L1104" s="12">
        <f>_xlfn.XLOOKUP(B1104,[1]Sheet1!$B:$B,[1]Sheet1!$O:$O,0)</f>
        <v>0</v>
      </c>
      <c r="M1104" s="12">
        <f>_xlfn.XLOOKUP(B1104,[1]Sheet1!$B:$B,[1]Sheet1!$P:$P,0)</f>
        <v>0</v>
      </c>
      <c r="N1104" s="12">
        <f>_xlfn.XLOOKUP(B1104,[1]Sheet1!$B:$B,[1]Sheet1!$Q:$Q,0)</f>
        <v>2311543</v>
      </c>
      <c r="O1104" s="12">
        <f>_xlfn.XLOOKUP(B1104,[1]Sheet1!$B:$B,[1]Sheet1!$R:$R,0)</f>
        <v>92000</v>
      </c>
      <c r="P1104" s="12">
        <f>_xlfn.XLOOKUP(B1104,[1]Sheet1!$B:$B,[1]Sheet1!$S:$S,0)</f>
        <v>623900</v>
      </c>
      <c r="Q1104" s="12">
        <f>_xlfn.XLOOKUP(B1104,[1]Sheet1!$B:$B,[1]Sheet1!$T:$T,0)</f>
        <v>73400</v>
      </c>
      <c r="R1104" s="12">
        <f>_xlfn.XLOOKUP(B1104,[1]Sheet1!$B:$B,[1]Sheet1!$U:$U,0)</f>
        <v>920000</v>
      </c>
      <c r="S1104" s="12">
        <f>_xlfn.XLOOKUP(B1104,[1]Sheet1!$B:$B,[1]Sheet1!$V:$V,0)</f>
        <v>91750</v>
      </c>
      <c r="T1104" s="12">
        <f>_xlfn.XLOOKUP(B1104,[1]Sheet1!$B:$B,[1]Sheet1!$W:$W,0)</f>
        <v>1354924</v>
      </c>
      <c r="U1104" s="12">
        <f>_xlfn.XLOOKUP(B1104,[1]Sheet1!$B:$B,[1]Sheet1!$X:$X,0)</f>
        <v>220800</v>
      </c>
      <c r="V1104" s="12">
        <f>_xlfn.XLOOKUP(B1104,[1]Sheet1!$B:$B,[1]Sheet1!$Y:$Y,0)</f>
        <v>623900</v>
      </c>
      <c r="W1104" s="12">
        <f t="shared" si="37"/>
        <v>6312217</v>
      </c>
      <c r="X1104" s="6" t="s">
        <v>729</v>
      </c>
      <c r="Y1104" s="6" t="s">
        <v>721</v>
      </c>
      <c r="Z1104" s="6" t="s">
        <v>730</v>
      </c>
      <c r="AA1104" s="6" t="s">
        <v>366</v>
      </c>
      <c r="AB1104" s="6" t="s">
        <v>36</v>
      </c>
      <c r="AC1104" s="6" t="s">
        <v>37</v>
      </c>
      <c r="AD1104" s="6" t="s">
        <v>732</v>
      </c>
      <c r="AE1104" s="6" t="s">
        <v>39</v>
      </c>
      <c r="AF1104" s="6" t="s">
        <v>40</v>
      </c>
      <c r="AG1104" s="7">
        <v>11029279</v>
      </c>
      <c r="AH1104" s="11">
        <f>_xlfn.XLOOKUP(B1104,[1]Sheet1!$B:$B,[1]Sheet1!$AB:$AB,0)</f>
        <v>11029279</v>
      </c>
    </row>
    <row r="1105" spans="2:34" ht="16.8" thickTop="1" thickBot="1" x14ac:dyDescent="0.35">
      <c r="B1105" s="3" t="str">
        <f t="shared" si="36"/>
        <v>45122004511001418Trade Promotion-N1424251200104</v>
      </c>
      <c r="C1105" s="8" t="s">
        <v>731</v>
      </c>
      <c r="D1105" s="8" t="s">
        <v>1696</v>
      </c>
      <c r="E1105" s="8" t="s">
        <v>1697</v>
      </c>
      <c r="F1105" s="8" t="s">
        <v>829</v>
      </c>
      <c r="G1105" s="4" t="s">
        <v>2852</v>
      </c>
      <c r="H1105" s="4" t="s">
        <v>2922</v>
      </c>
      <c r="I1105" s="8" t="s">
        <v>569</v>
      </c>
      <c r="J1105" s="8" t="s">
        <v>31</v>
      </c>
      <c r="K1105" s="12">
        <f>_xlfn.XLOOKUP(B1105,[1]Sheet1!$B:$B,[1]Sheet1!$N:$N,0)</f>
        <v>0</v>
      </c>
      <c r="L1105" s="12">
        <f>_xlfn.XLOOKUP(B1105,[1]Sheet1!$B:$B,[1]Sheet1!$O:$O,0)</f>
        <v>0</v>
      </c>
      <c r="M1105" s="12">
        <f>_xlfn.XLOOKUP(B1105,[1]Sheet1!$B:$B,[1]Sheet1!$P:$P,0)</f>
        <v>0</v>
      </c>
      <c r="N1105" s="12">
        <f>_xlfn.XLOOKUP(B1105,[1]Sheet1!$B:$B,[1]Sheet1!$Q:$Q,0)</f>
        <v>0</v>
      </c>
      <c r="O1105" s="12">
        <f>_xlfn.XLOOKUP(B1105,[1]Sheet1!$B:$B,[1]Sheet1!$R:$R,0)</f>
        <v>0</v>
      </c>
      <c r="P1105" s="12">
        <f>_xlfn.XLOOKUP(B1105,[1]Sheet1!$B:$B,[1]Sheet1!$S:$S,0)</f>
        <v>0</v>
      </c>
      <c r="Q1105" s="12">
        <f>_xlfn.XLOOKUP(B1105,[1]Sheet1!$B:$B,[1]Sheet1!$T:$T,0)</f>
        <v>99360</v>
      </c>
      <c r="R1105" s="12">
        <f>_xlfn.XLOOKUP(B1105,[1]Sheet1!$B:$B,[1]Sheet1!$U:$U,0)</f>
        <v>0</v>
      </c>
      <c r="S1105" s="12">
        <f>_xlfn.XLOOKUP(B1105,[1]Sheet1!$B:$B,[1]Sheet1!$V:$V,0)</f>
        <v>0</v>
      </c>
      <c r="T1105" s="12">
        <f>_xlfn.XLOOKUP(B1105,[1]Sheet1!$B:$B,[1]Sheet1!$W:$W,0)</f>
        <v>99360</v>
      </c>
      <c r="U1105" s="12">
        <f>_xlfn.XLOOKUP(B1105,[1]Sheet1!$B:$B,[1]Sheet1!$X:$X,0)</f>
        <v>0</v>
      </c>
      <c r="V1105" s="12">
        <f>_xlfn.XLOOKUP(B1105,[1]Sheet1!$B:$B,[1]Sheet1!$Y:$Y,0)</f>
        <v>0</v>
      </c>
      <c r="W1105" s="12">
        <f t="shared" si="37"/>
        <v>198720</v>
      </c>
      <c r="X1105" s="8" t="s">
        <v>1699</v>
      </c>
      <c r="Y1105" s="8" t="s">
        <v>721</v>
      </c>
      <c r="Z1105" s="8" t="s">
        <v>730</v>
      </c>
      <c r="AA1105" s="8" t="s">
        <v>569</v>
      </c>
      <c r="AB1105" s="8" t="s">
        <v>36</v>
      </c>
      <c r="AC1105" s="8" t="s">
        <v>37</v>
      </c>
      <c r="AD1105" s="8" t="s">
        <v>732</v>
      </c>
      <c r="AE1105" s="8" t="s">
        <v>39</v>
      </c>
      <c r="AF1105" s="8" t="s">
        <v>40</v>
      </c>
      <c r="AG1105" s="9">
        <v>198720</v>
      </c>
      <c r="AH1105" s="11">
        <f>_xlfn.XLOOKUP(B1105,[1]Sheet1!$B:$B,[1]Sheet1!$AB:$AB,0)</f>
        <v>198720</v>
      </c>
    </row>
    <row r="1106" spans="2:34" ht="16.8" thickTop="1" thickBot="1" x14ac:dyDescent="0.35">
      <c r="B1106" s="3" t="str">
        <f t="shared" si="36"/>
        <v>45122004511001419ManagementAdvice-N1424521200104</v>
      </c>
      <c r="C1106" s="6" t="s">
        <v>731</v>
      </c>
      <c r="D1106" s="6" t="s">
        <v>1700</v>
      </c>
      <c r="E1106" s="6" t="s">
        <v>1701</v>
      </c>
      <c r="F1106" s="6" t="s">
        <v>725</v>
      </c>
      <c r="G1106" s="4" t="s">
        <v>2804</v>
      </c>
      <c r="H1106" s="4" t="s">
        <v>2922</v>
      </c>
      <c r="I1106" s="6" t="s">
        <v>51</v>
      </c>
      <c r="J1106" s="6" t="s">
        <v>31</v>
      </c>
      <c r="K1106" s="12">
        <f>_xlfn.XLOOKUP(B1106,[1]Sheet1!$B:$B,[1]Sheet1!$N:$N,0)</f>
        <v>0</v>
      </c>
      <c r="L1106" s="12">
        <f>_xlfn.XLOOKUP(B1106,[1]Sheet1!$B:$B,[1]Sheet1!$O:$O,0)</f>
        <v>0</v>
      </c>
      <c r="M1106" s="12">
        <f>_xlfn.XLOOKUP(B1106,[1]Sheet1!$B:$B,[1]Sheet1!$P:$P,0)</f>
        <v>0</v>
      </c>
      <c r="N1106" s="12">
        <f>_xlfn.XLOOKUP(B1106,[1]Sheet1!$B:$B,[1]Sheet1!$Q:$Q,0)</f>
        <v>0</v>
      </c>
      <c r="O1106" s="12">
        <f>_xlfn.XLOOKUP(B1106,[1]Sheet1!$B:$B,[1]Sheet1!$R:$R,0)</f>
        <v>30000</v>
      </c>
      <c r="P1106" s="12">
        <f>_xlfn.XLOOKUP(B1106,[1]Sheet1!$B:$B,[1]Sheet1!$S:$S,0)</f>
        <v>30000</v>
      </c>
      <c r="Q1106" s="12">
        <f>_xlfn.XLOOKUP(B1106,[1]Sheet1!$B:$B,[1]Sheet1!$T:$T,0)</f>
        <v>40000</v>
      </c>
      <c r="R1106" s="12">
        <f>_xlfn.XLOOKUP(B1106,[1]Sheet1!$B:$B,[1]Sheet1!$U:$U,0)</f>
        <v>42000</v>
      </c>
      <c r="S1106" s="12">
        <f>_xlfn.XLOOKUP(B1106,[1]Sheet1!$B:$B,[1]Sheet1!$V:$V,0)</f>
        <v>42000</v>
      </c>
      <c r="T1106" s="12">
        <f>_xlfn.XLOOKUP(B1106,[1]Sheet1!$B:$B,[1]Sheet1!$W:$W,0)</f>
        <v>0</v>
      </c>
      <c r="U1106" s="12">
        <f>_xlfn.XLOOKUP(B1106,[1]Sheet1!$B:$B,[1]Sheet1!$X:$X,0)</f>
        <v>0</v>
      </c>
      <c r="V1106" s="12">
        <f>_xlfn.XLOOKUP(B1106,[1]Sheet1!$B:$B,[1]Sheet1!$Y:$Y,0)</f>
        <v>0</v>
      </c>
      <c r="W1106" s="12">
        <f t="shared" si="37"/>
        <v>184000</v>
      </c>
      <c r="X1106" s="6" t="s">
        <v>1105</v>
      </c>
      <c r="Y1106" s="6" t="s">
        <v>721</v>
      </c>
      <c r="Z1106" s="6" t="s">
        <v>730</v>
      </c>
      <c r="AA1106" s="6" t="s">
        <v>53</v>
      </c>
      <c r="AB1106" s="6" t="s">
        <v>36</v>
      </c>
      <c r="AC1106" s="6" t="s">
        <v>37</v>
      </c>
      <c r="AD1106" s="6" t="s">
        <v>732</v>
      </c>
      <c r="AE1106" s="6" t="s">
        <v>39</v>
      </c>
      <c r="AF1106" s="6" t="s">
        <v>40</v>
      </c>
      <c r="AG1106" s="7">
        <v>184000</v>
      </c>
      <c r="AH1106" s="11">
        <f>_xlfn.XLOOKUP(B1106,[1]Sheet1!$B:$B,[1]Sheet1!$AB:$AB,0)</f>
        <v>184000</v>
      </c>
    </row>
    <row r="1107" spans="2:34" ht="16.8" thickTop="1" thickBot="1" x14ac:dyDescent="0.35">
      <c r="B1107" s="3" t="str">
        <f t="shared" si="36"/>
        <v>45155004511001424Sponsorship Fees-N424811200104</v>
      </c>
      <c r="C1107" s="8" t="s">
        <v>513</v>
      </c>
      <c r="D1107" s="8" t="s">
        <v>1702</v>
      </c>
      <c r="E1107" s="8" t="s">
        <v>1703</v>
      </c>
      <c r="F1107" s="8" t="s">
        <v>506</v>
      </c>
      <c r="G1107" s="4" t="s">
        <v>2802</v>
      </c>
      <c r="H1107" s="4" t="s">
        <v>2922</v>
      </c>
      <c r="I1107" s="8" t="s">
        <v>30</v>
      </c>
      <c r="J1107" s="8" t="s">
        <v>31</v>
      </c>
      <c r="K1107" s="12">
        <f>_xlfn.XLOOKUP(B1107,[1]Sheet1!$B:$B,[1]Sheet1!$N:$N,0)</f>
        <v>0</v>
      </c>
      <c r="L1107" s="12">
        <f>_xlfn.XLOOKUP(B1107,[1]Sheet1!$B:$B,[1]Sheet1!$O:$O,0)</f>
        <v>0</v>
      </c>
      <c r="M1107" s="12">
        <f>_xlfn.XLOOKUP(B1107,[1]Sheet1!$B:$B,[1]Sheet1!$P:$P,0)</f>
        <v>800000</v>
      </c>
      <c r="N1107" s="12">
        <f>_xlfn.XLOOKUP(B1107,[1]Sheet1!$B:$B,[1]Sheet1!$Q:$Q,0)</f>
        <v>0</v>
      </c>
      <c r="O1107" s="12">
        <f>_xlfn.XLOOKUP(B1107,[1]Sheet1!$B:$B,[1]Sheet1!$R:$R,0)</f>
        <v>0</v>
      </c>
      <c r="P1107" s="12">
        <f>_xlfn.XLOOKUP(B1107,[1]Sheet1!$B:$B,[1]Sheet1!$S:$S,0)</f>
        <v>0</v>
      </c>
      <c r="Q1107" s="12">
        <f>_xlfn.XLOOKUP(B1107,[1]Sheet1!$B:$B,[1]Sheet1!$T:$T,0)</f>
        <v>0</v>
      </c>
      <c r="R1107" s="12">
        <f>_xlfn.XLOOKUP(B1107,[1]Sheet1!$B:$B,[1]Sheet1!$U:$U,0)</f>
        <v>0</v>
      </c>
      <c r="S1107" s="12">
        <f>_xlfn.XLOOKUP(B1107,[1]Sheet1!$B:$B,[1]Sheet1!$V:$V,0)</f>
        <v>0</v>
      </c>
      <c r="T1107" s="12">
        <f>_xlfn.XLOOKUP(B1107,[1]Sheet1!$B:$B,[1]Sheet1!$W:$W,0)</f>
        <v>0</v>
      </c>
      <c r="U1107" s="12">
        <f>_xlfn.XLOOKUP(B1107,[1]Sheet1!$B:$B,[1]Sheet1!$X:$X,0)</f>
        <v>0</v>
      </c>
      <c r="V1107" s="12">
        <f>_xlfn.XLOOKUP(B1107,[1]Sheet1!$B:$B,[1]Sheet1!$Y:$Y,0)</f>
        <v>0</v>
      </c>
      <c r="W1107" s="12">
        <f t="shared" si="37"/>
        <v>800000</v>
      </c>
      <c r="X1107" s="8" t="s">
        <v>518</v>
      </c>
      <c r="Y1107" s="8" t="s">
        <v>211</v>
      </c>
      <c r="Z1107" s="8" t="s">
        <v>512</v>
      </c>
      <c r="AA1107" s="8" t="s">
        <v>30</v>
      </c>
      <c r="AB1107" s="8" t="s">
        <v>36</v>
      </c>
      <c r="AC1107" s="8" t="s">
        <v>37</v>
      </c>
      <c r="AD1107" s="8" t="s">
        <v>342</v>
      </c>
      <c r="AE1107" s="8" t="s">
        <v>39</v>
      </c>
      <c r="AF1107" s="8" t="s">
        <v>40</v>
      </c>
      <c r="AG1107" s="9">
        <v>800000</v>
      </c>
      <c r="AH1107" s="11">
        <f>_xlfn.XLOOKUP(B1107,[1]Sheet1!$B:$B,[1]Sheet1!$AB:$AB,0)</f>
        <v>800000</v>
      </c>
    </row>
    <row r="1108" spans="2:34" ht="16.8" thickTop="1" thickBot="1" x14ac:dyDescent="0.35">
      <c r="B1108" s="3" t="str">
        <f t="shared" si="36"/>
        <v>45192034511001427Committee Member-N421115202067</v>
      </c>
      <c r="C1108" s="6" t="s">
        <v>916</v>
      </c>
      <c r="D1108" s="6" t="s">
        <v>1704</v>
      </c>
      <c r="E1108" s="6" t="s">
        <v>1705</v>
      </c>
      <c r="F1108" s="6" t="s">
        <v>1706</v>
      </c>
      <c r="G1108" s="4" t="s">
        <v>2859</v>
      </c>
      <c r="H1108" s="4" t="s">
        <v>2936</v>
      </c>
      <c r="I1108" s="6" t="s">
        <v>878</v>
      </c>
      <c r="J1108" s="6" t="s">
        <v>31</v>
      </c>
      <c r="K1108" s="12">
        <f>_xlfn.XLOOKUP(B1108,[1]Sheet1!$B:$B,[1]Sheet1!$N:$N,0)</f>
        <v>0</v>
      </c>
      <c r="L1108" s="12">
        <f>_xlfn.XLOOKUP(B1108,[1]Sheet1!$B:$B,[1]Sheet1!$O:$O,0)</f>
        <v>0</v>
      </c>
      <c r="M1108" s="12">
        <f>_xlfn.XLOOKUP(B1108,[1]Sheet1!$B:$B,[1]Sheet1!$P:$P,0)</f>
        <v>0</v>
      </c>
      <c r="N1108" s="12">
        <f>_xlfn.XLOOKUP(B1108,[1]Sheet1!$B:$B,[1]Sheet1!$Q:$Q,0)</f>
        <v>0</v>
      </c>
      <c r="O1108" s="12">
        <f>_xlfn.XLOOKUP(B1108,[1]Sheet1!$B:$B,[1]Sheet1!$R:$R,0)</f>
        <v>0</v>
      </c>
      <c r="P1108" s="12">
        <f>_xlfn.XLOOKUP(B1108,[1]Sheet1!$B:$B,[1]Sheet1!$S:$S,0)</f>
        <v>0</v>
      </c>
      <c r="Q1108" s="12">
        <f>_xlfn.XLOOKUP(B1108,[1]Sheet1!$B:$B,[1]Sheet1!$T:$T,0)</f>
        <v>0</v>
      </c>
      <c r="R1108" s="12">
        <f>_xlfn.XLOOKUP(B1108,[1]Sheet1!$B:$B,[1]Sheet1!$U:$U,0)</f>
        <v>0</v>
      </c>
      <c r="S1108" s="12">
        <f>_xlfn.XLOOKUP(B1108,[1]Sheet1!$B:$B,[1]Sheet1!$V:$V,0)</f>
        <v>0</v>
      </c>
      <c r="T1108" s="12">
        <f>_xlfn.XLOOKUP(B1108,[1]Sheet1!$B:$B,[1]Sheet1!$W:$W,0)</f>
        <v>0</v>
      </c>
      <c r="U1108" s="12">
        <f>_xlfn.XLOOKUP(B1108,[1]Sheet1!$B:$B,[1]Sheet1!$X:$X,0)</f>
        <v>1000000</v>
      </c>
      <c r="V1108" s="12">
        <f>_xlfn.XLOOKUP(B1108,[1]Sheet1!$B:$B,[1]Sheet1!$Y:$Y,0)</f>
        <v>0</v>
      </c>
      <c r="W1108" s="12">
        <f t="shared" si="37"/>
        <v>1000000</v>
      </c>
      <c r="X1108" s="6" t="s">
        <v>1707</v>
      </c>
      <c r="Y1108" s="6" t="s">
        <v>392</v>
      </c>
      <c r="Z1108" s="6" t="s">
        <v>915</v>
      </c>
      <c r="AA1108" s="6" t="s">
        <v>878</v>
      </c>
      <c r="AB1108" s="6" t="s">
        <v>1708</v>
      </c>
      <c r="AC1108" s="6" t="s">
        <v>37</v>
      </c>
      <c r="AD1108" s="6" t="s">
        <v>844</v>
      </c>
      <c r="AE1108" s="6" t="s">
        <v>39</v>
      </c>
      <c r="AF1108" s="6" t="s">
        <v>40</v>
      </c>
      <c r="AG1108" s="7">
        <v>1000000</v>
      </c>
      <c r="AH1108" s="11">
        <f>_xlfn.XLOOKUP(B1108,[1]Sheet1!$B:$B,[1]Sheet1!$AB:$AB,0)</f>
        <v>1000000</v>
      </c>
    </row>
    <row r="1109" spans="2:34" ht="16.8" thickTop="1" thickBot="1" x14ac:dyDescent="0.35">
      <c r="B1109" s="3" t="str">
        <f t="shared" si="36"/>
        <v>45192034511001427Freelancers-N2424521202067</v>
      </c>
      <c r="C1109" s="8" t="s">
        <v>916</v>
      </c>
      <c r="D1109" s="8" t="s">
        <v>1704</v>
      </c>
      <c r="E1109" s="8" t="s">
        <v>1705</v>
      </c>
      <c r="F1109" s="8" t="s">
        <v>913</v>
      </c>
      <c r="G1109" s="4" t="s">
        <v>2804</v>
      </c>
      <c r="H1109" s="4" t="s">
        <v>2936</v>
      </c>
      <c r="I1109" s="8" t="s">
        <v>51</v>
      </c>
      <c r="J1109" s="8" t="s">
        <v>31</v>
      </c>
      <c r="K1109" s="12">
        <f>_xlfn.XLOOKUP(B1109,[1]Sheet1!$B:$B,[1]Sheet1!$N:$N,0)</f>
        <v>0</v>
      </c>
      <c r="L1109" s="12">
        <f>_xlfn.XLOOKUP(B1109,[1]Sheet1!$B:$B,[1]Sheet1!$O:$O,0)</f>
        <v>0</v>
      </c>
      <c r="M1109" s="12">
        <f>_xlfn.XLOOKUP(B1109,[1]Sheet1!$B:$B,[1]Sheet1!$P:$P,0)</f>
        <v>0</v>
      </c>
      <c r="N1109" s="12">
        <f>_xlfn.XLOOKUP(B1109,[1]Sheet1!$B:$B,[1]Sheet1!$Q:$Q,0)</f>
        <v>222222.22222222222</v>
      </c>
      <c r="O1109" s="12">
        <f>_xlfn.XLOOKUP(B1109,[1]Sheet1!$B:$B,[1]Sheet1!$R:$R,0)</f>
        <v>222222.22222222222</v>
      </c>
      <c r="P1109" s="12">
        <f>_xlfn.XLOOKUP(B1109,[1]Sheet1!$B:$B,[1]Sheet1!$S:$S,0)</f>
        <v>222222.22222222222</v>
      </c>
      <c r="Q1109" s="12">
        <f>_xlfn.XLOOKUP(B1109,[1]Sheet1!$B:$B,[1]Sheet1!$T:$T,0)</f>
        <v>222222.22222222222</v>
      </c>
      <c r="R1109" s="12">
        <f>_xlfn.XLOOKUP(B1109,[1]Sheet1!$B:$B,[1]Sheet1!$U:$U,0)</f>
        <v>222222.22222222222</v>
      </c>
      <c r="S1109" s="12">
        <f>_xlfn.XLOOKUP(B1109,[1]Sheet1!$B:$B,[1]Sheet1!$V:$V,0)</f>
        <v>222222.22222222222</v>
      </c>
      <c r="T1109" s="12">
        <f>_xlfn.XLOOKUP(B1109,[1]Sheet1!$B:$B,[1]Sheet1!$W:$W,0)</f>
        <v>222222.22222222222</v>
      </c>
      <c r="U1109" s="12">
        <f>_xlfn.XLOOKUP(B1109,[1]Sheet1!$B:$B,[1]Sheet1!$X:$X,0)</f>
        <v>222222.22222222222</v>
      </c>
      <c r="V1109" s="12">
        <f>_xlfn.XLOOKUP(B1109,[1]Sheet1!$B:$B,[1]Sheet1!$Y:$Y,0)</f>
        <v>222222.22222222222</v>
      </c>
      <c r="W1109" s="12">
        <f t="shared" si="37"/>
        <v>2000000</v>
      </c>
      <c r="X1109" s="8" t="s">
        <v>1709</v>
      </c>
      <c r="Y1109" s="8" t="s">
        <v>392</v>
      </c>
      <c r="Z1109" s="8" t="s">
        <v>915</v>
      </c>
      <c r="AA1109" s="8" t="s">
        <v>53</v>
      </c>
      <c r="AB1109" s="8" t="s">
        <v>1708</v>
      </c>
      <c r="AC1109" s="8" t="s">
        <v>37</v>
      </c>
      <c r="AD1109" s="8" t="s">
        <v>844</v>
      </c>
      <c r="AE1109" s="8" t="s">
        <v>39</v>
      </c>
      <c r="AF1109" s="8" t="s">
        <v>40</v>
      </c>
      <c r="AG1109" s="9">
        <v>2000000</v>
      </c>
      <c r="AH1109" s="11">
        <f>_xlfn.XLOOKUP(B1109,[1]Sheet1!$B:$B,[1]Sheet1!$AB:$AB,0)</f>
        <v>2000000</v>
      </c>
    </row>
    <row r="1110" spans="2:34" ht="16.8" thickTop="1" thickBot="1" x14ac:dyDescent="0.35">
      <c r="B1110" s="3" t="str">
        <f t="shared" si="36"/>
        <v>45192034511001427Managed Service-N422212202067</v>
      </c>
      <c r="C1110" s="6" t="s">
        <v>916</v>
      </c>
      <c r="D1110" s="6" t="s">
        <v>1704</v>
      </c>
      <c r="E1110" s="6" t="s">
        <v>1705</v>
      </c>
      <c r="F1110" s="6" t="s">
        <v>476</v>
      </c>
      <c r="G1110" s="4" t="s">
        <v>2845</v>
      </c>
      <c r="H1110" s="4" t="s">
        <v>2936</v>
      </c>
      <c r="I1110" s="6" t="s">
        <v>477</v>
      </c>
      <c r="J1110" s="6" t="s">
        <v>31</v>
      </c>
      <c r="K1110" s="12">
        <f>_xlfn.XLOOKUP(B1110,[1]Sheet1!$B:$B,[1]Sheet1!$N:$N,0)</f>
        <v>0</v>
      </c>
      <c r="L1110" s="12">
        <f>_xlfn.XLOOKUP(B1110,[1]Sheet1!$B:$B,[1]Sheet1!$O:$O,0)</f>
        <v>0</v>
      </c>
      <c r="M1110" s="12">
        <f>_xlfn.XLOOKUP(B1110,[1]Sheet1!$B:$B,[1]Sheet1!$P:$P,0)</f>
        <v>5891624.8348749997</v>
      </c>
      <c r="N1110" s="12">
        <f>_xlfn.XLOOKUP(B1110,[1]Sheet1!$B:$B,[1]Sheet1!$Q:$Q,0)</f>
        <v>8375.1651250002906</v>
      </c>
      <c r="O1110" s="12">
        <f>_xlfn.XLOOKUP(B1110,[1]Sheet1!$B:$B,[1]Sheet1!$R:$R,0)</f>
        <v>0</v>
      </c>
      <c r="P1110" s="12">
        <f>_xlfn.XLOOKUP(B1110,[1]Sheet1!$B:$B,[1]Sheet1!$S:$S,0)</f>
        <v>0</v>
      </c>
      <c r="Q1110" s="12">
        <f>_xlfn.XLOOKUP(B1110,[1]Sheet1!$B:$B,[1]Sheet1!$T:$T,0)</f>
        <v>4720000</v>
      </c>
      <c r="R1110" s="12">
        <f>_xlfn.XLOOKUP(B1110,[1]Sheet1!$B:$B,[1]Sheet1!$U:$U,0)</f>
        <v>0</v>
      </c>
      <c r="S1110" s="12">
        <f>_xlfn.XLOOKUP(B1110,[1]Sheet1!$B:$B,[1]Sheet1!$V:$V,0)</f>
        <v>0</v>
      </c>
      <c r="T1110" s="12">
        <f>_xlfn.XLOOKUP(B1110,[1]Sheet1!$B:$B,[1]Sheet1!$W:$W,0)</f>
        <v>0</v>
      </c>
      <c r="U1110" s="12">
        <f>_xlfn.XLOOKUP(B1110,[1]Sheet1!$B:$B,[1]Sheet1!$X:$X,0)</f>
        <v>1180000</v>
      </c>
      <c r="V1110" s="12">
        <f>_xlfn.XLOOKUP(B1110,[1]Sheet1!$B:$B,[1]Sheet1!$Y:$Y,0)</f>
        <v>0</v>
      </c>
      <c r="W1110" s="12">
        <f t="shared" si="37"/>
        <v>11800000</v>
      </c>
      <c r="X1110" s="6" t="s">
        <v>1710</v>
      </c>
      <c r="Y1110" s="6" t="s">
        <v>392</v>
      </c>
      <c r="Z1110" s="6" t="s">
        <v>915</v>
      </c>
      <c r="AA1110" s="6" t="s">
        <v>481</v>
      </c>
      <c r="AB1110" s="6" t="s">
        <v>1708</v>
      </c>
      <c r="AC1110" s="6" t="s">
        <v>37</v>
      </c>
      <c r="AD1110" s="6" t="s">
        <v>844</v>
      </c>
      <c r="AE1110" s="6" t="s">
        <v>39</v>
      </c>
      <c r="AF1110" s="6" t="s">
        <v>40</v>
      </c>
      <c r="AG1110" s="7">
        <v>11800000</v>
      </c>
      <c r="AH1110" s="11">
        <f>_xlfn.XLOOKUP(B1110,[1]Sheet1!$B:$B,[1]Sheet1!$AB:$AB,0)</f>
        <v>11800000</v>
      </c>
    </row>
    <row r="1111" spans="2:34" ht="16.8" thickTop="1" thickBot="1" x14ac:dyDescent="0.35">
      <c r="B1111" s="3" t="str">
        <f t="shared" si="36"/>
        <v>45110104511001428Lease Improve-NC1490600300105</v>
      </c>
      <c r="C1111" s="8" t="s">
        <v>268</v>
      </c>
      <c r="D1111" s="8" t="s">
        <v>1711</v>
      </c>
      <c r="E1111" s="8" t="s">
        <v>1712</v>
      </c>
      <c r="F1111" s="8" t="s">
        <v>1713</v>
      </c>
      <c r="G1111" s="4" t="s">
        <v>2813</v>
      </c>
      <c r="H1111" s="4" t="s">
        <v>2923</v>
      </c>
      <c r="I1111" s="8" t="s">
        <v>90</v>
      </c>
      <c r="J1111" s="8" t="s">
        <v>31</v>
      </c>
      <c r="K1111" s="12">
        <f>_xlfn.XLOOKUP(B1111,[1]Sheet1!$B:$B,[1]Sheet1!$N:$N,0)</f>
        <v>0</v>
      </c>
      <c r="L1111" s="12">
        <f>_xlfn.XLOOKUP(B1111,[1]Sheet1!$B:$B,[1]Sheet1!$O:$O,0)</f>
        <v>0</v>
      </c>
      <c r="M1111" s="12">
        <f>_xlfn.XLOOKUP(B1111,[1]Sheet1!$B:$B,[1]Sheet1!$P:$P,0)</f>
        <v>0</v>
      </c>
      <c r="N1111" s="12">
        <f>_xlfn.XLOOKUP(B1111,[1]Sheet1!$B:$B,[1]Sheet1!$Q:$Q,0)</f>
        <v>0</v>
      </c>
      <c r="O1111" s="12">
        <f>_xlfn.XLOOKUP(B1111,[1]Sheet1!$B:$B,[1]Sheet1!$R:$R,0)</f>
        <v>0</v>
      </c>
      <c r="P1111" s="12">
        <f>_xlfn.XLOOKUP(B1111,[1]Sheet1!$B:$B,[1]Sheet1!$S:$S,0)</f>
        <v>0</v>
      </c>
      <c r="Q1111" s="12">
        <f>_xlfn.XLOOKUP(B1111,[1]Sheet1!$B:$B,[1]Sheet1!$T:$T,0)</f>
        <v>0</v>
      </c>
      <c r="R1111" s="12">
        <f>_xlfn.XLOOKUP(B1111,[1]Sheet1!$B:$B,[1]Sheet1!$U:$U,0)</f>
        <v>6000000</v>
      </c>
      <c r="S1111" s="12">
        <f>_xlfn.XLOOKUP(B1111,[1]Sheet1!$B:$B,[1]Sheet1!$V:$V,0)</f>
        <v>0</v>
      </c>
      <c r="T1111" s="12">
        <f>_xlfn.XLOOKUP(B1111,[1]Sheet1!$B:$B,[1]Sheet1!$W:$W,0)</f>
        <v>6000000</v>
      </c>
      <c r="U1111" s="12">
        <f>_xlfn.XLOOKUP(B1111,[1]Sheet1!$B:$B,[1]Sheet1!$X:$X,0)</f>
        <v>0</v>
      </c>
      <c r="V1111" s="12">
        <f>_xlfn.XLOOKUP(B1111,[1]Sheet1!$B:$B,[1]Sheet1!$Y:$Y,0)</f>
        <v>0</v>
      </c>
      <c r="W1111" s="12">
        <f t="shared" si="37"/>
        <v>12000000</v>
      </c>
      <c r="X1111" s="8" t="s">
        <v>1714</v>
      </c>
      <c r="Y1111" s="8" t="s">
        <v>65</v>
      </c>
      <c r="Z1111" s="8" t="s">
        <v>267</v>
      </c>
      <c r="AA1111" s="8" t="s">
        <v>92</v>
      </c>
      <c r="AB1111" s="8" t="s">
        <v>93</v>
      </c>
      <c r="AC1111" s="8" t="s">
        <v>94</v>
      </c>
      <c r="AD1111" s="8" t="s">
        <v>69</v>
      </c>
      <c r="AE1111" s="8" t="s">
        <v>39</v>
      </c>
      <c r="AF1111" s="8" t="s">
        <v>40</v>
      </c>
      <c r="AG1111" s="9">
        <v>12000000</v>
      </c>
      <c r="AH1111" s="11">
        <f>_xlfn.XLOOKUP(B1111,[1]Sheet1!$B:$B,[1]Sheet1!$AB:$AB,0)</f>
        <v>12000000</v>
      </c>
    </row>
    <row r="1112" spans="2:34" ht="16.8" thickTop="1" thickBot="1" x14ac:dyDescent="0.35">
      <c r="B1112" s="3" t="str">
        <f t="shared" si="36"/>
        <v>45121004511001431Trade Partners-TDP - L2461412402066</v>
      </c>
      <c r="C1112" s="6" t="s">
        <v>738</v>
      </c>
      <c r="D1112" s="6" t="s">
        <v>1715</v>
      </c>
      <c r="E1112" s="6" t="s">
        <v>1716</v>
      </c>
      <c r="F1112" s="6" t="s">
        <v>1717</v>
      </c>
      <c r="G1112" s="4" t="s">
        <v>2868</v>
      </c>
      <c r="H1112" s="4" t="s">
        <v>2937</v>
      </c>
      <c r="I1112" s="6" t="s">
        <v>1255</v>
      </c>
      <c r="J1112" s="6" t="s">
        <v>31</v>
      </c>
      <c r="K1112" s="12">
        <f>_xlfn.XLOOKUP(B1112,[1]Sheet1!$B:$B,[1]Sheet1!$N:$N,0)</f>
        <v>0</v>
      </c>
      <c r="L1112" s="12">
        <f>_xlfn.XLOOKUP(B1112,[1]Sheet1!$B:$B,[1]Sheet1!$O:$O,0)</f>
        <v>0</v>
      </c>
      <c r="M1112" s="12">
        <f>_xlfn.XLOOKUP(B1112,[1]Sheet1!$B:$B,[1]Sheet1!$P:$P,0)</f>
        <v>0</v>
      </c>
      <c r="N1112" s="12">
        <f>_xlfn.XLOOKUP(B1112,[1]Sheet1!$B:$B,[1]Sheet1!$Q:$Q,0)</f>
        <v>0</v>
      </c>
      <c r="O1112" s="12">
        <f>_xlfn.XLOOKUP(B1112,[1]Sheet1!$B:$B,[1]Sheet1!$R:$R,0)</f>
        <v>0</v>
      </c>
      <c r="P1112" s="12">
        <f>_xlfn.XLOOKUP(B1112,[1]Sheet1!$B:$B,[1]Sheet1!$S:$S,0)</f>
        <v>0</v>
      </c>
      <c r="Q1112" s="12">
        <f>_xlfn.XLOOKUP(B1112,[1]Sheet1!$B:$B,[1]Sheet1!$T:$T,0)</f>
        <v>0</v>
      </c>
      <c r="R1112" s="12">
        <f>_xlfn.XLOOKUP(B1112,[1]Sheet1!$B:$B,[1]Sheet1!$U:$U,0)</f>
        <v>0</v>
      </c>
      <c r="S1112" s="12">
        <f>_xlfn.XLOOKUP(B1112,[1]Sheet1!$B:$B,[1]Sheet1!$V:$V,0)</f>
        <v>0</v>
      </c>
      <c r="T1112" s="12">
        <f>_xlfn.XLOOKUP(B1112,[1]Sheet1!$B:$B,[1]Sheet1!$W:$W,0)</f>
        <v>0</v>
      </c>
      <c r="U1112" s="12">
        <f>_xlfn.XLOOKUP(B1112,[1]Sheet1!$B:$B,[1]Sheet1!$X:$X,0)</f>
        <v>0</v>
      </c>
      <c r="V1112" s="12">
        <f>_xlfn.XLOOKUP(B1112,[1]Sheet1!$B:$B,[1]Sheet1!$Y:$Y,0)</f>
        <v>0</v>
      </c>
      <c r="W1112" s="12">
        <f t="shared" si="37"/>
        <v>0</v>
      </c>
      <c r="X1112" s="6" t="s">
        <v>1718</v>
      </c>
      <c r="Y1112" s="6" t="s">
        <v>721</v>
      </c>
      <c r="Z1112" s="6" t="s">
        <v>737</v>
      </c>
      <c r="AA1112" s="6" t="s">
        <v>1255</v>
      </c>
      <c r="AB1112" s="6" t="s">
        <v>1719</v>
      </c>
      <c r="AC1112" s="6" t="s">
        <v>1645</v>
      </c>
      <c r="AD1112" s="6" t="s">
        <v>1077</v>
      </c>
      <c r="AE1112" s="6" t="s">
        <v>39</v>
      </c>
      <c r="AF1112" s="6" t="s">
        <v>40</v>
      </c>
      <c r="AG1112" s="7">
        <v>9929841</v>
      </c>
      <c r="AH1112" s="11">
        <f>_xlfn.XLOOKUP(B1112,[1]Sheet1!$B:$B,[1]Sheet1!$AB:$AB,0)</f>
        <v>0</v>
      </c>
    </row>
    <row r="1113" spans="2:34" ht="16.8" thickTop="1" thickBot="1" x14ac:dyDescent="0.35">
      <c r="B1113" s="3" t="str">
        <f t="shared" si="36"/>
        <v>45121004511001433Manpower-TDP - L2461412402066</v>
      </c>
      <c r="C1113" s="8" t="s">
        <v>738</v>
      </c>
      <c r="D1113" s="8" t="s">
        <v>1720</v>
      </c>
      <c r="E1113" s="8" t="s">
        <v>1721</v>
      </c>
      <c r="F1113" s="8" t="s">
        <v>1722</v>
      </c>
      <c r="G1113" s="4" t="s">
        <v>2868</v>
      </c>
      <c r="H1113" s="4" t="s">
        <v>2937</v>
      </c>
      <c r="I1113" s="8" t="s">
        <v>1255</v>
      </c>
      <c r="J1113" s="8" t="s">
        <v>31</v>
      </c>
      <c r="K1113" s="12">
        <f>_xlfn.XLOOKUP(B1113,[1]Sheet1!$B:$B,[1]Sheet1!$N:$N,0)</f>
        <v>0</v>
      </c>
      <c r="L1113" s="12">
        <f>_xlfn.XLOOKUP(B1113,[1]Sheet1!$B:$B,[1]Sheet1!$O:$O,0)</f>
        <v>0</v>
      </c>
      <c r="M1113" s="12">
        <f>_xlfn.XLOOKUP(B1113,[1]Sheet1!$B:$B,[1]Sheet1!$P:$P,0)</f>
        <v>0</v>
      </c>
      <c r="N1113" s="12">
        <f>_xlfn.XLOOKUP(B1113,[1]Sheet1!$B:$B,[1]Sheet1!$Q:$Q,0)</f>
        <v>0</v>
      </c>
      <c r="O1113" s="12">
        <f>_xlfn.XLOOKUP(B1113,[1]Sheet1!$B:$B,[1]Sheet1!$R:$R,0)</f>
        <v>0</v>
      </c>
      <c r="P1113" s="12">
        <f>_xlfn.XLOOKUP(B1113,[1]Sheet1!$B:$B,[1]Sheet1!$S:$S,0)</f>
        <v>0</v>
      </c>
      <c r="Q1113" s="12">
        <f>_xlfn.XLOOKUP(B1113,[1]Sheet1!$B:$B,[1]Sheet1!$T:$T,0)</f>
        <v>0</v>
      </c>
      <c r="R1113" s="12">
        <f>_xlfn.XLOOKUP(B1113,[1]Sheet1!$B:$B,[1]Sheet1!$U:$U,0)</f>
        <v>0</v>
      </c>
      <c r="S1113" s="12">
        <f>_xlfn.XLOOKUP(B1113,[1]Sheet1!$B:$B,[1]Sheet1!$V:$V,0)</f>
        <v>0</v>
      </c>
      <c r="T1113" s="12">
        <f>_xlfn.XLOOKUP(B1113,[1]Sheet1!$B:$B,[1]Sheet1!$W:$W,0)</f>
        <v>0</v>
      </c>
      <c r="U1113" s="12">
        <f>_xlfn.XLOOKUP(B1113,[1]Sheet1!$B:$B,[1]Sheet1!$X:$X,0)</f>
        <v>0</v>
      </c>
      <c r="V1113" s="12">
        <f>_xlfn.XLOOKUP(B1113,[1]Sheet1!$B:$B,[1]Sheet1!$Y:$Y,0)</f>
        <v>0</v>
      </c>
      <c r="W1113" s="12">
        <f t="shared" si="37"/>
        <v>0</v>
      </c>
      <c r="X1113" s="8" t="s">
        <v>1718</v>
      </c>
      <c r="Y1113" s="8" t="s">
        <v>721</v>
      </c>
      <c r="Z1113" s="8" t="s">
        <v>737</v>
      </c>
      <c r="AA1113" s="8" t="s">
        <v>1255</v>
      </c>
      <c r="AB1113" s="8" t="s">
        <v>1719</v>
      </c>
      <c r="AC1113" s="8" t="s">
        <v>1645</v>
      </c>
      <c r="AD1113" s="8" t="s">
        <v>1077</v>
      </c>
      <c r="AE1113" s="8" t="s">
        <v>39</v>
      </c>
      <c r="AF1113" s="8" t="s">
        <v>40</v>
      </c>
      <c r="AG1113" s="9">
        <v>1320000</v>
      </c>
      <c r="AH1113" s="11">
        <f>_xlfn.XLOOKUP(B1113,[1]Sheet1!$B:$B,[1]Sheet1!$AB:$AB,0)</f>
        <v>0</v>
      </c>
    </row>
    <row r="1114" spans="2:34" ht="16.8" thickTop="1" thickBot="1" x14ac:dyDescent="0.35">
      <c r="B1114" s="3" t="str">
        <f t="shared" si="36"/>
        <v>45159004511001434Trade Partners-PD1461412402066</v>
      </c>
      <c r="C1114" s="6" t="s">
        <v>827</v>
      </c>
      <c r="D1114" s="6" t="s">
        <v>1723</v>
      </c>
      <c r="E1114" s="6" t="s">
        <v>1724</v>
      </c>
      <c r="F1114" s="6" t="s">
        <v>1725</v>
      </c>
      <c r="G1114" s="4" t="s">
        <v>2868</v>
      </c>
      <c r="H1114" s="4" t="s">
        <v>2937</v>
      </c>
      <c r="I1114" s="6" t="s">
        <v>1255</v>
      </c>
      <c r="J1114" s="6" t="s">
        <v>31</v>
      </c>
      <c r="K1114" s="12">
        <f>_xlfn.XLOOKUP(B1114,[1]Sheet1!$B:$B,[1]Sheet1!$N:$N,0)</f>
        <v>0</v>
      </c>
      <c r="L1114" s="12">
        <f>_xlfn.XLOOKUP(B1114,[1]Sheet1!$B:$B,[1]Sheet1!$O:$O,0)</f>
        <v>0</v>
      </c>
      <c r="M1114" s="12">
        <f>_xlfn.XLOOKUP(B1114,[1]Sheet1!$B:$B,[1]Sheet1!$P:$P,0)</f>
        <v>0</v>
      </c>
      <c r="N1114" s="12">
        <f>_xlfn.XLOOKUP(B1114,[1]Sheet1!$B:$B,[1]Sheet1!$Q:$Q,0)</f>
        <v>0</v>
      </c>
      <c r="O1114" s="12">
        <f>_xlfn.XLOOKUP(B1114,[1]Sheet1!$B:$B,[1]Sheet1!$R:$R,0)</f>
        <v>0</v>
      </c>
      <c r="P1114" s="12">
        <f>_xlfn.XLOOKUP(B1114,[1]Sheet1!$B:$B,[1]Sheet1!$S:$S,0)</f>
        <v>0</v>
      </c>
      <c r="Q1114" s="12">
        <f>_xlfn.XLOOKUP(B1114,[1]Sheet1!$B:$B,[1]Sheet1!$T:$T,0)</f>
        <v>0</v>
      </c>
      <c r="R1114" s="12">
        <f>_xlfn.XLOOKUP(B1114,[1]Sheet1!$B:$B,[1]Sheet1!$U:$U,0)</f>
        <v>0</v>
      </c>
      <c r="S1114" s="12">
        <f>_xlfn.XLOOKUP(B1114,[1]Sheet1!$B:$B,[1]Sheet1!$V:$V,0)</f>
        <v>0</v>
      </c>
      <c r="T1114" s="12">
        <f>_xlfn.XLOOKUP(B1114,[1]Sheet1!$B:$B,[1]Sheet1!$W:$W,0)</f>
        <v>0</v>
      </c>
      <c r="U1114" s="12">
        <f>_xlfn.XLOOKUP(B1114,[1]Sheet1!$B:$B,[1]Sheet1!$X:$X,0)</f>
        <v>0</v>
      </c>
      <c r="V1114" s="12">
        <f>_xlfn.XLOOKUP(B1114,[1]Sheet1!$B:$B,[1]Sheet1!$Y:$Y,0)</f>
        <v>0</v>
      </c>
      <c r="W1114" s="12">
        <f t="shared" si="37"/>
        <v>0</v>
      </c>
      <c r="X1114" s="6" t="s">
        <v>1726</v>
      </c>
      <c r="Y1114" s="6" t="s">
        <v>211</v>
      </c>
      <c r="Z1114" s="6" t="s">
        <v>826</v>
      </c>
      <c r="AA1114" s="6" t="s">
        <v>1255</v>
      </c>
      <c r="AB1114" s="6" t="s">
        <v>1719</v>
      </c>
      <c r="AC1114" s="6" t="s">
        <v>1645</v>
      </c>
      <c r="AD1114" s="6" t="s">
        <v>1077</v>
      </c>
      <c r="AE1114" s="6" t="s">
        <v>39</v>
      </c>
      <c r="AF1114" s="6" t="s">
        <v>40</v>
      </c>
      <c r="AG1114" s="7">
        <v>626520</v>
      </c>
      <c r="AH1114" s="11">
        <f>_xlfn.XLOOKUP(B1114,[1]Sheet1!$B:$B,[1]Sheet1!$AB:$AB,0)</f>
        <v>0</v>
      </c>
    </row>
    <row r="1115" spans="2:34" ht="16.8" thickTop="1" thickBot="1" x14ac:dyDescent="0.35">
      <c r="B1115" s="3" t="str">
        <f t="shared" si="36"/>
        <v>45121004511001434Trade Partners-TDP - L2461412402066</v>
      </c>
      <c r="C1115" s="8" t="s">
        <v>738</v>
      </c>
      <c r="D1115" s="8" t="s">
        <v>1723</v>
      </c>
      <c r="E1115" s="8" t="s">
        <v>1724</v>
      </c>
      <c r="F1115" s="8" t="s">
        <v>1717</v>
      </c>
      <c r="G1115" s="4" t="s">
        <v>2868</v>
      </c>
      <c r="H1115" s="4" t="s">
        <v>2937</v>
      </c>
      <c r="I1115" s="8" t="s">
        <v>1255</v>
      </c>
      <c r="J1115" s="8" t="s">
        <v>31</v>
      </c>
      <c r="K1115" s="12">
        <f>_xlfn.XLOOKUP(B1115,[1]Sheet1!$B:$B,[1]Sheet1!$N:$N,0)</f>
        <v>0</v>
      </c>
      <c r="L1115" s="12">
        <f>_xlfn.XLOOKUP(B1115,[1]Sheet1!$B:$B,[1]Sheet1!$O:$O,0)</f>
        <v>0</v>
      </c>
      <c r="M1115" s="12">
        <f>_xlfn.XLOOKUP(B1115,[1]Sheet1!$B:$B,[1]Sheet1!$P:$P,0)</f>
        <v>0</v>
      </c>
      <c r="N1115" s="12">
        <f>_xlfn.XLOOKUP(B1115,[1]Sheet1!$B:$B,[1]Sheet1!$Q:$Q,0)</f>
        <v>0</v>
      </c>
      <c r="O1115" s="12">
        <f>_xlfn.XLOOKUP(B1115,[1]Sheet1!$B:$B,[1]Sheet1!$R:$R,0)</f>
        <v>0</v>
      </c>
      <c r="P1115" s="12">
        <f>_xlfn.XLOOKUP(B1115,[1]Sheet1!$B:$B,[1]Sheet1!$S:$S,0)</f>
        <v>0</v>
      </c>
      <c r="Q1115" s="12">
        <f>_xlfn.XLOOKUP(B1115,[1]Sheet1!$B:$B,[1]Sheet1!$T:$T,0)</f>
        <v>0</v>
      </c>
      <c r="R1115" s="12">
        <f>_xlfn.XLOOKUP(B1115,[1]Sheet1!$B:$B,[1]Sheet1!$U:$U,0)</f>
        <v>0</v>
      </c>
      <c r="S1115" s="12">
        <f>_xlfn.XLOOKUP(B1115,[1]Sheet1!$B:$B,[1]Sheet1!$V:$V,0)</f>
        <v>0</v>
      </c>
      <c r="T1115" s="12">
        <f>_xlfn.XLOOKUP(B1115,[1]Sheet1!$B:$B,[1]Sheet1!$W:$W,0)</f>
        <v>0</v>
      </c>
      <c r="U1115" s="12">
        <f>_xlfn.XLOOKUP(B1115,[1]Sheet1!$B:$B,[1]Sheet1!$X:$X,0)</f>
        <v>0</v>
      </c>
      <c r="V1115" s="12">
        <f>_xlfn.XLOOKUP(B1115,[1]Sheet1!$B:$B,[1]Sheet1!$Y:$Y,0)</f>
        <v>0</v>
      </c>
      <c r="W1115" s="12">
        <f t="shared" si="37"/>
        <v>0</v>
      </c>
      <c r="X1115" s="8" t="s">
        <v>1718</v>
      </c>
      <c r="Y1115" s="8" t="s">
        <v>721</v>
      </c>
      <c r="Z1115" s="8" t="s">
        <v>737</v>
      </c>
      <c r="AA1115" s="8" t="s">
        <v>1255</v>
      </c>
      <c r="AB1115" s="8" t="s">
        <v>1719</v>
      </c>
      <c r="AC1115" s="8" t="s">
        <v>1645</v>
      </c>
      <c r="AD1115" s="8" t="s">
        <v>1077</v>
      </c>
      <c r="AE1115" s="8" t="s">
        <v>39</v>
      </c>
      <c r="AF1115" s="8" t="s">
        <v>40</v>
      </c>
      <c r="AG1115" s="9">
        <v>1299000</v>
      </c>
      <c r="AH1115" s="11">
        <f>_xlfn.XLOOKUP(B1115,[1]Sheet1!$B:$B,[1]Sheet1!$AB:$AB,0)</f>
        <v>0</v>
      </c>
    </row>
    <row r="1116" spans="2:34" ht="16.8" thickTop="1" thickBot="1" x14ac:dyDescent="0.35">
      <c r="B1116" s="3" t="str">
        <f t="shared" si="36"/>
        <v>45121004511001435Trade Partners-TDP - L2461412402066</v>
      </c>
      <c r="C1116" s="6" t="s">
        <v>738</v>
      </c>
      <c r="D1116" s="6" t="s">
        <v>1727</v>
      </c>
      <c r="E1116" s="6" t="s">
        <v>1728</v>
      </c>
      <c r="F1116" s="6" t="s">
        <v>1717</v>
      </c>
      <c r="G1116" s="4" t="s">
        <v>2868</v>
      </c>
      <c r="H1116" s="4" t="s">
        <v>2937</v>
      </c>
      <c r="I1116" s="6" t="s">
        <v>1255</v>
      </c>
      <c r="J1116" s="6" t="s">
        <v>31</v>
      </c>
      <c r="K1116" s="12">
        <f>_xlfn.XLOOKUP(B1116,[1]Sheet1!$B:$B,[1]Sheet1!$N:$N,0)</f>
        <v>0</v>
      </c>
      <c r="L1116" s="12">
        <f>_xlfn.XLOOKUP(B1116,[1]Sheet1!$B:$B,[1]Sheet1!$O:$O,0)</f>
        <v>0</v>
      </c>
      <c r="M1116" s="12">
        <f>_xlfn.XLOOKUP(B1116,[1]Sheet1!$B:$B,[1]Sheet1!$P:$P,0)</f>
        <v>0</v>
      </c>
      <c r="N1116" s="12">
        <f>_xlfn.XLOOKUP(B1116,[1]Sheet1!$B:$B,[1]Sheet1!$Q:$Q,0)</f>
        <v>0</v>
      </c>
      <c r="O1116" s="12">
        <f>_xlfn.XLOOKUP(B1116,[1]Sheet1!$B:$B,[1]Sheet1!$R:$R,0)</f>
        <v>0</v>
      </c>
      <c r="P1116" s="12">
        <f>_xlfn.XLOOKUP(B1116,[1]Sheet1!$B:$B,[1]Sheet1!$S:$S,0)</f>
        <v>0</v>
      </c>
      <c r="Q1116" s="12">
        <f>_xlfn.XLOOKUP(B1116,[1]Sheet1!$B:$B,[1]Sheet1!$T:$T,0)</f>
        <v>0</v>
      </c>
      <c r="R1116" s="12">
        <f>_xlfn.XLOOKUP(B1116,[1]Sheet1!$B:$B,[1]Sheet1!$U:$U,0)</f>
        <v>0</v>
      </c>
      <c r="S1116" s="12">
        <f>_xlfn.XLOOKUP(B1116,[1]Sheet1!$B:$B,[1]Sheet1!$V:$V,0)</f>
        <v>0</v>
      </c>
      <c r="T1116" s="12">
        <f>_xlfn.XLOOKUP(B1116,[1]Sheet1!$B:$B,[1]Sheet1!$W:$W,0)</f>
        <v>0</v>
      </c>
      <c r="U1116" s="12">
        <f>_xlfn.XLOOKUP(B1116,[1]Sheet1!$B:$B,[1]Sheet1!$X:$X,0)</f>
        <v>0</v>
      </c>
      <c r="V1116" s="12">
        <f>_xlfn.XLOOKUP(B1116,[1]Sheet1!$B:$B,[1]Sheet1!$Y:$Y,0)</f>
        <v>0</v>
      </c>
      <c r="W1116" s="12">
        <f t="shared" si="37"/>
        <v>0</v>
      </c>
      <c r="X1116" s="6" t="s">
        <v>1718</v>
      </c>
      <c r="Y1116" s="6" t="s">
        <v>721</v>
      </c>
      <c r="Z1116" s="6" t="s">
        <v>737</v>
      </c>
      <c r="AA1116" s="6" t="s">
        <v>1255</v>
      </c>
      <c r="AB1116" s="6" t="s">
        <v>1719</v>
      </c>
      <c r="AC1116" s="6" t="s">
        <v>1645</v>
      </c>
      <c r="AD1116" s="6" t="s">
        <v>1077</v>
      </c>
      <c r="AE1116" s="6" t="s">
        <v>39</v>
      </c>
      <c r="AF1116" s="6" t="s">
        <v>40</v>
      </c>
      <c r="AG1116" s="7">
        <v>67000000</v>
      </c>
      <c r="AH1116" s="11">
        <f>_xlfn.XLOOKUP(B1116,[1]Sheet1!$B:$B,[1]Sheet1!$AB:$AB,0)</f>
        <v>0</v>
      </c>
    </row>
    <row r="1117" spans="2:34" ht="16.8" thickTop="1" thickBot="1" x14ac:dyDescent="0.35">
      <c r="B1117" s="3" t="str">
        <f t="shared" si="36"/>
        <v>45151004511001448Trade Partners-IO461412402066</v>
      </c>
      <c r="C1117" s="8" t="s">
        <v>746</v>
      </c>
      <c r="D1117" s="8" t="s">
        <v>1729</v>
      </c>
      <c r="E1117" s="8" t="s">
        <v>1730</v>
      </c>
      <c r="F1117" s="8" t="s">
        <v>1731</v>
      </c>
      <c r="G1117" s="4" t="s">
        <v>2868</v>
      </c>
      <c r="H1117" s="4" t="s">
        <v>2937</v>
      </c>
      <c r="I1117" s="8" t="s">
        <v>1255</v>
      </c>
      <c r="J1117" s="8" t="s">
        <v>31</v>
      </c>
      <c r="K1117" s="12">
        <f>_xlfn.XLOOKUP(B1117,[1]Sheet1!$B:$B,[1]Sheet1!$N:$N,0)</f>
        <v>0</v>
      </c>
      <c r="L1117" s="12">
        <f>_xlfn.XLOOKUP(B1117,[1]Sheet1!$B:$B,[1]Sheet1!$O:$O,0)</f>
        <v>0</v>
      </c>
      <c r="M1117" s="12">
        <f>_xlfn.XLOOKUP(B1117,[1]Sheet1!$B:$B,[1]Sheet1!$P:$P,0)</f>
        <v>0</v>
      </c>
      <c r="N1117" s="12">
        <f>_xlfn.XLOOKUP(B1117,[1]Sheet1!$B:$B,[1]Sheet1!$Q:$Q,0)</f>
        <v>0</v>
      </c>
      <c r="O1117" s="12">
        <f>_xlfn.XLOOKUP(B1117,[1]Sheet1!$B:$B,[1]Sheet1!$R:$R,0)</f>
        <v>0</v>
      </c>
      <c r="P1117" s="12">
        <f>_xlfn.XLOOKUP(B1117,[1]Sheet1!$B:$B,[1]Sheet1!$S:$S,0)</f>
        <v>0</v>
      </c>
      <c r="Q1117" s="12">
        <f>_xlfn.XLOOKUP(B1117,[1]Sheet1!$B:$B,[1]Sheet1!$T:$T,0)</f>
        <v>0</v>
      </c>
      <c r="R1117" s="12">
        <f>_xlfn.XLOOKUP(B1117,[1]Sheet1!$B:$B,[1]Sheet1!$U:$U,0)</f>
        <v>0</v>
      </c>
      <c r="S1117" s="12">
        <f>_xlfn.XLOOKUP(B1117,[1]Sheet1!$B:$B,[1]Sheet1!$V:$V,0)</f>
        <v>0</v>
      </c>
      <c r="T1117" s="12">
        <f>_xlfn.XLOOKUP(B1117,[1]Sheet1!$B:$B,[1]Sheet1!$W:$W,0)</f>
        <v>0</v>
      </c>
      <c r="U1117" s="12">
        <f>_xlfn.XLOOKUP(B1117,[1]Sheet1!$B:$B,[1]Sheet1!$X:$X,0)</f>
        <v>0</v>
      </c>
      <c r="V1117" s="12">
        <f>_xlfn.XLOOKUP(B1117,[1]Sheet1!$B:$B,[1]Sheet1!$Y:$Y,0)</f>
        <v>0</v>
      </c>
      <c r="W1117" s="12">
        <f t="shared" si="37"/>
        <v>0</v>
      </c>
      <c r="X1117" s="8" t="s">
        <v>1732</v>
      </c>
      <c r="Y1117" s="8" t="s">
        <v>211</v>
      </c>
      <c r="Z1117" s="8" t="s">
        <v>745</v>
      </c>
      <c r="AA1117" s="8" t="s">
        <v>1255</v>
      </c>
      <c r="AB1117" s="8" t="s">
        <v>1719</v>
      </c>
      <c r="AC1117" s="8" t="s">
        <v>1645</v>
      </c>
      <c r="AD1117" s="8" t="s">
        <v>1077</v>
      </c>
      <c r="AE1117" s="8" t="s">
        <v>39</v>
      </c>
      <c r="AF1117" s="8" t="s">
        <v>40</v>
      </c>
      <c r="AG1117" s="9">
        <v>4496960</v>
      </c>
      <c r="AH1117" s="11">
        <f>_xlfn.XLOOKUP(B1117,[1]Sheet1!$B:$B,[1]Sheet1!$AB:$AB,0)</f>
        <v>0</v>
      </c>
    </row>
    <row r="1118" spans="2:34" ht="16.8" thickTop="1" thickBot="1" x14ac:dyDescent="0.35">
      <c r="B1118" s="3" t="str">
        <f t="shared" si="36"/>
        <v>45151004511001449Trade Partners-IO461412402066</v>
      </c>
      <c r="C1118" s="6" t="s">
        <v>746</v>
      </c>
      <c r="D1118" s="6" t="s">
        <v>1733</v>
      </c>
      <c r="E1118" s="6" t="s">
        <v>1734</v>
      </c>
      <c r="F1118" s="6" t="s">
        <v>1731</v>
      </c>
      <c r="G1118" s="4" t="s">
        <v>2868</v>
      </c>
      <c r="H1118" s="4" t="s">
        <v>2937</v>
      </c>
      <c r="I1118" s="6" t="s">
        <v>1255</v>
      </c>
      <c r="J1118" s="6" t="s">
        <v>31</v>
      </c>
      <c r="K1118" s="12">
        <f>_xlfn.XLOOKUP(B1118,[1]Sheet1!$B:$B,[1]Sheet1!$N:$N,0)</f>
        <v>0</v>
      </c>
      <c r="L1118" s="12">
        <f>_xlfn.XLOOKUP(B1118,[1]Sheet1!$B:$B,[1]Sheet1!$O:$O,0)</f>
        <v>0</v>
      </c>
      <c r="M1118" s="12">
        <f>_xlfn.XLOOKUP(B1118,[1]Sheet1!$B:$B,[1]Sheet1!$P:$P,0)</f>
        <v>0</v>
      </c>
      <c r="N1118" s="12">
        <f>_xlfn.XLOOKUP(B1118,[1]Sheet1!$B:$B,[1]Sheet1!$Q:$Q,0)</f>
        <v>0</v>
      </c>
      <c r="O1118" s="12">
        <f>_xlfn.XLOOKUP(B1118,[1]Sheet1!$B:$B,[1]Sheet1!$R:$R,0)</f>
        <v>0</v>
      </c>
      <c r="P1118" s="12">
        <f>_xlfn.XLOOKUP(B1118,[1]Sheet1!$B:$B,[1]Sheet1!$S:$S,0)</f>
        <v>0</v>
      </c>
      <c r="Q1118" s="12">
        <f>_xlfn.XLOOKUP(B1118,[1]Sheet1!$B:$B,[1]Sheet1!$T:$T,0)</f>
        <v>0</v>
      </c>
      <c r="R1118" s="12">
        <f>_xlfn.XLOOKUP(B1118,[1]Sheet1!$B:$B,[1]Sheet1!$U:$U,0)</f>
        <v>0</v>
      </c>
      <c r="S1118" s="12">
        <f>_xlfn.XLOOKUP(B1118,[1]Sheet1!$B:$B,[1]Sheet1!$V:$V,0)</f>
        <v>0</v>
      </c>
      <c r="T1118" s="12">
        <f>_xlfn.XLOOKUP(B1118,[1]Sheet1!$B:$B,[1]Sheet1!$W:$W,0)</f>
        <v>0</v>
      </c>
      <c r="U1118" s="12">
        <f>_xlfn.XLOOKUP(B1118,[1]Sheet1!$B:$B,[1]Sheet1!$X:$X,0)</f>
        <v>0</v>
      </c>
      <c r="V1118" s="12">
        <f>_xlfn.XLOOKUP(B1118,[1]Sheet1!$B:$B,[1]Sheet1!$Y:$Y,0)</f>
        <v>0</v>
      </c>
      <c r="W1118" s="12">
        <f t="shared" si="37"/>
        <v>0</v>
      </c>
      <c r="X1118" s="6" t="s">
        <v>1732</v>
      </c>
      <c r="Y1118" s="6" t="s">
        <v>211</v>
      </c>
      <c r="Z1118" s="6" t="s">
        <v>745</v>
      </c>
      <c r="AA1118" s="6" t="s">
        <v>1255</v>
      </c>
      <c r="AB1118" s="6" t="s">
        <v>1719</v>
      </c>
      <c r="AC1118" s="6" t="s">
        <v>1645</v>
      </c>
      <c r="AD1118" s="6" t="s">
        <v>1077</v>
      </c>
      <c r="AE1118" s="6" t="s">
        <v>39</v>
      </c>
      <c r="AF1118" s="6" t="s">
        <v>40</v>
      </c>
      <c r="AG1118" s="7">
        <v>5762693</v>
      </c>
      <c r="AH1118" s="11">
        <f>_xlfn.XLOOKUP(B1118,[1]Sheet1!$B:$B,[1]Sheet1!$AB:$AB,0)</f>
        <v>0</v>
      </c>
    </row>
    <row r="1119" spans="2:34" ht="16.8" thickTop="1" thickBot="1" x14ac:dyDescent="0.35">
      <c r="B1119" s="3" t="str">
        <f t="shared" si="36"/>
        <v>45121004511001449Trade Partners-TDP - L2461412402066</v>
      </c>
      <c r="C1119" s="8" t="s">
        <v>738</v>
      </c>
      <c r="D1119" s="8" t="s">
        <v>1733</v>
      </c>
      <c r="E1119" s="8" t="s">
        <v>1734</v>
      </c>
      <c r="F1119" s="8" t="s">
        <v>1717</v>
      </c>
      <c r="G1119" s="4" t="s">
        <v>2868</v>
      </c>
      <c r="H1119" s="4" t="s">
        <v>2937</v>
      </c>
      <c r="I1119" s="8" t="s">
        <v>1255</v>
      </c>
      <c r="J1119" s="8" t="s">
        <v>31</v>
      </c>
      <c r="K1119" s="12">
        <f>_xlfn.XLOOKUP(B1119,[1]Sheet1!$B:$B,[1]Sheet1!$N:$N,0)</f>
        <v>0</v>
      </c>
      <c r="L1119" s="12">
        <f>_xlfn.XLOOKUP(B1119,[1]Sheet1!$B:$B,[1]Sheet1!$O:$O,0)</f>
        <v>0</v>
      </c>
      <c r="M1119" s="12">
        <f>_xlfn.XLOOKUP(B1119,[1]Sheet1!$B:$B,[1]Sheet1!$P:$P,0)</f>
        <v>0</v>
      </c>
      <c r="N1119" s="12">
        <f>_xlfn.XLOOKUP(B1119,[1]Sheet1!$B:$B,[1]Sheet1!$Q:$Q,0)</f>
        <v>0</v>
      </c>
      <c r="O1119" s="12">
        <f>_xlfn.XLOOKUP(B1119,[1]Sheet1!$B:$B,[1]Sheet1!$R:$R,0)</f>
        <v>0</v>
      </c>
      <c r="P1119" s="12">
        <f>_xlfn.XLOOKUP(B1119,[1]Sheet1!$B:$B,[1]Sheet1!$S:$S,0)</f>
        <v>0</v>
      </c>
      <c r="Q1119" s="12">
        <f>_xlfn.XLOOKUP(B1119,[1]Sheet1!$B:$B,[1]Sheet1!$T:$T,0)</f>
        <v>0</v>
      </c>
      <c r="R1119" s="12">
        <f>_xlfn.XLOOKUP(B1119,[1]Sheet1!$B:$B,[1]Sheet1!$U:$U,0)</f>
        <v>0</v>
      </c>
      <c r="S1119" s="12">
        <f>_xlfn.XLOOKUP(B1119,[1]Sheet1!$B:$B,[1]Sheet1!$V:$V,0)</f>
        <v>0</v>
      </c>
      <c r="T1119" s="12">
        <f>_xlfn.XLOOKUP(B1119,[1]Sheet1!$B:$B,[1]Sheet1!$W:$W,0)</f>
        <v>0</v>
      </c>
      <c r="U1119" s="12">
        <f>_xlfn.XLOOKUP(B1119,[1]Sheet1!$B:$B,[1]Sheet1!$X:$X,0)</f>
        <v>0</v>
      </c>
      <c r="V1119" s="12">
        <f>_xlfn.XLOOKUP(B1119,[1]Sheet1!$B:$B,[1]Sheet1!$Y:$Y,0)</f>
        <v>0</v>
      </c>
      <c r="W1119" s="12">
        <f t="shared" si="37"/>
        <v>0</v>
      </c>
      <c r="X1119" s="8" t="s">
        <v>1718</v>
      </c>
      <c r="Y1119" s="8" t="s">
        <v>721</v>
      </c>
      <c r="Z1119" s="8" t="s">
        <v>737</v>
      </c>
      <c r="AA1119" s="8" t="s">
        <v>1255</v>
      </c>
      <c r="AB1119" s="8" t="s">
        <v>1719</v>
      </c>
      <c r="AC1119" s="8" t="s">
        <v>1645</v>
      </c>
      <c r="AD1119" s="8" t="s">
        <v>1077</v>
      </c>
      <c r="AE1119" s="8" t="s">
        <v>39</v>
      </c>
      <c r="AF1119" s="8" t="s">
        <v>40</v>
      </c>
      <c r="AG1119" s="9">
        <v>1237307</v>
      </c>
      <c r="AH1119" s="11">
        <f>_xlfn.XLOOKUP(B1119,[1]Sheet1!$B:$B,[1]Sheet1!$AB:$AB,0)</f>
        <v>0</v>
      </c>
    </row>
    <row r="1120" spans="2:34" ht="16.8" thickTop="1" thickBot="1" x14ac:dyDescent="0.35">
      <c r="B1120" s="3" t="str">
        <f t="shared" si="36"/>
        <v>45151004511001450Trade Partners-IO461412402066</v>
      </c>
      <c r="C1120" s="6" t="s">
        <v>746</v>
      </c>
      <c r="D1120" s="6" t="s">
        <v>1735</v>
      </c>
      <c r="E1120" s="6" t="s">
        <v>1736</v>
      </c>
      <c r="F1120" s="6" t="s">
        <v>1731</v>
      </c>
      <c r="G1120" s="4" t="s">
        <v>2868</v>
      </c>
      <c r="H1120" s="4" t="s">
        <v>2937</v>
      </c>
      <c r="I1120" s="6" t="s">
        <v>1255</v>
      </c>
      <c r="J1120" s="6" t="s">
        <v>31</v>
      </c>
      <c r="K1120" s="12">
        <f>_xlfn.XLOOKUP(B1120,[1]Sheet1!$B:$B,[1]Sheet1!$N:$N,0)</f>
        <v>0</v>
      </c>
      <c r="L1120" s="12">
        <f>_xlfn.XLOOKUP(B1120,[1]Sheet1!$B:$B,[1]Sheet1!$O:$O,0)</f>
        <v>0</v>
      </c>
      <c r="M1120" s="12">
        <f>_xlfn.XLOOKUP(B1120,[1]Sheet1!$B:$B,[1]Sheet1!$P:$P,0)</f>
        <v>0</v>
      </c>
      <c r="N1120" s="12">
        <f>_xlfn.XLOOKUP(B1120,[1]Sheet1!$B:$B,[1]Sheet1!$Q:$Q,0)</f>
        <v>0</v>
      </c>
      <c r="O1120" s="12">
        <f>_xlfn.XLOOKUP(B1120,[1]Sheet1!$B:$B,[1]Sheet1!$R:$R,0)</f>
        <v>0</v>
      </c>
      <c r="P1120" s="12">
        <f>_xlfn.XLOOKUP(B1120,[1]Sheet1!$B:$B,[1]Sheet1!$S:$S,0)</f>
        <v>0</v>
      </c>
      <c r="Q1120" s="12">
        <f>_xlfn.XLOOKUP(B1120,[1]Sheet1!$B:$B,[1]Sheet1!$T:$T,0)</f>
        <v>0</v>
      </c>
      <c r="R1120" s="12">
        <f>_xlfn.XLOOKUP(B1120,[1]Sheet1!$B:$B,[1]Sheet1!$U:$U,0)</f>
        <v>0</v>
      </c>
      <c r="S1120" s="12">
        <f>_xlfn.XLOOKUP(B1120,[1]Sheet1!$B:$B,[1]Sheet1!$V:$V,0)</f>
        <v>0</v>
      </c>
      <c r="T1120" s="12">
        <f>_xlfn.XLOOKUP(B1120,[1]Sheet1!$B:$B,[1]Sheet1!$W:$W,0)</f>
        <v>0</v>
      </c>
      <c r="U1120" s="12">
        <f>_xlfn.XLOOKUP(B1120,[1]Sheet1!$B:$B,[1]Sheet1!$X:$X,0)</f>
        <v>0</v>
      </c>
      <c r="V1120" s="12">
        <f>_xlfn.XLOOKUP(B1120,[1]Sheet1!$B:$B,[1]Sheet1!$Y:$Y,0)</f>
        <v>0</v>
      </c>
      <c r="W1120" s="12">
        <f t="shared" si="37"/>
        <v>0</v>
      </c>
      <c r="X1120" s="6" t="s">
        <v>1732</v>
      </c>
      <c r="Y1120" s="6" t="s">
        <v>211</v>
      </c>
      <c r="Z1120" s="6" t="s">
        <v>745</v>
      </c>
      <c r="AA1120" s="6" t="s">
        <v>1255</v>
      </c>
      <c r="AB1120" s="6" t="s">
        <v>1719</v>
      </c>
      <c r="AC1120" s="6" t="s">
        <v>1645</v>
      </c>
      <c r="AD1120" s="6" t="s">
        <v>1077</v>
      </c>
      <c r="AE1120" s="6" t="s">
        <v>39</v>
      </c>
      <c r="AF1120" s="6" t="s">
        <v>40</v>
      </c>
      <c r="AG1120" s="7">
        <v>9110327</v>
      </c>
      <c r="AH1120" s="11">
        <f>_xlfn.XLOOKUP(B1120,[1]Sheet1!$B:$B,[1]Sheet1!$AB:$AB,0)</f>
        <v>0</v>
      </c>
    </row>
    <row r="1121" spans="2:34" ht="16.8" thickTop="1" thickBot="1" x14ac:dyDescent="0.35">
      <c r="B1121" s="3" t="str">
        <f t="shared" si="36"/>
        <v>45121004511001450Trade Partners-TDP - L2461412402066</v>
      </c>
      <c r="C1121" s="8" t="s">
        <v>738</v>
      </c>
      <c r="D1121" s="8" t="s">
        <v>1735</v>
      </c>
      <c r="E1121" s="8" t="s">
        <v>1736</v>
      </c>
      <c r="F1121" s="8" t="s">
        <v>1717</v>
      </c>
      <c r="G1121" s="4" t="s">
        <v>2868</v>
      </c>
      <c r="H1121" s="4" t="s">
        <v>2937</v>
      </c>
      <c r="I1121" s="8" t="s">
        <v>1255</v>
      </c>
      <c r="J1121" s="8" t="s">
        <v>31</v>
      </c>
      <c r="K1121" s="12">
        <f>_xlfn.XLOOKUP(B1121,[1]Sheet1!$B:$B,[1]Sheet1!$N:$N,0)</f>
        <v>0</v>
      </c>
      <c r="L1121" s="12">
        <f>_xlfn.XLOOKUP(B1121,[1]Sheet1!$B:$B,[1]Sheet1!$O:$O,0)</f>
        <v>0</v>
      </c>
      <c r="M1121" s="12">
        <f>_xlfn.XLOOKUP(B1121,[1]Sheet1!$B:$B,[1]Sheet1!$P:$P,0)</f>
        <v>0</v>
      </c>
      <c r="N1121" s="12">
        <f>_xlfn.XLOOKUP(B1121,[1]Sheet1!$B:$B,[1]Sheet1!$Q:$Q,0)</f>
        <v>0</v>
      </c>
      <c r="O1121" s="12">
        <f>_xlfn.XLOOKUP(B1121,[1]Sheet1!$B:$B,[1]Sheet1!$R:$R,0)</f>
        <v>0</v>
      </c>
      <c r="P1121" s="12">
        <f>_xlfn.XLOOKUP(B1121,[1]Sheet1!$B:$B,[1]Sheet1!$S:$S,0)</f>
        <v>0</v>
      </c>
      <c r="Q1121" s="12">
        <f>_xlfn.XLOOKUP(B1121,[1]Sheet1!$B:$B,[1]Sheet1!$T:$T,0)</f>
        <v>0</v>
      </c>
      <c r="R1121" s="12">
        <f>_xlfn.XLOOKUP(B1121,[1]Sheet1!$B:$B,[1]Sheet1!$U:$U,0)</f>
        <v>0</v>
      </c>
      <c r="S1121" s="12">
        <f>_xlfn.XLOOKUP(B1121,[1]Sheet1!$B:$B,[1]Sheet1!$V:$V,0)</f>
        <v>0</v>
      </c>
      <c r="T1121" s="12">
        <f>_xlfn.XLOOKUP(B1121,[1]Sheet1!$B:$B,[1]Sheet1!$W:$W,0)</f>
        <v>0</v>
      </c>
      <c r="U1121" s="12">
        <f>_xlfn.XLOOKUP(B1121,[1]Sheet1!$B:$B,[1]Sheet1!$X:$X,0)</f>
        <v>0</v>
      </c>
      <c r="V1121" s="12">
        <f>_xlfn.XLOOKUP(B1121,[1]Sheet1!$B:$B,[1]Sheet1!$Y:$Y,0)</f>
        <v>0</v>
      </c>
      <c r="W1121" s="12">
        <f t="shared" si="37"/>
        <v>0</v>
      </c>
      <c r="X1121" s="8" t="s">
        <v>1718</v>
      </c>
      <c r="Y1121" s="8" t="s">
        <v>721</v>
      </c>
      <c r="Z1121" s="8" t="s">
        <v>737</v>
      </c>
      <c r="AA1121" s="8" t="s">
        <v>1255</v>
      </c>
      <c r="AB1121" s="8" t="s">
        <v>1719</v>
      </c>
      <c r="AC1121" s="8" t="s">
        <v>1645</v>
      </c>
      <c r="AD1121" s="8" t="s">
        <v>1077</v>
      </c>
      <c r="AE1121" s="8" t="s">
        <v>39</v>
      </c>
      <c r="AF1121" s="8" t="s">
        <v>40</v>
      </c>
      <c r="AG1121" s="9">
        <v>105621</v>
      </c>
      <c r="AH1121" s="11">
        <f>_xlfn.XLOOKUP(B1121,[1]Sheet1!$B:$B,[1]Sheet1!$AB:$AB,0)</f>
        <v>0</v>
      </c>
    </row>
    <row r="1122" spans="2:34" ht="16.8" thickTop="1" thickBot="1" x14ac:dyDescent="0.35">
      <c r="B1122" s="3" t="str">
        <f t="shared" si="36"/>
        <v>45121004511001452Trade Partners-TDP - L2461412402066</v>
      </c>
      <c r="C1122" s="6" t="s">
        <v>738</v>
      </c>
      <c r="D1122" s="6" t="s">
        <v>1737</v>
      </c>
      <c r="E1122" s="6" t="s">
        <v>1738</v>
      </c>
      <c r="F1122" s="6" t="s">
        <v>1717</v>
      </c>
      <c r="G1122" s="4" t="s">
        <v>2868</v>
      </c>
      <c r="H1122" s="4" t="s">
        <v>2937</v>
      </c>
      <c r="I1122" s="6" t="s">
        <v>1255</v>
      </c>
      <c r="J1122" s="6" t="s">
        <v>31</v>
      </c>
      <c r="K1122" s="12">
        <f>_xlfn.XLOOKUP(B1122,[1]Sheet1!$B:$B,[1]Sheet1!$N:$N,0)</f>
        <v>0</v>
      </c>
      <c r="L1122" s="12">
        <f>_xlfn.XLOOKUP(B1122,[1]Sheet1!$B:$B,[1]Sheet1!$O:$O,0)</f>
        <v>0</v>
      </c>
      <c r="M1122" s="12">
        <f>_xlfn.XLOOKUP(B1122,[1]Sheet1!$B:$B,[1]Sheet1!$P:$P,0)</f>
        <v>0</v>
      </c>
      <c r="N1122" s="12">
        <f>_xlfn.XLOOKUP(B1122,[1]Sheet1!$B:$B,[1]Sheet1!$Q:$Q,0)</f>
        <v>0</v>
      </c>
      <c r="O1122" s="12">
        <f>_xlfn.XLOOKUP(B1122,[1]Sheet1!$B:$B,[1]Sheet1!$R:$R,0)</f>
        <v>0</v>
      </c>
      <c r="P1122" s="12">
        <f>_xlfn.XLOOKUP(B1122,[1]Sheet1!$B:$B,[1]Sheet1!$S:$S,0)</f>
        <v>0</v>
      </c>
      <c r="Q1122" s="12">
        <f>_xlfn.XLOOKUP(B1122,[1]Sheet1!$B:$B,[1]Sheet1!$T:$T,0)</f>
        <v>0</v>
      </c>
      <c r="R1122" s="12">
        <f>_xlfn.XLOOKUP(B1122,[1]Sheet1!$B:$B,[1]Sheet1!$U:$U,0)</f>
        <v>0</v>
      </c>
      <c r="S1122" s="12">
        <f>_xlfn.XLOOKUP(B1122,[1]Sheet1!$B:$B,[1]Sheet1!$V:$V,0)</f>
        <v>0</v>
      </c>
      <c r="T1122" s="12">
        <f>_xlfn.XLOOKUP(B1122,[1]Sheet1!$B:$B,[1]Sheet1!$W:$W,0)</f>
        <v>0</v>
      </c>
      <c r="U1122" s="12">
        <f>_xlfn.XLOOKUP(B1122,[1]Sheet1!$B:$B,[1]Sheet1!$X:$X,0)</f>
        <v>0</v>
      </c>
      <c r="V1122" s="12">
        <f>_xlfn.XLOOKUP(B1122,[1]Sheet1!$B:$B,[1]Sheet1!$Y:$Y,0)</f>
        <v>0</v>
      </c>
      <c r="W1122" s="12">
        <f t="shared" si="37"/>
        <v>0</v>
      </c>
      <c r="X1122" s="6" t="s">
        <v>1718</v>
      </c>
      <c r="Y1122" s="6" t="s">
        <v>721</v>
      </c>
      <c r="Z1122" s="6" t="s">
        <v>737</v>
      </c>
      <c r="AA1122" s="6" t="s">
        <v>1255</v>
      </c>
      <c r="AB1122" s="6" t="s">
        <v>1719</v>
      </c>
      <c r="AC1122" s="6" t="s">
        <v>1645</v>
      </c>
      <c r="AD1122" s="6" t="s">
        <v>1077</v>
      </c>
      <c r="AE1122" s="6" t="s">
        <v>39</v>
      </c>
      <c r="AF1122" s="6" t="s">
        <v>40</v>
      </c>
      <c r="AG1122" s="7">
        <v>5100000</v>
      </c>
      <c r="AH1122" s="11">
        <f>_xlfn.XLOOKUP(B1122,[1]Sheet1!$B:$B,[1]Sheet1!$AB:$AB,0)</f>
        <v>0</v>
      </c>
    </row>
    <row r="1123" spans="2:34" ht="16.8" thickTop="1" thickBot="1" x14ac:dyDescent="0.35">
      <c r="B1123" s="3" t="str">
        <f t="shared" si="36"/>
        <v>45151004511001453Trade Partners-IO461412402066</v>
      </c>
      <c r="C1123" s="8" t="s">
        <v>746</v>
      </c>
      <c r="D1123" s="8" t="s">
        <v>1739</v>
      </c>
      <c r="E1123" s="8" t="s">
        <v>1740</v>
      </c>
      <c r="F1123" s="8" t="s">
        <v>1731</v>
      </c>
      <c r="G1123" s="4" t="s">
        <v>2868</v>
      </c>
      <c r="H1123" s="4" t="s">
        <v>2937</v>
      </c>
      <c r="I1123" s="8" t="s">
        <v>1255</v>
      </c>
      <c r="J1123" s="8" t="s">
        <v>31</v>
      </c>
      <c r="K1123" s="12">
        <f>_xlfn.XLOOKUP(B1123,[1]Sheet1!$B:$B,[1]Sheet1!$N:$N,0)</f>
        <v>0</v>
      </c>
      <c r="L1123" s="12">
        <f>_xlfn.XLOOKUP(B1123,[1]Sheet1!$B:$B,[1]Sheet1!$O:$O,0)</f>
        <v>0</v>
      </c>
      <c r="M1123" s="12">
        <f>_xlfn.XLOOKUP(B1123,[1]Sheet1!$B:$B,[1]Sheet1!$P:$P,0)</f>
        <v>0</v>
      </c>
      <c r="N1123" s="12">
        <f>_xlfn.XLOOKUP(B1123,[1]Sheet1!$B:$B,[1]Sheet1!$Q:$Q,0)</f>
        <v>0</v>
      </c>
      <c r="O1123" s="12">
        <f>_xlfn.XLOOKUP(B1123,[1]Sheet1!$B:$B,[1]Sheet1!$R:$R,0)</f>
        <v>0</v>
      </c>
      <c r="P1123" s="12">
        <f>_xlfn.XLOOKUP(B1123,[1]Sheet1!$B:$B,[1]Sheet1!$S:$S,0)</f>
        <v>0</v>
      </c>
      <c r="Q1123" s="12">
        <f>_xlfn.XLOOKUP(B1123,[1]Sheet1!$B:$B,[1]Sheet1!$T:$T,0)</f>
        <v>0</v>
      </c>
      <c r="R1123" s="12">
        <f>_xlfn.XLOOKUP(B1123,[1]Sheet1!$B:$B,[1]Sheet1!$U:$U,0)</f>
        <v>0</v>
      </c>
      <c r="S1123" s="12">
        <f>_xlfn.XLOOKUP(B1123,[1]Sheet1!$B:$B,[1]Sheet1!$V:$V,0)</f>
        <v>0</v>
      </c>
      <c r="T1123" s="12">
        <f>_xlfn.XLOOKUP(B1123,[1]Sheet1!$B:$B,[1]Sheet1!$W:$W,0)</f>
        <v>0</v>
      </c>
      <c r="U1123" s="12">
        <f>_xlfn.XLOOKUP(B1123,[1]Sheet1!$B:$B,[1]Sheet1!$X:$X,0)</f>
        <v>0</v>
      </c>
      <c r="V1123" s="12">
        <f>_xlfn.XLOOKUP(B1123,[1]Sheet1!$B:$B,[1]Sheet1!$Y:$Y,0)</f>
        <v>0</v>
      </c>
      <c r="W1123" s="12">
        <f t="shared" si="37"/>
        <v>0</v>
      </c>
      <c r="X1123" s="8" t="s">
        <v>1732</v>
      </c>
      <c r="Y1123" s="8" t="s">
        <v>211</v>
      </c>
      <c r="Z1123" s="8" t="s">
        <v>745</v>
      </c>
      <c r="AA1123" s="8" t="s">
        <v>1255</v>
      </c>
      <c r="AB1123" s="8" t="s">
        <v>1719</v>
      </c>
      <c r="AC1123" s="8" t="s">
        <v>1645</v>
      </c>
      <c r="AD1123" s="8" t="s">
        <v>1077</v>
      </c>
      <c r="AE1123" s="8" t="s">
        <v>39</v>
      </c>
      <c r="AF1123" s="8" t="s">
        <v>40</v>
      </c>
      <c r="AG1123" s="9">
        <v>2307800</v>
      </c>
      <c r="AH1123" s="11">
        <f>_xlfn.XLOOKUP(B1123,[1]Sheet1!$B:$B,[1]Sheet1!$AB:$AB,0)</f>
        <v>0</v>
      </c>
    </row>
    <row r="1124" spans="2:34" ht="16.8" thickTop="1" thickBot="1" x14ac:dyDescent="0.35">
      <c r="B1124" s="3" t="str">
        <f t="shared" si="36"/>
        <v>45151004511001454Trade Partners-IO461412402066</v>
      </c>
      <c r="C1124" s="6" t="s">
        <v>746</v>
      </c>
      <c r="D1124" s="6" t="s">
        <v>1741</v>
      </c>
      <c r="E1124" s="6" t="s">
        <v>1742</v>
      </c>
      <c r="F1124" s="6" t="s">
        <v>1731</v>
      </c>
      <c r="G1124" s="4" t="s">
        <v>2868</v>
      </c>
      <c r="H1124" s="4" t="s">
        <v>2937</v>
      </c>
      <c r="I1124" s="6" t="s">
        <v>1255</v>
      </c>
      <c r="J1124" s="6" t="s">
        <v>31</v>
      </c>
      <c r="K1124" s="12">
        <f>_xlfn.XLOOKUP(B1124,[1]Sheet1!$B:$B,[1]Sheet1!$N:$N,0)</f>
        <v>0</v>
      </c>
      <c r="L1124" s="12">
        <f>_xlfn.XLOOKUP(B1124,[1]Sheet1!$B:$B,[1]Sheet1!$O:$O,0)</f>
        <v>0</v>
      </c>
      <c r="M1124" s="12">
        <f>_xlfn.XLOOKUP(B1124,[1]Sheet1!$B:$B,[1]Sheet1!$P:$P,0)</f>
        <v>0</v>
      </c>
      <c r="N1124" s="12">
        <f>_xlfn.XLOOKUP(B1124,[1]Sheet1!$B:$B,[1]Sheet1!$Q:$Q,0)</f>
        <v>0</v>
      </c>
      <c r="O1124" s="12">
        <f>_xlfn.XLOOKUP(B1124,[1]Sheet1!$B:$B,[1]Sheet1!$R:$R,0)</f>
        <v>0</v>
      </c>
      <c r="P1124" s="12">
        <f>_xlfn.XLOOKUP(B1124,[1]Sheet1!$B:$B,[1]Sheet1!$S:$S,0)</f>
        <v>0</v>
      </c>
      <c r="Q1124" s="12">
        <f>_xlfn.XLOOKUP(B1124,[1]Sheet1!$B:$B,[1]Sheet1!$T:$T,0)</f>
        <v>0</v>
      </c>
      <c r="R1124" s="12">
        <f>_xlfn.XLOOKUP(B1124,[1]Sheet1!$B:$B,[1]Sheet1!$U:$U,0)</f>
        <v>0</v>
      </c>
      <c r="S1124" s="12">
        <f>_xlfn.XLOOKUP(B1124,[1]Sheet1!$B:$B,[1]Sheet1!$V:$V,0)</f>
        <v>0</v>
      </c>
      <c r="T1124" s="12">
        <f>_xlfn.XLOOKUP(B1124,[1]Sheet1!$B:$B,[1]Sheet1!$W:$W,0)</f>
        <v>0</v>
      </c>
      <c r="U1124" s="12">
        <f>_xlfn.XLOOKUP(B1124,[1]Sheet1!$B:$B,[1]Sheet1!$X:$X,0)</f>
        <v>0</v>
      </c>
      <c r="V1124" s="12">
        <f>_xlfn.XLOOKUP(B1124,[1]Sheet1!$B:$B,[1]Sheet1!$Y:$Y,0)</f>
        <v>0</v>
      </c>
      <c r="W1124" s="12">
        <f t="shared" si="37"/>
        <v>0</v>
      </c>
      <c r="X1124" s="6" t="s">
        <v>1732</v>
      </c>
      <c r="Y1124" s="6" t="s">
        <v>211</v>
      </c>
      <c r="Z1124" s="6" t="s">
        <v>745</v>
      </c>
      <c r="AA1124" s="6" t="s">
        <v>1255</v>
      </c>
      <c r="AB1124" s="6" t="s">
        <v>1719</v>
      </c>
      <c r="AC1124" s="6" t="s">
        <v>1645</v>
      </c>
      <c r="AD1124" s="6" t="s">
        <v>1077</v>
      </c>
      <c r="AE1124" s="6" t="s">
        <v>39</v>
      </c>
      <c r="AF1124" s="6" t="s">
        <v>40</v>
      </c>
      <c r="AG1124" s="7">
        <v>499226</v>
      </c>
      <c r="AH1124" s="11">
        <f>_xlfn.XLOOKUP(B1124,[1]Sheet1!$B:$B,[1]Sheet1!$AB:$AB,0)</f>
        <v>0</v>
      </c>
    </row>
    <row r="1125" spans="2:34" ht="16.8" thickTop="1" thickBot="1" x14ac:dyDescent="0.35">
      <c r="B1125" s="3" t="str">
        <f t="shared" si="36"/>
        <v>45151004511001455Trade Partners-IO461412402066</v>
      </c>
      <c r="C1125" s="8" t="s">
        <v>746</v>
      </c>
      <c r="D1125" s="8" t="s">
        <v>1743</v>
      </c>
      <c r="E1125" s="8" t="s">
        <v>1744</v>
      </c>
      <c r="F1125" s="8" t="s">
        <v>1731</v>
      </c>
      <c r="G1125" s="4" t="s">
        <v>2868</v>
      </c>
      <c r="H1125" s="4" t="s">
        <v>2937</v>
      </c>
      <c r="I1125" s="8" t="s">
        <v>1255</v>
      </c>
      <c r="J1125" s="8" t="s">
        <v>31</v>
      </c>
      <c r="K1125" s="12">
        <f>_xlfn.XLOOKUP(B1125,[1]Sheet1!$B:$B,[1]Sheet1!$N:$N,0)</f>
        <v>0</v>
      </c>
      <c r="L1125" s="12">
        <f>_xlfn.XLOOKUP(B1125,[1]Sheet1!$B:$B,[1]Sheet1!$O:$O,0)</f>
        <v>0</v>
      </c>
      <c r="M1125" s="12">
        <f>_xlfn.XLOOKUP(B1125,[1]Sheet1!$B:$B,[1]Sheet1!$P:$P,0)</f>
        <v>0</v>
      </c>
      <c r="N1125" s="12">
        <f>_xlfn.XLOOKUP(B1125,[1]Sheet1!$B:$B,[1]Sheet1!$Q:$Q,0)</f>
        <v>0</v>
      </c>
      <c r="O1125" s="12">
        <f>_xlfn.XLOOKUP(B1125,[1]Sheet1!$B:$B,[1]Sheet1!$R:$R,0)</f>
        <v>0</v>
      </c>
      <c r="P1125" s="12">
        <f>_xlfn.XLOOKUP(B1125,[1]Sheet1!$B:$B,[1]Sheet1!$S:$S,0)</f>
        <v>0</v>
      </c>
      <c r="Q1125" s="12">
        <f>_xlfn.XLOOKUP(B1125,[1]Sheet1!$B:$B,[1]Sheet1!$T:$T,0)</f>
        <v>0</v>
      </c>
      <c r="R1125" s="12">
        <f>_xlfn.XLOOKUP(B1125,[1]Sheet1!$B:$B,[1]Sheet1!$U:$U,0)</f>
        <v>0</v>
      </c>
      <c r="S1125" s="12">
        <f>_xlfn.XLOOKUP(B1125,[1]Sheet1!$B:$B,[1]Sheet1!$V:$V,0)</f>
        <v>0</v>
      </c>
      <c r="T1125" s="12">
        <f>_xlfn.XLOOKUP(B1125,[1]Sheet1!$B:$B,[1]Sheet1!$W:$W,0)</f>
        <v>0</v>
      </c>
      <c r="U1125" s="12">
        <f>_xlfn.XLOOKUP(B1125,[1]Sheet1!$B:$B,[1]Sheet1!$X:$X,0)</f>
        <v>0</v>
      </c>
      <c r="V1125" s="12">
        <f>_xlfn.XLOOKUP(B1125,[1]Sheet1!$B:$B,[1]Sheet1!$Y:$Y,0)</f>
        <v>0</v>
      </c>
      <c r="W1125" s="12">
        <f t="shared" si="37"/>
        <v>0</v>
      </c>
      <c r="X1125" s="8" t="s">
        <v>1732</v>
      </c>
      <c r="Y1125" s="8" t="s">
        <v>211</v>
      </c>
      <c r="Z1125" s="8" t="s">
        <v>745</v>
      </c>
      <c r="AA1125" s="8" t="s">
        <v>1255</v>
      </c>
      <c r="AB1125" s="8" t="s">
        <v>1719</v>
      </c>
      <c r="AC1125" s="8" t="s">
        <v>1645</v>
      </c>
      <c r="AD1125" s="8" t="s">
        <v>1077</v>
      </c>
      <c r="AE1125" s="8" t="s">
        <v>39</v>
      </c>
      <c r="AF1125" s="8" t="s">
        <v>40</v>
      </c>
      <c r="AG1125" s="9">
        <v>909900</v>
      </c>
      <c r="AH1125" s="11">
        <f>_xlfn.XLOOKUP(B1125,[1]Sheet1!$B:$B,[1]Sheet1!$AB:$AB,0)</f>
        <v>0</v>
      </c>
    </row>
    <row r="1126" spans="2:34" ht="16.8" thickTop="1" thickBot="1" x14ac:dyDescent="0.35">
      <c r="B1126" s="3" t="str">
        <f t="shared" si="36"/>
        <v>45121004511001455Trade Partners-TDP - L2461412402066</v>
      </c>
      <c r="C1126" s="6" t="s">
        <v>738</v>
      </c>
      <c r="D1126" s="6" t="s">
        <v>1743</v>
      </c>
      <c r="E1126" s="6" t="s">
        <v>1744</v>
      </c>
      <c r="F1126" s="6" t="s">
        <v>1717</v>
      </c>
      <c r="G1126" s="4" t="s">
        <v>2868</v>
      </c>
      <c r="H1126" s="4" t="s">
        <v>2937</v>
      </c>
      <c r="I1126" s="6" t="s">
        <v>1255</v>
      </c>
      <c r="J1126" s="6" t="s">
        <v>31</v>
      </c>
      <c r="K1126" s="12">
        <f>_xlfn.XLOOKUP(B1126,[1]Sheet1!$B:$B,[1]Sheet1!$N:$N,0)</f>
        <v>0</v>
      </c>
      <c r="L1126" s="12">
        <f>_xlfn.XLOOKUP(B1126,[1]Sheet1!$B:$B,[1]Sheet1!$O:$O,0)</f>
        <v>0</v>
      </c>
      <c r="M1126" s="12">
        <f>_xlfn.XLOOKUP(B1126,[1]Sheet1!$B:$B,[1]Sheet1!$P:$P,0)</f>
        <v>0</v>
      </c>
      <c r="N1126" s="12">
        <f>_xlfn.XLOOKUP(B1126,[1]Sheet1!$B:$B,[1]Sheet1!$Q:$Q,0)</f>
        <v>0</v>
      </c>
      <c r="O1126" s="12">
        <f>_xlfn.XLOOKUP(B1126,[1]Sheet1!$B:$B,[1]Sheet1!$R:$R,0)</f>
        <v>0</v>
      </c>
      <c r="P1126" s="12">
        <f>_xlfn.XLOOKUP(B1126,[1]Sheet1!$B:$B,[1]Sheet1!$S:$S,0)</f>
        <v>0</v>
      </c>
      <c r="Q1126" s="12">
        <f>_xlfn.XLOOKUP(B1126,[1]Sheet1!$B:$B,[1]Sheet1!$T:$T,0)</f>
        <v>0</v>
      </c>
      <c r="R1126" s="12">
        <f>_xlfn.XLOOKUP(B1126,[1]Sheet1!$B:$B,[1]Sheet1!$U:$U,0)</f>
        <v>0</v>
      </c>
      <c r="S1126" s="12">
        <f>_xlfn.XLOOKUP(B1126,[1]Sheet1!$B:$B,[1]Sheet1!$V:$V,0)</f>
        <v>0</v>
      </c>
      <c r="T1126" s="12">
        <f>_xlfn.XLOOKUP(B1126,[1]Sheet1!$B:$B,[1]Sheet1!$W:$W,0)</f>
        <v>0</v>
      </c>
      <c r="U1126" s="12">
        <f>_xlfn.XLOOKUP(B1126,[1]Sheet1!$B:$B,[1]Sheet1!$X:$X,0)</f>
        <v>0</v>
      </c>
      <c r="V1126" s="12">
        <f>_xlfn.XLOOKUP(B1126,[1]Sheet1!$B:$B,[1]Sheet1!$Y:$Y,0)</f>
        <v>0</v>
      </c>
      <c r="W1126" s="12">
        <f t="shared" si="37"/>
        <v>0</v>
      </c>
      <c r="X1126" s="6" t="s">
        <v>1718</v>
      </c>
      <c r="Y1126" s="6" t="s">
        <v>721</v>
      </c>
      <c r="Z1126" s="6" t="s">
        <v>737</v>
      </c>
      <c r="AA1126" s="6" t="s">
        <v>1255</v>
      </c>
      <c r="AB1126" s="6" t="s">
        <v>1719</v>
      </c>
      <c r="AC1126" s="6" t="s">
        <v>1645</v>
      </c>
      <c r="AD1126" s="6" t="s">
        <v>1077</v>
      </c>
      <c r="AE1126" s="6" t="s">
        <v>39</v>
      </c>
      <c r="AF1126" s="6" t="s">
        <v>40</v>
      </c>
      <c r="AG1126" s="7">
        <v>358050</v>
      </c>
      <c r="AH1126" s="11">
        <f>_xlfn.XLOOKUP(B1126,[1]Sheet1!$B:$B,[1]Sheet1!$AB:$AB,0)</f>
        <v>0</v>
      </c>
    </row>
    <row r="1127" spans="2:34" ht="16.8" thickTop="1" thickBot="1" x14ac:dyDescent="0.35">
      <c r="B1127" s="3" t="str">
        <f t="shared" si="36"/>
        <v>45159004511001456Freelancer-PD1461412402066</v>
      </c>
      <c r="C1127" s="8" t="s">
        <v>827</v>
      </c>
      <c r="D1127" s="8" t="s">
        <v>1745</v>
      </c>
      <c r="E1127" s="8" t="s">
        <v>1746</v>
      </c>
      <c r="F1127" s="8" t="s">
        <v>1747</v>
      </c>
      <c r="G1127" s="4" t="s">
        <v>2868</v>
      </c>
      <c r="H1127" s="4" t="s">
        <v>2937</v>
      </c>
      <c r="I1127" s="8" t="s">
        <v>1255</v>
      </c>
      <c r="J1127" s="8" t="s">
        <v>31</v>
      </c>
      <c r="K1127" s="12">
        <f>_xlfn.XLOOKUP(B1127,[1]Sheet1!$B:$B,[1]Sheet1!$N:$N,0)</f>
        <v>0</v>
      </c>
      <c r="L1127" s="12">
        <f>_xlfn.XLOOKUP(B1127,[1]Sheet1!$B:$B,[1]Sheet1!$O:$O,0)</f>
        <v>0</v>
      </c>
      <c r="M1127" s="12">
        <f>_xlfn.XLOOKUP(B1127,[1]Sheet1!$B:$B,[1]Sheet1!$P:$P,0)</f>
        <v>0</v>
      </c>
      <c r="N1127" s="12">
        <f>_xlfn.XLOOKUP(B1127,[1]Sheet1!$B:$B,[1]Sheet1!$Q:$Q,0)</f>
        <v>0</v>
      </c>
      <c r="O1127" s="12">
        <f>_xlfn.XLOOKUP(B1127,[1]Sheet1!$B:$B,[1]Sheet1!$R:$R,0)</f>
        <v>0</v>
      </c>
      <c r="P1127" s="12">
        <f>_xlfn.XLOOKUP(B1127,[1]Sheet1!$B:$B,[1]Sheet1!$S:$S,0)</f>
        <v>0</v>
      </c>
      <c r="Q1127" s="12">
        <f>_xlfn.XLOOKUP(B1127,[1]Sheet1!$B:$B,[1]Sheet1!$T:$T,0)</f>
        <v>0</v>
      </c>
      <c r="R1127" s="12">
        <f>_xlfn.XLOOKUP(B1127,[1]Sheet1!$B:$B,[1]Sheet1!$U:$U,0)</f>
        <v>0</v>
      </c>
      <c r="S1127" s="12">
        <f>_xlfn.XLOOKUP(B1127,[1]Sheet1!$B:$B,[1]Sheet1!$V:$V,0)</f>
        <v>0</v>
      </c>
      <c r="T1127" s="12">
        <f>_xlfn.XLOOKUP(B1127,[1]Sheet1!$B:$B,[1]Sheet1!$W:$W,0)</f>
        <v>0</v>
      </c>
      <c r="U1127" s="12">
        <f>_xlfn.XLOOKUP(B1127,[1]Sheet1!$B:$B,[1]Sheet1!$X:$X,0)</f>
        <v>0</v>
      </c>
      <c r="V1127" s="12">
        <f>_xlfn.XLOOKUP(B1127,[1]Sheet1!$B:$B,[1]Sheet1!$Y:$Y,0)</f>
        <v>0</v>
      </c>
      <c r="W1127" s="12">
        <f t="shared" si="37"/>
        <v>0</v>
      </c>
      <c r="X1127" s="8" t="s">
        <v>1726</v>
      </c>
      <c r="Y1127" s="8" t="s">
        <v>211</v>
      </c>
      <c r="Z1127" s="8" t="s">
        <v>826</v>
      </c>
      <c r="AA1127" s="8" t="s">
        <v>1255</v>
      </c>
      <c r="AB1127" s="8" t="s">
        <v>1719</v>
      </c>
      <c r="AC1127" s="8" t="s">
        <v>1645</v>
      </c>
      <c r="AD1127" s="8" t="s">
        <v>1077</v>
      </c>
      <c r="AE1127" s="8" t="s">
        <v>39</v>
      </c>
      <c r="AF1127" s="8" t="s">
        <v>40</v>
      </c>
      <c r="AG1127" s="9">
        <v>400000</v>
      </c>
      <c r="AH1127" s="11">
        <f>_xlfn.XLOOKUP(B1127,[1]Sheet1!$B:$B,[1]Sheet1!$AB:$AB,0)</f>
        <v>0</v>
      </c>
    </row>
    <row r="1128" spans="2:34" ht="16.8" thickTop="1" thickBot="1" x14ac:dyDescent="0.35">
      <c r="B1128" s="3" t="str">
        <f t="shared" si="36"/>
        <v>45121004511001456Freelancer-TDP - L2461412402066</v>
      </c>
      <c r="C1128" s="6" t="s">
        <v>738</v>
      </c>
      <c r="D1128" s="6" t="s">
        <v>1745</v>
      </c>
      <c r="E1128" s="6" t="s">
        <v>1746</v>
      </c>
      <c r="F1128" s="6" t="s">
        <v>1748</v>
      </c>
      <c r="G1128" s="4" t="s">
        <v>2868</v>
      </c>
      <c r="H1128" s="4" t="s">
        <v>2937</v>
      </c>
      <c r="I1128" s="6" t="s">
        <v>1255</v>
      </c>
      <c r="J1128" s="6" t="s">
        <v>31</v>
      </c>
      <c r="K1128" s="12">
        <f>_xlfn.XLOOKUP(B1128,[1]Sheet1!$B:$B,[1]Sheet1!$N:$N,0)</f>
        <v>0</v>
      </c>
      <c r="L1128" s="12">
        <f>_xlfn.XLOOKUP(B1128,[1]Sheet1!$B:$B,[1]Sheet1!$O:$O,0)</f>
        <v>0</v>
      </c>
      <c r="M1128" s="12">
        <f>_xlfn.XLOOKUP(B1128,[1]Sheet1!$B:$B,[1]Sheet1!$P:$P,0)</f>
        <v>0</v>
      </c>
      <c r="N1128" s="12">
        <f>_xlfn.XLOOKUP(B1128,[1]Sheet1!$B:$B,[1]Sheet1!$Q:$Q,0)</f>
        <v>0</v>
      </c>
      <c r="O1128" s="12">
        <f>_xlfn.XLOOKUP(B1128,[1]Sheet1!$B:$B,[1]Sheet1!$R:$R,0)</f>
        <v>0</v>
      </c>
      <c r="P1128" s="12">
        <f>_xlfn.XLOOKUP(B1128,[1]Sheet1!$B:$B,[1]Sheet1!$S:$S,0)</f>
        <v>0</v>
      </c>
      <c r="Q1128" s="12">
        <f>_xlfn.XLOOKUP(B1128,[1]Sheet1!$B:$B,[1]Sheet1!$T:$T,0)</f>
        <v>0</v>
      </c>
      <c r="R1128" s="12">
        <f>_xlfn.XLOOKUP(B1128,[1]Sheet1!$B:$B,[1]Sheet1!$U:$U,0)</f>
        <v>0</v>
      </c>
      <c r="S1128" s="12">
        <f>_xlfn.XLOOKUP(B1128,[1]Sheet1!$B:$B,[1]Sheet1!$V:$V,0)</f>
        <v>0</v>
      </c>
      <c r="T1128" s="12">
        <f>_xlfn.XLOOKUP(B1128,[1]Sheet1!$B:$B,[1]Sheet1!$W:$W,0)</f>
        <v>0</v>
      </c>
      <c r="U1128" s="12">
        <f>_xlfn.XLOOKUP(B1128,[1]Sheet1!$B:$B,[1]Sheet1!$X:$X,0)</f>
        <v>0</v>
      </c>
      <c r="V1128" s="12">
        <f>_xlfn.XLOOKUP(B1128,[1]Sheet1!$B:$B,[1]Sheet1!$Y:$Y,0)</f>
        <v>0</v>
      </c>
      <c r="W1128" s="12">
        <f t="shared" si="37"/>
        <v>0</v>
      </c>
      <c r="X1128" s="6" t="s">
        <v>1718</v>
      </c>
      <c r="Y1128" s="6" t="s">
        <v>721</v>
      </c>
      <c r="Z1128" s="6" t="s">
        <v>737</v>
      </c>
      <c r="AA1128" s="6" t="s">
        <v>1255</v>
      </c>
      <c r="AB1128" s="6" t="s">
        <v>1719</v>
      </c>
      <c r="AC1128" s="6" t="s">
        <v>1645</v>
      </c>
      <c r="AD1128" s="6" t="s">
        <v>1077</v>
      </c>
      <c r="AE1128" s="6" t="s">
        <v>39</v>
      </c>
      <c r="AF1128" s="6" t="s">
        <v>40</v>
      </c>
      <c r="AG1128" s="7">
        <v>300000</v>
      </c>
      <c r="AH1128" s="11">
        <f>_xlfn.XLOOKUP(B1128,[1]Sheet1!$B:$B,[1]Sheet1!$AB:$AB,0)</f>
        <v>0</v>
      </c>
    </row>
    <row r="1129" spans="2:34" ht="16.8" thickTop="1" thickBot="1" x14ac:dyDescent="0.35">
      <c r="B1129" s="3" t="str">
        <f t="shared" si="36"/>
        <v>45159004511001456Trade Partners-PD1461412402066</v>
      </c>
      <c r="C1129" s="8" t="s">
        <v>827</v>
      </c>
      <c r="D1129" s="8" t="s">
        <v>1745</v>
      </c>
      <c r="E1129" s="8" t="s">
        <v>1746</v>
      </c>
      <c r="F1129" s="8" t="s">
        <v>1725</v>
      </c>
      <c r="G1129" s="4" t="s">
        <v>2868</v>
      </c>
      <c r="H1129" s="4" t="s">
        <v>2937</v>
      </c>
      <c r="I1129" s="8" t="s">
        <v>1255</v>
      </c>
      <c r="J1129" s="8" t="s">
        <v>31</v>
      </c>
      <c r="K1129" s="12">
        <f>_xlfn.XLOOKUP(B1129,[1]Sheet1!$B:$B,[1]Sheet1!$N:$N,0)</f>
        <v>0</v>
      </c>
      <c r="L1129" s="12">
        <f>_xlfn.XLOOKUP(B1129,[1]Sheet1!$B:$B,[1]Sheet1!$O:$O,0)</f>
        <v>0</v>
      </c>
      <c r="M1129" s="12">
        <f>_xlfn.XLOOKUP(B1129,[1]Sheet1!$B:$B,[1]Sheet1!$P:$P,0)</f>
        <v>0</v>
      </c>
      <c r="N1129" s="12">
        <f>_xlfn.XLOOKUP(B1129,[1]Sheet1!$B:$B,[1]Sheet1!$Q:$Q,0)</f>
        <v>0</v>
      </c>
      <c r="O1129" s="12">
        <f>_xlfn.XLOOKUP(B1129,[1]Sheet1!$B:$B,[1]Sheet1!$R:$R,0)</f>
        <v>0</v>
      </c>
      <c r="P1129" s="12">
        <f>_xlfn.XLOOKUP(B1129,[1]Sheet1!$B:$B,[1]Sheet1!$S:$S,0)</f>
        <v>0</v>
      </c>
      <c r="Q1129" s="12">
        <f>_xlfn.XLOOKUP(B1129,[1]Sheet1!$B:$B,[1]Sheet1!$T:$T,0)</f>
        <v>0</v>
      </c>
      <c r="R1129" s="12">
        <f>_xlfn.XLOOKUP(B1129,[1]Sheet1!$B:$B,[1]Sheet1!$U:$U,0)</f>
        <v>0</v>
      </c>
      <c r="S1129" s="12">
        <f>_xlfn.XLOOKUP(B1129,[1]Sheet1!$B:$B,[1]Sheet1!$V:$V,0)</f>
        <v>0</v>
      </c>
      <c r="T1129" s="12">
        <f>_xlfn.XLOOKUP(B1129,[1]Sheet1!$B:$B,[1]Sheet1!$W:$W,0)</f>
        <v>0</v>
      </c>
      <c r="U1129" s="12">
        <f>_xlfn.XLOOKUP(B1129,[1]Sheet1!$B:$B,[1]Sheet1!$X:$X,0)</f>
        <v>0</v>
      </c>
      <c r="V1129" s="12">
        <f>_xlfn.XLOOKUP(B1129,[1]Sheet1!$B:$B,[1]Sheet1!$Y:$Y,0)</f>
        <v>0</v>
      </c>
      <c r="W1129" s="12">
        <f t="shared" si="37"/>
        <v>0</v>
      </c>
      <c r="X1129" s="8" t="s">
        <v>1726</v>
      </c>
      <c r="Y1129" s="8" t="s">
        <v>211</v>
      </c>
      <c r="Z1129" s="8" t="s">
        <v>826</v>
      </c>
      <c r="AA1129" s="8" t="s">
        <v>1255</v>
      </c>
      <c r="AB1129" s="8" t="s">
        <v>1719</v>
      </c>
      <c r="AC1129" s="8" t="s">
        <v>1645</v>
      </c>
      <c r="AD1129" s="8" t="s">
        <v>1077</v>
      </c>
      <c r="AE1129" s="8" t="s">
        <v>39</v>
      </c>
      <c r="AF1129" s="8" t="s">
        <v>40</v>
      </c>
      <c r="AG1129" s="9">
        <v>18140200</v>
      </c>
      <c r="AH1129" s="11">
        <f>_xlfn.XLOOKUP(B1129,[1]Sheet1!$B:$B,[1]Sheet1!$AB:$AB,0)</f>
        <v>0</v>
      </c>
    </row>
    <row r="1130" spans="2:34" ht="16.8" thickTop="1" thickBot="1" x14ac:dyDescent="0.35">
      <c r="B1130" s="3" t="str">
        <f t="shared" si="36"/>
        <v>45121004511001456Trade Partners-TDP - L2461412402066</v>
      </c>
      <c r="C1130" s="6" t="s">
        <v>738</v>
      </c>
      <c r="D1130" s="6" t="s">
        <v>1745</v>
      </c>
      <c r="E1130" s="6" t="s">
        <v>1746</v>
      </c>
      <c r="F1130" s="6" t="s">
        <v>1717</v>
      </c>
      <c r="G1130" s="4" t="s">
        <v>2868</v>
      </c>
      <c r="H1130" s="4" t="s">
        <v>2937</v>
      </c>
      <c r="I1130" s="6" t="s">
        <v>1255</v>
      </c>
      <c r="J1130" s="6" t="s">
        <v>31</v>
      </c>
      <c r="K1130" s="12">
        <f>_xlfn.XLOOKUP(B1130,[1]Sheet1!$B:$B,[1]Sheet1!$N:$N,0)</f>
        <v>0</v>
      </c>
      <c r="L1130" s="12">
        <f>_xlfn.XLOOKUP(B1130,[1]Sheet1!$B:$B,[1]Sheet1!$O:$O,0)</f>
        <v>0</v>
      </c>
      <c r="M1130" s="12">
        <f>_xlfn.XLOOKUP(B1130,[1]Sheet1!$B:$B,[1]Sheet1!$P:$P,0)</f>
        <v>0</v>
      </c>
      <c r="N1130" s="12">
        <f>_xlfn.XLOOKUP(B1130,[1]Sheet1!$B:$B,[1]Sheet1!$Q:$Q,0)</f>
        <v>0</v>
      </c>
      <c r="O1130" s="12">
        <f>_xlfn.XLOOKUP(B1130,[1]Sheet1!$B:$B,[1]Sheet1!$R:$R,0)</f>
        <v>0</v>
      </c>
      <c r="P1130" s="12">
        <f>_xlfn.XLOOKUP(B1130,[1]Sheet1!$B:$B,[1]Sheet1!$S:$S,0)</f>
        <v>0</v>
      </c>
      <c r="Q1130" s="12">
        <f>_xlfn.XLOOKUP(B1130,[1]Sheet1!$B:$B,[1]Sheet1!$T:$T,0)</f>
        <v>0</v>
      </c>
      <c r="R1130" s="12">
        <f>_xlfn.XLOOKUP(B1130,[1]Sheet1!$B:$B,[1]Sheet1!$U:$U,0)</f>
        <v>0</v>
      </c>
      <c r="S1130" s="12">
        <f>_xlfn.XLOOKUP(B1130,[1]Sheet1!$B:$B,[1]Sheet1!$V:$V,0)</f>
        <v>0</v>
      </c>
      <c r="T1130" s="12">
        <f>_xlfn.XLOOKUP(B1130,[1]Sheet1!$B:$B,[1]Sheet1!$W:$W,0)</f>
        <v>0</v>
      </c>
      <c r="U1130" s="12">
        <f>_xlfn.XLOOKUP(B1130,[1]Sheet1!$B:$B,[1]Sheet1!$X:$X,0)</f>
        <v>0</v>
      </c>
      <c r="V1130" s="12">
        <f>_xlfn.XLOOKUP(B1130,[1]Sheet1!$B:$B,[1]Sheet1!$Y:$Y,0)</f>
        <v>0</v>
      </c>
      <c r="W1130" s="12">
        <f t="shared" si="37"/>
        <v>0</v>
      </c>
      <c r="X1130" s="6" t="s">
        <v>1718</v>
      </c>
      <c r="Y1130" s="6" t="s">
        <v>721</v>
      </c>
      <c r="Z1130" s="6" t="s">
        <v>737</v>
      </c>
      <c r="AA1130" s="6" t="s">
        <v>1255</v>
      </c>
      <c r="AB1130" s="6" t="s">
        <v>1719</v>
      </c>
      <c r="AC1130" s="6" t="s">
        <v>1645</v>
      </c>
      <c r="AD1130" s="6" t="s">
        <v>1077</v>
      </c>
      <c r="AE1130" s="6" t="s">
        <v>39</v>
      </c>
      <c r="AF1130" s="6" t="s">
        <v>40</v>
      </c>
      <c r="AG1130" s="7">
        <v>32611150</v>
      </c>
      <c r="AH1130" s="11">
        <f>_xlfn.XLOOKUP(B1130,[1]Sheet1!$B:$B,[1]Sheet1!$AB:$AB,0)</f>
        <v>0</v>
      </c>
    </row>
    <row r="1131" spans="2:34" ht="16.8" thickTop="1" thickBot="1" x14ac:dyDescent="0.35">
      <c r="B1131" s="3" t="str">
        <f t="shared" si="36"/>
        <v>45121004511001458Trade Partners-TDP - L2461412402066</v>
      </c>
      <c r="C1131" s="8" t="s">
        <v>738</v>
      </c>
      <c r="D1131" s="8" t="s">
        <v>1749</v>
      </c>
      <c r="E1131" s="8" t="s">
        <v>1750</v>
      </c>
      <c r="F1131" s="8" t="s">
        <v>1717</v>
      </c>
      <c r="G1131" s="4" t="s">
        <v>2868</v>
      </c>
      <c r="H1131" s="4" t="s">
        <v>2937</v>
      </c>
      <c r="I1131" s="8" t="s">
        <v>1255</v>
      </c>
      <c r="J1131" s="8" t="s">
        <v>31</v>
      </c>
      <c r="K1131" s="12">
        <f>_xlfn.XLOOKUP(B1131,[1]Sheet1!$B:$B,[1]Sheet1!$N:$N,0)</f>
        <v>0</v>
      </c>
      <c r="L1131" s="12">
        <f>_xlfn.XLOOKUP(B1131,[1]Sheet1!$B:$B,[1]Sheet1!$O:$O,0)</f>
        <v>0</v>
      </c>
      <c r="M1131" s="12">
        <f>_xlfn.XLOOKUP(B1131,[1]Sheet1!$B:$B,[1]Sheet1!$P:$P,0)</f>
        <v>0</v>
      </c>
      <c r="N1131" s="12">
        <f>_xlfn.XLOOKUP(B1131,[1]Sheet1!$B:$B,[1]Sheet1!$Q:$Q,0)</f>
        <v>0</v>
      </c>
      <c r="O1131" s="12">
        <f>_xlfn.XLOOKUP(B1131,[1]Sheet1!$B:$B,[1]Sheet1!$R:$R,0)</f>
        <v>0</v>
      </c>
      <c r="P1131" s="12">
        <f>_xlfn.XLOOKUP(B1131,[1]Sheet1!$B:$B,[1]Sheet1!$S:$S,0)</f>
        <v>0</v>
      </c>
      <c r="Q1131" s="12">
        <f>_xlfn.XLOOKUP(B1131,[1]Sheet1!$B:$B,[1]Sheet1!$T:$T,0)</f>
        <v>0</v>
      </c>
      <c r="R1131" s="12">
        <f>_xlfn.XLOOKUP(B1131,[1]Sheet1!$B:$B,[1]Sheet1!$U:$U,0)</f>
        <v>0</v>
      </c>
      <c r="S1131" s="12">
        <f>_xlfn.XLOOKUP(B1131,[1]Sheet1!$B:$B,[1]Sheet1!$V:$V,0)</f>
        <v>0</v>
      </c>
      <c r="T1131" s="12">
        <f>_xlfn.XLOOKUP(B1131,[1]Sheet1!$B:$B,[1]Sheet1!$W:$W,0)</f>
        <v>0</v>
      </c>
      <c r="U1131" s="12">
        <f>_xlfn.XLOOKUP(B1131,[1]Sheet1!$B:$B,[1]Sheet1!$X:$X,0)</f>
        <v>0</v>
      </c>
      <c r="V1131" s="12">
        <f>_xlfn.XLOOKUP(B1131,[1]Sheet1!$B:$B,[1]Sheet1!$Y:$Y,0)</f>
        <v>0</v>
      </c>
      <c r="W1131" s="12">
        <f t="shared" si="37"/>
        <v>0</v>
      </c>
      <c r="X1131" s="8" t="s">
        <v>1718</v>
      </c>
      <c r="Y1131" s="8" t="s">
        <v>721</v>
      </c>
      <c r="Z1131" s="8" t="s">
        <v>737</v>
      </c>
      <c r="AA1131" s="8" t="s">
        <v>1255</v>
      </c>
      <c r="AB1131" s="8" t="s">
        <v>1719</v>
      </c>
      <c r="AC1131" s="8" t="s">
        <v>1645</v>
      </c>
      <c r="AD1131" s="8" t="s">
        <v>1077</v>
      </c>
      <c r="AE1131" s="8" t="s">
        <v>39</v>
      </c>
      <c r="AF1131" s="8" t="s">
        <v>40</v>
      </c>
      <c r="AG1131" s="9">
        <v>2000000</v>
      </c>
      <c r="AH1131" s="11">
        <f>_xlfn.XLOOKUP(B1131,[1]Sheet1!$B:$B,[1]Sheet1!$AB:$AB,0)</f>
        <v>0</v>
      </c>
    </row>
    <row r="1132" spans="2:34" ht="16.8" thickTop="1" thickBot="1" x14ac:dyDescent="0.35">
      <c r="B1132" s="3" t="str">
        <f t="shared" si="36"/>
        <v>45121004511001459Audit services-TDP - L2461412402066</v>
      </c>
      <c r="C1132" s="6" t="s">
        <v>738</v>
      </c>
      <c r="D1132" s="6" t="s">
        <v>1751</v>
      </c>
      <c r="E1132" s="6" t="s">
        <v>1752</v>
      </c>
      <c r="F1132" s="6" t="s">
        <v>1753</v>
      </c>
      <c r="G1132" s="4" t="s">
        <v>2868</v>
      </c>
      <c r="H1132" s="4" t="s">
        <v>2937</v>
      </c>
      <c r="I1132" s="6" t="s">
        <v>1255</v>
      </c>
      <c r="J1132" s="6" t="s">
        <v>31</v>
      </c>
      <c r="K1132" s="12">
        <f>_xlfn.XLOOKUP(B1132,[1]Sheet1!$B:$B,[1]Sheet1!$N:$N,0)</f>
        <v>0</v>
      </c>
      <c r="L1132" s="12">
        <f>_xlfn.XLOOKUP(B1132,[1]Sheet1!$B:$B,[1]Sheet1!$O:$O,0)</f>
        <v>0</v>
      </c>
      <c r="M1132" s="12">
        <f>_xlfn.XLOOKUP(B1132,[1]Sheet1!$B:$B,[1]Sheet1!$P:$P,0)</f>
        <v>0</v>
      </c>
      <c r="N1132" s="12">
        <f>_xlfn.XLOOKUP(B1132,[1]Sheet1!$B:$B,[1]Sheet1!$Q:$Q,0)</f>
        <v>0</v>
      </c>
      <c r="O1132" s="12">
        <f>_xlfn.XLOOKUP(B1132,[1]Sheet1!$B:$B,[1]Sheet1!$R:$R,0)</f>
        <v>0</v>
      </c>
      <c r="P1132" s="12">
        <f>_xlfn.XLOOKUP(B1132,[1]Sheet1!$B:$B,[1]Sheet1!$S:$S,0)</f>
        <v>0</v>
      </c>
      <c r="Q1132" s="12">
        <f>_xlfn.XLOOKUP(B1132,[1]Sheet1!$B:$B,[1]Sheet1!$T:$T,0)</f>
        <v>0</v>
      </c>
      <c r="R1132" s="12">
        <f>_xlfn.XLOOKUP(B1132,[1]Sheet1!$B:$B,[1]Sheet1!$U:$U,0)</f>
        <v>0</v>
      </c>
      <c r="S1132" s="12">
        <f>_xlfn.XLOOKUP(B1132,[1]Sheet1!$B:$B,[1]Sheet1!$V:$V,0)</f>
        <v>0</v>
      </c>
      <c r="T1132" s="12">
        <f>_xlfn.XLOOKUP(B1132,[1]Sheet1!$B:$B,[1]Sheet1!$W:$W,0)</f>
        <v>0</v>
      </c>
      <c r="U1132" s="12">
        <f>_xlfn.XLOOKUP(B1132,[1]Sheet1!$B:$B,[1]Sheet1!$X:$X,0)</f>
        <v>0</v>
      </c>
      <c r="V1132" s="12">
        <f>_xlfn.XLOOKUP(B1132,[1]Sheet1!$B:$B,[1]Sheet1!$Y:$Y,0)</f>
        <v>0</v>
      </c>
      <c r="W1132" s="12">
        <f t="shared" si="37"/>
        <v>0</v>
      </c>
      <c r="X1132" s="6" t="s">
        <v>1718</v>
      </c>
      <c r="Y1132" s="6" t="s">
        <v>721</v>
      </c>
      <c r="Z1132" s="6" t="s">
        <v>737</v>
      </c>
      <c r="AA1132" s="6" t="s">
        <v>1255</v>
      </c>
      <c r="AB1132" s="6" t="s">
        <v>1719</v>
      </c>
      <c r="AC1132" s="6" t="s">
        <v>1645</v>
      </c>
      <c r="AD1132" s="6" t="s">
        <v>1077</v>
      </c>
      <c r="AE1132" s="6" t="s">
        <v>39</v>
      </c>
      <c r="AF1132" s="6" t="s">
        <v>40</v>
      </c>
      <c r="AG1132" s="7">
        <v>500000</v>
      </c>
      <c r="AH1132" s="11">
        <f>_xlfn.XLOOKUP(B1132,[1]Sheet1!$B:$B,[1]Sheet1!$AB:$AB,0)</f>
        <v>0</v>
      </c>
    </row>
    <row r="1133" spans="2:34" ht="16.8" thickTop="1" thickBot="1" x14ac:dyDescent="0.35">
      <c r="B1133" s="3" t="str">
        <f t="shared" si="36"/>
        <v>45121004511001461Trade Partners-TDP - L2461412402066</v>
      </c>
      <c r="C1133" s="8" t="s">
        <v>738</v>
      </c>
      <c r="D1133" s="8" t="s">
        <v>1754</v>
      </c>
      <c r="E1133" s="8" t="s">
        <v>1755</v>
      </c>
      <c r="F1133" s="8" t="s">
        <v>1717</v>
      </c>
      <c r="G1133" s="4" t="s">
        <v>2868</v>
      </c>
      <c r="H1133" s="4" t="s">
        <v>2937</v>
      </c>
      <c r="I1133" s="8" t="s">
        <v>1255</v>
      </c>
      <c r="J1133" s="8" t="s">
        <v>31</v>
      </c>
      <c r="K1133" s="12">
        <f>_xlfn.XLOOKUP(B1133,[1]Sheet1!$B:$B,[1]Sheet1!$N:$N,0)</f>
        <v>0</v>
      </c>
      <c r="L1133" s="12">
        <f>_xlfn.XLOOKUP(B1133,[1]Sheet1!$B:$B,[1]Sheet1!$O:$O,0)</f>
        <v>0</v>
      </c>
      <c r="M1133" s="12">
        <f>_xlfn.XLOOKUP(B1133,[1]Sheet1!$B:$B,[1]Sheet1!$P:$P,0)</f>
        <v>0</v>
      </c>
      <c r="N1133" s="12">
        <f>_xlfn.XLOOKUP(B1133,[1]Sheet1!$B:$B,[1]Sheet1!$Q:$Q,0)</f>
        <v>0</v>
      </c>
      <c r="O1133" s="12">
        <f>_xlfn.XLOOKUP(B1133,[1]Sheet1!$B:$B,[1]Sheet1!$R:$R,0)</f>
        <v>0</v>
      </c>
      <c r="P1133" s="12">
        <f>_xlfn.XLOOKUP(B1133,[1]Sheet1!$B:$B,[1]Sheet1!$S:$S,0)</f>
        <v>0</v>
      </c>
      <c r="Q1133" s="12">
        <f>_xlfn.XLOOKUP(B1133,[1]Sheet1!$B:$B,[1]Sheet1!$T:$T,0)</f>
        <v>0</v>
      </c>
      <c r="R1133" s="12">
        <f>_xlfn.XLOOKUP(B1133,[1]Sheet1!$B:$B,[1]Sheet1!$U:$U,0)</f>
        <v>0</v>
      </c>
      <c r="S1133" s="12">
        <f>_xlfn.XLOOKUP(B1133,[1]Sheet1!$B:$B,[1]Sheet1!$V:$V,0)</f>
        <v>0</v>
      </c>
      <c r="T1133" s="12">
        <f>_xlfn.XLOOKUP(B1133,[1]Sheet1!$B:$B,[1]Sheet1!$W:$W,0)</f>
        <v>0</v>
      </c>
      <c r="U1133" s="12">
        <f>_xlfn.XLOOKUP(B1133,[1]Sheet1!$B:$B,[1]Sheet1!$X:$X,0)</f>
        <v>0</v>
      </c>
      <c r="V1133" s="12">
        <f>_xlfn.XLOOKUP(B1133,[1]Sheet1!$B:$B,[1]Sheet1!$Y:$Y,0)</f>
        <v>0</v>
      </c>
      <c r="W1133" s="12">
        <f t="shared" si="37"/>
        <v>0</v>
      </c>
      <c r="X1133" s="8" t="s">
        <v>1718</v>
      </c>
      <c r="Y1133" s="8" t="s">
        <v>721</v>
      </c>
      <c r="Z1133" s="8" t="s">
        <v>737</v>
      </c>
      <c r="AA1133" s="8" t="s">
        <v>1255</v>
      </c>
      <c r="AB1133" s="8" t="s">
        <v>1719</v>
      </c>
      <c r="AC1133" s="8" t="s">
        <v>1645</v>
      </c>
      <c r="AD1133" s="8" t="s">
        <v>1077</v>
      </c>
      <c r="AE1133" s="8" t="s">
        <v>39</v>
      </c>
      <c r="AF1133" s="8" t="s">
        <v>40</v>
      </c>
      <c r="AG1133" s="9">
        <v>224400</v>
      </c>
      <c r="AH1133" s="11">
        <f>_xlfn.XLOOKUP(B1133,[1]Sheet1!$B:$B,[1]Sheet1!$AB:$AB,0)</f>
        <v>0</v>
      </c>
    </row>
    <row r="1134" spans="2:34" ht="16.8" thickTop="1" thickBot="1" x14ac:dyDescent="0.35">
      <c r="B1134" s="3" t="str">
        <f t="shared" si="36"/>
        <v>45151004511001461Trade Partners-TDP - L3461412402066</v>
      </c>
      <c r="C1134" s="6" t="s">
        <v>746</v>
      </c>
      <c r="D1134" s="6" t="s">
        <v>1754</v>
      </c>
      <c r="E1134" s="6" t="s">
        <v>1755</v>
      </c>
      <c r="F1134" s="6" t="s">
        <v>1756</v>
      </c>
      <c r="G1134" s="4" t="s">
        <v>2868</v>
      </c>
      <c r="H1134" s="4" t="s">
        <v>2937</v>
      </c>
      <c r="I1134" s="6" t="s">
        <v>1255</v>
      </c>
      <c r="J1134" s="6" t="s">
        <v>31</v>
      </c>
      <c r="K1134" s="12">
        <f>_xlfn.XLOOKUP(B1134,[1]Sheet1!$B:$B,[1]Sheet1!$N:$N,0)</f>
        <v>0</v>
      </c>
      <c r="L1134" s="12">
        <f>_xlfn.XLOOKUP(B1134,[1]Sheet1!$B:$B,[1]Sheet1!$O:$O,0)</f>
        <v>0</v>
      </c>
      <c r="M1134" s="12">
        <f>_xlfn.XLOOKUP(B1134,[1]Sheet1!$B:$B,[1]Sheet1!$P:$P,0)</f>
        <v>0</v>
      </c>
      <c r="N1134" s="12">
        <f>_xlfn.XLOOKUP(B1134,[1]Sheet1!$B:$B,[1]Sheet1!$Q:$Q,0)</f>
        <v>0</v>
      </c>
      <c r="O1134" s="12">
        <f>_xlfn.XLOOKUP(B1134,[1]Sheet1!$B:$B,[1]Sheet1!$R:$R,0)</f>
        <v>0</v>
      </c>
      <c r="P1134" s="12">
        <f>_xlfn.XLOOKUP(B1134,[1]Sheet1!$B:$B,[1]Sheet1!$S:$S,0)</f>
        <v>0</v>
      </c>
      <c r="Q1134" s="12">
        <f>_xlfn.XLOOKUP(B1134,[1]Sheet1!$B:$B,[1]Sheet1!$T:$T,0)</f>
        <v>0</v>
      </c>
      <c r="R1134" s="12">
        <f>_xlfn.XLOOKUP(B1134,[1]Sheet1!$B:$B,[1]Sheet1!$U:$U,0)</f>
        <v>0</v>
      </c>
      <c r="S1134" s="12">
        <f>_xlfn.XLOOKUP(B1134,[1]Sheet1!$B:$B,[1]Sheet1!$V:$V,0)</f>
        <v>0</v>
      </c>
      <c r="T1134" s="12">
        <f>_xlfn.XLOOKUP(B1134,[1]Sheet1!$B:$B,[1]Sheet1!$W:$W,0)</f>
        <v>0</v>
      </c>
      <c r="U1134" s="12">
        <f>_xlfn.XLOOKUP(B1134,[1]Sheet1!$B:$B,[1]Sheet1!$X:$X,0)</f>
        <v>0</v>
      </c>
      <c r="V1134" s="12">
        <f>_xlfn.XLOOKUP(B1134,[1]Sheet1!$B:$B,[1]Sheet1!$Y:$Y,0)</f>
        <v>0</v>
      </c>
      <c r="W1134" s="12">
        <f t="shared" si="37"/>
        <v>0</v>
      </c>
      <c r="X1134" s="6" t="s">
        <v>1732</v>
      </c>
      <c r="Y1134" s="6" t="s">
        <v>211</v>
      </c>
      <c r="Z1134" s="6" t="s">
        <v>745</v>
      </c>
      <c r="AA1134" s="6" t="s">
        <v>1255</v>
      </c>
      <c r="AB1134" s="6" t="s">
        <v>1719</v>
      </c>
      <c r="AC1134" s="6" t="s">
        <v>1645</v>
      </c>
      <c r="AD1134" s="6" t="s">
        <v>1077</v>
      </c>
      <c r="AE1134" s="6" t="s">
        <v>39</v>
      </c>
      <c r="AF1134" s="6" t="s">
        <v>40</v>
      </c>
      <c r="AG1134" s="7">
        <v>1670100</v>
      </c>
      <c r="AH1134" s="11">
        <f>_xlfn.XLOOKUP(B1134,[1]Sheet1!$B:$B,[1]Sheet1!$AB:$AB,0)</f>
        <v>0</v>
      </c>
    </row>
    <row r="1135" spans="2:34" ht="16.8" thickTop="1" thickBot="1" x14ac:dyDescent="0.35">
      <c r="B1135" s="3" t="str">
        <f t="shared" si="36"/>
        <v>45121004511001463Trade Partners-TDP - L2461412402066</v>
      </c>
      <c r="C1135" s="8" t="s">
        <v>738</v>
      </c>
      <c r="D1135" s="8" t="s">
        <v>1757</v>
      </c>
      <c r="E1135" s="8" t="s">
        <v>1758</v>
      </c>
      <c r="F1135" s="8" t="s">
        <v>1717</v>
      </c>
      <c r="G1135" s="4" t="s">
        <v>2868</v>
      </c>
      <c r="H1135" s="4" t="s">
        <v>2937</v>
      </c>
      <c r="I1135" s="8" t="s">
        <v>1255</v>
      </c>
      <c r="J1135" s="8" t="s">
        <v>31</v>
      </c>
      <c r="K1135" s="12">
        <f>_xlfn.XLOOKUP(B1135,[1]Sheet1!$B:$B,[1]Sheet1!$N:$N,0)</f>
        <v>0</v>
      </c>
      <c r="L1135" s="12">
        <f>_xlfn.XLOOKUP(B1135,[1]Sheet1!$B:$B,[1]Sheet1!$O:$O,0)</f>
        <v>0</v>
      </c>
      <c r="M1135" s="12">
        <f>_xlfn.XLOOKUP(B1135,[1]Sheet1!$B:$B,[1]Sheet1!$P:$P,0)</f>
        <v>0</v>
      </c>
      <c r="N1135" s="12">
        <f>_xlfn.XLOOKUP(B1135,[1]Sheet1!$B:$B,[1]Sheet1!$Q:$Q,0)</f>
        <v>0</v>
      </c>
      <c r="O1135" s="12">
        <f>_xlfn.XLOOKUP(B1135,[1]Sheet1!$B:$B,[1]Sheet1!$R:$R,0)</f>
        <v>0</v>
      </c>
      <c r="P1135" s="12">
        <f>_xlfn.XLOOKUP(B1135,[1]Sheet1!$B:$B,[1]Sheet1!$S:$S,0)</f>
        <v>0</v>
      </c>
      <c r="Q1135" s="12">
        <f>_xlfn.XLOOKUP(B1135,[1]Sheet1!$B:$B,[1]Sheet1!$T:$T,0)</f>
        <v>0</v>
      </c>
      <c r="R1135" s="12">
        <f>_xlfn.XLOOKUP(B1135,[1]Sheet1!$B:$B,[1]Sheet1!$U:$U,0)</f>
        <v>0</v>
      </c>
      <c r="S1135" s="12">
        <f>_xlfn.XLOOKUP(B1135,[1]Sheet1!$B:$B,[1]Sheet1!$V:$V,0)</f>
        <v>0</v>
      </c>
      <c r="T1135" s="12">
        <f>_xlfn.XLOOKUP(B1135,[1]Sheet1!$B:$B,[1]Sheet1!$W:$W,0)</f>
        <v>0</v>
      </c>
      <c r="U1135" s="12">
        <f>_xlfn.XLOOKUP(B1135,[1]Sheet1!$B:$B,[1]Sheet1!$X:$X,0)</f>
        <v>0</v>
      </c>
      <c r="V1135" s="12">
        <f>_xlfn.XLOOKUP(B1135,[1]Sheet1!$B:$B,[1]Sheet1!$Y:$Y,0)</f>
        <v>0</v>
      </c>
      <c r="W1135" s="12">
        <f t="shared" si="37"/>
        <v>0</v>
      </c>
      <c r="X1135" s="8" t="s">
        <v>1718</v>
      </c>
      <c r="Y1135" s="8" t="s">
        <v>721</v>
      </c>
      <c r="Z1135" s="8" t="s">
        <v>737</v>
      </c>
      <c r="AA1135" s="8" t="s">
        <v>1255</v>
      </c>
      <c r="AB1135" s="8" t="s">
        <v>1719</v>
      </c>
      <c r="AC1135" s="8" t="s">
        <v>1645</v>
      </c>
      <c r="AD1135" s="8" t="s">
        <v>1077</v>
      </c>
      <c r="AE1135" s="8" t="s">
        <v>39</v>
      </c>
      <c r="AF1135" s="8" t="s">
        <v>40</v>
      </c>
      <c r="AG1135" s="9">
        <v>1943972</v>
      </c>
      <c r="AH1135" s="11">
        <f>_xlfn.XLOOKUP(B1135,[1]Sheet1!$B:$B,[1]Sheet1!$AB:$AB,0)</f>
        <v>0</v>
      </c>
    </row>
    <row r="1136" spans="2:34" ht="16.8" thickTop="1" thickBot="1" x14ac:dyDescent="0.35">
      <c r="B1136" s="3" t="str">
        <f t="shared" si="36"/>
        <v>45121004511001464Trade Partners-TDP - L2461412402066</v>
      </c>
      <c r="C1136" s="6" t="s">
        <v>738</v>
      </c>
      <c r="D1136" s="6" t="s">
        <v>1759</v>
      </c>
      <c r="E1136" s="6" t="s">
        <v>1760</v>
      </c>
      <c r="F1136" s="6" t="s">
        <v>1717</v>
      </c>
      <c r="G1136" s="4" t="s">
        <v>2868</v>
      </c>
      <c r="H1136" s="4" t="s">
        <v>2937</v>
      </c>
      <c r="I1136" s="6" t="s">
        <v>1255</v>
      </c>
      <c r="J1136" s="6" t="s">
        <v>31</v>
      </c>
      <c r="K1136" s="12">
        <f>_xlfn.XLOOKUP(B1136,[1]Sheet1!$B:$B,[1]Sheet1!$N:$N,0)</f>
        <v>0</v>
      </c>
      <c r="L1136" s="12">
        <f>_xlfn.XLOOKUP(B1136,[1]Sheet1!$B:$B,[1]Sheet1!$O:$O,0)</f>
        <v>0</v>
      </c>
      <c r="M1136" s="12">
        <f>_xlfn.XLOOKUP(B1136,[1]Sheet1!$B:$B,[1]Sheet1!$P:$P,0)</f>
        <v>0</v>
      </c>
      <c r="N1136" s="12">
        <f>_xlfn.XLOOKUP(B1136,[1]Sheet1!$B:$B,[1]Sheet1!$Q:$Q,0)</f>
        <v>0</v>
      </c>
      <c r="O1136" s="12">
        <f>_xlfn.XLOOKUP(B1136,[1]Sheet1!$B:$B,[1]Sheet1!$R:$R,0)</f>
        <v>0</v>
      </c>
      <c r="P1136" s="12">
        <f>_xlfn.XLOOKUP(B1136,[1]Sheet1!$B:$B,[1]Sheet1!$S:$S,0)</f>
        <v>0</v>
      </c>
      <c r="Q1136" s="12">
        <f>_xlfn.XLOOKUP(B1136,[1]Sheet1!$B:$B,[1]Sheet1!$T:$T,0)</f>
        <v>0</v>
      </c>
      <c r="R1136" s="12">
        <f>_xlfn.XLOOKUP(B1136,[1]Sheet1!$B:$B,[1]Sheet1!$U:$U,0)</f>
        <v>0</v>
      </c>
      <c r="S1136" s="12">
        <f>_xlfn.XLOOKUP(B1136,[1]Sheet1!$B:$B,[1]Sheet1!$V:$V,0)</f>
        <v>0</v>
      </c>
      <c r="T1136" s="12">
        <f>_xlfn.XLOOKUP(B1136,[1]Sheet1!$B:$B,[1]Sheet1!$W:$W,0)</f>
        <v>0</v>
      </c>
      <c r="U1136" s="12">
        <f>_xlfn.XLOOKUP(B1136,[1]Sheet1!$B:$B,[1]Sheet1!$X:$X,0)</f>
        <v>0</v>
      </c>
      <c r="V1136" s="12">
        <f>_xlfn.XLOOKUP(B1136,[1]Sheet1!$B:$B,[1]Sheet1!$Y:$Y,0)</f>
        <v>0</v>
      </c>
      <c r="W1136" s="12">
        <f t="shared" si="37"/>
        <v>0</v>
      </c>
      <c r="X1136" s="6" t="s">
        <v>1718</v>
      </c>
      <c r="Y1136" s="6" t="s">
        <v>721</v>
      </c>
      <c r="Z1136" s="6" t="s">
        <v>737</v>
      </c>
      <c r="AA1136" s="6" t="s">
        <v>1255</v>
      </c>
      <c r="AB1136" s="6" t="s">
        <v>1719</v>
      </c>
      <c r="AC1136" s="6" t="s">
        <v>1645</v>
      </c>
      <c r="AD1136" s="6" t="s">
        <v>1077</v>
      </c>
      <c r="AE1136" s="6" t="s">
        <v>39</v>
      </c>
      <c r="AF1136" s="6" t="s">
        <v>40</v>
      </c>
      <c r="AG1136" s="7">
        <v>11126480</v>
      </c>
      <c r="AH1136" s="11">
        <f>_xlfn.XLOOKUP(B1136,[1]Sheet1!$B:$B,[1]Sheet1!$AB:$AB,0)</f>
        <v>0</v>
      </c>
    </row>
    <row r="1137" spans="2:34" ht="16.8" thickTop="1" thickBot="1" x14ac:dyDescent="0.35">
      <c r="B1137" s="3" t="str">
        <f t="shared" si="36"/>
        <v>45131404511001465CampaignProductn-L1422511201931</v>
      </c>
      <c r="C1137" s="8" t="s">
        <v>335</v>
      </c>
      <c r="D1137" s="8" t="s">
        <v>1761</v>
      </c>
      <c r="E1137" s="8" t="s">
        <v>1762</v>
      </c>
      <c r="F1137" s="8" t="s">
        <v>1763</v>
      </c>
      <c r="G1137" s="4" t="s">
        <v>2819</v>
      </c>
      <c r="H1137" s="4" t="s">
        <v>2925</v>
      </c>
      <c r="I1137" s="8" t="s">
        <v>151</v>
      </c>
      <c r="J1137" s="8" t="s">
        <v>31</v>
      </c>
      <c r="K1137" s="12">
        <f>_xlfn.XLOOKUP(B1137,[1]Sheet1!$B:$B,[1]Sheet1!$N:$N,0)</f>
        <v>0</v>
      </c>
      <c r="L1137" s="12">
        <f>_xlfn.XLOOKUP(B1137,[1]Sheet1!$B:$B,[1]Sheet1!$O:$O,0)</f>
        <v>0</v>
      </c>
      <c r="M1137" s="12">
        <f>_xlfn.XLOOKUP(B1137,[1]Sheet1!$B:$B,[1]Sheet1!$P:$P,0)</f>
        <v>0</v>
      </c>
      <c r="N1137" s="12">
        <f>_xlfn.XLOOKUP(B1137,[1]Sheet1!$B:$B,[1]Sheet1!$Q:$Q,0)</f>
        <v>0</v>
      </c>
      <c r="O1137" s="12">
        <f>_xlfn.XLOOKUP(B1137,[1]Sheet1!$B:$B,[1]Sheet1!$R:$R,0)</f>
        <v>0</v>
      </c>
      <c r="P1137" s="12">
        <f>_xlfn.XLOOKUP(B1137,[1]Sheet1!$B:$B,[1]Sheet1!$S:$S,0)</f>
        <v>0</v>
      </c>
      <c r="Q1137" s="12">
        <f>_xlfn.XLOOKUP(B1137,[1]Sheet1!$B:$B,[1]Sheet1!$T:$T,0)</f>
        <v>0</v>
      </c>
      <c r="R1137" s="12">
        <f>_xlfn.XLOOKUP(B1137,[1]Sheet1!$B:$B,[1]Sheet1!$U:$U,0)</f>
        <v>4000000</v>
      </c>
      <c r="S1137" s="12">
        <f>_xlfn.XLOOKUP(B1137,[1]Sheet1!$B:$B,[1]Sheet1!$V:$V,0)</f>
        <v>0</v>
      </c>
      <c r="T1137" s="12">
        <f>_xlfn.XLOOKUP(B1137,[1]Sheet1!$B:$B,[1]Sheet1!$W:$W,0)</f>
        <v>0</v>
      </c>
      <c r="U1137" s="12">
        <f>_xlfn.XLOOKUP(B1137,[1]Sheet1!$B:$B,[1]Sheet1!$X:$X,0)</f>
        <v>0</v>
      </c>
      <c r="V1137" s="12">
        <f>_xlfn.XLOOKUP(B1137,[1]Sheet1!$B:$B,[1]Sheet1!$Y:$Y,0)</f>
        <v>0</v>
      </c>
      <c r="W1137" s="12">
        <f t="shared" si="37"/>
        <v>4000000</v>
      </c>
      <c r="X1137" s="8" t="s">
        <v>1764</v>
      </c>
      <c r="Y1137" s="8" t="s">
        <v>319</v>
      </c>
      <c r="Z1137" s="8" t="s">
        <v>334</v>
      </c>
      <c r="AA1137" s="8" t="s">
        <v>151</v>
      </c>
      <c r="AB1137" s="8" t="s">
        <v>327</v>
      </c>
      <c r="AC1137" s="8" t="s">
        <v>37</v>
      </c>
      <c r="AD1137" s="8" t="s">
        <v>322</v>
      </c>
      <c r="AE1137" s="8" t="s">
        <v>39</v>
      </c>
      <c r="AF1137" s="8" t="s">
        <v>40</v>
      </c>
      <c r="AG1137" s="9">
        <v>4000000</v>
      </c>
      <c r="AH1137" s="11">
        <f>_xlfn.XLOOKUP(B1137,[1]Sheet1!$B:$B,[1]Sheet1!$AB:$AB,0)</f>
        <v>4000000</v>
      </c>
    </row>
    <row r="1138" spans="2:34" ht="16.8" thickTop="1" thickBot="1" x14ac:dyDescent="0.35">
      <c r="B1138" s="3" t="str">
        <f t="shared" si="36"/>
        <v>45131404511001465PR Mgmnt E-E-L1424781201931</v>
      </c>
      <c r="C1138" s="6" t="s">
        <v>335</v>
      </c>
      <c r="D1138" s="6" t="s">
        <v>1761</v>
      </c>
      <c r="E1138" s="6" t="s">
        <v>1762</v>
      </c>
      <c r="F1138" s="6" t="s">
        <v>1765</v>
      </c>
      <c r="G1138" s="4" t="s">
        <v>2815</v>
      </c>
      <c r="H1138" s="4" t="s">
        <v>2925</v>
      </c>
      <c r="I1138" s="6" t="s">
        <v>100</v>
      </c>
      <c r="J1138" s="6" t="s">
        <v>31</v>
      </c>
      <c r="K1138" s="12">
        <f>_xlfn.XLOOKUP(B1138,[1]Sheet1!$B:$B,[1]Sheet1!$N:$N,0)</f>
        <v>0</v>
      </c>
      <c r="L1138" s="12">
        <f>_xlfn.XLOOKUP(B1138,[1]Sheet1!$B:$B,[1]Sheet1!$O:$O,0)</f>
        <v>0</v>
      </c>
      <c r="M1138" s="12">
        <f>_xlfn.XLOOKUP(B1138,[1]Sheet1!$B:$B,[1]Sheet1!$P:$P,0)</f>
        <v>0</v>
      </c>
      <c r="N1138" s="12">
        <f>_xlfn.XLOOKUP(B1138,[1]Sheet1!$B:$B,[1]Sheet1!$Q:$Q,0)</f>
        <v>0</v>
      </c>
      <c r="O1138" s="12">
        <f>_xlfn.XLOOKUP(B1138,[1]Sheet1!$B:$B,[1]Sheet1!$R:$R,0)</f>
        <v>0</v>
      </c>
      <c r="P1138" s="12">
        <f>_xlfn.XLOOKUP(B1138,[1]Sheet1!$B:$B,[1]Sheet1!$S:$S,0)</f>
        <v>0</v>
      </c>
      <c r="Q1138" s="12">
        <f>_xlfn.XLOOKUP(B1138,[1]Sheet1!$B:$B,[1]Sheet1!$T:$T,0)</f>
        <v>0</v>
      </c>
      <c r="R1138" s="12">
        <f>_xlfn.XLOOKUP(B1138,[1]Sheet1!$B:$B,[1]Sheet1!$U:$U,0)</f>
        <v>0</v>
      </c>
      <c r="S1138" s="12">
        <f>_xlfn.XLOOKUP(B1138,[1]Sheet1!$B:$B,[1]Sheet1!$V:$V,0)</f>
        <v>0</v>
      </c>
      <c r="T1138" s="12">
        <f>_xlfn.XLOOKUP(B1138,[1]Sheet1!$B:$B,[1]Sheet1!$W:$W,0)</f>
        <v>0</v>
      </c>
      <c r="U1138" s="12">
        <f>_xlfn.XLOOKUP(B1138,[1]Sheet1!$B:$B,[1]Sheet1!$X:$X,0)</f>
        <v>0</v>
      </c>
      <c r="V1138" s="12">
        <f>_xlfn.XLOOKUP(B1138,[1]Sheet1!$B:$B,[1]Sheet1!$Y:$Y,0)</f>
        <v>0</v>
      </c>
      <c r="W1138" s="12">
        <f t="shared" si="37"/>
        <v>0</v>
      </c>
      <c r="X1138" s="6" t="s">
        <v>1766</v>
      </c>
      <c r="Y1138" s="6" t="s">
        <v>319</v>
      </c>
      <c r="Z1138" s="6" t="s">
        <v>334</v>
      </c>
      <c r="AA1138" s="6" t="s">
        <v>100</v>
      </c>
      <c r="AB1138" s="6" t="s">
        <v>327</v>
      </c>
      <c r="AC1138" s="6" t="s">
        <v>37</v>
      </c>
      <c r="AD1138" s="6" t="s">
        <v>322</v>
      </c>
      <c r="AE1138" s="6" t="s">
        <v>39</v>
      </c>
      <c r="AF1138" s="6" t="s">
        <v>40</v>
      </c>
      <c r="AG1138" s="7">
        <v>1130352</v>
      </c>
      <c r="AH1138" s="11">
        <f>_xlfn.XLOOKUP(B1138,[1]Sheet1!$B:$B,[1]Sheet1!$AB:$AB,0)</f>
        <v>1130352</v>
      </c>
    </row>
    <row r="1139" spans="2:34" ht="16.8" thickTop="1" thickBot="1" x14ac:dyDescent="0.35">
      <c r="B1139" s="3" t="str">
        <f t="shared" si="36"/>
        <v>45131404511001465PRMgmnt E-E Rtnr-L421125201931</v>
      </c>
      <c r="C1139" s="8" t="s">
        <v>335</v>
      </c>
      <c r="D1139" s="8" t="s">
        <v>1761</v>
      </c>
      <c r="E1139" s="8" t="s">
        <v>1762</v>
      </c>
      <c r="F1139" s="8" t="s">
        <v>1767</v>
      </c>
      <c r="G1139" s="4" t="s">
        <v>2803</v>
      </c>
      <c r="H1139" s="4" t="s">
        <v>2925</v>
      </c>
      <c r="I1139" s="8" t="s">
        <v>44</v>
      </c>
      <c r="J1139" s="8" t="s">
        <v>31</v>
      </c>
      <c r="K1139" s="12">
        <f>_xlfn.XLOOKUP(B1139,[1]Sheet1!$B:$B,[1]Sheet1!$N:$N,0)</f>
        <v>0</v>
      </c>
      <c r="L1139" s="12">
        <f>_xlfn.XLOOKUP(B1139,[1]Sheet1!$B:$B,[1]Sheet1!$O:$O,0)</f>
        <v>0</v>
      </c>
      <c r="M1139" s="12">
        <f>_xlfn.XLOOKUP(B1139,[1]Sheet1!$B:$B,[1]Sheet1!$P:$P,0)</f>
        <v>0</v>
      </c>
      <c r="N1139" s="12">
        <f>_xlfn.XLOOKUP(B1139,[1]Sheet1!$B:$B,[1]Sheet1!$Q:$Q,0)</f>
        <v>1300000</v>
      </c>
      <c r="O1139" s="12">
        <f>_xlfn.XLOOKUP(B1139,[1]Sheet1!$B:$B,[1]Sheet1!$R:$R,0)</f>
        <v>0</v>
      </c>
      <c r="P1139" s="12">
        <f>_xlfn.XLOOKUP(B1139,[1]Sheet1!$B:$B,[1]Sheet1!$S:$S,0)</f>
        <v>4400000</v>
      </c>
      <c r="Q1139" s="12">
        <f>_xlfn.XLOOKUP(B1139,[1]Sheet1!$B:$B,[1]Sheet1!$T:$T,0)</f>
        <v>183333.33333333334</v>
      </c>
      <c r="R1139" s="12">
        <f>_xlfn.XLOOKUP(B1139,[1]Sheet1!$B:$B,[1]Sheet1!$U:$U,0)</f>
        <v>183333.33333333334</v>
      </c>
      <c r="S1139" s="12">
        <f>_xlfn.XLOOKUP(B1139,[1]Sheet1!$B:$B,[1]Sheet1!$V:$V,0)</f>
        <v>183333.33333333334</v>
      </c>
      <c r="T1139" s="12">
        <f>_xlfn.XLOOKUP(B1139,[1]Sheet1!$B:$B,[1]Sheet1!$W:$W,0)</f>
        <v>183333.33333333334</v>
      </c>
      <c r="U1139" s="12">
        <f>_xlfn.XLOOKUP(B1139,[1]Sheet1!$B:$B,[1]Sheet1!$X:$X,0)</f>
        <v>183333.33333333334</v>
      </c>
      <c r="V1139" s="12">
        <f>_xlfn.XLOOKUP(B1139,[1]Sheet1!$B:$B,[1]Sheet1!$Y:$Y,0)</f>
        <v>183333.33333333334</v>
      </c>
      <c r="W1139" s="12">
        <f t="shared" si="37"/>
        <v>6799999.9999999981</v>
      </c>
      <c r="X1139" s="8" t="s">
        <v>1768</v>
      </c>
      <c r="Y1139" s="8" t="s">
        <v>319</v>
      </c>
      <c r="Z1139" s="8" t="s">
        <v>334</v>
      </c>
      <c r="AA1139" s="8" t="s">
        <v>44</v>
      </c>
      <c r="AB1139" s="8" t="s">
        <v>327</v>
      </c>
      <c r="AC1139" s="8" t="s">
        <v>37</v>
      </c>
      <c r="AD1139" s="8" t="s">
        <v>708</v>
      </c>
      <c r="AE1139" s="8" t="s">
        <v>39</v>
      </c>
      <c r="AF1139" s="8" t="s">
        <v>40</v>
      </c>
      <c r="AG1139" s="9">
        <v>6058508</v>
      </c>
      <c r="AH1139" s="11">
        <f>_xlfn.XLOOKUP(B1139,[1]Sheet1!$B:$B,[1]Sheet1!$AB:$AB,0)</f>
        <v>6058507.9999999981</v>
      </c>
    </row>
    <row r="1140" spans="2:34" ht="16.8" thickTop="1" thickBot="1" x14ac:dyDescent="0.35">
      <c r="B1140" s="3" t="str">
        <f t="shared" si="36"/>
        <v>45113004511001467FeasibilityStudy-N421119200104</v>
      </c>
      <c r="C1140" s="6" t="s">
        <v>288</v>
      </c>
      <c r="D1140" s="6" t="s">
        <v>1769</v>
      </c>
      <c r="E1140" s="6" t="s">
        <v>1770</v>
      </c>
      <c r="F1140" s="6" t="s">
        <v>792</v>
      </c>
      <c r="G1140" s="4" t="s">
        <v>2857</v>
      </c>
      <c r="H1140" s="4" t="s">
        <v>2922</v>
      </c>
      <c r="I1140" s="6" t="s">
        <v>739</v>
      </c>
      <c r="J1140" s="6" t="s">
        <v>31</v>
      </c>
      <c r="K1140" s="12">
        <f>_xlfn.XLOOKUP(B1140,[1]Sheet1!$B:$B,[1]Sheet1!$N:$N,0)</f>
        <v>0</v>
      </c>
      <c r="L1140" s="12">
        <f>_xlfn.XLOOKUP(B1140,[1]Sheet1!$B:$B,[1]Sheet1!$O:$O,0)</f>
        <v>0</v>
      </c>
      <c r="M1140" s="12">
        <f>_xlfn.XLOOKUP(B1140,[1]Sheet1!$B:$B,[1]Sheet1!$P:$P,0)</f>
        <v>0</v>
      </c>
      <c r="N1140" s="12">
        <f>_xlfn.XLOOKUP(B1140,[1]Sheet1!$B:$B,[1]Sheet1!$Q:$Q,0)</f>
        <v>0</v>
      </c>
      <c r="O1140" s="12">
        <f>_xlfn.XLOOKUP(B1140,[1]Sheet1!$B:$B,[1]Sheet1!$R:$R,0)</f>
        <v>0</v>
      </c>
      <c r="P1140" s="12">
        <f>_xlfn.XLOOKUP(B1140,[1]Sheet1!$B:$B,[1]Sheet1!$S:$S,0)</f>
        <v>0</v>
      </c>
      <c r="Q1140" s="12">
        <f>_xlfn.XLOOKUP(B1140,[1]Sheet1!$B:$B,[1]Sheet1!$T:$T,0)</f>
        <v>0</v>
      </c>
      <c r="R1140" s="12">
        <f>_xlfn.XLOOKUP(B1140,[1]Sheet1!$B:$B,[1]Sheet1!$U:$U,0)</f>
        <v>0</v>
      </c>
      <c r="S1140" s="12">
        <f>_xlfn.XLOOKUP(B1140,[1]Sheet1!$B:$B,[1]Sheet1!$V:$V,0)</f>
        <v>0</v>
      </c>
      <c r="T1140" s="12">
        <f>_xlfn.XLOOKUP(B1140,[1]Sheet1!$B:$B,[1]Sheet1!$W:$W,0)</f>
        <v>0</v>
      </c>
      <c r="U1140" s="12">
        <f>_xlfn.XLOOKUP(B1140,[1]Sheet1!$B:$B,[1]Sheet1!$X:$X,0)</f>
        <v>0</v>
      </c>
      <c r="V1140" s="12">
        <f>_xlfn.XLOOKUP(B1140,[1]Sheet1!$B:$B,[1]Sheet1!$Y:$Y,0)</f>
        <v>0</v>
      </c>
      <c r="W1140" s="12">
        <f t="shared" si="37"/>
        <v>0</v>
      </c>
      <c r="X1140" s="6" t="s">
        <v>793</v>
      </c>
      <c r="Y1140" s="6" t="s">
        <v>65</v>
      </c>
      <c r="Z1140" s="6" t="s">
        <v>287</v>
      </c>
      <c r="AA1140" s="6" t="s">
        <v>741</v>
      </c>
      <c r="AB1140" s="6" t="s">
        <v>36</v>
      </c>
      <c r="AC1140" s="6" t="s">
        <v>37</v>
      </c>
      <c r="AD1140" s="6" t="s">
        <v>126</v>
      </c>
      <c r="AE1140" s="6" t="s">
        <v>39</v>
      </c>
      <c r="AF1140" s="6" t="s">
        <v>40</v>
      </c>
      <c r="AG1140" s="7">
        <v>1360000</v>
      </c>
      <c r="AH1140" s="11">
        <f>_xlfn.XLOOKUP(B1140,[1]Sheet1!$B:$B,[1]Sheet1!$AB:$AB,0)</f>
        <v>1360000</v>
      </c>
    </row>
    <row r="1141" spans="2:34" ht="16.8" thickTop="1" thickBot="1" x14ac:dyDescent="0.35">
      <c r="B1141" s="3" t="str">
        <f t="shared" si="36"/>
        <v>45113004511001467Freelancers-N424521200104</v>
      </c>
      <c r="C1141" s="8" t="s">
        <v>288</v>
      </c>
      <c r="D1141" s="8" t="s">
        <v>1769</v>
      </c>
      <c r="E1141" s="8" t="s">
        <v>1770</v>
      </c>
      <c r="F1141" s="8" t="s">
        <v>50</v>
      </c>
      <c r="G1141" s="4" t="s">
        <v>2804</v>
      </c>
      <c r="H1141" s="4" t="s">
        <v>2922</v>
      </c>
      <c r="I1141" s="8" t="s">
        <v>51</v>
      </c>
      <c r="J1141" s="8" t="s">
        <v>31</v>
      </c>
      <c r="K1141" s="12">
        <f>_xlfn.XLOOKUP(B1141,[1]Sheet1!$B:$B,[1]Sheet1!$N:$N,0)</f>
        <v>0</v>
      </c>
      <c r="L1141" s="12">
        <f>_xlfn.XLOOKUP(B1141,[1]Sheet1!$B:$B,[1]Sheet1!$O:$O,0)</f>
        <v>0</v>
      </c>
      <c r="M1141" s="12">
        <f>_xlfn.XLOOKUP(B1141,[1]Sheet1!$B:$B,[1]Sheet1!$P:$P,0)</f>
        <v>0</v>
      </c>
      <c r="N1141" s="12">
        <f>_xlfn.XLOOKUP(B1141,[1]Sheet1!$B:$B,[1]Sheet1!$Q:$Q,0)</f>
        <v>0</v>
      </c>
      <c r="O1141" s="12">
        <f>_xlfn.XLOOKUP(B1141,[1]Sheet1!$B:$B,[1]Sheet1!$R:$R,0)</f>
        <v>125000</v>
      </c>
      <c r="P1141" s="12">
        <f>_xlfn.XLOOKUP(B1141,[1]Sheet1!$B:$B,[1]Sheet1!$S:$S,0)</f>
        <v>0</v>
      </c>
      <c r="Q1141" s="12">
        <f>_xlfn.XLOOKUP(B1141,[1]Sheet1!$B:$B,[1]Sheet1!$T:$T,0)</f>
        <v>0</v>
      </c>
      <c r="R1141" s="12">
        <f>_xlfn.XLOOKUP(B1141,[1]Sheet1!$B:$B,[1]Sheet1!$U:$U,0)</f>
        <v>125000</v>
      </c>
      <c r="S1141" s="12">
        <f>_xlfn.XLOOKUP(B1141,[1]Sheet1!$B:$B,[1]Sheet1!$V:$V,0)</f>
        <v>0</v>
      </c>
      <c r="T1141" s="12">
        <f>_xlfn.XLOOKUP(B1141,[1]Sheet1!$B:$B,[1]Sheet1!$W:$W,0)</f>
        <v>125000</v>
      </c>
      <c r="U1141" s="12">
        <f>_xlfn.XLOOKUP(B1141,[1]Sheet1!$B:$B,[1]Sheet1!$X:$X,0)</f>
        <v>125000</v>
      </c>
      <c r="V1141" s="12">
        <f>_xlfn.XLOOKUP(B1141,[1]Sheet1!$B:$B,[1]Sheet1!$Y:$Y,0)</f>
        <v>0</v>
      </c>
      <c r="W1141" s="12">
        <f t="shared" si="37"/>
        <v>500000</v>
      </c>
      <c r="X1141" s="8" t="s">
        <v>783</v>
      </c>
      <c r="Y1141" s="8" t="s">
        <v>65</v>
      </c>
      <c r="Z1141" s="8" t="s">
        <v>287</v>
      </c>
      <c r="AA1141" s="8" t="s">
        <v>53</v>
      </c>
      <c r="AB1141" s="8" t="s">
        <v>36</v>
      </c>
      <c r="AC1141" s="8" t="s">
        <v>37</v>
      </c>
      <c r="AD1141" s="8" t="s">
        <v>126</v>
      </c>
      <c r="AE1141" s="8" t="s">
        <v>39</v>
      </c>
      <c r="AF1141" s="8" t="s">
        <v>40</v>
      </c>
      <c r="AG1141" s="9">
        <v>500000</v>
      </c>
      <c r="AH1141" s="11">
        <f>_xlfn.XLOOKUP(B1141,[1]Sheet1!$B:$B,[1]Sheet1!$AB:$AB,0)</f>
        <v>500000</v>
      </c>
    </row>
    <row r="1142" spans="2:34" ht="16.8" thickTop="1" thickBot="1" x14ac:dyDescent="0.35">
      <c r="B1142" s="3" t="str">
        <f t="shared" si="36"/>
        <v>45113004511001467Research&amp;Survey-N423411200104</v>
      </c>
      <c r="C1142" s="6" t="s">
        <v>288</v>
      </c>
      <c r="D1142" s="6" t="s">
        <v>1769</v>
      </c>
      <c r="E1142" s="6" t="s">
        <v>1770</v>
      </c>
      <c r="F1142" s="6" t="s">
        <v>381</v>
      </c>
      <c r="G1142" s="4" t="s">
        <v>2833</v>
      </c>
      <c r="H1142" s="4" t="s">
        <v>2922</v>
      </c>
      <c r="I1142" s="6" t="s">
        <v>330</v>
      </c>
      <c r="J1142" s="6" t="s">
        <v>31</v>
      </c>
      <c r="K1142" s="12">
        <f>_xlfn.XLOOKUP(B1142,[1]Sheet1!$B:$B,[1]Sheet1!$N:$N,0)</f>
        <v>0</v>
      </c>
      <c r="L1142" s="12">
        <f>_xlfn.XLOOKUP(B1142,[1]Sheet1!$B:$B,[1]Sheet1!$O:$O,0)</f>
        <v>0</v>
      </c>
      <c r="M1142" s="12">
        <f>_xlfn.XLOOKUP(B1142,[1]Sheet1!$B:$B,[1]Sheet1!$P:$P,0)</f>
        <v>0</v>
      </c>
      <c r="N1142" s="12">
        <f>_xlfn.XLOOKUP(B1142,[1]Sheet1!$B:$B,[1]Sheet1!$Q:$Q,0)</f>
        <v>0</v>
      </c>
      <c r="O1142" s="12">
        <f>_xlfn.XLOOKUP(B1142,[1]Sheet1!$B:$B,[1]Sheet1!$R:$R,0)</f>
        <v>0</v>
      </c>
      <c r="P1142" s="12">
        <f>_xlfn.XLOOKUP(B1142,[1]Sheet1!$B:$B,[1]Sheet1!$S:$S,0)</f>
        <v>0</v>
      </c>
      <c r="Q1142" s="12">
        <f>_xlfn.XLOOKUP(B1142,[1]Sheet1!$B:$B,[1]Sheet1!$T:$T,0)</f>
        <v>0</v>
      </c>
      <c r="R1142" s="12">
        <f>_xlfn.XLOOKUP(B1142,[1]Sheet1!$B:$B,[1]Sheet1!$U:$U,0)</f>
        <v>0</v>
      </c>
      <c r="S1142" s="12">
        <f>_xlfn.XLOOKUP(B1142,[1]Sheet1!$B:$B,[1]Sheet1!$V:$V,0)</f>
        <v>0</v>
      </c>
      <c r="T1142" s="12">
        <f>_xlfn.XLOOKUP(B1142,[1]Sheet1!$B:$B,[1]Sheet1!$W:$W,0)</f>
        <v>0</v>
      </c>
      <c r="U1142" s="12">
        <f>_xlfn.XLOOKUP(B1142,[1]Sheet1!$B:$B,[1]Sheet1!$X:$X,0)</f>
        <v>0</v>
      </c>
      <c r="V1142" s="12">
        <f>_xlfn.XLOOKUP(B1142,[1]Sheet1!$B:$B,[1]Sheet1!$Y:$Y,0)</f>
        <v>0</v>
      </c>
      <c r="W1142" s="12">
        <f t="shared" si="37"/>
        <v>0</v>
      </c>
      <c r="X1142" s="6" t="s">
        <v>794</v>
      </c>
      <c r="Y1142" s="6" t="s">
        <v>65</v>
      </c>
      <c r="Z1142" s="6" t="s">
        <v>287</v>
      </c>
      <c r="AA1142" s="6" t="s">
        <v>330</v>
      </c>
      <c r="AB1142" s="6" t="s">
        <v>36</v>
      </c>
      <c r="AC1142" s="6" t="s">
        <v>37</v>
      </c>
      <c r="AD1142" s="6" t="s">
        <v>126</v>
      </c>
      <c r="AE1142" s="6" t="s">
        <v>39</v>
      </c>
      <c r="AF1142" s="6" t="s">
        <v>40</v>
      </c>
      <c r="AG1142" s="7">
        <v>643201</v>
      </c>
      <c r="AH1142" s="11">
        <f>_xlfn.XLOOKUP(B1142,[1]Sheet1!$B:$B,[1]Sheet1!$AB:$AB,0)</f>
        <v>643201</v>
      </c>
    </row>
    <row r="1143" spans="2:34" ht="16.8" thickTop="1" thickBot="1" x14ac:dyDescent="0.35">
      <c r="B1143" s="3" t="str">
        <f t="shared" si="36"/>
        <v>45155004511001469Event Management-N422401200104</v>
      </c>
      <c r="C1143" s="8" t="s">
        <v>513</v>
      </c>
      <c r="D1143" s="8" t="s">
        <v>1771</v>
      </c>
      <c r="E1143" s="8" t="s">
        <v>1772</v>
      </c>
      <c r="F1143" s="8" t="s">
        <v>162</v>
      </c>
      <c r="G1143" s="4" t="s">
        <v>2807</v>
      </c>
      <c r="H1143" s="4" t="s">
        <v>2922</v>
      </c>
      <c r="I1143" s="8" t="s">
        <v>63</v>
      </c>
      <c r="J1143" s="8" t="s">
        <v>31</v>
      </c>
      <c r="K1143" s="12">
        <f>_xlfn.XLOOKUP(B1143,[1]Sheet1!$B:$B,[1]Sheet1!$N:$N,0)</f>
        <v>0</v>
      </c>
      <c r="L1143" s="12">
        <f>_xlfn.XLOOKUP(B1143,[1]Sheet1!$B:$B,[1]Sheet1!$O:$O,0)</f>
        <v>0</v>
      </c>
      <c r="M1143" s="12">
        <f>_xlfn.XLOOKUP(B1143,[1]Sheet1!$B:$B,[1]Sheet1!$P:$P,0)</f>
        <v>0</v>
      </c>
      <c r="N1143" s="12">
        <f>_xlfn.XLOOKUP(B1143,[1]Sheet1!$B:$B,[1]Sheet1!$Q:$Q,0)</f>
        <v>854046</v>
      </c>
      <c r="O1143" s="12">
        <f>_xlfn.XLOOKUP(B1143,[1]Sheet1!$B:$B,[1]Sheet1!$R:$R,0)</f>
        <v>0</v>
      </c>
      <c r="P1143" s="12">
        <f>_xlfn.XLOOKUP(B1143,[1]Sheet1!$B:$B,[1]Sheet1!$S:$S,0)</f>
        <v>0</v>
      </c>
      <c r="Q1143" s="12">
        <f>_xlfn.XLOOKUP(B1143,[1]Sheet1!$B:$B,[1]Sheet1!$T:$T,0)</f>
        <v>0</v>
      </c>
      <c r="R1143" s="12">
        <f>_xlfn.XLOOKUP(B1143,[1]Sheet1!$B:$B,[1]Sheet1!$U:$U,0)</f>
        <v>0</v>
      </c>
      <c r="S1143" s="12">
        <f>_xlfn.XLOOKUP(B1143,[1]Sheet1!$B:$B,[1]Sheet1!$V:$V,0)</f>
        <v>0</v>
      </c>
      <c r="T1143" s="12">
        <f>_xlfn.XLOOKUP(B1143,[1]Sheet1!$B:$B,[1]Sheet1!$W:$W,0)</f>
        <v>0</v>
      </c>
      <c r="U1143" s="12">
        <f>_xlfn.XLOOKUP(B1143,[1]Sheet1!$B:$B,[1]Sheet1!$X:$X,0)</f>
        <v>0</v>
      </c>
      <c r="V1143" s="12">
        <f>_xlfn.XLOOKUP(B1143,[1]Sheet1!$B:$B,[1]Sheet1!$Y:$Y,0)</f>
        <v>0</v>
      </c>
      <c r="W1143" s="12">
        <f t="shared" si="37"/>
        <v>854046</v>
      </c>
      <c r="X1143" s="8" t="s">
        <v>524</v>
      </c>
      <c r="Y1143" s="8" t="s">
        <v>211</v>
      </c>
      <c r="Z1143" s="8" t="s">
        <v>512</v>
      </c>
      <c r="AA1143" s="8" t="s">
        <v>68</v>
      </c>
      <c r="AB1143" s="8" t="s">
        <v>36</v>
      </c>
      <c r="AC1143" s="8" t="s">
        <v>37</v>
      </c>
      <c r="AD1143" s="8" t="s">
        <v>342</v>
      </c>
      <c r="AE1143" s="8" t="s">
        <v>39</v>
      </c>
      <c r="AF1143" s="8" t="s">
        <v>40</v>
      </c>
      <c r="AG1143" s="9">
        <v>854046</v>
      </c>
      <c r="AH1143" s="11">
        <f>_xlfn.XLOOKUP(B1143,[1]Sheet1!$B:$B,[1]Sheet1!$AB:$AB,0)</f>
        <v>854046</v>
      </c>
    </row>
    <row r="1144" spans="2:34" ht="16.8" thickTop="1" thickBot="1" x14ac:dyDescent="0.35">
      <c r="B1144" s="3" t="str">
        <f t="shared" si="36"/>
        <v>45151004511001471Admin Expenses-N421125200104</v>
      </c>
      <c r="C1144" s="6" t="s">
        <v>746</v>
      </c>
      <c r="D1144" s="6" t="s">
        <v>1773</v>
      </c>
      <c r="E1144" s="6" t="s">
        <v>1774</v>
      </c>
      <c r="F1144" s="6" t="s">
        <v>130</v>
      </c>
      <c r="G1144" s="4" t="s">
        <v>2803</v>
      </c>
      <c r="H1144" s="4" t="s">
        <v>2922</v>
      </c>
      <c r="I1144" s="6" t="s">
        <v>44</v>
      </c>
      <c r="J1144" s="6" t="s">
        <v>31</v>
      </c>
      <c r="K1144" s="12">
        <f>_xlfn.XLOOKUP(B1144,[1]Sheet1!$B:$B,[1]Sheet1!$N:$N,0)</f>
        <v>0</v>
      </c>
      <c r="L1144" s="12">
        <f>_xlfn.XLOOKUP(B1144,[1]Sheet1!$B:$B,[1]Sheet1!$O:$O,0)</f>
        <v>0</v>
      </c>
      <c r="M1144" s="12">
        <f>_xlfn.XLOOKUP(B1144,[1]Sheet1!$B:$B,[1]Sheet1!$P:$P,0)</f>
        <v>0</v>
      </c>
      <c r="N1144" s="12">
        <f>_xlfn.XLOOKUP(B1144,[1]Sheet1!$B:$B,[1]Sheet1!$Q:$Q,0)</f>
        <v>0</v>
      </c>
      <c r="O1144" s="12">
        <f>_xlfn.XLOOKUP(B1144,[1]Sheet1!$B:$B,[1]Sheet1!$R:$R,0)</f>
        <v>140000</v>
      </c>
      <c r="P1144" s="12">
        <f>_xlfn.XLOOKUP(B1144,[1]Sheet1!$B:$B,[1]Sheet1!$S:$S,0)</f>
        <v>0</v>
      </c>
      <c r="Q1144" s="12">
        <f>_xlfn.XLOOKUP(B1144,[1]Sheet1!$B:$B,[1]Sheet1!$T:$T,0)</f>
        <v>80000</v>
      </c>
      <c r="R1144" s="12">
        <f>_xlfn.XLOOKUP(B1144,[1]Sheet1!$B:$B,[1]Sheet1!$U:$U,0)</f>
        <v>60000</v>
      </c>
      <c r="S1144" s="12">
        <f>_xlfn.XLOOKUP(B1144,[1]Sheet1!$B:$B,[1]Sheet1!$V:$V,0)</f>
        <v>80000</v>
      </c>
      <c r="T1144" s="12">
        <f>_xlfn.XLOOKUP(B1144,[1]Sheet1!$B:$B,[1]Sheet1!$W:$W,0)</f>
        <v>70000</v>
      </c>
      <c r="U1144" s="12">
        <f>_xlfn.XLOOKUP(B1144,[1]Sheet1!$B:$B,[1]Sheet1!$X:$X,0)</f>
        <v>50000</v>
      </c>
      <c r="V1144" s="12">
        <f>_xlfn.XLOOKUP(B1144,[1]Sheet1!$B:$B,[1]Sheet1!$Y:$Y,0)</f>
        <v>0</v>
      </c>
      <c r="W1144" s="12">
        <f t="shared" si="37"/>
        <v>480000</v>
      </c>
      <c r="X1144" s="6" t="s">
        <v>744</v>
      </c>
      <c r="Y1144" s="6" t="s">
        <v>211</v>
      </c>
      <c r="Z1144" s="6" t="s">
        <v>745</v>
      </c>
      <c r="AA1144" s="6" t="s">
        <v>44</v>
      </c>
      <c r="AB1144" s="6" t="s">
        <v>36</v>
      </c>
      <c r="AC1144" s="6" t="s">
        <v>37</v>
      </c>
      <c r="AD1144" s="6" t="s">
        <v>214</v>
      </c>
      <c r="AE1144" s="6" t="s">
        <v>39</v>
      </c>
      <c r="AF1144" s="6" t="s">
        <v>40</v>
      </c>
      <c r="AG1144" s="7">
        <v>480000</v>
      </c>
      <c r="AH1144" s="11">
        <f>_xlfn.XLOOKUP(B1144,[1]Sheet1!$B:$B,[1]Sheet1!$AB:$AB,0)</f>
        <v>480000</v>
      </c>
    </row>
    <row r="1145" spans="2:34" ht="16.8" thickTop="1" thickBot="1" x14ac:dyDescent="0.35">
      <c r="B1145" s="3" t="str">
        <f t="shared" si="36"/>
        <v>45151004511001471GSA Retainer-N421125200104</v>
      </c>
      <c r="C1145" s="8" t="s">
        <v>746</v>
      </c>
      <c r="D1145" s="8" t="s">
        <v>1773</v>
      </c>
      <c r="E1145" s="8" t="s">
        <v>1774</v>
      </c>
      <c r="F1145" s="8" t="s">
        <v>1775</v>
      </c>
      <c r="G1145" s="4" t="s">
        <v>2803</v>
      </c>
      <c r="H1145" s="4" t="s">
        <v>2922</v>
      </c>
      <c r="I1145" s="8" t="s">
        <v>44</v>
      </c>
      <c r="J1145" s="8" t="s">
        <v>31</v>
      </c>
      <c r="K1145" s="12">
        <f>_xlfn.XLOOKUP(B1145,[1]Sheet1!$B:$B,[1]Sheet1!$N:$N,0)</f>
        <v>0</v>
      </c>
      <c r="L1145" s="12">
        <f>_xlfn.XLOOKUP(B1145,[1]Sheet1!$B:$B,[1]Sheet1!$O:$O,0)</f>
        <v>0</v>
      </c>
      <c r="M1145" s="12">
        <f>_xlfn.XLOOKUP(B1145,[1]Sheet1!$B:$B,[1]Sheet1!$P:$P,0)</f>
        <v>0</v>
      </c>
      <c r="N1145" s="12">
        <f>_xlfn.XLOOKUP(B1145,[1]Sheet1!$B:$B,[1]Sheet1!$Q:$Q,0)</f>
        <v>850897.46</v>
      </c>
      <c r="O1145" s="12">
        <f>_xlfn.XLOOKUP(B1145,[1]Sheet1!$B:$B,[1]Sheet1!$R:$R,0)</f>
        <v>212724.36499999999</v>
      </c>
      <c r="P1145" s="12">
        <f>_xlfn.XLOOKUP(B1145,[1]Sheet1!$B:$B,[1]Sheet1!$S:$S,0)</f>
        <v>212724.36499999999</v>
      </c>
      <c r="Q1145" s="12">
        <f>_xlfn.XLOOKUP(B1145,[1]Sheet1!$B:$B,[1]Sheet1!$T:$T,0)</f>
        <v>212724.36499999999</v>
      </c>
      <c r="R1145" s="12">
        <f>_xlfn.XLOOKUP(B1145,[1]Sheet1!$B:$B,[1]Sheet1!$U:$U,0)</f>
        <v>212724.36499999999</v>
      </c>
      <c r="S1145" s="12">
        <f>_xlfn.XLOOKUP(B1145,[1]Sheet1!$B:$B,[1]Sheet1!$V:$V,0)</f>
        <v>212724.36499999999</v>
      </c>
      <c r="T1145" s="12">
        <f>_xlfn.XLOOKUP(B1145,[1]Sheet1!$B:$B,[1]Sheet1!$W:$W,0)</f>
        <v>212724.36499999999</v>
      </c>
      <c r="U1145" s="12">
        <f>_xlfn.XLOOKUP(B1145,[1]Sheet1!$B:$B,[1]Sheet1!$X:$X,0)</f>
        <v>212724.36499999999</v>
      </c>
      <c r="V1145" s="12">
        <f>_xlfn.XLOOKUP(B1145,[1]Sheet1!$B:$B,[1]Sheet1!$Y:$Y,0)</f>
        <v>227176.9850000001</v>
      </c>
      <c r="W1145" s="12">
        <f t="shared" si="37"/>
        <v>2567145</v>
      </c>
      <c r="X1145" s="8" t="s">
        <v>744</v>
      </c>
      <c r="Y1145" s="8" t="s">
        <v>211</v>
      </c>
      <c r="Z1145" s="8" t="s">
        <v>745</v>
      </c>
      <c r="AA1145" s="8" t="s">
        <v>44</v>
      </c>
      <c r="AB1145" s="8" t="s">
        <v>36</v>
      </c>
      <c r="AC1145" s="8" t="s">
        <v>37</v>
      </c>
      <c r="AD1145" s="8" t="s">
        <v>214</v>
      </c>
      <c r="AE1145" s="8" t="s">
        <v>39</v>
      </c>
      <c r="AF1145" s="8" t="s">
        <v>40</v>
      </c>
      <c r="AG1145" s="9">
        <v>2567145</v>
      </c>
      <c r="AH1145" s="11">
        <f>_xlfn.XLOOKUP(B1145,[1]Sheet1!$B:$B,[1]Sheet1!$AB:$AB,0)</f>
        <v>2567145</v>
      </c>
    </row>
    <row r="1146" spans="2:34" ht="16.8" thickTop="1" thickBot="1" x14ac:dyDescent="0.35">
      <c r="B1146" s="3" t="str">
        <f t="shared" si="36"/>
        <v>45151004511001471Trade Partners-L424251201931</v>
      </c>
      <c r="C1146" s="6" t="s">
        <v>746</v>
      </c>
      <c r="D1146" s="6" t="s">
        <v>1773</v>
      </c>
      <c r="E1146" s="6" t="s">
        <v>1774</v>
      </c>
      <c r="F1146" s="6" t="s">
        <v>568</v>
      </c>
      <c r="G1146" s="4" t="s">
        <v>2852</v>
      </c>
      <c r="H1146" s="4" t="s">
        <v>2925</v>
      </c>
      <c r="I1146" s="6" t="s">
        <v>569</v>
      </c>
      <c r="J1146" s="6" t="s">
        <v>31</v>
      </c>
      <c r="K1146" s="12">
        <f>_xlfn.XLOOKUP(B1146,[1]Sheet1!$B:$B,[1]Sheet1!$N:$N,0)</f>
        <v>0</v>
      </c>
      <c r="L1146" s="12">
        <f>_xlfn.XLOOKUP(B1146,[1]Sheet1!$B:$B,[1]Sheet1!$O:$O,0)</f>
        <v>0</v>
      </c>
      <c r="M1146" s="12">
        <f>_xlfn.XLOOKUP(B1146,[1]Sheet1!$B:$B,[1]Sheet1!$P:$P,0)</f>
        <v>0</v>
      </c>
      <c r="N1146" s="12">
        <f>_xlfn.XLOOKUP(B1146,[1]Sheet1!$B:$B,[1]Sheet1!$Q:$Q,0)</f>
        <v>0</v>
      </c>
      <c r="O1146" s="12">
        <f>_xlfn.XLOOKUP(B1146,[1]Sheet1!$B:$B,[1]Sheet1!$R:$R,0)</f>
        <v>0</v>
      </c>
      <c r="P1146" s="12">
        <f>_xlfn.XLOOKUP(B1146,[1]Sheet1!$B:$B,[1]Sheet1!$S:$S,0)</f>
        <v>0</v>
      </c>
      <c r="Q1146" s="12">
        <f>_xlfn.XLOOKUP(B1146,[1]Sheet1!$B:$B,[1]Sheet1!$T:$T,0)</f>
        <v>0</v>
      </c>
      <c r="R1146" s="12">
        <f>_xlfn.XLOOKUP(B1146,[1]Sheet1!$B:$B,[1]Sheet1!$U:$U,0)</f>
        <v>1925061</v>
      </c>
      <c r="S1146" s="12">
        <f>_xlfn.XLOOKUP(B1146,[1]Sheet1!$B:$B,[1]Sheet1!$V:$V,0)</f>
        <v>5759600</v>
      </c>
      <c r="T1146" s="12">
        <f>_xlfn.XLOOKUP(B1146,[1]Sheet1!$B:$B,[1]Sheet1!$W:$W,0)</f>
        <v>450000</v>
      </c>
      <c r="U1146" s="12">
        <f>_xlfn.XLOOKUP(B1146,[1]Sheet1!$B:$B,[1]Sheet1!$X:$X,0)</f>
        <v>0</v>
      </c>
      <c r="V1146" s="12">
        <f>_xlfn.XLOOKUP(B1146,[1]Sheet1!$B:$B,[1]Sheet1!$Y:$Y,0)</f>
        <v>0</v>
      </c>
      <c r="W1146" s="12">
        <f t="shared" si="37"/>
        <v>8134661</v>
      </c>
      <c r="X1146" s="6" t="s">
        <v>747</v>
      </c>
      <c r="Y1146" s="6" t="s">
        <v>211</v>
      </c>
      <c r="Z1146" s="6" t="s">
        <v>745</v>
      </c>
      <c r="AA1146" s="6" t="s">
        <v>569</v>
      </c>
      <c r="AB1146" s="6" t="s">
        <v>327</v>
      </c>
      <c r="AC1146" s="6" t="s">
        <v>37</v>
      </c>
      <c r="AD1146" s="6" t="s">
        <v>214</v>
      </c>
      <c r="AE1146" s="6" t="s">
        <v>39</v>
      </c>
      <c r="AF1146" s="6" t="s">
        <v>40</v>
      </c>
      <c r="AG1146" s="7">
        <v>12700721</v>
      </c>
      <c r="AH1146" s="11">
        <f>_xlfn.XLOOKUP(B1146,[1]Sheet1!$B:$B,[1]Sheet1!$AB:$AB,0)</f>
        <v>12700721</v>
      </c>
    </row>
    <row r="1147" spans="2:34" ht="16.8" thickTop="1" thickBot="1" x14ac:dyDescent="0.35">
      <c r="B1147" s="3" t="str">
        <f t="shared" si="36"/>
        <v>45151004511001471Trade Promotion-N424251200104</v>
      </c>
      <c r="C1147" s="8" t="s">
        <v>746</v>
      </c>
      <c r="D1147" s="8" t="s">
        <v>1773</v>
      </c>
      <c r="E1147" s="8" t="s">
        <v>1774</v>
      </c>
      <c r="F1147" s="8" t="s">
        <v>748</v>
      </c>
      <c r="G1147" s="4" t="s">
        <v>2852</v>
      </c>
      <c r="H1147" s="4" t="s">
        <v>2922</v>
      </c>
      <c r="I1147" s="8" t="s">
        <v>569</v>
      </c>
      <c r="J1147" s="8" t="s">
        <v>31</v>
      </c>
      <c r="K1147" s="12">
        <f>_xlfn.XLOOKUP(B1147,[1]Sheet1!$B:$B,[1]Sheet1!$N:$N,0)</f>
        <v>0</v>
      </c>
      <c r="L1147" s="12">
        <f>_xlfn.XLOOKUP(B1147,[1]Sheet1!$B:$B,[1]Sheet1!$O:$O,0)</f>
        <v>0</v>
      </c>
      <c r="M1147" s="12">
        <f>_xlfn.XLOOKUP(B1147,[1]Sheet1!$B:$B,[1]Sheet1!$P:$P,0)</f>
        <v>0</v>
      </c>
      <c r="N1147" s="12">
        <f>_xlfn.XLOOKUP(B1147,[1]Sheet1!$B:$B,[1]Sheet1!$Q:$Q,0)</f>
        <v>0</v>
      </c>
      <c r="O1147" s="12">
        <f>_xlfn.XLOOKUP(B1147,[1]Sheet1!$B:$B,[1]Sheet1!$R:$R,0)</f>
        <v>0</v>
      </c>
      <c r="P1147" s="12">
        <f>_xlfn.XLOOKUP(B1147,[1]Sheet1!$B:$B,[1]Sheet1!$S:$S,0)</f>
        <v>347500</v>
      </c>
      <c r="Q1147" s="12">
        <f>_xlfn.XLOOKUP(B1147,[1]Sheet1!$B:$B,[1]Sheet1!$T:$T,0)</f>
        <v>150000</v>
      </c>
      <c r="R1147" s="12">
        <f>_xlfn.XLOOKUP(B1147,[1]Sheet1!$B:$B,[1]Sheet1!$U:$U,0)</f>
        <v>586500</v>
      </c>
      <c r="S1147" s="12">
        <f>_xlfn.XLOOKUP(B1147,[1]Sheet1!$B:$B,[1]Sheet1!$V:$V,0)</f>
        <v>500000</v>
      </c>
      <c r="T1147" s="12">
        <f>_xlfn.XLOOKUP(B1147,[1]Sheet1!$B:$B,[1]Sheet1!$W:$W,0)</f>
        <v>650000</v>
      </c>
      <c r="U1147" s="12">
        <f>_xlfn.XLOOKUP(B1147,[1]Sheet1!$B:$B,[1]Sheet1!$X:$X,0)</f>
        <v>567000</v>
      </c>
      <c r="V1147" s="12">
        <f>_xlfn.XLOOKUP(B1147,[1]Sheet1!$B:$B,[1]Sheet1!$Y:$Y,0)</f>
        <v>0</v>
      </c>
      <c r="W1147" s="12">
        <f t="shared" si="37"/>
        <v>2801000</v>
      </c>
      <c r="X1147" s="8" t="s">
        <v>749</v>
      </c>
      <c r="Y1147" s="8" t="s">
        <v>211</v>
      </c>
      <c r="Z1147" s="8" t="s">
        <v>745</v>
      </c>
      <c r="AA1147" s="8" t="s">
        <v>569</v>
      </c>
      <c r="AB1147" s="8" t="s">
        <v>36</v>
      </c>
      <c r="AC1147" s="8" t="s">
        <v>37</v>
      </c>
      <c r="AD1147" s="8" t="s">
        <v>214</v>
      </c>
      <c r="AE1147" s="8" t="s">
        <v>39</v>
      </c>
      <c r="AF1147" s="8" t="s">
        <v>40</v>
      </c>
      <c r="AG1147" s="9">
        <v>2801000</v>
      </c>
      <c r="AH1147" s="11">
        <f>_xlfn.XLOOKUP(B1147,[1]Sheet1!$B:$B,[1]Sheet1!$AB:$AB,0)</f>
        <v>2801000</v>
      </c>
    </row>
    <row r="1148" spans="2:34" ht="16.8" thickTop="1" thickBot="1" x14ac:dyDescent="0.35">
      <c r="B1148" s="3" t="str">
        <f t="shared" si="36"/>
        <v>45151004511001472Admin Expenses-N421125200104</v>
      </c>
      <c r="C1148" s="6" t="s">
        <v>746</v>
      </c>
      <c r="D1148" s="6" t="s">
        <v>1776</v>
      </c>
      <c r="E1148" s="6" t="s">
        <v>1777</v>
      </c>
      <c r="F1148" s="6" t="s">
        <v>130</v>
      </c>
      <c r="G1148" s="4" t="s">
        <v>2803</v>
      </c>
      <c r="H1148" s="4" t="s">
        <v>2922</v>
      </c>
      <c r="I1148" s="6" t="s">
        <v>44</v>
      </c>
      <c r="J1148" s="6" t="s">
        <v>31</v>
      </c>
      <c r="K1148" s="12">
        <f>_xlfn.XLOOKUP(B1148,[1]Sheet1!$B:$B,[1]Sheet1!$N:$N,0)</f>
        <v>0</v>
      </c>
      <c r="L1148" s="12">
        <f>_xlfn.XLOOKUP(B1148,[1]Sheet1!$B:$B,[1]Sheet1!$O:$O,0)</f>
        <v>0</v>
      </c>
      <c r="M1148" s="12">
        <f>_xlfn.XLOOKUP(B1148,[1]Sheet1!$B:$B,[1]Sheet1!$P:$P,0)</f>
        <v>1513.26</v>
      </c>
      <c r="N1148" s="12">
        <f>_xlfn.XLOOKUP(B1148,[1]Sheet1!$B:$B,[1]Sheet1!$Q:$Q,0)</f>
        <v>71820.740000000005</v>
      </c>
      <c r="O1148" s="12">
        <f>_xlfn.XLOOKUP(B1148,[1]Sheet1!$B:$B,[1]Sheet1!$R:$R,0)</f>
        <v>50000</v>
      </c>
      <c r="P1148" s="12">
        <f>_xlfn.XLOOKUP(B1148,[1]Sheet1!$B:$B,[1]Sheet1!$S:$S,0)</f>
        <v>100000</v>
      </c>
      <c r="Q1148" s="12">
        <f>_xlfn.XLOOKUP(B1148,[1]Sheet1!$B:$B,[1]Sheet1!$T:$T,0)</f>
        <v>33333</v>
      </c>
      <c r="R1148" s="12">
        <f>_xlfn.XLOOKUP(B1148,[1]Sheet1!$B:$B,[1]Sheet1!$U:$U,0)</f>
        <v>90000</v>
      </c>
      <c r="S1148" s="12">
        <f>_xlfn.XLOOKUP(B1148,[1]Sheet1!$B:$B,[1]Sheet1!$V:$V,0)</f>
        <v>55000</v>
      </c>
      <c r="T1148" s="12">
        <f>_xlfn.XLOOKUP(B1148,[1]Sheet1!$B:$B,[1]Sheet1!$W:$W,0)</f>
        <v>33333</v>
      </c>
      <c r="U1148" s="12">
        <f>_xlfn.XLOOKUP(B1148,[1]Sheet1!$B:$B,[1]Sheet1!$X:$X,0)</f>
        <v>50000</v>
      </c>
      <c r="V1148" s="12">
        <f>_xlfn.XLOOKUP(B1148,[1]Sheet1!$B:$B,[1]Sheet1!$Y:$Y,0)</f>
        <v>0</v>
      </c>
      <c r="W1148" s="12">
        <f t="shared" si="37"/>
        <v>485000</v>
      </c>
      <c r="X1148" s="6" t="s">
        <v>744</v>
      </c>
      <c r="Y1148" s="6" t="s">
        <v>211</v>
      </c>
      <c r="Z1148" s="6" t="s">
        <v>745</v>
      </c>
      <c r="AA1148" s="6" t="s">
        <v>44</v>
      </c>
      <c r="AB1148" s="6" t="s">
        <v>36</v>
      </c>
      <c r="AC1148" s="6" t="s">
        <v>37</v>
      </c>
      <c r="AD1148" s="6" t="s">
        <v>214</v>
      </c>
      <c r="AE1148" s="6" t="s">
        <v>39</v>
      </c>
      <c r="AF1148" s="6" t="s">
        <v>40</v>
      </c>
      <c r="AG1148" s="7">
        <v>485000</v>
      </c>
      <c r="AH1148" s="11">
        <f>_xlfn.XLOOKUP(B1148,[1]Sheet1!$B:$B,[1]Sheet1!$AB:$AB,0)</f>
        <v>485000</v>
      </c>
    </row>
    <row r="1149" spans="2:34" ht="16.8" thickTop="1" thickBot="1" x14ac:dyDescent="0.35">
      <c r="B1149" s="3" t="str">
        <f t="shared" si="36"/>
        <v>45151004511001472GSA Retainer-N421125200104</v>
      </c>
      <c r="C1149" s="8" t="s">
        <v>746</v>
      </c>
      <c r="D1149" s="8" t="s">
        <v>1776</v>
      </c>
      <c r="E1149" s="8" t="s">
        <v>1777</v>
      </c>
      <c r="F1149" s="8" t="s">
        <v>1775</v>
      </c>
      <c r="G1149" s="4" t="s">
        <v>2803</v>
      </c>
      <c r="H1149" s="4" t="s">
        <v>2922</v>
      </c>
      <c r="I1149" s="8" t="s">
        <v>44</v>
      </c>
      <c r="J1149" s="8" t="s">
        <v>31</v>
      </c>
      <c r="K1149" s="12">
        <f>_xlfn.XLOOKUP(B1149,[1]Sheet1!$B:$B,[1]Sheet1!$N:$N,0)</f>
        <v>0</v>
      </c>
      <c r="L1149" s="12">
        <f>_xlfn.XLOOKUP(B1149,[1]Sheet1!$B:$B,[1]Sheet1!$O:$O,0)</f>
        <v>0</v>
      </c>
      <c r="M1149" s="12">
        <f>_xlfn.XLOOKUP(B1149,[1]Sheet1!$B:$B,[1]Sheet1!$P:$P,0)</f>
        <v>406071.89600000001</v>
      </c>
      <c r="N1149" s="12">
        <f>_xlfn.XLOOKUP(B1149,[1]Sheet1!$B:$B,[1]Sheet1!$Q:$Q,0)</f>
        <v>599820.36699999997</v>
      </c>
      <c r="O1149" s="12">
        <f>_xlfn.XLOOKUP(B1149,[1]Sheet1!$B:$B,[1]Sheet1!$R:$R,0)</f>
        <v>266299.23149999999</v>
      </c>
      <c r="P1149" s="12">
        <f>_xlfn.XLOOKUP(B1149,[1]Sheet1!$B:$B,[1]Sheet1!$S:$S,0)</f>
        <v>266299.23149999999</v>
      </c>
      <c r="Q1149" s="12">
        <f>_xlfn.XLOOKUP(B1149,[1]Sheet1!$B:$B,[1]Sheet1!$T:$T,0)</f>
        <v>266299.23149999999</v>
      </c>
      <c r="R1149" s="12">
        <f>_xlfn.XLOOKUP(B1149,[1]Sheet1!$B:$B,[1]Sheet1!$U:$U,0)</f>
        <v>266299.23149999999</v>
      </c>
      <c r="S1149" s="12">
        <f>_xlfn.XLOOKUP(B1149,[1]Sheet1!$B:$B,[1]Sheet1!$V:$V,0)</f>
        <v>266299.23149999999</v>
      </c>
      <c r="T1149" s="12">
        <f>_xlfn.XLOOKUP(B1149,[1]Sheet1!$B:$B,[1]Sheet1!$W:$W,0)</f>
        <v>266299.23149999999</v>
      </c>
      <c r="U1149" s="12">
        <f>_xlfn.XLOOKUP(B1149,[1]Sheet1!$B:$B,[1]Sheet1!$X:$X,0)</f>
        <v>266299.23149999999</v>
      </c>
      <c r="V1149" s="12">
        <f>_xlfn.XLOOKUP(B1149,[1]Sheet1!$B:$B,[1]Sheet1!$Y:$Y,0)</f>
        <v>615871.91650000017</v>
      </c>
      <c r="W1149" s="12">
        <f t="shared" si="37"/>
        <v>3485858.8</v>
      </c>
      <c r="X1149" s="8" t="s">
        <v>744</v>
      </c>
      <c r="Y1149" s="8" t="s">
        <v>211</v>
      </c>
      <c r="Z1149" s="8" t="s">
        <v>745</v>
      </c>
      <c r="AA1149" s="8" t="s">
        <v>44</v>
      </c>
      <c r="AB1149" s="8" t="s">
        <v>36</v>
      </c>
      <c r="AC1149" s="8" t="s">
        <v>37</v>
      </c>
      <c r="AD1149" s="8" t="s">
        <v>214</v>
      </c>
      <c r="AE1149" s="8" t="s">
        <v>39</v>
      </c>
      <c r="AF1149" s="8" t="s">
        <v>40</v>
      </c>
      <c r="AG1149" s="9">
        <v>3404767</v>
      </c>
      <c r="AH1149" s="11">
        <f>_xlfn.XLOOKUP(B1149,[1]Sheet1!$B:$B,[1]Sheet1!$AB:$AB,0)</f>
        <v>3404767</v>
      </c>
    </row>
    <row r="1150" spans="2:34" ht="16.8" thickTop="1" thickBot="1" x14ac:dyDescent="0.35">
      <c r="B1150" s="3" t="str">
        <f t="shared" si="36"/>
        <v>45151004511001472Trade Partners-L424251201931</v>
      </c>
      <c r="C1150" s="6" t="s">
        <v>746</v>
      </c>
      <c r="D1150" s="6" t="s">
        <v>1776</v>
      </c>
      <c r="E1150" s="6" t="s">
        <v>1777</v>
      </c>
      <c r="F1150" s="6" t="s">
        <v>568</v>
      </c>
      <c r="G1150" s="4" t="s">
        <v>2852</v>
      </c>
      <c r="H1150" s="4" t="s">
        <v>2925</v>
      </c>
      <c r="I1150" s="6" t="s">
        <v>569</v>
      </c>
      <c r="J1150" s="6" t="s">
        <v>31</v>
      </c>
      <c r="K1150" s="12">
        <f>_xlfn.XLOOKUP(B1150,[1]Sheet1!$B:$B,[1]Sheet1!$N:$N,0)</f>
        <v>0</v>
      </c>
      <c r="L1150" s="12">
        <f>_xlfn.XLOOKUP(B1150,[1]Sheet1!$B:$B,[1]Sheet1!$O:$O,0)</f>
        <v>0</v>
      </c>
      <c r="M1150" s="12">
        <f>_xlfn.XLOOKUP(B1150,[1]Sheet1!$B:$B,[1]Sheet1!$P:$P,0)</f>
        <v>433976.49249999999</v>
      </c>
      <c r="N1150" s="12">
        <f>_xlfn.XLOOKUP(B1150,[1]Sheet1!$B:$B,[1]Sheet1!$Q:$Q,0)</f>
        <v>0</v>
      </c>
      <c r="O1150" s="12">
        <f>_xlfn.XLOOKUP(B1150,[1]Sheet1!$B:$B,[1]Sheet1!$R:$R,0)</f>
        <v>0</v>
      </c>
      <c r="P1150" s="12">
        <f>_xlfn.XLOOKUP(B1150,[1]Sheet1!$B:$B,[1]Sheet1!$S:$S,0)</f>
        <v>2762488</v>
      </c>
      <c r="Q1150" s="12">
        <f>_xlfn.XLOOKUP(B1150,[1]Sheet1!$B:$B,[1]Sheet1!$T:$T,0)</f>
        <v>2409015</v>
      </c>
      <c r="R1150" s="12">
        <f>_xlfn.XLOOKUP(B1150,[1]Sheet1!$B:$B,[1]Sheet1!$U:$U,0)</f>
        <v>831000</v>
      </c>
      <c r="S1150" s="12">
        <f>_xlfn.XLOOKUP(B1150,[1]Sheet1!$B:$B,[1]Sheet1!$V:$V,0)</f>
        <v>380000</v>
      </c>
      <c r="T1150" s="12">
        <f>_xlfn.XLOOKUP(B1150,[1]Sheet1!$B:$B,[1]Sheet1!$W:$W,0)</f>
        <v>345000</v>
      </c>
      <c r="U1150" s="12">
        <f>_xlfn.XLOOKUP(B1150,[1]Sheet1!$B:$B,[1]Sheet1!$X:$X,0)</f>
        <v>0</v>
      </c>
      <c r="V1150" s="12">
        <f>_xlfn.XLOOKUP(B1150,[1]Sheet1!$B:$B,[1]Sheet1!$Y:$Y,0)</f>
        <v>0</v>
      </c>
      <c r="W1150" s="12">
        <f t="shared" si="37"/>
        <v>7161479.4924999997</v>
      </c>
      <c r="X1150" s="6" t="s">
        <v>747</v>
      </c>
      <c r="Y1150" s="6" t="s">
        <v>211</v>
      </c>
      <c r="Z1150" s="6" t="s">
        <v>745</v>
      </c>
      <c r="AA1150" s="6" t="s">
        <v>569</v>
      </c>
      <c r="AB1150" s="6" t="s">
        <v>327</v>
      </c>
      <c r="AC1150" s="6" t="s">
        <v>37</v>
      </c>
      <c r="AD1150" s="6" t="s">
        <v>214</v>
      </c>
      <c r="AE1150" s="6" t="s">
        <v>39</v>
      </c>
      <c r="AF1150" s="6" t="s">
        <v>40</v>
      </c>
      <c r="AG1150" s="7">
        <v>5061479</v>
      </c>
      <c r="AH1150" s="11">
        <f>_xlfn.XLOOKUP(B1150,[1]Sheet1!$B:$B,[1]Sheet1!$AB:$AB,0)</f>
        <v>5061479</v>
      </c>
    </row>
    <row r="1151" spans="2:34" ht="16.8" thickTop="1" thickBot="1" x14ac:dyDescent="0.35">
      <c r="B1151" s="3" t="str">
        <f t="shared" si="36"/>
        <v>45151004511001472Trade Promotion-N424251200104</v>
      </c>
      <c r="C1151" s="8" t="s">
        <v>746</v>
      </c>
      <c r="D1151" s="8" t="s">
        <v>1776</v>
      </c>
      <c r="E1151" s="8" t="s">
        <v>1777</v>
      </c>
      <c r="F1151" s="8" t="s">
        <v>748</v>
      </c>
      <c r="G1151" s="4" t="s">
        <v>2852</v>
      </c>
      <c r="H1151" s="4" t="s">
        <v>2922</v>
      </c>
      <c r="I1151" s="8" t="s">
        <v>569</v>
      </c>
      <c r="J1151" s="8" t="s">
        <v>31</v>
      </c>
      <c r="K1151" s="12">
        <f>_xlfn.XLOOKUP(B1151,[1]Sheet1!$B:$B,[1]Sheet1!$N:$N,0)</f>
        <v>0</v>
      </c>
      <c r="L1151" s="12">
        <f>_xlfn.XLOOKUP(B1151,[1]Sheet1!$B:$B,[1]Sheet1!$O:$O,0)</f>
        <v>0</v>
      </c>
      <c r="M1151" s="12">
        <f>_xlfn.XLOOKUP(B1151,[1]Sheet1!$B:$B,[1]Sheet1!$P:$P,0)</f>
        <v>158404</v>
      </c>
      <c r="N1151" s="12">
        <f>_xlfn.XLOOKUP(B1151,[1]Sheet1!$B:$B,[1]Sheet1!$Q:$Q,0)</f>
        <v>158404</v>
      </c>
      <c r="O1151" s="12">
        <f>_xlfn.XLOOKUP(B1151,[1]Sheet1!$B:$B,[1]Sheet1!$R:$R,0)</f>
        <v>673192</v>
      </c>
      <c r="P1151" s="12">
        <f>_xlfn.XLOOKUP(B1151,[1]Sheet1!$B:$B,[1]Sheet1!$S:$S,0)</f>
        <v>393000</v>
      </c>
      <c r="Q1151" s="12">
        <f>_xlfn.XLOOKUP(B1151,[1]Sheet1!$B:$B,[1]Sheet1!$T:$T,0)</f>
        <v>60000</v>
      </c>
      <c r="R1151" s="12">
        <f>_xlfn.XLOOKUP(B1151,[1]Sheet1!$B:$B,[1]Sheet1!$U:$U,0)</f>
        <v>1249400</v>
      </c>
      <c r="S1151" s="12">
        <f>_xlfn.XLOOKUP(B1151,[1]Sheet1!$B:$B,[1]Sheet1!$V:$V,0)</f>
        <v>245000</v>
      </c>
      <c r="T1151" s="12">
        <f>_xlfn.XLOOKUP(B1151,[1]Sheet1!$B:$B,[1]Sheet1!$W:$W,0)</f>
        <v>1345671</v>
      </c>
      <c r="U1151" s="12">
        <f>_xlfn.XLOOKUP(B1151,[1]Sheet1!$B:$B,[1]Sheet1!$X:$X,0)</f>
        <v>0</v>
      </c>
      <c r="V1151" s="12">
        <f>_xlfn.XLOOKUP(B1151,[1]Sheet1!$B:$B,[1]Sheet1!$Y:$Y,0)</f>
        <v>0</v>
      </c>
      <c r="W1151" s="12">
        <f t="shared" si="37"/>
        <v>4283071</v>
      </c>
      <c r="X1151" s="8" t="s">
        <v>749</v>
      </c>
      <c r="Y1151" s="8" t="s">
        <v>211</v>
      </c>
      <c r="Z1151" s="8" t="s">
        <v>745</v>
      </c>
      <c r="AA1151" s="8" t="s">
        <v>569</v>
      </c>
      <c r="AB1151" s="8" t="s">
        <v>36</v>
      </c>
      <c r="AC1151" s="8" t="s">
        <v>37</v>
      </c>
      <c r="AD1151" s="8" t="s">
        <v>214</v>
      </c>
      <c r="AE1151" s="8" t="s">
        <v>39</v>
      </c>
      <c r="AF1151" s="8" t="s">
        <v>40</v>
      </c>
      <c r="AG1151" s="9">
        <v>4272046</v>
      </c>
      <c r="AH1151" s="11">
        <f>_xlfn.XLOOKUP(B1151,[1]Sheet1!$B:$B,[1]Sheet1!$AB:$AB,0)</f>
        <v>4272046</v>
      </c>
    </row>
    <row r="1152" spans="2:34" ht="16.8" thickTop="1" thickBot="1" x14ac:dyDescent="0.35">
      <c r="B1152" s="3" t="str">
        <f t="shared" si="36"/>
        <v>45151004511001473Admin Expenses-N421125200104</v>
      </c>
      <c r="C1152" s="6" t="s">
        <v>746</v>
      </c>
      <c r="D1152" s="6" t="s">
        <v>1778</v>
      </c>
      <c r="E1152" s="6" t="s">
        <v>1779</v>
      </c>
      <c r="F1152" s="6" t="s">
        <v>130</v>
      </c>
      <c r="G1152" s="4" t="s">
        <v>2803</v>
      </c>
      <c r="H1152" s="4" t="s">
        <v>2922</v>
      </c>
      <c r="I1152" s="6" t="s">
        <v>44</v>
      </c>
      <c r="J1152" s="6" t="s">
        <v>31</v>
      </c>
      <c r="K1152" s="12">
        <f>_xlfn.XLOOKUP(B1152,[1]Sheet1!$B:$B,[1]Sheet1!$N:$N,0)</f>
        <v>0</v>
      </c>
      <c r="L1152" s="12">
        <f>_xlfn.XLOOKUP(B1152,[1]Sheet1!$B:$B,[1]Sheet1!$O:$O,0)</f>
        <v>0</v>
      </c>
      <c r="M1152" s="12">
        <f>_xlfn.XLOOKUP(B1152,[1]Sheet1!$B:$B,[1]Sheet1!$P:$P,0)</f>
        <v>0</v>
      </c>
      <c r="N1152" s="12">
        <f>_xlfn.XLOOKUP(B1152,[1]Sheet1!$B:$B,[1]Sheet1!$Q:$Q,0)</f>
        <v>0</v>
      </c>
      <c r="O1152" s="12">
        <f>_xlfn.XLOOKUP(B1152,[1]Sheet1!$B:$B,[1]Sheet1!$R:$R,0)</f>
        <v>0</v>
      </c>
      <c r="P1152" s="12">
        <f>_xlfn.XLOOKUP(B1152,[1]Sheet1!$B:$B,[1]Sheet1!$S:$S,0)</f>
        <v>30000</v>
      </c>
      <c r="Q1152" s="12">
        <f>_xlfn.XLOOKUP(B1152,[1]Sheet1!$B:$B,[1]Sheet1!$T:$T,0)</f>
        <v>50000</v>
      </c>
      <c r="R1152" s="12">
        <f>_xlfn.XLOOKUP(B1152,[1]Sheet1!$B:$B,[1]Sheet1!$U:$U,0)</f>
        <v>0</v>
      </c>
      <c r="S1152" s="12">
        <f>_xlfn.XLOOKUP(B1152,[1]Sheet1!$B:$B,[1]Sheet1!$V:$V,0)</f>
        <v>35000</v>
      </c>
      <c r="T1152" s="12">
        <f>_xlfn.XLOOKUP(B1152,[1]Sheet1!$B:$B,[1]Sheet1!$W:$W,0)</f>
        <v>130000</v>
      </c>
      <c r="U1152" s="12">
        <f>_xlfn.XLOOKUP(B1152,[1]Sheet1!$B:$B,[1]Sheet1!$X:$X,0)</f>
        <v>0</v>
      </c>
      <c r="V1152" s="12">
        <f>_xlfn.XLOOKUP(B1152,[1]Sheet1!$B:$B,[1]Sheet1!$Y:$Y,0)</f>
        <v>0</v>
      </c>
      <c r="W1152" s="12">
        <f t="shared" si="37"/>
        <v>245000</v>
      </c>
      <c r="X1152" s="6" t="s">
        <v>744</v>
      </c>
      <c r="Y1152" s="6" t="s">
        <v>211</v>
      </c>
      <c r="Z1152" s="6" t="s">
        <v>745</v>
      </c>
      <c r="AA1152" s="6" t="s">
        <v>44</v>
      </c>
      <c r="AB1152" s="6" t="s">
        <v>36</v>
      </c>
      <c r="AC1152" s="6" t="s">
        <v>37</v>
      </c>
      <c r="AD1152" s="6" t="s">
        <v>214</v>
      </c>
      <c r="AE1152" s="6" t="s">
        <v>39</v>
      </c>
      <c r="AF1152" s="6" t="s">
        <v>40</v>
      </c>
      <c r="AG1152" s="7">
        <v>245000</v>
      </c>
      <c r="AH1152" s="11">
        <f>_xlfn.XLOOKUP(B1152,[1]Sheet1!$B:$B,[1]Sheet1!$AB:$AB,0)</f>
        <v>245000</v>
      </c>
    </row>
    <row r="1153" spans="2:34" ht="16.8" thickTop="1" thickBot="1" x14ac:dyDescent="0.35">
      <c r="B1153" s="3" t="str">
        <f t="shared" si="36"/>
        <v>45151004511001473GSA Retainer-N421125200104</v>
      </c>
      <c r="C1153" s="8" t="s">
        <v>746</v>
      </c>
      <c r="D1153" s="8" t="s">
        <v>1778</v>
      </c>
      <c r="E1153" s="8" t="s">
        <v>1779</v>
      </c>
      <c r="F1153" s="8" t="s">
        <v>1775</v>
      </c>
      <c r="G1153" s="4" t="s">
        <v>2803</v>
      </c>
      <c r="H1153" s="4" t="s">
        <v>2922</v>
      </c>
      <c r="I1153" s="8" t="s">
        <v>44</v>
      </c>
      <c r="J1153" s="8" t="s">
        <v>31</v>
      </c>
      <c r="K1153" s="12">
        <f>_xlfn.XLOOKUP(B1153,[1]Sheet1!$B:$B,[1]Sheet1!$N:$N,0)</f>
        <v>0</v>
      </c>
      <c r="L1153" s="12">
        <f>_xlfn.XLOOKUP(B1153,[1]Sheet1!$B:$B,[1]Sheet1!$O:$O,0)</f>
        <v>0</v>
      </c>
      <c r="M1153" s="12">
        <f>_xlfn.XLOOKUP(B1153,[1]Sheet1!$B:$B,[1]Sheet1!$P:$P,0)</f>
        <v>131593.01999999999</v>
      </c>
      <c r="N1153" s="12">
        <f>_xlfn.XLOOKUP(B1153,[1]Sheet1!$B:$B,[1]Sheet1!$Q:$Q,0)</f>
        <v>104807.97912</v>
      </c>
      <c r="O1153" s="12">
        <f>_xlfn.XLOOKUP(B1153,[1]Sheet1!$B:$B,[1]Sheet1!$R:$R,0)</f>
        <v>59100.249779999998</v>
      </c>
      <c r="P1153" s="12">
        <f>_xlfn.XLOOKUP(B1153,[1]Sheet1!$B:$B,[1]Sheet1!$S:$S,0)</f>
        <v>81179.319779999991</v>
      </c>
      <c r="Q1153" s="12">
        <f>_xlfn.XLOOKUP(B1153,[1]Sheet1!$B:$B,[1]Sheet1!$T:$T,0)</f>
        <v>59100.249779999998</v>
      </c>
      <c r="R1153" s="12">
        <f>_xlfn.XLOOKUP(B1153,[1]Sheet1!$B:$B,[1]Sheet1!$U:$U,0)</f>
        <v>59100.249779999998</v>
      </c>
      <c r="S1153" s="12">
        <f>_xlfn.XLOOKUP(B1153,[1]Sheet1!$B:$B,[1]Sheet1!$V:$V,0)</f>
        <v>59100.249779999998</v>
      </c>
      <c r="T1153" s="12">
        <f>_xlfn.XLOOKUP(B1153,[1]Sheet1!$B:$B,[1]Sheet1!$W:$W,0)</f>
        <v>59100.249779999998</v>
      </c>
      <c r="U1153" s="12">
        <f>_xlfn.XLOOKUP(B1153,[1]Sheet1!$B:$B,[1]Sheet1!$X:$X,0)</f>
        <v>59100.249779999998</v>
      </c>
      <c r="V1153" s="12">
        <f>_xlfn.XLOOKUP(B1153,[1]Sheet1!$B:$B,[1]Sheet1!$Y:$Y,0)</f>
        <v>128639.18242000013</v>
      </c>
      <c r="W1153" s="12">
        <f t="shared" si="37"/>
        <v>800821</v>
      </c>
      <c r="X1153" s="8" t="s">
        <v>744</v>
      </c>
      <c r="Y1153" s="8" t="s">
        <v>211</v>
      </c>
      <c r="Z1153" s="8" t="s">
        <v>745</v>
      </c>
      <c r="AA1153" s="8" t="s">
        <v>44</v>
      </c>
      <c r="AB1153" s="8" t="s">
        <v>36</v>
      </c>
      <c r="AC1153" s="8" t="s">
        <v>37</v>
      </c>
      <c r="AD1153" s="8" t="s">
        <v>214</v>
      </c>
      <c r="AE1153" s="8" t="s">
        <v>39</v>
      </c>
      <c r="AF1153" s="8" t="s">
        <v>40</v>
      </c>
      <c r="AG1153" s="9">
        <v>800821</v>
      </c>
      <c r="AH1153" s="11">
        <f>_xlfn.XLOOKUP(B1153,[1]Sheet1!$B:$B,[1]Sheet1!$AB:$AB,0)</f>
        <v>800821</v>
      </c>
    </row>
    <row r="1154" spans="2:34" ht="16.8" thickTop="1" thickBot="1" x14ac:dyDescent="0.35">
      <c r="B1154" s="3" t="str">
        <f t="shared" si="36"/>
        <v>45151004511001473Trade Partners-L424251201931</v>
      </c>
      <c r="C1154" s="6" t="s">
        <v>746</v>
      </c>
      <c r="D1154" s="6" t="s">
        <v>1778</v>
      </c>
      <c r="E1154" s="6" t="s">
        <v>1779</v>
      </c>
      <c r="F1154" s="6" t="s">
        <v>568</v>
      </c>
      <c r="G1154" s="4" t="s">
        <v>2852</v>
      </c>
      <c r="H1154" s="4" t="s">
        <v>2925</v>
      </c>
      <c r="I1154" s="6" t="s">
        <v>569</v>
      </c>
      <c r="J1154" s="6" t="s">
        <v>31</v>
      </c>
      <c r="K1154" s="12">
        <f>_xlfn.XLOOKUP(B1154,[1]Sheet1!$B:$B,[1]Sheet1!$N:$N,0)</f>
        <v>0</v>
      </c>
      <c r="L1154" s="12">
        <f>_xlfn.XLOOKUP(B1154,[1]Sheet1!$B:$B,[1]Sheet1!$O:$O,0)</f>
        <v>0</v>
      </c>
      <c r="M1154" s="12">
        <f>_xlfn.XLOOKUP(B1154,[1]Sheet1!$B:$B,[1]Sheet1!$P:$P,0)</f>
        <v>0</v>
      </c>
      <c r="N1154" s="12">
        <f>_xlfn.XLOOKUP(B1154,[1]Sheet1!$B:$B,[1]Sheet1!$Q:$Q,0)</f>
        <v>0</v>
      </c>
      <c r="O1154" s="12">
        <f>_xlfn.XLOOKUP(B1154,[1]Sheet1!$B:$B,[1]Sheet1!$R:$R,0)</f>
        <v>0</v>
      </c>
      <c r="P1154" s="12">
        <f>_xlfn.XLOOKUP(B1154,[1]Sheet1!$B:$B,[1]Sheet1!$S:$S,0)</f>
        <v>332797</v>
      </c>
      <c r="Q1154" s="12">
        <f>_xlfn.XLOOKUP(B1154,[1]Sheet1!$B:$B,[1]Sheet1!$T:$T,0)</f>
        <v>123413</v>
      </c>
      <c r="R1154" s="12">
        <f>_xlfn.XLOOKUP(B1154,[1]Sheet1!$B:$B,[1]Sheet1!$U:$U,0)</f>
        <v>201600</v>
      </c>
      <c r="S1154" s="12">
        <f>_xlfn.XLOOKUP(B1154,[1]Sheet1!$B:$B,[1]Sheet1!$V:$V,0)</f>
        <v>671800</v>
      </c>
      <c r="T1154" s="12">
        <f>_xlfn.XLOOKUP(B1154,[1]Sheet1!$B:$B,[1]Sheet1!$W:$W,0)</f>
        <v>29380</v>
      </c>
      <c r="U1154" s="12">
        <f>_xlfn.XLOOKUP(B1154,[1]Sheet1!$B:$B,[1]Sheet1!$X:$X,0)</f>
        <v>0</v>
      </c>
      <c r="V1154" s="12">
        <f>_xlfn.XLOOKUP(B1154,[1]Sheet1!$B:$B,[1]Sheet1!$Y:$Y,0)</f>
        <v>0</v>
      </c>
      <c r="W1154" s="12">
        <f t="shared" si="37"/>
        <v>1358990</v>
      </c>
      <c r="X1154" s="6" t="s">
        <v>747</v>
      </c>
      <c r="Y1154" s="6" t="s">
        <v>211</v>
      </c>
      <c r="Z1154" s="6" t="s">
        <v>745</v>
      </c>
      <c r="AA1154" s="6" t="s">
        <v>569</v>
      </c>
      <c r="AB1154" s="6" t="s">
        <v>327</v>
      </c>
      <c r="AC1154" s="6" t="s">
        <v>37</v>
      </c>
      <c r="AD1154" s="6" t="s">
        <v>214</v>
      </c>
      <c r="AE1154" s="6" t="s">
        <v>39</v>
      </c>
      <c r="AF1154" s="6" t="s">
        <v>40</v>
      </c>
      <c r="AG1154" s="7">
        <v>1358990</v>
      </c>
      <c r="AH1154" s="11">
        <f>_xlfn.XLOOKUP(B1154,[1]Sheet1!$B:$B,[1]Sheet1!$AB:$AB,0)</f>
        <v>1358990</v>
      </c>
    </row>
    <row r="1155" spans="2:34" ht="16.8" thickTop="1" thickBot="1" x14ac:dyDescent="0.35">
      <c r="B1155" s="3" t="str">
        <f t="shared" si="36"/>
        <v>45151004511001473Trade Promotion-N424251200104</v>
      </c>
      <c r="C1155" s="8" t="s">
        <v>746</v>
      </c>
      <c r="D1155" s="8" t="s">
        <v>1778</v>
      </c>
      <c r="E1155" s="8" t="s">
        <v>1779</v>
      </c>
      <c r="F1155" s="8" t="s">
        <v>748</v>
      </c>
      <c r="G1155" s="4" t="s">
        <v>2852</v>
      </c>
      <c r="H1155" s="4" t="s">
        <v>2922</v>
      </c>
      <c r="I1155" s="8" t="s">
        <v>569</v>
      </c>
      <c r="J1155" s="8" t="s">
        <v>31</v>
      </c>
      <c r="K1155" s="12">
        <f>_xlfn.XLOOKUP(B1155,[1]Sheet1!$B:$B,[1]Sheet1!$N:$N,0)</f>
        <v>0</v>
      </c>
      <c r="L1155" s="12">
        <f>_xlfn.XLOOKUP(B1155,[1]Sheet1!$B:$B,[1]Sheet1!$O:$O,0)</f>
        <v>0</v>
      </c>
      <c r="M1155" s="12">
        <f>_xlfn.XLOOKUP(B1155,[1]Sheet1!$B:$B,[1]Sheet1!$P:$P,0)</f>
        <v>0</v>
      </c>
      <c r="N1155" s="12">
        <f>_xlfn.XLOOKUP(B1155,[1]Sheet1!$B:$B,[1]Sheet1!$Q:$Q,0)</f>
        <v>0</v>
      </c>
      <c r="O1155" s="12">
        <f>_xlfn.XLOOKUP(B1155,[1]Sheet1!$B:$B,[1]Sheet1!$R:$R,0)</f>
        <v>0</v>
      </c>
      <c r="P1155" s="12">
        <f>_xlfn.XLOOKUP(B1155,[1]Sheet1!$B:$B,[1]Sheet1!$S:$S,0)</f>
        <v>120000</v>
      </c>
      <c r="Q1155" s="12">
        <f>_xlfn.XLOOKUP(B1155,[1]Sheet1!$B:$B,[1]Sheet1!$T:$T,0)</f>
        <v>0</v>
      </c>
      <c r="R1155" s="12">
        <f>_xlfn.XLOOKUP(B1155,[1]Sheet1!$B:$B,[1]Sheet1!$U:$U,0)</f>
        <v>0</v>
      </c>
      <c r="S1155" s="12">
        <f>_xlfn.XLOOKUP(B1155,[1]Sheet1!$B:$B,[1]Sheet1!$V:$V,0)</f>
        <v>140000</v>
      </c>
      <c r="T1155" s="12">
        <f>_xlfn.XLOOKUP(B1155,[1]Sheet1!$B:$B,[1]Sheet1!$W:$W,0)</f>
        <v>910000</v>
      </c>
      <c r="U1155" s="12">
        <f>_xlfn.XLOOKUP(B1155,[1]Sheet1!$B:$B,[1]Sheet1!$X:$X,0)</f>
        <v>110000</v>
      </c>
      <c r="V1155" s="12">
        <f>_xlfn.XLOOKUP(B1155,[1]Sheet1!$B:$B,[1]Sheet1!$Y:$Y,0)</f>
        <v>0</v>
      </c>
      <c r="W1155" s="12">
        <f t="shared" si="37"/>
        <v>1280000</v>
      </c>
      <c r="X1155" s="8" t="s">
        <v>749</v>
      </c>
      <c r="Y1155" s="8" t="s">
        <v>211</v>
      </c>
      <c r="Z1155" s="8" t="s">
        <v>745</v>
      </c>
      <c r="AA1155" s="8" t="s">
        <v>569</v>
      </c>
      <c r="AB1155" s="8" t="s">
        <v>36</v>
      </c>
      <c r="AC1155" s="8" t="s">
        <v>37</v>
      </c>
      <c r="AD1155" s="8" t="s">
        <v>214</v>
      </c>
      <c r="AE1155" s="8" t="s">
        <v>39</v>
      </c>
      <c r="AF1155" s="8" t="s">
        <v>40</v>
      </c>
      <c r="AG1155" s="9">
        <v>1280000</v>
      </c>
      <c r="AH1155" s="11">
        <f>_xlfn.XLOOKUP(B1155,[1]Sheet1!$B:$B,[1]Sheet1!$AB:$AB,0)</f>
        <v>1280000</v>
      </c>
    </row>
    <row r="1156" spans="2:34" ht="16.8" thickTop="1" thickBot="1" x14ac:dyDescent="0.35">
      <c r="B1156" s="3" t="str">
        <f t="shared" ref="B1156:B1219" si="38">C1156&amp;D1156&amp;F1156&amp;G1156&amp;H1156</f>
        <v>45151004511001474Design &amp; Build-L424221201931</v>
      </c>
      <c r="C1156" s="6" t="s">
        <v>746</v>
      </c>
      <c r="D1156" s="6" t="s">
        <v>1780</v>
      </c>
      <c r="E1156" s="6" t="s">
        <v>1781</v>
      </c>
      <c r="F1156" s="6" t="s">
        <v>1782</v>
      </c>
      <c r="G1156" s="4" t="s">
        <v>2824</v>
      </c>
      <c r="H1156" s="4" t="s">
        <v>2925</v>
      </c>
      <c r="I1156" s="6" t="s">
        <v>209</v>
      </c>
      <c r="J1156" s="6" t="s">
        <v>31</v>
      </c>
      <c r="K1156" s="12">
        <f>_xlfn.XLOOKUP(B1156,[1]Sheet1!$B:$B,[1]Sheet1!$N:$N,0)</f>
        <v>0</v>
      </c>
      <c r="L1156" s="12">
        <f>_xlfn.XLOOKUP(B1156,[1]Sheet1!$B:$B,[1]Sheet1!$O:$O,0)</f>
        <v>0</v>
      </c>
      <c r="M1156" s="12">
        <f>_xlfn.XLOOKUP(B1156,[1]Sheet1!$B:$B,[1]Sheet1!$P:$P,0)</f>
        <v>0</v>
      </c>
      <c r="N1156" s="12">
        <f>_xlfn.XLOOKUP(B1156,[1]Sheet1!$B:$B,[1]Sheet1!$Q:$Q,0)</f>
        <v>0</v>
      </c>
      <c r="O1156" s="12">
        <f>_xlfn.XLOOKUP(B1156,[1]Sheet1!$B:$B,[1]Sheet1!$R:$R,0)</f>
        <v>1213557.599999994</v>
      </c>
      <c r="P1156" s="12">
        <f>_xlfn.XLOOKUP(B1156,[1]Sheet1!$B:$B,[1]Sheet1!$S:$S,0)</f>
        <v>0</v>
      </c>
      <c r="Q1156" s="12">
        <f>_xlfn.XLOOKUP(B1156,[1]Sheet1!$B:$B,[1]Sheet1!$T:$T,0)</f>
        <v>0</v>
      </c>
      <c r="R1156" s="12">
        <f>_xlfn.XLOOKUP(B1156,[1]Sheet1!$B:$B,[1]Sheet1!$U:$U,0)</f>
        <v>0</v>
      </c>
      <c r="S1156" s="12">
        <f>_xlfn.XLOOKUP(B1156,[1]Sheet1!$B:$B,[1]Sheet1!$V:$V,0)</f>
        <v>0</v>
      </c>
      <c r="T1156" s="12">
        <f>_xlfn.XLOOKUP(B1156,[1]Sheet1!$B:$B,[1]Sheet1!$W:$W,0)</f>
        <v>0</v>
      </c>
      <c r="U1156" s="12">
        <f>_xlfn.XLOOKUP(B1156,[1]Sheet1!$B:$B,[1]Sheet1!$X:$X,0)</f>
        <v>0</v>
      </c>
      <c r="V1156" s="12">
        <f>_xlfn.XLOOKUP(B1156,[1]Sheet1!$B:$B,[1]Sheet1!$Y:$Y,0)</f>
        <v>0</v>
      </c>
      <c r="W1156" s="12">
        <f t="shared" ref="W1156:W1219" si="39">SUM(K1156:V1156)</f>
        <v>1213557.599999994</v>
      </c>
      <c r="X1156" s="6" t="s">
        <v>1783</v>
      </c>
      <c r="Y1156" s="6" t="s">
        <v>211</v>
      </c>
      <c r="Z1156" s="6" t="s">
        <v>745</v>
      </c>
      <c r="AA1156" s="6" t="s">
        <v>209</v>
      </c>
      <c r="AB1156" s="6" t="s">
        <v>327</v>
      </c>
      <c r="AC1156" s="6" t="s">
        <v>37</v>
      </c>
      <c r="AD1156" s="6" t="s">
        <v>214</v>
      </c>
      <c r="AE1156" s="6" t="s">
        <v>39</v>
      </c>
      <c r="AF1156" s="6" t="s">
        <v>40</v>
      </c>
      <c r="AG1156" s="7">
        <v>1213558</v>
      </c>
      <c r="AH1156" s="11">
        <f>_xlfn.XLOOKUP(B1156,[1]Sheet1!$B:$B,[1]Sheet1!$AB:$AB,0)</f>
        <v>1213557.599999994</v>
      </c>
    </row>
    <row r="1157" spans="2:34" ht="16.8" thickTop="1" thickBot="1" x14ac:dyDescent="0.35">
      <c r="B1157" s="3" t="str">
        <f t="shared" si="38"/>
        <v>45151004511001474Design &amp; Build-N424221200104</v>
      </c>
      <c r="C1157" s="8" t="s">
        <v>746</v>
      </c>
      <c r="D1157" s="8" t="s">
        <v>1780</v>
      </c>
      <c r="E1157" s="8" t="s">
        <v>1781</v>
      </c>
      <c r="F1157" s="8" t="s">
        <v>208</v>
      </c>
      <c r="G1157" s="4" t="s">
        <v>2824</v>
      </c>
      <c r="H1157" s="4" t="s">
        <v>2922</v>
      </c>
      <c r="I1157" s="8" t="s">
        <v>209</v>
      </c>
      <c r="J1157" s="8" t="s">
        <v>31</v>
      </c>
      <c r="K1157" s="12">
        <f>_xlfn.XLOOKUP(B1157,[1]Sheet1!$B:$B,[1]Sheet1!$N:$N,0)</f>
        <v>0</v>
      </c>
      <c r="L1157" s="12">
        <f>_xlfn.XLOOKUP(B1157,[1]Sheet1!$B:$B,[1]Sheet1!$O:$O,0)</f>
        <v>0</v>
      </c>
      <c r="M1157" s="12">
        <f>_xlfn.XLOOKUP(B1157,[1]Sheet1!$B:$B,[1]Sheet1!$P:$P,0)</f>
        <v>0</v>
      </c>
      <c r="N1157" s="12">
        <f>_xlfn.XLOOKUP(B1157,[1]Sheet1!$B:$B,[1]Sheet1!$Q:$Q,0)</f>
        <v>0</v>
      </c>
      <c r="O1157" s="12">
        <f>_xlfn.XLOOKUP(B1157,[1]Sheet1!$B:$B,[1]Sheet1!$R:$R,0)</f>
        <v>5437053.8600000059</v>
      </c>
      <c r="P1157" s="12">
        <f>_xlfn.XLOOKUP(B1157,[1]Sheet1!$B:$B,[1]Sheet1!$S:$S,0)</f>
        <v>0</v>
      </c>
      <c r="Q1157" s="12">
        <f>_xlfn.XLOOKUP(B1157,[1]Sheet1!$B:$B,[1]Sheet1!$T:$T,0)</f>
        <v>843650</v>
      </c>
      <c r="R1157" s="12">
        <f>_xlfn.XLOOKUP(B1157,[1]Sheet1!$B:$B,[1]Sheet1!$U:$U,0)</f>
        <v>5975734</v>
      </c>
      <c r="S1157" s="12">
        <f>_xlfn.XLOOKUP(B1157,[1]Sheet1!$B:$B,[1]Sheet1!$V:$V,0)</f>
        <v>0</v>
      </c>
      <c r="T1157" s="12">
        <f>_xlfn.XLOOKUP(B1157,[1]Sheet1!$B:$B,[1]Sheet1!$W:$W,0)</f>
        <v>0</v>
      </c>
      <c r="U1157" s="12">
        <f>_xlfn.XLOOKUP(B1157,[1]Sheet1!$B:$B,[1]Sheet1!$X:$X,0)</f>
        <v>0</v>
      </c>
      <c r="V1157" s="12">
        <f>_xlfn.XLOOKUP(B1157,[1]Sheet1!$B:$B,[1]Sheet1!$Y:$Y,0)</f>
        <v>0</v>
      </c>
      <c r="W1157" s="12">
        <f t="shared" si="39"/>
        <v>12256437.860000007</v>
      </c>
      <c r="X1157" s="8" t="s">
        <v>1784</v>
      </c>
      <c r="Y1157" s="8" t="s">
        <v>211</v>
      </c>
      <c r="Z1157" s="8" t="s">
        <v>745</v>
      </c>
      <c r="AA1157" s="8" t="s">
        <v>209</v>
      </c>
      <c r="AB1157" s="8" t="s">
        <v>36</v>
      </c>
      <c r="AC1157" s="8" t="s">
        <v>37</v>
      </c>
      <c r="AD1157" s="8" t="s">
        <v>214</v>
      </c>
      <c r="AE1157" s="8" t="s">
        <v>39</v>
      </c>
      <c r="AF1157" s="8" t="s">
        <v>40</v>
      </c>
      <c r="AG1157" s="9">
        <v>12256438</v>
      </c>
      <c r="AH1157" s="11">
        <f>_xlfn.XLOOKUP(B1157,[1]Sheet1!$B:$B,[1]Sheet1!$AB:$AB,0)</f>
        <v>12256437.860000007</v>
      </c>
    </row>
    <row r="1158" spans="2:34" ht="16.8" thickTop="1" thickBot="1" x14ac:dyDescent="0.35">
      <c r="B1158" s="3" t="str">
        <f t="shared" si="38"/>
        <v>45151004511001474Hospitality-N424761200104</v>
      </c>
      <c r="C1158" s="6" t="s">
        <v>746</v>
      </c>
      <c r="D1158" s="6" t="s">
        <v>1780</v>
      </c>
      <c r="E1158" s="6" t="s">
        <v>1781</v>
      </c>
      <c r="F1158" s="6" t="s">
        <v>83</v>
      </c>
      <c r="G1158" s="4" t="s">
        <v>2811</v>
      </c>
      <c r="H1158" s="4" t="s">
        <v>2922</v>
      </c>
      <c r="I1158" s="6" t="s">
        <v>84</v>
      </c>
      <c r="J1158" s="6" t="s">
        <v>31</v>
      </c>
      <c r="K1158" s="12">
        <f>_xlfn.XLOOKUP(B1158,[1]Sheet1!$B:$B,[1]Sheet1!$N:$N,0)</f>
        <v>0</v>
      </c>
      <c r="L1158" s="12">
        <f>_xlfn.XLOOKUP(B1158,[1]Sheet1!$B:$B,[1]Sheet1!$O:$O,0)</f>
        <v>0</v>
      </c>
      <c r="M1158" s="12">
        <f>_xlfn.XLOOKUP(B1158,[1]Sheet1!$B:$B,[1]Sheet1!$P:$P,0)</f>
        <v>0</v>
      </c>
      <c r="N1158" s="12">
        <f>_xlfn.XLOOKUP(B1158,[1]Sheet1!$B:$B,[1]Sheet1!$Q:$Q,0)</f>
        <v>200000</v>
      </c>
      <c r="O1158" s="12">
        <f>_xlfn.XLOOKUP(B1158,[1]Sheet1!$B:$B,[1]Sheet1!$R:$R,0)</f>
        <v>590000</v>
      </c>
      <c r="P1158" s="12">
        <f>_xlfn.XLOOKUP(B1158,[1]Sheet1!$B:$B,[1]Sheet1!$S:$S,0)</f>
        <v>0</v>
      </c>
      <c r="Q1158" s="12">
        <f>_xlfn.XLOOKUP(B1158,[1]Sheet1!$B:$B,[1]Sheet1!$T:$T,0)</f>
        <v>230000</v>
      </c>
      <c r="R1158" s="12">
        <f>_xlfn.XLOOKUP(B1158,[1]Sheet1!$B:$B,[1]Sheet1!$U:$U,0)</f>
        <v>800000</v>
      </c>
      <c r="S1158" s="12">
        <f>_xlfn.XLOOKUP(B1158,[1]Sheet1!$B:$B,[1]Sheet1!$V:$V,0)</f>
        <v>0</v>
      </c>
      <c r="T1158" s="12">
        <f>_xlfn.XLOOKUP(B1158,[1]Sheet1!$B:$B,[1]Sheet1!$W:$W,0)</f>
        <v>0</v>
      </c>
      <c r="U1158" s="12">
        <f>_xlfn.XLOOKUP(B1158,[1]Sheet1!$B:$B,[1]Sheet1!$X:$X,0)</f>
        <v>600000</v>
      </c>
      <c r="V1158" s="12">
        <f>_xlfn.XLOOKUP(B1158,[1]Sheet1!$B:$B,[1]Sheet1!$Y:$Y,0)</f>
        <v>70000</v>
      </c>
      <c r="W1158" s="12">
        <f t="shared" si="39"/>
        <v>2490000</v>
      </c>
      <c r="X1158" s="6" t="s">
        <v>1785</v>
      </c>
      <c r="Y1158" s="6" t="s">
        <v>211</v>
      </c>
      <c r="Z1158" s="6" t="s">
        <v>745</v>
      </c>
      <c r="AA1158" s="6" t="s">
        <v>84</v>
      </c>
      <c r="AB1158" s="6" t="s">
        <v>36</v>
      </c>
      <c r="AC1158" s="6" t="s">
        <v>37</v>
      </c>
      <c r="AD1158" s="6" t="s">
        <v>214</v>
      </c>
      <c r="AE1158" s="6" t="s">
        <v>39</v>
      </c>
      <c r="AF1158" s="6" t="s">
        <v>40</v>
      </c>
      <c r="AG1158" s="7">
        <v>2373000</v>
      </c>
      <c r="AH1158" s="11">
        <f>_xlfn.XLOOKUP(B1158,[1]Sheet1!$B:$B,[1]Sheet1!$AB:$AB,0)</f>
        <v>2373000</v>
      </c>
    </row>
    <row r="1159" spans="2:34" ht="16.8" thickTop="1" thickBot="1" x14ac:dyDescent="0.35">
      <c r="B1159" s="3" t="str">
        <f t="shared" si="38"/>
        <v>45151004511001474Mission &amp; Travel-N423821200104</v>
      </c>
      <c r="C1159" s="8" t="s">
        <v>746</v>
      </c>
      <c r="D1159" s="8" t="s">
        <v>1780</v>
      </c>
      <c r="E1159" s="8" t="s">
        <v>1781</v>
      </c>
      <c r="F1159" s="8" t="s">
        <v>54</v>
      </c>
      <c r="G1159" s="4" t="s">
        <v>2805</v>
      </c>
      <c r="H1159" s="4" t="s">
        <v>2922</v>
      </c>
      <c r="I1159" s="8" t="s">
        <v>55</v>
      </c>
      <c r="J1159" s="8" t="s">
        <v>31</v>
      </c>
      <c r="K1159" s="12">
        <f>_xlfn.XLOOKUP(B1159,[1]Sheet1!$B:$B,[1]Sheet1!$N:$N,0)</f>
        <v>0</v>
      </c>
      <c r="L1159" s="12">
        <f>_xlfn.XLOOKUP(B1159,[1]Sheet1!$B:$B,[1]Sheet1!$O:$O,0)</f>
        <v>0</v>
      </c>
      <c r="M1159" s="12">
        <f>_xlfn.XLOOKUP(B1159,[1]Sheet1!$B:$B,[1]Sheet1!$P:$P,0)</f>
        <v>101500</v>
      </c>
      <c r="N1159" s="12">
        <f>_xlfn.XLOOKUP(B1159,[1]Sheet1!$B:$B,[1]Sheet1!$Q:$Q,0)</f>
        <v>0</v>
      </c>
      <c r="O1159" s="12">
        <f>_xlfn.XLOOKUP(B1159,[1]Sheet1!$B:$B,[1]Sheet1!$R:$R,0)</f>
        <v>370000</v>
      </c>
      <c r="P1159" s="12">
        <f>_xlfn.XLOOKUP(B1159,[1]Sheet1!$B:$B,[1]Sheet1!$S:$S,0)</f>
        <v>92250</v>
      </c>
      <c r="Q1159" s="12">
        <f>_xlfn.XLOOKUP(B1159,[1]Sheet1!$B:$B,[1]Sheet1!$T:$T,0)</f>
        <v>150000</v>
      </c>
      <c r="R1159" s="12">
        <f>_xlfn.XLOOKUP(B1159,[1]Sheet1!$B:$B,[1]Sheet1!$U:$U,0)</f>
        <v>141000</v>
      </c>
      <c r="S1159" s="12">
        <f>_xlfn.XLOOKUP(B1159,[1]Sheet1!$B:$B,[1]Sheet1!$V:$V,0)</f>
        <v>0</v>
      </c>
      <c r="T1159" s="12">
        <f>_xlfn.XLOOKUP(B1159,[1]Sheet1!$B:$B,[1]Sheet1!$W:$W,0)</f>
        <v>0</v>
      </c>
      <c r="U1159" s="12">
        <f>_xlfn.XLOOKUP(B1159,[1]Sheet1!$B:$B,[1]Sheet1!$X:$X,0)</f>
        <v>360000</v>
      </c>
      <c r="V1159" s="12">
        <f>_xlfn.XLOOKUP(B1159,[1]Sheet1!$B:$B,[1]Sheet1!$Y:$Y,0)</f>
        <v>0</v>
      </c>
      <c r="W1159" s="12">
        <f t="shared" si="39"/>
        <v>1214750</v>
      </c>
      <c r="X1159" s="8" t="s">
        <v>753</v>
      </c>
      <c r="Y1159" s="8" t="s">
        <v>211</v>
      </c>
      <c r="Z1159" s="8" t="s">
        <v>745</v>
      </c>
      <c r="AA1159" s="8" t="s">
        <v>55</v>
      </c>
      <c r="AB1159" s="8" t="s">
        <v>36</v>
      </c>
      <c r="AC1159" s="8" t="s">
        <v>37</v>
      </c>
      <c r="AD1159" s="8" t="s">
        <v>214</v>
      </c>
      <c r="AE1159" s="8" t="s">
        <v>39</v>
      </c>
      <c r="AF1159" s="8" t="s">
        <v>40</v>
      </c>
      <c r="AG1159" s="9">
        <v>1214750</v>
      </c>
      <c r="AH1159" s="11">
        <f>_xlfn.XLOOKUP(B1159,[1]Sheet1!$B:$B,[1]Sheet1!$AB:$AB,0)</f>
        <v>1214750</v>
      </c>
    </row>
    <row r="1160" spans="2:34" ht="16.8" thickTop="1" thickBot="1" x14ac:dyDescent="0.35">
      <c r="B1160" s="3" t="str">
        <f t="shared" si="38"/>
        <v>45151004511001474Venue&amp;Room Rent-N422401200104</v>
      </c>
      <c r="C1160" s="6" t="s">
        <v>746</v>
      </c>
      <c r="D1160" s="6" t="s">
        <v>1780</v>
      </c>
      <c r="E1160" s="6" t="s">
        <v>1781</v>
      </c>
      <c r="F1160" s="6" t="s">
        <v>218</v>
      </c>
      <c r="G1160" s="4" t="s">
        <v>2807</v>
      </c>
      <c r="H1160" s="4" t="s">
        <v>2922</v>
      </c>
      <c r="I1160" s="6" t="s">
        <v>63</v>
      </c>
      <c r="J1160" s="6" t="s">
        <v>31</v>
      </c>
      <c r="K1160" s="12">
        <f>_xlfn.XLOOKUP(B1160,[1]Sheet1!$B:$B,[1]Sheet1!$N:$N,0)</f>
        <v>0</v>
      </c>
      <c r="L1160" s="12">
        <f>_xlfn.XLOOKUP(B1160,[1]Sheet1!$B:$B,[1]Sheet1!$O:$O,0)</f>
        <v>0</v>
      </c>
      <c r="M1160" s="12">
        <f>_xlfn.XLOOKUP(B1160,[1]Sheet1!$B:$B,[1]Sheet1!$P:$P,0)</f>
        <v>0</v>
      </c>
      <c r="N1160" s="12">
        <f>_xlfn.XLOOKUP(B1160,[1]Sheet1!$B:$B,[1]Sheet1!$Q:$Q,0)</f>
        <v>5130000</v>
      </c>
      <c r="O1160" s="12">
        <f>_xlfn.XLOOKUP(B1160,[1]Sheet1!$B:$B,[1]Sheet1!$R:$R,0)</f>
        <v>0</v>
      </c>
      <c r="P1160" s="12">
        <f>_xlfn.XLOOKUP(B1160,[1]Sheet1!$B:$B,[1]Sheet1!$S:$S,0)</f>
        <v>0</v>
      </c>
      <c r="Q1160" s="12">
        <f>_xlfn.XLOOKUP(B1160,[1]Sheet1!$B:$B,[1]Sheet1!$T:$T,0)</f>
        <v>0</v>
      </c>
      <c r="R1160" s="12">
        <f>_xlfn.XLOOKUP(B1160,[1]Sheet1!$B:$B,[1]Sheet1!$U:$U,0)</f>
        <v>2700000</v>
      </c>
      <c r="S1160" s="12">
        <f>_xlfn.XLOOKUP(B1160,[1]Sheet1!$B:$B,[1]Sheet1!$V:$V,0)</f>
        <v>0</v>
      </c>
      <c r="T1160" s="12">
        <f>_xlfn.XLOOKUP(B1160,[1]Sheet1!$B:$B,[1]Sheet1!$W:$W,0)</f>
        <v>0</v>
      </c>
      <c r="U1160" s="12">
        <f>_xlfn.XLOOKUP(B1160,[1]Sheet1!$B:$B,[1]Sheet1!$X:$X,0)</f>
        <v>2560000</v>
      </c>
      <c r="V1160" s="12">
        <f>_xlfn.XLOOKUP(B1160,[1]Sheet1!$B:$B,[1]Sheet1!$Y:$Y,0)</f>
        <v>0</v>
      </c>
      <c r="W1160" s="12">
        <f t="shared" si="39"/>
        <v>10390000</v>
      </c>
      <c r="X1160" s="6" t="s">
        <v>1786</v>
      </c>
      <c r="Y1160" s="6" t="s">
        <v>211</v>
      </c>
      <c r="Z1160" s="6" t="s">
        <v>745</v>
      </c>
      <c r="AA1160" s="6" t="s">
        <v>68</v>
      </c>
      <c r="AB1160" s="6" t="s">
        <v>36</v>
      </c>
      <c r="AC1160" s="6" t="s">
        <v>37</v>
      </c>
      <c r="AD1160" s="6" t="s">
        <v>214</v>
      </c>
      <c r="AE1160" s="6" t="s">
        <v>39</v>
      </c>
      <c r="AF1160" s="6" t="s">
        <v>40</v>
      </c>
      <c r="AG1160" s="7">
        <v>10390000</v>
      </c>
      <c r="AH1160" s="11">
        <f>_xlfn.XLOOKUP(B1160,[1]Sheet1!$B:$B,[1]Sheet1!$AB:$AB,0)</f>
        <v>10390000</v>
      </c>
    </row>
    <row r="1161" spans="2:34" ht="16.8" thickTop="1" thickBot="1" x14ac:dyDescent="0.35">
      <c r="B1161" s="3" t="str">
        <f t="shared" si="38"/>
        <v>45151004511001475Admin Expenses-N421125200104</v>
      </c>
      <c r="C1161" s="8" t="s">
        <v>746</v>
      </c>
      <c r="D1161" s="8" t="s">
        <v>1787</v>
      </c>
      <c r="E1161" s="8" t="s">
        <v>1788</v>
      </c>
      <c r="F1161" s="8" t="s">
        <v>130</v>
      </c>
      <c r="G1161" s="4" t="s">
        <v>2803</v>
      </c>
      <c r="H1161" s="4" t="s">
        <v>2922</v>
      </c>
      <c r="I1161" s="8" t="s">
        <v>44</v>
      </c>
      <c r="J1161" s="8" t="s">
        <v>31</v>
      </c>
      <c r="K1161" s="12">
        <f>_xlfn.XLOOKUP(B1161,[1]Sheet1!$B:$B,[1]Sheet1!$N:$N,0)</f>
        <v>0</v>
      </c>
      <c r="L1161" s="12">
        <f>_xlfn.XLOOKUP(B1161,[1]Sheet1!$B:$B,[1]Sheet1!$O:$O,0)</f>
        <v>0</v>
      </c>
      <c r="M1161" s="12">
        <f>_xlfn.XLOOKUP(B1161,[1]Sheet1!$B:$B,[1]Sheet1!$P:$P,0)</f>
        <v>0</v>
      </c>
      <c r="N1161" s="12">
        <f>_xlfn.XLOOKUP(B1161,[1]Sheet1!$B:$B,[1]Sheet1!$Q:$Q,0)</f>
        <v>82500</v>
      </c>
      <c r="O1161" s="12">
        <f>_xlfn.XLOOKUP(B1161,[1]Sheet1!$B:$B,[1]Sheet1!$R:$R,0)</f>
        <v>50000</v>
      </c>
      <c r="P1161" s="12">
        <f>_xlfn.XLOOKUP(B1161,[1]Sheet1!$B:$B,[1]Sheet1!$S:$S,0)</f>
        <v>27500</v>
      </c>
      <c r="Q1161" s="12">
        <f>_xlfn.XLOOKUP(B1161,[1]Sheet1!$B:$B,[1]Sheet1!$T:$T,0)</f>
        <v>125000</v>
      </c>
      <c r="R1161" s="12">
        <f>_xlfn.XLOOKUP(B1161,[1]Sheet1!$B:$B,[1]Sheet1!$U:$U,0)</f>
        <v>25000</v>
      </c>
      <c r="S1161" s="12">
        <f>_xlfn.XLOOKUP(B1161,[1]Sheet1!$B:$B,[1]Sheet1!$V:$V,0)</f>
        <v>77500</v>
      </c>
      <c r="T1161" s="12">
        <f>_xlfn.XLOOKUP(B1161,[1]Sheet1!$B:$B,[1]Sheet1!$W:$W,0)</f>
        <v>60000</v>
      </c>
      <c r="U1161" s="12">
        <f>_xlfn.XLOOKUP(B1161,[1]Sheet1!$B:$B,[1]Sheet1!$X:$X,0)</f>
        <v>27500</v>
      </c>
      <c r="V1161" s="12">
        <f>_xlfn.XLOOKUP(B1161,[1]Sheet1!$B:$B,[1]Sheet1!$Y:$Y,0)</f>
        <v>0</v>
      </c>
      <c r="W1161" s="12">
        <f t="shared" si="39"/>
        <v>475000</v>
      </c>
      <c r="X1161" s="8" t="s">
        <v>744</v>
      </c>
      <c r="Y1161" s="8" t="s">
        <v>211</v>
      </c>
      <c r="Z1161" s="8" t="s">
        <v>745</v>
      </c>
      <c r="AA1161" s="8" t="s">
        <v>44</v>
      </c>
      <c r="AB1161" s="8" t="s">
        <v>36</v>
      </c>
      <c r="AC1161" s="8" t="s">
        <v>37</v>
      </c>
      <c r="AD1161" s="8" t="s">
        <v>214</v>
      </c>
      <c r="AE1161" s="8" t="s">
        <v>39</v>
      </c>
      <c r="AF1161" s="8" t="s">
        <v>40</v>
      </c>
      <c r="AG1161" s="9">
        <v>475000</v>
      </c>
      <c r="AH1161" s="11">
        <f>_xlfn.XLOOKUP(B1161,[1]Sheet1!$B:$B,[1]Sheet1!$AB:$AB,0)</f>
        <v>475000</v>
      </c>
    </row>
    <row r="1162" spans="2:34" ht="16.8" thickTop="1" thickBot="1" x14ac:dyDescent="0.35">
      <c r="B1162" s="3" t="str">
        <f t="shared" si="38"/>
        <v>45151004511001475GSA Retainer-N421125200104</v>
      </c>
      <c r="C1162" s="6" t="s">
        <v>746</v>
      </c>
      <c r="D1162" s="6" t="s">
        <v>1787</v>
      </c>
      <c r="E1162" s="6" t="s">
        <v>1788</v>
      </c>
      <c r="F1162" s="6" t="s">
        <v>1775</v>
      </c>
      <c r="G1162" s="4" t="s">
        <v>2803</v>
      </c>
      <c r="H1162" s="4" t="s">
        <v>2922</v>
      </c>
      <c r="I1162" s="6" t="s">
        <v>44</v>
      </c>
      <c r="J1162" s="6" t="s">
        <v>31</v>
      </c>
      <c r="K1162" s="12">
        <f>_xlfn.XLOOKUP(B1162,[1]Sheet1!$B:$B,[1]Sheet1!$N:$N,0)</f>
        <v>0</v>
      </c>
      <c r="L1162" s="12">
        <f>_xlfn.XLOOKUP(B1162,[1]Sheet1!$B:$B,[1]Sheet1!$O:$O,0)</f>
        <v>0</v>
      </c>
      <c r="M1162" s="12">
        <f>_xlfn.XLOOKUP(B1162,[1]Sheet1!$B:$B,[1]Sheet1!$P:$P,0)</f>
        <v>467515.08675000002</v>
      </c>
      <c r="N1162" s="12">
        <f>_xlfn.XLOOKUP(B1162,[1]Sheet1!$B:$B,[1]Sheet1!$Q:$Q,0)</f>
        <v>283772.54618999991</v>
      </c>
      <c r="O1162" s="12">
        <f>_xlfn.XLOOKUP(B1162,[1]Sheet1!$B:$B,[1]Sheet1!$R:$R,0)</f>
        <v>187821.90823499998</v>
      </c>
      <c r="P1162" s="12">
        <f>_xlfn.XLOOKUP(B1162,[1]Sheet1!$B:$B,[1]Sheet1!$S:$S,0)</f>
        <v>207621.90823499998</v>
      </c>
      <c r="Q1162" s="12">
        <f>_xlfn.XLOOKUP(B1162,[1]Sheet1!$B:$B,[1]Sheet1!$T:$T,0)</f>
        <v>187821.90823499998</v>
      </c>
      <c r="R1162" s="12">
        <f>_xlfn.XLOOKUP(B1162,[1]Sheet1!$B:$B,[1]Sheet1!$U:$U,0)</f>
        <v>187821.90823499998</v>
      </c>
      <c r="S1162" s="12">
        <f>_xlfn.XLOOKUP(B1162,[1]Sheet1!$B:$B,[1]Sheet1!$V:$V,0)</f>
        <v>187821.90823499998</v>
      </c>
      <c r="T1162" s="12">
        <f>_xlfn.XLOOKUP(B1162,[1]Sheet1!$B:$B,[1]Sheet1!$W:$W,0)</f>
        <v>187821.90823499998</v>
      </c>
      <c r="U1162" s="12">
        <f>_xlfn.XLOOKUP(B1162,[1]Sheet1!$B:$B,[1]Sheet1!$X:$X,0)</f>
        <v>187821.90823499998</v>
      </c>
      <c r="V1162" s="12">
        <f>_xlfn.XLOOKUP(B1162,[1]Sheet1!$B:$B,[1]Sheet1!$Y:$Y,0)</f>
        <v>445031.00941500033</v>
      </c>
      <c r="W1162" s="12">
        <f t="shared" si="39"/>
        <v>2530872</v>
      </c>
      <c r="X1162" s="6" t="s">
        <v>744</v>
      </c>
      <c r="Y1162" s="6" t="s">
        <v>211</v>
      </c>
      <c r="Z1162" s="6" t="s">
        <v>745</v>
      </c>
      <c r="AA1162" s="6" t="s">
        <v>44</v>
      </c>
      <c r="AB1162" s="6" t="s">
        <v>36</v>
      </c>
      <c r="AC1162" s="6" t="s">
        <v>37</v>
      </c>
      <c r="AD1162" s="6" t="s">
        <v>214</v>
      </c>
      <c r="AE1162" s="6" t="s">
        <v>39</v>
      </c>
      <c r="AF1162" s="6" t="s">
        <v>40</v>
      </c>
      <c r="AG1162" s="7">
        <v>2530872</v>
      </c>
      <c r="AH1162" s="11">
        <f>_xlfn.XLOOKUP(B1162,[1]Sheet1!$B:$B,[1]Sheet1!$AB:$AB,0)</f>
        <v>2530872</v>
      </c>
    </row>
    <row r="1163" spans="2:34" ht="16.8" thickTop="1" thickBot="1" x14ac:dyDescent="0.35">
      <c r="B1163" s="3" t="str">
        <f t="shared" si="38"/>
        <v>45151004511001475Trade Partners-L424251201931</v>
      </c>
      <c r="C1163" s="8" t="s">
        <v>746</v>
      </c>
      <c r="D1163" s="8" t="s">
        <v>1787</v>
      </c>
      <c r="E1163" s="8" t="s">
        <v>1788</v>
      </c>
      <c r="F1163" s="8" t="s">
        <v>568</v>
      </c>
      <c r="G1163" s="4" t="s">
        <v>2852</v>
      </c>
      <c r="H1163" s="4" t="s">
        <v>2925</v>
      </c>
      <c r="I1163" s="8" t="s">
        <v>569</v>
      </c>
      <c r="J1163" s="8" t="s">
        <v>31</v>
      </c>
      <c r="K1163" s="12">
        <f>_xlfn.XLOOKUP(B1163,[1]Sheet1!$B:$B,[1]Sheet1!$N:$N,0)</f>
        <v>0</v>
      </c>
      <c r="L1163" s="12">
        <f>_xlfn.XLOOKUP(B1163,[1]Sheet1!$B:$B,[1]Sheet1!$O:$O,0)</f>
        <v>0</v>
      </c>
      <c r="M1163" s="12">
        <f>_xlfn.XLOOKUP(B1163,[1]Sheet1!$B:$B,[1]Sheet1!$P:$P,0)</f>
        <v>0</v>
      </c>
      <c r="N1163" s="12">
        <f>_xlfn.XLOOKUP(B1163,[1]Sheet1!$B:$B,[1]Sheet1!$Q:$Q,0)</f>
        <v>0</v>
      </c>
      <c r="O1163" s="12">
        <f>_xlfn.XLOOKUP(B1163,[1]Sheet1!$B:$B,[1]Sheet1!$R:$R,0)</f>
        <v>0</v>
      </c>
      <c r="P1163" s="12">
        <f>_xlfn.XLOOKUP(B1163,[1]Sheet1!$B:$B,[1]Sheet1!$S:$S,0)</f>
        <v>1389329.2999999998</v>
      </c>
      <c r="Q1163" s="12">
        <f>_xlfn.XLOOKUP(B1163,[1]Sheet1!$B:$B,[1]Sheet1!$T:$T,0)</f>
        <v>2663333</v>
      </c>
      <c r="R1163" s="12">
        <f>_xlfn.XLOOKUP(B1163,[1]Sheet1!$B:$B,[1]Sheet1!$U:$U,0)</f>
        <v>678000</v>
      </c>
      <c r="S1163" s="12">
        <f>_xlfn.XLOOKUP(B1163,[1]Sheet1!$B:$B,[1]Sheet1!$V:$V,0)</f>
        <v>348500</v>
      </c>
      <c r="T1163" s="12">
        <f>_xlfn.XLOOKUP(B1163,[1]Sheet1!$B:$B,[1]Sheet1!$W:$W,0)</f>
        <v>1075000</v>
      </c>
      <c r="U1163" s="12">
        <f>_xlfn.XLOOKUP(B1163,[1]Sheet1!$B:$B,[1]Sheet1!$X:$X,0)</f>
        <v>0</v>
      </c>
      <c r="V1163" s="12">
        <f>_xlfn.XLOOKUP(B1163,[1]Sheet1!$B:$B,[1]Sheet1!$Y:$Y,0)</f>
        <v>0</v>
      </c>
      <c r="W1163" s="12">
        <f t="shared" si="39"/>
        <v>6154162.2999999998</v>
      </c>
      <c r="X1163" s="8" t="s">
        <v>747</v>
      </c>
      <c r="Y1163" s="8" t="s">
        <v>211</v>
      </c>
      <c r="Z1163" s="8" t="s">
        <v>745</v>
      </c>
      <c r="AA1163" s="8" t="s">
        <v>569</v>
      </c>
      <c r="AB1163" s="8" t="s">
        <v>327</v>
      </c>
      <c r="AC1163" s="8" t="s">
        <v>37</v>
      </c>
      <c r="AD1163" s="8" t="s">
        <v>214</v>
      </c>
      <c r="AE1163" s="8" t="s">
        <v>39</v>
      </c>
      <c r="AF1163" s="8" t="s">
        <v>40</v>
      </c>
      <c r="AG1163" s="9">
        <v>5958257</v>
      </c>
      <c r="AH1163" s="11">
        <f>_xlfn.XLOOKUP(B1163,[1]Sheet1!$B:$B,[1]Sheet1!$AB:$AB,0)</f>
        <v>5958257</v>
      </c>
    </row>
    <row r="1164" spans="2:34" ht="16.8" thickTop="1" thickBot="1" x14ac:dyDescent="0.35">
      <c r="B1164" s="3" t="str">
        <f t="shared" si="38"/>
        <v>45151004511001475Trade Promotion-N424251200104</v>
      </c>
      <c r="C1164" s="6" t="s">
        <v>746</v>
      </c>
      <c r="D1164" s="6" t="s">
        <v>1787</v>
      </c>
      <c r="E1164" s="6" t="s">
        <v>1788</v>
      </c>
      <c r="F1164" s="6" t="s">
        <v>748</v>
      </c>
      <c r="G1164" s="4" t="s">
        <v>2852</v>
      </c>
      <c r="H1164" s="4" t="s">
        <v>2922</v>
      </c>
      <c r="I1164" s="6" t="s">
        <v>569</v>
      </c>
      <c r="J1164" s="6" t="s">
        <v>31</v>
      </c>
      <c r="K1164" s="12">
        <f>_xlfn.XLOOKUP(B1164,[1]Sheet1!$B:$B,[1]Sheet1!$N:$N,0)</f>
        <v>0</v>
      </c>
      <c r="L1164" s="12">
        <f>_xlfn.XLOOKUP(B1164,[1]Sheet1!$B:$B,[1]Sheet1!$O:$O,0)</f>
        <v>0</v>
      </c>
      <c r="M1164" s="12">
        <f>_xlfn.XLOOKUP(B1164,[1]Sheet1!$B:$B,[1]Sheet1!$P:$P,0)</f>
        <v>0</v>
      </c>
      <c r="N1164" s="12">
        <f>_xlfn.XLOOKUP(B1164,[1]Sheet1!$B:$B,[1]Sheet1!$Q:$Q,0)</f>
        <v>320095</v>
      </c>
      <c r="O1164" s="12">
        <f>_xlfn.XLOOKUP(B1164,[1]Sheet1!$B:$B,[1]Sheet1!$R:$R,0)</f>
        <v>968500</v>
      </c>
      <c r="P1164" s="12">
        <f>_xlfn.XLOOKUP(B1164,[1]Sheet1!$B:$B,[1]Sheet1!$S:$S,0)</f>
        <v>90000</v>
      </c>
      <c r="Q1164" s="12">
        <f>_xlfn.XLOOKUP(B1164,[1]Sheet1!$B:$B,[1]Sheet1!$T:$T,0)</f>
        <v>924065</v>
      </c>
      <c r="R1164" s="12">
        <f>_xlfn.XLOOKUP(B1164,[1]Sheet1!$B:$B,[1]Sheet1!$U:$U,0)</f>
        <v>225000</v>
      </c>
      <c r="S1164" s="12">
        <f>_xlfn.XLOOKUP(B1164,[1]Sheet1!$B:$B,[1]Sheet1!$V:$V,0)</f>
        <v>20000</v>
      </c>
      <c r="T1164" s="12">
        <f>_xlfn.XLOOKUP(B1164,[1]Sheet1!$B:$B,[1]Sheet1!$W:$W,0)</f>
        <v>301600</v>
      </c>
      <c r="U1164" s="12">
        <f>_xlfn.XLOOKUP(B1164,[1]Sheet1!$B:$B,[1]Sheet1!$X:$X,0)</f>
        <v>425190</v>
      </c>
      <c r="V1164" s="12">
        <f>_xlfn.XLOOKUP(B1164,[1]Sheet1!$B:$B,[1]Sheet1!$Y:$Y,0)</f>
        <v>35935</v>
      </c>
      <c r="W1164" s="12">
        <f t="shared" si="39"/>
        <v>3310385</v>
      </c>
      <c r="X1164" s="6" t="s">
        <v>749</v>
      </c>
      <c r="Y1164" s="6" t="s">
        <v>211</v>
      </c>
      <c r="Z1164" s="6" t="s">
        <v>745</v>
      </c>
      <c r="AA1164" s="6" t="s">
        <v>569</v>
      </c>
      <c r="AB1164" s="6" t="s">
        <v>36</v>
      </c>
      <c r="AC1164" s="6" t="s">
        <v>37</v>
      </c>
      <c r="AD1164" s="6" t="s">
        <v>214</v>
      </c>
      <c r="AE1164" s="6" t="s">
        <v>39</v>
      </c>
      <c r="AF1164" s="6" t="s">
        <v>40</v>
      </c>
      <c r="AG1164" s="7">
        <v>3310385</v>
      </c>
      <c r="AH1164" s="11">
        <f>_xlfn.XLOOKUP(B1164,[1]Sheet1!$B:$B,[1]Sheet1!$AB:$AB,0)</f>
        <v>3310385</v>
      </c>
    </row>
    <row r="1165" spans="2:34" ht="16.8" thickTop="1" thickBot="1" x14ac:dyDescent="0.35">
      <c r="B1165" s="3" t="str">
        <f t="shared" si="38"/>
        <v>45151004511001476Admin Expenses-N421125200104</v>
      </c>
      <c r="C1165" s="8" t="s">
        <v>746</v>
      </c>
      <c r="D1165" s="8" t="s">
        <v>1789</v>
      </c>
      <c r="E1165" s="8" t="s">
        <v>1790</v>
      </c>
      <c r="F1165" s="8" t="s">
        <v>130</v>
      </c>
      <c r="G1165" s="4" t="s">
        <v>2803</v>
      </c>
      <c r="H1165" s="4" t="s">
        <v>2922</v>
      </c>
      <c r="I1165" s="8" t="s">
        <v>44</v>
      </c>
      <c r="J1165" s="8" t="s">
        <v>31</v>
      </c>
      <c r="K1165" s="12">
        <f>_xlfn.XLOOKUP(B1165,[1]Sheet1!$B:$B,[1]Sheet1!$N:$N,0)</f>
        <v>0</v>
      </c>
      <c r="L1165" s="12">
        <f>_xlfn.XLOOKUP(B1165,[1]Sheet1!$B:$B,[1]Sheet1!$O:$O,0)</f>
        <v>0</v>
      </c>
      <c r="M1165" s="12">
        <f>_xlfn.XLOOKUP(B1165,[1]Sheet1!$B:$B,[1]Sheet1!$P:$P,0)</f>
        <v>0</v>
      </c>
      <c r="N1165" s="12">
        <f>_xlfn.XLOOKUP(B1165,[1]Sheet1!$B:$B,[1]Sheet1!$Q:$Q,0)</f>
        <v>0</v>
      </c>
      <c r="O1165" s="12">
        <f>_xlfn.XLOOKUP(B1165,[1]Sheet1!$B:$B,[1]Sheet1!$R:$R,0)</f>
        <v>0</v>
      </c>
      <c r="P1165" s="12">
        <f>_xlfn.XLOOKUP(B1165,[1]Sheet1!$B:$B,[1]Sheet1!$S:$S,0)</f>
        <v>0</v>
      </c>
      <c r="Q1165" s="12">
        <f>_xlfn.XLOOKUP(B1165,[1]Sheet1!$B:$B,[1]Sheet1!$T:$T,0)</f>
        <v>10000</v>
      </c>
      <c r="R1165" s="12">
        <f>_xlfn.XLOOKUP(B1165,[1]Sheet1!$B:$B,[1]Sheet1!$U:$U,0)</f>
        <v>0</v>
      </c>
      <c r="S1165" s="12">
        <f>_xlfn.XLOOKUP(B1165,[1]Sheet1!$B:$B,[1]Sheet1!$V:$V,0)</f>
        <v>0</v>
      </c>
      <c r="T1165" s="12">
        <f>_xlfn.XLOOKUP(B1165,[1]Sheet1!$B:$B,[1]Sheet1!$W:$W,0)</f>
        <v>0</v>
      </c>
      <c r="U1165" s="12">
        <f>_xlfn.XLOOKUP(B1165,[1]Sheet1!$B:$B,[1]Sheet1!$X:$X,0)</f>
        <v>0</v>
      </c>
      <c r="V1165" s="12">
        <f>_xlfn.XLOOKUP(B1165,[1]Sheet1!$B:$B,[1]Sheet1!$Y:$Y,0)</f>
        <v>0</v>
      </c>
      <c r="W1165" s="12">
        <f t="shared" si="39"/>
        <v>10000</v>
      </c>
      <c r="X1165" s="8" t="s">
        <v>744</v>
      </c>
      <c r="Y1165" s="8" t="s">
        <v>211</v>
      </c>
      <c r="Z1165" s="8" t="s">
        <v>745</v>
      </c>
      <c r="AA1165" s="8" t="s">
        <v>44</v>
      </c>
      <c r="AB1165" s="8" t="s">
        <v>36</v>
      </c>
      <c r="AC1165" s="8" t="s">
        <v>37</v>
      </c>
      <c r="AD1165" s="8" t="s">
        <v>214</v>
      </c>
      <c r="AE1165" s="8" t="s">
        <v>39</v>
      </c>
      <c r="AF1165" s="8" t="s">
        <v>40</v>
      </c>
      <c r="AG1165" s="9">
        <v>10000</v>
      </c>
      <c r="AH1165" s="11">
        <f>_xlfn.XLOOKUP(B1165,[1]Sheet1!$B:$B,[1]Sheet1!$AB:$AB,0)</f>
        <v>10000</v>
      </c>
    </row>
    <row r="1166" spans="2:34" ht="16.8" thickTop="1" thickBot="1" x14ac:dyDescent="0.35">
      <c r="B1166" s="3" t="str">
        <f t="shared" si="38"/>
        <v>45151004511001476GSA Retainer-N421125200104</v>
      </c>
      <c r="C1166" s="6" t="s">
        <v>746</v>
      </c>
      <c r="D1166" s="6" t="s">
        <v>1789</v>
      </c>
      <c r="E1166" s="6" t="s">
        <v>1790</v>
      </c>
      <c r="F1166" s="6" t="s">
        <v>1775</v>
      </c>
      <c r="G1166" s="4" t="s">
        <v>2803</v>
      </c>
      <c r="H1166" s="4" t="s">
        <v>2922</v>
      </c>
      <c r="I1166" s="6" t="s">
        <v>44</v>
      </c>
      <c r="J1166" s="6" t="s">
        <v>31</v>
      </c>
      <c r="K1166" s="12">
        <f>_xlfn.XLOOKUP(B1166,[1]Sheet1!$B:$B,[1]Sheet1!$N:$N,0)</f>
        <v>0</v>
      </c>
      <c r="L1166" s="12">
        <f>_xlfn.XLOOKUP(B1166,[1]Sheet1!$B:$B,[1]Sheet1!$O:$O,0)</f>
        <v>0</v>
      </c>
      <c r="M1166" s="12">
        <f>_xlfn.XLOOKUP(B1166,[1]Sheet1!$B:$B,[1]Sheet1!$P:$P,0)</f>
        <v>273161.58999999997</v>
      </c>
      <c r="N1166" s="12">
        <f>_xlfn.XLOOKUP(B1166,[1]Sheet1!$B:$B,[1]Sheet1!$Q:$Q,0)</f>
        <v>362853.17562500003</v>
      </c>
      <c r="O1166" s="12">
        <f>_xlfn.XLOOKUP(B1166,[1]Sheet1!$B:$B,[1]Sheet1!$R:$R,0)</f>
        <v>157500.703125</v>
      </c>
      <c r="P1166" s="12">
        <f>_xlfn.XLOOKUP(B1166,[1]Sheet1!$B:$B,[1]Sheet1!$S:$S,0)</f>
        <v>210000.9375</v>
      </c>
      <c r="Q1166" s="12">
        <f>_xlfn.XLOOKUP(B1166,[1]Sheet1!$B:$B,[1]Sheet1!$T:$T,0)</f>
        <v>157500.703125</v>
      </c>
      <c r="R1166" s="12">
        <f>_xlfn.XLOOKUP(B1166,[1]Sheet1!$B:$B,[1]Sheet1!$U:$U,0)</f>
        <v>157500.703125</v>
      </c>
      <c r="S1166" s="12">
        <f>_xlfn.XLOOKUP(B1166,[1]Sheet1!$B:$B,[1]Sheet1!$V:$V,0)</f>
        <v>210000.9375</v>
      </c>
      <c r="T1166" s="12">
        <f>_xlfn.XLOOKUP(B1166,[1]Sheet1!$B:$B,[1]Sheet1!$W:$W,0)</f>
        <v>157500.703125</v>
      </c>
      <c r="U1166" s="12">
        <f>_xlfn.XLOOKUP(B1166,[1]Sheet1!$B:$B,[1]Sheet1!$X:$X,0)</f>
        <v>157500.703125</v>
      </c>
      <c r="V1166" s="12">
        <f>_xlfn.XLOOKUP(B1166,[1]Sheet1!$B:$B,[1]Sheet1!$Y:$Y,0)</f>
        <v>256497.84375</v>
      </c>
      <c r="W1166" s="12">
        <f t="shared" si="39"/>
        <v>2100018</v>
      </c>
      <c r="X1166" s="6" t="s">
        <v>744</v>
      </c>
      <c r="Y1166" s="6" t="s">
        <v>211</v>
      </c>
      <c r="Z1166" s="6" t="s">
        <v>745</v>
      </c>
      <c r="AA1166" s="6" t="s">
        <v>44</v>
      </c>
      <c r="AB1166" s="6" t="s">
        <v>36</v>
      </c>
      <c r="AC1166" s="6" t="s">
        <v>37</v>
      </c>
      <c r="AD1166" s="6" t="s">
        <v>214</v>
      </c>
      <c r="AE1166" s="6" t="s">
        <v>39</v>
      </c>
      <c r="AF1166" s="6" t="s">
        <v>40</v>
      </c>
      <c r="AG1166" s="7">
        <v>2100018</v>
      </c>
      <c r="AH1166" s="11">
        <f>_xlfn.XLOOKUP(B1166,[1]Sheet1!$B:$B,[1]Sheet1!$AB:$AB,0)</f>
        <v>2100018</v>
      </c>
    </row>
    <row r="1167" spans="2:34" ht="16.8" thickTop="1" thickBot="1" x14ac:dyDescent="0.35">
      <c r="B1167" s="3" t="str">
        <f t="shared" si="38"/>
        <v>45151004511001476Trade Partners-L424251201931</v>
      </c>
      <c r="C1167" s="8" t="s">
        <v>746</v>
      </c>
      <c r="D1167" s="8" t="s">
        <v>1789</v>
      </c>
      <c r="E1167" s="8" t="s">
        <v>1790</v>
      </c>
      <c r="F1167" s="8" t="s">
        <v>568</v>
      </c>
      <c r="G1167" s="4" t="s">
        <v>2852</v>
      </c>
      <c r="H1167" s="4" t="s">
        <v>2925</v>
      </c>
      <c r="I1167" s="8" t="s">
        <v>569</v>
      </c>
      <c r="J1167" s="8" t="s">
        <v>31</v>
      </c>
      <c r="K1167" s="12">
        <f>_xlfn.XLOOKUP(B1167,[1]Sheet1!$B:$B,[1]Sheet1!$N:$N,0)</f>
        <v>0</v>
      </c>
      <c r="L1167" s="12">
        <f>_xlfn.XLOOKUP(B1167,[1]Sheet1!$B:$B,[1]Sheet1!$O:$O,0)</f>
        <v>0</v>
      </c>
      <c r="M1167" s="12">
        <f>_xlfn.XLOOKUP(B1167,[1]Sheet1!$B:$B,[1]Sheet1!$P:$P,0)</f>
        <v>0</v>
      </c>
      <c r="N1167" s="12">
        <f>_xlfn.XLOOKUP(B1167,[1]Sheet1!$B:$B,[1]Sheet1!$Q:$Q,0)</f>
        <v>0</v>
      </c>
      <c r="O1167" s="12">
        <f>_xlfn.XLOOKUP(B1167,[1]Sheet1!$B:$B,[1]Sheet1!$R:$R,0)</f>
        <v>396800</v>
      </c>
      <c r="P1167" s="12">
        <f>_xlfn.XLOOKUP(B1167,[1]Sheet1!$B:$B,[1]Sheet1!$S:$S,0)</f>
        <v>214400</v>
      </c>
      <c r="Q1167" s="12">
        <f>_xlfn.XLOOKUP(B1167,[1]Sheet1!$B:$B,[1]Sheet1!$T:$T,0)</f>
        <v>884315</v>
      </c>
      <c r="R1167" s="12">
        <f>_xlfn.XLOOKUP(B1167,[1]Sheet1!$B:$B,[1]Sheet1!$U:$U,0)</f>
        <v>405900</v>
      </c>
      <c r="S1167" s="12">
        <f>_xlfn.XLOOKUP(B1167,[1]Sheet1!$B:$B,[1]Sheet1!$V:$V,0)</f>
        <v>350000</v>
      </c>
      <c r="T1167" s="12">
        <f>_xlfn.XLOOKUP(B1167,[1]Sheet1!$B:$B,[1]Sheet1!$W:$W,0)</f>
        <v>0</v>
      </c>
      <c r="U1167" s="12">
        <f>_xlfn.XLOOKUP(B1167,[1]Sheet1!$B:$B,[1]Sheet1!$X:$X,0)</f>
        <v>0</v>
      </c>
      <c r="V1167" s="12">
        <f>_xlfn.XLOOKUP(B1167,[1]Sheet1!$B:$B,[1]Sheet1!$Y:$Y,0)</f>
        <v>0</v>
      </c>
      <c r="W1167" s="12">
        <f t="shared" si="39"/>
        <v>2251415</v>
      </c>
      <c r="X1167" s="8" t="s">
        <v>747</v>
      </c>
      <c r="Y1167" s="8" t="s">
        <v>211</v>
      </c>
      <c r="Z1167" s="8" t="s">
        <v>745</v>
      </c>
      <c r="AA1167" s="8" t="s">
        <v>569</v>
      </c>
      <c r="AB1167" s="8" t="s">
        <v>327</v>
      </c>
      <c r="AC1167" s="8" t="s">
        <v>37</v>
      </c>
      <c r="AD1167" s="8" t="s">
        <v>214</v>
      </c>
      <c r="AE1167" s="8" t="s">
        <v>39</v>
      </c>
      <c r="AF1167" s="8" t="s">
        <v>40</v>
      </c>
      <c r="AG1167" s="9">
        <v>2251415</v>
      </c>
      <c r="AH1167" s="11">
        <f>_xlfn.XLOOKUP(B1167,[1]Sheet1!$B:$B,[1]Sheet1!$AB:$AB,0)</f>
        <v>2251415</v>
      </c>
    </row>
    <row r="1168" spans="2:34" ht="16.8" thickTop="1" thickBot="1" x14ac:dyDescent="0.35">
      <c r="B1168" s="3" t="str">
        <f t="shared" si="38"/>
        <v>45151004511001476Trade Promotion-N424251200104</v>
      </c>
      <c r="C1168" s="6" t="s">
        <v>746</v>
      </c>
      <c r="D1168" s="6" t="s">
        <v>1789</v>
      </c>
      <c r="E1168" s="6" t="s">
        <v>1790</v>
      </c>
      <c r="F1168" s="6" t="s">
        <v>748</v>
      </c>
      <c r="G1168" s="4" t="s">
        <v>2852</v>
      </c>
      <c r="H1168" s="4" t="s">
        <v>2922</v>
      </c>
      <c r="I1168" s="6" t="s">
        <v>569</v>
      </c>
      <c r="J1168" s="6" t="s">
        <v>31</v>
      </c>
      <c r="K1168" s="12">
        <f>_xlfn.XLOOKUP(B1168,[1]Sheet1!$B:$B,[1]Sheet1!$N:$N,0)</f>
        <v>0</v>
      </c>
      <c r="L1168" s="12">
        <f>_xlfn.XLOOKUP(B1168,[1]Sheet1!$B:$B,[1]Sheet1!$O:$O,0)</f>
        <v>0</v>
      </c>
      <c r="M1168" s="12">
        <f>_xlfn.XLOOKUP(B1168,[1]Sheet1!$B:$B,[1]Sheet1!$P:$P,0)</f>
        <v>0</v>
      </c>
      <c r="N1168" s="12">
        <f>_xlfn.XLOOKUP(B1168,[1]Sheet1!$B:$B,[1]Sheet1!$Q:$Q,0)</f>
        <v>0</v>
      </c>
      <c r="O1168" s="12">
        <f>_xlfn.XLOOKUP(B1168,[1]Sheet1!$B:$B,[1]Sheet1!$R:$R,0)</f>
        <v>0</v>
      </c>
      <c r="P1168" s="12">
        <f>_xlfn.XLOOKUP(B1168,[1]Sheet1!$B:$B,[1]Sheet1!$S:$S,0)</f>
        <v>0</v>
      </c>
      <c r="Q1168" s="12">
        <f>_xlfn.XLOOKUP(B1168,[1]Sheet1!$B:$B,[1]Sheet1!$T:$T,0)</f>
        <v>76275</v>
      </c>
      <c r="R1168" s="12">
        <f>_xlfn.XLOOKUP(B1168,[1]Sheet1!$B:$B,[1]Sheet1!$U:$U,0)</f>
        <v>0</v>
      </c>
      <c r="S1168" s="12">
        <f>_xlfn.XLOOKUP(B1168,[1]Sheet1!$B:$B,[1]Sheet1!$V:$V,0)</f>
        <v>0</v>
      </c>
      <c r="T1168" s="12">
        <f>_xlfn.XLOOKUP(B1168,[1]Sheet1!$B:$B,[1]Sheet1!$W:$W,0)</f>
        <v>0</v>
      </c>
      <c r="U1168" s="12">
        <f>_xlfn.XLOOKUP(B1168,[1]Sheet1!$B:$B,[1]Sheet1!$X:$X,0)</f>
        <v>0</v>
      </c>
      <c r="V1168" s="12">
        <f>_xlfn.XLOOKUP(B1168,[1]Sheet1!$B:$B,[1]Sheet1!$Y:$Y,0)</f>
        <v>0</v>
      </c>
      <c r="W1168" s="12">
        <f t="shared" si="39"/>
        <v>76275</v>
      </c>
      <c r="X1168" s="6" t="s">
        <v>749</v>
      </c>
      <c r="Y1168" s="6" t="s">
        <v>211</v>
      </c>
      <c r="Z1168" s="6" t="s">
        <v>745</v>
      </c>
      <c r="AA1168" s="6" t="s">
        <v>569</v>
      </c>
      <c r="AB1168" s="6" t="s">
        <v>36</v>
      </c>
      <c r="AC1168" s="6" t="s">
        <v>37</v>
      </c>
      <c r="AD1168" s="6" t="s">
        <v>214</v>
      </c>
      <c r="AE1168" s="6" t="s">
        <v>39</v>
      </c>
      <c r="AF1168" s="6" t="s">
        <v>40</v>
      </c>
      <c r="AG1168" s="7">
        <v>76275</v>
      </c>
      <c r="AH1168" s="11">
        <f>_xlfn.XLOOKUP(B1168,[1]Sheet1!$B:$B,[1]Sheet1!$AB:$AB,0)</f>
        <v>76275</v>
      </c>
    </row>
    <row r="1169" spans="2:34" ht="16.8" thickTop="1" thickBot="1" x14ac:dyDescent="0.35">
      <c r="B1169" s="3" t="str">
        <f t="shared" si="38"/>
        <v>45151004511001477Admin Expenses-N421125200104</v>
      </c>
      <c r="C1169" s="8" t="s">
        <v>746</v>
      </c>
      <c r="D1169" s="8" t="s">
        <v>1791</v>
      </c>
      <c r="E1169" s="8" t="s">
        <v>1792</v>
      </c>
      <c r="F1169" s="8" t="s">
        <v>130</v>
      </c>
      <c r="G1169" s="4" t="s">
        <v>2803</v>
      </c>
      <c r="H1169" s="4" t="s">
        <v>2922</v>
      </c>
      <c r="I1169" s="8" t="s">
        <v>44</v>
      </c>
      <c r="J1169" s="8" t="s">
        <v>31</v>
      </c>
      <c r="K1169" s="12">
        <f>_xlfn.XLOOKUP(B1169,[1]Sheet1!$B:$B,[1]Sheet1!$N:$N,0)</f>
        <v>0</v>
      </c>
      <c r="L1169" s="12">
        <f>_xlfn.XLOOKUP(B1169,[1]Sheet1!$B:$B,[1]Sheet1!$O:$O,0)</f>
        <v>0</v>
      </c>
      <c r="M1169" s="12">
        <f>_xlfn.XLOOKUP(B1169,[1]Sheet1!$B:$B,[1]Sheet1!$P:$P,0)</f>
        <v>0</v>
      </c>
      <c r="N1169" s="12">
        <f>_xlfn.XLOOKUP(B1169,[1]Sheet1!$B:$B,[1]Sheet1!$Q:$Q,0)</f>
        <v>0</v>
      </c>
      <c r="O1169" s="12">
        <f>_xlfn.XLOOKUP(B1169,[1]Sheet1!$B:$B,[1]Sheet1!$R:$R,0)</f>
        <v>0</v>
      </c>
      <c r="P1169" s="12">
        <f>_xlfn.XLOOKUP(B1169,[1]Sheet1!$B:$B,[1]Sheet1!$S:$S,0)</f>
        <v>0</v>
      </c>
      <c r="Q1169" s="12">
        <f>_xlfn.XLOOKUP(B1169,[1]Sheet1!$B:$B,[1]Sheet1!$T:$T,0)</f>
        <v>0</v>
      </c>
      <c r="R1169" s="12">
        <f>_xlfn.XLOOKUP(B1169,[1]Sheet1!$B:$B,[1]Sheet1!$U:$U,0)</f>
        <v>0</v>
      </c>
      <c r="S1169" s="12">
        <f>_xlfn.XLOOKUP(B1169,[1]Sheet1!$B:$B,[1]Sheet1!$V:$V,0)</f>
        <v>0</v>
      </c>
      <c r="T1169" s="12">
        <f>_xlfn.XLOOKUP(B1169,[1]Sheet1!$B:$B,[1]Sheet1!$W:$W,0)</f>
        <v>0</v>
      </c>
      <c r="U1169" s="12">
        <f>_xlfn.XLOOKUP(B1169,[1]Sheet1!$B:$B,[1]Sheet1!$X:$X,0)</f>
        <v>54000</v>
      </c>
      <c r="V1169" s="12">
        <f>_xlfn.XLOOKUP(B1169,[1]Sheet1!$B:$B,[1]Sheet1!$Y:$Y,0)</f>
        <v>0</v>
      </c>
      <c r="W1169" s="12">
        <f t="shared" si="39"/>
        <v>54000</v>
      </c>
      <c r="X1169" s="8" t="s">
        <v>744</v>
      </c>
      <c r="Y1169" s="8" t="s">
        <v>211</v>
      </c>
      <c r="Z1169" s="8" t="s">
        <v>745</v>
      </c>
      <c r="AA1169" s="8" t="s">
        <v>44</v>
      </c>
      <c r="AB1169" s="8" t="s">
        <v>36</v>
      </c>
      <c r="AC1169" s="8" t="s">
        <v>37</v>
      </c>
      <c r="AD1169" s="8" t="s">
        <v>214</v>
      </c>
      <c r="AE1169" s="8" t="s">
        <v>39</v>
      </c>
      <c r="AF1169" s="8" t="s">
        <v>40</v>
      </c>
      <c r="AG1169" s="9">
        <v>54000</v>
      </c>
      <c r="AH1169" s="11">
        <f>_xlfn.XLOOKUP(B1169,[1]Sheet1!$B:$B,[1]Sheet1!$AB:$AB,0)</f>
        <v>54000</v>
      </c>
    </row>
    <row r="1170" spans="2:34" ht="16.8" thickTop="1" thickBot="1" x14ac:dyDescent="0.35">
      <c r="B1170" s="3" t="str">
        <f t="shared" si="38"/>
        <v>45151004511001477Trade Partners-L424251201931</v>
      </c>
      <c r="C1170" s="6" t="s">
        <v>746</v>
      </c>
      <c r="D1170" s="6" t="s">
        <v>1791</v>
      </c>
      <c r="E1170" s="6" t="s">
        <v>1792</v>
      </c>
      <c r="F1170" s="6" t="s">
        <v>568</v>
      </c>
      <c r="G1170" s="4" t="s">
        <v>2852</v>
      </c>
      <c r="H1170" s="4" t="s">
        <v>2925</v>
      </c>
      <c r="I1170" s="6" t="s">
        <v>569</v>
      </c>
      <c r="J1170" s="6" t="s">
        <v>31</v>
      </c>
      <c r="K1170" s="12">
        <f>_xlfn.XLOOKUP(B1170,[1]Sheet1!$B:$B,[1]Sheet1!$N:$N,0)</f>
        <v>0</v>
      </c>
      <c r="L1170" s="12">
        <f>_xlfn.XLOOKUP(B1170,[1]Sheet1!$B:$B,[1]Sheet1!$O:$O,0)</f>
        <v>0</v>
      </c>
      <c r="M1170" s="12">
        <f>_xlfn.XLOOKUP(B1170,[1]Sheet1!$B:$B,[1]Sheet1!$P:$P,0)</f>
        <v>351237.89999999997</v>
      </c>
      <c r="N1170" s="12">
        <f>_xlfn.XLOOKUP(B1170,[1]Sheet1!$B:$B,[1]Sheet1!$Q:$Q,0)</f>
        <v>0</v>
      </c>
      <c r="O1170" s="12">
        <f>_xlfn.XLOOKUP(B1170,[1]Sheet1!$B:$B,[1]Sheet1!$R:$R,0)</f>
        <v>299761</v>
      </c>
      <c r="P1170" s="12">
        <f>_xlfn.XLOOKUP(B1170,[1]Sheet1!$B:$B,[1]Sheet1!$S:$S,0)</f>
        <v>0</v>
      </c>
      <c r="Q1170" s="12">
        <f>_xlfn.XLOOKUP(B1170,[1]Sheet1!$B:$B,[1]Sheet1!$T:$T,0)</f>
        <v>0</v>
      </c>
      <c r="R1170" s="12">
        <f>_xlfn.XLOOKUP(B1170,[1]Sheet1!$B:$B,[1]Sheet1!$U:$U,0)</f>
        <v>0</v>
      </c>
      <c r="S1170" s="12">
        <f>_xlfn.XLOOKUP(B1170,[1]Sheet1!$B:$B,[1]Sheet1!$V:$V,0)</f>
        <v>0</v>
      </c>
      <c r="T1170" s="12">
        <f>_xlfn.XLOOKUP(B1170,[1]Sheet1!$B:$B,[1]Sheet1!$W:$W,0)</f>
        <v>4020006</v>
      </c>
      <c r="U1170" s="12">
        <f>_xlfn.XLOOKUP(B1170,[1]Sheet1!$B:$B,[1]Sheet1!$X:$X,0)</f>
        <v>0</v>
      </c>
      <c r="V1170" s="12">
        <f>_xlfn.XLOOKUP(B1170,[1]Sheet1!$B:$B,[1]Sheet1!$Y:$Y,0)</f>
        <v>0</v>
      </c>
      <c r="W1170" s="12">
        <f t="shared" si="39"/>
        <v>4671004.9000000004</v>
      </c>
      <c r="X1170" s="6" t="s">
        <v>747</v>
      </c>
      <c r="Y1170" s="6" t="s">
        <v>211</v>
      </c>
      <c r="Z1170" s="6" t="s">
        <v>745</v>
      </c>
      <c r="AA1170" s="6" t="s">
        <v>569</v>
      </c>
      <c r="AB1170" s="6" t="s">
        <v>327</v>
      </c>
      <c r="AC1170" s="6" t="s">
        <v>37</v>
      </c>
      <c r="AD1170" s="6" t="s">
        <v>214</v>
      </c>
      <c r="AE1170" s="6" t="s">
        <v>39</v>
      </c>
      <c r="AF1170" s="6" t="s">
        <v>40</v>
      </c>
      <c r="AG1170" s="7">
        <v>4216005</v>
      </c>
      <c r="AH1170" s="11">
        <f>_xlfn.XLOOKUP(B1170,[1]Sheet1!$B:$B,[1]Sheet1!$AB:$AB,0)</f>
        <v>4216005</v>
      </c>
    </row>
    <row r="1171" spans="2:34" ht="16.8" thickTop="1" thickBot="1" x14ac:dyDescent="0.35">
      <c r="B1171" s="3" t="str">
        <f t="shared" si="38"/>
        <v>45151004511001477Trade Promotion-N424251200104</v>
      </c>
      <c r="C1171" s="8" t="s">
        <v>746</v>
      </c>
      <c r="D1171" s="8" t="s">
        <v>1791</v>
      </c>
      <c r="E1171" s="8" t="s">
        <v>1792</v>
      </c>
      <c r="F1171" s="8" t="s">
        <v>748</v>
      </c>
      <c r="G1171" s="4" t="s">
        <v>2852</v>
      </c>
      <c r="H1171" s="4" t="s">
        <v>2922</v>
      </c>
      <c r="I1171" s="8" t="s">
        <v>569</v>
      </c>
      <c r="J1171" s="8" t="s">
        <v>31</v>
      </c>
      <c r="K1171" s="12">
        <f>_xlfn.XLOOKUP(B1171,[1]Sheet1!$B:$B,[1]Sheet1!$N:$N,0)</f>
        <v>0</v>
      </c>
      <c r="L1171" s="12">
        <f>_xlfn.XLOOKUP(B1171,[1]Sheet1!$B:$B,[1]Sheet1!$O:$O,0)</f>
        <v>0</v>
      </c>
      <c r="M1171" s="12">
        <f>_xlfn.XLOOKUP(B1171,[1]Sheet1!$B:$B,[1]Sheet1!$P:$P,0)</f>
        <v>0</v>
      </c>
      <c r="N1171" s="12">
        <f>_xlfn.XLOOKUP(B1171,[1]Sheet1!$B:$B,[1]Sheet1!$Q:$Q,0)</f>
        <v>0</v>
      </c>
      <c r="O1171" s="12">
        <f>_xlfn.XLOOKUP(B1171,[1]Sheet1!$B:$B,[1]Sheet1!$R:$R,0)</f>
        <v>50000</v>
      </c>
      <c r="P1171" s="12">
        <f>_xlfn.XLOOKUP(B1171,[1]Sheet1!$B:$B,[1]Sheet1!$S:$S,0)</f>
        <v>0</v>
      </c>
      <c r="Q1171" s="12">
        <f>_xlfn.XLOOKUP(B1171,[1]Sheet1!$B:$B,[1]Sheet1!$T:$T,0)</f>
        <v>0</v>
      </c>
      <c r="R1171" s="12">
        <f>_xlfn.XLOOKUP(B1171,[1]Sheet1!$B:$B,[1]Sheet1!$U:$U,0)</f>
        <v>0</v>
      </c>
      <c r="S1171" s="12">
        <f>_xlfn.XLOOKUP(B1171,[1]Sheet1!$B:$B,[1]Sheet1!$V:$V,0)</f>
        <v>0</v>
      </c>
      <c r="T1171" s="12">
        <f>_xlfn.XLOOKUP(B1171,[1]Sheet1!$B:$B,[1]Sheet1!$W:$W,0)</f>
        <v>662400</v>
      </c>
      <c r="U1171" s="12">
        <f>_xlfn.XLOOKUP(B1171,[1]Sheet1!$B:$B,[1]Sheet1!$X:$X,0)</f>
        <v>0</v>
      </c>
      <c r="V1171" s="12">
        <f>_xlfn.XLOOKUP(B1171,[1]Sheet1!$B:$B,[1]Sheet1!$Y:$Y,0)</f>
        <v>0</v>
      </c>
      <c r="W1171" s="12">
        <f t="shared" si="39"/>
        <v>712400</v>
      </c>
      <c r="X1171" s="8" t="s">
        <v>749</v>
      </c>
      <c r="Y1171" s="8" t="s">
        <v>211</v>
      </c>
      <c r="Z1171" s="8" t="s">
        <v>745</v>
      </c>
      <c r="AA1171" s="8" t="s">
        <v>569</v>
      </c>
      <c r="AB1171" s="8" t="s">
        <v>36</v>
      </c>
      <c r="AC1171" s="8" t="s">
        <v>37</v>
      </c>
      <c r="AD1171" s="8" t="s">
        <v>214</v>
      </c>
      <c r="AE1171" s="8" t="s">
        <v>39</v>
      </c>
      <c r="AF1171" s="8" t="s">
        <v>40</v>
      </c>
      <c r="AG1171" s="9">
        <v>50000</v>
      </c>
      <c r="AH1171" s="11">
        <f>_xlfn.XLOOKUP(B1171,[1]Sheet1!$B:$B,[1]Sheet1!$AB:$AB,0)</f>
        <v>50000</v>
      </c>
    </row>
    <row r="1172" spans="2:34" ht="16.8" thickTop="1" thickBot="1" x14ac:dyDescent="0.35">
      <c r="B1172" s="3" t="str">
        <f t="shared" si="38"/>
        <v>45151004511001478Admin Expenses-N421125200104</v>
      </c>
      <c r="C1172" s="6" t="s">
        <v>746</v>
      </c>
      <c r="D1172" s="6" t="s">
        <v>1793</v>
      </c>
      <c r="E1172" s="6" t="s">
        <v>1794</v>
      </c>
      <c r="F1172" s="6" t="s">
        <v>130</v>
      </c>
      <c r="G1172" s="4" t="s">
        <v>2803</v>
      </c>
      <c r="H1172" s="4" t="s">
        <v>2922</v>
      </c>
      <c r="I1172" s="6" t="s">
        <v>44</v>
      </c>
      <c r="J1172" s="6" t="s">
        <v>31</v>
      </c>
      <c r="K1172" s="12">
        <f>_xlfn.XLOOKUP(B1172,[1]Sheet1!$B:$B,[1]Sheet1!$N:$N,0)</f>
        <v>0</v>
      </c>
      <c r="L1172" s="12">
        <f>_xlfn.XLOOKUP(B1172,[1]Sheet1!$B:$B,[1]Sheet1!$O:$O,0)</f>
        <v>0</v>
      </c>
      <c r="M1172" s="12">
        <f>_xlfn.XLOOKUP(B1172,[1]Sheet1!$B:$B,[1]Sheet1!$P:$P,0)</f>
        <v>0</v>
      </c>
      <c r="N1172" s="12">
        <f>_xlfn.XLOOKUP(B1172,[1]Sheet1!$B:$B,[1]Sheet1!$Q:$Q,0)</f>
        <v>35000</v>
      </c>
      <c r="O1172" s="12">
        <f>_xlfn.XLOOKUP(B1172,[1]Sheet1!$B:$B,[1]Sheet1!$R:$R,0)</f>
        <v>0</v>
      </c>
      <c r="P1172" s="12">
        <f>_xlfn.XLOOKUP(B1172,[1]Sheet1!$B:$B,[1]Sheet1!$S:$S,0)</f>
        <v>0</v>
      </c>
      <c r="Q1172" s="12">
        <f>_xlfn.XLOOKUP(B1172,[1]Sheet1!$B:$B,[1]Sheet1!$T:$T,0)</f>
        <v>33057</v>
      </c>
      <c r="R1172" s="12">
        <f>_xlfn.XLOOKUP(B1172,[1]Sheet1!$B:$B,[1]Sheet1!$U:$U,0)</f>
        <v>50000</v>
      </c>
      <c r="S1172" s="12">
        <f>_xlfn.XLOOKUP(B1172,[1]Sheet1!$B:$B,[1]Sheet1!$V:$V,0)</f>
        <v>52906.5</v>
      </c>
      <c r="T1172" s="12">
        <f>_xlfn.XLOOKUP(B1172,[1]Sheet1!$B:$B,[1]Sheet1!$W:$W,0)</f>
        <v>0</v>
      </c>
      <c r="U1172" s="12">
        <f>_xlfn.XLOOKUP(B1172,[1]Sheet1!$B:$B,[1]Sheet1!$X:$X,0)</f>
        <v>80670</v>
      </c>
      <c r="V1172" s="12">
        <f>_xlfn.XLOOKUP(B1172,[1]Sheet1!$B:$B,[1]Sheet1!$Y:$Y,0)</f>
        <v>0</v>
      </c>
      <c r="W1172" s="12">
        <f t="shared" si="39"/>
        <v>251633.5</v>
      </c>
      <c r="X1172" s="6" t="s">
        <v>744</v>
      </c>
      <c r="Y1172" s="6" t="s">
        <v>211</v>
      </c>
      <c r="Z1172" s="6" t="s">
        <v>745</v>
      </c>
      <c r="AA1172" s="6" t="s">
        <v>44</v>
      </c>
      <c r="AB1172" s="6" t="s">
        <v>36</v>
      </c>
      <c r="AC1172" s="6" t="s">
        <v>37</v>
      </c>
      <c r="AD1172" s="6" t="s">
        <v>214</v>
      </c>
      <c r="AE1172" s="6" t="s">
        <v>39</v>
      </c>
      <c r="AF1172" s="6" t="s">
        <v>40</v>
      </c>
      <c r="AG1172" s="7">
        <v>251633</v>
      </c>
      <c r="AH1172" s="11">
        <f>_xlfn.XLOOKUP(B1172,[1]Sheet1!$B:$B,[1]Sheet1!$AB:$AB,0)</f>
        <v>251633.5</v>
      </c>
    </row>
    <row r="1173" spans="2:34" ht="16.8" thickTop="1" thickBot="1" x14ac:dyDescent="0.35">
      <c r="B1173" s="3" t="str">
        <f t="shared" si="38"/>
        <v>45151004511001478GSA Retainer-N421125200104</v>
      </c>
      <c r="C1173" s="8" t="s">
        <v>746</v>
      </c>
      <c r="D1173" s="8" t="s">
        <v>1793</v>
      </c>
      <c r="E1173" s="8" t="s">
        <v>1794</v>
      </c>
      <c r="F1173" s="8" t="s">
        <v>1775</v>
      </c>
      <c r="G1173" s="4" t="s">
        <v>2803</v>
      </c>
      <c r="H1173" s="4" t="s">
        <v>2922</v>
      </c>
      <c r="I1173" s="8" t="s">
        <v>44</v>
      </c>
      <c r="J1173" s="8" t="s">
        <v>31</v>
      </c>
      <c r="K1173" s="12">
        <f>_xlfn.XLOOKUP(B1173,[1]Sheet1!$B:$B,[1]Sheet1!$N:$N,0)</f>
        <v>0</v>
      </c>
      <c r="L1173" s="12">
        <f>_xlfn.XLOOKUP(B1173,[1]Sheet1!$B:$B,[1]Sheet1!$O:$O,0)</f>
        <v>0</v>
      </c>
      <c r="M1173" s="12">
        <f>_xlfn.XLOOKUP(B1173,[1]Sheet1!$B:$B,[1]Sheet1!$P:$P,0)</f>
        <v>0</v>
      </c>
      <c r="N1173" s="12">
        <f>_xlfn.XLOOKUP(B1173,[1]Sheet1!$B:$B,[1]Sheet1!$Q:$Q,0)</f>
        <v>1111057.4664799999</v>
      </c>
      <c r="O1173" s="12">
        <f>_xlfn.XLOOKUP(B1173,[1]Sheet1!$B:$B,[1]Sheet1!$R:$R,0)</f>
        <v>235355.62933999998</v>
      </c>
      <c r="P1173" s="12">
        <f>_xlfn.XLOOKUP(B1173,[1]Sheet1!$B:$B,[1]Sheet1!$S:$S,0)</f>
        <v>235355.62933999998</v>
      </c>
      <c r="Q1173" s="12">
        <f>_xlfn.XLOOKUP(B1173,[1]Sheet1!$B:$B,[1]Sheet1!$T:$T,0)</f>
        <v>235355.62933999998</v>
      </c>
      <c r="R1173" s="12">
        <f>_xlfn.XLOOKUP(B1173,[1]Sheet1!$B:$B,[1]Sheet1!$U:$U,0)</f>
        <v>235355.62933999998</v>
      </c>
      <c r="S1173" s="12">
        <f>_xlfn.XLOOKUP(B1173,[1]Sheet1!$B:$B,[1]Sheet1!$V:$V,0)</f>
        <v>235355.62933999998</v>
      </c>
      <c r="T1173" s="12">
        <f>_xlfn.XLOOKUP(B1173,[1]Sheet1!$B:$B,[1]Sheet1!$W:$W,0)</f>
        <v>235355.62933999998</v>
      </c>
      <c r="U1173" s="12">
        <f>_xlfn.XLOOKUP(B1173,[1]Sheet1!$B:$B,[1]Sheet1!$X:$X,0)</f>
        <v>235355.62933999998</v>
      </c>
      <c r="V1173" s="12">
        <f>_xlfn.XLOOKUP(B1173,[1]Sheet1!$B:$B,[1]Sheet1!$Y:$Y,0)</f>
        <v>327069.64813999995</v>
      </c>
      <c r="W1173" s="12">
        <f t="shared" si="39"/>
        <v>3085616.5199999996</v>
      </c>
      <c r="X1173" s="8" t="s">
        <v>744</v>
      </c>
      <c r="Y1173" s="8" t="s">
        <v>211</v>
      </c>
      <c r="Z1173" s="8" t="s">
        <v>745</v>
      </c>
      <c r="AA1173" s="8" t="s">
        <v>44</v>
      </c>
      <c r="AB1173" s="8" t="s">
        <v>36</v>
      </c>
      <c r="AC1173" s="8" t="s">
        <v>37</v>
      </c>
      <c r="AD1173" s="8" t="s">
        <v>214</v>
      </c>
      <c r="AE1173" s="8" t="s">
        <v>39</v>
      </c>
      <c r="AF1173" s="8" t="s">
        <v>40</v>
      </c>
      <c r="AG1173" s="9">
        <v>3166704</v>
      </c>
      <c r="AH1173" s="11">
        <f>_xlfn.XLOOKUP(B1173,[1]Sheet1!$B:$B,[1]Sheet1!$AB:$AB,0)</f>
        <v>3166704</v>
      </c>
    </row>
    <row r="1174" spans="2:34" ht="16.8" thickTop="1" thickBot="1" x14ac:dyDescent="0.35">
      <c r="B1174" s="3" t="str">
        <f t="shared" si="38"/>
        <v>45151004511001478Trade Partners-L424251201931</v>
      </c>
      <c r="C1174" s="6" t="s">
        <v>746</v>
      </c>
      <c r="D1174" s="6" t="s">
        <v>1793</v>
      </c>
      <c r="E1174" s="6" t="s">
        <v>1794</v>
      </c>
      <c r="F1174" s="6" t="s">
        <v>568</v>
      </c>
      <c r="G1174" s="4" t="s">
        <v>2852</v>
      </c>
      <c r="H1174" s="4" t="s">
        <v>2925</v>
      </c>
      <c r="I1174" s="6" t="s">
        <v>569</v>
      </c>
      <c r="J1174" s="6" t="s">
        <v>31</v>
      </c>
      <c r="K1174" s="12">
        <f>_xlfn.XLOOKUP(B1174,[1]Sheet1!$B:$B,[1]Sheet1!$N:$N,0)</f>
        <v>0</v>
      </c>
      <c r="L1174" s="12">
        <f>_xlfn.XLOOKUP(B1174,[1]Sheet1!$B:$B,[1]Sheet1!$O:$O,0)</f>
        <v>0</v>
      </c>
      <c r="M1174" s="12">
        <f>_xlfn.XLOOKUP(B1174,[1]Sheet1!$B:$B,[1]Sheet1!$P:$P,0)</f>
        <v>0</v>
      </c>
      <c r="N1174" s="12">
        <f>_xlfn.XLOOKUP(B1174,[1]Sheet1!$B:$B,[1]Sheet1!$Q:$Q,0)</f>
        <v>0</v>
      </c>
      <c r="O1174" s="12">
        <f>_xlfn.XLOOKUP(B1174,[1]Sheet1!$B:$B,[1]Sheet1!$R:$R,0)</f>
        <v>280733</v>
      </c>
      <c r="P1174" s="12">
        <f>_xlfn.XLOOKUP(B1174,[1]Sheet1!$B:$B,[1]Sheet1!$S:$S,0)</f>
        <v>283879</v>
      </c>
      <c r="Q1174" s="12">
        <f>_xlfn.XLOOKUP(B1174,[1]Sheet1!$B:$B,[1]Sheet1!$T:$T,0)</f>
        <v>47000</v>
      </c>
      <c r="R1174" s="12">
        <f>_xlfn.XLOOKUP(B1174,[1]Sheet1!$B:$B,[1]Sheet1!$U:$U,0)</f>
        <v>1291434</v>
      </c>
      <c r="S1174" s="12">
        <f>_xlfn.XLOOKUP(B1174,[1]Sheet1!$B:$B,[1]Sheet1!$V:$V,0)</f>
        <v>910602</v>
      </c>
      <c r="T1174" s="12">
        <f>_xlfn.XLOOKUP(B1174,[1]Sheet1!$B:$B,[1]Sheet1!$W:$W,0)</f>
        <v>499561</v>
      </c>
      <c r="U1174" s="12">
        <f>_xlfn.XLOOKUP(B1174,[1]Sheet1!$B:$B,[1]Sheet1!$X:$X,0)</f>
        <v>0</v>
      </c>
      <c r="V1174" s="12">
        <f>_xlfn.XLOOKUP(B1174,[1]Sheet1!$B:$B,[1]Sheet1!$Y:$Y,0)</f>
        <v>0</v>
      </c>
      <c r="W1174" s="12">
        <f t="shared" si="39"/>
        <v>3313209</v>
      </c>
      <c r="X1174" s="6" t="s">
        <v>747</v>
      </c>
      <c r="Y1174" s="6" t="s">
        <v>211</v>
      </c>
      <c r="Z1174" s="6" t="s">
        <v>745</v>
      </c>
      <c r="AA1174" s="6" t="s">
        <v>569</v>
      </c>
      <c r="AB1174" s="6" t="s">
        <v>327</v>
      </c>
      <c r="AC1174" s="6" t="s">
        <v>37</v>
      </c>
      <c r="AD1174" s="6" t="s">
        <v>214</v>
      </c>
      <c r="AE1174" s="6" t="s">
        <v>39</v>
      </c>
      <c r="AF1174" s="6" t="s">
        <v>40</v>
      </c>
      <c r="AG1174" s="7">
        <v>2535209</v>
      </c>
      <c r="AH1174" s="11">
        <f>_xlfn.XLOOKUP(B1174,[1]Sheet1!$B:$B,[1]Sheet1!$AB:$AB,0)</f>
        <v>2535209</v>
      </c>
    </row>
    <row r="1175" spans="2:34" ht="16.8" thickTop="1" thickBot="1" x14ac:dyDescent="0.35">
      <c r="B1175" s="3" t="str">
        <f t="shared" si="38"/>
        <v>45151004511001478Trade Promotion-N424251200104</v>
      </c>
      <c r="C1175" s="8" t="s">
        <v>746</v>
      </c>
      <c r="D1175" s="8" t="s">
        <v>1793</v>
      </c>
      <c r="E1175" s="8" t="s">
        <v>1794</v>
      </c>
      <c r="F1175" s="8" t="s">
        <v>748</v>
      </c>
      <c r="G1175" s="4" t="s">
        <v>2852</v>
      </c>
      <c r="H1175" s="4" t="s">
        <v>2922</v>
      </c>
      <c r="I1175" s="8" t="s">
        <v>569</v>
      </c>
      <c r="J1175" s="8" t="s">
        <v>31</v>
      </c>
      <c r="K1175" s="12">
        <f>_xlfn.XLOOKUP(B1175,[1]Sheet1!$B:$B,[1]Sheet1!$N:$N,0)</f>
        <v>0</v>
      </c>
      <c r="L1175" s="12">
        <f>_xlfn.XLOOKUP(B1175,[1]Sheet1!$B:$B,[1]Sheet1!$O:$O,0)</f>
        <v>0</v>
      </c>
      <c r="M1175" s="12">
        <f>_xlfn.XLOOKUP(B1175,[1]Sheet1!$B:$B,[1]Sheet1!$P:$P,0)</f>
        <v>0</v>
      </c>
      <c r="N1175" s="12">
        <f>_xlfn.XLOOKUP(B1175,[1]Sheet1!$B:$B,[1]Sheet1!$Q:$Q,0)</f>
        <v>0</v>
      </c>
      <c r="O1175" s="12">
        <f>_xlfn.XLOOKUP(B1175,[1]Sheet1!$B:$B,[1]Sheet1!$R:$R,0)</f>
        <v>22038</v>
      </c>
      <c r="P1175" s="12">
        <f>_xlfn.XLOOKUP(B1175,[1]Sheet1!$B:$B,[1]Sheet1!$S:$S,0)</f>
        <v>205000</v>
      </c>
      <c r="Q1175" s="12">
        <f>_xlfn.XLOOKUP(B1175,[1]Sheet1!$B:$B,[1]Sheet1!$T:$T,0)</f>
        <v>0</v>
      </c>
      <c r="R1175" s="12">
        <f>_xlfn.XLOOKUP(B1175,[1]Sheet1!$B:$B,[1]Sheet1!$U:$U,0)</f>
        <v>614692</v>
      </c>
      <c r="S1175" s="12">
        <f>_xlfn.XLOOKUP(B1175,[1]Sheet1!$B:$B,[1]Sheet1!$V:$V,0)</f>
        <v>0</v>
      </c>
      <c r="T1175" s="12">
        <f>_xlfn.XLOOKUP(B1175,[1]Sheet1!$B:$B,[1]Sheet1!$W:$W,0)</f>
        <v>128592</v>
      </c>
      <c r="U1175" s="12">
        <f>_xlfn.XLOOKUP(B1175,[1]Sheet1!$B:$B,[1]Sheet1!$X:$X,0)</f>
        <v>0</v>
      </c>
      <c r="V1175" s="12">
        <f>_xlfn.XLOOKUP(B1175,[1]Sheet1!$B:$B,[1]Sheet1!$Y:$Y,0)</f>
        <v>0</v>
      </c>
      <c r="W1175" s="12">
        <f t="shared" si="39"/>
        <v>970322</v>
      </c>
      <c r="X1175" s="8" t="s">
        <v>749</v>
      </c>
      <c r="Y1175" s="8" t="s">
        <v>211</v>
      </c>
      <c r="Z1175" s="8" t="s">
        <v>745</v>
      </c>
      <c r="AA1175" s="8" t="s">
        <v>569</v>
      </c>
      <c r="AB1175" s="8" t="s">
        <v>36</v>
      </c>
      <c r="AC1175" s="8" t="s">
        <v>37</v>
      </c>
      <c r="AD1175" s="8" t="s">
        <v>214</v>
      </c>
      <c r="AE1175" s="8" t="s">
        <v>39</v>
      </c>
      <c r="AF1175" s="8" t="s">
        <v>40</v>
      </c>
      <c r="AG1175" s="9">
        <v>970322</v>
      </c>
      <c r="AH1175" s="11">
        <f>_xlfn.XLOOKUP(B1175,[1]Sheet1!$B:$B,[1]Sheet1!$AB:$AB,0)</f>
        <v>970322</v>
      </c>
    </row>
    <row r="1176" spans="2:34" ht="16.8" thickTop="1" thickBot="1" x14ac:dyDescent="0.35">
      <c r="B1176" s="3" t="str">
        <f t="shared" si="38"/>
        <v>45151004511001479Admin Expenses-N421125200104</v>
      </c>
      <c r="C1176" s="6" t="s">
        <v>746</v>
      </c>
      <c r="D1176" s="6" t="s">
        <v>1795</v>
      </c>
      <c r="E1176" s="6" t="s">
        <v>1796</v>
      </c>
      <c r="F1176" s="6" t="s">
        <v>130</v>
      </c>
      <c r="G1176" s="4" t="s">
        <v>2803</v>
      </c>
      <c r="H1176" s="4" t="s">
        <v>2922</v>
      </c>
      <c r="I1176" s="6" t="s">
        <v>44</v>
      </c>
      <c r="J1176" s="6" t="s">
        <v>31</v>
      </c>
      <c r="K1176" s="12">
        <f>_xlfn.XLOOKUP(B1176,[1]Sheet1!$B:$B,[1]Sheet1!$N:$N,0)</f>
        <v>0</v>
      </c>
      <c r="L1176" s="12">
        <f>_xlfn.XLOOKUP(B1176,[1]Sheet1!$B:$B,[1]Sheet1!$O:$O,0)</f>
        <v>0</v>
      </c>
      <c r="M1176" s="12">
        <f>_xlfn.XLOOKUP(B1176,[1]Sheet1!$B:$B,[1]Sheet1!$P:$P,0)</f>
        <v>0</v>
      </c>
      <c r="N1176" s="12">
        <f>_xlfn.XLOOKUP(B1176,[1]Sheet1!$B:$B,[1]Sheet1!$Q:$Q,0)</f>
        <v>0</v>
      </c>
      <c r="O1176" s="12">
        <f>_xlfn.XLOOKUP(B1176,[1]Sheet1!$B:$B,[1]Sheet1!$R:$R,0)</f>
        <v>0</v>
      </c>
      <c r="P1176" s="12">
        <f>_xlfn.XLOOKUP(B1176,[1]Sheet1!$B:$B,[1]Sheet1!$S:$S,0)</f>
        <v>0</v>
      </c>
      <c r="Q1176" s="12">
        <f>_xlfn.XLOOKUP(B1176,[1]Sheet1!$B:$B,[1]Sheet1!$T:$T,0)</f>
        <v>0</v>
      </c>
      <c r="R1176" s="12">
        <f>_xlfn.XLOOKUP(B1176,[1]Sheet1!$B:$B,[1]Sheet1!$U:$U,0)</f>
        <v>0</v>
      </c>
      <c r="S1176" s="12">
        <f>_xlfn.XLOOKUP(B1176,[1]Sheet1!$B:$B,[1]Sheet1!$V:$V,0)</f>
        <v>90000</v>
      </c>
      <c r="T1176" s="12">
        <f>_xlfn.XLOOKUP(B1176,[1]Sheet1!$B:$B,[1]Sheet1!$W:$W,0)</f>
        <v>0</v>
      </c>
      <c r="U1176" s="12">
        <f>_xlfn.XLOOKUP(B1176,[1]Sheet1!$B:$B,[1]Sheet1!$X:$X,0)</f>
        <v>0</v>
      </c>
      <c r="V1176" s="12">
        <f>_xlfn.XLOOKUP(B1176,[1]Sheet1!$B:$B,[1]Sheet1!$Y:$Y,0)</f>
        <v>0</v>
      </c>
      <c r="W1176" s="12">
        <f t="shared" si="39"/>
        <v>90000</v>
      </c>
      <c r="X1176" s="6" t="s">
        <v>744</v>
      </c>
      <c r="Y1176" s="6" t="s">
        <v>211</v>
      </c>
      <c r="Z1176" s="6" t="s">
        <v>745</v>
      </c>
      <c r="AA1176" s="6" t="s">
        <v>44</v>
      </c>
      <c r="AB1176" s="6" t="s">
        <v>36</v>
      </c>
      <c r="AC1176" s="6" t="s">
        <v>37</v>
      </c>
      <c r="AD1176" s="6" t="s">
        <v>214</v>
      </c>
      <c r="AE1176" s="6" t="s">
        <v>39</v>
      </c>
      <c r="AF1176" s="6" t="s">
        <v>40</v>
      </c>
      <c r="AG1176" s="7">
        <v>90000</v>
      </c>
      <c r="AH1176" s="11">
        <f>_xlfn.XLOOKUP(B1176,[1]Sheet1!$B:$B,[1]Sheet1!$AB:$AB,0)</f>
        <v>90000</v>
      </c>
    </row>
    <row r="1177" spans="2:34" ht="16.8" thickTop="1" thickBot="1" x14ac:dyDescent="0.35">
      <c r="B1177" s="3" t="str">
        <f t="shared" si="38"/>
        <v>45151004511001479GSA Retainer-N421125200104</v>
      </c>
      <c r="C1177" s="8" t="s">
        <v>746</v>
      </c>
      <c r="D1177" s="8" t="s">
        <v>1795</v>
      </c>
      <c r="E1177" s="8" t="s">
        <v>1796</v>
      </c>
      <c r="F1177" s="8" t="s">
        <v>1775</v>
      </c>
      <c r="G1177" s="4" t="s">
        <v>2803</v>
      </c>
      <c r="H1177" s="4" t="s">
        <v>2922</v>
      </c>
      <c r="I1177" s="8" t="s">
        <v>44</v>
      </c>
      <c r="J1177" s="8" t="s">
        <v>31</v>
      </c>
      <c r="K1177" s="12">
        <f>_xlfn.XLOOKUP(B1177,[1]Sheet1!$B:$B,[1]Sheet1!$N:$N,0)</f>
        <v>0</v>
      </c>
      <c r="L1177" s="12">
        <f>_xlfn.XLOOKUP(B1177,[1]Sheet1!$B:$B,[1]Sheet1!$O:$O,0)</f>
        <v>0</v>
      </c>
      <c r="M1177" s="12">
        <f>_xlfn.XLOOKUP(B1177,[1]Sheet1!$B:$B,[1]Sheet1!$P:$P,0)</f>
        <v>30567.599999999999</v>
      </c>
      <c r="N1177" s="12">
        <f>_xlfn.XLOOKUP(B1177,[1]Sheet1!$B:$B,[1]Sheet1!$Q:$Q,0)</f>
        <v>35662.6</v>
      </c>
      <c r="O1177" s="12">
        <f>_xlfn.XLOOKUP(B1177,[1]Sheet1!$B:$B,[1]Sheet1!$R:$R,0)</f>
        <v>15283.8</v>
      </c>
      <c r="P1177" s="12">
        <f>_xlfn.XLOOKUP(B1177,[1]Sheet1!$B:$B,[1]Sheet1!$S:$S,0)</f>
        <v>20378.400000000001</v>
      </c>
      <c r="Q1177" s="12">
        <f>_xlfn.XLOOKUP(B1177,[1]Sheet1!$B:$B,[1]Sheet1!$T:$T,0)</f>
        <v>15283.8</v>
      </c>
      <c r="R1177" s="12">
        <f>_xlfn.XLOOKUP(B1177,[1]Sheet1!$B:$B,[1]Sheet1!$U:$U,0)</f>
        <v>15283.8</v>
      </c>
      <c r="S1177" s="12">
        <f>_xlfn.XLOOKUP(B1177,[1]Sheet1!$B:$B,[1]Sheet1!$V:$V,0)</f>
        <v>20378.400000000001</v>
      </c>
      <c r="T1177" s="12">
        <f>_xlfn.XLOOKUP(B1177,[1]Sheet1!$B:$B,[1]Sheet1!$W:$W,0)</f>
        <v>15283.8</v>
      </c>
      <c r="U1177" s="12">
        <f>_xlfn.XLOOKUP(B1177,[1]Sheet1!$B:$B,[1]Sheet1!$X:$X,0)</f>
        <v>15283.8</v>
      </c>
      <c r="V1177" s="12">
        <f>_xlfn.XLOOKUP(B1177,[1]Sheet1!$B:$B,[1]Sheet1!$Y:$Y,0)</f>
        <v>20378.000000000036</v>
      </c>
      <c r="W1177" s="12">
        <f t="shared" si="39"/>
        <v>203784</v>
      </c>
      <c r="X1177" s="8" t="s">
        <v>744</v>
      </c>
      <c r="Y1177" s="8" t="s">
        <v>211</v>
      </c>
      <c r="Z1177" s="8" t="s">
        <v>745</v>
      </c>
      <c r="AA1177" s="8" t="s">
        <v>44</v>
      </c>
      <c r="AB1177" s="8" t="s">
        <v>36</v>
      </c>
      <c r="AC1177" s="8" t="s">
        <v>37</v>
      </c>
      <c r="AD1177" s="8" t="s">
        <v>214</v>
      </c>
      <c r="AE1177" s="8" t="s">
        <v>39</v>
      </c>
      <c r="AF1177" s="8" t="s">
        <v>40</v>
      </c>
      <c r="AG1177" s="9">
        <v>203784</v>
      </c>
      <c r="AH1177" s="11">
        <f>_xlfn.XLOOKUP(B1177,[1]Sheet1!$B:$B,[1]Sheet1!$AB:$AB,0)</f>
        <v>203784</v>
      </c>
    </row>
    <row r="1178" spans="2:34" ht="16.8" thickTop="1" thickBot="1" x14ac:dyDescent="0.35">
      <c r="B1178" s="3" t="str">
        <f t="shared" si="38"/>
        <v>45151004511001479Trade Partners-L424251201931</v>
      </c>
      <c r="C1178" s="6" t="s">
        <v>746</v>
      </c>
      <c r="D1178" s="6" t="s">
        <v>1795</v>
      </c>
      <c r="E1178" s="6" t="s">
        <v>1796</v>
      </c>
      <c r="F1178" s="6" t="s">
        <v>568</v>
      </c>
      <c r="G1178" s="4" t="s">
        <v>2852</v>
      </c>
      <c r="H1178" s="4" t="s">
        <v>2925</v>
      </c>
      <c r="I1178" s="6" t="s">
        <v>569</v>
      </c>
      <c r="J1178" s="6" t="s">
        <v>31</v>
      </c>
      <c r="K1178" s="12">
        <f>_xlfn.XLOOKUP(B1178,[1]Sheet1!$B:$B,[1]Sheet1!$N:$N,0)</f>
        <v>0</v>
      </c>
      <c r="L1178" s="12">
        <f>_xlfn.XLOOKUP(B1178,[1]Sheet1!$B:$B,[1]Sheet1!$O:$O,0)</f>
        <v>0</v>
      </c>
      <c r="M1178" s="12">
        <f>_xlfn.XLOOKUP(B1178,[1]Sheet1!$B:$B,[1]Sheet1!$P:$P,0)</f>
        <v>125000</v>
      </c>
      <c r="N1178" s="12">
        <f>_xlfn.XLOOKUP(B1178,[1]Sheet1!$B:$B,[1]Sheet1!$Q:$Q,0)</f>
        <v>0</v>
      </c>
      <c r="O1178" s="12">
        <f>_xlfn.XLOOKUP(B1178,[1]Sheet1!$B:$B,[1]Sheet1!$R:$R,0)</f>
        <v>0</v>
      </c>
      <c r="P1178" s="12">
        <f>_xlfn.XLOOKUP(B1178,[1]Sheet1!$B:$B,[1]Sheet1!$S:$S,0)</f>
        <v>210000</v>
      </c>
      <c r="Q1178" s="12">
        <f>_xlfn.XLOOKUP(B1178,[1]Sheet1!$B:$B,[1]Sheet1!$T:$T,0)</f>
        <v>0</v>
      </c>
      <c r="R1178" s="12">
        <f>_xlfn.XLOOKUP(B1178,[1]Sheet1!$B:$B,[1]Sheet1!$U:$U,0)</f>
        <v>412000</v>
      </c>
      <c r="S1178" s="12">
        <f>_xlfn.XLOOKUP(B1178,[1]Sheet1!$B:$B,[1]Sheet1!$V:$V,0)</f>
        <v>0</v>
      </c>
      <c r="T1178" s="12">
        <f>_xlfn.XLOOKUP(B1178,[1]Sheet1!$B:$B,[1]Sheet1!$W:$W,0)</f>
        <v>0</v>
      </c>
      <c r="U1178" s="12">
        <f>_xlfn.XLOOKUP(B1178,[1]Sheet1!$B:$B,[1]Sheet1!$X:$X,0)</f>
        <v>0</v>
      </c>
      <c r="V1178" s="12">
        <f>_xlfn.XLOOKUP(B1178,[1]Sheet1!$B:$B,[1]Sheet1!$Y:$Y,0)</f>
        <v>0</v>
      </c>
      <c r="W1178" s="12">
        <f t="shared" si="39"/>
        <v>747000</v>
      </c>
      <c r="X1178" s="6" t="s">
        <v>747</v>
      </c>
      <c r="Y1178" s="6" t="s">
        <v>211</v>
      </c>
      <c r="Z1178" s="6" t="s">
        <v>745</v>
      </c>
      <c r="AA1178" s="6" t="s">
        <v>569</v>
      </c>
      <c r="AB1178" s="6" t="s">
        <v>327</v>
      </c>
      <c r="AC1178" s="6" t="s">
        <v>37</v>
      </c>
      <c r="AD1178" s="6" t="s">
        <v>214</v>
      </c>
      <c r="AE1178" s="6" t="s">
        <v>39</v>
      </c>
      <c r="AF1178" s="6" t="s">
        <v>40</v>
      </c>
      <c r="AG1178" s="7">
        <v>747000</v>
      </c>
      <c r="AH1178" s="11">
        <f>_xlfn.XLOOKUP(B1178,[1]Sheet1!$B:$B,[1]Sheet1!$AB:$AB,0)</f>
        <v>747000</v>
      </c>
    </row>
    <row r="1179" spans="2:34" ht="16.8" thickTop="1" thickBot="1" x14ac:dyDescent="0.35">
      <c r="B1179" s="3" t="str">
        <f t="shared" si="38"/>
        <v>45151004511001479Trade Promotion-N424251200104</v>
      </c>
      <c r="C1179" s="8" t="s">
        <v>746</v>
      </c>
      <c r="D1179" s="8" t="s">
        <v>1795</v>
      </c>
      <c r="E1179" s="8" t="s">
        <v>1796</v>
      </c>
      <c r="F1179" s="8" t="s">
        <v>748</v>
      </c>
      <c r="G1179" s="4" t="s">
        <v>2852</v>
      </c>
      <c r="H1179" s="4" t="s">
        <v>2922</v>
      </c>
      <c r="I1179" s="8" t="s">
        <v>569</v>
      </c>
      <c r="J1179" s="8" t="s">
        <v>31</v>
      </c>
      <c r="K1179" s="12">
        <f>_xlfn.XLOOKUP(B1179,[1]Sheet1!$B:$B,[1]Sheet1!$N:$N,0)</f>
        <v>0</v>
      </c>
      <c r="L1179" s="12">
        <f>_xlfn.XLOOKUP(B1179,[1]Sheet1!$B:$B,[1]Sheet1!$O:$O,0)</f>
        <v>0</v>
      </c>
      <c r="M1179" s="12">
        <f>_xlfn.XLOOKUP(B1179,[1]Sheet1!$B:$B,[1]Sheet1!$P:$P,0)</f>
        <v>25000</v>
      </c>
      <c r="N1179" s="12">
        <f>_xlfn.XLOOKUP(B1179,[1]Sheet1!$B:$B,[1]Sheet1!$Q:$Q,0)</f>
        <v>0</v>
      </c>
      <c r="O1179" s="12">
        <f>_xlfn.XLOOKUP(B1179,[1]Sheet1!$B:$B,[1]Sheet1!$R:$R,0)</f>
        <v>0</v>
      </c>
      <c r="P1179" s="12">
        <f>_xlfn.XLOOKUP(B1179,[1]Sheet1!$B:$B,[1]Sheet1!$S:$S,0)</f>
        <v>0</v>
      </c>
      <c r="Q1179" s="12">
        <f>_xlfn.XLOOKUP(B1179,[1]Sheet1!$B:$B,[1]Sheet1!$T:$T,0)</f>
        <v>0</v>
      </c>
      <c r="R1179" s="12">
        <f>_xlfn.XLOOKUP(B1179,[1]Sheet1!$B:$B,[1]Sheet1!$U:$U,0)</f>
        <v>0</v>
      </c>
      <c r="S1179" s="12">
        <f>_xlfn.XLOOKUP(B1179,[1]Sheet1!$B:$B,[1]Sheet1!$V:$V,0)</f>
        <v>175000</v>
      </c>
      <c r="T1179" s="12">
        <f>_xlfn.XLOOKUP(B1179,[1]Sheet1!$B:$B,[1]Sheet1!$W:$W,0)</f>
        <v>0</v>
      </c>
      <c r="U1179" s="12">
        <f>_xlfn.XLOOKUP(B1179,[1]Sheet1!$B:$B,[1]Sheet1!$X:$X,0)</f>
        <v>0</v>
      </c>
      <c r="V1179" s="12">
        <f>_xlfn.XLOOKUP(B1179,[1]Sheet1!$B:$B,[1]Sheet1!$Y:$Y,0)</f>
        <v>0</v>
      </c>
      <c r="W1179" s="12">
        <f t="shared" si="39"/>
        <v>200000</v>
      </c>
      <c r="X1179" s="8" t="s">
        <v>749</v>
      </c>
      <c r="Y1179" s="8" t="s">
        <v>211</v>
      </c>
      <c r="Z1179" s="8" t="s">
        <v>745</v>
      </c>
      <c r="AA1179" s="8" t="s">
        <v>569</v>
      </c>
      <c r="AB1179" s="8" t="s">
        <v>36</v>
      </c>
      <c r="AC1179" s="8" t="s">
        <v>37</v>
      </c>
      <c r="AD1179" s="8" t="s">
        <v>214</v>
      </c>
      <c r="AE1179" s="8" t="s">
        <v>39</v>
      </c>
      <c r="AF1179" s="8" t="s">
        <v>40</v>
      </c>
      <c r="AG1179" s="9">
        <v>200000</v>
      </c>
      <c r="AH1179" s="11">
        <f>_xlfn.XLOOKUP(B1179,[1]Sheet1!$B:$B,[1]Sheet1!$AB:$AB,0)</f>
        <v>200000</v>
      </c>
    </row>
    <row r="1180" spans="2:34" ht="16.8" thickTop="1" thickBot="1" x14ac:dyDescent="0.35">
      <c r="B1180" s="3" t="str">
        <f t="shared" si="38"/>
        <v>45151004511001480Trade Partners-L424251201931</v>
      </c>
      <c r="C1180" s="6" t="s">
        <v>746</v>
      </c>
      <c r="D1180" s="6" t="s">
        <v>1797</v>
      </c>
      <c r="E1180" s="6" t="s">
        <v>1798</v>
      </c>
      <c r="F1180" s="6" t="s">
        <v>568</v>
      </c>
      <c r="G1180" s="4" t="s">
        <v>2852</v>
      </c>
      <c r="H1180" s="4" t="s">
        <v>2925</v>
      </c>
      <c r="I1180" s="6" t="s">
        <v>569</v>
      </c>
      <c r="J1180" s="6" t="s">
        <v>31</v>
      </c>
      <c r="K1180" s="12">
        <f>_xlfn.XLOOKUP(B1180,[1]Sheet1!$B:$B,[1]Sheet1!$N:$N,0)</f>
        <v>0</v>
      </c>
      <c r="L1180" s="12">
        <f>_xlfn.XLOOKUP(B1180,[1]Sheet1!$B:$B,[1]Sheet1!$O:$O,0)</f>
        <v>0</v>
      </c>
      <c r="M1180" s="12">
        <f>_xlfn.XLOOKUP(B1180,[1]Sheet1!$B:$B,[1]Sheet1!$P:$P,0)</f>
        <v>0</v>
      </c>
      <c r="N1180" s="12">
        <f>_xlfn.XLOOKUP(B1180,[1]Sheet1!$B:$B,[1]Sheet1!$Q:$Q,0)</f>
        <v>0</v>
      </c>
      <c r="O1180" s="12">
        <f>_xlfn.XLOOKUP(B1180,[1]Sheet1!$B:$B,[1]Sheet1!$R:$R,0)</f>
        <v>0</v>
      </c>
      <c r="P1180" s="12">
        <f>_xlfn.XLOOKUP(B1180,[1]Sheet1!$B:$B,[1]Sheet1!$S:$S,0)</f>
        <v>0</v>
      </c>
      <c r="Q1180" s="12">
        <f>_xlfn.XLOOKUP(B1180,[1]Sheet1!$B:$B,[1]Sheet1!$T:$T,0)</f>
        <v>0</v>
      </c>
      <c r="R1180" s="12">
        <f>_xlfn.XLOOKUP(B1180,[1]Sheet1!$B:$B,[1]Sheet1!$U:$U,0)</f>
        <v>0</v>
      </c>
      <c r="S1180" s="12">
        <f>_xlfn.XLOOKUP(B1180,[1]Sheet1!$B:$B,[1]Sheet1!$V:$V,0)</f>
        <v>0</v>
      </c>
      <c r="T1180" s="12">
        <f>_xlfn.XLOOKUP(B1180,[1]Sheet1!$B:$B,[1]Sheet1!$W:$W,0)</f>
        <v>0</v>
      </c>
      <c r="U1180" s="12">
        <f>_xlfn.XLOOKUP(B1180,[1]Sheet1!$B:$B,[1]Sheet1!$X:$X,0)</f>
        <v>0</v>
      </c>
      <c r="V1180" s="12">
        <f>_xlfn.XLOOKUP(B1180,[1]Sheet1!$B:$B,[1]Sheet1!$Y:$Y,0)</f>
        <v>0</v>
      </c>
      <c r="W1180" s="12">
        <f t="shared" si="39"/>
        <v>0</v>
      </c>
      <c r="X1180" s="6" t="s">
        <v>747</v>
      </c>
      <c r="Y1180" s="6" t="s">
        <v>211</v>
      </c>
      <c r="Z1180" s="6" t="s">
        <v>745</v>
      </c>
      <c r="AA1180" s="6" t="s">
        <v>569</v>
      </c>
      <c r="AB1180" s="6" t="s">
        <v>327</v>
      </c>
      <c r="AC1180" s="6" t="s">
        <v>37</v>
      </c>
      <c r="AD1180" s="6" t="s">
        <v>214</v>
      </c>
      <c r="AE1180" s="6" t="s">
        <v>39</v>
      </c>
      <c r="AF1180" s="6" t="s">
        <v>40</v>
      </c>
      <c r="AG1180" s="7">
        <v>195905</v>
      </c>
      <c r="AH1180" s="11">
        <f>_xlfn.XLOOKUP(B1180,[1]Sheet1!$B:$B,[1]Sheet1!$AB:$AB,0)</f>
        <v>195905</v>
      </c>
    </row>
    <row r="1181" spans="2:34" ht="16.8" thickTop="1" thickBot="1" x14ac:dyDescent="0.35">
      <c r="B1181" s="3" t="str">
        <f t="shared" si="38"/>
        <v>45155004511001481Sponsorship Fees-N424811200104</v>
      </c>
      <c r="C1181" s="8" t="s">
        <v>513</v>
      </c>
      <c r="D1181" s="8" t="s">
        <v>1799</v>
      </c>
      <c r="E1181" s="8" t="s">
        <v>1800</v>
      </c>
      <c r="F1181" s="8" t="s">
        <v>506</v>
      </c>
      <c r="G1181" s="4" t="s">
        <v>2802</v>
      </c>
      <c r="H1181" s="4" t="s">
        <v>2922</v>
      </c>
      <c r="I1181" s="8" t="s">
        <v>30</v>
      </c>
      <c r="J1181" s="8" t="s">
        <v>31</v>
      </c>
      <c r="K1181" s="12">
        <f>_xlfn.XLOOKUP(B1181,[1]Sheet1!$B:$B,[1]Sheet1!$N:$N,0)</f>
        <v>0</v>
      </c>
      <c r="L1181" s="12">
        <f>_xlfn.XLOOKUP(B1181,[1]Sheet1!$B:$B,[1]Sheet1!$O:$O,0)</f>
        <v>0</v>
      </c>
      <c r="M1181" s="12">
        <f>_xlfn.XLOOKUP(B1181,[1]Sheet1!$B:$B,[1]Sheet1!$P:$P,0)</f>
        <v>0</v>
      </c>
      <c r="N1181" s="12">
        <f>_xlfn.XLOOKUP(B1181,[1]Sheet1!$B:$B,[1]Sheet1!$Q:$Q,0)</f>
        <v>0</v>
      </c>
      <c r="O1181" s="12">
        <f>_xlfn.XLOOKUP(B1181,[1]Sheet1!$B:$B,[1]Sheet1!$R:$R,0)</f>
        <v>0</v>
      </c>
      <c r="P1181" s="12">
        <f>_xlfn.XLOOKUP(B1181,[1]Sheet1!$B:$B,[1]Sheet1!$S:$S,0)</f>
        <v>0</v>
      </c>
      <c r="Q1181" s="12">
        <f>_xlfn.XLOOKUP(B1181,[1]Sheet1!$B:$B,[1]Sheet1!$T:$T,0)</f>
        <v>0</v>
      </c>
      <c r="R1181" s="12">
        <f>_xlfn.XLOOKUP(B1181,[1]Sheet1!$B:$B,[1]Sheet1!$U:$U,0)</f>
        <v>0</v>
      </c>
      <c r="S1181" s="12">
        <f>_xlfn.XLOOKUP(B1181,[1]Sheet1!$B:$B,[1]Sheet1!$V:$V,0)</f>
        <v>1200000</v>
      </c>
      <c r="T1181" s="12">
        <f>_xlfn.XLOOKUP(B1181,[1]Sheet1!$B:$B,[1]Sheet1!$W:$W,0)</f>
        <v>0</v>
      </c>
      <c r="U1181" s="12">
        <f>_xlfn.XLOOKUP(B1181,[1]Sheet1!$B:$B,[1]Sheet1!$X:$X,0)</f>
        <v>0</v>
      </c>
      <c r="V1181" s="12">
        <f>_xlfn.XLOOKUP(B1181,[1]Sheet1!$B:$B,[1]Sheet1!$Y:$Y,0)</f>
        <v>0</v>
      </c>
      <c r="W1181" s="12">
        <f t="shared" si="39"/>
        <v>1200000</v>
      </c>
      <c r="X1181" s="8" t="s">
        <v>518</v>
      </c>
      <c r="Y1181" s="8" t="s">
        <v>211</v>
      </c>
      <c r="Z1181" s="8" t="s">
        <v>512</v>
      </c>
      <c r="AA1181" s="8" t="s">
        <v>30</v>
      </c>
      <c r="AB1181" s="8" t="s">
        <v>36</v>
      </c>
      <c r="AC1181" s="8" t="s">
        <v>37</v>
      </c>
      <c r="AD1181" s="8" t="s">
        <v>342</v>
      </c>
      <c r="AE1181" s="8" t="s">
        <v>39</v>
      </c>
      <c r="AF1181" s="8" t="s">
        <v>40</v>
      </c>
      <c r="AG1181" s="9">
        <v>1200000</v>
      </c>
      <c r="AH1181" s="11">
        <f>_xlfn.XLOOKUP(B1181,[1]Sheet1!$B:$B,[1]Sheet1!$AB:$AB,0)</f>
        <v>1200000</v>
      </c>
    </row>
    <row r="1182" spans="2:34" ht="16.8" thickTop="1" thickBot="1" x14ac:dyDescent="0.35">
      <c r="B1182" s="3" t="str">
        <f t="shared" si="38"/>
        <v>45121004511001482Trade Partners-TDP - L2461412402066</v>
      </c>
      <c r="C1182" s="6" t="s">
        <v>738</v>
      </c>
      <c r="D1182" s="6" t="s">
        <v>1801</v>
      </c>
      <c r="E1182" s="6" t="s">
        <v>1802</v>
      </c>
      <c r="F1182" s="6" t="s">
        <v>1717</v>
      </c>
      <c r="G1182" s="4" t="s">
        <v>2868</v>
      </c>
      <c r="H1182" s="4" t="s">
        <v>2937</v>
      </c>
      <c r="I1182" s="6" t="s">
        <v>1255</v>
      </c>
      <c r="J1182" s="6" t="s">
        <v>31</v>
      </c>
      <c r="K1182" s="12">
        <f>_xlfn.XLOOKUP(B1182,[1]Sheet1!$B:$B,[1]Sheet1!$N:$N,0)</f>
        <v>0</v>
      </c>
      <c r="L1182" s="12">
        <f>_xlfn.XLOOKUP(B1182,[1]Sheet1!$B:$B,[1]Sheet1!$O:$O,0)</f>
        <v>0</v>
      </c>
      <c r="M1182" s="12">
        <f>_xlfn.XLOOKUP(B1182,[1]Sheet1!$B:$B,[1]Sheet1!$P:$P,0)</f>
        <v>0</v>
      </c>
      <c r="N1182" s="12">
        <f>_xlfn.XLOOKUP(B1182,[1]Sheet1!$B:$B,[1]Sheet1!$Q:$Q,0)</f>
        <v>0</v>
      </c>
      <c r="O1182" s="12">
        <f>_xlfn.XLOOKUP(B1182,[1]Sheet1!$B:$B,[1]Sheet1!$R:$R,0)</f>
        <v>0</v>
      </c>
      <c r="P1182" s="12">
        <f>_xlfn.XLOOKUP(B1182,[1]Sheet1!$B:$B,[1]Sheet1!$S:$S,0)</f>
        <v>0</v>
      </c>
      <c r="Q1182" s="12">
        <f>_xlfn.XLOOKUP(B1182,[1]Sheet1!$B:$B,[1]Sheet1!$T:$T,0)</f>
        <v>0</v>
      </c>
      <c r="R1182" s="12">
        <f>_xlfn.XLOOKUP(B1182,[1]Sheet1!$B:$B,[1]Sheet1!$U:$U,0)</f>
        <v>0</v>
      </c>
      <c r="S1182" s="12">
        <f>_xlfn.XLOOKUP(B1182,[1]Sheet1!$B:$B,[1]Sheet1!$V:$V,0)</f>
        <v>0</v>
      </c>
      <c r="T1182" s="12">
        <f>_xlfn.XLOOKUP(B1182,[1]Sheet1!$B:$B,[1]Sheet1!$W:$W,0)</f>
        <v>0</v>
      </c>
      <c r="U1182" s="12">
        <f>_xlfn.XLOOKUP(B1182,[1]Sheet1!$B:$B,[1]Sheet1!$X:$X,0)</f>
        <v>0</v>
      </c>
      <c r="V1182" s="12">
        <f>_xlfn.XLOOKUP(B1182,[1]Sheet1!$B:$B,[1]Sheet1!$Y:$Y,0)</f>
        <v>0</v>
      </c>
      <c r="W1182" s="12">
        <f t="shared" si="39"/>
        <v>0</v>
      </c>
      <c r="X1182" s="6" t="s">
        <v>1718</v>
      </c>
      <c r="Y1182" s="6" t="s">
        <v>721</v>
      </c>
      <c r="Z1182" s="6" t="s">
        <v>737</v>
      </c>
      <c r="AA1182" s="6" t="s">
        <v>1255</v>
      </c>
      <c r="AB1182" s="6" t="s">
        <v>1719</v>
      </c>
      <c r="AC1182" s="6" t="s">
        <v>1645</v>
      </c>
      <c r="AD1182" s="6" t="s">
        <v>1077</v>
      </c>
      <c r="AE1182" s="6" t="s">
        <v>39</v>
      </c>
      <c r="AF1182" s="6" t="s">
        <v>40</v>
      </c>
      <c r="AG1182" s="7">
        <v>24794140</v>
      </c>
      <c r="AH1182" s="11">
        <f>_xlfn.XLOOKUP(B1182,[1]Sheet1!$B:$B,[1]Sheet1!$AB:$AB,0)</f>
        <v>0</v>
      </c>
    </row>
    <row r="1183" spans="2:34" ht="16.8" thickTop="1" thickBot="1" x14ac:dyDescent="0.35">
      <c r="B1183" s="3" t="str">
        <f t="shared" si="38"/>
        <v>45121004511001483Trade Partners-TDP - L2461412402066</v>
      </c>
      <c r="C1183" s="8" t="s">
        <v>738</v>
      </c>
      <c r="D1183" s="8" t="s">
        <v>1803</v>
      </c>
      <c r="E1183" s="8" t="s">
        <v>1804</v>
      </c>
      <c r="F1183" s="8" t="s">
        <v>1717</v>
      </c>
      <c r="G1183" s="4" t="s">
        <v>2868</v>
      </c>
      <c r="H1183" s="4" t="s">
        <v>2937</v>
      </c>
      <c r="I1183" s="8" t="s">
        <v>1255</v>
      </c>
      <c r="J1183" s="8" t="s">
        <v>31</v>
      </c>
      <c r="K1183" s="12">
        <f>_xlfn.XLOOKUP(B1183,[1]Sheet1!$B:$B,[1]Sheet1!$N:$N,0)</f>
        <v>0</v>
      </c>
      <c r="L1183" s="12">
        <f>_xlfn.XLOOKUP(B1183,[1]Sheet1!$B:$B,[1]Sheet1!$O:$O,0)</f>
        <v>0</v>
      </c>
      <c r="M1183" s="12">
        <f>_xlfn.XLOOKUP(B1183,[1]Sheet1!$B:$B,[1]Sheet1!$P:$P,0)</f>
        <v>0</v>
      </c>
      <c r="N1183" s="12">
        <f>_xlfn.XLOOKUP(B1183,[1]Sheet1!$B:$B,[1]Sheet1!$Q:$Q,0)</f>
        <v>0</v>
      </c>
      <c r="O1183" s="12">
        <f>_xlfn.XLOOKUP(B1183,[1]Sheet1!$B:$B,[1]Sheet1!$R:$R,0)</f>
        <v>0</v>
      </c>
      <c r="P1183" s="12">
        <f>_xlfn.XLOOKUP(B1183,[1]Sheet1!$B:$B,[1]Sheet1!$S:$S,0)</f>
        <v>0</v>
      </c>
      <c r="Q1183" s="12">
        <f>_xlfn.XLOOKUP(B1183,[1]Sheet1!$B:$B,[1]Sheet1!$T:$T,0)</f>
        <v>0</v>
      </c>
      <c r="R1183" s="12">
        <f>_xlfn.XLOOKUP(B1183,[1]Sheet1!$B:$B,[1]Sheet1!$U:$U,0)</f>
        <v>0</v>
      </c>
      <c r="S1183" s="12">
        <f>_xlfn.XLOOKUP(B1183,[1]Sheet1!$B:$B,[1]Sheet1!$V:$V,0)</f>
        <v>0</v>
      </c>
      <c r="T1183" s="12">
        <f>_xlfn.XLOOKUP(B1183,[1]Sheet1!$B:$B,[1]Sheet1!$W:$W,0)</f>
        <v>0</v>
      </c>
      <c r="U1183" s="12">
        <f>_xlfn.XLOOKUP(B1183,[1]Sheet1!$B:$B,[1]Sheet1!$X:$X,0)</f>
        <v>0</v>
      </c>
      <c r="V1183" s="12">
        <f>_xlfn.XLOOKUP(B1183,[1]Sheet1!$B:$B,[1]Sheet1!$Y:$Y,0)</f>
        <v>0</v>
      </c>
      <c r="W1183" s="12">
        <f t="shared" si="39"/>
        <v>0</v>
      </c>
      <c r="X1183" s="8" t="s">
        <v>1718</v>
      </c>
      <c r="Y1183" s="8" t="s">
        <v>721</v>
      </c>
      <c r="Z1183" s="8" t="s">
        <v>737</v>
      </c>
      <c r="AA1183" s="8" t="s">
        <v>1255</v>
      </c>
      <c r="AB1183" s="8" t="s">
        <v>1719</v>
      </c>
      <c r="AC1183" s="8" t="s">
        <v>1645</v>
      </c>
      <c r="AD1183" s="8" t="s">
        <v>1077</v>
      </c>
      <c r="AE1183" s="8" t="s">
        <v>39</v>
      </c>
      <c r="AF1183" s="8" t="s">
        <v>40</v>
      </c>
      <c r="AG1183" s="9">
        <v>94830000</v>
      </c>
      <c r="AH1183" s="11">
        <f>_xlfn.XLOOKUP(B1183,[1]Sheet1!$B:$B,[1]Sheet1!$AB:$AB,0)</f>
        <v>0</v>
      </c>
    </row>
    <row r="1184" spans="2:34" ht="16.8" thickTop="1" thickBot="1" x14ac:dyDescent="0.35">
      <c r="B1184" s="3" t="str">
        <f t="shared" si="38"/>
        <v>45192014511001486Mission &amp; Travel-N423821200104</v>
      </c>
      <c r="C1184" s="6" t="s">
        <v>876</v>
      </c>
      <c r="D1184" s="6" t="s">
        <v>1805</v>
      </c>
      <c r="E1184" s="6" t="s">
        <v>1806</v>
      </c>
      <c r="F1184" s="6" t="s">
        <v>54</v>
      </c>
      <c r="G1184" s="4" t="s">
        <v>2805</v>
      </c>
      <c r="H1184" s="4" t="s">
        <v>2922</v>
      </c>
      <c r="I1184" s="6" t="s">
        <v>55</v>
      </c>
      <c r="J1184" s="6" t="s">
        <v>31</v>
      </c>
      <c r="K1184" s="12">
        <f>_xlfn.XLOOKUP(B1184,[1]Sheet1!$B:$B,[1]Sheet1!$N:$N,0)</f>
        <v>0</v>
      </c>
      <c r="L1184" s="12">
        <f>_xlfn.XLOOKUP(B1184,[1]Sheet1!$B:$B,[1]Sheet1!$O:$O,0)</f>
        <v>0</v>
      </c>
      <c r="M1184" s="12">
        <f>_xlfn.XLOOKUP(B1184,[1]Sheet1!$B:$B,[1]Sheet1!$P:$P,0)</f>
        <v>47500</v>
      </c>
      <c r="N1184" s="12">
        <f>_xlfn.XLOOKUP(B1184,[1]Sheet1!$B:$B,[1]Sheet1!$Q:$Q,0)</f>
        <v>72500</v>
      </c>
      <c r="O1184" s="12">
        <f>_xlfn.XLOOKUP(B1184,[1]Sheet1!$B:$B,[1]Sheet1!$R:$R,0)</f>
        <v>0</v>
      </c>
      <c r="P1184" s="12">
        <f>_xlfn.XLOOKUP(B1184,[1]Sheet1!$B:$B,[1]Sheet1!$S:$S,0)</f>
        <v>0</v>
      </c>
      <c r="Q1184" s="12">
        <f>_xlfn.XLOOKUP(B1184,[1]Sheet1!$B:$B,[1]Sheet1!$T:$T,0)</f>
        <v>0</v>
      </c>
      <c r="R1184" s="12">
        <f>_xlfn.XLOOKUP(B1184,[1]Sheet1!$B:$B,[1]Sheet1!$U:$U,0)</f>
        <v>0</v>
      </c>
      <c r="S1184" s="12">
        <f>_xlfn.XLOOKUP(B1184,[1]Sheet1!$B:$B,[1]Sheet1!$V:$V,0)</f>
        <v>0</v>
      </c>
      <c r="T1184" s="12">
        <f>_xlfn.XLOOKUP(B1184,[1]Sheet1!$B:$B,[1]Sheet1!$W:$W,0)</f>
        <v>130000</v>
      </c>
      <c r="U1184" s="12">
        <f>_xlfn.XLOOKUP(B1184,[1]Sheet1!$B:$B,[1]Sheet1!$X:$X,0)</f>
        <v>50000</v>
      </c>
      <c r="V1184" s="12">
        <f>_xlfn.XLOOKUP(B1184,[1]Sheet1!$B:$B,[1]Sheet1!$Y:$Y,0)</f>
        <v>0</v>
      </c>
      <c r="W1184" s="12">
        <f t="shared" si="39"/>
        <v>300000</v>
      </c>
      <c r="X1184" s="6" t="s">
        <v>1807</v>
      </c>
      <c r="Y1184" s="6" t="s">
        <v>392</v>
      </c>
      <c r="Z1184" s="6" t="s">
        <v>875</v>
      </c>
      <c r="AA1184" s="6" t="s">
        <v>55</v>
      </c>
      <c r="AB1184" s="6" t="s">
        <v>36</v>
      </c>
      <c r="AC1184" s="6" t="s">
        <v>37</v>
      </c>
      <c r="AD1184" s="6" t="s">
        <v>859</v>
      </c>
      <c r="AE1184" s="6" t="s">
        <v>39</v>
      </c>
      <c r="AF1184" s="6" t="s">
        <v>40</v>
      </c>
      <c r="AG1184" s="7">
        <v>300000</v>
      </c>
      <c r="AH1184" s="11">
        <f>_xlfn.XLOOKUP(B1184,[1]Sheet1!$B:$B,[1]Sheet1!$AB:$AB,0)</f>
        <v>300000</v>
      </c>
    </row>
    <row r="1185" spans="2:34" ht="16.8" thickTop="1" thickBot="1" x14ac:dyDescent="0.35">
      <c r="B1185" s="3" t="str">
        <f t="shared" si="38"/>
        <v>45111504511001487Collection Mgmnt-N423411200104</v>
      </c>
      <c r="C1185" s="8" t="s">
        <v>299</v>
      </c>
      <c r="D1185" s="8" t="s">
        <v>1808</v>
      </c>
      <c r="E1185" s="8" t="s">
        <v>1809</v>
      </c>
      <c r="F1185" s="8" t="s">
        <v>1810</v>
      </c>
      <c r="G1185" s="4" t="s">
        <v>2833</v>
      </c>
      <c r="H1185" s="4" t="s">
        <v>2922</v>
      </c>
      <c r="I1185" s="8" t="s">
        <v>330</v>
      </c>
      <c r="J1185" s="8" t="s">
        <v>31</v>
      </c>
      <c r="K1185" s="12">
        <f>_xlfn.XLOOKUP(B1185,[1]Sheet1!$B:$B,[1]Sheet1!$N:$N,0)</f>
        <v>0</v>
      </c>
      <c r="L1185" s="12">
        <f>_xlfn.XLOOKUP(B1185,[1]Sheet1!$B:$B,[1]Sheet1!$O:$O,0)</f>
        <v>0</v>
      </c>
      <c r="M1185" s="12">
        <f>_xlfn.XLOOKUP(B1185,[1]Sheet1!$B:$B,[1]Sheet1!$P:$P,0)</f>
        <v>4038.15</v>
      </c>
      <c r="N1185" s="12">
        <f>_xlfn.XLOOKUP(B1185,[1]Sheet1!$B:$B,[1]Sheet1!$Q:$Q,0)</f>
        <v>0</v>
      </c>
      <c r="O1185" s="12">
        <f>_xlfn.XLOOKUP(B1185,[1]Sheet1!$B:$B,[1]Sheet1!$R:$R,0)</f>
        <v>534263.5</v>
      </c>
      <c r="P1185" s="12">
        <f>_xlfn.XLOOKUP(B1185,[1]Sheet1!$B:$B,[1]Sheet1!$S:$S,0)</f>
        <v>0</v>
      </c>
      <c r="Q1185" s="12">
        <f>_xlfn.XLOOKUP(B1185,[1]Sheet1!$B:$B,[1]Sheet1!$T:$T,0)</f>
        <v>492000</v>
      </c>
      <c r="R1185" s="12">
        <f>_xlfn.XLOOKUP(B1185,[1]Sheet1!$B:$B,[1]Sheet1!$U:$U,0)</f>
        <v>1374300</v>
      </c>
      <c r="S1185" s="12">
        <f>_xlfn.XLOOKUP(B1185,[1]Sheet1!$B:$B,[1]Sheet1!$V:$V,0)</f>
        <v>386000</v>
      </c>
      <c r="T1185" s="12">
        <f>_xlfn.XLOOKUP(B1185,[1]Sheet1!$B:$B,[1]Sheet1!$W:$W,0)</f>
        <v>1877000</v>
      </c>
      <c r="U1185" s="12">
        <f>_xlfn.XLOOKUP(B1185,[1]Sheet1!$B:$B,[1]Sheet1!$X:$X,0)</f>
        <v>1517000</v>
      </c>
      <c r="V1185" s="12">
        <f>_xlfn.XLOOKUP(B1185,[1]Sheet1!$B:$B,[1]Sheet1!$Y:$Y,0)</f>
        <v>1110700</v>
      </c>
      <c r="W1185" s="12">
        <f t="shared" si="39"/>
        <v>7295301.6500000004</v>
      </c>
      <c r="X1185" s="8" t="s">
        <v>1811</v>
      </c>
      <c r="Y1185" s="8" t="s">
        <v>65</v>
      </c>
      <c r="Z1185" s="8" t="s">
        <v>298</v>
      </c>
      <c r="AA1185" s="8" t="s">
        <v>330</v>
      </c>
      <c r="AB1185" s="8" t="s">
        <v>36</v>
      </c>
      <c r="AC1185" s="8" t="s">
        <v>37</v>
      </c>
      <c r="AD1185" s="8" t="s">
        <v>413</v>
      </c>
      <c r="AE1185" s="8" t="s">
        <v>39</v>
      </c>
      <c r="AF1185" s="8" t="s">
        <v>40</v>
      </c>
      <c r="AG1185" s="9">
        <v>7195302.1699999999</v>
      </c>
      <c r="AH1185" s="11">
        <f>_xlfn.XLOOKUP(B1185,[1]Sheet1!$B:$B,[1]Sheet1!$AB:$AB,0)</f>
        <v>7195301.6500000004</v>
      </c>
    </row>
    <row r="1186" spans="2:34" ht="16.8" thickTop="1" thickBot="1" x14ac:dyDescent="0.35">
      <c r="B1186" s="3" t="str">
        <f t="shared" si="38"/>
        <v>45111504511001487Design &amp; Build-NC491211300105</v>
      </c>
      <c r="C1186" s="6" t="s">
        <v>299</v>
      </c>
      <c r="D1186" s="6" t="s">
        <v>1808</v>
      </c>
      <c r="E1186" s="6" t="s">
        <v>1809</v>
      </c>
      <c r="F1186" s="6" t="s">
        <v>1285</v>
      </c>
      <c r="G1186" s="4" t="s">
        <v>2839</v>
      </c>
      <c r="H1186" s="4" t="s">
        <v>2923</v>
      </c>
      <c r="I1186" s="6" t="s">
        <v>411</v>
      </c>
      <c r="J1186" s="6" t="s">
        <v>31</v>
      </c>
      <c r="K1186" s="12">
        <f>_xlfn.XLOOKUP(B1186,[1]Sheet1!$B:$B,[1]Sheet1!$N:$N,0)</f>
        <v>0</v>
      </c>
      <c r="L1186" s="12">
        <f>_xlfn.XLOOKUP(B1186,[1]Sheet1!$B:$B,[1]Sheet1!$O:$O,0)</f>
        <v>0</v>
      </c>
      <c r="M1186" s="12">
        <f>_xlfn.XLOOKUP(B1186,[1]Sheet1!$B:$B,[1]Sheet1!$P:$P,0)</f>
        <v>0</v>
      </c>
      <c r="N1186" s="12">
        <f>_xlfn.XLOOKUP(B1186,[1]Sheet1!$B:$B,[1]Sheet1!$Q:$Q,0)</f>
        <v>0</v>
      </c>
      <c r="O1186" s="12">
        <f>_xlfn.XLOOKUP(B1186,[1]Sheet1!$B:$B,[1]Sheet1!$R:$R,0)</f>
        <v>0</v>
      </c>
      <c r="P1186" s="12">
        <f>_xlfn.XLOOKUP(B1186,[1]Sheet1!$B:$B,[1]Sheet1!$S:$S,0)</f>
        <v>0</v>
      </c>
      <c r="Q1186" s="12">
        <f>_xlfn.XLOOKUP(B1186,[1]Sheet1!$B:$B,[1]Sheet1!$T:$T,0)</f>
        <v>0</v>
      </c>
      <c r="R1186" s="12">
        <f>_xlfn.XLOOKUP(B1186,[1]Sheet1!$B:$B,[1]Sheet1!$U:$U,0)</f>
        <v>0</v>
      </c>
      <c r="S1186" s="12">
        <f>_xlfn.XLOOKUP(B1186,[1]Sheet1!$B:$B,[1]Sheet1!$V:$V,0)</f>
        <v>200000</v>
      </c>
      <c r="T1186" s="12">
        <f>_xlfn.XLOOKUP(B1186,[1]Sheet1!$B:$B,[1]Sheet1!$W:$W,0)</f>
        <v>0</v>
      </c>
      <c r="U1186" s="12">
        <f>_xlfn.XLOOKUP(B1186,[1]Sheet1!$B:$B,[1]Sheet1!$X:$X,0)</f>
        <v>0</v>
      </c>
      <c r="V1186" s="12">
        <f>_xlfn.XLOOKUP(B1186,[1]Sheet1!$B:$B,[1]Sheet1!$Y:$Y,0)</f>
        <v>0</v>
      </c>
      <c r="W1186" s="12">
        <f t="shared" si="39"/>
        <v>200000</v>
      </c>
      <c r="X1186" s="6" t="s">
        <v>412</v>
      </c>
      <c r="Y1186" s="6" t="s">
        <v>65</v>
      </c>
      <c r="Z1186" s="6" t="s">
        <v>298</v>
      </c>
      <c r="AA1186" s="6" t="s">
        <v>411</v>
      </c>
      <c r="AB1186" s="6" t="s">
        <v>93</v>
      </c>
      <c r="AC1186" s="6" t="s">
        <v>94</v>
      </c>
      <c r="AD1186" s="6" t="s">
        <v>413</v>
      </c>
      <c r="AE1186" s="6" t="s">
        <v>39</v>
      </c>
      <c r="AF1186" s="6" t="s">
        <v>40</v>
      </c>
      <c r="AG1186" s="7">
        <v>200000</v>
      </c>
      <c r="AH1186" s="11">
        <f>_xlfn.XLOOKUP(B1186,[1]Sheet1!$B:$B,[1]Sheet1!$AB:$AB,0)</f>
        <v>200000</v>
      </c>
    </row>
    <row r="1187" spans="2:34" ht="16.8" thickTop="1" thickBot="1" x14ac:dyDescent="0.35">
      <c r="B1187" s="3" t="str">
        <f t="shared" si="38"/>
        <v>45111504511001487Freelancers-N1424521200104</v>
      </c>
      <c r="C1187" s="8" t="s">
        <v>299</v>
      </c>
      <c r="D1187" s="8" t="s">
        <v>1808</v>
      </c>
      <c r="E1187" s="8" t="s">
        <v>1809</v>
      </c>
      <c r="F1187" s="8" t="s">
        <v>303</v>
      </c>
      <c r="G1187" s="4" t="s">
        <v>2804</v>
      </c>
      <c r="H1187" s="4" t="s">
        <v>2922</v>
      </c>
      <c r="I1187" s="8" t="s">
        <v>51</v>
      </c>
      <c r="J1187" s="8" t="s">
        <v>31</v>
      </c>
      <c r="K1187" s="12">
        <f>_xlfn.XLOOKUP(B1187,[1]Sheet1!$B:$B,[1]Sheet1!$N:$N,0)</f>
        <v>0</v>
      </c>
      <c r="L1187" s="12">
        <f>_xlfn.XLOOKUP(B1187,[1]Sheet1!$B:$B,[1]Sheet1!$O:$O,0)</f>
        <v>0</v>
      </c>
      <c r="M1187" s="12">
        <f>_xlfn.XLOOKUP(B1187,[1]Sheet1!$B:$B,[1]Sheet1!$P:$P,0)</f>
        <v>0</v>
      </c>
      <c r="N1187" s="12">
        <f>_xlfn.XLOOKUP(B1187,[1]Sheet1!$B:$B,[1]Sheet1!$Q:$Q,0)</f>
        <v>661451</v>
      </c>
      <c r="O1187" s="12">
        <f>_xlfn.XLOOKUP(B1187,[1]Sheet1!$B:$B,[1]Sheet1!$R:$R,0)</f>
        <v>224249</v>
      </c>
      <c r="P1187" s="12">
        <f>_xlfn.XLOOKUP(B1187,[1]Sheet1!$B:$B,[1]Sheet1!$S:$S,0)</f>
        <v>378900</v>
      </c>
      <c r="Q1187" s="12">
        <f>_xlfn.XLOOKUP(B1187,[1]Sheet1!$B:$B,[1]Sheet1!$T:$T,0)</f>
        <v>855600</v>
      </c>
      <c r="R1187" s="12">
        <f>_xlfn.XLOOKUP(B1187,[1]Sheet1!$B:$B,[1]Sheet1!$U:$U,0)</f>
        <v>265600</v>
      </c>
      <c r="S1187" s="12">
        <f>_xlfn.XLOOKUP(B1187,[1]Sheet1!$B:$B,[1]Sheet1!$V:$V,0)</f>
        <v>388900</v>
      </c>
      <c r="T1187" s="12">
        <f>_xlfn.XLOOKUP(B1187,[1]Sheet1!$B:$B,[1]Sheet1!$W:$W,0)</f>
        <v>265600</v>
      </c>
      <c r="U1187" s="12">
        <f>_xlfn.XLOOKUP(B1187,[1]Sheet1!$B:$B,[1]Sheet1!$X:$X,0)</f>
        <v>521200</v>
      </c>
      <c r="V1187" s="12">
        <f>_xlfn.XLOOKUP(B1187,[1]Sheet1!$B:$B,[1]Sheet1!$Y:$Y,0)</f>
        <v>558900</v>
      </c>
      <c r="W1187" s="12">
        <f t="shared" si="39"/>
        <v>4120400</v>
      </c>
      <c r="X1187" s="8" t="s">
        <v>415</v>
      </c>
      <c r="Y1187" s="8" t="s">
        <v>65</v>
      </c>
      <c r="Z1187" s="8" t="s">
        <v>298</v>
      </c>
      <c r="AA1187" s="8" t="s">
        <v>53</v>
      </c>
      <c r="AB1187" s="8" t="s">
        <v>36</v>
      </c>
      <c r="AC1187" s="8" t="s">
        <v>37</v>
      </c>
      <c r="AD1187" s="8" t="s">
        <v>413</v>
      </c>
      <c r="AE1187" s="8" t="s">
        <v>39</v>
      </c>
      <c r="AF1187" s="8" t="s">
        <v>40</v>
      </c>
      <c r="AG1187" s="9">
        <v>4120400</v>
      </c>
      <c r="AH1187" s="11">
        <f>_xlfn.XLOOKUP(B1187,[1]Sheet1!$B:$B,[1]Sheet1!$AB:$AB,0)</f>
        <v>4120400</v>
      </c>
    </row>
    <row r="1188" spans="2:34" ht="16.8" thickTop="1" thickBot="1" x14ac:dyDescent="0.35">
      <c r="B1188" s="3" t="str">
        <f t="shared" si="38"/>
        <v>45111504511001487Hospitality-N424761200104</v>
      </c>
      <c r="C1188" s="6" t="s">
        <v>299</v>
      </c>
      <c r="D1188" s="6" t="s">
        <v>1808</v>
      </c>
      <c r="E1188" s="6" t="s">
        <v>1809</v>
      </c>
      <c r="F1188" s="6" t="s">
        <v>83</v>
      </c>
      <c r="G1188" s="4" t="s">
        <v>2811</v>
      </c>
      <c r="H1188" s="4" t="s">
        <v>2922</v>
      </c>
      <c r="I1188" s="6" t="s">
        <v>84</v>
      </c>
      <c r="J1188" s="6" t="s">
        <v>31</v>
      </c>
      <c r="K1188" s="12">
        <f>_xlfn.XLOOKUP(B1188,[1]Sheet1!$B:$B,[1]Sheet1!$N:$N,0)</f>
        <v>0</v>
      </c>
      <c r="L1188" s="12">
        <f>_xlfn.XLOOKUP(B1188,[1]Sheet1!$B:$B,[1]Sheet1!$O:$O,0)</f>
        <v>0</v>
      </c>
      <c r="M1188" s="12">
        <f>_xlfn.XLOOKUP(B1188,[1]Sheet1!$B:$B,[1]Sheet1!$P:$P,0)</f>
        <v>0</v>
      </c>
      <c r="N1188" s="12">
        <f>_xlfn.XLOOKUP(B1188,[1]Sheet1!$B:$B,[1]Sheet1!$Q:$Q,0)</f>
        <v>0</v>
      </c>
      <c r="O1188" s="12">
        <f>_xlfn.XLOOKUP(B1188,[1]Sheet1!$B:$B,[1]Sheet1!$R:$R,0)</f>
        <v>0</v>
      </c>
      <c r="P1188" s="12">
        <f>_xlfn.XLOOKUP(B1188,[1]Sheet1!$B:$B,[1]Sheet1!$S:$S,0)</f>
        <v>0</v>
      </c>
      <c r="Q1188" s="12">
        <f>_xlfn.XLOOKUP(B1188,[1]Sheet1!$B:$B,[1]Sheet1!$T:$T,0)</f>
        <v>0</v>
      </c>
      <c r="R1188" s="12">
        <f>_xlfn.XLOOKUP(B1188,[1]Sheet1!$B:$B,[1]Sheet1!$U:$U,0)</f>
        <v>0</v>
      </c>
      <c r="S1188" s="12">
        <f>_xlfn.XLOOKUP(B1188,[1]Sheet1!$B:$B,[1]Sheet1!$V:$V,0)</f>
        <v>0</v>
      </c>
      <c r="T1188" s="12">
        <f>_xlfn.XLOOKUP(B1188,[1]Sheet1!$B:$B,[1]Sheet1!$W:$W,0)</f>
        <v>0</v>
      </c>
      <c r="U1188" s="12">
        <f>_xlfn.XLOOKUP(B1188,[1]Sheet1!$B:$B,[1]Sheet1!$X:$X,0)</f>
        <v>0</v>
      </c>
      <c r="V1188" s="12">
        <f>_xlfn.XLOOKUP(B1188,[1]Sheet1!$B:$B,[1]Sheet1!$Y:$Y,0)</f>
        <v>0</v>
      </c>
      <c r="W1188" s="12">
        <f t="shared" si="39"/>
        <v>0</v>
      </c>
      <c r="X1188" s="6" t="s">
        <v>1812</v>
      </c>
      <c r="Y1188" s="6" t="s">
        <v>65</v>
      </c>
      <c r="Z1188" s="6" t="s">
        <v>298</v>
      </c>
      <c r="AA1188" s="6" t="s">
        <v>84</v>
      </c>
      <c r="AB1188" s="6" t="s">
        <v>36</v>
      </c>
      <c r="AC1188" s="6" t="s">
        <v>37</v>
      </c>
      <c r="AD1188" s="6" t="s">
        <v>413</v>
      </c>
      <c r="AE1188" s="6" t="s">
        <v>39</v>
      </c>
      <c r="AF1188" s="6" t="s">
        <v>40</v>
      </c>
      <c r="AG1188" s="7">
        <v>100000</v>
      </c>
      <c r="AH1188" s="11">
        <f>_xlfn.XLOOKUP(B1188,[1]Sheet1!$B:$B,[1]Sheet1!$AB:$AB,0)</f>
        <v>100000</v>
      </c>
    </row>
    <row r="1189" spans="2:34" ht="16.8" thickTop="1" thickBot="1" x14ac:dyDescent="0.35">
      <c r="B1189" s="3" t="str">
        <f t="shared" si="38"/>
        <v>45111504511001487Mission &amp; Travel-N1423821200104</v>
      </c>
      <c r="C1189" s="8" t="s">
        <v>299</v>
      </c>
      <c r="D1189" s="8" t="s">
        <v>1808</v>
      </c>
      <c r="E1189" s="8" t="s">
        <v>1809</v>
      </c>
      <c r="F1189" s="8" t="s">
        <v>472</v>
      </c>
      <c r="G1189" s="4" t="s">
        <v>2805</v>
      </c>
      <c r="H1189" s="4" t="s">
        <v>2922</v>
      </c>
      <c r="I1189" s="8" t="s">
        <v>55</v>
      </c>
      <c r="J1189" s="8" t="s">
        <v>31</v>
      </c>
      <c r="K1189" s="12">
        <f>_xlfn.XLOOKUP(B1189,[1]Sheet1!$B:$B,[1]Sheet1!$N:$N,0)</f>
        <v>0</v>
      </c>
      <c r="L1189" s="12">
        <f>_xlfn.XLOOKUP(B1189,[1]Sheet1!$B:$B,[1]Sheet1!$O:$O,0)</f>
        <v>0</v>
      </c>
      <c r="M1189" s="12">
        <f>_xlfn.XLOOKUP(B1189,[1]Sheet1!$B:$B,[1]Sheet1!$P:$P,0)</f>
        <v>0</v>
      </c>
      <c r="N1189" s="12">
        <f>_xlfn.XLOOKUP(B1189,[1]Sheet1!$B:$B,[1]Sheet1!$Q:$Q,0)</f>
        <v>0</v>
      </c>
      <c r="O1189" s="12">
        <f>_xlfn.XLOOKUP(B1189,[1]Sheet1!$B:$B,[1]Sheet1!$R:$R,0)</f>
        <v>50000</v>
      </c>
      <c r="P1189" s="12">
        <f>_xlfn.XLOOKUP(B1189,[1]Sheet1!$B:$B,[1]Sheet1!$S:$S,0)</f>
        <v>20000</v>
      </c>
      <c r="Q1189" s="12">
        <f>_xlfn.XLOOKUP(B1189,[1]Sheet1!$B:$B,[1]Sheet1!$T:$T,0)</f>
        <v>50000</v>
      </c>
      <c r="R1189" s="12">
        <f>_xlfn.XLOOKUP(B1189,[1]Sheet1!$B:$B,[1]Sheet1!$U:$U,0)</f>
        <v>0</v>
      </c>
      <c r="S1189" s="12">
        <f>_xlfn.XLOOKUP(B1189,[1]Sheet1!$B:$B,[1]Sheet1!$V:$V,0)</f>
        <v>60000</v>
      </c>
      <c r="T1189" s="12">
        <f>_xlfn.XLOOKUP(B1189,[1]Sheet1!$B:$B,[1]Sheet1!$W:$W,0)</f>
        <v>40431.5</v>
      </c>
      <c r="U1189" s="12">
        <f>_xlfn.XLOOKUP(B1189,[1]Sheet1!$B:$B,[1]Sheet1!$X:$X,0)</f>
        <v>0</v>
      </c>
      <c r="V1189" s="12">
        <f>_xlfn.XLOOKUP(B1189,[1]Sheet1!$B:$B,[1]Sheet1!$Y:$Y,0)</f>
        <v>0</v>
      </c>
      <c r="W1189" s="12">
        <f t="shared" si="39"/>
        <v>220431.5</v>
      </c>
      <c r="X1189" s="8" t="s">
        <v>1813</v>
      </c>
      <c r="Y1189" s="8" t="s">
        <v>65</v>
      </c>
      <c r="Z1189" s="8" t="s">
        <v>298</v>
      </c>
      <c r="AA1189" s="8" t="s">
        <v>55</v>
      </c>
      <c r="AB1189" s="8" t="s">
        <v>36</v>
      </c>
      <c r="AC1189" s="8" t="s">
        <v>37</v>
      </c>
      <c r="AD1189" s="8" t="s">
        <v>413</v>
      </c>
      <c r="AE1189" s="8" t="s">
        <v>39</v>
      </c>
      <c r="AF1189" s="8" t="s">
        <v>40</v>
      </c>
      <c r="AG1189" s="9">
        <v>220432</v>
      </c>
      <c r="AH1189" s="11">
        <f>_xlfn.XLOOKUP(B1189,[1]Sheet1!$B:$B,[1]Sheet1!$AB:$AB,0)</f>
        <v>220431.5</v>
      </c>
    </row>
    <row r="1190" spans="2:34" ht="16.8" thickTop="1" thickBot="1" x14ac:dyDescent="0.35">
      <c r="B1190" s="3" t="str">
        <f t="shared" si="38"/>
        <v>45111504511001488Collection Mgmnt-N423411200104</v>
      </c>
      <c r="C1190" s="6" t="s">
        <v>299</v>
      </c>
      <c r="D1190" s="6" t="s">
        <v>1814</v>
      </c>
      <c r="E1190" s="6" t="s">
        <v>1815</v>
      </c>
      <c r="F1190" s="6" t="s">
        <v>1810</v>
      </c>
      <c r="G1190" s="4" t="s">
        <v>2833</v>
      </c>
      <c r="H1190" s="4" t="s">
        <v>2922</v>
      </c>
      <c r="I1190" s="6" t="s">
        <v>330</v>
      </c>
      <c r="J1190" s="6" t="s">
        <v>31</v>
      </c>
      <c r="K1190" s="12">
        <f>_xlfn.XLOOKUP(B1190,[1]Sheet1!$B:$B,[1]Sheet1!$N:$N,0)</f>
        <v>0</v>
      </c>
      <c r="L1190" s="12">
        <f>_xlfn.XLOOKUP(B1190,[1]Sheet1!$B:$B,[1]Sheet1!$O:$O,0)</f>
        <v>0</v>
      </c>
      <c r="M1190" s="12">
        <f>_xlfn.XLOOKUP(B1190,[1]Sheet1!$B:$B,[1]Sheet1!$P:$P,0)</f>
        <v>0</v>
      </c>
      <c r="N1190" s="12">
        <f>_xlfn.XLOOKUP(B1190,[1]Sheet1!$B:$B,[1]Sheet1!$Q:$Q,0)</f>
        <v>0</v>
      </c>
      <c r="O1190" s="12">
        <f>_xlfn.XLOOKUP(B1190,[1]Sheet1!$B:$B,[1]Sheet1!$R:$R,0)</f>
        <v>0</v>
      </c>
      <c r="P1190" s="12">
        <f>_xlfn.XLOOKUP(B1190,[1]Sheet1!$B:$B,[1]Sheet1!$S:$S,0)</f>
        <v>0</v>
      </c>
      <c r="Q1190" s="12">
        <f>_xlfn.XLOOKUP(B1190,[1]Sheet1!$B:$B,[1]Sheet1!$T:$T,0)</f>
        <v>0</v>
      </c>
      <c r="R1190" s="12">
        <f>_xlfn.XLOOKUP(B1190,[1]Sheet1!$B:$B,[1]Sheet1!$U:$U,0)</f>
        <v>0</v>
      </c>
      <c r="S1190" s="12">
        <f>_xlfn.XLOOKUP(B1190,[1]Sheet1!$B:$B,[1]Sheet1!$V:$V,0)</f>
        <v>0</v>
      </c>
      <c r="T1190" s="12">
        <f>_xlfn.XLOOKUP(B1190,[1]Sheet1!$B:$B,[1]Sheet1!$W:$W,0)</f>
        <v>0</v>
      </c>
      <c r="U1190" s="12">
        <f>_xlfn.XLOOKUP(B1190,[1]Sheet1!$B:$B,[1]Sheet1!$X:$X,0)</f>
        <v>202000</v>
      </c>
      <c r="V1190" s="12">
        <f>_xlfn.XLOOKUP(B1190,[1]Sheet1!$B:$B,[1]Sheet1!$Y:$Y,0)</f>
        <v>202000</v>
      </c>
      <c r="W1190" s="12">
        <f t="shared" si="39"/>
        <v>404000</v>
      </c>
      <c r="X1190" s="6" t="s">
        <v>1811</v>
      </c>
      <c r="Y1190" s="6" t="s">
        <v>65</v>
      </c>
      <c r="Z1190" s="6" t="s">
        <v>298</v>
      </c>
      <c r="AA1190" s="6" t="s">
        <v>330</v>
      </c>
      <c r="AB1190" s="6" t="s">
        <v>36</v>
      </c>
      <c r="AC1190" s="6" t="s">
        <v>37</v>
      </c>
      <c r="AD1190" s="6" t="s">
        <v>413</v>
      </c>
      <c r="AE1190" s="6" t="s">
        <v>39</v>
      </c>
      <c r="AF1190" s="6" t="s">
        <v>40</v>
      </c>
      <c r="AG1190" s="7">
        <v>1134000.69</v>
      </c>
      <c r="AH1190" s="11">
        <f>_xlfn.XLOOKUP(B1190,[1]Sheet1!$B:$B,[1]Sheet1!$AB:$AB,0)</f>
        <v>1134000</v>
      </c>
    </row>
    <row r="1191" spans="2:34" ht="16.8" thickTop="1" thickBot="1" x14ac:dyDescent="0.35">
      <c r="B1191" s="3" t="str">
        <f t="shared" si="38"/>
        <v>45111504511001488Design &amp; Build-NC491211300105</v>
      </c>
      <c r="C1191" s="8" t="s">
        <v>299</v>
      </c>
      <c r="D1191" s="8" t="s">
        <v>1814</v>
      </c>
      <c r="E1191" s="8" t="s">
        <v>1815</v>
      </c>
      <c r="F1191" s="8" t="s">
        <v>1285</v>
      </c>
      <c r="G1191" s="4" t="s">
        <v>2839</v>
      </c>
      <c r="H1191" s="4" t="s">
        <v>2923</v>
      </c>
      <c r="I1191" s="8" t="s">
        <v>411</v>
      </c>
      <c r="J1191" s="8" t="s">
        <v>31</v>
      </c>
      <c r="K1191" s="12">
        <f>_xlfn.XLOOKUP(B1191,[1]Sheet1!$B:$B,[1]Sheet1!$N:$N,0)</f>
        <v>0</v>
      </c>
      <c r="L1191" s="12">
        <f>_xlfn.XLOOKUP(B1191,[1]Sheet1!$B:$B,[1]Sheet1!$O:$O,0)</f>
        <v>0</v>
      </c>
      <c r="M1191" s="12">
        <f>_xlfn.XLOOKUP(B1191,[1]Sheet1!$B:$B,[1]Sheet1!$P:$P,0)</f>
        <v>0</v>
      </c>
      <c r="N1191" s="12">
        <f>_xlfn.XLOOKUP(B1191,[1]Sheet1!$B:$B,[1]Sheet1!$Q:$Q,0)</f>
        <v>0</v>
      </c>
      <c r="O1191" s="12">
        <f>_xlfn.XLOOKUP(B1191,[1]Sheet1!$B:$B,[1]Sheet1!$R:$R,0)</f>
        <v>0</v>
      </c>
      <c r="P1191" s="12">
        <f>_xlfn.XLOOKUP(B1191,[1]Sheet1!$B:$B,[1]Sheet1!$S:$S,0)</f>
        <v>0</v>
      </c>
      <c r="Q1191" s="12">
        <f>_xlfn.XLOOKUP(B1191,[1]Sheet1!$B:$B,[1]Sheet1!$T:$T,0)</f>
        <v>0</v>
      </c>
      <c r="R1191" s="12">
        <f>_xlfn.XLOOKUP(B1191,[1]Sheet1!$B:$B,[1]Sheet1!$U:$U,0)</f>
        <v>250000</v>
      </c>
      <c r="S1191" s="12">
        <f>_xlfn.XLOOKUP(B1191,[1]Sheet1!$B:$B,[1]Sheet1!$V:$V,0)</f>
        <v>0</v>
      </c>
      <c r="T1191" s="12">
        <f>_xlfn.XLOOKUP(B1191,[1]Sheet1!$B:$B,[1]Sheet1!$W:$W,0)</f>
        <v>0</v>
      </c>
      <c r="U1191" s="12">
        <f>_xlfn.XLOOKUP(B1191,[1]Sheet1!$B:$B,[1]Sheet1!$X:$X,0)</f>
        <v>0</v>
      </c>
      <c r="V1191" s="12">
        <f>_xlfn.XLOOKUP(B1191,[1]Sheet1!$B:$B,[1]Sheet1!$Y:$Y,0)</f>
        <v>0</v>
      </c>
      <c r="W1191" s="12">
        <f t="shared" si="39"/>
        <v>250000</v>
      </c>
      <c r="X1191" s="8" t="s">
        <v>412</v>
      </c>
      <c r="Y1191" s="8" t="s">
        <v>65</v>
      </c>
      <c r="Z1191" s="8" t="s">
        <v>298</v>
      </c>
      <c r="AA1191" s="8" t="s">
        <v>411</v>
      </c>
      <c r="AB1191" s="8" t="s">
        <v>93</v>
      </c>
      <c r="AC1191" s="8" t="s">
        <v>94</v>
      </c>
      <c r="AD1191" s="8" t="s">
        <v>413</v>
      </c>
      <c r="AE1191" s="8" t="s">
        <v>39</v>
      </c>
      <c r="AF1191" s="8" t="s">
        <v>40</v>
      </c>
      <c r="AG1191" s="9">
        <v>250000</v>
      </c>
      <c r="AH1191" s="11">
        <f>_xlfn.XLOOKUP(B1191,[1]Sheet1!$B:$B,[1]Sheet1!$AB:$AB,0)</f>
        <v>250000</v>
      </c>
    </row>
    <row r="1192" spans="2:34" ht="16.8" thickTop="1" thickBot="1" x14ac:dyDescent="0.35">
      <c r="B1192" s="3" t="str">
        <f t="shared" si="38"/>
        <v>45111504511001488Freelancers-N1424521200104</v>
      </c>
      <c r="C1192" s="6" t="s">
        <v>299</v>
      </c>
      <c r="D1192" s="6" t="s">
        <v>1814</v>
      </c>
      <c r="E1192" s="6" t="s">
        <v>1815</v>
      </c>
      <c r="F1192" s="6" t="s">
        <v>303</v>
      </c>
      <c r="G1192" s="4" t="s">
        <v>2804</v>
      </c>
      <c r="H1192" s="4" t="s">
        <v>2922</v>
      </c>
      <c r="I1192" s="6" t="s">
        <v>51</v>
      </c>
      <c r="J1192" s="6" t="s">
        <v>31</v>
      </c>
      <c r="K1192" s="12">
        <f>_xlfn.XLOOKUP(B1192,[1]Sheet1!$B:$B,[1]Sheet1!$N:$N,0)</f>
        <v>0</v>
      </c>
      <c r="L1192" s="12">
        <f>_xlfn.XLOOKUP(B1192,[1]Sheet1!$B:$B,[1]Sheet1!$O:$O,0)</f>
        <v>0</v>
      </c>
      <c r="M1192" s="12">
        <f>_xlfn.XLOOKUP(B1192,[1]Sheet1!$B:$B,[1]Sheet1!$P:$P,0)</f>
        <v>0</v>
      </c>
      <c r="N1192" s="12">
        <f>_xlfn.XLOOKUP(B1192,[1]Sheet1!$B:$B,[1]Sheet1!$Q:$Q,0)</f>
        <v>0</v>
      </c>
      <c r="O1192" s="12">
        <f>_xlfn.XLOOKUP(B1192,[1]Sheet1!$B:$B,[1]Sheet1!$R:$R,0)</f>
        <v>0</v>
      </c>
      <c r="P1192" s="12">
        <f>_xlfn.XLOOKUP(B1192,[1]Sheet1!$B:$B,[1]Sheet1!$S:$S,0)</f>
        <v>0</v>
      </c>
      <c r="Q1192" s="12">
        <f>_xlfn.XLOOKUP(B1192,[1]Sheet1!$B:$B,[1]Sheet1!$T:$T,0)</f>
        <v>0</v>
      </c>
      <c r="R1192" s="12">
        <f>_xlfn.XLOOKUP(B1192,[1]Sheet1!$B:$B,[1]Sheet1!$U:$U,0)</f>
        <v>0</v>
      </c>
      <c r="S1192" s="12">
        <f>_xlfn.XLOOKUP(B1192,[1]Sheet1!$B:$B,[1]Sheet1!$V:$V,0)</f>
        <v>0</v>
      </c>
      <c r="T1192" s="12">
        <f>_xlfn.XLOOKUP(B1192,[1]Sheet1!$B:$B,[1]Sheet1!$W:$W,0)</f>
        <v>0</v>
      </c>
      <c r="U1192" s="12">
        <f>_xlfn.XLOOKUP(B1192,[1]Sheet1!$B:$B,[1]Sheet1!$X:$X,0)</f>
        <v>156000</v>
      </c>
      <c r="V1192" s="12">
        <f>_xlfn.XLOOKUP(B1192,[1]Sheet1!$B:$B,[1]Sheet1!$Y:$Y,0)</f>
        <v>500000</v>
      </c>
      <c r="W1192" s="12">
        <f t="shared" si="39"/>
        <v>656000</v>
      </c>
      <c r="X1192" s="6" t="s">
        <v>415</v>
      </c>
      <c r="Y1192" s="6" t="s">
        <v>65</v>
      </c>
      <c r="Z1192" s="6" t="s">
        <v>298</v>
      </c>
      <c r="AA1192" s="6" t="s">
        <v>53</v>
      </c>
      <c r="AB1192" s="6" t="s">
        <v>36</v>
      </c>
      <c r="AC1192" s="6" t="s">
        <v>37</v>
      </c>
      <c r="AD1192" s="6" t="s">
        <v>413</v>
      </c>
      <c r="AE1192" s="6" t="s">
        <v>39</v>
      </c>
      <c r="AF1192" s="6" t="s">
        <v>40</v>
      </c>
      <c r="AG1192" s="7">
        <v>556000</v>
      </c>
      <c r="AH1192" s="11">
        <f>_xlfn.XLOOKUP(B1192,[1]Sheet1!$B:$B,[1]Sheet1!$AB:$AB,0)</f>
        <v>556000</v>
      </c>
    </row>
    <row r="1193" spans="2:34" ht="16.8" thickTop="1" thickBot="1" x14ac:dyDescent="0.35">
      <c r="B1193" s="3" t="str">
        <f t="shared" si="38"/>
        <v>45111504511001488Mission &amp; Travel-N1423821200104</v>
      </c>
      <c r="C1193" s="8" t="s">
        <v>299</v>
      </c>
      <c r="D1193" s="8" t="s">
        <v>1814</v>
      </c>
      <c r="E1193" s="8" t="s">
        <v>1815</v>
      </c>
      <c r="F1193" s="8" t="s">
        <v>472</v>
      </c>
      <c r="G1193" s="4" t="s">
        <v>2805</v>
      </c>
      <c r="H1193" s="4" t="s">
        <v>2922</v>
      </c>
      <c r="I1193" s="8" t="s">
        <v>55</v>
      </c>
      <c r="J1193" s="8" t="s">
        <v>31</v>
      </c>
      <c r="K1193" s="12">
        <f>_xlfn.XLOOKUP(B1193,[1]Sheet1!$B:$B,[1]Sheet1!$N:$N,0)</f>
        <v>0</v>
      </c>
      <c r="L1193" s="12">
        <f>_xlfn.XLOOKUP(B1193,[1]Sheet1!$B:$B,[1]Sheet1!$O:$O,0)</f>
        <v>0</v>
      </c>
      <c r="M1193" s="12">
        <f>_xlfn.XLOOKUP(B1193,[1]Sheet1!$B:$B,[1]Sheet1!$P:$P,0)</f>
        <v>0</v>
      </c>
      <c r="N1193" s="12">
        <f>_xlfn.XLOOKUP(B1193,[1]Sheet1!$B:$B,[1]Sheet1!$Q:$Q,0)</f>
        <v>0</v>
      </c>
      <c r="O1193" s="12">
        <f>_xlfn.XLOOKUP(B1193,[1]Sheet1!$B:$B,[1]Sheet1!$R:$R,0)</f>
        <v>0</v>
      </c>
      <c r="P1193" s="12">
        <f>_xlfn.XLOOKUP(B1193,[1]Sheet1!$B:$B,[1]Sheet1!$S:$S,0)</f>
        <v>0</v>
      </c>
      <c r="Q1193" s="12">
        <f>_xlfn.XLOOKUP(B1193,[1]Sheet1!$B:$B,[1]Sheet1!$T:$T,0)</f>
        <v>20000</v>
      </c>
      <c r="R1193" s="12">
        <f>_xlfn.XLOOKUP(B1193,[1]Sheet1!$B:$B,[1]Sheet1!$U:$U,0)</f>
        <v>0</v>
      </c>
      <c r="S1193" s="12">
        <f>_xlfn.XLOOKUP(B1193,[1]Sheet1!$B:$B,[1]Sheet1!$V:$V,0)</f>
        <v>20000</v>
      </c>
      <c r="T1193" s="12">
        <f>_xlfn.XLOOKUP(B1193,[1]Sheet1!$B:$B,[1]Sheet1!$W:$W,0)</f>
        <v>0</v>
      </c>
      <c r="U1193" s="12">
        <f>_xlfn.XLOOKUP(B1193,[1]Sheet1!$B:$B,[1]Sheet1!$X:$X,0)</f>
        <v>10000</v>
      </c>
      <c r="V1193" s="12">
        <f>_xlfn.XLOOKUP(B1193,[1]Sheet1!$B:$B,[1]Sheet1!$Y:$Y,0)</f>
        <v>0</v>
      </c>
      <c r="W1193" s="12">
        <f t="shared" si="39"/>
        <v>50000</v>
      </c>
      <c r="X1193" s="8" t="s">
        <v>1813</v>
      </c>
      <c r="Y1193" s="8" t="s">
        <v>65</v>
      </c>
      <c r="Z1193" s="8" t="s">
        <v>298</v>
      </c>
      <c r="AA1193" s="8" t="s">
        <v>55</v>
      </c>
      <c r="AB1193" s="8" t="s">
        <v>36</v>
      </c>
      <c r="AC1193" s="8" t="s">
        <v>37</v>
      </c>
      <c r="AD1193" s="8" t="s">
        <v>413</v>
      </c>
      <c r="AE1193" s="8" t="s">
        <v>39</v>
      </c>
      <c r="AF1193" s="8" t="s">
        <v>40</v>
      </c>
      <c r="AG1193" s="9">
        <v>150000</v>
      </c>
      <c r="AH1193" s="11">
        <f>_xlfn.XLOOKUP(B1193,[1]Sheet1!$B:$B,[1]Sheet1!$AB:$AB,0)</f>
        <v>150000</v>
      </c>
    </row>
    <row r="1194" spans="2:34" ht="16.8" thickTop="1" thickBot="1" x14ac:dyDescent="0.35">
      <c r="B1194" s="3" t="str">
        <f t="shared" si="38"/>
        <v>45102304511001489AccreditationFee-N424561200104</v>
      </c>
      <c r="C1194" s="6" t="s">
        <v>467</v>
      </c>
      <c r="D1194" s="6" t="s">
        <v>1816</v>
      </c>
      <c r="E1194" s="6" t="s">
        <v>1817</v>
      </c>
      <c r="F1194" s="6" t="s">
        <v>1818</v>
      </c>
      <c r="G1194" s="4" t="s">
        <v>2850</v>
      </c>
      <c r="H1194" s="4" t="s">
        <v>2922</v>
      </c>
      <c r="I1194" s="6" t="s">
        <v>546</v>
      </c>
      <c r="J1194" s="6" t="s">
        <v>31</v>
      </c>
      <c r="K1194" s="12">
        <f>_xlfn.XLOOKUP(B1194,[1]Sheet1!$B:$B,[1]Sheet1!$N:$N,0)</f>
        <v>0</v>
      </c>
      <c r="L1194" s="12">
        <f>_xlfn.XLOOKUP(B1194,[1]Sheet1!$B:$B,[1]Sheet1!$O:$O,0)</f>
        <v>0</v>
      </c>
      <c r="M1194" s="12">
        <f>_xlfn.XLOOKUP(B1194,[1]Sheet1!$B:$B,[1]Sheet1!$P:$P,0)</f>
        <v>0</v>
      </c>
      <c r="N1194" s="12">
        <f>_xlfn.XLOOKUP(B1194,[1]Sheet1!$B:$B,[1]Sheet1!$Q:$Q,0)</f>
        <v>21700</v>
      </c>
      <c r="O1194" s="12">
        <f>_xlfn.XLOOKUP(B1194,[1]Sheet1!$B:$B,[1]Sheet1!$R:$R,0)</f>
        <v>0</v>
      </c>
      <c r="P1194" s="12">
        <f>_xlfn.XLOOKUP(B1194,[1]Sheet1!$B:$B,[1]Sheet1!$S:$S,0)</f>
        <v>0</v>
      </c>
      <c r="Q1194" s="12">
        <f>_xlfn.XLOOKUP(B1194,[1]Sheet1!$B:$B,[1]Sheet1!$T:$T,0)</f>
        <v>9000</v>
      </c>
      <c r="R1194" s="12">
        <f>_xlfn.XLOOKUP(B1194,[1]Sheet1!$B:$B,[1]Sheet1!$U:$U,0)</f>
        <v>0</v>
      </c>
      <c r="S1194" s="12">
        <f>_xlfn.XLOOKUP(B1194,[1]Sheet1!$B:$B,[1]Sheet1!$V:$V,0)</f>
        <v>9000</v>
      </c>
      <c r="T1194" s="12">
        <f>_xlfn.XLOOKUP(B1194,[1]Sheet1!$B:$B,[1]Sheet1!$W:$W,0)</f>
        <v>0</v>
      </c>
      <c r="U1194" s="12">
        <f>_xlfn.XLOOKUP(B1194,[1]Sheet1!$B:$B,[1]Sheet1!$X:$X,0)</f>
        <v>5300</v>
      </c>
      <c r="V1194" s="12">
        <f>_xlfn.XLOOKUP(B1194,[1]Sheet1!$B:$B,[1]Sheet1!$Y:$Y,0)</f>
        <v>0</v>
      </c>
      <c r="W1194" s="12">
        <f t="shared" si="39"/>
        <v>45000</v>
      </c>
      <c r="X1194" s="6" t="s">
        <v>1819</v>
      </c>
      <c r="Y1194" s="6" t="s">
        <v>132</v>
      </c>
      <c r="Z1194" s="6" t="s">
        <v>466</v>
      </c>
      <c r="AA1194" s="6" t="s">
        <v>548</v>
      </c>
      <c r="AB1194" s="6" t="s">
        <v>36</v>
      </c>
      <c r="AC1194" s="6" t="s">
        <v>37</v>
      </c>
      <c r="AD1194" s="6" t="s">
        <v>468</v>
      </c>
      <c r="AE1194" s="6" t="s">
        <v>39</v>
      </c>
      <c r="AF1194" s="6" t="s">
        <v>40</v>
      </c>
      <c r="AG1194" s="7">
        <v>45000</v>
      </c>
      <c r="AH1194" s="11">
        <f>_xlfn.XLOOKUP(B1194,[1]Sheet1!$B:$B,[1]Sheet1!$AB:$AB,0)</f>
        <v>45000</v>
      </c>
    </row>
    <row r="1195" spans="2:34" ht="16.8" thickTop="1" thickBot="1" x14ac:dyDescent="0.35">
      <c r="B1195" s="3" t="str">
        <f t="shared" si="38"/>
        <v>45102304511001489Gen Logistics-N424671200104</v>
      </c>
      <c r="C1195" s="8" t="s">
        <v>467</v>
      </c>
      <c r="D1195" s="8" t="s">
        <v>1816</v>
      </c>
      <c r="E1195" s="8" t="s">
        <v>1817</v>
      </c>
      <c r="F1195" s="8" t="s">
        <v>311</v>
      </c>
      <c r="G1195" s="4" t="s">
        <v>2831</v>
      </c>
      <c r="H1195" s="4" t="s">
        <v>2922</v>
      </c>
      <c r="I1195" s="8" t="s">
        <v>312</v>
      </c>
      <c r="J1195" s="8" t="s">
        <v>31</v>
      </c>
      <c r="K1195" s="12">
        <f>_xlfn.XLOOKUP(B1195,[1]Sheet1!$B:$B,[1]Sheet1!$N:$N,0)</f>
        <v>0</v>
      </c>
      <c r="L1195" s="12">
        <f>_xlfn.XLOOKUP(B1195,[1]Sheet1!$B:$B,[1]Sheet1!$O:$O,0)</f>
        <v>0</v>
      </c>
      <c r="M1195" s="12">
        <f>_xlfn.XLOOKUP(B1195,[1]Sheet1!$B:$B,[1]Sheet1!$P:$P,0)</f>
        <v>0</v>
      </c>
      <c r="N1195" s="12">
        <f>_xlfn.XLOOKUP(B1195,[1]Sheet1!$B:$B,[1]Sheet1!$Q:$Q,0)</f>
        <v>22100</v>
      </c>
      <c r="O1195" s="12">
        <f>_xlfn.XLOOKUP(B1195,[1]Sheet1!$B:$B,[1]Sheet1!$R:$R,0)</f>
        <v>11050</v>
      </c>
      <c r="P1195" s="12">
        <f>_xlfn.XLOOKUP(B1195,[1]Sheet1!$B:$B,[1]Sheet1!$S:$S,0)</f>
        <v>11050</v>
      </c>
      <c r="Q1195" s="12">
        <f>_xlfn.XLOOKUP(B1195,[1]Sheet1!$B:$B,[1]Sheet1!$T:$T,0)</f>
        <v>11050</v>
      </c>
      <c r="R1195" s="12">
        <f>_xlfn.XLOOKUP(B1195,[1]Sheet1!$B:$B,[1]Sheet1!$U:$U,0)</f>
        <v>11050</v>
      </c>
      <c r="S1195" s="12">
        <f>_xlfn.XLOOKUP(B1195,[1]Sheet1!$B:$B,[1]Sheet1!$V:$V,0)</f>
        <v>11050</v>
      </c>
      <c r="T1195" s="12">
        <f>_xlfn.XLOOKUP(B1195,[1]Sheet1!$B:$B,[1]Sheet1!$W:$W,0)</f>
        <v>11050</v>
      </c>
      <c r="U1195" s="12">
        <f>_xlfn.XLOOKUP(B1195,[1]Sheet1!$B:$B,[1]Sheet1!$X:$X,0)</f>
        <v>11050</v>
      </c>
      <c r="V1195" s="12">
        <f>_xlfn.XLOOKUP(B1195,[1]Sheet1!$B:$B,[1]Sheet1!$Y:$Y,0)</f>
        <v>13150</v>
      </c>
      <c r="W1195" s="12">
        <f t="shared" si="39"/>
        <v>112600</v>
      </c>
      <c r="X1195" s="8" t="s">
        <v>1820</v>
      </c>
      <c r="Y1195" s="8" t="s">
        <v>132</v>
      </c>
      <c r="Z1195" s="8" t="s">
        <v>466</v>
      </c>
      <c r="AA1195" s="8" t="s">
        <v>314</v>
      </c>
      <c r="AB1195" s="8" t="s">
        <v>36</v>
      </c>
      <c r="AC1195" s="8" t="s">
        <v>37</v>
      </c>
      <c r="AD1195" s="8" t="s">
        <v>468</v>
      </c>
      <c r="AE1195" s="8" t="s">
        <v>39</v>
      </c>
      <c r="AF1195" s="8" t="s">
        <v>40</v>
      </c>
      <c r="AG1195" s="9">
        <v>112600</v>
      </c>
      <c r="AH1195" s="11">
        <f>_xlfn.XLOOKUP(B1195,[1]Sheet1!$B:$B,[1]Sheet1!$AB:$AB,0)</f>
        <v>112600</v>
      </c>
    </row>
    <row r="1196" spans="2:34" ht="16.8" thickTop="1" thickBot="1" x14ac:dyDescent="0.35">
      <c r="B1196" s="3" t="str">
        <f t="shared" si="38"/>
        <v>45102304511001489Health &amp; Safety-N424721200104</v>
      </c>
      <c r="C1196" s="6" t="s">
        <v>467</v>
      </c>
      <c r="D1196" s="6" t="s">
        <v>1816</v>
      </c>
      <c r="E1196" s="6" t="s">
        <v>1817</v>
      </c>
      <c r="F1196" s="6" t="s">
        <v>1821</v>
      </c>
      <c r="G1196" s="4" t="s">
        <v>2877</v>
      </c>
      <c r="H1196" s="4" t="s">
        <v>2922</v>
      </c>
      <c r="I1196" s="6" t="s">
        <v>1822</v>
      </c>
      <c r="J1196" s="6" t="s">
        <v>31</v>
      </c>
      <c r="K1196" s="12">
        <f>_xlfn.XLOOKUP(B1196,[1]Sheet1!$B:$B,[1]Sheet1!$N:$N,0)</f>
        <v>0</v>
      </c>
      <c r="L1196" s="12">
        <f>_xlfn.XLOOKUP(B1196,[1]Sheet1!$B:$B,[1]Sheet1!$O:$O,0)</f>
        <v>0</v>
      </c>
      <c r="M1196" s="12">
        <f>_xlfn.XLOOKUP(B1196,[1]Sheet1!$B:$B,[1]Sheet1!$P:$P,0)</f>
        <v>0</v>
      </c>
      <c r="N1196" s="12">
        <f>_xlfn.XLOOKUP(B1196,[1]Sheet1!$B:$B,[1]Sheet1!$Q:$Q,0)</f>
        <v>61500</v>
      </c>
      <c r="O1196" s="12">
        <f>_xlfn.XLOOKUP(B1196,[1]Sheet1!$B:$B,[1]Sheet1!$R:$R,0)</f>
        <v>0</v>
      </c>
      <c r="P1196" s="12">
        <f>_xlfn.XLOOKUP(B1196,[1]Sheet1!$B:$B,[1]Sheet1!$S:$S,0)</f>
        <v>30500</v>
      </c>
      <c r="Q1196" s="12">
        <f>_xlfn.XLOOKUP(B1196,[1]Sheet1!$B:$B,[1]Sheet1!$T:$T,0)</f>
        <v>0</v>
      </c>
      <c r="R1196" s="12">
        <f>_xlfn.XLOOKUP(B1196,[1]Sheet1!$B:$B,[1]Sheet1!$U:$U,0)</f>
        <v>0</v>
      </c>
      <c r="S1196" s="12">
        <f>_xlfn.XLOOKUP(B1196,[1]Sheet1!$B:$B,[1]Sheet1!$V:$V,0)</f>
        <v>8000</v>
      </c>
      <c r="T1196" s="12">
        <f>_xlfn.XLOOKUP(B1196,[1]Sheet1!$B:$B,[1]Sheet1!$W:$W,0)</f>
        <v>0</v>
      </c>
      <c r="U1196" s="12">
        <f>_xlfn.XLOOKUP(B1196,[1]Sheet1!$B:$B,[1]Sheet1!$X:$X,0)</f>
        <v>0</v>
      </c>
      <c r="V1196" s="12">
        <f>_xlfn.XLOOKUP(B1196,[1]Sheet1!$B:$B,[1]Sheet1!$Y:$Y,0)</f>
        <v>0</v>
      </c>
      <c r="W1196" s="12">
        <f t="shared" si="39"/>
        <v>100000</v>
      </c>
      <c r="X1196" s="6" t="s">
        <v>1823</v>
      </c>
      <c r="Y1196" s="6" t="s">
        <v>132</v>
      </c>
      <c r="Z1196" s="6" t="s">
        <v>466</v>
      </c>
      <c r="AA1196" s="6" t="s">
        <v>1824</v>
      </c>
      <c r="AB1196" s="6" t="s">
        <v>36</v>
      </c>
      <c r="AC1196" s="6" t="s">
        <v>37</v>
      </c>
      <c r="AD1196" s="6" t="s">
        <v>468</v>
      </c>
      <c r="AE1196" s="6" t="s">
        <v>39</v>
      </c>
      <c r="AF1196" s="6" t="s">
        <v>40</v>
      </c>
      <c r="AG1196" s="7">
        <v>100000</v>
      </c>
      <c r="AH1196" s="11">
        <f>_xlfn.XLOOKUP(B1196,[1]Sheet1!$B:$B,[1]Sheet1!$AB:$AB,0)</f>
        <v>100000</v>
      </c>
    </row>
    <row r="1197" spans="2:34" ht="16.8" thickTop="1" thickBot="1" x14ac:dyDescent="0.35">
      <c r="B1197" s="3" t="str">
        <f t="shared" si="38"/>
        <v>45102304511001489Intrnt Telecom-N423711200104</v>
      </c>
      <c r="C1197" s="8" t="s">
        <v>467</v>
      </c>
      <c r="D1197" s="8" t="s">
        <v>1816</v>
      </c>
      <c r="E1197" s="8" t="s">
        <v>1817</v>
      </c>
      <c r="F1197" s="8" t="s">
        <v>1825</v>
      </c>
      <c r="G1197" s="4" t="s">
        <v>2878</v>
      </c>
      <c r="H1197" s="4" t="s">
        <v>2922</v>
      </c>
      <c r="I1197" s="8" t="s">
        <v>1826</v>
      </c>
      <c r="J1197" s="8" t="s">
        <v>31</v>
      </c>
      <c r="K1197" s="12">
        <f>_xlfn.XLOOKUP(B1197,[1]Sheet1!$B:$B,[1]Sheet1!$N:$N,0)</f>
        <v>0</v>
      </c>
      <c r="L1197" s="12">
        <f>_xlfn.XLOOKUP(B1197,[1]Sheet1!$B:$B,[1]Sheet1!$O:$O,0)</f>
        <v>0</v>
      </c>
      <c r="M1197" s="12">
        <f>_xlfn.XLOOKUP(B1197,[1]Sheet1!$B:$B,[1]Sheet1!$P:$P,0)</f>
        <v>0</v>
      </c>
      <c r="N1197" s="12">
        <f>_xlfn.XLOOKUP(B1197,[1]Sheet1!$B:$B,[1]Sheet1!$Q:$Q,0)</f>
        <v>1600000</v>
      </c>
      <c r="O1197" s="12">
        <f>_xlfn.XLOOKUP(B1197,[1]Sheet1!$B:$B,[1]Sheet1!$R:$R,0)</f>
        <v>400000</v>
      </c>
      <c r="P1197" s="12">
        <f>_xlfn.XLOOKUP(B1197,[1]Sheet1!$B:$B,[1]Sheet1!$S:$S,0)</f>
        <v>400000</v>
      </c>
      <c r="Q1197" s="12">
        <f>_xlfn.XLOOKUP(B1197,[1]Sheet1!$B:$B,[1]Sheet1!$T:$T,0)</f>
        <v>400000</v>
      </c>
      <c r="R1197" s="12">
        <f>_xlfn.XLOOKUP(B1197,[1]Sheet1!$B:$B,[1]Sheet1!$U:$U,0)</f>
        <v>400000</v>
      </c>
      <c r="S1197" s="12">
        <f>_xlfn.XLOOKUP(B1197,[1]Sheet1!$B:$B,[1]Sheet1!$V:$V,0)</f>
        <v>400000</v>
      </c>
      <c r="T1197" s="12">
        <f>_xlfn.XLOOKUP(B1197,[1]Sheet1!$B:$B,[1]Sheet1!$W:$W,0)</f>
        <v>400000</v>
      </c>
      <c r="U1197" s="12">
        <f>_xlfn.XLOOKUP(B1197,[1]Sheet1!$B:$B,[1]Sheet1!$X:$X,0)</f>
        <v>400000</v>
      </c>
      <c r="V1197" s="12">
        <f>_xlfn.XLOOKUP(B1197,[1]Sheet1!$B:$B,[1]Sheet1!$Y:$Y,0)</f>
        <v>300000</v>
      </c>
      <c r="W1197" s="12">
        <f t="shared" si="39"/>
        <v>4700000</v>
      </c>
      <c r="X1197" s="8" t="s">
        <v>1827</v>
      </c>
      <c r="Y1197" s="8" t="s">
        <v>132</v>
      </c>
      <c r="Z1197" s="8" t="s">
        <v>466</v>
      </c>
      <c r="AA1197" s="8" t="s">
        <v>1828</v>
      </c>
      <c r="AB1197" s="8" t="s">
        <v>36</v>
      </c>
      <c r="AC1197" s="8" t="s">
        <v>37</v>
      </c>
      <c r="AD1197" s="8" t="s">
        <v>468</v>
      </c>
      <c r="AE1197" s="8" t="s">
        <v>39</v>
      </c>
      <c r="AF1197" s="8" t="s">
        <v>40</v>
      </c>
      <c r="AG1197" s="9">
        <v>4700000</v>
      </c>
      <c r="AH1197" s="11">
        <f>_xlfn.XLOOKUP(B1197,[1]Sheet1!$B:$B,[1]Sheet1!$AB:$AB,0)</f>
        <v>4700000</v>
      </c>
    </row>
    <row r="1198" spans="2:34" ht="16.8" thickTop="1" thickBot="1" x14ac:dyDescent="0.35">
      <c r="B1198" s="3" t="str">
        <f t="shared" si="38"/>
        <v>45102304511001489Mission &amp; Travel-N423821200104</v>
      </c>
      <c r="C1198" s="6" t="s">
        <v>467</v>
      </c>
      <c r="D1198" s="6" t="s">
        <v>1816</v>
      </c>
      <c r="E1198" s="6" t="s">
        <v>1817</v>
      </c>
      <c r="F1198" s="6" t="s">
        <v>54</v>
      </c>
      <c r="G1198" s="4" t="s">
        <v>2805</v>
      </c>
      <c r="H1198" s="4" t="s">
        <v>2922</v>
      </c>
      <c r="I1198" s="6" t="s">
        <v>55</v>
      </c>
      <c r="J1198" s="6" t="s">
        <v>31</v>
      </c>
      <c r="K1198" s="12">
        <f>_xlfn.XLOOKUP(B1198,[1]Sheet1!$B:$B,[1]Sheet1!$N:$N,0)</f>
        <v>0</v>
      </c>
      <c r="L1198" s="12">
        <f>_xlfn.XLOOKUP(B1198,[1]Sheet1!$B:$B,[1]Sheet1!$O:$O,0)</f>
        <v>0</v>
      </c>
      <c r="M1198" s="12">
        <f>_xlfn.XLOOKUP(B1198,[1]Sheet1!$B:$B,[1]Sheet1!$P:$P,0)</f>
        <v>8500</v>
      </c>
      <c r="N1198" s="12">
        <f>_xlfn.XLOOKUP(B1198,[1]Sheet1!$B:$B,[1]Sheet1!$Q:$Q,0)</f>
        <v>64100</v>
      </c>
      <c r="O1198" s="12">
        <f>_xlfn.XLOOKUP(B1198,[1]Sheet1!$B:$B,[1]Sheet1!$R:$R,0)</f>
        <v>0</v>
      </c>
      <c r="P1198" s="12">
        <f>_xlfn.XLOOKUP(B1198,[1]Sheet1!$B:$B,[1]Sheet1!$S:$S,0)</f>
        <v>0</v>
      </c>
      <c r="Q1198" s="12">
        <f>_xlfn.XLOOKUP(B1198,[1]Sheet1!$B:$B,[1]Sheet1!$T:$T,0)</f>
        <v>0</v>
      </c>
      <c r="R1198" s="12">
        <f>_xlfn.XLOOKUP(B1198,[1]Sheet1!$B:$B,[1]Sheet1!$U:$U,0)</f>
        <v>37510</v>
      </c>
      <c r="S1198" s="12">
        <f>_xlfn.XLOOKUP(B1198,[1]Sheet1!$B:$B,[1]Sheet1!$V:$V,0)</f>
        <v>0</v>
      </c>
      <c r="T1198" s="12">
        <f>_xlfn.XLOOKUP(B1198,[1]Sheet1!$B:$B,[1]Sheet1!$W:$W,0)</f>
        <v>0</v>
      </c>
      <c r="U1198" s="12">
        <f>_xlfn.XLOOKUP(B1198,[1]Sheet1!$B:$B,[1]Sheet1!$X:$X,0)</f>
        <v>10890</v>
      </c>
      <c r="V1198" s="12">
        <f>_xlfn.XLOOKUP(B1198,[1]Sheet1!$B:$B,[1]Sheet1!$Y:$Y,0)</f>
        <v>0</v>
      </c>
      <c r="W1198" s="12">
        <f t="shared" si="39"/>
        <v>121000</v>
      </c>
      <c r="X1198" s="6" t="s">
        <v>473</v>
      </c>
      <c r="Y1198" s="6" t="s">
        <v>132</v>
      </c>
      <c r="Z1198" s="6" t="s">
        <v>466</v>
      </c>
      <c r="AA1198" s="6" t="s">
        <v>55</v>
      </c>
      <c r="AB1198" s="6" t="s">
        <v>36</v>
      </c>
      <c r="AC1198" s="6" t="s">
        <v>37</v>
      </c>
      <c r="AD1198" s="6" t="s">
        <v>468</v>
      </c>
      <c r="AE1198" s="6" t="s">
        <v>39</v>
      </c>
      <c r="AF1198" s="6" t="s">
        <v>40</v>
      </c>
      <c r="AG1198" s="7">
        <v>121000</v>
      </c>
      <c r="AH1198" s="11">
        <f>_xlfn.XLOOKUP(B1198,[1]Sheet1!$B:$B,[1]Sheet1!$AB:$AB,0)</f>
        <v>121000</v>
      </c>
    </row>
    <row r="1199" spans="2:34" ht="16.8" thickTop="1" thickBot="1" x14ac:dyDescent="0.35">
      <c r="B1199" s="3" t="str">
        <f t="shared" si="38"/>
        <v>45102304511001489Office Supplies-N431812200104</v>
      </c>
      <c r="C1199" s="8" t="s">
        <v>467</v>
      </c>
      <c r="D1199" s="8" t="s">
        <v>1816</v>
      </c>
      <c r="E1199" s="8" t="s">
        <v>1817</v>
      </c>
      <c r="F1199" s="8" t="s">
        <v>1829</v>
      </c>
      <c r="G1199" s="4" t="s">
        <v>2843</v>
      </c>
      <c r="H1199" s="4" t="s">
        <v>2922</v>
      </c>
      <c r="I1199" s="8" t="s">
        <v>459</v>
      </c>
      <c r="J1199" s="8" t="s">
        <v>31</v>
      </c>
      <c r="K1199" s="12">
        <f>_xlfn.XLOOKUP(B1199,[1]Sheet1!$B:$B,[1]Sheet1!$N:$N,0)</f>
        <v>0</v>
      </c>
      <c r="L1199" s="12">
        <f>_xlfn.XLOOKUP(B1199,[1]Sheet1!$B:$B,[1]Sheet1!$O:$O,0)</f>
        <v>0</v>
      </c>
      <c r="M1199" s="12">
        <f>_xlfn.XLOOKUP(B1199,[1]Sheet1!$B:$B,[1]Sheet1!$P:$P,0)</f>
        <v>0</v>
      </c>
      <c r="N1199" s="12">
        <f>_xlfn.XLOOKUP(B1199,[1]Sheet1!$B:$B,[1]Sheet1!$Q:$Q,0)</f>
        <v>94000</v>
      </c>
      <c r="O1199" s="12">
        <f>_xlfn.XLOOKUP(B1199,[1]Sheet1!$B:$B,[1]Sheet1!$R:$R,0)</f>
        <v>0</v>
      </c>
      <c r="P1199" s="12">
        <f>_xlfn.XLOOKUP(B1199,[1]Sheet1!$B:$B,[1]Sheet1!$S:$S,0)</f>
        <v>92000</v>
      </c>
      <c r="Q1199" s="12">
        <f>_xlfn.XLOOKUP(B1199,[1]Sheet1!$B:$B,[1]Sheet1!$T:$T,0)</f>
        <v>0</v>
      </c>
      <c r="R1199" s="12">
        <f>_xlfn.XLOOKUP(B1199,[1]Sheet1!$B:$B,[1]Sheet1!$U:$U,0)</f>
        <v>0</v>
      </c>
      <c r="S1199" s="12">
        <f>_xlfn.XLOOKUP(B1199,[1]Sheet1!$B:$B,[1]Sheet1!$V:$V,0)</f>
        <v>92000</v>
      </c>
      <c r="T1199" s="12">
        <f>_xlfn.XLOOKUP(B1199,[1]Sheet1!$B:$B,[1]Sheet1!$W:$W,0)</f>
        <v>0</v>
      </c>
      <c r="U1199" s="12">
        <f>_xlfn.XLOOKUP(B1199,[1]Sheet1!$B:$B,[1]Sheet1!$X:$X,0)</f>
        <v>0</v>
      </c>
      <c r="V1199" s="12">
        <f>_xlfn.XLOOKUP(B1199,[1]Sheet1!$B:$B,[1]Sheet1!$Y:$Y,0)</f>
        <v>0</v>
      </c>
      <c r="W1199" s="12">
        <f t="shared" si="39"/>
        <v>278000</v>
      </c>
      <c r="X1199" s="8" t="s">
        <v>1830</v>
      </c>
      <c r="Y1199" s="8" t="s">
        <v>132</v>
      </c>
      <c r="Z1199" s="8" t="s">
        <v>466</v>
      </c>
      <c r="AA1199" s="8" t="s">
        <v>459</v>
      </c>
      <c r="AB1199" s="8" t="s">
        <v>36</v>
      </c>
      <c r="AC1199" s="8" t="s">
        <v>37</v>
      </c>
      <c r="AD1199" s="8" t="s">
        <v>468</v>
      </c>
      <c r="AE1199" s="8" t="s">
        <v>39</v>
      </c>
      <c r="AF1199" s="8" t="s">
        <v>40</v>
      </c>
      <c r="AG1199" s="9">
        <v>278000</v>
      </c>
      <c r="AH1199" s="11">
        <f>_xlfn.XLOOKUP(B1199,[1]Sheet1!$B:$B,[1]Sheet1!$AB:$AB,0)</f>
        <v>278000</v>
      </c>
    </row>
    <row r="1200" spans="2:34" ht="16.8" thickTop="1" thickBot="1" x14ac:dyDescent="0.35">
      <c r="B1200" s="3" t="str">
        <f t="shared" si="38"/>
        <v>45102304511001489Other Expenses-N424991200104</v>
      </c>
      <c r="C1200" s="6" t="s">
        <v>467</v>
      </c>
      <c r="D1200" s="6" t="s">
        <v>1816</v>
      </c>
      <c r="E1200" s="6" t="s">
        <v>1817</v>
      </c>
      <c r="F1200" s="6" t="s">
        <v>57</v>
      </c>
      <c r="G1200" s="4" t="s">
        <v>2806</v>
      </c>
      <c r="H1200" s="4" t="s">
        <v>2922</v>
      </c>
      <c r="I1200" s="6" t="s">
        <v>58</v>
      </c>
      <c r="J1200" s="6" t="s">
        <v>31</v>
      </c>
      <c r="K1200" s="12">
        <f>_xlfn.XLOOKUP(B1200,[1]Sheet1!$B:$B,[1]Sheet1!$N:$N,0)</f>
        <v>0</v>
      </c>
      <c r="L1200" s="12">
        <f>_xlfn.XLOOKUP(B1200,[1]Sheet1!$B:$B,[1]Sheet1!$O:$O,0)</f>
        <v>0</v>
      </c>
      <c r="M1200" s="12">
        <f>_xlfn.XLOOKUP(B1200,[1]Sheet1!$B:$B,[1]Sheet1!$P:$P,0)</f>
        <v>0</v>
      </c>
      <c r="N1200" s="12">
        <f>_xlfn.XLOOKUP(B1200,[1]Sheet1!$B:$B,[1]Sheet1!$Q:$Q,0)</f>
        <v>44000</v>
      </c>
      <c r="O1200" s="12">
        <f>_xlfn.XLOOKUP(B1200,[1]Sheet1!$B:$B,[1]Sheet1!$R:$R,0)</f>
        <v>11000</v>
      </c>
      <c r="P1200" s="12">
        <f>_xlfn.XLOOKUP(B1200,[1]Sheet1!$B:$B,[1]Sheet1!$S:$S,0)</f>
        <v>11000</v>
      </c>
      <c r="Q1200" s="12">
        <f>_xlfn.XLOOKUP(B1200,[1]Sheet1!$B:$B,[1]Sheet1!$T:$T,0)</f>
        <v>11000</v>
      </c>
      <c r="R1200" s="12">
        <f>_xlfn.XLOOKUP(B1200,[1]Sheet1!$B:$B,[1]Sheet1!$U:$U,0)</f>
        <v>11000</v>
      </c>
      <c r="S1200" s="12">
        <f>_xlfn.XLOOKUP(B1200,[1]Sheet1!$B:$B,[1]Sheet1!$V:$V,0)</f>
        <v>11000</v>
      </c>
      <c r="T1200" s="12">
        <f>_xlfn.XLOOKUP(B1200,[1]Sheet1!$B:$B,[1]Sheet1!$W:$W,0)</f>
        <v>11000</v>
      </c>
      <c r="U1200" s="12">
        <f>_xlfn.XLOOKUP(B1200,[1]Sheet1!$B:$B,[1]Sheet1!$X:$X,0)</f>
        <v>11000</v>
      </c>
      <c r="V1200" s="12">
        <f>_xlfn.XLOOKUP(B1200,[1]Sheet1!$B:$B,[1]Sheet1!$Y:$Y,0)</f>
        <v>11000</v>
      </c>
      <c r="W1200" s="12">
        <f t="shared" si="39"/>
        <v>132000</v>
      </c>
      <c r="X1200" s="6" t="s">
        <v>668</v>
      </c>
      <c r="Y1200" s="6" t="s">
        <v>132</v>
      </c>
      <c r="Z1200" s="6" t="s">
        <v>466</v>
      </c>
      <c r="AA1200" s="6" t="s">
        <v>58</v>
      </c>
      <c r="AB1200" s="6" t="s">
        <v>36</v>
      </c>
      <c r="AC1200" s="6" t="s">
        <v>37</v>
      </c>
      <c r="AD1200" s="6" t="s">
        <v>468</v>
      </c>
      <c r="AE1200" s="6" t="s">
        <v>39</v>
      </c>
      <c r="AF1200" s="6" t="s">
        <v>40</v>
      </c>
      <c r="AG1200" s="7">
        <v>132000</v>
      </c>
      <c r="AH1200" s="11">
        <f>_xlfn.XLOOKUP(B1200,[1]Sheet1!$B:$B,[1]Sheet1!$AB:$AB,0)</f>
        <v>132000</v>
      </c>
    </row>
    <row r="1201" spans="2:34" ht="16.8" thickTop="1" thickBot="1" x14ac:dyDescent="0.35">
      <c r="B1201" s="3" t="str">
        <f t="shared" si="38"/>
        <v>45102304511001489Utilities-N423931200104</v>
      </c>
      <c r="C1201" s="8" t="s">
        <v>467</v>
      </c>
      <c r="D1201" s="8" t="s">
        <v>1816</v>
      </c>
      <c r="E1201" s="8" t="s">
        <v>1817</v>
      </c>
      <c r="F1201" s="8" t="s">
        <v>110</v>
      </c>
      <c r="G1201" s="4" t="s">
        <v>2818</v>
      </c>
      <c r="H1201" s="4" t="s">
        <v>2922</v>
      </c>
      <c r="I1201" s="8" t="s">
        <v>111</v>
      </c>
      <c r="J1201" s="8" t="s">
        <v>31</v>
      </c>
      <c r="K1201" s="12">
        <f>_xlfn.XLOOKUP(B1201,[1]Sheet1!$B:$B,[1]Sheet1!$N:$N,0)</f>
        <v>0</v>
      </c>
      <c r="L1201" s="12">
        <f>_xlfn.XLOOKUP(B1201,[1]Sheet1!$B:$B,[1]Sheet1!$O:$O,0)</f>
        <v>0</v>
      </c>
      <c r="M1201" s="12">
        <f>_xlfn.XLOOKUP(B1201,[1]Sheet1!$B:$B,[1]Sheet1!$P:$P,0)</f>
        <v>282194.86</v>
      </c>
      <c r="N1201" s="12">
        <f>_xlfn.XLOOKUP(B1201,[1]Sheet1!$B:$B,[1]Sheet1!$Q:$Q,0)</f>
        <v>484641.14</v>
      </c>
      <c r="O1201" s="12">
        <f>_xlfn.XLOOKUP(B1201,[1]Sheet1!$B:$B,[1]Sheet1!$R:$R,0)</f>
        <v>214058</v>
      </c>
      <c r="P1201" s="12">
        <f>_xlfn.XLOOKUP(B1201,[1]Sheet1!$B:$B,[1]Sheet1!$S:$S,0)</f>
        <v>214058</v>
      </c>
      <c r="Q1201" s="12">
        <f>_xlfn.XLOOKUP(B1201,[1]Sheet1!$B:$B,[1]Sheet1!$T:$T,0)</f>
        <v>214058</v>
      </c>
      <c r="R1201" s="12">
        <f>_xlfn.XLOOKUP(B1201,[1]Sheet1!$B:$B,[1]Sheet1!$U:$U,0)</f>
        <v>214058</v>
      </c>
      <c r="S1201" s="12">
        <f>_xlfn.XLOOKUP(B1201,[1]Sheet1!$B:$B,[1]Sheet1!$V:$V,0)</f>
        <v>291158</v>
      </c>
      <c r="T1201" s="12">
        <f>_xlfn.XLOOKUP(B1201,[1]Sheet1!$B:$B,[1]Sheet1!$W:$W,0)</f>
        <v>214058</v>
      </c>
      <c r="U1201" s="12">
        <f>_xlfn.XLOOKUP(B1201,[1]Sheet1!$B:$B,[1]Sheet1!$X:$X,0)</f>
        <v>214058</v>
      </c>
      <c r="V1201" s="12">
        <f>_xlfn.XLOOKUP(B1201,[1]Sheet1!$B:$B,[1]Sheet1!$Y:$Y,0)</f>
        <v>206163.39333333261</v>
      </c>
      <c r="W1201" s="12">
        <f t="shared" si="39"/>
        <v>2548505.3933333326</v>
      </c>
      <c r="X1201" s="8" t="s">
        <v>666</v>
      </c>
      <c r="Y1201" s="8" t="s">
        <v>132</v>
      </c>
      <c r="Z1201" s="8" t="s">
        <v>466</v>
      </c>
      <c r="AA1201" s="8" t="s">
        <v>111</v>
      </c>
      <c r="AB1201" s="8" t="s">
        <v>36</v>
      </c>
      <c r="AC1201" s="8" t="s">
        <v>37</v>
      </c>
      <c r="AD1201" s="8" t="s">
        <v>468</v>
      </c>
      <c r="AE1201" s="8" t="s">
        <v>39</v>
      </c>
      <c r="AF1201" s="8" t="s">
        <v>40</v>
      </c>
      <c r="AG1201" s="9">
        <v>2548505</v>
      </c>
      <c r="AH1201" s="11">
        <f>_xlfn.XLOOKUP(B1201,[1]Sheet1!$B:$B,[1]Sheet1!$AB:$AB,0)</f>
        <v>2548505.3933333326</v>
      </c>
    </row>
    <row r="1202" spans="2:34" ht="16.8" thickTop="1" thickBot="1" x14ac:dyDescent="0.35">
      <c r="B1202" s="3" t="str">
        <f t="shared" si="38"/>
        <v>45102304511001489Waste Mgmnt-N424591200104</v>
      </c>
      <c r="C1202" s="6" t="s">
        <v>467</v>
      </c>
      <c r="D1202" s="6" t="s">
        <v>1816</v>
      </c>
      <c r="E1202" s="6" t="s">
        <v>1817</v>
      </c>
      <c r="F1202" s="6" t="s">
        <v>382</v>
      </c>
      <c r="G1202" s="4" t="s">
        <v>2836</v>
      </c>
      <c r="H1202" s="4" t="s">
        <v>2922</v>
      </c>
      <c r="I1202" s="6" t="s">
        <v>383</v>
      </c>
      <c r="J1202" s="6" t="s">
        <v>31</v>
      </c>
      <c r="K1202" s="12">
        <f>_xlfn.XLOOKUP(B1202,[1]Sheet1!$B:$B,[1]Sheet1!$N:$N,0)</f>
        <v>0</v>
      </c>
      <c r="L1202" s="12">
        <f>_xlfn.XLOOKUP(B1202,[1]Sheet1!$B:$B,[1]Sheet1!$O:$O,0)</f>
        <v>0</v>
      </c>
      <c r="M1202" s="12">
        <f>_xlfn.XLOOKUP(B1202,[1]Sheet1!$B:$B,[1]Sheet1!$P:$P,0)</f>
        <v>0</v>
      </c>
      <c r="N1202" s="12">
        <f>_xlfn.XLOOKUP(B1202,[1]Sheet1!$B:$B,[1]Sheet1!$Q:$Q,0)</f>
        <v>15000</v>
      </c>
      <c r="O1202" s="12">
        <f>_xlfn.XLOOKUP(B1202,[1]Sheet1!$B:$B,[1]Sheet1!$R:$R,0)</f>
        <v>3750</v>
      </c>
      <c r="P1202" s="12">
        <f>_xlfn.XLOOKUP(B1202,[1]Sheet1!$B:$B,[1]Sheet1!$S:$S,0)</f>
        <v>3750</v>
      </c>
      <c r="Q1202" s="12">
        <f>_xlfn.XLOOKUP(B1202,[1]Sheet1!$B:$B,[1]Sheet1!$T:$T,0)</f>
        <v>3750</v>
      </c>
      <c r="R1202" s="12">
        <f>_xlfn.XLOOKUP(B1202,[1]Sheet1!$B:$B,[1]Sheet1!$U:$U,0)</f>
        <v>3750</v>
      </c>
      <c r="S1202" s="12">
        <f>_xlfn.XLOOKUP(B1202,[1]Sheet1!$B:$B,[1]Sheet1!$V:$V,0)</f>
        <v>3750</v>
      </c>
      <c r="T1202" s="12">
        <f>_xlfn.XLOOKUP(B1202,[1]Sheet1!$B:$B,[1]Sheet1!$W:$W,0)</f>
        <v>3750</v>
      </c>
      <c r="U1202" s="12">
        <f>_xlfn.XLOOKUP(B1202,[1]Sheet1!$B:$B,[1]Sheet1!$X:$X,0)</f>
        <v>3750</v>
      </c>
      <c r="V1202" s="12">
        <f>_xlfn.XLOOKUP(B1202,[1]Sheet1!$B:$B,[1]Sheet1!$Y:$Y,0)</f>
        <v>3750</v>
      </c>
      <c r="W1202" s="12">
        <f t="shared" si="39"/>
        <v>45000</v>
      </c>
      <c r="X1202" s="6" t="s">
        <v>1831</v>
      </c>
      <c r="Y1202" s="6" t="s">
        <v>132</v>
      </c>
      <c r="Z1202" s="6" t="s">
        <v>466</v>
      </c>
      <c r="AA1202" s="6" t="s">
        <v>383</v>
      </c>
      <c r="AB1202" s="6" t="s">
        <v>36</v>
      </c>
      <c r="AC1202" s="6" t="s">
        <v>37</v>
      </c>
      <c r="AD1202" s="6" t="s">
        <v>468</v>
      </c>
      <c r="AE1202" s="6" t="s">
        <v>39</v>
      </c>
      <c r="AF1202" s="6" t="s">
        <v>40</v>
      </c>
      <c r="AG1202" s="7">
        <v>45000</v>
      </c>
      <c r="AH1202" s="11">
        <f>_xlfn.XLOOKUP(B1202,[1]Sheet1!$B:$B,[1]Sheet1!$AB:$AB,0)</f>
        <v>45000</v>
      </c>
    </row>
    <row r="1203" spans="2:34" ht="16.8" thickTop="1" thickBot="1" x14ac:dyDescent="0.35">
      <c r="B1203" s="3" t="str">
        <f t="shared" si="38"/>
        <v>45159004511001490Admin Expenses-N421125200104</v>
      </c>
      <c r="C1203" s="8" t="s">
        <v>827</v>
      </c>
      <c r="D1203" s="8" t="s">
        <v>1832</v>
      </c>
      <c r="E1203" s="8" t="s">
        <v>1833</v>
      </c>
      <c r="F1203" s="8" t="s">
        <v>130</v>
      </c>
      <c r="G1203" s="4" t="s">
        <v>2803</v>
      </c>
      <c r="H1203" s="4" t="s">
        <v>2922</v>
      </c>
      <c r="I1203" s="8" t="s">
        <v>44</v>
      </c>
      <c r="J1203" s="8" t="s">
        <v>31</v>
      </c>
      <c r="K1203" s="12">
        <f>_xlfn.XLOOKUP(B1203,[1]Sheet1!$B:$B,[1]Sheet1!$N:$N,0)</f>
        <v>0</v>
      </c>
      <c r="L1203" s="12">
        <f>_xlfn.XLOOKUP(B1203,[1]Sheet1!$B:$B,[1]Sheet1!$O:$O,0)</f>
        <v>0</v>
      </c>
      <c r="M1203" s="12">
        <f>_xlfn.XLOOKUP(B1203,[1]Sheet1!$B:$B,[1]Sheet1!$P:$P,0)</f>
        <v>0</v>
      </c>
      <c r="N1203" s="12">
        <f>_xlfn.XLOOKUP(B1203,[1]Sheet1!$B:$B,[1]Sheet1!$Q:$Q,0)</f>
        <v>0</v>
      </c>
      <c r="O1203" s="12">
        <f>_xlfn.XLOOKUP(B1203,[1]Sheet1!$B:$B,[1]Sheet1!$R:$R,0)</f>
        <v>0</v>
      </c>
      <c r="P1203" s="12">
        <f>_xlfn.XLOOKUP(B1203,[1]Sheet1!$B:$B,[1]Sheet1!$S:$S,0)</f>
        <v>0</v>
      </c>
      <c r="Q1203" s="12">
        <f>_xlfn.XLOOKUP(B1203,[1]Sheet1!$B:$B,[1]Sheet1!$T:$T,0)</f>
        <v>50000</v>
      </c>
      <c r="R1203" s="12">
        <f>_xlfn.XLOOKUP(B1203,[1]Sheet1!$B:$B,[1]Sheet1!$U:$U,0)</f>
        <v>0</v>
      </c>
      <c r="S1203" s="12">
        <f>_xlfn.XLOOKUP(B1203,[1]Sheet1!$B:$B,[1]Sheet1!$V:$V,0)</f>
        <v>0</v>
      </c>
      <c r="T1203" s="12">
        <f>_xlfn.XLOOKUP(B1203,[1]Sheet1!$B:$B,[1]Sheet1!$W:$W,0)</f>
        <v>0</v>
      </c>
      <c r="U1203" s="12">
        <f>_xlfn.XLOOKUP(B1203,[1]Sheet1!$B:$B,[1]Sheet1!$X:$X,0)</f>
        <v>0</v>
      </c>
      <c r="V1203" s="12">
        <f>_xlfn.XLOOKUP(B1203,[1]Sheet1!$B:$B,[1]Sheet1!$Y:$Y,0)</f>
        <v>50000</v>
      </c>
      <c r="W1203" s="12">
        <f t="shared" si="39"/>
        <v>100000</v>
      </c>
      <c r="X1203" s="8" t="s">
        <v>1834</v>
      </c>
      <c r="Y1203" s="8" t="s">
        <v>211</v>
      </c>
      <c r="Z1203" s="8" t="s">
        <v>826</v>
      </c>
      <c r="AA1203" s="8" t="s">
        <v>44</v>
      </c>
      <c r="AB1203" s="8" t="s">
        <v>36</v>
      </c>
      <c r="AC1203" s="8" t="s">
        <v>37</v>
      </c>
      <c r="AD1203" s="8" t="s">
        <v>342</v>
      </c>
      <c r="AE1203" s="8" t="s">
        <v>39</v>
      </c>
      <c r="AF1203" s="8" t="s">
        <v>40</v>
      </c>
      <c r="AG1203" s="9">
        <v>100000</v>
      </c>
      <c r="AH1203" s="11">
        <f>_xlfn.XLOOKUP(B1203,[1]Sheet1!$B:$B,[1]Sheet1!$AB:$AB,0)</f>
        <v>100000</v>
      </c>
    </row>
    <row r="1204" spans="2:34" ht="16.8" thickTop="1" thickBot="1" x14ac:dyDescent="0.35">
      <c r="B1204" s="3" t="str">
        <f t="shared" si="38"/>
        <v>45159004511001490CampaignProductn-N422511200104</v>
      </c>
      <c r="C1204" s="6" t="s">
        <v>827</v>
      </c>
      <c r="D1204" s="6" t="s">
        <v>1832</v>
      </c>
      <c r="E1204" s="6" t="s">
        <v>1833</v>
      </c>
      <c r="F1204" s="6" t="s">
        <v>1137</v>
      </c>
      <c r="G1204" s="4" t="s">
        <v>2819</v>
      </c>
      <c r="H1204" s="4" t="s">
        <v>2922</v>
      </c>
      <c r="I1204" s="6" t="s">
        <v>151</v>
      </c>
      <c r="J1204" s="6" t="s">
        <v>31</v>
      </c>
      <c r="K1204" s="12">
        <f>_xlfn.XLOOKUP(B1204,[1]Sheet1!$B:$B,[1]Sheet1!$N:$N,0)</f>
        <v>0</v>
      </c>
      <c r="L1204" s="12">
        <f>_xlfn.XLOOKUP(B1204,[1]Sheet1!$B:$B,[1]Sheet1!$O:$O,0)</f>
        <v>0</v>
      </c>
      <c r="M1204" s="12">
        <f>_xlfn.XLOOKUP(B1204,[1]Sheet1!$B:$B,[1]Sheet1!$P:$P,0)</f>
        <v>0</v>
      </c>
      <c r="N1204" s="12">
        <f>_xlfn.XLOOKUP(B1204,[1]Sheet1!$B:$B,[1]Sheet1!$Q:$Q,0)</f>
        <v>0</v>
      </c>
      <c r="O1204" s="12">
        <f>_xlfn.XLOOKUP(B1204,[1]Sheet1!$B:$B,[1]Sheet1!$R:$R,0)</f>
        <v>0</v>
      </c>
      <c r="P1204" s="12">
        <f>_xlfn.XLOOKUP(B1204,[1]Sheet1!$B:$B,[1]Sheet1!$S:$S,0)</f>
        <v>0</v>
      </c>
      <c r="Q1204" s="12">
        <f>_xlfn.XLOOKUP(B1204,[1]Sheet1!$B:$B,[1]Sheet1!$T:$T,0)</f>
        <v>76461</v>
      </c>
      <c r="R1204" s="12">
        <f>_xlfn.XLOOKUP(B1204,[1]Sheet1!$B:$B,[1]Sheet1!$U:$U,0)</f>
        <v>0</v>
      </c>
      <c r="S1204" s="12">
        <f>_xlfn.XLOOKUP(B1204,[1]Sheet1!$B:$B,[1]Sheet1!$V:$V,0)</f>
        <v>0</v>
      </c>
      <c r="T1204" s="12">
        <f>_xlfn.XLOOKUP(B1204,[1]Sheet1!$B:$B,[1]Sheet1!$W:$W,0)</f>
        <v>0</v>
      </c>
      <c r="U1204" s="12">
        <f>_xlfn.XLOOKUP(B1204,[1]Sheet1!$B:$B,[1]Sheet1!$X:$X,0)</f>
        <v>68182</v>
      </c>
      <c r="V1204" s="12">
        <f>_xlfn.XLOOKUP(B1204,[1]Sheet1!$B:$B,[1]Sheet1!$Y:$Y,0)</f>
        <v>78638</v>
      </c>
      <c r="W1204" s="12">
        <f t="shared" si="39"/>
        <v>223281</v>
      </c>
      <c r="X1204" s="6" t="s">
        <v>1835</v>
      </c>
      <c r="Y1204" s="6" t="s">
        <v>211</v>
      </c>
      <c r="Z1204" s="6" t="s">
        <v>826</v>
      </c>
      <c r="AA1204" s="6" t="s">
        <v>151</v>
      </c>
      <c r="AB1204" s="6" t="s">
        <v>36</v>
      </c>
      <c r="AC1204" s="6" t="s">
        <v>37</v>
      </c>
      <c r="AD1204" s="6" t="s">
        <v>342</v>
      </c>
      <c r="AE1204" s="6" t="s">
        <v>39</v>
      </c>
      <c r="AF1204" s="6" t="s">
        <v>40</v>
      </c>
      <c r="AG1204" s="7">
        <v>58281</v>
      </c>
      <c r="AH1204" s="11">
        <f>_xlfn.XLOOKUP(B1204,[1]Sheet1!$B:$B,[1]Sheet1!$AB:$AB,0)</f>
        <v>58281</v>
      </c>
    </row>
    <row r="1205" spans="2:34" ht="16.8" thickTop="1" thickBot="1" x14ac:dyDescent="0.35">
      <c r="B1205" s="3" t="str">
        <f t="shared" si="38"/>
        <v>45159004511001490Hospitality-N424761200104</v>
      </c>
      <c r="C1205" s="8" t="s">
        <v>827</v>
      </c>
      <c r="D1205" s="8" t="s">
        <v>1832</v>
      </c>
      <c r="E1205" s="8" t="s">
        <v>1833</v>
      </c>
      <c r="F1205" s="8" t="s">
        <v>83</v>
      </c>
      <c r="G1205" s="4" t="s">
        <v>2811</v>
      </c>
      <c r="H1205" s="4" t="s">
        <v>2922</v>
      </c>
      <c r="I1205" s="8" t="s">
        <v>84</v>
      </c>
      <c r="J1205" s="8" t="s">
        <v>31</v>
      </c>
      <c r="K1205" s="12">
        <f>_xlfn.XLOOKUP(B1205,[1]Sheet1!$B:$B,[1]Sheet1!$N:$N,0)</f>
        <v>0</v>
      </c>
      <c r="L1205" s="12">
        <f>_xlfn.XLOOKUP(B1205,[1]Sheet1!$B:$B,[1]Sheet1!$O:$O,0)</f>
        <v>0</v>
      </c>
      <c r="M1205" s="12">
        <f>_xlfn.XLOOKUP(B1205,[1]Sheet1!$B:$B,[1]Sheet1!$P:$P,0)</f>
        <v>0</v>
      </c>
      <c r="N1205" s="12">
        <f>_xlfn.XLOOKUP(B1205,[1]Sheet1!$B:$B,[1]Sheet1!$Q:$Q,0)</f>
        <v>27500</v>
      </c>
      <c r="O1205" s="12">
        <f>_xlfn.XLOOKUP(B1205,[1]Sheet1!$B:$B,[1]Sheet1!$R:$R,0)</f>
        <v>0</v>
      </c>
      <c r="P1205" s="12">
        <f>_xlfn.XLOOKUP(B1205,[1]Sheet1!$B:$B,[1]Sheet1!$S:$S,0)</f>
        <v>0</v>
      </c>
      <c r="Q1205" s="12">
        <f>_xlfn.XLOOKUP(B1205,[1]Sheet1!$B:$B,[1]Sheet1!$T:$T,0)</f>
        <v>0</v>
      </c>
      <c r="R1205" s="12">
        <f>_xlfn.XLOOKUP(B1205,[1]Sheet1!$B:$B,[1]Sheet1!$U:$U,0)</f>
        <v>0</v>
      </c>
      <c r="S1205" s="12">
        <f>_xlfn.XLOOKUP(B1205,[1]Sheet1!$B:$B,[1]Sheet1!$V:$V,0)</f>
        <v>0</v>
      </c>
      <c r="T1205" s="12">
        <f>_xlfn.XLOOKUP(B1205,[1]Sheet1!$B:$B,[1]Sheet1!$W:$W,0)</f>
        <v>10000</v>
      </c>
      <c r="U1205" s="12">
        <f>_xlfn.XLOOKUP(B1205,[1]Sheet1!$B:$B,[1]Sheet1!$X:$X,0)</f>
        <v>0</v>
      </c>
      <c r="V1205" s="12">
        <f>_xlfn.XLOOKUP(B1205,[1]Sheet1!$B:$B,[1]Sheet1!$Y:$Y,0)</f>
        <v>17500</v>
      </c>
      <c r="W1205" s="12">
        <f t="shared" si="39"/>
        <v>55000</v>
      </c>
      <c r="X1205" s="8" t="s">
        <v>1836</v>
      </c>
      <c r="Y1205" s="8" t="s">
        <v>211</v>
      </c>
      <c r="Z1205" s="8" t="s">
        <v>826</v>
      </c>
      <c r="AA1205" s="8" t="s">
        <v>84</v>
      </c>
      <c r="AB1205" s="8" t="s">
        <v>36</v>
      </c>
      <c r="AC1205" s="8" t="s">
        <v>37</v>
      </c>
      <c r="AD1205" s="8" t="s">
        <v>342</v>
      </c>
      <c r="AE1205" s="8" t="s">
        <v>39</v>
      </c>
      <c r="AF1205" s="8" t="s">
        <v>40</v>
      </c>
      <c r="AG1205" s="9">
        <v>55000</v>
      </c>
      <c r="AH1205" s="11">
        <f>_xlfn.XLOOKUP(B1205,[1]Sheet1!$B:$B,[1]Sheet1!$AB:$AB,0)</f>
        <v>55000</v>
      </c>
    </row>
    <row r="1206" spans="2:34" ht="16.8" thickTop="1" thickBot="1" x14ac:dyDescent="0.35">
      <c r="B1206" s="3" t="str">
        <f t="shared" si="38"/>
        <v>45159004511001490Mission &amp; Travel-N423821200104</v>
      </c>
      <c r="C1206" s="6" t="s">
        <v>827</v>
      </c>
      <c r="D1206" s="6" t="s">
        <v>1832</v>
      </c>
      <c r="E1206" s="6" t="s">
        <v>1833</v>
      </c>
      <c r="F1206" s="6" t="s">
        <v>54</v>
      </c>
      <c r="G1206" s="4" t="s">
        <v>2805</v>
      </c>
      <c r="H1206" s="4" t="s">
        <v>2922</v>
      </c>
      <c r="I1206" s="6" t="s">
        <v>55</v>
      </c>
      <c r="J1206" s="6" t="s">
        <v>31</v>
      </c>
      <c r="K1206" s="12">
        <f>_xlfn.XLOOKUP(B1206,[1]Sheet1!$B:$B,[1]Sheet1!$N:$N,0)</f>
        <v>0</v>
      </c>
      <c r="L1206" s="12">
        <f>_xlfn.XLOOKUP(B1206,[1]Sheet1!$B:$B,[1]Sheet1!$O:$O,0)</f>
        <v>0</v>
      </c>
      <c r="M1206" s="12">
        <f>_xlfn.XLOOKUP(B1206,[1]Sheet1!$B:$B,[1]Sheet1!$P:$P,0)</f>
        <v>0</v>
      </c>
      <c r="N1206" s="12">
        <f>_xlfn.XLOOKUP(B1206,[1]Sheet1!$B:$B,[1]Sheet1!$Q:$Q,0)</f>
        <v>0</v>
      </c>
      <c r="O1206" s="12">
        <f>_xlfn.XLOOKUP(B1206,[1]Sheet1!$B:$B,[1]Sheet1!$R:$R,0)</f>
        <v>0</v>
      </c>
      <c r="P1206" s="12">
        <f>_xlfn.XLOOKUP(B1206,[1]Sheet1!$B:$B,[1]Sheet1!$S:$S,0)</f>
        <v>51000</v>
      </c>
      <c r="Q1206" s="12">
        <f>_xlfn.XLOOKUP(B1206,[1]Sheet1!$B:$B,[1]Sheet1!$T:$T,0)</f>
        <v>133000</v>
      </c>
      <c r="R1206" s="12">
        <f>_xlfn.XLOOKUP(B1206,[1]Sheet1!$B:$B,[1]Sheet1!$U:$U,0)</f>
        <v>22000</v>
      </c>
      <c r="S1206" s="12">
        <f>_xlfn.XLOOKUP(B1206,[1]Sheet1!$B:$B,[1]Sheet1!$V:$V,0)</f>
        <v>0</v>
      </c>
      <c r="T1206" s="12">
        <f>_xlfn.XLOOKUP(B1206,[1]Sheet1!$B:$B,[1]Sheet1!$W:$W,0)</f>
        <v>35000</v>
      </c>
      <c r="U1206" s="12">
        <f>_xlfn.XLOOKUP(B1206,[1]Sheet1!$B:$B,[1]Sheet1!$X:$X,0)</f>
        <v>26818</v>
      </c>
      <c r="V1206" s="12">
        <f>_xlfn.XLOOKUP(B1206,[1]Sheet1!$B:$B,[1]Sheet1!$Y:$Y,0)</f>
        <v>24500</v>
      </c>
      <c r="W1206" s="12">
        <f t="shared" si="39"/>
        <v>292318</v>
      </c>
      <c r="X1206" s="6" t="s">
        <v>828</v>
      </c>
      <c r="Y1206" s="6" t="s">
        <v>211</v>
      </c>
      <c r="Z1206" s="6" t="s">
        <v>826</v>
      </c>
      <c r="AA1206" s="6" t="s">
        <v>55</v>
      </c>
      <c r="AB1206" s="6" t="s">
        <v>36</v>
      </c>
      <c r="AC1206" s="6" t="s">
        <v>37</v>
      </c>
      <c r="AD1206" s="6" t="s">
        <v>214</v>
      </c>
      <c r="AE1206" s="6" t="s">
        <v>39</v>
      </c>
      <c r="AF1206" s="6" t="s">
        <v>40</v>
      </c>
      <c r="AG1206" s="7">
        <v>292318</v>
      </c>
      <c r="AH1206" s="11">
        <f>_xlfn.XLOOKUP(B1206,[1]Sheet1!$B:$B,[1]Sheet1!$AB:$AB,0)</f>
        <v>292318</v>
      </c>
    </row>
    <row r="1207" spans="2:34" ht="16.8" thickTop="1" thickBot="1" x14ac:dyDescent="0.35">
      <c r="B1207" s="3" t="str">
        <f t="shared" si="38"/>
        <v>45159004511001491Admin Expenses-N421125200104</v>
      </c>
      <c r="C1207" s="8" t="s">
        <v>827</v>
      </c>
      <c r="D1207" s="8" t="s">
        <v>1837</v>
      </c>
      <c r="E1207" s="8" t="s">
        <v>1838</v>
      </c>
      <c r="F1207" s="8" t="s">
        <v>130</v>
      </c>
      <c r="G1207" s="4" t="s">
        <v>2803</v>
      </c>
      <c r="H1207" s="4" t="s">
        <v>2922</v>
      </c>
      <c r="I1207" s="8" t="s">
        <v>44</v>
      </c>
      <c r="J1207" s="8" t="s">
        <v>31</v>
      </c>
      <c r="K1207" s="12">
        <f>_xlfn.XLOOKUP(B1207,[1]Sheet1!$B:$B,[1]Sheet1!$N:$N,0)</f>
        <v>0</v>
      </c>
      <c r="L1207" s="12">
        <f>_xlfn.XLOOKUP(B1207,[1]Sheet1!$B:$B,[1]Sheet1!$O:$O,0)</f>
        <v>0</v>
      </c>
      <c r="M1207" s="12">
        <f>_xlfn.XLOOKUP(B1207,[1]Sheet1!$B:$B,[1]Sheet1!$P:$P,0)</f>
        <v>0</v>
      </c>
      <c r="N1207" s="12">
        <f>_xlfn.XLOOKUP(B1207,[1]Sheet1!$B:$B,[1]Sheet1!$Q:$Q,0)</f>
        <v>0</v>
      </c>
      <c r="O1207" s="12">
        <f>_xlfn.XLOOKUP(B1207,[1]Sheet1!$B:$B,[1]Sheet1!$R:$R,0)</f>
        <v>0</v>
      </c>
      <c r="P1207" s="12">
        <f>_xlfn.XLOOKUP(B1207,[1]Sheet1!$B:$B,[1]Sheet1!$S:$S,0)</f>
        <v>0</v>
      </c>
      <c r="Q1207" s="12">
        <f>_xlfn.XLOOKUP(B1207,[1]Sheet1!$B:$B,[1]Sheet1!$T:$T,0)</f>
        <v>0</v>
      </c>
      <c r="R1207" s="12">
        <f>_xlfn.XLOOKUP(B1207,[1]Sheet1!$B:$B,[1]Sheet1!$U:$U,0)</f>
        <v>0</v>
      </c>
      <c r="S1207" s="12">
        <f>_xlfn.XLOOKUP(B1207,[1]Sheet1!$B:$B,[1]Sheet1!$V:$V,0)</f>
        <v>0</v>
      </c>
      <c r="T1207" s="12">
        <f>_xlfn.XLOOKUP(B1207,[1]Sheet1!$B:$B,[1]Sheet1!$W:$W,0)</f>
        <v>0</v>
      </c>
      <c r="U1207" s="12">
        <f>_xlfn.XLOOKUP(B1207,[1]Sheet1!$B:$B,[1]Sheet1!$X:$X,0)</f>
        <v>0</v>
      </c>
      <c r="V1207" s="12">
        <f>_xlfn.XLOOKUP(B1207,[1]Sheet1!$B:$B,[1]Sheet1!$Y:$Y,0)</f>
        <v>20000</v>
      </c>
      <c r="W1207" s="12">
        <f t="shared" si="39"/>
        <v>20000</v>
      </c>
      <c r="X1207" s="8" t="s">
        <v>1834</v>
      </c>
      <c r="Y1207" s="8" t="s">
        <v>211</v>
      </c>
      <c r="Z1207" s="8" t="s">
        <v>826</v>
      </c>
      <c r="AA1207" s="8" t="s">
        <v>44</v>
      </c>
      <c r="AB1207" s="8" t="s">
        <v>36</v>
      </c>
      <c r="AC1207" s="8" t="s">
        <v>37</v>
      </c>
      <c r="AD1207" s="8" t="s">
        <v>342</v>
      </c>
      <c r="AE1207" s="8" t="s">
        <v>39</v>
      </c>
      <c r="AF1207" s="8" t="s">
        <v>40</v>
      </c>
      <c r="AG1207" s="9">
        <v>20000</v>
      </c>
      <c r="AH1207" s="11">
        <f>_xlfn.XLOOKUP(B1207,[1]Sheet1!$B:$B,[1]Sheet1!$AB:$AB,0)</f>
        <v>20000</v>
      </c>
    </row>
    <row r="1208" spans="2:34" ht="16.8" thickTop="1" thickBot="1" x14ac:dyDescent="0.35">
      <c r="B1208" s="3" t="str">
        <f t="shared" si="38"/>
        <v>45159004511001491Mission &amp; Travel-N423821200104</v>
      </c>
      <c r="C1208" s="6" t="s">
        <v>827</v>
      </c>
      <c r="D1208" s="6" t="s">
        <v>1837</v>
      </c>
      <c r="E1208" s="6" t="s">
        <v>1838</v>
      </c>
      <c r="F1208" s="6" t="s">
        <v>54</v>
      </c>
      <c r="G1208" s="4" t="s">
        <v>2805</v>
      </c>
      <c r="H1208" s="4" t="s">
        <v>2922</v>
      </c>
      <c r="I1208" s="6" t="s">
        <v>55</v>
      </c>
      <c r="J1208" s="6" t="s">
        <v>31</v>
      </c>
      <c r="K1208" s="12">
        <f>_xlfn.XLOOKUP(B1208,[1]Sheet1!$B:$B,[1]Sheet1!$N:$N,0)</f>
        <v>0</v>
      </c>
      <c r="L1208" s="12">
        <f>_xlfn.XLOOKUP(B1208,[1]Sheet1!$B:$B,[1]Sheet1!$O:$O,0)</f>
        <v>0</v>
      </c>
      <c r="M1208" s="12">
        <f>_xlfn.XLOOKUP(B1208,[1]Sheet1!$B:$B,[1]Sheet1!$P:$P,0)</f>
        <v>1600</v>
      </c>
      <c r="N1208" s="12">
        <f>_xlfn.XLOOKUP(B1208,[1]Sheet1!$B:$B,[1]Sheet1!$Q:$Q,0)</f>
        <v>0</v>
      </c>
      <c r="O1208" s="12">
        <f>_xlfn.XLOOKUP(B1208,[1]Sheet1!$B:$B,[1]Sheet1!$R:$R,0)</f>
        <v>0</v>
      </c>
      <c r="P1208" s="12">
        <f>_xlfn.XLOOKUP(B1208,[1]Sheet1!$B:$B,[1]Sheet1!$S:$S,0)</f>
        <v>16400</v>
      </c>
      <c r="Q1208" s="12">
        <f>_xlfn.XLOOKUP(B1208,[1]Sheet1!$B:$B,[1]Sheet1!$T:$T,0)</f>
        <v>0</v>
      </c>
      <c r="R1208" s="12">
        <f>_xlfn.XLOOKUP(B1208,[1]Sheet1!$B:$B,[1]Sheet1!$U:$U,0)</f>
        <v>0</v>
      </c>
      <c r="S1208" s="12">
        <f>_xlfn.XLOOKUP(B1208,[1]Sheet1!$B:$B,[1]Sheet1!$V:$V,0)</f>
        <v>0</v>
      </c>
      <c r="T1208" s="12">
        <f>_xlfn.XLOOKUP(B1208,[1]Sheet1!$B:$B,[1]Sheet1!$W:$W,0)</f>
        <v>44000</v>
      </c>
      <c r="U1208" s="12">
        <f>_xlfn.XLOOKUP(B1208,[1]Sheet1!$B:$B,[1]Sheet1!$X:$X,0)</f>
        <v>50000</v>
      </c>
      <c r="V1208" s="12">
        <f>_xlfn.XLOOKUP(B1208,[1]Sheet1!$B:$B,[1]Sheet1!$Y:$Y,0)</f>
        <v>10000</v>
      </c>
      <c r="W1208" s="12">
        <f t="shared" si="39"/>
        <v>122000</v>
      </c>
      <c r="X1208" s="6" t="s">
        <v>828</v>
      </c>
      <c r="Y1208" s="6" t="s">
        <v>211</v>
      </c>
      <c r="Z1208" s="6" t="s">
        <v>826</v>
      </c>
      <c r="AA1208" s="6" t="s">
        <v>55</v>
      </c>
      <c r="AB1208" s="6" t="s">
        <v>36</v>
      </c>
      <c r="AC1208" s="6" t="s">
        <v>37</v>
      </c>
      <c r="AD1208" s="6" t="s">
        <v>214</v>
      </c>
      <c r="AE1208" s="6" t="s">
        <v>39</v>
      </c>
      <c r="AF1208" s="6" t="s">
        <v>40</v>
      </c>
      <c r="AG1208" s="7">
        <v>122000</v>
      </c>
      <c r="AH1208" s="11">
        <f>_xlfn.XLOOKUP(B1208,[1]Sheet1!$B:$B,[1]Sheet1!$AB:$AB,0)</f>
        <v>122000</v>
      </c>
    </row>
    <row r="1209" spans="2:34" ht="16.8" thickTop="1" thickBot="1" x14ac:dyDescent="0.35">
      <c r="B1209" s="3" t="str">
        <f t="shared" si="38"/>
        <v>45159004511001491Trade Promotion-N424251200104</v>
      </c>
      <c r="C1209" s="8" t="s">
        <v>827</v>
      </c>
      <c r="D1209" s="8" t="s">
        <v>1837</v>
      </c>
      <c r="E1209" s="8" t="s">
        <v>1838</v>
      </c>
      <c r="F1209" s="8" t="s">
        <v>748</v>
      </c>
      <c r="G1209" s="4" t="s">
        <v>2852</v>
      </c>
      <c r="H1209" s="4" t="s">
        <v>2922</v>
      </c>
      <c r="I1209" s="8" t="s">
        <v>569</v>
      </c>
      <c r="J1209" s="8" t="s">
        <v>31</v>
      </c>
      <c r="K1209" s="12">
        <f>_xlfn.XLOOKUP(B1209,[1]Sheet1!$B:$B,[1]Sheet1!$N:$N,0)</f>
        <v>0</v>
      </c>
      <c r="L1209" s="12">
        <f>_xlfn.XLOOKUP(B1209,[1]Sheet1!$B:$B,[1]Sheet1!$O:$O,0)</f>
        <v>0</v>
      </c>
      <c r="M1209" s="12">
        <f>_xlfn.XLOOKUP(B1209,[1]Sheet1!$B:$B,[1]Sheet1!$P:$P,0)</f>
        <v>0</v>
      </c>
      <c r="N1209" s="12">
        <f>_xlfn.XLOOKUP(B1209,[1]Sheet1!$B:$B,[1]Sheet1!$Q:$Q,0)</f>
        <v>0</v>
      </c>
      <c r="O1209" s="12">
        <f>_xlfn.XLOOKUP(B1209,[1]Sheet1!$B:$B,[1]Sheet1!$R:$R,0)</f>
        <v>0</v>
      </c>
      <c r="P1209" s="12">
        <f>_xlfn.XLOOKUP(B1209,[1]Sheet1!$B:$B,[1]Sheet1!$S:$S,0)</f>
        <v>0</v>
      </c>
      <c r="Q1209" s="12">
        <f>_xlfn.XLOOKUP(B1209,[1]Sheet1!$B:$B,[1]Sheet1!$T:$T,0)</f>
        <v>0</v>
      </c>
      <c r="R1209" s="12">
        <f>_xlfn.XLOOKUP(B1209,[1]Sheet1!$B:$B,[1]Sheet1!$U:$U,0)</f>
        <v>100000</v>
      </c>
      <c r="S1209" s="12">
        <f>_xlfn.XLOOKUP(B1209,[1]Sheet1!$B:$B,[1]Sheet1!$V:$V,0)</f>
        <v>0</v>
      </c>
      <c r="T1209" s="12">
        <f>_xlfn.XLOOKUP(B1209,[1]Sheet1!$B:$B,[1]Sheet1!$W:$W,0)</f>
        <v>114000</v>
      </c>
      <c r="U1209" s="12">
        <f>_xlfn.XLOOKUP(B1209,[1]Sheet1!$B:$B,[1]Sheet1!$X:$X,0)</f>
        <v>0</v>
      </c>
      <c r="V1209" s="12">
        <f>_xlfn.XLOOKUP(B1209,[1]Sheet1!$B:$B,[1]Sheet1!$Y:$Y,0)</f>
        <v>0</v>
      </c>
      <c r="W1209" s="12">
        <f t="shared" si="39"/>
        <v>214000</v>
      </c>
      <c r="X1209" s="8" t="s">
        <v>1839</v>
      </c>
      <c r="Y1209" s="8" t="s">
        <v>211</v>
      </c>
      <c r="Z1209" s="8" t="s">
        <v>826</v>
      </c>
      <c r="AA1209" s="8" t="s">
        <v>569</v>
      </c>
      <c r="AB1209" s="8" t="s">
        <v>36</v>
      </c>
      <c r="AC1209" s="8" t="s">
        <v>37</v>
      </c>
      <c r="AD1209" s="8" t="s">
        <v>342</v>
      </c>
      <c r="AE1209" s="8" t="s">
        <v>39</v>
      </c>
      <c r="AF1209" s="8" t="s">
        <v>40</v>
      </c>
      <c r="AG1209" s="9">
        <v>214000</v>
      </c>
      <c r="AH1209" s="11">
        <f>_xlfn.XLOOKUP(B1209,[1]Sheet1!$B:$B,[1]Sheet1!$AB:$AB,0)</f>
        <v>214000</v>
      </c>
    </row>
    <row r="1210" spans="2:34" ht="16.8" thickTop="1" thickBot="1" x14ac:dyDescent="0.35">
      <c r="B1210" s="3" t="str">
        <f t="shared" si="38"/>
        <v>45159004511001492Admin Expenses-N421125200104</v>
      </c>
      <c r="C1210" s="6" t="s">
        <v>827</v>
      </c>
      <c r="D1210" s="6" t="s">
        <v>1840</v>
      </c>
      <c r="E1210" s="6" t="s">
        <v>1841</v>
      </c>
      <c r="F1210" s="6" t="s">
        <v>130</v>
      </c>
      <c r="G1210" s="4" t="s">
        <v>2803</v>
      </c>
      <c r="H1210" s="4" t="s">
        <v>2922</v>
      </c>
      <c r="I1210" s="6" t="s">
        <v>44</v>
      </c>
      <c r="J1210" s="6" t="s">
        <v>31</v>
      </c>
      <c r="K1210" s="12">
        <f>_xlfn.XLOOKUP(B1210,[1]Sheet1!$B:$B,[1]Sheet1!$N:$N,0)</f>
        <v>0</v>
      </c>
      <c r="L1210" s="12">
        <f>_xlfn.XLOOKUP(B1210,[1]Sheet1!$B:$B,[1]Sheet1!$O:$O,0)</f>
        <v>0</v>
      </c>
      <c r="M1210" s="12">
        <f>_xlfn.XLOOKUP(B1210,[1]Sheet1!$B:$B,[1]Sheet1!$P:$P,0)</f>
        <v>0</v>
      </c>
      <c r="N1210" s="12">
        <f>_xlfn.XLOOKUP(B1210,[1]Sheet1!$B:$B,[1]Sheet1!$Q:$Q,0)</f>
        <v>0</v>
      </c>
      <c r="O1210" s="12">
        <f>_xlfn.XLOOKUP(B1210,[1]Sheet1!$B:$B,[1]Sheet1!$R:$R,0)</f>
        <v>0</v>
      </c>
      <c r="P1210" s="12">
        <f>_xlfn.XLOOKUP(B1210,[1]Sheet1!$B:$B,[1]Sheet1!$S:$S,0)</f>
        <v>0</v>
      </c>
      <c r="Q1210" s="12">
        <f>_xlfn.XLOOKUP(B1210,[1]Sheet1!$B:$B,[1]Sheet1!$T:$T,0)</f>
        <v>50000</v>
      </c>
      <c r="R1210" s="12">
        <f>_xlfn.XLOOKUP(B1210,[1]Sheet1!$B:$B,[1]Sheet1!$U:$U,0)</f>
        <v>0</v>
      </c>
      <c r="S1210" s="12">
        <f>_xlfn.XLOOKUP(B1210,[1]Sheet1!$B:$B,[1]Sheet1!$V:$V,0)</f>
        <v>0</v>
      </c>
      <c r="T1210" s="12">
        <f>_xlfn.XLOOKUP(B1210,[1]Sheet1!$B:$B,[1]Sheet1!$W:$W,0)</f>
        <v>0</v>
      </c>
      <c r="U1210" s="12">
        <f>_xlfn.XLOOKUP(B1210,[1]Sheet1!$B:$B,[1]Sheet1!$X:$X,0)</f>
        <v>0</v>
      </c>
      <c r="V1210" s="12">
        <f>_xlfn.XLOOKUP(B1210,[1]Sheet1!$B:$B,[1]Sheet1!$Y:$Y,0)</f>
        <v>0</v>
      </c>
      <c r="W1210" s="12">
        <f t="shared" si="39"/>
        <v>50000</v>
      </c>
      <c r="X1210" s="6" t="s">
        <v>1834</v>
      </c>
      <c r="Y1210" s="6" t="s">
        <v>211</v>
      </c>
      <c r="Z1210" s="6" t="s">
        <v>826</v>
      </c>
      <c r="AA1210" s="6" t="s">
        <v>44</v>
      </c>
      <c r="AB1210" s="6" t="s">
        <v>36</v>
      </c>
      <c r="AC1210" s="6" t="s">
        <v>37</v>
      </c>
      <c r="AD1210" s="6" t="s">
        <v>342</v>
      </c>
      <c r="AE1210" s="6" t="s">
        <v>39</v>
      </c>
      <c r="AF1210" s="6" t="s">
        <v>40</v>
      </c>
      <c r="AG1210" s="7">
        <v>50000</v>
      </c>
      <c r="AH1210" s="11">
        <f>_xlfn.XLOOKUP(B1210,[1]Sheet1!$B:$B,[1]Sheet1!$AB:$AB,0)</f>
        <v>50000</v>
      </c>
    </row>
    <row r="1211" spans="2:34" ht="16.8" thickTop="1" thickBot="1" x14ac:dyDescent="0.35">
      <c r="B1211" s="3" t="str">
        <f t="shared" si="38"/>
        <v>45159004511001492Mission &amp; Travel-N423821200104</v>
      </c>
      <c r="C1211" s="8" t="s">
        <v>827</v>
      </c>
      <c r="D1211" s="8" t="s">
        <v>1840</v>
      </c>
      <c r="E1211" s="8" t="s">
        <v>1841</v>
      </c>
      <c r="F1211" s="8" t="s">
        <v>54</v>
      </c>
      <c r="G1211" s="4" t="s">
        <v>2805</v>
      </c>
      <c r="H1211" s="4" t="s">
        <v>2922</v>
      </c>
      <c r="I1211" s="8" t="s">
        <v>55</v>
      </c>
      <c r="J1211" s="8" t="s">
        <v>31</v>
      </c>
      <c r="K1211" s="12">
        <f>_xlfn.XLOOKUP(B1211,[1]Sheet1!$B:$B,[1]Sheet1!$N:$N,0)</f>
        <v>0</v>
      </c>
      <c r="L1211" s="12">
        <f>_xlfn.XLOOKUP(B1211,[1]Sheet1!$B:$B,[1]Sheet1!$O:$O,0)</f>
        <v>0</v>
      </c>
      <c r="M1211" s="12">
        <f>_xlfn.XLOOKUP(B1211,[1]Sheet1!$B:$B,[1]Sheet1!$P:$P,0)</f>
        <v>0</v>
      </c>
      <c r="N1211" s="12">
        <f>_xlfn.XLOOKUP(B1211,[1]Sheet1!$B:$B,[1]Sheet1!$Q:$Q,0)</f>
        <v>0</v>
      </c>
      <c r="O1211" s="12">
        <f>_xlfn.XLOOKUP(B1211,[1]Sheet1!$B:$B,[1]Sheet1!$R:$R,0)</f>
        <v>0</v>
      </c>
      <c r="P1211" s="12">
        <f>_xlfn.XLOOKUP(B1211,[1]Sheet1!$B:$B,[1]Sheet1!$S:$S,0)</f>
        <v>0</v>
      </c>
      <c r="Q1211" s="12">
        <f>_xlfn.XLOOKUP(B1211,[1]Sheet1!$B:$B,[1]Sheet1!$T:$T,0)</f>
        <v>7500</v>
      </c>
      <c r="R1211" s="12">
        <f>_xlfn.XLOOKUP(B1211,[1]Sheet1!$B:$B,[1]Sheet1!$U:$U,0)</f>
        <v>2500</v>
      </c>
      <c r="S1211" s="12">
        <f>_xlfn.XLOOKUP(B1211,[1]Sheet1!$B:$B,[1]Sheet1!$V:$V,0)</f>
        <v>0</v>
      </c>
      <c r="T1211" s="12">
        <f>_xlfn.XLOOKUP(B1211,[1]Sheet1!$B:$B,[1]Sheet1!$W:$W,0)</f>
        <v>3000</v>
      </c>
      <c r="U1211" s="12">
        <f>_xlfn.XLOOKUP(B1211,[1]Sheet1!$B:$B,[1]Sheet1!$X:$X,0)</f>
        <v>0</v>
      </c>
      <c r="V1211" s="12">
        <f>_xlfn.XLOOKUP(B1211,[1]Sheet1!$B:$B,[1]Sheet1!$Y:$Y,0)</f>
        <v>35000</v>
      </c>
      <c r="W1211" s="12">
        <f t="shared" si="39"/>
        <v>48000</v>
      </c>
      <c r="X1211" s="8" t="s">
        <v>828</v>
      </c>
      <c r="Y1211" s="8" t="s">
        <v>211</v>
      </c>
      <c r="Z1211" s="8" t="s">
        <v>826</v>
      </c>
      <c r="AA1211" s="8" t="s">
        <v>55</v>
      </c>
      <c r="AB1211" s="8" t="s">
        <v>36</v>
      </c>
      <c r="AC1211" s="8" t="s">
        <v>37</v>
      </c>
      <c r="AD1211" s="8" t="s">
        <v>214</v>
      </c>
      <c r="AE1211" s="8" t="s">
        <v>39</v>
      </c>
      <c r="AF1211" s="8" t="s">
        <v>40</v>
      </c>
      <c r="AG1211" s="9">
        <v>48000</v>
      </c>
      <c r="AH1211" s="11">
        <f>_xlfn.XLOOKUP(B1211,[1]Sheet1!$B:$B,[1]Sheet1!$AB:$AB,0)</f>
        <v>48000</v>
      </c>
    </row>
    <row r="1212" spans="2:34" ht="16.8" thickTop="1" thickBot="1" x14ac:dyDescent="0.35">
      <c r="B1212" s="3" t="str">
        <f t="shared" si="38"/>
        <v>45159004511001492Trade Promotion-N424251200104</v>
      </c>
      <c r="C1212" s="6" t="s">
        <v>827</v>
      </c>
      <c r="D1212" s="6" t="s">
        <v>1840</v>
      </c>
      <c r="E1212" s="6" t="s">
        <v>1841</v>
      </c>
      <c r="F1212" s="6" t="s">
        <v>748</v>
      </c>
      <c r="G1212" s="4" t="s">
        <v>2852</v>
      </c>
      <c r="H1212" s="4" t="s">
        <v>2922</v>
      </c>
      <c r="I1212" s="6" t="s">
        <v>569</v>
      </c>
      <c r="J1212" s="6" t="s">
        <v>31</v>
      </c>
      <c r="K1212" s="12">
        <f>_xlfn.XLOOKUP(B1212,[1]Sheet1!$B:$B,[1]Sheet1!$N:$N,0)</f>
        <v>0</v>
      </c>
      <c r="L1212" s="12">
        <f>_xlfn.XLOOKUP(B1212,[1]Sheet1!$B:$B,[1]Sheet1!$O:$O,0)</f>
        <v>0</v>
      </c>
      <c r="M1212" s="12">
        <f>_xlfn.XLOOKUP(B1212,[1]Sheet1!$B:$B,[1]Sheet1!$P:$P,0)</f>
        <v>0</v>
      </c>
      <c r="N1212" s="12">
        <f>_xlfn.XLOOKUP(B1212,[1]Sheet1!$B:$B,[1]Sheet1!$Q:$Q,0)</f>
        <v>0</v>
      </c>
      <c r="O1212" s="12">
        <f>_xlfn.XLOOKUP(B1212,[1]Sheet1!$B:$B,[1]Sheet1!$R:$R,0)</f>
        <v>0</v>
      </c>
      <c r="P1212" s="12">
        <f>_xlfn.XLOOKUP(B1212,[1]Sheet1!$B:$B,[1]Sheet1!$S:$S,0)</f>
        <v>0</v>
      </c>
      <c r="Q1212" s="12">
        <f>_xlfn.XLOOKUP(B1212,[1]Sheet1!$B:$B,[1]Sheet1!$T:$T,0)</f>
        <v>0</v>
      </c>
      <c r="R1212" s="12">
        <f>_xlfn.XLOOKUP(B1212,[1]Sheet1!$B:$B,[1]Sheet1!$U:$U,0)</f>
        <v>40000</v>
      </c>
      <c r="S1212" s="12">
        <f>_xlfn.XLOOKUP(B1212,[1]Sheet1!$B:$B,[1]Sheet1!$V:$V,0)</f>
        <v>0</v>
      </c>
      <c r="T1212" s="12">
        <f>_xlfn.XLOOKUP(B1212,[1]Sheet1!$B:$B,[1]Sheet1!$W:$W,0)</f>
        <v>0</v>
      </c>
      <c r="U1212" s="12">
        <f>_xlfn.XLOOKUP(B1212,[1]Sheet1!$B:$B,[1]Sheet1!$X:$X,0)</f>
        <v>0</v>
      </c>
      <c r="V1212" s="12">
        <f>_xlfn.XLOOKUP(B1212,[1]Sheet1!$B:$B,[1]Sheet1!$Y:$Y,0)</f>
        <v>100000</v>
      </c>
      <c r="W1212" s="12">
        <f t="shared" si="39"/>
        <v>140000</v>
      </c>
      <c r="X1212" s="6" t="s">
        <v>1839</v>
      </c>
      <c r="Y1212" s="6" t="s">
        <v>211</v>
      </c>
      <c r="Z1212" s="6" t="s">
        <v>826</v>
      </c>
      <c r="AA1212" s="6" t="s">
        <v>569</v>
      </c>
      <c r="AB1212" s="6" t="s">
        <v>36</v>
      </c>
      <c r="AC1212" s="6" t="s">
        <v>37</v>
      </c>
      <c r="AD1212" s="6" t="s">
        <v>342</v>
      </c>
      <c r="AE1212" s="6" t="s">
        <v>39</v>
      </c>
      <c r="AF1212" s="6" t="s">
        <v>40</v>
      </c>
      <c r="AG1212" s="7">
        <v>140000</v>
      </c>
      <c r="AH1212" s="11">
        <f>_xlfn.XLOOKUP(B1212,[1]Sheet1!$B:$B,[1]Sheet1!$AB:$AB,0)</f>
        <v>140000</v>
      </c>
    </row>
    <row r="1213" spans="2:34" ht="16.8" thickTop="1" thickBot="1" x14ac:dyDescent="0.35">
      <c r="B1213" s="3" t="str">
        <f t="shared" si="38"/>
        <v>45110104511001493Freelancers-N424521200104</v>
      </c>
      <c r="C1213" s="8" t="s">
        <v>268</v>
      </c>
      <c r="D1213" s="8" t="s">
        <v>1842</v>
      </c>
      <c r="E1213" s="8" t="s">
        <v>1843</v>
      </c>
      <c r="F1213" s="8" t="s">
        <v>50</v>
      </c>
      <c r="G1213" s="4" t="s">
        <v>2804</v>
      </c>
      <c r="H1213" s="4" t="s">
        <v>2922</v>
      </c>
      <c r="I1213" s="8" t="s">
        <v>51</v>
      </c>
      <c r="J1213" s="8" t="s">
        <v>31</v>
      </c>
      <c r="K1213" s="12">
        <f>_xlfn.XLOOKUP(B1213,[1]Sheet1!$B:$B,[1]Sheet1!$N:$N,0)</f>
        <v>0</v>
      </c>
      <c r="L1213" s="12">
        <f>_xlfn.XLOOKUP(B1213,[1]Sheet1!$B:$B,[1]Sheet1!$O:$O,0)</f>
        <v>0</v>
      </c>
      <c r="M1213" s="12">
        <f>_xlfn.XLOOKUP(B1213,[1]Sheet1!$B:$B,[1]Sheet1!$P:$P,0)</f>
        <v>0</v>
      </c>
      <c r="N1213" s="12">
        <f>_xlfn.XLOOKUP(B1213,[1]Sheet1!$B:$B,[1]Sheet1!$Q:$Q,0)</f>
        <v>48400</v>
      </c>
      <c r="O1213" s="12">
        <f>_xlfn.XLOOKUP(B1213,[1]Sheet1!$B:$B,[1]Sheet1!$R:$R,0)</f>
        <v>24200</v>
      </c>
      <c r="P1213" s="12">
        <f>_xlfn.XLOOKUP(B1213,[1]Sheet1!$B:$B,[1]Sheet1!$S:$S,0)</f>
        <v>24200</v>
      </c>
      <c r="Q1213" s="12">
        <f>_xlfn.XLOOKUP(B1213,[1]Sheet1!$B:$B,[1]Sheet1!$T:$T,0)</f>
        <v>24200</v>
      </c>
      <c r="R1213" s="12">
        <f>_xlfn.XLOOKUP(B1213,[1]Sheet1!$B:$B,[1]Sheet1!$U:$U,0)</f>
        <v>24200</v>
      </c>
      <c r="S1213" s="12">
        <f>_xlfn.XLOOKUP(B1213,[1]Sheet1!$B:$B,[1]Sheet1!$V:$V,0)</f>
        <v>24200</v>
      </c>
      <c r="T1213" s="12">
        <f>_xlfn.XLOOKUP(B1213,[1]Sheet1!$B:$B,[1]Sheet1!$W:$W,0)</f>
        <v>24200</v>
      </c>
      <c r="U1213" s="12">
        <f>_xlfn.XLOOKUP(B1213,[1]Sheet1!$B:$B,[1]Sheet1!$X:$X,0)</f>
        <v>24200</v>
      </c>
      <c r="V1213" s="12">
        <f>_xlfn.XLOOKUP(B1213,[1]Sheet1!$B:$B,[1]Sheet1!$Y:$Y,0)</f>
        <v>24200</v>
      </c>
      <c r="W1213" s="12">
        <f t="shared" si="39"/>
        <v>242000</v>
      </c>
      <c r="X1213" s="8" t="s">
        <v>1541</v>
      </c>
      <c r="Y1213" s="8" t="s">
        <v>65</v>
      </c>
      <c r="Z1213" s="8" t="s">
        <v>267</v>
      </c>
      <c r="AA1213" s="8" t="s">
        <v>53</v>
      </c>
      <c r="AB1213" s="8" t="s">
        <v>36</v>
      </c>
      <c r="AC1213" s="8" t="s">
        <v>37</v>
      </c>
      <c r="AD1213" s="8" t="s">
        <v>69</v>
      </c>
      <c r="AE1213" s="8" t="s">
        <v>39</v>
      </c>
      <c r="AF1213" s="8" t="s">
        <v>40</v>
      </c>
      <c r="AG1213" s="9">
        <v>242000</v>
      </c>
      <c r="AH1213" s="11">
        <f>_xlfn.XLOOKUP(B1213,[1]Sheet1!$B:$B,[1]Sheet1!$AB:$AB,0)</f>
        <v>242000</v>
      </c>
    </row>
    <row r="1214" spans="2:34" ht="16.8" thickTop="1" thickBot="1" x14ac:dyDescent="0.35">
      <c r="B1214" s="3" t="str">
        <f t="shared" si="38"/>
        <v>45161004511001493Freelancers-N1424521200104</v>
      </c>
      <c r="C1214" s="6" t="s">
        <v>584</v>
      </c>
      <c r="D1214" s="6" t="s">
        <v>1842</v>
      </c>
      <c r="E1214" s="6" t="s">
        <v>1843</v>
      </c>
      <c r="F1214" s="6" t="s">
        <v>303</v>
      </c>
      <c r="G1214" s="4" t="s">
        <v>2804</v>
      </c>
      <c r="H1214" s="4" t="s">
        <v>2922</v>
      </c>
      <c r="I1214" s="6" t="s">
        <v>51</v>
      </c>
      <c r="J1214" s="6" t="s">
        <v>31</v>
      </c>
      <c r="K1214" s="12">
        <f>_xlfn.XLOOKUP(B1214,[1]Sheet1!$B:$B,[1]Sheet1!$N:$N,0)</f>
        <v>0</v>
      </c>
      <c r="L1214" s="12">
        <f>_xlfn.XLOOKUP(B1214,[1]Sheet1!$B:$B,[1]Sheet1!$O:$O,0)</f>
        <v>0</v>
      </c>
      <c r="M1214" s="12">
        <f>_xlfn.XLOOKUP(B1214,[1]Sheet1!$B:$B,[1]Sheet1!$P:$P,0)</f>
        <v>11000</v>
      </c>
      <c r="N1214" s="12">
        <f>_xlfn.XLOOKUP(B1214,[1]Sheet1!$B:$B,[1]Sheet1!$Q:$Q,0)</f>
        <v>25000</v>
      </c>
      <c r="O1214" s="12">
        <f>_xlfn.XLOOKUP(B1214,[1]Sheet1!$B:$B,[1]Sheet1!$R:$R,0)</f>
        <v>108000</v>
      </c>
      <c r="P1214" s="12">
        <f>_xlfn.XLOOKUP(B1214,[1]Sheet1!$B:$B,[1]Sheet1!$S:$S,0)</f>
        <v>36000</v>
      </c>
      <c r="Q1214" s="12">
        <f>_xlfn.XLOOKUP(B1214,[1]Sheet1!$B:$B,[1]Sheet1!$T:$T,0)</f>
        <v>36000</v>
      </c>
      <c r="R1214" s="12">
        <f>_xlfn.XLOOKUP(B1214,[1]Sheet1!$B:$B,[1]Sheet1!$U:$U,0)</f>
        <v>24000</v>
      </c>
      <c r="S1214" s="12">
        <f>_xlfn.XLOOKUP(B1214,[1]Sheet1!$B:$B,[1]Sheet1!$V:$V,0)</f>
        <v>24000</v>
      </c>
      <c r="T1214" s="12">
        <f>_xlfn.XLOOKUP(B1214,[1]Sheet1!$B:$B,[1]Sheet1!$W:$W,0)</f>
        <v>24000</v>
      </c>
      <c r="U1214" s="12">
        <f>_xlfn.XLOOKUP(B1214,[1]Sheet1!$B:$B,[1]Sheet1!$X:$X,0)</f>
        <v>24000</v>
      </c>
      <c r="V1214" s="12">
        <f>_xlfn.XLOOKUP(B1214,[1]Sheet1!$B:$B,[1]Sheet1!$Y:$Y,0)</f>
        <v>24000</v>
      </c>
      <c r="W1214" s="12">
        <f t="shared" si="39"/>
        <v>336000</v>
      </c>
      <c r="X1214" s="6" t="s">
        <v>586</v>
      </c>
      <c r="Y1214" s="6" t="s">
        <v>65</v>
      </c>
      <c r="Z1214" s="6" t="s">
        <v>583</v>
      </c>
      <c r="AA1214" s="6" t="s">
        <v>53</v>
      </c>
      <c r="AB1214" s="6" t="s">
        <v>36</v>
      </c>
      <c r="AC1214" s="6" t="s">
        <v>37</v>
      </c>
      <c r="AD1214" s="6" t="s">
        <v>69</v>
      </c>
      <c r="AE1214" s="6" t="s">
        <v>39</v>
      </c>
      <c r="AF1214" s="6" t="s">
        <v>40</v>
      </c>
      <c r="AG1214" s="7">
        <v>336000</v>
      </c>
      <c r="AH1214" s="11">
        <f>_xlfn.XLOOKUP(B1214,[1]Sheet1!$B:$B,[1]Sheet1!$AB:$AB,0)</f>
        <v>336000</v>
      </c>
    </row>
    <row r="1215" spans="2:34" ht="16.8" thickTop="1" thickBot="1" x14ac:dyDescent="0.35">
      <c r="B1215" s="3" t="str">
        <f t="shared" si="38"/>
        <v>45110204511001494Cultural Advice-N424521200104</v>
      </c>
      <c r="C1215" s="8" t="s">
        <v>302</v>
      </c>
      <c r="D1215" s="8" t="s">
        <v>1844</v>
      </c>
      <c r="E1215" s="8" t="s">
        <v>1845</v>
      </c>
      <c r="F1215" s="8" t="s">
        <v>296</v>
      </c>
      <c r="G1215" s="4" t="s">
        <v>2804</v>
      </c>
      <c r="H1215" s="4" t="s">
        <v>2922</v>
      </c>
      <c r="I1215" s="8" t="s">
        <v>51</v>
      </c>
      <c r="J1215" s="8" t="s">
        <v>31</v>
      </c>
      <c r="K1215" s="12">
        <f>_xlfn.XLOOKUP(B1215,[1]Sheet1!$B:$B,[1]Sheet1!$N:$N,0)</f>
        <v>0</v>
      </c>
      <c r="L1215" s="12">
        <f>_xlfn.XLOOKUP(B1215,[1]Sheet1!$B:$B,[1]Sheet1!$O:$O,0)</f>
        <v>0</v>
      </c>
      <c r="M1215" s="12">
        <f>_xlfn.XLOOKUP(B1215,[1]Sheet1!$B:$B,[1]Sheet1!$P:$P,0)</f>
        <v>0</v>
      </c>
      <c r="N1215" s="12">
        <f>_xlfn.XLOOKUP(B1215,[1]Sheet1!$B:$B,[1]Sheet1!$Q:$Q,0)</f>
        <v>0</v>
      </c>
      <c r="O1215" s="12">
        <f>_xlfn.XLOOKUP(B1215,[1]Sheet1!$B:$B,[1]Sheet1!$R:$R,0)</f>
        <v>50000</v>
      </c>
      <c r="P1215" s="12">
        <f>_xlfn.XLOOKUP(B1215,[1]Sheet1!$B:$B,[1]Sheet1!$S:$S,0)</f>
        <v>100000</v>
      </c>
      <c r="Q1215" s="12">
        <f>_xlfn.XLOOKUP(B1215,[1]Sheet1!$B:$B,[1]Sheet1!$T:$T,0)</f>
        <v>100000</v>
      </c>
      <c r="R1215" s="12">
        <f>_xlfn.XLOOKUP(B1215,[1]Sheet1!$B:$B,[1]Sheet1!$U:$U,0)</f>
        <v>0</v>
      </c>
      <c r="S1215" s="12">
        <f>_xlfn.XLOOKUP(B1215,[1]Sheet1!$B:$B,[1]Sheet1!$V:$V,0)</f>
        <v>0</v>
      </c>
      <c r="T1215" s="12">
        <f>_xlfn.XLOOKUP(B1215,[1]Sheet1!$B:$B,[1]Sheet1!$W:$W,0)</f>
        <v>0</v>
      </c>
      <c r="U1215" s="12">
        <f>_xlfn.XLOOKUP(B1215,[1]Sheet1!$B:$B,[1]Sheet1!$X:$X,0)</f>
        <v>100000</v>
      </c>
      <c r="V1215" s="12">
        <f>_xlfn.XLOOKUP(B1215,[1]Sheet1!$B:$B,[1]Sheet1!$Y:$Y,0)</f>
        <v>0</v>
      </c>
      <c r="W1215" s="12">
        <f t="shared" si="39"/>
        <v>350000</v>
      </c>
      <c r="X1215" s="8" t="s">
        <v>1846</v>
      </c>
      <c r="Y1215" s="8" t="s">
        <v>65</v>
      </c>
      <c r="Z1215" s="8" t="s">
        <v>301</v>
      </c>
      <c r="AA1215" s="8" t="s">
        <v>53</v>
      </c>
      <c r="AB1215" s="8" t="s">
        <v>36</v>
      </c>
      <c r="AC1215" s="8" t="s">
        <v>37</v>
      </c>
      <c r="AD1215" s="8" t="s">
        <v>38</v>
      </c>
      <c r="AE1215" s="8" t="s">
        <v>39</v>
      </c>
      <c r="AF1215" s="8" t="s">
        <v>40</v>
      </c>
      <c r="AG1215" s="9">
        <v>350000</v>
      </c>
      <c r="AH1215" s="11">
        <f>_xlfn.XLOOKUP(B1215,[1]Sheet1!$B:$B,[1]Sheet1!$AB:$AB,0)</f>
        <v>350000</v>
      </c>
    </row>
    <row r="1216" spans="2:34" ht="16.8" thickTop="1" thickBot="1" x14ac:dyDescent="0.35">
      <c r="B1216" s="3" t="str">
        <f t="shared" si="38"/>
        <v>45110204511001494Event Management-N422401200104</v>
      </c>
      <c r="C1216" s="6" t="s">
        <v>302</v>
      </c>
      <c r="D1216" s="6" t="s">
        <v>1844</v>
      </c>
      <c r="E1216" s="6" t="s">
        <v>1845</v>
      </c>
      <c r="F1216" s="6" t="s">
        <v>162</v>
      </c>
      <c r="G1216" s="4" t="s">
        <v>2807</v>
      </c>
      <c r="H1216" s="4" t="s">
        <v>2922</v>
      </c>
      <c r="I1216" s="6" t="s">
        <v>63</v>
      </c>
      <c r="J1216" s="6" t="s">
        <v>31</v>
      </c>
      <c r="K1216" s="12">
        <f>_xlfn.XLOOKUP(B1216,[1]Sheet1!$B:$B,[1]Sheet1!$N:$N,0)</f>
        <v>0</v>
      </c>
      <c r="L1216" s="12">
        <f>_xlfn.XLOOKUP(B1216,[1]Sheet1!$B:$B,[1]Sheet1!$O:$O,0)</f>
        <v>0</v>
      </c>
      <c r="M1216" s="12">
        <f>_xlfn.XLOOKUP(B1216,[1]Sheet1!$B:$B,[1]Sheet1!$P:$P,0)</f>
        <v>0</v>
      </c>
      <c r="N1216" s="12">
        <f>_xlfn.XLOOKUP(B1216,[1]Sheet1!$B:$B,[1]Sheet1!$Q:$Q,0)</f>
        <v>0</v>
      </c>
      <c r="O1216" s="12">
        <f>_xlfn.XLOOKUP(B1216,[1]Sheet1!$B:$B,[1]Sheet1!$R:$R,0)</f>
        <v>0</v>
      </c>
      <c r="P1216" s="12">
        <f>_xlfn.XLOOKUP(B1216,[1]Sheet1!$B:$B,[1]Sheet1!$S:$S,0)</f>
        <v>0</v>
      </c>
      <c r="Q1216" s="12">
        <f>_xlfn.XLOOKUP(B1216,[1]Sheet1!$B:$B,[1]Sheet1!$T:$T,0)</f>
        <v>0</v>
      </c>
      <c r="R1216" s="12">
        <f>_xlfn.XLOOKUP(B1216,[1]Sheet1!$B:$B,[1]Sheet1!$U:$U,0)</f>
        <v>0</v>
      </c>
      <c r="S1216" s="12">
        <f>_xlfn.XLOOKUP(B1216,[1]Sheet1!$B:$B,[1]Sheet1!$V:$V,0)</f>
        <v>250000</v>
      </c>
      <c r="T1216" s="12">
        <f>_xlfn.XLOOKUP(B1216,[1]Sheet1!$B:$B,[1]Sheet1!$W:$W,0)</f>
        <v>250000</v>
      </c>
      <c r="U1216" s="12">
        <f>_xlfn.XLOOKUP(B1216,[1]Sheet1!$B:$B,[1]Sheet1!$X:$X,0)</f>
        <v>100000</v>
      </c>
      <c r="V1216" s="12">
        <f>_xlfn.XLOOKUP(B1216,[1]Sheet1!$B:$B,[1]Sheet1!$Y:$Y,0)</f>
        <v>250000</v>
      </c>
      <c r="W1216" s="12">
        <f t="shared" si="39"/>
        <v>850000</v>
      </c>
      <c r="X1216" s="6" t="s">
        <v>1847</v>
      </c>
      <c r="Y1216" s="6" t="s">
        <v>65</v>
      </c>
      <c r="Z1216" s="6" t="s">
        <v>301</v>
      </c>
      <c r="AA1216" s="6" t="s">
        <v>68</v>
      </c>
      <c r="AB1216" s="6" t="s">
        <v>36</v>
      </c>
      <c r="AC1216" s="6" t="s">
        <v>37</v>
      </c>
      <c r="AD1216" s="6" t="s">
        <v>38</v>
      </c>
      <c r="AE1216" s="6" t="s">
        <v>39</v>
      </c>
      <c r="AF1216" s="6" t="s">
        <v>40</v>
      </c>
      <c r="AG1216" s="7">
        <v>850000</v>
      </c>
      <c r="AH1216" s="11">
        <f>_xlfn.XLOOKUP(B1216,[1]Sheet1!$B:$B,[1]Sheet1!$AB:$AB,0)</f>
        <v>850000</v>
      </c>
    </row>
    <row r="1217" spans="2:34" ht="16.8" thickTop="1" thickBot="1" x14ac:dyDescent="0.35">
      <c r="B1217" s="3" t="str">
        <f t="shared" si="38"/>
        <v>45110204511001494Freelancers-N424521200104</v>
      </c>
      <c r="C1217" s="8" t="s">
        <v>302</v>
      </c>
      <c r="D1217" s="8" t="s">
        <v>1844</v>
      </c>
      <c r="E1217" s="8" t="s">
        <v>1845</v>
      </c>
      <c r="F1217" s="8" t="s">
        <v>50</v>
      </c>
      <c r="G1217" s="4" t="s">
        <v>2804</v>
      </c>
      <c r="H1217" s="4" t="s">
        <v>2922</v>
      </c>
      <c r="I1217" s="8" t="s">
        <v>51</v>
      </c>
      <c r="J1217" s="8" t="s">
        <v>31</v>
      </c>
      <c r="K1217" s="12">
        <f>_xlfn.XLOOKUP(B1217,[1]Sheet1!$B:$B,[1]Sheet1!$N:$N,0)</f>
        <v>0</v>
      </c>
      <c r="L1217" s="12">
        <f>_xlfn.XLOOKUP(B1217,[1]Sheet1!$B:$B,[1]Sheet1!$O:$O,0)</f>
        <v>0</v>
      </c>
      <c r="M1217" s="12">
        <f>_xlfn.XLOOKUP(B1217,[1]Sheet1!$B:$B,[1]Sheet1!$P:$P,0)</f>
        <v>0</v>
      </c>
      <c r="N1217" s="12">
        <f>_xlfn.XLOOKUP(B1217,[1]Sheet1!$B:$B,[1]Sheet1!$Q:$Q,0)</f>
        <v>0</v>
      </c>
      <c r="O1217" s="12">
        <f>_xlfn.XLOOKUP(B1217,[1]Sheet1!$B:$B,[1]Sheet1!$R:$R,0)</f>
        <v>36700</v>
      </c>
      <c r="P1217" s="12">
        <f>_xlfn.XLOOKUP(B1217,[1]Sheet1!$B:$B,[1]Sheet1!$S:$S,0)</f>
        <v>136700</v>
      </c>
      <c r="Q1217" s="12">
        <f>_xlfn.XLOOKUP(B1217,[1]Sheet1!$B:$B,[1]Sheet1!$T:$T,0)</f>
        <v>36700</v>
      </c>
      <c r="R1217" s="12">
        <f>_xlfn.XLOOKUP(B1217,[1]Sheet1!$B:$B,[1]Sheet1!$U:$U,0)</f>
        <v>36700</v>
      </c>
      <c r="S1217" s="12">
        <f>_xlfn.XLOOKUP(B1217,[1]Sheet1!$B:$B,[1]Sheet1!$V:$V,0)</f>
        <v>36700</v>
      </c>
      <c r="T1217" s="12">
        <f>_xlfn.XLOOKUP(B1217,[1]Sheet1!$B:$B,[1]Sheet1!$W:$W,0)</f>
        <v>36700</v>
      </c>
      <c r="U1217" s="12">
        <f>_xlfn.XLOOKUP(B1217,[1]Sheet1!$B:$B,[1]Sheet1!$X:$X,0)</f>
        <v>176700</v>
      </c>
      <c r="V1217" s="12">
        <f>_xlfn.XLOOKUP(B1217,[1]Sheet1!$B:$B,[1]Sheet1!$Y:$Y,0)</f>
        <v>433400</v>
      </c>
      <c r="W1217" s="12">
        <f t="shared" si="39"/>
        <v>930300</v>
      </c>
      <c r="X1217" s="8" t="s">
        <v>1846</v>
      </c>
      <c r="Y1217" s="8" t="s">
        <v>65</v>
      </c>
      <c r="Z1217" s="8" t="s">
        <v>301</v>
      </c>
      <c r="AA1217" s="8" t="s">
        <v>53</v>
      </c>
      <c r="AB1217" s="8" t="s">
        <v>36</v>
      </c>
      <c r="AC1217" s="8" t="s">
        <v>37</v>
      </c>
      <c r="AD1217" s="8" t="s">
        <v>38</v>
      </c>
      <c r="AE1217" s="8" t="s">
        <v>39</v>
      </c>
      <c r="AF1217" s="8" t="s">
        <v>40</v>
      </c>
      <c r="AG1217" s="9">
        <v>930300</v>
      </c>
      <c r="AH1217" s="11">
        <f>_xlfn.XLOOKUP(B1217,[1]Sheet1!$B:$B,[1]Sheet1!$AB:$AB,0)</f>
        <v>930300</v>
      </c>
    </row>
    <row r="1218" spans="2:34" ht="16.8" thickTop="1" thickBot="1" x14ac:dyDescent="0.35">
      <c r="B1218" s="3" t="str">
        <f t="shared" si="38"/>
        <v>45110204511001494Mission &amp; Travel-N423821200104</v>
      </c>
      <c r="C1218" s="6" t="s">
        <v>302</v>
      </c>
      <c r="D1218" s="6" t="s">
        <v>1844</v>
      </c>
      <c r="E1218" s="6" t="s">
        <v>1845</v>
      </c>
      <c r="F1218" s="6" t="s">
        <v>54</v>
      </c>
      <c r="G1218" s="4" t="s">
        <v>2805</v>
      </c>
      <c r="H1218" s="4" t="s">
        <v>2922</v>
      </c>
      <c r="I1218" s="6" t="s">
        <v>55</v>
      </c>
      <c r="J1218" s="6" t="s">
        <v>31</v>
      </c>
      <c r="K1218" s="12">
        <f>_xlfn.XLOOKUP(B1218,[1]Sheet1!$B:$B,[1]Sheet1!$N:$N,0)</f>
        <v>0</v>
      </c>
      <c r="L1218" s="12">
        <f>_xlfn.XLOOKUP(B1218,[1]Sheet1!$B:$B,[1]Sheet1!$O:$O,0)</f>
        <v>0</v>
      </c>
      <c r="M1218" s="12">
        <f>_xlfn.XLOOKUP(B1218,[1]Sheet1!$B:$B,[1]Sheet1!$P:$P,0)</f>
        <v>0</v>
      </c>
      <c r="N1218" s="12">
        <f>_xlfn.XLOOKUP(B1218,[1]Sheet1!$B:$B,[1]Sheet1!$Q:$Q,0)</f>
        <v>30000</v>
      </c>
      <c r="O1218" s="12">
        <f>_xlfn.XLOOKUP(B1218,[1]Sheet1!$B:$B,[1]Sheet1!$R:$R,0)</f>
        <v>0</v>
      </c>
      <c r="P1218" s="12">
        <f>_xlfn.XLOOKUP(B1218,[1]Sheet1!$B:$B,[1]Sheet1!$S:$S,0)</f>
        <v>0</v>
      </c>
      <c r="Q1218" s="12">
        <f>_xlfn.XLOOKUP(B1218,[1]Sheet1!$B:$B,[1]Sheet1!$T:$T,0)</f>
        <v>0</v>
      </c>
      <c r="R1218" s="12">
        <f>_xlfn.XLOOKUP(B1218,[1]Sheet1!$B:$B,[1]Sheet1!$U:$U,0)</f>
        <v>60000</v>
      </c>
      <c r="S1218" s="12">
        <f>_xlfn.XLOOKUP(B1218,[1]Sheet1!$B:$B,[1]Sheet1!$V:$V,0)</f>
        <v>60000</v>
      </c>
      <c r="T1218" s="12">
        <f>_xlfn.XLOOKUP(B1218,[1]Sheet1!$B:$B,[1]Sheet1!$W:$W,0)</f>
        <v>60000</v>
      </c>
      <c r="U1218" s="12">
        <f>_xlfn.XLOOKUP(B1218,[1]Sheet1!$B:$B,[1]Sheet1!$X:$X,0)</f>
        <v>60000</v>
      </c>
      <c r="V1218" s="12">
        <f>_xlfn.XLOOKUP(B1218,[1]Sheet1!$B:$B,[1]Sheet1!$Y:$Y,0)</f>
        <v>0</v>
      </c>
      <c r="W1218" s="12">
        <f t="shared" si="39"/>
        <v>270000</v>
      </c>
      <c r="X1218" s="6" t="s">
        <v>1848</v>
      </c>
      <c r="Y1218" s="6" t="s">
        <v>65</v>
      </c>
      <c r="Z1218" s="6" t="s">
        <v>301</v>
      </c>
      <c r="AA1218" s="6" t="s">
        <v>55</v>
      </c>
      <c r="AB1218" s="6" t="s">
        <v>36</v>
      </c>
      <c r="AC1218" s="6" t="s">
        <v>37</v>
      </c>
      <c r="AD1218" s="6" t="s">
        <v>38</v>
      </c>
      <c r="AE1218" s="6" t="s">
        <v>39</v>
      </c>
      <c r="AF1218" s="6" t="s">
        <v>40</v>
      </c>
      <c r="AG1218" s="7">
        <v>270000</v>
      </c>
      <c r="AH1218" s="11">
        <f>_xlfn.XLOOKUP(B1218,[1]Sheet1!$B:$B,[1]Sheet1!$AB:$AB,0)</f>
        <v>270000</v>
      </c>
    </row>
    <row r="1219" spans="2:34" ht="16.8" thickTop="1" thickBot="1" x14ac:dyDescent="0.35">
      <c r="B1219" s="3" t="str">
        <f t="shared" si="38"/>
        <v>45110204511001495Event Management-N422401200104</v>
      </c>
      <c r="C1219" s="8" t="s">
        <v>302</v>
      </c>
      <c r="D1219" s="8" t="s">
        <v>1849</v>
      </c>
      <c r="E1219" s="8" t="s">
        <v>1850</v>
      </c>
      <c r="F1219" s="8" t="s">
        <v>162</v>
      </c>
      <c r="G1219" s="4" t="s">
        <v>2807</v>
      </c>
      <c r="H1219" s="4" t="s">
        <v>2922</v>
      </c>
      <c r="I1219" s="8" t="s">
        <v>63</v>
      </c>
      <c r="J1219" s="8" t="s">
        <v>31</v>
      </c>
      <c r="K1219" s="12">
        <f>_xlfn.XLOOKUP(B1219,[1]Sheet1!$B:$B,[1]Sheet1!$N:$N,0)</f>
        <v>0</v>
      </c>
      <c r="L1219" s="12">
        <f>_xlfn.XLOOKUP(B1219,[1]Sheet1!$B:$B,[1]Sheet1!$O:$O,0)</f>
        <v>0</v>
      </c>
      <c r="M1219" s="12">
        <f>_xlfn.XLOOKUP(B1219,[1]Sheet1!$B:$B,[1]Sheet1!$P:$P,0)</f>
        <v>0</v>
      </c>
      <c r="N1219" s="12">
        <f>_xlfn.XLOOKUP(B1219,[1]Sheet1!$B:$B,[1]Sheet1!$Q:$Q,0)</f>
        <v>0</v>
      </c>
      <c r="O1219" s="12">
        <f>_xlfn.XLOOKUP(B1219,[1]Sheet1!$B:$B,[1]Sheet1!$R:$R,0)</f>
        <v>0</v>
      </c>
      <c r="P1219" s="12">
        <f>_xlfn.XLOOKUP(B1219,[1]Sheet1!$B:$B,[1]Sheet1!$S:$S,0)</f>
        <v>0</v>
      </c>
      <c r="Q1219" s="12">
        <f>_xlfn.XLOOKUP(B1219,[1]Sheet1!$B:$B,[1]Sheet1!$T:$T,0)</f>
        <v>0</v>
      </c>
      <c r="R1219" s="12">
        <f>_xlfn.XLOOKUP(B1219,[1]Sheet1!$B:$B,[1]Sheet1!$U:$U,0)</f>
        <v>351000</v>
      </c>
      <c r="S1219" s="12">
        <f>_xlfn.XLOOKUP(B1219,[1]Sheet1!$B:$B,[1]Sheet1!$V:$V,0)</f>
        <v>0</v>
      </c>
      <c r="T1219" s="12">
        <f>_xlfn.XLOOKUP(B1219,[1]Sheet1!$B:$B,[1]Sheet1!$W:$W,0)</f>
        <v>0</v>
      </c>
      <c r="U1219" s="12">
        <f>_xlfn.XLOOKUP(B1219,[1]Sheet1!$B:$B,[1]Sheet1!$X:$X,0)</f>
        <v>0</v>
      </c>
      <c r="V1219" s="12">
        <f>_xlfn.XLOOKUP(B1219,[1]Sheet1!$B:$B,[1]Sheet1!$Y:$Y,0)</f>
        <v>0</v>
      </c>
      <c r="W1219" s="12">
        <f t="shared" si="39"/>
        <v>351000</v>
      </c>
      <c r="X1219" s="8" t="s">
        <v>1847</v>
      </c>
      <c r="Y1219" s="8" t="s">
        <v>65</v>
      </c>
      <c r="Z1219" s="8" t="s">
        <v>301</v>
      </c>
      <c r="AA1219" s="8" t="s">
        <v>68</v>
      </c>
      <c r="AB1219" s="8" t="s">
        <v>36</v>
      </c>
      <c r="AC1219" s="8" t="s">
        <v>37</v>
      </c>
      <c r="AD1219" s="8" t="s">
        <v>38</v>
      </c>
      <c r="AE1219" s="8" t="s">
        <v>39</v>
      </c>
      <c r="AF1219" s="8" t="s">
        <v>40</v>
      </c>
      <c r="AG1219" s="9">
        <v>351000</v>
      </c>
      <c r="AH1219" s="11">
        <f>_xlfn.XLOOKUP(B1219,[1]Sheet1!$B:$B,[1]Sheet1!$AB:$AB,0)</f>
        <v>351000</v>
      </c>
    </row>
    <row r="1220" spans="2:34" ht="16.8" thickTop="1" thickBot="1" x14ac:dyDescent="0.35">
      <c r="B1220" s="3" t="str">
        <f t="shared" ref="B1220:B1283" si="40">C1220&amp;D1220&amp;F1220&amp;G1220&amp;H1220</f>
        <v>45110204511001495Freelancers-N424521200104</v>
      </c>
      <c r="C1220" s="6" t="s">
        <v>302</v>
      </c>
      <c r="D1220" s="6" t="s">
        <v>1849</v>
      </c>
      <c r="E1220" s="6" t="s">
        <v>1850</v>
      </c>
      <c r="F1220" s="6" t="s">
        <v>50</v>
      </c>
      <c r="G1220" s="4" t="s">
        <v>2804</v>
      </c>
      <c r="H1220" s="4" t="s">
        <v>2922</v>
      </c>
      <c r="I1220" s="6" t="s">
        <v>51</v>
      </c>
      <c r="J1220" s="6" t="s">
        <v>31</v>
      </c>
      <c r="K1220" s="12">
        <f>_xlfn.XLOOKUP(B1220,[1]Sheet1!$B:$B,[1]Sheet1!$N:$N,0)</f>
        <v>0</v>
      </c>
      <c r="L1220" s="12">
        <f>_xlfn.XLOOKUP(B1220,[1]Sheet1!$B:$B,[1]Sheet1!$O:$O,0)</f>
        <v>0</v>
      </c>
      <c r="M1220" s="12">
        <f>_xlfn.XLOOKUP(B1220,[1]Sheet1!$B:$B,[1]Sheet1!$P:$P,0)</f>
        <v>0</v>
      </c>
      <c r="N1220" s="12">
        <f>_xlfn.XLOOKUP(B1220,[1]Sheet1!$B:$B,[1]Sheet1!$Q:$Q,0)</f>
        <v>0</v>
      </c>
      <c r="O1220" s="12">
        <f>_xlfn.XLOOKUP(B1220,[1]Sheet1!$B:$B,[1]Sheet1!$R:$R,0)</f>
        <v>44000</v>
      </c>
      <c r="P1220" s="12">
        <f>_xlfn.XLOOKUP(B1220,[1]Sheet1!$B:$B,[1]Sheet1!$S:$S,0)</f>
        <v>44000</v>
      </c>
      <c r="Q1220" s="12">
        <f>_xlfn.XLOOKUP(B1220,[1]Sheet1!$B:$B,[1]Sheet1!$T:$T,0)</f>
        <v>44000</v>
      </c>
      <c r="R1220" s="12">
        <f>_xlfn.XLOOKUP(B1220,[1]Sheet1!$B:$B,[1]Sheet1!$U:$U,0)</f>
        <v>44000</v>
      </c>
      <c r="S1220" s="12">
        <f>_xlfn.XLOOKUP(B1220,[1]Sheet1!$B:$B,[1]Sheet1!$V:$V,0)</f>
        <v>44000</v>
      </c>
      <c r="T1220" s="12">
        <f>_xlfn.XLOOKUP(B1220,[1]Sheet1!$B:$B,[1]Sheet1!$W:$W,0)</f>
        <v>44000</v>
      </c>
      <c r="U1220" s="12">
        <f>_xlfn.XLOOKUP(B1220,[1]Sheet1!$B:$B,[1]Sheet1!$X:$X,0)</f>
        <v>116000</v>
      </c>
      <c r="V1220" s="12">
        <f>_xlfn.XLOOKUP(B1220,[1]Sheet1!$B:$B,[1]Sheet1!$Y:$Y,0)</f>
        <v>60000</v>
      </c>
      <c r="W1220" s="12">
        <f t="shared" ref="W1220:W1283" si="41">SUM(K1220:V1220)</f>
        <v>440000</v>
      </c>
      <c r="X1220" s="6" t="s">
        <v>1846</v>
      </c>
      <c r="Y1220" s="6" t="s">
        <v>65</v>
      </c>
      <c r="Z1220" s="6" t="s">
        <v>301</v>
      </c>
      <c r="AA1220" s="6" t="s">
        <v>53</v>
      </c>
      <c r="AB1220" s="6" t="s">
        <v>36</v>
      </c>
      <c r="AC1220" s="6" t="s">
        <v>37</v>
      </c>
      <c r="AD1220" s="6" t="s">
        <v>38</v>
      </c>
      <c r="AE1220" s="6" t="s">
        <v>39</v>
      </c>
      <c r="AF1220" s="6" t="s">
        <v>40</v>
      </c>
      <c r="AG1220" s="7">
        <v>440000</v>
      </c>
      <c r="AH1220" s="11">
        <f>_xlfn.XLOOKUP(B1220,[1]Sheet1!$B:$B,[1]Sheet1!$AB:$AB,0)</f>
        <v>440000</v>
      </c>
    </row>
    <row r="1221" spans="2:34" ht="16.8" thickTop="1" thickBot="1" x14ac:dyDescent="0.35">
      <c r="B1221" s="3" t="str">
        <f t="shared" si="40"/>
        <v>45118004511001496Freelancers-N424521200104</v>
      </c>
      <c r="C1221" s="8" t="s">
        <v>191</v>
      </c>
      <c r="D1221" s="8" t="s">
        <v>1851</v>
      </c>
      <c r="E1221" s="8" t="s">
        <v>1852</v>
      </c>
      <c r="F1221" s="8" t="s">
        <v>50</v>
      </c>
      <c r="G1221" s="4" t="s">
        <v>2804</v>
      </c>
      <c r="H1221" s="4" t="s">
        <v>2922</v>
      </c>
      <c r="I1221" s="8" t="s">
        <v>51</v>
      </c>
      <c r="J1221" s="8" t="s">
        <v>31</v>
      </c>
      <c r="K1221" s="12">
        <f>_xlfn.XLOOKUP(B1221,[1]Sheet1!$B:$B,[1]Sheet1!$N:$N,0)</f>
        <v>0</v>
      </c>
      <c r="L1221" s="12">
        <f>_xlfn.XLOOKUP(B1221,[1]Sheet1!$B:$B,[1]Sheet1!$O:$O,0)</f>
        <v>0</v>
      </c>
      <c r="M1221" s="12">
        <f>_xlfn.XLOOKUP(B1221,[1]Sheet1!$B:$B,[1]Sheet1!$P:$P,0)</f>
        <v>0</v>
      </c>
      <c r="N1221" s="12">
        <f>_xlfn.XLOOKUP(B1221,[1]Sheet1!$B:$B,[1]Sheet1!$Q:$Q,0)</f>
        <v>0</v>
      </c>
      <c r="O1221" s="12">
        <f>_xlfn.XLOOKUP(B1221,[1]Sheet1!$B:$B,[1]Sheet1!$R:$R,0)</f>
        <v>35000</v>
      </c>
      <c r="P1221" s="12">
        <f>_xlfn.XLOOKUP(B1221,[1]Sheet1!$B:$B,[1]Sheet1!$S:$S,0)</f>
        <v>35000</v>
      </c>
      <c r="Q1221" s="12">
        <f>_xlfn.XLOOKUP(B1221,[1]Sheet1!$B:$B,[1]Sheet1!$T:$T,0)</f>
        <v>35000</v>
      </c>
      <c r="R1221" s="12">
        <f>_xlfn.XLOOKUP(B1221,[1]Sheet1!$B:$B,[1]Sheet1!$U:$U,0)</f>
        <v>35000</v>
      </c>
      <c r="S1221" s="12">
        <f>_xlfn.XLOOKUP(B1221,[1]Sheet1!$B:$B,[1]Sheet1!$V:$V,0)</f>
        <v>35000</v>
      </c>
      <c r="T1221" s="12">
        <f>_xlfn.XLOOKUP(B1221,[1]Sheet1!$B:$B,[1]Sheet1!$W:$W,0)</f>
        <v>35000</v>
      </c>
      <c r="U1221" s="12">
        <f>_xlfn.XLOOKUP(B1221,[1]Sheet1!$B:$B,[1]Sheet1!$X:$X,0)</f>
        <v>140000</v>
      </c>
      <c r="V1221" s="12">
        <f>_xlfn.XLOOKUP(B1221,[1]Sheet1!$B:$B,[1]Sheet1!$Y:$Y,0)</f>
        <v>70000</v>
      </c>
      <c r="W1221" s="12">
        <f t="shared" si="41"/>
        <v>420000</v>
      </c>
      <c r="X1221" s="8" t="s">
        <v>616</v>
      </c>
      <c r="Y1221" s="8" t="s">
        <v>65</v>
      </c>
      <c r="Z1221" s="8" t="s">
        <v>190</v>
      </c>
      <c r="AA1221" s="8" t="s">
        <v>53</v>
      </c>
      <c r="AB1221" s="8" t="s">
        <v>36</v>
      </c>
      <c r="AC1221" s="8" t="s">
        <v>37</v>
      </c>
      <c r="AD1221" s="8" t="s">
        <v>192</v>
      </c>
      <c r="AE1221" s="8" t="s">
        <v>39</v>
      </c>
      <c r="AF1221" s="8" t="s">
        <v>40</v>
      </c>
      <c r="AG1221" s="9">
        <v>420000</v>
      </c>
      <c r="AH1221" s="11">
        <f>_xlfn.XLOOKUP(B1221,[1]Sheet1!$B:$B,[1]Sheet1!$AB:$AB,0)</f>
        <v>420000</v>
      </c>
    </row>
    <row r="1222" spans="2:34" ht="16.8" thickTop="1" thickBot="1" x14ac:dyDescent="0.35">
      <c r="B1222" s="3" t="str">
        <f t="shared" si="40"/>
        <v>45118004511001496Strategy Advice-N421123200104</v>
      </c>
      <c r="C1222" s="6" t="s">
        <v>191</v>
      </c>
      <c r="D1222" s="6" t="s">
        <v>1851</v>
      </c>
      <c r="E1222" s="6" t="s">
        <v>1852</v>
      </c>
      <c r="F1222" s="6" t="s">
        <v>236</v>
      </c>
      <c r="G1222" s="4" t="s">
        <v>2827</v>
      </c>
      <c r="H1222" s="4" t="s">
        <v>2922</v>
      </c>
      <c r="I1222" s="6" t="s">
        <v>237</v>
      </c>
      <c r="J1222" s="6" t="s">
        <v>31</v>
      </c>
      <c r="K1222" s="12">
        <f>_xlfn.XLOOKUP(B1222,[1]Sheet1!$B:$B,[1]Sheet1!$N:$N,0)</f>
        <v>0</v>
      </c>
      <c r="L1222" s="12">
        <f>_xlfn.XLOOKUP(B1222,[1]Sheet1!$B:$B,[1]Sheet1!$O:$O,0)</f>
        <v>0</v>
      </c>
      <c r="M1222" s="12">
        <f>_xlfn.XLOOKUP(B1222,[1]Sheet1!$B:$B,[1]Sheet1!$P:$P,0)</f>
        <v>0</v>
      </c>
      <c r="N1222" s="12">
        <f>_xlfn.XLOOKUP(B1222,[1]Sheet1!$B:$B,[1]Sheet1!$Q:$Q,0)</f>
        <v>0</v>
      </c>
      <c r="O1222" s="12">
        <f>_xlfn.XLOOKUP(B1222,[1]Sheet1!$B:$B,[1]Sheet1!$R:$R,0)</f>
        <v>0</v>
      </c>
      <c r="P1222" s="12">
        <f>_xlfn.XLOOKUP(B1222,[1]Sheet1!$B:$B,[1]Sheet1!$S:$S,0)</f>
        <v>250000</v>
      </c>
      <c r="Q1222" s="12">
        <f>_xlfn.XLOOKUP(B1222,[1]Sheet1!$B:$B,[1]Sheet1!$T:$T,0)</f>
        <v>0</v>
      </c>
      <c r="R1222" s="12">
        <f>_xlfn.XLOOKUP(B1222,[1]Sheet1!$B:$B,[1]Sheet1!$U:$U,0)</f>
        <v>250000</v>
      </c>
      <c r="S1222" s="12">
        <f>_xlfn.XLOOKUP(B1222,[1]Sheet1!$B:$B,[1]Sheet1!$V:$V,0)</f>
        <v>0</v>
      </c>
      <c r="T1222" s="12">
        <f>_xlfn.XLOOKUP(B1222,[1]Sheet1!$B:$B,[1]Sheet1!$W:$W,0)</f>
        <v>250000</v>
      </c>
      <c r="U1222" s="12">
        <f>_xlfn.XLOOKUP(B1222,[1]Sheet1!$B:$B,[1]Sheet1!$X:$X,0)</f>
        <v>0</v>
      </c>
      <c r="V1222" s="12">
        <f>_xlfn.XLOOKUP(B1222,[1]Sheet1!$B:$B,[1]Sheet1!$Y:$Y,0)</f>
        <v>250000</v>
      </c>
      <c r="W1222" s="12">
        <f t="shared" si="41"/>
        <v>1000000</v>
      </c>
      <c r="X1222" s="6" t="s">
        <v>1477</v>
      </c>
      <c r="Y1222" s="6" t="s">
        <v>65</v>
      </c>
      <c r="Z1222" s="6" t="s">
        <v>190</v>
      </c>
      <c r="AA1222" s="6" t="s">
        <v>237</v>
      </c>
      <c r="AB1222" s="6" t="s">
        <v>36</v>
      </c>
      <c r="AC1222" s="6" t="s">
        <v>37</v>
      </c>
      <c r="AD1222" s="6" t="s">
        <v>192</v>
      </c>
      <c r="AE1222" s="6" t="s">
        <v>39</v>
      </c>
      <c r="AF1222" s="6" t="s">
        <v>40</v>
      </c>
      <c r="AG1222" s="7">
        <v>2840200</v>
      </c>
      <c r="AH1222" s="11">
        <f>_xlfn.XLOOKUP(B1222,[1]Sheet1!$B:$B,[1]Sheet1!$AB:$AB,0)</f>
        <v>2840200</v>
      </c>
    </row>
    <row r="1223" spans="2:34" ht="16.8" thickTop="1" thickBot="1" x14ac:dyDescent="0.35">
      <c r="B1223" s="3" t="str">
        <f t="shared" si="40"/>
        <v>45125004511001497Freelancers-N424521200104</v>
      </c>
      <c r="C1223" s="8" t="s">
        <v>1857</v>
      </c>
      <c r="D1223" s="8" t="s">
        <v>1853</v>
      </c>
      <c r="E1223" s="8" t="s">
        <v>1854</v>
      </c>
      <c r="F1223" s="8" t="s">
        <v>50</v>
      </c>
      <c r="G1223" s="4" t="s">
        <v>2804</v>
      </c>
      <c r="H1223" s="4" t="s">
        <v>2922</v>
      </c>
      <c r="I1223" s="8" t="s">
        <v>51</v>
      </c>
      <c r="J1223" s="8" t="s">
        <v>31</v>
      </c>
      <c r="K1223" s="12">
        <f>_xlfn.XLOOKUP(B1223,[1]Sheet1!$B:$B,[1]Sheet1!$N:$N,0)</f>
        <v>0</v>
      </c>
      <c r="L1223" s="12">
        <f>_xlfn.XLOOKUP(B1223,[1]Sheet1!$B:$B,[1]Sheet1!$O:$O,0)</f>
        <v>0</v>
      </c>
      <c r="M1223" s="12">
        <f>_xlfn.XLOOKUP(B1223,[1]Sheet1!$B:$B,[1]Sheet1!$P:$P,0)</f>
        <v>0</v>
      </c>
      <c r="N1223" s="12">
        <f>_xlfn.XLOOKUP(B1223,[1]Sheet1!$B:$B,[1]Sheet1!$Q:$Q,0)</f>
        <v>0</v>
      </c>
      <c r="O1223" s="12">
        <f>_xlfn.XLOOKUP(B1223,[1]Sheet1!$B:$B,[1]Sheet1!$R:$R,0)</f>
        <v>0</v>
      </c>
      <c r="P1223" s="12">
        <f>_xlfn.XLOOKUP(B1223,[1]Sheet1!$B:$B,[1]Sheet1!$S:$S,0)</f>
        <v>0</v>
      </c>
      <c r="Q1223" s="12">
        <f>_xlfn.XLOOKUP(B1223,[1]Sheet1!$B:$B,[1]Sheet1!$T:$T,0)</f>
        <v>0</v>
      </c>
      <c r="R1223" s="12">
        <f>_xlfn.XLOOKUP(B1223,[1]Sheet1!$B:$B,[1]Sheet1!$U:$U,0)</f>
        <v>0</v>
      </c>
      <c r="S1223" s="12">
        <f>_xlfn.XLOOKUP(B1223,[1]Sheet1!$B:$B,[1]Sheet1!$V:$V,0)</f>
        <v>0</v>
      </c>
      <c r="T1223" s="12">
        <f>_xlfn.XLOOKUP(B1223,[1]Sheet1!$B:$B,[1]Sheet1!$W:$W,0)</f>
        <v>0</v>
      </c>
      <c r="U1223" s="12">
        <f>_xlfn.XLOOKUP(B1223,[1]Sheet1!$B:$B,[1]Sheet1!$X:$X,0)</f>
        <v>0</v>
      </c>
      <c r="V1223" s="12">
        <f>_xlfn.XLOOKUP(B1223,[1]Sheet1!$B:$B,[1]Sheet1!$Y:$Y,0)</f>
        <v>92705</v>
      </c>
      <c r="W1223" s="12">
        <f t="shared" si="41"/>
        <v>92705</v>
      </c>
      <c r="X1223" s="8" t="s">
        <v>1855</v>
      </c>
      <c r="Y1223" s="8" t="s">
        <v>721</v>
      </c>
      <c r="Z1223" s="8" t="s">
        <v>1856</v>
      </c>
      <c r="AA1223" s="8" t="s">
        <v>53</v>
      </c>
      <c r="AB1223" s="8" t="s">
        <v>36</v>
      </c>
      <c r="AC1223" s="8" t="s">
        <v>37</v>
      </c>
      <c r="AD1223" s="8" t="s">
        <v>38</v>
      </c>
      <c r="AE1223" s="8" t="s">
        <v>39</v>
      </c>
      <c r="AF1223" s="8" t="s">
        <v>40</v>
      </c>
      <c r="AG1223" s="9">
        <v>92705</v>
      </c>
      <c r="AH1223" s="11">
        <f>_xlfn.XLOOKUP(B1223,[1]Sheet1!$B:$B,[1]Sheet1!$AB:$AB,0)</f>
        <v>92705</v>
      </c>
    </row>
    <row r="1224" spans="2:34" ht="16.8" thickTop="1" thickBot="1" x14ac:dyDescent="0.35">
      <c r="B1224" s="3" t="str">
        <f t="shared" si="40"/>
        <v>45125004511001497ManagementAdvice-N424521200104</v>
      </c>
      <c r="C1224" s="6" t="s">
        <v>1857</v>
      </c>
      <c r="D1224" s="6" t="s">
        <v>1853</v>
      </c>
      <c r="E1224" s="6" t="s">
        <v>1854</v>
      </c>
      <c r="F1224" s="6" t="s">
        <v>230</v>
      </c>
      <c r="G1224" s="4" t="s">
        <v>2804</v>
      </c>
      <c r="H1224" s="4" t="s">
        <v>2922</v>
      </c>
      <c r="I1224" s="6" t="s">
        <v>51</v>
      </c>
      <c r="J1224" s="6" t="s">
        <v>31</v>
      </c>
      <c r="K1224" s="12">
        <f>_xlfn.XLOOKUP(B1224,[1]Sheet1!$B:$B,[1]Sheet1!$N:$N,0)</f>
        <v>0</v>
      </c>
      <c r="L1224" s="12">
        <f>_xlfn.XLOOKUP(B1224,[1]Sheet1!$B:$B,[1]Sheet1!$O:$O,0)</f>
        <v>0</v>
      </c>
      <c r="M1224" s="12">
        <f>_xlfn.XLOOKUP(B1224,[1]Sheet1!$B:$B,[1]Sheet1!$P:$P,0)</f>
        <v>0</v>
      </c>
      <c r="N1224" s="12">
        <f>_xlfn.XLOOKUP(B1224,[1]Sheet1!$B:$B,[1]Sheet1!$Q:$Q,0)</f>
        <v>0</v>
      </c>
      <c r="O1224" s="12">
        <f>_xlfn.XLOOKUP(B1224,[1]Sheet1!$B:$B,[1]Sheet1!$R:$R,0)</f>
        <v>0</v>
      </c>
      <c r="P1224" s="12">
        <f>_xlfn.XLOOKUP(B1224,[1]Sheet1!$B:$B,[1]Sheet1!$S:$S,0)</f>
        <v>0</v>
      </c>
      <c r="Q1224" s="12">
        <f>_xlfn.XLOOKUP(B1224,[1]Sheet1!$B:$B,[1]Sheet1!$T:$T,0)</f>
        <v>0</v>
      </c>
      <c r="R1224" s="12">
        <f>_xlfn.XLOOKUP(B1224,[1]Sheet1!$B:$B,[1]Sheet1!$U:$U,0)</f>
        <v>0</v>
      </c>
      <c r="S1224" s="12">
        <f>_xlfn.XLOOKUP(B1224,[1]Sheet1!$B:$B,[1]Sheet1!$V:$V,0)</f>
        <v>0</v>
      </c>
      <c r="T1224" s="12">
        <f>_xlfn.XLOOKUP(B1224,[1]Sheet1!$B:$B,[1]Sheet1!$W:$W,0)</f>
        <v>0</v>
      </c>
      <c r="U1224" s="12">
        <f>_xlfn.XLOOKUP(B1224,[1]Sheet1!$B:$B,[1]Sheet1!$X:$X,0)</f>
        <v>0</v>
      </c>
      <c r="V1224" s="12">
        <f>_xlfn.XLOOKUP(B1224,[1]Sheet1!$B:$B,[1]Sheet1!$Y:$Y,0)</f>
        <v>1967295</v>
      </c>
      <c r="W1224" s="12">
        <f t="shared" si="41"/>
        <v>1967295</v>
      </c>
      <c r="X1224" s="6" t="s">
        <v>1855</v>
      </c>
      <c r="Y1224" s="6" t="s">
        <v>721</v>
      </c>
      <c r="Z1224" s="6" t="s">
        <v>1856</v>
      </c>
      <c r="AA1224" s="6" t="s">
        <v>53</v>
      </c>
      <c r="AB1224" s="6" t="s">
        <v>36</v>
      </c>
      <c r="AC1224" s="6" t="s">
        <v>37</v>
      </c>
      <c r="AD1224" s="6" t="s">
        <v>38</v>
      </c>
      <c r="AE1224" s="6" t="s">
        <v>39</v>
      </c>
      <c r="AF1224" s="6" t="s">
        <v>40</v>
      </c>
      <c r="AG1224" s="7">
        <v>1967295</v>
      </c>
      <c r="AH1224" s="11">
        <f>_xlfn.XLOOKUP(B1224,[1]Sheet1!$B:$B,[1]Sheet1!$AB:$AB,0)</f>
        <v>1967295</v>
      </c>
    </row>
    <row r="1225" spans="2:34" ht="16.8" thickTop="1" thickBot="1" x14ac:dyDescent="0.35">
      <c r="B1225" s="3" t="str">
        <f t="shared" si="40"/>
        <v>45155004511001498Event Management-N1422401200104</v>
      </c>
      <c r="C1225" s="8" t="s">
        <v>513</v>
      </c>
      <c r="D1225" s="8" t="s">
        <v>1858</v>
      </c>
      <c r="E1225" s="8" t="s">
        <v>1859</v>
      </c>
      <c r="F1225" s="8" t="s">
        <v>122</v>
      </c>
      <c r="G1225" s="4" t="s">
        <v>2807</v>
      </c>
      <c r="H1225" s="4" t="s">
        <v>2922</v>
      </c>
      <c r="I1225" s="8" t="s">
        <v>63</v>
      </c>
      <c r="J1225" s="8" t="s">
        <v>31</v>
      </c>
      <c r="K1225" s="12">
        <f>_xlfn.XLOOKUP(B1225,[1]Sheet1!$B:$B,[1]Sheet1!$N:$N,0)</f>
        <v>0</v>
      </c>
      <c r="L1225" s="12">
        <f>_xlfn.XLOOKUP(B1225,[1]Sheet1!$B:$B,[1]Sheet1!$O:$O,0)</f>
        <v>0</v>
      </c>
      <c r="M1225" s="12">
        <f>_xlfn.XLOOKUP(B1225,[1]Sheet1!$B:$B,[1]Sheet1!$P:$P,0)</f>
        <v>22134000</v>
      </c>
      <c r="N1225" s="12">
        <f>_xlfn.XLOOKUP(B1225,[1]Sheet1!$B:$B,[1]Sheet1!$Q:$Q,0)</f>
        <v>0</v>
      </c>
      <c r="O1225" s="12">
        <f>_xlfn.XLOOKUP(B1225,[1]Sheet1!$B:$B,[1]Sheet1!$R:$R,0)</f>
        <v>4596000</v>
      </c>
      <c r="P1225" s="12">
        <f>_xlfn.XLOOKUP(B1225,[1]Sheet1!$B:$B,[1]Sheet1!$S:$S,0)</f>
        <v>0</v>
      </c>
      <c r="Q1225" s="12">
        <f>_xlfn.XLOOKUP(B1225,[1]Sheet1!$B:$B,[1]Sheet1!$T:$T,0)</f>
        <v>0</v>
      </c>
      <c r="R1225" s="12">
        <f>_xlfn.XLOOKUP(B1225,[1]Sheet1!$B:$B,[1]Sheet1!$U:$U,0)</f>
        <v>0</v>
      </c>
      <c r="S1225" s="12">
        <f>_xlfn.XLOOKUP(B1225,[1]Sheet1!$B:$B,[1]Sheet1!$V:$V,0)</f>
        <v>0</v>
      </c>
      <c r="T1225" s="12">
        <f>_xlfn.XLOOKUP(B1225,[1]Sheet1!$B:$B,[1]Sheet1!$W:$W,0)</f>
        <v>7747500</v>
      </c>
      <c r="U1225" s="12">
        <f>_xlfn.XLOOKUP(B1225,[1]Sheet1!$B:$B,[1]Sheet1!$X:$X,0)</f>
        <v>0</v>
      </c>
      <c r="V1225" s="12">
        <f>_xlfn.XLOOKUP(B1225,[1]Sheet1!$B:$B,[1]Sheet1!$Y:$Y,0)</f>
        <v>0</v>
      </c>
      <c r="W1225" s="12">
        <f t="shared" si="41"/>
        <v>34477500</v>
      </c>
      <c r="X1225" s="8" t="s">
        <v>524</v>
      </c>
      <c r="Y1225" s="8" t="s">
        <v>211</v>
      </c>
      <c r="Z1225" s="8" t="s">
        <v>512</v>
      </c>
      <c r="AA1225" s="8" t="s">
        <v>68</v>
      </c>
      <c r="AB1225" s="8" t="s">
        <v>36</v>
      </c>
      <c r="AC1225" s="8" t="s">
        <v>37</v>
      </c>
      <c r="AD1225" s="8" t="s">
        <v>342</v>
      </c>
      <c r="AE1225" s="8" t="s">
        <v>39</v>
      </c>
      <c r="AF1225" s="8" t="s">
        <v>40</v>
      </c>
      <c r="AG1225" s="9">
        <v>34477500</v>
      </c>
      <c r="AH1225" s="11">
        <f>_xlfn.XLOOKUP(B1225,[1]Sheet1!$B:$B,[1]Sheet1!$AB:$AB,0)</f>
        <v>34477500</v>
      </c>
    </row>
    <row r="1226" spans="2:34" ht="16.8" thickTop="1" thickBot="1" x14ac:dyDescent="0.35">
      <c r="B1226" s="3" t="str">
        <f t="shared" si="40"/>
        <v>45131304511001499Sponsorship Fees-L424811201932</v>
      </c>
      <c r="C1226" s="6" t="s">
        <v>321</v>
      </c>
      <c r="D1226" s="6" t="s">
        <v>1860</v>
      </c>
      <c r="E1226" s="6" t="s">
        <v>1861</v>
      </c>
      <c r="F1226" s="6" t="s">
        <v>935</v>
      </c>
      <c r="G1226" s="4" t="s">
        <v>2802</v>
      </c>
      <c r="H1226" s="4" t="s">
        <v>2932</v>
      </c>
      <c r="I1226" s="6" t="s">
        <v>30</v>
      </c>
      <c r="J1226" s="6" t="s">
        <v>31</v>
      </c>
      <c r="K1226" s="12">
        <f>_xlfn.XLOOKUP(B1226,[1]Sheet1!$B:$B,[1]Sheet1!$N:$N,0)</f>
        <v>0</v>
      </c>
      <c r="L1226" s="12">
        <f>_xlfn.XLOOKUP(B1226,[1]Sheet1!$B:$B,[1]Sheet1!$O:$O,0)</f>
        <v>0</v>
      </c>
      <c r="M1226" s="12">
        <f>_xlfn.XLOOKUP(B1226,[1]Sheet1!$B:$B,[1]Sheet1!$P:$P,0)</f>
        <v>27543750</v>
      </c>
      <c r="N1226" s="12">
        <f>_xlfn.XLOOKUP(B1226,[1]Sheet1!$B:$B,[1]Sheet1!$Q:$Q,0)</f>
        <v>0</v>
      </c>
      <c r="O1226" s="12">
        <f>_xlfn.XLOOKUP(B1226,[1]Sheet1!$B:$B,[1]Sheet1!$R:$R,0)</f>
        <v>0</v>
      </c>
      <c r="P1226" s="12">
        <f>_xlfn.XLOOKUP(B1226,[1]Sheet1!$B:$B,[1]Sheet1!$S:$S,0)</f>
        <v>0</v>
      </c>
      <c r="Q1226" s="12">
        <f>_xlfn.XLOOKUP(B1226,[1]Sheet1!$B:$B,[1]Sheet1!$T:$T,0)</f>
        <v>0</v>
      </c>
      <c r="R1226" s="12">
        <f>_xlfn.XLOOKUP(B1226,[1]Sheet1!$B:$B,[1]Sheet1!$U:$U,0)</f>
        <v>0</v>
      </c>
      <c r="S1226" s="12">
        <f>_xlfn.XLOOKUP(B1226,[1]Sheet1!$B:$B,[1]Sheet1!$V:$V,0)</f>
        <v>0</v>
      </c>
      <c r="T1226" s="12">
        <f>_xlfn.XLOOKUP(B1226,[1]Sheet1!$B:$B,[1]Sheet1!$W:$W,0)</f>
        <v>0</v>
      </c>
      <c r="U1226" s="12">
        <f>_xlfn.XLOOKUP(B1226,[1]Sheet1!$B:$B,[1]Sheet1!$X:$X,0)</f>
        <v>27511250</v>
      </c>
      <c r="V1226" s="12">
        <f>_xlfn.XLOOKUP(B1226,[1]Sheet1!$B:$B,[1]Sheet1!$Y:$Y,0)</f>
        <v>0</v>
      </c>
      <c r="W1226" s="12">
        <f t="shared" si="41"/>
        <v>55055000</v>
      </c>
      <c r="X1226" s="6" t="s">
        <v>1862</v>
      </c>
      <c r="Y1226" s="6" t="s">
        <v>319</v>
      </c>
      <c r="Z1226" s="6" t="s">
        <v>320</v>
      </c>
      <c r="AA1226" s="6" t="s">
        <v>30</v>
      </c>
      <c r="AB1226" s="6" t="s">
        <v>1563</v>
      </c>
      <c r="AC1226" s="6" t="s">
        <v>37</v>
      </c>
      <c r="AD1226" s="6" t="s">
        <v>322</v>
      </c>
      <c r="AE1226" s="6" t="s">
        <v>39</v>
      </c>
      <c r="AF1226" s="6" t="s">
        <v>40</v>
      </c>
      <c r="AG1226" s="7">
        <v>55055000</v>
      </c>
      <c r="AH1226" s="11">
        <f>_xlfn.XLOOKUP(B1226,[1]Sheet1!$B:$B,[1]Sheet1!$AB:$AB,0)</f>
        <v>55055000</v>
      </c>
    </row>
    <row r="1227" spans="2:34" ht="16.8" thickTop="1" thickBot="1" x14ac:dyDescent="0.35">
      <c r="B1227" s="3" t="str">
        <f t="shared" si="40"/>
        <v>45131304511001499Sponsorship Fees-N424811200104</v>
      </c>
      <c r="C1227" s="8" t="s">
        <v>321</v>
      </c>
      <c r="D1227" s="8" t="s">
        <v>1860</v>
      </c>
      <c r="E1227" s="8" t="s">
        <v>1861</v>
      </c>
      <c r="F1227" s="8" t="s">
        <v>506</v>
      </c>
      <c r="G1227" s="4" t="s">
        <v>2802</v>
      </c>
      <c r="H1227" s="4" t="s">
        <v>2922</v>
      </c>
      <c r="I1227" s="8" t="s">
        <v>30</v>
      </c>
      <c r="J1227" s="8" t="s">
        <v>31</v>
      </c>
      <c r="K1227" s="12">
        <f>_xlfn.XLOOKUP(B1227,[1]Sheet1!$B:$B,[1]Sheet1!$N:$N,0)</f>
        <v>0</v>
      </c>
      <c r="L1227" s="12">
        <f>_xlfn.XLOOKUP(B1227,[1]Sheet1!$B:$B,[1]Sheet1!$O:$O,0)</f>
        <v>0</v>
      </c>
      <c r="M1227" s="12">
        <f>_xlfn.XLOOKUP(B1227,[1]Sheet1!$B:$B,[1]Sheet1!$P:$P,0)</f>
        <v>0</v>
      </c>
      <c r="N1227" s="12">
        <f>_xlfn.XLOOKUP(B1227,[1]Sheet1!$B:$B,[1]Sheet1!$Q:$Q,0)</f>
        <v>0</v>
      </c>
      <c r="O1227" s="12">
        <f>_xlfn.XLOOKUP(B1227,[1]Sheet1!$B:$B,[1]Sheet1!$R:$R,0)</f>
        <v>0</v>
      </c>
      <c r="P1227" s="12">
        <f>_xlfn.XLOOKUP(B1227,[1]Sheet1!$B:$B,[1]Sheet1!$S:$S,0)</f>
        <v>0</v>
      </c>
      <c r="Q1227" s="12">
        <f>_xlfn.XLOOKUP(B1227,[1]Sheet1!$B:$B,[1]Sheet1!$T:$T,0)</f>
        <v>0</v>
      </c>
      <c r="R1227" s="12">
        <f>_xlfn.XLOOKUP(B1227,[1]Sheet1!$B:$B,[1]Sheet1!$U:$U,0)</f>
        <v>0</v>
      </c>
      <c r="S1227" s="12">
        <f>_xlfn.XLOOKUP(B1227,[1]Sheet1!$B:$B,[1]Sheet1!$V:$V,0)</f>
        <v>0</v>
      </c>
      <c r="T1227" s="12">
        <f>_xlfn.XLOOKUP(B1227,[1]Sheet1!$B:$B,[1]Sheet1!$W:$W,0)</f>
        <v>0</v>
      </c>
      <c r="U1227" s="12">
        <f>_xlfn.XLOOKUP(B1227,[1]Sheet1!$B:$B,[1]Sheet1!$X:$X,0)</f>
        <v>245000</v>
      </c>
      <c r="V1227" s="12">
        <f>_xlfn.XLOOKUP(B1227,[1]Sheet1!$B:$B,[1]Sheet1!$Y:$Y,0)</f>
        <v>0</v>
      </c>
      <c r="W1227" s="12">
        <f t="shared" si="41"/>
        <v>245000</v>
      </c>
      <c r="X1227" s="8" t="s">
        <v>507</v>
      </c>
      <c r="Y1227" s="8" t="s">
        <v>319</v>
      </c>
      <c r="Z1227" s="8" t="s">
        <v>320</v>
      </c>
      <c r="AA1227" s="8" t="s">
        <v>30</v>
      </c>
      <c r="AB1227" s="8" t="s">
        <v>36</v>
      </c>
      <c r="AC1227" s="8" t="s">
        <v>37</v>
      </c>
      <c r="AD1227" s="8" t="s">
        <v>322</v>
      </c>
      <c r="AE1227" s="8" t="s">
        <v>39</v>
      </c>
      <c r="AF1227" s="8" t="s">
        <v>40</v>
      </c>
      <c r="AG1227" s="9">
        <v>245000</v>
      </c>
      <c r="AH1227" s="11">
        <f>_xlfn.XLOOKUP(B1227,[1]Sheet1!$B:$B,[1]Sheet1!$AB:$AB,0)</f>
        <v>245000</v>
      </c>
    </row>
    <row r="1228" spans="2:34" ht="16.8" thickTop="1" thickBot="1" x14ac:dyDescent="0.35">
      <c r="B1228" s="3" t="str">
        <f t="shared" si="40"/>
        <v>45191964511001500CampaignProductn-N422511200104</v>
      </c>
      <c r="C1228" s="6" t="s">
        <v>843</v>
      </c>
      <c r="D1228" s="6" t="s">
        <v>1863</v>
      </c>
      <c r="E1228" s="6" t="s">
        <v>1864</v>
      </c>
      <c r="F1228" s="6" t="s">
        <v>1137</v>
      </c>
      <c r="G1228" s="4" t="s">
        <v>2819</v>
      </c>
      <c r="H1228" s="4" t="s">
        <v>2922</v>
      </c>
      <c r="I1228" s="6" t="s">
        <v>151</v>
      </c>
      <c r="J1228" s="6" t="s">
        <v>31</v>
      </c>
      <c r="K1228" s="12">
        <f>_xlfn.XLOOKUP(B1228,[1]Sheet1!$B:$B,[1]Sheet1!$N:$N,0)</f>
        <v>0</v>
      </c>
      <c r="L1228" s="12">
        <f>_xlfn.XLOOKUP(B1228,[1]Sheet1!$B:$B,[1]Sheet1!$O:$O,0)</f>
        <v>0</v>
      </c>
      <c r="M1228" s="12">
        <f>_xlfn.XLOOKUP(B1228,[1]Sheet1!$B:$B,[1]Sheet1!$P:$P,0)</f>
        <v>0</v>
      </c>
      <c r="N1228" s="12">
        <f>_xlfn.XLOOKUP(B1228,[1]Sheet1!$B:$B,[1]Sheet1!$Q:$Q,0)</f>
        <v>0</v>
      </c>
      <c r="O1228" s="12">
        <f>_xlfn.XLOOKUP(B1228,[1]Sheet1!$B:$B,[1]Sheet1!$R:$R,0)</f>
        <v>0</v>
      </c>
      <c r="P1228" s="12">
        <f>_xlfn.XLOOKUP(B1228,[1]Sheet1!$B:$B,[1]Sheet1!$S:$S,0)</f>
        <v>0</v>
      </c>
      <c r="Q1228" s="12">
        <f>_xlfn.XLOOKUP(B1228,[1]Sheet1!$B:$B,[1]Sheet1!$T:$T,0)</f>
        <v>500000</v>
      </c>
      <c r="R1228" s="12">
        <f>_xlfn.XLOOKUP(B1228,[1]Sheet1!$B:$B,[1]Sheet1!$U:$U,0)</f>
        <v>0</v>
      </c>
      <c r="S1228" s="12">
        <f>_xlfn.XLOOKUP(B1228,[1]Sheet1!$B:$B,[1]Sheet1!$V:$V,0)</f>
        <v>0</v>
      </c>
      <c r="T1228" s="12">
        <f>_xlfn.XLOOKUP(B1228,[1]Sheet1!$B:$B,[1]Sheet1!$W:$W,0)</f>
        <v>0</v>
      </c>
      <c r="U1228" s="12">
        <f>_xlfn.XLOOKUP(B1228,[1]Sheet1!$B:$B,[1]Sheet1!$X:$X,0)</f>
        <v>0</v>
      </c>
      <c r="V1228" s="12">
        <f>_xlfn.XLOOKUP(B1228,[1]Sheet1!$B:$B,[1]Sheet1!$Y:$Y,0)</f>
        <v>0</v>
      </c>
      <c r="W1228" s="12">
        <f t="shared" si="41"/>
        <v>500000</v>
      </c>
      <c r="X1228" s="6" t="s">
        <v>841</v>
      </c>
      <c r="Y1228" s="6" t="s">
        <v>392</v>
      </c>
      <c r="Z1228" s="6" t="s">
        <v>842</v>
      </c>
      <c r="AA1228" s="6" t="s">
        <v>151</v>
      </c>
      <c r="AB1228" s="6" t="s">
        <v>36</v>
      </c>
      <c r="AC1228" s="6" t="s">
        <v>37</v>
      </c>
      <c r="AD1228" s="6" t="s">
        <v>844</v>
      </c>
      <c r="AE1228" s="6" t="s">
        <v>39</v>
      </c>
      <c r="AF1228" s="6" t="s">
        <v>40</v>
      </c>
      <c r="AG1228" s="7">
        <v>500000</v>
      </c>
      <c r="AH1228" s="11">
        <f>_xlfn.XLOOKUP(B1228,[1]Sheet1!$B:$B,[1]Sheet1!$AB:$AB,0)</f>
        <v>500000</v>
      </c>
    </row>
    <row r="1229" spans="2:34" ht="16.8" thickTop="1" thickBot="1" x14ac:dyDescent="0.35">
      <c r="B1229" s="3" t="str">
        <f t="shared" si="40"/>
        <v>45191974511001501Editing&amp;Proof-N424791200104</v>
      </c>
      <c r="C1229" s="8" t="s">
        <v>903</v>
      </c>
      <c r="D1229" s="8" t="s">
        <v>1865</v>
      </c>
      <c r="E1229" s="8" t="s">
        <v>1866</v>
      </c>
      <c r="F1229" s="8" t="s">
        <v>1867</v>
      </c>
      <c r="G1229" s="4" t="s">
        <v>2830</v>
      </c>
      <c r="H1229" s="4" t="s">
        <v>2922</v>
      </c>
      <c r="I1229" s="8" t="s">
        <v>305</v>
      </c>
      <c r="J1229" s="8" t="s">
        <v>31</v>
      </c>
      <c r="K1229" s="12">
        <f>_xlfn.XLOOKUP(B1229,[1]Sheet1!$B:$B,[1]Sheet1!$N:$N,0)</f>
        <v>0</v>
      </c>
      <c r="L1229" s="12">
        <f>_xlfn.XLOOKUP(B1229,[1]Sheet1!$B:$B,[1]Sheet1!$O:$O,0)</f>
        <v>0</v>
      </c>
      <c r="M1229" s="12">
        <f>_xlfn.XLOOKUP(B1229,[1]Sheet1!$B:$B,[1]Sheet1!$P:$P,0)</f>
        <v>0</v>
      </c>
      <c r="N1229" s="12">
        <f>_xlfn.XLOOKUP(B1229,[1]Sheet1!$B:$B,[1]Sheet1!$Q:$Q,0)</f>
        <v>0</v>
      </c>
      <c r="O1229" s="12">
        <f>_xlfn.XLOOKUP(B1229,[1]Sheet1!$B:$B,[1]Sheet1!$R:$R,0)</f>
        <v>90000</v>
      </c>
      <c r="P1229" s="12">
        <f>_xlfn.XLOOKUP(B1229,[1]Sheet1!$B:$B,[1]Sheet1!$S:$S,0)</f>
        <v>0</v>
      </c>
      <c r="Q1229" s="12">
        <f>_xlfn.XLOOKUP(B1229,[1]Sheet1!$B:$B,[1]Sheet1!$T:$T,0)</f>
        <v>0</v>
      </c>
      <c r="R1229" s="12">
        <f>_xlfn.XLOOKUP(B1229,[1]Sheet1!$B:$B,[1]Sheet1!$U:$U,0)</f>
        <v>0</v>
      </c>
      <c r="S1229" s="12">
        <f>_xlfn.XLOOKUP(B1229,[1]Sheet1!$B:$B,[1]Sheet1!$V:$V,0)</f>
        <v>0</v>
      </c>
      <c r="T1229" s="12">
        <f>_xlfn.XLOOKUP(B1229,[1]Sheet1!$B:$B,[1]Sheet1!$W:$W,0)</f>
        <v>0</v>
      </c>
      <c r="U1229" s="12">
        <f>_xlfn.XLOOKUP(B1229,[1]Sheet1!$B:$B,[1]Sheet1!$X:$X,0)</f>
        <v>0</v>
      </c>
      <c r="V1229" s="12">
        <f>_xlfn.XLOOKUP(B1229,[1]Sheet1!$B:$B,[1]Sheet1!$Y:$Y,0)</f>
        <v>0</v>
      </c>
      <c r="W1229" s="12">
        <f t="shared" si="41"/>
        <v>90000</v>
      </c>
      <c r="X1229" s="8" t="s">
        <v>1868</v>
      </c>
      <c r="Y1229" s="8" t="s">
        <v>392</v>
      </c>
      <c r="Z1229" s="8" t="s">
        <v>902</v>
      </c>
      <c r="AA1229" s="8" t="s">
        <v>305</v>
      </c>
      <c r="AB1229" s="8" t="s">
        <v>36</v>
      </c>
      <c r="AC1229" s="8" t="s">
        <v>37</v>
      </c>
      <c r="AD1229" s="8" t="s">
        <v>863</v>
      </c>
      <c r="AE1229" s="8" t="s">
        <v>39</v>
      </c>
      <c r="AF1229" s="8" t="s">
        <v>40</v>
      </c>
      <c r="AG1229" s="9">
        <v>90000</v>
      </c>
      <c r="AH1229" s="11">
        <f>_xlfn.XLOOKUP(B1229,[1]Sheet1!$B:$B,[1]Sheet1!$AB:$AB,0)</f>
        <v>90000</v>
      </c>
    </row>
    <row r="1230" spans="2:34" ht="16.8" thickTop="1" thickBot="1" x14ac:dyDescent="0.35">
      <c r="B1230" s="3" t="str">
        <f t="shared" si="40"/>
        <v>45191974511001501Print Runs-N424791200104</v>
      </c>
      <c r="C1230" s="6" t="s">
        <v>903</v>
      </c>
      <c r="D1230" s="6" t="s">
        <v>1865</v>
      </c>
      <c r="E1230" s="6" t="s">
        <v>1866</v>
      </c>
      <c r="F1230" s="6" t="s">
        <v>304</v>
      </c>
      <c r="G1230" s="4" t="s">
        <v>2830</v>
      </c>
      <c r="H1230" s="4" t="s">
        <v>2922</v>
      </c>
      <c r="I1230" s="6" t="s">
        <v>305</v>
      </c>
      <c r="J1230" s="6" t="s">
        <v>31</v>
      </c>
      <c r="K1230" s="12">
        <f>_xlfn.XLOOKUP(B1230,[1]Sheet1!$B:$B,[1]Sheet1!$N:$N,0)</f>
        <v>0</v>
      </c>
      <c r="L1230" s="12">
        <f>_xlfn.XLOOKUP(B1230,[1]Sheet1!$B:$B,[1]Sheet1!$O:$O,0)</f>
        <v>0</v>
      </c>
      <c r="M1230" s="12">
        <f>_xlfn.XLOOKUP(B1230,[1]Sheet1!$B:$B,[1]Sheet1!$P:$P,0)</f>
        <v>0</v>
      </c>
      <c r="N1230" s="12">
        <f>_xlfn.XLOOKUP(B1230,[1]Sheet1!$B:$B,[1]Sheet1!$Q:$Q,0)</f>
        <v>0</v>
      </c>
      <c r="O1230" s="12">
        <f>_xlfn.XLOOKUP(B1230,[1]Sheet1!$B:$B,[1]Sheet1!$R:$R,0)</f>
        <v>130000</v>
      </c>
      <c r="P1230" s="12">
        <f>_xlfn.XLOOKUP(B1230,[1]Sheet1!$B:$B,[1]Sheet1!$S:$S,0)</f>
        <v>0</v>
      </c>
      <c r="Q1230" s="12">
        <f>_xlfn.XLOOKUP(B1230,[1]Sheet1!$B:$B,[1]Sheet1!$T:$T,0)</f>
        <v>0</v>
      </c>
      <c r="R1230" s="12">
        <f>_xlfn.XLOOKUP(B1230,[1]Sheet1!$B:$B,[1]Sheet1!$U:$U,0)</f>
        <v>0</v>
      </c>
      <c r="S1230" s="12">
        <f>_xlfn.XLOOKUP(B1230,[1]Sheet1!$B:$B,[1]Sheet1!$V:$V,0)</f>
        <v>0</v>
      </c>
      <c r="T1230" s="12">
        <f>_xlfn.XLOOKUP(B1230,[1]Sheet1!$B:$B,[1]Sheet1!$W:$W,0)</f>
        <v>0</v>
      </c>
      <c r="U1230" s="12">
        <f>_xlfn.XLOOKUP(B1230,[1]Sheet1!$B:$B,[1]Sheet1!$X:$X,0)</f>
        <v>0</v>
      </c>
      <c r="V1230" s="12">
        <f>_xlfn.XLOOKUP(B1230,[1]Sheet1!$B:$B,[1]Sheet1!$Y:$Y,0)</f>
        <v>0</v>
      </c>
      <c r="W1230" s="12">
        <f t="shared" si="41"/>
        <v>130000</v>
      </c>
      <c r="X1230" s="6" t="s">
        <v>1868</v>
      </c>
      <c r="Y1230" s="6" t="s">
        <v>392</v>
      </c>
      <c r="Z1230" s="6" t="s">
        <v>902</v>
      </c>
      <c r="AA1230" s="6" t="s">
        <v>305</v>
      </c>
      <c r="AB1230" s="6" t="s">
        <v>36</v>
      </c>
      <c r="AC1230" s="6" t="s">
        <v>37</v>
      </c>
      <c r="AD1230" s="6" t="s">
        <v>863</v>
      </c>
      <c r="AE1230" s="6" t="s">
        <v>39</v>
      </c>
      <c r="AF1230" s="6" t="s">
        <v>40</v>
      </c>
      <c r="AG1230" s="7">
        <v>130000</v>
      </c>
      <c r="AH1230" s="11">
        <f>_xlfn.XLOOKUP(B1230,[1]Sheet1!$B:$B,[1]Sheet1!$AB:$AB,0)</f>
        <v>130000</v>
      </c>
    </row>
    <row r="1231" spans="2:34" ht="16.8" thickTop="1" thickBot="1" x14ac:dyDescent="0.35">
      <c r="B1231" s="3" t="str">
        <f t="shared" si="40"/>
        <v>45191974511001501Research Grants-N423411200104</v>
      </c>
      <c r="C1231" s="8" t="s">
        <v>903</v>
      </c>
      <c r="D1231" s="8" t="s">
        <v>1865</v>
      </c>
      <c r="E1231" s="8" t="s">
        <v>1866</v>
      </c>
      <c r="F1231" s="8" t="s">
        <v>1869</v>
      </c>
      <c r="G1231" s="4" t="s">
        <v>2833</v>
      </c>
      <c r="H1231" s="4" t="s">
        <v>2922</v>
      </c>
      <c r="I1231" s="8" t="s">
        <v>330</v>
      </c>
      <c r="J1231" s="8" t="s">
        <v>31</v>
      </c>
      <c r="K1231" s="12">
        <f>_xlfn.XLOOKUP(B1231,[1]Sheet1!$B:$B,[1]Sheet1!$N:$N,0)</f>
        <v>0</v>
      </c>
      <c r="L1231" s="12">
        <f>_xlfn.XLOOKUP(B1231,[1]Sheet1!$B:$B,[1]Sheet1!$O:$O,0)</f>
        <v>0</v>
      </c>
      <c r="M1231" s="12">
        <f>_xlfn.XLOOKUP(B1231,[1]Sheet1!$B:$B,[1]Sheet1!$P:$P,0)</f>
        <v>4000</v>
      </c>
      <c r="N1231" s="12">
        <f>_xlfn.XLOOKUP(B1231,[1]Sheet1!$B:$B,[1]Sheet1!$Q:$Q,0)</f>
        <v>0</v>
      </c>
      <c r="O1231" s="12">
        <f>_xlfn.XLOOKUP(B1231,[1]Sheet1!$B:$B,[1]Sheet1!$R:$R,0)</f>
        <v>0</v>
      </c>
      <c r="P1231" s="12">
        <f>_xlfn.XLOOKUP(B1231,[1]Sheet1!$B:$B,[1]Sheet1!$S:$S,0)</f>
        <v>0</v>
      </c>
      <c r="Q1231" s="12">
        <f>_xlfn.XLOOKUP(B1231,[1]Sheet1!$B:$B,[1]Sheet1!$T:$T,0)</f>
        <v>0</v>
      </c>
      <c r="R1231" s="12">
        <f>_xlfn.XLOOKUP(B1231,[1]Sheet1!$B:$B,[1]Sheet1!$U:$U,0)</f>
        <v>0</v>
      </c>
      <c r="S1231" s="12">
        <f>_xlfn.XLOOKUP(B1231,[1]Sheet1!$B:$B,[1]Sheet1!$V:$V,0)</f>
        <v>0</v>
      </c>
      <c r="T1231" s="12">
        <f>_xlfn.XLOOKUP(B1231,[1]Sheet1!$B:$B,[1]Sheet1!$W:$W,0)</f>
        <v>0</v>
      </c>
      <c r="U1231" s="12">
        <f>_xlfn.XLOOKUP(B1231,[1]Sheet1!$B:$B,[1]Sheet1!$X:$X,0)</f>
        <v>0</v>
      </c>
      <c r="V1231" s="12">
        <f>_xlfn.XLOOKUP(B1231,[1]Sheet1!$B:$B,[1]Sheet1!$Y:$Y,0)</f>
        <v>446000</v>
      </c>
      <c r="W1231" s="12">
        <f t="shared" si="41"/>
        <v>450000</v>
      </c>
      <c r="X1231" s="8" t="s">
        <v>1870</v>
      </c>
      <c r="Y1231" s="8" t="s">
        <v>392</v>
      </c>
      <c r="Z1231" s="8" t="s">
        <v>902</v>
      </c>
      <c r="AA1231" s="8" t="s">
        <v>330</v>
      </c>
      <c r="AB1231" s="8" t="s">
        <v>36</v>
      </c>
      <c r="AC1231" s="8" t="s">
        <v>37</v>
      </c>
      <c r="AD1231" s="8" t="s">
        <v>863</v>
      </c>
      <c r="AE1231" s="8" t="s">
        <v>39</v>
      </c>
      <c r="AF1231" s="8" t="s">
        <v>40</v>
      </c>
      <c r="AG1231" s="9">
        <v>450000</v>
      </c>
      <c r="AH1231" s="11">
        <f>_xlfn.XLOOKUP(B1231,[1]Sheet1!$B:$B,[1]Sheet1!$AB:$AB,0)</f>
        <v>450000</v>
      </c>
    </row>
    <row r="1232" spans="2:34" ht="16.8" thickTop="1" thickBot="1" x14ac:dyDescent="0.35">
      <c r="B1232" s="3" t="str">
        <f t="shared" si="40"/>
        <v>45191974511001502Management Advice-N2424521200104</v>
      </c>
      <c r="C1232" s="6" t="s">
        <v>903</v>
      </c>
      <c r="D1232" s="6" t="s">
        <v>1871</v>
      </c>
      <c r="E1232" s="6" t="s">
        <v>1872</v>
      </c>
      <c r="F1232" s="6" t="s">
        <v>1873</v>
      </c>
      <c r="G1232" s="4" t="s">
        <v>2804</v>
      </c>
      <c r="H1232" s="4" t="s">
        <v>2922</v>
      </c>
      <c r="I1232" s="6" t="s">
        <v>51</v>
      </c>
      <c r="J1232" s="6" t="s">
        <v>31</v>
      </c>
      <c r="K1232" s="12">
        <f>_xlfn.XLOOKUP(B1232,[1]Sheet1!$B:$B,[1]Sheet1!$N:$N,0)</f>
        <v>0</v>
      </c>
      <c r="L1232" s="12">
        <f>_xlfn.XLOOKUP(B1232,[1]Sheet1!$B:$B,[1]Sheet1!$O:$O,0)</f>
        <v>0</v>
      </c>
      <c r="M1232" s="12">
        <f>_xlfn.XLOOKUP(B1232,[1]Sheet1!$B:$B,[1]Sheet1!$P:$P,0)</f>
        <v>0</v>
      </c>
      <c r="N1232" s="12">
        <f>_xlfn.XLOOKUP(B1232,[1]Sheet1!$B:$B,[1]Sheet1!$Q:$Q,0)</f>
        <v>225000</v>
      </c>
      <c r="O1232" s="12">
        <f>_xlfn.XLOOKUP(B1232,[1]Sheet1!$B:$B,[1]Sheet1!$R:$R,0)</f>
        <v>0</v>
      </c>
      <c r="P1232" s="12">
        <f>_xlfn.XLOOKUP(B1232,[1]Sheet1!$B:$B,[1]Sheet1!$S:$S,0)</f>
        <v>425000</v>
      </c>
      <c r="Q1232" s="12">
        <f>_xlfn.XLOOKUP(B1232,[1]Sheet1!$B:$B,[1]Sheet1!$T:$T,0)</f>
        <v>0</v>
      </c>
      <c r="R1232" s="12">
        <f>_xlfn.XLOOKUP(B1232,[1]Sheet1!$B:$B,[1]Sheet1!$U:$U,0)</f>
        <v>750000</v>
      </c>
      <c r="S1232" s="12">
        <f>_xlfn.XLOOKUP(B1232,[1]Sheet1!$B:$B,[1]Sheet1!$V:$V,0)</f>
        <v>0</v>
      </c>
      <c r="T1232" s="12">
        <f>_xlfn.XLOOKUP(B1232,[1]Sheet1!$B:$B,[1]Sheet1!$W:$W,0)</f>
        <v>120000</v>
      </c>
      <c r="U1232" s="12">
        <f>_xlfn.XLOOKUP(B1232,[1]Sheet1!$B:$B,[1]Sheet1!$X:$X,0)</f>
        <v>0</v>
      </c>
      <c r="V1232" s="12">
        <f>_xlfn.XLOOKUP(B1232,[1]Sheet1!$B:$B,[1]Sheet1!$Y:$Y,0)</f>
        <v>0</v>
      </c>
      <c r="W1232" s="12">
        <f t="shared" si="41"/>
        <v>1520000</v>
      </c>
      <c r="X1232" s="6" t="s">
        <v>1874</v>
      </c>
      <c r="Y1232" s="6" t="s">
        <v>392</v>
      </c>
      <c r="Z1232" s="6" t="s">
        <v>902</v>
      </c>
      <c r="AA1232" s="6" t="s">
        <v>53</v>
      </c>
      <c r="AB1232" s="6" t="s">
        <v>36</v>
      </c>
      <c r="AC1232" s="6" t="s">
        <v>37</v>
      </c>
      <c r="AD1232" s="6" t="s">
        <v>848</v>
      </c>
      <c r="AE1232" s="6" t="s">
        <v>39</v>
      </c>
      <c r="AF1232" s="6" t="s">
        <v>40</v>
      </c>
      <c r="AG1232" s="7">
        <v>1520000</v>
      </c>
      <c r="AH1232" s="11">
        <f>_xlfn.XLOOKUP(B1232,[1]Sheet1!$B:$B,[1]Sheet1!$AB:$AB,0)</f>
        <v>1520000</v>
      </c>
    </row>
    <row r="1233" spans="2:34" ht="16.8" thickTop="1" thickBot="1" x14ac:dyDescent="0.35">
      <c r="B1233" s="3" t="str">
        <f t="shared" si="40"/>
        <v>45191974511001503Print Runs-N424791200104</v>
      </c>
      <c r="C1233" s="8" t="s">
        <v>903</v>
      </c>
      <c r="D1233" s="8" t="s">
        <v>1875</v>
      </c>
      <c r="E1233" s="8" t="s">
        <v>1876</v>
      </c>
      <c r="F1233" s="8" t="s">
        <v>304</v>
      </c>
      <c r="G1233" s="4" t="s">
        <v>2830</v>
      </c>
      <c r="H1233" s="4" t="s">
        <v>2922</v>
      </c>
      <c r="I1233" s="8" t="s">
        <v>305</v>
      </c>
      <c r="J1233" s="8" t="s">
        <v>31</v>
      </c>
      <c r="K1233" s="12">
        <f>_xlfn.XLOOKUP(B1233,[1]Sheet1!$B:$B,[1]Sheet1!$N:$N,0)</f>
        <v>0</v>
      </c>
      <c r="L1233" s="12">
        <f>_xlfn.XLOOKUP(B1233,[1]Sheet1!$B:$B,[1]Sheet1!$O:$O,0)</f>
        <v>0</v>
      </c>
      <c r="M1233" s="12">
        <f>_xlfn.XLOOKUP(B1233,[1]Sheet1!$B:$B,[1]Sheet1!$P:$P,0)</f>
        <v>0</v>
      </c>
      <c r="N1233" s="12">
        <f>_xlfn.XLOOKUP(B1233,[1]Sheet1!$B:$B,[1]Sheet1!$Q:$Q,0)</f>
        <v>0</v>
      </c>
      <c r="O1233" s="12">
        <f>_xlfn.XLOOKUP(B1233,[1]Sheet1!$B:$B,[1]Sheet1!$R:$R,0)</f>
        <v>0</v>
      </c>
      <c r="P1233" s="12">
        <f>_xlfn.XLOOKUP(B1233,[1]Sheet1!$B:$B,[1]Sheet1!$S:$S,0)</f>
        <v>0</v>
      </c>
      <c r="Q1233" s="12">
        <f>_xlfn.XLOOKUP(B1233,[1]Sheet1!$B:$B,[1]Sheet1!$T:$T,0)</f>
        <v>0</v>
      </c>
      <c r="R1233" s="12">
        <f>_xlfn.XLOOKUP(B1233,[1]Sheet1!$B:$B,[1]Sheet1!$U:$U,0)</f>
        <v>0</v>
      </c>
      <c r="S1233" s="12">
        <f>_xlfn.XLOOKUP(B1233,[1]Sheet1!$B:$B,[1]Sheet1!$V:$V,0)</f>
        <v>0</v>
      </c>
      <c r="T1233" s="12">
        <f>_xlfn.XLOOKUP(B1233,[1]Sheet1!$B:$B,[1]Sheet1!$W:$W,0)</f>
        <v>0</v>
      </c>
      <c r="U1233" s="12">
        <f>_xlfn.XLOOKUP(B1233,[1]Sheet1!$B:$B,[1]Sheet1!$X:$X,0)</f>
        <v>0</v>
      </c>
      <c r="V1233" s="12">
        <f>_xlfn.XLOOKUP(B1233,[1]Sheet1!$B:$B,[1]Sheet1!$Y:$Y,0)</f>
        <v>550000</v>
      </c>
      <c r="W1233" s="12">
        <f t="shared" si="41"/>
        <v>550000</v>
      </c>
      <c r="X1233" s="8" t="s">
        <v>1877</v>
      </c>
      <c r="Y1233" s="8" t="s">
        <v>392</v>
      </c>
      <c r="Z1233" s="8" t="s">
        <v>902</v>
      </c>
      <c r="AA1233" s="8" t="s">
        <v>305</v>
      </c>
      <c r="AB1233" s="8" t="s">
        <v>36</v>
      </c>
      <c r="AC1233" s="8" t="s">
        <v>37</v>
      </c>
      <c r="AD1233" s="8" t="s">
        <v>395</v>
      </c>
      <c r="AE1233" s="8" t="s">
        <v>39</v>
      </c>
      <c r="AF1233" s="8" t="s">
        <v>40</v>
      </c>
      <c r="AG1233" s="9">
        <v>550000</v>
      </c>
      <c r="AH1233" s="11">
        <f>_xlfn.XLOOKUP(B1233,[1]Sheet1!$B:$B,[1]Sheet1!$AB:$AB,0)</f>
        <v>550000</v>
      </c>
    </row>
    <row r="1234" spans="2:34" ht="16.8" thickTop="1" thickBot="1" x14ac:dyDescent="0.35">
      <c r="B1234" s="3" t="str">
        <f t="shared" si="40"/>
        <v>45191974511001504Print Runs-N424791200104</v>
      </c>
      <c r="C1234" s="6" t="s">
        <v>903</v>
      </c>
      <c r="D1234" s="6" t="s">
        <v>1878</v>
      </c>
      <c r="E1234" s="6" t="s">
        <v>1879</v>
      </c>
      <c r="F1234" s="6" t="s">
        <v>304</v>
      </c>
      <c r="G1234" s="4" t="s">
        <v>2830</v>
      </c>
      <c r="H1234" s="4" t="s">
        <v>2922</v>
      </c>
      <c r="I1234" s="6" t="s">
        <v>305</v>
      </c>
      <c r="J1234" s="6" t="s">
        <v>31</v>
      </c>
      <c r="K1234" s="12">
        <f>_xlfn.XLOOKUP(B1234,[1]Sheet1!$B:$B,[1]Sheet1!$N:$N,0)</f>
        <v>0</v>
      </c>
      <c r="L1234" s="12">
        <f>_xlfn.XLOOKUP(B1234,[1]Sheet1!$B:$B,[1]Sheet1!$O:$O,0)</f>
        <v>0</v>
      </c>
      <c r="M1234" s="12">
        <f>_xlfn.XLOOKUP(B1234,[1]Sheet1!$B:$B,[1]Sheet1!$P:$P,0)</f>
        <v>0</v>
      </c>
      <c r="N1234" s="12">
        <f>_xlfn.XLOOKUP(B1234,[1]Sheet1!$B:$B,[1]Sheet1!$Q:$Q,0)</f>
        <v>100000</v>
      </c>
      <c r="O1234" s="12">
        <f>_xlfn.XLOOKUP(B1234,[1]Sheet1!$B:$B,[1]Sheet1!$R:$R,0)</f>
        <v>0</v>
      </c>
      <c r="P1234" s="12">
        <f>_xlfn.XLOOKUP(B1234,[1]Sheet1!$B:$B,[1]Sheet1!$S:$S,0)</f>
        <v>0</v>
      </c>
      <c r="Q1234" s="12">
        <f>_xlfn.XLOOKUP(B1234,[1]Sheet1!$B:$B,[1]Sheet1!$T:$T,0)</f>
        <v>0</v>
      </c>
      <c r="R1234" s="12">
        <f>_xlfn.XLOOKUP(B1234,[1]Sheet1!$B:$B,[1]Sheet1!$U:$U,0)</f>
        <v>0</v>
      </c>
      <c r="S1234" s="12">
        <f>_xlfn.XLOOKUP(B1234,[1]Sheet1!$B:$B,[1]Sheet1!$V:$V,0)</f>
        <v>0</v>
      </c>
      <c r="T1234" s="12">
        <f>_xlfn.XLOOKUP(B1234,[1]Sheet1!$B:$B,[1]Sheet1!$W:$W,0)</f>
        <v>0</v>
      </c>
      <c r="U1234" s="12">
        <f>_xlfn.XLOOKUP(B1234,[1]Sheet1!$B:$B,[1]Sheet1!$X:$X,0)</f>
        <v>0</v>
      </c>
      <c r="V1234" s="12">
        <f>_xlfn.XLOOKUP(B1234,[1]Sheet1!$B:$B,[1]Sheet1!$Y:$Y,0)</f>
        <v>0</v>
      </c>
      <c r="W1234" s="12">
        <f t="shared" si="41"/>
        <v>100000</v>
      </c>
      <c r="X1234" s="6" t="s">
        <v>1877</v>
      </c>
      <c r="Y1234" s="6" t="s">
        <v>392</v>
      </c>
      <c r="Z1234" s="6" t="s">
        <v>902</v>
      </c>
      <c r="AA1234" s="6" t="s">
        <v>305</v>
      </c>
      <c r="AB1234" s="6" t="s">
        <v>36</v>
      </c>
      <c r="AC1234" s="6" t="s">
        <v>37</v>
      </c>
      <c r="AD1234" s="6" t="s">
        <v>395</v>
      </c>
      <c r="AE1234" s="6" t="s">
        <v>39</v>
      </c>
      <c r="AF1234" s="6" t="s">
        <v>40</v>
      </c>
      <c r="AG1234" s="7">
        <v>100000</v>
      </c>
      <c r="AH1234" s="11">
        <f>_xlfn.XLOOKUP(B1234,[1]Sheet1!$B:$B,[1]Sheet1!$AB:$AB,0)</f>
        <v>100000</v>
      </c>
    </row>
    <row r="1235" spans="2:34" ht="16.8" thickTop="1" thickBot="1" x14ac:dyDescent="0.35">
      <c r="B1235" s="3" t="str">
        <f t="shared" si="40"/>
        <v>45191974511001504Research&amp;Survey-N423411200104</v>
      </c>
      <c r="C1235" s="8" t="s">
        <v>903</v>
      </c>
      <c r="D1235" s="8" t="s">
        <v>1878</v>
      </c>
      <c r="E1235" s="8" t="s">
        <v>1879</v>
      </c>
      <c r="F1235" s="8" t="s">
        <v>381</v>
      </c>
      <c r="G1235" s="4" t="s">
        <v>2833</v>
      </c>
      <c r="H1235" s="4" t="s">
        <v>2922</v>
      </c>
      <c r="I1235" s="8" t="s">
        <v>330</v>
      </c>
      <c r="J1235" s="8" t="s">
        <v>31</v>
      </c>
      <c r="K1235" s="12">
        <f>_xlfn.XLOOKUP(B1235,[1]Sheet1!$B:$B,[1]Sheet1!$N:$N,0)</f>
        <v>0</v>
      </c>
      <c r="L1235" s="12">
        <f>_xlfn.XLOOKUP(B1235,[1]Sheet1!$B:$B,[1]Sheet1!$O:$O,0)</f>
        <v>0</v>
      </c>
      <c r="M1235" s="12">
        <f>_xlfn.XLOOKUP(B1235,[1]Sheet1!$B:$B,[1]Sheet1!$P:$P,0)</f>
        <v>310000</v>
      </c>
      <c r="N1235" s="12">
        <f>_xlfn.XLOOKUP(B1235,[1]Sheet1!$B:$B,[1]Sheet1!$Q:$Q,0)</f>
        <v>120000</v>
      </c>
      <c r="O1235" s="12">
        <f>_xlfn.XLOOKUP(B1235,[1]Sheet1!$B:$B,[1]Sheet1!$R:$R,0)</f>
        <v>0</v>
      </c>
      <c r="P1235" s="12">
        <f>_xlfn.XLOOKUP(B1235,[1]Sheet1!$B:$B,[1]Sheet1!$S:$S,0)</f>
        <v>0</v>
      </c>
      <c r="Q1235" s="12">
        <f>_xlfn.XLOOKUP(B1235,[1]Sheet1!$B:$B,[1]Sheet1!$T:$T,0)</f>
        <v>0</v>
      </c>
      <c r="R1235" s="12">
        <f>_xlfn.XLOOKUP(B1235,[1]Sheet1!$B:$B,[1]Sheet1!$U:$U,0)</f>
        <v>0</v>
      </c>
      <c r="S1235" s="12">
        <f>_xlfn.XLOOKUP(B1235,[1]Sheet1!$B:$B,[1]Sheet1!$V:$V,0)</f>
        <v>0</v>
      </c>
      <c r="T1235" s="12">
        <f>_xlfn.XLOOKUP(B1235,[1]Sheet1!$B:$B,[1]Sheet1!$W:$W,0)</f>
        <v>0</v>
      </c>
      <c r="U1235" s="12">
        <f>_xlfn.XLOOKUP(B1235,[1]Sheet1!$B:$B,[1]Sheet1!$X:$X,0)</f>
        <v>0</v>
      </c>
      <c r="V1235" s="12">
        <f>_xlfn.XLOOKUP(B1235,[1]Sheet1!$B:$B,[1]Sheet1!$Y:$Y,0)</f>
        <v>0</v>
      </c>
      <c r="W1235" s="12">
        <f t="shared" si="41"/>
        <v>430000</v>
      </c>
      <c r="X1235" s="8" t="s">
        <v>1880</v>
      </c>
      <c r="Y1235" s="8" t="s">
        <v>392</v>
      </c>
      <c r="Z1235" s="8" t="s">
        <v>902</v>
      </c>
      <c r="AA1235" s="8" t="s">
        <v>330</v>
      </c>
      <c r="AB1235" s="8" t="s">
        <v>36</v>
      </c>
      <c r="AC1235" s="8" t="s">
        <v>37</v>
      </c>
      <c r="AD1235" s="8" t="s">
        <v>395</v>
      </c>
      <c r="AE1235" s="8" t="s">
        <v>39</v>
      </c>
      <c r="AF1235" s="8" t="s">
        <v>40</v>
      </c>
      <c r="AG1235" s="9">
        <v>430000</v>
      </c>
      <c r="AH1235" s="11">
        <f>_xlfn.XLOOKUP(B1235,[1]Sheet1!$B:$B,[1]Sheet1!$AB:$AB,0)</f>
        <v>430000</v>
      </c>
    </row>
    <row r="1236" spans="2:34" ht="16.8" thickTop="1" thickBot="1" x14ac:dyDescent="0.35">
      <c r="B1236" s="3" t="str">
        <f t="shared" si="40"/>
        <v>45191994511001505Book Acquisition-NC491811300105</v>
      </c>
      <c r="C1236" s="6" t="s">
        <v>394</v>
      </c>
      <c r="D1236" s="6" t="s">
        <v>1881</v>
      </c>
      <c r="E1236" s="6" t="s">
        <v>1882</v>
      </c>
      <c r="F1236" s="6" t="s">
        <v>1883</v>
      </c>
      <c r="G1236" s="4" t="s">
        <v>2825</v>
      </c>
      <c r="H1236" s="4" t="s">
        <v>2923</v>
      </c>
      <c r="I1236" s="6" t="s">
        <v>226</v>
      </c>
      <c r="J1236" s="6" t="s">
        <v>31</v>
      </c>
      <c r="K1236" s="12">
        <f>_xlfn.XLOOKUP(B1236,[1]Sheet1!$B:$B,[1]Sheet1!$N:$N,0)</f>
        <v>0</v>
      </c>
      <c r="L1236" s="12">
        <f>_xlfn.XLOOKUP(B1236,[1]Sheet1!$B:$B,[1]Sheet1!$O:$O,0)</f>
        <v>0</v>
      </c>
      <c r="M1236" s="12">
        <f>_xlfn.XLOOKUP(B1236,[1]Sheet1!$B:$B,[1]Sheet1!$P:$P,0)</f>
        <v>0</v>
      </c>
      <c r="N1236" s="12">
        <f>_xlfn.XLOOKUP(B1236,[1]Sheet1!$B:$B,[1]Sheet1!$Q:$Q,0)</f>
        <v>45000</v>
      </c>
      <c r="O1236" s="12">
        <f>_xlfn.XLOOKUP(B1236,[1]Sheet1!$B:$B,[1]Sheet1!$R:$R,0)</f>
        <v>35000</v>
      </c>
      <c r="P1236" s="12">
        <f>_xlfn.XLOOKUP(B1236,[1]Sheet1!$B:$B,[1]Sheet1!$S:$S,0)</f>
        <v>25000</v>
      </c>
      <c r="Q1236" s="12">
        <f>_xlfn.XLOOKUP(B1236,[1]Sheet1!$B:$B,[1]Sheet1!$T:$T,0)</f>
        <v>15000</v>
      </c>
      <c r="R1236" s="12">
        <f>_xlfn.XLOOKUP(B1236,[1]Sheet1!$B:$B,[1]Sheet1!$U:$U,0)</f>
        <v>25000</v>
      </c>
      <c r="S1236" s="12">
        <f>_xlfn.XLOOKUP(B1236,[1]Sheet1!$B:$B,[1]Sheet1!$V:$V,0)</f>
        <v>0</v>
      </c>
      <c r="T1236" s="12">
        <f>_xlfn.XLOOKUP(B1236,[1]Sheet1!$B:$B,[1]Sheet1!$W:$W,0)</f>
        <v>50000</v>
      </c>
      <c r="U1236" s="12">
        <f>_xlfn.XLOOKUP(B1236,[1]Sheet1!$B:$B,[1]Sheet1!$X:$X,0)</f>
        <v>60000</v>
      </c>
      <c r="V1236" s="12">
        <f>_xlfn.XLOOKUP(B1236,[1]Sheet1!$B:$B,[1]Sheet1!$Y:$Y,0)</f>
        <v>75568</v>
      </c>
      <c r="W1236" s="12">
        <f t="shared" si="41"/>
        <v>330568</v>
      </c>
      <c r="X1236" s="6" t="s">
        <v>1884</v>
      </c>
      <c r="Y1236" s="6" t="s">
        <v>392</v>
      </c>
      <c r="Z1236" s="6" t="s">
        <v>393</v>
      </c>
      <c r="AA1236" s="6" t="s">
        <v>228</v>
      </c>
      <c r="AB1236" s="6" t="s">
        <v>93</v>
      </c>
      <c r="AC1236" s="6" t="s">
        <v>94</v>
      </c>
      <c r="AD1236" s="6" t="s">
        <v>395</v>
      </c>
      <c r="AE1236" s="6" t="s">
        <v>39</v>
      </c>
      <c r="AF1236" s="6" t="s">
        <v>40</v>
      </c>
      <c r="AG1236" s="7">
        <v>330568</v>
      </c>
      <c r="AH1236" s="11">
        <f>_xlfn.XLOOKUP(B1236,[1]Sheet1!$B:$B,[1]Sheet1!$AB:$AB,0)</f>
        <v>330568</v>
      </c>
    </row>
    <row r="1237" spans="2:34" ht="16.8" thickTop="1" thickBot="1" x14ac:dyDescent="0.35">
      <c r="B1237" s="3" t="str">
        <f t="shared" si="40"/>
        <v>45154004511001506ManagementAdvice-N1424521200104</v>
      </c>
      <c r="C1237" s="8" t="s">
        <v>213</v>
      </c>
      <c r="D1237" s="8" t="s">
        <v>1885</v>
      </c>
      <c r="E1237" s="8" t="s">
        <v>1886</v>
      </c>
      <c r="F1237" s="8" t="s">
        <v>725</v>
      </c>
      <c r="G1237" s="4" t="s">
        <v>2804</v>
      </c>
      <c r="H1237" s="4" t="s">
        <v>2922</v>
      </c>
      <c r="I1237" s="8" t="s">
        <v>51</v>
      </c>
      <c r="J1237" s="8" t="s">
        <v>31</v>
      </c>
      <c r="K1237" s="12">
        <f>_xlfn.XLOOKUP(B1237,[1]Sheet1!$B:$B,[1]Sheet1!$N:$N,0)</f>
        <v>0</v>
      </c>
      <c r="L1237" s="12">
        <f>_xlfn.XLOOKUP(B1237,[1]Sheet1!$B:$B,[1]Sheet1!$O:$O,0)</f>
        <v>0</v>
      </c>
      <c r="M1237" s="12">
        <f>_xlfn.XLOOKUP(B1237,[1]Sheet1!$B:$B,[1]Sheet1!$P:$P,0)</f>
        <v>0</v>
      </c>
      <c r="N1237" s="12">
        <f>_xlfn.XLOOKUP(B1237,[1]Sheet1!$B:$B,[1]Sheet1!$Q:$Q,0)</f>
        <v>2000000</v>
      </c>
      <c r="O1237" s="12">
        <f>_xlfn.XLOOKUP(B1237,[1]Sheet1!$B:$B,[1]Sheet1!$R:$R,0)</f>
        <v>1500000</v>
      </c>
      <c r="P1237" s="12">
        <f>_xlfn.XLOOKUP(B1237,[1]Sheet1!$B:$B,[1]Sheet1!$S:$S,0)</f>
        <v>1000000</v>
      </c>
      <c r="Q1237" s="12">
        <f>_xlfn.XLOOKUP(B1237,[1]Sheet1!$B:$B,[1]Sheet1!$T:$T,0)</f>
        <v>1021140</v>
      </c>
      <c r="R1237" s="12">
        <f>_xlfn.XLOOKUP(B1237,[1]Sheet1!$B:$B,[1]Sheet1!$U:$U,0)</f>
        <v>0</v>
      </c>
      <c r="S1237" s="12">
        <f>_xlfn.XLOOKUP(B1237,[1]Sheet1!$B:$B,[1]Sheet1!$V:$V,0)</f>
        <v>0</v>
      </c>
      <c r="T1237" s="12">
        <f>_xlfn.XLOOKUP(B1237,[1]Sheet1!$B:$B,[1]Sheet1!$W:$W,0)</f>
        <v>0</v>
      </c>
      <c r="U1237" s="12">
        <f>_xlfn.XLOOKUP(B1237,[1]Sheet1!$B:$B,[1]Sheet1!$X:$X,0)</f>
        <v>0</v>
      </c>
      <c r="V1237" s="12">
        <f>_xlfn.XLOOKUP(B1237,[1]Sheet1!$B:$B,[1]Sheet1!$Y:$Y,0)</f>
        <v>0</v>
      </c>
      <c r="W1237" s="12">
        <f t="shared" si="41"/>
        <v>5521140</v>
      </c>
      <c r="X1237" s="8" t="s">
        <v>1887</v>
      </c>
      <c r="Y1237" s="8" t="s">
        <v>211</v>
      </c>
      <c r="Z1237" s="8" t="s">
        <v>212</v>
      </c>
      <c r="AA1237" s="8" t="s">
        <v>53</v>
      </c>
      <c r="AB1237" s="8" t="s">
        <v>36</v>
      </c>
      <c r="AC1237" s="8" t="s">
        <v>37</v>
      </c>
      <c r="AD1237" s="8" t="s">
        <v>214</v>
      </c>
      <c r="AE1237" s="8" t="s">
        <v>39</v>
      </c>
      <c r="AF1237" s="8" t="s">
        <v>40</v>
      </c>
      <c r="AG1237" s="9">
        <v>5521140</v>
      </c>
      <c r="AH1237" s="11">
        <f>_xlfn.XLOOKUP(B1237,[1]Sheet1!$B:$B,[1]Sheet1!$AB:$AB,0)</f>
        <v>5521140</v>
      </c>
    </row>
    <row r="1238" spans="2:34" ht="16.8" thickTop="1" thickBot="1" x14ac:dyDescent="0.35">
      <c r="B1238" s="3" t="str">
        <f t="shared" si="40"/>
        <v>45154004511001507GSA Retainer-N421125200104</v>
      </c>
      <c r="C1238" s="6" t="s">
        <v>213</v>
      </c>
      <c r="D1238" s="6" t="s">
        <v>1888</v>
      </c>
      <c r="E1238" s="6" t="s">
        <v>1889</v>
      </c>
      <c r="F1238" s="6" t="s">
        <v>1775</v>
      </c>
      <c r="G1238" s="4" t="s">
        <v>2803</v>
      </c>
      <c r="H1238" s="4" t="s">
        <v>2922</v>
      </c>
      <c r="I1238" s="6" t="s">
        <v>44</v>
      </c>
      <c r="J1238" s="6" t="s">
        <v>31</v>
      </c>
      <c r="K1238" s="12">
        <f>_xlfn.XLOOKUP(B1238,[1]Sheet1!$B:$B,[1]Sheet1!$N:$N,0)</f>
        <v>0</v>
      </c>
      <c r="L1238" s="12">
        <f>_xlfn.XLOOKUP(B1238,[1]Sheet1!$B:$B,[1]Sheet1!$O:$O,0)</f>
        <v>0</v>
      </c>
      <c r="M1238" s="12">
        <f>_xlfn.XLOOKUP(B1238,[1]Sheet1!$B:$B,[1]Sheet1!$P:$P,0)</f>
        <v>0</v>
      </c>
      <c r="N1238" s="12">
        <f>_xlfn.XLOOKUP(B1238,[1]Sheet1!$B:$B,[1]Sheet1!$Q:$Q,0)</f>
        <v>236723.08999999997</v>
      </c>
      <c r="O1238" s="12">
        <f>_xlfn.XLOOKUP(B1238,[1]Sheet1!$B:$B,[1]Sheet1!$R:$R,0)</f>
        <v>70225.544999999998</v>
      </c>
      <c r="P1238" s="12">
        <f>_xlfn.XLOOKUP(B1238,[1]Sheet1!$B:$B,[1]Sheet1!$S:$S,0)</f>
        <v>70225.544999999998</v>
      </c>
      <c r="Q1238" s="12">
        <f>_xlfn.XLOOKUP(B1238,[1]Sheet1!$B:$B,[1]Sheet1!$T:$T,0)</f>
        <v>70225.544999999998</v>
      </c>
      <c r="R1238" s="12">
        <f>_xlfn.XLOOKUP(B1238,[1]Sheet1!$B:$B,[1]Sheet1!$U:$U,0)</f>
        <v>70225.544999999998</v>
      </c>
      <c r="S1238" s="12">
        <f>_xlfn.XLOOKUP(B1238,[1]Sheet1!$B:$B,[1]Sheet1!$V:$V,0)</f>
        <v>70225.544999999998</v>
      </c>
      <c r="T1238" s="12">
        <f>_xlfn.XLOOKUP(B1238,[1]Sheet1!$B:$B,[1]Sheet1!$W:$W,0)</f>
        <v>70225.544999999998</v>
      </c>
      <c r="U1238" s="12">
        <f>_xlfn.XLOOKUP(B1238,[1]Sheet1!$B:$B,[1]Sheet1!$X:$X,0)</f>
        <v>70225.544999999998</v>
      </c>
      <c r="V1238" s="12">
        <f>_xlfn.XLOOKUP(B1238,[1]Sheet1!$B:$B,[1]Sheet1!$Y:$Y,0)</f>
        <v>70225.544999999998</v>
      </c>
      <c r="W1238" s="12">
        <f t="shared" si="41"/>
        <v>798527.45000000007</v>
      </c>
      <c r="X1238" s="6" t="s">
        <v>1890</v>
      </c>
      <c r="Y1238" s="6" t="s">
        <v>211</v>
      </c>
      <c r="Z1238" s="6" t="s">
        <v>212</v>
      </c>
      <c r="AA1238" s="6" t="s">
        <v>44</v>
      </c>
      <c r="AB1238" s="6" t="s">
        <v>36</v>
      </c>
      <c r="AC1238" s="6" t="s">
        <v>37</v>
      </c>
      <c r="AD1238" s="6" t="s">
        <v>214</v>
      </c>
      <c r="AE1238" s="6" t="s">
        <v>39</v>
      </c>
      <c r="AF1238" s="6" t="s">
        <v>40</v>
      </c>
      <c r="AG1238" s="7">
        <v>798527</v>
      </c>
      <c r="AH1238" s="11">
        <f>_xlfn.XLOOKUP(B1238,[1]Sheet1!$B:$B,[1]Sheet1!$AB:$AB,0)</f>
        <v>798527.45000000007</v>
      </c>
    </row>
    <row r="1239" spans="2:34" ht="16.8" thickTop="1" thickBot="1" x14ac:dyDescent="0.35">
      <c r="B1239" s="3" t="str">
        <f t="shared" si="40"/>
        <v>45154004511001508GSA Retainer-N421125200104</v>
      </c>
      <c r="C1239" s="8" t="s">
        <v>213</v>
      </c>
      <c r="D1239" s="8" t="s">
        <v>1891</v>
      </c>
      <c r="E1239" s="8" t="s">
        <v>1892</v>
      </c>
      <c r="F1239" s="8" t="s">
        <v>1775</v>
      </c>
      <c r="G1239" s="4" t="s">
        <v>2803</v>
      </c>
      <c r="H1239" s="4" t="s">
        <v>2922</v>
      </c>
      <c r="I1239" s="8" t="s">
        <v>44</v>
      </c>
      <c r="J1239" s="8" t="s">
        <v>31</v>
      </c>
      <c r="K1239" s="12">
        <f>_xlfn.XLOOKUP(B1239,[1]Sheet1!$B:$B,[1]Sheet1!$N:$N,0)</f>
        <v>0</v>
      </c>
      <c r="L1239" s="12">
        <f>_xlfn.XLOOKUP(B1239,[1]Sheet1!$B:$B,[1]Sheet1!$O:$O,0)</f>
        <v>0</v>
      </c>
      <c r="M1239" s="12">
        <f>_xlfn.XLOOKUP(B1239,[1]Sheet1!$B:$B,[1]Sheet1!$P:$P,0)</f>
        <v>0</v>
      </c>
      <c r="N1239" s="12">
        <f>_xlfn.XLOOKUP(B1239,[1]Sheet1!$B:$B,[1]Sheet1!$Q:$Q,0)</f>
        <v>28704</v>
      </c>
      <c r="O1239" s="12">
        <f>_xlfn.XLOOKUP(B1239,[1]Sheet1!$B:$B,[1]Sheet1!$R:$R,0)</f>
        <v>6623.9999999999991</v>
      </c>
      <c r="P1239" s="12">
        <f>_xlfn.XLOOKUP(B1239,[1]Sheet1!$B:$B,[1]Sheet1!$S:$S,0)</f>
        <v>8832</v>
      </c>
      <c r="Q1239" s="12">
        <f>_xlfn.XLOOKUP(B1239,[1]Sheet1!$B:$B,[1]Sheet1!$T:$T,0)</f>
        <v>6623.9999999999991</v>
      </c>
      <c r="R1239" s="12">
        <f>_xlfn.XLOOKUP(B1239,[1]Sheet1!$B:$B,[1]Sheet1!$U:$U,0)</f>
        <v>6623.9999999999991</v>
      </c>
      <c r="S1239" s="12">
        <f>_xlfn.XLOOKUP(B1239,[1]Sheet1!$B:$B,[1]Sheet1!$V:$V,0)</f>
        <v>8832</v>
      </c>
      <c r="T1239" s="12">
        <f>_xlfn.XLOOKUP(B1239,[1]Sheet1!$B:$B,[1]Sheet1!$W:$W,0)</f>
        <v>6623.9999999999991</v>
      </c>
      <c r="U1239" s="12">
        <f>_xlfn.XLOOKUP(B1239,[1]Sheet1!$B:$B,[1]Sheet1!$X:$X,0)</f>
        <v>6623.9999999999991</v>
      </c>
      <c r="V1239" s="12">
        <f>_xlfn.XLOOKUP(B1239,[1]Sheet1!$B:$B,[1]Sheet1!$Y:$Y,0)</f>
        <v>8832</v>
      </c>
      <c r="W1239" s="12">
        <f t="shared" si="41"/>
        <v>88320</v>
      </c>
      <c r="X1239" s="8" t="s">
        <v>1890</v>
      </c>
      <c r="Y1239" s="8" t="s">
        <v>211</v>
      </c>
      <c r="Z1239" s="8" t="s">
        <v>212</v>
      </c>
      <c r="AA1239" s="8" t="s">
        <v>44</v>
      </c>
      <c r="AB1239" s="8" t="s">
        <v>36</v>
      </c>
      <c r="AC1239" s="8" t="s">
        <v>37</v>
      </c>
      <c r="AD1239" s="8" t="s">
        <v>214</v>
      </c>
      <c r="AE1239" s="8" t="s">
        <v>39</v>
      </c>
      <c r="AF1239" s="8" t="s">
        <v>40</v>
      </c>
      <c r="AG1239" s="9">
        <v>88320</v>
      </c>
      <c r="AH1239" s="11">
        <f>_xlfn.XLOOKUP(B1239,[1]Sheet1!$B:$B,[1]Sheet1!$AB:$AB,0)</f>
        <v>88320</v>
      </c>
    </row>
    <row r="1240" spans="2:34" ht="16.8" thickTop="1" thickBot="1" x14ac:dyDescent="0.35">
      <c r="B1240" s="3" t="str">
        <f t="shared" si="40"/>
        <v>45154004511001510GSA Retainer-N421125200104</v>
      </c>
      <c r="C1240" s="6" t="s">
        <v>213</v>
      </c>
      <c r="D1240" s="6" t="s">
        <v>1893</v>
      </c>
      <c r="E1240" s="6" t="s">
        <v>1894</v>
      </c>
      <c r="F1240" s="6" t="s">
        <v>1775</v>
      </c>
      <c r="G1240" s="4" t="s">
        <v>2803</v>
      </c>
      <c r="H1240" s="4" t="s">
        <v>2922</v>
      </c>
      <c r="I1240" s="6" t="s">
        <v>44</v>
      </c>
      <c r="J1240" s="6" t="s">
        <v>31</v>
      </c>
      <c r="K1240" s="12">
        <f>_xlfn.XLOOKUP(B1240,[1]Sheet1!$B:$B,[1]Sheet1!$N:$N,0)</f>
        <v>0</v>
      </c>
      <c r="L1240" s="12">
        <f>_xlfn.XLOOKUP(B1240,[1]Sheet1!$B:$B,[1]Sheet1!$O:$O,0)</f>
        <v>0</v>
      </c>
      <c r="M1240" s="12">
        <f>_xlfn.XLOOKUP(B1240,[1]Sheet1!$B:$B,[1]Sheet1!$P:$P,0)</f>
        <v>0</v>
      </c>
      <c r="N1240" s="12">
        <f>_xlfn.XLOOKUP(B1240,[1]Sheet1!$B:$B,[1]Sheet1!$Q:$Q,0)</f>
        <v>50272.852500000001</v>
      </c>
      <c r="O1240" s="12">
        <f>_xlfn.XLOOKUP(B1240,[1]Sheet1!$B:$B,[1]Sheet1!$R:$R,0)</f>
        <v>25136.42625</v>
      </c>
      <c r="P1240" s="12">
        <f>_xlfn.XLOOKUP(B1240,[1]Sheet1!$B:$B,[1]Sheet1!$S:$S,0)</f>
        <v>25136.42625</v>
      </c>
      <c r="Q1240" s="12">
        <f>_xlfn.XLOOKUP(B1240,[1]Sheet1!$B:$B,[1]Sheet1!$T:$T,0)</f>
        <v>25136.42625</v>
      </c>
      <c r="R1240" s="12">
        <f>_xlfn.XLOOKUP(B1240,[1]Sheet1!$B:$B,[1]Sheet1!$U:$U,0)</f>
        <v>25136.42625</v>
      </c>
      <c r="S1240" s="12">
        <f>_xlfn.XLOOKUP(B1240,[1]Sheet1!$B:$B,[1]Sheet1!$V:$V,0)</f>
        <v>25136.42625</v>
      </c>
      <c r="T1240" s="12">
        <f>_xlfn.XLOOKUP(B1240,[1]Sheet1!$B:$B,[1]Sheet1!$W:$W,0)</f>
        <v>25136.42625</v>
      </c>
      <c r="U1240" s="12">
        <f>_xlfn.XLOOKUP(B1240,[1]Sheet1!$B:$B,[1]Sheet1!$X:$X,0)</f>
        <v>25136.42625</v>
      </c>
      <c r="V1240" s="12">
        <f>_xlfn.XLOOKUP(B1240,[1]Sheet1!$B:$B,[1]Sheet1!$Y:$Y,0)</f>
        <v>25136.42625</v>
      </c>
      <c r="W1240" s="12">
        <f t="shared" si="41"/>
        <v>251364.26249999995</v>
      </c>
      <c r="X1240" s="6" t="s">
        <v>1890</v>
      </c>
      <c r="Y1240" s="6" t="s">
        <v>211</v>
      </c>
      <c r="Z1240" s="6" t="s">
        <v>212</v>
      </c>
      <c r="AA1240" s="6" t="s">
        <v>44</v>
      </c>
      <c r="AB1240" s="6" t="s">
        <v>36</v>
      </c>
      <c r="AC1240" s="6" t="s">
        <v>37</v>
      </c>
      <c r="AD1240" s="6" t="s">
        <v>214</v>
      </c>
      <c r="AE1240" s="6" t="s">
        <v>39</v>
      </c>
      <c r="AF1240" s="6" t="s">
        <v>40</v>
      </c>
      <c r="AG1240" s="7">
        <v>251364</v>
      </c>
      <c r="AH1240" s="11">
        <f>_xlfn.XLOOKUP(B1240,[1]Sheet1!$B:$B,[1]Sheet1!$AB:$AB,0)</f>
        <v>251364.26249999995</v>
      </c>
    </row>
    <row r="1241" spans="2:34" ht="16.8" thickTop="1" thickBot="1" x14ac:dyDescent="0.35">
      <c r="B1241" s="3" t="str">
        <f t="shared" si="40"/>
        <v>45154004511001511GSA Retainer-N421125200104</v>
      </c>
      <c r="C1241" s="8" t="s">
        <v>213</v>
      </c>
      <c r="D1241" s="8" t="s">
        <v>1895</v>
      </c>
      <c r="E1241" s="8" t="s">
        <v>1896</v>
      </c>
      <c r="F1241" s="8" t="s">
        <v>1775</v>
      </c>
      <c r="G1241" s="4" t="s">
        <v>2803</v>
      </c>
      <c r="H1241" s="4" t="s">
        <v>2922</v>
      </c>
      <c r="I1241" s="8" t="s">
        <v>44</v>
      </c>
      <c r="J1241" s="8" t="s">
        <v>31</v>
      </c>
      <c r="K1241" s="12">
        <f>_xlfn.XLOOKUP(B1241,[1]Sheet1!$B:$B,[1]Sheet1!$N:$N,0)</f>
        <v>0</v>
      </c>
      <c r="L1241" s="12">
        <f>_xlfn.XLOOKUP(B1241,[1]Sheet1!$B:$B,[1]Sheet1!$O:$O,0)</f>
        <v>0</v>
      </c>
      <c r="M1241" s="12">
        <f>_xlfn.XLOOKUP(B1241,[1]Sheet1!$B:$B,[1]Sheet1!$P:$P,0)</f>
        <v>0</v>
      </c>
      <c r="N1241" s="12">
        <f>_xlfn.XLOOKUP(B1241,[1]Sheet1!$B:$B,[1]Sheet1!$Q:$Q,0)</f>
        <v>92484</v>
      </c>
      <c r="O1241" s="12">
        <f>_xlfn.XLOOKUP(B1241,[1]Sheet1!$B:$B,[1]Sheet1!$R:$R,0)</f>
        <v>23121</v>
      </c>
      <c r="P1241" s="12">
        <f>_xlfn.XLOOKUP(B1241,[1]Sheet1!$B:$B,[1]Sheet1!$S:$S,0)</f>
        <v>23121</v>
      </c>
      <c r="Q1241" s="12">
        <f>_xlfn.XLOOKUP(B1241,[1]Sheet1!$B:$B,[1]Sheet1!$T:$T,0)</f>
        <v>23121</v>
      </c>
      <c r="R1241" s="12">
        <f>_xlfn.XLOOKUP(B1241,[1]Sheet1!$B:$B,[1]Sheet1!$U:$U,0)</f>
        <v>23121</v>
      </c>
      <c r="S1241" s="12">
        <f>_xlfn.XLOOKUP(B1241,[1]Sheet1!$B:$B,[1]Sheet1!$V:$V,0)</f>
        <v>23121</v>
      </c>
      <c r="T1241" s="12">
        <f>_xlfn.XLOOKUP(B1241,[1]Sheet1!$B:$B,[1]Sheet1!$W:$W,0)</f>
        <v>23121</v>
      </c>
      <c r="U1241" s="12">
        <f>_xlfn.XLOOKUP(B1241,[1]Sheet1!$B:$B,[1]Sheet1!$X:$X,0)</f>
        <v>23121</v>
      </c>
      <c r="V1241" s="12">
        <f>_xlfn.XLOOKUP(B1241,[1]Sheet1!$B:$B,[1]Sheet1!$Y:$Y,0)</f>
        <v>23121</v>
      </c>
      <c r="W1241" s="12">
        <f t="shared" si="41"/>
        <v>277452</v>
      </c>
      <c r="X1241" s="8" t="s">
        <v>1890</v>
      </c>
      <c r="Y1241" s="8" t="s">
        <v>211</v>
      </c>
      <c r="Z1241" s="8" t="s">
        <v>212</v>
      </c>
      <c r="AA1241" s="8" t="s">
        <v>44</v>
      </c>
      <c r="AB1241" s="8" t="s">
        <v>36</v>
      </c>
      <c r="AC1241" s="8" t="s">
        <v>37</v>
      </c>
      <c r="AD1241" s="8" t="s">
        <v>214</v>
      </c>
      <c r="AE1241" s="8" t="s">
        <v>39</v>
      </c>
      <c r="AF1241" s="8" t="s">
        <v>40</v>
      </c>
      <c r="AG1241" s="9">
        <v>277452</v>
      </c>
      <c r="AH1241" s="11">
        <f>_xlfn.XLOOKUP(B1241,[1]Sheet1!$B:$B,[1]Sheet1!$AB:$AB,0)</f>
        <v>277452</v>
      </c>
    </row>
    <row r="1242" spans="2:34" ht="16.8" thickTop="1" thickBot="1" x14ac:dyDescent="0.35">
      <c r="B1242" s="3" t="str">
        <f t="shared" si="40"/>
        <v>45110104511001512Strategy Advice-N421123200104</v>
      </c>
      <c r="C1242" s="6" t="s">
        <v>268</v>
      </c>
      <c r="D1242" s="6" t="s">
        <v>1897</v>
      </c>
      <c r="E1242" s="6" t="s">
        <v>1898</v>
      </c>
      <c r="F1242" s="6" t="s">
        <v>236</v>
      </c>
      <c r="G1242" s="4" t="s">
        <v>2827</v>
      </c>
      <c r="H1242" s="4" t="s">
        <v>2922</v>
      </c>
      <c r="I1242" s="6" t="s">
        <v>237</v>
      </c>
      <c r="J1242" s="6" t="s">
        <v>31</v>
      </c>
      <c r="K1242" s="12">
        <f>_xlfn.XLOOKUP(B1242,[1]Sheet1!$B:$B,[1]Sheet1!$N:$N,0)</f>
        <v>0</v>
      </c>
      <c r="L1242" s="12">
        <f>_xlfn.XLOOKUP(B1242,[1]Sheet1!$B:$B,[1]Sheet1!$O:$O,0)</f>
        <v>0</v>
      </c>
      <c r="M1242" s="12">
        <f>_xlfn.XLOOKUP(B1242,[1]Sheet1!$B:$B,[1]Sheet1!$P:$P,0)</f>
        <v>0</v>
      </c>
      <c r="N1242" s="12">
        <f>_xlfn.XLOOKUP(B1242,[1]Sheet1!$B:$B,[1]Sheet1!$Q:$Q,0)</f>
        <v>0</v>
      </c>
      <c r="O1242" s="12">
        <f>_xlfn.XLOOKUP(B1242,[1]Sheet1!$B:$B,[1]Sheet1!$R:$R,0)</f>
        <v>0</v>
      </c>
      <c r="P1242" s="12">
        <f>_xlfn.XLOOKUP(B1242,[1]Sheet1!$B:$B,[1]Sheet1!$S:$S,0)</f>
        <v>0</v>
      </c>
      <c r="Q1242" s="12">
        <f>_xlfn.XLOOKUP(B1242,[1]Sheet1!$B:$B,[1]Sheet1!$T:$T,0)</f>
        <v>0</v>
      </c>
      <c r="R1242" s="12">
        <f>_xlfn.XLOOKUP(B1242,[1]Sheet1!$B:$B,[1]Sheet1!$U:$U,0)</f>
        <v>0</v>
      </c>
      <c r="S1242" s="12">
        <f>_xlfn.XLOOKUP(B1242,[1]Sheet1!$B:$B,[1]Sheet1!$V:$V,0)</f>
        <v>0</v>
      </c>
      <c r="T1242" s="12">
        <f>_xlfn.XLOOKUP(B1242,[1]Sheet1!$B:$B,[1]Sheet1!$W:$W,0)</f>
        <v>2500000</v>
      </c>
      <c r="U1242" s="12">
        <f>_xlfn.XLOOKUP(B1242,[1]Sheet1!$B:$B,[1]Sheet1!$X:$X,0)</f>
        <v>2881782</v>
      </c>
      <c r="V1242" s="12">
        <f>_xlfn.XLOOKUP(B1242,[1]Sheet1!$B:$B,[1]Sheet1!$Y:$Y,0)</f>
        <v>2500000</v>
      </c>
      <c r="W1242" s="12">
        <f t="shared" si="41"/>
        <v>7881782</v>
      </c>
      <c r="X1242" s="6" t="s">
        <v>1899</v>
      </c>
      <c r="Y1242" s="6" t="s">
        <v>65</v>
      </c>
      <c r="Z1242" s="6" t="s">
        <v>267</v>
      </c>
      <c r="AA1242" s="6" t="s">
        <v>237</v>
      </c>
      <c r="AB1242" s="6" t="s">
        <v>36</v>
      </c>
      <c r="AC1242" s="6" t="s">
        <v>37</v>
      </c>
      <c r="AD1242" s="6" t="s">
        <v>38</v>
      </c>
      <c r="AE1242" s="6" t="s">
        <v>39</v>
      </c>
      <c r="AF1242" s="6" t="s">
        <v>40</v>
      </c>
      <c r="AG1242" s="7">
        <v>3081782</v>
      </c>
      <c r="AH1242" s="11">
        <f>_xlfn.XLOOKUP(B1242,[1]Sheet1!$B:$B,[1]Sheet1!$AB:$AB,0)</f>
        <v>3081782</v>
      </c>
    </row>
    <row r="1243" spans="2:34" ht="16.8" thickTop="1" thickBot="1" x14ac:dyDescent="0.35">
      <c r="B1243" s="3" t="str">
        <f t="shared" si="40"/>
        <v>45154004511001513GSA Retainer-N421125200104</v>
      </c>
      <c r="C1243" s="8" t="s">
        <v>213</v>
      </c>
      <c r="D1243" s="8" t="s">
        <v>1900</v>
      </c>
      <c r="E1243" s="8" t="s">
        <v>1901</v>
      </c>
      <c r="F1243" s="8" t="s">
        <v>1775</v>
      </c>
      <c r="G1243" s="4" t="s">
        <v>2803</v>
      </c>
      <c r="H1243" s="4" t="s">
        <v>2922</v>
      </c>
      <c r="I1243" s="8" t="s">
        <v>44</v>
      </c>
      <c r="J1243" s="8" t="s">
        <v>31</v>
      </c>
      <c r="K1243" s="12">
        <f>_xlfn.XLOOKUP(B1243,[1]Sheet1!$B:$B,[1]Sheet1!$N:$N,0)</f>
        <v>0</v>
      </c>
      <c r="L1243" s="12">
        <f>_xlfn.XLOOKUP(B1243,[1]Sheet1!$B:$B,[1]Sheet1!$O:$O,0)</f>
        <v>0</v>
      </c>
      <c r="M1243" s="12">
        <f>_xlfn.XLOOKUP(B1243,[1]Sheet1!$B:$B,[1]Sheet1!$P:$P,0)</f>
        <v>0</v>
      </c>
      <c r="N1243" s="12">
        <f>_xlfn.XLOOKUP(B1243,[1]Sheet1!$B:$B,[1]Sheet1!$Q:$Q,0)</f>
        <v>190602.75</v>
      </c>
      <c r="O1243" s="12">
        <f>_xlfn.XLOOKUP(B1243,[1]Sheet1!$B:$B,[1]Sheet1!$R:$R,0)</f>
        <v>47650.6875</v>
      </c>
      <c r="P1243" s="12">
        <f>_xlfn.XLOOKUP(B1243,[1]Sheet1!$B:$B,[1]Sheet1!$S:$S,0)</f>
        <v>47650.6875</v>
      </c>
      <c r="Q1243" s="12">
        <f>_xlfn.XLOOKUP(B1243,[1]Sheet1!$B:$B,[1]Sheet1!$T:$T,0)</f>
        <v>47650.6875</v>
      </c>
      <c r="R1243" s="12">
        <f>_xlfn.XLOOKUP(B1243,[1]Sheet1!$B:$B,[1]Sheet1!$U:$U,0)</f>
        <v>47650.6875</v>
      </c>
      <c r="S1243" s="12">
        <f>_xlfn.XLOOKUP(B1243,[1]Sheet1!$B:$B,[1]Sheet1!$V:$V,0)</f>
        <v>47650.6875</v>
      </c>
      <c r="T1243" s="12">
        <f>_xlfn.XLOOKUP(B1243,[1]Sheet1!$B:$B,[1]Sheet1!$W:$W,0)</f>
        <v>47650.6875</v>
      </c>
      <c r="U1243" s="12">
        <f>_xlfn.XLOOKUP(B1243,[1]Sheet1!$B:$B,[1]Sheet1!$X:$X,0)</f>
        <v>47650.6875</v>
      </c>
      <c r="V1243" s="12">
        <f>_xlfn.XLOOKUP(B1243,[1]Sheet1!$B:$B,[1]Sheet1!$Y:$Y,0)</f>
        <v>47650.6875</v>
      </c>
      <c r="W1243" s="12">
        <f t="shared" si="41"/>
        <v>571808.25</v>
      </c>
      <c r="X1243" s="8" t="s">
        <v>1890</v>
      </c>
      <c r="Y1243" s="8" t="s">
        <v>211</v>
      </c>
      <c r="Z1243" s="8" t="s">
        <v>212</v>
      </c>
      <c r="AA1243" s="8" t="s">
        <v>44</v>
      </c>
      <c r="AB1243" s="8" t="s">
        <v>36</v>
      </c>
      <c r="AC1243" s="8" t="s">
        <v>37</v>
      </c>
      <c r="AD1243" s="8" t="s">
        <v>214</v>
      </c>
      <c r="AE1243" s="8" t="s">
        <v>39</v>
      </c>
      <c r="AF1243" s="8" t="s">
        <v>40</v>
      </c>
      <c r="AG1243" s="9">
        <v>571808</v>
      </c>
      <c r="AH1243" s="11">
        <f>_xlfn.XLOOKUP(B1243,[1]Sheet1!$B:$B,[1]Sheet1!$AB:$AB,0)</f>
        <v>571808.25</v>
      </c>
    </row>
    <row r="1244" spans="2:34" ht="16.8" thickTop="1" thickBot="1" x14ac:dyDescent="0.35">
      <c r="B1244" s="3" t="str">
        <f t="shared" si="40"/>
        <v>45154004511001514GSA Retainer-N421125200104</v>
      </c>
      <c r="C1244" s="6" t="s">
        <v>213</v>
      </c>
      <c r="D1244" s="6" t="s">
        <v>1902</v>
      </c>
      <c r="E1244" s="6" t="s">
        <v>1903</v>
      </c>
      <c r="F1244" s="6" t="s">
        <v>1775</v>
      </c>
      <c r="G1244" s="4" t="s">
        <v>2803</v>
      </c>
      <c r="H1244" s="4" t="s">
        <v>2922</v>
      </c>
      <c r="I1244" s="6" t="s">
        <v>44</v>
      </c>
      <c r="J1244" s="6" t="s">
        <v>31</v>
      </c>
      <c r="K1244" s="12">
        <f>_xlfn.XLOOKUP(B1244,[1]Sheet1!$B:$B,[1]Sheet1!$N:$N,0)</f>
        <v>0</v>
      </c>
      <c r="L1244" s="12">
        <f>_xlfn.XLOOKUP(B1244,[1]Sheet1!$B:$B,[1]Sheet1!$O:$O,0)</f>
        <v>0</v>
      </c>
      <c r="M1244" s="12">
        <f>_xlfn.XLOOKUP(B1244,[1]Sheet1!$B:$B,[1]Sheet1!$P:$P,0)</f>
        <v>0</v>
      </c>
      <c r="N1244" s="12">
        <f>_xlfn.XLOOKUP(B1244,[1]Sheet1!$B:$B,[1]Sheet1!$Q:$Q,0)</f>
        <v>151780.7525</v>
      </c>
      <c r="O1244" s="12">
        <f>_xlfn.XLOOKUP(B1244,[1]Sheet1!$B:$B,[1]Sheet1!$R:$R,0)</f>
        <v>37945.188125000001</v>
      </c>
      <c r="P1244" s="12">
        <f>_xlfn.XLOOKUP(B1244,[1]Sheet1!$B:$B,[1]Sheet1!$S:$S,0)</f>
        <v>37945.188125000001</v>
      </c>
      <c r="Q1244" s="12">
        <f>_xlfn.XLOOKUP(B1244,[1]Sheet1!$B:$B,[1]Sheet1!$T:$T,0)</f>
        <v>37945.188125000001</v>
      </c>
      <c r="R1244" s="12">
        <f>_xlfn.XLOOKUP(B1244,[1]Sheet1!$B:$B,[1]Sheet1!$U:$U,0)</f>
        <v>37945.188125000001</v>
      </c>
      <c r="S1244" s="12">
        <f>_xlfn.XLOOKUP(B1244,[1]Sheet1!$B:$B,[1]Sheet1!$V:$V,0)</f>
        <v>37945.188125000001</v>
      </c>
      <c r="T1244" s="12">
        <f>_xlfn.XLOOKUP(B1244,[1]Sheet1!$B:$B,[1]Sheet1!$W:$W,0)</f>
        <v>37945.188125000001</v>
      </c>
      <c r="U1244" s="12">
        <f>_xlfn.XLOOKUP(B1244,[1]Sheet1!$B:$B,[1]Sheet1!$X:$X,0)</f>
        <v>37945.188125000001</v>
      </c>
      <c r="V1244" s="12">
        <f>_xlfn.XLOOKUP(B1244,[1]Sheet1!$B:$B,[1]Sheet1!$Y:$Y,0)</f>
        <v>37945.188125000001</v>
      </c>
      <c r="W1244" s="12">
        <f t="shared" si="41"/>
        <v>455342.25749999989</v>
      </c>
      <c r="X1244" s="6" t="s">
        <v>1890</v>
      </c>
      <c r="Y1244" s="6" t="s">
        <v>211</v>
      </c>
      <c r="Z1244" s="6" t="s">
        <v>212</v>
      </c>
      <c r="AA1244" s="6" t="s">
        <v>44</v>
      </c>
      <c r="AB1244" s="6" t="s">
        <v>36</v>
      </c>
      <c r="AC1244" s="6" t="s">
        <v>37</v>
      </c>
      <c r="AD1244" s="6" t="s">
        <v>214</v>
      </c>
      <c r="AE1244" s="6" t="s">
        <v>39</v>
      </c>
      <c r="AF1244" s="6" t="s">
        <v>40</v>
      </c>
      <c r="AG1244" s="7">
        <v>455342</v>
      </c>
      <c r="AH1244" s="11">
        <f>_xlfn.XLOOKUP(B1244,[1]Sheet1!$B:$B,[1]Sheet1!$AB:$AB,0)</f>
        <v>455342.25749999989</v>
      </c>
    </row>
    <row r="1245" spans="2:34" ht="16.8" thickTop="1" thickBot="1" x14ac:dyDescent="0.35">
      <c r="B1245" s="3" t="str">
        <f t="shared" si="40"/>
        <v>45154004511001515GSA Retainer-N421125200104</v>
      </c>
      <c r="C1245" s="8" t="s">
        <v>213</v>
      </c>
      <c r="D1245" s="8" t="s">
        <v>1904</v>
      </c>
      <c r="E1245" s="8" t="s">
        <v>1905</v>
      </c>
      <c r="F1245" s="8" t="s">
        <v>1775</v>
      </c>
      <c r="G1245" s="4" t="s">
        <v>2803</v>
      </c>
      <c r="H1245" s="4" t="s">
        <v>2922</v>
      </c>
      <c r="I1245" s="8" t="s">
        <v>44</v>
      </c>
      <c r="J1245" s="8" t="s">
        <v>31</v>
      </c>
      <c r="K1245" s="12">
        <f>_xlfn.XLOOKUP(B1245,[1]Sheet1!$B:$B,[1]Sheet1!$N:$N,0)</f>
        <v>0</v>
      </c>
      <c r="L1245" s="12">
        <f>_xlfn.XLOOKUP(B1245,[1]Sheet1!$B:$B,[1]Sheet1!$O:$O,0)</f>
        <v>0</v>
      </c>
      <c r="M1245" s="12">
        <f>_xlfn.XLOOKUP(B1245,[1]Sheet1!$B:$B,[1]Sheet1!$P:$P,0)</f>
        <v>0</v>
      </c>
      <c r="N1245" s="12">
        <f>_xlfn.XLOOKUP(B1245,[1]Sheet1!$B:$B,[1]Sheet1!$Q:$Q,0)</f>
        <v>136352.57999999999</v>
      </c>
      <c r="O1245" s="12">
        <f>_xlfn.XLOOKUP(B1245,[1]Sheet1!$B:$B,[1]Sheet1!$R:$R,0)</f>
        <v>34088.144999999997</v>
      </c>
      <c r="P1245" s="12">
        <f>_xlfn.XLOOKUP(B1245,[1]Sheet1!$B:$B,[1]Sheet1!$S:$S,0)</f>
        <v>34088.144999999997</v>
      </c>
      <c r="Q1245" s="12">
        <f>_xlfn.XLOOKUP(B1245,[1]Sheet1!$B:$B,[1]Sheet1!$T:$T,0)</f>
        <v>34088.144999999997</v>
      </c>
      <c r="R1245" s="12">
        <f>_xlfn.XLOOKUP(B1245,[1]Sheet1!$B:$B,[1]Sheet1!$U:$U,0)</f>
        <v>34088.144999999997</v>
      </c>
      <c r="S1245" s="12">
        <f>_xlfn.XLOOKUP(B1245,[1]Sheet1!$B:$B,[1]Sheet1!$V:$V,0)</f>
        <v>34088.144999999997</v>
      </c>
      <c r="T1245" s="12">
        <f>_xlfn.XLOOKUP(B1245,[1]Sheet1!$B:$B,[1]Sheet1!$W:$W,0)</f>
        <v>34088.144999999997</v>
      </c>
      <c r="U1245" s="12">
        <f>_xlfn.XLOOKUP(B1245,[1]Sheet1!$B:$B,[1]Sheet1!$X:$X,0)</f>
        <v>34088.144999999997</v>
      </c>
      <c r="V1245" s="12">
        <f>_xlfn.XLOOKUP(B1245,[1]Sheet1!$B:$B,[1]Sheet1!$Y:$Y,0)</f>
        <v>34088.144999999997</v>
      </c>
      <c r="W1245" s="12">
        <f t="shared" si="41"/>
        <v>409057.74000000005</v>
      </c>
      <c r="X1245" s="8" t="s">
        <v>1890</v>
      </c>
      <c r="Y1245" s="8" t="s">
        <v>211</v>
      </c>
      <c r="Z1245" s="8" t="s">
        <v>212</v>
      </c>
      <c r="AA1245" s="8" t="s">
        <v>44</v>
      </c>
      <c r="AB1245" s="8" t="s">
        <v>36</v>
      </c>
      <c r="AC1245" s="8" t="s">
        <v>37</v>
      </c>
      <c r="AD1245" s="8" t="s">
        <v>214</v>
      </c>
      <c r="AE1245" s="8" t="s">
        <v>39</v>
      </c>
      <c r="AF1245" s="8" t="s">
        <v>40</v>
      </c>
      <c r="AG1245" s="9">
        <v>409058</v>
      </c>
      <c r="AH1245" s="11">
        <f>_xlfn.XLOOKUP(B1245,[1]Sheet1!$B:$B,[1]Sheet1!$AB:$AB,0)</f>
        <v>409057.74000000005</v>
      </c>
    </row>
    <row r="1246" spans="2:34" ht="16.8" thickTop="1" thickBot="1" x14ac:dyDescent="0.35">
      <c r="B1246" s="3" t="str">
        <f t="shared" si="40"/>
        <v>45154004511001516GSA Retainer-N421125200104</v>
      </c>
      <c r="C1246" s="6" t="s">
        <v>213</v>
      </c>
      <c r="D1246" s="6" t="s">
        <v>1906</v>
      </c>
      <c r="E1246" s="6" t="s">
        <v>1907</v>
      </c>
      <c r="F1246" s="6" t="s">
        <v>1775</v>
      </c>
      <c r="G1246" s="4" t="s">
        <v>2803</v>
      </c>
      <c r="H1246" s="4" t="s">
        <v>2922</v>
      </c>
      <c r="I1246" s="6" t="s">
        <v>44</v>
      </c>
      <c r="J1246" s="6" t="s">
        <v>31</v>
      </c>
      <c r="K1246" s="12">
        <f>_xlfn.XLOOKUP(B1246,[1]Sheet1!$B:$B,[1]Sheet1!$N:$N,0)</f>
        <v>0</v>
      </c>
      <c r="L1246" s="12">
        <f>_xlfn.XLOOKUP(B1246,[1]Sheet1!$B:$B,[1]Sheet1!$O:$O,0)</f>
        <v>0</v>
      </c>
      <c r="M1246" s="12">
        <f>_xlfn.XLOOKUP(B1246,[1]Sheet1!$B:$B,[1]Sheet1!$P:$P,0)</f>
        <v>0</v>
      </c>
      <c r="N1246" s="12">
        <f>_xlfn.XLOOKUP(B1246,[1]Sheet1!$B:$B,[1]Sheet1!$Q:$Q,0)</f>
        <v>120721.25</v>
      </c>
      <c r="O1246" s="12">
        <f>_xlfn.XLOOKUP(B1246,[1]Sheet1!$B:$B,[1]Sheet1!$R:$R,0)</f>
        <v>27858.749999999996</v>
      </c>
      <c r="P1246" s="12">
        <f>_xlfn.XLOOKUP(B1246,[1]Sheet1!$B:$B,[1]Sheet1!$S:$S,0)</f>
        <v>37145</v>
      </c>
      <c r="Q1246" s="12">
        <f>_xlfn.XLOOKUP(B1246,[1]Sheet1!$B:$B,[1]Sheet1!$T:$T,0)</f>
        <v>27858.749999999996</v>
      </c>
      <c r="R1246" s="12">
        <f>_xlfn.XLOOKUP(B1246,[1]Sheet1!$B:$B,[1]Sheet1!$U:$U,0)</f>
        <v>27858.749999999996</v>
      </c>
      <c r="S1246" s="12">
        <f>_xlfn.XLOOKUP(B1246,[1]Sheet1!$B:$B,[1]Sheet1!$V:$V,0)</f>
        <v>37145</v>
      </c>
      <c r="T1246" s="12">
        <f>_xlfn.XLOOKUP(B1246,[1]Sheet1!$B:$B,[1]Sheet1!$W:$W,0)</f>
        <v>27858.749999999996</v>
      </c>
      <c r="U1246" s="12">
        <f>_xlfn.XLOOKUP(B1246,[1]Sheet1!$B:$B,[1]Sheet1!$X:$X,0)</f>
        <v>27858.749999999996</v>
      </c>
      <c r="V1246" s="12">
        <f>_xlfn.XLOOKUP(B1246,[1]Sheet1!$B:$B,[1]Sheet1!$Y:$Y,0)</f>
        <v>37145</v>
      </c>
      <c r="W1246" s="12">
        <f t="shared" si="41"/>
        <v>371450</v>
      </c>
      <c r="X1246" s="6" t="s">
        <v>1890</v>
      </c>
      <c r="Y1246" s="6" t="s">
        <v>211</v>
      </c>
      <c r="Z1246" s="6" t="s">
        <v>212</v>
      </c>
      <c r="AA1246" s="6" t="s">
        <v>44</v>
      </c>
      <c r="AB1246" s="6" t="s">
        <v>36</v>
      </c>
      <c r="AC1246" s="6" t="s">
        <v>37</v>
      </c>
      <c r="AD1246" s="6" t="s">
        <v>214</v>
      </c>
      <c r="AE1246" s="6" t="s">
        <v>39</v>
      </c>
      <c r="AF1246" s="6" t="s">
        <v>40</v>
      </c>
      <c r="AG1246" s="7">
        <v>371450</v>
      </c>
      <c r="AH1246" s="11">
        <f>_xlfn.XLOOKUP(B1246,[1]Sheet1!$B:$B,[1]Sheet1!$AB:$AB,0)</f>
        <v>371450</v>
      </c>
    </row>
    <row r="1247" spans="2:34" ht="16.8" thickTop="1" thickBot="1" x14ac:dyDescent="0.35">
      <c r="B1247" s="3" t="str">
        <f t="shared" si="40"/>
        <v>45154004511001517GSA Retainer-N421125200104</v>
      </c>
      <c r="C1247" s="8" t="s">
        <v>213</v>
      </c>
      <c r="D1247" s="8" t="s">
        <v>1908</v>
      </c>
      <c r="E1247" s="8" t="s">
        <v>1909</v>
      </c>
      <c r="F1247" s="8" t="s">
        <v>1775</v>
      </c>
      <c r="G1247" s="4" t="s">
        <v>2803</v>
      </c>
      <c r="H1247" s="4" t="s">
        <v>2922</v>
      </c>
      <c r="I1247" s="8" t="s">
        <v>44</v>
      </c>
      <c r="J1247" s="8" t="s">
        <v>31</v>
      </c>
      <c r="K1247" s="12">
        <f>_xlfn.XLOOKUP(B1247,[1]Sheet1!$B:$B,[1]Sheet1!$N:$N,0)</f>
        <v>0</v>
      </c>
      <c r="L1247" s="12">
        <f>_xlfn.XLOOKUP(B1247,[1]Sheet1!$B:$B,[1]Sheet1!$O:$O,0)</f>
        <v>0</v>
      </c>
      <c r="M1247" s="12">
        <f>_xlfn.XLOOKUP(B1247,[1]Sheet1!$B:$B,[1]Sheet1!$P:$P,0)</f>
        <v>0</v>
      </c>
      <c r="N1247" s="12">
        <f>_xlfn.XLOOKUP(B1247,[1]Sheet1!$B:$B,[1]Sheet1!$Q:$Q,0)</f>
        <v>112000</v>
      </c>
      <c r="O1247" s="12">
        <f>_xlfn.XLOOKUP(B1247,[1]Sheet1!$B:$B,[1]Sheet1!$R:$R,0)</f>
        <v>28000</v>
      </c>
      <c r="P1247" s="12">
        <f>_xlfn.XLOOKUP(B1247,[1]Sheet1!$B:$B,[1]Sheet1!$S:$S,0)</f>
        <v>28000</v>
      </c>
      <c r="Q1247" s="12">
        <f>_xlfn.XLOOKUP(B1247,[1]Sheet1!$B:$B,[1]Sheet1!$T:$T,0)</f>
        <v>28000</v>
      </c>
      <c r="R1247" s="12">
        <f>_xlfn.XLOOKUP(B1247,[1]Sheet1!$B:$B,[1]Sheet1!$U:$U,0)</f>
        <v>28000</v>
      </c>
      <c r="S1247" s="12">
        <f>_xlfn.XLOOKUP(B1247,[1]Sheet1!$B:$B,[1]Sheet1!$V:$V,0)</f>
        <v>28000</v>
      </c>
      <c r="T1247" s="12">
        <f>_xlfn.XLOOKUP(B1247,[1]Sheet1!$B:$B,[1]Sheet1!$W:$W,0)</f>
        <v>28000</v>
      </c>
      <c r="U1247" s="12">
        <f>_xlfn.XLOOKUP(B1247,[1]Sheet1!$B:$B,[1]Sheet1!$X:$X,0)</f>
        <v>28000</v>
      </c>
      <c r="V1247" s="12">
        <f>_xlfn.XLOOKUP(B1247,[1]Sheet1!$B:$B,[1]Sheet1!$Y:$Y,0)</f>
        <v>28000</v>
      </c>
      <c r="W1247" s="12">
        <f t="shared" si="41"/>
        <v>336000</v>
      </c>
      <c r="X1247" s="8" t="s">
        <v>1890</v>
      </c>
      <c r="Y1247" s="8" t="s">
        <v>211</v>
      </c>
      <c r="Z1247" s="8" t="s">
        <v>212</v>
      </c>
      <c r="AA1247" s="8" t="s">
        <v>44</v>
      </c>
      <c r="AB1247" s="8" t="s">
        <v>36</v>
      </c>
      <c r="AC1247" s="8" t="s">
        <v>37</v>
      </c>
      <c r="AD1247" s="8" t="s">
        <v>214</v>
      </c>
      <c r="AE1247" s="8" t="s">
        <v>39</v>
      </c>
      <c r="AF1247" s="8" t="s">
        <v>40</v>
      </c>
      <c r="AG1247" s="9">
        <v>336000</v>
      </c>
      <c r="AH1247" s="11">
        <f>_xlfn.XLOOKUP(B1247,[1]Sheet1!$B:$B,[1]Sheet1!$AB:$AB,0)</f>
        <v>336000</v>
      </c>
    </row>
    <row r="1248" spans="2:34" ht="16.8" thickTop="1" thickBot="1" x14ac:dyDescent="0.35">
      <c r="B1248" s="3" t="str">
        <f t="shared" si="40"/>
        <v>45154004511001518GSA Retainer-N421125200104</v>
      </c>
      <c r="C1248" s="6" t="s">
        <v>213</v>
      </c>
      <c r="D1248" s="6" t="s">
        <v>1910</v>
      </c>
      <c r="E1248" s="6" t="s">
        <v>1911</v>
      </c>
      <c r="F1248" s="6" t="s">
        <v>1775</v>
      </c>
      <c r="G1248" s="4" t="s">
        <v>2803</v>
      </c>
      <c r="H1248" s="4" t="s">
        <v>2922</v>
      </c>
      <c r="I1248" s="6" t="s">
        <v>44</v>
      </c>
      <c r="J1248" s="6" t="s">
        <v>31</v>
      </c>
      <c r="K1248" s="12">
        <f>_xlfn.XLOOKUP(B1248,[1]Sheet1!$B:$B,[1]Sheet1!$N:$N,0)</f>
        <v>0</v>
      </c>
      <c r="L1248" s="12">
        <f>_xlfn.XLOOKUP(B1248,[1]Sheet1!$B:$B,[1]Sheet1!$O:$O,0)</f>
        <v>0</v>
      </c>
      <c r="M1248" s="12">
        <f>_xlfn.XLOOKUP(B1248,[1]Sheet1!$B:$B,[1]Sheet1!$P:$P,0)</f>
        <v>0</v>
      </c>
      <c r="N1248" s="12">
        <f>_xlfn.XLOOKUP(B1248,[1]Sheet1!$B:$B,[1]Sheet1!$Q:$Q,0)</f>
        <v>0</v>
      </c>
      <c r="O1248" s="12">
        <f>_xlfn.XLOOKUP(B1248,[1]Sheet1!$B:$B,[1]Sheet1!$R:$R,0)</f>
        <v>0</v>
      </c>
      <c r="P1248" s="12">
        <f>_xlfn.XLOOKUP(B1248,[1]Sheet1!$B:$B,[1]Sheet1!$S:$S,0)</f>
        <v>0</v>
      </c>
      <c r="Q1248" s="12">
        <f>_xlfn.XLOOKUP(B1248,[1]Sheet1!$B:$B,[1]Sheet1!$T:$T,0)</f>
        <v>0</v>
      </c>
      <c r="R1248" s="12">
        <f>_xlfn.XLOOKUP(B1248,[1]Sheet1!$B:$B,[1]Sheet1!$U:$U,0)</f>
        <v>54194.543333334303</v>
      </c>
      <c r="S1248" s="12">
        <f>_xlfn.XLOOKUP(B1248,[1]Sheet1!$B:$B,[1]Sheet1!$V:$V,0)</f>
        <v>54194.543333334303</v>
      </c>
      <c r="T1248" s="12">
        <f>_xlfn.XLOOKUP(B1248,[1]Sheet1!$B:$B,[1]Sheet1!$W:$W,0)</f>
        <v>54194.543333334303</v>
      </c>
      <c r="U1248" s="12">
        <f>_xlfn.XLOOKUP(B1248,[1]Sheet1!$B:$B,[1]Sheet1!$X:$X,0)</f>
        <v>54194.543333334303</v>
      </c>
      <c r="V1248" s="12">
        <f>_xlfn.XLOOKUP(B1248,[1]Sheet1!$B:$B,[1]Sheet1!$Y:$Y,0)</f>
        <v>108390.5433333343</v>
      </c>
      <c r="W1248" s="12">
        <f t="shared" si="41"/>
        <v>325168.71666667151</v>
      </c>
      <c r="X1248" s="6" t="s">
        <v>1890</v>
      </c>
      <c r="Y1248" s="6" t="s">
        <v>211</v>
      </c>
      <c r="Z1248" s="6" t="s">
        <v>212</v>
      </c>
      <c r="AA1248" s="6" t="s">
        <v>44</v>
      </c>
      <c r="AB1248" s="6" t="s">
        <v>36</v>
      </c>
      <c r="AC1248" s="6" t="s">
        <v>37</v>
      </c>
      <c r="AD1248" s="6" t="s">
        <v>214</v>
      </c>
      <c r="AE1248" s="6" t="s">
        <v>39</v>
      </c>
      <c r="AF1248" s="6" t="s">
        <v>40</v>
      </c>
      <c r="AG1248" s="7">
        <v>325169</v>
      </c>
      <c r="AH1248" s="11">
        <f>_xlfn.XLOOKUP(B1248,[1]Sheet1!$B:$B,[1]Sheet1!$AB:$AB,0)</f>
        <v>325168.71666667151</v>
      </c>
    </row>
    <row r="1249" spans="2:34" ht="16.8" thickTop="1" thickBot="1" x14ac:dyDescent="0.35">
      <c r="B1249" s="3" t="str">
        <f t="shared" si="40"/>
        <v>45154004511001519GSA Retainer-N421125200104</v>
      </c>
      <c r="C1249" s="8" t="s">
        <v>213</v>
      </c>
      <c r="D1249" s="8" t="s">
        <v>1912</v>
      </c>
      <c r="E1249" s="8" t="s">
        <v>1913</v>
      </c>
      <c r="F1249" s="8" t="s">
        <v>1775</v>
      </c>
      <c r="G1249" s="4" t="s">
        <v>2803</v>
      </c>
      <c r="H1249" s="4" t="s">
        <v>2922</v>
      </c>
      <c r="I1249" s="8" t="s">
        <v>44</v>
      </c>
      <c r="J1249" s="8" t="s">
        <v>31</v>
      </c>
      <c r="K1249" s="12">
        <f>_xlfn.XLOOKUP(B1249,[1]Sheet1!$B:$B,[1]Sheet1!$N:$N,0)</f>
        <v>0</v>
      </c>
      <c r="L1249" s="12">
        <f>_xlfn.XLOOKUP(B1249,[1]Sheet1!$B:$B,[1]Sheet1!$O:$O,0)</f>
        <v>0</v>
      </c>
      <c r="M1249" s="12">
        <f>_xlfn.XLOOKUP(B1249,[1]Sheet1!$B:$B,[1]Sheet1!$P:$P,0)</f>
        <v>0</v>
      </c>
      <c r="N1249" s="12">
        <f>_xlfn.XLOOKUP(B1249,[1]Sheet1!$B:$B,[1]Sheet1!$Q:$Q,0)</f>
        <v>0</v>
      </c>
      <c r="O1249" s="12">
        <f>_xlfn.XLOOKUP(B1249,[1]Sheet1!$B:$B,[1]Sheet1!$R:$R,0)</f>
        <v>0</v>
      </c>
      <c r="P1249" s="12">
        <f>_xlfn.XLOOKUP(B1249,[1]Sheet1!$B:$B,[1]Sheet1!$S:$S,0)</f>
        <v>0</v>
      </c>
      <c r="Q1249" s="12">
        <f>_xlfn.XLOOKUP(B1249,[1]Sheet1!$B:$B,[1]Sheet1!$T:$T,0)</f>
        <v>0</v>
      </c>
      <c r="R1249" s="12">
        <f>_xlfn.XLOOKUP(B1249,[1]Sheet1!$B:$B,[1]Sheet1!$U:$U,0)</f>
        <v>27195</v>
      </c>
      <c r="S1249" s="12">
        <f>_xlfn.XLOOKUP(B1249,[1]Sheet1!$B:$B,[1]Sheet1!$V:$V,0)</f>
        <v>27195</v>
      </c>
      <c r="T1249" s="12">
        <f>_xlfn.XLOOKUP(B1249,[1]Sheet1!$B:$B,[1]Sheet1!$W:$W,0)</f>
        <v>27195</v>
      </c>
      <c r="U1249" s="12">
        <f>_xlfn.XLOOKUP(B1249,[1]Sheet1!$B:$B,[1]Sheet1!$X:$X,0)</f>
        <v>27195</v>
      </c>
      <c r="V1249" s="12">
        <f>_xlfn.XLOOKUP(B1249,[1]Sheet1!$B:$B,[1]Sheet1!$Y:$Y,0)</f>
        <v>54390</v>
      </c>
      <c r="W1249" s="12">
        <f t="shared" si="41"/>
        <v>163170</v>
      </c>
      <c r="X1249" s="8" t="s">
        <v>1890</v>
      </c>
      <c r="Y1249" s="8" t="s">
        <v>211</v>
      </c>
      <c r="Z1249" s="8" t="s">
        <v>212</v>
      </c>
      <c r="AA1249" s="8" t="s">
        <v>44</v>
      </c>
      <c r="AB1249" s="8" t="s">
        <v>36</v>
      </c>
      <c r="AC1249" s="8" t="s">
        <v>37</v>
      </c>
      <c r="AD1249" s="8" t="s">
        <v>214</v>
      </c>
      <c r="AE1249" s="8" t="s">
        <v>39</v>
      </c>
      <c r="AF1249" s="8" t="s">
        <v>40</v>
      </c>
      <c r="AG1249" s="9">
        <v>163170</v>
      </c>
      <c r="AH1249" s="11">
        <f>_xlfn.XLOOKUP(B1249,[1]Sheet1!$B:$B,[1]Sheet1!$AB:$AB,0)</f>
        <v>163170</v>
      </c>
    </row>
    <row r="1250" spans="2:34" ht="16.8" thickTop="1" thickBot="1" x14ac:dyDescent="0.35">
      <c r="B1250" s="3" t="str">
        <f t="shared" si="40"/>
        <v>45154004511001520GSA Retainer-N421125200104</v>
      </c>
      <c r="C1250" s="6" t="s">
        <v>213</v>
      </c>
      <c r="D1250" s="6" t="s">
        <v>1914</v>
      </c>
      <c r="E1250" s="6" t="s">
        <v>1915</v>
      </c>
      <c r="F1250" s="6" t="s">
        <v>1775</v>
      </c>
      <c r="G1250" s="4" t="s">
        <v>2803</v>
      </c>
      <c r="H1250" s="4" t="s">
        <v>2922</v>
      </c>
      <c r="I1250" s="6" t="s">
        <v>44</v>
      </c>
      <c r="J1250" s="6" t="s">
        <v>31</v>
      </c>
      <c r="K1250" s="12">
        <f>_xlfn.XLOOKUP(B1250,[1]Sheet1!$B:$B,[1]Sheet1!$N:$N,0)</f>
        <v>0</v>
      </c>
      <c r="L1250" s="12">
        <f>_xlfn.XLOOKUP(B1250,[1]Sheet1!$B:$B,[1]Sheet1!$O:$O,0)</f>
        <v>0</v>
      </c>
      <c r="M1250" s="12">
        <f>_xlfn.XLOOKUP(B1250,[1]Sheet1!$B:$B,[1]Sheet1!$P:$P,0)</f>
        <v>0</v>
      </c>
      <c r="N1250" s="12">
        <f>_xlfn.XLOOKUP(B1250,[1]Sheet1!$B:$B,[1]Sheet1!$Q:$Q,0)</f>
        <v>54000</v>
      </c>
      <c r="O1250" s="12">
        <f>_xlfn.XLOOKUP(B1250,[1]Sheet1!$B:$B,[1]Sheet1!$R:$R,0)</f>
        <v>13500</v>
      </c>
      <c r="P1250" s="12">
        <f>_xlfn.XLOOKUP(B1250,[1]Sheet1!$B:$B,[1]Sheet1!$S:$S,0)</f>
        <v>13500</v>
      </c>
      <c r="Q1250" s="12">
        <f>_xlfn.XLOOKUP(B1250,[1]Sheet1!$B:$B,[1]Sheet1!$T:$T,0)</f>
        <v>13500</v>
      </c>
      <c r="R1250" s="12">
        <f>_xlfn.XLOOKUP(B1250,[1]Sheet1!$B:$B,[1]Sheet1!$U:$U,0)</f>
        <v>13500</v>
      </c>
      <c r="S1250" s="12">
        <f>_xlfn.XLOOKUP(B1250,[1]Sheet1!$B:$B,[1]Sheet1!$V:$V,0)</f>
        <v>13500</v>
      </c>
      <c r="T1250" s="12">
        <f>_xlfn.XLOOKUP(B1250,[1]Sheet1!$B:$B,[1]Sheet1!$W:$W,0)</f>
        <v>13500</v>
      </c>
      <c r="U1250" s="12">
        <f>_xlfn.XLOOKUP(B1250,[1]Sheet1!$B:$B,[1]Sheet1!$X:$X,0)</f>
        <v>13500</v>
      </c>
      <c r="V1250" s="12">
        <f>_xlfn.XLOOKUP(B1250,[1]Sheet1!$B:$B,[1]Sheet1!$Y:$Y,0)</f>
        <v>13500</v>
      </c>
      <c r="W1250" s="12">
        <f t="shared" si="41"/>
        <v>162000</v>
      </c>
      <c r="X1250" s="6" t="s">
        <v>1890</v>
      </c>
      <c r="Y1250" s="6" t="s">
        <v>211</v>
      </c>
      <c r="Z1250" s="6" t="s">
        <v>212</v>
      </c>
      <c r="AA1250" s="6" t="s">
        <v>44</v>
      </c>
      <c r="AB1250" s="6" t="s">
        <v>36</v>
      </c>
      <c r="AC1250" s="6" t="s">
        <v>37</v>
      </c>
      <c r="AD1250" s="6" t="s">
        <v>214</v>
      </c>
      <c r="AE1250" s="6" t="s">
        <v>39</v>
      </c>
      <c r="AF1250" s="6" t="s">
        <v>40</v>
      </c>
      <c r="AG1250" s="7">
        <v>162000</v>
      </c>
      <c r="AH1250" s="11">
        <f>_xlfn.XLOOKUP(B1250,[1]Sheet1!$B:$B,[1]Sheet1!$AB:$AB,0)</f>
        <v>162000</v>
      </c>
    </row>
    <row r="1251" spans="2:34" ht="16.8" thickTop="1" thickBot="1" x14ac:dyDescent="0.35">
      <c r="B1251" s="3" t="str">
        <f t="shared" si="40"/>
        <v>45159004511001521Admin Expenses-N1421125200104</v>
      </c>
      <c r="C1251" s="8" t="s">
        <v>827</v>
      </c>
      <c r="D1251" s="8" t="s">
        <v>1916</v>
      </c>
      <c r="E1251" s="8" t="s">
        <v>1917</v>
      </c>
      <c r="F1251" s="8" t="s">
        <v>73</v>
      </c>
      <c r="G1251" s="4" t="s">
        <v>2803</v>
      </c>
      <c r="H1251" s="4" t="s">
        <v>2922</v>
      </c>
      <c r="I1251" s="8" t="s">
        <v>44</v>
      </c>
      <c r="J1251" s="8" t="s">
        <v>31</v>
      </c>
      <c r="K1251" s="12">
        <f>_xlfn.XLOOKUP(B1251,[1]Sheet1!$B:$B,[1]Sheet1!$N:$N,0)</f>
        <v>0</v>
      </c>
      <c r="L1251" s="12">
        <f>_xlfn.XLOOKUP(B1251,[1]Sheet1!$B:$B,[1]Sheet1!$O:$O,0)</f>
        <v>0</v>
      </c>
      <c r="M1251" s="12">
        <f>_xlfn.XLOOKUP(B1251,[1]Sheet1!$B:$B,[1]Sheet1!$P:$P,0)</f>
        <v>0</v>
      </c>
      <c r="N1251" s="12">
        <f>_xlfn.XLOOKUP(B1251,[1]Sheet1!$B:$B,[1]Sheet1!$Q:$Q,0)</f>
        <v>0</v>
      </c>
      <c r="O1251" s="12">
        <f>_xlfn.XLOOKUP(B1251,[1]Sheet1!$B:$B,[1]Sheet1!$R:$R,0)</f>
        <v>0</v>
      </c>
      <c r="P1251" s="12">
        <f>_xlfn.XLOOKUP(B1251,[1]Sheet1!$B:$B,[1]Sheet1!$S:$S,0)</f>
        <v>0</v>
      </c>
      <c r="Q1251" s="12">
        <f>_xlfn.XLOOKUP(B1251,[1]Sheet1!$B:$B,[1]Sheet1!$T:$T,0)</f>
        <v>70000</v>
      </c>
      <c r="R1251" s="12">
        <f>_xlfn.XLOOKUP(B1251,[1]Sheet1!$B:$B,[1]Sheet1!$U:$U,0)</f>
        <v>0</v>
      </c>
      <c r="S1251" s="12">
        <f>_xlfn.XLOOKUP(B1251,[1]Sheet1!$B:$B,[1]Sheet1!$V:$V,0)</f>
        <v>0</v>
      </c>
      <c r="T1251" s="12">
        <f>_xlfn.XLOOKUP(B1251,[1]Sheet1!$B:$B,[1]Sheet1!$W:$W,0)</f>
        <v>40000</v>
      </c>
      <c r="U1251" s="12">
        <f>_xlfn.XLOOKUP(B1251,[1]Sheet1!$B:$B,[1]Sheet1!$X:$X,0)</f>
        <v>0</v>
      </c>
      <c r="V1251" s="12">
        <f>_xlfn.XLOOKUP(B1251,[1]Sheet1!$B:$B,[1]Sheet1!$Y:$Y,0)</f>
        <v>0</v>
      </c>
      <c r="W1251" s="12">
        <f t="shared" si="41"/>
        <v>110000</v>
      </c>
      <c r="X1251" s="8" t="s">
        <v>1834</v>
      </c>
      <c r="Y1251" s="8" t="s">
        <v>211</v>
      </c>
      <c r="Z1251" s="8" t="s">
        <v>826</v>
      </c>
      <c r="AA1251" s="8" t="s">
        <v>44</v>
      </c>
      <c r="AB1251" s="8" t="s">
        <v>36</v>
      </c>
      <c r="AC1251" s="8" t="s">
        <v>37</v>
      </c>
      <c r="AD1251" s="8" t="s">
        <v>342</v>
      </c>
      <c r="AE1251" s="8" t="s">
        <v>39</v>
      </c>
      <c r="AF1251" s="8" t="s">
        <v>40</v>
      </c>
      <c r="AG1251" s="9">
        <v>110000</v>
      </c>
      <c r="AH1251" s="11">
        <f>_xlfn.XLOOKUP(B1251,[1]Sheet1!$B:$B,[1]Sheet1!$AB:$AB,0)</f>
        <v>110000</v>
      </c>
    </row>
    <row r="1252" spans="2:34" ht="16.8" thickTop="1" thickBot="1" x14ac:dyDescent="0.35">
      <c r="B1252" s="3" t="str">
        <f t="shared" si="40"/>
        <v>45159004511001521Trade Promotion-N1424251200104</v>
      </c>
      <c r="C1252" s="6" t="s">
        <v>827</v>
      </c>
      <c r="D1252" s="6" t="s">
        <v>1916</v>
      </c>
      <c r="E1252" s="6" t="s">
        <v>1917</v>
      </c>
      <c r="F1252" s="6" t="s">
        <v>829</v>
      </c>
      <c r="G1252" s="4" t="s">
        <v>2852</v>
      </c>
      <c r="H1252" s="4" t="s">
        <v>2922</v>
      </c>
      <c r="I1252" s="6" t="s">
        <v>569</v>
      </c>
      <c r="J1252" s="6" t="s">
        <v>31</v>
      </c>
      <c r="K1252" s="12">
        <f>_xlfn.XLOOKUP(B1252,[1]Sheet1!$B:$B,[1]Sheet1!$N:$N,0)</f>
        <v>0</v>
      </c>
      <c r="L1252" s="12">
        <f>_xlfn.XLOOKUP(B1252,[1]Sheet1!$B:$B,[1]Sheet1!$O:$O,0)</f>
        <v>0</v>
      </c>
      <c r="M1252" s="12">
        <f>_xlfn.XLOOKUP(B1252,[1]Sheet1!$B:$B,[1]Sheet1!$P:$P,0)</f>
        <v>0</v>
      </c>
      <c r="N1252" s="12">
        <f>_xlfn.XLOOKUP(B1252,[1]Sheet1!$B:$B,[1]Sheet1!$Q:$Q,0)</f>
        <v>90000</v>
      </c>
      <c r="O1252" s="12">
        <f>_xlfn.XLOOKUP(B1252,[1]Sheet1!$B:$B,[1]Sheet1!$R:$R,0)</f>
        <v>0</v>
      </c>
      <c r="P1252" s="12">
        <f>_xlfn.XLOOKUP(B1252,[1]Sheet1!$B:$B,[1]Sheet1!$S:$S,0)</f>
        <v>0</v>
      </c>
      <c r="Q1252" s="12">
        <f>_xlfn.XLOOKUP(B1252,[1]Sheet1!$B:$B,[1]Sheet1!$T:$T,0)</f>
        <v>0</v>
      </c>
      <c r="R1252" s="12">
        <f>_xlfn.XLOOKUP(B1252,[1]Sheet1!$B:$B,[1]Sheet1!$U:$U,0)</f>
        <v>0</v>
      </c>
      <c r="S1252" s="12">
        <f>_xlfn.XLOOKUP(B1252,[1]Sheet1!$B:$B,[1]Sheet1!$V:$V,0)</f>
        <v>83250</v>
      </c>
      <c r="T1252" s="12">
        <f>_xlfn.XLOOKUP(B1252,[1]Sheet1!$B:$B,[1]Sheet1!$W:$W,0)</f>
        <v>0</v>
      </c>
      <c r="U1252" s="12">
        <f>_xlfn.XLOOKUP(B1252,[1]Sheet1!$B:$B,[1]Sheet1!$X:$X,0)</f>
        <v>83250</v>
      </c>
      <c r="V1252" s="12">
        <f>_xlfn.XLOOKUP(B1252,[1]Sheet1!$B:$B,[1]Sheet1!$Y:$Y,0)</f>
        <v>0</v>
      </c>
      <c r="W1252" s="12">
        <f t="shared" si="41"/>
        <v>256500</v>
      </c>
      <c r="X1252" s="6" t="s">
        <v>1839</v>
      </c>
      <c r="Y1252" s="6" t="s">
        <v>211</v>
      </c>
      <c r="Z1252" s="6" t="s">
        <v>826</v>
      </c>
      <c r="AA1252" s="6" t="s">
        <v>569</v>
      </c>
      <c r="AB1252" s="6" t="s">
        <v>36</v>
      </c>
      <c r="AC1252" s="6" t="s">
        <v>37</v>
      </c>
      <c r="AD1252" s="6" t="s">
        <v>342</v>
      </c>
      <c r="AE1252" s="6" t="s">
        <v>39</v>
      </c>
      <c r="AF1252" s="6" t="s">
        <v>40</v>
      </c>
      <c r="AG1252" s="7">
        <v>256500</v>
      </c>
      <c r="AH1252" s="11">
        <f>_xlfn.XLOOKUP(B1252,[1]Sheet1!$B:$B,[1]Sheet1!$AB:$AB,0)</f>
        <v>256500</v>
      </c>
    </row>
    <row r="1253" spans="2:34" ht="16.8" thickTop="1" thickBot="1" x14ac:dyDescent="0.35">
      <c r="B1253" s="3" t="str">
        <f t="shared" si="40"/>
        <v>45110104511001522Strategy Advice-N421123200104</v>
      </c>
      <c r="C1253" s="8" t="s">
        <v>268</v>
      </c>
      <c r="D1253" s="8" t="s">
        <v>1918</v>
      </c>
      <c r="E1253" s="8" t="s">
        <v>1919</v>
      </c>
      <c r="F1253" s="8" t="s">
        <v>236</v>
      </c>
      <c r="G1253" s="4" t="s">
        <v>2827</v>
      </c>
      <c r="H1253" s="4" t="s">
        <v>2922</v>
      </c>
      <c r="I1253" s="8" t="s">
        <v>237</v>
      </c>
      <c r="J1253" s="8" t="s">
        <v>31</v>
      </c>
      <c r="K1253" s="12">
        <f>_xlfn.XLOOKUP(B1253,[1]Sheet1!$B:$B,[1]Sheet1!$N:$N,0)</f>
        <v>0</v>
      </c>
      <c r="L1253" s="12">
        <f>_xlfn.XLOOKUP(B1253,[1]Sheet1!$B:$B,[1]Sheet1!$O:$O,0)</f>
        <v>0</v>
      </c>
      <c r="M1253" s="12">
        <f>_xlfn.XLOOKUP(B1253,[1]Sheet1!$B:$B,[1]Sheet1!$P:$P,0)</f>
        <v>0</v>
      </c>
      <c r="N1253" s="12">
        <f>_xlfn.XLOOKUP(B1253,[1]Sheet1!$B:$B,[1]Sheet1!$Q:$Q,0)</f>
        <v>0</v>
      </c>
      <c r="O1253" s="12">
        <f>_xlfn.XLOOKUP(B1253,[1]Sheet1!$B:$B,[1]Sheet1!$R:$R,0)</f>
        <v>0</v>
      </c>
      <c r="P1253" s="12">
        <f>_xlfn.XLOOKUP(B1253,[1]Sheet1!$B:$B,[1]Sheet1!$S:$S,0)</f>
        <v>500000</v>
      </c>
      <c r="Q1253" s="12">
        <f>_xlfn.XLOOKUP(B1253,[1]Sheet1!$B:$B,[1]Sheet1!$T:$T,0)</f>
        <v>0</v>
      </c>
      <c r="R1253" s="12">
        <f>_xlfn.XLOOKUP(B1253,[1]Sheet1!$B:$B,[1]Sheet1!$U:$U,0)</f>
        <v>0</v>
      </c>
      <c r="S1253" s="12">
        <f>_xlfn.XLOOKUP(B1253,[1]Sheet1!$B:$B,[1]Sheet1!$V:$V,0)</f>
        <v>0</v>
      </c>
      <c r="T1253" s="12">
        <f>_xlfn.XLOOKUP(B1253,[1]Sheet1!$B:$B,[1]Sheet1!$W:$W,0)</f>
        <v>0</v>
      </c>
      <c r="U1253" s="12">
        <f>_xlfn.XLOOKUP(B1253,[1]Sheet1!$B:$B,[1]Sheet1!$X:$X,0)</f>
        <v>500000</v>
      </c>
      <c r="V1253" s="12">
        <f>_xlfn.XLOOKUP(B1253,[1]Sheet1!$B:$B,[1]Sheet1!$Y:$Y,0)</f>
        <v>0</v>
      </c>
      <c r="W1253" s="12">
        <f t="shared" si="41"/>
        <v>1000000</v>
      </c>
      <c r="X1253" s="8" t="s">
        <v>1920</v>
      </c>
      <c r="Y1253" s="8" t="s">
        <v>65</v>
      </c>
      <c r="Z1253" s="8" t="s">
        <v>267</v>
      </c>
      <c r="AA1253" s="8" t="s">
        <v>237</v>
      </c>
      <c r="AB1253" s="8" t="s">
        <v>36</v>
      </c>
      <c r="AC1253" s="8" t="s">
        <v>37</v>
      </c>
      <c r="AD1253" s="8" t="s">
        <v>102</v>
      </c>
      <c r="AE1253" s="8" t="s">
        <v>39</v>
      </c>
      <c r="AF1253" s="8" t="s">
        <v>40</v>
      </c>
      <c r="AG1253" s="9">
        <v>1000000</v>
      </c>
      <c r="AH1253" s="11">
        <f>_xlfn.XLOOKUP(B1253,[1]Sheet1!$B:$B,[1]Sheet1!$AB:$AB,0)</f>
        <v>1000000</v>
      </c>
    </row>
    <row r="1254" spans="2:34" ht="16.8" thickTop="1" thickBot="1" x14ac:dyDescent="0.35">
      <c r="B1254" s="3" t="str">
        <f t="shared" si="40"/>
        <v>45154004511001523Trade Promotion-L1424251201931</v>
      </c>
      <c r="C1254" s="6" t="s">
        <v>213</v>
      </c>
      <c r="D1254" s="6" t="s">
        <v>1921</v>
      </c>
      <c r="E1254" s="6" t="s">
        <v>1922</v>
      </c>
      <c r="F1254" s="6" t="s">
        <v>1923</v>
      </c>
      <c r="G1254" s="4" t="s">
        <v>2852</v>
      </c>
      <c r="H1254" s="4" t="s">
        <v>2925</v>
      </c>
      <c r="I1254" s="6" t="s">
        <v>569</v>
      </c>
      <c r="J1254" s="6" t="s">
        <v>31</v>
      </c>
      <c r="K1254" s="12">
        <f>_xlfn.XLOOKUP(B1254,[1]Sheet1!$B:$B,[1]Sheet1!$N:$N,0)</f>
        <v>0</v>
      </c>
      <c r="L1254" s="12">
        <f>_xlfn.XLOOKUP(B1254,[1]Sheet1!$B:$B,[1]Sheet1!$O:$O,0)</f>
        <v>0</v>
      </c>
      <c r="M1254" s="12">
        <f>_xlfn.XLOOKUP(B1254,[1]Sheet1!$B:$B,[1]Sheet1!$P:$P,0)</f>
        <v>0</v>
      </c>
      <c r="N1254" s="12">
        <f>_xlfn.XLOOKUP(B1254,[1]Sheet1!$B:$B,[1]Sheet1!$Q:$Q,0)</f>
        <v>206000</v>
      </c>
      <c r="O1254" s="12">
        <f>_xlfn.XLOOKUP(B1254,[1]Sheet1!$B:$B,[1]Sheet1!$R:$R,0)</f>
        <v>24000</v>
      </c>
      <c r="P1254" s="12">
        <f>_xlfn.XLOOKUP(B1254,[1]Sheet1!$B:$B,[1]Sheet1!$S:$S,0)</f>
        <v>9000</v>
      </c>
      <c r="Q1254" s="12">
        <f>_xlfn.XLOOKUP(B1254,[1]Sheet1!$B:$B,[1]Sheet1!$T:$T,0)</f>
        <v>27000</v>
      </c>
      <c r="R1254" s="12">
        <f>_xlfn.XLOOKUP(B1254,[1]Sheet1!$B:$B,[1]Sheet1!$U:$U,0)</f>
        <v>44000</v>
      </c>
      <c r="S1254" s="12">
        <f>_xlfn.XLOOKUP(B1254,[1]Sheet1!$B:$B,[1]Sheet1!$V:$V,0)</f>
        <v>9000</v>
      </c>
      <c r="T1254" s="12">
        <f>_xlfn.XLOOKUP(B1254,[1]Sheet1!$B:$B,[1]Sheet1!$W:$W,0)</f>
        <v>114000</v>
      </c>
      <c r="U1254" s="12">
        <f>_xlfn.XLOOKUP(B1254,[1]Sheet1!$B:$B,[1]Sheet1!$X:$X,0)</f>
        <v>49000</v>
      </c>
      <c r="V1254" s="12">
        <f>_xlfn.XLOOKUP(B1254,[1]Sheet1!$B:$B,[1]Sheet1!$Y:$Y,0)</f>
        <v>18000</v>
      </c>
      <c r="W1254" s="12">
        <f t="shared" si="41"/>
        <v>500000</v>
      </c>
      <c r="X1254" s="6" t="s">
        <v>1924</v>
      </c>
      <c r="Y1254" s="6" t="s">
        <v>211</v>
      </c>
      <c r="Z1254" s="6" t="s">
        <v>212</v>
      </c>
      <c r="AA1254" s="6" t="s">
        <v>569</v>
      </c>
      <c r="AB1254" s="6" t="s">
        <v>327</v>
      </c>
      <c r="AC1254" s="6" t="s">
        <v>37</v>
      </c>
      <c r="AD1254" s="6" t="s">
        <v>214</v>
      </c>
      <c r="AE1254" s="6" t="s">
        <v>39</v>
      </c>
      <c r="AF1254" s="6" t="s">
        <v>40</v>
      </c>
      <c r="AG1254" s="7">
        <v>500000</v>
      </c>
      <c r="AH1254" s="11">
        <f>_xlfn.XLOOKUP(B1254,[1]Sheet1!$B:$B,[1]Sheet1!$AB:$AB,0)</f>
        <v>500000</v>
      </c>
    </row>
    <row r="1255" spans="2:34" ht="16.8" thickTop="1" thickBot="1" x14ac:dyDescent="0.35">
      <c r="B1255" s="3" t="str">
        <f t="shared" si="40"/>
        <v>45154004511001524Trade Promotion-L1424251201931</v>
      </c>
      <c r="C1255" s="8" t="s">
        <v>213</v>
      </c>
      <c r="D1255" s="8" t="s">
        <v>1925</v>
      </c>
      <c r="E1255" s="8" t="s">
        <v>1926</v>
      </c>
      <c r="F1255" s="8" t="s">
        <v>1923</v>
      </c>
      <c r="G1255" s="4" t="s">
        <v>2852</v>
      </c>
      <c r="H1255" s="4" t="s">
        <v>2925</v>
      </c>
      <c r="I1255" s="8" t="s">
        <v>569</v>
      </c>
      <c r="J1255" s="8" t="s">
        <v>31</v>
      </c>
      <c r="K1255" s="12">
        <f>_xlfn.XLOOKUP(B1255,[1]Sheet1!$B:$B,[1]Sheet1!$N:$N,0)</f>
        <v>0</v>
      </c>
      <c r="L1255" s="12">
        <f>_xlfn.XLOOKUP(B1255,[1]Sheet1!$B:$B,[1]Sheet1!$O:$O,0)</f>
        <v>0</v>
      </c>
      <c r="M1255" s="12">
        <f>_xlfn.XLOOKUP(B1255,[1]Sheet1!$B:$B,[1]Sheet1!$P:$P,0)</f>
        <v>0</v>
      </c>
      <c r="N1255" s="12">
        <f>_xlfn.XLOOKUP(B1255,[1]Sheet1!$B:$B,[1]Sheet1!$Q:$Q,0)</f>
        <v>30000</v>
      </c>
      <c r="O1255" s="12">
        <f>_xlfn.XLOOKUP(B1255,[1]Sheet1!$B:$B,[1]Sheet1!$R:$R,0)</f>
        <v>43000</v>
      </c>
      <c r="P1255" s="12">
        <f>_xlfn.XLOOKUP(B1255,[1]Sheet1!$B:$B,[1]Sheet1!$S:$S,0)</f>
        <v>33000</v>
      </c>
      <c r="Q1255" s="12">
        <f>_xlfn.XLOOKUP(B1255,[1]Sheet1!$B:$B,[1]Sheet1!$T:$T,0)</f>
        <v>21000</v>
      </c>
      <c r="R1255" s="12">
        <f>_xlfn.XLOOKUP(B1255,[1]Sheet1!$B:$B,[1]Sheet1!$U:$U,0)</f>
        <v>0</v>
      </c>
      <c r="S1255" s="12">
        <f>_xlfn.XLOOKUP(B1255,[1]Sheet1!$B:$B,[1]Sheet1!$V:$V,0)</f>
        <v>12000</v>
      </c>
      <c r="T1255" s="12">
        <f>_xlfn.XLOOKUP(B1255,[1]Sheet1!$B:$B,[1]Sheet1!$W:$W,0)</f>
        <v>90000</v>
      </c>
      <c r="U1255" s="12">
        <f>_xlfn.XLOOKUP(B1255,[1]Sheet1!$B:$B,[1]Sheet1!$X:$X,0)</f>
        <v>0</v>
      </c>
      <c r="V1255" s="12">
        <f>_xlfn.XLOOKUP(B1255,[1]Sheet1!$B:$B,[1]Sheet1!$Y:$Y,0)</f>
        <v>171000</v>
      </c>
      <c r="W1255" s="12">
        <f t="shared" si="41"/>
        <v>400000</v>
      </c>
      <c r="X1255" s="8" t="s">
        <v>1924</v>
      </c>
      <c r="Y1255" s="8" t="s">
        <v>211</v>
      </c>
      <c r="Z1255" s="8" t="s">
        <v>212</v>
      </c>
      <c r="AA1255" s="8" t="s">
        <v>569</v>
      </c>
      <c r="AB1255" s="8" t="s">
        <v>327</v>
      </c>
      <c r="AC1255" s="8" t="s">
        <v>37</v>
      </c>
      <c r="AD1255" s="8" t="s">
        <v>214</v>
      </c>
      <c r="AE1255" s="8" t="s">
        <v>39</v>
      </c>
      <c r="AF1255" s="8" t="s">
        <v>40</v>
      </c>
      <c r="AG1255" s="9">
        <v>400000</v>
      </c>
      <c r="AH1255" s="11">
        <f>_xlfn.XLOOKUP(B1255,[1]Sheet1!$B:$B,[1]Sheet1!$AB:$AB,0)</f>
        <v>400000</v>
      </c>
    </row>
    <row r="1256" spans="2:34" ht="16.8" thickTop="1" thickBot="1" x14ac:dyDescent="0.35">
      <c r="B1256" s="3" t="str">
        <f t="shared" si="40"/>
        <v>45154004511001525Trade Promotion-L1424251201931</v>
      </c>
      <c r="C1256" s="6" t="s">
        <v>213</v>
      </c>
      <c r="D1256" s="6" t="s">
        <v>1927</v>
      </c>
      <c r="E1256" s="6" t="s">
        <v>1928</v>
      </c>
      <c r="F1256" s="6" t="s">
        <v>1923</v>
      </c>
      <c r="G1256" s="4" t="s">
        <v>2852</v>
      </c>
      <c r="H1256" s="4" t="s">
        <v>2925</v>
      </c>
      <c r="I1256" s="6" t="s">
        <v>569</v>
      </c>
      <c r="J1256" s="6" t="s">
        <v>31</v>
      </c>
      <c r="K1256" s="12">
        <f>_xlfn.XLOOKUP(B1256,[1]Sheet1!$B:$B,[1]Sheet1!$N:$N,0)</f>
        <v>0</v>
      </c>
      <c r="L1256" s="12">
        <f>_xlfn.XLOOKUP(B1256,[1]Sheet1!$B:$B,[1]Sheet1!$O:$O,0)</f>
        <v>0</v>
      </c>
      <c r="M1256" s="12">
        <f>_xlfn.XLOOKUP(B1256,[1]Sheet1!$B:$B,[1]Sheet1!$P:$P,0)</f>
        <v>0</v>
      </c>
      <c r="N1256" s="12">
        <f>_xlfn.XLOOKUP(B1256,[1]Sheet1!$B:$B,[1]Sheet1!$Q:$Q,0)</f>
        <v>57417</v>
      </c>
      <c r="O1256" s="12">
        <f>_xlfn.XLOOKUP(B1256,[1]Sheet1!$B:$B,[1]Sheet1!$R:$R,0)</f>
        <v>0</v>
      </c>
      <c r="P1256" s="12">
        <f>_xlfn.XLOOKUP(B1256,[1]Sheet1!$B:$B,[1]Sheet1!$S:$S,0)</f>
        <v>0</v>
      </c>
      <c r="Q1256" s="12">
        <f>_xlfn.XLOOKUP(B1256,[1]Sheet1!$B:$B,[1]Sheet1!$T:$T,0)</f>
        <v>62500</v>
      </c>
      <c r="R1256" s="12">
        <f>_xlfn.XLOOKUP(B1256,[1]Sheet1!$B:$B,[1]Sheet1!$U:$U,0)</f>
        <v>118916.66666666667</v>
      </c>
      <c r="S1256" s="12">
        <f>_xlfn.XLOOKUP(B1256,[1]Sheet1!$B:$B,[1]Sheet1!$V:$V,0)</f>
        <v>25000</v>
      </c>
      <c r="T1256" s="12">
        <f>_xlfn.XLOOKUP(B1256,[1]Sheet1!$B:$B,[1]Sheet1!$W:$W,0)</f>
        <v>50750</v>
      </c>
      <c r="U1256" s="12">
        <f>_xlfn.XLOOKUP(B1256,[1]Sheet1!$B:$B,[1]Sheet1!$X:$X,0)</f>
        <v>0</v>
      </c>
      <c r="V1256" s="12">
        <f>_xlfn.XLOOKUP(B1256,[1]Sheet1!$B:$B,[1]Sheet1!$Y:$Y,0)</f>
        <v>35416.666666666672</v>
      </c>
      <c r="W1256" s="12">
        <f t="shared" si="41"/>
        <v>350000.33333333337</v>
      </c>
      <c r="X1256" s="6" t="s">
        <v>1924</v>
      </c>
      <c r="Y1256" s="6" t="s">
        <v>211</v>
      </c>
      <c r="Z1256" s="6" t="s">
        <v>212</v>
      </c>
      <c r="AA1256" s="6" t="s">
        <v>569</v>
      </c>
      <c r="AB1256" s="6" t="s">
        <v>327</v>
      </c>
      <c r="AC1256" s="6" t="s">
        <v>37</v>
      </c>
      <c r="AD1256" s="6" t="s">
        <v>214</v>
      </c>
      <c r="AE1256" s="6" t="s">
        <v>39</v>
      </c>
      <c r="AF1256" s="6" t="s">
        <v>40</v>
      </c>
      <c r="AG1256" s="7">
        <v>350000</v>
      </c>
      <c r="AH1256" s="11">
        <f>_xlfn.XLOOKUP(B1256,[1]Sheet1!$B:$B,[1]Sheet1!$AB:$AB,0)</f>
        <v>350000.33333333337</v>
      </c>
    </row>
    <row r="1257" spans="2:34" ht="16.8" thickTop="1" thickBot="1" x14ac:dyDescent="0.35">
      <c r="B1257" s="3" t="str">
        <f t="shared" si="40"/>
        <v>45154004511001526Trade Promotion-L1424251201931</v>
      </c>
      <c r="C1257" s="8" t="s">
        <v>213</v>
      </c>
      <c r="D1257" s="8" t="s">
        <v>1929</v>
      </c>
      <c r="E1257" s="8" t="s">
        <v>1930</v>
      </c>
      <c r="F1257" s="8" t="s">
        <v>1923</v>
      </c>
      <c r="G1257" s="4" t="s">
        <v>2852</v>
      </c>
      <c r="H1257" s="4" t="s">
        <v>2925</v>
      </c>
      <c r="I1257" s="8" t="s">
        <v>569</v>
      </c>
      <c r="J1257" s="8" t="s">
        <v>31</v>
      </c>
      <c r="K1257" s="12">
        <f>_xlfn.XLOOKUP(B1257,[1]Sheet1!$B:$B,[1]Sheet1!$N:$N,0)</f>
        <v>0</v>
      </c>
      <c r="L1257" s="12">
        <f>_xlfn.XLOOKUP(B1257,[1]Sheet1!$B:$B,[1]Sheet1!$O:$O,0)</f>
        <v>0</v>
      </c>
      <c r="M1257" s="12">
        <f>_xlfn.XLOOKUP(B1257,[1]Sheet1!$B:$B,[1]Sheet1!$P:$P,0)</f>
        <v>0</v>
      </c>
      <c r="N1257" s="12">
        <f>_xlfn.XLOOKUP(B1257,[1]Sheet1!$B:$B,[1]Sheet1!$Q:$Q,0)</f>
        <v>147000</v>
      </c>
      <c r="O1257" s="12">
        <f>_xlfn.XLOOKUP(B1257,[1]Sheet1!$B:$B,[1]Sheet1!$R:$R,0)</f>
        <v>55500</v>
      </c>
      <c r="P1257" s="12">
        <f>_xlfn.XLOOKUP(B1257,[1]Sheet1!$B:$B,[1]Sheet1!$S:$S,0)</f>
        <v>9500</v>
      </c>
      <c r="Q1257" s="12">
        <f>_xlfn.XLOOKUP(B1257,[1]Sheet1!$B:$B,[1]Sheet1!$T:$T,0)</f>
        <v>0</v>
      </c>
      <c r="R1257" s="12">
        <f>_xlfn.XLOOKUP(B1257,[1]Sheet1!$B:$B,[1]Sheet1!$U:$U,0)</f>
        <v>500</v>
      </c>
      <c r="S1257" s="12">
        <f>_xlfn.XLOOKUP(B1257,[1]Sheet1!$B:$B,[1]Sheet1!$V:$V,0)</f>
        <v>0</v>
      </c>
      <c r="T1257" s="12">
        <f>_xlfn.XLOOKUP(B1257,[1]Sheet1!$B:$B,[1]Sheet1!$W:$W,0)</f>
        <v>0</v>
      </c>
      <c r="U1257" s="12">
        <f>_xlfn.XLOOKUP(B1257,[1]Sheet1!$B:$B,[1]Sheet1!$X:$X,0)</f>
        <v>27500</v>
      </c>
      <c r="V1257" s="12">
        <f>_xlfn.XLOOKUP(B1257,[1]Sheet1!$B:$B,[1]Sheet1!$Y:$Y,0)</f>
        <v>95000</v>
      </c>
      <c r="W1257" s="12">
        <f t="shared" si="41"/>
        <v>335000</v>
      </c>
      <c r="X1257" s="8" t="s">
        <v>1924</v>
      </c>
      <c r="Y1257" s="8" t="s">
        <v>211</v>
      </c>
      <c r="Z1257" s="8" t="s">
        <v>212</v>
      </c>
      <c r="AA1257" s="8" t="s">
        <v>569</v>
      </c>
      <c r="AB1257" s="8" t="s">
        <v>327</v>
      </c>
      <c r="AC1257" s="8" t="s">
        <v>37</v>
      </c>
      <c r="AD1257" s="8" t="s">
        <v>214</v>
      </c>
      <c r="AE1257" s="8" t="s">
        <v>39</v>
      </c>
      <c r="AF1257" s="8" t="s">
        <v>40</v>
      </c>
      <c r="AG1257" s="9">
        <v>335000</v>
      </c>
      <c r="AH1257" s="11">
        <f>_xlfn.XLOOKUP(B1257,[1]Sheet1!$B:$B,[1]Sheet1!$AB:$AB,0)</f>
        <v>335000</v>
      </c>
    </row>
    <row r="1258" spans="2:34" ht="16.8" thickTop="1" thickBot="1" x14ac:dyDescent="0.35">
      <c r="B1258" s="3" t="str">
        <f t="shared" si="40"/>
        <v>45154004511001527Trade Promotion-L1424251201931</v>
      </c>
      <c r="C1258" s="6" t="s">
        <v>213</v>
      </c>
      <c r="D1258" s="6" t="s">
        <v>1931</v>
      </c>
      <c r="E1258" s="6" t="s">
        <v>1932</v>
      </c>
      <c r="F1258" s="6" t="s">
        <v>1923</v>
      </c>
      <c r="G1258" s="4" t="s">
        <v>2852</v>
      </c>
      <c r="H1258" s="4" t="s">
        <v>2925</v>
      </c>
      <c r="I1258" s="6" t="s">
        <v>569</v>
      </c>
      <c r="J1258" s="6" t="s">
        <v>31</v>
      </c>
      <c r="K1258" s="12">
        <f>_xlfn.XLOOKUP(B1258,[1]Sheet1!$B:$B,[1]Sheet1!$N:$N,0)</f>
        <v>0</v>
      </c>
      <c r="L1258" s="12">
        <f>_xlfn.XLOOKUP(B1258,[1]Sheet1!$B:$B,[1]Sheet1!$O:$O,0)</f>
        <v>0</v>
      </c>
      <c r="M1258" s="12">
        <f>_xlfn.XLOOKUP(B1258,[1]Sheet1!$B:$B,[1]Sheet1!$P:$P,0)</f>
        <v>0</v>
      </c>
      <c r="N1258" s="12">
        <f>_xlfn.XLOOKUP(B1258,[1]Sheet1!$B:$B,[1]Sheet1!$Q:$Q,0)</f>
        <v>78520</v>
      </c>
      <c r="O1258" s="12">
        <f>_xlfn.XLOOKUP(B1258,[1]Sheet1!$B:$B,[1]Sheet1!$R:$R,0)</f>
        <v>2560.0000000000005</v>
      </c>
      <c r="P1258" s="12">
        <f>_xlfn.XLOOKUP(B1258,[1]Sheet1!$B:$B,[1]Sheet1!$S:$S,0)</f>
        <v>10846.666666666668</v>
      </c>
      <c r="Q1258" s="12">
        <f>_xlfn.XLOOKUP(B1258,[1]Sheet1!$B:$B,[1]Sheet1!$T:$T,0)</f>
        <v>10626.666666666668</v>
      </c>
      <c r="R1258" s="12">
        <f>_xlfn.XLOOKUP(B1258,[1]Sheet1!$B:$B,[1]Sheet1!$U:$U,0)</f>
        <v>3366.666666666667</v>
      </c>
      <c r="S1258" s="12">
        <f>_xlfn.XLOOKUP(B1258,[1]Sheet1!$B:$B,[1]Sheet1!$V:$V,0)</f>
        <v>2560.0000000000005</v>
      </c>
      <c r="T1258" s="12">
        <f>_xlfn.XLOOKUP(B1258,[1]Sheet1!$B:$B,[1]Sheet1!$W:$W,0)</f>
        <v>6446.6666666666679</v>
      </c>
      <c r="U1258" s="12">
        <f>_xlfn.XLOOKUP(B1258,[1]Sheet1!$B:$B,[1]Sheet1!$X:$X,0)</f>
        <v>163600</v>
      </c>
      <c r="V1258" s="12">
        <f>_xlfn.XLOOKUP(B1258,[1]Sheet1!$B:$B,[1]Sheet1!$Y:$Y,0)</f>
        <v>21473.333333333336</v>
      </c>
      <c r="W1258" s="12">
        <f t="shared" si="41"/>
        <v>300000</v>
      </c>
      <c r="X1258" s="6" t="s">
        <v>1924</v>
      </c>
      <c r="Y1258" s="6" t="s">
        <v>211</v>
      </c>
      <c r="Z1258" s="6" t="s">
        <v>212</v>
      </c>
      <c r="AA1258" s="6" t="s">
        <v>569</v>
      </c>
      <c r="AB1258" s="6" t="s">
        <v>327</v>
      </c>
      <c r="AC1258" s="6" t="s">
        <v>37</v>
      </c>
      <c r="AD1258" s="6" t="s">
        <v>214</v>
      </c>
      <c r="AE1258" s="6" t="s">
        <v>39</v>
      </c>
      <c r="AF1258" s="6" t="s">
        <v>40</v>
      </c>
      <c r="AG1258" s="7">
        <v>300000</v>
      </c>
      <c r="AH1258" s="11">
        <f>_xlfn.XLOOKUP(B1258,[1]Sheet1!$B:$B,[1]Sheet1!$AB:$AB,0)</f>
        <v>300000</v>
      </c>
    </row>
    <row r="1259" spans="2:34" ht="16.8" thickTop="1" thickBot="1" x14ac:dyDescent="0.35">
      <c r="B1259" s="3" t="str">
        <f t="shared" si="40"/>
        <v>45154004511001528Trade Promotion-L1424251201931</v>
      </c>
      <c r="C1259" s="8" t="s">
        <v>213</v>
      </c>
      <c r="D1259" s="8" t="s">
        <v>1933</v>
      </c>
      <c r="E1259" s="8" t="s">
        <v>1934</v>
      </c>
      <c r="F1259" s="8" t="s">
        <v>1923</v>
      </c>
      <c r="G1259" s="4" t="s">
        <v>2852</v>
      </c>
      <c r="H1259" s="4" t="s">
        <v>2925</v>
      </c>
      <c r="I1259" s="8" t="s">
        <v>569</v>
      </c>
      <c r="J1259" s="8" t="s">
        <v>31</v>
      </c>
      <c r="K1259" s="12">
        <f>_xlfn.XLOOKUP(B1259,[1]Sheet1!$B:$B,[1]Sheet1!$N:$N,0)</f>
        <v>0</v>
      </c>
      <c r="L1259" s="12">
        <f>_xlfn.XLOOKUP(B1259,[1]Sheet1!$B:$B,[1]Sheet1!$O:$O,0)</f>
        <v>0</v>
      </c>
      <c r="M1259" s="12">
        <f>_xlfn.XLOOKUP(B1259,[1]Sheet1!$B:$B,[1]Sheet1!$P:$P,0)</f>
        <v>0</v>
      </c>
      <c r="N1259" s="12">
        <f>_xlfn.XLOOKUP(B1259,[1]Sheet1!$B:$B,[1]Sheet1!$Q:$Q,0)</f>
        <v>38922</v>
      </c>
      <c r="O1259" s="12">
        <f>_xlfn.XLOOKUP(B1259,[1]Sheet1!$B:$B,[1]Sheet1!$R:$R,0)</f>
        <v>44910</v>
      </c>
      <c r="P1259" s="12">
        <f>_xlfn.XLOOKUP(B1259,[1]Sheet1!$B:$B,[1]Sheet1!$S:$S,0)</f>
        <v>12475</v>
      </c>
      <c r="Q1259" s="12">
        <f>_xlfn.XLOOKUP(B1259,[1]Sheet1!$B:$B,[1]Sheet1!$T:$T,0)</f>
        <v>42415</v>
      </c>
      <c r="R1259" s="12">
        <f>_xlfn.XLOOKUP(B1259,[1]Sheet1!$B:$B,[1]Sheet1!$U:$U,0)</f>
        <v>5489</v>
      </c>
      <c r="S1259" s="12">
        <f>_xlfn.XLOOKUP(B1259,[1]Sheet1!$B:$B,[1]Sheet1!$V:$V,0)</f>
        <v>16716.5</v>
      </c>
      <c r="T1259" s="12">
        <f>_xlfn.XLOOKUP(B1259,[1]Sheet1!$B:$B,[1]Sheet1!$W:$W,0)</f>
        <v>85828</v>
      </c>
      <c r="U1259" s="12">
        <f>_xlfn.XLOOKUP(B1259,[1]Sheet1!$B:$B,[1]Sheet1!$X:$X,0)</f>
        <v>3493</v>
      </c>
      <c r="V1259" s="12">
        <f>_xlfn.XLOOKUP(B1259,[1]Sheet1!$B:$B,[1]Sheet1!$Y:$Y,0)</f>
        <v>22455</v>
      </c>
      <c r="W1259" s="12">
        <f t="shared" si="41"/>
        <v>272703.5</v>
      </c>
      <c r="X1259" s="8" t="s">
        <v>1924</v>
      </c>
      <c r="Y1259" s="8" t="s">
        <v>211</v>
      </c>
      <c r="Z1259" s="8" t="s">
        <v>212</v>
      </c>
      <c r="AA1259" s="8" t="s">
        <v>569</v>
      </c>
      <c r="AB1259" s="8" t="s">
        <v>327</v>
      </c>
      <c r="AC1259" s="8" t="s">
        <v>37</v>
      </c>
      <c r="AD1259" s="8" t="s">
        <v>214</v>
      </c>
      <c r="AE1259" s="8" t="s">
        <v>39</v>
      </c>
      <c r="AF1259" s="8" t="s">
        <v>40</v>
      </c>
      <c r="AG1259" s="9">
        <v>272704</v>
      </c>
      <c r="AH1259" s="11">
        <f>_xlfn.XLOOKUP(B1259,[1]Sheet1!$B:$B,[1]Sheet1!$AB:$AB,0)</f>
        <v>272703.5</v>
      </c>
    </row>
    <row r="1260" spans="2:34" ht="16.8" thickTop="1" thickBot="1" x14ac:dyDescent="0.35">
      <c r="B1260" s="3" t="str">
        <f t="shared" si="40"/>
        <v>45154004511001529Trade Promotion-L1424251201931</v>
      </c>
      <c r="C1260" s="6" t="s">
        <v>213</v>
      </c>
      <c r="D1260" s="6" t="s">
        <v>1935</v>
      </c>
      <c r="E1260" s="6" t="s">
        <v>1936</v>
      </c>
      <c r="F1260" s="6" t="s">
        <v>1923</v>
      </c>
      <c r="G1260" s="4" t="s">
        <v>2852</v>
      </c>
      <c r="H1260" s="4" t="s">
        <v>2925</v>
      </c>
      <c r="I1260" s="6" t="s">
        <v>569</v>
      </c>
      <c r="J1260" s="6" t="s">
        <v>31</v>
      </c>
      <c r="K1260" s="12">
        <f>_xlfn.XLOOKUP(B1260,[1]Sheet1!$B:$B,[1]Sheet1!$N:$N,0)</f>
        <v>0</v>
      </c>
      <c r="L1260" s="12">
        <f>_xlfn.XLOOKUP(B1260,[1]Sheet1!$B:$B,[1]Sheet1!$O:$O,0)</f>
        <v>0</v>
      </c>
      <c r="M1260" s="12">
        <f>_xlfn.XLOOKUP(B1260,[1]Sheet1!$B:$B,[1]Sheet1!$P:$P,0)</f>
        <v>0</v>
      </c>
      <c r="N1260" s="12">
        <f>_xlfn.XLOOKUP(B1260,[1]Sheet1!$B:$B,[1]Sheet1!$Q:$Q,0)</f>
        <v>0</v>
      </c>
      <c r="O1260" s="12">
        <f>_xlfn.XLOOKUP(B1260,[1]Sheet1!$B:$B,[1]Sheet1!$R:$R,0)</f>
        <v>0</v>
      </c>
      <c r="P1260" s="12">
        <f>_xlfn.XLOOKUP(B1260,[1]Sheet1!$B:$B,[1]Sheet1!$S:$S,0)</f>
        <v>0</v>
      </c>
      <c r="Q1260" s="12">
        <f>_xlfn.XLOOKUP(B1260,[1]Sheet1!$B:$B,[1]Sheet1!$T:$T,0)</f>
        <v>0</v>
      </c>
      <c r="R1260" s="12">
        <f>_xlfn.XLOOKUP(B1260,[1]Sheet1!$B:$B,[1]Sheet1!$U:$U,0)</f>
        <v>44657.666666666664</v>
      </c>
      <c r="S1260" s="12">
        <f>_xlfn.XLOOKUP(B1260,[1]Sheet1!$B:$B,[1]Sheet1!$V:$V,0)</f>
        <v>44657.666666666664</v>
      </c>
      <c r="T1260" s="12">
        <f>_xlfn.XLOOKUP(B1260,[1]Sheet1!$B:$B,[1]Sheet1!$W:$W,0)</f>
        <v>44657.666666666664</v>
      </c>
      <c r="U1260" s="12">
        <f>_xlfn.XLOOKUP(B1260,[1]Sheet1!$B:$B,[1]Sheet1!$X:$X,0)</f>
        <v>44657.666666666664</v>
      </c>
      <c r="V1260" s="12">
        <f>_xlfn.XLOOKUP(B1260,[1]Sheet1!$B:$B,[1]Sheet1!$Y:$Y,0)</f>
        <v>89315.333333333328</v>
      </c>
      <c r="W1260" s="12">
        <f t="shared" si="41"/>
        <v>267946</v>
      </c>
      <c r="X1260" s="6" t="s">
        <v>1924</v>
      </c>
      <c r="Y1260" s="6" t="s">
        <v>211</v>
      </c>
      <c r="Z1260" s="6" t="s">
        <v>212</v>
      </c>
      <c r="AA1260" s="6" t="s">
        <v>569</v>
      </c>
      <c r="AB1260" s="6" t="s">
        <v>327</v>
      </c>
      <c r="AC1260" s="6" t="s">
        <v>37</v>
      </c>
      <c r="AD1260" s="6" t="s">
        <v>214</v>
      </c>
      <c r="AE1260" s="6" t="s">
        <v>39</v>
      </c>
      <c r="AF1260" s="6" t="s">
        <v>40</v>
      </c>
      <c r="AG1260" s="7">
        <v>267946</v>
      </c>
      <c r="AH1260" s="11">
        <f>_xlfn.XLOOKUP(B1260,[1]Sheet1!$B:$B,[1]Sheet1!$AB:$AB,0)</f>
        <v>267946</v>
      </c>
    </row>
    <row r="1261" spans="2:34" ht="16.8" thickTop="1" thickBot="1" x14ac:dyDescent="0.35">
      <c r="B1261" s="3" t="str">
        <f t="shared" si="40"/>
        <v>45154004511001530Trade Promotion-L424251201931</v>
      </c>
      <c r="C1261" s="8" t="s">
        <v>213</v>
      </c>
      <c r="D1261" s="8" t="s">
        <v>1937</v>
      </c>
      <c r="E1261" s="8" t="s">
        <v>1938</v>
      </c>
      <c r="F1261" s="8" t="s">
        <v>1939</v>
      </c>
      <c r="G1261" s="4" t="s">
        <v>2852</v>
      </c>
      <c r="H1261" s="4" t="s">
        <v>2925</v>
      </c>
      <c r="I1261" s="8" t="s">
        <v>569</v>
      </c>
      <c r="J1261" s="8" t="s">
        <v>31</v>
      </c>
      <c r="K1261" s="12">
        <f>_xlfn.XLOOKUP(B1261,[1]Sheet1!$B:$B,[1]Sheet1!$N:$N,0)</f>
        <v>0</v>
      </c>
      <c r="L1261" s="12">
        <f>_xlfn.XLOOKUP(B1261,[1]Sheet1!$B:$B,[1]Sheet1!$O:$O,0)</f>
        <v>0</v>
      </c>
      <c r="M1261" s="12">
        <f>_xlfn.XLOOKUP(B1261,[1]Sheet1!$B:$B,[1]Sheet1!$P:$P,0)</f>
        <v>0</v>
      </c>
      <c r="N1261" s="12">
        <f>_xlfn.XLOOKUP(B1261,[1]Sheet1!$B:$B,[1]Sheet1!$Q:$Q,0)</f>
        <v>5000</v>
      </c>
      <c r="O1261" s="12">
        <f>_xlfn.XLOOKUP(B1261,[1]Sheet1!$B:$B,[1]Sheet1!$R:$R,0)</f>
        <v>100000</v>
      </c>
      <c r="P1261" s="12">
        <f>_xlfn.XLOOKUP(B1261,[1]Sheet1!$B:$B,[1]Sheet1!$S:$S,0)</f>
        <v>2500</v>
      </c>
      <c r="Q1261" s="12">
        <f>_xlfn.XLOOKUP(B1261,[1]Sheet1!$B:$B,[1]Sheet1!$T:$T,0)</f>
        <v>75000</v>
      </c>
      <c r="R1261" s="12">
        <f>_xlfn.XLOOKUP(B1261,[1]Sheet1!$B:$B,[1]Sheet1!$U:$U,0)</f>
        <v>10000</v>
      </c>
      <c r="S1261" s="12">
        <f>_xlfn.XLOOKUP(B1261,[1]Sheet1!$B:$B,[1]Sheet1!$V:$V,0)</f>
        <v>10000</v>
      </c>
      <c r="T1261" s="12">
        <f>_xlfn.XLOOKUP(B1261,[1]Sheet1!$B:$B,[1]Sheet1!$W:$W,0)</f>
        <v>10000</v>
      </c>
      <c r="U1261" s="12">
        <f>_xlfn.XLOOKUP(B1261,[1]Sheet1!$B:$B,[1]Sheet1!$X:$X,0)</f>
        <v>25000</v>
      </c>
      <c r="V1261" s="12">
        <f>_xlfn.XLOOKUP(B1261,[1]Sheet1!$B:$B,[1]Sheet1!$Y:$Y,0)</f>
        <v>5000</v>
      </c>
      <c r="W1261" s="12">
        <f t="shared" si="41"/>
        <v>242500</v>
      </c>
      <c r="X1261" s="8" t="s">
        <v>1924</v>
      </c>
      <c r="Y1261" s="8" t="s">
        <v>211</v>
      </c>
      <c r="Z1261" s="8" t="s">
        <v>212</v>
      </c>
      <c r="AA1261" s="8" t="s">
        <v>569</v>
      </c>
      <c r="AB1261" s="8" t="s">
        <v>327</v>
      </c>
      <c r="AC1261" s="8" t="s">
        <v>37</v>
      </c>
      <c r="AD1261" s="8" t="s">
        <v>214</v>
      </c>
      <c r="AE1261" s="8" t="s">
        <v>39</v>
      </c>
      <c r="AF1261" s="8" t="s">
        <v>40</v>
      </c>
      <c r="AG1261" s="9">
        <v>242500</v>
      </c>
      <c r="AH1261" s="11">
        <f>_xlfn.XLOOKUP(B1261,[1]Sheet1!$B:$B,[1]Sheet1!$AB:$AB,0)</f>
        <v>242500</v>
      </c>
    </row>
    <row r="1262" spans="2:34" ht="16.8" thickTop="1" thickBot="1" x14ac:dyDescent="0.35">
      <c r="B1262" s="3" t="str">
        <f t="shared" si="40"/>
        <v>45154004511001531Trade Promotion-L424251201931</v>
      </c>
      <c r="C1262" s="6" t="s">
        <v>213</v>
      </c>
      <c r="D1262" s="6" t="s">
        <v>1940</v>
      </c>
      <c r="E1262" s="6" t="s">
        <v>1941</v>
      </c>
      <c r="F1262" s="6" t="s">
        <v>1939</v>
      </c>
      <c r="G1262" s="4" t="s">
        <v>2852</v>
      </c>
      <c r="H1262" s="4" t="s">
        <v>2925</v>
      </c>
      <c r="I1262" s="6" t="s">
        <v>569</v>
      </c>
      <c r="J1262" s="6" t="s">
        <v>31</v>
      </c>
      <c r="K1262" s="12">
        <f>_xlfn.XLOOKUP(B1262,[1]Sheet1!$B:$B,[1]Sheet1!$N:$N,0)</f>
        <v>0</v>
      </c>
      <c r="L1262" s="12">
        <f>_xlfn.XLOOKUP(B1262,[1]Sheet1!$B:$B,[1]Sheet1!$O:$O,0)</f>
        <v>0</v>
      </c>
      <c r="M1262" s="12">
        <f>_xlfn.XLOOKUP(B1262,[1]Sheet1!$B:$B,[1]Sheet1!$P:$P,0)</f>
        <v>0</v>
      </c>
      <c r="N1262" s="12">
        <f>_xlfn.XLOOKUP(B1262,[1]Sheet1!$B:$B,[1]Sheet1!$Q:$Q,0)</f>
        <v>80750</v>
      </c>
      <c r="O1262" s="12">
        <f>_xlfn.XLOOKUP(B1262,[1]Sheet1!$B:$B,[1]Sheet1!$R:$R,0)</f>
        <v>4750</v>
      </c>
      <c r="P1262" s="12">
        <f>_xlfn.XLOOKUP(B1262,[1]Sheet1!$B:$B,[1]Sheet1!$S:$S,0)</f>
        <v>30250</v>
      </c>
      <c r="Q1262" s="12">
        <f>_xlfn.XLOOKUP(B1262,[1]Sheet1!$B:$B,[1]Sheet1!$T:$T,0)</f>
        <v>52750</v>
      </c>
      <c r="R1262" s="12">
        <f>_xlfn.XLOOKUP(B1262,[1]Sheet1!$B:$B,[1]Sheet1!$U:$U,0)</f>
        <v>45250</v>
      </c>
      <c r="S1262" s="12">
        <f>_xlfn.XLOOKUP(B1262,[1]Sheet1!$B:$B,[1]Sheet1!$V:$V,0)</f>
        <v>5250</v>
      </c>
      <c r="T1262" s="12">
        <f>_xlfn.XLOOKUP(B1262,[1]Sheet1!$B:$B,[1]Sheet1!$W:$W,0)</f>
        <v>250</v>
      </c>
      <c r="U1262" s="12">
        <f>_xlfn.XLOOKUP(B1262,[1]Sheet1!$B:$B,[1]Sheet1!$X:$X,0)</f>
        <v>5250</v>
      </c>
      <c r="V1262" s="12">
        <f>_xlfn.XLOOKUP(B1262,[1]Sheet1!$B:$B,[1]Sheet1!$Y:$Y,0)</f>
        <v>5500</v>
      </c>
      <c r="W1262" s="12">
        <f t="shared" si="41"/>
        <v>230000</v>
      </c>
      <c r="X1262" s="6" t="s">
        <v>1924</v>
      </c>
      <c r="Y1262" s="6" t="s">
        <v>211</v>
      </c>
      <c r="Z1262" s="6" t="s">
        <v>212</v>
      </c>
      <c r="AA1262" s="6" t="s">
        <v>569</v>
      </c>
      <c r="AB1262" s="6" t="s">
        <v>327</v>
      </c>
      <c r="AC1262" s="6" t="s">
        <v>37</v>
      </c>
      <c r="AD1262" s="6" t="s">
        <v>214</v>
      </c>
      <c r="AE1262" s="6" t="s">
        <v>39</v>
      </c>
      <c r="AF1262" s="6" t="s">
        <v>40</v>
      </c>
      <c r="AG1262" s="7">
        <v>230000</v>
      </c>
      <c r="AH1262" s="11">
        <f>_xlfn.XLOOKUP(B1262,[1]Sheet1!$B:$B,[1]Sheet1!$AB:$AB,0)</f>
        <v>230000</v>
      </c>
    </row>
    <row r="1263" spans="2:34" ht="16.8" thickTop="1" thickBot="1" x14ac:dyDescent="0.35">
      <c r="B1263" s="3" t="str">
        <f t="shared" si="40"/>
        <v>45154004511001532Trade Promotion-L424251201931</v>
      </c>
      <c r="C1263" s="8" t="s">
        <v>213</v>
      </c>
      <c r="D1263" s="8" t="s">
        <v>1942</v>
      </c>
      <c r="E1263" s="8" t="s">
        <v>1943</v>
      </c>
      <c r="F1263" s="8" t="s">
        <v>1939</v>
      </c>
      <c r="G1263" s="4" t="s">
        <v>2852</v>
      </c>
      <c r="H1263" s="4" t="s">
        <v>2925</v>
      </c>
      <c r="I1263" s="8" t="s">
        <v>569</v>
      </c>
      <c r="J1263" s="8" t="s">
        <v>31</v>
      </c>
      <c r="K1263" s="12">
        <f>_xlfn.XLOOKUP(B1263,[1]Sheet1!$B:$B,[1]Sheet1!$N:$N,0)</f>
        <v>0</v>
      </c>
      <c r="L1263" s="12">
        <f>_xlfn.XLOOKUP(B1263,[1]Sheet1!$B:$B,[1]Sheet1!$O:$O,0)</f>
        <v>0</v>
      </c>
      <c r="M1263" s="12">
        <f>_xlfn.XLOOKUP(B1263,[1]Sheet1!$B:$B,[1]Sheet1!$P:$P,0)</f>
        <v>0</v>
      </c>
      <c r="N1263" s="12">
        <f>_xlfn.XLOOKUP(B1263,[1]Sheet1!$B:$B,[1]Sheet1!$Q:$Q,0)</f>
        <v>0</v>
      </c>
      <c r="O1263" s="12">
        <f>_xlfn.XLOOKUP(B1263,[1]Sheet1!$B:$B,[1]Sheet1!$R:$R,0)</f>
        <v>0</v>
      </c>
      <c r="P1263" s="12">
        <f>_xlfn.XLOOKUP(B1263,[1]Sheet1!$B:$B,[1]Sheet1!$S:$S,0)</f>
        <v>0</v>
      </c>
      <c r="Q1263" s="12">
        <f>_xlfn.XLOOKUP(B1263,[1]Sheet1!$B:$B,[1]Sheet1!$T:$T,0)</f>
        <v>0</v>
      </c>
      <c r="R1263" s="12">
        <f>_xlfn.XLOOKUP(B1263,[1]Sheet1!$B:$B,[1]Sheet1!$U:$U,0)</f>
        <v>33333.333333333336</v>
      </c>
      <c r="S1263" s="12">
        <f>_xlfn.XLOOKUP(B1263,[1]Sheet1!$B:$B,[1]Sheet1!$V:$V,0)</f>
        <v>33333.333333333336</v>
      </c>
      <c r="T1263" s="12">
        <f>_xlfn.XLOOKUP(B1263,[1]Sheet1!$B:$B,[1]Sheet1!$W:$W,0)</f>
        <v>33333.333333333336</v>
      </c>
      <c r="U1263" s="12">
        <f>_xlfn.XLOOKUP(B1263,[1]Sheet1!$B:$B,[1]Sheet1!$X:$X,0)</f>
        <v>33333.333333333336</v>
      </c>
      <c r="V1263" s="12">
        <f>_xlfn.XLOOKUP(B1263,[1]Sheet1!$B:$B,[1]Sheet1!$Y:$Y,0)</f>
        <v>66666.666666666672</v>
      </c>
      <c r="W1263" s="12">
        <f t="shared" si="41"/>
        <v>200000</v>
      </c>
      <c r="X1263" s="8" t="s">
        <v>1924</v>
      </c>
      <c r="Y1263" s="8" t="s">
        <v>211</v>
      </c>
      <c r="Z1263" s="8" t="s">
        <v>212</v>
      </c>
      <c r="AA1263" s="8" t="s">
        <v>569</v>
      </c>
      <c r="AB1263" s="8" t="s">
        <v>327</v>
      </c>
      <c r="AC1263" s="8" t="s">
        <v>37</v>
      </c>
      <c r="AD1263" s="8" t="s">
        <v>214</v>
      </c>
      <c r="AE1263" s="8" t="s">
        <v>39</v>
      </c>
      <c r="AF1263" s="8" t="s">
        <v>40</v>
      </c>
      <c r="AG1263" s="9">
        <v>200000</v>
      </c>
      <c r="AH1263" s="11">
        <f>_xlfn.XLOOKUP(B1263,[1]Sheet1!$B:$B,[1]Sheet1!$AB:$AB,0)</f>
        <v>200000</v>
      </c>
    </row>
    <row r="1264" spans="2:34" ht="16.8" thickTop="1" thickBot="1" x14ac:dyDescent="0.35">
      <c r="B1264" s="3" t="str">
        <f t="shared" si="40"/>
        <v>45154004511001533Trade Promotion-L424251201931</v>
      </c>
      <c r="C1264" s="6" t="s">
        <v>213</v>
      </c>
      <c r="D1264" s="6" t="s">
        <v>1944</v>
      </c>
      <c r="E1264" s="6" t="s">
        <v>1945</v>
      </c>
      <c r="F1264" s="6" t="s">
        <v>1939</v>
      </c>
      <c r="G1264" s="4" t="s">
        <v>2852</v>
      </c>
      <c r="H1264" s="4" t="s">
        <v>2925</v>
      </c>
      <c r="I1264" s="6" t="s">
        <v>569</v>
      </c>
      <c r="J1264" s="6" t="s">
        <v>31</v>
      </c>
      <c r="K1264" s="12">
        <f>_xlfn.XLOOKUP(B1264,[1]Sheet1!$B:$B,[1]Sheet1!$N:$N,0)</f>
        <v>0</v>
      </c>
      <c r="L1264" s="12">
        <f>_xlfn.XLOOKUP(B1264,[1]Sheet1!$B:$B,[1]Sheet1!$O:$O,0)</f>
        <v>0</v>
      </c>
      <c r="M1264" s="12">
        <f>_xlfn.XLOOKUP(B1264,[1]Sheet1!$B:$B,[1]Sheet1!$P:$P,0)</f>
        <v>0</v>
      </c>
      <c r="N1264" s="12">
        <f>_xlfn.XLOOKUP(B1264,[1]Sheet1!$B:$B,[1]Sheet1!$Q:$Q,0)</f>
        <v>10000</v>
      </c>
      <c r="O1264" s="12">
        <f>_xlfn.XLOOKUP(B1264,[1]Sheet1!$B:$B,[1]Sheet1!$R:$R,0)</f>
        <v>0</v>
      </c>
      <c r="P1264" s="12">
        <f>_xlfn.XLOOKUP(B1264,[1]Sheet1!$B:$B,[1]Sheet1!$S:$S,0)</f>
        <v>40000</v>
      </c>
      <c r="Q1264" s="12">
        <f>_xlfn.XLOOKUP(B1264,[1]Sheet1!$B:$B,[1]Sheet1!$T:$T,0)</f>
        <v>0</v>
      </c>
      <c r="R1264" s="12">
        <f>_xlfn.XLOOKUP(B1264,[1]Sheet1!$B:$B,[1]Sheet1!$U:$U,0)</f>
        <v>50000</v>
      </c>
      <c r="S1264" s="12">
        <f>_xlfn.XLOOKUP(B1264,[1]Sheet1!$B:$B,[1]Sheet1!$V:$V,0)</f>
        <v>0</v>
      </c>
      <c r="T1264" s="12">
        <f>_xlfn.XLOOKUP(B1264,[1]Sheet1!$B:$B,[1]Sheet1!$W:$W,0)</f>
        <v>40000</v>
      </c>
      <c r="U1264" s="12">
        <f>_xlfn.XLOOKUP(B1264,[1]Sheet1!$B:$B,[1]Sheet1!$X:$X,0)</f>
        <v>30000</v>
      </c>
      <c r="V1264" s="12">
        <f>_xlfn.XLOOKUP(B1264,[1]Sheet1!$B:$B,[1]Sheet1!$Y:$Y,0)</f>
        <v>0</v>
      </c>
      <c r="W1264" s="12">
        <f t="shared" si="41"/>
        <v>170000</v>
      </c>
      <c r="X1264" s="6" t="s">
        <v>1924</v>
      </c>
      <c r="Y1264" s="6" t="s">
        <v>211</v>
      </c>
      <c r="Z1264" s="6" t="s">
        <v>212</v>
      </c>
      <c r="AA1264" s="6" t="s">
        <v>569</v>
      </c>
      <c r="AB1264" s="6" t="s">
        <v>327</v>
      </c>
      <c r="AC1264" s="6" t="s">
        <v>37</v>
      </c>
      <c r="AD1264" s="6" t="s">
        <v>214</v>
      </c>
      <c r="AE1264" s="6" t="s">
        <v>39</v>
      </c>
      <c r="AF1264" s="6" t="s">
        <v>40</v>
      </c>
      <c r="AG1264" s="7">
        <v>170000</v>
      </c>
      <c r="AH1264" s="11">
        <f>_xlfn.XLOOKUP(B1264,[1]Sheet1!$B:$B,[1]Sheet1!$AB:$AB,0)</f>
        <v>170000</v>
      </c>
    </row>
    <row r="1265" spans="2:34" ht="16.8" thickTop="1" thickBot="1" x14ac:dyDescent="0.35">
      <c r="B1265" s="3" t="str">
        <f t="shared" si="40"/>
        <v>45154004511001534Trade Promotion-L424251201931</v>
      </c>
      <c r="C1265" s="8" t="s">
        <v>213</v>
      </c>
      <c r="D1265" s="8" t="s">
        <v>1946</v>
      </c>
      <c r="E1265" s="8" t="s">
        <v>1947</v>
      </c>
      <c r="F1265" s="8" t="s">
        <v>1939</v>
      </c>
      <c r="G1265" s="4" t="s">
        <v>2852</v>
      </c>
      <c r="H1265" s="4" t="s">
        <v>2925</v>
      </c>
      <c r="I1265" s="8" t="s">
        <v>569</v>
      </c>
      <c r="J1265" s="8" t="s">
        <v>31</v>
      </c>
      <c r="K1265" s="12">
        <f>_xlfn.XLOOKUP(B1265,[1]Sheet1!$B:$B,[1]Sheet1!$N:$N,0)</f>
        <v>0</v>
      </c>
      <c r="L1265" s="12">
        <f>_xlfn.XLOOKUP(B1265,[1]Sheet1!$B:$B,[1]Sheet1!$O:$O,0)</f>
        <v>0</v>
      </c>
      <c r="M1265" s="12">
        <f>_xlfn.XLOOKUP(B1265,[1]Sheet1!$B:$B,[1]Sheet1!$P:$P,0)</f>
        <v>0</v>
      </c>
      <c r="N1265" s="12">
        <f>_xlfn.XLOOKUP(B1265,[1]Sheet1!$B:$B,[1]Sheet1!$Q:$Q,0)</f>
        <v>70000</v>
      </c>
      <c r="O1265" s="12">
        <f>_xlfn.XLOOKUP(B1265,[1]Sheet1!$B:$B,[1]Sheet1!$R:$R,0)</f>
        <v>0</v>
      </c>
      <c r="P1265" s="12">
        <f>_xlfn.XLOOKUP(B1265,[1]Sheet1!$B:$B,[1]Sheet1!$S:$S,0)</f>
        <v>0</v>
      </c>
      <c r="Q1265" s="12">
        <f>_xlfn.XLOOKUP(B1265,[1]Sheet1!$B:$B,[1]Sheet1!$T:$T,0)</f>
        <v>0</v>
      </c>
      <c r="R1265" s="12">
        <f>_xlfn.XLOOKUP(B1265,[1]Sheet1!$B:$B,[1]Sheet1!$U:$U,0)</f>
        <v>0</v>
      </c>
      <c r="S1265" s="12">
        <f>_xlfn.XLOOKUP(B1265,[1]Sheet1!$B:$B,[1]Sheet1!$V:$V,0)</f>
        <v>10000</v>
      </c>
      <c r="T1265" s="12">
        <f>_xlfn.XLOOKUP(B1265,[1]Sheet1!$B:$B,[1]Sheet1!$W:$W,0)</f>
        <v>10000</v>
      </c>
      <c r="U1265" s="12">
        <f>_xlfn.XLOOKUP(B1265,[1]Sheet1!$B:$B,[1]Sheet1!$X:$X,0)</f>
        <v>80000</v>
      </c>
      <c r="V1265" s="12">
        <f>_xlfn.XLOOKUP(B1265,[1]Sheet1!$B:$B,[1]Sheet1!$Y:$Y,0)</f>
        <v>0</v>
      </c>
      <c r="W1265" s="12">
        <f t="shared" si="41"/>
        <v>170000</v>
      </c>
      <c r="X1265" s="8" t="s">
        <v>1924</v>
      </c>
      <c r="Y1265" s="8" t="s">
        <v>211</v>
      </c>
      <c r="Z1265" s="8" t="s">
        <v>212</v>
      </c>
      <c r="AA1265" s="8" t="s">
        <v>569</v>
      </c>
      <c r="AB1265" s="8" t="s">
        <v>327</v>
      </c>
      <c r="AC1265" s="8" t="s">
        <v>37</v>
      </c>
      <c r="AD1265" s="8" t="s">
        <v>214</v>
      </c>
      <c r="AE1265" s="8" t="s">
        <v>39</v>
      </c>
      <c r="AF1265" s="8" t="s">
        <v>40</v>
      </c>
      <c r="AG1265" s="9">
        <v>170000</v>
      </c>
      <c r="AH1265" s="11">
        <f>_xlfn.XLOOKUP(B1265,[1]Sheet1!$B:$B,[1]Sheet1!$AB:$AB,0)</f>
        <v>170000</v>
      </c>
    </row>
    <row r="1266" spans="2:34" ht="16.8" thickTop="1" thickBot="1" x14ac:dyDescent="0.35">
      <c r="B1266" s="3" t="str">
        <f t="shared" si="40"/>
        <v>45155004511001535Event Management-N  422401200104</v>
      </c>
      <c r="C1266" s="6" t="s">
        <v>513</v>
      </c>
      <c r="D1266" s="6" t="s">
        <v>1948</v>
      </c>
      <c r="E1266" s="6" t="s">
        <v>1949</v>
      </c>
      <c r="F1266" s="6" t="s">
        <v>1950</v>
      </c>
      <c r="G1266" s="4" t="s">
        <v>2807</v>
      </c>
      <c r="H1266" s="4" t="s">
        <v>2922</v>
      </c>
      <c r="I1266" s="6" t="s">
        <v>63</v>
      </c>
      <c r="J1266" s="6" t="s">
        <v>31</v>
      </c>
      <c r="K1266" s="12">
        <f>_xlfn.XLOOKUP(B1266,[1]Sheet1!$B:$B,[1]Sheet1!$N:$N,0)</f>
        <v>0</v>
      </c>
      <c r="L1266" s="12">
        <f>_xlfn.XLOOKUP(B1266,[1]Sheet1!$B:$B,[1]Sheet1!$O:$O,0)</f>
        <v>0</v>
      </c>
      <c r="M1266" s="12">
        <f>_xlfn.XLOOKUP(B1266,[1]Sheet1!$B:$B,[1]Sheet1!$P:$P,0)</f>
        <v>2480562</v>
      </c>
      <c r="N1266" s="12">
        <f>_xlfn.XLOOKUP(B1266,[1]Sheet1!$B:$B,[1]Sheet1!$Q:$Q,0)</f>
        <v>512438</v>
      </c>
      <c r="O1266" s="12">
        <f>_xlfn.XLOOKUP(B1266,[1]Sheet1!$B:$B,[1]Sheet1!$R:$R,0)</f>
        <v>0</v>
      </c>
      <c r="P1266" s="12">
        <f>_xlfn.XLOOKUP(B1266,[1]Sheet1!$B:$B,[1]Sheet1!$S:$S,0)</f>
        <v>0</v>
      </c>
      <c r="Q1266" s="12">
        <f>_xlfn.XLOOKUP(B1266,[1]Sheet1!$B:$B,[1]Sheet1!$T:$T,0)</f>
        <v>0</v>
      </c>
      <c r="R1266" s="12">
        <f>_xlfn.XLOOKUP(B1266,[1]Sheet1!$B:$B,[1]Sheet1!$U:$U,0)</f>
        <v>0</v>
      </c>
      <c r="S1266" s="12">
        <f>_xlfn.XLOOKUP(B1266,[1]Sheet1!$B:$B,[1]Sheet1!$V:$V,0)</f>
        <v>0</v>
      </c>
      <c r="T1266" s="12">
        <f>_xlfn.XLOOKUP(B1266,[1]Sheet1!$B:$B,[1]Sheet1!$W:$W,0)</f>
        <v>0</v>
      </c>
      <c r="U1266" s="12">
        <f>_xlfn.XLOOKUP(B1266,[1]Sheet1!$B:$B,[1]Sheet1!$X:$X,0)</f>
        <v>0</v>
      </c>
      <c r="V1266" s="12">
        <f>_xlfn.XLOOKUP(B1266,[1]Sheet1!$B:$B,[1]Sheet1!$Y:$Y,0)</f>
        <v>0</v>
      </c>
      <c r="W1266" s="12">
        <f t="shared" si="41"/>
        <v>2993000</v>
      </c>
      <c r="X1266" s="6" t="s">
        <v>524</v>
      </c>
      <c r="Y1266" s="6" t="s">
        <v>211</v>
      </c>
      <c r="Z1266" s="6" t="s">
        <v>512</v>
      </c>
      <c r="AA1266" s="6" t="s">
        <v>68</v>
      </c>
      <c r="AB1266" s="6" t="s">
        <v>36</v>
      </c>
      <c r="AC1266" s="6" t="s">
        <v>37</v>
      </c>
      <c r="AD1266" s="6" t="s">
        <v>342</v>
      </c>
      <c r="AE1266" s="6" t="s">
        <v>39</v>
      </c>
      <c r="AF1266" s="6" t="s">
        <v>40</v>
      </c>
      <c r="AG1266" s="7">
        <v>4073000</v>
      </c>
      <c r="AH1266" s="11">
        <f>_xlfn.XLOOKUP(B1266,[1]Sheet1!$B:$B,[1]Sheet1!$AB:$AB,0)</f>
        <v>4073000</v>
      </c>
    </row>
    <row r="1267" spans="2:34" ht="16.8" thickTop="1" thickBot="1" x14ac:dyDescent="0.35">
      <c r="B1267" s="3" t="str">
        <f t="shared" si="40"/>
        <v>45155004511001535Hospitality-N424761200104</v>
      </c>
      <c r="C1267" s="8" t="s">
        <v>513</v>
      </c>
      <c r="D1267" s="8" t="s">
        <v>1948</v>
      </c>
      <c r="E1267" s="8" t="s">
        <v>1949</v>
      </c>
      <c r="F1267" s="8" t="s">
        <v>83</v>
      </c>
      <c r="G1267" s="4" t="s">
        <v>2811</v>
      </c>
      <c r="H1267" s="4" t="s">
        <v>2922</v>
      </c>
      <c r="I1267" s="8" t="s">
        <v>84</v>
      </c>
      <c r="J1267" s="8" t="s">
        <v>31</v>
      </c>
      <c r="K1267" s="12">
        <f>_xlfn.XLOOKUP(B1267,[1]Sheet1!$B:$B,[1]Sheet1!$N:$N,0)</f>
        <v>0</v>
      </c>
      <c r="L1267" s="12">
        <f>_xlfn.XLOOKUP(B1267,[1]Sheet1!$B:$B,[1]Sheet1!$O:$O,0)</f>
        <v>0</v>
      </c>
      <c r="M1267" s="12">
        <f>_xlfn.XLOOKUP(B1267,[1]Sheet1!$B:$B,[1]Sheet1!$P:$P,0)</f>
        <v>0</v>
      </c>
      <c r="N1267" s="12">
        <f>_xlfn.XLOOKUP(B1267,[1]Sheet1!$B:$B,[1]Sheet1!$Q:$Q,0)</f>
        <v>279104</v>
      </c>
      <c r="O1267" s="12">
        <f>_xlfn.XLOOKUP(B1267,[1]Sheet1!$B:$B,[1]Sheet1!$R:$R,0)</f>
        <v>200000</v>
      </c>
      <c r="P1267" s="12">
        <f>_xlfn.XLOOKUP(B1267,[1]Sheet1!$B:$B,[1]Sheet1!$S:$S,0)</f>
        <v>0</v>
      </c>
      <c r="Q1267" s="12">
        <f>_xlfn.XLOOKUP(B1267,[1]Sheet1!$B:$B,[1]Sheet1!$T:$T,0)</f>
        <v>0</v>
      </c>
      <c r="R1267" s="12">
        <f>_xlfn.XLOOKUP(B1267,[1]Sheet1!$B:$B,[1]Sheet1!$U:$U,0)</f>
        <v>0</v>
      </c>
      <c r="S1267" s="12">
        <f>_xlfn.XLOOKUP(B1267,[1]Sheet1!$B:$B,[1]Sheet1!$V:$V,0)</f>
        <v>0</v>
      </c>
      <c r="T1267" s="12">
        <f>_xlfn.XLOOKUP(B1267,[1]Sheet1!$B:$B,[1]Sheet1!$W:$W,0)</f>
        <v>0</v>
      </c>
      <c r="U1267" s="12">
        <f>_xlfn.XLOOKUP(B1267,[1]Sheet1!$B:$B,[1]Sheet1!$X:$X,0)</f>
        <v>0</v>
      </c>
      <c r="V1267" s="12">
        <f>_xlfn.XLOOKUP(B1267,[1]Sheet1!$B:$B,[1]Sheet1!$Y:$Y,0)</f>
        <v>0</v>
      </c>
      <c r="W1267" s="12">
        <f t="shared" si="41"/>
        <v>479104</v>
      </c>
      <c r="X1267" s="8" t="s">
        <v>1129</v>
      </c>
      <c r="Y1267" s="8" t="s">
        <v>211</v>
      </c>
      <c r="Z1267" s="8" t="s">
        <v>512</v>
      </c>
      <c r="AA1267" s="8" t="s">
        <v>84</v>
      </c>
      <c r="AB1267" s="8" t="s">
        <v>36</v>
      </c>
      <c r="AC1267" s="8" t="s">
        <v>37</v>
      </c>
      <c r="AD1267" s="8" t="s">
        <v>342</v>
      </c>
      <c r="AE1267" s="8" t="s">
        <v>39</v>
      </c>
      <c r="AF1267" s="8" t="s">
        <v>40</v>
      </c>
      <c r="AG1267" s="9">
        <v>393104</v>
      </c>
      <c r="AH1267" s="11">
        <f>_xlfn.XLOOKUP(B1267,[1]Sheet1!$B:$B,[1]Sheet1!$AB:$AB,0)</f>
        <v>393104</v>
      </c>
    </row>
    <row r="1268" spans="2:34" ht="16.8" thickTop="1" thickBot="1" x14ac:dyDescent="0.35">
      <c r="B1268" s="3" t="str">
        <f t="shared" si="40"/>
        <v>45153004511001536Event Management-N422401200104</v>
      </c>
      <c r="C1268" s="6" t="s">
        <v>1075</v>
      </c>
      <c r="D1268" s="6" t="s">
        <v>1951</v>
      </c>
      <c r="E1268" s="6" t="s">
        <v>1952</v>
      </c>
      <c r="F1268" s="6" t="s">
        <v>162</v>
      </c>
      <c r="G1268" s="4" t="s">
        <v>2807</v>
      </c>
      <c r="H1268" s="4" t="s">
        <v>2922</v>
      </c>
      <c r="I1268" s="6" t="s">
        <v>63</v>
      </c>
      <c r="J1268" s="6" t="s">
        <v>31</v>
      </c>
      <c r="K1268" s="12">
        <f>_xlfn.XLOOKUP(B1268,[1]Sheet1!$B:$B,[1]Sheet1!$N:$N,0)</f>
        <v>0</v>
      </c>
      <c r="L1268" s="12">
        <f>_xlfn.XLOOKUP(B1268,[1]Sheet1!$B:$B,[1]Sheet1!$O:$O,0)</f>
        <v>0</v>
      </c>
      <c r="M1268" s="12">
        <f>_xlfn.XLOOKUP(B1268,[1]Sheet1!$B:$B,[1]Sheet1!$P:$P,0)</f>
        <v>0</v>
      </c>
      <c r="N1268" s="12">
        <f>_xlfn.XLOOKUP(B1268,[1]Sheet1!$B:$B,[1]Sheet1!$Q:$Q,0)</f>
        <v>0</v>
      </c>
      <c r="O1268" s="12">
        <f>_xlfn.XLOOKUP(B1268,[1]Sheet1!$B:$B,[1]Sheet1!$R:$R,0)</f>
        <v>0</v>
      </c>
      <c r="P1268" s="12">
        <f>_xlfn.XLOOKUP(B1268,[1]Sheet1!$B:$B,[1]Sheet1!$S:$S,0)</f>
        <v>0</v>
      </c>
      <c r="Q1268" s="12">
        <f>_xlfn.XLOOKUP(B1268,[1]Sheet1!$B:$B,[1]Sheet1!$T:$T,0)</f>
        <v>0</v>
      </c>
      <c r="R1268" s="12">
        <f>_xlfn.XLOOKUP(B1268,[1]Sheet1!$B:$B,[1]Sheet1!$U:$U,0)</f>
        <v>1202000</v>
      </c>
      <c r="S1268" s="12">
        <f>_xlfn.XLOOKUP(B1268,[1]Sheet1!$B:$B,[1]Sheet1!$V:$V,0)</f>
        <v>0</v>
      </c>
      <c r="T1268" s="12">
        <f>_xlfn.XLOOKUP(B1268,[1]Sheet1!$B:$B,[1]Sheet1!$W:$W,0)</f>
        <v>0</v>
      </c>
      <c r="U1268" s="12">
        <f>_xlfn.XLOOKUP(B1268,[1]Sheet1!$B:$B,[1]Sheet1!$X:$X,0)</f>
        <v>1512670</v>
      </c>
      <c r="V1268" s="12">
        <f>_xlfn.XLOOKUP(B1268,[1]Sheet1!$B:$B,[1]Sheet1!$Y:$Y,0)</f>
        <v>485330</v>
      </c>
      <c r="W1268" s="12">
        <f t="shared" si="41"/>
        <v>3200000</v>
      </c>
      <c r="X1268" s="6" t="s">
        <v>1953</v>
      </c>
      <c r="Y1268" s="6" t="s">
        <v>211</v>
      </c>
      <c r="Z1268" s="6" t="s">
        <v>1074</v>
      </c>
      <c r="AA1268" s="6" t="s">
        <v>68</v>
      </c>
      <c r="AB1268" s="6" t="s">
        <v>36</v>
      </c>
      <c r="AC1268" s="6" t="s">
        <v>37</v>
      </c>
      <c r="AD1268" s="6" t="s">
        <v>1077</v>
      </c>
      <c r="AE1268" s="6" t="s">
        <v>39</v>
      </c>
      <c r="AF1268" s="6" t="s">
        <v>40</v>
      </c>
      <c r="AG1268" s="7">
        <v>3200000</v>
      </c>
      <c r="AH1268" s="11">
        <f>_xlfn.XLOOKUP(B1268,[1]Sheet1!$B:$B,[1]Sheet1!$AB:$AB,0)</f>
        <v>3200000</v>
      </c>
    </row>
    <row r="1269" spans="2:34" ht="16.8" thickTop="1" thickBot="1" x14ac:dyDescent="0.35">
      <c r="B1269" s="3" t="str">
        <f t="shared" si="40"/>
        <v>45153004511001536ManagementAdvice-N424521200104</v>
      </c>
      <c r="C1269" s="8" t="s">
        <v>1075</v>
      </c>
      <c r="D1269" s="8" t="s">
        <v>1951</v>
      </c>
      <c r="E1269" s="8" t="s">
        <v>1952</v>
      </c>
      <c r="F1269" s="8" t="s">
        <v>230</v>
      </c>
      <c r="G1269" s="4" t="s">
        <v>2804</v>
      </c>
      <c r="H1269" s="4" t="s">
        <v>2922</v>
      </c>
      <c r="I1269" s="8" t="s">
        <v>51</v>
      </c>
      <c r="J1269" s="8" t="s">
        <v>31</v>
      </c>
      <c r="K1269" s="12">
        <f>_xlfn.XLOOKUP(B1269,[1]Sheet1!$B:$B,[1]Sheet1!$N:$N,0)</f>
        <v>0</v>
      </c>
      <c r="L1269" s="12">
        <f>_xlfn.XLOOKUP(B1269,[1]Sheet1!$B:$B,[1]Sheet1!$O:$O,0)</f>
        <v>0</v>
      </c>
      <c r="M1269" s="12">
        <f>_xlfn.XLOOKUP(B1269,[1]Sheet1!$B:$B,[1]Sheet1!$P:$P,0)</f>
        <v>0</v>
      </c>
      <c r="N1269" s="12">
        <f>_xlfn.XLOOKUP(B1269,[1]Sheet1!$B:$B,[1]Sheet1!$Q:$Q,0)</f>
        <v>0</v>
      </c>
      <c r="O1269" s="12">
        <f>_xlfn.XLOOKUP(B1269,[1]Sheet1!$B:$B,[1]Sheet1!$R:$R,0)</f>
        <v>0</v>
      </c>
      <c r="P1269" s="12">
        <f>_xlfn.XLOOKUP(B1269,[1]Sheet1!$B:$B,[1]Sheet1!$S:$S,0)</f>
        <v>0</v>
      </c>
      <c r="Q1269" s="12">
        <f>_xlfn.XLOOKUP(B1269,[1]Sheet1!$B:$B,[1]Sheet1!$T:$T,0)</f>
        <v>0</v>
      </c>
      <c r="R1269" s="12">
        <f>_xlfn.XLOOKUP(B1269,[1]Sheet1!$B:$B,[1]Sheet1!$U:$U,0)</f>
        <v>200000</v>
      </c>
      <c r="S1269" s="12">
        <f>_xlfn.XLOOKUP(B1269,[1]Sheet1!$B:$B,[1]Sheet1!$V:$V,0)</f>
        <v>0</v>
      </c>
      <c r="T1269" s="12">
        <f>_xlfn.XLOOKUP(B1269,[1]Sheet1!$B:$B,[1]Sheet1!$W:$W,0)</f>
        <v>200000</v>
      </c>
      <c r="U1269" s="12">
        <f>_xlfn.XLOOKUP(B1269,[1]Sheet1!$B:$B,[1]Sheet1!$X:$X,0)</f>
        <v>200000</v>
      </c>
      <c r="V1269" s="12">
        <f>_xlfn.XLOOKUP(B1269,[1]Sheet1!$B:$B,[1]Sheet1!$Y:$Y,0)</f>
        <v>1026000</v>
      </c>
      <c r="W1269" s="12">
        <f t="shared" si="41"/>
        <v>1626000</v>
      </c>
      <c r="X1269" s="8" t="s">
        <v>1076</v>
      </c>
      <c r="Y1269" s="8" t="s">
        <v>211</v>
      </c>
      <c r="Z1269" s="8" t="s">
        <v>1074</v>
      </c>
      <c r="AA1269" s="8" t="s">
        <v>53</v>
      </c>
      <c r="AB1269" s="8" t="s">
        <v>36</v>
      </c>
      <c r="AC1269" s="8" t="s">
        <v>37</v>
      </c>
      <c r="AD1269" s="8" t="s">
        <v>1077</v>
      </c>
      <c r="AE1269" s="8" t="s">
        <v>39</v>
      </c>
      <c r="AF1269" s="8" t="s">
        <v>40</v>
      </c>
      <c r="AG1269" s="9">
        <v>826000</v>
      </c>
      <c r="AH1269" s="11">
        <f>_xlfn.XLOOKUP(B1269,[1]Sheet1!$B:$B,[1]Sheet1!$AB:$AB,0)</f>
        <v>826000</v>
      </c>
    </row>
    <row r="1270" spans="2:34" ht="16.8" thickTop="1" thickBot="1" x14ac:dyDescent="0.35">
      <c r="B1270" s="3" t="str">
        <f t="shared" si="40"/>
        <v>45153004511001536System Develop-NC1493180300105</v>
      </c>
      <c r="C1270" s="6" t="s">
        <v>1075</v>
      </c>
      <c r="D1270" s="6" t="s">
        <v>1951</v>
      </c>
      <c r="E1270" s="6" t="s">
        <v>1952</v>
      </c>
      <c r="F1270" s="6" t="s">
        <v>1954</v>
      </c>
      <c r="G1270" s="4" t="s">
        <v>2879</v>
      </c>
      <c r="H1270" s="4" t="s">
        <v>2923</v>
      </c>
      <c r="I1270" s="6" t="s">
        <v>1955</v>
      </c>
      <c r="J1270" s="6" t="s">
        <v>31</v>
      </c>
      <c r="K1270" s="12">
        <f>_xlfn.XLOOKUP(B1270,[1]Sheet1!$B:$B,[1]Sheet1!$N:$N,0)</f>
        <v>0</v>
      </c>
      <c r="L1270" s="12">
        <f>_xlfn.XLOOKUP(B1270,[1]Sheet1!$B:$B,[1]Sheet1!$O:$O,0)</f>
        <v>0</v>
      </c>
      <c r="M1270" s="12">
        <f>_xlfn.XLOOKUP(B1270,[1]Sheet1!$B:$B,[1]Sheet1!$P:$P,0)</f>
        <v>0</v>
      </c>
      <c r="N1270" s="12">
        <f>_xlfn.XLOOKUP(B1270,[1]Sheet1!$B:$B,[1]Sheet1!$Q:$Q,0)</f>
        <v>0</v>
      </c>
      <c r="O1270" s="12">
        <f>_xlfn.XLOOKUP(B1270,[1]Sheet1!$B:$B,[1]Sheet1!$R:$R,0)</f>
        <v>0</v>
      </c>
      <c r="P1270" s="12">
        <f>_xlfn.XLOOKUP(B1270,[1]Sheet1!$B:$B,[1]Sheet1!$S:$S,0)</f>
        <v>100000</v>
      </c>
      <c r="Q1270" s="12">
        <f>_xlfn.XLOOKUP(B1270,[1]Sheet1!$B:$B,[1]Sheet1!$T:$T,0)</f>
        <v>0</v>
      </c>
      <c r="R1270" s="12">
        <f>_xlfn.XLOOKUP(B1270,[1]Sheet1!$B:$B,[1]Sheet1!$U:$U,0)</f>
        <v>180000</v>
      </c>
      <c r="S1270" s="12">
        <f>_xlfn.XLOOKUP(B1270,[1]Sheet1!$B:$B,[1]Sheet1!$V:$V,0)</f>
        <v>60000</v>
      </c>
      <c r="T1270" s="12">
        <f>_xlfn.XLOOKUP(B1270,[1]Sheet1!$B:$B,[1]Sheet1!$W:$W,0)</f>
        <v>60000</v>
      </c>
      <c r="U1270" s="12">
        <f>_xlfn.XLOOKUP(B1270,[1]Sheet1!$B:$B,[1]Sheet1!$X:$X,0)</f>
        <v>0</v>
      </c>
      <c r="V1270" s="12">
        <f>_xlfn.XLOOKUP(B1270,[1]Sheet1!$B:$B,[1]Sheet1!$Y:$Y,0)</f>
        <v>50000</v>
      </c>
      <c r="W1270" s="12">
        <f t="shared" si="41"/>
        <v>450000</v>
      </c>
      <c r="X1270" s="6" t="s">
        <v>1956</v>
      </c>
      <c r="Y1270" s="6" t="s">
        <v>211</v>
      </c>
      <c r="Z1270" s="6" t="s">
        <v>1074</v>
      </c>
      <c r="AA1270" s="6" t="s">
        <v>1955</v>
      </c>
      <c r="AB1270" s="6" t="s">
        <v>93</v>
      </c>
      <c r="AC1270" s="6" t="s">
        <v>94</v>
      </c>
      <c r="AD1270" s="6" t="s">
        <v>1077</v>
      </c>
      <c r="AE1270" s="6" t="s">
        <v>39</v>
      </c>
      <c r="AF1270" s="6" t="s">
        <v>40</v>
      </c>
      <c r="AG1270" s="7">
        <v>548000</v>
      </c>
      <c r="AH1270" s="11">
        <f>_xlfn.XLOOKUP(B1270,[1]Sheet1!$B:$B,[1]Sheet1!$AB:$AB,0)</f>
        <v>548000</v>
      </c>
    </row>
    <row r="1271" spans="2:34" ht="16.8" thickTop="1" thickBot="1" x14ac:dyDescent="0.35">
      <c r="B1271" s="3" t="str">
        <f t="shared" si="40"/>
        <v>45153004511001537Design &amp; Build-NC491211300105</v>
      </c>
      <c r="C1271" s="8" t="s">
        <v>1075</v>
      </c>
      <c r="D1271" s="8" t="s">
        <v>1957</v>
      </c>
      <c r="E1271" s="8" t="s">
        <v>1958</v>
      </c>
      <c r="F1271" s="8" t="s">
        <v>1285</v>
      </c>
      <c r="G1271" s="4" t="s">
        <v>2839</v>
      </c>
      <c r="H1271" s="4" t="s">
        <v>2923</v>
      </c>
      <c r="I1271" s="8" t="s">
        <v>411</v>
      </c>
      <c r="J1271" s="8" t="s">
        <v>31</v>
      </c>
      <c r="K1271" s="12">
        <f>_xlfn.XLOOKUP(B1271,[1]Sheet1!$B:$B,[1]Sheet1!$N:$N,0)</f>
        <v>0</v>
      </c>
      <c r="L1271" s="12">
        <f>_xlfn.XLOOKUP(B1271,[1]Sheet1!$B:$B,[1]Sheet1!$O:$O,0)</f>
        <v>0</v>
      </c>
      <c r="M1271" s="12">
        <f>_xlfn.XLOOKUP(B1271,[1]Sheet1!$B:$B,[1]Sheet1!$P:$P,0)</f>
        <v>0</v>
      </c>
      <c r="N1271" s="12">
        <f>_xlfn.XLOOKUP(B1271,[1]Sheet1!$B:$B,[1]Sheet1!$Q:$Q,0)</f>
        <v>0</v>
      </c>
      <c r="O1271" s="12">
        <f>_xlfn.XLOOKUP(B1271,[1]Sheet1!$B:$B,[1]Sheet1!$R:$R,0)</f>
        <v>0</v>
      </c>
      <c r="P1271" s="12">
        <f>_xlfn.XLOOKUP(B1271,[1]Sheet1!$B:$B,[1]Sheet1!$S:$S,0)</f>
        <v>0</v>
      </c>
      <c r="Q1271" s="12">
        <f>_xlfn.XLOOKUP(B1271,[1]Sheet1!$B:$B,[1]Sheet1!$T:$T,0)</f>
        <v>0</v>
      </c>
      <c r="R1271" s="12">
        <f>_xlfn.XLOOKUP(B1271,[1]Sheet1!$B:$B,[1]Sheet1!$U:$U,0)</f>
        <v>0</v>
      </c>
      <c r="S1271" s="12">
        <f>_xlfn.XLOOKUP(B1271,[1]Sheet1!$B:$B,[1]Sheet1!$V:$V,0)</f>
        <v>0</v>
      </c>
      <c r="T1271" s="12">
        <f>_xlfn.XLOOKUP(B1271,[1]Sheet1!$B:$B,[1]Sheet1!$W:$W,0)</f>
        <v>1472426</v>
      </c>
      <c r="U1271" s="12">
        <f>_xlfn.XLOOKUP(B1271,[1]Sheet1!$B:$B,[1]Sheet1!$X:$X,0)</f>
        <v>1472426</v>
      </c>
      <c r="V1271" s="12">
        <f>_xlfn.XLOOKUP(B1271,[1]Sheet1!$B:$B,[1]Sheet1!$Y:$Y,0)</f>
        <v>4417282</v>
      </c>
      <c r="W1271" s="12">
        <f t="shared" si="41"/>
        <v>7362134</v>
      </c>
      <c r="X1271" s="8" t="s">
        <v>1959</v>
      </c>
      <c r="Y1271" s="8" t="s">
        <v>211</v>
      </c>
      <c r="Z1271" s="8" t="s">
        <v>1074</v>
      </c>
      <c r="AA1271" s="8" t="s">
        <v>411</v>
      </c>
      <c r="AB1271" s="8" t="s">
        <v>93</v>
      </c>
      <c r="AC1271" s="8" t="s">
        <v>94</v>
      </c>
      <c r="AD1271" s="8" t="s">
        <v>1077</v>
      </c>
      <c r="AE1271" s="8" t="s">
        <v>39</v>
      </c>
      <c r="AF1271" s="8" t="s">
        <v>40</v>
      </c>
      <c r="AG1271" s="9">
        <v>4750000</v>
      </c>
      <c r="AH1271" s="11">
        <f>_xlfn.XLOOKUP(B1271,[1]Sheet1!$B:$B,[1]Sheet1!$AB:$AB,0)</f>
        <v>4749999.7</v>
      </c>
    </row>
    <row r="1272" spans="2:34" ht="16.8" thickTop="1" thickBot="1" x14ac:dyDescent="0.35">
      <c r="B1272" s="3" t="str">
        <f t="shared" si="40"/>
        <v>45153004511001537ManagementAdvice-N424521200104</v>
      </c>
      <c r="C1272" s="6" t="s">
        <v>1075</v>
      </c>
      <c r="D1272" s="6" t="s">
        <v>1957</v>
      </c>
      <c r="E1272" s="6" t="s">
        <v>1958</v>
      </c>
      <c r="F1272" s="6" t="s">
        <v>230</v>
      </c>
      <c r="G1272" s="4" t="s">
        <v>2804</v>
      </c>
      <c r="H1272" s="4" t="s">
        <v>2922</v>
      </c>
      <c r="I1272" s="6" t="s">
        <v>51</v>
      </c>
      <c r="J1272" s="6" t="s">
        <v>31</v>
      </c>
      <c r="K1272" s="12">
        <f>_xlfn.XLOOKUP(B1272,[1]Sheet1!$B:$B,[1]Sheet1!$N:$N,0)</f>
        <v>0</v>
      </c>
      <c r="L1272" s="12">
        <f>_xlfn.XLOOKUP(B1272,[1]Sheet1!$B:$B,[1]Sheet1!$O:$O,0)</f>
        <v>0</v>
      </c>
      <c r="M1272" s="12">
        <f>_xlfn.XLOOKUP(B1272,[1]Sheet1!$B:$B,[1]Sheet1!$P:$P,0)</f>
        <v>0</v>
      </c>
      <c r="N1272" s="12">
        <f>_xlfn.XLOOKUP(B1272,[1]Sheet1!$B:$B,[1]Sheet1!$Q:$Q,0)</f>
        <v>0</v>
      </c>
      <c r="O1272" s="12">
        <f>_xlfn.XLOOKUP(B1272,[1]Sheet1!$B:$B,[1]Sheet1!$R:$R,0)</f>
        <v>0</v>
      </c>
      <c r="P1272" s="12">
        <f>_xlfn.XLOOKUP(B1272,[1]Sheet1!$B:$B,[1]Sheet1!$S:$S,0)</f>
        <v>0</v>
      </c>
      <c r="Q1272" s="12">
        <f>_xlfn.XLOOKUP(B1272,[1]Sheet1!$B:$B,[1]Sheet1!$T:$T,0)</f>
        <v>0</v>
      </c>
      <c r="R1272" s="12">
        <f>_xlfn.XLOOKUP(B1272,[1]Sheet1!$B:$B,[1]Sheet1!$U:$U,0)</f>
        <v>0</v>
      </c>
      <c r="S1272" s="12">
        <f>_xlfn.XLOOKUP(B1272,[1]Sheet1!$B:$B,[1]Sheet1!$V:$V,0)</f>
        <v>0</v>
      </c>
      <c r="T1272" s="12">
        <f>_xlfn.XLOOKUP(B1272,[1]Sheet1!$B:$B,[1]Sheet1!$W:$W,0)</f>
        <v>1731470</v>
      </c>
      <c r="U1272" s="12">
        <f>_xlfn.XLOOKUP(B1272,[1]Sheet1!$B:$B,[1]Sheet1!$X:$X,0)</f>
        <v>2216470</v>
      </c>
      <c r="V1272" s="12">
        <f>_xlfn.XLOOKUP(B1272,[1]Sheet1!$B:$B,[1]Sheet1!$Y:$Y,0)</f>
        <v>7134413</v>
      </c>
      <c r="W1272" s="12">
        <f t="shared" si="41"/>
        <v>11082353</v>
      </c>
      <c r="X1272" s="6" t="s">
        <v>1076</v>
      </c>
      <c r="Y1272" s="6" t="s">
        <v>211</v>
      </c>
      <c r="Z1272" s="6" t="s">
        <v>1074</v>
      </c>
      <c r="AA1272" s="6" t="s">
        <v>53</v>
      </c>
      <c r="AB1272" s="6" t="s">
        <v>36</v>
      </c>
      <c r="AC1272" s="6" t="s">
        <v>37</v>
      </c>
      <c r="AD1272" s="6" t="s">
        <v>1077</v>
      </c>
      <c r="AE1272" s="6" t="s">
        <v>39</v>
      </c>
      <c r="AF1272" s="6" t="s">
        <v>40</v>
      </c>
      <c r="AG1272" s="7">
        <v>2000000</v>
      </c>
      <c r="AH1272" s="11">
        <f>_xlfn.XLOOKUP(B1272,[1]Sheet1!$B:$B,[1]Sheet1!$AB:$AB,0)</f>
        <v>2000000</v>
      </c>
    </row>
    <row r="1273" spans="2:34" ht="16.8" thickTop="1" thickBot="1" x14ac:dyDescent="0.35">
      <c r="B1273" s="3" t="str">
        <f t="shared" si="40"/>
        <v>45110204511001538Cultural Advice-N424521200104</v>
      </c>
      <c r="C1273" s="8" t="s">
        <v>302</v>
      </c>
      <c r="D1273" s="8" t="s">
        <v>1960</v>
      </c>
      <c r="E1273" s="8" t="s">
        <v>1961</v>
      </c>
      <c r="F1273" s="8" t="s">
        <v>296</v>
      </c>
      <c r="G1273" s="4" t="s">
        <v>2804</v>
      </c>
      <c r="H1273" s="4" t="s">
        <v>2922</v>
      </c>
      <c r="I1273" s="8" t="s">
        <v>51</v>
      </c>
      <c r="J1273" s="8" t="s">
        <v>31</v>
      </c>
      <c r="K1273" s="12">
        <f>_xlfn.XLOOKUP(B1273,[1]Sheet1!$B:$B,[1]Sheet1!$N:$N,0)</f>
        <v>0</v>
      </c>
      <c r="L1273" s="12">
        <f>_xlfn.XLOOKUP(B1273,[1]Sheet1!$B:$B,[1]Sheet1!$O:$O,0)</f>
        <v>0</v>
      </c>
      <c r="M1273" s="12">
        <f>_xlfn.XLOOKUP(B1273,[1]Sheet1!$B:$B,[1]Sheet1!$P:$P,0)</f>
        <v>0</v>
      </c>
      <c r="N1273" s="12">
        <f>_xlfn.XLOOKUP(B1273,[1]Sheet1!$B:$B,[1]Sheet1!$Q:$Q,0)</f>
        <v>0</v>
      </c>
      <c r="O1273" s="12">
        <f>_xlfn.XLOOKUP(B1273,[1]Sheet1!$B:$B,[1]Sheet1!$R:$R,0)</f>
        <v>0</v>
      </c>
      <c r="P1273" s="12">
        <f>_xlfn.XLOOKUP(B1273,[1]Sheet1!$B:$B,[1]Sheet1!$S:$S,0)</f>
        <v>0</v>
      </c>
      <c r="Q1273" s="12">
        <f>_xlfn.XLOOKUP(B1273,[1]Sheet1!$B:$B,[1]Sheet1!$T:$T,0)</f>
        <v>0</v>
      </c>
      <c r="R1273" s="12">
        <f>_xlfn.XLOOKUP(B1273,[1]Sheet1!$B:$B,[1]Sheet1!$U:$U,0)</f>
        <v>0</v>
      </c>
      <c r="S1273" s="12">
        <f>_xlfn.XLOOKUP(B1273,[1]Sheet1!$B:$B,[1]Sheet1!$V:$V,0)</f>
        <v>0</v>
      </c>
      <c r="T1273" s="12">
        <f>_xlfn.XLOOKUP(B1273,[1]Sheet1!$B:$B,[1]Sheet1!$W:$W,0)</f>
        <v>0</v>
      </c>
      <c r="U1273" s="12">
        <f>_xlfn.XLOOKUP(B1273,[1]Sheet1!$B:$B,[1]Sheet1!$X:$X,0)</f>
        <v>200000</v>
      </c>
      <c r="V1273" s="12">
        <f>_xlfn.XLOOKUP(B1273,[1]Sheet1!$B:$B,[1]Sheet1!$Y:$Y,0)</f>
        <v>0</v>
      </c>
      <c r="W1273" s="12">
        <f t="shared" si="41"/>
        <v>200000</v>
      </c>
      <c r="X1273" s="8" t="s">
        <v>1846</v>
      </c>
      <c r="Y1273" s="8" t="s">
        <v>65</v>
      </c>
      <c r="Z1273" s="8" t="s">
        <v>301</v>
      </c>
      <c r="AA1273" s="8" t="s">
        <v>53</v>
      </c>
      <c r="AB1273" s="8" t="s">
        <v>36</v>
      </c>
      <c r="AC1273" s="8" t="s">
        <v>37</v>
      </c>
      <c r="AD1273" s="8" t="s">
        <v>38</v>
      </c>
      <c r="AE1273" s="8" t="s">
        <v>39</v>
      </c>
      <c r="AF1273" s="8" t="s">
        <v>40</v>
      </c>
      <c r="AG1273" s="9">
        <v>200000</v>
      </c>
      <c r="AH1273" s="11">
        <f>_xlfn.XLOOKUP(B1273,[1]Sheet1!$B:$B,[1]Sheet1!$AB:$AB,0)</f>
        <v>200000</v>
      </c>
    </row>
    <row r="1274" spans="2:34" ht="16.8" thickTop="1" thickBot="1" x14ac:dyDescent="0.35">
      <c r="B1274" s="3" t="str">
        <f t="shared" si="40"/>
        <v>45153004511001539ManagementAdvice-N424521200104</v>
      </c>
      <c r="C1274" s="6" t="s">
        <v>1075</v>
      </c>
      <c r="D1274" s="6" t="s">
        <v>1962</v>
      </c>
      <c r="E1274" s="6" t="s">
        <v>1963</v>
      </c>
      <c r="F1274" s="6" t="s">
        <v>230</v>
      </c>
      <c r="G1274" s="4" t="s">
        <v>2804</v>
      </c>
      <c r="H1274" s="4" t="s">
        <v>2922</v>
      </c>
      <c r="I1274" s="6" t="s">
        <v>51</v>
      </c>
      <c r="J1274" s="6" t="s">
        <v>31</v>
      </c>
      <c r="K1274" s="12">
        <f>_xlfn.XLOOKUP(B1274,[1]Sheet1!$B:$B,[1]Sheet1!$N:$N,0)</f>
        <v>0</v>
      </c>
      <c r="L1274" s="12">
        <f>_xlfn.XLOOKUP(B1274,[1]Sheet1!$B:$B,[1]Sheet1!$O:$O,0)</f>
        <v>0</v>
      </c>
      <c r="M1274" s="12">
        <f>_xlfn.XLOOKUP(B1274,[1]Sheet1!$B:$B,[1]Sheet1!$P:$P,0)</f>
        <v>0</v>
      </c>
      <c r="N1274" s="12">
        <f>_xlfn.XLOOKUP(B1274,[1]Sheet1!$B:$B,[1]Sheet1!$Q:$Q,0)</f>
        <v>0</v>
      </c>
      <c r="O1274" s="12">
        <f>_xlfn.XLOOKUP(B1274,[1]Sheet1!$B:$B,[1]Sheet1!$R:$R,0)</f>
        <v>0</v>
      </c>
      <c r="P1274" s="12">
        <f>_xlfn.XLOOKUP(B1274,[1]Sheet1!$B:$B,[1]Sheet1!$S:$S,0)</f>
        <v>0</v>
      </c>
      <c r="Q1274" s="12">
        <f>_xlfn.XLOOKUP(B1274,[1]Sheet1!$B:$B,[1]Sheet1!$T:$T,0)</f>
        <v>0</v>
      </c>
      <c r="R1274" s="12">
        <f>_xlfn.XLOOKUP(B1274,[1]Sheet1!$B:$B,[1]Sheet1!$U:$U,0)</f>
        <v>1100000</v>
      </c>
      <c r="S1274" s="12">
        <f>_xlfn.XLOOKUP(B1274,[1]Sheet1!$B:$B,[1]Sheet1!$V:$V,0)</f>
        <v>1100000</v>
      </c>
      <c r="T1274" s="12">
        <f>_xlfn.XLOOKUP(B1274,[1]Sheet1!$B:$B,[1]Sheet1!$W:$W,0)</f>
        <v>1100000</v>
      </c>
      <c r="U1274" s="12">
        <f>_xlfn.XLOOKUP(B1274,[1]Sheet1!$B:$B,[1]Sheet1!$X:$X,0)</f>
        <v>1100000</v>
      </c>
      <c r="V1274" s="12">
        <f>_xlfn.XLOOKUP(B1274,[1]Sheet1!$B:$B,[1]Sheet1!$Y:$Y,0)</f>
        <v>3310000</v>
      </c>
      <c r="W1274" s="12">
        <f t="shared" si="41"/>
        <v>7710000</v>
      </c>
      <c r="X1274" s="6" t="s">
        <v>1076</v>
      </c>
      <c r="Y1274" s="6" t="s">
        <v>211</v>
      </c>
      <c r="Z1274" s="6" t="s">
        <v>1074</v>
      </c>
      <c r="AA1274" s="6" t="s">
        <v>53</v>
      </c>
      <c r="AB1274" s="6" t="s">
        <v>36</v>
      </c>
      <c r="AC1274" s="6" t="s">
        <v>37</v>
      </c>
      <c r="AD1274" s="6" t="s">
        <v>1077</v>
      </c>
      <c r="AE1274" s="6" t="s">
        <v>39</v>
      </c>
      <c r="AF1274" s="6" t="s">
        <v>40</v>
      </c>
      <c r="AG1274" s="7">
        <v>6641736</v>
      </c>
      <c r="AH1274" s="11">
        <f>_xlfn.XLOOKUP(B1274,[1]Sheet1!$B:$B,[1]Sheet1!$AB:$AB,0)</f>
        <v>6641736</v>
      </c>
    </row>
    <row r="1275" spans="2:34" ht="16.8" thickTop="1" thickBot="1" x14ac:dyDescent="0.35">
      <c r="B1275" s="3" t="str">
        <f t="shared" si="40"/>
        <v>45153004511001540ManagementAdvice-N424521200104</v>
      </c>
      <c r="C1275" s="8" t="s">
        <v>1075</v>
      </c>
      <c r="D1275" s="8" t="s">
        <v>1964</v>
      </c>
      <c r="E1275" s="8" t="s">
        <v>1965</v>
      </c>
      <c r="F1275" s="8" t="s">
        <v>230</v>
      </c>
      <c r="G1275" s="4" t="s">
        <v>2804</v>
      </c>
      <c r="H1275" s="4" t="s">
        <v>2922</v>
      </c>
      <c r="I1275" s="8" t="s">
        <v>51</v>
      </c>
      <c r="J1275" s="8" t="s">
        <v>31</v>
      </c>
      <c r="K1275" s="12">
        <f>_xlfn.XLOOKUP(B1275,[1]Sheet1!$B:$B,[1]Sheet1!$N:$N,0)</f>
        <v>0</v>
      </c>
      <c r="L1275" s="12">
        <f>_xlfn.XLOOKUP(B1275,[1]Sheet1!$B:$B,[1]Sheet1!$O:$O,0)</f>
        <v>0</v>
      </c>
      <c r="M1275" s="12">
        <f>_xlfn.XLOOKUP(B1275,[1]Sheet1!$B:$B,[1]Sheet1!$P:$P,0)</f>
        <v>0</v>
      </c>
      <c r="N1275" s="12">
        <f>_xlfn.XLOOKUP(B1275,[1]Sheet1!$B:$B,[1]Sheet1!$Q:$Q,0)</f>
        <v>0</v>
      </c>
      <c r="O1275" s="12">
        <f>_xlfn.XLOOKUP(B1275,[1]Sheet1!$B:$B,[1]Sheet1!$R:$R,0)</f>
        <v>0</v>
      </c>
      <c r="P1275" s="12">
        <f>_xlfn.XLOOKUP(B1275,[1]Sheet1!$B:$B,[1]Sheet1!$S:$S,0)</f>
        <v>0</v>
      </c>
      <c r="Q1275" s="12">
        <f>_xlfn.XLOOKUP(B1275,[1]Sheet1!$B:$B,[1]Sheet1!$T:$T,0)</f>
        <v>0</v>
      </c>
      <c r="R1275" s="12">
        <f>_xlfn.XLOOKUP(B1275,[1]Sheet1!$B:$B,[1]Sheet1!$U:$U,0)</f>
        <v>0</v>
      </c>
      <c r="S1275" s="12">
        <f>_xlfn.XLOOKUP(B1275,[1]Sheet1!$B:$B,[1]Sheet1!$V:$V,0)</f>
        <v>855000</v>
      </c>
      <c r="T1275" s="12">
        <f>_xlfn.XLOOKUP(B1275,[1]Sheet1!$B:$B,[1]Sheet1!$W:$W,0)</f>
        <v>390000</v>
      </c>
      <c r="U1275" s="12">
        <f>_xlfn.XLOOKUP(B1275,[1]Sheet1!$B:$B,[1]Sheet1!$X:$X,0)</f>
        <v>590000</v>
      </c>
      <c r="V1275" s="12">
        <f>_xlfn.XLOOKUP(B1275,[1]Sheet1!$B:$B,[1]Sheet1!$Y:$Y,0)</f>
        <v>3275000</v>
      </c>
      <c r="W1275" s="12">
        <f t="shared" si="41"/>
        <v>5110000</v>
      </c>
      <c r="X1275" s="8" t="s">
        <v>1076</v>
      </c>
      <c r="Y1275" s="8" t="s">
        <v>211</v>
      </c>
      <c r="Z1275" s="8" t="s">
        <v>1074</v>
      </c>
      <c r="AA1275" s="8" t="s">
        <v>53</v>
      </c>
      <c r="AB1275" s="8" t="s">
        <v>36</v>
      </c>
      <c r="AC1275" s="8" t="s">
        <v>37</v>
      </c>
      <c r="AD1275" s="8" t="s">
        <v>1077</v>
      </c>
      <c r="AE1275" s="8" t="s">
        <v>39</v>
      </c>
      <c r="AF1275" s="8" t="s">
        <v>40</v>
      </c>
      <c r="AG1275" s="9">
        <v>1440500</v>
      </c>
      <c r="AH1275" s="11">
        <f>_xlfn.XLOOKUP(B1275,[1]Sheet1!$B:$B,[1]Sheet1!$AB:$AB,0)</f>
        <v>1440500</v>
      </c>
    </row>
    <row r="1276" spans="2:34" ht="16.8" thickTop="1" thickBot="1" x14ac:dyDescent="0.35">
      <c r="B1276" s="3" t="str">
        <f t="shared" si="40"/>
        <v>45153004511001541Market Research-N423411200104</v>
      </c>
      <c r="C1276" s="6" t="s">
        <v>1075</v>
      </c>
      <c r="D1276" s="6" t="s">
        <v>1966</v>
      </c>
      <c r="E1276" s="6" t="s">
        <v>1967</v>
      </c>
      <c r="F1276" s="6" t="s">
        <v>1968</v>
      </c>
      <c r="G1276" s="4" t="s">
        <v>2833</v>
      </c>
      <c r="H1276" s="4" t="s">
        <v>2922</v>
      </c>
      <c r="I1276" s="6" t="s">
        <v>330</v>
      </c>
      <c r="J1276" s="6" t="s">
        <v>31</v>
      </c>
      <c r="K1276" s="12">
        <f>_xlfn.XLOOKUP(B1276,[1]Sheet1!$B:$B,[1]Sheet1!$N:$N,0)</f>
        <v>0</v>
      </c>
      <c r="L1276" s="12">
        <f>_xlfn.XLOOKUP(B1276,[1]Sheet1!$B:$B,[1]Sheet1!$O:$O,0)</f>
        <v>0</v>
      </c>
      <c r="M1276" s="12">
        <f>_xlfn.XLOOKUP(B1276,[1]Sheet1!$B:$B,[1]Sheet1!$P:$P,0)</f>
        <v>0</v>
      </c>
      <c r="N1276" s="12">
        <f>_xlfn.XLOOKUP(B1276,[1]Sheet1!$B:$B,[1]Sheet1!$Q:$Q,0)</f>
        <v>0</v>
      </c>
      <c r="O1276" s="12">
        <f>_xlfn.XLOOKUP(B1276,[1]Sheet1!$B:$B,[1]Sheet1!$R:$R,0)</f>
        <v>0</v>
      </c>
      <c r="P1276" s="12">
        <f>_xlfn.XLOOKUP(B1276,[1]Sheet1!$B:$B,[1]Sheet1!$S:$S,0)</f>
        <v>225000</v>
      </c>
      <c r="Q1276" s="12">
        <f>_xlfn.XLOOKUP(B1276,[1]Sheet1!$B:$B,[1]Sheet1!$T:$T,0)</f>
        <v>0</v>
      </c>
      <c r="R1276" s="12">
        <f>_xlfn.XLOOKUP(B1276,[1]Sheet1!$B:$B,[1]Sheet1!$U:$U,0)</f>
        <v>225000</v>
      </c>
      <c r="S1276" s="12">
        <f>_xlfn.XLOOKUP(B1276,[1]Sheet1!$B:$B,[1]Sheet1!$V:$V,0)</f>
        <v>0</v>
      </c>
      <c r="T1276" s="12">
        <f>_xlfn.XLOOKUP(B1276,[1]Sheet1!$B:$B,[1]Sheet1!$W:$W,0)</f>
        <v>0</v>
      </c>
      <c r="U1276" s="12">
        <f>_xlfn.XLOOKUP(B1276,[1]Sheet1!$B:$B,[1]Sheet1!$X:$X,0)</f>
        <v>225000</v>
      </c>
      <c r="V1276" s="12">
        <f>_xlfn.XLOOKUP(B1276,[1]Sheet1!$B:$B,[1]Sheet1!$Y:$Y,0)</f>
        <v>173973</v>
      </c>
      <c r="W1276" s="12">
        <f t="shared" si="41"/>
        <v>848973</v>
      </c>
      <c r="X1276" s="6" t="s">
        <v>1280</v>
      </c>
      <c r="Y1276" s="6" t="s">
        <v>211</v>
      </c>
      <c r="Z1276" s="6" t="s">
        <v>1074</v>
      </c>
      <c r="AA1276" s="6" t="s">
        <v>330</v>
      </c>
      <c r="AB1276" s="6" t="s">
        <v>36</v>
      </c>
      <c r="AC1276" s="6" t="s">
        <v>37</v>
      </c>
      <c r="AD1276" s="6" t="s">
        <v>1077</v>
      </c>
      <c r="AE1276" s="6" t="s">
        <v>39</v>
      </c>
      <c r="AF1276" s="6" t="s">
        <v>40</v>
      </c>
      <c r="AG1276" s="7">
        <v>848973</v>
      </c>
      <c r="AH1276" s="11">
        <f>_xlfn.XLOOKUP(B1276,[1]Sheet1!$B:$B,[1]Sheet1!$AB:$AB,0)</f>
        <v>848973</v>
      </c>
    </row>
    <row r="1277" spans="2:34" ht="16.8" thickTop="1" thickBot="1" x14ac:dyDescent="0.35">
      <c r="B1277" s="3" t="str">
        <f t="shared" si="40"/>
        <v>45113004511001542Print Runs-N424791200104</v>
      </c>
      <c r="C1277" s="8" t="s">
        <v>288</v>
      </c>
      <c r="D1277" s="8" t="s">
        <v>1969</v>
      </c>
      <c r="E1277" s="8" t="s">
        <v>1970</v>
      </c>
      <c r="F1277" s="8" t="s">
        <v>304</v>
      </c>
      <c r="G1277" s="4" t="s">
        <v>2830</v>
      </c>
      <c r="H1277" s="4" t="s">
        <v>2922</v>
      </c>
      <c r="I1277" s="8" t="s">
        <v>305</v>
      </c>
      <c r="J1277" s="8" t="s">
        <v>31</v>
      </c>
      <c r="K1277" s="12">
        <f>_xlfn.XLOOKUP(B1277,[1]Sheet1!$B:$B,[1]Sheet1!$N:$N,0)</f>
        <v>0</v>
      </c>
      <c r="L1277" s="12">
        <f>_xlfn.XLOOKUP(B1277,[1]Sheet1!$B:$B,[1]Sheet1!$O:$O,0)</f>
        <v>0</v>
      </c>
      <c r="M1277" s="12">
        <f>_xlfn.XLOOKUP(B1277,[1]Sheet1!$B:$B,[1]Sheet1!$P:$P,0)</f>
        <v>0</v>
      </c>
      <c r="N1277" s="12">
        <f>_xlfn.XLOOKUP(B1277,[1]Sheet1!$B:$B,[1]Sheet1!$Q:$Q,0)</f>
        <v>0</v>
      </c>
      <c r="O1277" s="12">
        <f>_xlfn.XLOOKUP(B1277,[1]Sheet1!$B:$B,[1]Sheet1!$R:$R,0)</f>
        <v>0</v>
      </c>
      <c r="P1277" s="12">
        <f>_xlfn.XLOOKUP(B1277,[1]Sheet1!$B:$B,[1]Sheet1!$S:$S,0)</f>
        <v>0</v>
      </c>
      <c r="Q1277" s="12">
        <f>_xlfn.XLOOKUP(B1277,[1]Sheet1!$B:$B,[1]Sheet1!$T:$T,0)</f>
        <v>200000</v>
      </c>
      <c r="R1277" s="12">
        <f>_xlfn.XLOOKUP(B1277,[1]Sheet1!$B:$B,[1]Sheet1!$U:$U,0)</f>
        <v>0</v>
      </c>
      <c r="S1277" s="12">
        <f>_xlfn.XLOOKUP(B1277,[1]Sheet1!$B:$B,[1]Sheet1!$V:$V,0)</f>
        <v>200000</v>
      </c>
      <c r="T1277" s="12">
        <f>_xlfn.XLOOKUP(B1277,[1]Sheet1!$B:$B,[1]Sheet1!$W:$W,0)</f>
        <v>0</v>
      </c>
      <c r="U1277" s="12">
        <f>_xlfn.XLOOKUP(B1277,[1]Sheet1!$B:$B,[1]Sheet1!$X:$X,0)</f>
        <v>200000</v>
      </c>
      <c r="V1277" s="12">
        <f>_xlfn.XLOOKUP(B1277,[1]Sheet1!$B:$B,[1]Sheet1!$Y:$Y,0)</f>
        <v>0</v>
      </c>
      <c r="W1277" s="12">
        <f t="shared" si="41"/>
        <v>600000</v>
      </c>
      <c r="X1277" s="8" t="s">
        <v>1971</v>
      </c>
      <c r="Y1277" s="8" t="s">
        <v>65</v>
      </c>
      <c r="Z1277" s="8" t="s">
        <v>287</v>
      </c>
      <c r="AA1277" s="8" t="s">
        <v>305</v>
      </c>
      <c r="AB1277" s="8" t="s">
        <v>36</v>
      </c>
      <c r="AC1277" s="8" t="s">
        <v>37</v>
      </c>
      <c r="AD1277" s="8" t="s">
        <v>119</v>
      </c>
      <c r="AE1277" s="8" t="s">
        <v>39</v>
      </c>
      <c r="AF1277" s="8" t="s">
        <v>40</v>
      </c>
      <c r="AG1277" s="9">
        <v>600000</v>
      </c>
      <c r="AH1277" s="11">
        <f>_xlfn.XLOOKUP(B1277,[1]Sheet1!$B:$B,[1]Sheet1!$AB:$AB,0)</f>
        <v>600000</v>
      </c>
    </row>
    <row r="1278" spans="2:34" ht="16.8" thickTop="1" thickBot="1" x14ac:dyDescent="0.35">
      <c r="B1278" s="3" t="str">
        <f t="shared" si="40"/>
        <v>45113004511001543Research&amp;Survey-N423411200104</v>
      </c>
      <c r="C1278" s="6" t="s">
        <v>288</v>
      </c>
      <c r="D1278" s="6" t="s">
        <v>1972</v>
      </c>
      <c r="E1278" s="6" t="s">
        <v>1973</v>
      </c>
      <c r="F1278" s="6" t="s">
        <v>381</v>
      </c>
      <c r="G1278" s="4" t="s">
        <v>2833</v>
      </c>
      <c r="H1278" s="4" t="s">
        <v>2922</v>
      </c>
      <c r="I1278" s="6" t="s">
        <v>330</v>
      </c>
      <c r="J1278" s="6" t="s">
        <v>31</v>
      </c>
      <c r="K1278" s="12">
        <f>_xlfn.XLOOKUP(B1278,[1]Sheet1!$B:$B,[1]Sheet1!$N:$N,0)</f>
        <v>0</v>
      </c>
      <c r="L1278" s="12">
        <f>_xlfn.XLOOKUP(B1278,[1]Sheet1!$B:$B,[1]Sheet1!$O:$O,0)</f>
        <v>0</v>
      </c>
      <c r="M1278" s="12">
        <f>_xlfn.XLOOKUP(B1278,[1]Sheet1!$B:$B,[1]Sheet1!$P:$P,0)</f>
        <v>0</v>
      </c>
      <c r="N1278" s="12">
        <f>_xlfn.XLOOKUP(B1278,[1]Sheet1!$B:$B,[1]Sheet1!$Q:$Q,0)</f>
        <v>0</v>
      </c>
      <c r="O1278" s="12">
        <f>_xlfn.XLOOKUP(B1278,[1]Sheet1!$B:$B,[1]Sheet1!$R:$R,0)</f>
        <v>0</v>
      </c>
      <c r="P1278" s="12">
        <f>_xlfn.XLOOKUP(B1278,[1]Sheet1!$B:$B,[1]Sheet1!$S:$S,0)</f>
        <v>524073</v>
      </c>
      <c r="Q1278" s="12">
        <f>_xlfn.XLOOKUP(B1278,[1]Sheet1!$B:$B,[1]Sheet1!$T:$T,0)</f>
        <v>2087708.37</v>
      </c>
      <c r="R1278" s="12">
        <f>_xlfn.XLOOKUP(B1278,[1]Sheet1!$B:$B,[1]Sheet1!$U:$U,0)</f>
        <v>92256.33</v>
      </c>
      <c r="S1278" s="12">
        <f>_xlfn.XLOOKUP(B1278,[1]Sheet1!$B:$B,[1]Sheet1!$V:$V,0)</f>
        <v>978218.26</v>
      </c>
      <c r="T1278" s="12">
        <f>_xlfn.XLOOKUP(B1278,[1]Sheet1!$B:$B,[1]Sheet1!$W:$W,0)</f>
        <v>575742.32999999996</v>
      </c>
      <c r="U1278" s="12">
        <f>_xlfn.XLOOKUP(B1278,[1]Sheet1!$B:$B,[1]Sheet1!$X:$X,0)</f>
        <v>3424850.33</v>
      </c>
      <c r="V1278" s="12">
        <f>_xlfn.XLOOKUP(B1278,[1]Sheet1!$B:$B,[1]Sheet1!$Y:$Y,0)</f>
        <v>2394277</v>
      </c>
      <c r="W1278" s="12">
        <f t="shared" si="41"/>
        <v>10077125.620000001</v>
      </c>
      <c r="X1278" s="6" t="s">
        <v>1974</v>
      </c>
      <c r="Y1278" s="6" t="s">
        <v>65</v>
      </c>
      <c r="Z1278" s="6" t="s">
        <v>287</v>
      </c>
      <c r="AA1278" s="6" t="s">
        <v>330</v>
      </c>
      <c r="AB1278" s="6" t="s">
        <v>36</v>
      </c>
      <c r="AC1278" s="6" t="s">
        <v>37</v>
      </c>
      <c r="AD1278" s="6" t="s">
        <v>119</v>
      </c>
      <c r="AE1278" s="6" t="s">
        <v>39</v>
      </c>
      <c r="AF1278" s="6" t="s">
        <v>40</v>
      </c>
      <c r="AG1278" s="7">
        <v>6180900</v>
      </c>
      <c r="AH1278" s="11">
        <f>_xlfn.XLOOKUP(B1278,[1]Sheet1!$B:$B,[1]Sheet1!$AB:$AB,0)</f>
        <v>6180899.620000001</v>
      </c>
    </row>
    <row r="1279" spans="2:34" ht="16.8" thickTop="1" thickBot="1" x14ac:dyDescent="0.35">
      <c r="B1279" s="3" t="str">
        <f t="shared" si="40"/>
        <v>45113004511001544Research&amp;Survey-N423411200104</v>
      </c>
      <c r="C1279" s="8" t="s">
        <v>288</v>
      </c>
      <c r="D1279" s="8" t="s">
        <v>1975</v>
      </c>
      <c r="E1279" s="8" t="s">
        <v>1976</v>
      </c>
      <c r="F1279" s="8" t="s">
        <v>381</v>
      </c>
      <c r="G1279" s="4" t="s">
        <v>2833</v>
      </c>
      <c r="H1279" s="4" t="s">
        <v>2922</v>
      </c>
      <c r="I1279" s="8" t="s">
        <v>330</v>
      </c>
      <c r="J1279" s="8" t="s">
        <v>31</v>
      </c>
      <c r="K1279" s="12">
        <f>_xlfn.XLOOKUP(B1279,[1]Sheet1!$B:$B,[1]Sheet1!$N:$N,0)</f>
        <v>0</v>
      </c>
      <c r="L1279" s="12">
        <f>_xlfn.XLOOKUP(B1279,[1]Sheet1!$B:$B,[1]Sheet1!$O:$O,0)</f>
        <v>0</v>
      </c>
      <c r="M1279" s="12">
        <f>_xlfn.XLOOKUP(B1279,[1]Sheet1!$B:$B,[1]Sheet1!$P:$P,0)</f>
        <v>0</v>
      </c>
      <c r="N1279" s="12">
        <f>_xlfn.XLOOKUP(B1279,[1]Sheet1!$B:$B,[1]Sheet1!$Q:$Q,0)</f>
        <v>0</v>
      </c>
      <c r="O1279" s="12">
        <f>_xlfn.XLOOKUP(B1279,[1]Sheet1!$B:$B,[1]Sheet1!$R:$R,0)</f>
        <v>0</v>
      </c>
      <c r="P1279" s="12">
        <f>_xlfn.XLOOKUP(B1279,[1]Sheet1!$B:$B,[1]Sheet1!$S:$S,0)</f>
        <v>70000</v>
      </c>
      <c r="Q1279" s="12">
        <f>_xlfn.XLOOKUP(B1279,[1]Sheet1!$B:$B,[1]Sheet1!$T:$T,0)</f>
        <v>105235</v>
      </c>
      <c r="R1279" s="12">
        <f>_xlfn.XLOOKUP(B1279,[1]Sheet1!$B:$B,[1]Sheet1!$U:$U,0)</f>
        <v>190000</v>
      </c>
      <c r="S1279" s="12">
        <f>_xlfn.XLOOKUP(B1279,[1]Sheet1!$B:$B,[1]Sheet1!$V:$V,0)</f>
        <v>172500</v>
      </c>
      <c r="T1279" s="12">
        <f>_xlfn.XLOOKUP(B1279,[1]Sheet1!$B:$B,[1]Sheet1!$W:$W,0)</f>
        <v>317000</v>
      </c>
      <c r="U1279" s="12">
        <f>_xlfn.XLOOKUP(B1279,[1]Sheet1!$B:$B,[1]Sheet1!$X:$X,0)</f>
        <v>1165000</v>
      </c>
      <c r="V1279" s="12">
        <f>_xlfn.XLOOKUP(B1279,[1]Sheet1!$B:$B,[1]Sheet1!$Y:$Y,0)</f>
        <v>0</v>
      </c>
      <c r="W1279" s="12">
        <f t="shared" si="41"/>
        <v>2019735</v>
      </c>
      <c r="X1279" s="8" t="s">
        <v>1974</v>
      </c>
      <c r="Y1279" s="8" t="s">
        <v>65</v>
      </c>
      <c r="Z1279" s="8" t="s">
        <v>287</v>
      </c>
      <c r="AA1279" s="8" t="s">
        <v>330</v>
      </c>
      <c r="AB1279" s="8" t="s">
        <v>36</v>
      </c>
      <c r="AC1279" s="8" t="s">
        <v>37</v>
      </c>
      <c r="AD1279" s="8" t="s">
        <v>119</v>
      </c>
      <c r="AE1279" s="8" t="s">
        <v>39</v>
      </c>
      <c r="AF1279" s="8" t="s">
        <v>40</v>
      </c>
      <c r="AG1279" s="9">
        <v>2019735</v>
      </c>
      <c r="AH1279" s="11">
        <f>_xlfn.XLOOKUP(B1279,[1]Sheet1!$B:$B,[1]Sheet1!$AB:$AB,0)</f>
        <v>2019735</v>
      </c>
    </row>
    <row r="1280" spans="2:34" ht="16.8" thickTop="1" thickBot="1" x14ac:dyDescent="0.35">
      <c r="B1280" s="3" t="str">
        <f t="shared" si="40"/>
        <v>45115504511001545Media Mgmnt &amp;Buy-N422511200104</v>
      </c>
      <c r="C1280" s="6" t="s">
        <v>154</v>
      </c>
      <c r="D1280" s="6" t="s">
        <v>1977</v>
      </c>
      <c r="E1280" s="6" t="s">
        <v>1978</v>
      </c>
      <c r="F1280" s="6" t="s">
        <v>166</v>
      </c>
      <c r="G1280" s="4" t="s">
        <v>2819</v>
      </c>
      <c r="H1280" s="4" t="s">
        <v>2922</v>
      </c>
      <c r="I1280" s="6" t="s">
        <v>151</v>
      </c>
      <c r="J1280" s="6" t="s">
        <v>31</v>
      </c>
      <c r="K1280" s="12">
        <f>_xlfn.XLOOKUP(B1280,[1]Sheet1!$B:$B,[1]Sheet1!$N:$N,0)</f>
        <v>0</v>
      </c>
      <c r="L1280" s="12">
        <f>_xlfn.XLOOKUP(B1280,[1]Sheet1!$B:$B,[1]Sheet1!$O:$O,0)</f>
        <v>0</v>
      </c>
      <c r="M1280" s="12">
        <f>_xlfn.XLOOKUP(B1280,[1]Sheet1!$B:$B,[1]Sheet1!$P:$P,0)</f>
        <v>0</v>
      </c>
      <c r="N1280" s="12">
        <f>_xlfn.XLOOKUP(B1280,[1]Sheet1!$B:$B,[1]Sheet1!$Q:$Q,0)</f>
        <v>0</v>
      </c>
      <c r="O1280" s="12">
        <f>_xlfn.XLOOKUP(B1280,[1]Sheet1!$B:$B,[1]Sheet1!$R:$R,0)</f>
        <v>0</v>
      </c>
      <c r="P1280" s="12">
        <f>_xlfn.XLOOKUP(B1280,[1]Sheet1!$B:$B,[1]Sheet1!$S:$S,0)</f>
        <v>0</v>
      </c>
      <c r="Q1280" s="12">
        <f>_xlfn.XLOOKUP(B1280,[1]Sheet1!$B:$B,[1]Sheet1!$T:$T,0)</f>
        <v>0</v>
      </c>
      <c r="R1280" s="12">
        <f>_xlfn.XLOOKUP(B1280,[1]Sheet1!$B:$B,[1]Sheet1!$U:$U,0)</f>
        <v>0</v>
      </c>
      <c r="S1280" s="12">
        <f>_xlfn.XLOOKUP(B1280,[1]Sheet1!$B:$B,[1]Sheet1!$V:$V,0)</f>
        <v>0</v>
      </c>
      <c r="T1280" s="12">
        <f>_xlfn.XLOOKUP(B1280,[1]Sheet1!$B:$B,[1]Sheet1!$W:$W,0)</f>
        <v>0</v>
      </c>
      <c r="U1280" s="12">
        <f>_xlfn.XLOOKUP(B1280,[1]Sheet1!$B:$B,[1]Sheet1!$X:$X,0)</f>
        <v>0</v>
      </c>
      <c r="V1280" s="12">
        <f>_xlfn.XLOOKUP(B1280,[1]Sheet1!$B:$B,[1]Sheet1!$Y:$Y,0)</f>
        <v>10000</v>
      </c>
      <c r="W1280" s="12">
        <f t="shared" si="41"/>
        <v>10000</v>
      </c>
      <c r="X1280" s="6" t="s">
        <v>710</v>
      </c>
      <c r="Y1280" s="6" t="s">
        <v>65</v>
      </c>
      <c r="Z1280" s="6" t="s">
        <v>153</v>
      </c>
      <c r="AA1280" s="6" t="s">
        <v>151</v>
      </c>
      <c r="AB1280" s="6" t="s">
        <v>36</v>
      </c>
      <c r="AC1280" s="6" t="s">
        <v>37</v>
      </c>
      <c r="AD1280" s="6" t="s">
        <v>708</v>
      </c>
      <c r="AE1280" s="6" t="s">
        <v>39</v>
      </c>
      <c r="AF1280" s="6" t="s">
        <v>40</v>
      </c>
      <c r="AG1280" s="7">
        <v>10000</v>
      </c>
      <c r="AH1280" s="11">
        <f>_xlfn.XLOOKUP(B1280,[1]Sheet1!$B:$B,[1]Sheet1!$AB:$AB,0)</f>
        <v>10000</v>
      </c>
    </row>
    <row r="1281" spans="2:34" ht="16.8" thickTop="1" thickBot="1" x14ac:dyDescent="0.35">
      <c r="B1281" s="3" t="str">
        <f t="shared" si="40"/>
        <v>45115504511001545PR Mgmnt E-E-N424781200104</v>
      </c>
      <c r="C1281" s="8" t="s">
        <v>154</v>
      </c>
      <c r="D1281" s="8" t="s">
        <v>1977</v>
      </c>
      <c r="E1281" s="8" t="s">
        <v>1978</v>
      </c>
      <c r="F1281" s="8" t="s">
        <v>99</v>
      </c>
      <c r="G1281" s="4" t="s">
        <v>2815</v>
      </c>
      <c r="H1281" s="4" t="s">
        <v>2922</v>
      </c>
      <c r="I1281" s="8" t="s">
        <v>100</v>
      </c>
      <c r="J1281" s="8" t="s">
        <v>31</v>
      </c>
      <c r="K1281" s="12">
        <f>_xlfn.XLOOKUP(B1281,[1]Sheet1!$B:$B,[1]Sheet1!$N:$N,0)</f>
        <v>0</v>
      </c>
      <c r="L1281" s="12">
        <f>_xlfn.XLOOKUP(B1281,[1]Sheet1!$B:$B,[1]Sheet1!$O:$O,0)</f>
        <v>0</v>
      </c>
      <c r="M1281" s="12">
        <f>_xlfn.XLOOKUP(B1281,[1]Sheet1!$B:$B,[1]Sheet1!$P:$P,0)</f>
        <v>0</v>
      </c>
      <c r="N1281" s="12">
        <f>_xlfn.XLOOKUP(B1281,[1]Sheet1!$B:$B,[1]Sheet1!$Q:$Q,0)</f>
        <v>0</v>
      </c>
      <c r="O1281" s="12">
        <f>_xlfn.XLOOKUP(B1281,[1]Sheet1!$B:$B,[1]Sheet1!$R:$R,0)</f>
        <v>125000</v>
      </c>
      <c r="P1281" s="12">
        <f>_xlfn.XLOOKUP(B1281,[1]Sheet1!$B:$B,[1]Sheet1!$S:$S,0)</f>
        <v>125000</v>
      </c>
      <c r="Q1281" s="12">
        <f>_xlfn.XLOOKUP(B1281,[1]Sheet1!$B:$B,[1]Sheet1!$T:$T,0)</f>
        <v>125000</v>
      </c>
      <c r="R1281" s="12">
        <f>_xlfn.XLOOKUP(B1281,[1]Sheet1!$B:$B,[1]Sheet1!$U:$U,0)</f>
        <v>125000</v>
      </c>
      <c r="S1281" s="12">
        <f>_xlfn.XLOOKUP(B1281,[1]Sheet1!$B:$B,[1]Sheet1!$V:$V,0)</f>
        <v>125000</v>
      </c>
      <c r="T1281" s="12">
        <f>_xlfn.XLOOKUP(B1281,[1]Sheet1!$B:$B,[1]Sheet1!$W:$W,0)</f>
        <v>125000</v>
      </c>
      <c r="U1281" s="12">
        <f>_xlfn.XLOOKUP(B1281,[1]Sheet1!$B:$B,[1]Sheet1!$X:$X,0)</f>
        <v>125000</v>
      </c>
      <c r="V1281" s="12">
        <f>_xlfn.XLOOKUP(B1281,[1]Sheet1!$B:$B,[1]Sheet1!$Y:$Y,0)</f>
        <v>150351</v>
      </c>
      <c r="W1281" s="12">
        <f t="shared" si="41"/>
        <v>1025351</v>
      </c>
      <c r="X1281" s="8" t="s">
        <v>715</v>
      </c>
      <c r="Y1281" s="8" t="s">
        <v>65</v>
      </c>
      <c r="Z1281" s="8" t="s">
        <v>153</v>
      </c>
      <c r="AA1281" s="8" t="s">
        <v>100</v>
      </c>
      <c r="AB1281" s="8" t="s">
        <v>36</v>
      </c>
      <c r="AC1281" s="8" t="s">
        <v>37</v>
      </c>
      <c r="AD1281" s="8" t="s">
        <v>708</v>
      </c>
      <c r="AE1281" s="8" t="s">
        <v>39</v>
      </c>
      <c r="AF1281" s="8" t="s">
        <v>40</v>
      </c>
      <c r="AG1281" s="9">
        <v>1025351</v>
      </c>
      <c r="AH1281" s="11">
        <f>_xlfn.XLOOKUP(B1281,[1]Sheet1!$B:$B,[1]Sheet1!$AB:$AB,0)</f>
        <v>1025351</v>
      </c>
    </row>
    <row r="1282" spans="2:34" ht="16.8" thickTop="1" thickBot="1" x14ac:dyDescent="0.35">
      <c r="B1282" s="3" t="str">
        <f t="shared" si="40"/>
        <v>45115504511001545SM Managnt E-E-N422511200104</v>
      </c>
      <c r="C1282" s="6" t="s">
        <v>154</v>
      </c>
      <c r="D1282" s="6" t="s">
        <v>1977</v>
      </c>
      <c r="E1282" s="6" t="s">
        <v>1978</v>
      </c>
      <c r="F1282" s="6" t="s">
        <v>255</v>
      </c>
      <c r="G1282" s="4" t="s">
        <v>2819</v>
      </c>
      <c r="H1282" s="4" t="s">
        <v>2922</v>
      </c>
      <c r="I1282" s="6" t="s">
        <v>151</v>
      </c>
      <c r="J1282" s="6" t="s">
        <v>31</v>
      </c>
      <c r="K1282" s="12">
        <f>_xlfn.XLOOKUP(B1282,[1]Sheet1!$B:$B,[1]Sheet1!$N:$N,0)</f>
        <v>0</v>
      </c>
      <c r="L1282" s="12">
        <f>_xlfn.XLOOKUP(B1282,[1]Sheet1!$B:$B,[1]Sheet1!$O:$O,0)</f>
        <v>0</v>
      </c>
      <c r="M1282" s="12">
        <f>_xlfn.XLOOKUP(B1282,[1]Sheet1!$B:$B,[1]Sheet1!$P:$P,0)</f>
        <v>0</v>
      </c>
      <c r="N1282" s="12">
        <f>_xlfn.XLOOKUP(B1282,[1]Sheet1!$B:$B,[1]Sheet1!$Q:$Q,0)</f>
        <v>0</v>
      </c>
      <c r="O1282" s="12">
        <f>_xlfn.XLOOKUP(B1282,[1]Sheet1!$B:$B,[1]Sheet1!$R:$R,0)</f>
        <v>75000</v>
      </c>
      <c r="P1282" s="12">
        <f>_xlfn.XLOOKUP(B1282,[1]Sheet1!$B:$B,[1]Sheet1!$S:$S,0)</f>
        <v>75000</v>
      </c>
      <c r="Q1282" s="12">
        <f>_xlfn.XLOOKUP(B1282,[1]Sheet1!$B:$B,[1]Sheet1!$T:$T,0)</f>
        <v>75000</v>
      </c>
      <c r="R1282" s="12">
        <f>_xlfn.XLOOKUP(B1282,[1]Sheet1!$B:$B,[1]Sheet1!$U:$U,0)</f>
        <v>75000</v>
      </c>
      <c r="S1282" s="12">
        <f>_xlfn.XLOOKUP(B1282,[1]Sheet1!$B:$B,[1]Sheet1!$V:$V,0)</f>
        <v>75000</v>
      </c>
      <c r="T1282" s="12">
        <f>_xlfn.XLOOKUP(B1282,[1]Sheet1!$B:$B,[1]Sheet1!$W:$W,0)</f>
        <v>75000</v>
      </c>
      <c r="U1282" s="12">
        <f>_xlfn.XLOOKUP(B1282,[1]Sheet1!$B:$B,[1]Sheet1!$X:$X,0)</f>
        <v>75000</v>
      </c>
      <c r="V1282" s="12">
        <f>_xlfn.XLOOKUP(B1282,[1]Sheet1!$B:$B,[1]Sheet1!$Y:$Y,0)</f>
        <v>75000</v>
      </c>
      <c r="W1282" s="12">
        <f t="shared" si="41"/>
        <v>600000</v>
      </c>
      <c r="X1282" s="6" t="s">
        <v>710</v>
      </c>
      <c r="Y1282" s="6" t="s">
        <v>65</v>
      </c>
      <c r="Z1282" s="6" t="s">
        <v>153</v>
      </c>
      <c r="AA1282" s="6" t="s">
        <v>151</v>
      </c>
      <c r="AB1282" s="6" t="s">
        <v>36</v>
      </c>
      <c r="AC1282" s="6" t="s">
        <v>37</v>
      </c>
      <c r="AD1282" s="6" t="s">
        <v>708</v>
      </c>
      <c r="AE1282" s="6" t="s">
        <v>39</v>
      </c>
      <c r="AF1282" s="6" t="s">
        <v>40</v>
      </c>
      <c r="AG1282" s="7">
        <v>600000</v>
      </c>
      <c r="AH1282" s="11">
        <f>_xlfn.XLOOKUP(B1282,[1]Sheet1!$B:$B,[1]Sheet1!$AB:$AB,0)</f>
        <v>600000</v>
      </c>
    </row>
    <row r="1283" spans="2:34" ht="16.8" thickTop="1" thickBot="1" x14ac:dyDescent="0.35">
      <c r="B1283" s="3" t="str">
        <f t="shared" si="40"/>
        <v>45115504511001546PR Mgmnt E-E-N424781200104</v>
      </c>
      <c r="C1283" s="8" t="s">
        <v>154</v>
      </c>
      <c r="D1283" s="8" t="s">
        <v>1979</v>
      </c>
      <c r="E1283" s="8" t="s">
        <v>1980</v>
      </c>
      <c r="F1283" s="8" t="s">
        <v>99</v>
      </c>
      <c r="G1283" s="4" t="s">
        <v>2815</v>
      </c>
      <c r="H1283" s="4" t="s">
        <v>2922</v>
      </c>
      <c r="I1283" s="8" t="s">
        <v>100</v>
      </c>
      <c r="J1283" s="8" t="s">
        <v>31</v>
      </c>
      <c r="K1283" s="12">
        <f>_xlfn.XLOOKUP(B1283,[1]Sheet1!$B:$B,[1]Sheet1!$N:$N,0)</f>
        <v>0</v>
      </c>
      <c r="L1283" s="12">
        <f>_xlfn.XLOOKUP(B1283,[1]Sheet1!$B:$B,[1]Sheet1!$O:$O,0)</f>
        <v>0</v>
      </c>
      <c r="M1283" s="12">
        <f>_xlfn.XLOOKUP(B1283,[1]Sheet1!$B:$B,[1]Sheet1!$P:$P,0)</f>
        <v>0</v>
      </c>
      <c r="N1283" s="12">
        <f>_xlfn.XLOOKUP(B1283,[1]Sheet1!$B:$B,[1]Sheet1!$Q:$Q,0)</f>
        <v>50000</v>
      </c>
      <c r="O1283" s="12">
        <f>_xlfn.XLOOKUP(B1283,[1]Sheet1!$B:$B,[1]Sheet1!$R:$R,0)</f>
        <v>0</v>
      </c>
      <c r="P1283" s="12">
        <f>_xlfn.XLOOKUP(B1283,[1]Sheet1!$B:$B,[1]Sheet1!$S:$S,0)</f>
        <v>0</v>
      </c>
      <c r="Q1283" s="12">
        <f>_xlfn.XLOOKUP(B1283,[1]Sheet1!$B:$B,[1]Sheet1!$T:$T,0)</f>
        <v>0</v>
      </c>
      <c r="R1283" s="12">
        <f>_xlfn.XLOOKUP(B1283,[1]Sheet1!$B:$B,[1]Sheet1!$U:$U,0)</f>
        <v>0</v>
      </c>
      <c r="S1283" s="12">
        <f>_xlfn.XLOOKUP(B1283,[1]Sheet1!$B:$B,[1]Sheet1!$V:$V,0)</f>
        <v>0</v>
      </c>
      <c r="T1283" s="12">
        <f>_xlfn.XLOOKUP(B1283,[1]Sheet1!$B:$B,[1]Sheet1!$W:$W,0)</f>
        <v>129868</v>
      </c>
      <c r="U1283" s="12">
        <f>_xlfn.XLOOKUP(B1283,[1]Sheet1!$B:$B,[1]Sheet1!$X:$X,0)</f>
        <v>0</v>
      </c>
      <c r="V1283" s="12">
        <f>_xlfn.XLOOKUP(B1283,[1]Sheet1!$B:$B,[1]Sheet1!$Y:$Y,0)</f>
        <v>0</v>
      </c>
      <c r="W1283" s="12">
        <f t="shared" si="41"/>
        <v>179868</v>
      </c>
      <c r="X1283" s="8" t="s">
        <v>715</v>
      </c>
      <c r="Y1283" s="8" t="s">
        <v>65</v>
      </c>
      <c r="Z1283" s="8" t="s">
        <v>153</v>
      </c>
      <c r="AA1283" s="8" t="s">
        <v>100</v>
      </c>
      <c r="AB1283" s="8" t="s">
        <v>36</v>
      </c>
      <c r="AC1283" s="8" t="s">
        <v>37</v>
      </c>
      <c r="AD1283" s="8" t="s">
        <v>708</v>
      </c>
      <c r="AE1283" s="8" t="s">
        <v>39</v>
      </c>
      <c r="AF1283" s="8" t="s">
        <v>40</v>
      </c>
      <c r="AG1283" s="9">
        <v>179868</v>
      </c>
      <c r="AH1283" s="11">
        <f>_xlfn.XLOOKUP(B1283,[1]Sheet1!$B:$B,[1]Sheet1!$AB:$AB,0)</f>
        <v>179868</v>
      </c>
    </row>
    <row r="1284" spans="2:34" ht="16.8" thickTop="1" thickBot="1" x14ac:dyDescent="0.35">
      <c r="B1284" s="3" t="str">
        <f t="shared" ref="B1284:B1347" si="42">C1284&amp;D1284&amp;F1284&amp;G1284&amp;H1284</f>
        <v>45115504511001546SM Managnt E-E-N422511200104</v>
      </c>
      <c r="C1284" s="6" t="s">
        <v>154</v>
      </c>
      <c r="D1284" s="6" t="s">
        <v>1979</v>
      </c>
      <c r="E1284" s="6" t="s">
        <v>1980</v>
      </c>
      <c r="F1284" s="6" t="s">
        <v>255</v>
      </c>
      <c r="G1284" s="4" t="s">
        <v>2819</v>
      </c>
      <c r="H1284" s="4" t="s">
        <v>2922</v>
      </c>
      <c r="I1284" s="6" t="s">
        <v>151</v>
      </c>
      <c r="J1284" s="6" t="s">
        <v>31</v>
      </c>
      <c r="K1284" s="12">
        <f>_xlfn.XLOOKUP(B1284,[1]Sheet1!$B:$B,[1]Sheet1!$N:$N,0)</f>
        <v>0</v>
      </c>
      <c r="L1284" s="12">
        <f>_xlfn.XLOOKUP(B1284,[1]Sheet1!$B:$B,[1]Sheet1!$O:$O,0)</f>
        <v>0</v>
      </c>
      <c r="M1284" s="12">
        <f>_xlfn.XLOOKUP(B1284,[1]Sheet1!$B:$B,[1]Sheet1!$P:$P,0)</f>
        <v>0</v>
      </c>
      <c r="N1284" s="12">
        <f>_xlfn.XLOOKUP(B1284,[1]Sheet1!$B:$B,[1]Sheet1!$Q:$Q,0)</f>
        <v>140000</v>
      </c>
      <c r="O1284" s="12">
        <f>_xlfn.XLOOKUP(B1284,[1]Sheet1!$B:$B,[1]Sheet1!$R:$R,0)</f>
        <v>35000</v>
      </c>
      <c r="P1284" s="12">
        <f>_xlfn.XLOOKUP(B1284,[1]Sheet1!$B:$B,[1]Sheet1!$S:$S,0)</f>
        <v>35000</v>
      </c>
      <c r="Q1284" s="12">
        <f>_xlfn.XLOOKUP(B1284,[1]Sheet1!$B:$B,[1]Sheet1!$T:$T,0)</f>
        <v>35000</v>
      </c>
      <c r="R1284" s="12">
        <f>_xlfn.XLOOKUP(B1284,[1]Sheet1!$B:$B,[1]Sheet1!$U:$U,0)</f>
        <v>35000</v>
      </c>
      <c r="S1284" s="12">
        <f>_xlfn.XLOOKUP(B1284,[1]Sheet1!$B:$B,[1]Sheet1!$V:$V,0)</f>
        <v>35000</v>
      </c>
      <c r="T1284" s="12">
        <f>_xlfn.XLOOKUP(B1284,[1]Sheet1!$B:$B,[1]Sheet1!$W:$W,0)</f>
        <v>35000</v>
      </c>
      <c r="U1284" s="12">
        <f>_xlfn.XLOOKUP(B1284,[1]Sheet1!$B:$B,[1]Sheet1!$X:$X,0)</f>
        <v>35000</v>
      </c>
      <c r="V1284" s="12">
        <f>_xlfn.XLOOKUP(B1284,[1]Sheet1!$B:$B,[1]Sheet1!$Y:$Y,0)</f>
        <v>35000</v>
      </c>
      <c r="W1284" s="12">
        <f t="shared" ref="W1284:W1347" si="43">SUM(K1284:V1284)</f>
        <v>420000</v>
      </c>
      <c r="X1284" s="6" t="s">
        <v>710</v>
      </c>
      <c r="Y1284" s="6" t="s">
        <v>65</v>
      </c>
      <c r="Z1284" s="6" t="s">
        <v>153</v>
      </c>
      <c r="AA1284" s="6" t="s">
        <v>151</v>
      </c>
      <c r="AB1284" s="6" t="s">
        <v>36</v>
      </c>
      <c r="AC1284" s="6" t="s">
        <v>37</v>
      </c>
      <c r="AD1284" s="6" t="s">
        <v>708</v>
      </c>
      <c r="AE1284" s="6" t="s">
        <v>39</v>
      </c>
      <c r="AF1284" s="6" t="s">
        <v>40</v>
      </c>
      <c r="AG1284" s="7">
        <v>420000</v>
      </c>
      <c r="AH1284" s="11">
        <f>_xlfn.XLOOKUP(B1284,[1]Sheet1!$B:$B,[1]Sheet1!$AB:$AB,0)</f>
        <v>420000</v>
      </c>
    </row>
    <row r="1285" spans="2:34" ht="16.8" thickTop="1" thickBot="1" x14ac:dyDescent="0.35">
      <c r="B1285" s="3" t="str">
        <f t="shared" si="42"/>
        <v>45131404511001547CampaignProductn-L422511201931</v>
      </c>
      <c r="C1285" s="8" t="s">
        <v>335</v>
      </c>
      <c r="D1285" s="8" t="s">
        <v>1981</v>
      </c>
      <c r="E1285" s="8" t="s">
        <v>1982</v>
      </c>
      <c r="F1285" s="8" t="s">
        <v>345</v>
      </c>
      <c r="G1285" s="4" t="s">
        <v>2819</v>
      </c>
      <c r="H1285" s="4" t="s">
        <v>2925</v>
      </c>
      <c r="I1285" s="8" t="s">
        <v>151</v>
      </c>
      <c r="J1285" s="8" t="s">
        <v>31</v>
      </c>
      <c r="K1285" s="12">
        <f>_xlfn.XLOOKUP(B1285,[1]Sheet1!$B:$B,[1]Sheet1!$N:$N,0)</f>
        <v>0</v>
      </c>
      <c r="L1285" s="12">
        <f>_xlfn.XLOOKUP(B1285,[1]Sheet1!$B:$B,[1]Sheet1!$O:$O,0)</f>
        <v>0</v>
      </c>
      <c r="M1285" s="12">
        <f>_xlfn.XLOOKUP(B1285,[1]Sheet1!$B:$B,[1]Sheet1!$P:$P,0)</f>
        <v>0</v>
      </c>
      <c r="N1285" s="12">
        <f>_xlfn.XLOOKUP(B1285,[1]Sheet1!$B:$B,[1]Sheet1!$Q:$Q,0)</f>
        <v>0</v>
      </c>
      <c r="O1285" s="12">
        <f>_xlfn.XLOOKUP(B1285,[1]Sheet1!$B:$B,[1]Sheet1!$R:$R,0)</f>
        <v>0</v>
      </c>
      <c r="P1285" s="12">
        <f>_xlfn.XLOOKUP(B1285,[1]Sheet1!$B:$B,[1]Sheet1!$S:$S,0)</f>
        <v>0</v>
      </c>
      <c r="Q1285" s="12">
        <f>_xlfn.XLOOKUP(B1285,[1]Sheet1!$B:$B,[1]Sheet1!$T:$T,0)</f>
        <v>0</v>
      </c>
      <c r="R1285" s="12">
        <f>_xlfn.XLOOKUP(B1285,[1]Sheet1!$B:$B,[1]Sheet1!$U:$U,0)</f>
        <v>0</v>
      </c>
      <c r="S1285" s="12">
        <f>_xlfn.XLOOKUP(B1285,[1]Sheet1!$B:$B,[1]Sheet1!$V:$V,0)</f>
        <v>0</v>
      </c>
      <c r="T1285" s="12">
        <f>_xlfn.XLOOKUP(B1285,[1]Sheet1!$B:$B,[1]Sheet1!$W:$W,0)</f>
        <v>0</v>
      </c>
      <c r="U1285" s="12">
        <f>_xlfn.XLOOKUP(B1285,[1]Sheet1!$B:$B,[1]Sheet1!$X:$X,0)</f>
        <v>0</v>
      </c>
      <c r="V1285" s="12">
        <f>_xlfn.XLOOKUP(B1285,[1]Sheet1!$B:$B,[1]Sheet1!$Y:$Y,0)</f>
        <v>2000000</v>
      </c>
      <c r="W1285" s="12">
        <f t="shared" si="43"/>
        <v>2000000</v>
      </c>
      <c r="X1285" s="8" t="s">
        <v>1764</v>
      </c>
      <c r="Y1285" s="8" t="s">
        <v>319</v>
      </c>
      <c r="Z1285" s="8" t="s">
        <v>334</v>
      </c>
      <c r="AA1285" s="8" t="s">
        <v>151</v>
      </c>
      <c r="AB1285" s="8" t="s">
        <v>327</v>
      </c>
      <c r="AC1285" s="8" t="s">
        <v>37</v>
      </c>
      <c r="AD1285" s="8" t="s">
        <v>322</v>
      </c>
      <c r="AE1285" s="8" t="s">
        <v>39</v>
      </c>
      <c r="AF1285" s="8" t="s">
        <v>40</v>
      </c>
      <c r="AG1285" s="9">
        <v>4022112</v>
      </c>
      <c r="AH1285" s="11">
        <f>_xlfn.XLOOKUP(B1285,[1]Sheet1!$B:$B,[1]Sheet1!$AB:$AB,0)</f>
        <v>4022112</v>
      </c>
    </row>
    <row r="1286" spans="2:34" ht="16.8" thickTop="1" thickBot="1" x14ac:dyDescent="0.35">
      <c r="B1286" s="3" t="str">
        <f t="shared" si="42"/>
        <v>45131304511001547Celebrities-L422511201931</v>
      </c>
      <c r="C1286" s="6" t="s">
        <v>321</v>
      </c>
      <c r="D1286" s="6" t="s">
        <v>1981</v>
      </c>
      <c r="E1286" s="6" t="s">
        <v>1982</v>
      </c>
      <c r="F1286" s="6" t="s">
        <v>1585</v>
      </c>
      <c r="G1286" s="4" t="s">
        <v>2819</v>
      </c>
      <c r="H1286" s="4" t="s">
        <v>2925</v>
      </c>
      <c r="I1286" s="6" t="s">
        <v>151</v>
      </c>
      <c r="J1286" s="6" t="s">
        <v>31</v>
      </c>
      <c r="K1286" s="12">
        <f>_xlfn.XLOOKUP(B1286,[1]Sheet1!$B:$B,[1]Sheet1!$N:$N,0)</f>
        <v>0</v>
      </c>
      <c r="L1286" s="12">
        <f>_xlfn.XLOOKUP(B1286,[1]Sheet1!$B:$B,[1]Sheet1!$O:$O,0)</f>
        <v>0</v>
      </c>
      <c r="M1286" s="12">
        <f>_xlfn.XLOOKUP(B1286,[1]Sheet1!$B:$B,[1]Sheet1!$P:$P,0)</f>
        <v>0</v>
      </c>
      <c r="N1286" s="12">
        <f>_xlfn.XLOOKUP(B1286,[1]Sheet1!$B:$B,[1]Sheet1!$Q:$Q,0)</f>
        <v>0</v>
      </c>
      <c r="O1286" s="12">
        <f>_xlfn.XLOOKUP(B1286,[1]Sheet1!$B:$B,[1]Sheet1!$R:$R,0)</f>
        <v>0</v>
      </c>
      <c r="P1286" s="12">
        <f>_xlfn.XLOOKUP(B1286,[1]Sheet1!$B:$B,[1]Sheet1!$S:$S,0)</f>
        <v>0</v>
      </c>
      <c r="Q1286" s="12">
        <f>_xlfn.XLOOKUP(B1286,[1]Sheet1!$B:$B,[1]Sheet1!$T:$T,0)</f>
        <v>0</v>
      </c>
      <c r="R1286" s="12">
        <f>_xlfn.XLOOKUP(B1286,[1]Sheet1!$B:$B,[1]Sheet1!$U:$U,0)</f>
        <v>0</v>
      </c>
      <c r="S1286" s="12">
        <f>_xlfn.XLOOKUP(B1286,[1]Sheet1!$B:$B,[1]Sheet1!$V:$V,0)</f>
        <v>0</v>
      </c>
      <c r="T1286" s="12">
        <f>_xlfn.XLOOKUP(B1286,[1]Sheet1!$B:$B,[1]Sheet1!$W:$W,0)</f>
        <v>0</v>
      </c>
      <c r="U1286" s="12">
        <f>_xlfn.XLOOKUP(B1286,[1]Sheet1!$B:$B,[1]Sheet1!$X:$X,0)</f>
        <v>0</v>
      </c>
      <c r="V1286" s="12">
        <f>_xlfn.XLOOKUP(B1286,[1]Sheet1!$B:$B,[1]Sheet1!$Y:$Y,0)</f>
        <v>106614</v>
      </c>
      <c r="W1286" s="12">
        <f t="shared" si="43"/>
        <v>106614</v>
      </c>
      <c r="X1286" s="6" t="s">
        <v>560</v>
      </c>
      <c r="Y1286" s="6" t="s">
        <v>319</v>
      </c>
      <c r="Z1286" s="6" t="s">
        <v>320</v>
      </c>
      <c r="AA1286" s="6" t="s">
        <v>151</v>
      </c>
      <c r="AB1286" s="6" t="s">
        <v>327</v>
      </c>
      <c r="AC1286" s="6" t="s">
        <v>37</v>
      </c>
      <c r="AD1286" s="6" t="s">
        <v>322</v>
      </c>
      <c r="AE1286" s="6" t="s">
        <v>39</v>
      </c>
      <c r="AF1286" s="6" t="s">
        <v>40</v>
      </c>
      <c r="AG1286" s="7">
        <v>106614</v>
      </c>
      <c r="AH1286" s="11">
        <f>_xlfn.XLOOKUP(B1286,[1]Sheet1!$B:$B,[1]Sheet1!$AB:$AB,0)</f>
        <v>106614</v>
      </c>
    </row>
    <row r="1287" spans="2:34" ht="16.8" thickTop="1" thickBot="1" x14ac:dyDescent="0.35">
      <c r="B1287" s="3" t="str">
        <f t="shared" si="42"/>
        <v>45131304511001547Media Mgmnt &amp;Buy-L422511201931</v>
      </c>
      <c r="C1287" s="8" t="s">
        <v>321</v>
      </c>
      <c r="D1287" s="8" t="s">
        <v>1981</v>
      </c>
      <c r="E1287" s="8" t="s">
        <v>1982</v>
      </c>
      <c r="F1287" s="8" t="s">
        <v>559</v>
      </c>
      <c r="G1287" s="4" t="s">
        <v>2819</v>
      </c>
      <c r="H1287" s="4" t="s">
        <v>2925</v>
      </c>
      <c r="I1287" s="8" t="s">
        <v>151</v>
      </c>
      <c r="J1287" s="8" t="s">
        <v>31</v>
      </c>
      <c r="K1287" s="12">
        <f>_xlfn.XLOOKUP(B1287,[1]Sheet1!$B:$B,[1]Sheet1!$N:$N,0)</f>
        <v>0</v>
      </c>
      <c r="L1287" s="12">
        <f>_xlfn.XLOOKUP(B1287,[1]Sheet1!$B:$B,[1]Sheet1!$O:$O,0)</f>
        <v>0</v>
      </c>
      <c r="M1287" s="12">
        <f>_xlfn.XLOOKUP(B1287,[1]Sheet1!$B:$B,[1]Sheet1!$P:$P,0)</f>
        <v>0</v>
      </c>
      <c r="N1287" s="12">
        <f>_xlfn.XLOOKUP(B1287,[1]Sheet1!$B:$B,[1]Sheet1!$Q:$Q,0)</f>
        <v>0</v>
      </c>
      <c r="O1287" s="12">
        <f>_xlfn.XLOOKUP(B1287,[1]Sheet1!$B:$B,[1]Sheet1!$R:$R,0)</f>
        <v>0</v>
      </c>
      <c r="P1287" s="12">
        <f>_xlfn.XLOOKUP(B1287,[1]Sheet1!$B:$B,[1]Sheet1!$S:$S,0)</f>
        <v>0</v>
      </c>
      <c r="Q1287" s="12">
        <f>_xlfn.XLOOKUP(B1287,[1]Sheet1!$B:$B,[1]Sheet1!$T:$T,0)</f>
        <v>0</v>
      </c>
      <c r="R1287" s="12">
        <f>_xlfn.XLOOKUP(B1287,[1]Sheet1!$B:$B,[1]Sheet1!$U:$U,0)</f>
        <v>0</v>
      </c>
      <c r="S1287" s="12">
        <f>_xlfn.XLOOKUP(B1287,[1]Sheet1!$B:$B,[1]Sheet1!$V:$V,0)</f>
        <v>0</v>
      </c>
      <c r="T1287" s="12">
        <f>_xlfn.XLOOKUP(B1287,[1]Sheet1!$B:$B,[1]Sheet1!$W:$W,0)</f>
        <v>0</v>
      </c>
      <c r="U1287" s="12">
        <f>_xlfn.XLOOKUP(B1287,[1]Sheet1!$B:$B,[1]Sheet1!$X:$X,0)</f>
        <v>0</v>
      </c>
      <c r="V1287" s="12">
        <f>_xlfn.XLOOKUP(B1287,[1]Sheet1!$B:$B,[1]Sheet1!$Y:$Y,0)</f>
        <v>55951.704021809404</v>
      </c>
      <c r="W1287" s="12">
        <f t="shared" si="43"/>
        <v>55951.704021809404</v>
      </c>
      <c r="X1287" s="8" t="s">
        <v>560</v>
      </c>
      <c r="Y1287" s="8" t="s">
        <v>319</v>
      </c>
      <c r="Z1287" s="8" t="s">
        <v>320</v>
      </c>
      <c r="AA1287" s="8" t="s">
        <v>151</v>
      </c>
      <c r="AB1287" s="8" t="s">
        <v>327</v>
      </c>
      <c r="AC1287" s="8" t="s">
        <v>37</v>
      </c>
      <c r="AD1287" s="8" t="s">
        <v>322</v>
      </c>
      <c r="AE1287" s="8" t="s">
        <v>39</v>
      </c>
      <c r="AF1287" s="8" t="s">
        <v>40</v>
      </c>
      <c r="AG1287" s="9">
        <v>55952</v>
      </c>
      <c r="AH1287" s="11">
        <f>_xlfn.XLOOKUP(B1287,[1]Sheet1!$B:$B,[1]Sheet1!$AB:$AB,0)</f>
        <v>55951.704021809404</v>
      </c>
    </row>
    <row r="1288" spans="2:34" ht="16.8" thickTop="1" thickBot="1" x14ac:dyDescent="0.35">
      <c r="B1288" s="3" t="str">
        <f t="shared" si="42"/>
        <v>45131304511001548Media Mgmnt &amp;Buy-L422511201931</v>
      </c>
      <c r="C1288" s="6" t="s">
        <v>321</v>
      </c>
      <c r="D1288" s="6" t="s">
        <v>1983</v>
      </c>
      <c r="E1288" s="6" t="s">
        <v>1984</v>
      </c>
      <c r="F1288" s="6" t="s">
        <v>559</v>
      </c>
      <c r="G1288" s="4" t="s">
        <v>2819</v>
      </c>
      <c r="H1288" s="4" t="s">
        <v>2925</v>
      </c>
      <c r="I1288" s="6" t="s">
        <v>151</v>
      </c>
      <c r="J1288" s="6" t="s">
        <v>31</v>
      </c>
      <c r="K1288" s="12">
        <f>_xlfn.XLOOKUP(B1288,[1]Sheet1!$B:$B,[1]Sheet1!$N:$N,0)</f>
        <v>0</v>
      </c>
      <c r="L1288" s="12">
        <f>_xlfn.XLOOKUP(B1288,[1]Sheet1!$B:$B,[1]Sheet1!$O:$O,0)</f>
        <v>0</v>
      </c>
      <c r="M1288" s="12">
        <f>_xlfn.XLOOKUP(B1288,[1]Sheet1!$B:$B,[1]Sheet1!$P:$P,0)</f>
        <v>0</v>
      </c>
      <c r="N1288" s="12">
        <f>_xlfn.XLOOKUP(B1288,[1]Sheet1!$B:$B,[1]Sheet1!$Q:$Q,0)</f>
        <v>0</v>
      </c>
      <c r="O1288" s="12">
        <f>_xlfn.XLOOKUP(B1288,[1]Sheet1!$B:$B,[1]Sheet1!$R:$R,0)</f>
        <v>342820.84798029787</v>
      </c>
      <c r="P1288" s="12">
        <f>_xlfn.XLOOKUP(B1288,[1]Sheet1!$B:$B,[1]Sheet1!$S:$S,0)</f>
        <v>79112.343341019354</v>
      </c>
      <c r="Q1288" s="12">
        <f>_xlfn.XLOOKUP(B1288,[1]Sheet1!$B:$B,[1]Sheet1!$T:$T,0)</f>
        <v>79112.343341019354</v>
      </c>
      <c r="R1288" s="12">
        <f>_xlfn.XLOOKUP(B1288,[1]Sheet1!$B:$B,[1]Sheet1!$U:$U,0)</f>
        <v>79112.343341019354</v>
      </c>
      <c r="S1288" s="12">
        <f>_xlfn.XLOOKUP(B1288,[1]Sheet1!$B:$B,[1]Sheet1!$V:$V,0)</f>
        <v>79112.343341019354</v>
      </c>
      <c r="T1288" s="12">
        <f>_xlfn.XLOOKUP(B1288,[1]Sheet1!$B:$B,[1]Sheet1!$W:$W,0)</f>
        <v>79112.343341019354</v>
      </c>
      <c r="U1288" s="12">
        <f>_xlfn.XLOOKUP(B1288,[1]Sheet1!$B:$B,[1]Sheet1!$X:$X,0)</f>
        <v>131854.25231963926</v>
      </c>
      <c r="V1288" s="12">
        <f>_xlfn.XLOOKUP(B1288,[1]Sheet1!$B:$B,[1]Sheet1!$Y:$Y,0)</f>
        <v>158225.20680894921</v>
      </c>
      <c r="W1288" s="12">
        <f t="shared" si="43"/>
        <v>1028462.0238139831</v>
      </c>
      <c r="X1288" s="6" t="s">
        <v>1985</v>
      </c>
      <c r="Y1288" s="6" t="s">
        <v>319</v>
      </c>
      <c r="Z1288" s="6" t="s">
        <v>320</v>
      </c>
      <c r="AA1288" s="6" t="s">
        <v>151</v>
      </c>
      <c r="AB1288" s="6" t="s">
        <v>327</v>
      </c>
      <c r="AC1288" s="6" t="s">
        <v>37</v>
      </c>
      <c r="AD1288" s="6" t="s">
        <v>1986</v>
      </c>
      <c r="AE1288" s="6" t="s">
        <v>39</v>
      </c>
      <c r="AF1288" s="6" t="s">
        <v>40</v>
      </c>
      <c r="AG1288" s="7">
        <v>1028462</v>
      </c>
      <c r="AH1288" s="11">
        <f>_xlfn.XLOOKUP(B1288,[1]Sheet1!$B:$B,[1]Sheet1!$AB:$AB,0)</f>
        <v>1028462.0238139831</v>
      </c>
    </row>
    <row r="1289" spans="2:34" ht="16.8" thickTop="1" thickBot="1" x14ac:dyDescent="0.35">
      <c r="B1289" s="3" t="str">
        <f t="shared" si="42"/>
        <v>45131304511001549Media Mgmnt &amp;Buy-L422511201931</v>
      </c>
      <c r="C1289" s="8" t="s">
        <v>321</v>
      </c>
      <c r="D1289" s="8" t="s">
        <v>1987</v>
      </c>
      <c r="E1289" s="8" t="s">
        <v>1988</v>
      </c>
      <c r="F1289" s="8" t="s">
        <v>559</v>
      </c>
      <c r="G1289" s="4" t="s">
        <v>2819</v>
      </c>
      <c r="H1289" s="4" t="s">
        <v>2925</v>
      </c>
      <c r="I1289" s="8" t="s">
        <v>151</v>
      </c>
      <c r="J1289" s="8" t="s">
        <v>31</v>
      </c>
      <c r="K1289" s="12">
        <f>_xlfn.XLOOKUP(B1289,[1]Sheet1!$B:$B,[1]Sheet1!$N:$N,0)</f>
        <v>0</v>
      </c>
      <c r="L1289" s="12">
        <f>_xlfn.XLOOKUP(B1289,[1]Sheet1!$B:$B,[1]Sheet1!$O:$O,0)</f>
        <v>0</v>
      </c>
      <c r="M1289" s="12">
        <f>_xlfn.XLOOKUP(B1289,[1]Sheet1!$B:$B,[1]Sheet1!$P:$P,0)</f>
        <v>0</v>
      </c>
      <c r="N1289" s="12">
        <f>_xlfn.XLOOKUP(B1289,[1]Sheet1!$B:$B,[1]Sheet1!$Q:$Q,0)</f>
        <v>0</v>
      </c>
      <c r="O1289" s="12">
        <f>_xlfn.XLOOKUP(B1289,[1]Sheet1!$B:$B,[1]Sheet1!$R:$R,0)</f>
        <v>57743.263100790879</v>
      </c>
      <c r="P1289" s="12">
        <f>_xlfn.XLOOKUP(B1289,[1]Sheet1!$B:$B,[1]Sheet1!$S:$S,0)</f>
        <v>13325.341451588498</v>
      </c>
      <c r="Q1289" s="12">
        <f>_xlfn.XLOOKUP(B1289,[1]Sheet1!$B:$B,[1]Sheet1!$T:$T,0)</f>
        <v>13325.341451588498</v>
      </c>
      <c r="R1289" s="12">
        <f>_xlfn.XLOOKUP(B1289,[1]Sheet1!$B:$B,[1]Sheet1!$U:$U,0)</f>
        <v>13325.341451588498</v>
      </c>
      <c r="S1289" s="12">
        <f>_xlfn.XLOOKUP(B1289,[1]Sheet1!$B:$B,[1]Sheet1!$V:$V,0)</f>
        <v>13325.341451588498</v>
      </c>
      <c r="T1289" s="12">
        <f>_xlfn.XLOOKUP(B1289,[1]Sheet1!$B:$B,[1]Sheet1!$W:$W,0)</f>
        <v>13325.341451588498</v>
      </c>
      <c r="U1289" s="12">
        <f>_xlfn.XLOOKUP(B1289,[1]Sheet1!$B:$B,[1]Sheet1!$X:$X,0)</f>
        <v>22208.960824601192</v>
      </c>
      <c r="V1289" s="12">
        <f>_xlfn.XLOOKUP(B1289,[1]Sheet1!$B:$B,[1]Sheet1!$Y:$Y,0)</f>
        <v>26650.770511107541</v>
      </c>
      <c r="W1289" s="12">
        <f t="shared" si="43"/>
        <v>173229.7016944421</v>
      </c>
      <c r="X1289" s="8" t="s">
        <v>1985</v>
      </c>
      <c r="Y1289" s="8" t="s">
        <v>319</v>
      </c>
      <c r="Z1289" s="8" t="s">
        <v>320</v>
      </c>
      <c r="AA1289" s="8" t="s">
        <v>151</v>
      </c>
      <c r="AB1289" s="8" t="s">
        <v>327</v>
      </c>
      <c r="AC1289" s="8" t="s">
        <v>37</v>
      </c>
      <c r="AD1289" s="8" t="s">
        <v>1986</v>
      </c>
      <c r="AE1289" s="8" t="s">
        <v>39</v>
      </c>
      <c r="AF1289" s="8" t="s">
        <v>40</v>
      </c>
      <c r="AG1289" s="9">
        <v>173231</v>
      </c>
      <c r="AH1289" s="11">
        <f>_xlfn.XLOOKUP(B1289,[1]Sheet1!$B:$B,[1]Sheet1!$AB:$AB,0)</f>
        <v>173229.7016944421</v>
      </c>
    </row>
    <row r="1290" spans="2:34" ht="16.8" thickTop="1" thickBot="1" x14ac:dyDescent="0.35">
      <c r="B1290" s="3" t="str">
        <f t="shared" si="42"/>
        <v>45131304511001550Media Mgmnt &amp;Buy-L422511201931</v>
      </c>
      <c r="C1290" s="6" t="s">
        <v>321</v>
      </c>
      <c r="D1290" s="6" t="s">
        <v>1989</v>
      </c>
      <c r="E1290" s="6" t="s">
        <v>1990</v>
      </c>
      <c r="F1290" s="6" t="s">
        <v>559</v>
      </c>
      <c r="G1290" s="4" t="s">
        <v>2819</v>
      </c>
      <c r="H1290" s="4" t="s">
        <v>2925</v>
      </c>
      <c r="I1290" s="6" t="s">
        <v>151</v>
      </c>
      <c r="J1290" s="6" t="s">
        <v>31</v>
      </c>
      <c r="K1290" s="12">
        <f>_xlfn.XLOOKUP(B1290,[1]Sheet1!$B:$B,[1]Sheet1!$N:$N,0)</f>
        <v>0</v>
      </c>
      <c r="L1290" s="12">
        <f>_xlfn.XLOOKUP(B1290,[1]Sheet1!$B:$B,[1]Sheet1!$O:$O,0)</f>
        <v>0</v>
      </c>
      <c r="M1290" s="12">
        <f>_xlfn.XLOOKUP(B1290,[1]Sheet1!$B:$B,[1]Sheet1!$P:$P,0)</f>
        <v>0</v>
      </c>
      <c r="N1290" s="12">
        <f>_xlfn.XLOOKUP(B1290,[1]Sheet1!$B:$B,[1]Sheet1!$Q:$Q,0)</f>
        <v>0</v>
      </c>
      <c r="O1290" s="12">
        <f>_xlfn.XLOOKUP(B1290,[1]Sheet1!$B:$B,[1]Sheet1!$R:$R,0)</f>
        <v>0</v>
      </c>
      <c r="P1290" s="12">
        <f>_xlfn.XLOOKUP(B1290,[1]Sheet1!$B:$B,[1]Sheet1!$S:$S,0)</f>
        <v>0</v>
      </c>
      <c r="Q1290" s="12">
        <f>_xlfn.XLOOKUP(B1290,[1]Sheet1!$B:$B,[1]Sheet1!$T:$T,0)</f>
        <v>0</v>
      </c>
      <c r="R1290" s="12">
        <f>_xlfn.XLOOKUP(B1290,[1]Sheet1!$B:$B,[1]Sheet1!$U:$U,0)</f>
        <v>0</v>
      </c>
      <c r="S1290" s="12">
        <f>_xlfn.XLOOKUP(B1290,[1]Sheet1!$B:$B,[1]Sheet1!$V:$V,0)</f>
        <v>0</v>
      </c>
      <c r="T1290" s="12">
        <f>_xlfn.XLOOKUP(B1290,[1]Sheet1!$B:$B,[1]Sheet1!$W:$W,0)</f>
        <v>0</v>
      </c>
      <c r="U1290" s="12">
        <f>_xlfn.XLOOKUP(B1290,[1]Sheet1!$B:$B,[1]Sheet1!$X:$X,0)</f>
        <v>0</v>
      </c>
      <c r="V1290" s="12">
        <f>_xlfn.XLOOKUP(B1290,[1]Sheet1!$B:$B,[1]Sheet1!$Y:$Y,0)</f>
        <v>680254.50774194254</v>
      </c>
      <c r="W1290" s="12">
        <f t="shared" si="43"/>
        <v>680254.50774194254</v>
      </c>
      <c r="X1290" s="6" t="s">
        <v>560</v>
      </c>
      <c r="Y1290" s="6" t="s">
        <v>319</v>
      </c>
      <c r="Z1290" s="6" t="s">
        <v>320</v>
      </c>
      <c r="AA1290" s="6" t="s">
        <v>151</v>
      </c>
      <c r="AB1290" s="6" t="s">
        <v>327</v>
      </c>
      <c r="AC1290" s="6" t="s">
        <v>37</v>
      </c>
      <c r="AD1290" s="6" t="s">
        <v>322</v>
      </c>
      <c r="AE1290" s="6" t="s">
        <v>39</v>
      </c>
      <c r="AF1290" s="6" t="s">
        <v>40</v>
      </c>
      <c r="AG1290" s="7">
        <v>680255</v>
      </c>
      <c r="AH1290" s="11">
        <f>_xlfn.XLOOKUP(B1290,[1]Sheet1!$B:$B,[1]Sheet1!$AB:$AB,0)</f>
        <v>680254.50774194254</v>
      </c>
    </row>
    <row r="1291" spans="2:34" ht="16.8" thickTop="1" thickBot="1" x14ac:dyDescent="0.35">
      <c r="B1291" s="3" t="str">
        <f t="shared" si="42"/>
        <v>45131304511001551Media Mgmnt &amp;Buy-L422511201931</v>
      </c>
      <c r="C1291" s="8" t="s">
        <v>321</v>
      </c>
      <c r="D1291" s="8" t="s">
        <v>1991</v>
      </c>
      <c r="E1291" s="8" t="s">
        <v>1992</v>
      </c>
      <c r="F1291" s="8" t="s">
        <v>559</v>
      </c>
      <c r="G1291" s="4" t="s">
        <v>2819</v>
      </c>
      <c r="H1291" s="4" t="s">
        <v>2925</v>
      </c>
      <c r="I1291" s="8" t="s">
        <v>151</v>
      </c>
      <c r="J1291" s="8" t="s">
        <v>31</v>
      </c>
      <c r="K1291" s="12">
        <f>_xlfn.XLOOKUP(B1291,[1]Sheet1!$B:$B,[1]Sheet1!$N:$N,0)</f>
        <v>0</v>
      </c>
      <c r="L1291" s="12">
        <f>_xlfn.XLOOKUP(B1291,[1]Sheet1!$B:$B,[1]Sheet1!$O:$O,0)</f>
        <v>0</v>
      </c>
      <c r="M1291" s="12">
        <f>_xlfn.XLOOKUP(B1291,[1]Sheet1!$B:$B,[1]Sheet1!$P:$P,0)</f>
        <v>0</v>
      </c>
      <c r="N1291" s="12">
        <f>_xlfn.XLOOKUP(B1291,[1]Sheet1!$B:$B,[1]Sheet1!$Q:$Q,0)</f>
        <v>0</v>
      </c>
      <c r="O1291" s="12">
        <f>_xlfn.XLOOKUP(B1291,[1]Sheet1!$B:$B,[1]Sheet1!$R:$R,0)</f>
        <v>0</v>
      </c>
      <c r="P1291" s="12">
        <f>_xlfn.XLOOKUP(B1291,[1]Sheet1!$B:$B,[1]Sheet1!$S:$S,0)</f>
        <v>0</v>
      </c>
      <c r="Q1291" s="12">
        <f>_xlfn.XLOOKUP(B1291,[1]Sheet1!$B:$B,[1]Sheet1!$T:$T,0)</f>
        <v>0</v>
      </c>
      <c r="R1291" s="12">
        <f>_xlfn.XLOOKUP(B1291,[1]Sheet1!$B:$B,[1]Sheet1!$U:$U,0)</f>
        <v>0</v>
      </c>
      <c r="S1291" s="12">
        <f>_xlfn.XLOOKUP(B1291,[1]Sheet1!$B:$B,[1]Sheet1!$V:$V,0)</f>
        <v>0</v>
      </c>
      <c r="T1291" s="12">
        <f>_xlfn.XLOOKUP(B1291,[1]Sheet1!$B:$B,[1]Sheet1!$W:$W,0)</f>
        <v>0</v>
      </c>
      <c r="U1291" s="12">
        <f>_xlfn.XLOOKUP(B1291,[1]Sheet1!$B:$B,[1]Sheet1!$X:$X,0)</f>
        <v>0</v>
      </c>
      <c r="V1291" s="12">
        <f>_xlfn.XLOOKUP(B1291,[1]Sheet1!$B:$B,[1]Sheet1!$Y:$Y,0)</f>
        <v>111044.70223498273</v>
      </c>
      <c r="W1291" s="12">
        <f t="shared" si="43"/>
        <v>111044.70223498273</v>
      </c>
      <c r="X1291" s="8" t="s">
        <v>560</v>
      </c>
      <c r="Y1291" s="8" t="s">
        <v>319</v>
      </c>
      <c r="Z1291" s="8" t="s">
        <v>320</v>
      </c>
      <c r="AA1291" s="8" t="s">
        <v>151</v>
      </c>
      <c r="AB1291" s="8" t="s">
        <v>327</v>
      </c>
      <c r="AC1291" s="8" t="s">
        <v>37</v>
      </c>
      <c r="AD1291" s="8" t="s">
        <v>322</v>
      </c>
      <c r="AE1291" s="8" t="s">
        <v>39</v>
      </c>
      <c r="AF1291" s="8" t="s">
        <v>40</v>
      </c>
      <c r="AG1291" s="9">
        <v>111045</v>
      </c>
      <c r="AH1291" s="11">
        <f>_xlfn.XLOOKUP(B1291,[1]Sheet1!$B:$B,[1]Sheet1!$AB:$AB,0)</f>
        <v>111044.70223498273</v>
      </c>
    </row>
    <row r="1292" spans="2:34" ht="16.8" thickTop="1" thickBot="1" x14ac:dyDescent="0.35">
      <c r="B1292" s="3" t="str">
        <f t="shared" si="42"/>
        <v>45131304511001552Media Mgmnt &amp;Buy-L422511201931</v>
      </c>
      <c r="C1292" s="6" t="s">
        <v>321</v>
      </c>
      <c r="D1292" s="6" t="s">
        <v>1993</v>
      </c>
      <c r="E1292" s="6" t="s">
        <v>1994</v>
      </c>
      <c r="F1292" s="6" t="s">
        <v>559</v>
      </c>
      <c r="G1292" s="4" t="s">
        <v>2819</v>
      </c>
      <c r="H1292" s="4" t="s">
        <v>2925</v>
      </c>
      <c r="I1292" s="6" t="s">
        <v>151</v>
      </c>
      <c r="J1292" s="6" t="s">
        <v>31</v>
      </c>
      <c r="K1292" s="12">
        <f>_xlfn.XLOOKUP(B1292,[1]Sheet1!$B:$B,[1]Sheet1!$N:$N,0)</f>
        <v>0</v>
      </c>
      <c r="L1292" s="12">
        <f>_xlfn.XLOOKUP(B1292,[1]Sheet1!$B:$B,[1]Sheet1!$O:$O,0)</f>
        <v>0</v>
      </c>
      <c r="M1292" s="12">
        <f>_xlfn.XLOOKUP(B1292,[1]Sheet1!$B:$B,[1]Sheet1!$P:$P,0)</f>
        <v>0</v>
      </c>
      <c r="N1292" s="12">
        <f>_xlfn.XLOOKUP(B1292,[1]Sheet1!$B:$B,[1]Sheet1!$Q:$Q,0)</f>
        <v>0</v>
      </c>
      <c r="O1292" s="12">
        <f>_xlfn.XLOOKUP(B1292,[1]Sheet1!$B:$B,[1]Sheet1!$R:$R,0)</f>
        <v>1526330.5514518274</v>
      </c>
      <c r="P1292" s="12">
        <f>_xlfn.XLOOKUP(B1292,[1]Sheet1!$B:$B,[1]Sheet1!$S:$S,0)</f>
        <v>352230.12725811399</v>
      </c>
      <c r="Q1292" s="12">
        <f>_xlfn.XLOOKUP(B1292,[1]Sheet1!$B:$B,[1]Sheet1!$T:$T,0)</f>
        <v>352230.12725811399</v>
      </c>
      <c r="R1292" s="12">
        <f>_xlfn.XLOOKUP(B1292,[1]Sheet1!$B:$B,[1]Sheet1!$U:$U,0)</f>
        <v>352230.12725811399</v>
      </c>
      <c r="S1292" s="12">
        <f>_xlfn.XLOOKUP(B1292,[1]Sheet1!$B:$B,[1]Sheet1!$V:$V,0)</f>
        <v>352230.12725811399</v>
      </c>
      <c r="T1292" s="12">
        <f>_xlfn.XLOOKUP(B1292,[1]Sheet1!$B:$B,[1]Sheet1!$W:$W,0)</f>
        <v>352230.12725811399</v>
      </c>
      <c r="U1292" s="12">
        <f>_xlfn.XLOOKUP(B1292,[1]Sheet1!$B:$B,[1]Sheet1!$X:$X,0)</f>
        <v>587050.21209685667</v>
      </c>
      <c r="V1292" s="12">
        <f>_xlfn.XLOOKUP(B1292,[1]Sheet1!$B:$B,[1]Sheet1!$Y:$Y,0)</f>
        <v>704460.25451622799</v>
      </c>
      <c r="W1292" s="12">
        <f t="shared" si="43"/>
        <v>4578991.6543554822</v>
      </c>
      <c r="X1292" s="6" t="s">
        <v>560</v>
      </c>
      <c r="Y1292" s="6" t="s">
        <v>319</v>
      </c>
      <c r="Z1292" s="6" t="s">
        <v>320</v>
      </c>
      <c r="AA1292" s="6" t="s">
        <v>151</v>
      </c>
      <c r="AB1292" s="6" t="s">
        <v>327</v>
      </c>
      <c r="AC1292" s="6" t="s">
        <v>37</v>
      </c>
      <c r="AD1292" s="6" t="s">
        <v>322</v>
      </c>
      <c r="AE1292" s="6" t="s">
        <v>39</v>
      </c>
      <c r="AF1292" s="6" t="s">
        <v>40</v>
      </c>
      <c r="AG1292" s="7">
        <v>4578992</v>
      </c>
      <c r="AH1292" s="11">
        <f>_xlfn.XLOOKUP(B1292,[1]Sheet1!$B:$B,[1]Sheet1!$AB:$AB,0)</f>
        <v>4578991.6543554822</v>
      </c>
    </row>
    <row r="1293" spans="2:34" ht="16.8" thickTop="1" thickBot="1" x14ac:dyDescent="0.35">
      <c r="B1293" s="3" t="str">
        <f t="shared" si="42"/>
        <v>45131304511001553Media Mgmnt &amp;Buy-L422511201931</v>
      </c>
      <c r="C1293" s="8" t="s">
        <v>321</v>
      </c>
      <c r="D1293" s="8" t="s">
        <v>1995</v>
      </c>
      <c r="E1293" s="8" t="s">
        <v>1996</v>
      </c>
      <c r="F1293" s="8" t="s">
        <v>559</v>
      </c>
      <c r="G1293" s="4" t="s">
        <v>2819</v>
      </c>
      <c r="H1293" s="4" t="s">
        <v>2925</v>
      </c>
      <c r="I1293" s="8" t="s">
        <v>151</v>
      </c>
      <c r="J1293" s="8" t="s">
        <v>31</v>
      </c>
      <c r="K1293" s="12">
        <f>_xlfn.XLOOKUP(B1293,[1]Sheet1!$B:$B,[1]Sheet1!$N:$N,0)</f>
        <v>0</v>
      </c>
      <c r="L1293" s="12">
        <f>_xlfn.XLOOKUP(B1293,[1]Sheet1!$B:$B,[1]Sheet1!$O:$O,0)</f>
        <v>0</v>
      </c>
      <c r="M1293" s="12">
        <f>_xlfn.XLOOKUP(B1293,[1]Sheet1!$B:$B,[1]Sheet1!$P:$P,0)</f>
        <v>0</v>
      </c>
      <c r="N1293" s="12">
        <f>_xlfn.XLOOKUP(B1293,[1]Sheet1!$B:$B,[1]Sheet1!$Q:$Q,0)</f>
        <v>0</v>
      </c>
      <c r="O1293" s="12">
        <f>_xlfn.XLOOKUP(B1293,[1]Sheet1!$B:$B,[1]Sheet1!$R:$R,0)</f>
        <v>103335.57990441225</v>
      </c>
      <c r="P1293" s="12">
        <f>_xlfn.XLOOKUP(B1293,[1]Sheet1!$B:$B,[1]Sheet1!$S:$S,0)</f>
        <v>23846.672285633598</v>
      </c>
      <c r="Q1293" s="12">
        <f>_xlfn.XLOOKUP(B1293,[1]Sheet1!$B:$B,[1]Sheet1!$T:$T,0)</f>
        <v>23846.672285633598</v>
      </c>
      <c r="R1293" s="12">
        <f>_xlfn.XLOOKUP(B1293,[1]Sheet1!$B:$B,[1]Sheet1!$U:$U,0)</f>
        <v>23846.672285633598</v>
      </c>
      <c r="S1293" s="12">
        <f>_xlfn.XLOOKUP(B1293,[1]Sheet1!$B:$B,[1]Sheet1!$V:$V,0)</f>
        <v>23846.672285633598</v>
      </c>
      <c r="T1293" s="12">
        <f>_xlfn.XLOOKUP(B1293,[1]Sheet1!$B:$B,[1]Sheet1!$W:$W,0)</f>
        <v>23846.672285633598</v>
      </c>
      <c r="U1293" s="12">
        <f>_xlfn.XLOOKUP(B1293,[1]Sheet1!$B:$B,[1]Sheet1!$X:$X,0)</f>
        <v>39744.453809389328</v>
      </c>
      <c r="V1293" s="12">
        <f>_xlfn.XLOOKUP(B1293,[1]Sheet1!$B:$B,[1]Sheet1!$Y:$Y,0)</f>
        <v>47693.344571267196</v>
      </c>
      <c r="W1293" s="12">
        <f t="shared" si="43"/>
        <v>310006.73971323681</v>
      </c>
      <c r="X1293" s="8" t="s">
        <v>560</v>
      </c>
      <c r="Y1293" s="8" t="s">
        <v>319</v>
      </c>
      <c r="Z1293" s="8" t="s">
        <v>320</v>
      </c>
      <c r="AA1293" s="8" t="s">
        <v>151</v>
      </c>
      <c r="AB1293" s="8" t="s">
        <v>327</v>
      </c>
      <c r="AC1293" s="8" t="s">
        <v>37</v>
      </c>
      <c r="AD1293" s="8" t="s">
        <v>322</v>
      </c>
      <c r="AE1293" s="8" t="s">
        <v>39</v>
      </c>
      <c r="AF1293" s="8" t="s">
        <v>40</v>
      </c>
      <c r="AG1293" s="9">
        <v>310007</v>
      </c>
      <c r="AH1293" s="11">
        <f>_xlfn.XLOOKUP(B1293,[1]Sheet1!$B:$B,[1]Sheet1!$AB:$AB,0)</f>
        <v>310006.73971323681</v>
      </c>
    </row>
    <row r="1294" spans="2:34" ht="16.8" thickTop="1" thickBot="1" x14ac:dyDescent="0.35">
      <c r="B1294" s="3" t="str">
        <f t="shared" si="42"/>
        <v>45115504511001554SM Prodct&amp;Develp-N422511200104</v>
      </c>
      <c r="C1294" s="6" t="s">
        <v>154</v>
      </c>
      <c r="D1294" s="6" t="s">
        <v>1997</v>
      </c>
      <c r="E1294" s="6" t="s">
        <v>1998</v>
      </c>
      <c r="F1294" s="6" t="s">
        <v>435</v>
      </c>
      <c r="G1294" s="4" t="s">
        <v>2819</v>
      </c>
      <c r="H1294" s="4" t="s">
        <v>2922</v>
      </c>
      <c r="I1294" s="6" t="s">
        <v>151</v>
      </c>
      <c r="J1294" s="6" t="s">
        <v>31</v>
      </c>
      <c r="K1294" s="12">
        <f>_xlfn.XLOOKUP(B1294,[1]Sheet1!$B:$B,[1]Sheet1!$N:$N,0)</f>
        <v>0</v>
      </c>
      <c r="L1294" s="12">
        <f>_xlfn.XLOOKUP(B1294,[1]Sheet1!$B:$B,[1]Sheet1!$O:$O,0)</f>
        <v>0</v>
      </c>
      <c r="M1294" s="12">
        <f>_xlfn.XLOOKUP(B1294,[1]Sheet1!$B:$B,[1]Sheet1!$P:$P,0)</f>
        <v>0</v>
      </c>
      <c r="N1294" s="12">
        <f>_xlfn.XLOOKUP(B1294,[1]Sheet1!$B:$B,[1]Sheet1!$Q:$Q,0)</f>
        <v>0</v>
      </c>
      <c r="O1294" s="12">
        <f>_xlfn.XLOOKUP(B1294,[1]Sheet1!$B:$B,[1]Sheet1!$R:$R,0)</f>
        <v>0</v>
      </c>
      <c r="P1294" s="12">
        <f>_xlfn.XLOOKUP(B1294,[1]Sheet1!$B:$B,[1]Sheet1!$S:$S,0)</f>
        <v>0</v>
      </c>
      <c r="Q1294" s="12">
        <f>_xlfn.XLOOKUP(B1294,[1]Sheet1!$B:$B,[1]Sheet1!$T:$T,0)</f>
        <v>0</v>
      </c>
      <c r="R1294" s="12">
        <f>_xlfn.XLOOKUP(B1294,[1]Sheet1!$B:$B,[1]Sheet1!$U:$U,0)</f>
        <v>0</v>
      </c>
      <c r="S1294" s="12">
        <f>_xlfn.XLOOKUP(B1294,[1]Sheet1!$B:$B,[1]Sheet1!$V:$V,0)</f>
        <v>0</v>
      </c>
      <c r="T1294" s="12">
        <f>_xlfn.XLOOKUP(B1294,[1]Sheet1!$B:$B,[1]Sheet1!$W:$W,0)</f>
        <v>486000</v>
      </c>
      <c r="U1294" s="12">
        <f>_xlfn.XLOOKUP(B1294,[1]Sheet1!$B:$B,[1]Sheet1!$X:$X,0)</f>
        <v>0</v>
      </c>
      <c r="V1294" s="12">
        <f>_xlfn.XLOOKUP(B1294,[1]Sheet1!$B:$B,[1]Sheet1!$Y:$Y,0)</f>
        <v>0</v>
      </c>
      <c r="W1294" s="12">
        <f t="shared" si="43"/>
        <v>486000</v>
      </c>
      <c r="X1294" s="6" t="s">
        <v>710</v>
      </c>
      <c r="Y1294" s="6" t="s">
        <v>65</v>
      </c>
      <c r="Z1294" s="6" t="s">
        <v>153</v>
      </c>
      <c r="AA1294" s="6" t="s">
        <v>151</v>
      </c>
      <c r="AB1294" s="6" t="s">
        <v>36</v>
      </c>
      <c r="AC1294" s="6" t="s">
        <v>37</v>
      </c>
      <c r="AD1294" s="6" t="s">
        <v>708</v>
      </c>
      <c r="AE1294" s="6" t="s">
        <v>39</v>
      </c>
      <c r="AF1294" s="6" t="s">
        <v>40</v>
      </c>
      <c r="AG1294" s="7">
        <v>348740</v>
      </c>
      <c r="AH1294" s="11">
        <f>_xlfn.XLOOKUP(B1294,[1]Sheet1!$B:$B,[1]Sheet1!$AB:$AB,0)</f>
        <v>348740</v>
      </c>
    </row>
    <row r="1295" spans="2:34" ht="16.8" thickTop="1" thickBot="1" x14ac:dyDescent="0.35">
      <c r="B1295" s="3" t="str">
        <f t="shared" si="42"/>
        <v>45115504511001555SM Prodct&amp;Develp-N422511200104</v>
      </c>
      <c r="C1295" s="8" t="s">
        <v>154</v>
      </c>
      <c r="D1295" s="8" t="s">
        <v>1999</v>
      </c>
      <c r="E1295" s="8" t="s">
        <v>2000</v>
      </c>
      <c r="F1295" s="8" t="s">
        <v>435</v>
      </c>
      <c r="G1295" s="4" t="s">
        <v>2819</v>
      </c>
      <c r="H1295" s="4" t="s">
        <v>2922</v>
      </c>
      <c r="I1295" s="8" t="s">
        <v>151</v>
      </c>
      <c r="J1295" s="8" t="s">
        <v>31</v>
      </c>
      <c r="K1295" s="12">
        <f>_xlfn.XLOOKUP(B1295,[1]Sheet1!$B:$B,[1]Sheet1!$N:$N,0)</f>
        <v>0</v>
      </c>
      <c r="L1295" s="12">
        <f>_xlfn.XLOOKUP(B1295,[1]Sheet1!$B:$B,[1]Sheet1!$O:$O,0)</f>
        <v>0</v>
      </c>
      <c r="M1295" s="12">
        <f>_xlfn.XLOOKUP(B1295,[1]Sheet1!$B:$B,[1]Sheet1!$P:$P,0)</f>
        <v>0</v>
      </c>
      <c r="N1295" s="12">
        <f>_xlfn.XLOOKUP(B1295,[1]Sheet1!$B:$B,[1]Sheet1!$Q:$Q,0)</f>
        <v>0</v>
      </c>
      <c r="O1295" s="12">
        <f>_xlfn.XLOOKUP(B1295,[1]Sheet1!$B:$B,[1]Sheet1!$R:$R,0)</f>
        <v>0</v>
      </c>
      <c r="P1295" s="12">
        <f>_xlfn.XLOOKUP(B1295,[1]Sheet1!$B:$B,[1]Sheet1!$S:$S,0)</f>
        <v>0</v>
      </c>
      <c r="Q1295" s="12">
        <f>_xlfn.XLOOKUP(B1295,[1]Sheet1!$B:$B,[1]Sheet1!$T:$T,0)</f>
        <v>0</v>
      </c>
      <c r="R1295" s="12">
        <f>_xlfn.XLOOKUP(B1295,[1]Sheet1!$B:$B,[1]Sheet1!$U:$U,0)</f>
        <v>0</v>
      </c>
      <c r="S1295" s="12">
        <f>_xlfn.XLOOKUP(B1295,[1]Sheet1!$B:$B,[1]Sheet1!$V:$V,0)</f>
        <v>0</v>
      </c>
      <c r="T1295" s="12">
        <f>_xlfn.XLOOKUP(B1295,[1]Sheet1!$B:$B,[1]Sheet1!$W:$W,0)</f>
        <v>478350</v>
      </c>
      <c r="U1295" s="12">
        <f>_xlfn.XLOOKUP(B1295,[1]Sheet1!$B:$B,[1]Sheet1!$X:$X,0)</f>
        <v>0</v>
      </c>
      <c r="V1295" s="12">
        <f>_xlfn.XLOOKUP(B1295,[1]Sheet1!$B:$B,[1]Sheet1!$Y:$Y,0)</f>
        <v>0</v>
      </c>
      <c r="W1295" s="12">
        <f t="shared" si="43"/>
        <v>478350</v>
      </c>
      <c r="X1295" s="8" t="s">
        <v>710</v>
      </c>
      <c r="Y1295" s="8" t="s">
        <v>65</v>
      </c>
      <c r="Z1295" s="8" t="s">
        <v>153</v>
      </c>
      <c r="AA1295" s="8" t="s">
        <v>151</v>
      </c>
      <c r="AB1295" s="8" t="s">
        <v>36</v>
      </c>
      <c r="AC1295" s="8" t="s">
        <v>37</v>
      </c>
      <c r="AD1295" s="8" t="s">
        <v>708</v>
      </c>
      <c r="AE1295" s="8" t="s">
        <v>39</v>
      </c>
      <c r="AF1295" s="8" t="s">
        <v>40</v>
      </c>
      <c r="AG1295" s="9">
        <v>478350</v>
      </c>
      <c r="AH1295" s="11">
        <f>_xlfn.XLOOKUP(B1295,[1]Sheet1!$B:$B,[1]Sheet1!$AB:$AB,0)</f>
        <v>478350</v>
      </c>
    </row>
    <row r="1296" spans="2:34" ht="16.8" thickTop="1" thickBot="1" x14ac:dyDescent="0.35">
      <c r="B1296" s="3" t="str">
        <f t="shared" si="42"/>
        <v>45131104511001556SM Mgmnt Rtnr-L421125201931</v>
      </c>
      <c r="C1296" s="6" t="s">
        <v>348</v>
      </c>
      <c r="D1296" s="6" t="s">
        <v>2001</v>
      </c>
      <c r="E1296" s="6" t="s">
        <v>2002</v>
      </c>
      <c r="F1296" s="6" t="s">
        <v>2003</v>
      </c>
      <c r="G1296" s="4" t="s">
        <v>2803</v>
      </c>
      <c r="H1296" s="4" t="s">
        <v>2925</v>
      </c>
      <c r="I1296" s="6" t="s">
        <v>44</v>
      </c>
      <c r="J1296" s="6" t="s">
        <v>31</v>
      </c>
      <c r="K1296" s="12">
        <f>_xlfn.XLOOKUP(B1296,[1]Sheet1!$B:$B,[1]Sheet1!$N:$N,0)</f>
        <v>0</v>
      </c>
      <c r="L1296" s="12">
        <f>_xlfn.XLOOKUP(B1296,[1]Sheet1!$B:$B,[1]Sheet1!$O:$O,0)</f>
        <v>0</v>
      </c>
      <c r="M1296" s="12">
        <f>_xlfn.XLOOKUP(B1296,[1]Sheet1!$B:$B,[1]Sheet1!$P:$P,0)</f>
        <v>0</v>
      </c>
      <c r="N1296" s="12">
        <f>_xlfn.XLOOKUP(B1296,[1]Sheet1!$B:$B,[1]Sheet1!$Q:$Q,0)</f>
        <v>0</v>
      </c>
      <c r="O1296" s="12">
        <f>_xlfn.XLOOKUP(B1296,[1]Sheet1!$B:$B,[1]Sheet1!$R:$R,0)</f>
        <v>250000</v>
      </c>
      <c r="P1296" s="12">
        <f>_xlfn.XLOOKUP(B1296,[1]Sheet1!$B:$B,[1]Sheet1!$S:$S,0)</f>
        <v>250000</v>
      </c>
      <c r="Q1296" s="12">
        <f>_xlfn.XLOOKUP(B1296,[1]Sheet1!$B:$B,[1]Sheet1!$T:$T,0)</f>
        <v>250000</v>
      </c>
      <c r="R1296" s="12">
        <f>_xlfn.XLOOKUP(B1296,[1]Sheet1!$B:$B,[1]Sheet1!$U:$U,0)</f>
        <v>250000</v>
      </c>
      <c r="S1296" s="12">
        <f>_xlfn.XLOOKUP(B1296,[1]Sheet1!$B:$B,[1]Sheet1!$V:$V,0)</f>
        <v>250000</v>
      </c>
      <c r="T1296" s="12">
        <f>_xlfn.XLOOKUP(B1296,[1]Sheet1!$B:$B,[1]Sheet1!$W:$W,0)</f>
        <v>250000</v>
      </c>
      <c r="U1296" s="12">
        <f>_xlfn.XLOOKUP(B1296,[1]Sheet1!$B:$B,[1]Sheet1!$X:$X,0)</f>
        <v>250000</v>
      </c>
      <c r="V1296" s="12">
        <f>_xlfn.XLOOKUP(B1296,[1]Sheet1!$B:$B,[1]Sheet1!$Y:$Y,0)</f>
        <v>250000</v>
      </c>
      <c r="W1296" s="12">
        <f t="shared" si="43"/>
        <v>2000000</v>
      </c>
      <c r="X1296" s="6" t="s">
        <v>818</v>
      </c>
      <c r="Y1296" s="6" t="s">
        <v>319</v>
      </c>
      <c r="Z1296" s="6" t="s">
        <v>347</v>
      </c>
      <c r="AA1296" s="6" t="s">
        <v>44</v>
      </c>
      <c r="AB1296" s="6" t="s">
        <v>327</v>
      </c>
      <c r="AC1296" s="6" t="s">
        <v>37</v>
      </c>
      <c r="AD1296" s="6" t="s">
        <v>322</v>
      </c>
      <c r="AE1296" s="6" t="s">
        <v>39</v>
      </c>
      <c r="AF1296" s="6" t="s">
        <v>40</v>
      </c>
      <c r="AG1296" s="7">
        <v>2000000</v>
      </c>
      <c r="AH1296" s="11">
        <f>_xlfn.XLOOKUP(B1296,[1]Sheet1!$B:$B,[1]Sheet1!$AB:$AB,0)</f>
        <v>2000000</v>
      </c>
    </row>
    <row r="1297" spans="2:34" ht="16.8" thickTop="1" thickBot="1" x14ac:dyDescent="0.35">
      <c r="B1297" s="3" t="str">
        <f t="shared" si="42"/>
        <v>45131304511001558General Retainer-L421125201931</v>
      </c>
      <c r="C1297" s="8" t="s">
        <v>321</v>
      </c>
      <c r="D1297" s="8" t="s">
        <v>2004</v>
      </c>
      <c r="E1297" s="8" t="s">
        <v>2005</v>
      </c>
      <c r="F1297" s="8" t="s">
        <v>557</v>
      </c>
      <c r="G1297" s="4" t="s">
        <v>2803</v>
      </c>
      <c r="H1297" s="4" t="s">
        <v>2925</v>
      </c>
      <c r="I1297" s="8" t="s">
        <v>44</v>
      </c>
      <c r="J1297" s="8" t="s">
        <v>31</v>
      </c>
      <c r="K1297" s="12">
        <f>_xlfn.XLOOKUP(B1297,[1]Sheet1!$B:$B,[1]Sheet1!$N:$N,0)</f>
        <v>0</v>
      </c>
      <c r="L1297" s="12">
        <f>_xlfn.XLOOKUP(B1297,[1]Sheet1!$B:$B,[1]Sheet1!$O:$O,0)</f>
        <v>0</v>
      </c>
      <c r="M1297" s="12">
        <f>_xlfn.XLOOKUP(B1297,[1]Sheet1!$B:$B,[1]Sheet1!$P:$P,0)</f>
        <v>0</v>
      </c>
      <c r="N1297" s="12">
        <f>_xlfn.XLOOKUP(B1297,[1]Sheet1!$B:$B,[1]Sheet1!$Q:$Q,0)</f>
        <v>2523736</v>
      </c>
      <c r="O1297" s="12">
        <f>_xlfn.XLOOKUP(B1297,[1]Sheet1!$B:$B,[1]Sheet1!$R:$R,0)</f>
        <v>630934</v>
      </c>
      <c r="P1297" s="12">
        <f>_xlfn.XLOOKUP(B1297,[1]Sheet1!$B:$B,[1]Sheet1!$S:$S,0)</f>
        <v>630934</v>
      </c>
      <c r="Q1297" s="12">
        <f>_xlfn.XLOOKUP(B1297,[1]Sheet1!$B:$B,[1]Sheet1!$T:$T,0)</f>
        <v>850000</v>
      </c>
      <c r="R1297" s="12">
        <f>_xlfn.XLOOKUP(B1297,[1]Sheet1!$B:$B,[1]Sheet1!$U:$U,0)</f>
        <v>850000</v>
      </c>
      <c r="S1297" s="12">
        <f>_xlfn.XLOOKUP(B1297,[1]Sheet1!$B:$B,[1]Sheet1!$V:$V,0)</f>
        <v>850000</v>
      </c>
      <c r="T1297" s="12">
        <f>_xlfn.XLOOKUP(B1297,[1]Sheet1!$B:$B,[1]Sheet1!$W:$W,0)</f>
        <v>850000</v>
      </c>
      <c r="U1297" s="12">
        <f>_xlfn.XLOOKUP(B1297,[1]Sheet1!$B:$B,[1]Sheet1!$X:$X,0)</f>
        <v>850000</v>
      </c>
      <c r="V1297" s="12">
        <f>_xlfn.XLOOKUP(B1297,[1]Sheet1!$B:$B,[1]Sheet1!$Y:$Y,0)</f>
        <v>850000</v>
      </c>
      <c r="W1297" s="12">
        <f t="shared" si="43"/>
        <v>8885604</v>
      </c>
      <c r="X1297" s="8" t="s">
        <v>558</v>
      </c>
      <c r="Y1297" s="8" t="s">
        <v>319</v>
      </c>
      <c r="Z1297" s="8" t="s">
        <v>320</v>
      </c>
      <c r="AA1297" s="8" t="s">
        <v>44</v>
      </c>
      <c r="AB1297" s="8" t="s">
        <v>327</v>
      </c>
      <c r="AC1297" s="8" t="s">
        <v>37</v>
      </c>
      <c r="AD1297" s="8" t="s">
        <v>322</v>
      </c>
      <c r="AE1297" s="8" t="s">
        <v>39</v>
      </c>
      <c r="AF1297" s="8" t="s">
        <v>40</v>
      </c>
      <c r="AG1297" s="9">
        <v>8885604</v>
      </c>
      <c r="AH1297" s="11">
        <f>_xlfn.XLOOKUP(B1297,[1]Sheet1!$B:$B,[1]Sheet1!$AB:$AB,0)</f>
        <v>8885604</v>
      </c>
    </row>
    <row r="1298" spans="2:34" ht="16.8" thickTop="1" thickBot="1" x14ac:dyDescent="0.35">
      <c r="B1298" s="3" t="str">
        <f t="shared" si="42"/>
        <v>45131304511001558Influencers-L422511201931</v>
      </c>
      <c r="C1298" s="6" t="s">
        <v>321</v>
      </c>
      <c r="D1298" s="6" t="s">
        <v>2004</v>
      </c>
      <c r="E1298" s="6" t="s">
        <v>2005</v>
      </c>
      <c r="F1298" s="6" t="s">
        <v>2006</v>
      </c>
      <c r="G1298" s="4" t="s">
        <v>2819</v>
      </c>
      <c r="H1298" s="4" t="s">
        <v>2925</v>
      </c>
      <c r="I1298" s="6" t="s">
        <v>151</v>
      </c>
      <c r="J1298" s="6" t="s">
        <v>31</v>
      </c>
      <c r="K1298" s="12">
        <f>_xlfn.XLOOKUP(B1298,[1]Sheet1!$B:$B,[1]Sheet1!$N:$N,0)</f>
        <v>0</v>
      </c>
      <c r="L1298" s="12">
        <f>_xlfn.XLOOKUP(B1298,[1]Sheet1!$B:$B,[1]Sheet1!$O:$O,0)</f>
        <v>0</v>
      </c>
      <c r="M1298" s="12">
        <f>_xlfn.XLOOKUP(B1298,[1]Sheet1!$B:$B,[1]Sheet1!$P:$P,0)</f>
        <v>0</v>
      </c>
      <c r="N1298" s="12">
        <f>_xlfn.XLOOKUP(B1298,[1]Sheet1!$B:$B,[1]Sheet1!$Q:$Q,0)</f>
        <v>5200000.09</v>
      </c>
      <c r="O1298" s="12">
        <f>_xlfn.XLOOKUP(B1298,[1]Sheet1!$B:$B,[1]Sheet1!$R:$R,0)</f>
        <v>14269958.800000001</v>
      </c>
      <c r="P1298" s="12">
        <f>_xlfn.XLOOKUP(B1298,[1]Sheet1!$B:$B,[1]Sheet1!$S:$S,0)</f>
        <v>4282765.22</v>
      </c>
      <c r="Q1298" s="12">
        <f>_xlfn.XLOOKUP(B1298,[1]Sheet1!$B:$B,[1]Sheet1!$T:$T,0)</f>
        <v>4282765.22</v>
      </c>
      <c r="R1298" s="12">
        <f>_xlfn.XLOOKUP(B1298,[1]Sheet1!$B:$B,[1]Sheet1!$U:$U,0)</f>
        <v>4282765.22</v>
      </c>
      <c r="S1298" s="12">
        <f>_xlfn.XLOOKUP(B1298,[1]Sheet1!$B:$B,[1]Sheet1!$V:$V,0)</f>
        <v>5571034.3099999996</v>
      </c>
      <c r="T1298" s="12">
        <f>_xlfn.XLOOKUP(B1298,[1]Sheet1!$B:$B,[1]Sheet1!$W:$W,0)</f>
        <v>8166678.5099999998</v>
      </c>
      <c r="U1298" s="12">
        <f>_xlfn.XLOOKUP(B1298,[1]Sheet1!$B:$B,[1]Sheet1!$X:$X,0)</f>
        <v>7522542.1299999999</v>
      </c>
      <c r="V1298" s="12">
        <f>_xlfn.XLOOKUP(B1298,[1]Sheet1!$B:$B,[1]Sheet1!$Y:$Y,0)</f>
        <v>8166678.5099999998</v>
      </c>
      <c r="W1298" s="12">
        <f t="shared" si="43"/>
        <v>61745188.009999998</v>
      </c>
      <c r="X1298" s="6" t="s">
        <v>560</v>
      </c>
      <c r="Y1298" s="6" t="s">
        <v>319</v>
      </c>
      <c r="Z1298" s="6" t="s">
        <v>320</v>
      </c>
      <c r="AA1298" s="6" t="s">
        <v>151</v>
      </c>
      <c r="AB1298" s="6" t="s">
        <v>327</v>
      </c>
      <c r="AC1298" s="6" t="s">
        <v>37</v>
      </c>
      <c r="AD1298" s="6" t="s">
        <v>322</v>
      </c>
      <c r="AE1298" s="6" t="s">
        <v>39</v>
      </c>
      <c r="AF1298" s="6" t="s">
        <v>40</v>
      </c>
      <c r="AG1298" s="7">
        <v>61745188</v>
      </c>
      <c r="AH1298" s="11">
        <f>_xlfn.XLOOKUP(B1298,[1]Sheet1!$B:$B,[1]Sheet1!$AB:$AB,0)</f>
        <v>61745188.009999998</v>
      </c>
    </row>
    <row r="1299" spans="2:34" ht="16.8" thickTop="1" thickBot="1" x14ac:dyDescent="0.35">
      <c r="B1299" s="3" t="str">
        <f t="shared" si="42"/>
        <v>45131304511001559General Retainer-L421125201931</v>
      </c>
      <c r="C1299" s="8" t="s">
        <v>321</v>
      </c>
      <c r="D1299" s="8" t="s">
        <v>2007</v>
      </c>
      <c r="E1299" s="8" t="s">
        <v>2008</v>
      </c>
      <c r="F1299" s="8" t="s">
        <v>557</v>
      </c>
      <c r="G1299" s="4" t="s">
        <v>2803</v>
      </c>
      <c r="H1299" s="4" t="s">
        <v>2925</v>
      </c>
      <c r="I1299" s="8" t="s">
        <v>44</v>
      </c>
      <c r="J1299" s="8" t="s">
        <v>31</v>
      </c>
      <c r="K1299" s="12">
        <f>_xlfn.XLOOKUP(B1299,[1]Sheet1!$B:$B,[1]Sheet1!$N:$N,0)</f>
        <v>0</v>
      </c>
      <c r="L1299" s="12">
        <f>_xlfn.XLOOKUP(B1299,[1]Sheet1!$B:$B,[1]Sheet1!$O:$O,0)</f>
        <v>0</v>
      </c>
      <c r="M1299" s="12">
        <f>_xlfn.XLOOKUP(B1299,[1]Sheet1!$B:$B,[1]Sheet1!$P:$P,0)</f>
        <v>0</v>
      </c>
      <c r="N1299" s="12">
        <f>_xlfn.XLOOKUP(B1299,[1]Sheet1!$B:$B,[1]Sheet1!$Q:$Q,0)</f>
        <v>1188704</v>
      </c>
      <c r="O1299" s="12">
        <f>_xlfn.XLOOKUP(B1299,[1]Sheet1!$B:$B,[1]Sheet1!$R:$R,0)</f>
        <v>297176</v>
      </c>
      <c r="P1299" s="12">
        <f>_xlfn.XLOOKUP(B1299,[1]Sheet1!$B:$B,[1]Sheet1!$S:$S,0)</f>
        <v>297176</v>
      </c>
      <c r="Q1299" s="12">
        <f>_xlfn.XLOOKUP(B1299,[1]Sheet1!$B:$B,[1]Sheet1!$T:$T,0)</f>
        <v>297176</v>
      </c>
      <c r="R1299" s="12">
        <f>_xlfn.XLOOKUP(B1299,[1]Sheet1!$B:$B,[1]Sheet1!$U:$U,0)</f>
        <v>297176</v>
      </c>
      <c r="S1299" s="12">
        <f>_xlfn.XLOOKUP(B1299,[1]Sheet1!$B:$B,[1]Sheet1!$V:$V,0)</f>
        <v>297176</v>
      </c>
      <c r="T1299" s="12">
        <f>_xlfn.XLOOKUP(B1299,[1]Sheet1!$B:$B,[1]Sheet1!$W:$W,0)</f>
        <v>297176</v>
      </c>
      <c r="U1299" s="12">
        <f>_xlfn.XLOOKUP(B1299,[1]Sheet1!$B:$B,[1]Sheet1!$X:$X,0)</f>
        <v>297176</v>
      </c>
      <c r="V1299" s="12">
        <f>_xlfn.XLOOKUP(B1299,[1]Sheet1!$B:$B,[1]Sheet1!$Y:$Y,0)</f>
        <v>297176</v>
      </c>
      <c r="W1299" s="12">
        <f t="shared" si="43"/>
        <v>3566112</v>
      </c>
      <c r="X1299" s="8" t="s">
        <v>558</v>
      </c>
      <c r="Y1299" s="8" t="s">
        <v>319</v>
      </c>
      <c r="Z1299" s="8" t="s">
        <v>320</v>
      </c>
      <c r="AA1299" s="8" t="s">
        <v>44</v>
      </c>
      <c r="AB1299" s="8" t="s">
        <v>327</v>
      </c>
      <c r="AC1299" s="8" t="s">
        <v>37</v>
      </c>
      <c r="AD1299" s="8" t="s">
        <v>322</v>
      </c>
      <c r="AE1299" s="8" t="s">
        <v>39</v>
      </c>
      <c r="AF1299" s="8" t="s">
        <v>40</v>
      </c>
      <c r="AG1299" s="9">
        <v>3566112</v>
      </c>
      <c r="AH1299" s="11">
        <f>_xlfn.XLOOKUP(B1299,[1]Sheet1!$B:$B,[1]Sheet1!$AB:$AB,0)</f>
        <v>3566112</v>
      </c>
    </row>
    <row r="1300" spans="2:34" ht="16.8" thickTop="1" thickBot="1" x14ac:dyDescent="0.35">
      <c r="B1300" s="3" t="str">
        <f t="shared" si="42"/>
        <v>45131304511001560Influencers-L422511201931</v>
      </c>
      <c r="C1300" s="6" t="s">
        <v>321</v>
      </c>
      <c r="D1300" s="6" t="s">
        <v>2009</v>
      </c>
      <c r="E1300" s="6" t="s">
        <v>2010</v>
      </c>
      <c r="F1300" s="6" t="s">
        <v>2006</v>
      </c>
      <c r="G1300" s="4" t="s">
        <v>2819</v>
      </c>
      <c r="H1300" s="4" t="s">
        <v>2925</v>
      </c>
      <c r="I1300" s="6" t="s">
        <v>151</v>
      </c>
      <c r="J1300" s="6" t="s">
        <v>31</v>
      </c>
      <c r="K1300" s="12">
        <f>_xlfn.XLOOKUP(B1300,[1]Sheet1!$B:$B,[1]Sheet1!$N:$N,0)</f>
        <v>0</v>
      </c>
      <c r="L1300" s="12">
        <f>_xlfn.XLOOKUP(B1300,[1]Sheet1!$B:$B,[1]Sheet1!$O:$O,0)</f>
        <v>0</v>
      </c>
      <c r="M1300" s="12">
        <f>_xlfn.XLOOKUP(B1300,[1]Sheet1!$B:$B,[1]Sheet1!$P:$P,0)</f>
        <v>0</v>
      </c>
      <c r="N1300" s="12">
        <f>_xlfn.XLOOKUP(B1300,[1]Sheet1!$B:$B,[1]Sheet1!$Q:$Q,0)</f>
        <v>4339753.6399999997</v>
      </c>
      <c r="O1300" s="12">
        <f>_xlfn.XLOOKUP(B1300,[1]Sheet1!$B:$B,[1]Sheet1!$R:$R,0)</f>
        <v>793353.07499999995</v>
      </c>
      <c r="P1300" s="12">
        <f>_xlfn.XLOOKUP(B1300,[1]Sheet1!$B:$B,[1]Sheet1!$S:$S,0)</f>
        <v>1129870.06</v>
      </c>
      <c r="Q1300" s="12">
        <f>_xlfn.XLOOKUP(B1300,[1]Sheet1!$B:$B,[1]Sheet1!$T:$T,0)</f>
        <v>1129870.06</v>
      </c>
      <c r="R1300" s="12">
        <f>_xlfn.XLOOKUP(B1300,[1]Sheet1!$B:$B,[1]Sheet1!$U:$U,0)</f>
        <v>1129870.06</v>
      </c>
      <c r="S1300" s="12">
        <f>_xlfn.XLOOKUP(B1300,[1]Sheet1!$B:$B,[1]Sheet1!$V:$V,0)</f>
        <v>1466394.38</v>
      </c>
      <c r="T1300" s="12">
        <f>_xlfn.XLOOKUP(B1300,[1]Sheet1!$B:$B,[1]Sheet1!$W:$W,0)</f>
        <v>2158541.7000000002</v>
      </c>
      <c r="U1300" s="12">
        <f>_xlfn.XLOOKUP(B1300,[1]Sheet1!$B:$B,[1]Sheet1!$X:$X,0)</f>
        <v>1990275.87</v>
      </c>
      <c r="V1300" s="12">
        <f>_xlfn.XLOOKUP(B1300,[1]Sheet1!$B:$B,[1]Sheet1!$Y:$Y,0)</f>
        <v>2116883.4700000002</v>
      </c>
      <c r="W1300" s="12">
        <f t="shared" si="43"/>
        <v>16254812.315000003</v>
      </c>
      <c r="X1300" s="6" t="s">
        <v>560</v>
      </c>
      <c r="Y1300" s="6" t="s">
        <v>319</v>
      </c>
      <c r="Z1300" s="6" t="s">
        <v>320</v>
      </c>
      <c r="AA1300" s="6" t="s">
        <v>151</v>
      </c>
      <c r="AB1300" s="6" t="s">
        <v>327</v>
      </c>
      <c r="AC1300" s="6" t="s">
        <v>37</v>
      </c>
      <c r="AD1300" s="6" t="s">
        <v>322</v>
      </c>
      <c r="AE1300" s="6" t="s">
        <v>39</v>
      </c>
      <c r="AF1300" s="6" t="s">
        <v>40</v>
      </c>
      <c r="AG1300" s="7">
        <v>16254812</v>
      </c>
      <c r="AH1300" s="11">
        <f>_xlfn.XLOOKUP(B1300,[1]Sheet1!$B:$B,[1]Sheet1!$AB:$AB,0)</f>
        <v>16254812.315000003</v>
      </c>
    </row>
    <row r="1301" spans="2:34" ht="16.8" thickTop="1" thickBot="1" x14ac:dyDescent="0.35">
      <c r="B1301" s="3" t="str">
        <f t="shared" si="42"/>
        <v>45131304511001561Media Mgmnt &amp;Buy-L422511201931</v>
      </c>
      <c r="C1301" s="8" t="s">
        <v>321</v>
      </c>
      <c r="D1301" s="8" t="s">
        <v>2011</v>
      </c>
      <c r="E1301" s="8" t="s">
        <v>2012</v>
      </c>
      <c r="F1301" s="8" t="s">
        <v>559</v>
      </c>
      <c r="G1301" s="4" t="s">
        <v>2819</v>
      </c>
      <c r="H1301" s="4" t="s">
        <v>2925</v>
      </c>
      <c r="I1301" s="8" t="s">
        <v>151</v>
      </c>
      <c r="J1301" s="8" t="s">
        <v>31</v>
      </c>
      <c r="K1301" s="12">
        <f>_xlfn.XLOOKUP(B1301,[1]Sheet1!$B:$B,[1]Sheet1!$N:$N,0)</f>
        <v>0</v>
      </c>
      <c r="L1301" s="12">
        <f>_xlfn.XLOOKUP(B1301,[1]Sheet1!$B:$B,[1]Sheet1!$O:$O,0)</f>
        <v>0</v>
      </c>
      <c r="M1301" s="12">
        <f>_xlfn.XLOOKUP(B1301,[1]Sheet1!$B:$B,[1]Sheet1!$P:$P,0)</f>
        <v>0</v>
      </c>
      <c r="N1301" s="12">
        <f>_xlfn.XLOOKUP(B1301,[1]Sheet1!$B:$B,[1]Sheet1!$Q:$Q,0)</f>
        <v>0</v>
      </c>
      <c r="O1301" s="12">
        <f>_xlfn.XLOOKUP(B1301,[1]Sheet1!$B:$B,[1]Sheet1!$R:$R,0)</f>
        <v>30997558.23036306</v>
      </c>
      <c r="P1301" s="12">
        <f>_xlfn.XLOOKUP(B1301,[1]Sheet1!$B:$B,[1]Sheet1!$S:$S,0)</f>
        <v>21698291.403895594</v>
      </c>
      <c r="Q1301" s="12">
        <f>_xlfn.XLOOKUP(B1301,[1]Sheet1!$B:$B,[1]Sheet1!$T:$T,0)</f>
        <v>15498779.11518153</v>
      </c>
      <c r="R1301" s="12">
        <f>_xlfn.XLOOKUP(B1301,[1]Sheet1!$B:$B,[1]Sheet1!$U:$U,0)</f>
        <v>12399023.774126314</v>
      </c>
      <c r="S1301" s="12">
        <f>_xlfn.XLOOKUP(B1301,[1]Sheet1!$B:$B,[1]Sheet1!$V:$V,0)</f>
        <v>12399023.774126314</v>
      </c>
      <c r="T1301" s="12">
        <f>_xlfn.XLOOKUP(B1301,[1]Sheet1!$B:$B,[1]Sheet1!$W:$W,0)</f>
        <v>10332519.41012102</v>
      </c>
      <c r="U1301" s="12">
        <f>_xlfn.XLOOKUP(B1301,[1]Sheet1!$B:$B,[1]Sheet1!$X:$X,0)</f>
        <v>0</v>
      </c>
      <c r="V1301" s="12">
        <f>_xlfn.XLOOKUP(B1301,[1]Sheet1!$B:$B,[1]Sheet1!$Y:$Y,0)</f>
        <v>0</v>
      </c>
      <c r="W1301" s="12">
        <f t="shared" si="43"/>
        <v>103325195.70781386</v>
      </c>
      <c r="X1301" s="8" t="s">
        <v>560</v>
      </c>
      <c r="Y1301" s="8" t="s">
        <v>319</v>
      </c>
      <c r="Z1301" s="8" t="s">
        <v>320</v>
      </c>
      <c r="AA1301" s="8" t="s">
        <v>151</v>
      </c>
      <c r="AB1301" s="8" t="s">
        <v>327</v>
      </c>
      <c r="AC1301" s="8" t="s">
        <v>37</v>
      </c>
      <c r="AD1301" s="8" t="s">
        <v>322</v>
      </c>
      <c r="AE1301" s="8" t="s">
        <v>39</v>
      </c>
      <c r="AF1301" s="8" t="s">
        <v>40</v>
      </c>
      <c r="AG1301" s="9">
        <v>103325196</v>
      </c>
      <c r="AH1301" s="11">
        <f>_xlfn.XLOOKUP(B1301,[1]Sheet1!$B:$B,[1]Sheet1!$AB:$AB,0)</f>
        <v>103325195.70781386</v>
      </c>
    </row>
    <row r="1302" spans="2:34" ht="16.8" thickTop="1" thickBot="1" x14ac:dyDescent="0.35">
      <c r="B1302" s="3" t="str">
        <f t="shared" si="42"/>
        <v>45131304511001562Media Mgmnt &amp;Buy-L422511201931</v>
      </c>
      <c r="C1302" s="6" t="s">
        <v>321</v>
      </c>
      <c r="D1302" s="6" t="s">
        <v>2013</v>
      </c>
      <c r="E1302" s="6" t="s">
        <v>2014</v>
      </c>
      <c r="F1302" s="6" t="s">
        <v>559</v>
      </c>
      <c r="G1302" s="4" t="s">
        <v>2819</v>
      </c>
      <c r="H1302" s="4" t="s">
        <v>2925</v>
      </c>
      <c r="I1302" s="6" t="s">
        <v>151</v>
      </c>
      <c r="J1302" s="6" t="s">
        <v>31</v>
      </c>
      <c r="K1302" s="12">
        <f>_xlfn.XLOOKUP(B1302,[1]Sheet1!$B:$B,[1]Sheet1!$N:$N,0)</f>
        <v>0</v>
      </c>
      <c r="L1302" s="12">
        <f>_xlfn.XLOOKUP(B1302,[1]Sheet1!$B:$B,[1]Sheet1!$O:$O,0)</f>
        <v>0</v>
      </c>
      <c r="M1302" s="12">
        <f>_xlfn.XLOOKUP(B1302,[1]Sheet1!$B:$B,[1]Sheet1!$P:$P,0)</f>
        <v>0</v>
      </c>
      <c r="N1302" s="12">
        <f>_xlfn.XLOOKUP(B1302,[1]Sheet1!$B:$B,[1]Sheet1!$Q:$Q,0)</f>
        <v>0</v>
      </c>
      <c r="O1302" s="12">
        <f>_xlfn.XLOOKUP(B1302,[1]Sheet1!$B:$B,[1]Sheet1!$R:$R,0)</f>
        <v>0</v>
      </c>
      <c r="P1302" s="12">
        <f>_xlfn.XLOOKUP(B1302,[1]Sheet1!$B:$B,[1]Sheet1!$S:$S,0)</f>
        <v>0</v>
      </c>
      <c r="Q1302" s="12">
        <f>_xlfn.XLOOKUP(B1302,[1]Sheet1!$B:$B,[1]Sheet1!$T:$T,0)</f>
        <v>0</v>
      </c>
      <c r="R1302" s="12">
        <f>_xlfn.XLOOKUP(B1302,[1]Sheet1!$B:$B,[1]Sheet1!$U:$U,0)</f>
        <v>0</v>
      </c>
      <c r="S1302" s="12">
        <f>_xlfn.XLOOKUP(B1302,[1]Sheet1!$B:$B,[1]Sheet1!$V:$V,0)</f>
        <v>0</v>
      </c>
      <c r="T1302" s="12">
        <f>_xlfn.XLOOKUP(B1302,[1]Sheet1!$B:$B,[1]Sheet1!$W:$W,0)</f>
        <v>0</v>
      </c>
      <c r="U1302" s="12">
        <f>_xlfn.XLOOKUP(B1302,[1]Sheet1!$B:$B,[1]Sheet1!$X:$X,0)</f>
        <v>34113021.917937502</v>
      </c>
      <c r="V1302" s="12">
        <f>_xlfn.XLOOKUP(B1302,[1]Sheet1!$B:$B,[1]Sheet1!$Y:$Y,0)</f>
        <v>7491109.8200000003</v>
      </c>
      <c r="W1302" s="12">
        <f t="shared" si="43"/>
        <v>41604131.737937503</v>
      </c>
      <c r="X1302" s="6" t="s">
        <v>560</v>
      </c>
      <c r="Y1302" s="6" t="s">
        <v>319</v>
      </c>
      <c r="Z1302" s="6" t="s">
        <v>320</v>
      </c>
      <c r="AA1302" s="6" t="s">
        <v>151</v>
      </c>
      <c r="AB1302" s="6" t="s">
        <v>327</v>
      </c>
      <c r="AC1302" s="6" t="s">
        <v>37</v>
      </c>
      <c r="AD1302" s="6" t="s">
        <v>322</v>
      </c>
      <c r="AE1302" s="6" t="s">
        <v>39</v>
      </c>
      <c r="AF1302" s="6" t="s">
        <v>40</v>
      </c>
      <c r="AG1302" s="7">
        <v>41604132</v>
      </c>
      <c r="AH1302" s="11">
        <f>_xlfn.XLOOKUP(B1302,[1]Sheet1!$B:$B,[1]Sheet1!$AB:$AB,0)</f>
        <v>41604131.737937503</v>
      </c>
    </row>
    <row r="1303" spans="2:34" ht="16.8" thickTop="1" thickBot="1" x14ac:dyDescent="0.35">
      <c r="B1303" s="3" t="str">
        <f t="shared" si="42"/>
        <v>45131404511001563CampaignProductn-l422511201931</v>
      </c>
      <c r="C1303" s="8" t="s">
        <v>335</v>
      </c>
      <c r="D1303" s="8" t="s">
        <v>2015</v>
      </c>
      <c r="E1303" s="8" t="s">
        <v>2016</v>
      </c>
      <c r="F1303" s="8" t="s">
        <v>2017</v>
      </c>
      <c r="G1303" s="4" t="s">
        <v>2819</v>
      </c>
      <c r="H1303" s="4" t="s">
        <v>2925</v>
      </c>
      <c r="I1303" s="8" t="s">
        <v>151</v>
      </c>
      <c r="J1303" s="8" t="s">
        <v>31</v>
      </c>
      <c r="K1303" s="12">
        <f>_xlfn.XLOOKUP(B1303,[1]Sheet1!$B:$B,[1]Sheet1!$N:$N,0)</f>
        <v>0</v>
      </c>
      <c r="L1303" s="12">
        <f>_xlfn.XLOOKUP(B1303,[1]Sheet1!$B:$B,[1]Sheet1!$O:$O,0)</f>
        <v>0</v>
      </c>
      <c r="M1303" s="12">
        <f>_xlfn.XLOOKUP(B1303,[1]Sheet1!$B:$B,[1]Sheet1!$P:$P,0)</f>
        <v>0</v>
      </c>
      <c r="N1303" s="12">
        <f>_xlfn.XLOOKUP(B1303,[1]Sheet1!$B:$B,[1]Sheet1!$Q:$Q,0)</f>
        <v>9000000</v>
      </c>
      <c r="O1303" s="12">
        <f>_xlfn.XLOOKUP(B1303,[1]Sheet1!$B:$B,[1]Sheet1!$R:$R,0)</f>
        <v>0</v>
      </c>
      <c r="P1303" s="12">
        <f>_xlfn.XLOOKUP(B1303,[1]Sheet1!$B:$B,[1]Sheet1!$S:$S,0)</f>
        <v>1424533</v>
      </c>
      <c r="Q1303" s="12">
        <f>_xlfn.XLOOKUP(B1303,[1]Sheet1!$B:$B,[1]Sheet1!$T:$T,0)</f>
        <v>0</v>
      </c>
      <c r="R1303" s="12">
        <f>_xlfn.XLOOKUP(B1303,[1]Sheet1!$B:$B,[1]Sheet1!$U:$U,0)</f>
        <v>0</v>
      </c>
      <c r="S1303" s="12">
        <f>_xlfn.XLOOKUP(B1303,[1]Sheet1!$B:$B,[1]Sheet1!$V:$V,0)</f>
        <v>0</v>
      </c>
      <c r="T1303" s="12">
        <f>_xlfn.XLOOKUP(B1303,[1]Sheet1!$B:$B,[1]Sheet1!$W:$W,0)</f>
        <v>0</v>
      </c>
      <c r="U1303" s="12">
        <f>_xlfn.XLOOKUP(B1303,[1]Sheet1!$B:$B,[1]Sheet1!$X:$X,0)</f>
        <v>0</v>
      </c>
      <c r="V1303" s="12">
        <f>_xlfn.XLOOKUP(B1303,[1]Sheet1!$B:$B,[1]Sheet1!$Y:$Y,0)</f>
        <v>0</v>
      </c>
      <c r="W1303" s="12">
        <f t="shared" si="43"/>
        <v>10424533</v>
      </c>
      <c r="X1303" s="8" t="s">
        <v>1764</v>
      </c>
      <c r="Y1303" s="8" t="s">
        <v>319</v>
      </c>
      <c r="Z1303" s="8" t="s">
        <v>334</v>
      </c>
      <c r="AA1303" s="8" t="s">
        <v>151</v>
      </c>
      <c r="AB1303" s="8" t="s">
        <v>327</v>
      </c>
      <c r="AC1303" s="8" t="s">
        <v>37</v>
      </c>
      <c r="AD1303" s="8" t="s">
        <v>322</v>
      </c>
      <c r="AE1303" s="8" t="s">
        <v>39</v>
      </c>
      <c r="AF1303" s="8" t="s">
        <v>40</v>
      </c>
      <c r="AG1303" s="9">
        <v>10424533</v>
      </c>
      <c r="AH1303" s="11">
        <f>_xlfn.XLOOKUP(B1303,[1]Sheet1!$B:$B,[1]Sheet1!$AB:$AB,0)</f>
        <v>10424533</v>
      </c>
    </row>
    <row r="1304" spans="2:34" ht="16.8" thickTop="1" thickBot="1" x14ac:dyDescent="0.35">
      <c r="B1304" s="3" t="str">
        <f t="shared" si="42"/>
        <v>45131304511001563Media Mgmnt &amp;Buy-L422511201931</v>
      </c>
      <c r="C1304" s="6" t="s">
        <v>321</v>
      </c>
      <c r="D1304" s="6" t="s">
        <v>2015</v>
      </c>
      <c r="E1304" s="6" t="s">
        <v>2016</v>
      </c>
      <c r="F1304" s="6" t="s">
        <v>559</v>
      </c>
      <c r="G1304" s="4" t="s">
        <v>2819</v>
      </c>
      <c r="H1304" s="4" t="s">
        <v>2925</v>
      </c>
      <c r="I1304" s="6" t="s">
        <v>151</v>
      </c>
      <c r="J1304" s="6" t="s">
        <v>31</v>
      </c>
      <c r="K1304" s="12">
        <f>_xlfn.XLOOKUP(B1304,[1]Sheet1!$B:$B,[1]Sheet1!$N:$N,0)</f>
        <v>0</v>
      </c>
      <c r="L1304" s="12">
        <f>_xlfn.XLOOKUP(B1304,[1]Sheet1!$B:$B,[1]Sheet1!$O:$O,0)</f>
        <v>0</v>
      </c>
      <c r="M1304" s="12">
        <f>_xlfn.XLOOKUP(B1304,[1]Sheet1!$B:$B,[1]Sheet1!$P:$P,0)</f>
        <v>0</v>
      </c>
      <c r="N1304" s="12">
        <f>_xlfn.XLOOKUP(B1304,[1]Sheet1!$B:$B,[1]Sheet1!$Q:$Q,0)</f>
        <v>0</v>
      </c>
      <c r="O1304" s="12">
        <f>_xlfn.XLOOKUP(B1304,[1]Sheet1!$B:$B,[1]Sheet1!$R:$R,0)</f>
        <v>35593116</v>
      </c>
      <c r="P1304" s="12">
        <f>_xlfn.XLOOKUP(B1304,[1]Sheet1!$B:$B,[1]Sheet1!$S:$S,0)</f>
        <v>0</v>
      </c>
      <c r="Q1304" s="12">
        <f>_xlfn.XLOOKUP(B1304,[1]Sheet1!$B:$B,[1]Sheet1!$T:$T,0)</f>
        <v>0</v>
      </c>
      <c r="R1304" s="12">
        <f>_xlfn.XLOOKUP(B1304,[1]Sheet1!$B:$B,[1]Sheet1!$U:$U,0)</f>
        <v>0</v>
      </c>
      <c r="S1304" s="12">
        <f>_xlfn.XLOOKUP(B1304,[1]Sheet1!$B:$B,[1]Sheet1!$V:$V,0)</f>
        <v>0</v>
      </c>
      <c r="T1304" s="12">
        <f>_xlfn.XLOOKUP(B1304,[1]Sheet1!$B:$B,[1]Sheet1!$W:$W,0)</f>
        <v>0</v>
      </c>
      <c r="U1304" s="12">
        <f>_xlfn.XLOOKUP(B1304,[1]Sheet1!$B:$B,[1]Sheet1!$X:$X,0)</f>
        <v>0</v>
      </c>
      <c r="V1304" s="12">
        <f>_xlfn.XLOOKUP(B1304,[1]Sheet1!$B:$B,[1]Sheet1!$Y:$Y,0)</f>
        <v>0</v>
      </c>
      <c r="W1304" s="12">
        <f t="shared" si="43"/>
        <v>35593116</v>
      </c>
      <c r="X1304" s="6" t="s">
        <v>560</v>
      </c>
      <c r="Y1304" s="6" t="s">
        <v>319</v>
      </c>
      <c r="Z1304" s="6" t="s">
        <v>320</v>
      </c>
      <c r="AA1304" s="6" t="s">
        <v>151</v>
      </c>
      <c r="AB1304" s="6" t="s">
        <v>327</v>
      </c>
      <c r="AC1304" s="6" t="s">
        <v>37</v>
      </c>
      <c r="AD1304" s="6" t="s">
        <v>322</v>
      </c>
      <c r="AE1304" s="6" t="s">
        <v>39</v>
      </c>
      <c r="AF1304" s="6" t="s">
        <v>40</v>
      </c>
      <c r="AG1304" s="7">
        <v>35593116</v>
      </c>
      <c r="AH1304" s="11">
        <f>_xlfn.XLOOKUP(B1304,[1]Sheet1!$B:$B,[1]Sheet1!$AB:$AB,0)</f>
        <v>35593116</v>
      </c>
    </row>
    <row r="1305" spans="2:34" ht="16.8" thickTop="1" thickBot="1" x14ac:dyDescent="0.35">
      <c r="B1305" s="3" t="str">
        <f t="shared" si="42"/>
        <v>45131304511001564Media Mgmnt &amp;Buy-L422511201931</v>
      </c>
      <c r="C1305" s="8" t="s">
        <v>321</v>
      </c>
      <c r="D1305" s="8" t="s">
        <v>2018</v>
      </c>
      <c r="E1305" s="8" t="s">
        <v>2019</v>
      </c>
      <c r="F1305" s="8" t="s">
        <v>559</v>
      </c>
      <c r="G1305" s="4" t="s">
        <v>2819</v>
      </c>
      <c r="H1305" s="4" t="s">
        <v>2925</v>
      </c>
      <c r="I1305" s="8" t="s">
        <v>151</v>
      </c>
      <c r="J1305" s="8" t="s">
        <v>31</v>
      </c>
      <c r="K1305" s="12">
        <f>_xlfn.XLOOKUP(B1305,[1]Sheet1!$B:$B,[1]Sheet1!$N:$N,0)</f>
        <v>0</v>
      </c>
      <c r="L1305" s="12">
        <f>_xlfn.XLOOKUP(B1305,[1]Sheet1!$B:$B,[1]Sheet1!$O:$O,0)</f>
        <v>0</v>
      </c>
      <c r="M1305" s="12">
        <f>_xlfn.XLOOKUP(B1305,[1]Sheet1!$B:$B,[1]Sheet1!$P:$P,0)</f>
        <v>0</v>
      </c>
      <c r="N1305" s="12">
        <f>_xlfn.XLOOKUP(B1305,[1]Sheet1!$B:$B,[1]Sheet1!$Q:$Q,0)</f>
        <v>0</v>
      </c>
      <c r="O1305" s="12">
        <f>_xlfn.XLOOKUP(B1305,[1]Sheet1!$B:$B,[1]Sheet1!$R:$R,0)</f>
        <v>8302467.3583361516</v>
      </c>
      <c r="P1305" s="12">
        <f>_xlfn.XLOOKUP(B1305,[1]Sheet1!$B:$B,[1]Sheet1!$S:$S,0)</f>
        <v>5811727.3229620792</v>
      </c>
      <c r="Q1305" s="12">
        <f>_xlfn.XLOOKUP(B1305,[1]Sheet1!$B:$B,[1]Sheet1!$T:$T,0)</f>
        <v>4151233.6791680758</v>
      </c>
      <c r="R1305" s="12">
        <f>_xlfn.XLOOKUP(B1305,[1]Sheet1!$B:$B,[1]Sheet1!$U:$U,0)</f>
        <v>3320987.0724295406</v>
      </c>
      <c r="S1305" s="12">
        <f>_xlfn.XLOOKUP(B1305,[1]Sheet1!$B:$B,[1]Sheet1!$V:$V,0)</f>
        <v>3320987.0724295406</v>
      </c>
      <c r="T1305" s="12">
        <f>_xlfn.XLOOKUP(B1305,[1]Sheet1!$B:$B,[1]Sheet1!$W:$W,0)</f>
        <v>2767489.1194453835</v>
      </c>
      <c r="U1305" s="12">
        <f>_xlfn.XLOOKUP(B1305,[1]Sheet1!$B:$B,[1]Sheet1!$X:$X,0)</f>
        <v>0</v>
      </c>
      <c r="V1305" s="12">
        <f>_xlfn.XLOOKUP(B1305,[1]Sheet1!$B:$B,[1]Sheet1!$Y:$Y,0)</f>
        <v>0</v>
      </c>
      <c r="W1305" s="12">
        <f t="shared" si="43"/>
        <v>27674891.624770772</v>
      </c>
      <c r="X1305" s="8" t="s">
        <v>560</v>
      </c>
      <c r="Y1305" s="8" t="s">
        <v>319</v>
      </c>
      <c r="Z1305" s="8" t="s">
        <v>320</v>
      </c>
      <c r="AA1305" s="8" t="s">
        <v>151</v>
      </c>
      <c r="AB1305" s="8" t="s">
        <v>327</v>
      </c>
      <c r="AC1305" s="8" t="s">
        <v>37</v>
      </c>
      <c r="AD1305" s="8" t="s">
        <v>322</v>
      </c>
      <c r="AE1305" s="8" t="s">
        <v>39</v>
      </c>
      <c r="AF1305" s="8" t="s">
        <v>40</v>
      </c>
      <c r="AG1305" s="9">
        <v>27674893</v>
      </c>
      <c r="AH1305" s="11">
        <f>_xlfn.XLOOKUP(B1305,[1]Sheet1!$B:$B,[1]Sheet1!$AB:$AB,0)</f>
        <v>27674891.624770772</v>
      </c>
    </row>
    <row r="1306" spans="2:34" ht="16.8" thickTop="1" thickBot="1" x14ac:dyDescent="0.35">
      <c r="B1306" s="3" t="str">
        <f t="shared" si="42"/>
        <v>45131304511001565Media Mgmnt &amp;Buy-L422511201931</v>
      </c>
      <c r="C1306" s="6" t="s">
        <v>321</v>
      </c>
      <c r="D1306" s="6" t="s">
        <v>2020</v>
      </c>
      <c r="E1306" s="6" t="s">
        <v>2021</v>
      </c>
      <c r="F1306" s="6" t="s">
        <v>559</v>
      </c>
      <c r="G1306" s="4" t="s">
        <v>2819</v>
      </c>
      <c r="H1306" s="4" t="s">
        <v>2925</v>
      </c>
      <c r="I1306" s="6" t="s">
        <v>151</v>
      </c>
      <c r="J1306" s="6" t="s">
        <v>31</v>
      </c>
      <c r="K1306" s="12">
        <f>_xlfn.XLOOKUP(B1306,[1]Sheet1!$B:$B,[1]Sheet1!$N:$N,0)</f>
        <v>0</v>
      </c>
      <c r="L1306" s="12">
        <f>_xlfn.XLOOKUP(B1306,[1]Sheet1!$B:$B,[1]Sheet1!$O:$O,0)</f>
        <v>0</v>
      </c>
      <c r="M1306" s="12">
        <f>_xlfn.XLOOKUP(B1306,[1]Sheet1!$B:$B,[1]Sheet1!$P:$P,0)</f>
        <v>0</v>
      </c>
      <c r="N1306" s="12">
        <f>_xlfn.XLOOKUP(B1306,[1]Sheet1!$B:$B,[1]Sheet1!$Q:$Q,0)</f>
        <v>0</v>
      </c>
      <c r="O1306" s="12">
        <f>_xlfn.XLOOKUP(B1306,[1]Sheet1!$B:$B,[1]Sheet1!$R:$R,0)</f>
        <v>19631222</v>
      </c>
      <c r="P1306" s="12">
        <f>_xlfn.XLOOKUP(B1306,[1]Sheet1!$B:$B,[1]Sheet1!$S:$S,0)</f>
        <v>0</v>
      </c>
      <c r="Q1306" s="12">
        <f>_xlfn.XLOOKUP(B1306,[1]Sheet1!$B:$B,[1]Sheet1!$T:$T,0)</f>
        <v>0</v>
      </c>
      <c r="R1306" s="12">
        <f>_xlfn.XLOOKUP(B1306,[1]Sheet1!$B:$B,[1]Sheet1!$U:$U,0)</f>
        <v>0</v>
      </c>
      <c r="S1306" s="12">
        <f>_xlfn.XLOOKUP(B1306,[1]Sheet1!$B:$B,[1]Sheet1!$V:$V,0)</f>
        <v>0</v>
      </c>
      <c r="T1306" s="12">
        <f>_xlfn.XLOOKUP(B1306,[1]Sheet1!$B:$B,[1]Sheet1!$W:$W,0)</f>
        <v>0</v>
      </c>
      <c r="U1306" s="12">
        <f>_xlfn.XLOOKUP(B1306,[1]Sheet1!$B:$B,[1]Sheet1!$X:$X,0)</f>
        <v>0</v>
      </c>
      <c r="V1306" s="12">
        <f>_xlfn.XLOOKUP(B1306,[1]Sheet1!$B:$B,[1]Sheet1!$Y:$Y,0)</f>
        <v>0</v>
      </c>
      <c r="W1306" s="12">
        <f t="shared" si="43"/>
        <v>19631222</v>
      </c>
      <c r="X1306" s="6" t="s">
        <v>560</v>
      </c>
      <c r="Y1306" s="6" t="s">
        <v>319</v>
      </c>
      <c r="Z1306" s="6" t="s">
        <v>320</v>
      </c>
      <c r="AA1306" s="6" t="s">
        <v>151</v>
      </c>
      <c r="AB1306" s="6" t="s">
        <v>327</v>
      </c>
      <c r="AC1306" s="6" t="s">
        <v>37</v>
      </c>
      <c r="AD1306" s="6" t="s">
        <v>322</v>
      </c>
      <c r="AE1306" s="6" t="s">
        <v>39</v>
      </c>
      <c r="AF1306" s="6" t="s">
        <v>40</v>
      </c>
      <c r="AG1306" s="7">
        <v>19631222</v>
      </c>
      <c r="AH1306" s="11">
        <f>_xlfn.XLOOKUP(B1306,[1]Sheet1!$B:$B,[1]Sheet1!$AB:$AB,0)</f>
        <v>19631222</v>
      </c>
    </row>
    <row r="1307" spans="2:34" ht="16.8" thickTop="1" thickBot="1" x14ac:dyDescent="0.35">
      <c r="B1307" s="3" t="str">
        <f t="shared" si="42"/>
        <v>45131304511001566Media Mgmnt &amp;Buy-L422511201931</v>
      </c>
      <c r="C1307" s="8" t="s">
        <v>321</v>
      </c>
      <c r="D1307" s="8" t="s">
        <v>2022</v>
      </c>
      <c r="E1307" s="8" t="s">
        <v>2023</v>
      </c>
      <c r="F1307" s="8" t="s">
        <v>559</v>
      </c>
      <c r="G1307" s="4" t="s">
        <v>2819</v>
      </c>
      <c r="H1307" s="4" t="s">
        <v>2925</v>
      </c>
      <c r="I1307" s="8" t="s">
        <v>151</v>
      </c>
      <c r="J1307" s="8" t="s">
        <v>31</v>
      </c>
      <c r="K1307" s="12">
        <f>_xlfn.XLOOKUP(B1307,[1]Sheet1!$B:$B,[1]Sheet1!$N:$N,0)</f>
        <v>0</v>
      </c>
      <c r="L1307" s="12">
        <f>_xlfn.XLOOKUP(B1307,[1]Sheet1!$B:$B,[1]Sheet1!$O:$O,0)</f>
        <v>0</v>
      </c>
      <c r="M1307" s="12">
        <f>_xlfn.XLOOKUP(B1307,[1]Sheet1!$B:$B,[1]Sheet1!$P:$P,0)</f>
        <v>0</v>
      </c>
      <c r="N1307" s="12">
        <f>_xlfn.XLOOKUP(B1307,[1]Sheet1!$B:$B,[1]Sheet1!$Q:$Q,0)</f>
        <v>0</v>
      </c>
      <c r="O1307" s="12">
        <f>_xlfn.XLOOKUP(B1307,[1]Sheet1!$B:$B,[1]Sheet1!$R:$R,0)</f>
        <v>0</v>
      </c>
      <c r="P1307" s="12">
        <f>_xlfn.XLOOKUP(B1307,[1]Sheet1!$B:$B,[1]Sheet1!$S:$S,0)</f>
        <v>0</v>
      </c>
      <c r="Q1307" s="12">
        <f>_xlfn.XLOOKUP(B1307,[1]Sheet1!$B:$B,[1]Sheet1!$T:$T,0)</f>
        <v>0</v>
      </c>
      <c r="R1307" s="12">
        <f>_xlfn.XLOOKUP(B1307,[1]Sheet1!$B:$B,[1]Sheet1!$U:$U,0)</f>
        <v>0</v>
      </c>
      <c r="S1307" s="12">
        <f>_xlfn.XLOOKUP(B1307,[1]Sheet1!$B:$B,[1]Sheet1!$V:$V,0)</f>
        <v>0</v>
      </c>
      <c r="T1307" s="12">
        <f>_xlfn.XLOOKUP(B1307,[1]Sheet1!$B:$B,[1]Sheet1!$W:$W,0)</f>
        <v>0</v>
      </c>
      <c r="U1307" s="12">
        <f>_xlfn.XLOOKUP(B1307,[1]Sheet1!$B:$B,[1]Sheet1!$X:$X,0)</f>
        <v>15714076.802101061</v>
      </c>
      <c r="V1307" s="12">
        <f>_xlfn.XLOOKUP(B1307,[1]Sheet1!$B:$B,[1]Sheet1!$Y:$Y,0)</f>
        <v>0</v>
      </c>
      <c r="W1307" s="12">
        <f t="shared" si="43"/>
        <v>15714076.802101061</v>
      </c>
      <c r="X1307" s="8" t="s">
        <v>560</v>
      </c>
      <c r="Y1307" s="8" t="s">
        <v>319</v>
      </c>
      <c r="Z1307" s="8" t="s">
        <v>320</v>
      </c>
      <c r="AA1307" s="8" t="s">
        <v>151</v>
      </c>
      <c r="AB1307" s="8" t="s">
        <v>327</v>
      </c>
      <c r="AC1307" s="8" t="s">
        <v>37</v>
      </c>
      <c r="AD1307" s="8" t="s">
        <v>322</v>
      </c>
      <c r="AE1307" s="8" t="s">
        <v>39</v>
      </c>
      <c r="AF1307" s="8" t="s">
        <v>40</v>
      </c>
      <c r="AG1307" s="9">
        <v>15714077</v>
      </c>
      <c r="AH1307" s="11">
        <f>_xlfn.XLOOKUP(B1307,[1]Sheet1!$B:$B,[1]Sheet1!$AB:$AB,0)</f>
        <v>15714076.802101061</v>
      </c>
    </row>
    <row r="1308" spans="2:34" ht="16.8" thickTop="1" thickBot="1" x14ac:dyDescent="0.35">
      <c r="B1308" s="3" t="str">
        <f t="shared" si="42"/>
        <v>45131404511001567CampaignProductn-l422511201931</v>
      </c>
      <c r="C1308" s="6" t="s">
        <v>335</v>
      </c>
      <c r="D1308" s="6" t="s">
        <v>2024</v>
      </c>
      <c r="E1308" s="6" t="s">
        <v>2025</v>
      </c>
      <c r="F1308" s="6" t="s">
        <v>2017</v>
      </c>
      <c r="G1308" s="4" t="s">
        <v>2819</v>
      </c>
      <c r="H1308" s="4" t="s">
        <v>2925</v>
      </c>
      <c r="I1308" s="6" t="s">
        <v>151</v>
      </c>
      <c r="J1308" s="6" t="s">
        <v>31</v>
      </c>
      <c r="K1308" s="12">
        <f>_xlfn.XLOOKUP(B1308,[1]Sheet1!$B:$B,[1]Sheet1!$N:$N,0)</f>
        <v>0</v>
      </c>
      <c r="L1308" s="12">
        <f>_xlfn.XLOOKUP(B1308,[1]Sheet1!$B:$B,[1]Sheet1!$O:$O,0)</f>
        <v>0</v>
      </c>
      <c r="M1308" s="12">
        <f>_xlfn.XLOOKUP(B1308,[1]Sheet1!$B:$B,[1]Sheet1!$P:$P,0)</f>
        <v>0</v>
      </c>
      <c r="N1308" s="12">
        <f>_xlfn.XLOOKUP(B1308,[1]Sheet1!$B:$B,[1]Sheet1!$Q:$Q,0)</f>
        <v>0</v>
      </c>
      <c r="O1308" s="12">
        <f>_xlfn.XLOOKUP(B1308,[1]Sheet1!$B:$B,[1]Sheet1!$R:$R,0)</f>
        <v>5000000</v>
      </c>
      <c r="P1308" s="12">
        <f>_xlfn.XLOOKUP(B1308,[1]Sheet1!$B:$B,[1]Sheet1!$S:$S,0)</f>
        <v>0</v>
      </c>
      <c r="Q1308" s="12">
        <f>_xlfn.XLOOKUP(B1308,[1]Sheet1!$B:$B,[1]Sheet1!$T:$T,0)</f>
        <v>0</v>
      </c>
      <c r="R1308" s="12">
        <f>_xlfn.XLOOKUP(B1308,[1]Sheet1!$B:$B,[1]Sheet1!$U:$U,0)</f>
        <v>0</v>
      </c>
      <c r="S1308" s="12">
        <f>_xlfn.XLOOKUP(B1308,[1]Sheet1!$B:$B,[1]Sheet1!$V:$V,0)</f>
        <v>0</v>
      </c>
      <c r="T1308" s="12">
        <f>_xlfn.XLOOKUP(B1308,[1]Sheet1!$B:$B,[1]Sheet1!$W:$W,0)</f>
        <v>0</v>
      </c>
      <c r="U1308" s="12">
        <f>_xlfn.XLOOKUP(B1308,[1]Sheet1!$B:$B,[1]Sheet1!$X:$X,0)</f>
        <v>0</v>
      </c>
      <c r="V1308" s="12">
        <f>_xlfn.XLOOKUP(B1308,[1]Sheet1!$B:$B,[1]Sheet1!$Y:$Y,0)</f>
        <v>0</v>
      </c>
      <c r="W1308" s="12">
        <f t="shared" si="43"/>
        <v>5000000</v>
      </c>
      <c r="X1308" s="6" t="s">
        <v>1764</v>
      </c>
      <c r="Y1308" s="6" t="s">
        <v>319</v>
      </c>
      <c r="Z1308" s="6" t="s">
        <v>334</v>
      </c>
      <c r="AA1308" s="6" t="s">
        <v>151</v>
      </c>
      <c r="AB1308" s="6" t="s">
        <v>327</v>
      </c>
      <c r="AC1308" s="6" t="s">
        <v>37</v>
      </c>
      <c r="AD1308" s="6" t="s">
        <v>322</v>
      </c>
      <c r="AE1308" s="6" t="s">
        <v>39</v>
      </c>
      <c r="AF1308" s="6" t="s">
        <v>40</v>
      </c>
      <c r="AG1308" s="7">
        <v>5000000</v>
      </c>
      <c r="AH1308" s="11">
        <f>_xlfn.XLOOKUP(B1308,[1]Sheet1!$B:$B,[1]Sheet1!$AB:$AB,0)</f>
        <v>5000000</v>
      </c>
    </row>
    <row r="1309" spans="2:34" ht="16.8" thickTop="1" thickBot="1" x14ac:dyDescent="0.35">
      <c r="B1309" s="3" t="str">
        <f t="shared" si="42"/>
        <v>45131304511001567Media Mgmnt &amp;Buy-L422511201931</v>
      </c>
      <c r="C1309" s="8" t="s">
        <v>321</v>
      </c>
      <c r="D1309" s="8" t="s">
        <v>2024</v>
      </c>
      <c r="E1309" s="8" t="s">
        <v>2025</v>
      </c>
      <c r="F1309" s="8" t="s">
        <v>559</v>
      </c>
      <c r="G1309" s="4" t="s">
        <v>2819</v>
      </c>
      <c r="H1309" s="4" t="s">
        <v>2925</v>
      </c>
      <c r="I1309" s="8" t="s">
        <v>151</v>
      </c>
      <c r="J1309" s="8" t="s">
        <v>31</v>
      </c>
      <c r="K1309" s="12">
        <f>_xlfn.XLOOKUP(B1309,[1]Sheet1!$B:$B,[1]Sheet1!$N:$N,0)</f>
        <v>0</v>
      </c>
      <c r="L1309" s="12">
        <f>_xlfn.XLOOKUP(B1309,[1]Sheet1!$B:$B,[1]Sheet1!$O:$O,0)</f>
        <v>0</v>
      </c>
      <c r="M1309" s="12">
        <f>_xlfn.XLOOKUP(B1309,[1]Sheet1!$B:$B,[1]Sheet1!$P:$P,0)</f>
        <v>0</v>
      </c>
      <c r="N1309" s="12">
        <f>_xlfn.XLOOKUP(B1309,[1]Sheet1!$B:$B,[1]Sheet1!$Q:$Q,0)</f>
        <v>0</v>
      </c>
      <c r="O1309" s="12">
        <f>_xlfn.XLOOKUP(B1309,[1]Sheet1!$B:$B,[1]Sheet1!$R:$R,0)</f>
        <v>4487518.4721926767</v>
      </c>
      <c r="P1309" s="12">
        <f>_xlfn.XLOOKUP(B1309,[1]Sheet1!$B:$B,[1]Sheet1!$S:$S,0)</f>
        <v>2804699.5569725153</v>
      </c>
      <c r="Q1309" s="12">
        <f>_xlfn.XLOOKUP(B1309,[1]Sheet1!$B:$B,[1]Sheet1!$T:$T,0)</f>
        <v>2243759.7798041557</v>
      </c>
      <c r="R1309" s="12">
        <f>_xlfn.XLOOKUP(B1309,[1]Sheet1!$B:$B,[1]Sheet1!$U:$U,0)</f>
        <v>1682820.0026357959</v>
      </c>
      <c r="S1309" s="12">
        <f>_xlfn.XLOOKUP(B1309,[1]Sheet1!$B:$B,[1]Sheet1!$V:$V,0)</f>
        <v>1402349.7823927193</v>
      </c>
      <c r="T1309" s="12">
        <f>_xlfn.XLOOKUP(B1309,[1]Sheet1!$B:$B,[1]Sheet1!$W:$W,0)</f>
        <v>1402349.7823927193</v>
      </c>
      <c r="U1309" s="12">
        <f>_xlfn.XLOOKUP(B1309,[1]Sheet1!$B:$B,[1]Sheet1!$X:$X,0)</f>
        <v>0</v>
      </c>
      <c r="V1309" s="12">
        <f>_xlfn.XLOOKUP(B1309,[1]Sheet1!$B:$B,[1]Sheet1!$Y:$Y,0)</f>
        <v>0</v>
      </c>
      <c r="W1309" s="12">
        <f t="shared" si="43"/>
        <v>14023497.376390582</v>
      </c>
      <c r="X1309" s="8" t="s">
        <v>560</v>
      </c>
      <c r="Y1309" s="8" t="s">
        <v>319</v>
      </c>
      <c r="Z1309" s="8" t="s">
        <v>320</v>
      </c>
      <c r="AA1309" s="8" t="s">
        <v>151</v>
      </c>
      <c r="AB1309" s="8" t="s">
        <v>327</v>
      </c>
      <c r="AC1309" s="8" t="s">
        <v>37</v>
      </c>
      <c r="AD1309" s="8" t="s">
        <v>322</v>
      </c>
      <c r="AE1309" s="8" t="s">
        <v>39</v>
      </c>
      <c r="AF1309" s="8" t="s">
        <v>40</v>
      </c>
      <c r="AG1309" s="9">
        <v>14023498</v>
      </c>
      <c r="AH1309" s="11">
        <f>_xlfn.XLOOKUP(B1309,[1]Sheet1!$B:$B,[1]Sheet1!$AB:$AB,0)</f>
        <v>14023497.376390582</v>
      </c>
    </row>
    <row r="1310" spans="2:34" ht="16.8" thickTop="1" thickBot="1" x14ac:dyDescent="0.35">
      <c r="B1310" s="3" t="str">
        <f t="shared" si="42"/>
        <v>45131404511001568CampaignProductn-l422511201931</v>
      </c>
      <c r="C1310" s="6" t="s">
        <v>335</v>
      </c>
      <c r="D1310" s="6" t="s">
        <v>2026</v>
      </c>
      <c r="E1310" s="6" t="s">
        <v>2027</v>
      </c>
      <c r="F1310" s="6" t="s">
        <v>2017</v>
      </c>
      <c r="G1310" s="4" t="s">
        <v>2819</v>
      </c>
      <c r="H1310" s="4" t="s">
        <v>2925</v>
      </c>
      <c r="I1310" s="6" t="s">
        <v>151</v>
      </c>
      <c r="J1310" s="6" t="s">
        <v>31</v>
      </c>
      <c r="K1310" s="12">
        <f>_xlfn.XLOOKUP(B1310,[1]Sheet1!$B:$B,[1]Sheet1!$N:$N,0)</f>
        <v>0</v>
      </c>
      <c r="L1310" s="12">
        <f>_xlfn.XLOOKUP(B1310,[1]Sheet1!$B:$B,[1]Sheet1!$O:$O,0)</f>
        <v>0</v>
      </c>
      <c r="M1310" s="12">
        <f>_xlfn.XLOOKUP(B1310,[1]Sheet1!$B:$B,[1]Sheet1!$P:$P,0)</f>
        <v>0</v>
      </c>
      <c r="N1310" s="12">
        <f>_xlfn.XLOOKUP(B1310,[1]Sheet1!$B:$B,[1]Sheet1!$Q:$Q,0)</f>
        <v>0</v>
      </c>
      <c r="O1310" s="12">
        <f>_xlfn.XLOOKUP(B1310,[1]Sheet1!$B:$B,[1]Sheet1!$R:$R,0)</f>
        <v>0</v>
      </c>
      <c r="P1310" s="12">
        <f>_xlfn.XLOOKUP(B1310,[1]Sheet1!$B:$B,[1]Sheet1!$S:$S,0)</f>
        <v>0</v>
      </c>
      <c r="Q1310" s="12">
        <f>_xlfn.XLOOKUP(B1310,[1]Sheet1!$B:$B,[1]Sheet1!$T:$T,0)</f>
        <v>0</v>
      </c>
      <c r="R1310" s="12">
        <f>_xlfn.XLOOKUP(B1310,[1]Sheet1!$B:$B,[1]Sheet1!$U:$U,0)</f>
        <v>0</v>
      </c>
      <c r="S1310" s="12">
        <f>_xlfn.XLOOKUP(B1310,[1]Sheet1!$B:$B,[1]Sheet1!$V:$V,0)</f>
        <v>0</v>
      </c>
      <c r="T1310" s="12">
        <f>_xlfn.XLOOKUP(B1310,[1]Sheet1!$B:$B,[1]Sheet1!$W:$W,0)</f>
        <v>0</v>
      </c>
      <c r="U1310" s="12">
        <f>_xlfn.XLOOKUP(B1310,[1]Sheet1!$B:$B,[1]Sheet1!$X:$X,0)</f>
        <v>0</v>
      </c>
      <c r="V1310" s="12">
        <f>_xlfn.XLOOKUP(B1310,[1]Sheet1!$B:$B,[1]Sheet1!$Y:$Y,0)</f>
        <v>6000000</v>
      </c>
      <c r="W1310" s="12">
        <f t="shared" si="43"/>
        <v>6000000</v>
      </c>
      <c r="X1310" s="6" t="s">
        <v>1764</v>
      </c>
      <c r="Y1310" s="6" t="s">
        <v>319</v>
      </c>
      <c r="Z1310" s="6" t="s">
        <v>334</v>
      </c>
      <c r="AA1310" s="6" t="s">
        <v>151</v>
      </c>
      <c r="AB1310" s="6" t="s">
        <v>327</v>
      </c>
      <c r="AC1310" s="6" t="s">
        <v>37</v>
      </c>
      <c r="AD1310" s="6" t="s">
        <v>322</v>
      </c>
      <c r="AE1310" s="6" t="s">
        <v>39</v>
      </c>
      <c r="AF1310" s="6" t="s">
        <v>40</v>
      </c>
      <c r="AG1310" s="7">
        <v>6000000</v>
      </c>
      <c r="AH1310" s="11">
        <f>_xlfn.XLOOKUP(B1310,[1]Sheet1!$B:$B,[1]Sheet1!$AB:$AB,0)</f>
        <v>6000000</v>
      </c>
    </row>
    <row r="1311" spans="2:34" ht="16.8" thickTop="1" thickBot="1" x14ac:dyDescent="0.35">
      <c r="B1311" s="3" t="str">
        <f t="shared" si="42"/>
        <v>45131304511001568Media Mgmnt &amp;Buy-L422511201931</v>
      </c>
      <c r="C1311" s="8" t="s">
        <v>321</v>
      </c>
      <c r="D1311" s="8" t="s">
        <v>2026</v>
      </c>
      <c r="E1311" s="8" t="s">
        <v>2027</v>
      </c>
      <c r="F1311" s="8" t="s">
        <v>559</v>
      </c>
      <c r="G1311" s="4" t="s">
        <v>2819</v>
      </c>
      <c r="H1311" s="4" t="s">
        <v>2925</v>
      </c>
      <c r="I1311" s="8" t="s">
        <v>151</v>
      </c>
      <c r="J1311" s="8" t="s">
        <v>31</v>
      </c>
      <c r="K1311" s="12">
        <f>_xlfn.XLOOKUP(B1311,[1]Sheet1!$B:$B,[1]Sheet1!$N:$N,0)</f>
        <v>0</v>
      </c>
      <c r="L1311" s="12">
        <f>_xlfn.XLOOKUP(B1311,[1]Sheet1!$B:$B,[1]Sheet1!$O:$O,0)</f>
        <v>0</v>
      </c>
      <c r="M1311" s="12">
        <f>_xlfn.XLOOKUP(B1311,[1]Sheet1!$B:$B,[1]Sheet1!$P:$P,0)</f>
        <v>0</v>
      </c>
      <c r="N1311" s="12">
        <f>_xlfn.XLOOKUP(B1311,[1]Sheet1!$B:$B,[1]Sheet1!$Q:$Q,0)</f>
        <v>0</v>
      </c>
      <c r="O1311" s="12">
        <f>_xlfn.XLOOKUP(B1311,[1]Sheet1!$B:$B,[1]Sheet1!$R:$R,0)</f>
        <v>7651644</v>
      </c>
      <c r="P1311" s="12">
        <f>_xlfn.XLOOKUP(B1311,[1]Sheet1!$B:$B,[1]Sheet1!$S:$S,0)</f>
        <v>0</v>
      </c>
      <c r="Q1311" s="12">
        <f>_xlfn.XLOOKUP(B1311,[1]Sheet1!$B:$B,[1]Sheet1!$T:$T,0)</f>
        <v>0</v>
      </c>
      <c r="R1311" s="12">
        <f>_xlfn.XLOOKUP(B1311,[1]Sheet1!$B:$B,[1]Sheet1!$U:$U,0)</f>
        <v>0</v>
      </c>
      <c r="S1311" s="12">
        <f>_xlfn.XLOOKUP(B1311,[1]Sheet1!$B:$B,[1]Sheet1!$V:$V,0)</f>
        <v>0</v>
      </c>
      <c r="T1311" s="12">
        <f>_xlfn.XLOOKUP(B1311,[1]Sheet1!$B:$B,[1]Sheet1!$W:$W,0)</f>
        <v>0</v>
      </c>
      <c r="U1311" s="12">
        <f>_xlfn.XLOOKUP(B1311,[1]Sheet1!$B:$B,[1]Sheet1!$X:$X,0)</f>
        <v>0</v>
      </c>
      <c r="V1311" s="12">
        <f>_xlfn.XLOOKUP(B1311,[1]Sheet1!$B:$B,[1]Sheet1!$Y:$Y,0)</f>
        <v>0</v>
      </c>
      <c r="W1311" s="12">
        <f t="shared" si="43"/>
        <v>7651644</v>
      </c>
      <c r="X1311" s="8" t="s">
        <v>560</v>
      </c>
      <c r="Y1311" s="8" t="s">
        <v>319</v>
      </c>
      <c r="Z1311" s="8" t="s">
        <v>320</v>
      </c>
      <c r="AA1311" s="8" t="s">
        <v>151</v>
      </c>
      <c r="AB1311" s="8" t="s">
        <v>327</v>
      </c>
      <c r="AC1311" s="8" t="s">
        <v>37</v>
      </c>
      <c r="AD1311" s="8" t="s">
        <v>322</v>
      </c>
      <c r="AE1311" s="8" t="s">
        <v>39</v>
      </c>
      <c r="AF1311" s="8" t="s">
        <v>40</v>
      </c>
      <c r="AG1311" s="9">
        <v>7651644</v>
      </c>
      <c r="AH1311" s="11">
        <f>_xlfn.XLOOKUP(B1311,[1]Sheet1!$B:$B,[1]Sheet1!$AB:$AB,0)</f>
        <v>7651644</v>
      </c>
    </row>
    <row r="1312" spans="2:34" ht="16.8" thickTop="1" thickBot="1" x14ac:dyDescent="0.35">
      <c r="B1312" s="3" t="str">
        <f t="shared" si="42"/>
        <v>45131304511001568Talent Fees-L422511201931</v>
      </c>
      <c r="C1312" s="6" t="s">
        <v>321</v>
      </c>
      <c r="D1312" s="6" t="s">
        <v>2026</v>
      </c>
      <c r="E1312" s="6" t="s">
        <v>2027</v>
      </c>
      <c r="F1312" s="6" t="s">
        <v>1580</v>
      </c>
      <c r="G1312" s="4" t="s">
        <v>2819</v>
      </c>
      <c r="H1312" s="4" t="s">
        <v>2925</v>
      </c>
      <c r="I1312" s="6" t="s">
        <v>151</v>
      </c>
      <c r="J1312" s="6" t="s">
        <v>31</v>
      </c>
      <c r="K1312" s="12">
        <f>_xlfn.XLOOKUP(B1312,[1]Sheet1!$B:$B,[1]Sheet1!$N:$N,0)</f>
        <v>0</v>
      </c>
      <c r="L1312" s="12">
        <f>_xlfn.XLOOKUP(B1312,[1]Sheet1!$B:$B,[1]Sheet1!$O:$O,0)</f>
        <v>0</v>
      </c>
      <c r="M1312" s="12">
        <f>_xlfn.XLOOKUP(B1312,[1]Sheet1!$B:$B,[1]Sheet1!$P:$P,0)</f>
        <v>0</v>
      </c>
      <c r="N1312" s="12">
        <f>_xlfn.XLOOKUP(B1312,[1]Sheet1!$B:$B,[1]Sheet1!$Q:$Q,0)</f>
        <v>0</v>
      </c>
      <c r="O1312" s="12">
        <f>_xlfn.XLOOKUP(B1312,[1]Sheet1!$B:$B,[1]Sheet1!$R:$R,0)</f>
        <v>0</v>
      </c>
      <c r="P1312" s="12">
        <f>_xlfn.XLOOKUP(B1312,[1]Sheet1!$B:$B,[1]Sheet1!$S:$S,0)</f>
        <v>0</v>
      </c>
      <c r="Q1312" s="12">
        <f>_xlfn.XLOOKUP(B1312,[1]Sheet1!$B:$B,[1]Sheet1!$T:$T,0)</f>
        <v>0</v>
      </c>
      <c r="R1312" s="12">
        <f>_xlfn.XLOOKUP(B1312,[1]Sheet1!$B:$B,[1]Sheet1!$U:$U,0)</f>
        <v>0</v>
      </c>
      <c r="S1312" s="12">
        <f>_xlfn.XLOOKUP(B1312,[1]Sheet1!$B:$B,[1]Sheet1!$V:$V,0)</f>
        <v>0</v>
      </c>
      <c r="T1312" s="12">
        <f>_xlfn.XLOOKUP(B1312,[1]Sheet1!$B:$B,[1]Sheet1!$W:$W,0)</f>
        <v>0</v>
      </c>
      <c r="U1312" s="12">
        <f>_xlfn.XLOOKUP(B1312,[1]Sheet1!$B:$B,[1]Sheet1!$X:$X,0)</f>
        <v>7046400</v>
      </c>
      <c r="V1312" s="12">
        <f>_xlfn.XLOOKUP(B1312,[1]Sheet1!$B:$B,[1]Sheet1!$Y:$Y,0)</f>
        <v>0</v>
      </c>
      <c r="W1312" s="12">
        <f t="shared" si="43"/>
        <v>7046400</v>
      </c>
      <c r="X1312" s="6" t="s">
        <v>560</v>
      </c>
      <c r="Y1312" s="6" t="s">
        <v>319</v>
      </c>
      <c r="Z1312" s="6" t="s">
        <v>320</v>
      </c>
      <c r="AA1312" s="6" t="s">
        <v>151</v>
      </c>
      <c r="AB1312" s="6" t="s">
        <v>327</v>
      </c>
      <c r="AC1312" s="6" t="s">
        <v>37</v>
      </c>
      <c r="AD1312" s="6" t="s">
        <v>322</v>
      </c>
      <c r="AE1312" s="6" t="s">
        <v>39</v>
      </c>
      <c r="AF1312" s="6" t="s">
        <v>40</v>
      </c>
      <c r="AG1312" s="7">
        <v>7051900</v>
      </c>
      <c r="AH1312" s="11">
        <f>_xlfn.XLOOKUP(B1312,[1]Sheet1!$B:$B,[1]Sheet1!$AB:$AB,0)</f>
        <v>7051900</v>
      </c>
    </row>
    <row r="1313" spans="2:34" ht="16.8" thickTop="1" thickBot="1" x14ac:dyDescent="0.35">
      <c r="B1313" s="3" t="str">
        <f t="shared" si="42"/>
        <v>45131304511001569Media Mgmnt &amp;Buy-L422511201931</v>
      </c>
      <c r="C1313" s="8" t="s">
        <v>321</v>
      </c>
      <c r="D1313" s="8" t="s">
        <v>2028</v>
      </c>
      <c r="E1313" s="8" t="s">
        <v>2029</v>
      </c>
      <c r="F1313" s="8" t="s">
        <v>559</v>
      </c>
      <c r="G1313" s="4" t="s">
        <v>2819</v>
      </c>
      <c r="H1313" s="4" t="s">
        <v>2925</v>
      </c>
      <c r="I1313" s="8" t="s">
        <v>151</v>
      </c>
      <c r="J1313" s="8" t="s">
        <v>31</v>
      </c>
      <c r="K1313" s="12">
        <f>_xlfn.XLOOKUP(B1313,[1]Sheet1!$B:$B,[1]Sheet1!$N:$N,0)</f>
        <v>0</v>
      </c>
      <c r="L1313" s="12">
        <f>_xlfn.XLOOKUP(B1313,[1]Sheet1!$B:$B,[1]Sheet1!$O:$O,0)</f>
        <v>0</v>
      </c>
      <c r="M1313" s="12">
        <f>_xlfn.XLOOKUP(B1313,[1]Sheet1!$B:$B,[1]Sheet1!$P:$P,0)</f>
        <v>0</v>
      </c>
      <c r="N1313" s="12">
        <f>_xlfn.XLOOKUP(B1313,[1]Sheet1!$B:$B,[1]Sheet1!$Q:$Q,0)</f>
        <v>0</v>
      </c>
      <c r="O1313" s="12">
        <f>_xlfn.XLOOKUP(B1313,[1]Sheet1!$B:$B,[1]Sheet1!$R:$R,0)</f>
        <v>920651.92965688184</v>
      </c>
      <c r="P1313" s="12">
        <f>_xlfn.XLOOKUP(B1313,[1]Sheet1!$B:$B,[1]Sheet1!$S:$S,0)</f>
        <v>920651.92965688184</v>
      </c>
      <c r="Q1313" s="12">
        <f>_xlfn.XLOOKUP(B1313,[1]Sheet1!$B:$B,[1]Sheet1!$T:$T,0)</f>
        <v>920651.92965688184</v>
      </c>
      <c r="R1313" s="12">
        <f>_xlfn.XLOOKUP(B1313,[1]Sheet1!$B:$B,[1]Sheet1!$U:$U,0)</f>
        <v>920651.92965688184</v>
      </c>
      <c r="S1313" s="12">
        <f>_xlfn.XLOOKUP(B1313,[1]Sheet1!$B:$B,[1]Sheet1!$V:$V,0)</f>
        <v>920651.92965688184</v>
      </c>
      <c r="T1313" s="12">
        <f>_xlfn.XLOOKUP(B1313,[1]Sheet1!$B:$B,[1]Sheet1!$W:$W,0)</f>
        <v>920651.92965688184</v>
      </c>
      <c r="U1313" s="12">
        <f>_xlfn.XLOOKUP(B1313,[1]Sheet1!$B:$B,[1]Sheet1!$X:$X,0)</f>
        <v>920651.92965688184</v>
      </c>
      <c r="V1313" s="12">
        <f>_xlfn.XLOOKUP(B1313,[1]Sheet1!$B:$B,[1]Sheet1!$Y:$Y,0)</f>
        <v>920651.92965688184</v>
      </c>
      <c r="W1313" s="12">
        <f t="shared" si="43"/>
        <v>7365215.4372550547</v>
      </c>
      <c r="X1313" s="8" t="s">
        <v>560</v>
      </c>
      <c r="Y1313" s="8" t="s">
        <v>319</v>
      </c>
      <c r="Z1313" s="8" t="s">
        <v>320</v>
      </c>
      <c r="AA1313" s="8" t="s">
        <v>151</v>
      </c>
      <c r="AB1313" s="8" t="s">
        <v>327</v>
      </c>
      <c r="AC1313" s="8" t="s">
        <v>37</v>
      </c>
      <c r="AD1313" s="8" t="s">
        <v>322</v>
      </c>
      <c r="AE1313" s="8" t="s">
        <v>39</v>
      </c>
      <c r="AF1313" s="8" t="s">
        <v>40</v>
      </c>
      <c r="AG1313" s="9">
        <v>7365215</v>
      </c>
      <c r="AH1313" s="11">
        <f>_xlfn.XLOOKUP(B1313,[1]Sheet1!$B:$B,[1]Sheet1!$AB:$AB,0)</f>
        <v>7365215.4372550547</v>
      </c>
    </row>
    <row r="1314" spans="2:34" ht="16.8" thickTop="1" thickBot="1" x14ac:dyDescent="0.35">
      <c r="B1314" s="3" t="str">
        <f t="shared" si="42"/>
        <v>45131304511001570Media Mgmnt &amp;Buy-L422511201931</v>
      </c>
      <c r="C1314" s="6" t="s">
        <v>321</v>
      </c>
      <c r="D1314" s="6" t="s">
        <v>2030</v>
      </c>
      <c r="E1314" s="6" t="s">
        <v>2031</v>
      </c>
      <c r="F1314" s="6" t="s">
        <v>559</v>
      </c>
      <c r="G1314" s="4" t="s">
        <v>2819</v>
      </c>
      <c r="H1314" s="4" t="s">
        <v>2925</v>
      </c>
      <c r="I1314" s="6" t="s">
        <v>151</v>
      </c>
      <c r="J1314" s="6" t="s">
        <v>31</v>
      </c>
      <c r="K1314" s="12">
        <f>_xlfn.XLOOKUP(B1314,[1]Sheet1!$B:$B,[1]Sheet1!$N:$N,0)</f>
        <v>0</v>
      </c>
      <c r="L1314" s="12">
        <f>_xlfn.XLOOKUP(B1314,[1]Sheet1!$B:$B,[1]Sheet1!$O:$O,0)</f>
        <v>0</v>
      </c>
      <c r="M1314" s="12">
        <f>_xlfn.XLOOKUP(B1314,[1]Sheet1!$B:$B,[1]Sheet1!$P:$P,0)</f>
        <v>0</v>
      </c>
      <c r="N1314" s="12">
        <f>_xlfn.XLOOKUP(B1314,[1]Sheet1!$B:$B,[1]Sheet1!$Q:$Q,0)</f>
        <v>0</v>
      </c>
      <c r="O1314" s="12">
        <f>_xlfn.XLOOKUP(B1314,[1]Sheet1!$B:$B,[1]Sheet1!$R:$R,0)</f>
        <v>2301642.5208128928</v>
      </c>
      <c r="P1314" s="12">
        <f>_xlfn.XLOOKUP(B1314,[1]Sheet1!$B:$B,[1]Sheet1!$S:$S,0)</f>
        <v>552394.64093838399</v>
      </c>
      <c r="Q1314" s="12">
        <f>_xlfn.XLOOKUP(B1314,[1]Sheet1!$B:$B,[1]Sheet1!$T:$T,0)</f>
        <v>552394.64093838399</v>
      </c>
      <c r="R1314" s="12">
        <f>_xlfn.XLOOKUP(B1314,[1]Sheet1!$B:$B,[1]Sheet1!$U:$U,0)</f>
        <v>460327.05101827963</v>
      </c>
      <c r="S1314" s="12">
        <f>_xlfn.XLOOKUP(B1314,[1]Sheet1!$B:$B,[1]Sheet1!$V:$V,0)</f>
        <v>460327.05101827963</v>
      </c>
      <c r="T1314" s="12">
        <f>_xlfn.XLOOKUP(B1314,[1]Sheet1!$B:$B,[1]Sheet1!$W:$W,0)</f>
        <v>460327.05101827963</v>
      </c>
      <c r="U1314" s="12">
        <f>_xlfn.XLOOKUP(B1314,[1]Sheet1!$B:$B,[1]Sheet1!$X:$X,0)</f>
        <v>1104785.6490160206</v>
      </c>
      <c r="V1314" s="12">
        <f>_xlfn.XLOOKUP(B1314,[1]Sheet1!$B:$B,[1]Sheet1!$Y:$Y,0)</f>
        <v>1105023.6490160199</v>
      </c>
      <c r="W1314" s="12">
        <f t="shared" si="43"/>
        <v>6997222.253776541</v>
      </c>
      <c r="X1314" s="6" t="s">
        <v>560</v>
      </c>
      <c r="Y1314" s="6" t="s">
        <v>319</v>
      </c>
      <c r="Z1314" s="6" t="s">
        <v>320</v>
      </c>
      <c r="AA1314" s="6" t="s">
        <v>151</v>
      </c>
      <c r="AB1314" s="6" t="s">
        <v>327</v>
      </c>
      <c r="AC1314" s="6" t="s">
        <v>37</v>
      </c>
      <c r="AD1314" s="6" t="s">
        <v>322</v>
      </c>
      <c r="AE1314" s="6" t="s">
        <v>39</v>
      </c>
      <c r="AF1314" s="6" t="s">
        <v>40</v>
      </c>
      <c r="AG1314" s="7">
        <v>6997222</v>
      </c>
      <c r="AH1314" s="11">
        <f>_xlfn.XLOOKUP(B1314,[1]Sheet1!$B:$B,[1]Sheet1!$AB:$AB,0)</f>
        <v>6997222.253776541</v>
      </c>
    </row>
    <row r="1315" spans="2:34" ht="16.8" thickTop="1" thickBot="1" x14ac:dyDescent="0.35">
      <c r="B1315" s="3" t="str">
        <f t="shared" si="42"/>
        <v>45131304511001571Media Mgmnt &amp;Buy-L422511201931</v>
      </c>
      <c r="C1315" s="8" t="s">
        <v>321</v>
      </c>
      <c r="D1315" s="8" t="s">
        <v>2032</v>
      </c>
      <c r="E1315" s="8" t="s">
        <v>2033</v>
      </c>
      <c r="F1315" s="8" t="s">
        <v>559</v>
      </c>
      <c r="G1315" s="4" t="s">
        <v>2819</v>
      </c>
      <c r="H1315" s="4" t="s">
        <v>2925</v>
      </c>
      <c r="I1315" s="8" t="s">
        <v>151</v>
      </c>
      <c r="J1315" s="8" t="s">
        <v>31</v>
      </c>
      <c r="K1315" s="12">
        <f>_xlfn.XLOOKUP(B1315,[1]Sheet1!$B:$B,[1]Sheet1!$N:$N,0)</f>
        <v>0</v>
      </c>
      <c r="L1315" s="12">
        <f>_xlfn.XLOOKUP(B1315,[1]Sheet1!$B:$B,[1]Sheet1!$O:$O,0)</f>
        <v>0</v>
      </c>
      <c r="M1315" s="12">
        <f>_xlfn.XLOOKUP(B1315,[1]Sheet1!$B:$B,[1]Sheet1!$P:$P,0)</f>
        <v>0</v>
      </c>
      <c r="N1315" s="12">
        <f>_xlfn.XLOOKUP(B1315,[1]Sheet1!$B:$B,[1]Sheet1!$Q:$Q,0)</f>
        <v>0</v>
      </c>
      <c r="O1315" s="12">
        <f>_xlfn.XLOOKUP(B1315,[1]Sheet1!$B:$B,[1]Sheet1!$R:$R,0)</f>
        <v>0</v>
      </c>
      <c r="P1315" s="12">
        <f>_xlfn.XLOOKUP(B1315,[1]Sheet1!$B:$B,[1]Sheet1!$S:$S,0)</f>
        <v>0</v>
      </c>
      <c r="Q1315" s="12">
        <f>_xlfn.XLOOKUP(B1315,[1]Sheet1!$B:$B,[1]Sheet1!$T:$T,0)</f>
        <v>0</v>
      </c>
      <c r="R1315" s="12">
        <f>_xlfn.XLOOKUP(B1315,[1]Sheet1!$B:$B,[1]Sheet1!$U:$U,0)</f>
        <v>0</v>
      </c>
      <c r="S1315" s="12">
        <f>_xlfn.XLOOKUP(B1315,[1]Sheet1!$B:$B,[1]Sheet1!$V:$V,0)</f>
        <v>1431604.7386653926</v>
      </c>
      <c r="T1315" s="12">
        <f>_xlfn.XLOOKUP(B1315,[1]Sheet1!$B:$B,[1]Sheet1!$W:$W,0)</f>
        <v>1431604.7386653926</v>
      </c>
      <c r="U1315" s="12">
        <f>_xlfn.XLOOKUP(B1315,[1]Sheet1!$B:$B,[1]Sheet1!$X:$X,0)</f>
        <v>1431604.7386653926</v>
      </c>
      <c r="V1315" s="12">
        <f>_xlfn.XLOOKUP(B1315,[1]Sheet1!$B:$B,[1]Sheet1!$Y:$Y,0)</f>
        <v>1431604.7386653926</v>
      </c>
      <c r="W1315" s="12">
        <f t="shared" si="43"/>
        <v>5726418.9546615705</v>
      </c>
      <c r="X1315" s="8" t="s">
        <v>560</v>
      </c>
      <c r="Y1315" s="8" t="s">
        <v>319</v>
      </c>
      <c r="Z1315" s="8" t="s">
        <v>320</v>
      </c>
      <c r="AA1315" s="8" t="s">
        <v>151</v>
      </c>
      <c r="AB1315" s="8" t="s">
        <v>327</v>
      </c>
      <c r="AC1315" s="8" t="s">
        <v>37</v>
      </c>
      <c r="AD1315" s="8" t="s">
        <v>322</v>
      </c>
      <c r="AE1315" s="8" t="s">
        <v>39</v>
      </c>
      <c r="AF1315" s="8" t="s">
        <v>40</v>
      </c>
      <c r="AG1315" s="9">
        <v>5726419</v>
      </c>
      <c r="AH1315" s="11">
        <f>_xlfn.XLOOKUP(B1315,[1]Sheet1!$B:$B,[1]Sheet1!$AB:$AB,0)</f>
        <v>5726418.9546615705</v>
      </c>
    </row>
    <row r="1316" spans="2:34" ht="16.8" thickTop="1" thickBot="1" x14ac:dyDescent="0.35">
      <c r="B1316" s="3" t="str">
        <f t="shared" si="42"/>
        <v>45131304511001572Media Mgmnt &amp;Buy-L422511201931</v>
      </c>
      <c r="C1316" s="6" t="s">
        <v>321</v>
      </c>
      <c r="D1316" s="6" t="s">
        <v>2034</v>
      </c>
      <c r="E1316" s="6" t="s">
        <v>2035</v>
      </c>
      <c r="F1316" s="6" t="s">
        <v>559</v>
      </c>
      <c r="G1316" s="4" t="s">
        <v>2819</v>
      </c>
      <c r="H1316" s="4" t="s">
        <v>2925</v>
      </c>
      <c r="I1316" s="6" t="s">
        <v>151</v>
      </c>
      <c r="J1316" s="6" t="s">
        <v>31</v>
      </c>
      <c r="K1316" s="12">
        <f>_xlfn.XLOOKUP(B1316,[1]Sheet1!$B:$B,[1]Sheet1!$N:$N,0)</f>
        <v>0</v>
      </c>
      <c r="L1316" s="12">
        <f>_xlfn.XLOOKUP(B1316,[1]Sheet1!$B:$B,[1]Sheet1!$O:$O,0)</f>
        <v>0</v>
      </c>
      <c r="M1316" s="12">
        <f>_xlfn.XLOOKUP(B1316,[1]Sheet1!$B:$B,[1]Sheet1!$P:$P,0)</f>
        <v>0</v>
      </c>
      <c r="N1316" s="12">
        <f>_xlfn.XLOOKUP(B1316,[1]Sheet1!$B:$B,[1]Sheet1!$Q:$Q,0)</f>
        <v>0</v>
      </c>
      <c r="O1316" s="12">
        <f>_xlfn.XLOOKUP(B1316,[1]Sheet1!$B:$B,[1]Sheet1!$R:$R,0)</f>
        <v>1768661.5251267049</v>
      </c>
      <c r="P1316" s="12">
        <f>_xlfn.XLOOKUP(B1316,[1]Sheet1!$B:$B,[1]Sheet1!$S:$S,0)</f>
        <v>408152.65964462422</v>
      </c>
      <c r="Q1316" s="12">
        <f>_xlfn.XLOOKUP(B1316,[1]Sheet1!$B:$B,[1]Sheet1!$T:$T,0)</f>
        <v>408152.65964462422</v>
      </c>
      <c r="R1316" s="12">
        <f>_xlfn.XLOOKUP(B1316,[1]Sheet1!$B:$B,[1]Sheet1!$U:$U,0)</f>
        <v>408152.65964462422</v>
      </c>
      <c r="S1316" s="12">
        <f>_xlfn.XLOOKUP(B1316,[1]Sheet1!$B:$B,[1]Sheet1!$V:$V,0)</f>
        <v>408152.65964462422</v>
      </c>
      <c r="T1316" s="12">
        <f>_xlfn.XLOOKUP(B1316,[1]Sheet1!$B:$B,[1]Sheet1!$W:$W,0)</f>
        <v>408152.65964462422</v>
      </c>
      <c r="U1316" s="12">
        <f>_xlfn.XLOOKUP(B1316,[1]Sheet1!$B:$B,[1]Sheet1!$X:$X,0)</f>
        <v>680254.43274104036</v>
      </c>
      <c r="V1316" s="12">
        <f>_xlfn.XLOOKUP(B1316,[1]Sheet1!$B:$B,[1]Sheet1!$Y:$Y,0)</f>
        <v>816305.31928924844</v>
      </c>
      <c r="W1316" s="12">
        <f t="shared" si="43"/>
        <v>5305984.5753801148</v>
      </c>
      <c r="X1316" s="6" t="s">
        <v>560</v>
      </c>
      <c r="Y1316" s="6" t="s">
        <v>319</v>
      </c>
      <c r="Z1316" s="6" t="s">
        <v>320</v>
      </c>
      <c r="AA1316" s="6" t="s">
        <v>151</v>
      </c>
      <c r="AB1316" s="6" t="s">
        <v>327</v>
      </c>
      <c r="AC1316" s="6" t="s">
        <v>37</v>
      </c>
      <c r="AD1316" s="6" t="s">
        <v>322</v>
      </c>
      <c r="AE1316" s="6" t="s">
        <v>39</v>
      </c>
      <c r="AF1316" s="6" t="s">
        <v>40</v>
      </c>
      <c r="AG1316" s="7">
        <v>5305985</v>
      </c>
      <c r="AH1316" s="11">
        <f>_xlfn.XLOOKUP(B1316,[1]Sheet1!$B:$B,[1]Sheet1!$AB:$AB,0)</f>
        <v>5305984.5753801148</v>
      </c>
    </row>
    <row r="1317" spans="2:34" ht="16.8" thickTop="1" thickBot="1" x14ac:dyDescent="0.35">
      <c r="B1317" s="3" t="str">
        <f t="shared" si="42"/>
        <v>45131304511001573Media Mgmnt &amp;Buy-L422511201931</v>
      </c>
      <c r="C1317" s="8" t="s">
        <v>321</v>
      </c>
      <c r="D1317" s="8" t="s">
        <v>2036</v>
      </c>
      <c r="E1317" s="8" t="s">
        <v>2037</v>
      </c>
      <c r="F1317" s="8" t="s">
        <v>559</v>
      </c>
      <c r="G1317" s="4" t="s">
        <v>2819</v>
      </c>
      <c r="H1317" s="4" t="s">
        <v>2925</v>
      </c>
      <c r="I1317" s="8" t="s">
        <v>151</v>
      </c>
      <c r="J1317" s="8" t="s">
        <v>31</v>
      </c>
      <c r="K1317" s="12">
        <f>_xlfn.XLOOKUP(B1317,[1]Sheet1!$B:$B,[1]Sheet1!$N:$N,0)</f>
        <v>0</v>
      </c>
      <c r="L1317" s="12">
        <f>_xlfn.XLOOKUP(B1317,[1]Sheet1!$B:$B,[1]Sheet1!$O:$O,0)</f>
        <v>0</v>
      </c>
      <c r="M1317" s="12">
        <f>_xlfn.XLOOKUP(B1317,[1]Sheet1!$B:$B,[1]Sheet1!$P:$P,0)</f>
        <v>0</v>
      </c>
      <c r="N1317" s="12">
        <f>_xlfn.XLOOKUP(B1317,[1]Sheet1!$B:$B,[1]Sheet1!$Q:$Q,0)</f>
        <v>0</v>
      </c>
      <c r="O1317" s="12">
        <f>_xlfn.XLOOKUP(B1317,[1]Sheet1!$B:$B,[1]Sheet1!$R:$R,0)</f>
        <v>5225096.5493218023</v>
      </c>
      <c r="P1317" s="12">
        <f>_xlfn.XLOOKUP(B1317,[1]Sheet1!$B:$B,[1]Sheet1!$S:$S,0)</f>
        <v>0</v>
      </c>
      <c r="Q1317" s="12">
        <f>_xlfn.XLOOKUP(B1317,[1]Sheet1!$B:$B,[1]Sheet1!$T:$T,0)</f>
        <v>0</v>
      </c>
      <c r="R1317" s="12">
        <f>_xlfn.XLOOKUP(B1317,[1]Sheet1!$B:$B,[1]Sheet1!$U:$U,0)</f>
        <v>0</v>
      </c>
      <c r="S1317" s="12">
        <f>_xlfn.XLOOKUP(B1317,[1]Sheet1!$B:$B,[1]Sheet1!$V:$V,0)</f>
        <v>0</v>
      </c>
      <c r="T1317" s="12">
        <f>_xlfn.XLOOKUP(B1317,[1]Sheet1!$B:$B,[1]Sheet1!$W:$W,0)</f>
        <v>0</v>
      </c>
      <c r="U1317" s="12">
        <f>_xlfn.XLOOKUP(B1317,[1]Sheet1!$B:$B,[1]Sheet1!$X:$X,0)</f>
        <v>0</v>
      </c>
      <c r="V1317" s="12">
        <f>_xlfn.XLOOKUP(B1317,[1]Sheet1!$B:$B,[1]Sheet1!$Y:$Y,0)</f>
        <v>0</v>
      </c>
      <c r="W1317" s="12">
        <f t="shared" si="43"/>
        <v>5225096.5493218023</v>
      </c>
      <c r="X1317" s="8" t="s">
        <v>560</v>
      </c>
      <c r="Y1317" s="8" t="s">
        <v>319</v>
      </c>
      <c r="Z1317" s="8" t="s">
        <v>320</v>
      </c>
      <c r="AA1317" s="8" t="s">
        <v>151</v>
      </c>
      <c r="AB1317" s="8" t="s">
        <v>327</v>
      </c>
      <c r="AC1317" s="8" t="s">
        <v>37</v>
      </c>
      <c r="AD1317" s="8" t="s">
        <v>322</v>
      </c>
      <c r="AE1317" s="8" t="s">
        <v>39</v>
      </c>
      <c r="AF1317" s="8" t="s">
        <v>40</v>
      </c>
      <c r="AG1317" s="9">
        <v>5225097</v>
      </c>
      <c r="AH1317" s="11">
        <f>_xlfn.XLOOKUP(B1317,[1]Sheet1!$B:$B,[1]Sheet1!$AB:$AB,0)</f>
        <v>5225096.5493218023</v>
      </c>
    </row>
    <row r="1318" spans="2:34" ht="16.8" thickTop="1" thickBot="1" x14ac:dyDescent="0.35">
      <c r="B1318" s="3" t="str">
        <f t="shared" si="42"/>
        <v>45131304511001574Media Mgmnt &amp;Buy-L422511201931</v>
      </c>
      <c r="C1318" s="6" t="s">
        <v>321</v>
      </c>
      <c r="D1318" s="6" t="s">
        <v>2038</v>
      </c>
      <c r="E1318" s="6" t="s">
        <v>2039</v>
      </c>
      <c r="F1318" s="6" t="s">
        <v>559</v>
      </c>
      <c r="G1318" s="4" t="s">
        <v>2819</v>
      </c>
      <c r="H1318" s="4" t="s">
        <v>2925</v>
      </c>
      <c r="I1318" s="6" t="s">
        <v>151</v>
      </c>
      <c r="J1318" s="6" t="s">
        <v>31</v>
      </c>
      <c r="K1318" s="12">
        <f>_xlfn.XLOOKUP(B1318,[1]Sheet1!$B:$B,[1]Sheet1!$N:$N,0)</f>
        <v>0</v>
      </c>
      <c r="L1318" s="12">
        <f>_xlfn.XLOOKUP(B1318,[1]Sheet1!$B:$B,[1]Sheet1!$O:$O,0)</f>
        <v>0</v>
      </c>
      <c r="M1318" s="12">
        <f>_xlfn.XLOOKUP(B1318,[1]Sheet1!$B:$B,[1]Sheet1!$P:$P,0)</f>
        <v>0</v>
      </c>
      <c r="N1318" s="12">
        <f>_xlfn.XLOOKUP(B1318,[1]Sheet1!$B:$B,[1]Sheet1!$Q:$Q,0)</f>
        <v>0</v>
      </c>
      <c r="O1318" s="12">
        <f>_xlfn.XLOOKUP(B1318,[1]Sheet1!$B:$B,[1]Sheet1!$R:$R,0)</f>
        <v>1686637.2256919059</v>
      </c>
      <c r="P1318" s="12">
        <f>_xlfn.XLOOKUP(B1318,[1]Sheet1!$B:$B,[1]Sheet1!$S:$S,0)</f>
        <v>404793.2536240854</v>
      </c>
      <c r="Q1318" s="12">
        <f>_xlfn.XLOOKUP(B1318,[1]Sheet1!$B:$B,[1]Sheet1!$T:$T,0)</f>
        <v>404793.2536240854</v>
      </c>
      <c r="R1318" s="12">
        <f>_xlfn.XLOOKUP(B1318,[1]Sheet1!$B:$B,[1]Sheet1!$U:$U,0)</f>
        <v>337326.3802782881</v>
      </c>
      <c r="S1318" s="12">
        <f>_xlfn.XLOOKUP(B1318,[1]Sheet1!$B:$B,[1]Sheet1!$V:$V,0)</f>
        <v>337326.3802782881</v>
      </c>
      <c r="T1318" s="12">
        <f>_xlfn.XLOOKUP(B1318,[1]Sheet1!$B:$B,[1]Sheet1!$W:$W,0)</f>
        <v>337326.3802782881</v>
      </c>
      <c r="U1318" s="12">
        <f>_xlfn.XLOOKUP(B1318,[1]Sheet1!$B:$B,[1]Sheet1!$X:$X,0)</f>
        <v>809583.84509793809</v>
      </c>
      <c r="V1318" s="12">
        <f>_xlfn.XLOOKUP(B1318,[1]Sheet1!$B:$B,[1]Sheet1!$Y:$Y,0)</f>
        <v>809583.84509793809</v>
      </c>
      <c r="W1318" s="12">
        <f t="shared" si="43"/>
        <v>5127370.5639708173</v>
      </c>
      <c r="X1318" s="6" t="s">
        <v>560</v>
      </c>
      <c r="Y1318" s="6" t="s">
        <v>319</v>
      </c>
      <c r="Z1318" s="6" t="s">
        <v>320</v>
      </c>
      <c r="AA1318" s="6" t="s">
        <v>151</v>
      </c>
      <c r="AB1318" s="6" t="s">
        <v>327</v>
      </c>
      <c r="AC1318" s="6" t="s">
        <v>37</v>
      </c>
      <c r="AD1318" s="6" t="s">
        <v>322</v>
      </c>
      <c r="AE1318" s="6" t="s">
        <v>39</v>
      </c>
      <c r="AF1318" s="6" t="s">
        <v>40</v>
      </c>
      <c r="AG1318" s="7">
        <v>5127372</v>
      </c>
      <c r="AH1318" s="11">
        <f>_xlfn.XLOOKUP(B1318,[1]Sheet1!$B:$B,[1]Sheet1!$AB:$AB,0)</f>
        <v>5127370.5639708173</v>
      </c>
    </row>
    <row r="1319" spans="2:34" ht="16.8" thickTop="1" thickBot="1" x14ac:dyDescent="0.35">
      <c r="B1319" s="3" t="str">
        <f t="shared" si="42"/>
        <v>45131304511001575Media Mgmnt &amp;Buy-L422511201931</v>
      </c>
      <c r="C1319" s="8" t="s">
        <v>321</v>
      </c>
      <c r="D1319" s="8" t="s">
        <v>2040</v>
      </c>
      <c r="E1319" s="8" t="s">
        <v>2041</v>
      </c>
      <c r="F1319" s="8" t="s">
        <v>559</v>
      </c>
      <c r="G1319" s="4" t="s">
        <v>2819</v>
      </c>
      <c r="H1319" s="4" t="s">
        <v>2925</v>
      </c>
      <c r="I1319" s="8" t="s">
        <v>151</v>
      </c>
      <c r="J1319" s="8" t="s">
        <v>31</v>
      </c>
      <c r="K1319" s="12">
        <f>_xlfn.XLOOKUP(B1319,[1]Sheet1!$B:$B,[1]Sheet1!$N:$N,0)</f>
        <v>0</v>
      </c>
      <c r="L1319" s="12">
        <f>_xlfn.XLOOKUP(B1319,[1]Sheet1!$B:$B,[1]Sheet1!$O:$O,0)</f>
        <v>0</v>
      </c>
      <c r="M1319" s="12">
        <f>_xlfn.XLOOKUP(B1319,[1]Sheet1!$B:$B,[1]Sheet1!$P:$P,0)</f>
        <v>0</v>
      </c>
      <c r="N1319" s="12">
        <f>_xlfn.XLOOKUP(B1319,[1]Sheet1!$B:$B,[1]Sheet1!$Q:$Q,0)</f>
        <v>0</v>
      </c>
      <c r="O1319" s="12">
        <f>_xlfn.XLOOKUP(B1319,[1]Sheet1!$B:$B,[1]Sheet1!$R:$R,0)</f>
        <v>1514201.449646214</v>
      </c>
      <c r="P1319" s="12">
        <f>_xlfn.XLOOKUP(B1319,[1]Sheet1!$B:$B,[1]Sheet1!$S:$S,0)</f>
        <v>946376.07874063647</v>
      </c>
      <c r="Q1319" s="12">
        <f>_xlfn.XLOOKUP(B1319,[1]Sheet1!$B:$B,[1]Sheet1!$T:$T,0)</f>
        <v>757100.90828378126</v>
      </c>
      <c r="R1319" s="12">
        <f>_xlfn.XLOOKUP(B1319,[1]Sheet1!$B:$B,[1]Sheet1!$U:$U,0)</f>
        <v>567825.73782692628</v>
      </c>
      <c r="S1319" s="12">
        <f>_xlfn.XLOOKUP(B1319,[1]Sheet1!$B:$B,[1]Sheet1!$V:$V,0)</f>
        <v>473188.04068845644</v>
      </c>
      <c r="T1319" s="12">
        <f>_xlfn.XLOOKUP(B1319,[1]Sheet1!$B:$B,[1]Sheet1!$W:$W,0)</f>
        <v>473188.04068845644</v>
      </c>
      <c r="U1319" s="12">
        <f>_xlfn.XLOOKUP(B1319,[1]Sheet1!$B:$B,[1]Sheet1!$X:$X,0)</f>
        <v>0</v>
      </c>
      <c r="V1319" s="12">
        <f>_xlfn.XLOOKUP(B1319,[1]Sheet1!$B:$B,[1]Sheet1!$Y:$Y,0)</f>
        <v>0</v>
      </c>
      <c r="W1319" s="12">
        <f t="shared" si="43"/>
        <v>4731880.2558744699</v>
      </c>
      <c r="X1319" s="8" t="s">
        <v>560</v>
      </c>
      <c r="Y1319" s="8" t="s">
        <v>319</v>
      </c>
      <c r="Z1319" s="8" t="s">
        <v>320</v>
      </c>
      <c r="AA1319" s="8" t="s">
        <v>151</v>
      </c>
      <c r="AB1319" s="8" t="s">
        <v>327</v>
      </c>
      <c r="AC1319" s="8" t="s">
        <v>37</v>
      </c>
      <c r="AD1319" s="8" t="s">
        <v>322</v>
      </c>
      <c r="AE1319" s="8" t="s">
        <v>39</v>
      </c>
      <c r="AF1319" s="8" t="s">
        <v>40</v>
      </c>
      <c r="AG1319" s="9">
        <v>4731881</v>
      </c>
      <c r="AH1319" s="11">
        <f>_xlfn.XLOOKUP(B1319,[1]Sheet1!$B:$B,[1]Sheet1!$AB:$AB,0)</f>
        <v>4731880.2558744699</v>
      </c>
    </row>
    <row r="1320" spans="2:34" ht="16.8" thickTop="1" thickBot="1" x14ac:dyDescent="0.35">
      <c r="B1320" s="3" t="str">
        <f t="shared" si="42"/>
        <v>45131304511001576Media Mgmnt &amp;Buy-L422511201931</v>
      </c>
      <c r="C1320" s="6" t="s">
        <v>321</v>
      </c>
      <c r="D1320" s="6" t="s">
        <v>2042</v>
      </c>
      <c r="E1320" s="6" t="s">
        <v>2043</v>
      </c>
      <c r="F1320" s="6" t="s">
        <v>559</v>
      </c>
      <c r="G1320" s="4" t="s">
        <v>2819</v>
      </c>
      <c r="H1320" s="4" t="s">
        <v>2925</v>
      </c>
      <c r="I1320" s="6" t="s">
        <v>151</v>
      </c>
      <c r="J1320" s="6" t="s">
        <v>31</v>
      </c>
      <c r="K1320" s="12">
        <f>_xlfn.XLOOKUP(B1320,[1]Sheet1!$B:$B,[1]Sheet1!$N:$N,0)</f>
        <v>0</v>
      </c>
      <c r="L1320" s="12">
        <f>_xlfn.XLOOKUP(B1320,[1]Sheet1!$B:$B,[1]Sheet1!$O:$O,0)</f>
        <v>0</v>
      </c>
      <c r="M1320" s="12">
        <f>_xlfn.XLOOKUP(B1320,[1]Sheet1!$B:$B,[1]Sheet1!$P:$P,0)</f>
        <v>0</v>
      </c>
      <c r="N1320" s="12">
        <f>_xlfn.XLOOKUP(B1320,[1]Sheet1!$B:$B,[1]Sheet1!$Q:$Q,0)</f>
        <v>0</v>
      </c>
      <c r="O1320" s="12">
        <f>_xlfn.XLOOKUP(B1320,[1]Sheet1!$B:$B,[1]Sheet1!$R:$R,0)</f>
        <v>2556560.8972279606</v>
      </c>
      <c r="P1320" s="12">
        <f>_xlfn.XLOOKUP(B1320,[1]Sheet1!$B:$B,[1]Sheet1!$S:$S,0)</f>
        <v>0</v>
      </c>
      <c r="Q1320" s="12">
        <f>_xlfn.XLOOKUP(B1320,[1]Sheet1!$B:$B,[1]Sheet1!$T:$T,0)</f>
        <v>0</v>
      </c>
      <c r="R1320" s="12">
        <f>_xlfn.XLOOKUP(B1320,[1]Sheet1!$B:$B,[1]Sheet1!$U:$U,0)</f>
        <v>0</v>
      </c>
      <c r="S1320" s="12">
        <f>_xlfn.XLOOKUP(B1320,[1]Sheet1!$B:$B,[1]Sheet1!$V:$V,0)</f>
        <v>0</v>
      </c>
      <c r="T1320" s="12">
        <f>_xlfn.XLOOKUP(B1320,[1]Sheet1!$B:$B,[1]Sheet1!$W:$W,0)</f>
        <v>0</v>
      </c>
      <c r="U1320" s="12">
        <f>_xlfn.XLOOKUP(B1320,[1]Sheet1!$B:$B,[1]Sheet1!$X:$X,0)</f>
        <v>0</v>
      </c>
      <c r="V1320" s="12">
        <f>_xlfn.XLOOKUP(B1320,[1]Sheet1!$B:$B,[1]Sheet1!$Y:$Y,0)</f>
        <v>0</v>
      </c>
      <c r="W1320" s="12">
        <f t="shared" si="43"/>
        <v>2556560.8972279606</v>
      </c>
      <c r="X1320" s="6" t="s">
        <v>560</v>
      </c>
      <c r="Y1320" s="6" t="s">
        <v>319</v>
      </c>
      <c r="Z1320" s="6" t="s">
        <v>320</v>
      </c>
      <c r="AA1320" s="6" t="s">
        <v>151</v>
      </c>
      <c r="AB1320" s="6" t="s">
        <v>327</v>
      </c>
      <c r="AC1320" s="6" t="s">
        <v>37</v>
      </c>
      <c r="AD1320" s="6" t="s">
        <v>322</v>
      </c>
      <c r="AE1320" s="6" t="s">
        <v>39</v>
      </c>
      <c r="AF1320" s="6" t="s">
        <v>40</v>
      </c>
      <c r="AG1320" s="7">
        <v>2556561</v>
      </c>
      <c r="AH1320" s="11">
        <f>_xlfn.XLOOKUP(B1320,[1]Sheet1!$B:$B,[1]Sheet1!$AB:$AB,0)</f>
        <v>2556560.8972279606</v>
      </c>
    </row>
    <row r="1321" spans="2:34" ht="16.8" thickTop="1" thickBot="1" x14ac:dyDescent="0.35">
      <c r="B1321" s="3" t="str">
        <f t="shared" si="42"/>
        <v>45131304511001577Media Mgmnt &amp;Buy-L422511201931</v>
      </c>
      <c r="C1321" s="8" t="s">
        <v>321</v>
      </c>
      <c r="D1321" s="8" t="s">
        <v>2044</v>
      </c>
      <c r="E1321" s="8" t="s">
        <v>2045</v>
      </c>
      <c r="F1321" s="8" t="s">
        <v>559</v>
      </c>
      <c r="G1321" s="4" t="s">
        <v>2819</v>
      </c>
      <c r="H1321" s="4" t="s">
        <v>2925</v>
      </c>
      <c r="I1321" s="8" t="s">
        <v>151</v>
      </c>
      <c r="J1321" s="8" t="s">
        <v>31</v>
      </c>
      <c r="K1321" s="12">
        <f>_xlfn.XLOOKUP(B1321,[1]Sheet1!$B:$B,[1]Sheet1!$N:$N,0)</f>
        <v>0</v>
      </c>
      <c r="L1321" s="12">
        <f>_xlfn.XLOOKUP(B1321,[1]Sheet1!$B:$B,[1]Sheet1!$O:$O,0)</f>
        <v>0</v>
      </c>
      <c r="M1321" s="12">
        <f>_xlfn.XLOOKUP(B1321,[1]Sheet1!$B:$B,[1]Sheet1!$P:$P,0)</f>
        <v>0</v>
      </c>
      <c r="N1321" s="12">
        <f>_xlfn.XLOOKUP(B1321,[1]Sheet1!$B:$B,[1]Sheet1!$Q:$Q,0)</f>
        <v>0</v>
      </c>
      <c r="O1321" s="12">
        <f>_xlfn.XLOOKUP(B1321,[1]Sheet1!$B:$B,[1]Sheet1!$R:$R,0)</f>
        <v>753600.37238312198</v>
      </c>
      <c r="P1321" s="12">
        <f>_xlfn.XLOOKUP(B1321,[1]Sheet1!$B:$B,[1]Sheet1!$S:$S,0)</f>
        <v>471000.31869607291</v>
      </c>
      <c r="Q1321" s="12">
        <f>_xlfn.XLOOKUP(B1321,[1]Sheet1!$B:$B,[1]Sheet1!$T:$T,0)</f>
        <v>376800.27749779535</v>
      </c>
      <c r="R1321" s="12">
        <f>_xlfn.XLOOKUP(B1321,[1]Sheet1!$B:$B,[1]Sheet1!$U:$U,0)</f>
        <v>282600.23629951786</v>
      </c>
      <c r="S1321" s="12">
        <f>_xlfn.XLOOKUP(B1321,[1]Sheet1!$B:$B,[1]Sheet1!$V:$V,0)</f>
        <v>235500.16000405845</v>
      </c>
      <c r="T1321" s="12">
        <f>_xlfn.XLOOKUP(B1321,[1]Sheet1!$B:$B,[1]Sheet1!$W:$W,0)</f>
        <v>235500.16000405845</v>
      </c>
      <c r="U1321" s="12">
        <f>_xlfn.XLOOKUP(B1321,[1]Sheet1!$B:$B,[1]Sheet1!$X:$X,0)</f>
        <v>0</v>
      </c>
      <c r="V1321" s="12">
        <f>_xlfn.XLOOKUP(B1321,[1]Sheet1!$B:$B,[1]Sheet1!$Y:$Y,0)</f>
        <v>0</v>
      </c>
      <c r="W1321" s="12">
        <f t="shared" si="43"/>
        <v>2355001.5248846249</v>
      </c>
      <c r="X1321" s="8" t="s">
        <v>560</v>
      </c>
      <c r="Y1321" s="8" t="s">
        <v>319</v>
      </c>
      <c r="Z1321" s="8" t="s">
        <v>320</v>
      </c>
      <c r="AA1321" s="8" t="s">
        <v>151</v>
      </c>
      <c r="AB1321" s="8" t="s">
        <v>327</v>
      </c>
      <c r="AC1321" s="8" t="s">
        <v>37</v>
      </c>
      <c r="AD1321" s="8" t="s">
        <v>322</v>
      </c>
      <c r="AE1321" s="8" t="s">
        <v>39</v>
      </c>
      <c r="AF1321" s="8" t="s">
        <v>40</v>
      </c>
      <c r="AG1321" s="9">
        <v>2355003</v>
      </c>
      <c r="AH1321" s="11">
        <f>_xlfn.XLOOKUP(B1321,[1]Sheet1!$B:$B,[1]Sheet1!$AB:$AB,0)</f>
        <v>2355001.5248846249</v>
      </c>
    </row>
    <row r="1322" spans="2:34" ht="16.8" thickTop="1" thickBot="1" x14ac:dyDescent="0.35">
      <c r="B1322" s="3" t="str">
        <f t="shared" si="42"/>
        <v>45131304511001578Media Mgmnt &amp;Buy-L422511201931</v>
      </c>
      <c r="C1322" s="6" t="s">
        <v>321</v>
      </c>
      <c r="D1322" s="6" t="s">
        <v>2046</v>
      </c>
      <c r="E1322" s="6" t="s">
        <v>2047</v>
      </c>
      <c r="F1322" s="6" t="s">
        <v>559</v>
      </c>
      <c r="G1322" s="4" t="s">
        <v>2819</v>
      </c>
      <c r="H1322" s="4" t="s">
        <v>2925</v>
      </c>
      <c r="I1322" s="6" t="s">
        <v>151</v>
      </c>
      <c r="J1322" s="6" t="s">
        <v>31</v>
      </c>
      <c r="K1322" s="12">
        <f>_xlfn.XLOOKUP(B1322,[1]Sheet1!$B:$B,[1]Sheet1!$N:$N,0)</f>
        <v>0</v>
      </c>
      <c r="L1322" s="12">
        <f>_xlfn.XLOOKUP(B1322,[1]Sheet1!$B:$B,[1]Sheet1!$O:$O,0)</f>
        <v>0</v>
      </c>
      <c r="M1322" s="12">
        <f>_xlfn.XLOOKUP(B1322,[1]Sheet1!$B:$B,[1]Sheet1!$P:$P,0)</f>
        <v>0</v>
      </c>
      <c r="N1322" s="12">
        <f>_xlfn.XLOOKUP(B1322,[1]Sheet1!$B:$B,[1]Sheet1!$Q:$Q,0)</f>
        <v>0</v>
      </c>
      <c r="O1322" s="12">
        <f>_xlfn.XLOOKUP(B1322,[1]Sheet1!$B:$B,[1]Sheet1!$R:$R,0)</f>
        <v>0</v>
      </c>
      <c r="P1322" s="12">
        <f>_xlfn.XLOOKUP(B1322,[1]Sheet1!$B:$B,[1]Sheet1!$S:$S,0)</f>
        <v>0</v>
      </c>
      <c r="Q1322" s="12">
        <f>_xlfn.XLOOKUP(B1322,[1]Sheet1!$B:$B,[1]Sheet1!$T:$T,0)</f>
        <v>0</v>
      </c>
      <c r="R1322" s="12">
        <f>_xlfn.XLOOKUP(B1322,[1]Sheet1!$B:$B,[1]Sheet1!$U:$U,0)</f>
        <v>0</v>
      </c>
      <c r="S1322" s="12">
        <f>_xlfn.XLOOKUP(B1322,[1]Sheet1!$B:$B,[1]Sheet1!$V:$V,0)</f>
        <v>0</v>
      </c>
      <c r="T1322" s="12">
        <f>_xlfn.XLOOKUP(B1322,[1]Sheet1!$B:$B,[1]Sheet1!$W:$W,0)</f>
        <v>2000000</v>
      </c>
      <c r="U1322" s="12">
        <f>_xlfn.XLOOKUP(B1322,[1]Sheet1!$B:$B,[1]Sheet1!$X:$X,0)</f>
        <v>0</v>
      </c>
      <c r="V1322" s="12">
        <f>_xlfn.XLOOKUP(B1322,[1]Sheet1!$B:$B,[1]Sheet1!$Y:$Y,0)</f>
        <v>0</v>
      </c>
      <c r="W1322" s="12">
        <f t="shared" si="43"/>
        <v>2000000</v>
      </c>
      <c r="X1322" s="6" t="s">
        <v>560</v>
      </c>
      <c r="Y1322" s="6" t="s">
        <v>319</v>
      </c>
      <c r="Z1322" s="6" t="s">
        <v>320</v>
      </c>
      <c r="AA1322" s="6" t="s">
        <v>151</v>
      </c>
      <c r="AB1322" s="6" t="s">
        <v>327</v>
      </c>
      <c r="AC1322" s="6" t="s">
        <v>37</v>
      </c>
      <c r="AD1322" s="6" t="s">
        <v>322</v>
      </c>
      <c r="AE1322" s="6" t="s">
        <v>39</v>
      </c>
      <c r="AF1322" s="6" t="s">
        <v>40</v>
      </c>
      <c r="AG1322" s="7">
        <v>2000000</v>
      </c>
      <c r="AH1322" s="11">
        <f>_xlfn.XLOOKUP(B1322,[1]Sheet1!$B:$B,[1]Sheet1!$AB:$AB,0)</f>
        <v>2000000</v>
      </c>
    </row>
    <row r="1323" spans="2:34" ht="16.8" thickTop="1" thickBot="1" x14ac:dyDescent="0.35">
      <c r="B1323" s="3" t="str">
        <f t="shared" si="42"/>
        <v>45131304511001579Media Mgmnt &amp;Buy-L422511201931</v>
      </c>
      <c r="C1323" s="8" t="s">
        <v>321</v>
      </c>
      <c r="D1323" s="8" t="s">
        <v>2048</v>
      </c>
      <c r="E1323" s="8" t="s">
        <v>2049</v>
      </c>
      <c r="F1323" s="8" t="s">
        <v>559</v>
      </c>
      <c r="G1323" s="4" t="s">
        <v>2819</v>
      </c>
      <c r="H1323" s="4" t="s">
        <v>2925</v>
      </c>
      <c r="I1323" s="8" t="s">
        <v>151</v>
      </c>
      <c r="J1323" s="8" t="s">
        <v>31</v>
      </c>
      <c r="K1323" s="12">
        <f>_xlfn.XLOOKUP(B1323,[1]Sheet1!$B:$B,[1]Sheet1!$N:$N,0)</f>
        <v>0</v>
      </c>
      <c r="L1323" s="12">
        <f>_xlfn.XLOOKUP(B1323,[1]Sheet1!$B:$B,[1]Sheet1!$O:$O,0)</f>
        <v>0</v>
      </c>
      <c r="M1323" s="12">
        <f>_xlfn.XLOOKUP(B1323,[1]Sheet1!$B:$B,[1]Sheet1!$P:$P,0)</f>
        <v>0</v>
      </c>
      <c r="N1323" s="12">
        <f>_xlfn.XLOOKUP(B1323,[1]Sheet1!$B:$B,[1]Sheet1!$Q:$Q,0)</f>
        <v>0</v>
      </c>
      <c r="O1323" s="12">
        <f>_xlfn.XLOOKUP(B1323,[1]Sheet1!$B:$B,[1]Sheet1!$R:$R,0)</f>
        <v>0</v>
      </c>
      <c r="P1323" s="12">
        <f>_xlfn.XLOOKUP(B1323,[1]Sheet1!$B:$B,[1]Sheet1!$S:$S,0)</f>
        <v>0</v>
      </c>
      <c r="Q1323" s="12">
        <f>_xlfn.XLOOKUP(B1323,[1]Sheet1!$B:$B,[1]Sheet1!$T:$T,0)</f>
        <v>0</v>
      </c>
      <c r="R1323" s="12">
        <f>_xlfn.XLOOKUP(B1323,[1]Sheet1!$B:$B,[1]Sheet1!$U:$U,0)</f>
        <v>0</v>
      </c>
      <c r="S1323" s="12">
        <f>_xlfn.XLOOKUP(B1323,[1]Sheet1!$B:$B,[1]Sheet1!$V:$V,0)</f>
        <v>0</v>
      </c>
      <c r="T1323" s="12">
        <f>_xlfn.XLOOKUP(B1323,[1]Sheet1!$B:$B,[1]Sheet1!$W:$W,0)</f>
        <v>0</v>
      </c>
      <c r="U1323" s="12">
        <f>_xlfn.XLOOKUP(B1323,[1]Sheet1!$B:$B,[1]Sheet1!$X:$X,0)</f>
        <v>1825713.6851920979</v>
      </c>
      <c r="V1323" s="12">
        <f>_xlfn.XLOOKUP(B1323,[1]Sheet1!$B:$B,[1]Sheet1!$Y:$Y,0)</f>
        <v>0</v>
      </c>
      <c r="W1323" s="12">
        <f t="shared" si="43"/>
        <v>1825713.6851920979</v>
      </c>
      <c r="X1323" s="8" t="s">
        <v>560</v>
      </c>
      <c r="Y1323" s="8" t="s">
        <v>319</v>
      </c>
      <c r="Z1323" s="8" t="s">
        <v>320</v>
      </c>
      <c r="AA1323" s="8" t="s">
        <v>151</v>
      </c>
      <c r="AB1323" s="8" t="s">
        <v>327</v>
      </c>
      <c r="AC1323" s="8" t="s">
        <v>37</v>
      </c>
      <c r="AD1323" s="8" t="s">
        <v>322</v>
      </c>
      <c r="AE1323" s="8" t="s">
        <v>39</v>
      </c>
      <c r="AF1323" s="8" t="s">
        <v>40</v>
      </c>
      <c r="AG1323" s="9">
        <v>1825714</v>
      </c>
      <c r="AH1323" s="11">
        <f>_xlfn.XLOOKUP(B1323,[1]Sheet1!$B:$B,[1]Sheet1!$AB:$AB,0)</f>
        <v>1825713.6851920979</v>
      </c>
    </row>
    <row r="1324" spans="2:34" ht="16.8" thickTop="1" thickBot="1" x14ac:dyDescent="0.35">
      <c r="B1324" s="3" t="str">
        <f t="shared" si="42"/>
        <v>45131304511001580Media Mgmnt &amp;Buy-L422511201931</v>
      </c>
      <c r="C1324" s="6" t="s">
        <v>321</v>
      </c>
      <c r="D1324" s="6" t="s">
        <v>2050</v>
      </c>
      <c r="E1324" s="6" t="s">
        <v>2051</v>
      </c>
      <c r="F1324" s="6" t="s">
        <v>559</v>
      </c>
      <c r="G1324" s="4" t="s">
        <v>2819</v>
      </c>
      <c r="H1324" s="4" t="s">
        <v>2925</v>
      </c>
      <c r="I1324" s="6" t="s">
        <v>151</v>
      </c>
      <c r="J1324" s="6" t="s">
        <v>31</v>
      </c>
      <c r="K1324" s="12">
        <f>_xlfn.XLOOKUP(B1324,[1]Sheet1!$B:$B,[1]Sheet1!$N:$N,0)</f>
        <v>0</v>
      </c>
      <c r="L1324" s="12">
        <f>_xlfn.XLOOKUP(B1324,[1]Sheet1!$B:$B,[1]Sheet1!$O:$O,0)</f>
        <v>0</v>
      </c>
      <c r="M1324" s="12">
        <f>_xlfn.XLOOKUP(B1324,[1]Sheet1!$B:$B,[1]Sheet1!$P:$P,0)</f>
        <v>0</v>
      </c>
      <c r="N1324" s="12">
        <f>_xlfn.XLOOKUP(B1324,[1]Sheet1!$B:$B,[1]Sheet1!$Q:$Q,0)</f>
        <v>0</v>
      </c>
      <c r="O1324" s="12">
        <f>_xlfn.XLOOKUP(B1324,[1]Sheet1!$B:$B,[1]Sheet1!$R:$R,0)</f>
        <v>0</v>
      </c>
      <c r="P1324" s="12">
        <f>_xlfn.XLOOKUP(B1324,[1]Sheet1!$B:$B,[1]Sheet1!$S:$S,0)</f>
        <v>1031594.7480042643</v>
      </c>
      <c r="Q1324" s="12">
        <f>_xlfn.XLOOKUP(B1324,[1]Sheet1!$B:$B,[1]Sheet1!$T:$T,0)</f>
        <v>687729.83200284292</v>
      </c>
      <c r="R1324" s="12">
        <f>_xlfn.XLOOKUP(B1324,[1]Sheet1!$B:$B,[1]Sheet1!$U:$U,0)</f>
        <v>0</v>
      </c>
      <c r="S1324" s="12">
        <f>_xlfn.XLOOKUP(B1324,[1]Sheet1!$B:$B,[1]Sheet1!$V:$V,0)</f>
        <v>0</v>
      </c>
      <c r="T1324" s="12">
        <f>_xlfn.XLOOKUP(B1324,[1]Sheet1!$B:$B,[1]Sheet1!$W:$W,0)</f>
        <v>0</v>
      </c>
      <c r="U1324" s="12">
        <f>_xlfn.XLOOKUP(B1324,[1]Sheet1!$B:$B,[1]Sheet1!$X:$X,0)</f>
        <v>0</v>
      </c>
      <c r="V1324" s="12">
        <f>_xlfn.XLOOKUP(B1324,[1]Sheet1!$B:$B,[1]Sheet1!$Y:$Y,0)</f>
        <v>0</v>
      </c>
      <c r="W1324" s="12">
        <f t="shared" si="43"/>
        <v>1719324.5800071072</v>
      </c>
      <c r="X1324" s="6" t="s">
        <v>560</v>
      </c>
      <c r="Y1324" s="6" t="s">
        <v>319</v>
      </c>
      <c r="Z1324" s="6" t="s">
        <v>320</v>
      </c>
      <c r="AA1324" s="6" t="s">
        <v>151</v>
      </c>
      <c r="AB1324" s="6" t="s">
        <v>327</v>
      </c>
      <c r="AC1324" s="6" t="s">
        <v>37</v>
      </c>
      <c r="AD1324" s="6" t="s">
        <v>322</v>
      </c>
      <c r="AE1324" s="6" t="s">
        <v>39</v>
      </c>
      <c r="AF1324" s="6" t="s">
        <v>40</v>
      </c>
      <c r="AG1324" s="7">
        <v>1719325</v>
      </c>
      <c r="AH1324" s="11">
        <f>_xlfn.XLOOKUP(B1324,[1]Sheet1!$B:$B,[1]Sheet1!$AB:$AB,0)</f>
        <v>1719324.5800071072</v>
      </c>
    </row>
    <row r="1325" spans="2:34" ht="16.8" thickTop="1" thickBot="1" x14ac:dyDescent="0.35">
      <c r="B1325" s="3" t="str">
        <f t="shared" si="42"/>
        <v>45131304511001581Media Mgmnt &amp;Buy-L422511201931</v>
      </c>
      <c r="C1325" s="8" t="s">
        <v>321</v>
      </c>
      <c r="D1325" s="8" t="s">
        <v>2052</v>
      </c>
      <c r="E1325" s="8" t="s">
        <v>2053</v>
      </c>
      <c r="F1325" s="8" t="s">
        <v>559</v>
      </c>
      <c r="G1325" s="4" t="s">
        <v>2819</v>
      </c>
      <c r="H1325" s="4" t="s">
        <v>2925</v>
      </c>
      <c r="I1325" s="8" t="s">
        <v>151</v>
      </c>
      <c r="J1325" s="8" t="s">
        <v>31</v>
      </c>
      <c r="K1325" s="12">
        <f>_xlfn.XLOOKUP(B1325,[1]Sheet1!$B:$B,[1]Sheet1!$N:$N,0)</f>
        <v>0</v>
      </c>
      <c r="L1325" s="12">
        <f>_xlfn.XLOOKUP(B1325,[1]Sheet1!$B:$B,[1]Sheet1!$O:$O,0)</f>
        <v>0</v>
      </c>
      <c r="M1325" s="12">
        <f>_xlfn.XLOOKUP(B1325,[1]Sheet1!$B:$B,[1]Sheet1!$P:$P,0)</f>
        <v>0</v>
      </c>
      <c r="N1325" s="12">
        <f>_xlfn.XLOOKUP(B1325,[1]Sheet1!$B:$B,[1]Sheet1!$Q:$Q,0)</f>
        <v>0</v>
      </c>
      <c r="O1325" s="12">
        <f>_xlfn.XLOOKUP(B1325,[1]Sheet1!$B:$B,[1]Sheet1!$R:$R,0)</f>
        <v>530598.45753801148</v>
      </c>
      <c r="P1325" s="12">
        <f>_xlfn.XLOOKUP(B1325,[1]Sheet1!$B:$B,[1]Sheet1!$S:$S,0)</f>
        <v>122445.79789338728</v>
      </c>
      <c r="Q1325" s="12">
        <f>_xlfn.XLOOKUP(B1325,[1]Sheet1!$B:$B,[1]Sheet1!$T:$T,0)</f>
        <v>122445.79789338728</v>
      </c>
      <c r="R1325" s="12">
        <f>_xlfn.XLOOKUP(B1325,[1]Sheet1!$B:$B,[1]Sheet1!$U:$U,0)</f>
        <v>122445.79789338728</v>
      </c>
      <c r="S1325" s="12">
        <f>_xlfn.XLOOKUP(B1325,[1]Sheet1!$B:$B,[1]Sheet1!$V:$V,0)</f>
        <v>122445.79789338728</v>
      </c>
      <c r="T1325" s="12">
        <f>_xlfn.XLOOKUP(B1325,[1]Sheet1!$B:$B,[1]Sheet1!$W:$W,0)</f>
        <v>122445.79789338728</v>
      </c>
      <c r="U1325" s="12">
        <f>_xlfn.XLOOKUP(B1325,[1]Sheet1!$B:$B,[1]Sheet1!$X:$X,0)</f>
        <v>204076.32982231211</v>
      </c>
      <c r="V1325" s="12">
        <f>_xlfn.XLOOKUP(B1325,[1]Sheet1!$B:$B,[1]Sheet1!$Y:$Y,0)</f>
        <v>244891.59578677456</v>
      </c>
      <c r="W1325" s="12">
        <f t="shared" si="43"/>
        <v>1591795.3726140345</v>
      </c>
      <c r="X1325" s="8" t="s">
        <v>560</v>
      </c>
      <c r="Y1325" s="8" t="s">
        <v>319</v>
      </c>
      <c r="Z1325" s="8" t="s">
        <v>320</v>
      </c>
      <c r="AA1325" s="8" t="s">
        <v>151</v>
      </c>
      <c r="AB1325" s="8" t="s">
        <v>327</v>
      </c>
      <c r="AC1325" s="8" t="s">
        <v>37</v>
      </c>
      <c r="AD1325" s="8" t="s">
        <v>322</v>
      </c>
      <c r="AE1325" s="8" t="s">
        <v>39</v>
      </c>
      <c r="AF1325" s="8" t="s">
        <v>40</v>
      </c>
      <c r="AG1325" s="9">
        <v>1591796</v>
      </c>
      <c r="AH1325" s="11">
        <f>_xlfn.XLOOKUP(B1325,[1]Sheet1!$B:$B,[1]Sheet1!$AB:$AB,0)</f>
        <v>1591795.3726140345</v>
      </c>
    </row>
    <row r="1326" spans="2:34" ht="16.8" thickTop="1" thickBot="1" x14ac:dyDescent="0.35">
      <c r="B1326" s="3" t="str">
        <f t="shared" si="42"/>
        <v>45131304511001582Media Mgmnt &amp;Buy-L422511201931</v>
      </c>
      <c r="C1326" s="6" t="s">
        <v>321</v>
      </c>
      <c r="D1326" s="6" t="s">
        <v>2054</v>
      </c>
      <c r="E1326" s="6" t="s">
        <v>2055</v>
      </c>
      <c r="F1326" s="6" t="s">
        <v>559</v>
      </c>
      <c r="G1326" s="4" t="s">
        <v>2819</v>
      </c>
      <c r="H1326" s="4" t="s">
        <v>2925</v>
      </c>
      <c r="I1326" s="6" t="s">
        <v>151</v>
      </c>
      <c r="J1326" s="6" t="s">
        <v>31</v>
      </c>
      <c r="K1326" s="12">
        <f>_xlfn.XLOOKUP(B1326,[1]Sheet1!$B:$B,[1]Sheet1!$N:$N,0)</f>
        <v>0</v>
      </c>
      <c r="L1326" s="12">
        <f>_xlfn.XLOOKUP(B1326,[1]Sheet1!$B:$B,[1]Sheet1!$O:$O,0)</f>
        <v>0</v>
      </c>
      <c r="M1326" s="12">
        <f>_xlfn.XLOOKUP(B1326,[1]Sheet1!$B:$B,[1]Sheet1!$P:$P,0)</f>
        <v>0</v>
      </c>
      <c r="N1326" s="12">
        <f>_xlfn.XLOOKUP(B1326,[1]Sheet1!$B:$B,[1]Sheet1!$Q:$Q,0)</f>
        <v>0</v>
      </c>
      <c r="O1326" s="12">
        <f>_xlfn.XLOOKUP(B1326,[1]Sheet1!$B:$B,[1]Sheet1!$R:$R,0)</f>
        <v>494506.47937689041</v>
      </c>
      <c r="P1326" s="12">
        <f>_xlfn.XLOOKUP(B1326,[1]Sheet1!$B:$B,[1]Sheet1!$S:$S,0)</f>
        <v>118681.64871260125</v>
      </c>
      <c r="Q1326" s="12">
        <f>_xlfn.XLOOKUP(B1326,[1]Sheet1!$B:$B,[1]Sheet1!$T:$T,0)</f>
        <v>118681.64871260125</v>
      </c>
      <c r="R1326" s="12">
        <f>_xlfn.XLOOKUP(B1326,[1]Sheet1!$B:$B,[1]Sheet1!$U:$U,0)</f>
        <v>98900.983668219575</v>
      </c>
      <c r="S1326" s="12">
        <f>_xlfn.XLOOKUP(B1326,[1]Sheet1!$B:$B,[1]Sheet1!$V:$V,0)</f>
        <v>98900.983668219575</v>
      </c>
      <c r="T1326" s="12">
        <f>_xlfn.XLOOKUP(B1326,[1]Sheet1!$B:$B,[1]Sheet1!$W:$W,0)</f>
        <v>98900.983668219575</v>
      </c>
      <c r="U1326" s="12">
        <f>_xlfn.XLOOKUP(B1326,[1]Sheet1!$B:$B,[1]Sheet1!$X:$X,0)</f>
        <v>237362.51690730627</v>
      </c>
      <c r="V1326" s="12">
        <f>_xlfn.XLOOKUP(B1326,[1]Sheet1!$B:$B,[1]Sheet1!$Y:$Y,0)</f>
        <v>237362.51690730627</v>
      </c>
      <c r="W1326" s="12">
        <f t="shared" si="43"/>
        <v>1503297.7616213639</v>
      </c>
      <c r="X1326" s="6" t="s">
        <v>560</v>
      </c>
      <c r="Y1326" s="6" t="s">
        <v>319</v>
      </c>
      <c r="Z1326" s="6" t="s">
        <v>320</v>
      </c>
      <c r="AA1326" s="6" t="s">
        <v>151</v>
      </c>
      <c r="AB1326" s="6" t="s">
        <v>327</v>
      </c>
      <c r="AC1326" s="6" t="s">
        <v>37</v>
      </c>
      <c r="AD1326" s="6" t="s">
        <v>322</v>
      </c>
      <c r="AE1326" s="6" t="s">
        <v>39</v>
      </c>
      <c r="AF1326" s="6" t="s">
        <v>40</v>
      </c>
      <c r="AG1326" s="7">
        <v>1503299</v>
      </c>
      <c r="AH1326" s="11">
        <f>_xlfn.XLOOKUP(B1326,[1]Sheet1!$B:$B,[1]Sheet1!$AB:$AB,0)</f>
        <v>1503297.7616213639</v>
      </c>
    </row>
    <row r="1327" spans="2:34" ht="16.8" thickTop="1" thickBot="1" x14ac:dyDescent="0.35">
      <c r="B1327" s="3" t="str">
        <f t="shared" si="42"/>
        <v>45131304511001583Media Mgmnt &amp;Buy-L422511201931</v>
      </c>
      <c r="C1327" s="8" t="s">
        <v>321</v>
      </c>
      <c r="D1327" s="8" t="s">
        <v>2056</v>
      </c>
      <c r="E1327" s="8" t="s">
        <v>2057</v>
      </c>
      <c r="F1327" s="8" t="s">
        <v>559</v>
      </c>
      <c r="G1327" s="4" t="s">
        <v>2819</v>
      </c>
      <c r="H1327" s="4" t="s">
        <v>2925</v>
      </c>
      <c r="I1327" s="8" t="s">
        <v>151</v>
      </c>
      <c r="J1327" s="8" t="s">
        <v>31</v>
      </c>
      <c r="K1327" s="12">
        <f>_xlfn.XLOOKUP(B1327,[1]Sheet1!$B:$B,[1]Sheet1!$N:$N,0)</f>
        <v>0</v>
      </c>
      <c r="L1327" s="12">
        <f>_xlfn.XLOOKUP(B1327,[1]Sheet1!$B:$B,[1]Sheet1!$O:$O,0)</f>
        <v>0</v>
      </c>
      <c r="M1327" s="12">
        <f>_xlfn.XLOOKUP(B1327,[1]Sheet1!$B:$B,[1]Sheet1!$P:$P,0)</f>
        <v>0</v>
      </c>
      <c r="N1327" s="12">
        <f>_xlfn.XLOOKUP(B1327,[1]Sheet1!$B:$B,[1]Sheet1!$Q:$Q,0)</f>
        <v>0</v>
      </c>
      <c r="O1327" s="12">
        <f>_xlfn.XLOOKUP(B1327,[1]Sheet1!$B:$B,[1]Sheet1!$R:$R,0)</f>
        <v>461222.41180251725</v>
      </c>
      <c r="P1327" s="12">
        <f>_xlfn.XLOOKUP(B1327,[1]Sheet1!$B:$B,[1]Sheet1!$S:$S,0)</f>
        <v>110693.46619057293</v>
      </c>
      <c r="Q1327" s="12">
        <f>_xlfn.XLOOKUP(B1327,[1]Sheet1!$B:$B,[1]Sheet1!$T:$T,0)</f>
        <v>110693.46619057293</v>
      </c>
      <c r="R1327" s="12">
        <f>_xlfn.XLOOKUP(B1327,[1]Sheet1!$B:$B,[1]Sheet1!$U:$U,0)</f>
        <v>92244.191167274184</v>
      </c>
      <c r="S1327" s="12">
        <f>_xlfn.XLOOKUP(B1327,[1]Sheet1!$B:$B,[1]Sheet1!$V:$V,0)</f>
        <v>92244.191167274184</v>
      </c>
      <c r="T1327" s="12">
        <f>_xlfn.XLOOKUP(B1327,[1]Sheet1!$B:$B,[1]Sheet1!$W:$W,0)</f>
        <v>92244.191167274184</v>
      </c>
      <c r="U1327" s="12">
        <f>_xlfn.XLOOKUP(B1327,[1]Sheet1!$B:$B,[1]Sheet1!$X:$X,0)</f>
        <v>221386.2043980727</v>
      </c>
      <c r="V1327" s="12">
        <f>_xlfn.XLOOKUP(B1327,[1]Sheet1!$B:$B,[1]Sheet1!$Y:$Y,0)</f>
        <v>221386.2043980727</v>
      </c>
      <c r="W1327" s="12">
        <f t="shared" si="43"/>
        <v>1402114.326481631</v>
      </c>
      <c r="X1327" s="8" t="s">
        <v>560</v>
      </c>
      <c r="Y1327" s="8" t="s">
        <v>319</v>
      </c>
      <c r="Z1327" s="8" t="s">
        <v>320</v>
      </c>
      <c r="AA1327" s="8" t="s">
        <v>151</v>
      </c>
      <c r="AB1327" s="8" t="s">
        <v>327</v>
      </c>
      <c r="AC1327" s="8" t="s">
        <v>37</v>
      </c>
      <c r="AD1327" s="8" t="s">
        <v>322</v>
      </c>
      <c r="AE1327" s="8" t="s">
        <v>39</v>
      </c>
      <c r="AF1327" s="8" t="s">
        <v>40</v>
      </c>
      <c r="AG1327" s="9">
        <v>1402115</v>
      </c>
      <c r="AH1327" s="11">
        <f>_xlfn.XLOOKUP(B1327,[1]Sheet1!$B:$B,[1]Sheet1!$AB:$AB,0)</f>
        <v>1402114.326481631</v>
      </c>
    </row>
    <row r="1328" spans="2:34" ht="16.8" thickTop="1" thickBot="1" x14ac:dyDescent="0.35">
      <c r="B1328" s="3" t="str">
        <f t="shared" si="42"/>
        <v>45131304511001584Media Mgmnt &amp;Buy-L422511201931</v>
      </c>
      <c r="C1328" s="6" t="s">
        <v>321</v>
      </c>
      <c r="D1328" s="6" t="s">
        <v>2058</v>
      </c>
      <c r="E1328" s="6" t="s">
        <v>2059</v>
      </c>
      <c r="F1328" s="6" t="s">
        <v>559</v>
      </c>
      <c r="G1328" s="4" t="s">
        <v>2819</v>
      </c>
      <c r="H1328" s="4" t="s">
        <v>2925</v>
      </c>
      <c r="I1328" s="6" t="s">
        <v>151</v>
      </c>
      <c r="J1328" s="6" t="s">
        <v>31</v>
      </c>
      <c r="K1328" s="12">
        <f>_xlfn.XLOOKUP(B1328,[1]Sheet1!$B:$B,[1]Sheet1!$N:$N,0)</f>
        <v>0</v>
      </c>
      <c r="L1328" s="12">
        <f>_xlfn.XLOOKUP(B1328,[1]Sheet1!$B:$B,[1]Sheet1!$O:$O,0)</f>
        <v>0</v>
      </c>
      <c r="M1328" s="12">
        <f>_xlfn.XLOOKUP(B1328,[1]Sheet1!$B:$B,[1]Sheet1!$P:$P,0)</f>
        <v>0</v>
      </c>
      <c r="N1328" s="12">
        <f>_xlfn.XLOOKUP(B1328,[1]Sheet1!$B:$B,[1]Sheet1!$Q:$Q,0)</f>
        <v>0</v>
      </c>
      <c r="O1328" s="12">
        <f>_xlfn.XLOOKUP(B1328,[1]Sheet1!$B:$B,[1]Sheet1!$R:$R,0)</f>
        <v>0</v>
      </c>
      <c r="P1328" s="12">
        <f>_xlfn.XLOOKUP(B1328,[1]Sheet1!$B:$B,[1]Sheet1!$S:$S,0)</f>
        <v>0</v>
      </c>
      <c r="Q1328" s="12">
        <f>_xlfn.XLOOKUP(B1328,[1]Sheet1!$B:$B,[1]Sheet1!$T:$T,0)</f>
        <v>0</v>
      </c>
      <c r="R1328" s="12">
        <f>_xlfn.XLOOKUP(B1328,[1]Sheet1!$B:$B,[1]Sheet1!$U:$U,0)</f>
        <v>0</v>
      </c>
      <c r="S1328" s="12">
        <f>_xlfn.XLOOKUP(B1328,[1]Sheet1!$B:$B,[1]Sheet1!$V:$V,0)</f>
        <v>322589.00898955564</v>
      </c>
      <c r="T1328" s="12">
        <f>_xlfn.XLOOKUP(B1328,[1]Sheet1!$B:$B,[1]Sheet1!$W:$W,0)</f>
        <v>322589.00898955564</v>
      </c>
      <c r="U1328" s="12">
        <f>_xlfn.XLOOKUP(B1328,[1]Sheet1!$B:$B,[1]Sheet1!$X:$X,0)</f>
        <v>322589.00898955564</v>
      </c>
      <c r="V1328" s="12">
        <f>_xlfn.XLOOKUP(B1328,[1]Sheet1!$B:$B,[1]Sheet1!$Y:$Y,0)</f>
        <v>322589.00898955564</v>
      </c>
      <c r="W1328" s="12">
        <f t="shared" si="43"/>
        <v>1290356.0359582226</v>
      </c>
      <c r="X1328" s="6" t="s">
        <v>560</v>
      </c>
      <c r="Y1328" s="6" t="s">
        <v>319</v>
      </c>
      <c r="Z1328" s="6" t="s">
        <v>320</v>
      </c>
      <c r="AA1328" s="6" t="s">
        <v>151</v>
      </c>
      <c r="AB1328" s="6" t="s">
        <v>327</v>
      </c>
      <c r="AC1328" s="6" t="s">
        <v>37</v>
      </c>
      <c r="AD1328" s="6" t="s">
        <v>322</v>
      </c>
      <c r="AE1328" s="6" t="s">
        <v>39</v>
      </c>
      <c r="AF1328" s="6" t="s">
        <v>40</v>
      </c>
      <c r="AG1328" s="7">
        <v>1290356</v>
      </c>
      <c r="AH1328" s="11">
        <f>_xlfn.XLOOKUP(B1328,[1]Sheet1!$B:$B,[1]Sheet1!$AB:$AB,0)</f>
        <v>1290356.0359582226</v>
      </c>
    </row>
    <row r="1329" spans="2:34" ht="16.8" thickTop="1" thickBot="1" x14ac:dyDescent="0.35">
      <c r="B1329" s="3" t="str">
        <f t="shared" si="42"/>
        <v>45131304511001585Media Mgmnt &amp;Buy-L422511201931</v>
      </c>
      <c r="C1329" s="8" t="s">
        <v>321</v>
      </c>
      <c r="D1329" s="8" t="s">
        <v>2060</v>
      </c>
      <c r="E1329" s="8" t="s">
        <v>2061</v>
      </c>
      <c r="F1329" s="8" t="s">
        <v>559</v>
      </c>
      <c r="G1329" s="4" t="s">
        <v>2819</v>
      </c>
      <c r="H1329" s="4" t="s">
        <v>2925</v>
      </c>
      <c r="I1329" s="8" t="s">
        <v>151</v>
      </c>
      <c r="J1329" s="8" t="s">
        <v>31</v>
      </c>
      <c r="K1329" s="12">
        <f>_xlfn.XLOOKUP(B1329,[1]Sheet1!$B:$B,[1]Sheet1!$N:$N,0)</f>
        <v>0</v>
      </c>
      <c r="L1329" s="12">
        <f>_xlfn.XLOOKUP(B1329,[1]Sheet1!$B:$B,[1]Sheet1!$O:$O,0)</f>
        <v>0</v>
      </c>
      <c r="M1329" s="12">
        <f>_xlfn.XLOOKUP(B1329,[1]Sheet1!$B:$B,[1]Sheet1!$P:$P,0)</f>
        <v>0</v>
      </c>
      <c r="N1329" s="12">
        <f>_xlfn.XLOOKUP(B1329,[1]Sheet1!$B:$B,[1]Sheet1!$Q:$Q,0)</f>
        <v>0</v>
      </c>
      <c r="O1329" s="12">
        <f>_xlfn.XLOOKUP(B1329,[1]Sheet1!$B:$B,[1]Sheet1!$R:$R,0)</f>
        <v>335584.37804084294</v>
      </c>
      <c r="P1329" s="12">
        <f>_xlfn.XLOOKUP(B1329,[1]Sheet1!$B:$B,[1]Sheet1!$S:$S,0)</f>
        <v>77442.54877865607</v>
      </c>
      <c r="Q1329" s="12">
        <f>_xlfn.XLOOKUP(B1329,[1]Sheet1!$B:$B,[1]Sheet1!$T:$T,0)</f>
        <v>77442.54877865607</v>
      </c>
      <c r="R1329" s="12">
        <f>_xlfn.XLOOKUP(B1329,[1]Sheet1!$B:$B,[1]Sheet1!$U:$U,0)</f>
        <v>77442.54877865607</v>
      </c>
      <c r="S1329" s="12">
        <f>_xlfn.XLOOKUP(B1329,[1]Sheet1!$B:$B,[1]Sheet1!$V:$V,0)</f>
        <v>77442.54877865607</v>
      </c>
      <c r="T1329" s="12">
        <f>_xlfn.XLOOKUP(B1329,[1]Sheet1!$B:$B,[1]Sheet1!$W:$W,0)</f>
        <v>77442.54877865607</v>
      </c>
      <c r="U1329" s="12">
        <f>_xlfn.XLOOKUP(B1329,[1]Sheet1!$B:$B,[1]Sheet1!$X:$X,0)</f>
        <v>129070.91463109344</v>
      </c>
      <c r="V1329" s="12">
        <f>_xlfn.XLOOKUP(B1329,[1]Sheet1!$B:$B,[1]Sheet1!$Y:$Y,0)</f>
        <v>154885.09755731214</v>
      </c>
      <c r="W1329" s="12">
        <f t="shared" si="43"/>
        <v>1006753.1341225288</v>
      </c>
      <c r="X1329" s="8" t="s">
        <v>560</v>
      </c>
      <c r="Y1329" s="8" t="s">
        <v>319</v>
      </c>
      <c r="Z1329" s="8" t="s">
        <v>320</v>
      </c>
      <c r="AA1329" s="8" t="s">
        <v>151</v>
      </c>
      <c r="AB1329" s="8" t="s">
        <v>327</v>
      </c>
      <c r="AC1329" s="8" t="s">
        <v>37</v>
      </c>
      <c r="AD1329" s="8" t="s">
        <v>322</v>
      </c>
      <c r="AE1329" s="8" t="s">
        <v>39</v>
      </c>
      <c r="AF1329" s="8" t="s">
        <v>40</v>
      </c>
      <c r="AG1329" s="9">
        <v>1006754</v>
      </c>
      <c r="AH1329" s="11">
        <f>_xlfn.XLOOKUP(B1329,[1]Sheet1!$B:$B,[1]Sheet1!$AB:$AB,0)</f>
        <v>1006753.1341225288</v>
      </c>
    </row>
    <row r="1330" spans="2:34" ht="16.8" thickTop="1" thickBot="1" x14ac:dyDescent="0.35">
      <c r="B1330" s="3" t="str">
        <f t="shared" si="42"/>
        <v>45131304511001586Media Mgmnt &amp;Buy-L422511201931</v>
      </c>
      <c r="C1330" s="6" t="s">
        <v>321</v>
      </c>
      <c r="D1330" s="6" t="s">
        <v>2062</v>
      </c>
      <c r="E1330" s="6" t="s">
        <v>2063</v>
      </c>
      <c r="F1330" s="6" t="s">
        <v>559</v>
      </c>
      <c r="G1330" s="4" t="s">
        <v>2819</v>
      </c>
      <c r="H1330" s="4" t="s">
        <v>2925</v>
      </c>
      <c r="I1330" s="6" t="s">
        <v>151</v>
      </c>
      <c r="J1330" s="6" t="s">
        <v>31</v>
      </c>
      <c r="K1330" s="12">
        <f>_xlfn.XLOOKUP(B1330,[1]Sheet1!$B:$B,[1]Sheet1!$N:$N,0)</f>
        <v>0</v>
      </c>
      <c r="L1330" s="12">
        <f>_xlfn.XLOOKUP(B1330,[1]Sheet1!$B:$B,[1]Sheet1!$O:$O,0)</f>
        <v>0</v>
      </c>
      <c r="M1330" s="12">
        <f>_xlfn.XLOOKUP(B1330,[1]Sheet1!$B:$B,[1]Sheet1!$P:$P,0)</f>
        <v>0</v>
      </c>
      <c r="N1330" s="12">
        <f>_xlfn.XLOOKUP(B1330,[1]Sheet1!$B:$B,[1]Sheet1!$Q:$Q,0)</f>
        <v>0</v>
      </c>
      <c r="O1330" s="12">
        <f>_xlfn.XLOOKUP(B1330,[1]Sheet1!$B:$B,[1]Sheet1!$R:$R,0)</f>
        <v>799625</v>
      </c>
      <c r="P1330" s="12">
        <f>_xlfn.XLOOKUP(B1330,[1]Sheet1!$B:$B,[1]Sheet1!$S:$S,0)</f>
        <v>0</v>
      </c>
      <c r="Q1330" s="12">
        <f>_xlfn.XLOOKUP(B1330,[1]Sheet1!$B:$B,[1]Sheet1!$T:$T,0)</f>
        <v>0</v>
      </c>
      <c r="R1330" s="12">
        <f>_xlfn.XLOOKUP(B1330,[1]Sheet1!$B:$B,[1]Sheet1!$U:$U,0)</f>
        <v>0</v>
      </c>
      <c r="S1330" s="12">
        <f>_xlfn.XLOOKUP(B1330,[1]Sheet1!$B:$B,[1]Sheet1!$V:$V,0)</f>
        <v>0</v>
      </c>
      <c r="T1330" s="12">
        <f>_xlfn.XLOOKUP(B1330,[1]Sheet1!$B:$B,[1]Sheet1!$W:$W,0)</f>
        <v>0</v>
      </c>
      <c r="U1330" s="12">
        <f>_xlfn.XLOOKUP(B1330,[1]Sheet1!$B:$B,[1]Sheet1!$X:$X,0)</f>
        <v>0</v>
      </c>
      <c r="V1330" s="12">
        <f>_xlfn.XLOOKUP(B1330,[1]Sheet1!$B:$B,[1]Sheet1!$Y:$Y,0)</f>
        <v>0</v>
      </c>
      <c r="W1330" s="12">
        <f t="shared" si="43"/>
        <v>799625</v>
      </c>
      <c r="X1330" s="6" t="s">
        <v>560</v>
      </c>
      <c r="Y1330" s="6" t="s">
        <v>319</v>
      </c>
      <c r="Z1330" s="6" t="s">
        <v>320</v>
      </c>
      <c r="AA1330" s="6" t="s">
        <v>151</v>
      </c>
      <c r="AB1330" s="6" t="s">
        <v>327</v>
      </c>
      <c r="AC1330" s="6" t="s">
        <v>37</v>
      </c>
      <c r="AD1330" s="6" t="s">
        <v>322</v>
      </c>
      <c r="AE1330" s="6" t="s">
        <v>39</v>
      </c>
      <c r="AF1330" s="6" t="s">
        <v>40</v>
      </c>
      <c r="AG1330" s="7">
        <v>799625</v>
      </c>
      <c r="AH1330" s="11">
        <f>_xlfn.XLOOKUP(B1330,[1]Sheet1!$B:$B,[1]Sheet1!$AB:$AB,0)</f>
        <v>799625</v>
      </c>
    </row>
    <row r="1331" spans="2:34" ht="16.8" thickTop="1" thickBot="1" x14ac:dyDescent="0.35">
      <c r="B1331" s="3" t="str">
        <f t="shared" si="42"/>
        <v>45131304511001587Media Mgmnt &amp;Buy-L422511201931</v>
      </c>
      <c r="C1331" s="8" t="s">
        <v>321</v>
      </c>
      <c r="D1331" s="8" t="s">
        <v>2064</v>
      </c>
      <c r="E1331" s="8" t="s">
        <v>2065</v>
      </c>
      <c r="F1331" s="8" t="s">
        <v>559</v>
      </c>
      <c r="G1331" s="4" t="s">
        <v>2819</v>
      </c>
      <c r="H1331" s="4" t="s">
        <v>2925</v>
      </c>
      <c r="I1331" s="8" t="s">
        <v>151</v>
      </c>
      <c r="J1331" s="8" t="s">
        <v>31</v>
      </c>
      <c r="K1331" s="12">
        <f>_xlfn.XLOOKUP(B1331,[1]Sheet1!$B:$B,[1]Sheet1!$N:$N,0)</f>
        <v>0</v>
      </c>
      <c r="L1331" s="12">
        <f>_xlfn.XLOOKUP(B1331,[1]Sheet1!$B:$B,[1]Sheet1!$O:$O,0)</f>
        <v>0</v>
      </c>
      <c r="M1331" s="12">
        <f>_xlfn.XLOOKUP(B1331,[1]Sheet1!$B:$B,[1]Sheet1!$P:$P,0)</f>
        <v>0</v>
      </c>
      <c r="N1331" s="12">
        <f>_xlfn.XLOOKUP(B1331,[1]Sheet1!$B:$B,[1]Sheet1!$Q:$Q,0)</f>
        <v>0</v>
      </c>
      <c r="O1331" s="12">
        <f>_xlfn.XLOOKUP(B1331,[1]Sheet1!$B:$B,[1]Sheet1!$R:$R,0)</f>
        <v>265299.3404376079</v>
      </c>
      <c r="P1331" s="12">
        <f>_xlfn.XLOOKUP(B1331,[1]Sheet1!$B:$B,[1]Sheet1!$S:$S,0)</f>
        <v>61222.800866685437</v>
      </c>
      <c r="Q1331" s="12">
        <f>_xlfn.XLOOKUP(B1331,[1]Sheet1!$B:$B,[1]Sheet1!$T:$T,0)</f>
        <v>61222.800866685437</v>
      </c>
      <c r="R1331" s="12">
        <f>_xlfn.XLOOKUP(B1331,[1]Sheet1!$B:$B,[1]Sheet1!$U:$U,0)</f>
        <v>61222.800866685437</v>
      </c>
      <c r="S1331" s="12">
        <f>_xlfn.XLOOKUP(B1331,[1]Sheet1!$B:$B,[1]Sheet1!$V:$V,0)</f>
        <v>61222.800866685437</v>
      </c>
      <c r="T1331" s="12">
        <f>_xlfn.XLOOKUP(B1331,[1]Sheet1!$B:$B,[1]Sheet1!$W:$W,0)</f>
        <v>61222.800866685437</v>
      </c>
      <c r="U1331" s="12">
        <f>_xlfn.XLOOKUP(B1331,[1]Sheet1!$B:$B,[1]Sheet1!$X:$X,0)</f>
        <v>102038.26978546123</v>
      </c>
      <c r="V1331" s="12">
        <f>_xlfn.XLOOKUP(B1331,[1]Sheet1!$B:$B,[1]Sheet1!$Y:$Y,0)</f>
        <v>122446.00424484913</v>
      </c>
      <c r="W1331" s="12">
        <f t="shared" si="43"/>
        <v>795897.61880134547</v>
      </c>
      <c r="X1331" s="8" t="s">
        <v>560</v>
      </c>
      <c r="Y1331" s="8" t="s">
        <v>319</v>
      </c>
      <c r="Z1331" s="8" t="s">
        <v>320</v>
      </c>
      <c r="AA1331" s="8" t="s">
        <v>151</v>
      </c>
      <c r="AB1331" s="8" t="s">
        <v>327</v>
      </c>
      <c r="AC1331" s="8" t="s">
        <v>37</v>
      </c>
      <c r="AD1331" s="8" t="s">
        <v>322</v>
      </c>
      <c r="AE1331" s="8" t="s">
        <v>39</v>
      </c>
      <c r="AF1331" s="8" t="s">
        <v>40</v>
      </c>
      <c r="AG1331" s="9">
        <v>795899</v>
      </c>
      <c r="AH1331" s="11">
        <f>_xlfn.XLOOKUP(B1331,[1]Sheet1!$B:$B,[1]Sheet1!$AB:$AB,0)</f>
        <v>795897.61880134547</v>
      </c>
    </row>
    <row r="1332" spans="2:34" ht="16.8" thickTop="1" thickBot="1" x14ac:dyDescent="0.35">
      <c r="B1332" s="3" t="str">
        <f t="shared" si="42"/>
        <v>45131304511001588Media Mgmnt &amp;Buy-L422511201931</v>
      </c>
      <c r="C1332" s="6" t="s">
        <v>321</v>
      </c>
      <c r="D1332" s="6" t="s">
        <v>2066</v>
      </c>
      <c r="E1332" s="6" t="s">
        <v>2067</v>
      </c>
      <c r="F1332" s="6" t="s">
        <v>559</v>
      </c>
      <c r="G1332" s="4" t="s">
        <v>2819</v>
      </c>
      <c r="H1332" s="4" t="s">
        <v>2925</v>
      </c>
      <c r="I1332" s="6" t="s">
        <v>151</v>
      </c>
      <c r="J1332" s="6" t="s">
        <v>31</v>
      </c>
      <c r="K1332" s="12">
        <f>_xlfn.XLOOKUP(B1332,[1]Sheet1!$B:$B,[1]Sheet1!$N:$N,0)</f>
        <v>0</v>
      </c>
      <c r="L1332" s="12">
        <f>_xlfn.XLOOKUP(B1332,[1]Sheet1!$B:$B,[1]Sheet1!$O:$O,0)</f>
        <v>0</v>
      </c>
      <c r="M1332" s="12">
        <f>_xlfn.XLOOKUP(B1332,[1]Sheet1!$B:$B,[1]Sheet1!$P:$P,0)</f>
        <v>0</v>
      </c>
      <c r="N1332" s="12">
        <f>_xlfn.XLOOKUP(B1332,[1]Sheet1!$B:$B,[1]Sheet1!$Q:$Q,0)</f>
        <v>0</v>
      </c>
      <c r="O1332" s="12">
        <f>_xlfn.XLOOKUP(B1332,[1]Sheet1!$B:$B,[1]Sheet1!$R:$R,0)</f>
        <v>252706.5070413276</v>
      </c>
      <c r="P1332" s="12">
        <f>_xlfn.XLOOKUP(B1332,[1]Sheet1!$B:$B,[1]Sheet1!$S:$S,0)</f>
        <v>58316.886240306369</v>
      </c>
      <c r="Q1332" s="12">
        <f>_xlfn.XLOOKUP(B1332,[1]Sheet1!$B:$B,[1]Sheet1!$T:$T,0)</f>
        <v>58316.886240306369</v>
      </c>
      <c r="R1332" s="12">
        <f>_xlfn.XLOOKUP(B1332,[1]Sheet1!$B:$B,[1]Sheet1!$U:$U,0)</f>
        <v>58316.886240306369</v>
      </c>
      <c r="S1332" s="12">
        <f>_xlfn.XLOOKUP(B1332,[1]Sheet1!$B:$B,[1]Sheet1!$V:$V,0)</f>
        <v>58316.886240306369</v>
      </c>
      <c r="T1332" s="12">
        <f>_xlfn.XLOOKUP(B1332,[1]Sheet1!$B:$B,[1]Sheet1!$W:$W,0)</f>
        <v>58316.886240306369</v>
      </c>
      <c r="U1332" s="12">
        <f>_xlfn.XLOOKUP(B1332,[1]Sheet1!$B:$B,[1]Sheet1!$X:$X,0)</f>
        <v>97194.810400510614</v>
      </c>
      <c r="V1332" s="12">
        <f>_xlfn.XLOOKUP(B1332,[1]Sheet1!$B:$B,[1]Sheet1!$Y:$Y,0)</f>
        <v>116633.77248061274</v>
      </c>
      <c r="W1332" s="12">
        <f t="shared" si="43"/>
        <v>758119.52112398285</v>
      </c>
      <c r="X1332" s="6" t="s">
        <v>560</v>
      </c>
      <c r="Y1332" s="6" t="s">
        <v>319</v>
      </c>
      <c r="Z1332" s="6" t="s">
        <v>320</v>
      </c>
      <c r="AA1332" s="6" t="s">
        <v>151</v>
      </c>
      <c r="AB1332" s="6" t="s">
        <v>327</v>
      </c>
      <c r="AC1332" s="6" t="s">
        <v>37</v>
      </c>
      <c r="AD1332" s="6" t="s">
        <v>322</v>
      </c>
      <c r="AE1332" s="6" t="s">
        <v>39</v>
      </c>
      <c r="AF1332" s="6" t="s">
        <v>40</v>
      </c>
      <c r="AG1332" s="7">
        <v>758120</v>
      </c>
      <c r="AH1332" s="11">
        <f>_xlfn.XLOOKUP(B1332,[1]Sheet1!$B:$B,[1]Sheet1!$AB:$AB,0)</f>
        <v>758119.52112398285</v>
      </c>
    </row>
    <row r="1333" spans="2:34" ht="16.8" thickTop="1" thickBot="1" x14ac:dyDescent="0.35">
      <c r="B1333" s="3" t="str">
        <f t="shared" si="42"/>
        <v>45131304511001589Media Mgmnt &amp;Buy-L422511201931</v>
      </c>
      <c r="C1333" s="8" t="s">
        <v>321</v>
      </c>
      <c r="D1333" s="8" t="s">
        <v>2068</v>
      </c>
      <c r="E1333" s="8" t="s">
        <v>2069</v>
      </c>
      <c r="F1333" s="8" t="s">
        <v>559</v>
      </c>
      <c r="G1333" s="4" t="s">
        <v>2819</v>
      </c>
      <c r="H1333" s="4" t="s">
        <v>2925</v>
      </c>
      <c r="I1333" s="8" t="s">
        <v>151</v>
      </c>
      <c r="J1333" s="8" t="s">
        <v>31</v>
      </c>
      <c r="K1333" s="12">
        <f>_xlfn.XLOOKUP(B1333,[1]Sheet1!$B:$B,[1]Sheet1!$N:$N,0)</f>
        <v>0</v>
      </c>
      <c r="L1333" s="12">
        <f>_xlfn.XLOOKUP(B1333,[1]Sheet1!$B:$B,[1]Sheet1!$O:$O,0)</f>
        <v>0</v>
      </c>
      <c r="M1333" s="12">
        <f>_xlfn.XLOOKUP(B1333,[1]Sheet1!$B:$B,[1]Sheet1!$P:$P,0)</f>
        <v>0</v>
      </c>
      <c r="N1333" s="12">
        <f>_xlfn.XLOOKUP(B1333,[1]Sheet1!$B:$B,[1]Sheet1!$Q:$Q,0)</f>
        <v>0</v>
      </c>
      <c r="O1333" s="12">
        <f>_xlfn.XLOOKUP(B1333,[1]Sheet1!$B:$B,[1]Sheet1!$R:$R,0)</f>
        <v>635402.56217653968</v>
      </c>
      <c r="P1333" s="12">
        <f>_xlfn.XLOOKUP(B1333,[1]Sheet1!$B:$B,[1]Sheet1!$S:$S,0)</f>
        <v>0</v>
      </c>
      <c r="Q1333" s="12">
        <f>_xlfn.XLOOKUP(B1333,[1]Sheet1!$B:$B,[1]Sheet1!$T:$T,0)</f>
        <v>0</v>
      </c>
      <c r="R1333" s="12">
        <f>_xlfn.XLOOKUP(B1333,[1]Sheet1!$B:$B,[1]Sheet1!$U:$U,0)</f>
        <v>0</v>
      </c>
      <c r="S1333" s="12">
        <f>_xlfn.XLOOKUP(B1333,[1]Sheet1!$B:$B,[1]Sheet1!$V:$V,0)</f>
        <v>0</v>
      </c>
      <c r="T1333" s="12">
        <f>_xlfn.XLOOKUP(B1333,[1]Sheet1!$B:$B,[1]Sheet1!$W:$W,0)</f>
        <v>0</v>
      </c>
      <c r="U1333" s="12">
        <f>_xlfn.XLOOKUP(B1333,[1]Sheet1!$B:$B,[1]Sheet1!$X:$X,0)</f>
        <v>0</v>
      </c>
      <c r="V1333" s="12">
        <f>_xlfn.XLOOKUP(B1333,[1]Sheet1!$B:$B,[1]Sheet1!$Y:$Y,0)</f>
        <v>0</v>
      </c>
      <c r="W1333" s="12">
        <f t="shared" si="43"/>
        <v>635402.56217653968</v>
      </c>
      <c r="X1333" s="8" t="s">
        <v>560</v>
      </c>
      <c r="Y1333" s="8" t="s">
        <v>319</v>
      </c>
      <c r="Z1333" s="8" t="s">
        <v>320</v>
      </c>
      <c r="AA1333" s="8" t="s">
        <v>151</v>
      </c>
      <c r="AB1333" s="8" t="s">
        <v>327</v>
      </c>
      <c r="AC1333" s="8" t="s">
        <v>37</v>
      </c>
      <c r="AD1333" s="8" t="s">
        <v>322</v>
      </c>
      <c r="AE1333" s="8" t="s">
        <v>39</v>
      </c>
      <c r="AF1333" s="8" t="s">
        <v>40</v>
      </c>
      <c r="AG1333" s="9">
        <v>635403</v>
      </c>
      <c r="AH1333" s="11">
        <f>_xlfn.XLOOKUP(B1333,[1]Sheet1!$B:$B,[1]Sheet1!$AB:$AB,0)</f>
        <v>635402.56217653968</v>
      </c>
    </row>
    <row r="1334" spans="2:34" ht="16.8" thickTop="1" thickBot="1" x14ac:dyDescent="0.35">
      <c r="B1334" s="3" t="str">
        <f t="shared" si="42"/>
        <v>45131304511001590Media Mgmnt &amp;Buy-L422511201931</v>
      </c>
      <c r="C1334" s="6" t="s">
        <v>321</v>
      </c>
      <c r="D1334" s="6" t="s">
        <v>2070</v>
      </c>
      <c r="E1334" s="6" t="s">
        <v>2071</v>
      </c>
      <c r="F1334" s="6" t="s">
        <v>559</v>
      </c>
      <c r="G1334" s="4" t="s">
        <v>2819</v>
      </c>
      <c r="H1334" s="4" t="s">
        <v>2925</v>
      </c>
      <c r="I1334" s="6" t="s">
        <v>151</v>
      </c>
      <c r="J1334" s="6" t="s">
        <v>31</v>
      </c>
      <c r="K1334" s="12">
        <f>_xlfn.XLOOKUP(B1334,[1]Sheet1!$B:$B,[1]Sheet1!$N:$N,0)</f>
        <v>0</v>
      </c>
      <c r="L1334" s="12">
        <f>_xlfn.XLOOKUP(B1334,[1]Sheet1!$B:$B,[1]Sheet1!$O:$O,0)</f>
        <v>0</v>
      </c>
      <c r="M1334" s="12">
        <f>_xlfn.XLOOKUP(B1334,[1]Sheet1!$B:$B,[1]Sheet1!$P:$P,0)</f>
        <v>0</v>
      </c>
      <c r="N1334" s="12">
        <f>_xlfn.XLOOKUP(B1334,[1]Sheet1!$B:$B,[1]Sheet1!$Q:$Q,0)</f>
        <v>0</v>
      </c>
      <c r="O1334" s="12">
        <f>_xlfn.XLOOKUP(B1334,[1]Sheet1!$B:$B,[1]Sheet1!$R:$R,0)</f>
        <v>0</v>
      </c>
      <c r="P1334" s="12">
        <f>_xlfn.XLOOKUP(B1334,[1]Sheet1!$B:$B,[1]Sheet1!$S:$S,0)</f>
        <v>0</v>
      </c>
      <c r="Q1334" s="12">
        <f>_xlfn.XLOOKUP(B1334,[1]Sheet1!$B:$B,[1]Sheet1!$T:$T,0)</f>
        <v>0</v>
      </c>
      <c r="R1334" s="12">
        <f>_xlfn.XLOOKUP(B1334,[1]Sheet1!$B:$B,[1]Sheet1!$U:$U,0)</f>
        <v>521282</v>
      </c>
      <c r="S1334" s="12">
        <f>_xlfn.XLOOKUP(B1334,[1]Sheet1!$B:$B,[1]Sheet1!$V:$V,0)</f>
        <v>0</v>
      </c>
      <c r="T1334" s="12">
        <f>_xlfn.XLOOKUP(B1334,[1]Sheet1!$B:$B,[1]Sheet1!$W:$W,0)</f>
        <v>0</v>
      </c>
      <c r="U1334" s="12">
        <f>_xlfn.XLOOKUP(B1334,[1]Sheet1!$B:$B,[1]Sheet1!$X:$X,0)</f>
        <v>0</v>
      </c>
      <c r="V1334" s="12">
        <f>_xlfn.XLOOKUP(B1334,[1]Sheet1!$B:$B,[1]Sheet1!$Y:$Y,0)</f>
        <v>0</v>
      </c>
      <c r="W1334" s="12">
        <f t="shared" si="43"/>
        <v>521282</v>
      </c>
      <c r="X1334" s="6" t="s">
        <v>2072</v>
      </c>
      <c r="Y1334" s="6" t="s">
        <v>319</v>
      </c>
      <c r="Z1334" s="6" t="s">
        <v>320</v>
      </c>
      <c r="AA1334" s="6" t="s">
        <v>151</v>
      </c>
      <c r="AB1334" s="6" t="s">
        <v>327</v>
      </c>
      <c r="AC1334" s="6" t="s">
        <v>37</v>
      </c>
      <c r="AD1334" s="6" t="s">
        <v>708</v>
      </c>
      <c r="AE1334" s="6" t="s">
        <v>39</v>
      </c>
      <c r="AF1334" s="6" t="s">
        <v>40</v>
      </c>
      <c r="AG1334" s="7">
        <v>521282</v>
      </c>
      <c r="AH1334" s="11">
        <f>_xlfn.XLOOKUP(B1334,[1]Sheet1!$B:$B,[1]Sheet1!$AB:$AB,0)</f>
        <v>521282</v>
      </c>
    </row>
    <row r="1335" spans="2:34" ht="16.8" thickTop="1" thickBot="1" x14ac:dyDescent="0.35">
      <c r="B1335" s="3" t="str">
        <f t="shared" si="42"/>
        <v>45131304511001590Media Mgmnt &amp;Buy-N422511200104</v>
      </c>
      <c r="C1335" s="8" t="s">
        <v>321</v>
      </c>
      <c r="D1335" s="8" t="s">
        <v>2070</v>
      </c>
      <c r="E1335" s="8" t="s">
        <v>2071</v>
      </c>
      <c r="F1335" s="8" t="s">
        <v>166</v>
      </c>
      <c r="G1335" s="4" t="s">
        <v>2819</v>
      </c>
      <c r="H1335" s="4" t="s">
        <v>2922</v>
      </c>
      <c r="I1335" s="8" t="s">
        <v>151</v>
      </c>
      <c r="J1335" s="8" t="s">
        <v>31</v>
      </c>
      <c r="K1335" s="12">
        <f>_xlfn.XLOOKUP(B1335,[1]Sheet1!$B:$B,[1]Sheet1!$N:$N,0)</f>
        <v>0</v>
      </c>
      <c r="L1335" s="12">
        <f>_xlfn.XLOOKUP(B1335,[1]Sheet1!$B:$B,[1]Sheet1!$O:$O,0)</f>
        <v>0</v>
      </c>
      <c r="M1335" s="12">
        <f>_xlfn.XLOOKUP(B1335,[1]Sheet1!$B:$B,[1]Sheet1!$P:$P,0)</f>
        <v>0</v>
      </c>
      <c r="N1335" s="12">
        <f>_xlfn.XLOOKUP(B1335,[1]Sheet1!$B:$B,[1]Sheet1!$Q:$Q,0)</f>
        <v>0</v>
      </c>
      <c r="O1335" s="12">
        <f>_xlfn.XLOOKUP(B1335,[1]Sheet1!$B:$B,[1]Sheet1!$R:$R,0)</f>
        <v>0</v>
      </c>
      <c r="P1335" s="12">
        <f>_xlfn.XLOOKUP(B1335,[1]Sheet1!$B:$B,[1]Sheet1!$S:$S,0)</f>
        <v>0</v>
      </c>
      <c r="Q1335" s="12">
        <f>_xlfn.XLOOKUP(B1335,[1]Sheet1!$B:$B,[1]Sheet1!$T:$T,0)</f>
        <v>506453.69722181576</v>
      </c>
      <c r="R1335" s="12">
        <f>_xlfn.XLOOKUP(B1335,[1]Sheet1!$B:$B,[1]Sheet1!$U:$U,0)</f>
        <v>2337599.91041453</v>
      </c>
      <c r="S1335" s="12">
        <f>_xlfn.XLOOKUP(B1335,[1]Sheet1!$B:$B,[1]Sheet1!$V:$V,0)</f>
        <v>5064536.9722181577</v>
      </c>
      <c r="T1335" s="12">
        <f>_xlfn.XLOOKUP(B1335,[1]Sheet1!$B:$B,[1]Sheet1!$W:$W,0)</f>
        <v>4431469.8506908873</v>
      </c>
      <c r="U1335" s="12">
        <f>_xlfn.XLOOKUP(B1335,[1]Sheet1!$B:$B,[1]Sheet1!$X:$X,0)</f>
        <v>0</v>
      </c>
      <c r="V1335" s="12">
        <f>_xlfn.XLOOKUP(B1335,[1]Sheet1!$B:$B,[1]Sheet1!$Y:$Y,0)</f>
        <v>0</v>
      </c>
      <c r="W1335" s="12">
        <f t="shared" si="43"/>
        <v>12340060.43054539</v>
      </c>
      <c r="X1335" s="8" t="s">
        <v>2073</v>
      </c>
      <c r="Y1335" s="8" t="s">
        <v>319</v>
      </c>
      <c r="Z1335" s="8" t="s">
        <v>320</v>
      </c>
      <c r="AA1335" s="8" t="s">
        <v>151</v>
      </c>
      <c r="AB1335" s="8" t="s">
        <v>36</v>
      </c>
      <c r="AC1335" s="8" t="s">
        <v>37</v>
      </c>
      <c r="AD1335" s="8" t="s">
        <v>708</v>
      </c>
      <c r="AE1335" s="8" t="s">
        <v>39</v>
      </c>
      <c r="AF1335" s="8" t="s">
        <v>40</v>
      </c>
      <c r="AG1335" s="9">
        <v>12340060</v>
      </c>
      <c r="AH1335" s="11">
        <f>_xlfn.XLOOKUP(B1335,[1]Sheet1!$B:$B,[1]Sheet1!$AB:$AB,0)</f>
        <v>12340060.43054539</v>
      </c>
    </row>
    <row r="1336" spans="2:34" ht="16.8" thickTop="1" thickBot="1" x14ac:dyDescent="0.35">
      <c r="B1336" s="3" t="str">
        <f t="shared" si="42"/>
        <v>45131304511001591Media Mgmnt &amp;Buy-L422511201931</v>
      </c>
      <c r="C1336" s="6" t="s">
        <v>321</v>
      </c>
      <c r="D1336" s="6" t="s">
        <v>2074</v>
      </c>
      <c r="E1336" s="6" t="s">
        <v>2075</v>
      </c>
      <c r="F1336" s="6" t="s">
        <v>559</v>
      </c>
      <c r="G1336" s="4" t="s">
        <v>2819</v>
      </c>
      <c r="H1336" s="4" t="s">
        <v>2925</v>
      </c>
      <c r="I1336" s="6" t="s">
        <v>151</v>
      </c>
      <c r="J1336" s="6" t="s">
        <v>31</v>
      </c>
      <c r="K1336" s="12">
        <f>_xlfn.XLOOKUP(B1336,[1]Sheet1!$B:$B,[1]Sheet1!$N:$N,0)</f>
        <v>0</v>
      </c>
      <c r="L1336" s="12">
        <f>_xlfn.XLOOKUP(B1336,[1]Sheet1!$B:$B,[1]Sheet1!$O:$O,0)</f>
        <v>0</v>
      </c>
      <c r="M1336" s="12">
        <f>_xlfn.XLOOKUP(B1336,[1]Sheet1!$B:$B,[1]Sheet1!$P:$P,0)</f>
        <v>0</v>
      </c>
      <c r="N1336" s="12">
        <f>_xlfn.XLOOKUP(B1336,[1]Sheet1!$B:$B,[1]Sheet1!$Q:$Q,0)</f>
        <v>0</v>
      </c>
      <c r="O1336" s="12">
        <f>_xlfn.XLOOKUP(B1336,[1]Sheet1!$B:$B,[1]Sheet1!$R:$R,0)</f>
        <v>417332.836971034</v>
      </c>
      <c r="P1336" s="12">
        <f>_xlfn.XLOOKUP(B1336,[1]Sheet1!$B:$B,[1]Sheet1!$S:$S,0)</f>
        <v>0</v>
      </c>
      <c r="Q1336" s="12">
        <f>_xlfn.XLOOKUP(B1336,[1]Sheet1!$B:$B,[1]Sheet1!$T:$T,0)</f>
        <v>0</v>
      </c>
      <c r="R1336" s="12">
        <f>_xlfn.XLOOKUP(B1336,[1]Sheet1!$B:$B,[1]Sheet1!$U:$U,0)</f>
        <v>0</v>
      </c>
      <c r="S1336" s="12">
        <f>_xlfn.XLOOKUP(B1336,[1]Sheet1!$B:$B,[1]Sheet1!$V:$V,0)</f>
        <v>0</v>
      </c>
      <c r="T1336" s="12">
        <f>_xlfn.XLOOKUP(B1336,[1]Sheet1!$B:$B,[1]Sheet1!$W:$W,0)</f>
        <v>0</v>
      </c>
      <c r="U1336" s="12">
        <f>_xlfn.XLOOKUP(B1336,[1]Sheet1!$B:$B,[1]Sheet1!$X:$X,0)</f>
        <v>0</v>
      </c>
      <c r="V1336" s="12">
        <f>_xlfn.XLOOKUP(B1336,[1]Sheet1!$B:$B,[1]Sheet1!$Y:$Y,0)</f>
        <v>0</v>
      </c>
      <c r="W1336" s="12">
        <f t="shared" si="43"/>
        <v>417332.836971034</v>
      </c>
      <c r="X1336" s="6" t="s">
        <v>560</v>
      </c>
      <c r="Y1336" s="6" t="s">
        <v>319</v>
      </c>
      <c r="Z1336" s="6" t="s">
        <v>320</v>
      </c>
      <c r="AA1336" s="6" t="s">
        <v>151</v>
      </c>
      <c r="AB1336" s="6" t="s">
        <v>327</v>
      </c>
      <c r="AC1336" s="6" t="s">
        <v>37</v>
      </c>
      <c r="AD1336" s="6" t="s">
        <v>322</v>
      </c>
      <c r="AE1336" s="6" t="s">
        <v>39</v>
      </c>
      <c r="AF1336" s="6" t="s">
        <v>40</v>
      </c>
      <c r="AG1336" s="7">
        <v>417333</v>
      </c>
      <c r="AH1336" s="11">
        <f>_xlfn.XLOOKUP(B1336,[1]Sheet1!$B:$B,[1]Sheet1!$AB:$AB,0)</f>
        <v>417332.836971034</v>
      </c>
    </row>
    <row r="1337" spans="2:34" ht="16.8" thickTop="1" thickBot="1" x14ac:dyDescent="0.35">
      <c r="B1337" s="3" t="str">
        <f t="shared" si="42"/>
        <v>45131304511001592Media Mgmnt &amp;Buy-L422511201931</v>
      </c>
      <c r="C1337" s="8" t="s">
        <v>321</v>
      </c>
      <c r="D1337" s="8" t="s">
        <v>2076</v>
      </c>
      <c r="E1337" s="8" t="s">
        <v>2077</v>
      </c>
      <c r="F1337" s="8" t="s">
        <v>559</v>
      </c>
      <c r="G1337" s="4" t="s">
        <v>2819</v>
      </c>
      <c r="H1337" s="4" t="s">
        <v>2925</v>
      </c>
      <c r="I1337" s="8" t="s">
        <v>151</v>
      </c>
      <c r="J1337" s="8" t="s">
        <v>31</v>
      </c>
      <c r="K1337" s="12">
        <f>_xlfn.XLOOKUP(B1337,[1]Sheet1!$B:$B,[1]Sheet1!$N:$N,0)</f>
        <v>0</v>
      </c>
      <c r="L1337" s="12">
        <f>_xlfn.XLOOKUP(B1337,[1]Sheet1!$B:$B,[1]Sheet1!$O:$O,0)</f>
        <v>0</v>
      </c>
      <c r="M1337" s="12">
        <f>_xlfn.XLOOKUP(B1337,[1]Sheet1!$B:$B,[1]Sheet1!$P:$P,0)</f>
        <v>0</v>
      </c>
      <c r="N1337" s="12">
        <f>_xlfn.XLOOKUP(B1337,[1]Sheet1!$B:$B,[1]Sheet1!$Q:$Q,0)</f>
        <v>0</v>
      </c>
      <c r="O1337" s="12">
        <f>_xlfn.XLOOKUP(B1337,[1]Sheet1!$B:$B,[1]Sheet1!$R:$R,0)</f>
        <v>0</v>
      </c>
      <c r="P1337" s="12">
        <f>_xlfn.XLOOKUP(B1337,[1]Sheet1!$B:$B,[1]Sheet1!$S:$S,0)</f>
        <v>0</v>
      </c>
      <c r="Q1337" s="12">
        <f>_xlfn.XLOOKUP(B1337,[1]Sheet1!$B:$B,[1]Sheet1!$T:$T,0)</f>
        <v>0</v>
      </c>
      <c r="R1337" s="12">
        <f>_xlfn.XLOOKUP(B1337,[1]Sheet1!$B:$B,[1]Sheet1!$U:$U,0)</f>
        <v>0</v>
      </c>
      <c r="S1337" s="12">
        <f>_xlfn.XLOOKUP(B1337,[1]Sheet1!$B:$B,[1]Sheet1!$V:$V,0)</f>
        <v>104307.38001186062</v>
      </c>
      <c r="T1337" s="12">
        <f>_xlfn.XLOOKUP(B1337,[1]Sheet1!$B:$B,[1]Sheet1!$W:$W,0)</f>
        <v>104307.38001186062</v>
      </c>
      <c r="U1337" s="12">
        <f>_xlfn.XLOOKUP(B1337,[1]Sheet1!$B:$B,[1]Sheet1!$X:$X,0)</f>
        <v>104307.38001186062</v>
      </c>
      <c r="V1337" s="12">
        <f>_xlfn.XLOOKUP(B1337,[1]Sheet1!$B:$B,[1]Sheet1!$Y:$Y,0)</f>
        <v>104307.38001186062</v>
      </c>
      <c r="W1337" s="12">
        <f t="shared" si="43"/>
        <v>417229.52004744246</v>
      </c>
      <c r="X1337" s="8" t="s">
        <v>560</v>
      </c>
      <c r="Y1337" s="8" t="s">
        <v>319</v>
      </c>
      <c r="Z1337" s="8" t="s">
        <v>320</v>
      </c>
      <c r="AA1337" s="8" t="s">
        <v>151</v>
      </c>
      <c r="AB1337" s="8" t="s">
        <v>327</v>
      </c>
      <c r="AC1337" s="8" t="s">
        <v>37</v>
      </c>
      <c r="AD1337" s="8" t="s">
        <v>322</v>
      </c>
      <c r="AE1337" s="8" t="s">
        <v>39</v>
      </c>
      <c r="AF1337" s="8" t="s">
        <v>40</v>
      </c>
      <c r="AG1337" s="9">
        <v>417230</v>
      </c>
      <c r="AH1337" s="11">
        <f>_xlfn.XLOOKUP(B1337,[1]Sheet1!$B:$B,[1]Sheet1!$AB:$AB,0)</f>
        <v>417229.52004744246</v>
      </c>
    </row>
    <row r="1338" spans="2:34" ht="16.8" thickTop="1" thickBot="1" x14ac:dyDescent="0.35">
      <c r="B1338" s="3" t="str">
        <f t="shared" si="42"/>
        <v>45131304511001593Media Mgmnt &amp;Buy-L422511201931</v>
      </c>
      <c r="C1338" s="6" t="s">
        <v>321</v>
      </c>
      <c r="D1338" s="6" t="s">
        <v>2078</v>
      </c>
      <c r="E1338" s="6" t="s">
        <v>2079</v>
      </c>
      <c r="F1338" s="6" t="s">
        <v>559</v>
      </c>
      <c r="G1338" s="4" t="s">
        <v>2819</v>
      </c>
      <c r="H1338" s="4" t="s">
        <v>2925</v>
      </c>
      <c r="I1338" s="6" t="s">
        <v>151</v>
      </c>
      <c r="J1338" s="6" t="s">
        <v>31</v>
      </c>
      <c r="K1338" s="12">
        <f>_xlfn.XLOOKUP(B1338,[1]Sheet1!$B:$B,[1]Sheet1!$N:$N,0)</f>
        <v>0</v>
      </c>
      <c r="L1338" s="12">
        <f>_xlfn.XLOOKUP(B1338,[1]Sheet1!$B:$B,[1]Sheet1!$O:$O,0)</f>
        <v>0</v>
      </c>
      <c r="M1338" s="12">
        <f>_xlfn.XLOOKUP(B1338,[1]Sheet1!$B:$B,[1]Sheet1!$P:$P,0)</f>
        <v>0</v>
      </c>
      <c r="N1338" s="12">
        <f>_xlfn.XLOOKUP(B1338,[1]Sheet1!$B:$B,[1]Sheet1!$Q:$Q,0)</f>
        <v>0</v>
      </c>
      <c r="O1338" s="12">
        <f>_xlfn.XLOOKUP(B1338,[1]Sheet1!$B:$B,[1]Sheet1!$R:$R,0)</f>
        <v>0</v>
      </c>
      <c r="P1338" s="12">
        <f>_xlfn.XLOOKUP(B1338,[1]Sheet1!$B:$B,[1]Sheet1!$S:$S,0)</f>
        <v>195733.93607598872</v>
      </c>
      <c r="Q1338" s="12">
        <f>_xlfn.XLOOKUP(B1338,[1]Sheet1!$B:$B,[1]Sheet1!$T:$T,0)</f>
        <v>130489.29071732583</v>
      </c>
      <c r="R1338" s="12">
        <f>_xlfn.XLOOKUP(B1338,[1]Sheet1!$B:$B,[1]Sheet1!$U:$U,0)</f>
        <v>0</v>
      </c>
      <c r="S1338" s="12">
        <f>_xlfn.XLOOKUP(B1338,[1]Sheet1!$B:$B,[1]Sheet1!$V:$V,0)</f>
        <v>0</v>
      </c>
      <c r="T1338" s="12">
        <f>_xlfn.XLOOKUP(B1338,[1]Sheet1!$B:$B,[1]Sheet1!$W:$W,0)</f>
        <v>0</v>
      </c>
      <c r="U1338" s="12">
        <f>_xlfn.XLOOKUP(B1338,[1]Sheet1!$B:$B,[1]Sheet1!$X:$X,0)</f>
        <v>0</v>
      </c>
      <c r="V1338" s="12">
        <f>_xlfn.XLOOKUP(B1338,[1]Sheet1!$B:$B,[1]Sheet1!$Y:$Y,0)</f>
        <v>0</v>
      </c>
      <c r="W1338" s="12">
        <f t="shared" si="43"/>
        <v>326223.22679331456</v>
      </c>
      <c r="X1338" s="6" t="s">
        <v>560</v>
      </c>
      <c r="Y1338" s="6" t="s">
        <v>319</v>
      </c>
      <c r="Z1338" s="6" t="s">
        <v>320</v>
      </c>
      <c r="AA1338" s="6" t="s">
        <v>151</v>
      </c>
      <c r="AB1338" s="6" t="s">
        <v>327</v>
      </c>
      <c r="AC1338" s="6" t="s">
        <v>37</v>
      </c>
      <c r="AD1338" s="6" t="s">
        <v>322</v>
      </c>
      <c r="AE1338" s="6" t="s">
        <v>39</v>
      </c>
      <c r="AF1338" s="6" t="s">
        <v>40</v>
      </c>
      <c r="AG1338" s="7">
        <v>326223</v>
      </c>
      <c r="AH1338" s="11">
        <f>_xlfn.XLOOKUP(B1338,[1]Sheet1!$B:$B,[1]Sheet1!$AB:$AB,0)</f>
        <v>326223.22679331456</v>
      </c>
    </row>
    <row r="1339" spans="2:34" ht="16.8" thickTop="1" thickBot="1" x14ac:dyDescent="0.35">
      <c r="B1339" s="3" t="str">
        <f t="shared" si="42"/>
        <v>45131304511001594Media Mgmnt &amp;Buy-L422511201931</v>
      </c>
      <c r="C1339" s="8" t="s">
        <v>321</v>
      </c>
      <c r="D1339" s="8" t="s">
        <v>2080</v>
      </c>
      <c r="E1339" s="8" t="s">
        <v>2081</v>
      </c>
      <c r="F1339" s="8" t="s">
        <v>559</v>
      </c>
      <c r="G1339" s="4" t="s">
        <v>2819</v>
      </c>
      <c r="H1339" s="4" t="s">
        <v>2925</v>
      </c>
      <c r="I1339" s="8" t="s">
        <v>151</v>
      </c>
      <c r="J1339" s="8" t="s">
        <v>31</v>
      </c>
      <c r="K1339" s="12">
        <f>_xlfn.XLOOKUP(B1339,[1]Sheet1!$B:$B,[1]Sheet1!$N:$N,0)</f>
        <v>0</v>
      </c>
      <c r="L1339" s="12">
        <f>_xlfn.XLOOKUP(B1339,[1]Sheet1!$B:$B,[1]Sheet1!$O:$O,0)</f>
        <v>0</v>
      </c>
      <c r="M1339" s="12">
        <f>_xlfn.XLOOKUP(B1339,[1]Sheet1!$B:$B,[1]Sheet1!$P:$P,0)</f>
        <v>0</v>
      </c>
      <c r="N1339" s="12">
        <f>_xlfn.XLOOKUP(B1339,[1]Sheet1!$B:$B,[1]Sheet1!$Q:$Q,0)</f>
        <v>0</v>
      </c>
      <c r="O1339" s="12">
        <f>_xlfn.XLOOKUP(B1339,[1]Sheet1!$B:$B,[1]Sheet1!$R:$R,0)</f>
        <v>91487.885966511574</v>
      </c>
      <c r="P1339" s="12">
        <f>_xlfn.XLOOKUP(B1339,[1]Sheet1!$B:$B,[1]Sheet1!$S:$S,0)</f>
        <v>21957.109960253169</v>
      </c>
      <c r="Q1339" s="12">
        <f>_xlfn.XLOOKUP(B1339,[1]Sheet1!$B:$B,[1]Sheet1!$T:$T,0)</f>
        <v>21957.109960253169</v>
      </c>
      <c r="R1339" s="12">
        <f>_xlfn.XLOOKUP(B1339,[1]Sheet1!$B:$B,[1]Sheet1!$U:$U,0)</f>
        <v>18297.519432334349</v>
      </c>
      <c r="S1339" s="12">
        <f>_xlfn.XLOOKUP(B1339,[1]Sheet1!$B:$B,[1]Sheet1!$V:$V,0)</f>
        <v>18297.519432334349</v>
      </c>
      <c r="T1339" s="12">
        <f>_xlfn.XLOOKUP(B1339,[1]Sheet1!$B:$B,[1]Sheet1!$W:$W,0)</f>
        <v>18297.519432334349</v>
      </c>
      <c r="U1339" s="12">
        <f>_xlfn.XLOOKUP(B1339,[1]Sheet1!$B:$B,[1]Sheet1!$X:$X,0)</f>
        <v>43914.075518086422</v>
      </c>
      <c r="V1339" s="12">
        <f>_xlfn.XLOOKUP(B1339,[1]Sheet1!$B:$B,[1]Sheet1!$Y:$Y,0)</f>
        <v>43914.075518086422</v>
      </c>
      <c r="W1339" s="12">
        <f t="shared" si="43"/>
        <v>278122.81522019382</v>
      </c>
      <c r="X1339" s="8" t="s">
        <v>560</v>
      </c>
      <c r="Y1339" s="8" t="s">
        <v>319</v>
      </c>
      <c r="Z1339" s="8" t="s">
        <v>320</v>
      </c>
      <c r="AA1339" s="8" t="s">
        <v>151</v>
      </c>
      <c r="AB1339" s="8" t="s">
        <v>327</v>
      </c>
      <c r="AC1339" s="8" t="s">
        <v>37</v>
      </c>
      <c r="AD1339" s="8" t="s">
        <v>322</v>
      </c>
      <c r="AE1339" s="8" t="s">
        <v>39</v>
      </c>
      <c r="AF1339" s="8" t="s">
        <v>40</v>
      </c>
      <c r="AG1339" s="9">
        <v>278123</v>
      </c>
      <c r="AH1339" s="11">
        <f>_xlfn.XLOOKUP(B1339,[1]Sheet1!$B:$B,[1]Sheet1!$AB:$AB,0)</f>
        <v>278122.81522019382</v>
      </c>
    </row>
    <row r="1340" spans="2:34" ht="16.8" thickTop="1" thickBot="1" x14ac:dyDescent="0.35">
      <c r="B1340" s="3" t="str">
        <f t="shared" si="42"/>
        <v>45131304511001595Media Mgmnt &amp;Buy-L422511201931</v>
      </c>
      <c r="C1340" s="6" t="s">
        <v>321</v>
      </c>
      <c r="D1340" s="6" t="s">
        <v>2082</v>
      </c>
      <c r="E1340" s="6" t="s">
        <v>2083</v>
      </c>
      <c r="F1340" s="6" t="s">
        <v>559</v>
      </c>
      <c r="G1340" s="4" t="s">
        <v>2819</v>
      </c>
      <c r="H1340" s="4" t="s">
        <v>2925</v>
      </c>
      <c r="I1340" s="6" t="s">
        <v>151</v>
      </c>
      <c r="J1340" s="6" t="s">
        <v>31</v>
      </c>
      <c r="K1340" s="12">
        <f>_xlfn.XLOOKUP(B1340,[1]Sheet1!$B:$B,[1]Sheet1!$N:$N,0)</f>
        <v>0</v>
      </c>
      <c r="L1340" s="12">
        <f>_xlfn.XLOOKUP(B1340,[1]Sheet1!$B:$B,[1]Sheet1!$O:$O,0)</f>
        <v>0</v>
      </c>
      <c r="M1340" s="12">
        <f>_xlfn.XLOOKUP(B1340,[1]Sheet1!$B:$B,[1]Sheet1!$P:$P,0)</f>
        <v>0</v>
      </c>
      <c r="N1340" s="12">
        <f>_xlfn.XLOOKUP(B1340,[1]Sheet1!$B:$B,[1]Sheet1!$Q:$Q,0)</f>
        <v>0</v>
      </c>
      <c r="O1340" s="12">
        <f>_xlfn.XLOOKUP(B1340,[1]Sheet1!$B:$B,[1]Sheet1!$R:$R,0)</f>
        <v>87852.504611579498</v>
      </c>
      <c r="P1340" s="12">
        <f>_xlfn.XLOOKUP(B1340,[1]Sheet1!$B:$B,[1]Sheet1!$S:$S,0)</f>
        <v>21084.617746508982</v>
      </c>
      <c r="Q1340" s="12">
        <f>_xlfn.XLOOKUP(B1340,[1]Sheet1!$B:$B,[1]Sheet1!$T:$T,0)</f>
        <v>21084.617746508982</v>
      </c>
      <c r="R1340" s="12">
        <f>_xlfn.XLOOKUP(B1340,[1]Sheet1!$B:$B,[1]Sheet1!$U:$U,0)</f>
        <v>17570.445456549576</v>
      </c>
      <c r="S1340" s="12">
        <f>_xlfn.XLOOKUP(B1340,[1]Sheet1!$B:$B,[1]Sheet1!$V:$V,0)</f>
        <v>17570.445456549576</v>
      </c>
      <c r="T1340" s="12">
        <f>_xlfn.XLOOKUP(B1340,[1]Sheet1!$B:$B,[1]Sheet1!$W:$W,0)</f>
        <v>17570.445456549576</v>
      </c>
      <c r="U1340" s="12">
        <f>_xlfn.XLOOKUP(B1340,[1]Sheet1!$B:$B,[1]Sheet1!$X:$X,0)</f>
        <v>42169.096828602153</v>
      </c>
      <c r="V1340" s="12">
        <f>_xlfn.XLOOKUP(B1340,[1]Sheet1!$B:$B,[1]Sheet1!$Y:$Y,0)</f>
        <v>42169.096828602153</v>
      </c>
      <c r="W1340" s="12">
        <f t="shared" si="43"/>
        <v>267071.2701314505</v>
      </c>
      <c r="X1340" s="6" t="s">
        <v>560</v>
      </c>
      <c r="Y1340" s="6" t="s">
        <v>319</v>
      </c>
      <c r="Z1340" s="6" t="s">
        <v>320</v>
      </c>
      <c r="AA1340" s="6" t="s">
        <v>151</v>
      </c>
      <c r="AB1340" s="6" t="s">
        <v>327</v>
      </c>
      <c r="AC1340" s="6" t="s">
        <v>37</v>
      </c>
      <c r="AD1340" s="6" t="s">
        <v>322</v>
      </c>
      <c r="AE1340" s="6" t="s">
        <v>39</v>
      </c>
      <c r="AF1340" s="6" t="s">
        <v>40</v>
      </c>
      <c r="AG1340" s="7">
        <v>267071</v>
      </c>
      <c r="AH1340" s="11">
        <f>_xlfn.XLOOKUP(B1340,[1]Sheet1!$B:$B,[1]Sheet1!$AB:$AB,0)</f>
        <v>267071.2701314505</v>
      </c>
    </row>
    <row r="1341" spans="2:34" ht="16.8" thickTop="1" thickBot="1" x14ac:dyDescent="0.35">
      <c r="B1341" s="3" t="str">
        <f t="shared" si="42"/>
        <v>45131304511001596Media Mgmnt &amp;Buy-L422511201931</v>
      </c>
      <c r="C1341" s="8" t="s">
        <v>321</v>
      </c>
      <c r="D1341" s="8" t="s">
        <v>2084</v>
      </c>
      <c r="E1341" s="8" t="s">
        <v>2085</v>
      </c>
      <c r="F1341" s="8" t="s">
        <v>559</v>
      </c>
      <c r="G1341" s="4" t="s">
        <v>2819</v>
      </c>
      <c r="H1341" s="4" t="s">
        <v>2925</v>
      </c>
      <c r="I1341" s="8" t="s">
        <v>151</v>
      </c>
      <c r="J1341" s="8" t="s">
        <v>31</v>
      </c>
      <c r="K1341" s="12">
        <f>_xlfn.XLOOKUP(B1341,[1]Sheet1!$B:$B,[1]Sheet1!$N:$N,0)</f>
        <v>0</v>
      </c>
      <c r="L1341" s="12">
        <f>_xlfn.XLOOKUP(B1341,[1]Sheet1!$B:$B,[1]Sheet1!$O:$O,0)</f>
        <v>0</v>
      </c>
      <c r="M1341" s="12">
        <f>_xlfn.XLOOKUP(B1341,[1]Sheet1!$B:$B,[1]Sheet1!$P:$P,0)</f>
        <v>0</v>
      </c>
      <c r="N1341" s="12">
        <f>_xlfn.XLOOKUP(B1341,[1]Sheet1!$B:$B,[1]Sheet1!$Q:$Q,0)</f>
        <v>0</v>
      </c>
      <c r="O1341" s="12">
        <f>_xlfn.XLOOKUP(B1341,[1]Sheet1!$B:$B,[1]Sheet1!$R:$R,0)</f>
        <v>0</v>
      </c>
      <c r="P1341" s="12">
        <f>_xlfn.XLOOKUP(B1341,[1]Sheet1!$B:$B,[1]Sheet1!$S:$S,0)</f>
        <v>84849.836868238432</v>
      </c>
      <c r="Q1341" s="12">
        <f>_xlfn.XLOOKUP(B1341,[1]Sheet1!$B:$B,[1]Sheet1!$T:$T,0)</f>
        <v>56566.557912158954</v>
      </c>
      <c r="R1341" s="12">
        <f>_xlfn.XLOOKUP(B1341,[1]Sheet1!$B:$B,[1]Sheet1!$U:$U,0)</f>
        <v>0</v>
      </c>
      <c r="S1341" s="12">
        <f>_xlfn.XLOOKUP(B1341,[1]Sheet1!$B:$B,[1]Sheet1!$V:$V,0)</f>
        <v>0</v>
      </c>
      <c r="T1341" s="12">
        <f>_xlfn.XLOOKUP(B1341,[1]Sheet1!$B:$B,[1]Sheet1!$W:$W,0)</f>
        <v>0</v>
      </c>
      <c r="U1341" s="12">
        <f>_xlfn.XLOOKUP(B1341,[1]Sheet1!$B:$B,[1]Sheet1!$X:$X,0)</f>
        <v>0</v>
      </c>
      <c r="V1341" s="12">
        <f>_xlfn.XLOOKUP(B1341,[1]Sheet1!$B:$B,[1]Sheet1!$Y:$Y,0)</f>
        <v>0</v>
      </c>
      <c r="W1341" s="12">
        <f t="shared" si="43"/>
        <v>141416.39478039739</v>
      </c>
      <c r="X1341" s="8" t="s">
        <v>560</v>
      </c>
      <c r="Y1341" s="8" t="s">
        <v>319</v>
      </c>
      <c r="Z1341" s="8" t="s">
        <v>320</v>
      </c>
      <c r="AA1341" s="8" t="s">
        <v>151</v>
      </c>
      <c r="AB1341" s="8" t="s">
        <v>327</v>
      </c>
      <c r="AC1341" s="8" t="s">
        <v>37</v>
      </c>
      <c r="AD1341" s="8" t="s">
        <v>322</v>
      </c>
      <c r="AE1341" s="8" t="s">
        <v>39</v>
      </c>
      <c r="AF1341" s="8" t="s">
        <v>40</v>
      </c>
      <c r="AG1341" s="9">
        <v>141416</v>
      </c>
      <c r="AH1341" s="11">
        <f>_xlfn.XLOOKUP(B1341,[1]Sheet1!$B:$B,[1]Sheet1!$AB:$AB,0)</f>
        <v>141416.39478039739</v>
      </c>
    </row>
    <row r="1342" spans="2:34" ht="16.8" thickTop="1" thickBot="1" x14ac:dyDescent="0.35">
      <c r="B1342" s="3" t="str">
        <f t="shared" si="42"/>
        <v>45131304511001597Media Mgmnt &amp;Buy-L422511201931</v>
      </c>
      <c r="C1342" s="6" t="s">
        <v>321</v>
      </c>
      <c r="D1342" s="6" t="s">
        <v>2086</v>
      </c>
      <c r="E1342" s="6" t="s">
        <v>2087</v>
      </c>
      <c r="F1342" s="6" t="s">
        <v>559</v>
      </c>
      <c r="G1342" s="4" t="s">
        <v>2819</v>
      </c>
      <c r="H1342" s="4" t="s">
        <v>2925</v>
      </c>
      <c r="I1342" s="6" t="s">
        <v>151</v>
      </c>
      <c r="J1342" s="6" t="s">
        <v>31</v>
      </c>
      <c r="K1342" s="12">
        <f>_xlfn.XLOOKUP(B1342,[1]Sheet1!$B:$B,[1]Sheet1!$N:$N,0)</f>
        <v>0</v>
      </c>
      <c r="L1342" s="12">
        <f>_xlfn.XLOOKUP(B1342,[1]Sheet1!$B:$B,[1]Sheet1!$O:$O,0)</f>
        <v>0</v>
      </c>
      <c r="M1342" s="12">
        <f>_xlfn.XLOOKUP(B1342,[1]Sheet1!$B:$B,[1]Sheet1!$P:$P,0)</f>
        <v>0</v>
      </c>
      <c r="N1342" s="12">
        <f>_xlfn.XLOOKUP(B1342,[1]Sheet1!$B:$B,[1]Sheet1!$Q:$Q,0)</f>
        <v>0</v>
      </c>
      <c r="O1342" s="12">
        <f>_xlfn.XLOOKUP(B1342,[1]Sheet1!$B:$B,[1]Sheet1!$R:$R,0)</f>
        <v>120560.75772796407</v>
      </c>
      <c r="P1342" s="12">
        <f>_xlfn.XLOOKUP(B1342,[1]Sheet1!$B:$B,[1]Sheet1!$S:$S,0)</f>
        <v>0</v>
      </c>
      <c r="Q1342" s="12">
        <f>_xlfn.XLOOKUP(B1342,[1]Sheet1!$B:$B,[1]Sheet1!$T:$T,0)</f>
        <v>0</v>
      </c>
      <c r="R1342" s="12">
        <f>_xlfn.XLOOKUP(B1342,[1]Sheet1!$B:$B,[1]Sheet1!$U:$U,0)</f>
        <v>0</v>
      </c>
      <c r="S1342" s="12">
        <f>_xlfn.XLOOKUP(B1342,[1]Sheet1!$B:$B,[1]Sheet1!$V:$V,0)</f>
        <v>0</v>
      </c>
      <c r="T1342" s="12">
        <f>_xlfn.XLOOKUP(B1342,[1]Sheet1!$B:$B,[1]Sheet1!$W:$W,0)</f>
        <v>0</v>
      </c>
      <c r="U1342" s="12">
        <f>_xlfn.XLOOKUP(B1342,[1]Sheet1!$B:$B,[1]Sheet1!$X:$X,0)</f>
        <v>0</v>
      </c>
      <c r="V1342" s="12">
        <f>_xlfn.XLOOKUP(B1342,[1]Sheet1!$B:$B,[1]Sheet1!$Y:$Y,0)</f>
        <v>0</v>
      </c>
      <c r="W1342" s="12">
        <f t="shared" si="43"/>
        <v>120560.75772796407</v>
      </c>
      <c r="X1342" s="6" t="s">
        <v>560</v>
      </c>
      <c r="Y1342" s="6" t="s">
        <v>319</v>
      </c>
      <c r="Z1342" s="6" t="s">
        <v>320</v>
      </c>
      <c r="AA1342" s="6" t="s">
        <v>151</v>
      </c>
      <c r="AB1342" s="6" t="s">
        <v>327</v>
      </c>
      <c r="AC1342" s="6" t="s">
        <v>37</v>
      </c>
      <c r="AD1342" s="6" t="s">
        <v>322</v>
      </c>
      <c r="AE1342" s="6" t="s">
        <v>39</v>
      </c>
      <c r="AF1342" s="6" t="s">
        <v>40</v>
      </c>
      <c r="AG1342" s="7">
        <v>120561</v>
      </c>
      <c r="AH1342" s="11">
        <f>_xlfn.XLOOKUP(B1342,[1]Sheet1!$B:$B,[1]Sheet1!$AB:$AB,0)</f>
        <v>120560.75772796407</v>
      </c>
    </row>
    <row r="1343" spans="2:34" ht="16.8" thickTop="1" thickBot="1" x14ac:dyDescent="0.35">
      <c r="B1343" s="3" t="str">
        <f t="shared" si="42"/>
        <v>45131304511001598Media Mgmnt &amp;Buy-L422511201931</v>
      </c>
      <c r="C1343" s="8" t="s">
        <v>321</v>
      </c>
      <c r="D1343" s="8" t="s">
        <v>2088</v>
      </c>
      <c r="E1343" s="8" t="s">
        <v>2089</v>
      </c>
      <c r="F1343" s="8" t="s">
        <v>559</v>
      </c>
      <c r="G1343" s="4" t="s">
        <v>2819</v>
      </c>
      <c r="H1343" s="4" t="s">
        <v>2925</v>
      </c>
      <c r="I1343" s="8" t="s">
        <v>151</v>
      </c>
      <c r="J1343" s="8" t="s">
        <v>31</v>
      </c>
      <c r="K1343" s="12">
        <f>_xlfn.XLOOKUP(B1343,[1]Sheet1!$B:$B,[1]Sheet1!$N:$N,0)</f>
        <v>0</v>
      </c>
      <c r="L1343" s="12">
        <f>_xlfn.XLOOKUP(B1343,[1]Sheet1!$B:$B,[1]Sheet1!$O:$O,0)</f>
        <v>0</v>
      </c>
      <c r="M1343" s="12">
        <f>_xlfn.XLOOKUP(B1343,[1]Sheet1!$B:$B,[1]Sheet1!$P:$P,0)</f>
        <v>0</v>
      </c>
      <c r="N1343" s="12">
        <f>_xlfn.XLOOKUP(B1343,[1]Sheet1!$B:$B,[1]Sheet1!$Q:$Q,0)</f>
        <v>0</v>
      </c>
      <c r="O1343" s="12">
        <f>_xlfn.XLOOKUP(B1343,[1]Sheet1!$B:$B,[1]Sheet1!$R:$R,0)</f>
        <v>52262.580679712075</v>
      </c>
      <c r="P1343" s="12">
        <f>_xlfn.XLOOKUP(B1343,[1]Sheet1!$B:$B,[1]Sheet1!$S:$S,0)</f>
        <v>0</v>
      </c>
      <c r="Q1343" s="12">
        <f>_xlfn.XLOOKUP(B1343,[1]Sheet1!$B:$B,[1]Sheet1!$T:$T,0)</f>
        <v>0</v>
      </c>
      <c r="R1343" s="12">
        <f>_xlfn.XLOOKUP(B1343,[1]Sheet1!$B:$B,[1]Sheet1!$U:$U,0)</f>
        <v>0</v>
      </c>
      <c r="S1343" s="12">
        <f>_xlfn.XLOOKUP(B1343,[1]Sheet1!$B:$B,[1]Sheet1!$V:$V,0)</f>
        <v>0</v>
      </c>
      <c r="T1343" s="12">
        <f>_xlfn.XLOOKUP(B1343,[1]Sheet1!$B:$B,[1]Sheet1!$W:$W,0)</f>
        <v>0</v>
      </c>
      <c r="U1343" s="12">
        <f>_xlfn.XLOOKUP(B1343,[1]Sheet1!$B:$B,[1]Sheet1!$X:$X,0)</f>
        <v>0</v>
      </c>
      <c r="V1343" s="12">
        <f>_xlfn.XLOOKUP(B1343,[1]Sheet1!$B:$B,[1]Sheet1!$Y:$Y,0)</f>
        <v>0</v>
      </c>
      <c r="W1343" s="12">
        <f t="shared" si="43"/>
        <v>52262.580679712075</v>
      </c>
      <c r="X1343" s="8" t="s">
        <v>560</v>
      </c>
      <c r="Y1343" s="8" t="s">
        <v>319</v>
      </c>
      <c r="Z1343" s="8" t="s">
        <v>320</v>
      </c>
      <c r="AA1343" s="8" t="s">
        <v>151</v>
      </c>
      <c r="AB1343" s="8" t="s">
        <v>327</v>
      </c>
      <c r="AC1343" s="8" t="s">
        <v>37</v>
      </c>
      <c r="AD1343" s="8" t="s">
        <v>322</v>
      </c>
      <c r="AE1343" s="8" t="s">
        <v>39</v>
      </c>
      <c r="AF1343" s="8" t="s">
        <v>40</v>
      </c>
      <c r="AG1343" s="9">
        <v>52263</v>
      </c>
      <c r="AH1343" s="11">
        <f>_xlfn.XLOOKUP(B1343,[1]Sheet1!$B:$B,[1]Sheet1!$AB:$AB,0)</f>
        <v>52262.580679712075</v>
      </c>
    </row>
    <row r="1344" spans="2:34" ht="16.8" thickTop="1" thickBot="1" x14ac:dyDescent="0.35">
      <c r="B1344" s="3" t="str">
        <f t="shared" si="42"/>
        <v>45131404511001599CampaignProductn-l422511201931</v>
      </c>
      <c r="C1344" s="6" t="s">
        <v>335</v>
      </c>
      <c r="D1344" s="6" t="s">
        <v>2090</v>
      </c>
      <c r="E1344" s="6" t="s">
        <v>2091</v>
      </c>
      <c r="F1344" s="6" t="s">
        <v>2017</v>
      </c>
      <c r="G1344" s="4" t="s">
        <v>2819</v>
      </c>
      <c r="H1344" s="4" t="s">
        <v>2925</v>
      </c>
      <c r="I1344" s="6" t="s">
        <v>151</v>
      </c>
      <c r="J1344" s="6" t="s">
        <v>31</v>
      </c>
      <c r="K1344" s="12">
        <f>_xlfn.XLOOKUP(B1344,[1]Sheet1!$B:$B,[1]Sheet1!$N:$N,0)</f>
        <v>0</v>
      </c>
      <c r="L1344" s="12">
        <f>_xlfn.XLOOKUP(B1344,[1]Sheet1!$B:$B,[1]Sheet1!$O:$O,0)</f>
        <v>0</v>
      </c>
      <c r="M1344" s="12">
        <f>_xlfn.XLOOKUP(B1344,[1]Sheet1!$B:$B,[1]Sheet1!$P:$P,0)</f>
        <v>0</v>
      </c>
      <c r="N1344" s="12">
        <f>_xlfn.XLOOKUP(B1344,[1]Sheet1!$B:$B,[1]Sheet1!$Q:$Q,0)</f>
        <v>0</v>
      </c>
      <c r="O1344" s="12">
        <f>_xlfn.XLOOKUP(B1344,[1]Sheet1!$B:$B,[1]Sheet1!$R:$R,0)</f>
        <v>0</v>
      </c>
      <c r="P1344" s="12">
        <f>_xlfn.XLOOKUP(B1344,[1]Sheet1!$B:$B,[1]Sheet1!$S:$S,0)</f>
        <v>0</v>
      </c>
      <c r="Q1344" s="12">
        <f>_xlfn.XLOOKUP(B1344,[1]Sheet1!$B:$B,[1]Sheet1!$T:$T,0)</f>
        <v>0</v>
      </c>
      <c r="R1344" s="12">
        <f>_xlfn.XLOOKUP(B1344,[1]Sheet1!$B:$B,[1]Sheet1!$U:$U,0)</f>
        <v>0</v>
      </c>
      <c r="S1344" s="12">
        <f>_xlfn.XLOOKUP(B1344,[1]Sheet1!$B:$B,[1]Sheet1!$V:$V,0)</f>
        <v>0</v>
      </c>
      <c r="T1344" s="12">
        <f>_xlfn.XLOOKUP(B1344,[1]Sheet1!$B:$B,[1]Sheet1!$W:$W,0)</f>
        <v>0</v>
      </c>
      <c r="U1344" s="12">
        <f>_xlfn.XLOOKUP(B1344,[1]Sheet1!$B:$B,[1]Sheet1!$X:$X,0)</f>
        <v>0</v>
      </c>
      <c r="V1344" s="12">
        <f>_xlfn.XLOOKUP(B1344,[1]Sheet1!$B:$B,[1]Sheet1!$Y:$Y,0)</f>
        <v>5500000</v>
      </c>
      <c r="W1344" s="12">
        <f t="shared" si="43"/>
        <v>5500000</v>
      </c>
      <c r="X1344" s="6" t="s">
        <v>1764</v>
      </c>
      <c r="Y1344" s="6" t="s">
        <v>319</v>
      </c>
      <c r="Z1344" s="6" t="s">
        <v>334</v>
      </c>
      <c r="AA1344" s="6" t="s">
        <v>151</v>
      </c>
      <c r="AB1344" s="6" t="s">
        <v>327</v>
      </c>
      <c r="AC1344" s="6" t="s">
        <v>37</v>
      </c>
      <c r="AD1344" s="6" t="s">
        <v>322</v>
      </c>
      <c r="AE1344" s="6" t="s">
        <v>39</v>
      </c>
      <c r="AF1344" s="6" t="s">
        <v>40</v>
      </c>
      <c r="AG1344" s="7">
        <v>5500000</v>
      </c>
      <c r="AH1344" s="11">
        <f>_xlfn.XLOOKUP(B1344,[1]Sheet1!$B:$B,[1]Sheet1!$AB:$AB,0)</f>
        <v>5500000</v>
      </c>
    </row>
    <row r="1345" spans="2:34" ht="16.8" thickTop="1" thickBot="1" x14ac:dyDescent="0.35">
      <c r="B1345" s="3" t="str">
        <f t="shared" si="42"/>
        <v>45131304511001599Talent Fees-N422511200104</v>
      </c>
      <c r="C1345" s="8" t="s">
        <v>321</v>
      </c>
      <c r="D1345" s="8" t="s">
        <v>2090</v>
      </c>
      <c r="E1345" s="8" t="s">
        <v>2091</v>
      </c>
      <c r="F1345" s="8" t="s">
        <v>262</v>
      </c>
      <c r="G1345" s="4" t="s">
        <v>2819</v>
      </c>
      <c r="H1345" s="4" t="s">
        <v>2922</v>
      </c>
      <c r="I1345" s="8" t="s">
        <v>151</v>
      </c>
      <c r="J1345" s="8" t="s">
        <v>31</v>
      </c>
      <c r="K1345" s="12">
        <f>_xlfn.XLOOKUP(B1345,[1]Sheet1!$B:$B,[1]Sheet1!$N:$N,0)</f>
        <v>0</v>
      </c>
      <c r="L1345" s="12">
        <f>_xlfn.XLOOKUP(B1345,[1]Sheet1!$B:$B,[1]Sheet1!$O:$O,0)</f>
        <v>0</v>
      </c>
      <c r="M1345" s="12">
        <f>_xlfn.XLOOKUP(B1345,[1]Sheet1!$B:$B,[1]Sheet1!$P:$P,0)</f>
        <v>0</v>
      </c>
      <c r="N1345" s="12">
        <f>_xlfn.XLOOKUP(B1345,[1]Sheet1!$B:$B,[1]Sheet1!$Q:$Q,0)</f>
        <v>1339550</v>
      </c>
      <c r="O1345" s="12">
        <f>_xlfn.XLOOKUP(B1345,[1]Sheet1!$B:$B,[1]Sheet1!$R:$R,0)</f>
        <v>0</v>
      </c>
      <c r="P1345" s="12">
        <f>_xlfn.XLOOKUP(B1345,[1]Sheet1!$B:$B,[1]Sheet1!$S:$S,0)</f>
        <v>0</v>
      </c>
      <c r="Q1345" s="12">
        <f>_xlfn.XLOOKUP(B1345,[1]Sheet1!$B:$B,[1]Sheet1!$T:$T,0)</f>
        <v>0</v>
      </c>
      <c r="R1345" s="12">
        <f>_xlfn.XLOOKUP(B1345,[1]Sheet1!$B:$B,[1]Sheet1!$U:$U,0)</f>
        <v>0</v>
      </c>
      <c r="S1345" s="12">
        <f>_xlfn.XLOOKUP(B1345,[1]Sheet1!$B:$B,[1]Sheet1!$V:$V,0)</f>
        <v>0</v>
      </c>
      <c r="T1345" s="12">
        <f>_xlfn.XLOOKUP(B1345,[1]Sheet1!$B:$B,[1]Sheet1!$W:$W,0)</f>
        <v>0</v>
      </c>
      <c r="U1345" s="12">
        <f>_xlfn.XLOOKUP(B1345,[1]Sheet1!$B:$B,[1]Sheet1!$X:$X,0)</f>
        <v>8037300</v>
      </c>
      <c r="V1345" s="12">
        <f>_xlfn.XLOOKUP(B1345,[1]Sheet1!$B:$B,[1]Sheet1!$Y:$Y,0)</f>
        <v>4018650</v>
      </c>
      <c r="W1345" s="12">
        <f t="shared" si="43"/>
        <v>13395500</v>
      </c>
      <c r="X1345" s="8" t="s">
        <v>1589</v>
      </c>
      <c r="Y1345" s="8" t="s">
        <v>319</v>
      </c>
      <c r="Z1345" s="8" t="s">
        <v>320</v>
      </c>
      <c r="AA1345" s="8" t="s">
        <v>151</v>
      </c>
      <c r="AB1345" s="8" t="s">
        <v>36</v>
      </c>
      <c r="AC1345" s="8" t="s">
        <v>37</v>
      </c>
      <c r="AD1345" s="8" t="s">
        <v>322</v>
      </c>
      <c r="AE1345" s="8" t="s">
        <v>39</v>
      </c>
      <c r="AF1345" s="8" t="s">
        <v>40</v>
      </c>
      <c r="AG1345" s="9">
        <v>13395500</v>
      </c>
      <c r="AH1345" s="11">
        <f>_xlfn.XLOOKUP(B1345,[1]Sheet1!$B:$B,[1]Sheet1!$AB:$AB,0)</f>
        <v>13395500</v>
      </c>
    </row>
    <row r="1346" spans="2:34" ht="16.8" thickTop="1" thickBot="1" x14ac:dyDescent="0.35">
      <c r="B1346" s="3" t="str">
        <f t="shared" si="42"/>
        <v>45131404511001600CampaignProductn-l422511201931</v>
      </c>
      <c r="C1346" s="6" t="s">
        <v>335</v>
      </c>
      <c r="D1346" s="6" t="s">
        <v>2092</v>
      </c>
      <c r="E1346" s="6" t="s">
        <v>2093</v>
      </c>
      <c r="F1346" s="6" t="s">
        <v>2017</v>
      </c>
      <c r="G1346" s="4" t="s">
        <v>2819</v>
      </c>
      <c r="H1346" s="4" t="s">
        <v>2925</v>
      </c>
      <c r="I1346" s="6" t="s">
        <v>151</v>
      </c>
      <c r="J1346" s="6" t="s">
        <v>31</v>
      </c>
      <c r="K1346" s="12">
        <f>_xlfn.XLOOKUP(B1346,[1]Sheet1!$B:$B,[1]Sheet1!$N:$N,0)</f>
        <v>0</v>
      </c>
      <c r="L1346" s="12">
        <f>_xlfn.XLOOKUP(B1346,[1]Sheet1!$B:$B,[1]Sheet1!$O:$O,0)</f>
        <v>0</v>
      </c>
      <c r="M1346" s="12">
        <f>_xlfn.XLOOKUP(B1346,[1]Sheet1!$B:$B,[1]Sheet1!$P:$P,0)</f>
        <v>0</v>
      </c>
      <c r="N1346" s="12">
        <f>_xlfn.XLOOKUP(B1346,[1]Sheet1!$B:$B,[1]Sheet1!$Q:$Q,0)</f>
        <v>0</v>
      </c>
      <c r="O1346" s="12">
        <f>_xlfn.XLOOKUP(B1346,[1]Sheet1!$B:$B,[1]Sheet1!$R:$R,0)</f>
        <v>0</v>
      </c>
      <c r="P1346" s="12">
        <f>_xlfn.XLOOKUP(B1346,[1]Sheet1!$B:$B,[1]Sheet1!$S:$S,0)</f>
        <v>0</v>
      </c>
      <c r="Q1346" s="12">
        <f>_xlfn.XLOOKUP(B1346,[1]Sheet1!$B:$B,[1]Sheet1!$T:$T,0)</f>
        <v>0</v>
      </c>
      <c r="R1346" s="12">
        <f>_xlfn.XLOOKUP(B1346,[1]Sheet1!$B:$B,[1]Sheet1!$U:$U,0)</f>
        <v>0</v>
      </c>
      <c r="S1346" s="12">
        <f>_xlfn.XLOOKUP(B1346,[1]Sheet1!$B:$B,[1]Sheet1!$V:$V,0)</f>
        <v>0</v>
      </c>
      <c r="T1346" s="12">
        <f>_xlfn.XLOOKUP(B1346,[1]Sheet1!$B:$B,[1]Sheet1!$W:$W,0)</f>
        <v>0</v>
      </c>
      <c r="U1346" s="12">
        <f>_xlfn.XLOOKUP(B1346,[1]Sheet1!$B:$B,[1]Sheet1!$X:$X,0)</f>
        <v>7868506</v>
      </c>
      <c r="V1346" s="12">
        <f>_xlfn.XLOOKUP(B1346,[1]Sheet1!$B:$B,[1]Sheet1!$Y:$Y,0)</f>
        <v>0</v>
      </c>
      <c r="W1346" s="12">
        <f t="shared" si="43"/>
        <v>7868506</v>
      </c>
      <c r="X1346" s="6" t="s">
        <v>1764</v>
      </c>
      <c r="Y1346" s="6" t="s">
        <v>319</v>
      </c>
      <c r="Z1346" s="6" t="s">
        <v>334</v>
      </c>
      <c r="AA1346" s="6" t="s">
        <v>151</v>
      </c>
      <c r="AB1346" s="6" t="s">
        <v>327</v>
      </c>
      <c r="AC1346" s="6" t="s">
        <v>37</v>
      </c>
      <c r="AD1346" s="6" t="s">
        <v>322</v>
      </c>
      <c r="AE1346" s="6" t="s">
        <v>39</v>
      </c>
      <c r="AF1346" s="6" t="s">
        <v>40</v>
      </c>
      <c r="AG1346" s="7">
        <v>9918506</v>
      </c>
      <c r="AH1346" s="11">
        <f>_xlfn.XLOOKUP(B1346,[1]Sheet1!$B:$B,[1]Sheet1!$AB:$AB,0)</f>
        <v>9918506</v>
      </c>
    </row>
    <row r="1347" spans="2:34" ht="16.8" thickTop="1" thickBot="1" x14ac:dyDescent="0.35">
      <c r="B1347" s="3" t="str">
        <f t="shared" si="42"/>
        <v>45131404511001601CampaignProductn-l422511201931</v>
      </c>
      <c r="C1347" s="8" t="s">
        <v>335</v>
      </c>
      <c r="D1347" s="8" t="s">
        <v>2094</v>
      </c>
      <c r="E1347" s="8" t="s">
        <v>2095</v>
      </c>
      <c r="F1347" s="8" t="s">
        <v>2017</v>
      </c>
      <c r="G1347" s="4" t="s">
        <v>2819</v>
      </c>
      <c r="H1347" s="4" t="s">
        <v>2925</v>
      </c>
      <c r="I1347" s="8" t="s">
        <v>151</v>
      </c>
      <c r="J1347" s="8" t="s">
        <v>31</v>
      </c>
      <c r="K1347" s="12">
        <f>_xlfn.XLOOKUP(B1347,[1]Sheet1!$B:$B,[1]Sheet1!$N:$N,0)</f>
        <v>0</v>
      </c>
      <c r="L1347" s="12">
        <f>_xlfn.XLOOKUP(B1347,[1]Sheet1!$B:$B,[1]Sheet1!$O:$O,0)</f>
        <v>0</v>
      </c>
      <c r="M1347" s="12">
        <f>_xlfn.XLOOKUP(B1347,[1]Sheet1!$B:$B,[1]Sheet1!$P:$P,0)</f>
        <v>0</v>
      </c>
      <c r="N1347" s="12">
        <f>_xlfn.XLOOKUP(B1347,[1]Sheet1!$B:$B,[1]Sheet1!$Q:$Q,0)</f>
        <v>0</v>
      </c>
      <c r="O1347" s="12">
        <f>_xlfn.XLOOKUP(B1347,[1]Sheet1!$B:$B,[1]Sheet1!$R:$R,0)</f>
        <v>0</v>
      </c>
      <c r="P1347" s="12">
        <f>_xlfn.XLOOKUP(B1347,[1]Sheet1!$B:$B,[1]Sheet1!$S:$S,0)</f>
        <v>0</v>
      </c>
      <c r="Q1347" s="12">
        <f>_xlfn.XLOOKUP(B1347,[1]Sheet1!$B:$B,[1]Sheet1!$T:$T,0)</f>
        <v>1853920</v>
      </c>
      <c r="R1347" s="12">
        <f>_xlfn.XLOOKUP(B1347,[1]Sheet1!$B:$B,[1]Sheet1!$U:$U,0)</f>
        <v>0</v>
      </c>
      <c r="S1347" s="12">
        <f>_xlfn.XLOOKUP(B1347,[1]Sheet1!$B:$B,[1]Sheet1!$V:$V,0)</f>
        <v>0</v>
      </c>
      <c r="T1347" s="12">
        <f>_xlfn.XLOOKUP(B1347,[1]Sheet1!$B:$B,[1]Sheet1!$W:$W,0)</f>
        <v>0</v>
      </c>
      <c r="U1347" s="12">
        <f>_xlfn.XLOOKUP(B1347,[1]Sheet1!$B:$B,[1]Sheet1!$X:$X,0)</f>
        <v>0</v>
      </c>
      <c r="V1347" s="12">
        <f>_xlfn.XLOOKUP(B1347,[1]Sheet1!$B:$B,[1]Sheet1!$Y:$Y,0)</f>
        <v>0</v>
      </c>
      <c r="W1347" s="12">
        <f t="shared" si="43"/>
        <v>1853920</v>
      </c>
      <c r="X1347" s="8" t="s">
        <v>1764</v>
      </c>
      <c r="Y1347" s="8" t="s">
        <v>319</v>
      </c>
      <c r="Z1347" s="8" t="s">
        <v>334</v>
      </c>
      <c r="AA1347" s="8" t="s">
        <v>151</v>
      </c>
      <c r="AB1347" s="8" t="s">
        <v>327</v>
      </c>
      <c r="AC1347" s="8" t="s">
        <v>37</v>
      </c>
      <c r="AD1347" s="8" t="s">
        <v>322</v>
      </c>
      <c r="AE1347" s="8" t="s">
        <v>39</v>
      </c>
      <c r="AF1347" s="8" t="s">
        <v>40</v>
      </c>
      <c r="AG1347" s="9">
        <v>1853920</v>
      </c>
      <c r="AH1347" s="11">
        <f>_xlfn.XLOOKUP(B1347,[1]Sheet1!$B:$B,[1]Sheet1!$AB:$AB,0)</f>
        <v>1853920</v>
      </c>
    </row>
    <row r="1348" spans="2:34" ht="16.8" thickTop="1" thickBot="1" x14ac:dyDescent="0.35">
      <c r="B1348" s="3" t="str">
        <f t="shared" ref="B1348:B1411" si="44">C1348&amp;D1348&amp;F1348&amp;G1348&amp;H1348</f>
        <v>45131404511001602Sponsorship Fees-L424811201931</v>
      </c>
      <c r="C1348" s="6" t="s">
        <v>335</v>
      </c>
      <c r="D1348" s="6" t="s">
        <v>2096</v>
      </c>
      <c r="E1348" s="6" t="s">
        <v>2097</v>
      </c>
      <c r="F1348" s="6" t="s">
        <v>935</v>
      </c>
      <c r="G1348" s="4" t="s">
        <v>2802</v>
      </c>
      <c r="H1348" s="4" t="s">
        <v>2925</v>
      </c>
      <c r="I1348" s="6" t="s">
        <v>30</v>
      </c>
      <c r="J1348" s="6" t="s">
        <v>31</v>
      </c>
      <c r="K1348" s="12">
        <f>_xlfn.XLOOKUP(B1348,[1]Sheet1!$B:$B,[1]Sheet1!$N:$N,0)</f>
        <v>0</v>
      </c>
      <c r="L1348" s="12">
        <f>_xlfn.XLOOKUP(B1348,[1]Sheet1!$B:$B,[1]Sheet1!$O:$O,0)</f>
        <v>0</v>
      </c>
      <c r="M1348" s="12">
        <f>_xlfn.XLOOKUP(B1348,[1]Sheet1!$B:$B,[1]Sheet1!$P:$P,0)</f>
        <v>0</v>
      </c>
      <c r="N1348" s="12">
        <f>_xlfn.XLOOKUP(B1348,[1]Sheet1!$B:$B,[1]Sheet1!$Q:$Q,0)</f>
        <v>0</v>
      </c>
      <c r="O1348" s="12">
        <f>_xlfn.XLOOKUP(B1348,[1]Sheet1!$B:$B,[1]Sheet1!$R:$R,0)</f>
        <v>0</v>
      </c>
      <c r="P1348" s="12">
        <f>_xlfn.XLOOKUP(B1348,[1]Sheet1!$B:$B,[1]Sheet1!$S:$S,0)</f>
        <v>0</v>
      </c>
      <c r="Q1348" s="12">
        <f>_xlfn.XLOOKUP(B1348,[1]Sheet1!$B:$B,[1]Sheet1!$T:$T,0)</f>
        <v>0</v>
      </c>
      <c r="R1348" s="12">
        <f>_xlfn.XLOOKUP(B1348,[1]Sheet1!$B:$B,[1]Sheet1!$U:$U,0)</f>
        <v>0</v>
      </c>
      <c r="S1348" s="12">
        <f>_xlfn.XLOOKUP(B1348,[1]Sheet1!$B:$B,[1]Sheet1!$V:$V,0)</f>
        <v>0</v>
      </c>
      <c r="T1348" s="12">
        <f>_xlfn.XLOOKUP(B1348,[1]Sheet1!$B:$B,[1]Sheet1!$W:$W,0)</f>
        <v>0</v>
      </c>
      <c r="U1348" s="12">
        <f>_xlfn.XLOOKUP(B1348,[1]Sheet1!$B:$B,[1]Sheet1!$X:$X,0)</f>
        <v>850000</v>
      </c>
      <c r="V1348" s="12">
        <f>_xlfn.XLOOKUP(B1348,[1]Sheet1!$B:$B,[1]Sheet1!$Y:$Y,0)</f>
        <v>0</v>
      </c>
      <c r="W1348" s="12">
        <f t="shared" ref="W1348:W1411" si="45">SUM(K1348:V1348)</f>
        <v>850000</v>
      </c>
      <c r="X1348" s="6" t="s">
        <v>2098</v>
      </c>
      <c r="Y1348" s="6" t="s">
        <v>319</v>
      </c>
      <c r="Z1348" s="6" t="s">
        <v>334</v>
      </c>
      <c r="AA1348" s="6" t="s">
        <v>30</v>
      </c>
      <c r="AB1348" s="6" t="s">
        <v>327</v>
      </c>
      <c r="AC1348" s="6" t="s">
        <v>37</v>
      </c>
      <c r="AD1348" s="6" t="s">
        <v>322</v>
      </c>
      <c r="AE1348" s="6" t="s">
        <v>39</v>
      </c>
      <c r="AF1348" s="6" t="s">
        <v>40</v>
      </c>
      <c r="AG1348" s="7">
        <v>874000</v>
      </c>
      <c r="AH1348" s="11">
        <f>_xlfn.XLOOKUP(B1348,[1]Sheet1!$B:$B,[1]Sheet1!$AB:$AB,0)</f>
        <v>874000</v>
      </c>
    </row>
    <row r="1349" spans="2:34" ht="16.8" thickTop="1" thickBot="1" x14ac:dyDescent="0.35">
      <c r="B1349" s="3" t="str">
        <f t="shared" si="44"/>
        <v>45102504511001604Systems Develop-N425301200104</v>
      </c>
      <c r="C1349" s="8" t="s">
        <v>480</v>
      </c>
      <c r="D1349" s="8" t="s">
        <v>2099</v>
      </c>
      <c r="E1349" s="8" t="s">
        <v>2100</v>
      </c>
      <c r="F1349" s="8" t="s">
        <v>1068</v>
      </c>
      <c r="G1349" s="4" t="s">
        <v>2864</v>
      </c>
      <c r="H1349" s="4" t="s">
        <v>2922</v>
      </c>
      <c r="I1349" s="8" t="s">
        <v>1027</v>
      </c>
      <c r="J1349" s="8" t="s">
        <v>31</v>
      </c>
      <c r="K1349" s="12">
        <f>_xlfn.XLOOKUP(B1349,[1]Sheet1!$B:$B,[1]Sheet1!$N:$N,0)</f>
        <v>0</v>
      </c>
      <c r="L1349" s="12">
        <f>_xlfn.XLOOKUP(B1349,[1]Sheet1!$B:$B,[1]Sheet1!$O:$O,0)</f>
        <v>0</v>
      </c>
      <c r="M1349" s="12">
        <f>_xlfn.XLOOKUP(B1349,[1]Sheet1!$B:$B,[1]Sheet1!$P:$P,0)</f>
        <v>0</v>
      </c>
      <c r="N1349" s="12">
        <f>_xlfn.XLOOKUP(B1349,[1]Sheet1!$B:$B,[1]Sheet1!$Q:$Q,0)</f>
        <v>0</v>
      </c>
      <c r="O1349" s="12">
        <f>_xlfn.XLOOKUP(B1349,[1]Sheet1!$B:$B,[1]Sheet1!$R:$R,0)</f>
        <v>0</v>
      </c>
      <c r="P1349" s="12">
        <f>_xlfn.XLOOKUP(B1349,[1]Sheet1!$B:$B,[1]Sheet1!$S:$S,0)</f>
        <v>0</v>
      </c>
      <c r="Q1349" s="12">
        <f>_xlfn.XLOOKUP(B1349,[1]Sheet1!$B:$B,[1]Sheet1!$T:$T,0)</f>
        <v>0</v>
      </c>
      <c r="R1349" s="12">
        <f>_xlfn.XLOOKUP(B1349,[1]Sheet1!$B:$B,[1]Sheet1!$U:$U,0)</f>
        <v>0</v>
      </c>
      <c r="S1349" s="12">
        <f>_xlfn.XLOOKUP(B1349,[1]Sheet1!$B:$B,[1]Sheet1!$V:$V,0)</f>
        <v>500000</v>
      </c>
      <c r="T1349" s="12">
        <f>_xlfn.XLOOKUP(B1349,[1]Sheet1!$B:$B,[1]Sheet1!$W:$W,0)</f>
        <v>500000</v>
      </c>
      <c r="U1349" s="12">
        <f>_xlfn.XLOOKUP(B1349,[1]Sheet1!$B:$B,[1]Sheet1!$X:$X,0)</f>
        <v>500000</v>
      </c>
      <c r="V1349" s="12">
        <f>_xlfn.XLOOKUP(B1349,[1]Sheet1!$B:$B,[1]Sheet1!$Y:$Y,0)</f>
        <v>500000</v>
      </c>
      <c r="W1349" s="12">
        <f t="shared" si="45"/>
        <v>2000000</v>
      </c>
      <c r="X1349" s="8" t="s">
        <v>1069</v>
      </c>
      <c r="Y1349" s="8" t="s">
        <v>132</v>
      </c>
      <c r="Z1349" s="8" t="s">
        <v>479</v>
      </c>
      <c r="AA1349" s="8" t="s">
        <v>1029</v>
      </c>
      <c r="AB1349" s="8" t="s">
        <v>36</v>
      </c>
      <c r="AC1349" s="8" t="s">
        <v>37</v>
      </c>
      <c r="AD1349" s="8" t="s">
        <v>482</v>
      </c>
      <c r="AE1349" s="8" t="s">
        <v>39</v>
      </c>
      <c r="AF1349" s="8" t="s">
        <v>40</v>
      </c>
      <c r="AG1349" s="9">
        <v>6583475</v>
      </c>
      <c r="AH1349" s="11">
        <f>_xlfn.XLOOKUP(B1349,[1]Sheet1!$B:$B,[1]Sheet1!$AB:$AB,0)</f>
        <v>6583475</v>
      </c>
    </row>
    <row r="1350" spans="2:34" ht="16.8" thickTop="1" thickBot="1" x14ac:dyDescent="0.35">
      <c r="B1350" s="3" t="str">
        <f t="shared" si="44"/>
        <v>45102504511001604Systems Develop-NC493140300105</v>
      </c>
      <c r="C1350" s="6" t="s">
        <v>480</v>
      </c>
      <c r="D1350" s="6" t="s">
        <v>2099</v>
      </c>
      <c r="E1350" s="6" t="s">
        <v>2100</v>
      </c>
      <c r="F1350" s="6" t="s">
        <v>184</v>
      </c>
      <c r="G1350" s="4" t="s">
        <v>2822</v>
      </c>
      <c r="H1350" s="4" t="s">
        <v>2923</v>
      </c>
      <c r="I1350" s="6" t="s">
        <v>185</v>
      </c>
      <c r="J1350" s="6" t="s">
        <v>31</v>
      </c>
      <c r="K1350" s="12">
        <f>_xlfn.XLOOKUP(B1350,[1]Sheet1!$B:$B,[1]Sheet1!$N:$N,0)</f>
        <v>0</v>
      </c>
      <c r="L1350" s="12">
        <f>_xlfn.XLOOKUP(B1350,[1]Sheet1!$B:$B,[1]Sheet1!$O:$O,0)</f>
        <v>0</v>
      </c>
      <c r="M1350" s="12">
        <f>_xlfn.XLOOKUP(B1350,[1]Sheet1!$B:$B,[1]Sheet1!$P:$P,0)</f>
        <v>0</v>
      </c>
      <c r="N1350" s="12">
        <f>_xlfn.XLOOKUP(B1350,[1]Sheet1!$B:$B,[1]Sheet1!$Q:$Q,0)</f>
        <v>3000000</v>
      </c>
      <c r="O1350" s="12">
        <f>_xlfn.XLOOKUP(B1350,[1]Sheet1!$B:$B,[1]Sheet1!$R:$R,0)</f>
        <v>1000000</v>
      </c>
      <c r="P1350" s="12">
        <f>_xlfn.XLOOKUP(B1350,[1]Sheet1!$B:$B,[1]Sheet1!$S:$S,0)</f>
        <v>1000000</v>
      </c>
      <c r="Q1350" s="12">
        <f>_xlfn.XLOOKUP(B1350,[1]Sheet1!$B:$B,[1]Sheet1!$T:$T,0)</f>
        <v>1000000</v>
      </c>
      <c r="R1350" s="12">
        <f>_xlfn.XLOOKUP(B1350,[1]Sheet1!$B:$B,[1]Sheet1!$U:$U,0)</f>
        <v>1500000</v>
      </c>
      <c r="S1350" s="12">
        <f>_xlfn.XLOOKUP(B1350,[1]Sheet1!$B:$B,[1]Sheet1!$V:$V,0)</f>
        <v>2500000</v>
      </c>
      <c r="T1350" s="12">
        <f>_xlfn.XLOOKUP(B1350,[1]Sheet1!$B:$B,[1]Sheet1!$W:$W,0)</f>
        <v>1500000</v>
      </c>
      <c r="U1350" s="12">
        <f>_xlfn.XLOOKUP(B1350,[1]Sheet1!$B:$B,[1]Sheet1!$X:$X,0)</f>
        <v>1500000</v>
      </c>
      <c r="V1350" s="12">
        <f>_xlfn.XLOOKUP(B1350,[1]Sheet1!$B:$B,[1]Sheet1!$Y:$Y,0)</f>
        <v>1000000</v>
      </c>
      <c r="W1350" s="12">
        <f t="shared" si="45"/>
        <v>14000000</v>
      </c>
      <c r="X1350" s="6" t="s">
        <v>1070</v>
      </c>
      <c r="Y1350" s="6" t="s">
        <v>132</v>
      </c>
      <c r="Z1350" s="6" t="s">
        <v>479</v>
      </c>
      <c r="AA1350" s="6" t="s">
        <v>185</v>
      </c>
      <c r="AB1350" s="6" t="s">
        <v>93</v>
      </c>
      <c r="AC1350" s="6" t="s">
        <v>94</v>
      </c>
      <c r="AD1350" s="6" t="s">
        <v>482</v>
      </c>
      <c r="AE1350" s="6" t="s">
        <v>39</v>
      </c>
      <c r="AF1350" s="6" t="s">
        <v>40</v>
      </c>
      <c r="AG1350" s="7">
        <v>4391944</v>
      </c>
      <c r="AH1350" s="11">
        <f>_xlfn.XLOOKUP(B1350,[1]Sheet1!$B:$B,[1]Sheet1!$AB:$AB,0)</f>
        <v>4391944</v>
      </c>
    </row>
    <row r="1351" spans="2:34" ht="16.8" thickTop="1" thickBot="1" x14ac:dyDescent="0.35">
      <c r="B1351" s="3" t="str">
        <f t="shared" si="44"/>
        <v>45126004511001605Activation&amp;Prog-N422401200104</v>
      </c>
      <c r="C1351" s="8" t="s">
        <v>1414</v>
      </c>
      <c r="D1351" s="8" t="s">
        <v>2101</v>
      </c>
      <c r="E1351" s="8" t="s">
        <v>2102</v>
      </c>
      <c r="F1351" s="8" t="s">
        <v>62</v>
      </c>
      <c r="G1351" s="4" t="s">
        <v>2807</v>
      </c>
      <c r="H1351" s="4" t="s">
        <v>2922</v>
      </c>
      <c r="I1351" s="8" t="s">
        <v>63</v>
      </c>
      <c r="J1351" s="8" t="s">
        <v>31</v>
      </c>
      <c r="K1351" s="12">
        <f>_xlfn.XLOOKUP(B1351,[1]Sheet1!$B:$B,[1]Sheet1!$N:$N,0)</f>
        <v>0</v>
      </c>
      <c r="L1351" s="12">
        <f>_xlfn.XLOOKUP(B1351,[1]Sheet1!$B:$B,[1]Sheet1!$O:$O,0)</f>
        <v>0</v>
      </c>
      <c r="M1351" s="12">
        <f>_xlfn.XLOOKUP(B1351,[1]Sheet1!$B:$B,[1]Sheet1!$P:$P,0)</f>
        <v>0</v>
      </c>
      <c r="N1351" s="12">
        <f>_xlfn.XLOOKUP(B1351,[1]Sheet1!$B:$B,[1]Sheet1!$Q:$Q,0)</f>
        <v>684920</v>
      </c>
      <c r="O1351" s="12">
        <f>_xlfn.XLOOKUP(B1351,[1]Sheet1!$B:$B,[1]Sheet1!$R:$R,0)</f>
        <v>227125.76000000001</v>
      </c>
      <c r="P1351" s="12">
        <f>_xlfn.XLOOKUP(B1351,[1]Sheet1!$B:$B,[1]Sheet1!$S:$S,0)</f>
        <v>0</v>
      </c>
      <c r="Q1351" s="12">
        <f>_xlfn.XLOOKUP(B1351,[1]Sheet1!$B:$B,[1]Sheet1!$T:$T,0)</f>
        <v>0</v>
      </c>
      <c r="R1351" s="12">
        <f>_xlfn.XLOOKUP(B1351,[1]Sheet1!$B:$B,[1]Sheet1!$U:$U,0)</f>
        <v>0</v>
      </c>
      <c r="S1351" s="12">
        <f>_xlfn.XLOOKUP(B1351,[1]Sheet1!$B:$B,[1]Sheet1!$V:$V,0)</f>
        <v>0</v>
      </c>
      <c r="T1351" s="12">
        <f>_xlfn.XLOOKUP(B1351,[1]Sheet1!$B:$B,[1]Sheet1!$W:$W,0)</f>
        <v>1190126</v>
      </c>
      <c r="U1351" s="12">
        <f>_xlfn.XLOOKUP(B1351,[1]Sheet1!$B:$B,[1]Sheet1!$X:$X,0)</f>
        <v>0</v>
      </c>
      <c r="V1351" s="12">
        <f>_xlfn.XLOOKUP(B1351,[1]Sheet1!$B:$B,[1]Sheet1!$Y:$Y,0)</f>
        <v>0</v>
      </c>
      <c r="W1351" s="12">
        <f t="shared" si="45"/>
        <v>2102171.7599999998</v>
      </c>
      <c r="X1351" s="8" t="s">
        <v>2103</v>
      </c>
      <c r="Y1351" s="8" t="s">
        <v>33</v>
      </c>
      <c r="Z1351" s="8" t="s">
        <v>1413</v>
      </c>
      <c r="AA1351" s="8" t="s">
        <v>68</v>
      </c>
      <c r="AB1351" s="8" t="s">
        <v>36</v>
      </c>
      <c r="AC1351" s="8" t="s">
        <v>37</v>
      </c>
      <c r="AD1351" s="8" t="s">
        <v>1396</v>
      </c>
      <c r="AE1351" s="8" t="s">
        <v>39</v>
      </c>
      <c r="AF1351" s="8" t="s">
        <v>40</v>
      </c>
      <c r="AG1351" s="9">
        <v>2102172</v>
      </c>
      <c r="AH1351" s="11">
        <f>_xlfn.XLOOKUP(B1351,[1]Sheet1!$B:$B,[1]Sheet1!$AB:$AB,0)</f>
        <v>2102171.7599999998</v>
      </c>
    </row>
    <row r="1352" spans="2:34" ht="16.8" thickTop="1" thickBot="1" x14ac:dyDescent="0.35">
      <c r="B1352" s="3" t="str">
        <f t="shared" si="44"/>
        <v>45126004511001605Event Management-N422401200104</v>
      </c>
      <c r="C1352" s="6" t="s">
        <v>1414</v>
      </c>
      <c r="D1352" s="6" t="s">
        <v>2101</v>
      </c>
      <c r="E1352" s="6" t="s">
        <v>2102</v>
      </c>
      <c r="F1352" s="6" t="s">
        <v>162</v>
      </c>
      <c r="G1352" s="4" t="s">
        <v>2807</v>
      </c>
      <c r="H1352" s="4" t="s">
        <v>2922</v>
      </c>
      <c r="I1352" s="6" t="s">
        <v>63</v>
      </c>
      <c r="J1352" s="6" t="s">
        <v>31</v>
      </c>
      <c r="K1352" s="12">
        <f>_xlfn.XLOOKUP(B1352,[1]Sheet1!$B:$B,[1]Sheet1!$N:$N,0)</f>
        <v>0</v>
      </c>
      <c r="L1352" s="12">
        <f>_xlfn.XLOOKUP(B1352,[1]Sheet1!$B:$B,[1]Sheet1!$O:$O,0)</f>
        <v>0</v>
      </c>
      <c r="M1352" s="12">
        <f>_xlfn.XLOOKUP(B1352,[1]Sheet1!$B:$B,[1]Sheet1!$P:$P,0)</f>
        <v>0</v>
      </c>
      <c r="N1352" s="12">
        <f>_xlfn.XLOOKUP(B1352,[1]Sheet1!$B:$B,[1]Sheet1!$Q:$Q,0)</f>
        <v>0</v>
      </c>
      <c r="O1352" s="12">
        <f>_xlfn.XLOOKUP(B1352,[1]Sheet1!$B:$B,[1]Sheet1!$R:$R,0)</f>
        <v>25000</v>
      </c>
      <c r="P1352" s="12">
        <f>_xlfn.XLOOKUP(B1352,[1]Sheet1!$B:$B,[1]Sheet1!$S:$S,0)</f>
        <v>0</v>
      </c>
      <c r="Q1352" s="12">
        <f>_xlfn.XLOOKUP(B1352,[1]Sheet1!$B:$B,[1]Sheet1!$T:$T,0)</f>
        <v>10000</v>
      </c>
      <c r="R1352" s="12">
        <f>_xlfn.XLOOKUP(B1352,[1]Sheet1!$B:$B,[1]Sheet1!$U:$U,0)</f>
        <v>0</v>
      </c>
      <c r="S1352" s="12">
        <f>_xlfn.XLOOKUP(B1352,[1]Sheet1!$B:$B,[1]Sheet1!$V:$V,0)</f>
        <v>25000</v>
      </c>
      <c r="T1352" s="12">
        <f>_xlfn.XLOOKUP(B1352,[1]Sheet1!$B:$B,[1]Sheet1!$W:$W,0)</f>
        <v>0</v>
      </c>
      <c r="U1352" s="12">
        <f>_xlfn.XLOOKUP(B1352,[1]Sheet1!$B:$B,[1]Sheet1!$X:$X,0)</f>
        <v>0</v>
      </c>
      <c r="V1352" s="12">
        <f>_xlfn.XLOOKUP(B1352,[1]Sheet1!$B:$B,[1]Sheet1!$Y:$Y,0)</f>
        <v>10000</v>
      </c>
      <c r="W1352" s="12">
        <f t="shared" si="45"/>
        <v>70000</v>
      </c>
      <c r="X1352" s="6" t="s">
        <v>2103</v>
      </c>
      <c r="Y1352" s="6" t="s">
        <v>33</v>
      </c>
      <c r="Z1352" s="6" t="s">
        <v>1413</v>
      </c>
      <c r="AA1352" s="6" t="s">
        <v>68</v>
      </c>
      <c r="AB1352" s="6" t="s">
        <v>36</v>
      </c>
      <c r="AC1352" s="6" t="s">
        <v>37</v>
      </c>
      <c r="AD1352" s="6" t="s">
        <v>1396</v>
      </c>
      <c r="AE1352" s="6" t="s">
        <v>39</v>
      </c>
      <c r="AF1352" s="6" t="s">
        <v>40</v>
      </c>
      <c r="AG1352" s="7">
        <v>70000</v>
      </c>
      <c r="AH1352" s="11">
        <f>_xlfn.XLOOKUP(B1352,[1]Sheet1!$B:$B,[1]Sheet1!$AB:$AB,0)</f>
        <v>70000</v>
      </c>
    </row>
    <row r="1353" spans="2:34" ht="16.8" thickTop="1" thickBot="1" x14ac:dyDescent="0.35">
      <c r="B1353" s="3" t="str">
        <f t="shared" si="44"/>
        <v>45126004511001605Hospitality-N424761200104</v>
      </c>
      <c r="C1353" s="8" t="s">
        <v>1414</v>
      </c>
      <c r="D1353" s="8" t="s">
        <v>2101</v>
      </c>
      <c r="E1353" s="8" t="s">
        <v>2102</v>
      </c>
      <c r="F1353" s="8" t="s">
        <v>83</v>
      </c>
      <c r="G1353" s="4" t="s">
        <v>2811</v>
      </c>
      <c r="H1353" s="4" t="s">
        <v>2922</v>
      </c>
      <c r="I1353" s="8" t="s">
        <v>84</v>
      </c>
      <c r="J1353" s="8" t="s">
        <v>31</v>
      </c>
      <c r="K1353" s="12">
        <f>_xlfn.XLOOKUP(B1353,[1]Sheet1!$B:$B,[1]Sheet1!$N:$N,0)</f>
        <v>0</v>
      </c>
      <c r="L1353" s="12">
        <f>_xlfn.XLOOKUP(B1353,[1]Sheet1!$B:$B,[1]Sheet1!$O:$O,0)</f>
        <v>0</v>
      </c>
      <c r="M1353" s="12">
        <f>_xlfn.XLOOKUP(B1353,[1]Sheet1!$B:$B,[1]Sheet1!$P:$P,0)</f>
        <v>0</v>
      </c>
      <c r="N1353" s="12">
        <f>_xlfn.XLOOKUP(B1353,[1]Sheet1!$B:$B,[1]Sheet1!$Q:$Q,0)</f>
        <v>52250</v>
      </c>
      <c r="O1353" s="12">
        <f>_xlfn.XLOOKUP(B1353,[1]Sheet1!$B:$B,[1]Sheet1!$R:$R,0)</f>
        <v>0</v>
      </c>
      <c r="P1353" s="12">
        <f>_xlfn.XLOOKUP(B1353,[1]Sheet1!$B:$B,[1]Sheet1!$S:$S,0)</f>
        <v>0</v>
      </c>
      <c r="Q1353" s="12">
        <f>_xlfn.XLOOKUP(B1353,[1]Sheet1!$B:$B,[1]Sheet1!$T:$T,0)</f>
        <v>0</v>
      </c>
      <c r="R1353" s="12">
        <f>_xlfn.XLOOKUP(B1353,[1]Sheet1!$B:$B,[1]Sheet1!$U:$U,0)</f>
        <v>0</v>
      </c>
      <c r="S1353" s="12">
        <f>_xlfn.XLOOKUP(B1353,[1]Sheet1!$B:$B,[1]Sheet1!$V:$V,0)</f>
        <v>197750</v>
      </c>
      <c r="T1353" s="12">
        <f>_xlfn.XLOOKUP(B1353,[1]Sheet1!$B:$B,[1]Sheet1!$W:$W,0)</f>
        <v>0</v>
      </c>
      <c r="U1353" s="12">
        <f>_xlfn.XLOOKUP(B1353,[1]Sheet1!$B:$B,[1]Sheet1!$X:$X,0)</f>
        <v>0</v>
      </c>
      <c r="V1353" s="12">
        <f>_xlfn.XLOOKUP(B1353,[1]Sheet1!$B:$B,[1]Sheet1!$Y:$Y,0)</f>
        <v>0</v>
      </c>
      <c r="W1353" s="12">
        <f t="shared" si="45"/>
        <v>250000</v>
      </c>
      <c r="X1353" s="8" t="s">
        <v>2104</v>
      </c>
      <c r="Y1353" s="8" t="s">
        <v>33</v>
      </c>
      <c r="Z1353" s="8" t="s">
        <v>1413</v>
      </c>
      <c r="AA1353" s="8" t="s">
        <v>84</v>
      </c>
      <c r="AB1353" s="8" t="s">
        <v>36</v>
      </c>
      <c r="AC1353" s="8" t="s">
        <v>37</v>
      </c>
      <c r="AD1353" s="8" t="s">
        <v>1396</v>
      </c>
      <c r="AE1353" s="8" t="s">
        <v>39</v>
      </c>
      <c r="AF1353" s="8" t="s">
        <v>40</v>
      </c>
      <c r="AG1353" s="9">
        <v>250000</v>
      </c>
      <c r="AH1353" s="11">
        <f>_xlfn.XLOOKUP(B1353,[1]Sheet1!$B:$B,[1]Sheet1!$AB:$AB,0)</f>
        <v>250000</v>
      </c>
    </row>
    <row r="1354" spans="2:34" ht="16.8" thickTop="1" thickBot="1" x14ac:dyDescent="0.35">
      <c r="B1354" s="3" t="str">
        <f t="shared" si="44"/>
        <v>45126004511001605Permits Fees-N422951200104</v>
      </c>
      <c r="C1354" s="6" t="s">
        <v>1414</v>
      </c>
      <c r="D1354" s="6" t="s">
        <v>2101</v>
      </c>
      <c r="E1354" s="6" t="s">
        <v>2102</v>
      </c>
      <c r="F1354" s="6" t="s">
        <v>2105</v>
      </c>
      <c r="G1354" s="4" t="s">
        <v>2837</v>
      </c>
      <c r="H1354" s="4" t="s">
        <v>2922</v>
      </c>
      <c r="I1354" s="6" t="s">
        <v>402</v>
      </c>
      <c r="J1354" s="6" t="s">
        <v>31</v>
      </c>
      <c r="K1354" s="12">
        <f>_xlfn.XLOOKUP(B1354,[1]Sheet1!$B:$B,[1]Sheet1!$N:$N,0)</f>
        <v>0</v>
      </c>
      <c r="L1354" s="12">
        <f>_xlfn.XLOOKUP(B1354,[1]Sheet1!$B:$B,[1]Sheet1!$O:$O,0)</f>
        <v>0</v>
      </c>
      <c r="M1354" s="12">
        <f>_xlfn.XLOOKUP(B1354,[1]Sheet1!$B:$B,[1]Sheet1!$P:$P,0)</f>
        <v>0</v>
      </c>
      <c r="N1354" s="12">
        <f>_xlfn.XLOOKUP(B1354,[1]Sheet1!$B:$B,[1]Sheet1!$Q:$Q,0)</f>
        <v>1007</v>
      </c>
      <c r="O1354" s="12">
        <f>_xlfn.XLOOKUP(B1354,[1]Sheet1!$B:$B,[1]Sheet1!$R:$R,0)</f>
        <v>2500</v>
      </c>
      <c r="P1354" s="12">
        <f>_xlfn.XLOOKUP(B1354,[1]Sheet1!$B:$B,[1]Sheet1!$S:$S,0)</f>
        <v>0</v>
      </c>
      <c r="Q1354" s="12">
        <f>_xlfn.XLOOKUP(B1354,[1]Sheet1!$B:$B,[1]Sheet1!$T:$T,0)</f>
        <v>2500</v>
      </c>
      <c r="R1354" s="12">
        <f>_xlfn.XLOOKUP(B1354,[1]Sheet1!$B:$B,[1]Sheet1!$U:$U,0)</f>
        <v>0</v>
      </c>
      <c r="S1354" s="12">
        <f>_xlfn.XLOOKUP(B1354,[1]Sheet1!$B:$B,[1]Sheet1!$V:$V,0)</f>
        <v>2500</v>
      </c>
      <c r="T1354" s="12">
        <f>_xlfn.XLOOKUP(B1354,[1]Sheet1!$B:$B,[1]Sheet1!$W:$W,0)</f>
        <v>0</v>
      </c>
      <c r="U1354" s="12">
        <f>_xlfn.XLOOKUP(B1354,[1]Sheet1!$B:$B,[1]Sheet1!$X:$X,0)</f>
        <v>0</v>
      </c>
      <c r="V1354" s="12">
        <f>_xlfn.XLOOKUP(B1354,[1]Sheet1!$B:$B,[1]Sheet1!$Y:$Y,0)</f>
        <v>2500</v>
      </c>
      <c r="W1354" s="12">
        <f t="shared" si="45"/>
        <v>11007</v>
      </c>
      <c r="X1354" s="6" t="s">
        <v>2106</v>
      </c>
      <c r="Y1354" s="6" t="s">
        <v>33</v>
      </c>
      <c r="Z1354" s="6" t="s">
        <v>1413</v>
      </c>
      <c r="AA1354" s="6" t="s">
        <v>402</v>
      </c>
      <c r="AB1354" s="6" t="s">
        <v>36</v>
      </c>
      <c r="AC1354" s="6" t="s">
        <v>37</v>
      </c>
      <c r="AD1354" s="6" t="s">
        <v>1396</v>
      </c>
      <c r="AE1354" s="6" t="s">
        <v>39</v>
      </c>
      <c r="AF1354" s="6" t="s">
        <v>40</v>
      </c>
      <c r="AG1354" s="7">
        <v>11007</v>
      </c>
      <c r="AH1354" s="11">
        <f>_xlfn.XLOOKUP(B1354,[1]Sheet1!$B:$B,[1]Sheet1!$AB:$AB,0)</f>
        <v>11007</v>
      </c>
    </row>
    <row r="1355" spans="2:34" ht="16.8" thickTop="1" thickBot="1" x14ac:dyDescent="0.35">
      <c r="B1355" s="3" t="str">
        <f t="shared" si="44"/>
        <v>45110104511001608Cultural Advice-N424521200104</v>
      </c>
      <c r="C1355" s="8" t="s">
        <v>268</v>
      </c>
      <c r="D1355" s="8" t="s">
        <v>2107</v>
      </c>
      <c r="E1355" s="8" t="s">
        <v>2108</v>
      </c>
      <c r="F1355" s="8" t="s">
        <v>296</v>
      </c>
      <c r="G1355" s="4" t="s">
        <v>2804</v>
      </c>
      <c r="H1355" s="4" t="s">
        <v>2922</v>
      </c>
      <c r="I1355" s="8" t="s">
        <v>51</v>
      </c>
      <c r="J1355" s="8" t="s">
        <v>31</v>
      </c>
      <c r="K1355" s="12">
        <f>_xlfn.XLOOKUP(B1355,[1]Sheet1!$B:$B,[1]Sheet1!$N:$N,0)</f>
        <v>0</v>
      </c>
      <c r="L1355" s="12">
        <f>_xlfn.XLOOKUP(B1355,[1]Sheet1!$B:$B,[1]Sheet1!$O:$O,0)</f>
        <v>0</v>
      </c>
      <c r="M1355" s="12">
        <f>_xlfn.XLOOKUP(B1355,[1]Sheet1!$B:$B,[1]Sheet1!$P:$P,0)</f>
        <v>0</v>
      </c>
      <c r="N1355" s="12">
        <f>_xlfn.XLOOKUP(B1355,[1]Sheet1!$B:$B,[1]Sheet1!$Q:$Q,0)</f>
        <v>0</v>
      </c>
      <c r="O1355" s="12">
        <f>_xlfn.XLOOKUP(B1355,[1]Sheet1!$B:$B,[1]Sheet1!$R:$R,0)</f>
        <v>0</v>
      </c>
      <c r="P1355" s="12">
        <f>_xlfn.XLOOKUP(B1355,[1]Sheet1!$B:$B,[1]Sheet1!$S:$S,0)</f>
        <v>0</v>
      </c>
      <c r="Q1355" s="12">
        <f>_xlfn.XLOOKUP(B1355,[1]Sheet1!$B:$B,[1]Sheet1!$T:$T,0)</f>
        <v>0</v>
      </c>
      <c r="R1355" s="12">
        <f>_xlfn.XLOOKUP(B1355,[1]Sheet1!$B:$B,[1]Sheet1!$U:$U,0)</f>
        <v>1000000</v>
      </c>
      <c r="S1355" s="12">
        <f>_xlfn.XLOOKUP(B1355,[1]Sheet1!$B:$B,[1]Sheet1!$V:$V,0)</f>
        <v>0</v>
      </c>
      <c r="T1355" s="12">
        <f>_xlfn.XLOOKUP(B1355,[1]Sheet1!$B:$B,[1]Sheet1!$W:$W,0)</f>
        <v>0</v>
      </c>
      <c r="U1355" s="12">
        <f>_xlfn.XLOOKUP(B1355,[1]Sheet1!$B:$B,[1]Sheet1!$X:$X,0)</f>
        <v>0</v>
      </c>
      <c r="V1355" s="12">
        <f>_xlfn.XLOOKUP(B1355,[1]Sheet1!$B:$B,[1]Sheet1!$Y:$Y,0)</f>
        <v>0</v>
      </c>
      <c r="W1355" s="12">
        <f t="shared" si="45"/>
        <v>1000000</v>
      </c>
      <c r="X1355" s="8" t="s">
        <v>2109</v>
      </c>
      <c r="Y1355" s="8" t="s">
        <v>65</v>
      </c>
      <c r="Z1355" s="8" t="s">
        <v>267</v>
      </c>
      <c r="AA1355" s="8" t="s">
        <v>53</v>
      </c>
      <c r="AB1355" s="8" t="s">
        <v>36</v>
      </c>
      <c r="AC1355" s="8" t="s">
        <v>37</v>
      </c>
      <c r="AD1355" s="8" t="s">
        <v>2110</v>
      </c>
      <c r="AE1355" s="8" t="s">
        <v>39</v>
      </c>
      <c r="AF1355" s="8" t="s">
        <v>40</v>
      </c>
      <c r="AG1355" s="9">
        <v>1000000</v>
      </c>
      <c r="AH1355" s="11">
        <f>_xlfn.XLOOKUP(B1355,[1]Sheet1!$B:$B,[1]Sheet1!$AB:$AB,0)</f>
        <v>1000000</v>
      </c>
    </row>
    <row r="1356" spans="2:34" ht="16.8" thickTop="1" thickBot="1" x14ac:dyDescent="0.35">
      <c r="B1356" s="3" t="str">
        <f t="shared" si="44"/>
        <v>45121004511001611Trade Partners-TDP - L2461412402066</v>
      </c>
      <c r="C1356" s="6" t="s">
        <v>738</v>
      </c>
      <c r="D1356" s="6" t="s">
        <v>2111</v>
      </c>
      <c r="E1356" s="6" t="s">
        <v>2112</v>
      </c>
      <c r="F1356" s="6" t="s">
        <v>1717</v>
      </c>
      <c r="G1356" s="4" t="s">
        <v>2868</v>
      </c>
      <c r="H1356" s="4" t="s">
        <v>2937</v>
      </c>
      <c r="I1356" s="6" t="s">
        <v>1255</v>
      </c>
      <c r="J1356" s="6" t="s">
        <v>31</v>
      </c>
      <c r="K1356" s="12">
        <f>_xlfn.XLOOKUP(B1356,[1]Sheet1!$B:$B,[1]Sheet1!$N:$N,0)</f>
        <v>0</v>
      </c>
      <c r="L1356" s="12">
        <f>_xlfn.XLOOKUP(B1356,[1]Sheet1!$B:$B,[1]Sheet1!$O:$O,0)</f>
        <v>0</v>
      </c>
      <c r="M1356" s="12">
        <f>_xlfn.XLOOKUP(B1356,[1]Sheet1!$B:$B,[1]Sheet1!$P:$P,0)</f>
        <v>0</v>
      </c>
      <c r="N1356" s="12">
        <f>_xlfn.XLOOKUP(B1356,[1]Sheet1!$B:$B,[1]Sheet1!$Q:$Q,0)</f>
        <v>0</v>
      </c>
      <c r="O1356" s="12">
        <f>_xlfn.XLOOKUP(B1356,[1]Sheet1!$B:$B,[1]Sheet1!$R:$R,0)</f>
        <v>0</v>
      </c>
      <c r="P1356" s="12">
        <f>_xlfn.XLOOKUP(B1356,[1]Sheet1!$B:$B,[1]Sheet1!$S:$S,0)</f>
        <v>0</v>
      </c>
      <c r="Q1356" s="12">
        <f>_xlfn.XLOOKUP(B1356,[1]Sheet1!$B:$B,[1]Sheet1!$T:$T,0)</f>
        <v>0</v>
      </c>
      <c r="R1356" s="12">
        <f>_xlfn.XLOOKUP(B1356,[1]Sheet1!$B:$B,[1]Sheet1!$U:$U,0)</f>
        <v>0</v>
      </c>
      <c r="S1356" s="12">
        <f>_xlfn.XLOOKUP(B1356,[1]Sheet1!$B:$B,[1]Sheet1!$V:$V,0)</f>
        <v>0</v>
      </c>
      <c r="T1356" s="12">
        <f>_xlfn.XLOOKUP(B1356,[1]Sheet1!$B:$B,[1]Sheet1!$W:$W,0)</f>
        <v>0</v>
      </c>
      <c r="U1356" s="12">
        <f>_xlfn.XLOOKUP(B1356,[1]Sheet1!$B:$B,[1]Sheet1!$X:$X,0)</f>
        <v>0</v>
      </c>
      <c r="V1356" s="12">
        <f>_xlfn.XLOOKUP(B1356,[1]Sheet1!$B:$B,[1]Sheet1!$Y:$Y,0)</f>
        <v>0</v>
      </c>
      <c r="W1356" s="12">
        <f t="shared" si="45"/>
        <v>0</v>
      </c>
      <c r="X1356" s="6" t="s">
        <v>1718</v>
      </c>
      <c r="Y1356" s="6" t="s">
        <v>721</v>
      </c>
      <c r="Z1356" s="6" t="s">
        <v>737</v>
      </c>
      <c r="AA1356" s="6" t="s">
        <v>1255</v>
      </c>
      <c r="AB1356" s="6" t="s">
        <v>1719</v>
      </c>
      <c r="AC1356" s="6" t="s">
        <v>1645</v>
      </c>
      <c r="AD1356" s="6" t="s">
        <v>1077</v>
      </c>
      <c r="AE1356" s="6" t="s">
        <v>39</v>
      </c>
      <c r="AF1356" s="6" t="s">
        <v>40</v>
      </c>
      <c r="AG1356" s="7">
        <v>1640000</v>
      </c>
      <c r="AH1356" s="11">
        <f>_xlfn.XLOOKUP(B1356,[1]Sheet1!$B:$B,[1]Sheet1!$AB:$AB,0)</f>
        <v>0</v>
      </c>
    </row>
    <row r="1357" spans="2:34" ht="16.8" thickTop="1" thickBot="1" x14ac:dyDescent="0.35">
      <c r="B1357" s="3" t="str">
        <f t="shared" si="44"/>
        <v>45131304511001612Influencers-L422511201931</v>
      </c>
      <c r="C1357" s="8" t="s">
        <v>321</v>
      </c>
      <c r="D1357" s="8" t="s">
        <v>2113</v>
      </c>
      <c r="E1357" s="8" t="s">
        <v>2114</v>
      </c>
      <c r="F1357" s="8" t="s">
        <v>2006</v>
      </c>
      <c r="G1357" s="4" t="s">
        <v>2819</v>
      </c>
      <c r="H1357" s="4" t="s">
        <v>2925</v>
      </c>
      <c r="I1357" s="8" t="s">
        <v>151</v>
      </c>
      <c r="J1357" s="8" t="s">
        <v>31</v>
      </c>
      <c r="K1357" s="12">
        <f>_xlfn.XLOOKUP(B1357,[1]Sheet1!$B:$B,[1]Sheet1!$N:$N,0)</f>
        <v>0</v>
      </c>
      <c r="L1357" s="12">
        <f>_xlfn.XLOOKUP(B1357,[1]Sheet1!$B:$B,[1]Sheet1!$O:$O,0)</f>
        <v>0</v>
      </c>
      <c r="M1357" s="12">
        <f>_xlfn.XLOOKUP(B1357,[1]Sheet1!$B:$B,[1]Sheet1!$P:$P,0)</f>
        <v>0</v>
      </c>
      <c r="N1357" s="12">
        <f>_xlfn.XLOOKUP(B1357,[1]Sheet1!$B:$B,[1]Sheet1!$Q:$Q,0)</f>
        <v>435996</v>
      </c>
      <c r="O1357" s="12">
        <f>_xlfn.XLOOKUP(B1357,[1]Sheet1!$B:$B,[1]Sheet1!$R:$R,0)</f>
        <v>145332</v>
      </c>
      <c r="P1357" s="12">
        <f>_xlfn.XLOOKUP(B1357,[1]Sheet1!$B:$B,[1]Sheet1!$S:$S,0)</f>
        <v>145332</v>
      </c>
      <c r="Q1357" s="12">
        <f>_xlfn.XLOOKUP(B1357,[1]Sheet1!$B:$B,[1]Sheet1!$T:$T,0)</f>
        <v>145332</v>
      </c>
      <c r="R1357" s="12">
        <f>_xlfn.XLOOKUP(B1357,[1]Sheet1!$B:$B,[1]Sheet1!$U:$U,0)</f>
        <v>145332</v>
      </c>
      <c r="S1357" s="12">
        <f>_xlfn.XLOOKUP(B1357,[1]Sheet1!$B:$B,[1]Sheet1!$V:$V,0)</f>
        <v>145332</v>
      </c>
      <c r="T1357" s="12">
        <f>_xlfn.XLOOKUP(B1357,[1]Sheet1!$B:$B,[1]Sheet1!$W:$W,0)</f>
        <v>145332</v>
      </c>
      <c r="U1357" s="12">
        <f>_xlfn.XLOOKUP(B1357,[1]Sheet1!$B:$B,[1]Sheet1!$X:$X,0)</f>
        <v>145332</v>
      </c>
      <c r="V1357" s="12">
        <f>_xlfn.XLOOKUP(B1357,[1]Sheet1!$B:$B,[1]Sheet1!$Y:$Y,0)</f>
        <v>146680</v>
      </c>
      <c r="W1357" s="12">
        <f t="shared" si="45"/>
        <v>1600000</v>
      </c>
      <c r="X1357" s="8" t="s">
        <v>560</v>
      </c>
      <c r="Y1357" s="8" t="s">
        <v>319</v>
      </c>
      <c r="Z1357" s="8" t="s">
        <v>320</v>
      </c>
      <c r="AA1357" s="8" t="s">
        <v>151</v>
      </c>
      <c r="AB1357" s="8" t="s">
        <v>327</v>
      </c>
      <c r="AC1357" s="8" t="s">
        <v>37</v>
      </c>
      <c r="AD1357" s="8" t="s">
        <v>322</v>
      </c>
      <c r="AE1357" s="8" t="s">
        <v>39</v>
      </c>
      <c r="AF1357" s="8" t="s">
        <v>40</v>
      </c>
      <c r="AG1357" s="9">
        <v>1600000</v>
      </c>
      <c r="AH1357" s="11">
        <f>_xlfn.XLOOKUP(B1357,[1]Sheet1!$B:$B,[1]Sheet1!$AB:$AB,0)</f>
        <v>1600000</v>
      </c>
    </row>
    <row r="1358" spans="2:34" ht="16.8" thickTop="1" thickBot="1" x14ac:dyDescent="0.35">
      <c r="B1358" s="3" t="str">
        <f t="shared" si="44"/>
        <v>45131304511001612Media Mgmnt &amp;Buy-L422511201931</v>
      </c>
      <c r="C1358" s="6" t="s">
        <v>321</v>
      </c>
      <c r="D1358" s="6" t="s">
        <v>2113</v>
      </c>
      <c r="E1358" s="6" t="s">
        <v>2114</v>
      </c>
      <c r="F1358" s="6" t="s">
        <v>559</v>
      </c>
      <c r="G1358" s="4" t="s">
        <v>2819</v>
      </c>
      <c r="H1358" s="4" t="s">
        <v>2925</v>
      </c>
      <c r="I1358" s="6" t="s">
        <v>151</v>
      </c>
      <c r="J1358" s="6" t="s">
        <v>31</v>
      </c>
      <c r="K1358" s="12">
        <f>_xlfn.XLOOKUP(B1358,[1]Sheet1!$B:$B,[1]Sheet1!$N:$N,0)</f>
        <v>0</v>
      </c>
      <c r="L1358" s="12">
        <f>_xlfn.XLOOKUP(B1358,[1]Sheet1!$B:$B,[1]Sheet1!$O:$O,0)</f>
        <v>0</v>
      </c>
      <c r="M1358" s="12">
        <f>_xlfn.XLOOKUP(B1358,[1]Sheet1!$B:$B,[1]Sheet1!$P:$P,0)</f>
        <v>0</v>
      </c>
      <c r="N1358" s="12">
        <f>_xlfn.XLOOKUP(B1358,[1]Sheet1!$B:$B,[1]Sheet1!$Q:$Q,0)</f>
        <v>0</v>
      </c>
      <c r="O1358" s="12">
        <f>_xlfn.XLOOKUP(B1358,[1]Sheet1!$B:$B,[1]Sheet1!$R:$R,0)</f>
        <v>0</v>
      </c>
      <c r="P1358" s="12">
        <f>_xlfn.XLOOKUP(B1358,[1]Sheet1!$B:$B,[1]Sheet1!$S:$S,0)</f>
        <v>1212000</v>
      </c>
      <c r="Q1358" s="12">
        <f>_xlfn.XLOOKUP(B1358,[1]Sheet1!$B:$B,[1]Sheet1!$T:$T,0)</f>
        <v>1212000</v>
      </c>
      <c r="R1358" s="12">
        <f>_xlfn.XLOOKUP(B1358,[1]Sheet1!$B:$B,[1]Sheet1!$U:$U,0)</f>
        <v>1212000</v>
      </c>
      <c r="S1358" s="12">
        <f>_xlfn.XLOOKUP(B1358,[1]Sheet1!$B:$B,[1]Sheet1!$V:$V,0)</f>
        <v>1010000</v>
      </c>
      <c r="T1358" s="12">
        <f>_xlfn.XLOOKUP(B1358,[1]Sheet1!$B:$B,[1]Sheet1!$W:$W,0)</f>
        <v>1010000</v>
      </c>
      <c r="U1358" s="12">
        <f>_xlfn.XLOOKUP(B1358,[1]Sheet1!$B:$B,[1]Sheet1!$X:$X,0)</f>
        <v>1010000</v>
      </c>
      <c r="V1358" s="12">
        <f>_xlfn.XLOOKUP(B1358,[1]Sheet1!$B:$B,[1]Sheet1!$Y:$Y,0)</f>
        <v>1212000</v>
      </c>
      <c r="W1358" s="12">
        <f t="shared" si="45"/>
        <v>7878000</v>
      </c>
      <c r="X1358" s="6" t="s">
        <v>560</v>
      </c>
      <c r="Y1358" s="6" t="s">
        <v>319</v>
      </c>
      <c r="Z1358" s="6" t="s">
        <v>320</v>
      </c>
      <c r="AA1358" s="6" t="s">
        <v>151</v>
      </c>
      <c r="AB1358" s="6" t="s">
        <v>327</v>
      </c>
      <c r="AC1358" s="6" t="s">
        <v>37</v>
      </c>
      <c r="AD1358" s="6" t="s">
        <v>322</v>
      </c>
      <c r="AE1358" s="6" t="s">
        <v>39</v>
      </c>
      <c r="AF1358" s="6" t="s">
        <v>40</v>
      </c>
      <c r="AG1358" s="7">
        <v>7878000</v>
      </c>
      <c r="AH1358" s="11">
        <f>_xlfn.XLOOKUP(B1358,[1]Sheet1!$B:$B,[1]Sheet1!$AB:$AB,0)</f>
        <v>7878000</v>
      </c>
    </row>
    <row r="1359" spans="2:34" ht="16.8" thickTop="1" thickBot="1" x14ac:dyDescent="0.35">
      <c r="B1359" s="3" t="str">
        <f t="shared" si="44"/>
        <v>45131204511001612PR Mgmnt E-E-N424781200104</v>
      </c>
      <c r="C1359" s="8" t="s">
        <v>564</v>
      </c>
      <c r="D1359" s="8" t="s">
        <v>2113</v>
      </c>
      <c r="E1359" s="8" t="s">
        <v>2114</v>
      </c>
      <c r="F1359" s="8" t="s">
        <v>99</v>
      </c>
      <c r="G1359" s="4" t="s">
        <v>2815</v>
      </c>
      <c r="H1359" s="4" t="s">
        <v>2922</v>
      </c>
      <c r="I1359" s="8" t="s">
        <v>100</v>
      </c>
      <c r="J1359" s="8" t="s">
        <v>31</v>
      </c>
      <c r="K1359" s="12">
        <f>_xlfn.XLOOKUP(B1359,[1]Sheet1!$B:$B,[1]Sheet1!$N:$N,0)</f>
        <v>0</v>
      </c>
      <c r="L1359" s="12">
        <f>_xlfn.XLOOKUP(B1359,[1]Sheet1!$B:$B,[1]Sheet1!$O:$O,0)</f>
        <v>0</v>
      </c>
      <c r="M1359" s="12">
        <f>_xlfn.XLOOKUP(B1359,[1]Sheet1!$B:$B,[1]Sheet1!$P:$P,0)</f>
        <v>0</v>
      </c>
      <c r="N1359" s="12">
        <f>_xlfn.XLOOKUP(B1359,[1]Sheet1!$B:$B,[1]Sheet1!$Q:$Q,0)</f>
        <v>250000</v>
      </c>
      <c r="O1359" s="12">
        <f>_xlfn.XLOOKUP(B1359,[1]Sheet1!$B:$B,[1]Sheet1!$R:$R,0)</f>
        <v>250000</v>
      </c>
      <c r="P1359" s="12">
        <f>_xlfn.XLOOKUP(B1359,[1]Sheet1!$B:$B,[1]Sheet1!$S:$S,0)</f>
        <v>0</v>
      </c>
      <c r="Q1359" s="12">
        <f>_xlfn.XLOOKUP(B1359,[1]Sheet1!$B:$B,[1]Sheet1!$T:$T,0)</f>
        <v>0</v>
      </c>
      <c r="R1359" s="12">
        <f>_xlfn.XLOOKUP(B1359,[1]Sheet1!$B:$B,[1]Sheet1!$U:$U,0)</f>
        <v>0</v>
      </c>
      <c r="S1359" s="12">
        <f>_xlfn.XLOOKUP(B1359,[1]Sheet1!$B:$B,[1]Sheet1!$V:$V,0)</f>
        <v>0</v>
      </c>
      <c r="T1359" s="12">
        <f>_xlfn.XLOOKUP(B1359,[1]Sheet1!$B:$B,[1]Sheet1!$W:$W,0)</f>
        <v>0</v>
      </c>
      <c r="U1359" s="12">
        <f>_xlfn.XLOOKUP(B1359,[1]Sheet1!$B:$B,[1]Sheet1!$X:$X,0)</f>
        <v>0</v>
      </c>
      <c r="V1359" s="12">
        <f>_xlfn.XLOOKUP(B1359,[1]Sheet1!$B:$B,[1]Sheet1!$Y:$Y,0)</f>
        <v>0</v>
      </c>
      <c r="W1359" s="12">
        <f t="shared" si="45"/>
        <v>500000</v>
      </c>
      <c r="X1359" s="8" t="s">
        <v>565</v>
      </c>
      <c r="Y1359" s="8" t="s">
        <v>319</v>
      </c>
      <c r="Z1359" s="8" t="s">
        <v>563</v>
      </c>
      <c r="AA1359" s="8" t="s">
        <v>100</v>
      </c>
      <c r="AB1359" s="8" t="s">
        <v>36</v>
      </c>
      <c r="AC1359" s="8" t="s">
        <v>37</v>
      </c>
      <c r="AD1359" s="8" t="s">
        <v>322</v>
      </c>
      <c r="AE1359" s="8" t="s">
        <v>39</v>
      </c>
      <c r="AF1359" s="8" t="s">
        <v>40</v>
      </c>
      <c r="AG1359" s="9">
        <v>500000</v>
      </c>
      <c r="AH1359" s="11">
        <f>_xlfn.XLOOKUP(B1359,[1]Sheet1!$B:$B,[1]Sheet1!$AB:$AB,0)</f>
        <v>500000</v>
      </c>
    </row>
    <row r="1360" spans="2:34" ht="16.8" thickTop="1" thickBot="1" x14ac:dyDescent="0.35">
      <c r="B1360" s="3" t="str">
        <f t="shared" si="44"/>
        <v>45131104511001612SM Mgmnt Rtnr-N421125200104</v>
      </c>
      <c r="C1360" s="6" t="s">
        <v>348</v>
      </c>
      <c r="D1360" s="6" t="s">
        <v>2113</v>
      </c>
      <c r="E1360" s="6" t="s">
        <v>2114</v>
      </c>
      <c r="F1360" s="6" t="s">
        <v>502</v>
      </c>
      <c r="G1360" s="4" t="s">
        <v>2803</v>
      </c>
      <c r="H1360" s="4" t="s">
        <v>2922</v>
      </c>
      <c r="I1360" s="6" t="s">
        <v>44</v>
      </c>
      <c r="J1360" s="6" t="s">
        <v>31</v>
      </c>
      <c r="K1360" s="12">
        <f>_xlfn.XLOOKUP(B1360,[1]Sheet1!$B:$B,[1]Sheet1!$N:$N,0)</f>
        <v>0</v>
      </c>
      <c r="L1360" s="12">
        <f>_xlfn.XLOOKUP(B1360,[1]Sheet1!$B:$B,[1]Sheet1!$O:$O,0)</f>
        <v>0</v>
      </c>
      <c r="M1360" s="12">
        <f>_xlfn.XLOOKUP(B1360,[1]Sheet1!$B:$B,[1]Sheet1!$P:$P,0)</f>
        <v>0</v>
      </c>
      <c r="N1360" s="12">
        <f>_xlfn.XLOOKUP(B1360,[1]Sheet1!$B:$B,[1]Sheet1!$Q:$Q,0)</f>
        <v>0</v>
      </c>
      <c r="O1360" s="12">
        <f>_xlfn.XLOOKUP(B1360,[1]Sheet1!$B:$B,[1]Sheet1!$R:$R,0)</f>
        <v>250000</v>
      </c>
      <c r="P1360" s="12">
        <f>_xlfn.XLOOKUP(B1360,[1]Sheet1!$B:$B,[1]Sheet1!$S:$S,0)</f>
        <v>250000</v>
      </c>
      <c r="Q1360" s="12">
        <f>_xlfn.XLOOKUP(B1360,[1]Sheet1!$B:$B,[1]Sheet1!$T:$T,0)</f>
        <v>250000</v>
      </c>
      <c r="R1360" s="12">
        <f>_xlfn.XLOOKUP(B1360,[1]Sheet1!$B:$B,[1]Sheet1!$U:$U,0)</f>
        <v>250000</v>
      </c>
      <c r="S1360" s="12">
        <f>_xlfn.XLOOKUP(B1360,[1]Sheet1!$B:$B,[1]Sheet1!$V:$V,0)</f>
        <v>250000</v>
      </c>
      <c r="T1360" s="12">
        <f>_xlfn.XLOOKUP(B1360,[1]Sheet1!$B:$B,[1]Sheet1!$W:$W,0)</f>
        <v>250000</v>
      </c>
      <c r="U1360" s="12">
        <f>_xlfn.XLOOKUP(B1360,[1]Sheet1!$B:$B,[1]Sheet1!$X:$X,0)</f>
        <v>250000</v>
      </c>
      <c r="V1360" s="12">
        <f>_xlfn.XLOOKUP(B1360,[1]Sheet1!$B:$B,[1]Sheet1!$Y:$Y,0)</f>
        <v>250000</v>
      </c>
      <c r="W1360" s="12">
        <f t="shared" si="45"/>
        <v>2000000</v>
      </c>
      <c r="X1360" s="6" t="s">
        <v>503</v>
      </c>
      <c r="Y1360" s="6" t="s">
        <v>319</v>
      </c>
      <c r="Z1360" s="6" t="s">
        <v>347</v>
      </c>
      <c r="AA1360" s="6" t="s">
        <v>44</v>
      </c>
      <c r="AB1360" s="6" t="s">
        <v>36</v>
      </c>
      <c r="AC1360" s="6" t="s">
        <v>37</v>
      </c>
      <c r="AD1360" s="6" t="s">
        <v>322</v>
      </c>
      <c r="AE1360" s="6" t="s">
        <v>39</v>
      </c>
      <c r="AF1360" s="6" t="s">
        <v>40</v>
      </c>
      <c r="AG1360" s="7">
        <v>2000000</v>
      </c>
      <c r="AH1360" s="11">
        <f>_xlfn.XLOOKUP(B1360,[1]Sheet1!$B:$B,[1]Sheet1!$AB:$AB,0)</f>
        <v>2000000</v>
      </c>
    </row>
    <row r="1361" spans="2:34" ht="16.8" thickTop="1" thickBot="1" x14ac:dyDescent="0.35">
      <c r="B1361" s="3" t="str">
        <f t="shared" si="44"/>
        <v>45131104511001612WebSupportRtnr-N421125200104</v>
      </c>
      <c r="C1361" s="8" t="s">
        <v>348</v>
      </c>
      <c r="D1361" s="8" t="s">
        <v>2113</v>
      </c>
      <c r="E1361" s="8" t="s">
        <v>2114</v>
      </c>
      <c r="F1361" s="8" t="s">
        <v>2115</v>
      </c>
      <c r="G1361" s="4" t="s">
        <v>2803</v>
      </c>
      <c r="H1361" s="4" t="s">
        <v>2922</v>
      </c>
      <c r="I1361" s="8" t="s">
        <v>44</v>
      </c>
      <c r="J1361" s="8" t="s">
        <v>31</v>
      </c>
      <c r="K1361" s="12">
        <f>_xlfn.XLOOKUP(B1361,[1]Sheet1!$B:$B,[1]Sheet1!$N:$N,0)</f>
        <v>0</v>
      </c>
      <c r="L1361" s="12">
        <f>_xlfn.XLOOKUP(B1361,[1]Sheet1!$B:$B,[1]Sheet1!$O:$O,0)</f>
        <v>0</v>
      </c>
      <c r="M1361" s="12">
        <f>_xlfn.XLOOKUP(B1361,[1]Sheet1!$B:$B,[1]Sheet1!$P:$P,0)</f>
        <v>0</v>
      </c>
      <c r="N1361" s="12">
        <f>_xlfn.XLOOKUP(B1361,[1]Sheet1!$B:$B,[1]Sheet1!$Q:$Q,0)</f>
        <v>300000</v>
      </c>
      <c r="O1361" s="12">
        <f>_xlfn.XLOOKUP(B1361,[1]Sheet1!$B:$B,[1]Sheet1!$R:$R,0)</f>
        <v>150000</v>
      </c>
      <c r="P1361" s="12">
        <f>_xlfn.XLOOKUP(B1361,[1]Sheet1!$B:$B,[1]Sheet1!$S:$S,0)</f>
        <v>150000</v>
      </c>
      <c r="Q1361" s="12">
        <f>_xlfn.XLOOKUP(B1361,[1]Sheet1!$B:$B,[1]Sheet1!$T:$T,0)</f>
        <v>150000</v>
      </c>
      <c r="R1361" s="12">
        <f>_xlfn.XLOOKUP(B1361,[1]Sheet1!$B:$B,[1]Sheet1!$U:$U,0)</f>
        <v>150000</v>
      </c>
      <c r="S1361" s="12">
        <f>_xlfn.XLOOKUP(B1361,[1]Sheet1!$B:$B,[1]Sheet1!$V:$V,0)</f>
        <v>150000</v>
      </c>
      <c r="T1361" s="12">
        <f>_xlfn.XLOOKUP(B1361,[1]Sheet1!$B:$B,[1]Sheet1!$W:$W,0)</f>
        <v>150000</v>
      </c>
      <c r="U1361" s="12">
        <f>_xlfn.XLOOKUP(B1361,[1]Sheet1!$B:$B,[1]Sheet1!$X:$X,0)</f>
        <v>150000</v>
      </c>
      <c r="V1361" s="12">
        <f>_xlfn.XLOOKUP(B1361,[1]Sheet1!$B:$B,[1]Sheet1!$Y:$Y,0)</f>
        <v>150000</v>
      </c>
      <c r="W1361" s="12">
        <f t="shared" si="45"/>
        <v>1500000</v>
      </c>
      <c r="X1361" s="8" t="s">
        <v>503</v>
      </c>
      <c r="Y1361" s="8" t="s">
        <v>319</v>
      </c>
      <c r="Z1361" s="8" t="s">
        <v>347</v>
      </c>
      <c r="AA1361" s="8" t="s">
        <v>44</v>
      </c>
      <c r="AB1361" s="8" t="s">
        <v>36</v>
      </c>
      <c r="AC1361" s="8" t="s">
        <v>37</v>
      </c>
      <c r="AD1361" s="8" t="s">
        <v>322</v>
      </c>
      <c r="AE1361" s="8" t="s">
        <v>39</v>
      </c>
      <c r="AF1361" s="8" t="s">
        <v>40</v>
      </c>
      <c r="AG1361" s="9">
        <v>1500000</v>
      </c>
      <c r="AH1361" s="11">
        <f>_xlfn.XLOOKUP(B1361,[1]Sheet1!$B:$B,[1]Sheet1!$AB:$AB,0)</f>
        <v>1500000</v>
      </c>
    </row>
    <row r="1362" spans="2:34" ht="16.8" thickTop="1" thickBot="1" x14ac:dyDescent="0.35">
      <c r="B1362" s="3" t="str">
        <f t="shared" si="44"/>
        <v>45121004511001613Trade Partners-TDP - L2461412402066</v>
      </c>
      <c r="C1362" s="6" t="s">
        <v>738</v>
      </c>
      <c r="D1362" s="6" t="s">
        <v>2116</v>
      </c>
      <c r="E1362" s="6" t="s">
        <v>2117</v>
      </c>
      <c r="F1362" s="6" t="s">
        <v>1717</v>
      </c>
      <c r="G1362" s="4" t="s">
        <v>2868</v>
      </c>
      <c r="H1362" s="4" t="s">
        <v>2937</v>
      </c>
      <c r="I1362" s="6" t="s">
        <v>1255</v>
      </c>
      <c r="J1362" s="6" t="s">
        <v>31</v>
      </c>
      <c r="K1362" s="12">
        <f>_xlfn.XLOOKUP(B1362,[1]Sheet1!$B:$B,[1]Sheet1!$N:$N,0)</f>
        <v>0</v>
      </c>
      <c r="L1362" s="12">
        <f>_xlfn.XLOOKUP(B1362,[1]Sheet1!$B:$B,[1]Sheet1!$O:$O,0)</f>
        <v>0</v>
      </c>
      <c r="M1362" s="12">
        <f>_xlfn.XLOOKUP(B1362,[1]Sheet1!$B:$B,[1]Sheet1!$P:$P,0)</f>
        <v>0</v>
      </c>
      <c r="N1362" s="12">
        <f>_xlfn.XLOOKUP(B1362,[1]Sheet1!$B:$B,[1]Sheet1!$Q:$Q,0)</f>
        <v>0</v>
      </c>
      <c r="O1362" s="12">
        <f>_xlfn.XLOOKUP(B1362,[1]Sheet1!$B:$B,[1]Sheet1!$R:$R,0)</f>
        <v>0</v>
      </c>
      <c r="P1362" s="12">
        <f>_xlfn.XLOOKUP(B1362,[1]Sheet1!$B:$B,[1]Sheet1!$S:$S,0)</f>
        <v>0</v>
      </c>
      <c r="Q1362" s="12">
        <f>_xlfn.XLOOKUP(B1362,[1]Sheet1!$B:$B,[1]Sheet1!$T:$T,0)</f>
        <v>0</v>
      </c>
      <c r="R1362" s="12">
        <f>_xlfn.XLOOKUP(B1362,[1]Sheet1!$B:$B,[1]Sheet1!$U:$U,0)</f>
        <v>0</v>
      </c>
      <c r="S1362" s="12">
        <f>_xlfn.XLOOKUP(B1362,[1]Sheet1!$B:$B,[1]Sheet1!$V:$V,0)</f>
        <v>0</v>
      </c>
      <c r="T1362" s="12">
        <f>_xlfn.XLOOKUP(B1362,[1]Sheet1!$B:$B,[1]Sheet1!$W:$W,0)</f>
        <v>0</v>
      </c>
      <c r="U1362" s="12">
        <f>_xlfn.XLOOKUP(B1362,[1]Sheet1!$B:$B,[1]Sheet1!$X:$X,0)</f>
        <v>0</v>
      </c>
      <c r="V1362" s="12">
        <f>_xlfn.XLOOKUP(B1362,[1]Sheet1!$B:$B,[1]Sheet1!$Y:$Y,0)</f>
        <v>0</v>
      </c>
      <c r="W1362" s="12">
        <f t="shared" si="45"/>
        <v>0</v>
      </c>
      <c r="X1362" s="6" t="s">
        <v>1718</v>
      </c>
      <c r="Y1362" s="6" t="s">
        <v>721</v>
      </c>
      <c r="Z1362" s="6" t="s">
        <v>737</v>
      </c>
      <c r="AA1362" s="6" t="s">
        <v>1255</v>
      </c>
      <c r="AB1362" s="6" t="s">
        <v>1719</v>
      </c>
      <c r="AC1362" s="6" t="s">
        <v>1645</v>
      </c>
      <c r="AD1362" s="6" t="s">
        <v>1077</v>
      </c>
      <c r="AE1362" s="6" t="s">
        <v>39</v>
      </c>
      <c r="AF1362" s="6" t="s">
        <v>40</v>
      </c>
      <c r="AG1362" s="7">
        <v>2235000</v>
      </c>
      <c r="AH1362" s="11">
        <f>_xlfn.XLOOKUP(B1362,[1]Sheet1!$B:$B,[1]Sheet1!$AB:$AB,0)</f>
        <v>0</v>
      </c>
    </row>
    <row r="1363" spans="2:34" ht="16.8" thickTop="1" thickBot="1" x14ac:dyDescent="0.35">
      <c r="B1363" s="3" t="str">
        <f t="shared" si="44"/>
        <v>45126004511001615Brand Strategy-N422511200104</v>
      </c>
      <c r="C1363" s="8" t="s">
        <v>1414</v>
      </c>
      <c r="D1363" s="8" t="s">
        <v>2118</v>
      </c>
      <c r="E1363" s="8" t="s">
        <v>2119</v>
      </c>
      <c r="F1363" s="8" t="s">
        <v>2120</v>
      </c>
      <c r="G1363" s="4" t="s">
        <v>2819</v>
      </c>
      <c r="H1363" s="4" t="s">
        <v>2922</v>
      </c>
      <c r="I1363" s="8" t="s">
        <v>151</v>
      </c>
      <c r="J1363" s="8" t="s">
        <v>31</v>
      </c>
      <c r="K1363" s="12">
        <f>_xlfn.XLOOKUP(B1363,[1]Sheet1!$B:$B,[1]Sheet1!$N:$N,0)</f>
        <v>0</v>
      </c>
      <c r="L1363" s="12">
        <f>_xlfn.XLOOKUP(B1363,[1]Sheet1!$B:$B,[1]Sheet1!$O:$O,0)</f>
        <v>0</v>
      </c>
      <c r="M1363" s="12">
        <f>_xlfn.XLOOKUP(B1363,[1]Sheet1!$B:$B,[1]Sheet1!$P:$P,0)</f>
        <v>0</v>
      </c>
      <c r="N1363" s="12">
        <f>_xlfn.XLOOKUP(B1363,[1]Sheet1!$B:$B,[1]Sheet1!$Q:$Q,0)</f>
        <v>600000</v>
      </c>
      <c r="O1363" s="12">
        <f>_xlfn.XLOOKUP(B1363,[1]Sheet1!$B:$B,[1]Sheet1!$R:$R,0)</f>
        <v>150000</v>
      </c>
      <c r="P1363" s="12">
        <f>_xlfn.XLOOKUP(B1363,[1]Sheet1!$B:$B,[1]Sheet1!$S:$S,0)</f>
        <v>150000</v>
      </c>
      <c r="Q1363" s="12">
        <f>_xlfn.XLOOKUP(B1363,[1]Sheet1!$B:$B,[1]Sheet1!$T:$T,0)</f>
        <v>150000</v>
      </c>
      <c r="R1363" s="12">
        <f>_xlfn.XLOOKUP(B1363,[1]Sheet1!$B:$B,[1]Sheet1!$U:$U,0)</f>
        <v>150000</v>
      </c>
      <c r="S1363" s="12">
        <f>_xlfn.XLOOKUP(B1363,[1]Sheet1!$B:$B,[1]Sheet1!$V:$V,0)</f>
        <v>0</v>
      </c>
      <c r="T1363" s="12">
        <f>_xlfn.XLOOKUP(B1363,[1]Sheet1!$B:$B,[1]Sheet1!$W:$W,0)</f>
        <v>0</v>
      </c>
      <c r="U1363" s="12">
        <f>_xlfn.XLOOKUP(B1363,[1]Sheet1!$B:$B,[1]Sheet1!$X:$X,0)</f>
        <v>300000</v>
      </c>
      <c r="V1363" s="12">
        <f>_xlfn.XLOOKUP(B1363,[1]Sheet1!$B:$B,[1]Sheet1!$Y:$Y,0)</f>
        <v>0</v>
      </c>
      <c r="W1363" s="12">
        <f t="shared" si="45"/>
        <v>1500000</v>
      </c>
      <c r="X1363" s="8" t="s">
        <v>2121</v>
      </c>
      <c r="Y1363" s="8" t="s">
        <v>33</v>
      </c>
      <c r="Z1363" s="8" t="s">
        <v>1413</v>
      </c>
      <c r="AA1363" s="8" t="s">
        <v>151</v>
      </c>
      <c r="AB1363" s="8" t="s">
        <v>36</v>
      </c>
      <c r="AC1363" s="8" t="s">
        <v>37</v>
      </c>
      <c r="AD1363" s="8" t="s">
        <v>1396</v>
      </c>
      <c r="AE1363" s="8" t="s">
        <v>39</v>
      </c>
      <c r="AF1363" s="8" t="s">
        <v>40</v>
      </c>
      <c r="AG1363" s="9">
        <v>1307999.6000000001</v>
      </c>
      <c r="AH1363" s="11">
        <f>_xlfn.XLOOKUP(B1363,[1]Sheet1!$B:$B,[1]Sheet1!$AB:$AB,0)</f>
        <v>1308000</v>
      </c>
    </row>
    <row r="1364" spans="2:34" ht="16.8" thickTop="1" thickBot="1" x14ac:dyDescent="0.35">
      <c r="B1364" s="3" t="str">
        <f t="shared" si="44"/>
        <v>45126004511001615PR Mgmnt E-E-N424781200104</v>
      </c>
      <c r="C1364" s="6" t="s">
        <v>1414</v>
      </c>
      <c r="D1364" s="6" t="s">
        <v>2118</v>
      </c>
      <c r="E1364" s="6" t="s">
        <v>2119</v>
      </c>
      <c r="F1364" s="6" t="s">
        <v>99</v>
      </c>
      <c r="G1364" s="4" t="s">
        <v>2815</v>
      </c>
      <c r="H1364" s="4" t="s">
        <v>2922</v>
      </c>
      <c r="I1364" s="6" t="s">
        <v>100</v>
      </c>
      <c r="J1364" s="6" t="s">
        <v>31</v>
      </c>
      <c r="K1364" s="12">
        <f>_xlfn.XLOOKUP(B1364,[1]Sheet1!$B:$B,[1]Sheet1!$N:$N,0)</f>
        <v>0</v>
      </c>
      <c r="L1364" s="12">
        <f>_xlfn.XLOOKUP(B1364,[1]Sheet1!$B:$B,[1]Sheet1!$O:$O,0)</f>
        <v>0</v>
      </c>
      <c r="M1364" s="12">
        <f>_xlfn.XLOOKUP(B1364,[1]Sheet1!$B:$B,[1]Sheet1!$P:$P,0)</f>
        <v>0</v>
      </c>
      <c r="N1364" s="12">
        <f>_xlfn.XLOOKUP(B1364,[1]Sheet1!$B:$B,[1]Sheet1!$Q:$Q,0)</f>
        <v>0</v>
      </c>
      <c r="O1364" s="12">
        <f>_xlfn.XLOOKUP(B1364,[1]Sheet1!$B:$B,[1]Sheet1!$R:$R,0)</f>
        <v>0</v>
      </c>
      <c r="P1364" s="12">
        <f>_xlfn.XLOOKUP(B1364,[1]Sheet1!$B:$B,[1]Sheet1!$S:$S,0)</f>
        <v>0</v>
      </c>
      <c r="Q1364" s="12">
        <f>_xlfn.XLOOKUP(B1364,[1]Sheet1!$B:$B,[1]Sheet1!$T:$T,0)</f>
        <v>0</v>
      </c>
      <c r="R1364" s="12">
        <f>_xlfn.XLOOKUP(B1364,[1]Sheet1!$B:$B,[1]Sheet1!$U:$U,0)</f>
        <v>0</v>
      </c>
      <c r="S1364" s="12">
        <f>_xlfn.XLOOKUP(B1364,[1]Sheet1!$B:$B,[1]Sheet1!$V:$V,0)</f>
        <v>0</v>
      </c>
      <c r="T1364" s="12">
        <f>_xlfn.XLOOKUP(B1364,[1]Sheet1!$B:$B,[1]Sheet1!$W:$W,0)</f>
        <v>500000</v>
      </c>
      <c r="U1364" s="12">
        <f>_xlfn.XLOOKUP(B1364,[1]Sheet1!$B:$B,[1]Sheet1!$X:$X,0)</f>
        <v>0</v>
      </c>
      <c r="V1364" s="12">
        <f>_xlfn.XLOOKUP(B1364,[1]Sheet1!$B:$B,[1]Sheet1!$Y:$Y,0)</f>
        <v>0</v>
      </c>
      <c r="W1364" s="12">
        <f t="shared" si="45"/>
        <v>500000</v>
      </c>
      <c r="X1364" s="6" t="s">
        <v>2122</v>
      </c>
      <c r="Y1364" s="6" t="s">
        <v>33</v>
      </c>
      <c r="Z1364" s="6" t="s">
        <v>1413</v>
      </c>
      <c r="AA1364" s="6" t="s">
        <v>100</v>
      </c>
      <c r="AB1364" s="6" t="s">
        <v>36</v>
      </c>
      <c r="AC1364" s="6" t="s">
        <v>37</v>
      </c>
      <c r="AD1364" s="6" t="s">
        <v>1396</v>
      </c>
      <c r="AE1364" s="6" t="s">
        <v>39</v>
      </c>
      <c r="AF1364" s="6" t="s">
        <v>40</v>
      </c>
      <c r="AG1364" s="7">
        <v>500000</v>
      </c>
      <c r="AH1364" s="11">
        <f>_xlfn.XLOOKUP(B1364,[1]Sheet1!$B:$B,[1]Sheet1!$AB:$AB,0)</f>
        <v>500000</v>
      </c>
    </row>
    <row r="1365" spans="2:34" ht="16.8" thickTop="1" thickBot="1" x14ac:dyDescent="0.35">
      <c r="B1365" s="3" t="str">
        <f t="shared" si="44"/>
        <v>45126004511001616Gen Logistics-N424671200104</v>
      </c>
      <c r="C1365" s="8" t="s">
        <v>1414</v>
      </c>
      <c r="D1365" s="8" t="s">
        <v>2123</v>
      </c>
      <c r="E1365" s="8" t="s">
        <v>2124</v>
      </c>
      <c r="F1365" s="8" t="s">
        <v>311</v>
      </c>
      <c r="G1365" s="4" t="s">
        <v>2831</v>
      </c>
      <c r="H1365" s="4" t="s">
        <v>2922</v>
      </c>
      <c r="I1365" s="8" t="s">
        <v>312</v>
      </c>
      <c r="J1365" s="8" t="s">
        <v>31</v>
      </c>
      <c r="K1365" s="12">
        <f>_xlfn.XLOOKUP(B1365,[1]Sheet1!$B:$B,[1]Sheet1!$N:$N,0)</f>
        <v>0</v>
      </c>
      <c r="L1365" s="12">
        <f>_xlfn.XLOOKUP(B1365,[1]Sheet1!$B:$B,[1]Sheet1!$O:$O,0)</f>
        <v>0</v>
      </c>
      <c r="M1365" s="12">
        <f>_xlfn.XLOOKUP(B1365,[1]Sheet1!$B:$B,[1]Sheet1!$P:$P,0)</f>
        <v>0</v>
      </c>
      <c r="N1365" s="12">
        <f>_xlfn.XLOOKUP(B1365,[1]Sheet1!$B:$B,[1]Sheet1!$Q:$Q,0)</f>
        <v>45000</v>
      </c>
      <c r="O1365" s="12">
        <f>_xlfn.XLOOKUP(B1365,[1]Sheet1!$B:$B,[1]Sheet1!$R:$R,0)</f>
        <v>0</v>
      </c>
      <c r="P1365" s="12">
        <f>_xlfn.XLOOKUP(B1365,[1]Sheet1!$B:$B,[1]Sheet1!$S:$S,0)</f>
        <v>0</v>
      </c>
      <c r="Q1365" s="12">
        <f>_xlfn.XLOOKUP(B1365,[1]Sheet1!$B:$B,[1]Sheet1!$T:$T,0)</f>
        <v>0</v>
      </c>
      <c r="R1365" s="12">
        <f>_xlfn.XLOOKUP(B1365,[1]Sheet1!$B:$B,[1]Sheet1!$U:$U,0)</f>
        <v>35000</v>
      </c>
      <c r="S1365" s="12">
        <f>_xlfn.XLOOKUP(B1365,[1]Sheet1!$B:$B,[1]Sheet1!$V:$V,0)</f>
        <v>50000</v>
      </c>
      <c r="T1365" s="12">
        <f>_xlfn.XLOOKUP(B1365,[1]Sheet1!$B:$B,[1]Sheet1!$W:$W,0)</f>
        <v>0</v>
      </c>
      <c r="U1365" s="12">
        <f>_xlfn.XLOOKUP(B1365,[1]Sheet1!$B:$B,[1]Sheet1!$X:$X,0)</f>
        <v>0</v>
      </c>
      <c r="V1365" s="12">
        <f>_xlfn.XLOOKUP(B1365,[1]Sheet1!$B:$B,[1]Sheet1!$Y:$Y,0)</f>
        <v>0</v>
      </c>
      <c r="W1365" s="12">
        <f t="shared" si="45"/>
        <v>130000</v>
      </c>
      <c r="X1365" s="8" t="s">
        <v>2125</v>
      </c>
      <c r="Y1365" s="8" t="s">
        <v>33</v>
      </c>
      <c r="Z1365" s="8" t="s">
        <v>1413</v>
      </c>
      <c r="AA1365" s="8" t="s">
        <v>314</v>
      </c>
      <c r="AB1365" s="8" t="s">
        <v>36</v>
      </c>
      <c r="AC1365" s="8" t="s">
        <v>37</v>
      </c>
      <c r="AD1365" s="8" t="s">
        <v>1396</v>
      </c>
      <c r="AE1365" s="8" t="s">
        <v>39</v>
      </c>
      <c r="AF1365" s="8" t="s">
        <v>40</v>
      </c>
      <c r="AG1365" s="9">
        <v>130000</v>
      </c>
      <c r="AH1365" s="11">
        <f>_xlfn.XLOOKUP(B1365,[1]Sheet1!$B:$B,[1]Sheet1!$AB:$AB,0)</f>
        <v>130000</v>
      </c>
    </row>
    <row r="1366" spans="2:34" ht="16.8" thickTop="1" thickBot="1" x14ac:dyDescent="0.35">
      <c r="B1366" s="3" t="str">
        <f t="shared" si="44"/>
        <v>45126004511001616eBook Distribute-N425301200104</v>
      </c>
      <c r="C1366" s="6" t="s">
        <v>1414</v>
      </c>
      <c r="D1366" s="6" t="s">
        <v>2123</v>
      </c>
      <c r="E1366" s="6" t="s">
        <v>2124</v>
      </c>
      <c r="F1366" s="6" t="s">
        <v>2126</v>
      </c>
      <c r="G1366" s="4" t="s">
        <v>2864</v>
      </c>
      <c r="H1366" s="4" t="s">
        <v>2922</v>
      </c>
      <c r="I1366" s="6" t="s">
        <v>1027</v>
      </c>
      <c r="J1366" s="6" t="s">
        <v>31</v>
      </c>
      <c r="K1366" s="12">
        <f>_xlfn.XLOOKUP(B1366,[1]Sheet1!$B:$B,[1]Sheet1!$N:$N,0)</f>
        <v>0</v>
      </c>
      <c r="L1366" s="12">
        <f>_xlfn.XLOOKUP(B1366,[1]Sheet1!$B:$B,[1]Sheet1!$O:$O,0)</f>
        <v>0</v>
      </c>
      <c r="M1366" s="12">
        <f>_xlfn.XLOOKUP(B1366,[1]Sheet1!$B:$B,[1]Sheet1!$P:$P,0)</f>
        <v>0</v>
      </c>
      <c r="N1366" s="12">
        <f>_xlfn.XLOOKUP(B1366,[1]Sheet1!$B:$B,[1]Sheet1!$Q:$Q,0)</f>
        <v>0</v>
      </c>
      <c r="O1366" s="12">
        <f>_xlfn.XLOOKUP(B1366,[1]Sheet1!$B:$B,[1]Sheet1!$R:$R,0)</f>
        <v>0</v>
      </c>
      <c r="P1366" s="12">
        <f>_xlfn.XLOOKUP(B1366,[1]Sheet1!$B:$B,[1]Sheet1!$S:$S,0)</f>
        <v>0</v>
      </c>
      <c r="Q1366" s="12">
        <f>_xlfn.XLOOKUP(B1366,[1]Sheet1!$B:$B,[1]Sheet1!$T:$T,0)</f>
        <v>51666.666666666664</v>
      </c>
      <c r="R1366" s="12">
        <f>_xlfn.XLOOKUP(B1366,[1]Sheet1!$B:$B,[1]Sheet1!$U:$U,0)</f>
        <v>51666.666666666664</v>
      </c>
      <c r="S1366" s="12">
        <f>_xlfn.XLOOKUP(B1366,[1]Sheet1!$B:$B,[1]Sheet1!$V:$V,0)</f>
        <v>51666.666666666664</v>
      </c>
      <c r="T1366" s="12">
        <f>_xlfn.XLOOKUP(B1366,[1]Sheet1!$B:$B,[1]Sheet1!$W:$W,0)</f>
        <v>51666.666666666664</v>
      </c>
      <c r="U1366" s="12">
        <f>_xlfn.XLOOKUP(B1366,[1]Sheet1!$B:$B,[1]Sheet1!$X:$X,0)</f>
        <v>51666.666666666664</v>
      </c>
      <c r="V1366" s="12">
        <f>_xlfn.XLOOKUP(B1366,[1]Sheet1!$B:$B,[1]Sheet1!$Y:$Y,0)</f>
        <v>51666.666666666664</v>
      </c>
      <c r="W1366" s="12">
        <f t="shared" si="45"/>
        <v>310000</v>
      </c>
      <c r="X1366" s="6" t="s">
        <v>2127</v>
      </c>
      <c r="Y1366" s="6" t="s">
        <v>33</v>
      </c>
      <c r="Z1366" s="6" t="s">
        <v>1413</v>
      </c>
      <c r="AA1366" s="6" t="s">
        <v>1029</v>
      </c>
      <c r="AB1366" s="6" t="s">
        <v>36</v>
      </c>
      <c r="AC1366" s="6" t="s">
        <v>37</v>
      </c>
      <c r="AD1366" s="6" t="s">
        <v>1396</v>
      </c>
      <c r="AE1366" s="6" t="s">
        <v>39</v>
      </c>
      <c r="AF1366" s="6" t="s">
        <v>40</v>
      </c>
      <c r="AG1366" s="7">
        <v>310000</v>
      </c>
      <c r="AH1366" s="11">
        <f>_xlfn.XLOOKUP(B1366,[1]Sheet1!$B:$B,[1]Sheet1!$AB:$AB,0)</f>
        <v>310000</v>
      </c>
    </row>
    <row r="1367" spans="2:34" ht="16.8" thickTop="1" thickBot="1" x14ac:dyDescent="0.35">
      <c r="B1367" s="3" t="str">
        <f t="shared" si="44"/>
        <v>45126004511001617Licenses Fees-N424131200104</v>
      </c>
      <c r="C1367" s="8" t="s">
        <v>1414</v>
      </c>
      <c r="D1367" s="8" t="s">
        <v>2128</v>
      </c>
      <c r="E1367" s="8" t="s">
        <v>2129</v>
      </c>
      <c r="F1367" s="8" t="s">
        <v>365</v>
      </c>
      <c r="G1367" s="4" t="s">
        <v>2835</v>
      </c>
      <c r="H1367" s="4" t="s">
        <v>2922</v>
      </c>
      <c r="I1367" s="8" t="s">
        <v>366</v>
      </c>
      <c r="J1367" s="8" t="s">
        <v>31</v>
      </c>
      <c r="K1367" s="12">
        <f>_xlfn.XLOOKUP(B1367,[1]Sheet1!$B:$B,[1]Sheet1!$N:$N,0)</f>
        <v>0</v>
      </c>
      <c r="L1367" s="12">
        <f>_xlfn.XLOOKUP(B1367,[1]Sheet1!$B:$B,[1]Sheet1!$O:$O,0)</f>
        <v>0</v>
      </c>
      <c r="M1367" s="12">
        <f>_xlfn.XLOOKUP(B1367,[1]Sheet1!$B:$B,[1]Sheet1!$P:$P,0)</f>
        <v>0</v>
      </c>
      <c r="N1367" s="12">
        <f>_xlfn.XLOOKUP(B1367,[1]Sheet1!$B:$B,[1]Sheet1!$Q:$Q,0)</f>
        <v>0</v>
      </c>
      <c r="O1367" s="12">
        <f>_xlfn.XLOOKUP(B1367,[1]Sheet1!$B:$B,[1]Sheet1!$R:$R,0)</f>
        <v>0</v>
      </c>
      <c r="P1367" s="12">
        <f>_xlfn.XLOOKUP(B1367,[1]Sheet1!$B:$B,[1]Sheet1!$S:$S,0)</f>
        <v>0</v>
      </c>
      <c r="Q1367" s="12">
        <f>_xlfn.XLOOKUP(B1367,[1]Sheet1!$B:$B,[1]Sheet1!$T:$T,0)</f>
        <v>0</v>
      </c>
      <c r="R1367" s="12">
        <f>_xlfn.XLOOKUP(B1367,[1]Sheet1!$B:$B,[1]Sheet1!$U:$U,0)</f>
        <v>66105</v>
      </c>
      <c r="S1367" s="12">
        <f>_xlfn.XLOOKUP(B1367,[1]Sheet1!$B:$B,[1]Sheet1!$V:$V,0)</f>
        <v>0</v>
      </c>
      <c r="T1367" s="12">
        <f>_xlfn.XLOOKUP(B1367,[1]Sheet1!$B:$B,[1]Sheet1!$W:$W,0)</f>
        <v>0</v>
      </c>
      <c r="U1367" s="12">
        <f>_xlfn.XLOOKUP(B1367,[1]Sheet1!$B:$B,[1]Sheet1!$X:$X,0)</f>
        <v>27075.24</v>
      </c>
      <c r="V1367" s="12">
        <f>_xlfn.XLOOKUP(B1367,[1]Sheet1!$B:$B,[1]Sheet1!$Y:$Y,0)</f>
        <v>0</v>
      </c>
      <c r="W1367" s="12">
        <f t="shared" si="45"/>
        <v>93180.24</v>
      </c>
      <c r="X1367" s="8" t="s">
        <v>2130</v>
      </c>
      <c r="Y1367" s="8" t="s">
        <v>33</v>
      </c>
      <c r="Z1367" s="8" t="s">
        <v>1413</v>
      </c>
      <c r="AA1367" s="8" t="s">
        <v>366</v>
      </c>
      <c r="AB1367" s="8" t="s">
        <v>36</v>
      </c>
      <c r="AC1367" s="8" t="s">
        <v>37</v>
      </c>
      <c r="AD1367" s="8" t="s">
        <v>1396</v>
      </c>
      <c r="AE1367" s="8" t="s">
        <v>39</v>
      </c>
      <c r="AF1367" s="8" t="s">
        <v>40</v>
      </c>
      <c r="AG1367" s="9">
        <v>93180</v>
      </c>
      <c r="AH1367" s="11">
        <f>_xlfn.XLOOKUP(B1367,[1]Sheet1!$B:$B,[1]Sheet1!$AB:$AB,0)</f>
        <v>93180.24</v>
      </c>
    </row>
    <row r="1368" spans="2:34" ht="16.8" thickTop="1" thickBot="1" x14ac:dyDescent="0.35">
      <c r="B1368" s="3" t="str">
        <f t="shared" si="44"/>
        <v>45126004511001618IP Rights-N423531200104</v>
      </c>
      <c r="C1368" s="6" t="s">
        <v>1414</v>
      </c>
      <c r="D1368" s="6" t="s">
        <v>2131</v>
      </c>
      <c r="E1368" s="6" t="s">
        <v>2132</v>
      </c>
      <c r="F1368" s="6" t="s">
        <v>2133</v>
      </c>
      <c r="G1368" s="4" t="s">
        <v>2860</v>
      </c>
      <c r="H1368" s="4" t="s">
        <v>2922</v>
      </c>
      <c r="I1368" s="6" t="s">
        <v>950</v>
      </c>
      <c r="J1368" s="6" t="s">
        <v>31</v>
      </c>
      <c r="K1368" s="12">
        <f>_xlfn.XLOOKUP(B1368,[1]Sheet1!$B:$B,[1]Sheet1!$N:$N,0)</f>
        <v>0</v>
      </c>
      <c r="L1368" s="12">
        <f>_xlfn.XLOOKUP(B1368,[1]Sheet1!$B:$B,[1]Sheet1!$O:$O,0)</f>
        <v>0</v>
      </c>
      <c r="M1368" s="12">
        <f>_xlfn.XLOOKUP(B1368,[1]Sheet1!$B:$B,[1]Sheet1!$P:$P,0)</f>
        <v>0</v>
      </c>
      <c r="N1368" s="12">
        <f>_xlfn.XLOOKUP(B1368,[1]Sheet1!$B:$B,[1]Sheet1!$Q:$Q,0)</f>
        <v>0</v>
      </c>
      <c r="O1368" s="12">
        <f>_xlfn.XLOOKUP(B1368,[1]Sheet1!$B:$B,[1]Sheet1!$R:$R,0)</f>
        <v>384000</v>
      </c>
      <c r="P1368" s="12">
        <f>_xlfn.XLOOKUP(B1368,[1]Sheet1!$B:$B,[1]Sheet1!$S:$S,0)</f>
        <v>384000</v>
      </c>
      <c r="Q1368" s="12">
        <f>_xlfn.XLOOKUP(B1368,[1]Sheet1!$B:$B,[1]Sheet1!$T:$T,0)</f>
        <v>384000</v>
      </c>
      <c r="R1368" s="12">
        <f>_xlfn.XLOOKUP(B1368,[1]Sheet1!$B:$B,[1]Sheet1!$U:$U,0)</f>
        <v>384000</v>
      </c>
      <c r="S1368" s="12">
        <f>_xlfn.XLOOKUP(B1368,[1]Sheet1!$B:$B,[1]Sheet1!$V:$V,0)</f>
        <v>384000</v>
      </c>
      <c r="T1368" s="12">
        <f>_xlfn.XLOOKUP(B1368,[1]Sheet1!$B:$B,[1]Sheet1!$W:$W,0)</f>
        <v>640000</v>
      </c>
      <c r="U1368" s="12">
        <f>_xlfn.XLOOKUP(B1368,[1]Sheet1!$B:$B,[1]Sheet1!$X:$X,0)</f>
        <v>3000000</v>
      </c>
      <c r="V1368" s="12">
        <f>_xlfn.XLOOKUP(B1368,[1]Sheet1!$B:$B,[1]Sheet1!$Y:$Y,0)</f>
        <v>797232</v>
      </c>
      <c r="W1368" s="12">
        <f t="shared" si="45"/>
        <v>6357232</v>
      </c>
      <c r="X1368" s="6" t="s">
        <v>2134</v>
      </c>
      <c r="Y1368" s="6" t="s">
        <v>33</v>
      </c>
      <c r="Z1368" s="6" t="s">
        <v>1413</v>
      </c>
      <c r="AA1368" s="6" t="s">
        <v>950</v>
      </c>
      <c r="AB1368" s="6" t="s">
        <v>36</v>
      </c>
      <c r="AC1368" s="6" t="s">
        <v>37</v>
      </c>
      <c r="AD1368" s="6" t="s">
        <v>1396</v>
      </c>
      <c r="AE1368" s="6" t="s">
        <v>39</v>
      </c>
      <c r="AF1368" s="6" t="s">
        <v>40</v>
      </c>
      <c r="AG1368" s="7">
        <v>6549232</v>
      </c>
      <c r="AH1368" s="11">
        <f>_xlfn.XLOOKUP(B1368,[1]Sheet1!$B:$B,[1]Sheet1!$AB:$AB,0)</f>
        <v>6549232</v>
      </c>
    </row>
    <row r="1369" spans="2:34" ht="16.8" thickTop="1" thickBot="1" x14ac:dyDescent="0.35">
      <c r="B1369" s="3" t="str">
        <f t="shared" si="44"/>
        <v>45181134511001619Edu &amp; Outreach-N422401200104</v>
      </c>
      <c r="C1369" s="8" t="s">
        <v>1382</v>
      </c>
      <c r="D1369" s="8" t="s">
        <v>2135</v>
      </c>
      <c r="E1369" s="8" t="s">
        <v>2136</v>
      </c>
      <c r="F1369" s="8" t="s">
        <v>155</v>
      </c>
      <c r="G1369" s="4" t="s">
        <v>2807</v>
      </c>
      <c r="H1369" s="4" t="s">
        <v>2922</v>
      </c>
      <c r="I1369" s="8" t="s">
        <v>63</v>
      </c>
      <c r="J1369" s="8" t="s">
        <v>31</v>
      </c>
      <c r="K1369" s="12">
        <f>_xlfn.XLOOKUP(B1369,[1]Sheet1!$B:$B,[1]Sheet1!$N:$N,0)</f>
        <v>0</v>
      </c>
      <c r="L1369" s="12">
        <f>_xlfn.XLOOKUP(B1369,[1]Sheet1!$B:$B,[1]Sheet1!$O:$O,0)</f>
        <v>0</v>
      </c>
      <c r="M1369" s="12">
        <f>_xlfn.XLOOKUP(B1369,[1]Sheet1!$B:$B,[1]Sheet1!$P:$P,0)</f>
        <v>0</v>
      </c>
      <c r="N1369" s="12">
        <f>_xlfn.XLOOKUP(B1369,[1]Sheet1!$B:$B,[1]Sheet1!$Q:$Q,0)</f>
        <v>3750</v>
      </c>
      <c r="O1369" s="12">
        <f>_xlfn.XLOOKUP(B1369,[1]Sheet1!$B:$B,[1]Sheet1!$R:$R,0)</f>
        <v>40000</v>
      </c>
      <c r="P1369" s="12">
        <f>_xlfn.XLOOKUP(B1369,[1]Sheet1!$B:$B,[1]Sheet1!$S:$S,0)</f>
        <v>43750</v>
      </c>
      <c r="Q1369" s="12">
        <f>_xlfn.XLOOKUP(B1369,[1]Sheet1!$B:$B,[1]Sheet1!$T:$T,0)</f>
        <v>40000</v>
      </c>
      <c r="R1369" s="12">
        <f>_xlfn.XLOOKUP(B1369,[1]Sheet1!$B:$B,[1]Sheet1!$U:$U,0)</f>
        <v>40000</v>
      </c>
      <c r="S1369" s="12">
        <f>_xlfn.XLOOKUP(B1369,[1]Sheet1!$B:$B,[1]Sheet1!$V:$V,0)</f>
        <v>3750</v>
      </c>
      <c r="T1369" s="12">
        <f>_xlfn.XLOOKUP(B1369,[1]Sheet1!$B:$B,[1]Sheet1!$W:$W,0)</f>
        <v>0</v>
      </c>
      <c r="U1369" s="12">
        <f>_xlfn.XLOOKUP(B1369,[1]Sheet1!$B:$B,[1]Sheet1!$X:$X,0)</f>
        <v>3750</v>
      </c>
      <c r="V1369" s="12">
        <f>_xlfn.XLOOKUP(B1369,[1]Sheet1!$B:$B,[1]Sheet1!$Y:$Y,0)</f>
        <v>0</v>
      </c>
      <c r="W1369" s="12">
        <f t="shared" si="45"/>
        <v>175000</v>
      </c>
      <c r="X1369" s="8" t="s">
        <v>1386</v>
      </c>
      <c r="Y1369" s="8" t="s">
        <v>33</v>
      </c>
      <c r="Z1369" s="8" t="s">
        <v>1381</v>
      </c>
      <c r="AA1369" s="8" t="s">
        <v>68</v>
      </c>
      <c r="AB1369" s="8" t="s">
        <v>36</v>
      </c>
      <c r="AC1369" s="8" t="s">
        <v>37</v>
      </c>
      <c r="AD1369" s="8" t="s">
        <v>270</v>
      </c>
      <c r="AE1369" s="8" t="s">
        <v>39</v>
      </c>
      <c r="AF1369" s="8" t="s">
        <v>40</v>
      </c>
      <c r="AG1369" s="9">
        <v>175000.4</v>
      </c>
      <c r="AH1369" s="11">
        <f>_xlfn.XLOOKUP(B1369,[1]Sheet1!$B:$B,[1]Sheet1!$AB:$AB,0)</f>
        <v>175000</v>
      </c>
    </row>
    <row r="1370" spans="2:34" ht="16.8" thickTop="1" thickBot="1" x14ac:dyDescent="0.35">
      <c r="B1370" s="3" t="str">
        <f t="shared" si="44"/>
        <v>45155004511001623Activation&amp;Prog-N422401200104</v>
      </c>
      <c r="C1370" s="6" t="s">
        <v>513</v>
      </c>
      <c r="D1370" s="6" t="s">
        <v>2137</v>
      </c>
      <c r="E1370" s="6" t="s">
        <v>2138</v>
      </c>
      <c r="F1370" s="6" t="s">
        <v>62</v>
      </c>
      <c r="G1370" s="4" t="s">
        <v>2807</v>
      </c>
      <c r="H1370" s="4" t="s">
        <v>2922</v>
      </c>
      <c r="I1370" s="6" t="s">
        <v>63</v>
      </c>
      <c r="J1370" s="6" t="s">
        <v>31</v>
      </c>
      <c r="K1370" s="12">
        <f>_xlfn.XLOOKUP(B1370,[1]Sheet1!$B:$B,[1]Sheet1!$N:$N,0)</f>
        <v>0</v>
      </c>
      <c r="L1370" s="12">
        <f>_xlfn.XLOOKUP(B1370,[1]Sheet1!$B:$B,[1]Sheet1!$O:$O,0)</f>
        <v>0</v>
      </c>
      <c r="M1370" s="12">
        <f>_xlfn.XLOOKUP(B1370,[1]Sheet1!$B:$B,[1]Sheet1!$P:$P,0)</f>
        <v>0</v>
      </c>
      <c r="N1370" s="12">
        <f>_xlfn.XLOOKUP(B1370,[1]Sheet1!$B:$B,[1]Sheet1!$Q:$Q,0)</f>
        <v>0</v>
      </c>
      <c r="O1370" s="12">
        <f>_xlfn.XLOOKUP(B1370,[1]Sheet1!$B:$B,[1]Sheet1!$R:$R,0)</f>
        <v>0</v>
      </c>
      <c r="P1370" s="12">
        <f>_xlfn.XLOOKUP(B1370,[1]Sheet1!$B:$B,[1]Sheet1!$S:$S,0)</f>
        <v>0</v>
      </c>
      <c r="Q1370" s="12">
        <f>_xlfn.XLOOKUP(B1370,[1]Sheet1!$B:$B,[1]Sheet1!$T:$T,0)</f>
        <v>0</v>
      </c>
      <c r="R1370" s="12">
        <f>_xlfn.XLOOKUP(B1370,[1]Sheet1!$B:$B,[1]Sheet1!$U:$U,0)</f>
        <v>0</v>
      </c>
      <c r="S1370" s="12">
        <f>_xlfn.XLOOKUP(B1370,[1]Sheet1!$B:$B,[1]Sheet1!$V:$V,0)</f>
        <v>0</v>
      </c>
      <c r="T1370" s="12">
        <f>_xlfn.XLOOKUP(B1370,[1]Sheet1!$B:$B,[1]Sheet1!$W:$W,0)</f>
        <v>0</v>
      </c>
      <c r="U1370" s="12">
        <f>_xlfn.XLOOKUP(B1370,[1]Sheet1!$B:$B,[1]Sheet1!$X:$X,0)</f>
        <v>0</v>
      </c>
      <c r="V1370" s="12">
        <f>_xlfn.XLOOKUP(B1370,[1]Sheet1!$B:$B,[1]Sheet1!$Y:$Y,0)</f>
        <v>0</v>
      </c>
      <c r="W1370" s="12">
        <f t="shared" si="45"/>
        <v>0</v>
      </c>
      <c r="X1370" s="6" t="s">
        <v>524</v>
      </c>
      <c r="Y1370" s="6" t="s">
        <v>211</v>
      </c>
      <c r="Z1370" s="6" t="s">
        <v>512</v>
      </c>
      <c r="AA1370" s="6" t="s">
        <v>68</v>
      </c>
      <c r="AB1370" s="6" t="s">
        <v>36</v>
      </c>
      <c r="AC1370" s="6" t="s">
        <v>37</v>
      </c>
      <c r="AD1370" s="6" t="s">
        <v>342</v>
      </c>
      <c r="AE1370" s="6" t="s">
        <v>39</v>
      </c>
      <c r="AF1370" s="6" t="s">
        <v>40</v>
      </c>
      <c r="AG1370" s="7">
        <v>987000</v>
      </c>
      <c r="AH1370" s="11">
        <f>_xlfn.XLOOKUP(B1370,[1]Sheet1!$B:$B,[1]Sheet1!$AB:$AB,0)</f>
        <v>987000</v>
      </c>
    </row>
    <row r="1371" spans="2:34" ht="16.8" thickTop="1" thickBot="1" x14ac:dyDescent="0.35">
      <c r="B1371" s="3" t="str">
        <f t="shared" si="44"/>
        <v>45131304511001631Sponsorship Fees-L424811201931</v>
      </c>
      <c r="C1371" s="8" t="s">
        <v>321</v>
      </c>
      <c r="D1371" s="8" t="s">
        <v>2139</v>
      </c>
      <c r="E1371" s="8" t="s">
        <v>2140</v>
      </c>
      <c r="F1371" s="8" t="s">
        <v>935</v>
      </c>
      <c r="G1371" s="4" t="s">
        <v>2802</v>
      </c>
      <c r="H1371" s="4" t="s">
        <v>2925</v>
      </c>
      <c r="I1371" s="8" t="s">
        <v>30</v>
      </c>
      <c r="J1371" s="8" t="s">
        <v>31</v>
      </c>
      <c r="K1371" s="12">
        <f>_xlfn.XLOOKUP(B1371,[1]Sheet1!$B:$B,[1]Sheet1!$N:$N,0)</f>
        <v>0</v>
      </c>
      <c r="L1371" s="12">
        <f>_xlfn.XLOOKUP(B1371,[1]Sheet1!$B:$B,[1]Sheet1!$O:$O,0)</f>
        <v>0</v>
      </c>
      <c r="M1371" s="12">
        <f>_xlfn.XLOOKUP(B1371,[1]Sheet1!$B:$B,[1]Sheet1!$P:$P,0)</f>
        <v>0</v>
      </c>
      <c r="N1371" s="12">
        <f>_xlfn.XLOOKUP(B1371,[1]Sheet1!$B:$B,[1]Sheet1!$Q:$Q,0)</f>
        <v>0</v>
      </c>
      <c r="O1371" s="12">
        <f>_xlfn.XLOOKUP(B1371,[1]Sheet1!$B:$B,[1]Sheet1!$R:$R,0)</f>
        <v>0</v>
      </c>
      <c r="P1371" s="12">
        <f>_xlfn.XLOOKUP(B1371,[1]Sheet1!$B:$B,[1]Sheet1!$S:$S,0)</f>
        <v>0</v>
      </c>
      <c r="Q1371" s="12">
        <f>_xlfn.XLOOKUP(B1371,[1]Sheet1!$B:$B,[1]Sheet1!$T:$T,0)</f>
        <v>0</v>
      </c>
      <c r="R1371" s="12">
        <f>_xlfn.XLOOKUP(B1371,[1]Sheet1!$B:$B,[1]Sheet1!$U:$U,0)</f>
        <v>0</v>
      </c>
      <c r="S1371" s="12">
        <f>_xlfn.XLOOKUP(B1371,[1]Sheet1!$B:$B,[1]Sheet1!$V:$V,0)</f>
        <v>0</v>
      </c>
      <c r="T1371" s="12">
        <f>_xlfn.XLOOKUP(B1371,[1]Sheet1!$B:$B,[1]Sheet1!$W:$W,0)</f>
        <v>0</v>
      </c>
      <c r="U1371" s="12">
        <f>_xlfn.XLOOKUP(B1371,[1]Sheet1!$B:$B,[1]Sheet1!$X:$X,0)</f>
        <v>0</v>
      </c>
      <c r="V1371" s="12">
        <f>_xlfn.XLOOKUP(B1371,[1]Sheet1!$B:$B,[1]Sheet1!$Y:$Y,0)</f>
        <v>0</v>
      </c>
      <c r="W1371" s="12">
        <f t="shared" si="45"/>
        <v>0</v>
      </c>
      <c r="X1371" s="8" t="s">
        <v>1356</v>
      </c>
      <c r="Y1371" s="8" t="s">
        <v>319</v>
      </c>
      <c r="Z1371" s="8" t="s">
        <v>320</v>
      </c>
      <c r="AA1371" s="8" t="s">
        <v>30</v>
      </c>
      <c r="AB1371" s="8" t="s">
        <v>327</v>
      </c>
      <c r="AC1371" s="8" t="s">
        <v>37</v>
      </c>
      <c r="AD1371" s="8" t="s">
        <v>342</v>
      </c>
      <c r="AE1371" s="8" t="s">
        <v>39</v>
      </c>
      <c r="AF1371" s="8" t="s">
        <v>40</v>
      </c>
      <c r="AG1371" s="9">
        <v>4240000</v>
      </c>
      <c r="AH1371" s="11">
        <f>_xlfn.XLOOKUP(B1371,[1]Sheet1!$B:$B,[1]Sheet1!$AB:$AB,0)</f>
        <v>4240000</v>
      </c>
    </row>
    <row r="1372" spans="2:34" ht="16.8" thickTop="1" thickBot="1" x14ac:dyDescent="0.35">
      <c r="B1372" s="3" t="str">
        <f t="shared" si="44"/>
        <v>45131304511001631Sponsorship Fees-N424811200104</v>
      </c>
      <c r="C1372" s="6" t="s">
        <v>321</v>
      </c>
      <c r="D1372" s="6" t="s">
        <v>2139</v>
      </c>
      <c r="E1372" s="6" t="s">
        <v>2140</v>
      </c>
      <c r="F1372" s="6" t="s">
        <v>506</v>
      </c>
      <c r="G1372" s="4" t="s">
        <v>2802</v>
      </c>
      <c r="H1372" s="4" t="s">
        <v>2922</v>
      </c>
      <c r="I1372" s="6" t="s">
        <v>30</v>
      </c>
      <c r="J1372" s="6" t="s">
        <v>31</v>
      </c>
      <c r="K1372" s="12">
        <f>_xlfn.XLOOKUP(B1372,[1]Sheet1!$B:$B,[1]Sheet1!$N:$N,0)</f>
        <v>0</v>
      </c>
      <c r="L1372" s="12">
        <f>_xlfn.XLOOKUP(B1372,[1]Sheet1!$B:$B,[1]Sheet1!$O:$O,0)</f>
        <v>0</v>
      </c>
      <c r="M1372" s="12">
        <f>_xlfn.XLOOKUP(B1372,[1]Sheet1!$B:$B,[1]Sheet1!$P:$P,0)</f>
        <v>0</v>
      </c>
      <c r="N1372" s="12">
        <f>_xlfn.XLOOKUP(B1372,[1]Sheet1!$B:$B,[1]Sheet1!$Q:$Q,0)</f>
        <v>0</v>
      </c>
      <c r="O1372" s="12">
        <f>_xlfn.XLOOKUP(B1372,[1]Sheet1!$B:$B,[1]Sheet1!$R:$R,0)</f>
        <v>0</v>
      </c>
      <c r="P1372" s="12">
        <f>_xlfn.XLOOKUP(B1372,[1]Sheet1!$B:$B,[1]Sheet1!$S:$S,0)</f>
        <v>0</v>
      </c>
      <c r="Q1372" s="12">
        <f>_xlfn.XLOOKUP(B1372,[1]Sheet1!$B:$B,[1]Sheet1!$T:$T,0)</f>
        <v>0</v>
      </c>
      <c r="R1372" s="12">
        <f>_xlfn.XLOOKUP(B1372,[1]Sheet1!$B:$B,[1]Sheet1!$U:$U,0)</f>
        <v>0</v>
      </c>
      <c r="S1372" s="12">
        <f>_xlfn.XLOOKUP(B1372,[1]Sheet1!$B:$B,[1]Sheet1!$V:$V,0)</f>
        <v>0</v>
      </c>
      <c r="T1372" s="12">
        <f>_xlfn.XLOOKUP(B1372,[1]Sheet1!$B:$B,[1]Sheet1!$W:$W,0)</f>
        <v>0</v>
      </c>
      <c r="U1372" s="12">
        <f>_xlfn.XLOOKUP(B1372,[1]Sheet1!$B:$B,[1]Sheet1!$X:$X,0)</f>
        <v>0</v>
      </c>
      <c r="V1372" s="12">
        <f>_xlfn.XLOOKUP(B1372,[1]Sheet1!$B:$B,[1]Sheet1!$Y:$Y,0)</f>
        <v>0</v>
      </c>
      <c r="W1372" s="12">
        <f t="shared" si="45"/>
        <v>0</v>
      </c>
      <c r="X1372" s="6" t="s">
        <v>507</v>
      </c>
      <c r="Y1372" s="6" t="s">
        <v>319</v>
      </c>
      <c r="Z1372" s="6" t="s">
        <v>320</v>
      </c>
      <c r="AA1372" s="6" t="s">
        <v>30</v>
      </c>
      <c r="AB1372" s="6" t="s">
        <v>36</v>
      </c>
      <c r="AC1372" s="6" t="s">
        <v>37</v>
      </c>
      <c r="AD1372" s="6" t="s">
        <v>322</v>
      </c>
      <c r="AE1372" s="6" t="s">
        <v>39</v>
      </c>
      <c r="AF1372" s="6" t="s">
        <v>40</v>
      </c>
      <c r="AG1372" s="7">
        <v>4000000</v>
      </c>
      <c r="AH1372" s="11">
        <f>_xlfn.XLOOKUP(B1372,[1]Sheet1!$B:$B,[1]Sheet1!$AB:$AB,0)</f>
        <v>4000000</v>
      </c>
    </row>
    <row r="1373" spans="2:34" ht="16.8" thickTop="1" thickBot="1" x14ac:dyDescent="0.35">
      <c r="B1373" s="3" t="str">
        <f t="shared" si="44"/>
        <v>45131104511001635SM Mgmnt Rtnr-N421125200104</v>
      </c>
      <c r="C1373" s="8" t="s">
        <v>348</v>
      </c>
      <c r="D1373" s="8" t="s">
        <v>2141</v>
      </c>
      <c r="E1373" s="8" t="s">
        <v>2142</v>
      </c>
      <c r="F1373" s="8" t="s">
        <v>502</v>
      </c>
      <c r="G1373" s="4" t="s">
        <v>2803</v>
      </c>
      <c r="H1373" s="4" t="s">
        <v>2922</v>
      </c>
      <c r="I1373" s="8" t="s">
        <v>44</v>
      </c>
      <c r="J1373" s="8" t="s">
        <v>31</v>
      </c>
      <c r="K1373" s="12">
        <f>_xlfn.XLOOKUP(B1373,[1]Sheet1!$B:$B,[1]Sheet1!$N:$N,0)</f>
        <v>0</v>
      </c>
      <c r="L1373" s="12">
        <f>_xlfn.XLOOKUP(B1373,[1]Sheet1!$B:$B,[1]Sheet1!$O:$O,0)</f>
        <v>0</v>
      </c>
      <c r="M1373" s="12">
        <f>_xlfn.XLOOKUP(B1373,[1]Sheet1!$B:$B,[1]Sheet1!$P:$P,0)</f>
        <v>0</v>
      </c>
      <c r="N1373" s="12">
        <f>_xlfn.XLOOKUP(B1373,[1]Sheet1!$B:$B,[1]Sheet1!$Q:$Q,0)</f>
        <v>0</v>
      </c>
      <c r="O1373" s="12">
        <f>_xlfn.XLOOKUP(B1373,[1]Sheet1!$B:$B,[1]Sheet1!$R:$R,0)</f>
        <v>0</v>
      </c>
      <c r="P1373" s="12">
        <f>_xlfn.XLOOKUP(B1373,[1]Sheet1!$B:$B,[1]Sheet1!$S:$S,0)</f>
        <v>0</v>
      </c>
      <c r="Q1373" s="12">
        <f>_xlfn.XLOOKUP(B1373,[1]Sheet1!$B:$B,[1]Sheet1!$T:$T,0)</f>
        <v>0</v>
      </c>
      <c r="R1373" s="12">
        <f>_xlfn.XLOOKUP(B1373,[1]Sheet1!$B:$B,[1]Sheet1!$U:$U,0)</f>
        <v>0</v>
      </c>
      <c r="S1373" s="12">
        <f>_xlfn.XLOOKUP(B1373,[1]Sheet1!$B:$B,[1]Sheet1!$V:$V,0)</f>
        <v>0</v>
      </c>
      <c r="T1373" s="12">
        <f>_xlfn.XLOOKUP(B1373,[1]Sheet1!$B:$B,[1]Sheet1!$W:$W,0)</f>
        <v>0</v>
      </c>
      <c r="U1373" s="12">
        <f>_xlfn.XLOOKUP(B1373,[1]Sheet1!$B:$B,[1]Sheet1!$X:$X,0)</f>
        <v>0</v>
      </c>
      <c r="V1373" s="12">
        <f>_xlfn.XLOOKUP(B1373,[1]Sheet1!$B:$B,[1]Sheet1!$Y:$Y,0)</f>
        <v>0</v>
      </c>
      <c r="W1373" s="12">
        <f t="shared" si="45"/>
        <v>0</v>
      </c>
      <c r="X1373" s="8" t="s">
        <v>503</v>
      </c>
      <c r="Y1373" s="8" t="s">
        <v>319</v>
      </c>
      <c r="Z1373" s="8" t="s">
        <v>347</v>
      </c>
      <c r="AA1373" s="8" t="s">
        <v>44</v>
      </c>
      <c r="AB1373" s="8" t="s">
        <v>36</v>
      </c>
      <c r="AC1373" s="8" t="s">
        <v>37</v>
      </c>
      <c r="AD1373" s="8" t="s">
        <v>322</v>
      </c>
      <c r="AE1373" s="8" t="s">
        <v>39</v>
      </c>
      <c r="AF1373" s="8" t="s">
        <v>40</v>
      </c>
      <c r="AG1373" s="9">
        <v>2028690</v>
      </c>
      <c r="AH1373" s="11">
        <f>_xlfn.XLOOKUP(B1373,[1]Sheet1!$B:$B,[1]Sheet1!$AB:$AB,0)</f>
        <v>2028690</v>
      </c>
    </row>
    <row r="1374" spans="2:34" ht="16.8" thickTop="1" thickBot="1" x14ac:dyDescent="0.35">
      <c r="B1374" s="3" t="str">
        <f t="shared" si="44"/>
        <v>45131104511001636SM Mgmnt Rtnr-N421125200104</v>
      </c>
      <c r="C1374" s="6" t="s">
        <v>348</v>
      </c>
      <c r="D1374" s="6" t="s">
        <v>2143</v>
      </c>
      <c r="E1374" s="6" t="s">
        <v>2144</v>
      </c>
      <c r="F1374" s="6" t="s">
        <v>502</v>
      </c>
      <c r="G1374" s="4" t="s">
        <v>2803</v>
      </c>
      <c r="H1374" s="4" t="s">
        <v>2922</v>
      </c>
      <c r="I1374" s="6" t="s">
        <v>44</v>
      </c>
      <c r="J1374" s="6" t="s">
        <v>31</v>
      </c>
      <c r="K1374" s="12">
        <f>_xlfn.XLOOKUP(B1374,[1]Sheet1!$B:$B,[1]Sheet1!$N:$N,0)</f>
        <v>0</v>
      </c>
      <c r="L1374" s="12">
        <f>_xlfn.XLOOKUP(B1374,[1]Sheet1!$B:$B,[1]Sheet1!$O:$O,0)</f>
        <v>0</v>
      </c>
      <c r="M1374" s="12">
        <f>_xlfn.XLOOKUP(B1374,[1]Sheet1!$B:$B,[1]Sheet1!$P:$P,0)</f>
        <v>0</v>
      </c>
      <c r="N1374" s="12">
        <f>_xlfn.XLOOKUP(B1374,[1]Sheet1!$B:$B,[1]Sheet1!$Q:$Q,0)</f>
        <v>0</v>
      </c>
      <c r="O1374" s="12">
        <f>_xlfn.XLOOKUP(B1374,[1]Sheet1!$B:$B,[1]Sheet1!$R:$R,0)</f>
        <v>0</v>
      </c>
      <c r="P1374" s="12">
        <f>_xlfn.XLOOKUP(B1374,[1]Sheet1!$B:$B,[1]Sheet1!$S:$S,0)</f>
        <v>0</v>
      </c>
      <c r="Q1374" s="12">
        <f>_xlfn.XLOOKUP(B1374,[1]Sheet1!$B:$B,[1]Sheet1!$T:$T,0)</f>
        <v>0</v>
      </c>
      <c r="R1374" s="12">
        <f>_xlfn.XLOOKUP(B1374,[1]Sheet1!$B:$B,[1]Sheet1!$U:$U,0)</f>
        <v>0</v>
      </c>
      <c r="S1374" s="12">
        <f>_xlfn.XLOOKUP(B1374,[1]Sheet1!$B:$B,[1]Sheet1!$V:$V,0)</f>
        <v>0</v>
      </c>
      <c r="T1374" s="12">
        <f>_xlfn.XLOOKUP(B1374,[1]Sheet1!$B:$B,[1]Sheet1!$W:$W,0)</f>
        <v>0</v>
      </c>
      <c r="U1374" s="12">
        <f>_xlfn.XLOOKUP(B1374,[1]Sheet1!$B:$B,[1]Sheet1!$X:$X,0)</f>
        <v>0</v>
      </c>
      <c r="V1374" s="12">
        <f>_xlfn.XLOOKUP(B1374,[1]Sheet1!$B:$B,[1]Sheet1!$Y:$Y,0)</f>
        <v>0</v>
      </c>
      <c r="W1374" s="12">
        <f t="shared" si="45"/>
        <v>0</v>
      </c>
      <c r="X1374" s="6" t="s">
        <v>503</v>
      </c>
      <c r="Y1374" s="6" t="s">
        <v>319</v>
      </c>
      <c r="Z1374" s="6" t="s">
        <v>347</v>
      </c>
      <c r="AA1374" s="6" t="s">
        <v>44</v>
      </c>
      <c r="AB1374" s="6" t="s">
        <v>36</v>
      </c>
      <c r="AC1374" s="6" t="s">
        <v>37</v>
      </c>
      <c r="AD1374" s="6" t="s">
        <v>322</v>
      </c>
      <c r="AE1374" s="6" t="s">
        <v>39</v>
      </c>
      <c r="AF1374" s="6" t="s">
        <v>40</v>
      </c>
      <c r="AG1374" s="7">
        <v>8133603</v>
      </c>
      <c r="AH1374" s="11">
        <f>_xlfn.XLOOKUP(B1374,[1]Sheet1!$B:$B,[1]Sheet1!$AB:$AB,0)</f>
        <v>8133603</v>
      </c>
    </row>
    <row r="1375" spans="2:34" ht="16.8" thickTop="1" thickBot="1" x14ac:dyDescent="0.35">
      <c r="B1375" s="3" t="str">
        <f t="shared" si="44"/>
        <v>45155004511001691Activation&amp;Prog-N422401200104</v>
      </c>
      <c r="C1375" s="8" t="s">
        <v>513</v>
      </c>
      <c r="D1375" s="8" t="s">
        <v>2145</v>
      </c>
      <c r="E1375" s="8" t="s">
        <v>2146</v>
      </c>
      <c r="F1375" s="8" t="s">
        <v>62</v>
      </c>
      <c r="G1375" s="4" t="s">
        <v>2807</v>
      </c>
      <c r="H1375" s="4" t="s">
        <v>2922</v>
      </c>
      <c r="I1375" s="8" t="s">
        <v>63</v>
      </c>
      <c r="J1375" s="8" t="s">
        <v>31</v>
      </c>
      <c r="K1375" s="12">
        <f>_xlfn.XLOOKUP(B1375,[1]Sheet1!$B:$B,[1]Sheet1!$N:$N,0)</f>
        <v>0</v>
      </c>
      <c r="L1375" s="12">
        <f>_xlfn.XLOOKUP(B1375,[1]Sheet1!$B:$B,[1]Sheet1!$O:$O,0)</f>
        <v>0</v>
      </c>
      <c r="M1375" s="12">
        <f>_xlfn.XLOOKUP(B1375,[1]Sheet1!$B:$B,[1]Sheet1!$P:$P,0)</f>
        <v>0</v>
      </c>
      <c r="N1375" s="12">
        <f>_xlfn.XLOOKUP(B1375,[1]Sheet1!$B:$B,[1]Sheet1!$Q:$Q,0)</f>
        <v>0</v>
      </c>
      <c r="O1375" s="12">
        <f>_xlfn.XLOOKUP(B1375,[1]Sheet1!$B:$B,[1]Sheet1!$R:$R,0)</f>
        <v>0</v>
      </c>
      <c r="P1375" s="12">
        <f>_xlfn.XLOOKUP(B1375,[1]Sheet1!$B:$B,[1]Sheet1!$S:$S,0)</f>
        <v>0</v>
      </c>
      <c r="Q1375" s="12">
        <f>_xlfn.XLOOKUP(B1375,[1]Sheet1!$B:$B,[1]Sheet1!$T:$T,0)</f>
        <v>0</v>
      </c>
      <c r="R1375" s="12">
        <f>_xlfn.XLOOKUP(B1375,[1]Sheet1!$B:$B,[1]Sheet1!$U:$U,0)</f>
        <v>0</v>
      </c>
      <c r="S1375" s="12">
        <f>_xlfn.XLOOKUP(B1375,[1]Sheet1!$B:$B,[1]Sheet1!$V:$V,0)</f>
        <v>0</v>
      </c>
      <c r="T1375" s="12">
        <f>_xlfn.XLOOKUP(B1375,[1]Sheet1!$B:$B,[1]Sheet1!$W:$W,0)</f>
        <v>0</v>
      </c>
      <c r="U1375" s="12">
        <f>_xlfn.XLOOKUP(B1375,[1]Sheet1!$B:$B,[1]Sheet1!$X:$X,0)</f>
        <v>0</v>
      </c>
      <c r="V1375" s="12">
        <f>_xlfn.XLOOKUP(B1375,[1]Sheet1!$B:$B,[1]Sheet1!$Y:$Y,0)</f>
        <v>0</v>
      </c>
      <c r="W1375" s="12">
        <f t="shared" si="45"/>
        <v>0</v>
      </c>
      <c r="X1375" s="8" t="s">
        <v>524</v>
      </c>
      <c r="Y1375" s="8" t="s">
        <v>211</v>
      </c>
      <c r="Z1375" s="8" t="s">
        <v>512</v>
      </c>
      <c r="AA1375" s="8" t="s">
        <v>68</v>
      </c>
      <c r="AB1375" s="8" t="s">
        <v>36</v>
      </c>
      <c r="AC1375" s="8" t="s">
        <v>37</v>
      </c>
      <c r="AD1375" s="8" t="s">
        <v>342</v>
      </c>
      <c r="AE1375" s="8" t="s">
        <v>39</v>
      </c>
      <c r="AF1375" s="8" t="s">
        <v>40</v>
      </c>
      <c r="AG1375" s="9">
        <v>5806674</v>
      </c>
      <c r="AH1375" s="11">
        <f>_xlfn.XLOOKUP(B1375,[1]Sheet1!$B:$B,[1]Sheet1!$AB:$AB,0)</f>
        <v>5806674</v>
      </c>
    </row>
    <row r="1376" spans="2:34" ht="16.8" thickTop="1" thickBot="1" x14ac:dyDescent="0.35">
      <c r="B1376" s="3" t="str">
        <f t="shared" si="44"/>
        <v>45117004511001706Event Management-N422401200104</v>
      </c>
      <c r="C1376" s="6" t="s">
        <v>260</v>
      </c>
      <c r="D1376" s="6" t="s">
        <v>2147</v>
      </c>
      <c r="E1376" s="6" t="s">
        <v>2148</v>
      </c>
      <c r="F1376" s="6" t="s">
        <v>162</v>
      </c>
      <c r="G1376" s="4" t="s">
        <v>2807</v>
      </c>
      <c r="H1376" s="4" t="s">
        <v>2922</v>
      </c>
      <c r="I1376" s="6" t="s">
        <v>63</v>
      </c>
      <c r="J1376" s="6" t="s">
        <v>31</v>
      </c>
      <c r="K1376" s="12">
        <f>_xlfn.XLOOKUP(B1376,[1]Sheet1!$B:$B,[1]Sheet1!$N:$N,0)</f>
        <v>0</v>
      </c>
      <c r="L1376" s="12">
        <f>_xlfn.XLOOKUP(B1376,[1]Sheet1!$B:$B,[1]Sheet1!$O:$O,0)</f>
        <v>0</v>
      </c>
      <c r="M1376" s="12">
        <f>_xlfn.XLOOKUP(B1376,[1]Sheet1!$B:$B,[1]Sheet1!$P:$P,0)</f>
        <v>0</v>
      </c>
      <c r="N1376" s="12">
        <f>_xlfn.XLOOKUP(B1376,[1]Sheet1!$B:$B,[1]Sheet1!$Q:$Q,0)</f>
        <v>0</v>
      </c>
      <c r="O1376" s="12">
        <f>_xlfn.XLOOKUP(B1376,[1]Sheet1!$B:$B,[1]Sheet1!$R:$R,0)</f>
        <v>0</v>
      </c>
      <c r="P1376" s="12">
        <f>_xlfn.XLOOKUP(B1376,[1]Sheet1!$B:$B,[1]Sheet1!$S:$S,0)</f>
        <v>0</v>
      </c>
      <c r="Q1376" s="12">
        <f>_xlfn.XLOOKUP(B1376,[1]Sheet1!$B:$B,[1]Sheet1!$T:$T,0)</f>
        <v>0</v>
      </c>
      <c r="R1376" s="12">
        <f>_xlfn.XLOOKUP(B1376,[1]Sheet1!$B:$B,[1]Sheet1!$U:$U,0)</f>
        <v>0</v>
      </c>
      <c r="S1376" s="12">
        <f>_xlfn.XLOOKUP(B1376,[1]Sheet1!$B:$B,[1]Sheet1!$V:$V,0)</f>
        <v>0</v>
      </c>
      <c r="T1376" s="12">
        <f>_xlfn.XLOOKUP(B1376,[1]Sheet1!$B:$B,[1]Sheet1!$W:$W,0)</f>
        <v>0</v>
      </c>
      <c r="U1376" s="12">
        <f>_xlfn.XLOOKUP(B1376,[1]Sheet1!$B:$B,[1]Sheet1!$X:$X,0)</f>
        <v>0</v>
      </c>
      <c r="V1376" s="12">
        <f>_xlfn.XLOOKUP(B1376,[1]Sheet1!$B:$B,[1]Sheet1!$Y:$Y,0)</f>
        <v>0</v>
      </c>
      <c r="W1376" s="12">
        <f t="shared" si="45"/>
        <v>0</v>
      </c>
      <c r="X1376" s="6" t="s">
        <v>258</v>
      </c>
      <c r="Y1376" s="6" t="s">
        <v>65</v>
      </c>
      <c r="Z1376" s="6" t="s">
        <v>259</v>
      </c>
      <c r="AA1376" s="6" t="s">
        <v>68</v>
      </c>
      <c r="AB1376" s="6" t="s">
        <v>36</v>
      </c>
      <c r="AC1376" s="6" t="s">
        <v>37</v>
      </c>
      <c r="AD1376" s="6" t="s">
        <v>102</v>
      </c>
      <c r="AE1376" s="6" t="s">
        <v>39</v>
      </c>
      <c r="AF1376" s="6" t="s">
        <v>40</v>
      </c>
      <c r="AG1376" s="7">
        <v>9000000</v>
      </c>
      <c r="AH1376" s="11">
        <f>_xlfn.XLOOKUP(B1376,[1]Sheet1!$B:$B,[1]Sheet1!$AB:$AB,0)</f>
        <v>9000000</v>
      </c>
    </row>
    <row r="1377" spans="2:34" ht="16.8" thickTop="1" thickBot="1" x14ac:dyDescent="0.35">
      <c r="B1377" s="3" t="str">
        <f t="shared" si="44"/>
        <v>45110104511001706Event Management-N1422401202185</v>
      </c>
      <c r="C1377" s="8" t="s">
        <v>268</v>
      </c>
      <c r="D1377" s="8" t="s">
        <v>2147</v>
      </c>
      <c r="E1377" s="8" t="s">
        <v>2148</v>
      </c>
      <c r="F1377" s="8" t="s">
        <v>122</v>
      </c>
      <c r="G1377" s="4" t="s">
        <v>2807</v>
      </c>
      <c r="H1377" s="4" t="s">
        <v>2938</v>
      </c>
      <c r="I1377" s="8" t="s">
        <v>63</v>
      </c>
      <c r="J1377" s="8" t="s">
        <v>31</v>
      </c>
      <c r="K1377" s="12">
        <f>_xlfn.XLOOKUP(B1377,[1]Sheet1!$B:$B,[1]Sheet1!$N:$N,0)</f>
        <v>0</v>
      </c>
      <c r="L1377" s="12">
        <f>_xlfn.XLOOKUP(B1377,[1]Sheet1!$B:$B,[1]Sheet1!$O:$O,0)</f>
        <v>0</v>
      </c>
      <c r="M1377" s="12">
        <f>_xlfn.XLOOKUP(B1377,[1]Sheet1!$B:$B,[1]Sheet1!$P:$P,0)</f>
        <v>0</v>
      </c>
      <c r="N1377" s="12">
        <f>_xlfn.XLOOKUP(B1377,[1]Sheet1!$B:$B,[1]Sheet1!$Q:$Q,0)</f>
        <v>0</v>
      </c>
      <c r="O1377" s="12">
        <f>_xlfn.XLOOKUP(B1377,[1]Sheet1!$B:$B,[1]Sheet1!$R:$R,0)</f>
        <v>0</v>
      </c>
      <c r="P1377" s="12">
        <f>_xlfn.XLOOKUP(B1377,[1]Sheet1!$B:$B,[1]Sheet1!$S:$S,0)</f>
        <v>0</v>
      </c>
      <c r="Q1377" s="12">
        <f>_xlfn.XLOOKUP(B1377,[1]Sheet1!$B:$B,[1]Sheet1!$T:$T,0)</f>
        <v>0</v>
      </c>
      <c r="R1377" s="12">
        <f>_xlfn.XLOOKUP(B1377,[1]Sheet1!$B:$B,[1]Sheet1!$U:$U,0)</f>
        <v>0</v>
      </c>
      <c r="S1377" s="12">
        <f>_xlfn.XLOOKUP(B1377,[1]Sheet1!$B:$B,[1]Sheet1!$V:$V,0)</f>
        <v>0</v>
      </c>
      <c r="T1377" s="12">
        <f>_xlfn.XLOOKUP(B1377,[1]Sheet1!$B:$B,[1]Sheet1!$W:$W,0)</f>
        <v>0</v>
      </c>
      <c r="U1377" s="12">
        <f>_xlfn.XLOOKUP(B1377,[1]Sheet1!$B:$B,[1]Sheet1!$X:$X,0)</f>
        <v>0</v>
      </c>
      <c r="V1377" s="12">
        <f>_xlfn.XLOOKUP(B1377,[1]Sheet1!$B:$B,[1]Sheet1!$Y:$Y,0)</f>
        <v>0</v>
      </c>
      <c r="W1377" s="12">
        <f t="shared" si="45"/>
        <v>0</v>
      </c>
      <c r="X1377" s="8" t="s">
        <v>2149</v>
      </c>
      <c r="Y1377" s="8" t="s">
        <v>65</v>
      </c>
      <c r="Z1377" s="8" t="s">
        <v>267</v>
      </c>
      <c r="AA1377" s="8" t="s">
        <v>68</v>
      </c>
      <c r="AB1377" s="8" t="s">
        <v>2150</v>
      </c>
      <c r="AC1377" s="8" t="s">
        <v>37</v>
      </c>
      <c r="AD1377" s="8" t="s">
        <v>102</v>
      </c>
      <c r="AE1377" s="8" t="s">
        <v>39</v>
      </c>
      <c r="AF1377" s="8" t="s">
        <v>40</v>
      </c>
      <c r="AG1377" s="9">
        <v>5508750</v>
      </c>
      <c r="AH1377" s="11">
        <f>_xlfn.XLOOKUP(B1377,[1]Sheet1!$B:$B,[1]Sheet1!$AB:$AB,0)</f>
        <v>5508750</v>
      </c>
    </row>
    <row r="1378" spans="2:34" ht="16.8" thickTop="1" thickBot="1" x14ac:dyDescent="0.35">
      <c r="B1378" s="3" t="str">
        <f t="shared" si="44"/>
        <v>45110104511001706Licenses Fees-N424131202185</v>
      </c>
      <c r="C1378" s="6" t="s">
        <v>268</v>
      </c>
      <c r="D1378" s="6" t="s">
        <v>2147</v>
      </c>
      <c r="E1378" s="6" t="s">
        <v>2148</v>
      </c>
      <c r="F1378" s="6" t="s">
        <v>365</v>
      </c>
      <c r="G1378" s="4" t="s">
        <v>2835</v>
      </c>
      <c r="H1378" s="4" t="s">
        <v>2938</v>
      </c>
      <c r="I1378" s="6" t="s">
        <v>366</v>
      </c>
      <c r="J1378" s="6" t="s">
        <v>31</v>
      </c>
      <c r="K1378" s="12">
        <f>_xlfn.XLOOKUP(B1378,[1]Sheet1!$B:$B,[1]Sheet1!$N:$N,0)</f>
        <v>0</v>
      </c>
      <c r="L1378" s="12">
        <f>_xlfn.XLOOKUP(B1378,[1]Sheet1!$B:$B,[1]Sheet1!$O:$O,0)</f>
        <v>0</v>
      </c>
      <c r="M1378" s="12">
        <f>_xlfn.XLOOKUP(B1378,[1]Sheet1!$B:$B,[1]Sheet1!$P:$P,0)</f>
        <v>0</v>
      </c>
      <c r="N1378" s="12">
        <f>_xlfn.XLOOKUP(B1378,[1]Sheet1!$B:$B,[1]Sheet1!$Q:$Q,0)</f>
        <v>0</v>
      </c>
      <c r="O1378" s="12">
        <f>_xlfn.XLOOKUP(B1378,[1]Sheet1!$B:$B,[1]Sheet1!$R:$R,0)</f>
        <v>0</v>
      </c>
      <c r="P1378" s="12">
        <f>_xlfn.XLOOKUP(B1378,[1]Sheet1!$B:$B,[1]Sheet1!$S:$S,0)</f>
        <v>0</v>
      </c>
      <c r="Q1378" s="12">
        <f>_xlfn.XLOOKUP(B1378,[1]Sheet1!$B:$B,[1]Sheet1!$T:$T,0)</f>
        <v>0</v>
      </c>
      <c r="R1378" s="12">
        <f>_xlfn.XLOOKUP(B1378,[1]Sheet1!$B:$B,[1]Sheet1!$U:$U,0)</f>
        <v>0</v>
      </c>
      <c r="S1378" s="12">
        <f>_xlfn.XLOOKUP(B1378,[1]Sheet1!$B:$B,[1]Sheet1!$V:$V,0)</f>
        <v>0</v>
      </c>
      <c r="T1378" s="12">
        <f>_xlfn.XLOOKUP(B1378,[1]Sheet1!$B:$B,[1]Sheet1!$W:$W,0)</f>
        <v>0</v>
      </c>
      <c r="U1378" s="12">
        <f>_xlfn.XLOOKUP(B1378,[1]Sheet1!$B:$B,[1]Sheet1!$X:$X,0)</f>
        <v>0</v>
      </c>
      <c r="V1378" s="12">
        <f>_xlfn.XLOOKUP(B1378,[1]Sheet1!$B:$B,[1]Sheet1!$Y:$Y,0)</f>
        <v>0</v>
      </c>
      <c r="W1378" s="12">
        <f t="shared" si="45"/>
        <v>0</v>
      </c>
      <c r="X1378" s="6" t="s">
        <v>2151</v>
      </c>
      <c r="Y1378" s="6" t="s">
        <v>65</v>
      </c>
      <c r="Z1378" s="6" t="s">
        <v>267</v>
      </c>
      <c r="AA1378" s="6" t="s">
        <v>366</v>
      </c>
      <c r="AB1378" s="6" t="s">
        <v>2150</v>
      </c>
      <c r="AC1378" s="6" t="s">
        <v>37</v>
      </c>
      <c r="AD1378" s="6" t="s">
        <v>102</v>
      </c>
      <c r="AE1378" s="6" t="s">
        <v>39</v>
      </c>
      <c r="AF1378" s="6" t="s">
        <v>40</v>
      </c>
      <c r="AG1378" s="7">
        <v>12853750</v>
      </c>
      <c r="AH1378" s="11">
        <f>_xlfn.XLOOKUP(B1378,[1]Sheet1!$B:$B,[1]Sheet1!$AB:$AB,0)</f>
        <v>12853750</v>
      </c>
    </row>
    <row r="1379" spans="2:34" ht="16.8" thickTop="1" thickBot="1" x14ac:dyDescent="0.35">
      <c r="B1379" s="3" t="str">
        <f t="shared" si="44"/>
        <v>45110104511001709Event Management462611502175</v>
      </c>
      <c r="C1379" s="8" t="s">
        <v>268</v>
      </c>
      <c r="D1379" s="8" t="s">
        <v>2152</v>
      </c>
      <c r="E1379" s="8" t="s">
        <v>2153</v>
      </c>
      <c r="F1379" s="8" t="s">
        <v>2154</v>
      </c>
      <c r="G1379" s="4" t="s">
        <v>2875</v>
      </c>
      <c r="H1379" s="4" t="s">
        <v>2939</v>
      </c>
      <c r="I1379" s="8" t="s">
        <v>1641</v>
      </c>
      <c r="J1379" s="8" t="s">
        <v>31</v>
      </c>
      <c r="K1379" s="12">
        <f>_xlfn.XLOOKUP(B1379,[1]Sheet1!$B:$B,[1]Sheet1!$N:$N,0)</f>
        <v>0</v>
      </c>
      <c r="L1379" s="12">
        <f>_xlfn.XLOOKUP(B1379,[1]Sheet1!$B:$B,[1]Sheet1!$O:$O,0)</f>
        <v>0</v>
      </c>
      <c r="M1379" s="12">
        <f>_xlfn.XLOOKUP(B1379,[1]Sheet1!$B:$B,[1]Sheet1!$P:$P,0)</f>
        <v>0</v>
      </c>
      <c r="N1379" s="12">
        <f>_xlfn.XLOOKUP(B1379,[1]Sheet1!$B:$B,[1]Sheet1!$Q:$Q,0)</f>
        <v>0</v>
      </c>
      <c r="O1379" s="12">
        <f>_xlfn.XLOOKUP(B1379,[1]Sheet1!$B:$B,[1]Sheet1!$R:$R,0)</f>
        <v>0</v>
      </c>
      <c r="P1379" s="12">
        <f>_xlfn.XLOOKUP(B1379,[1]Sheet1!$B:$B,[1]Sheet1!$S:$S,0)</f>
        <v>0</v>
      </c>
      <c r="Q1379" s="12">
        <f>_xlfn.XLOOKUP(B1379,[1]Sheet1!$B:$B,[1]Sheet1!$T:$T,0)</f>
        <v>0</v>
      </c>
      <c r="R1379" s="12">
        <f>_xlfn.XLOOKUP(B1379,[1]Sheet1!$B:$B,[1]Sheet1!$U:$U,0)</f>
        <v>0</v>
      </c>
      <c r="S1379" s="12">
        <f>_xlfn.XLOOKUP(B1379,[1]Sheet1!$B:$B,[1]Sheet1!$V:$V,0)</f>
        <v>0</v>
      </c>
      <c r="T1379" s="12">
        <f>_xlfn.XLOOKUP(B1379,[1]Sheet1!$B:$B,[1]Sheet1!$W:$W,0)</f>
        <v>0</v>
      </c>
      <c r="U1379" s="12">
        <f>_xlfn.XLOOKUP(B1379,[1]Sheet1!$B:$B,[1]Sheet1!$X:$X,0)</f>
        <v>0</v>
      </c>
      <c r="V1379" s="12">
        <f>_xlfn.XLOOKUP(B1379,[1]Sheet1!$B:$B,[1]Sheet1!$Y:$Y,0)</f>
        <v>0</v>
      </c>
      <c r="W1379" s="12">
        <f t="shared" si="45"/>
        <v>0</v>
      </c>
      <c r="X1379" s="8" t="s">
        <v>2155</v>
      </c>
      <c r="Y1379" s="8" t="s">
        <v>65</v>
      </c>
      <c r="Z1379" s="8" t="s">
        <v>267</v>
      </c>
      <c r="AA1379" s="8" t="s">
        <v>1643</v>
      </c>
      <c r="AB1379" s="8" t="s">
        <v>2156</v>
      </c>
      <c r="AC1379" s="8" t="s">
        <v>1637</v>
      </c>
      <c r="AD1379" s="8" t="s">
        <v>270</v>
      </c>
      <c r="AE1379" s="8" t="s">
        <v>39</v>
      </c>
      <c r="AF1379" s="8" t="s">
        <v>40</v>
      </c>
      <c r="AG1379" s="9">
        <v>7747698</v>
      </c>
      <c r="AH1379" s="11">
        <f>_xlfn.XLOOKUP(B1379,[1]Sheet1!$B:$B,[1]Sheet1!$AB:$AB,0)</f>
        <v>0</v>
      </c>
    </row>
    <row r="1380" spans="2:34" ht="16.8" thickTop="1" thickBot="1" x14ac:dyDescent="0.35">
      <c r="B1380" s="3" t="str">
        <f t="shared" si="44"/>
        <v>45153004511001710ManagementAdvice-N424521200104</v>
      </c>
      <c r="C1380" s="6" t="s">
        <v>1075</v>
      </c>
      <c r="D1380" s="6" t="s">
        <v>2157</v>
      </c>
      <c r="E1380" s="6" t="s">
        <v>2158</v>
      </c>
      <c r="F1380" s="6" t="s">
        <v>230</v>
      </c>
      <c r="G1380" s="4" t="s">
        <v>2804</v>
      </c>
      <c r="H1380" s="4" t="s">
        <v>2922</v>
      </c>
      <c r="I1380" s="6" t="s">
        <v>51</v>
      </c>
      <c r="J1380" s="6" t="s">
        <v>31</v>
      </c>
      <c r="K1380" s="12">
        <f>_xlfn.XLOOKUP(B1380,[1]Sheet1!$B:$B,[1]Sheet1!$N:$N,0)</f>
        <v>0</v>
      </c>
      <c r="L1380" s="12">
        <f>_xlfn.XLOOKUP(B1380,[1]Sheet1!$B:$B,[1]Sheet1!$O:$O,0)</f>
        <v>0</v>
      </c>
      <c r="M1380" s="12">
        <f>_xlfn.XLOOKUP(B1380,[1]Sheet1!$B:$B,[1]Sheet1!$P:$P,0)</f>
        <v>0</v>
      </c>
      <c r="N1380" s="12">
        <f>_xlfn.XLOOKUP(B1380,[1]Sheet1!$B:$B,[1]Sheet1!$Q:$Q,0)</f>
        <v>0</v>
      </c>
      <c r="O1380" s="12">
        <f>_xlfn.XLOOKUP(B1380,[1]Sheet1!$B:$B,[1]Sheet1!$R:$R,0)</f>
        <v>0</v>
      </c>
      <c r="P1380" s="12">
        <f>_xlfn.XLOOKUP(B1380,[1]Sheet1!$B:$B,[1]Sheet1!$S:$S,0)</f>
        <v>0</v>
      </c>
      <c r="Q1380" s="12">
        <f>_xlfn.XLOOKUP(B1380,[1]Sheet1!$B:$B,[1]Sheet1!$T:$T,0)</f>
        <v>0</v>
      </c>
      <c r="R1380" s="12">
        <f>_xlfn.XLOOKUP(B1380,[1]Sheet1!$B:$B,[1]Sheet1!$U:$U,0)</f>
        <v>0</v>
      </c>
      <c r="S1380" s="12">
        <f>_xlfn.XLOOKUP(B1380,[1]Sheet1!$B:$B,[1]Sheet1!$V:$V,0)</f>
        <v>0</v>
      </c>
      <c r="T1380" s="12">
        <f>_xlfn.XLOOKUP(B1380,[1]Sheet1!$B:$B,[1]Sheet1!$W:$W,0)</f>
        <v>0</v>
      </c>
      <c r="U1380" s="12">
        <f>_xlfn.XLOOKUP(B1380,[1]Sheet1!$B:$B,[1]Sheet1!$X:$X,0)</f>
        <v>0</v>
      </c>
      <c r="V1380" s="12">
        <f>_xlfn.XLOOKUP(B1380,[1]Sheet1!$B:$B,[1]Sheet1!$Y:$Y,0)</f>
        <v>0</v>
      </c>
      <c r="W1380" s="12">
        <f t="shared" si="45"/>
        <v>0</v>
      </c>
      <c r="X1380" s="6" t="s">
        <v>1076</v>
      </c>
      <c r="Y1380" s="6" t="s">
        <v>211</v>
      </c>
      <c r="Z1380" s="6" t="s">
        <v>1074</v>
      </c>
      <c r="AA1380" s="6" t="s">
        <v>53</v>
      </c>
      <c r="AB1380" s="6" t="s">
        <v>36</v>
      </c>
      <c r="AC1380" s="6" t="s">
        <v>37</v>
      </c>
      <c r="AD1380" s="6" t="s">
        <v>1077</v>
      </c>
      <c r="AE1380" s="6" t="s">
        <v>39</v>
      </c>
      <c r="AF1380" s="6" t="s">
        <v>40</v>
      </c>
      <c r="AG1380" s="7">
        <v>6000000</v>
      </c>
      <c r="AH1380" s="11">
        <f>_xlfn.XLOOKUP(B1380,[1]Sheet1!$B:$B,[1]Sheet1!$AB:$AB,0)</f>
        <v>6000000</v>
      </c>
    </row>
    <row r="1381" spans="2:34" ht="16.8" thickTop="1" thickBot="1" x14ac:dyDescent="0.35">
      <c r="B1381" s="3" t="str">
        <f t="shared" si="44"/>
        <v>45101704511001713Licenses Fees-N424131200104</v>
      </c>
      <c r="C1381" s="8" t="s">
        <v>142</v>
      </c>
      <c r="D1381" s="8" t="s">
        <v>2159</v>
      </c>
      <c r="E1381" s="8" t="s">
        <v>2160</v>
      </c>
      <c r="F1381" s="8" t="s">
        <v>365</v>
      </c>
      <c r="G1381" s="4" t="s">
        <v>2835</v>
      </c>
      <c r="H1381" s="4" t="s">
        <v>2922</v>
      </c>
      <c r="I1381" s="8" t="s">
        <v>366</v>
      </c>
      <c r="J1381" s="8" t="s">
        <v>31</v>
      </c>
      <c r="K1381" s="12">
        <f>_xlfn.XLOOKUP(B1381,[1]Sheet1!$B:$B,[1]Sheet1!$N:$N,0)</f>
        <v>0</v>
      </c>
      <c r="L1381" s="12">
        <f>_xlfn.XLOOKUP(B1381,[1]Sheet1!$B:$B,[1]Sheet1!$O:$O,0)</f>
        <v>0</v>
      </c>
      <c r="M1381" s="12">
        <f>_xlfn.XLOOKUP(B1381,[1]Sheet1!$B:$B,[1]Sheet1!$P:$P,0)</f>
        <v>0</v>
      </c>
      <c r="N1381" s="12">
        <f>_xlfn.XLOOKUP(B1381,[1]Sheet1!$B:$B,[1]Sheet1!$Q:$Q,0)</f>
        <v>0</v>
      </c>
      <c r="O1381" s="12">
        <f>_xlfn.XLOOKUP(B1381,[1]Sheet1!$B:$B,[1]Sheet1!$R:$R,0)</f>
        <v>0</v>
      </c>
      <c r="P1381" s="12">
        <f>_xlfn.XLOOKUP(B1381,[1]Sheet1!$B:$B,[1]Sheet1!$S:$S,0)</f>
        <v>0</v>
      </c>
      <c r="Q1381" s="12">
        <f>_xlfn.XLOOKUP(B1381,[1]Sheet1!$B:$B,[1]Sheet1!$T:$T,0)</f>
        <v>0</v>
      </c>
      <c r="R1381" s="12">
        <f>_xlfn.XLOOKUP(B1381,[1]Sheet1!$B:$B,[1]Sheet1!$U:$U,0)</f>
        <v>0</v>
      </c>
      <c r="S1381" s="12">
        <f>_xlfn.XLOOKUP(B1381,[1]Sheet1!$B:$B,[1]Sheet1!$V:$V,0)</f>
        <v>0</v>
      </c>
      <c r="T1381" s="12">
        <f>_xlfn.XLOOKUP(B1381,[1]Sheet1!$B:$B,[1]Sheet1!$W:$W,0)</f>
        <v>0</v>
      </c>
      <c r="U1381" s="12">
        <f>_xlfn.XLOOKUP(B1381,[1]Sheet1!$B:$B,[1]Sheet1!$X:$X,0)</f>
        <v>0</v>
      </c>
      <c r="V1381" s="12">
        <f>_xlfn.XLOOKUP(B1381,[1]Sheet1!$B:$B,[1]Sheet1!$Y:$Y,0)</f>
        <v>0</v>
      </c>
      <c r="W1381" s="12">
        <f t="shared" si="45"/>
        <v>0</v>
      </c>
      <c r="X1381" s="8" t="s">
        <v>2161</v>
      </c>
      <c r="Y1381" s="8" t="s">
        <v>132</v>
      </c>
      <c r="Z1381" s="8" t="s">
        <v>141</v>
      </c>
      <c r="AA1381" s="8" t="s">
        <v>366</v>
      </c>
      <c r="AB1381" s="8" t="s">
        <v>36</v>
      </c>
      <c r="AC1381" s="8" t="s">
        <v>37</v>
      </c>
      <c r="AD1381" s="8" t="s">
        <v>102</v>
      </c>
      <c r="AE1381" s="8" t="s">
        <v>39</v>
      </c>
      <c r="AF1381" s="8" t="s">
        <v>40</v>
      </c>
      <c r="AG1381" s="9">
        <v>832653</v>
      </c>
      <c r="AH1381" s="11">
        <f>_xlfn.XLOOKUP(B1381,[1]Sheet1!$B:$B,[1]Sheet1!$AB:$AB,0)</f>
        <v>832653</v>
      </c>
    </row>
    <row r="1382" spans="2:34" ht="16.8" thickTop="1" thickBot="1" x14ac:dyDescent="0.35">
      <c r="B1382" s="3" t="str">
        <f t="shared" si="44"/>
        <v>45101704511001713Peripherals-N422212200104</v>
      </c>
      <c r="C1382" s="6" t="s">
        <v>142</v>
      </c>
      <c r="D1382" s="6" t="s">
        <v>2159</v>
      </c>
      <c r="E1382" s="6" t="s">
        <v>2160</v>
      </c>
      <c r="F1382" s="6" t="s">
        <v>2162</v>
      </c>
      <c r="G1382" s="4" t="s">
        <v>2845</v>
      </c>
      <c r="H1382" s="4" t="s">
        <v>2922</v>
      </c>
      <c r="I1382" s="6" t="s">
        <v>477</v>
      </c>
      <c r="J1382" s="6" t="s">
        <v>31</v>
      </c>
      <c r="K1382" s="12">
        <f>_xlfn.XLOOKUP(B1382,[1]Sheet1!$B:$B,[1]Sheet1!$N:$N,0)</f>
        <v>0</v>
      </c>
      <c r="L1382" s="12">
        <f>_xlfn.XLOOKUP(B1382,[1]Sheet1!$B:$B,[1]Sheet1!$O:$O,0)</f>
        <v>0</v>
      </c>
      <c r="M1382" s="12">
        <f>_xlfn.XLOOKUP(B1382,[1]Sheet1!$B:$B,[1]Sheet1!$P:$P,0)</f>
        <v>0</v>
      </c>
      <c r="N1382" s="12">
        <f>_xlfn.XLOOKUP(B1382,[1]Sheet1!$B:$B,[1]Sheet1!$Q:$Q,0)</f>
        <v>0</v>
      </c>
      <c r="O1382" s="12">
        <f>_xlfn.XLOOKUP(B1382,[1]Sheet1!$B:$B,[1]Sheet1!$R:$R,0)</f>
        <v>0</v>
      </c>
      <c r="P1382" s="12">
        <f>_xlfn.XLOOKUP(B1382,[1]Sheet1!$B:$B,[1]Sheet1!$S:$S,0)</f>
        <v>0</v>
      </c>
      <c r="Q1382" s="12">
        <f>_xlfn.XLOOKUP(B1382,[1]Sheet1!$B:$B,[1]Sheet1!$T:$T,0)</f>
        <v>0</v>
      </c>
      <c r="R1382" s="12">
        <f>_xlfn.XLOOKUP(B1382,[1]Sheet1!$B:$B,[1]Sheet1!$U:$U,0)</f>
        <v>0</v>
      </c>
      <c r="S1382" s="12">
        <f>_xlfn.XLOOKUP(B1382,[1]Sheet1!$B:$B,[1]Sheet1!$V:$V,0)</f>
        <v>0</v>
      </c>
      <c r="T1382" s="12">
        <f>_xlfn.XLOOKUP(B1382,[1]Sheet1!$B:$B,[1]Sheet1!$W:$W,0)</f>
        <v>0</v>
      </c>
      <c r="U1382" s="12">
        <f>_xlfn.XLOOKUP(B1382,[1]Sheet1!$B:$B,[1]Sheet1!$X:$X,0)</f>
        <v>0</v>
      </c>
      <c r="V1382" s="12">
        <f>_xlfn.XLOOKUP(B1382,[1]Sheet1!$B:$B,[1]Sheet1!$Y:$Y,0)</f>
        <v>0</v>
      </c>
      <c r="W1382" s="12">
        <f t="shared" si="45"/>
        <v>0</v>
      </c>
      <c r="X1382" s="6" t="s">
        <v>2163</v>
      </c>
      <c r="Y1382" s="6" t="s">
        <v>132</v>
      </c>
      <c r="Z1382" s="6" t="s">
        <v>141</v>
      </c>
      <c r="AA1382" s="6" t="s">
        <v>481</v>
      </c>
      <c r="AB1382" s="6" t="s">
        <v>36</v>
      </c>
      <c r="AC1382" s="6" t="s">
        <v>37</v>
      </c>
      <c r="AD1382" s="6" t="s">
        <v>102</v>
      </c>
      <c r="AE1382" s="6" t="s">
        <v>39</v>
      </c>
      <c r="AF1382" s="6" t="s">
        <v>40</v>
      </c>
      <c r="AG1382" s="7">
        <v>3040000</v>
      </c>
      <c r="AH1382" s="11">
        <f>_xlfn.XLOOKUP(B1382,[1]Sheet1!$B:$B,[1]Sheet1!$AB:$AB,0)</f>
        <v>3040000</v>
      </c>
    </row>
    <row r="1383" spans="2:34" ht="16.8" thickTop="1" thickBot="1" x14ac:dyDescent="0.35">
      <c r="B1383" s="3" t="str">
        <f t="shared" si="44"/>
        <v>45151004511001730Trade Partners-IO461412402066</v>
      </c>
      <c r="C1383" s="8" t="s">
        <v>746</v>
      </c>
      <c r="D1383" s="8" t="s">
        <v>2164</v>
      </c>
      <c r="E1383" s="8" t="s">
        <v>2165</v>
      </c>
      <c r="F1383" s="8" t="s">
        <v>1731</v>
      </c>
      <c r="G1383" s="4" t="s">
        <v>2868</v>
      </c>
      <c r="H1383" s="4" t="s">
        <v>2937</v>
      </c>
      <c r="I1383" s="8" t="s">
        <v>1255</v>
      </c>
      <c r="J1383" s="8" t="s">
        <v>31</v>
      </c>
      <c r="K1383" s="12">
        <f>_xlfn.XLOOKUP(B1383,[1]Sheet1!$B:$B,[1]Sheet1!$N:$N,0)</f>
        <v>0</v>
      </c>
      <c r="L1383" s="12">
        <f>_xlfn.XLOOKUP(B1383,[1]Sheet1!$B:$B,[1]Sheet1!$O:$O,0)</f>
        <v>0</v>
      </c>
      <c r="M1383" s="12">
        <f>_xlfn.XLOOKUP(B1383,[1]Sheet1!$B:$B,[1]Sheet1!$P:$P,0)</f>
        <v>0</v>
      </c>
      <c r="N1383" s="12">
        <f>_xlfn.XLOOKUP(B1383,[1]Sheet1!$B:$B,[1]Sheet1!$Q:$Q,0)</f>
        <v>0</v>
      </c>
      <c r="O1383" s="12">
        <f>_xlfn.XLOOKUP(B1383,[1]Sheet1!$B:$B,[1]Sheet1!$R:$R,0)</f>
        <v>0</v>
      </c>
      <c r="P1383" s="12">
        <f>_xlfn.XLOOKUP(B1383,[1]Sheet1!$B:$B,[1]Sheet1!$S:$S,0)</f>
        <v>0</v>
      </c>
      <c r="Q1383" s="12">
        <f>_xlfn.XLOOKUP(B1383,[1]Sheet1!$B:$B,[1]Sheet1!$T:$T,0)</f>
        <v>0</v>
      </c>
      <c r="R1383" s="12">
        <f>_xlfn.XLOOKUP(B1383,[1]Sheet1!$B:$B,[1]Sheet1!$U:$U,0)</f>
        <v>0</v>
      </c>
      <c r="S1383" s="12">
        <f>_xlfn.XLOOKUP(B1383,[1]Sheet1!$B:$B,[1]Sheet1!$V:$V,0)</f>
        <v>0</v>
      </c>
      <c r="T1383" s="12">
        <f>_xlfn.XLOOKUP(B1383,[1]Sheet1!$B:$B,[1]Sheet1!$W:$W,0)</f>
        <v>0</v>
      </c>
      <c r="U1383" s="12">
        <f>_xlfn.XLOOKUP(B1383,[1]Sheet1!$B:$B,[1]Sheet1!$X:$X,0)</f>
        <v>0</v>
      </c>
      <c r="V1383" s="12">
        <f>_xlfn.XLOOKUP(B1383,[1]Sheet1!$B:$B,[1]Sheet1!$Y:$Y,0)</f>
        <v>0</v>
      </c>
      <c r="W1383" s="12">
        <f t="shared" si="45"/>
        <v>0</v>
      </c>
      <c r="X1383" s="8" t="s">
        <v>1732</v>
      </c>
      <c r="Y1383" s="8" t="s">
        <v>211</v>
      </c>
      <c r="Z1383" s="8" t="s">
        <v>745</v>
      </c>
      <c r="AA1383" s="8" t="s">
        <v>1255</v>
      </c>
      <c r="AB1383" s="8" t="s">
        <v>1719</v>
      </c>
      <c r="AC1383" s="8" t="s">
        <v>1645</v>
      </c>
      <c r="AD1383" s="8" t="s">
        <v>1077</v>
      </c>
      <c r="AE1383" s="8" t="s">
        <v>39</v>
      </c>
      <c r="AF1383" s="8" t="s">
        <v>40</v>
      </c>
      <c r="AG1383" s="9">
        <v>2098650</v>
      </c>
      <c r="AH1383" s="11">
        <f>_xlfn.XLOOKUP(B1383,[1]Sheet1!$B:$B,[1]Sheet1!$AB:$AB,0)</f>
        <v>0</v>
      </c>
    </row>
    <row r="1384" spans="2:34" ht="16.8" thickTop="1" thickBot="1" x14ac:dyDescent="0.35">
      <c r="B1384" s="3" t="str">
        <f t="shared" si="44"/>
        <v>45102104514000019FZ fees251413000000</v>
      </c>
      <c r="C1384" s="6" t="s">
        <v>448</v>
      </c>
      <c r="D1384" s="6" t="s">
        <v>2166</v>
      </c>
      <c r="E1384" s="6" t="s">
        <v>2167</v>
      </c>
      <c r="F1384" s="6" t="s">
        <v>2168</v>
      </c>
      <c r="G1384" s="4" t="s">
        <v>2880</v>
      </c>
      <c r="H1384" s="4" t="s">
        <v>2940</v>
      </c>
      <c r="I1384" s="6" t="s">
        <v>2169</v>
      </c>
      <c r="J1384" s="6" t="s">
        <v>31</v>
      </c>
      <c r="K1384" s="12">
        <f>_xlfn.XLOOKUP(B1384,[1]Sheet1!$B:$B,[1]Sheet1!$N:$N,0)</f>
        <v>0</v>
      </c>
      <c r="L1384" s="12">
        <f>_xlfn.XLOOKUP(B1384,[1]Sheet1!$B:$B,[1]Sheet1!$O:$O,0)</f>
        <v>0</v>
      </c>
      <c r="M1384" s="12">
        <f>_xlfn.XLOOKUP(B1384,[1]Sheet1!$B:$B,[1]Sheet1!$P:$P,0)</f>
        <v>0</v>
      </c>
      <c r="N1384" s="12">
        <f>_xlfn.XLOOKUP(B1384,[1]Sheet1!$B:$B,[1]Sheet1!$Q:$Q,0)</f>
        <v>0</v>
      </c>
      <c r="O1384" s="12">
        <f>_xlfn.XLOOKUP(B1384,[1]Sheet1!$B:$B,[1]Sheet1!$R:$R,0)</f>
        <v>0</v>
      </c>
      <c r="P1384" s="12">
        <f>_xlfn.XLOOKUP(B1384,[1]Sheet1!$B:$B,[1]Sheet1!$S:$S,0)</f>
        <v>0</v>
      </c>
      <c r="Q1384" s="12">
        <f>_xlfn.XLOOKUP(B1384,[1]Sheet1!$B:$B,[1]Sheet1!$T:$T,0)</f>
        <v>0</v>
      </c>
      <c r="R1384" s="12">
        <f>_xlfn.XLOOKUP(B1384,[1]Sheet1!$B:$B,[1]Sheet1!$U:$U,0)</f>
        <v>0</v>
      </c>
      <c r="S1384" s="12">
        <f>_xlfn.XLOOKUP(B1384,[1]Sheet1!$B:$B,[1]Sheet1!$V:$V,0)</f>
        <v>0</v>
      </c>
      <c r="T1384" s="12">
        <f>_xlfn.XLOOKUP(B1384,[1]Sheet1!$B:$B,[1]Sheet1!$W:$W,0)</f>
        <v>0</v>
      </c>
      <c r="U1384" s="12">
        <f>_xlfn.XLOOKUP(B1384,[1]Sheet1!$B:$B,[1]Sheet1!$X:$X,0)</f>
        <v>0</v>
      </c>
      <c r="V1384" s="12">
        <f>_xlfn.XLOOKUP(B1384,[1]Sheet1!$B:$B,[1]Sheet1!$Y:$Y,0)</f>
        <v>0</v>
      </c>
      <c r="W1384" s="12">
        <f t="shared" si="45"/>
        <v>0</v>
      </c>
      <c r="X1384" s="6" t="s">
        <v>2170</v>
      </c>
      <c r="Y1384" s="6" t="s">
        <v>132</v>
      </c>
      <c r="Z1384" s="6" t="s">
        <v>447</v>
      </c>
      <c r="AA1384" s="6" t="s">
        <v>2171</v>
      </c>
      <c r="AB1384" s="6" t="s">
        <v>2172</v>
      </c>
      <c r="AC1384" s="6" t="s">
        <v>2173</v>
      </c>
      <c r="AD1384" s="6" t="s">
        <v>2174</v>
      </c>
      <c r="AE1384" s="6" t="s">
        <v>39</v>
      </c>
      <c r="AF1384" s="6" t="s">
        <v>2175</v>
      </c>
      <c r="AG1384" s="7">
        <v>284390.85692304</v>
      </c>
      <c r="AH1384" s="11">
        <f>_xlfn.XLOOKUP(B1384,[1]Sheet1!$B:$B,[1]Sheet1!$AB:$AB,0)</f>
        <v>0</v>
      </c>
    </row>
    <row r="1385" spans="2:34" ht="16.8" thickTop="1" thickBot="1" x14ac:dyDescent="0.35">
      <c r="B1385" s="3" t="str">
        <f t="shared" si="44"/>
        <v>45110104514000067Admin221390000000</v>
      </c>
      <c r="C1385" s="8" t="s">
        <v>268</v>
      </c>
      <c r="D1385" s="8" t="s">
        <v>2176</v>
      </c>
      <c r="E1385" s="8" t="s">
        <v>2177</v>
      </c>
      <c r="F1385" s="8" t="s">
        <v>2178</v>
      </c>
      <c r="G1385" s="4" t="s">
        <v>2881</v>
      </c>
      <c r="H1385" s="4" t="s">
        <v>2940</v>
      </c>
      <c r="I1385" s="8" t="s">
        <v>2179</v>
      </c>
      <c r="J1385" s="8" t="s">
        <v>31</v>
      </c>
      <c r="K1385" s="12">
        <f>_xlfn.XLOOKUP(B1385,[1]Sheet1!$B:$B,[1]Sheet1!$N:$N,0)</f>
        <v>0</v>
      </c>
      <c r="L1385" s="12">
        <f>_xlfn.XLOOKUP(B1385,[1]Sheet1!$B:$B,[1]Sheet1!$O:$O,0)</f>
        <v>0</v>
      </c>
      <c r="M1385" s="12">
        <f>_xlfn.XLOOKUP(B1385,[1]Sheet1!$B:$B,[1]Sheet1!$P:$P,0)</f>
        <v>0</v>
      </c>
      <c r="N1385" s="12">
        <f>_xlfn.XLOOKUP(B1385,[1]Sheet1!$B:$B,[1]Sheet1!$Q:$Q,0)</f>
        <v>0</v>
      </c>
      <c r="O1385" s="12">
        <f>_xlfn.XLOOKUP(B1385,[1]Sheet1!$B:$B,[1]Sheet1!$R:$R,0)</f>
        <v>0</v>
      </c>
      <c r="P1385" s="12">
        <f>_xlfn.XLOOKUP(B1385,[1]Sheet1!$B:$B,[1]Sheet1!$S:$S,0)</f>
        <v>0</v>
      </c>
      <c r="Q1385" s="12">
        <f>_xlfn.XLOOKUP(B1385,[1]Sheet1!$B:$B,[1]Sheet1!$T:$T,0)</f>
        <v>0</v>
      </c>
      <c r="R1385" s="12">
        <f>_xlfn.XLOOKUP(B1385,[1]Sheet1!$B:$B,[1]Sheet1!$U:$U,0)</f>
        <v>0</v>
      </c>
      <c r="S1385" s="12">
        <f>_xlfn.XLOOKUP(B1385,[1]Sheet1!$B:$B,[1]Sheet1!$V:$V,0)</f>
        <v>0</v>
      </c>
      <c r="T1385" s="12">
        <f>_xlfn.XLOOKUP(B1385,[1]Sheet1!$B:$B,[1]Sheet1!$W:$W,0)</f>
        <v>0</v>
      </c>
      <c r="U1385" s="12">
        <f>_xlfn.XLOOKUP(B1385,[1]Sheet1!$B:$B,[1]Sheet1!$X:$X,0)</f>
        <v>0</v>
      </c>
      <c r="V1385" s="12">
        <f>_xlfn.XLOOKUP(B1385,[1]Sheet1!$B:$B,[1]Sheet1!$Y:$Y,0)</f>
        <v>0</v>
      </c>
      <c r="W1385" s="12">
        <f t="shared" si="45"/>
        <v>0</v>
      </c>
      <c r="X1385" s="8" t="s">
        <v>2180</v>
      </c>
      <c r="Y1385" s="8" t="s">
        <v>65</v>
      </c>
      <c r="Z1385" s="8" t="s">
        <v>267</v>
      </c>
      <c r="AA1385" s="8" t="s">
        <v>2179</v>
      </c>
      <c r="AB1385" s="8" t="s">
        <v>2172</v>
      </c>
      <c r="AC1385" s="8" t="s">
        <v>2173</v>
      </c>
      <c r="AD1385" s="8" t="s">
        <v>2174</v>
      </c>
      <c r="AE1385" s="8" t="s">
        <v>39</v>
      </c>
      <c r="AF1385" s="8" t="s">
        <v>2175</v>
      </c>
      <c r="AG1385" s="9">
        <v>458572.33814253</v>
      </c>
      <c r="AH1385" s="11">
        <f>_xlfn.XLOOKUP(B1385,[1]Sheet1!$B:$B,[1]Sheet1!$AB:$AB,0)</f>
        <v>0</v>
      </c>
    </row>
    <row r="1386" spans="2:34" ht="16.8" thickTop="1" thickBot="1" x14ac:dyDescent="0.35">
      <c r="B1386" s="3" t="str">
        <f t="shared" si="44"/>
        <v>45110104514000074Event221390000000</v>
      </c>
      <c r="C1386" s="6" t="s">
        <v>268</v>
      </c>
      <c r="D1386" s="6" t="s">
        <v>2181</v>
      </c>
      <c r="E1386" s="6" t="s">
        <v>2182</v>
      </c>
      <c r="F1386" s="6" t="s">
        <v>2183</v>
      </c>
      <c r="G1386" s="4" t="s">
        <v>2881</v>
      </c>
      <c r="H1386" s="4" t="s">
        <v>2940</v>
      </c>
      <c r="I1386" s="6" t="s">
        <v>2179</v>
      </c>
      <c r="J1386" s="6" t="s">
        <v>31</v>
      </c>
      <c r="K1386" s="12">
        <f>_xlfn.XLOOKUP(B1386,[1]Sheet1!$B:$B,[1]Sheet1!$N:$N,0)</f>
        <v>0</v>
      </c>
      <c r="L1386" s="12">
        <f>_xlfn.XLOOKUP(B1386,[1]Sheet1!$B:$B,[1]Sheet1!$O:$O,0)</f>
        <v>0</v>
      </c>
      <c r="M1386" s="12">
        <f>_xlfn.XLOOKUP(B1386,[1]Sheet1!$B:$B,[1]Sheet1!$P:$P,0)</f>
        <v>0</v>
      </c>
      <c r="N1386" s="12">
        <f>_xlfn.XLOOKUP(B1386,[1]Sheet1!$B:$B,[1]Sheet1!$Q:$Q,0)</f>
        <v>0</v>
      </c>
      <c r="O1386" s="12">
        <f>_xlfn.XLOOKUP(B1386,[1]Sheet1!$B:$B,[1]Sheet1!$R:$R,0)</f>
        <v>0</v>
      </c>
      <c r="P1386" s="12">
        <f>_xlfn.XLOOKUP(B1386,[1]Sheet1!$B:$B,[1]Sheet1!$S:$S,0)</f>
        <v>0</v>
      </c>
      <c r="Q1386" s="12">
        <f>_xlfn.XLOOKUP(B1386,[1]Sheet1!$B:$B,[1]Sheet1!$T:$T,0)</f>
        <v>0</v>
      </c>
      <c r="R1386" s="12">
        <f>_xlfn.XLOOKUP(B1386,[1]Sheet1!$B:$B,[1]Sheet1!$U:$U,0)</f>
        <v>0</v>
      </c>
      <c r="S1386" s="12">
        <f>_xlfn.XLOOKUP(B1386,[1]Sheet1!$B:$B,[1]Sheet1!$V:$V,0)</f>
        <v>0</v>
      </c>
      <c r="T1386" s="12">
        <f>_xlfn.XLOOKUP(B1386,[1]Sheet1!$B:$B,[1]Sheet1!$W:$W,0)</f>
        <v>0</v>
      </c>
      <c r="U1386" s="12">
        <f>_xlfn.XLOOKUP(B1386,[1]Sheet1!$B:$B,[1]Sheet1!$X:$X,0)</f>
        <v>0</v>
      </c>
      <c r="V1386" s="12">
        <f>_xlfn.XLOOKUP(B1386,[1]Sheet1!$B:$B,[1]Sheet1!$Y:$Y,0)</f>
        <v>0</v>
      </c>
      <c r="W1386" s="12">
        <f t="shared" si="45"/>
        <v>0</v>
      </c>
      <c r="X1386" s="6" t="s">
        <v>2180</v>
      </c>
      <c r="Y1386" s="6" t="s">
        <v>65</v>
      </c>
      <c r="Z1386" s="6" t="s">
        <v>267</v>
      </c>
      <c r="AA1386" s="6" t="s">
        <v>2179</v>
      </c>
      <c r="AB1386" s="6" t="s">
        <v>2172</v>
      </c>
      <c r="AC1386" s="6" t="s">
        <v>2173</v>
      </c>
      <c r="AD1386" s="6" t="s">
        <v>2174</v>
      </c>
      <c r="AE1386" s="6" t="s">
        <v>39</v>
      </c>
      <c r="AF1386" s="6" t="s">
        <v>2175</v>
      </c>
      <c r="AG1386" s="7">
        <v>326356.57894684997</v>
      </c>
      <c r="AH1386" s="11">
        <f>_xlfn.XLOOKUP(B1386,[1]Sheet1!$B:$B,[1]Sheet1!$AB:$AB,0)</f>
        <v>0</v>
      </c>
    </row>
    <row r="1387" spans="2:34" ht="16.8" thickTop="1" thickBot="1" x14ac:dyDescent="0.35">
      <c r="B1387" s="3" t="str">
        <f t="shared" si="44"/>
        <v>45110104514000074Manpower221390000000</v>
      </c>
      <c r="C1387" s="8" t="s">
        <v>268</v>
      </c>
      <c r="D1387" s="8" t="s">
        <v>2181</v>
      </c>
      <c r="E1387" s="8" t="s">
        <v>2182</v>
      </c>
      <c r="F1387" s="8" t="s">
        <v>2184</v>
      </c>
      <c r="G1387" s="4" t="s">
        <v>2881</v>
      </c>
      <c r="H1387" s="4" t="s">
        <v>2940</v>
      </c>
      <c r="I1387" s="8" t="s">
        <v>2179</v>
      </c>
      <c r="J1387" s="8" t="s">
        <v>31</v>
      </c>
      <c r="K1387" s="12">
        <f>_xlfn.XLOOKUP(B1387,[1]Sheet1!$B:$B,[1]Sheet1!$N:$N,0)</f>
        <v>0</v>
      </c>
      <c r="L1387" s="12">
        <f>_xlfn.XLOOKUP(B1387,[1]Sheet1!$B:$B,[1]Sheet1!$O:$O,0)</f>
        <v>0</v>
      </c>
      <c r="M1387" s="12">
        <f>_xlfn.XLOOKUP(B1387,[1]Sheet1!$B:$B,[1]Sheet1!$P:$P,0)</f>
        <v>0</v>
      </c>
      <c r="N1387" s="12">
        <f>_xlfn.XLOOKUP(B1387,[1]Sheet1!$B:$B,[1]Sheet1!$Q:$Q,0)</f>
        <v>0</v>
      </c>
      <c r="O1387" s="12">
        <f>_xlfn.XLOOKUP(B1387,[1]Sheet1!$B:$B,[1]Sheet1!$R:$R,0)</f>
        <v>0</v>
      </c>
      <c r="P1387" s="12">
        <f>_xlfn.XLOOKUP(B1387,[1]Sheet1!$B:$B,[1]Sheet1!$S:$S,0)</f>
        <v>0</v>
      </c>
      <c r="Q1387" s="12">
        <f>_xlfn.XLOOKUP(B1387,[1]Sheet1!$B:$B,[1]Sheet1!$T:$T,0)</f>
        <v>0</v>
      </c>
      <c r="R1387" s="12">
        <f>_xlfn.XLOOKUP(B1387,[1]Sheet1!$B:$B,[1]Sheet1!$U:$U,0)</f>
        <v>0</v>
      </c>
      <c r="S1387" s="12">
        <f>_xlfn.XLOOKUP(B1387,[1]Sheet1!$B:$B,[1]Sheet1!$V:$V,0)</f>
        <v>0</v>
      </c>
      <c r="T1387" s="12">
        <f>_xlfn.XLOOKUP(B1387,[1]Sheet1!$B:$B,[1]Sheet1!$W:$W,0)</f>
        <v>0</v>
      </c>
      <c r="U1387" s="12">
        <f>_xlfn.XLOOKUP(B1387,[1]Sheet1!$B:$B,[1]Sheet1!$X:$X,0)</f>
        <v>0</v>
      </c>
      <c r="V1387" s="12">
        <f>_xlfn.XLOOKUP(B1387,[1]Sheet1!$B:$B,[1]Sheet1!$Y:$Y,0)</f>
        <v>0</v>
      </c>
      <c r="W1387" s="12">
        <f t="shared" si="45"/>
        <v>0</v>
      </c>
      <c r="X1387" s="8" t="s">
        <v>2180</v>
      </c>
      <c r="Y1387" s="8" t="s">
        <v>65</v>
      </c>
      <c r="Z1387" s="8" t="s">
        <v>267</v>
      </c>
      <c r="AA1387" s="8" t="s">
        <v>2179</v>
      </c>
      <c r="AB1387" s="8" t="s">
        <v>2172</v>
      </c>
      <c r="AC1387" s="8" t="s">
        <v>2173</v>
      </c>
      <c r="AD1387" s="8" t="s">
        <v>2174</v>
      </c>
      <c r="AE1387" s="8" t="s">
        <v>39</v>
      </c>
      <c r="AF1387" s="8" t="s">
        <v>2175</v>
      </c>
      <c r="AG1387" s="9">
        <v>17131.57894734</v>
      </c>
      <c r="AH1387" s="11">
        <f>_xlfn.XLOOKUP(B1387,[1]Sheet1!$B:$B,[1]Sheet1!$AB:$AB,0)</f>
        <v>0</v>
      </c>
    </row>
    <row r="1388" spans="2:34" ht="16.8" thickTop="1" thickBot="1" x14ac:dyDescent="0.35">
      <c r="B1388" s="3" t="str">
        <f t="shared" si="44"/>
        <v>45102104514000078Unidentified221390000000</v>
      </c>
      <c r="C1388" s="6" t="s">
        <v>448</v>
      </c>
      <c r="D1388" s="6" t="s">
        <v>2185</v>
      </c>
      <c r="E1388" s="6" t="s">
        <v>2186</v>
      </c>
      <c r="F1388" s="6" t="s">
        <v>2187</v>
      </c>
      <c r="G1388" s="4" t="s">
        <v>2881</v>
      </c>
      <c r="H1388" s="4" t="s">
        <v>2940</v>
      </c>
      <c r="I1388" s="6" t="s">
        <v>2179</v>
      </c>
      <c r="J1388" s="6" t="s">
        <v>31</v>
      </c>
      <c r="K1388" s="12">
        <f>_xlfn.XLOOKUP(B1388,[1]Sheet1!$B:$B,[1]Sheet1!$N:$N,0)</f>
        <v>0</v>
      </c>
      <c r="L1388" s="12">
        <f>_xlfn.XLOOKUP(B1388,[1]Sheet1!$B:$B,[1]Sheet1!$O:$O,0)</f>
        <v>0</v>
      </c>
      <c r="M1388" s="12">
        <f>_xlfn.XLOOKUP(B1388,[1]Sheet1!$B:$B,[1]Sheet1!$P:$P,0)</f>
        <v>0</v>
      </c>
      <c r="N1388" s="12">
        <f>_xlfn.XLOOKUP(B1388,[1]Sheet1!$B:$B,[1]Sheet1!$Q:$Q,0)</f>
        <v>0</v>
      </c>
      <c r="O1388" s="12">
        <f>_xlfn.XLOOKUP(B1388,[1]Sheet1!$B:$B,[1]Sheet1!$R:$R,0)</f>
        <v>0</v>
      </c>
      <c r="P1388" s="12">
        <f>_xlfn.XLOOKUP(B1388,[1]Sheet1!$B:$B,[1]Sheet1!$S:$S,0)</f>
        <v>0</v>
      </c>
      <c r="Q1388" s="12">
        <f>_xlfn.XLOOKUP(B1388,[1]Sheet1!$B:$B,[1]Sheet1!$T:$T,0)</f>
        <v>0</v>
      </c>
      <c r="R1388" s="12">
        <f>_xlfn.XLOOKUP(B1388,[1]Sheet1!$B:$B,[1]Sheet1!$U:$U,0)</f>
        <v>0</v>
      </c>
      <c r="S1388" s="12">
        <f>_xlfn.XLOOKUP(B1388,[1]Sheet1!$B:$B,[1]Sheet1!$V:$V,0)</f>
        <v>0</v>
      </c>
      <c r="T1388" s="12">
        <f>_xlfn.XLOOKUP(B1388,[1]Sheet1!$B:$B,[1]Sheet1!$W:$W,0)</f>
        <v>0</v>
      </c>
      <c r="U1388" s="12">
        <f>_xlfn.XLOOKUP(B1388,[1]Sheet1!$B:$B,[1]Sheet1!$X:$X,0)</f>
        <v>0</v>
      </c>
      <c r="V1388" s="12">
        <f>_xlfn.XLOOKUP(B1388,[1]Sheet1!$B:$B,[1]Sheet1!$Y:$Y,0)</f>
        <v>0</v>
      </c>
      <c r="W1388" s="12">
        <f t="shared" si="45"/>
        <v>0</v>
      </c>
      <c r="X1388" s="6" t="s">
        <v>2188</v>
      </c>
      <c r="Y1388" s="6" t="s">
        <v>132</v>
      </c>
      <c r="Z1388" s="6" t="s">
        <v>447</v>
      </c>
      <c r="AA1388" s="6" t="s">
        <v>2179</v>
      </c>
      <c r="AB1388" s="6" t="s">
        <v>2172</v>
      </c>
      <c r="AC1388" s="6" t="s">
        <v>2173</v>
      </c>
      <c r="AD1388" s="6" t="s">
        <v>2174</v>
      </c>
      <c r="AE1388" s="6" t="s">
        <v>39</v>
      </c>
      <c r="AF1388" s="6" t="s">
        <v>2175</v>
      </c>
      <c r="AG1388" s="7">
        <v>6632.83582088</v>
      </c>
      <c r="AH1388" s="11">
        <f>_xlfn.XLOOKUP(B1388,[1]Sheet1!$B:$B,[1]Sheet1!$AB:$AB,0)</f>
        <v>0</v>
      </c>
    </row>
    <row r="1389" spans="2:34" ht="16.8" thickTop="1" thickBot="1" x14ac:dyDescent="0.35">
      <c r="B1389" s="3" t="str">
        <f t="shared" si="44"/>
        <v>45102104514000084Event Management221390000000</v>
      </c>
      <c r="C1389" s="8" t="s">
        <v>448</v>
      </c>
      <c r="D1389" s="8" t="s">
        <v>2189</v>
      </c>
      <c r="E1389" s="8" t="s">
        <v>2190</v>
      </c>
      <c r="F1389" s="8" t="s">
        <v>2154</v>
      </c>
      <c r="G1389" s="4" t="s">
        <v>2881</v>
      </c>
      <c r="H1389" s="4" t="s">
        <v>2940</v>
      </c>
      <c r="I1389" s="8" t="s">
        <v>2179</v>
      </c>
      <c r="J1389" s="8" t="s">
        <v>31</v>
      </c>
      <c r="K1389" s="12">
        <f>_xlfn.XLOOKUP(B1389,[1]Sheet1!$B:$B,[1]Sheet1!$N:$N,0)</f>
        <v>0</v>
      </c>
      <c r="L1389" s="12">
        <f>_xlfn.XLOOKUP(B1389,[1]Sheet1!$B:$B,[1]Sheet1!$O:$O,0)</f>
        <v>0</v>
      </c>
      <c r="M1389" s="12">
        <f>_xlfn.XLOOKUP(B1389,[1]Sheet1!$B:$B,[1]Sheet1!$P:$P,0)</f>
        <v>0</v>
      </c>
      <c r="N1389" s="12">
        <f>_xlfn.XLOOKUP(B1389,[1]Sheet1!$B:$B,[1]Sheet1!$Q:$Q,0)</f>
        <v>0</v>
      </c>
      <c r="O1389" s="12">
        <f>_xlfn.XLOOKUP(B1389,[1]Sheet1!$B:$B,[1]Sheet1!$R:$R,0)</f>
        <v>0</v>
      </c>
      <c r="P1389" s="12">
        <f>_xlfn.XLOOKUP(B1389,[1]Sheet1!$B:$B,[1]Sheet1!$S:$S,0)</f>
        <v>0</v>
      </c>
      <c r="Q1389" s="12">
        <f>_xlfn.XLOOKUP(B1389,[1]Sheet1!$B:$B,[1]Sheet1!$T:$T,0)</f>
        <v>0</v>
      </c>
      <c r="R1389" s="12">
        <f>_xlfn.XLOOKUP(B1389,[1]Sheet1!$B:$B,[1]Sheet1!$U:$U,0)</f>
        <v>0</v>
      </c>
      <c r="S1389" s="12">
        <f>_xlfn.XLOOKUP(B1389,[1]Sheet1!$B:$B,[1]Sheet1!$V:$V,0)</f>
        <v>0</v>
      </c>
      <c r="T1389" s="12">
        <f>_xlfn.XLOOKUP(B1389,[1]Sheet1!$B:$B,[1]Sheet1!$W:$W,0)</f>
        <v>0</v>
      </c>
      <c r="U1389" s="12">
        <f>_xlfn.XLOOKUP(B1389,[1]Sheet1!$B:$B,[1]Sheet1!$X:$X,0)</f>
        <v>0</v>
      </c>
      <c r="V1389" s="12">
        <f>_xlfn.XLOOKUP(B1389,[1]Sheet1!$B:$B,[1]Sheet1!$Y:$Y,0)</f>
        <v>0</v>
      </c>
      <c r="W1389" s="12">
        <f t="shared" si="45"/>
        <v>0</v>
      </c>
      <c r="X1389" s="8" t="s">
        <v>2188</v>
      </c>
      <c r="Y1389" s="8" t="s">
        <v>132</v>
      </c>
      <c r="Z1389" s="8" t="s">
        <v>447</v>
      </c>
      <c r="AA1389" s="8" t="s">
        <v>2179</v>
      </c>
      <c r="AB1389" s="8" t="s">
        <v>2172</v>
      </c>
      <c r="AC1389" s="8" t="s">
        <v>2173</v>
      </c>
      <c r="AD1389" s="8" t="s">
        <v>2174</v>
      </c>
      <c r="AE1389" s="8" t="s">
        <v>39</v>
      </c>
      <c r="AF1389" s="8" t="s">
        <v>2175</v>
      </c>
      <c r="AG1389" s="9">
        <v>910360.88472600002</v>
      </c>
      <c r="AH1389" s="11">
        <f>_xlfn.XLOOKUP(B1389,[1]Sheet1!$B:$B,[1]Sheet1!$AB:$AB,0)</f>
        <v>0</v>
      </c>
    </row>
    <row r="1390" spans="2:34" ht="16.8" thickTop="1" thickBot="1" x14ac:dyDescent="0.35">
      <c r="B1390" s="3" t="str">
        <f t="shared" si="44"/>
        <v>45102104514000086Euro League221390000000</v>
      </c>
      <c r="C1390" s="6" t="s">
        <v>448</v>
      </c>
      <c r="D1390" s="6" t="s">
        <v>2191</v>
      </c>
      <c r="E1390" s="6" t="s">
        <v>2192</v>
      </c>
      <c r="F1390" s="6" t="s">
        <v>1506</v>
      </c>
      <c r="G1390" s="4" t="s">
        <v>2881</v>
      </c>
      <c r="H1390" s="4" t="s">
        <v>2940</v>
      </c>
      <c r="I1390" s="6" t="s">
        <v>2179</v>
      </c>
      <c r="J1390" s="6" t="s">
        <v>31</v>
      </c>
      <c r="K1390" s="12">
        <f>_xlfn.XLOOKUP(B1390,[1]Sheet1!$B:$B,[1]Sheet1!$N:$N,0)</f>
        <v>0</v>
      </c>
      <c r="L1390" s="12">
        <f>_xlfn.XLOOKUP(B1390,[1]Sheet1!$B:$B,[1]Sheet1!$O:$O,0)</f>
        <v>0</v>
      </c>
      <c r="M1390" s="12">
        <f>_xlfn.XLOOKUP(B1390,[1]Sheet1!$B:$B,[1]Sheet1!$P:$P,0)</f>
        <v>0</v>
      </c>
      <c r="N1390" s="12">
        <f>_xlfn.XLOOKUP(B1390,[1]Sheet1!$B:$B,[1]Sheet1!$Q:$Q,0)</f>
        <v>0</v>
      </c>
      <c r="O1390" s="12">
        <f>_xlfn.XLOOKUP(B1390,[1]Sheet1!$B:$B,[1]Sheet1!$R:$R,0)</f>
        <v>0</v>
      </c>
      <c r="P1390" s="12">
        <f>_xlfn.XLOOKUP(B1390,[1]Sheet1!$B:$B,[1]Sheet1!$S:$S,0)</f>
        <v>0</v>
      </c>
      <c r="Q1390" s="12">
        <f>_xlfn.XLOOKUP(B1390,[1]Sheet1!$B:$B,[1]Sheet1!$T:$T,0)</f>
        <v>0</v>
      </c>
      <c r="R1390" s="12">
        <f>_xlfn.XLOOKUP(B1390,[1]Sheet1!$B:$B,[1]Sheet1!$U:$U,0)</f>
        <v>0</v>
      </c>
      <c r="S1390" s="12">
        <f>_xlfn.XLOOKUP(B1390,[1]Sheet1!$B:$B,[1]Sheet1!$V:$V,0)</f>
        <v>0</v>
      </c>
      <c r="T1390" s="12">
        <f>_xlfn.XLOOKUP(B1390,[1]Sheet1!$B:$B,[1]Sheet1!$W:$W,0)</f>
        <v>0</v>
      </c>
      <c r="U1390" s="12">
        <f>_xlfn.XLOOKUP(B1390,[1]Sheet1!$B:$B,[1]Sheet1!$X:$X,0)</f>
        <v>0</v>
      </c>
      <c r="V1390" s="12">
        <f>_xlfn.XLOOKUP(B1390,[1]Sheet1!$B:$B,[1]Sheet1!$Y:$Y,0)</f>
        <v>0</v>
      </c>
      <c r="W1390" s="12">
        <f t="shared" si="45"/>
        <v>0</v>
      </c>
      <c r="X1390" s="6" t="s">
        <v>2188</v>
      </c>
      <c r="Y1390" s="6" t="s">
        <v>132</v>
      </c>
      <c r="Z1390" s="6" t="s">
        <v>447</v>
      </c>
      <c r="AA1390" s="6" t="s">
        <v>2179</v>
      </c>
      <c r="AB1390" s="6" t="s">
        <v>2172</v>
      </c>
      <c r="AC1390" s="6" t="s">
        <v>2173</v>
      </c>
      <c r="AD1390" s="6" t="s">
        <v>2174</v>
      </c>
      <c r="AE1390" s="6" t="s">
        <v>39</v>
      </c>
      <c r="AF1390" s="6" t="s">
        <v>2175</v>
      </c>
      <c r="AG1390" s="7">
        <v>3024664.1790908901</v>
      </c>
      <c r="AH1390" s="11">
        <f>_xlfn.XLOOKUP(B1390,[1]Sheet1!$B:$B,[1]Sheet1!$AB:$AB,0)</f>
        <v>0</v>
      </c>
    </row>
    <row r="1391" spans="2:34" ht="16.8" thickTop="1" thickBot="1" x14ac:dyDescent="0.35">
      <c r="B1391" s="3" t="str">
        <f t="shared" si="44"/>
        <v>45102104514000087Extend Stay221390000000</v>
      </c>
      <c r="C1391" s="8" t="s">
        <v>448</v>
      </c>
      <c r="D1391" s="8" t="s">
        <v>2193</v>
      </c>
      <c r="E1391" s="8" t="s">
        <v>2194</v>
      </c>
      <c r="F1391" s="8" t="s">
        <v>2195</v>
      </c>
      <c r="G1391" s="4" t="s">
        <v>2881</v>
      </c>
      <c r="H1391" s="4" t="s">
        <v>2940</v>
      </c>
      <c r="I1391" s="8" t="s">
        <v>2179</v>
      </c>
      <c r="J1391" s="8" t="s">
        <v>31</v>
      </c>
      <c r="K1391" s="12">
        <f>_xlfn.XLOOKUP(B1391,[1]Sheet1!$B:$B,[1]Sheet1!$N:$N,0)</f>
        <v>0</v>
      </c>
      <c r="L1391" s="12">
        <f>_xlfn.XLOOKUP(B1391,[1]Sheet1!$B:$B,[1]Sheet1!$O:$O,0)</f>
        <v>0</v>
      </c>
      <c r="M1391" s="12">
        <f>_xlfn.XLOOKUP(B1391,[1]Sheet1!$B:$B,[1]Sheet1!$P:$P,0)</f>
        <v>0</v>
      </c>
      <c r="N1391" s="12">
        <f>_xlfn.XLOOKUP(B1391,[1]Sheet1!$B:$B,[1]Sheet1!$Q:$Q,0)</f>
        <v>0</v>
      </c>
      <c r="O1391" s="12">
        <f>_xlfn.XLOOKUP(B1391,[1]Sheet1!$B:$B,[1]Sheet1!$R:$R,0)</f>
        <v>0</v>
      </c>
      <c r="P1391" s="12">
        <f>_xlfn.XLOOKUP(B1391,[1]Sheet1!$B:$B,[1]Sheet1!$S:$S,0)</f>
        <v>0</v>
      </c>
      <c r="Q1391" s="12">
        <f>_xlfn.XLOOKUP(B1391,[1]Sheet1!$B:$B,[1]Sheet1!$T:$T,0)</f>
        <v>0</v>
      </c>
      <c r="R1391" s="12">
        <f>_xlfn.XLOOKUP(B1391,[1]Sheet1!$B:$B,[1]Sheet1!$U:$U,0)</f>
        <v>0</v>
      </c>
      <c r="S1391" s="12">
        <f>_xlfn.XLOOKUP(B1391,[1]Sheet1!$B:$B,[1]Sheet1!$V:$V,0)</f>
        <v>0</v>
      </c>
      <c r="T1391" s="12">
        <f>_xlfn.XLOOKUP(B1391,[1]Sheet1!$B:$B,[1]Sheet1!$W:$W,0)</f>
        <v>0</v>
      </c>
      <c r="U1391" s="12">
        <f>_xlfn.XLOOKUP(B1391,[1]Sheet1!$B:$B,[1]Sheet1!$X:$X,0)</f>
        <v>0</v>
      </c>
      <c r="V1391" s="12">
        <f>_xlfn.XLOOKUP(B1391,[1]Sheet1!$B:$B,[1]Sheet1!$Y:$Y,0)</f>
        <v>0</v>
      </c>
      <c r="W1391" s="12">
        <f t="shared" si="45"/>
        <v>0</v>
      </c>
      <c r="X1391" s="8" t="s">
        <v>2188</v>
      </c>
      <c r="Y1391" s="8" t="s">
        <v>132</v>
      </c>
      <c r="Z1391" s="8" t="s">
        <v>447</v>
      </c>
      <c r="AA1391" s="8" t="s">
        <v>2179</v>
      </c>
      <c r="AB1391" s="8" t="s">
        <v>2172</v>
      </c>
      <c r="AC1391" s="8" t="s">
        <v>2173</v>
      </c>
      <c r="AD1391" s="8" t="s">
        <v>2174</v>
      </c>
      <c r="AE1391" s="8" t="s">
        <v>39</v>
      </c>
      <c r="AF1391" s="8" t="s">
        <v>2175</v>
      </c>
      <c r="AG1391" s="9">
        <v>4794941.1399999997</v>
      </c>
      <c r="AH1391" s="11">
        <f>_xlfn.XLOOKUP(B1391,[1]Sheet1!$B:$B,[1]Sheet1!$AB:$AB,0)</f>
        <v>0</v>
      </c>
    </row>
    <row r="1392" spans="2:34" ht="16.8" thickTop="1" thickBot="1" x14ac:dyDescent="0.35">
      <c r="B1392" s="3" t="str">
        <f t="shared" si="44"/>
        <v>45102104514000087Privet Host221390000000</v>
      </c>
      <c r="C1392" s="6" t="s">
        <v>448</v>
      </c>
      <c r="D1392" s="6" t="s">
        <v>2193</v>
      </c>
      <c r="E1392" s="6" t="s">
        <v>2194</v>
      </c>
      <c r="F1392" s="6" t="s">
        <v>2196</v>
      </c>
      <c r="G1392" s="4" t="s">
        <v>2881</v>
      </c>
      <c r="H1392" s="4" t="s">
        <v>2940</v>
      </c>
      <c r="I1392" s="6" t="s">
        <v>2179</v>
      </c>
      <c r="J1392" s="6" t="s">
        <v>31</v>
      </c>
      <c r="K1392" s="12">
        <f>_xlfn.XLOOKUP(B1392,[1]Sheet1!$B:$B,[1]Sheet1!$N:$N,0)</f>
        <v>0</v>
      </c>
      <c r="L1392" s="12">
        <f>_xlfn.XLOOKUP(B1392,[1]Sheet1!$B:$B,[1]Sheet1!$O:$O,0)</f>
        <v>0</v>
      </c>
      <c r="M1392" s="12">
        <f>_xlfn.XLOOKUP(B1392,[1]Sheet1!$B:$B,[1]Sheet1!$P:$P,0)</f>
        <v>0</v>
      </c>
      <c r="N1392" s="12">
        <f>_xlfn.XLOOKUP(B1392,[1]Sheet1!$B:$B,[1]Sheet1!$Q:$Q,0)</f>
        <v>0</v>
      </c>
      <c r="O1392" s="12">
        <f>_xlfn.XLOOKUP(B1392,[1]Sheet1!$B:$B,[1]Sheet1!$R:$R,0)</f>
        <v>0</v>
      </c>
      <c r="P1392" s="12">
        <f>_xlfn.XLOOKUP(B1392,[1]Sheet1!$B:$B,[1]Sheet1!$S:$S,0)</f>
        <v>0</v>
      </c>
      <c r="Q1392" s="12">
        <f>_xlfn.XLOOKUP(B1392,[1]Sheet1!$B:$B,[1]Sheet1!$T:$T,0)</f>
        <v>0</v>
      </c>
      <c r="R1392" s="12">
        <f>_xlfn.XLOOKUP(B1392,[1]Sheet1!$B:$B,[1]Sheet1!$U:$U,0)</f>
        <v>0</v>
      </c>
      <c r="S1392" s="12">
        <f>_xlfn.XLOOKUP(B1392,[1]Sheet1!$B:$B,[1]Sheet1!$V:$V,0)</f>
        <v>0</v>
      </c>
      <c r="T1392" s="12">
        <f>_xlfn.XLOOKUP(B1392,[1]Sheet1!$B:$B,[1]Sheet1!$W:$W,0)</f>
        <v>0</v>
      </c>
      <c r="U1392" s="12">
        <f>_xlfn.XLOOKUP(B1392,[1]Sheet1!$B:$B,[1]Sheet1!$X:$X,0)</f>
        <v>0</v>
      </c>
      <c r="V1392" s="12">
        <f>_xlfn.XLOOKUP(B1392,[1]Sheet1!$B:$B,[1]Sheet1!$Y:$Y,0)</f>
        <v>0</v>
      </c>
      <c r="W1392" s="12">
        <f t="shared" si="45"/>
        <v>0</v>
      </c>
      <c r="X1392" s="6" t="s">
        <v>2188</v>
      </c>
      <c r="Y1392" s="6" t="s">
        <v>132</v>
      </c>
      <c r="Z1392" s="6" t="s">
        <v>447</v>
      </c>
      <c r="AA1392" s="6" t="s">
        <v>2179</v>
      </c>
      <c r="AB1392" s="6" t="s">
        <v>2172</v>
      </c>
      <c r="AC1392" s="6" t="s">
        <v>2173</v>
      </c>
      <c r="AD1392" s="6" t="s">
        <v>2174</v>
      </c>
      <c r="AE1392" s="6" t="s">
        <v>39</v>
      </c>
      <c r="AF1392" s="6" t="s">
        <v>2175</v>
      </c>
      <c r="AG1392" s="7">
        <v>97526742.980000004</v>
      </c>
      <c r="AH1392" s="11">
        <f>_xlfn.XLOOKUP(B1392,[1]Sheet1!$B:$B,[1]Sheet1!$AB:$AB,0)</f>
        <v>0</v>
      </c>
    </row>
    <row r="1393" spans="2:34" ht="16.8" thickTop="1" thickBot="1" x14ac:dyDescent="0.35">
      <c r="B1393" s="3" t="str">
        <f t="shared" si="44"/>
        <v>45110104514000088CPC221390000000</v>
      </c>
      <c r="C1393" s="8" t="s">
        <v>268</v>
      </c>
      <c r="D1393" s="8" t="s">
        <v>2197</v>
      </c>
      <c r="E1393" s="8" t="s">
        <v>2198</v>
      </c>
      <c r="F1393" s="8" t="s">
        <v>2199</v>
      </c>
      <c r="G1393" s="4" t="s">
        <v>2881</v>
      </c>
      <c r="H1393" s="4" t="s">
        <v>2940</v>
      </c>
      <c r="I1393" s="8" t="s">
        <v>2179</v>
      </c>
      <c r="J1393" s="8" t="s">
        <v>31</v>
      </c>
      <c r="K1393" s="12">
        <f>_xlfn.XLOOKUP(B1393,[1]Sheet1!$B:$B,[1]Sheet1!$N:$N,0)</f>
        <v>0</v>
      </c>
      <c r="L1393" s="12">
        <f>_xlfn.XLOOKUP(B1393,[1]Sheet1!$B:$B,[1]Sheet1!$O:$O,0)</f>
        <v>0</v>
      </c>
      <c r="M1393" s="12">
        <f>_xlfn.XLOOKUP(B1393,[1]Sheet1!$B:$B,[1]Sheet1!$P:$P,0)</f>
        <v>0</v>
      </c>
      <c r="N1393" s="12">
        <f>_xlfn.XLOOKUP(B1393,[1]Sheet1!$B:$B,[1]Sheet1!$Q:$Q,0)</f>
        <v>0</v>
      </c>
      <c r="O1393" s="12">
        <f>_xlfn.XLOOKUP(B1393,[1]Sheet1!$B:$B,[1]Sheet1!$R:$R,0)</f>
        <v>0</v>
      </c>
      <c r="P1393" s="12">
        <f>_xlfn.XLOOKUP(B1393,[1]Sheet1!$B:$B,[1]Sheet1!$S:$S,0)</f>
        <v>0</v>
      </c>
      <c r="Q1393" s="12">
        <f>_xlfn.XLOOKUP(B1393,[1]Sheet1!$B:$B,[1]Sheet1!$T:$T,0)</f>
        <v>0</v>
      </c>
      <c r="R1393" s="12">
        <f>_xlfn.XLOOKUP(B1393,[1]Sheet1!$B:$B,[1]Sheet1!$U:$U,0)</f>
        <v>0</v>
      </c>
      <c r="S1393" s="12">
        <f>_xlfn.XLOOKUP(B1393,[1]Sheet1!$B:$B,[1]Sheet1!$V:$V,0)</f>
        <v>0</v>
      </c>
      <c r="T1393" s="12">
        <f>_xlfn.XLOOKUP(B1393,[1]Sheet1!$B:$B,[1]Sheet1!$W:$W,0)</f>
        <v>0</v>
      </c>
      <c r="U1393" s="12">
        <f>_xlfn.XLOOKUP(B1393,[1]Sheet1!$B:$B,[1]Sheet1!$X:$X,0)</f>
        <v>0</v>
      </c>
      <c r="V1393" s="12">
        <f>_xlfn.XLOOKUP(B1393,[1]Sheet1!$B:$B,[1]Sheet1!$Y:$Y,0)</f>
        <v>0</v>
      </c>
      <c r="W1393" s="12">
        <f t="shared" si="45"/>
        <v>0</v>
      </c>
      <c r="X1393" s="8" t="s">
        <v>2180</v>
      </c>
      <c r="Y1393" s="8" t="s">
        <v>65</v>
      </c>
      <c r="Z1393" s="8" t="s">
        <v>267</v>
      </c>
      <c r="AA1393" s="8" t="s">
        <v>2179</v>
      </c>
      <c r="AB1393" s="8" t="s">
        <v>2172</v>
      </c>
      <c r="AC1393" s="8" t="s">
        <v>2173</v>
      </c>
      <c r="AD1393" s="8" t="s">
        <v>2174</v>
      </c>
      <c r="AE1393" s="8" t="s">
        <v>39</v>
      </c>
      <c r="AF1393" s="8" t="s">
        <v>2175</v>
      </c>
      <c r="AG1393" s="9">
        <v>1610677.86442712</v>
      </c>
      <c r="AH1393" s="11">
        <f>_xlfn.XLOOKUP(B1393,[1]Sheet1!$B:$B,[1]Sheet1!$AB:$AB,0)</f>
        <v>0</v>
      </c>
    </row>
    <row r="1394" spans="2:34" ht="16.8" thickTop="1" thickBot="1" x14ac:dyDescent="0.35">
      <c r="B1394" s="3" t="str">
        <f t="shared" si="44"/>
        <v>45155004514000089Sponsorship Fees221390000000</v>
      </c>
      <c r="C1394" s="6" t="s">
        <v>513</v>
      </c>
      <c r="D1394" s="6" t="s">
        <v>2200</v>
      </c>
      <c r="E1394" s="6" t="s">
        <v>2201</v>
      </c>
      <c r="F1394" s="6" t="s">
        <v>2202</v>
      </c>
      <c r="G1394" s="4" t="s">
        <v>2881</v>
      </c>
      <c r="H1394" s="4" t="s">
        <v>2940</v>
      </c>
      <c r="I1394" s="6" t="s">
        <v>2179</v>
      </c>
      <c r="J1394" s="6" t="s">
        <v>31</v>
      </c>
      <c r="K1394" s="12">
        <f>_xlfn.XLOOKUP(B1394,[1]Sheet1!$B:$B,[1]Sheet1!$N:$N,0)</f>
        <v>0</v>
      </c>
      <c r="L1394" s="12">
        <f>_xlfn.XLOOKUP(B1394,[1]Sheet1!$B:$B,[1]Sheet1!$O:$O,0)</f>
        <v>0</v>
      </c>
      <c r="M1394" s="12">
        <f>_xlfn.XLOOKUP(B1394,[1]Sheet1!$B:$B,[1]Sheet1!$P:$P,0)</f>
        <v>0</v>
      </c>
      <c r="N1394" s="12">
        <f>_xlfn.XLOOKUP(B1394,[1]Sheet1!$B:$B,[1]Sheet1!$Q:$Q,0)</f>
        <v>0</v>
      </c>
      <c r="O1394" s="12">
        <f>_xlfn.XLOOKUP(B1394,[1]Sheet1!$B:$B,[1]Sheet1!$R:$R,0)</f>
        <v>0</v>
      </c>
      <c r="P1394" s="12">
        <f>_xlfn.XLOOKUP(B1394,[1]Sheet1!$B:$B,[1]Sheet1!$S:$S,0)</f>
        <v>0</v>
      </c>
      <c r="Q1394" s="12">
        <f>_xlfn.XLOOKUP(B1394,[1]Sheet1!$B:$B,[1]Sheet1!$T:$T,0)</f>
        <v>0</v>
      </c>
      <c r="R1394" s="12">
        <f>_xlfn.XLOOKUP(B1394,[1]Sheet1!$B:$B,[1]Sheet1!$U:$U,0)</f>
        <v>0</v>
      </c>
      <c r="S1394" s="12">
        <f>_xlfn.XLOOKUP(B1394,[1]Sheet1!$B:$B,[1]Sheet1!$V:$V,0)</f>
        <v>0</v>
      </c>
      <c r="T1394" s="12">
        <f>_xlfn.XLOOKUP(B1394,[1]Sheet1!$B:$B,[1]Sheet1!$W:$W,0)</f>
        <v>0</v>
      </c>
      <c r="U1394" s="12">
        <f>_xlfn.XLOOKUP(B1394,[1]Sheet1!$B:$B,[1]Sheet1!$X:$X,0)</f>
        <v>0</v>
      </c>
      <c r="V1394" s="12">
        <f>_xlfn.XLOOKUP(B1394,[1]Sheet1!$B:$B,[1]Sheet1!$Y:$Y,0)</f>
        <v>0</v>
      </c>
      <c r="W1394" s="12">
        <f t="shared" si="45"/>
        <v>0</v>
      </c>
      <c r="X1394" s="6" t="s">
        <v>2203</v>
      </c>
      <c r="Y1394" s="6" t="s">
        <v>211</v>
      </c>
      <c r="Z1394" s="6" t="s">
        <v>512</v>
      </c>
      <c r="AA1394" s="6" t="s">
        <v>2179</v>
      </c>
      <c r="AB1394" s="6" t="s">
        <v>2172</v>
      </c>
      <c r="AC1394" s="6" t="s">
        <v>2173</v>
      </c>
      <c r="AD1394" s="6" t="s">
        <v>2174</v>
      </c>
      <c r="AE1394" s="6" t="s">
        <v>39</v>
      </c>
      <c r="AF1394" s="6" t="s">
        <v>2175</v>
      </c>
      <c r="AG1394" s="7">
        <v>794689.20096853003</v>
      </c>
      <c r="AH1394" s="11">
        <f>_xlfn.XLOOKUP(B1394,[1]Sheet1!$B:$B,[1]Sheet1!$AB:$AB,0)</f>
        <v>0</v>
      </c>
    </row>
    <row r="1395" spans="2:34" ht="16.8" thickTop="1" thickBot="1" x14ac:dyDescent="0.35">
      <c r="B1395" s="3" t="str">
        <f t="shared" si="44"/>
        <v>451400045170000014510789424521200104</v>
      </c>
      <c r="C1395" s="8" t="s">
        <v>2210</v>
      </c>
      <c r="D1395" s="8" t="s">
        <v>2204</v>
      </c>
      <c r="E1395" s="8" t="s">
        <v>2205</v>
      </c>
      <c r="F1395" s="8" t="s">
        <v>2206</v>
      </c>
      <c r="G1395" s="4" t="s">
        <v>2804</v>
      </c>
      <c r="H1395" s="4" t="s">
        <v>2922</v>
      </c>
      <c r="I1395" s="8" t="s">
        <v>53</v>
      </c>
      <c r="J1395" s="8" t="s">
        <v>31</v>
      </c>
      <c r="K1395" s="12">
        <f>_xlfn.XLOOKUP(B1395,[1]Sheet1!$B:$B,[1]Sheet1!$N:$N,0)</f>
        <v>0</v>
      </c>
      <c r="L1395" s="12">
        <f>_xlfn.XLOOKUP(B1395,[1]Sheet1!$B:$B,[1]Sheet1!$O:$O,0)</f>
        <v>0</v>
      </c>
      <c r="M1395" s="12">
        <f>_xlfn.XLOOKUP(B1395,[1]Sheet1!$B:$B,[1]Sheet1!$P:$P,0)</f>
        <v>0</v>
      </c>
      <c r="N1395" s="12">
        <f>_xlfn.XLOOKUP(B1395,[1]Sheet1!$B:$B,[1]Sheet1!$Q:$Q,0)</f>
        <v>0</v>
      </c>
      <c r="O1395" s="12">
        <f>_xlfn.XLOOKUP(B1395,[1]Sheet1!$B:$B,[1]Sheet1!$R:$R,0)</f>
        <v>0</v>
      </c>
      <c r="P1395" s="12">
        <f>_xlfn.XLOOKUP(B1395,[1]Sheet1!$B:$B,[1]Sheet1!$S:$S,0)</f>
        <v>0</v>
      </c>
      <c r="Q1395" s="12">
        <f>_xlfn.XLOOKUP(B1395,[1]Sheet1!$B:$B,[1]Sheet1!$T:$T,0)</f>
        <v>0</v>
      </c>
      <c r="R1395" s="12">
        <f>_xlfn.XLOOKUP(B1395,[1]Sheet1!$B:$B,[1]Sheet1!$U:$U,0)</f>
        <v>0</v>
      </c>
      <c r="S1395" s="12">
        <f>_xlfn.XLOOKUP(B1395,[1]Sheet1!$B:$B,[1]Sheet1!$V:$V,0)</f>
        <v>0</v>
      </c>
      <c r="T1395" s="12">
        <f>_xlfn.XLOOKUP(B1395,[1]Sheet1!$B:$B,[1]Sheet1!$W:$W,0)</f>
        <v>0</v>
      </c>
      <c r="U1395" s="12">
        <f>_xlfn.XLOOKUP(B1395,[1]Sheet1!$B:$B,[1]Sheet1!$X:$X,0)</f>
        <v>0</v>
      </c>
      <c r="V1395" s="12">
        <f>_xlfn.XLOOKUP(B1395,[1]Sheet1!$B:$B,[1]Sheet1!$Y:$Y,0)</f>
        <v>0</v>
      </c>
      <c r="W1395" s="12">
        <f t="shared" si="45"/>
        <v>0</v>
      </c>
      <c r="X1395" s="8" t="s">
        <v>2207</v>
      </c>
      <c r="Y1395" s="8" t="s">
        <v>2208</v>
      </c>
      <c r="Z1395" s="8" t="s">
        <v>2209</v>
      </c>
      <c r="AA1395" s="8" t="s">
        <v>53</v>
      </c>
      <c r="AB1395" s="8" t="s">
        <v>36</v>
      </c>
      <c r="AC1395" s="8" t="s">
        <v>37</v>
      </c>
      <c r="AD1395" s="8" t="s">
        <v>38</v>
      </c>
      <c r="AE1395" s="8" t="s">
        <v>2208</v>
      </c>
      <c r="AF1395" s="8" t="s">
        <v>2211</v>
      </c>
      <c r="AG1395" s="9">
        <v>420000</v>
      </c>
      <c r="AH1395" s="11">
        <f>_xlfn.XLOOKUP(B1395,[1]Sheet1!$B:$B,[1]Sheet1!$AB:$AB,0)</f>
        <v>0</v>
      </c>
    </row>
    <row r="1396" spans="2:34" ht="16.8" thickTop="1" thickBot="1" x14ac:dyDescent="0.35">
      <c r="B1396" s="3" t="str">
        <f t="shared" si="44"/>
        <v>451400045170000014510808421122200104</v>
      </c>
      <c r="C1396" s="6" t="s">
        <v>2210</v>
      </c>
      <c r="D1396" s="6" t="s">
        <v>2204</v>
      </c>
      <c r="E1396" s="6" t="s">
        <v>2205</v>
      </c>
      <c r="F1396" s="6" t="s">
        <v>2212</v>
      </c>
      <c r="G1396" s="4" t="s">
        <v>2882</v>
      </c>
      <c r="H1396" s="4" t="s">
        <v>2922</v>
      </c>
      <c r="I1396" s="6" t="s">
        <v>2213</v>
      </c>
      <c r="J1396" s="6" t="s">
        <v>31</v>
      </c>
      <c r="K1396" s="12">
        <f>_xlfn.XLOOKUP(B1396,[1]Sheet1!$B:$B,[1]Sheet1!$N:$N,0)</f>
        <v>0</v>
      </c>
      <c r="L1396" s="12">
        <f>_xlfn.XLOOKUP(B1396,[1]Sheet1!$B:$B,[1]Sheet1!$O:$O,0)</f>
        <v>0</v>
      </c>
      <c r="M1396" s="12">
        <f>_xlfn.XLOOKUP(B1396,[1]Sheet1!$B:$B,[1]Sheet1!$P:$P,0)</f>
        <v>0</v>
      </c>
      <c r="N1396" s="12">
        <f>_xlfn.XLOOKUP(B1396,[1]Sheet1!$B:$B,[1]Sheet1!$Q:$Q,0)</f>
        <v>0</v>
      </c>
      <c r="O1396" s="12">
        <f>_xlfn.XLOOKUP(B1396,[1]Sheet1!$B:$B,[1]Sheet1!$R:$R,0)</f>
        <v>0</v>
      </c>
      <c r="P1396" s="12">
        <f>_xlfn.XLOOKUP(B1396,[1]Sheet1!$B:$B,[1]Sheet1!$S:$S,0)</f>
        <v>0</v>
      </c>
      <c r="Q1396" s="12">
        <f>_xlfn.XLOOKUP(B1396,[1]Sheet1!$B:$B,[1]Sheet1!$T:$T,0)</f>
        <v>0</v>
      </c>
      <c r="R1396" s="12">
        <f>_xlfn.XLOOKUP(B1396,[1]Sheet1!$B:$B,[1]Sheet1!$U:$U,0)</f>
        <v>0</v>
      </c>
      <c r="S1396" s="12">
        <f>_xlfn.XLOOKUP(B1396,[1]Sheet1!$B:$B,[1]Sheet1!$V:$V,0)</f>
        <v>0</v>
      </c>
      <c r="T1396" s="12">
        <f>_xlfn.XLOOKUP(B1396,[1]Sheet1!$B:$B,[1]Sheet1!$W:$W,0)</f>
        <v>0</v>
      </c>
      <c r="U1396" s="12">
        <f>_xlfn.XLOOKUP(B1396,[1]Sheet1!$B:$B,[1]Sheet1!$X:$X,0)</f>
        <v>0</v>
      </c>
      <c r="V1396" s="12">
        <f>_xlfn.XLOOKUP(B1396,[1]Sheet1!$B:$B,[1]Sheet1!$Y:$Y,0)</f>
        <v>0</v>
      </c>
      <c r="W1396" s="12">
        <f t="shared" si="45"/>
        <v>0</v>
      </c>
      <c r="X1396" s="6" t="s">
        <v>2214</v>
      </c>
      <c r="Y1396" s="6" t="s">
        <v>2208</v>
      </c>
      <c r="Z1396" s="6" t="s">
        <v>2209</v>
      </c>
      <c r="AA1396" s="6" t="s">
        <v>2215</v>
      </c>
      <c r="AB1396" s="6" t="s">
        <v>36</v>
      </c>
      <c r="AC1396" s="6" t="s">
        <v>37</v>
      </c>
      <c r="AD1396" s="6" t="s">
        <v>38</v>
      </c>
      <c r="AE1396" s="6" t="s">
        <v>2208</v>
      </c>
      <c r="AF1396" s="6" t="s">
        <v>2211</v>
      </c>
      <c r="AG1396" s="7">
        <v>525000</v>
      </c>
      <c r="AH1396" s="11">
        <f>_xlfn.XLOOKUP(B1396,[1]Sheet1!$B:$B,[1]Sheet1!$AB:$AB,0)</f>
        <v>0</v>
      </c>
    </row>
    <row r="1397" spans="2:34" ht="16.8" thickTop="1" thickBot="1" x14ac:dyDescent="0.35">
      <c r="B1397" s="3" t="str">
        <f t="shared" si="44"/>
        <v>451412045170000024510723424521200104</v>
      </c>
      <c r="C1397" s="8" t="s">
        <v>2221</v>
      </c>
      <c r="D1397" s="8" t="s">
        <v>2216</v>
      </c>
      <c r="E1397" s="8" t="s">
        <v>2217</v>
      </c>
      <c r="F1397" s="8" t="s">
        <v>2218</v>
      </c>
      <c r="G1397" s="4" t="s">
        <v>2804</v>
      </c>
      <c r="H1397" s="4" t="s">
        <v>2922</v>
      </c>
      <c r="I1397" s="8" t="s">
        <v>53</v>
      </c>
      <c r="J1397" s="8" t="s">
        <v>31</v>
      </c>
      <c r="K1397" s="12">
        <f>_xlfn.XLOOKUP(B1397,[1]Sheet1!$B:$B,[1]Sheet1!$N:$N,0)</f>
        <v>0</v>
      </c>
      <c r="L1397" s="12">
        <f>_xlfn.XLOOKUP(B1397,[1]Sheet1!$B:$B,[1]Sheet1!$O:$O,0)</f>
        <v>0</v>
      </c>
      <c r="M1397" s="12">
        <f>_xlfn.XLOOKUP(B1397,[1]Sheet1!$B:$B,[1]Sheet1!$P:$P,0)</f>
        <v>0</v>
      </c>
      <c r="N1397" s="12">
        <f>_xlfn.XLOOKUP(B1397,[1]Sheet1!$B:$B,[1]Sheet1!$Q:$Q,0)</f>
        <v>0</v>
      </c>
      <c r="O1397" s="12">
        <f>_xlfn.XLOOKUP(B1397,[1]Sheet1!$B:$B,[1]Sheet1!$R:$R,0)</f>
        <v>0</v>
      </c>
      <c r="P1397" s="12">
        <f>_xlfn.XLOOKUP(B1397,[1]Sheet1!$B:$B,[1]Sheet1!$S:$S,0)</f>
        <v>0</v>
      </c>
      <c r="Q1397" s="12">
        <f>_xlfn.XLOOKUP(B1397,[1]Sheet1!$B:$B,[1]Sheet1!$T:$T,0)</f>
        <v>0</v>
      </c>
      <c r="R1397" s="12">
        <f>_xlfn.XLOOKUP(B1397,[1]Sheet1!$B:$B,[1]Sheet1!$U:$U,0)</f>
        <v>0</v>
      </c>
      <c r="S1397" s="12">
        <f>_xlfn.XLOOKUP(B1397,[1]Sheet1!$B:$B,[1]Sheet1!$V:$V,0)</f>
        <v>0</v>
      </c>
      <c r="T1397" s="12">
        <f>_xlfn.XLOOKUP(B1397,[1]Sheet1!$B:$B,[1]Sheet1!$W:$W,0)</f>
        <v>0</v>
      </c>
      <c r="U1397" s="12">
        <f>_xlfn.XLOOKUP(B1397,[1]Sheet1!$B:$B,[1]Sheet1!$X:$X,0)</f>
        <v>0</v>
      </c>
      <c r="V1397" s="12">
        <f>_xlfn.XLOOKUP(B1397,[1]Sheet1!$B:$B,[1]Sheet1!$Y:$Y,0)</f>
        <v>0</v>
      </c>
      <c r="W1397" s="12">
        <f t="shared" si="45"/>
        <v>0</v>
      </c>
      <c r="X1397" s="8" t="s">
        <v>2219</v>
      </c>
      <c r="Y1397" s="8" t="s">
        <v>2208</v>
      </c>
      <c r="Z1397" s="8" t="s">
        <v>2220</v>
      </c>
      <c r="AA1397" s="8" t="s">
        <v>53</v>
      </c>
      <c r="AB1397" s="8" t="s">
        <v>36</v>
      </c>
      <c r="AC1397" s="8" t="s">
        <v>37</v>
      </c>
      <c r="AD1397" s="8" t="s">
        <v>135</v>
      </c>
      <c r="AE1397" s="8" t="s">
        <v>2208</v>
      </c>
      <c r="AF1397" s="8" t="s">
        <v>2211</v>
      </c>
      <c r="AG1397" s="9">
        <v>774000</v>
      </c>
      <c r="AH1397" s="11">
        <f>_xlfn.XLOOKUP(B1397,[1]Sheet1!$B:$B,[1]Sheet1!$AB:$AB,0)</f>
        <v>0</v>
      </c>
    </row>
    <row r="1398" spans="2:34" ht="16.8" thickTop="1" thickBot="1" x14ac:dyDescent="0.35">
      <c r="B1398" s="3" t="str">
        <f t="shared" si="44"/>
        <v>451412045170000034510715437111200104</v>
      </c>
      <c r="C1398" s="6" t="s">
        <v>2221</v>
      </c>
      <c r="D1398" s="6" t="s">
        <v>2222</v>
      </c>
      <c r="E1398" s="6" t="s">
        <v>2223</v>
      </c>
      <c r="F1398" s="6" t="s">
        <v>2224</v>
      </c>
      <c r="G1398" s="4" t="s">
        <v>2841</v>
      </c>
      <c r="H1398" s="4" t="s">
        <v>2922</v>
      </c>
      <c r="I1398" s="6" t="s">
        <v>451</v>
      </c>
      <c r="J1398" s="6" t="s">
        <v>31</v>
      </c>
      <c r="K1398" s="12">
        <f>_xlfn.XLOOKUP(B1398,[1]Sheet1!$B:$B,[1]Sheet1!$N:$N,0)</f>
        <v>0</v>
      </c>
      <c r="L1398" s="12">
        <f>_xlfn.XLOOKUP(B1398,[1]Sheet1!$B:$B,[1]Sheet1!$O:$O,0)</f>
        <v>0</v>
      </c>
      <c r="M1398" s="12">
        <f>_xlfn.XLOOKUP(B1398,[1]Sheet1!$B:$B,[1]Sheet1!$P:$P,0)</f>
        <v>0</v>
      </c>
      <c r="N1398" s="12">
        <f>_xlfn.XLOOKUP(B1398,[1]Sheet1!$B:$B,[1]Sheet1!$Q:$Q,0)</f>
        <v>0</v>
      </c>
      <c r="O1398" s="12">
        <f>_xlfn.XLOOKUP(B1398,[1]Sheet1!$B:$B,[1]Sheet1!$R:$R,0)</f>
        <v>0</v>
      </c>
      <c r="P1398" s="12">
        <f>_xlfn.XLOOKUP(B1398,[1]Sheet1!$B:$B,[1]Sheet1!$S:$S,0)</f>
        <v>0</v>
      </c>
      <c r="Q1398" s="12">
        <f>_xlfn.XLOOKUP(B1398,[1]Sheet1!$B:$B,[1]Sheet1!$T:$T,0)</f>
        <v>0</v>
      </c>
      <c r="R1398" s="12">
        <f>_xlfn.XLOOKUP(B1398,[1]Sheet1!$B:$B,[1]Sheet1!$U:$U,0)</f>
        <v>0</v>
      </c>
      <c r="S1398" s="12">
        <f>_xlfn.XLOOKUP(B1398,[1]Sheet1!$B:$B,[1]Sheet1!$V:$V,0)</f>
        <v>0</v>
      </c>
      <c r="T1398" s="12">
        <f>_xlfn.XLOOKUP(B1398,[1]Sheet1!$B:$B,[1]Sheet1!$W:$W,0)</f>
        <v>0</v>
      </c>
      <c r="U1398" s="12">
        <f>_xlfn.XLOOKUP(B1398,[1]Sheet1!$B:$B,[1]Sheet1!$X:$X,0)</f>
        <v>0</v>
      </c>
      <c r="V1398" s="12">
        <f>_xlfn.XLOOKUP(B1398,[1]Sheet1!$B:$B,[1]Sheet1!$Y:$Y,0)</f>
        <v>0</v>
      </c>
      <c r="W1398" s="12">
        <f t="shared" si="45"/>
        <v>0</v>
      </c>
      <c r="X1398" s="6" t="s">
        <v>2225</v>
      </c>
      <c r="Y1398" s="6" t="s">
        <v>2208</v>
      </c>
      <c r="Z1398" s="6" t="s">
        <v>2220</v>
      </c>
      <c r="AA1398" s="6" t="s">
        <v>451</v>
      </c>
      <c r="AB1398" s="6" t="s">
        <v>36</v>
      </c>
      <c r="AC1398" s="6" t="s">
        <v>37</v>
      </c>
      <c r="AD1398" s="6" t="s">
        <v>449</v>
      </c>
      <c r="AE1398" s="6" t="s">
        <v>2208</v>
      </c>
      <c r="AF1398" s="6" t="s">
        <v>2211</v>
      </c>
      <c r="AG1398" s="7">
        <v>3063927</v>
      </c>
      <c r="AH1398" s="11">
        <f>_xlfn.XLOOKUP(B1398,[1]Sheet1!$B:$B,[1]Sheet1!$AB:$AB,0)</f>
        <v>0</v>
      </c>
    </row>
    <row r="1399" spans="2:34" ht="16.8" thickTop="1" thickBot="1" x14ac:dyDescent="0.35">
      <c r="B1399" s="3" t="str">
        <f t="shared" si="44"/>
        <v>451412045170000034510720421112200104</v>
      </c>
      <c r="C1399" s="8" t="s">
        <v>2221</v>
      </c>
      <c r="D1399" s="8" t="s">
        <v>2222</v>
      </c>
      <c r="E1399" s="8" t="s">
        <v>2223</v>
      </c>
      <c r="F1399" s="8" t="s">
        <v>2226</v>
      </c>
      <c r="G1399" s="4" t="s">
        <v>2883</v>
      </c>
      <c r="H1399" s="4" t="s">
        <v>2922</v>
      </c>
      <c r="I1399" s="8" t="s">
        <v>2227</v>
      </c>
      <c r="J1399" s="8" t="s">
        <v>31</v>
      </c>
      <c r="K1399" s="12">
        <f>_xlfn.XLOOKUP(B1399,[1]Sheet1!$B:$B,[1]Sheet1!$N:$N,0)</f>
        <v>0</v>
      </c>
      <c r="L1399" s="12">
        <f>_xlfn.XLOOKUP(B1399,[1]Sheet1!$B:$B,[1]Sheet1!$O:$O,0)</f>
        <v>0</v>
      </c>
      <c r="M1399" s="12">
        <f>_xlfn.XLOOKUP(B1399,[1]Sheet1!$B:$B,[1]Sheet1!$P:$P,0)</f>
        <v>0</v>
      </c>
      <c r="N1399" s="12">
        <f>_xlfn.XLOOKUP(B1399,[1]Sheet1!$B:$B,[1]Sheet1!$Q:$Q,0)</f>
        <v>0</v>
      </c>
      <c r="O1399" s="12">
        <f>_xlfn.XLOOKUP(B1399,[1]Sheet1!$B:$B,[1]Sheet1!$R:$R,0)</f>
        <v>0</v>
      </c>
      <c r="P1399" s="12">
        <f>_xlfn.XLOOKUP(B1399,[1]Sheet1!$B:$B,[1]Sheet1!$S:$S,0)</f>
        <v>0</v>
      </c>
      <c r="Q1399" s="12">
        <f>_xlfn.XLOOKUP(B1399,[1]Sheet1!$B:$B,[1]Sheet1!$T:$T,0)</f>
        <v>0</v>
      </c>
      <c r="R1399" s="12">
        <f>_xlfn.XLOOKUP(B1399,[1]Sheet1!$B:$B,[1]Sheet1!$U:$U,0)</f>
        <v>0</v>
      </c>
      <c r="S1399" s="12">
        <f>_xlfn.XLOOKUP(B1399,[1]Sheet1!$B:$B,[1]Sheet1!$V:$V,0)</f>
        <v>0</v>
      </c>
      <c r="T1399" s="12">
        <f>_xlfn.XLOOKUP(B1399,[1]Sheet1!$B:$B,[1]Sheet1!$W:$W,0)</f>
        <v>0</v>
      </c>
      <c r="U1399" s="12">
        <f>_xlfn.XLOOKUP(B1399,[1]Sheet1!$B:$B,[1]Sheet1!$X:$X,0)</f>
        <v>0</v>
      </c>
      <c r="V1399" s="12">
        <f>_xlfn.XLOOKUP(B1399,[1]Sheet1!$B:$B,[1]Sheet1!$Y:$Y,0)</f>
        <v>0</v>
      </c>
      <c r="W1399" s="12">
        <f t="shared" si="45"/>
        <v>0</v>
      </c>
      <c r="X1399" s="8" t="s">
        <v>2228</v>
      </c>
      <c r="Y1399" s="8" t="s">
        <v>2208</v>
      </c>
      <c r="Z1399" s="8" t="s">
        <v>2220</v>
      </c>
      <c r="AA1399" s="8" t="s">
        <v>2227</v>
      </c>
      <c r="AB1399" s="8" t="s">
        <v>36</v>
      </c>
      <c r="AC1399" s="8" t="s">
        <v>37</v>
      </c>
      <c r="AD1399" s="8" t="s">
        <v>449</v>
      </c>
      <c r="AE1399" s="8" t="s">
        <v>2208</v>
      </c>
      <c r="AF1399" s="8" t="s">
        <v>2211</v>
      </c>
      <c r="AG1399" s="9">
        <v>1291794</v>
      </c>
      <c r="AH1399" s="11">
        <f>_xlfn.XLOOKUP(B1399,[1]Sheet1!$B:$B,[1]Sheet1!$AB:$AB,0)</f>
        <v>0</v>
      </c>
    </row>
    <row r="1400" spans="2:34" ht="16.8" thickTop="1" thickBot="1" x14ac:dyDescent="0.35">
      <c r="B1400" s="3" t="str">
        <f t="shared" si="44"/>
        <v>451412045170000044510723424521200104</v>
      </c>
      <c r="C1400" s="6" t="s">
        <v>2221</v>
      </c>
      <c r="D1400" s="6" t="s">
        <v>2229</v>
      </c>
      <c r="E1400" s="6" t="s">
        <v>2230</v>
      </c>
      <c r="F1400" s="6" t="s">
        <v>2218</v>
      </c>
      <c r="G1400" s="4" t="s">
        <v>2804</v>
      </c>
      <c r="H1400" s="4" t="s">
        <v>2922</v>
      </c>
      <c r="I1400" s="6" t="s">
        <v>53</v>
      </c>
      <c r="J1400" s="6" t="s">
        <v>31</v>
      </c>
      <c r="K1400" s="12">
        <f>_xlfn.XLOOKUP(B1400,[1]Sheet1!$B:$B,[1]Sheet1!$N:$N,0)</f>
        <v>0</v>
      </c>
      <c r="L1400" s="12">
        <f>_xlfn.XLOOKUP(B1400,[1]Sheet1!$B:$B,[1]Sheet1!$O:$O,0)</f>
        <v>0</v>
      </c>
      <c r="M1400" s="12">
        <f>_xlfn.XLOOKUP(B1400,[1]Sheet1!$B:$B,[1]Sheet1!$P:$P,0)</f>
        <v>0</v>
      </c>
      <c r="N1400" s="12">
        <f>_xlfn.XLOOKUP(B1400,[1]Sheet1!$B:$B,[1]Sheet1!$Q:$Q,0)</f>
        <v>0</v>
      </c>
      <c r="O1400" s="12">
        <f>_xlfn.XLOOKUP(B1400,[1]Sheet1!$B:$B,[1]Sheet1!$R:$R,0)</f>
        <v>0</v>
      </c>
      <c r="P1400" s="12">
        <f>_xlfn.XLOOKUP(B1400,[1]Sheet1!$B:$B,[1]Sheet1!$S:$S,0)</f>
        <v>0</v>
      </c>
      <c r="Q1400" s="12">
        <f>_xlfn.XLOOKUP(B1400,[1]Sheet1!$B:$B,[1]Sheet1!$T:$T,0)</f>
        <v>0</v>
      </c>
      <c r="R1400" s="12">
        <f>_xlfn.XLOOKUP(B1400,[1]Sheet1!$B:$B,[1]Sheet1!$U:$U,0)</f>
        <v>0</v>
      </c>
      <c r="S1400" s="12">
        <f>_xlfn.XLOOKUP(B1400,[1]Sheet1!$B:$B,[1]Sheet1!$V:$V,0)</f>
        <v>0</v>
      </c>
      <c r="T1400" s="12">
        <f>_xlfn.XLOOKUP(B1400,[1]Sheet1!$B:$B,[1]Sheet1!$W:$W,0)</f>
        <v>0</v>
      </c>
      <c r="U1400" s="12">
        <f>_xlfn.XLOOKUP(B1400,[1]Sheet1!$B:$B,[1]Sheet1!$X:$X,0)</f>
        <v>0</v>
      </c>
      <c r="V1400" s="12">
        <f>_xlfn.XLOOKUP(B1400,[1]Sheet1!$B:$B,[1]Sheet1!$Y:$Y,0)</f>
        <v>0</v>
      </c>
      <c r="W1400" s="12">
        <f t="shared" si="45"/>
        <v>0</v>
      </c>
      <c r="X1400" s="6" t="s">
        <v>2219</v>
      </c>
      <c r="Y1400" s="6" t="s">
        <v>2208</v>
      </c>
      <c r="Z1400" s="6" t="s">
        <v>2220</v>
      </c>
      <c r="AA1400" s="6" t="s">
        <v>53</v>
      </c>
      <c r="AB1400" s="6" t="s">
        <v>36</v>
      </c>
      <c r="AC1400" s="6" t="s">
        <v>37</v>
      </c>
      <c r="AD1400" s="6" t="s">
        <v>135</v>
      </c>
      <c r="AE1400" s="6" t="s">
        <v>2208</v>
      </c>
      <c r="AF1400" s="6" t="s">
        <v>2211</v>
      </c>
      <c r="AG1400" s="7">
        <v>660000</v>
      </c>
      <c r="AH1400" s="11">
        <f>_xlfn.XLOOKUP(B1400,[1]Sheet1!$B:$B,[1]Sheet1!$AB:$AB,0)</f>
        <v>0</v>
      </c>
    </row>
    <row r="1401" spans="2:34" ht="16.8" thickTop="1" thickBot="1" x14ac:dyDescent="0.35">
      <c r="B1401" s="3" t="str">
        <f t="shared" si="44"/>
        <v>451412045170000054510723424521200104</v>
      </c>
      <c r="C1401" s="8" t="s">
        <v>2221</v>
      </c>
      <c r="D1401" s="8" t="s">
        <v>2231</v>
      </c>
      <c r="E1401" s="8" t="s">
        <v>2232</v>
      </c>
      <c r="F1401" s="8" t="s">
        <v>2218</v>
      </c>
      <c r="G1401" s="4" t="s">
        <v>2804</v>
      </c>
      <c r="H1401" s="4" t="s">
        <v>2922</v>
      </c>
      <c r="I1401" s="8" t="s">
        <v>53</v>
      </c>
      <c r="J1401" s="8" t="s">
        <v>31</v>
      </c>
      <c r="K1401" s="12">
        <f>_xlfn.XLOOKUP(B1401,[1]Sheet1!$B:$B,[1]Sheet1!$N:$N,0)</f>
        <v>0</v>
      </c>
      <c r="L1401" s="12">
        <f>_xlfn.XLOOKUP(B1401,[1]Sheet1!$B:$B,[1]Sheet1!$O:$O,0)</f>
        <v>0</v>
      </c>
      <c r="M1401" s="12">
        <f>_xlfn.XLOOKUP(B1401,[1]Sheet1!$B:$B,[1]Sheet1!$P:$P,0)</f>
        <v>0</v>
      </c>
      <c r="N1401" s="12">
        <f>_xlfn.XLOOKUP(B1401,[1]Sheet1!$B:$B,[1]Sheet1!$Q:$Q,0)</f>
        <v>0</v>
      </c>
      <c r="O1401" s="12">
        <f>_xlfn.XLOOKUP(B1401,[1]Sheet1!$B:$B,[1]Sheet1!$R:$R,0)</f>
        <v>0</v>
      </c>
      <c r="P1401" s="12">
        <f>_xlfn.XLOOKUP(B1401,[1]Sheet1!$B:$B,[1]Sheet1!$S:$S,0)</f>
        <v>0</v>
      </c>
      <c r="Q1401" s="12">
        <f>_xlfn.XLOOKUP(B1401,[1]Sheet1!$B:$B,[1]Sheet1!$T:$T,0)</f>
        <v>0</v>
      </c>
      <c r="R1401" s="12">
        <f>_xlfn.XLOOKUP(B1401,[1]Sheet1!$B:$B,[1]Sheet1!$U:$U,0)</f>
        <v>0</v>
      </c>
      <c r="S1401" s="12">
        <f>_xlfn.XLOOKUP(B1401,[1]Sheet1!$B:$B,[1]Sheet1!$V:$V,0)</f>
        <v>0</v>
      </c>
      <c r="T1401" s="12">
        <f>_xlfn.XLOOKUP(B1401,[1]Sheet1!$B:$B,[1]Sheet1!$W:$W,0)</f>
        <v>0</v>
      </c>
      <c r="U1401" s="12">
        <f>_xlfn.XLOOKUP(B1401,[1]Sheet1!$B:$B,[1]Sheet1!$X:$X,0)</f>
        <v>0</v>
      </c>
      <c r="V1401" s="12">
        <f>_xlfn.XLOOKUP(B1401,[1]Sheet1!$B:$B,[1]Sheet1!$Y:$Y,0)</f>
        <v>0</v>
      </c>
      <c r="W1401" s="12">
        <f t="shared" si="45"/>
        <v>0</v>
      </c>
      <c r="X1401" s="8" t="s">
        <v>2233</v>
      </c>
      <c r="Y1401" s="8" t="s">
        <v>2208</v>
      </c>
      <c r="Z1401" s="8" t="s">
        <v>2220</v>
      </c>
      <c r="AA1401" s="8" t="s">
        <v>53</v>
      </c>
      <c r="AB1401" s="8" t="s">
        <v>36</v>
      </c>
      <c r="AC1401" s="8" t="s">
        <v>37</v>
      </c>
      <c r="AD1401" s="8" t="s">
        <v>449</v>
      </c>
      <c r="AE1401" s="8" t="s">
        <v>2208</v>
      </c>
      <c r="AF1401" s="8" t="s">
        <v>2211</v>
      </c>
      <c r="AG1401" s="9">
        <v>240000</v>
      </c>
      <c r="AH1401" s="11">
        <f>_xlfn.XLOOKUP(B1401,[1]Sheet1!$B:$B,[1]Sheet1!$AB:$AB,0)</f>
        <v>0</v>
      </c>
    </row>
    <row r="1402" spans="2:34" ht="16.8" thickTop="1" thickBot="1" x14ac:dyDescent="0.35">
      <c r="B1402" s="3" t="str">
        <f t="shared" si="44"/>
        <v>451412045170000054510750424521200104</v>
      </c>
      <c r="C1402" s="6" t="s">
        <v>2221</v>
      </c>
      <c r="D1402" s="6" t="s">
        <v>2231</v>
      </c>
      <c r="E1402" s="6" t="s">
        <v>2232</v>
      </c>
      <c r="F1402" s="6" t="s">
        <v>2234</v>
      </c>
      <c r="G1402" s="4" t="s">
        <v>2804</v>
      </c>
      <c r="H1402" s="4" t="s">
        <v>2922</v>
      </c>
      <c r="I1402" s="6" t="s">
        <v>53</v>
      </c>
      <c r="J1402" s="6" t="s">
        <v>31</v>
      </c>
      <c r="K1402" s="12">
        <f>_xlfn.XLOOKUP(B1402,[1]Sheet1!$B:$B,[1]Sheet1!$N:$N,0)</f>
        <v>0</v>
      </c>
      <c r="L1402" s="12">
        <f>_xlfn.XLOOKUP(B1402,[1]Sheet1!$B:$B,[1]Sheet1!$O:$O,0)</f>
        <v>0</v>
      </c>
      <c r="M1402" s="12">
        <f>_xlfn.XLOOKUP(B1402,[1]Sheet1!$B:$B,[1]Sheet1!$P:$P,0)</f>
        <v>0</v>
      </c>
      <c r="N1402" s="12">
        <f>_xlfn.XLOOKUP(B1402,[1]Sheet1!$B:$B,[1]Sheet1!$Q:$Q,0)</f>
        <v>0</v>
      </c>
      <c r="O1402" s="12">
        <f>_xlfn.XLOOKUP(B1402,[1]Sheet1!$B:$B,[1]Sheet1!$R:$R,0)</f>
        <v>0</v>
      </c>
      <c r="P1402" s="12">
        <f>_xlfn.XLOOKUP(B1402,[1]Sheet1!$B:$B,[1]Sheet1!$S:$S,0)</f>
        <v>0</v>
      </c>
      <c r="Q1402" s="12">
        <f>_xlfn.XLOOKUP(B1402,[1]Sheet1!$B:$B,[1]Sheet1!$T:$T,0)</f>
        <v>0</v>
      </c>
      <c r="R1402" s="12">
        <f>_xlfn.XLOOKUP(B1402,[1]Sheet1!$B:$B,[1]Sheet1!$U:$U,0)</f>
        <v>0</v>
      </c>
      <c r="S1402" s="12">
        <f>_xlfn.XLOOKUP(B1402,[1]Sheet1!$B:$B,[1]Sheet1!$V:$V,0)</f>
        <v>0</v>
      </c>
      <c r="T1402" s="12">
        <f>_xlfn.XLOOKUP(B1402,[1]Sheet1!$B:$B,[1]Sheet1!$W:$W,0)</f>
        <v>0</v>
      </c>
      <c r="U1402" s="12">
        <f>_xlfn.XLOOKUP(B1402,[1]Sheet1!$B:$B,[1]Sheet1!$X:$X,0)</f>
        <v>0</v>
      </c>
      <c r="V1402" s="12">
        <f>_xlfn.XLOOKUP(B1402,[1]Sheet1!$B:$B,[1]Sheet1!$Y:$Y,0)</f>
        <v>0</v>
      </c>
      <c r="W1402" s="12">
        <f t="shared" si="45"/>
        <v>0</v>
      </c>
      <c r="X1402" s="6" t="s">
        <v>2219</v>
      </c>
      <c r="Y1402" s="6" t="s">
        <v>2208</v>
      </c>
      <c r="Z1402" s="6" t="s">
        <v>2220</v>
      </c>
      <c r="AA1402" s="6" t="s">
        <v>53</v>
      </c>
      <c r="AB1402" s="6" t="s">
        <v>36</v>
      </c>
      <c r="AC1402" s="6" t="s">
        <v>37</v>
      </c>
      <c r="AD1402" s="6" t="s">
        <v>135</v>
      </c>
      <c r="AE1402" s="6" t="s">
        <v>2208</v>
      </c>
      <c r="AF1402" s="6" t="s">
        <v>2211</v>
      </c>
      <c r="AG1402" s="7">
        <v>316206</v>
      </c>
      <c r="AH1402" s="11">
        <f>_xlfn.XLOOKUP(B1402,[1]Sheet1!$B:$B,[1]Sheet1!$AB:$AB,0)</f>
        <v>0</v>
      </c>
    </row>
    <row r="1403" spans="2:34" ht="16.8" thickTop="1" thickBot="1" x14ac:dyDescent="0.35">
      <c r="B1403" s="3" t="str">
        <f t="shared" si="44"/>
        <v>451414045170000074510723424521200104</v>
      </c>
      <c r="C1403" s="8" t="s">
        <v>2239</v>
      </c>
      <c r="D1403" s="8" t="s">
        <v>2235</v>
      </c>
      <c r="E1403" s="8" t="s">
        <v>2236</v>
      </c>
      <c r="F1403" s="8" t="s">
        <v>2218</v>
      </c>
      <c r="G1403" s="4" t="s">
        <v>2804</v>
      </c>
      <c r="H1403" s="4" t="s">
        <v>2922</v>
      </c>
      <c r="I1403" s="8" t="s">
        <v>53</v>
      </c>
      <c r="J1403" s="8" t="s">
        <v>31</v>
      </c>
      <c r="K1403" s="12">
        <f>_xlfn.XLOOKUP(B1403,[1]Sheet1!$B:$B,[1]Sheet1!$N:$N,0)</f>
        <v>0</v>
      </c>
      <c r="L1403" s="12">
        <f>_xlfn.XLOOKUP(B1403,[1]Sheet1!$B:$B,[1]Sheet1!$O:$O,0)</f>
        <v>0</v>
      </c>
      <c r="M1403" s="12">
        <f>_xlfn.XLOOKUP(B1403,[1]Sheet1!$B:$B,[1]Sheet1!$P:$P,0)</f>
        <v>0</v>
      </c>
      <c r="N1403" s="12">
        <f>_xlfn.XLOOKUP(B1403,[1]Sheet1!$B:$B,[1]Sheet1!$Q:$Q,0)</f>
        <v>0</v>
      </c>
      <c r="O1403" s="12">
        <f>_xlfn.XLOOKUP(B1403,[1]Sheet1!$B:$B,[1]Sheet1!$R:$R,0)</f>
        <v>0</v>
      </c>
      <c r="P1403" s="12">
        <f>_xlfn.XLOOKUP(B1403,[1]Sheet1!$B:$B,[1]Sheet1!$S:$S,0)</f>
        <v>0</v>
      </c>
      <c r="Q1403" s="12">
        <f>_xlfn.XLOOKUP(B1403,[1]Sheet1!$B:$B,[1]Sheet1!$T:$T,0)</f>
        <v>0</v>
      </c>
      <c r="R1403" s="12">
        <f>_xlfn.XLOOKUP(B1403,[1]Sheet1!$B:$B,[1]Sheet1!$U:$U,0)</f>
        <v>0</v>
      </c>
      <c r="S1403" s="12">
        <f>_xlfn.XLOOKUP(B1403,[1]Sheet1!$B:$B,[1]Sheet1!$V:$V,0)</f>
        <v>0</v>
      </c>
      <c r="T1403" s="12">
        <f>_xlfn.XLOOKUP(B1403,[1]Sheet1!$B:$B,[1]Sheet1!$W:$W,0)</f>
        <v>0</v>
      </c>
      <c r="U1403" s="12">
        <f>_xlfn.XLOOKUP(B1403,[1]Sheet1!$B:$B,[1]Sheet1!$X:$X,0)</f>
        <v>0</v>
      </c>
      <c r="V1403" s="12">
        <f>_xlfn.XLOOKUP(B1403,[1]Sheet1!$B:$B,[1]Sheet1!$Y:$Y,0)</f>
        <v>0</v>
      </c>
      <c r="W1403" s="12">
        <f t="shared" si="45"/>
        <v>0</v>
      </c>
      <c r="X1403" s="8" t="s">
        <v>2237</v>
      </c>
      <c r="Y1403" s="8" t="s">
        <v>2208</v>
      </c>
      <c r="Z1403" s="8" t="s">
        <v>2238</v>
      </c>
      <c r="AA1403" s="8" t="s">
        <v>53</v>
      </c>
      <c r="AB1403" s="8" t="s">
        <v>36</v>
      </c>
      <c r="AC1403" s="8" t="s">
        <v>37</v>
      </c>
      <c r="AD1403" s="8" t="s">
        <v>135</v>
      </c>
      <c r="AE1403" s="8" t="s">
        <v>2208</v>
      </c>
      <c r="AF1403" s="8" t="s">
        <v>2211</v>
      </c>
      <c r="AG1403" s="9">
        <v>582444</v>
      </c>
      <c r="AH1403" s="11">
        <f>_xlfn.XLOOKUP(B1403,[1]Sheet1!$B:$B,[1]Sheet1!$AB:$AB,0)</f>
        <v>0</v>
      </c>
    </row>
    <row r="1404" spans="2:34" ht="16.8" thickTop="1" thickBot="1" x14ac:dyDescent="0.35">
      <c r="B1404" s="3" t="str">
        <f t="shared" si="44"/>
        <v>451414045170000074510802413710100103</v>
      </c>
      <c r="C1404" s="6" t="s">
        <v>2239</v>
      </c>
      <c r="D1404" s="6" t="s">
        <v>2235</v>
      </c>
      <c r="E1404" s="6" t="s">
        <v>2236</v>
      </c>
      <c r="F1404" s="6" t="s">
        <v>2240</v>
      </c>
      <c r="G1404" s="4" t="s">
        <v>2858</v>
      </c>
      <c r="H1404" s="4" t="s">
        <v>2924</v>
      </c>
      <c r="I1404" s="6" t="s">
        <v>759</v>
      </c>
      <c r="J1404" s="6" t="s">
        <v>31</v>
      </c>
      <c r="K1404" s="12">
        <f>_xlfn.XLOOKUP(B1404,[1]Sheet1!$B:$B,[1]Sheet1!$N:$N,0)</f>
        <v>0</v>
      </c>
      <c r="L1404" s="12">
        <f>_xlfn.XLOOKUP(B1404,[1]Sheet1!$B:$B,[1]Sheet1!$O:$O,0)</f>
        <v>0</v>
      </c>
      <c r="M1404" s="12">
        <f>_xlfn.XLOOKUP(B1404,[1]Sheet1!$B:$B,[1]Sheet1!$P:$P,0)</f>
        <v>0</v>
      </c>
      <c r="N1404" s="12">
        <f>_xlfn.XLOOKUP(B1404,[1]Sheet1!$B:$B,[1]Sheet1!$Q:$Q,0)</f>
        <v>0</v>
      </c>
      <c r="O1404" s="12">
        <f>_xlfn.XLOOKUP(B1404,[1]Sheet1!$B:$B,[1]Sheet1!$R:$R,0)</f>
        <v>0</v>
      </c>
      <c r="P1404" s="12">
        <f>_xlfn.XLOOKUP(B1404,[1]Sheet1!$B:$B,[1]Sheet1!$S:$S,0)</f>
        <v>0</v>
      </c>
      <c r="Q1404" s="12">
        <f>_xlfn.XLOOKUP(B1404,[1]Sheet1!$B:$B,[1]Sheet1!$T:$T,0)</f>
        <v>0</v>
      </c>
      <c r="R1404" s="12">
        <f>_xlfn.XLOOKUP(B1404,[1]Sheet1!$B:$B,[1]Sheet1!$U:$U,0)</f>
        <v>0</v>
      </c>
      <c r="S1404" s="12">
        <f>_xlfn.XLOOKUP(B1404,[1]Sheet1!$B:$B,[1]Sheet1!$V:$V,0)</f>
        <v>0</v>
      </c>
      <c r="T1404" s="12">
        <f>_xlfn.XLOOKUP(B1404,[1]Sheet1!$B:$B,[1]Sheet1!$W:$W,0)</f>
        <v>0</v>
      </c>
      <c r="U1404" s="12">
        <f>_xlfn.XLOOKUP(B1404,[1]Sheet1!$B:$B,[1]Sheet1!$X:$X,0)</f>
        <v>0</v>
      </c>
      <c r="V1404" s="12">
        <f>_xlfn.XLOOKUP(B1404,[1]Sheet1!$B:$B,[1]Sheet1!$Y:$Y,0)</f>
        <v>0</v>
      </c>
      <c r="W1404" s="12">
        <f t="shared" si="45"/>
        <v>0</v>
      </c>
      <c r="X1404" s="6" t="s">
        <v>2241</v>
      </c>
      <c r="Y1404" s="6" t="s">
        <v>2208</v>
      </c>
      <c r="Z1404" s="6" t="s">
        <v>2238</v>
      </c>
      <c r="AA1404" s="6" t="s">
        <v>761</v>
      </c>
      <c r="AB1404" s="6" t="s">
        <v>204</v>
      </c>
      <c r="AC1404" s="6" t="s">
        <v>205</v>
      </c>
      <c r="AD1404" s="6" t="s">
        <v>135</v>
      </c>
      <c r="AE1404" s="6" t="s">
        <v>2208</v>
      </c>
      <c r="AF1404" s="6" t="s">
        <v>2211</v>
      </c>
      <c r="AG1404" s="7">
        <v>2130000</v>
      </c>
      <c r="AH1404" s="11">
        <f>_xlfn.XLOOKUP(B1404,[1]Sheet1!$B:$B,[1]Sheet1!$AB:$AB,0)</f>
        <v>0</v>
      </c>
    </row>
    <row r="1405" spans="2:34" ht="16.8" thickTop="1" thickBot="1" x14ac:dyDescent="0.35">
      <c r="B1405" s="3" t="str">
        <f t="shared" si="44"/>
        <v>451414045170000084510723424521200104</v>
      </c>
      <c r="C1405" s="8" t="s">
        <v>2239</v>
      </c>
      <c r="D1405" s="8" t="s">
        <v>2242</v>
      </c>
      <c r="E1405" s="8" t="s">
        <v>2243</v>
      </c>
      <c r="F1405" s="8" t="s">
        <v>2218</v>
      </c>
      <c r="G1405" s="4" t="s">
        <v>2804</v>
      </c>
      <c r="H1405" s="4" t="s">
        <v>2922</v>
      </c>
      <c r="I1405" s="8" t="s">
        <v>53</v>
      </c>
      <c r="J1405" s="8" t="s">
        <v>31</v>
      </c>
      <c r="K1405" s="12">
        <f>_xlfn.XLOOKUP(B1405,[1]Sheet1!$B:$B,[1]Sheet1!$N:$N,0)</f>
        <v>0</v>
      </c>
      <c r="L1405" s="12">
        <f>_xlfn.XLOOKUP(B1405,[1]Sheet1!$B:$B,[1]Sheet1!$O:$O,0)</f>
        <v>0</v>
      </c>
      <c r="M1405" s="12">
        <f>_xlfn.XLOOKUP(B1405,[1]Sheet1!$B:$B,[1]Sheet1!$P:$P,0)</f>
        <v>0</v>
      </c>
      <c r="N1405" s="12">
        <f>_xlfn.XLOOKUP(B1405,[1]Sheet1!$B:$B,[1]Sheet1!$Q:$Q,0)</f>
        <v>0</v>
      </c>
      <c r="O1405" s="12">
        <f>_xlfn.XLOOKUP(B1405,[1]Sheet1!$B:$B,[1]Sheet1!$R:$R,0)</f>
        <v>0</v>
      </c>
      <c r="P1405" s="12">
        <f>_xlfn.XLOOKUP(B1405,[1]Sheet1!$B:$B,[1]Sheet1!$S:$S,0)</f>
        <v>0</v>
      </c>
      <c r="Q1405" s="12">
        <f>_xlfn.XLOOKUP(B1405,[1]Sheet1!$B:$B,[1]Sheet1!$T:$T,0)</f>
        <v>0</v>
      </c>
      <c r="R1405" s="12">
        <f>_xlfn.XLOOKUP(B1405,[1]Sheet1!$B:$B,[1]Sheet1!$U:$U,0)</f>
        <v>0</v>
      </c>
      <c r="S1405" s="12">
        <f>_xlfn.XLOOKUP(B1405,[1]Sheet1!$B:$B,[1]Sheet1!$V:$V,0)</f>
        <v>0</v>
      </c>
      <c r="T1405" s="12">
        <f>_xlfn.XLOOKUP(B1405,[1]Sheet1!$B:$B,[1]Sheet1!$W:$W,0)</f>
        <v>0</v>
      </c>
      <c r="U1405" s="12">
        <f>_xlfn.XLOOKUP(B1405,[1]Sheet1!$B:$B,[1]Sheet1!$X:$X,0)</f>
        <v>0</v>
      </c>
      <c r="V1405" s="12">
        <f>_xlfn.XLOOKUP(B1405,[1]Sheet1!$B:$B,[1]Sheet1!$Y:$Y,0)</f>
        <v>0</v>
      </c>
      <c r="W1405" s="12">
        <f t="shared" si="45"/>
        <v>0</v>
      </c>
      <c r="X1405" s="8" t="s">
        <v>2237</v>
      </c>
      <c r="Y1405" s="8" t="s">
        <v>2208</v>
      </c>
      <c r="Z1405" s="8" t="s">
        <v>2238</v>
      </c>
      <c r="AA1405" s="8" t="s">
        <v>53</v>
      </c>
      <c r="AB1405" s="8" t="s">
        <v>36</v>
      </c>
      <c r="AC1405" s="8" t="s">
        <v>37</v>
      </c>
      <c r="AD1405" s="8" t="s">
        <v>135</v>
      </c>
      <c r="AE1405" s="8" t="s">
        <v>2208</v>
      </c>
      <c r="AF1405" s="8" t="s">
        <v>2211</v>
      </c>
      <c r="AG1405" s="9">
        <v>1084569</v>
      </c>
      <c r="AH1405" s="11">
        <f>_xlfn.XLOOKUP(B1405,[1]Sheet1!$B:$B,[1]Sheet1!$AB:$AB,0)</f>
        <v>0</v>
      </c>
    </row>
    <row r="1406" spans="2:34" ht="16.8" thickTop="1" thickBot="1" x14ac:dyDescent="0.35">
      <c r="B1406" s="3" t="str">
        <f t="shared" si="44"/>
        <v>451418045170000084510725424231200104</v>
      </c>
      <c r="C1406" s="6" t="s">
        <v>2246</v>
      </c>
      <c r="D1406" s="6" t="s">
        <v>2242</v>
      </c>
      <c r="E1406" s="6" t="s">
        <v>2243</v>
      </c>
      <c r="F1406" s="6" t="s">
        <v>2244</v>
      </c>
      <c r="G1406" s="4" t="s">
        <v>2832</v>
      </c>
      <c r="H1406" s="4" t="s">
        <v>2922</v>
      </c>
      <c r="I1406" s="6" t="s">
        <v>324</v>
      </c>
      <c r="J1406" s="6" t="s">
        <v>31</v>
      </c>
      <c r="K1406" s="12">
        <f>_xlfn.XLOOKUP(B1406,[1]Sheet1!$B:$B,[1]Sheet1!$N:$N,0)</f>
        <v>0</v>
      </c>
      <c r="L1406" s="12">
        <f>_xlfn.XLOOKUP(B1406,[1]Sheet1!$B:$B,[1]Sheet1!$O:$O,0)</f>
        <v>0</v>
      </c>
      <c r="M1406" s="12">
        <f>_xlfn.XLOOKUP(B1406,[1]Sheet1!$B:$B,[1]Sheet1!$P:$P,0)</f>
        <v>0</v>
      </c>
      <c r="N1406" s="12">
        <f>_xlfn.XLOOKUP(B1406,[1]Sheet1!$B:$B,[1]Sheet1!$Q:$Q,0)</f>
        <v>0</v>
      </c>
      <c r="O1406" s="12">
        <f>_xlfn.XLOOKUP(B1406,[1]Sheet1!$B:$B,[1]Sheet1!$R:$R,0)</f>
        <v>0</v>
      </c>
      <c r="P1406" s="12">
        <f>_xlfn.XLOOKUP(B1406,[1]Sheet1!$B:$B,[1]Sheet1!$S:$S,0)</f>
        <v>0</v>
      </c>
      <c r="Q1406" s="12">
        <f>_xlfn.XLOOKUP(B1406,[1]Sheet1!$B:$B,[1]Sheet1!$T:$T,0)</f>
        <v>0</v>
      </c>
      <c r="R1406" s="12">
        <f>_xlfn.XLOOKUP(B1406,[1]Sheet1!$B:$B,[1]Sheet1!$U:$U,0)</f>
        <v>0</v>
      </c>
      <c r="S1406" s="12">
        <f>_xlfn.XLOOKUP(B1406,[1]Sheet1!$B:$B,[1]Sheet1!$V:$V,0)</f>
        <v>0</v>
      </c>
      <c r="T1406" s="12">
        <f>_xlfn.XLOOKUP(B1406,[1]Sheet1!$B:$B,[1]Sheet1!$W:$W,0)</f>
        <v>0</v>
      </c>
      <c r="U1406" s="12">
        <f>_xlfn.XLOOKUP(B1406,[1]Sheet1!$B:$B,[1]Sheet1!$X:$X,0)</f>
        <v>0</v>
      </c>
      <c r="V1406" s="12">
        <f>_xlfn.XLOOKUP(B1406,[1]Sheet1!$B:$B,[1]Sheet1!$Y:$Y,0)</f>
        <v>0</v>
      </c>
      <c r="W1406" s="12">
        <f t="shared" si="45"/>
        <v>0</v>
      </c>
      <c r="X1406" s="6" t="s">
        <v>2245</v>
      </c>
      <c r="Y1406" s="6" t="s">
        <v>2208</v>
      </c>
      <c r="Z1406" s="6" t="s">
        <v>2238</v>
      </c>
      <c r="AA1406" s="6" t="s">
        <v>326</v>
      </c>
      <c r="AB1406" s="6" t="s">
        <v>36</v>
      </c>
      <c r="AC1406" s="6" t="s">
        <v>37</v>
      </c>
      <c r="AD1406" s="6" t="s">
        <v>135</v>
      </c>
      <c r="AE1406" s="6" t="s">
        <v>2208</v>
      </c>
      <c r="AF1406" s="6" t="s">
        <v>2211</v>
      </c>
      <c r="AG1406" s="7">
        <v>1840450</v>
      </c>
      <c r="AH1406" s="11">
        <f>_xlfn.XLOOKUP(B1406,[1]Sheet1!$B:$B,[1]Sheet1!$AB:$AB,0)</f>
        <v>0</v>
      </c>
    </row>
    <row r="1407" spans="2:34" ht="16.8" thickTop="1" thickBot="1" x14ac:dyDescent="0.35">
      <c r="B1407" s="3" t="str">
        <f t="shared" si="44"/>
        <v>451418045170000084510726423821200104</v>
      </c>
      <c r="C1407" s="8" t="s">
        <v>2246</v>
      </c>
      <c r="D1407" s="8" t="s">
        <v>2242</v>
      </c>
      <c r="E1407" s="8" t="s">
        <v>2243</v>
      </c>
      <c r="F1407" s="8" t="s">
        <v>2247</v>
      </c>
      <c r="G1407" s="4" t="s">
        <v>2805</v>
      </c>
      <c r="H1407" s="4" t="s">
        <v>2922</v>
      </c>
      <c r="I1407" s="8" t="s">
        <v>55</v>
      </c>
      <c r="J1407" s="8" t="s">
        <v>31</v>
      </c>
      <c r="K1407" s="12">
        <f>_xlfn.XLOOKUP(B1407,[1]Sheet1!$B:$B,[1]Sheet1!$N:$N,0)</f>
        <v>0</v>
      </c>
      <c r="L1407" s="12">
        <f>_xlfn.XLOOKUP(B1407,[1]Sheet1!$B:$B,[1]Sheet1!$O:$O,0)</f>
        <v>0</v>
      </c>
      <c r="M1407" s="12">
        <f>_xlfn.XLOOKUP(B1407,[1]Sheet1!$B:$B,[1]Sheet1!$P:$P,0)</f>
        <v>0</v>
      </c>
      <c r="N1407" s="12">
        <f>_xlfn.XLOOKUP(B1407,[1]Sheet1!$B:$B,[1]Sheet1!$Q:$Q,0)</f>
        <v>0</v>
      </c>
      <c r="O1407" s="12">
        <f>_xlfn.XLOOKUP(B1407,[1]Sheet1!$B:$B,[1]Sheet1!$R:$R,0)</f>
        <v>0</v>
      </c>
      <c r="P1407" s="12">
        <f>_xlfn.XLOOKUP(B1407,[1]Sheet1!$B:$B,[1]Sheet1!$S:$S,0)</f>
        <v>0</v>
      </c>
      <c r="Q1407" s="12">
        <f>_xlfn.XLOOKUP(B1407,[1]Sheet1!$B:$B,[1]Sheet1!$T:$T,0)</f>
        <v>0</v>
      </c>
      <c r="R1407" s="12">
        <f>_xlfn.XLOOKUP(B1407,[1]Sheet1!$B:$B,[1]Sheet1!$U:$U,0)</f>
        <v>0</v>
      </c>
      <c r="S1407" s="12">
        <f>_xlfn.XLOOKUP(B1407,[1]Sheet1!$B:$B,[1]Sheet1!$V:$V,0)</f>
        <v>0</v>
      </c>
      <c r="T1407" s="12">
        <f>_xlfn.XLOOKUP(B1407,[1]Sheet1!$B:$B,[1]Sheet1!$W:$W,0)</f>
        <v>0</v>
      </c>
      <c r="U1407" s="12">
        <f>_xlfn.XLOOKUP(B1407,[1]Sheet1!$B:$B,[1]Sheet1!$X:$X,0)</f>
        <v>0</v>
      </c>
      <c r="V1407" s="12">
        <f>_xlfn.XLOOKUP(B1407,[1]Sheet1!$B:$B,[1]Sheet1!$Y:$Y,0)</f>
        <v>0</v>
      </c>
      <c r="W1407" s="12">
        <f t="shared" si="45"/>
        <v>0</v>
      </c>
      <c r="X1407" s="8" t="s">
        <v>2248</v>
      </c>
      <c r="Y1407" s="8" t="s">
        <v>2208</v>
      </c>
      <c r="Z1407" s="8" t="s">
        <v>2238</v>
      </c>
      <c r="AA1407" s="8" t="s">
        <v>55</v>
      </c>
      <c r="AB1407" s="8" t="s">
        <v>36</v>
      </c>
      <c r="AC1407" s="8" t="s">
        <v>37</v>
      </c>
      <c r="AD1407" s="8" t="s">
        <v>135</v>
      </c>
      <c r="AE1407" s="8" t="s">
        <v>2208</v>
      </c>
      <c r="AF1407" s="8" t="s">
        <v>2211</v>
      </c>
      <c r="AG1407" s="9">
        <v>495610.96</v>
      </c>
      <c r="AH1407" s="11">
        <f>_xlfn.XLOOKUP(B1407,[1]Sheet1!$B:$B,[1]Sheet1!$AB:$AB,0)</f>
        <v>0</v>
      </c>
    </row>
    <row r="1408" spans="2:34" ht="16.8" thickTop="1" thickBot="1" x14ac:dyDescent="0.35">
      <c r="B1408" s="3" t="str">
        <f t="shared" si="44"/>
        <v>451414045170000084510770413610100103</v>
      </c>
      <c r="C1408" s="6" t="s">
        <v>2239</v>
      </c>
      <c r="D1408" s="6" t="s">
        <v>2242</v>
      </c>
      <c r="E1408" s="6" t="s">
        <v>2243</v>
      </c>
      <c r="F1408" s="6" t="s">
        <v>2249</v>
      </c>
      <c r="G1408" s="4" t="s">
        <v>2823</v>
      </c>
      <c r="H1408" s="4" t="s">
        <v>2924</v>
      </c>
      <c r="I1408" s="6" t="s">
        <v>202</v>
      </c>
      <c r="J1408" s="6" t="s">
        <v>31</v>
      </c>
      <c r="K1408" s="12">
        <f>_xlfn.XLOOKUP(B1408,[1]Sheet1!$B:$B,[1]Sheet1!$N:$N,0)</f>
        <v>0</v>
      </c>
      <c r="L1408" s="12">
        <f>_xlfn.XLOOKUP(B1408,[1]Sheet1!$B:$B,[1]Sheet1!$O:$O,0)</f>
        <v>0</v>
      </c>
      <c r="M1408" s="12">
        <f>_xlfn.XLOOKUP(B1408,[1]Sheet1!$B:$B,[1]Sheet1!$P:$P,0)</f>
        <v>0</v>
      </c>
      <c r="N1408" s="12">
        <f>_xlfn.XLOOKUP(B1408,[1]Sheet1!$B:$B,[1]Sheet1!$Q:$Q,0)</f>
        <v>0</v>
      </c>
      <c r="O1408" s="12">
        <f>_xlfn.XLOOKUP(B1408,[1]Sheet1!$B:$B,[1]Sheet1!$R:$R,0)</f>
        <v>0</v>
      </c>
      <c r="P1408" s="12">
        <f>_xlfn.XLOOKUP(B1408,[1]Sheet1!$B:$B,[1]Sheet1!$S:$S,0)</f>
        <v>0</v>
      </c>
      <c r="Q1408" s="12">
        <f>_xlfn.XLOOKUP(B1408,[1]Sheet1!$B:$B,[1]Sheet1!$T:$T,0)</f>
        <v>0</v>
      </c>
      <c r="R1408" s="12">
        <f>_xlfn.XLOOKUP(B1408,[1]Sheet1!$B:$B,[1]Sheet1!$U:$U,0)</f>
        <v>0</v>
      </c>
      <c r="S1408" s="12">
        <f>_xlfn.XLOOKUP(B1408,[1]Sheet1!$B:$B,[1]Sheet1!$V:$V,0)</f>
        <v>0</v>
      </c>
      <c r="T1408" s="12">
        <f>_xlfn.XLOOKUP(B1408,[1]Sheet1!$B:$B,[1]Sheet1!$W:$W,0)</f>
        <v>0</v>
      </c>
      <c r="U1408" s="12">
        <f>_xlfn.XLOOKUP(B1408,[1]Sheet1!$B:$B,[1]Sheet1!$X:$X,0)</f>
        <v>0</v>
      </c>
      <c r="V1408" s="12">
        <f>_xlfn.XLOOKUP(B1408,[1]Sheet1!$B:$B,[1]Sheet1!$Y:$Y,0)</f>
        <v>0</v>
      </c>
      <c r="W1408" s="12">
        <f t="shared" si="45"/>
        <v>0</v>
      </c>
      <c r="X1408" s="6" t="s">
        <v>2250</v>
      </c>
      <c r="Y1408" s="6" t="s">
        <v>2208</v>
      </c>
      <c r="Z1408" s="6" t="s">
        <v>2238</v>
      </c>
      <c r="AA1408" s="6" t="s">
        <v>202</v>
      </c>
      <c r="AB1408" s="6" t="s">
        <v>204</v>
      </c>
      <c r="AC1408" s="6" t="s">
        <v>205</v>
      </c>
      <c r="AD1408" s="6" t="s">
        <v>135</v>
      </c>
      <c r="AE1408" s="6" t="s">
        <v>2208</v>
      </c>
      <c r="AF1408" s="6" t="s">
        <v>2211</v>
      </c>
      <c r="AG1408" s="7">
        <v>100000</v>
      </c>
      <c r="AH1408" s="11">
        <f>_xlfn.XLOOKUP(B1408,[1]Sheet1!$B:$B,[1]Sheet1!$AB:$AB,0)</f>
        <v>0</v>
      </c>
    </row>
    <row r="1409" spans="2:34" ht="16.8" thickTop="1" thickBot="1" x14ac:dyDescent="0.35">
      <c r="B1409" s="3" t="str">
        <f t="shared" si="44"/>
        <v>451414045170000084510771413610100103</v>
      </c>
      <c r="C1409" s="8" t="s">
        <v>2239</v>
      </c>
      <c r="D1409" s="8" t="s">
        <v>2242</v>
      </c>
      <c r="E1409" s="8" t="s">
        <v>2243</v>
      </c>
      <c r="F1409" s="8" t="s">
        <v>2251</v>
      </c>
      <c r="G1409" s="4" t="s">
        <v>2823</v>
      </c>
      <c r="H1409" s="4" t="s">
        <v>2924</v>
      </c>
      <c r="I1409" s="8" t="s">
        <v>202</v>
      </c>
      <c r="J1409" s="8" t="s">
        <v>31</v>
      </c>
      <c r="K1409" s="12">
        <f>_xlfn.XLOOKUP(B1409,[1]Sheet1!$B:$B,[1]Sheet1!$N:$N,0)</f>
        <v>0</v>
      </c>
      <c r="L1409" s="12">
        <f>_xlfn.XLOOKUP(B1409,[1]Sheet1!$B:$B,[1]Sheet1!$O:$O,0)</f>
        <v>0</v>
      </c>
      <c r="M1409" s="12">
        <f>_xlfn.XLOOKUP(B1409,[1]Sheet1!$B:$B,[1]Sheet1!$P:$P,0)</f>
        <v>0</v>
      </c>
      <c r="N1409" s="12">
        <f>_xlfn.XLOOKUP(B1409,[1]Sheet1!$B:$B,[1]Sheet1!$Q:$Q,0)</f>
        <v>0</v>
      </c>
      <c r="O1409" s="12">
        <f>_xlfn.XLOOKUP(B1409,[1]Sheet1!$B:$B,[1]Sheet1!$R:$R,0)</f>
        <v>0</v>
      </c>
      <c r="P1409" s="12">
        <f>_xlfn.XLOOKUP(B1409,[1]Sheet1!$B:$B,[1]Sheet1!$S:$S,0)</f>
        <v>0</v>
      </c>
      <c r="Q1409" s="12">
        <f>_xlfn.XLOOKUP(B1409,[1]Sheet1!$B:$B,[1]Sheet1!$T:$T,0)</f>
        <v>0</v>
      </c>
      <c r="R1409" s="12">
        <f>_xlfn.XLOOKUP(B1409,[1]Sheet1!$B:$B,[1]Sheet1!$U:$U,0)</f>
        <v>0</v>
      </c>
      <c r="S1409" s="12">
        <f>_xlfn.XLOOKUP(B1409,[1]Sheet1!$B:$B,[1]Sheet1!$V:$V,0)</f>
        <v>0</v>
      </c>
      <c r="T1409" s="12">
        <f>_xlfn.XLOOKUP(B1409,[1]Sheet1!$B:$B,[1]Sheet1!$W:$W,0)</f>
        <v>0</v>
      </c>
      <c r="U1409" s="12">
        <f>_xlfn.XLOOKUP(B1409,[1]Sheet1!$B:$B,[1]Sheet1!$X:$X,0)</f>
        <v>0</v>
      </c>
      <c r="V1409" s="12">
        <f>_xlfn.XLOOKUP(B1409,[1]Sheet1!$B:$B,[1]Sheet1!$Y:$Y,0)</f>
        <v>0</v>
      </c>
      <c r="W1409" s="12">
        <f t="shared" si="45"/>
        <v>0</v>
      </c>
      <c r="X1409" s="8" t="s">
        <v>2250</v>
      </c>
      <c r="Y1409" s="8" t="s">
        <v>2208</v>
      </c>
      <c r="Z1409" s="8" t="s">
        <v>2238</v>
      </c>
      <c r="AA1409" s="8" t="s">
        <v>202</v>
      </c>
      <c r="AB1409" s="8" t="s">
        <v>204</v>
      </c>
      <c r="AC1409" s="8" t="s">
        <v>205</v>
      </c>
      <c r="AD1409" s="8" t="s">
        <v>135</v>
      </c>
      <c r="AE1409" s="8" t="s">
        <v>2208</v>
      </c>
      <c r="AF1409" s="8" t="s">
        <v>2211</v>
      </c>
      <c r="AG1409" s="9">
        <v>200000</v>
      </c>
      <c r="AH1409" s="11">
        <f>_xlfn.XLOOKUP(B1409,[1]Sheet1!$B:$B,[1]Sheet1!$AB:$AB,0)</f>
        <v>0</v>
      </c>
    </row>
    <row r="1410" spans="2:34" ht="16.8" thickTop="1" thickBot="1" x14ac:dyDescent="0.35">
      <c r="B1410" s="3" t="str">
        <f t="shared" si="44"/>
        <v>451414045170000084510772413610100103</v>
      </c>
      <c r="C1410" s="6" t="s">
        <v>2239</v>
      </c>
      <c r="D1410" s="6" t="s">
        <v>2242</v>
      </c>
      <c r="E1410" s="6" t="s">
        <v>2243</v>
      </c>
      <c r="F1410" s="6" t="s">
        <v>2252</v>
      </c>
      <c r="G1410" s="4" t="s">
        <v>2823</v>
      </c>
      <c r="H1410" s="4" t="s">
        <v>2924</v>
      </c>
      <c r="I1410" s="6" t="s">
        <v>202</v>
      </c>
      <c r="J1410" s="6" t="s">
        <v>31</v>
      </c>
      <c r="K1410" s="12">
        <f>_xlfn.XLOOKUP(B1410,[1]Sheet1!$B:$B,[1]Sheet1!$N:$N,0)</f>
        <v>0</v>
      </c>
      <c r="L1410" s="12">
        <f>_xlfn.XLOOKUP(B1410,[1]Sheet1!$B:$B,[1]Sheet1!$O:$O,0)</f>
        <v>0</v>
      </c>
      <c r="M1410" s="12">
        <f>_xlfn.XLOOKUP(B1410,[1]Sheet1!$B:$B,[1]Sheet1!$P:$P,0)</f>
        <v>0</v>
      </c>
      <c r="N1410" s="12">
        <f>_xlfn.XLOOKUP(B1410,[1]Sheet1!$B:$B,[1]Sheet1!$Q:$Q,0)</f>
        <v>0</v>
      </c>
      <c r="O1410" s="12">
        <f>_xlfn.XLOOKUP(B1410,[1]Sheet1!$B:$B,[1]Sheet1!$R:$R,0)</f>
        <v>0</v>
      </c>
      <c r="P1410" s="12">
        <f>_xlfn.XLOOKUP(B1410,[1]Sheet1!$B:$B,[1]Sheet1!$S:$S,0)</f>
        <v>0</v>
      </c>
      <c r="Q1410" s="12">
        <f>_xlfn.XLOOKUP(B1410,[1]Sheet1!$B:$B,[1]Sheet1!$T:$T,0)</f>
        <v>0</v>
      </c>
      <c r="R1410" s="12">
        <f>_xlfn.XLOOKUP(B1410,[1]Sheet1!$B:$B,[1]Sheet1!$U:$U,0)</f>
        <v>0</v>
      </c>
      <c r="S1410" s="12">
        <f>_xlfn.XLOOKUP(B1410,[1]Sheet1!$B:$B,[1]Sheet1!$V:$V,0)</f>
        <v>0</v>
      </c>
      <c r="T1410" s="12">
        <f>_xlfn.XLOOKUP(B1410,[1]Sheet1!$B:$B,[1]Sheet1!$W:$W,0)</f>
        <v>0</v>
      </c>
      <c r="U1410" s="12">
        <f>_xlfn.XLOOKUP(B1410,[1]Sheet1!$B:$B,[1]Sheet1!$X:$X,0)</f>
        <v>0</v>
      </c>
      <c r="V1410" s="12">
        <f>_xlfn.XLOOKUP(B1410,[1]Sheet1!$B:$B,[1]Sheet1!$Y:$Y,0)</f>
        <v>0</v>
      </c>
      <c r="W1410" s="12">
        <f t="shared" si="45"/>
        <v>0</v>
      </c>
      <c r="X1410" s="6" t="s">
        <v>2250</v>
      </c>
      <c r="Y1410" s="6" t="s">
        <v>2208</v>
      </c>
      <c r="Z1410" s="6" t="s">
        <v>2238</v>
      </c>
      <c r="AA1410" s="6" t="s">
        <v>202</v>
      </c>
      <c r="AB1410" s="6" t="s">
        <v>204</v>
      </c>
      <c r="AC1410" s="6" t="s">
        <v>205</v>
      </c>
      <c r="AD1410" s="6" t="s">
        <v>135</v>
      </c>
      <c r="AE1410" s="6" t="s">
        <v>2208</v>
      </c>
      <c r="AF1410" s="6" t="s">
        <v>2211</v>
      </c>
      <c r="AG1410" s="7">
        <v>1200001</v>
      </c>
      <c r="AH1410" s="11">
        <f>_xlfn.XLOOKUP(B1410,[1]Sheet1!$B:$B,[1]Sheet1!$AB:$AB,0)</f>
        <v>0</v>
      </c>
    </row>
    <row r="1411" spans="2:34" ht="16.8" thickTop="1" thickBot="1" x14ac:dyDescent="0.35">
      <c r="B1411" s="3" t="str">
        <f t="shared" si="44"/>
        <v>451414045170000094510723424521200104</v>
      </c>
      <c r="C1411" s="8" t="s">
        <v>2239</v>
      </c>
      <c r="D1411" s="8" t="s">
        <v>2253</v>
      </c>
      <c r="E1411" s="8" t="s">
        <v>2254</v>
      </c>
      <c r="F1411" s="8" t="s">
        <v>2218</v>
      </c>
      <c r="G1411" s="4" t="s">
        <v>2804</v>
      </c>
      <c r="H1411" s="4" t="s">
        <v>2922</v>
      </c>
      <c r="I1411" s="8" t="s">
        <v>53</v>
      </c>
      <c r="J1411" s="8" t="s">
        <v>31</v>
      </c>
      <c r="K1411" s="12">
        <f>_xlfn.XLOOKUP(B1411,[1]Sheet1!$B:$B,[1]Sheet1!$N:$N,0)</f>
        <v>0</v>
      </c>
      <c r="L1411" s="12">
        <f>_xlfn.XLOOKUP(B1411,[1]Sheet1!$B:$B,[1]Sheet1!$O:$O,0)</f>
        <v>0</v>
      </c>
      <c r="M1411" s="12">
        <f>_xlfn.XLOOKUP(B1411,[1]Sheet1!$B:$B,[1]Sheet1!$P:$P,0)</f>
        <v>0</v>
      </c>
      <c r="N1411" s="12">
        <f>_xlfn.XLOOKUP(B1411,[1]Sheet1!$B:$B,[1]Sheet1!$Q:$Q,0)</f>
        <v>0</v>
      </c>
      <c r="O1411" s="12">
        <f>_xlfn.XLOOKUP(B1411,[1]Sheet1!$B:$B,[1]Sheet1!$R:$R,0)</f>
        <v>0</v>
      </c>
      <c r="P1411" s="12">
        <f>_xlfn.XLOOKUP(B1411,[1]Sheet1!$B:$B,[1]Sheet1!$S:$S,0)</f>
        <v>0</v>
      </c>
      <c r="Q1411" s="12">
        <f>_xlfn.XLOOKUP(B1411,[1]Sheet1!$B:$B,[1]Sheet1!$T:$T,0)</f>
        <v>0</v>
      </c>
      <c r="R1411" s="12">
        <f>_xlfn.XLOOKUP(B1411,[1]Sheet1!$B:$B,[1]Sheet1!$U:$U,0)</f>
        <v>0</v>
      </c>
      <c r="S1411" s="12">
        <f>_xlfn.XLOOKUP(B1411,[1]Sheet1!$B:$B,[1]Sheet1!$V:$V,0)</f>
        <v>0</v>
      </c>
      <c r="T1411" s="12">
        <f>_xlfn.XLOOKUP(B1411,[1]Sheet1!$B:$B,[1]Sheet1!$W:$W,0)</f>
        <v>0</v>
      </c>
      <c r="U1411" s="12">
        <f>_xlfn.XLOOKUP(B1411,[1]Sheet1!$B:$B,[1]Sheet1!$X:$X,0)</f>
        <v>0</v>
      </c>
      <c r="V1411" s="12">
        <f>_xlfn.XLOOKUP(B1411,[1]Sheet1!$B:$B,[1]Sheet1!$Y:$Y,0)</f>
        <v>0</v>
      </c>
      <c r="W1411" s="12">
        <f t="shared" si="45"/>
        <v>0</v>
      </c>
      <c r="X1411" s="8" t="s">
        <v>2237</v>
      </c>
      <c r="Y1411" s="8" t="s">
        <v>2208</v>
      </c>
      <c r="Z1411" s="8" t="s">
        <v>2238</v>
      </c>
      <c r="AA1411" s="8" t="s">
        <v>53</v>
      </c>
      <c r="AB1411" s="8" t="s">
        <v>36</v>
      </c>
      <c r="AC1411" s="8" t="s">
        <v>37</v>
      </c>
      <c r="AD1411" s="8" t="s">
        <v>135</v>
      </c>
      <c r="AE1411" s="8" t="s">
        <v>2208</v>
      </c>
      <c r="AF1411" s="8" t="s">
        <v>2211</v>
      </c>
      <c r="AG1411" s="9">
        <v>3589300</v>
      </c>
      <c r="AH1411" s="11">
        <f>_xlfn.XLOOKUP(B1411,[1]Sheet1!$B:$B,[1]Sheet1!$AB:$AB,0)</f>
        <v>0</v>
      </c>
    </row>
    <row r="1412" spans="2:34" ht="16.8" thickTop="1" thickBot="1" x14ac:dyDescent="0.35">
      <c r="B1412" s="3" t="str">
        <f t="shared" ref="B1412:B1475" si="46">C1412&amp;D1412&amp;F1412&amp;G1412&amp;H1412</f>
        <v>451414045170000104510712424760200104</v>
      </c>
      <c r="C1412" s="6" t="s">
        <v>2239</v>
      </c>
      <c r="D1412" s="6" t="s">
        <v>2255</v>
      </c>
      <c r="E1412" s="6" t="s">
        <v>2256</v>
      </c>
      <c r="F1412" s="6" t="s">
        <v>2257</v>
      </c>
      <c r="G1412" s="4" t="s">
        <v>2884</v>
      </c>
      <c r="H1412" s="4" t="s">
        <v>2922</v>
      </c>
      <c r="I1412" s="6" t="s">
        <v>2258</v>
      </c>
      <c r="J1412" s="6" t="s">
        <v>31</v>
      </c>
      <c r="K1412" s="12">
        <f>_xlfn.XLOOKUP(B1412,[1]Sheet1!$B:$B,[1]Sheet1!$N:$N,0)</f>
        <v>0</v>
      </c>
      <c r="L1412" s="12">
        <f>_xlfn.XLOOKUP(B1412,[1]Sheet1!$B:$B,[1]Sheet1!$O:$O,0)</f>
        <v>0</v>
      </c>
      <c r="M1412" s="12">
        <f>_xlfn.XLOOKUP(B1412,[1]Sheet1!$B:$B,[1]Sheet1!$P:$P,0)</f>
        <v>0</v>
      </c>
      <c r="N1412" s="12">
        <f>_xlfn.XLOOKUP(B1412,[1]Sheet1!$B:$B,[1]Sheet1!$Q:$Q,0)</f>
        <v>0</v>
      </c>
      <c r="O1412" s="12">
        <f>_xlfn.XLOOKUP(B1412,[1]Sheet1!$B:$B,[1]Sheet1!$R:$R,0)</f>
        <v>0</v>
      </c>
      <c r="P1412" s="12">
        <f>_xlfn.XLOOKUP(B1412,[1]Sheet1!$B:$B,[1]Sheet1!$S:$S,0)</f>
        <v>0</v>
      </c>
      <c r="Q1412" s="12">
        <f>_xlfn.XLOOKUP(B1412,[1]Sheet1!$B:$B,[1]Sheet1!$T:$T,0)</f>
        <v>0</v>
      </c>
      <c r="R1412" s="12">
        <f>_xlfn.XLOOKUP(B1412,[1]Sheet1!$B:$B,[1]Sheet1!$U:$U,0)</f>
        <v>0</v>
      </c>
      <c r="S1412" s="12">
        <f>_xlfn.XLOOKUP(B1412,[1]Sheet1!$B:$B,[1]Sheet1!$V:$V,0)</f>
        <v>0</v>
      </c>
      <c r="T1412" s="12">
        <f>_xlfn.XLOOKUP(B1412,[1]Sheet1!$B:$B,[1]Sheet1!$W:$W,0)</f>
        <v>0</v>
      </c>
      <c r="U1412" s="12">
        <f>_xlfn.XLOOKUP(B1412,[1]Sheet1!$B:$B,[1]Sheet1!$X:$X,0)</f>
        <v>0</v>
      </c>
      <c r="V1412" s="12">
        <f>_xlfn.XLOOKUP(B1412,[1]Sheet1!$B:$B,[1]Sheet1!$Y:$Y,0)</f>
        <v>0</v>
      </c>
      <c r="W1412" s="12">
        <f t="shared" ref="W1412:W1475" si="47">SUM(K1412:V1412)</f>
        <v>0</v>
      </c>
      <c r="X1412" s="6" t="s">
        <v>2259</v>
      </c>
      <c r="Y1412" s="6" t="s">
        <v>2208</v>
      </c>
      <c r="Z1412" s="6" t="s">
        <v>2238</v>
      </c>
      <c r="AA1412" s="6" t="s">
        <v>2258</v>
      </c>
      <c r="AB1412" s="6" t="s">
        <v>36</v>
      </c>
      <c r="AC1412" s="6" t="s">
        <v>37</v>
      </c>
      <c r="AD1412" s="6" t="s">
        <v>468</v>
      </c>
      <c r="AE1412" s="6" t="s">
        <v>2208</v>
      </c>
      <c r="AF1412" s="6" t="s">
        <v>2211</v>
      </c>
      <c r="AG1412" s="7">
        <v>1443100</v>
      </c>
      <c r="AH1412" s="11">
        <f>_xlfn.XLOOKUP(B1412,[1]Sheet1!$B:$B,[1]Sheet1!$AB:$AB,0)</f>
        <v>0</v>
      </c>
    </row>
    <row r="1413" spans="2:34" ht="16.8" thickTop="1" thickBot="1" x14ac:dyDescent="0.35">
      <c r="B1413" s="3" t="str">
        <f t="shared" si="46"/>
        <v>451414045170000104510716421191200104</v>
      </c>
      <c r="C1413" s="8" t="s">
        <v>2239</v>
      </c>
      <c r="D1413" s="8" t="s">
        <v>2255</v>
      </c>
      <c r="E1413" s="8" t="s">
        <v>2256</v>
      </c>
      <c r="F1413" s="8" t="s">
        <v>2260</v>
      </c>
      <c r="G1413" s="4" t="s">
        <v>2851</v>
      </c>
      <c r="H1413" s="4" t="s">
        <v>2922</v>
      </c>
      <c r="I1413" s="8" t="s">
        <v>550</v>
      </c>
      <c r="J1413" s="8" t="s">
        <v>31</v>
      </c>
      <c r="K1413" s="12">
        <f>_xlfn.XLOOKUP(B1413,[1]Sheet1!$B:$B,[1]Sheet1!$N:$N,0)</f>
        <v>0</v>
      </c>
      <c r="L1413" s="12">
        <f>_xlfn.XLOOKUP(B1413,[1]Sheet1!$B:$B,[1]Sheet1!$O:$O,0)</f>
        <v>0</v>
      </c>
      <c r="M1413" s="12">
        <f>_xlfn.XLOOKUP(B1413,[1]Sheet1!$B:$B,[1]Sheet1!$P:$P,0)</f>
        <v>0</v>
      </c>
      <c r="N1413" s="12">
        <f>_xlfn.XLOOKUP(B1413,[1]Sheet1!$B:$B,[1]Sheet1!$Q:$Q,0)</f>
        <v>0</v>
      </c>
      <c r="O1413" s="12">
        <f>_xlfn.XLOOKUP(B1413,[1]Sheet1!$B:$B,[1]Sheet1!$R:$R,0)</f>
        <v>0</v>
      </c>
      <c r="P1413" s="12">
        <f>_xlfn.XLOOKUP(B1413,[1]Sheet1!$B:$B,[1]Sheet1!$S:$S,0)</f>
        <v>0</v>
      </c>
      <c r="Q1413" s="12">
        <f>_xlfn.XLOOKUP(B1413,[1]Sheet1!$B:$B,[1]Sheet1!$T:$T,0)</f>
        <v>0</v>
      </c>
      <c r="R1413" s="12">
        <f>_xlfn.XLOOKUP(B1413,[1]Sheet1!$B:$B,[1]Sheet1!$U:$U,0)</f>
        <v>0</v>
      </c>
      <c r="S1413" s="12">
        <f>_xlfn.XLOOKUP(B1413,[1]Sheet1!$B:$B,[1]Sheet1!$V:$V,0)</f>
        <v>0</v>
      </c>
      <c r="T1413" s="12">
        <f>_xlfn.XLOOKUP(B1413,[1]Sheet1!$B:$B,[1]Sheet1!$W:$W,0)</f>
        <v>0</v>
      </c>
      <c r="U1413" s="12">
        <f>_xlfn.XLOOKUP(B1413,[1]Sheet1!$B:$B,[1]Sheet1!$X:$X,0)</f>
        <v>0</v>
      </c>
      <c r="V1413" s="12">
        <f>_xlfn.XLOOKUP(B1413,[1]Sheet1!$B:$B,[1]Sheet1!$Y:$Y,0)</f>
        <v>0</v>
      </c>
      <c r="W1413" s="12">
        <f t="shared" si="47"/>
        <v>0</v>
      </c>
      <c r="X1413" s="8" t="s">
        <v>2261</v>
      </c>
      <c r="Y1413" s="8" t="s">
        <v>2208</v>
      </c>
      <c r="Z1413" s="8" t="s">
        <v>2238</v>
      </c>
      <c r="AA1413" s="8" t="s">
        <v>552</v>
      </c>
      <c r="AB1413" s="8" t="s">
        <v>36</v>
      </c>
      <c r="AC1413" s="8" t="s">
        <v>37</v>
      </c>
      <c r="AD1413" s="8" t="s">
        <v>468</v>
      </c>
      <c r="AE1413" s="8" t="s">
        <v>2208</v>
      </c>
      <c r="AF1413" s="8" t="s">
        <v>2211</v>
      </c>
      <c r="AG1413" s="9">
        <v>791921</v>
      </c>
      <c r="AH1413" s="11">
        <f>_xlfn.XLOOKUP(B1413,[1]Sheet1!$B:$B,[1]Sheet1!$AB:$AB,0)</f>
        <v>0</v>
      </c>
    </row>
    <row r="1414" spans="2:34" ht="16.8" thickTop="1" thickBot="1" x14ac:dyDescent="0.35">
      <c r="B1414" s="3" t="str">
        <f t="shared" si="46"/>
        <v>451414045170000104510716424681200104</v>
      </c>
      <c r="C1414" s="6" t="s">
        <v>2239</v>
      </c>
      <c r="D1414" s="6" t="s">
        <v>2255</v>
      </c>
      <c r="E1414" s="6" t="s">
        <v>2256</v>
      </c>
      <c r="F1414" s="6" t="s">
        <v>2260</v>
      </c>
      <c r="G1414" s="4" t="s">
        <v>2885</v>
      </c>
      <c r="H1414" s="4" t="s">
        <v>2922</v>
      </c>
      <c r="I1414" s="6" t="s">
        <v>2262</v>
      </c>
      <c r="J1414" s="6" t="s">
        <v>31</v>
      </c>
      <c r="K1414" s="12">
        <f>_xlfn.XLOOKUP(B1414,[1]Sheet1!$B:$B,[1]Sheet1!$N:$N,0)</f>
        <v>0</v>
      </c>
      <c r="L1414" s="12">
        <f>_xlfn.XLOOKUP(B1414,[1]Sheet1!$B:$B,[1]Sheet1!$O:$O,0)</f>
        <v>0</v>
      </c>
      <c r="M1414" s="12">
        <f>_xlfn.XLOOKUP(B1414,[1]Sheet1!$B:$B,[1]Sheet1!$P:$P,0)</f>
        <v>0</v>
      </c>
      <c r="N1414" s="12">
        <f>_xlfn.XLOOKUP(B1414,[1]Sheet1!$B:$B,[1]Sheet1!$Q:$Q,0)</f>
        <v>0</v>
      </c>
      <c r="O1414" s="12">
        <f>_xlfn.XLOOKUP(B1414,[1]Sheet1!$B:$B,[1]Sheet1!$R:$R,0)</f>
        <v>0</v>
      </c>
      <c r="P1414" s="12">
        <f>_xlfn.XLOOKUP(B1414,[1]Sheet1!$B:$B,[1]Sheet1!$S:$S,0)</f>
        <v>0</v>
      </c>
      <c r="Q1414" s="12">
        <f>_xlfn.XLOOKUP(B1414,[1]Sheet1!$B:$B,[1]Sheet1!$T:$T,0)</f>
        <v>0</v>
      </c>
      <c r="R1414" s="12">
        <f>_xlfn.XLOOKUP(B1414,[1]Sheet1!$B:$B,[1]Sheet1!$U:$U,0)</f>
        <v>0</v>
      </c>
      <c r="S1414" s="12">
        <f>_xlfn.XLOOKUP(B1414,[1]Sheet1!$B:$B,[1]Sheet1!$V:$V,0)</f>
        <v>0</v>
      </c>
      <c r="T1414" s="12">
        <f>_xlfn.XLOOKUP(B1414,[1]Sheet1!$B:$B,[1]Sheet1!$W:$W,0)</f>
        <v>0</v>
      </c>
      <c r="U1414" s="12">
        <f>_xlfn.XLOOKUP(B1414,[1]Sheet1!$B:$B,[1]Sheet1!$X:$X,0)</f>
        <v>0</v>
      </c>
      <c r="V1414" s="12">
        <f>_xlfn.XLOOKUP(B1414,[1]Sheet1!$B:$B,[1]Sheet1!$Y:$Y,0)</f>
        <v>0</v>
      </c>
      <c r="W1414" s="12">
        <f t="shared" si="47"/>
        <v>0</v>
      </c>
      <c r="X1414" s="6" t="s">
        <v>2263</v>
      </c>
      <c r="Y1414" s="6" t="s">
        <v>2208</v>
      </c>
      <c r="Z1414" s="6" t="s">
        <v>2238</v>
      </c>
      <c r="AA1414" s="6" t="s">
        <v>2264</v>
      </c>
      <c r="AB1414" s="6" t="s">
        <v>36</v>
      </c>
      <c r="AC1414" s="6" t="s">
        <v>37</v>
      </c>
      <c r="AD1414" s="6" t="s">
        <v>468</v>
      </c>
      <c r="AE1414" s="6" t="s">
        <v>2208</v>
      </c>
      <c r="AF1414" s="6" t="s">
        <v>2211</v>
      </c>
      <c r="AG1414" s="7">
        <v>200000</v>
      </c>
      <c r="AH1414" s="11">
        <f>_xlfn.XLOOKUP(B1414,[1]Sheet1!$B:$B,[1]Sheet1!$AB:$AB,0)</f>
        <v>0</v>
      </c>
    </row>
    <row r="1415" spans="2:34" ht="16.8" thickTop="1" thickBot="1" x14ac:dyDescent="0.35">
      <c r="B1415" s="3" t="str">
        <f t="shared" si="46"/>
        <v>451414045170000104510723424521200104</v>
      </c>
      <c r="C1415" s="8" t="s">
        <v>2239</v>
      </c>
      <c r="D1415" s="8" t="s">
        <v>2255</v>
      </c>
      <c r="E1415" s="8" t="s">
        <v>2256</v>
      </c>
      <c r="F1415" s="8" t="s">
        <v>2218</v>
      </c>
      <c r="G1415" s="4" t="s">
        <v>2804</v>
      </c>
      <c r="H1415" s="4" t="s">
        <v>2922</v>
      </c>
      <c r="I1415" s="8" t="s">
        <v>53</v>
      </c>
      <c r="J1415" s="8" t="s">
        <v>31</v>
      </c>
      <c r="K1415" s="12">
        <f>_xlfn.XLOOKUP(B1415,[1]Sheet1!$B:$B,[1]Sheet1!$N:$N,0)</f>
        <v>0</v>
      </c>
      <c r="L1415" s="12">
        <f>_xlfn.XLOOKUP(B1415,[1]Sheet1!$B:$B,[1]Sheet1!$O:$O,0)</f>
        <v>0</v>
      </c>
      <c r="M1415" s="12">
        <f>_xlfn.XLOOKUP(B1415,[1]Sheet1!$B:$B,[1]Sheet1!$P:$P,0)</f>
        <v>0</v>
      </c>
      <c r="N1415" s="12">
        <f>_xlfn.XLOOKUP(B1415,[1]Sheet1!$B:$B,[1]Sheet1!$Q:$Q,0)</f>
        <v>0</v>
      </c>
      <c r="O1415" s="12">
        <f>_xlfn.XLOOKUP(B1415,[1]Sheet1!$B:$B,[1]Sheet1!$R:$R,0)</f>
        <v>0</v>
      </c>
      <c r="P1415" s="12">
        <f>_xlfn.XLOOKUP(B1415,[1]Sheet1!$B:$B,[1]Sheet1!$S:$S,0)</f>
        <v>0</v>
      </c>
      <c r="Q1415" s="12">
        <f>_xlfn.XLOOKUP(B1415,[1]Sheet1!$B:$B,[1]Sheet1!$T:$T,0)</f>
        <v>0</v>
      </c>
      <c r="R1415" s="12">
        <f>_xlfn.XLOOKUP(B1415,[1]Sheet1!$B:$B,[1]Sheet1!$U:$U,0)</f>
        <v>0</v>
      </c>
      <c r="S1415" s="12">
        <f>_xlfn.XLOOKUP(B1415,[1]Sheet1!$B:$B,[1]Sheet1!$V:$V,0)</f>
        <v>0</v>
      </c>
      <c r="T1415" s="12">
        <f>_xlfn.XLOOKUP(B1415,[1]Sheet1!$B:$B,[1]Sheet1!$W:$W,0)</f>
        <v>0</v>
      </c>
      <c r="U1415" s="12">
        <f>_xlfn.XLOOKUP(B1415,[1]Sheet1!$B:$B,[1]Sheet1!$X:$X,0)</f>
        <v>0</v>
      </c>
      <c r="V1415" s="12">
        <f>_xlfn.XLOOKUP(B1415,[1]Sheet1!$B:$B,[1]Sheet1!$Y:$Y,0)</f>
        <v>0</v>
      </c>
      <c r="W1415" s="12">
        <f t="shared" si="47"/>
        <v>0</v>
      </c>
      <c r="X1415" s="8" t="s">
        <v>2237</v>
      </c>
      <c r="Y1415" s="8" t="s">
        <v>2208</v>
      </c>
      <c r="Z1415" s="8" t="s">
        <v>2238</v>
      </c>
      <c r="AA1415" s="8" t="s">
        <v>53</v>
      </c>
      <c r="AB1415" s="8" t="s">
        <v>36</v>
      </c>
      <c r="AC1415" s="8" t="s">
        <v>37</v>
      </c>
      <c r="AD1415" s="8" t="s">
        <v>135</v>
      </c>
      <c r="AE1415" s="8" t="s">
        <v>2208</v>
      </c>
      <c r="AF1415" s="8" t="s">
        <v>2211</v>
      </c>
      <c r="AG1415" s="9">
        <v>705000</v>
      </c>
      <c r="AH1415" s="11">
        <f>_xlfn.XLOOKUP(B1415,[1]Sheet1!$B:$B,[1]Sheet1!$AB:$AB,0)</f>
        <v>0</v>
      </c>
    </row>
    <row r="1416" spans="2:34" ht="16.8" thickTop="1" thickBot="1" x14ac:dyDescent="0.35">
      <c r="B1416" s="3" t="str">
        <f t="shared" si="46"/>
        <v>451414045170000104510727431316200104</v>
      </c>
      <c r="C1416" s="6" t="s">
        <v>2239</v>
      </c>
      <c r="D1416" s="6" t="s">
        <v>2255</v>
      </c>
      <c r="E1416" s="6" t="s">
        <v>2256</v>
      </c>
      <c r="F1416" s="6" t="s">
        <v>2265</v>
      </c>
      <c r="G1416" s="4" t="s">
        <v>2855</v>
      </c>
      <c r="H1416" s="4" t="s">
        <v>2922</v>
      </c>
      <c r="I1416" s="6" t="s">
        <v>670</v>
      </c>
      <c r="J1416" s="6" t="s">
        <v>31</v>
      </c>
      <c r="K1416" s="12">
        <f>_xlfn.XLOOKUP(B1416,[1]Sheet1!$B:$B,[1]Sheet1!$N:$N,0)</f>
        <v>0</v>
      </c>
      <c r="L1416" s="12">
        <f>_xlfn.XLOOKUP(B1416,[1]Sheet1!$B:$B,[1]Sheet1!$O:$O,0)</f>
        <v>0</v>
      </c>
      <c r="M1416" s="12">
        <f>_xlfn.XLOOKUP(B1416,[1]Sheet1!$B:$B,[1]Sheet1!$P:$P,0)</f>
        <v>0</v>
      </c>
      <c r="N1416" s="12">
        <f>_xlfn.XLOOKUP(B1416,[1]Sheet1!$B:$B,[1]Sheet1!$Q:$Q,0)</f>
        <v>0</v>
      </c>
      <c r="O1416" s="12">
        <f>_xlfn.XLOOKUP(B1416,[1]Sheet1!$B:$B,[1]Sheet1!$R:$R,0)</f>
        <v>0</v>
      </c>
      <c r="P1416" s="12">
        <f>_xlfn.XLOOKUP(B1416,[1]Sheet1!$B:$B,[1]Sheet1!$S:$S,0)</f>
        <v>0</v>
      </c>
      <c r="Q1416" s="12">
        <f>_xlfn.XLOOKUP(B1416,[1]Sheet1!$B:$B,[1]Sheet1!$T:$T,0)</f>
        <v>0</v>
      </c>
      <c r="R1416" s="12">
        <f>_xlfn.XLOOKUP(B1416,[1]Sheet1!$B:$B,[1]Sheet1!$U:$U,0)</f>
        <v>0</v>
      </c>
      <c r="S1416" s="12">
        <f>_xlfn.XLOOKUP(B1416,[1]Sheet1!$B:$B,[1]Sheet1!$V:$V,0)</f>
        <v>0</v>
      </c>
      <c r="T1416" s="12">
        <f>_xlfn.XLOOKUP(B1416,[1]Sheet1!$B:$B,[1]Sheet1!$W:$W,0)</f>
        <v>0</v>
      </c>
      <c r="U1416" s="12">
        <f>_xlfn.XLOOKUP(B1416,[1]Sheet1!$B:$B,[1]Sheet1!$X:$X,0)</f>
        <v>0</v>
      </c>
      <c r="V1416" s="12">
        <f>_xlfn.XLOOKUP(B1416,[1]Sheet1!$B:$B,[1]Sheet1!$Y:$Y,0)</f>
        <v>0</v>
      </c>
      <c r="W1416" s="12">
        <f t="shared" si="47"/>
        <v>0</v>
      </c>
      <c r="X1416" s="6" t="s">
        <v>2266</v>
      </c>
      <c r="Y1416" s="6" t="s">
        <v>2208</v>
      </c>
      <c r="Z1416" s="6" t="s">
        <v>2238</v>
      </c>
      <c r="AA1416" s="6" t="s">
        <v>672</v>
      </c>
      <c r="AB1416" s="6" t="s">
        <v>36</v>
      </c>
      <c r="AC1416" s="6" t="s">
        <v>37</v>
      </c>
      <c r="AD1416" s="6" t="s">
        <v>468</v>
      </c>
      <c r="AE1416" s="6" t="s">
        <v>2208</v>
      </c>
      <c r="AF1416" s="6" t="s">
        <v>2211</v>
      </c>
      <c r="AG1416" s="7">
        <v>1349758</v>
      </c>
      <c r="AH1416" s="11">
        <f>_xlfn.XLOOKUP(B1416,[1]Sheet1!$B:$B,[1]Sheet1!$AB:$AB,0)</f>
        <v>0</v>
      </c>
    </row>
    <row r="1417" spans="2:34" ht="16.8" thickTop="1" thickBot="1" x14ac:dyDescent="0.35">
      <c r="B1417" s="3" t="str">
        <f t="shared" si="46"/>
        <v>451414045170000104510727431812200104</v>
      </c>
      <c r="C1417" s="8" t="s">
        <v>2239</v>
      </c>
      <c r="D1417" s="8" t="s">
        <v>2255</v>
      </c>
      <c r="E1417" s="8" t="s">
        <v>2256</v>
      </c>
      <c r="F1417" s="8" t="s">
        <v>2265</v>
      </c>
      <c r="G1417" s="4" t="s">
        <v>2843</v>
      </c>
      <c r="H1417" s="4" t="s">
        <v>2922</v>
      </c>
      <c r="I1417" s="8" t="s">
        <v>459</v>
      </c>
      <c r="J1417" s="8" t="s">
        <v>31</v>
      </c>
      <c r="K1417" s="12">
        <f>_xlfn.XLOOKUP(B1417,[1]Sheet1!$B:$B,[1]Sheet1!$N:$N,0)</f>
        <v>0</v>
      </c>
      <c r="L1417" s="12">
        <f>_xlfn.XLOOKUP(B1417,[1]Sheet1!$B:$B,[1]Sheet1!$O:$O,0)</f>
        <v>0</v>
      </c>
      <c r="M1417" s="12">
        <f>_xlfn.XLOOKUP(B1417,[1]Sheet1!$B:$B,[1]Sheet1!$P:$P,0)</f>
        <v>0</v>
      </c>
      <c r="N1417" s="12">
        <f>_xlfn.XLOOKUP(B1417,[1]Sheet1!$B:$B,[1]Sheet1!$Q:$Q,0)</f>
        <v>0</v>
      </c>
      <c r="O1417" s="12">
        <f>_xlfn.XLOOKUP(B1417,[1]Sheet1!$B:$B,[1]Sheet1!$R:$R,0)</f>
        <v>0</v>
      </c>
      <c r="P1417" s="12">
        <f>_xlfn.XLOOKUP(B1417,[1]Sheet1!$B:$B,[1]Sheet1!$S:$S,0)</f>
        <v>0</v>
      </c>
      <c r="Q1417" s="12">
        <f>_xlfn.XLOOKUP(B1417,[1]Sheet1!$B:$B,[1]Sheet1!$T:$T,0)</f>
        <v>0</v>
      </c>
      <c r="R1417" s="12">
        <f>_xlfn.XLOOKUP(B1417,[1]Sheet1!$B:$B,[1]Sheet1!$U:$U,0)</f>
        <v>0</v>
      </c>
      <c r="S1417" s="12">
        <f>_xlfn.XLOOKUP(B1417,[1]Sheet1!$B:$B,[1]Sheet1!$V:$V,0)</f>
        <v>0</v>
      </c>
      <c r="T1417" s="12">
        <f>_xlfn.XLOOKUP(B1417,[1]Sheet1!$B:$B,[1]Sheet1!$W:$W,0)</f>
        <v>0</v>
      </c>
      <c r="U1417" s="12">
        <f>_xlfn.XLOOKUP(B1417,[1]Sheet1!$B:$B,[1]Sheet1!$X:$X,0)</f>
        <v>0</v>
      </c>
      <c r="V1417" s="12">
        <f>_xlfn.XLOOKUP(B1417,[1]Sheet1!$B:$B,[1]Sheet1!$Y:$Y,0)</f>
        <v>0</v>
      </c>
      <c r="W1417" s="12">
        <f t="shared" si="47"/>
        <v>0</v>
      </c>
      <c r="X1417" s="8" t="s">
        <v>2267</v>
      </c>
      <c r="Y1417" s="8" t="s">
        <v>2208</v>
      </c>
      <c r="Z1417" s="8" t="s">
        <v>2238</v>
      </c>
      <c r="AA1417" s="8" t="s">
        <v>459</v>
      </c>
      <c r="AB1417" s="8" t="s">
        <v>36</v>
      </c>
      <c r="AC1417" s="8" t="s">
        <v>37</v>
      </c>
      <c r="AD1417" s="8" t="s">
        <v>468</v>
      </c>
      <c r="AE1417" s="8" t="s">
        <v>2208</v>
      </c>
      <c r="AF1417" s="8" t="s">
        <v>2211</v>
      </c>
      <c r="AG1417" s="9">
        <v>1292160</v>
      </c>
      <c r="AH1417" s="11">
        <f>_xlfn.XLOOKUP(B1417,[1]Sheet1!$B:$B,[1]Sheet1!$AB:$AB,0)</f>
        <v>0</v>
      </c>
    </row>
    <row r="1418" spans="2:34" ht="16.8" thickTop="1" thickBot="1" x14ac:dyDescent="0.35">
      <c r="B1418" s="3" t="str">
        <f t="shared" si="46"/>
        <v>451414045170000104510740425203200104</v>
      </c>
      <c r="C1418" s="6" t="s">
        <v>2239</v>
      </c>
      <c r="D1418" s="6" t="s">
        <v>2255</v>
      </c>
      <c r="E1418" s="6" t="s">
        <v>2256</v>
      </c>
      <c r="F1418" s="6" t="s">
        <v>2268</v>
      </c>
      <c r="G1418" s="4" t="s">
        <v>2856</v>
      </c>
      <c r="H1418" s="4" t="s">
        <v>2922</v>
      </c>
      <c r="I1418" s="6" t="s">
        <v>703</v>
      </c>
      <c r="J1418" s="6" t="s">
        <v>31</v>
      </c>
      <c r="K1418" s="12">
        <f>_xlfn.XLOOKUP(B1418,[1]Sheet1!$B:$B,[1]Sheet1!$N:$N,0)</f>
        <v>0</v>
      </c>
      <c r="L1418" s="12">
        <f>_xlfn.XLOOKUP(B1418,[1]Sheet1!$B:$B,[1]Sheet1!$O:$O,0)</f>
        <v>0</v>
      </c>
      <c r="M1418" s="12">
        <f>_xlfn.XLOOKUP(B1418,[1]Sheet1!$B:$B,[1]Sheet1!$P:$P,0)</f>
        <v>0</v>
      </c>
      <c r="N1418" s="12">
        <f>_xlfn.XLOOKUP(B1418,[1]Sheet1!$B:$B,[1]Sheet1!$Q:$Q,0)</f>
        <v>0</v>
      </c>
      <c r="O1418" s="12">
        <f>_xlfn.XLOOKUP(B1418,[1]Sheet1!$B:$B,[1]Sheet1!$R:$R,0)</f>
        <v>0</v>
      </c>
      <c r="P1418" s="12">
        <f>_xlfn.XLOOKUP(B1418,[1]Sheet1!$B:$B,[1]Sheet1!$S:$S,0)</f>
        <v>0</v>
      </c>
      <c r="Q1418" s="12">
        <f>_xlfn.XLOOKUP(B1418,[1]Sheet1!$B:$B,[1]Sheet1!$T:$T,0)</f>
        <v>0</v>
      </c>
      <c r="R1418" s="12">
        <f>_xlfn.XLOOKUP(B1418,[1]Sheet1!$B:$B,[1]Sheet1!$U:$U,0)</f>
        <v>0</v>
      </c>
      <c r="S1418" s="12">
        <f>_xlfn.XLOOKUP(B1418,[1]Sheet1!$B:$B,[1]Sheet1!$V:$V,0)</f>
        <v>0</v>
      </c>
      <c r="T1418" s="12">
        <f>_xlfn.XLOOKUP(B1418,[1]Sheet1!$B:$B,[1]Sheet1!$W:$W,0)</f>
        <v>0</v>
      </c>
      <c r="U1418" s="12">
        <f>_xlfn.XLOOKUP(B1418,[1]Sheet1!$B:$B,[1]Sheet1!$X:$X,0)</f>
        <v>0</v>
      </c>
      <c r="V1418" s="12">
        <f>_xlfn.XLOOKUP(B1418,[1]Sheet1!$B:$B,[1]Sheet1!$Y:$Y,0)</f>
        <v>0</v>
      </c>
      <c r="W1418" s="12">
        <f t="shared" si="47"/>
        <v>0</v>
      </c>
      <c r="X1418" s="6" t="s">
        <v>2269</v>
      </c>
      <c r="Y1418" s="6" t="s">
        <v>2208</v>
      </c>
      <c r="Z1418" s="6" t="s">
        <v>2238</v>
      </c>
      <c r="AA1418" s="6" t="s">
        <v>703</v>
      </c>
      <c r="AB1418" s="6" t="s">
        <v>36</v>
      </c>
      <c r="AC1418" s="6" t="s">
        <v>37</v>
      </c>
      <c r="AD1418" s="6" t="s">
        <v>468</v>
      </c>
      <c r="AE1418" s="6" t="s">
        <v>2208</v>
      </c>
      <c r="AF1418" s="6" t="s">
        <v>2211</v>
      </c>
      <c r="AG1418" s="7">
        <v>1264665</v>
      </c>
      <c r="AH1418" s="11">
        <f>_xlfn.XLOOKUP(B1418,[1]Sheet1!$B:$B,[1]Sheet1!$AB:$AB,0)</f>
        <v>0</v>
      </c>
    </row>
    <row r="1419" spans="2:34" ht="16.8" thickTop="1" thickBot="1" x14ac:dyDescent="0.35">
      <c r="B1419" s="3" t="str">
        <f t="shared" si="46"/>
        <v>451414045170000104510787491711300105</v>
      </c>
      <c r="C1419" s="8" t="s">
        <v>2239</v>
      </c>
      <c r="D1419" s="8" t="s">
        <v>2255</v>
      </c>
      <c r="E1419" s="8" t="s">
        <v>2256</v>
      </c>
      <c r="F1419" s="8" t="s">
        <v>2270</v>
      </c>
      <c r="G1419" s="4" t="s">
        <v>2854</v>
      </c>
      <c r="H1419" s="4" t="s">
        <v>2923</v>
      </c>
      <c r="I1419" s="8" t="s">
        <v>639</v>
      </c>
      <c r="J1419" s="8" t="s">
        <v>31</v>
      </c>
      <c r="K1419" s="12">
        <f>_xlfn.XLOOKUP(B1419,[1]Sheet1!$B:$B,[1]Sheet1!$N:$N,0)</f>
        <v>0</v>
      </c>
      <c r="L1419" s="12">
        <f>_xlfn.XLOOKUP(B1419,[1]Sheet1!$B:$B,[1]Sheet1!$O:$O,0)</f>
        <v>0</v>
      </c>
      <c r="M1419" s="12">
        <f>_xlfn.XLOOKUP(B1419,[1]Sheet1!$B:$B,[1]Sheet1!$P:$P,0)</f>
        <v>0</v>
      </c>
      <c r="N1419" s="12">
        <f>_xlfn.XLOOKUP(B1419,[1]Sheet1!$B:$B,[1]Sheet1!$Q:$Q,0)</f>
        <v>0</v>
      </c>
      <c r="O1419" s="12">
        <f>_xlfn.XLOOKUP(B1419,[1]Sheet1!$B:$B,[1]Sheet1!$R:$R,0)</f>
        <v>0</v>
      </c>
      <c r="P1419" s="12">
        <f>_xlfn.XLOOKUP(B1419,[1]Sheet1!$B:$B,[1]Sheet1!$S:$S,0)</f>
        <v>0</v>
      </c>
      <c r="Q1419" s="12">
        <f>_xlfn.XLOOKUP(B1419,[1]Sheet1!$B:$B,[1]Sheet1!$T:$T,0)</f>
        <v>0</v>
      </c>
      <c r="R1419" s="12">
        <f>_xlfn.XLOOKUP(B1419,[1]Sheet1!$B:$B,[1]Sheet1!$U:$U,0)</f>
        <v>0</v>
      </c>
      <c r="S1419" s="12">
        <f>_xlfn.XLOOKUP(B1419,[1]Sheet1!$B:$B,[1]Sheet1!$V:$V,0)</f>
        <v>0</v>
      </c>
      <c r="T1419" s="12">
        <f>_xlfn.XLOOKUP(B1419,[1]Sheet1!$B:$B,[1]Sheet1!$W:$W,0)</f>
        <v>0</v>
      </c>
      <c r="U1419" s="12">
        <f>_xlfn.XLOOKUP(B1419,[1]Sheet1!$B:$B,[1]Sheet1!$X:$X,0)</f>
        <v>0</v>
      </c>
      <c r="V1419" s="12">
        <f>_xlfn.XLOOKUP(B1419,[1]Sheet1!$B:$B,[1]Sheet1!$Y:$Y,0)</f>
        <v>0</v>
      </c>
      <c r="W1419" s="12">
        <f t="shared" si="47"/>
        <v>0</v>
      </c>
      <c r="X1419" s="8" t="s">
        <v>2271</v>
      </c>
      <c r="Y1419" s="8" t="s">
        <v>2208</v>
      </c>
      <c r="Z1419" s="8" t="s">
        <v>2238</v>
      </c>
      <c r="AA1419" s="8" t="s">
        <v>639</v>
      </c>
      <c r="AB1419" s="8" t="s">
        <v>93</v>
      </c>
      <c r="AC1419" s="8" t="s">
        <v>94</v>
      </c>
      <c r="AD1419" s="8" t="s">
        <v>2272</v>
      </c>
      <c r="AE1419" s="8" t="s">
        <v>2208</v>
      </c>
      <c r="AF1419" s="8" t="s">
        <v>2211</v>
      </c>
      <c r="AG1419" s="9">
        <v>150000</v>
      </c>
      <c r="AH1419" s="11">
        <f>_xlfn.XLOOKUP(B1419,[1]Sheet1!$B:$B,[1]Sheet1!$AB:$AB,0)</f>
        <v>0</v>
      </c>
    </row>
    <row r="1420" spans="2:34" ht="16.8" thickTop="1" thickBot="1" x14ac:dyDescent="0.35">
      <c r="B1420" s="3" t="str">
        <f t="shared" si="46"/>
        <v>451416045170000114510750424521200104</v>
      </c>
      <c r="C1420" s="6" t="s">
        <v>2277</v>
      </c>
      <c r="D1420" s="6" t="s">
        <v>2273</v>
      </c>
      <c r="E1420" s="6" t="s">
        <v>2274</v>
      </c>
      <c r="F1420" s="6" t="s">
        <v>2234</v>
      </c>
      <c r="G1420" s="4" t="s">
        <v>2804</v>
      </c>
      <c r="H1420" s="4" t="s">
        <v>2922</v>
      </c>
      <c r="I1420" s="6" t="s">
        <v>53</v>
      </c>
      <c r="J1420" s="6" t="s">
        <v>31</v>
      </c>
      <c r="K1420" s="12">
        <f>_xlfn.XLOOKUP(B1420,[1]Sheet1!$B:$B,[1]Sheet1!$N:$N,0)</f>
        <v>0</v>
      </c>
      <c r="L1420" s="12">
        <f>_xlfn.XLOOKUP(B1420,[1]Sheet1!$B:$B,[1]Sheet1!$O:$O,0)</f>
        <v>0</v>
      </c>
      <c r="M1420" s="12">
        <f>_xlfn.XLOOKUP(B1420,[1]Sheet1!$B:$B,[1]Sheet1!$P:$P,0)</f>
        <v>0</v>
      </c>
      <c r="N1420" s="12">
        <f>_xlfn.XLOOKUP(B1420,[1]Sheet1!$B:$B,[1]Sheet1!$Q:$Q,0)</f>
        <v>0</v>
      </c>
      <c r="O1420" s="12">
        <f>_xlfn.XLOOKUP(B1420,[1]Sheet1!$B:$B,[1]Sheet1!$R:$R,0)</f>
        <v>0</v>
      </c>
      <c r="P1420" s="12">
        <f>_xlfn.XLOOKUP(B1420,[1]Sheet1!$B:$B,[1]Sheet1!$S:$S,0)</f>
        <v>0</v>
      </c>
      <c r="Q1420" s="12">
        <f>_xlfn.XLOOKUP(B1420,[1]Sheet1!$B:$B,[1]Sheet1!$T:$T,0)</f>
        <v>0</v>
      </c>
      <c r="R1420" s="12">
        <f>_xlfn.XLOOKUP(B1420,[1]Sheet1!$B:$B,[1]Sheet1!$U:$U,0)</f>
        <v>0</v>
      </c>
      <c r="S1420" s="12">
        <f>_xlfn.XLOOKUP(B1420,[1]Sheet1!$B:$B,[1]Sheet1!$V:$V,0)</f>
        <v>0</v>
      </c>
      <c r="T1420" s="12">
        <f>_xlfn.XLOOKUP(B1420,[1]Sheet1!$B:$B,[1]Sheet1!$W:$W,0)</f>
        <v>0</v>
      </c>
      <c r="U1420" s="12">
        <f>_xlfn.XLOOKUP(B1420,[1]Sheet1!$B:$B,[1]Sheet1!$X:$X,0)</f>
        <v>0</v>
      </c>
      <c r="V1420" s="12">
        <f>_xlfn.XLOOKUP(B1420,[1]Sheet1!$B:$B,[1]Sheet1!$Y:$Y,0)</f>
        <v>0</v>
      </c>
      <c r="W1420" s="12">
        <f t="shared" si="47"/>
        <v>0</v>
      </c>
      <c r="X1420" s="6" t="s">
        <v>2275</v>
      </c>
      <c r="Y1420" s="6" t="s">
        <v>2208</v>
      </c>
      <c r="Z1420" s="6" t="s">
        <v>2276</v>
      </c>
      <c r="AA1420" s="6" t="s">
        <v>53</v>
      </c>
      <c r="AB1420" s="6" t="s">
        <v>36</v>
      </c>
      <c r="AC1420" s="6" t="s">
        <v>37</v>
      </c>
      <c r="AD1420" s="6" t="s">
        <v>198</v>
      </c>
      <c r="AE1420" s="6" t="s">
        <v>2208</v>
      </c>
      <c r="AF1420" s="6" t="s">
        <v>2211</v>
      </c>
      <c r="AG1420" s="7">
        <v>614500</v>
      </c>
      <c r="AH1420" s="11">
        <f>_xlfn.XLOOKUP(B1420,[1]Sheet1!$B:$B,[1]Sheet1!$AB:$AB,0)</f>
        <v>0</v>
      </c>
    </row>
    <row r="1421" spans="2:34" ht="16.8" thickTop="1" thickBot="1" x14ac:dyDescent="0.35">
      <c r="B1421" s="3" t="str">
        <f t="shared" si="46"/>
        <v>451416045170000124510710421122200104</v>
      </c>
      <c r="C1421" s="8" t="s">
        <v>2277</v>
      </c>
      <c r="D1421" s="8" t="s">
        <v>2278</v>
      </c>
      <c r="E1421" s="8" t="s">
        <v>2279</v>
      </c>
      <c r="F1421" s="8" t="s">
        <v>2280</v>
      </c>
      <c r="G1421" s="4" t="s">
        <v>2882</v>
      </c>
      <c r="H1421" s="4" t="s">
        <v>2922</v>
      </c>
      <c r="I1421" s="8" t="s">
        <v>2213</v>
      </c>
      <c r="J1421" s="8" t="s">
        <v>31</v>
      </c>
      <c r="K1421" s="12">
        <f>_xlfn.XLOOKUP(B1421,[1]Sheet1!$B:$B,[1]Sheet1!$N:$N,0)</f>
        <v>0</v>
      </c>
      <c r="L1421" s="12">
        <f>_xlfn.XLOOKUP(B1421,[1]Sheet1!$B:$B,[1]Sheet1!$O:$O,0)</f>
        <v>0</v>
      </c>
      <c r="M1421" s="12">
        <f>_xlfn.XLOOKUP(B1421,[1]Sheet1!$B:$B,[1]Sheet1!$P:$P,0)</f>
        <v>0</v>
      </c>
      <c r="N1421" s="12">
        <f>_xlfn.XLOOKUP(B1421,[1]Sheet1!$B:$B,[1]Sheet1!$Q:$Q,0)</f>
        <v>0</v>
      </c>
      <c r="O1421" s="12">
        <f>_xlfn.XLOOKUP(B1421,[1]Sheet1!$B:$B,[1]Sheet1!$R:$R,0)</f>
        <v>0</v>
      </c>
      <c r="P1421" s="12">
        <f>_xlfn.XLOOKUP(B1421,[1]Sheet1!$B:$B,[1]Sheet1!$S:$S,0)</f>
        <v>0</v>
      </c>
      <c r="Q1421" s="12">
        <f>_xlfn.XLOOKUP(B1421,[1]Sheet1!$B:$B,[1]Sheet1!$T:$T,0)</f>
        <v>0</v>
      </c>
      <c r="R1421" s="12">
        <f>_xlfn.XLOOKUP(B1421,[1]Sheet1!$B:$B,[1]Sheet1!$U:$U,0)</f>
        <v>0</v>
      </c>
      <c r="S1421" s="12">
        <f>_xlfn.XLOOKUP(B1421,[1]Sheet1!$B:$B,[1]Sheet1!$V:$V,0)</f>
        <v>0</v>
      </c>
      <c r="T1421" s="12">
        <f>_xlfn.XLOOKUP(B1421,[1]Sheet1!$B:$B,[1]Sheet1!$W:$W,0)</f>
        <v>0</v>
      </c>
      <c r="U1421" s="12">
        <f>_xlfn.XLOOKUP(B1421,[1]Sheet1!$B:$B,[1]Sheet1!$X:$X,0)</f>
        <v>0</v>
      </c>
      <c r="V1421" s="12">
        <f>_xlfn.XLOOKUP(B1421,[1]Sheet1!$B:$B,[1]Sheet1!$Y:$Y,0)</f>
        <v>0</v>
      </c>
      <c r="W1421" s="12">
        <f t="shared" si="47"/>
        <v>0</v>
      </c>
      <c r="X1421" s="8" t="s">
        <v>2281</v>
      </c>
      <c r="Y1421" s="8" t="s">
        <v>2208</v>
      </c>
      <c r="Z1421" s="8" t="s">
        <v>2276</v>
      </c>
      <c r="AA1421" s="8" t="s">
        <v>2215</v>
      </c>
      <c r="AB1421" s="8" t="s">
        <v>36</v>
      </c>
      <c r="AC1421" s="8" t="s">
        <v>37</v>
      </c>
      <c r="AD1421" s="8" t="s">
        <v>198</v>
      </c>
      <c r="AE1421" s="8" t="s">
        <v>2208</v>
      </c>
      <c r="AF1421" s="8" t="s">
        <v>2211</v>
      </c>
      <c r="AG1421" s="9">
        <v>1291000</v>
      </c>
      <c r="AH1421" s="11">
        <f>_xlfn.XLOOKUP(B1421,[1]Sheet1!$B:$B,[1]Sheet1!$AB:$AB,0)</f>
        <v>0</v>
      </c>
    </row>
    <row r="1422" spans="2:34" ht="16.8" thickTop="1" thickBot="1" x14ac:dyDescent="0.35">
      <c r="B1422" s="3" t="str">
        <f t="shared" si="46"/>
        <v>451416045170000124510712424760200104</v>
      </c>
      <c r="C1422" s="6" t="s">
        <v>2277</v>
      </c>
      <c r="D1422" s="6" t="s">
        <v>2278</v>
      </c>
      <c r="E1422" s="6" t="s">
        <v>2279</v>
      </c>
      <c r="F1422" s="6" t="s">
        <v>2257</v>
      </c>
      <c r="G1422" s="4" t="s">
        <v>2884</v>
      </c>
      <c r="H1422" s="4" t="s">
        <v>2922</v>
      </c>
      <c r="I1422" s="6" t="s">
        <v>2258</v>
      </c>
      <c r="J1422" s="6" t="s">
        <v>31</v>
      </c>
      <c r="K1422" s="12">
        <f>_xlfn.XLOOKUP(B1422,[1]Sheet1!$B:$B,[1]Sheet1!$N:$N,0)</f>
        <v>0</v>
      </c>
      <c r="L1422" s="12">
        <f>_xlfn.XLOOKUP(B1422,[1]Sheet1!$B:$B,[1]Sheet1!$O:$O,0)</f>
        <v>0</v>
      </c>
      <c r="M1422" s="12">
        <f>_xlfn.XLOOKUP(B1422,[1]Sheet1!$B:$B,[1]Sheet1!$P:$P,0)</f>
        <v>0</v>
      </c>
      <c r="N1422" s="12">
        <f>_xlfn.XLOOKUP(B1422,[1]Sheet1!$B:$B,[1]Sheet1!$Q:$Q,0)</f>
        <v>0</v>
      </c>
      <c r="O1422" s="12">
        <f>_xlfn.XLOOKUP(B1422,[1]Sheet1!$B:$B,[1]Sheet1!$R:$R,0)</f>
        <v>0</v>
      </c>
      <c r="P1422" s="12">
        <f>_xlfn.XLOOKUP(B1422,[1]Sheet1!$B:$B,[1]Sheet1!$S:$S,0)</f>
        <v>0</v>
      </c>
      <c r="Q1422" s="12">
        <f>_xlfn.XLOOKUP(B1422,[1]Sheet1!$B:$B,[1]Sheet1!$T:$T,0)</f>
        <v>0</v>
      </c>
      <c r="R1422" s="12">
        <f>_xlfn.XLOOKUP(B1422,[1]Sheet1!$B:$B,[1]Sheet1!$U:$U,0)</f>
        <v>0</v>
      </c>
      <c r="S1422" s="12">
        <f>_xlfn.XLOOKUP(B1422,[1]Sheet1!$B:$B,[1]Sheet1!$V:$V,0)</f>
        <v>0</v>
      </c>
      <c r="T1422" s="12">
        <f>_xlfn.XLOOKUP(B1422,[1]Sheet1!$B:$B,[1]Sheet1!$W:$W,0)</f>
        <v>0</v>
      </c>
      <c r="U1422" s="12">
        <f>_xlfn.XLOOKUP(B1422,[1]Sheet1!$B:$B,[1]Sheet1!$X:$X,0)</f>
        <v>0</v>
      </c>
      <c r="V1422" s="12">
        <f>_xlfn.XLOOKUP(B1422,[1]Sheet1!$B:$B,[1]Sheet1!$Y:$Y,0)</f>
        <v>0</v>
      </c>
      <c r="W1422" s="12">
        <f t="shared" si="47"/>
        <v>0</v>
      </c>
      <c r="X1422" s="6" t="s">
        <v>2282</v>
      </c>
      <c r="Y1422" s="6" t="s">
        <v>2208</v>
      </c>
      <c r="Z1422" s="6" t="s">
        <v>2276</v>
      </c>
      <c r="AA1422" s="6" t="s">
        <v>2258</v>
      </c>
      <c r="AB1422" s="6" t="s">
        <v>36</v>
      </c>
      <c r="AC1422" s="6" t="s">
        <v>37</v>
      </c>
      <c r="AD1422" s="6" t="s">
        <v>198</v>
      </c>
      <c r="AE1422" s="6" t="s">
        <v>2208</v>
      </c>
      <c r="AF1422" s="6" t="s">
        <v>2211</v>
      </c>
      <c r="AG1422" s="7">
        <v>89383</v>
      </c>
      <c r="AH1422" s="11">
        <f>_xlfn.XLOOKUP(B1422,[1]Sheet1!$B:$B,[1]Sheet1!$AB:$AB,0)</f>
        <v>0</v>
      </c>
    </row>
    <row r="1423" spans="2:34" ht="16.8" thickTop="1" thickBot="1" x14ac:dyDescent="0.35">
      <c r="B1423" s="3" t="str">
        <f t="shared" si="46"/>
        <v>451416045170000124510723424521200104</v>
      </c>
      <c r="C1423" s="8" t="s">
        <v>2277</v>
      </c>
      <c r="D1423" s="8" t="s">
        <v>2278</v>
      </c>
      <c r="E1423" s="8" t="s">
        <v>2279</v>
      </c>
      <c r="F1423" s="8" t="s">
        <v>2218</v>
      </c>
      <c r="G1423" s="4" t="s">
        <v>2804</v>
      </c>
      <c r="H1423" s="4" t="s">
        <v>2922</v>
      </c>
      <c r="I1423" s="8" t="s">
        <v>53</v>
      </c>
      <c r="J1423" s="8" t="s">
        <v>31</v>
      </c>
      <c r="K1423" s="12">
        <f>_xlfn.XLOOKUP(B1423,[1]Sheet1!$B:$B,[1]Sheet1!$N:$N,0)</f>
        <v>0</v>
      </c>
      <c r="L1423" s="12">
        <f>_xlfn.XLOOKUP(B1423,[1]Sheet1!$B:$B,[1]Sheet1!$O:$O,0)</f>
        <v>0</v>
      </c>
      <c r="M1423" s="12">
        <f>_xlfn.XLOOKUP(B1423,[1]Sheet1!$B:$B,[1]Sheet1!$P:$P,0)</f>
        <v>0</v>
      </c>
      <c r="N1423" s="12">
        <f>_xlfn.XLOOKUP(B1423,[1]Sheet1!$B:$B,[1]Sheet1!$Q:$Q,0)</f>
        <v>0</v>
      </c>
      <c r="O1423" s="12">
        <f>_xlfn.XLOOKUP(B1423,[1]Sheet1!$B:$B,[1]Sheet1!$R:$R,0)</f>
        <v>0</v>
      </c>
      <c r="P1423" s="12">
        <f>_xlfn.XLOOKUP(B1423,[1]Sheet1!$B:$B,[1]Sheet1!$S:$S,0)</f>
        <v>0</v>
      </c>
      <c r="Q1423" s="12">
        <f>_xlfn.XLOOKUP(B1423,[1]Sheet1!$B:$B,[1]Sheet1!$T:$T,0)</f>
        <v>0</v>
      </c>
      <c r="R1423" s="12">
        <f>_xlfn.XLOOKUP(B1423,[1]Sheet1!$B:$B,[1]Sheet1!$U:$U,0)</f>
        <v>0</v>
      </c>
      <c r="S1423" s="12">
        <f>_xlfn.XLOOKUP(B1423,[1]Sheet1!$B:$B,[1]Sheet1!$V:$V,0)</f>
        <v>0</v>
      </c>
      <c r="T1423" s="12">
        <f>_xlfn.XLOOKUP(B1423,[1]Sheet1!$B:$B,[1]Sheet1!$W:$W,0)</f>
        <v>0</v>
      </c>
      <c r="U1423" s="12">
        <f>_xlfn.XLOOKUP(B1423,[1]Sheet1!$B:$B,[1]Sheet1!$X:$X,0)</f>
        <v>0</v>
      </c>
      <c r="V1423" s="12">
        <f>_xlfn.XLOOKUP(B1423,[1]Sheet1!$B:$B,[1]Sheet1!$Y:$Y,0)</f>
        <v>0</v>
      </c>
      <c r="W1423" s="12">
        <f t="shared" si="47"/>
        <v>0</v>
      </c>
      <c r="X1423" s="8" t="s">
        <v>2275</v>
      </c>
      <c r="Y1423" s="8" t="s">
        <v>2208</v>
      </c>
      <c r="Z1423" s="8" t="s">
        <v>2276</v>
      </c>
      <c r="AA1423" s="8" t="s">
        <v>53</v>
      </c>
      <c r="AB1423" s="8" t="s">
        <v>36</v>
      </c>
      <c r="AC1423" s="8" t="s">
        <v>37</v>
      </c>
      <c r="AD1423" s="8" t="s">
        <v>198</v>
      </c>
      <c r="AE1423" s="8" t="s">
        <v>2208</v>
      </c>
      <c r="AF1423" s="8" t="s">
        <v>2211</v>
      </c>
      <c r="AG1423" s="9">
        <v>1399719</v>
      </c>
      <c r="AH1423" s="11">
        <f>_xlfn.XLOOKUP(B1423,[1]Sheet1!$B:$B,[1]Sheet1!$AB:$AB,0)</f>
        <v>0</v>
      </c>
    </row>
    <row r="1424" spans="2:34" ht="16.8" thickTop="1" thickBot="1" x14ac:dyDescent="0.35">
      <c r="B1424" s="3" t="str">
        <f t="shared" si="46"/>
        <v>451416045170000124510750424521200104</v>
      </c>
      <c r="C1424" s="6" t="s">
        <v>2277</v>
      </c>
      <c r="D1424" s="6" t="s">
        <v>2278</v>
      </c>
      <c r="E1424" s="6" t="s">
        <v>2279</v>
      </c>
      <c r="F1424" s="6" t="s">
        <v>2234</v>
      </c>
      <c r="G1424" s="4" t="s">
        <v>2804</v>
      </c>
      <c r="H1424" s="4" t="s">
        <v>2922</v>
      </c>
      <c r="I1424" s="6" t="s">
        <v>53</v>
      </c>
      <c r="J1424" s="6" t="s">
        <v>31</v>
      </c>
      <c r="K1424" s="12">
        <f>_xlfn.XLOOKUP(B1424,[1]Sheet1!$B:$B,[1]Sheet1!$N:$N,0)</f>
        <v>0</v>
      </c>
      <c r="L1424" s="12">
        <f>_xlfn.XLOOKUP(B1424,[1]Sheet1!$B:$B,[1]Sheet1!$O:$O,0)</f>
        <v>0</v>
      </c>
      <c r="M1424" s="12">
        <f>_xlfn.XLOOKUP(B1424,[1]Sheet1!$B:$B,[1]Sheet1!$P:$P,0)</f>
        <v>0</v>
      </c>
      <c r="N1424" s="12">
        <f>_xlfn.XLOOKUP(B1424,[1]Sheet1!$B:$B,[1]Sheet1!$Q:$Q,0)</f>
        <v>0</v>
      </c>
      <c r="O1424" s="12">
        <f>_xlfn.XLOOKUP(B1424,[1]Sheet1!$B:$B,[1]Sheet1!$R:$R,0)</f>
        <v>0</v>
      </c>
      <c r="P1424" s="12">
        <f>_xlfn.XLOOKUP(B1424,[1]Sheet1!$B:$B,[1]Sheet1!$S:$S,0)</f>
        <v>0</v>
      </c>
      <c r="Q1424" s="12">
        <f>_xlfn.XLOOKUP(B1424,[1]Sheet1!$B:$B,[1]Sheet1!$T:$T,0)</f>
        <v>0</v>
      </c>
      <c r="R1424" s="12">
        <f>_xlfn.XLOOKUP(B1424,[1]Sheet1!$B:$B,[1]Sheet1!$U:$U,0)</f>
        <v>0</v>
      </c>
      <c r="S1424" s="12">
        <f>_xlfn.XLOOKUP(B1424,[1]Sheet1!$B:$B,[1]Sheet1!$V:$V,0)</f>
        <v>0</v>
      </c>
      <c r="T1424" s="12">
        <f>_xlfn.XLOOKUP(B1424,[1]Sheet1!$B:$B,[1]Sheet1!$W:$W,0)</f>
        <v>0</v>
      </c>
      <c r="U1424" s="12">
        <f>_xlfn.XLOOKUP(B1424,[1]Sheet1!$B:$B,[1]Sheet1!$X:$X,0)</f>
        <v>0</v>
      </c>
      <c r="V1424" s="12">
        <f>_xlfn.XLOOKUP(B1424,[1]Sheet1!$B:$B,[1]Sheet1!$Y:$Y,0)</f>
        <v>0</v>
      </c>
      <c r="W1424" s="12">
        <f t="shared" si="47"/>
        <v>0</v>
      </c>
      <c r="X1424" s="6" t="s">
        <v>2275</v>
      </c>
      <c r="Y1424" s="6" t="s">
        <v>2208</v>
      </c>
      <c r="Z1424" s="6" t="s">
        <v>2276</v>
      </c>
      <c r="AA1424" s="6" t="s">
        <v>53</v>
      </c>
      <c r="AB1424" s="6" t="s">
        <v>36</v>
      </c>
      <c r="AC1424" s="6" t="s">
        <v>37</v>
      </c>
      <c r="AD1424" s="6" t="s">
        <v>198</v>
      </c>
      <c r="AE1424" s="6" t="s">
        <v>2208</v>
      </c>
      <c r="AF1424" s="6" t="s">
        <v>2211</v>
      </c>
      <c r="AG1424" s="7">
        <v>293500</v>
      </c>
      <c r="AH1424" s="11">
        <f>_xlfn.XLOOKUP(B1424,[1]Sheet1!$B:$B,[1]Sheet1!$AB:$AB,0)</f>
        <v>0</v>
      </c>
    </row>
    <row r="1425" spans="2:34" ht="16.8" thickTop="1" thickBot="1" x14ac:dyDescent="0.35">
      <c r="B1425" s="3" t="str">
        <f t="shared" si="46"/>
        <v>451416045170000134510750424521200104</v>
      </c>
      <c r="C1425" s="8" t="s">
        <v>2277</v>
      </c>
      <c r="D1425" s="8" t="s">
        <v>2283</v>
      </c>
      <c r="E1425" s="8" t="s">
        <v>2284</v>
      </c>
      <c r="F1425" s="8" t="s">
        <v>2234</v>
      </c>
      <c r="G1425" s="4" t="s">
        <v>2804</v>
      </c>
      <c r="H1425" s="4" t="s">
        <v>2922</v>
      </c>
      <c r="I1425" s="8" t="s">
        <v>53</v>
      </c>
      <c r="J1425" s="8" t="s">
        <v>31</v>
      </c>
      <c r="K1425" s="12">
        <f>_xlfn.XLOOKUP(B1425,[1]Sheet1!$B:$B,[1]Sheet1!$N:$N,0)</f>
        <v>0</v>
      </c>
      <c r="L1425" s="12">
        <f>_xlfn.XLOOKUP(B1425,[1]Sheet1!$B:$B,[1]Sheet1!$O:$O,0)</f>
        <v>0</v>
      </c>
      <c r="M1425" s="12">
        <f>_xlfn.XLOOKUP(B1425,[1]Sheet1!$B:$B,[1]Sheet1!$P:$P,0)</f>
        <v>0</v>
      </c>
      <c r="N1425" s="12">
        <f>_xlfn.XLOOKUP(B1425,[1]Sheet1!$B:$B,[1]Sheet1!$Q:$Q,0)</f>
        <v>0</v>
      </c>
      <c r="O1425" s="12">
        <f>_xlfn.XLOOKUP(B1425,[1]Sheet1!$B:$B,[1]Sheet1!$R:$R,0)</f>
        <v>0</v>
      </c>
      <c r="P1425" s="12">
        <f>_xlfn.XLOOKUP(B1425,[1]Sheet1!$B:$B,[1]Sheet1!$S:$S,0)</f>
        <v>0</v>
      </c>
      <c r="Q1425" s="12">
        <f>_xlfn.XLOOKUP(B1425,[1]Sheet1!$B:$B,[1]Sheet1!$T:$T,0)</f>
        <v>0</v>
      </c>
      <c r="R1425" s="12">
        <f>_xlfn.XLOOKUP(B1425,[1]Sheet1!$B:$B,[1]Sheet1!$U:$U,0)</f>
        <v>0</v>
      </c>
      <c r="S1425" s="12">
        <f>_xlfn.XLOOKUP(B1425,[1]Sheet1!$B:$B,[1]Sheet1!$V:$V,0)</f>
        <v>0</v>
      </c>
      <c r="T1425" s="12">
        <f>_xlfn.XLOOKUP(B1425,[1]Sheet1!$B:$B,[1]Sheet1!$W:$W,0)</f>
        <v>0</v>
      </c>
      <c r="U1425" s="12">
        <f>_xlfn.XLOOKUP(B1425,[1]Sheet1!$B:$B,[1]Sheet1!$X:$X,0)</f>
        <v>0</v>
      </c>
      <c r="V1425" s="12">
        <f>_xlfn.XLOOKUP(B1425,[1]Sheet1!$B:$B,[1]Sheet1!$Y:$Y,0)</f>
        <v>0</v>
      </c>
      <c r="W1425" s="12">
        <f t="shared" si="47"/>
        <v>0</v>
      </c>
      <c r="X1425" s="8" t="s">
        <v>2275</v>
      </c>
      <c r="Y1425" s="8" t="s">
        <v>2208</v>
      </c>
      <c r="Z1425" s="8" t="s">
        <v>2276</v>
      </c>
      <c r="AA1425" s="8" t="s">
        <v>53</v>
      </c>
      <c r="AB1425" s="8" t="s">
        <v>36</v>
      </c>
      <c r="AC1425" s="8" t="s">
        <v>37</v>
      </c>
      <c r="AD1425" s="8" t="s">
        <v>198</v>
      </c>
      <c r="AE1425" s="8" t="s">
        <v>2208</v>
      </c>
      <c r="AF1425" s="8" t="s">
        <v>2211</v>
      </c>
      <c r="AG1425" s="9">
        <v>117000</v>
      </c>
      <c r="AH1425" s="11">
        <f>_xlfn.XLOOKUP(B1425,[1]Sheet1!$B:$B,[1]Sheet1!$AB:$AB,0)</f>
        <v>0</v>
      </c>
    </row>
    <row r="1426" spans="2:34" ht="16.8" thickTop="1" thickBot="1" x14ac:dyDescent="0.35">
      <c r="B1426" s="3" t="str">
        <f t="shared" si="46"/>
        <v>451418045170000154510718421126200104</v>
      </c>
      <c r="C1426" s="6" t="s">
        <v>2246</v>
      </c>
      <c r="D1426" s="6" t="s">
        <v>2285</v>
      </c>
      <c r="E1426" s="6" t="s">
        <v>2286</v>
      </c>
      <c r="F1426" s="6" t="s">
        <v>2287</v>
      </c>
      <c r="G1426" s="4" t="s">
        <v>2820</v>
      </c>
      <c r="H1426" s="4" t="s">
        <v>2922</v>
      </c>
      <c r="I1426" s="6" t="s">
        <v>175</v>
      </c>
      <c r="J1426" s="6" t="s">
        <v>31</v>
      </c>
      <c r="K1426" s="12">
        <f>_xlfn.XLOOKUP(B1426,[1]Sheet1!$B:$B,[1]Sheet1!$N:$N,0)</f>
        <v>0</v>
      </c>
      <c r="L1426" s="12">
        <f>_xlfn.XLOOKUP(B1426,[1]Sheet1!$B:$B,[1]Sheet1!$O:$O,0)</f>
        <v>0</v>
      </c>
      <c r="M1426" s="12">
        <f>_xlfn.XLOOKUP(B1426,[1]Sheet1!$B:$B,[1]Sheet1!$P:$P,0)</f>
        <v>0</v>
      </c>
      <c r="N1426" s="12">
        <f>_xlfn.XLOOKUP(B1426,[1]Sheet1!$B:$B,[1]Sheet1!$Q:$Q,0)</f>
        <v>0</v>
      </c>
      <c r="O1426" s="12">
        <f>_xlfn.XLOOKUP(B1426,[1]Sheet1!$B:$B,[1]Sheet1!$R:$R,0)</f>
        <v>0</v>
      </c>
      <c r="P1426" s="12">
        <f>_xlfn.XLOOKUP(B1426,[1]Sheet1!$B:$B,[1]Sheet1!$S:$S,0)</f>
        <v>0</v>
      </c>
      <c r="Q1426" s="12">
        <f>_xlfn.XLOOKUP(B1426,[1]Sheet1!$B:$B,[1]Sheet1!$T:$T,0)</f>
        <v>0</v>
      </c>
      <c r="R1426" s="12">
        <f>_xlfn.XLOOKUP(B1426,[1]Sheet1!$B:$B,[1]Sheet1!$U:$U,0)</f>
        <v>0</v>
      </c>
      <c r="S1426" s="12">
        <f>_xlfn.XLOOKUP(B1426,[1]Sheet1!$B:$B,[1]Sheet1!$V:$V,0)</f>
        <v>0</v>
      </c>
      <c r="T1426" s="12">
        <f>_xlfn.XLOOKUP(B1426,[1]Sheet1!$B:$B,[1]Sheet1!$W:$W,0)</f>
        <v>0</v>
      </c>
      <c r="U1426" s="12">
        <f>_xlfn.XLOOKUP(B1426,[1]Sheet1!$B:$B,[1]Sheet1!$X:$X,0)</f>
        <v>0</v>
      </c>
      <c r="V1426" s="12">
        <f>_xlfn.XLOOKUP(B1426,[1]Sheet1!$B:$B,[1]Sheet1!$Y:$Y,0)</f>
        <v>0</v>
      </c>
      <c r="W1426" s="12">
        <f t="shared" si="47"/>
        <v>0</v>
      </c>
      <c r="X1426" s="6" t="s">
        <v>2288</v>
      </c>
      <c r="Y1426" s="6" t="s">
        <v>2208</v>
      </c>
      <c r="Z1426" s="6" t="s">
        <v>2289</v>
      </c>
      <c r="AA1426" s="6" t="s">
        <v>177</v>
      </c>
      <c r="AB1426" s="6" t="s">
        <v>36</v>
      </c>
      <c r="AC1426" s="6" t="s">
        <v>37</v>
      </c>
      <c r="AD1426" s="6" t="s">
        <v>482</v>
      </c>
      <c r="AE1426" s="6" t="s">
        <v>2208</v>
      </c>
      <c r="AF1426" s="6" t="s">
        <v>2211</v>
      </c>
      <c r="AG1426" s="7">
        <v>12000000</v>
      </c>
      <c r="AH1426" s="11">
        <f>_xlfn.XLOOKUP(B1426,[1]Sheet1!$B:$B,[1]Sheet1!$AB:$AB,0)</f>
        <v>0</v>
      </c>
    </row>
    <row r="1427" spans="2:34" ht="16.8" thickTop="1" thickBot="1" x14ac:dyDescent="0.35">
      <c r="B1427" s="3" t="str">
        <f t="shared" si="46"/>
        <v>451418045170000154510718422911200104</v>
      </c>
      <c r="C1427" s="8" t="s">
        <v>2246</v>
      </c>
      <c r="D1427" s="8" t="s">
        <v>2285</v>
      </c>
      <c r="E1427" s="8" t="s">
        <v>2286</v>
      </c>
      <c r="F1427" s="8" t="s">
        <v>2287</v>
      </c>
      <c r="G1427" s="4" t="s">
        <v>2863</v>
      </c>
      <c r="H1427" s="4" t="s">
        <v>2922</v>
      </c>
      <c r="I1427" s="8" t="s">
        <v>1009</v>
      </c>
      <c r="J1427" s="8" t="s">
        <v>31</v>
      </c>
      <c r="K1427" s="12">
        <f>_xlfn.XLOOKUP(B1427,[1]Sheet1!$B:$B,[1]Sheet1!$N:$N,0)</f>
        <v>0</v>
      </c>
      <c r="L1427" s="12">
        <f>_xlfn.XLOOKUP(B1427,[1]Sheet1!$B:$B,[1]Sheet1!$O:$O,0)</f>
        <v>0</v>
      </c>
      <c r="M1427" s="12">
        <f>_xlfn.XLOOKUP(B1427,[1]Sheet1!$B:$B,[1]Sheet1!$P:$P,0)</f>
        <v>0</v>
      </c>
      <c r="N1427" s="12">
        <f>_xlfn.XLOOKUP(B1427,[1]Sheet1!$B:$B,[1]Sheet1!$Q:$Q,0)</f>
        <v>0</v>
      </c>
      <c r="O1427" s="12">
        <f>_xlfn.XLOOKUP(B1427,[1]Sheet1!$B:$B,[1]Sheet1!$R:$R,0)</f>
        <v>0</v>
      </c>
      <c r="P1427" s="12">
        <f>_xlfn.XLOOKUP(B1427,[1]Sheet1!$B:$B,[1]Sheet1!$S:$S,0)</f>
        <v>0</v>
      </c>
      <c r="Q1427" s="12">
        <f>_xlfn.XLOOKUP(B1427,[1]Sheet1!$B:$B,[1]Sheet1!$T:$T,0)</f>
        <v>0</v>
      </c>
      <c r="R1427" s="12">
        <f>_xlfn.XLOOKUP(B1427,[1]Sheet1!$B:$B,[1]Sheet1!$U:$U,0)</f>
        <v>0</v>
      </c>
      <c r="S1427" s="12">
        <f>_xlfn.XLOOKUP(B1427,[1]Sheet1!$B:$B,[1]Sheet1!$V:$V,0)</f>
        <v>0</v>
      </c>
      <c r="T1427" s="12">
        <f>_xlfn.XLOOKUP(B1427,[1]Sheet1!$B:$B,[1]Sheet1!$W:$W,0)</f>
        <v>0</v>
      </c>
      <c r="U1427" s="12">
        <f>_xlfn.XLOOKUP(B1427,[1]Sheet1!$B:$B,[1]Sheet1!$X:$X,0)</f>
        <v>0</v>
      </c>
      <c r="V1427" s="12">
        <f>_xlfn.XLOOKUP(B1427,[1]Sheet1!$B:$B,[1]Sheet1!$Y:$Y,0)</f>
        <v>0</v>
      </c>
      <c r="W1427" s="12">
        <f t="shared" si="47"/>
        <v>0</v>
      </c>
      <c r="X1427" s="8" t="s">
        <v>2290</v>
      </c>
      <c r="Y1427" s="8" t="s">
        <v>2208</v>
      </c>
      <c r="Z1427" s="8" t="s">
        <v>2289</v>
      </c>
      <c r="AA1427" s="8" t="s">
        <v>1011</v>
      </c>
      <c r="AB1427" s="8" t="s">
        <v>36</v>
      </c>
      <c r="AC1427" s="8" t="s">
        <v>37</v>
      </c>
      <c r="AD1427" s="8" t="s">
        <v>482</v>
      </c>
      <c r="AE1427" s="8" t="s">
        <v>2208</v>
      </c>
      <c r="AF1427" s="8" t="s">
        <v>2211</v>
      </c>
      <c r="AG1427" s="9">
        <v>1053.31</v>
      </c>
      <c r="AH1427" s="11">
        <f>_xlfn.XLOOKUP(B1427,[1]Sheet1!$B:$B,[1]Sheet1!$AB:$AB,0)</f>
        <v>0</v>
      </c>
    </row>
    <row r="1428" spans="2:34" ht="16.8" thickTop="1" thickBot="1" x14ac:dyDescent="0.35">
      <c r="B1428" s="3" t="str">
        <f t="shared" si="46"/>
        <v>451418045170000154510718423711200104</v>
      </c>
      <c r="C1428" s="6" t="s">
        <v>2246</v>
      </c>
      <c r="D1428" s="6" t="s">
        <v>2285</v>
      </c>
      <c r="E1428" s="6" t="s">
        <v>2286</v>
      </c>
      <c r="F1428" s="6" t="s">
        <v>2287</v>
      </c>
      <c r="G1428" s="4" t="s">
        <v>2878</v>
      </c>
      <c r="H1428" s="4" t="s">
        <v>2922</v>
      </c>
      <c r="I1428" s="6" t="s">
        <v>1826</v>
      </c>
      <c r="J1428" s="6" t="s">
        <v>31</v>
      </c>
      <c r="K1428" s="12">
        <f>_xlfn.XLOOKUP(B1428,[1]Sheet1!$B:$B,[1]Sheet1!$N:$N,0)</f>
        <v>0</v>
      </c>
      <c r="L1428" s="12">
        <f>_xlfn.XLOOKUP(B1428,[1]Sheet1!$B:$B,[1]Sheet1!$O:$O,0)</f>
        <v>0</v>
      </c>
      <c r="M1428" s="12">
        <f>_xlfn.XLOOKUP(B1428,[1]Sheet1!$B:$B,[1]Sheet1!$P:$P,0)</f>
        <v>0</v>
      </c>
      <c r="N1428" s="12">
        <f>_xlfn.XLOOKUP(B1428,[1]Sheet1!$B:$B,[1]Sheet1!$Q:$Q,0)</f>
        <v>0</v>
      </c>
      <c r="O1428" s="12">
        <f>_xlfn.XLOOKUP(B1428,[1]Sheet1!$B:$B,[1]Sheet1!$R:$R,0)</f>
        <v>0</v>
      </c>
      <c r="P1428" s="12">
        <f>_xlfn.XLOOKUP(B1428,[1]Sheet1!$B:$B,[1]Sheet1!$S:$S,0)</f>
        <v>0</v>
      </c>
      <c r="Q1428" s="12">
        <f>_xlfn.XLOOKUP(B1428,[1]Sheet1!$B:$B,[1]Sheet1!$T:$T,0)</f>
        <v>0</v>
      </c>
      <c r="R1428" s="12">
        <f>_xlfn.XLOOKUP(B1428,[1]Sheet1!$B:$B,[1]Sheet1!$U:$U,0)</f>
        <v>0</v>
      </c>
      <c r="S1428" s="12">
        <f>_xlfn.XLOOKUP(B1428,[1]Sheet1!$B:$B,[1]Sheet1!$V:$V,0)</f>
        <v>0</v>
      </c>
      <c r="T1428" s="12">
        <f>_xlfn.XLOOKUP(B1428,[1]Sheet1!$B:$B,[1]Sheet1!$W:$W,0)</f>
        <v>0</v>
      </c>
      <c r="U1428" s="12">
        <f>_xlfn.XLOOKUP(B1428,[1]Sheet1!$B:$B,[1]Sheet1!$X:$X,0)</f>
        <v>0</v>
      </c>
      <c r="V1428" s="12">
        <f>_xlfn.XLOOKUP(B1428,[1]Sheet1!$B:$B,[1]Sheet1!$Y:$Y,0)</f>
        <v>0</v>
      </c>
      <c r="W1428" s="12">
        <f t="shared" si="47"/>
        <v>0</v>
      </c>
      <c r="X1428" s="6" t="s">
        <v>2291</v>
      </c>
      <c r="Y1428" s="6" t="s">
        <v>2208</v>
      </c>
      <c r="Z1428" s="6" t="s">
        <v>2289</v>
      </c>
      <c r="AA1428" s="6" t="s">
        <v>1828</v>
      </c>
      <c r="AB1428" s="6" t="s">
        <v>36</v>
      </c>
      <c r="AC1428" s="6" t="s">
        <v>37</v>
      </c>
      <c r="AD1428" s="6" t="s">
        <v>482</v>
      </c>
      <c r="AE1428" s="6" t="s">
        <v>2208</v>
      </c>
      <c r="AF1428" s="6" t="s">
        <v>2211</v>
      </c>
      <c r="AG1428" s="7">
        <v>8763.58</v>
      </c>
      <c r="AH1428" s="11">
        <f>_xlfn.XLOOKUP(B1428,[1]Sheet1!$B:$B,[1]Sheet1!$AB:$AB,0)</f>
        <v>0</v>
      </c>
    </row>
    <row r="1429" spans="2:34" ht="16.8" thickTop="1" thickBot="1" x14ac:dyDescent="0.35">
      <c r="B1429" s="3" t="str">
        <f t="shared" si="46"/>
        <v>451418045170000154510746491320300105</v>
      </c>
      <c r="C1429" s="8" t="s">
        <v>2246</v>
      </c>
      <c r="D1429" s="8" t="s">
        <v>2285</v>
      </c>
      <c r="E1429" s="8" t="s">
        <v>2286</v>
      </c>
      <c r="F1429" s="8" t="s">
        <v>2292</v>
      </c>
      <c r="G1429" s="4" t="s">
        <v>2866</v>
      </c>
      <c r="H1429" s="4" t="s">
        <v>2923</v>
      </c>
      <c r="I1429" s="8" t="s">
        <v>1159</v>
      </c>
      <c r="J1429" s="8" t="s">
        <v>31</v>
      </c>
      <c r="K1429" s="12">
        <f>_xlfn.XLOOKUP(B1429,[1]Sheet1!$B:$B,[1]Sheet1!$N:$N,0)</f>
        <v>0</v>
      </c>
      <c r="L1429" s="12">
        <f>_xlfn.XLOOKUP(B1429,[1]Sheet1!$B:$B,[1]Sheet1!$O:$O,0)</f>
        <v>0</v>
      </c>
      <c r="M1429" s="12">
        <f>_xlfn.XLOOKUP(B1429,[1]Sheet1!$B:$B,[1]Sheet1!$P:$P,0)</f>
        <v>0</v>
      </c>
      <c r="N1429" s="12">
        <f>_xlfn.XLOOKUP(B1429,[1]Sheet1!$B:$B,[1]Sheet1!$Q:$Q,0)</f>
        <v>0</v>
      </c>
      <c r="O1429" s="12">
        <f>_xlfn.XLOOKUP(B1429,[1]Sheet1!$B:$B,[1]Sheet1!$R:$R,0)</f>
        <v>0</v>
      </c>
      <c r="P1429" s="12">
        <f>_xlfn.XLOOKUP(B1429,[1]Sheet1!$B:$B,[1]Sheet1!$S:$S,0)</f>
        <v>0</v>
      </c>
      <c r="Q1429" s="12">
        <f>_xlfn.XLOOKUP(B1429,[1]Sheet1!$B:$B,[1]Sheet1!$T:$T,0)</f>
        <v>0</v>
      </c>
      <c r="R1429" s="12">
        <f>_xlfn.XLOOKUP(B1429,[1]Sheet1!$B:$B,[1]Sheet1!$U:$U,0)</f>
        <v>0</v>
      </c>
      <c r="S1429" s="12">
        <f>_xlfn.XLOOKUP(B1429,[1]Sheet1!$B:$B,[1]Sheet1!$V:$V,0)</f>
        <v>0</v>
      </c>
      <c r="T1429" s="12">
        <f>_xlfn.XLOOKUP(B1429,[1]Sheet1!$B:$B,[1]Sheet1!$W:$W,0)</f>
        <v>0</v>
      </c>
      <c r="U1429" s="12">
        <f>_xlfn.XLOOKUP(B1429,[1]Sheet1!$B:$B,[1]Sheet1!$X:$X,0)</f>
        <v>0</v>
      </c>
      <c r="V1429" s="12">
        <f>_xlfn.XLOOKUP(B1429,[1]Sheet1!$B:$B,[1]Sheet1!$Y:$Y,0)</f>
        <v>0</v>
      </c>
      <c r="W1429" s="12">
        <f t="shared" si="47"/>
        <v>0</v>
      </c>
      <c r="X1429" s="8" t="s">
        <v>2293</v>
      </c>
      <c r="Y1429" s="8" t="s">
        <v>2208</v>
      </c>
      <c r="Z1429" s="8" t="s">
        <v>2289</v>
      </c>
      <c r="AA1429" s="8" t="s">
        <v>1159</v>
      </c>
      <c r="AB1429" s="8" t="s">
        <v>93</v>
      </c>
      <c r="AC1429" s="8" t="s">
        <v>94</v>
      </c>
      <c r="AD1429" s="8" t="s">
        <v>482</v>
      </c>
      <c r="AE1429" s="8" t="s">
        <v>2208</v>
      </c>
      <c r="AF1429" s="8" t="s">
        <v>2211</v>
      </c>
      <c r="AG1429" s="9">
        <v>1183249</v>
      </c>
      <c r="AH1429" s="11">
        <f>_xlfn.XLOOKUP(B1429,[1]Sheet1!$B:$B,[1]Sheet1!$AB:$AB,0)</f>
        <v>0</v>
      </c>
    </row>
    <row r="1430" spans="2:34" ht="16.8" thickTop="1" thickBot="1" x14ac:dyDescent="0.35">
      <c r="B1430" s="3" t="str">
        <f t="shared" si="46"/>
        <v>451418045170000154510750421126200104</v>
      </c>
      <c r="C1430" s="6" t="s">
        <v>2246</v>
      </c>
      <c r="D1430" s="6" t="s">
        <v>2285</v>
      </c>
      <c r="E1430" s="6" t="s">
        <v>2286</v>
      </c>
      <c r="F1430" s="6" t="s">
        <v>2234</v>
      </c>
      <c r="G1430" s="4" t="s">
        <v>2820</v>
      </c>
      <c r="H1430" s="4" t="s">
        <v>2922</v>
      </c>
      <c r="I1430" s="6" t="s">
        <v>175</v>
      </c>
      <c r="J1430" s="6" t="s">
        <v>31</v>
      </c>
      <c r="K1430" s="12">
        <f>_xlfn.XLOOKUP(B1430,[1]Sheet1!$B:$B,[1]Sheet1!$N:$N,0)</f>
        <v>0</v>
      </c>
      <c r="L1430" s="12">
        <f>_xlfn.XLOOKUP(B1430,[1]Sheet1!$B:$B,[1]Sheet1!$O:$O,0)</f>
        <v>0</v>
      </c>
      <c r="M1430" s="12">
        <f>_xlfn.XLOOKUP(B1430,[1]Sheet1!$B:$B,[1]Sheet1!$P:$P,0)</f>
        <v>0</v>
      </c>
      <c r="N1430" s="12">
        <f>_xlfn.XLOOKUP(B1430,[1]Sheet1!$B:$B,[1]Sheet1!$Q:$Q,0)</f>
        <v>0</v>
      </c>
      <c r="O1430" s="12">
        <f>_xlfn.XLOOKUP(B1430,[1]Sheet1!$B:$B,[1]Sheet1!$R:$R,0)</f>
        <v>0</v>
      </c>
      <c r="P1430" s="12">
        <f>_xlfn.XLOOKUP(B1430,[1]Sheet1!$B:$B,[1]Sheet1!$S:$S,0)</f>
        <v>0</v>
      </c>
      <c r="Q1430" s="12">
        <f>_xlfn.XLOOKUP(B1430,[1]Sheet1!$B:$B,[1]Sheet1!$T:$T,0)</f>
        <v>0</v>
      </c>
      <c r="R1430" s="12">
        <f>_xlfn.XLOOKUP(B1430,[1]Sheet1!$B:$B,[1]Sheet1!$U:$U,0)</f>
        <v>0</v>
      </c>
      <c r="S1430" s="12">
        <f>_xlfn.XLOOKUP(B1430,[1]Sheet1!$B:$B,[1]Sheet1!$V:$V,0)</f>
        <v>0</v>
      </c>
      <c r="T1430" s="12">
        <f>_xlfn.XLOOKUP(B1430,[1]Sheet1!$B:$B,[1]Sheet1!$W:$W,0)</f>
        <v>0</v>
      </c>
      <c r="U1430" s="12">
        <f>_xlfn.XLOOKUP(B1430,[1]Sheet1!$B:$B,[1]Sheet1!$X:$X,0)</f>
        <v>0</v>
      </c>
      <c r="V1430" s="12">
        <f>_xlfn.XLOOKUP(B1430,[1]Sheet1!$B:$B,[1]Sheet1!$Y:$Y,0)</f>
        <v>0</v>
      </c>
      <c r="W1430" s="12">
        <f t="shared" si="47"/>
        <v>0</v>
      </c>
      <c r="X1430" s="6" t="s">
        <v>2288</v>
      </c>
      <c r="Y1430" s="6" t="s">
        <v>2208</v>
      </c>
      <c r="Z1430" s="6" t="s">
        <v>2289</v>
      </c>
      <c r="AA1430" s="6" t="s">
        <v>177</v>
      </c>
      <c r="AB1430" s="6" t="s">
        <v>36</v>
      </c>
      <c r="AC1430" s="6" t="s">
        <v>37</v>
      </c>
      <c r="AD1430" s="6" t="s">
        <v>482</v>
      </c>
      <c r="AE1430" s="6" t="s">
        <v>2208</v>
      </c>
      <c r="AF1430" s="6" t="s">
        <v>2211</v>
      </c>
      <c r="AG1430" s="7">
        <v>2500000</v>
      </c>
      <c r="AH1430" s="11">
        <f>_xlfn.XLOOKUP(B1430,[1]Sheet1!$B:$B,[1]Sheet1!$AB:$AB,0)</f>
        <v>0</v>
      </c>
    </row>
    <row r="1431" spans="2:34" ht="16.8" thickTop="1" thickBot="1" x14ac:dyDescent="0.35">
      <c r="B1431" s="3" t="str">
        <f t="shared" si="46"/>
        <v>451418045170000154510753422213200104</v>
      </c>
      <c r="C1431" s="8" t="s">
        <v>2246</v>
      </c>
      <c r="D1431" s="8" t="s">
        <v>2285</v>
      </c>
      <c r="E1431" s="8" t="s">
        <v>2286</v>
      </c>
      <c r="F1431" s="8" t="s">
        <v>2294</v>
      </c>
      <c r="G1431" s="4" t="s">
        <v>2846</v>
      </c>
      <c r="H1431" s="4" t="s">
        <v>2922</v>
      </c>
      <c r="I1431" s="8" t="s">
        <v>484</v>
      </c>
      <c r="J1431" s="8" t="s">
        <v>31</v>
      </c>
      <c r="K1431" s="12">
        <f>_xlfn.XLOOKUP(B1431,[1]Sheet1!$B:$B,[1]Sheet1!$N:$N,0)</f>
        <v>0</v>
      </c>
      <c r="L1431" s="12">
        <f>_xlfn.XLOOKUP(B1431,[1]Sheet1!$B:$B,[1]Sheet1!$O:$O,0)</f>
        <v>0</v>
      </c>
      <c r="M1431" s="12">
        <f>_xlfn.XLOOKUP(B1431,[1]Sheet1!$B:$B,[1]Sheet1!$P:$P,0)</f>
        <v>0</v>
      </c>
      <c r="N1431" s="12">
        <f>_xlfn.XLOOKUP(B1431,[1]Sheet1!$B:$B,[1]Sheet1!$Q:$Q,0)</f>
        <v>0</v>
      </c>
      <c r="O1431" s="12">
        <f>_xlfn.XLOOKUP(B1431,[1]Sheet1!$B:$B,[1]Sheet1!$R:$R,0)</f>
        <v>0</v>
      </c>
      <c r="P1431" s="12">
        <f>_xlfn.XLOOKUP(B1431,[1]Sheet1!$B:$B,[1]Sheet1!$S:$S,0)</f>
        <v>0</v>
      </c>
      <c r="Q1431" s="12">
        <f>_xlfn.XLOOKUP(B1431,[1]Sheet1!$B:$B,[1]Sheet1!$T:$T,0)</f>
        <v>0</v>
      </c>
      <c r="R1431" s="12">
        <f>_xlfn.XLOOKUP(B1431,[1]Sheet1!$B:$B,[1]Sheet1!$U:$U,0)</f>
        <v>0</v>
      </c>
      <c r="S1431" s="12">
        <f>_xlfn.XLOOKUP(B1431,[1]Sheet1!$B:$B,[1]Sheet1!$V:$V,0)</f>
        <v>0</v>
      </c>
      <c r="T1431" s="12">
        <f>_xlfn.XLOOKUP(B1431,[1]Sheet1!$B:$B,[1]Sheet1!$W:$W,0)</f>
        <v>0</v>
      </c>
      <c r="U1431" s="12">
        <f>_xlfn.XLOOKUP(B1431,[1]Sheet1!$B:$B,[1]Sheet1!$X:$X,0)</f>
        <v>0</v>
      </c>
      <c r="V1431" s="12">
        <f>_xlfn.XLOOKUP(B1431,[1]Sheet1!$B:$B,[1]Sheet1!$Y:$Y,0)</f>
        <v>0</v>
      </c>
      <c r="W1431" s="12">
        <f t="shared" si="47"/>
        <v>0</v>
      </c>
      <c r="X1431" s="8" t="s">
        <v>2295</v>
      </c>
      <c r="Y1431" s="8" t="s">
        <v>2208</v>
      </c>
      <c r="Z1431" s="8" t="s">
        <v>2289</v>
      </c>
      <c r="AA1431" s="8" t="s">
        <v>486</v>
      </c>
      <c r="AB1431" s="8" t="s">
        <v>36</v>
      </c>
      <c r="AC1431" s="8" t="s">
        <v>37</v>
      </c>
      <c r="AD1431" s="8" t="s">
        <v>482</v>
      </c>
      <c r="AE1431" s="8" t="s">
        <v>2208</v>
      </c>
      <c r="AF1431" s="8" t="s">
        <v>2211</v>
      </c>
      <c r="AG1431" s="9">
        <v>80058.5</v>
      </c>
      <c r="AH1431" s="11">
        <f>_xlfn.XLOOKUP(B1431,[1]Sheet1!$B:$B,[1]Sheet1!$AB:$AB,0)</f>
        <v>0</v>
      </c>
    </row>
    <row r="1432" spans="2:34" ht="16.8" thickTop="1" thickBot="1" x14ac:dyDescent="0.35">
      <c r="B1432" s="3" t="str">
        <f t="shared" si="46"/>
        <v>451418045170000154510753422218200104</v>
      </c>
      <c r="C1432" s="6" t="s">
        <v>2246</v>
      </c>
      <c r="D1432" s="6" t="s">
        <v>2285</v>
      </c>
      <c r="E1432" s="6" t="s">
        <v>2286</v>
      </c>
      <c r="F1432" s="6" t="s">
        <v>2294</v>
      </c>
      <c r="G1432" s="4" t="s">
        <v>2867</v>
      </c>
      <c r="H1432" s="4" t="s">
        <v>2922</v>
      </c>
      <c r="I1432" s="6" t="s">
        <v>1174</v>
      </c>
      <c r="J1432" s="6" t="s">
        <v>31</v>
      </c>
      <c r="K1432" s="12">
        <f>_xlfn.XLOOKUP(B1432,[1]Sheet1!$B:$B,[1]Sheet1!$N:$N,0)</f>
        <v>0</v>
      </c>
      <c r="L1432" s="12">
        <f>_xlfn.XLOOKUP(B1432,[1]Sheet1!$B:$B,[1]Sheet1!$O:$O,0)</f>
        <v>0</v>
      </c>
      <c r="M1432" s="12">
        <f>_xlfn.XLOOKUP(B1432,[1]Sheet1!$B:$B,[1]Sheet1!$P:$P,0)</f>
        <v>0</v>
      </c>
      <c r="N1432" s="12">
        <f>_xlfn.XLOOKUP(B1432,[1]Sheet1!$B:$B,[1]Sheet1!$Q:$Q,0)</f>
        <v>0</v>
      </c>
      <c r="O1432" s="12">
        <f>_xlfn.XLOOKUP(B1432,[1]Sheet1!$B:$B,[1]Sheet1!$R:$R,0)</f>
        <v>0</v>
      </c>
      <c r="P1432" s="12">
        <f>_xlfn.XLOOKUP(B1432,[1]Sheet1!$B:$B,[1]Sheet1!$S:$S,0)</f>
        <v>0</v>
      </c>
      <c r="Q1432" s="12">
        <f>_xlfn.XLOOKUP(B1432,[1]Sheet1!$B:$B,[1]Sheet1!$T:$T,0)</f>
        <v>0</v>
      </c>
      <c r="R1432" s="12">
        <f>_xlfn.XLOOKUP(B1432,[1]Sheet1!$B:$B,[1]Sheet1!$U:$U,0)</f>
        <v>0</v>
      </c>
      <c r="S1432" s="12">
        <f>_xlfn.XLOOKUP(B1432,[1]Sheet1!$B:$B,[1]Sheet1!$V:$V,0)</f>
        <v>0</v>
      </c>
      <c r="T1432" s="12">
        <f>_xlfn.XLOOKUP(B1432,[1]Sheet1!$B:$B,[1]Sheet1!$W:$W,0)</f>
        <v>0</v>
      </c>
      <c r="U1432" s="12">
        <f>_xlfn.XLOOKUP(B1432,[1]Sheet1!$B:$B,[1]Sheet1!$X:$X,0)</f>
        <v>0</v>
      </c>
      <c r="V1432" s="12">
        <f>_xlfn.XLOOKUP(B1432,[1]Sheet1!$B:$B,[1]Sheet1!$Y:$Y,0)</f>
        <v>0</v>
      </c>
      <c r="W1432" s="12">
        <f t="shared" si="47"/>
        <v>0</v>
      </c>
      <c r="X1432" s="6" t="s">
        <v>2296</v>
      </c>
      <c r="Y1432" s="6" t="s">
        <v>2208</v>
      </c>
      <c r="Z1432" s="6" t="s">
        <v>2289</v>
      </c>
      <c r="AA1432" s="6" t="s">
        <v>1176</v>
      </c>
      <c r="AB1432" s="6" t="s">
        <v>36</v>
      </c>
      <c r="AC1432" s="6" t="s">
        <v>37</v>
      </c>
      <c r="AD1432" s="6" t="s">
        <v>482</v>
      </c>
      <c r="AE1432" s="6" t="s">
        <v>2208</v>
      </c>
      <c r="AF1432" s="6" t="s">
        <v>2211</v>
      </c>
      <c r="AG1432" s="7">
        <v>501303.6</v>
      </c>
      <c r="AH1432" s="11">
        <f>_xlfn.XLOOKUP(B1432,[1]Sheet1!$B:$B,[1]Sheet1!$AB:$AB,0)</f>
        <v>0</v>
      </c>
    </row>
    <row r="1433" spans="2:34" ht="16.8" thickTop="1" thickBot="1" x14ac:dyDescent="0.35">
      <c r="B1433" s="3" t="str">
        <f t="shared" si="46"/>
        <v>451418045170000154510753422911200104</v>
      </c>
      <c r="C1433" s="8" t="s">
        <v>2246</v>
      </c>
      <c r="D1433" s="8" t="s">
        <v>2285</v>
      </c>
      <c r="E1433" s="8" t="s">
        <v>2286</v>
      </c>
      <c r="F1433" s="8" t="s">
        <v>2294</v>
      </c>
      <c r="G1433" s="4" t="s">
        <v>2863</v>
      </c>
      <c r="H1433" s="4" t="s">
        <v>2922</v>
      </c>
      <c r="I1433" s="8" t="s">
        <v>1009</v>
      </c>
      <c r="J1433" s="8" t="s">
        <v>31</v>
      </c>
      <c r="K1433" s="12">
        <f>_xlfn.XLOOKUP(B1433,[1]Sheet1!$B:$B,[1]Sheet1!$N:$N,0)</f>
        <v>0</v>
      </c>
      <c r="L1433" s="12">
        <f>_xlfn.XLOOKUP(B1433,[1]Sheet1!$B:$B,[1]Sheet1!$O:$O,0)</f>
        <v>0</v>
      </c>
      <c r="M1433" s="12">
        <f>_xlfn.XLOOKUP(B1433,[1]Sheet1!$B:$B,[1]Sheet1!$P:$P,0)</f>
        <v>0</v>
      </c>
      <c r="N1433" s="12">
        <f>_xlfn.XLOOKUP(B1433,[1]Sheet1!$B:$B,[1]Sheet1!$Q:$Q,0)</f>
        <v>0</v>
      </c>
      <c r="O1433" s="12">
        <f>_xlfn.XLOOKUP(B1433,[1]Sheet1!$B:$B,[1]Sheet1!$R:$R,0)</f>
        <v>0</v>
      </c>
      <c r="P1433" s="12">
        <f>_xlfn.XLOOKUP(B1433,[1]Sheet1!$B:$B,[1]Sheet1!$S:$S,0)</f>
        <v>0</v>
      </c>
      <c r="Q1433" s="12">
        <f>_xlfn.XLOOKUP(B1433,[1]Sheet1!$B:$B,[1]Sheet1!$T:$T,0)</f>
        <v>0</v>
      </c>
      <c r="R1433" s="12">
        <f>_xlfn.XLOOKUP(B1433,[1]Sheet1!$B:$B,[1]Sheet1!$U:$U,0)</f>
        <v>0</v>
      </c>
      <c r="S1433" s="12">
        <f>_xlfn.XLOOKUP(B1433,[1]Sheet1!$B:$B,[1]Sheet1!$V:$V,0)</f>
        <v>0</v>
      </c>
      <c r="T1433" s="12">
        <f>_xlfn.XLOOKUP(B1433,[1]Sheet1!$B:$B,[1]Sheet1!$W:$W,0)</f>
        <v>0</v>
      </c>
      <c r="U1433" s="12">
        <f>_xlfn.XLOOKUP(B1433,[1]Sheet1!$B:$B,[1]Sheet1!$X:$X,0)</f>
        <v>0</v>
      </c>
      <c r="V1433" s="12">
        <f>_xlfn.XLOOKUP(B1433,[1]Sheet1!$B:$B,[1]Sheet1!$Y:$Y,0)</f>
        <v>0</v>
      </c>
      <c r="W1433" s="12">
        <f t="shared" si="47"/>
        <v>0</v>
      </c>
      <c r="X1433" s="8" t="s">
        <v>2290</v>
      </c>
      <c r="Y1433" s="8" t="s">
        <v>2208</v>
      </c>
      <c r="Z1433" s="8" t="s">
        <v>2289</v>
      </c>
      <c r="AA1433" s="8" t="s">
        <v>1011</v>
      </c>
      <c r="AB1433" s="8" t="s">
        <v>36</v>
      </c>
      <c r="AC1433" s="8" t="s">
        <v>37</v>
      </c>
      <c r="AD1433" s="8" t="s">
        <v>482</v>
      </c>
      <c r="AE1433" s="8" t="s">
        <v>2208</v>
      </c>
      <c r="AF1433" s="8" t="s">
        <v>2211</v>
      </c>
      <c r="AG1433" s="9">
        <v>858546.4</v>
      </c>
      <c r="AH1433" s="11">
        <f>_xlfn.XLOOKUP(B1433,[1]Sheet1!$B:$B,[1]Sheet1!$AB:$AB,0)</f>
        <v>0</v>
      </c>
    </row>
    <row r="1434" spans="2:34" ht="16.8" thickTop="1" thickBot="1" x14ac:dyDescent="0.35">
      <c r="B1434" s="3" t="str">
        <f t="shared" si="46"/>
        <v>451418045170000154510753423711200104</v>
      </c>
      <c r="C1434" s="6" t="s">
        <v>2246</v>
      </c>
      <c r="D1434" s="6" t="s">
        <v>2285</v>
      </c>
      <c r="E1434" s="6" t="s">
        <v>2286</v>
      </c>
      <c r="F1434" s="6" t="s">
        <v>2294</v>
      </c>
      <c r="G1434" s="4" t="s">
        <v>2878</v>
      </c>
      <c r="H1434" s="4" t="s">
        <v>2922</v>
      </c>
      <c r="I1434" s="6" t="s">
        <v>1826</v>
      </c>
      <c r="J1434" s="6" t="s">
        <v>31</v>
      </c>
      <c r="K1434" s="12">
        <f>_xlfn.XLOOKUP(B1434,[1]Sheet1!$B:$B,[1]Sheet1!$N:$N,0)</f>
        <v>0</v>
      </c>
      <c r="L1434" s="12">
        <f>_xlfn.XLOOKUP(B1434,[1]Sheet1!$B:$B,[1]Sheet1!$O:$O,0)</f>
        <v>0</v>
      </c>
      <c r="M1434" s="12">
        <f>_xlfn.XLOOKUP(B1434,[1]Sheet1!$B:$B,[1]Sheet1!$P:$P,0)</f>
        <v>0</v>
      </c>
      <c r="N1434" s="12">
        <f>_xlfn.XLOOKUP(B1434,[1]Sheet1!$B:$B,[1]Sheet1!$Q:$Q,0)</f>
        <v>0</v>
      </c>
      <c r="O1434" s="12">
        <f>_xlfn.XLOOKUP(B1434,[1]Sheet1!$B:$B,[1]Sheet1!$R:$R,0)</f>
        <v>0</v>
      </c>
      <c r="P1434" s="12">
        <f>_xlfn.XLOOKUP(B1434,[1]Sheet1!$B:$B,[1]Sheet1!$S:$S,0)</f>
        <v>0</v>
      </c>
      <c r="Q1434" s="12">
        <f>_xlfn.XLOOKUP(B1434,[1]Sheet1!$B:$B,[1]Sheet1!$T:$T,0)</f>
        <v>0</v>
      </c>
      <c r="R1434" s="12">
        <f>_xlfn.XLOOKUP(B1434,[1]Sheet1!$B:$B,[1]Sheet1!$U:$U,0)</f>
        <v>0</v>
      </c>
      <c r="S1434" s="12">
        <f>_xlfn.XLOOKUP(B1434,[1]Sheet1!$B:$B,[1]Sheet1!$V:$V,0)</f>
        <v>0</v>
      </c>
      <c r="T1434" s="12">
        <f>_xlfn.XLOOKUP(B1434,[1]Sheet1!$B:$B,[1]Sheet1!$W:$W,0)</f>
        <v>0</v>
      </c>
      <c r="U1434" s="12">
        <f>_xlfn.XLOOKUP(B1434,[1]Sheet1!$B:$B,[1]Sheet1!$X:$X,0)</f>
        <v>0</v>
      </c>
      <c r="V1434" s="12">
        <f>_xlfn.XLOOKUP(B1434,[1]Sheet1!$B:$B,[1]Sheet1!$Y:$Y,0)</f>
        <v>0</v>
      </c>
      <c r="W1434" s="12">
        <f t="shared" si="47"/>
        <v>0</v>
      </c>
      <c r="X1434" s="6" t="s">
        <v>2291</v>
      </c>
      <c r="Y1434" s="6" t="s">
        <v>2208</v>
      </c>
      <c r="Z1434" s="6" t="s">
        <v>2289</v>
      </c>
      <c r="AA1434" s="6" t="s">
        <v>1828</v>
      </c>
      <c r="AB1434" s="6" t="s">
        <v>36</v>
      </c>
      <c r="AC1434" s="6" t="s">
        <v>37</v>
      </c>
      <c r="AD1434" s="6" t="s">
        <v>482</v>
      </c>
      <c r="AE1434" s="6" t="s">
        <v>2208</v>
      </c>
      <c r="AF1434" s="6" t="s">
        <v>2211</v>
      </c>
      <c r="AG1434" s="7">
        <v>421420.08</v>
      </c>
      <c r="AH1434" s="11">
        <f>_xlfn.XLOOKUP(B1434,[1]Sheet1!$B:$B,[1]Sheet1!$AB:$AB,0)</f>
        <v>0</v>
      </c>
    </row>
    <row r="1435" spans="2:34" ht="16.8" thickTop="1" thickBot="1" x14ac:dyDescent="0.35">
      <c r="B1435" s="3" t="str">
        <f t="shared" si="46"/>
        <v>451418045170000154510753425308200104</v>
      </c>
      <c r="C1435" s="8" t="s">
        <v>2246</v>
      </c>
      <c r="D1435" s="8" t="s">
        <v>2285</v>
      </c>
      <c r="E1435" s="8" t="s">
        <v>2286</v>
      </c>
      <c r="F1435" s="8" t="s">
        <v>2294</v>
      </c>
      <c r="G1435" s="4" t="s">
        <v>2886</v>
      </c>
      <c r="H1435" s="4" t="s">
        <v>2922</v>
      </c>
      <c r="I1435" s="8" t="s">
        <v>2297</v>
      </c>
      <c r="J1435" s="8" t="s">
        <v>31</v>
      </c>
      <c r="K1435" s="12">
        <f>_xlfn.XLOOKUP(B1435,[1]Sheet1!$B:$B,[1]Sheet1!$N:$N,0)</f>
        <v>0</v>
      </c>
      <c r="L1435" s="12">
        <f>_xlfn.XLOOKUP(B1435,[1]Sheet1!$B:$B,[1]Sheet1!$O:$O,0)</f>
        <v>0</v>
      </c>
      <c r="M1435" s="12">
        <f>_xlfn.XLOOKUP(B1435,[1]Sheet1!$B:$B,[1]Sheet1!$P:$P,0)</f>
        <v>0</v>
      </c>
      <c r="N1435" s="12">
        <f>_xlfn.XLOOKUP(B1435,[1]Sheet1!$B:$B,[1]Sheet1!$Q:$Q,0)</f>
        <v>0</v>
      </c>
      <c r="O1435" s="12">
        <f>_xlfn.XLOOKUP(B1435,[1]Sheet1!$B:$B,[1]Sheet1!$R:$R,0)</f>
        <v>0</v>
      </c>
      <c r="P1435" s="12">
        <f>_xlfn.XLOOKUP(B1435,[1]Sheet1!$B:$B,[1]Sheet1!$S:$S,0)</f>
        <v>0</v>
      </c>
      <c r="Q1435" s="12">
        <f>_xlfn.XLOOKUP(B1435,[1]Sheet1!$B:$B,[1]Sheet1!$T:$T,0)</f>
        <v>0</v>
      </c>
      <c r="R1435" s="12">
        <f>_xlfn.XLOOKUP(B1435,[1]Sheet1!$B:$B,[1]Sheet1!$U:$U,0)</f>
        <v>0</v>
      </c>
      <c r="S1435" s="12">
        <f>_xlfn.XLOOKUP(B1435,[1]Sheet1!$B:$B,[1]Sheet1!$V:$V,0)</f>
        <v>0</v>
      </c>
      <c r="T1435" s="12">
        <f>_xlfn.XLOOKUP(B1435,[1]Sheet1!$B:$B,[1]Sheet1!$W:$W,0)</f>
        <v>0</v>
      </c>
      <c r="U1435" s="12">
        <f>_xlfn.XLOOKUP(B1435,[1]Sheet1!$B:$B,[1]Sheet1!$X:$X,0)</f>
        <v>0</v>
      </c>
      <c r="V1435" s="12">
        <f>_xlfn.XLOOKUP(B1435,[1]Sheet1!$B:$B,[1]Sheet1!$Y:$Y,0)</f>
        <v>0</v>
      </c>
      <c r="W1435" s="12">
        <f t="shared" si="47"/>
        <v>0</v>
      </c>
      <c r="X1435" s="8" t="s">
        <v>2298</v>
      </c>
      <c r="Y1435" s="8" t="s">
        <v>2208</v>
      </c>
      <c r="Z1435" s="8" t="s">
        <v>2289</v>
      </c>
      <c r="AA1435" s="8" t="s">
        <v>2297</v>
      </c>
      <c r="AB1435" s="8" t="s">
        <v>36</v>
      </c>
      <c r="AC1435" s="8" t="s">
        <v>37</v>
      </c>
      <c r="AD1435" s="8" t="s">
        <v>482</v>
      </c>
      <c r="AE1435" s="8" t="s">
        <v>2208</v>
      </c>
      <c r="AF1435" s="8" t="s">
        <v>2211</v>
      </c>
      <c r="AG1435" s="9">
        <v>721705.31</v>
      </c>
      <c r="AH1435" s="11">
        <f>_xlfn.XLOOKUP(B1435,[1]Sheet1!$B:$B,[1]Sheet1!$AB:$AB,0)</f>
        <v>0</v>
      </c>
    </row>
    <row r="1436" spans="2:34" ht="16.8" thickTop="1" thickBot="1" x14ac:dyDescent="0.35">
      <c r="B1436" s="3" t="str">
        <f t="shared" si="46"/>
        <v>451418045170000154510754422213200104</v>
      </c>
      <c r="C1436" s="6" t="s">
        <v>2246</v>
      </c>
      <c r="D1436" s="6" t="s">
        <v>2285</v>
      </c>
      <c r="E1436" s="6" t="s">
        <v>2286</v>
      </c>
      <c r="F1436" s="6" t="s">
        <v>2299</v>
      </c>
      <c r="G1436" s="4" t="s">
        <v>2846</v>
      </c>
      <c r="H1436" s="4" t="s">
        <v>2922</v>
      </c>
      <c r="I1436" s="6" t="s">
        <v>484</v>
      </c>
      <c r="J1436" s="6" t="s">
        <v>31</v>
      </c>
      <c r="K1436" s="12">
        <f>_xlfn.XLOOKUP(B1436,[1]Sheet1!$B:$B,[1]Sheet1!$N:$N,0)</f>
        <v>0</v>
      </c>
      <c r="L1436" s="12">
        <f>_xlfn.XLOOKUP(B1436,[1]Sheet1!$B:$B,[1]Sheet1!$O:$O,0)</f>
        <v>0</v>
      </c>
      <c r="M1436" s="12">
        <f>_xlfn.XLOOKUP(B1436,[1]Sheet1!$B:$B,[1]Sheet1!$P:$P,0)</f>
        <v>0</v>
      </c>
      <c r="N1436" s="12">
        <f>_xlfn.XLOOKUP(B1436,[1]Sheet1!$B:$B,[1]Sheet1!$Q:$Q,0)</f>
        <v>0</v>
      </c>
      <c r="O1436" s="12">
        <f>_xlfn.XLOOKUP(B1436,[1]Sheet1!$B:$B,[1]Sheet1!$R:$R,0)</f>
        <v>0</v>
      </c>
      <c r="P1436" s="12">
        <f>_xlfn.XLOOKUP(B1436,[1]Sheet1!$B:$B,[1]Sheet1!$S:$S,0)</f>
        <v>0</v>
      </c>
      <c r="Q1436" s="12">
        <f>_xlfn.XLOOKUP(B1436,[1]Sheet1!$B:$B,[1]Sheet1!$T:$T,0)</f>
        <v>0</v>
      </c>
      <c r="R1436" s="12">
        <f>_xlfn.XLOOKUP(B1436,[1]Sheet1!$B:$B,[1]Sheet1!$U:$U,0)</f>
        <v>0</v>
      </c>
      <c r="S1436" s="12">
        <f>_xlfn.XLOOKUP(B1436,[1]Sheet1!$B:$B,[1]Sheet1!$V:$V,0)</f>
        <v>0</v>
      </c>
      <c r="T1436" s="12">
        <f>_xlfn.XLOOKUP(B1436,[1]Sheet1!$B:$B,[1]Sheet1!$W:$W,0)</f>
        <v>0</v>
      </c>
      <c r="U1436" s="12">
        <f>_xlfn.XLOOKUP(B1436,[1]Sheet1!$B:$B,[1]Sheet1!$X:$X,0)</f>
        <v>0</v>
      </c>
      <c r="V1436" s="12">
        <f>_xlfn.XLOOKUP(B1436,[1]Sheet1!$B:$B,[1]Sheet1!$Y:$Y,0)</f>
        <v>0</v>
      </c>
      <c r="W1436" s="12">
        <f t="shared" si="47"/>
        <v>0</v>
      </c>
      <c r="X1436" s="6" t="s">
        <v>2295</v>
      </c>
      <c r="Y1436" s="6" t="s">
        <v>2208</v>
      </c>
      <c r="Z1436" s="6" t="s">
        <v>2289</v>
      </c>
      <c r="AA1436" s="6" t="s">
        <v>486</v>
      </c>
      <c r="AB1436" s="6" t="s">
        <v>36</v>
      </c>
      <c r="AC1436" s="6" t="s">
        <v>37</v>
      </c>
      <c r="AD1436" s="6" t="s">
        <v>482</v>
      </c>
      <c r="AE1436" s="6" t="s">
        <v>2208</v>
      </c>
      <c r="AF1436" s="6" t="s">
        <v>2211</v>
      </c>
      <c r="AG1436" s="7">
        <v>80058.5</v>
      </c>
      <c r="AH1436" s="11">
        <f>_xlfn.XLOOKUP(B1436,[1]Sheet1!$B:$B,[1]Sheet1!$AB:$AB,0)</f>
        <v>0</v>
      </c>
    </row>
    <row r="1437" spans="2:34" ht="16.8" thickTop="1" thickBot="1" x14ac:dyDescent="0.35">
      <c r="B1437" s="3" t="str">
        <f t="shared" si="46"/>
        <v>451418045170000154510754422218200104</v>
      </c>
      <c r="C1437" s="8" t="s">
        <v>2246</v>
      </c>
      <c r="D1437" s="8" t="s">
        <v>2285</v>
      </c>
      <c r="E1437" s="8" t="s">
        <v>2286</v>
      </c>
      <c r="F1437" s="8" t="s">
        <v>2299</v>
      </c>
      <c r="G1437" s="4" t="s">
        <v>2867</v>
      </c>
      <c r="H1437" s="4" t="s">
        <v>2922</v>
      </c>
      <c r="I1437" s="8" t="s">
        <v>1174</v>
      </c>
      <c r="J1437" s="8" t="s">
        <v>31</v>
      </c>
      <c r="K1437" s="12">
        <f>_xlfn.XLOOKUP(B1437,[1]Sheet1!$B:$B,[1]Sheet1!$N:$N,0)</f>
        <v>0</v>
      </c>
      <c r="L1437" s="12">
        <f>_xlfn.XLOOKUP(B1437,[1]Sheet1!$B:$B,[1]Sheet1!$O:$O,0)</f>
        <v>0</v>
      </c>
      <c r="M1437" s="12">
        <f>_xlfn.XLOOKUP(B1437,[1]Sheet1!$B:$B,[1]Sheet1!$P:$P,0)</f>
        <v>0</v>
      </c>
      <c r="N1437" s="12">
        <f>_xlfn.XLOOKUP(B1437,[1]Sheet1!$B:$B,[1]Sheet1!$Q:$Q,0)</f>
        <v>0</v>
      </c>
      <c r="O1437" s="12">
        <f>_xlfn.XLOOKUP(B1437,[1]Sheet1!$B:$B,[1]Sheet1!$R:$R,0)</f>
        <v>0</v>
      </c>
      <c r="P1437" s="12">
        <f>_xlfn.XLOOKUP(B1437,[1]Sheet1!$B:$B,[1]Sheet1!$S:$S,0)</f>
        <v>0</v>
      </c>
      <c r="Q1437" s="12">
        <f>_xlfn.XLOOKUP(B1437,[1]Sheet1!$B:$B,[1]Sheet1!$T:$T,0)</f>
        <v>0</v>
      </c>
      <c r="R1437" s="12">
        <f>_xlfn.XLOOKUP(B1437,[1]Sheet1!$B:$B,[1]Sheet1!$U:$U,0)</f>
        <v>0</v>
      </c>
      <c r="S1437" s="12">
        <f>_xlfn.XLOOKUP(B1437,[1]Sheet1!$B:$B,[1]Sheet1!$V:$V,0)</f>
        <v>0</v>
      </c>
      <c r="T1437" s="12">
        <f>_xlfn.XLOOKUP(B1437,[1]Sheet1!$B:$B,[1]Sheet1!$W:$W,0)</f>
        <v>0</v>
      </c>
      <c r="U1437" s="12">
        <f>_xlfn.XLOOKUP(B1437,[1]Sheet1!$B:$B,[1]Sheet1!$X:$X,0)</f>
        <v>0</v>
      </c>
      <c r="V1437" s="12">
        <f>_xlfn.XLOOKUP(B1437,[1]Sheet1!$B:$B,[1]Sheet1!$Y:$Y,0)</f>
        <v>0</v>
      </c>
      <c r="W1437" s="12">
        <f t="shared" si="47"/>
        <v>0</v>
      </c>
      <c r="X1437" s="8" t="s">
        <v>2296</v>
      </c>
      <c r="Y1437" s="8" t="s">
        <v>2208</v>
      </c>
      <c r="Z1437" s="8" t="s">
        <v>2289</v>
      </c>
      <c r="AA1437" s="8" t="s">
        <v>1176</v>
      </c>
      <c r="AB1437" s="8" t="s">
        <v>36</v>
      </c>
      <c r="AC1437" s="8" t="s">
        <v>37</v>
      </c>
      <c r="AD1437" s="8" t="s">
        <v>482</v>
      </c>
      <c r="AE1437" s="8" t="s">
        <v>2208</v>
      </c>
      <c r="AF1437" s="8" t="s">
        <v>2211</v>
      </c>
      <c r="AG1437" s="9">
        <v>501303.6</v>
      </c>
      <c r="AH1437" s="11">
        <f>_xlfn.XLOOKUP(B1437,[1]Sheet1!$B:$B,[1]Sheet1!$AB:$AB,0)</f>
        <v>0</v>
      </c>
    </row>
    <row r="1438" spans="2:34" ht="16.8" thickTop="1" thickBot="1" x14ac:dyDescent="0.35">
      <c r="B1438" s="3" t="str">
        <f t="shared" si="46"/>
        <v>451418045170000154510754422911200104</v>
      </c>
      <c r="C1438" s="6" t="s">
        <v>2246</v>
      </c>
      <c r="D1438" s="6" t="s">
        <v>2285</v>
      </c>
      <c r="E1438" s="6" t="s">
        <v>2286</v>
      </c>
      <c r="F1438" s="6" t="s">
        <v>2299</v>
      </c>
      <c r="G1438" s="4" t="s">
        <v>2863</v>
      </c>
      <c r="H1438" s="4" t="s">
        <v>2922</v>
      </c>
      <c r="I1438" s="6" t="s">
        <v>1009</v>
      </c>
      <c r="J1438" s="6" t="s">
        <v>31</v>
      </c>
      <c r="K1438" s="12">
        <f>_xlfn.XLOOKUP(B1438,[1]Sheet1!$B:$B,[1]Sheet1!$N:$N,0)</f>
        <v>0</v>
      </c>
      <c r="L1438" s="12">
        <f>_xlfn.XLOOKUP(B1438,[1]Sheet1!$B:$B,[1]Sheet1!$O:$O,0)</f>
        <v>0</v>
      </c>
      <c r="M1438" s="12">
        <f>_xlfn.XLOOKUP(B1438,[1]Sheet1!$B:$B,[1]Sheet1!$P:$P,0)</f>
        <v>0</v>
      </c>
      <c r="N1438" s="12">
        <f>_xlfn.XLOOKUP(B1438,[1]Sheet1!$B:$B,[1]Sheet1!$Q:$Q,0)</f>
        <v>0</v>
      </c>
      <c r="O1438" s="12">
        <f>_xlfn.XLOOKUP(B1438,[1]Sheet1!$B:$B,[1]Sheet1!$R:$R,0)</f>
        <v>0</v>
      </c>
      <c r="P1438" s="12">
        <f>_xlfn.XLOOKUP(B1438,[1]Sheet1!$B:$B,[1]Sheet1!$S:$S,0)</f>
        <v>0</v>
      </c>
      <c r="Q1438" s="12">
        <f>_xlfn.XLOOKUP(B1438,[1]Sheet1!$B:$B,[1]Sheet1!$T:$T,0)</f>
        <v>0</v>
      </c>
      <c r="R1438" s="12">
        <f>_xlfn.XLOOKUP(B1438,[1]Sheet1!$B:$B,[1]Sheet1!$U:$U,0)</f>
        <v>0</v>
      </c>
      <c r="S1438" s="12">
        <f>_xlfn.XLOOKUP(B1438,[1]Sheet1!$B:$B,[1]Sheet1!$V:$V,0)</f>
        <v>0</v>
      </c>
      <c r="T1438" s="12">
        <f>_xlfn.XLOOKUP(B1438,[1]Sheet1!$B:$B,[1]Sheet1!$W:$W,0)</f>
        <v>0</v>
      </c>
      <c r="U1438" s="12">
        <f>_xlfn.XLOOKUP(B1438,[1]Sheet1!$B:$B,[1]Sheet1!$X:$X,0)</f>
        <v>0</v>
      </c>
      <c r="V1438" s="12">
        <f>_xlfn.XLOOKUP(B1438,[1]Sheet1!$B:$B,[1]Sheet1!$Y:$Y,0)</f>
        <v>0</v>
      </c>
      <c r="W1438" s="12">
        <f t="shared" si="47"/>
        <v>0</v>
      </c>
      <c r="X1438" s="6" t="s">
        <v>2290</v>
      </c>
      <c r="Y1438" s="6" t="s">
        <v>2208</v>
      </c>
      <c r="Z1438" s="6" t="s">
        <v>2289</v>
      </c>
      <c r="AA1438" s="6" t="s">
        <v>1011</v>
      </c>
      <c r="AB1438" s="6" t="s">
        <v>36</v>
      </c>
      <c r="AC1438" s="6" t="s">
        <v>37</v>
      </c>
      <c r="AD1438" s="6" t="s">
        <v>482</v>
      </c>
      <c r="AE1438" s="6" t="s">
        <v>2208</v>
      </c>
      <c r="AF1438" s="6" t="s">
        <v>2211</v>
      </c>
      <c r="AG1438" s="7">
        <v>998006.02</v>
      </c>
      <c r="AH1438" s="11">
        <f>_xlfn.XLOOKUP(B1438,[1]Sheet1!$B:$B,[1]Sheet1!$AB:$AB,0)</f>
        <v>0</v>
      </c>
    </row>
    <row r="1439" spans="2:34" ht="16.8" thickTop="1" thickBot="1" x14ac:dyDescent="0.35">
      <c r="B1439" s="3" t="str">
        <f t="shared" si="46"/>
        <v>451418045170000154510754423711200104</v>
      </c>
      <c r="C1439" s="8" t="s">
        <v>2246</v>
      </c>
      <c r="D1439" s="8" t="s">
        <v>2285</v>
      </c>
      <c r="E1439" s="8" t="s">
        <v>2286</v>
      </c>
      <c r="F1439" s="8" t="s">
        <v>2299</v>
      </c>
      <c r="G1439" s="4" t="s">
        <v>2878</v>
      </c>
      <c r="H1439" s="4" t="s">
        <v>2922</v>
      </c>
      <c r="I1439" s="8" t="s">
        <v>1826</v>
      </c>
      <c r="J1439" s="8" t="s">
        <v>31</v>
      </c>
      <c r="K1439" s="12">
        <f>_xlfn.XLOOKUP(B1439,[1]Sheet1!$B:$B,[1]Sheet1!$N:$N,0)</f>
        <v>0</v>
      </c>
      <c r="L1439" s="12">
        <f>_xlfn.XLOOKUP(B1439,[1]Sheet1!$B:$B,[1]Sheet1!$O:$O,0)</f>
        <v>0</v>
      </c>
      <c r="M1439" s="12">
        <f>_xlfn.XLOOKUP(B1439,[1]Sheet1!$B:$B,[1]Sheet1!$P:$P,0)</f>
        <v>0</v>
      </c>
      <c r="N1439" s="12">
        <f>_xlfn.XLOOKUP(B1439,[1]Sheet1!$B:$B,[1]Sheet1!$Q:$Q,0)</f>
        <v>0</v>
      </c>
      <c r="O1439" s="12">
        <f>_xlfn.XLOOKUP(B1439,[1]Sheet1!$B:$B,[1]Sheet1!$R:$R,0)</f>
        <v>0</v>
      </c>
      <c r="P1439" s="12">
        <f>_xlfn.XLOOKUP(B1439,[1]Sheet1!$B:$B,[1]Sheet1!$S:$S,0)</f>
        <v>0</v>
      </c>
      <c r="Q1439" s="12">
        <f>_xlfn.XLOOKUP(B1439,[1]Sheet1!$B:$B,[1]Sheet1!$T:$T,0)</f>
        <v>0</v>
      </c>
      <c r="R1439" s="12">
        <f>_xlfn.XLOOKUP(B1439,[1]Sheet1!$B:$B,[1]Sheet1!$U:$U,0)</f>
        <v>0</v>
      </c>
      <c r="S1439" s="12">
        <f>_xlfn.XLOOKUP(B1439,[1]Sheet1!$B:$B,[1]Sheet1!$V:$V,0)</f>
        <v>0</v>
      </c>
      <c r="T1439" s="12">
        <f>_xlfn.XLOOKUP(B1439,[1]Sheet1!$B:$B,[1]Sheet1!$W:$W,0)</f>
        <v>0</v>
      </c>
      <c r="U1439" s="12">
        <f>_xlfn.XLOOKUP(B1439,[1]Sheet1!$B:$B,[1]Sheet1!$X:$X,0)</f>
        <v>0</v>
      </c>
      <c r="V1439" s="12">
        <f>_xlfn.XLOOKUP(B1439,[1]Sheet1!$B:$B,[1]Sheet1!$Y:$Y,0)</f>
        <v>0</v>
      </c>
      <c r="W1439" s="12">
        <f t="shared" si="47"/>
        <v>0</v>
      </c>
      <c r="X1439" s="8" t="s">
        <v>2291</v>
      </c>
      <c r="Y1439" s="8" t="s">
        <v>2208</v>
      </c>
      <c r="Z1439" s="8" t="s">
        <v>2289</v>
      </c>
      <c r="AA1439" s="8" t="s">
        <v>1828</v>
      </c>
      <c r="AB1439" s="8" t="s">
        <v>36</v>
      </c>
      <c r="AC1439" s="8" t="s">
        <v>37</v>
      </c>
      <c r="AD1439" s="8" t="s">
        <v>482</v>
      </c>
      <c r="AE1439" s="8" t="s">
        <v>2208</v>
      </c>
      <c r="AF1439" s="8" t="s">
        <v>2211</v>
      </c>
      <c r="AG1439" s="9">
        <v>38669.32</v>
      </c>
      <c r="AH1439" s="11">
        <f>_xlfn.XLOOKUP(B1439,[1]Sheet1!$B:$B,[1]Sheet1!$AB:$AB,0)</f>
        <v>0</v>
      </c>
    </row>
    <row r="1440" spans="2:34" ht="16.8" thickTop="1" thickBot="1" x14ac:dyDescent="0.35">
      <c r="B1440" s="3" t="str">
        <f t="shared" si="46"/>
        <v>451418045170000154510754425303200104</v>
      </c>
      <c r="C1440" s="6" t="s">
        <v>2246</v>
      </c>
      <c r="D1440" s="6" t="s">
        <v>2285</v>
      </c>
      <c r="E1440" s="6" t="s">
        <v>2286</v>
      </c>
      <c r="F1440" s="6" t="s">
        <v>2299</v>
      </c>
      <c r="G1440" s="4" t="s">
        <v>2887</v>
      </c>
      <c r="H1440" s="4" t="s">
        <v>2922</v>
      </c>
      <c r="I1440" s="6" t="s">
        <v>2300</v>
      </c>
      <c r="J1440" s="6" t="s">
        <v>31</v>
      </c>
      <c r="K1440" s="12">
        <f>_xlfn.XLOOKUP(B1440,[1]Sheet1!$B:$B,[1]Sheet1!$N:$N,0)</f>
        <v>0</v>
      </c>
      <c r="L1440" s="12">
        <f>_xlfn.XLOOKUP(B1440,[1]Sheet1!$B:$B,[1]Sheet1!$O:$O,0)</f>
        <v>0</v>
      </c>
      <c r="M1440" s="12">
        <f>_xlfn.XLOOKUP(B1440,[1]Sheet1!$B:$B,[1]Sheet1!$P:$P,0)</f>
        <v>0</v>
      </c>
      <c r="N1440" s="12">
        <f>_xlfn.XLOOKUP(B1440,[1]Sheet1!$B:$B,[1]Sheet1!$Q:$Q,0)</f>
        <v>0</v>
      </c>
      <c r="O1440" s="12">
        <f>_xlfn.XLOOKUP(B1440,[1]Sheet1!$B:$B,[1]Sheet1!$R:$R,0)</f>
        <v>0</v>
      </c>
      <c r="P1440" s="12">
        <f>_xlfn.XLOOKUP(B1440,[1]Sheet1!$B:$B,[1]Sheet1!$S:$S,0)</f>
        <v>0</v>
      </c>
      <c r="Q1440" s="12">
        <f>_xlfn.XLOOKUP(B1440,[1]Sheet1!$B:$B,[1]Sheet1!$T:$T,0)</f>
        <v>0</v>
      </c>
      <c r="R1440" s="12">
        <f>_xlfn.XLOOKUP(B1440,[1]Sheet1!$B:$B,[1]Sheet1!$U:$U,0)</f>
        <v>0</v>
      </c>
      <c r="S1440" s="12">
        <f>_xlfn.XLOOKUP(B1440,[1]Sheet1!$B:$B,[1]Sheet1!$V:$V,0)</f>
        <v>0</v>
      </c>
      <c r="T1440" s="12">
        <f>_xlfn.XLOOKUP(B1440,[1]Sheet1!$B:$B,[1]Sheet1!$W:$W,0)</f>
        <v>0</v>
      </c>
      <c r="U1440" s="12">
        <f>_xlfn.XLOOKUP(B1440,[1]Sheet1!$B:$B,[1]Sheet1!$X:$X,0)</f>
        <v>0</v>
      </c>
      <c r="V1440" s="12">
        <f>_xlfn.XLOOKUP(B1440,[1]Sheet1!$B:$B,[1]Sheet1!$Y:$Y,0)</f>
        <v>0</v>
      </c>
      <c r="W1440" s="12">
        <f t="shared" si="47"/>
        <v>0</v>
      </c>
      <c r="X1440" s="6" t="s">
        <v>2301</v>
      </c>
      <c r="Y1440" s="6" t="s">
        <v>2208</v>
      </c>
      <c r="Z1440" s="6" t="s">
        <v>2289</v>
      </c>
      <c r="AA1440" s="6" t="s">
        <v>2300</v>
      </c>
      <c r="AB1440" s="6" t="s">
        <v>36</v>
      </c>
      <c r="AC1440" s="6" t="s">
        <v>37</v>
      </c>
      <c r="AD1440" s="6" t="s">
        <v>482</v>
      </c>
      <c r="AE1440" s="6" t="s">
        <v>2208</v>
      </c>
      <c r="AF1440" s="6" t="s">
        <v>2211</v>
      </c>
      <c r="AG1440" s="7">
        <v>11415</v>
      </c>
      <c r="AH1440" s="11">
        <f>_xlfn.XLOOKUP(B1440,[1]Sheet1!$B:$B,[1]Sheet1!$AB:$AB,0)</f>
        <v>0</v>
      </c>
    </row>
    <row r="1441" spans="2:34" ht="16.8" thickTop="1" thickBot="1" x14ac:dyDescent="0.35">
      <c r="B1441" s="3" t="str">
        <f t="shared" si="46"/>
        <v>451418045170000154510754425308200104</v>
      </c>
      <c r="C1441" s="8" t="s">
        <v>2246</v>
      </c>
      <c r="D1441" s="8" t="s">
        <v>2285</v>
      </c>
      <c r="E1441" s="8" t="s">
        <v>2286</v>
      </c>
      <c r="F1441" s="8" t="s">
        <v>2299</v>
      </c>
      <c r="G1441" s="4" t="s">
        <v>2886</v>
      </c>
      <c r="H1441" s="4" t="s">
        <v>2922</v>
      </c>
      <c r="I1441" s="8" t="s">
        <v>2297</v>
      </c>
      <c r="J1441" s="8" t="s">
        <v>31</v>
      </c>
      <c r="K1441" s="12">
        <f>_xlfn.XLOOKUP(B1441,[1]Sheet1!$B:$B,[1]Sheet1!$N:$N,0)</f>
        <v>0</v>
      </c>
      <c r="L1441" s="12">
        <f>_xlfn.XLOOKUP(B1441,[1]Sheet1!$B:$B,[1]Sheet1!$O:$O,0)</f>
        <v>0</v>
      </c>
      <c r="M1441" s="12">
        <f>_xlfn.XLOOKUP(B1441,[1]Sheet1!$B:$B,[1]Sheet1!$P:$P,0)</f>
        <v>0</v>
      </c>
      <c r="N1441" s="12">
        <f>_xlfn.XLOOKUP(B1441,[1]Sheet1!$B:$B,[1]Sheet1!$Q:$Q,0)</f>
        <v>0</v>
      </c>
      <c r="O1441" s="12">
        <f>_xlfn.XLOOKUP(B1441,[1]Sheet1!$B:$B,[1]Sheet1!$R:$R,0)</f>
        <v>0</v>
      </c>
      <c r="P1441" s="12">
        <f>_xlfn.XLOOKUP(B1441,[1]Sheet1!$B:$B,[1]Sheet1!$S:$S,0)</f>
        <v>0</v>
      </c>
      <c r="Q1441" s="12">
        <f>_xlfn.XLOOKUP(B1441,[1]Sheet1!$B:$B,[1]Sheet1!$T:$T,0)</f>
        <v>0</v>
      </c>
      <c r="R1441" s="12">
        <f>_xlfn.XLOOKUP(B1441,[1]Sheet1!$B:$B,[1]Sheet1!$U:$U,0)</f>
        <v>0</v>
      </c>
      <c r="S1441" s="12">
        <f>_xlfn.XLOOKUP(B1441,[1]Sheet1!$B:$B,[1]Sheet1!$V:$V,0)</f>
        <v>0</v>
      </c>
      <c r="T1441" s="12">
        <f>_xlfn.XLOOKUP(B1441,[1]Sheet1!$B:$B,[1]Sheet1!$W:$W,0)</f>
        <v>0</v>
      </c>
      <c r="U1441" s="12">
        <f>_xlfn.XLOOKUP(B1441,[1]Sheet1!$B:$B,[1]Sheet1!$X:$X,0)</f>
        <v>0</v>
      </c>
      <c r="V1441" s="12">
        <f>_xlfn.XLOOKUP(B1441,[1]Sheet1!$B:$B,[1]Sheet1!$Y:$Y,0)</f>
        <v>0</v>
      </c>
      <c r="W1441" s="12">
        <f t="shared" si="47"/>
        <v>0</v>
      </c>
      <c r="X1441" s="8" t="s">
        <v>2298</v>
      </c>
      <c r="Y1441" s="8" t="s">
        <v>2208</v>
      </c>
      <c r="Z1441" s="8" t="s">
        <v>2289</v>
      </c>
      <c r="AA1441" s="8" t="s">
        <v>2297</v>
      </c>
      <c r="AB1441" s="8" t="s">
        <v>36</v>
      </c>
      <c r="AC1441" s="8" t="s">
        <v>37</v>
      </c>
      <c r="AD1441" s="8" t="s">
        <v>482</v>
      </c>
      <c r="AE1441" s="8" t="s">
        <v>2208</v>
      </c>
      <c r="AF1441" s="8" t="s">
        <v>2211</v>
      </c>
      <c r="AG1441" s="9">
        <v>186610.41</v>
      </c>
      <c r="AH1441" s="11">
        <f>_xlfn.XLOOKUP(B1441,[1]Sheet1!$B:$B,[1]Sheet1!$AB:$AB,0)</f>
        <v>0</v>
      </c>
    </row>
    <row r="1442" spans="2:34" ht="16.8" thickTop="1" thickBot="1" x14ac:dyDescent="0.35">
      <c r="B1442" s="3" t="str">
        <f t="shared" si="46"/>
        <v>451418045170000154510755422213200104</v>
      </c>
      <c r="C1442" s="6" t="s">
        <v>2246</v>
      </c>
      <c r="D1442" s="6" t="s">
        <v>2285</v>
      </c>
      <c r="E1442" s="6" t="s">
        <v>2286</v>
      </c>
      <c r="F1442" s="6" t="s">
        <v>2302</v>
      </c>
      <c r="G1442" s="4" t="s">
        <v>2846</v>
      </c>
      <c r="H1442" s="4" t="s">
        <v>2922</v>
      </c>
      <c r="I1442" s="6" t="s">
        <v>484</v>
      </c>
      <c r="J1442" s="6" t="s">
        <v>31</v>
      </c>
      <c r="K1442" s="12">
        <f>_xlfn.XLOOKUP(B1442,[1]Sheet1!$B:$B,[1]Sheet1!$N:$N,0)</f>
        <v>0</v>
      </c>
      <c r="L1442" s="12">
        <f>_xlfn.XLOOKUP(B1442,[1]Sheet1!$B:$B,[1]Sheet1!$O:$O,0)</f>
        <v>0</v>
      </c>
      <c r="M1442" s="12">
        <f>_xlfn.XLOOKUP(B1442,[1]Sheet1!$B:$B,[1]Sheet1!$P:$P,0)</f>
        <v>0</v>
      </c>
      <c r="N1442" s="12">
        <f>_xlfn.XLOOKUP(B1442,[1]Sheet1!$B:$B,[1]Sheet1!$Q:$Q,0)</f>
        <v>0</v>
      </c>
      <c r="O1442" s="12">
        <f>_xlfn.XLOOKUP(B1442,[1]Sheet1!$B:$B,[1]Sheet1!$R:$R,0)</f>
        <v>0</v>
      </c>
      <c r="P1442" s="12">
        <f>_xlfn.XLOOKUP(B1442,[1]Sheet1!$B:$B,[1]Sheet1!$S:$S,0)</f>
        <v>0</v>
      </c>
      <c r="Q1442" s="12">
        <f>_xlfn.XLOOKUP(B1442,[1]Sheet1!$B:$B,[1]Sheet1!$T:$T,0)</f>
        <v>0</v>
      </c>
      <c r="R1442" s="12">
        <f>_xlfn.XLOOKUP(B1442,[1]Sheet1!$B:$B,[1]Sheet1!$U:$U,0)</f>
        <v>0</v>
      </c>
      <c r="S1442" s="12">
        <f>_xlfn.XLOOKUP(B1442,[1]Sheet1!$B:$B,[1]Sheet1!$V:$V,0)</f>
        <v>0</v>
      </c>
      <c r="T1442" s="12">
        <f>_xlfn.XLOOKUP(B1442,[1]Sheet1!$B:$B,[1]Sheet1!$W:$W,0)</f>
        <v>0</v>
      </c>
      <c r="U1442" s="12">
        <f>_xlfn.XLOOKUP(B1442,[1]Sheet1!$B:$B,[1]Sheet1!$X:$X,0)</f>
        <v>0</v>
      </c>
      <c r="V1442" s="12">
        <f>_xlfn.XLOOKUP(B1442,[1]Sheet1!$B:$B,[1]Sheet1!$Y:$Y,0)</f>
        <v>0</v>
      </c>
      <c r="W1442" s="12">
        <f t="shared" si="47"/>
        <v>0</v>
      </c>
      <c r="X1442" s="6" t="s">
        <v>2295</v>
      </c>
      <c r="Y1442" s="6" t="s">
        <v>2208</v>
      </c>
      <c r="Z1442" s="6" t="s">
        <v>2289</v>
      </c>
      <c r="AA1442" s="6" t="s">
        <v>486</v>
      </c>
      <c r="AB1442" s="6" t="s">
        <v>36</v>
      </c>
      <c r="AC1442" s="6" t="s">
        <v>37</v>
      </c>
      <c r="AD1442" s="6" t="s">
        <v>482</v>
      </c>
      <c r="AE1442" s="6" t="s">
        <v>2208</v>
      </c>
      <c r="AF1442" s="6" t="s">
        <v>2211</v>
      </c>
      <c r="AG1442" s="7">
        <v>80058.5</v>
      </c>
      <c r="AH1442" s="11">
        <f>_xlfn.XLOOKUP(B1442,[1]Sheet1!$B:$B,[1]Sheet1!$AB:$AB,0)</f>
        <v>0</v>
      </c>
    </row>
    <row r="1443" spans="2:34" ht="16.8" thickTop="1" thickBot="1" x14ac:dyDescent="0.35">
      <c r="B1443" s="3" t="str">
        <f t="shared" si="46"/>
        <v>451418045170000154510755422218200104</v>
      </c>
      <c r="C1443" s="8" t="s">
        <v>2246</v>
      </c>
      <c r="D1443" s="8" t="s">
        <v>2285</v>
      </c>
      <c r="E1443" s="8" t="s">
        <v>2286</v>
      </c>
      <c r="F1443" s="8" t="s">
        <v>2302</v>
      </c>
      <c r="G1443" s="4" t="s">
        <v>2867</v>
      </c>
      <c r="H1443" s="4" t="s">
        <v>2922</v>
      </c>
      <c r="I1443" s="8" t="s">
        <v>1174</v>
      </c>
      <c r="J1443" s="8" t="s">
        <v>31</v>
      </c>
      <c r="K1443" s="12">
        <f>_xlfn.XLOOKUP(B1443,[1]Sheet1!$B:$B,[1]Sheet1!$N:$N,0)</f>
        <v>0</v>
      </c>
      <c r="L1443" s="12">
        <f>_xlfn.XLOOKUP(B1443,[1]Sheet1!$B:$B,[1]Sheet1!$O:$O,0)</f>
        <v>0</v>
      </c>
      <c r="M1443" s="12">
        <f>_xlfn.XLOOKUP(B1443,[1]Sheet1!$B:$B,[1]Sheet1!$P:$P,0)</f>
        <v>0</v>
      </c>
      <c r="N1443" s="12">
        <f>_xlfn.XLOOKUP(B1443,[1]Sheet1!$B:$B,[1]Sheet1!$Q:$Q,0)</f>
        <v>0</v>
      </c>
      <c r="O1443" s="12">
        <f>_xlfn.XLOOKUP(B1443,[1]Sheet1!$B:$B,[1]Sheet1!$R:$R,0)</f>
        <v>0</v>
      </c>
      <c r="P1443" s="12">
        <f>_xlfn.XLOOKUP(B1443,[1]Sheet1!$B:$B,[1]Sheet1!$S:$S,0)</f>
        <v>0</v>
      </c>
      <c r="Q1443" s="12">
        <f>_xlfn.XLOOKUP(B1443,[1]Sheet1!$B:$B,[1]Sheet1!$T:$T,0)</f>
        <v>0</v>
      </c>
      <c r="R1443" s="12">
        <f>_xlfn.XLOOKUP(B1443,[1]Sheet1!$B:$B,[1]Sheet1!$U:$U,0)</f>
        <v>0</v>
      </c>
      <c r="S1443" s="12">
        <f>_xlfn.XLOOKUP(B1443,[1]Sheet1!$B:$B,[1]Sheet1!$V:$V,0)</f>
        <v>0</v>
      </c>
      <c r="T1443" s="12">
        <f>_xlfn.XLOOKUP(B1443,[1]Sheet1!$B:$B,[1]Sheet1!$W:$W,0)</f>
        <v>0</v>
      </c>
      <c r="U1443" s="12">
        <f>_xlfn.XLOOKUP(B1443,[1]Sheet1!$B:$B,[1]Sheet1!$X:$X,0)</f>
        <v>0</v>
      </c>
      <c r="V1443" s="12">
        <f>_xlfn.XLOOKUP(B1443,[1]Sheet1!$B:$B,[1]Sheet1!$Y:$Y,0)</f>
        <v>0</v>
      </c>
      <c r="W1443" s="12">
        <f t="shared" si="47"/>
        <v>0</v>
      </c>
      <c r="X1443" s="8" t="s">
        <v>2296</v>
      </c>
      <c r="Y1443" s="8" t="s">
        <v>2208</v>
      </c>
      <c r="Z1443" s="8" t="s">
        <v>2289</v>
      </c>
      <c r="AA1443" s="8" t="s">
        <v>1176</v>
      </c>
      <c r="AB1443" s="8" t="s">
        <v>36</v>
      </c>
      <c r="AC1443" s="8" t="s">
        <v>37</v>
      </c>
      <c r="AD1443" s="8" t="s">
        <v>482</v>
      </c>
      <c r="AE1443" s="8" t="s">
        <v>2208</v>
      </c>
      <c r="AF1443" s="8" t="s">
        <v>2211</v>
      </c>
      <c r="AG1443" s="9">
        <v>501303.6</v>
      </c>
      <c r="AH1443" s="11">
        <f>_xlfn.XLOOKUP(B1443,[1]Sheet1!$B:$B,[1]Sheet1!$AB:$AB,0)</f>
        <v>0</v>
      </c>
    </row>
    <row r="1444" spans="2:34" ht="16.8" thickTop="1" thickBot="1" x14ac:dyDescent="0.35">
      <c r="B1444" s="3" t="str">
        <f t="shared" si="46"/>
        <v>451418045170000154510755422911200104</v>
      </c>
      <c r="C1444" s="6" t="s">
        <v>2246</v>
      </c>
      <c r="D1444" s="6" t="s">
        <v>2285</v>
      </c>
      <c r="E1444" s="6" t="s">
        <v>2286</v>
      </c>
      <c r="F1444" s="6" t="s">
        <v>2302</v>
      </c>
      <c r="G1444" s="4" t="s">
        <v>2863</v>
      </c>
      <c r="H1444" s="4" t="s">
        <v>2922</v>
      </c>
      <c r="I1444" s="6" t="s">
        <v>1009</v>
      </c>
      <c r="J1444" s="6" t="s">
        <v>31</v>
      </c>
      <c r="K1444" s="12">
        <f>_xlfn.XLOOKUP(B1444,[1]Sheet1!$B:$B,[1]Sheet1!$N:$N,0)</f>
        <v>0</v>
      </c>
      <c r="L1444" s="12">
        <f>_xlfn.XLOOKUP(B1444,[1]Sheet1!$B:$B,[1]Sheet1!$O:$O,0)</f>
        <v>0</v>
      </c>
      <c r="M1444" s="12">
        <f>_xlfn.XLOOKUP(B1444,[1]Sheet1!$B:$B,[1]Sheet1!$P:$P,0)</f>
        <v>0</v>
      </c>
      <c r="N1444" s="12">
        <f>_xlfn.XLOOKUP(B1444,[1]Sheet1!$B:$B,[1]Sheet1!$Q:$Q,0)</f>
        <v>0</v>
      </c>
      <c r="O1444" s="12">
        <f>_xlfn.XLOOKUP(B1444,[1]Sheet1!$B:$B,[1]Sheet1!$R:$R,0)</f>
        <v>0</v>
      </c>
      <c r="P1444" s="12">
        <f>_xlfn.XLOOKUP(B1444,[1]Sheet1!$B:$B,[1]Sheet1!$S:$S,0)</f>
        <v>0</v>
      </c>
      <c r="Q1444" s="12">
        <f>_xlfn.XLOOKUP(B1444,[1]Sheet1!$B:$B,[1]Sheet1!$T:$T,0)</f>
        <v>0</v>
      </c>
      <c r="R1444" s="12">
        <f>_xlfn.XLOOKUP(B1444,[1]Sheet1!$B:$B,[1]Sheet1!$U:$U,0)</f>
        <v>0</v>
      </c>
      <c r="S1444" s="12">
        <f>_xlfn.XLOOKUP(B1444,[1]Sheet1!$B:$B,[1]Sheet1!$V:$V,0)</f>
        <v>0</v>
      </c>
      <c r="T1444" s="12">
        <f>_xlfn.XLOOKUP(B1444,[1]Sheet1!$B:$B,[1]Sheet1!$W:$W,0)</f>
        <v>0</v>
      </c>
      <c r="U1444" s="12">
        <f>_xlfn.XLOOKUP(B1444,[1]Sheet1!$B:$B,[1]Sheet1!$X:$X,0)</f>
        <v>0</v>
      </c>
      <c r="V1444" s="12">
        <f>_xlfn.XLOOKUP(B1444,[1]Sheet1!$B:$B,[1]Sheet1!$Y:$Y,0)</f>
        <v>0</v>
      </c>
      <c r="W1444" s="12">
        <f t="shared" si="47"/>
        <v>0</v>
      </c>
      <c r="X1444" s="6" t="s">
        <v>2290</v>
      </c>
      <c r="Y1444" s="6" t="s">
        <v>2208</v>
      </c>
      <c r="Z1444" s="6" t="s">
        <v>2289</v>
      </c>
      <c r="AA1444" s="6" t="s">
        <v>1011</v>
      </c>
      <c r="AB1444" s="6" t="s">
        <v>36</v>
      </c>
      <c r="AC1444" s="6" t="s">
        <v>37</v>
      </c>
      <c r="AD1444" s="6" t="s">
        <v>482</v>
      </c>
      <c r="AE1444" s="6" t="s">
        <v>2208</v>
      </c>
      <c r="AF1444" s="6" t="s">
        <v>2211</v>
      </c>
      <c r="AG1444" s="7">
        <v>769496.01</v>
      </c>
      <c r="AH1444" s="11">
        <f>_xlfn.XLOOKUP(B1444,[1]Sheet1!$B:$B,[1]Sheet1!$AB:$AB,0)</f>
        <v>0</v>
      </c>
    </row>
    <row r="1445" spans="2:34" ht="16.8" thickTop="1" thickBot="1" x14ac:dyDescent="0.35">
      <c r="B1445" s="3" t="str">
        <f t="shared" si="46"/>
        <v>451418045170000154510755423711200104</v>
      </c>
      <c r="C1445" s="8" t="s">
        <v>2246</v>
      </c>
      <c r="D1445" s="8" t="s">
        <v>2285</v>
      </c>
      <c r="E1445" s="8" t="s">
        <v>2286</v>
      </c>
      <c r="F1445" s="8" t="s">
        <v>2302</v>
      </c>
      <c r="G1445" s="4" t="s">
        <v>2878</v>
      </c>
      <c r="H1445" s="4" t="s">
        <v>2922</v>
      </c>
      <c r="I1445" s="8" t="s">
        <v>1826</v>
      </c>
      <c r="J1445" s="8" t="s">
        <v>31</v>
      </c>
      <c r="K1445" s="12">
        <f>_xlfn.XLOOKUP(B1445,[1]Sheet1!$B:$B,[1]Sheet1!$N:$N,0)</f>
        <v>0</v>
      </c>
      <c r="L1445" s="12">
        <f>_xlfn.XLOOKUP(B1445,[1]Sheet1!$B:$B,[1]Sheet1!$O:$O,0)</f>
        <v>0</v>
      </c>
      <c r="M1445" s="12">
        <f>_xlfn.XLOOKUP(B1445,[1]Sheet1!$B:$B,[1]Sheet1!$P:$P,0)</f>
        <v>0</v>
      </c>
      <c r="N1445" s="12">
        <f>_xlfn.XLOOKUP(B1445,[1]Sheet1!$B:$B,[1]Sheet1!$Q:$Q,0)</f>
        <v>0</v>
      </c>
      <c r="O1445" s="12">
        <f>_xlfn.XLOOKUP(B1445,[1]Sheet1!$B:$B,[1]Sheet1!$R:$R,0)</f>
        <v>0</v>
      </c>
      <c r="P1445" s="12">
        <f>_xlfn.XLOOKUP(B1445,[1]Sheet1!$B:$B,[1]Sheet1!$S:$S,0)</f>
        <v>0</v>
      </c>
      <c r="Q1445" s="12">
        <f>_xlfn.XLOOKUP(B1445,[1]Sheet1!$B:$B,[1]Sheet1!$T:$T,0)</f>
        <v>0</v>
      </c>
      <c r="R1445" s="12">
        <f>_xlfn.XLOOKUP(B1445,[1]Sheet1!$B:$B,[1]Sheet1!$U:$U,0)</f>
        <v>0</v>
      </c>
      <c r="S1445" s="12">
        <f>_xlfn.XLOOKUP(B1445,[1]Sheet1!$B:$B,[1]Sheet1!$V:$V,0)</f>
        <v>0</v>
      </c>
      <c r="T1445" s="12">
        <f>_xlfn.XLOOKUP(B1445,[1]Sheet1!$B:$B,[1]Sheet1!$W:$W,0)</f>
        <v>0</v>
      </c>
      <c r="U1445" s="12">
        <f>_xlfn.XLOOKUP(B1445,[1]Sheet1!$B:$B,[1]Sheet1!$X:$X,0)</f>
        <v>0</v>
      </c>
      <c r="V1445" s="12">
        <f>_xlfn.XLOOKUP(B1445,[1]Sheet1!$B:$B,[1]Sheet1!$Y:$Y,0)</f>
        <v>0</v>
      </c>
      <c r="W1445" s="12">
        <f t="shared" si="47"/>
        <v>0</v>
      </c>
      <c r="X1445" s="8" t="s">
        <v>2291</v>
      </c>
      <c r="Y1445" s="8" t="s">
        <v>2208</v>
      </c>
      <c r="Z1445" s="8" t="s">
        <v>2289</v>
      </c>
      <c r="AA1445" s="8" t="s">
        <v>1828</v>
      </c>
      <c r="AB1445" s="8" t="s">
        <v>36</v>
      </c>
      <c r="AC1445" s="8" t="s">
        <v>37</v>
      </c>
      <c r="AD1445" s="8" t="s">
        <v>482</v>
      </c>
      <c r="AE1445" s="8" t="s">
        <v>2208</v>
      </c>
      <c r="AF1445" s="8" t="s">
        <v>2211</v>
      </c>
      <c r="AG1445" s="9">
        <v>35965.26</v>
      </c>
      <c r="AH1445" s="11">
        <f>_xlfn.XLOOKUP(B1445,[1]Sheet1!$B:$B,[1]Sheet1!$AB:$AB,0)</f>
        <v>0</v>
      </c>
    </row>
    <row r="1446" spans="2:34" ht="16.8" thickTop="1" thickBot="1" x14ac:dyDescent="0.35">
      <c r="B1446" s="3" t="str">
        <f t="shared" si="46"/>
        <v>451418045170000154510755425308200104</v>
      </c>
      <c r="C1446" s="6" t="s">
        <v>2246</v>
      </c>
      <c r="D1446" s="6" t="s">
        <v>2285</v>
      </c>
      <c r="E1446" s="6" t="s">
        <v>2286</v>
      </c>
      <c r="F1446" s="6" t="s">
        <v>2302</v>
      </c>
      <c r="G1446" s="4" t="s">
        <v>2886</v>
      </c>
      <c r="H1446" s="4" t="s">
        <v>2922</v>
      </c>
      <c r="I1446" s="6" t="s">
        <v>2297</v>
      </c>
      <c r="J1446" s="6" t="s">
        <v>31</v>
      </c>
      <c r="K1446" s="12">
        <f>_xlfn.XLOOKUP(B1446,[1]Sheet1!$B:$B,[1]Sheet1!$N:$N,0)</f>
        <v>0</v>
      </c>
      <c r="L1446" s="12">
        <f>_xlfn.XLOOKUP(B1446,[1]Sheet1!$B:$B,[1]Sheet1!$O:$O,0)</f>
        <v>0</v>
      </c>
      <c r="M1446" s="12">
        <f>_xlfn.XLOOKUP(B1446,[1]Sheet1!$B:$B,[1]Sheet1!$P:$P,0)</f>
        <v>0</v>
      </c>
      <c r="N1446" s="12">
        <f>_xlfn.XLOOKUP(B1446,[1]Sheet1!$B:$B,[1]Sheet1!$Q:$Q,0)</f>
        <v>0</v>
      </c>
      <c r="O1446" s="12">
        <f>_xlfn.XLOOKUP(B1446,[1]Sheet1!$B:$B,[1]Sheet1!$R:$R,0)</f>
        <v>0</v>
      </c>
      <c r="P1446" s="12">
        <f>_xlfn.XLOOKUP(B1446,[1]Sheet1!$B:$B,[1]Sheet1!$S:$S,0)</f>
        <v>0</v>
      </c>
      <c r="Q1446" s="12">
        <f>_xlfn.XLOOKUP(B1446,[1]Sheet1!$B:$B,[1]Sheet1!$T:$T,0)</f>
        <v>0</v>
      </c>
      <c r="R1446" s="12">
        <f>_xlfn.XLOOKUP(B1446,[1]Sheet1!$B:$B,[1]Sheet1!$U:$U,0)</f>
        <v>0</v>
      </c>
      <c r="S1446" s="12">
        <f>_xlfn.XLOOKUP(B1446,[1]Sheet1!$B:$B,[1]Sheet1!$V:$V,0)</f>
        <v>0</v>
      </c>
      <c r="T1446" s="12">
        <f>_xlfn.XLOOKUP(B1446,[1]Sheet1!$B:$B,[1]Sheet1!$W:$W,0)</f>
        <v>0</v>
      </c>
      <c r="U1446" s="12">
        <f>_xlfn.XLOOKUP(B1446,[1]Sheet1!$B:$B,[1]Sheet1!$X:$X,0)</f>
        <v>0</v>
      </c>
      <c r="V1446" s="12">
        <f>_xlfn.XLOOKUP(B1446,[1]Sheet1!$B:$B,[1]Sheet1!$Y:$Y,0)</f>
        <v>0</v>
      </c>
      <c r="W1446" s="12">
        <f t="shared" si="47"/>
        <v>0</v>
      </c>
      <c r="X1446" s="6" t="s">
        <v>2298</v>
      </c>
      <c r="Y1446" s="6" t="s">
        <v>2208</v>
      </c>
      <c r="Z1446" s="6" t="s">
        <v>2289</v>
      </c>
      <c r="AA1446" s="6" t="s">
        <v>2297</v>
      </c>
      <c r="AB1446" s="6" t="s">
        <v>36</v>
      </c>
      <c r="AC1446" s="6" t="s">
        <v>37</v>
      </c>
      <c r="AD1446" s="6" t="s">
        <v>482</v>
      </c>
      <c r="AE1446" s="6" t="s">
        <v>2208</v>
      </c>
      <c r="AF1446" s="6" t="s">
        <v>2211</v>
      </c>
      <c r="AG1446" s="7">
        <v>2101396.4300000002</v>
      </c>
      <c r="AH1446" s="11">
        <f>_xlfn.XLOOKUP(B1446,[1]Sheet1!$B:$B,[1]Sheet1!$AB:$AB,0)</f>
        <v>0</v>
      </c>
    </row>
    <row r="1447" spans="2:34" ht="16.8" thickTop="1" thickBot="1" x14ac:dyDescent="0.35">
      <c r="B1447" s="3" t="str">
        <f t="shared" si="46"/>
        <v>451418045170000154510756422213200104</v>
      </c>
      <c r="C1447" s="8" t="s">
        <v>2246</v>
      </c>
      <c r="D1447" s="8" t="s">
        <v>2285</v>
      </c>
      <c r="E1447" s="8" t="s">
        <v>2286</v>
      </c>
      <c r="F1447" s="8" t="s">
        <v>2303</v>
      </c>
      <c r="G1447" s="4" t="s">
        <v>2846</v>
      </c>
      <c r="H1447" s="4" t="s">
        <v>2922</v>
      </c>
      <c r="I1447" s="8" t="s">
        <v>484</v>
      </c>
      <c r="J1447" s="8" t="s">
        <v>31</v>
      </c>
      <c r="K1447" s="12">
        <f>_xlfn.XLOOKUP(B1447,[1]Sheet1!$B:$B,[1]Sheet1!$N:$N,0)</f>
        <v>0</v>
      </c>
      <c r="L1447" s="12">
        <f>_xlfn.XLOOKUP(B1447,[1]Sheet1!$B:$B,[1]Sheet1!$O:$O,0)</f>
        <v>0</v>
      </c>
      <c r="M1447" s="12">
        <f>_xlfn.XLOOKUP(B1447,[1]Sheet1!$B:$B,[1]Sheet1!$P:$P,0)</f>
        <v>0</v>
      </c>
      <c r="N1447" s="12">
        <f>_xlfn.XLOOKUP(B1447,[1]Sheet1!$B:$B,[1]Sheet1!$Q:$Q,0)</f>
        <v>0</v>
      </c>
      <c r="O1447" s="12">
        <f>_xlfn.XLOOKUP(B1447,[1]Sheet1!$B:$B,[1]Sheet1!$R:$R,0)</f>
        <v>0</v>
      </c>
      <c r="P1447" s="12">
        <f>_xlfn.XLOOKUP(B1447,[1]Sheet1!$B:$B,[1]Sheet1!$S:$S,0)</f>
        <v>0</v>
      </c>
      <c r="Q1447" s="12">
        <f>_xlfn.XLOOKUP(B1447,[1]Sheet1!$B:$B,[1]Sheet1!$T:$T,0)</f>
        <v>0</v>
      </c>
      <c r="R1447" s="12">
        <f>_xlfn.XLOOKUP(B1447,[1]Sheet1!$B:$B,[1]Sheet1!$U:$U,0)</f>
        <v>0</v>
      </c>
      <c r="S1447" s="12">
        <f>_xlfn.XLOOKUP(B1447,[1]Sheet1!$B:$B,[1]Sheet1!$V:$V,0)</f>
        <v>0</v>
      </c>
      <c r="T1447" s="12">
        <f>_xlfn.XLOOKUP(B1447,[1]Sheet1!$B:$B,[1]Sheet1!$W:$W,0)</f>
        <v>0</v>
      </c>
      <c r="U1447" s="12">
        <f>_xlfn.XLOOKUP(B1447,[1]Sheet1!$B:$B,[1]Sheet1!$X:$X,0)</f>
        <v>0</v>
      </c>
      <c r="V1447" s="12">
        <f>_xlfn.XLOOKUP(B1447,[1]Sheet1!$B:$B,[1]Sheet1!$Y:$Y,0)</f>
        <v>0</v>
      </c>
      <c r="W1447" s="12">
        <f t="shared" si="47"/>
        <v>0</v>
      </c>
      <c r="X1447" s="8" t="s">
        <v>2295</v>
      </c>
      <c r="Y1447" s="8" t="s">
        <v>2208</v>
      </c>
      <c r="Z1447" s="8" t="s">
        <v>2289</v>
      </c>
      <c r="AA1447" s="8" t="s">
        <v>486</v>
      </c>
      <c r="AB1447" s="8" t="s">
        <v>36</v>
      </c>
      <c r="AC1447" s="8" t="s">
        <v>37</v>
      </c>
      <c r="AD1447" s="8" t="s">
        <v>482</v>
      </c>
      <c r="AE1447" s="8" t="s">
        <v>2208</v>
      </c>
      <c r="AF1447" s="8" t="s">
        <v>2211</v>
      </c>
      <c r="AG1447" s="9">
        <v>80058.5</v>
      </c>
      <c r="AH1447" s="11">
        <f>_xlfn.XLOOKUP(B1447,[1]Sheet1!$B:$B,[1]Sheet1!$AB:$AB,0)</f>
        <v>0</v>
      </c>
    </row>
    <row r="1448" spans="2:34" ht="16.8" thickTop="1" thickBot="1" x14ac:dyDescent="0.35">
      <c r="B1448" s="3" t="str">
        <f t="shared" si="46"/>
        <v>451418045170000154510756422218200104</v>
      </c>
      <c r="C1448" s="6" t="s">
        <v>2246</v>
      </c>
      <c r="D1448" s="6" t="s">
        <v>2285</v>
      </c>
      <c r="E1448" s="6" t="s">
        <v>2286</v>
      </c>
      <c r="F1448" s="6" t="s">
        <v>2303</v>
      </c>
      <c r="G1448" s="4" t="s">
        <v>2867</v>
      </c>
      <c r="H1448" s="4" t="s">
        <v>2922</v>
      </c>
      <c r="I1448" s="6" t="s">
        <v>1174</v>
      </c>
      <c r="J1448" s="6" t="s">
        <v>31</v>
      </c>
      <c r="K1448" s="12">
        <f>_xlfn.XLOOKUP(B1448,[1]Sheet1!$B:$B,[1]Sheet1!$N:$N,0)</f>
        <v>0</v>
      </c>
      <c r="L1448" s="12">
        <f>_xlfn.XLOOKUP(B1448,[1]Sheet1!$B:$B,[1]Sheet1!$O:$O,0)</f>
        <v>0</v>
      </c>
      <c r="M1448" s="12">
        <f>_xlfn.XLOOKUP(B1448,[1]Sheet1!$B:$B,[1]Sheet1!$P:$P,0)</f>
        <v>0</v>
      </c>
      <c r="N1448" s="12">
        <f>_xlfn.XLOOKUP(B1448,[1]Sheet1!$B:$B,[1]Sheet1!$Q:$Q,0)</f>
        <v>0</v>
      </c>
      <c r="O1448" s="12">
        <f>_xlfn.XLOOKUP(B1448,[1]Sheet1!$B:$B,[1]Sheet1!$R:$R,0)</f>
        <v>0</v>
      </c>
      <c r="P1448" s="12">
        <f>_xlfn.XLOOKUP(B1448,[1]Sheet1!$B:$B,[1]Sheet1!$S:$S,0)</f>
        <v>0</v>
      </c>
      <c r="Q1448" s="12">
        <f>_xlfn.XLOOKUP(B1448,[1]Sheet1!$B:$B,[1]Sheet1!$T:$T,0)</f>
        <v>0</v>
      </c>
      <c r="R1448" s="12">
        <f>_xlfn.XLOOKUP(B1448,[1]Sheet1!$B:$B,[1]Sheet1!$U:$U,0)</f>
        <v>0</v>
      </c>
      <c r="S1448" s="12">
        <f>_xlfn.XLOOKUP(B1448,[1]Sheet1!$B:$B,[1]Sheet1!$V:$V,0)</f>
        <v>0</v>
      </c>
      <c r="T1448" s="12">
        <f>_xlfn.XLOOKUP(B1448,[1]Sheet1!$B:$B,[1]Sheet1!$W:$W,0)</f>
        <v>0</v>
      </c>
      <c r="U1448" s="12">
        <f>_xlfn.XLOOKUP(B1448,[1]Sheet1!$B:$B,[1]Sheet1!$X:$X,0)</f>
        <v>0</v>
      </c>
      <c r="V1448" s="12">
        <f>_xlfn.XLOOKUP(B1448,[1]Sheet1!$B:$B,[1]Sheet1!$Y:$Y,0)</f>
        <v>0</v>
      </c>
      <c r="W1448" s="12">
        <f t="shared" si="47"/>
        <v>0</v>
      </c>
      <c r="X1448" s="6" t="s">
        <v>2296</v>
      </c>
      <c r="Y1448" s="6" t="s">
        <v>2208</v>
      </c>
      <c r="Z1448" s="6" t="s">
        <v>2289</v>
      </c>
      <c r="AA1448" s="6" t="s">
        <v>1176</v>
      </c>
      <c r="AB1448" s="6" t="s">
        <v>36</v>
      </c>
      <c r="AC1448" s="6" t="s">
        <v>37</v>
      </c>
      <c r="AD1448" s="6" t="s">
        <v>482</v>
      </c>
      <c r="AE1448" s="6" t="s">
        <v>2208</v>
      </c>
      <c r="AF1448" s="6" t="s">
        <v>2211</v>
      </c>
      <c r="AG1448" s="7">
        <v>501303.6</v>
      </c>
      <c r="AH1448" s="11">
        <f>_xlfn.XLOOKUP(B1448,[1]Sheet1!$B:$B,[1]Sheet1!$AB:$AB,0)</f>
        <v>0</v>
      </c>
    </row>
    <row r="1449" spans="2:34" ht="16.8" thickTop="1" thickBot="1" x14ac:dyDescent="0.35">
      <c r="B1449" s="3" t="str">
        <f t="shared" si="46"/>
        <v>451418045170000154510756422911200104</v>
      </c>
      <c r="C1449" s="8" t="s">
        <v>2246</v>
      </c>
      <c r="D1449" s="8" t="s">
        <v>2285</v>
      </c>
      <c r="E1449" s="8" t="s">
        <v>2286</v>
      </c>
      <c r="F1449" s="8" t="s">
        <v>2303</v>
      </c>
      <c r="G1449" s="4" t="s">
        <v>2863</v>
      </c>
      <c r="H1449" s="4" t="s">
        <v>2922</v>
      </c>
      <c r="I1449" s="8" t="s">
        <v>1009</v>
      </c>
      <c r="J1449" s="8" t="s">
        <v>31</v>
      </c>
      <c r="K1449" s="12">
        <f>_xlfn.XLOOKUP(B1449,[1]Sheet1!$B:$B,[1]Sheet1!$N:$N,0)</f>
        <v>0</v>
      </c>
      <c r="L1449" s="12">
        <f>_xlfn.XLOOKUP(B1449,[1]Sheet1!$B:$B,[1]Sheet1!$O:$O,0)</f>
        <v>0</v>
      </c>
      <c r="M1449" s="12">
        <f>_xlfn.XLOOKUP(B1449,[1]Sheet1!$B:$B,[1]Sheet1!$P:$P,0)</f>
        <v>0</v>
      </c>
      <c r="N1449" s="12">
        <f>_xlfn.XLOOKUP(B1449,[1]Sheet1!$B:$B,[1]Sheet1!$Q:$Q,0)</f>
        <v>0</v>
      </c>
      <c r="O1449" s="12">
        <f>_xlfn.XLOOKUP(B1449,[1]Sheet1!$B:$B,[1]Sheet1!$R:$R,0)</f>
        <v>0</v>
      </c>
      <c r="P1449" s="12">
        <f>_xlfn.XLOOKUP(B1449,[1]Sheet1!$B:$B,[1]Sheet1!$S:$S,0)</f>
        <v>0</v>
      </c>
      <c r="Q1449" s="12">
        <f>_xlfn.XLOOKUP(B1449,[1]Sheet1!$B:$B,[1]Sheet1!$T:$T,0)</f>
        <v>0</v>
      </c>
      <c r="R1449" s="12">
        <f>_xlfn.XLOOKUP(B1449,[1]Sheet1!$B:$B,[1]Sheet1!$U:$U,0)</f>
        <v>0</v>
      </c>
      <c r="S1449" s="12">
        <f>_xlfn.XLOOKUP(B1449,[1]Sheet1!$B:$B,[1]Sheet1!$V:$V,0)</f>
        <v>0</v>
      </c>
      <c r="T1449" s="12">
        <f>_xlfn.XLOOKUP(B1449,[1]Sheet1!$B:$B,[1]Sheet1!$W:$W,0)</f>
        <v>0</v>
      </c>
      <c r="U1449" s="12">
        <f>_xlfn.XLOOKUP(B1449,[1]Sheet1!$B:$B,[1]Sheet1!$X:$X,0)</f>
        <v>0</v>
      </c>
      <c r="V1449" s="12">
        <f>_xlfn.XLOOKUP(B1449,[1]Sheet1!$B:$B,[1]Sheet1!$Y:$Y,0)</f>
        <v>0</v>
      </c>
      <c r="W1449" s="12">
        <f t="shared" si="47"/>
        <v>0</v>
      </c>
      <c r="X1449" s="8" t="s">
        <v>2290</v>
      </c>
      <c r="Y1449" s="8" t="s">
        <v>2208</v>
      </c>
      <c r="Z1449" s="8" t="s">
        <v>2289</v>
      </c>
      <c r="AA1449" s="8" t="s">
        <v>1011</v>
      </c>
      <c r="AB1449" s="8" t="s">
        <v>36</v>
      </c>
      <c r="AC1449" s="8" t="s">
        <v>37</v>
      </c>
      <c r="AD1449" s="8" t="s">
        <v>482</v>
      </c>
      <c r="AE1449" s="8" t="s">
        <v>2208</v>
      </c>
      <c r="AF1449" s="8" t="s">
        <v>2211</v>
      </c>
      <c r="AG1449" s="9">
        <v>707598.01</v>
      </c>
      <c r="AH1449" s="11">
        <f>_xlfn.XLOOKUP(B1449,[1]Sheet1!$B:$B,[1]Sheet1!$AB:$AB,0)</f>
        <v>0</v>
      </c>
    </row>
    <row r="1450" spans="2:34" ht="16.8" thickTop="1" thickBot="1" x14ac:dyDescent="0.35">
      <c r="B1450" s="3" t="str">
        <f t="shared" si="46"/>
        <v>451418045170000154510756423711200104</v>
      </c>
      <c r="C1450" s="6" t="s">
        <v>2246</v>
      </c>
      <c r="D1450" s="6" t="s">
        <v>2285</v>
      </c>
      <c r="E1450" s="6" t="s">
        <v>2286</v>
      </c>
      <c r="F1450" s="6" t="s">
        <v>2303</v>
      </c>
      <c r="G1450" s="4" t="s">
        <v>2878</v>
      </c>
      <c r="H1450" s="4" t="s">
        <v>2922</v>
      </c>
      <c r="I1450" s="6" t="s">
        <v>1826</v>
      </c>
      <c r="J1450" s="6" t="s">
        <v>31</v>
      </c>
      <c r="K1450" s="12">
        <f>_xlfn.XLOOKUP(B1450,[1]Sheet1!$B:$B,[1]Sheet1!$N:$N,0)</f>
        <v>0</v>
      </c>
      <c r="L1450" s="12">
        <f>_xlfn.XLOOKUP(B1450,[1]Sheet1!$B:$B,[1]Sheet1!$O:$O,0)</f>
        <v>0</v>
      </c>
      <c r="M1450" s="12">
        <f>_xlfn.XLOOKUP(B1450,[1]Sheet1!$B:$B,[1]Sheet1!$P:$P,0)</f>
        <v>0</v>
      </c>
      <c r="N1450" s="12">
        <f>_xlfn.XLOOKUP(B1450,[1]Sheet1!$B:$B,[1]Sheet1!$Q:$Q,0)</f>
        <v>0</v>
      </c>
      <c r="O1450" s="12">
        <f>_xlfn.XLOOKUP(B1450,[1]Sheet1!$B:$B,[1]Sheet1!$R:$R,0)</f>
        <v>0</v>
      </c>
      <c r="P1450" s="12">
        <f>_xlfn.XLOOKUP(B1450,[1]Sheet1!$B:$B,[1]Sheet1!$S:$S,0)</f>
        <v>0</v>
      </c>
      <c r="Q1450" s="12">
        <f>_xlfn.XLOOKUP(B1450,[1]Sheet1!$B:$B,[1]Sheet1!$T:$T,0)</f>
        <v>0</v>
      </c>
      <c r="R1450" s="12">
        <f>_xlfn.XLOOKUP(B1450,[1]Sheet1!$B:$B,[1]Sheet1!$U:$U,0)</f>
        <v>0</v>
      </c>
      <c r="S1450" s="12">
        <f>_xlfn.XLOOKUP(B1450,[1]Sheet1!$B:$B,[1]Sheet1!$V:$V,0)</f>
        <v>0</v>
      </c>
      <c r="T1450" s="12">
        <f>_xlfn.XLOOKUP(B1450,[1]Sheet1!$B:$B,[1]Sheet1!$W:$W,0)</f>
        <v>0</v>
      </c>
      <c r="U1450" s="12">
        <f>_xlfn.XLOOKUP(B1450,[1]Sheet1!$B:$B,[1]Sheet1!$X:$X,0)</f>
        <v>0</v>
      </c>
      <c r="V1450" s="12">
        <f>_xlfn.XLOOKUP(B1450,[1]Sheet1!$B:$B,[1]Sheet1!$Y:$Y,0)</f>
        <v>0</v>
      </c>
      <c r="W1450" s="12">
        <f t="shared" si="47"/>
        <v>0</v>
      </c>
      <c r="X1450" s="6" t="s">
        <v>2291</v>
      </c>
      <c r="Y1450" s="6" t="s">
        <v>2208</v>
      </c>
      <c r="Z1450" s="6" t="s">
        <v>2289</v>
      </c>
      <c r="AA1450" s="6" t="s">
        <v>1828</v>
      </c>
      <c r="AB1450" s="6" t="s">
        <v>36</v>
      </c>
      <c r="AC1450" s="6" t="s">
        <v>37</v>
      </c>
      <c r="AD1450" s="6" t="s">
        <v>482</v>
      </c>
      <c r="AE1450" s="6" t="s">
        <v>2208</v>
      </c>
      <c r="AF1450" s="6" t="s">
        <v>2211</v>
      </c>
      <c r="AG1450" s="7">
        <v>3828</v>
      </c>
      <c r="AH1450" s="11">
        <f>_xlfn.XLOOKUP(B1450,[1]Sheet1!$B:$B,[1]Sheet1!$AB:$AB,0)</f>
        <v>0</v>
      </c>
    </row>
    <row r="1451" spans="2:34" ht="16.8" thickTop="1" thickBot="1" x14ac:dyDescent="0.35">
      <c r="B1451" s="3" t="str">
        <f t="shared" si="46"/>
        <v>451418045170000154510757422911200104</v>
      </c>
      <c r="C1451" s="8" t="s">
        <v>2246</v>
      </c>
      <c r="D1451" s="8" t="s">
        <v>2285</v>
      </c>
      <c r="E1451" s="8" t="s">
        <v>2286</v>
      </c>
      <c r="F1451" s="8" t="s">
        <v>2304</v>
      </c>
      <c r="G1451" s="4" t="s">
        <v>2863</v>
      </c>
      <c r="H1451" s="4" t="s">
        <v>2922</v>
      </c>
      <c r="I1451" s="8" t="s">
        <v>1009</v>
      </c>
      <c r="J1451" s="8" t="s">
        <v>31</v>
      </c>
      <c r="K1451" s="12">
        <f>_xlfn.XLOOKUP(B1451,[1]Sheet1!$B:$B,[1]Sheet1!$N:$N,0)</f>
        <v>0</v>
      </c>
      <c r="L1451" s="12">
        <f>_xlfn.XLOOKUP(B1451,[1]Sheet1!$B:$B,[1]Sheet1!$O:$O,0)</f>
        <v>0</v>
      </c>
      <c r="M1451" s="12">
        <f>_xlfn.XLOOKUP(B1451,[1]Sheet1!$B:$B,[1]Sheet1!$P:$P,0)</f>
        <v>0</v>
      </c>
      <c r="N1451" s="12">
        <f>_xlfn.XLOOKUP(B1451,[1]Sheet1!$B:$B,[1]Sheet1!$Q:$Q,0)</f>
        <v>0</v>
      </c>
      <c r="O1451" s="12">
        <f>_xlfn.XLOOKUP(B1451,[1]Sheet1!$B:$B,[1]Sheet1!$R:$R,0)</f>
        <v>0</v>
      </c>
      <c r="P1451" s="12">
        <f>_xlfn.XLOOKUP(B1451,[1]Sheet1!$B:$B,[1]Sheet1!$S:$S,0)</f>
        <v>0</v>
      </c>
      <c r="Q1451" s="12">
        <f>_xlfn.XLOOKUP(B1451,[1]Sheet1!$B:$B,[1]Sheet1!$T:$T,0)</f>
        <v>0</v>
      </c>
      <c r="R1451" s="12">
        <f>_xlfn.XLOOKUP(B1451,[1]Sheet1!$B:$B,[1]Sheet1!$U:$U,0)</f>
        <v>0</v>
      </c>
      <c r="S1451" s="12">
        <f>_xlfn.XLOOKUP(B1451,[1]Sheet1!$B:$B,[1]Sheet1!$V:$V,0)</f>
        <v>0</v>
      </c>
      <c r="T1451" s="12">
        <f>_xlfn.XLOOKUP(B1451,[1]Sheet1!$B:$B,[1]Sheet1!$W:$W,0)</f>
        <v>0</v>
      </c>
      <c r="U1451" s="12">
        <f>_xlfn.XLOOKUP(B1451,[1]Sheet1!$B:$B,[1]Sheet1!$X:$X,0)</f>
        <v>0</v>
      </c>
      <c r="V1451" s="12">
        <f>_xlfn.XLOOKUP(B1451,[1]Sheet1!$B:$B,[1]Sheet1!$Y:$Y,0)</f>
        <v>0</v>
      </c>
      <c r="W1451" s="12">
        <f t="shared" si="47"/>
        <v>0</v>
      </c>
      <c r="X1451" s="8" t="s">
        <v>2290</v>
      </c>
      <c r="Y1451" s="8" t="s">
        <v>2208</v>
      </c>
      <c r="Z1451" s="8" t="s">
        <v>2289</v>
      </c>
      <c r="AA1451" s="8" t="s">
        <v>1011</v>
      </c>
      <c r="AB1451" s="8" t="s">
        <v>36</v>
      </c>
      <c r="AC1451" s="8" t="s">
        <v>37</v>
      </c>
      <c r="AD1451" s="8" t="s">
        <v>482</v>
      </c>
      <c r="AE1451" s="8" t="s">
        <v>2208</v>
      </c>
      <c r="AF1451" s="8" t="s">
        <v>2211</v>
      </c>
      <c r="AG1451" s="9">
        <v>707598.01</v>
      </c>
      <c r="AH1451" s="11">
        <f>_xlfn.XLOOKUP(B1451,[1]Sheet1!$B:$B,[1]Sheet1!$AB:$AB,0)</f>
        <v>0</v>
      </c>
    </row>
    <row r="1452" spans="2:34" ht="16.8" thickTop="1" thickBot="1" x14ac:dyDescent="0.35">
      <c r="B1452" s="3" t="str">
        <f t="shared" si="46"/>
        <v>451418045170000154510757423711200104</v>
      </c>
      <c r="C1452" s="6" t="s">
        <v>2246</v>
      </c>
      <c r="D1452" s="6" t="s">
        <v>2285</v>
      </c>
      <c r="E1452" s="6" t="s">
        <v>2286</v>
      </c>
      <c r="F1452" s="6" t="s">
        <v>2304</v>
      </c>
      <c r="G1452" s="4" t="s">
        <v>2878</v>
      </c>
      <c r="H1452" s="4" t="s">
        <v>2922</v>
      </c>
      <c r="I1452" s="6" t="s">
        <v>1826</v>
      </c>
      <c r="J1452" s="6" t="s">
        <v>31</v>
      </c>
      <c r="K1452" s="12">
        <f>_xlfn.XLOOKUP(B1452,[1]Sheet1!$B:$B,[1]Sheet1!$N:$N,0)</f>
        <v>0</v>
      </c>
      <c r="L1452" s="12">
        <f>_xlfn.XLOOKUP(B1452,[1]Sheet1!$B:$B,[1]Sheet1!$O:$O,0)</f>
        <v>0</v>
      </c>
      <c r="M1452" s="12">
        <f>_xlfn.XLOOKUP(B1452,[1]Sheet1!$B:$B,[1]Sheet1!$P:$P,0)</f>
        <v>0</v>
      </c>
      <c r="N1452" s="12">
        <f>_xlfn.XLOOKUP(B1452,[1]Sheet1!$B:$B,[1]Sheet1!$Q:$Q,0)</f>
        <v>0</v>
      </c>
      <c r="O1452" s="12">
        <f>_xlfn.XLOOKUP(B1452,[1]Sheet1!$B:$B,[1]Sheet1!$R:$R,0)</f>
        <v>0</v>
      </c>
      <c r="P1452" s="12">
        <f>_xlfn.XLOOKUP(B1452,[1]Sheet1!$B:$B,[1]Sheet1!$S:$S,0)</f>
        <v>0</v>
      </c>
      <c r="Q1452" s="12">
        <f>_xlfn.XLOOKUP(B1452,[1]Sheet1!$B:$B,[1]Sheet1!$T:$T,0)</f>
        <v>0</v>
      </c>
      <c r="R1452" s="12">
        <f>_xlfn.XLOOKUP(B1452,[1]Sheet1!$B:$B,[1]Sheet1!$U:$U,0)</f>
        <v>0</v>
      </c>
      <c r="S1452" s="12">
        <f>_xlfn.XLOOKUP(B1452,[1]Sheet1!$B:$B,[1]Sheet1!$V:$V,0)</f>
        <v>0</v>
      </c>
      <c r="T1452" s="12">
        <f>_xlfn.XLOOKUP(B1452,[1]Sheet1!$B:$B,[1]Sheet1!$W:$W,0)</f>
        <v>0</v>
      </c>
      <c r="U1452" s="12">
        <f>_xlfn.XLOOKUP(B1452,[1]Sheet1!$B:$B,[1]Sheet1!$X:$X,0)</f>
        <v>0</v>
      </c>
      <c r="V1452" s="12">
        <f>_xlfn.XLOOKUP(B1452,[1]Sheet1!$B:$B,[1]Sheet1!$Y:$Y,0)</f>
        <v>0</v>
      </c>
      <c r="W1452" s="12">
        <f t="shared" si="47"/>
        <v>0</v>
      </c>
      <c r="X1452" s="6" t="s">
        <v>2291</v>
      </c>
      <c r="Y1452" s="6" t="s">
        <v>2208</v>
      </c>
      <c r="Z1452" s="6" t="s">
        <v>2289</v>
      </c>
      <c r="AA1452" s="6" t="s">
        <v>1828</v>
      </c>
      <c r="AB1452" s="6" t="s">
        <v>36</v>
      </c>
      <c r="AC1452" s="6" t="s">
        <v>37</v>
      </c>
      <c r="AD1452" s="6" t="s">
        <v>482</v>
      </c>
      <c r="AE1452" s="6" t="s">
        <v>2208</v>
      </c>
      <c r="AF1452" s="6" t="s">
        <v>2211</v>
      </c>
      <c r="AG1452" s="7">
        <v>8530.0400000000009</v>
      </c>
      <c r="AH1452" s="11">
        <f>_xlfn.XLOOKUP(B1452,[1]Sheet1!$B:$B,[1]Sheet1!$AB:$AB,0)</f>
        <v>0</v>
      </c>
    </row>
    <row r="1453" spans="2:34" ht="16.8" thickTop="1" thickBot="1" x14ac:dyDescent="0.35">
      <c r="B1453" s="3" t="str">
        <f t="shared" si="46"/>
        <v>451418045170000154510763491320300105</v>
      </c>
      <c r="C1453" s="8" t="s">
        <v>2246</v>
      </c>
      <c r="D1453" s="8" t="s">
        <v>2285</v>
      </c>
      <c r="E1453" s="8" t="s">
        <v>2286</v>
      </c>
      <c r="F1453" s="8" t="s">
        <v>2305</v>
      </c>
      <c r="G1453" s="4" t="s">
        <v>2866</v>
      </c>
      <c r="H1453" s="4" t="s">
        <v>2923</v>
      </c>
      <c r="I1453" s="8" t="s">
        <v>1159</v>
      </c>
      <c r="J1453" s="8" t="s">
        <v>31</v>
      </c>
      <c r="K1453" s="12">
        <f>_xlfn.XLOOKUP(B1453,[1]Sheet1!$B:$B,[1]Sheet1!$N:$N,0)</f>
        <v>0</v>
      </c>
      <c r="L1453" s="12">
        <f>_xlfn.XLOOKUP(B1453,[1]Sheet1!$B:$B,[1]Sheet1!$O:$O,0)</f>
        <v>0</v>
      </c>
      <c r="M1453" s="12">
        <f>_xlfn.XLOOKUP(B1453,[1]Sheet1!$B:$B,[1]Sheet1!$P:$P,0)</f>
        <v>0</v>
      </c>
      <c r="N1453" s="12">
        <f>_xlfn.XLOOKUP(B1453,[1]Sheet1!$B:$B,[1]Sheet1!$Q:$Q,0)</f>
        <v>0</v>
      </c>
      <c r="O1453" s="12">
        <f>_xlfn.XLOOKUP(B1453,[1]Sheet1!$B:$B,[1]Sheet1!$R:$R,0)</f>
        <v>0</v>
      </c>
      <c r="P1453" s="12">
        <f>_xlfn.XLOOKUP(B1453,[1]Sheet1!$B:$B,[1]Sheet1!$S:$S,0)</f>
        <v>0</v>
      </c>
      <c r="Q1453" s="12">
        <f>_xlfn.XLOOKUP(B1453,[1]Sheet1!$B:$B,[1]Sheet1!$T:$T,0)</f>
        <v>0</v>
      </c>
      <c r="R1453" s="12">
        <f>_xlfn.XLOOKUP(B1453,[1]Sheet1!$B:$B,[1]Sheet1!$U:$U,0)</f>
        <v>0</v>
      </c>
      <c r="S1453" s="12">
        <f>_xlfn.XLOOKUP(B1453,[1]Sheet1!$B:$B,[1]Sheet1!$V:$V,0)</f>
        <v>0</v>
      </c>
      <c r="T1453" s="12">
        <f>_xlfn.XLOOKUP(B1453,[1]Sheet1!$B:$B,[1]Sheet1!$W:$W,0)</f>
        <v>0</v>
      </c>
      <c r="U1453" s="12">
        <f>_xlfn.XLOOKUP(B1453,[1]Sheet1!$B:$B,[1]Sheet1!$X:$X,0)</f>
        <v>0</v>
      </c>
      <c r="V1453" s="12">
        <f>_xlfn.XLOOKUP(B1453,[1]Sheet1!$B:$B,[1]Sheet1!$Y:$Y,0)</f>
        <v>0</v>
      </c>
      <c r="W1453" s="12">
        <f t="shared" si="47"/>
        <v>0</v>
      </c>
      <c r="X1453" s="8" t="s">
        <v>2293</v>
      </c>
      <c r="Y1453" s="8" t="s">
        <v>2208</v>
      </c>
      <c r="Z1453" s="8" t="s">
        <v>2289</v>
      </c>
      <c r="AA1453" s="8" t="s">
        <v>1159</v>
      </c>
      <c r="AB1453" s="8" t="s">
        <v>93</v>
      </c>
      <c r="AC1453" s="8" t="s">
        <v>94</v>
      </c>
      <c r="AD1453" s="8" t="s">
        <v>482</v>
      </c>
      <c r="AE1453" s="8" t="s">
        <v>2208</v>
      </c>
      <c r="AF1453" s="8" t="s">
        <v>2211</v>
      </c>
      <c r="AG1453" s="9">
        <v>567114</v>
      </c>
      <c r="AH1453" s="11">
        <f>_xlfn.XLOOKUP(B1453,[1]Sheet1!$B:$B,[1]Sheet1!$AB:$AB,0)</f>
        <v>0</v>
      </c>
    </row>
    <row r="1454" spans="2:34" ht="16.8" thickTop="1" thickBot="1" x14ac:dyDescent="0.35">
      <c r="B1454" s="3" t="str">
        <f t="shared" si="46"/>
        <v>451418045170000154510763493120300105</v>
      </c>
      <c r="C1454" s="6" t="s">
        <v>2246</v>
      </c>
      <c r="D1454" s="6" t="s">
        <v>2285</v>
      </c>
      <c r="E1454" s="6" t="s">
        <v>2286</v>
      </c>
      <c r="F1454" s="6" t="s">
        <v>2305</v>
      </c>
      <c r="G1454" s="4" t="s">
        <v>2888</v>
      </c>
      <c r="H1454" s="4" t="s">
        <v>2923</v>
      </c>
      <c r="I1454" s="6" t="s">
        <v>2306</v>
      </c>
      <c r="J1454" s="6" t="s">
        <v>31</v>
      </c>
      <c r="K1454" s="12">
        <f>_xlfn.XLOOKUP(B1454,[1]Sheet1!$B:$B,[1]Sheet1!$N:$N,0)</f>
        <v>0</v>
      </c>
      <c r="L1454" s="12">
        <f>_xlfn.XLOOKUP(B1454,[1]Sheet1!$B:$B,[1]Sheet1!$O:$O,0)</f>
        <v>0</v>
      </c>
      <c r="M1454" s="12">
        <f>_xlfn.XLOOKUP(B1454,[1]Sheet1!$B:$B,[1]Sheet1!$P:$P,0)</f>
        <v>0</v>
      </c>
      <c r="N1454" s="12">
        <f>_xlfn.XLOOKUP(B1454,[1]Sheet1!$B:$B,[1]Sheet1!$Q:$Q,0)</f>
        <v>0</v>
      </c>
      <c r="O1454" s="12">
        <f>_xlfn.XLOOKUP(B1454,[1]Sheet1!$B:$B,[1]Sheet1!$R:$R,0)</f>
        <v>0</v>
      </c>
      <c r="P1454" s="12">
        <f>_xlfn.XLOOKUP(B1454,[1]Sheet1!$B:$B,[1]Sheet1!$S:$S,0)</f>
        <v>0</v>
      </c>
      <c r="Q1454" s="12">
        <f>_xlfn.XLOOKUP(B1454,[1]Sheet1!$B:$B,[1]Sheet1!$T:$T,0)</f>
        <v>0</v>
      </c>
      <c r="R1454" s="12">
        <f>_xlfn.XLOOKUP(B1454,[1]Sheet1!$B:$B,[1]Sheet1!$U:$U,0)</f>
        <v>0</v>
      </c>
      <c r="S1454" s="12">
        <f>_xlfn.XLOOKUP(B1454,[1]Sheet1!$B:$B,[1]Sheet1!$V:$V,0)</f>
        <v>0</v>
      </c>
      <c r="T1454" s="12">
        <f>_xlfn.XLOOKUP(B1454,[1]Sheet1!$B:$B,[1]Sheet1!$W:$W,0)</f>
        <v>0</v>
      </c>
      <c r="U1454" s="12">
        <f>_xlfn.XLOOKUP(B1454,[1]Sheet1!$B:$B,[1]Sheet1!$X:$X,0)</f>
        <v>0</v>
      </c>
      <c r="V1454" s="12">
        <f>_xlfn.XLOOKUP(B1454,[1]Sheet1!$B:$B,[1]Sheet1!$Y:$Y,0)</f>
        <v>0</v>
      </c>
      <c r="W1454" s="12">
        <f t="shared" si="47"/>
        <v>0</v>
      </c>
      <c r="X1454" s="6" t="s">
        <v>2307</v>
      </c>
      <c r="Y1454" s="6" t="s">
        <v>2208</v>
      </c>
      <c r="Z1454" s="6" t="s">
        <v>2289</v>
      </c>
      <c r="AA1454" s="6" t="s">
        <v>2306</v>
      </c>
      <c r="AB1454" s="6" t="s">
        <v>93</v>
      </c>
      <c r="AC1454" s="6" t="s">
        <v>94</v>
      </c>
      <c r="AD1454" s="6" t="s">
        <v>482</v>
      </c>
      <c r="AE1454" s="6" t="s">
        <v>2208</v>
      </c>
      <c r="AF1454" s="6" t="s">
        <v>2211</v>
      </c>
      <c r="AG1454" s="7">
        <v>1808919.25</v>
      </c>
      <c r="AH1454" s="11">
        <f>_xlfn.XLOOKUP(B1454,[1]Sheet1!$B:$B,[1]Sheet1!$AB:$AB,0)</f>
        <v>0</v>
      </c>
    </row>
    <row r="1455" spans="2:34" ht="16.8" thickTop="1" thickBot="1" x14ac:dyDescent="0.35">
      <c r="B1455" s="3" t="str">
        <f t="shared" si="46"/>
        <v>451418045170000154510764491320300105</v>
      </c>
      <c r="C1455" s="8" t="s">
        <v>2246</v>
      </c>
      <c r="D1455" s="8" t="s">
        <v>2285</v>
      </c>
      <c r="E1455" s="8" t="s">
        <v>2286</v>
      </c>
      <c r="F1455" s="8" t="s">
        <v>2308</v>
      </c>
      <c r="G1455" s="4" t="s">
        <v>2866</v>
      </c>
      <c r="H1455" s="4" t="s">
        <v>2923</v>
      </c>
      <c r="I1455" s="8" t="s">
        <v>1159</v>
      </c>
      <c r="J1455" s="8" t="s">
        <v>31</v>
      </c>
      <c r="K1455" s="12">
        <f>_xlfn.XLOOKUP(B1455,[1]Sheet1!$B:$B,[1]Sheet1!$N:$N,0)</f>
        <v>0</v>
      </c>
      <c r="L1455" s="12">
        <f>_xlfn.XLOOKUP(B1455,[1]Sheet1!$B:$B,[1]Sheet1!$O:$O,0)</f>
        <v>0</v>
      </c>
      <c r="M1455" s="12">
        <f>_xlfn.XLOOKUP(B1455,[1]Sheet1!$B:$B,[1]Sheet1!$P:$P,0)</f>
        <v>0</v>
      </c>
      <c r="N1455" s="12">
        <f>_xlfn.XLOOKUP(B1455,[1]Sheet1!$B:$B,[1]Sheet1!$Q:$Q,0)</f>
        <v>0</v>
      </c>
      <c r="O1455" s="12">
        <f>_xlfn.XLOOKUP(B1455,[1]Sheet1!$B:$B,[1]Sheet1!$R:$R,0)</f>
        <v>0</v>
      </c>
      <c r="P1455" s="12">
        <f>_xlfn.XLOOKUP(B1455,[1]Sheet1!$B:$B,[1]Sheet1!$S:$S,0)</f>
        <v>0</v>
      </c>
      <c r="Q1455" s="12">
        <f>_xlfn.XLOOKUP(B1455,[1]Sheet1!$B:$B,[1]Sheet1!$T:$T,0)</f>
        <v>0</v>
      </c>
      <c r="R1455" s="12">
        <f>_xlfn.XLOOKUP(B1455,[1]Sheet1!$B:$B,[1]Sheet1!$U:$U,0)</f>
        <v>0</v>
      </c>
      <c r="S1455" s="12">
        <f>_xlfn.XLOOKUP(B1455,[1]Sheet1!$B:$B,[1]Sheet1!$V:$V,0)</f>
        <v>0</v>
      </c>
      <c r="T1455" s="12">
        <f>_xlfn.XLOOKUP(B1455,[1]Sheet1!$B:$B,[1]Sheet1!$W:$W,0)</f>
        <v>0</v>
      </c>
      <c r="U1455" s="12">
        <f>_xlfn.XLOOKUP(B1455,[1]Sheet1!$B:$B,[1]Sheet1!$X:$X,0)</f>
        <v>0</v>
      </c>
      <c r="V1455" s="12">
        <f>_xlfn.XLOOKUP(B1455,[1]Sheet1!$B:$B,[1]Sheet1!$Y:$Y,0)</f>
        <v>0</v>
      </c>
      <c r="W1455" s="12">
        <f t="shared" si="47"/>
        <v>0</v>
      </c>
      <c r="X1455" s="8" t="s">
        <v>2293</v>
      </c>
      <c r="Y1455" s="8" t="s">
        <v>2208</v>
      </c>
      <c r="Z1455" s="8" t="s">
        <v>2289</v>
      </c>
      <c r="AA1455" s="8" t="s">
        <v>1159</v>
      </c>
      <c r="AB1455" s="8" t="s">
        <v>93</v>
      </c>
      <c r="AC1455" s="8" t="s">
        <v>94</v>
      </c>
      <c r="AD1455" s="8" t="s">
        <v>482</v>
      </c>
      <c r="AE1455" s="8" t="s">
        <v>2208</v>
      </c>
      <c r="AF1455" s="8" t="s">
        <v>2211</v>
      </c>
      <c r="AG1455" s="9">
        <v>3650</v>
      </c>
      <c r="AH1455" s="11">
        <f>_xlfn.XLOOKUP(B1455,[1]Sheet1!$B:$B,[1]Sheet1!$AB:$AB,0)</f>
        <v>0</v>
      </c>
    </row>
    <row r="1456" spans="2:34" ht="16.8" thickTop="1" thickBot="1" x14ac:dyDescent="0.35">
      <c r="B1456" s="3" t="str">
        <f t="shared" si="46"/>
        <v>451418045170000154510764493120300105</v>
      </c>
      <c r="C1456" s="6" t="s">
        <v>2246</v>
      </c>
      <c r="D1456" s="6" t="s">
        <v>2285</v>
      </c>
      <c r="E1456" s="6" t="s">
        <v>2286</v>
      </c>
      <c r="F1456" s="6" t="s">
        <v>2308</v>
      </c>
      <c r="G1456" s="4" t="s">
        <v>2888</v>
      </c>
      <c r="H1456" s="4" t="s">
        <v>2923</v>
      </c>
      <c r="I1456" s="6" t="s">
        <v>2306</v>
      </c>
      <c r="J1456" s="6" t="s">
        <v>31</v>
      </c>
      <c r="K1456" s="12">
        <f>_xlfn.XLOOKUP(B1456,[1]Sheet1!$B:$B,[1]Sheet1!$N:$N,0)</f>
        <v>0</v>
      </c>
      <c r="L1456" s="12">
        <f>_xlfn.XLOOKUP(B1456,[1]Sheet1!$B:$B,[1]Sheet1!$O:$O,0)</f>
        <v>0</v>
      </c>
      <c r="M1456" s="12">
        <f>_xlfn.XLOOKUP(B1456,[1]Sheet1!$B:$B,[1]Sheet1!$P:$P,0)</f>
        <v>0</v>
      </c>
      <c r="N1456" s="12">
        <f>_xlfn.XLOOKUP(B1456,[1]Sheet1!$B:$B,[1]Sheet1!$Q:$Q,0)</f>
        <v>0</v>
      </c>
      <c r="O1456" s="12">
        <f>_xlfn.XLOOKUP(B1456,[1]Sheet1!$B:$B,[1]Sheet1!$R:$R,0)</f>
        <v>0</v>
      </c>
      <c r="P1456" s="12">
        <f>_xlfn.XLOOKUP(B1456,[1]Sheet1!$B:$B,[1]Sheet1!$S:$S,0)</f>
        <v>0</v>
      </c>
      <c r="Q1456" s="12">
        <f>_xlfn.XLOOKUP(B1456,[1]Sheet1!$B:$B,[1]Sheet1!$T:$T,0)</f>
        <v>0</v>
      </c>
      <c r="R1456" s="12">
        <f>_xlfn.XLOOKUP(B1456,[1]Sheet1!$B:$B,[1]Sheet1!$U:$U,0)</f>
        <v>0</v>
      </c>
      <c r="S1456" s="12">
        <f>_xlfn.XLOOKUP(B1456,[1]Sheet1!$B:$B,[1]Sheet1!$V:$V,0)</f>
        <v>0</v>
      </c>
      <c r="T1456" s="12">
        <f>_xlfn.XLOOKUP(B1456,[1]Sheet1!$B:$B,[1]Sheet1!$W:$W,0)</f>
        <v>0</v>
      </c>
      <c r="U1456" s="12">
        <f>_xlfn.XLOOKUP(B1456,[1]Sheet1!$B:$B,[1]Sheet1!$X:$X,0)</f>
        <v>0</v>
      </c>
      <c r="V1456" s="12">
        <f>_xlfn.XLOOKUP(B1456,[1]Sheet1!$B:$B,[1]Sheet1!$Y:$Y,0)</f>
        <v>0</v>
      </c>
      <c r="W1456" s="12">
        <f t="shared" si="47"/>
        <v>0</v>
      </c>
      <c r="X1456" s="6" t="s">
        <v>2307</v>
      </c>
      <c r="Y1456" s="6" t="s">
        <v>2208</v>
      </c>
      <c r="Z1456" s="6" t="s">
        <v>2289</v>
      </c>
      <c r="AA1456" s="6" t="s">
        <v>2306</v>
      </c>
      <c r="AB1456" s="6" t="s">
        <v>93</v>
      </c>
      <c r="AC1456" s="6" t="s">
        <v>94</v>
      </c>
      <c r="AD1456" s="6" t="s">
        <v>482</v>
      </c>
      <c r="AE1456" s="6" t="s">
        <v>2208</v>
      </c>
      <c r="AF1456" s="6" t="s">
        <v>2211</v>
      </c>
      <c r="AG1456" s="7">
        <v>507871.25</v>
      </c>
      <c r="AH1456" s="11">
        <f>_xlfn.XLOOKUP(B1456,[1]Sheet1!$B:$B,[1]Sheet1!$AB:$AB,0)</f>
        <v>0</v>
      </c>
    </row>
    <row r="1457" spans="2:34" ht="16.8" thickTop="1" thickBot="1" x14ac:dyDescent="0.35">
      <c r="B1457" s="3" t="str">
        <f t="shared" si="46"/>
        <v>451418045170000154510765491320300105</v>
      </c>
      <c r="C1457" s="8" t="s">
        <v>2246</v>
      </c>
      <c r="D1457" s="8" t="s">
        <v>2285</v>
      </c>
      <c r="E1457" s="8" t="s">
        <v>2286</v>
      </c>
      <c r="F1457" s="8" t="s">
        <v>2309</v>
      </c>
      <c r="G1457" s="4" t="s">
        <v>2866</v>
      </c>
      <c r="H1457" s="4" t="s">
        <v>2923</v>
      </c>
      <c r="I1457" s="8" t="s">
        <v>1159</v>
      </c>
      <c r="J1457" s="8" t="s">
        <v>31</v>
      </c>
      <c r="K1457" s="12">
        <f>_xlfn.XLOOKUP(B1457,[1]Sheet1!$B:$B,[1]Sheet1!$N:$N,0)</f>
        <v>0</v>
      </c>
      <c r="L1457" s="12">
        <f>_xlfn.XLOOKUP(B1457,[1]Sheet1!$B:$B,[1]Sheet1!$O:$O,0)</f>
        <v>0</v>
      </c>
      <c r="M1457" s="12">
        <f>_xlfn.XLOOKUP(B1457,[1]Sheet1!$B:$B,[1]Sheet1!$P:$P,0)</f>
        <v>0</v>
      </c>
      <c r="N1457" s="12">
        <f>_xlfn.XLOOKUP(B1457,[1]Sheet1!$B:$B,[1]Sheet1!$Q:$Q,0)</f>
        <v>0</v>
      </c>
      <c r="O1457" s="12">
        <f>_xlfn.XLOOKUP(B1457,[1]Sheet1!$B:$B,[1]Sheet1!$R:$R,0)</f>
        <v>0</v>
      </c>
      <c r="P1457" s="12">
        <f>_xlfn.XLOOKUP(B1457,[1]Sheet1!$B:$B,[1]Sheet1!$S:$S,0)</f>
        <v>0</v>
      </c>
      <c r="Q1457" s="12">
        <f>_xlfn.XLOOKUP(B1457,[1]Sheet1!$B:$B,[1]Sheet1!$T:$T,0)</f>
        <v>0</v>
      </c>
      <c r="R1457" s="12">
        <f>_xlfn.XLOOKUP(B1457,[1]Sheet1!$B:$B,[1]Sheet1!$U:$U,0)</f>
        <v>0</v>
      </c>
      <c r="S1457" s="12">
        <f>_xlfn.XLOOKUP(B1457,[1]Sheet1!$B:$B,[1]Sheet1!$V:$V,0)</f>
        <v>0</v>
      </c>
      <c r="T1457" s="12">
        <f>_xlfn.XLOOKUP(B1457,[1]Sheet1!$B:$B,[1]Sheet1!$W:$W,0)</f>
        <v>0</v>
      </c>
      <c r="U1457" s="12">
        <f>_xlfn.XLOOKUP(B1457,[1]Sheet1!$B:$B,[1]Sheet1!$X:$X,0)</f>
        <v>0</v>
      </c>
      <c r="V1457" s="12">
        <f>_xlfn.XLOOKUP(B1457,[1]Sheet1!$B:$B,[1]Sheet1!$Y:$Y,0)</f>
        <v>0</v>
      </c>
      <c r="W1457" s="12">
        <f t="shared" si="47"/>
        <v>0</v>
      </c>
      <c r="X1457" s="8" t="s">
        <v>2293</v>
      </c>
      <c r="Y1457" s="8" t="s">
        <v>2208</v>
      </c>
      <c r="Z1457" s="8" t="s">
        <v>2289</v>
      </c>
      <c r="AA1457" s="8" t="s">
        <v>1159</v>
      </c>
      <c r="AB1457" s="8" t="s">
        <v>93</v>
      </c>
      <c r="AC1457" s="8" t="s">
        <v>94</v>
      </c>
      <c r="AD1457" s="8" t="s">
        <v>482</v>
      </c>
      <c r="AE1457" s="8" t="s">
        <v>2208</v>
      </c>
      <c r="AF1457" s="8" t="s">
        <v>2211</v>
      </c>
      <c r="AG1457" s="9">
        <v>9170</v>
      </c>
      <c r="AH1457" s="11">
        <f>_xlfn.XLOOKUP(B1457,[1]Sheet1!$B:$B,[1]Sheet1!$AB:$AB,0)</f>
        <v>0</v>
      </c>
    </row>
    <row r="1458" spans="2:34" ht="16.8" thickTop="1" thickBot="1" x14ac:dyDescent="0.35">
      <c r="B1458" s="3" t="str">
        <f t="shared" si="46"/>
        <v>451418045170000154510765493120300105</v>
      </c>
      <c r="C1458" s="6" t="s">
        <v>2246</v>
      </c>
      <c r="D1458" s="6" t="s">
        <v>2285</v>
      </c>
      <c r="E1458" s="6" t="s">
        <v>2286</v>
      </c>
      <c r="F1458" s="6" t="s">
        <v>2309</v>
      </c>
      <c r="G1458" s="4" t="s">
        <v>2888</v>
      </c>
      <c r="H1458" s="4" t="s">
        <v>2923</v>
      </c>
      <c r="I1458" s="6" t="s">
        <v>2306</v>
      </c>
      <c r="J1458" s="6" t="s">
        <v>31</v>
      </c>
      <c r="K1458" s="12">
        <f>_xlfn.XLOOKUP(B1458,[1]Sheet1!$B:$B,[1]Sheet1!$N:$N,0)</f>
        <v>0</v>
      </c>
      <c r="L1458" s="12">
        <f>_xlfn.XLOOKUP(B1458,[1]Sheet1!$B:$B,[1]Sheet1!$O:$O,0)</f>
        <v>0</v>
      </c>
      <c r="M1458" s="12">
        <f>_xlfn.XLOOKUP(B1458,[1]Sheet1!$B:$B,[1]Sheet1!$P:$P,0)</f>
        <v>0</v>
      </c>
      <c r="N1458" s="12">
        <f>_xlfn.XLOOKUP(B1458,[1]Sheet1!$B:$B,[1]Sheet1!$Q:$Q,0)</f>
        <v>0</v>
      </c>
      <c r="O1458" s="12">
        <f>_xlfn.XLOOKUP(B1458,[1]Sheet1!$B:$B,[1]Sheet1!$R:$R,0)</f>
        <v>0</v>
      </c>
      <c r="P1458" s="12">
        <f>_xlfn.XLOOKUP(B1458,[1]Sheet1!$B:$B,[1]Sheet1!$S:$S,0)</f>
        <v>0</v>
      </c>
      <c r="Q1458" s="12">
        <f>_xlfn.XLOOKUP(B1458,[1]Sheet1!$B:$B,[1]Sheet1!$T:$T,0)</f>
        <v>0</v>
      </c>
      <c r="R1458" s="12">
        <f>_xlfn.XLOOKUP(B1458,[1]Sheet1!$B:$B,[1]Sheet1!$U:$U,0)</f>
        <v>0</v>
      </c>
      <c r="S1458" s="12">
        <f>_xlfn.XLOOKUP(B1458,[1]Sheet1!$B:$B,[1]Sheet1!$V:$V,0)</f>
        <v>0</v>
      </c>
      <c r="T1458" s="12">
        <f>_xlfn.XLOOKUP(B1458,[1]Sheet1!$B:$B,[1]Sheet1!$W:$W,0)</f>
        <v>0</v>
      </c>
      <c r="U1458" s="12">
        <f>_xlfn.XLOOKUP(B1458,[1]Sheet1!$B:$B,[1]Sheet1!$X:$X,0)</f>
        <v>0</v>
      </c>
      <c r="V1458" s="12">
        <f>_xlfn.XLOOKUP(B1458,[1]Sheet1!$B:$B,[1]Sheet1!$Y:$Y,0)</f>
        <v>0</v>
      </c>
      <c r="W1458" s="12">
        <f t="shared" si="47"/>
        <v>0</v>
      </c>
      <c r="X1458" s="6" t="s">
        <v>2307</v>
      </c>
      <c r="Y1458" s="6" t="s">
        <v>2208</v>
      </c>
      <c r="Z1458" s="6" t="s">
        <v>2289</v>
      </c>
      <c r="AA1458" s="6" t="s">
        <v>2306</v>
      </c>
      <c r="AB1458" s="6" t="s">
        <v>93</v>
      </c>
      <c r="AC1458" s="6" t="s">
        <v>94</v>
      </c>
      <c r="AD1458" s="6" t="s">
        <v>482</v>
      </c>
      <c r="AE1458" s="6" t="s">
        <v>2208</v>
      </c>
      <c r="AF1458" s="6" t="s">
        <v>2211</v>
      </c>
      <c r="AG1458" s="7">
        <v>210800</v>
      </c>
      <c r="AH1458" s="11">
        <f>_xlfn.XLOOKUP(B1458,[1]Sheet1!$B:$B,[1]Sheet1!$AB:$AB,0)</f>
        <v>0</v>
      </c>
    </row>
    <row r="1459" spans="2:34" ht="16.8" thickTop="1" thickBot="1" x14ac:dyDescent="0.35">
      <c r="B1459" s="3" t="str">
        <f t="shared" si="46"/>
        <v>451418045170000154510766491320300105</v>
      </c>
      <c r="C1459" s="8" t="s">
        <v>2246</v>
      </c>
      <c r="D1459" s="8" t="s">
        <v>2285</v>
      </c>
      <c r="E1459" s="8" t="s">
        <v>2286</v>
      </c>
      <c r="F1459" s="8" t="s">
        <v>2310</v>
      </c>
      <c r="G1459" s="4" t="s">
        <v>2866</v>
      </c>
      <c r="H1459" s="4" t="s">
        <v>2923</v>
      </c>
      <c r="I1459" s="8" t="s">
        <v>1159</v>
      </c>
      <c r="J1459" s="8" t="s">
        <v>31</v>
      </c>
      <c r="K1459" s="12">
        <f>_xlfn.XLOOKUP(B1459,[1]Sheet1!$B:$B,[1]Sheet1!$N:$N,0)</f>
        <v>0</v>
      </c>
      <c r="L1459" s="12">
        <f>_xlfn.XLOOKUP(B1459,[1]Sheet1!$B:$B,[1]Sheet1!$O:$O,0)</f>
        <v>0</v>
      </c>
      <c r="M1459" s="12">
        <f>_xlfn.XLOOKUP(B1459,[1]Sheet1!$B:$B,[1]Sheet1!$P:$P,0)</f>
        <v>0</v>
      </c>
      <c r="N1459" s="12">
        <f>_xlfn.XLOOKUP(B1459,[1]Sheet1!$B:$B,[1]Sheet1!$Q:$Q,0)</f>
        <v>0</v>
      </c>
      <c r="O1459" s="12">
        <f>_xlfn.XLOOKUP(B1459,[1]Sheet1!$B:$B,[1]Sheet1!$R:$R,0)</f>
        <v>0</v>
      </c>
      <c r="P1459" s="12">
        <f>_xlfn.XLOOKUP(B1459,[1]Sheet1!$B:$B,[1]Sheet1!$S:$S,0)</f>
        <v>0</v>
      </c>
      <c r="Q1459" s="12">
        <f>_xlfn.XLOOKUP(B1459,[1]Sheet1!$B:$B,[1]Sheet1!$T:$T,0)</f>
        <v>0</v>
      </c>
      <c r="R1459" s="12">
        <f>_xlfn.XLOOKUP(B1459,[1]Sheet1!$B:$B,[1]Sheet1!$U:$U,0)</f>
        <v>0</v>
      </c>
      <c r="S1459" s="12">
        <f>_xlfn.XLOOKUP(B1459,[1]Sheet1!$B:$B,[1]Sheet1!$V:$V,0)</f>
        <v>0</v>
      </c>
      <c r="T1459" s="12">
        <f>_xlfn.XLOOKUP(B1459,[1]Sheet1!$B:$B,[1]Sheet1!$W:$W,0)</f>
        <v>0</v>
      </c>
      <c r="U1459" s="12">
        <f>_xlfn.XLOOKUP(B1459,[1]Sheet1!$B:$B,[1]Sheet1!$X:$X,0)</f>
        <v>0</v>
      </c>
      <c r="V1459" s="12">
        <f>_xlfn.XLOOKUP(B1459,[1]Sheet1!$B:$B,[1]Sheet1!$Y:$Y,0)</f>
        <v>0</v>
      </c>
      <c r="W1459" s="12">
        <f t="shared" si="47"/>
        <v>0</v>
      </c>
      <c r="X1459" s="8" t="s">
        <v>2293</v>
      </c>
      <c r="Y1459" s="8" t="s">
        <v>2208</v>
      </c>
      <c r="Z1459" s="8" t="s">
        <v>2289</v>
      </c>
      <c r="AA1459" s="8" t="s">
        <v>1159</v>
      </c>
      <c r="AB1459" s="8" t="s">
        <v>93</v>
      </c>
      <c r="AC1459" s="8" t="s">
        <v>94</v>
      </c>
      <c r="AD1459" s="8" t="s">
        <v>482</v>
      </c>
      <c r="AE1459" s="8" t="s">
        <v>2208</v>
      </c>
      <c r="AF1459" s="8" t="s">
        <v>2211</v>
      </c>
      <c r="AG1459" s="9">
        <v>49363</v>
      </c>
      <c r="AH1459" s="11">
        <f>_xlfn.XLOOKUP(B1459,[1]Sheet1!$B:$B,[1]Sheet1!$AB:$AB,0)</f>
        <v>0</v>
      </c>
    </row>
    <row r="1460" spans="2:34" ht="16.8" thickTop="1" thickBot="1" x14ac:dyDescent="0.35">
      <c r="B1460" s="3" t="str">
        <f t="shared" si="46"/>
        <v>451418045170000154510766493120300105</v>
      </c>
      <c r="C1460" s="6" t="s">
        <v>2246</v>
      </c>
      <c r="D1460" s="6" t="s">
        <v>2285</v>
      </c>
      <c r="E1460" s="6" t="s">
        <v>2286</v>
      </c>
      <c r="F1460" s="6" t="s">
        <v>2310</v>
      </c>
      <c r="G1460" s="4" t="s">
        <v>2888</v>
      </c>
      <c r="H1460" s="4" t="s">
        <v>2923</v>
      </c>
      <c r="I1460" s="6" t="s">
        <v>2306</v>
      </c>
      <c r="J1460" s="6" t="s">
        <v>31</v>
      </c>
      <c r="K1460" s="12">
        <f>_xlfn.XLOOKUP(B1460,[1]Sheet1!$B:$B,[1]Sheet1!$N:$N,0)</f>
        <v>0</v>
      </c>
      <c r="L1460" s="12">
        <f>_xlfn.XLOOKUP(B1460,[1]Sheet1!$B:$B,[1]Sheet1!$O:$O,0)</f>
        <v>0</v>
      </c>
      <c r="M1460" s="12">
        <f>_xlfn.XLOOKUP(B1460,[1]Sheet1!$B:$B,[1]Sheet1!$P:$P,0)</f>
        <v>0</v>
      </c>
      <c r="N1460" s="12">
        <f>_xlfn.XLOOKUP(B1460,[1]Sheet1!$B:$B,[1]Sheet1!$Q:$Q,0)</f>
        <v>0</v>
      </c>
      <c r="O1460" s="12">
        <f>_xlfn.XLOOKUP(B1460,[1]Sheet1!$B:$B,[1]Sheet1!$R:$R,0)</f>
        <v>0</v>
      </c>
      <c r="P1460" s="12">
        <f>_xlfn.XLOOKUP(B1460,[1]Sheet1!$B:$B,[1]Sheet1!$S:$S,0)</f>
        <v>0</v>
      </c>
      <c r="Q1460" s="12">
        <f>_xlfn.XLOOKUP(B1460,[1]Sheet1!$B:$B,[1]Sheet1!$T:$T,0)</f>
        <v>0</v>
      </c>
      <c r="R1460" s="12">
        <f>_xlfn.XLOOKUP(B1460,[1]Sheet1!$B:$B,[1]Sheet1!$U:$U,0)</f>
        <v>0</v>
      </c>
      <c r="S1460" s="12">
        <f>_xlfn.XLOOKUP(B1460,[1]Sheet1!$B:$B,[1]Sheet1!$V:$V,0)</f>
        <v>0</v>
      </c>
      <c r="T1460" s="12">
        <f>_xlfn.XLOOKUP(B1460,[1]Sheet1!$B:$B,[1]Sheet1!$W:$W,0)</f>
        <v>0</v>
      </c>
      <c r="U1460" s="12">
        <f>_xlfn.XLOOKUP(B1460,[1]Sheet1!$B:$B,[1]Sheet1!$X:$X,0)</f>
        <v>0</v>
      </c>
      <c r="V1460" s="12">
        <f>_xlfn.XLOOKUP(B1460,[1]Sheet1!$B:$B,[1]Sheet1!$Y:$Y,0)</f>
        <v>0</v>
      </c>
      <c r="W1460" s="12">
        <f t="shared" si="47"/>
        <v>0</v>
      </c>
      <c r="X1460" s="6" t="s">
        <v>2307</v>
      </c>
      <c r="Y1460" s="6" t="s">
        <v>2208</v>
      </c>
      <c r="Z1460" s="6" t="s">
        <v>2289</v>
      </c>
      <c r="AA1460" s="6" t="s">
        <v>2306</v>
      </c>
      <c r="AB1460" s="6" t="s">
        <v>93</v>
      </c>
      <c r="AC1460" s="6" t="s">
        <v>94</v>
      </c>
      <c r="AD1460" s="6" t="s">
        <v>482</v>
      </c>
      <c r="AE1460" s="6" t="s">
        <v>2208</v>
      </c>
      <c r="AF1460" s="6" t="s">
        <v>2211</v>
      </c>
      <c r="AG1460" s="7">
        <v>6000000</v>
      </c>
      <c r="AH1460" s="11">
        <f>_xlfn.XLOOKUP(B1460,[1]Sheet1!$B:$B,[1]Sheet1!$AB:$AB,0)</f>
        <v>0</v>
      </c>
    </row>
    <row r="1461" spans="2:34" ht="16.8" thickTop="1" thickBot="1" x14ac:dyDescent="0.35">
      <c r="B1461" s="3" t="str">
        <f t="shared" si="46"/>
        <v>451418045170000154510767491320300105</v>
      </c>
      <c r="C1461" s="8" t="s">
        <v>2246</v>
      </c>
      <c r="D1461" s="8" t="s">
        <v>2285</v>
      </c>
      <c r="E1461" s="8" t="s">
        <v>2286</v>
      </c>
      <c r="F1461" s="8" t="s">
        <v>2311</v>
      </c>
      <c r="G1461" s="4" t="s">
        <v>2866</v>
      </c>
      <c r="H1461" s="4" t="s">
        <v>2923</v>
      </c>
      <c r="I1461" s="8" t="s">
        <v>1159</v>
      </c>
      <c r="J1461" s="8" t="s">
        <v>31</v>
      </c>
      <c r="K1461" s="12">
        <f>_xlfn.XLOOKUP(B1461,[1]Sheet1!$B:$B,[1]Sheet1!$N:$N,0)</f>
        <v>0</v>
      </c>
      <c r="L1461" s="12">
        <f>_xlfn.XLOOKUP(B1461,[1]Sheet1!$B:$B,[1]Sheet1!$O:$O,0)</f>
        <v>0</v>
      </c>
      <c r="M1461" s="12">
        <f>_xlfn.XLOOKUP(B1461,[1]Sheet1!$B:$B,[1]Sheet1!$P:$P,0)</f>
        <v>0</v>
      </c>
      <c r="N1461" s="12">
        <f>_xlfn.XLOOKUP(B1461,[1]Sheet1!$B:$B,[1]Sheet1!$Q:$Q,0)</f>
        <v>0</v>
      </c>
      <c r="O1461" s="12">
        <f>_xlfn.XLOOKUP(B1461,[1]Sheet1!$B:$B,[1]Sheet1!$R:$R,0)</f>
        <v>0</v>
      </c>
      <c r="P1461" s="12">
        <f>_xlfn.XLOOKUP(B1461,[1]Sheet1!$B:$B,[1]Sheet1!$S:$S,0)</f>
        <v>0</v>
      </c>
      <c r="Q1461" s="12">
        <f>_xlfn.XLOOKUP(B1461,[1]Sheet1!$B:$B,[1]Sheet1!$T:$T,0)</f>
        <v>0</v>
      </c>
      <c r="R1461" s="12">
        <f>_xlfn.XLOOKUP(B1461,[1]Sheet1!$B:$B,[1]Sheet1!$U:$U,0)</f>
        <v>0</v>
      </c>
      <c r="S1461" s="12">
        <f>_xlfn.XLOOKUP(B1461,[1]Sheet1!$B:$B,[1]Sheet1!$V:$V,0)</f>
        <v>0</v>
      </c>
      <c r="T1461" s="12">
        <f>_xlfn.XLOOKUP(B1461,[1]Sheet1!$B:$B,[1]Sheet1!$W:$W,0)</f>
        <v>0</v>
      </c>
      <c r="U1461" s="12">
        <f>_xlfn.XLOOKUP(B1461,[1]Sheet1!$B:$B,[1]Sheet1!$X:$X,0)</f>
        <v>0</v>
      </c>
      <c r="V1461" s="12">
        <f>_xlfn.XLOOKUP(B1461,[1]Sheet1!$B:$B,[1]Sheet1!$Y:$Y,0)</f>
        <v>0</v>
      </c>
      <c r="W1461" s="12">
        <f t="shared" si="47"/>
        <v>0</v>
      </c>
      <c r="X1461" s="8" t="s">
        <v>2293</v>
      </c>
      <c r="Y1461" s="8" t="s">
        <v>2208</v>
      </c>
      <c r="Z1461" s="8" t="s">
        <v>2289</v>
      </c>
      <c r="AA1461" s="8" t="s">
        <v>1159</v>
      </c>
      <c r="AB1461" s="8" t="s">
        <v>93</v>
      </c>
      <c r="AC1461" s="8" t="s">
        <v>94</v>
      </c>
      <c r="AD1461" s="8" t="s">
        <v>482</v>
      </c>
      <c r="AE1461" s="8" t="s">
        <v>2208</v>
      </c>
      <c r="AF1461" s="8" t="s">
        <v>2211</v>
      </c>
      <c r="AG1461" s="9">
        <v>32770</v>
      </c>
      <c r="AH1461" s="11">
        <f>_xlfn.XLOOKUP(B1461,[1]Sheet1!$B:$B,[1]Sheet1!$AB:$AB,0)</f>
        <v>0</v>
      </c>
    </row>
    <row r="1462" spans="2:34" ht="16.8" thickTop="1" thickBot="1" x14ac:dyDescent="0.35">
      <c r="B1462" s="3" t="str">
        <f t="shared" si="46"/>
        <v>451418045170000154510767493120300105</v>
      </c>
      <c r="C1462" s="6" t="s">
        <v>2246</v>
      </c>
      <c r="D1462" s="6" t="s">
        <v>2285</v>
      </c>
      <c r="E1462" s="6" t="s">
        <v>2286</v>
      </c>
      <c r="F1462" s="6" t="s">
        <v>2311</v>
      </c>
      <c r="G1462" s="4" t="s">
        <v>2888</v>
      </c>
      <c r="H1462" s="4" t="s">
        <v>2923</v>
      </c>
      <c r="I1462" s="6" t="s">
        <v>2306</v>
      </c>
      <c r="J1462" s="6" t="s">
        <v>31</v>
      </c>
      <c r="K1462" s="12">
        <f>_xlfn.XLOOKUP(B1462,[1]Sheet1!$B:$B,[1]Sheet1!$N:$N,0)</f>
        <v>0</v>
      </c>
      <c r="L1462" s="12">
        <f>_xlfn.XLOOKUP(B1462,[1]Sheet1!$B:$B,[1]Sheet1!$O:$O,0)</f>
        <v>0</v>
      </c>
      <c r="M1462" s="12">
        <f>_xlfn.XLOOKUP(B1462,[1]Sheet1!$B:$B,[1]Sheet1!$P:$P,0)</f>
        <v>0</v>
      </c>
      <c r="N1462" s="12">
        <f>_xlfn.XLOOKUP(B1462,[1]Sheet1!$B:$B,[1]Sheet1!$Q:$Q,0)</f>
        <v>0</v>
      </c>
      <c r="O1462" s="12">
        <f>_xlfn.XLOOKUP(B1462,[1]Sheet1!$B:$B,[1]Sheet1!$R:$R,0)</f>
        <v>0</v>
      </c>
      <c r="P1462" s="12">
        <f>_xlfn.XLOOKUP(B1462,[1]Sheet1!$B:$B,[1]Sheet1!$S:$S,0)</f>
        <v>0</v>
      </c>
      <c r="Q1462" s="12">
        <f>_xlfn.XLOOKUP(B1462,[1]Sheet1!$B:$B,[1]Sheet1!$T:$T,0)</f>
        <v>0</v>
      </c>
      <c r="R1462" s="12">
        <f>_xlfn.XLOOKUP(B1462,[1]Sheet1!$B:$B,[1]Sheet1!$U:$U,0)</f>
        <v>0</v>
      </c>
      <c r="S1462" s="12">
        <f>_xlfn.XLOOKUP(B1462,[1]Sheet1!$B:$B,[1]Sheet1!$V:$V,0)</f>
        <v>0</v>
      </c>
      <c r="T1462" s="12">
        <f>_xlfn.XLOOKUP(B1462,[1]Sheet1!$B:$B,[1]Sheet1!$W:$W,0)</f>
        <v>0</v>
      </c>
      <c r="U1462" s="12">
        <f>_xlfn.XLOOKUP(B1462,[1]Sheet1!$B:$B,[1]Sheet1!$X:$X,0)</f>
        <v>0</v>
      </c>
      <c r="V1462" s="12">
        <f>_xlfn.XLOOKUP(B1462,[1]Sheet1!$B:$B,[1]Sheet1!$Y:$Y,0)</f>
        <v>0</v>
      </c>
      <c r="W1462" s="12">
        <f t="shared" si="47"/>
        <v>0</v>
      </c>
      <c r="X1462" s="6" t="s">
        <v>2307</v>
      </c>
      <c r="Y1462" s="6" t="s">
        <v>2208</v>
      </c>
      <c r="Z1462" s="6" t="s">
        <v>2289</v>
      </c>
      <c r="AA1462" s="6" t="s">
        <v>2306</v>
      </c>
      <c r="AB1462" s="6" t="s">
        <v>93</v>
      </c>
      <c r="AC1462" s="6" t="s">
        <v>94</v>
      </c>
      <c r="AD1462" s="6" t="s">
        <v>482</v>
      </c>
      <c r="AE1462" s="6" t="s">
        <v>2208</v>
      </c>
      <c r="AF1462" s="6" t="s">
        <v>2211</v>
      </c>
      <c r="AG1462" s="7">
        <v>101982</v>
      </c>
      <c r="AH1462" s="11">
        <f>_xlfn.XLOOKUP(B1462,[1]Sheet1!$B:$B,[1]Sheet1!$AB:$AB,0)</f>
        <v>0</v>
      </c>
    </row>
    <row r="1463" spans="2:34" ht="16.8" thickTop="1" thickBot="1" x14ac:dyDescent="0.35">
      <c r="B1463" s="3" t="str">
        <f t="shared" si="46"/>
        <v>451418045170000154510810423711200104</v>
      </c>
      <c r="C1463" s="8" t="s">
        <v>2246</v>
      </c>
      <c r="D1463" s="8" t="s">
        <v>2285</v>
      </c>
      <c r="E1463" s="8" t="s">
        <v>2286</v>
      </c>
      <c r="F1463" s="8" t="s">
        <v>2312</v>
      </c>
      <c r="G1463" s="4" t="s">
        <v>2878</v>
      </c>
      <c r="H1463" s="4" t="s">
        <v>2922</v>
      </c>
      <c r="I1463" s="8" t="s">
        <v>1826</v>
      </c>
      <c r="J1463" s="8" t="s">
        <v>31</v>
      </c>
      <c r="K1463" s="12">
        <f>_xlfn.XLOOKUP(B1463,[1]Sheet1!$B:$B,[1]Sheet1!$N:$N,0)</f>
        <v>0</v>
      </c>
      <c r="L1463" s="12">
        <f>_xlfn.XLOOKUP(B1463,[1]Sheet1!$B:$B,[1]Sheet1!$O:$O,0)</f>
        <v>0</v>
      </c>
      <c r="M1463" s="12">
        <f>_xlfn.XLOOKUP(B1463,[1]Sheet1!$B:$B,[1]Sheet1!$P:$P,0)</f>
        <v>0</v>
      </c>
      <c r="N1463" s="12">
        <f>_xlfn.XLOOKUP(B1463,[1]Sheet1!$B:$B,[1]Sheet1!$Q:$Q,0)</f>
        <v>0</v>
      </c>
      <c r="O1463" s="12">
        <f>_xlfn.XLOOKUP(B1463,[1]Sheet1!$B:$B,[1]Sheet1!$R:$R,0)</f>
        <v>0</v>
      </c>
      <c r="P1463" s="12">
        <f>_xlfn.XLOOKUP(B1463,[1]Sheet1!$B:$B,[1]Sheet1!$S:$S,0)</f>
        <v>0</v>
      </c>
      <c r="Q1463" s="12">
        <f>_xlfn.XLOOKUP(B1463,[1]Sheet1!$B:$B,[1]Sheet1!$T:$T,0)</f>
        <v>0</v>
      </c>
      <c r="R1463" s="12">
        <f>_xlfn.XLOOKUP(B1463,[1]Sheet1!$B:$B,[1]Sheet1!$U:$U,0)</f>
        <v>0</v>
      </c>
      <c r="S1463" s="12">
        <f>_xlfn.XLOOKUP(B1463,[1]Sheet1!$B:$B,[1]Sheet1!$V:$V,0)</f>
        <v>0</v>
      </c>
      <c r="T1463" s="12">
        <f>_xlfn.XLOOKUP(B1463,[1]Sheet1!$B:$B,[1]Sheet1!$W:$W,0)</f>
        <v>0</v>
      </c>
      <c r="U1463" s="12">
        <f>_xlfn.XLOOKUP(B1463,[1]Sheet1!$B:$B,[1]Sheet1!$X:$X,0)</f>
        <v>0</v>
      </c>
      <c r="V1463" s="12">
        <f>_xlfn.XLOOKUP(B1463,[1]Sheet1!$B:$B,[1]Sheet1!$Y:$Y,0)</f>
        <v>0</v>
      </c>
      <c r="W1463" s="12">
        <f t="shared" si="47"/>
        <v>0</v>
      </c>
      <c r="X1463" s="8" t="s">
        <v>2291</v>
      </c>
      <c r="Y1463" s="8" t="s">
        <v>2208</v>
      </c>
      <c r="Z1463" s="8" t="s">
        <v>2289</v>
      </c>
      <c r="AA1463" s="8" t="s">
        <v>1828</v>
      </c>
      <c r="AB1463" s="8" t="s">
        <v>36</v>
      </c>
      <c r="AC1463" s="8" t="s">
        <v>37</v>
      </c>
      <c r="AD1463" s="8" t="s">
        <v>482</v>
      </c>
      <c r="AE1463" s="8" t="s">
        <v>2208</v>
      </c>
      <c r="AF1463" s="8" t="s">
        <v>2211</v>
      </c>
      <c r="AG1463" s="9">
        <v>1900920</v>
      </c>
      <c r="AH1463" s="11">
        <f>_xlfn.XLOOKUP(B1463,[1]Sheet1!$B:$B,[1]Sheet1!$AB:$AB,0)</f>
        <v>0</v>
      </c>
    </row>
    <row r="1464" spans="2:34" ht="16.8" thickTop="1" thickBot="1" x14ac:dyDescent="0.35">
      <c r="B1464" s="3" t="str">
        <f t="shared" si="46"/>
        <v>451418045170000154510811425308200104</v>
      </c>
      <c r="C1464" s="6" t="s">
        <v>2246</v>
      </c>
      <c r="D1464" s="6" t="s">
        <v>2285</v>
      </c>
      <c r="E1464" s="6" t="s">
        <v>2286</v>
      </c>
      <c r="F1464" s="6" t="s">
        <v>2313</v>
      </c>
      <c r="G1464" s="4" t="s">
        <v>2886</v>
      </c>
      <c r="H1464" s="4" t="s">
        <v>2922</v>
      </c>
      <c r="I1464" s="6" t="s">
        <v>2297</v>
      </c>
      <c r="J1464" s="6" t="s">
        <v>31</v>
      </c>
      <c r="K1464" s="12">
        <f>_xlfn.XLOOKUP(B1464,[1]Sheet1!$B:$B,[1]Sheet1!$N:$N,0)</f>
        <v>0</v>
      </c>
      <c r="L1464" s="12">
        <f>_xlfn.XLOOKUP(B1464,[1]Sheet1!$B:$B,[1]Sheet1!$O:$O,0)</f>
        <v>0</v>
      </c>
      <c r="M1464" s="12">
        <f>_xlfn.XLOOKUP(B1464,[1]Sheet1!$B:$B,[1]Sheet1!$P:$P,0)</f>
        <v>0</v>
      </c>
      <c r="N1464" s="12">
        <f>_xlfn.XLOOKUP(B1464,[1]Sheet1!$B:$B,[1]Sheet1!$Q:$Q,0)</f>
        <v>0</v>
      </c>
      <c r="O1464" s="12">
        <f>_xlfn.XLOOKUP(B1464,[1]Sheet1!$B:$B,[1]Sheet1!$R:$R,0)</f>
        <v>0</v>
      </c>
      <c r="P1464" s="12">
        <f>_xlfn.XLOOKUP(B1464,[1]Sheet1!$B:$B,[1]Sheet1!$S:$S,0)</f>
        <v>0</v>
      </c>
      <c r="Q1464" s="12">
        <f>_xlfn.XLOOKUP(B1464,[1]Sheet1!$B:$B,[1]Sheet1!$T:$T,0)</f>
        <v>0</v>
      </c>
      <c r="R1464" s="12">
        <f>_xlfn.XLOOKUP(B1464,[1]Sheet1!$B:$B,[1]Sheet1!$U:$U,0)</f>
        <v>0</v>
      </c>
      <c r="S1464" s="12">
        <f>_xlfn.XLOOKUP(B1464,[1]Sheet1!$B:$B,[1]Sheet1!$V:$V,0)</f>
        <v>0</v>
      </c>
      <c r="T1464" s="12">
        <f>_xlfn.XLOOKUP(B1464,[1]Sheet1!$B:$B,[1]Sheet1!$W:$W,0)</f>
        <v>0</v>
      </c>
      <c r="U1464" s="12">
        <f>_xlfn.XLOOKUP(B1464,[1]Sheet1!$B:$B,[1]Sheet1!$X:$X,0)</f>
        <v>0</v>
      </c>
      <c r="V1464" s="12">
        <f>_xlfn.XLOOKUP(B1464,[1]Sheet1!$B:$B,[1]Sheet1!$Y:$Y,0)</f>
        <v>0</v>
      </c>
      <c r="W1464" s="12">
        <f t="shared" si="47"/>
        <v>0</v>
      </c>
      <c r="X1464" s="6" t="s">
        <v>2298</v>
      </c>
      <c r="Y1464" s="6" t="s">
        <v>2208</v>
      </c>
      <c r="Z1464" s="6" t="s">
        <v>2289</v>
      </c>
      <c r="AA1464" s="6" t="s">
        <v>2297</v>
      </c>
      <c r="AB1464" s="6" t="s">
        <v>36</v>
      </c>
      <c r="AC1464" s="6" t="s">
        <v>37</v>
      </c>
      <c r="AD1464" s="6" t="s">
        <v>482</v>
      </c>
      <c r="AE1464" s="6" t="s">
        <v>2208</v>
      </c>
      <c r="AF1464" s="6" t="s">
        <v>2211</v>
      </c>
      <c r="AG1464" s="7">
        <v>72091</v>
      </c>
      <c r="AH1464" s="11">
        <f>_xlfn.XLOOKUP(B1464,[1]Sheet1!$B:$B,[1]Sheet1!$AB:$AB,0)</f>
        <v>0</v>
      </c>
    </row>
    <row r="1465" spans="2:34" ht="16.8" thickTop="1" thickBot="1" x14ac:dyDescent="0.35">
      <c r="B1465" s="3" t="str">
        <f t="shared" si="46"/>
        <v>451418045170000154510812422911200104</v>
      </c>
      <c r="C1465" s="8" t="s">
        <v>2246</v>
      </c>
      <c r="D1465" s="8" t="s">
        <v>2285</v>
      </c>
      <c r="E1465" s="8" t="s">
        <v>2286</v>
      </c>
      <c r="F1465" s="8" t="s">
        <v>2314</v>
      </c>
      <c r="G1465" s="4" t="s">
        <v>2863</v>
      </c>
      <c r="H1465" s="4" t="s">
        <v>2922</v>
      </c>
      <c r="I1465" s="8" t="s">
        <v>1009</v>
      </c>
      <c r="J1465" s="8" t="s">
        <v>31</v>
      </c>
      <c r="K1465" s="12">
        <f>_xlfn.XLOOKUP(B1465,[1]Sheet1!$B:$B,[1]Sheet1!$N:$N,0)</f>
        <v>0</v>
      </c>
      <c r="L1465" s="12">
        <f>_xlfn.XLOOKUP(B1465,[1]Sheet1!$B:$B,[1]Sheet1!$O:$O,0)</f>
        <v>0</v>
      </c>
      <c r="M1465" s="12">
        <f>_xlfn.XLOOKUP(B1465,[1]Sheet1!$B:$B,[1]Sheet1!$P:$P,0)</f>
        <v>0</v>
      </c>
      <c r="N1465" s="12">
        <f>_xlfn.XLOOKUP(B1465,[1]Sheet1!$B:$B,[1]Sheet1!$Q:$Q,0)</f>
        <v>0</v>
      </c>
      <c r="O1465" s="12">
        <f>_xlfn.XLOOKUP(B1465,[1]Sheet1!$B:$B,[1]Sheet1!$R:$R,0)</f>
        <v>0</v>
      </c>
      <c r="P1465" s="12">
        <f>_xlfn.XLOOKUP(B1465,[1]Sheet1!$B:$B,[1]Sheet1!$S:$S,0)</f>
        <v>0</v>
      </c>
      <c r="Q1465" s="12">
        <f>_xlfn.XLOOKUP(B1465,[1]Sheet1!$B:$B,[1]Sheet1!$T:$T,0)</f>
        <v>0</v>
      </c>
      <c r="R1465" s="12">
        <f>_xlfn.XLOOKUP(B1465,[1]Sheet1!$B:$B,[1]Sheet1!$U:$U,0)</f>
        <v>0</v>
      </c>
      <c r="S1465" s="12">
        <f>_xlfn.XLOOKUP(B1465,[1]Sheet1!$B:$B,[1]Sheet1!$V:$V,0)</f>
        <v>0</v>
      </c>
      <c r="T1465" s="12">
        <f>_xlfn.XLOOKUP(B1465,[1]Sheet1!$B:$B,[1]Sheet1!$W:$W,0)</f>
        <v>0</v>
      </c>
      <c r="U1465" s="12">
        <f>_xlfn.XLOOKUP(B1465,[1]Sheet1!$B:$B,[1]Sheet1!$X:$X,0)</f>
        <v>0</v>
      </c>
      <c r="V1465" s="12">
        <f>_xlfn.XLOOKUP(B1465,[1]Sheet1!$B:$B,[1]Sheet1!$Y:$Y,0)</f>
        <v>0</v>
      </c>
      <c r="W1465" s="12">
        <f t="shared" si="47"/>
        <v>0</v>
      </c>
      <c r="X1465" s="8" t="s">
        <v>2290</v>
      </c>
      <c r="Y1465" s="8" t="s">
        <v>2208</v>
      </c>
      <c r="Z1465" s="8" t="s">
        <v>2289</v>
      </c>
      <c r="AA1465" s="8" t="s">
        <v>1011</v>
      </c>
      <c r="AB1465" s="8" t="s">
        <v>36</v>
      </c>
      <c r="AC1465" s="8" t="s">
        <v>37</v>
      </c>
      <c r="AD1465" s="8" t="s">
        <v>482</v>
      </c>
      <c r="AE1465" s="8" t="s">
        <v>2208</v>
      </c>
      <c r="AF1465" s="8" t="s">
        <v>2211</v>
      </c>
      <c r="AG1465" s="9">
        <v>1235177.4099999999</v>
      </c>
      <c r="AH1465" s="11">
        <f>_xlfn.XLOOKUP(B1465,[1]Sheet1!$B:$B,[1]Sheet1!$AB:$AB,0)</f>
        <v>0</v>
      </c>
    </row>
    <row r="1466" spans="2:34" ht="16.8" thickTop="1" thickBot="1" x14ac:dyDescent="0.35">
      <c r="B1466" s="3" t="str">
        <f t="shared" si="46"/>
        <v>451418045170000154510813422213200104</v>
      </c>
      <c r="C1466" s="6" t="s">
        <v>2246</v>
      </c>
      <c r="D1466" s="6" t="s">
        <v>2285</v>
      </c>
      <c r="E1466" s="6" t="s">
        <v>2286</v>
      </c>
      <c r="F1466" s="6" t="s">
        <v>2315</v>
      </c>
      <c r="G1466" s="4" t="s">
        <v>2846</v>
      </c>
      <c r="H1466" s="4" t="s">
        <v>2922</v>
      </c>
      <c r="I1466" s="6" t="s">
        <v>484</v>
      </c>
      <c r="J1466" s="6" t="s">
        <v>31</v>
      </c>
      <c r="K1466" s="12">
        <f>_xlfn.XLOOKUP(B1466,[1]Sheet1!$B:$B,[1]Sheet1!$N:$N,0)</f>
        <v>0</v>
      </c>
      <c r="L1466" s="12">
        <f>_xlfn.XLOOKUP(B1466,[1]Sheet1!$B:$B,[1]Sheet1!$O:$O,0)</f>
        <v>0</v>
      </c>
      <c r="M1466" s="12">
        <f>_xlfn.XLOOKUP(B1466,[1]Sheet1!$B:$B,[1]Sheet1!$P:$P,0)</f>
        <v>0</v>
      </c>
      <c r="N1466" s="12">
        <f>_xlfn.XLOOKUP(B1466,[1]Sheet1!$B:$B,[1]Sheet1!$Q:$Q,0)</f>
        <v>0</v>
      </c>
      <c r="O1466" s="12">
        <f>_xlfn.XLOOKUP(B1466,[1]Sheet1!$B:$B,[1]Sheet1!$R:$R,0)</f>
        <v>0</v>
      </c>
      <c r="P1466" s="12">
        <f>_xlfn.XLOOKUP(B1466,[1]Sheet1!$B:$B,[1]Sheet1!$S:$S,0)</f>
        <v>0</v>
      </c>
      <c r="Q1466" s="12">
        <f>_xlfn.XLOOKUP(B1466,[1]Sheet1!$B:$B,[1]Sheet1!$T:$T,0)</f>
        <v>0</v>
      </c>
      <c r="R1466" s="12">
        <f>_xlfn.XLOOKUP(B1466,[1]Sheet1!$B:$B,[1]Sheet1!$U:$U,0)</f>
        <v>0</v>
      </c>
      <c r="S1466" s="12">
        <f>_xlfn.XLOOKUP(B1466,[1]Sheet1!$B:$B,[1]Sheet1!$V:$V,0)</f>
        <v>0</v>
      </c>
      <c r="T1466" s="12">
        <f>_xlfn.XLOOKUP(B1466,[1]Sheet1!$B:$B,[1]Sheet1!$W:$W,0)</f>
        <v>0</v>
      </c>
      <c r="U1466" s="12">
        <f>_xlfn.XLOOKUP(B1466,[1]Sheet1!$B:$B,[1]Sheet1!$X:$X,0)</f>
        <v>0</v>
      </c>
      <c r="V1466" s="12">
        <f>_xlfn.XLOOKUP(B1466,[1]Sheet1!$B:$B,[1]Sheet1!$Y:$Y,0)</f>
        <v>0</v>
      </c>
      <c r="W1466" s="12">
        <f t="shared" si="47"/>
        <v>0</v>
      </c>
      <c r="X1466" s="6" t="s">
        <v>2295</v>
      </c>
      <c r="Y1466" s="6" t="s">
        <v>2208</v>
      </c>
      <c r="Z1466" s="6" t="s">
        <v>2289</v>
      </c>
      <c r="AA1466" s="6" t="s">
        <v>486</v>
      </c>
      <c r="AB1466" s="6" t="s">
        <v>36</v>
      </c>
      <c r="AC1466" s="6" t="s">
        <v>37</v>
      </c>
      <c r="AD1466" s="6" t="s">
        <v>482</v>
      </c>
      <c r="AE1466" s="6" t="s">
        <v>2208</v>
      </c>
      <c r="AF1466" s="6" t="s">
        <v>2211</v>
      </c>
      <c r="AG1466" s="7">
        <v>905655</v>
      </c>
      <c r="AH1466" s="11">
        <f>_xlfn.XLOOKUP(B1466,[1]Sheet1!$B:$B,[1]Sheet1!$AB:$AB,0)</f>
        <v>0</v>
      </c>
    </row>
    <row r="1467" spans="2:34" ht="16.8" thickTop="1" thickBot="1" x14ac:dyDescent="0.35">
      <c r="B1467" s="3" t="str">
        <f t="shared" si="46"/>
        <v>451418045170000154510814493120300105</v>
      </c>
      <c r="C1467" s="8" t="s">
        <v>2246</v>
      </c>
      <c r="D1467" s="8" t="s">
        <v>2285</v>
      </c>
      <c r="E1467" s="8" t="s">
        <v>2286</v>
      </c>
      <c r="F1467" s="8" t="s">
        <v>2316</v>
      </c>
      <c r="G1467" s="4" t="s">
        <v>2888</v>
      </c>
      <c r="H1467" s="4" t="s">
        <v>2923</v>
      </c>
      <c r="I1467" s="8" t="s">
        <v>2306</v>
      </c>
      <c r="J1467" s="8" t="s">
        <v>31</v>
      </c>
      <c r="K1467" s="12">
        <f>_xlfn.XLOOKUP(B1467,[1]Sheet1!$B:$B,[1]Sheet1!$N:$N,0)</f>
        <v>0</v>
      </c>
      <c r="L1467" s="12">
        <f>_xlfn.XLOOKUP(B1467,[1]Sheet1!$B:$B,[1]Sheet1!$O:$O,0)</f>
        <v>0</v>
      </c>
      <c r="M1467" s="12">
        <f>_xlfn.XLOOKUP(B1467,[1]Sheet1!$B:$B,[1]Sheet1!$P:$P,0)</f>
        <v>0</v>
      </c>
      <c r="N1467" s="12">
        <f>_xlfn.XLOOKUP(B1467,[1]Sheet1!$B:$B,[1]Sheet1!$Q:$Q,0)</f>
        <v>0</v>
      </c>
      <c r="O1467" s="12">
        <f>_xlfn.XLOOKUP(B1467,[1]Sheet1!$B:$B,[1]Sheet1!$R:$R,0)</f>
        <v>0</v>
      </c>
      <c r="P1467" s="12">
        <f>_xlfn.XLOOKUP(B1467,[1]Sheet1!$B:$B,[1]Sheet1!$S:$S,0)</f>
        <v>0</v>
      </c>
      <c r="Q1467" s="12">
        <f>_xlfn.XLOOKUP(B1467,[1]Sheet1!$B:$B,[1]Sheet1!$T:$T,0)</f>
        <v>0</v>
      </c>
      <c r="R1467" s="12">
        <f>_xlfn.XLOOKUP(B1467,[1]Sheet1!$B:$B,[1]Sheet1!$U:$U,0)</f>
        <v>0</v>
      </c>
      <c r="S1467" s="12">
        <f>_xlfn.XLOOKUP(B1467,[1]Sheet1!$B:$B,[1]Sheet1!$V:$V,0)</f>
        <v>0</v>
      </c>
      <c r="T1467" s="12">
        <f>_xlfn.XLOOKUP(B1467,[1]Sheet1!$B:$B,[1]Sheet1!$W:$W,0)</f>
        <v>0</v>
      </c>
      <c r="U1467" s="12">
        <f>_xlfn.XLOOKUP(B1467,[1]Sheet1!$B:$B,[1]Sheet1!$X:$X,0)</f>
        <v>0</v>
      </c>
      <c r="V1467" s="12">
        <f>_xlfn.XLOOKUP(B1467,[1]Sheet1!$B:$B,[1]Sheet1!$Y:$Y,0)</f>
        <v>0</v>
      </c>
      <c r="W1467" s="12">
        <f t="shared" si="47"/>
        <v>0</v>
      </c>
      <c r="X1467" s="8" t="s">
        <v>2307</v>
      </c>
      <c r="Y1467" s="8" t="s">
        <v>2208</v>
      </c>
      <c r="Z1467" s="8" t="s">
        <v>2289</v>
      </c>
      <c r="AA1467" s="8" t="s">
        <v>2306</v>
      </c>
      <c r="AB1467" s="8" t="s">
        <v>93</v>
      </c>
      <c r="AC1467" s="8" t="s">
        <v>94</v>
      </c>
      <c r="AD1467" s="8" t="s">
        <v>482</v>
      </c>
      <c r="AE1467" s="8" t="s">
        <v>2208</v>
      </c>
      <c r="AF1467" s="8" t="s">
        <v>2211</v>
      </c>
      <c r="AG1467" s="9">
        <v>493533</v>
      </c>
      <c r="AH1467" s="11">
        <f>_xlfn.XLOOKUP(B1467,[1]Sheet1!$B:$B,[1]Sheet1!$AB:$AB,0)</f>
        <v>0</v>
      </c>
    </row>
    <row r="1468" spans="2:34" ht="16.8" thickTop="1" thickBot="1" x14ac:dyDescent="0.35">
      <c r="B1468" s="3" t="str">
        <f t="shared" si="46"/>
        <v>451418045170000154510815491320300105</v>
      </c>
      <c r="C1468" s="6" t="s">
        <v>2246</v>
      </c>
      <c r="D1468" s="6" t="s">
        <v>2285</v>
      </c>
      <c r="E1468" s="6" t="s">
        <v>2286</v>
      </c>
      <c r="F1468" s="6" t="s">
        <v>2317</v>
      </c>
      <c r="G1468" s="4" t="s">
        <v>2866</v>
      </c>
      <c r="H1468" s="4" t="s">
        <v>2923</v>
      </c>
      <c r="I1468" s="6" t="s">
        <v>1159</v>
      </c>
      <c r="J1468" s="6" t="s">
        <v>31</v>
      </c>
      <c r="K1468" s="12">
        <f>_xlfn.XLOOKUP(B1468,[1]Sheet1!$B:$B,[1]Sheet1!$N:$N,0)</f>
        <v>0</v>
      </c>
      <c r="L1468" s="12">
        <f>_xlfn.XLOOKUP(B1468,[1]Sheet1!$B:$B,[1]Sheet1!$O:$O,0)</f>
        <v>0</v>
      </c>
      <c r="M1468" s="12">
        <f>_xlfn.XLOOKUP(B1468,[1]Sheet1!$B:$B,[1]Sheet1!$P:$P,0)</f>
        <v>0</v>
      </c>
      <c r="N1468" s="12">
        <f>_xlfn.XLOOKUP(B1468,[1]Sheet1!$B:$B,[1]Sheet1!$Q:$Q,0)</f>
        <v>0</v>
      </c>
      <c r="O1468" s="12">
        <f>_xlfn.XLOOKUP(B1468,[1]Sheet1!$B:$B,[1]Sheet1!$R:$R,0)</f>
        <v>0</v>
      </c>
      <c r="P1468" s="12">
        <f>_xlfn.XLOOKUP(B1468,[1]Sheet1!$B:$B,[1]Sheet1!$S:$S,0)</f>
        <v>0</v>
      </c>
      <c r="Q1468" s="12">
        <f>_xlfn.XLOOKUP(B1468,[1]Sheet1!$B:$B,[1]Sheet1!$T:$T,0)</f>
        <v>0</v>
      </c>
      <c r="R1468" s="12">
        <f>_xlfn.XLOOKUP(B1468,[1]Sheet1!$B:$B,[1]Sheet1!$U:$U,0)</f>
        <v>0</v>
      </c>
      <c r="S1468" s="12">
        <f>_xlfn.XLOOKUP(B1468,[1]Sheet1!$B:$B,[1]Sheet1!$V:$V,0)</f>
        <v>0</v>
      </c>
      <c r="T1468" s="12">
        <f>_xlfn.XLOOKUP(B1468,[1]Sheet1!$B:$B,[1]Sheet1!$W:$W,0)</f>
        <v>0</v>
      </c>
      <c r="U1468" s="12">
        <f>_xlfn.XLOOKUP(B1468,[1]Sheet1!$B:$B,[1]Sheet1!$X:$X,0)</f>
        <v>0</v>
      </c>
      <c r="V1468" s="12">
        <f>_xlfn.XLOOKUP(B1468,[1]Sheet1!$B:$B,[1]Sheet1!$Y:$Y,0)</f>
        <v>0</v>
      </c>
      <c r="W1468" s="12">
        <f t="shared" si="47"/>
        <v>0</v>
      </c>
      <c r="X1468" s="6" t="s">
        <v>2293</v>
      </c>
      <c r="Y1468" s="6" t="s">
        <v>2208</v>
      </c>
      <c r="Z1468" s="6" t="s">
        <v>2289</v>
      </c>
      <c r="AA1468" s="6" t="s">
        <v>1159</v>
      </c>
      <c r="AB1468" s="6" t="s">
        <v>93</v>
      </c>
      <c r="AC1468" s="6" t="s">
        <v>94</v>
      </c>
      <c r="AD1468" s="6" t="s">
        <v>482</v>
      </c>
      <c r="AE1468" s="6" t="s">
        <v>2208</v>
      </c>
      <c r="AF1468" s="6" t="s">
        <v>2211</v>
      </c>
      <c r="AG1468" s="7">
        <v>1155460.96</v>
      </c>
      <c r="AH1468" s="11">
        <f>_xlfn.XLOOKUP(B1468,[1]Sheet1!$B:$B,[1]Sheet1!$AB:$AB,0)</f>
        <v>0</v>
      </c>
    </row>
    <row r="1469" spans="2:34" ht="16.8" thickTop="1" thickBot="1" x14ac:dyDescent="0.35">
      <c r="B1469" s="3" t="str">
        <f t="shared" si="46"/>
        <v>451012145170000184510712424760200104</v>
      </c>
      <c r="C1469" s="8" t="s">
        <v>2323</v>
      </c>
      <c r="D1469" s="8" t="s">
        <v>2318</v>
      </c>
      <c r="E1469" s="8" t="s">
        <v>2319</v>
      </c>
      <c r="F1469" s="8" t="s">
        <v>2257</v>
      </c>
      <c r="G1469" s="4" t="s">
        <v>2884</v>
      </c>
      <c r="H1469" s="4" t="s">
        <v>2922</v>
      </c>
      <c r="I1469" s="8" t="s">
        <v>2258</v>
      </c>
      <c r="J1469" s="8" t="s">
        <v>31</v>
      </c>
      <c r="K1469" s="12">
        <f>_xlfn.XLOOKUP(B1469,[1]Sheet1!$B:$B,[1]Sheet1!$N:$N,0)</f>
        <v>0</v>
      </c>
      <c r="L1469" s="12">
        <f>_xlfn.XLOOKUP(B1469,[1]Sheet1!$B:$B,[1]Sheet1!$O:$O,0)</f>
        <v>0</v>
      </c>
      <c r="M1469" s="12">
        <f>_xlfn.XLOOKUP(B1469,[1]Sheet1!$B:$B,[1]Sheet1!$P:$P,0)</f>
        <v>0</v>
      </c>
      <c r="N1469" s="12">
        <f>_xlfn.XLOOKUP(B1469,[1]Sheet1!$B:$B,[1]Sheet1!$Q:$Q,0)</f>
        <v>0</v>
      </c>
      <c r="O1469" s="12">
        <f>_xlfn.XLOOKUP(B1469,[1]Sheet1!$B:$B,[1]Sheet1!$R:$R,0)</f>
        <v>0</v>
      </c>
      <c r="P1469" s="12">
        <f>_xlfn.XLOOKUP(B1469,[1]Sheet1!$B:$B,[1]Sheet1!$S:$S,0)</f>
        <v>0</v>
      </c>
      <c r="Q1469" s="12">
        <f>_xlfn.XLOOKUP(B1469,[1]Sheet1!$B:$B,[1]Sheet1!$T:$T,0)</f>
        <v>0</v>
      </c>
      <c r="R1469" s="12">
        <f>_xlfn.XLOOKUP(B1469,[1]Sheet1!$B:$B,[1]Sheet1!$U:$U,0)</f>
        <v>0</v>
      </c>
      <c r="S1469" s="12">
        <f>_xlfn.XLOOKUP(B1469,[1]Sheet1!$B:$B,[1]Sheet1!$V:$V,0)</f>
        <v>0</v>
      </c>
      <c r="T1469" s="12">
        <f>_xlfn.XLOOKUP(B1469,[1]Sheet1!$B:$B,[1]Sheet1!$W:$W,0)</f>
        <v>0</v>
      </c>
      <c r="U1469" s="12">
        <f>_xlfn.XLOOKUP(B1469,[1]Sheet1!$B:$B,[1]Sheet1!$X:$X,0)</f>
        <v>0</v>
      </c>
      <c r="V1469" s="12">
        <f>_xlfn.XLOOKUP(B1469,[1]Sheet1!$B:$B,[1]Sheet1!$Y:$Y,0)</f>
        <v>0</v>
      </c>
      <c r="W1469" s="12">
        <f t="shared" si="47"/>
        <v>0</v>
      </c>
      <c r="X1469" s="8" t="s">
        <v>2320</v>
      </c>
      <c r="Y1469" s="8" t="s">
        <v>2321</v>
      </c>
      <c r="Z1469" s="8" t="s">
        <v>2322</v>
      </c>
      <c r="AA1469" s="8" t="s">
        <v>2258</v>
      </c>
      <c r="AB1469" s="8" t="s">
        <v>36</v>
      </c>
      <c r="AC1469" s="8" t="s">
        <v>37</v>
      </c>
      <c r="AD1469" s="8" t="s">
        <v>38</v>
      </c>
      <c r="AE1469" s="8" t="s">
        <v>2208</v>
      </c>
      <c r="AF1469" s="8" t="s">
        <v>2211</v>
      </c>
      <c r="AG1469" s="9">
        <v>100000</v>
      </c>
      <c r="AH1469" s="11">
        <f>_xlfn.XLOOKUP(B1469,[1]Sheet1!$B:$B,[1]Sheet1!$AB:$AB,0)</f>
        <v>0</v>
      </c>
    </row>
    <row r="1470" spans="2:34" ht="16.8" thickTop="1" thickBot="1" x14ac:dyDescent="0.35">
      <c r="B1470" s="3" t="str">
        <f t="shared" si="46"/>
        <v>451012145170000184510716422191200104</v>
      </c>
      <c r="C1470" s="6" t="s">
        <v>2323</v>
      </c>
      <c r="D1470" s="6" t="s">
        <v>2318</v>
      </c>
      <c r="E1470" s="6" t="s">
        <v>2319</v>
      </c>
      <c r="F1470" s="6" t="s">
        <v>2260</v>
      </c>
      <c r="G1470" s="4" t="s">
        <v>2826</v>
      </c>
      <c r="H1470" s="4" t="s">
        <v>2922</v>
      </c>
      <c r="I1470" s="6" t="s">
        <v>233</v>
      </c>
      <c r="J1470" s="6" t="s">
        <v>31</v>
      </c>
      <c r="K1470" s="12">
        <f>_xlfn.XLOOKUP(B1470,[1]Sheet1!$B:$B,[1]Sheet1!$N:$N,0)</f>
        <v>0</v>
      </c>
      <c r="L1470" s="12">
        <f>_xlfn.XLOOKUP(B1470,[1]Sheet1!$B:$B,[1]Sheet1!$O:$O,0)</f>
        <v>0</v>
      </c>
      <c r="M1470" s="12">
        <f>_xlfn.XLOOKUP(B1470,[1]Sheet1!$B:$B,[1]Sheet1!$P:$P,0)</f>
        <v>0</v>
      </c>
      <c r="N1470" s="12">
        <f>_xlfn.XLOOKUP(B1470,[1]Sheet1!$B:$B,[1]Sheet1!$Q:$Q,0)</f>
        <v>0</v>
      </c>
      <c r="O1470" s="12">
        <f>_xlfn.XLOOKUP(B1470,[1]Sheet1!$B:$B,[1]Sheet1!$R:$R,0)</f>
        <v>0</v>
      </c>
      <c r="P1470" s="12">
        <f>_xlfn.XLOOKUP(B1470,[1]Sheet1!$B:$B,[1]Sheet1!$S:$S,0)</f>
        <v>0</v>
      </c>
      <c r="Q1470" s="12">
        <f>_xlfn.XLOOKUP(B1470,[1]Sheet1!$B:$B,[1]Sheet1!$T:$T,0)</f>
        <v>0</v>
      </c>
      <c r="R1470" s="12">
        <f>_xlfn.XLOOKUP(B1470,[1]Sheet1!$B:$B,[1]Sheet1!$U:$U,0)</f>
        <v>0</v>
      </c>
      <c r="S1470" s="12">
        <f>_xlfn.XLOOKUP(B1470,[1]Sheet1!$B:$B,[1]Sheet1!$V:$V,0)</f>
        <v>0</v>
      </c>
      <c r="T1470" s="12">
        <f>_xlfn.XLOOKUP(B1470,[1]Sheet1!$B:$B,[1]Sheet1!$W:$W,0)</f>
        <v>0</v>
      </c>
      <c r="U1470" s="12">
        <f>_xlfn.XLOOKUP(B1470,[1]Sheet1!$B:$B,[1]Sheet1!$X:$X,0)</f>
        <v>0</v>
      </c>
      <c r="V1470" s="12">
        <f>_xlfn.XLOOKUP(B1470,[1]Sheet1!$B:$B,[1]Sheet1!$Y:$Y,0)</f>
        <v>0</v>
      </c>
      <c r="W1470" s="12">
        <f t="shared" si="47"/>
        <v>0</v>
      </c>
      <c r="X1470" s="6" t="s">
        <v>2324</v>
      </c>
      <c r="Y1470" s="6" t="s">
        <v>2321</v>
      </c>
      <c r="Z1470" s="6" t="s">
        <v>2322</v>
      </c>
      <c r="AA1470" s="6" t="s">
        <v>235</v>
      </c>
      <c r="AB1470" s="6" t="s">
        <v>36</v>
      </c>
      <c r="AC1470" s="6" t="s">
        <v>37</v>
      </c>
      <c r="AD1470" s="6" t="s">
        <v>38</v>
      </c>
      <c r="AE1470" s="6" t="s">
        <v>2208</v>
      </c>
      <c r="AF1470" s="6" t="s">
        <v>2211</v>
      </c>
      <c r="AG1470" s="7">
        <v>215198</v>
      </c>
      <c r="AH1470" s="11">
        <f>_xlfn.XLOOKUP(B1470,[1]Sheet1!$B:$B,[1]Sheet1!$AB:$AB,0)</f>
        <v>0</v>
      </c>
    </row>
    <row r="1471" spans="2:34" ht="16.8" thickTop="1" thickBot="1" x14ac:dyDescent="0.35">
      <c r="B1471" s="3" t="str">
        <f t="shared" si="46"/>
        <v>451012145170000184510721421121200104</v>
      </c>
      <c r="C1471" s="8" t="s">
        <v>2323</v>
      </c>
      <c r="D1471" s="8" t="s">
        <v>2318</v>
      </c>
      <c r="E1471" s="8" t="s">
        <v>2319</v>
      </c>
      <c r="F1471" s="8" t="s">
        <v>2325</v>
      </c>
      <c r="G1471" s="4" t="s">
        <v>2828</v>
      </c>
      <c r="H1471" s="4" t="s">
        <v>2922</v>
      </c>
      <c r="I1471" s="8" t="s">
        <v>247</v>
      </c>
      <c r="J1471" s="8" t="s">
        <v>31</v>
      </c>
      <c r="K1471" s="12">
        <f>_xlfn.XLOOKUP(B1471,[1]Sheet1!$B:$B,[1]Sheet1!$N:$N,0)</f>
        <v>0</v>
      </c>
      <c r="L1471" s="12">
        <f>_xlfn.XLOOKUP(B1471,[1]Sheet1!$B:$B,[1]Sheet1!$O:$O,0)</f>
        <v>0</v>
      </c>
      <c r="M1471" s="12">
        <f>_xlfn.XLOOKUP(B1471,[1]Sheet1!$B:$B,[1]Sheet1!$P:$P,0)</f>
        <v>0</v>
      </c>
      <c r="N1471" s="12">
        <f>_xlfn.XLOOKUP(B1471,[1]Sheet1!$B:$B,[1]Sheet1!$Q:$Q,0)</f>
        <v>0</v>
      </c>
      <c r="O1471" s="12">
        <f>_xlfn.XLOOKUP(B1471,[1]Sheet1!$B:$B,[1]Sheet1!$R:$R,0)</f>
        <v>0</v>
      </c>
      <c r="P1471" s="12">
        <f>_xlfn.XLOOKUP(B1471,[1]Sheet1!$B:$B,[1]Sheet1!$S:$S,0)</f>
        <v>0</v>
      </c>
      <c r="Q1471" s="12">
        <f>_xlfn.XLOOKUP(B1471,[1]Sheet1!$B:$B,[1]Sheet1!$T:$T,0)</f>
        <v>0</v>
      </c>
      <c r="R1471" s="12">
        <f>_xlfn.XLOOKUP(B1471,[1]Sheet1!$B:$B,[1]Sheet1!$U:$U,0)</f>
        <v>0</v>
      </c>
      <c r="S1471" s="12">
        <f>_xlfn.XLOOKUP(B1471,[1]Sheet1!$B:$B,[1]Sheet1!$V:$V,0)</f>
        <v>0</v>
      </c>
      <c r="T1471" s="12">
        <f>_xlfn.XLOOKUP(B1471,[1]Sheet1!$B:$B,[1]Sheet1!$W:$W,0)</f>
        <v>0</v>
      </c>
      <c r="U1471" s="12">
        <f>_xlfn.XLOOKUP(B1471,[1]Sheet1!$B:$B,[1]Sheet1!$X:$X,0)</f>
        <v>0</v>
      </c>
      <c r="V1471" s="12">
        <f>_xlfn.XLOOKUP(B1471,[1]Sheet1!$B:$B,[1]Sheet1!$Y:$Y,0)</f>
        <v>0</v>
      </c>
      <c r="W1471" s="12">
        <f t="shared" si="47"/>
        <v>0</v>
      </c>
      <c r="X1471" s="8" t="s">
        <v>2326</v>
      </c>
      <c r="Y1471" s="8" t="s">
        <v>2321</v>
      </c>
      <c r="Z1471" s="8" t="s">
        <v>2322</v>
      </c>
      <c r="AA1471" s="8" t="s">
        <v>247</v>
      </c>
      <c r="AB1471" s="8" t="s">
        <v>36</v>
      </c>
      <c r="AC1471" s="8" t="s">
        <v>37</v>
      </c>
      <c r="AD1471" s="8" t="s">
        <v>38</v>
      </c>
      <c r="AE1471" s="8" t="s">
        <v>2208</v>
      </c>
      <c r="AF1471" s="8" t="s">
        <v>2211</v>
      </c>
      <c r="AG1471" s="9">
        <v>1337500</v>
      </c>
      <c r="AH1471" s="11">
        <f>_xlfn.XLOOKUP(B1471,[1]Sheet1!$B:$B,[1]Sheet1!$AB:$AB,0)</f>
        <v>0</v>
      </c>
    </row>
    <row r="1472" spans="2:34" ht="16.8" thickTop="1" thickBot="1" x14ac:dyDescent="0.35">
      <c r="B1472" s="3" t="str">
        <f t="shared" si="46"/>
        <v>451012145170000184510723424521200104</v>
      </c>
      <c r="C1472" s="6" t="s">
        <v>2323</v>
      </c>
      <c r="D1472" s="6" t="s">
        <v>2318</v>
      </c>
      <c r="E1472" s="6" t="s">
        <v>2319</v>
      </c>
      <c r="F1472" s="6" t="s">
        <v>2218</v>
      </c>
      <c r="G1472" s="4" t="s">
        <v>2804</v>
      </c>
      <c r="H1472" s="4" t="s">
        <v>2922</v>
      </c>
      <c r="I1472" s="6" t="s">
        <v>53</v>
      </c>
      <c r="J1472" s="6" t="s">
        <v>31</v>
      </c>
      <c r="K1472" s="12">
        <f>_xlfn.XLOOKUP(B1472,[1]Sheet1!$B:$B,[1]Sheet1!$N:$N,0)</f>
        <v>0</v>
      </c>
      <c r="L1472" s="12">
        <f>_xlfn.XLOOKUP(B1472,[1]Sheet1!$B:$B,[1]Sheet1!$O:$O,0)</f>
        <v>0</v>
      </c>
      <c r="M1472" s="12">
        <f>_xlfn.XLOOKUP(B1472,[1]Sheet1!$B:$B,[1]Sheet1!$P:$P,0)</f>
        <v>0</v>
      </c>
      <c r="N1472" s="12">
        <f>_xlfn.XLOOKUP(B1472,[1]Sheet1!$B:$B,[1]Sheet1!$Q:$Q,0)</f>
        <v>0</v>
      </c>
      <c r="O1472" s="12">
        <f>_xlfn.XLOOKUP(B1472,[1]Sheet1!$B:$B,[1]Sheet1!$R:$R,0)</f>
        <v>0</v>
      </c>
      <c r="P1472" s="12">
        <f>_xlfn.XLOOKUP(B1472,[1]Sheet1!$B:$B,[1]Sheet1!$S:$S,0)</f>
        <v>0</v>
      </c>
      <c r="Q1472" s="12">
        <f>_xlfn.XLOOKUP(B1472,[1]Sheet1!$B:$B,[1]Sheet1!$T:$T,0)</f>
        <v>0</v>
      </c>
      <c r="R1472" s="12">
        <f>_xlfn.XLOOKUP(B1472,[1]Sheet1!$B:$B,[1]Sheet1!$U:$U,0)</f>
        <v>0</v>
      </c>
      <c r="S1472" s="12">
        <f>_xlfn.XLOOKUP(B1472,[1]Sheet1!$B:$B,[1]Sheet1!$V:$V,0)</f>
        <v>0</v>
      </c>
      <c r="T1472" s="12">
        <f>_xlfn.XLOOKUP(B1472,[1]Sheet1!$B:$B,[1]Sheet1!$W:$W,0)</f>
        <v>0</v>
      </c>
      <c r="U1472" s="12">
        <f>_xlfn.XLOOKUP(B1472,[1]Sheet1!$B:$B,[1]Sheet1!$X:$X,0)</f>
        <v>0</v>
      </c>
      <c r="V1472" s="12">
        <f>_xlfn.XLOOKUP(B1472,[1]Sheet1!$B:$B,[1]Sheet1!$Y:$Y,0)</f>
        <v>0</v>
      </c>
      <c r="W1472" s="12">
        <f t="shared" si="47"/>
        <v>0</v>
      </c>
      <c r="X1472" s="6" t="s">
        <v>2327</v>
      </c>
      <c r="Y1472" s="6" t="s">
        <v>2321</v>
      </c>
      <c r="Z1472" s="6" t="s">
        <v>2322</v>
      </c>
      <c r="AA1472" s="6" t="s">
        <v>53</v>
      </c>
      <c r="AB1472" s="6" t="s">
        <v>36</v>
      </c>
      <c r="AC1472" s="6" t="s">
        <v>37</v>
      </c>
      <c r="AD1472" s="6" t="s">
        <v>38</v>
      </c>
      <c r="AE1472" s="6" t="s">
        <v>2208</v>
      </c>
      <c r="AF1472" s="6" t="s">
        <v>2211</v>
      </c>
      <c r="AG1472" s="7">
        <v>100000</v>
      </c>
      <c r="AH1472" s="11">
        <f>_xlfn.XLOOKUP(B1472,[1]Sheet1!$B:$B,[1]Sheet1!$AB:$AB,0)</f>
        <v>0</v>
      </c>
    </row>
    <row r="1473" spans="2:34" ht="16.8" thickTop="1" thickBot="1" x14ac:dyDescent="0.35">
      <c r="B1473" s="3" t="str">
        <f t="shared" si="46"/>
        <v>451012145170000184510726423821200104</v>
      </c>
      <c r="C1473" s="8" t="s">
        <v>2323</v>
      </c>
      <c r="D1473" s="8" t="s">
        <v>2318</v>
      </c>
      <c r="E1473" s="8" t="s">
        <v>2319</v>
      </c>
      <c r="F1473" s="8" t="s">
        <v>2247</v>
      </c>
      <c r="G1473" s="4" t="s">
        <v>2805</v>
      </c>
      <c r="H1473" s="4" t="s">
        <v>2922</v>
      </c>
      <c r="I1473" s="8" t="s">
        <v>55</v>
      </c>
      <c r="J1473" s="8" t="s">
        <v>31</v>
      </c>
      <c r="K1473" s="12">
        <f>_xlfn.XLOOKUP(B1473,[1]Sheet1!$B:$B,[1]Sheet1!$N:$N,0)</f>
        <v>0</v>
      </c>
      <c r="L1473" s="12">
        <f>_xlfn.XLOOKUP(B1473,[1]Sheet1!$B:$B,[1]Sheet1!$O:$O,0)</f>
        <v>0</v>
      </c>
      <c r="M1473" s="12">
        <f>_xlfn.XLOOKUP(B1473,[1]Sheet1!$B:$B,[1]Sheet1!$P:$P,0)</f>
        <v>0</v>
      </c>
      <c r="N1473" s="12">
        <f>_xlfn.XLOOKUP(B1473,[1]Sheet1!$B:$B,[1]Sheet1!$Q:$Q,0)</f>
        <v>0</v>
      </c>
      <c r="O1473" s="12">
        <f>_xlfn.XLOOKUP(B1473,[1]Sheet1!$B:$B,[1]Sheet1!$R:$R,0)</f>
        <v>0</v>
      </c>
      <c r="P1473" s="12">
        <f>_xlfn.XLOOKUP(B1473,[1]Sheet1!$B:$B,[1]Sheet1!$S:$S,0)</f>
        <v>0</v>
      </c>
      <c r="Q1473" s="12">
        <f>_xlfn.XLOOKUP(B1473,[1]Sheet1!$B:$B,[1]Sheet1!$T:$T,0)</f>
        <v>0</v>
      </c>
      <c r="R1473" s="12">
        <f>_xlfn.XLOOKUP(B1473,[1]Sheet1!$B:$B,[1]Sheet1!$U:$U,0)</f>
        <v>0</v>
      </c>
      <c r="S1473" s="12">
        <f>_xlfn.XLOOKUP(B1473,[1]Sheet1!$B:$B,[1]Sheet1!$V:$V,0)</f>
        <v>0</v>
      </c>
      <c r="T1473" s="12">
        <f>_xlfn.XLOOKUP(B1473,[1]Sheet1!$B:$B,[1]Sheet1!$W:$W,0)</f>
        <v>0</v>
      </c>
      <c r="U1473" s="12">
        <f>_xlfn.XLOOKUP(B1473,[1]Sheet1!$B:$B,[1]Sheet1!$X:$X,0)</f>
        <v>0</v>
      </c>
      <c r="V1473" s="12">
        <f>_xlfn.XLOOKUP(B1473,[1]Sheet1!$B:$B,[1]Sheet1!$Y:$Y,0)</f>
        <v>0</v>
      </c>
      <c r="W1473" s="12">
        <f t="shared" si="47"/>
        <v>0</v>
      </c>
      <c r="X1473" s="8" t="s">
        <v>2328</v>
      </c>
      <c r="Y1473" s="8" t="s">
        <v>2321</v>
      </c>
      <c r="Z1473" s="8" t="s">
        <v>2322</v>
      </c>
      <c r="AA1473" s="8" t="s">
        <v>55</v>
      </c>
      <c r="AB1473" s="8" t="s">
        <v>36</v>
      </c>
      <c r="AC1473" s="8" t="s">
        <v>37</v>
      </c>
      <c r="AD1473" s="8" t="s">
        <v>38</v>
      </c>
      <c r="AE1473" s="8" t="s">
        <v>2208</v>
      </c>
      <c r="AF1473" s="8" t="s">
        <v>2211</v>
      </c>
      <c r="AG1473" s="9">
        <v>360500</v>
      </c>
      <c r="AH1473" s="11">
        <f>_xlfn.XLOOKUP(B1473,[1]Sheet1!$B:$B,[1]Sheet1!$AB:$AB,0)</f>
        <v>0</v>
      </c>
    </row>
    <row r="1474" spans="2:34" ht="16.8" thickTop="1" thickBot="1" x14ac:dyDescent="0.35">
      <c r="B1474" s="3" t="str">
        <f t="shared" si="46"/>
        <v>451012145170000184510728424791200104</v>
      </c>
      <c r="C1474" s="6" t="s">
        <v>2323</v>
      </c>
      <c r="D1474" s="6" t="s">
        <v>2318</v>
      </c>
      <c r="E1474" s="6" t="s">
        <v>2319</v>
      </c>
      <c r="F1474" s="6" t="s">
        <v>2329</v>
      </c>
      <c r="G1474" s="4" t="s">
        <v>2830</v>
      </c>
      <c r="H1474" s="4" t="s">
        <v>2922</v>
      </c>
      <c r="I1474" s="6" t="s">
        <v>305</v>
      </c>
      <c r="J1474" s="6" t="s">
        <v>31</v>
      </c>
      <c r="K1474" s="12">
        <f>_xlfn.XLOOKUP(B1474,[1]Sheet1!$B:$B,[1]Sheet1!$N:$N,0)</f>
        <v>0</v>
      </c>
      <c r="L1474" s="12">
        <f>_xlfn.XLOOKUP(B1474,[1]Sheet1!$B:$B,[1]Sheet1!$O:$O,0)</f>
        <v>0</v>
      </c>
      <c r="M1474" s="12">
        <f>_xlfn.XLOOKUP(B1474,[1]Sheet1!$B:$B,[1]Sheet1!$P:$P,0)</f>
        <v>0</v>
      </c>
      <c r="N1474" s="12">
        <f>_xlfn.XLOOKUP(B1474,[1]Sheet1!$B:$B,[1]Sheet1!$Q:$Q,0)</f>
        <v>0</v>
      </c>
      <c r="O1474" s="12">
        <f>_xlfn.XLOOKUP(B1474,[1]Sheet1!$B:$B,[1]Sheet1!$R:$R,0)</f>
        <v>0</v>
      </c>
      <c r="P1474" s="12">
        <f>_xlfn.XLOOKUP(B1474,[1]Sheet1!$B:$B,[1]Sheet1!$S:$S,0)</f>
        <v>0</v>
      </c>
      <c r="Q1474" s="12">
        <f>_xlfn.XLOOKUP(B1474,[1]Sheet1!$B:$B,[1]Sheet1!$T:$T,0)</f>
        <v>0</v>
      </c>
      <c r="R1474" s="12">
        <f>_xlfn.XLOOKUP(B1474,[1]Sheet1!$B:$B,[1]Sheet1!$U:$U,0)</f>
        <v>0</v>
      </c>
      <c r="S1474" s="12">
        <f>_xlfn.XLOOKUP(B1474,[1]Sheet1!$B:$B,[1]Sheet1!$V:$V,0)</f>
        <v>0</v>
      </c>
      <c r="T1474" s="12">
        <f>_xlfn.XLOOKUP(B1474,[1]Sheet1!$B:$B,[1]Sheet1!$W:$W,0)</f>
        <v>0</v>
      </c>
      <c r="U1474" s="12">
        <f>_xlfn.XLOOKUP(B1474,[1]Sheet1!$B:$B,[1]Sheet1!$X:$X,0)</f>
        <v>0</v>
      </c>
      <c r="V1474" s="12">
        <f>_xlfn.XLOOKUP(B1474,[1]Sheet1!$B:$B,[1]Sheet1!$Y:$Y,0)</f>
        <v>0</v>
      </c>
      <c r="W1474" s="12">
        <f t="shared" si="47"/>
        <v>0</v>
      </c>
      <c r="X1474" s="6" t="s">
        <v>2330</v>
      </c>
      <c r="Y1474" s="6" t="s">
        <v>2321</v>
      </c>
      <c r="Z1474" s="6" t="s">
        <v>2322</v>
      </c>
      <c r="AA1474" s="6" t="s">
        <v>305</v>
      </c>
      <c r="AB1474" s="6" t="s">
        <v>36</v>
      </c>
      <c r="AC1474" s="6" t="s">
        <v>37</v>
      </c>
      <c r="AD1474" s="6" t="s">
        <v>38</v>
      </c>
      <c r="AE1474" s="6" t="s">
        <v>2208</v>
      </c>
      <c r="AF1474" s="6" t="s">
        <v>2211</v>
      </c>
      <c r="AG1474" s="7">
        <v>158792.82</v>
      </c>
      <c r="AH1474" s="11">
        <f>_xlfn.XLOOKUP(B1474,[1]Sheet1!$B:$B,[1]Sheet1!$AB:$AB,0)</f>
        <v>0</v>
      </c>
    </row>
    <row r="1475" spans="2:34" ht="16.8" thickTop="1" thickBot="1" x14ac:dyDescent="0.35">
      <c r="B1475" s="3" t="str">
        <f t="shared" si="46"/>
        <v>451012145170000184510749491811300105</v>
      </c>
      <c r="C1475" s="8" t="s">
        <v>2323</v>
      </c>
      <c r="D1475" s="8" t="s">
        <v>2318</v>
      </c>
      <c r="E1475" s="8" t="s">
        <v>2319</v>
      </c>
      <c r="F1475" s="8" t="s">
        <v>2331</v>
      </c>
      <c r="G1475" s="4" t="s">
        <v>2825</v>
      </c>
      <c r="H1475" s="4" t="s">
        <v>2923</v>
      </c>
      <c r="I1475" s="8" t="s">
        <v>226</v>
      </c>
      <c r="J1475" s="8" t="s">
        <v>31</v>
      </c>
      <c r="K1475" s="12">
        <f>_xlfn.XLOOKUP(B1475,[1]Sheet1!$B:$B,[1]Sheet1!$N:$N,0)</f>
        <v>0</v>
      </c>
      <c r="L1475" s="12">
        <f>_xlfn.XLOOKUP(B1475,[1]Sheet1!$B:$B,[1]Sheet1!$O:$O,0)</f>
        <v>0</v>
      </c>
      <c r="M1475" s="12">
        <f>_xlfn.XLOOKUP(B1475,[1]Sheet1!$B:$B,[1]Sheet1!$P:$P,0)</f>
        <v>0</v>
      </c>
      <c r="N1475" s="12">
        <f>_xlfn.XLOOKUP(B1475,[1]Sheet1!$B:$B,[1]Sheet1!$Q:$Q,0)</f>
        <v>0</v>
      </c>
      <c r="O1475" s="12">
        <f>_xlfn.XLOOKUP(B1475,[1]Sheet1!$B:$B,[1]Sheet1!$R:$R,0)</f>
        <v>0</v>
      </c>
      <c r="P1475" s="12">
        <f>_xlfn.XLOOKUP(B1475,[1]Sheet1!$B:$B,[1]Sheet1!$S:$S,0)</f>
        <v>0</v>
      </c>
      <c r="Q1475" s="12">
        <f>_xlfn.XLOOKUP(B1475,[1]Sheet1!$B:$B,[1]Sheet1!$T:$T,0)</f>
        <v>0</v>
      </c>
      <c r="R1475" s="12">
        <f>_xlfn.XLOOKUP(B1475,[1]Sheet1!$B:$B,[1]Sheet1!$U:$U,0)</f>
        <v>0</v>
      </c>
      <c r="S1475" s="12">
        <f>_xlfn.XLOOKUP(B1475,[1]Sheet1!$B:$B,[1]Sheet1!$V:$V,0)</f>
        <v>0</v>
      </c>
      <c r="T1475" s="12">
        <f>_xlfn.XLOOKUP(B1475,[1]Sheet1!$B:$B,[1]Sheet1!$W:$W,0)</f>
        <v>0</v>
      </c>
      <c r="U1475" s="12">
        <f>_xlfn.XLOOKUP(B1475,[1]Sheet1!$B:$B,[1]Sheet1!$X:$X,0)</f>
        <v>0</v>
      </c>
      <c r="V1475" s="12">
        <f>_xlfn.XLOOKUP(B1475,[1]Sheet1!$B:$B,[1]Sheet1!$Y:$Y,0)</f>
        <v>0</v>
      </c>
      <c r="W1475" s="12">
        <f t="shared" si="47"/>
        <v>0</v>
      </c>
      <c r="X1475" s="8" t="s">
        <v>2332</v>
      </c>
      <c r="Y1475" s="8" t="s">
        <v>2321</v>
      </c>
      <c r="Z1475" s="8" t="s">
        <v>2322</v>
      </c>
      <c r="AA1475" s="8" t="s">
        <v>228</v>
      </c>
      <c r="AB1475" s="8" t="s">
        <v>93</v>
      </c>
      <c r="AC1475" s="8" t="s">
        <v>94</v>
      </c>
      <c r="AD1475" s="8" t="s">
        <v>2333</v>
      </c>
      <c r="AE1475" s="8" t="s">
        <v>2208</v>
      </c>
      <c r="AF1475" s="8" t="s">
        <v>2211</v>
      </c>
      <c r="AG1475" s="9">
        <v>11189944</v>
      </c>
      <c r="AH1475" s="11">
        <f>_xlfn.XLOOKUP(B1475,[1]Sheet1!$B:$B,[1]Sheet1!$AB:$AB,0)</f>
        <v>0</v>
      </c>
    </row>
    <row r="1476" spans="2:34" ht="16.8" thickTop="1" thickBot="1" x14ac:dyDescent="0.35">
      <c r="B1476" s="3" t="str">
        <f t="shared" ref="B1476:B1539" si="48">C1476&amp;D1476&amp;F1476&amp;G1476&amp;H1476</f>
        <v>451012145170000184510808421123200104</v>
      </c>
      <c r="C1476" s="6" t="s">
        <v>2323</v>
      </c>
      <c r="D1476" s="6" t="s">
        <v>2318</v>
      </c>
      <c r="E1476" s="6" t="s">
        <v>2319</v>
      </c>
      <c r="F1476" s="6" t="s">
        <v>2212</v>
      </c>
      <c r="G1476" s="4" t="s">
        <v>2827</v>
      </c>
      <c r="H1476" s="4" t="s">
        <v>2922</v>
      </c>
      <c r="I1476" s="6" t="s">
        <v>237</v>
      </c>
      <c r="J1476" s="6" t="s">
        <v>31</v>
      </c>
      <c r="K1476" s="12">
        <f>_xlfn.XLOOKUP(B1476,[1]Sheet1!$B:$B,[1]Sheet1!$N:$N,0)</f>
        <v>0</v>
      </c>
      <c r="L1476" s="12">
        <f>_xlfn.XLOOKUP(B1476,[1]Sheet1!$B:$B,[1]Sheet1!$O:$O,0)</f>
        <v>0</v>
      </c>
      <c r="M1476" s="12">
        <f>_xlfn.XLOOKUP(B1476,[1]Sheet1!$B:$B,[1]Sheet1!$P:$P,0)</f>
        <v>0</v>
      </c>
      <c r="N1476" s="12">
        <f>_xlfn.XLOOKUP(B1476,[1]Sheet1!$B:$B,[1]Sheet1!$Q:$Q,0)</f>
        <v>0</v>
      </c>
      <c r="O1476" s="12">
        <f>_xlfn.XLOOKUP(B1476,[1]Sheet1!$B:$B,[1]Sheet1!$R:$R,0)</f>
        <v>0</v>
      </c>
      <c r="P1476" s="12">
        <f>_xlfn.XLOOKUP(B1476,[1]Sheet1!$B:$B,[1]Sheet1!$S:$S,0)</f>
        <v>0</v>
      </c>
      <c r="Q1476" s="12">
        <f>_xlfn.XLOOKUP(B1476,[1]Sheet1!$B:$B,[1]Sheet1!$T:$T,0)</f>
        <v>0</v>
      </c>
      <c r="R1476" s="12">
        <f>_xlfn.XLOOKUP(B1476,[1]Sheet1!$B:$B,[1]Sheet1!$U:$U,0)</f>
        <v>0</v>
      </c>
      <c r="S1476" s="12">
        <f>_xlfn.XLOOKUP(B1476,[1]Sheet1!$B:$B,[1]Sheet1!$V:$V,0)</f>
        <v>0</v>
      </c>
      <c r="T1476" s="12">
        <f>_xlfn.XLOOKUP(B1476,[1]Sheet1!$B:$B,[1]Sheet1!$W:$W,0)</f>
        <v>0</v>
      </c>
      <c r="U1476" s="12">
        <f>_xlfn.XLOOKUP(B1476,[1]Sheet1!$B:$B,[1]Sheet1!$X:$X,0)</f>
        <v>0</v>
      </c>
      <c r="V1476" s="12">
        <f>_xlfn.XLOOKUP(B1476,[1]Sheet1!$B:$B,[1]Sheet1!$Y:$Y,0)</f>
        <v>0</v>
      </c>
      <c r="W1476" s="12">
        <f t="shared" ref="W1476:W1539" si="49">SUM(K1476:V1476)</f>
        <v>0</v>
      </c>
      <c r="X1476" s="6" t="s">
        <v>2334</v>
      </c>
      <c r="Y1476" s="6" t="s">
        <v>2321</v>
      </c>
      <c r="Z1476" s="6" t="s">
        <v>2322</v>
      </c>
      <c r="AA1476" s="6" t="s">
        <v>237</v>
      </c>
      <c r="AB1476" s="6" t="s">
        <v>36</v>
      </c>
      <c r="AC1476" s="6" t="s">
        <v>37</v>
      </c>
      <c r="AD1476" s="6" t="s">
        <v>38</v>
      </c>
      <c r="AE1476" s="6" t="s">
        <v>2208</v>
      </c>
      <c r="AF1476" s="6" t="s">
        <v>2211</v>
      </c>
      <c r="AG1476" s="7">
        <v>314193</v>
      </c>
      <c r="AH1476" s="11">
        <f>_xlfn.XLOOKUP(B1476,[1]Sheet1!$B:$B,[1]Sheet1!$AB:$AB,0)</f>
        <v>0</v>
      </c>
    </row>
    <row r="1477" spans="2:34" ht="16.8" thickTop="1" thickBot="1" x14ac:dyDescent="0.35">
      <c r="B1477" s="3" t="str">
        <f t="shared" si="48"/>
        <v>451012745170000194510710421122200104</v>
      </c>
      <c r="C1477" s="8" t="s">
        <v>2339</v>
      </c>
      <c r="D1477" s="8" t="s">
        <v>2335</v>
      </c>
      <c r="E1477" s="8" t="s">
        <v>2336</v>
      </c>
      <c r="F1477" s="8" t="s">
        <v>2280</v>
      </c>
      <c r="G1477" s="4" t="s">
        <v>2882</v>
      </c>
      <c r="H1477" s="4" t="s">
        <v>2922</v>
      </c>
      <c r="I1477" s="8" t="s">
        <v>2213</v>
      </c>
      <c r="J1477" s="8" t="s">
        <v>31</v>
      </c>
      <c r="K1477" s="12">
        <f>_xlfn.XLOOKUP(B1477,[1]Sheet1!$B:$B,[1]Sheet1!$N:$N,0)</f>
        <v>0</v>
      </c>
      <c r="L1477" s="12">
        <f>_xlfn.XLOOKUP(B1477,[1]Sheet1!$B:$B,[1]Sheet1!$O:$O,0)</f>
        <v>0</v>
      </c>
      <c r="M1477" s="12">
        <f>_xlfn.XLOOKUP(B1477,[1]Sheet1!$B:$B,[1]Sheet1!$P:$P,0)</f>
        <v>0</v>
      </c>
      <c r="N1477" s="12">
        <f>_xlfn.XLOOKUP(B1477,[1]Sheet1!$B:$B,[1]Sheet1!$Q:$Q,0)</f>
        <v>0</v>
      </c>
      <c r="O1477" s="12">
        <f>_xlfn.XLOOKUP(B1477,[1]Sheet1!$B:$B,[1]Sheet1!$R:$R,0)</f>
        <v>0</v>
      </c>
      <c r="P1477" s="12">
        <f>_xlfn.XLOOKUP(B1477,[1]Sheet1!$B:$B,[1]Sheet1!$S:$S,0)</f>
        <v>0</v>
      </c>
      <c r="Q1477" s="12">
        <f>_xlfn.XLOOKUP(B1477,[1]Sheet1!$B:$B,[1]Sheet1!$T:$T,0)</f>
        <v>0</v>
      </c>
      <c r="R1477" s="12">
        <f>_xlfn.XLOOKUP(B1477,[1]Sheet1!$B:$B,[1]Sheet1!$U:$U,0)</f>
        <v>0</v>
      </c>
      <c r="S1477" s="12">
        <f>_xlfn.XLOOKUP(B1477,[1]Sheet1!$B:$B,[1]Sheet1!$V:$V,0)</f>
        <v>0</v>
      </c>
      <c r="T1477" s="12">
        <f>_xlfn.XLOOKUP(B1477,[1]Sheet1!$B:$B,[1]Sheet1!$W:$W,0)</f>
        <v>0</v>
      </c>
      <c r="U1477" s="12">
        <f>_xlfn.XLOOKUP(B1477,[1]Sheet1!$B:$B,[1]Sheet1!$X:$X,0)</f>
        <v>0</v>
      </c>
      <c r="V1477" s="12">
        <f>_xlfn.XLOOKUP(B1477,[1]Sheet1!$B:$B,[1]Sheet1!$Y:$Y,0)</f>
        <v>0</v>
      </c>
      <c r="W1477" s="12">
        <f t="shared" si="49"/>
        <v>0</v>
      </c>
      <c r="X1477" s="8" t="s">
        <v>2337</v>
      </c>
      <c r="Y1477" s="8" t="s">
        <v>2321</v>
      </c>
      <c r="Z1477" s="8" t="s">
        <v>2338</v>
      </c>
      <c r="AA1477" s="8" t="s">
        <v>2215</v>
      </c>
      <c r="AB1477" s="8" t="s">
        <v>36</v>
      </c>
      <c r="AC1477" s="8" t="s">
        <v>37</v>
      </c>
      <c r="AD1477" s="8" t="s">
        <v>2340</v>
      </c>
      <c r="AE1477" s="8" t="s">
        <v>2208</v>
      </c>
      <c r="AF1477" s="8" t="s">
        <v>2211</v>
      </c>
      <c r="AG1477" s="9">
        <v>1036644</v>
      </c>
      <c r="AH1477" s="11">
        <f>_xlfn.XLOOKUP(B1477,[1]Sheet1!$B:$B,[1]Sheet1!$AB:$AB,0)</f>
        <v>0</v>
      </c>
    </row>
    <row r="1478" spans="2:34" ht="16.8" thickTop="1" thickBot="1" x14ac:dyDescent="0.35">
      <c r="B1478" s="3" t="str">
        <f t="shared" si="48"/>
        <v>451012745170000194510714426212200104</v>
      </c>
      <c r="C1478" s="6" t="s">
        <v>2339</v>
      </c>
      <c r="D1478" s="6" t="s">
        <v>2335</v>
      </c>
      <c r="E1478" s="6" t="s">
        <v>2336</v>
      </c>
      <c r="F1478" s="6" t="s">
        <v>2341</v>
      </c>
      <c r="G1478" s="4" t="s">
        <v>2814</v>
      </c>
      <c r="H1478" s="4" t="s">
        <v>2922</v>
      </c>
      <c r="I1478" s="6" t="s">
        <v>96</v>
      </c>
      <c r="J1478" s="6" t="s">
        <v>31</v>
      </c>
      <c r="K1478" s="12">
        <f>_xlfn.XLOOKUP(B1478,[1]Sheet1!$B:$B,[1]Sheet1!$N:$N,0)</f>
        <v>0</v>
      </c>
      <c r="L1478" s="12">
        <f>_xlfn.XLOOKUP(B1478,[1]Sheet1!$B:$B,[1]Sheet1!$O:$O,0)</f>
        <v>0</v>
      </c>
      <c r="M1478" s="12">
        <f>_xlfn.XLOOKUP(B1478,[1]Sheet1!$B:$B,[1]Sheet1!$P:$P,0)</f>
        <v>0</v>
      </c>
      <c r="N1478" s="12">
        <f>_xlfn.XLOOKUP(B1478,[1]Sheet1!$B:$B,[1]Sheet1!$Q:$Q,0)</f>
        <v>0</v>
      </c>
      <c r="O1478" s="12">
        <f>_xlfn.XLOOKUP(B1478,[1]Sheet1!$B:$B,[1]Sheet1!$R:$R,0)</f>
        <v>0</v>
      </c>
      <c r="P1478" s="12">
        <f>_xlfn.XLOOKUP(B1478,[1]Sheet1!$B:$B,[1]Sheet1!$S:$S,0)</f>
        <v>0</v>
      </c>
      <c r="Q1478" s="12">
        <f>_xlfn.XLOOKUP(B1478,[1]Sheet1!$B:$B,[1]Sheet1!$T:$T,0)</f>
        <v>0</v>
      </c>
      <c r="R1478" s="12">
        <f>_xlfn.XLOOKUP(B1478,[1]Sheet1!$B:$B,[1]Sheet1!$U:$U,0)</f>
        <v>0</v>
      </c>
      <c r="S1478" s="12">
        <f>_xlfn.XLOOKUP(B1478,[1]Sheet1!$B:$B,[1]Sheet1!$V:$V,0)</f>
        <v>0</v>
      </c>
      <c r="T1478" s="12">
        <f>_xlfn.XLOOKUP(B1478,[1]Sheet1!$B:$B,[1]Sheet1!$W:$W,0)</f>
        <v>0</v>
      </c>
      <c r="U1478" s="12">
        <f>_xlfn.XLOOKUP(B1478,[1]Sheet1!$B:$B,[1]Sheet1!$X:$X,0)</f>
        <v>0</v>
      </c>
      <c r="V1478" s="12">
        <f>_xlfn.XLOOKUP(B1478,[1]Sheet1!$B:$B,[1]Sheet1!$Y:$Y,0)</f>
        <v>0</v>
      </c>
      <c r="W1478" s="12">
        <f t="shared" si="49"/>
        <v>0</v>
      </c>
      <c r="X1478" s="6" t="s">
        <v>2342</v>
      </c>
      <c r="Y1478" s="6" t="s">
        <v>2321</v>
      </c>
      <c r="Z1478" s="6" t="s">
        <v>2338</v>
      </c>
      <c r="AA1478" s="6" t="s">
        <v>96</v>
      </c>
      <c r="AB1478" s="6" t="s">
        <v>36</v>
      </c>
      <c r="AC1478" s="6" t="s">
        <v>37</v>
      </c>
      <c r="AD1478" s="6" t="s">
        <v>2340</v>
      </c>
      <c r="AE1478" s="6" t="s">
        <v>2208</v>
      </c>
      <c r="AF1478" s="6" t="s">
        <v>2211</v>
      </c>
      <c r="AG1478" s="7">
        <v>18355804</v>
      </c>
      <c r="AH1478" s="11">
        <f>_xlfn.XLOOKUP(B1478,[1]Sheet1!$B:$B,[1]Sheet1!$AB:$AB,0)</f>
        <v>0</v>
      </c>
    </row>
    <row r="1479" spans="2:34" ht="16.8" thickTop="1" thickBot="1" x14ac:dyDescent="0.35">
      <c r="B1479" s="3" t="str">
        <f t="shared" si="48"/>
        <v>451012745170000194510714426214200104</v>
      </c>
      <c r="C1479" s="8" t="s">
        <v>2339</v>
      </c>
      <c r="D1479" s="8" t="s">
        <v>2335</v>
      </c>
      <c r="E1479" s="8" t="s">
        <v>2336</v>
      </c>
      <c r="F1479" s="8" t="s">
        <v>2341</v>
      </c>
      <c r="G1479" s="4" t="s">
        <v>2889</v>
      </c>
      <c r="H1479" s="4" t="s">
        <v>2922</v>
      </c>
      <c r="I1479" s="8" t="s">
        <v>2343</v>
      </c>
      <c r="J1479" s="8" t="s">
        <v>31</v>
      </c>
      <c r="K1479" s="12">
        <f>_xlfn.XLOOKUP(B1479,[1]Sheet1!$B:$B,[1]Sheet1!$N:$N,0)</f>
        <v>0</v>
      </c>
      <c r="L1479" s="12">
        <f>_xlfn.XLOOKUP(B1479,[1]Sheet1!$B:$B,[1]Sheet1!$O:$O,0)</f>
        <v>0</v>
      </c>
      <c r="M1479" s="12">
        <f>_xlfn.XLOOKUP(B1479,[1]Sheet1!$B:$B,[1]Sheet1!$P:$P,0)</f>
        <v>0</v>
      </c>
      <c r="N1479" s="12">
        <f>_xlfn.XLOOKUP(B1479,[1]Sheet1!$B:$B,[1]Sheet1!$Q:$Q,0)</f>
        <v>0</v>
      </c>
      <c r="O1479" s="12">
        <f>_xlfn.XLOOKUP(B1479,[1]Sheet1!$B:$B,[1]Sheet1!$R:$R,0)</f>
        <v>0</v>
      </c>
      <c r="P1479" s="12">
        <f>_xlfn.XLOOKUP(B1479,[1]Sheet1!$B:$B,[1]Sheet1!$S:$S,0)</f>
        <v>0</v>
      </c>
      <c r="Q1479" s="12">
        <f>_xlfn.XLOOKUP(B1479,[1]Sheet1!$B:$B,[1]Sheet1!$T:$T,0)</f>
        <v>0</v>
      </c>
      <c r="R1479" s="12">
        <f>_xlfn.XLOOKUP(B1479,[1]Sheet1!$B:$B,[1]Sheet1!$U:$U,0)</f>
        <v>0</v>
      </c>
      <c r="S1479" s="12">
        <f>_xlfn.XLOOKUP(B1479,[1]Sheet1!$B:$B,[1]Sheet1!$V:$V,0)</f>
        <v>0</v>
      </c>
      <c r="T1479" s="12">
        <f>_xlfn.XLOOKUP(B1479,[1]Sheet1!$B:$B,[1]Sheet1!$W:$W,0)</f>
        <v>0</v>
      </c>
      <c r="U1479" s="12">
        <f>_xlfn.XLOOKUP(B1479,[1]Sheet1!$B:$B,[1]Sheet1!$X:$X,0)</f>
        <v>0</v>
      </c>
      <c r="V1479" s="12">
        <f>_xlfn.XLOOKUP(B1479,[1]Sheet1!$B:$B,[1]Sheet1!$Y:$Y,0)</f>
        <v>0</v>
      </c>
      <c r="W1479" s="12">
        <f t="shared" si="49"/>
        <v>0</v>
      </c>
      <c r="X1479" s="8" t="s">
        <v>2344</v>
      </c>
      <c r="Y1479" s="8" t="s">
        <v>2321</v>
      </c>
      <c r="Z1479" s="8" t="s">
        <v>2338</v>
      </c>
      <c r="AA1479" s="8" t="s">
        <v>2343</v>
      </c>
      <c r="AB1479" s="8" t="s">
        <v>36</v>
      </c>
      <c r="AC1479" s="8" t="s">
        <v>37</v>
      </c>
      <c r="AD1479" s="8" t="s">
        <v>2340</v>
      </c>
      <c r="AE1479" s="8" t="s">
        <v>2208</v>
      </c>
      <c r="AF1479" s="8" t="s">
        <v>2211</v>
      </c>
      <c r="AG1479" s="9">
        <v>3769183</v>
      </c>
      <c r="AH1479" s="11">
        <f>_xlfn.XLOOKUP(B1479,[1]Sheet1!$B:$B,[1]Sheet1!$AB:$AB,0)</f>
        <v>0</v>
      </c>
    </row>
    <row r="1480" spans="2:34" ht="16.8" thickTop="1" thickBot="1" x14ac:dyDescent="0.35">
      <c r="B1480" s="3" t="str">
        <f t="shared" si="48"/>
        <v>451012745170000194510714426319200104</v>
      </c>
      <c r="C1480" s="6" t="s">
        <v>2339</v>
      </c>
      <c r="D1480" s="6" t="s">
        <v>2335</v>
      </c>
      <c r="E1480" s="6" t="s">
        <v>2336</v>
      </c>
      <c r="F1480" s="6" t="s">
        <v>2341</v>
      </c>
      <c r="G1480" s="4" t="s">
        <v>2890</v>
      </c>
      <c r="H1480" s="4" t="s">
        <v>2922</v>
      </c>
      <c r="I1480" s="6" t="s">
        <v>2345</v>
      </c>
      <c r="J1480" s="6" t="s">
        <v>31</v>
      </c>
      <c r="K1480" s="12">
        <f>_xlfn.XLOOKUP(B1480,[1]Sheet1!$B:$B,[1]Sheet1!$N:$N,0)</f>
        <v>0</v>
      </c>
      <c r="L1480" s="12">
        <f>_xlfn.XLOOKUP(B1480,[1]Sheet1!$B:$B,[1]Sheet1!$O:$O,0)</f>
        <v>0</v>
      </c>
      <c r="M1480" s="12">
        <f>_xlfn.XLOOKUP(B1480,[1]Sheet1!$B:$B,[1]Sheet1!$P:$P,0)</f>
        <v>0</v>
      </c>
      <c r="N1480" s="12">
        <f>_xlfn.XLOOKUP(B1480,[1]Sheet1!$B:$B,[1]Sheet1!$Q:$Q,0)</f>
        <v>0</v>
      </c>
      <c r="O1480" s="12">
        <f>_xlfn.XLOOKUP(B1480,[1]Sheet1!$B:$B,[1]Sheet1!$R:$R,0)</f>
        <v>0</v>
      </c>
      <c r="P1480" s="12">
        <f>_xlfn.XLOOKUP(B1480,[1]Sheet1!$B:$B,[1]Sheet1!$S:$S,0)</f>
        <v>0</v>
      </c>
      <c r="Q1480" s="12">
        <f>_xlfn.XLOOKUP(B1480,[1]Sheet1!$B:$B,[1]Sheet1!$T:$T,0)</f>
        <v>0</v>
      </c>
      <c r="R1480" s="12">
        <f>_xlfn.XLOOKUP(B1480,[1]Sheet1!$B:$B,[1]Sheet1!$U:$U,0)</f>
        <v>0</v>
      </c>
      <c r="S1480" s="12">
        <f>_xlfn.XLOOKUP(B1480,[1]Sheet1!$B:$B,[1]Sheet1!$V:$V,0)</f>
        <v>0</v>
      </c>
      <c r="T1480" s="12">
        <f>_xlfn.XLOOKUP(B1480,[1]Sheet1!$B:$B,[1]Sheet1!$W:$W,0)</f>
        <v>0</v>
      </c>
      <c r="U1480" s="12">
        <f>_xlfn.XLOOKUP(B1480,[1]Sheet1!$B:$B,[1]Sheet1!$X:$X,0)</f>
        <v>0</v>
      </c>
      <c r="V1480" s="12">
        <f>_xlfn.XLOOKUP(B1480,[1]Sheet1!$B:$B,[1]Sheet1!$Y:$Y,0)</f>
        <v>0</v>
      </c>
      <c r="W1480" s="12">
        <f t="shared" si="49"/>
        <v>0</v>
      </c>
      <c r="X1480" s="6" t="s">
        <v>2346</v>
      </c>
      <c r="Y1480" s="6" t="s">
        <v>2321</v>
      </c>
      <c r="Z1480" s="6" t="s">
        <v>2338</v>
      </c>
      <c r="AA1480" s="6" t="s">
        <v>2347</v>
      </c>
      <c r="AB1480" s="6" t="s">
        <v>36</v>
      </c>
      <c r="AC1480" s="6" t="s">
        <v>37</v>
      </c>
      <c r="AD1480" s="6" t="s">
        <v>2340</v>
      </c>
      <c r="AE1480" s="6" t="s">
        <v>2208</v>
      </c>
      <c r="AF1480" s="6" t="s">
        <v>2211</v>
      </c>
      <c r="AG1480" s="7">
        <v>1725831</v>
      </c>
      <c r="AH1480" s="11">
        <f>_xlfn.XLOOKUP(B1480,[1]Sheet1!$B:$B,[1]Sheet1!$AB:$AB,0)</f>
        <v>0</v>
      </c>
    </row>
    <row r="1481" spans="2:34" ht="16.8" thickTop="1" thickBot="1" x14ac:dyDescent="0.35">
      <c r="B1481" s="3" t="str">
        <f t="shared" si="48"/>
        <v>451012745170000194510714432614200104</v>
      </c>
      <c r="C1481" s="8" t="s">
        <v>2339</v>
      </c>
      <c r="D1481" s="8" t="s">
        <v>2335</v>
      </c>
      <c r="E1481" s="8" t="s">
        <v>2336</v>
      </c>
      <c r="F1481" s="8" t="s">
        <v>2341</v>
      </c>
      <c r="G1481" s="4" t="s">
        <v>2812</v>
      </c>
      <c r="H1481" s="4" t="s">
        <v>2922</v>
      </c>
      <c r="I1481" s="8" t="s">
        <v>87</v>
      </c>
      <c r="J1481" s="8" t="s">
        <v>31</v>
      </c>
      <c r="K1481" s="12">
        <f>_xlfn.XLOOKUP(B1481,[1]Sheet1!$B:$B,[1]Sheet1!$N:$N,0)</f>
        <v>0</v>
      </c>
      <c r="L1481" s="12">
        <f>_xlfn.XLOOKUP(B1481,[1]Sheet1!$B:$B,[1]Sheet1!$O:$O,0)</f>
        <v>0</v>
      </c>
      <c r="M1481" s="12">
        <f>_xlfn.XLOOKUP(B1481,[1]Sheet1!$B:$B,[1]Sheet1!$P:$P,0)</f>
        <v>0</v>
      </c>
      <c r="N1481" s="12">
        <f>_xlfn.XLOOKUP(B1481,[1]Sheet1!$B:$B,[1]Sheet1!$Q:$Q,0)</f>
        <v>0</v>
      </c>
      <c r="O1481" s="12">
        <f>_xlfn.XLOOKUP(B1481,[1]Sheet1!$B:$B,[1]Sheet1!$R:$R,0)</f>
        <v>0</v>
      </c>
      <c r="P1481" s="12">
        <f>_xlfn.XLOOKUP(B1481,[1]Sheet1!$B:$B,[1]Sheet1!$S:$S,0)</f>
        <v>0</v>
      </c>
      <c r="Q1481" s="12">
        <f>_xlfn.XLOOKUP(B1481,[1]Sheet1!$B:$B,[1]Sheet1!$T:$T,0)</f>
        <v>0</v>
      </c>
      <c r="R1481" s="12">
        <f>_xlfn.XLOOKUP(B1481,[1]Sheet1!$B:$B,[1]Sheet1!$U:$U,0)</f>
        <v>0</v>
      </c>
      <c r="S1481" s="12">
        <f>_xlfn.XLOOKUP(B1481,[1]Sheet1!$B:$B,[1]Sheet1!$V:$V,0)</f>
        <v>0</v>
      </c>
      <c r="T1481" s="12">
        <f>_xlfn.XLOOKUP(B1481,[1]Sheet1!$B:$B,[1]Sheet1!$W:$W,0)</f>
        <v>0</v>
      </c>
      <c r="U1481" s="12">
        <f>_xlfn.XLOOKUP(B1481,[1]Sheet1!$B:$B,[1]Sheet1!$X:$X,0)</f>
        <v>0</v>
      </c>
      <c r="V1481" s="12">
        <f>_xlfn.XLOOKUP(B1481,[1]Sheet1!$B:$B,[1]Sheet1!$Y:$Y,0)</f>
        <v>0</v>
      </c>
      <c r="W1481" s="12">
        <f t="shared" si="49"/>
        <v>0</v>
      </c>
      <c r="X1481" s="8" t="s">
        <v>2348</v>
      </c>
      <c r="Y1481" s="8" t="s">
        <v>2321</v>
      </c>
      <c r="Z1481" s="8" t="s">
        <v>2338</v>
      </c>
      <c r="AA1481" s="8" t="s">
        <v>87</v>
      </c>
      <c r="AB1481" s="8" t="s">
        <v>36</v>
      </c>
      <c r="AC1481" s="8" t="s">
        <v>37</v>
      </c>
      <c r="AD1481" s="8" t="s">
        <v>2340</v>
      </c>
      <c r="AE1481" s="8" t="s">
        <v>2208</v>
      </c>
      <c r="AF1481" s="8" t="s">
        <v>2211</v>
      </c>
      <c r="AG1481" s="9">
        <v>1137150</v>
      </c>
      <c r="AH1481" s="11">
        <f>_xlfn.XLOOKUP(B1481,[1]Sheet1!$B:$B,[1]Sheet1!$AB:$AB,0)</f>
        <v>0</v>
      </c>
    </row>
    <row r="1482" spans="2:34" ht="16.8" thickTop="1" thickBot="1" x14ac:dyDescent="0.35">
      <c r="B1482" s="3" t="str">
        <f t="shared" si="48"/>
        <v>451012745170000194510719422718200104</v>
      </c>
      <c r="C1482" s="6" t="s">
        <v>2339</v>
      </c>
      <c r="D1482" s="6" t="s">
        <v>2335</v>
      </c>
      <c r="E1482" s="6" t="s">
        <v>2336</v>
      </c>
      <c r="F1482" s="6" t="s">
        <v>2349</v>
      </c>
      <c r="G1482" s="4" t="s">
        <v>2891</v>
      </c>
      <c r="H1482" s="4" t="s">
        <v>2922</v>
      </c>
      <c r="I1482" s="6" t="s">
        <v>2350</v>
      </c>
      <c r="J1482" s="6" t="s">
        <v>31</v>
      </c>
      <c r="K1482" s="12">
        <f>_xlfn.XLOOKUP(B1482,[1]Sheet1!$B:$B,[1]Sheet1!$N:$N,0)</f>
        <v>0</v>
      </c>
      <c r="L1482" s="12">
        <f>_xlfn.XLOOKUP(B1482,[1]Sheet1!$B:$B,[1]Sheet1!$O:$O,0)</f>
        <v>0</v>
      </c>
      <c r="M1482" s="12">
        <f>_xlfn.XLOOKUP(B1482,[1]Sheet1!$B:$B,[1]Sheet1!$P:$P,0)</f>
        <v>0</v>
      </c>
      <c r="N1482" s="12">
        <f>_xlfn.XLOOKUP(B1482,[1]Sheet1!$B:$B,[1]Sheet1!$Q:$Q,0)</f>
        <v>0</v>
      </c>
      <c r="O1482" s="12">
        <f>_xlfn.XLOOKUP(B1482,[1]Sheet1!$B:$B,[1]Sheet1!$R:$R,0)</f>
        <v>0</v>
      </c>
      <c r="P1482" s="12">
        <f>_xlfn.XLOOKUP(B1482,[1]Sheet1!$B:$B,[1]Sheet1!$S:$S,0)</f>
        <v>0</v>
      </c>
      <c r="Q1482" s="12">
        <f>_xlfn.XLOOKUP(B1482,[1]Sheet1!$B:$B,[1]Sheet1!$T:$T,0)</f>
        <v>0</v>
      </c>
      <c r="R1482" s="12">
        <f>_xlfn.XLOOKUP(B1482,[1]Sheet1!$B:$B,[1]Sheet1!$U:$U,0)</f>
        <v>0</v>
      </c>
      <c r="S1482" s="12">
        <f>_xlfn.XLOOKUP(B1482,[1]Sheet1!$B:$B,[1]Sheet1!$V:$V,0)</f>
        <v>0</v>
      </c>
      <c r="T1482" s="12">
        <f>_xlfn.XLOOKUP(B1482,[1]Sheet1!$B:$B,[1]Sheet1!$W:$W,0)</f>
        <v>0</v>
      </c>
      <c r="U1482" s="12">
        <f>_xlfn.XLOOKUP(B1482,[1]Sheet1!$B:$B,[1]Sheet1!$X:$X,0)</f>
        <v>0</v>
      </c>
      <c r="V1482" s="12">
        <f>_xlfn.XLOOKUP(B1482,[1]Sheet1!$B:$B,[1]Sheet1!$Y:$Y,0)</f>
        <v>0</v>
      </c>
      <c r="W1482" s="12">
        <f t="shared" si="49"/>
        <v>0</v>
      </c>
      <c r="X1482" s="6" t="s">
        <v>2351</v>
      </c>
      <c r="Y1482" s="6" t="s">
        <v>2321</v>
      </c>
      <c r="Z1482" s="6" t="s">
        <v>2338</v>
      </c>
      <c r="AA1482" s="6" t="s">
        <v>2350</v>
      </c>
      <c r="AB1482" s="6" t="s">
        <v>36</v>
      </c>
      <c r="AC1482" s="6" t="s">
        <v>37</v>
      </c>
      <c r="AD1482" s="6" t="s">
        <v>2340</v>
      </c>
      <c r="AE1482" s="6" t="s">
        <v>2208</v>
      </c>
      <c r="AF1482" s="6" t="s">
        <v>2211</v>
      </c>
      <c r="AG1482" s="7">
        <v>8227940</v>
      </c>
      <c r="AH1482" s="11">
        <f>_xlfn.XLOOKUP(B1482,[1]Sheet1!$B:$B,[1]Sheet1!$AB:$AB,0)</f>
        <v>0</v>
      </c>
    </row>
    <row r="1483" spans="2:34" ht="16.8" thickTop="1" thickBot="1" x14ac:dyDescent="0.35">
      <c r="B1483" s="3" t="str">
        <f t="shared" si="48"/>
        <v>451012745170000194510723424521200104</v>
      </c>
      <c r="C1483" s="8" t="s">
        <v>2339</v>
      </c>
      <c r="D1483" s="8" t="s">
        <v>2335</v>
      </c>
      <c r="E1483" s="8" t="s">
        <v>2336</v>
      </c>
      <c r="F1483" s="8" t="s">
        <v>2218</v>
      </c>
      <c r="G1483" s="4" t="s">
        <v>2804</v>
      </c>
      <c r="H1483" s="4" t="s">
        <v>2922</v>
      </c>
      <c r="I1483" s="8" t="s">
        <v>53</v>
      </c>
      <c r="J1483" s="8" t="s">
        <v>31</v>
      </c>
      <c r="K1483" s="12">
        <f>_xlfn.XLOOKUP(B1483,[1]Sheet1!$B:$B,[1]Sheet1!$N:$N,0)</f>
        <v>0</v>
      </c>
      <c r="L1483" s="12">
        <f>_xlfn.XLOOKUP(B1483,[1]Sheet1!$B:$B,[1]Sheet1!$O:$O,0)</f>
        <v>0</v>
      </c>
      <c r="M1483" s="12">
        <f>_xlfn.XLOOKUP(B1483,[1]Sheet1!$B:$B,[1]Sheet1!$P:$P,0)</f>
        <v>0</v>
      </c>
      <c r="N1483" s="12">
        <f>_xlfn.XLOOKUP(B1483,[1]Sheet1!$B:$B,[1]Sheet1!$Q:$Q,0)</f>
        <v>0</v>
      </c>
      <c r="O1483" s="12">
        <f>_xlfn.XLOOKUP(B1483,[1]Sheet1!$B:$B,[1]Sheet1!$R:$R,0)</f>
        <v>0</v>
      </c>
      <c r="P1483" s="12">
        <f>_xlfn.XLOOKUP(B1483,[1]Sheet1!$B:$B,[1]Sheet1!$S:$S,0)</f>
        <v>0</v>
      </c>
      <c r="Q1483" s="12">
        <f>_xlfn.XLOOKUP(B1483,[1]Sheet1!$B:$B,[1]Sheet1!$T:$T,0)</f>
        <v>0</v>
      </c>
      <c r="R1483" s="12">
        <f>_xlfn.XLOOKUP(B1483,[1]Sheet1!$B:$B,[1]Sheet1!$U:$U,0)</f>
        <v>0</v>
      </c>
      <c r="S1483" s="12">
        <f>_xlfn.XLOOKUP(B1483,[1]Sheet1!$B:$B,[1]Sheet1!$V:$V,0)</f>
        <v>0</v>
      </c>
      <c r="T1483" s="12">
        <f>_xlfn.XLOOKUP(B1483,[1]Sheet1!$B:$B,[1]Sheet1!$W:$W,0)</f>
        <v>0</v>
      </c>
      <c r="U1483" s="12">
        <f>_xlfn.XLOOKUP(B1483,[1]Sheet1!$B:$B,[1]Sheet1!$X:$X,0)</f>
        <v>0</v>
      </c>
      <c r="V1483" s="12">
        <f>_xlfn.XLOOKUP(B1483,[1]Sheet1!$B:$B,[1]Sheet1!$Y:$Y,0)</f>
        <v>0</v>
      </c>
      <c r="W1483" s="12">
        <f t="shared" si="49"/>
        <v>0</v>
      </c>
      <c r="X1483" s="8" t="s">
        <v>2352</v>
      </c>
      <c r="Y1483" s="8" t="s">
        <v>2321</v>
      </c>
      <c r="Z1483" s="8" t="s">
        <v>2338</v>
      </c>
      <c r="AA1483" s="8" t="s">
        <v>53</v>
      </c>
      <c r="AB1483" s="8" t="s">
        <v>36</v>
      </c>
      <c r="AC1483" s="8" t="s">
        <v>37</v>
      </c>
      <c r="AD1483" s="8" t="s">
        <v>2340</v>
      </c>
      <c r="AE1483" s="8" t="s">
        <v>2208</v>
      </c>
      <c r="AF1483" s="8" t="s">
        <v>2211</v>
      </c>
      <c r="AG1483" s="9">
        <v>960000</v>
      </c>
      <c r="AH1483" s="11">
        <f>_xlfn.XLOOKUP(B1483,[1]Sheet1!$B:$B,[1]Sheet1!$AB:$AB,0)</f>
        <v>0</v>
      </c>
    </row>
    <row r="1484" spans="2:34" ht="16.8" thickTop="1" thickBot="1" x14ac:dyDescent="0.35">
      <c r="B1484" s="3" t="str">
        <f t="shared" si="48"/>
        <v>451012745170000194510726423821200104</v>
      </c>
      <c r="C1484" s="6" t="s">
        <v>2339</v>
      </c>
      <c r="D1484" s="6" t="s">
        <v>2335</v>
      </c>
      <c r="E1484" s="6" t="s">
        <v>2336</v>
      </c>
      <c r="F1484" s="6" t="s">
        <v>2247</v>
      </c>
      <c r="G1484" s="4" t="s">
        <v>2805</v>
      </c>
      <c r="H1484" s="4" t="s">
        <v>2922</v>
      </c>
      <c r="I1484" s="6" t="s">
        <v>55</v>
      </c>
      <c r="J1484" s="6" t="s">
        <v>31</v>
      </c>
      <c r="K1484" s="12">
        <f>_xlfn.XLOOKUP(B1484,[1]Sheet1!$B:$B,[1]Sheet1!$N:$N,0)</f>
        <v>0</v>
      </c>
      <c r="L1484" s="12">
        <f>_xlfn.XLOOKUP(B1484,[1]Sheet1!$B:$B,[1]Sheet1!$O:$O,0)</f>
        <v>0</v>
      </c>
      <c r="M1484" s="12">
        <f>_xlfn.XLOOKUP(B1484,[1]Sheet1!$B:$B,[1]Sheet1!$P:$P,0)</f>
        <v>0</v>
      </c>
      <c r="N1484" s="12">
        <f>_xlfn.XLOOKUP(B1484,[1]Sheet1!$B:$B,[1]Sheet1!$Q:$Q,0)</f>
        <v>0</v>
      </c>
      <c r="O1484" s="12">
        <f>_xlfn.XLOOKUP(B1484,[1]Sheet1!$B:$B,[1]Sheet1!$R:$R,0)</f>
        <v>0</v>
      </c>
      <c r="P1484" s="12">
        <f>_xlfn.XLOOKUP(B1484,[1]Sheet1!$B:$B,[1]Sheet1!$S:$S,0)</f>
        <v>0</v>
      </c>
      <c r="Q1484" s="12">
        <f>_xlfn.XLOOKUP(B1484,[1]Sheet1!$B:$B,[1]Sheet1!$T:$T,0)</f>
        <v>0</v>
      </c>
      <c r="R1484" s="12">
        <f>_xlfn.XLOOKUP(B1484,[1]Sheet1!$B:$B,[1]Sheet1!$U:$U,0)</f>
        <v>0</v>
      </c>
      <c r="S1484" s="12">
        <f>_xlfn.XLOOKUP(B1484,[1]Sheet1!$B:$B,[1]Sheet1!$V:$V,0)</f>
        <v>0</v>
      </c>
      <c r="T1484" s="12">
        <f>_xlfn.XLOOKUP(B1484,[1]Sheet1!$B:$B,[1]Sheet1!$W:$W,0)</f>
        <v>0</v>
      </c>
      <c r="U1484" s="12">
        <f>_xlfn.XLOOKUP(B1484,[1]Sheet1!$B:$B,[1]Sheet1!$X:$X,0)</f>
        <v>0</v>
      </c>
      <c r="V1484" s="12">
        <f>_xlfn.XLOOKUP(B1484,[1]Sheet1!$B:$B,[1]Sheet1!$Y:$Y,0)</f>
        <v>0</v>
      </c>
      <c r="W1484" s="12">
        <f t="shared" si="49"/>
        <v>0</v>
      </c>
      <c r="X1484" s="6" t="s">
        <v>2353</v>
      </c>
      <c r="Y1484" s="6" t="s">
        <v>2321</v>
      </c>
      <c r="Z1484" s="6" t="s">
        <v>2338</v>
      </c>
      <c r="AA1484" s="6" t="s">
        <v>55</v>
      </c>
      <c r="AB1484" s="6" t="s">
        <v>36</v>
      </c>
      <c r="AC1484" s="6" t="s">
        <v>37</v>
      </c>
      <c r="AD1484" s="6" t="s">
        <v>2340</v>
      </c>
      <c r="AE1484" s="6" t="s">
        <v>2208</v>
      </c>
      <c r="AF1484" s="6" t="s">
        <v>2211</v>
      </c>
      <c r="AG1484" s="7">
        <v>230500</v>
      </c>
      <c r="AH1484" s="11">
        <f>_xlfn.XLOOKUP(B1484,[1]Sheet1!$B:$B,[1]Sheet1!$AB:$AB,0)</f>
        <v>0</v>
      </c>
    </row>
    <row r="1485" spans="2:34" ht="16.8" thickTop="1" thickBot="1" x14ac:dyDescent="0.35">
      <c r="B1485" s="3" t="str">
        <f t="shared" si="48"/>
        <v>451012745170000194510730425112200104</v>
      </c>
      <c r="C1485" s="8" t="s">
        <v>2339</v>
      </c>
      <c r="D1485" s="8" t="s">
        <v>2335</v>
      </c>
      <c r="E1485" s="8" t="s">
        <v>2336</v>
      </c>
      <c r="F1485" s="8" t="s">
        <v>2354</v>
      </c>
      <c r="G1485" s="4" t="s">
        <v>2848</v>
      </c>
      <c r="H1485" s="4" t="s">
        <v>2922</v>
      </c>
      <c r="I1485" s="8" t="s">
        <v>533</v>
      </c>
      <c r="J1485" s="8" t="s">
        <v>31</v>
      </c>
      <c r="K1485" s="12">
        <f>_xlfn.XLOOKUP(B1485,[1]Sheet1!$B:$B,[1]Sheet1!$N:$N,0)</f>
        <v>0</v>
      </c>
      <c r="L1485" s="12">
        <f>_xlfn.XLOOKUP(B1485,[1]Sheet1!$B:$B,[1]Sheet1!$O:$O,0)</f>
        <v>0</v>
      </c>
      <c r="M1485" s="12">
        <f>_xlfn.XLOOKUP(B1485,[1]Sheet1!$B:$B,[1]Sheet1!$P:$P,0)</f>
        <v>0</v>
      </c>
      <c r="N1485" s="12">
        <f>_xlfn.XLOOKUP(B1485,[1]Sheet1!$B:$B,[1]Sheet1!$Q:$Q,0)</f>
        <v>0</v>
      </c>
      <c r="O1485" s="12">
        <f>_xlfn.XLOOKUP(B1485,[1]Sheet1!$B:$B,[1]Sheet1!$R:$R,0)</f>
        <v>0</v>
      </c>
      <c r="P1485" s="12">
        <f>_xlfn.XLOOKUP(B1485,[1]Sheet1!$B:$B,[1]Sheet1!$S:$S,0)</f>
        <v>0</v>
      </c>
      <c r="Q1485" s="12">
        <f>_xlfn.XLOOKUP(B1485,[1]Sheet1!$B:$B,[1]Sheet1!$T:$T,0)</f>
        <v>0</v>
      </c>
      <c r="R1485" s="12">
        <f>_xlfn.XLOOKUP(B1485,[1]Sheet1!$B:$B,[1]Sheet1!$U:$U,0)</f>
        <v>0</v>
      </c>
      <c r="S1485" s="12">
        <f>_xlfn.XLOOKUP(B1485,[1]Sheet1!$B:$B,[1]Sheet1!$V:$V,0)</f>
        <v>0</v>
      </c>
      <c r="T1485" s="12">
        <f>_xlfn.XLOOKUP(B1485,[1]Sheet1!$B:$B,[1]Sheet1!$W:$W,0)</f>
        <v>0</v>
      </c>
      <c r="U1485" s="12">
        <f>_xlfn.XLOOKUP(B1485,[1]Sheet1!$B:$B,[1]Sheet1!$X:$X,0)</f>
        <v>0</v>
      </c>
      <c r="V1485" s="12">
        <f>_xlfn.XLOOKUP(B1485,[1]Sheet1!$B:$B,[1]Sheet1!$Y:$Y,0)</f>
        <v>0</v>
      </c>
      <c r="W1485" s="12">
        <f t="shared" si="49"/>
        <v>0</v>
      </c>
      <c r="X1485" s="8" t="s">
        <v>2355</v>
      </c>
      <c r="Y1485" s="8" t="s">
        <v>2321</v>
      </c>
      <c r="Z1485" s="8" t="s">
        <v>2338</v>
      </c>
      <c r="AA1485" s="8" t="s">
        <v>533</v>
      </c>
      <c r="AB1485" s="8" t="s">
        <v>36</v>
      </c>
      <c r="AC1485" s="8" t="s">
        <v>37</v>
      </c>
      <c r="AD1485" s="8" t="s">
        <v>2340</v>
      </c>
      <c r="AE1485" s="8" t="s">
        <v>2208</v>
      </c>
      <c r="AF1485" s="8" t="s">
        <v>2211</v>
      </c>
      <c r="AG1485" s="9">
        <v>740616</v>
      </c>
      <c r="AH1485" s="11">
        <f>_xlfn.XLOOKUP(B1485,[1]Sheet1!$B:$B,[1]Sheet1!$AB:$AB,0)</f>
        <v>0</v>
      </c>
    </row>
    <row r="1486" spans="2:34" ht="16.8" thickTop="1" thickBot="1" x14ac:dyDescent="0.35">
      <c r="B1486" s="3" t="str">
        <f t="shared" si="48"/>
        <v>451012745170000194510744491321300105</v>
      </c>
      <c r="C1486" s="6" t="s">
        <v>2339</v>
      </c>
      <c r="D1486" s="6" t="s">
        <v>2335</v>
      </c>
      <c r="E1486" s="6" t="s">
        <v>2336</v>
      </c>
      <c r="F1486" s="6" t="s">
        <v>2356</v>
      </c>
      <c r="G1486" s="4" t="s">
        <v>2892</v>
      </c>
      <c r="H1486" s="4" t="s">
        <v>2923</v>
      </c>
      <c r="I1486" s="6" t="s">
        <v>2357</v>
      </c>
      <c r="J1486" s="6" t="s">
        <v>31</v>
      </c>
      <c r="K1486" s="12">
        <f>_xlfn.XLOOKUP(B1486,[1]Sheet1!$B:$B,[1]Sheet1!$N:$N,0)</f>
        <v>0</v>
      </c>
      <c r="L1486" s="12">
        <f>_xlfn.XLOOKUP(B1486,[1]Sheet1!$B:$B,[1]Sheet1!$O:$O,0)</f>
        <v>0</v>
      </c>
      <c r="M1486" s="12">
        <f>_xlfn.XLOOKUP(B1486,[1]Sheet1!$B:$B,[1]Sheet1!$P:$P,0)</f>
        <v>0</v>
      </c>
      <c r="N1486" s="12">
        <f>_xlfn.XLOOKUP(B1486,[1]Sheet1!$B:$B,[1]Sheet1!$Q:$Q,0)</f>
        <v>0</v>
      </c>
      <c r="O1486" s="12">
        <f>_xlfn.XLOOKUP(B1486,[1]Sheet1!$B:$B,[1]Sheet1!$R:$R,0)</f>
        <v>0</v>
      </c>
      <c r="P1486" s="12">
        <f>_xlfn.XLOOKUP(B1486,[1]Sheet1!$B:$B,[1]Sheet1!$S:$S,0)</f>
        <v>0</v>
      </c>
      <c r="Q1486" s="12">
        <f>_xlfn.XLOOKUP(B1486,[1]Sheet1!$B:$B,[1]Sheet1!$T:$T,0)</f>
        <v>0</v>
      </c>
      <c r="R1486" s="12">
        <f>_xlfn.XLOOKUP(B1486,[1]Sheet1!$B:$B,[1]Sheet1!$U:$U,0)</f>
        <v>0</v>
      </c>
      <c r="S1486" s="12">
        <f>_xlfn.XLOOKUP(B1486,[1]Sheet1!$B:$B,[1]Sheet1!$V:$V,0)</f>
        <v>0</v>
      </c>
      <c r="T1486" s="12">
        <f>_xlfn.XLOOKUP(B1486,[1]Sheet1!$B:$B,[1]Sheet1!$W:$W,0)</f>
        <v>0</v>
      </c>
      <c r="U1486" s="12">
        <f>_xlfn.XLOOKUP(B1486,[1]Sheet1!$B:$B,[1]Sheet1!$X:$X,0)</f>
        <v>0</v>
      </c>
      <c r="V1486" s="12">
        <f>_xlfn.XLOOKUP(B1486,[1]Sheet1!$B:$B,[1]Sheet1!$Y:$Y,0)</f>
        <v>0</v>
      </c>
      <c r="W1486" s="12">
        <f t="shared" si="49"/>
        <v>0</v>
      </c>
      <c r="X1486" s="6" t="s">
        <v>2358</v>
      </c>
      <c r="Y1486" s="6" t="s">
        <v>2321</v>
      </c>
      <c r="Z1486" s="6" t="s">
        <v>2338</v>
      </c>
      <c r="AA1486" s="6" t="s">
        <v>2359</v>
      </c>
      <c r="AB1486" s="6" t="s">
        <v>93</v>
      </c>
      <c r="AC1486" s="6" t="s">
        <v>94</v>
      </c>
      <c r="AD1486" s="6" t="s">
        <v>2272</v>
      </c>
      <c r="AE1486" s="6" t="s">
        <v>2208</v>
      </c>
      <c r="AF1486" s="6" t="s">
        <v>2211</v>
      </c>
      <c r="AG1486" s="7">
        <v>73130271</v>
      </c>
      <c r="AH1486" s="11">
        <f>_xlfn.XLOOKUP(B1486,[1]Sheet1!$B:$B,[1]Sheet1!$AB:$AB,0)</f>
        <v>0</v>
      </c>
    </row>
    <row r="1487" spans="2:34" ht="16.8" thickTop="1" thickBot="1" x14ac:dyDescent="0.35">
      <c r="B1487" s="3" t="str">
        <f t="shared" si="48"/>
        <v>451012745170000194510744491351300105</v>
      </c>
      <c r="C1487" s="8" t="s">
        <v>2339</v>
      </c>
      <c r="D1487" s="8" t="s">
        <v>2335</v>
      </c>
      <c r="E1487" s="8" t="s">
        <v>2336</v>
      </c>
      <c r="F1487" s="8" t="s">
        <v>2356</v>
      </c>
      <c r="G1487" s="4" t="s">
        <v>2829</v>
      </c>
      <c r="H1487" s="4" t="s">
        <v>2923</v>
      </c>
      <c r="I1487" s="8" t="s">
        <v>292</v>
      </c>
      <c r="J1487" s="8" t="s">
        <v>31</v>
      </c>
      <c r="K1487" s="12">
        <f>_xlfn.XLOOKUP(B1487,[1]Sheet1!$B:$B,[1]Sheet1!$N:$N,0)</f>
        <v>0</v>
      </c>
      <c r="L1487" s="12">
        <f>_xlfn.XLOOKUP(B1487,[1]Sheet1!$B:$B,[1]Sheet1!$O:$O,0)</f>
        <v>0</v>
      </c>
      <c r="M1487" s="12">
        <f>_xlfn.XLOOKUP(B1487,[1]Sheet1!$B:$B,[1]Sheet1!$P:$P,0)</f>
        <v>0</v>
      </c>
      <c r="N1487" s="12">
        <f>_xlfn.XLOOKUP(B1487,[1]Sheet1!$B:$B,[1]Sheet1!$Q:$Q,0)</f>
        <v>0</v>
      </c>
      <c r="O1487" s="12">
        <f>_xlfn.XLOOKUP(B1487,[1]Sheet1!$B:$B,[1]Sheet1!$R:$R,0)</f>
        <v>0</v>
      </c>
      <c r="P1487" s="12">
        <f>_xlfn.XLOOKUP(B1487,[1]Sheet1!$B:$B,[1]Sheet1!$S:$S,0)</f>
        <v>0</v>
      </c>
      <c r="Q1487" s="12">
        <f>_xlfn.XLOOKUP(B1487,[1]Sheet1!$B:$B,[1]Sheet1!$T:$T,0)</f>
        <v>0</v>
      </c>
      <c r="R1487" s="12">
        <f>_xlfn.XLOOKUP(B1487,[1]Sheet1!$B:$B,[1]Sheet1!$U:$U,0)</f>
        <v>0</v>
      </c>
      <c r="S1487" s="12">
        <f>_xlfn.XLOOKUP(B1487,[1]Sheet1!$B:$B,[1]Sheet1!$V:$V,0)</f>
        <v>0</v>
      </c>
      <c r="T1487" s="12">
        <f>_xlfn.XLOOKUP(B1487,[1]Sheet1!$B:$B,[1]Sheet1!$W:$W,0)</f>
        <v>0</v>
      </c>
      <c r="U1487" s="12">
        <f>_xlfn.XLOOKUP(B1487,[1]Sheet1!$B:$B,[1]Sheet1!$X:$X,0)</f>
        <v>0</v>
      </c>
      <c r="V1487" s="12">
        <f>_xlfn.XLOOKUP(B1487,[1]Sheet1!$B:$B,[1]Sheet1!$Y:$Y,0)</f>
        <v>0</v>
      </c>
      <c r="W1487" s="12">
        <f t="shared" si="49"/>
        <v>0</v>
      </c>
      <c r="X1487" s="8" t="s">
        <v>2360</v>
      </c>
      <c r="Y1487" s="8" t="s">
        <v>2321</v>
      </c>
      <c r="Z1487" s="8" t="s">
        <v>2338</v>
      </c>
      <c r="AA1487" s="8" t="s">
        <v>292</v>
      </c>
      <c r="AB1487" s="8" t="s">
        <v>93</v>
      </c>
      <c r="AC1487" s="8" t="s">
        <v>94</v>
      </c>
      <c r="AD1487" s="8" t="s">
        <v>2272</v>
      </c>
      <c r="AE1487" s="8" t="s">
        <v>2208</v>
      </c>
      <c r="AF1487" s="8" t="s">
        <v>2211</v>
      </c>
      <c r="AG1487" s="9">
        <v>23370007</v>
      </c>
      <c r="AH1487" s="11">
        <f>_xlfn.XLOOKUP(B1487,[1]Sheet1!$B:$B,[1]Sheet1!$AB:$AB,0)</f>
        <v>0</v>
      </c>
    </row>
    <row r="1488" spans="2:34" ht="16.8" thickTop="1" thickBot="1" x14ac:dyDescent="0.35">
      <c r="B1488" s="3" t="str">
        <f t="shared" si="48"/>
        <v>451012745170000194510744491411300105</v>
      </c>
      <c r="C1488" s="6" t="s">
        <v>2339</v>
      </c>
      <c r="D1488" s="6" t="s">
        <v>2335</v>
      </c>
      <c r="E1488" s="6" t="s">
        <v>2336</v>
      </c>
      <c r="F1488" s="6" t="s">
        <v>2356</v>
      </c>
      <c r="G1488" s="4" t="s">
        <v>2893</v>
      </c>
      <c r="H1488" s="4" t="s">
        <v>2923</v>
      </c>
      <c r="I1488" s="6" t="s">
        <v>2361</v>
      </c>
      <c r="J1488" s="6" t="s">
        <v>31</v>
      </c>
      <c r="K1488" s="12">
        <f>_xlfn.XLOOKUP(B1488,[1]Sheet1!$B:$B,[1]Sheet1!$N:$N,0)</f>
        <v>0</v>
      </c>
      <c r="L1488" s="12">
        <f>_xlfn.XLOOKUP(B1488,[1]Sheet1!$B:$B,[1]Sheet1!$O:$O,0)</f>
        <v>0</v>
      </c>
      <c r="M1488" s="12">
        <f>_xlfn.XLOOKUP(B1488,[1]Sheet1!$B:$B,[1]Sheet1!$P:$P,0)</f>
        <v>0</v>
      </c>
      <c r="N1488" s="12">
        <f>_xlfn.XLOOKUP(B1488,[1]Sheet1!$B:$B,[1]Sheet1!$Q:$Q,0)</f>
        <v>0</v>
      </c>
      <c r="O1488" s="12">
        <f>_xlfn.XLOOKUP(B1488,[1]Sheet1!$B:$B,[1]Sheet1!$R:$R,0)</f>
        <v>0</v>
      </c>
      <c r="P1488" s="12">
        <f>_xlfn.XLOOKUP(B1488,[1]Sheet1!$B:$B,[1]Sheet1!$S:$S,0)</f>
        <v>0</v>
      </c>
      <c r="Q1488" s="12">
        <f>_xlfn.XLOOKUP(B1488,[1]Sheet1!$B:$B,[1]Sheet1!$T:$T,0)</f>
        <v>0</v>
      </c>
      <c r="R1488" s="12">
        <f>_xlfn.XLOOKUP(B1488,[1]Sheet1!$B:$B,[1]Sheet1!$U:$U,0)</f>
        <v>0</v>
      </c>
      <c r="S1488" s="12">
        <f>_xlfn.XLOOKUP(B1488,[1]Sheet1!$B:$B,[1]Sheet1!$V:$V,0)</f>
        <v>0</v>
      </c>
      <c r="T1488" s="12">
        <f>_xlfn.XLOOKUP(B1488,[1]Sheet1!$B:$B,[1]Sheet1!$W:$W,0)</f>
        <v>0</v>
      </c>
      <c r="U1488" s="12">
        <f>_xlfn.XLOOKUP(B1488,[1]Sheet1!$B:$B,[1]Sheet1!$X:$X,0)</f>
        <v>0</v>
      </c>
      <c r="V1488" s="12">
        <f>_xlfn.XLOOKUP(B1488,[1]Sheet1!$B:$B,[1]Sheet1!$Y:$Y,0)</f>
        <v>0</v>
      </c>
      <c r="W1488" s="12">
        <f t="shared" si="49"/>
        <v>0</v>
      </c>
      <c r="X1488" s="6" t="s">
        <v>2362</v>
      </c>
      <c r="Y1488" s="6" t="s">
        <v>2321</v>
      </c>
      <c r="Z1488" s="6" t="s">
        <v>2338</v>
      </c>
      <c r="AA1488" s="6" t="s">
        <v>2361</v>
      </c>
      <c r="AB1488" s="6" t="s">
        <v>93</v>
      </c>
      <c r="AC1488" s="6" t="s">
        <v>94</v>
      </c>
      <c r="AD1488" s="6" t="s">
        <v>2272</v>
      </c>
      <c r="AE1488" s="6" t="s">
        <v>2208</v>
      </c>
      <c r="AF1488" s="6" t="s">
        <v>2211</v>
      </c>
      <c r="AG1488" s="7">
        <v>6315320</v>
      </c>
      <c r="AH1488" s="11">
        <f>_xlfn.XLOOKUP(B1488,[1]Sheet1!$B:$B,[1]Sheet1!$AB:$AB,0)</f>
        <v>0</v>
      </c>
    </row>
    <row r="1489" spans="2:34" ht="16.8" thickTop="1" thickBot="1" x14ac:dyDescent="0.35">
      <c r="B1489" s="3" t="str">
        <f t="shared" si="48"/>
        <v>451012745170000194510753422211200104</v>
      </c>
      <c r="C1489" s="8" t="s">
        <v>2339</v>
      </c>
      <c r="D1489" s="8" t="s">
        <v>2335</v>
      </c>
      <c r="E1489" s="8" t="s">
        <v>2336</v>
      </c>
      <c r="F1489" s="8" t="s">
        <v>2294</v>
      </c>
      <c r="G1489" s="4" t="s">
        <v>2869</v>
      </c>
      <c r="H1489" s="4" t="s">
        <v>2922</v>
      </c>
      <c r="I1489" s="8" t="s">
        <v>1287</v>
      </c>
      <c r="J1489" s="8" t="s">
        <v>31</v>
      </c>
      <c r="K1489" s="12">
        <f>_xlfn.XLOOKUP(B1489,[1]Sheet1!$B:$B,[1]Sheet1!$N:$N,0)</f>
        <v>0</v>
      </c>
      <c r="L1489" s="12">
        <f>_xlfn.XLOOKUP(B1489,[1]Sheet1!$B:$B,[1]Sheet1!$O:$O,0)</f>
        <v>0</v>
      </c>
      <c r="M1489" s="12">
        <f>_xlfn.XLOOKUP(B1489,[1]Sheet1!$B:$B,[1]Sheet1!$P:$P,0)</f>
        <v>0</v>
      </c>
      <c r="N1489" s="12">
        <f>_xlfn.XLOOKUP(B1489,[1]Sheet1!$B:$B,[1]Sheet1!$Q:$Q,0)</f>
        <v>0</v>
      </c>
      <c r="O1489" s="12">
        <f>_xlfn.XLOOKUP(B1489,[1]Sheet1!$B:$B,[1]Sheet1!$R:$R,0)</f>
        <v>0</v>
      </c>
      <c r="P1489" s="12">
        <f>_xlfn.XLOOKUP(B1489,[1]Sheet1!$B:$B,[1]Sheet1!$S:$S,0)</f>
        <v>0</v>
      </c>
      <c r="Q1489" s="12">
        <f>_xlfn.XLOOKUP(B1489,[1]Sheet1!$B:$B,[1]Sheet1!$T:$T,0)</f>
        <v>0</v>
      </c>
      <c r="R1489" s="12">
        <f>_xlfn.XLOOKUP(B1489,[1]Sheet1!$B:$B,[1]Sheet1!$U:$U,0)</f>
        <v>0</v>
      </c>
      <c r="S1489" s="12">
        <f>_xlfn.XLOOKUP(B1489,[1]Sheet1!$B:$B,[1]Sheet1!$V:$V,0)</f>
        <v>0</v>
      </c>
      <c r="T1489" s="12">
        <f>_xlfn.XLOOKUP(B1489,[1]Sheet1!$B:$B,[1]Sheet1!$W:$W,0)</f>
        <v>0</v>
      </c>
      <c r="U1489" s="12">
        <f>_xlfn.XLOOKUP(B1489,[1]Sheet1!$B:$B,[1]Sheet1!$X:$X,0)</f>
        <v>0</v>
      </c>
      <c r="V1489" s="12">
        <f>_xlfn.XLOOKUP(B1489,[1]Sheet1!$B:$B,[1]Sheet1!$Y:$Y,0)</f>
        <v>0</v>
      </c>
      <c r="W1489" s="12">
        <f t="shared" si="49"/>
        <v>0</v>
      </c>
      <c r="X1489" s="8" t="s">
        <v>2363</v>
      </c>
      <c r="Y1489" s="8" t="s">
        <v>2321</v>
      </c>
      <c r="Z1489" s="8" t="s">
        <v>2338</v>
      </c>
      <c r="AA1489" s="8" t="s">
        <v>1289</v>
      </c>
      <c r="AB1489" s="8" t="s">
        <v>36</v>
      </c>
      <c r="AC1489" s="8" t="s">
        <v>37</v>
      </c>
      <c r="AD1489" s="8" t="s">
        <v>2340</v>
      </c>
      <c r="AE1489" s="8" t="s">
        <v>2208</v>
      </c>
      <c r="AF1489" s="8" t="s">
        <v>2211</v>
      </c>
      <c r="AG1489" s="9">
        <v>3353777</v>
      </c>
      <c r="AH1489" s="11">
        <f>_xlfn.XLOOKUP(B1489,[1]Sheet1!$B:$B,[1]Sheet1!$AB:$AB,0)</f>
        <v>0</v>
      </c>
    </row>
    <row r="1490" spans="2:34" ht="16.8" thickTop="1" thickBot="1" x14ac:dyDescent="0.35">
      <c r="B1490" s="3" t="str">
        <f t="shared" si="48"/>
        <v>451012745170000194510768423911200104</v>
      </c>
      <c r="C1490" s="6" t="s">
        <v>2339</v>
      </c>
      <c r="D1490" s="6" t="s">
        <v>2335</v>
      </c>
      <c r="E1490" s="6" t="s">
        <v>2336</v>
      </c>
      <c r="F1490" s="6" t="s">
        <v>2364</v>
      </c>
      <c r="G1490" s="4" t="s">
        <v>2894</v>
      </c>
      <c r="H1490" s="4" t="s">
        <v>2922</v>
      </c>
      <c r="I1490" s="6" t="s">
        <v>2365</v>
      </c>
      <c r="J1490" s="6" t="s">
        <v>31</v>
      </c>
      <c r="K1490" s="12">
        <f>_xlfn.XLOOKUP(B1490,[1]Sheet1!$B:$B,[1]Sheet1!$N:$N,0)</f>
        <v>0</v>
      </c>
      <c r="L1490" s="12">
        <f>_xlfn.XLOOKUP(B1490,[1]Sheet1!$B:$B,[1]Sheet1!$O:$O,0)</f>
        <v>0</v>
      </c>
      <c r="M1490" s="12">
        <f>_xlfn.XLOOKUP(B1490,[1]Sheet1!$B:$B,[1]Sheet1!$P:$P,0)</f>
        <v>0</v>
      </c>
      <c r="N1490" s="12">
        <f>_xlfn.XLOOKUP(B1490,[1]Sheet1!$B:$B,[1]Sheet1!$Q:$Q,0)</f>
        <v>0</v>
      </c>
      <c r="O1490" s="12">
        <f>_xlfn.XLOOKUP(B1490,[1]Sheet1!$B:$B,[1]Sheet1!$R:$R,0)</f>
        <v>0</v>
      </c>
      <c r="P1490" s="12">
        <f>_xlfn.XLOOKUP(B1490,[1]Sheet1!$B:$B,[1]Sheet1!$S:$S,0)</f>
        <v>0</v>
      </c>
      <c r="Q1490" s="12">
        <f>_xlfn.XLOOKUP(B1490,[1]Sheet1!$B:$B,[1]Sheet1!$T:$T,0)</f>
        <v>0</v>
      </c>
      <c r="R1490" s="12">
        <f>_xlfn.XLOOKUP(B1490,[1]Sheet1!$B:$B,[1]Sheet1!$U:$U,0)</f>
        <v>0</v>
      </c>
      <c r="S1490" s="12">
        <f>_xlfn.XLOOKUP(B1490,[1]Sheet1!$B:$B,[1]Sheet1!$V:$V,0)</f>
        <v>0</v>
      </c>
      <c r="T1490" s="12">
        <f>_xlfn.XLOOKUP(B1490,[1]Sheet1!$B:$B,[1]Sheet1!$W:$W,0)</f>
        <v>0</v>
      </c>
      <c r="U1490" s="12">
        <f>_xlfn.XLOOKUP(B1490,[1]Sheet1!$B:$B,[1]Sheet1!$X:$X,0)</f>
        <v>0</v>
      </c>
      <c r="V1490" s="12">
        <f>_xlfn.XLOOKUP(B1490,[1]Sheet1!$B:$B,[1]Sheet1!$Y:$Y,0)</f>
        <v>0</v>
      </c>
      <c r="W1490" s="12">
        <f t="shared" si="49"/>
        <v>0</v>
      </c>
      <c r="X1490" s="6" t="s">
        <v>2366</v>
      </c>
      <c r="Y1490" s="6" t="s">
        <v>2321</v>
      </c>
      <c r="Z1490" s="6" t="s">
        <v>2338</v>
      </c>
      <c r="AA1490" s="6" t="s">
        <v>2365</v>
      </c>
      <c r="AB1490" s="6" t="s">
        <v>36</v>
      </c>
      <c r="AC1490" s="6" t="s">
        <v>37</v>
      </c>
      <c r="AD1490" s="6" t="s">
        <v>2340</v>
      </c>
      <c r="AE1490" s="6" t="s">
        <v>2208</v>
      </c>
      <c r="AF1490" s="6" t="s">
        <v>2211</v>
      </c>
      <c r="AG1490" s="7">
        <v>300000</v>
      </c>
      <c r="AH1490" s="11">
        <f>_xlfn.XLOOKUP(B1490,[1]Sheet1!$B:$B,[1]Sheet1!$AB:$AB,0)</f>
        <v>0</v>
      </c>
    </row>
    <row r="1491" spans="2:34" ht="16.8" thickTop="1" thickBot="1" x14ac:dyDescent="0.35">
      <c r="B1491" s="3" t="str">
        <f t="shared" si="48"/>
        <v>451012745170000194510768423921200104</v>
      </c>
      <c r="C1491" s="8" t="s">
        <v>2339</v>
      </c>
      <c r="D1491" s="8" t="s">
        <v>2335</v>
      </c>
      <c r="E1491" s="8" t="s">
        <v>2336</v>
      </c>
      <c r="F1491" s="8" t="s">
        <v>2364</v>
      </c>
      <c r="G1491" s="4" t="s">
        <v>2895</v>
      </c>
      <c r="H1491" s="4" t="s">
        <v>2922</v>
      </c>
      <c r="I1491" s="8" t="s">
        <v>2367</v>
      </c>
      <c r="J1491" s="8" t="s">
        <v>31</v>
      </c>
      <c r="K1491" s="12">
        <f>_xlfn.XLOOKUP(B1491,[1]Sheet1!$B:$B,[1]Sheet1!$N:$N,0)</f>
        <v>0</v>
      </c>
      <c r="L1491" s="12">
        <f>_xlfn.XLOOKUP(B1491,[1]Sheet1!$B:$B,[1]Sheet1!$O:$O,0)</f>
        <v>0</v>
      </c>
      <c r="M1491" s="12">
        <f>_xlfn.XLOOKUP(B1491,[1]Sheet1!$B:$B,[1]Sheet1!$P:$P,0)</f>
        <v>0</v>
      </c>
      <c r="N1491" s="12">
        <f>_xlfn.XLOOKUP(B1491,[1]Sheet1!$B:$B,[1]Sheet1!$Q:$Q,0)</f>
        <v>0</v>
      </c>
      <c r="O1491" s="12">
        <f>_xlfn.XLOOKUP(B1491,[1]Sheet1!$B:$B,[1]Sheet1!$R:$R,0)</f>
        <v>0</v>
      </c>
      <c r="P1491" s="12">
        <f>_xlfn.XLOOKUP(B1491,[1]Sheet1!$B:$B,[1]Sheet1!$S:$S,0)</f>
        <v>0</v>
      </c>
      <c r="Q1491" s="12">
        <f>_xlfn.XLOOKUP(B1491,[1]Sheet1!$B:$B,[1]Sheet1!$T:$T,0)</f>
        <v>0</v>
      </c>
      <c r="R1491" s="12">
        <f>_xlfn.XLOOKUP(B1491,[1]Sheet1!$B:$B,[1]Sheet1!$U:$U,0)</f>
        <v>0</v>
      </c>
      <c r="S1491" s="12">
        <f>_xlfn.XLOOKUP(B1491,[1]Sheet1!$B:$B,[1]Sheet1!$V:$V,0)</f>
        <v>0</v>
      </c>
      <c r="T1491" s="12">
        <f>_xlfn.XLOOKUP(B1491,[1]Sheet1!$B:$B,[1]Sheet1!$W:$W,0)</f>
        <v>0</v>
      </c>
      <c r="U1491" s="12">
        <f>_xlfn.XLOOKUP(B1491,[1]Sheet1!$B:$B,[1]Sheet1!$X:$X,0)</f>
        <v>0</v>
      </c>
      <c r="V1491" s="12">
        <f>_xlfn.XLOOKUP(B1491,[1]Sheet1!$B:$B,[1]Sheet1!$Y:$Y,0)</f>
        <v>0</v>
      </c>
      <c r="W1491" s="12">
        <f t="shared" si="49"/>
        <v>0</v>
      </c>
      <c r="X1491" s="8" t="s">
        <v>2368</v>
      </c>
      <c r="Y1491" s="8" t="s">
        <v>2321</v>
      </c>
      <c r="Z1491" s="8" t="s">
        <v>2338</v>
      </c>
      <c r="AA1491" s="8" t="s">
        <v>2367</v>
      </c>
      <c r="AB1491" s="8" t="s">
        <v>36</v>
      </c>
      <c r="AC1491" s="8" t="s">
        <v>37</v>
      </c>
      <c r="AD1491" s="8" t="s">
        <v>2340</v>
      </c>
      <c r="AE1491" s="8" t="s">
        <v>2208</v>
      </c>
      <c r="AF1491" s="8" t="s">
        <v>2211</v>
      </c>
      <c r="AG1491" s="9">
        <v>300000</v>
      </c>
      <c r="AH1491" s="11">
        <f>_xlfn.XLOOKUP(B1491,[1]Sheet1!$B:$B,[1]Sheet1!$AB:$AB,0)</f>
        <v>0</v>
      </c>
    </row>
    <row r="1492" spans="2:34" ht="16.8" thickTop="1" thickBot="1" x14ac:dyDescent="0.35">
      <c r="B1492" s="3" t="str">
        <f t="shared" si="48"/>
        <v>451012745170000194510768423931200104</v>
      </c>
      <c r="C1492" s="6" t="s">
        <v>2339</v>
      </c>
      <c r="D1492" s="6" t="s">
        <v>2335</v>
      </c>
      <c r="E1492" s="6" t="s">
        <v>2336</v>
      </c>
      <c r="F1492" s="6" t="s">
        <v>2364</v>
      </c>
      <c r="G1492" s="4" t="s">
        <v>2818</v>
      </c>
      <c r="H1492" s="4" t="s">
        <v>2922</v>
      </c>
      <c r="I1492" s="6" t="s">
        <v>111</v>
      </c>
      <c r="J1492" s="6" t="s">
        <v>31</v>
      </c>
      <c r="K1492" s="12">
        <f>_xlfn.XLOOKUP(B1492,[1]Sheet1!$B:$B,[1]Sheet1!$N:$N,0)</f>
        <v>0</v>
      </c>
      <c r="L1492" s="12">
        <f>_xlfn.XLOOKUP(B1492,[1]Sheet1!$B:$B,[1]Sheet1!$O:$O,0)</f>
        <v>0</v>
      </c>
      <c r="M1492" s="12">
        <f>_xlfn.XLOOKUP(B1492,[1]Sheet1!$B:$B,[1]Sheet1!$P:$P,0)</f>
        <v>0</v>
      </c>
      <c r="N1492" s="12">
        <f>_xlfn.XLOOKUP(B1492,[1]Sheet1!$B:$B,[1]Sheet1!$Q:$Q,0)</f>
        <v>0</v>
      </c>
      <c r="O1492" s="12">
        <f>_xlfn.XLOOKUP(B1492,[1]Sheet1!$B:$B,[1]Sheet1!$R:$R,0)</f>
        <v>0</v>
      </c>
      <c r="P1492" s="12">
        <f>_xlfn.XLOOKUP(B1492,[1]Sheet1!$B:$B,[1]Sheet1!$S:$S,0)</f>
        <v>0</v>
      </c>
      <c r="Q1492" s="12">
        <f>_xlfn.XLOOKUP(B1492,[1]Sheet1!$B:$B,[1]Sheet1!$T:$T,0)</f>
        <v>0</v>
      </c>
      <c r="R1492" s="12">
        <f>_xlfn.XLOOKUP(B1492,[1]Sheet1!$B:$B,[1]Sheet1!$U:$U,0)</f>
        <v>0</v>
      </c>
      <c r="S1492" s="12">
        <f>_xlfn.XLOOKUP(B1492,[1]Sheet1!$B:$B,[1]Sheet1!$V:$V,0)</f>
        <v>0</v>
      </c>
      <c r="T1492" s="12">
        <f>_xlfn.XLOOKUP(B1492,[1]Sheet1!$B:$B,[1]Sheet1!$W:$W,0)</f>
        <v>0</v>
      </c>
      <c r="U1492" s="12">
        <f>_xlfn.XLOOKUP(B1492,[1]Sheet1!$B:$B,[1]Sheet1!$X:$X,0)</f>
        <v>0</v>
      </c>
      <c r="V1492" s="12">
        <f>_xlfn.XLOOKUP(B1492,[1]Sheet1!$B:$B,[1]Sheet1!$Y:$Y,0)</f>
        <v>0</v>
      </c>
      <c r="W1492" s="12">
        <f t="shared" si="49"/>
        <v>0</v>
      </c>
      <c r="X1492" s="6" t="s">
        <v>2369</v>
      </c>
      <c r="Y1492" s="6" t="s">
        <v>2321</v>
      </c>
      <c r="Z1492" s="6" t="s">
        <v>2338</v>
      </c>
      <c r="AA1492" s="6" t="s">
        <v>111</v>
      </c>
      <c r="AB1492" s="6" t="s">
        <v>36</v>
      </c>
      <c r="AC1492" s="6" t="s">
        <v>37</v>
      </c>
      <c r="AD1492" s="6" t="s">
        <v>2340</v>
      </c>
      <c r="AE1492" s="6" t="s">
        <v>2208</v>
      </c>
      <c r="AF1492" s="6" t="s">
        <v>2211</v>
      </c>
      <c r="AG1492" s="7">
        <v>12801124</v>
      </c>
      <c r="AH1492" s="11">
        <f>_xlfn.XLOOKUP(B1492,[1]Sheet1!$B:$B,[1]Sheet1!$AB:$AB,0)</f>
        <v>0</v>
      </c>
    </row>
    <row r="1493" spans="2:34" ht="16.8" thickTop="1" thickBot="1" x14ac:dyDescent="0.35">
      <c r="B1493" s="3" t="str">
        <f t="shared" si="48"/>
        <v>451012745170000194510786423931200104</v>
      </c>
      <c r="C1493" s="8" t="s">
        <v>2339</v>
      </c>
      <c r="D1493" s="8" t="s">
        <v>2335</v>
      </c>
      <c r="E1493" s="8" t="s">
        <v>2336</v>
      </c>
      <c r="F1493" s="8" t="s">
        <v>2370</v>
      </c>
      <c r="G1493" s="4" t="s">
        <v>2818</v>
      </c>
      <c r="H1493" s="4" t="s">
        <v>2922</v>
      </c>
      <c r="I1493" s="8" t="s">
        <v>111</v>
      </c>
      <c r="J1493" s="8" t="s">
        <v>31</v>
      </c>
      <c r="K1493" s="12">
        <f>_xlfn.XLOOKUP(B1493,[1]Sheet1!$B:$B,[1]Sheet1!$N:$N,0)</f>
        <v>0</v>
      </c>
      <c r="L1493" s="12">
        <f>_xlfn.XLOOKUP(B1493,[1]Sheet1!$B:$B,[1]Sheet1!$O:$O,0)</f>
        <v>0</v>
      </c>
      <c r="M1493" s="12">
        <f>_xlfn.XLOOKUP(B1493,[1]Sheet1!$B:$B,[1]Sheet1!$P:$P,0)</f>
        <v>0</v>
      </c>
      <c r="N1493" s="12">
        <f>_xlfn.XLOOKUP(B1493,[1]Sheet1!$B:$B,[1]Sheet1!$Q:$Q,0)</f>
        <v>0</v>
      </c>
      <c r="O1493" s="12">
        <f>_xlfn.XLOOKUP(B1493,[1]Sheet1!$B:$B,[1]Sheet1!$R:$R,0)</f>
        <v>0</v>
      </c>
      <c r="P1493" s="12">
        <f>_xlfn.XLOOKUP(B1493,[1]Sheet1!$B:$B,[1]Sheet1!$S:$S,0)</f>
        <v>0</v>
      </c>
      <c r="Q1493" s="12">
        <f>_xlfn.XLOOKUP(B1493,[1]Sheet1!$B:$B,[1]Sheet1!$T:$T,0)</f>
        <v>0</v>
      </c>
      <c r="R1493" s="12">
        <f>_xlfn.XLOOKUP(B1493,[1]Sheet1!$B:$B,[1]Sheet1!$U:$U,0)</f>
        <v>0</v>
      </c>
      <c r="S1493" s="12">
        <f>_xlfn.XLOOKUP(B1493,[1]Sheet1!$B:$B,[1]Sheet1!$V:$V,0)</f>
        <v>0</v>
      </c>
      <c r="T1493" s="12">
        <f>_xlfn.XLOOKUP(B1493,[1]Sheet1!$B:$B,[1]Sheet1!$W:$W,0)</f>
        <v>0</v>
      </c>
      <c r="U1493" s="12">
        <f>_xlfn.XLOOKUP(B1493,[1]Sheet1!$B:$B,[1]Sheet1!$X:$X,0)</f>
        <v>0</v>
      </c>
      <c r="V1493" s="12">
        <f>_xlfn.XLOOKUP(B1493,[1]Sheet1!$B:$B,[1]Sheet1!$Y:$Y,0)</f>
        <v>0</v>
      </c>
      <c r="W1493" s="12">
        <f t="shared" si="49"/>
        <v>0</v>
      </c>
      <c r="X1493" s="8" t="s">
        <v>2369</v>
      </c>
      <c r="Y1493" s="8" t="s">
        <v>2321</v>
      </c>
      <c r="Z1493" s="8" t="s">
        <v>2338</v>
      </c>
      <c r="AA1493" s="8" t="s">
        <v>111</v>
      </c>
      <c r="AB1493" s="8" t="s">
        <v>36</v>
      </c>
      <c r="AC1493" s="8" t="s">
        <v>37</v>
      </c>
      <c r="AD1493" s="8" t="s">
        <v>2340</v>
      </c>
      <c r="AE1493" s="8" t="s">
        <v>2208</v>
      </c>
      <c r="AF1493" s="8" t="s">
        <v>2211</v>
      </c>
      <c r="AG1493" s="9">
        <v>149000</v>
      </c>
      <c r="AH1493" s="11">
        <f>_xlfn.XLOOKUP(B1493,[1]Sheet1!$B:$B,[1]Sheet1!$AB:$AB,0)</f>
        <v>0</v>
      </c>
    </row>
    <row r="1494" spans="2:34" ht="16.8" thickTop="1" thickBot="1" x14ac:dyDescent="0.35">
      <c r="B1494" s="3" t="str">
        <f t="shared" si="48"/>
        <v>451012745170000194510786426212200104</v>
      </c>
      <c r="C1494" s="6" t="s">
        <v>2339</v>
      </c>
      <c r="D1494" s="6" t="s">
        <v>2335</v>
      </c>
      <c r="E1494" s="6" t="s">
        <v>2336</v>
      </c>
      <c r="F1494" s="6" t="s">
        <v>2370</v>
      </c>
      <c r="G1494" s="4" t="s">
        <v>2814</v>
      </c>
      <c r="H1494" s="4" t="s">
        <v>2922</v>
      </c>
      <c r="I1494" s="6" t="s">
        <v>96</v>
      </c>
      <c r="J1494" s="6" t="s">
        <v>31</v>
      </c>
      <c r="K1494" s="12">
        <f>_xlfn.XLOOKUP(B1494,[1]Sheet1!$B:$B,[1]Sheet1!$N:$N,0)</f>
        <v>0</v>
      </c>
      <c r="L1494" s="12">
        <f>_xlfn.XLOOKUP(B1494,[1]Sheet1!$B:$B,[1]Sheet1!$O:$O,0)</f>
        <v>0</v>
      </c>
      <c r="M1494" s="12">
        <f>_xlfn.XLOOKUP(B1494,[1]Sheet1!$B:$B,[1]Sheet1!$P:$P,0)</f>
        <v>0</v>
      </c>
      <c r="N1494" s="12">
        <f>_xlfn.XLOOKUP(B1494,[1]Sheet1!$B:$B,[1]Sheet1!$Q:$Q,0)</f>
        <v>0</v>
      </c>
      <c r="O1494" s="12">
        <f>_xlfn.XLOOKUP(B1494,[1]Sheet1!$B:$B,[1]Sheet1!$R:$R,0)</f>
        <v>0</v>
      </c>
      <c r="P1494" s="12">
        <f>_xlfn.XLOOKUP(B1494,[1]Sheet1!$B:$B,[1]Sheet1!$S:$S,0)</f>
        <v>0</v>
      </c>
      <c r="Q1494" s="12">
        <f>_xlfn.XLOOKUP(B1494,[1]Sheet1!$B:$B,[1]Sheet1!$T:$T,0)</f>
        <v>0</v>
      </c>
      <c r="R1494" s="12">
        <f>_xlfn.XLOOKUP(B1494,[1]Sheet1!$B:$B,[1]Sheet1!$U:$U,0)</f>
        <v>0</v>
      </c>
      <c r="S1494" s="12">
        <f>_xlfn.XLOOKUP(B1494,[1]Sheet1!$B:$B,[1]Sheet1!$V:$V,0)</f>
        <v>0</v>
      </c>
      <c r="T1494" s="12">
        <f>_xlfn.XLOOKUP(B1494,[1]Sheet1!$B:$B,[1]Sheet1!$W:$W,0)</f>
        <v>0</v>
      </c>
      <c r="U1494" s="12">
        <f>_xlfn.XLOOKUP(B1494,[1]Sheet1!$B:$B,[1]Sheet1!$X:$X,0)</f>
        <v>0</v>
      </c>
      <c r="V1494" s="12">
        <f>_xlfn.XLOOKUP(B1494,[1]Sheet1!$B:$B,[1]Sheet1!$Y:$Y,0)</f>
        <v>0</v>
      </c>
      <c r="W1494" s="12">
        <f t="shared" si="49"/>
        <v>0</v>
      </c>
      <c r="X1494" s="6" t="s">
        <v>2342</v>
      </c>
      <c r="Y1494" s="6" t="s">
        <v>2321</v>
      </c>
      <c r="Z1494" s="6" t="s">
        <v>2338</v>
      </c>
      <c r="AA1494" s="6" t="s">
        <v>96</v>
      </c>
      <c r="AB1494" s="6" t="s">
        <v>36</v>
      </c>
      <c r="AC1494" s="6" t="s">
        <v>37</v>
      </c>
      <c r="AD1494" s="6" t="s">
        <v>2340</v>
      </c>
      <c r="AE1494" s="6" t="s">
        <v>2208</v>
      </c>
      <c r="AF1494" s="6" t="s">
        <v>2211</v>
      </c>
      <c r="AG1494" s="7">
        <v>1366733</v>
      </c>
      <c r="AH1494" s="11">
        <f>_xlfn.XLOOKUP(B1494,[1]Sheet1!$B:$B,[1]Sheet1!$AB:$AB,0)</f>
        <v>0</v>
      </c>
    </row>
    <row r="1495" spans="2:34" ht="16.8" thickTop="1" thickBot="1" x14ac:dyDescent="0.35">
      <c r="B1495" s="3" t="str">
        <f t="shared" si="48"/>
        <v>451012745170000194510786426214200104</v>
      </c>
      <c r="C1495" s="8" t="s">
        <v>2339</v>
      </c>
      <c r="D1495" s="8" t="s">
        <v>2335</v>
      </c>
      <c r="E1495" s="8" t="s">
        <v>2336</v>
      </c>
      <c r="F1495" s="8" t="s">
        <v>2370</v>
      </c>
      <c r="G1495" s="4" t="s">
        <v>2889</v>
      </c>
      <c r="H1495" s="4" t="s">
        <v>2922</v>
      </c>
      <c r="I1495" s="8" t="s">
        <v>2343</v>
      </c>
      <c r="J1495" s="8" t="s">
        <v>31</v>
      </c>
      <c r="K1495" s="12">
        <f>_xlfn.XLOOKUP(B1495,[1]Sheet1!$B:$B,[1]Sheet1!$N:$N,0)</f>
        <v>0</v>
      </c>
      <c r="L1495" s="12">
        <f>_xlfn.XLOOKUP(B1495,[1]Sheet1!$B:$B,[1]Sheet1!$O:$O,0)</f>
        <v>0</v>
      </c>
      <c r="M1495" s="12">
        <f>_xlfn.XLOOKUP(B1495,[1]Sheet1!$B:$B,[1]Sheet1!$P:$P,0)</f>
        <v>0</v>
      </c>
      <c r="N1495" s="12">
        <f>_xlfn.XLOOKUP(B1495,[1]Sheet1!$B:$B,[1]Sheet1!$Q:$Q,0)</f>
        <v>0</v>
      </c>
      <c r="O1495" s="12">
        <f>_xlfn.XLOOKUP(B1495,[1]Sheet1!$B:$B,[1]Sheet1!$R:$R,0)</f>
        <v>0</v>
      </c>
      <c r="P1495" s="12">
        <f>_xlfn.XLOOKUP(B1495,[1]Sheet1!$B:$B,[1]Sheet1!$S:$S,0)</f>
        <v>0</v>
      </c>
      <c r="Q1495" s="12">
        <f>_xlfn.XLOOKUP(B1495,[1]Sheet1!$B:$B,[1]Sheet1!$T:$T,0)</f>
        <v>0</v>
      </c>
      <c r="R1495" s="12">
        <f>_xlfn.XLOOKUP(B1495,[1]Sheet1!$B:$B,[1]Sheet1!$U:$U,0)</f>
        <v>0</v>
      </c>
      <c r="S1495" s="12">
        <f>_xlfn.XLOOKUP(B1495,[1]Sheet1!$B:$B,[1]Sheet1!$V:$V,0)</f>
        <v>0</v>
      </c>
      <c r="T1495" s="12">
        <f>_xlfn.XLOOKUP(B1495,[1]Sheet1!$B:$B,[1]Sheet1!$W:$W,0)</f>
        <v>0</v>
      </c>
      <c r="U1495" s="12">
        <f>_xlfn.XLOOKUP(B1495,[1]Sheet1!$B:$B,[1]Sheet1!$X:$X,0)</f>
        <v>0</v>
      </c>
      <c r="V1495" s="12">
        <f>_xlfn.XLOOKUP(B1495,[1]Sheet1!$B:$B,[1]Sheet1!$Y:$Y,0)</f>
        <v>0</v>
      </c>
      <c r="W1495" s="12">
        <f t="shared" si="49"/>
        <v>0</v>
      </c>
      <c r="X1495" s="8" t="s">
        <v>2344</v>
      </c>
      <c r="Y1495" s="8" t="s">
        <v>2321</v>
      </c>
      <c r="Z1495" s="8" t="s">
        <v>2338</v>
      </c>
      <c r="AA1495" s="8" t="s">
        <v>2343</v>
      </c>
      <c r="AB1495" s="8" t="s">
        <v>36</v>
      </c>
      <c r="AC1495" s="8" t="s">
        <v>37</v>
      </c>
      <c r="AD1495" s="8" t="s">
        <v>2340</v>
      </c>
      <c r="AE1495" s="8" t="s">
        <v>2208</v>
      </c>
      <c r="AF1495" s="8" t="s">
        <v>2211</v>
      </c>
      <c r="AG1495" s="9">
        <v>796499</v>
      </c>
      <c r="AH1495" s="11">
        <f>_xlfn.XLOOKUP(B1495,[1]Sheet1!$B:$B,[1]Sheet1!$AB:$AB,0)</f>
        <v>0</v>
      </c>
    </row>
    <row r="1496" spans="2:34" ht="16.8" thickTop="1" thickBot="1" x14ac:dyDescent="0.35">
      <c r="B1496" s="3" t="str">
        <f t="shared" si="48"/>
        <v>451012745170000204510714424551200104</v>
      </c>
      <c r="C1496" s="6" t="s">
        <v>2339</v>
      </c>
      <c r="D1496" s="6" t="s">
        <v>2371</v>
      </c>
      <c r="E1496" s="6" t="s">
        <v>2372</v>
      </c>
      <c r="F1496" s="6" t="s">
        <v>2341</v>
      </c>
      <c r="G1496" s="4" t="s">
        <v>2817</v>
      </c>
      <c r="H1496" s="4" t="s">
        <v>2922</v>
      </c>
      <c r="I1496" s="6" t="s">
        <v>108</v>
      </c>
      <c r="J1496" s="6" t="s">
        <v>31</v>
      </c>
      <c r="K1496" s="12">
        <f>_xlfn.XLOOKUP(B1496,[1]Sheet1!$B:$B,[1]Sheet1!$N:$N,0)</f>
        <v>0</v>
      </c>
      <c r="L1496" s="12">
        <f>_xlfn.XLOOKUP(B1496,[1]Sheet1!$B:$B,[1]Sheet1!$O:$O,0)</f>
        <v>0</v>
      </c>
      <c r="M1496" s="12">
        <f>_xlfn.XLOOKUP(B1496,[1]Sheet1!$B:$B,[1]Sheet1!$P:$P,0)</f>
        <v>0</v>
      </c>
      <c r="N1496" s="12">
        <f>_xlfn.XLOOKUP(B1496,[1]Sheet1!$B:$B,[1]Sheet1!$Q:$Q,0)</f>
        <v>0</v>
      </c>
      <c r="O1496" s="12">
        <f>_xlfn.XLOOKUP(B1496,[1]Sheet1!$B:$B,[1]Sheet1!$R:$R,0)</f>
        <v>0</v>
      </c>
      <c r="P1496" s="12">
        <f>_xlfn.XLOOKUP(B1496,[1]Sheet1!$B:$B,[1]Sheet1!$S:$S,0)</f>
        <v>0</v>
      </c>
      <c r="Q1496" s="12">
        <f>_xlfn.XLOOKUP(B1496,[1]Sheet1!$B:$B,[1]Sheet1!$T:$T,0)</f>
        <v>0</v>
      </c>
      <c r="R1496" s="12">
        <f>_xlfn.XLOOKUP(B1496,[1]Sheet1!$B:$B,[1]Sheet1!$U:$U,0)</f>
        <v>0</v>
      </c>
      <c r="S1496" s="12">
        <f>_xlfn.XLOOKUP(B1496,[1]Sheet1!$B:$B,[1]Sheet1!$V:$V,0)</f>
        <v>0</v>
      </c>
      <c r="T1496" s="12">
        <f>_xlfn.XLOOKUP(B1496,[1]Sheet1!$B:$B,[1]Sheet1!$W:$W,0)</f>
        <v>0</v>
      </c>
      <c r="U1496" s="12">
        <f>_xlfn.XLOOKUP(B1496,[1]Sheet1!$B:$B,[1]Sheet1!$X:$X,0)</f>
        <v>0</v>
      </c>
      <c r="V1496" s="12">
        <f>_xlfn.XLOOKUP(B1496,[1]Sheet1!$B:$B,[1]Sheet1!$Y:$Y,0)</f>
        <v>0</v>
      </c>
      <c r="W1496" s="12">
        <f t="shared" si="49"/>
        <v>0</v>
      </c>
      <c r="X1496" s="6" t="s">
        <v>2373</v>
      </c>
      <c r="Y1496" s="6" t="s">
        <v>2321</v>
      </c>
      <c r="Z1496" s="6" t="s">
        <v>2338</v>
      </c>
      <c r="AA1496" s="6" t="s">
        <v>108</v>
      </c>
      <c r="AB1496" s="6" t="s">
        <v>36</v>
      </c>
      <c r="AC1496" s="6" t="s">
        <v>37</v>
      </c>
      <c r="AD1496" s="6" t="s">
        <v>2340</v>
      </c>
      <c r="AE1496" s="6" t="s">
        <v>2208</v>
      </c>
      <c r="AF1496" s="6" t="s">
        <v>2211</v>
      </c>
      <c r="AG1496" s="7">
        <v>13666142</v>
      </c>
      <c r="AH1496" s="11">
        <f>_xlfn.XLOOKUP(B1496,[1]Sheet1!$B:$B,[1]Sheet1!$AB:$AB,0)</f>
        <v>0</v>
      </c>
    </row>
    <row r="1497" spans="2:34" ht="16.8" thickTop="1" thickBot="1" x14ac:dyDescent="0.35">
      <c r="B1497" s="3" t="str">
        <f t="shared" si="48"/>
        <v>451012745170000204510726423821200104</v>
      </c>
      <c r="C1497" s="8" t="s">
        <v>2339</v>
      </c>
      <c r="D1497" s="8" t="s">
        <v>2371</v>
      </c>
      <c r="E1497" s="8" t="s">
        <v>2372</v>
      </c>
      <c r="F1497" s="8" t="s">
        <v>2247</v>
      </c>
      <c r="G1497" s="4" t="s">
        <v>2805</v>
      </c>
      <c r="H1497" s="4" t="s">
        <v>2922</v>
      </c>
      <c r="I1497" s="8" t="s">
        <v>55</v>
      </c>
      <c r="J1497" s="8" t="s">
        <v>31</v>
      </c>
      <c r="K1497" s="12">
        <f>_xlfn.XLOOKUP(B1497,[1]Sheet1!$B:$B,[1]Sheet1!$N:$N,0)</f>
        <v>0</v>
      </c>
      <c r="L1497" s="12">
        <f>_xlfn.XLOOKUP(B1497,[1]Sheet1!$B:$B,[1]Sheet1!$O:$O,0)</f>
        <v>0</v>
      </c>
      <c r="M1497" s="12">
        <f>_xlfn.XLOOKUP(B1497,[1]Sheet1!$B:$B,[1]Sheet1!$P:$P,0)</f>
        <v>0</v>
      </c>
      <c r="N1497" s="12">
        <f>_xlfn.XLOOKUP(B1497,[1]Sheet1!$B:$B,[1]Sheet1!$Q:$Q,0)</f>
        <v>0</v>
      </c>
      <c r="O1497" s="12">
        <f>_xlfn.XLOOKUP(B1497,[1]Sheet1!$B:$B,[1]Sheet1!$R:$R,0)</f>
        <v>0</v>
      </c>
      <c r="P1497" s="12">
        <f>_xlfn.XLOOKUP(B1497,[1]Sheet1!$B:$B,[1]Sheet1!$S:$S,0)</f>
        <v>0</v>
      </c>
      <c r="Q1497" s="12">
        <f>_xlfn.XLOOKUP(B1497,[1]Sheet1!$B:$B,[1]Sheet1!$T:$T,0)</f>
        <v>0</v>
      </c>
      <c r="R1497" s="12">
        <f>_xlfn.XLOOKUP(B1497,[1]Sheet1!$B:$B,[1]Sheet1!$U:$U,0)</f>
        <v>0</v>
      </c>
      <c r="S1497" s="12">
        <f>_xlfn.XLOOKUP(B1497,[1]Sheet1!$B:$B,[1]Sheet1!$V:$V,0)</f>
        <v>0</v>
      </c>
      <c r="T1497" s="12">
        <f>_xlfn.XLOOKUP(B1497,[1]Sheet1!$B:$B,[1]Sheet1!$W:$W,0)</f>
        <v>0</v>
      </c>
      <c r="U1497" s="12">
        <f>_xlfn.XLOOKUP(B1497,[1]Sheet1!$B:$B,[1]Sheet1!$X:$X,0)</f>
        <v>0</v>
      </c>
      <c r="V1497" s="12">
        <f>_xlfn.XLOOKUP(B1497,[1]Sheet1!$B:$B,[1]Sheet1!$Y:$Y,0)</f>
        <v>0</v>
      </c>
      <c r="W1497" s="12">
        <f t="shared" si="49"/>
        <v>0</v>
      </c>
      <c r="X1497" s="8" t="s">
        <v>2353</v>
      </c>
      <c r="Y1497" s="8" t="s">
        <v>2321</v>
      </c>
      <c r="Z1497" s="8" t="s">
        <v>2338</v>
      </c>
      <c r="AA1497" s="8" t="s">
        <v>55</v>
      </c>
      <c r="AB1497" s="8" t="s">
        <v>36</v>
      </c>
      <c r="AC1497" s="8" t="s">
        <v>37</v>
      </c>
      <c r="AD1497" s="8" t="s">
        <v>2340</v>
      </c>
      <c r="AE1497" s="8" t="s">
        <v>2208</v>
      </c>
      <c r="AF1497" s="8" t="s">
        <v>2211</v>
      </c>
      <c r="AG1497" s="9">
        <v>112500</v>
      </c>
      <c r="AH1497" s="11">
        <f>_xlfn.XLOOKUP(B1497,[1]Sheet1!$B:$B,[1]Sheet1!$AB:$AB,0)</f>
        <v>0</v>
      </c>
    </row>
    <row r="1498" spans="2:34" ht="16.8" thickTop="1" thickBot="1" x14ac:dyDescent="0.35">
      <c r="B1498" s="3" t="str">
        <f t="shared" si="48"/>
        <v>451012745170000204510787491711300105</v>
      </c>
      <c r="C1498" s="6" t="s">
        <v>2339</v>
      </c>
      <c r="D1498" s="6" t="s">
        <v>2371</v>
      </c>
      <c r="E1498" s="6" t="s">
        <v>2372</v>
      </c>
      <c r="F1498" s="6" t="s">
        <v>2270</v>
      </c>
      <c r="G1498" s="4" t="s">
        <v>2854</v>
      </c>
      <c r="H1498" s="4" t="s">
        <v>2923</v>
      </c>
      <c r="I1498" s="6" t="s">
        <v>639</v>
      </c>
      <c r="J1498" s="6" t="s">
        <v>31</v>
      </c>
      <c r="K1498" s="12">
        <f>_xlfn.XLOOKUP(B1498,[1]Sheet1!$B:$B,[1]Sheet1!$N:$N,0)</f>
        <v>0</v>
      </c>
      <c r="L1498" s="12">
        <f>_xlfn.XLOOKUP(B1498,[1]Sheet1!$B:$B,[1]Sheet1!$O:$O,0)</f>
        <v>0</v>
      </c>
      <c r="M1498" s="12">
        <f>_xlfn.XLOOKUP(B1498,[1]Sheet1!$B:$B,[1]Sheet1!$P:$P,0)</f>
        <v>0</v>
      </c>
      <c r="N1498" s="12">
        <f>_xlfn.XLOOKUP(B1498,[1]Sheet1!$B:$B,[1]Sheet1!$Q:$Q,0)</f>
        <v>0</v>
      </c>
      <c r="O1498" s="12">
        <f>_xlfn.XLOOKUP(B1498,[1]Sheet1!$B:$B,[1]Sheet1!$R:$R,0)</f>
        <v>0</v>
      </c>
      <c r="P1498" s="12">
        <f>_xlfn.XLOOKUP(B1498,[1]Sheet1!$B:$B,[1]Sheet1!$S:$S,0)</f>
        <v>0</v>
      </c>
      <c r="Q1498" s="12">
        <f>_xlfn.XLOOKUP(B1498,[1]Sheet1!$B:$B,[1]Sheet1!$T:$T,0)</f>
        <v>0</v>
      </c>
      <c r="R1498" s="12">
        <f>_xlfn.XLOOKUP(B1498,[1]Sheet1!$B:$B,[1]Sheet1!$U:$U,0)</f>
        <v>0</v>
      </c>
      <c r="S1498" s="12">
        <f>_xlfn.XLOOKUP(B1498,[1]Sheet1!$B:$B,[1]Sheet1!$V:$V,0)</f>
        <v>0</v>
      </c>
      <c r="T1498" s="12">
        <f>_xlfn.XLOOKUP(B1498,[1]Sheet1!$B:$B,[1]Sheet1!$W:$W,0)</f>
        <v>0</v>
      </c>
      <c r="U1498" s="12">
        <f>_xlfn.XLOOKUP(B1498,[1]Sheet1!$B:$B,[1]Sheet1!$X:$X,0)</f>
        <v>0</v>
      </c>
      <c r="V1498" s="12">
        <f>_xlfn.XLOOKUP(B1498,[1]Sheet1!$B:$B,[1]Sheet1!$Y:$Y,0)</f>
        <v>0</v>
      </c>
      <c r="W1498" s="12">
        <f t="shared" si="49"/>
        <v>0</v>
      </c>
      <c r="X1498" s="6" t="s">
        <v>2374</v>
      </c>
      <c r="Y1498" s="6" t="s">
        <v>2321</v>
      </c>
      <c r="Z1498" s="6" t="s">
        <v>2338</v>
      </c>
      <c r="AA1498" s="6" t="s">
        <v>639</v>
      </c>
      <c r="AB1498" s="6" t="s">
        <v>93</v>
      </c>
      <c r="AC1498" s="6" t="s">
        <v>94</v>
      </c>
      <c r="AD1498" s="6" t="s">
        <v>2272</v>
      </c>
      <c r="AE1498" s="6" t="s">
        <v>2208</v>
      </c>
      <c r="AF1498" s="6" t="s">
        <v>2211</v>
      </c>
      <c r="AG1498" s="7">
        <v>520500</v>
      </c>
      <c r="AH1498" s="11">
        <f>_xlfn.XLOOKUP(B1498,[1]Sheet1!$B:$B,[1]Sheet1!$AB:$AB,0)</f>
        <v>0</v>
      </c>
    </row>
    <row r="1499" spans="2:34" ht="16.8" thickTop="1" thickBot="1" x14ac:dyDescent="0.35">
      <c r="B1499" s="3" t="str">
        <f t="shared" si="48"/>
        <v>451012345170000214510716422191200104</v>
      </c>
      <c r="C1499" s="8" t="s">
        <v>2379</v>
      </c>
      <c r="D1499" s="8" t="s">
        <v>2375</v>
      </c>
      <c r="E1499" s="8" t="s">
        <v>2376</v>
      </c>
      <c r="F1499" s="8" t="s">
        <v>2260</v>
      </c>
      <c r="G1499" s="4" t="s">
        <v>2826</v>
      </c>
      <c r="H1499" s="4" t="s">
        <v>2922</v>
      </c>
      <c r="I1499" s="8" t="s">
        <v>233</v>
      </c>
      <c r="J1499" s="8" t="s">
        <v>31</v>
      </c>
      <c r="K1499" s="12">
        <f>_xlfn.XLOOKUP(B1499,[1]Sheet1!$B:$B,[1]Sheet1!$N:$N,0)</f>
        <v>0</v>
      </c>
      <c r="L1499" s="12">
        <f>_xlfn.XLOOKUP(B1499,[1]Sheet1!$B:$B,[1]Sheet1!$O:$O,0)</f>
        <v>0</v>
      </c>
      <c r="M1499" s="12">
        <f>_xlfn.XLOOKUP(B1499,[1]Sheet1!$B:$B,[1]Sheet1!$P:$P,0)</f>
        <v>0</v>
      </c>
      <c r="N1499" s="12">
        <f>_xlfn.XLOOKUP(B1499,[1]Sheet1!$B:$B,[1]Sheet1!$Q:$Q,0)</f>
        <v>0</v>
      </c>
      <c r="O1499" s="12">
        <f>_xlfn.XLOOKUP(B1499,[1]Sheet1!$B:$B,[1]Sheet1!$R:$R,0)</f>
        <v>0</v>
      </c>
      <c r="P1499" s="12">
        <f>_xlfn.XLOOKUP(B1499,[1]Sheet1!$B:$B,[1]Sheet1!$S:$S,0)</f>
        <v>0</v>
      </c>
      <c r="Q1499" s="12">
        <f>_xlfn.XLOOKUP(B1499,[1]Sheet1!$B:$B,[1]Sheet1!$T:$T,0)</f>
        <v>0</v>
      </c>
      <c r="R1499" s="12">
        <f>_xlfn.XLOOKUP(B1499,[1]Sheet1!$B:$B,[1]Sheet1!$U:$U,0)</f>
        <v>0</v>
      </c>
      <c r="S1499" s="12">
        <f>_xlfn.XLOOKUP(B1499,[1]Sheet1!$B:$B,[1]Sheet1!$V:$V,0)</f>
        <v>0</v>
      </c>
      <c r="T1499" s="12">
        <f>_xlfn.XLOOKUP(B1499,[1]Sheet1!$B:$B,[1]Sheet1!$W:$W,0)</f>
        <v>0</v>
      </c>
      <c r="U1499" s="12">
        <f>_xlfn.XLOOKUP(B1499,[1]Sheet1!$B:$B,[1]Sheet1!$X:$X,0)</f>
        <v>0</v>
      </c>
      <c r="V1499" s="12">
        <f>_xlfn.XLOOKUP(B1499,[1]Sheet1!$B:$B,[1]Sheet1!$Y:$Y,0)</f>
        <v>0</v>
      </c>
      <c r="W1499" s="12">
        <f t="shared" si="49"/>
        <v>0</v>
      </c>
      <c r="X1499" s="8" t="s">
        <v>2377</v>
      </c>
      <c r="Y1499" s="8" t="s">
        <v>2321</v>
      </c>
      <c r="Z1499" s="8" t="s">
        <v>2378</v>
      </c>
      <c r="AA1499" s="8" t="s">
        <v>235</v>
      </c>
      <c r="AB1499" s="8" t="s">
        <v>36</v>
      </c>
      <c r="AC1499" s="8" t="s">
        <v>37</v>
      </c>
      <c r="AD1499" s="8" t="s">
        <v>2340</v>
      </c>
      <c r="AE1499" s="8" t="s">
        <v>2208</v>
      </c>
      <c r="AF1499" s="8" t="s">
        <v>2211</v>
      </c>
      <c r="AG1499" s="9">
        <v>59252.83</v>
      </c>
      <c r="AH1499" s="11">
        <f>_xlfn.XLOOKUP(B1499,[1]Sheet1!$B:$B,[1]Sheet1!$AB:$AB,0)</f>
        <v>0</v>
      </c>
    </row>
    <row r="1500" spans="2:34" ht="16.8" thickTop="1" thickBot="1" x14ac:dyDescent="0.35">
      <c r="B1500" s="3" t="str">
        <f t="shared" si="48"/>
        <v>451012345170000214510726423821200104</v>
      </c>
      <c r="C1500" s="6" t="s">
        <v>2379</v>
      </c>
      <c r="D1500" s="6" t="s">
        <v>2375</v>
      </c>
      <c r="E1500" s="6" t="s">
        <v>2376</v>
      </c>
      <c r="F1500" s="6" t="s">
        <v>2247</v>
      </c>
      <c r="G1500" s="4" t="s">
        <v>2805</v>
      </c>
      <c r="H1500" s="4" t="s">
        <v>2922</v>
      </c>
      <c r="I1500" s="6" t="s">
        <v>55</v>
      </c>
      <c r="J1500" s="6" t="s">
        <v>31</v>
      </c>
      <c r="K1500" s="12">
        <f>_xlfn.XLOOKUP(B1500,[1]Sheet1!$B:$B,[1]Sheet1!$N:$N,0)</f>
        <v>0</v>
      </c>
      <c r="L1500" s="12">
        <f>_xlfn.XLOOKUP(B1500,[1]Sheet1!$B:$B,[1]Sheet1!$O:$O,0)</f>
        <v>0</v>
      </c>
      <c r="M1500" s="12">
        <f>_xlfn.XLOOKUP(B1500,[1]Sheet1!$B:$B,[1]Sheet1!$P:$P,0)</f>
        <v>0</v>
      </c>
      <c r="N1500" s="12">
        <f>_xlfn.XLOOKUP(B1500,[1]Sheet1!$B:$B,[1]Sheet1!$Q:$Q,0)</f>
        <v>0</v>
      </c>
      <c r="O1500" s="12">
        <f>_xlfn.XLOOKUP(B1500,[1]Sheet1!$B:$B,[1]Sheet1!$R:$R,0)</f>
        <v>0</v>
      </c>
      <c r="P1500" s="12">
        <f>_xlfn.XLOOKUP(B1500,[1]Sheet1!$B:$B,[1]Sheet1!$S:$S,0)</f>
        <v>0</v>
      </c>
      <c r="Q1500" s="12">
        <f>_xlfn.XLOOKUP(B1500,[1]Sheet1!$B:$B,[1]Sheet1!$T:$T,0)</f>
        <v>0</v>
      </c>
      <c r="R1500" s="12">
        <f>_xlfn.XLOOKUP(B1500,[1]Sheet1!$B:$B,[1]Sheet1!$U:$U,0)</f>
        <v>0</v>
      </c>
      <c r="S1500" s="12">
        <f>_xlfn.XLOOKUP(B1500,[1]Sheet1!$B:$B,[1]Sheet1!$V:$V,0)</f>
        <v>0</v>
      </c>
      <c r="T1500" s="12">
        <f>_xlfn.XLOOKUP(B1500,[1]Sheet1!$B:$B,[1]Sheet1!$W:$W,0)</f>
        <v>0</v>
      </c>
      <c r="U1500" s="12">
        <f>_xlfn.XLOOKUP(B1500,[1]Sheet1!$B:$B,[1]Sheet1!$X:$X,0)</f>
        <v>0</v>
      </c>
      <c r="V1500" s="12">
        <f>_xlfn.XLOOKUP(B1500,[1]Sheet1!$B:$B,[1]Sheet1!$Y:$Y,0)</f>
        <v>0</v>
      </c>
      <c r="W1500" s="12">
        <f t="shared" si="49"/>
        <v>0</v>
      </c>
      <c r="X1500" s="6" t="s">
        <v>2380</v>
      </c>
      <c r="Y1500" s="6" t="s">
        <v>2321</v>
      </c>
      <c r="Z1500" s="6" t="s">
        <v>2378</v>
      </c>
      <c r="AA1500" s="6" t="s">
        <v>55</v>
      </c>
      <c r="AB1500" s="6" t="s">
        <v>36</v>
      </c>
      <c r="AC1500" s="6" t="s">
        <v>37</v>
      </c>
      <c r="AD1500" s="6" t="s">
        <v>2340</v>
      </c>
      <c r="AE1500" s="6" t="s">
        <v>2208</v>
      </c>
      <c r="AF1500" s="6" t="s">
        <v>2211</v>
      </c>
      <c r="AG1500" s="7">
        <v>581000</v>
      </c>
      <c r="AH1500" s="11">
        <f>_xlfn.XLOOKUP(B1500,[1]Sheet1!$B:$B,[1]Sheet1!$AB:$AB,0)</f>
        <v>0</v>
      </c>
    </row>
    <row r="1501" spans="2:34" ht="16.8" thickTop="1" thickBot="1" x14ac:dyDescent="0.35">
      <c r="B1501" s="3" t="str">
        <f t="shared" si="48"/>
        <v>451012345170000224510713422411200104</v>
      </c>
      <c r="C1501" s="8" t="s">
        <v>2379</v>
      </c>
      <c r="D1501" s="8" t="s">
        <v>2381</v>
      </c>
      <c r="E1501" s="8" t="s">
        <v>2382</v>
      </c>
      <c r="F1501" s="8" t="s">
        <v>2383</v>
      </c>
      <c r="G1501" s="4" t="s">
        <v>2896</v>
      </c>
      <c r="H1501" s="4" t="s">
        <v>2922</v>
      </c>
      <c r="I1501" s="8" t="s">
        <v>2384</v>
      </c>
      <c r="J1501" s="8" t="s">
        <v>31</v>
      </c>
      <c r="K1501" s="12">
        <f>_xlfn.XLOOKUP(B1501,[1]Sheet1!$B:$B,[1]Sheet1!$N:$N,0)</f>
        <v>0</v>
      </c>
      <c r="L1501" s="12">
        <f>_xlfn.XLOOKUP(B1501,[1]Sheet1!$B:$B,[1]Sheet1!$O:$O,0)</f>
        <v>0</v>
      </c>
      <c r="M1501" s="12">
        <f>_xlfn.XLOOKUP(B1501,[1]Sheet1!$B:$B,[1]Sheet1!$P:$P,0)</f>
        <v>0</v>
      </c>
      <c r="N1501" s="12">
        <f>_xlfn.XLOOKUP(B1501,[1]Sheet1!$B:$B,[1]Sheet1!$Q:$Q,0)</f>
        <v>0</v>
      </c>
      <c r="O1501" s="12">
        <f>_xlfn.XLOOKUP(B1501,[1]Sheet1!$B:$B,[1]Sheet1!$R:$R,0)</f>
        <v>0</v>
      </c>
      <c r="P1501" s="12">
        <f>_xlfn.XLOOKUP(B1501,[1]Sheet1!$B:$B,[1]Sheet1!$S:$S,0)</f>
        <v>0</v>
      </c>
      <c r="Q1501" s="12">
        <f>_xlfn.XLOOKUP(B1501,[1]Sheet1!$B:$B,[1]Sheet1!$T:$T,0)</f>
        <v>0</v>
      </c>
      <c r="R1501" s="12">
        <f>_xlfn.XLOOKUP(B1501,[1]Sheet1!$B:$B,[1]Sheet1!$U:$U,0)</f>
        <v>0</v>
      </c>
      <c r="S1501" s="12">
        <f>_xlfn.XLOOKUP(B1501,[1]Sheet1!$B:$B,[1]Sheet1!$V:$V,0)</f>
        <v>0</v>
      </c>
      <c r="T1501" s="12">
        <f>_xlfn.XLOOKUP(B1501,[1]Sheet1!$B:$B,[1]Sheet1!$W:$W,0)</f>
        <v>0</v>
      </c>
      <c r="U1501" s="12">
        <f>_xlfn.XLOOKUP(B1501,[1]Sheet1!$B:$B,[1]Sheet1!$X:$X,0)</f>
        <v>0</v>
      </c>
      <c r="V1501" s="12">
        <f>_xlfn.XLOOKUP(B1501,[1]Sheet1!$B:$B,[1]Sheet1!$Y:$Y,0)</f>
        <v>0</v>
      </c>
      <c r="W1501" s="12">
        <f t="shared" si="49"/>
        <v>0</v>
      </c>
      <c r="X1501" s="8" t="s">
        <v>2385</v>
      </c>
      <c r="Y1501" s="8" t="s">
        <v>2321</v>
      </c>
      <c r="Z1501" s="8" t="s">
        <v>2378</v>
      </c>
      <c r="AA1501" s="8" t="s">
        <v>2386</v>
      </c>
      <c r="AB1501" s="8" t="s">
        <v>36</v>
      </c>
      <c r="AC1501" s="8" t="s">
        <v>37</v>
      </c>
      <c r="AD1501" s="8" t="s">
        <v>38</v>
      </c>
      <c r="AE1501" s="8" t="s">
        <v>2208</v>
      </c>
      <c r="AF1501" s="8" t="s">
        <v>2211</v>
      </c>
      <c r="AG1501" s="9">
        <v>4957440</v>
      </c>
      <c r="AH1501" s="11">
        <f>_xlfn.XLOOKUP(B1501,[1]Sheet1!$B:$B,[1]Sheet1!$AB:$AB,0)</f>
        <v>0</v>
      </c>
    </row>
    <row r="1502" spans="2:34" ht="16.8" thickTop="1" thickBot="1" x14ac:dyDescent="0.35">
      <c r="B1502" s="3" t="str">
        <f t="shared" si="48"/>
        <v>451012345170000224510723424521200104</v>
      </c>
      <c r="C1502" s="6" t="s">
        <v>2379</v>
      </c>
      <c r="D1502" s="6" t="s">
        <v>2381</v>
      </c>
      <c r="E1502" s="6" t="s">
        <v>2382</v>
      </c>
      <c r="F1502" s="6" t="s">
        <v>2218</v>
      </c>
      <c r="G1502" s="4" t="s">
        <v>2804</v>
      </c>
      <c r="H1502" s="4" t="s">
        <v>2922</v>
      </c>
      <c r="I1502" s="6" t="s">
        <v>53</v>
      </c>
      <c r="J1502" s="6" t="s">
        <v>31</v>
      </c>
      <c r="K1502" s="12">
        <f>_xlfn.XLOOKUP(B1502,[1]Sheet1!$B:$B,[1]Sheet1!$N:$N,0)</f>
        <v>0</v>
      </c>
      <c r="L1502" s="12">
        <f>_xlfn.XLOOKUP(B1502,[1]Sheet1!$B:$B,[1]Sheet1!$O:$O,0)</f>
        <v>0</v>
      </c>
      <c r="M1502" s="12">
        <f>_xlfn.XLOOKUP(B1502,[1]Sheet1!$B:$B,[1]Sheet1!$P:$P,0)</f>
        <v>0</v>
      </c>
      <c r="N1502" s="12">
        <f>_xlfn.XLOOKUP(B1502,[1]Sheet1!$B:$B,[1]Sheet1!$Q:$Q,0)</f>
        <v>0</v>
      </c>
      <c r="O1502" s="12">
        <f>_xlfn.XLOOKUP(B1502,[1]Sheet1!$B:$B,[1]Sheet1!$R:$R,0)</f>
        <v>0</v>
      </c>
      <c r="P1502" s="12">
        <f>_xlfn.XLOOKUP(B1502,[1]Sheet1!$B:$B,[1]Sheet1!$S:$S,0)</f>
        <v>0</v>
      </c>
      <c r="Q1502" s="12">
        <f>_xlfn.XLOOKUP(B1502,[1]Sheet1!$B:$B,[1]Sheet1!$T:$T,0)</f>
        <v>0</v>
      </c>
      <c r="R1502" s="12">
        <f>_xlfn.XLOOKUP(B1502,[1]Sheet1!$B:$B,[1]Sheet1!$U:$U,0)</f>
        <v>0</v>
      </c>
      <c r="S1502" s="12">
        <f>_xlfn.XLOOKUP(B1502,[1]Sheet1!$B:$B,[1]Sheet1!$V:$V,0)</f>
        <v>0</v>
      </c>
      <c r="T1502" s="12">
        <f>_xlfn.XLOOKUP(B1502,[1]Sheet1!$B:$B,[1]Sheet1!$W:$W,0)</f>
        <v>0</v>
      </c>
      <c r="U1502" s="12">
        <f>_xlfn.XLOOKUP(B1502,[1]Sheet1!$B:$B,[1]Sheet1!$X:$X,0)</f>
        <v>0</v>
      </c>
      <c r="V1502" s="12">
        <f>_xlfn.XLOOKUP(B1502,[1]Sheet1!$B:$B,[1]Sheet1!$Y:$Y,0)</f>
        <v>0</v>
      </c>
      <c r="W1502" s="12">
        <f t="shared" si="49"/>
        <v>0</v>
      </c>
      <c r="X1502" s="6" t="s">
        <v>2387</v>
      </c>
      <c r="Y1502" s="6" t="s">
        <v>2321</v>
      </c>
      <c r="Z1502" s="6" t="s">
        <v>2378</v>
      </c>
      <c r="AA1502" s="6" t="s">
        <v>53</v>
      </c>
      <c r="AB1502" s="6" t="s">
        <v>36</v>
      </c>
      <c r="AC1502" s="6" t="s">
        <v>37</v>
      </c>
      <c r="AD1502" s="6" t="s">
        <v>2340</v>
      </c>
      <c r="AE1502" s="6" t="s">
        <v>2208</v>
      </c>
      <c r="AF1502" s="6" t="s">
        <v>2211</v>
      </c>
      <c r="AG1502" s="7">
        <v>350000</v>
      </c>
      <c r="AH1502" s="11">
        <f>_xlfn.XLOOKUP(B1502,[1]Sheet1!$B:$B,[1]Sheet1!$AB:$AB,0)</f>
        <v>0</v>
      </c>
    </row>
    <row r="1503" spans="2:34" ht="16.8" thickTop="1" thickBot="1" x14ac:dyDescent="0.35">
      <c r="B1503" s="3" t="str">
        <f t="shared" si="48"/>
        <v>451012345170000234510736421125200104</v>
      </c>
      <c r="C1503" s="8" t="s">
        <v>2379</v>
      </c>
      <c r="D1503" s="8" t="s">
        <v>2388</v>
      </c>
      <c r="E1503" s="8" t="s">
        <v>2389</v>
      </c>
      <c r="F1503" s="8" t="s">
        <v>2390</v>
      </c>
      <c r="G1503" s="4" t="s">
        <v>2803</v>
      </c>
      <c r="H1503" s="4" t="s">
        <v>2922</v>
      </c>
      <c r="I1503" s="8" t="s">
        <v>44</v>
      </c>
      <c r="J1503" s="8" t="s">
        <v>31</v>
      </c>
      <c r="K1503" s="12">
        <f>_xlfn.XLOOKUP(B1503,[1]Sheet1!$B:$B,[1]Sheet1!$N:$N,0)</f>
        <v>0</v>
      </c>
      <c r="L1503" s="12">
        <f>_xlfn.XLOOKUP(B1503,[1]Sheet1!$B:$B,[1]Sheet1!$O:$O,0)</f>
        <v>0</v>
      </c>
      <c r="M1503" s="12">
        <f>_xlfn.XLOOKUP(B1503,[1]Sheet1!$B:$B,[1]Sheet1!$P:$P,0)</f>
        <v>0</v>
      </c>
      <c r="N1503" s="12">
        <f>_xlfn.XLOOKUP(B1503,[1]Sheet1!$B:$B,[1]Sheet1!$Q:$Q,0)</f>
        <v>0</v>
      </c>
      <c r="O1503" s="12">
        <f>_xlfn.XLOOKUP(B1503,[1]Sheet1!$B:$B,[1]Sheet1!$R:$R,0)</f>
        <v>0</v>
      </c>
      <c r="P1503" s="12">
        <f>_xlfn.XLOOKUP(B1503,[1]Sheet1!$B:$B,[1]Sheet1!$S:$S,0)</f>
        <v>0</v>
      </c>
      <c r="Q1503" s="12">
        <f>_xlfn.XLOOKUP(B1503,[1]Sheet1!$B:$B,[1]Sheet1!$T:$T,0)</f>
        <v>0</v>
      </c>
      <c r="R1503" s="12">
        <f>_xlfn.XLOOKUP(B1503,[1]Sheet1!$B:$B,[1]Sheet1!$U:$U,0)</f>
        <v>0</v>
      </c>
      <c r="S1503" s="12">
        <f>_xlfn.XLOOKUP(B1503,[1]Sheet1!$B:$B,[1]Sheet1!$V:$V,0)</f>
        <v>0</v>
      </c>
      <c r="T1503" s="12">
        <f>_xlfn.XLOOKUP(B1503,[1]Sheet1!$B:$B,[1]Sheet1!$W:$W,0)</f>
        <v>0</v>
      </c>
      <c r="U1503" s="12">
        <f>_xlfn.XLOOKUP(B1503,[1]Sheet1!$B:$B,[1]Sheet1!$X:$X,0)</f>
        <v>0</v>
      </c>
      <c r="V1503" s="12">
        <f>_xlfn.XLOOKUP(B1503,[1]Sheet1!$B:$B,[1]Sheet1!$Y:$Y,0)</f>
        <v>0</v>
      </c>
      <c r="W1503" s="12">
        <f t="shared" si="49"/>
        <v>0</v>
      </c>
      <c r="X1503" s="8" t="s">
        <v>2391</v>
      </c>
      <c r="Y1503" s="8" t="s">
        <v>2321</v>
      </c>
      <c r="Z1503" s="8" t="s">
        <v>2378</v>
      </c>
      <c r="AA1503" s="8" t="s">
        <v>44</v>
      </c>
      <c r="AB1503" s="8" t="s">
        <v>36</v>
      </c>
      <c r="AC1503" s="8" t="s">
        <v>37</v>
      </c>
      <c r="AD1503" s="8" t="s">
        <v>2340</v>
      </c>
      <c r="AE1503" s="8" t="s">
        <v>2208</v>
      </c>
      <c r="AF1503" s="8" t="s">
        <v>2211</v>
      </c>
      <c r="AG1503" s="9">
        <v>172216.14</v>
      </c>
      <c r="AH1503" s="11">
        <f>_xlfn.XLOOKUP(B1503,[1]Sheet1!$B:$B,[1]Sheet1!$AB:$AB,0)</f>
        <v>0</v>
      </c>
    </row>
    <row r="1504" spans="2:34" ht="16.8" thickTop="1" thickBot="1" x14ac:dyDescent="0.35">
      <c r="B1504" s="3" t="str">
        <f t="shared" si="48"/>
        <v>451012345170000234510762491811300105</v>
      </c>
      <c r="C1504" s="6" t="s">
        <v>2379</v>
      </c>
      <c r="D1504" s="6" t="s">
        <v>2388</v>
      </c>
      <c r="E1504" s="6" t="s">
        <v>2389</v>
      </c>
      <c r="F1504" s="6" t="s">
        <v>2392</v>
      </c>
      <c r="G1504" s="4" t="s">
        <v>2825</v>
      </c>
      <c r="H1504" s="4" t="s">
        <v>2923</v>
      </c>
      <c r="I1504" s="6" t="s">
        <v>226</v>
      </c>
      <c r="J1504" s="6" t="s">
        <v>31</v>
      </c>
      <c r="K1504" s="12">
        <f>_xlfn.XLOOKUP(B1504,[1]Sheet1!$B:$B,[1]Sheet1!$N:$N,0)</f>
        <v>0</v>
      </c>
      <c r="L1504" s="12">
        <f>_xlfn.XLOOKUP(B1504,[1]Sheet1!$B:$B,[1]Sheet1!$O:$O,0)</f>
        <v>0</v>
      </c>
      <c r="M1504" s="12">
        <f>_xlfn.XLOOKUP(B1504,[1]Sheet1!$B:$B,[1]Sheet1!$P:$P,0)</f>
        <v>0</v>
      </c>
      <c r="N1504" s="12">
        <f>_xlfn.XLOOKUP(B1504,[1]Sheet1!$B:$B,[1]Sheet1!$Q:$Q,0)</f>
        <v>0</v>
      </c>
      <c r="O1504" s="12">
        <f>_xlfn.XLOOKUP(B1504,[1]Sheet1!$B:$B,[1]Sheet1!$R:$R,0)</f>
        <v>0</v>
      </c>
      <c r="P1504" s="12">
        <f>_xlfn.XLOOKUP(B1504,[1]Sheet1!$B:$B,[1]Sheet1!$S:$S,0)</f>
        <v>0</v>
      </c>
      <c r="Q1504" s="12">
        <f>_xlfn.XLOOKUP(B1504,[1]Sheet1!$B:$B,[1]Sheet1!$T:$T,0)</f>
        <v>0</v>
      </c>
      <c r="R1504" s="12">
        <f>_xlfn.XLOOKUP(B1504,[1]Sheet1!$B:$B,[1]Sheet1!$U:$U,0)</f>
        <v>0</v>
      </c>
      <c r="S1504" s="12">
        <f>_xlfn.XLOOKUP(B1504,[1]Sheet1!$B:$B,[1]Sheet1!$V:$V,0)</f>
        <v>0</v>
      </c>
      <c r="T1504" s="12">
        <f>_xlfn.XLOOKUP(B1504,[1]Sheet1!$B:$B,[1]Sheet1!$W:$W,0)</f>
        <v>0</v>
      </c>
      <c r="U1504" s="12">
        <f>_xlfn.XLOOKUP(B1504,[1]Sheet1!$B:$B,[1]Sheet1!$X:$X,0)</f>
        <v>0</v>
      </c>
      <c r="V1504" s="12">
        <f>_xlfn.XLOOKUP(B1504,[1]Sheet1!$B:$B,[1]Sheet1!$Y:$Y,0)</f>
        <v>0</v>
      </c>
      <c r="W1504" s="12">
        <f t="shared" si="49"/>
        <v>0</v>
      </c>
      <c r="X1504" s="6" t="s">
        <v>2393</v>
      </c>
      <c r="Y1504" s="6" t="s">
        <v>2321</v>
      </c>
      <c r="Z1504" s="6" t="s">
        <v>2378</v>
      </c>
      <c r="AA1504" s="6" t="s">
        <v>228</v>
      </c>
      <c r="AB1504" s="6" t="s">
        <v>93</v>
      </c>
      <c r="AC1504" s="6" t="s">
        <v>94</v>
      </c>
      <c r="AD1504" s="6" t="s">
        <v>2272</v>
      </c>
      <c r="AE1504" s="6" t="s">
        <v>2208</v>
      </c>
      <c r="AF1504" s="6" t="s">
        <v>2211</v>
      </c>
      <c r="AG1504" s="7">
        <v>2034979</v>
      </c>
      <c r="AH1504" s="11">
        <f>_xlfn.XLOOKUP(B1504,[1]Sheet1!$B:$B,[1]Sheet1!$AB:$AB,0)</f>
        <v>0</v>
      </c>
    </row>
    <row r="1505" spans="2:34" ht="16.8" thickTop="1" thickBot="1" x14ac:dyDescent="0.35">
      <c r="B1505" s="3" t="str">
        <f t="shared" si="48"/>
        <v>451012345170000234510763493110300105</v>
      </c>
      <c r="C1505" s="8" t="s">
        <v>2379</v>
      </c>
      <c r="D1505" s="8" t="s">
        <v>2388</v>
      </c>
      <c r="E1505" s="8" t="s">
        <v>2389</v>
      </c>
      <c r="F1505" s="8" t="s">
        <v>2305</v>
      </c>
      <c r="G1505" s="4" t="s">
        <v>2897</v>
      </c>
      <c r="H1505" s="4" t="s">
        <v>2923</v>
      </c>
      <c r="I1505" s="8" t="s">
        <v>2394</v>
      </c>
      <c r="J1505" s="8" t="s">
        <v>31</v>
      </c>
      <c r="K1505" s="12">
        <f>_xlfn.XLOOKUP(B1505,[1]Sheet1!$B:$B,[1]Sheet1!$N:$N,0)</f>
        <v>0</v>
      </c>
      <c r="L1505" s="12">
        <f>_xlfn.XLOOKUP(B1505,[1]Sheet1!$B:$B,[1]Sheet1!$O:$O,0)</f>
        <v>0</v>
      </c>
      <c r="M1505" s="12">
        <f>_xlfn.XLOOKUP(B1505,[1]Sheet1!$B:$B,[1]Sheet1!$P:$P,0)</f>
        <v>0</v>
      </c>
      <c r="N1505" s="12">
        <f>_xlfn.XLOOKUP(B1505,[1]Sheet1!$B:$B,[1]Sheet1!$Q:$Q,0)</f>
        <v>0</v>
      </c>
      <c r="O1505" s="12">
        <f>_xlfn.XLOOKUP(B1505,[1]Sheet1!$B:$B,[1]Sheet1!$R:$R,0)</f>
        <v>0</v>
      </c>
      <c r="P1505" s="12">
        <f>_xlfn.XLOOKUP(B1505,[1]Sheet1!$B:$B,[1]Sheet1!$S:$S,0)</f>
        <v>0</v>
      </c>
      <c r="Q1505" s="12">
        <f>_xlfn.XLOOKUP(B1505,[1]Sheet1!$B:$B,[1]Sheet1!$T:$T,0)</f>
        <v>0</v>
      </c>
      <c r="R1505" s="12">
        <f>_xlfn.XLOOKUP(B1505,[1]Sheet1!$B:$B,[1]Sheet1!$U:$U,0)</f>
        <v>0</v>
      </c>
      <c r="S1505" s="12">
        <f>_xlfn.XLOOKUP(B1505,[1]Sheet1!$B:$B,[1]Sheet1!$V:$V,0)</f>
        <v>0</v>
      </c>
      <c r="T1505" s="12">
        <f>_xlfn.XLOOKUP(B1505,[1]Sheet1!$B:$B,[1]Sheet1!$W:$W,0)</f>
        <v>0</v>
      </c>
      <c r="U1505" s="12">
        <f>_xlfn.XLOOKUP(B1505,[1]Sheet1!$B:$B,[1]Sheet1!$X:$X,0)</f>
        <v>0</v>
      </c>
      <c r="V1505" s="12">
        <f>_xlfn.XLOOKUP(B1505,[1]Sheet1!$B:$B,[1]Sheet1!$Y:$Y,0)</f>
        <v>0</v>
      </c>
      <c r="W1505" s="12">
        <f t="shared" si="49"/>
        <v>0</v>
      </c>
      <c r="X1505" s="8" t="s">
        <v>2395</v>
      </c>
      <c r="Y1505" s="8" t="s">
        <v>2321</v>
      </c>
      <c r="Z1505" s="8" t="s">
        <v>2378</v>
      </c>
      <c r="AA1505" s="8" t="s">
        <v>2394</v>
      </c>
      <c r="AB1505" s="8" t="s">
        <v>93</v>
      </c>
      <c r="AC1505" s="8" t="s">
        <v>94</v>
      </c>
      <c r="AD1505" s="8" t="s">
        <v>482</v>
      </c>
      <c r="AE1505" s="8" t="s">
        <v>2208</v>
      </c>
      <c r="AF1505" s="8" t="s">
        <v>2211</v>
      </c>
      <c r="AG1505" s="9">
        <v>823950</v>
      </c>
      <c r="AH1505" s="11">
        <f>_xlfn.XLOOKUP(B1505,[1]Sheet1!$B:$B,[1]Sheet1!$AB:$AB,0)</f>
        <v>0</v>
      </c>
    </row>
    <row r="1506" spans="2:34" ht="16.8" thickTop="1" thickBot="1" x14ac:dyDescent="0.35">
      <c r="B1506" s="3" t="str">
        <f t="shared" si="48"/>
        <v>451012345170000244510713424221200104</v>
      </c>
      <c r="C1506" s="6" t="s">
        <v>2379</v>
      </c>
      <c r="D1506" s="6" t="s">
        <v>2396</v>
      </c>
      <c r="E1506" s="6" t="s">
        <v>2397</v>
      </c>
      <c r="F1506" s="6" t="s">
        <v>2383</v>
      </c>
      <c r="G1506" s="4" t="s">
        <v>2824</v>
      </c>
      <c r="H1506" s="4" t="s">
        <v>2922</v>
      </c>
      <c r="I1506" s="6" t="s">
        <v>209</v>
      </c>
      <c r="J1506" s="6" t="s">
        <v>31</v>
      </c>
      <c r="K1506" s="12">
        <f>_xlfn.XLOOKUP(B1506,[1]Sheet1!$B:$B,[1]Sheet1!$N:$N,0)</f>
        <v>0</v>
      </c>
      <c r="L1506" s="12">
        <f>_xlfn.XLOOKUP(B1506,[1]Sheet1!$B:$B,[1]Sheet1!$O:$O,0)</f>
        <v>0</v>
      </c>
      <c r="M1506" s="12">
        <f>_xlfn.XLOOKUP(B1506,[1]Sheet1!$B:$B,[1]Sheet1!$P:$P,0)</f>
        <v>0</v>
      </c>
      <c r="N1506" s="12">
        <f>_xlfn.XLOOKUP(B1506,[1]Sheet1!$B:$B,[1]Sheet1!$Q:$Q,0)</f>
        <v>0</v>
      </c>
      <c r="O1506" s="12">
        <f>_xlfn.XLOOKUP(B1506,[1]Sheet1!$B:$B,[1]Sheet1!$R:$R,0)</f>
        <v>0</v>
      </c>
      <c r="P1506" s="12">
        <f>_xlfn.XLOOKUP(B1506,[1]Sheet1!$B:$B,[1]Sheet1!$S:$S,0)</f>
        <v>0</v>
      </c>
      <c r="Q1506" s="12">
        <f>_xlfn.XLOOKUP(B1506,[1]Sheet1!$B:$B,[1]Sheet1!$T:$T,0)</f>
        <v>0</v>
      </c>
      <c r="R1506" s="12">
        <f>_xlfn.XLOOKUP(B1506,[1]Sheet1!$B:$B,[1]Sheet1!$U:$U,0)</f>
        <v>0</v>
      </c>
      <c r="S1506" s="12">
        <f>_xlfn.XLOOKUP(B1506,[1]Sheet1!$B:$B,[1]Sheet1!$V:$V,0)</f>
        <v>0</v>
      </c>
      <c r="T1506" s="12">
        <f>_xlfn.XLOOKUP(B1506,[1]Sheet1!$B:$B,[1]Sheet1!$W:$W,0)</f>
        <v>0</v>
      </c>
      <c r="U1506" s="12">
        <f>_xlfn.XLOOKUP(B1506,[1]Sheet1!$B:$B,[1]Sheet1!$X:$X,0)</f>
        <v>0</v>
      </c>
      <c r="V1506" s="12">
        <f>_xlfn.XLOOKUP(B1506,[1]Sheet1!$B:$B,[1]Sheet1!$Y:$Y,0)</f>
        <v>0</v>
      </c>
      <c r="W1506" s="12">
        <f t="shared" si="49"/>
        <v>0</v>
      </c>
      <c r="X1506" s="6" t="s">
        <v>2398</v>
      </c>
      <c r="Y1506" s="6" t="s">
        <v>2321</v>
      </c>
      <c r="Z1506" s="6" t="s">
        <v>2378</v>
      </c>
      <c r="AA1506" s="6" t="s">
        <v>209</v>
      </c>
      <c r="AB1506" s="6" t="s">
        <v>36</v>
      </c>
      <c r="AC1506" s="6" t="s">
        <v>37</v>
      </c>
      <c r="AD1506" s="6" t="s">
        <v>2340</v>
      </c>
      <c r="AE1506" s="6" t="s">
        <v>2208</v>
      </c>
      <c r="AF1506" s="6" t="s">
        <v>2211</v>
      </c>
      <c r="AG1506" s="7">
        <v>130000</v>
      </c>
      <c r="AH1506" s="11">
        <f>_xlfn.XLOOKUP(B1506,[1]Sheet1!$B:$B,[1]Sheet1!$AB:$AB,0)</f>
        <v>0</v>
      </c>
    </row>
    <row r="1507" spans="2:34" ht="16.8" thickTop="1" thickBot="1" x14ac:dyDescent="0.35">
      <c r="B1507" s="3" t="str">
        <f t="shared" si="48"/>
        <v>451012345170000244510728431111200104</v>
      </c>
      <c r="C1507" s="8" t="s">
        <v>2379</v>
      </c>
      <c r="D1507" s="8" t="s">
        <v>2396</v>
      </c>
      <c r="E1507" s="8" t="s">
        <v>2397</v>
      </c>
      <c r="F1507" s="8" t="s">
        <v>2329</v>
      </c>
      <c r="G1507" s="4" t="s">
        <v>2898</v>
      </c>
      <c r="H1507" s="4" t="s">
        <v>2922</v>
      </c>
      <c r="I1507" s="8" t="s">
        <v>2399</v>
      </c>
      <c r="J1507" s="8" t="s">
        <v>31</v>
      </c>
      <c r="K1507" s="12">
        <f>_xlfn.XLOOKUP(B1507,[1]Sheet1!$B:$B,[1]Sheet1!$N:$N,0)</f>
        <v>0</v>
      </c>
      <c r="L1507" s="12">
        <f>_xlfn.XLOOKUP(B1507,[1]Sheet1!$B:$B,[1]Sheet1!$O:$O,0)</f>
        <v>0</v>
      </c>
      <c r="M1507" s="12">
        <f>_xlfn.XLOOKUP(B1507,[1]Sheet1!$B:$B,[1]Sheet1!$P:$P,0)</f>
        <v>0</v>
      </c>
      <c r="N1507" s="12">
        <f>_xlfn.XLOOKUP(B1507,[1]Sheet1!$B:$B,[1]Sheet1!$Q:$Q,0)</f>
        <v>0</v>
      </c>
      <c r="O1507" s="12">
        <f>_xlfn.XLOOKUP(B1507,[1]Sheet1!$B:$B,[1]Sheet1!$R:$R,0)</f>
        <v>0</v>
      </c>
      <c r="P1507" s="12">
        <f>_xlfn.XLOOKUP(B1507,[1]Sheet1!$B:$B,[1]Sheet1!$S:$S,0)</f>
        <v>0</v>
      </c>
      <c r="Q1507" s="12">
        <f>_xlfn.XLOOKUP(B1507,[1]Sheet1!$B:$B,[1]Sheet1!$T:$T,0)</f>
        <v>0</v>
      </c>
      <c r="R1507" s="12">
        <f>_xlfn.XLOOKUP(B1507,[1]Sheet1!$B:$B,[1]Sheet1!$U:$U,0)</f>
        <v>0</v>
      </c>
      <c r="S1507" s="12">
        <f>_xlfn.XLOOKUP(B1507,[1]Sheet1!$B:$B,[1]Sheet1!$V:$V,0)</f>
        <v>0</v>
      </c>
      <c r="T1507" s="12">
        <f>_xlfn.XLOOKUP(B1507,[1]Sheet1!$B:$B,[1]Sheet1!$W:$W,0)</f>
        <v>0</v>
      </c>
      <c r="U1507" s="12">
        <f>_xlfn.XLOOKUP(B1507,[1]Sheet1!$B:$B,[1]Sheet1!$X:$X,0)</f>
        <v>0</v>
      </c>
      <c r="V1507" s="12">
        <f>_xlfn.XLOOKUP(B1507,[1]Sheet1!$B:$B,[1]Sheet1!$Y:$Y,0)</f>
        <v>0</v>
      </c>
      <c r="W1507" s="12">
        <f t="shared" si="49"/>
        <v>0</v>
      </c>
      <c r="X1507" s="8" t="s">
        <v>2400</v>
      </c>
      <c r="Y1507" s="8" t="s">
        <v>2321</v>
      </c>
      <c r="Z1507" s="8" t="s">
        <v>2378</v>
      </c>
      <c r="AA1507" s="8" t="s">
        <v>2399</v>
      </c>
      <c r="AB1507" s="8" t="s">
        <v>36</v>
      </c>
      <c r="AC1507" s="8" t="s">
        <v>37</v>
      </c>
      <c r="AD1507" s="8" t="s">
        <v>2340</v>
      </c>
      <c r="AE1507" s="8" t="s">
        <v>2208</v>
      </c>
      <c r="AF1507" s="8" t="s">
        <v>2211</v>
      </c>
      <c r="AG1507" s="9">
        <v>410944</v>
      </c>
      <c r="AH1507" s="11">
        <f>_xlfn.XLOOKUP(B1507,[1]Sheet1!$B:$B,[1]Sheet1!$AB:$AB,0)</f>
        <v>0</v>
      </c>
    </row>
    <row r="1508" spans="2:34" ht="16.8" thickTop="1" thickBot="1" x14ac:dyDescent="0.35">
      <c r="B1508" s="3" t="str">
        <f t="shared" si="48"/>
        <v>451012345170000244510728431115200104</v>
      </c>
      <c r="C1508" s="6" t="s">
        <v>2379</v>
      </c>
      <c r="D1508" s="6" t="s">
        <v>2396</v>
      </c>
      <c r="E1508" s="6" t="s">
        <v>2397</v>
      </c>
      <c r="F1508" s="6" t="s">
        <v>2329</v>
      </c>
      <c r="G1508" s="4" t="s">
        <v>2899</v>
      </c>
      <c r="H1508" s="4" t="s">
        <v>2922</v>
      </c>
      <c r="I1508" s="6" t="s">
        <v>2401</v>
      </c>
      <c r="J1508" s="6" t="s">
        <v>31</v>
      </c>
      <c r="K1508" s="12">
        <f>_xlfn.XLOOKUP(B1508,[1]Sheet1!$B:$B,[1]Sheet1!$N:$N,0)</f>
        <v>0</v>
      </c>
      <c r="L1508" s="12">
        <f>_xlfn.XLOOKUP(B1508,[1]Sheet1!$B:$B,[1]Sheet1!$O:$O,0)</f>
        <v>0</v>
      </c>
      <c r="M1508" s="12">
        <f>_xlfn.XLOOKUP(B1508,[1]Sheet1!$B:$B,[1]Sheet1!$P:$P,0)</f>
        <v>0</v>
      </c>
      <c r="N1508" s="12">
        <f>_xlfn.XLOOKUP(B1508,[1]Sheet1!$B:$B,[1]Sheet1!$Q:$Q,0)</f>
        <v>0</v>
      </c>
      <c r="O1508" s="12">
        <f>_xlfn.XLOOKUP(B1508,[1]Sheet1!$B:$B,[1]Sheet1!$R:$R,0)</f>
        <v>0</v>
      </c>
      <c r="P1508" s="12">
        <f>_xlfn.XLOOKUP(B1508,[1]Sheet1!$B:$B,[1]Sheet1!$S:$S,0)</f>
        <v>0</v>
      </c>
      <c r="Q1508" s="12">
        <f>_xlfn.XLOOKUP(B1508,[1]Sheet1!$B:$B,[1]Sheet1!$T:$T,0)</f>
        <v>0</v>
      </c>
      <c r="R1508" s="12">
        <f>_xlfn.XLOOKUP(B1508,[1]Sheet1!$B:$B,[1]Sheet1!$U:$U,0)</f>
        <v>0</v>
      </c>
      <c r="S1508" s="12">
        <f>_xlfn.XLOOKUP(B1508,[1]Sheet1!$B:$B,[1]Sheet1!$V:$V,0)</f>
        <v>0</v>
      </c>
      <c r="T1508" s="12">
        <f>_xlfn.XLOOKUP(B1508,[1]Sheet1!$B:$B,[1]Sheet1!$W:$W,0)</f>
        <v>0</v>
      </c>
      <c r="U1508" s="12">
        <f>_xlfn.XLOOKUP(B1508,[1]Sheet1!$B:$B,[1]Sheet1!$X:$X,0)</f>
        <v>0</v>
      </c>
      <c r="V1508" s="12">
        <f>_xlfn.XLOOKUP(B1508,[1]Sheet1!$B:$B,[1]Sheet1!$Y:$Y,0)</f>
        <v>0</v>
      </c>
      <c r="W1508" s="12">
        <f t="shared" si="49"/>
        <v>0</v>
      </c>
      <c r="X1508" s="6" t="s">
        <v>2402</v>
      </c>
      <c r="Y1508" s="6" t="s">
        <v>2321</v>
      </c>
      <c r="Z1508" s="6" t="s">
        <v>2378</v>
      </c>
      <c r="AA1508" s="6" t="s">
        <v>2401</v>
      </c>
      <c r="AB1508" s="6" t="s">
        <v>36</v>
      </c>
      <c r="AC1508" s="6" t="s">
        <v>37</v>
      </c>
      <c r="AD1508" s="6" t="s">
        <v>2340</v>
      </c>
      <c r="AE1508" s="6" t="s">
        <v>2208</v>
      </c>
      <c r="AF1508" s="6" t="s">
        <v>2211</v>
      </c>
      <c r="AG1508" s="7">
        <v>189809.91</v>
      </c>
      <c r="AH1508" s="11">
        <f>_xlfn.XLOOKUP(B1508,[1]Sheet1!$B:$B,[1]Sheet1!$AB:$AB,0)</f>
        <v>0</v>
      </c>
    </row>
    <row r="1509" spans="2:34" ht="16.8" thickTop="1" thickBot="1" x14ac:dyDescent="0.35">
      <c r="B1509" s="3" t="str">
        <f t="shared" si="48"/>
        <v>451012345170000254510711422621200104</v>
      </c>
      <c r="C1509" s="8" t="s">
        <v>2379</v>
      </c>
      <c r="D1509" s="8" t="s">
        <v>2403</v>
      </c>
      <c r="E1509" s="8" t="s">
        <v>2404</v>
      </c>
      <c r="F1509" s="8" t="s">
        <v>2405</v>
      </c>
      <c r="G1509" s="4" t="s">
        <v>2900</v>
      </c>
      <c r="H1509" s="4" t="s">
        <v>2922</v>
      </c>
      <c r="I1509" s="8" t="s">
        <v>2406</v>
      </c>
      <c r="J1509" s="8" t="s">
        <v>31</v>
      </c>
      <c r="K1509" s="12">
        <f>_xlfn.XLOOKUP(B1509,[1]Sheet1!$B:$B,[1]Sheet1!$N:$N,0)</f>
        <v>0</v>
      </c>
      <c r="L1509" s="12">
        <f>_xlfn.XLOOKUP(B1509,[1]Sheet1!$B:$B,[1]Sheet1!$O:$O,0)</f>
        <v>0</v>
      </c>
      <c r="M1509" s="12">
        <f>_xlfn.XLOOKUP(B1509,[1]Sheet1!$B:$B,[1]Sheet1!$P:$P,0)</f>
        <v>0</v>
      </c>
      <c r="N1509" s="12">
        <f>_xlfn.XLOOKUP(B1509,[1]Sheet1!$B:$B,[1]Sheet1!$Q:$Q,0)</f>
        <v>0</v>
      </c>
      <c r="O1509" s="12">
        <f>_xlfn.XLOOKUP(B1509,[1]Sheet1!$B:$B,[1]Sheet1!$R:$R,0)</f>
        <v>0</v>
      </c>
      <c r="P1509" s="12">
        <f>_xlfn.XLOOKUP(B1509,[1]Sheet1!$B:$B,[1]Sheet1!$S:$S,0)</f>
        <v>0</v>
      </c>
      <c r="Q1509" s="12">
        <f>_xlfn.XLOOKUP(B1509,[1]Sheet1!$B:$B,[1]Sheet1!$T:$T,0)</f>
        <v>0</v>
      </c>
      <c r="R1509" s="12">
        <f>_xlfn.XLOOKUP(B1509,[1]Sheet1!$B:$B,[1]Sheet1!$U:$U,0)</f>
        <v>0</v>
      </c>
      <c r="S1509" s="12">
        <f>_xlfn.XLOOKUP(B1509,[1]Sheet1!$B:$B,[1]Sheet1!$V:$V,0)</f>
        <v>0</v>
      </c>
      <c r="T1509" s="12">
        <f>_xlfn.XLOOKUP(B1509,[1]Sheet1!$B:$B,[1]Sheet1!$W:$W,0)</f>
        <v>0</v>
      </c>
      <c r="U1509" s="12">
        <f>_xlfn.XLOOKUP(B1509,[1]Sheet1!$B:$B,[1]Sheet1!$X:$X,0)</f>
        <v>0</v>
      </c>
      <c r="V1509" s="12">
        <f>_xlfn.XLOOKUP(B1509,[1]Sheet1!$B:$B,[1]Sheet1!$Y:$Y,0)</f>
        <v>0</v>
      </c>
      <c r="W1509" s="12">
        <f t="shared" si="49"/>
        <v>0</v>
      </c>
      <c r="X1509" s="8" t="s">
        <v>2407</v>
      </c>
      <c r="Y1509" s="8" t="s">
        <v>2321</v>
      </c>
      <c r="Z1509" s="8" t="s">
        <v>2378</v>
      </c>
      <c r="AA1509" s="8" t="s">
        <v>2406</v>
      </c>
      <c r="AB1509" s="8" t="s">
        <v>36</v>
      </c>
      <c r="AC1509" s="8" t="s">
        <v>37</v>
      </c>
      <c r="AD1509" s="8" t="s">
        <v>2340</v>
      </c>
      <c r="AE1509" s="8" t="s">
        <v>2208</v>
      </c>
      <c r="AF1509" s="8" t="s">
        <v>2211</v>
      </c>
      <c r="AG1509" s="9">
        <v>213381</v>
      </c>
      <c r="AH1509" s="11">
        <f>_xlfn.XLOOKUP(B1509,[1]Sheet1!$B:$B,[1]Sheet1!$AB:$AB,0)</f>
        <v>0</v>
      </c>
    </row>
    <row r="1510" spans="2:34" ht="16.8" thickTop="1" thickBot="1" x14ac:dyDescent="0.35">
      <c r="B1510" s="3" t="str">
        <f t="shared" si="48"/>
        <v>451012345170000254510716424511200104</v>
      </c>
      <c r="C1510" s="6" t="s">
        <v>2379</v>
      </c>
      <c r="D1510" s="6" t="s">
        <v>2403</v>
      </c>
      <c r="E1510" s="6" t="s">
        <v>2404</v>
      </c>
      <c r="F1510" s="6" t="s">
        <v>2260</v>
      </c>
      <c r="G1510" s="4" t="s">
        <v>2901</v>
      </c>
      <c r="H1510" s="4" t="s">
        <v>2922</v>
      </c>
      <c r="I1510" s="6" t="s">
        <v>2408</v>
      </c>
      <c r="J1510" s="6" t="s">
        <v>31</v>
      </c>
      <c r="K1510" s="12">
        <f>_xlfn.XLOOKUP(B1510,[1]Sheet1!$B:$B,[1]Sheet1!$N:$N,0)</f>
        <v>0</v>
      </c>
      <c r="L1510" s="12">
        <f>_xlfn.XLOOKUP(B1510,[1]Sheet1!$B:$B,[1]Sheet1!$O:$O,0)</f>
        <v>0</v>
      </c>
      <c r="M1510" s="12">
        <f>_xlfn.XLOOKUP(B1510,[1]Sheet1!$B:$B,[1]Sheet1!$P:$P,0)</f>
        <v>0</v>
      </c>
      <c r="N1510" s="12">
        <f>_xlfn.XLOOKUP(B1510,[1]Sheet1!$B:$B,[1]Sheet1!$Q:$Q,0)</f>
        <v>0</v>
      </c>
      <c r="O1510" s="12">
        <f>_xlfn.XLOOKUP(B1510,[1]Sheet1!$B:$B,[1]Sheet1!$R:$R,0)</f>
        <v>0</v>
      </c>
      <c r="P1510" s="12">
        <f>_xlfn.XLOOKUP(B1510,[1]Sheet1!$B:$B,[1]Sheet1!$S:$S,0)</f>
        <v>0</v>
      </c>
      <c r="Q1510" s="12">
        <f>_xlfn.XLOOKUP(B1510,[1]Sheet1!$B:$B,[1]Sheet1!$T:$T,0)</f>
        <v>0</v>
      </c>
      <c r="R1510" s="12">
        <f>_xlfn.XLOOKUP(B1510,[1]Sheet1!$B:$B,[1]Sheet1!$U:$U,0)</f>
        <v>0</v>
      </c>
      <c r="S1510" s="12">
        <f>_xlfn.XLOOKUP(B1510,[1]Sheet1!$B:$B,[1]Sheet1!$V:$V,0)</f>
        <v>0</v>
      </c>
      <c r="T1510" s="12">
        <f>_xlfn.XLOOKUP(B1510,[1]Sheet1!$B:$B,[1]Sheet1!$W:$W,0)</f>
        <v>0</v>
      </c>
      <c r="U1510" s="12">
        <f>_xlfn.XLOOKUP(B1510,[1]Sheet1!$B:$B,[1]Sheet1!$X:$X,0)</f>
        <v>0</v>
      </c>
      <c r="V1510" s="12">
        <f>_xlfn.XLOOKUP(B1510,[1]Sheet1!$B:$B,[1]Sheet1!$Y:$Y,0)</f>
        <v>0</v>
      </c>
      <c r="W1510" s="12">
        <f t="shared" si="49"/>
        <v>0</v>
      </c>
      <c r="X1510" s="6" t="s">
        <v>2409</v>
      </c>
      <c r="Y1510" s="6" t="s">
        <v>2321</v>
      </c>
      <c r="Z1510" s="6" t="s">
        <v>2378</v>
      </c>
      <c r="AA1510" s="6" t="s">
        <v>2408</v>
      </c>
      <c r="AB1510" s="6" t="s">
        <v>36</v>
      </c>
      <c r="AC1510" s="6" t="s">
        <v>37</v>
      </c>
      <c r="AD1510" s="6" t="s">
        <v>2340</v>
      </c>
      <c r="AE1510" s="6" t="s">
        <v>2208</v>
      </c>
      <c r="AF1510" s="6" t="s">
        <v>2211</v>
      </c>
      <c r="AG1510" s="7">
        <v>45353</v>
      </c>
      <c r="AH1510" s="11">
        <f>_xlfn.XLOOKUP(B1510,[1]Sheet1!$B:$B,[1]Sheet1!$AB:$AB,0)</f>
        <v>0</v>
      </c>
    </row>
    <row r="1511" spans="2:34" ht="16.8" thickTop="1" thickBot="1" x14ac:dyDescent="0.35">
      <c r="B1511" s="3" t="str">
        <f t="shared" si="48"/>
        <v>451012345170000254510723424521200104</v>
      </c>
      <c r="C1511" s="8" t="s">
        <v>2379</v>
      </c>
      <c r="D1511" s="8" t="s">
        <v>2403</v>
      </c>
      <c r="E1511" s="8" t="s">
        <v>2404</v>
      </c>
      <c r="F1511" s="8" t="s">
        <v>2218</v>
      </c>
      <c r="G1511" s="4" t="s">
        <v>2804</v>
      </c>
      <c r="H1511" s="4" t="s">
        <v>2922</v>
      </c>
      <c r="I1511" s="8" t="s">
        <v>53</v>
      </c>
      <c r="J1511" s="8" t="s">
        <v>31</v>
      </c>
      <c r="K1511" s="12">
        <f>_xlfn.XLOOKUP(B1511,[1]Sheet1!$B:$B,[1]Sheet1!$N:$N,0)</f>
        <v>0</v>
      </c>
      <c r="L1511" s="12">
        <f>_xlfn.XLOOKUP(B1511,[1]Sheet1!$B:$B,[1]Sheet1!$O:$O,0)</f>
        <v>0</v>
      </c>
      <c r="M1511" s="12">
        <f>_xlfn.XLOOKUP(B1511,[1]Sheet1!$B:$B,[1]Sheet1!$P:$P,0)</f>
        <v>0</v>
      </c>
      <c r="N1511" s="12">
        <f>_xlfn.XLOOKUP(B1511,[1]Sheet1!$B:$B,[1]Sheet1!$Q:$Q,0)</f>
        <v>0</v>
      </c>
      <c r="O1511" s="12">
        <f>_xlfn.XLOOKUP(B1511,[1]Sheet1!$B:$B,[1]Sheet1!$R:$R,0)</f>
        <v>0</v>
      </c>
      <c r="P1511" s="12">
        <f>_xlfn.XLOOKUP(B1511,[1]Sheet1!$B:$B,[1]Sheet1!$S:$S,0)</f>
        <v>0</v>
      </c>
      <c r="Q1511" s="12">
        <f>_xlfn.XLOOKUP(B1511,[1]Sheet1!$B:$B,[1]Sheet1!$T:$T,0)</f>
        <v>0</v>
      </c>
      <c r="R1511" s="12">
        <f>_xlfn.XLOOKUP(B1511,[1]Sheet1!$B:$B,[1]Sheet1!$U:$U,0)</f>
        <v>0</v>
      </c>
      <c r="S1511" s="12">
        <f>_xlfn.XLOOKUP(B1511,[1]Sheet1!$B:$B,[1]Sheet1!$V:$V,0)</f>
        <v>0</v>
      </c>
      <c r="T1511" s="12">
        <f>_xlfn.XLOOKUP(B1511,[1]Sheet1!$B:$B,[1]Sheet1!$W:$W,0)</f>
        <v>0</v>
      </c>
      <c r="U1511" s="12">
        <f>_xlfn.XLOOKUP(B1511,[1]Sheet1!$B:$B,[1]Sheet1!$X:$X,0)</f>
        <v>0</v>
      </c>
      <c r="V1511" s="12">
        <f>_xlfn.XLOOKUP(B1511,[1]Sheet1!$B:$B,[1]Sheet1!$Y:$Y,0)</f>
        <v>0</v>
      </c>
      <c r="W1511" s="12">
        <f t="shared" si="49"/>
        <v>0</v>
      </c>
      <c r="X1511" s="8" t="s">
        <v>2387</v>
      </c>
      <c r="Y1511" s="8" t="s">
        <v>2321</v>
      </c>
      <c r="Z1511" s="8" t="s">
        <v>2378</v>
      </c>
      <c r="AA1511" s="8" t="s">
        <v>53</v>
      </c>
      <c r="AB1511" s="8" t="s">
        <v>36</v>
      </c>
      <c r="AC1511" s="8" t="s">
        <v>37</v>
      </c>
      <c r="AD1511" s="8" t="s">
        <v>2340</v>
      </c>
      <c r="AE1511" s="8" t="s">
        <v>2208</v>
      </c>
      <c r="AF1511" s="8" t="s">
        <v>2211</v>
      </c>
      <c r="AG1511" s="9">
        <v>2298413</v>
      </c>
      <c r="AH1511" s="11">
        <f>_xlfn.XLOOKUP(B1511,[1]Sheet1!$B:$B,[1]Sheet1!$AB:$AB,0)</f>
        <v>0</v>
      </c>
    </row>
    <row r="1512" spans="2:34" ht="16.8" thickTop="1" thickBot="1" x14ac:dyDescent="0.35">
      <c r="B1512" s="3" t="str">
        <f t="shared" si="48"/>
        <v>451012345170000254510728431115200104</v>
      </c>
      <c r="C1512" s="6" t="s">
        <v>2379</v>
      </c>
      <c r="D1512" s="6" t="s">
        <v>2403</v>
      </c>
      <c r="E1512" s="6" t="s">
        <v>2404</v>
      </c>
      <c r="F1512" s="6" t="s">
        <v>2329</v>
      </c>
      <c r="G1512" s="4" t="s">
        <v>2899</v>
      </c>
      <c r="H1512" s="4" t="s">
        <v>2922</v>
      </c>
      <c r="I1512" s="6" t="s">
        <v>2401</v>
      </c>
      <c r="J1512" s="6" t="s">
        <v>31</v>
      </c>
      <c r="K1512" s="12">
        <f>_xlfn.XLOOKUP(B1512,[1]Sheet1!$B:$B,[1]Sheet1!$N:$N,0)</f>
        <v>0</v>
      </c>
      <c r="L1512" s="12">
        <f>_xlfn.XLOOKUP(B1512,[1]Sheet1!$B:$B,[1]Sheet1!$O:$O,0)</f>
        <v>0</v>
      </c>
      <c r="M1512" s="12">
        <f>_xlfn.XLOOKUP(B1512,[1]Sheet1!$B:$B,[1]Sheet1!$P:$P,0)</f>
        <v>0</v>
      </c>
      <c r="N1512" s="12">
        <f>_xlfn.XLOOKUP(B1512,[1]Sheet1!$B:$B,[1]Sheet1!$Q:$Q,0)</f>
        <v>0</v>
      </c>
      <c r="O1512" s="12">
        <f>_xlfn.XLOOKUP(B1512,[1]Sheet1!$B:$B,[1]Sheet1!$R:$R,0)</f>
        <v>0</v>
      </c>
      <c r="P1512" s="12">
        <f>_xlfn.XLOOKUP(B1512,[1]Sheet1!$B:$B,[1]Sheet1!$S:$S,0)</f>
        <v>0</v>
      </c>
      <c r="Q1512" s="12">
        <f>_xlfn.XLOOKUP(B1512,[1]Sheet1!$B:$B,[1]Sheet1!$T:$T,0)</f>
        <v>0</v>
      </c>
      <c r="R1512" s="12">
        <f>_xlfn.XLOOKUP(B1512,[1]Sheet1!$B:$B,[1]Sheet1!$U:$U,0)</f>
        <v>0</v>
      </c>
      <c r="S1512" s="12">
        <f>_xlfn.XLOOKUP(B1512,[1]Sheet1!$B:$B,[1]Sheet1!$V:$V,0)</f>
        <v>0</v>
      </c>
      <c r="T1512" s="12">
        <f>_xlfn.XLOOKUP(B1512,[1]Sheet1!$B:$B,[1]Sheet1!$W:$W,0)</f>
        <v>0</v>
      </c>
      <c r="U1512" s="12">
        <f>_xlfn.XLOOKUP(B1512,[1]Sheet1!$B:$B,[1]Sheet1!$X:$X,0)</f>
        <v>0</v>
      </c>
      <c r="V1512" s="12">
        <f>_xlfn.XLOOKUP(B1512,[1]Sheet1!$B:$B,[1]Sheet1!$Y:$Y,0)</f>
        <v>0</v>
      </c>
      <c r="W1512" s="12">
        <f t="shared" si="49"/>
        <v>0</v>
      </c>
      <c r="X1512" s="6" t="s">
        <v>2402</v>
      </c>
      <c r="Y1512" s="6" t="s">
        <v>2321</v>
      </c>
      <c r="Z1512" s="6" t="s">
        <v>2378</v>
      </c>
      <c r="AA1512" s="6" t="s">
        <v>2401</v>
      </c>
      <c r="AB1512" s="6" t="s">
        <v>36</v>
      </c>
      <c r="AC1512" s="6" t="s">
        <v>37</v>
      </c>
      <c r="AD1512" s="6" t="s">
        <v>2340</v>
      </c>
      <c r="AE1512" s="6" t="s">
        <v>2208</v>
      </c>
      <c r="AF1512" s="6" t="s">
        <v>2211</v>
      </c>
      <c r="AG1512" s="7">
        <v>89182</v>
      </c>
      <c r="AH1512" s="11">
        <f>_xlfn.XLOOKUP(B1512,[1]Sheet1!$B:$B,[1]Sheet1!$AB:$AB,0)</f>
        <v>0</v>
      </c>
    </row>
    <row r="1513" spans="2:34" ht="16.8" thickTop="1" thickBot="1" x14ac:dyDescent="0.35">
      <c r="B1513" s="3" t="str">
        <f t="shared" si="48"/>
        <v>451012545170000264510723424221200104</v>
      </c>
      <c r="C1513" s="8" t="s">
        <v>2414</v>
      </c>
      <c r="D1513" s="8" t="s">
        <v>2410</v>
      </c>
      <c r="E1513" s="8" t="s">
        <v>2411</v>
      </c>
      <c r="F1513" s="8" t="s">
        <v>2218</v>
      </c>
      <c r="G1513" s="4" t="s">
        <v>2824</v>
      </c>
      <c r="H1513" s="4" t="s">
        <v>2922</v>
      </c>
      <c r="I1513" s="8" t="s">
        <v>209</v>
      </c>
      <c r="J1513" s="8" t="s">
        <v>31</v>
      </c>
      <c r="K1513" s="12">
        <f>_xlfn.XLOOKUP(B1513,[1]Sheet1!$B:$B,[1]Sheet1!$N:$N,0)</f>
        <v>0</v>
      </c>
      <c r="L1513" s="12">
        <f>_xlfn.XLOOKUP(B1513,[1]Sheet1!$B:$B,[1]Sheet1!$O:$O,0)</f>
        <v>0</v>
      </c>
      <c r="M1513" s="12">
        <f>_xlfn.XLOOKUP(B1513,[1]Sheet1!$B:$B,[1]Sheet1!$P:$P,0)</f>
        <v>0</v>
      </c>
      <c r="N1513" s="12">
        <f>_xlfn.XLOOKUP(B1513,[1]Sheet1!$B:$B,[1]Sheet1!$Q:$Q,0)</f>
        <v>0</v>
      </c>
      <c r="O1513" s="12">
        <f>_xlfn.XLOOKUP(B1513,[1]Sheet1!$B:$B,[1]Sheet1!$R:$R,0)</f>
        <v>0</v>
      </c>
      <c r="P1513" s="12">
        <f>_xlfn.XLOOKUP(B1513,[1]Sheet1!$B:$B,[1]Sheet1!$S:$S,0)</f>
        <v>0</v>
      </c>
      <c r="Q1513" s="12">
        <f>_xlfn.XLOOKUP(B1513,[1]Sheet1!$B:$B,[1]Sheet1!$T:$T,0)</f>
        <v>0</v>
      </c>
      <c r="R1513" s="12">
        <f>_xlfn.XLOOKUP(B1513,[1]Sheet1!$B:$B,[1]Sheet1!$U:$U,0)</f>
        <v>0</v>
      </c>
      <c r="S1513" s="12">
        <f>_xlfn.XLOOKUP(B1513,[1]Sheet1!$B:$B,[1]Sheet1!$V:$V,0)</f>
        <v>0</v>
      </c>
      <c r="T1513" s="12">
        <f>_xlfn.XLOOKUP(B1513,[1]Sheet1!$B:$B,[1]Sheet1!$W:$W,0)</f>
        <v>0</v>
      </c>
      <c r="U1513" s="12">
        <f>_xlfn.XLOOKUP(B1513,[1]Sheet1!$B:$B,[1]Sheet1!$X:$X,0)</f>
        <v>0</v>
      </c>
      <c r="V1513" s="12">
        <f>_xlfn.XLOOKUP(B1513,[1]Sheet1!$B:$B,[1]Sheet1!$Y:$Y,0)</f>
        <v>0</v>
      </c>
      <c r="W1513" s="12">
        <f t="shared" si="49"/>
        <v>0</v>
      </c>
      <c r="X1513" s="8" t="s">
        <v>2412</v>
      </c>
      <c r="Y1513" s="8" t="s">
        <v>2321</v>
      </c>
      <c r="Z1513" s="8" t="s">
        <v>2413</v>
      </c>
      <c r="AA1513" s="8" t="s">
        <v>209</v>
      </c>
      <c r="AB1513" s="8" t="s">
        <v>36</v>
      </c>
      <c r="AC1513" s="8" t="s">
        <v>37</v>
      </c>
      <c r="AD1513" s="8" t="s">
        <v>2340</v>
      </c>
      <c r="AE1513" s="8" t="s">
        <v>2208</v>
      </c>
      <c r="AF1513" s="8" t="s">
        <v>2211</v>
      </c>
      <c r="AG1513" s="9">
        <v>116133.66</v>
      </c>
      <c r="AH1513" s="11">
        <f>_xlfn.XLOOKUP(B1513,[1]Sheet1!$B:$B,[1]Sheet1!$AB:$AB,0)</f>
        <v>0</v>
      </c>
    </row>
    <row r="1514" spans="2:34" ht="16.8" thickTop="1" thickBot="1" x14ac:dyDescent="0.35">
      <c r="B1514" s="3" t="str">
        <f t="shared" si="48"/>
        <v>451012545170000264510723424521200104</v>
      </c>
      <c r="C1514" s="6" t="s">
        <v>2414</v>
      </c>
      <c r="D1514" s="6" t="s">
        <v>2410</v>
      </c>
      <c r="E1514" s="6" t="s">
        <v>2411</v>
      </c>
      <c r="F1514" s="6" t="s">
        <v>2218</v>
      </c>
      <c r="G1514" s="4" t="s">
        <v>2804</v>
      </c>
      <c r="H1514" s="4" t="s">
        <v>2922</v>
      </c>
      <c r="I1514" s="6" t="s">
        <v>53</v>
      </c>
      <c r="J1514" s="6" t="s">
        <v>31</v>
      </c>
      <c r="K1514" s="12">
        <f>_xlfn.XLOOKUP(B1514,[1]Sheet1!$B:$B,[1]Sheet1!$N:$N,0)</f>
        <v>0</v>
      </c>
      <c r="L1514" s="12">
        <f>_xlfn.XLOOKUP(B1514,[1]Sheet1!$B:$B,[1]Sheet1!$O:$O,0)</f>
        <v>0</v>
      </c>
      <c r="M1514" s="12">
        <f>_xlfn.XLOOKUP(B1514,[1]Sheet1!$B:$B,[1]Sheet1!$P:$P,0)</f>
        <v>0</v>
      </c>
      <c r="N1514" s="12">
        <f>_xlfn.XLOOKUP(B1514,[1]Sheet1!$B:$B,[1]Sheet1!$Q:$Q,0)</f>
        <v>0</v>
      </c>
      <c r="O1514" s="12">
        <f>_xlfn.XLOOKUP(B1514,[1]Sheet1!$B:$B,[1]Sheet1!$R:$R,0)</f>
        <v>0</v>
      </c>
      <c r="P1514" s="12">
        <f>_xlfn.XLOOKUP(B1514,[1]Sheet1!$B:$B,[1]Sheet1!$S:$S,0)</f>
        <v>0</v>
      </c>
      <c r="Q1514" s="12">
        <f>_xlfn.XLOOKUP(B1514,[1]Sheet1!$B:$B,[1]Sheet1!$T:$T,0)</f>
        <v>0</v>
      </c>
      <c r="R1514" s="12">
        <f>_xlfn.XLOOKUP(B1514,[1]Sheet1!$B:$B,[1]Sheet1!$U:$U,0)</f>
        <v>0</v>
      </c>
      <c r="S1514" s="12">
        <f>_xlfn.XLOOKUP(B1514,[1]Sheet1!$B:$B,[1]Sheet1!$V:$V,0)</f>
        <v>0</v>
      </c>
      <c r="T1514" s="12">
        <f>_xlfn.XLOOKUP(B1514,[1]Sheet1!$B:$B,[1]Sheet1!$W:$W,0)</f>
        <v>0</v>
      </c>
      <c r="U1514" s="12">
        <f>_xlfn.XLOOKUP(B1514,[1]Sheet1!$B:$B,[1]Sheet1!$X:$X,0)</f>
        <v>0</v>
      </c>
      <c r="V1514" s="12">
        <f>_xlfn.XLOOKUP(B1514,[1]Sheet1!$B:$B,[1]Sheet1!$Y:$Y,0)</f>
        <v>0</v>
      </c>
      <c r="W1514" s="12">
        <f t="shared" si="49"/>
        <v>0</v>
      </c>
      <c r="X1514" s="6" t="s">
        <v>2415</v>
      </c>
      <c r="Y1514" s="6" t="s">
        <v>2321</v>
      </c>
      <c r="Z1514" s="6" t="s">
        <v>2413</v>
      </c>
      <c r="AA1514" s="6" t="s">
        <v>53</v>
      </c>
      <c r="AB1514" s="6" t="s">
        <v>36</v>
      </c>
      <c r="AC1514" s="6" t="s">
        <v>37</v>
      </c>
      <c r="AD1514" s="6" t="s">
        <v>2340</v>
      </c>
      <c r="AE1514" s="6" t="s">
        <v>2208</v>
      </c>
      <c r="AF1514" s="6" t="s">
        <v>2211</v>
      </c>
      <c r="AG1514" s="7">
        <v>20371435</v>
      </c>
      <c r="AH1514" s="11">
        <f>_xlfn.XLOOKUP(B1514,[1]Sheet1!$B:$B,[1]Sheet1!$AB:$AB,0)</f>
        <v>0</v>
      </c>
    </row>
    <row r="1515" spans="2:34" ht="16.8" thickTop="1" thickBot="1" x14ac:dyDescent="0.35">
      <c r="B1515" s="3" t="str">
        <f t="shared" si="48"/>
        <v>451012545170000264510731423411200104</v>
      </c>
      <c r="C1515" s="8" t="s">
        <v>2414</v>
      </c>
      <c r="D1515" s="8" t="s">
        <v>2410</v>
      </c>
      <c r="E1515" s="8" t="s">
        <v>2411</v>
      </c>
      <c r="F1515" s="8" t="s">
        <v>2416</v>
      </c>
      <c r="G1515" s="4" t="s">
        <v>2833</v>
      </c>
      <c r="H1515" s="4" t="s">
        <v>2922</v>
      </c>
      <c r="I1515" s="8" t="s">
        <v>330</v>
      </c>
      <c r="J1515" s="8" t="s">
        <v>31</v>
      </c>
      <c r="K1515" s="12">
        <f>_xlfn.XLOOKUP(B1515,[1]Sheet1!$B:$B,[1]Sheet1!$N:$N,0)</f>
        <v>0</v>
      </c>
      <c r="L1515" s="12">
        <f>_xlfn.XLOOKUP(B1515,[1]Sheet1!$B:$B,[1]Sheet1!$O:$O,0)</f>
        <v>0</v>
      </c>
      <c r="M1515" s="12">
        <f>_xlfn.XLOOKUP(B1515,[1]Sheet1!$B:$B,[1]Sheet1!$P:$P,0)</f>
        <v>0</v>
      </c>
      <c r="N1515" s="12">
        <f>_xlfn.XLOOKUP(B1515,[1]Sheet1!$B:$B,[1]Sheet1!$Q:$Q,0)</f>
        <v>0</v>
      </c>
      <c r="O1515" s="12">
        <f>_xlfn.XLOOKUP(B1515,[1]Sheet1!$B:$B,[1]Sheet1!$R:$R,0)</f>
        <v>0</v>
      </c>
      <c r="P1515" s="12">
        <f>_xlfn.XLOOKUP(B1515,[1]Sheet1!$B:$B,[1]Sheet1!$S:$S,0)</f>
        <v>0</v>
      </c>
      <c r="Q1515" s="12">
        <f>_xlfn.XLOOKUP(B1515,[1]Sheet1!$B:$B,[1]Sheet1!$T:$T,0)</f>
        <v>0</v>
      </c>
      <c r="R1515" s="12">
        <f>_xlfn.XLOOKUP(B1515,[1]Sheet1!$B:$B,[1]Sheet1!$U:$U,0)</f>
        <v>0</v>
      </c>
      <c r="S1515" s="12">
        <f>_xlfn.XLOOKUP(B1515,[1]Sheet1!$B:$B,[1]Sheet1!$V:$V,0)</f>
        <v>0</v>
      </c>
      <c r="T1515" s="12">
        <f>_xlfn.XLOOKUP(B1515,[1]Sheet1!$B:$B,[1]Sheet1!$W:$W,0)</f>
        <v>0</v>
      </c>
      <c r="U1515" s="12">
        <f>_xlfn.XLOOKUP(B1515,[1]Sheet1!$B:$B,[1]Sheet1!$X:$X,0)</f>
        <v>0</v>
      </c>
      <c r="V1515" s="12">
        <f>_xlfn.XLOOKUP(B1515,[1]Sheet1!$B:$B,[1]Sheet1!$Y:$Y,0)</f>
        <v>0</v>
      </c>
      <c r="W1515" s="12">
        <f t="shared" si="49"/>
        <v>0</v>
      </c>
      <c r="X1515" s="8" t="s">
        <v>2417</v>
      </c>
      <c r="Y1515" s="8" t="s">
        <v>2321</v>
      </c>
      <c r="Z1515" s="8" t="s">
        <v>2413</v>
      </c>
      <c r="AA1515" s="8" t="s">
        <v>330</v>
      </c>
      <c r="AB1515" s="8" t="s">
        <v>36</v>
      </c>
      <c r="AC1515" s="8" t="s">
        <v>37</v>
      </c>
      <c r="AD1515" s="8" t="s">
        <v>2340</v>
      </c>
      <c r="AE1515" s="8" t="s">
        <v>2208</v>
      </c>
      <c r="AF1515" s="8" t="s">
        <v>2211</v>
      </c>
      <c r="AG1515" s="9">
        <v>2520425</v>
      </c>
      <c r="AH1515" s="11">
        <f>_xlfn.XLOOKUP(B1515,[1]Sheet1!$B:$B,[1]Sheet1!$AB:$AB,0)</f>
        <v>0</v>
      </c>
    </row>
    <row r="1516" spans="2:34" ht="16.8" thickTop="1" thickBot="1" x14ac:dyDescent="0.35">
      <c r="B1516" s="3" t="str">
        <f t="shared" si="48"/>
        <v>451012545170000264510744491321300105</v>
      </c>
      <c r="C1516" s="6" t="s">
        <v>2414</v>
      </c>
      <c r="D1516" s="6" t="s">
        <v>2410</v>
      </c>
      <c r="E1516" s="6" t="s">
        <v>2411</v>
      </c>
      <c r="F1516" s="6" t="s">
        <v>2356</v>
      </c>
      <c r="G1516" s="4" t="s">
        <v>2892</v>
      </c>
      <c r="H1516" s="4" t="s">
        <v>2923</v>
      </c>
      <c r="I1516" s="6" t="s">
        <v>2357</v>
      </c>
      <c r="J1516" s="6" t="s">
        <v>31</v>
      </c>
      <c r="K1516" s="12">
        <f>_xlfn.XLOOKUP(B1516,[1]Sheet1!$B:$B,[1]Sheet1!$N:$N,0)</f>
        <v>0</v>
      </c>
      <c r="L1516" s="12">
        <f>_xlfn.XLOOKUP(B1516,[1]Sheet1!$B:$B,[1]Sheet1!$O:$O,0)</f>
        <v>0</v>
      </c>
      <c r="M1516" s="12">
        <f>_xlfn.XLOOKUP(B1516,[1]Sheet1!$B:$B,[1]Sheet1!$P:$P,0)</f>
        <v>0</v>
      </c>
      <c r="N1516" s="12">
        <f>_xlfn.XLOOKUP(B1516,[1]Sheet1!$B:$B,[1]Sheet1!$Q:$Q,0)</f>
        <v>0</v>
      </c>
      <c r="O1516" s="12">
        <f>_xlfn.XLOOKUP(B1516,[1]Sheet1!$B:$B,[1]Sheet1!$R:$R,0)</f>
        <v>0</v>
      </c>
      <c r="P1516" s="12">
        <f>_xlfn.XLOOKUP(B1516,[1]Sheet1!$B:$B,[1]Sheet1!$S:$S,0)</f>
        <v>0</v>
      </c>
      <c r="Q1516" s="12">
        <f>_xlfn.XLOOKUP(B1516,[1]Sheet1!$B:$B,[1]Sheet1!$T:$T,0)</f>
        <v>0</v>
      </c>
      <c r="R1516" s="12">
        <f>_xlfn.XLOOKUP(B1516,[1]Sheet1!$B:$B,[1]Sheet1!$U:$U,0)</f>
        <v>0</v>
      </c>
      <c r="S1516" s="12">
        <f>_xlfn.XLOOKUP(B1516,[1]Sheet1!$B:$B,[1]Sheet1!$V:$V,0)</f>
        <v>0</v>
      </c>
      <c r="T1516" s="12">
        <f>_xlfn.XLOOKUP(B1516,[1]Sheet1!$B:$B,[1]Sheet1!$W:$W,0)</f>
        <v>0</v>
      </c>
      <c r="U1516" s="12">
        <f>_xlfn.XLOOKUP(B1516,[1]Sheet1!$B:$B,[1]Sheet1!$X:$X,0)</f>
        <v>0</v>
      </c>
      <c r="V1516" s="12">
        <f>_xlfn.XLOOKUP(B1516,[1]Sheet1!$B:$B,[1]Sheet1!$Y:$Y,0)</f>
        <v>0</v>
      </c>
      <c r="W1516" s="12">
        <f t="shared" si="49"/>
        <v>0</v>
      </c>
      <c r="X1516" s="6" t="s">
        <v>2418</v>
      </c>
      <c r="Y1516" s="6" t="s">
        <v>2321</v>
      </c>
      <c r="Z1516" s="6" t="s">
        <v>2413</v>
      </c>
      <c r="AA1516" s="6" t="s">
        <v>2359</v>
      </c>
      <c r="AB1516" s="6" t="s">
        <v>93</v>
      </c>
      <c r="AC1516" s="6" t="s">
        <v>94</v>
      </c>
      <c r="AD1516" s="6" t="s">
        <v>2272</v>
      </c>
      <c r="AE1516" s="6" t="s">
        <v>2208</v>
      </c>
      <c r="AF1516" s="6" t="s">
        <v>2211</v>
      </c>
      <c r="AG1516" s="7">
        <v>14288129</v>
      </c>
      <c r="AH1516" s="11">
        <f>_xlfn.XLOOKUP(B1516,[1]Sheet1!$B:$B,[1]Sheet1!$AB:$AB,0)</f>
        <v>0</v>
      </c>
    </row>
    <row r="1517" spans="2:34" ht="16.8" thickTop="1" thickBot="1" x14ac:dyDescent="0.35">
      <c r="B1517" s="3" t="str">
        <f t="shared" si="48"/>
        <v>451012545170000264510761424141200104</v>
      </c>
      <c r="C1517" s="8" t="s">
        <v>2414</v>
      </c>
      <c r="D1517" s="8" t="s">
        <v>2410</v>
      </c>
      <c r="E1517" s="8" t="s">
        <v>2411</v>
      </c>
      <c r="F1517" s="8" t="s">
        <v>2419</v>
      </c>
      <c r="G1517" s="4" t="s">
        <v>2902</v>
      </c>
      <c r="H1517" s="4" t="s">
        <v>2922</v>
      </c>
      <c r="I1517" s="8" t="s">
        <v>2420</v>
      </c>
      <c r="J1517" s="8" t="s">
        <v>31</v>
      </c>
      <c r="K1517" s="12">
        <f>_xlfn.XLOOKUP(B1517,[1]Sheet1!$B:$B,[1]Sheet1!$N:$N,0)</f>
        <v>0</v>
      </c>
      <c r="L1517" s="12">
        <f>_xlfn.XLOOKUP(B1517,[1]Sheet1!$B:$B,[1]Sheet1!$O:$O,0)</f>
        <v>0</v>
      </c>
      <c r="M1517" s="12">
        <f>_xlfn.XLOOKUP(B1517,[1]Sheet1!$B:$B,[1]Sheet1!$P:$P,0)</f>
        <v>0</v>
      </c>
      <c r="N1517" s="12">
        <f>_xlfn.XLOOKUP(B1517,[1]Sheet1!$B:$B,[1]Sheet1!$Q:$Q,0)</f>
        <v>0</v>
      </c>
      <c r="O1517" s="12">
        <f>_xlfn.XLOOKUP(B1517,[1]Sheet1!$B:$B,[1]Sheet1!$R:$R,0)</f>
        <v>0</v>
      </c>
      <c r="P1517" s="12">
        <f>_xlfn.XLOOKUP(B1517,[1]Sheet1!$B:$B,[1]Sheet1!$S:$S,0)</f>
        <v>0</v>
      </c>
      <c r="Q1517" s="12">
        <f>_xlfn.XLOOKUP(B1517,[1]Sheet1!$B:$B,[1]Sheet1!$T:$T,0)</f>
        <v>0</v>
      </c>
      <c r="R1517" s="12">
        <f>_xlfn.XLOOKUP(B1517,[1]Sheet1!$B:$B,[1]Sheet1!$U:$U,0)</f>
        <v>0</v>
      </c>
      <c r="S1517" s="12">
        <f>_xlfn.XLOOKUP(B1517,[1]Sheet1!$B:$B,[1]Sheet1!$V:$V,0)</f>
        <v>0</v>
      </c>
      <c r="T1517" s="12">
        <f>_xlfn.XLOOKUP(B1517,[1]Sheet1!$B:$B,[1]Sheet1!$W:$W,0)</f>
        <v>0</v>
      </c>
      <c r="U1517" s="12">
        <f>_xlfn.XLOOKUP(B1517,[1]Sheet1!$B:$B,[1]Sheet1!$X:$X,0)</f>
        <v>0</v>
      </c>
      <c r="V1517" s="12">
        <f>_xlfn.XLOOKUP(B1517,[1]Sheet1!$B:$B,[1]Sheet1!$Y:$Y,0)</f>
        <v>0</v>
      </c>
      <c r="W1517" s="12">
        <f t="shared" si="49"/>
        <v>0</v>
      </c>
      <c r="X1517" s="8" t="s">
        <v>2421</v>
      </c>
      <c r="Y1517" s="8" t="s">
        <v>2321</v>
      </c>
      <c r="Z1517" s="8" t="s">
        <v>2413</v>
      </c>
      <c r="AA1517" s="8" t="s">
        <v>2422</v>
      </c>
      <c r="AB1517" s="8" t="s">
        <v>36</v>
      </c>
      <c r="AC1517" s="8" t="s">
        <v>37</v>
      </c>
      <c r="AD1517" s="8" t="s">
        <v>2340</v>
      </c>
      <c r="AE1517" s="8" t="s">
        <v>2208</v>
      </c>
      <c r="AF1517" s="8" t="s">
        <v>2211</v>
      </c>
      <c r="AG1517" s="9">
        <v>1063020</v>
      </c>
      <c r="AH1517" s="11">
        <f>_xlfn.XLOOKUP(B1517,[1]Sheet1!$B:$B,[1]Sheet1!$AB:$AB,0)</f>
        <v>0</v>
      </c>
    </row>
    <row r="1518" spans="2:34" ht="16.8" thickTop="1" thickBot="1" x14ac:dyDescent="0.35">
      <c r="B1518" s="3" t="str">
        <f t="shared" si="48"/>
        <v>451012545170000274510726423821200104</v>
      </c>
      <c r="C1518" s="6" t="s">
        <v>2414</v>
      </c>
      <c r="D1518" s="6" t="s">
        <v>2423</v>
      </c>
      <c r="E1518" s="6" t="s">
        <v>2424</v>
      </c>
      <c r="F1518" s="6" t="s">
        <v>2247</v>
      </c>
      <c r="G1518" s="4" t="s">
        <v>2805</v>
      </c>
      <c r="H1518" s="4" t="s">
        <v>2922</v>
      </c>
      <c r="I1518" s="6" t="s">
        <v>55</v>
      </c>
      <c r="J1518" s="6" t="s">
        <v>31</v>
      </c>
      <c r="K1518" s="12">
        <f>_xlfn.XLOOKUP(B1518,[1]Sheet1!$B:$B,[1]Sheet1!$N:$N,0)</f>
        <v>0</v>
      </c>
      <c r="L1518" s="12">
        <f>_xlfn.XLOOKUP(B1518,[1]Sheet1!$B:$B,[1]Sheet1!$O:$O,0)</f>
        <v>0</v>
      </c>
      <c r="M1518" s="12">
        <f>_xlfn.XLOOKUP(B1518,[1]Sheet1!$B:$B,[1]Sheet1!$P:$P,0)</f>
        <v>0</v>
      </c>
      <c r="N1518" s="12">
        <f>_xlfn.XLOOKUP(B1518,[1]Sheet1!$B:$B,[1]Sheet1!$Q:$Q,0)</f>
        <v>0</v>
      </c>
      <c r="O1518" s="12">
        <f>_xlfn.XLOOKUP(B1518,[1]Sheet1!$B:$B,[1]Sheet1!$R:$R,0)</f>
        <v>0</v>
      </c>
      <c r="P1518" s="12">
        <f>_xlfn.XLOOKUP(B1518,[1]Sheet1!$B:$B,[1]Sheet1!$S:$S,0)</f>
        <v>0</v>
      </c>
      <c r="Q1518" s="12">
        <f>_xlfn.XLOOKUP(B1518,[1]Sheet1!$B:$B,[1]Sheet1!$T:$T,0)</f>
        <v>0</v>
      </c>
      <c r="R1518" s="12">
        <f>_xlfn.XLOOKUP(B1518,[1]Sheet1!$B:$B,[1]Sheet1!$U:$U,0)</f>
        <v>0</v>
      </c>
      <c r="S1518" s="12">
        <f>_xlfn.XLOOKUP(B1518,[1]Sheet1!$B:$B,[1]Sheet1!$V:$V,0)</f>
        <v>0</v>
      </c>
      <c r="T1518" s="12">
        <f>_xlfn.XLOOKUP(B1518,[1]Sheet1!$B:$B,[1]Sheet1!$W:$W,0)</f>
        <v>0</v>
      </c>
      <c r="U1518" s="12">
        <f>_xlfn.XLOOKUP(B1518,[1]Sheet1!$B:$B,[1]Sheet1!$X:$X,0)</f>
        <v>0</v>
      </c>
      <c r="V1518" s="12">
        <f>_xlfn.XLOOKUP(B1518,[1]Sheet1!$B:$B,[1]Sheet1!$Y:$Y,0)</f>
        <v>0</v>
      </c>
      <c r="W1518" s="12">
        <f t="shared" si="49"/>
        <v>0</v>
      </c>
      <c r="X1518" s="6" t="s">
        <v>2425</v>
      </c>
      <c r="Y1518" s="6" t="s">
        <v>2321</v>
      </c>
      <c r="Z1518" s="6" t="s">
        <v>2413</v>
      </c>
      <c r="AA1518" s="6" t="s">
        <v>55</v>
      </c>
      <c r="AB1518" s="6" t="s">
        <v>36</v>
      </c>
      <c r="AC1518" s="6" t="s">
        <v>37</v>
      </c>
      <c r="AD1518" s="6" t="s">
        <v>2340</v>
      </c>
      <c r="AE1518" s="6" t="s">
        <v>2208</v>
      </c>
      <c r="AF1518" s="6" t="s">
        <v>2211</v>
      </c>
      <c r="AG1518" s="7">
        <v>812500</v>
      </c>
      <c r="AH1518" s="11">
        <f>_xlfn.XLOOKUP(B1518,[1]Sheet1!$B:$B,[1]Sheet1!$AB:$AB,0)</f>
        <v>0</v>
      </c>
    </row>
    <row r="1519" spans="2:34" ht="16.8" thickTop="1" thickBot="1" x14ac:dyDescent="0.35">
      <c r="B1519" s="3" t="str">
        <f t="shared" si="48"/>
        <v>451012545170000274510761424141200104</v>
      </c>
      <c r="C1519" s="8" t="s">
        <v>2414</v>
      </c>
      <c r="D1519" s="8" t="s">
        <v>2423</v>
      </c>
      <c r="E1519" s="8" t="s">
        <v>2424</v>
      </c>
      <c r="F1519" s="8" t="s">
        <v>2419</v>
      </c>
      <c r="G1519" s="4" t="s">
        <v>2902</v>
      </c>
      <c r="H1519" s="4" t="s">
        <v>2922</v>
      </c>
      <c r="I1519" s="8" t="s">
        <v>2420</v>
      </c>
      <c r="J1519" s="8" t="s">
        <v>31</v>
      </c>
      <c r="K1519" s="12">
        <f>_xlfn.XLOOKUP(B1519,[1]Sheet1!$B:$B,[1]Sheet1!$N:$N,0)</f>
        <v>0</v>
      </c>
      <c r="L1519" s="12">
        <f>_xlfn.XLOOKUP(B1519,[1]Sheet1!$B:$B,[1]Sheet1!$O:$O,0)</f>
        <v>0</v>
      </c>
      <c r="M1519" s="12">
        <f>_xlfn.XLOOKUP(B1519,[1]Sheet1!$B:$B,[1]Sheet1!$P:$P,0)</f>
        <v>0</v>
      </c>
      <c r="N1519" s="12">
        <f>_xlfn.XLOOKUP(B1519,[1]Sheet1!$B:$B,[1]Sheet1!$Q:$Q,0)</f>
        <v>0</v>
      </c>
      <c r="O1519" s="12">
        <f>_xlfn.XLOOKUP(B1519,[1]Sheet1!$B:$B,[1]Sheet1!$R:$R,0)</f>
        <v>0</v>
      </c>
      <c r="P1519" s="12">
        <f>_xlfn.XLOOKUP(B1519,[1]Sheet1!$B:$B,[1]Sheet1!$S:$S,0)</f>
        <v>0</v>
      </c>
      <c r="Q1519" s="12">
        <f>_xlfn.XLOOKUP(B1519,[1]Sheet1!$B:$B,[1]Sheet1!$T:$T,0)</f>
        <v>0</v>
      </c>
      <c r="R1519" s="12">
        <f>_xlfn.XLOOKUP(B1519,[1]Sheet1!$B:$B,[1]Sheet1!$U:$U,0)</f>
        <v>0</v>
      </c>
      <c r="S1519" s="12">
        <f>_xlfn.XLOOKUP(B1519,[1]Sheet1!$B:$B,[1]Sheet1!$V:$V,0)</f>
        <v>0</v>
      </c>
      <c r="T1519" s="12">
        <f>_xlfn.XLOOKUP(B1519,[1]Sheet1!$B:$B,[1]Sheet1!$W:$W,0)</f>
        <v>0</v>
      </c>
      <c r="U1519" s="12">
        <f>_xlfn.XLOOKUP(B1519,[1]Sheet1!$B:$B,[1]Sheet1!$X:$X,0)</f>
        <v>0</v>
      </c>
      <c r="V1519" s="12">
        <f>_xlfn.XLOOKUP(B1519,[1]Sheet1!$B:$B,[1]Sheet1!$Y:$Y,0)</f>
        <v>0</v>
      </c>
      <c r="W1519" s="12">
        <f t="shared" si="49"/>
        <v>0</v>
      </c>
      <c r="X1519" s="8" t="s">
        <v>2421</v>
      </c>
      <c r="Y1519" s="8" t="s">
        <v>2321</v>
      </c>
      <c r="Z1519" s="8" t="s">
        <v>2413</v>
      </c>
      <c r="AA1519" s="8" t="s">
        <v>2422</v>
      </c>
      <c r="AB1519" s="8" t="s">
        <v>36</v>
      </c>
      <c r="AC1519" s="8" t="s">
        <v>37</v>
      </c>
      <c r="AD1519" s="8" t="s">
        <v>2340</v>
      </c>
      <c r="AE1519" s="8" t="s">
        <v>2208</v>
      </c>
      <c r="AF1519" s="8" t="s">
        <v>2211</v>
      </c>
      <c r="AG1519" s="9">
        <v>4297496</v>
      </c>
      <c r="AH1519" s="11">
        <f>_xlfn.XLOOKUP(B1519,[1]Sheet1!$B:$B,[1]Sheet1!$AB:$AB,0)</f>
        <v>0</v>
      </c>
    </row>
    <row r="1520" spans="2:34" ht="16.8" thickTop="1" thickBot="1" x14ac:dyDescent="0.35">
      <c r="B1520" s="3" t="str">
        <f t="shared" si="48"/>
        <v>451012545170000284510713424221200104</v>
      </c>
      <c r="C1520" s="6" t="s">
        <v>2414</v>
      </c>
      <c r="D1520" s="6" t="s">
        <v>2426</v>
      </c>
      <c r="E1520" s="6" t="s">
        <v>2427</v>
      </c>
      <c r="F1520" s="6" t="s">
        <v>2383</v>
      </c>
      <c r="G1520" s="4" t="s">
        <v>2824</v>
      </c>
      <c r="H1520" s="4" t="s">
        <v>2922</v>
      </c>
      <c r="I1520" s="6" t="s">
        <v>209</v>
      </c>
      <c r="J1520" s="6" t="s">
        <v>31</v>
      </c>
      <c r="K1520" s="12">
        <f>_xlfn.XLOOKUP(B1520,[1]Sheet1!$B:$B,[1]Sheet1!$N:$N,0)</f>
        <v>0</v>
      </c>
      <c r="L1520" s="12">
        <f>_xlfn.XLOOKUP(B1520,[1]Sheet1!$B:$B,[1]Sheet1!$O:$O,0)</f>
        <v>0</v>
      </c>
      <c r="M1520" s="12">
        <f>_xlfn.XLOOKUP(B1520,[1]Sheet1!$B:$B,[1]Sheet1!$P:$P,0)</f>
        <v>0</v>
      </c>
      <c r="N1520" s="12">
        <f>_xlfn.XLOOKUP(B1520,[1]Sheet1!$B:$B,[1]Sheet1!$Q:$Q,0)</f>
        <v>0</v>
      </c>
      <c r="O1520" s="12">
        <f>_xlfn.XLOOKUP(B1520,[1]Sheet1!$B:$B,[1]Sheet1!$R:$R,0)</f>
        <v>0</v>
      </c>
      <c r="P1520" s="12">
        <f>_xlfn.XLOOKUP(B1520,[1]Sheet1!$B:$B,[1]Sheet1!$S:$S,0)</f>
        <v>0</v>
      </c>
      <c r="Q1520" s="12">
        <f>_xlfn.XLOOKUP(B1520,[1]Sheet1!$B:$B,[1]Sheet1!$T:$T,0)</f>
        <v>0</v>
      </c>
      <c r="R1520" s="12">
        <f>_xlfn.XLOOKUP(B1520,[1]Sheet1!$B:$B,[1]Sheet1!$U:$U,0)</f>
        <v>0</v>
      </c>
      <c r="S1520" s="12">
        <f>_xlfn.XLOOKUP(B1520,[1]Sheet1!$B:$B,[1]Sheet1!$V:$V,0)</f>
        <v>0</v>
      </c>
      <c r="T1520" s="12">
        <f>_xlfn.XLOOKUP(B1520,[1]Sheet1!$B:$B,[1]Sheet1!$W:$W,0)</f>
        <v>0</v>
      </c>
      <c r="U1520" s="12">
        <f>_xlfn.XLOOKUP(B1520,[1]Sheet1!$B:$B,[1]Sheet1!$X:$X,0)</f>
        <v>0</v>
      </c>
      <c r="V1520" s="12">
        <f>_xlfn.XLOOKUP(B1520,[1]Sheet1!$B:$B,[1]Sheet1!$Y:$Y,0)</f>
        <v>0</v>
      </c>
      <c r="W1520" s="12">
        <f t="shared" si="49"/>
        <v>0</v>
      </c>
      <c r="X1520" s="6" t="s">
        <v>2412</v>
      </c>
      <c r="Y1520" s="6" t="s">
        <v>2321</v>
      </c>
      <c r="Z1520" s="6" t="s">
        <v>2413</v>
      </c>
      <c r="AA1520" s="6" t="s">
        <v>209</v>
      </c>
      <c r="AB1520" s="6" t="s">
        <v>36</v>
      </c>
      <c r="AC1520" s="6" t="s">
        <v>37</v>
      </c>
      <c r="AD1520" s="6" t="s">
        <v>2340</v>
      </c>
      <c r="AE1520" s="6" t="s">
        <v>2208</v>
      </c>
      <c r="AF1520" s="6" t="s">
        <v>2211</v>
      </c>
      <c r="AG1520" s="7">
        <v>2451930.34</v>
      </c>
      <c r="AH1520" s="11">
        <f>_xlfn.XLOOKUP(B1520,[1]Sheet1!$B:$B,[1]Sheet1!$AB:$AB,0)</f>
        <v>0</v>
      </c>
    </row>
    <row r="1521" spans="2:34" ht="16.8" thickTop="1" thickBot="1" x14ac:dyDescent="0.35">
      <c r="B1521" s="3" t="str">
        <f t="shared" si="48"/>
        <v>451012445170000294510726423821200104</v>
      </c>
      <c r="C1521" s="8" t="s">
        <v>2432</v>
      </c>
      <c r="D1521" s="8" t="s">
        <v>2428</v>
      </c>
      <c r="E1521" s="8" t="s">
        <v>2429</v>
      </c>
      <c r="F1521" s="8" t="s">
        <v>2247</v>
      </c>
      <c r="G1521" s="4" t="s">
        <v>2805</v>
      </c>
      <c r="H1521" s="4" t="s">
        <v>2922</v>
      </c>
      <c r="I1521" s="8" t="s">
        <v>55</v>
      </c>
      <c r="J1521" s="8" t="s">
        <v>31</v>
      </c>
      <c r="K1521" s="12">
        <f>_xlfn.XLOOKUP(B1521,[1]Sheet1!$B:$B,[1]Sheet1!$N:$N,0)</f>
        <v>0</v>
      </c>
      <c r="L1521" s="12">
        <f>_xlfn.XLOOKUP(B1521,[1]Sheet1!$B:$B,[1]Sheet1!$O:$O,0)</f>
        <v>0</v>
      </c>
      <c r="M1521" s="12">
        <f>_xlfn.XLOOKUP(B1521,[1]Sheet1!$B:$B,[1]Sheet1!$P:$P,0)</f>
        <v>0</v>
      </c>
      <c r="N1521" s="12">
        <f>_xlfn.XLOOKUP(B1521,[1]Sheet1!$B:$B,[1]Sheet1!$Q:$Q,0)</f>
        <v>0</v>
      </c>
      <c r="O1521" s="12">
        <f>_xlfn.XLOOKUP(B1521,[1]Sheet1!$B:$B,[1]Sheet1!$R:$R,0)</f>
        <v>0</v>
      </c>
      <c r="P1521" s="12">
        <f>_xlfn.XLOOKUP(B1521,[1]Sheet1!$B:$B,[1]Sheet1!$S:$S,0)</f>
        <v>0</v>
      </c>
      <c r="Q1521" s="12">
        <f>_xlfn.XLOOKUP(B1521,[1]Sheet1!$B:$B,[1]Sheet1!$T:$T,0)</f>
        <v>0</v>
      </c>
      <c r="R1521" s="12">
        <f>_xlfn.XLOOKUP(B1521,[1]Sheet1!$B:$B,[1]Sheet1!$U:$U,0)</f>
        <v>0</v>
      </c>
      <c r="S1521" s="12">
        <f>_xlfn.XLOOKUP(B1521,[1]Sheet1!$B:$B,[1]Sheet1!$V:$V,0)</f>
        <v>0</v>
      </c>
      <c r="T1521" s="12">
        <f>_xlfn.XLOOKUP(B1521,[1]Sheet1!$B:$B,[1]Sheet1!$W:$W,0)</f>
        <v>0</v>
      </c>
      <c r="U1521" s="12">
        <f>_xlfn.XLOOKUP(B1521,[1]Sheet1!$B:$B,[1]Sheet1!$X:$X,0)</f>
        <v>0</v>
      </c>
      <c r="V1521" s="12">
        <f>_xlfn.XLOOKUP(B1521,[1]Sheet1!$B:$B,[1]Sheet1!$Y:$Y,0)</f>
        <v>0</v>
      </c>
      <c r="W1521" s="12">
        <f t="shared" si="49"/>
        <v>0</v>
      </c>
      <c r="X1521" s="8" t="s">
        <v>2430</v>
      </c>
      <c r="Y1521" s="8" t="s">
        <v>2321</v>
      </c>
      <c r="Z1521" s="8" t="s">
        <v>2431</v>
      </c>
      <c r="AA1521" s="8" t="s">
        <v>55</v>
      </c>
      <c r="AB1521" s="8" t="s">
        <v>36</v>
      </c>
      <c r="AC1521" s="8" t="s">
        <v>37</v>
      </c>
      <c r="AD1521" s="8" t="s">
        <v>2340</v>
      </c>
      <c r="AE1521" s="8" t="s">
        <v>2208</v>
      </c>
      <c r="AF1521" s="8" t="s">
        <v>2211</v>
      </c>
      <c r="AG1521" s="9">
        <v>35000</v>
      </c>
      <c r="AH1521" s="11">
        <f>_xlfn.XLOOKUP(B1521,[1]Sheet1!$B:$B,[1]Sheet1!$AB:$AB,0)</f>
        <v>0</v>
      </c>
    </row>
    <row r="1522" spans="2:34" ht="16.8" thickTop="1" thickBot="1" x14ac:dyDescent="0.35">
      <c r="B1522" s="3" t="str">
        <f t="shared" si="48"/>
        <v>451012445170000294510795422511200104</v>
      </c>
      <c r="C1522" s="6" t="s">
        <v>2432</v>
      </c>
      <c r="D1522" s="6" t="s">
        <v>2428</v>
      </c>
      <c r="E1522" s="6" t="s">
        <v>2429</v>
      </c>
      <c r="F1522" s="6" t="s">
        <v>2433</v>
      </c>
      <c r="G1522" s="4" t="s">
        <v>2819</v>
      </c>
      <c r="H1522" s="4" t="s">
        <v>2922</v>
      </c>
      <c r="I1522" s="6" t="s">
        <v>151</v>
      </c>
      <c r="J1522" s="6" t="s">
        <v>31</v>
      </c>
      <c r="K1522" s="12">
        <f>_xlfn.XLOOKUP(B1522,[1]Sheet1!$B:$B,[1]Sheet1!$N:$N,0)</f>
        <v>0</v>
      </c>
      <c r="L1522" s="12">
        <f>_xlfn.XLOOKUP(B1522,[1]Sheet1!$B:$B,[1]Sheet1!$O:$O,0)</f>
        <v>0</v>
      </c>
      <c r="M1522" s="12">
        <f>_xlfn.XLOOKUP(B1522,[1]Sheet1!$B:$B,[1]Sheet1!$P:$P,0)</f>
        <v>0</v>
      </c>
      <c r="N1522" s="12">
        <f>_xlfn.XLOOKUP(B1522,[1]Sheet1!$B:$B,[1]Sheet1!$Q:$Q,0)</f>
        <v>0</v>
      </c>
      <c r="O1522" s="12">
        <f>_xlfn.XLOOKUP(B1522,[1]Sheet1!$B:$B,[1]Sheet1!$R:$R,0)</f>
        <v>0</v>
      </c>
      <c r="P1522" s="12">
        <f>_xlfn.XLOOKUP(B1522,[1]Sheet1!$B:$B,[1]Sheet1!$S:$S,0)</f>
        <v>0</v>
      </c>
      <c r="Q1522" s="12">
        <f>_xlfn.XLOOKUP(B1522,[1]Sheet1!$B:$B,[1]Sheet1!$T:$T,0)</f>
        <v>0</v>
      </c>
      <c r="R1522" s="12">
        <f>_xlfn.XLOOKUP(B1522,[1]Sheet1!$B:$B,[1]Sheet1!$U:$U,0)</f>
        <v>0</v>
      </c>
      <c r="S1522" s="12">
        <f>_xlfn.XLOOKUP(B1522,[1]Sheet1!$B:$B,[1]Sheet1!$V:$V,0)</f>
        <v>0</v>
      </c>
      <c r="T1522" s="12">
        <f>_xlfn.XLOOKUP(B1522,[1]Sheet1!$B:$B,[1]Sheet1!$W:$W,0)</f>
        <v>0</v>
      </c>
      <c r="U1522" s="12">
        <f>_xlfn.XLOOKUP(B1522,[1]Sheet1!$B:$B,[1]Sheet1!$X:$X,0)</f>
        <v>0</v>
      </c>
      <c r="V1522" s="12">
        <f>_xlfn.XLOOKUP(B1522,[1]Sheet1!$B:$B,[1]Sheet1!$Y:$Y,0)</f>
        <v>0</v>
      </c>
      <c r="W1522" s="12">
        <f t="shared" si="49"/>
        <v>0</v>
      </c>
      <c r="X1522" s="6" t="s">
        <v>2434</v>
      </c>
      <c r="Y1522" s="6" t="s">
        <v>2321</v>
      </c>
      <c r="Z1522" s="6" t="s">
        <v>2431</v>
      </c>
      <c r="AA1522" s="6" t="s">
        <v>151</v>
      </c>
      <c r="AB1522" s="6" t="s">
        <v>36</v>
      </c>
      <c r="AC1522" s="6" t="s">
        <v>37</v>
      </c>
      <c r="AD1522" s="6" t="s">
        <v>2340</v>
      </c>
      <c r="AE1522" s="6" t="s">
        <v>2208</v>
      </c>
      <c r="AF1522" s="6" t="s">
        <v>2211</v>
      </c>
      <c r="AG1522" s="7">
        <v>3195041.97</v>
      </c>
      <c r="AH1522" s="11">
        <f>_xlfn.XLOOKUP(B1522,[1]Sheet1!$B:$B,[1]Sheet1!$AB:$AB,0)</f>
        <v>0</v>
      </c>
    </row>
    <row r="1523" spans="2:34" ht="16.8" thickTop="1" thickBot="1" x14ac:dyDescent="0.35">
      <c r="B1523" s="3" t="str">
        <f t="shared" si="48"/>
        <v>451012445170000304510726423821200104</v>
      </c>
      <c r="C1523" s="8" t="s">
        <v>2432</v>
      </c>
      <c r="D1523" s="8" t="s">
        <v>2435</v>
      </c>
      <c r="E1523" s="8" t="s">
        <v>2436</v>
      </c>
      <c r="F1523" s="8" t="s">
        <v>2247</v>
      </c>
      <c r="G1523" s="4" t="s">
        <v>2805</v>
      </c>
      <c r="H1523" s="4" t="s">
        <v>2922</v>
      </c>
      <c r="I1523" s="8" t="s">
        <v>55</v>
      </c>
      <c r="J1523" s="8" t="s">
        <v>31</v>
      </c>
      <c r="K1523" s="12">
        <f>_xlfn.XLOOKUP(B1523,[1]Sheet1!$B:$B,[1]Sheet1!$N:$N,0)</f>
        <v>0</v>
      </c>
      <c r="L1523" s="12">
        <f>_xlfn.XLOOKUP(B1523,[1]Sheet1!$B:$B,[1]Sheet1!$O:$O,0)</f>
        <v>0</v>
      </c>
      <c r="M1523" s="12">
        <f>_xlfn.XLOOKUP(B1523,[1]Sheet1!$B:$B,[1]Sheet1!$P:$P,0)</f>
        <v>0</v>
      </c>
      <c r="N1523" s="12">
        <f>_xlfn.XLOOKUP(B1523,[1]Sheet1!$B:$B,[1]Sheet1!$Q:$Q,0)</f>
        <v>0</v>
      </c>
      <c r="O1523" s="12">
        <f>_xlfn.XLOOKUP(B1523,[1]Sheet1!$B:$B,[1]Sheet1!$R:$R,0)</f>
        <v>0</v>
      </c>
      <c r="P1523" s="12">
        <f>_xlfn.XLOOKUP(B1523,[1]Sheet1!$B:$B,[1]Sheet1!$S:$S,0)</f>
        <v>0</v>
      </c>
      <c r="Q1523" s="12">
        <f>_xlfn.XLOOKUP(B1523,[1]Sheet1!$B:$B,[1]Sheet1!$T:$T,0)</f>
        <v>0</v>
      </c>
      <c r="R1523" s="12">
        <f>_xlfn.XLOOKUP(B1523,[1]Sheet1!$B:$B,[1]Sheet1!$U:$U,0)</f>
        <v>0</v>
      </c>
      <c r="S1523" s="12">
        <f>_xlfn.XLOOKUP(B1523,[1]Sheet1!$B:$B,[1]Sheet1!$V:$V,0)</f>
        <v>0</v>
      </c>
      <c r="T1523" s="12">
        <f>_xlfn.XLOOKUP(B1523,[1]Sheet1!$B:$B,[1]Sheet1!$W:$W,0)</f>
        <v>0</v>
      </c>
      <c r="U1523" s="12">
        <f>_xlfn.XLOOKUP(B1523,[1]Sheet1!$B:$B,[1]Sheet1!$X:$X,0)</f>
        <v>0</v>
      </c>
      <c r="V1523" s="12">
        <f>_xlfn.XLOOKUP(B1523,[1]Sheet1!$B:$B,[1]Sheet1!$Y:$Y,0)</f>
        <v>0</v>
      </c>
      <c r="W1523" s="12">
        <f t="shared" si="49"/>
        <v>0</v>
      </c>
      <c r="X1523" s="8" t="s">
        <v>2430</v>
      </c>
      <c r="Y1523" s="8" t="s">
        <v>2321</v>
      </c>
      <c r="Z1523" s="8" t="s">
        <v>2431</v>
      </c>
      <c r="AA1523" s="8" t="s">
        <v>55</v>
      </c>
      <c r="AB1523" s="8" t="s">
        <v>36</v>
      </c>
      <c r="AC1523" s="8" t="s">
        <v>37</v>
      </c>
      <c r="AD1523" s="8" t="s">
        <v>2340</v>
      </c>
      <c r="AE1523" s="8" t="s">
        <v>2208</v>
      </c>
      <c r="AF1523" s="8" t="s">
        <v>2211</v>
      </c>
      <c r="AG1523" s="9">
        <v>38000</v>
      </c>
      <c r="AH1523" s="11">
        <f>_xlfn.XLOOKUP(B1523,[1]Sheet1!$B:$B,[1]Sheet1!$AB:$AB,0)</f>
        <v>0</v>
      </c>
    </row>
    <row r="1524" spans="2:34" ht="16.8" thickTop="1" thickBot="1" x14ac:dyDescent="0.35">
      <c r="B1524" s="3" t="str">
        <f t="shared" si="48"/>
        <v>451012445170000304510795422511200104</v>
      </c>
      <c r="C1524" s="6" t="s">
        <v>2432</v>
      </c>
      <c r="D1524" s="6" t="s">
        <v>2435</v>
      </c>
      <c r="E1524" s="6" t="s">
        <v>2436</v>
      </c>
      <c r="F1524" s="6" t="s">
        <v>2433</v>
      </c>
      <c r="G1524" s="4" t="s">
        <v>2819</v>
      </c>
      <c r="H1524" s="4" t="s">
        <v>2922</v>
      </c>
      <c r="I1524" s="6" t="s">
        <v>151</v>
      </c>
      <c r="J1524" s="6" t="s">
        <v>31</v>
      </c>
      <c r="K1524" s="12">
        <f>_xlfn.XLOOKUP(B1524,[1]Sheet1!$B:$B,[1]Sheet1!$N:$N,0)</f>
        <v>0</v>
      </c>
      <c r="L1524" s="12">
        <f>_xlfn.XLOOKUP(B1524,[1]Sheet1!$B:$B,[1]Sheet1!$O:$O,0)</f>
        <v>0</v>
      </c>
      <c r="M1524" s="12">
        <f>_xlfn.XLOOKUP(B1524,[1]Sheet1!$B:$B,[1]Sheet1!$P:$P,0)</f>
        <v>0</v>
      </c>
      <c r="N1524" s="12">
        <f>_xlfn.XLOOKUP(B1524,[1]Sheet1!$B:$B,[1]Sheet1!$Q:$Q,0)</f>
        <v>0</v>
      </c>
      <c r="O1524" s="12">
        <f>_xlfn.XLOOKUP(B1524,[1]Sheet1!$B:$B,[1]Sheet1!$R:$R,0)</f>
        <v>0</v>
      </c>
      <c r="P1524" s="12">
        <f>_xlfn.XLOOKUP(B1524,[1]Sheet1!$B:$B,[1]Sheet1!$S:$S,0)</f>
        <v>0</v>
      </c>
      <c r="Q1524" s="12">
        <f>_xlfn.XLOOKUP(B1524,[1]Sheet1!$B:$B,[1]Sheet1!$T:$T,0)</f>
        <v>0</v>
      </c>
      <c r="R1524" s="12">
        <f>_xlfn.XLOOKUP(B1524,[1]Sheet1!$B:$B,[1]Sheet1!$U:$U,0)</f>
        <v>0</v>
      </c>
      <c r="S1524" s="12">
        <f>_xlfn.XLOOKUP(B1524,[1]Sheet1!$B:$B,[1]Sheet1!$V:$V,0)</f>
        <v>0</v>
      </c>
      <c r="T1524" s="12">
        <f>_xlfn.XLOOKUP(B1524,[1]Sheet1!$B:$B,[1]Sheet1!$W:$W,0)</f>
        <v>0</v>
      </c>
      <c r="U1524" s="12">
        <f>_xlfn.XLOOKUP(B1524,[1]Sheet1!$B:$B,[1]Sheet1!$X:$X,0)</f>
        <v>0</v>
      </c>
      <c r="V1524" s="12">
        <f>_xlfn.XLOOKUP(B1524,[1]Sheet1!$B:$B,[1]Sheet1!$Y:$Y,0)</f>
        <v>0</v>
      </c>
      <c r="W1524" s="12">
        <f t="shared" si="49"/>
        <v>0</v>
      </c>
      <c r="X1524" s="6" t="s">
        <v>2434</v>
      </c>
      <c r="Y1524" s="6" t="s">
        <v>2321</v>
      </c>
      <c r="Z1524" s="6" t="s">
        <v>2431</v>
      </c>
      <c r="AA1524" s="6" t="s">
        <v>151</v>
      </c>
      <c r="AB1524" s="6" t="s">
        <v>36</v>
      </c>
      <c r="AC1524" s="6" t="s">
        <v>37</v>
      </c>
      <c r="AD1524" s="6" t="s">
        <v>2340</v>
      </c>
      <c r="AE1524" s="6" t="s">
        <v>2208</v>
      </c>
      <c r="AF1524" s="6" t="s">
        <v>2211</v>
      </c>
      <c r="AG1524" s="7">
        <v>7136535.5599999996</v>
      </c>
      <c r="AH1524" s="11">
        <f>_xlfn.XLOOKUP(B1524,[1]Sheet1!$B:$B,[1]Sheet1!$AB:$AB,0)</f>
        <v>0</v>
      </c>
    </row>
    <row r="1525" spans="2:34" ht="16.8" thickTop="1" thickBot="1" x14ac:dyDescent="0.35">
      <c r="B1525" s="3" t="str">
        <f t="shared" si="48"/>
        <v>451012445170000304510796424231200104</v>
      </c>
      <c r="C1525" s="8" t="s">
        <v>2432</v>
      </c>
      <c r="D1525" s="8" t="s">
        <v>2435</v>
      </c>
      <c r="E1525" s="8" t="s">
        <v>2436</v>
      </c>
      <c r="F1525" s="8" t="s">
        <v>2437</v>
      </c>
      <c r="G1525" s="4" t="s">
        <v>2832</v>
      </c>
      <c r="H1525" s="4" t="s">
        <v>2922</v>
      </c>
      <c r="I1525" s="8" t="s">
        <v>324</v>
      </c>
      <c r="J1525" s="8" t="s">
        <v>31</v>
      </c>
      <c r="K1525" s="12">
        <f>_xlfn.XLOOKUP(B1525,[1]Sheet1!$B:$B,[1]Sheet1!$N:$N,0)</f>
        <v>0</v>
      </c>
      <c r="L1525" s="12">
        <f>_xlfn.XLOOKUP(B1525,[1]Sheet1!$B:$B,[1]Sheet1!$O:$O,0)</f>
        <v>0</v>
      </c>
      <c r="M1525" s="12">
        <f>_xlfn.XLOOKUP(B1525,[1]Sheet1!$B:$B,[1]Sheet1!$P:$P,0)</f>
        <v>0</v>
      </c>
      <c r="N1525" s="12">
        <f>_xlfn.XLOOKUP(B1525,[1]Sheet1!$B:$B,[1]Sheet1!$Q:$Q,0)</f>
        <v>0</v>
      </c>
      <c r="O1525" s="12">
        <f>_xlfn.XLOOKUP(B1525,[1]Sheet1!$B:$B,[1]Sheet1!$R:$R,0)</f>
        <v>0</v>
      </c>
      <c r="P1525" s="12">
        <f>_xlfn.XLOOKUP(B1525,[1]Sheet1!$B:$B,[1]Sheet1!$S:$S,0)</f>
        <v>0</v>
      </c>
      <c r="Q1525" s="12">
        <f>_xlfn.XLOOKUP(B1525,[1]Sheet1!$B:$B,[1]Sheet1!$T:$T,0)</f>
        <v>0</v>
      </c>
      <c r="R1525" s="12">
        <f>_xlfn.XLOOKUP(B1525,[1]Sheet1!$B:$B,[1]Sheet1!$U:$U,0)</f>
        <v>0</v>
      </c>
      <c r="S1525" s="12">
        <f>_xlfn.XLOOKUP(B1525,[1]Sheet1!$B:$B,[1]Sheet1!$V:$V,0)</f>
        <v>0</v>
      </c>
      <c r="T1525" s="12">
        <f>_xlfn.XLOOKUP(B1525,[1]Sheet1!$B:$B,[1]Sheet1!$W:$W,0)</f>
        <v>0</v>
      </c>
      <c r="U1525" s="12">
        <f>_xlfn.XLOOKUP(B1525,[1]Sheet1!$B:$B,[1]Sheet1!$X:$X,0)</f>
        <v>0</v>
      </c>
      <c r="V1525" s="12">
        <f>_xlfn.XLOOKUP(B1525,[1]Sheet1!$B:$B,[1]Sheet1!$Y:$Y,0)</f>
        <v>0</v>
      </c>
      <c r="W1525" s="12">
        <f t="shared" si="49"/>
        <v>0</v>
      </c>
      <c r="X1525" s="8" t="s">
        <v>2438</v>
      </c>
      <c r="Y1525" s="8" t="s">
        <v>2321</v>
      </c>
      <c r="Z1525" s="8" t="s">
        <v>2431</v>
      </c>
      <c r="AA1525" s="8" t="s">
        <v>326</v>
      </c>
      <c r="AB1525" s="8" t="s">
        <v>36</v>
      </c>
      <c r="AC1525" s="8" t="s">
        <v>37</v>
      </c>
      <c r="AD1525" s="8" t="s">
        <v>2340</v>
      </c>
      <c r="AE1525" s="8" t="s">
        <v>2208</v>
      </c>
      <c r="AF1525" s="8" t="s">
        <v>2211</v>
      </c>
      <c r="AG1525" s="9">
        <v>3204271</v>
      </c>
      <c r="AH1525" s="11">
        <f>_xlfn.XLOOKUP(B1525,[1]Sheet1!$B:$B,[1]Sheet1!$AB:$AB,0)</f>
        <v>0</v>
      </c>
    </row>
    <row r="1526" spans="2:34" ht="16.8" thickTop="1" thickBot="1" x14ac:dyDescent="0.35">
      <c r="B1526" s="3" t="str">
        <f t="shared" si="48"/>
        <v>451012445170000304510797431111200104</v>
      </c>
      <c r="C1526" s="6" t="s">
        <v>2432</v>
      </c>
      <c r="D1526" s="6" t="s">
        <v>2435</v>
      </c>
      <c r="E1526" s="6" t="s">
        <v>2436</v>
      </c>
      <c r="F1526" s="6" t="s">
        <v>2439</v>
      </c>
      <c r="G1526" s="4" t="s">
        <v>2898</v>
      </c>
      <c r="H1526" s="4" t="s">
        <v>2922</v>
      </c>
      <c r="I1526" s="6" t="s">
        <v>2399</v>
      </c>
      <c r="J1526" s="6" t="s">
        <v>31</v>
      </c>
      <c r="K1526" s="12">
        <f>_xlfn.XLOOKUP(B1526,[1]Sheet1!$B:$B,[1]Sheet1!$N:$N,0)</f>
        <v>0</v>
      </c>
      <c r="L1526" s="12">
        <f>_xlfn.XLOOKUP(B1526,[1]Sheet1!$B:$B,[1]Sheet1!$O:$O,0)</f>
        <v>0</v>
      </c>
      <c r="M1526" s="12">
        <f>_xlfn.XLOOKUP(B1526,[1]Sheet1!$B:$B,[1]Sheet1!$P:$P,0)</f>
        <v>0</v>
      </c>
      <c r="N1526" s="12">
        <f>_xlfn.XLOOKUP(B1526,[1]Sheet1!$B:$B,[1]Sheet1!$Q:$Q,0)</f>
        <v>0</v>
      </c>
      <c r="O1526" s="12">
        <f>_xlfn.XLOOKUP(B1526,[1]Sheet1!$B:$B,[1]Sheet1!$R:$R,0)</f>
        <v>0</v>
      </c>
      <c r="P1526" s="12">
        <f>_xlfn.XLOOKUP(B1526,[1]Sheet1!$B:$B,[1]Sheet1!$S:$S,0)</f>
        <v>0</v>
      </c>
      <c r="Q1526" s="12">
        <f>_xlfn.XLOOKUP(B1526,[1]Sheet1!$B:$B,[1]Sheet1!$T:$T,0)</f>
        <v>0</v>
      </c>
      <c r="R1526" s="12">
        <f>_xlfn.XLOOKUP(B1526,[1]Sheet1!$B:$B,[1]Sheet1!$U:$U,0)</f>
        <v>0</v>
      </c>
      <c r="S1526" s="12">
        <f>_xlfn.XLOOKUP(B1526,[1]Sheet1!$B:$B,[1]Sheet1!$V:$V,0)</f>
        <v>0</v>
      </c>
      <c r="T1526" s="12">
        <f>_xlfn.XLOOKUP(B1526,[1]Sheet1!$B:$B,[1]Sheet1!$W:$W,0)</f>
        <v>0</v>
      </c>
      <c r="U1526" s="12">
        <f>_xlfn.XLOOKUP(B1526,[1]Sheet1!$B:$B,[1]Sheet1!$X:$X,0)</f>
        <v>0</v>
      </c>
      <c r="V1526" s="12">
        <f>_xlfn.XLOOKUP(B1526,[1]Sheet1!$B:$B,[1]Sheet1!$Y:$Y,0)</f>
        <v>0</v>
      </c>
      <c r="W1526" s="12">
        <f t="shared" si="49"/>
        <v>0</v>
      </c>
      <c r="X1526" s="6" t="s">
        <v>2440</v>
      </c>
      <c r="Y1526" s="6" t="s">
        <v>2321</v>
      </c>
      <c r="Z1526" s="6" t="s">
        <v>2431</v>
      </c>
      <c r="AA1526" s="6" t="s">
        <v>2399</v>
      </c>
      <c r="AB1526" s="6" t="s">
        <v>36</v>
      </c>
      <c r="AC1526" s="6" t="s">
        <v>37</v>
      </c>
      <c r="AD1526" s="6" t="s">
        <v>2340</v>
      </c>
      <c r="AE1526" s="6" t="s">
        <v>2208</v>
      </c>
      <c r="AF1526" s="6" t="s">
        <v>2211</v>
      </c>
      <c r="AG1526" s="7">
        <v>728381</v>
      </c>
      <c r="AH1526" s="11">
        <f>_xlfn.XLOOKUP(B1526,[1]Sheet1!$B:$B,[1]Sheet1!$AB:$AB,0)</f>
        <v>0</v>
      </c>
    </row>
    <row r="1527" spans="2:34" ht="16.8" thickTop="1" thickBot="1" x14ac:dyDescent="0.35">
      <c r="B1527" s="3" t="str">
        <f t="shared" si="48"/>
        <v>451012445170000314510795422511200104</v>
      </c>
      <c r="C1527" s="8" t="s">
        <v>2432</v>
      </c>
      <c r="D1527" s="8" t="s">
        <v>2441</v>
      </c>
      <c r="E1527" s="8" t="s">
        <v>2442</v>
      </c>
      <c r="F1527" s="8" t="s">
        <v>2433</v>
      </c>
      <c r="G1527" s="4" t="s">
        <v>2819</v>
      </c>
      <c r="H1527" s="4" t="s">
        <v>2922</v>
      </c>
      <c r="I1527" s="8" t="s">
        <v>151</v>
      </c>
      <c r="J1527" s="8" t="s">
        <v>31</v>
      </c>
      <c r="K1527" s="12">
        <f>_xlfn.XLOOKUP(B1527,[1]Sheet1!$B:$B,[1]Sheet1!$N:$N,0)</f>
        <v>0</v>
      </c>
      <c r="L1527" s="12">
        <f>_xlfn.XLOOKUP(B1527,[1]Sheet1!$B:$B,[1]Sheet1!$O:$O,0)</f>
        <v>0</v>
      </c>
      <c r="M1527" s="12">
        <f>_xlfn.XLOOKUP(B1527,[1]Sheet1!$B:$B,[1]Sheet1!$P:$P,0)</f>
        <v>0</v>
      </c>
      <c r="N1527" s="12">
        <f>_xlfn.XLOOKUP(B1527,[1]Sheet1!$B:$B,[1]Sheet1!$Q:$Q,0)</f>
        <v>0</v>
      </c>
      <c r="O1527" s="12">
        <f>_xlfn.XLOOKUP(B1527,[1]Sheet1!$B:$B,[1]Sheet1!$R:$R,0)</f>
        <v>0</v>
      </c>
      <c r="P1527" s="12">
        <f>_xlfn.XLOOKUP(B1527,[1]Sheet1!$B:$B,[1]Sheet1!$S:$S,0)</f>
        <v>0</v>
      </c>
      <c r="Q1527" s="12">
        <f>_xlfn.XLOOKUP(B1527,[1]Sheet1!$B:$B,[1]Sheet1!$T:$T,0)</f>
        <v>0</v>
      </c>
      <c r="R1527" s="12">
        <f>_xlfn.XLOOKUP(B1527,[1]Sheet1!$B:$B,[1]Sheet1!$U:$U,0)</f>
        <v>0</v>
      </c>
      <c r="S1527" s="12">
        <f>_xlfn.XLOOKUP(B1527,[1]Sheet1!$B:$B,[1]Sheet1!$V:$V,0)</f>
        <v>0</v>
      </c>
      <c r="T1527" s="12">
        <f>_xlfn.XLOOKUP(B1527,[1]Sheet1!$B:$B,[1]Sheet1!$W:$W,0)</f>
        <v>0</v>
      </c>
      <c r="U1527" s="12">
        <f>_xlfn.XLOOKUP(B1527,[1]Sheet1!$B:$B,[1]Sheet1!$X:$X,0)</f>
        <v>0</v>
      </c>
      <c r="V1527" s="12">
        <f>_xlfn.XLOOKUP(B1527,[1]Sheet1!$B:$B,[1]Sheet1!$Y:$Y,0)</f>
        <v>0</v>
      </c>
      <c r="W1527" s="12">
        <f t="shared" si="49"/>
        <v>0</v>
      </c>
      <c r="X1527" s="8" t="s">
        <v>2434</v>
      </c>
      <c r="Y1527" s="8" t="s">
        <v>2321</v>
      </c>
      <c r="Z1527" s="8" t="s">
        <v>2431</v>
      </c>
      <c r="AA1527" s="8" t="s">
        <v>151</v>
      </c>
      <c r="AB1527" s="8" t="s">
        <v>36</v>
      </c>
      <c r="AC1527" s="8" t="s">
        <v>37</v>
      </c>
      <c r="AD1527" s="8" t="s">
        <v>2340</v>
      </c>
      <c r="AE1527" s="8" t="s">
        <v>2208</v>
      </c>
      <c r="AF1527" s="8" t="s">
        <v>2211</v>
      </c>
      <c r="AG1527" s="9">
        <v>7171.44</v>
      </c>
      <c r="AH1527" s="11">
        <f>_xlfn.XLOOKUP(B1527,[1]Sheet1!$B:$B,[1]Sheet1!$AB:$AB,0)</f>
        <v>0</v>
      </c>
    </row>
    <row r="1528" spans="2:34" ht="16.8" thickTop="1" thickBot="1" x14ac:dyDescent="0.35">
      <c r="B1528" s="3" t="str">
        <f t="shared" si="48"/>
        <v>451012445170000314510798424661200104</v>
      </c>
      <c r="C1528" s="6" t="s">
        <v>2432</v>
      </c>
      <c r="D1528" s="6" t="s">
        <v>2441</v>
      </c>
      <c r="E1528" s="6" t="s">
        <v>2442</v>
      </c>
      <c r="F1528" s="6" t="s">
        <v>2443</v>
      </c>
      <c r="G1528" s="4" t="s">
        <v>2903</v>
      </c>
      <c r="H1528" s="4" t="s">
        <v>2922</v>
      </c>
      <c r="I1528" s="6" t="s">
        <v>2444</v>
      </c>
      <c r="J1528" s="6" t="s">
        <v>31</v>
      </c>
      <c r="K1528" s="12">
        <f>_xlfn.XLOOKUP(B1528,[1]Sheet1!$B:$B,[1]Sheet1!$N:$N,0)</f>
        <v>0</v>
      </c>
      <c r="L1528" s="12">
        <f>_xlfn.XLOOKUP(B1528,[1]Sheet1!$B:$B,[1]Sheet1!$O:$O,0)</f>
        <v>0</v>
      </c>
      <c r="M1528" s="12">
        <f>_xlfn.XLOOKUP(B1528,[1]Sheet1!$B:$B,[1]Sheet1!$P:$P,0)</f>
        <v>0</v>
      </c>
      <c r="N1528" s="12">
        <f>_xlfn.XLOOKUP(B1528,[1]Sheet1!$B:$B,[1]Sheet1!$Q:$Q,0)</f>
        <v>0</v>
      </c>
      <c r="O1528" s="12">
        <f>_xlfn.XLOOKUP(B1528,[1]Sheet1!$B:$B,[1]Sheet1!$R:$R,0)</f>
        <v>0</v>
      </c>
      <c r="P1528" s="12">
        <f>_xlfn.XLOOKUP(B1528,[1]Sheet1!$B:$B,[1]Sheet1!$S:$S,0)</f>
        <v>0</v>
      </c>
      <c r="Q1528" s="12">
        <f>_xlfn.XLOOKUP(B1528,[1]Sheet1!$B:$B,[1]Sheet1!$T:$T,0)</f>
        <v>0</v>
      </c>
      <c r="R1528" s="12">
        <f>_xlfn.XLOOKUP(B1528,[1]Sheet1!$B:$B,[1]Sheet1!$U:$U,0)</f>
        <v>0</v>
      </c>
      <c r="S1528" s="12">
        <f>_xlfn.XLOOKUP(B1528,[1]Sheet1!$B:$B,[1]Sheet1!$V:$V,0)</f>
        <v>0</v>
      </c>
      <c r="T1528" s="12">
        <f>_xlfn.XLOOKUP(B1528,[1]Sheet1!$B:$B,[1]Sheet1!$W:$W,0)</f>
        <v>0</v>
      </c>
      <c r="U1528" s="12">
        <f>_xlfn.XLOOKUP(B1528,[1]Sheet1!$B:$B,[1]Sheet1!$X:$X,0)</f>
        <v>0</v>
      </c>
      <c r="V1528" s="12">
        <f>_xlfn.XLOOKUP(B1528,[1]Sheet1!$B:$B,[1]Sheet1!$Y:$Y,0)</f>
        <v>0</v>
      </c>
      <c r="W1528" s="12">
        <f t="shared" si="49"/>
        <v>0</v>
      </c>
      <c r="X1528" s="6" t="s">
        <v>2445</v>
      </c>
      <c r="Y1528" s="6" t="s">
        <v>2321</v>
      </c>
      <c r="Z1528" s="6" t="s">
        <v>2431</v>
      </c>
      <c r="AA1528" s="6" t="s">
        <v>2444</v>
      </c>
      <c r="AB1528" s="6" t="s">
        <v>36</v>
      </c>
      <c r="AC1528" s="6" t="s">
        <v>37</v>
      </c>
      <c r="AD1528" s="6" t="s">
        <v>2340</v>
      </c>
      <c r="AE1528" s="6" t="s">
        <v>2208</v>
      </c>
      <c r="AF1528" s="6" t="s">
        <v>2211</v>
      </c>
      <c r="AG1528" s="7">
        <v>44209</v>
      </c>
      <c r="AH1528" s="11">
        <f>_xlfn.XLOOKUP(B1528,[1]Sheet1!$B:$B,[1]Sheet1!$AB:$AB,0)</f>
        <v>0</v>
      </c>
    </row>
    <row r="1529" spans="2:34" ht="16.8" thickTop="1" thickBot="1" x14ac:dyDescent="0.35">
      <c r="B1529" s="3" t="str">
        <f t="shared" si="48"/>
        <v>451012445170000314510799424781200104</v>
      </c>
      <c r="C1529" s="8" t="s">
        <v>2432</v>
      </c>
      <c r="D1529" s="8" t="s">
        <v>2441</v>
      </c>
      <c r="E1529" s="8" t="s">
        <v>2442</v>
      </c>
      <c r="F1529" s="8" t="s">
        <v>2446</v>
      </c>
      <c r="G1529" s="4" t="s">
        <v>2815</v>
      </c>
      <c r="H1529" s="4" t="s">
        <v>2922</v>
      </c>
      <c r="I1529" s="8" t="s">
        <v>100</v>
      </c>
      <c r="J1529" s="8" t="s">
        <v>31</v>
      </c>
      <c r="K1529" s="12">
        <f>_xlfn.XLOOKUP(B1529,[1]Sheet1!$B:$B,[1]Sheet1!$N:$N,0)</f>
        <v>0</v>
      </c>
      <c r="L1529" s="12">
        <f>_xlfn.XLOOKUP(B1529,[1]Sheet1!$B:$B,[1]Sheet1!$O:$O,0)</f>
        <v>0</v>
      </c>
      <c r="M1529" s="12">
        <f>_xlfn.XLOOKUP(B1529,[1]Sheet1!$B:$B,[1]Sheet1!$P:$P,0)</f>
        <v>0</v>
      </c>
      <c r="N1529" s="12">
        <f>_xlfn.XLOOKUP(B1529,[1]Sheet1!$B:$B,[1]Sheet1!$Q:$Q,0)</f>
        <v>0</v>
      </c>
      <c r="O1529" s="12">
        <f>_xlfn.XLOOKUP(B1529,[1]Sheet1!$B:$B,[1]Sheet1!$R:$R,0)</f>
        <v>0</v>
      </c>
      <c r="P1529" s="12">
        <f>_xlfn.XLOOKUP(B1529,[1]Sheet1!$B:$B,[1]Sheet1!$S:$S,0)</f>
        <v>0</v>
      </c>
      <c r="Q1529" s="12">
        <f>_xlfn.XLOOKUP(B1529,[1]Sheet1!$B:$B,[1]Sheet1!$T:$T,0)</f>
        <v>0</v>
      </c>
      <c r="R1529" s="12">
        <f>_xlfn.XLOOKUP(B1529,[1]Sheet1!$B:$B,[1]Sheet1!$U:$U,0)</f>
        <v>0</v>
      </c>
      <c r="S1529" s="12">
        <f>_xlfn.XLOOKUP(B1529,[1]Sheet1!$B:$B,[1]Sheet1!$V:$V,0)</f>
        <v>0</v>
      </c>
      <c r="T1529" s="12">
        <f>_xlfn.XLOOKUP(B1529,[1]Sheet1!$B:$B,[1]Sheet1!$W:$W,0)</f>
        <v>0</v>
      </c>
      <c r="U1529" s="12">
        <f>_xlfn.XLOOKUP(B1529,[1]Sheet1!$B:$B,[1]Sheet1!$X:$X,0)</f>
        <v>0</v>
      </c>
      <c r="V1529" s="12">
        <f>_xlfn.XLOOKUP(B1529,[1]Sheet1!$B:$B,[1]Sheet1!$Y:$Y,0)</f>
        <v>0</v>
      </c>
      <c r="W1529" s="12">
        <f t="shared" si="49"/>
        <v>0</v>
      </c>
      <c r="X1529" s="8" t="s">
        <v>2447</v>
      </c>
      <c r="Y1529" s="8" t="s">
        <v>2321</v>
      </c>
      <c r="Z1529" s="8" t="s">
        <v>2431</v>
      </c>
      <c r="AA1529" s="8" t="s">
        <v>100</v>
      </c>
      <c r="AB1529" s="8" t="s">
        <v>36</v>
      </c>
      <c r="AC1529" s="8" t="s">
        <v>37</v>
      </c>
      <c r="AD1529" s="8" t="s">
        <v>2340</v>
      </c>
      <c r="AE1529" s="8" t="s">
        <v>2208</v>
      </c>
      <c r="AF1529" s="8" t="s">
        <v>2211</v>
      </c>
      <c r="AG1529" s="9">
        <v>2237874</v>
      </c>
      <c r="AH1529" s="11">
        <f>_xlfn.XLOOKUP(B1529,[1]Sheet1!$B:$B,[1]Sheet1!$AB:$AB,0)</f>
        <v>0</v>
      </c>
    </row>
    <row r="1530" spans="2:34" ht="16.8" thickTop="1" thickBot="1" x14ac:dyDescent="0.35">
      <c r="B1530" s="3" t="str">
        <f t="shared" si="48"/>
        <v>451012445170000314510800424701200104</v>
      </c>
      <c r="C1530" s="6" t="s">
        <v>2432</v>
      </c>
      <c r="D1530" s="6" t="s">
        <v>2441</v>
      </c>
      <c r="E1530" s="6" t="s">
        <v>2442</v>
      </c>
      <c r="F1530" s="6" t="s">
        <v>2448</v>
      </c>
      <c r="G1530" s="4" t="s">
        <v>2834</v>
      </c>
      <c r="H1530" s="4" t="s">
        <v>2922</v>
      </c>
      <c r="I1530" s="6" t="s">
        <v>356</v>
      </c>
      <c r="J1530" s="6" t="s">
        <v>31</v>
      </c>
      <c r="K1530" s="12">
        <f>_xlfn.XLOOKUP(B1530,[1]Sheet1!$B:$B,[1]Sheet1!$N:$N,0)</f>
        <v>0</v>
      </c>
      <c r="L1530" s="12">
        <f>_xlfn.XLOOKUP(B1530,[1]Sheet1!$B:$B,[1]Sheet1!$O:$O,0)</f>
        <v>0</v>
      </c>
      <c r="M1530" s="12">
        <f>_xlfn.XLOOKUP(B1530,[1]Sheet1!$B:$B,[1]Sheet1!$P:$P,0)</f>
        <v>0</v>
      </c>
      <c r="N1530" s="12">
        <f>_xlfn.XLOOKUP(B1530,[1]Sheet1!$B:$B,[1]Sheet1!$Q:$Q,0)</f>
        <v>0</v>
      </c>
      <c r="O1530" s="12">
        <f>_xlfn.XLOOKUP(B1530,[1]Sheet1!$B:$B,[1]Sheet1!$R:$R,0)</f>
        <v>0</v>
      </c>
      <c r="P1530" s="12">
        <f>_xlfn.XLOOKUP(B1530,[1]Sheet1!$B:$B,[1]Sheet1!$S:$S,0)</f>
        <v>0</v>
      </c>
      <c r="Q1530" s="12">
        <f>_xlfn.XLOOKUP(B1530,[1]Sheet1!$B:$B,[1]Sheet1!$T:$T,0)</f>
        <v>0</v>
      </c>
      <c r="R1530" s="12">
        <f>_xlfn.XLOOKUP(B1530,[1]Sheet1!$B:$B,[1]Sheet1!$U:$U,0)</f>
        <v>0</v>
      </c>
      <c r="S1530" s="12">
        <f>_xlfn.XLOOKUP(B1530,[1]Sheet1!$B:$B,[1]Sheet1!$V:$V,0)</f>
        <v>0</v>
      </c>
      <c r="T1530" s="12">
        <f>_xlfn.XLOOKUP(B1530,[1]Sheet1!$B:$B,[1]Sheet1!$W:$W,0)</f>
        <v>0</v>
      </c>
      <c r="U1530" s="12">
        <f>_xlfn.XLOOKUP(B1530,[1]Sheet1!$B:$B,[1]Sheet1!$X:$X,0)</f>
        <v>0</v>
      </c>
      <c r="V1530" s="12">
        <f>_xlfn.XLOOKUP(B1530,[1]Sheet1!$B:$B,[1]Sheet1!$Y:$Y,0)</f>
        <v>0</v>
      </c>
      <c r="W1530" s="12">
        <f t="shared" si="49"/>
        <v>0</v>
      </c>
      <c r="X1530" s="6" t="s">
        <v>2449</v>
      </c>
      <c r="Y1530" s="6" t="s">
        <v>2321</v>
      </c>
      <c r="Z1530" s="6" t="s">
        <v>2431</v>
      </c>
      <c r="AA1530" s="6" t="s">
        <v>356</v>
      </c>
      <c r="AB1530" s="6" t="s">
        <v>36</v>
      </c>
      <c r="AC1530" s="6" t="s">
        <v>37</v>
      </c>
      <c r="AD1530" s="6" t="s">
        <v>2340</v>
      </c>
      <c r="AE1530" s="6" t="s">
        <v>2208</v>
      </c>
      <c r="AF1530" s="6" t="s">
        <v>2211</v>
      </c>
      <c r="AG1530" s="7">
        <v>1248924.93</v>
      </c>
      <c r="AH1530" s="11">
        <f>_xlfn.XLOOKUP(B1530,[1]Sheet1!$B:$B,[1]Sheet1!$AB:$AB,0)</f>
        <v>0</v>
      </c>
    </row>
    <row r="1531" spans="2:34" ht="16.8" thickTop="1" thickBot="1" x14ac:dyDescent="0.35">
      <c r="B1531" s="3" t="str">
        <f t="shared" si="48"/>
        <v>451012445170000324510726423821200104</v>
      </c>
      <c r="C1531" s="8" t="s">
        <v>2432</v>
      </c>
      <c r="D1531" s="8" t="s">
        <v>2450</v>
      </c>
      <c r="E1531" s="8" t="s">
        <v>2451</v>
      </c>
      <c r="F1531" s="8" t="s">
        <v>2247</v>
      </c>
      <c r="G1531" s="4" t="s">
        <v>2805</v>
      </c>
      <c r="H1531" s="4" t="s">
        <v>2922</v>
      </c>
      <c r="I1531" s="8" t="s">
        <v>55</v>
      </c>
      <c r="J1531" s="8" t="s">
        <v>31</v>
      </c>
      <c r="K1531" s="12">
        <f>_xlfn.XLOOKUP(B1531,[1]Sheet1!$B:$B,[1]Sheet1!$N:$N,0)</f>
        <v>0</v>
      </c>
      <c r="L1531" s="12">
        <f>_xlfn.XLOOKUP(B1531,[1]Sheet1!$B:$B,[1]Sheet1!$O:$O,0)</f>
        <v>0</v>
      </c>
      <c r="M1531" s="12">
        <f>_xlfn.XLOOKUP(B1531,[1]Sheet1!$B:$B,[1]Sheet1!$P:$P,0)</f>
        <v>0</v>
      </c>
      <c r="N1531" s="12">
        <f>_xlfn.XLOOKUP(B1531,[1]Sheet1!$B:$B,[1]Sheet1!$Q:$Q,0)</f>
        <v>0</v>
      </c>
      <c r="O1531" s="12">
        <f>_xlfn.XLOOKUP(B1531,[1]Sheet1!$B:$B,[1]Sheet1!$R:$R,0)</f>
        <v>0</v>
      </c>
      <c r="P1531" s="12">
        <f>_xlfn.XLOOKUP(B1531,[1]Sheet1!$B:$B,[1]Sheet1!$S:$S,0)</f>
        <v>0</v>
      </c>
      <c r="Q1531" s="12">
        <f>_xlfn.XLOOKUP(B1531,[1]Sheet1!$B:$B,[1]Sheet1!$T:$T,0)</f>
        <v>0</v>
      </c>
      <c r="R1531" s="12">
        <f>_xlfn.XLOOKUP(B1531,[1]Sheet1!$B:$B,[1]Sheet1!$U:$U,0)</f>
        <v>0</v>
      </c>
      <c r="S1531" s="12">
        <f>_xlfn.XLOOKUP(B1531,[1]Sheet1!$B:$B,[1]Sheet1!$V:$V,0)</f>
        <v>0</v>
      </c>
      <c r="T1531" s="12">
        <f>_xlfn.XLOOKUP(B1531,[1]Sheet1!$B:$B,[1]Sheet1!$W:$W,0)</f>
        <v>0</v>
      </c>
      <c r="U1531" s="12">
        <f>_xlfn.XLOOKUP(B1531,[1]Sheet1!$B:$B,[1]Sheet1!$X:$X,0)</f>
        <v>0</v>
      </c>
      <c r="V1531" s="12">
        <f>_xlfn.XLOOKUP(B1531,[1]Sheet1!$B:$B,[1]Sheet1!$Y:$Y,0)</f>
        <v>0</v>
      </c>
      <c r="W1531" s="12">
        <f t="shared" si="49"/>
        <v>0</v>
      </c>
      <c r="X1531" s="8" t="s">
        <v>2430</v>
      </c>
      <c r="Y1531" s="8" t="s">
        <v>2321</v>
      </c>
      <c r="Z1531" s="8" t="s">
        <v>2431</v>
      </c>
      <c r="AA1531" s="8" t="s">
        <v>55</v>
      </c>
      <c r="AB1531" s="8" t="s">
        <v>36</v>
      </c>
      <c r="AC1531" s="8" t="s">
        <v>37</v>
      </c>
      <c r="AD1531" s="8" t="s">
        <v>2340</v>
      </c>
      <c r="AE1531" s="8" t="s">
        <v>2208</v>
      </c>
      <c r="AF1531" s="8" t="s">
        <v>2211</v>
      </c>
      <c r="AG1531" s="9">
        <v>82500</v>
      </c>
      <c r="AH1531" s="11">
        <f>_xlfn.XLOOKUP(B1531,[1]Sheet1!$B:$B,[1]Sheet1!$AB:$AB,0)</f>
        <v>0</v>
      </c>
    </row>
    <row r="1532" spans="2:34" ht="16.8" thickTop="1" thickBot="1" x14ac:dyDescent="0.35">
      <c r="B1532" s="3" t="str">
        <f t="shared" si="48"/>
        <v>451012445170000324510797424811200104</v>
      </c>
      <c r="C1532" s="6" t="s">
        <v>2432</v>
      </c>
      <c r="D1532" s="6" t="s">
        <v>2450</v>
      </c>
      <c r="E1532" s="6" t="s">
        <v>2451</v>
      </c>
      <c r="F1532" s="6" t="s">
        <v>2439</v>
      </c>
      <c r="G1532" s="4" t="s">
        <v>2802</v>
      </c>
      <c r="H1532" s="4" t="s">
        <v>2922</v>
      </c>
      <c r="I1532" s="6" t="s">
        <v>30</v>
      </c>
      <c r="J1532" s="6" t="s">
        <v>31</v>
      </c>
      <c r="K1532" s="12">
        <f>_xlfn.XLOOKUP(B1532,[1]Sheet1!$B:$B,[1]Sheet1!$N:$N,0)</f>
        <v>0</v>
      </c>
      <c r="L1532" s="12">
        <f>_xlfn.XLOOKUP(B1532,[1]Sheet1!$B:$B,[1]Sheet1!$O:$O,0)</f>
        <v>0</v>
      </c>
      <c r="M1532" s="12">
        <f>_xlfn.XLOOKUP(B1532,[1]Sheet1!$B:$B,[1]Sheet1!$P:$P,0)</f>
        <v>0</v>
      </c>
      <c r="N1532" s="12">
        <f>_xlfn.XLOOKUP(B1532,[1]Sheet1!$B:$B,[1]Sheet1!$Q:$Q,0)</f>
        <v>0</v>
      </c>
      <c r="O1532" s="12">
        <f>_xlfn.XLOOKUP(B1532,[1]Sheet1!$B:$B,[1]Sheet1!$R:$R,0)</f>
        <v>0</v>
      </c>
      <c r="P1532" s="12">
        <f>_xlfn.XLOOKUP(B1532,[1]Sheet1!$B:$B,[1]Sheet1!$S:$S,0)</f>
        <v>0</v>
      </c>
      <c r="Q1532" s="12">
        <f>_xlfn.XLOOKUP(B1532,[1]Sheet1!$B:$B,[1]Sheet1!$T:$T,0)</f>
        <v>0</v>
      </c>
      <c r="R1532" s="12">
        <f>_xlfn.XLOOKUP(B1532,[1]Sheet1!$B:$B,[1]Sheet1!$U:$U,0)</f>
        <v>0</v>
      </c>
      <c r="S1532" s="12">
        <f>_xlfn.XLOOKUP(B1532,[1]Sheet1!$B:$B,[1]Sheet1!$V:$V,0)</f>
        <v>0</v>
      </c>
      <c r="T1532" s="12">
        <f>_xlfn.XLOOKUP(B1532,[1]Sheet1!$B:$B,[1]Sheet1!$W:$W,0)</f>
        <v>0</v>
      </c>
      <c r="U1532" s="12">
        <f>_xlfn.XLOOKUP(B1532,[1]Sheet1!$B:$B,[1]Sheet1!$X:$X,0)</f>
        <v>0</v>
      </c>
      <c r="V1532" s="12">
        <f>_xlfn.XLOOKUP(B1532,[1]Sheet1!$B:$B,[1]Sheet1!$Y:$Y,0)</f>
        <v>0</v>
      </c>
      <c r="W1532" s="12">
        <f t="shared" si="49"/>
        <v>0</v>
      </c>
      <c r="X1532" s="6" t="s">
        <v>2452</v>
      </c>
      <c r="Y1532" s="6" t="s">
        <v>2321</v>
      </c>
      <c r="Z1532" s="6" t="s">
        <v>2431</v>
      </c>
      <c r="AA1532" s="6" t="s">
        <v>30</v>
      </c>
      <c r="AB1532" s="6" t="s">
        <v>36</v>
      </c>
      <c r="AC1532" s="6" t="s">
        <v>37</v>
      </c>
      <c r="AD1532" s="6" t="s">
        <v>2340</v>
      </c>
      <c r="AE1532" s="6" t="s">
        <v>2208</v>
      </c>
      <c r="AF1532" s="6" t="s">
        <v>2211</v>
      </c>
      <c r="AG1532" s="7">
        <v>1609673</v>
      </c>
      <c r="AH1532" s="11">
        <f>_xlfn.XLOOKUP(B1532,[1]Sheet1!$B:$B,[1]Sheet1!$AB:$AB,0)</f>
        <v>0</v>
      </c>
    </row>
    <row r="1533" spans="2:34" ht="16.8" thickTop="1" thickBot="1" x14ac:dyDescent="0.35">
      <c r="B1533" s="3" t="str">
        <f t="shared" si="48"/>
        <v>451012245170000374510723424521200104</v>
      </c>
      <c r="C1533" s="8" t="s">
        <v>2457</v>
      </c>
      <c r="D1533" s="8" t="s">
        <v>2453</v>
      </c>
      <c r="E1533" s="8" t="s">
        <v>2454</v>
      </c>
      <c r="F1533" s="8" t="s">
        <v>2218</v>
      </c>
      <c r="G1533" s="4" t="s">
        <v>2804</v>
      </c>
      <c r="H1533" s="4" t="s">
        <v>2922</v>
      </c>
      <c r="I1533" s="8" t="s">
        <v>53</v>
      </c>
      <c r="J1533" s="8" t="s">
        <v>31</v>
      </c>
      <c r="K1533" s="12">
        <f>_xlfn.XLOOKUP(B1533,[1]Sheet1!$B:$B,[1]Sheet1!$N:$N,0)</f>
        <v>0</v>
      </c>
      <c r="L1533" s="12">
        <f>_xlfn.XLOOKUP(B1533,[1]Sheet1!$B:$B,[1]Sheet1!$O:$O,0)</f>
        <v>0</v>
      </c>
      <c r="M1533" s="12">
        <f>_xlfn.XLOOKUP(B1533,[1]Sheet1!$B:$B,[1]Sheet1!$P:$P,0)</f>
        <v>0</v>
      </c>
      <c r="N1533" s="12">
        <f>_xlfn.XLOOKUP(B1533,[1]Sheet1!$B:$B,[1]Sheet1!$Q:$Q,0)</f>
        <v>0</v>
      </c>
      <c r="O1533" s="12">
        <f>_xlfn.XLOOKUP(B1533,[1]Sheet1!$B:$B,[1]Sheet1!$R:$R,0)</f>
        <v>0</v>
      </c>
      <c r="P1533" s="12">
        <f>_xlfn.XLOOKUP(B1533,[1]Sheet1!$B:$B,[1]Sheet1!$S:$S,0)</f>
        <v>0</v>
      </c>
      <c r="Q1533" s="12">
        <f>_xlfn.XLOOKUP(B1533,[1]Sheet1!$B:$B,[1]Sheet1!$T:$T,0)</f>
        <v>0</v>
      </c>
      <c r="R1533" s="12">
        <f>_xlfn.XLOOKUP(B1533,[1]Sheet1!$B:$B,[1]Sheet1!$U:$U,0)</f>
        <v>0</v>
      </c>
      <c r="S1533" s="12">
        <f>_xlfn.XLOOKUP(B1533,[1]Sheet1!$B:$B,[1]Sheet1!$V:$V,0)</f>
        <v>0</v>
      </c>
      <c r="T1533" s="12">
        <f>_xlfn.XLOOKUP(B1533,[1]Sheet1!$B:$B,[1]Sheet1!$W:$W,0)</f>
        <v>0</v>
      </c>
      <c r="U1533" s="12">
        <f>_xlfn.XLOOKUP(B1533,[1]Sheet1!$B:$B,[1]Sheet1!$X:$X,0)</f>
        <v>0</v>
      </c>
      <c r="V1533" s="12">
        <f>_xlfn.XLOOKUP(B1533,[1]Sheet1!$B:$B,[1]Sheet1!$Y:$Y,0)</f>
        <v>0</v>
      </c>
      <c r="W1533" s="12">
        <f t="shared" si="49"/>
        <v>0</v>
      </c>
      <c r="X1533" s="8" t="s">
        <v>2455</v>
      </c>
      <c r="Y1533" s="8" t="s">
        <v>2321</v>
      </c>
      <c r="Z1533" s="8" t="s">
        <v>2456</v>
      </c>
      <c r="AA1533" s="8" t="s">
        <v>53</v>
      </c>
      <c r="AB1533" s="8" t="s">
        <v>36</v>
      </c>
      <c r="AC1533" s="8" t="s">
        <v>37</v>
      </c>
      <c r="AD1533" s="8" t="s">
        <v>2340</v>
      </c>
      <c r="AE1533" s="8" t="s">
        <v>2208</v>
      </c>
      <c r="AF1533" s="8" t="s">
        <v>2211</v>
      </c>
      <c r="AG1533" s="9">
        <v>915000</v>
      </c>
      <c r="AH1533" s="11">
        <f>_xlfn.XLOOKUP(B1533,[1]Sheet1!$B:$B,[1]Sheet1!$AB:$AB,0)</f>
        <v>0</v>
      </c>
    </row>
    <row r="1534" spans="2:34" ht="16.8" thickTop="1" thickBot="1" x14ac:dyDescent="0.35">
      <c r="B1534" s="3" t="str">
        <f t="shared" si="48"/>
        <v>451012245170000374510731423411200104</v>
      </c>
      <c r="C1534" s="6" t="s">
        <v>2457</v>
      </c>
      <c r="D1534" s="6" t="s">
        <v>2453</v>
      </c>
      <c r="E1534" s="6" t="s">
        <v>2454</v>
      </c>
      <c r="F1534" s="6" t="s">
        <v>2416</v>
      </c>
      <c r="G1534" s="4" t="s">
        <v>2833</v>
      </c>
      <c r="H1534" s="4" t="s">
        <v>2922</v>
      </c>
      <c r="I1534" s="6" t="s">
        <v>330</v>
      </c>
      <c r="J1534" s="6" t="s">
        <v>31</v>
      </c>
      <c r="K1534" s="12">
        <f>_xlfn.XLOOKUP(B1534,[1]Sheet1!$B:$B,[1]Sheet1!$N:$N,0)</f>
        <v>0</v>
      </c>
      <c r="L1534" s="12">
        <f>_xlfn.XLOOKUP(B1534,[1]Sheet1!$B:$B,[1]Sheet1!$O:$O,0)</f>
        <v>0</v>
      </c>
      <c r="M1534" s="12">
        <f>_xlfn.XLOOKUP(B1534,[1]Sheet1!$B:$B,[1]Sheet1!$P:$P,0)</f>
        <v>0</v>
      </c>
      <c r="N1534" s="12">
        <f>_xlfn.XLOOKUP(B1534,[1]Sheet1!$B:$B,[1]Sheet1!$Q:$Q,0)</f>
        <v>0</v>
      </c>
      <c r="O1534" s="12">
        <f>_xlfn.XLOOKUP(B1534,[1]Sheet1!$B:$B,[1]Sheet1!$R:$R,0)</f>
        <v>0</v>
      </c>
      <c r="P1534" s="12">
        <f>_xlfn.XLOOKUP(B1534,[1]Sheet1!$B:$B,[1]Sheet1!$S:$S,0)</f>
        <v>0</v>
      </c>
      <c r="Q1534" s="12">
        <f>_xlfn.XLOOKUP(B1534,[1]Sheet1!$B:$B,[1]Sheet1!$T:$T,0)</f>
        <v>0</v>
      </c>
      <c r="R1534" s="12">
        <f>_xlfn.XLOOKUP(B1534,[1]Sheet1!$B:$B,[1]Sheet1!$U:$U,0)</f>
        <v>0</v>
      </c>
      <c r="S1534" s="12">
        <f>_xlfn.XLOOKUP(B1534,[1]Sheet1!$B:$B,[1]Sheet1!$V:$V,0)</f>
        <v>0</v>
      </c>
      <c r="T1534" s="12">
        <f>_xlfn.XLOOKUP(B1534,[1]Sheet1!$B:$B,[1]Sheet1!$W:$W,0)</f>
        <v>0</v>
      </c>
      <c r="U1534" s="12">
        <f>_xlfn.XLOOKUP(B1534,[1]Sheet1!$B:$B,[1]Sheet1!$X:$X,0)</f>
        <v>0</v>
      </c>
      <c r="V1534" s="12">
        <f>_xlfn.XLOOKUP(B1534,[1]Sheet1!$B:$B,[1]Sheet1!$Y:$Y,0)</f>
        <v>0</v>
      </c>
      <c r="W1534" s="12">
        <f t="shared" si="49"/>
        <v>0</v>
      </c>
      <c r="X1534" s="6" t="s">
        <v>2458</v>
      </c>
      <c r="Y1534" s="6" t="s">
        <v>2321</v>
      </c>
      <c r="Z1534" s="6" t="s">
        <v>2456</v>
      </c>
      <c r="AA1534" s="6" t="s">
        <v>330</v>
      </c>
      <c r="AB1534" s="6" t="s">
        <v>36</v>
      </c>
      <c r="AC1534" s="6" t="s">
        <v>37</v>
      </c>
      <c r="AD1534" s="6" t="s">
        <v>2340</v>
      </c>
      <c r="AE1534" s="6" t="s">
        <v>2208</v>
      </c>
      <c r="AF1534" s="6" t="s">
        <v>2211</v>
      </c>
      <c r="AG1534" s="7">
        <v>3139497</v>
      </c>
      <c r="AH1534" s="11">
        <f>_xlfn.XLOOKUP(B1534,[1]Sheet1!$B:$B,[1]Sheet1!$AB:$AB,0)</f>
        <v>0</v>
      </c>
    </row>
    <row r="1535" spans="2:34" ht="16.8" thickTop="1" thickBot="1" x14ac:dyDescent="0.35">
      <c r="B1535" s="3" t="str">
        <f t="shared" si="48"/>
        <v>451012245170000374510760491326300105</v>
      </c>
      <c r="C1535" s="8" t="s">
        <v>2457</v>
      </c>
      <c r="D1535" s="8" t="s">
        <v>2453</v>
      </c>
      <c r="E1535" s="8" t="s">
        <v>2454</v>
      </c>
      <c r="F1535" s="8" t="s">
        <v>2459</v>
      </c>
      <c r="G1535" s="4" t="s">
        <v>2904</v>
      </c>
      <c r="H1535" s="4" t="s">
        <v>2923</v>
      </c>
      <c r="I1535" s="8" t="s">
        <v>2460</v>
      </c>
      <c r="J1535" s="8" t="s">
        <v>31</v>
      </c>
      <c r="K1535" s="12">
        <f>_xlfn.XLOOKUP(B1535,[1]Sheet1!$B:$B,[1]Sheet1!$N:$N,0)</f>
        <v>0</v>
      </c>
      <c r="L1535" s="12">
        <f>_xlfn.XLOOKUP(B1535,[1]Sheet1!$B:$B,[1]Sheet1!$O:$O,0)</f>
        <v>0</v>
      </c>
      <c r="M1535" s="12">
        <f>_xlfn.XLOOKUP(B1535,[1]Sheet1!$B:$B,[1]Sheet1!$P:$P,0)</f>
        <v>0</v>
      </c>
      <c r="N1535" s="12">
        <f>_xlfn.XLOOKUP(B1535,[1]Sheet1!$B:$B,[1]Sheet1!$Q:$Q,0)</f>
        <v>0</v>
      </c>
      <c r="O1535" s="12">
        <f>_xlfn.XLOOKUP(B1535,[1]Sheet1!$B:$B,[1]Sheet1!$R:$R,0)</f>
        <v>0</v>
      </c>
      <c r="P1535" s="12">
        <f>_xlfn.XLOOKUP(B1535,[1]Sheet1!$B:$B,[1]Sheet1!$S:$S,0)</f>
        <v>0</v>
      </c>
      <c r="Q1535" s="12">
        <f>_xlfn.XLOOKUP(B1535,[1]Sheet1!$B:$B,[1]Sheet1!$T:$T,0)</f>
        <v>0</v>
      </c>
      <c r="R1535" s="12">
        <f>_xlfn.XLOOKUP(B1535,[1]Sheet1!$B:$B,[1]Sheet1!$U:$U,0)</f>
        <v>0</v>
      </c>
      <c r="S1535" s="12">
        <f>_xlfn.XLOOKUP(B1535,[1]Sheet1!$B:$B,[1]Sheet1!$V:$V,0)</f>
        <v>0</v>
      </c>
      <c r="T1535" s="12">
        <f>_xlfn.XLOOKUP(B1535,[1]Sheet1!$B:$B,[1]Sheet1!$W:$W,0)</f>
        <v>0</v>
      </c>
      <c r="U1535" s="12">
        <f>_xlfn.XLOOKUP(B1535,[1]Sheet1!$B:$B,[1]Sheet1!$X:$X,0)</f>
        <v>0</v>
      </c>
      <c r="V1535" s="12">
        <f>_xlfn.XLOOKUP(B1535,[1]Sheet1!$B:$B,[1]Sheet1!$Y:$Y,0)</f>
        <v>0</v>
      </c>
      <c r="W1535" s="12">
        <f t="shared" si="49"/>
        <v>0</v>
      </c>
      <c r="X1535" s="8" t="s">
        <v>2461</v>
      </c>
      <c r="Y1535" s="8" t="s">
        <v>2321</v>
      </c>
      <c r="Z1535" s="8" t="s">
        <v>2456</v>
      </c>
      <c r="AA1535" s="8" t="s">
        <v>2460</v>
      </c>
      <c r="AB1535" s="8" t="s">
        <v>93</v>
      </c>
      <c r="AC1535" s="8" t="s">
        <v>94</v>
      </c>
      <c r="AD1535" s="8" t="s">
        <v>2272</v>
      </c>
      <c r="AE1535" s="8" t="s">
        <v>2208</v>
      </c>
      <c r="AF1535" s="8" t="s">
        <v>2211</v>
      </c>
      <c r="AG1535" s="9">
        <v>2899658</v>
      </c>
      <c r="AH1535" s="11">
        <f>_xlfn.XLOOKUP(B1535,[1]Sheet1!$B:$B,[1]Sheet1!$AB:$AB,0)</f>
        <v>0</v>
      </c>
    </row>
    <row r="1536" spans="2:34" ht="16.8" thickTop="1" thickBot="1" x14ac:dyDescent="0.35">
      <c r="B1536" s="3" t="str">
        <f t="shared" si="48"/>
        <v>451012245170000374510783491821300105</v>
      </c>
      <c r="C1536" s="6" t="s">
        <v>2457</v>
      </c>
      <c r="D1536" s="6" t="s">
        <v>2453</v>
      </c>
      <c r="E1536" s="6" t="s">
        <v>2454</v>
      </c>
      <c r="F1536" s="6" t="s">
        <v>2462</v>
      </c>
      <c r="G1536" s="4" t="s">
        <v>2905</v>
      </c>
      <c r="H1536" s="4" t="s">
        <v>2923</v>
      </c>
      <c r="I1536" s="6" t="s">
        <v>2463</v>
      </c>
      <c r="J1536" s="6" t="s">
        <v>31</v>
      </c>
      <c r="K1536" s="12">
        <f>_xlfn.XLOOKUP(B1536,[1]Sheet1!$B:$B,[1]Sheet1!$N:$N,0)</f>
        <v>0</v>
      </c>
      <c r="L1536" s="12">
        <f>_xlfn.XLOOKUP(B1536,[1]Sheet1!$B:$B,[1]Sheet1!$O:$O,0)</f>
        <v>0</v>
      </c>
      <c r="M1536" s="12">
        <f>_xlfn.XLOOKUP(B1536,[1]Sheet1!$B:$B,[1]Sheet1!$P:$P,0)</f>
        <v>0</v>
      </c>
      <c r="N1536" s="12">
        <f>_xlfn.XLOOKUP(B1536,[1]Sheet1!$B:$B,[1]Sheet1!$Q:$Q,0)</f>
        <v>0</v>
      </c>
      <c r="O1536" s="12">
        <f>_xlfn.XLOOKUP(B1536,[1]Sheet1!$B:$B,[1]Sheet1!$R:$R,0)</f>
        <v>0</v>
      </c>
      <c r="P1536" s="12">
        <f>_xlfn.XLOOKUP(B1536,[1]Sheet1!$B:$B,[1]Sheet1!$S:$S,0)</f>
        <v>0</v>
      </c>
      <c r="Q1536" s="12">
        <f>_xlfn.XLOOKUP(B1536,[1]Sheet1!$B:$B,[1]Sheet1!$T:$T,0)</f>
        <v>0</v>
      </c>
      <c r="R1536" s="12">
        <f>_xlfn.XLOOKUP(B1536,[1]Sheet1!$B:$B,[1]Sheet1!$U:$U,0)</f>
        <v>0</v>
      </c>
      <c r="S1536" s="12">
        <f>_xlfn.XLOOKUP(B1536,[1]Sheet1!$B:$B,[1]Sheet1!$V:$V,0)</f>
        <v>0</v>
      </c>
      <c r="T1536" s="12">
        <f>_xlfn.XLOOKUP(B1536,[1]Sheet1!$B:$B,[1]Sheet1!$W:$W,0)</f>
        <v>0</v>
      </c>
      <c r="U1536" s="12">
        <f>_xlfn.XLOOKUP(B1536,[1]Sheet1!$B:$B,[1]Sheet1!$X:$X,0)</f>
        <v>0</v>
      </c>
      <c r="V1536" s="12">
        <f>_xlfn.XLOOKUP(B1536,[1]Sheet1!$B:$B,[1]Sheet1!$Y:$Y,0)</f>
        <v>0</v>
      </c>
      <c r="W1536" s="12">
        <f t="shared" si="49"/>
        <v>0</v>
      </c>
      <c r="X1536" s="6" t="s">
        <v>2464</v>
      </c>
      <c r="Y1536" s="6" t="s">
        <v>2321</v>
      </c>
      <c r="Z1536" s="6" t="s">
        <v>2456</v>
      </c>
      <c r="AA1536" s="6" t="s">
        <v>2463</v>
      </c>
      <c r="AB1536" s="6" t="s">
        <v>93</v>
      </c>
      <c r="AC1536" s="6" t="s">
        <v>94</v>
      </c>
      <c r="AD1536" s="6" t="s">
        <v>2272</v>
      </c>
      <c r="AE1536" s="6" t="s">
        <v>2208</v>
      </c>
      <c r="AF1536" s="6" t="s">
        <v>2211</v>
      </c>
      <c r="AG1536" s="7">
        <v>185674</v>
      </c>
      <c r="AH1536" s="11">
        <f>_xlfn.XLOOKUP(B1536,[1]Sheet1!$B:$B,[1]Sheet1!$AB:$AB,0)</f>
        <v>0</v>
      </c>
    </row>
    <row r="1537" spans="2:34" ht="16.8" thickTop="1" thickBot="1" x14ac:dyDescent="0.35">
      <c r="B1537" s="3" t="str">
        <f t="shared" si="48"/>
        <v>451012245170000374510784431413200104</v>
      </c>
      <c r="C1537" s="8" t="s">
        <v>2457</v>
      </c>
      <c r="D1537" s="8" t="s">
        <v>2453</v>
      </c>
      <c r="E1537" s="8" t="s">
        <v>2454</v>
      </c>
      <c r="F1537" s="8" t="s">
        <v>2465</v>
      </c>
      <c r="G1537" s="4" t="s">
        <v>2906</v>
      </c>
      <c r="H1537" s="4" t="s">
        <v>2922</v>
      </c>
      <c r="I1537" s="8" t="s">
        <v>2466</v>
      </c>
      <c r="J1537" s="8" t="s">
        <v>31</v>
      </c>
      <c r="K1537" s="12">
        <f>_xlfn.XLOOKUP(B1537,[1]Sheet1!$B:$B,[1]Sheet1!$N:$N,0)</f>
        <v>0</v>
      </c>
      <c r="L1537" s="12">
        <f>_xlfn.XLOOKUP(B1537,[1]Sheet1!$B:$B,[1]Sheet1!$O:$O,0)</f>
        <v>0</v>
      </c>
      <c r="M1537" s="12">
        <f>_xlfn.XLOOKUP(B1537,[1]Sheet1!$B:$B,[1]Sheet1!$P:$P,0)</f>
        <v>0</v>
      </c>
      <c r="N1537" s="12">
        <f>_xlfn.XLOOKUP(B1537,[1]Sheet1!$B:$B,[1]Sheet1!$Q:$Q,0)</f>
        <v>0</v>
      </c>
      <c r="O1537" s="12">
        <f>_xlfn.XLOOKUP(B1537,[1]Sheet1!$B:$B,[1]Sheet1!$R:$R,0)</f>
        <v>0</v>
      </c>
      <c r="P1537" s="12">
        <f>_xlfn.XLOOKUP(B1537,[1]Sheet1!$B:$B,[1]Sheet1!$S:$S,0)</f>
        <v>0</v>
      </c>
      <c r="Q1537" s="12">
        <f>_xlfn.XLOOKUP(B1537,[1]Sheet1!$B:$B,[1]Sheet1!$T:$T,0)</f>
        <v>0</v>
      </c>
      <c r="R1537" s="12">
        <f>_xlfn.XLOOKUP(B1537,[1]Sheet1!$B:$B,[1]Sheet1!$U:$U,0)</f>
        <v>0</v>
      </c>
      <c r="S1537" s="12">
        <f>_xlfn.XLOOKUP(B1537,[1]Sheet1!$B:$B,[1]Sheet1!$V:$V,0)</f>
        <v>0</v>
      </c>
      <c r="T1537" s="12">
        <f>_xlfn.XLOOKUP(B1537,[1]Sheet1!$B:$B,[1]Sheet1!$W:$W,0)</f>
        <v>0</v>
      </c>
      <c r="U1537" s="12">
        <f>_xlfn.XLOOKUP(B1537,[1]Sheet1!$B:$B,[1]Sheet1!$X:$X,0)</f>
        <v>0</v>
      </c>
      <c r="V1537" s="12">
        <f>_xlfn.XLOOKUP(B1537,[1]Sheet1!$B:$B,[1]Sheet1!$Y:$Y,0)</f>
        <v>0</v>
      </c>
      <c r="W1537" s="12">
        <f t="shared" si="49"/>
        <v>0</v>
      </c>
      <c r="X1537" s="8" t="s">
        <v>2467</v>
      </c>
      <c r="Y1537" s="8" t="s">
        <v>2321</v>
      </c>
      <c r="Z1537" s="8" t="s">
        <v>2456</v>
      </c>
      <c r="AA1537" s="8" t="s">
        <v>2466</v>
      </c>
      <c r="AB1537" s="8" t="s">
        <v>36</v>
      </c>
      <c r="AC1537" s="8" t="s">
        <v>37</v>
      </c>
      <c r="AD1537" s="8" t="s">
        <v>2340</v>
      </c>
      <c r="AE1537" s="8" t="s">
        <v>2208</v>
      </c>
      <c r="AF1537" s="8" t="s">
        <v>2211</v>
      </c>
      <c r="AG1537" s="9">
        <v>750975</v>
      </c>
      <c r="AH1537" s="11">
        <f>_xlfn.XLOOKUP(B1537,[1]Sheet1!$B:$B,[1]Sheet1!$AB:$AB,0)</f>
        <v>0</v>
      </c>
    </row>
    <row r="1538" spans="2:34" ht="16.8" thickTop="1" thickBot="1" x14ac:dyDescent="0.35">
      <c r="B1538" s="3" t="str">
        <f t="shared" si="48"/>
        <v>451012245170000384510702432625200104</v>
      </c>
      <c r="C1538" s="6" t="s">
        <v>2457</v>
      </c>
      <c r="D1538" s="6" t="s">
        <v>2468</v>
      </c>
      <c r="E1538" s="6" t="s">
        <v>2469</v>
      </c>
      <c r="F1538" s="6" t="s">
        <v>2470</v>
      </c>
      <c r="G1538" s="4" t="s">
        <v>2907</v>
      </c>
      <c r="H1538" s="4" t="s">
        <v>2922</v>
      </c>
      <c r="I1538" s="6" t="s">
        <v>2471</v>
      </c>
      <c r="J1538" s="6" t="s">
        <v>31</v>
      </c>
      <c r="K1538" s="12">
        <f>_xlfn.XLOOKUP(B1538,[1]Sheet1!$B:$B,[1]Sheet1!$N:$N,0)</f>
        <v>0</v>
      </c>
      <c r="L1538" s="12">
        <f>_xlfn.XLOOKUP(B1538,[1]Sheet1!$B:$B,[1]Sheet1!$O:$O,0)</f>
        <v>0</v>
      </c>
      <c r="M1538" s="12">
        <f>_xlfn.XLOOKUP(B1538,[1]Sheet1!$B:$B,[1]Sheet1!$P:$P,0)</f>
        <v>0</v>
      </c>
      <c r="N1538" s="12">
        <f>_xlfn.XLOOKUP(B1538,[1]Sheet1!$B:$B,[1]Sheet1!$Q:$Q,0)</f>
        <v>0</v>
      </c>
      <c r="O1538" s="12">
        <f>_xlfn.XLOOKUP(B1538,[1]Sheet1!$B:$B,[1]Sheet1!$R:$R,0)</f>
        <v>0</v>
      </c>
      <c r="P1538" s="12">
        <f>_xlfn.XLOOKUP(B1538,[1]Sheet1!$B:$B,[1]Sheet1!$S:$S,0)</f>
        <v>0</v>
      </c>
      <c r="Q1538" s="12">
        <f>_xlfn.XLOOKUP(B1538,[1]Sheet1!$B:$B,[1]Sheet1!$T:$T,0)</f>
        <v>0</v>
      </c>
      <c r="R1538" s="12">
        <f>_xlfn.XLOOKUP(B1538,[1]Sheet1!$B:$B,[1]Sheet1!$U:$U,0)</f>
        <v>0</v>
      </c>
      <c r="S1538" s="12">
        <f>_xlfn.XLOOKUP(B1538,[1]Sheet1!$B:$B,[1]Sheet1!$V:$V,0)</f>
        <v>0</v>
      </c>
      <c r="T1538" s="12">
        <f>_xlfn.XLOOKUP(B1538,[1]Sheet1!$B:$B,[1]Sheet1!$W:$W,0)</f>
        <v>0</v>
      </c>
      <c r="U1538" s="12">
        <f>_xlfn.XLOOKUP(B1538,[1]Sheet1!$B:$B,[1]Sheet1!$X:$X,0)</f>
        <v>0</v>
      </c>
      <c r="V1538" s="12">
        <f>_xlfn.XLOOKUP(B1538,[1]Sheet1!$B:$B,[1]Sheet1!$Y:$Y,0)</f>
        <v>0</v>
      </c>
      <c r="W1538" s="12">
        <f t="shared" si="49"/>
        <v>0</v>
      </c>
      <c r="X1538" s="6" t="s">
        <v>2472</v>
      </c>
      <c r="Y1538" s="6" t="s">
        <v>2321</v>
      </c>
      <c r="Z1538" s="6" t="s">
        <v>2456</v>
      </c>
      <c r="AA1538" s="6" t="s">
        <v>2471</v>
      </c>
      <c r="AB1538" s="6" t="s">
        <v>36</v>
      </c>
      <c r="AC1538" s="6" t="s">
        <v>37</v>
      </c>
      <c r="AD1538" s="6" t="s">
        <v>2340</v>
      </c>
      <c r="AE1538" s="6" t="s">
        <v>2208</v>
      </c>
      <c r="AF1538" s="6" t="s">
        <v>2211</v>
      </c>
      <c r="AG1538" s="7">
        <v>370000</v>
      </c>
      <c r="AH1538" s="11">
        <f>_xlfn.XLOOKUP(B1538,[1]Sheet1!$B:$B,[1]Sheet1!$AB:$AB,0)</f>
        <v>0</v>
      </c>
    </row>
    <row r="1539" spans="2:34" ht="16.8" thickTop="1" thickBot="1" x14ac:dyDescent="0.35">
      <c r="B1539" s="3" t="str">
        <f t="shared" si="48"/>
        <v>451012245170000384510719422718200104</v>
      </c>
      <c r="C1539" s="8" t="s">
        <v>2457</v>
      </c>
      <c r="D1539" s="8" t="s">
        <v>2468</v>
      </c>
      <c r="E1539" s="8" t="s">
        <v>2469</v>
      </c>
      <c r="F1539" s="8" t="s">
        <v>2349</v>
      </c>
      <c r="G1539" s="4" t="s">
        <v>2891</v>
      </c>
      <c r="H1539" s="4" t="s">
        <v>2922</v>
      </c>
      <c r="I1539" s="8" t="s">
        <v>2350</v>
      </c>
      <c r="J1539" s="8" t="s">
        <v>31</v>
      </c>
      <c r="K1539" s="12">
        <f>_xlfn.XLOOKUP(B1539,[1]Sheet1!$B:$B,[1]Sheet1!$N:$N,0)</f>
        <v>0</v>
      </c>
      <c r="L1539" s="12">
        <f>_xlfn.XLOOKUP(B1539,[1]Sheet1!$B:$B,[1]Sheet1!$O:$O,0)</f>
        <v>0</v>
      </c>
      <c r="M1539" s="12">
        <f>_xlfn.XLOOKUP(B1539,[1]Sheet1!$B:$B,[1]Sheet1!$P:$P,0)</f>
        <v>0</v>
      </c>
      <c r="N1539" s="12">
        <f>_xlfn.XLOOKUP(B1539,[1]Sheet1!$B:$B,[1]Sheet1!$Q:$Q,0)</f>
        <v>0</v>
      </c>
      <c r="O1539" s="12">
        <f>_xlfn.XLOOKUP(B1539,[1]Sheet1!$B:$B,[1]Sheet1!$R:$R,0)</f>
        <v>0</v>
      </c>
      <c r="P1539" s="12">
        <f>_xlfn.XLOOKUP(B1539,[1]Sheet1!$B:$B,[1]Sheet1!$S:$S,0)</f>
        <v>0</v>
      </c>
      <c r="Q1539" s="12">
        <f>_xlfn.XLOOKUP(B1539,[1]Sheet1!$B:$B,[1]Sheet1!$T:$T,0)</f>
        <v>0</v>
      </c>
      <c r="R1539" s="12">
        <f>_xlfn.XLOOKUP(B1539,[1]Sheet1!$B:$B,[1]Sheet1!$U:$U,0)</f>
        <v>0</v>
      </c>
      <c r="S1539" s="12">
        <f>_xlfn.XLOOKUP(B1539,[1]Sheet1!$B:$B,[1]Sheet1!$V:$V,0)</f>
        <v>0</v>
      </c>
      <c r="T1539" s="12">
        <f>_xlfn.XLOOKUP(B1539,[1]Sheet1!$B:$B,[1]Sheet1!$W:$W,0)</f>
        <v>0</v>
      </c>
      <c r="U1539" s="12">
        <f>_xlfn.XLOOKUP(B1539,[1]Sheet1!$B:$B,[1]Sheet1!$X:$X,0)</f>
        <v>0</v>
      </c>
      <c r="V1539" s="12">
        <f>_xlfn.XLOOKUP(B1539,[1]Sheet1!$B:$B,[1]Sheet1!$Y:$Y,0)</f>
        <v>0</v>
      </c>
      <c r="W1539" s="12">
        <f t="shared" si="49"/>
        <v>0</v>
      </c>
      <c r="X1539" s="8" t="s">
        <v>2473</v>
      </c>
      <c r="Y1539" s="8" t="s">
        <v>2321</v>
      </c>
      <c r="Z1539" s="8" t="s">
        <v>2456</v>
      </c>
      <c r="AA1539" s="8" t="s">
        <v>2350</v>
      </c>
      <c r="AB1539" s="8" t="s">
        <v>36</v>
      </c>
      <c r="AC1539" s="8" t="s">
        <v>37</v>
      </c>
      <c r="AD1539" s="8" t="s">
        <v>2340</v>
      </c>
      <c r="AE1539" s="8" t="s">
        <v>2208</v>
      </c>
      <c r="AF1539" s="8" t="s">
        <v>2211</v>
      </c>
      <c r="AG1539" s="9">
        <v>2560000</v>
      </c>
      <c r="AH1539" s="11">
        <f>_xlfn.XLOOKUP(B1539,[1]Sheet1!$B:$B,[1]Sheet1!$AB:$AB,0)</f>
        <v>0</v>
      </c>
    </row>
    <row r="1540" spans="2:34" ht="16.8" thickTop="1" thickBot="1" x14ac:dyDescent="0.35">
      <c r="B1540" s="3" t="str">
        <f t="shared" ref="B1540:B1603" si="50">C1540&amp;D1540&amp;F1540&amp;G1540&amp;H1540</f>
        <v>451012245170000384510723424521200104</v>
      </c>
      <c r="C1540" s="6" t="s">
        <v>2457</v>
      </c>
      <c r="D1540" s="6" t="s">
        <v>2468</v>
      </c>
      <c r="E1540" s="6" t="s">
        <v>2469</v>
      </c>
      <c r="F1540" s="6" t="s">
        <v>2218</v>
      </c>
      <c r="G1540" s="4" t="s">
        <v>2804</v>
      </c>
      <c r="H1540" s="4" t="s">
        <v>2922</v>
      </c>
      <c r="I1540" s="6" t="s">
        <v>53</v>
      </c>
      <c r="J1540" s="6" t="s">
        <v>31</v>
      </c>
      <c r="K1540" s="12">
        <f>_xlfn.XLOOKUP(B1540,[1]Sheet1!$B:$B,[1]Sheet1!$N:$N,0)</f>
        <v>0</v>
      </c>
      <c r="L1540" s="12">
        <f>_xlfn.XLOOKUP(B1540,[1]Sheet1!$B:$B,[1]Sheet1!$O:$O,0)</f>
        <v>0</v>
      </c>
      <c r="M1540" s="12">
        <f>_xlfn.XLOOKUP(B1540,[1]Sheet1!$B:$B,[1]Sheet1!$P:$P,0)</f>
        <v>0</v>
      </c>
      <c r="N1540" s="12">
        <f>_xlfn.XLOOKUP(B1540,[1]Sheet1!$B:$B,[1]Sheet1!$Q:$Q,0)</f>
        <v>0</v>
      </c>
      <c r="O1540" s="12">
        <f>_xlfn.XLOOKUP(B1540,[1]Sheet1!$B:$B,[1]Sheet1!$R:$R,0)</f>
        <v>0</v>
      </c>
      <c r="P1540" s="12">
        <f>_xlfn.XLOOKUP(B1540,[1]Sheet1!$B:$B,[1]Sheet1!$S:$S,0)</f>
        <v>0</v>
      </c>
      <c r="Q1540" s="12">
        <f>_xlfn.XLOOKUP(B1540,[1]Sheet1!$B:$B,[1]Sheet1!$T:$T,0)</f>
        <v>0</v>
      </c>
      <c r="R1540" s="12">
        <f>_xlfn.XLOOKUP(B1540,[1]Sheet1!$B:$B,[1]Sheet1!$U:$U,0)</f>
        <v>0</v>
      </c>
      <c r="S1540" s="12">
        <f>_xlfn.XLOOKUP(B1540,[1]Sheet1!$B:$B,[1]Sheet1!$V:$V,0)</f>
        <v>0</v>
      </c>
      <c r="T1540" s="12">
        <f>_xlfn.XLOOKUP(B1540,[1]Sheet1!$B:$B,[1]Sheet1!$W:$W,0)</f>
        <v>0</v>
      </c>
      <c r="U1540" s="12">
        <f>_xlfn.XLOOKUP(B1540,[1]Sheet1!$B:$B,[1]Sheet1!$X:$X,0)</f>
        <v>0</v>
      </c>
      <c r="V1540" s="12">
        <f>_xlfn.XLOOKUP(B1540,[1]Sheet1!$B:$B,[1]Sheet1!$Y:$Y,0)</f>
        <v>0</v>
      </c>
      <c r="W1540" s="12">
        <f t="shared" ref="W1540:W1603" si="51">SUM(K1540:V1540)</f>
        <v>0</v>
      </c>
      <c r="X1540" s="6" t="s">
        <v>2455</v>
      </c>
      <c r="Y1540" s="6" t="s">
        <v>2321</v>
      </c>
      <c r="Z1540" s="6" t="s">
        <v>2456</v>
      </c>
      <c r="AA1540" s="6" t="s">
        <v>53</v>
      </c>
      <c r="AB1540" s="6" t="s">
        <v>36</v>
      </c>
      <c r="AC1540" s="6" t="s">
        <v>37</v>
      </c>
      <c r="AD1540" s="6" t="s">
        <v>2340</v>
      </c>
      <c r="AE1540" s="6" t="s">
        <v>2208</v>
      </c>
      <c r="AF1540" s="6" t="s">
        <v>2211</v>
      </c>
      <c r="AG1540" s="7">
        <v>642000</v>
      </c>
      <c r="AH1540" s="11">
        <f>_xlfn.XLOOKUP(B1540,[1]Sheet1!$B:$B,[1]Sheet1!$AB:$AB,0)</f>
        <v>0</v>
      </c>
    </row>
    <row r="1541" spans="2:34" ht="16.8" thickTop="1" thickBot="1" x14ac:dyDescent="0.35">
      <c r="B1541" s="3" t="str">
        <f t="shared" si="50"/>
        <v>451012245170000384510747491811300105</v>
      </c>
      <c r="C1541" s="8" t="s">
        <v>2457</v>
      </c>
      <c r="D1541" s="8" t="s">
        <v>2468</v>
      </c>
      <c r="E1541" s="8" t="s">
        <v>2469</v>
      </c>
      <c r="F1541" s="8" t="s">
        <v>2474</v>
      </c>
      <c r="G1541" s="4" t="s">
        <v>2825</v>
      </c>
      <c r="H1541" s="4" t="s">
        <v>2923</v>
      </c>
      <c r="I1541" s="8" t="s">
        <v>226</v>
      </c>
      <c r="J1541" s="8" t="s">
        <v>31</v>
      </c>
      <c r="K1541" s="12">
        <f>_xlfn.XLOOKUP(B1541,[1]Sheet1!$B:$B,[1]Sheet1!$N:$N,0)</f>
        <v>0</v>
      </c>
      <c r="L1541" s="12">
        <f>_xlfn.XLOOKUP(B1541,[1]Sheet1!$B:$B,[1]Sheet1!$O:$O,0)</f>
        <v>0</v>
      </c>
      <c r="M1541" s="12">
        <f>_xlfn.XLOOKUP(B1541,[1]Sheet1!$B:$B,[1]Sheet1!$P:$P,0)</f>
        <v>0</v>
      </c>
      <c r="N1541" s="12">
        <f>_xlfn.XLOOKUP(B1541,[1]Sheet1!$B:$B,[1]Sheet1!$Q:$Q,0)</f>
        <v>0</v>
      </c>
      <c r="O1541" s="12">
        <f>_xlfn.XLOOKUP(B1541,[1]Sheet1!$B:$B,[1]Sheet1!$R:$R,0)</f>
        <v>0</v>
      </c>
      <c r="P1541" s="12">
        <f>_xlfn.XLOOKUP(B1541,[1]Sheet1!$B:$B,[1]Sheet1!$S:$S,0)</f>
        <v>0</v>
      </c>
      <c r="Q1541" s="12">
        <f>_xlfn.XLOOKUP(B1541,[1]Sheet1!$B:$B,[1]Sheet1!$T:$T,0)</f>
        <v>0</v>
      </c>
      <c r="R1541" s="12">
        <f>_xlfn.XLOOKUP(B1541,[1]Sheet1!$B:$B,[1]Sheet1!$U:$U,0)</f>
        <v>0</v>
      </c>
      <c r="S1541" s="12">
        <f>_xlfn.XLOOKUP(B1541,[1]Sheet1!$B:$B,[1]Sheet1!$V:$V,0)</f>
        <v>0</v>
      </c>
      <c r="T1541" s="12">
        <f>_xlfn.XLOOKUP(B1541,[1]Sheet1!$B:$B,[1]Sheet1!$W:$W,0)</f>
        <v>0</v>
      </c>
      <c r="U1541" s="12">
        <f>_xlfn.XLOOKUP(B1541,[1]Sheet1!$B:$B,[1]Sheet1!$X:$X,0)</f>
        <v>0</v>
      </c>
      <c r="V1541" s="12">
        <f>_xlfn.XLOOKUP(B1541,[1]Sheet1!$B:$B,[1]Sheet1!$Y:$Y,0)</f>
        <v>0</v>
      </c>
      <c r="W1541" s="12">
        <f t="shared" si="51"/>
        <v>0</v>
      </c>
      <c r="X1541" s="8" t="s">
        <v>2475</v>
      </c>
      <c r="Y1541" s="8" t="s">
        <v>2321</v>
      </c>
      <c r="Z1541" s="8" t="s">
        <v>2456</v>
      </c>
      <c r="AA1541" s="8" t="s">
        <v>228</v>
      </c>
      <c r="AB1541" s="8" t="s">
        <v>93</v>
      </c>
      <c r="AC1541" s="8" t="s">
        <v>94</v>
      </c>
      <c r="AD1541" s="8" t="s">
        <v>2333</v>
      </c>
      <c r="AE1541" s="8" t="s">
        <v>2208</v>
      </c>
      <c r="AF1541" s="8" t="s">
        <v>2211</v>
      </c>
      <c r="AG1541" s="9">
        <v>7332756.0699999901</v>
      </c>
      <c r="AH1541" s="11">
        <f>_xlfn.XLOOKUP(B1541,[1]Sheet1!$B:$B,[1]Sheet1!$AB:$AB,0)</f>
        <v>0</v>
      </c>
    </row>
    <row r="1542" spans="2:34" ht="16.8" thickTop="1" thickBot="1" x14ac:dyDescent="0.35">
      <c r="B1542" s="3" t="str">
        <f t="shared" si="50"/>
        <v>451012245170000394510702432625200104</v>
      </c>
      <c r="C1542" s="6" t="s">
        <v>2457</v>
      </c>
      <c r="D1542" s="6" t="s">
        <v>2476</v>
      </c>
      <c r="E1542" s="6" t="s">
        <v>2477</v>
      </c>
      <c r="F1542" s="6" t="s">
        <v>2470</v>
      </c>
      <c r="G1542" s="4" t="s">
        <v>2907</v>
      </c>
      <c r="H1542" s="4" t="s">
        <v>2922</v>
      </c>
      <c r="I1542" s="6" t="s">
        <v>2471</v>
      </c>
      <c r="J1542" s="6" t="s">
        <v>31</v>
      </c>
      <c r="K1542" s="12">
        <f>_xlfn.XLOOKUP(B1542,[1]Sheet1!$B:$B,[1]Sheet1!$N:$N,0)</f>
        <v>0</v>
      </c>
      <c r="L1542" s="12">
        <f>_xlfn.XLOOKUP(B1542,[1]Sheet1!$B:$B,[1]Sheet1!$O:$O,0)</f>
        <v>0</v>
      </c>
      <c r="M1542" s="12">
        <f>_xlfn.XLOOKUP(B1542,[1]Sheet1!$B:$B,[1]Sheet1!$P:$P,0)</f>
        <v>0</v>
      </c>
      <c r="N1542" s="12">
        <f>_xlfn.XLOOKUP(B1542,[1]Sheet1!$B:$B,[1]Sheet1!$Q:$Q,0)</f>
        <v>0</v>
      </c>
      <c r="O1542" s="12">
        <f>_xlfn.XLOOKUP(B1542,[1]Sheet1!$B:$B,[1]Sheet1!$R:$R,0)</f>
        <v>0</v>
      </c>
      <c r="P1542" s="12">
        <f>_xlfn.XLOOKUP(B1542,[1]Sheet1!$B:$B,[1]Sheet1!$S:$S,0)</f>
        <v>0</v>
      </c>
      <c r="Q1542" s="12">
        <f>_xlfn.XLOOKUP(B1542,[1]Sheet1!$B:$B,[1]Sheet1!$T:$T,0)</f>
        <v>0</v>
      </c>
      <c r="R1542" s="12">
        <f>_xlfn.XLOOKUP(B1542,[1]Sheet1!$B:$B,[1]Sheet1!$U:$U,0)</f>
        <v>0</v>
      </c>
      <c r="S1542" s="12">
        <f>_xlfn.XLOOKUP(B1542,[1]Sheet1!$B:$B,[1]Sheet1!$V:$V,0)</f>
        <v>0</v>
      </c>
      <c r="T1542" s="12">
        <f>_xlfn.XLOOKUP(B1542,[1]Sheet1!$B:$B,[1]Sheet1!$W:$W,0)</f>
        <v>0</v>
      </c>
      <c r="U1542" s="12">
        <f>_xlfn.XLOOKUP(B1542,[1]Sheet1!$B:$B,[1]Sheet1!$X:$X,0)</f>
        <v>0</v>
      </c>
      <c r="V1542" s="12">
        <f>_xlfn.XLOOKUP(B1542,[1]Sheet1!$B:$B,[1]Sheet1!$Y:$Y,0)</f>
        <v>0</v>
      </c>
      <c r="W1542" s="12">
        <f t="shared" si="51"/>
        <v>0</v>
      </c>
      <c r="X1542" s="6" t="s">
        <v>2472</v>
      </c>
      <c r="Y1542" s="6" t="s">
        <v>2321</v>
      </c>
      <c r="Z1542" s="6" t="s">
        <v>2456</v>
      </c>
      <c r="AA1542" s="6" t="s">
        <v>2471</v>
      </c>
      <c r="AB1542" s="6" t="s">
        <v>36</v>
      </c>
      <c r="AC1542" s="6" t="s">
        <v>37</v>
      </c>
      <c r="AD1542" s="6" t="s">
        <v>2340</v>
      </c>
      <c r="AE1542" s="6" t="s">
        <v>2208</v>
      </c>
      <c r="AF1542" s="6" t="s">
        <v>2211</v>
      </c>
      <c r="AG1542" s="7">
        <v>17331115</v>
      </c>
      <c r="AH1542" s="11">
        <f>_xlfn.XLOOKUP(B1542,[1]Sheet1!$B:$B,[1]Sheet1!$AB:$AB,0)</f>
        <v>0</v>
      </c>
    </row>
    <row r="1543" spans="2:34" ht="16.8" thickTop="1" thickBot="1" x14ac:dyDescent="0.35">
      <c r="B1543" s="3" t="str">
        <f t="shared" si="50"/>
        <v>451012245170000394510719422718200104</v>
      </c>
      <c r="C1543" s="8" t="s">
        <v>2457</v>
      </c>
      <c r="D1543" s="8" t="s">
        <v>2476</v>
      </c>
      <c r="E1543" s="8" t="s">
        <v>2477</v>
      </c>
      <c r="F1543" s="8" t="s">
        <v>2349</v>
      </c>
      <c r="G1543" s="4" t="s">
        <v>2891</v>
      </c>
      <c r="H1543" s="4" t="s">
        <v>2922</v>
      </c>
      <c r="I1543" s="8" t="s">
        <v>2350</v>
      </c>
      <c r="J1543" s="8" t="s">
        <v>31</v>
      </c>
      <c r="K1543" s="12">
        <f>_xlfn.XLOOKUP(B1543,[1]Sheet1!$B:$B,[1]Sheet1!$N:$N,0)</f>
        <v>0</v>
      </c>
      <c r="L1543" s="12">
        <f>_xlfn.XLOOKUP(B1543,[1]Sheet1!$B:$B,[1]Sheet1!$O:$O,0)</f>
        <v>0</v>
      </c>
      <c r="M1543" s="12">
        <f>_xlfn.XLOOKUP(B1543,[1]Sheet1!$B:$B,[1]Sheet1!$P:$P,0)</f>
        <v>0</v>
      </c>
      <c r="N1543" s="12">
        <f>_xlfn.XLOOKUP(B1543,[1]Sheet1!$B:$B,[1]Sheet1!$Q:$Q,0)</f>
        <v>0</v>
      </c>
      <c r="O1543" s="12">
        <f>_xlfn.XLOOKUP(B1543,[1]Sheet1!$B:$B,[1]Sheet1!$R:$R,0)</f>
        <v>0</v>
      </c>
      <c r="P1543" s="12">
        <f>_xlfn.XLOOKUP(B1543,[1]Sheet1!$B:$B,[1]Sheet1!$S:$S,0)</f>
        <v>0</v>
      </c>
      <c r="Q1543" s="12">
        <f>_xlfn.XLOOKUP(B1543,[1]Sheet1!$B:$B,[1]Sheet1!$T:$T,0)</f>
        <v>0</v>
      </c>
      <c r="R1543" s="12">
        <f>_xlfn.XLOOKUP(B1543,[1]Sheet1!$B:$B,[1]Sheet1!$U:$U,0)</f>
        <v>0</v>
      </c>
      <c r="S1543" s="12">
        <f>_xlfn.XLOOKUP(B1543,[1]Sheet1!$B:$B,[1]Sheet1!$V:$V,0)</f>
        <v>0</v>
      </c>
      <c r="T1543" s="12">
        <f>_xlfn.XLOOKUP(B1543,[1]Sheet1!$B:$B,[1]Sheet1!$W:$W,0)</f>
        <v>0</v>
      </c>
      <c r="U1543" s="12">
        <f>_xlfn.XLOOKUP(B1543,[1]Sheet1!$B:$B,[1]Sheet1!$X:$X,0)</f>
        <v>0</v>
      </c>
      <c r="V1543" s="12">
        <f>_xlfn.XLOOKUP(B1543,[1]Sheet1!$B:$B,[1]Sheet1!$Y:$Y,0)</f>
        <v>0</v>
      </c>
      <c r="W1543" s="12">
        <f t="shared" si="51"/>
        <v>0</v>
      </c>
      <c r="X1543" s="8" t="s">
        <v>2473</v>
      </c>
      <c r="Y1543" s="8" t="s">
        <v>2321</v>
      </c>
      <c r="Z1543" s="8" t="s">
        <v>2456</v>
      </c>
      <c r="AA1543" s="8" t="s">
        <v>2350</v>
      </c>
      <c r="AB1543" s="8" t="s">
        <v>36</v>
      </c>
      <c r="AC1543" s="8" t="s">
        <v>37</v>
      </c>
      <c r="AD1543" s="8" t="s">
        <v>2340</v>
      </c>
      <c r="AE1543" s="8" t="s">
        <v>2208</v>
      </c>
      <c r="AF1543" s="8" t="s">
        <v>2211</v>
      </c>
      <c r="AG1543" s="9">
        <v>1430820.5</v>
      </c>
      <c r="AH1543" s="11">
        <f>_xlfn.XLOOKUP(B1543,[1]Sheet1!$B:$B,[1]Sheet1!$AB:$AB,0)</f>
        <v>0</v>
      </c>
    </row>
    <row r="1544" spans="2:34" ht="16.8" thickTop="1" thickBot="1" x14ac:dyDescent="0.35">
      <c r="B1544" s="3" t="str">
        <f t="shared" si="50"/>
        <v>451012245170000394510719422749200104</v>
      </c>
      <c r="C1544" s="6" t="s">
        <v>2457</v>
      </c>
      <c r="D1544" s="6" t="s">
        <v>2476</v>
      </c>
      <c r="E1544" s="6" t="s">
        <v>2477</v>
      </c>
      <c r="F1544" s="6" t="s">
        <v>2349</v>
      </c>
      <c r="G1544" s="4" t="s">
        <v>2842</v>
      </c>
      <c r="H1544" s="4" t="s">
        <v>2922</v>
      </c>
      <c r="I1544" s="6" t="s">
        <v>455</v>
      </c>
      <c r="J1544" s="6" t="s">
        <v>31</v>
      </c>
      <c r="K1544" s="12">
        <f>_xlfn.XLOOKUP(B1544,[1]Sheet1!$B:$B,[1]Sheet1!$N:$N,0)</f>
        <v>0</v>
      </c>
      <c r="L1544" s="12">
        <f>_xlfn.XLOOKUP(B1544,[1]Sheet1!$B:$B,[1]Sheet1!$O:$O,0)</f>
        <v>0</v>
      </c>
      <c r="M1544" s="12">
        <f>_xlfn.XLOOKUP(B1544,[1]Sheet1!$B:$B,[1]Sheet1!$P:$P,0)</f>
        <v>0</v>
      </c>
      <c r="N1544" s="12">
        <f>_xlfn.XLOOKUP(B1544,[1]Sheet1!$B:$B,[1]Sheet1!$Q:$Q,0)</f>
        <v>0</v>
      </c>
      <c r="O1544" s="12">
        <f>_xlfn.XLOOKUP(B1544,[1]Sheet1!$B:$B,[1]Sheet1!$R:$R,0)</f>
        <v>0</v>
      </c>
      <c r="P1544" s="12">
        <f>_xlfn.XLOOKUP(B1544,[1]Sheet1!$B:$B,[1]Sheet1!$S:$S,0)</f>
        <v>0</v>
      </c>
      <c r="Q1544" s="12">
        <f>_xlfn.XLOOKUP(B1544,[1]Sheet1!$B:$B,[1]Sheet1!$T:$T,0)</f>
        <v>0</v>
      </c>
      <c r="R1544" s="12">
        <f>_xlfn.XLOOKUP(B1544,[1]Sheet1!$B:$B,[1]Sheet1!$U:$U,0)</f>
        <v>0</v>
      </c>
      <c r="S1544" s="12">
        <f>_xlfn.XLOOKUP(B1544,[1]Sheet1!$B:$B,[1]Sheet1!$V:$V,0)</f>
        <v>0</v>
      </c>
      <c r="T1544" s="12">
        <f>_xlfn.XLOOKUP(B1544,[1]Sheet1!$B:$B,[1]Sheet1!$W:$W,0)</f>
        <v>0</v>
      </c>
      <c r="U1544" s="12">
        <f>_xlfn.XLOOKUP(B1544,[1]Sheet1!$B:$B,[1]Sheet1!$X:$X,0)</f>
        <v>0</v>
      </c>
      <c r="V1544" s="12">
        <f>_xlfn.XLOOKUP(B1544,[1]Sheet1!$B:$B,[1]Sheet1!$Y:$Y,0)</f>
        <v>0</v>
      </c>
      <c r="W1544" s="12">
        <f t="shared" si="51"/>
        <v>0</v>
      </c>
      <c r="X1544" s="6" t="s">
        <v>2478</v>
      </c>
      <c r="Y1544" s="6" t="s">
        <v>2321</v>
      </c>
      <c r="Z1544" s="6" t="s">
        <v>2456</v>
      </c>
      <c r="AA1544" s="6" t="s">
        <v>455</v>
      </c>
      <c r="AB1544" s="6" t="s">
        <v>36</v>
      </c>
      <c r="AC1544" s="6" t="s">
        <v>37</v>
      </c>
      <c r="AD1544" s="6" t="s">
        <v>2340</v>
      </c>
      <c r="AE1544" s="6" t="s">
        <v>2208</v>
      </c>
      <c r="AF1544" s="6" t="s">
        <v>2211</v>
      </c>
      <c r="AG1544" s="7">
        <v>6199516</v>
      </c>
      <c r="AH1544" s="11">
        <f>_xlfn.XLOOKUP(B1544,[1]Sheet1!$B:$B,[1]Sheet1!$AB:$AB,0)</f>
        <v>0</v>
      </c>
    </row>
    <row r="1545" spans="2:34" ht="16.8" thickTop="1" thickBot="1" x14ac:dyDescent="0.35">
      <c r="B1545" s="3" t="str">
        <f t="shared" si="50"/>
        <v>451012245170000394510723424521200104</v>
      </c>
      <c r="C1545" s="8" t="s">
        <v>2457</v>
      </c>
      <c r="D1545" s="8" t="s">
        <v>2476</v>
      </c>
      <c r="E1545" s="8" t="s">
        <v>2477</v>
      </c>
      <c r="F1545" s="8" t="s">
        <v>2218</v>
      </c>
      <c r="G1545" s="4" t="s">
        <v>2804</v>
      </c>
      <c r="H1545" s="4" t="s">
        <v>2922</v>
      </c>
      <c r="I1545" s="8" t="s">
        <v>53</v>
      </c>
      <c r="J1545" s="8" t="s">
        <v>31</v>
      </c>
      <c r="K1545" s="12">
        <f>_xlfn.XLOOKUP(B1545,[1]Sheet1!$B:$B,[1]Sheet1!$N:$N,0)</f>
        <v>0</v>
      </c>
      <c r="L1545" s="12">
        <f>_xlfn.XLOOKUP(B1545,[1]Sheet1!$B:$B,[1]Sheet1!$O:$O,0)</f>
        <v>0</v>
      </c>
      <c r="M1545" s="12">
        <f>_xlfn.XLOOKUP(B1545,[1]Sheet1!$B:$B,[1]Sheet1!$P:$P,0)</f>
        <v>0</v>
      </c>
      <c r="N1545" s="12">
        <f>_xlfn.XLOOKUP(B1545,[1]Sheet1!$B:$B,[1]Sheet1!$Q:$Q,0)</f>
        <v>0</v>
      </c>
      <c r="O1545" s="12">
        <f>_xlfn.XLOOKUP(B1545,[1]Sheet1!$B:$B,[1]Sheet1!$R:$R,0)</f>
        <v>0</v>
      </c>
      <c r="P1545" s="12">
        <f>_xlfn.XLOOKUP(B1545,[1]Sheet1!$B:$B,[1]Sheet1!$S:$S,0)</f>
        <v>0</v>
      </c>
      <c r="Q1545" s="12">
        <f>_xlfn.XLOOKUP(B1545,[1]Sheet1!$B:$B,[1]Sheet1!$T:$T,0)</f>
        <v>0</v>
      </c>
      <c r="R1545" s="12">
        <f>_xlfn.XLOOKUP(B1545,[1]Sheet1!$B:$B,[1]Sheet1!$U:$U,0)</f>
        <v>0</v>
      </c>
      <c r="S1545" s="12">
        <f>_xlfn.XLOOKUP(B1545,[1]Sheet1!$B:$B,[1]Sheet1!$V:$V,0)</f>
        <v>0</v>
      </c>
      <c r="T1545" s="12">
        <f>_xlfn.XLOOKUP(B1545,[1]Sheet1!$B:$B,[1]Sheet1!$W:$W,0)</f>
        <v>0</v>
      </c>
      <c r="U1545" s="12">
        <f>_xlfn.XLOOKUP(B1545,[1]Sheet1!$B:$B,[1]Sheet1!$X:$X,0)</f>
        <v>0</v>
      </c>
      <c r="V1545" s="12">
        <f>_xlfn.XLOOKUP(B1545,[1]Sheet1!$B:$B,[1]Sheet1!$Y:$Y,0)</f>
        <v>0</v>
      </c>
      <c r="W1545" s="12">
        <f t="shared" si="51"/>
        <v>0</v>
      </c>
      <c r="X1545" s="8" t="s">
        <v>2455</v>
      </c>
      <c r="Y1545" s="8" t="s">
        <v>2321</v>
      </c>
      <c r="Z1545" s="8" t="s">
        <v>2456</v>
      </c>
      <c r="AA1545" s="8" t="s">
        <v>53</v>
      </c>
      <c r="AB1545" s="8" t="s">
        <v>36</v>
      </c>
      <c r="AC1545" s="8" t="s">
        <v>37</v>
      </c>
      <c r="AD1545" s="8" t="s">
        <v>2340</v>
      </c>
      <c r="AE1545" s="8" t="s">
        <v>2208</v>
      </c>
      <c r="AF1545" s="8" t="s">
        <v>2211</v>
      </c>
      <c r="AG1545" s="9">
        <v>1047500</v>
      </c>
      <c r="AH1545" s="11">
        <f>_xlfn.XLOOKUP(B1545,[1]Sheet1!$B:$B,[1]Sheet1!$AB:$AB,0)</f>
        <v>0</v>
      </c>
    </row>
    <row r="1546" spans="2:34" ht="16.8" thickTop="1" thickBot="1" x14ac:dyDescent="0.35">
      <c r="B1546" s="3" t="str">
        <f t="shared" si="50"/>
        <v>451012245170000394510726423821200104</v>
      </c>
      <c r="C1546" s="6" t="s">
        <v>2457</v>
      </c>
      <c r="D1546" s="6" t="s">
        <v>2476</v>
      </c>
      <c r="E1546" s="6" t="s">
        <v>2477</v>
      </c>
      <c r="F1546" s="6" t="s">
        <v>2247</v>
      </c>
      <c r="G1546" s="4" t="s">
        <v>2805</v>
      </c>
      <c r="H1546" s="4" t="s">
        <v>2922</v>
      </c>
      <c r="I1546" s="6" t="s">
        <v>55</v>
      </c>
      <c r="J1546" s="6" t="s">
        <v>31</v>
      </c>
      <c r="K1546" s="12">
        <f>_xlfn.XLOOKUP(B1546,[1]Sheet1!$B:$B,[1]Sheet1!$N:$N,0)</f>
        <v>0</v>
      </c>
      <c r="L1546" s="12">
        <f>_xlfn.XLOOKUP(B1546,[1]Sheet1!$B:$B,[1]Sheet1!$O:$O,0)</f>
        <v>0</v>
      </c>
      <c r="M1546" s="12">
        <f>_xlfn.XLOOKUP(B1546,[1]Sheet1!$B:$B,[1]Sheet1!$P:$P,0)</f>
        <v>0</v>
      </c>
      <c r="N1546" s="12">
        <f>_xlfn.XLOOKUP(B1546,[1]Sheet1!$B:$B,[1]Sheet1!$Q:$Q,0)</f>
        <v>0</v>
      </c>
      <c r="O1546" s="12">
        <f>_xlfn.XLOOKUP(B1546,[1]Sheet1!$B:$B,[1]Sheet1!$R:$R,0)</f>
        <v>0</v>
      </c>
      <c r="P1546" s="12">
        <f>_xlfn.XLOOKUP(B1546,[1]Sheet1!$B:$B,[1]Sheet1!$S:$S,0)</f>
        <v>0</v>
      </c>
      <c r="Q1546" s="12">
        <f>_xlfn.XLOOKUP(B1546,[1]Sheet1!$B:$B,[1]Sheet1!$T:$T,0)</f>
        <v>0</v>
      </c>
      <c r="R1546" s="12">
        <f>_xlfn.XLOOKUP(B1546,[1]Sheet1!$B:$B,[1]Sheet1!$U:$U,0)</f>
        <v>0</v>
      </c>
      <c r="S1546" s="12">
        <f>_xlfn.XLOOKUP(B1546,[1]Sheet1!$B:$B,[1]Sheet1!$V:$V,0)</f>
        <v>0</v>
      </c>
      <c r="T1546" s="12">
        <f>_xlfn.XLOOKUP(B1546,[1]Sheet1!$B:$B,[1]Sheet1!$W:$W,0)</f>
        <v>0</v>
      </c>
      <c r="U1546" s="12">
        <f>_xlfn.XLOOKUP(B1546,[1]Sheet1!$B:$B,[1]Sheet1!$X:$X,0)</f>
        <v>0</v>
      </c>
      <c r="V1546" s="12">
        <f>_xlfn.XLOOKUP(B1546,[1]Sheet1!$B:$B,[1]Sheet1!$Y:$Y,0)</f>
        <v>0</v>
      </c>
      <c r="W1546" s="12">
        <f t="shared" si="51"/>
        <v>0</v>
      </c>
      <c r="X1546" s="6" t="s">
        <v>2479</v>
      </c>
      <c r="Y1546" s="6" t="s">
        <v>2321</v>
      </c>
      <c r="Z1546" s="6" t="s">
        <v>2456</v>
      </c>
      <c r="AA1546" s="6" t="s">
        <v>55</v>
      </c>
      <c r="AB1546" s="6" t="s">
        <v>36</v>
      </c>
      <c r="AC1546" s="6" t="s">
        <v>37</v>
      </c>
      <c r="AD1546" s="6" t="s">
        <v>2340</v>
      </c>
      <c r="AE1546" s="6" t="s">
        <v>2208</v>
      </c>
      <c r="AF1546" s="6" t="s">
        <v>2211</v>
      </c>
      <c r="AG1546" s="7">
        <v>1609000</v>
      </c>
      <c r="AH1546" s="11">
        <f>_xlfn.XLOOKUP(B1546,[1]Sheet1!$B:$B,[1]Sheet1!$AB:$AB,0)</f>
        <v>0</v>
      </c>
    </row>
    <row r="1547" spans="2:34" ht="16.8" thickTop="1" thickBot="1" x14ac:dyDescent="0.35">
      <c r="B1547" s="3" t="str">
        <f t="shared" si="50"/>
        <v>451012245170000394510747491811300105</v>
      </c>
      <c r="C1547" s="8" t="s">
        <v>2457</v>
      </c>
      <c r="D1547" s="8" t="s">
        <v>2476</v>
      </c>
      <c r="E1547" s="8" t="s">
        <v>2477</v>
      </c>
      <c r="F1547" s="8" t="s">
        <v>2474</v>
      </c>
      <c r="G1547" s="4" t="s">
        <v>2825</v>
      </c>
      <c r="H1547" s="4" t="s">
        <v>2923</v>
      </c>
      <c r="I1547" s="8" t="s">
        <v>226</v>
      </c>
      <c r="J1547" s="8" t="s">
        <v>31</v>
      </c>
      <c r="K1547" s="12">
        <f>_xlfn.XLOOKUP(B1547,[1]Sheet1!$B:$B,[1]Sheet1!$N:$N,0)</f>
        <v>0</v>
      </c>
      <c r="L1547" s="12">
        <f>_xlfn.XLOOKUP(B1547,[1]Sheet1!$B:$B,[1]Sheet1!$O:$O,0)</f>
        <v>0</v>
      </c>
      <c r="M1547" s="12">
        <f>_xlfn.XLOOKUP(B1547,[1]Sheet1!$B:$B,[1]Sheet1!$P:$P,0)</f>
        <v>0</v>
      </c>
      <c r="N1547" s="12">
        <f>_xlfn.XLOOKUP(B1547,[1]Sheet1!$B:$B,[1]Sheet1!$Q:$Q,0)</f>
        <v>0</v>
      </c>
      <c r="O1547" s="12">
        <f>_xlfn.XLOOKUP(B1547,[1]Sheet1!$B:$B,[1]Sheet1!$R:$R,0)</f>
        <v>0</v>
      </c>
      <c r="P1547" s="12">
        <f>_xlfn.XLOOKUP(B1547,[1]Sheet1!$B:$B,[1]Sheet1!$S:$S,0)</f>
        <v>0</v>
      </c>
      <c r="Q1547" s="12">
        <f>_xlfn.XLOOKUP(B1547,[1]Sheet1!$B:$B,[1]Sheet1!$T:$T,0)</f>
        <v>0</v>
      </c>
      <c r="R1547" s="12">
        <f>_xlfn.XLOOKUP(B1547,[1]Sheet1!$B:$B,[1]Sheet1!$U:$U,0)</f>
        <v>0</v>
      </c>
      <c r="S1547" s="12">
        <f>_xlfn.XLOOKUP(B1547,[1]Sheet1!$B:$B,[1]Sheet1!$V:$V,0)</f>
        <v>0</v>
      </c>
      <c r="T1547" s="12">
        <f>_xlfn.XLOOKUP(B1547,[1]Sheet1!$B:$B,[1]Sheet1!$W:$W,0)</f>
        <v>0</v>
      </c>
      <c r="U1547" s="12">
        <f>_xlfn.XLOOKUP(B1547,[1]Sheet1!$B:$B,[1]Sheet1!$X:$X,0)</f>
        <v>0</v>
      </c>
      <c r="V1547" s="12">
        <f>_xlfn.XLOOKUP(B1547,[1]Sheet1!$B:$B,[1]Sheet1!$Y:$Y,0)</f>
        <v>0</v>
      </c>
      <c r="W1547" s="12">
        <f t="shared" si="51"/>
        <v>0</v>
      </c>
      <c r="X1547" s="8" t="s">
        <v>2475</v>
      </c>
      <c r="Y1547" s="8" t="s">
        <v>2321</v>
      </c>
      <c r="Z1547" s="8" t="s">
        <v>2456</v>
      </c>
      <c r="AA1547" s="8" t="s">
        <v>228</v>
      </c>
      <c r="AB1547" s="8" t="s">
        <v>93</v>
      </c>
      <c r="AC1547" s="8" t="s">
        <v>94</v>
      </c>
      <c r="AD1547" s="8" t="s">
        <v>2333</v>
      </c>
      <c r="AE1547" s="8" t="s">
        <v>2208</v>
      </c>
      <c r="AF1547" s="8" t="s">
        <v>2211</v>
      </c>
      <c r="AG1547" s="9">
        <v>244008209.93000001</v>
      </c>
      <c r="AH1547" s="11">
        <f>_xlfn.XLOOKUP(B1547,[1]Sheet1!$B:$B,[1]Sheet1!$AB:$AB,0)</f>
        <v>0</v>
      </c>
    </row>
    <row r="1548" spans="2:34" ht="16.8" thickTop="1" thickBot="1" x14ac:dyDescent="0.35">
      <c r="B1548" s="3" t="str">
        <f t="shared" si="50"/>
        <v>451012245170000394510785491811300105</v>
      </c>
      <c r="C1548" s="6" t="s">
        <v>2457</v>
      </c>
      <c r="D1548" s="6" t="s">
        <v>2476</v>
      </c>
      <c r="E1548" s="6" t="s">
        <v>2477</v>
      </c>
      <c r="F1548" s="6" t="s">
        <v>2480</v>
      </c>
      <c r="G1548" s="4" t="s">
        <v>2825</v>
      </c>
      <c r="H1548" s="4" t="s">
        <v>2923</v>
      </c>
      <c r="I1548" s="6" t="s">
        <v>226</v>
      </c>
      <c r="J1548" s="6" t="s">
        <v>31</v>
      </c>
      <c r="K1548" s="12">
        <f>_xlfn.XLOOKUP(B1548,[1]Sheet1!$B:$B,[1]Sheet1!$N:$N,0)</f>
        <v>0</v>
      </c>
      <c r="L1548" s="12">
        <f>_xlfn.XLOOKUP(B1548,[1]Sheet1!$B:$B,[1]Sheet1!$O:$O,0)</f>
        <v>0</v>
      </c>
      <c r="M1548" s="12">
        <f>_xlfn.XLOOKUP(B1548,[1]Sheet1!$B:$B,[1]Sheet1!$P:$P,0)</f>
        <v>0</v>
      </c>
      <c r="N1548" s="12">
        <f>_xlfn.XLOOKUP(B1548,[1]Sheet1!$B:$B,[1]Sheet1!$Q:$Q,0)</f>
        <v>0</v>
      </c>
      <c r="O1548" s="12">
        <f>_xlfn.XLOOKUP(B1548,[1]Sheet1!$B:$B,[1]Sheet1!$R:$R,0)</f>
        <v>0</v>
      </c>
      <c r="P1548" s="12">
        <f>_xlfn.XLOOKUP(B1548,[1]Sheet1!$B:$B,[1]Sheet1!$S:$S,0)</f>
        <v>0</v>
      </c>
      <c r="Q1548" s="12">
        <f>_xlfn.XLOOKUP(B1548,[1]Sheet1!$B:$B,[1]Sheet1!$T:$T,0)</f>
        <v>0</v>
      </c>
      <c r="R1548" s="12">
        <f>_xlfn.XLOOKUP(B1548,[1]Sheet1!$B:$B,[1]Sheet1!$U:$U,0)</f>
        <v>0</v>
      </c>
      <c r="S1548" s="12">
        <f>_xlfn.XLOOKUP(B1548,[1]Sheet1!$B:$B,[1]Sheet1!$V:$V,0)</f>
        <v>0</v>
      </c>
      <c r="T1548" s="12">
        <f>_xlfn.XLOOKUP(B1548,[1]Sheet1!$B:$B,[1]Sheet1!$W:$W,0)</f>
        <v>0</v>
      </c>
      <c r="U1548" s="12">
        <f>_xlfn.XLOOKUP(B1548,[1]Sheet1!$B:$B,[1]Sheet1!$X:$X,0)</f>
        <v>0</v>
      </c>
      <c r="V1548" s="12">
        <f>_xlfn.XLOOKUP(B1548,[1]Sheet1!$B:$B,[1]Sheet1!$Y:$Y,0)</f>
        <v>0</v>
      </c>
      <c r="W1548" s="12">
        <f t="shared" si="51"/>
        <v>0</v>
      </c>
      <c r="X1548" s="6" t="s">
        <v>2481</v>
      </c>
      <c r="Y1548" s="6" t="s">
        <v>2321</v>
      </c>
      <c r="Z1548" s="6" t="s">
        <v>2456</v>
      </c>
      <c r="AA1548" s="6" t="s">
        <v>228</v>
      </c>
      <c r="AB1548" s="6" t="s">
        <v>93</v>
      </c>
      <c r="AC1548" s="6" t="s">
        <v>94</v>
      </c>
      <c r="AD1548" s="6" t="s">
        <v>2272</v>
      </c>
      <c r="AE1548" s="6" t="s">
        <v>2208</v>
      </c>
      <c r="AF1548" s="6" t="s">
        <v>2211</v>
      </c>
      <c r="AG1548" s="7">
        <v>6226679</v>
      </c>
      <c r="AH1548" s="11">
        <f>_xlfn.XLOOKUP(B1548,[1]Sheet1!$B:$B,[1]Sheet1!$AB:$AB,0)</f>
        <v>0</v>
      </c>
    </row>
    <row r="1549" spans="2:34" ht="16.8" thickTop="1" thickBot="1" x14ac:dyDescent="0.35">
      <c r="B1549" s="3" t="str">
        <f t="shared" si="50"/>
        <v>451031145170000404510713422411200104</v>
      </c>
      <c r="C1549" s="8" t="s">
        <v>2487</v>
      </c>
      <c r="D1549" s="8" t="s">
        <v>2482</v>
      </c>
      <c r="E1549" s="8" t="s">
        <v>2483</v>
      </c>
      <c r="F1549" s="8" t="s">
        <v>2383</v>
      </c>
      <c r="G1549" s="4" t="s">
        <v>2896</v>
      </c>
      <c r="H1549" s="4" t="s">
        <v>2922</v>
      </c>
      <c r="I1549" s="8" t="s">
        <v>2384</v>
      </c>
      <c r="J1549" s="8" t="s">
        <v>31</v>
      </c>
      <c r="K1549" s="12">
        <f>_xlfn.XLOOKUP(B1549,[1]Sheet1!$B:$B,[1]Sheet1!$N:$N,0)</f>
        <v>0</v>
      </c>
      <c r="L1549" s="12">
        <f>_xlfn.XLOOKUP(B1549,[1]Sheet1!$B:$B,[1]Sheet1!$O:$O,0)</f>
        <v>0</v>
      </c>
      <c r="M1549" s="12">
        <f>_xlfn.XLOOKUP(B1549,[1]Sheet1!$B:$B,[1]Sheet1!$P:$P,0)</f>
        <v>0</v>
      </c>
      <c r="N1549" s="12">
        <f>_xlfn.XLOOKUP(B1549,[1]Sheet1!$B:$B,[1]Sheet1!$Q:$Q,0)</f>
        <v>0</v>
      </c>
      <c r="O1549" s="12">
        <f>_xlfn.XLOOKUP(B1549,[1]Sheet1!$B:$B,[1]Sheet1!$R:$R,0)</f>
        <v>0</v>
      </c>
      <c r="P1549" s="12">
        <f>_xlfn.XLOOKUP(B1549,[1]Sheet1!$B:$B,[1]Sheet1!$S:$S,0)</f>
        <v>0</v>
      </c>
      <c r="Q1549" s="12">
        <f>_xlfn.XLOOKUP(B1549,[1]Sheet1!$B:$B,[1]Sheet1!$T:$T,0)</f>
        <v>0</v>
      </c>
      <c r="R1549" s="12">
        <f>_xlfn.XLOOKUP(B1549,[1]Sheet1!$B:$B,[1]Sheet1!$U:$U,0)</f>
        <v>0</v>
      </c>
      <c r="S1549" s="12">
        <f>_xlfn.XLOOKUP(B1549,[1]Sheet1!$B:$B,[1]Sheet1!$V:$V,0)</f>
        <v>0</v>
      </c>
      <c r="T1549" s="12">
        <f>_xlfn.XLOOKUP(B1549,[1]Sheet1!$B:$B,[1]Sheet1!$W:$W,0)</f>
        <v>0</v>
      </c>
      <c r="U1549" s="12">
        <f>_xlfn.XLOOKUP(B1549,[1]Sheet1!$B:$B,[1]Sheet1!$X:$X,0)</f>
        <v>0</v>
      </c>
      <c r="V1549" s="12">
        <f>_xlfn.XLOOKUP(B1549,[1]Sheet1!$B:$B,[1]Sheet1!$Y:$Y,0)</f>
        <v>0</v>
      </c>
      <c r="W1549" s="12">
        <f t="shared" si="51"/>
        <v>0</v>
      </c>
      <c r="X1549" s="8" t="s">
        <v>2484</v>
      </c>
      <c r="Y1549" s="8" t="s">
        <v>2485</v>
      </c>
      <c r="Z1549" s="8" t="s">
        <v>2486</v>
      </c>
      <c r="AA1549" s="8" t="s">
        <v>2386</v>
      </c>
      <c r="AB1549" s="8" t="s">
        <v>36</v>
      </c>
      <c r="AC1549" s="8" t="s">
        <v>37</v>
      </c>
      <c r="AD1549" s="8" t="s">
        <v>38</v>
      </c>
      <c r="AE1549" s="8" t="s">
        <v>2208</v>
      </c>
      <c r="AF1549" s="8" t="s">
        <v>2211</v>
      </c>
      <c r="AG1549" s="9">
        <v>200000</v>
      </c>
      <c r="AH1549" s="11">
        <f>_xlfn.XLOOKUP(B1549,[1]Sheet1!$B:$B,[1]Sheet1!$AB:$AB,0)</f>
        <v>0</v>
      </c>
    </row>
    <row r="1550" spans="2:34" ht="16.8" thickTop="1" thickBot="1" x14ac:dyDescent="0.35">
      <c r="B1550" s="3" t="str">
        <f t="shared" si="50"/>
        <v>451031145170000404510723424521200104</v>
      </c>
      <c r="C1550" s="6" t="s">
        <v>2487</v>
      </c>
      <c r="D1550" s="6" t="s">
        <v>2482</v>
      </c>
      <c r="E1550" s="6" t="s">
        <v>2483</v>
      </c>
      <c r="F1550" s="6" t="s">
        <v>2218</v>
      </c>
      <c r="G1550" s="4" t="s">
        <v>2804</v>
      </c>
      <c r="H1550" s="4" t="s">
        <v>2922</v>
      </c>
      <c r="I1550" s="6" t="s">
        <v>53</v>
      </c>
      <c r="J1550" s="6" t="s">
        <v>31</v>
      </c>
      <c r="K1550" s="12">
        <f>_xlfn.XLOOKUP(B1550,[1]Sheet1!$B:$B,[1]Sheet1!$N:$N,0)</f>
        <v>0</v>
      </c>
      <c r="L1550" s="12">
        <f>_xlfn.XLOOKUP(B1550,[1]Sheet1!$B:$B,[1]Sheet1!$O:$O,0)</f>
        <v>0</v>
      </c>
      <c r="M1550" s="12">
        <f>_xlfn.XLOOKUP(B1550,[1]Sheet1!$B:$B,[1]Sheet1!$P:$P,0)</f>
        <v>0</v>
      </c>
      <c r="N1550" s="12">
        <f>_xlfn.XLOOKUP(B1550,[1]Sheet1!$B:$B,[1]Sheet1!$Q:$Q,0)</f>
        <v>0</v>
      </c>
      <c r="O1550" s="12">
        <f>_xlfn.XLOOKUP(B1550,[1]Sheet1!$B:$B,[1]Sheet1!$R:$R,0)</f>
        <v>0</v>
      </c>
      <c r="P1550" s="12">
        <f>_xlfn.XLOOKUP(B1550,[1]Sheet1!$B:$B,[1]Sheet1!$S:$S,0)</f>
        <v>0</v>
      </c>
      <c r="Q1550" s="12">
        <f>_xlfn.XLOOKUP(B1550,[1]Sheet1!$B:$B,[1]Sheet1!$T:$T,0)</f>
        <v>0</v>
      </c>
      <c r="R1550" s="12">
        <f>_xlfn.XLOOKUP(B1550,[1]Sheet1!$B:$B,[1]Sheet1!$U:$U,0)</f>
        <v>0</v>
      </c>
      <c r="S1550" s="12">
        <f>_xlfn.XLOOKUP(B1550,[1]Sheet1!$B:$B,[1]Sheet1!$V:$V,0)</f>
        <v>0</v>
      </c>
      <c r="T1550" s="12">
        <f>_xlfn.XLOOKUP(B1550,[1]Sheet1!$B:$B,[1]Sheet1!$W:$W,0)</f>
        <v>0</v>
      </c>
      <c r="U1550" s="12">
        <f>_xlfn.XLOOKUP(B1550,[1]Sheet1!$B:$B,[1]Sheet1!$X:$X,0)</f>
        <v>0</v>
      </c>
      <c r="V1550" s="12">
        <f>_xlfn.XLOOKUP(B1550,[1]Sheet1!$B:$B,[1]Sheet1!$Y:$Y,0)</f>
        <v>0</v>
      </c>
      <c r="W1550" s="12">
        <f t="shared" si="51"/>
        <v>0</v>
      </c>
      <c r="X1550" s="6" t="s">
        <v>2488</v>
      </c>
      <c r="Y1550" s="6" t="s">
        <v>2485</v>
      </c>
      <c r="Z1550" s="6" t="s">
        <v>2486</v>
      </c>
      <c r="AA1550" s="6" t="s">
        <v>53</v>
      </c>
      <c r="AB1550" s="6" t="s">
        <v>36</v>
      </c>
      <c r="AC1550" s="6" t="s">
        <v>37</v>
      </c>
      <c r="AD1550" s="6" t="s">
        <v>38</v>
      </c>
      <c r="AE1550" s="6" t="s">
        <v>2208</v>
      </c>
      <c r="AF1550" s="6" t="s">
        <v>2211</v>
      </c>
      <c r="AG1550" s="7">
        <v>2880666.67</v>
      </c>
      <c r="AH1550" s="11">
        <f>_xlfn.XLOOKUP(B1550,[1]Sheet1!$B:$B,[1]Sheet1!$AB:$AB,0)</f>
        <v>0</v>
      </c>
    </row>
    <row r="1551" spans="2:34" ht="16.8" thickTop="1" thickBot="1" x14ac:dyDescent="0.35">
      <c r="B1551" s="3" t="str">
        <f t="shared" si="50"/>
        <v>451031145170000404510726423821200104</v>
      </c>
      <c r="C1551" s="8" t="s">
        <v>2487</v>
      </c>
      <c r="D1551" s="8" t="s">
        <v>2482</v>
      </c>
      <c r="E1551" s="8" t="s">
        <v>2483</v>
      </c>
      <c r="F1551" s="8" t="s">
        <v>2247</v>
      </c>
      <c r="G1551" s="4" t="s">
        <v>2805</v>
      </c>
      <c r="H1551" s="4" t="s">
        <v>2922</v>
      </c>
      <c r="I1551" s="8" t="s">
        <v>55</v>
      </c>
      <c r="J1551" s="8" t="s">
        <v>31</v>
      </c>
      <c r="K1551" s="12">
        <f>_xlfn.XLOOKUP(B1551,[1]Sheet1!$B:$B,[1]Sheet1!$N:$N,0)</f>
        <v>0</v>
      </c>
      <c r="L1551" s="12">
        <f>_xlfn.XLOOKUP(B1551,[1]Sheet1!$B:$B,[1]Sheet1!$O:$O,0)</f>
        <v>0</v>
      </c>
      <c r="M1551" s="12">
        <f>_xlfn.XLOOKUP(B1551,[1]Sheet1!$B:$B,[1]Sheet1!$P:$P,0)</f>
        <v>0</v>
      </c>
      <c r="N1551" s="12">
        <f>_xlfn.XLOOKUP(B1551,[1]Sheet1!$B:$B,[1]Sheet1!$Q:$Q,0)</f>
        <v>0</v>
      </c>
      <c r="O1551" s="12">
        <f>_xlfn.XLOOKUP(B1551,[1]Sheet1!$B:$B,[1]Sheet1!$R:$R,0)</f>
        <v>0</v>
      </c>
      <c r="P1551" s="12">
        <f>_xlfn.XLOOKUP(B1551,[1]Sheet1!$B:$B,[1]Sheet1!$S:$S,0)</f>
        <v>0</v>
      </c>
      <c r="Q1551" s="12">
        <f>_xlfn.XLOOKUP(B1551,[1]Sheet1!$B:$B,[1]Sheet1!$T:$T,0)</f>
        <v>0</v>
      </c>
      <c r="R1551" s="12">
        <f>_xlfn.XLOOKUP(B1551,[1]Sheet1!$B:$B,[1]Sheet1!$U:$U,0)</f>
        <v>0</v>
      </c>
      <c r="S1551" s="12">
        <f>_xlfn.XLOOKUP(B1551,[1]Sheet1!$B:$B,[1]Sheet1!$V:$V,0)</f>
        <v>0</v>
      </c>
      <c r="T1551" s="12">
        <f>_xlfn.XLOOKUP(B1551,[1]Sheet1!$B:$B,[1]Sheet1!$W:$W,0)</f>
        <v>0</v>
      </c>
      <c r="U1551" s="12">
        <f>_xlfn.XLOOKUP(B1551,[1]Sheet1!$B:$B,[1]Sheet1!$X:$X,0)</f>
        <v>0</v>
      </c>
      <c r="V1551" s="12">
        <f>_xlfn.XLOOKUP(B1551,[1]Sheet1!$B:$B,[1]Sheet1!$Y:$Y,0)</f>
        <v>0</v>
      </c>
      <c r="W1551" s="12">
        <f t="shared" si="51"/>
        <v>0</v>
      </c>
      <c r="X1551" s="8" t="s">
        <v>2489</v>
      </c>
      <c r="Y1551" s="8" t="s">
        <v>2485</v>
      </c>
      <c r="Z1551" s="8" t="s">
        <v>2486</v>
      </c>
      <c r="AA1551" s="8" t="s">
        <v>55</v>
      </c>
      <c r="AB1551" s="8" t="s">
        <v>36</v>
      </c>
      <c r="AC1551" s="8" t="s">
        <v>37</v>
      </c>
      <c r="AD1551" s="8" t="s">
        <v>38</v>
      </c>
      <c r="AE1551" s="8" t="s">
        <v>2208</v>
      </c>
      <c r="AF1551" s="8" t="s">
        <v>2211</v>
      </c>
      <c r="AG1551" s="9">
        <v>1600000</v>
      </c>
      <c r="AH1551" s="11">
        <f>_xlfn.XLOOKUP(B1551,[1]Sheet1!$B:$B,[1]Sheet1!$AB:$AB,0)</f>
        <v>0</v>
      </c>
    </row>
    <row r="1552" spans="2:34" ht="16.8" thickTop="1" thickBot="1" x14ac:dyDescent="0.35">
      <c r="B1552" s="3" t="str">
        <f t="shared" si="50"/>
        <v>451032145170000414510731423441200104</v>
      </c>
      <c r="C1552" s="6" t="s">
        <v>2495</v>
      </c>
      <c r="D1552" s="6" t="s">
        <v>2490</v>
      </c>
      <c r="E1552" s="6" t="s">
        <v>2491</v>
      </c>
      <c r="F1552" s="6" t="s">
        <v>2416</v>
      </c>
      <c r="G1552" s="4" t="s">
        <v>2908</v>
      </c>
      <c r="H1552" s="4" t="s">
        <v>2922</v>
      </c>
      <c r="I1552" s="6" t="s">
        <v>2492</v>
      </c>
      <c r="J1552" s="6" t="s">
        <v>31</v>
      </c>
      <c r="K1552" s="12">
        <f>_xlfn.XLOOKUP(B1552,[1]Sheet1!$B:$B,[1]Sheet1!$N:$N,0)</f>
        <v>0</v>
      </c>
      <c r="L1552" s="12">
        <f>_xlfn.XLOOKUP(B1552,[1]Sheet1!$B:$B,[1]Sheet1!$O:$O,0)</f>
        <v>0</v>
      </c>
      <c r="M1552" s="12">
        <f>_xlfn.XLOOKUP(B1552,[1]Sheet1!$B:$B,[1]Sheet1!$P:$P,0)</f>
        <v>0</v>
      </c>
      <c r="N1552" s="12">
        <f>_xlfn.XLOOKUP(B1552,[1]Sheet1!$B:$B,[1]Sheet1!$Q:$Q,0)</f>
        <v>0</v>
      </c>
      <c r="O1552" s="12">
        <f>_xlfn.XLOOKUP(B1552,[1]Sheet1!$B:$B,[1]Sheet1!$R:$R,0)</f>
        <v>0</v>
      </c>
      <c r="P1552" s="12">
        <f>_xlfn.XLOOKUP(B1552,[1]Sheet1!$B:$B,[1]Sheet1!$S:$S,0)</f>
        <v>0</v>
      </c>
      <c r="Q1552" s="12">
        <f>_xlfn.XLOOKUP(B1552,[1]Sheet1!$B:$B,[1]Sheet1!$T:$T,0)</f>
        <v>0</v>
      </c>
      <c r="R1552" s="12">
        <f>_xlfn.XLOOKUP(B1552,[1]Sheet1!$B:$B,[1]Sheet1!$U:$U,0)</f>
        <v>0</v>
      </c>
      <c r="S1552" s="12">
        <f>_xlfn.XLOOKUP(B1552,[1]Sheet1!$B:$B,[1]Sheet1!$V:$V,0)</f>
        <v>0</v>
      </c>
      <c r="T1552" s="12">
        <f>_xlfn.XLOOKUP(B1552,[1]Sheet1!$B:$B,[1]Sheet1!$W:$W,0)</f>
        <v>0</v>
      </c>
      <c r="U1552" s="12">
        <f>_xlfn.XLOOKUP(B1552,[1]Sheet1!$B:$B,[1]Sheet1!$X:$X,0)</f>
        <v>0</v>
      </c>
      <c r="V1552" s="12">
        <f>_xlfn.XLOOKUP(B1552,[1]Sheet1!$B:$B,[1]Sheet1!$Y:$Y,0)</f>
        <v>0</v>
      </c>
      <c r="W1552" s="12">
        <f t="shared" si="51"/>
        <v>0</v>
      </c>
      <c r="X1552" s="6" t="s">
        <v>2493</v>
      </c>
      <c r="Y1552" s="6" t="s">
        <v>2485</v>
      </c>
      <c r="Z1552" s="6" t="s">
        <v>2494</v>
      </c>
      <c r="AA1552" s="6" t="s">
        <v>2492</v>
      </c>
      <c r="AB1552" s="6" t="s">
        <v>36</v>
      </c>
      <c r="AC1552" s="6" t="s">
        <v>37</v>
      </c>
      <c r="AD1552" s="6" t="s">
        <v>2340</v>
      </c>
      <c r="AE1552" s="6" t="s">
        <v>2208</v>
      </c>
      <c r="AF1552" s="6" t="s">
        <v>2211</v>
      </c>
      <c r="AG1552" s="7">
        <v>4000000</v>
      </c>
      <c r="AH1552" s="11">
        <f>_xlfn.XLOOKUP(B1552,[1]Sheet1!$B:$B,[1]Sheet1!$AB:$AB,0)</f>
        <v>0</v>
      </c>
    </row>
    <row r="1553" spans="2:34" ht="16.8" thickTop="1" thickBot="1" x14ac:dyDescent="0.35">
      <c r="B1553" s="3" t="str">
        <f t="shared" si="50"/>
        <v>451032145170000444510790491326300105</v>
      </c>
      <c r="C1553" s="8" t="s">
        <v>2495</v>
      </c>
      <c r="D1553" s="8" t="s">
        <v>2496</v>
      </c>
      <c r="E1553" s="8" t="s">
        <v>2497</v>
      </c>
      <c r="F1553" s="8" t="s">
        <v>2498</v>
      </c>
      <c r="G1553" s="4" t="s">
        <v>2904</v>
      </c>
      <c r="H1553" s="4" t="s">
        <v>2923</v>
      </c>
      <c r="I1553" s="8" t="s">
        <v>2460</v>
      </c>
      <c r="J1553" s="8" t="s">
        <v>31</v>
      </c>
      <c r="K1553" s="12">
        <f>_xlfn.XLOOKUP(B1553,[1]Sheet1!$B:$B,[1]Sheet1!$N:$N,0)</f>
        <v>0</v>
      </c>
      <c r="L1553" s="12">
        <f>_xlfn.XLOOKUP(B1553,[1]Sheet1!$B:$B,[1]Sheet1!$O:$O,0)</f>
        <v>0</v>
      </c>
      <c r="M1553" s="12">
        <f>_xlfn.XLOOKUP(B1553,[1]Sheet1!$B:$B,[1]Sheet1!$P:$P,0)</f>
        <v>0</v>
      </c>
      <c r="N1553" s="12">
        <f>_xlfn.XLOOKUP(B1553,[1]Sheet1!$B:$B,[1]Sheet1!$Q:$Q,0)</f>
        <v>0</v>
      </c>
      <c r="O1553" s="12">
        <f>_xlfn.XLOOKUP(B1553,[1]Sheet1!$B:$B,[1]Sheet1!$R:$R,0)</f>
        <v>0</v>
      </c>
      <c r="P1553" s="12">
        <f>_xlfn.XLOOKUP(B1553,[1]Sheet1!$B:$B,[1]Sheet1!$S:$S,0)</f>
        <v>0</v>
      </c>
      <c r="Q1553" s="12">
        <f>_xlfn.XLOOKUP(B1553,[1]Sheet1!$B:$B,[1]Sheet1!$T:$T,0)</f>
        <v>0</v>
      </c>
      <c r="R1553" s="12">
        <f>_xlfn.XLOOKUP(B1553,[1]Sheet1!$B:$B,[1]Sheet1!$U:$U,0)</f>
        <v>0</v>
      </c>
      <c r="S1553" s="12">
        <f>_xlfn.XLOOKUP(B1553,[1]Sheet1!$B:$B,[1]Sheet1!$V:$V,0)</f>
        <v>0</v>
      </c>
      <c r="T1553" s="12">
        <f>_xlfn.XLOOKUP(B1553,[1]Sheet1!$B:$B,[1]Sheet1!$W:$W,0)</f>
        <v>0</v>
      </c>
      <c r="U1553" s="12">
        <f>_xlfn.XLOOKUP(B1553,[1]Sheet1!$B:$B,[1]Sheet1!$X:$X,0)</f>
        <v>0</v>
      </c>
      <c r="V1553" s="12">
        <f>_xlfn.XLOOKUP(B1553,[1]Sheet1!$B:$B,[1]Sheet1!$Y:$Y,0)</f>
        <v>0</v>
      </c>
      <c r="W1553" s="12">
        <f t="shared" si="51"/>
        <v>0</v>
      </c>
      <c r="X1553" s="8" t="s">
        <v>2499</v>
      </c>
      <c r="Y1553" s="8" t="s">
        <v>2485</v>
      </c>
      <c r="Z1553" s="8" t="s">
        <v>2494</v>
      </c>
      <c r="AA1553" s="8" t="s">
        <v>2460</v>
      </c>
      <c r="AB1553" s="8" t="s">
        <v>93</v>
      </c>
      <c r="AC1553" s="8" t="s">
        <v>94</v>
      </c>
      <c r="AD1553" s="8" t="s">
        <v>2272</v>
      </c>
      <c r="AE1553" s="8" t="s">
        <v>2208</v>
      </c>
      <c r="AF1553" s="8" t="s">
        <v>2211</v>
      </c>
      <c r="AG1553" s="9">
        <v>36837626</v>
      </c>
      <c r="AH1553" s="11">
        <f>_xlfn.XLOOKUP(B1553,[1]Sheet1!$B:$B,[1]Sheet1!$AB:$AB,0)</f>
        <v>0</v>
      </c>
    </row>
    <row r="1554" spans="2:34" ht="16.8" thickTop="1" thickBot="1" x14ac:dyDescent="0.35">
      <c r="B1554" s="3" t="str">
        <f t="shared" si="50"/>
        <v>451032245170000454510702432625200104</v>
      </c>
      <c r="C1554" s="6" t="s">
        <v>2504</v>
      </c>
      <c r="D1554" s="6" t="s">
        <v>2500</v>
      </c>
      <c r="E1554" s="6" t="s">
        <v>2501</v>
      </c>
      <c r="F1554" s="6" t="s">
        <v>2470</v>
      </c>
      <c r="G1554" s="4" t="s">
        <v>2907</v>
      </c>
      <c r="H1554" s="4" t="s">
        <v>2922</v>
      </c>
      <c r="I1554" s="6" t="s">
        <v>2471</v>
      </c>
      <c r="J1554" s="6" t="s">
        <v>31</v>
      </c>
      <c r="K1554" s="12">
        <f>_xlfn.XLOOKUP(B1554,[1]Sheet1!$B:$B,[1]Sheet1!$N:$N,0)</f>
        <v>0</v>
      </c>
      <c r="L1554" s="12">
        <f>_xlfn.XLOOKUP(B1554,[1]Sheet1!$B:$B,[1]Sheet1!$O:$O,0)</f>
        <v>0</v>
      </c>
      <c r="M1554" s="12">
        <f>_xlfn.XLOOKUP(B1554,[1]Sheet1!$B:$B,[1]Sheet1!$P:$P,0)</f>
        <v>0</v>
      </c>
      <c r="N1554" s="12">
        <f>_xlfn.XLOOKUP(B1554,[1]Sheet1!$B:$B,[1]Sheet1!$Q:$Q,0)</f>
        <v>0</v>
      </c>
      <c r="O1554" s="12">
        <f>_xlfn.XLOOKUP(B1554,[1]Sheet1!$B:$B,[1]Sheet1!$R:$R,0)</f>
        <v>0</v>
      </c>
      <c r="P1554" s="12">
        <f>_xlfn.XLOOKUP(B1554,[1]Sheet1!$B:$B,[1]Sheet1!$S:$S,0)</f>
        <v>0</v>
      </c>
      <c r="Q1554" s="12">
        <f>_xlfn.XLOOKUP(B1554,[1]Sheet1!$B:$B,[1]Sheet1!$T:$T,0)</f>
        <v>0</v>
      </c>
      <c r="R1554" s="12">
        <f>_xlfn.XLOOKUP(B1554,[1]Sheet1!$B:$B,[1]Sheet1!$U:$U,0)</f>
        <v>0</v>
      </c>
      <c r="S1554" s="12">
        <f>_xlfn.XLOOKUP(B1554,[1]Sheet1!$B:$B,[1]Sheet1!$V:$V,0)</f>
        <v>0</v>
      </c>
      <c r="T1554" s="12">
        <f>_xlfn.XLOOKUP(B1554,[1]Sheet1!$B:$B,[1]Sheet1!$W:$W,0)</f>
        <v>0</v>
      </c>
      <c r="U1554" s="12">
        <f>_xlfn.XLOOKUP(B1554,[1]Sheet1!$B:$B,[1]Sheet1!$X:$X,0)</f>
        <v>0</v>
      </c>
      <c r="V1554" s="12">
        <f>_xlfn.XLOOKUP(B1554,[1]Sheet1!$B:$B,[1]Sheet1!$Y:$Y,0)</f>
        <v>0</v>
      </c>
      <c r="W1554" s="12">
        <f t="shared" si="51"/>
        <v>0</v>
      </c>
      <c r="X1554" s="6" t="s">
        <v>2502</v>
      </c>
      <c r="Y1554" s="6" t="s">
        <v>2485</v>
      </c>
      <c r="Z1554" s="6" t="s">
        <v>2503</v>
      </c>
      <c r="AA1554" s="6" t="s">
        <v>2471</v>
      </c>
      <c r="AB1554" s="6" t="s">
        <v>36</v>
      </c>
      <c r="AC1554" s="6" t="s">
        <v>37</v>
      </c>
      <c r="AD1554" s="6" t="s">
        <v>2340</v>
      </c>
      <c r="AE1554" s="6" t="s">
        <v>2208</v>
      </c>
      <c r="AF1554" s="6" t="s">
        <v>2211</v>
      </c>
      <c r="AG1554" s="7">
        <v>7962173.75</v>
      </c>
      <c r="AH1554" s="11">
        <f>_xlfn.XLOOKUP(B1554,[1]Sheet1!$B:$B,[1]Sheet1!$AB:$AB,0)</f>
        <v>0</v>
      </c>
    </row>
    <row r="1555" spans="2:34" ht="16.8" thickTop="1" thickBot="1" x14ac:dyDescent="0.35">
      <c r="B1555" s="3" t="str">
        <f t="shared" si="50"/>
        <v>451032245170000454510719422749200104</v>
      </c>
      <c r="C1555" s="8" t="s">
        <v>2504</v>
      </c>
      <c r="D1555" s="8" t="s">
        <v>2500</v>
      </c>
      <c r="E1555" s="8" t="s">
        <v>2501</v>
      </c>
      <c r="F1555" s="8" t="s">
        <v>2349</v>
      </c>
      <c r="G1555" s="4" t="s">
        <v>2842</v>
      </c>
      <c r="H1555" s="4" t="s">
        <v>2922</v>
      </c>
      <c r="I1555" s="8" t="s">
        <v>455</v>
      </c>
      <c r="J1555" s="8" t="s">
        <v>31</v>
      </c>
      <c r="K1555" s="12">
        <f>_xlfn.XLOOKUP(B1555,[1]Sheet1!$B:$B,[1]Sheet1!$N:$N,0)</f>
        <v>0</v>
      </c>
      <c r="L1555" s="12">
        <f>_xlfn.XLOOKUP(B1555,[1]Sheet1!$B:$B,[1]Sheet1!$O:$O,0)</f>
        <v>0</v>
      </c>
      <c r="M1555" s="12">
        <f>_xlfn.XLOOKUP(B1555,[1]Sheet1!$B:$B,[1]Sheet1!$P:$P,0)</f>
        <v>0</v>
      </c>
      <c r="N1555" s="12">
        <f>_xlfn.XLOOKUP(B1555,[1]Sheet1!$B:$B,[1]Sheet1!$Q:$Q,0)</f>
        <v>0</v>
      </c>
      <c r="O1555" s="12">
        <f>_xlfn.XLOOKUP(B1555,[1]Sheet1!$B:$B,[1]Sheet1!$R:$R,0)</f>
        <v>0</v>
      </c>
      <c r="P1555" s="12">
        <f>_xlfn.XLOOKUP(B1555,[1]Sheet1!$B:$B,[1]Sheet1!$S:$S,0)</f>
        <v>0</v>
      </c>
      <c r="Q1555" s="12">
        <f>_xlfn.XLOOKUP(B1555,[1]Sheet1!$B:$B,[1]Sheet1!$T:$T,0)</f>
        <v>0</v>
      </c>
      <c r="R1555" s="12">
        <f>_xlfn.XLOOKUP(B1555,[1]Sheet1!$B:$B,[1]Sheet1!$U:$U,0)</f>
        <v>0</v>
      </c>
      <c r="S1555" s="12">
        <f>_xlfn.XLOOKUP(B1555,[1]Sheet1!$B:$B,[1]Sheet1!$V:$V,0)</f>
        <v>0</v>
      </c>
      <c r="T1555" s="12">
        <f>_xlfn.XLOOKUP(B1555,[1]Sheet1!$B:$B,[1]Sheet1!$W:$W,0)</f>
        <v>0</v>
      </c>
      <c r="U1555" s="12">
        <f>_xlfn.XLOOKUP(B1555,[1]Sheet1!$B:$B,[1]Sheet1!$X:$X,0)</f>
        <v>0</v>
      </c>
      <c r="V1555" s="12">
        <f>_xlfn.XLOOKUP(B1555,[1]Sheet1!$B:$B,[1]Sheet1!$Y:$Y,0)</f>
        <v>0</v>
      </c>
      <c r="W1555" s="12">
        <f t="shared" si="51"/>
        <v>0</v>
      </c>
      <c r="X1555" s="8" t="s">
        <v>2505</v>
      </c>
      <c r="Y1555" s="8" t="s">
        <v>2485</v>
      </c>
      <c r="Z1555" s="8" t="s">
        <v>2503</v>
      </c>
      <c r="AA1555" s="8" t="s">
        <v>455</v>
      </c>
      <c r="AB1555" s="8" t="s">
        <v>36</v>
      </c>
      <c r="AC1555" s="8" t="s">
        <v>37</v>
      </c>
      <c r="AD1555" s="8" t="s">
        <v>2340</v>
      </c>
      <c r="AE1555" s="8" t="s">
        <v>2208</v>
      </c>
      <c r="AF1555" s="8" t="s">
        <v>2211</v>
      </c>
      <c r="AG1555" s="9">
        <v>2531296</v>
      </c>
      <c r="AH1555" s="11">
        <f>_xlfn.XLOOKUP(B1555,[1]Sheet1!$B:$B,[1]Sheet1!$AB:$AB,0)</f>
        <v>0</v>
      </c>
    </row>
    <row r="1556" spans="2:34" ht="16.8" thickTop="1" thickBot="1" x14ac:dyDescent="0.35">
      <c r="B1556" s="3" t="str">
        <f t="shared" si="50"/>
        <v>451032245170000454510743491811300105</v>
      </c>
      <c r="C1556" s="6" t="s">
        <v>2504</v>
      </c>
      <c r="D1556" s="6" t="s">
        <v>2500</v>
      </c>
      <c r="E1556" s="6" t="s">
        <v>2501</v>
      </c>
      <c r="F1556" s="6" t="s">
        <v>2506</v>
      </c>
      <c r="G1556" s="4" t="s">
        <v>2825</v>
      </c>
      <c r="H1556" s="4" t="s">
        <v>2923</v>
      </c>
      <c r="I1556" s="6" t="s">
        <v>226</v>
      </c>
      <c r="J1556" s="6" t="s">
        <v>31</v>
      </c>
      <c r="K1556" s="12">
        <f>_xlfn.XLOOKUP(B1556,[1]Sheet1!$B:$B,[1]Sheet1!$N:$N,0)</f>
        <v>0</v>
      </c>
      <c r="L1556" s="12">
        <f>_xlfn.XLOOKUP(B1556,[1]Sheet1!$B:$B,[1]Sheet1!$O:$O,0)</f>
        <v>0</v>
      </c>
      <c r="M1556" s="12">
        <f>_xlfn.XLOOKUP(B1556,[1]Sheet1!$B:$B,[1]Sheet1!$P:$P,0)</f>
        <v>0</v>
      </c>
      <c r="N1556" s="12">
        <f>_xlfn.XLOOKUP(B1556,[1]Sheet1!$B:$B,[1]Sheet1!$Q:$Q,0)</f>
        <v>0</v>
      </c>
      <c r="O1556" s="12">
        <f>_xlfn.XLOOKUP(B1556,[1]Sheet1!$B:$B,[1]Sheet1!$R:$R,0)</f>
        <v>0</v>
      </c>
      <c r="P1556" s="12">
        <f>_xlfn.XLOOKUP(B1556,[1]Sheet1!$B:$B,[1]Sheet1!$S:$S,0)</f>
        <v>0</v>
      </c>
      <c r="Q1556" s="12">
        <f>_xlfn.XLOOKUP(B1556,[1]Sheet1!$B:$B,[1]Sheet1!$T:$T,0)</f>
        <v>0</v>
      </c>
      <c r="R1556" s="12">
        <f>_xlfn.XLOOKUP(B1556,[1]Sheet1!$B:$B,[1]Sheet1!$U:$U,0)</f>
        <v>0</v>
      </c>
      <c r="S1556" s="12">
        <f>_xlfn.XLOOKUP(B1556,[1]Sheet1!$B:$B,[1]Sheet1!$V:$V,0)</f>
        <v>0</v>
      </c>
      <c r="T1556" s="12">
        <f>_xlfn.XLOOKUP(B1556,[1]Sheet1!$B:$B,[1]Sheet1!$W:$W,0)</f>
        <v>0</v>
      </c>
      <c r="U1556" s="12">
        <f>_xlfn.XLOOKUP(B1556,[1]Sheet1!$B:$B,[1]Sheet1!$X:$X,0)</f>
        <v>0</v>
      </c>
      <c r="V1556" s="12">
        <f>_xlfn.XLOOKUP(B1556,[1]Sheet1!$B:$B,[1]Sheet1!$Y:$Y,0)</f>
        <v>0</v>
      </c>
      <c r="W1556" s="12">
        <f t="shared" si="51"/>
        <v>0</v>
      </c>
      <c r="X1556" s="6" t="s">
        <v>2507</v>
      </c>
      <c r="Y1556" s="6" t="s">
        <v>2485</v>
      </c>
      <c r="Z1556" s="6" t="s">
        <v>2503</v>
      </c>
      <c r="AA1556" s="6" t="s">
        <v>228</v>
      </c>
      <c r="AB1556" s="6" t="s">
        <v>93</v>
      </c>
      <c r="AC1556" s="6" t="s">
        <v>94</v>
      </c>
      <c r="AD1556" s="6" t="s">
        <v>2272</v>
      </c>
      <c r="AE1556" s="6" t="s">
        <v>2208</v>
      </c>
      <c r="AF1556" s="6" t="s">
        <v>2211</v>
      </c>
      <c r="AG1556" s="7">
        <v>45318540</v>
      </c>
      <c r="AH1556" s="11">
        <f>_xlfn.XLOOKUP(B1556,[1]Sheet1!$B:$B,[1]Sheet1!$AB:$AB,0)</f>
        <v>0</v>
      </c>
    </row>
    <row r="1557" spans="2:34" ht="16.8" thickTop="1" thickBot="1" x14ac:dyDescent="0.35">
      <c r="B1557" s="3" t="str">
        <f t="shared" si="50"/>
        <v>451032245170000464510723424521200104</v>
      </c>
      <c r="C1557" s="8" t="s">
        <v>2504</v>
      </c>
      <c r="D1557" s="8" t="s">
        <v>2508</v>
      </c>
      <c r="E1557" s="8" t="s">
        <v>2509</v>
      </c>
      <c r="F1557" s="8" t="s">
        <v>2218</v>
      </c>
      <c r="G1557" s="4" t="s">
        <v>2804</v>
      </c>
      <c r="H1557" s="4" t="s">
        <v>2922</v>
      </c>
      <c r="I1557" s="8" t="s">
        <v>53</v>
      </c>
      <c r="J1557" s="8" t="s">
        <v>31</v>
      </c>
      <c r="K1557" s="12">
        <f>_xlfn.XLOOKUP(B1557,[1]Sheet1!$B:$B,[1]Sheet1!$N:$N,0)</f>
        <v>0</v>
      </c>
      <c r="L1557" s="12">
        <f>_xlfn.XLOOKUP(B1557,[1]Sheet1!$B:$B,[1]Sheet1!$O:$O,0)</f>
        <v>0</v>
      </c>
      <c r="M1557" s="12">
        <f>_xlfn.XLOOKUP(B1557,[1]Sheet1!$B:$B,[1]Sheet1!$P:$P,0)</f>
        <v>0</v>
      </c>
      <c r="N1557" s="12">
        <f>_xlfn.XLOOKUP(B1557,[1]Sheet1!$B:$B,[1]Sheet1!$Q:$Q,0)</f>
        <v>0</v>
      </c>
      <c r="O1557" s="12">
        <f>_xlfn.XLOOKUP(B1557,[1]Sheet1!$B:$B,[1]Sheet1!$R:$R,0)</f>
        <v>0</v>
      </c>
      <c r="P1557" s="12">
        <f>_xlfn.XLOOKUP(B1557,[1]Sheet1!$B:$B,[1]Sheet1!$S:$S,0)</f>
        <v>0</v>
      </c>
      <c r="Q1557" s="12">
        <f>_xlfn.XLOOKUP(B1557,[1]Sheet1!$B:$B,[1]Sheet1!$T:$T,0)</f>
        <v>0</v>
      </c>
      <c r="R1557" s="12">
        <f>_xlfn.XLOOKUP(B1557,[1]Sheet1!$B:$B,[1]Sheet1!$U:$U,0)</f>
        <v>0</v>
      </c>
      <c r="S1557" s="12">
        <f>_xlfn.XLOOKUP(B1557,[1]Sheet1!$B:$B,[1]Sheet1!$V:$V,0)</f>
        <v>0</v>
      </c>
      <c r="T1557" s="12">
        <f>_xlfn.XLOOKUP(B1557,[1]Sheet1!$B:$B,[1]Sheet1!$W:$W,0)</f>
        <v>0</v>
      </c>
      <c r="U1557" s="12">
        <f>_xlfn.XLOOKUP(B1557,[1]Sheet1!$B:$B,[1]Sheet1!$X:$X,0)</f>
        <v>0</v>
      </c>
      <c r="V1557" s="12">
        <f>_xlfn.XLOOKUP(B1557,[1]Sheet1!$B:$B,[1]Sheet1!$Y:$Y,0)</f>
        <v>0</v>
      </c>
      <c r="W1557" s="12">
        <f t="shared" si="51"/>
        <v>0</v>
      </c>
      <c r="X1557" s="8" t="s">
        <v>2510</v>
      </c>
      <c r="Y1557" s="8" t="s">
        <v>2485</v>
      </c>
      <c r="Z1557" s="8" t="s">
        <v>2503</v>
      </c>
      <c r="AA1557" s="8" t="s">
        <v>53</v>
      </c>
      <c r="AB1557" s="8" t="s">
        <v>36</v>
      </c>
      <c r="AC1557" s="8" t="s">
        <v>37</v>
      </c>
      <c r="AD1557" s="8" t="s">
        <v>2340</v>
      </c>
      <c r="AE1557" s="8" t="s">
        <v>2208</v>
      </c>
      <c r="AF1557" s="8" t="s">
        <v>2211</v>
      </c>
      <c r="AG1557" s="9">
        <v>864001</v>
      </c>
      <c r="AH1557" s="11">
        <f>_xlfn.XLOOKUP(B1557,[1]Sheet1!$B:$B,[1]Sheet1!$AB:$AB,0)</f>
        <v>0</v>
      </c>
    </row>
    <row r="1558" spans="2:34" ht="16.8" thickTop="1" thickBot="1" x14ac:dyDescent="0.35">
      <c r="B1558" s="3" t="str">
        <f t="shared" si="50"/>
        <v>451033145170000474510711422612200104</v>
      </c>
      <c r="C1558" s="6" t="s">
        <v>2516</v>
      </c>
      <c r="D1558" s="6" t="s">
        <v>2511</v>
      </c>
      <c r="E1558" s="6" t="s">
        <v>2512</v>
      </c>
      <c r="F1558" s="6" t="s">
        <v>2405</v>
      </c>
      <c r="G1558" s="4" t="s">
        <v>2909</v>
      </c>
      <c r="H1558" s="4" t="s">
        <v>2922</v>
      </c>
      <c r="I1558" s="6" t="s">
        <v>2513</v>
      </c>
      <c r="J1558" s="6" t="s">
        <v>31</v>
      </c>
      <c r="K1558" s="12">
        <f>_xlfn.XLOOKUP(B1558,[1]Sheet1!$B:$B,[1]Sheet1!$N:$N,0)</f>
        <v>0</v>
      </c>
      <c r="L1558" s="12">
        <f>_xlfn.XLOOKUP(B1558,[1]Sheet1!$B:$B,[1]Sheet1!$O:$O,0)</f>
        <v>0</v>
      </c>
      <c r="M1558" s="12">
        <f>_xlfn.XLOOKUP(B1558,[1]Sheet1!$B:$B,[1]Sheet1!$P:$P,0)</f>
        <v>0</v>
      </c>
      <c r="N1558" s="12">
        <f>_xlfn.XLOOKUP(B1558,[1]Sheet1!$B:$B,[1]Sheet1!$Q:$Q,0)</f>
        <v>0</v>
      </c>
      <c r="O1558" s="12">
        <f>_xlfn.XLOOKUP(B1558,[1]Sheet1!$B:$B,[1]Sheet1!$R:$R,0)</f>
        <v>0</v>
      </c>
      <c r="P1558" s="12">
        <f>_xlfn.XLOOKUP(B1558,[1]Sheet1!$B:$B,[1]Sheet1!$S:$S,0)</f>
        <v>0</v>
      </c>
      <c r="Q1558" s="12">
        <f>_xlfn.XLOOKUP(B1558,[1]Sheet1!$B:$B,[1]Sheet1!$T:$T,0)</f>
        <v>0</v>
      </c>
      <c r="R1558" s="12">
        <f>_xlfn.XLOOKUP(B1558,[1]Sheet1!$B:$B,[1]Sheet1!$U:$U,0)</f>
        <v>0</v>
      </c>
      <c r="S1558" s="12">
        <f>_xlfn.XLOOKUP(B1558,[1]Sheet1!$B:$B,[1]Sheet1!$V:$V,0)</f>
        <v>0</v>
      </c>
      <c r="T1558" s="12">
        <f>_xlfn.XLOOKUP(B1558,[1]Sheet1!$B:$B,[1]Sheet1!$W:$W,0)</f>
        <v>0</v>
      </c>
      <c r="U1558" s="12">
        <f>_xlfn.XLOOKUP(B1558,[1]Sheet1!$B:$B,[1]Sheet1!$X:$X,0)</f>
        <v>0</v>
      </c>
      <c r="V1558" s="12">
        <f>_xlfn.XLOOKUP(B1558,[1]Sheet1!$B:$B,[1]Sheet1!$Y:$Y,0)</f>
        <v>0</v>
      </c>
      <c r="W1558" s="12">
        <f t="shared" si="51"/>
        <v>0</v>
      </c>
      <c r="X1558" s="6" t="s">
        <v>2514</v>
      </c>
      <c r="Y1558" s="6" t="s">
        <v>2485</v>
      </c>
      <c r="Z1558" s="6" t="s">
        <v>2515</v>
      </c>
      <c r="AA1558" s="6" t="s">
        <v>2513</v>
      </c>
      <c r="AB1558" s="6" t="s">
        <v>36</v>
      </c>
      <c r="AC1558" s="6" t="s">
        <v>37</v>
      </c>
      <c r="AD1558" s="6" t="s">
        <v>2340</v>
      </c>
      <c r="AE1558" s="6" t="s">
        <v>2208</v>
      </c>
      <c r="AF1558" s="6" t="s">
        <v>2211</v>
      </c>
      <c r="AG1558" s="7">
        <v>10599465.810000001</v>
      </c>
      <c r="AH1558" s="11">
        <f>_xlfn.XLOOKUP(B1558,[1]Sheet1!$B:$B,[1]Sheet1!$AB:$AB,0)</f>
        <v>0</v>
      </c>
    </row>
    <row r="1559" spans="2:34" ht="16.8" thickTop="1" thickBot="1" x14ac:dyDescent="0.35">
      <c r="B1559" s="3" t="str">
        <f t="shared" si="50"/>
        <v>451033145170000474510728424791200104</v>
      </c>
      <c r="C1559" s="8" t="s">
        <v>2516</v>
      </c>
      <c r="D1559" s="8" t="s">
        <v>2511</v>
      </c>
      <c r="E1559" s="8" t="s">
        <v>2512</v>
      </c>
      <c r="F1559" s="8" t="s">
        <v>2329</v>
      </c>
      <c r="G1559" s="4" t="s">
        <v>2830</v>
      </c>
      <c r="H1559" s="4" t="s">
        <v>2922</v>
      </c>
      <c r="I1559" s="8" t="s">
        <v>305</v>
      </c>
      <c r="J1559" s="8" t="s">
        <v>31</v>
      </c>
      <c r="K1559" s="12">
        <f>_xlfn.XLOOKUP(B1559,[1]Sheet1!$B:$B,[1]Sheet1!$N:$N,0)</f>
        <v>0</v>
      </c>
      <c r="L1559" s="12">
        <f>_xlfn.XLOOKUP(B1559,[1]Sheet1!$B:$B,[1]Sheet1!$O:$O,0)</f>
        <v>0</v>
      </c>
      <c r="M1559" s="12">
        <f>_xlfn.XLOOKUP(B1559,[1]Sheet1!$B:$B,[1]Sheet1!$P:$P,0)</f>
        <v>0</v>
      </c>
      <c r="N1559" s="12">
        <f>_xlfn.XLOOKUP(B1559,[1]Sheet1!$B:$B,[1]Sheet1!$Q:$Q,0)</f>
        <v>0</v>
      </c>
      <c r="O1559" s="12">
        <f>_xlfn.XLOOKUP(B1559,[1]Sheet1!$B:$B,[1]Sheet1!$R:$R,0)</f>
        <v>0</v>
      </c>
      <c r="P1559" s="12">
        <f>_xlfn.XLOOKUP(B1559,[1]Sheet1!$B:$B,[1]Sheet1!$S:$S,0)</f>
        <v>0</v>
      </c>
      <c r="Q1559" s="12">
        <f>_xlfn.XLOOKUP(B1559,[1]Sheet1!$B:$B,[1]Sheet1!$T:$T,0)</f>
        <v>0</v>
      </c>
      <c r="R1559" s="12">
        <f>_xlfn.XLOOKUP(B1559,[1]Sheet1!$B:$B,[1]Sheet1!$U:$U,0)</f>
        <v>0</v>
      </c>
      <c r="S1559" s="12">
        <f>_xlfn.XLOOKUP(B1559,[1]Sheet1!$B:$B,[1]Sheet1!$V:$V,0)</f>
        <v>0</v>
      </c>
      <c r="T1559" s="12">
        <f>_xlfn.XLOOKUP(B1559,[1]Sheet1!$B:$B,[1]Sheet1!$W:$W,0)</f>
        <v>0</v>
      </c>
      <c r="U1559" s="12">
        <f>_xlfn.XLOOKUP(B1559,[1]Sheet1!$B:$B,[1]Sheet1!$X:$X,0)</f>
        <v>0</v>
      </c>
      <c r="V1559" s="12">
        <f>_xlfn.XLOOKUP(B1559,[1]Sheet1!$B:$B,[1]Sheet1!$Y:$Y,0)</f>
        <v>0</v>
      </c>
      <c r="W1559" s="12">
        <f t="shared" si="51"/>
        <v>0</v>
      </c>
      <c r="X1559" s="8" t="s">
        <v>2517</v>
      </c>
      <c r="Y1559" s="8" t="s">
        <v>2485</v>
      </c>
      <c r="Z1559" s="8" t="s">
        <v>2515</v>
      </c>
      <c r="AA1559" s="8" t="s">
        <v>305</v>
      </c>
      <c r="AB1559" s="8" t="s">
        <v>36</v>
      </c>
      <c r="AC1559" s="8" t="s">
        <v>37</v>
      </c>
      <c r="AD1559" s="8" t="s">
        <v>2340</v>
      </c>
      <c r="AE1559" s="8" t="s">
        <v>2208</v>
      </c>
      <c r="AF1559" s="8" t="s">
        <v>2211</v>
      </c>
      <c r="AG1559" s="9">
        <v>1225000</v>
      </c>
      <c r="AH1559" s="11">
        <f>_xlfn.XLOOKUP(B1559,[1]Sheet1!$B:$B,[1]Sheet1!$AB:$AB,0)</f>
        <v>0</v>
      </c>
    </row>
    <row r="1560" spans="2:34" ht="16.8" thickTop="1" thickBot="1" x14ac:dyDescent="0.35">
      <c r="B1560" s="3" t="str">
        <f t="shared" si="50"/>
        <v>451033145170000484510752424701200104</v>
      </c>
      <c r="C1560" s="6" t="s">
        <v>2516</v>
      </c>
      <c r="D1560" s="6" t="s">
        <v>2518</v>
      </c>
      <c r="E1560" s="6" t="s">
        <v>2519</v>
      </c>
      <c r="F1560" s="6" t="s">
        <v>2520</v>
      </c>
      <c r="G1560" s="4" t="s">
        <v>2834</v>
      </c>
      <c r="H1560" s="4" t="s">
        <v>2922</v>
      </c>
      <c r="I1560" s="6" t="s">
        <v>356</v>
      </c>
      <c r="J1560" s="6" t="s">
        <v>31</v>
      </c>
      <c r="K1560" s="12">
        <f>_xlfn.XLOOKUP(B1560,[1]Sheet1!$B:$B,[1]Sheet1!$N:$N,0)</f>
        <v>0</v>
      </c>
      <c r="L1560" s="12">
        <f>_xlfn.XLOOKUP(B1560,[1]Sheet1!$B:$B,[1]Sheet1!$O:$O,0)</f>
        <v>0</v>
      </c>
      <c r="M1560" s="12">
        <f>_xlfn.XLOOKUP(B1560,[1]Sheet1!$B:$B,[1]Sheet1!$P:$P,0)</f>
        <v>0</v>
      </c>
      <c r="N1560" s="12">
        <f>_xlfn.XLOOKUP(B1560,[1]Sheet1!$B:$B,[1]Sheet1!$Q:$Q,0)</f>
        <v>0</v>
      </c>
      <c r="O1560" s="12">
        <f>_xlfn.XLOOKUP(B1560,[1]Sheet1!$B:$B,[1]Sheet1!$R:$R,0)</f>
        <v>0</v>
      </c>
      <c r="P1560" s="12">
        <f>_xlfn.XLOOKUP(B1560,[1]Sheet1!$B:$B,[1]Sheet1!$S:$S,0)</f>
        <v>0</v>
      </c>
      <c r="Q1560" s="12">
        <f>_xlfn.XLOOKUP(B1560,[1]Sheet1!$B:$B,[1]Sheet1!$T:$T,0)</f>
        <v>0</v>
      </c>
      <c r="R1560" s="12">
        <f>_xlfn.XLOOKUP(B1560,[1]Sheet1!$B:$B,[1]Sheet1!$U:$U,0)</f>
        <v>0</v>
      </c>
      <c r="S1560" s="12">
        <f>_xlfn.XLOOKUP(B1560,[1]Sheet1!$B:$B,[1]Sheet1!$V:$V,0)</f>
        <v>0</v>
      </c>
      <c r="T1560" s="12">
        <f>_xlfn.XLOOKUP(B1560,[1]Sheet1!$B:$B,[1]Sheet1!$W:$W,0)</f>
        <v>0</v>
      </c>
      <c r="U1560" s="12">
        <f>_xlfn.XLOOKUP(B1560,[1]Sheet1!$B:$B,[1]Sheet1!$X:$X,0)</f>
        <v>0</v>
      </c>
      <c r="V1560" s="12">
        <f>_xlfn.XLOOKUP(B1560,[1]Sheet1!$B:$B,[1]Sheet1!$Y:$Y,0)</f>
        <v>0</v>
      </c>
      <c r="W1560" s="12">
        <f t="shared" si="51"/>
        <v>0</v>
      </c>
      <c r="X1560" s="6" t="s">
        <v>2521</v>
      </c>
      <c r="Y1560" s="6" t="s">
        <v>2485</v>
      </c>
      <c r="Z1560" s="6" t="s">
        <v>2515</v>
      </c>
      <c r="AA1560" s="6" t="s">
        <v>356</v>
      </c>
      <c r="AB1560" s="6" t="s">
        <v>36</v>
      </c>
      <c r="AC1560" s="6" t="s">
        <v>37</v>
      </c>
      <c r="AD1560" s="6" t="s">
        <v>2340</v>
      </c>
      <c r="AE1560" s="6" t="s">
        <v>2208</v>
      </c>
      <c r="AF1560" s="6" t="s">
        <v>2211</v>
      </c>
      <c r="AG1560" s="7">
        <v>8087747</v>
      </c>
      <c r="AH1560" s="11">
        <f>_xlfn.XLOOKUP(B1560,[1]Sheet1!$B:$B,[1]Sheet1!$AB:$AB,0)</f>
        <v>0</v>
      </c>
    </row>
    <row r="1561" spans="2:34" ht="16.8" thickTop="1" thickBot="1" x14ac:dyDescent="0.35">
      <c r="B1561" s="3" t="str">
        <f t="shared" si="50"/>
        <v>451033245170000494510750424521200104</v>
      </c>
      <c r="C1561" s="8" t="s">
        <v>2526</v>
      </c>
      <c r="D1561" s="8" t="s">
        <v>2522</v>
      </c>
      <c r="E1561" s="8" t="s">
        <v>2523</v>
      </c>
      <c r="F1561" s="8" t="s">
        <v>2234</v>
      </c>
      <c r="G1561" s="4" t="s">
        <v>2804</v>
      </c>
      <c r="H1561" s="4" t="s">
        <v>2922</v>
      </c>
      <c r="I1561" s="8" t="s">
        <v>53</v>
      </c>
      <c r="J1561" s="8" t="s">
        <v>31</v>
      </c>
      <c r="K1561" s="12">
        <f>_xlfn.XLOOKUP(B1561,[1]Sheet1!$B:$B,[1]Sheet1!$N:$N,0)</f>
        <v>0</v>
      </c>
      <c r="L1561" s="12">
        <f>_xlfn.XLOOKUP(B1561,[1]Sheet1!$B:$B,[1]Sheet1!$O:$O,0)</f>
        <v>0</v>
      </c>
      <c r="M1561" s="12">
        <f>_xlfn.XLOOKUP(B1561,[1]Sheet1!$B:$B,[1]Sheet1!$P:$P,0)</f>
        <v>0</v>
      </c>
      <c r="N1561" s="12">
        <f>_xlfn.XLOOKUP(B1561,[1]Sheet1!$B:$B,[1]Sheet1!$Q:$Q,0)</f>
        <v>0</v>
      </c>
      <c r="O1561" s="12">
        <f>_xlfn.XLOOKUP(B1561,[1]Sheet1!$B:$B,[1]Sheet1!$R:$R,0)</f>
        <v>0</v>
      </c>
      <c r="P1561" s="12">
        <f>_xlfn.XLOOKUP(B1561,[1]Sheet1!$B:$B,[1]Sheet1!$S:$S,0)</f>
        <v>0</v>
      </c>
      <c r="Q1561" s="12">
        <f>_xlfn.XLOOKUP(B1561,[1]Sheet1!$B:$B,[1]Sheet1!$T:$T,0)</f>
        <v>0</v>
      </c>
      <c r="R1561" s="12">
        <f>_xlfn.XLOOKUP(B1561,[1]Sheet1!$B:$B,[1]Sheet1!$U:$U,0)</f>
        <v>0</v>
      </c>
      <c r="S1561" s="12">
        <f>_xlfn.XLOOKUP(B1561,[1]Sheet1!$B:$B,[1]Sheet1!$V:$V,0)</f>
        <v>0</v>
      </c>
      <c r="T1561" s="12">
        <f>_xlfn.XLOOKUP(B1561,[1]Sheet1!$B:$B,[1]Sheet1!$W:$W,0)</f>
        <v>0</v>
      </c>
      <c r="U1561" s="12">
        <f>_xlfn.XLOOKUP(B1561,[1]Sheet1!$B:$B,[1]Sheet1!$X:$X,0)</f>
        <v>0</v>
      </c>
      <c r="V1561" s="12">
        <f>_xlfn.XLOOKUP(B1561,[1]Sheet1!$B:$B,[1]Sheet1!$Y:$Y,0)</f>
        <v>0</v>
      </c>
      <c r="W1561" s="12">
        <f t="shared" si="51"/>
        <v>0</v>
      </c>
      <c r="X1561" s="8" t="s">
        <v>2524</v>
      </c>
      <c r="Y1561" s="8" t="s">
        <v>2485</v>
      </c>
      <c r="Z1561" s="8" t="s">
        <v>2525</v>
      </c>
      <c r="AA1561" s="8" t="s">
        <v>53</v>
      </c>
      <c r="AB1561" s="8" t="s">
        <v>36</v>
      </c>
      <c r="AC1561" s="8" t="s">
        <v>37</v>
      </c>
      <c r="AD1561" s="8" t="s">
        <v>2340</v>
      </c>
      <c r="AE1561" s="8" t="s">
        <v>2208</v>
      </c>
      <c r="AF1561" s="8" t="s">
        <v>2211</v>
      </c>
      <c r="AG1561" s="9">
        <v>15429452</v>
      </c>
      <c r="AH1561" s="11">
        <f>_xlfn.XLOOKUP(B1561,[1]Sheet1!$B:$B,[1]Sheet1!$AB:$AB,0)</f>
        <v>0</v>
      </c>
    </row>
    <row r="1562" spans="2:34" ht="16.8" thickTop="1" thickBot="1" x14ac:dyDescent="0.35">
      <c r="B1562" s="3" t="str">
        <f t="shared" si="50"/>
        <v>451033245170000504510710421122200104</v>
      </c>
      <c r="C1562" s="6" t="s">
        <v>2526</v>
      </c>
      <c r="D1562" s="6" t="s">
        <v>2527</v>
      </c>
      <c r="E1562" s="6" t="s">
        <v>2528</v>
      </c>
      <c r="F1562" s="6" t="s">
        <v>2280</v>
      </c>
      <c r="G1562" s="4" t="s">
        <v>2882</v>
      </c>
      <c r="H1562" s="4" t="s">
        <v>2922</v>
      </c>
      <c r="I1562" s="6" t="s">
        <v>2213</v>
      </c>
      <c r="J1562" s="6" t="s">
        <v>31</v>
      </c>
      <c r="K1562" s="12">
        <f>_xlfn.XLOOKUP(B1562,[1]Sheet1!$B:$B,[1]Sheet1!$N:$N,0)</f>
        <v>0</v>
      </c>
      <c r="L1562" s="12">
        <f>_xlfn.XLOOKUP(B1562,[1]Sheet1!$B:$B,[1]Sheet1!$O:$O,0)</f>
        <v>0</v>
      </c>
      <c r="M1562" s="12">
        <f>_xlfn.XLOOKUP(B1562,[1]Sheet1!$B:$B,[1]Sheet1!$P:$P,0)</f>
        <v>0</v>
      </c>
      <c r="N1562" s="12">
        <f>_xlfn.XLOOKUP(B1562,[1]Sheet1!$B:$B,[1]Sheet1!$Q:$Q,0)</f>
        <v>0</v>
      </c>
      <c r="O1562" s="12">
        <f>_xlfn.XLOOKUP(B1562,[1]Sheet1!$B:$B,[1]Sheet1!$R:$R,0)</f>
        <v>0</v>
      </c>
      <c r="P1562" s="12">
        <f>_xlfn.XLOOKUP(B1562,[1]Sheet1!$B:$B,[1]Sheet1!$S:$S,0)</f>
        <v>0</v>
      </c>
      <c r="Q1562" s="12">
        <f>_xlfn.XLOOKUP(B1562,[1]Sheet1!$B:$B,[1]Sheet1!$T:$T,0)</f>
        <v>0</v>
      </c>
      <c r="R1562" s="12">
        <f>_xlfn.XLOOKUP(B1562,[1]Sheet1!$B:$B,[1]Sheet1!$U:$U,0)</f>
        <v>0</v>
      </c>
      <c r="S1562" s="12">
        <f>_xlfn.XLOOKUP(B1562,[1]Sheet1!$B:$B,[1]Sheet1!$V:$V,0)</f>
        <v>0</v>
      </c>
      <c r="T1562" s="12">
        <f>_xlfn.XLOOKUP(B1562,[1]Sheet1!$B:$B,[1]Sheet1!$W:$W,0)</f>
        <v>0</v>
      </c>
      <c r="U1562" s="12">
        <f>_xlfn.XLOOKUP(B1562,[1]Sheet1!$B:$B,[1]Sheet1!$X:$X,0)</f>
        <v>0</v>
      </c>
      <c r="V1562" s="12">
        <f>_xlfn.XLOOKUP(B1562,[1]Sheet1!$B:$B,[1]Sheet1!$Y:$Y,0)</f>
        <v>0</v>
      </c>
      <c r="W1562" s="12">
        <f t="shared" si="51"/>
        <v>0</v>
      </c>
      <c r="X1562" s="6" t="s">
        <v>2529</v>
      </c>
      <c r="Y1562" s="6" t="s">
        <v>2485</v>
      </c>
      <c r="Z1562" s="6" t="s">
        <v>2525</v>
      </c>
      <c r="AA1562" s="6" t="s">
        <v>2215</v>
      </c>
      <c r="AB1562" s="6" t="s">
        <v>36</v>
      </c>
      <c r="AC1562" s="6" t="s">
        <v>37</v>
      </c>
      <c r="AD1562" s="6" t="s">
        <v>2340</v>
      </c>
      <c r="AE1562" s="6" t="s">
        <v>2208</v>
      </c>
      <c r="AF1562" s="6" t="s">
        <v>2211</v>
      </c>
      <c r="AG1562" s="7">
        <v>600000</v>
      </c>
      <c r="AH1562" s="11">
        <f>_xlfn.XLOOKUP(B1562,[1]Sheet1!$B:$B,[1]Sheet1!$AB:$AB,0)</f>
        <v>0</v>
      </c>
    </row>
    <row r="1563" spans="2:34" ht="16.8" thickTop="1" thickBot="1" x14ac:dyDescent="0.35">
      <c r="B1563" s="3" t="str">
        <f t="shared" si="50"/>
        <v>451033245170000504510713422411200104</v>
      </c>
      <c r="C1563" s="8" t="s">
        <v>2526</v>
      </c>
      <c r="D1563" s="8" t="s">
        <v>2527</v>
      </c>
      <c r="E1563" s="8" t="s">
        <v>2528</v>
      </c>
      <c r="F1563" s="8" t="s">
        <v>2383</v>
      </c>
      <c r="G1563" s="4" t="s">
        <v>2896</v>
      </c>
      <c r="H1563" s="4" t="s">
        <v>2922</v>
      </c>
      <c r="I1563" s="8" t="s">
        <v>2384</v>
      </c>
      <c r="J1563" s="8" t="s">
        <v>31</v>
      </c>
      <c r="K1563" s="12">
        <f>_xlfn.XLOOKUP(B1563,[1]Sheet1!$B:$B,[1]Sheet1!$N:$N,0)</f>
        <v>0</v>
      </c>
      <c r="L1563" s="12">
        <f>_xlfn.XLOOKUP(B1563,[1]Sheet1!$B:$B,[1]Sheet1!$O:$O,0)</f>
        <v>0</v>
      </c>
      <c r="M1563" s="12">
        <f>_xlfn.XLOOKUP(B1563,[1]Sheet1!$B:$B,[1]Sheet1!$P:$P,0)</f>
        <v>0</v>
      </c>
      <c r="N1563" s="12">
        <f>_xlfn.XLOOKUP(B1563,[1]Sheet1!$B:$B,[1]Sheet1!$Q:$Q,0)</f>
        <v>0</v>
      </c>
      <c r="O1563" s="12">
        <f>_xlfn.XLOOKUP(B1563,[1]Sheet1!$B:$B,[1]Sheet1!$R:$R,0)</f>
        <v>0</v>
      </c>
      <c r="P1563" s="12">
        <f>_xlfn.XLOOKUP(B1563,[1]Sheet1!$B:$B,[1]Sheet1!$S:$S,0)</f>
        <v>0</v>
      </c>
      <c r="Q1563" s="12">
        <f>_xlfn.XLOOKUP(B1563,[1]Sheet1!$B:$B,[1]Sheet1!$T:$T,0)</f>
        <v>0</v>
      </c>
      <c r="R1563" s="12">
        <f>_xlfn.XLOOKUP(B1563,[1]Sheet1!$B:$B,[1]Sheet1!$U:$U,0)</f>
        <v>0</v>
      </c>
      <c r="S1563" s="12">
        <f>_xlfn.XLOOKUP(B1563,[1]Sheet1!$B:$B,[1]Sheet1!$V:$V,0)</f>
        <v>0</v>
      </c>
      <c r="T1563" s="12">
        <f>_xlfn.XLOOKUP(B1563,[1]Sheet1!$B:$B,[1]Sheet1!$W:$W,0)</f>
        <v>0</v>
      </c>
      <c r="U1563" s="12">
        <f>_xlfn.XLOOKUP(B1563,[1]Sheet1!$B:$B,[1]Sheet1!$X:$X,0)</f>
        <v>0</v>
      </c>
      <c r="V1563" s="12">
        <f>_xlfn.XLOOKUP(B1563,[1]Sheet1!$B:$B,[1]Sheet1!$Y:$Y,0)</f>
        <v>0</v>
      </c>
      <c r="W1563" s="12">
        <f t="shared" si="51"/>
        <v>0</v>
      </c>
      <c r="X1563" s="8" t="s">
        <v>2530</v>
      </c>
      <c r="Y1563" s="8" t="s">
        <v>2485</v>
      </c>
      <c r="Z1563" s="8" t="s">
        <v>2525</v>
      </c>
      <c r="AA1563" s="8" t="s">
        <v>2386</v>
      </c>
      <c r="AB1563" s="8" t="s">
        <v>36</v>
      </c>
      <c r="AC1563" s="8" t="s">
        <v>37</v>
      </c>
      <c r="AD1563" s="8" t="s">
        <v>2340</v>
      </c>
      <c r="AE1563" s="8" t="s">
        <v>2208</v>
      </c>
      <c r="AF1563" s="8" t="s">
        <v>2211</v>
      </c>
      <c r="AG1563" s="9">
        <v>11261630</v>
      </c>
      <c r="AH1563" s="11">
        <f>_xlfn.XLOOKUP(B1563,[1]Sheet1!$B:$B,[1]Sheet1!$AB:$AB,0)</f>
        <v>0</v>
      </c>
    </row>
    <row r="1564" spans="2:34" ht="16.8" thickTop="1" thickBot="1" x14ac:dyDescent="0.35">
      <c r="B1564" s="3" t="str">
        <f t="shared" si="50"/>
        <v>451033245170000504510744491211300105</v>
      </c>
      <c r="C1564" s="6" t="s">
        <v>2526</v>
      </c>
      <c r="D1564" s="6" t="s">
        <v>2527</v>
      </c>
      <c r="E1564" s="6" t="s">
        <v>2528</v>
      </c>
      <c r="F1564" s="6" t="s">
        <v>2356</v>
      </c>
      <c r="G1564" s="4" t="s">
        <v>2839</v>
      </c>
      <c r="H1564" s="4" t="s">
        <v>2923</v>
      </c>
      <c r="I1564" s="6" t="s">
        <v>411</v>
      </c>
      <c r="J1564" s="6" t="s">
        <v>31</v>
      </c>
      <c r="K1564" s="12">
        <f>_xlfn.XLOOKUP(B1564,[1]Sheet1!$B:$B,[1]Sheet1!$N:$N,0)</f>
        <v>0</v>
      </c>
      <c r="L1564" s="12">
        <f>_xlfn.XLOOKUP(B1564,[1]Sheet1!$B:$B,[1]Sheet1!$O:$O,0)</f>
        <v>0</v>
      </c>
      <c r="M1564" s="12">
        <f>_xlfn.XLOOKUP(B1564,[1]Sheet1!$B:$B,[1]Sheet1!$P:$P,0)</f>
        <v>0</v>
      </c>
      <c r="N1564" s="12">
        <f>_xlfn.XLOOKUP(B1564,[1]Sheet1!$B:$B,[1]Sheet1!$Q:$Q,0)</f>
        <v>0</v>
      </c>
      <c r="O1564" s="12">
        <f>_xlfn.XLOOKUP(B1564,[1]Sheet1!$B:$B,[1]Sheet1!$R:$R,0)</f>
        <v>0</v>
      </c>
      <c r="P1564" s="12">
        <f>_xlfn.XLOOKUP(B1564,[1]Sheet1!$B:$B,[1]Sheet1!$S:$S,0)</f>
        <v>0</v>
      </c>
      <c r="Q1564" s="12">
        <f>_xlfn.XLOOKUP(B1564,[1]Sheet1!$B:$B,[1]Sheet1!$T:$T,0)</f>
        <v>0</v>
      </c>
      <c r="R1564" s="12">
        <f>_xlfn.XLOOKUP(B1564,[1]Sheet1!$B:$B,[1]Sheet1!$U:$U,0)</f>
        <v>0</v>
      </c>
      <c r="S1564" s="12">
        <f>_xlfn.XLOOKUP(B1564,[1]Sheet1!$B:$B,[1]Sheet1!$V:$V,0)</f>
        <v>0</v>
      </c>
      <c r="T1564" s="12">
        <f>_xlfn.XLOOKUP(B1564,[1]Sheet1!$B:$B,[1]Sheet1!$W:$W,0)</f>
        <v>0</v>
      </c>
      <c r="U1564" s="12">
        <f>_xlfn.XLOOKUP(B1564,[1]Sheet1!$B:$B,[1]Sheet1!$X:$X,0)</f>
        <v>0</v>
      </c>
      <c r="V1564" s="12">
        <f>_xlfn.XLOOKUP(B1564,[1]Sheet1!$B:$B,[1]Sheet1!$Y:$Y,0)</f>
        <v>0</v>
      </c>
      <c r="W1564" s="12">
        <f t="shared" si="51"/>
        <v>0</v>
      </c>
      <c r="X1564" s="6" t="s">
        <v>2531</v>
      </c>
      <c r="Y1564" s="6" t="s">
        <v>2485</v>
      </c>
      <c r="Z1564" s="6" t="s">
        <v>2525</v>
      </c>
      <c r="AA1564" s="6" t="s">
        <v>411</v>
      </c>
      <c r="AB1564" s="6" t="s">
        <v>93</v>
      </c>
      <c r="AC1564" s="6" t="s">
        <v>94</v>
      </c>
      <c r="AD1564" s="6" t="s">
        <v>2272</v>
      </c>
      <c r="AE1564" s="6" t="s">
        <v>2208</v>
      </c>
      <c r="AF1564" s="6" t="s">
        <v>2211</v>
      </c>
      <c r="AG1564" s="7">
        <v>6000000</v>
      </c>
      <c r="AH1564" s="11">
        <f>_xlfn.XLOOKUP(B1564,[1]Sheet1!$B:$B,[1]Sheet1!$AB:$AB,0)</f>
        <v>0</v>
      </c>
    </row>
    <row r="1565" spans="2:34" ht="16.8" thickTop="1" thickBot="1" x14ac:dyDescent="0.35">
      <c r="B1565" s="3" t="str">
        <f t="shared" si="50"/>
        <v>451033245170000504510791491320300105</v>
      </c>
      <c r="C1565" s="8" t="s">
        <v>2526</v>
      </c>
      <c r="D1565" s="8" t="s">
        <v>2527</v>
      </c>
      <c r="E1565" s="8" t="s">
        <v>2528</v>
      </c>
      <c r="F1565" s="8" t="s">
        <v>2532</v>
      </c>
      <c r="G1565" s="4" t="s">
        <v>2866</v>
      </c>
      <c r="H1565" s="4" t="s">
        <v>2923</v>
      </c>
      <c r="I1565" s="8" t="s">
        <v>1159</v>
      </c>
      <c r="J1565" s="8" t="s">
        <v>31</v>
      </c>
      <c r="K1565" s="12">
        <f>_xlfn.XLOOKUP(B1565,[1]Sheet1!$B:$B,[1]Sheet1!$N:$N,0)</f>
        <v>0</v>
      </c>
      <c r="L1565" s="12">
        <f>_xlfn.XLOOKUP(B1565,[1]Sheet1!$B:$B,[1]Sheet1!$O:$O,0)</f>
        <v>0</v>
      </c>
      <c r="M1565" s="12">
        <f>_xlfn.XLOOKUP(B1565,[1]Sheet1!$B:$B,[1]Sheet1!$P:$P,0)</f>
        <v>0</v>
      </c>
      <c r="N1565" s="12">
        <f>_xlfn.XLOOKUP(B1565,[1]Sheet1!$B:$B,[1]Sheet1!$Q:$Q,0)</f>
        <v>0</v>
      </c>
      <c r="O1565" s="12">
        <f>_xlfn.XLOOKUP(B1565,[1]Sheet1!$B:$B,[1]Sheet1!$R:$R,0)</f>
        <v>0</v>
      </c>
      <c r="P1565" s="12">
        <f>_xlfn.XLOOKUP(B1565,[1]Sheet1!$B:$B,[1]Sheet1!$S:$S,0)</f>
        <v>0</v>
      </c>
      <c r="Q1565" s="12">
        <f>_xlfn.XLOOKUP(B1565,[1]Sheet1!$B:$B,[1]Sheet1!$T:$T,0)</f>
        <v>0</v>
      </c>
      <c r="R1565" s="12">
        <f>_xlfn.XLOOKUP(B1565,[1]Sheet1!$B:$B,[1]Sheet1!$U:$U,0)</f>
        <v>0</v>
      </c>
      <c r="S1565" s="12">
        <f>_xlfn.XLOOKUP(B1565,[1]Sheet1!$B:$B,[1]Sheet1!$V:$V,0)</f>
        <v>0</v>
      </c>
      <c r="T1565" s="12">
        <f>_xlfn.XLOOKUP(B1565,[1]Sheet1!$B:$B,[1]Sheet1!$W:$W,0)</f>
        <v>0</v>
      </c>
      <c r="U1565" s="12">
        <f>_xlfn.XLOOKUP(B1565,[1]Sheet1!$B:$B,[1]Sheet1!$X:$X,0)</f>
        <v>0</v>
      </c>
      <c r="V1565" s="12">
        <f>_xlfn.XLOOKUP(B1565,[1]Sheet1!$B:$B,[1]Sheet1!$Y:$Y,0)</f>
        <v>0</v>
      </c>
      <c r="W1565" s="12">
        <f t="shared" si="51"/>
        <v>0</v>
      </c>
      <c r="X1565" s="8" t="s">
        <v>2533</v>
      </c>
      <c r="Y1565" s="8" t="s">
        <v>2485</v>
      </c>
      <c r="Z1565" s="8" t="s">
        <v>2525</v>
      </c>
      <c r="AA1565" s="8" t="s">
        <v>1159</v>
      </c>
      <c r="AB1565" s="8" t="s">
        <v>93</v>
      </c>
      <c r="AC1565" s="8" t="s">
        <v>94</v>
      </c>
      <c r="AD1565" s="8" t="s">
        <v>2272</v>
      </c>
      <c r="AE1565" s="8" t="s">
        <v>2208</v>
      </c>
      <c r="AF1565" s="8" t="s">
        <v>2211</v>
      </c>
      <c r="AG1565" s="9">
        <v>5995611</v>
      </c>
      <c r="AH1565" s="11">
        <f>_xlfn.XLOOKUP(B1565,[1]Sheet1!$B:$B,[1]Sheet1!$AB:$AB,0)</f>
        <v>0</v>
      </c>
    </row>
    <row r="1566" spans="2:34" ht="16.8" thickTop="1" thickBot="1" x14ac:dyDescent="0.35">
      <c r="B1566" s="3" t="str">
        <f t="shared" si="50"/>
        <v>451033245170000514510701422511200104</v>
      </c>
      <c r="C1566" s="6" t="s">
        <v>2526</v>
      </c>
      <c r="D1566" s="6" t="s">
        <v>2534</v>
      </c>
      <c r="E1566" s="6" t="s">
        <v>2535</v>
      </c>
      <c r="F1566" s="6" t="s">
        <v>2536</v>
      </c>
      <c r="G1566" s="4" t="s">
        <v>2819</v>
      </c>
      <c r="H1566" s="4" t="s">
        <v>2922</v>
      </c>
      <c r="I1566" s="6" t="s">
        <v>151</v>
      </c>
      <c r="J1566" s="6" t="s">
        <v>31</v>
      </c>
      <c r="K1566" s="12">
        <f>_xlfn.XLOOKUP(B1566,[1]Sheet1!$B:$B,[1]Sheet1!$N:$N,0)</f>
        <v>0</v>
      </c>
      <c r="L1566" s="12">
        <f>_xlfn.XLOOKUP(B1566,[1]Sheet1!$B:$B,[1]Sheet1!$O:$O,0)</f>
        <v>0</v>
      </c>
      <c r="M1566" s="12">
        <f>_xlfn.XLOOKUP(B1566,[1]Sheet1!$B:$B,[1]Sheet1!$P:$P,0)</f>
        <v>0</v>
      </c>
      <c r="N1566" s="12">
        <f>_xlfn.XLOOKUP(B1566,[1]Sheet1!$B:$B,[1]Sheet1!$Q:$Q,0)</f>
        <v>0</v>
      </c>
      <c r="O1566" s="12">
        <f>_xlfn.XLOOKUP(B1566,[1]Sheet1!$B:$B,[1]Sheet1!$R:$R,0)</f>
        <v>0</v>
      </c>
      <c r="P1566" s="12">
        <f>_xlfn.XLOOKUP(B1566,[1]Sheet1!$B:$B,[1]Sheet1!$S:$S,0)</f>
        <v>0</v>
      </c>
      <c r="Q1566" s="12">
        <f>_xlfn.XLOOKUP(B1566,[1]Sheet1!$B:$B,[1]Sheet1!$T:$T,0)</f>
        <v>0</v>
      </c>
      <c r="R1566" s="12">
        <f>_xlfn.XLOOKUP(B1566,[1]Sheet1!$B:$B,[1]Sheet1!$U:$U,0)</f>
        <v>0</v>
      </c>
      <c r="S1566" s="12">
        <f>_xlfn.XLOOKUP(B1566,[1]Sheet1!$B:$B,[1]Sheet1!$V:$V,0)</f>
        <v>0</v>
      </c>
      <c r="T1566" s="12">
        <f>_xlfn.XLOOKUP(B1566,[1]Sheet1!$B:$B,[1]Sheet1!$W:$W,0)</f>
        <v>0</v>
      </c>
      <c r="U1566" s="12">
        <f>_xlfn.XLOOKUP(B1566,[1]Sheet1!$B:$B,[1]Sheet1!$X:$X,0)</f>
        <v>0</v>
      </c>
      <c r="V1566" s="12">
        <f>_xlfn.XLOOKUP(B1566,[1]Sheet1!$B:$B,[1]Sheet1!$Y:$Y,0)</f>
        <v>0</v>
      </c>
      <c r="W1566" s="12">
        <f t="shared" si="51"/>
        <v>0</v>
      </c>
      <c r="X1566" s="6" t="s">
        <v>2537</v>
      </c>
      <c r="Y1566" s="6" t="s">
        <v>2485</v>
      </c>
      <c r="Z1566" s="6" t="s">
        <v>2525</v>
      </c>
      <c r="AA1566" s="6" t="s">
        <v>151</v>
      </c>
      <c r="AB1566" s="6" t="s">
        <v>36</v>
      </c>
      <c r="AC1566" s="6" t="s">
        <v>37</v>
      </c>
      <c r="AD1566" s="6" t="s">
        <v>2340</v>
      </c>
      <c r="AE1566" s="6" t="s">
        <v>2208</v>
      </c>
      <c r="AF1566" s="6" t="s">
        <v>2211</v>
      </c>
      <c r="AG1566" s="7">
        <v>4150000</v>
      </c>
      <c r="AH1566" s="11">
        <f>_xlfn.XLOOKUP(B1566,[1]Sheet1!$B:$B,[1]Sheet1!$AB:$AB,0)</f>
        <v>0</v>
      </c>
    </row>
    <row r="1567" spans="2:34" ht="16.8" thickTop="1" thickBot="1" x14ac:dyDescent="0.35">
      <c r="B1567" s="3" t="str">
        <f t="shared" si="50"/>
        <v>451033245170000514510705424231200104</v>
      </c>
      <c r="C1567" s="8" t="s">
        <v>2526</v>
      </c>
      <c r="D1567" s="8" t="s">
        <v>2534</v>
      </c>
      <c r="E1567" s="8" t="s">
        <v>2535</v>
      </c>
      <c r="F1567" s="8" t="s">
        <v>2538</v>
      </c>
      <c r="G1567" s="4" t="s">
        <v>2832</v>
      </c>
      <c r="H1567" s="4" t="s">
        <v>2922</v>
      </c>
      <c r="I1567" s="8" t="s">
        <v>324</v>
      </c>
      <c r="J1567" s="8" t="s">
        <v>31</v>
      </c>
      <c r="K1567" s="12">
        <f>_xlfn.XLOOKUP(B1567,[1]Sheet1!$B:$B,[1]Sheet1!$N:$N,0)</f>
        <v>0</v>
      </c>
      <c r="L1567" s="12">
        <f>_xlfn.XLOOKUP(B1567,[1]Sheet1!$B:$B,[1]Sheet1!$O:$O,0)</f>
        <v>0</v>
      </c>
      <c r="M1567" s="12">
        <f>_xlfn.XLOOKUP(B1567,[1]Sheet1!$B:$B,[1]Sheet1!$P:$P,0)</f>
        <v>0</v>
      </c>
      <c r="N1567" s="12">
        <f>_xlfn.XLOOKUP(B1567,[1]Sheet1!$B:$B,[1]Sheet1!$Q:$Q,0)</f>
        <v>0</v>
      </c>
      <c r="O1567" s="12">
        <f>_xlfn.XLOOKUP(B1567,[1]Sheet1!$B:$B,[1]Sheet1!$R:$R,0)</f>
        <v>0</v>
      </c>
      <c r="P1567" s="12">
        <f>_xlfn.XLOOKUP(B1567,[1]Sheet1!$B:$B,[1]Sheet1!$S:$S,0)</f>
        <v>0</v>
      </c>
      <c r="Q1567" s="12">
        <f>_xlfn.XLOOKUP(B1567,[1]Sheet1!$B:$B,[1]Sheet1!$T:$T,0)</f>
        <v>0</v>
      </c>
      <c r="R1567" s="12">
        <f>_xlfn.XLOOKUP(B1567,[1]Sheet1!$B:$B,[1]Sheet1!$U:$U,0)</f>
        <v>0</v>
      </c>
      <c r="S1567" s="12">
        <f>_xlfn.XLOOKUP(B1567,[1]Sheet1!$B:$B,[1]Sheet1!$V:$V,0)</f>
        <v>0</v>
      </c>
      <c r="T1567" s="12">
        <f>_xlfn.XLOOKUP(B1567,[1]Sheet1!$B:$B,[1]Sheet1!$W:$W,0)</f>
        <v>0</v>
      </c>
      <c r="U1567" s="12">
        <f>_xlfn.XLOOKUP(B1567,[1]Sheet1!$B:$B,[1]Sheet1!$X:$X,0)</f>
        <v>0</v>
      </c>
      <c r="V1567" s="12">
        <f>_xlfn.XLOOKUP(B1567,[1]Sheet1!$B:$B,[1]Sheet1!$Y:$Y,0)</f>
        <v>0</v>
      </c>
      <c r="W1567" s="12">
        <f t="shared" si="51"/>
        <v>0</v>
      </c>
      <c r="X1567" s="8" t="s">
        <v>2539</v>
      </c>
      <c r="Y1567" s="8" t="s">
        <v>2485</v>
      </c>
      <c r="Z1567" s="8" t="s">
        <v>2525</v>
      </c>
      <c r="AA1567" s="8" t="s">
        <v>326</v>
      </c>
      <c r="AB1567" s="8" t="s">
        <v>36</v>
      </c>
      <c r="AC1567" s="8" t="s">
        <v>37</v>
      </c>
      <c r="AD1567" s="8" t="s">
        <v>2340</v>
      </c>
      <c r="AE1567" s="8" t="s">
        <v>2208</v>
      </c>
      <c r="AF1567" s="8" t="s">
        <v>2211</v>
      </c>
      <c r="AG1567" s="9">
        <v>213333</v>
      </c>
      <c r="AH1567" s="11">
        <f>_xlfn.XLOOKUP(B1567,[1]Sheet1!$B:$B,[1]Sheet1!$AB:$AB,0)</f>
        <v>0</v>
      </c>
    </row>
    <row r="1568" spans="2:34" ht="16.8" thickTop="1" thickBot="1" x14ac:dyDescent="0.35">
      <c r="B1568" s="3" t="str">
        <f t="shared" si="50"/>
        <v>451033245170000514510737421125200104</v>
      </c>
      <c r="C1568" s="6" t="s">
        <v>2526</v>
      </c>
      <c r="D1568" s="6" t="s">
        <v>2534</v>
      </c>
      <c r="E1568" s="6" t="s">
        <v>2535</v>
      </c>
      <c r="F1568" s="6" t="s">
        <v>2540</v>
      </c>
      <c r="G1568" s="4" t="s">
        <v>2803</v>
      </c>
      <c r="H1568" s="4" t="s">
        <v>2922</v>
      </c>
      <c r="I1568" s="6" t="s">
        <v>44</v>
      </c>
      <c r="J1568" s="6" t="s">
        <v>31</v>
      </c>
      <c r="K1568" s="12">
        <f>_xlfn.XLOOKUP(B1568,[1]Sheet1!$B:$B,[1]Sheet1!$N:$N,0)</f>
        <v>0</v>
      </c>
      <c r="L1568" s="12">
        <f>_xlfn.XLOOKUP(B1568,[1]Sheet1!$B:$B,[1]Sheet1!$O:$O,0)</f>
        <v>0</v>
      </c>
      <c r="M1568" s="12">
        <f>_xlfn.XLOOKUP(B1568,[1]Sheet1!$B:$B,[1]Sheet1!$P:$P,0)</f>
        <v>0</v>
      </c>
      <c r="N1568" s="12">
        <f>_xlfn.XLOOKUP(B1568,[1]Sheet1!$B:$B,[1]Sheet1!$Q:$Q,0)</f>
        <v>0</v>
      </c>
      <c r="O1568" s="12">
        <f>_xlfn.XLOOKUP(B1568,[1]Sheet1!$B:$B,[1]Sheet1!$R:$R,0)</f>
        <v>0</v>
      </c>
      <c r="P1568" s="12">
        <f>_xlfn.XLOOKUP(B1568,[1]Sheet1!$B:$B,[1]Sheet1!$S:$S,0)</f>
        <v>0</v>
      </c>
      <c r="Q1568" s="12">
        <f>_xlfn.XLOOKUP(B1568,[1]Sheet1!$B:$B,[1]Sheet1!$T:$T,0)</f>
        <v>0</v>
      </c>
      <c r="R1568" s="12">
        <f>_xlfn.XLOOKUP(B1568,[1]Sheet1!$B:$B,[1]Sheet1!$U:$U,0)</f>
        <v>0</v>
      </c>
      <c r="S1568" s="12">
        <f>_xlfn.XLOOKUP(B1568,[1]Sheet1!$B:$B,[1]Sheet1!$V:$V,0)</f>
        <v>0</v>
      </c>
      <c r="T1568" s="12">
        <f>_xlfn.XLOOKUP(B1568,[1]Sheet1!$B:$B,[1]Sheet1!$W:$W,0)</f>
        <v>0</v>
      </c>
      <c r="U1568" s="12">
        <f>_xlfn.XLOOKUP(B1568,[1]Sheet1!$B:$B,[1]Sheet1!$X:$X,0)</f>
        <v>0</v>
      </c>
      <c r="V1568" s="12">
        <f>_xlfn.XLOOKUP(B1568,[1]Sheet1!$B:$B,[1]Sheet1!$Y:$Y,0)</f>
        <v>0</v>
      </c>
      <c r="W1568" s="12">
        <f t="shared" si="51"/>
        <v>0</v>
      </c>
      <c r="X1568" s="6" t="s">
        <v>2541</v>
      </c>
      <c r="Y1568" s="6" t="s">
        <v>2485</v>
      </c>
      <c r="Z1568" s="6" t="s">
        <v>2525</v>
      </c>
      <c r="AA1568" s="6" t="s">
        <v>44</v>
      </c>
      <c r="AB1568" s="6" t="s">
        <v>36</v>
      </c>
      <c r="AC1568" s="6" t="s">
        <v>37</v>
      </c>
      <c r="AD1568" s="6" t="s">
        <v>2340</v>
      </c>
      <c r="AE1568" s="6" t="s">
        <v>2208</v>
      </c>
      <c r="AF1568" s="6" t="s">
        <v>2211</v>
      </c>
      <c r="AG1568" s="7">
        <v>700000</v>
      </c>
      <c r="AH1568" s="11">
        <f>_xlfn.XLOOKUP(B1568,[1]Sheet1!$B:$B,[1]Sheet1!$AB:$AB,0)</f>
        <v>0</v>
      </c>
    </row>
    <row r="1569" spans="2:34" ht="16.8" thickTop="1" thickBot="1" x14ac:dyDescent="0.35">
      <c r="B1569" s="3" t="str">
        <f t="shared" si="50"/>
        <v>451033245170000514510738421125200104</v>
      </c>
      <c r="C1569" s="8" t="s">
        <v>2526</v>
      </c>
      <c r="D1569" s="8" t="s">
        <v>2534</v>
      </c>
      <c r="E1569" s="8" t="s">
        <v>2535</v>
      </c>
      <c r="F1569" s="8" t="s">
        <v>2542</v>
      </c>
      <c r="G1569" s="4" t="s">
        <v>2803</v>
      </c>
      <c r="H1569" s="4" t="s">
        <v>2922</v>
      </c>
      <c r="I1569" s="8" t="s">
        <v>44</v>
      </c>
      <c r="J1569" s="8" t="s">
        <v>31</v>
      </c>
      <c r="K1569" s="12">
        <f>_xlfn.XLOOKUP(B1569,[1]Sheet1!$B:$B,[1]Sheet1!$N:$N,0)</f>
        <v>0</v>
      </c>
      <c r="L1569" s="12">
        <f>_xlfn.XLOOKUP(B1569,[1]Sheet1!$B:$B,[1]Sheet1!$O:$O,0)</f>
        <v>0</v>
      </c>
      <c r="M1569" s="12">
        <f>_xlfn.XLOOKUP(B1569,[1]Sheet1!$B:$B,[1]Sheet1!$P:$P,0)</f>
        <v>0</v>
      </c>
      <c r="N1569" s="12">
        <f>_xlfn.XLOOKUP(B1569,[1]Sheet1!$B:$B,[1]Sheet1!$Q:$Q,0)</f>
        <v>0</v>
      </c>
      <c r="O1569" s="12">
        <f>_xlfn.XLOOKUP(B1569,[1]Sheet1!$B:$B,[1]Sheet1!$R:$R,0)</f>
        <v>0</v>
      </c>
      <c r="P1569" s="12">
        <f>_xlfn.XLOOKUP(B1569,[1]Sheet1!$B:$B,[1]Sheet1!$S:$S,0)</f>
        <v>0</v>
      </c>
      <c r="Q1569" s="12">
        <f>_xlfn.XLOOKUP(B1569,[1]Sheet1!$B:$B,[1]Sheet1!$T:$T,0)</f>
        <v>0</v>
      </c>
      <c r="R1569" s="12">
        <f>_xlfn.XLOOKUP(B1569,[1]Sheet1!$B:$B,[1]Sheet1!$U:$U,0)</f>
        <v>0</v>
      </c>
      <c r="S1569" s="12">
        <f>_xlfn.XLOOKUP(B1569,[1]Sheet1!$B:$B,[1]Sheet1!$V:$V,0)</f>
        <v>0</v>
      </c>
      <c r="T1569" s="12">
        <f>_xlfn.XLOOKUP(B1569,[1]Sheet1!$B:$B,[1]Sheet1!$W:$W,0)</f>
        <v>0</v>
      </c>
      <c r="U1569" s="12">
        <f>_xlfn.XLOOKUP(B1569,[1]Sheet1!$B:$B,[1]Sheet1!$X:$X,0)</f>
        <v>0</v>
      </c>
      <c r="V1569" s="12">
        <f>_xlfn.XLOOKUP(B1569,[1]Sheet1!$B:$B,[1]Sheet1!$Y:$Y,0)</f>
        <v>0</v>
      </c>
      <c r="W1569" s="12">
        <f t="shared" si="51"/>
        <v>0</v>
      </c>
      <c r="X1569" s="8" t="s">
        <v>2541</v>
      </c>
      <c r="Y1569" s="8" t="s">
        <v>2485</v>
      </c>
      <c r="Z1569" s="8" t="s">
        <v>2525</v>
      </c>
      <c r="AA1569" s="8" t="s">
        <v>44</v>
      </c>
      <c r="AB1569" s="8" t="s">
        <v>36</v>
      </c>
      <c r="AC1569" s="8" t="s">
        <v>37</v>
      </c>
      <c r="AD1569" s="8" t="s">
        <v>2340</v>
      </c>
      <c r="AE1569" s="8" t="s">
        <v>2208</v>
      </c>
      <c r="AF1569" s="8" t="s">
        <v>2211</v>
      </c>
      <c r="AG1569" s="9">
        <v>6865500</v>
      </c>
      <c r="AH1569" s="11">
        <f>_xlfn.XLOOKUP(B1569,[1]Sheet1!$B:$B,[1]Sheet1!$AB:$AB,0)</f>
        <v>0</v>
      </c>
    </row>
    <row r="1570" spans="2:34" ht="16.8" thickTop="1" thickBot="1" x14ac:dyDescent="0.35">
      <c r="B1570" s="3" t="str">
        <f t="shared" si="50"/>
        <v>451034145170000524510713422411200104</v>
      </c>
      <c r="C1570" s="6" t="s">
        <v>2547</v>
      </c>
      <c r="D1570" s="6" t="s">
        <v>2543</v>
      </c>
      <c r="E1570" s="6" t="s">
        <v>2544</v>
      </c>
      <c r="F1570" s="6" t="s">
        <v>2383</v>
      </c>
      <c r="G1570" s="4" t="s">
        <v>2896</v>
      </c>
      <c r="H1570" s="4" t="s">
        <v>2922</v>
      </c>
      <c r="I1570" s="6" t="s">
        <v>2384</v>
      </c>
      <c r="J1570" s="6" t="s">
        <v>31</v>
      </c>
      <c r="K1570" s="12">
        <f>_xlfn.XLOOKUP(B1570,[1]Sheet1!$B:$B,[1]Sheet1!$N:$N,0)</f>
        <v>0</v>
      </c>
      <c r="L1570" s="12">
        <f>_xlfn.XLOOKUP(B1570,[1]Sheet1!$B:$B,[1]Sheet1!$O:$O,0)</f>
        <v>0</v>
      </c>
      <c r="M1570" s="12">
        <f>_xlfn.XLOOKUP(B1570,[1]Sheet1!$B:$B,[1]Sheet1!$P:$P,0)</f>
        <v>0</v>
      </c>
      <c r="N1570" s="12">
        <f>_xlfn.XLOOKUP(B1570,[1]Sheet1!$B:$B,[1]Sheet1!$Q:$Q,0)</f>
        <v>0</v>
      </c>
      <c r="O1570" s="12">
        <f>_xlfn.XLOOKUP(B1570,[1]Sheet1!$B:$B,[1]Sheet1!$R:$R,0)</f>
        <v>0</v>
      </c>
      <c r="P1570" s="12">
        <f>_xlfn.XLOOKUP(B1570,[1]Sheet1!$B:$B,[1]Sheet1!$S:$S,0)</f>
        <v>0</v>
      </c>
      <c r="Q1570" s="12">
        <f>_xlfn.XLOOKUP(B1570,[1]Sheet1!$B:$B,[1]Sheet1!$T:$T,0)</f>
        <v>0</v>
      </c>
      <c r="R1570" s="12">
        <f>_xlfn.XLOOKUP(B1570,[1]Sheet1!$B:$B,[1]Sheet1!$U:$U,0)</f>
        <v>0</v>
      </c>
      <c r="S1570" s="12">
        <f>_xlfn.XLOOKUP(B1570,[1]Sheet1!$B:$B,[1]Sheet1!$V:$V,0)</f>
        <v>0</v>
      </c>
      <c r="T1570" s="12">
        <f>_xlfn.XLOOKUP(B1570,[1]Sheet1!$B:$B,[1]Sheet1!$W:$W,0)</f>
        <v>0</v>
      </c>
      <c r="U1570" s="12">
        <f>_xlfn.XLOOKUP(B1570,[1]Sheet1!$B:$B,[1]Sheet1!$X:$X,0)</f>
        <v>0</v>
      </c>
      <c r="V1570" s="12">
        <f>_xlfn.XLOOKUP(B1570,[1]Sheet1!$B:$B,[1]Sheet1!$Y:$Y,0)</f>
        <v>0</v>
      </c>
      <c r="W1570" s="12">
        <f t="shared" si="51"/>
        <v>0</v>
      </c>
      <c r="X1570" s="6" t="s">
        <v>2545</v>
      </c>
      <c r="Y1570" s="6" t="s">
        <v>2485</v>
      </c>
      <c r="Z1570" s="6" t="s">
        <v>2546</v>
      </c>
      <c r="AA1570" s="6" t="s">
        <v>2386</v>
      </c>
      <c r="AB1570" s="6" t="s">
        <v>36</v>
      </c>
      <c r="AC1570" s="6" t="s">
        <v>37</v>
      </c>
      <c r="AD1570" s="6" t="s">
        <v>2340</v>
      </c>
      <c r="AE1570" s="6" t="s">
        <v>2208</v>
      </c>
      <c r="AF1570" s="6" t="s">
        <v>2211</v>
      </c>
      <c r="AG1570" s="7">
        <v>1050000</v>
      </c>
      <c r="AH1570" s="11">
        <f>_xlfn.XLOOKUP(B1570,[1]Sheet1!$B:$B,[1]Sheet1!$AB:$AB,0)</f>
        <v>0</v>
      </c>
    </row>
    <row r="1571" spans="2:34" ht="16.8" thickTop="1" thickBot="1" x14ac:dyDescent="0.35">
      <c r="B1571" s="3" t="str">
        <f t="shared" si="50"/>
        <v>451034145170000544510705424231200104</v>
      </c>
      <c r="C1571" s="8" t="s">
        <v>2547</v>
      </c>
      <c r="D1571" s="8" t="s">
        <v>2548</v>
      </c>
      <c r="E1571" s="8" t="s">
        <v>2549</v>
      </c>
      <c r="F1571" s="8" t="s">
        <v>2538</v>
      </c>
      <c r="G1571" s="4" t="s">
        <v>2832</v>
      </c>
      <c r="H1571" s="4" t="s">
        <v>2922</v>
      </c>
      <c r="I1571" s="8" t="s">
        <v>324</v>
      </c>
      <c r="J1571" s="8" t="s">
        <v>31</v>
      </c>
      <c r="K1571" s="12">
        <f>_xlfn.XLOOKUP(B1571,[1]Sheet1!$B:$B,[1]Sheet1!$N:$N,0)</f>
        <v>0</v>
      </c>
      <c r="L1571" s="12">
        <f>_xlfn.XLOOKUP(B1571,[1]Sheet1!$B:$B,[1]Sheet1!$O:$O,0)</f>
        <v>0</v>
      </c>
      <c r="M1571" s="12">
        <f>_xlfn.XLOOKUP(B1571,[1]Sheet1!$B:$B,[1]Sheet1!$P:$P,0)</f>
        <v>0</v>
      </c>
      <c r="N1571" s="12">
        <f>_xlfn.XLOOKUP(B1571,[1]Sheet1!$B:$B,[1]Sheet1!$Q:$Q,0)</f>
        <v>0</v>
      </c>
      <c r="O1571" s="12">
        <f>_xlfn.XLOOKUP(B1571,[1]Sheet1!$B:$B,[1]Sheet1!$R:$R,0)</f>
        <v>0</v>
      </c>
      <c r="P1571" s="12">
        <f>_xlfn.XLOOKUP(B1571,[1]Sheet1!$B:$B,[1]Sheet1!$S:$S,0)</f>
        <v>0</v>
      </c>
      <c r="Q1571" s="12">
        <f>_xlfn.XLOOKUP(B1571,[1]Sheet1!$B:$B,[1]Sheet1!$T:$T,0)</f>
        <v>0</v>
      </c>
      <c r="R1571" s="12">
        <f>_xlfn.XLOOKUP(B1571,[1]Sheet1!$B:$B,[1]Sheet1!$U:$U,0)</f>
        <v>0</v>
      </c>
      <c r="S1571" s="12">
        <f>_xlfn.XLOOKUP(B1571,[1]Sheet1!$B:$B,[1]Sheet1!$V:$V,0)</f>
        <v>0</v>
      </c>
      <c r="T1571" s="12">
        <f>_xlfn.XLOOKUP(B1571,[1]Sheet1!$B:$B,[1]Sheet1!$W:$W,0)</f>
        <v>0</v>
      </c>
      <c r="U1571" s="12">
        <f>_xlfn.XLOOKUP(B1571,[1]Sheet1!$B:$B,[1]Sheet1!$X:$X,0)</f>
        <v>0</v>
      </c>
      <c r="V1571" s="12">
        <f>_xlfn.XLOOKUP(B1571,[1]Sheet1!$B:$B,[1]Sheet1!$Y:$Y,0)</f>
        <v>0</v>
      </c>
      <c r="W1571" s="12">
        <f t="shared" si="51"/>
        <v>0</v>
      </c>
      <c r="X1571" s="8" t="s">
        <v>2550</v>
      </c>
      <c r="Y1571" s="8" t="s">
        <v>2485</v>
      </c>
      <c r="Z1571" s="8" t="s">
        <v>2546</v>
      </c>
      <c r="AA1571" s="8" t="s">
        <v>326</v>
      </c>
      <c r="AB1571" s="8" t="s">
        <v>36</v>
      </c>
      <c r="AC1571" s="8" t="s">
        <v>37</v>
      </c>
      <c r="AD1571" s="8" t="s">
        <v>2340</v>
      </c>
      <c r="AE1571" s="8" t="s">
        <v>2208</v>
      </c>
      <c r="AF1571" s="8" t="s">
        <v>2211</v>
      </c>
      <c r="AG1571" s="9">
        <v>250000</v>
      </c>
      <c r="AH1571" s="11">
        <f>_xlfn.XLOOKUP(B1571,[1]Sheet1!$B:$B,[1]Sheet1!$AB:$AB,0)</f>
        <v>0</v>
      </c>
    </row>
    <row r="1572" spans="2:34" ht="16.8" thickTop="1" thickBot="1" x14ac:dyDescent="0.35">
      <c r="B1572" s="3" t="str">
        <f t="shared" si="50"/>
        <v>451034145170000544510713422411200104</v>
      </c>
      <c r="C1572" s="6" t="s">
        <v>2547</v>
      </c>
      <c r="D1572" s="6" t="s">
        <v>2548</v>
      </c>
      <c r="E1572" s="6" t="s">
        <v>2549</v>
      </c>
      <c r="F1572" s="6" t="s">
        <v>2383</v>
      </c>
      <c r="G1572" s="4" t="s">
        <v>2896</v>
      </c>
      <c r="H1572" s="4" t="s">
        <v>2922</v>
      </c>
      <c r="I1572" s="6" t="s">
        <v>2384</v>
      </c>
      <c r="J1572" s="6" t="s">
        <v>31</v>
      </c>
      <c r="K1572" s="12">
        <f>_xlfn.XLOOKUP(B1572,[1]Sheet1!$B:$B,[1]Sheet1!$N:$N,0)</f>
        <v>0</v>
      </c>
      <c r="L1572" s="12">
        <f>_xlfn.XLOOKUP(B1572,[1]Sheet1!$B:$B,[1]Sheet1!$O:$O,0)</f>
        <v>0</v>
      </c>
      <c r="M1572" s="12">
        <f>_xlfn.XLOOKUP(B1572,[1]Sheet1!$B:$B,[1]Sheet1!$P:$P,0)</f>
        <v>0</v>
      </c>
      <c r="N1572" s="12">
        <f>_xlfn.XLOOKUP(B1572,[1]Sheet1!$B:$B,[1]Sheet1!$Q:$Q,0)</f>
        <v>0</v>
      </c>
      <c r="O1572" s="12">
        <f>_xlfn.XLOOKUP(B1572,[1]Sheet1!$B:$B,[1]Sheet1!$R:$R,0)</f>
        <v>0</v>
      </c>
      <c r="P1572" s="12">
        <f>_xlfn.XLOOKUP(B1572,[1]Sheet1!$B:$B,[1]Sheet1!$S:$S,0)</f>
        <v>0</v>
      </c>
      <c r="Q1572" s="12">
        <f>_xlfn.XLOOKUP(B1572,[1]Sheet1!$B:$B,[1]Sheet1!$T:$T,0)</f>
        <v>0</v>
      </c>
      <c r="R1572" s="12">
        <f>_xlfn.XLOOKUP(B1572,[1]Sheet1!$B:$B,[1]Sheet1!$U:$U,0)</f>
        <v>0</v>
      </c>
      <c r="S1572" s="12">
        <f>_xlfn.XLOOKUP(B1572,[1]Sheet1!$B:$B,[1]Sheet1!$V:$V,0)</f>
        <v>0</v>
      </c>
      <c r="T1572" s="12">
        <f>_xlfn.XLOOKUP(B1572,[1]Sheet1!$B:$B,[1]Sheet1!$W:$W,0)</f>
        <v>0</v>
      </c>
      <c r="U1572" s="12">
        <f>_xlfn.XLOOKUP(B1572,[1]Sheet1!$B:$B,[1]Sheet1!$X:$X,0)</f>
        <v>0</v>
      </c>
      <c r="V1572" s="12">
        <f>_xlfn.XLOOKUP(B1572,[1]Sheet1!$B:$B,[1]Sheet1!$Y:$Y,0)</f>
        <v>0</v>
      </c>
      <c r="W1572" s="12">
        <f t="shared" si="51"/>
        <v>0</v>
      </c>
      <c r="X1572" s="6" t="s">
        <v>2545</v>
      </c>
      <c r="Y1572" s="6" t="s">
        <v>2485</v>
      </c>
      <c r="Z1572" s="6" t="s">
        <v>2546</v>
      </c>
      <c r="AA1572" s="6" t="s">
        <v>2386</v>
      </c>
      <c r="AB1572" s="6" t="s">
        <v>36</v>
      </c>
      <c r="AC1572" s="6" t="s">
        <v>37</v>
      </c>
      <c r="AD1572" s="6" t="s">
        <v>2340</v>
      </c>
      <c r="AE1572" s="6" t="s">
        <v>2208</v>
      </c>
      <c r="AF1572" s="6" t="s">
        <v>2211</v>
      </c>
      <c r="AG1572" s="7">
        <v>560000</v>
      </c>
      <c r="AH1572" s="11">
        <f>_xlfn.XLOOKUP(B1572,[1]Sheet1!$B:$B,[1]Sheet1!$AB:$AB,0)</f>
        <v>0</v>
      </c>
    </row>
    <row r="1573" spans="2:34" ht="16.8" thickTop="1" thickBot="1" x14ac:dyDescent="0.35">
      <c r="B1573" s="3" t="str">
        <f t="shared" si="50"/>
        <v>451034245170000554510708422321200104</v>
      </c>
      <c r="C1573" s="8" t="s">
        <v>2556</v>
      </c>
      <c r="D1573" s="8" t="s">
        <v>2551</v>
      </c>
      <c r="E1573" s="8" t="s">
        <v>2552</v>
      </c>
      <c r="F1573" s="8" t="s">
        <v>2553</v>
      </c>
      <c r="G1573" s="4" t="s">
        <v>2816</v>
      </c>
      <c r="H1573" s="4" t="s">
        <v>2922</v>
      </c>
      <c r="I1573" s="8" t="s">
        <v>104</v>
      </c>
      <c r="J1573" s="8" t="s">
        <v>31</v>
      </c>
      <c r="K1573" s="12">
        <f>_xlfn.XLOOKUP(B1573,[1]Sheet1!$B:$B,[1]Sheet1!$N:$N,0)</f>
        <v>0</v>
      </c>
      <c r="L1573" s="12">
        <f>_xlfn.XLOOKUP(B1573,[1]Sheet1!$B:$B,[1]Sheet1!$O:$O,0)</f>
        <v>0</v>
      </c>
      <c r="M1573" s="12">
        <f>_xlfn.XLOOKUP(B1573,[1]Sheet1!$B:$B,[1]Sheet1!$P:$P,0)</f>
        <v>0</v>
      </c>
      <c r="N1573" s="12">
        <f>_xlfn.XLOOKUP(B1573,[1]Sheet1!$B:$B,[1]Sheet1!$Q:$Q,0)</f>
        <v>0</v>
      </c>
      <c r="O1573" s="12">
        <f>_xlfn.XLOOKUP(B1573,[1]Sheet1!$B:$B,[1]Sheet1!$R:$R,0)</f>
        <v>0</v>
      </c>
      <c r="P1573" s="12">
        <f>_xlfn.XLOOKUP(B1573,[1]Sheet1!$B:$B,[1]Sheet1!$S:$S,0)</f>
        <v>0</v>
      </c>
      <c r="Q1573" s="12">
        <f>_xlfn.XLOOKUP(B1573,[1]Sheet1!$B:$B,[1]Sheet1!$T:$T,0)</f>
        <v>0</v>
      </c>
      <c r="R1573" s="12">
        <f>_xlfn.XLOOKUP(B1573,[1]Sheet1!$B:$B,[1]Sheet1!$U:$U,0)</f>
        <v>0</v>
      </c>
      <c r="S1573" s="12">
        <f>_xlfn.XLOOKUP(B1573,[1]Sheet1!$B:$B,[1]Sheet1!$V:$V,0)</f>
        <v>0</v>
      </c>
      <c r="T1573" s="12">
        <f>_xlfn.XLOOKUP(B1573,[1]Sheet1!$B:$B,[1]Sheet1!$W:$W,0)</f>
        <v>0</v>
      </c>
      <c r="U1573" s="12">
        <f>_xlfn.XLOOKUP(B1573,[1]Sheet1!$B:$B,[1]Sheet1!$X:$X,0)</f>
        <v>0</v>
      </c>
      <c r="V1573" s="12">
        <f>_xlfn.XLOOKUP(B1573,[1]Sheet1!$B:$B,[1]Sheet1!$Y:$Y,0)</f>
        <v>0</v>
      </c>
      <c r="W1573" s="12">
        <f t="shared" si="51"/>
        <v>0</v>
      </c>
      <c r="X1573" s="8" t="s">
        <v>2554</v>
      </c>
      <c r="Y1573" s="8" t="s">
        <v>2485</v>
      </c>
      <c r="Z1573" s="8" t="s">
        <v>2555</v>
      </c>
      <c r="AA1573" s="8" t="s">
        <v>106</v>
      </c>
      <c r="AB1573" s="8" t="s">
        <v>36</v>
      </c>
      <c r="AC1573" s="8" t="s">
        <v>37</v>
      </c>
      <c r="AD1573" s="8" t="s">
        <v>2340</v>
      </c>
      <c r="AE1573" s="8" t="s">
        <v>2208</v>
      </c>
      <c r="AF1573" s="8" t="s">
        <v>2211</v>
      </c>
      <c r="AG1573" s="9">
        <v>5034933</v>
      </c>
      <c r="AH1573" s="11">
        <f>_xlfn.XLOOKUP(B1573,[1]Sheet1!$B:$B,[1]Sheet1!$AB:$AB,0)</f>
        <v>0</v>
      </c>
    </row>
    <row r="1574" spans="2:34" ht="16.8" thickTop="1" thickBot="1" x14ac:dyDescent="0.35">
      <c r="B1574" s="3" t="str">
        <f t="shared" si="50"/>
        <v>451034245170000554510719422718200104</v>
      </c>
      <c r="C1574" s="6" t="s">
        <v>2556</v>
      </c>
      <c r="D1574" s="6" t="s">
        <v>2551</v>
      </c>
      <c r="E1574" s="6" t="s">
        <v>2552</v>
      </c>
      <c r="F1574" s="6" t="s">
        <v>2349</v>
      </c>
      <c r="G1574" s="4" t="s">
        <v>2891</v>
      </c>
      <c r="H1574" s="4" t="s">
        <v>2922</v>
      </c>
      <c r="I1574" s="6" t="s">
        <v>2350</v>
      </c>
      <c r="J1574" s="6" t="s">
        <v>31</v>
      </c>
      <c r="K1574" s="12">
        <f>_xlfn.XLOOKUP(B1574,[1]Sheet1!$B:$B,[1]Sheet1!$N:$N,0)</f>
        <v>0</v>
      </c>
      <c r="L1574" s="12">
        <f>_xlfn.XLOOKUP(B1574,[1]Sheet1!$B:$B,[1]Sheet1!$O:$O,0)</f>
        <v>0</v>
      </c>
      <c r="M1574" s="12">
        <f>_xlfn.XLOOKUP(B1574,[1]Sheet1!$B:$B,[1]Sheet1!$P:$P,0)</f>
        <v>0</v>
      </c>
      <c r="N1574" s="12">
        <f>_xlfn.XLOOKUP(B1574,[1]Sheet1!$B:$B,[1]Sheet1!$Q:$Q,0)</f>
        <v>0</v>
      </c>
      <c r="O1574" s="12">
        <f>_xlfn.XLOOKUP(B1574,[1]Sheet1!$B:$B,[1]Sheet1!$R:$R,0)</f>
        <v>0</v>
      </c>
      <c r="P1574" s="12">
        <f>_xlfn.XLOOKUP(B1574,[1]Sheet1!$B:$B,[1]Sheet1!$S:$S,0)</f>
        <v>0</v>
      </c>
      <c r="Q1574" s="12">
        <f>_xlfn.XLOOKUP(B1574,[1]Sheet1!$B:$B,[1]Sheet1!$T:$T,0)</f>
        <v>0</v>
      </c>
      <c r="R1574" s="12">
        <f>_xlfn.XLOOKUP(B1574,[1]Sheet1!$B:$B,[1]Sheet1!$U:$U,0)</f>
        <v>0</v>
      </c>
      <c r="S1574" s="12">
        <f>_xlfn.XLOOKUP(B1574,[1]Sheet1!$B:$B,[1]Sheet1!$V:$V,0)</f>
        <v>0</v>
      </c>
      <c r="T1574" s="12">
        <f>_xlfn.XLOOKUP(B1574,[1]Sheet1!$B:$B,[1]Sheet1!$W:$W,0)</f>
        <v>0</v>
      </c>
      <c r="U1574" s="12">
        <f>_xlfn.XLOOKUP(B1574,[1]Sheet1!$B:$B,[1]Sheet1!$X:$X,0)</f>
        <v>0</v>
      </c>
      <c r="V1574" s="12">
        <f>_xlfn.XLOOKUP(B1574,[1]Sheet1!$B:$B,[1]Sheet1!$Y:$Y,0)</f>
        <v>0</v>
      </c>
      <c r="W1574" s="12">
        <f t="shared" si="51"/>
        <v>0</v>
      </c>
      <c r="X1574" s="6" t="s">
        <v>2557</v>
      </c>
      <c r="Y1574" s="6" t="s">
        <v>2485</v>
      </c>
      <c r="Z1574" s="6" t="s">
        <v>2555</v>
      </c>
      <c r="AA1574" s="6" t="s">
        <v>2350</v>
      </c>
      <c r="AB1574" s="6" t="s">
        <v>36</v>
      </c>
      <c r="AC1574" s="6" t="s">
        <v>37</v>
      </c>
      <c r="AD1574" s="6" t="s">
        <v>2340</v>
      </c>
      <c r="AE1574" s="6" t="s">
        <v>2208</v>
      </c>
      <c r="AF1574" s="6" t="s">
        <v>2211</v>
      </c>
      <c r="AG1574" s="7">
        <v>700000</v>
      </c>
      <c r="AH1574" s="11">
        <f>_xlfn.XLOOKUP(B1574,[1]Sheet1!$B:$B,[1]Sheet1!$AB:$AB,0)</f>
        <v>0</v>
      </c>
    </row>
    <row r="1575" spans="2:34" ht="16.8" thickTop="1" thickBot="1" x14ac:dyDescent="0.35">
      <c r="B1575" s="3" t="str">
        <f t="shared" si="50"/>
        <v>451034245170000554510744491211300105</v>
      </c>
      <c r="C1575" s="8" t="s">
        <v>2556</v>
      </c>
      <c r="D1575" s="8" t="s">
        <v>2551</v>
      </c>
      <c r="E1575" s="8" t="s">
        <v>2552</v>
      </c>
      <c r="F1575" s="8" t="s">
        <v>2356</v>
      </c>
      <c r="G1575" s="4" t="s">
        <v>2839</v>
      </c>
      <c r="H1575" s="4" t="s">
        <v>2923</v>
      </c>
      <c r="I1575" s="8" t="s">
        <v>411</v>
      </c>
      <c r="J1575" s="8" t="s">
        <v>31</v>
      </c>
      <c r="K1575" s="12">
        <f>_xlfn.XLOOKUP(B1575,[1]Sheet1!$B:$B,[1]Sheet1!$N:$N,0)</f>
        <v>0</v>
      </c>
      <c r="L1575" s="12">
        <f>_xlfn.XLOOKUP(B1575,[1]Sheet1!$B:$B,[1]Sheet1!$O:$O,0)</f>
        <v>0</v>
      </c>
      <c r="M1575" s="12">
        <f>_xlfn.XLOOKUP(B1575,[1]Sheet1!$B:$B,[1]Sheet1!$P:$P,0)</f>
        <v>0</v>
      </c>
      <c r="N1575" s="12">
        <f>_xlfn.XLOOKUP(B1575,[1]Sheet1!$B:$B,[1]Sheet1!$Q:$Q,0)</f>
        <v>0</v>
      </c>
      <c r="O1575" s="12">
        <f>_xlfn.XLOOKUP(B1575,[1]Sheet1!$B:$B,[1]Sheet1!$R:$R,0)</f>
        <v>0</v>
      </c>
      <c r="P1575" s="12">
        <f>_xlfn.XLOOKUP(B1575,[1]Sheet1!$B:$B,[1]Sheet1!$S:$S,0)</f>
        <v>0</v>
      </c>
      <c r="Q1575" s="12">
        <f>_xlfn.XLOOKUP(B1575,[1]Sheet1!$B:$B,[1]Sheet1!$T:$T,0)</f>
        <v>0</v>
      </c>
      <c r="R1575" s="12">
        <f>_xlfn.XLOOKUP(B1575,[1]Sheet1!$B:$B,[1]Sheet1!$U:$U,0)</f>
        <v>0</v>
      </c>
      <c r="S1575" s="12">
        <f>_xlfn.XLOOKUP(B1575,[1]Sheet1!$B:$B,[1]Sheet1!$V:$V,0)</f>
        <v>0</v>
      </c>
      <c r="T1575" s="12">
        <f>_xlfn.XLOOKUP(B1575,[1]Sheet1!$B:$B,[1]Sheet1!$W:$W,0)</f>
        <v>0</v>
      </c>
      <c r="U1575" s="12">
        <f>_xlfn.XLOOKUP(B1575,[1]Sheet1!$B:$B,[1]Sheet1!$X:$X,0)</f>
        <v>0</v>
      </c>
      <c r="V1575" s="12">
        <f>_xlfn.XLOOKUP(B1575,[1]Sheet1!$B:$B,[1]Sheet1!$Y:$Y,0)</f>
        <v>0</v>
      </c>
      <c r="W1575" s="12">
        <f t="shared" si="51"/>
        <v>0</v>
      </c>
      <c r="X1575" s="8" t="s">
        <v>2558</v>
      </c>
      <c r="Y1575" s="8" t="s">
        <v>2485</v>
      </c>
      <c r="Z1575" s="8" t="s">
        <v>2555</v>
      </c>
      <c r="AA1575" s="8" t="s">
        <v>411</v>
      </c>
      <c r="AB1575" s="8" t="s">
        <v>93</v>
      </c>
      <c r="AC1575" s="8" t="s">
        <v>94</v>
      </c>
      <c r="AD1575" s="8" t="s">
        <v>2272</v>
      </c>
      <c r="AE1575" s="8" t="s">
        <v>2208</v>
      </c>
      <c r="AF1575" s="8" t="s">
        <v>2211</v>
      </c>
      <c r="AG1575" s="9">
        <v>13707167</v>
      </c>
      <c r="AH1575" s="11">
        <f>_xlfn.XLOOKUP(B1575,[1]Sheet1!$B:$B,[1]Sheet1!$AB:$AB,0)</f>
        <v>0</v>
      </c>
    </row>
    <row r="1576" spans="2:34" ht="16.8" thickTop="1" thickBot="1" x14ac:dyDescent="0.35">
      <c r="B1576" s="3" t="str">
        <f t="shared" si="50"/>
        <v>451034245170000554510744491321300105</v>
      </c>
      <c r="C1576" s="6" t="s">
        <v>2556</v>
      </c>
      <c r="D1576" s="6" t="s">
        <v>2551</v>
      </c>
      <c r="E1576" s="6" t="s">
        <v>2552</v>
      </c>
      <c r="F1576" s="6" t="s">
        <v>2356</v>
      </c>
      <c r="G1576" s="4" t="s">
        <v>2892</v>
      </c>
      <c r="H1576" s="4" t="s">
        <v>2923</v>
      </c>
      <c r="I1576" s="6" t="s">
        <v>2357</v>
      </c>
      <c r="J1576" s="6" t="s">
        <v>31</v>
      </c>
      <c r="K1576" s="12">
        <f>_xlfn.XLOOKUP(B1576,[1]Sheet1!$B:$B,[1]Sheet1!$N:$N,0)</f>
        <v>0</v>
      </c>
      <c r="L1576" s="12">
        <f>_xlfn.XLOOKUP(B1576,[1]Sheet1!$B:$B,[1]Sheet1!$O:$O,0)</f>
        <v>0</v>
      </c>
      <c r="M1576" s="12">
        <f>_xlfn.XLOOKUP(B1576,[1]Sheet1!$B:$B,[1]Sheet1!$P:$P,0)</f>
        <v>0</v>
      </c>
      <c r="N1576" s="12">
        <f>_xlfn.XLOOKUP(B1576,[1]Sheet1!$B:$B,[1]Sheet1!$Q:$Q,0)</f>
        <v>0</v>
      </c>
      <c r="O1576" s="12">
        <f>_xlfn.XLOOKUP(B1576,[1]Sheet1!$B:$B,[1]Sheet1!$R:$R,0)</f>
        <v>0</v>
      </c>
      <c r="P1576" s="12">
        <f>_xlfn.XLOOKUP(B1576,[1]Sheet1!$B:$B,[1]Sheet1!$S:$S,0)</f>
        <v>0</v>
      </c>
      <c r="Q1576" s="12">
        <f>_xlfn.XLOOKUP(B1576,[1]Sheet1!$B:$B,[1]Sheet1!$T:$T,0)</f>
        <v>0</v>
      </c>
      <c r="R1576" s="12">
        <f>_xlfn.XLOOKUP(B1576,[1]Sheet1!$B:$B,[1]Sheet1!$U:$U,0)</f>
        <v>0</v>
      </c>
      <c r="S1576" s="12">
        <f>_xlfn.XLOOKUP(B1576,[1]Sheet1!$B:$B,[1]Sheet1!$V:$V,0)</f>
        <v>0</v>
      </c>
      <c r="T1576" s="12">
        <f>_xlfn.XLOOKUP(B1576,[1]Sheet1!$B:$B,[1]Sheet1!$W:$W,0)</f>
        <v>0</v>
      </c>
      <c r="U1576" s="12">
        <f>_xlfn.XLOOKUP(B1576,[1]Sheet1!$B:$B,[1]Sheet1!$X:$X,0)</f>
        <v>0</v>
      </c>
      <c r="V1576" s="12">
        <f>_xlfn.XLOOKUP(B1576,[1]Sheet1!$B:$B,[1]Sheet1!$Y:$Y,0)</f>
        <v>0</v>
      </c>
      <c r="W1576" s="12">
        <f t="shared" si="51"/>
        <v>0</v>
      </c>
      <c r="X1576" s="6" t="s">
        <v>2559</v>
      </c>
      <c r="Y1576" s="6" t="s">
        <v>2485</v>
      </c>
      <c r="Z1576" s="6" t="s">
        <v>2555</v>
      </c>
      <c r="AA1576" s="6" t="s">
        <v>2359</v>
      </c>
      <c r="AB1576" s="6" t="s">
        <v>93</v>
      </c>
      <c r="AC1576" s="6" t="s">
        <v>94</v>
      </c>
      <c r="AD1576" s="6" t="s">
        <v>2272</v>
      </c>
      <c r="AE1576" s="6" t="s">
        <v>2208</v>
      </c>
      <c r="AF1576" s="6" t="s">
        <v>2211</v>
      </c>
      <c r="AG1576" s="7">
        <v>2816666</v>
      </c>
      <c r="AH1576" s="11">
        <f>_xlfn.XLOOKUP(B1576,[1]Sheet1!$B:$B,[1]Sheet1!$AB:$AB,0)</f>
        <v>0</v>
      </c>
    </row>
    <row r="1577" spans="2:34" ht="16.8" thickTop="1" thickBot="1" x14ac:dyDescent="0.35">
      <c r="B1577" s="3" t="str">
        <f t="shared" si="50"/>
        <v>451034245170000554510744491711300105</v>
      </c>
      <c r="C1577" s="8" t="s">
        <v>2556</v>
      </c>
      <c r="D1577" s="8" t="s">
        <v>2551</v>
      </c>
      <c r="E1577" s="8" t="s">
        <v>2552</v>
      </c>
      <c r="F1577" s="8" t="s">
        <v>2356</v>
      </c>
      <c r="G1577" s="4" t="s">
        <v>2854</v>
      </c>
      <c r="H1577" s="4" t="s">
        <v>2923</v>
      </c>
      <c r="I1577" s="8" t="s">
        <v>639</v>
      </c>
      <c r="J1577" s="8" t="s">
        <v>31</v>
      </c>
      <c r="K1577" s="12">
        <f>_xlfn.XLOOKUP(B1577,[1]Sheet1!$B:$B,[1]Sheet1!$N:$N,0)</f>
        <v>0</v>
      </c>
      <c r="L1577" s="12">
        <f>_xlfn.XLOOKUP(B1577,[1]Sheet1!$B:$B,[1]Sheet1!$O:$O,0)</f>
        <v>0</v>
      </c>
      <c r="M1577" s="12">
        <f>_xlfn.XLOOKUP(B1577,[1]Sheet1!$B:$B,[1]Sheet1!$P:$P,0)</f>
        <v>0</v>
      </c>
      <c r="N1577" s="12">
        <f>_xlfn.XLOOKUP(B1577,[1]Sheet1!$B:$B,[1]Sheet1!$Q:$Q,0)</f>
        <v>0</v>
      </c>
      <c r="O1577" s="12">
        <f>_xlfn.XLOOKUP(B1577,[1]Sheet1!$B:$B,[1]Sheet1!$R:$R,0)</f>
        <v>0</v>
      </c>
      <c r="P1577" s="12">
        <f>_xlfn.XLOOKUP(B1577,[1]Sheet1!$B:$B,[1]Sheet1!$S:$S,0)</f>
        <v>0</v>
      </c>
      <c r="Q1577" s="12">
        <f>_xlfn.XLOOKUP(B1577,[1]Sheet1!$B:$B,[1]Sheet1!$T:$T,0)</f>
        <v>0</v>
      </c>
      <c r="R1577" s="12">
        <f>_xlfn.XLOOKUP(B1577,[1]Sheet1!$B:$B,[1]Sheet1!$U:$U,0)</f>
        <v>0</v>
      </c>
      <c r="S1577" s="12">
        <f>_xlfn.XLOOKUP(B1577,[1]Sheet1!$B:$B,[1]Sheet1!$V:$V,0)</f>
        <v>0</v>
      </c>
      <c r="T1577" s="12">
        <f>_xlfn.XLOOKUP(B1577,[1]Sheet1!$B:$B,[1]Sheet1!$W:$W,0)</f>
        <v>0</v>
      </c>
      <c r="U1577" s="12">
        <f>_xlfn.XLOOKUP(B1577,[1]Sheet1!$B:$B,[1]Sheet1!$X:$X,0)</f>
        <v>0</v>
      </c>
      <c r="V1577" s="12">
        <f>_xlfn.XLOOKUP(B1577,[1]Sheet1!$B:$B,[1]Sheet1!$Y:$Y,0)</f>
        <v>0</v>
      </c>
      <c r="W1577" s="12">
        <f t="shared" si="51"/>
        <v>0</v>
      </c>
      <c r="X1577" s="8" t="s">
        <v>2560</v>
      </c>
      <c r="Y1577" s="8" t="s">
        <v>2485</v>
      </c>
      <c r="Z1577" s="8" t="s">
        <v>2555</v>
      </c>
      <c r="AA1577" s="8" t="s">
        <v>639</v>
      </c>
      <c r="AB1577" s="8" t="s">
        <v>93</v>
      </c>
      <c r="AC1577" s="8" t="s">
        <v>94</v>
      </c>
      <c r="AD1577" s="8" t="s">
        <v>2272</v>
      </c>
      <c r="AE1577" s="8" t="s">
        <v>2208</v>
      </c>
      <c r="AF1577" s="8" t="s">
        <v>2211</v>
      </c>
      <c r="AG1577" s="9">
        <v>850000</v>
      </c>
      <c r="AH1577" s="11">
        <f>_xlfn.XLOOKUP(B1577,[1]Sheet1!$B:$B,[1]Sheet1!$AB:$AB,0)</f>
        <v>0</v>
      </c>
    </row>
    <row r="1578" spans="2:34" ht="16.8" thickTop="1" thickBot="1" x14ac:dyDescent="0.35">
      <c r="B1578" s="3" t="str">
        <f t="shared" si="50"/>
        <v>451034245170000554510768423911200104</v>
      </c>
      <c r="C1578" s="6" t="s">
        <v>2556</v>
      </c>
      <c r="D1578" s="6" t="s">
        <v>2551</v>
      </c>
      <c r="E1578" s="6" t="s">
        <v>2552</v>
      </c>
      <c r="F1578" s="6" t="s">
        <v>2364</v>
      </c>
      <c r="G1578" s="4" t="s">
        <v>2894</v>
      </c>
      <c r="H1578" s="4" t="s">
        <v>2922</v>
      </c>
      <c r="I1578" s="6" t="s">
        <v>2365</v>
      </c>
      <c r="J1578" s="6" t="s">
        <v>31</v>
      </c>
      <c r="K1578" s="12">
        <f>_xlfn.XLOOKUP(B1578,[1]Sheet1!$B:$B,[1]Sheet1!$N:$N,0)</f>
        <v>0</v>
      </c>
      <c r="L1578" s="12">
        <f>_xlfn.XLOOKUP(B1578,[1]Sheet1!$B:$B,[1]Sheet1!$O:$O,0)</f>
        <v>0</v>
      </c>
      <c r="M1578" s="12">
        <f>_xlfn.XLOOKUP(B1578,[1]Sheet1!$B:$B,[1]Sheet1!$P:$P,0)</f>
        <v>0</v>
      </c>
      <c r="N1578" s="12">
        <f>_xlfn.XLOOKUP(B1578,[1]Sheet1!$B:$B,[1]Sheet1!$Q:$Q,0)</f>
        <v>0</v>
      </c>
      <c r="O1578" s="12">
        <f>_xlfn.XLOOKUP(B1578,[1]Sheet1!$B:$B,[1]Sheet1!$R:$R,0)</f>
        <v>0</v>
      </c>
      <c r="P1578" s="12">
        <f>_xlfn.XLOOKUP(B1578,[1]Sheet1!$B:$B,[1]Sheet1!$S:$S,0)</f>
        <v>0</v>
      </c>
      <c r="Q1578" s="12">
        <f>_xlfn.XLOOKUP(B1578,[1]Sheet1!$B:$B,[1]Sheet1!$T:$T,0)</f>
        <v>0</v>
      </c>
      <c r="R1578" s="12">
        <f>_xlfn.XLOOKUP(B1578,[1]Sheet1!$B:$B,[1]Sheet1!$U:$U,0)</f>
        <v>0</v>
      </c>
      <c r="S1578" s="12">
        <f>_xlfn.XLOOKUP(B1578,[1]Sheet1!$B:$B,[1]Sheet1!$V:$V,0)</f>
        <v>0</v>
      </c>
      <c r="T1578" s="12">
        <f>_xlfn.XLOOKUP(B1578,[1]Sheet1!$B:$B,[1]Sheet1!$W:$W,0)</f>
        <v>0</v>
      </c>
      <c r="U1578" s="12">
        <f>_xlfn.XLOOKUP(B1578,[1]Sheet1!$B:$B,[1]Sheet1!$X:$X,0)</f>
        <v>0</v>
      </c>
      <c r="V1578" s="12">
        <f>_xlfn.XLOOKUP(B1578,[1]Sheet1!$B:$B,[1]Sheet1!$Y:$Y,0)</f>
        <v>0</v>
      </c>
      <c r="W1578" s="12">
        <f t="shared" si="51"/>
        <v>0</v>
      </c>
      <c r="X1578" s="6" t="s">
        <v>2561</v>
      </c>
      <c r="Y1578" s="6" t="s">
        <v>2485</v>
      </c>
      <c r="Z1578" s="6" t="s">
        <v>2555</v>
      </c>
      <c r="AA1578" s="6" t="s">
        <v>2365</v>
      </c>
      <c r="AB1578" s="6" t="s">
        <v>36</v>
      </c>
      <c r="AC1578" s="6" t="s">
        <v>37</v>
      </c>
      <c r="AD1578" s="6" t="s">
        <v>2340</v>
      </c>
      <c r="AE1578" s="6" t="s">
        <v>2208</v>
      </c>
      <c r="AF1578" s="6" t="s">
        <v>2211</v>
      </c>
      <c r="AG1578" s="7">
        <v>9285384.1600000001</v>
      </c>
      <c r="AH1578" s="11">
        <f>_xlfn.XLOOKUP(B1578,[1]Sheet1!$B:$B,[1]Sheet1!$AB:$AB,0)</f>
        <v>0</v>
      </c>
    </row>
    <row r="1579" spans="2:34" ht="16.8" thickTop="1" thickBot="1" x14ac:dyDescent="0.35">
      <c r="B1579" s="3" t="str">
        <f t="shared" si="50"/>
        <v>451034245170000554510768423921200104</v>
      </c>
      <c r="C1579" s="8" t="s">
        <v>2556</v>
      </c>
      <c r="D1579" s="8" t="s">
        <v>2551</v>
      </c>
      <c r="E1579" s="8" t="s">
        <v>2552</v>
      </c>
      <c r="F1579" s="8" t="s">
        <v>2364</v>
      </c>
      <c r="G1579" s="4" t="s">
        <v>2895</v>
      </c>
      <c r="H1579" s="4" t="s">
        <v>2922</v>
      </c>
      <c r="I1579" s="8" t="s">
        <v>2367</v>
      </c>
      <c r="J1579" s="8" t="s">
        <v>31</v>
      </c>
      <c r="K1579" s="12">
        <f>_xlfn.XLOOKUP(B1579,[1]Sheet1!$B:$B,[1]Sheet1!$N:$N,0)</f>
        <v>0</v>
      </c>
      <c r="L1579" s="12">
        <f>_xlfn.XLOOKUP(B1579,[1]Sheet1!$B:$B,[1]Sheet1!$O:$O,0)</f>
        <v>0</v>
      </c>
      <c r="M1579" s="12">
        <f>_xlfn.XLOOKUP(B1579,[1]Sheet1!$B:$B,[1]Sheet1!$P:$P,0)</f>
        <v>0</v>
      </c>
      <c r="N1579" s="12">
        <f>_xlfn.XLOOKUP(B1579,[1]Sheet1!$B:$B,[1]Sheet1!$Q:$Q,0)</f>
        <v>0</v>
      </c>
      <c r="O1579" s="12">
        <f>_xlfn.XLOOKUP(B1579,[1]Sheet1!$B:$B,[1]Sheet1!$R:$R,0)</f>
        <v>0</v>
      </c>
      <c r="P1579" s="12">
        <f>_xlfn.XLOOKUP(B1579,[1]Sheet1!$B:$B,[1]Sheet1!$S:$S,0)</f>
        <v>0</v>
      </c>
      <c r="Q1579" s="12">
        <f>_xlfn.XLOOKUP(B1579,[1]Sheet1!$B:$B,[1]Sheet1!$T:$T,0)</f>
        <v>0</v>
      </c>
      <c r="R1579" s="12">
        <f>_xlfn.XLOOKUP(B1579,[1]Sheet1!$B:$B,[1]Sheet1!$U:$U,0)</f>
        <v>0</v>
      </c>
      <c r="S1579" s="12">
        <f>_xlfn.XLOOKUP(B1579,[1]Sheet1!$B:$B,[1]Sheet1!$V:$V,0)</f>
        <v>0</v>
      </c>
      <c r="T1579" s="12">
        <f>_xlfn.XLOOKUP(B1579,[1]Sheet1!$B:$B,[1]Sheet1!$W:$W,0)</f>
        <v>0</v>
      </c>
      <c r="U1579" s="12">
        <f>_xlfn.XLOOKUP(B1579,[1]Sheet1!$B:$B,[1]Sheet1!$X:$X,0)</f>
        <v>0</v>
      </c>
      <c r="V1579" s="12">
        <f>_xlfn.XLOOKUP(B1579,[1]Sheet1!$B:$B,[1]Sheet1!$Y:$Y,0)</f>
        <v>0</v>
      </c>
      <c r="W1579" s="12">
        <f t="shared" si="51"/>
        <v>0</v>
      </c>
      <c r="X1579" s="8" t="s">
        <v>2562</v>
      </c>
      <c r="Y1579" s="8" t="s">
        <v>2485</v>
      </c>
      <c r="Z1579" s="8" t="s">
        <v>2555</v>
      </c>
      <c r="AA1579" s="8" t="s">
        <v>2367</v>
      </c>
      <c r="AB1579" s="8" t="s">
        <v>36</v>
      </c>
      <c r="AC1579" s="8" t="s">
        <v>37</v>
      </c>
      <c r="AD1579" s="8" t="s">
        <v>2340</v>
      </c>
      <c r="AE1579" s="8" t="s">
        <v>2208</v>
      </c>
      <c r="AF1579" s="8" t="s">
        <v>2211</v>
      </c>
      <c r="AG1579" s="9">
        <v>300000</v>
      </c>
      <c r="AH1579" s="11">
        <f>_xlfn.XLOOKUP(B1579,[1]Sheet1!$B:$B,[1]Sheet1!$AB:$AB,0)</f>
        <v>0</v>
      </c>
    </row>
    <row r="1580" spans="2:34" ht="16.8" thickTop="1" thickBot="1" x14ac:dyDescent="0.35">
      <c r="B1580" s="3" t="str">
        <f t="shared" si="50"/>
        <v>451034245170000554510768423931200104</v>
      </c>
      <c r="C1580" s="6" t="s">
        <v>2556</v>
      </c>
      <c r="D1580" s="6" t="s">
        <v>2551</v>
      </c>
      <c r="E1580" s="6" t="s">
        <v>2552</v>
      </c>
      <c r="F1580" s="6" t="s">
        <v>2364</v>
      </c>
      <c r="G1580" s="4" t="s">
        <v>2818</v>
      </c>
      <c r="H1580" s="4" t="s">
        <v>2922</v>
      </c>
      <c r="I1580" s="6" t="s">
        <v>111</v>
      </c>
      <c r="J1580" s="6" t="s">
        <v>31</v>
      </c>
      <c r="K1580" s="12">
        <f>_xlfn.XLOOKUP(B1580,[1]Sheet1!$B:$B,[1]Sheet1!$N:$N,0)</f>
        <v>0</v>
      </c>
      <c r="L1580" s="12">
        <f>_xlfn.XLOOKUP(B1580,[1]Sheet1!$B:$B,[1]Sheet1!$O:$O,0)</f>
        <v>0</v>
      </c>
      <c r="M1580" s="12">
        <f>_xlfn.XLOOKUP(B1580,[1]Sheet1!$B:$B,[1]Sheet1!$P:$P,0)</f>
        <v>0</v>
      </c>
      <c r="N1580" s="12">
        <f>_xlfn.XLOOKUP(B1580,[1]Sheet1!$B:$B,[1]Sheet1!$Q:$Q,0)</f>
        <v>0</v>
      </c>
      <c r="O1580" s="12">
        <f>_xlfn.XLOOKUP(B1580,[1]Sheet1!$B:$B,[1]Sheet1!$R:$R,0)</f>
        <v>0</v>
      </c>
      <c r="P1580" s="12">
        <f>_xlfn.XLOOKUP(B1580,[1]Sheet1!$B:$B,[1]Sheet1!$S:$S,0)</f>
        <v>0</v>
      </c>
      <c r="Q1580" s="12">
        <f>_xlfn.XLOOKUP(B1580,[1]Sheet1!$B:$B,[1]Sheet1!$T:$T,0)</f>
        <v>0</v>
      </c>
      <c r="R1580" s="12">
        <f>_xlfn.XLOOKUP(B1580,[1]Sheet1!$B:$B,[1]Sheet1!$U:$U,0)</f>
        <v>0</v>
      </c>
      <c r="S1580" s="12">
        <f>_xlfn.XLOOKUP(B1580,[1]Sheet1!$B:$B,[1]Sheet1!$V:$V,0)</f>
        <v>0</v>
      </c>
      <c r="T1580" s="12">
        <f>_xlfn.XLOOKUP(B1580,[1]Sheet1!$B:$B,[1]Sheet1!$W:$W,0)</f>
        <v>0</v>
      </c>
      <c r="U1580" s="12">
        <f>_xlfn.XLOOKUP(B1580,[1]Sheet1!$B:$B,[1]Sheet1!$X:$X,0)</f>
        <v>0</v>
      </c>
      <c r="V1580" s="12">
        <f>_xlfn.XLOOKUP(B1580,[1]Sheet1!$B:$B,[1]Sheet1!$Y:$Y,0)</f>
        <v>0</v>
      </c>
      <c r="W1580" s="12">
        <f t="shared" si="51"/>
        <v>0</v>
      </c>
      <c r="X1580" s="6" t="s">
        <v>2563</v>
      </c>
      <c r="Y1580" s="6" t="s">
        <v>2485</v>
      </c>
      <c r="Z1580" s="6" t="s">
        <v>2555</v>
      </c>
      <c r="AA1580" s="6" t="s">
        <v>111</v>
      </c>
      <c r="AB1580" s="6" t="s">
        <v>36</v>
      </c>
      <c r="AC1580" s="6" t="s">
        <v>37</v>
      </c>
      <c r="AD1580" s="6" t="s">
        <v>2340</v>
      </c>
      <c r="AE1580" s="6" t="s">
        <v>2208</v>
      </c>
      <c r="AF1580" s="6" t="s">
        <v>2211</v>
      </c>
      <c r="AG1580" s="7">
        <v>1025328</v>
      </c>
      <c r="AH1580" s="11">
        <f>_xlfn.XLOOKUP(B1580,[1]Sheet1!$B:$B,[1]Sheet1!$AB:$AB,0)</f>
        <v>0</v>
      </c>
    </row>
    <row r="1581" spans="2:34" ht="16.8" thickTop="1" thickBot="1" x14ac:dyDescent="0.35">
      <c r="B1581" s="3" t="str">
        <f t="shared" si="50"/>
        <v>451034245170000554510777421122200104</v>
      </c>
      <c r="C1581" s="8" t="s">
        <v>2556</v>
      </c>
      <c r="D1581" s="8" t="s">
        <v>2551</v>
      </c>
      <c r="E1581" s="8" t="s">
        <v>2552</v>
      </c>
      <c r="F1581" s="8" t="s">
        <v>2564</v>
      </c>
      <c r="G1581" s="4" t="s">
        <v>2882</v>
      </c>
      <c r="H1581" s="4" t="s">
        <v>2922</v>
      </c>
      <c r="I1581" s="8" t="s">
        <v>2213</v>
      </c>
      <c r="J1581" s="8" t="s">
        <v>31</v>
      </c>
      <c r="K1581" s="12">
        <f>_xlfn.XLOOKUP(B1581,[1]Sheet1!$B:$B,[1]Sheet1!$N:$N,0)</f>
        <v>0</v>
      </c>
      <c r="L1581" s="12">
        <f>_xlfn.XLOOKUP(B1581,[1]Sheet1!$B:$B,[1]Sheet1!$O:$O,0)</f>
        <v>0</v>
      </c>
      <c r="M1581" s="12">
        <f>_xlfn.XLOOKUP(B1581,[1]Sheet1!$B:$B,[1]Sheet1!$P:$P,0)</f>
        <v>0</v>
      </c>
      <c r="N1581" s="12">
        <f>_xlfn.XLOOKUP(B1581,[1]Sheet1!$B:$B,[1]Sheet1!$Q:$Q,0)</f>
        <v>0</v>
      </c>
      <c r="O1581" s="12">
        <f>_xlfn.XLOOKUP(B1581,[1]Sheet1!$B:$B,[1]Sheet1!$R:$R,0)</f>
        <v>0</v>
      </c>
      <c r="P1581" s="12">
        <f>_xlfn.XLOOKUP(B1581,[1]Sheet1!$B:$B,[1]Sheet1!$S:$S,0)</f>
        <v>0</v>
      </c>
      <c r="Q1581" s="12">
        <f>_xlfn.XLOOKUP(B1581,[1]Sheet1!$B:$B,[1]Sheet1!$T:$T,0)</f>
        <v>0</v>
      </c>
      <c r="R1581" s="12">
        <f>_xlfn.XLOOKUP(B1581,[1]Sheet1!$B:$B,[1]Sheet1!$U:$U,0)</f>
        <v>0</v>
      </c>
      <c r="S1581" s="12">
        <f>_xlfn.XLOOKUP(B1581,[1]Sheet1!$B:$B,[1]Sheet1!$V:$V,0)</f>
        <v>0</v>
      </c>
      <c r="T1581" s="12">
        <f>_xlfn.XLOOKUP(B1581,[1]Sheet1!$B:$B,[1]Sheet1!$W:$W,0)</f>
        <v>0</v>
      </c>
      <c r="U1581" s="12">
        <f>_xlfn.XLOOKUP(B1581,[1]Sheet1!$B:$B,[1]Sheet1!$X:$X,0)</f>
        <v>0</v>
      </c>
      <c r="V1581" s="12">
        <f>_xlfn.XLOOKUP(B1581,[1]Sheet1!$B:$B,[1]Sheet1!$Y:$Y,0)</f>
        <v>0</v>
      </c>
      <c r="W1581" s="12">
        <f t="shared" si="51"/>
        <v>0</v>
      </c>
      <c r="X1581" s="8" t="s">
        <v>2565</v>
      </c>
      <c r="Y1581" s="8" t="s">
        <v>2485</v>
      </c>
      <c r="Z1581" s="8" t="s">
        <v>2555</v>
      </c>
      <c r="AA1581" s="8" t="s">
        <v>2215</v>
      </c>
      <c r="AB1581" s="8" t="s">
        <v>36</v>
      </c>
      <c r="AC1581" s="8" t="s">
        <v>37</v>
      </c>
      <c r="AD1581" s="8" t="s">
        <v>2340</v>
      </c>
      <c r="AE1581" s="8" t="s">
        <v>2208</v>
      </c>
      <c r="AF1581" s="8" t="s">
        <v>2211</v>
      </c>
      <c r="AG1581" s="9">
        <v>4784442</v>
      </c>
      <c r="AH1581" s="11">
        <f>_xlfn.XLOOKUP(B1581,[1]Sheet1!$B:$B,[1]Sheet1!$AB:$AB,0)</f>
        <v>0</v>
      </c>
    </row>
    <row r="1582" spans="2:34" ht="16.8" thickTop="1" thickBot="1" x14ac:dyDescent="0.35">
      <c r="B1582" s="3" t="str">
        <f t="shared" si="50"/>
        <v>451034245170000554510777426212200104</v>
      </c>
      <c r="C1582" s="6" t="s">
        <v>2556</v>
      </c>
      <c r="D1582" s="6" t="s">
        <v>2551</v>
      </c>
      <c r="E1582" s="6" t="s">
        <v>2552</v>
      </c>
      <c r="F1582" s="6" t="s">
        <v>2564</v>
      </c>
      <c r="G1582" s="4" t="s">
        <v>2814</v>
      </c>
      <c r="H1582" s="4" t="s">
        <v>2922</v>
      </c>
      <c r="I1582" s="6" t="s">
        <v>96</v>
      </c>
      <c r="J1582" s="6" t="s">
        <v>31</v>
      </c>
      <c r="K1582" s="12">
        <f>_xlfn.XLOOKUP(B1582,[1]Sheet1!$B:$B,[1]Sheet1!$N:$N,0)</f>
        <v>0</v>
      </c>
      <c r="L1582" s="12">
        <f>_xlfn.XLOOKUP(B1582,[1]Sheet1!$B:$B,[1]Sheet1!$O:$O,0)</f>
        <v>0</v>
      </c>
      <c r="M1582" s="12">
        <f>_xlfn.XLOOKUP(B1582,[1]Sheet1!$B:$B,[1]Sheet1!$P:$P,0)</f>
        <v>0</v>
      </c>
      <c r="N1582" s="12">
        <f>_xlfn.XLOOKUP(B1582,[1]Sheet1!$B:$B,[1]Sheet1!$Q:$Q,0)</f>
        <v>0</v>
      </c>
      <c r="O1582" s="12">
        <f>_xlfn.XLOOKUP(B1582,[1]Sheet1!$B:$B,[1]Sheet1!$R:$R,0)</f>
        <v>0</v>
      </c>
      <c r="P1582" s="12">
        <f>_xlfn.XLOOKUP(B1582,[1]Sheet1!$B:$B,[1]Sheet1!$S:$S,0)</f>
        <v>0</v>
      </c>
      <c r="Q1582" s="12">
        <f>_xlfn.XLOOKUP(B1582,[1]Sheet1!$B:$B,[1]Sheet1!$T:$T,0)</f>
        <v>0</v>
      </c>
      <c r="R1582" s="12">
        <f>_xlfn.XLOOKUP(B1582,[1]Sheet1!$B:$B,[1]Sheet1!$U:$U,0)</f>
        <v>0</v>
      </c>
      <c r="S1582" s="12">
        <f>_xlfn.XLOOKUP(B1582,[1]Sheet1!$B:$B,[1]Sheet1!$V:$V,0)</f>
        <v>0</v>
      </c>
      <c r="T1582" s="12">
        <f>_xlfn.XLOOKUP(B1582,[1]Sheet1!$B:$B,[1]Sheet1!$W:$W,0)</f>
        <v>0</v>
      </c>
      <c r="U1582" s="12">
        <f>_xlfn.XLOOKUP(B1582,[1]Sheet1!$B:$B,[1]Sheet1!$X:$X,0)</f>
        <v>0</v>
      </c>
      <c r="V1582" s="12">
        <f>_xlfn.XLOOKUP(B1582,[1]Sheet1!$B:$B,[1]Sheet1!$Y:$Y,0)</f>
        <v>0</v>
      </c>
      <c r="W1582" s="12">
        <f t="shared" si="51"/>
        <v>0</v>
      </c>
      <c r="X1582" s="6" t="s">
        <v>2566</v>
      </c>
      <c r="Y1582" s="6" t="s">
        <v>2485</v>
      </c>
      <c r="Z1582" s="6" t="s">
        <v>2555</v>
      </c>
      <c r="AA1582" s="6" t="s">
        <v>96</v>
      </c>
      <c r="AB1582" s="6" t="s">
        <v>36</v>
      </c>
      <c r="AC1582" s="6" t="s">
        <v>37</v>
      </c>
      <c r="AD1582" s="6" t="s">
        <v>2340</v>
      </c>
      <c r="AE1582" s="6" t="s">
        <v>2208</v>
      </c>
      <c r="AF1582" s="6" t="s">
        <v>2211</v>
      </c>
      <c r="AG1582" s="7">
        <v>6758300</v>
      </c>
      <c r="AH1582" s="11">
        <f>_xlfn.XLOOKUP(B1582,[1]Sheet1!$B:$B,[1]Sheet1!$AB:$AB,0)</f>
        <v>0</v>
      </c>
    </row>
    <row r="1583" spans="2:34" ht="16.8" thickTop="1" thickBot="1" x14ac:dyDescent="0.35">
      <c r="B1583" s="3" t="str">
        <f t="shared" si="50"/>
        <v>451034245170000554510777426319200104</v>
      </c>
      <c r="C1583" s="8" t="s">
        <v>2556</v>
      </c>
      <c r="D1583" s="8" t="s">
        <v>2551</v>
      </c>
      <c r="E1583" s="8" t="s">
        <v>2552</v>
      </c>
      <c r="F1583" s="8" t="s">
        <v>2564</v>
      </c>
      <c r="G1583" s="4" t="s">
        <v>2890</v>
      </c>
      <c r="H1583" s="4" t="s">
        <v>2922</v>
      </c>
      <c r="I1583" s="8" t="s">
        <v>2345</v>
      </c>
      <c r="J1583" s="8" t="s">
        <v>31</v>
      </c>
      <c r="K1583" s="12">
        <f>_xlfn.XLOOKUP(B1583,[1]Sheet1!$B:$B,[1]Sheet1!$N:$N,0)</f>
        <v>0</v>
      </c>
      <c r="L1583" s="12">
        <f>_xlfn.XLOOKUP(B1583,[1]Sheet1!$B:$B,[1]Sheet1!$O:$O,0)</f>
        <v>0</v>
      </c>
      <c r="M1583" s="12">
        <f>_xlfn.XLOOKUP(B1583,[1]Sheet1!$B:$B,[1]Sheet1!$P:$P,0)</f>
        <v>0</v>
      </c>
      <c r="N1583" s="12">
        <f>_xlfn.XLOOKUP(B1583,[1]Sheet1!$B:$B,[1]Sheet1!$Q:$Q,0)</f>
        <v>0</v>
      </c>
      <c r="O1583" s="12">
        <f>_xlfn.XLOOKUP(B1583,[1]Sheet1!$B:$B,[1]Sheet1!$R:$R,0)</f>
        <v>0</v>
      </c>
      <c r="P1583" s="12">
        <f>_xlfn.XLOOKUP(B1583,[1]Sheet1!$B:$B,[1]Sheet1!$S:$S,0)</f>
        <v>0</v>
      </c>
      <c r="Q1583" s="12">
        <f>_xlfn.XLOOKUP(B1583,[1]Sheet1!$B:$B,[1]Sheet1!$T:$T,0)</f>
        <v>0</v>
      </c>
      <c r="R1583" s="12">
        <f>_xlfn.XLOOKUP(B1583,[1]Sheet1!$B:$B,[1]Sheet1!$U:$U,0)</f>
        <v>0</v>
      </c>
      <c r="S1583" s="12">
        <f>_xlfn.XLOOKUP(B1583,[1]Sheet1!$B:$B,[1]Sheet1!$V:$V,0)</f>
        <v>0</v>
      </c>
      <c r="T1583" s="12">
        <f>_xlfn.XLOOKUP(B1583,[1]Sheet1!$B:$B,[1]Sheet1!$W:$W,0)</f>
        <v>0</v>
      </c>
      <c r="U1583" s="12">
        <f>_xlfn.XLOOKUP(B1583,[1]Sheet1!$B:$B,[1]Sheet1!$X:$X,0)</f>
        <v>0</v>
      </c>
      <c r="V1583" s="12">
        <f>_xlfn.XLOOKUP(B1583,[1]Sheet1!$B:$B,[1]Sheet1!$Y:$Y,0)</f>
        <v>0</v>
      </c>
      <c r="W1583" s="12">
        <f t="shared" si="51"/>
        <v>0</v>
      </c>
      <c r="X1583" s="8" t="s">
        <v>2567</v>
      </c>
      <c r="Y1583" s="8" t="s">
        <v>2485</v>
      </c>
      <c r="Z1583" s="8" t="s">
        <v>2555</v>
      </c>
      <c r="AA1583" s="8" t="s">
        <v>2347</v>
      </c>
      <c r="AB1583" s="8" t="s">
        <v>36</v>
      </c>
      <c r="AC1583" s="8" t="s">
        <v>37</v>
      </c>
      <c r="AD1583" s="8" t="s">
        <v>2340</v>
      </c>
      <c r="AE1583" s="8" t="s">
        <v>2208</v>
      </c>
      <c r="AF1583" s="8" t="s">
        <v>2211</v>
      </c>
      <c r="AG1583" s="9">
        <v>4605477</v>
      </c>
      <c r="AH1583" s="11">
        <f>_xlfn.XLOOKUP(B1583,[1]Sheet1!$B:$B,[1]Sheet1!$AB:$AB,0)</f>
        <v>0</v>
      </c>
    </row>
    <row r="1584" spans="2:34" ht="16.8" thickTop="1" thickBot="1" x14ac:dyDescent="0.35">
      <c r="B1584" s="3" t="str">
        <f t="shared" si="50"/>
        <v>451034245170000564510714424551200104</v>
      </c>
      <c r="C1584" s="6" t="s">
        <v>2556</v>
      </c>
      <c r="D1584" s="6" t="s">
        <v>2568</v>
      </c>
      <c r="E1584" s="6" t="s">
        <v>2569</v>
      </c>
      <c r="F1584" s="6" t="s">
        <v>2341</v>
      </c>
      <c r="G1584" s="4" t="s">
        <v>2817</v>
      </c>
      <c r="H1584" s="4" t="s">
        <v>2922</v>
      </c>
      <c r="I1584" s="6" t="s">
        <v>108</v>
      </c>
      <c r="J1584" s="6" t="s">
        <v>31</v>
      </c>
      <c r="K1584" s="12">
        <f>_xlfn.XLOOKUP(B1584,[1]Sheet1!$B:$B,[1]Sheet1!$N:$N,0)</f>
        <v>0</v>
      </c>
      <c r="L1584" s="12">
        <f>_xlfn.XLOOKUP(B1584,[1]Sheet1!$B:$B,[1]Sheet1!$O:$O,0)</f>
        <v>0</v>
      </c>
      <c r="M1584" s="12">
        <f>_xlfn.XLOOKUP(B1584,[1]Sheet1!$B:$B,[1]Sheet1!$P:$P,0)</f>
        <v>0</v>
      </c>
      <c r="N1584" s="12">
        <f>_xlfn.XLOOKUP(B1584,[1]Sheet1!$B:$B,[1]Sheet1!$Q:$Q,0)</f>
        <v>0</v>
      </c>
      <c r="O1584" s="12">
        <f>_xlfn.XLOOKUP(B1584,[1]Sheet1!$B:$B,[1]Sheet1!$R:$R,0)</f>
        <v>0</v>
      </c>
      <c r="P1584" s="12">
        <f>_xlfn.XLOOKUP(B1584,[1]Sheet1!$B:$B,[1]Sheet1!$S:$S,0)</f>
        <v>0</v>
      </c>
      <c r="Q1584" s="12">
        <f>_xlfn.XLOOKUP(B1584,[1]Sheet1!$B:$B,[1]Sheet1!$T:$T,0)</f>
        <v>0</v>
      </c>
      <c r="R1584" s="12">
        <f>_xlfn.XLOOKUP(B1584,[1]Sheet1!$B:$B,[1]Sheet1!$U:$U,0)</f>
        <v>0</v>
      </c>
      <c r="S1584" s="12">
        <f>_xlfn.XLOOKUP(B1584,[1]Sheet1!$B:$B,[1]Sheet1!$V:$V,0)</f>
        <v>0</v>
      </c>
      <c r="T1584" s="12">
        <f>_xlfn.XLOOKUP(B1584,[1]Sheet1!$B:$B,[1]Sheet1!$W:$W,0)</f>
        <v>0</v>
      </c>
      <c r="U1584" s="12">
        <f>_xlfn.XLOOKUP(B1584,[1]Sheet1!$B:$B,[1]Sheet1!$X:$X,0)</f>
        <v>0</v>
      </c>
      <c r="V1584" s="12">
        <f>_xlfn.XLOOKUP(B1584,[1]Sheet1!$B:$B,[1]Sheet1!$Y:$Y,0)</f>
        <v>0</v>
      </c>
      <c r="W1584" s="12">
        <f t="shared" si="51"/>
        <v>0</v>
      </c>
      <c r="X1584" s="6" t="s">
        <v>2570</v>
      </c>
      <c r="Y1584" s="6" t="s">
        <v>2485</v>
      </c>
      <c r="Z1584" s="6" t="s">
        <v>2555</v>
      </c>
      <c r="AA1584" s="6" t="s">
        <v>108</v>
      </c>
      <c r="AB1584" s="6" t="s">
        <v>36</v>
      </c>
      <c r="AC1584" s="6" t="s">
        <v>37</v>
      </c>
      <c r="AD1584" s="6" t="s">
        <v>2340</v>
      </c>
      <c r="AE1584" s="6" t="s">
        <v>2208</v>
      </c>
      <c r="AF1584" s="6" t="s">
        <v>2211</v>
      </c>
      <c r="AG1584" s="7">
        <v>9276684</v>
      </c>
      <c r="AH1584" s="11">
        <f>_xlfn.XLOOKUP(B1584,[1]Sheet1!$B:$B,[1]Sheet1!$AB:$AB,0)</f>
        <v>0</v>
      </c>
    </row>
    <row r="1585" spans="2:34" ht="16.8" thickTop="1" thickBot="1" x14ac:dyDescent="0.35">
      <c r="B1585" s="3" t="str">
        <f t="shared" si="50"/>
        <v>451018145170000574510723424521200104</v>
      </c>
      <c r="C1585" s="8" t="s">
        <v>2576</v>
      </c>
      <c r="D1585" s="8" t="s">
        <v>2571</v>
      </c>
      <c r="E1585" s="8" t="s">
        <v>2572</v>
      </c>
      <c r="F1585" s="8" t="s">
        <v>2218</v>
      </c>
      <c r="G1585" s="4" t="s">
        <v>2804</v>
      </c>
      <c r="H1585" s="4" t="s">
        <v>2922</v>
      </c>
      <c r="I1585" s="8" t="s">
        <v>53</v>
      </c>
      <c r="J1585" s="8" t="s">
        <v>31</v>
      </c>
      <c r="K1585" s="12">
        <f>_xlfn.XLOOKUP(B1585,[1]Sheet1!$B:$B,[1]Sheet1!$N:$N,0)</f>
        <v>0</v>
      </c>
      <c r="L1585" s="12">
        <f>_xlfn.XLOOKUP(B1585,[1]Sheet1!$B:$B,[1]Sheet1!$O:$O,0)</f>
        <v>0</v>
      </c>
      <c r="M1585" s="12">
        <f>_xlfn.XLOOKUP(B1585,[1]Sheet1!$B:$B,[1]Sheet1!$P:$P,0)</f>
        <v>0</v>
      </c>
      <c r="N1585" s="12">
        <f>_xlfn.XLOOKUP(B1585,[1]Sheet1!$B:$B,[1]Sheet1!$Q:$Q,0)</f>
        <v>0</v>
      </c>
      <c r="O1585" s="12">
        <f>_xlfn.XLOOKUP(B1585,[1]Sheet1!$B:$B,[1]Sheet1!$R:$R,0)</f>
        <v>0</v>
      </c>
      <c r="P1585" s="12">
        <f>_xlfn.XLOOKUP(B1585,[1]Sheet1!$B:$B,[1]Sheet1!$S:$S,0)</f>
        <v>0</v>
      </c>
      <c r="Q1585" s="12">
        <f>_xlfn.XLOOKUP(B1585,[1]Sheet1!$B:$B,[1]Sheet1!$T:$T,0)</f>
        <v>0</v>
      </c>
      <c r="R1585" s="12">
        <f>_xlfn.XLOOKUP(B1585,[1]Sheet1!$B:$B,[1]Sheet1!$U:$U,0)</f>
        <v>0</v>
      </c>
      <c r="S1585" s="12">
        <f>_xlfn.XLOOKUP(B1585,[1]Sheet1!$B:$B,[1]Sheet1!$V:$V,0)</f>
        <v>0</v>
      </c>
      <c r="T1585" s="12">
        <f>_xlfn.XLOOKUP(B1585,[1]Sheet1!$B:$B,[1]Sheet1!$W:$W,0)</f>
        <v>0</v>
      </c>
      <c r="U1585" s="12">
        <f>_xlfn.XLOOKUP(B1585,[1]Sheet1!$B:$B,[1]Sheet1!$X:$X,0)</f>
        <v>0</v>
      </c>
      <c r="V1585" s="12">
        <f>_xlfn.XLOOKUP(B1585,[1]Sheet1!$B:$B,[1]Sheet1!$Y:$Y,0)</f>
        <v>0</v>
      </c>
      <c r="W1585" s="12">
        <f t="shared" si="51"/>
        <v>0</v>
      </c>
      <c r="X1585" s="8" t="s">
        <v>2573</v>
      </c>
      <c r="Y1585" s="8" t="s">
        <v>2574</v>
      </c>
      <c r="Z1585" s="8" t="s">
        <v>2575</v>
      </c>
      <c r="AA1585" s="8" t="s">
        <v>53</v>
      </c>
      <c r="AB1585" s="8" t="s">
        <v>36</v>
      </c>
      <c r="AC1585" s="8" t="s">
        <v>37</v>
      </c>
      <c r="AD1585" s="8" t="s">
        <v>38</v>
      </c>
      <c r="AE1585" s="8" t="s">
        <v>2208</v>
      </c>
      <c r="AF1585" s="8" t="s">
        <v>2211</v>
      </c>
      <c r="AG1585" s="9">
        <v>1089100</v>
      </c>
      <c r="AH1585" s="11">
        <f>_xlfn.XLOOKUP(B1585,[1]Sheet1!$B:$B,[1]Sheet1!$AB:$AB,0)</f>
        <v>0</v>
      </c>
    </row>
    <row r="1586" spans="2:34" ht="16.8" thickTop="1" thickBot="1" x14ac:dyDescent="0.35">
      <c r="B1586" s="3" t="str">
        <f t="shared" si="50"/>
        <v>451414045170000574510726423891200104</v>
      </c>
      <c r="C1586" s="6" t="s">
        <v>2239</v>
      </c>
      <c r="D1586" s="6" t="s">
        <v>2571</v>
      </c>
      <c r="E1586" s="6" t="s">
        <v>2572</v>
      </c>
      <c r="F1586" s="6" t="s">
        <v>2247</v>
      </c>
      <c r="G1586" s="4" t="s">
        <v>2910</v>
      </c>
      <c r="H1586" s="4" t="s">
        <v>2922</v>
      </c>
      <c r="I1586" s="6" t="s">
        <v>2577</v>
      </c>
      <c r="J1586" s="6" t="s">
        <v>31</v>
      </c>
      <c r="K1586" s="12">
        <f>_xlfn.XLOOKUP(B1586,[1]Sheet1!$B:$B,[1]Sheet1!$N:$N,0)</f>
        <v>0</v>
      </c>
      <c r="L1586" s="12">
        <f>_xlfn.XLOOKUP(B1586,[1]Sheet1!$B:$B,[1]Sheet1!$O:$O,0)</f>
        <v>0</v>
      </c>
      <c r="M1586" s="12">
        <f>_xlfn.XLOOKUP(B1586,[1]Sheet1!$B:$B,[1]Sheet1!$P:$P,0)</f>
        <v>0</v>
      </c>
      <c r="N1586" s="12">
        <f>_xlfn.XLOOKUP(B1586,[1]Sheet1!$B:$B,[1]Sheet1!$Q:$Q,0)</f>
        <v>0</v>
      </c>
      <c r="O1586" s="12">
        <f>_xlfn.XLOOKUP(B1586,[1]Sheet1!$B:$B,[1]Sheet1!$R:$R,0)</f>
        <v>0</v>
      </c>
      <c r="P1586" s="12">
        <f>_xlfn.XLOOKUP(B1586,[1]Sheet1!$B:$B,[1]Sheet1!$S:$S,0)</f>
        <v>0</v>
      </c>
      <c r="Q1586" s="12">
        <f>_xlfn.XLOOKUP(B1586,[1]Sheet1!$B:$B,[1]Sheet1!$T:$T,0)</f>
        <v>0</v>
      </c>
      <c r="R1586" s="12">
        <f>_xlfn.XLOOKUP(B1586,[1]Sheet1!$B:$B,[1]Sheet1!$U:$U,0)</f>
        <v>0</v>
      </c>
      <c r="S1586" s="12">
        <f>_xlfn.XLOOKUP(B1586,[1]Sheet1!$B:$B,[1]Sheet1!$V:$V,0)</f>
        <v>0</v>
      </c>
      <c r="T1586" s="12">
        <f>_xlfn.XLOOKUP(B1586,[1]Sheet1!$B:$B,[1]Sheet1!$W:$W,0)</f>
        <v>0</v>
      </c>
      <c r="U1586" s="12">
        <f>_xlfn.XLOOKUP(B1586,[1]Sheet1!$B:$B,[1]Sheet1!$X:$X,0)</f>
        <v>0</v>
      </c>
      <c r="V1586" s="12">
        <f>_xlfn.XLOOKUP(B1586,[1]Sheet1!$B:$B,[1]Sheet1!$Y:$Y,0)</f>
        <v>0</v>
      </c>
      <c r="W1586" s="12">
        <f t="shared" si="51"/>
        <v>0</v>
      </c>
      <c r="X1586" s="6" t="s">
        <v>2578</v>
      </c>
      <c r="Y1586" s="6" t="s">
        <v>2574</v>
      </c>
      <c r="Z1586" s="6" t="s">
        <v>2575</v>
      </c>
      <c r="AA1586" s="6" t="s">
        <v>2577</v>
      </c>
      <c r="AB1586" s="6" t="s">
        <v>36</v>
      </c>
      <c r="AC1586" s="6" t="s">
        <v>37</v>
      </c>
      <c r="AD1586" s="6" t="s">
        <v>38</v>
      </c>
      <c r="AE1586" s="6" t="s">
        <v>2208</v>
      </c>
      <c r="AF1586" s="6" t="s">
        <v>2211</v>
      </c>
      <c r="AG1586" s="7">
        <v>304505</v>
      </c>
      <c r="AH1586" s="11">
        <f>_xlfn.XLOOKUP(B1586,[1]Sheet1!$B:$B,[1]Sheet1!$AB:$AB,0)</f>
        <v>0</v>
      </c>
    </row>
    <row r="1587" spans="2:34" ht="16.8" thickTop="1" thickBot="1" x14ac:dyDescent="0.35">
      <c r="B1587" s="3" t="str">
        <f t="shared" si="50"/>
        <v>451018045170000574510731423411200104</v>
      </c>
      <c r="C1587" s="8" t="s">
        <v>2580</v>
      </c>
      <c r="D1587" s="8" t="s">
        <v>2571</v>
      </c>
      <c r="E1587" s="8" t="s">
        <v>2572</v>
      </c>
      <c r="F1587" s="8" t="s">
        <v>2416</v>
      </c>
      <c r="G1587" s="4" t="s">
        <v>2833</v>
      </c>
      <c r="H1587" s="4" t="s">
        <v>2922</v>
      </c>
      <c r="I1587" s="8" t="s">
        <v>330</v>
      </c>
      <c r="J1587" s="8" t="s">
        <v>31</v>
      </c>
      <c r="K1587" s="12">
        <f>_xlfn.XLOOKUP(B1587,[1]Sheet1!$B:$B,[1]Sheet1!$N:$N,0)</f>
        <v>0</v>
      </c>
      <c r="L1587" s="12">
        <f>_xlfn.XLOOKUP(B1587,[1]Sheet1!$B:$B,[1]Sheet1!$O:$O,0)</f>
        <v>0</v>
      </c>
      <c r="M1587" s="12">
        <f>_xlfn.XLOOKUP(B1587,[1]Sheet1!$B:$B,[1]Sheet1!$P:$P,0)</f>
        <v>0</v>
      </c>
      <c r="N1587" s="12">
        <f>_xlfn.XLOOKUP(B1587,[1]Sheet1!$B:$B,[1]Sheet1!$Q:$Q,0)</f>
        <v>0</v>
      </c>
      <c r="O1587" s="12">
        <f>_xlfn.XLOOKUP(B1587,[1]Sheet1!$B:$B,[1]Sheet1!$R:$R,0)</f>
        <v>0</v>
      </c>
      <c r="P1587" s="12">
        <f>_xlfn.XLOOKUP(B1587,[1]Sheet1!$B:$B,[1]Sheet1!$S:$S,0)</f>
        <v>0</v>
      </c>
      <c r="Q1587" s="12">
        <f>_xlfn.XLOOKUP(B1587,[1]Sheet1!$B:$B,[1]Sheet1!$T:$T,0)</f>
        <v>0</v>
      </c>
      <c r="R1587" s="12">
        <f>_xlfn.XLOOKUP(B1587,[1]Sheet1!$B:$B,[1]Sheet1!$U:$U,0)</f>
        <v>0</v>
      </c>
      <c r="S1587" s="12">
        <f>_xlfn.XLOOKUP(B1587,[1]Sheet1!$B:$B,[1]Sheet1!$V:$V,0)</f>
        <v>0</v>
      </c>
      <c r="T1587" s="12">
        <f>_xlfn.XLOOKUP(B1587,[1]Sheet1!$B:$B,[1]Sheet1!$W:$W,0)</f>
        <v>0</v>
      </c>
      <c r="U1587" s="12">
        <f>_xlfn.XLOOKUP(B1587,[1]Sheet1!$B:$B,[1]Sheet1!$X:$X,0)</f>
        <v>0</v>
      </c>
      <c r="V1587" s="12">
        <f>_xlfn.XLOOKUP(B1587,[1]Sheet1!$B:$B,[1]Sheet1!$Y:$Y,0)</f>
        <v>0</v>
      </c>
      <c r="W1587" s="12">
        <f t="shared" si="51"/>
        <v>0</v>
      </c>
      <c r="X1587" s="8" t="s">
        <v>2579</v>
      </c>
      <c r="Y1587" s="8" t="s">
        <v>2574</v>
      </c>
      <c r="Z1587" s="8" t="s">
        <v>2575</v>
      </c>
      <c r="AA1587" s="8" t="s">
        <v>330</v>
      </c>
      <c r="AB1587" s="8" t="s">
        <v>36</v>
      </c>
      <c r="AC1587" s="8" t="s">
        <v>37</v>
      </c>
      <c r="AD1587" s="8" t="s">
        <v>38</v>
      </c>
      <c r="AE1587" s="8" t="s">
        <v>2208</v>
      </c>
      <c r="AF1587" s="8" t="s">
        <v>2211</v>
      </c>
      <c r="AG1587" s="9">
        <v>734400</v>
      </c>
      <c r="AH1587" s="11">
        <f>_xlfn.XLOOKUP(B1587,[1]Sheet1!$B:$B,[1]Sheet1!$AB:$AB,0)</f>
        <v>0</v>
      </c>
    </row>
    <row r="1588" spans="2:34" ht="16.8" thickTop="1" thickBot="1" x14ac:dyDescent="0.35">
      <c r="B1588" s="3" t="str">
        <f t="shared" si="50"/>
        <v>451018045170000574510792422619200104</v>
      </c>
      <c r="C1588" s="6" t="s">
        <v>2580</v>
      </c>
      <c r="D1588" s="6" t="s">
        <v>2571</v>
      </c>
      <c r="E1588" s="6" t="s">
        <v>2572</v>
      </c>
      <c r="F1588" s="6" t="s">
        <v>2581</v>
      </c>
      <c r="G1588" s="4" t="s">
        <v>2849</v>
      </c>
      <c r="H1588" s="4" t="s">
        <v>2922</v>
      </c>
      <c r="I1588" s="6" t="s">
        <v>537</v>
      </c>
      <c r="J1588" s="6" t="s">
        <v>31</v>
      </c>
      <c r="K1588" s="12">
        <f>_xlfn.XLOOKUP(B1588,[1]Sheet1!$B:$B,[1]Sheet1!$N:$N,0)</f>
        <v>0</v>
      </c>
      <c r="L1588" s="12">
        <f>_xlfn.XLOOKUP(B1588,[1]Sheet1!$B:$B,[1]Sheet1!$O:$O,0)</f>
        <v>0</v>
      </c>
      <c r="M1588" s="12">
        <f>_xlfn.XLOOKUP(B1588,[1]Sheet1!$B:$B,[1]Sheet1!$P:$P,0)</f>
        <v>0</v>
      </c>
      <c r="N1588" s="12">
        <f>_xlfn.XLOOKUP(B1588,[1]Sheet1!$B:$B,[1]Sheet1!$Q:$Q,0)</f>
        <v>0</v>
      </c>
      <c r="O1588" s="12">
        <f>_xlfn.XLOOKUP(B1588,[1]Sheet1!$B:$B,[1]Sheet1!$R:$R,0)</f>
        <v>0</v>
      </c>
      <c r="P1588" s="12">
        <f>_xlfn.XLOOKUP(B1588,[1]Sheet1!$B:$B,[1]Sheet1!$S:$S,0)</f>
        <v>0</v>
      </c>
      <c r="Q1588" s="12">
        <f>_xlfn.XLOOKUP(B1588,[1]Sheet1!$B:$B,[1]Sheet1!$T:$T,0)</f>
        <v>0</v>
      </c>
      <c r="R1588" s="12">
        <f>_xlfn.XLOOKUP(B1588,[1]Sheet1!$B:$B,[1]Sheet1!$U:$U,0)</f>
        <v>0</v>
      </c>
      <c r="S1588" s="12">
        <f>_xlfn.XLOOKUP(B1588,[1]Sheet1!$B:$B,[1]Sheet1!$V:$V,0)</f>
        <v>0</v>
      </c>
      <c r="T1588" s="12">
        <f>_xlfn.XLOOKUP(B1588,[1]Sheet1!$B:$B,[1]Sheet1!$W:$W,0)</f>
        <v>0</v>
      </c>
      <c r="U1588" s="12">
        <f>_xlfn.XLOOKUP(B1588,[1]Sheet1!$B:$B,[1]Sheet1!$X:$X,0)</f>
        <v>0</v>
      </c>
      <c r="V1588" s="12">
        <f>_xlfn.XLOOKUP(B1588,[1]Sheet1!$B:$B,[1]Sheet1!$Y:$Y,0)</f>
        <v>0</v>
      </c>
      <c r="W1588" s="12">
        <f t="shared" si="51"/>
        <v>0</v>
      </c>
      <c r="X1588" s="6" t="s">
        <v>2582</v>
      </c>
      <c r="Y1588" s="6" t="s">
        <v>2574</v>
      </c>
      <c r="Z1588" s="6" t="s">
        <v>2575</v>
      </c>
      <c r="AA1588" s="6" t="s">
        <v>537</v>
      </c>
      <c r="AB1588" s="6" t="s">
        <v>36</v>
      </c>
      <c r="AC1588" s="6" t="s">
        <v>37</v>
      </c>
      <c r="AD1588" s="6" t="s">
        <v>38</v>
      </c>
      <c r="AE1588" s="6" t="s">
        <v>2208</v>
      </c>
      <c r="AF1588" s="6" t="s">
        <v>2211</v>
      </c>
      <c r="AG1588" s="7">
        <v>1160000</v>
      </c>
      <c r="AH1588" s="11">
        <f>_xlfn.XLOOKUP(B1588,[1]Sheet1!$B:$B,[1]Sheet1!$AB:$AB,0)</f>
        <v>0</v>
      </c>
    </row>
    <row r="1589" spans="2:34" ht="16.8" thickTop="1" thickBot="1" x14ac:dyDescent="0.35">
      <c r="B1589" s="3" t="str">
        <f t="shared" si="50"/>
        <v>451018045170000584510803421123200104</v>
      </c>
      <c r="C1589" s="8" t="s">
        <v>2580</v>
      </c>
      <c r="D1589" s="8" t="s">
        <v>2583</v>
      </c>
      <c r="E1589" s="8" t="s">
        <v>2584</v>
      </c>
      <c r="F1589" s="8" t="s">
        <v>2585</v>
      </c>
      <c r="G1589" s="4" t="s">
        <v>2827</v>
      </c>
      <c r="H1589" s="4" t="s">
        <v>2922</v>
      </c>
      <c r="I1589" s="8" t="s">
        <v>237</v>
      </c>
      <c r="J1589" s="8" t="s">
        <v>31</v>
      </c>
      <c r="K1589" s="12">
        <f>_xlfn.XLOOKUP(B1589,[1]Sheet1!$B:$B,[1]Sheet1!$N:$N,0)</f>
        <v>0</v>
      </c>
      <c r="L1589" s="12">
        <f>_xlfn.XLOOKUP(B1589,[1]Sheet1!$B:$B,[1]Sheet1!$O:$O,0)</f>
        <v>0</v>
      </c>
      <c r="M1589" s="12">
        <f>_xlfn.XLOOKUP(B1589,[1]Sheet1!$B:$B,[1]Sheet1!$P:$P,0)</f>
        <v>0</v>
      </c>
      <c r="N1589" s="12">
        <f>_xlfn.XLOOKUP(B1589,[1]Sheet1!$B:$B,[1]Sheet1!$Q:$Q,0)</f>
        <v>0</v>
      </c>
      <c r="O1589" s="12">
        <f>_xlfn.XLOOKUP(B1589,[1]Sheet1!$B:$B,[1]Sheet1!$R:$R,0)</f>
        <v>0</v>
      </c>
      <c r="P1589" s="12">
        <f>_xlfn.XLOOKUP(B1589,[1]Sheet1!$B:$B,[1]Sheet1!$S:$S,0)</f>
        <v>0</v>
      </c>
      <c r="Q1589" s="12">
        <f>_xlfn.XLOOKUP(B1589,[1]Sheet1!$B:$B,[1]Sheet1!$T:$T,0)</f>
        <v>0</v>
      </c>
      <c r="R1589" s="12">
        <f>_xlfn.XLOOKUP(B1589,[1]Sheet1!$B:$B,[1]Sheet1!$U:$U,0)</f>
        <v>0</v>
      </c>
      <c r="S1589" s="12">
        <f>_xlfn.XLOOKUP(B1589,[1]Sheet1!$B:$B,[1]Sheet1!$V:$V,0)</f>
        <v>0</v>
      </c>
      <c r="T1589" s="12">
        <f>_xlfn.XLOOKUP(B1589,[1]Sheet1!$B:$B,[1]Sheet1!$W:$W,0)</f>
        <v>0</v>
      </c>
      <c r="U1589" s="12">
        <f>_xlfn.XLOOKUP(B1589,[1]Sheet1!$B:$B,[1]Sheet1!$X:$X,0)</f>
        <v>0</v>
      </c>
      <c r="V1589" s="12">
        <f>_xlfn.XLOOKUP(B1589,[1]Sheet1!$B:$B,[1]Sheet1!$Y:$Y,0)</f>
        <v>0</v>
      </c>
      <c r="W1589" s="12">
        <f t="shared" si="51"/>
        <v>0</v>
      </c>
      <c r="X1589" s="8" t="s">
        <v>2586</v>
      </c>
      <c r="Y1589" s="8" t="s">
        <v>2574</v>
      </c>
      <c r="Z1589" s="8" t="s">
        <v>2575</v>
      </c>
      <c r="AA1589" s="8" t="s">
        <v>237</v>
      </c>
      <c r="AB1589" s="8" t="s">
        <v>36</v>
      </c>
      <c r="AC1589" s="8" t="s">
        <v>37</v>
      </c>
      <c r="AD1589" s="8" t="s">
        <v>38</v>
      </c>
      <c r="AE1589" s="8" t="s">
        <v>2208</v>
      </c>
      <c r="AF1589" s="8" t="s">
        <v>2211</v>
      </c>
      <c r="AG1589" s="9">
        <v>952124</v>
      </c>
      <c r="AH1589" s="11">
        <f>_xlfn.XLOOKUP(B1589,[1]Sheet1!$B:$B,[1]Sheet1!$AB:$AB,0)</f>
        <v>0</v>
      </c>
    </row>
    <row r="1590" spans="2:34" ht="16.8" thickTop="1" thickBot="1" x14ac:dyDescent="0.35">
      <c r="B1590" s="3" t="str">
        <f t="shared" si="50"/>
        <v>451018045170000594510759421116200104</v>
      </c>
      <c r="C1590" s="6" t="s">
        <v>2580</v>
      </c>
      <c r="D1590" s="6" t="s">
        <v>2587</v>
      </c>
      <c r="E1590" s="6" t="s">
        <v>2588</v>
      </c>
      <c r="F1590" s="6" t="s">
        <v>2589</v>
      </c>
      <c r="G1590" s="4" t="s">
        <v>2911</v>
      </c>
      <c r="H1590" s="4" t="s">
        <v>2922</v>
      </c>
      <c r="I1590" s="6" t="s">
        <v>2590</v>
      </c>
      <c r="J1590" s="6" t="s">
        <v>31</v>
      </c>
      <c r="K1590" s="12">
        <f>_xlfn.XLOOKUP(B1590,[1]Sheet1!$B:$B,[1]Sheet1!$N:$N,0)</f>
        <v>0</v>
      </c>
      <c r="L1590" s="12">
        <f>_xlfn.XLOOKUP(B1590,[1]Sheet1!$B:$B,[1]Sheet1!$O:$O,0)</f>
        <v>0</v>
      </c>
      <c r="M1590" s="12">
        <f>_xlfn.XLOOKUP(B1590,[1]Sheet1!$B:$B,[1]Sheet1!$P:$P,0)</f>
        <v>0</v>
      </c>
      <c r="N1590" s="12">
        <f>_xlfn.XLOOKUP(B1590,[1]Sheet1!$B:$B,[1]Sheet1!$Q:$Q,0)</f>
        <v>0</v>
      </c>
      <c r="O1590" s="12">
        <f>_xlfn.XLOOKUP(B1590,[1]Sheet1!$B:$B,[1]Sheet1!$R:$R,0)</f>
        <v>0</v>
      </c>
      <c r="P1590" s="12">
        <f>_xlfn.XLOOKUP(B1590,[1]Sheet1!$B:$B,[1]Sheet1!$S:$S,0)</f>
        <v>0</v>
      </c>
      <c r="Q1590" s="12">
        <f>_xlfn.XLOOKUP(B1590,[1]Sheet1!$B:$B,[1]Sheet1!$T:$T,0)</f>
        <v>0</v>
      </c>
      <c r="R1590" s="12">
        <f>_xlfn.XLOOKUP(B1590,[1]Sheet1!$B:$B,[1]Sheet1!$U:$U,0)</f>
        <v>0</v>
      </c>
      <c r="S1590" s="12">
        <f>_xlfn.XLOOKUP(B1590,[1]Sheet1!$B:$B,[1]Sheet1!$V:$V,0)</f>
        <v>0</v>
      </c>
      <c r="T1590" s="12">
        <f>_xlfn.XLOOKUP(B1590,[1]Sheet1!$B:$B,[1]Sheet1!$W:$W,0)</f>
        <v>0</v>
      </c>
      <c r="U1590" s="12">
        <f>_xlfn.XLOOKUP(B1590,[1]Sheet1!$B:$B,[1]Sheet1!$X:$X,0)</f>
        <v>0</v>
      </c>
      <c r="V1590" s="12">
        <f>_xlfn.XLOOKUP(B1590,[1]Sheet1!$B:$B,[1]Sheet1!$Y:$Y,0)</f>
        <v>0</v>
      </c>
      <c r="W1590" s="12">
        <f t="shared" si="51"/>
        <v>0</v>
      </c>
      <c r="X1590" s="6" t="s">
        <v>2591</v>
      </c>
      <c r="Y1590" s="6" t="s">
        <v>2574</v>
      </c>
      <c r="Z1590" s="6" t="s">
        <v>2575</v>
      </c>
      <c r="AA1590" s="6" t="s">
        <v>2592</v>
      </c>
      <c r="AB1590" s="6" t="s">
        <v>36</v>
      </c>
      <c r="AC1590" s="6" t="s">
        <v>37</v>
      </c>
      <c r="AD1590" s="6" t="s">
        <v>38</v>
      </c>
      <c r="AE1590" s="6" t="s">
        <v>2208</v>
      </c>
      <c r="AF1590" s="6" t="s">
        <v>2211</v>
      </c>
      <c r="AG1590" s="7">
        <v>965600</v>
      </c>
      <c r="AH1590" s="11">
        <f>_xlfn.XLOOKUP(B1590,[1]Sheet1!$B:$B,[1]Sheet1!$AB:$AB,0)</f>
        <v>0</v>
      </c>
    </row>
    <row r="1591" spans="2:34" ht="16.8" thickTop="1" thickBot="1" x14ac:dyDescent="0.35">
      <c r="B1591" s="3" t="str">
        <f t="shared" si="50"/>
        <v>451018045170000594510803424221200104</v>
      </c>
      <c r="C1591" s="8" t="s">
        <v>2580</v>
      </c>
      <c r="D1591" s="8" t="s">
        <v>2587</v>
      </c>
      <c r="E1591" s="8" t="s">
        <v>2588</v>
      </c>
      <c r="F1591" s="8" t="s">
        <v>2585</v>
      </c>
      <c r="G1591" s="4" t="s">
        <v>2824</v>
      </c>
      <c r="H1591" s="4" t="s">
        <v>2922</v>
      </c>
      <c r="I1591" s="8" t="s">
        <v>209</v>
      </c>
      <c r="J1591" s="8" t="s">
        <v>31</v>
      </c>
      <c r="K1591" s="12">
        <f>_xlfn.XLOOKUP(B1591,[1]Sheet1!$B:$B,[1]Sheet1!$N:$N,0)</f>
        <v>0</v>
      </c>
      <c r="L1591" s="12">
        <f>_xlfn.XLOOKUP(B1591,[1]Sheet1!$B:$B,[1]Sheet1!$O:$O,0)</f>
        <v>0</v>
      </c>
      <c r="M1591" s="12">
        <f>_xlfn.XLOOKUP(B1591,[1]Sheet1!$B:$B,[1]Sheet1!$P:$P,0)</f>
        <v>0</v>
      </c>
      <c r="N1591" s="12">
        <f>_xlfn.XLOOKUP(B1591,[1]Sheet1!$B:$B,[1]Sheet1!$Q:$Q,0)</f>
        <v>0</v>
      </c>
      <c r="O1591" s="12">
        <f>_xlfn.XLOOKUP(B1591,[1]Sheet1!$B:$B,[1]Sheet1!$R:$R,0)</f>
        <v>0</v>
      </c>
      <c r="P1591" s="12">
        <f>_xlfn.XLOOKUP(B1591,[1]Sheet1!$B:$B,[1]Sheet1!$S:$S,0)</f>
        <v>0</v>
      </c>
      <c r="Q1591" s="12">
        <f>_xlfn.XLOOKUP(B1591,[1]Sheet1!$B:$B,[1]Sheet1!$T:$T,0)</f>
        <v>0</v>
      </c>
      <c r="R1591" s="12">
        <f>_xlfn.XLOOKUP(B1591,[1]Sheet1!$B:$B,[1]Sheet1!$U:$U,0)</f>
        <v>0</v>
      </c>
      <c r="S1591" s="12">
        <f>_xlfn.XLOOKUP(B1591,[1]Sheet1!$B:$B,[1]Sheet1!$V:$V,0)</f>
        <v>0</v>
      </c>
      <c r="T1591" s="12">
        <f>_xlfn.XLOOKUP(B1591,[1]Sheet1!$B:$B,[1]Sheet1!$W:$W,0)</f>
        <v>0</v>
      </c>
      <c r="U1591" s="12">
        <f>_xlfn.XLOOKUP(B1591,[1]Sheet1!$B:$B,[1]Sheet1!$X:$X,0)</f>
        <v>0</v>
      </c>
      <c r="V1591" s="12">
        <f>_xlfn.XLOOKUP(B1591,[1]Sheet1!$B:$B,[1]Sheet1!$Y:$Y,0)</f>
        <v>0</v>
      </c>
      <c r="W1591" s="12">
        <f t="shared" si="51"/>
        <v>0</v>
      </c>
      <c r="X1591" s="8" t="s">
        <v>2593</v>
      </c>
      <c r="Y1591" s="8" t="s">
        <v>2574</v>
      </c>
      <c r="Z1591" s="8" t="s">
        <v>2575</v>
      </c>
      <c r="AA1591" s="8" t="s">
        <v>209</v>
      </c>
      <c r="AB1591" s="8" t="s">
        <v>36</v>
      </c>
      <c r="AC1591" s="8" t="s">
        <v>37</v>
      </c>
      <c r="AD1591" s="8" t="s">
        <v>38</v>
      </c>
      <c r="AE1591" s="8" t="s">
        <v>2208</v>
      </c>
      <c r="AF1591" s="8" t="s">
        <v>2211</v>
      </c>
      <c r="AG1591" s="9">
        <v>249366</v>
      </c>
      <c r="AH1591" s="11">
        <f>_xlfn.XLOOKUP(B1591,[1]Sheet1!$B:$B,[1]Sheet1!$AB:$AB,0)</f>
        <v>0</v>
      </c>
    </row>
    <row r="1592" spans="2:34" ht="16.8" thickTop="1" thickBot="1" x14ac:dyDescent="0.35">
      <c r="B1592" s="3" t="str">
        <f t="shared" si="50"/>
        <v>451018145170000604510728431115200104</v>
      </c>
      <c r="C1592" s="6" t="s">
        <v>2576</v>
      </c>
      <c r="D1592" s="6" t="s">
        <v>2594</v>
      </c>
      <c r="E1592" s="6" t="s">
        <v>2595</v>
      </c>
      <c r="F1592" s="6" t="s">
        <v>2329</v>
      </c>
      <c r="G1592" s="4" t="s">
        <v>2899</v>
      </c>
      <c r="H1592" s="4" t="s">
        <v>2922</v>
      </c>
      <c r="I1592" s="6" t="s">
        <v>2401</v>
      </c>
      <c r="J1592" s="6" t="s">
        <v>31</v>
      </c>
      <c r="K1592" s="12">
        <f>_xlfn.XLOOKUP(B1592,[1]Sheet1!$B:$B,[1]Sheet1!$N:$N,0)</f>
        <v>0</v>
      </c>
      <c r="L1592" s="12">
        <f>_xlfn.XLOOKUP(B1592,[1]Sheet1!$B:$B,[1]Sheet1!$O:$O,0)</f>
        <v>0</v>
      </c>
      <c r="M1592" s="12">
        <f>_xlfn.XLOOKUP(B1592,[1]Sheet1!$B:$B,[1]Sheet1!$P:$P,0)</f>
        <v>0</v>
      </c>
      <c r="N1592" s="12">
        <f>_xlfn.XLOOKUP(B1592,[1]Sheet1!$B:$B,[1]Sheet1!$Q:$Q,0)</f>
        <v>0</v>
      </c>
      <c r="O1592" s="12">
        <f>_xlfn.XLOOKUP(B1592,[1]Sheet1!$B:$B,[1]Sheet1!$R:$R,0)</f>
        <v>0</v>
      </c>
      <c r="P1592" s="12">
        <f>_xlfn.XLOOKUP(B1592,[1]Sheet1!$B:$B,[1]Sheet1!$S:$S,0)</f>
        <v>0</v>
      </c>
      <c r="Q1592" s="12">
        <f>_xlfn.XLOOKUP(B1592,[1]Sheet1!$B:$B,[1]Sheet1!$T:$T,0)</f>
        <v>0</v>
      </c>
      <c r="R1592" s="12">
        <f>_xlfn.XLOOKUP(B1592,[1]Sheet1!$B:$B,[1]Sheet1!$U:$U,0)</f>
        <v>0</v>
      </c>
      <c r="S1592" s="12">
        <f>_xlfn.XLOOKUP(B1592,[1]Sheet1!$B:$B,[1]Sheet1!$V:$V,0)</f>
        <v>0</v>
      </c>
      <c r="T1592" s="12">
        <f>_xlfn.XLOOKUP(B1592,[1]Sheet1!$B:$B,[1]Sheet1!$W:$W,0)</f>
        <v>0</v>
      </c>
      <c r="U1592" s="12">
        <f>_xlfn.XLOOKUP(B1592,[1]Sheet1!$B:$B,[1]Sheet1!$X:$X,0)</f>
        <v>0</v>
      </c>
      <c r="V1592" s="12">
        <f>_xlfn.XLOOKUP(B1592,[1]Sheet1!$B:$B,[1]Sheet1!$Y:$Y,0)</f>
        <v>0</v>
      </c>
      <c r="W1592" s="12">
        <f t="shared" si="51"/>
        <v>0</v>
      </c>
      <c r="X1592" s="6" t="s">
        <v>2596</v>
      </c>
      <c r="Y1592" s="6" t="s">
        <v>2574</v>
      </c>
      <c r="Z1592" s="6" t="s">
        <v>2597</v>
      </c>
      <c r="AA1592" s="6" t="s">
        <v>2401</v>
      </c>
      <c r="AB1592" s="6" t="s">
        <v>36</v>
      </c>
      <c r="AC1592" s="6" t="s">
        <v>37</v>
      </c>
      <c r="AD1592" s="6" t="s">
        <v>2340</v>
      </c>
      <c r="AE1592" s="6" t="s">
        <v>2208</v>
      </c>
      <c r="AF1592" s="6" t="s">
        <v>2211</v>
      </c>
      <c r="AG1592" s="7">
        <v>15000</v>
      </c>
      <c r="AH1592" s="11">
        <f>_xlfn.XLOOKUP(B1592,[1]Sheet1!$B:$B,[1]Sheet1!$AB:$AB,0)</f>
        <v>0</v>
      </c>
    </row>
    <row r="1593" spans="2:34" ht="16.8" thickTop="1" thickBot="1" x14ac:dyDescent="0.35">
      <c r="B1593" s="3" t="str">
        <f t="shared" si="50"/>
        <v>451018145170000604510731423421200104</v>
      </c>
      <c r="C1593" s="8" t="s">
        <v>2576</v>
      </c>
      <c r="D1593" s="8" t="s">
        <v>2594</v>
      </c>
      <c r="E1593" s="8" t="s">
        <v>2595</v>
      </c>
      <c r="F1593" s="8" t="s">
        <v>2416</v>
      </c>
      <c r="G1593" s="4" t="s">
        <v>2912</v>
      </c>
      <c r="H1593" s="4" t="s">
        <v>2922</v>
      </c>
      <c r="I1593" s="8" t="s">
        <v>2598</v>
      </c>
      <c r="J1593" s="8" t="s">
        <v>31</v>
      </c>
      <c r="K1593" s="12">
        <f>_xlfn.XLOOKUP(B1593,[1]Sheet1!$B:$B,[1]Sheet1!$N:$N,0)</f>
        <v>0</v>
      </c>
      <c r="L1593" s="12">
        <f>_xlfn.XLOOKUP(B1593,[1]Sheet1!$B:$B,[1]Sheet1!$O:$O,0)</f>
        <v>0</v>
      </c>
      <c r="M1593" s="12">
        <f>_xlfn.XLOOKUP(B1593,[1]Sheet1!$B:$B,[1]Sheet1!$P:$P,0)</f>
        <v>0</v>
      </c>
      <c r="N1593" s="12">
        <f>_xlfn.XLOOKUP(B1593,[1]Sheet1!$B:$B,[1]Sheet1!$Q:$Q,0)</f>
        <v>0</v>
      </c>
      <c r="O1593" s="12">
        <f>_xlfn.XLOOKUP(B1593,[1]Sheet1!$B:$B,[1]Sheet1!$R:$R,0)</f>
        <v>0</v>
      </c>
      <c r="P1593" s="12">
        <f>_xlfn.XLOOKUP(B1593,[1]Sheet1!$B:$B,[1]Sheet1!$S:$S,0)</f>
        <v>0</v>
      </c>
      <c r="Q1593" s="12">
        <f>_xlfn.XLOOKUP(B1593,[1]Sheet1!$B:$B,[1]Sheet1!$T:$T,0)</f>
        <v>0</v>
      </c>
      <c r="R1593" s="12">
        <f>_xlfn.XLOOKUP(B1593,[1]Sheet1!$B:$B,[1]Sheet1!$U:$U,0)</f>
        <v>0</v>
      </c>
      <c r="S1593" s="12">
        <f>_xlfn.XLOOKUP(B1593,[1]Sheet1!$B:$B,[1]Sheet1!$V:$V,0)</f>
        <v>0</v>
      </c>
      <c r="T1593" s="12">
        <f>_xlfn.XLOOKUP(B1593,[1]Sheet1!$B:$B,[1]Sheet1!$W:$W,0)</f>
        <v>0</v>
      </c>
      <c r="U1593" s="12">
        <f>_xlfn.XLOOKUP(B1593,[1]Sheet1!$B:$B,[1]Sheet1!$X:$X,0)</f>
        <v>0</v>
      </c>
      <c r="V1593" s="12">
        <f>_xlfn.XLOOKUP(B1593,[1]Sheet1!$B:$B,[1]Sheet1!$Y:$Y,0)</f>
        <v>0</v>
      </c>
      <c r="W1593" s="12">
        <f t="shared" si="51"/>
        <v>0</v>
      </c>
      <c r="X1593" s="8" t="s">
        <v>2599</v>
      </c>
      <c r="Y1593" s="8" t="s">
        <v>2574</v>
      </c>
      <c r="Z1593" s="8" t="s">
        <v>2597</v>
      </c>
      <c r="AA1593" s="8" t="s">
        <v>2598</v>
      </c>
      <c r="AB1593" s="8" t="s">
        <v>36</v>
      </c>
      <c r="AC1593" s="8" t="s">
        <v>37</v>
      </c>
      <c r="AD1593" s="8" t="s">
        <v>2340</v>
      </c>
      <c r="AE1593" s="8" t="s">
        <v>2208</v>
      </c>
      <c r="AF1593" s="8" t="s">
        <v>2211</v>
      </c>
      <c r="AG1593" s="9">
        <v>650000</v>
      </c>
      <c r="AH1593" s="11">
        <f>_xlfn.XLOOKUP(B1593,[1]Sheet1!$B:$B,[1]Sheet1!$AB:$AB,0)</f>
        <v>0</v>
      </c>
    </row>
    <row r="1594" spans="2:34" ht="16.8" thickTop="1" thickBot="1" x14ac:dyDescent="0.35">
      <c r="B1594" s="3" t="str">
        <f t="shared" si="50"/>
        <v>451018145170000614510702432625200104</v>
      </c>
      <c r="C1594" s="6" t="s">
        <v>2576</v>
      </c>
      <c r="D1594" s="6" t="s">
        <v>2600</v>
      </c>
      <c r="E1594" s="6" t="s">
        <v>2601</v>
      </c>
      <c r="F1594" s="6" t="s">
        <v>2470</v>
      </c>
      <c r="G1594" s="4" t="s">
        <v>2907</v>
      </c>
      <c r="H1594" s="4" t="s">
        <v>2922</v>
      </c>
      <c r="I1594" s="6" t="s">
        <v>2471</v>
      </c>
      <c r="J1594" s="6" t="s">
        <v>31</v>
      </c>
      <c r="K1594" s="12">
        <f>_xlfn.XLOOKUP(B1594,[1]Sheet1!$B:$B,[1]Sheet1!$N:$N,0)</f>
        <v>0</v>
      </c>
      <c r="L1594" s="12">
        <f>_xlfn.XLOOKUP(B1594,[1]Sheet1!$B:$B,[1]Sheet1!$O:$O,0)</f>
        <v>0</v>
      </c>
      <c r="M1594" s="12">
        <f>_xlfn.XLOOKUP(B1594,[1]Sheet1!$B:$B,[1]Sheet1!$P:$P,0)</f>
        <v>0</v>
      </c>
      <c r="N1594" s="12">
        <f>_xlfn.XLOOKUP(B1594,[1]Sheet1!$B:$B,[1]Sheet1!$Q:$Q,0)</f>
        <v>0</v>
      </c>
      <c r="O1594" s="12">
        <f>_xlfn.XLOOKUP(B1594,[1]Sheet1!$B:$B,[1]Sheet1!$R:$R,0)</f>
        <v>0</v>
      </c>
      <c r="P1594" s="12">
        <f>_xlfn.XLOOKUP(B1594,[1]Sheet1!$B:$B,[1]Sheet1!$S:$S,0)</f>
        <v>0</v>
      </c>
      <c r="Q1594" s="12">
        <f>_xlfn.XLOOKUP(B1594,[1]Sheet1!$B:$B,[1]Sheet1!$T:$T,0)</f>
        <v>0</v>
      </c>
      <c r="R1594" s="12">
        <f>_xlfn.XLOOKUP(B1594,[1]Sheet1!$B:$B,[1]Sheet1!$U:$U,0)</f>
        <v>0</v>
      </c>
      <c r="S1594" s="12">
        <f>_xlfn.XLOOKUP(B1594,[1]Sheet1!$B:$B,[1]Sheet1!$V:$V,0)</f>
        <v>0</v>
      </c>
      <c r="T1594" s="12">
        <f>_xlfn.XLOOKUP(B1594,[1]Sheet1!$B:$B,[1]Sheet1!$W:$W,0)</f>
        <v>0</v>
      </c>
      <c r="U1594" s="12">
        <f>_xlfn.XLOOKUP(B1594,[1]Sheet1!$B:$B,[1]Sheet1!$X:$X,0)</f>
        <v>0</v>
      </c>
      <c r="V1594" s="12">
        <f>_xlfn.XLOOKUP(B1594,[1]Sheet1!$B:$B,[1]Sheet1!$Y:$Y,0)</f>
        <v>0</v>
      </c>
      <c r="W1594" s="12">
        <f t="shared" si="51"/>
        <v>0</v>
      </c>
      <c r="X1594" s="6" t="s">
        <v>2602</v>
      </c>
      <c r="Y1594" s="6" t="s">
        <v>2574</v>
      </c>
      <c r="Z1594" s="6" t="s">
        <v>2597</v>
      </c>
      <c r="AA1594" s="6" t="s">
        <v>2471</v>
      </c>
      <c r="AB1594" s="6" t="s">
        <v>36</v>
      </c>
      <c r="AC1594" s="6" t="s">
        <v>37</v>
      </c>
      <c r="AD1594" s="6" t="s">
        <v>2340</v>
      </c>
      <c r="AE1594" s="6" t="s">
        <v>2208</v>
      </c>
      <c r="AF1594" s="6" t="s">
        <v>2211</v>
      </c>
      <c r="AG1594" s="7">
        <v>4050000</v>
      </c>
      <c r="AH1594" s="11">
        <f>_xlfn.XLOOKUP(B1594,[1]Sheet1!$B:$B,[1]Sheet1!$AB:$AB,0)</f>
        <v>0</v>
      </c>
    </row>
    <row r="1595" spans="2:34" ht="16.8" thickTop="1" thickBot="1" x14ac:dyDescent="0.35">
      <c r="B1595" s="3" t="str">
        <f t="shared" si="50"/>
        <v>451018145170000614510719422749200104</v>
      </c>
      <c r="C1595" s="8" t="s">
        <v>2576</v>
      </c>
      <c r="D1595" s="8" t="s">
        <v>2600</v>
      </c>
      <c r="E1595" s="8" t="s">
        <v>2601</v>
      </c>
      <c r="F1595" s="8" t="s">
        <v>2349</v>
      </c>
      <c r="G1595" s="4" t="s">
        <v>2842</v>
      </c>
      <c r="H1595" s="4" t="s">
        <v>2922</v>
      </c>
      <c r="I1595" s="8" t="s">
        <v>455</v>
      </c>
      <c r="J1595" s="8" t="s">
        <v>31</v>
      </c>
      <c r="K1595" s="12">
        <f>_xlfn.XLOOKUP(B1595,[1]Sheet1!$B:$B,[1]Sheet1!$N:$N,0)</f>
        <v>0</v>
      </c>
      <c r="L1595" s="12">
        <f>_xlfn.XLOOKUP(B1595,[1]Sheet1!$B:$B,[1]Sheet1!$O:$O,0)</f>
        <v>0</v>
      </c>
      <c r="M1595" s="12">
        <f>_xlfn.XLOOKUP(B1595,[1]Sheet1!$B:$B,[1]Sheet1!$P:$P,0)</f>
        <v>0</v>
      </c>
      <c r="N1595" s="12">
        <f>_xlfn.XLOOKUP(B1595,[1]Sheet1!$B:$B,[1]Sheet1!$Q:$Q,0)</f>
        <v>0</v>
      </c>
      <c r="O1595" s="12">
        <f>_xlfn.XLOOKUP(B1595,[1]Sheet1!$B:$B,[1]Sheet1!$R:$R,0)</f>
        <v>0</v>
      </c>
      <c r="P1595" s="12">
        <f>_xlfn.XLOOKUP(B1595,[1]Sheet1!$B:$B,[1]Sheet1!$S:$S,0)</f>
        <v>0</v>
      </c>
      <c r="Q1595" s="12">
        <f>_xlfn.XLOOKUP(B1595,[1]Sheet1!$B:$B,[1]Sheet1!$T:$T,0)</f>
        <v>0</v>
      </c>
      <c r="R1595" s="12">
        <f>_xlfn.XLOOKUP(B1595,[1]Sheet1!$B:$B,[1]Sheet1!$U:$U,0)</f>
        <v>0</v>
      </c>
      <c r="S1595" s="12">
        <f>_xlfn.XLOOKUP(B1595,[1]Sheet1!$B:$B,[1]Sheet1!$V:$V,0)</f>
        <v>0</v>
      </c>
      <c r="T1595" s="12">
        <f>_xlfn.XLOOKUP(B1595,[1]Sheet1!$B:$B,[1]Sheet1!$W:$W,0)</f>
        <v>0</v>
      </c>
      <c r="U1595" s="12">
        <f>_xlfn.XLOOKUP(B1595,[1]Sheet1!$B:$B,[1]Sheet1!$X:$X,0)</f>
        <v>0</v>
      </c>
      <c r="V1595" s="12">
        <f>_xlfn.XLOOKUP(B1595,[1]Sheet1!$B:$B,[1]Sheet1!$Y:$Y,0)</f>
        <v>0</v>
      </c>
      <c r="W1595" s="12">
        <f t="shared" si="51"/>
        <v>0</v>
      </c>
      <c r="X1595" s="8" t="s">
        <v>2603</v>
      </c>
      <c r="Y1595" s="8" t="s">
        <v>2574</v>
      </c>
      <c r="Z1595" s="8" t="s">
        <v>2597</v>
      </c>
      <c r="AA1595" s="8" t="s">
        <v>455</v>
      </c>
      <c r="AB1595" s="8" t="s">
        <v>36</v>
      </c>
      <c r="AC1595" s="8" t="s">
        <v>37</v>
      </c>
      <c r="AD1595" s="8" t="s">
        <v>2340</v>
      </c>
      <c r="AE1595" s="8" t="s">
        <v>2208</v>
      </c>
      <c r="AF1595" s="8" t="s">
        <v>2211</v>
      </c>
      <c r="AG1595" s="9">
        <v>296243</v>
      </c>
      <c r="AH1595" s="11">
        <f>_xlfn.XLOOKUP(B1595,[1]Sheet1!$B:$B,[1]Sheet1!$AB:$AB,0)</f>
        <v>0</v>
      </c>
    </row>
    <row r="1596" spans="2:34" ht="16.8" thickTop="1" thickBot="1" x14ac:dyDescent="0.35">
      <c r="B1596" s="3" t="str">
        <f t="shared" si="50"/>
        <v>451414045170000614510723424521200104</v>
      </c>
      <c r="C1596" s="6" t="s">
        <v>2239</v>
      </c>
      <c r="D1596" s="6" t="s">
        <v>2600</v>
      </c>
      <c r="E1596" s="6" t="s">
        <v>2601</v>
      </c>
      <c r="F1596" s="6" t="s">
        <v>2218</v>
      </c>
      <c r="G1596" s="4" t="s">
        <v>2804</v>
      </c>
      <c r="H1596" s="4" t="s">
        <v>2922</v>
      </c>
      <c r="I1596" s="6" t="s">
        <v>53</v>
      </c>
      <c r="J1596" s="6" t="s">
        <v>31</v>
      </c>
      <c r="K1596" s="12">
        <f>_xlfn.XLOOKUP(B1596,[1]Sheet1!$B:$B,[1]Sheet1!$N:$N,0)</f>
        <v>0</v>
      </c>
      <c r="L1596" s="12">
        <f>_xlfn.XLOOKUP(B1596,[1]Sheet1!$B:$B,[1]Sheet1!$O:$O,0)</f>
        <v>0</v>
      </c>
      <c r="M1596" s="12">
        <f>_xlfn.XLOOKUP(B1596,[1]Sheet1!$B:$B,[1]Sheet1!$P:$P,0)</f>
        <v>0</v>
      </c>
      <c r="N1596" s="12">
        <f>_xlfn.XLOOKUP(B1596,[1]Sheet1!$B:$B,[1]Sheet1!$Q:$Q,0)</f>
        <v>0</v>
      </c>
      <c r="O1596" s="12">
        <f>_xlfn.XLOOKUP(B1596,[1]Sheet1!$B:$B,[1]Sheet1!$R:$R,0)</f>
        <v>0</v>
      </c>
      <c r="P1596" s="12">
        <f>_xlfn.XLOOKUP(B1596,[1]Sheet1!$B:$B,[1]Sheet1!$S:$S,0)</f>
        <v>0</v>
      </c>
      <c r="Q1596" s="12">
        <f>_xlfn.XLOOKUP(B1596,[1]Sheet1!$B:$B,[1]Sheet1!$T:$T,0)</f>
        <v>0</v>
      </c>
      <c r="R1596" s="12">
        <f>_xlfn.XLOOKUP(B1596,[1]Sheet1!$B:$B,[1]Sheet1!$U:$U,0)</f>
        <v>0</v>
      </c>
      <c r="S1596" s="12">
        <f>_xlfn.XLOOKUP(B1596,[1]Sheet1!$B:$B,[1]Sheet1!$V:$V,0)</f>
        <v>0</v>
      </c>
      <c r="T1596" s="12">
        <f>_xlfn.XLOOKUP(B1596,[1]Sheet1!$B:$B,[1]Sheet1!$W:$W,0)</f>
        <v>0</v>
      </c>
      <c r="U1596" s="12">
        <f>_xlfn.XLOOKUP(B1596,[1]Sheet1!$B:$B,[1]Sheet1!$X:$X,0)</f>
        <v>0</v>
      </c>
      <c r="V1596" s="12">
        <f>_xlfn.XLOOKUP(B1596,[1]Sheet1!$B:$B,[1]Sheet1!$Y:$Y,0)</f>
        <v>0</v>
      </c>
      <c r="W1596" s="12">
        <f t="shared" si="51"/>
        <v>0</v>
      </c>
      <c r="X1596" s="6" t="s">
        <v>2604</v>
      </c>
      <c r="Y1596" s="6" t="s">
        <v>2574</v>
      </c>
      <c r="Z1596" s="6" t="s">
        <v>2605</v>
      </c>
      <c r="AA1596" s="6" t="s">
        <v>53</v>
      </c>
      <c r="AB1596" s="6" t="s">
        <v>36</v>
      </c>
      <c r="AC1596" s="6" t="s">
        <v>37</v>
      </c>
      <c r="AD1596" s="6" t="s">
        <v>2340</v>
      </c>
      <c r="AE1596" s="6" t="s">
        <v>2208</v>
      </c>
      <c r="AF1596" s="6" t="s">
        <v>2211</v>
      </c>
      <c r="AG1596" s="7">
        <v>3590900</v>
      </c>
      <c r="AH1596" s="11">
        <f>_xlfn.XLOOKUP(B1596,[1]Sheet1!$B:$B,[1]Sheet1!$AB:$AB,0)</f>
        <v>0</v>
      </c>
    </row>
    <row r="1597" spans="2:34" ht="16.8" thickTop="1" thickBot="1" x14ac:dyDescent="0.35">
      <c r="B1597" s="3" t="str">
        <f t="shared" si="50"/>
        <v>451041045170000614510726423891200104</v>
      </c>
      <c r="C1597" s="8" t="s">
        <v>2607</v>
      </c>
      <c r="D1597" s="8" t="s">
        <v>2600</v>
      </c>
      <c r="E1597" s="8" t="s">
        <v>2601</v>
      </c>
      <c r="F1597" s="8" t="s">
        <v>2247</v>
      </c>
      <c r="G1597" s="4" t="s">
        <v>2910</v>
      </c>
      <c r="H1597" s="4" t="s">
        <v>2922</v>
      </c>
      <c r="I1597" s="8" t="s">
        <v>2577</v>
      </c>
      <c r="J1597" s="8" t="s">
        <v>31</v>
      </c>
      <c r="K1597" s="12">
        <f>_xlfn.XLOOKUP(B1597,[1]Sheet1!$B:$B,[1]Sheet1!$N:$N,0)</f>
        <v>0</v>
      </c>
      <c r="L1597" s="12">
        <f>_xlfn.XLOOKUP(B1597,[1]Sheet1!$B:$B,[1]Sheet1!$O:$O,0)</f>
        <v>0</v>
      </c>
      <c r="M1597" s="12">
        <f>_xlfn.XLOOKUP(B1597,[1]Sheet1!$B:$B,[1]Sheet1!$P:$P,0)</f>
        <v>0</v>
      </c>
      <c r="N1597" s="12">
        <f>_xlfn.XLOOKUP(B1597,[1]Sheet1!$B:$B,[1]Sheet1!$Q:$Q,0)</f>
        <v>0</v>
      </c>
      <c r="O1597" s="12">
        <f>_xlfn.XLOOKUP(B1597,[1]Sheet1!$B:$B,[1]Sheet1!$R:$R,0)</f>
        <v>0</v>
      </c>
      <c r="P1597" s="12">
        <f>_xlfn.XLOOKUP(B1597,[1]Sheet1!$B:$B,[1]Sheet1!$S:$S,0)</f>
        <v>0</v>
      </c>
      <c r="Q1597" s="12">
        <f>_xlfn.XLOOKUP(B1597,[1]Sheet1!$B:$B,[1]Sheet1!$T:$T,0)</f>
        <v>0</v>
      </c>
      <c r="R1597" s="12">
        <f>_xlfn.XLOOKUP(B1597,[1]Sheet1!$B:$B,[1]Sheet1!$U:$U,0)</f>
        <v>0</v>
      </c>
      <c r="S1597" s="12">
        <f>_xlfn.XLOOKUP(B1597,[1]Sheet1!$B:$B,[1]Sheet1!$V:$V,0)</f>
        <v>0</v>
      </c>
      <c r="T1597" s="12">
        <f>_xlfn.XLOOKUP(B1597,[1]Sheet1!$B:$B,[1]Sheet1!$W:$W,0)</f>
        <v>0</v>
      </c>
      <c r="U1597" s="12">
        <f>_xlfn.XLOOKUP(B1597,[1]Sheet1!$B:$B,[1]Sheet1!$X:$X,0)</f>
        <v>0</v>
      </c>
      <c r="V1597" s="12">
        <f>_xlfn.XLOOKUP(B1597,[1]Sheet1!$B:$B,[1]Sheet1!$Y:$Y,0)</f>
        <v>0</v>
      </c>
      <c r="W1597" s="12">
        <f t="shared" si="51"/>
        <v>0</v>
      </c>
      <c r="X1597" s="8" t="s">
        <v>2606</v>
      </c>
      <c r="Y1597" s="8" t="s">
        <v>2574</v>
      </c>
      <c r="Z1597" s="8" t="s">
        <v>2575</v>
      </c>
      <c r="AA1597" s="8" t="s">
        <v>2577</v>
      </c>
      <c r="AB1597" s="8" t="s">
        <v>36</v>
      </c>
      <c r="AC1597" s="8" t="s">
        <v>37</v>
      </c>
      <c r="AD1597" s="8" t="s">
        <v>2340</v>
      </c>
      <c r="AE1597" s="8" t="s">
        <v>2208</v>
      </c>
      <c r="AF1597" s="8" t="s">
        <v>2211</v>
      </c>
      <c r="AG1597" s="9">
        <v>453010</v>
      </c>
      <c r="AH1597" s="11">
        <f>_xlfn.XLOOKUP(B1597,[1]Sheet1!$B:$B,[1]Sheet1!$AB:$AB,0)</f>
        <v>0</v>
      </c>
    </row>
    <row r="1598" spans="2:34" ht="16.8" thickTop="1" thickBot="1" x14ac:dyDescent="0.35">
      <c r="B1598" s="3" t="str">
        <f t="shared" si="50"/>
        <v>451018145170000614510740424671200104</v>
      </c>
      <c r="C1598" s="6" t="s">
        <v>2576</v>
      </c>
      <c r="D1598" s="6" t="s">
        <v>2600</v>
      </c>
      <c r="E1598" s="6" t="s">
        <v>2601</v>
      </c>
      <c r="F1598" s="6" t="s">
        <v>2268</v>
      </c>
      <c r="G1598" s="4" t="s">
        <v>2831</v>
      </c>
      <c r="H1598" s="4" t="s">
        <v>2922</v>
      </c>
      <c r="I1598" s="6" t="s">
        <v>312</v>
      </c>
      <c r="J1598" s="6" t="s">
        <v>31</v>
      </c>
      <c r="K1598" s="12">
        <f>_xlfn.XLOOKUP(B1598,[1]Sheet1!$B:$B,[1]Sheet1!$N:$N,0)</f>
        <v>0</v>
      </c>
      <c r="L1598" s="12">
        <f>_xlfn.XLOOKUP(B1598,[1]Sheet1!$B:$B,[1]Sheet1!$O:$O,0)</f>
        <v>0</v>
      </c>
      <c r="M1598" s="12">
        <f>_xlfn.XLOOKUP(B1598,[1]Sheet1!$B:$B,[1]Sheet1!$P:$P,0)</f>
        <v>0</v>
      </c>
      <c r="N1598" s="12">
        <f>_xlfn.XLOOKUP(B1598,[1]Sheet1!$B:$B,[1]Sheet1!$Q:$Q,0)</f>
        <v>0</v>
      </c>
      <c r="O1598" s="12">
        <f>_xlfn.XLOOKUP(B1598,[1]Sheet1!$B:$B,[1]Sheet1!$R:$R,0)</f>
        <v>0</v>
      </c>
      <c r="P1598" s="12">
        <f>_xlfn.XLOOKUP(B1598,[1]Sheet1!$B:$B,[1]Sheet1!$S:$S,0)</f>
        <v>0</v>
      </c>
      <c r="Q1598" s="12">
        <f>_xlfn.XLOOKUP(B1598,[1]Sheet1!$B:$B,[1]Sheet1!$T:$T,0)</f>
        <v>0</v>
      </c>
      <c r="R1598" s="12">
        <f>_xlfn.XLOOKUP(B1598,[1]Sheet1!$B:$B,[1]Sheet1!$U:$U,0)</f>
        <v>0</v>
      </c>
      <c r="S1598" s="12">
        <f>_xlfn.XLOOKUP(B1598,[1]Sheet1!$B:$B,[1]Sheet1!$V:$V,0)</f>
        <v>0</v>
      </c>
      <c r="T1598" s="12">
        <f>_xlfn.XLOOKUP(B1598,[1]Sheet1!$B:$B,[1]Sheet1!$W:$W,0)</f>
        <v>0</v>
      </c>
      <c r="U1598" s="12">
        <f>_xlfn.XLOOKUP(B1598,[1]Sheet1!$B:$B,[1]Sheet1!$X:$X,0)</f>
        <v>0</v>
      </c>
      <c r="V1598" s="12">
        <f>_xlfn.XLOOKUP(B1598,[1]Sheet1!$B:$B,[1]Sheet1!$Y:$Y,0)</f>
        <v>0</v>
      </c>
      <c r="W1598" s="12">
        <f t="shared" si="51"/>
        <v>0</v>
      </c>
      <c r="X1598" s="6" t="s">
        <v>2608</v>
      </c>
      <c r="Y1598" s="6" t="s">
        <v>2574</v>
      </c>
      <c r="Z1598" s="6" t="s">
        <v>2597</v>
      </c>
      <c r="AA1598" s="6" t="s">
        <v>314</v>
      </c>
      <c r="AB1598" s="6" t="s">
        <v>36</v>
      </c>
      <c r="AC1598" s="6" t="s">
        <v>37</v>
      </c>
      <c r="AD1598" s="6" t="s">
        <v>2340</v>
      </c>
      <c r="AE1598" s="6" t="s">
        <v>2208</v>
      </c>
      <c r="AF1598" s="6" t="s">
        <v>2211</v>
      </c>
      <c r="AG1598" s="7">
        <v>2150000</v>
      </c>
      <c r="AH1598" s="11">
        <f>_xlfn.XLOOKUP(B1598,[1]Sheet1!$B:$B,[1]Sheet1!$AB:$AB,0)</f>
        <v>0</v>
      </c>
    </row>
    <row r="1599" spans="2:34" ht="16.8" thickTop="1" thickBot="1" x14ac:dyDescent="0.35">
      <c r="B1599" s="3" t="str">
        <f t="shared" si="50"/>
        <v>451018145170000614510743491811300105</v>
      </c>
      <c r="C1599" s="8" t="s">
        <v>2576</v>
      </c>
      <c r="D1599" s="8" t="s">
        <v>2600</v>
      </c>
      <c r="E1599" s="8" t="s">
        <v>2601</v>
      </c>
      <c r="F1599" s="8" t="s">
        <v>2506</v>
      </c>
      <c r="G1599" s="4" t="s">
        <v>2825</v>
      </c>
      <c r="H1599" s="4" t="s">
        <v>2923</v>
      </c>
      <c r="I1599" s="8" t="s">
        <v>226</v>
      </c>
      <c r="J1599" s="8" t="s">
        <v>31</v>
      </c>
      <c r="K1599" s="12">
        <f>_xlfn.XLOOKUP(B1599,[1]Sheet1!$B:$B,[1]Sheet1!$N:$N,0)</f>
        <v>0</v>
      </c>
      <c r="L1599" s="12">
        <f>_xlfn.XLOOKUP(B1599,[1]Sheet1!$B:$B,[1]Sheet1!$O:$O,0)</f>
        <v>0</v>
      </c>
      <c r="M1599" s="12">
        <f>_xlfn.XLOOKUP(B1599,[1]Sheet1!$B:$B,[1]Sheet1!$P:$P,0)</f>
        <v>0</v>
      </c>
      <c r="N1599" s="12">
        <f>_xlfn.XLOOKUP(B1599,[1]Sheet1!$B:$B,[1]Sheet1!$Q:$Q,0)</f>
        <v>0</v>
      </c>
      <c r="O1599" s="12">
        <f>_xlfn.XLOOKUP(B1599,[1]Sheet1!$B:$B,[1]Sheet1!$R:$R,0)</f>
        <v>0</v>
      </c>
      <c r="P1599" s="12">
        <f>_xlfn.XLOOKUP(B1599,[1]Sheet1!$B:$B,[1]Sheet1!$S:$S,0)</f>
        <v>0</v>
      </c>
      <c r="Q1599" s="12">
        <f>_xlfn.XLOOKUP(B1599,[1]Sheet1!$B:$B,[1]Sheet1!$T:$T,0)</f>
        <v>0</v>
      </c>
      <c r="R1599" s="12">
        <f>_xlfn.XLOOKUP(B1599,[1]Sheet1!$B:$B,[1]Sheet1!$U:$U,0)</f>
        <v>0</v>
      </c>
      <c r="S1599" s="12">
        <f>_xlfn.XLOOKUP(B1599,[1]Sheet1!$B:$B,[1]Sheet1!$V:$V,0)</f>
        <v>0</v>
      </c>
      <c r="T1599" s="12">
        <f>_xlfn.XLOOKUP(B1599,[1]Sheet1!$B:$B,[1]Sheet1!$W:$W,0)</f>
        <v>0</v>
      </c>
      <c r="U1599" s="12">
        <f>_xlfn.XLOOKUP(B1599,[1]Sheet1!$B:$B,[1]Sheet1!$X:$X,0)</f>
        <v>0</v>
      </c>
      <c r="V1599" s="12">
        <f>_xlfn.XLOOKUP(B1599,[1]Sheet1!$B:$B,[1]Sheet1!$Y:$Y,0)</f>
        <v>0</v>
      </c>
      <c r="W1599" s="12">
        <f t="shared" si="51"/>
        <v>0</v>
      </c>
      <c r="X1599" s="8" t="s">
        <v>2609</v>
      </c>
      <c r="Y1599" s="8" t="s">
        <v>2574</v>
      </c>
      <c r="Z1599" s="8" t="s">
        <v>2597</v>
      </c>
      <c r="AA1599" s="8" t="s">
        <v>228</v>
      </c>
      <c r="AB1599" s="8" t="s">
        <v>93</v>
      </c>
      <c r="AC1599" s="8" t="s">
        <v>94</v>
      </c>
      <c r="AD1599" s="8" t="s">
        <v>2272</v>
      </c>
      <c r="AE1599" s="8" t="s">
        <v>2208</v>
      </c>
      <c r="AF1599" s="8" t="s">
        <v>2211</v>
      </c>
      <c r="AG1599" s="9">
        <v>13800000</v>
      </c>
      <c r="AH1599" s="11">
        <f>_xlfn.XLOOKUP(B1599,[1]Sheet1!$B:$B,[1]Sheet1!$AB:$AB,0)</f>
        <v>0</v>
      </c>
    </row>
    <row r="1600" spans="2:34" ht="16.8" thickTop="1" thickBot="1" x14ac:dyDescent="0.35">
      <c r="B1600" s="3" t="str">
        <f t="shared" si="50"/>
        <v>451018145170000614510751491360300105</v>
      </c>
      <c r="C1600" s="6" t="s">
        <v>2576</v>
      </c>
      <c r="D1600" s="6" t="s">
        <v>2600</v>
      </c>
      <c r="E1600" s="6" t="s">
        <v>2601</v>
      </c>
      <c r="F1600" s="6" t="s">
        <v>2610</v>
      </c>
      <c r="G1600" s="4" t="s">
        <v>2913</v>
      </c>
      <c r="H1600" s="4" t="s">
        <v>2923</v>
      </c>
      <c r="I1600" s="6" t="s">
        <v>2611</v>
      </c>
      <c r="J1600" s="6" t="s">
        <v>31</v>
      </c>
      <c r="K1600" s="12">
        <f>_xlfn.XLOOKUP(B1600,[1]Sheet1!$B:$B,[1]Sheet1!$N:$N,0)</f>
        <v>0</v>
      </c>
      <c r="L1600" s="12">
        <f>_xlfn.XLOOKUP(B1600,[1]Sheet1!$B:$B,[1]Sheet1!$O:$O,0)</f>
        <v>0</v>
      </c>
      <c r="M1600" s="12">
        <f>_xlfn.XLOOKUP(B1600,[1]Sheet1!$B:$B,[1]Sheet1!$P:$P,0)</f>
        <v>0</v>
      </c>
      <c r="N1600" s="12">
        <f>_xlfn.XLOOKUP(B1600,[1]Sheet1!$B:$B,[1]Sheet1!$Q:$Q,0)</f>
        <v>0</v>
      </c>
      <c r="O1600" s="12">
        <f>_xlfn.XLOOKUP(B1600,[1]Sheet1!$B:$B,[1]Sheet1!$R:$R,0)</f>
        <v>0</v>
      </c>
      <c r="P1600" s="12">
        <f>_xlfn.XLOOKUP(B1600,[1]Sheet1!$B:$B,[1]Sheet1!$S:$S,0)</f>
        <v>0</v>
      </c>
      <c r="Q1600" s="12">
        <f>_xlfn.XLOOKUP(B1600,[1]Sheet1!$B:$B,[1]Sheet1!$T:$T,0)</f>
        <v>0</v>
      </c>
      <c r="R1600" s="12">
        <f>_xlfn.XLOOKUP(B1600,[1]Sheet1!$B:$B,[1]Sheet1!$U:$U,0)</f>
        <v>0</v>
      </c>
      <c r="S1600" s="12">
        <f>_xlfn.XLOOKUP(B1600,[1]Sheet1!$B:$B,[1]Sheet1!$V:$V,0)</f>
        <v>0</v>
      </c>
      <c r="T1600" s="12">
        <f>_xlfn.XLOOKUP(B1600,[1]Sheet1!$B:$B,[1]Sheet1!$W:$W,0)</f>
        <v>0</v>
      </c>
      <c r="U1600" s="12">
        <f>_xlfn.XLOOKUP(B1600,[1]Sheet1!$B:$B,[1]Sheet1!$X:$X,0)</f>
        <v>0</v>
      </c>
      <c r="V1600" s="12">
        <f>_xlfn.XLOOKUP(B1600,[1]Sheet1!$B:$B,[1]Sheet1!$Y:$Y,0)</f>
        <v>0</v>
      </c>
      <c r="W1600" s="12">
        <f t="shared" si="51"/>
        <v>0</v>
      </c>
      <c r="X1600" s="6" t="s">
        <v>2612</v>
      </c>
      <c r="Y1600" s="6" t="s">
        <v>2574</v>
      </c>
      <c r="Z1600" s="6" t="s">
        <v>2597</v>
      </c>
      <c r="AA1600" s="6" t="s">
        <v>2611</v>
      </c>
      <c r="AB1600" s="6" t="s">
        <v>93</v>
      </c>
      <c r="AC1600" s="6" t="s">
        <v>94</v>
      </c>
      <c r="AD1600" s="6" t="s">
        <v>2272</v>
      </c>
      <c r="AE1600" s="6" t="s">
        <v>2208</v>
      </c>
      <c r="AF1600" s="6" t="s">
        <v>2211</v>
      </c>
      <c r="AG1600" s="7">
        <v>9500000</v>
      </c>
      <c r="AH1600" s="11">
        <f>_xlfn.XLOOKUP(B1600,[1]Sheet1!$B:$B,[1]Sheet1!$AB:$AB,0)</f>
        <v>0</v>
      </c>
    </row>
    <row r="1601" spans="2:34" ht="16.8" thickTop="1" thickBot="1" x14ac:dyDescent="0.35">
      <c r="B1601" s="3" t="str">
        <f t="shared" si="50"/>
        <v>451414045170000614510760491326300105</v>
      </c>
      <c r="C1601" s="8" t="s">
        <v>2239</v>
      </c>
      <c r="D1601" s="8" t="s">
        <v>2600</v>
      </c>
      <c r="E1601" s="8" t="s">
        <v>2601</v>
      </c>
      <c r="F1601" s="8" t="s">
        <v>2459</v>
      </c>
      <c r="G1601" s="4" t="s">
        <v>2904</v>
      </c>
      <c r="H1601" s="4" t="s">
        <v>2923</v>
      </c>
      <c r="I1601" s="8" t="s">
        <v>2460</v>
      </c>
      <c r="J1601" s="8" t="s">
        <v>31</v>
      </c>
      <c r="K1601" s="12">
        <f>_xlfn.XLOOKUP(B1601,[1]Sheet1!$B:$B,[1]Sheet1!$N:$N,0)</f>
        <v>0</v>
      </c>
      <c r="L1601" s="12">
        <f>_xlfn.XLOOKUP(B1601,[1]Sheet1!$B:$B,[1]Sheet1!$O:$O,0)</f>
        <v>0</v>
      </c>
      <c r="M1601" s="12">
        <f>_xlfn.XLOOKUP(B1601,[1]Sheet1!$B:$B,[1]Sheet1!$P:$P,0)</f>
        <v>0</v>
      </c>
      <c r="N1601" s="12">
        <f>_xlfn.XLOOKUP(B1601,[1]Sheet1!$B:$B,[1]Sheet1!$Q:$Q,0)</f>
        <v>0</v>
      </c>
      <c r="O1601" s="12">
        <f>_xlfn.XLOOKUP(B1601,[1]Sheet1!$B:$B,[1]Sheet1!$R:$R,0)</f>
        <v>0</v>
      </c>
      <c r="P1601" s="12">
        <f>_xlfn.XLOOKUP(B1601,[1]Sheet1!$B:$B,[1]Sheet1!$S:$S,0)</f>
        <v>0</v>
      </c>
      <c r="Q1601" s="12">
        <f>_xlfn.XLOOKUP(B1601,[1]Sheet1!$B:$B,[1]Sheet1!$T:$T,0)</f>
        <v>0</v>
      </c>
      <c r="R1601" s="12">
        <f>_xlfn.XLOOKUP(B1601,[1]Sheet1!$B:$B,[1]Sheet1!$U:$U,0)</f>
        <v>0</v>
      </c>
      <c r="S1601" s="12">
        <f>_xlfn.XLOOKUP(B1601,[1]Sheet1!$B:$B,[1]Sheet1!$V:$V,0)</f>
        <v>0</v>
      </c>
      <c r="T1601" s="12">
        <f>_xlfn.XLOOKUP(B1601,[1]Sheet1!$B:$B,[1]Sheet1!$W:$W,0)</f>
        <v>0</v>
      </c>
      <c r="U1601" s="12">
        <f>_xlfn.XLOOKUP(B1601,[1]Sheet1!$B:$B,[1]Sheet1!$X:$X,0)</f>
        <v>0</v>
      </c>
      <c r="V1601" s="12">
        <f>_xlfn.XLOOKUP(B1601,[1]Sheet1!$B:$B,[1]Sheet1!$Y:$Y,0)</f>
        <v>0</v>
      </c>
      <c r="W1601" s="12">
        <f t="shared" si="51"/>
        <v>0</v>
      </c>
      <c r="X1601" s="8" t="s">
        <v>2613</v>
      </c>
      <c r="Y1601" s="8" t="s">
        <v>2574</v>
      </c>
      <c r="Z1601" s="8" t="s">
        <v>2605</v>
      </c>
      <c r="AA1601" s="8" t="s">
        <v>2460</v>
      </c>
      <c r="AB1601" s="8" t="s">
        <v>93</v>
      </c>
      <c r="AC1601" s="8" t="s">
        <v>94</v>
      </c>
      <c r="AD1601" s="8" t="s">
        <v>2272</v>
      </c>
      <c r="AE1601" s="8" t="s">
        <v>2208</v>
      </c>
      <c r="AF1601" s="8" t="s">
        <v>2211</v>
      </c>
      <c r="AG1601" s="9">
        <v>34806</v>
      </c>
      <c r="AH1601" s="11">
        <f>_xlfn.XLOOKUP(B1601,[1]Sheet1!$B:$B,[1]Sheet1!$AB:$AB,0)</f>
        <v>0</v>
      </c>
    </row>
    <row r="1602" spans="2:34" ht="16.8" thickTop="1" thickBot="1" x14ac:dyDescent="0.35">
      <c r="B1602" s="3" t="str">
        <f t="shared" si="50"/>
        <v>451018145170000614510779432625200104</v>
      </c>
      <c r="C1602" s="6" t="s">
        <v>2576</v>
      </c>
      <c r="D1602" s="6" t="s">
        <v>2600</v>
      </c>
      <c r="E1602" s="6" t="s">
        <v>2601</v>
      </c>
      <c r="F1602" s="6" t="s">
        <v>2614</v>
      </c>
      <c r="G1602" s="4" t="s">
        <v>2907</v>
      </c>
      <c r="H1602" s="4" t="s">
        <v>2922</v>
      </c>
      <c r="I1602" s="6" t="s">
        <v>2471</v>
      </c>
      <c r="J1602" s="6" t="s">
        <v>31</v>
      </c>
      <c r="K1602" s="12">
        <f>_xlfn.XLOOKUP(B1602,[1]Sheet1!$B:$B,[1]Sheet1!$N:$N,0)</f>
        <v>0</v>
      </c>
      <c r="L1602" s="12">
        <f>_xlfn.XLOOKUP(B1602,[1]Sheet1!$B:$B,[1]Sheet1!$O:$O,0)</f>
        <v>0</v>
      </c>
      <c r="M1602" s="12">
        <f>_xlfn.XLOOKUP(B1602,[1]Sheet1!$B:$B,[1]Sheet1!$P:$P,0)</f>
        <v>0</v>
      </c>
      <c r="N1602" s="12">
        <f>_xlfn.XLOOKUP(B1602,[1]Sheet1!$B:$B,[1]Sheet1!$Q:$Q,0)</f>
        <v>0</v>
      </c>
      <c r="O1602" s="12">
        <f>_xlfn.XLOOKUP(B1602,[1]Sheet1!$B:$B,[1]Sheet1!$R:$R,0)</f>
        <v>0</v>
      </c>
      <c r="P1602" s="12">
        <f>_xlfn.XLOOKUP(B1602,[1]Sheet1!$B:$B,[1]Sheet1!$S:$S,0)</f>
        <v>0</v>
      </c>
      <c r="Q1602" s="12">
        <f>_xlfn.XLOOKUP(B1602,[1]Sheet1!$B:$B,[1]Sheet1!$T:$T,0)</f>
        <v>0</v>
      </c>
      <c r="R1602" s="12">
        <f>_xlfn.XLOOKUP(B1602,[1]Sheet1!$B:$B,[1]Sheet1!$U:$U,0)</f>
        <v>0</v>
      </c>
      <c r="S1602" s="12">
        <f>_xlfn.XLOOKUP(B1602,[1]Sheet1!$B:$B,[1]Sheet1!$V:$V,0)</f>
        <v>0</v>
      </c>
      <c r="T1602" s="12">
        <f>_xlfn.XLOOKUP(B1602,[1]Sheet1!$B:$B,[1]Sheet1!$W:$W,0)</f>
        <v>0</v>
      </c>
      <c r="U1602" s="12">
        <f>_xlfn.XLOOKUP(B1602,[1]Sheet1!$B:$B,[1]Sheet1!$X:$X,0)</f>
        <v>0</v>
      </c>
      <c r="V1602" s="12">
        <f>_xlfn.XLOOKUP(B1602,[1]Sheet1!$B:$B,[1]Sheet1!$Y:$Y,0)</f>
        <v>0</v>
      </c>
      <c r="W1602" s="12">
        <f t="shared" si="51"/>
        <v>0</v>
      </c>
      <c r="X1602" s="6" t="s">
        <v>2602</v>
      </c>
      <c r="Y1602" s="6" t="s">
        <v>2574</v>
      </c>
      <c r="Z1602" s="6" t="s">
        <v>2597</v>
      </c>
      <c r="AA1602" s="6" t="s">
        <v>2471</v>
      </c>
      <c r="AB1602" s="6" t="s">
        <v>36</v>
      </c>
      <c r="AC1602" s="6" t="s">
        <v>37</v>
      </c>
      <c r="AD1602" s="6" t="s">
        <v>2340</v>
      </c>
      <c r="AE1602" s="6" t="s">
        <v>2208</v>
      </c>
      <c r="AF1602" s="6" t="s">
        <v>2211</v>
      </c>
      <c r="AG1602" s="7">
        <v>500000</v>
      </c>
      <c r="AH1602" s="11">
        <f>_xlfn.XLOOKUP(B1602,[1]Sheet1!$B:$B,[1]Sheet1!$AB:$AB,0)</f>
        <v>0</v>
      </c>
    </row>
    <row r="1603" spans="2:34" ht="16.8" thickTop="1" thickBot="1" x14ac:dyDescent="0.35">
      <c r="B1603" s="3" t="str">
        <f t="shared" si="50"/>
        <v>451018145170000624510773422411200104</v>
      </c>
      <c r="C1603" s="8" t="s">
        <v>2576</v>
      </c>
      <c r="D1603" s="8" t="s">
        <v>2615</v>
      </c>
      <c r="E1603" s="8" t="s">
        <v>2616</v>
      </c>
      <c r="F1603" s="8" t="s">
        <v>2617</v>
      </c>
      <c r="G1603" s="4" t="s">
        <v>2896</v>
      </c>
      <c r="H1603" s="4" t="s">
        <v>2922</v>
      </c>
      <c r="I1603" s="8" t="s">
        <v>2384</v>
      </c>
      <c r="J1603" s="8" t="s">
        <v>31</v>
      </c>
      <c r="K1603" s="12">
        <f>_xlfn.XLOOKUP(B1603,[1]Sheet1!$B:$B,[1]Sheet1!$N:$N,0)</f>
        <v>0</v>
      </c>
      <c r="L1603" s="12">
        <f>_xlfn.XLOOKUP(B1603,[1]Sheet1!$B:$B,[1]Sheet1!$O:$O,0)</f>
        <v>0</v>
      </c>
      <c r="M1603" s="12">
        <f>_xlfn.XLOOKUP(B1603,[1]Sheet1!$B:$B,[1]Sheet1!$P:$P,0)</f>
        <v>0</v>
      </c>
      <c r="N1603" s="12">
        <f>_xlfn.XLOOKUP(B1603,[1]Sheet1!$B:$B,[1]Sheet1!$Q:$Q,0)</f>
        <v>0</v>
      </c>
      <c r="O1603" s="12">
        <f>_xlfn.XLOOKUP(B1603,[1]Sheet1!$B:$B,[1]Sheet1!$R:$R,0)</f>
        <v>0</v>
      </c>
      <c r="P1603" s="12">
        <f>_xlfn.XLOOKUP(B1603,[1]Sheet1!$B:$B,[1]Sheet1!$S:$S,0)</f>
        <v>0</v>
      </c>
      <c r="Q1603" s="12">
        <f>_xlfn.XLOOKUP(B1603,[1]Sheet1!$B:$B,[1]Sheet1!$T:$T,0)</f>
        <v>0</v>
      </c>
      <c r="R1603" s="12">
        <f>_xlfn.XLOOKUP(B1603,[1]Sheet1!$B:$B,[1]Sheet1!$U:$U,0)</f>
        <v>0</v>
      </c>
      <c r="S1603" s="12">
        <f>_xlfn.XLOOKUP(B1603,[1]Sheet1!$B:$B,[1]Sheet1!$V:$V,0)</f>
        <v>0</v>
      </c>
      <c r="T1603" s="12">
        <f>_xlfn.XLOOKUP(B1603,[1]Sheet1!$B:$B,[1]Sheet1!$W:$W,0)</f>
        <v>0</v>
      </c>
      <c r="U1603" s="12">
        <f>_xlfn.XLOOKUP(B1603,[1]Sheet1!$B:$B,[1]Sheet1!$X:$X,0)</f>
        <v>0</v>
      </c>
      <c r="V1603" s="12">
        <f>_xlfn.XLOOKUP(B1603,[1]Sheet1!$B:$B,[1]Sheet1!$Y:$Y,0)</f>
        <v>0</v>
      </c>
      <c r="W1603" s="12">
        <f t="shared" si="51"/>
        <v>0</v>
      </c>
      <c r="X1603" s="8" t="s">
        <v>2618</v>
      </c>
      <c r="Y1603" s="8" t="s">
        <v>2574</v>
      </c>
      <c r="Z1603" s="8" t="s">
        <v>2597</v>
      </c>
      <c r="AA1603" s="8" t="s">
        <v>2386</v>
      </c>
      <c r="AB1603" s="8" t="s">
        <v>36</v>
      </c>
      <c r="AC1603" s="8" t="s">
        <v>37</v>
      </c>
      <c r="AD1603" s="8" t="s">
        <v>2340</v>
      </c>
      <c r="AE1603" s="8" t="s">
        <v>2208</v>
      </c>
      <c r="AF1603" s="8" t="s">
        <v>2211</v>
      </c>
      <c r="AG1603" s="9">
        <v>6835000</v>
      </c>
      <c r="AH1603" s="11">
        <f>_xlfn.XLOOKUP(B1603,[1]Sheet1!$B:$B,[1]Sheet1!$AB:$AB,0)</f>
        <v>0</v>
      </c>
    </row>
    <row r="1604" spans="2:34" ht="16.8" thickTop="1" thickBot="1" x14ac:dyDescent="0.35">
      <c r="B1604" s="3" t="str">
        <f t="shared" ref="B1604:B1667" si="52">C1604&amp;D1604&amp;F1604&amp;G1604&amp;H1604</f>
        <v>451018245170000634510711422621200104</v>
      </c>
      <c r="C1604" s="6" t="s">
        <v>2622</v>
      </c>
      <c r="D1604" s="6" t="s">
        <v>2619</v>
      </c>
      <c r="E1604" s="6" t="s">
        <v>2620</v>
      </c>
      <c r="F1604" s="6" t="s">
        <v>2405</v>
      </c>
      <c r="G1604" s="4" t="s">
        <v>2900</v>
      </c>
      <c r="H1604" s="4" t="s">
        <v>2922</v>
      </c>
      <c r="I1604" s="6" t="s">
        <v>2406</v>
      </c>
      <c r="J1604" s="6" t="s">
        <v>31</v>
      </c>
      <c r="K1604" s="12">
        <f>_xlfn.XLOOKUP(B1604,[1]Sheet1!$B:$B,[1]Sheet1!$N:$N,0)</f>
        <v>0</v>
      </c>
      <c r="L1604" s="12">
        <f>_xlfn.XLOOKUP(B1604,[1]Sheet1!$B:$B,[1]Sheet1!$O:$O,0)</f>
        <v>0</v>
      </c>
      <c r="M1604" s="12">
        <f>_xlfn.XLOOKUP(B1604,[1]Sheet1!$B:$B,[1]Sheet1!$P:$P,0)</f>
        <v>0</v>
      </c>
      <c r="N1604" s="12">
        <f>_xlfn.XLOOKUP(B1604,[1]Sheet1!$B:$B,[1]Sheet1!$Q:$Q,0)</f>
        <v>0</v>
      </c>
      <c r="O1604" s="12">
        <f>_xlfn.XLOOKUP(B1604,[1]Sheet1!$B:$B,[1]Sheet1!$R:$R,0)</f>
        <v>0</v>
      </c>
      <c r="P1604" s="12">
        <f>_xlfn.XLOOKUP(B1604,[1]Sheet1!$B:$B,[1]Sheet1!$S:$S,0)</f>
        <v>0</v>
      </c>
      <c r="Q1604" s="12">
        <f>_xlfn.XLOOKUP(B1604,[1]Sheet1!$B:$B,[1]Sheet1!$T:$T,0)</f>
        <v>0</v>
      </c>
      <c r="R1604" s="12">
        <f>_xlfn.XLOOKUP(B1604,[1]Sheet1!$B:$B,[1]Sheet1!$U:$U,0)</f>
        <v>0</v>
      </c>
      <c r="S1604" s="12">
        <f>_xlfn.XLOOKUP(B1604,[1]Sheet1!$B:$B,[1]Sheet1!$V:$V,0)</f>
        <v>0</v>
      </c>
      <c r="T1604" s="12">
        <f>_xlfn.XLOOKUP(B1604,[1]Sheet1!$B:$B,[1]Sheet1!$W:$W,0)</f>
        <v>0</v>
      </c>
      <c r="U1604" s="12">
        <f>_xlfn.XLOOKUP(B1604,[1]Sheet1!$B:$B,[1]Sheet1!$X:$X,0)</f>
        <v>0</v>
      </c>
      <c r="V1604" s="12">
        <f>_xlfn.XLOOKUP(B1604,[1]Sheet1!$B:$B,[1]Sheet1!$Y:$Y,0)</f>
        <v>0</v>
      </c>
      <c r="W1604" s="12">
        <f t="shared" ref="W1604:W1667" si="53">SUM(K1604:V1604)</f>
        <v>0</v>
      </c>
      <c r="X1604" s="6" t="s">
        <v>2621</v>
      </c>
      <c r="Y1604" s="6" t="s">
        <v>2574</v>
      </c>
      <c r="Z1604" s="6" t="s">
        <v>2605</v>
      </c>
      <c r="AA1604" s="6" t="s">
        <v>2406</v>
      </c>
      <c r="AB1604" s="6" t="s">
        <v>36</v>
      </c>
      <c r="AC1604" s="6" t="s">
        <v>37</v>
      </c>
      <c r="AD1604" s="6" t="s">
        <v>2340</v>
      </c>
      <c r="AE1604" s="6" t="s">
        <v>2208</v>
      </c>
      <c r="AF1604" s="6" t="s">
        <v>2211</v>
      </c>
      <c r="AG1604" s="7">
        <v>244825.4</v>
      </c>
      <c r="AH1604" s="11">
        <f>_xlfn.XLOOKUP(B1604,[1]Sheet1!$B:$B,[1]Sheet1!$AB:$AB,0)</f>
        <v>0</v>
      </c>
    </row>
    <row r="1605" spans="2:34" ht="16.8" thickTop="1" thickBot="1" x14ac:dyDescent="0.35">
      <c r="B1605" s="3" t="str">
        <f t="shared" si="52"/>
        <v>451414045170000634510723424521200104</v>
      </c>
      <c r="C1605" s="8" t="s">
        <v>2239</v>
      </c>
      <c r="D1605" s="8" t="s">
        <v>2619</v>
      </c>
      <c r="E1605" s="8" t="s">
        <v>2620</v>
      </c>
      <c r="F1605" s="8" t="s">
        <v>2218</v>
      </c>
      <c r="G1605" s="4" t="s">
        <v>2804</v>
      </c>
      <c r="H1605" s="4" t="s">
        <v>2922</v>
      </c>
      <c r="I1605" s="8" t="s">
        <v>53</v>
      </c>
      <c r="J1605" s="8" t="s">
        <v>31</v>
      </c>
      <c r="K1605" s="12">
        <f>_xlfn.XLOOKUP(B1605,[1]Sheet1!$B:$B,[1]Sheet1!$N:$N,0)</f>
        <v>0</v>
      </c>
      <c r="L1605" s="12">
        <f>_xlfn.XLOOKUP(B1605,[1]Sheet1!$B:$B,[1]Sheet1!$O:$O,0)</f>
        <v>0</v>
      </c>
      <c r="M1605" s="12">
        <f>_xlfn.XLOOKUP(B1605,[1]Sheet1!$B:$B,[1]Sheet1!$P:$P,0)</f>
        <v>0</v>
      </c>
      <c r="N1605" s="12">
        <f>_xlfn.XLOOKUP(B1605,[1]Sheet1!$B:$B,[1]Sheet1!$Q:$Q,0)</f>
        <v>0</v>
      </c>
      <c r="O1605" s="12">
        <f>_xlfn.XLOOKUP(B1605,[1]Sheet1!$B:$B,[1]Sheet1!$R:$R,0)</f>
        <v>0</v>
      </c>
      <c r="P1605" s="12">
        <f>_xlfn.XLOOKUP(B1605,[1]Sheet1!$B:$B,[1]Sheet1!$S:$S,0)</f>
        <v>0</v>
      </c>
      <c r="Q1605" s="12">
        <f>_xlfn.XLOOKUP(B1605,[1]Sheet1!$B:$B,[1]Sheet1!$T:$T,0)</f>
        <v>0</v>
      </c>
      <c r="R1605" s="12">
        <f>_xlfn.XLOOKUP(B1605,[1]Sheet1!$B:$B,[1]Sheet1!$U:$U,0)</f>
        <v>0</v>
      </c>
      <c r="S1605" s="12">
        <f>_xlfn.XLOOKUP(B1605,[1]Sheet1!$B:$B,[1]Sheet1!$V:$V,0)</f>
        <v>0</v>
      </c>
      <c r="T1605" s="12">
        <f>_xlfn.XLOOKUP(B1605,[1]Sheet1!$B:$B,[1]Sheet1!$W:$W,0)</f>
        <v>0</v>
      </c>
      <c r="U1605" s="12">
        <f>_xlfn.XLOOKUP(B1605,[1]Sheet1!$B:$B,[1]Sheet1!$X:$X,0)</f>
        <v>0</v>
      </c>
      <c r="V1605" s="12">
        <f>_xlfn.XLOOKUP(B1605,[1]Sheet1!$B:$B,[1]Sheet1!$Y:$Y,0)</f>
        <v>0</v>
      </c>
      <c r="W1605" s="12">
        <f t="shared" si="53"/>
        <v>0</v>
      </c>
      <c r="X1605" s="8" t="s">
        <v>2604</v>
      </c>
      <c r="Y1605" s="8" t="s">
        <v>2574</v>
      </c>
      <c r="Z1605" s="8" t="s">
        <v>2605</v>
      </c>
      <c r="AA1605" s="8" t="s">
        <v>53</v>
      </c>
      <c r="AB1605" s="8" t="s">
        <v>36</v>
      </c>
      <c r="AC1605" s="8" t="s">
        <v>37</v>
      </c>
      <c r="AD1605" s="8" t="s">
        <v>2340</v>
      </c>
      <c r="AE1605" s="8" t="s">
        <v>2208</v>
      </c>
      <c r="AF1605" s="8" t="s">
        <v>2211</v>
      </c>
      <c r="AG1605" s="9">
        <v>2200000</v>
      </c>
      <c r="AH1605" s="11">
        <f>_xlfn.XLOOKUP(B1605,[1]Sheet1!$B:$B,[1]Sheet1!$AB:$AB,0)</f>
        <v>0</v>
      </c>
    </row>
    <row r="1606" spans="2:34" ht="16.8" thickTop="1" thickBot="1" x14ac:dyDescent="0.35">
      <c r="B1606" s="3" t="str">
        <f t="shared" si="52"/>
        <v>451414045170000634510726423891200104</v>
      </c>
      <c r="C1606" s="6" t="s">
        <v>2239</v>
      </c>
      <c r="D1606" s="6" t="s">
        <v>2619</v>
      </c>
      <c r="E1606" s="6" t="s">
        <v>2620</v>
      </c>
      <c r="F1606" s="6" t="s">
        <v>2247</v>
      </c>
      <c r="G1606" s="4" t="s">
        <v>2910</v>
      </c>
      <c r="H1606" s="4" t="s">
        <v>2922</v>
      </c>
      <c r="I1606" s="6" t="s">
        <v>2577</v>
      </c>
      <c r="J1606" s="6" t="s">
        <v>31</v>
      </c>
      <c r="K1606" s="12">
        <f>_xlfn.XLOOKUP(B1606,[1]Sheet1!$B:$B,[1]Sheet1!$N:$N,0)</f>
        <v>0</v>
      </c>
      <c r="L1606" s="12">
        <f>_xlfn.XLOOKUP(B1606,[1]Sheet1!$B:$B,[1]Sheet1!$O:$O,0)</f>
        <v>0</v>
      </c>
      <c r="M1606" s="12">
        <f>_xlfn.XLOOKUP(B1606,[1]Sheet1!$B:$B,[1]Sheet1!$P:$P,0)</f>
        <v>0</v>
      </c>
      <c r="N1606" s="12">
        <f>_xlfn.XLOOKUP(B1606,[1]Sheet1!$B:$B,[1]Sheet1!$Q:$Q,0)</f>
        <v>0</v>
      </c>
      <c r="O1606" s="12">
        <f>_xlfn.XLOOKUP(B1606,[1]Sheet1!$B:$B,[1]Sheet1!$R:$R,0)</f>
        <v>0</v>
      </c>
      <c r="P1606" s="12">
        <f>_xlfn.XLOOKUP(B1606,[1]Sheet1!$B:$B,[1]Sheet1!$S:$S,0)</f>
        <v>0</v>
      </c>
      <c r="Q1606" s="12">
        <f>_xlfn.XLOOKUP(B1606,[1]Sheet1!$B:$B,[1]Sheet1!$T:$T,0)</f>
        <v>0</v>
      </c>
      <c r="R1606" s="12">
        <f>_xlfn.XLOOKUP(B1606,[1]Sheet1!$B:$B,[1]Sheet1!$U:$U,0)</f>
        <v>0</v>
      </c>
      <c r="S1606" s="12">
        <f>_xlfn.XLOOKUP(B1606,[1]Sheet1!$B:$B,[1]Sheet1!$V:$V,0)</f>
        <v>0</v>
      </c>
      <c r="T1606" s="12">
        <f>_xlfn.XLOOKUP(B1606,[1]Sheet1!$B:$B,[1]Sheet1!$W:$W,0)</f>
        <v>0</v>
      </c>
      <c r="U1606" s="12">
        <f>_xlfn.XLOOKUP(B1606,[1]Sheet1!$B:$B,[1]Sheet1!$X:$X,0)</f>
        <v>0</v>
      </c>
      <c r="V1606" s="12">
        <f>_xlfn.XLOOKUP(B1606,[1]Sheet1!$B:$B,[1]Sheet1!$Y:$Y,0)</f>
        <v>0</v>
      </c>
      <c r="W1606" s="12">
        <f t="shared" si="53"/>
        <v>0</v>
      </c>
      <c r="X1606" s="6" t="s">
        <v>2623</v>
      </c>
      <c r="Y1606" s="6" t="s">
        <v>2574</v>
      </c>
      <c r="Z1606" s="6" t="s">
        <v>2605</v>
      </c>
      <c r="AA1606" s="6" t="s">
        <v>2577</v>
      </c>
      <c r="AB1606" s="6" t="s">
        <v>36</v>
      </c>
      <c r="AC1606" s="6" t="s">
        <v>37</v>
      </c>
      <c r="AD1606" s="6" t="s">
        <v>2340</v>
      </c>
      <c r="AE1606" s="6" t="s">
        <v>2208</v>
      </c>
      <c r="AF1606" s="6" t="s">
        <v>2211</v>
      </c>
      <c r="AG1606" s="7">
        <v>165950</v>
      </c>
      <c r="AH1606" s="11">
        <f>_xlfn.XLOOKUP(B1606,[1]Sheet1!$B:$B,[1]Sheet1!$AB:$AB,0)</f>
        <v>0</v>
      </c>
    </row>
    <row r="1607" spans="2:34" ht="16.8" thickTop="1" thickBot="1" x14ac:dyDescent="0.35">
      <c r="B1607" s="3" t="str">
        <f t="shared" si="52"/>
        <v>451018245170000644510778422621200104</v>
      </c>
      <c r="C1607" s="8" t="s">
        <v>2622</v>
      </c>
      <c r="D1607" s="8" t="s">
        <v>2624</v>
      </c>
      <c r="E1607" s="8" t="s">
        <v>2625</v>
      </c>
      <c r="F1607" s="8" t="s">
        <v>2626</v>
      </c>
      <c r="G1607" s="4" t="s">
        <v>2900</v>
      </c>
      <c r="H1607" s="4" t="s">
        <v>2922</v>
      </c>
      <c r="I1607" s="8" t="s">
        <v>2406</v>
      </c>
      <c r="J1607" s="8" t="s">
        <v>31</v>
      </c>
      <c r="K1607" s="12">
        <f>_xlfn.XLOOKUP(B1607,[1]Sheet1!$B:$B,[1]Sheet1!$N:$N,0)</f>
        <v>0</v>
      </c>
      <c r="L1607" s="12">
        <f>_xlfn.XLOOKUP(B1607,[1]Sheet1!$B:$B,[1]Sheet1!$O:$O,0)</f>
        <v>0</v>
      </c>
      <c r="M1607" s="12">
        <f>_xlfn.XLOOKUP(B1607,[1]Sheet1!$B:$B,[1]Sheet1!$P:$P,0)</f>
        <v>0</v>
      </c>
      <c r="N1607" s="12">
        <f>_xlfn.XLOOKUP(B1607,[1]Sheet1!$B:$B,[1]Sheet1!$Q:$Q,0)</f>
        <v>0</v>
      </c>
      <c r="O1607" s="12">
        <f>_xlfn.XLOOKUP(B1607,[1]Sheet1!$B:$B,[1]Sheet1!$R:$R,0)</f>
        <v>0</v>
      </c>
      <c r="P1607" s="12">
        <f>_xlfn.XLOOKUP(B1607,[1]Sheet1!$B:$B,[1]Sheet1!$S:$S,0)</f>
        <v>0</v>
      </c>
      <c r="Q1607" s="12">
        <f>_xlfn.XLOOKUP(B1607,[1]Sheet1!$B:$B,[1]Sheet1!$T:$T,0)</f>
        <v>0</v>
      </c>
      <c r="R1607" s="12">
        <f>_xlfn.XLOOKUP(B1607,[1]Sheet1!$B:$B,[1]Sheet1!$U:$U,0)</f>
        <v>0</v>
      </c>
      <c r="S1607" s="12">
        <f>_xlfn.XLOOKUP(B1607,[1]Sheet1!$B:$B,[1]Sheet1!$V:$V,0)</f>
        <v>0</v>
      </c>
      <c r="T1607" s="12">
        <f>_xlfn.XLOOKUP(B1607,[1]Sheet1!$B:$B,[1]Sheet1!$W:$W,0)</f>
        <v>0</v>
      </c>
      <c r="U1607" s="12">
        <f>_xlfn.XLOOKUP(B1607,[1]Sheet1!$B:$B,[1]Sheet1!$X:$X,0)</f>
        <v>0</v>
      </c>
      <c r="V1607" s="12">
        <f>_xlfn.XLOOKUP(B1607,[1]Sheet1!$B:$B,[1]Sheet1!$Y:$Y,0)</f>
        <v>0</v>
      </c>
      <c r="W1607" s="12">
        <f t="shared" si="53"/>
        <v>0</v>
      </c>
      <c r="X1607" s="8" t="s">
        <v>2621</v>
      </c>
      <c r="Y1607" s="8" t="s">
        <v>2574</v>
      </c>
      <c r="Z1607" s="8" t="s">
        <v>2605</v>
      </c>
      <c r="AA1607" s="8" t="s">
        <v>2406</v>
      </c>
      <c r="AB1607" s="8" t="s">
        <v>36</v>
      </c>
      <c r="AC1607" s="8" t="s">
        <v>37</v>
      </c>
      <c r="AD1607" s="8" t="s">
        <v>2340</v>
      </c>
      <c r="AE1607" s="8" t="s">
        <v>2208</v>
      </c>
      <c r="AF1607" s="8" t="s">
        <v>2211</v>
      </c>
      <c r="AG1607" s="9">
        <v>8487044</v>
      </c>
      <c r="AH1607" s="11">
        <f>_xlfn.XLOOKUP(B1607,[1]Sheet1!$B:$B,[1]Sheet1!$AB:$AB,0)</f>
        <v>0</v>
      </c>
    </row>
    <row r="1608" spans="2:34" ht="16.8" thickTop="1" thickBot="1" x14ac:dyDescent="0.35">
      <c r="B1608" s="3" t="str">
        <f t="shared" si="52"/>
        <v>451018245170000654510713422411200104</v>
      </c>
      <c r="C1608" s="6" t="s">
        <v>2622</v>
      </c>
      <c r="D1608" s="6" t="s">
        <v>2627</v>
      </c>
      <c r="E1608" s="6" t="s">
        <v>2628</v>
      </c>
      <c r="F1608" s="6" t="s">
        <v>2383</v>
      </c>
      <c r="G1608" s="4" t="s">
        <v>2896</v>
      </c>
      <c r="H1608" s="4" t="s">
        <v>2922</v>
      </c>
      <c r="I1608" s="6" t="s">
        <v>2384</v>
      </c>
      <c r="J1608" s="6" t="s">
        <v>31</v>
      </c>
      <c r="K1608" s="12">
        <f>_xlfn.XLOOKUP(B1608,[1]Sheet1!$B:$B,[1]Sheet1!$N:$N,0)</f>
        <v>0</v>
      </c>
      <c r="L1608" s="12">
        <f>_xlfn.XLOOKUP(B1608,[1]Sheet1!$B:$B,[1]Sheet1!$O:$O,0)</f>
        <v>0</v>
      </c>
      <c r="M1608" s="12">
        <f>_xlfn.XLOOKUP(B1608,[1]Sheet1!$B:$B,[1]Sheet1!$P:$P,0)</f>
        <v>0</v>
      </c>
      <c r="N1608" s="12">
        <f>_xlfn.XLOOKUP(B1608,[1]Sheet1!$B:$B,[1]Sheet1!$Q:$Q,0)</f>
        <v>0</v>
      </c>
      <c r="O1608" s="12">
        <f>_xlfn.XLOOKUP(B1608,[1]Sheet1!$B:$B,[1]Sheet1!$R:$R,0)</f>
        <v>0</v>
      </c>
      <c r="P1608" s="12">
        <f>_xlfn.XLOOKUP(B1608,[1]Sheet1!$B:$B,[1]Sheet1!$S:$S,0)</f>
        <v>0</v>
      </c>
      <c r="Q1608" s="12">
        <f>_xlfn.XLOOKUP(B1608,[1]Sheet1!$B:$B,[1]Sheet1!$T:$T,0)</f>
        <v>0</v>
      </c>
      <c r="R1608" s="12">
        <f>_xlfn.XLOOKUP(B1608,[1]Sheet1!$B:$B,[1]Sheet1!$U:$U,0)</f>
        <v>0</v>
      </c>
      <c r="S1608" s="12">
        <f>_xlfn.XLOOKUP(B1608,[1]Sheet1!$B:$B,[1]Sheet1!$V:$V,0)</f>
        <v>0</v>
      </c>
      <c r="T1608" s="12">
        <f>_xlfn.XLOOKUP(B1608,[1]Sheet1!$B:$B,[1]Sheet1!$W:$W,0)</f>
        <v>0</v>
      </c>
      <c r="U1608" s="12">
        <f>_xlfn.XLOOKUP(B1608,[1]Sheet1!$B:$B,[1]Sheet1!$X:$X,0)</f>
        <v>0</v>
      </c>
      <c r="V1608" s="12">
        <f>_xlfn.XLOOKUP(B1608,[1]Sheet1!$B:$B,[1]Sheet1!$Y:$Y,0)</f>
        <v>0</v>
      </c>
      <c r="W1608" s="12">
        <f t="shared" si="53"/>
        <v>0</v>
      </c>
      <c r="X1608" s="6" t="s">
        <v>2629</v>
      </c>
      <c r="Y1608" s="6" t="s">
        <v>2574</v>
      </c>
      <c r="Z1608" s="6" t="s">
        <v>2605</v>
      </c>
      <c r="AA1608" s="6" t="s">
        <v>2386</v>
      </c>
      <c r="AB1608" s="6" t="s">
        <v>36</v>
      </c>
      <c r="AC1608" s="6" t="s">
        <v>37</v>
      </c>
      <c r="AD1608" s="6" t="s">
        <v>2340</v>
      </c>
      <c r="AE1608" s="6" t="s">
        <v>2208</v>
      </c>
      <c r="AF1608" s="6" t="s">
        <v>2211</v>
      </c>
      <c r="AG1608" s="7">
        <v>10465000</v>
      </c>
      <c r="AH1608" s="11">
        <f>_xlfn.XLOOKUP(B1608,[1]Sheet1!$B:$B,[1]Sheet1!$AB:$AB,0)</f>
        <v>0</v>
      </c>
    </row>
    <row r="1609" spans="2:34" ht="16.8" thickTop="1" thickBot="1" x14ac:dyDescent="0.35">
      <c r="B1609" s="3" t="str">
        <f t="shared" si="52"/>
        <v>451018245170000664510780422621200104</v>
      </c>
      <c r="C1609" s="8" t="s">
        <v>2622</v>
      </c>
      <c r="D1609" s="8" t="s">
        <v>2630</v>
      </c>
      <c r="E1609" s="8" t="s">
        <v>2631</v>
      </c>
      <c r="F1609" s="8" t="s">
        <v>2632</v>
      </c>
      <c r="G1609" s="4" t="s">
        <v>2900</v>
      </c>
      <c r="H1609" s="4" t="s">
        <v>2922</v>
      </c>
      <c r="I1609" s="8" t="s">
        <v>2406</v>
      </c>
      <c r="J1609" s="8" t="s">
        <v>31</v>
      </c>
      <c r="K1609" s="12">
        <f>_xlfn.XLOOKUP(B1609,[1]Sheet1!$B:$B,[1]Sheet1!$N:$N,0)</f>
        <v>0</v>
      </c>
      <c r="L1609" s="12">
        <f>_xlfn.XLOOKUP(B1609,[1]Sheet1!$B:$B,[1]Sheet1!$O:$O,0)</f>
        <v>0</v>
      </c>
      <c r="M1609" s="12">
        <f>_xlfn.XLOOKUP(B1609,[1]Sheet1!$B:$B,[1]Sheet1!$P:$P,0)</f>
        <v>0</v>
      </c>
      <c r="N1609" s="12">
        <f>_xlfn.XLOOKUP(B1609,[1]Sheet1!$B:$B,[1]Sheet1!$Q:$Q,0)</f>
        <v>0</v>
      </c>
      <c r="O1609" s="12">
        <f>_xlfn.XLOOKUP(B1609,[1]Sheet1!$B:$B,[1]Sheet1!$R:$R,0)</f>
        <v>0</v>
      </c>
      <c r="P1609" s="12">
        <f>_xlfn.XLOOKUP(B1609,[1]Sheet1!$B:$B,[1]Sheet1!$S:$S,0)</f>
        <v>0</v>
      </c>
      <c r="Q1609" s="12">
        <f>_xlfn.XLOOKUP(B1609,[1]Sheet1!$B:$B,[1]Sheet1!$T:$T,0)</f>
        <v>0</v>
      </c>
      <c r="R1609" s="12">
        <f>_xlfn.XLOOKUP(B1609,[1]Sheet1!$B:$B,[1]Sheet1!$U:$U,0)</f>
        <v>0</v>
      </c>
      <c r="S1609" s="12">
        <f>_xlfn.XLOOKUP(B1609,[1]Sheet1!$B:$B,[1]Sheet1!$V:$V,0)</f>
        <v>0</v>
      </c>
      <c r="T1609" s="12">
        <f>_xlfn.XLOOKUP(B1609,[1]Sheet1!$B:$B,[1]Sheet1!$W:$W,0)</f>
        <v>0</v>
      </c>
      <c r="U1609" s="12">
        <f>_xlfn.XLOOKUP(B1609,[1]Sheet1!$B:$B,[1]Sheet1!$X:$X,0)</f>
        <v>0</v>
      </c>
      <c r="V1609" s="12">
        <f>_xlfn.XLOOKUP(B1609,[1]Sheet1!$B:$B,[1]Sheet1!$Y:$Y,0)</f>
        <v>0</v>
      </c>
      <c r="W1609" s="12">
        <f t="shared" si="53"/>
        <v>0</v>
      </c>
      <c r="X1609" s="8" t="s">
        <v>2621</v>
      </c>
      <c r="Y1609" s="8" t="s">
        <v>2574</v>
      </c>
      <c r="Z1609" s="8" t="s">
        <v>2605</v>
      </c>
      <c r="AA1609" s="8" t="s">
        <v>2406</v>
      </c>
      <c r="AB1609" s="8" t="s">
        <v>36</v>
      </c>
      <c r="AC1609" s="8" t="s">
        <v>37</v>
      </c>
      <c r="AD1609" s="8" t="s">
        <v>2340</v>
      </c>
      <c r="AE1609" s="8" t="s">
        <v>2208</v>
      </c>
      <c r="AF1609" s="8" t="s">
        <v>2211</v>
      </c>
      <c r="AG1609" s="9">
        <v>653000</v>
      </c>
      <c r="AH1609" s="11">
        <f>_xlfn.XLOOKUP(B1609,[1]Sheet1!$B:$B,[1]Sheet1!$AB:$AB,0)</f>
        <v>0</v>
      </c>
    </row>
    <row r="1610" spans="2:34" ht="16.8" thickTop="1" thickBot="1" x14ac:dyDescent="0.35">
      <c r="B1610" s="3" t="str">
        <f t="shared" si="52"/>
        <v>451018245170000674510728424791200104</v>
      </c>
      <c r="C1610" s="6" t="s">
        <v>2622</v>
      </c>
      <c r="D1610" s="6" t="s">
        <v>2633</v>
      </c>
      <c r="E1610" s="6" t="s">
        <v>2634</v>
      </c>
      <c r="F1610" s="6" t="s">
        <v>2329</v>
      </c>
      <c r="G1610" s="4" t="s">
        <v>2830</v>
      </c>
      <c r="H1610" s="4" t="s">
        <v>2922</v>
      </c>
      <c r="I1610" s="6" t="s">
        <v>305</v>
      </c>
      <c r="J1610" s="6" t="s">
        <v>31</v>
      </c>
      <c r="K1610" s="12">
        <f>_xlfn.XLOOKUP(B1610,[1]Sheet1!$B:$B,[1]Sheet1!$N:$N,0)</f>
        <v>0</v>
      </c>
      <c r="L1610" s="12">
        <f>_xlfn.XLOOKUP(B1610,[1]Sheet1!$B:$B,[1]Sheet1!$O:$O,0)</f>
        <v>0</v>
      </c>
      <c r="M1610" s="12">
        <f>_xlfn.XLOOKUP(B1610,[1]Sheet1!$B:$B,[1]Sheet1!$P:$P,0)</f>
        <v>0</v>
      </c>
      <c r="N1610" s="12">
        <f>_xlfn.XLOOKUP(B1610,[1]Sheet1!$B:$B,[1]Sheet1!$Q:$Q,0)</f>
        <v>0</v>
      </c>
      <c r="O1610" s="12">
        <f>_xlfn.XLOOKUP(B1610,[1]Sheet1!$B:$B,[1]Sheet1!$R:$R,0)</f>
        <v>0</v>
      </c>
      <c r="P1610" s="12">
        <f>_xlfn.XLOOKUP(B1610,[1]Sheet1!$B:$B,[1]Sheet1!$S:$S,0)</f>
        <v>0</v>
      </c>
      <c r="Q1610" s="12">
        <f>_xlfn.XLOOKUP(B1610,[1]Sheet1!$B:$B,[1]Sheet1!$T:$T,0)</f>
        <v>0</v>
      </c>
      <c r="R1610" s="12">
        <f>_xlfn.XLOOKUP(B1610,[1]Sheet1!$B:$B,[1]Sheet1!$U:$U,0)</f>
        <v>0</v>
      </c>
      <c r="S1610" s="12">
        <f>_xlfn.XLOOKUP(B1610,[1]Sheet1!$B:$B,[1]Sheet1!$V:$V,0)</f>
        <v>0</v>
      </c>
      <c r="T1610" s="12">
        <f>_xlfn.XLOOKUP(B1610,[1]Sheet1!$B:$B,[1]Sheet1!$W:$W,0)</f>
        <v>0</v>
      </c>
      <c r="U1610" s="12">
        <f>_xlfn.XLOOKUP(B1610,[1]Sheet1!$B:$B,[1]Sheet1!$X:$X,0)</f>
        <v>0</v>
      </c>
      <c r="V1610" s="12">
        <f>_xlfn.XLOOKUP(B1610,[1]Sheet1!$B:$B,[1]Sheet1!$Y:$Y,0)</f>
        <v>0</v>
      </c>
      <c r="W1610" s="12">
        <f t="shared" si="53"/>
        <v>0</v>
      </c>
      <c r="X1610" s="6" t="s">
        <v>2635</v>
      </c>
      <c r="Y1610" s="6" t="s">
        <v>2574</v>
      </c>
      <c r="Z1610" s="6" t="s">
        <v>2605</v>
      </c>
      <c r="AA1610" s="6" t="s">
        <v>305</v>
      </c>
      <c r="AB1610" s="6" t="s">
        <v>36</v>
      </c>
      <c r="AC1610" s="6" t="s">
        <v>37</v>
      </c>
      <c r="AD1610" s="6" t="s">
        <v>2340</v>
      </c>
      <c r="AE1610" s="6" t="s">
        <v>2208</v>
      </c>
      <c r="AF1610" s="6" t="s">
        <v>2211</v>
      </c>
      <c r="AG1610" s="7">
        <v>1600000</v>
      </c>
      <c r="AH1610" s="11">
        <f>_xlfn.XLOOKUP(B1610,[1]Sheet1!$B:$B,[1]Sheet1!$AB:$AB,0)</f>
        <v>0</v>
      </c>
    </row>
    <row r="1611" spans="2:34" ht="16.8" thickTop="1" thickBot="1" x14ac:dyDescent="0.35">
      <c r="B1611" s="3" t="str">
        <f t="shared" si="52"/>
        <v>451018345170000684510759424811200104</v>
      </c>
      <c r="C1611" s="8" t="s">
        <v>2640</v>
      </c>
      <c r="D1611" s="8" t="s">
        <v>2636</v>
      </c>
      <c r="E1611" s="8" t="s">
        <v>2637</v>
      </c>
      <c r="F1611" s="8" t="s">
        <v>2589</v>
      </c>
      <c r="G1611" s="4" t="s">
        <v>2802</v>
      </c>
      <c r="H1611" s="4" t="s">
        <v>2922</v>
      </c>
      <c r="I1611" s="8" t="s">
        <v>30</v>
      </c>
      <c r="J1611" s="8" t="s">
        <v>31</v>
      </c>
      <c r="K1611" s="12">
        <f>_xlfn.XLOOKUP(B1611,[1]Sheet1!$B:$B,[1]Sheet1!$N:$N,0)</f>
        <v>0</v>
      </c>
      <c r="L1611" s="12">
        <f>_xlfn.XLOOKUP(B1611,[1]Sheet1!$B:$B,[1]Sheet1!$O:$O,0)</f>
        <v>0</v>
      </c>
      <c r="M1611" s="12">
        <f>_xlfn.XLOOKUP(B1611,[1]Sheet1!$B:$B,[1]Sheet1!$P:$P,0)</f>
        <v>0</v>
      </c>
      <c r="N1611" s="12">
        <f>_xlfn.XLOOKUP(B1611,[1]Sheet1!$B:$B,[1]Sheet1!$Q:$Q,0)</f>
        <v>0</v>
      </c>
      <c r="O1611" s="12">
        <f>_xlfn.XLOOKUP(B1611,[1]Sheet1!$B:$B,[1]Sheet1!$R:$R,0)</f>
        <v>0</v>
      </c>
      <c r="P1611" s="12">
        <f>_xlfn.XLOOKUP(B1611,[1]Sheet1!$B:$B,[1]Sheet1!$S:$S,0)</f>
        <v>0</v>
      </c>
      <c r="Q1611" s="12">
        <f>_xlfn.XLOOKUP(B1611,[1]Sheet1!$B:$B,[1]Sheet1!$T:$T,0)</f>
        <v>0</v>
      </c>
      <c r="R1611" s="12">
        <f>_xlfn.XLOOKUP(B1611,[1]Sheet1!$B:$B,[1]Sheet1!$U:$U,0)</f>
        <v>0</v>
      </c>
      <c r="S1611" s="12">
        <f>_xlfn.XLOOKUP(B1611,[1]Sheet1!$B:$B,[1]Sheet1!$V:$V,0)</f>
        <v>0</v>
      </c>
      <c r="T1611" s="12">
        <f>_xlfn.XLOOKUP(B1611,[1]Sheet1!$B:$B,[1]Sheet1!$W:$W,0)</f>
        <v>0</v>
      </c>
      <c r="U1611" s="12">
        <f>_xlfn.XLOOKUP(B1611,[1]Sheet1!$B:$B,[1]Sheet1!$X:$X,0)</f>
        <v>0</v>
      </c>
      <c r="V1611" s="12">
        <f>_xlfn.XLOOKUP(B1611,[1]Sheet1!$B:$B,[1]Sheet1!$Y:$Y,0)</f>
        <v>0</v>
      </c>
      <c r="W1611" s="12">
        <f t="shared" si="53"/>
        <v>0</v>
      </c>
      <c r="X1611" s="8" t="s">
        <v>2638</v>
      </c>
      <c r="Y1611" s="8" t="s">
        <v>2574</v>
      </c>
      <c r="Z1611" s="8" t="s">
        <v>2639</v>
      </c>
      <c r="AA1611" s="8" t="s">
        <v>30</v>
      </c>
      <c r="AB1611" s="8" t="s">
        <v>36</v>
      </c>
      <c r="AC1611" s="8" t="s">
        <v>37</v>
      </c>
      <c r="AD1611" s="8" t="s">
        <v>2340</v>
      </c>
      <c r="AE1611" s="8" t="s">
        <v>2208</v>
      </c>
      <c r="AF1611" s="8" t="s">
        <v>2211</v>
      </c>
      <c r="AG1611" s="9">
        <v>237000</v>
      </c>
      <c r="AH1611" s="11">
        <f>_xlfn.XLOOKUP(B1611,[1]Sheet1!$B:$B,[1]Sheet1!$AB:$AB,0)</f>
        <v>0</v>
      </c>
    </row>
    <row r="1612" spans="2:34" ht="16.8" thickTop="1" thickBot="1" x14ac:dyDescent="0.35">
      <c r="B1612" s="3" t="str">
        <f t="shared" si="52"/>
        <v>451018345170000694510782422411200104</v>
      </c>
      <c r="C1612" s="6" t="s">
        <v>2640</v>
      </c>
      <c r="D1612" s="6" t="s">
        <v>2641</v>
      </c>
      <c r="E1612" s="6" t="s">
        <v>2642</v>
      </c>
      <c r="F1612" s="6" t="s">
        <v>2643</v>
      </c>
      <c r="G1612" s="4" t="s">
        <v>2896</v>
      </c>
      <c r="H1612" s="4" t="s">
        <v>2922</v>
      </c>
      <c r="I1612" s="6" t="s">
        <v>2384</v>
      </c>
      <c r="J1612" s="6" t="s">
        <v>31</v>
      </c>
      <c r="K1612" s="12">
        <f>_xlfn.XLOOKUP(B1612,[1]Sheet1!$B:$B,[1]Sheet1!$N:$N,0)</f>
        <v>0</v>
      </c>
      <c r="L1612" s="12">
        <f>_xlfn.XLOOKUP(B1612,[1]Sheet1!$B:$B,[1]Sheet1!$O:$O,0)</f>
        <v>0</v>
      </c>
      <c r="M1612" s="12">
        <f>_xlfn.XLOOKUP(B1612,[1]Sheet1!$B:$B,[1]Sheet1!$P:$P,0)</f>
        <v>0</v>
      </c>
      <c r="N1612" s="12">
        <f>_xlfn.XLOOKUP(B1612,[1]Sheet1!$B:$B,[1]Sheet1!$Q:$Q,0)</f>
        <v>0</v>
      </c>
      <c r="O1612" s="12">
        <f>_xlfn.XLOOKUP(B1612,[1]Sheet1!$B:$B,[1]Sheet1!$R:$R,0)</f>
        <v>0</v>
      </c>
      <c r="P1612" s="12">
        <f>_xlfn.XLOOKUP(B1612,[1]Sheet1!$B:$B,[1]Sheet1!$S:$S,0)</f>
        <v>0</v>
      </c>
      <c r="Q1612" s="12">
        <f>_xlfn.XLOOKUP(B1612,[1]Sheet1!$B:$B,[1]Sheet1!$T:$T,0)</f>
        <v>0</v>
      </c>
      <c r="R1612" s="12">
        <f>_xlfn.XLOOKUP(B1612,[1]Sheet1!$B:$B,[1]Sheet1!$U:$U,0)</f>
        <v>0</v>
      </c>
      <c r="S1612" s="12">
        <f>_xlfn.XLOOKUP(B1612,[1]Sheet1!$B:$B,[1]Sheet1!$V:$V,0)</f>
        <v>0</v>
      </c>
      <c r="T1612" s="12">
        <f>_xlfn.XLOOKUP(B1612,[1]Sheet1!$B:$B,[1]Sheet1!$W:$W,0)</f>
        <v>0</v>
      </c>
      <c r="U1612" s="12">
        <f>_xlfn.XLOOKUP(B1612,[1]Sheet1!$B:$B,[1]Sheet1!$X:$X,0)</f>
        <v>0</v>
      </c>
      <c r="V1612" s="12">
        <f>_xlfn.XLOOKUP(B1612,[1]Sheet1!$B:$B,[1]Sheet1!$Y:$Y,0)</f>
        <v>0</v>
      </c>
      <c r="W1612" s="12">
        <f t="shared" si="53"/>
        <v>0</v>
      </c>
      <c r="X1612" s="6" t="s">
        <v>2644</v>
      </c>
      <c r="Y1612" s="6" t="s">
        <v>2574</v>
      </c>
      <c r="Z1612" s="6" t="s">
        <v>2639</v>
      </c>
      <c r="AA1612" s="6" t="s">
        <v>2386</v>
      </c>
      <c r="AB1612" s="6" t="s">
        <v>36</v>
      </c>
      <c r="AC1612" s="6" t="s">
        <v>37</v>
      </c>
      <c r="AD1612" s="6" t="s">
        <v>2340</v>
      </c>
      <c r="AE1612" s="6" t="s">
        <v>2208</v>
      </c>
      <c r="AF1612" s="6" t="s">
        <v>2211</v>
      </c>
      <c r="AG1612" s="7">
        <v>87000</v>
      </c>
      <c r="AH1612" s="11">
        <f>_xlfn.XLOOKUP(B1612,[1]Sheet1!$B:$B,[1]Sheet1!$AB:$AB,0)</f>
        <v>0</v>
      </c>
    </row>
    <row r="1613" spans="2:34" ht="16.8" thickTop="1" thickBot="1" x14ac:dyDescent="0.35">
      <c r="B1613" s="3" t="str">
        <f t="shared" si="52"/>
        <v>451018545170000714510701422511200104</v>
      </c>
      <c r="C1613" s="8" t="s">
        <v>2649</v>
      </c>
      <c r="D1613" s="8" t="s">
        <v>2645</v>
      </c>
      <c r="E1613" s="8" t="s">
        <v>2646</v>
      </c>
      <c r="F1613" s="8" t="s">
        <v>2536</v>
      </c>
      <c r="G1613" s="4" t="s">
        <v>2819</v>
      </c>
      <c r="H1613" s="4" t="s">
        <v>2922</v>
      </c>
      <c r="I1613" s="8" t="s">
        <v>151</v>
      </c>
      <c r="J1613" s="8" t="s">
        <v>31</v>
      </c>
      <c r="K1613" s="12">
        <f>_xlfn.XLOOKUP(B1613,[1]Sheet1!$B:$B,[1]Sheet1!$N:$N,0)</f>
        <v>0</v>
      </c>
      <c r="L1613" s="12">
        <f>_xlfn.XLOOKUP(B1613,[1]Sheet1!$B:$B,[1]Sheet1!$O:$O,0)</f>
        <v>0</v>
      </c>
      <c r="M1613" s="12">
        <f>_xlfn.XLOOKUP(B1613,[1]Sheet1!$B:$B,[1]Sheet1!$P:$P,0)</f>
        <v>0</v>
      </c>
      <c r="N1613" s="12">
        <f>_xlfn.XLOOKUP(B1613,[1]Sheet1!$B:$B,[1]Sheet1!$Q:$Q,0)</f>
        <v>0</v>
      </c>
      <c r="O1613" s="12">
        <f>_xlfn.XLOOKUP(B1613,[1]Sheet1!$B:$B,[1]Sheet1!$R:$R,0)</f>
        <v>0</v>
      </c>
      <c r="P1613" s="12">
        <f>_xlfn.XLOOKUP(B1613,[1]Sheet1!$B:$B,[1]Sheet1!$S:$S,0)</f>
        <v>0</v>
      </c>
      <c r="Q1613" s="12">
        <f>_xlfn.XLOOKUP(B1613,[1]Sheet1!$B:$B,[1]Sheet1!$T:$T,0)</f>
        <v>0</v>
      </c>
      <c r="R1613" s="12">
        <f>_xlfn.XLOOKUP(B1613,[1]Sheet1!$B:$B,[1]Sheet1!$U:$U,0)</f>
        <v>0</v>
      </c>
      <c r="S1613" s="12">
        <f>_xlfn.XLOOKUP(B1613,[1]Sheet1!$B:$B,[1]Sheet1!$V:$V,0)</f>
        <v>0</v>
      </c>
      <c r="T1613" s="12">
        <f>_xlfn.XLOOKUP(B1613,[1]Sheet1!$B:$B,[1]Sheet1!$W:$W,0)</f>
        <v>0</v>
      </c>
      <c r="U1613" s="12">
        <f>_xlfn.XLOOKUP(B1613,[1]Sheet1!$B:$B,[1]Sheet1!$X:$X,0)</f>
        <v>0</v>
      </c>
      <c r="V1613" s="12">
        <f>_xlfn.XLOOKUP(B1613,[1]Sheet1!$B:$B,[1]Sheet1!$Y:$Y,0)</f>
        <v>0</v>
      </c>
      <c r="W1613" s="12">
        <f t="shared" si="53"/>
        <v>0</v>
      </c>
      <c r="X1613" s="8" t="s">
        <v>2647</v>
      </c>
      <c r="Y1613" s="8" t="s">
        <v>2574</v>
      </c>
      <c r="Z1613" s="8" t="s">
        <v>2648</v>
      </c>
      <c r="AA1613" s="8" t="s">
        <v>151</v>
      </c>
      <c r="AB1613" s="8" t="s">
        <v>36</v>
      </c>
      <c r="AC1613" s="8" t="s">
        <v>37</v>
      </c>
      <c r="AD1613" s="8" t="s">
        <v>2340</v>
      </c>
      <c r="AE1613" s="8" t="s">
        <v>2208</v>
      </c>
      <c r="AF1613" s="8" t="s">
        <v>2211</v>
      </c>
      <c r="AG1613" s="9">
        <v>20000000</v>
      </c>
      <c r="AH1613" s="11">
        <f>_xlfn.XLOOKUP(B1613,[1]Sheet1!$B:$B,[1]Sheet1!$AB:$AB,0)</f>
        <v>0</v>
      </c>
    </row>
    <row r="1614" spans="2:34" ht="16.8" thickTop="1" thickBot="1" x14ac:dyDescent="0.35">
      <c r="B1614" s="3" t="str">
        <f t="shared" si="52"/>
        <v>451018545170000714510706424151200104</v>
      </c>
      <c r="C1614" s="6" t="s">
        <v>2649</v>
      </c>
      <c r="D1614" s="6" t="s">
        <v>2645</v>
      </c>
      <c r="E1614" s="6" t="s">
        <v>2646</v>
      </c>
      <c r="F1614" s="6" t="s">
        <v>2650</v>
      </c>
      <c r="G1614" s="4" t="s">
        <v>2914</v>
      </c>
      <c r="H1614" s="4" t="s">
        <v>2922</v>
      </c>
      <c r="I1614" s="6" t="s">
        <v>2651</v>
      </c>
      <c r="J1614" s="6" t="s">
        <v>31</v>
      </c>
      <c r="K1614" s="12">
        <f>_xlfn.XLOOKUP(B1614,[1]Sheet1!$B:$B,[1]Sheet1!$N:$N,0)</f>
        <v>0</v>
      </c>
      <c r="L1614" s="12">
        <f>_xlfn.XLOOKUP(B1614,[1]Sheet1!$B:$B,[1]Sheet1!$O:$O,0)</f>
        <v>0</v>
      </c>
      <c r="M1614" s="12">
        <f>_xlfn.XLOOKUP(B1614,[1]Sheet1!$B:$B,[1]Sheet1!$P:$P,0)</f>
        <v>0</v>
      </c>
      <c r="N1614" s="12">
        <f>_xlfn.XLOOKUP(B1614,[1]Sheet1!$B:$B,[1]Sheet1!$Q:$Q,0)</f>
        <v>0</v>
      </c>
      <c r="O1614" s="12">
        <f>_xlfn.XLOOKUP(B1614,[1]Sheet1!$B:$B,[1]Sheet1!$R:$R,0)</f>
        <v>0</v>
      </c>
      <c r="P1614" s="12">
        <f>_xlfn.XLOOKUP(B1614,[1]Sheet1!$B:$B,[1]Sheet1!$S:$S,0)</f>
        <v>0</v>
      </c>
      <c r="Q1614" s="12">
        <f>_xlfn.XLOOKUP(B1614,[1]Sheet1!$B:$B,[1]Sheet1!$T:$T,0)</f>
        <v>0</v>
      </c>
      <c r="R1614" s="12">
        <f>_xlfn.XLOOKUP(B1614,[1]Sheet1!$B:$B,[1]Sheet1!$U:$U,0)</f>
        <v>0</v>
      </c>
      <c r="S1614" s="12">
        <f>_xlfn.XLOOKUP(B1614,[1]Sheet1!$B:$B,[1]Sheet1!$V:$V,0)</f>
        <v>0</v>
      </c>
      <c r="T1614" s="12">
        <f>_xlfn.XLOOKUP(B1614,[1]Sheet1!$B:$B,[1]Sheet1!$W:$W,0)</f>
        <v>0</v>
      </c>
      <c r="U1614" s="12">
        <f>_xlfn.XLOOKUP(B1614,[1]Sheet1!$B:$B,[1]Sheet1!$X:$X,0)</f>
        <v>0</v>
      </c>
      <c r="V1614" s="12">
        <f>_xlfn.XLOOKUP(B1614,[1]Sheet1!$B:$B,[1]Sheet1!$Y:$Y,0)</f>
        <v>0</v>
      </c>
      <c r="W1614" s="12">
        <f t="shared" si="53"/>
        <v>0</v>
      </c>
      <c r="X1614" s="6" t="s">
        <v>2652</v>
      </c>
      <c r="Y1614" s="6" t="s">
        <v>2574</v>
      </c>
      <c r="Z1614" s="6" t="s">
        <v>2648</v>
      </c>
      <c r="AA1614" s="6" t="s">
        <v>2651</v>
      </c>
      <c r="AB1614" s="6" t="s">
        <v>36</v>
      </c>
      <c r="AC1614" s="6" t="s">
        <v>37</v>
      </c>
      <c r="AD1614" s="6" t="s">
        <v>2340</v>
      </c>
      <c r="AE1614" s="6" t="s">
        <v>2208</v>
      </c>
      <c r="AF1614" s="6" t="s">
        <v>2211</v>
      </c>
      <c r="AG1614" s="7">
        <v>1738445</v>
      </c>
      <c r="AH1614" s="11">
        <f>_xlfn.XLOOKUP(B1614,[1]Sheet1!$B:$B,[1]Sheet1!$AB:$AB,0)</f>
        <v>0</v>
      </c>
    </row>
    <row r="1615" spans="2:34" ht="16.8" thickTop="1" thickBot="1" x14ac:dyDescent="0.35">
      <c r="B1615" s="3" t="str">
        <f t="shared" si="52"/>
        <v>451018545170000714510713422411200104</v>
      </c>
      <c r="C1615" s="8" t="s">
        <v>2649</v>
      </c>
      <c r="D1615" s="8" t="s">
        <v>2645</v>
      </c>
      <c r="E1615" s="8" t="s">
        <v>2646</v>
      </c>
      <c r="F1615" s="8" t="s">
        <v>2383</v>
      </c>
      <c r="G1615" s="4" t="s">
        <v>2896</v>
      </c>
      <c r="H1615" s="4" t="s">
        <v>2922</v>
      </c>
      <c r="I1615" s="8" t="s">
        <v>2384</v>
      </c>
      <c r="J1615" s="8" t="s">
        <v>31</v>
      </c>
      <c r="K1615" s="12">
        <f>_xlfn.XLOOKUP(B1615,[1]Sheet1!$B:$B,[1]Sheet1!$N:$N,0)</f>
        <v>0</v>
      </c>
      <c r="L1615" s="12">
        <f>_xlfn.XLOOKUP(B1615,[1]Sheet1!$B:$B,[1]Sheet1!$O:$O,0)</f>
        <v>0</v>
      </c>
      <c r="M1615" s="12">
        <f>_xlfn.XLOOKUP(B1615,[1]Sheet1!$B:$B,[1]Sheet1!$P:$P,0)</f>
        <v>0</v>
      </c>
      <c r="N1615" s="12">
        <f>_xlfn.XLOOKUP(B1615,[1]Sheet1!$B:$B,[1]Sheet1!$Q:$Q,0)</f>
        <v>0</v>
      </c>
      <c r="O1615" s="12">
        <f>_xlfn.XLOOKUP(B1615,[1]Sheet1!$B:$B,[1]Sheet1!$R:$R,0)</f>
        <v>0</v>
      </c>
      <c r="P1615" s="12">
        <f>_xlfn.XLOOKUP(B1615,[1]Sheet1!$B:$B,[1]Sheet1!$S:$S,0)</f>
        <v>0</v>
      </c>
      <c r="Q1615" s="12">
        <f>_xlfn.XLOOKUP(B1615,[1]Sheet1!$B:$B,[1]Sheet1!$T:$T,0)</f>
        <v>0</v>
      </c>
      <c r="R1615" s="12">
        <f>_xlfn.XLOOKUP(B1615,[1]Sheet1!$B:$B,[1]Sheet1!$U:$U,0)</f>
        <v>0</v>
      </c>
      <c r="S1615" s="12">
        <f>_xlfn.XLOOKUP(B1615,[1]Sheet1!$B:$B,[1]Sheet1!$V:$V,0)</f>
        <v>0</v>
      </c>
      <c r="T1615" s="12">
        <f>_xlfn.XLOOKUP(B1615,[1]Sheet1!$B:$B,[1]Sheet1!$W:$W,0)</f>
        <v>0</v>
      </c>
      <c r="U1615" s="12">
        <f>_xlfn.XLOOKUP(B1615,[1]Sheet1!$B:$B,[1]Sheet1!$X:$X,0)</f>
        <v>0</v>
      </c>
      <c r="V1615" s="12">
        <f>_xlfn.XLOOKUP(B1615,[1]Sheet1!$B:$B,[1]Sheet1!$Y:$Y,0)</f>
        <v>0</v>
      </c>
      <c r="W1615" s="12">
        <f t="shared" si="53"/>
        <v>0</v>
      </c>
      <c r="X1615" s="8" t="s">
        <v>2653</v>
      </c>
      <c r="Y1615" s="8" t="s">
        <v>2574</v>
      </c>
      <c r="Z1615" s="8" t="s">
        <v>2648</v>
      </c>
      <c r="AA1615" s="8" t="s">
        <v>2386</v>
      </c>
      <c r="AB1615" s="8" t="s">
        <v>36</v>
      </c>
      <c r="AC1615" s="8" t="s">
        <v>37</v>
      </c>
      <c r="AD1615" s="8" t="s">
        <v>2340</v>
      </c>
      <c r="AE1615" s="8" t="s">
        <v>2208</v>
      </c>
      <c r="AF1615" s="8" t="s">
        <v>2211</v>
      </c>
      <c r="AG1615" s="9">
        <v>743127</v>
      </c>
      <c r="AH1615" s="11">
        <f>_xlfn.XLOOKUP(B1615,[1]Sheet1!$B:$B,[1]Sheet1!$AB:$AB,0)</f>
        <v>0</v>
      </c>
    </row>
    <row r="1616" spans="2:34" ht="16.8" thickTop="1" thickBot="1" x14ac:dyDescent="0.35">
      <c r="B1616" s="3" t="str">
        <f t="shared" si="52"/>
        <v>451018545170000714510723424521200104</v>
      </c>
      <c r="C1616" s="6" t="s">
        <v>2649</v>
      </c>
      <c r="D1616" s="6" t="s">
        <v>2645</v>
      </c>
      <c r="E1616" s="6" t="s">
        <v>2646</v>
      </c>
      <c r="F1616" s="6" t="s">
        <v>2218</v>
      </c>
      <c r="G1616" s="4" t="s">
        <v>2804</v>
      </c>
      <c r="H1616" s="4" t="s">
        <v>2922</v>
      </c>
      <c r="I1616" s="6" t="s">
        <v>53</v>
      </c>
      <c r="J1616" s="6" t="s">
        <v>31</v>
      </c>
      <c r="K1616" s="12">
        <f>_xlfn.XLOOKUP(B1616,[1]Sheet1!$B:$B,[1]Sheet1!$N:$N,0)</f>
        <v>0</v>
      </c>
      <c r="L1616" s="12">
        <f>_xlfn.XLOOKUP(B1616,[1]Sheet1!$B:$B,[1]Sheet1!$O:$O,0)</f>
        <v>0</v>
      </c>
      <c r="M1616" s="12">
        <f>_xlfn.XLOOKUP(B1616,[1]Sheet1!$B:$B,[1]Sheet1!$P:$P,0)</f>
        <v>0</v>
      </c>
      <c r="N1616" s="12">
        <f>_xlfn.XLOOKUP(B1616,[1]Sheet1!$B:$B,[1]Sheet1!$Q:$Q,0)</f>
        <v>0</v>
      </c>
      <c r="O1616" s="12">
        <f>_xlfn.XLOOKUP(B1616,[1]Sheet1!$B:$B,[1]Sheet1!$R:$R,0)</f>
        <v>0</v>
      </c>
      <c r="P1616" s="12">
        <f>_xlfn.XLOOKUP(B1616,[1]Sheet1!$B:$B,[1]Sheet1!$S:$S,0)</f>
        <v>0</v>
      </c>
      <c r="Q1616" s="12">
        <f>_xlfn.XLOOKUP(B1616,[1]Sheet1!$B:$B,[1]Sheet1!$T:$T,0)</f>
        <v>0</v>
      </c>
      <c r="R1616" s="12">
        <f>_xlfn.XLOOKUP(B1616,[1]Sheet1!$B:$B,[1]Sheet1!$U:$U,0)</f>
        <v>0</v>
      </c>
      <c r="S1616" s="12">
        <f>_xlfn.XLOOKUP(B1616,[1]Sheet1!$B:$B,[1]Sheet1!$V:$V,0)</f>
        <v>0</v>
      </c>
      <c r="T1616" s="12">
        <f>_xlfn.XLOOKUP(B1616,[1]Sheet1!$B:$B,[1]Sheet1!$W:$W,0)</f>
        <v>0</v>
      </c>
      <c r="U1616" s="12">
        <f>_xlfn.XLOOKUP(B1616,[1]Sheet1!$B:$B,[1]Sheet1!$X:$X,0)</f>
        <v>0</v>
      </c>
      <c r="V1616" s="12">
        <f>_xlfn.XLOOKUP(B1616,[1]Sheet1!$B:$B,[1]Sheet1!$Y:$Y,0)</f>
        <v>0</v>
      </c>
      <c r="W1616" s="12">
        <f t="shared" si="53"/>
        <v>0</v>
      </c>
      <c r="X1616" s="6" t="s">
        <v>2654</v>
      </c>
      <c r="Y1616" s="6" t="s">
        <v>2574</v>
      </c>
      <c r="Z1616" s="6" t="s">
        <v>2648</v>
      </c>
      <c r="AA1616" s="6" t="s">
        <v>53</v>
      </c>
      <c r="AB1616" s="6" t="s">
        <v>36</v>
      </c>
      <c r="AC1616" s="6" t="s">
        <v>37</v>
      </c>
      <c r="AD1616" s="6" t="s">
        <v>2340</v>
      </c>
      <c r="AE1616" s="6" t="s">
        <v>2208</v>
      </c>
      <c r="AF1616" s="6" t="s">
        <v>2211</v>
      </c>
      <c r="AG1616" s="7">
        <v>120000</v>
      </c>
      <c r="AH1616" s="11">
        <f>_xlfn.XLOOKUP(B1616,[1]Sheet1!$B:$B,[1]Sheet1!$AB:$AB,0)</f>
        <v>0</v>
      </c>
    </row>
    <row r="1617" spans="2:34" ht="16.8" thickTop="1" thickBot="1" x14ac:dyDescent="0.35">
      <c r="B1617" s="3" t="str">
        <f t="shared" si="52"/>
        <v>451018545170000714510726423891200104</v>
      </c>
      <c r="C1617" s="8" t="s">
        <v>2649</v>
      </c>
      <c r="D1617" s="8" t="s">
        <v>2645</v>
      </c>
      <c r="E1617" s="8" t="s">
        <v>2646</v>
      </c>
      <c r="F1617" s="8" t="s">
        <v>2247</v>
      </c>
      <c r="G1617" s="4" t="s">
        <v>2910</v>
      </c>
      <c r="H1617" s="4" t="s">
        <v>2922</v>
      </c>
      <c r="I1617" s="8" t="s">
        <v>2577</v>
      </c>
      <c r="J1617" s="8" t="s">
        <v>31</v>
      </c>
      <c r="K1617" s="12">
        <f>_xlfn.XLOOKUP(B1617,[1]Sheet1!$B:$B,[1]Sheet1!$N:$N,0)</f>
        <v>0</v>
      </c>
      <c r="L1617" s="12">
        <f>_xlfn.XLOOKUP(B1617,[1]Sheet1!$B:$B,[1]Sheet1!$O:$O,0)</f>
        <v>0</v>
      </c>
      <c r="M1617" s="12">
        <f>_xlfn.XLOOKUP(B1617,[1]Sheet1!$B:$B,[1]Sheet1!$P:$P,0)</f>
        <v>0</v>
      </c>
      <c r="N1617" s="12">
        <f>_xlfn.XLOOKUP(B1617,[1]Sheet1!$B:$B,[1]Sheet1!$Q:$Q,0)</f>
        <v>0</v>
      </c>
      <c r="O1617" s="12">
        <f>_xlfn.XLOOKUP(B1617,[1]Sheet1!$B:$B,[1]Sheet1!$R:$R,0)</f>
        <v>0</v>
      </c>
      <c r="P1617" s="12">
        <f>_xlfn.XLOOKUP(B1617,[1]Sheet1!$B:$B,[1]Sheet1!$S:$S,0)</f>
        <v>0</v>
      </c>
      <c r="Q1617" s="12">
        <f>_xlfn.XLOOKUP(B1617,[1]Sheet1!$B:$B,[1]Sheet1!$T:$T,0)</f>
        <v>0</v>
      </c>
      <c r="R1617" s="12">
        <f>_xlfn.XLOOKUP(B1617,[1]Sheet1!$B:$B,[1]Sheet1!$U:$U,0)</f>
        <v>0</v>
      </c>
      <c r="S1617" s="12">
        <f>_xlfn.XLOOKUP(B1617,[1]Sheet1!$B:$B,[1]Sheet1!$V:$V,0)</f>
        <v>0</v>
      </c>
      <c r="T1617" s="12">
        <f>_xlfn.XLOOKUP(B1617,[1]Sheet1!$B:$B,[1]Sheet1!$W:$W,0)</f>
        <v>0</v>
      </c>
      <c r="U1617" s="12">
        <f>_xlfn.XLOOKUP(B1617,[1]Sheet1!$B:$B,[1]Sheet1!$X:$X,0)</f>
        <v>0</v>
      </c>
      <c r="V1617" s="12">
        <f>_xlfn.XLOOKUP(B1617,[1]Sheet1!$B:$B,[1]Sheet1!$Y:$Y,0)</f>
        <v>0</v>
      </c>
      <c r="W1617" s="12">
        <f t="shared" si="53"/>
        <v>0</v>
      </c>
      <c r="X1617" s="8" t="s">
        <v>2655</v>
      </c>
      <c r="Y1617" s="8" t="s">
        <v>2574</v>
      </c>
      <c r="Z1617" s="8" t="s">
        <v>2648</v>
      </c>
      <c r="AA1617" s="8" t="s">
        <v>2577</v>
      </c>
      <c r="AB1617" s="8" t="s">
        <v>36</v>
      </c>
      <c r="AC1617" s="8" t="s">
        <v>37</v>
      </c>
      <c r="AD1617" s="8" t="s">
        <v>2340</v>
      </c>
      <c r="AE1617" s="8" t="s">
        <v>2208</v>
      </c>
      <c r="AF1617" s="8" t="s">
        <v>2211</v>
      </c>
      <c r="AG1617" s="9">
        <v>227080</v>
      </c>
      <c r="AH1617" s="11">
        <f>_xlfn.XLOOKUP(B1617,[1]Sheet1!$B:$B,[1]Sheet1!$AB:$AB,0)</f>
        <v>0</v>
      </c>
    </row>
    <row r="1618" spans="2:34" ht="16.8" thickTop="1" thickBot="1" x14ac:dyDescent="0.35">
      <c r="B1618" s="3" t="str">
        <f t="shared" si="52"/>
        <v>451018545170000714510728431811200104</v>
      </c>
      <c r="C1618" s="6" t="s">
        <v>2649</v>
      </c>
      <c r="D1618" s="6" t="s">
        <v>2645</v>
      </c>
      <c r="E1618" s="6" t="s">
        <v>2646</v>
      </c>
      <c r="F1618" s="6" t="s">
        <v>2329</v>
      </c>
      <c r="G1618" s="4" t="s">
        <v>2915</v>
      </c>
      <c r="H1618" s="4" t="s">
        <v>2922</v>
      </c>
      <c r="I1618" s="6" t="s">
        <v>2656</v>
      </c>
      <c r="J1618" s="6" t="s">
        <v>31</v>
      </c>
      <c r="K1618" s="12">
        <f>_xlfn.XLOOKUP(B1618,[1]Sheet1!$B:$B,[1]Sheet1!$N:$N,0)</f>
        <v>0</v>
      </c>
      <c r="L1618" s="12">
        <f>_xlfn.XLOOKUP(B1618,[1]Sheet1!$B:$B,[1]Sheet1!$O:$O,0)</f>
        <v>0</v>
      </c>
      <c r="M1618" s="12">
        <f>_xlfn.XLOOKUP(B1618,[1]Sheet1!$B:$B,[1]Sheet1!$P:$P,0)</f>
        <v>0</v>
      </c>
      <c r="N1618" s="12">
        <f>_xlfn.XLOOKUP(B1618,[1]Sheet1!$B:$B,[1]Sheet1!$Q:$Q,0)</f>
        <v>0</v>
      </c>
      <c r="O1618" s="12">
        <f>_xlfn.XLOOKUP(B1618,[1]Sheet1!$B:$B,[1]Sheet1!$R:$R,0)</f>
        <v>0</v>
      </c>
      <c r="P1618" s="12">
        <f>_xlfn.XLOOKUP(B1618,[1]Sheet1!$B:$B,[1]Sheet1!$S:$S,0)</f>
        <v>0</v>
      </c>
      <c r="Q1618" s="12">
        <f>_xlfn.XLOOKUP(B1618,[1]Sheet1!$B:$B,[1]Sheet1!$T:$T,0)</f>
        <v>0</v>
      </c>
      <c r="R1618" s="12">
        <f>_xlfn.XLOOKUP(B1618,[1]Sheet1!$B:$B,[1]Sheet1!$U:$U,0)</f>
        <v>0</v>
      </c>
      <c r="S1618" s="12">
        <f>_xlfn.XLOOKUP(B1618,[1]Sheet1!$B:$B,[1]Sheet1!$V:$V,0)</f>
        <v>0</v>
      </c>
      <c r="T1618" s="12">
        <f>_xlfn.XLOOKUP(B1618,[1]Sheet1!$B:$B,[1]Sheet1!$W:$W,0)</f>
        <v>0</v>
      </c>
      <c r="U1618" s="12">
        <f>_xlfn.XLOOKUP(B1618,[1]Sheet1!$B:$B,[1]Sheet1!$X:$X,0)</f>
        <v>0</v>
      </c>
      <c r="V1618" s="12">
        <f>_xlfn.XLOOKUP(B1618,[1]Sheet1!$B:$B,[1]Sheet1!$Y:$Y,0)</f>
        <v>0</v>
      </c>
      <c r="W1618" s="12">
        <f t="shared" si="53"/>
        <v>0</v>
      </c>
      <c r="X1618" s="6" t="s">
        <v>2657</v>
      </c>
      <c r="Y1618" s="6" t="s">
        <v>2574</v>
      </c>
      <c r="Z1618" s="6" t="s">
        <v>2648</v>
      </c>
      <c r="AA1618" s="6" t="s">
        <v>2656</v>
      </c>
      <c r="AB1618" s="6" t="s">
        <v>36</v>
      </c>
      <c r="AC1618" s="6" t="s">
        <v>37</v>
      </c>
      <c r="AD1618" s="6" t="s">
        <v>2340</v>
      </c>
      <c r="AE1618" s="6" t="s">
        <v>2208</v>
      </c>
      <c r="AF1618" s="6" t="s">
        <v>2211</v>
      </c>
      <c r="AG1618" s="7">
        <v>551000</v>
      </c>
      <c r="AH1618" s="11">
        <f>_xlfn.XLOOKUP(B1618,[1]Sheet1!$B:$B,[1]Sheet1!$AB:$AB,0)</f>
        <v>0</v>
      </c>
    </row>
    <row r="1619" spans="2:34" ht="16.8" thickTop="1" thickBot="1" x14ac:dyDescent="0.35">
      <c r="B1619" s="3" t="str">
        <f t="shared" si="52"/>
        <v>451018545170000714510731423411200104</v>
      </c>
      <c r="C1619" s="8" t="s">
        <v>2649</v>
      </c>
      <c r="D1619" s="8" t="s">
        <v>2645</v>
      </c>
      <c r="E1619" s="8" t="s">
        <v>2646</v>
      </c>
      <c r="F1619" s="8" t="s">
        <v>2416</v>
      </c>
      <c r="G1619" s="4" t="s">
        <v>2833</v>
      </c>
      <c r="H1619" s="4" t="s">
        <v>2922</v>
      </c>
      <c r="I1619" s="8" t="s">
        <v>330</v>
      </c>
      <c r="J1619" s="8" t="s">
        <v>31</v>
      </c>
      <c r="K1619" s="12">
        <f>_xlfn.XLOOKUP(B1619,[1]Sheet1!$B:$B,[1]Sheet1!$N:$N,0)</f>
        <v>0</v>
      </c>
      <c r="L1619" s="12">
        <f>_xlfn.XLOOKUP(B1619,[1]Sheet1!$B:$B,[1]Sheet1!$O:$O,0)</f>
        <v>0</v>
      </c>
      <c r="M1619" s="12">
        <f>_xlfn.XLOOKUP(B1619,[1]Sheet1!$B:$B,[1]Sheet1!$P:$P,0)</f>
        <v>0</v>
      </c>
      <c r="N1619" s="12">
        <f>_xlfn.XLOOKUP(B1619,[1]Sheet1!$B:$B,[1]Sheet1!$Q:$Q,0)</f>
        <v>0</v>
      </c>
      <c r="O1619" s="12">
        <f>_xlfn.XLOOKUP(B1619,[1]Sheet1!$B:$B,[1]Sheet1!$R:$R,0)</f>
        <v>0</v>
      </c>
      <c r="P1619" s="12">
        <f>_xlfn.XLOOKUP(B1619,[1]Sheet1!$B:$B,[1]Sheet1!$S:$S,0)</f>
        <v>0</v>
      </c>
      <c r="Q1619" s="12">
        <f>_xlfn.XLOOKUP(B1619,[1]Sheet1!$B:$B,[1]Sheet1!$T:$T,0)</f>
        <v>0</v>
      </c>
      <c r="R1619" s="12">
        <f>_xlfn.XLOOKUP(B1619,[1]Sheet1!$B:$B,[1]Sheet1!$U:$U,0)</f>
        <v>0</v>
      </c>
      <c r="S1619" s="12">
        <f>_xlfn.XLOOKUP(B1619,[1]Sheet1!$B:$B,[1]Sheet1!$V:$V,0)</f>
        <v>0</v>
      </c>
      <c r="T1619" s="12">
        <f>_xlfn.XLOOKUP(B1619,[1]Sheet1!$B:$B,[1]Sheet1!$W:$W,0)</f>
        <v>0</v>
      </c>
      <c r="U1619" s="12">
        <f>_xlfn.XLOOKUP(B1619,[1]Sheet1!$B:$B,[1]Sheet1!$X:$X,0)</f>
        <v>0</v>
      </c>
      <c r="V1619" s="12">
        <f>_xlfn.XLOOKUP(B1619,[1]Sheet1!$B:$B,[1]Sheet1!$Y:$Y,0)</f>
        <v>0</v>
      </c>
      <c r="W1619" s="12">
        <f t="shared" si="53"/>
        <v>0</v>
      </c>
      <c r="X1619" s="8" t="s">
        <v>2658</v>
      </c>
      <c r="Y1619" s="8" t="s">
        <v>2574</v>
      </c>
      <c r="Z1619" s="8" t="s">
        <v>2648</v>
      </c>
      <c r="AA1619" s="8" t="s">
        <v>330</v>
      </c>
      <c r="AB1619" s="8" t="s">
        <v>36</v>
      </c>
      <c r="AC1619" s="8" t="s">
        <v>37</v>
      </c>
      <c r="AD1619" s="8" t="s">
        <v>2340</v>
      </c>
      <c r="AE1619" s="8" t="s">
        <v>2208</v>
      </c>
      <c r="AF1619" s="8" t="s">
        <v>2211</v>
      </c>
      <c r="AG1619" s="9">
        <v>214000</v>
      </c>
      <c r="AH1619" s="11">
        <f>_xlfn.XLOOKUP(B1619,[1]Sheet1!$B:$B,[1]Sheet1!$AB:$AB,0)</f>
        <v>0</v>
      </c>
    </row>
    <row r="1620" spans="2:34" ht="16.8" thickTop="1" thickBot="1" x14ac:dyDescent="0.35">
      <c r="B1620" s="3" t="str">
        <f t="shared" si="52"/>
        <v>451018545170000714510732421125200104</v>
      </c>
      <c r="C1620" s="6" t="s">
        <v>2649</v>
      </c>
      <c r="D1620" s="6" t="s">
        <v>2645</v>
      </c>
      <c r="E1620" s="6" t="s">
        <v>2646</v>
      </c>
      <c r="F1620" s="6" t="s">
        <v>2659</v>
      </c>
      <c r="G1620" s="4" t="s">
        <v>2803</v>
      </c>
      <c r="H1620" s="4" t="s">
        <v>2922</v>
      </c>
      <c r="I1620" s="6" t="s">
        <v>44</v>
      </c>
      <c r="J1620" s="6" t="s">
        <v>31</v>
      </c>
      <c r="K1620" s="12">
        <f>_xlfn.XLOOKUP(B1620,[1]Sheet1!$B:$B,[1]Sheet1!$N:$N,0)</f>
        <v>0</v>
      </c>
      <c r="L1620" s="12">
        <f>_xlfn.XLOOKUP(B1620,[1]Sheet1!$B:$B,[1]Sheet1!$O:$O,0)</f>
        <v>0</v>
      </c>
      <c r="M1620" s="12">
        <f>_xlfn.XLOOKUP(B1620,[1]Sheet1!$B:$B,[1]Sheet1!$P:$P,0)</f>
        <v>0</v>
      </c>
      <c r="N1620" s="12">
        <f>_xlfn.XLOOKUP(B1620,[1]Sheet1!$B:$B,[1]Sheet1!$Q:$Q,0)</f>
        <v>0</v>
      </c>
      <c r="O1620" s="12">
        <f>_xlfn.XLOOKUP(B1620,[1]Sheet1!$B:$B,[1]Sheet1!$R:$R,0)</f>
        <v>0</v>
      </c>
      <c r="P1620" s="12">
        <f>_xlfn.XLOOKUP(B1620,[1]Sheet1!$B:$B,[1]Sheet1!$S:$S,0)</f>
        <v>0</v>
      </c>
      <c r="Q1620" s="12">
        <f>_xlfn.XLOOKUP(B1620,[1]Sheet1!$B:$B,[1]Sheet1!$T:$T,0)</f>
        <v>0</v>
      </c>
      <c r="R1620" s="12">
        <f>_xlfn.XLOOKUP(B1620,[1]Sheet1!$B:$B,[1]Sheet1!$U:$U,0)</f>
        <v>0</v>
      </c>
      <c r="S1620" s="12">
        <f>_xlfn.XLOOKUP(B1620,[1]Sheet1!$B:$B,[1]Sheet1!$V:$V,0)</f>
        <v>0</v>
      </c>
      <c r="T1620" s="12">
        <f>_xlfn.XLOOKUP(B1620,[1]Sheet1!$B:$B,[1]Sheet1!$W:$W,0)</f>
        <v>0</v>
      </c>
      <c r="U1620" s="12">
        <f>_xlfn.XLOOKUP(B1620,[1]Sheet1!$B:$B,[1]Sheet1!$X:$X,0)</f>
        <v>0</v>
      </c>
      <c r="V1620" s="12">
        <f>_xlfn.XLOOKUP(B1620,[1]Sheet1!$B:$B,[1]Sheet1!$Y:$Y,0)</f>
        <v>0</v>
      </c>
      <c r="W1620" s="12">
        <f t="shared" si="53"/>
        <v>0</v>
      </c>
      <c r="X1620" s="6" t="s">
        <v>2660</v>
      </c>
      <c r="Y1620" s="6" t="s">
        <v>2574</v>
      </c>
      <c r="Z1620" s="6" t="s">
        <v>2648</v>
      </c>
      <c r="AA1620" s="6" t="s">
        <v>44</v>
      </c>
      <c r="AB1620" s="6" t="s">
        <v>36</v>
      </c>
      <c r="AC1620" s="6" t="s">
        <v>37</v>
      </c>
      <c r="AD1620" s="6" t="s">
        <v>2340</v>
      </c>
      <c r="AE1620" s="6" t="s">
        <v>2208</v>
      </c>
      <c r="AF1620" s="6" t="s">
        <v>2211</v>
      </c>
      <c r="AG1620" s="7">
        <v>3139980</v>
      </c>
      <c r="AH1620" s="11">
        <f>_xlfn.XLOOKUP(B1620,[1]Sheet1!$B:$B,[1]Sheet1!$AB:$AB,0)</f>
        <v>0</v>
      </c>
    </row>
    <row r="1621" spans="2:34" ht="16.8" thickTop="1" thickBot="1" x14ac:dyDescent="0.35">
      <c r="B1621" s="3" t="str">
        <f t="shared" si="52"/>
        <v>451018545170000714510759424811200104</v>
      </c>
      <c r="C1621" s="8" t="s">
        <v>2649</v>
      </c>
      <c r="D1621" s="8" t="s">
        <v>2645</v>
      </c>
      <c r="E1621" s="8" t="s">
        <v>2646</v>
      </c>
      <c r="F1621" s="8" t="s">
        <v>2589</v>
      </c>
      <c r="G1621" s="4" t="s">
        <v>2802</v>
      </c>
      <c r="H1621" s="4" t="s">
        <v>2922</v>
      </c>
      <c r="I1621" s="8" t="s">
        <v>30</v>
      </c>
      <c r="J1621" s="8" t="s">
        <v>31</v>
      </c>
      <c r="K1621" s="12">
        <f>_xlfn.XLOOKUP(B1621,[1]Sheet1!$B:$B,[1]Sheet1!$N:$N,0)</f>
        <v>0</v>
      </c>
      <c r="L1621" s="12">
        <f>_xlfn.XLOOKUP(B1621,[1]Sheet1!$B:$B,[1]Sheet1!$O:$O,0)</f>
        <v>0</v>
      </c>
      <c r="M1621" s="12">
        <f>_xlfn.XLOOKUP(B1621,[1]Sheet1!$B:$B,[1]Sheet1!$P:$P,0)</f>
        <v>0</v>
      </c>
      <c r="N1621" s="12">
        <f>_xlfn.XLOOKUP(B1621,[1]Sheet1!$B:$B,[1]Sheet1!$Q:$Q,0)</f>
        <v>0</v>
      </c>
      <c r="O1621" s="12">
        <f>_xlfn.XLOOKUP(B1621,[1]Sheet1!$B:$B,[1]Sheet1!$R:$R,0)</f>
        <v>0</v>
      </c>
      <c r="P1621" s="12">
        <f>_xlfn.XLOOKUP(B1621,[1]Sheet1!$B:$B,[1]Sheet1!$S:$S,0)</f>
        <v>0</v>
      </c>
      <c r="Q1621" s="12">
        <f>_xlfn.XLOOKUP(B1621,[1]Sheet1!$B:$B,[1]Sheet1!$T:$T,0)</f>
        <v>0</v>
      </c>
      <c r="R1621" s="12">
        <f>_xlfn.XLOOKUP(B1621,[1]Sheet1!$B:$B,[1]Sheet1!$U:$U,0)</f>
        <v>0</v>
      </c>
      <c r="S1621" s="12">
        <f>_xlfn.XLOOKUP(B1621,[1]Sheet1!$B:$B,[1]Sheet1!$V:$V,0)</f>
        <v>0</v>
      </c>
      <c r="T1621" s="12">
        <f>_xlfn.XLOOKUP(B1621,[1]Sheet1!$B:$B,[1]Sheet1!$W:$W,0)</f>
        <v>0</v>
      </c>
      <c r="U1621" s="12">
        <f>_xlfn.XLOOKUP(B1621,[1]Sheet1!$B:$B,[1]Sheet1!$X:$X,0)</f>
        <v>0</v>
      </c>
      <c r="V1621" s="12">
        <f>_xlfn.XLOOKUP(B1621,[1]Sheet1!$B:$B,[1]Sheet1!$Y:$Y,0)</f>
        <v>0</v>
      </c>
      <c r="W1621" s="12">
        <f t="shared" si="53"/>
        <v>0</v>
      </c>
      <c r="X1621" s="8" t="s">
        <v>2661</v>
      </c>
      <c r="Y1621" s="8" t="s">
        <v>2574</v>
      </c>
      <c r="Z1621" s="8" t="s">
        <v>2648</v>
      </c>
      <c r="AA1621" s="8" t="s">
        <v>30</v>
      </c>
      <c r="AB1621" s="8" t="s">
        <v>36</v>
      </c>
      <c r="AC1621" s="8" t="s">
        <v>37</v>
      </c>
      <c r="AD1621" s="8" t="s">
        <v>2340</v>
      </c>
      <c r="AE1621" s="8" t="s">
        <v>2208</v>
      </c>
      <c r="AF1621" s="8" t="s">
        <v>2211</v>
      </c>
      <c r="AG1621" s="9">
        <v>2500000</v>
      </c>
      <c r="AH1621" s="11">
        <f>_xlfn.XLOOKUP(B1621,[1]Sheet1!$B:$B,[1]Sheet1!$AB:$AB,0)</f>
        <v>0</v>
      </c>
    </row>
    <row r="1622" spans="2:34" ht="16.8" thickTop="1" thickBot="1" x14ac:dyDescent="0.35">
      <c r="B1622" s="3" t="str">
        <f t="shared" si="52"/>
        <v>451018545170000724510710421123200104</v>
      </c>
      <c r="C1622" s="6" t="s">
        <v>2649</v>
      </c>
      <c r="D1622" s="6" t="s">
        <v>2662</v>
      </c>
      <c r="E1622" s="6" t="s">
        <v>2663</v>
      </c>
      <c r="F1622" s="6" t="s">
        <v>2280</v>
      </c>
      <c r="G1622" s="4" t="s">
        <v>2827</v>
      </c>
      <c r="H1622" s="4" t="s">
        <v>2922</v>
      </c>
      <c r="I1622" s="6" t="s">
        <v>237</v>
      </c>
      <c r="J1622" s="6" t="s">
        <v>31</v>
      </c>
      <c r="K1622" s="12">
        <f>_xlfn.XLOOKUP(B1622,[1]Sheet1!$B:$B,[1]Sheet1!$N:$N,0)</f>
        <v>0</v>
      </c>
      <c r="L1622" s="12">
        <f>_xlfn.XLOOKUP(B1622,[1]Sheet1!$B:$B,[1]Sheet1!$O:$O,0)</f>
        <v>0</v>
      </c>
      <c r="M1622" s="12">
        <f>_xlfn.XLOOKUP(B1622,[1]Sheet1!$B:$B,[1]Sheet1!$P:$P,0)</f>
        <v>0</v>
      </c>
      <c r="N1622" s="12">
        <f>_xlfn.XLOOKUP(B1622,[1]Sheet1!$B:$B,[1]Sheet1!$Q:$Q,0)</f>
        <v>0</v>
      </c>
      <c r="O1622" s="12">
        <f>_xlfn.XLOOKUP(B1622,[1]Sheet1!$B:$B,[1]Sheet1!$R:$R,0)</f>
        <v>0</v>
      </c>
      <c r="P1622" s="12">
        <f>_xlfn.XLOOKUP(B1622,[1]Sheet1!$B:$B,[1]Sheet1!$S:$S,0)</f>
        <v>0</v>
      </c>
      <c r="Q1622" s="12">
        <f>_xlfn.XLOOKUP(B1622,[1]Sheet1!$B:$B,[1]Sheet1!$T:$T,0)</f>
        <v>0</v>
      </c>
      <c r="R1622" s="12">
        <f>_xlfn.XLOOKUP(B1622,[1]Sheet1!$B:$B,[1]Sheet1!$U:$U,0)</f>
        <v>0</v>
      </c>
      <c r="S1622" s="12">
        <f>_xlfn.XLOOKUP(B1622,[1]Sheet1!$B:$B,[1]Sheet1!$V:$V,0)</f>
        <v>0</v>
      </c>
      <c r="T1622" s="12">
        <f>_xlfn.XLOOKUP(B1622,[1]Sheet1!$B:$B,[1]Sheet1!$W:$W,0)</f>
        <v>0</v>
      </c>
      <c r="U1622" s="12">
        <f>_xlfn.XLOOKUP(B1622,[1]Sheet1!$B:$B,[1]Sheet1!$X:$X,0)</f>
        <v>0</v>
      </c>
      <c r="V1622" s="12">
        <f>_xlfn.XLOOKUP(B1622,[1]Sheet1!$B:$B,[1]Sheet1!$Y:$Y,0)</f>
        <v>0</v>
      </c>
      <c r="W1622" s="12">
        <f t="shared" si="53"/>
        <v>0</v>
      </c>
      <c r="X1622" s="6" t="s">
        <v>2664</v>
      </c>
      <c r="Y1622" s="6" t="s">
        <v>2574</v>
      </c>
      <c r="Z1622" s="6" t="s">
        <v>2648</v>
      </c>
      <c r="AA1622" s="6" t="s">
        <v>237</v>
      </c>
      <c r="AB1622" s="6" t="s">
        <v>36</v>
      </c>
      <c r="AC1622" s="6" t="s">
        <v>37</v>
      </c>
      <c r="AD1622" s="6" t="s">
        <v>2340</v>
      </c>
      <c r="AE1622" s="6" t="s">
        <v>2208</v>
      </c>
      <c r="AF1622" s="6" t="s">
        <v>2211</v>
      </c>
      <c r="AG1622" s="7">
        <v>500000</v>
      </c>
      <c r="AH1622" s="11">
        <f>_xlfn.XLOOKUP(B1622,[1]Sheet1!$B:$B,[1]Sheet1!$AB:$AB,0)</f>
        <v>0</v>
      </c>
    </row>
    <row r="1623" spans="2:34" ht="16.8" thickTop="1" thickBot="1" x14ac:dyDescent="0.35">
      <c r="B1623" s="3" t="str">
        <f t="shared" si="52"/>
        <v>451018545170000724510738421125200104</v>
      </c>
      <c r="C1623" s="8" t="s">
        <v>2649</v>
      </c>
      <c r="D1623" s="8" t="s">
        <v>2662</v>
      </c>
      <c r="E1623" s="8" t="s">
        <v>2663</v>
      </c>
      <c r="F1623" s="8" t="s">
        <v>2542</v>
      </c>
      <c r="G1623" s="4" t="s">
        <v>2803</v>
      </c>
      <c r="H1623" s="4" t="s">
        <v>2922</v>
      </c>
      <c r="I1623" s="8" t="s">
        <v>44</v>
      </c>
      <c r="J1623" s="8" t="s">
        <v>31</v>
      </c>
      <c r="K1623" s="12">
        <f>_xlfn.XLOOKUP(B1623,[1]Sheet1!$B:$B,[1]Sheet1!$N:$N,0)</f>
        <v>0</v>
      </c>
      <c r="L1623" s="12">
        <f>_xlfn.XLOOKUP(B1623,[1]Sheet1!$B:$B,[1]Sheet1!$O:$O,0)</f>
        <v>0</v>
      </c>
      <c r="M1623" s="12">
        <f>_xlfn.XLOOKUP(B1623,[1]Sheet1!$B:$B,[1]Sheet1!$P:$P,0)</f>
        <v>0</v>
      </c>
      <c r="N1623" s="12">
        <f>_xlfn.XLOOKUP(B1623,[1]Sheet1!$B:$B,[1]Sheet1!$Q:$Q,0)</f>
        <v>0</v>
      </c>
      <c r="O1623" s="12">
        <f>_xlfn.XLOOKUP(B1623,[1]Sheet1!$B:$B,[1]Sheet1!$R:$R,0)</f>
        <v>0</v>
      </c>
      <c r="P1623" s="12">
        <f>_xlfn.XLOOKUP(B1623,[1]Sheet1!$B:$B,[1]Sheet1!$S:$S,0)</f>
        <v>0</v>
      </c>
      <c r="Q1623" s="12">
        <f>_xlfn.XLOOKUP(B1623,[1]Sheet1!$B:$B,[1]Sheet1!$T:$T,0)</f>
        <v>0</v>
      </c>
      <c r="R1623" s="12">
        <f>_xlfn.XLOOKUP(B1623,[1]Sheet1!$B:$B,[1]Sheet1!$U:$U,0)</f>
        <v>0</v>
      </c>
      <c r="S1623" s="12">
        <f>_xlfn.XLOOKUP(B1623,[1]Sheet1!$B:$B,[1]Sheet1!$V:$V,0)</f>
        <v>0</v>
      </c>
      <c r="T1623" s="12">
        <f>_xlfn.XLOOKUP(B1623,[1]Sheet1!$B:$B,[1]Sheet1!$W:$W,0)</f>
        <v>0</v>
      </c>
      <c r="U1623" s="12">
        <f>_xlfn.XLOOKUP(B1623,[1]Sheet1!$B:$B,[1]Sheet1!$X:$X,0)</f>
        <v>0</v>
      </c>
      <c r="V1623" s="12">
        <f>_xlfn.XLOOKUP(B1623,[1]Sheet1!$B:$B,[1]Sheet1!$Y:$Y,0)</f>
        <v>0</v>
      </c>
      <c r="W1623" s="12">
        <f t="shared" si="53"/>
        <v>0</v>
      </c>
      <c r="X1623" s="8" t="s">
        <v>2660</v>
      </c>
      <c r="Y1623" s="8" t="s">
        <v>2574</v>
      </c>
      <c r="Z1623" s="8" t="s">
        <v>2648</v>
      </c>
      <c r="AA1623" s="8" t="s">
        <v>44</v>
      </c>
      <c r="AB1623" s="8" t="s">
        <v>36</v>
      </c>
      <c r="AC1623" s="8" t="s">
        <v>37</v>
      </c>
      <c r="AD1623" s="8" t="s">
        <v>2340</v>
      </c>
      <c r="AE1623" s="8" t="s">
        <v>2208</v>
      </c>
      <c r="AF1623" s="8" t="s">
        <v>2211</v>
      </c>
      <c r="AG1623" s="9">
        <v>1738870.4</v>
      </c>
      <c r="AH1623" s="11">
        <f>_xlfn.XLOOKUP(B1623,[1]Sheet1!$B:$B,[1]Sheet1!$AB:$AB,0)</f>
        <v>0</v>
      </c>
    </row>
    <row r="1624" spans="2:34" ht="16.8" thickTop="1" thickBot="1" x14ac:dyDescent="0.35">
      <c r="B1624" s="3" t="str">
        <f t="shared" si="52"/>
        <v>451018545170000734510736421125200104</v>
      </c>
      <c r="C1624" s="6" t="s">
        <v>2649</v>
      </c>
      <c r="D1624" s="6" t="s">
        <v>2665</v>
      </c>
      <c r="E1624" s="6" t="s">
        <v>2666</v>
      </c>
      <c r="F1624" s="6" t="s">
        <v>2390</v>
      </c>
      <c r="G1624" s="4" t="s">
        <v>2803</v>
      </c>
      <c r="H1624" s="4" t="s">
        <v>2922</v>
      </c>
      <c r="I1624" s="6" t="s">
        <v>44</v>
      </c>
      <c r="J1624" s="6" t="s">
        <v>31</v>
      </c>
      <c r="K1624" s="12">
        <f>_xlfn.XLOOKUP(B1624,[1]Sheet1!$B:$B,[1]Sheet1!$N:$N,0)</f>
        <v>0</v>
      </c>
      <c r="L1624" s="12">
        <f>_xlfn.XLOOKUP(B1624,[1]Sheet1!$B:$B,[1]Sheet1!$O:$O,0)</f>
        <v>0</v>
      </c>
      <c r="M1624" s="12">
        <f>_xlfn.XLOOKUP(B1624,[1]Sheet1!$B:$B,[1]Sheet1!$P:$P,0)</f>
        <v>0</v>
      </c>
      <c r="N1624" s="12">
        <f>_xlfn.XLOOKUP(B1624,[1]Sheet1!$B:$B,[1]Sheet1!$Q:$Q,0)</f>
        <v>0</v>
      </c>
      <c r="O1624" s="12">
        <f>_xlfn.XLOOKUP(B1624,[1]Sheet1!$B:$B,[1]Sheet1!$R:$R,0)</f>
        <v>0</v>
      </c>
      <c r="P1624" s="12">
        <f>_xlfn.XLOOKUP(B1624,[1]Sheet1!$B:$B,[1]Sheet1!$S:$S,0)</f>
        <v>0</v>
      </c>
      <c r="Q1624" s="12">
        <f>_xlfn.XLOOKUP(B1624,[1]Sheet1!$B:$B,[1]Sheet1!$T:$T,0)</f>
        <v>0</v>
      </c>
      <c r="R1624" s="12">
        <f>_xlfn.XLOOKUP(B1624,[1]Sheet1!$B:$B,[1]Sheet1!$U:$U,0)</f>
        <v>0</v>
      </c>
      <c r="S1624" s="12">
        <f>_xlfn.XLOOKUP(B1624,[1]Sheet1!$B:$B,[1]Sheet1!$V:$V,0)</f>
        <v>0</v>
      </c>
      <c r="T1624" s="12">
        <f>_xlfn.XLOOKUP(B1624,[1]Sheet1!$B:$B,[1]Sheet1!$W:$W,0)</f>
        <v>0</v>
      </c>
      <c r="U1624" s="12">
        <f>_xlfn.XLOOKUP(B1624,[1]Sheet1!$B:$B,[1]Sheet1!$X:$X,0)</f>
        <v>0</v>
      </c>
      <c r="V1624" s="12">
        <f>_xlfn.XLOOKUP(B1624,[1]Sheet1!$B:$B,[1]Sheet1!$Y:$Y,0)</f>
        <v>0</v>
      </c>
      <c r="W1624" s="12">
        <f t="shared" si="53"/>
        <v>0</v>
      </c>
      <c r="X1624" s="6" t="s">
        <v>2660</v>
      </c>
      <c r="Y1624" s="6" t="s">
        <v>2574</v>
      </c>
      <c r="Z1624" s="6" t="s">
        <v>2648</v>
      </c>
      <c r="AA1624" s="6" t="s">
        <v>44</v>
      </c>
      <c r="AB1624" s="6" t="s">
        <v>36</v>
      </c>
      <c r="AC1624" s="6" t="s">
        <v>37</v>
      </c>
      <c r="AD1624" s="6" t="s">
        <v>2340</v>
      </c>
      <c r="AE1624" s="6" t="s">
        <v>2208</v>
      </c>
      <c r="AF1624" s="6" t="s">
        <v>2211</v>
      </c>
      <c r="AG1624" s="7">
        <v>1226500</v>
      </c>
      <c r="AH1624" s="11">
        <f>_xlfn.XLOOKUP(B1624,[1]Sheet1!$B:$B,[1]Sheet1!$AB:$AB,0)</f>
        <v>0</v>
      </c>
    </row>
    <row r="1625" spans="2:34" ht="16.8" thickTop="1" thickBot="1" x14ac:dyDescent="0.35">
      <c r="B1625" s="3" t="str">
        <f t="shared" si="52"/>
        <v>451018545170000734510752424701200104</v>
      </c>
      <c r="C1625" s="8" t="s">
        <v>2649</v>
      </c>
      <c r="D1625" s="8" t="s">
        <v>2665</v>
      </c>
      <c r="E1625" s="8" t="s">
        <v>2666</v>
      </c>
      <c r="F1625" s="8" t="s">
        <v>2520</v>
      </c>
      <c r="G1625" s="4" t="s">
        <v>2834</v>
      </c>
      <c r="H1625" s="4" t="s">
        <v>2922</v>
      </c>
      <c r="I1625" s="8" t="s">
        <v>356</v>
      </c>
      <c r="J1625" s="8" t="s">
        <v>31</v>
      </c>
      <c r="K1625" s="12">
        <f>_xlfn.XLOOKUP(B1625,[1]Sheet1!$B:$B,[1]Sheet1!$N:$N,0)</f>
        <v>0</v>
      </c>
      <c r="L1625" s="12">
        <f>_xlfn.XLOOKUP(B1625,[1]Sheet1!$B:$B,[1]Sheet1!$O:$O,0)</f>
        <v>0</v>
      </c>
      <c r="M1625" s="12">
        <f>_xlfn.XLOOKUP(B1625,[1]Sheet1!$B:$B,[1]Sheet1!$P:$P,0)</f>
        <v>0</v>
      </c>
      <c r="N1625" s="12">
        <f>_xlfn.XLOOKUP(B1625,[1]Sheet1!$B:$B,[1]Sheet1!$Q:$Q,0)</f>
        <v>0</v>
      </c>
      <c r="O1625" s="12">
        <f>_xlfn.XLOOKUP(B1625,[1]Sheet1!$B:$B,[1]Sheet1!$R:$R,0)</f>
        <v>0</v>
      </c>
      <c r="P1625" s="12">
        <f>_xlfn.XLOOKUP(B1625,[1]Sheet1!$B:$B,[1]Sheet1!$S:$S,0)</f>
        <v>0</v>
      </c>
      <c r="Q1625" s="12">
        <f>_xlfn.XLOOKUP(B1625,[1]Sheet1!$B:$B,[1]Sheet1!$T:$T,0)</f>
        <v>0</v>
      </c>
      <c r="R1625" s="12">
        <f>_xlfn.XLOOKUP(B1625,[1]Sheet1!$B:$B,[1]Sheet1!$U:$U,0)</f>
        <v>0</v>
      </c>
      <c r="S1625" s="12">
        <f>_xlfn.XLOOKUP(B1625,[1]Sheet1!$B:$B,[1]Sheet1!$V:$V,0)</f>
        <v>0</v>
      </c>
      <c r="T1625" s="12">
        <f>_xlfn.XLOOKUP(B1625,[1]Sheet1!$B:$B,[1]Sheet1!$W:$W,0)</f>
        <v>0</v>
      </c>
      <c r="U1625" s="12">
        <f>_xlfn.XLOOKUP(B1625,[1]Sheet1!$B:$B,[1]Sheet1!$X:$X,0)</f>
        <v>0</v>
      </c>
      <c r="V1625" s="12">
        <f>_xlfn.XLOOKUP(B1625,[1]Sheet1!$B:$B,[1]Sheet1!$Y:$Y,0)</f>
        <v>0</v>
      </c>
      <c r="W1625" s="12">
        <f t="shared" si="53"/>
        <v>0</v>
      </c>
      <c r="X1625" s="8" t="s">
        <v>2667</v>
      </c>
      <c r="Y1625" s="8" t="s">
        <v>2574</v>
      </c>
      <c r="Z1625" s="8" t="s">
        <v>2648</v>
      </c>
      <c r="AA1625" s="8" t="s">
        <v>356</v>
      </c>
      <c r="AB1625" s="8" t="s">
        <v>36</v>
      </c>
      <c r="AC1625" s="8" t="s">
        <v>37</v>
      </c>
      <c r="AD1625" s="8" t="s">
        <v>2340</v>
      </c>
      <c r="AE1625" s="8" t="s">
        <v>2208</v>
      </c>
      <c r="AF1625" s="8" t="s">
        <v>2211</v>
      </c>
      <c r="AG1625" s="9">
        <v>69000</v>
      </c>
      <c r="AH1625" s="11">
        <f>_xlfn.XLOOKUP(B1625,[1]Sheet1!$B:$B,[1]Sheet1!$AB:$AB,0)</f>
        <v>0</v>
      </c>
    </row>
    <row r="1626" spans="2:34" ht="16.8" thickTop="1" thickBot="1" x14ac:dyDescent="0.35">
      <c r="B1626" s="3" t="str">
        <f t="shared" si="52"/>
        <v>451018545170000744510710421122200104</v>
      </c>
      <c r="C1626" s="6" t="s">
        <v>2649</v>
      </c>
      <c r="D1626" s="6" t="s">
        <v>2668</v>
      </c>
      <c r="E1626" s="6" t="s">
        <v>2669</v>
      </c>
      <c r="F1626" s="6" t="s">
        <v>2280</v>
      </c>
      <c r="G1626" s="4" t="s">
        <v>2882</v>
      </c>
      <c r="H1626" s="4" t="s">
        <v>2922</v>
      </c>
      <c r="I1626" s="6" t="s">
        <v>2213</v>
      </c>
      <c r="J1626" s="6" t="s">
        <v>31</v>
      </c>
      <c r="K1626" s="12">
        <f>_xlfn.XLOOKUP(B1626,[1]Sheet1!$B:$B,[1]Sheet1!$N:$N,0)</f>
        <v>0</v>
      </c>
      <c r="L1626" s="12">
        <f>_xlfn.XLOOKUP(B1626,[1]Sheet1!$B:$B,[1]Sheet1!$O:$O,0)</f>
        <v>0</v>
      </c>
      <c r="M1626" s="12">
        <f>_xlfn.XLOOKUP(B1626,[1]Sheet1!$B:$B,[1]Sheet1!$P:$P,0)</f>
        <v>0</v>
      </c>
      <c r="N1626" s="12">
        <f>_xlfn.XLOOKUP(B1626,[1]Sheet1!$B:$B,[1]Sheet1!$Q:$Q,0)</f>
        <v>0</v>
      </c>
      <c r="O1626" s="12">
        <f>_xlfn.XLOOKUP(B1626,[1]Sheet1!$B:$B,[1]Sheet1!$R:$R,0)</f>
        <v>0</v>
      </c>
      <c r="P1626" s="12">
        <f>_xlfn.XLOOKUP(B1626,[1]Sheet1!$B:$B,[1]Sheet1!$S:$S,0)</f>
        <v>0</v>
      </c>
      <c r="Q1626" s="12">
        <f>_xlfn.XLOOKUP(B1626,[1]Sheet1!$B:$B,[1]Sheet1!$T:$T,0)</f>
        <v>0</v>
      </c>
      <c r="R1626" s="12">
        <f>_xlfn.XLOOKUP(B1626,[1]Sheet1!$B:$B,[1]Sheet1!$U:$U,0)</f>
        <v>0</v>
      </c>
      <c r="S1626" s="12">
        <f>_xlfn.XLOOKUP(B1626,[1]Sheet1!$B:$B,[1]Sheet1!$V:$V,0)</f>
        <v>0</v>
      </c>
      <c r="T1626" s="12">
        <f>_xlfn.XLOOKUP(B1626,[1]Sheet1!$B:$B,[1]Sheet1!$W:$W,0)</f>
        <v>0</v>
      </c>
      <c r="U1626" s="12">
        <f>_xlfn.XLOOKUP(B1626,[1]Sheet1!$B:$B,[1]Sheet1!$X:$X,0)</f>
        <v>0</v>
      </c>
      <c r="V1626" s="12">
        <f>_xlfn.XLOOKUP(B1626,[1]Sheet1!$B:$B,[1]Sheet1!$Y:$Y,0)</f>
        <v>0</v>
      </c>
      <c r="W1626" s="12">
        <f t="shared" si="53"/>
        <v>0</v>
      </c>
      <c r="X1626" s="6" t="s">
        <v>2670</v>
      </c>
      <c r="Y1626" s="6" t="s">
        <v>2574</v>
      </c>
      <c r="Z1626" s="6" t="s">
        <v>2648</v>
      </c>
      <c r="AA1626" s="6" t="s">
        <v>2215</v>
      </c>
      <c r="AB1626" s="6" t="s">
        <v>36</v>
      </c>
      <c r="AC1626" s="6" t="s">
        <v>37</v>
      </c>
      <c r="AD1626" s="6" t="s">
        <v>2340</v>
      </c>
      <c r="AE1626" s="6" t="s">
        <v>2208</v>
      </c>
      <c r="AF1626" s="6" t="s">
        <v>2211</v>
      </c>
      <c r="AG1626" s="7">
        <v>1759170</v>
      </c>
      <c r="AH1626" s="11">
        <f>_xlfn.XLOOKUP(B1626,[1]Sheet1!$B:$B,[1]Sheet1!$AB:$AB,0)</f>
        <v>0</v>
      </c>
    </row>
    <row r="1627" spans="2:34" ht="16.8" thickTop="1" thickBot="1" x14ac:dyDescent="0.35">
      <c r="B1627" s="3" t="str">
        <f t="shared" si="52"/>
        <v>451018545170000744510714432623200104</v>
      </c>
      <c r="C1627" s="8" t="s">
        <v>2649</v>
      </c>
      <c r="D1627" s="8" t="s">
        <v>2668</v>
      </c>
      <c r="E1627" s="8" t="s">
        <v>2669</v>
      </c>
      <c r="F1627" s="8" t="s">
        <v>2341</v>
      </c>
      <c r="G1627" s="4" t="s">
        <v>2916</v>
      </c>
      <c r="H1627" s="4" t="s">
        <v>2922</v>
      </c>
      <c r="I1627" s="8" t="s">
        <v>2671</v>
      </c>
      <c r="J1627" s="8" t="s">
        <v>31</v>
      </c>
      <c r="K1627" s="12">
        <f>_xlfn.XLOOKUP(B1627,[1]Sheet1!$B:$B,[1]Sheet1!$N:$N,0)</f>
        <v>0</v>
      </c>
      <c r="L1627" s="12">
        <f>_xlfn.XLOOKUP(B1627,[1]Sheet1!$B:$B,[1]Sheet1!$O:$O,0)</f>
        <v>0</v>
      </c>
      <c r="M1627" s="12">
        <f>_xlfn.XLOOKUP(B1627,[1]Sheet1!$B:$B,[1]Sheet1!$P:$P,0)</f>
        <v>0</v>
      </c>
      <c r="N1627" s="12">
        <f>_xlfn.XLOOKUP(B1627,[1]Sheet1!$B:$B,[1]Sheet1!$Q:$Q,0)</f>
        <v>0</v>
      </c>
      <c r="O1627" s="12">
        <f>_xlfn.XLOOKUP(B1627,[1]Sheet1!$B:$B,[1]Sheet1!$R:$R,0)</f>
        <v>0</v>
      </c>
      <c r="P1627" s="12">
        <f>_xlfn.XLOOKUP(B1627,[1]Sheet1!$B:$B,[1]Sheet1!$S:$S,0)</f>
        <v>0</v>
      </c>
      <c r="Q1627" s="12">
        <f>_xlfn.XLOOKUP(B1627,[1]Sheet1!$B:$B,[1]Sheet1!$T:$T,0)</f>
        <v>0</v>
      </c>
      <c r="R1627" s="12">
        <f>_xlfn.XLOOKUP(B1627,[1]Sheet1!$B:$B,[1]Sheet1!$U:$U,0)</f>
        <v>0</v>
      </c>
      <c r="S1627" s="12">
        <f>_xlfn.XLOOKUP(B1627,[1]Sheet1!$B:$B,[1]Sheet1!$V:$V,0)</f>
        <v>0</v>
      </c>
      <c r="T1627" s="12">
        <f>_xlfn.XLOOKUP(B1627,[1]Sheet1!$B:$B,[1]Sheet1!$W:$W,0)</f>
        <v>0</v>
      </c>
      <c r="U1627" s="12">
        <f>_xlfn.XLOOKUP(B1627,[1]Sheet1!$B:$B,[1]Sheet1!$X:$X,0)</f>
        <v>0</v>
      </c>
      <c r="V1627" s="12">
        <f>_xlfn.XLOOKUP(B1627,[1]Sheet1!$B:$B,[1]Sheet1!$Y:$Y,0)</f>
        <v>0</v>
      </c>
      <c r="W1627" s="12">
        <f t="shared" si="53"/>
        <v>0</v>
      </c>
      <c r="X1627" s="8" t="s">
        <v>2672</v>
      </c>
      <c r="Y1627" s="8" t="s">
        <v>2574</v>
      </c>
      <c r="Z1627" s="8" t="s">
        <v>2648</v>
      </c>
      <c r="AA1627" s="8" t="s">
        <v>2673</v>
      </c>
      <c r="AB1627" s="8" t="s">
        <v>36</v>
      </c>
      <c r="AC1627" s="8" t="s">
        <v>37</v>
      </c>
      <c r="AD1627" s="8" t="s">
        <v>2340</v>
      </c>
      <c r="AE1627" s="8" t="s">
        <v>2208</v>
      </c>
      <c r="AF1627" s="8" t="s">
        <v>2211</v>
      </c>
      <c r="AG1627" s="9">
        <v>1000505</v>
      </c>
      <c r="AH1627" s="11">
        <f>_xlfn.XLOOKUP(B1627,[1]Sheet1!$B:$B,[1]Sheet1!$AB:$AB,0)</f>
        <v>0</v>
      </c>
    </row>
    <row r="1628" spans="2:34" ht="16.8" thickTop="1" thickBot="1" x14ac:dyDescent="0.35">
      <c r="B1628" s="3" t="str">
        <f t="shared" si="52"/>
        <v>451018545170000744510716432411200104</v>
      </c>
      <c r="C1628" s="6" t="s">
        <v>2649</v>
      </c>
      <c r="D1628" s="6" t="s">
        <v>2668</v>
      </c>
      <c r="E1628" s="6" t="s">
        <v>2669</v>
      </c>
      <c r="F1628" s="6" t="s">
        <v>2260</v>
      </c>
      <c r="G1628" s="4" t="s">
        <v>2917</v>
      </c>
      <c r="H1628" s="4" t="s">
        <v>2922</v>
      </c>
      <c r="I1628" s="6" t="s">
        <v>2674</v>
      </c>
      <c r="J1628" s="6" t="s">
        <v>31</v>
      </c>
      <c r="K1628" s="12">
        <f>_xlfn.XLOOKUP(B1628,[1]Sheet1!$B:$B,[1]Sheet1!$N:$N,0)</f>
        <v>0</v>
      </c>
      <c r="L1628" s="12">
        <f>_xlfn.XLOOKUP(B1628,[1]Sheet1!$B:$B,[1]Sheet1!$O:$O,0)</f>
        <v>0</v>
      </c>
      <c r="M1628" s="12">
        <f>_xlfn.XLOOKUP(B1628,[1]Sheet1!$B:$B,[1]Sheet1!$P:$P,0)</f>
        <v>0</v>
      </c>
      <c r="N1628" s="12">
        <f>_xlfn.XLOOKUP(B1628,[1]Sheet1!$B:$B,[1]Sheet1!$Q:$Q,0)</f>
        <v>0</v>
      </c>
      <c r="O1628" s="12">
        <f>_xlfn.XLOOKUP(B1628,[1]Sheet1!$B:$B,[1]Sheet1!$R:$R,0)</f>
        <v>0</v>
      </c>
      <c r="P1628" s="12">
        <f>_xlfn.XLOOKUP(B1628,[1]Sheet1!$B:$B,[1]Sheet1!$S:$S,0)</f>
        <v>0</v>
      </c>
      <c r="Q1628" s="12">
        <f>_xlfn.XLOOKUP(B1628,[1]Sheet1!$B:$B,[1]Sheet1!$T:$T,0)</f>
        <v>0</v>
      </c>
      <c r="R1628" s="12">
        <f>_xlfn.XLOOKUP(B1628,[1]Sheet1!$B:$B,[1]Sheet1!$U:$U,0)</f>
        <v>0</v>
      </c>
      <c r="S1628" s="12">
        <f>_xlfn.XLOOKUP(B1628,[1]Sheet1!$B:$B,[1]Sheet1!$V:$V,0)</f>
        <v>0</v>
      </c>
      <c r="T1628" s="12">
        <f>_xlfn.XLOOKUP(B1628,[1]Sheet1!$B:$B,[1]Sheet1!$W:$W,0)</f>
        <v>0</v>
      </c>
      <c r="U1628" s="12">
        <f>_xlfn.XLOOKUP(B1628,[1]Sheet1!$B:$B,[1]Sheet1!$X:$X,0)</f>
        <v>0</v>
      </c>
      <c r="V1628" s="12">
        <f>_xlfn.XLOOKUP(B1628,[1]Sheet1!$B:$B,[1]Sheet1!$Y:$Y,0)</f>
        <v>0</v>
      </c>
      <c r="W1628" s="12">
        <f t="shared" si="53"/>
        <v>0</v>
      </c>
      <c r="X1628" s="6" t="s">
        <v>2675</v>
      </c>
      <c r="Y1628" s="6" t="s">
        <v>2574</v>
      </c>
      <c r="Z1628" s="6" t="s">
        <v>2648</v>
      </c>
      <c r="AA1628" s="6" t="s">
        <v>2674</v>
      </c>
      <c r="AB1628" s="6" t="s">
        <v>36</v>
      </c>
      <c r="AC1628" s="6" t="s">
        <v>37</v>
      </c>
      <c r="AD1628" s="6" t="s">
        <v>2340</v>
      </c>
      <c r="AE1628" s="6" t="s">
        <v>2208</v>
      </c>
      <c r="AF1628" s="6" t="s">
        <v>2211</v>
      </c>
      <c r="AG1628" s="7">
        <v>500000</v>
      </c>
      <c r="AH1628" s="11">
        <f>_xlfn.XLOOKUP(B1628,[1]Sheet1!$B:$B,[1]Sheet1!$AB:$AB,0)</f>
        <v>0</v>
      </c>
    </row>
    <row r="1629" spans="2:34" ht="16.8" thickTop="1" thickBot="1" x14ac:dyDescent="0.35">
      <c r="B1629" s="3" t="str">
        <f t="shared" si="52"/>
        <v>451018545170000744510728431811200104</v>
      </c>
      <c r="C1629" s="8" t="s">
        <v>2649</v>
      </c>
      <c r="D1629" s="8" t="s">
        <v>2668</v>
      </c>
      <c r="E1629" s="8" t="s">
        <v>2669</v>
      </c>
      <c r="F1629" s="8" t="s">
        <v>2329</v>
      </c>
      <c r="G1629" s="4" t="s">
        <v>2915</v>
      </c>
      <c r="H1629" s="4" t="s">
        <v>2922</v>
      </c>
      <c r="I1629" s="8" t="s">
        <v>2656</v>
      </c>
      <c r="J1629" s="8" t="s">
        <v>31</v>
      </c>
      <c r="K1629" s="12">
        <f>_xlfn.XLOOKUP(B1629,[1]Sheet1!$B:$B,[1]Sheet1!$N:$N,0)</f>
        <v>0</v>
      </c>
      <c r="L1629" s="12">
        <f>_xlfn.XLOOKUP(B1629,[1]Sheet1!$B:$B,[1]Sheet1!$O:$O,0)</f>
        <v>0</v>
      </c>
      <c r="M1629" s="12">
        <f>_xlfn.XLOOKUP(B1629,[1]Sheet1!$B:$B,[1]Sheet1!$P:$P,0)</f>
        <v>0</v>
      </c>
      <c r="N1629" s="12">
        <f>_xlfn.XLOOKUP(B1629,[1]Sheet1!$B:$B,[1]Sheet1!$Q:$Q,0)</f>
        <v>0</v>
      </c>
      <c r="O1629" s="12">
        <f>_xlfn.XLOOKUP(B1629,[1]Sheet1!$B:$B,[1]Sheet1!$R:$R,0)</f>
        <v>0</v>
      </c>
      <c r="P1629" s="12">
        <f>_xlfn.XLOOKUP(B1629,[1]Sheet1!$B:$B,[1]Sheet1!$S:$S,0)</f>
        <v>0</v>
      </c>
      <c r="Q1629" s="12">
        <f>_xlfn.XLOOKUP(B1629,[1]Sheet1!$B:$B,[1]Sheet1!$T:$T,0)</f>
        <v>0</v>
      </c>
      <c r="R1629" s="12">
        <f>_xlfn.XLOOKUP(B1629,[1]Sheet1!$B:$B,[1]Sheet1!$U:$U,0)</f>
        <v>0</v>
      </c>
      <c r="S1629" s="12">
        <f>_xlfn.XLOOKUP(B1629,[1]Sheet1!$B:$B,[1]Sheet1!$V:$V,0)</f>
        <v>0</v>
      </c>
      <c r="T1629" s="12">
        <f>_xlfn.XLOOKUP(B1629,[1]Sheet1!$B:$B,[1]Sheet1!$W:$W,0)</f>
        <v>0</v>
      </c>
      <c r="U1629" s="12">
        <f>_xlfn.XLOOKUP(B1629,[1]Sheet1!$B:$B,[1]Sheet1!$X:$X,0)</f>
        <v>0</v>
      </c>
      <c r="V1629" s="12">
        <f>_xlfn.XLOOKUP(B1629,[1]Sheet1!$B:$B,[1]Sheet1!$Y:$Y,0)</f>
        <v>0</v>
      </c>
      <c r="W1629" s="12">
        <f t="shared" si="53"/>
        <v>0</v>
      </c>
      <c r="X1629" s="8" t="s">
        <v>2657</v>
      </c>
      <c r="Y1629" s="8" t="s">
        <v>2574</v>
      </c>
      <c r="Z1629" s="8" t="s">
        <v>2648</v>
      </c>
      <c r="AA1629" s="8" t="s">
        <v>2656</v>
      </c>
      <c r="AB1629" s="8" t="s">
        <v>36</v>
      </c>
      <c r="AC1629" s="8" t="s">
        <v>37</v>
      </c>
      <c r="AD1629" s="8" t="s">
        <v>2340</v>
      </c>
      <c r="AE1629" s="8" t="s">
        <v>2208</v>
      </c>
      <c r="AF1629" s="8" t="s">
        <v>2211</v>
      </c>
      <c r="AG1629" s="9">
        <v>130967.5</v>
      </c>
      <c r="AH1629" s="11">
        <f>_xlfn.XLOOKUP(B1629,[1]Sheet1!$B:$B,[1]Sheet1!$AB:$AB,0)</f>
        <v>0</v>
      </c>
    </row>
    <row r="1630" spans="2:34" ht="16.8" thickTop="1" thickBot="1" x14ac:dyDescent="0.35">
      <c r="B1630" s="3" t="str">
        <f t="shared" si="52"/>
        <v>451018545170000744510750424521200104</v>
      </c>
      <c r="C1630" s="6" t="s">
        <v>2649</v>
      </c>
      <c r="D1630" s="6" t="s">
        <v>2668</v>
      </c>
      <c r="E1630" s="6" t="s">
        <v>2669</v>
      </c>
      <c r="F1630" s="6" t="s">
        <v>2234</v>
      </c>
      <c r="G1630" s="4" t="s">
        <v>2804</v>
      </c>
      <c r="H1630" s="4" t="s">
        <v>2922</v>
      </c>
      <c r="I1630" s="6" t="s">
        <v>53</v>
      </c>
      <c r="J1630" s="6" t="s">
        <v>31</v>
      </c>
      <c r="K1630" s="12">
        <f>_xlfn.XLOOKUP(B1630,[1]Sheet1!$B:$B,[1]Sheet1!$N:$N,0)</f>
        <v>0</v>
      </c>
      <c r="L1630" s="12">
        <f>_xlfn.XLOOKUP(B1630,[1]Sheet1!$B:$B,[1]Sheet1!$O:$O,0)</f>
        <v>0</v>
      </c>
      <c r="M1630" s="12">
        <f>_xlfn.XLOOKUP(B1630,[1]Sheet1!$B:$B,[1]Sheet1!$P:$P,0)</f>
        <v>0</v>
      </c>
      <c r="N1630" s="12">
        <f>_xlfn.XLOOKUP(B1630,[1]Sheet1!$B:$B,[1]Sheet1!$Q:$Q,0)</f>
        <v>0</v>
      </c>
      <c r="O1630" s="12">
        <f>_xlfn.XLOOKUP(B1630,[1]Sheet1!$B:$B,[1]Sheet1!$R:$R,0)</f>
        <v>0</v>
      </c>
      <c r="P1630" s="12">
        <f>_xlfn.XLOOKUP(B1630,[1]Sheet1!$B:$B,[1]Sheet1!$S:$S,0)</f>
        <v>0</v>
      </c>
      <c r="Q1630" s="12">
        <f>_xlfn.XLOOKUP(B1630,[1]Sheet1!$B:$B,[1]Sheet1!$T:$T,0)</f>
        <v>0</v>
      </c>
      <c r="R1630" s="12">
        <f>_xlfn.XLOOKUP(B1630,[1]Sheet1!$B:$B,[1]Sheet1!$U:$U,0)</f>
        <v>0</v>
      </c>
      <c r="S1630" s="12">
        <f>_xlfn.XLOOKUP(B1630,[1]Sheet1!$B:$B,[1]Sheet1!$V:$V,0)</f>
        <v>0</v>
      </c>
      <c r="T1630" s="12">
        <f>_xlfn.XLOOKUP(B1630,[1]Sheet1!$B:$B,[1]Sheet1!$W:$W,0)</f>
        <v>0</v>
      </c>
      <c r="U1630" s="12">
        <f>_xlfn.XLOOKUP(B1630,[1]Sheet1!$B:$B,[1]Sheet1!$X:$X,0)</f>
        <v>0</v>
      </c>
      <c r="V1630" s="12">
        <f>_xlfn.XLOOKUP(B1630,[1]Sheet1!$B:$B,[1]Sheet1!$Y:$Y,0)</f>
        <v>0</v>
      </c>
      <c r="W1630" s="12">
        <f t="shared" si="53"/>
        <v>0</v>
      </c>
      <c r="X1630" s="6" t="s">
        <v>2654</v>
      </c>
      <c r="Y1630" s="6" t="s">
        <v>2574</v>
      </c>
      <c r="Z1630" s="6" t="s">
        <v>2648</v>
      </c>
      <c r="AA1630" s="6" t="s">
        <v>53</v>
      </c>
      <c r="AB1630" s="6" t="s">
        <v>36</v>
      </c>
      <c r="AC1630" s="6" t="s">
        <v>37</v>
      </c>
      <c r="AD1630" s="6" t="s">
        <v>2340</v>
      </c>
      <c r="AE1630" s="6" t="s">
        <v>2208</v>
      </c>
      <c r="AF1630" s="6" t="s">
        <v>2211</v>
      </c>
      <c r="AG1630" s="7">
        <v>22391199.989999998</v>
      </c>
      <c r="AH1630" s="11">
        <f>_xlfn.XLOOKUP(B1630,[1]Sheet1!$B:$B,[1]Sheet1!$AB:$AB,0)</f>
        <v>0</v>
      </c>
    </row>
    <row r="1631" spans="2:34" ht="16.8" thickTop="1" thickBot="1" x14ac:dyDescent="0.35">
      <c r="B1631" s="3" t="str">
        <f t="shared" si="52"/>
        <v>451018445170000754510801424551200104</v>
      </c>
      <c r="C1631" s="8" t="s">
        <v>2681</v>
      </c>
      <c r="D1631" s="8" t="s">
        <v>2676</v>
      </c>
      <c r="E1631" s="8" t="s">
        <v>2677</v>
      </c>
      <c r="F1631" s="8" t="s">
        <v>2678</v>
      </c>
      <c r="G1631" s="4" t="s">
        <v>2817</v>
      </c>
      <c r="H1631" s="4" t="s">
        <v>2922</v>
      </c>
      <c r="I1631" s="8" t="s">
        <v>108</v>
      </c>
      <c r="J1631" s="8" t="s">
        <v>31</v>
      </c>
      <c r="K1631" s="12">
        <f>_xlfn.XLOOKUP(B1631,[1]Sheet1!$B:$B,[1]Sheet1!$N:$N,0)</f>
        <v>0</v>
      </c>
      <c r="L1631" s="12">
        <f>_xlfn.XLOOKUP(B1631,[1]Sheet1!$B:$B,[1]Sheet1!$O:$O,0)</f>
        <v>0</v>
      </c>
      <c r="M1631" s="12">
        <f>_xlfn.XLOOKUP(B1631,[1]Sheet1!$B:$B,[1]Sheet1!$P:$P,0)</f>
        <v>0</v>
      </c>
      <c r="N1631" s="12">
        <f>_xlfn.XLOOKUP(B1631,[1]Sheet1!$B:$B,[1]Sheet1!$Q:$Q,0)</f>
        <v>0</v>
      </c>
      <c r="O1631" s="12">
        <f>_xlfn.XLOOKUP(B1631,[1]Sheet1!$B:$B,[1]Sheet1!$R:$R,0)</f>
        <v>0</v>
      </c>
      <c r="P1631" s="12">
        <f>_xlfn.XLOOKUP(B1631,[1]Sheet1!$B:$B,[1]Sheet1!$S:$S,0)</f>
        <v>0</v>
      </c>
      <c r="Q1631" s="12">
        <f>_xlfn.XLOOKUP(B1631,[1]Sheet1!$B:$B,[1]Sheet1!$T:$T,0)</f>
        <v>0</v>
      </c>
      <c r="R1631" s="12">
        <f>_xlfn.XLOOKUP(B1631,[1]Sheet1!$B:$B,[1]Sheet1!$U:$U,0)</f>
        <v>0</v>
      </c>
      <c r="S1631" s="12">
        <f>_xlfn.XLOOKUP(B1631,[1]Sheet1!$B:$B,[1]Sheet1!$V:$V,0)</f>
        <v>0</v>
      </c>
      <c r="T1631" s="12">
        <f>_xlfn.XLOOKUP(B1631,[1]Sheet1!$B:$B,[1]Sheet1!$W:$W,0)</f>
        <v>0</v>
      </c>
      <c r="U1631" s="12">
        <f>_xlfn.XLOOKUP(B1631,[1]Sheet1!$B:$B,[1]Sheet1!$X:$X,0)</f>
        <v>0</v>
      </c>
      <c r="V1631" s="12">
        <f>_xlfn.XLOOKUP(B1631,[1]Sheet1!$B:$B,[1]Sheet1!$Y:$Y,0)</f>
        <v>0</v>
      </c>
      <c r="W1631" s="12">
        <f t="shared" si="53"/>
        <v>0</v>
      </c>
      <c r="X1631" s="8" t="s">
        <v>2679</v>
      </c>
      <c r="Y1631" s="8" t="s">
        <v>2574</v>
      </c>
      <c r="Z1631" s="8" t="s">
        <v>2680</v>
      </c>
      <c r="AA1631" s="8" t="s">
        <v>108</v>
      </c>
      <c r="AB1631" s="8" t="s">
        <v>36</v>
      </c>
      <c r="AC1631" s="8" t="s">
        <v>37</v>
      </c>
      <c r="AD1631" s="8" t="s">
        <v>2340</v>
      </c>
      <c r="AE1631" s="8" t="s">
        <v>2208</v>
      </c>
      <c r="AF1631" s="8" t="s">
        <v>2211</v>
      </c>
      <c r="AG1631" s="9">
        <v>8618740</v>
      </c>
      <c r="AH1631" s="11">
        <f>_xlfn.XLOOKUP(B1631,[1]Sheet1!$B:$B,[1]Sheet1!$AB:$AB,0)</f>
        <v>0</v>
      </c>
    </row>
    <row r="1632" spans="2:34" ht="16.8" thickTop="1" thickBot="1" x14ac:dyDescent="0.35">
      <c r="B1632" s="3" t="str">
        <f t="shared" si="52"/>
        <v>451018445170000764510708422311200104</v>
      </c>
      <c r="C1632" s="6" t="s">
        <v>2681</v>
      </c>
      <c r="D1632" s="6" t="s">
        <v>2682</v>
      </c>
      <c r="E1632" s="6" t="s">
        <v>2683</v>
      </c>
      <c r="F1632" s="6" t="s">
        <v>2553</v>
      </c>
      <c r="G1632" s="4" t="s">
        <v>2810</v>
      </c>
      <c r="H1632" s="4" t="s">
        <v>2922</v>
      </c>
      <c r="I1632" s="6" t="s">
        <v>80</v>
      </c>
      <c r="J1632" s="6" t="s">
        <v>31</v>
      </c>
      <c r="K1632" s="12">
        <f>_xlfn.XLOOKUP(B1632,[1]Sheet1!$B:$B,[1]Sheet1!$N:$N,0)</f>
        <v>0</v>
      </c>
      <c r="L1632" s="12">
        <f>_xlfn.XLOOKUP(B1632,[1]Sheet1!$B:$B,[1]Sheet1!$O:$O,0)</f>
        <v>0</v>
      </c>
      <c r="M1632" s="12">
        <f>_xlfn.XLOOKUP(B1632,[1]Sheet1!$B:$B,[1]Sheet1!$P:$P,0)</f>
        <v>0</v>
      </c>
      <c r="N1632" s="12">
        <f>_xlfn.XLOOKUP(B1632,[1]Sheet1!$B:$B,[1]Sheet1!$Q:$Q,0)</f>
        <v>0</v>
      </c>
      <c r="O1632" s="12">
        <f>_xlfn.XLOOKUP(B1632,[1]Sheet1!$B:$B,[1]Sheet1!$R:$R,0)</f>
        <v>0</v>
      </c>
      <c r="P1632" s="12">
        <f>_xlfn.XLOOKUP(B1632,[1]Sheet1!$B:$B,[1]Sheet1!$S:$S,0)</f>
        <v>0</v>
      </c>
      <c r="Q1632" s="12">
        <f>_xlfn.XLOOKUP(B1632,[1]Sheet1!$B:$B,[1]Sheet1!$T:$T,0)</f>
        <v>0</v>
      </c>
      <c r="R1632" s="12">
        <f>_xlfn.XLOOKUP(B1632,[1]Sheet1!$B:$B,[1]Sheet1!$U:$U,0)</f>
        <v>0</v>
      </c>
      <c r="S1632" s="12">
        <f>_xlfn.XLOOKUP(B1632,[1]Sheet1!$B:$B,[1]Sheet1!$V:$V,0)</f>
        <v>0</v>
      </c>
      <c r="T1632" s="12">
        <f>_xlfn.XLOOKUP(B1632,[1]Sheet1!$B:$B,[1]Sheet1!$W:$W,0)</f>
        <v>0</v>
      </c>
      <c r="U1632" s="12">
        <f>_xlfn.XLOOKUP(B1632,[1]Sheet1!$B:$B,[1]Sheet1!$X:$X,0)</f>
        <v>0</v>
      </c>
      <c r="V1632" s="12">
        <f>_xlfn.XLOOKUP(B1632,[1]Sheet1!$B:$B,[1]Sheet1!$Y:$Y,0)</f>
        <v>0</v>
      </c>
      <c r="W1632" s="12">
        <f t="shared" si="53"/>
        <v>0</v>
      </c>
      <c r="X1632" s="6" t="s">
        <v>2684</v>
      </c>
      <c r="Y1632" s="6" t="s">
        <v>2574</v>
      </c>
      <c r="Z1632" s="6" t="s">
        <v>2680</v>
      </c>
      <c r="AA1632" s="6" t="s">
        <v>80</v>
      </c>
      <c r="AB1632" s="6" t="s">
        <v>36</v>
      </c>
      <c r="AC1632" s="6" t="s">
        <v>37</v>
      </c>
      <c r="AD1632" s="6" t="s">
        <v>2340</v>
      </c>
      <c r="AE1632" s="6" t="s">
        <v>2208</v>
      </c>
      <c r="AF1632" s="6" t="s">
        <v>2211</v>
      </c>
      <c r="AG1632" s="7">
        <v>3040000</v>
      </c>
      <c r="AH1632" s="11">
        <f>_xlfn.XLOOKUP(B1632,[1]Sheet1!$B:$B,[1]Sheet1!$AB:$AB,0)</f>
        <v>0</v>
      </c>
    </row>
    <row r="1633" spans="2:34" ht="16.8" thickTop="1" thickBot="1" x14ac:dyDescent="0.35">
      <c r="B1633" s="3" t="str">
        <f t="shared" si="52"/>
        <v>451018445170000764510708422321200104</v>
      </c>
      <c r="C1633" s="8" t="s">
        <v>2681</v>
      </c>
      <c r="D1633" s="8" t="s">
        <v>2682</v>
      </c>
      <c r="E1633" s="8" t="s">
        <v>2683</v>
      </c>
      <c r="F1633" s="8" t="s">
        <v>2553</v>
      </c>
      <c r="G1633" s="4" t="s">
        <v>2816</v>
      </c>
      <c r="H1633" s="4" t="s">
        <v>2922</v>
      </c>
      <c r="I1633" s="8" t="s">
        <v>104</v>
      </c>
      <c r="J1633" s="8" t="s">
        <v>31</v>
      </c>
      <c r="K1633" s="12">
        <f>_xlfn.XLOOKUP(B1633,[1]Sheet1!$B:$B,[1]Sheet1!$N:$N,0)</f>
        <v>0</v>
      </c>
      <c r="L1633" s="12">
        <f>_xlfn.XLOOKUP(B1633,[1]Sheet1!$B:$B,[1]Sheet1!$O:$O,0)</f>
        <v>0</v>
      </c>
      <c r="M1633" s="12">
        <f>_xlfn.XLOOKUP(B1633,[1]Sheet1!$B:$B,[1]Sheet1!$P:$P,0)</f>
        <v>0</v>
      </c>
      <c r="N1633" s="12">
        <f>_xlfn.XLOOKUP(B1633,[1]Sheet1!$B:$B,[1]Sheet1!$Q:$Q,0)</f>
        <v>0</v>
      </c>
      <c r="O1633" s="12">
        <f>_xlfn.XLOOKUP(B1633,[1]Sheet1!$B:$B,[1]Sheet1!$R:$R,0)</f>
        <v>0</v>
      </c>
      <c r="P1633" s="12">
        <f>_xlfn.XLOOKUP(B1633,[1]Sheet1!$B:$B,[1]Sheet1!$S:$S,0)</f>
        <v>0</v>
      </c>
      <c r="Q1633" s="12">
        <f>_xlfn.XLOOKUP(B1633,[1]Sheet1!$B:$B,[1]Sheet1!$T:$T,0)</f>
        <v>0</v>
      </c>
      <c r="R1633" s="12">
        <f>_xlfn.XLOOKUP(B1633,[1]Sheet1!$B:$B,[1]Sheet1!$U:$U,0)</f>
        <v>0</v>
      </c>
      <c r="S1633" s="12">
        <f>_xlfn.XLOOKUP(B1633,[1]Sheet1!$B:$B,[1]Sheet1!$V:$V,0)</f>
        <v>0</v>
      </c>
      <c r="T1633" s="12">
        <f>_xlfn.XLOOKUP(B1633,[1]Sheet1!$B:$B,[1]Sheet1!$W:$W,0)</f>
        <v>0</v>
      </c>
      <c r="U1633" s="12">
        <f>_xlfn.XLOOKUP(B1633,[1]Sheet1!$B:$B,[1]Sheet1!$X:$X,0)</f>
        <v>0</v>
      </c>
      <c r="V1633" s="12">
        <f>_xlfn.XLOOKUP(B1633,[1]Sheet1!$B:$B,[1]Sheet1!$Y:$Y,0)</f>
        <v>0</v>
      </c>
      <c r="W1633" s="12">
        <f t="shared" si="53"/>
        <v>0</v>
      </c>
      <c r="X1633" s="8" t="s">
        <v>2685</v>
      </c>
      <c r="Y1633" s="8" t="s">
        <v>2574</v>
      </c>
      <c r="Z1633" s="8" t="s">
        <v>2680</v>
      </c>
      <c r="AA1633" s="8" t="s">
        <v>106</v>
      </c>
      <c r="AB1633" s="8" t="s">
        <v>36</v>
      </c>
      <c r="AC1633" s="8" t="s">
        <v>37</v>
      </c>
      <c r="AD1633" s="8" t="s">
        <v>2340</v>
      </c>
      <c r="AE1633" s="8" t="s">
        <v>2208</v>
      </c>
      <c r="AF1633" s="8" t="s">
        <v>2211</v>
      </c>
      <c r="AG1633" s="9">
        <v>13663673</v>
      </c>
      <c r="AH1633" s="11">
        <f>_xlfn.XLOOKUP(B1633,[1]Sheet1!$B:$B,[1]Sheet1!$AB:$AB,0)</f>
        <v>0</v>
      </c>
    </row>
    <row r="1634" spans="2:34" ht="16.8" thickTop="1" thickBot="1" x14ac:dyDescent="0.35">
      <c r="B1634" s="3" t="str">
        <f t="shared" si="52"/>
        <v>451018445170000764510714422111200104</v>
      </c>
      <c r="C1634" s="6" t="s">
        <v>2681</v>
      </c>
      <c r="D1634" s="6" t="s">
        <v>2682</v>
      </c>
      <c r="E1634" s="6" t="s">
        <v>2683</v>
      </c>
      <c r="F1634" s="6" t="s">
        <v>2341</v>
      </c>
      <c r="G1634" s="4" t="s">
        <v>2918</v>
      </c>
      <c r="H1634" s="4" t="s">
        <v>2922</v>
      </c>
      <c r="I1634" s="6" t="s">
        <v>2686</v>
      </c>
      <c r="J1634" s="6" t="s">
        <v>31</v>
      </c>
      <c r="K1634" s="12">
        <f>_xlfn.XLOOKUP(B1634,[1]Sheet1!$B:$B,[1]Sheet1!$N:$N,0)</f>
        <v>0</v>
      </c>
      <c r="L1634" s="12">
        <f>_xlfn.XLOOKUP(B1634,[1]Sheet1!$B:$B,[1]Sheet1!$O:$O,0)</f>
        <v>0</v>
      </c>
      <c r="M1634" s="12">
        <f>_xlfn.XLOOKUP(B1634,[1]Sheet1!$B:$B,[1]Sheet1!$P:$P,0)</f>
        <v>0</v>
      </c>
      <c r="N1634" s="12">
        <f>_xlfn.XLOOKUP(B1634,[1]Sheet1!$B:$B,[1]Sheet1!$Q:$Q,0)</f>
        <v>0</v>
      </c>
      <c r="O1634" s="12">
        <f>_xlfn.XLOOKUP(B1634,[1]Sheet1!$B:$B,[1]Sheet1!$R:$R,0)</f>
        <v>0</v>
      </c>
      <c r="P1634" s="12">
        <f>_xlfn.XLOOKUP(B1634,[1]Sheet1!$B:$B,[1]Sheet1!$S:$S,0)</f>
        <v>0</v>
      </c>
      <c r="Q1634" s="12">
        <f>_xlfn.XLOOKUP(B1634,[1]Sheet1!$B:$B,[1]Sheet1!$T:$T,0)</f>
        <v>0</v>
      </c>
      <c r="R1634" s="12">
        <f>_xlfn.XLOOKUP(B1634,[1]Sheet1!$B:$B,[1]Sheet1!$U:$U,0)</f>
        <v>0</v>
      </c>
      <c r="S1634" s="12">
        <f>_xlfn.XLOOKUP(B1634,[1]Sheet1!$B:$B,[1]Sheet1!$V:$V,0)</f>
        <v>0</v>
      </c>
      <c r="T1634" s="12">
        <f>_xlfn.XLOOKUP(B1634,[1]Sheet1!$B:$B,[1]Sheet1!$W:$W,0)</f>
        <v>0</v>
      </c>
      <c r="U1634" s="12">
        <f>_xlfn.XLOOKUP(B1634,[1]Sheet1!$B:$B,[1]Sheet1!$X:$X,0)</f>
        <v>0</v>
      </c>
      <c r="V1634" s="12">
        <f>_xlfn.XLOOKUP(B1634,[1]Sheet1!$B:$B,[1]Sheet1!$Y:$Y,0)</f>
        <v>0</v>
      </c>
      <c r="W1634" s="12">
        <f t="shared" si="53"/>
        <v>0</v>
      </c>
      <c r="X1634" s="6" t="s">
        <v>2687</v>
      </c>
      <c r="Y1634" s="6" t="s">
        <v>2574</v>
      </c>
      <c r="Z1634" s="6" t="s">
        <v>2680</v>
      </c>
      <c r="AA1634" s="6" t="s">
        <v>2686</v>
      </c>
      <c r="AB1634" s="6" t="s">
        <v>36</v>
      </c>
      <c r="AC1634" s="6" t="s">
        <v>37</v>
      </c>
      <c r="AD1634" s="6" t="s">
        <v>2340</v>
      </c>
      <c r="AE1634" s="6" t="s">
        <v>2208</v>
      </c>
      <c r="AF1634" s="6" t="s">
        <v>2211</v>
      </c>
      <c r="AG1634" s="7">
        <v>13496092</v>
      </c>
      <c r="AH1634" s="11">
        <f>_xlfn.XLOOKUP(B1634,[1]Sheet1!$B:$B,[1]Sheet1!$AB:$AB,0)</f>
        <v>0</v>
      </c>
    </row>
    <row r="1635" spans="2:34" ht="16.8" thickTop="1" thickBot="1" x14ac:dyDescent="0.35">
      <c r="B1635" s="3" t="str">
        <f t="shared" si="52"/>
        <v>451018445170000764510719422718200104</v>
      </c>
      <c r="C1635" s="8" t="s">
        <v>2681</v>
      </c>
      <c r="D1635" s="8" t="s">
        <v>2682</v>
      </c>
      <c r="E1635" s="8" t="s">
        <v>2683</v>
      </c>
      <c r="F1635" s="8" t="s">
        <v>2349</v>
      </c>
      <c r="G1635" s="4" t="s">
        <v>2891</v>
      </c>
      <c r="H1635" s="4" t="s">
        <v>2922</v>
      </c>
      <c r="I1635" s="8" t="s">
        <v>2350</v>
      </c>
      <c r="J1635" s="8" t="s">
        <v>31</v>
      </c>
      <c r="K1635" s="12">
        <f>_xlfn.XLOOKUP(B1635,[1]Sheet1!$B:$B,[1]Sheet1!$N:$N,0)</f>
        <v>0</v>
      </c>
      <c r="L1635" s="12">
        <f>_xlfn.XLOOKUP(B1635,[1]Sheet1!$B:$B,[1]Sheet1!$O:$O,0)</f>
        <v>0</v>
      </c>
      <c r="M1635" s="12">
        <f>_xlfn.XLOOKUP(B1635,[1]Sheet1!$B:$B,[1]Sheet1!$P:$P,0)</f>
        <v>0</v>
      </c>
      <c r="N1635" s="12">
        <f>_xlfn.XLOOKUP(B1635,[1]Sheet1!$B:$B,[1]Sheet1!$Q:$Q,0)</f>
        <v>0</v>
      </c>
      <c r="O1635" s="12">
        <f>_xlfn.XLOOKUP(B1635,[1]Sheet1!$B:$B,[1]Sheet1!$R:$R,0)</f>
        <v>0</v>
      </c>
      <c r="P1635" s="12">
        <f>_xlfn.XLOOKUP(B1635,[1]Sheet1!$B:$B,[1]Sheet1!$S:$S,0)</f>
        <v>0</v>
      </c>
      <c r="Q1635" s="12">
        <f>_xlfn.XLOOKUP(B1635,[1]Sheet1!$B:$B,[1]Sheet1!$T:$T,0)</f>
        <v>0</v>
      </c>
      <c r="R1635" s="12">
        <f>_xlfn.XLOOKUP(B1635,[1]Sheet1!$B:$B,[1]Sheet1!$U:$U,0)</f>
        <v>0</v>
      </c>
      <c r="S1635" s="12">
        <f>_xlfn.XLOOKUP(B1635,[1]Sheet1!$B:$B,[1]Sheet1!$V:$V,0)</f>
        <v>0</v>
      </c>
      <c r="T1635" s="12">
        <f>_xlfn.XLOOKUP(B1635,[1]Sheet1!$B:$B,[1]Sheet1!$W:$W,0)</f>
        <v>0</v>
      </c>
      <c r="U1635" s="12">
        <f>_xlfn.XLOOKUP(B1635,[1]Sheet1!$B:$B,[1]Sheet1!$X:$X,0)</f>
        <v>0</v>
      </c>
      <c r="V1635" s="12">
        <f>_xlfn.XLOOKUP(B1635,[1]Sheet1!$B:$B,[1]Sheet1!$Y:$Y,0)</f>
        <v>0</v>
      </c>
      <c r="W1635" s="12">
        <f t="shared" si="53"/>
        <v>0</v>
      </c>
      <c r="X1635" s="8" t="s">
        <v>2688</v>
      </c>
      <c r="Y1635" s="8" t="s">
        <v>2574</v>
      </c>
      <c r="Z1635" s="8" t="s">
        <v>2680</v>
      </c>
      <c r="AA1635" s="8" t="s">
        <v>2350</v>
      </c>
      <c r="AB1635" s="8" t="s">
        <v>36</v>
      </c>
      <c r="AC1635" s="8" t="s">
        <v>37</v>
      </c>
      <c r="AD1635" s="8" t="s">
        <v>2340</v>
      </c>
      <c r="AE1635" s="8" t="s">
        <v>2208</v>
      </c>
      <c r="AF1635" s="8" t="s">
        <v>2211</v>
      </c>
      <c r="AG1635" s="9">
        <v>1384403.62</v>
      </c>
      <c r="AH1635" s="11">
        <f>_xlfn.XLOOKUP(B1635,[1]Sheet1!$B:$B,[1]Sheet1!$AB:$AB,0)</f>
        <v>0</v>
      </c>
    </row>
    <row r="1636" spans="2:34" ht="16.8" thickTop="1" thickBot="1" x14ac:dyDescent="0.35">
      <c r="B1636" s="3" t="str">
        <f t="shared" si="52"/>
        <v>451018445170000764510723424521200104</v>
      </c>
      <c r="C1636" s="6" t="s">
        <v>2681</v>
      </c>
      <c r="D1636" s="6" t="s">
        <v>2682</v>
      </c>
      <c r="E1636" s="6" t="s">
        <v>2683</v>
      </c>
      <c r="F1636" s="6" t="s">
        <v>2218</v>
      </c>
      <c r="G1636" s="4" t="s">
        <v>2804</v>
      </c>
      <c r="H1636" s="4" t="s">
        <v>2922</v>
      </c>
      <c r="I1636" s="6" t="s">
        <v>53</v>
      </c>
      <c r="J1636" s="6" t="s">
        <v>31</v>
      </c>
      <c r="K1636" s="12">
        <f>_xlfn.XLOOKUP(B1636,[1]Sheet1!$B:$B,[1]Sheet1!$N:$N,0)</f>
        <v>0</v>
      </c>
      <c r="L1636" s="12">
        <f>_xlfn.XLOOKUP(B1636,[1]Sheet1!$B:$B,[1]Sheet1!$O:$O,0)</f>
        <v>0</v>
      </c>
      <c r="M1636" s="12">
        <f>_xlfn.XLOOKUP(B1636,[1]Sheet1!$B:$B,[1]Sheet1!$P:$P,0)</f>
        <v>0</v>
      </c>
      <c r="N1636" s="12">
        <f>_xlfn.XLOOKUP(B1636,[1]Sheet1!$B:$B,[1]Sheet1!$Q:$Q,0)</f>
        <v>0</v>
      </c>
      <c r="O1636" s="12">
        <f>_xlfn.XLOOKUP(B1636,[1]Sheet1!$B:$B,[1]Sheet1!$R:$R,0)</f>
        <v>0</v>
      </c>
      <c r="P1636" s="12">
        <f>_xlfn.XLOOKUP(B1636,[1]Sheet1!$B:$B,[1]Sheet1!$S:$S,0)</f>
        <v>0</v>
      </c>
      <c r="Q1636" s="12">
        <f>_xlfn.XLOOKUP(B1636,[1]Sheet1!$B:$B,[1]Sheet1!$T:$T,0)</f>
        <v>0</v>
      </c>
      <c r="R1636" s="12">
        <f>_xlfn.XLOOKUP(B1636,[1]Sheet1!$B:$B,[1]Sheet1!$U:$U,0)</f>
        <v>0</v>
      </c>
      <c r="S1636" s="12">
        <f>_xlfn.XLOOKUP(B1636,[1]Sheet1!$B:$B,[1]Sheet1!$V:$V,0)</f>
        <v>0</v>
      </c>
      <c r="T1636" s="12">
        <f>_xlfn.XLOOKUP(B1636,[1]Sheet1!$B:$B,[1]Sheet1!$W:$W,0)</f>
        <v>0</v>
      </c>
      <c r="U1636" s="12">
        <f>_xlfn.XLOOKUP(B1636,[1]Sheet1!$B:$B,[1]Sheet1!$X:$X,0)</f>
        <v>0</v>
      </c>
      <c r="V1636" s="12">
        <f>_xlfn.XLOOKUP(B1636,[1]Sheet1!$B:$B,[1]Sheet1!$Y:$Y,0)</f>
        <v>0</v>
      </c>
      <c r="W1636" s="12">
        <f t="shared" si="53"/>
        <v>0</v>
      </c>
      <c r="X1636" s="6" t="s">
        <v>2689</v>
      </c>
      <c r="Y1636" s="6" t="s">
        <v>2574</v>
      </c>
      <c r="Z1636" s="6" t="s">
        <v>2680</v>
      </c>
      <c r="AA1636" s="6" t="s">
        <v>53</v>
      </c>
      <c r="AB1636" s="6" t="s">
        <v>36</v>
      </c>
      <c r="AC1636" s="6" t="s">
        <v>37</v>
      </c>
      <c r="AD1636" s="6" t="s">
        <v>2340</v>
      </c>
      <c r="AE1636" s="6" t="s">
        <v>2208</v>
      </c>
      <c r="AF1636" s="6" t="s">
        <v>2211</v>
      </c>
      <c r="AG1636" s="7">
        <v>2000000</v>
      </c>
      <c r="AH1636" s="11">
        <f>_xlfn.XLOOKUP(B1636,[1]Sheet1!$B:$B,[1]Sheet1!$AB:$AB,0)</f>
        <v>0</v>
      </c>
    </row>
    <row r="1637" spans="2:34" ht="16.8" thickTop="1" thickBot="1" x14ac:dyDescent="0.35">
      <c r="B1637" s="3" t="str">
        <f t="shared" si="52"/>
        <v>451018445170000764510726423891200104</v>
      </c>
      <c r="C1637" s="8" t="s">
        <v>2681</v>
      </c>
      <c r="D1637" s="8" t="s">
        <v>2682</v>
      </c>
      <c r="E1637" s="8" t="s">
        <v>2683</v>
      </c>
      <c r="F1637" s="8" t="s">
        <v>2247</v>
      </c>
      <c r="G1637" s="4" t="s">
        <v>2910</v>
      </c>
      <c r="H1637" s="4" t="s">
        <v>2922</v>
      </c>
      <c r="I1637" s="8" t="s">
        <v>2577</v>
      </c>
      <c r="J1637" s="8" t="s">
        <v>31</v>
      </c>
      <c r="K1637" s="12">
        <f>_xlfn.XLOOKUP(B1637,[1]Sheet1!$B:$B,[1]Sheet1!$N:$N,0)</f>
        <v>0</v>
      </c>
      <c r="L1637" s="12">
        <f>_xlfn.XLOOKUP(B1637,[1]Sheet1!$B:$B,[1]Sheet1!$O:$O,0)</f>
        <v>0</v>
      </c>
      <c r="M1637" s="12">
        <f>_xlfn.XLOOKUP(B1637,[1]Sheet1!$B:$B,[1]Sheet1!$P:$P,0)</f>
        <v>0</v>
      </c>
      <c r="N1637" s="12">
        <f>_xlfn.XLOOKUP(B1637,[1]Sheet1!$B:$B,[1]Sheet1!$Q:$Q,0)</f>
        <v>0</v>
      </c>
      <c r="O1637" s="12">
        <f>_xlfn.XLOOKUP(B1637,[1]Sheet1!$B:$B,[1]Sheet1!$R:$R,0)</f>
        <v>0</v>
      </c>
      <c r="P1637" s="12">
        <f>_xlfn.XLOOKUP(B1637,[1]Sheet1!$B:$B,[1]Sheet1!$S:$S,0)</f>
        <v>0</v>
      </c>
      <c r="Q1637" s="12">
        <f>_xlfn.XLOOKUP(B1637,[1]Sheet1!$B:$B,[1]Sheet1!$T:$T,0)</f>
        <v>0</v>
      </c>
      <c r="R1637" s="12">
        <f>_xlfn.XLOOKUP(B1637,[1]Sheet1!$B:$B,[1]Sheet1!$U:$U,0)</f>
        <v>0</v>
      </c>
      <c r="S1637" s="12">
        <f>_xlfn.XLOOKUP(B1637,[1]Sheet1!$B:$B,[1]Sheet1!$V:$V,0)</f>
        <v>0</v>
      </c>
      <c r="T1637" s="12">
        <f>_xlfn.XLOOKUP(B1637,[1]Sheet1!$B:$B,[1]Sheet1!$W:$W,0)</f>
        <v>0</v>
      </c>
      <c r="U1637" s="12">
        <f>_xlfn.XLOOKUP(B1637,[1]Sheet1!$B:$B,[1]Sheet1!$X:$X,0)</f>
        <v>0</v>
      </c>
      <c r="V1637" s="12">
        <f>_xlfn.XLOOKUP(B1637,[1]Sheet1!$B:$B,[1]Sheet1!$Y:$Y,0)</f>
        <v>0</v>
      </c>
      <c r="W1637" s="12">
        <f t="shared" si="53"/>
        <v>0</v>
      </c>
      <c r="X1637" s="8" t="s">
        <v>2690</v>
      </c>
      <c r="Y1637" s="8" t="s">
        <v>2574</v>
      </c>
      <c r="Z1637" s="8" t="s">
        <v>2680</v>
      </c>
      <c r="AA1637" s="8" t="s">
        <v>2577</v>
      </c>
      <c r="AB1637" s="8" t="s">
        <v>36</v>
      </c>
      <c r="AC1637" s="8" t="s">
        <v>37</v>
      </c>
      <c r="AD1637" s="8" t="s">
        <v>2340</v>
      </c>
      <c r="AE1637" s="8" t="s">
        <v>2208</v>
      </c>
      <c r="AF1637" s="8" t="s">
        <v>2211</v>
      </c>
      <c r="AG1637" s="9">
        <v>54200</v>
      </c>
      <c r="AH1637" s="11">
        <f>_xlfn.XLOOKUP(B1637,[1]Sheet1!$B:$B,[1]Sheet1!$AB:$AB,0)</f>
        <v>0</v>
      </c>
    </row>
    <row r="1638" spans="2:34" ht="16.8" thickTop="1" thickBot="1" x14ac:dyDescent="0.35">
      <c r="B1638" s="3" t="str">
        <f t="shared" si="52"/>
        <v>451018445170000764510744491711300105</v>
      </c>
      <c r="C1638" s="6" t="s">
        <v>2681</v>
      </c>
      <c r="D1638" s="6" t="s">
        <v>2682</v>
      </c>
      <c r="E1638" s="6" t="s">
        <v>2683</v>
      </c>
      <c r="F1638" s="6" t="s">
        <v>2356</v>
      </c>
      <c r="G1638" s="4" t="s">
        <v>2854</v>
      </c>
      <c r="H1638" s="4" t="s">
        <v>2923</v>
      </c>
      <c r="I1638" s="6" t="s">
        <v>639</v>
      </c>
      <c r="J1638" s="6" t="s">
        <v>31</v>
      </c>
      <c r="K1638" s="12">
        <f>_xlfn.XLOOKUP(B1638,[1]Sheet1!$B:$B,[1]Sheet1!$N:$N,0)</f>
        <v>0</v>
      </c>
      <c r="L1638" s="12">
        <f>_xlfn.XLOOKUP(B1638,[1]Sheet1!$B:$B,[1]Sheet1!$O:$O,0)</f>
        <v>0</v>
      </c>
      <c r="M1638" s="12">
        <f>_xlfn.XLOOKUP(B1638,[1]Sheet1!$B:$B,[1]Sheet1!$P:$P,0)</f>
        <v>0</v>
      </c>
      <c r="N1638" s="12">
        <f>_xlfn.XLOOKUP(B1638,[1]Sheet1!$B:$B,[1]Sheet1!$Q:$Q,0)</f>
        <v>0</v>
      </c>
      <c r="O1638" s="12">
        <f>_xlfn.XLOOKUP(B1638,[1]Sheet1!$B:$B,[1]Sheet1!$R:$R,0)</f>
        <v>0</v>
      </c>
      <c r="P1638" s="12">
        <f>_xlfn.XLOOKUP(B1638,[1]Sheet1!$B:$B,[1]Sheet1!$S:$S,0)</f>
        <v>0</v>
      </c>
      <c r="Q1638" s="12">
        <f>_xlfn.XLOOKUP(B1638,[1]Sheet1!$B:$B,[1]Sheet1!$T:$T,0)</f>
        <v>0</v>
      </c>
      <c r="R1638" s="12">
        <f>_xlfn.XLOOKUP(B1638,[1]Sheet1!$B:$B,[1]Sheet1!$U:$U,0)</f>
        <v>0</v>
      </c>
      <c r="S1638" s="12">
        <f>_xlfn.XLOOKUP(B1638,[1]Sheet1!$B:$B,[1]Sheet1!$V:$V,0)</f>
        <v>0</v>
      </c>
      <c r="T1638" s="12">
        <f>_xlfn.XLOOKUP(B1638,[1]Sheet1!$B:$B,[1]Sheet1!$W:$W,0)</f>
        <v>0</v>
      </c>
      <c r="U1638" s="12">
        <f>_xlfn.XLOOKUP(B1638,[1]Sheet1!$B:$B,[1]Sheet1!$X:$X,0)</f>
        <v>0</v>
      </c>
      <c r="V1638" s="12">
        <f>_xlfn.XLOOKUP(B1638,[1]Sheet1!$B:$B,[1]Sheet1!$Y:$Y,0)</f>
        <v>0</v>
      </c>
      <c r="W1638" s="12">
        <f t="shared" si="53"/>
        <v>0</v>
      </c>
      <c r="X1638" s="6" t="s">
        <v>2691</v>
      </c>
      <c r="Y1638" s="6" t="s">
        <v>2574</v>
      </c>
      <c r="Z1638" s="6" t="s">
        <v>2680</v>
      </c>
      <c r="AA1638" s="6" t="s">
        <v>639</v>
      </c>
      <c r="AB1638" s="6" t="s">
        <v>93</v>
      </c>
      <c r="AC1638" s="6" t="s">
        <v>94</v>
      </c>
      <c r="AD1638" s="6" t="s">
        <v>2272</v>
      </c>
      <c r="AE1638" s="6" t="s">
        <v>2208</v>
      </c>
      <c r="AF1638" s="6" t="s">
        <v>2211</v>
      </c>
      <c r="AG1638" s="7">
        <v>2500000</v>
      </c>
      <c r="AH1638" s="11">
        <f>_xlfn.XLOOKUP(B1638,[1]Sheet1!$B:$B,[1]Sheet1!$AB:$AB,0)</f>
        <v>0</v>
      </c>
    </row>
    <row r="1639" spans="2:34" ht="16.8" thickTop="1" thickBot="1" x14ac:dyDescent="0.35">
      <c r="B1639" s="3" t="str">
        <f t="shared" si="52"/>
        <v>451018445170000764510768423911200104</v>
      </c>
      <c r="C1639" s="8" t="s">
        <v>2681</v>
      </c>
      <c r="D1639" s="8" t="s">
        <v>2682</v>
      </c>
      <c r="E1639" s="8" t="s">
        <v>2683</v>
      </c>
      <c r="F1639" s="8" t="s">
        <v>2364</v>
      </c>
      <c r="G1639" s="4" t="s">
        <v>2894</v>
      </c>
      <c r="H1639" s="4" t="s">
        <v>2922</v>
      </c>
      <c r="I1639" s="8" t="s">
        <v>2365</v>
      </c>
      <c r="J1639" s="8" t="s">
        <v>31</v>
      </c>
      <c r="K1639" s="12">
        <f>_xlfn.XLOOKUP(B1639,[1]Sheet1!$B:$B,[1]Sheet1!$N:$N,0)</f>
        <v>0</v>
      </c>
      <c r="L1639" s="12">
        <f>_xlfn.XLOOKUP(B1639,[1]Sheet1!$B:$B,[1]Sheet1!$O:$O,0)</f>
        <v>0</v>
      </c>
      <c r="M1639" s="12">
        <f>_xlfn.XLOOKUP(B1639,[1]Sheet1!$B:$B,[1]Sheet1!$P:$P,0)</f>
        <v>0</v>
      </c>
      <c r="N1639" s="12">
        <f>_xlfn.XLOOKUP(B1639,[1]Sheet1!$B:$B,[1]Sheet1!$Q:$Q,0)</f>
        <v>0</v>
      </c>
      <c r="O1639" s="12">
        <f>_xlfn.XLOOKUP(B1639,[1]Sheet1!$B:$B,[1]Sheet1!$R:$R,0)</f>
        <v>0</v>
      </c>
      <c r="P1639" s="12">
        <f>_xlfn.XLOOKUP(B1639,[1]Sheet1!$B:$B,[1]Sheet1!$S:$S,0)</f>
        <v>0</v>
      </c>
      <c r="Q1639" s="12">
        <f>_xlfn.XLOOKUP(B1639,[1]Sheet1!$B:$B,[1]Sheet1!$T:$T,0)</f>
        <v>0</v>
      </c>
      <c r="R1639" s="12">
        <f>_xlfn.XLOOKUP(B1639,[1]Sheet1!$B:$B,[1]Sheet1!$U:$U,0)</f>
        <v>0</v>
      </c>
      <c r="S1639" s="12">
        <f>_xlfn.XLOOKUP(B1639,[1]Sheet1!$B:$B,[1]Sheet1!$V:$V,0)</f>
        <v>0</v>
      </c>
      <c r="T1639" s="12">
        <f>_xlfn.XLOOKUP(B1639,[1]Sheet1!$B:$B,[1]Sheet1!$W:$W,0)</f>
        <v>0</v>
      </c>
      <c r="U1639" s="12">
        <f>_xlfn.XLOOKUP(B1639,[1]Sheet1!$B:$B,[1]Sheet1!$X:$X,0)</f>
        <v>0</v>
      </c>
      <c r="V1639" s="12">
        <f>_xlfn.XLOOKUP(B1639,[1]Sheet1!$B:$B,[1]Sheet1!$Y:$Y,0)</f>
        <v>0</v>
      </c>
      <c r="W1639" s="12">
        <f t="shared" si="53"/>
        <v>0</v>
      </c>
      <c r="X1639" s="8" t="s">
        <v>2692</v>
      </c>
      <c r="Y1639" s="8" t="s">
        <v>2574</v>
      </c>
      <c r="Z1639" s="8" t="s">
        <v>2680</v>
      </c>
      <c r="AA1639" s="8" t="s">
        <v>2365</v>
      </c>
      <c r="AB1639" s="8" t="s">
        <v>36</v>
      </c>
      <c r="AC1639" s="8" t="s">
        <v>37</v>
      </c>
      <c r="AD1639" s="8" t="s">
        <v>2340</v>
      </c>
      <c r="AE1639" s="8" t="s">
        <v>2208</v>
      </c>
      <c r="AF1639" s="8" t="s">
        <v>2211</v>
      </c>
      <c r="AG1639" s="9">
        <v>5500000</v>
      </c>
      <c r="AH1639" s="11">
        <f>_xlfn.XLOOKUP(B1639,[1]Sheet1!$B:$B,[1]Sheet1!$AB:$AB,0)</f>
        <v>0</v>
      </c>
    </row>
    <row r="1640" spans="2:34" ht="16.8" thickTop="1" thickBot="1" x14ac:dyDescent="0.35">
      <c r="B1640" s="3" t="str">
        <f t="shared" si="52"/>
        <v>451018445170000764510768423921200104</v>
      </c>
      <c r="C1640" s="6" t="s">
        <v>2681</v>
      </c>
      <c r="D1640" s="6" t="s">
        <v>2682</v>
      </c>
      <c r="E1640" s="6" t="s">
        <v>2683</v>
      </c>
      <c r="F1640" s="6" t="s">
        <v>2364</v>
      </c>
      <c r="G1640" s="4" t="s">
        <v>2895</v>
      </c>
      <c r="H1640" s="4" t="s">
        <v>2922</v>
      </c>
      <c r="I1640" s="6" t="s">
        <v>2367</v>
      </c>
      <c r="J1640" s="6" t="s">
        <v>31</v>
      </c>
      <c r="K1640" s="12">
        <f>_xlfn.XLOOKUP(B1640,[1]Sheet1!$B:$B,[1]Sheet1!$N:$N,0)</f>
        <v>0</v>
      </c>
      <c r="L1640" s="12">
        <f>_xlfn.XLOOKUP(B1640,[1]Sheet1!$B:$B,[1]Sheet1!$O:$O,0)</f>
        <v>0</v>
      </c>
      <c r="M1640" s="12">
        <f>_xlfn.XLOOKUP(B1640,[1]Sheet1!$B:$B,[1]Sheet1!$P:$P,0)</f>
        <v>0</v>
      </c>
      <c r="N1640" s="12">
        <f>_xlfn.XLOOKUP(B1640,[1]Sheet1!$B:$B,[1]Sheet1!$Q:$Q,0)</f>
        <v>0</v>
      </c>
      <c r="O1640" s="12">
        <f>_xlfn.XLOOKUP(B1640,[1]Sheet1!$B:$B,[1]Sheet1!$R:$R,0)</f>
        <v>0</v>
      </c>
      <c r="P1640" s="12">
        <f>_xlfn.XLOOKUP(B1640,[1]Sheet1!$B:$B,[1]Sheet1!$S:$S,0)</f>
        <v>0</v>
      </c>
      <c r="Q1640" s="12">
        <f>_xlfn.XLOOKUP(B1640,[1]Sheet1!$B:$B,[1]Sheet1!$T:$T,0)</f>
        <v>0</v>
      </c>
      <c r="R1640" s="12">
        <f>_xlfn.XLOOKUP(B1640,[1]Sheet1!$B:$B,[1]Sheet1!$U:$U,0)</f>
        <v>0</v>
      </c>
      <c r="S1640" s="12">
        <f>_xlfn.XLOOKUP(B1640,[1]Sheet1!$B:$B,[1]Sheet1!$V:$V,0)</f>
        <v>0</v>
      </c>
      <c r="T1640" s="12">
        <f>_xlfn.XLOOKUP(B1640,[1]Sheet1!$B:$B,[1]Sheet1!$W:$W,0)</f>
        <v>0</v>
      </c>
      <c r="U1640" s="12">
        <f>_xlfn.XLOOKUP(B1640,[1]Sheet1!$B:$B,[1]Sheet1!$X:$X,0)</f>
        <v>0</v>
      </c>
      <c r="V1640" s="12">
        <f>_xlfn.XLOOKUP(B1640,[1]Sheet1!$B:$B,[1]Sheet1!$Y:$Y,0)</f>
        <v>0</v>
      </c>
      <c r="W1640" s="12">
        <f t="shared" si="53"/>
        <v>0</v>
      </c>
      <c r="X1640" s="6" t="s">
        <v>2693</v>
      </c>
      <c r="Y1640" s="6" t="s">
        <v>2574</v>
      </c>
      <c r="Z1640" s="6" t="s">
        <v>2680</v>
      </c>
      <c r="AA1640" s="6" t="s">
        <v>2367</v>
      </c>
      <c r="AB1640" s="6" t="s">
        <v>36</v>
      </c>
      <c r="AC1640" s="6" t="s">
        <v>37</v>
      </c>
      <c r="AD1640" s="6" t="s">
        <v>2340</v>
      </c>
      <c r="AE1640" s="6" t="s">
        <v>2208</v>
      </c>
      <c r="AF1640" s="6" t="s">
        <v>2211</v>
      </c>
      <c r="AG1640" s="7">
        <v>300000</v>
      </c>
      <c r="AH1640" s="11">
        <f>_xlfn.XLOOKUP(B1640,[1]Sheet1!$B:$B,[1]Sheet1!$AB:$AB,0)</f>
        <v>0</v>
      </c>
    </row>
    <row r="1641" spans="2:34" ht="16.8" thickTop="1" thickBot="1" x14ac:dyDescent="0.35">
      <c r="B1641" s="3" t="str">
        <f t="shared" si="52"/>
        <v>451018445170000764510768423931200104</v>
      </c>
      <c r="C1641" s="8" t="s">
        <v>2681</v>
      </c>
      <c r="D1641" s="8" t="s">
        <v>2682</v>
      </c>
      <c r="E1641" s="8" t="s">
        <v>2683</v>
      </c>
      <c r="F1641" s="8" t="s">
        <v>2364</v>
      </c>
      <c r="G1641" s="4" t="s">
        <v>2818</v>
      </c>
      <c r="H1641" s="4" t="s">
        <v>2922</v>
      </c>
      <c r="I1641" s="8" t="s">
        <v>111</v>
      </c>
      <c r="J1641" s="8" t="s">
        <v>31</v>
      </c>
      <c r="K1641" s="12">
        <f>_xlfn.XLOOKUP(B1641,[1]Sheet1!$B:$B,[1]Sheet1!$N:$N,0)</f>
        <v>0</v>
      </c>
      <c r="L1641" s="12">
        <f>_xlfn.XLOOKUP(B1641,[1]Sheet1!$B:$B,[1]Sheet1!$O:$O,0)</f>
        <v>0</v>
      </c>
      <c r="M1641" s="12">
        <f>_xlfn.XLOOKUP(B1641,[1]Sheet1!$B:$B,[1]Sheet1!$P:$P,0)</f>
        <v>0</v>
      </c>
      <c r="N1641" s="12">
        <f>_xlfn.XLOOKUP(B1641,[1]Sheet1!$B:$B,[1]Sheet1!$Q:$Q,0)</f>
        <v>0</v>
      </c>
      <c r="O1641" s="12">
        <f>_xlfn.XLOOKUP(B1641,[1]Sheet1!$B:$B,[1]Sheet1!$R:$R,0)</f>
        <v>0</v>
      </c>
      <c r="P1641" s="12">
        <f>_xlfn.XLOOKUP(B1641,[1]Sheet1!$B:$B,[1]Sheet1!$S:$S,0)</f>
        <v>0</v>
      </c>
      <c r="Q1641" s="12">
        <f>_xlfn.XLOOKUP(B1641,[1]Sheet1!$B:$B,[1]Sheet1!$T:$T,0)</f>
        <v>0</v>
      </c>
      <c r="R1641" s="12">
        <f>_xlfn.XLOOKUP(B1641,[1]Sheet1!$B:$B,[1]Sheet1!$U:$U,0)</f>
        <v>0</v>
      </c>
      <c r="S1641" s="12">
        <f>_xlfn.XLOOKUP(B1641,[1]Sheet1!$B:$B,[1]Sheet1!$V:$V,0)</f>
        <v>0</v>
      </c>
      <c r="T1641" s="12">
        <f>_xlfn.XLOOKUP(B1641,[1]Sheet1!$B:$B,[1]Sheet1!$W:$W,0)</f>
        <v>0</v>
      </c>
      <c r="U1641" s="12">
        <f>_xlfn.XLOOKUP(B1641,[1]Sheet1!$B:$B,[1]Sheet1!$X:$X,0)</f>
        <v>0</v>
      </c>
      <c r="V1641" s="12">
        <f>_xlfn.XLOOKUP(B1641,[1]Sheet1!$B:$B,[1]Sheet1!$Y:$Y,0)</f>
        <v>0</v>
      </c>
      <c r="W1641" s="12">
        <f t="shared" si="53"/>
        <v>0</v>
      </c>
      <c r="X1641" s="8" t="s">
        <v>2694</v>
      </c>
      <c r="Y1641" s="8" t="s">
        <v>2574</v>
      </c>
      <c r="Z1641" s="8" t="s">
        <v>2680</v>
      </c>
      <c r="AA1641" s="8" t="s">
        <v>111</v>
      </c>
      <c r="AB1641" s="8" t="s">
        <v>36</v>
      </c>
      <c r="AC1641" s="8" t="s">
        <v>37</v>
      </c>
      <c r="AD1641" s="8" t="s">
        <v>2340</v>
      </c>
      <c r="AE1641" s="8" t="s">
        <v>2208</v>
      </c>
      <c r="AF1641" s="8" t="s">
        <v>2211</v>
      </c>
      <c r="AG1641" s="9">
        <v>7510140</v>
      </c>
      <c r="AH1641" s="11">
        <f>_xlfn.XLOOKUP(B1641,[1]Sheet1!$B:$B,[1]Sheet1!$AB:$AB,0)</f>
        <v>0</v>
      </c>
    </row>
    <row r="1642" spans="2:34" ht="16.8" thickTop="1" thickBot="1" x14ac:dyDescent="0.35">
      <c r="B1642" s="3" t="str">
        <f t="shared" si="52"/>
        <v>451018445170000764510777426212200104</v>
      </c>
      <c r="C1642" s="6" t="s">
        <v>2681</v>
      </c>
      <c r="D1642" s="6" t="s">
        <v>2682</v>
      </c>
      <c r="E1642" s="6" t="s">
        <v>2683</v>
      </c>
      <c r="F1642" s="6" t="s">
        <v>2564</v>
      </c>
      <c r="G1642" s="4" t="s">
        <v>2814</v>
      </c>
      <c r="H1642" s="4" t="s">
        <v>2922</v>
      </c>
      <c r="I1642" s="6" t="s">
        <v>96</v>
      </c>
      <c r="J1642" s="6" t="s">
        <v>31</v>
      </c>
      <c r="K1642" s="12">
        <f>_xlfn.XLOOKUP(B1642,[1]Sheet1!$B:$B,[1]Sheet1!$N:$N,0)</f>
        <v>0</v>
      </c>
      <c r="L1642" s="12">
        <f>_xlfn.XLOOKUP(B1642,[1]Sheet1!$B:$B,[1]Sheet1!$O:$O,0)</f>
        <v>0</v>
      </c>
      <c r="M1642" s="12">
        <f>_xlfn.XLOOKUP(B1642,[1]Sheet1!$B:$B,[1]Sheet1!$P:$P,0)</f>
        <v>0</v>
      </c>
      <c r="N1642" s="12">
        <f>_xlfn.XLOOKUP(B1642,[1]Sheet1!$B:$B,[1]Sheet1!$Q:$Q,0)</f>
        <v>0</v>
      </c>
      <c r="O1642" s="12">
        <f>_xlfn.XLOOKUP(B1642,[1]Sheet1!$B:$B,[1]Sheet1!$R:$R,0)</f>
        <v>0</v>
      </c>
      <c r="P1642" s="12">
        <f>_xlfn.XLOOKUP(B1642,[1]Sheet1!$B:$B,[1]Sheet1!$S:$S,0)</f>
        <v>0</v>
      </c>
      <c r="Q1642" s="12">
        <f>_xlfn.XLOOKUP(B1642,[1]Sheet1!$B:$B,[1]Sheet1!$T:$T,0)</f>
        <v>0</v>
      </c>
      <c r="R1642" s="12">
        <f>_xlfn.XLOOKUP(B1642,[1]Sheet1!$B:$B,[1]Sheet1!$U:$U,0)</f>
        <v>0</v>
      </c>
      <c r="S1642" s="12">
        <f>_xlfn.XLOOKUP(B1642,[1]Sheet1!$B:$B,[1]Sheet1!$V:$V,0)</f>
        <v>0</v>
      </c>
      <c r="T1642" s="12">
        <f>_xlfn.XLOOKUP(B1642,[1]Sheet1!$B:$B,[1]Sheet1!$W:$W,0)</f>
        <v>0</v>
      </c>
      <c r="U1642" s="12">
        <f>_xlfn.XLOOKUP(B1642,[1]Sheet1!$B:$B,[1]Sheet1!$X:$X,0)</f>
        <v>0</v>
      </c>
      <c r="V1642" s="12">
        <f>_xlfn.XLOOKUP(B1642,[1]Sheet1!$B:$B,[1]Sheet1!$Y:$Y,0)</f>
        <v>0</v>
      </c>
      <c r="W1642" s="12">
        <f t="shared" si="53"/>
        <v>0</v>
      </c>
      <c r="X1642" s="6" t="s">
        <v>2695</v>
      </c>
      <c r="Y1642" s="6" t="s">
        <v>2574</v>
      </c>
      <c r="Z1642" s="6" t="s">
        <v>2680</v>
      </c>
      <c r="AA1642" s="6" t="s">
        <v>96</v>
      </c>
      <c r="AB1642" s="6" t="s">
        <v>36</v>
      </c>
      <c r="AC1642" s="6" t="s">
        <v>37</v>
      </c>
      <c r="AD1642" s="6" t="s">
        <v>2340</v>
      </c>
      <c r="AE1642" s="6" t="s">
        <v>2208</v>
      </c>
      <c r="AF1642" s="6" t="s">
        <v>2211</v>
      </c>
      <c r="AG1642" s="7">
        <v>700000</v>
      </c>
      <c r="AH1642" s="11">
        <f>_xlfn.XLOOKUP(B1642,[1]Sheet1!$B:$B,[1]Sheet1!$AB:$AB,0)</f>
        <v>0</v>
      </c>
    </row>
    <row r="1643" spans="2:34" ht="16.8" thickTop="1" thickBot="1" x14ac:dyDescent="0.35">
      <c r="B1643" s="3" t="str">
        <f t="shared" si="52"/>
        <v>451018445170000764510777426214200104</v>
      </c>
      <c r="C1643" s="8" t="s">
        <v>2681</v>
      </c>
      <c r="D1643" s="8" t="s">
        <v>2682</v>
      </c>
      <c r="E1643" s="8" t="s">
        <v>2683</v>
      </c>
      <c r="F1643" s="8" t="s">
        <v>2564</v>
      </c>
      <c r="G1643" s="4" t="s">
        <v>2889</v>
      </c>
      <c r="H1643" s="4" t="s">
        <v>2922</v>
      </c>
      <c r="I1643" s="8" t="s">
        <v>2343</v>
      </c>
      <c r="J1643" s="8" t="s">
        <v>31</v>
      </c>
      <c r="K1643" s="12">
        <f>_xlfn.XLOOKUP(B1643,[1]Sheet1!$B:$B,[1]Sheet1!$N:$N,0)</f>
        <v>0</v>
      </c>
      <c r="L1643" s="12">
        <f>_xlfn.XLOOKUP(B1643,[1]Sheet1!$B:$B,[1]Sheet1!$O:$O,0)</f>
        <v>0</v>
      </c>
      <c r="M1643" s="12">
        <f>_xlfn.XLOOKUP(B1643,[1]Sheet1!$B:$B,[1]Sheet1!$P:$P,0)</f>
        <v>0</v>
      </c>
      <c r="N1643" s="12">
        <f>_xlfn.XLOOKUP(B1643,[1]Sheet1!$B:$B,[1]Sheet1!$Q:$Q,0)</f>
        <v>0</v>
      </c>
      <c r="O1643" s="12">
        <f>_xlfn.XLOOKUP(B1643,[1]Sheet1!$B:$B,[1]Sheet1!$R:$R,0)</f>
        <v>0</v>
      </c>
      <c r="P1643" s="12">
        <f>_xlfn.XLOOKUP(B1643,[1]Sheet1!$B:$B,[1]Sheet1!$S:$S,0)</f>
        <v>0</v>
      </c>
      <c r="Q1643" s="12">
        <f>_xlfn.XLOOKUP(B1643,[1]Sheet1!$B:$B,[1]Sheet1!$T:$T,0)</f>
        <v>0</v>
      </c>
      <c r="R1643" s="12">
        <f>_xlfn.XLOOKUP(B1643,[1]Sheet1!$B:$B,[1]Sheet1!$U:$U,0)</f>
        <v>0</v>
      </c>
      <c r="S1643" s="12">
        <f>_xlfn.XLOOKUP(B1643,[1]Sheet1!$B:$B,[1]Sheet1!$V:$V,0)</f>
        <v>0</v>
      </c>
      <c r="T1643" s="12">
        <f>_xlfn.XLOOKUP(B1643,[1]Sheet1!$B:$B,[1]Sheet1!$W:$W,0)</f>
        <v>0</v>
      </c>
      <c r="U1643" s="12">
        <f>_xlfn.XLOOKUP(B1643,[1]Sheet1!$B:$B,[1]Sheet1!$X:$X,0)</f>
        <v>0</v>
      </c>
      <c r="V1643" s="12">
        <f>_xlfn.XLOOKUP(B1643,[1]Sheet1!$B:$B,[1]Sheet1!$Y:$Y,0)</f>
        <v>0</v>
      </c>
      <c r="W1643" s="12">
        <f t="shared" si="53"/>
        <v>0</v>
      </c>
      <c r="X1643" s="8" t="s">
        <v>2696</v>
      </c>
      <c r="Y1643" s="8" t="s">
        <v>2574</v>
      </c>
      <c r="Z1643" s="8" t="s">
        <v>2680</v>
      </c>
      <c r="AA1643" s="8" t="s">
        <v>2343</v>
      </c>
      <c r="AB1643" s="8" t="s">
        <v>36</v>
      </c>
      <c r="AC1643" s="8" t="s">
        <v>37</v>
      </c>
      <c r="AD1643" s="8" t="s">
        <v>2340</v>
      </c>
      <c r="AE1643" s="8" t="s">
        <v>2208</v>
      </c>
      <c r="AF1643" s="8" t="s">
        <v>2211</v>
      </c>
      <c r="AG1643" s="9">
        <v>500000</v>
      </c>
      <c r="AH1643" s="11">
        <f>_xlfn.XLOOKUP(B1643,[1]Sheet1!$B:$B,[1]Sheet1!$AB:$AB,0)</f>
        <v>0</v>
      </c>
    </row>
    <row r="1644" spans="2:34" ht="16.8" thickTop="1" thickBot="1" x14ac:dyDescent="0.35">
      <c r="B1644" s="3" t="str">
        <f t="shared" si="52"/>
        <v>451041045170000774510701422511200104</v>
      </c>
      <c r="C1644" s="6" t="s">
        <v>2607</v>
      </c>
      <c r="D1644" s="6" t="s">
        <v>2697</v>
      </c>
      <c r="E1644" s="6" t="s">
        <v>2698</v>
      </c>
      <c r="F1644" s="6" t="s">
        <v>2536</v>
      </c>
      <c r="G1644" s="4" t="s">
        <v>2819</v>
      </c>
      <c r="H1644" s="4" t="s">
        <v>2922</v>
      </c>
      <c r="I1644" s="6" t="s">
        <v>151</v>
      </c>
      <c r="J1644" s="6" t="s">
        <v>31</v>
      </c>
      <c r="K1644" s="12">
        <f>_xlfn.XLOOKUP(B1644,[1]Sheet1!$B:$B,[1]Sheet1!$N:$N,0)</f>
        <v>0</v>
      </c>
      <c r="L1644" s="12">
        <f>_xlfn.XLOOKUP(B1644,[1]Sheet1!$B:$B,[1]Sheet1!$O:$O,0)</f>
        <v>0</v>
      </c>
      <c r="M1644" s="12">
        <f>_xlfn.XLOOKUP(B1644,[1]Sheet1!$B:$B,[1]Sheet1!$P:$P,0)</f>
        <v>0</v>
      </c>
      <c r="N1644" s="12">
        <f>_xlfn.XLOOKUP(B1644,[1]Sheet1!$B:$B,[1]Sheet1!$Q:$Q,0)</f>
        <v>0</v>
      </c>
      <c r="O1644" s="12">
        <f>_xlfn.XLOOKUP(B1644,[1]Sheet1!$B:$B,[1]Sheet1!$R:$R,0)</f>
        <v>0</v>
      </c>
      <c r="P1644" s="12">
        <f>_xlfn.XLOOKUP(B1644,[1]Sheet1!$B:$B,[1]Sheet1!$S:$S,0)</f>
        <v>0</v>
      </c>
      <c r="Q1644" s="12">
        <f>_xlfn.XLOOKUP(B1644,[1]Sheet1!$B:$B,[1]Sheet1!$T:$T,0)</f>
        <v>0</v>
      </c>
      <c r="R1644" s="12">
        <f>_xlfn.XLOOKUP(B1644,[1]Sheet1!$B:$B,[1]Sheet1!$U:$U,0)</f>
        <v>0</v>
      </c>
      <c r="S1644" s="12">
        <f>_xlfn.XLOOKUP(B1644,[1]Sheet1!$B:$B,[1]Sheet1!$V:$V,0)</f>
        <v>0</v>
      </c>
      <c r="T1644" s="12">
        <f>_xlfn.XLOOKUP(B1644,[1]Sheet1!$B:$B,[1]Sheet1!$W:$W,0)</f>
        <v>0</v>
      </c>
      <c r="U1644" s="12">
        <f>_xlfn.XLOOKUP(B1644,[1]Sheet1!$B:$B,[1]Sheet1!$X:$X,0)</f>
        <v>0</v>
      </c>
      <c r="V1644" s="12">
        <f>_xlfn.XLOOKUP(B1644,[1]Sheet1!$B:$B,[1]Sheet1!$Y:$Y,0)</f>
        <v>0</v>
      </c>
      <c r="W1644" s="12">
        <f t="shared" si="53"/>
        <v>0</v>
      </c>
      <c r="X1644" s="6" t="s">
        <v>2699</v>
      </c>
      <c r="Y1644" s="6" t="s">
        <v>2700</v>
      </c>
      <c r="Z1644" s="6" t="s">
        <v>2701</v>
      </c>
      <c r="AA1644" s="6" t="s">
        <v>151</v>
      </c>
      <c r="AB1644" s="6" t="s">
        <v>36</v>
      </c>
      <c r="AC1644" s="6" t="s">
        <v>37</v>
      </c>
      <c r="AD1644" s="6" t="s">
        <v>2340</v>
      </c>
      <c r="AE1644" s="6" t="s">
        <v>2208</v>
      </c>
      <c r="AF1644" s="6" t="s">
        <v>2211</v>
      </c>
      <c r="AG1644" s="7">
        <v>13370000</v>
      </c>
      <c r="AH1644" s="11">
        <f>_xlfn.XLOOKUP(B1644,[1]Sheet1!$B:$B,[1]Sheet1!$AB:$AB,0)</f>
        <v>0</v>
      </c>
    </row>
    <row r="1645" spans="2:34" ht="16.8" thickTop="1" thickBot="1" x14ac:dyDescent="0.35">
      <c r="B1645" s="3" t="str">
        <f t="shared" si="52"/>
        <v>451041045170000774510702432625200104</v>
      </c>
      <c r="C1645" s="8" t="s">
        <v>2607</v>
      </c>
      <c r="D1645" s="8" t="s">
        <v>2697</v>
      </c>
      <c r="E1645" s="8" t="s">
        <v>2698</v>
      </c>
      <c r="F1645" s="8" t="s">
        <v>2470</v>
      </c>
      <c r="G1645" s="4" t="s">
        <v>2907</v>
      </c>
      <c r="H1645" s="4" t="s">
        <v>2922</v>
      </c>
      <c r="I1645" s="8" t="s">
        <v>2471</v>
      </c>
      <c r="J1645" s="8" t="s">
        <v>31</v>
      </c>
      <c r="K1645" s="12">
        <f>_xlfn.XLOOKUP(B1645,[1]Sheet1!$B:$B,[1]Sheet1!$N:$N,0)</f>
        <v>0</v>
      </c>
      <c r="L1645" s="12">
        <f>_xlfn.XLOOKUP(B1645,[1]Sheet1!$B:$B,[1]Sheet1!$O:$O,0)</f>
        <v>0</v>
      </c>
      <c r="M1645" s="12">
        <f>_xlfn.XLOOKUP(B1645,[1]Sheet1!$B:$B,[1]Sheet1!$P:$P,0)</f>
        <v>0</v>
      </c>
      <c r="N1645" s="12">
        <f>_xlfn.XLOOKUP(B1645,[1]Sheet1!$B:$B,[1]Sheet1!$Q:$Q,0)</f>
        <v>0</v>
      </c>
      <c r="O1645" s="12">
        <f>_xlfn.XLOOKUP(B1645,[1]Sheet1!$B:$B,[1]Sheet1!$R:$R,0)</f>
        <v>0</v>
      </c>
      <c r="P1645" s="12">
        <f>_xlfn.XLOOKUP(B1645,[1]Sheet1!$B:$B,[1]Sheet1!$S:$S,0)</f>
        <v>0</v>
      </c>
      <c r="Q1645" s="12">
        <f>_xlfn.XLOOKUP(B1645,[1]Sheet1!$B:$B,[1]Sheet1!$T:$T,0)</f>
        <v>0</v>
      </c>
      <c r="R1645" s="12">
        <f>_xlfn.XLOOKUP(B1645,[1]Sheet1!$B:$B,[1]Sheet1!$U:$U,0)</f>
        <v>0</v>
      </c>
      <c r="S1645" s="12">
        <f>_xlfn.XLOOKUP(B1645,[1]Sheet1!$B:$B,[1]Sheet1!$V:$V,0)</f>
        <v>0</v>
      </c>
      <c r="T1645" s="12">
        <f>_xlfn.XLOOKUP(B1645,[1]Sheet1!$B:$B,[1]Sheet1!$W:$W,0)</f>
        <v>0</v>
      </c>
      <c r="U1645" s="12">
        <f>_xlfn.XLOOKUP(B1645,[1]Sheet1!$B:$B,[1]Sheet1!$X:$X,0)</f>
        <v>0</v>
      </c>
      <c r="V1645" s="12">
        <f>_xlfn.XLOOKUP(B1645,[1]Sheet1!$B:$B,[1]Sheet1!$Y:$Y,0)</f>
        <v>0</v>
      </c>
      <c r="W1645" s="12">
        <f t="shared" si="53"/>
        <v>0</v>
      </c>
      <c r="X1645" s="8" t="s">
        <v>2702</v>
      </c>
      <c r="Y1645" s="8" t="s">
        <v>2700</v>
      </c>
      <c r="Z1645" s="8" t="s">
        <v>2701</v>
      </c>
      <c r="AA1645" s="8" t="s">
        <v>2471</v>
      </c>
      <c r="AB1645" s="8" t="s">
        <v>36</v>
      </c>
      <c r="AC1645" s="8" t="s">
        <v>37</v>
      </c>
      <c r="AD1645" s="8" t="s">
        <v>2340</v>
      </c>
      <c r="AE1645" s="8" t="s">
        <v>2208</v>
      </c>
      <c r="AF1645" s="8" t="s">
        <v>2211</v>
      </c>
      <c r="AG1645" s="9">
        <v>17930403</v>
      </c>
      <c r="AH1645" s="11">
        <f>_xlfn.XLOOKUP(B1645,[1]Sheet1!$B:$B,[1]Sheet1!$AB:$AB,0)</f>
        <v>0</v>
      </c>
    </row>
    <row r="1646" spans="2:34" ht="16.8" thickTop="1" thickBot="1" x14ac:dyDescent="0.35">
      <c r="B1646" s="3" t="str">
        <f t="shared" si="52"/>
        <v>451041045170000774510709424661200104</v>
      </c>
      <c r="C1646" s="6" t="s">
        <v>2607</v>
      </c>
      <c r="D1646" s="6" t="s">
        <v>2697</v>
      </c>
      <c r="E1646" s="6" t="s">
        <v>2698</v>
      </c>
      <c r="F1646" s="6" t="s">
        <v>2703</v>
      </c>
      <c r="G1646" s="4" t="s">
        <v>2903</v>
      </c>
      <c r="H1646" s="4" t="s">
        <v>2922</v>
      </c>
      <c r="I1646" s="6" t="s">
        <v>2444</v>
      </c>
      <c r="J1646" s="6" t="s">
        <v>31</v>
      </c>
      <c r="K1646" s="12">
        <f>_xlfn.XLOOKUP(B1646,[1]Sheet1!$B:$B,[1]Sheet1!$N:$N,0)</f>
        <v>0</v>
      </c>
      <c r="L1646" s="12">
        <f>_xlfn.XLOOKUP(B1646,[1]Sheet1!$B:$B,[1]Sheet1!$O:$O,0)</f>
        <v>0</v>
      </c>
      <c r="M1646" s="12">
        <f>_xlfn.XLOOKUP(B1646,[1]Sheet1!$B:$B,[1]Sheet1!$P:$P,0)</f>
        <v>0</v>
      </c>
      <c r="N1646" s="12">
        <f>_xlfn.XLOOKUP(B1646,[1]Sheet1!$B:$B,[1]Sheet1!$Q:$Q,0)</f>
        <v>0</v>
      </c>
      <c r="O1646" s="12">
        <f>_xlfn.XLOOKUP(B1646,[1]Sheet1!$B:$B,[1]Sheet1!$R:$R,0)</f>
        <v>0</v>
      </c>
      <c r="P1646" s="12">
        <f>_xlfn.XLOOKUP(B1646,[1]Sheet1!$B:$B,[1]Sheet1!$S:$S,0)</f>
        <v>0</v>
      </c>
      <c r="Q1646" s="12">
        <f>_xlfn.XLOOKUP(B1646,[1]Sheet1!$B:$B,[1]Sheet1!$T:$T,0)</f>
        <v>0</v>
      </c>
      <c r="R1646" s="12">
        <f>_xlfn.XLOOKUP(B1646,[1]Sheet1!$B:$B,[1]Sheet1!$U:$U,0)</f>
        <v>0</v>
      </c>
      <c r="S1646" s="12">
        <f>_xlfn.XLOOKUP(B1646,[1]Sheet1!$B:$B,[1]Sheet1!$V:$V,0)</f>
        <v>0</v>
      </c>
      <c r="T1646" s="12">
        <f>_xlfn.XLOOKUP(B1646,[1]Sheet1!$B:$B,[1]Sheet1!$W:$W,0)</f>
        <v>0</v>
      </c>
      <c r="U1646" s="12">
        <f>_xlfn.XLOOKUP(B1646,[1]Sheet1!$B:$B,[1]Sheet1!$X:$X,0)</f>
        <v>0</v>
      </c>
      <c r="V1646" s="12">
        <f>_xlfn.XLOOKUP(B1646,[1]Sheet1!$B:$B,[1]Sheet1!$Y:$Y,0)</f>
        <v>0</v>
      </c>
      <c r="W1646" s="12">
        <f t="shared" si="53"/>
        <v>0</v>
      </c>
      <c r="X1646" s="6" t="s">
        <v>2704</v>
      </c>
      <c r="Y1646" s="6" t="s">
        <v>2700</v>
      </c>
      <c r="Z1646" s="6" t="s">
        <v>2701</v>
      </c>
      <c r="AA1646" s="6" t="s">
        <v>2444</v>
      </c>
      <c r="AB1646" s="6" t="s">
        <v>36</v>
      </c>
      <c r="AC1646" s="6" t="s">
        <v>37</v>
      </c>
      <c r="AD1646" s="6" t="s">
        <v>2340</v>
      </c>
      <c r="AE1646" s="6" t="s">
        <v>2208</v>
      </c>
      <c r="AF1646" s="6" t="s">
        <v>2211</v>
      </c>
      <c r="AG1646" s="7">
        <v>750000</v>
      </c>
      <c r="AH1646" s="11">
        <f>_xlfn.XLOOKUP(B1646,[1]Sheet1!$B:$B,[1]Sheet1!$AB:$AB,0)</f>
        <v>0</v>
      </c>
    </row>
    <row r="1647" spans="2:34" ht="16.8" thickTop="1" thickBot="1" x14ac:dyDescent="0.35">
      <c r="B1647" s="3" t="str">
        <f t="shared" si="52"/>
        <v>451041045170000774510713422411200104</v>
      </c>
      <c r="C1647" s="8" t="s">
        <v>2607</v>
      </c>
      <c r="D1647" s="8" t="s">
        <v>2697</v>
      </c>
      <c r="E1647" s="8" t="s">
        <v>2698</v>
      </c>
      <c r="F1647" s="8" t="s">
        <v>2383</v>
      </c>
      <c r="G1647" s="4" t="s">
        <v>2896</v>
      </c>
      <c r="H1647" s="4" t="s">
        <v>2922</v>
      </c>
      <c r="I1647" s="8" t="s">
        <v>2384</v>
      </c>
      <c r="J1647" s="8" t="s">
        <v>31</v>
      </c>
      <c r="K1647" s="12">
        <f>_xlfn.XLOOKUP(B1647,[1]Sheet1!$B:$B,[1]Sheet1!$N:$N,0)</f>
        <v>0</v>
      </c>
      <c r="L1647" s="12">
        <f>_xlfn.XLOOKUP(B1647,[1]Sheet1!$B:$B,[1]Sheet1!$O:$O,0)</f>
        <v>0</v>
      </c>
      <c r="M1647" s="12">
        <f>_xlfn.XLOOKUP(B1647,[1]Sheet1!$B:$B,[1]Sheet1!$P:$P,0)</f>
        <v>0</v>
      </c>
      <c r="N1647" s="12">
        <f>_xlfn.XLOOKUP(B1647,[1]Sheet1!$B:$B,[1]Sheet1!$Q:$Q,0)</f>
        <v>0</v>
      </c>
      <c r="O1647" s="12">
        <f>_xlfn.XLOOKUP(B1647,[1]Sheet1!$B:$B,[1]Sheet1!$R:$R,0)</f>
        <v>0</v>
      </c>
      <c r="P1647" s="12">
        <f>_xlfn.XLOOKUP(B1647,[1]Sheet1!$B:$B,[1]Sheet1!$S:$S,0)</f>
        <v>0</v>
      </c>
      <c r="Q1647" s="12">
        <f>_xlfn.XLOOKUP(B1647,[1]Sheet1!$B:$B,[1]Sheet1!$T:$T,0)</f>
        <v>0</v>
      </c>
      <c r="R1647" s="12">
        <f>_xlfn.XLOOKUP(B1647,[1]Sheet1!$B:$B,[1]Sheet1!$U:$U,0)</f>
        <v>0</v>
      </c>
      <c r="S1647" s="12">
        <f>_xlfn.XLOOKUP(B1647,[1]Sheet1!$B:$B,[1]Sheet1!$V:$V,0)</f>
        <v>0</v>
      </c>
      <c r="T1647" s="12">
        <f>_xlfn.XLOOKUP(B1647,[1]Sheet1!$B:$B,[1]Sheet1!$W:$W,0)</f>
        <v>0</v>
      </c>
      <c r="U1647" s="12">
        <f>_xlfn.XLOOKUP(B1647,[1]Sheet1!$B:$B,[1]Sheet1!$X:$X,0)</f>
        <v>0</v>
      </c>
      <c r="V1647" s="12">
        <f>_xlfn.XLOOKUP(B1647,[1]Sheet1!$B:$B,[1]Sheet1!$Y:$Y,0)</f>
        <v>0</v>
      </c>
      <c r="W1647" s="12">
        <f t="shared" si="53"/>
        <v>0</v>
      </c>
      <c r="X1647" s="8" t="s">
        <v>2705</v>
      </c>
      <c r="Y1647" s="8" t="s">
        <v>2700</v>
      </c>
      <c r="Z1647" s="8" t="s">
        <v>2701</v>
      </c>
      <c r="AA1647" s="8" t="s">
        <v>2386</v>
      </c>
      <c r="AB1647" s="8" t="s">
        <v>36</v>
      </c>
      <c r="AC1647" s="8" t="s">
        <v>37</v>
      </c>
      <c r="AD1647" s="8" t="s">
        <v>2340</v>
      </c>
      <c r="AE1647" s="8" t="s">
        <v>2208</v>
      </c>
      <c r="AF1647" s="8" t="s">
        <v>2211</v>
      </c>
      <c r="AG1647" s="9">
        <v>3254767</v>
      </c>
      <c r="AH1647" s="11">
        <f>_xlfn.XLOOKUP(B1647,[1]Sheet1!$B:$B,[1]Sheet1!$AB:$AB,0)</f>
        <v>0</v>
      </c>
    </row>
    <row r="1648" spans="2:34" ht="16.8" thickTop="1" thickBot="1" x14ac:dyDescent="0.35">
      <c r="B1648" s="3" t="str">
        <f t="shared" si="52"/>
        <v>451041045170000774510714424551200104</v>
      </c>
      <c r="C1648" s="6" t="s">
        <v>2607</v>
      </c>
      <c r="D1648" s="6" t="s">
        <v>2697</v>
      </c>
      <c r="E1648" s="6" t="s">
        <v>2698</v>
      </c>
      <c r="F1648" s="6" t="s">
        <v>2341</v>
      </c>
      <c r="G1648" s="4" t="s">
        <v>2817</v>
      </c>
      <c r="H1648" s="4" t="s">
        <v>2922</v>
      </c>
      <c r="I1648" s="6" t="s">
        <v>108</v>
      </c>
      <c r="J1648" s="6" t="s">
        <v>31</v>
      </c>
      <c r="K1648" s="12">
        <f>_xlfn.XLOOKUP(B1648,[1]Sheet1!$B:$B,[1]Sheet1!$N:$N,0)</f>
        <v>0</v>
      </c>
      <c r="L1648" s="12">
        <f>_xlfn.XLOOKUP(B1648,[1]Sheet1!$B:$B,[1]Sheet1!$O:$O,0)</f>
        <v>0</v>
      </c>
      <c r="M1648" s="12">
        <f>_xlfn.XLOOKUP(B1648,[1]Sheet1!$B:$B,[1]Sheet1!$P:$P,0)</f>
        <v>0</v>
      </c>
      <c r="N1648" s="12">
        <f>_xlfn.XLOOKUP(B1648,[1]Sheet1!$B:$B,[1]Sheet1!$Q:$Q,0)</f>
        <v>0</v>
      </c>
      <c r="O1648" s="12">
        <f>_xlfn.XLOOKUP(B1648,[1]Sheet1!$B:$B,[1]Sheet1!$R:$R,0)</f>
        <v>0</v>
      </c>
      <c r="P1648" s="12">
        <f>_xlfn.XLOOKUP(B1648,[1]Sheet1!$B:$B,[1]Sheet1!$S:$S,0)</f>
        <v>0</v>
      </c>
      <c r="Q1648" s="12">
        <f>_xlfn.XLOOKUP(B1648,[1]Sheet1!$B:$B,[1]Sheet1!$T:$T,0)</f>
        <v>0</v>
      </c>
      <c r="R1648" s="12">
        <f>_xlfn.XLOOKUP(B1648,[1]Sheet1!$B:$B,[1]Sheet1!$U:$U,0)</f>
        <v>0</v>
      </c>
      <c r="S1648" s="12">
        <f>_xlfn.XLOOKUP(B1648,[1]Sheet1!$B:$B,[1]Sheet1!$V:$V,0)</f>
        <v>0</v>
      </c>
      <c r="T1648" s="12">
        <f>_xlfn.XLOOKUP(B1648,[1]Sheet1!$B:$B,[1]Sheet1!$W:$W,0)</f>
        <v>0</v>
      </c>
      <c r="U1648" s="12">
        <f>_xlfn.XLOOKUP(B1648,[1]Sheet1!$B:$B,[1]Sheet1!$X:$X,0)</f>
        <v>0</v>
      </c>
      <c r="V1648" s="12">
        <f>_xlfn.XLOOKUP(B1648,[1]Sheet1!$B:$B,[1]Sheet1!$Y:$Y,0)</f>
        <v>0</v>
      </c>
      <c r="W1648" s="12">
        <f t="shared" si="53"/>
        <v>0</v>
      </c>
      <c r="X1648" s="6" t="s">
        <v>2706</v>
      </c>
      <c r="Y1648" s="6" t="s">
        <v>2700</v>
      </c>
      <c r="Z1648" s="6" t="s">
        <v>2701</v>
      </c>
      <c r="AA1648" s="6" t="s">
        <v>108</v>
      </c>
      <c r="AB1648" s="6" t="s">
        <v>36</v>
      </c>
      <c r="AC1648" s="6" t="s">
        <v>37</v>
      </c>
      <c r="AD1648" s="6" t="s">
        <v>2340</v>
      </c>
      <c r="AE1648" s="6" t="s">
        <v>2208</v>
      </c>
      <c r="AF1648" s="6" t="s">
        <v>2211</v>
      </c>
      <c r="AG1648" s="7">
        <v>1200000</v>
      </c>
      <c r="AH1648" s="11">
        <f>_xlfn.XLOOKUP(B1648,[1]Sheet1!$B:$B,[1]Sheet1!$AB:$AB,0)</f>
        <v>0</v>
      </c>
    </row>
    <row r="1649" spans="2:34" ht="16.8" thickTop="1" thickBot="1" x14ac:dyDescent="0.35">
      <c r="B1649" s="3" t="str">
        <f t="shared" si="52"/>
        <v>451041045170000774510714424721200104</v>
      </c>
      <c r="C1649" s="8" t="s">
        <v>2607</v>
      </c>
      <c r="D1649" s="8" t="s">
        <v>2697</v>
      </c>
      <c r="E1649" s="8" t="s">
        <v>2698</v>
      </c>
      <c r="F1649" s="8" t="s">
        <v>2341</v>
      </c>
      <c r="G1649" s="4" t="s">
        <v>2877</v>
      </c>
      <c r="H1649" s="4" t="s">
        <v>2922</v>
      </c>
      <c r="I1649" s="8" t="s">
        <v>1822</v>
      </c>
      <c r="J1649" s="8" t="s">
        <v>31</v>
      </c>
      <c r="K1649" s="12">
        <f>_xlfn.XLOOKUP(B1649,[1]Sheet1!$B:$B,[1]Sheet1!$N:$N,0)</f>
        <v>0</v>
      </c>
      <c r="L1649" s="12">
        <f>_xlfn.XLOOKUP(B1649,[1]Sheet1!$B:$B,[1]Sheet1!$O:$O,0)</f>
        <v>0</v>
      </c>
      <c r="M1649" s="12">
        <f>_xlfn.XLOOKUP(B1649,[1]Sheet1!$B:$B,[1]Sheet1!$P:$P,0)</f>
        <v>0</v>
      </c>
      <c r="N1649" s="12">
        <f>_xlfn.XLOOKUP(B1649,[1]Sheet1!$B:$B,[1]Sheet1!$Q:$Q,0)</f>
        <v>0</v>
      </c>
      <c r="O1649" s="12">
        <f>_xlfn.XLOOKUP(B1649,[1]Sheet1!$B:$B,[1]Sheet1!$R:$R,0)</f>
        <v>0</v>
      </c>
      <c r="P1649" s="12">
        <f>_xlfn.XLOOKUP(B1649,[1]Sheet1!$B:$B,[1]Sheet1!$S:$S,0)</f>
        <v>0</v>
      </c>
      <c r="Q1649" s="12">
        <f>_xlfn.XLOOKUP(B1649,[1]Sheet1!$B:$B,[1]Sheet1!$T:$T,0)</f>
        <v>0</v>
      </c>
      <c r="R1649" s="12">
        <f>_xlfn.XLOOKUP(B1649,[1]Sheet1!$B:$B,[1]Sheet1!$U:$U,0)</f>
        <v>0</v>
      </c>
      <c r="S1649" s="12">
        <f>_xlfn.XLOOKUP(B1649,[1]Sheet1!$B:$B,[1]Sheet1!$V:$V,0)</f>
        <v>0</v>
      </c>
      <c r="T1649" s="12">
        <f>_xlfn.XLOOKUP(B1649,[1]Sheet1!$B:$B,[1]Sheet1!$W:$W,0)</f>
        <v>0</v>
      </c>
      <c r="U1649" s="12">
        <f>_xlfn.XLOOKUP(B1649,[1]Sheet1!$B:$B,[1]Sheet1!$X:$X,0)</f>
        <v>0</v>
      </c>
      <c r="V1649" s="12">
        <f>_xlfn.XLOOKUP(B1649,[1]Sheet1!$B:$B,[1]Sheet1!$Y:$Y,0)</f>
        <v>0</v>
      </c>
      <c r="W1649" s="12">
        <f t="shared" si="53"/>
        <v>0</v>
      </c>
      <c r="X1649" s="8" t="s">
        <v>2707</v>
      </c>
      <c r="Y1649" s="8" t="s">
        <v>2700</v>
      </c>
      <c r="Z1649" s="8" t="s">
        <v>2701</v>
      </c>
      <c r="AA1649" s="8" t="s">
        <v>1824</v>
      </c>
      <c r="AB1649" s="8" t="s">
        <v>36</v>
      </c>
      <c r="AC1649" s="8" t="s">
        <v>37</v>
      </c>
      <c r="AD1649" s="8" t="s">
        <v>2340</v>
      </c>
      <c r="AE1649" s="8" t="s">
        <v>2208</v>
      </c>
      <c r="AF1649" s="8" t="s">
        <v>2211</v>
      </c>
      <c r="AG1649" s="9">
        <v>1217740</v>
      </c>
      <c r="AH1649" s="11">
        <f>_xlfn.XLOOKUP(B1649,[1]Sheet1!$B:$B,[1]Sheet1!$AB:$AB,0)</f>
        <v>0</v>
      </c>
    </row>
    <row r="1650" spans="2:34" ht="16.8" thickTop="1" thickBot="1" x14ac:dyDescent="0.35">
      <c r="B1650" s="3" t="str">
        <f t="shared" si="52"/>
        <v>451041045170000774510719422718200104</v>
      </c>
      <c r="C1650" s="6" t="s">
        <v>2607</v>
      </c>
      <c r="D1650" s="6" t="s">
        <v>2697</v>
      </c>
      <c r="E1650" s="6" t="s">
        <v>2698</v>
      </c>
      <c r="F1650" s="6" t="s">
        <v>2349</v>
      </c>
      <c r="G1650" s="4" t="s">
        <v>2891</v>
      </c>
      <c r="H1650" s="4" t="s">
        <v>2922</v>
      </c>
      <c r="I1650" s="6" t="s">
        <v>2350</v>
      </c>
      <c r="J1650" s="6" t="s">
        <v>31</v>
      </c>
      <c r="K1650" s="12">
        <f>_xlfn.XLOOKUP(B1650,[1]Sheet1!$B:$B,[1]Sheet1!$N:$N,0)</f>
        <v>0</v>
      </c>
      <c r="L1650" s="12">
        <f>_xlfn.XLOOKUP(B1650,[1]Sheet1!$B:$B,[1]Sheet1!$O:$O,0)</f>
        <v>0</v>
      </c>
      <c r="M1650" s="12">
        <f>_xlfn.XLOOKUP(B1650,[1]Sheet1!$B:$B,[1]Sheet1!$P:$P,0)</f>
        <v>0</v>
      </c>
      <c r="N1650" s="12">
        <f>_xlfn.XLOOKUP(B1650,[1]Sheet1!$B:$B,[1]Sheet1!$Q:$Q,0)</f>
        <v>0</v>
      </c>
      <c r="O1650" s="12">
        <f>_xlfn.XLOOKUP(B1650,[1]Sheet1!$B:$B,[1]Sheet1!$R:$R,0)</f>
        <v>0</v>
      </c>
      <c r="P1650" s="12">
        <f>_xlfn.XLOOKUP(B1650,[1]Sheet1!$B:$B,[1]Sheet1!$S:$S,0)</f>
        <v>0</v>
      </c>
      <c r="Q1650" s="12">
        <f>_xlfn.XLOOKUP(B1650,[1]Sheet1!$B:$B,[1]Sheet1!$T:$T,0)</f>
        <v>0</v>
      </c>
      <c r="R1650" s="12">
        <f>_xlfn.XLOOKUP(B1650,[1]Sheet1!$B:$B,[1]Sheet1!$U:$U,0)</f>
        <v>0</v>
      </c>
      <c r="S1650" s="12">
        <f>_xlfn.XLOOKUP(B1650,[1]Sheet1!$B:$B,[1]Sheet1!$V:$V,0)</f>
        <v>0</v>
      </c>
      <c r="T1650" s="12">
        <f>_xlfn.XLOOKUP(B1650,[1]Sheet1!$B:$B,[1]Sheet1!$W:$W,0)</f>
        <v>0</v>
      </c>
      <c r="U1650" s="12">
        <f>_xlfn.XLOOKUP(B1650,[1]Sheet1!$B:$B,[1]Sheet1!$X:$X,0)</f>
        <v>0</v>
      </c>
      <c r="V1650" s="12">
        <f>_xlfn.XLOOKUP(B1650,[1]Sheet1!$B:$B,[1]Sheet1!$Y:$Y,0)</f>
        <v>0</v>
      </c>
      <c r="W1650" s="12">
        <f t="shared" si="53"/>
        <v>0</v>
      </c>
      <c r="X1650" s="6" t="s">
        <v>2708</v>
      </c>
      <c r="Y1650" s="6" t="s">
        <v>2700</v>
      </c>
      <c r="Z1650" s="6" t="s">
        <v>2701</v>
      </c>
      <c r="AA1650" s="6" t="s">
        <v>2350</v>
      </c>
      <c r="AB1650" s="6" t="s">
        <v>36</v>
      </c>
      <c r="AC1650" s="6" t="s">
        <v>37</v>
      </c>
      <c r="AD1650" s="6" t="s">
        <v>2340</v>
      </c>
      <c r="AE1650" s="6" t="s">
        <v>2208</v>
      </c>
      <c r="AF1650" s="6" t="s">
        <v>2211</v>
      </c>
      <c r="AG1650" s="7">
        <v>500000</v>
      </c>
      <c r="AH1650" s="11">
        <f>_xlfn.XLOOKUP(B1650,[1]Sheet1!$B:$B,[1]Sheet1!$AB:$AB,0)</f>
        <v>0</v>
      </c>
    </row>
    <row r="1651" spans="2:34" ht="16.8" thickTop="1" thickBot="1" x14ac:dyDescent="0.35">
      <c r="B1651" s="3" t="str">
        <f t="shared" si="52"/>
        <v>451041045170000774510719422749200104</v>
      </c>
      <c r="C1651" s="8" t="s">
        <v>2607</v>
      </c>
      <c r="D1651" s="8" t="s">
        <v>2697</v>
      </c>
      <c r="E1651" s="8" t="s">
        <v>2698</v>
      </c>
      <c r="F1651" s="8" t="s">
        <v>2349</v>
      </c>
      <c r="G1651" s="4" t="s">
        <v>2842</v>
      </c>
      <c r="H1651" s="4" t="s">
        <v>2922</v>
      </c>
      <c r="I1651" s="8" t="s">
        <v>455</v>
      </c>
      <c r="J1651" s="8" t="s">
        <v>31</v>
      </c>
      <c r="K1651" s="12">
        <f>_xlfn.XLOOKUP(B1651,[1]Sheet1!$B:$B,[1]Sheet1!$N:$N,0)</f>
        <v>0</v>
      </c>
      <c r="L1651" s="12">
        <f>_xlfn.XLOOKUP(B1651,[1]Sheet1!$B:$B,[1]Sheet1!$O:$O,0)</f>
        <v>0</v>
      </c>
      <c r="M1651" s="12">
        <f>_xlfn.XLOOKUP(B1651,[1]Sheet1!$B:$B,[1]Sheet1!$P:$P,0)</f>
        <v>0</v>
      </c>
      <c r="N1651" s="12">
        <f>_xlfn.XLOOKUP(B1651,[1]Sheet1!$B:$B,[1]Sheet1!$Q:$Q,0)</f>
        <v>0</v>
      </c>
      <c r="O1651" s="12">
        <f>_xlfn.XLOOKUP(B1651,[1]Sheet1!$B:$B,[1]Sheet1!$R:$R,0)</f>
        <v>0</v>
      </c>
      <c r="P1651" s="12">
        <f>_xlfn.XLOOKUP(B1651,[1]Sheet1!$B:$B,[1]Sheet1!$S:$S,0)</f>
        <v>0</v>
      </c>
      <c r="Q1651" s="12">
        <f>_xlfn.XLOOKUP(B1651,[1]Sheet1!$B:$B,[1]Sheet1!$T:$T,0)</f>
        <v>0</v>
      </c>
      <c r="R1651" s="12">
        <f>_xlfn.XLOOKUP(B1651,[1]Sheet1!$B:$B,[1]Sheet1!$U:$U,0)</f>
        <v>0</v>
      </c>
      <c r="S1651" s="12">
        <f>_xlfn.XLOOKUP(B1651,[1]Sheet1!$B:$B,[1]Sheet1!$V:$V,0)</f>
        <v>0</v>
      </c>
      <c r="T1651" s="12">
        <f>_xlfn.XLOOKUP(B1651,[1]Sheet1!$B:$B,[1]Sheet1!$W:$W,0)</f>
        <v>0</v>
      </c>
      <c r="U1651" s="12">
        <f>_xlfn.XLOOKUP(B1651,[1]Sheet1!$B:$B,[1]Sheet1!$X:$X,0)</f>
        <v>0</v>
      </c>
      <c r="V1651" s="12">
        <f>_xlfn.XLOOKUP(B1651,[1]Sheet1!$B:$B,[1]Sheet1!$Y:$Y,0)</f>
        <v>0</v>
      </c>
      <c r="W1651" s="12">
        <f t="shared" si="53"/>
        <v>0</v>
      </c>
      <c r="X1651" s="8" t="s">
        <v>2709</v>
      </c>
      <c r="Y1651" s="8" t="s">
        <v>2700</v>
      </c>
      <c r="Z1651" s="8" t="s">
        <v>2701</v>
      </c>
      <c r="AA1651" s="8" t="s">
        <v>455</v>
      </c>
      <c r="AB1651" s="8" t="s">
        <v>36</v>
      </c>
      <c r="AC1651" s="8" t="s">
        <v>37</v>
      </c>
      <c r="AD1651" s="8" t="s">
        <v>2340</v>
      </c>
      <c r="AE1651" s="8" t="s">
        <v>2208</v>
      </c>
      <c r="AF1651" s="8" t="s">
        <v>2211</v>
      </c>
      <c r="AG1651" s="9">
        <v>2562840</v>
      </c>
      <c r="AH1651" s="11">
        <f>_xlfn.XLOOKUP(B1651,[1]Sheet1!$B:$B,[1]Sheet1!$AB:$AB,0)</f>
        <v>0</v>
      </c>
    </row>
    <row r="1652" spans="2:34" ht="16.8" thickTop="1" thickBot="1" x14ac:dyDescent="0.35">
      <c r="B1652" s="3" t="str">
        <f t="shared" si="52"/>
        <v>451041045170000774510723424521200104</v>
      </c>
      <c r="C1652" s="6" t="s">
        <v>2607</v>
      </c>
      <c r="D1652" s="6" t="s">
        <v>2697</v>
      </c>
      <c r="E1652" s="6" t="s">
        <v>2698</v>
      </c>
      <c r="F1652" s="6" t="s">
        <v>2218</v>
      </c>
      <c r="G1652" s="4" t="s">
        <v>2804</v>
      </c>
      <c r="H1652" s="4" t="s">
        <v>2922</v>
      </c>
      <c r="I1652" s="6" t="s">
        <v>53</v>
      </c>
      <c r="J1652" s="6" t="s">
        <v>31</v>
      </c>
      <c r="K1652" s="12">
        <f>_xlfn.XLOOKUP(B1652,[1]Sheet1!$B:$B,[1]Sheet1!$N:$N,0)</f>
        <v>0</v>
      </c>
      <c r="L1652" s="12">
        <f>_xlfn.XLOOKUP(B1652,[1]Sheet1!$B:$B,[1]Sheet1!$O:$O,0)</f>
        <v>0</v>
      </c>
      <c r="M1652" s="12">
        <f>_xlfn.XLOOKUP(B1652,[1]Sheet1!$B:$B,[1]Sheet1!$P:$P,0)</f>
        <v>0</v>
      </c>
      <c r="N1652" s="12">
        <f>_xlfn.XLOOKUP(B1652,[1]Sheet1!$B:$B,[1]Sheet1!$Q:$Q,0)</f>
        <v>0</v>
      </c>
      <c r="O1652" s="12">
        <f>_xlfn.XLOOKUP(B1652,[1]Sheet1!$B:$B,[1]Sheet1!$R:$R,0)</f>
        <v>0</v>
      </c>
      <c r="P1652" s="12">
        <f>_xlfn.XLOOKUP(B1652,[1]Sheet1!$B:$B,[1]Sheet1!$S:$S,0)</f>
        <v>0</v>
      </c>
      <c r="Q1652" s="12">
        <f>_xlfn.XLOOKUP(B1652,[1]Sheet1!$B:$B,[1]Sheet1!$T:$T,0)</f>
        <v>0</v>
      </c>
      <c r="R1652" s="12">
        <f>_xlfn.XLOOKUP(B1652,[1]Sheet1!$B:$B,[1]Sheet1!$U:$U,0)</f>
        <v>0</v>
      </c>
      <c r="S1652" s="12">
        <f>_xlfn.XLOOKUP(B1652,[1]Sheet1!$B:$B,[1]Sheet1!$V:$V,0)</f>
        <v>0</v>
      </c>
      <c r="T1652" s="12">
        <f>_xlfn.XLOOKUP(B1652,[1]Sheet1!$B:$B,[1]Sheet1!$W:$W,0)</f>
        <v>0</v>
      </c>
      <c r="U1652" s="12">
        <f>_xlfn.XLOOKUP(B1652,[1]Sheet1!$B:$B,[1]Sheet1!$X:$X,0)</f>
        <v>0</v>
      </c>
      <c r="V1652" s="12">
        <f>_xlfn.XLOOKUP(B1652,[1]Sheet1!$B:$B,[1]Sheet1!$Y:$Y,0)</f>
        <v>0</v>
      </c>
      <c r="W1652" s="12">
        <f t="shared" si="53"/>
        <v>0</v>
      </c>
      <c r="X1652" s="6" t="s">
        <v>2710</v>
      </c>
      <c r="Y1652" s="6" t="s">
        <v>2700</v>
      </c>
      <c r="Z1652" s="6" t="s">
        <v>2701</v>
      </c>
      <c r="AA1652" s="6" t="s">
        <v>53</v>
      </c>
      <c r="AB1652" s="6" t="s">
        <v>36</v>
      </c>
      <c r="AC1652" s="6" t="s">
        <v>37</v>
      </c>
      <c r="AD1652" s="6" t="s">
        <v>2340</v>
      </c>
      <c r="AE1652" s="6" t="s">
        <v>2208</v>
      </c>
      <c r="AF1652" s="6" t="s">
        <v>2211</v>
      </c>
      <c r="AG1652" s="7">
        <v>10000000</v>
      </c>
      <c r="AH1652" s="11">
        <f>_xlfn.XLOOKUP(B1652,[1]Sheet1!$B:$B,[1]Sheet1!$AB:$AB,0)</f>
        <v>0</v>
      </c>
    </row>
    <row r="1653" spans="2:34" ht="16.8" thickTop="1" thickBot="1" x14ac:dyDescent="0.35">
      <c r="B1653" s="3" t="str">
        <f t="shared" si="52"/>
        <v>451041045170000774510724424151200104</v>
      </c>
      <c r="C1653" s="8" t="s">
        <v>2607</v>
      </c>
      <c r="D1653" s="8" t="s">
        <v>2697</v>
      </c>
      <c r="E1653" s="8" t="s">
        <v>2698</v>
      </c>
      <c r="F1653" s="8" t="s">
        <v>2711</v>
      </c>
      <c r="G1653" s="4" t="s">
        <v>2914</v>
      </c>
      <c r="H1653" s="4" t="s">
        <v>2922</v>
      </c>
      <c r="I1653" s="8" t="s">
        <v>2651</v>
      </c>
      <c r="J1653" s="8" t="s">
        <v>31</v>
      </c>
      <c r="K1653" s="12">
        <f>_xlfn.XLOOKUP(B1653,[1]Sheet1!$B:$B,[1]Sheet1!$N:$N,0)</f>
        <v>0</v>
      </c>
      <c r="L1653" s="12">
        <f>_xlfn.XLOOKUP(B1653,[1]Sheet1!$B:$B,[1]Sheet1!$O:$O,0)</f>
        <v>0</v>
      </c>
      <c r="M1653" s="12">
        <f>_xlfn.XLOOKUP(B1653,[1]Sheet1!$B:$B,[1]Sheet1!$P:$P,0)</f>
        <v>0</v>
      </c>
      <c r="N1653" s="12">
        <f>_xlfn.XLOOKUP(B1653,[1]Sheet1!$B:$B,[1]Sheet1!$Q:$Q,0)</f>
        <v>0</v>
      </c>
      <c r="O1653" s="12">
        <f>_xlfn.XLOOKUP(B1653,[1]Sheet1!$B:$B,[1]Sheet1!$R:$R,0)</f>
        <v>0</v>
      </c>
      <c r="P1653" s="12">
        <f>_xlfn.XLOOKUP(B1653,[1]Sheet1!$B:$B,[1]Sheet1!$S:$S,0)</f>
        <v>0</v>
      </c>
      <c r="Q1653" s="12">
        <f>_xlfn.XLOOKUP(B1653,[1]Sheet1!$B:$B,[1]Sheet1!$T:$T,0)</f>
        <v>0</v>
      </c>
      <c r="R1653" s="12">
        <f>_xlfn.XLOOKUP(B1653,[1]Sheet1!$B:$B,[1]Sheet1!$U:$U,0)</f>
        <v>0</v>
      </c>
      <c r="S1653" s="12">
        <f>_xlfn.XLOOKUP(B1653,[1]Sheet1!$B:$B,[1]Sheet1!$V:$V,0)</f>
        <v>0</v>
      </c>
      <c r="T1653" s="12">
        <f>_xlfn.XLOOKUP(B1653,[1]Sheet1!$B:$B,[1]Sheet1!$W:$W,0)</f>
        <v>0</v>
      </c>
      <c r="U1653" s="12">
        <f>_xlfn.XLOOKUP(B1653,[1]Sheet1!$B:$B,[1]Sheet1!$X:$X,0)</f>
        <v>0</v>
      </c>
      <c r="V1653" s="12">
        <f>_xlfn.XLOOKUP(B1653,[1]Sheet1!$B:$B,[1]Sheet1!$Y:$Y,0)</f>
        <v>0</v>
      </c>
      <c r="W1653" s="12">
        <f t="shared" si="53"/>
        <v>0</v>
      </c>
      <c r="X1653" s="8" t="s">
        <v>2712</v>
      </c>
      <c r="Y1653" s="8" t="s">
        <v>2700</v>
      </c>
      <c r="Z1653" s="8" t="s">
        <v>2701</v>
      </c>
      <c r="AA1653" s="8" t="s">
        <v>2651</v>
      </c>
      <c r="AB1653" s="8" t="s">
        <v>36</v>
      </c>
      <c r="AC1653" s="8" t="s">
        <v>37</v>
      </c>
      <c r="AD1653" s="8" t="s">
        <v>2340</v>
      </c>
      <c r="AE1653" s="8" t="s">
        <v>2208</v>
      </c>
      <c r="AF1653" s="8" t="s">
        <v>2211</v>
      </c>
      <c r="AG1653" s="9">
        <v>1400000</v>
      </c>
      <c r="AH1653" s="11">
        <f>_xlfn.XLOOKUP(B1653,[1]Sheet1!$B:$B,[1]Sheet1!$AB:$AB,0)</f>
        <v>0</v>
      </c>
    </row>
    <row r="1654" spans="2:34" ht="16.8" thickTop="1" thickBot="1" x14ac:dyDescent="0.35">
      <c r="B1654" s="3" t="str">
        <f t="shared" si="52"/>
        <v>451041045170000774510726423821200104</v>
      </c>
      <c r="C1654" s="6" t="s">
        <v>2607</v>
      </c>
      <c r="D1654" s="6" t="s">
        <v>2697</v>
      </c>
      <c r="E1654" s="6" t="s">
        <v>2698</v>
      </c>
      <c r="F1654" s="6" t="s">
        <v>2247</v>
      </c>
      <c r="G1654" s="4" t="s">
        <v>2805</v>
      </c>
      <c r="H1654" s="4" t="s">
        <v>2922</v>
      </c>
      <c r="I1654" s="6" t="s">
        <v>55</v>
      </c>
      <c r="J1654" s="6" t="s">
        <v>31</v>
      </c>
      <c r="K1654" s="12">
        <f>_xlfn.XLOOKUP(B1654,[1]Sheet1!$B:$B,[1]Sheet1!$N:$N,0)</f>
        <v>0</v>
      </c>
      <c r="L1654" s="12">
        <f>_xlfn.XLOOKUP(B1654,[1]Sheet1!$B:$B,[1]Sheet1!$O:$O,0)</f>
        <v>0</v>
      </c>
      <c r="M1654" s="12">
        <f>_xlfn.XLOOKUP(B1654,[1]Sheet1!$B:$B,[1]Sheet1!$P:$P,0)</f>
        <v>0</v>
      </c>
      <c r="N1654" s="12">
        <f>_xlfn.XLOOKUP(B1654,[1]Sheet1!$B:$B,[1]Sheet1!$Q:$Q,0)</f>
        <v>0</v>
      </c>
      <c r="O1654" s="12">
        <f>_xlfn.XLOOKUP(B1654,[1]Sheet1!$B:$B,[1]Sheet1!$R:$R,0)</f>
        <v>0</v>
      </c>
      <c r="P1654" s="12">
        <f>_xlfn.XLOOKUP(B1654,[1]Sheet1!$B:$B,[1]Sheet1!$S:$S,0)</f>
        <v>0</v>
      </c>
      <c r="Q1654" s="12">
        <f>_xlfn.XLOOKUP(B1654,[1]Sheet1!$B:$B,[1]Sheet1!$T:$T,0)</f>
        <v>0</v>
      </c>
      <c r="R1654" s="12">
        <f>_xlfn.XLOOKUP(B1654,[1]Sheet1!$B:$B,[1]Sheet1!$U:$U,0)</f>
        <v>0</v>
      </c>
      <c r="S1654" s="12">
        <f>_xlfn.XLOOKUP(B1654,[1]Sheet1!$B:$B,[1]Sheet1!$V:$V,0)</f>
        <v>0</v>
      </c>
      <c r="T1654" s="12">
        <f>_xlfn.XLOOKUP(B1654,[1]Sheet1!$B:$B,[1]Sheet1!$W:$W,0)</f>
        <v>0</v>
      </c>
      <c r="U1654" s="12">
        <f>_xlfn.XLOOKUP(B1654,[1]Sheet1!$B:$B,[1]Sheet1!$X:$X,0)</f>
        <v>0</v>
      </c>
      <c r="V1654" s="12">
        <f>_xlfn.XLOOKUP(B1654,[1]Sheet1!$B:$B,[1]Sheet1!$Y:$Y,0)</f>
        <v>0</v>
      </c>
      <c r="W1654" s="12">
        <f t="shared" si="53"/>
        <v>0</v>
      </c>
      <c r="X1654" s="6" t="s">
        <v>2713</v>
      </c>
      <c r="Y1654" s="6" t="s">
        <v>2700</v>
      </c>
      <c r="Z1654" s="6" t="s">
        <v>2701</v>
      </c>
      <c r="AA1654" s="6" t="s">
        <v>55</v>
      </c>
      <c r="AB1654" s="6" t="s">
        <v>36</v>
      </c>
      <c r="AC1654" s="6" t="s">
        <v>37</v>
      </c>
      <c r="AD1654" s="6" t="s">
        <v>2340</v>
      </c>
      <c r="AE1654" s="6" t="s">
        <v>2208</v>
      </c>
      <c r="AF1654" s="6" t="s">
        <v>2211</v>
      </c>
      <c r="AG1654" s="7">
        <v>700000</v>
      </c>
      <c r="AH1654" s="11">
        <f>_xlfn.XLOOKUP(B1654,[1]Sheet1!$B:$B,[1]Sheet1!$AB:$AB,0)</f>
        <v>0</v>
      </c>
    </row>
    <row r="1655" spans="2:34" ht="16.8" thickTop="1" thickBot="1" x14ac:dyDescent="0.35">
      <c r="B1655" s="3" t="str">
        <f t="shared" si="52"/>
        <v>451041045170000774510728424791200104</v>
      </c>
      <c r="C1655" s="8" t="s">
        <v>2607</v>
      </c>
      <c r="D1655" s="8" t="s">
        <v>2697</v>
      </c>
      <c r="E1655" s="8" t="s">
        <v>2698</v>
      </c>
      <c r="F1655" s="8" t="s">
        <v>2329</v>
      </c>
      <c r="G1655" s="4" t="s">
        <v>2830</v>
      </c>
      <c r="H1655" s="4" t="s">
        <v>2922</v>
      </c>
      <c r="I1655" s="8" t="s">
        <v>305</v>
      </c>
      <c r="J1655" s="8" t="s">
        <v>31</v>
      </c>
      <c r="K1655" s="12">
        <f>_xlfn.XLOOKUP(B1655,[1]Sheet1!$B:$B,[1]Sheet1!$N:$N,0)</f>
        <v>0</v>
      </c>
      <c r="L1655" s="12">
        <f>_xlfn.XLOOKUP(B1655,[1]Sheet1!$B:$B,[1]Sheet1!$O:$O,0)</f>
        <v>0</v>
      </c>
      <c r="M1655" s="12">
        <f>_xlfn.XLOOKUP(B1655,[1]Sheet1!$B:$B,[1]Sheet1!$P:$P,0)</f>
        <v>0</v>
      </c>
      <c r="N1655" s="12">
        <f>_xlfn.XLOOKUP(B1655,[1]Sheet1!$B:$B,[1]Sheet1!$Q:$Q,0)</f>
        <v>0</v>
      </c>
      <c r="O1655" s="12">
        <f>_xlfn.XLOOKUP(B1655,[1]Sheet1!$B:$B,[1]Sheet1!$R:$R,0)</f>
        <v>0</v>
      </c>
      <c r="P1655" s="12">
        <f>_xlfn.XLOOKUP(B1655,[1]Sheet1!$B:$B,[1]Sheet1!$S:$S,0)</f>
        <v>0</v>
      </c>
      <c r="Q1655" s="12">
        <f>_xlfn.XLOOKUP(B1655,[1]Sheet1!$B:$B,[1]Sheet1!$T:$T,0)</f>
        <v>0</v>
      </c>
      <c r="R1655" s="12">
        <f>_xlfn.XLOOKUP(B1655,[1]Sheet1!$B:$B,[1]Sheet1!$U:$U,0)</f>
        <v>0</v>
      </c>
      <c r="S1655" s="12">
        <f>_xlfn.XLOOKUP(B1655,[1]Sheet1!$B:$B,[1]Sheet1!$V:$V,0)</f>
        <v>0</v>
      </c>
      <c r="T1655" s="12">
        <f>_xlfn.XLOOKUP(B1655,[1]Sheet1!$B:$B,[1]Sheet1!$W:$W,0)</f>
        <v>0</v>
      </c>
      <c r="U1655" s="12">
        <f>_xlfn.XLOOKUP(B1655,[1]Sheet1!$B:$B,[1]Sheet1!$X:$X,0)</f>
        <v>0</v>
      </c>
      <c r="V1655" s="12">
        <f>_xlfn.XLOOKUP(B1655,[1]Sheet1!$B:$B,[1]Sheet1!$Y:$Y,0)</f>
        <v>0</v>
      </c>
      <c r="W1655" s="12">
        <f t="shared" si="53"/>
        <v>0</v>
      </c>
      <c r="X1655" s="8" t="s">
        <v>2714</v>
      </c>
      <c r="Y1655" s="8" t="s">
        <v>2700</v>
      </c>
      <c r="Z1655" s="8" t="s">
        <v>2701</v>
      </c>
      <c r="AA1655" s="8" t="s">
        <v>305</v>
      </c>
      <c r="AB1655" s="8" t="s">
        <v>36</v>
      </c>
      <c r="AC1655" s="8" t="s">
        <v>37</v>
      </c>
      <c r="AD1655" s="8" t="s">
        <v>2340</v>
      </c>
      <c r="AE1655" s="8" t="s">
        <v>2208</v>
      </c>
      <c r="AF1655" s="8" t="s">
        <v>2211</v>
      </c>
      <c r="AG1655" s="9">
        <v>7569597</v>
      </c>
      <c r="AH1655" s="11">
        <f>_xlfn.XLOOKUP(B1655,[1]Sheet1!$B:$B,[1]Sheet1!$AB:$AB,0)</f>
        <v>0</v>
      </c>
    </row>
    <row r="1656" spans="2:34" ht="16.8" thickTop="1" thickBot="1" x14ac:dyDescent="0.35">
      <c r="B1656" s="3" t="str">
        <f t="shared" si="52"/>
        <v>451041045170000774510738421125200104</v>
      </c>
      <c r="C1656" s="6" t="s">
        <v>2607</v>
      </c>
      <c r="D1656" s="6" t="s">
        <v>2697</v>
      </c>
      <c r="E1656" s="6" t="s">
        <v>2698</v>
      </c>
      <c r="F1656" s="6" t="s">
        <v>2542</v>
      </c>
      <c r="G1656" s="4" t="s">
        <v>2803</v>
      </c>
      <c r="H1656" s="4" t="s">
        <v>2922</v>
      </c>
      <c r="I1656" s="6" t="s">
        <v>44</v>
      </c>
      <c r="J1656" s="6" t="s">
        <v>31</v>
      </c>
      <c r="K1656" s="12">
        <f>_xlfn.XLOOKUP(B1656,[1]Sheet1!$B:$B,[1]Sheet1!$N:$N,0)</f>
        <v>0</v>
      </c>
      <c r="L1656" s="12">
        <f>_xlfn.XLOOKUP(B1656,[1]Sheet1!$B:$B,[1]Sheet1!$O:$O,0)</f>
        <v>0</v>
      </c>
      <c r="M1656" s="12">
        <f>_xlfn.XLOOKUP(B1656,[1]Sheet1!$B:$B,[1]Sheet1!$P:$P,0)</f>
        <v>0</v>
      </c>
      <c r="N1656" s="12">
        <f>_xlfn.XLOOKUP(B1656,[1]Sheet1!$B:$B,[1]Sheet1!$Q:$Q,0)</f>
        <v>0</v>
      </c>
      <c r="O1656" s="12">
        <f>_xlfn.XLOOKUP(B1656,[1]Sheet1!$B:$B,[1]Sheet1!$R:$R,0)</f>
        <v>0</v>
      </c>
      <c r="P1656" s="12">
        <f>_xlfn.XLOOKUP(B1656,[1]Sheet1!$B:$B,[1]Sheet1!$S:$S,0)</f>
        <v>0</v>
      </c>
      <c r="Q1656" s="12">
        <f>_xlfn.XLOOKUP(B1656,[1]Sheet1!$B:$B,[1]Sheet1!$T:$T,0)</f>
        <v>0</v>
      </c>
      <c r="R1656" s="12">
        <f>_xlfn.XLOOKUP(B1656,[1]Sheet1!$B:$B,[1]Sheet1!$U:$U,0)</f>
        <v>0</v>
      </c>
      <c r="S1656" s="12">
        <f>_xlfn.XLOOKUP(B1656,[1]Sheet1!$B:$B,[1]Sheet1!$V:$V,0)</f>
        <v>0</v>
      </c>
      <c r="T1656" s="12">
        <f>_xlfn.XLOOKUP(B1656,[1]Sheet1!$B:$B,[1]Sheet1!$W:$W,0)</f>
        <v>0</v>
      </c>
      <c r="U1656" s="12">
        <f>_xlfn.XLOOKUP(B1656,[1]Sheet1!$B:$B,[1]Sheet1!$X:$X,0)</f>
        <v>0</v>
      </c>
      <c r="V1656" s="12">
        <f>_xlfn.XLOOKUP(B1656,[1]Sheet1!$B:$B,[1]Sheet1!$Y:$Y,0)</f>
        <v>0</v>
      </c>
      <c r="W1656" s="12">
        <f t="shared" si="53"/>
        <v>0</v>
      </c>
      <c r="X1656" s="6" t="s">
        <v>2715</v>
      </c>
      <c r="Y1656" s="6" t="s">
        <v>2700</v>
      </c>
      <c r="Z1656" s="6" t="s">
        <v>2701</v>
      </c>
      <c r="AA1656" s="6" t="s">
        <v>44</v>
      </c>
      <c r="AB1656" s="6" t="s">
        <v>36</v>
      </c>
      <c r="AC1656" s="6" t="s">
        <v>37</v>
      </c>
      <c r="AD1656" s="6" t="s">
        <v>2340</v>
      </c>
      <c r="AE1656" s="6" t="s">
        <v>2208</v>
      </c>
      <c r="AF1656" s="6" t="s">
        <v>2211</v>
      </c>
      <c r="AG1656" s="7">
        <v>3982260</v>
      </c>
      <c r="AH1656" s="11">
        <f>_xlfn.XLOOKUP(B1656,[1]Sheet1!$B:$B,[1]Sheet1!$AB:$AB,0)</f>
        <v>0</v>
      </c>
    </row>
    <row r="1657" spans="2:34" ht="16.8" thickTop="1" thickBot="1" x14ac:dyDescent="0.35">
      <c r="B1657" s="3" t="str">
        <f t="shared" si="52"/>
        <v>451041045170000774510742423911200104</v>
      </c>
      <c r="C1657" s="8" t="s">
        <v>2607</v>
      </c>
      <c r="D1657" s="8" t="s">
        <v>2697</v>
      </c>
      <c r="E1657" s="8" t="s">
        <v>2698</v>
      </c>
      <c r="F1657" s="8" t="s">
        <v>2716</v>
      </c>
      <c r="G1657" s="4" t="s">
        <v>2894</v>
      </c>
      <c r="H1657" s="4" t="s">
        <v>2922</v>
      </c>
      <c r="I1657" s="8" t="s">
        <v>2365</v>
      </c>
      <c r="J1657" s="8" t="s">
        <v>31</v>
      </c>
      <c r="K1657" s="12">
        <f>_xlfn.XLOOKUP(B1657,[1]Sheet1!$B:$B,[1]Sheet1!$N:$N,0)</f>
        <v>0</v>
      </c>
      <c r="L1657" s="12">
        <f>_xlfn.XLOOKUP(B1657,[1]Sheet1!$B:$B,[1]Sheet1!$O:$O,0)</f>
        <v>0</v>
      </c>
      <c r="M1657" s="12">
        <f>_xlfn.XLOOKUP(B1657,[1]Sheet1!$B:$B,[1]Sheet1!$P:$P,0)</f>
        <v>0</v>
      </c>
      <c r="N1657" s="12">
        <f>_xlfn.XLOOKUP(B1657,[1]Sheet1!$B:$B,[1]Sheet1!$Q:$Q,0)</f>
        <v>0</v>
      </c>
      <c r="O1657" s="12">
        <f>_xlfn.XLOOKUP(B1657,[1]Sheet1!$B:$B,[1]Sheet1!$R:$R,0)</f>
        <v>0</v>
      </c>
      <c r="P1657" s="12">
        <f>_xlfn.XLOOKUP(B1657,[1]Sheet1!$B:$B,[1]Sheet1!$S:$S,0)</f>
        <v>0</v>
      </c>
      <c r="Q1657" s="12">
        <f>_xlfn.XLOOKUP(B1657,[1]Sheet1!$B:$B,[1]Sheet1!$T:$T,0)</f>
        <v>0</v>
      </c>
      <c r="R1657" s="12">
        <f>_xlfn.XLOOKUP(B1657,[1]Sheet1!$B:$B,[1]Sheet1!$U:$U,0)</f>
        <v>0</v>
      </c>
      <c r="S1657" s="12">
        <f>_xlfn.XLOOKUP(B1657,[1]Sheet1!$B:$B,[1]Sheet1!$V:$V,0)</f>
        <v>0</v>
      </c>
      <c r="T1657" s="12">
        <f>_xlfn.XLOOKUP(B1657,[1]Sheet1!$B:$B,[1]Sheet1!$W:$W,0)</f>
        <v>0</v>
      </c>
      <c r="U1657" s="12">
        <f>_xlfn.XLOOKUP(B1657,[1]Sheet1!$B:$B,[1]Sheet1!$X:$X,0)</f>
        <v>0</v>
      </c>
      <c r="V1657" s="12">
        <f>_xlfn.XLOOKUP(B1657,[1]Sheet1!$B:$B,[1]Sheet1!$Y:$Y,0)</f>
        <v>0</v>
      </c>
      <c r="W1657" s="12">
        <f t="shared" si="53"/>
        <v>0</v>
      </c>
      <c r="X1657" s="8" t="s">
        <v>2717</v>
      </c>
      <c r="Y1657" s="8" t="s">
        <v>2700</v>
      </c>
      <c r="Z1657" s="8" t="s">
        <v>2701</v>
      </c>
      <c r="AA1657" s="8" t="s">
        <v>2365</v>
      </c>
      <c r="AB1657" s="8" t="s">
        <v>36</v>
      </c>
      <c r="AC1657" s="8" t="s">
        <v>37</v>
      </c>
      <c r="AD1657" s="8" t="s">
        <v>2340</v>
      </c>
      <c r="AE1657" s="8" t="s">
        <v>2208</v>
      </c>
      <c r="AF1657" s="8" t="s">
        <v>2211</v>
      </c>
      <c r="AG1657" s="9">
        <v>300000</v>
      </c>
      <c r="AH1657" s="11">
        <f>_xlfn.XLOOKUP(B1657,[1]Sheet1!$B:$B,[1]Sheet1!$AB:$AB,0)</f>
        <v>0</v>
      </c>
    </row>
    <row r="1658" spans="2:34" ht="16.8" thickTop="1" thickBot="1" x14ac:dyDescent="0.35">
      <c r="B1658" s="3" t="str">
        <f t="shared" si="52"/>
        <v>451041045170000774510742423921200104</v>
      </c>
      <c r="C1658" s="6" t="s">
        <v>2607</v>
      </c>
      <c r="D1658" s="6" t="s">
        <v>2697</v>
      </c>
      <c r="E1658" s="6" t="s">
        <v>2698</v>
      </c>
      <c r="F1658" s="6" t="s">
        <v>2716</v>
      </c>
      <c r="G1658" s="4" t="s">
        <v>2895</v>
      </c>
      <c r="H1658" s="4" t="s">
        <v>2922</v>
      </c>
      <c r="I1658" s="6" t="s">
        <v>2367</v>
      </c>
      <c r="J1658" s="6" t="s">
        <v>31</v>
      </c>
      <c r="K1658" s="12">
        <f>_xlfn.XLOOKUP(B1658,[1]Sheet1!$B:$B,[1]Sheet1!$N:$N,0)</f>
        <v>0</v>
      </c>
      <c r="L1658" s="12">
        <f>_xlfn.XLOOKUP(B1658,[1]Sheet1!$B:$B,[1]Sheet1!$O:$O,0)</f>
        <v>0</v>
      </c>
      <c r="M1658" s="12">
        <f>_xlfn.XLOOKUP(B1658,[1]Sheet1!$B:$B,[1]Sheet1!$P:$P,0)</f>
        <v>0</v>
      </c>
      <c r="N1658" s="12">
        <f>_xlfn.XLOOKUP(B1658,[1]Sheet1!$B:$B,[1]Sheet1!$Q:$Q,0)</f>
        <v>0</v>
      </c>
      <c r="O1658" s="12">
        <f>_xlfn.XLOOKUP(B1658,[1]Sheet1!$B:$B,[1]Sheet1!$R:$R,0)</f>
        <v>0</v>
      </c>
      <c r="P1658" s="12">
        <f>_xlfn.XLOOKUP(B1658,[1]Sheet1!$B:$B,[1]Sheet1!$S:$S,0)</f>
        <v>0</v>
      </c>
      <c r="Q1658" s="12">
        <f>_xlfn.XLOOKUP(B1658,[1]Sheet1!$B:$B,[1]Sheet1!$T:$T,0)</f>
        <v>0</v>
      </c>
      <c r="R1658" s="12">
        <f>_xlfn.XLOOKUP(B1658,[1]Sheet1!$B:$B,[1]Sheet1!$U:$U,0)</f>
        <v>0</v>
      </c>
      <c r="S1658" s="12">
        <f>_xlfn.XLOOKUP(B1658,[1]Sheet1!$B:$B,[1]Sheet1!$V:$V,0)</f>
        <v>0</v>
      </c>
      <c r="T1658" s="12">
        <f>_xlfn.XLOOKUP(B1658,[1]Sheet1!$B:$B,[1]Sheet1!$W:$W,0)</f>
        <v>0</v>
      </c>
      <c r="U1658" s="12">
        <f>_xlfn.XLOOKUP(B1658,[1]Sheet1!$B:$B,[1]Sheet1!$X:$X,0)</f>
        <v>0</v>
      </c>
      <c r="V1658" s="12">
        <f>_xlfn.XLOOKUP(B1658,[1]Sheet1!$B:$B,[1]Sheet1!$Y:$Y,0)</f>
        <v>0</v>
      </c>
      <c r="W1658" s="12">
        <f t="shared" si="53"/>
        <v>0</v>
      </c>
      <c r="X1658" s="6" t="s">
        <v>2718</v>
      </c>
      <c r="Y1658" s="6" t="s">
        <v>2700</v>
      </c>
      <c r="Z1658" s="6" t="s">
        <v>2701</v>
      </c>
      <c r="AA1658" s="6" t="s">
        <v>2367</v>
      </c>
      <c r="AB1658" s="6" t="s">
        <v>36</v>
      </c>
      <c r="AC1658" s="6" t="s">
        <v>37</v>
      </c>
      <c r="AD1658" s="6" t="s">
        <v>2340</v>
      </c>
      <c r="AE1658" s="6" t="s">
        <v>2208</v>
      </c>
      <c r="AF1658" s="6" t="s">
        <v>2211</v>
      </c>
      <c r="AG1658" s="7">
        <v>300000</v>
      </c>
      <c r="AH1658" s="11">
        <f>_xlfn.XLOOKUP(B1658,[1]Sheet1!$B:$B,[1]Sheet1!$AB:$AB,0)</f>
        <v>0</v>
      </c>
    </row>
    <row r="1659" spans="2:34" ht="16.8" thickTop="1" thickBot="1" x14ac:dyDescent="0.35">
      <c r="B1659" s="3" t="str">
        <f t="shared" si="52"/>
        <v>451041045170000774510742423931200104</v>
      </c>
      <c r="C1659" s="8" t="s">
        <v>2607</v>
      </c>
      <c r="D1659" s="8" t="s">
        <v>2697</v>
      </c>
      <c r="E1659" s="8" t="s">
        <v>2698</v>
      </c>
      <c r="F1659" s="8" t="s">
        <v>2716</v>
      </c>
      <c r="G1659" s="4" t="s">
        <v>2818</v>
      </c>
      <c r="H1659" s="4" t="s">
        <v>2922</v>
      </c>
      <c r="I1659" s="8" t="s">
        <v>111</v>
      </c>
      <c r="J1659" s="8" t="s">
        <v>31</v>
      </c>
      <c r="K1659" s="12">
        <f>_xlfn.XLOOKUP(B1659,[1]Sheet1!$B:$B,[1]Sheet1!$N:$N,0)</f>
        <v>0</v>
      </c>
      <c r="L1659" s="12">
        <f>_xlfn.XLOOKUP(B1659,[1]Sheet1!$B:$B,[1]Sheet1!$O:$O,0)</f>
        <v>0</v>
      </c>
      <c r="M1659" s="12">
        <f>_xlfn.XLOOKUP(B1659,[1]Sheet1!$B:$B,[1]Sheet1!$P:$P,0)</f>
        <v>0</v>
      </c>
      <c r="N1659" s="12">
        <f>_xlfn.XLOOKUP(B1659,[1]Sheet1!$B:$B,[1]Sheet1!$Q:$Q,0)</f>
        <v>0</v>
      </c>
      <c r="O1659" s="12">
        <f>_xlfn.XLOOKUP(B1659,[1]Sheet1!$B:$B,[1]Sheet1!$R:$R,0)</f>
        <v>0</v>
      </c>
      <c r="P1659" s="12">
        <f>_xlfn.XLOOKUP(B1659,[1]Sheet1!$B:$B,[1]Sheet1!$S:$S,0)</f>
        <v>0</v>
      </c>
      <c r="Q1659" s="12">
        <f>_xlfn.XLOOKUP(B1659,[1]Sheet1!$B:$B,[1]Sheet1!$T:$T,0)</f>
        <v>0</v>
      </c>
      <c r="R1659" s="12">
        <f>_xlfn.XLOOKUP(B1659,[1]Sheet1!$B:$B,[1]Sheet1!$U:$U,0)</f>
        <v>0</v>
      </c>
      <c r="S1659" s="12">
        <f>_xlfn.XLOOKUP(B1659,[1]Sheet1!$B:$B,[1]Sheet1!$V:$V,0)</f>
        <v>0</v>
      </c>
      <c r="T1659" s="12">
        <f>_xlfn.XLOOKUP(B1659,[1]Sheet1!$B:$B,[1]Sheet1!$W:$W,0)</f>
        <v>0</v>
      </c>
      <c r="U1659" s="12">
        <f>_xlfn.XLOOKUP(B1659,[1]Sheet1!$B:$B,[1]Sheet1!$X:$X,0)</f>
        <v>0</v>
      </c>
      <c r="V1659" s="12">
        <f>_xlfn.XLOOKUP(B1659,[1]Sheet1!$B:$B,[1]Sheet1!$Y:$Y,0)</f>
        <v>0</v>
      </c>
      <c r="W1659" s="12">
        <f t="shared" si="53"/>
        <v>0</v>
      </c>
      <c r="X1659" s="8" t="s">
        <v>2719</v>
      </c>
      <c r="Y1659" s="8" t="s">
        <v>2700</v>
      </c>
      <c r="Z1659" s="8" t="s">
        <v>2701</v>
      </c>
      <c r="AA1659" s="8" t="s">
        <v>111</v>
      </c>
      <c r="AB1659" s="8" t="s">
        <v>36</v>
      </c>
      <c r="AC1659" s="8" t="s">
        <v>37</v>
      </c>
      <c r="AD1659" s="8" t="s">
        <v>2340</v>
      </c>
      <c r="AE1659" s="8" t="s">
        <v>2208</v>
      </c>
      <c r="AF1659" s="8" t="s">
        <v>2211</v>
      </c>
      <c r="AG1659" s="9">
        <v>9495518</v>
      </c>
      <c r="AH1659" s="11">
        <f>_xlfn.XLOOKUP(B1659,[1]Sheet1!$B:$B,[1]Sheet1!$AB:$AB,0)</f>
        <v>0</v>
      </c>
    </row>
    <row r="1660" spans="2:34" ht="16.8" thickTop="1" thickBot="1" x14ac:dyDescent="0.35">
      <c r="B1660" s="3" t="str">
        <f t="shared" si="52"/>
        <v>451041045170000774510743491811300105</v>
      </c>
      <c r="C1660" s="6" t="s">
        <v>2607</v>
      </c>
      <c r="D1660" s="6" t="s">
        <v>2697</v>
      </c>
      <c r="E1660" s="6" t="s">
        <v>2698</v>
      </c>
      <c r="F1660" s="6" t="s">
        <v>2506</v>
      </c>
      <c r="G1660" s="4" t="s">
        <v>2825</v>
      </c>
      <c r="H1660" s="4" t="s">
        <v>2923</v>
      </c>
      <c r="I1660" s="6" t="s">
        <v>226</v>
      </c>
      <c r="J1660" s="6" t="s">
        <v>31</v>
      </c>
      <c r="K1660" s="12">
        <f>_xlfn.XLOOKUP(B1660,[1]Sheet1!$B:$B,[1]Sheet1!$N:$N,0)</f>
        <v>0</v>
      </c>
      <c r="L1660" s="12">
        <f>_xlfn.XLOOKUP(B1660,[1]Sheet1!$B:$B,[1]Sheet1!$O:$O,0)</f>
        <v>0</v>
      </c>
      <c r="M1660" s="12">
        <f>_xlfn.XLOOKUP(B1660,[1]Sheet1!$B:$B,[1]Sheet1!$P:$P,0)</f>
        <v>0</v>
      </c>
      <c r="N1660" s="12">
        <f>_xlfn.XLOOKUP(B1660,[1]Sheet1!$B:$B,[1]Sheet1!$Q:$Q,0)</f>
        <v>0</v>
      </c>
      <c r="O1660" s="12">
        <f>_xlfn.XLOOKUP(B1660,[1]Sheet1!$B:$B,[1]Sheet1!$R:$R,0)</f>
        <v>0</v>
      </c>
      <c r="P1660" s="12">
        <f>_xlfn.XLOOKUP(B1660,[1]Sheet1!$B:$B,[1]Sheet1!$S:$S,0)</f>
        <v>0</v>
      </c>
      <c r="Q1660" s="12">
        <f>_xlfn.XLOOKUP(B1660,[1]Sheet1!$B:$B,[1]Sheet1!$T:$T,0)</f>
        <v>0</v>
      </c>
      <c r="R1660" s="12">
        <f>_xlfn.XLOOKUP(B1660,[1]Sheet1!$B:$B,[1]Sheet1!$U:$U,0)</f>
        <v>0</v>
      </c>
      <c r="S1660" s="12">
        <f>_xlfn.XLOOKUP(B1660,[1]Sheet1!$B:$B,[1]Sheet1!$V:$V,0)</f>
        <v>0</v>
      </c>
      <c r="T1660" s="12">
        <f>_xlfn.XLOOKUP(B1660,[1]Sheet1!$B:$B,[1]Sheet1!$W:$W,0)</f>
        <v>0</v>
      </c>
      <c r="U1660" s="12">
        <f>_xlfn.XLOOKUP(B1660,[1]Sheet1!$B:$B,[1]Sheet1!$X:$X,0)</f>
        <v>0</v>
      </c>
      <c r="V1660" s="12">
        <f>_xlfn.XLOOKUP(B1660,[1]Sheet1!$B:$B,[1]Sheet1!$Y:$Y,0)</f>
        <v>0</v>
      </c>
      <c r="W1660" s="12">
        <f t="shared" si="53"/>
        <v>0</v>
      </c>
      <c r="X1660" s="6" t="s">
        <v>2720</v>
      </c>
      <c r="Y1660" s="6" t="s">
        <v>2700</v>
      </c>
      <c r="Z1660" s="6" t="s">
        <v>2701</v>
      </c>
      <c r="AA1660" s="6" t="s">
        <v>228</v>
      </c>
      <c r="AB1660" s="6" t="s">
        <v>93</v>
      </c>
      <c r="AC1660" s="6" t="s">
        <v>94</v>
      </c>
      <c r="AD1660" s="6" t="s">
        <v>2272</v>
      </c>
      <c r="AE1660" s="6" t="s">
        <v>2208</v>
      </c>
      <c r="AF1660" s="6" t="s">
        <v>2211</v>
      </c>
      <c r="AG1660" s="7">
        <v>194500000</v>
      </c>
      <c r="AH1660" s="11">
        <f>_xlfn.XLOOKUP(B1660,[1]Sheet1!$B:$B,[1]Sheet1!$AB:$AB,0)</f>
        <v>0</v>
      </c>
    </row>
    <row r="1661" spans="2:34" ht="16.8" thickTop="1" thickBot="1" x14ac:dyDescent="0.35">
      <c r="B1661" s="3" t="str">
        <f t="shared" si="52"/>
        <v>451041045170000774510744491321300105</v>
      </c>
      <c r="C1661" s="8" t="s">
        <v>2607</v>
      </c>
      <c r="D1661" s="8" t="s">
        <v>2697</v>
      </c>
      <c r="E1661" s="8" t="s">
        <v>2698</v>
      </c>
      <c r="F1661" s="8" t="s">
        <v>2356</v>
      </c>
      <c r="G1661" s="4" t="s">
        <v>2892</v>
      </c>
      <c r="H1661" s="4" t="s">
        <v>2923</v>
      </c>
      <c r="I1661" s="8" t="s">
        <v>2357</v>
      </c>
      <c r="J1661" s="8" t="s">
        <v>31</v>
      </c>
      <c r="K1661" s="12">
        <f>_xlfn.XLOOKUP(B1661,[1]Sheet1!$B:$B,[1]Sheet1!$N:$N,0)</f>
        <v>0</v>
      </c>
      <c r="L1661" s="12">
        <f>_xlfn.XLOOKUP(B1661,[1]Sheet1!$B:$B,[1]Sheet1!$O:$O,0)</f>
        <v>0</v>
      </c>
      <c r="M1661" s="12">
        <f>_xlfn.XLOOKUP(B1661,[1]Sheet1!$B:$B,[1]Sheet1!$P:$P,0)</f>
        <v>0</v>
      </c>
      <c r="N1661" s="12">
        <f>_xlfn.XLOOKUP(B1661,[1]Sheet1!$B:$B,[1]Sheet1!$Q:$Q,0)</f>
        <v>0</v>
      </c>
      <c r="O1661" s="12">
        <f>_xlfn.XLOOKUP(B1661,[1]Sheet1!$B:$B,[1]Sheet1!$R:$R,0)</f>
        <v>0</v>
      </c>
      <c r="P1661" s="12">
        <f>_xlfn.XLOOKUP(B1661,[1]Sheet1!$B:$B,[1]Sheet1!$S:$S,0)</f>
        <v>0</v>
      </c>
      <c r="Q1661" s="12">
        <f>_xlfn.XLOOKUP(B1661,[1]Sheet1!$B:$B,[1]Sheet1!$T:$T,0)</f>
        <v>0</v>
      </c>
      <c r="R1661" s="12">
        <f>_xlfn.XLOOKUP(B1661,[1]Sheet1!$B:$B,[1]Sheet1!$U:$U,0)</f>
        <v>0</v>
      </c>
      <c r="S1661" s="12">
        <f>_xlfn.XLOOKUP(B1661,[1]Sheet1!$B:$B,[1]Sheet1!$V:$V,0)</f>
        <v>0</v>
      </c>
      <c r="T1661" s="12">
        <f>_xlfn.XLOOKUP(B1661,[1]Sheet1!$B:$B,[1]Sheet1!$W:$W,0)</f>
        <v>0</v>
      </c>
      <c r="U1661" s="12">
        <f>_xlfn.XLOOKUP(B1661,[1]Sheet1!$B:$B,[1]Sheet1!$X:$X,0)</f>
        <v>0</v>
      </c>
      <c r="V1661" s="12">
        <f>_xlfn.XLOOKUP(B1661,[1]Sheet1!$B:$B,[1]Sheet1!$Y:$Y,0)</f>
        <v>0</v>
      </c>
      <c r="W1661" s="12">
        <f t="shared" si="53"/>
        <v>0</v>
      </c>
      <c r="X1661" s="8" t="s">
        <v>2721</v>
      </c>
      <c r="Y1661" s="8" t="s">
        <v>2700</v>
      </c>
      <c r="Z1661" s="8" t="s">
        <v>2701</v>
      </c>
      <c r="AA1661" s="8" t="s">
        <v>2359</v>
      </c>
      <c r="AB1661" s="8" t="s">
        <v>93</v>
      </c>
      <c r="AC1661" s="8" t="s">
        <v>94</v>
      </c>
      <c r="AD1661" s="8" t="s">
        <v>2272</v>
      </c>
      <c r="AE1661" s="8" t="s">
        <v>2208</v>
      </c>
      <c r="AF1661" s="8" t="s">
        <v>2211</v>
      </c>
      <c r="AG1661" s="9">
        <v>3000000</v>
      </c>
      <c r="AH1661" s="11">
        <f>_xlfn.XLOOKUP(B1661,[1]Sheet1!$B:$B,[1]Sheet1!$AB:$AB,0)</f>
        <v>0</v>
      </c>
    </row>
    <row r="1662" spans="2:34" ht="16.8" thickTop="1" thickBot="1" x14ac:dyDescent="0.35">
      <c r="B1662" s="3" t="str">
        <f t="shared" si="52"/>
        <v>451041045170000774510744491711300105</v>
      </c>
      <c r="C1662" s="6" t="s">
        <v>2607</v>
      </c>
      <c r="D1662" s="6" t="s">
        <v>2697</v>
      </c>
      <c r="E1662" s="6" t="s">
        <v>2698</v>
      </c>
      <c r="F1662" s="6" t="s">
        <v>2356</v>
      </c>
      <c r="G1662" s="4" t="s">
        <v>2854</v>
      </c>
      <c r="H1662" s="4" t="s">
        <v>2923</v>
      </c>
      <c r="I1662" s="6" t="s">
        <v>639</v>
      </c>
      <c r="J1662" s="6" t="s">
        <v>31</v>
      </c>
      <c r="K1662" s="12">
        <f>_xlfn.XLOOKUP(B1662,[1]Sheet1!$B:$B,[1]Sheet1!$N:$N,0)</f>
        <v>0</v>
      </c>
      <c r="L1662" s="12">
        <f>_xlfn.XLOOKUP(B1662,[1]Sheet1!$B:$B,[1]Sheet1!$O:$O,0)</f>
        <v>0</v>
      </c>
      <c r="M1662" s="12">
        <f>_xlfn.XLOOKUP(B1662,[1]Sheet1!$B:$B,[1]Sheet1!$P:$P,0)</f>
        <v>0</v>
      </c>
      <c r="N1662" s="12">
        <f>_xlfn.XLOOKUP(B1662,[1]Sheet1!$B:$B,[1]Sheet1!$Q:$Q,0)</f>
        <v>0</v>
      </c>
      <c r="O1662" s="12">
        <f>_xlfn.XLOOKUP(B1662,[1]Sheet1!$B:$B,[1]Sheet1!$R:$R,0)</f>
        <v>0</v>
      </c>
      <c r="P1662" s="12">
        <f>_xlfn.XLOOKUP(B1662,[1]Sheet1!$B:$B,[1]Sheet1!$S:$S,0)</f>
        <v>0</v>
      </c>
      <c r="Q1662" s="12">
        <f>_xlfn.XLOOKUP(B1662,[1]Sheet1!$B:$B,[1]Sheet1!$T:$T,0)</f>
        <v>0</v>
      </c>
      <c r="R1662" s="12">
        <f>_xlfn.XLOOKUP(B1662,[1]Sheet1!$B:$B,[1]Sheet1!$U:$U,0)</f>
        <v>0</v>
      </c>
      <c r="S1662" s="12">
        <f>_xlfn.XLOOKUP(B1662,[1]Sheet1!$B:$B,[1]Sheet1!$V:$V,0)</f>
        <v>0</v>
      </c>
      <c r="T1662" s="12">
        <f>_xlfn.XLOOKUP(B1662,[1]Sheet1!$B:$B,[1]Sheet1!$W:$W,0)</f>
        <v>0</v>
      </c>
      <c r="U1662" s="12">
        <f>_xlfn.XLOOKUP(B1662,[1]Sheet1!$B:$B,[1]Sheet1!$X:$X,0)</f>
        <v>0</v>
      </c>
      <c r="V1662" s="12">
        <f>_xlfn.XLOOKUP(B1662,[1]Sheet1!$B:$B,[1]Sheet1!$Y:$Y,0)</f>
        <v>0</v>
      </c>
      <c r="W1662" s="12">
        <f t="shared" si="53"/>
        <v>0</v>
      </c>
      <c r="X1662" s="6" t="s">
        <v>2722</v>
      </c>
      <c r="Y1662" s="6" t="s">
        <v>2700</v>
      </c>
      <c r="Z1662" s="6" t="s">
        <v>2701</v>
      </c>
      <c r="AA1662" s="6" t="s">
        <v>639</v>
      </c>
      <c r="AB1662" s="6" t="s">
        <v>93</v>
      </c>
      <c r="AC1662" s="6" t="s">
        <v>94</v>
      </c>
      <c r="AD1662" s="6" t="s">
        <v>2272</v>
      </c>
      <c r="AE1662" s="6" t="s">
        <v>2208</v>
      </c>
      <c r="AF1662" s="6" t="s">
        <v>2211</v>
      </c>
      <c r="AG1662" s="7">
        <v>1500000</v>
      </c>
      <c r="AH1662" s="11">
        <f>_xlfn.XLOOKUP(B1662,[1]Sheet1!$B:$B,[1]Sheet1!$AB:$AB,0)</f>
        <v>0</v>
      </c>
    </row>
    <row r="1663" spans="2:34" ht="16.8" thickTop="1" thickBot="1" x14ac:dyDescent="0.35">
      <c r="B1663" s="3" t="str">
        <f t="shared" si="52"/>
        <v>451041045170000774510749421122200104</v>
      </c>
      <c r="C1663" s="8" t="s">
        <v>2607</v>
      </c>
      <c r="D1663" s="8" t="s">
        <v>2697</v>
      </c>
      <c r="E1663" s="8" t="s">
        <v>2698</v>
      </c>
      <c r="F1663" s="8" t="s">
        <v>2331</v>
      </c>
      <c r="G1663" s="4" t="s">
        <v>2882</v>
      </c>
      <c r="H1663" s="4" t="s">
        <v>2922</v>
      </c>
      <c r="I1663" s="8" t="s">
        <v>2213</v>
      </c>
      <c r="J1663" s="8" t="s">
        <v>31</v>
      </c>
      <c r="K1663" s="12">
        <f>_xlfn.XLOOKUP(B1663,[1]Sheet1!$B:$B,[1]Sheet1!$N:$N,0)</f>
        <v>0</v>
      </c>
      <c r="L1663" s="12">
        <f>_xlfn.XLOOKUP(B1663,[1]Sheet1!$B:$B,[1]Sheet1!$O:$O,0)</f>
        <v>0</v>
      </c>
      <c r="M1663" s="12">
        <f>_xlfn.XLOOKUP(B1663,[1]Sheet1!$B:$B,[1]Sheet1!$P:$P,0)</f>
        <v>0</v>
      </c>
      <c r="N1663" s="12">
        <f>_xlfn.XLOOKUP(B1663,[1]Sheet1!$B:$B,[1]Sheet1!$Q:$Q,0)</f>
        <v>0</v>
      </c>
      <c r="O1663" s="12">
        <f>_xlfn.XLOOKUP(B1663,[1]Sheet1!$B:$B,[1]Sheet1!$R:$R,0)</f>
        <v>0</v>
      </c>
      <c r="P1663" s="12">
        <f>_xlfn.XLOOKUP(B1663,[1]Sheet1!$B:$B,[1]Sheet1!$S:$S,0)</f>
        <v>0</v>
      </c>
      <c r="Q1663" s="12">
        <f>_xlfn.XLOOKUP(B1663,[1]Sheet1!$B:$B,[1]Sheet1!$T:$T,0)</f>
        <v>0</v>
      </c>
      <c r="R1663" s="12">
        <f>_xlfn.XLOOKUP(B1663,[1]Sheet1!$B:$B,[1]Sheet1!$U:$U,0)</f>
        <v>0</v>
      </c>
      <c r="S1663" s="12">
        <f>_xlfn.XLOOKUP(B1663,[1]Sheet1!$B:$B,[1]Sheet1!$V:$V,0)</f>
        <v>0</v>
      </c>
      <c r="T1663" s="12">
        <f>_xlfn.XLOOKUP(B1663,[1]Sheet1!$B:$B,[1]Sheet1!$W:$W,0)</f>
        <v>0</v>
      </c>
      <c r="U1663" s="12">
        <f>_xlfn.XLOOKUP(B1663,[1]Sheet1!$B:$B,[1]Sheet1!$X:$X,0)</f>
        <v>0</v>
      </c>
      <c r="V1663" s="12">
        <f>_xlfn.XLOOKUP(B1663,[1]Sheet1!$B:$B,[1]Sheet1!$Y:$Y,0)</f>
        <v>0</v>
      </c>
      <c r="W1663" s="12">
        <f t="shared" si="53"/>
        <v>0</v>
      </c>
      <c r="X1663" s="8" t="s">
        <v>2723</v>
      </c>
      <c r="Y1663" s="8" t="s">
        <v>2700</v>
      </c>
      <c r="Z1663" s="8" t="s">
        <v>2701</v>
      </c>
      <c r="AA1663" s="8" t="s">
        <v>2215</v>
      </c>
      <c r="AB1663" s="8" t="s">
        <v>36</v>
      </c>
      <c r="AC1663" s="8" t="s">
        <v>37</v>
      </c>
      <c r="AD1663" s="8" t="s">
        <v>2333</v>
      </c>
      <c r="AE1663" s="8" t="s">
        <v>2208</v>
      </c>
      <c r="AF1663" s="8" t="s">
        <v>2211</v>
      </c>
      <c r="AG1663" s="9">
        <v>33369199</v>
      </c>
      <c r="AH1663" s="11">
        <f>_xlfn.XLOOKUP(B1663,[1]Sheet1!$B:$B,[1]Sheet1!$AB:$AB,0)</f>
        <v>0</v>
      </c>
    </row>
    <row r="1664" spans="2:34" ht="16.8" thickTop="1" thickBot="1" x14ac:dyDescent="0.35">
      <c r="B1664" s="3" t="str">
        <f t="shared" si="52"/>
        <v>451041045170000774510750424521200104</v>
      </c>
      <c r="C1664" s="6" t="s">
        <v>2607</v>
      </c>
      <c r="D1664" s="6" t="s">
        <v>2697</v>
      </c>
      <c r="E1664" s="6" t="s">
        <v>2698</v>
      </c>
      <c r="F1664" s="6" t="s">
        <v>2234</v>
      </c>
      <c r="G1664" s="4" t="s">
        <v>2804</v>
      </c>
      <c r="H1664" s="4" t="s">
        <v>2922</v>
      </c>
      <c r="I1664" s="6" t="s">
        <v>53</v>
      </c>
      <c r="J1664" s="6" t="s">
        <v>31</v>
      </c>
      <c r="K1664" s="12">
        <f>_xlfn.XLOOKUP(B1664,[1]Sheet1!$B:$B,[1]Sheet1!$N:$N,0)</f>
        <v>0</v>
      </c>
      <c r="L1664" s="12">
        <f>_xlfn.XLOOKUP(B1664,[1]Sheet1!$B:$B,[1]Sheet1!$O:$O,0)</f>
        <v>0</v>
      </c>
      <c r="M1664" s="12">
        <f>_xlfn.XLOOKUP(B1664,[1]Sheet1!$B:$B,[1]Sheet1!$P:$P,0)</f>
        <v>0</v>
      </c>
      <c r="N1664" s="12">
        <f>_xlfn.XLOOKUP(B1664,[1]Sheet1!$B:$B,[1]Sheet1!$Q:$Q,0)</f>
        <v>0</v>
      </c>
      <c r="O1664" s="12">
        <f>_xlfn.XLOOKUP(B1664,[1]Sheet1!$B:$B,[1]Sheet1!$R:$R,0)</f>
        <v>0</v>
      </c>
      <c r="P1664" s="12">
        <f>_xlfn.XLOOKUP(B1664,[1]Sheet1!$B:$B,[1]Sheet1!$S:$S,0)</f>
        <v>0</v>
      </c>
      <c r="Q1664" s="12">
        <f>_xlfn.XLOOKUP(B1664,[1]Sheet1!$B:$B,[1]Sheet1!$T:$T,0)</f>
        <v>0</v>
      </c>
      <c r="R1664" s="12">
        <f>_xlfn.XLOOKUP(B1664,[1]Sheet1!$B:$B,[1]Sheet1!$U:$U,0)</f>
        <v>0</v>
      </c>
      <c r="S1664" s="12">
        <f>_xlfn.XLOOKUP(B1664,[1]Sheet1!$B:$B,[1]Sheet1!$V:$V,0)</f>
        <v>0</v>
      </c>
      <c r="T1664" s="12">
        <f>_xlfn.XLOOKUP(B1664,[1]Sheet1!$B:$B,[1]Sheet1!$W:$W,0)</f>
        <v>0</v>
      </c>
      <c r="U1664" s="12">
        <f>_xlfn.XLOOKUP(B1664,[1]Sheet1!$B:$B,[1]Sheet1!$X:$X,0)</f>
        <v>0</v>
      </c>
      <c r="V1664" s="12">
        <f>_xlfn.XLOOKUP(B1664,[1]Sheet1!$B:$B,[1]Sheet1!$Y:$Y,0)</f>
        <v>0</v>
      </c>
      <c r="W1664" s="12">
        <f t="shared" si="53"/>
        <v>0</v>
      </c>
      <c r="X1664" s="6" t="s">
        <v>2710</v>
      </c>
      <c r="Y1664" s="6" t="s">
        <v>2700</v>
      </c>
      <c r="Z1664" s="6" t="s">
        <v>2701</v>
      </c>
      <c r="AA1664" s="6" t="s">
        <v>53</v>
      </c>
      <c r="AB1664" s="6" t="s">
        <v>36</v>
      </c>
      <c r="AC1664" s="6" t="s">
        <v>37</v>
      </c>
      <c r="AD1664" s="6" t="s">
        <v>2340</v>
      </c>
      <c r="AE1664" s="6" t="s">
        <v>2208</v>
      </c>
      <c r="AF1664" s="6" t="s">
        <v>2211</v>
      </c>
      <c r="AG1664" s="7">
        <v>11570000</v>
      </c>
      <c r="AH1664" s="11">
        <f>_xlfn.XLOOKUP(B1664,[1]Sheet1!$B:$B,[1]Sheet1!$AB:$AB,0)</f>
        <v>0</v>
      </c>
    </row>
    <row r="1665" spans="2:34" ht="16.8" thickTop="1" thickBot="1" x14ac:dyDescent="0.35">
      <c r="B1665" s="3" t="str">
        <f t="shared" si="52"/>
        <v>451041045170000774510773422411200104</v>
      </c>
      <c r="C1665" s="8" t="s">
        <v>2607</v>
      </c>
      <c r="D1665" s="8" t="s">
        <v>2697</v>
      </c>
      <c r="E1665" s="8" t="s">
        <v>2698</v>
      </c>
      <c r="F1665" s="8" t="s">
        <v>2617</v>
      </c>
      <c r="G1665" s="4" t="s">
        <v>2896</v>
      </c>
      <c r="H1665" s="4" t="s">
        <v>2922</v>
      </c>
      <c r="I1665" s="8" t="s">
        <v>2384</v>
      </c>
      <c r="J1665" s="8" t="s">
        <v>31</v>
      </c>
      <c r="K1665" s="12">
        <f>_xlfn.XLOOKUP(B1665,[1]Sheet1!$B:$B,[1]Sheet1!$N:$N,0)</f>
        <v>0</v>
      </c>
      <c r="L1665" s="12">
        <f>_xlfn.XLOOKUP(B1665,[1]Sheet1!$B:$B,[1]Sheet1!$O:$O,0)</f>
        <v>0</v>
      </c>
      <c r="M1665" s="12">
        <f>_xlfn.XLOOKUP(B1665,[1]Sheet1!$B:$B,[1]Sheet1!$P:$P,0)</f>
        <v>0</v>
      </c>
      <c r="N1665" s="12">
        <f>_xlfn.XLOOKUP(B1665,[1]Sheet1!$B:$B,[1]Sheet1!$Q:$Q,0)</f>
        <v>0</v>
      </c>
      <c r="O1665" s="12">
        <f>_xlfn.XLOOKUP(B1665,[1]Sheet1!$B:$B,[1]Sheet1!$R:$R,0)</f>
        <v>0</v>
      </c>
      <c r="P1665" s="12">
        <f>_xlfn.XLOOKUP(B1665,[1]Sheet1!$B:$B,[1]Sheet1!$S:$S,0)</f>
        <v>0</v>
      </c>
      <c r="Q1665" s="12">
        <f>_xlfn.XLOOKUP(B1665,[1]Sheet1!$B:$B,[1]Sheet1!$T:$T,0)</f>
        <v>0</v>
      </c>
      <c r="R1665" s="12">
        <f>_xlfn.XLOOKUP(B1665,[1]Sheet1!$B:$B,[1]Sheet1!$U:$U,0)</f>
        <v>0</v>
      </c>
      <c r="S1665" s="12">
        <f>_xlfn.XLOOKUP(B1665,[1]Sheet1!$B:$B,[1]Sheet1!$V:$V,0)</f>
        <v>0</v>
      </c>
      <c r="T1665" s="12">
        <f>_xlfn.XLOOKUP(B1665,[1]Sheet1!$B:$B,[1]Sheet1!$W:$W,0)</f>
        <v>0</v>
      </c>
      <c r="U1665" s="12">
        <f>_xlfn.XLOOKUP(B1665,[1]Sheet1!$B:$B,[1]Sheet1!$X:$X,0)</f>
        <v>0</v>
      </c>
      <c r="V1665" s="12">
        <f>_xlfn.XLOOKUP(B1665,[1]Sheet1!$B:$B,[1]Sheet1!$Y:$Y,0)</f>
        <v>0</v>
      </c>
      <c r="W1665" s="12">
        <f t="shared" si="53"/>
        <v>0</v>
      </c>
      <c r="X1665" s="8" t="s">
        <v>2705</v>
      </c>
      <c r="Y1665" s="8" t="s">
        <v>2700</v>
      </c>
      <c r="Z1665" s="8" t="s">
        <v>2701</v>
      </c>
      <c r="AA1665" s="8" t="s">
        <v>2386</v>
      </c>
      <c r="AB1665" s="8" t="s">
        <v>36</v>
      </c>
      <c r="AC1665" s="8" t="s">
        <v>37</v>
      </c>
      <c r="AD1665" s="8" t="s">
        <v>2340</v>
      </c>
      <c r="AE1665" s="8" t="s">
        <v>2208</v>
      </c>
      <c r="AF1665" s="8" t="s">
        <v>2211</v>
      </c>
      <c r="AG1665" s="9">
        <v>10688565.5</v>
      </c>
      <c r="AH1665" s="11">
        <f>_xlfn.XLOOKUP(B1665,[1]Sheet1!$B:$B,[1]Sheet1!$AB:$AB,0)</f>
        <v>0</v>
      </c>
    </row>
    <row r="1666" spans="2:34" ht="16.8" thickTop="1" thickBot="1" x14ac:dyDescent="0.35">
      <c r="B1666" s="3" t="str">
        <f t="shared" si="52"/>
        <v>451041045170000774510774422411200104</v>
      </c>
      <c r="C1666" s="6" t="s">
        <v>2607</v>
      </c>
      <c r="D1666" s="6" t="s">
        <v>2697</v>
      </c>
      <c r="E1666" s="6" t="s">
        <v>2698</v>
      </c>
      <c r="F1666" s="6" t="s">
        <v>2724</v>
      </c>
      <c r="G1666" s="4" t="s">
        <v>2896</v>
      </c>
      <c r="H1666" s="4" t="s">
        <v>2922</v>
      </c>
      <c r="I1666" s="6" t="s">
        <v>2384</v>
      </c>
      <c r="J1666" s="6" t="s">
        <v>31</v>
      </c>
      <c r="K1666" s="12">
        <f>_xlfn.XLOOKUP(B1666,[1]Sheet1!$B:$B,[1]Sheet1!$N:$N,0)</f>
        <v>0</v>
      </c>
      <c r="L1666" s="12">
        <f>_xlfn.XLOOKUP(B1666,[1]Sheet1!$B:$B,[1]Sheet1!$O:$O,0)</f>
        <v>0</v>
      </c>
      <c r="M1666" s="12">
        <f>_xlfn.XLOOKUP(B1666,[1]Sheet1!$B:$B,[1]Sheet1!$P:$P,0)</f>
        <v>0</v>
      </c>
      <c r="N1666" s="12">
        <f>_xlfn.XLOOKUP(B1666,[1]Sheet1!$B:$B,[1]Sheet1!$Q:$Q,0)</f>
        <v>0</v>
      </c>
      <c r="O1666" s="12">
        <f>_xlfn.XLOOKUP(B1666,[1]Sheet1!$B:$B,[1]Sheet1!$R:$R,0)</f>
        <v>0</v>
      </c>
      <c r="P1666" s="12">
        <f>_xlfn.XLOOKUP(B1666,[1]Sheet1!$B:$B,[1]Sheet1!$S:$S,0)</f>
        <v>0</v>
      </c>
      <c r="Q1666" s="12">
        <f>_xlfn.XLOOKUP(B1666,[1]Sheet1!$B:$B,[1]Sheet1!$T:$T,0)</f>
        <v>0</v>
      </c>
      <c r="R1666" s="12">
        <f>_xlfn.XLOOKUP(B1666,[1]Sheet1!$B:$B,[1]Sheet1!$U:$U,0)</f>
        <v>0</v>
      </c>
      <c r="S1666" s="12">
        <f>_xlfn.XLOOKUP(B1666,[1]Sheet1!$B:$B,[1]Sheet1!$V:$V,0)</f>
        <v>0</v>
      </c>
      <c r="T1666" s="12">
        <f>_xlfn.XLOOKUP(B1666,[1]Sheet1!$B:$B,[1]Sheet1!$W:$W,0)</f>
        <v>0</v>
      </c>
      <c r="U1666" s="12">
        <f>_xlfn.XLOOKUP(B1666,[1]Sheet1!$B:$B,[1]Sheet1!$X:$X,0)</f>
        <v>0</v>
      </c>
      <c r="V1666" s="12">
        <f>_xlfn.XLOOKUP(B1666,[1]Sheet1!$B:$B,[1]Sheet1!$Y:$Y,0)</f>
        <v>0</v>
      </c>
      <c r="W1666" s="12">
        <f t="shared" si="53"/>
        <v>0</v>
      </c>
      <c r="X1666" s="6" t="s">
        <v>2705</v>
      </c>
      <c r="Y1666" s="6" t="s">
        <v>2700</v>
      </c>
      <c r="Z1666" s="6" t="s">
        <v>2701</v>
      </c>
      <c r="AA1666" s="6" t="s">
        <v>2386</v>
      </c>
      <c r="AB1666" s="6" t="s">
        <v>36</v>
      </c>
      <c r="AC1666" s="6" t="s">
        <v>37</v>
      </c>
      <c r="AD1666" s="6" t="s">
        <v>2340</v>
      </c>
      <c r="AE1666" s="6" t="s">
        <v>2208</v>
      </c>
      <c r="AF1666" s="6" t="s">
        <v>2211</v>
      </c>
      <c r="AG1666" s="7">
        <v>65000000</v>
      </c>
      <c r="AH1666" s="11">
        <f>_xlfn.XLOOKUP(B1666,[1]Sheet1!$B:$B,[1]Sheet1!$AB:$AB,0)</f>
        <v>0</v>
      </c>
    </row>
    <row r="1667" spans="2:34" ht="16.8" thickTop="1" thickBot="1" x14ac:dyDescent="0.35">
      <c r="B1667" s="3" t="str">
        <f t="shared" si="52"/>
        <v>451041045170000774510775432625200104</v>
      </c>
      <c r="C1667" s="8" t="s">
        <v>2607</v>
      </c>
      <c r="D1667" s="8" t="s">
        <v>2697</v>
      </c>
      <c r="E1667" s="8" t="s">
        <v>2698</v>
      </c>
      <c r="F1667" s="8" t="s">
        <v>2725</v>
      </c>
      <c r="G1667" s="4" t="s">
        <v>2907</v>
      </c>
      <c r="H1667" s="4" t="s">
        <v>2922</v>
      </c>
      <c r="I1667" s="8" t="s">
        <v>2471</v>
      </c>
      <c r="J1667" s="8" t="s">
        <v>31</v>
      </c>
      <c r="K1667" s="12">
        <f>_xlfn.XLOOKUP(B1667,[1]Sheet1!$B:$B,[1]Sheet1!$N:$N,0)</f>
        <v>0</v>
      </c>
      <c r="L1667" s="12">
        <f>_xlfn.XLOOKUP(B1667,[1]Sheet1!$B:$B,[1]Sheet1!$O:$O,0)</f>
        <v>0</v>
      </c>
      <c r="M1667" s="12">
        <f>_xlfn.XLOOKUP(B1667,[1]Sheet1!$B:$B,[1]Sheet1!$P:$P,0)</f>
        <v>0</v>
      </c>
      <c r="N1667" s="12">
        <f>_xlfn.XLOOKUP(B1667,[1]Sheet1!$B:$B,[1]Sheet1!$Q:$Q,0)</f>
        <v>0</v>
      </c>
      <c r="O1667" s="12">
        <f>_xlfn.XLOOKUP(B1667,[1]Sheet1!$B:$B,[1]Sheet1!$R:$R,0)</f>
        <v>0</v>
      </c>
      <c r="P1667" s="12">
        <f>_xlfn.XLOOKUP(B1667,[1]Sheet1!$B:$B,[1]Sheet1!$S:$S,0)</f>
        <v>0</v>
      </c>
      <c r="Q1667" s="12">
        <f>_xlfn.XLOOKUP(B1667,[1]Sheet1!$B:$B,[1]Sheet1!$T:$T,0)</f>
        <v>0</v>
      </c>
      <c r="R1667" s="12">
        <f>_xlfn.XLOOKUP(B1667,[1]Sheet1!$B:$B,[1]Sheet1!$U:$U,0)</f>
        <v>0</v>
      </c>
      <c r="S1667" s="12">
        <f>_xlfn.XLOOKUP(B1667,[1]Sheet1!$B:$B,[1]Sheet1!$V:$V,0)</f>
        <v>0</v>
      </c>
      <c r="T1667" s="12">
        <f>_xlfn.XLOOKUP(B1667,[1]Sheet1!$B:$B,[1]Sheet1!$W:$W,0)</f>
        <v>0</v>
      </c>
      <c r="U1667" s="12">
        <f>_xlfn.XLOOKUP(B1667,[1]Sheet1!$B:$B,[1]Sheet1!$X:$X,0)</f>
        <v>0</v>
      </c>
      <c r="V1667" s="12">
        <f>_xlfn.XLOOKUP(B1667,[1]Sheet1!$B:$B,[1]Sheet1!$Y:$Y,0)</f>
        <v>0</v>
      </c>
      <c r="W1667" s="12">
        <f t="shared" si="53"/>
        <v>0</v>
      </c>
      <c r="X1667" s="8" t="s">
        <v>2702</v>
      </c>
      <c r="Y1667" s="8" t="s">
        <v>2700</v>
      </c>
      <c r="Z1667" s="8" t="s">
        <v>2701</v>
      </c>
      <c r="AA1667" s="8" t="s">
        <v>2471</v>
      </c>
      <c r="AB1667" s="8" t="s">
        <v>36</v>
      </c>
      <c r="AC1667" s="8" t="s">
        <v>37</v>
      </c>
      <c r="AD1667" s="8" t="s">
        <v>2340</v>
      </c>
      <c r="AE1667" s="8" t="s">
        <v>2208</v>
      </c>
      <c r="AF1667" s="8" t="s">
        <v>2211</v>
      </c>
      <c r="AG1667" s="9">
        <v>16000000</v>
      </c>
      <c r="AH1667" s="11">
        <f>_xlfn.XLOOKUP(B1667,[1]Sheet1!$B:$B,[1]Sheet1!$AB:$AB,0)</f>
        <v>0</v>
      </c>
    </row>
    <row r="1668" spans="2:34" ht="16.8" thickTop="1" thickBot="1" x14ac:dyDescent="0.35">
      <c r="B1668" s="3" t="str">
        <f t="shared" ref="B1668:B1731" si="54">C1668&amp;D1668&amp;F1668&amp;G1668&amp;H1668</f>
        <v>451041045170000774510777426212200104</v>
      </c>
      <c r="C1668" s="6" t="s">
        <v>2607</v>
      </c>
      <c r="D1668" s="6" t="s">
        <v>2697</v>
      </c>
      <c r="E1668" s="6" t="s">
        <v>2698</v>
      </c>
      <c r="F1668" s="6" t="s">
        <v>2564</v>
      </c>
      <c r="G1668" s="4" t="s">
        <v>2814</v>
      </c>
      <c r="H1668" s="4" t="s">
        <v>2922</v>
      </c>
      <c r="I1668" s="6" t="s">
        <v>96</v>
      </c>
      <c r="J1668" s="6" t="s">
        <v>31</v>
      </c>
      <c r="K1668" s="12">
        <f>_xlfn.XLOOKUP(B1668,[1]Sheet1!$B:$B,[1]Sheet1!$N:$N,0)</f>
        <v>0</v>
      </c>
      <c r="L1668" s="12">
        <f>_xlfn.XLOOKUP(B1668,[1]Sheet1!$B:$B,[1]Sheet1!$O:$O,0)</f>
        <v>0</v>
      </c>
      <c r="M1668" s="12">
        <f>_xlfn.XLOOKUP(B1668,[1]Sheet1!$B:$B,[1]Sheet1!$P:$P,0)</f>
        <v>0</v>
      </c>
      <c r="N1668" s="12">
        <f>_xlfn.XLOOKUP(B1668,[1]Sheet1!$B:$B,[1]Sheet1!$Q:$Q,0)</f>
        <v>0</v>
      </c>
      <c r="O1668" s="12">
        <f>_xlfn.XLOOKUP(B1668,[1]Sheet1!$B:$B,[1]Sheet1!$R:$R,0)</f>
        <v>0</v>
      </c>
      <c r="P1668" s="12">
        <f>_xlfn.XLOOKUP(B1668,[1]Sheet1!$B:$B,[1]Sheet1!$S:$S,0)</f>
        <v>0</v>
      </c>
      <c r="Q1668" s="12">
        <f>_xlfn.XLOOKUP(B1668,[1]Sheet1!$B:$B,[1]Sheet1!$T:$T,0)</f>
        <v>0</v>
      </c>
      <c r="R1668" s="12">
        <f>_xlfn.XLOOKUP(B1668,[1]Sheet1!$B:$B,[1]Sheet1!$U:$U,0)</f>
        <v>0</v>
      </c>
      <c r="S1668" s="12">
        <f>_xlfn.XLOOKUP(B1668,[1]Sheet1!$B:$B,[1]Sheet1!$V:$V,0)</f>
        <v>0</v>
      </c>
      <c r="T1668" s="12">
        <f>_xlfn.XLOOKUP(B1668,[1]Sheet1!$B:$B,[1]Sheet1!$W:$W,0)</f>
        <v>0</v>
      </c>
      <c r="U1668" s="12">
        <f>_xlfn.XLOOKUP(B1668,[1]Sheet1!$B:$B,[1]Sheet1!$X:$X,0)</f>
        <v>0</v>
      </c>
      <c r="V1668" s="12">
        <f>_xlfn.XLOOKUP(B1668,[1]Sheet1!$B:$B,[1]Sheet1!$Y:$Y,0)</f>
        <v>0</v>
      </c>
      <c r="W1668" s="12">
        <f t="shared" ref="W1668:W1731" si="55">SUM(K1668:V1668)</f>
        <v>0</v>
      </c>
      <c r="X1668" s="6" t="s">
        <v>2726</v>
      </c>
      <c r="Y1668" s="6" t="s">
        <v>2700</v>
      </c>
      <c r="Z1668" s="6" t="s">
        <v>2701</v>
      </c>
      <c r="AA1668" s="6" t="s">
        <v>96</v>
      </c>
      <c r="AB1668" s="6" t="s">
        <v>36</v>
      </c>
      <c r="AC1668" s="6" t="s">
        <v>37</v>
      </c>
      <c r="AD1668" s="6" t="s">
        <v>2340</v>
      </c>
      <c r="AE1668" s="6" t="s">
        <v>2208</v>
      </c>
      <c r="AF1668" s="6" t="s">
        <v>2211</v>
      </c>
      <c r="AG1668" s="7">
        <v>6821000</v>
      </c>
      <c r="AH1668" s="11">
        <f>_xlfn.XLOOKUP(B1668,[1]Sheet1!$B:$B,[1]Sheet1!$AB:$AB,0)</f>
        <v>0</v>
      </c>
    </row>
    <row r="1669" spans="2:34" ht="16.8" thickTop="1" thickBot="1" x14ac:dyDescent="0.35">
      <c r="B1669" s="3" t="str">
        <f t="shared" si="54"/>
        <v>451041045170000774510778491811300105</v>
      </c>
      <c r="C1669" s="8" t="s">
        <v>2607</v>
      </c>
      <c r="D1669" s="8" t="s">
        <v>2697</v>
      </c>
      <c r="E1669" s="8" t="s">
        <v>2698</v>
      </c>
      <c r="F1669" s="8" t="s">
        <v>2626</v>
      </c>
      <c r="G1669" s="4" t="s">
        <v>2825</v>
      </c>
      <c r="H1669" s="4" t="s">
        <v>2923</v>
      </c>
      <c r="I1669" s="8" t="s">
        <v>226</v>
      </c>
      <c r="J1669" s="8" t="s">
        <v>31</v>
      </c>
      <c r="K1669" s="12">
        <f>_xlfn.XLOOKUP(B1669,[1]Sheet1!$B:$B,[1]Sheet1!$N:$N,0)</f>
        <v>0</v>
      </c>
      <c r="L1669" s="12">
        <f>_xlfn.XLOOKUP(B1669,[1]Sheet1!$B:$B,[1]Sheet1!$O:$O,0)</f>
        <v>0</v>
      </c>
      <c r="M1669" s="12">
        <f>_xlfn.XLOOKUP(B1669,[1]Sheet1!$B:$B,[1]Sheet1!$P:$P,0)</f>
        <v>0</v>
      </c>
      <c r="N1669" s="12">
        <f>_xlfn.XLOOKUP(B1669,[1]Sheet1!$B:$B,[1]Sheet1!$Q:$Q,0)</f>
        <v>0</v>
      </c>
      <c r="O1669" s="12">
        <f>_xlfn.XLOOKUP(B1669,[1]Sheet1!$B:$B,[1]Sheet1!$R:$R,0)</f>
        <v>0</v>
      </c>
      <c r="P1669" s="12">
        <f>_xlfn.XLOOKUP(B1669,[1]Sheet1!$B:$B,[1]Sheet1!$S:$S,0)</f>
        <v>0</v>
      </c>
      <c r="Q1669" s="12">
        <f>_xlfn.XLOOKUP(B1669,[1]Sheet1!$B:$B,[1]Sheet1!$T:$T,0)</f>
        <v>0</v>
      </c>
      <c r="R1669" s="12">
        <f>_xlfn.XLOOKUP(B1669,[1]Sheet1!$B:$B,[1]Sheet1!$U:$U,0)</f>
        <v>0</v>
      </c>
      <c r="S1669" s="12">
        <f>_xlfn.XLOOKUP(B1669,[1]Sheet1!$B:$B,[1]Sheet1!$V:$V,0)</f>
        <v>0</v>
      </c>
      <c r="T1669" s="12">
        <f>_xlfn.XLOOKUP(B1669,[1]Sheet1!$B:$B,[1]Sheet1!$W:$W,0)</f>
        <v>0</v>
      </c>
      <c r="U1669" s="12">
        <f>_xlfn.XLOOKUP(B1669,[1]Sheet1!$B:$B,[1]Sheet1!$X:$X,0)</f>
        <v>0</v>
      </c>
      <c r="V1669" s="12">
        <f>_xlfn.XLOOKUP(B1669,[1]Sheet1!$B:$B,[1]Sheet1!$Y:$Y,0)</f>
        <v>0</v>
      </c>
      <c r="W1669" s="12">
        <f t="shared" si="55"/>
        <v>0</v>
      </c>
      <c r="X1669" s="8" t="s">
        <v>2720</v>
      </c>
      <c r="Y1669" s="8" t="s">
        <v>2700</v>
      </c>
      <c r="Z1669" s="8" t="s">
        <v>2701</v>
      </c>
      <c r="AA1669" s="8" t="s">
        <v>228</v>
      </c>
      <c r="AB1669" s="8" t="s">
        <v>93</v>
      </c>
      <c r="AC1669" s="8" t="s">
        <v>94</v>
      </c>
      <c r="AD1669" s="8" t="s">
        <v>2272</v>
      </c>
      <c r="AE1669" s="8" t="s">
        <v>2208</v>
      </c>
      <c r="AF1669" s="8" t="s">
        <v>2211</v>
      </c>
      <c r="AG1669" s="9">
        <v>52500000</v>
      </c>
      <c r="AH1669" s="11">
        <f>_xlfn.XLOOKUP(B1669,[1]Sheet1!$B:$B,[1]Sheet1!$AB:$AB,0)</f>
        <v>0</v>
      </c>
    </row>
    <row r="1670" spans="2:34" ht="16.8" thickTop="1" thickBot="1" x14ac:dyDescent="0.35">
      <c r="B1670" s="3" t="str">
        <f t="shared" si="54"/>
        <v>451414045170000774510809491211300105</v>
      </c>
      <c r="C1670" s="6" t="s">
        <v>2239</v>
      </c>
      <c r="D1670" s="6" t="s">
        <v>2697</v>
      </c>
      <c r="E1670" s="6" t="s">
        <v>2698</v>
      </c>
      <c r="F1670" s="6" t="s">
        <v>2727</v>
      </c>
      <c r="G1670" s="4" t="s">
        <v>2839</v>
      </c>
      <c r="H1670" s="4" t="s">
        <v>2923</v>
      </c>
      <c r="I1670" s="6" t="s">
        <v>411</v>
      </c>
      <c r="J1670" s="6" t="s">
        <v>31</v>
      </c>
      <c r="K1670" s="12">
        <f>_xlfn.XLOOKUP(B1670,[1]Sheet1!$B:$B,[1]Sheet1!$N:$N,0)</f>
        <v>0</v>
      </c>
      <c r="L1670" s="12">
        <f>_xlfn.XLOOKUP(B1670,[1]Sheet1!$B:$B,[1]Sheet1!$O:$O,0)</f>
        <v>0</v>
      </c>
      <c r="M1670" s="12">
        <f>_xlfn.XLOOKUP(B1670,[1]Sheet1!$B:$B,[1]Sheet1!$P:$P,0)</f>
        <v>0</v>
      </c>
      <c r="N1670" s="12">
        <f>_xlfn.XLOOKUP(B1670,[1]Sheet1!$B:$B,[1]Sheet1!$Q:$Q,0)</f>
        <v>0</v>
      </c>
      <c r="O1670" s="12">
        <f>_xlfn.XLOOKUP(B1670,[1]Sheet1!$B:$B,[1]Sheet1!$R:$R,0)</f>
        <v>0</v>
      </c>
      <c r="P1670" s="12">
        <f>_xlfn.XLOOKUP(B1670,[1]Sheet1!$B:$B,[1]Sheet1!$S:$S,0)</f>
        <v>0</v>
      </c>
      <c r="Q1670" s="12">
        <f>_xlfn.XLOOKUP(B1670,[1]Sheet1!$B:$B,[1]Sheet1!$T:$T,0)</f>
        <v>0</v>
      </c>
      <c r="R1670" s="12">
        <f>_xlfn.XLOOKUP(B1670,[1]Sheet1!$B:$B,[1]Sheet1!$U:$U,0)</f>
        <v>0</v>
      </c>
      <c r="S1670" s="12">
        <f>_xlfn.XLOOKUP(B1670,[1]Sheet1!$B:$B,[1]Sheet1!$V:$V,0)</f>
        <v>0</v>
      </c>
      <c r="T1670" s="12">
        <f>_xlfn.XLOOKUP(B1670,[1]Sheet1!$B:$B,[1]Sheet1!$W:$W,0)</f>
        <v>0</v>
      </c>
      <c r="U1670" s="12">
        <f>_xlfn.XLOOKUP(B1670,[1]Sheet1!$B:$B,[1]Sheet1!$X:$X,0)</f>
        <v>0</v>
      </c>
      <c r="V1670" s="12">
        <f>_xlfn.XLOOKUP(B1670,[1]Sheet1!$B:$B,[1]Sheet1!$Y:$Y,0)</f>
        <v>0</v>
      </c>
      <c r="W1670" s="12">
        <f t="shared" si="55"/>
        <v>0</v>
      </c>
      <c r="X1670" s="6" t="s">
        <v>2728</v>
      </c>
      <c r="Y1670" s="6" t="s">
        <v>2208</v>
      </c>
      <c r="Z1670" s="6" t="s">
        <v>2238</v>
      </c>
      <c r="AA1670" s="6" t="s">
        <v>411</v>
      </c>
      <c r="AB1670" s="6" t="s">
        <v>93</v>
      </c>
      <c r="AC1670" s="6" t="s">
        <v>94</v>
      </c>
      <c r="AD1670" s="6" t="s">
        <v>2272</v>
      </c>
      <c r="AE1670" s="6" t="s">
        <v>2208</v>
      </c>
      <c r="AF1670" s="6" t="s">
        <v>2211</v>
      </c>
      <c r="AG1670" s="7">
        <v>74777714</v>
      </c>
      <c r="AH1670" s="11">
        <f>_xlfn.XLOOKUP(B1670,[1]Sheet1!$B:$B,[1]Sheet1!$AB:$AB,0)</f>
        <v>0</v>
      </c>
    </row>
    <row r="1671" spans="2:34" ht="16.8" thickTop="1" thickBot="1" x14ac:dyDescent="0.35">
      <c r="B1671" s="3" t="str">
        <f t="shared" si="54"/>
        <v>451413045170000784510710421122200104</v>
      </c>
      <c r="C1671" s="8" t="s">
        <v>2733</v>
      </c>
      <c r="D1671" s="8" t="s">
        <v>2729</v>
      </c>
      <c r="E1671" s="8" t="s">
        <v>2730</v>
      </c>
      <c r="F1671" s="8" t="s">
        <v>2280</v>
      </c>
      <c r="G1671" s="4" t="s">
        <v>2882</v>
      </c>
      <c r="H1671" s="4" t="s">
        <v>2922</v>
      </c>
      <c r="I1671" s="8" t="s">
        <v>2213</v>
      </c>
      <c r="J1671" s="8" t="s">
        <v>31</v>
      </c>
      <c r="K1671" s="12">
        <f>_xlfn.XLOOKUP(B1671,[1]Sheet1!$B:$B,[1]Sheet1!$N:$N,0)</f>
        <v>0</v>
      </c>
      <c r="L1671" s="12">
        <f>_xlfn.XLOOKUP(B1671,[1]Sheet1!$B:$B,[1]Sheet1!$O:$O,0)</f>
        <v>0</v>
      </c>
      <c r="M1671" s="12">
        <f>_xlfn.XLOOKUP(B1671,[1]Sheet1!$B:$B,[1]Sheet1!$P:$P,0)</f>
        <v>0</v>
      </c>
      <c r="N1671" s="12">
        <f>_xlfn.XLOOKUP(B1671,[1]Sheet1!$B:$B,[1]Sheet1!$Q:$Q,0)</f>
        <v>0</v>
      </c>
      <c r="O1671" s="12">
        <f>_xlfn.XLOOKUP(B1671,[1]Sheet1!$B:$B,[1]Sheet1!$R:$R,0)</f>
        <v>0</v>
      </c>
      <c r="P1671" s="12">
        <f>_xlfn.XLOOKUP(B1671,[1]Sheet1!$B:$B,[1]Sheet1!$S:$S,0)</f>
        <v>0</v>
      </c>
      <c r="Q1671" s="12">
        <f>_xlfn.XLOOKUP(B1671,[1]Sheet1!$B:$B,[1]Sheet1!$T:$T,0)</f>
        <v>0</v>
      </c>
      <c r="R1671" s="12">
        <f>_xlfn.XLOOKUP(B1671,[1]Sheet1!$B:$B,[1]Sheet1!$U:$U,0)</f>
        <v>0</v>
      </c>
      <c r="S1671" s="12">
        <f>_xlfn.XLOOKUP(B1671,[1]Sheet1!$B:$B,[1]Sheet1!$V:$V,0)</f>
        <v>0</v>
      </c>
      <c r="T1671" s="12">
        <f>_xlfn.XLOOKUP(B1671,[1]Sheet1!$B:$B,[1]Sheet1!$W:$W,0)</f>
        <v>0</v>
      </c>
      <c r="U1671" s="12">
        <f>_xlfn.XLOOKUP(B1671,[1]Sheet1!$B:$B,[1]Sheet1!$X:$X,0)</f>
        <v>0</v>
      </c>
      <c r="V1671" s="12">
        <f>_xlfn.XLOOKUP(B1671,[1]Sheet1!$B:$B,[1]Sheet1!$Y:$Y,0)</f>
        <v>0</v>
      </c>
      <c r="W1671" s="12">
        <f t="shared" si="55"/>
        <v>0</v>
      </c>
      <c r="X1671" s="8" t="s">
        <v>2731</v>
      </c>
      <c r="Y1671" s="8" t="s">
        <v>2208</v>
      </c>
      <c r="Z1671" s="8" t="s">
        <v>2732</v>
      </c>
      <c r="AA1671" s="8" t="s">
        <v>2215</v>
      </c>
      <c r="AB1671" s="8" t="s">
        <v>36</v>
      </c>
      <c r="AC1671" s="8" t="s">
        <v>37</v>
      </c>
      <c r="AD1671" s="8" t="s">
        <v>468</v>
      </c>
      <c r="AE1671" s="8" t="s">
        <v>2208</v>
      </c>
      <c r="AF1671" s="8" t="s">
        <v>2211</v>
      </c>
      <c r="AG1671" s="9">
        <v>1430000</v>
      </c>
      <c r="AH1671" s="11">
        <f>_xlfn.XLOOKUP(B1671,[1]Sheet1!$B:$B,[1]Sheet1!$AB:$AB,0)</f>
        <v>0</v>
      </c>
    </row>
    <row r="1672" spans="2:34" ht="16.8" thickTop="1" thickBot="1" x14ac:dyDescent="0.35">
      <c r="B1672" s="3" t="str">
        <f t="shared" si="54"/>
        <v>451413045170000784510713422411200104</v>
      </c>
      <c r="C1672" s="6" t="s">
        <v>2733</v>
      </c>
      <c r="D1672" s="6" t="s">
        <v>2729</v>
      </c>
      <c r="E1672" s="6" t="s">
        <v>2730</v>
      </c>
      <c r="F1672" s="6" t="s">
        <v>2383</v>
      </c>
      <c r="G1672" s="4" t="s">
        <v>2896</v>
      </c>
      <c r="H1672" s="4" t="s">
        <v>2922</v>
      </c>
      <c r="I1672" s="6" t="s">
        <v>2384</v>
      </c>
      <c r="J1672" s="6" t="s">
        <v>31</v>
      </c>
      <c r="K1672" s="12">
        <f>_xlfn.XLOOKUP(B1672,[1]Sheet1!$B:$B,[1]Sheet1!$N:$N,0)</f>
        <v>0</v>
      </c>
      <c r="L1672" s="12">
        <f>_xlfn.XLOOKUP(B1672,[1]Sheet1!$B:$B,[1]Sheet1!$O:$O,0)</f>
        <v>0</v>
      </c>
      <c r="M1672" s="12">
        <f>_xlfn.XLOOKUP(B1672,[1]Sheet1!$B:$B,[1]Sheet1!$P:$P,0)</f>
        <v>0</v>
      </c>
      <c r="N1672" s="12">
        <f>_xlfn.XLOOKUP(B1672,[1]Sheet1!$B:$B,[1]Sheet1!$Q:$Q,0)</f>
        <v>0</v>
      </c>
      <c r="O1672" s="12">
        <f>_xlfn.XLOOKUP(B1672,[1]Sheet1!$B:$B,[1]Sheet1!$R:$R,0)</f>
        <v>0</v>
      </c>
      <c r="P1672" s="12">
        <f>_xlfn.XLOOKUP(B1672,[1]Sheet1!$B:$B,[1]Sheet1!$S:$S,0)</f>
        <v>0</v>
      </c>
      <c r="Q1672" s="12">
        <f>_xlfn.XLOOKUP(B1672,[1]Sheet1!$B:$B,[1]Sheet1!$T:$T,0)</f>
        <v>0</v>
      </c>
      <c r="R1672" s="12">
        <f>_xlfn.XLOOKUP(B1672,[1]Sheet1!$B:$B,[1]Sheet1!$U:$U,0)</f>
        <v>0</v>
      </c>
      <c r="S1672" s="12">
        <f>_xlfn.XLOOKUP(B1672,[1]Sheet1!$B:$B,[1]Sheet1!$V:$V,0)</f>
        <v>0</v>
      </c>
      <c r="T1672" s="12">
        <f>_xlfn.XLOOKUP(B1672,[1]Sheet1!$B:$B,[1]Sheet1!$W:$W,0)</f>
        <v>0</v>
      </c>
      <c r="U1672" s="12">
        <f>_xlfn.XLOOKUP(B1672,[1]Sheet1!$B:$B,[1]Sheet1!$X:$X,0)</f>
        <v>0</v>
      </c>
      <c r="V1672" s="12">
        <f>_xlfn.XLOOKUP(B1672,[1]Sheet1!$B:$B,[1]Sheet1!$Y:$Y,0)</f>
        <v>0</v>
      </c>
      <c r="W1672" s="12">
        <f t="shared" si="55"/>
        <v>0</v>
      </c>
      <c r="X1672" s="6" t="s">
        <v>2734</v>
      </c>
      <c r="Y1672" s="6" t="s">
        <v>2208</v>
      </c>
      <c r="Z1672" s="6" t="s">
        <v>2732</v>
      </c>
      <c r="AA1672" s="6" t="s">
        <v>2386</v>
      </c>
      <c r="AB1672" s="6" t="s">
        <v>36</v>
      </c>
      <c r="AC1672" s="6" t="s">
        <v>37</v>
      </c>
      <c r="AD1672" s="6" t="s">
        <v>2340</v>
      </c>
      <c r="AE1672" s="6" t="s">
        <v>2208</v>
      </c>
      <c r="AF1672" s="6" t="s">
        <v>2211</v>
      </c>
      <c r="AG1672" s="7">
        <v>4430784</v>
      </c>
      <c r="AH1672" s="11">
        <f>_xlfn.XLOOKUP(B1672,[1]Sheet1!$B:$B,[1]Sheet1!$AB:$AB,0)</f>
        <v>0</v>
      </c>
    </row>
    <row r="1673" spans="2:34" ht="16.8" thickTop="1" thickBot="1" x14ac:dyDescent="0.35">
      <c r="B1673" s="3" t="str">
        <f t="shared" si="54"/>
        <v>451413045170000784510714424591200104</v>
      </c>
      <c r="C1673" s="8" t="s">
        <v>2733</v>
      </c>
      <c r="D1673" s="8" t="s">
        <v>2729</v>
      </c>
      <c r="E1673" s="8" t="s">
        <v>2730</v>
      </c>
      <c r="F1673" s="8" t="s">
        <v>2341</v>
      </c>
      <c r="G1673" s="4" t="s">
        <v>2836</v>
      </c>
      <c r="H1673" s="4" t="s">
        <v>2922</v>
      </c>
      <c r="I1673" s="8" t="s">
        <v>383</v>
      </c>
      <c r="J1673" s="8" t="s">
        <v>31</v>
      </c>
      <c r="K1673" s="12">
        <f>_xlfn.XLOOKUP(B1673,[1]Sheet1!$B:$B,[1]Sheet1!$N:$N,0)</f>
        <v>0</v>
      </c>
      <c r="L1673" s="12">
        <f>_xlfn.XLOOKUP(B1673,[1]Sheet1!$B:$B,[1]Sheet1!$O:$O,0)</f>
        <v>0</v>
      </c>
      <c r="M1673" s="12">
        <f>_xlfn.XLOOKUP(B1673,[1]Sheet1!$B:$B,[1]Sheet1!$P:$P,0)</f>
        <v>0</v>
      </c>
      <c r="N1673" s="12">
        <f>_xlfn.XLOOKUP(B1673,[1]Sheet1!$B:$B,[1]Sheet1!$Q:$Q,0)</f>
        <v>0</v>
      </c>
      <c r="O1673" s="12">
        <f>_xlfn.XLOOKUP(B1673,[1]Sheet1!$B:$B,[1]Sheet1!$R:$R,0)</f>
        <v>0</v>
      </c>
      <c r="P1673" s="12">
        <f>_xlfn.XLOOKUP(B1673,[1]Sheet1!$B:$B,[1]Sheet1!$S:$S,0)</f>
        <v>0</v>
      </c>
      <c r="Q1673" s="12">
        <f>_xlfn.XLOOKUP(B1673,[1]Sheet1!$B:$B,[1]Sheet1!$T:$T,0)</f>
        <v>0</v>
      </c>
      <c r="R1673" s="12">
        <f>_xlfn.XLOOKUP(B1673,[1]Sheet1!$B:$B,[1]Sheet1!$U:$U,0)</f>
        <v>0</v>
      </c>
      <c r="S1673" s="12">
        <f>_xlfn.XLOOKUP(B1673,[1]Sheet1!$B:$B,[1]Sheet1!$V:$V,0)</f>
        <v>0</v>
      </c>
      <c r="T1673" s="12">
        <f>_xlfn.XLOOKUP(B1673,[1]Sheet1!$B:$B,[1]Sheet1!$W:$W,0)</f>
        <v>0</v>
      </c>
      <c r="U1673" s="12">
        <f>_xlfn.XLOOKUP(B1673,[1]Sheet1!$B:$B,[1]Sheet1!$X:$X,0)</f>
        <v>0</v>
      </c>
      <c r="V1673" s="12">
        <f>_xlfn.XLOOKUP(B1673,[1]Sheet1!$B:$B,[1]Sheet1!$Y:$Y,0)</f>
        <v>0</v>
      </c>
      <c r="W1673" s="12">
        <f t="shared" si="55"/>
        <v>0</v>
      </c>
      <c r="X1673" s="8" t="s">
        <v>2735</v>
      </c>
      <c r="Y1673" s="8" t="s">
        <v>2208</v>
      </c>
      <c r="Z1673" s="8" t="s">
        <v>2732</v>
      </c>
      <c r="AA1673" s="8" t="s">
        <v>383</v>
      </c>
      <c r="AB1673" s="8" t="s">
        <v>36</v>
      </c>
      <c r="AC1673" s="8" t="s">
        <v>37</v>
      </c>
      <c r="AD1673" s="8" t="s">
        <v>2340</v>
      </c>
      <c r="AE1673" s="8" t="s">
        <v>2208</v>
      </c>
      <c r="AF1673" s="8" t="s">
        <v>2211</v>
      </c>
      <c r="AG1673" s="9">
        <v>648000</v>
      </c>
      <c r="AH1673" s="11">
        <f>_xlfn.XLOOKUP(B1673,[1]Sheet1!$B:$B,[1]Sheet1!$AB:$AB,0)</f>
        <v>0</v>
      </c>
    </row>
    <row r="1674" spans="2:34" ht="16.8" thickTop="1" thickBot="1" x14ac:dyDescent="0.35">
      <c r="B1674" s="3" t="str">
        <f t="shared" si="54"/>
        <v>451413045170000784510723424521200104</v>
      </c>
      <c r="C1674" s="6" t="s">
        <v>2733</v>
      </c>
      <c r="D1674" s="6" t="s">
        <v>2729</v>
      </c>
      <c r="E1674" s="6" t="s">
        <v>2730</v>
      </c>
      <c r="F1674" s="6" t="s">
        <v>2218</v>
      </c>
      <c r="G1674" s="4" t="s">
        <v>2804</v>
      </c>
      <c r="H1674" s="4" t="s">
        <v>2922</v>
      </c>
      <c r="I1674" s="6" t="s">
        <v>53</v>
      </c>
      <c r="J1674" s="6" t="s">
        <v>31</v>
      </c>
      <c r="K1674" s="12">
        <f>_xlfn.XLOOKUP(B1674,[1]Sheet1!$B:$B,[1]Sheet1!$N:$N,0)</f>
        <v>0</v>
      </c>
      <c r="L1674" s="12">
        <f>_xlfn.XLOOKUP(B1674,[1]Sheet1!$B:$B,[1]Sheet1!$O:$O,0)</f>
        <v>0</v>
      </c>
      <c r="M1674" s="12">
        <f>_xlfn.XLOOKUP(B1674,[1]Sheet1!$B:$B,[1]Sheet1!$P:$P,0)</f>
        <v>0</v>
      </c>
      <c r="N1674" s="12">
        <f>_xlfn.XLOOKUP(B1674,[1]Sheet1!$B:$B,[1]Sheet1!$Q:$Q,0)</f>
        <v>0</v>
      </c>
      <c r="O1674" s="12">
        <f>_xlfn.XLOOKUP(B1674,[1]Sheet1!$B:$B,[1]Sheet1!$R:$R,0)</f>
        <v>0</v>
      </c>
      <c r="P1674" s="12">
        <f>_xlfn.XLOOKUP(B1674,[1]Sheet1!$B:$B,[1]Sheet1!$S:$S,0)</f>
        <v>0</v>
      </c>
      <c r="Q1674" s="12">
        <f>_xlfn.XLOOKUP(B1674,[1]Sheet1!$B:$B,[1]Sheet1!$T:$T,0)</f>
        <v>0</v>
      </c>
      <c r="R1674" s="12">
        <f>_xlfn.XLOOKUP(B1674,[1]Sheet1!$B:$B,[1]Sheet1!$U:$U,0)</f>
        <v>0</v>
      </c>
      <c r="S1674" s="12">
        <f>_xlfn.XLOOKUP(B1674,[1]Sheet1!$B:$B,[1]Sheet1!$V:$V,0)</f>
        <v>0</v>
      </c>
      <c r="T1674" s="12">
        <f>_xlfn.XLOOKUP(B1674,[1]Sheet1!$B:$B,[1]Sheet1!$W:$W,0)</f>
        <v>0</v>
      </c>
      <c r="U1674" s="12">
        <f>_xlfn.XLOOKUP(B1674,[1]Sheet1!$B:$B,[1]Sheet1!$X:$X,0)</f>
        <v>0</v>
      </c>
      <c r="V1674" s="12">
        <f>_xlfn.XLOOKUP(B1674,[1]Sheet1!$B:$B,[1]Sheet1!$Y:$Y,0)</f>
        <v>0</v>
      </c>
      <c r="W1674" s="12">
        <f t="shared" si="55"/>
        <v>0</v>
      </c>
      <c r="X1674" s="6" t="s">
        <v>2736</v>
      </c>
      <c r="Y1674" s="6" t="s">
        <v>2208</v>
      </c>
      <c r="Z1674" s="6" t="s">
        <v>2732</v>
      </c>
      <c r="AA1674" s="6" t="s">
        <v>53</v>
      </c>
      <c r="AB1674" s="6" t="s">
        <v>36</v>
      </c>
      <c r="AC1674" s="6" t="s">
        <v>37</v>
      </c>
      <c r="AD1674" s="6" t="s">
        <v>135</v>
      </c>
      <c r="AE1674" s="6" t="s">
        <v>2208</v>
      </c>
      <c r="AF1674" s="6" t="s">
        <v>2211</v>
      </c>
      <c r="AG1674" s="7">
        <v>584000</v>
      </c>
      <c r="AH1674" s="11">
        <f>_xlfn.XLOOKUP(B1674,[1]Sheet1!$B:$B,[1]Sheet1!$AB:$AB,0)</f>
        <v>0</v>
      </c>
    </row>
    <row r="1675" spans="2:34" ht="16.8" thickTop="1" thickBot="1" x14ac:dyDescent="0.35">
      <c r="B1675" s="3" t="str">
        <f t="shared" si="54"/>
        <v>451413045170000784510740425203200104</v>
      </c>
      <c r="C1675" s="8" t="s">
        <v>2733</v>
      </c>
      <c r="D1675" s="8" t="s">
        <v>2729</v>
      </c>
      <c r="E1675" s="8" t="s">
        <v>2730</v>
      </c>
      <c r="F1675" s="8" t="s">
        <v>2268</v>
      </c>
      <c r="G1675" s="4" t="s">
        <v>2856</v>
      </c>
      <c r="H1675" s="4" t="s">
        <v>2922</v>
      </c>
      <c r="I1675" s="8" t="s">
        <v>703</v>
      </c>
      <c r="J1675" s="8" t="s">
        <v>31</v>
      </c>
      <c r="K1675" s="12">
        <f>_xlfn.XLOOKUP(B1675,[1]Sheet1!$B:$B,[1]Sheet1!$N:$N,0)</f>
        <v>0</v>
      </c>
      <c r="L1675" s="12">
        <f>_xlfn.XLOOKUP(B1675,[1]Sheet1!$B:$B,[1]Sheet1!$O:$O,0)</f>
        <v>0</v>
      </c>
      <c r="M1675" s="12">
        <f>_xlfn.XLOOKUP(B1675,[1]Sheet1!$B:$B,[1]Sheet1!$P:$P,0)</f>
        <v>0</v>
      </c>
      <c r="N1675" s="12">
        <f>_xlfn.XLOOKUP(B1675,[1]Sheet1!$B:$B,[1]Sheet1!$Q:$Q,0)</f>
        <v>0</v>
      </c>
      <c r="O1675" s="12">
        <f>_xlfn.XLOOKUP(B1675,[1]Sheet1!$B:$B,[1]Sheet1!$R:$R,0)</f>
        <v>0</v>
      </c>
      <c r="P1675" s="12">
        <f>_xlfn.XLOOKUP(B1675,[1]Sheet1!$B:$B,[1]Sheet1!$S:$S,0)</f>
        <v>0</v>
      </c>
      <c r="Q1675" s="12">
        <f>_xlfn.XLOOKUP(B1675,[1]Sheet1!$B:$B,[1]Sheet1!$T:$T,0)</f>
        <v>0</v>
      </c>
      <c r="R1675" s="12">
        <f>_xlfn.XLOOKUP(B1675,[1]Sheet1!$B:$B,[1]Sheet1!$U:$U,0)</f>
        <v>0</v>
      </c>
      <c r="S1675" s="12">
        <f>_xlfn.XLOOKUP(B1675,[1]Sheet1!$B:$B,[1]Sheet1!$V:$V,0)</f>
        <v>0</v>
      </c>
      <c r="T1675" s="12">
        <f>_xlfn.XLOOKUP(B1675,[1]Sheet1!$B:$B,[1]Sheet1!$W:$W,0)</f>
        <v>0</v>
      </c>
      <c r="U1675" s="12">
        <f>_xlfn.XLOOKUP(B1675,[1]Sheet1!$B:$B,[1]Sheet1!$X:$X,0)</f>
        <v>0</v>
      </c>
      <c r="V1675" s="12">
        <f>_xlfn.XLOOKUP(B1675,[1]Sheet1!$B:$B,[1]Sheet1!$Y:$Y,0)</f>
        <v>0</v>
      </c>
      <c r="W1675" s="12">
        <f t="shared" si="55"/>
        <v>0</v>
      </c>
      <c r="X1675" s="8" t="s">
        <v>2737</v>
      </c>
      <c r="Y1675" s="8" t="s">
        <v>2208</v>
      </c>
      <c r="Z1675" s="8" t="s">
        <v>2732</v>
      </c>
      <c r="AA1675" s="8" t="s">
        <v>703</v>
      </c>
      <c r="AB1675" s="8" t="s">
        <v>36</v>
      </c>
      <c r="AC1675" s="8" t="s">
        <v>37</v>
      </c>
      <c r="AD1675" s="8" t="s">
        <v>468</v>
      </c>
      <c r="AE1675" s="8" t="s">
        <v>2208</v>
      </c>
      <c r="AF1675" s="8" t="s">
        <v>2211</v>
      </c>
      <c r="AG1675" s="9">
        <v>7608779.5999999996</v>
      </c>
      <c r="AH1675" s="11">
        <f>_xlfn.XLOOKUP(B1675,[1]Sheet1!$B:$B,[1]Sheet1!$AB:$AB,0)</f>
        <v>0</v>
      </c>
    </row>
    <row r="1676" spans="2:34" ht="16.8" thickTop="1" thickBot="1" x14ac:dyDescent="0.35">
      <c r="B1676" s="3" t="str">
        <f t="shared" si="54"/>
        <v>451413045170000784510777426212200104</v>
      </c>
      <c r="C1676" s="6" t="s">
        <v>2733</v>
      </c>
      <c r="D1676" s="6" t="s">
        <v>2729</v>
      </c>
      <c r="E1676" s="6" t="s">
        <v>2730</v>
      </c>
      <c r="F1676" s="6" t="s">
        <v>2564</v>
      </c>
      <c r="G1676" s="4" t="s">
        <v>2814</v>
      </c>
      <c r="H1676" s="4" t="s">
        <v>2922</v>
      </c>
      <c r="I1676" s="6" t="s">
        <v>96</v>
      </c>
      <c r="J1676" s="6" t="s">
        <v>31</v>
      </c>
      <c r="K1676" s="12">
        <f>_xlfn.XLOOKUP(B1676,[1]Sheet1!$B:$B,[1]Sheet1!$N:$N,0)</f>
        <v>0</v>
      </c>
      <c r="L1676" s="12">
        <f>_xlfn.XLOOKUP(B1676,[1]Sheet1!$B:$B,[1]Sheet1!$O:$O,0)</f>
        <v>0</v>
      </c>
      <c r="M1676" s="12">
        <f>_xlfn.XLOOKUP(B1676,[1]Sheet1!$B:$B,[1]Sheet1!$P:$P,0)</f>
        <v>0</v>
      </c>
      <c r="N1676" s="12">
        <f>_xlfn.XLOOKUP(B1676,[1]Sheet1!$B:$B,[1]Sheet1!$Q:$Q,0)</f>
        <v>0</v>
      </c>
      <c r="O1676" s="12">
        <f>_xlfn.XLOOKUP(B1676,[1]Sheet1!$B:$B,[1]Sheet1!$R:$R,0)</f>
        <v>0</v>
      </c>
      <c r="P1676" s="12">
        <f>_xlfn.XLOOKUP(B1676,[1]Sheet1!$B:$B,[1]Sheet1!$S:$S,0)</f>
        <v>0</v>
      </c>
      <c r="Q1676" s="12">
        <f>_xlfn.XLOOKUP(B1676,[1]Sheet1!$B:$B,[1]Sheet1!$T:$T,0)</f>
        <v>0</v>
      </c>
      <c r="R1676" s="12">
        <f>_xlfn.XLOOKUP(B1676,[1]Sheet1!$B:$B,[1]Sheet1!$U:$U,0)</f>
        <v>0</v>
      </c>
      <c r="S1676" s="12">
        <f>_xlfn.XLOOKUP(B1676,[1]Sheet1!$B:$B,[1]Sheet1!$V:$V,0)</f>
        <v>0</v>
      </c>
      <c r="T1676" s="12">
        <f>_xlfn.XLOOKUP(B1676,[1]Sheet1!$B:$B,[1]Sheet1!$W:$W,0)</f>
        <v>0</v>
      </c>
      <c r="U1676" s="12">
        <f>_xlfn.XLOOKUP(B1676,[1]Sheet1!$B:$B,[1]Sheet1!$X:$X,0)</f>
        <v>0</v>
      </c>
      <c r="V1676" s="12">
        <f>_xlfn.XLOOKUP(B1676,[1]Sheet1!$B:$B,[1]Sheet1!$Y:$Y,0)</f>
        <v>0</v>
      </c>
      <c r="W1676" s="12">
        <f t="shared" si="55"/>
        <v>0</v>
      </c>
      <c r="X1676" s="6" t="s">
        <v>2738</v>
      </c>
      <c r="Y1676" s="6" t="s">
        <v>2208</v>
      </c>
      <c r="Z1676" s="6" t="s">
        <v>2732</v>
      </c>
      <c r="AA1676" s="6" t="s">
        <v>96</v>
      </c>
      <c r="AB1676" s="6" t="s">
        <v>36</v>
      </c>
      <c r="AC1676" s="6" t="s">
        <v>37</v>
      </c>
      <c r="AD1676" s="6" t="s">
        <v>2340</v>
      </c>
      <c r="AE1676" s="6" t="s">
        <v>2208</v>
      </c>
      <c r="AF1676" s="6" t="s">
        <v>2211</v>
      </c>
      <c r="AG1676" s="7">
        <v>5036640</v>
      </c>
      <c r="AH1676" s="11">
        <f>_xlfn.XLOOKUP(B1676,[1]Sheet1!$B:$B,[1]Sheet1!$AB:$AB,0)</f>
        <v>0</v>
      </c>
    </row>
    <row r="1677" spans="2:34" ht="16.8" thickTop="1" thickBot="1" x14ac:dyDescent="0.35">
      <c r="B1677" s="3" t="str">
        <f t="shared" si="54"/>
        <v>451413045170000784510787495215300105</v>
      </c>
      <c r="C1677" s="8" t="s">
        <v>2733</v>
      </c>
      <c r="D1677" s="8" t="s">
        <v>2729</v>
      </c>
      <c r="E1677" s="8" t="s">
        <v>2730</v>
      </c>
      <c r="F1677" s="8" t="s">
        <v>2270</v>
      </c>
      <c r="G1677" s="4" t="s">
        <v>2919</v>
      </c>
      <c r="H1677" s="4" t="s">
        <v>2923</v>
      </c>
      <c r="I1677" s="8" t="s">
        <v>2739</v>
      </c>
      <c r="J1677" s="8" t="s">
        <v>31</v>
      </c>
      <c r="K1677" s="12">
        <f>_xlfn.XLOOKUP(B1677,[1]Sheet1!$B:$B,[1]Sheet1!$N:$N,0)</f>
        <v>0</v>
      </c>
      <c r="L1677" s="12">
        <f>_xlfn.XLOOKUP(B1677,[1]Sheet1!$B:$B,[1]Sheet1!$O:$O,0)</f>
        <v>0</v>
      </c>
      <c r="M1677" s="12">
        <f>_xlfn.XLOOKUP(B1677,[1]Sheet1!$B:$B,[1]Sheet1!$P:$P,0)</f>
        <v>0</v>
      </c>
      <c r="N1677" s="12">
        <f>_xlfn.XLOOKUP(B1677,[1]Sheet1!$B:$B,[1]Sheet1!$Q:$Q,0)</f>
        <v>0</v>
      </c>
      <c r="O1677" s="12">
        <f>_xlfn.XLOOKUP(B1677,[1]Sheet1!$B:$B,[1]Sheet1!$R:$R,0)</f>
        <v>0</v>
      </c>
      <c r="P1677" s="12">
        <f>_xlfn.XLOOKUP(B1677,[1]Sheet1!$B:$B,[1]Sheet1!$S:$S,0)</f>
        <v>0</v>
      </c>
      <c r="Q1677" s="12">
        <f>_xlfn.XLOOKUP(B1677,[1]Sheet1!$B:$B,[1]Sheet1!$T:$T,0)</f>
        <v>0</v>
      </c>
      <c r="R1677" s="12">
        <f>_xlfn.XLOOKUP(B1677,[1]Sheet1!$B:$B,[1]Sheet1!$U:$U,0)</f>
        <v>0</v>
      </c>
      <c r="S1677" s="12">
        <f>_xlfn.XLOOKUP(B1677,[1]Sheet1!$B:$B,[1]Sheet1!$V:$V,0)</f>
        <v>0</v>
      </c>
      <c r="T1677" s="12">
        <f>_xlfn.XLOOKUP(B1677,[1]Sheet1!$B:$B,[1]Sheet1!$W:$W,0)</f>
        <v>0</v>
      </c>
      <c r="U1677" s="12">
        <f>_xlfn.XLOOKUP(B1677,[1]Sheet1!$B:$B,[1]Sheet1!$X:$X,0)</f>
        <v>0</v>
      </c>
      <c r="V1677" s="12">
        <f>_xlfn.XLOOKUP(B1677,[1]Sheet1!$B:$B,[1]Sheet1!$Y:$Y,0)</f>
        <v>0</v>
      </c>
      <c r="W1677" s="12">
        <f t="shared" si="55"/>
        <v>0</v>
      </c>
      <c r="X1677" s="8" t="s">
        <v>2740</v>
      </c>
      <c r="Y1677" s="8" t="s">
        <v>2208</v>
      </c>
      <c r="Z1677" s="8" t="s">
        <v>2732</v>
      </c>
      <c r="AA1677" s="8" t="s">
        <v>2739</v>
      </c>
      <c r="AB1677" s="8" t="s">
        <v>93</v>
      </c>
      <c r="AC1677" s="8" t="s">
        <v>94</v>
      </c>
      <c r="AD1677" s="8" t="s">
        <v>2272</v>
      </c>
      <c r="AE1677" s="8" t="s">
        <v>2208</v>
      </c>
      <c r="AF1677" s="8" t="s">
        <v>2211</v>
      </c>
      <c r="AG1677" s="9">
        <v>1482376</v>
      </c>
      <c r="AH1677" s="11">
        <f>_xlfn.XLOOKUP(B1677,[1]Sheet1!$B:$B,[1]Sheet1!$AB:$AB,0)</f>
        <v>0</v>
      </c>
    </row>
    <row r="1678" spans="2:34" ht="16.8" thickTop="1" thickBot="1" x14ac:dyDescent="0.35">
      <c r="B1678" s="3" t="str">
        <f t="shared" si="54"/>
        <v>451415045170000794510710421122200104</v>
      </c>
      <c r="C1678" s="6" t="s">
        <v>2745</v>
      </c>
      <c r="D1678" s="6" t="s">
        <v>2741</v>
      </c>
      <c r="E1678" s="6" t="s">
        <v>2742</v>
      </c>
      <c r="F1678" s="6" t="s">
        <v>2280</v>
      </c>
      <c r="G1678" s="4" t="s">
        <v>2882</v>
      </c>
      <c r="H1678" s="4" t="s">
        <v>2922</v>
      </c>
      <c r="I1678" s="6" t="s">
        <v>2213</v>
      </c>
      <c r="J1678" s="6" t="s">
        <v>31</v>
      </c>
      <c r="K1678" s="12">
        <f>_xlfn.XLOOKUP(B1678,[1]Sheet1!$B:$B,[1]Sheet1!$N:$N,0)</f>
        <v>0</v>
      </c>
      <c r="L1678" s="12">
        <f>_xlfn.XLOOKUP(B1678,[1]Sheet1!$B:$B,[1]Sheet1!$O:$O,0)</f>
        <v>0</v>
      </c>
      <c r="M1678" s="12">
        <f>_xlfn.XLOOKUP(B1678,[1]Sheet1!$B:$B,[1]Sheet1!$P:$P,0)</f>
        <v>0</v>
      </c>
      <c r="N1678" s="12">
        <f>_xlfn.XLOOKUP(B1678,[1]Sheet1!$B:$B,[1]Sheet1!$Q:$Q,0)</f>
        <v>0</v>
      </c>
      <c r="O1678" s="12">
        <f>_xlfn.XLOOKUP(B1678,[1]Sheet1!$B:$B,[1]Sheet1!$R:$R,0)</f>
        <v>0</v>
      </c>
      <c r="P1678" s="12">
        <f>_xlfn.XLOOKUP(B1678,[1]Sheet1!$B:$B,[1]Sheet1!$S:$S,0)</f>
        <v>0</v>
      </c>
      <c r="Q1678" s="12">
        <f>_xlfn.XLOOKUP(B1678,[1]Sheet1!$B:$B,[1]Sheet1!$T:$T,0)</f>
        <v>0</v>
      </c>
      <c r="R1678" s="12">
        <f>_xlfn.XLOOKUP(B1678,[1]Sheet1!$B:$B,[1]Sheet1!$U:$U,0)</f>
        <v>0</v>
      </c>
      <c r="S1678" s="12">
        <f>_xlfn.XLOOKUP(B1678,[1]Sheet1!$B:$B,[1]Sheet1!$V:$V,0)</f>
        <v>0</v>
      </c>
      <c r="T1678" s="12">
        <f>_xlfn.XLOOKUP(B1678,[1]Sheet1!$B:$B,[1]Sheet1!$W:$W,0)</f>
        <v>0</v>
      </c>
      <c r="U1678" s="12">
        <f>_xlfn.XLOOKUP(B1678,[1]Sheet1!$B:$B,[1]Sheet1!$X:$X,0)</f>
        <v>0</v>
      </c>
      <c r="V1678" s="12">
        <f>_xlfn.XLOOKUP(B1678,[1]Sheet1!$B:$B,[1]Sheet1!$Y:$Y,0)</f>
        <v>0</v>
      </c>
      <c r="W1678" s="12">
        <f t="shared" si="55"/>
        <v>0</v>
      </c>
      <c r="X1678" s="6" t="s">
        <v>2743</v>
      </c>
      <c r="Y1678" s="6" t="s">
        <v>2208</v>
      </c>
      <c r="Z1678" s="6" t="s">
        <v>2744</v>
      </c>
      <c r="AA1678" s="6" t="s">
        <v>2215</v>
      </c>
      <c r="AB1678" s="6" t="s">
        <v>36</v>
      </c>
      <c r="AC1678" s="6" t="s">
        <v>37</v>
      </c>
      <c r="AD1678" s="6" t="s">
        <v>2340</v>
      </c>
      <c r="AE1678" s="6" t="s">
        <v>2208</v>
      </c>
      <c r="AF1678" s="6" t="s">
        <v>2211</v>
      </c>
      <c r="AG1678" s="7">
        <v>900000</v>
      </c>
      <c r="AH1678" s="11">
        <f>_xlfn.XLOOKUP(B1678,[1]Sheet1!$B:$B,[1]Sheet1!$AB:$AB,0)</f>
        <v>0</v>
      </c>
    </row>
    <row r="1679" spans="2:34" ht="16.8" thickTop="1" thickBot="1" x14ac:dyDescent="0.35">
      <c r="B1679" s="3" t="str">
        <f t="shared" si="54"/>
        <v>451415045170000794510713422411200104</v>
      </c>
      <c r="C1679" s="8" t="s">
        <v>2745</v>
      </c>
      <c r="D1679" s="8" t="s">
        <v>2741</v>
      </c>
      <c r="E1679" s="8" t="s">
        <v>2742</v>
      </c>
      <c r="F1679" s="8" t="s">
        <v>2383</v>
      </c>
      <c r="G1679" s="4" t="s">
        <v>2896</v>
      </c>
      <c r="H1679" s="4" t="s">
        <v>2922</v>
      </c>
      <c r="I1679" s="8" t="s">
        <v>2384</v>
      </c>
      <c r="J1679" s="8" t="s">
        <v>31</v>
      </c>
      <c r="K1679" s="12">
        <f>_xlfn.XLOOKUP(B1679,[1]Sheet1!$B:$B,[1]Sheet1!$N:$N,0)</f>
        <v>0</v>
      </c>
      <c r="L1679" s="12">
        <f>_xlfn.XLOOKUP(B1679,[1]Sheet1!$B:$B,[1]Sheet1!$O:$O,0)</f>
        <v>0</v>
      </c>
      <c r="M1679" s="12">
        <f>_xlfn.XLOOKUP(B1679,[1]Sheet1!$B:$B,[1]Sheet1!$P:$P,0)</f>
        <v>0</v>
      </c>
      <c r="N1679" s="12">
        <f>_xlfn.XLOOKUP(B1679,[1]Sheet1!$B:$B,[1]Sheet1!$Q:$Q,0)</f>
        <v>0</v>
      </c>
      <c r="O1679" s="12">
        <f>_xlfn.XLOOKUP(B1679,[1]Sheet1!$B:$B,[1]Sheet1!$R:$R,0)</f>
        <v>0</v>
      </c>
      <c r="P1679" s="12">
        <f>_xlfn.XLOOKUP(B1679,[1]Sheet1!$B:$B,[1]Sheet1!$S:$S,0)</f>
        <v>0</v>
      </c>
      <c r="Q1679" s="12">
        <f>_xlfn.XLOOKUP(B1679,[1]Sheet1!$B:$B,[1]Sheet1!$T:$T,0)</f>
        <v>0</v>
      </c>
      <c r="R1679" s="12">
        <f>_xlfn.XLOOKUP(B1679,[1]Sheet1!$B:$B,[1]Sheet1!$U:$U,0)</f>
        <v>0</v>
      </c>
      <c r="S1679" s="12">
        <f>_xlfn.XLOOKUP(B1679,[1]Sheet1!$B:$B,[1]Sheet1!$V:$V,0)</f>
        <v>0</v>
      </c>
      <c r="T1679" s="12">
        <f>_xlfn.XLOOKUP(B1679,[1]Sheet1!$B:$B,[1]Sheet1!$W:$W,0)</f>
        <v>0</v>
      </c>
      <c r="U1679" s="12">
        <f>_xlfn.XLOOKUP(B1679,[1]Sheet1!$B:$B,[1]Sheet1!$X:$X,0)</f>
        <v>0</v>
      </c>
      <c r="V1679" s="12">
        <f>_xlfn.XLOOKUP(B1679,[1]Sheet1!$B:$B,[1]Sheet1!$Y:$Y,0)</f>
        <v>0</v>
      </c>
      <c r="W1679" s="12">
        <f t="shared" si="55"/>
        <v>0</v>
      </c>
      <c r="X1679" s="8" t="s">
        <v>2746</v>
      </c>
      <c r="Y1679" s="8" t="s">
        <v>2208</v>
      </c>
      <c r="Z1679" s="8" t="s">
        <v>2744</v>
      </c>
      <c r="AA1679" s="8" t="s">
        <v>2386</v>
      </c>
      <c r="AB1679" s="8" t="s">
        <v>36</v>
      </c>
      <c r="AC1679" s="8" t="s">
        <v>37</v>
      </c>
      <c r="AD1679" s="8" t="s">
        <v>2340</v>
      </c>
      <c r="AE1679" s="8" t="s">
        <v>2208</v>
      </c>
      <c r="AF1679" s="8" t="s">
        <v>2211</v>
      </c>
      <c r="AG1679" s="9">
        <v>115312.5</v>
      </c>
      <c r="AH1679" s="11">
        <f>_xlfn.XLOOKUP(B1679,[1]Sheet1!$B:$B,[1]Sheet1!$AB:$AB,0)</f>
        <v>0</v>
      </c>
    </row>
    <row r="1680" spans="2:34" ht="16.8" thickTop="1" thickBot="1" x14ac:dyDescent="0.35">
      <c r="B1680" s="3" t="str">
        <f t="shared" si="54"/>
        <v>451415045170000794510723424521200104</v>
      </c>
      <c r="C1680" s="6" t="s">
        <v>2745</v>
      </c>
      <c r="D1680" s="6" t="s">
        <v>2741</v>
      </c>
      <c r="E1680" s="6" t="s">
        <v>2742</v>
      </c>
      <c r="F1680" s="6" t="s">
        <v>2218</v>
      </c>
      <c r="G1680" s="4" t="s">
        <v>2804</v>
      </c>
      <c r="H1680" s="4" t="s">
        <v>2922</v>
      </c>
      <c r="I1680" s="6" t="s">
        <v>53</v>
      </c>
      <c r="J1680" s="6" t="s">
        <v>31</v>
      </c>
      <c r="K1680" s="12">
        <f>_xlfn.XLOOKUP(B1680,[1]Sheet1!$B:$B,[1]Sheet1!$N:$N,0)</f>
        <v>0</v>
      </c>
      <c r="L1680" s="12">
        <f>_xlfn.XLOOKUP(B1680,[1]Sheet1!$B:$B,[1]Sheet1!$O:$O,0)</f>
        <v>0</v>
      </c>
      <c r="M1680" s="12">
        <f>_xlfn.XLOOKUP(B1680,[1]Sheet1!$B:$B,[1]Sheet1!$P:$P,0)</f>
        <v>0</v>
      </c>
      <c r="N1680" s="12">
        <f>_xlfn.XLOOKUP(B1680,[1]Sheet1!$B:$B,[1]Sheet1!$Q:$Q,0)</f>
        <v>0</v>
      </c>
      <c r="O1680" s="12">
        <f>_xlfn.XLOOKUP(B1680,[1]Sheet1!$B:$B,[1]Sheet1!$R:$R,0)</f>
        <v>0</v>
      </c>
      <c r="P1680" s="12">
        <f>_xlfn.XLOOKUP(B1680,[1]Sheet1!$B:$B,[1]Sheet1!$S:$S,0)</f>
        <v>0</v>
      </c>
      <c r="Q1680" s="12">
        <f>_xlfn.XLOOKUP(B1680,[1]Sheet1!$B:$B,[1]Sheet1!$T:$T,0)</f>
        <v>0</v>
      </c>
      <c r="R1680" s="12">
        <f>_xlfn.XLOOKUP(B1680,[1]Sheet1!$B:$B,[1]Sheet1!$U:$U,0)</f>
        <v>0</v>
      </c>
      <c r="S1680" s="12">
        <f>_xlfn.XLOOKUP(B1680,[1]Sheet1!$B:$B,[1]Sheet1!$V:$V,0)</f>
        <v>0</v>
      </c>
      <c r="T1680" s="12">
        <f>_xlfn.XLOOKUP(B1680,[1]Sheet1!$B:$B,[1]Sheet1!$W:$W,0)</f>
        <v>0</v>
      </c>
      <c r="U1680" s="12">
        <f>_xlfn.XLOOKUP(B1680,[1]Sheet1!$B:$B,[1]Sheet1!$X:$X,0)</f>
        <v>0</v>
      </c>
      <c r="V1680" s="12">
        <f>_xlfn.XLOOKUP(B1680,[1]Sheet1!$B:$B,[1]Sheet1!$Y:$Y,0)</f>
        <v>0</v>
      </c>
      <c r="W1680" s="12">
        <f t="shared" si="55"/>
        <v>0</v>
      </c>
      <c r="X1680" s="6" t="s">
        <v>2747</v>
      </c>
      <c r="Y1680" s="6" t="s">
        <v>2208</v>
      </c>
      <c r="Z1680" s="6" t="s">
        <v>2744</v>
      </c>
      <c r="AA1680" s="6" t="s">
        <v>53</v>
      </c>
      <c r="AB1680" s="6" t="s">
        <v>36</v>
      </c>
      <c r="AC1680" s="6" t="s">
        <v>37</v>
      </c>
      <c r="AD1680" s="6" t="s">
        <v>135</v>
      </c>
      <c r="AE1680" s="6" t="s">
        <v>2208</v>
      </c>
      <c r="AF1680" s="6" t="s">
        <v>2211</v>
      </c>
      <c r="AG1680" s="7">
        <v>675000</v>
      </c>
      <c r="AH1680" s="11">
        <f>_xlfn.XLOOKUP(B1680,[1]Sheet1!$B:$B,[1]Sheet1!$AB:$AB,0)</f>
        <v>0</v>
      </c>
    </row>
    <row r="1681" spans="2:34" ht="16.8" thickTop="1" thickBot="1" x14ac:dyDescent="0.35">
      <c r="B1681" s="3" t="str">
        <f t="shared" si="54"/>
        <v>451415045170000794510740425203200104</v>
      </c>
      <c r="C1681" s="8" t="s">
        <v>2745</v>
      </c>
      <c r="D1681" s="8" t="s">
        <v>2741</v>
      </c>
      <c r="E1681" s="8" t="s">
        <v>2742</v>
      </c>
      <c r="F1681" s="8" t="s">
        <v>2268</v>
      </c>
      <c r="G1681" s="4" t="s">
        <v>2856</v>
      </c>
      <c r="H1681" s="4" t="s">
        <v>2922</v>
      </c>
      <c r="I1681" s="8" t="s">
        <v>703</v>
      </c>
      <c r="J1681" s="8" t="s">
        <v>31</v>
      </c>
      <c r="K1681" s="12">
        <f>_xlfn.XLOOKUP(B1681,[1]Sheet1!$B:$B,[1]Sheet1!$N:$N,0)</f>
        <v>0</v>
      </c>
      <c r="L1681" s="12">
        <f>_xlfn.XLOOKUP(B1681,[1]Sheet1!$B:$B,[1]Sheet1!$O:$O,0)</f>
        <v>0</v>
      </c>
      <c r="M1681" s="12">
        <f>_xlfn.XLOOKUP(B1681,[1]Sheet1!$B:$B,[1]Sheet1!$P:$P,0)</f>
        <v>0</v>
      </c>
      <c r="N1681" s="12">
        <f>_xlfn.XLOOKUP(B1681,[1]Sheet1!$B:$B,[1]Sheet1!$Q:$Q,0)</f>
        <v>0</v>
      </c>
      <c r="O1681" s="12">
        <f>_xlfn.XLOOKUP(B1681,[1]Sheet1!$B:$B,[1]Sheet1!$R:$R,0)</f>
        <v>0</v>
      </c>
      <c r="P1681" s="12">
        <f>_xlfn.XLOOKUP(B1681,[1]Sheet1!$B:$B,[1]Sheet1!$S:$S,0)</f>
        <v>0</v>
      </c>
      <c r="Q1681" s="12">
        <f>_xlfn.XLOOKUP(B1681,[1]Sheet1!$B:$B,[1]Sheet1!$T:$T,0)</f>
        <v>0</v>
      </c>
      <c r="R1681" s="12">
        <f>_xlfn.XLOOKUP(B1681,[1]Sheet1!$B:$B,[1]Sheet1!$U:$U,0)</f>
        <v>0</v>
      </c>
      <c r="S1681" s="12">
        <f>_xlfn.XLOOKUP(B1681,[1]Sheet1!$B:$B,[1]Sheet1!$V:$V,0)</f>
        <v>0</v>
      </c>
      <c r="T1681" s="12">
        <f>_xlfn.XLOOKUP(B1681,[1]Sheet1!$B:$B,[1]Sheet1!$W:$W,0)</f>
        <v>0</v>
      </c>
      <c r="U1681" s="12">
        <f>_xlfn.XLOOKUP(B1681,[1]Sheet1!$B:$B,[1]Sheet1!$X:$X,0)</f>
        <v>0</v>
      </c>
      <c r="V1681" s="12">
        <f>_xlfn.XLOOKUP(B1681,[1]Sheet1!$B:$B,[1]Sheet1!$Y:$Y,0)</f>
        <v>0</v>
      </c>
      <c r="W1681" s="12">
        <f t="shared" si="55"/>
        <v>0</v>
      </c>
      <c r="X1681" s="8" t="s">
        <v>2748</v>
      </c>
      <c r="Y1681" s="8" t="s">
        <v>2208</v>
      </c>
      <c r="Z1681" s="8" t="s">
        <v>2744</v>
      </c>
      <c r="AA1681" s="8" t="s">
        <v>703</v>
      </c>
      <c r="AB1681" s="8" t="s">
        <v>36</v>
      </c>
      <c r="AC1681" s="8" t="s">
        <v>37</v>
      </c>
      <c r="AD1681" s="8" t="s">
        <v>2340</v>
      </c>
      <c r="AE1681" s="8" t="s">
        <v>2208</v>
      </c>
      <c r="AF1681" s="8" t="s">
        <v>2211</v>
      </c>
      <c r="AG1681" s="9">
        <v>1644720</v>
      </c>
      <c r="AH1681" s="11">
        <f>_xlfn.XLOOKUP(B1681,[1]Sheet1!$B:$B,[1]Sheet1!$AB:$AB,0)</f>
        <v>0</v>
      </c>
    </row>
    <row r="1682" spans="2:34" ht="16.8" thickTop="1" thickBot="1" x14ac:dyDescent="0.35">
      <c r="B1682" s="3" t="str">
        <f t="shared" si="54"/>
        <v>451415045170000804510701422511200104</v>
      </c>
      <c r="C1682" s="6" t="s">
        <v>2745</v>
      </c>
      <c r="D1682" s="6" t="s">
        <v>2749</v>
      </c>
      <c r="E1682" s="6" t="s">
        <v>2750</v>
      </c>
      <c r="F1682" s="6" t="s">
        <v>2536</v>
      </c>
      <c r="G1682" s="4" t="s">
        <v>2819</v>
      </c>
      <c r="H1682" s="4" t="s">
        <v>2922</v>
      </c>
      <c r="I1682" s="6" t="s">
        <v>151</v>
      </c>
      <c r="J1682" s="6" t="s">
        <v>31</v>
      </c>
      <c r="K1682" s="12">
        <f>_xlfn.XLOOKUP(B1682,[1]Sheet1!$B:$B,[1]Sheet1!$N:$N,0)</f>
        <v>0</v>
      </c>
      <c r="L1682" s="12">
        <f>_xlfn.XLOOKUP(B1682,[1]Sheet1!$B:$B,[1]Sheet1!$O:$O,0)</f>
        <v>0</v>
      </c>
      <c r="M1682" s="12">
        <f>_xlfn.XLOOKUP(B1682,[1]Sheet1!$B:$B,[1]Sheet1!$P:$P,0)</f>
        <v>0</v>
      </c>
      <c r="N1682" s="12">
        <f>_xlfn.XLOOKUP(B1682,[1]Sheet1!$B:$B,[1]Sheet1!$Q:$Q,0)</f>
        <v>0</v>
      </c>
      <c r="O1682" s="12">
        <f>_xlfn.XLOOKUP(B1682,[1]Sheet1!$B:$B,[1]Sheet1!$R:$R,0)</f>
        <v>0</v>
      </c>
      <c r="P1682" s="12">
        <f>_xlfn.XLOOKUP(B1682,[1]Sheet1!$B:$B,[1]Sheet1!$S:$S,0)</f>
        <v>0</v>
      </c>
      <c r="Q1682" s="12">
        <f>_xlfn.XLOOKUP(B1682,[1]Sheet1!$B:$B,[1]Sheet1!$T:$T,0)</f>
        <v>0</v>
      </c>
      <c r="R1682" s="12">
        <f>_xlfn.XLOOKUP(B1682,[1]Sheet1!$B:$B,[1]Sheet1!$U:$U,0)</f>
        <v>0</v>
      </c>
      <c r="S1682" s="12">
        <f>_xlfn.XLOOKUP(B1682,[1]Sheet1!$B:$B,[1]Sheet1!$V:$V,0)</f>
        <v>0</v>
      </c>
      <c r="T1682" s="12">
        <f>_xlfn.XLOOKUP(B1682,[1]Sheet1!$B:$B,[1]Sheet1!$W:$W,0)</f>
        <v>0</v>
      </c>
      <c r="U1682" s="12">
        <f>_xlfn.XLOOKUP(B1682,[1]Sheet1!$B:$B,[1]Sheet1!$X:$X,0)</f>
        <v>0</v>
      </c>
      <c r="V1682" s="12">
        <f>_xlfn.XLOOKUP(B1682,[1]Sheet1!$B:$B,[1]Sheet1!$Y:$Y,0)</f>
        <v>0</v>
      </c>
      <c r="W1682" s="12">
        <f t="shared" si="55"/>
        <v>0</v>
      </c>
      <c r="X1682" s="6" t="s">
        <v>2751</v>
      </c>
      <c r="Y1682" s="6" t="s">
        <v>2208</v>
      </c>
      <c r="Z1682" s="6" t="s">
        <v>2744</v>
      </c>
      <c r="AA1682" s="6" t="s">
        <v>151</v>
      </c>
      <c r="AB1682" s="6" t="s">
        <v>36</v>
      </c>
      <c r="AC1682" s="6" t="s">
        <v>37</v>
      </c>
      <c r="AD1682" s="6" t="s">
        <v>2340</v>
      </c>
      <c r="AE1682" s="6" t="s">
        <v>2208</v>
      </c>
      <c r="AF1682" s="6" t="s">
        <v>2211</v>
      </c>
      <c r="AG1682" s="7">
        <v>3180</v>
      </c>
      <c r="AH1682" s="11">
        <f>_xlfn.XLOOKUP(B1682,[1]Sheet1!$B:$B,[1]Sheet1!$AB:$AB,0)</f>
        <v>0</v>
      </c>
    </row>
    <row r="1683" spans="2:34" ht="16.8" thickTop="1" thickBot="1" x14ac:dyDescent="0.35">
      <c r="B1683" s="3" t="str">
        <f t="shared" si="54"/>
        <v>451014245170000814510787491811300105</v>
      </c>
      <c r="C1683" s="8" t="s">
        <v>2757</v>
      </c>
      <c r="D1683" s="8" t="s">
        <v>2752</v>
      </c>
      <c r="E1683" s="8" t="s">
        <v>2753</v>
      </c>
      <c r="F1683" s="8" t="s">
        <v>2270</v>
      </c>
      <c r="G1683" s="4" t="s">
        <v>2825</v>
      </c>
      <c r="H1683" s="4" t="s">
        <v>2923</v>
      </c>
      <c r="I1683" s="8" t="s">
        <v>226</v>
      </c>
      <c r="J1683" s="8" t="s">
        <v>31</v>
      </c>
      <c r="K1683" s="12">
        <f>_xlfn.XLOOKUP(B1683,[1]Sheet1!$B:$B,[1]Sheet1!$N:$N,0)</f>
        <v>0</v>
      </c>
      <c r="L1683" s="12">
        <f>_xlfn.XLOOKUP(B1683,[1]Sheet1!$B:$B,[1]Sheet1!$O:$O,0)</f>
        <v>0</v>
      </c>
      <c r="M1683" s="12">
        <f>_xlfn.XLOOKUP(B1683,[1]Sheet1!$B:$B,[1]Sheet1!$P:$P,0)</f>
        <v>0</v>
      </c>
      <c r="N1683" s="12">
        <f>_xlfn.XLOOKUP(B1683,[1]Sheet1!$B:$B,[1]Sheet1!$Q:$Q,0)</f>
        <v>0</v>
      </c>
      <c r="O1683" s="12">
        <f>_xlfn.XLOOKUP(B1683,[1]Sheet1!$B:$B,[1]Sheet1!$R:$R,0)</f>
        <v>0</v>
      </c>
      <c r="P1683" s="12">
        <f>_xlfn.XLOOKUP(B1683,[1]Sheet1!$B:$B,[1]Sheet1!$S:$S,0)</f>
        <v>0</v>
      </c>
      <c r="Q1683" s="12">
        <f>_xlfn.XLOOKUP(B1683,[1]Sheet1!$B:$B,[1]Sheet1!$T:$T,0)</f>
        <v>0</v>
      </c>
      <c r="R1683" s="12">
        <f>_xlfn.XLOOKUP(B1683,[1]Sheet1!$B:$B,[1]Sheet1!$U:$U,0)</f>
        <v>0</v>
      </c>
      <c r="S1683" s="12">
        <f>_xlfn.XLOOKUP(B1683,[1]Sheet1!$B:$B,[1]Sheet1!$V:$V,0)</f>
        <v>0</v>
      </c>
      <c r="T1683" s="12">
        <f>_xlfn.XLOOKUP(B1683,[1]Sheet1!$B:$B,[1]Sheet1!$W:$W,0)</f>
        <v>0</v>
      </c>
      <c r="U1683" s="12">
        <f>_xlfn.XLOOKUP(B1683,[1]Sheet1!$B:$B,[1]Sheet1!$X:$X,0)</f>
        <v>0</v>
      </c>
      <c r="V1683" s="12">
        <f>_xlfn.XLOOKUP(B1683,[1]Sheet1!$B:$B,[1]Sheet1!$Y:$Y,0)</f>
        <v>0</v>
      </c>
      <c r="W1683" s="12">
        <f t="shared" si="55"/>
        <v>0</v>
      </c>
      <c r="X1683" s="8" t="s">
        <v>2754</v>
      </c>
      <c r="Y1683" s="8" t="s">
        <v>2755</v>
      </c>
      <c r="Z1683" s="8" t="s">
        <v>2756</v>
      </c>
      <c r="AA1683" s="8" t="s">
        <v>228</v>
      </c>
      <c r="AB1683" s="8" t="s">
        <v>93</v>
      </c>
      <c r="AC1683" s="8" t="s">
        <v>94</v>
      </c>
      <c r="AD1683" s="8" t="s">
        <v>2272</v>
      </c>
      <c r="AE1683" s="8" t="s">
        <v>2208</v>
      </c>
      <c r="AF1683" s="8" t="s">
        <v>2211</v>
      </c>
      <c r="AG1683" s="9">
        <v>9000000</v>
      </c>
      <c r="AH1683" s="11">
        <f>_xlfn.XLOOKUP(B1683,[1]Sheet1!$B:$B,[1]Sheet1!$AB:$AB,0)</f>
        <v>0</v>
      </c>
    </row>
    <row r="1684" spans="2:34" ht="16.8" thickTop="1" thickBot="1" x14ac:dyDescent="0.35">
      <c r="B1684" s="3" t="str">
        <f t="shared" si="54"/>
        <v>451014245170000814510794422191200104</v>
      </c>
      <c r="C1684" s="6" t="s">
        <v>2757</v>
      </c>
      <c r="D1684" s="6" t="s">
        <v>2752</v>
      </c>
      <c r="E1684" s="6" t="s">
        <v>2753</v>
      </c>
      <c r="F1684" s="6" t="s">
        <v>2758</v>
      </c>
      <c r="G1684" s="4" t="s">
        <v>2826</v>
      </c>
      <c r="H1684" s="4" t="s">
        <v>2922</v>
      </c>
      <c r="I1684" s="6" t="s">
        <v>233</v>
      </c>
      <c r="J1684" s="6" t="s">
        <v>31</v>
      </c>
      <c r="K1684" s="12">
        <f>_xlfn.XLOOKUP(B1684,[1]Sheet1!$B:$B,[1]Sheet1!$N:$N,0)</f>
        <v>0</v>
      </c>
      <c r="L1684" s="12">
        <f>_xlfn.XLOOKUP(B1684,[1]Sheet1!$B:$B,[1]Sheet1!$O:$O,0)</f>
        <v>0</v>
      </c>
      <c r="M1684" s="12">
        <f>_xlfn.XLOOKUP(B1684,[1]Sheet1!$B:$B,[1]Sheet1!$P:$P,0)</f>
        <v>0</v>
      </c>
      <c r="N1684" s="12">
        <f>_xlfn.XLOOKUP(B1684,[1]Sheet1!$B:$B,[1]Sheet1!$Q:$Q,0)</f>
        <v>0</v>
      </c>
      <c r="O1684" s="12">
        <f>_xlfn.XLOOKUP(B1684,[1]Sheet1!$B:$B,[1]Sheet1!$R:$R,0)</f>
        <v>0</v>
      </c>
      <c r="P1684" s="12">
        <f>_xlfn.XLOOKUP(B1684,[1]Sheet1!$B:$B,[1]Sheet1!$S:$S,0)</f>
        <v>0</v>
      </c>
      <c r="Q1684" s="12">
        <f>_xlfn.XLOOKUP(B1684,[1]Sheet1!$B:$B,[1]Sheet1!$T:$T,0)</f>
        <v>0</v>
      </c>
      <c r="R1684" s="12">
        <f>_xlfn.XLOOKUP(B1684,[1]Sheet1!$B:$B,[1]Sheet1!$U:$U,0)</f>
        <v>0</v>
      </c>
      <c r="S1684" s="12">
        <f>_xlfn.XLOOKUP(B1684,[1]Sheet1!$B:$B,[1]Sheet1!$V:$V,0)</f>
        <v>0</v>
      </c>
      <c r="T1684" s="12">
        <f>_xlfn.XLOOKUP(B1684,[1]Sheet1!$B:$B,[1]Sheet1!$W:$W,0)</f>
        <v>0</v>
      </c>
      <c r="U1684" s="12">
        <f>_xlfn.XLOOKUP(B1684,[1]Sheet1!$B:$B,[1]Sheet1!$X:$X,0)</f>
        <v>0</v>
      </c>
      <c r="V1684" s="12">
        <f>_xlfn.XLOOKUP(B1684,[1]Sheet1!$B:$B,[1]Sheet1!$Y:$Y,0)</f>
        <v>0</v>
      </c>
      <c r="W1684" s="12">
        <f t="shared" si="55"/>
        <v>0</v>
      </c>
      <c r="X1684" s="6" t="s">
        <v>2759</v>
      </c>
      <c r="Y1684" s="6" t="s">
        <v>2755</v>
      </c>
      <c r="Z1684" s="6" t="s">
        <v>2756</v>
      </c>
      <c r="AA1684" s="6" t="s">
        <v>235</v>
      </c>
      <c r="AB1684" s="6" t="s">
        <v>36</v>
      </c>
      <c r="AC1684" s="6" t="s">
        <v>37</v>
      </c>
      <c r="AD1684" s="6" t="s">
        <v>2340</v>
      </c>
      <c r="AE1684" s="6" t="s">
        <v>2208</v>
      </c>
      <c r="AF1684" s="6" t="s">
        <v>2211</v>
      </c>
      <c r="AG1684" s="7">
        <v>71000000</v>
      </c>
      <c r="AH1684" s="11">
        <f>_xlfn.XLOOKUP(B1684,[1]Sheet1!$B:$B,[1]Sheet1!$AB:$AB,0)</f>
        <v>0</v>
      </c>
    </row>
    <row r="1685" spans="2:34" ht="16.8" thickTop="1" thickBot="1" x14ac:dyDescent="0.35">
      <c r="B1685" s="3" t="str">
        <f t="shared" si="54"/>
        <v>451018245170000824510781422621200104</v>
      </c>
      <c r="C1685" s="8" t="s">
        <v>2622</v>
      </c>
      <c r="D1685" s="8" t="s">
        <v>2760</v>
      </c>
      <c r="E1685" s="8" t="s">
        <v>2761</v>
      </c>
      <c r="F1685" s="8" t="s">
        <v>2762</v>
      </c>
      <c r="G1685" s="4" t="s">
        <v>2900</v>
      </c>
      <c r="H1685" s="4" t="s">
        <v>2922</v>
      </c>
      <c r="I1685" s="8" t="s">
        <v>2406</v>
      </c>
      <c r="J1685" s="8" t="s">
        <v>31</v>
      </c>
      <c r="K1685" s="12">
        <f>_xlfn.XLOOKUP(B1685,[1]Sheet1!$B:$B,[1]Sheet1!$N:$N,0)</f>
        <v>0</v>
      </c>
      <c r="L1685" s="12">
        <f>_xlfn.XLOOKUP(B1685,[1]Sheet1!$B:$B,[1]Sheet1!$O:$O,0)</f>
        <v>0</v>
      </c>
      <c r="M1685" s="12">
        <f>_xlfn.XLOOKUP(B1685,[1]Sheet1!$B:$B,[1]Sheet1!$P:$P,0)</f>
        <v>0</v>
      </c>
      <c r="N1685" s="12">
        <f>_xlfn.XLOOKUP(B1685,[1]Sheet1!$B:$B,[1]Sheet1!$Q:$Q,0)</f>
        <v>0</v>
      </c>
      <c r="O1685" s="12">
        <f>_xlfn.XLOOKUP(B1685,[1]Sheet1!$B:$B,[1]Sheet1!$R:$R,0)</f>
        <v>0</v>
      </c>
      <c r="P1685" s="12">
        <f>_xlfn.XLOOKUP(B1685,[1]Sheet1!$B:$B,[1]Sheet1!$S:$S,0)</f>
        <v>0</v>
      </c>
      <c r="Q1685" s="12">
        <f>_xlfn.XLOOKUP(B1685,[1]Sheet1!$B:$B,[1]Sheet1!$T:$T,0)</f>
        <v>0</v>
      </c>
      <c r="R1685" s="12">
        <f>_xlfn.XLOOKUP(B1685,[1]Sheet1!$B:$B,[1]Sheet1!$U:$U,0)</f>
        <v>0</v>
      </c>
      <c r="S1685" s="12">
        <f>_xlfn.XLOOKUP(B1685,[1]Sheet1!$B:$B,[1]Sheet1!$V:$V,0)</f>
        <v>0</v>
      </c>
      <c r="T1685" s="12">
        <f>_xlfn.XLOOKUP(B1685,[1]Sheet1!$B:$B,[1]Sheet1!$W:$W,0)</f>
        <v>0</v>
      </c>
      <c r="U1685" s="12">
        <f>_xlfn.XLOOKUP(B1685,[1]Sheet1!$B:$B,[1]Sheet1!$X:$X,0)</f>
        <v>0</v>
      </c>
      <c r="V1685" s="12">
        <f>_xlfn.XLOOKUP(B1685,[1]Sheet1!$B:$B,[1]Sheet1!$Y:$Y,0)</f>
        <v>0</v>
      </c>
      <c r="W1685" s="12">
        <f t="shared" si="55"/>
        <v>0</v>
      </c>
      <c r="X1685" s="8" t="s">
        <v>2621</v>
      </c>
      <c r="Y1685" s="8" t="s">
        <v>2574</v>
      </c>
      <c r="Z1685" s="8" t="s">
        <v>2605</v>
      </c>
      <c r="AA1685" s="8" t="s">
        <v>2406</v>
      </c>
      <c r="AB1685" s="8" t="s">
        <v>36</v>
      </c>
      <c r="AC1685" s="8" t="s">
        <v>37</v>
      </c>
      <c r="AD1685" s="8" t="s">
        <v>2340</v>
      </c>
      <c r="AE1685" s="8" t="s">
        <v>2208</v>
      </c>
      <c r="AF1685" s="8" t="s">
        <v>2211</v>
      </c>
      <c r="AG1685" s="9">
        <v>363758.6</v>
      </c>
      <c r="AH1685" s="11">
        <f>_xlfn.XLOOKUP(B1685,[1]Sheet1!$B:$B,[1]Sheet1!$AB:$AB,0)</f>
        <v>0</v>
      </c>
    </row>
    <row r="1686" spans="2:34" ht="16.8" thickTop="1" thickBot="1" x14ac:dyDescent="0.35">
      <c r="B1686" s="3" t="str">
        <f t="shared" si="54"/>
        <v>451018345170000834510713424221200104</v>
      </c>
      <c r="C1686" s="6" t="s">
        <v>2640</v>
      </c>
      <c r="D1686" s="6" t="s">
        <v>2763</v>
      </c>
      <c r="E1686" s="6" t="s">
        <v>2764</v>
      </c>
      <c r="F1686" s="6" t="s">
        <v>2383</v>
      </c>
      <c r="G1686" s="4" t="s">
        <v>2824</v>
      </c>
      <c r="H1686" s="4" t="s">
        <v>2922</v>
      </c>
      <c r="I1686" s="6" t="s">
        <v>209</v>
      </c>
      <c r="J1686" s="6" t="s">
        <v>31</v>
      </c>
      <c r="K1686" s="12">
        <f>_xlfn.XLOOKUP(B1686,[1]Sheet1!$B:$B,[1]Sheet1!$N:$N,0)</f>
        <v>0</v>
      </c>
      <c r="L1686" s="12">
        <f>_xlfn.XLOOKUP(B1686,[1]Sheet1!$B:$B,[1]Sheet1!$O:$O,0)</f>
        <v>0</v>
      </c>
      <c r="M1686" s="12">
        <f>_xlfn.XLOOKUP(B1686,[1]Sheet1!$B:$B,[1]Sheet1!$P:$P,0)</f>
        <v>0</v>
      </c>
      <c r="N1686" s="12">
        <f>_xlfn.XLOOKUP(B1686,[1]Sheet1!$B:$B,[1]Sheet1!$Q:$Q,0)</f>
        <v>0</v>
      </c>
      <c r="O1686" s="12">
        <f>_xlfn.XLOOKUP(B1686,[1]Sheet1!$B:$B,[1]Sheet1!$R:$R,0)</f>
        <v>0</v>
      </c>
      <c r="P1686" s="12">
        <f>_xlfn.XLOOKUP(B1686,[1]Sheet1!$B:$B,[1]Sheet1!$S:$S,0)</f>
        <v>0</v>
      </c>
      <c r="Q1686" s="12">
        <f>_xlfn.XLOOKUP(B1686,[1]Sheet1!$B:$B,[1]Sheet1!$T:$T,0)</f>
        <v>0</v>
      </c>
      <c r="R1686" s="12">
        <f>_xlfn.XLOOKUP(B1686,[1]Sheet1!$B:$B,[1]Sheet1!$U:$U,0)</f>
        <v>0</v>
      </c>
      <c r="S1686" s="12">
        <f>_xlfn.XLOOKUP(B1686,[1]Sheet1!$B:$B,[1]Sheet1!$V:$V,0)</f>
        <v>0</v>
      </c>
      <c r="T1686" s="12">
        <f>_xlfn.XLOOKUP(B1686,[1]Sheet1!$B:$B,[1]Sheet1!$W:$W,0)</f>
        <v>0</v>
      </c>
      <c r="U1686" s="12">
        <f>_xlfn.XLOOKUP(B1686,[1]Sheet1!$B:$B,[1]Sheet1!$X:$X,0)</f>
        <v>0</v>
      </c>
      <c r="V1686" s="12">
        <f>_xlfn.XLOOKUP(B1686,[1]Sheet1!$B:$B,[1]Sheet1!$Y:$Y,0)</f>
        <v>0</v>
      </c>
      <c r="W1686" s="12">
        <f t="shared" si="55"/>
        <v>0</v>
      </c>
      <c r="X1686" s="6" t="s">
        <v>2765</v>
      </c>
      <c r="Y1686" s="6" t="s">
        <v>2574</v>
      </c>
      <c r="Z1686" s="6" t="s">
        <v>2639</v>
      </c>
      <c r="AA1686" s="6" t="s">
        <v>209</v>
      </c>
      <c r="AB1686" s="6" t="s">
        <v>36</v>
      </c>
      <c r="AC1686" s="6" t="s">
        <v>37</v>
      </c>
      <c r="AD1686" s="6" t="s">
        <v>2340</v>
      </c>
      <c r="AE1686" s="6" t="s">
        <v>2208</v>
      </c>
      <c r="AF1686" s="6" t="s">
        <v>2211</v>
      </c>
      <c r="AG1686" s="7">
        <v>163636</v>
      </c>
      <c r="AH1686" s="11">
        <f>_xlfn.XLOOKUP(B1686,[1]Sheet1!$B:$B,[1]Sheet1!$AB:$AB,0)</f>
        <v>0</v>
      </c>
    </row>
    <row r="1687" spans="2:34" ht="16.8" thickTop="1" thickBot="1" x14ac:dyDescent="0.35">
      <c r="B1687" s="3" t="str">
        <f t="shared" si="54"/>
        <v>451018345170000834510726423891200104</v>
      </c>
      <c r="C1687" s="8" t="s">
        <v>2640</v>
      </c>
      <c r="D1687" s="8" t="s">
        <v>2763</v>
      </c>
      <c r="E1687" s="8" t="s">
        <v>2764</v>
      </c>
      <c r="F1687" s="8" t="s">
        <v>2247</v>
      </c>
      <c r="G1687" s="4" t="s">
        <v>2910</v>
      </c>
      <c r="H1687" s="4" t="s">
        <v>2922</v>
      </c>
      <c r="I1687" s="8" t="s">
        <v>2577</v>
      </c>
      <c r="J1687" s="8" t="s">
        <v>31</v>
      </c>
      <c r="K1687" s="12">
        <f>_xlfn.XLOOKUP(B1687,[1]Sheet1!$B:$B,[1]Sheet1!$N:$N,0)</f>
        <v>0</v>
      </c>
      <c r="L1687" s="12">
        <f>_xlfn.XLOOKUP(B1687,[1]Sheet1!$B:$B,[1]Sheet1!$O:$O,0)</f>
        <v>0</v>
      </c>
      <c r="M1687" s="12">
        <f>_xlfn.XLOOKUP(B1687,[1]Sheet1!$B:$B,[1]Sheet1!$P:$P,0)</f>
        <v>0</v>
      </c>
      <c r="N1687" s="12">
        <f>_xlfn.XLOOKUP(B1687,[1]Sheet1!$B:$B,[1]Sheet1!$Q:$Q,0)</f>
        <v>0</v>
      </c>
      <c r="O1687" s="12">
        <f>_xlfn.XLOOKUP(B1687,[1]Sheet1!$B:$B,[1]Sheet1!$R:$R,0)</f>
        <v>0</v>
      </c>
      <c r="P1687" s="12">
        <f>_xlfn.XLOOKUP(B1687,[1]Sheet1!$B:$B,[1]Sheet1!$S:$S,0)</f>
        <v>0</v>
      </c>
      <c r="Q1687" s="12">
        <f>_xlfn.XLOOKUP(B1687,[1]Sheet1!$B:$B,[1]Sheet1!$T:$T,0)</f>
        <v>0</v>
      </c>
      <c r="R1687" s="12">
        <f>_xlfn.XLOOKUP(B1687,[1]Sheet1!$B:$B,[1]Sheet1!$U:$U,0)</f>
        <v>0</v>
      </c>
      <c r="S1687" s="12">
        <f>_xlfn.XLOOKUP(B1687,[1]Sheet1!$B:$B,[1]Sheet1!$V:$V,0)</f>
        <v>0</v>
      </c>
      <c r="T1687" s="12">
        <f>_xlfn.XLOOKUP(B1687,[1]Sheet1!$B:$B,[1]Sheet1!$W:$W,0)</f>
        <v>0</v>
      </c>
      <c r="U1687" s="12">
        <f>_xlfn.XLOOKUP(B1687,[1]Sheet1!$B:$B,[1]Sheet1!$X:$X,0)</f>
        <v>0</v>
      </c>
      <c r="V1687" s="12">
        <f>_xlfn.XLOOKUP(B1687,[1]Sheet1!$B:$B,[1]Sheet1!$Y:$Y,0)</f>
        <v>0</v>
      </c>
      <c r="W1687" s="12">
        <f t="shared" si="55"/>
        <v>0</v>
      </c>
      <c r="X1687" s="8" t="s">
        <v>2766</v>
      </c>
      <c r="Y1687" s="8" t="s">
        <v>2574</v>
      </c>
      <c r="Z1687" s="8" t="s">
        <v>2639</v>
      </c>
      <c r="AA1687" s="8" t="s">
        <v>2577</v>
      </c>
      <c r="AB1687" s="8" t="s">
        <v>36</v>
      </c>
      <c r="AC1687" s="8" t="s">
        <v>37</v>
      </c>
      <c r="AD1687" s="8" t="s">
        <v>2340</v>
      </c>
      <c r="AE1687" s="8" t="s">
        <v>2208</v>
      </c>
      <c r="AF1687" s="8" t="s">
        <v>2211</v>
      </c>
      <c r="AG1687" s="9">
        <v>126377</v>
      </c>
      <c r="AH1687" s="11">
        <f>_xlfn.XLOOKUP(B1687,[1]Sheet1!$B:$B,[1]Sheet1!$AB:$AB,0)</f>
        <v>0</v>
      </c>
    </row>
    <row r="1688" spans="2:34" ht="16.8" thickTop="1" thickBot="1" x14ac:dyDescent="0.35">
      <c r="B1688" s="3" t="str">
        <f t="shared" si="54"/>
        <v>451018345170000834510750424521200104</v>
      </c>
      <c r="C1688" s="6" t="s">
        <v>2640</v>
      </c>
      <c r="D1688" s="6" t="s">
        <v>2763</v>
      </c>
      <c r="E1688" s="6" t="s">
        <v>2764</v>
      </c>
      <c r="F1688" s="6" t="s">
        <v>2234</v>
      </c>
      <c r="G1688" s="4" t="s">
        <v>2804</v>
      </c>
      <c r="H1688" s="4" t="s">
        <v>2922</v>
      </c>
      <c r="I1688" s="6" t="s">
        <v>53</v>
      </c>
      <c r="J1688" s="6" t="s">
        <v>31</v>
      </c>
      <c r="K1688" s="12">
        <f>_xlfn.XLOOKUP(B1688,[1]Sheet1!$B:$B,[1]Sheet1!$N:$N,0)</f>
        <v>0</v>
      </c>
      <c r="L1688" s="12">
        <f>_xlfn.XLOOKUP(B1688,[1]Sheet1!$B:$B,[1]Sheet1!$O:$O,0)</f>
        <v>0</v>
      </c>
      <c r="M1688" s="12">
        <f>_xlfn.XLOOKUP(B1688,[1]Sheet1!$B:$B,[1]Sheet1!$P:$P,0)</f>
        <v>0</v>
      </c>
      <c r="N1688" s="12">
        <f>_xlfn.XLOOKUP(B1688,[1]Sheet1!$B:$B,[1]Sheet1!$Q:$Q,0)</f>
        <v>0</v>
      </c>
      <c r="O1688" s="12">
        <f>_xlfn.XLOOKUP(B1688,[1]Sheet1!$B:$B,[1]Sheet1!$R:$R,0)</f>
        <v>0</v>
      </c>
      <c r="P1688" s="12">
        <f>_xlfn.XLOOKUP(B1688,[1]Sheet1!$B:$B,[1]Sheet1!$S:$S,0)</f>
        <v>0</v>
      </c>
      <c r="Q1688" s="12">
        <f>_xlfn.XLOOKUP(B1688,[1]Sheet1!$B:$B,[1]Sheet1!$T:$T,0)</f>
        <v>0</v>
      </c>
      <c r="R1688" s="12">
        <f>_xlfn.XLOOKUP(B1688,[1]Sheet1!$B:$B,[1]Sheet1!$U:$U,0)</f>
        <v>0</v>
      </c>
      <c r="S1688" s="12">
        <f>_xlfn.XLOOKUP(B1688,[1]Sheet1!$B:$B,[1]Sheet1!$V:$V,0)</f>
        <v>0</v>
      </c>
      <c r="T1688" s="12">
        <f>_xlfn.XLOOKUP(B1688,[1]Sheet1!$B:$B,[1]Sheet1!$W:$W,0)</f>
        <v>0</v>
      </c>
      <c r="U1688" s="12">
        <f>_xlfn.XLOOKUP(B1688,[1]Sheet1!$B:$B,[1]Sheet1!$X:$X,0)</f>
        <v>0</v>
      </c>
      <c r="V1688" s="12">
        <f>_xlfn.XLOOKUP(B1688,[1]Sheet1!$B:$B,[1]Sheet1!$Y:$Y,0)</f>
        <v>0</v>
      </c>
      <c r="W1688" s="12">
        <f t="shared" si="55"/>
        <v>0</v>
      </c>
      <c r="X1688" s="6" t="s">
        <v>2767</v>
      </c>
      <c r="Y1688" s="6" t="s">
        <v>2574</v>
      </c>
      <c r="Z1688" s="6" t="s">
        <v>2639</v>
      </c>
      <c r="AA1688" s="6" t="s">
        <v>53</v>
      </c>
      <c r="AB1688" s="6" t="s">
        <v>36</v>
      </c>
      <c r="AC1688" s="6" t="s">
        <v>37</v>
      </c>
      <c r="AD1688" s="6" t="s">
        <v>2340</v>
      </c>
      <c r="AE1688" s="6" t="s">
        <v>2208</v>
      </c>
      <c r="AF1688" s="6" t="s">
        <v>2211</v>
      </c>
      <c r="AG1688" s="7">
        <v>676000</v>
      </c>
      <c r="AH1688" s="11">
        <f>_xlfn.XLOOKUP(B1688,[1]Sheet1!$B:$B,[1]Sheet1!$AB:$AB,0)</f>
        <v>0</v>
      </c>
    </row>
    <row r="1689" spans="2:34" ht="16.8" thickTop="1" thickBot="1" x14ac:dyDescent="0.35">
      <c r="B1689" s="3" t="str">
        <f t="shared" si="54"/>
        <v>451018345170000834510787491711300105</v>
      </c>
      <c r="C1689" s="8" t="s">
        <v>2640</v>
      </c>
      <c r="D1689" s="8" t="s">
        <v>2763</v>
      </c>
      <c r="E1689" s="8" t="s">
        <v>2764</v>
      </c>
      <c r="F1689" s="8" t="s">
        <v>2270</v>
      </c>
      <c r="G1689" s="4" t="s">
        <v>2854</v>
      </c>
      <c r="H1689" s="4" t="s">
        <v>2923</v>
      </c>
      <c r="I1689" s="8" t="s">
        <v>639</v>
      </c>
      <c r="J1689" s="8" t="s">
        <v>31</v>
      </c>
      <c r="K1689" s="12">
        <f>_xlfn.XLOOKUP(B1689,[1]Sheet1!$B:$B,[1]Sheet1!$N:$N,0)</f>
        <v>0</v>
      </c>
      <c r="L1689" s="12">
        <f>_xlfn.XLOOKUP(B1689,[1]Sheet1!$B:$B,[1]Sheet1!$O:$O,0)</f>
        <v>0</v>
      </c>
      <c r="M1689" s="12">
        <f>_xlfn.XLOOKUP(B1689,[1]Sheet1!$B:$B,[1]Sheet1!$P:$P,0)</f>
        <v>0</v>
      </c>
      <c r="N1689" s="12">
        <f>_xlfn.XLOOKUP(B1689,[1]Sheet1!$B:$B,[1]Sheet1!$Q:$Q,0)</f>
        <v>0</v>
      </c>
      <c r="O1689" s="12">
        <f>_xlfn.XLOOKUP(B1689,[1]Sheet1!$B:$B,[1]Sheet1!$R:$R,0)</f>
        <v>0</v>
      </c>
      <c r="P1689" s="12">
        <f>_xlfn.XLOOKUP(B1689,[1]Sheet1!$B:$B,[1]Sheet1!$S:$S,0)</f>
        <v>0</v>
      </c>
      <c r="Q1689" s="12">
        <f>_xlfn.XLOOKUP(B1689,[1]Sheet1!$B:$B,[1]Sheet1!$T:$T,0)</f>
        <v>0</v>
      </c>
      <c r="R1689" s="12">
        <f>_xlfn.XLOOKUP(B1689,[1]Sheet1!$B:$B,[1]Sheet1!$U:$U,0)</f>
        <v>0</v>
      </c>
      <c r="S1689" s="12">
        <f>_xlfn.XLOOKUP(B1689,[1]Sheet1!$B:$B,[1]Sheet1!$V:$V,0)</f>
        <v>0</v>
      </c>
      <c r="T1689" s="12">
        <f>_xlfn.XLOOKUP(B1689,[1]Sheet1!$B:$B,[1]Sheet1!$W:$W,0)</f>
        <v>0</v>
      </c>
      <c r="U1689" s="12">
        <f>_xlfn.XLOOKUP(B1689,[1]Sheet1!$B:$B,[1]Sheet1!$X:$X,0)</f>
        <v>0</v>
      </c>
      <c r="V1689" s="12">
        <f>_xlfn.XLOOKUP(B1689,[1]Sheet1!$B:$B,[1]Sheet1!$Y:$Y,0)</f>
        <v>0</v>
      </c>
      <c r="W1689" s="12">
        <f t="shared" si="55"/>
        <v>0</v>
      </c>
      <c r="X1689" s="8" t="s">
        <v>2768</v>
      </c>
      <c r="Y1689" s="8" t="s">
        <v>2574</v>
      </c>
      <c r="Z1689" s="8" t="s">
        <v>2639</v>
      </c>
      <c r="AA1689" s="8" t="s">
        <v>639</v>
      </c>
      <c r="AB1689" s="8" t="s">
        <v>93</v>
      </c>
      <c r="AC1689" s="8" t="s">
        <v>94</v>
      </c>
      <c r="AD1689" s="8" t="s">
        <v>2272</v>
      </c>
      <c r="AE1689" s="8" t="s">
        <v>2208</v>
      </c>
      <c r="AF1689" s="8" t="s">
        <v>2211</v>
      </c>
      <c r="AG1689" s="9">
        <v>165194</v>
      </c>
      <c r="AH1689" s="11">
        <f>_xlfn.XLOOKUP(B1689,[1]Sheet1!$B:$B,[1]Sheet1!$AB:$AB,0)</f>
        <v>0</v>
      </c>
    </row>
    <row r="1690" spans="2:34" ht="16.8" thickTop="1" thickBot="1" x14ac:dyDescent="0.35">
      <c r="B1690" s="3" t="str">
        <f t="shared" si="54"/>
        <v>451012145170000844510710421122200104</v>
      </c>
      <c r="C1690" s="6" t="s">
        <v>2323</v>
      </c>
      <c r="D1690" s="6" t="s">
        <v>2769</v>
      </c>
      <c r="E1690" s="6" t="s">
        <v>2770</v>
      </c>
      <c r="F1690" s="6" t="s">
        <v>2280</v>
      </c>
      <c r="G1690" s="4" t="s">
        <v>2882</v>
      </c>
      <c r="H1690" s="4" t="s">
        <v>2922</v>
      </c>
      <c r="I1690" s="6" t="s">
        <v>2213</v>
      </c>
      <c r="J1690" s="6" t="s">
        <v>31</v>
      </c>
      <c r="K1690" s="12">
        <f>_xlfn.XLOOKUP(B1690,[1]Sheet1!$B:$B,[1]Sheet1!$N:$N,0)</f>
        <v>0</v>
      </c>
      <c r="L1690" s="12">
        <f>_xlfn.XLOOKUP(B1690,[1]Sheet1!$B:$B,[1]Sheet1!$O:$O,0)</f>
        <v>0</v>
      </c>
      <c r="M1690" s="12">
        <f>_xlfn.XLOOKUP(B1690,[1]Sheet1!$B:$B,[1]Sheet1!$P:$P,0)</f>
        <v>0</v>
      </c>
      <c r="N1690" s="12">
        <f>_xlfn.XLOOKUP(B1690,[1]Sheet1!$B:$B,[1]Sheet1!$Q:$Q,0)</f>
        <v>0</v>
      </c>
      <c r="O1690" s="12">
        <f>_xlfn.XLOOKUP(B1690,[1]Sheet1!$B:$B,[1]Sheet1!$R:$R,0)</f>
        <v>0</v>
      </c>
      <c r="P1690" s="12">
        <f>_xlfn.XLOOKUP(B1690,[1]Sheet1!$B:$B,[1]Sheet1!$S:$S,0)</f>
        <v>0</v>
      </c>
      <c r="Q1690" s="12">
        <f>_xlfn.XLOOKUP(B1690,[1]Sheet1!$B:$B,[1]Sheet1!$T:$T,0)</f>
        <v>0</v>
      </c>
      <c r="R1690" s="12">
        <f>_xlfn.XLOOKUP(B1690,[1]Sheet1!$B:$B,[1]Sheet1!$U:$U,0)</f>
        <v>0</v>
      </c>
      <c r="S1690" s="12">
        <f>_xlfn.XLOOKUP(B1690,[1]Sheet1!$B:$B,[1]Sheet1!$V:$V,0)</f>
        <v>0</v>
      </c>
      <c r="T1690" s="12">
        <f>_xlfn.XLOOKUP(B1690,[1]Sheet1!$B:$B,[1]Sheet1!$W:$W,0)</f>
        <v>0</v>
      </c>
      <c r="U1690" s="12">
        <f>_xlfn.XLOOKUP(B1690,[1]Sheet1!$B:$B,[1]Sheet1!$X:$X,0)</f>
        <v>0</v>
      </c>
      <c r="V1690" s="12">
        <f>_xlfn.XLOOKUP(B1690,[1]Sheet1!$B:$B,[1]Sheet1!$Y:$Y,0)</f>
        <v>0</v>
      </c>
      <c r="W1690" s="12">
        <f t="shared" si="55"/>
        <v>0</v>
      </c>
      <c r="X1690" s="6" t="s">
        <v>2771</v>
      </c>
      <c r="Y1690" s="6" t="s">
        <v>2321</v>
      </c>
      <c r="Z1690" s="6" t="s">
        <v>2322</v>
      </c>
      <c r="AA1690" s="6" t="s">
        <v>2215</v>
      </c>
      <c r="AB1690" s="6" t="s">
        <v>36</v>
      </c>
      <c r="AC1690" s="6" t="s">
        <v>37</v>
      </c>
      <c r="AD1690" s="6" t="s">
        <v>38</v>
      </c>
      <c r="AE1690" s="6" t="s">
        <v>2208</v>
      </c>
      <c r="AF1690" s="6" t="s">
        <v>2211</v>
      </c>
      <c r="AG1690" s="7">
        <v>2000000</v>
      </c>
      <c r="AH1690" s="11">
        <f>_xlfn.XLOOKUP(B1690,[1]Sheet1!$B:$B,[1]Sheet1!$AB:$AB,0)</f>
        <v>0</v>
      </c>
    </row>
    <row r="1691" spans="2:34" ht="16.8" thickTop="1" thickBot="1" x14ac:dyDescent="0.35">
      <c r="B1691" s="3" t="str">
        <f t="shared" si="54"/>
        <v>451012145170000844510710421123200104</v>
      </c>
      <c r="C1691" s="8" t="s">
        <v>2323</v>
      </c>
      <c r="D1691" s="8" t="s">
        <v>2769</v>
      </c>
      <c r="E1691" s="8" t="s">
        <v>2770</v>
      </c>
      <c r="F1691" s="8" t="s">
        <v>2280</v>
      </c>
      <c r="G1691" s="4" t="s">
        <v>2827</v>
      </c>
      <c r="H1691" s="4" t="s">
        <v>2922</v>
      </c>
      <c r="I1691" s="8" t="s">
        <v>237</v>
      </c>
      <c r="J1691" s="8" t="s">
        <v>31</v>
      </c>
      <c r="K1691" s="12">
        <f>_xlfn.XLOOKUP(B1691,[1]Sheet1!$B:$B,[1]Sheet1!$N:$N,0)</f>
        <v>0</v>
      </c>
      <c r="L1691" s="12">
        <f>_xlfn.XLOOKUP(B1691,[1]Sheet1!$B:$B,[1]Sheet1!$O:$O,0)</f>
        <v>0</v>
      </c>
      <c r="M1691" s="12">
        <f>_xlfn.XLOOKUP(B1691,[1]Sheet1!$B:$B,[1]Sheet1!$P:$P,0)</f>
        <v>0</v>
      </c>
      <c r="N1691" s="12">
        <f>_xlfn.XLOOKUP(B1691,[1]Sheet1!$B:$B,[1]Sheet1!$Q:$Q,0)</f>
        <v>0</v>
      </c>
      <c r="O1691" s="12">
        <f>_xlfn.XLOOKUP(B1691,[1]Sheet1!$B:$B,[1]Sheet1!$R:$R,0)</f>
        <v>0</v>
      </c>
      <c r="P1691" s="12">
        <f>_xlfn.XLOOKUP(B1691,[1]Sheet1!$B:$B,[1]Sheet1!$S:$S,0)</f>
        <v>0</v>
      </c>
      <c r="Q1691" s="12">
        <f>_xlfn.XLOOKUP(B1691,[1]Sheet1!$B:$B,[1]Sheet1!$T:$T,0)</f>
        <v>0</v>
      </c>
      <c r="R1691" s="12">
        <f>_xlfn.XLOOKUP(B1691,[1]Sheet1!$B:$B,[1]Sheet1!$U:$U,0)</f>
        <v>0</v>
      </c>
      <c r="S1691" s="12">
        <f>_xlfn.XLOOKUP(B1691,[1]Sheet1!$B:$B,[1]Sheet1!$V:$V,0)</f>
        <v>0</v>
      </c>
      <c r="T1691" s="12">
        <f>_xlfn.XLOOKUP(B1691,[1]Sheet1!$B:$B,[1]Sheet1!$W:$W,0)</f>
        <v>0</v>
      </c>
      <c r="U1691" s="12">
        <f>_xlfn.XLOOKUP(B1691,[1]Sheet1!$B:$B,[1]Sheet1!$X:$X,0)</f>
        <v>0</v>
      </c>
      <c r="V1691" s="12">
        <f>_xlfn.XLOOKUP(B1691,[1]Sheet1!$B:$B,[1]Sheet1!$Y:$Y,0)</f>
        <v>0</v>
      </c>
      <c r="W1691" s="12">
        <f t="shared" si="55"/>
        <v>0</v>
      </c>
      <c r="X1691" s="8" t="s">
        <v>2334</v>
      </c>
      <c r="Y1691" s="8" t="s">
        <v>2321</v>
      </c>
      <c r="Z1691" s="8" t="s">
        <v>2322</v>
      </c>
      <c r="AA1691" s="8" t="s">
        <v>237</v>
      </c>
      <c r="AB1691" s="8" t="s">
        <v>36</v>
      </c>
      <c r="AC1691" s="8" t="s">
        <v>37</v>
      </c>
      <c r="AD1691" s="8" t="s">
        <v>38</v>
      </c>
      <c r="AE1691" s="8" t="s">
        <v>2208</v>
      </c>
      <c r="AF1691" s="8" t="s">
        <v>2211</v>
      </c>
      <c r="AG1691" s="9">
        <v>1300000</v>
      </c>
      <c r="AH1691" s="11">
        <f>_xlfn.XLOOKUP(B1691,[1]Sheet1!$B:$B,[1]Sheet1!$AB:$AB,0)</f>
        <v>0</v>
      </c>
    </row>
    <row r="1692" spans="2:34" ht="16.8" thickTop="1" thickBot="1" x14ac:dyDescent="0.35">
      <c r="B1692" s="3" t="str">
        <f t="shared" si="54"/>
        <v>451012145170000844510726423821200104</v>
      </c>
      <c r="C1692" s="6" t="s">
        <v>2323</v>
      </c>
      <c r="D1692" s="6" t="s">
        <v>2769</v>
      </c>
      <c r="E1692" s="6" t="s">
        <v>2770</v>
      </c>
      <c r="F1692" s="6" t="s">
        <v>2247</v>
      </c>
      <c r="G1692" s="4" t="s">
        <v>2805</v>
      </c>
      <c r="H1692" s="4" t="s">
        <v>2922</v>
      </c>
      <c r="I1692" s="6" t="s">
        <v>55</v>
      </c>
      <c r="J1692" s="6" t="s">
        <v>31</v>
      </c>
      <c r="K1692" s="12">
        <f>_xlfn.XLOOKUP(B1692,[1]Sheet1!$B:$B,[1]Sheet1!$N:$N,0)</f>
        <v>0</v>
      </c>
      <c r="L1692" s="12">
        <f>_xlfn.XLOOKUP(B1692,[1]Sheet1!$B:$B,[1]Sheet1!$O:$O,0)</f>
        <v>0</v>
      </c>
      <c r="M1692" s="12">
        <f>_xlfn.XLOOKUP(B1692,[1]Sheet1!$B:$B,[1]Sheet1!$P:$P,0)</f>
        <v>0</v>
      </c>
      <c r="N1692" s="12">
        <f>_xlfn.XLOOKUP(B1692,[1]Sheet1!$B:$B,[1]Sheet1!$Q:$Q,0)</f>
        <v>0</v>
      </c>
      <c r="O1692" s="12">
        <f>_xlfn.XLOOKUP(B1692,[1]Sheet1!$B:$B,[1]Sheet1!$R:$R,0)</f>
        <v>0</v>
      </c>
      <c r="P1692" s="12">
        <f>_xlfn.XLOOKUP(B1692,[1]Sheet1!$B:$B,[1]Sheet1!$S:$S,0)</f>
        <v>0</v>
      </c>
      <c r="Q1692" s="12">
        <f>_xlfn.XLOOKUP(B1692,[1]Sheet1!$B:$B,[1]Sheet1!$T:$T,0)</f>
        <v>0</v>
      </c>
      <c r="R1692" s="12">
        <f>_xlfn.XLOOKUP(B1692,[1]Sheet1!$B:$B,[1]Sheet1!$U:$U,0)</f>
        <v>0</v>
      </c>
      <c r="S1692" s="12">
        <f>_xlfn.XLOOKUP(B1692,[1]Sheet1!$B:$B,[1]Sheet1!$V:$V,0)</f>
        <v>0</v>
      </c>
      <c r="T1692" s="12">
        <f>_xlfn.XLOOKUP(B1692,[1]Sheet1!$B:$B,[1]Sheet1!$W:$W,0)</f>
        <v>0</v>
      </c>
      <c r="U1692" s="12">
        <f>_xlfn.XLOOKUP(B1692,[1]Sheet1!$B:$B,[1]Sheet1!$X:$X,0)</f>
        <v>0</v>
      </c>
      <c r="V1692" s="12">
        <f>_xlfn.XLOOKUP(B1692,[1]Sheet1!$B:$B,[1]Sheet1!$Y:$Y,0)</f>
        <v>0</v>
      </c>
      <c r="W1692" s="12">
        <f t="shared" si="55"/>
        <v>0</v>
      </c>
      <c r="X1692" s="6" t="s">
        <v>2328</v>
      </c>
      <c r="Y1692" s="6" t="s">
        <v>2321</v>
      </c>
      <c r="Z1692" s="6" t="s">
        <v>2322</v>
      </c>
      <c r="AA1692" s="6" t="s">
        <v>55</v>
      </c>
      <c r="AB1692" s="6" t="s">
        <v>36</v>
      </c>
      <c r="AC1692" s="6" t="s">
        <v>37</v>
      </c>
      <c r="AD1692" s="6" t="s">
        <v>38</v>
      </c>
      <c r="AE1692" s="6" t="s">
        <v>2208</v>
      </c>
      <c r="AF1692" s="6" t="s">
        <v>2211</v>
      </c>
      <c r="AG1692" s="7">
        <v>32000</v>
      </c>
      <c r="AH1692" s="11">
        <f>_xlfn.XLOOKUP(B1692,[1]Sheet1!$B:$B,[1]Sheet1!$AB:$AB,0)</f>
        <v>0</v>
      </c>
    </row>
    <row r="1693" spans="2:34" ht="16.8" thickTop="1" thickBot="1" x14ac:dyDescent="0.35">
      <c r="B1693" s="3" t="str">
        <f t="shared" si="54"/>
        <v>451414045170000854510723424521200104</v>
      </c>
      <c r="C1693" s="8" t="s">
        <v>2239</v>
      </c>
      <c r="D1693" s="8" t="s">
        <v>2772</v>
      </c>
      <c r="E1693" s="8" t="s">
        <v>2773</v>
      </c>
      <c r="F1693" s="8" t="s">
        <v>2218</v>
      </c>
      <c r="G1693" s="4" t="s">
        <v>2804</v>
      </c>
      <c r="H1693" s="4" t="s">
        <v>2922</v>
      </c>
      <c r="I1693" s="8" t="s">
        <v>53</v>
      </c>
      <c r="J1693" s="8" t="s">
        <v>31</v>
      </c>
      <c r="K1693" s="12">
        <f>_xlfn.XLOOKUP(B1693,[1]Sheet1!$B:$B,[1]Sheet1!$N:$N,0)</f>
        <v>0</v>
      </c>
      <c r="L1693" s="12">
        <f>_xlfn.XLOOKUP(B1693,[1]Sheet1!$B:$B,[1]Sheet1!$O:$O,0)</f>
        <v>0</v>
      </c>
      <c r="M1693" s="12">
        <f>_xlfn.XLOOKUP(B1693,[1]Sheet1!$B:$B,[1]Sheet1!$P:$P,0)</f>
        <v>0</v>
      </c>
      <c r="N1693" s="12">
        <f>_xlfn.XLOOKUP(B1693,[1]Sheet1!$B:$B,[1]Sheet1!$Q:$Q,0)</f>
        <v>0</v>
      </c>
      <c r="O1693" s="12">
        <f>_xlfn.XLOOKUP(B1693,[1]Sheet1!$B:$B,[1]Sheet1!$R:$R,0)</f>
        <v>0</v>
      </c>
      <c r="P1693" s="12">
        <f>_xlfn.XLOOKUP(B1693,[1]Sheet1!$B:$B,[1]Sheet1!$S:$S,0)</f>
        <v>0</v>
      </c>
      <c r="Q1693" s="12">
        <f>_xlfn.XLOOKUP(B1693,[1]Sheet1!$B:$B,[1]Sheet1!$T:$T,0)</f>
        <v>0</v>
      </c>
      <c r="R1693" s="12">
        <f>_xlfn.XLOOKUP(B1693,[1]Sheet1!$B:$B,[1]Sheet1!$U:$U,0)</f>
        <v>0</v>
      </c>
      <c r="S1693" s="12">
        <f>_xlfn.XLOOKUP(B1693,[1]Sheet1!$B:$B,[1]Sheet1!$V:$V,0)</f>
        <v>0</v>
      </c>
      <c r="T1693" s="12">
        <f>_xlfn.XLOOKUP(B1693,[1]Sheet1!$B:$B,[1]Sheet1!$W:$W,0)</f>
        <v>0</v>
      </c>
      <c r="U1693" s="12">
        <f>_xlfn.XLOOKUP(B1693,[1]Sheet1!$B:$B,[1]Sheet1!$X:$X,0)</f>
        <v>0</v>
      </c>
      <c r="V1693" s="12">
        <f>_xlfn.XLOOKUP(B1693,[1]Sheet1!$B:$B,[1]Sheet1!$Y:$Y,0)</f>
        <v>0</v>
      </c>
      <c r="W1693" s="12">
        <f t="shared" si="55"/>
        <v>0</v>
      </c>
      <c r="X1693" s="8" t="s">
        <v>2237</v>
      </c>
      <c r="Y1693" s="8" t="s">
        <v>2208</v>
      </c>
      <c r="Z1693" s="8" t="s">
        <v>2238</v>
      </c>
      <c r="AA1693" s="8" t="s">
        <v>53</v>
      </c>
      <c r="AB1693" s="8" t="s">
        <v>36</v>
      </c>
      <c r="AC1693" s="8" t="s">
        <v>37</v>
      </c>
      <c r="AD1693" s="8" t="s">
        <v>135</v>
      </c>
      <c r="AE1693" s="8" t="s">
        <v>2208</v>
      </c>
      <c r="AF1693" s="8" t="s">
        <v>2211</v>
      </c>
      <c r="AG1693" s="9">
        <v>200000</v>
      </c>
      <c r="AH1693" s="11">
        <f>_xlfn.XLOOKUP(B1693,[1]Sheet1!$B:$B,[1]Sheet1!$AB:$AB,0)</f>
        <v>0</v>
      </c>
    </row>
    <row r="1694" spans="2:34" ht="16.8" thickTop="1" thickBot="1" x14ac:dyDescent="0.35">
      <c r="B1694" s="3" t="str">
        <f t="shared" si="54"/>
        <v>451418045170000864510710421119200104</v>
      </c>
      <c r="C1694" s="6" t="s">
        <v>2246</v>
      </c>
      <c r="D1694" s="6" t="s">
        <v>2774</v>
      </c>
      <c r="E1694" s="6" t="s">
        <v>2775</v>
      </c>
      <c r="F1694" s="6" t="s">
        <v>2280</v>
      </c>
      <c r="G1694" s="4" t="s">
        <v>2857</v>
      </c>
      <c r="H1694" s="4" t="s">
        <v>2922</v>
      </c>
      <c r="I1694" s="6" t="s">
        <v>739</v>
      </c>
      <c r="J1694" s="6" t="s">
        <v>31</v>
      </c>
      <c r="K1694" s="12">
        <f>_xlfn.XLOOKUP(B1694,[1]Sheet1!$B:$B,[1]Sheet1!$N:$N,0)</f>
        <v>0</v>
      </c>
      <c r="L1694" s="12">
        <f>_xlfn.XLOOKUP(B1694,[1]Sheet1!$B:$B,[1]Sheet1!$O:$O,0)</f>
        <v>0</v>
      </c>
      <c r="M1694" s="12">
        <f>_xlfn.XLOOKUP(B1694,[1]Sheet1!$B:$B,[1]Sheet1!$P:$P,0)</f>
        <v>0</v>
      </c>
      <c r="N1694" s="12">
        <f>_xlfn.XLOOKUP(B1694,[1]Sheet1!$B:$B,[1]Sheet1!$Q:$Q,0)</f>
        <v>0</v>
      </c>
      <c r="O1694" s="12">
        <f>_xlfn.XLOOKUP(B1694,[1]Sheet1!$B:$B,[1]Sheet1!$R:$R,0)</f>
        <v>0</v>
      </c>
      <c r="P1694" s="12">
        <f>_xlfn.XLOOKUP(B1694,[1]Sheet1!$B:$B,[1]Sheet1!$S:$S,0)</f>
        <v>0</v>
      </c>
      <c r="Q1694" s="12">
        <f>_xlfn.XLOOKUP(B1694,[1]Sheet1!$B:$B,[1]Sheet1!$T:$T,0)</f>
        <v>0</v>
      </c>
      <c r="R1694" s="12">
        <f>_xlfn.XLOOKUP(B1694,[1]Sheet1!$B:$B,[1]Sheet1!$U:$U,0)</f>
        <v>0</v>
      </c>
      <c r="S1694" s="12">
        <f>_xlfn.XLOOKUP(B1694,[1]Sheet1!$B:$B,[1]Sheet1!$V:$V,0)</f>
        <v>0</v>
      </c>
      <c r="T1694" s="12">
        <f>_xlfn.XLOOKUP(B1694,[1]Sheet1!$B:$B,[1]Sheet1!$W:$W,0)</f>
        <v>0</v>
      </c>
      <c r="U1694" s="12">
        <f>_xlfn.XLOOKUP(B1694,[1]Sheet1!$B:$B,[1]Sheet1!$X:$X,0)</f>
        <v>0</v>
      </c>
      <c r="V1694" s="12">
        <f>_xlfn.XLOOKUP(B1694,[1]Sheet1!$B:$B,[1]Sheet1!$Y:$Y,0)</f>
        <v>0</v>
      </c>
      <c r="W1694" s="12">
        <f t="shared" si="55"/>
        <v>0</v>
      </c>
      <c r="X1694" s="6" t="s">
        <v>2776</v>
      </c>
      <c r="Y1694" s="6" t="s">
        <v>2208</v>
      </c>
      <c r="Z1694" s="6" t="s">
        <v>2289</v>
      </c>
      <c r="AA1694" s="6" t="s">
        <v>741</v>
      </c>
      <c r="AB1694" s="6" t="s">
        <v>36</v>
      </c>
      <c r="AC1694" s="6" t="s">
        <v>37</v>
      </c>
      <c r="AD1694" s="6" t="s">
        <v>482</v>
      </c>
      <c r="AE1694" s="6" t="s">
        <v>2208</v>
      </c>
      <c r="AF1694" s="6" t="s">
        <v>2211</v>
      </c>
      <c r="AG1694" s="7">
        <v>864000</v>
      </c>
      <c r="AH1694" s="11">
        <f>_xlfn.XLOOKUP(B1694,[1]Sheet1!$B:$B,[1]Sheet1!$AB:$AB,0)</f>
        <v>0</v>
      </c>
    </row>
    <row r="1695" spans="2:34" ht="16.8" thickTop="1" thickBot="1" x14ac:dyDescent="0.35">
      <c r="B1695" s="3" t="str">
        <f t="shared" si="54"/>
        <v>451418045170000864510810423711200104</v>
      </c>
      <c r="C1695" s="8" t="s">
        <v>2246</v>
      </c>
      <c r="D1695" s="8" t="s">
        <v>2774</v>
      </c>
      <c r="E1695" s="8" t="s">
        <v>2775</v>
      </c>
      <c r="F1695" s="8" t="s">
        <v>2312</v>
      </c>
      <c r="G1695" s="4" t="s">
        <v>2878</v>
      </c>
      <c r="H1695" s="4" t="s">
        <v>2922</v>
      </c>
      <c r="I1695" s="8" t="s">
        <v>1826</v>
      </c>
      <c r="J1695" s="8" t="s">
        <v>31</v>
      </c>
      <c r="K1695" s="12">
        <f>_xlfn.XLOOKUP(B1695,[1]Sheet1!$B:$B,[1]Sheet1!$N:$N,0)</f>
        <v>0</v>
      </c>
      <c r="L1695" s="12">
        <f>_xlfn.XLOOKUP(B1695,[1]Sheet1!$B:$B,[1]Sheet1!$O:$O,0)</f>
        <v>0</v>
      </c>
      <c r="M1695" s="12">
        <f>_xlfn.XLOOKUP(B1695,[1]Sheet1!$B:$B,[1]Sheet1!$P:$P,0)</f>
        <v>0</v>
      </c>
      <c r="N1695" s="12">
        <f>_xlfn.XLOOKUP(B1695,[1]Sheet1!$B:$B,[1]Sheet1!$Q:$Q,0)</f>
        <v>0</v>
      </c>
      <c r="O1695" s="12">
        <f>_xlfn.XLOOKUP(B1695,[1]Sheet1!$B:$B,[1]Sheet1!$R:$R,0)</f>
        <v>0</v>
      </c>
      <c r="P1695" s="12">
        <f>_xlfn.XLOOKUP(B1695,[1]Sheet1!$B:$B,[1]Sheet1!$S:$S,0)</f>
        <v>0</v>
      </c>
      <c r="Q1695" s="12">
        <f>_xlfn.XLOOKUP(B1695,[1]Sheet1!$B:$B,[1]Sheet1!$T:$T,0)</f>
        <v>0</v>
      </c>
      <c r="R1695" s="12">
        <f>_xlfn.XLOOKUP(B1695,[1]Sheet1!$B:$B,[1]Sheet1!$U:$U,0)</f>
        <v>0</v>
      </c>
      <c r="S1695" s="12">
        <f>_xlfn.XLOOKUP(B1695,[1]Sheet1!$B:$B,[1]Sheet1!$V:$V,0)</f>
        <v>0</v>
      </c>
      <c r="T1695" s="12">
        <f>_xlfn.XLOOKUP(B1695,[1]Sheet1!$B:$B,[1]Sheet1!$W:$W,0)</f>
        <v>0</v>
      </c>
      <c r="U1695" s="12">
        <f>_xlfn.XLOOKUP(B1695,[1]Sheet1!$B:$B,[1]Sheet1!$X:$X,0)</f>
        <v>0</v>
      </c>
      <c r="V1695" s="12">
        <f>_xlfn.XLOOKUP(B1695,[1]Sheet1!$B:$B,[1]Sheet1!$Y:$Y,0)</f>
        <v>0</v>
      </c>
      <c r="W1695" s="12">
        <f t="shared" si="55"/>
        <v>0</v>
      </c>
      <c r="X1695" s="8" t="s">
        <v>2291</v>
      </c>
      <c r="Y1695" s="8" t="s">
        <v>2208</v>
      </c>
      <c r="Z1695" s="8" t="s">
        <v>2289</v>
      </c>
      <c r="AA1695" s="8" t="s">
        <v>1828</v>
      </c>
      <c r="AB1695" s="8" t="s">
        <v>36</v>
      </c>
      <c r="AC1695" s="8" t="s">
        <v>37</v>
      </c>
      <c r="AD1695" s="8" t="s">
        <v>482</v>
      </c>
      <c r="AE1695" s="8" t="s">
        <v>2208</v>
      </c>
      <c r="AF1695" s="8" t="s">
        <v>2211</v>
      </c>
      <c r="AG1695" s="9">
        <v>1700000.92</v>
      </c>
      <c r="AH1695" s="11">
        <f>_xlfn.XLOOKUP(B1695,[1]Sheet1!$B:$B,[1]Sheet1!$AB:$AB,0)</f>
        <v>0</v>
      </c>
    </row>
    <row r="1696" spans="2:34" ht="16.8" thickTop="1" thickBot="1" x14ac:dyDescent="0.35">
      <c r="B1696" s="3" t="str">
        <f t="shared" si="54"/>
        <v>451418045170000864510811422218200104</v>
      </c>
      <c r="C1696" s="6" t="s">
        <v>2246</v>
      </c>
      <c r="D1696" s="6" t="s">
        <v>2774</v>
      </c>
      <c r="E1696" s="6" t="s">
        <v>2775</v>
      </c>
      <c r="F1696" s="6" t="s">
        <v>2313</v>
      </c>
      <c r="G1696" s="4" t="s">
        <v>2867</v>
      </c>
      <c r="H1696" s="4" t="s">
        <v>2922</v>
      </c>
      <c r="I1696" s="6" t="s">
        <v>1174</v>
      </c>
      <c r="J1696" s="6" t="s">
        <v>31</v>
      </c>
      <c r="K1696" s="12">
        <f>_xlfn.XLOOKUP(B1696,[1]Sheet1!$B:$B,[1]Sheet1!$N:$N,0)</f>
        <v>0</v>
      </c>
      <c r="L1696" s="12">
        <f>_xlfn.XLOOKUP(B1696,[1]Sheet1!$B:$B,[1]Sheet1!$O:$O,0)</f>
        <v>0</v>
      </c>
      <c r="M1696" s="12">
        <f>_xlfn.XLOOKUP(B1696,[1]Sheet1!$B:$B,[1]Sheet1!$P:$P,0)</f>
        <v>0</v>
      </c>
      <c r="N1696" s="12">
        <f>_xlfn.XLOOKUP(B1696,[1]Sheet1!$B:$B,[1]Sheet1!$Q:$Q,0)</f>
        <v>0</v>
      </c>
      <c r="O1696" s="12">
        <f>_xlfn.XLOOKUP(B1696,[1]Sheet1!$B:$B,[1]Sheet1!$R:$R,0)</f>
        <v>0</v>
      </c>
      <c r="P1696" s="12">
        <f>_xlfn.XLOOKUP(B1696,[1]Sheet1!$B:$B,[1]Sheet1!$S:$S,0)</f>
        <v>0</v>
      </c>
      <c r="Q1696" s="12">
        <f>_xlfn.XLOOKUP(B1696,[1]Sheet1!$B:$B,[1]Sheet1!$T:$T,0)</f>
        <v>0</v>
      </c>
      <c r="R1696" s="12">
        <f>_xlfn.XLOOKUP(B1696,[1]Sheet1!$B:$B,[1]Sheet1!$U:$U,0)</f>
        <v>0</v>
      </c>
      <c r="S1696" s="12">
        <f>_xlfn.XLOOKUP(B1696,[1]Sheet1!$B:$B,[1]Sheet1!$V:$V,0)</f>
        <v>0</v>
      </c>
      <c r="T1696" s="12">
        <f>_xlfn.XLOOKUP(B1696,[1]Sheet1!$B:$B,[1]Sheet1!$W:$W,0)</f>
        <v>0</v>
      </c>
      <c r="U1696" s="12">
        <f>_xlfn.XLOOKUP(B1696,[1]Sheet1!$B:$B,[1]Sheet1!$X:$X,0)</f>
        <v>0</v>
      </c>
      <c r="V1696" s="12">
        <f>_xlfn.XLOOKUP(B1696,[1]Sheet1!$B:$B,[1]Sheet1!$Y:$Y,0)</f>
        <v>0</v>
      </c>
      <c r="W1696" s="12">
        <f t="shared" si="55"/>
        <v>0</v>
      </c>
      <c r="X1696" s="6" t="s">
        <v>2296</v>
      </c>
      <c r="Y1696" s="6" t="s">
        <v>2208</v>
      </c>
      <c r="Z1696" s="6" t="s">
        <v>2289</v>
      </c>
      <c r="AA1696" s="6" t="s">
        <v>1176</v>
      </c>
      <c r="AB1696" s="6" t="s">
        <v>36</v>
      </c>
      <c r="AC1696" s="6" t="s">
        <v>37</v>
      </c>
      <c r="AD1696" s="6" t="s">
        <v>482</v>
      </c>
      <c r="AE1696" s="6" t="s">
        <v>2208</v>
      </c>
      <c r="AF1696" s="6" t="s">
        <v>2211</v>
      </c>
      <c r="AG1696" s="7">
        <v>607886.4</v>
      </c>
      <c r="AH1696" s="11">
        <f>_xlfn.XLOOKUP(B1696,[1]Sheet1!$B:$B,[1]Sheet1!$AB:$AB,0)</f>
        <v>0</v>
      </c>
    </row>
    <row r="1697" spans="2:34" ht="16.8" thickTop="1" thickBot="1" x14ac:dyDescent="0.35">
      <c r="B1697" s="3" t="str">
        <f t="shared" si="54"/>
        <v>451418045170000864510811425308200104</v>
      </c>
      <c r="C1697" s="8" t="s">
        <v>2246</v>
      </c>
      <c r="D1697" s="8" t="s">
        <v>2774</v>
      </c>
      <c r="E1697" s="8" t="s">
        <v>2775</v>
      </c>
      <c r="F1697" s="8" t="s">
        <v>2313</v>
      </c>
      <c r="G1697" s="4" t="s">
        <v>2886</v>
      </c>
      <c r="H1697" s="4" t="s">
        <v>2922</v>
      </c>
      <c r="I1697" s="8" t="s">
        <v>2297</v>
      </c>
      <c r="J1697" s="8" t="s">
        <v>31</v>
      </c>
      <c r="K1697" s="12">
        <f>_xlfn.XLOOKUP(B1697,[1]Sheet1!$B:$B,[1]Sheet1!$N:$N,0)</f>
        <v>0</v>
      </c>
      <c r="L1697" s="12">
        <f>_xlfn.XLOOKUP(B1697,[1]Sheet1!$B:$B,[1]Sheet1!$O:$O,0)</f>
        <v>0</v>
      </c>
      <c r="M1697" s="12">
        <f>_xlfn.XLOOKUP(B1697,[1]Sheet1!$B:$B,[1]Sheet1!$P:$P,0)</f>
        <v>0</v>
      </c>
      <c r="N1697" s="12">
        <f>_xlfn.XLOOKUP(B1697,[1]Sheet1!$B:$B,[1]Sheet1!$Q:$Q,0)</f>
        <v>0</v>
      </c>
      <c r="O1697" s="12">
        <f>_xlfn.XLOOKUP(B1697,[1]Sheet1!$B:$B,[1]Sheet1!$R:$R,0)</f>
        <v>0</v>
      </c>
      <c r="P1697" s="12">
        <f>_xlfn.XLOOKUP(B1697,[1]Sheet1!$B:$B,[1]Sheet1!$S:$S,0)</f>
        <v>0</v>
      </c>
      <c r="Q1697" s="12">
        <f>_xlfn.XLOOKUP(B1697,[1]Sheet1!$B:$B,[1]Sheet1!$T:$T,0)</f>
        <v>0</v>
      </c>
      <c r="R1697" s="12">
        <f>_xlfn.XLOOKUP(B1697,[1]Sheet1!$B:$B,[1]Sheet1!$U:$U,0)</f>
        <v>0</v>
      </c>
      <c r="S1697" s="12">
        <f>_xlfn.XLOOKUP(B1697,[1]Sheet1!$B:$B,[1]Sheet1!$V:$V,0)</f>
        <v>0</v>
      </c>
      <c r="T1697" s="12">
        <f>_xlfn.XLOOKUP(B1697,[1]Sheet1!$B:$B,[1]Sheet1!$W:$W,0)</f>
        <v>0</v>
      </c>
      <c r="U1697" s="12">
        <f>_xlfn.XLOOKUP(B1697,[1]Sheet1!$B:$B,[1]Sheet1!$X:$X,0)</f>
        <v>0</v>
      </c>
      <c r="V1697" s="12">
        <f>_xlfn.XLOOKUP(B1697,[1]Sheet1!$B:$B,[1]Sheet1!$Y:$Y,0)</f>
        <v>0</v>
      </c>
      <c r="W1697" s="12">
        <f t="shared" si="55"/>
        <v>0</v>
      </c>
      <c r="X1697" s="8" t="s">
        <v>2298</v>
      </c>
      <c r="Y1697" s="8" t="s">
        <v>2208</v>
      </c>
      <c r="Z1697" s="8" t="s">
        <v>2289</v>
      </c>
      <c r="AA1697" s="8" t="s">
        <v>2297</v>
      </c>
      <c r="AB1697" s="8" t="s">
        <v>36</v>
      </c>
      <c r="AC1697" s="8" t="s">
        <v>37</v>
      </c>
      <c r="AD1697" s="8" t="s">
        <v>482</v>
      </c>
      <c r="AE1697" s="8" t="s">
        <v>2208</v>
      </c>
      <c r="AF1697" s="8" t="s">
        <v>2211</v>
      </c>
      <c r="AG1697" s="9">
        <v>2181823.89</v>
      </c>
      <c r="AH1697" s="11">
        <f>_xlfn.XLOOKUP(B1697,[1]Sheet1!$B:$B,[1]Sheet1!$AB:$AB,0)</f>
        <v>0</v>
      </c>
    </row>
    <row r="1698" spans="2:34" ht="16.8" thickTop="1" thickBot="1" x14ac:dyDescent="0.35">
      <c r="B1698" s="3" t="str">
        <f t="shared" si="54"/>
        <v>451418045170000864510812422911200104</v>
      </c>
      <c r="C1698" s="6" t="s">
        <v>2246</v>
      </c>
      <c r="D1698" s="6" t="s">
        <v>2774</v>
      </c>
      <c r="E1698" s="6" t="s">
        <v>2775</v>
      </c>
      <c r="F1698" s="6" t="s">
        <v>2314</v>
      </c>
      <c r="G1698" s="4" t="s">
        <v>2863</v>
      </c>
      <c r="H1698" s="4" t="s">
        <v>2922</v>
      </c>
      <c r="I1698" s="6" t="s">
        <v>1009</v>
      </c>
      <c r="J1698" s="6" t="s">
        <v>31</v>
      </c>
      <c r="K1698" s="12">
        <f>_xlfn.XLOOKUP(B1698,[1]Sheet1!$B:$B,[1]Sheet1!$N:$N,0)</f>
        <v>0</v>
      </c>
      <c r="L1698" s="12">
        <f>_xlfn.XLOOKUP(B1698,[1]Sheet1!$B:$B,[1]Sheet1!$O:$O,0)</f>
        <v>0</v>
      </c>
      <c r="M1698" s="12">
        <f>_xlfn.XLOOKUP(B1698,[1]Sheet1!$B:$B,[1]Sheet1!$P:$P,0)</f>
        <v>0</v>
      </c>
      <c r="N1698" s="12">
        <f>_xlfn.XLOOKUP(B1698,[1]Sheet1!$B:$B,[1]Sheet1!$Q:$Q,0)</f>
        <v>0</v>
      </c>
      <c r="O1698" s="12">
        <f>_xlfn.XLOOKUP(B1698,[1]Sheet1!$B:$B,[1]Sheet1!$R:$R,0)</f>
        <v>0</v>
      </c>
      <c r="P1698" s="12">
        <f>_xlfn.XLOOKUP(B1698,[1]Sheet1!$B:$B,[1]Sheet1!$S:$S,0)</f>
        <v>0</v>
      </c>
      <c r="Q1698" s="12">
        <f>_xlfn.XLOOKUP(B1698,[1]Sheet1!$B:$B,[1]Sheet1!$T:$T,0)</f>
        <v>0</v>
      </c>
      <c r="R1698" s="12">
        <f>_xlfn.XLOOKUP(B1698,[1]Sheet1!$B:$B,[1]Sheet1!$U:$U,0)</f>
        <v>0</v>
      </c>
      <c r="S1698" s="12">
        <f>_xlfn.XLOOKUP(B1698,[1]Sheet1!$B:$B,[1]Sheet1!$V:$V,0)</f>
        <v>0</v>
      </c>
      <c r="T1698" s="12">
        <f>_xlfn.XLOOKUP(B1698,[1]Sheet1!$B:$B,[1]Sheet1!$W:$W,0)</f>
        <v>0</v>
      </c>
      <c r="U1698" s="12">
        <f>_xlfn.XLOOKUP(B1698,[1]Sheet1!$B:$B,[1]Sheet1!$X:$X,0)</f>
        <v>0</v>
      </c>
      <c r="V1698" s="12">
        <f>_xlfn.XLOOKUP(B1698,[1]Sheet1!$B:$B,[1]Sheet1!$Y:$Y,0)</f>
        <v>0</v>
      </c>
      <c r="W1698" s="12">
        <f t="shared" si="55"/>
        <v>0</v>
      </c>
      <c r="X1698" s="6" t="s">
        <v>2290</v>
      </c>
      <c r="Y1698" s="6" t="s">
        <v>2208</v>
      </c>
      <c r="Z1698" s="6" t="s">
        <v>2289</v>
      </c>
      <c r="AA1698" s="6" t="s">
        <v>1011</v>
      </c>
      <c r="AB1698" s="6" t="s">
        <v>36</v>
      </c>
      <c r="AC1698" s="6" t="s">
        <v>37</v>
      </c>
      <c r="AD1698" s="6" t="s">
        <v>482</v>
      </c>
      <c r="AE1698" s="6" t="s">
        <v>2208</v>
      </c>
      <c r="AF1698" s="6" t="s">
        <v>2211</v>
      </c>
      <c r="AG1698" s="7">
        <v>4386950.26</v>
      </c>
      <c r="AH1698" s="11">
        <f>_xlfn.XLOOKUP(B1698,[1]Sheet1!$B:$B,[1]Sheet1!$AB:$AB,0)</f>
        <v>0</v>
      </c>
    </row>
    <row r="1699" spans="2:34" ht="16.8" thickTop="1" thickBot="1" x14ac:dyDescent="0.35">
      <c r="B1699" s="3" t="str">
        <f t="shared" si="54"/>
        <v>451418045170000864510813422212200104</v>
      </c>
      <c r="C1699" s="8" t="s">
        <v>2246</v>
      </c>
      <c r="D1699" s="8" t="s">
        <v>2774</v>
      </c>
      <c r="E1699" s="8" t="s">
        <v>2775</v>
      </c>
      <c r="F1699" s="8" t="s">
        <v>2315</v>
      </c>
      <c r="G1699" s="4" t="s">
        <v>2845</v>
      </c>
      <c r="H1699" s="4" t="s">
        <v>2922</v>
      </c>
      <c r="I1699" s="8" t="s">
        <v>477</v>
      </c>
      <c r="J1699" s="8" t="s">
        <v>31</v>
      </c>
      <c r="K1699" s="12">
        <f>_xlfn.XLOOKUP(B1699,[1]Sheet1!$B:$B,[1]Sheet1!$N:$N,0)</f>
        <v>0</v>
      </c>
      <c r="L1699" s="12">
        <f>_xlfn.XLOOKUP(B1699,[1]Sheet1!$B:$B,[1]Sheet1!$O:$O,0)</f>
        <v>0</v>
      </c>
      <c r="M1699" s="12">
        <f>_xlfn.XLOOKUP(B1699,[1]Sheet1!$B:$B,[1]Sheet1!$P:$P,0)</f>
        <v>0</v>
      </c>
      <c r="N1699" s="12">
        <f>_xlfn.XLOOKUP(B1699,[1]Sheet1!$B:$B,[1]Sheet1!$Q:$Q,0)</f>
        <v>0</v>
      </c>
      <c r="O1699" s="12">
        <f>_xlfn.XLOOKUP(B1699,[1]Sheet1!$B:$B,[1]Sheet1!$R:$R,0)</f>
        <v>0</v>
      </c>
      <c r="P1699" s="12">
        <f>_xlfn.XLOOKUP(B1699,[1]Sheet1!$B:$B,[1]Sheet1!$S:$S,0)</f>
        <v>0</v>
      </c>
      <c r="Q1699" s="12">
        <f>_xlfn.XLOOKUP(B1699,[1]Sheet1!$B:$B,[1]Sheet1!$T:$T,0)</f>
        <v>0</v>
      </c>
      <c r="R1699" s="12">
        <f>_xlfn.XLOOKUP(B1699,[1]Sheet1!$B:$B,[1]Sheet1!$U:$U,0)</f>
        <v>0</v>
      </c>
      <c r="S1699" s="12">
        <f>_xlfn.XLOOKUP(B1699,[1]Sheet1!$B:$B,[1]Sheet1!$V:$V,0)</f>
        <v>0</v>
      </c>
      <c r="T1699" s="12">
        <f>_xlfn.XLOOKUP(B1699,[1]Sheet1!$B:$B,[1]Sheet1!$W:$W,0)</f>
        <v>0</v>
      </c>
      <c r="U1699" s="12">
        <f>_xlfn.XLOOKUP(B1699,[1]Sheet1!$B:$B,[1]Sheet1!$X:$X,0)</f>
        <v>0</v>
      </c>
      <c r="V1699" s="12">
        <f>_xlfn.XLOOKUP(B1699,[1]Sheet1!$B:$B,[1]Sheet1!$Y:$Y,0)</f>
        <v>0</v>
      </c>
      <c r="W1699" s="12">
        <f t="shared" si="55"/>
        <v>0</v>
      </c>
      <c r="X1699" s="8" t="s">
        <v>2777</v>
      </c>
      <c r="Y1699" s="8" t="s">
        <v>2208</v>
      </c>
      <c r="Z1699" s="8" t="s">
        <v>2289</v>
      </c>
      <c r="AA1699" s="8" t="s">
        <v>481</v>
      </c>
      <c r="AB1699" s="8" t="s">
        <v>36</v>
      </c>
      <c r="AC1699" s="8" t="s">
        <v>37</v>
      </c>
      <c r="AD1699" s="8" t="s">
        <v>482</v>
      </c>
      <c r="AE1699" s="8" t="s">
        <v>2208</v>
      </c>
      <c r="AF1699" s="8" t="s">
        <v>2211</v>
      </c>
      <c r="AG1699" s="9">
        <v>20520</v>
      </c>
      <c r="AH1699" s="11">
        <f>_xlfn.XLOOKUP(B1699,[1]Sheet1!$B:$B,[1]Sheet1!$AB:$AB,0)</f>
        <v>0</v>
      </c>
    </row>
    <row r="1700" spans="2:34" ht="16.8" thickTop="1" thickBot="1" x14ac:dyDescent="0.35">
      <c r="B1700" s="3" t="str">
        <f t="shared" si="54"/>
        <v>451418045170000864510813422213200104</v>
      </c>
      <c r="C1700" s="6" t="s">
        <v>2246</v>
      </c>
      <c r="D1700" s="6" t="s">
        <v>2774</v>
      </c>
      <c r="E1700" s="6" t="s">
        <v>2775</v>
      </c>
      <c r="F1700" s="6" t="s">
        <v>2315</v>
      </c>
      <c r="G1700" s="4" t="s">
        <v>2846</v>
      </c>
      <c r="H1700" s="4" t="s">
        <v>2922</v>
      </c>
      <c r="I1700" s="6" t="s">
        <v>484</v>
      </c>
      <c r="J1700" s="6" t="s">
        <v>31</v>
      </c>
      <c r="K1700" s="12">
        <f>_xlfn.XLOOKUP(B1700,[1]Sheet1!$B:$B,[1]Sheet1!$N:$N,0)</f>
        <v>0</v>
      </c>
      <c r="L1700" s="12">
        <f>_xlfn.XLOOKUP(B1700,[1]Sheet1!$B:$B,[1]Sheet1!$O:$O,0)</f>
        <v>0</v>
      </c>
      <c r="M1700" s="12">
        <f>_xlfn.XLOOKUP(B1700,[1]Sheet1!$B:$B,[1]Sheet1!$P:$P,0)</f>
        <v>0</v>
      </c>
      <c r="N1700" s="12">
        <f>_xlfn.XLOOKUP(B1700,[1]Sheet1!$B:$B,[1]Sheet1!$Q:$Q,0)</f>
        <v>0</v>
      </c>
      <c r="O1700" s="12">
        <f>_xlfn.XLOOKUP(B1700,[1]Sheet1!$B:$B,[1]Sheet1!$R:$R,0)</f>
        <v>0</v>
      </c>
      <c r="P1700" s="12">
        <f>_xlfn.XLOOKUP(B1700,[1]Sheet1!$B:$B,[1]Sheet1!$S:$S,0)</f>
        <v>0</v>
      </c>
      <c r="Q1700" s="12">
        <f>_xlfn.XLOOKUP(B1700,[1]Sheet1!$B:$B,[1]Sheet1!$T:$T,0)</f>
        <v>0</v>
      </c>
      <c r="R1700" s="12">
        <f>_xlfn.XLOOKUP(B1700,[1]Sheet1!$B:$B,[1]Sheet1!$U:$U,0)</f>
        <v>0</v>
      </c>
      <c r="S1700" s="12">
        <f>_xlfn.XLOOKUP(B1700,[1]Sheet1!$B:$B,[1]Sheet1!$V:$V,0)</f>
        <v>0</v>
      </c>
      <c r="T1700" s="12">
        <f>_xlfn.XLOOKUP(B1700,[1]Sheet1!$B:$B,[1]Sheet1!$W:$W,0)</f>
        <v>0</v>
      </c>
      <c r="U1700" s="12">
        <f>_xlfn.XLOOKUP(B1700,[1]Sheet1!$B:$B,[1]Sheet1!$X:$X,0)</f>
        <v>0</v>
      </c>
      <c r="V1700" s="12">
        <f>_xlfn.XLOOKUP(B1700,[1]Sheet1!$B:$B,[1]Sheet1!$Y:$Y,0)</f>
        <v>0</v>
      </c>
      <c r="W1700" s="12">
        <f t="shared" si="55"/>
        <v>0</v>
      </c>
      <c r="X1700" s="6" t="s">
        <v>2295</v>
      </c>
      <c r="Y1700" s="6" t="s">
        <v>2208</v>
      </c>
      <c r="Z1700" s="6" t="s">
        <v>2289</v>
      </c>
      <c r="AA1700" s="6" t="s">
        <v>486</v>
      </c>
      <c r="AB1700" s="6" t="s">
        <v>36</v>
      </c>
      <c r="AC1700" s="6" t="s">
        <v>37</v>
      </c>
      <c r="AD1700" s="6" t="s">
        <v>482</v>
      </c>
      <c r="AE1700" s="6" t="s">
        <v>2208</v>
      </c>
      <c r="AF1700" s="6" t="s">
        <v>2211</v>
      </c>
      <c r="AG1700" s="7">
        <v>424151.75</v>
      </c>
      <c r="AH1700" s="11">
        <f>_xlfn.XLOOKUP(B1700,[1]Sheet1!$B:$B,[1]Sheet1!$AB:$AB,0)</f>
        <v>0</v>
      </c>
    </row>
    <row r="1701" spans="2:34" ht="16.8" thickTop="1" thickBot="1" x14ac:dyDescent="0.35">
      <c r="B1701" s="3" t="str">
        <f t="shared" si="54"/>
        <v>451418045170000864510814493120300105</v>
      </c>
      <c r="C1701" s="8" t="s">
        <v>2246</v>
      </c>
      <c r="D1701" s="8" t="s">
        <v>2774</v>
      </c>
      <c r="E1701" s="8" t="s">
        <v>2775</v>
      </c>
      <c r="F1701" s="8" t="s">
        <v>2316</v>
      </c>
      <c r="G1701" s="4" t="s">
        <v>2888</v>
      </c>
      <c r="H1701" s="4" t="s">
        <v>2923</v>
      </c>
      <c r="I1701" s="8" t="s">
        <v>2306</v>
      </c>
      <c r="J1701" s="8" t="s">
        <v>31</v>
      </c>
      <c r="K1701" s="12">
        <f>_xlfn.XLOOKUP(B1701,[1]Sheet1!$B:$B,[1]Sheet1!$N:$N,0)</f>
        <v>0</v>
      </c>
      <c r="L1701" s="12">
        <f>_xlfn.XLOOKUP(B1701,[1]Sheet1!$B:$B,[1]Sheet1!$O:$O,0)</f>
        <v>0</v>
      </c>
      <c r="M1701" s="12">
        <f>_xlfn.XLOOKUP(B1701,[1]Sheet1!$B:$B,[1]Sheet1!$P:$P,0)</f>
        <v>0</v>
      </c>
      <c r="N1701" s="12">
        <f>_xlfn.XLOOKUP(B1701,[1]Sheet1!$B:$B,[1]Sheet1!$Q:$Q,0)</f>
        <v>0</v>
      </c>
      <c r="O1701" s="12">
        <f>_xlfn.XLOOKUP(B1701,[1]Sheet1!$B:$B,[1]Sheet1!$R:$R,0)</f>
        <v>0</v>
      </c>
      <c r="P1701" s="12">
        <f>_xlfn.XLOOKUP(B1701,[1]Sheet1!$B:$B,[1]Sheet1!$S:$S,0)</f>
        <v>0</v>
      </c>
      <c r="Q1701" s="12">
        <f>_xlfn.XLOOKUP(B1701,[1]Sheet1!$B:$B,[1]Sheet1!$T:$T,0)</f>
        <v>0</v>
      </c>
      <c r="R1701" s="12">
        <f>_xlfn.XLOOKUP(B1701,[1]Sheet1!$B:$B,[1]Sheet1!$U:$U,0)</f>
        <v>0</v>
      </c>
      <c r="S1701" s="12">
        <f>_xlfn.XLOOKUP(B1701,[1]Sheet1!$B:$B,[1]Sheet1!$V:$V,0)</f>
        <v>0</v>
      </c>
      <c r="T1701" s="12">
        <f>_xlfn.XLOOKUP(B1701,[1]Sheet1!$B:$B,[1]Sheet1!$W:$W,0)</f>
        <v>0</v>
      </c>
      <c r="U1701" s="12">
        <f>_xlfn.XLOOKUP(B1701,[1]Sheet1!$B:$B,[1]Sheet1!$X:$X,0)</f>
        <v>0</v>
      </c>
      <c r="V1701" s="12">
        <f>_xlfn.XLOOKUP(B1701,[1]Sheet1!$B:$B,[1]Sheet1!$Y:$Y,0)</f>
        <v>0</v>
      </c>
      <c r="W1701" s="12">
        <f t="shared" si="55"/>
        <v>0</v>
      </c>
      <c r="X1701" s="8" t="s">
        <v>2307</v>
      </c>
      <c r="Y1701" s="8" t="s">
        <v>2208</v>
      </c>
      <c r="Z1701" s="8" t="s">
        <v>2289</v>
      </c>
      <c r="AA1701" s="8" t="s">
        <v>2306</v>
      </c>
      <c r="AB1701" s="8" t="s">
        <v>93</v>
      </c>
      <c r="AC1701" s="8" t="s">
        <v>94</v>
      </c>
      <c r="AD1701" s="8" t="s">
        <v>482</v>
      </c>
      <c r="AE1701" s="8" t="s">
        <v>2208</v>
      </c>
      <c r="AF1701" s="8" t="s">
        <v>2211</v>
      </c>
      <c r="AG1701" s="9">
        <v>2712283.25</v>
      </c>
      <c r="AH1701" s="11">
        <f>_xlfn.XLOOKUP(B1701,[1]Sheet1!$B:$B,[1]Sheet1!$AB:$AB,0)</f>
        <v>0</v>
      </c>
    </row>
    <row r="1702" spans="2:34" ht="16.8" thickTop="1" thickBot="1" x14ac:dyDescent="0.35">
      <c r="B1702" s="3" t="str">
        <f t="shared" si="54"/>
        <v>451418045170000864510815491320300105</v>
      </c>
      <c r="C1702" s="6" t="s">
        <v>2246</v>
      </c>
      <c r="D1702" s="6" t="s">
        <v>2774</v>
      </c>
      <c r="E1702" s="6" t="s">
        <v>2775</v>
      </c>
      <c r="F1702" s="6" t="s">
        <v>2317</v>
      </c>
      <c r="G1702" s="4" t="s">
        <v>2866</v>
      </c>
      <c r="H1702" s="4" t="s">
        <v>2923</v>
      </c>
      <c r="I1702" s="6" t="s">
        <v>1159</v>
      </c>
      <c r="J1702" s="6" t="s">
        <v>31</v>
      </c>
      <c r="K1702" s="12">
        <f>_xlfn.XLOOKUP(B1702,[1]Sheet1!$B:$B,[1]Sheet1!$N:$N,0)</f>
        <v>0</v>
      </c>
      <c r="L1702" s="12">
        <f>_xlfn.XLOOKUP(B1702,[1]Sheet1!$B:$B,[1]Sheet1!$O:$O,0)</f>
        <v>0</v>
      </c>
      <c r="M1702" s="12">
        <f>_xlfn.XLOOKUP(B1702,[1]Sheet1!$B:$B,[1]Sheet1!$P:$P,0)</f>
        <v>0</v>
      </c>
      <c r="N1702" s="12">
        <f>_xlfn.XLOOKUP(B1702,[1]Sheet1!$B:$B,[1]Sheet1!$Q:$Q,0)</f>
        <v>0</v>
      </c>
      <c r="O1702" s="12">
        <f>_xlfn.XLOOKUP(B1702,[1]Sheet1!$B:$B,[1]Sheet1!$R:$R,0)</f>
        <v>0</v>
      </c>
      <c r="P1702" s="12">
        <f>_xlfn.XLOOKUP(B1702,[1]Sheet1!$B:$B,[1]Sheet1!$S:$S,0)</f>
        <v>0</v>
      </c>
      <c r="Q1702" s="12">
        <f>_xlfn.XLOOKUP(B1702,[1]Sheet1!$B:$B,[1]Sheet1!$T:$T,0)</f>
        <v>0</v>
      </c>
      <c r="R1702" s="12">
        <f>_xlfn.XLOOKUP(B1702,[1]Sheet1!$B:$B,[1]Sheet1!$U:$U,0)</f>
        <v>0</v>
      </c>
      <c r="S1702" s="12">
        <f>_xlfn.XLOOKUP(B1702,[1]Sheet1!$B:$B,[1]Sheet1!$V:$V,0)</f>
        <v>0</v>
      </c>
      <c r="T1702" s="12">
        <f>_xlfn.XLOOKUP(B1702,[1]Sheet1!$B:$B,[1]Sheet1!$W:$W,0)</f>
        <v>0</v>
      </c>
      <c r="U1702" s="12">
        <f>_xlfn.XLOOKUP(B1702,[1]Sheet1!$B:$B,[1]Sheet1!$X:$X,0)</f>
        <v>0</v>
      </c>
      <c r="V1702" s="12">
        <f>_xlfn.XLOOKUP(B1702,[1]Sheet1!$B:$B,[1]Sheet1!$Y:$Y,0)</f>
        <v>0</v>
      </c>
      <c r="W1702" s="12">
        <f t="shared" si="55"/>
        <v>0</v>
      </c>
      <c r="X1702" s="6" t="s">
        <v>2293</v>
      </c>
      <c r="Y1702" s="6" t="s">
        <v>2208</v>
      </c>
      <c r="Z1702" s="6" t="s">
        <v>2289</v>
      </c>
      <c r="AA1702" s="6" t="s">
        <v>1159</v>
      </c>
      <c r="AB1702" s="6" t="s">
        <v>93</v>
      </c>
      <c r="AC1702" s="6" t="s">
        <v>94</v>
      </c>
      <c r="AD1702" s="6" t="s">
        <v>482</v>
      </c>
      <c r="AE1702" s="6" t="s">
        <v>2208</v>
      </c>
      <c r="AF1702" s="6" t="s">
        <v>2211</v>
      </c>
      <c r="AG1702" s="7">
        <v>6087578</v>
      </c>
      <c r="AH1702" s="11">
        <f>_xlfn.XLOOKUP(B1702,[1]Sheet1!$B:$B,[1]Sheet1!$AB:$AB,0)</f>
        <v>0</v>
      </c>
    </row>
    <row r="1703" spans="2:34" ht="16.8" thickTop="1" thickBot="1" x14ac:dyDescent="0.35">
      <c r="B1703" s="3" t="str">
        <f t="shared" si="54"/>
        <v>451418045170000874510710421119200104</v>
      </c>
      <c r="C1703" s="8" t="s">
        <v>2246</v>
      </c>
      <c r="D1703" s="8" t="s">
        <v>2778</v>
      </c>
      <c r="E1703" s="8" t="s">
        <v>2779</v>
      </c>
      <c r="F1703" s="8" t="s">
        <v>2280</v>
      </c>
      <c r="G1703" s="4" t="s">
        <v>2857</v>
      </c>
      <c r="H1703" s="4" t="s">
        <v>2922</v>
      </c>
      <c r="I1703" s="8" t="s">
        <v>739</v>
      </c>
      <c r="J1703" s="8" t="s">
        <v>31</v>
      </c>
      <c r="K1703" s="12">
        <f>_xlfn.XLOOKUP(B1703,[1]Sheet1!$B:$B,[1]Sheet1!$N:$N,0)</f>
        <v>0</v>
      </c>
      <c r="L1703" s="12">
        <f>_xlfn.XLOOKUP(B1703,[1]Sheet1!$B:$B,[1]Sheet1!$O:$O,0)</f>
        <v>0</v>
      </c>
      <c r="M1703" s="12">
        <f>_xlfn.XLOOKUP(B1703,[1]Sheet1!$B:$B,[1]Sheet1!$P:$P,0)</f>
        <v>0</v>
      </c>
      <c r="N1703" s="12">
        <f>_xlfn.XLOOKUP(B1703,[1]Sheet1!$B:$B,[1]Sheet1!$Q:$Q,0)</f>
        <v>0</v>
      </c>
      <c r="O1703" s="12">
        <f>_xlfn.XLOOKUP(B1703,[1]Sheet1!$B:$B,[1]Sheet1!$R:$R,0)</f>
        <v>0</v>
      </c>
      <c r="P1703" s="12">
        <f>_xlfn.XLOOKUP(B1703,[1]Sheet1!$B:$B,[1]Sheet1!$S:$S,0)</f>
        <v>0</v>
      </c>
      <c r="Q1703" s="12">
        <f>_xlfn.XLOOKUP(B1703,[1]Sheet1!$B:$B,[1]Sheet1!$T:$T,0)</f>
        <v>0</v>
      </c>
      <c r="R1703" s="12">
        <f>_xlfn.XLOOKUP(B1703,[1]Sheet1!$B:$B,[1]Sheet1!$U:$U,0)</f>
        <v>0</v>
      </c>
      <c r="S1703" s="12">
        <f>_xlfn.XLOOKUP(B1703,[1]Sheet1!$B:$B,[1]Sheet1!$V:$V,0)</f>
        <v>0</v>
      </c>
      <c r="T1703" s="12">
        <f>_xlfn.XLOOKUP(B1703,[1]Sheet1!$B:$B,[1]Sheet1!$W:$W,0)</f>
        <v>0</v>
      </c>
      <c r="U1703" s="12">
        <f>_xlfn.XLOOKUP(B1703,[1]Sheet1!$B:$B,[1]Sheet1!$X:$X,0)</f>
        <v>0</v>
      </c>
      <c r="V1703" s="12">
        <f>_xlfn.XLOOKUP(B1703,[1]Sheet1!$B:$B,[1]Sheet1!$Y:$Y,0)</f>
        <v>0</v>
      </c>
      <c r="W1703" s="12">
        <f t="shared" si="55"/>
        <v>0</v>
      </c>
      <c r="X1703" s="8" t="s">
        <v>2776</v>
      </c>
      <c r="Y1703" s="8" t="s">
        <v>2208</v>
      </c>
      <c r="Z1703" s="8" t="s">
        <v>2289</v>
      </c>
      <c r="AA1703" s="8" t="s">
        <v>741</v>
      </c>
      <c r="AB1703" s="8" t="s">
        <v>36</v>
      </c>
      <c r="AC1703" s="8" t="s">
        <v>37</v>
      </c>
      <c r="AD1703" s="8" t="s">
        <v>482</v>
      </c>
      <c r="AE1703" s="8" t="s">
        <v>2208</v>
      </c>
      <c r="AF1703" s="8" t="s">
        <v>2211</v>
      </c>
      <c r="AG1703" s="9">
        <v>864000</v>
      </c>
      <c r="AH1703" s="11">
        <f>_xlfn.XLOOKUP(B1703,[1]Sheet1!$B:$B,[1]Sheet1!$AB:$AB,0)</f>
        <v>0</v>
      </c>
    </row>
    <row r="1704" spans="2:34" ht="16.8" thickTop="1" thickBot="1" x14ac:dyDescent="0.35">
      <c r="B1704" s="3" t="str">
        <f t="shared" si="54"/>
        <v>451418045170000874510810423711200104</v>
      </c>
      <c r="C1704" s="6" t="s">
        <v>2246</v>
      </c>
      <c r="D1704" s="6" t="s">
        <v>2778</v>
      </c>
      <c r="E1704" s="6" t="s">
        <v>2779</v>
      </c>
      <c r="F1704" s="6" t="s">
        <v>2312</v>
      </c>
      <c r="G1704" s="4" t="s">
        <v>2878</v>
      </c>
      <c r="H1704" s="4" t="s">
        <v>2922</v>
      </c>
      <c r="I1704" s="6" t="s">
        <v>1826</v>
      </c>
      <c r="J1704" s="6" t="s">
        <v>31</v>
      </c>
      <c r="K1704" s="12">
        <f>_xlfn.XLOOKUP(B1704,[1]Sheet1!$B:$B,[1]Sheet1!$N:$N,0)</f>
        <v>0</v>
      </c>
      <c r="L1704" s="12">
        <f>_xlfn.XLOOKUP(B1704,[1]Sheet1!$B:$B,[1]Sheet1!$O:$O,0)</f>
        <v>0</v>
      </c>
      <c r="M1704" s="12">
        <f>_xlfn.XLOOKUP(B1704,[1]Sheet1!$B:$B,[1]Sheet1!$P:$P,0)</f>
        <v>0</v>
      </c>
      <c r="N1704" s="12">
        <f>_xlfn.XLOOKUP(B1704,[1]Sheet1!$B:$B,[1]Sheet1!$Q:$Q,0)</f>
        <v>0</v>
      </c>
      <c r="O1704" s="12">
        <f>_xlfn.XLOOKUP(B1704,[1]Sheet1!$B:$B,[1]Sheet1!$R:$R,0)</f>
        <v>0</v>
      </c>
      <c r="P1704" s="12">
        <f>_xlfn.XLOOKUP(B1704,[1]Sheet1!$B:$B,[1]Sheet1!$S:$S,0)</f>
        <v>0</v>
      </c>
      <c r="Q1704" s="12">
        <f>_xlfn.XLOOKUP(B1704,[1]Sheet1!$B:$B,[1]Sheet1!$T:$T,0)</f>
        <v>0</v>
      </c>
      <c r="R1704" s="12">
        <f>_xlfn.XLOOKUP(B1704,[1]Sheet1!$B:$B,[1]Sheet1!$U:$U,0)</f>
        <v>0</v>
      </c>
      <c r="S1704" s="12">
        <f>_xlfn.XLOOKUP(B1704,[1]Sheet1!$B:$B,[1]Sheet1!$V:$V,0)</f>
        <v>0</v>
      </c>
      <c r="T1704" s="12">
        <f>_xlfn.XLOOKUP(B1704,[1]Sheet1!$B:$B,[1]Sheet1!$W:$W,0)</f>
        <v>0</v>
      </c>
      <c r="U1704" s="12">
        <f>_xlfn.XLOOKUP(B1704,[1]Sheet1!$B:$B,[1]Sheet1!$X:$X,0)</f>
        <v>0</v>
      </c>
      <c r="V1704" s="12">
        <f>_xlfn.XLOOKUP(B1704,[1]Sheet1!$B:$B,[1]Sheet1!$Y:$Y,0)</f>
        <v>0</v>
      </c>
      <c r="W1704" s="12">
        <f t="shared" si="55"/>
        <v>0</v>
      </c>
      <c r="X1704" s="6" t="s">
        <v>2291</v>
      </c>
      <c r="Y1704" s="6" t="s">
        <v>2208</v>
      </c>
      <c r="Z1704" s="6" t="s">
        <v>2289</v>
      </c>
      <c r="AA1704" s="6" t="s">
        <v>1828</v>
      </c>
      <c r="AB1704" s="6" t="s">
        <v>36</v>
      </c>
      <c r="AC1704" s="6" t="s">
        <v>37</v>
      </c>
      <c r="AD1704" s="6" t="s">
        <v>482</v>
      </c>
      <c r="AE1704" s="6" t="s">
        <v>2208</v>
      </c>
      <c r="AF1704" s="6" t="s">
        <v>2211</v>
      </c>
      <c r="AG1704" s="7">
        <v>1632668.68</v>
      </c>
      <c r="AH1704" s="11">
        <f>_xlfn.XLOOKUP(B1704,[1]Sheet1!$B:$B,[1]Sheet1!$AB:$AB,0)</f>
        <v>0</v>
      </c>
    </row>
    <row r="1705" spans="2:34" ht="16.8" thickTop="1" thickBot="1" x14ac:dyDescent="0.35">
      <c r="B1705" s="3" t="str">
        <f t="shared" si="54"/>
        <v>451418045170000874510811422218200104</v>
      </c>
      <c r="C1705" s="8" t="s">
        <v>2246</v>
      </c>
      <c r="D1705" s="8" t="s">
        <v>2778</v>
      </c>
      <c r="E1705" s="8" t="s">
        <v>2779</v>
      </c>
      <c r="F1705" s="8" t="s">
        <v>2313</v>
      </c>
      <c r="G1705" s="4" t="s">
        <v>2867</v>
      </c>
      <c r="H1705" s="4" t="s">
        <v>2922</v>
      </c>
      <c r="I1705" s="8" t="s">
        <v>1174</v>
      </c>
      <c r="J1705" s="8" t="s">
        <v>31</v>
      </c>
      <c r="K1705" s="12">
        <f>_xlfn.XLOOKUP(B1705,[1]Sheet1!$B:$B,[1]Sheet1!$N:$N,0)</f>
        <v>0</v>
      </c>
      <c r="L1705" s="12">
        <f>_xlfn.XLOOKUP(B1705,[1]Sheet1!$B:$B,[1]Sheet1!$O:$O,0)</f>
        <v>0</v>
      </c>
      <c r="M1705" s="12">
        <f>_xlfn.XLOOKUP(B1705,[1]Sheet1!$B:$B,[1]Sheet1!$P:$P,0)</f>
        <v>0</v>
      </c>
      <c r="N1705" s="12">
        <f>_xlfn.XLOOKUP(B1705,[1]Sheet1!$B:$B,[1]Sheet1!$Q:$Q,0)</f>
        <v>0</v>
      </c>
      <c r="O1705" s="12">
        <f>_xlfn.XLOOKUP(B1705,[1]Sheet1!$B:$B,[1]Sheet1!$R:$R,0)</f>
        <v>0</v>
      </c>
      <c r="P1705" s="12">
        <f>_xlfn.XLOOKUP(B1705,[1]Sheet1!$B:$B,[1]Sheet1!$S:$S,0)</f>
        <v>0</v>
      </c>
      <c r="Q1705" s="12">
        <f>_xlfn.XLOOKUP(B1705,[1]Sheet1!$B:$B,[1]Sheet1!$T:$T,0)</f>
        <v>0</v>
      </c>
      <c r="R1705" s="12">
        <f>_xlfn.XLOOKUP(B1705,[1]Sheet1!$B:$B,[1]Sheet1!$U:$U,0)</f>
        <v>0</v>
      </c>
      <c r="S1705" s="12">
        <f>_xlfn.XLOOKUP(B1705,[1]Sheet1!$B:$B,[1]Sheet1!$V:$V,0)</f>
        <v>0</v>
      </c>
      <c r="T1705" s="12">
        <f>_xlfn.XLOOKUP(B1705,[1]Sheet1!$B:$B,[1]Sheet1!$W:$W,0)</f>
        <v>0</v>
      </c>
      <c r="U1705" s="12">
        <f>_xlfn.XLOOKUP(B1705,[1]Sheet1!$B:$B,[1]Sheet1!$X:$X,0)</f>
        <v>0</v>
      </c>
      <c r="V1705" s="12">
        <f>_xlfn.XLOOKUP(B1705,[1]Sheet1!$B:$B,[1]Sheet1!$Y:$Y,0)</f>
        <v>0</v>
      </c>
      <c r="W1705" s="12">
        <f t="shared" si="55"/>
        <v>0</v>
      </c>
      <c r="X1705" s="8" t="s">
        <v>2296</v>
      </c>
      <c r="Y1705" s="8" t="s">
        <v>2208</v>
      </c>
      <c r="Z1705" s="8" t="s">
        <v>2289</v>
      </c>
      <c r="AA1705" s="8" t="s">
        <v>1176</v>
      </c>
      <c r="AB1705" s="8" t="s">
        <v>36</v>
      </c>
      <c r="AC1705" s="8" t="s">
        <v>37</v>
      </c>
      <c r="AD1705" s="8" t="s">
        <v>482</v>
      </c>
      <c r="AE1705" s="8" t="s">
        <v>2208</v>
      </c>
      <c r="AF1705" s="8" t="s">
        <v>2211</v>
      </c>
      <c r="AG1705" s="9">
        <v>607886.4</v>
      </c>
      <c r="AH1705" s="11">
        <f>_xlfn.XLOOKUP(B1705,[1]Sheet1!$B:$B,[1]Sheet1!$AB:$AB,0)</f>
        <v>0</v>
      </c>
    </row>
    <row r="1706" spans="2:34" ht="16.8" thickTop="1" thickBot="1" x14ac:dyDescent="0.35">
      <c r="B1706" s="3" t="str">
        <f t="shared" si="54"/>
        <v>451418045170000874510811425303200104</v>
      </c>
      <c r="C1706" s="6" t="s">
        <v>2246</v>
      </c>
      <c r="D1706" s="6" t="s">
        <v>2778</v>
      </c>
      <c r="E1706" s="6" t="s">
        <v>2779</v>
      </c>
      <c r="F1706" s="6" t="s">
        <v>2313</v>
      </c>
      <c r="G1706" s="4" t="s">
        <v>2887</v>
      </c>
      <c r="H1706" s="4" t="s">
        <v>2922</v>
      </c>
      <c r="I1706" s="6" t="s">
        <v>2300</v>
      </c>
      <c r="J1706" s="6" t="s">
        <v>31</v>
      </c>
      <c r="K1706" s="12">
        <f>_xlfn.XLOOKUP(B1706,[1]Sheet1!$B:$B,[1]Sheet1!$N:$N,0)</f>
        <v>0</v>
      </c>
      <c r="L1706" s="12">
        <f>_xlfn.XLOOKUP(B1706,[1]Sheet1!$B:$B,[1]Sheet1!$O:$O,0)</f>
        <v>0</v>
      </c>
      <c r="M1706" s="12">
        <f>_xlfn.XLOOKUP(B1706,[1]Sheet1!$B:$B,[1]Sheet1!$P:$P,0)</f>
        <v>0</v>
      </c>
      <c r="N1706" s="12">
        <f>_xlfn.XLOOKUP(B1706,[1]Sheet1!$B:$B,[1]Sheet1!$Q:$Q,0)</f>
        <v>0</v>
      </c>
      <c r="O1706" s="12">
        <f>_xlfn.XLOOKUP(B1706,[1]Sheet1!$B:$B,[1]Sheet1!$R:$R,0)</f>
        <v>0</v>
      </c>
      <c r="P1706" s="12">
        <f>_xlfn.XLOOKUP(B1706,[1]Sheet1!$B:$B,[1]Sheet1!$S:$S,0)</f>
        <v>0</v>
      </c>
      <c r="Q1706" s="12">
        <f>_xlfn.XLOOKUP(B1706,[1]Sheet1!$B:$B,[1]Sheet1!$T:$T,0)</f>
        <v>0</v>
      </c>
      <c r="R1706" s="12">
        <f>_xlfn.XLOOKUP(B1706,[1]Sheet1!$B:$B,[1]Sheet1!$U:$U,0)</f>
        <v>0</v>
      </c>
      <c r="S1706" s="12">
        <f>_xlfn.XLOOKUP(B1706,[1]Sheet1!$B:$B,[1]Sheet1!$V:$V,0)</f>
        <v>0</v>
      </c>
      <c r="T1706" s="12">
        <f>_xlfn.XLOOKUP(B1706,[1]Sheet1!$B:$B,[1]Sheet1!$W:$W,0)</f>
        <v>0</v>
      </c>
      <c r="U1706" s="12">
        <f>_xlfn.XLOOKUP(B1706,[1]Sheet1!$B:$B,[1]Sheet1!$X:$X,0)</f>
        <v>0</v>
      </c>
      <c r="V1706" s="12">
        <f>_xlfn.XLOOKUP(B1706,[1]Sheet1!$B:$B,[1]Sheet1!$Y:$Y,0)</f>
        <v>0</v>
      </c>
      <c r="W1706" s="12">
        <f t="shared" si="55"/>
        <v>0</v>
      </c>
      <c r="X1706" s="6" t="s">
        <v>2301</v>
      </c>
      <c r="Y1706" s="6" t="s">
        <v>2208</v>
      </c>
      <c r="Z1706" s="6" t="s">
        <v>2289</v>
      </c>
      <c r="AA1706" s="6" t="s">
        <v>2300</v>
      </c>
      <c r="AB1706" s="6" t="s">
        <v>36</v>
      </c>
      <c r="AC1706" s="6" t="s">
        <v>37</v>
      </c>
      <c r="AD1706" s="6" t="s">
        <v>482</v>
      </c>
      <c r="AE1706" s="6" t="s">
        <v>2208</v>
      </c>
      <c r="AF1706" s="6" t="s">
        <v>2211</v>
      </c>
      <c r="AG1706" s="7">
        <v>2956361</v>
      </c>
      <c r="AH1706" s="11">
        <f>_xlfn.XLOOKUP(B1706,[1]Sheet1!$B:$B,[1]Sheet1!$AB:$AB,0)</f>
        <v>0</v>
      </c>
    </row>
    <row r="1707" spans="2:34" ht="16.8" thickTop="1" thickBot="1" x14ac:dyDescent="0.35">
      <c r="B1707" s="3" t="str">
        <f t="shared" si="54"/>
        <v>451418045170000874510811425308200104</v>
      </c>
      <c r="C1707" s="8" t="s">
        <v>2246</v>
      </c>
      <c r="D1707" s="8" t="s">
        <v>2778</v>
      </c>
      <c r="E1707" s="8" t="s">
        <v>2779</v>
      </c>
      <c r="F1707" s="8" t="s">
        <v>2313</v>
      </c>
      <c r="G1707" s="4" t="s">
        <v>2886</v>
      </c>
      <c r="H1707" s="4" t="s">
        <v>2922</v>
      </c>
      <c r="I1707" s="8" t="s">
        <v>2297</v>
      </c>
      <c r="J1707" s="8" t="s">
        <v>31</v>
      </c>
      <c r="K1707" s="12">
        <f>_xlfn.XLOOKUP(B1707,[1]Sheet1!$B:$B,[1]Sheet1!$N:$N,0)</f>
        <v>0</v>
      </c>
      <c r="L1707" s="12">
        <f>_xlfn.XLOOKUP(B1707,[1]Sheet1!$B:$B,[1]Sheet1!$O:$O,0)</f>
        <v>0</v>
      </c>
      <c r="M1707" s="12">
        <f>_xlfn.XLOOKUP(B1707,[1]Sheet1!$B:$B,[1]Sheet1!$P:$P,0)</f>
        <v>0</v>
      </c>
      <c r="N1707" s="12">
        <f>_xlfn.XLOOKUP(B1707,[1]Sheet1!$B:$B,[1]Sheet1!$Q:$Q,0)</f>
        <v>0</v>
      </c>
      <c r="O1707" s="12">
        <f>_xlfn.XLOOKUP(B1707,[1]Sheet1!$B:$B,[1]Sheet1!$R:$R,0)</f>
        <v>0</v>
      </c>
      <c r="P1707" s="12">
        <f>_xlfn.XLOOKUP(B1707,[1]Sheet1!$B:$B,[1]Sheet1!$S:$S,0)</f>
        <v>0</v>
      </c>
      <c r="Q1707" s="12">
        <f>_xlfn.XLOOKUP(B1707,[1]Sheet1!$B:$B,[1]Sheet1!$T:$T,0)</f>
        <v>0</v>
      </c>
      <c r="R1707" s="12">
        <f>_xlfn.XLOOKUP(B1707,[1]Sheet1!$B:$B,[1]Sheet1!$U:$U,0)</f>
        <v>0</v>
      </c>
      <c r="S1707" s="12">
        <f>_xlfn.XLOOKUP(B1707,[1]Sheet1!$B:$B,[1]Sheet1!$V:$V,0)</f>
        <v>0</v>
      </c>
      <c r="T1707" s="12">
        <f>_xlfn.XLOOKUP(B1707,[1]Sheet1!$B:$B,[1]Sheet1!$W:$W,0)</f>
        <v>0</v>
      </c>
      <c r="U1707" s="12">
        <f>_xlfn.XLOOKUP(B1707,[1]Sheet1!$B:$B,[1]Sheet1!$X:$X,0)</f>
        <v>0</v>
      </c>
      <c r="V1707" s="12">
        <f>_xlfn.XLOOKUP(B1707,[1]Sheet1!$B:$B,[1]Sheet1!$Y:$Y,0)</f>
        <v>0</v>
      </c>
      <c r="W1707" s="12">
        <f t="shared" si="55"/>
        <v>0</v>
      </c>
      <c r="X1707" s="8" t="s">
        <v>2298</v>
      </c>
      <c r="Y1707" s="8" t="s">
        <v>2208</v>
      </c>
      <c r="Z1707" s="8" t="s">
        <v>2289</v>
      </c>
      <c r="AA1707" s="8" t="s">
        <v>2297</v>
      </c>
      <c r="AB1707" s="8" t="s">
        <v>36</v>
      </c>
      <c r="AC1707" s="8" t="s">
        <v>37</v>
      </c>
      <c r="AD1707" s="8" t="s">
        <v>482</v>
      </c>
      <c r="AE1707" s="8" t="s">
        <v>2208</v>
      </c>
      <c r="AF1707" s="8" t="s">
        <v>2211</v>
      </c>
      <c r="AG1707" s="9">
        <v>4152326.29</v>
      </c>
      <c r="AH1707" s="11">
        <f>_xlfn.XLOOKUP(B1707,[1]Sheet1!$B:$B,[1]Sheet1!$AB:$AB,0)</f>
        <v>0</v>
      </c>
    </row>
    <row r="1708" spans="2:34" ht="16.8" thickTop="1" thickBot="1" x14ac:dyDescent="0.35">
      <c r="B1708" s="3" t="str">
        <f t="shared" si="54"/>
        <v>451418045170000874510812422911200104</v>
      </c>
      <c r="C1708" s="6" t="s">
        <v>2246</v>
      </c>
      <c r="D1708" s="6" t="s">
        <v>2778</v>
      </c>
      <c r="E1708" s="6" t="s">
        <v>2779</v>
      </c>
      <c r="F1708" s="6" t="s">
        <v>2314</v>
      </c>
      <c r="G1708" s="4" t="s">
        <v>2863</v>
      </c>
      <c r="H1708" s="4" t="s">
        <v>2922</v>
      </c>
      <c r="I1708" s="6" t="s">
        <v>1009</v>
      </c>
      <c r="J1708" s="6" t="s">
        <v>31</v>
      </c>
      <c r="K1708" s="12">
        <f>_xlfn.XLOOKUP(B1708,[1]Sheet1!$B:$B,[1]Sheet1!$N:$N,0)</f>
        <v>0</v>
      </c>
      <c r="L1708" s="12">
        <f>_xlfn.XLOOKUP(B1708,[1]Sheet1!$B:$B,[1]Sheet1!$O:$O,0)</f>
        <v>0</v>
      </c>
      <c r="M1708" s="12">
        <f>_xlfn.XLOOKUP(B1708,[1]Sheet1!$B:$B,[1]Sheet1!$P:$P,0)</f>
        <v>0</v>
      </c>
      <c r="N1708" s="12">
        <f>_xlfn.XLOOKUP(B1708,[1]Sheet1!$B:$B,[1]Sheet1!$Q:$Q,0)</f>
        <v>0</v>
      </c>
      <c r="O1708" s="12">
        <f>_xlfn.XLOOKUP(B1708,[1]Sheet1!$B:$B,[1]Sheet1!$R:$R,0)</f>
        <v>0</v>
      </c>
      <c r="P1708" s="12">
        <f>_xlfn.XLOOKUP(B1708,[1]Sheet1!$B:$B,[1]Sheet1!$S:$S,0)</f>
        <v>0</v>
      </c>
      <c r="Q1708" s="12">
        <f>_xlfn.XLOOKUP(B1708,[1]Sheet1!$B:$B,[1]Sheet1!$T:$T,0)</f>
        <v>0</v>
      </c>
      <c r="R1708" s="12">
        <f>_xlfn.XLOOKUP(B1708,[1]Sheet1!$B:$B,[1]Sheet1!$U:$U,0)</f>
        <v>0</v>
      </c>
      <c r="S1708" s="12">
        <f>_xlfn.XLOOKUP(B1708,[1]Sheet1!$B:$B,[1]Sheet1!$V:$V,0)</f>
        <v>0</v>
      </c>
      <c r="T1708" s="12">
        <f>_xlfn.XLOOKUP(B1708,[1]Sheet1!$B:$B,[1]Sheet1!$W:$W,0)</f>
        <v>0</v>
      </c>
      <c r="U1708" s="12">
        <f>_xlfn.XLOOKUP(B1708,[1]Sheet1!$B:$B,[1]Sheet1!$X:$X,0)</f>
        <v>0</v>
      </c>
      <c r="V1708" s="12">
        <f>_xlfn.XLOOKUP(B1708,[1]Sheet1!$B:$B,[1]Sheet1!$Y:$Y,0)</f>
        <v>0</v>
      </c>
      <c r="W1708" s="12">
        <f t="shared" si="55"/>
        <v>0</v>
      </c>
      <c r="X1708" s="6" t="s">
        <v>2290</v>
      </c>
      <c r="Y1708" s="6" t="s">
        <v>2208</v>
      </c>
      <c r="Z1708" s="6" t="s">
        <v>2289</v>
      </c>
      <c r="AA1708" s="6" t="s">
        <v>1011</v>
      </c>
      <c r="AB1708" s="6" t="s">
        <v>36</v>
      </c>
      <c r="AC1708" s="6" t="s">
        <v>37</v>
      </c>
      <c r="AD1708" s="6" t="s">
        <v>482</v>
      </c>
      <c r="AE1708" s="6" t="s">
        <v>2208</v>
      </c>
      <c r="AF1708" s="6" t="s">
        <v>2211</v>
      </c>
      <c r="AG1708" s="7">
        <v>7711055.2999999998</v>
      </c>
      <c r="AH1708" s="11">
        <f>_xlfn.XLOOKUP(B1708,[1]Sheet1!$B:$B,[1]Sheet1!$AB:$AB,0)</f>
        <v>0</v>
      </c>
    </row>
    <row r="1709" spans="2:34" ht="16.8" thickTop="1" thickBot="1" x14ac:dyDescent="0.35">
      <c r="B1709" s="3" t="str">
        <f t="shared" si="54"/>
        <v>451418045170000874510813422212200104</v>
      </c>
      <c r="C1709" s="8" t="s">
        <v>2246</v>
      </c>
      <c r="D1709" s="8" t="s">
        <v>2778</v>
      </c>
      <c r="E1709" s="8" t="s">
        <v>2779</v>
      </c>
      <c r="F1709" s="8" t="s">
        <v>2315</v>
      </c>
      <c r="G1709" s="4" t="s">
        <v>2845</v>
      </c>
      <c r="H1709" s="4" t="s">
        <v>2922</v>
      </c>
      <c r="I1709" s="8" t="s">
        <v>477</v>
      </c>
      <c r="J1709" s="8" t="s">
        <v>31</v>
      </c>
      <c r="K1709" s="12">
        <f>_xlfn.XLOOKUP(B1709,[1]Sheet1!$B:$B,[1]Sheet1!$N:$N,0)</f>
        <v>0</v>
      </c>
      <c r="L1709" s="12">
        <f>_xlfn.XLOOKUP(B1709,[1]Sheet1!$B:$B,[1]Sheet1!$O:$O,0)</f>
        <v>0</v>
      </c>
      <c r="M1709" s="12">
        <f>_xlfn.XLOOKUP(B1709,[1]Sheet1!$B:$B,[1]Sheet1!$P:$P,0)</f>
        <v>0</v>
      </c>
      <c r="N1709" s="12">
        <f>_xlfn.XLOOKUP(B1709,[1]Sheet1!$B:$B,[1]Sheet1!$Q:$Q,0)</f>
        <v>0</v>
      </c>
      <c r="O1709" s="12">
        <f>_xlfn.XLOOKUP(B1709,[1]Sheet1!$B:$B,[1]Sheet1!$R:$R,0)</f>
        <v>0</v>
      </c>
      <c r="P1709" s="12">
        <f>_xlfn.XLOOKUP(B1709,[1]Sheet1!$B:$B,[1]Sheet1!$S:$S,0)</f>
        <v>0</v>
      </c>
      <c r="Q1709" s="12">
        <f>_xlfn.XLOOKUP(B1709,[1]Sheet1!$B:$B,[1]Sheet1!$T:$T,0)</f>
        <v>0</v>
      </c>
      <c r="R1709" s="12">
        <f>_xlfn.XLOOKUP(B1709,[1]Sheet1!$B:$B,[1]Sheet1!$U:$U,0)</f>
        <v>0</v>
      </c>
      <c r="S1709" s="12">
        <f>_xlfn.XLOOKUP(B1709,[1]Sheet1!$B:$B,[1]Sheet1!$V:$V,0)</f>
        <v>0</v>
      </c>
      <c r="T1709" s="12">
        <f>_xlfn.XLOOKUP(B1709,[1]Sheet1!$B:$B,[1]Sheet1!$W:$W,0)</f>
        <v>0</v>
      </c>
      <c r="U1709" s="12">
        <f>_xlfn.XLOOKUP(B1709,[1]Sheet1!$B:$B,[1]Sheet1!$X:$X,0)</f>
        <v>0</v>
      </c>
      <c r="V1709" s="12">
        <f>_xlfn.XLOOKUP(B1709,[1]Sheet1!$B:$B,[1]Sheet1!$Y:$Y,0)</f>
        <v>0</v>
      </c>
      <c r="W1709" s="12">
        <f t="shared" si="55"/>
        <v>0</v>
      </c>
      <c r="X1709" s="8" t="s">
        <v>2777</v>
      </c>
      <c r="Y1709" s="8" t="s">
        <v>2208</v>
      </c>
      <c r="Z1709" s="8" t="s">
        <v>2289</v>
      </c>
      <c r="AA1709" s="8" t="s">
        <v>481</v>
      </c>
      <c r="AB1709" s="8" t="s">
        <v>36</v>
      </c>
      <c r="AC1709" s="8" t="s">
        <v>37</v>
      </c>
      <c r="AD1709" s="8" t="s">
        <v>482</v>
      </c>
      <c r="AE1709" s="8" t="s">
        <v>2208</v>
      </c>
      <c r="AF1709" s="8" t="s">
        <v>2211</v>
      </c>
      <c r="AG1709" s="9">
        <v>20520</v>
      </c>
      <c r="AH1709" s="11">
        <f>_xlfn.XLOOKUP(B1709,[1]Sheet1!$B:$B,[1]Sheet1!$AB:$AB,0)</f>
        <v>0</v>
      </c>
    </row>
    <row r="1710" spans="2:34" ht="16.8" thickTop="1" thickBot="1" x14ac:dyDescent="0.35">
      <c r="B1710" s="3" t="str">
        <f t="shared" si="54"/>
        <v>451418045170000874510813422213200104</v>
      </c>
      <c r="C1710" s="6" t="s">
        <v>2246</v>
      </c>
      <c r="D1710" s="6" t="s">
        <v>2778</v>
      </c>
      <c r="E1710" s="6" t="s">
        <v>2779</v>
      </c>
      <c r="F1710" s="6" t="s">
        <v>2315</v>
      </c>
      <c r="G1710" s="4" t="s">
        <v>2846</v>
      </c>
      <c r="H1710" s="4" t="s">
        <v>2922</v>
      </c>
      <c r="I1710" s="6" t="s">
        <v>484</v>
      </c>
      <c r="J1710" s="6" t="s">
        <v>31</v>
      </c>
      <c r="K1710" s="12">
        <f>_xlfn.XLOOKUP(B1710,[1]Sheet1!$B:$B,[1]Sheet1!$N:$N,0)</f>
        <v>0</v>
      </c>
      <c r="L1710" s="12">
        <f>_xlfn.XLOOKUP(B1710,[1]Sheet1!$B:$B,[1]Sheet1!$O:$O,0)</f>
        <v>0</v>
      </c>
      <c r="M1710" s="12">
        <f>_xlfn.XLOOKUP(B1710,[1]Sheet1!$B:$B,[1]Sheet1!$P:$P,0)</f>
        <v>0</v>
      </c>
      <c r="N1710" s="12">
        <f>_xlfn.XLOOKUP(B1710,[1]Sheet1!$B:$B,[1]Sheet1!$Q:$Q,0)</f>
        <v>0</v>
      </c>
      <c r="O1710" s="12">
        <f>_xlfn.XLOOKUP(B1710,[1]Sheet1!$B:$B,[1]Sheet1!$R:$R,0)</f>
        <v>0</v>
      </c>
      <c r="P1710" s="12">
        <f>_xlfn.XLOOKUP(B1710,[1]Sheet1!$B:$B,[1]Sheet1!$S:$S,0)</f>
        <v>0</v>
      </c>
      <c r="Q1710" s="12">
        <f>_xlfn.XLOOKUP(B1710,[1]Sheet1!$B:$B,[1]Sheet1!$T:$T,0)</f>
        <v>0</v>
      </c>
      <c r="R1710" s="12">
        <f>_xlfn.XLOOKUP(B1710,[1]Sheet1!$B:$B,[1]Sheet1!$U:$U,0)</f>
        <v>0</v>
      </c>
      <c r="S1710" s="12">
        <f>_xlfn.XLOOKUP(B1710,[1]Sheet1!$B:$B,[1]Sheet1!$V:$V,0)</f>
        <v>0</v>
      </c>
      <c r="T1710" s="12">
        <f>_xlfn.XLOOKUP(B1710,[1]Sheet1!$B:$B,[1]Sheet1!$W:$W,0)</f>
        <v>0</v>
      </c>
      <c r="U1710" s="12">
        <f>_xlfn.XLOOKUP(B1710,[1]Sheet1!$B:$B,[1]Sheet1!$X:$X,0)</f>
        <v>0</v>
      </c>
      <c r="V1710" s="12">
        <f>_xlfn.XLOOKUP(B1710,[1]Sheet1!$B:$B,[1]Sheet1!$Y:$Y,0)</f>
        <v>0</v>
      </c>
      <c r="W1710" s="12">
        <f t="shared" si="55"/>
        <v>0</v>
      </c>
      <c r="X1710" s="6" t="s">
        <v>2295</v>
      </c>
      <c r="Y1710" s="6" t="s">
        <v>2208</v>
      </c>
      <c r="Z1710" s="6" t="s">
        <v>2289</v>
      </c>
      <c r="AA1710" s="6" t="s">
        <v>486</v>
      </c>
      <c r="AB1710" s="6" t="s">
        <v>36</v>
      </c>
      <c r="AC1710" s="6" t="s">
        <v>37</v>
      </c>
      <c r="AD1710" s="6" t="s">
        <v>482</v>
      </c>
      <c r="AE1710" s="6" t="s">
        <v>2208</v>
      </c>
      <c r="AF1710" s="6" t="s">
        <v>2211</v>
      </c>
      <c r="AG1710" s="7">
        <v>424151.75</v>
      </c>
      <c r="AH1710" s="11">
        <f>_xlfn.XLOOKUP(B1710,[1]Sheet1!$B:$B,[1]Sheet1!$AB:$AB,0)</f>
        <v>0</v>
      </c>
    </row>
    <row r="1711" spans="2:34" ht="16.8" thickTop="1" thickBot="1" x14ac:dyDescent="0.35">
      <c r="B1711" s="3" t="str">
        <f t="shared" si="54"/>
        <v>451418045170000874510814493120300105</v>
      </c>
      <c r="C1711" s="8" t="s">
        <v>2246</v>
      </c>
      <c r="D1711" s="8" t="s">
        <v>2778</v>
      </c>
      <c r="E1711" s="8" t="s">
        <v>2779</v>
      </c>
      <c r="F1711" s="8" t="s">
        <v>2316</v>
      </c>
      <c r="G1711" s="4" t="s">
        <v>2888</v>
      </c>
      <c r="H1711" s="4" t="s">
        <v>2923</v>
      </c>
      <c r="I1711" s="8" t="s">
        <v>2306</v>
      </c>
      <c r="J1711" s="8" t="s">
        <v>31</v>
      </c>
      <c r="K1711" s="12">
        <f>_xlfn.XLOOKUP(B1711,[1]Sheet1!$B:$B,[1]Sheet1!$N:$N,0)</f>
        <v>0</v>
      </c>
      <c r="L1711" s="12">
        <f>_xlfn.XLOOKUP(B1711,[1]Sheet1!$B:$B,[1]Sheet1!$O:$O,0)</f>
        <v>0</v>
      </c>
      <c r="M1711" s="12">
        <f>_xlfn.XLOOKUP(B1711,[1]Sheet1!$B:$B,[1]Sheet1!$P:$P,0)</f>
        <v>0</v>
      </c>
      <c r="N1711" s="12">
        <f>_xlfn.XLOOKUP(B1711,[1]Sheet1!$B:$B,[1]Sheet1!$Q:$Q,0)</f>
        <v>0</v>
      </c>
      <c r="O1711" s="12">
        <f>_xlfn.XLOOKUP(B1711,[1]Sheet1!$B:$B,[1]Sheet1!$R:$R,0)</f>
        <v>0</v>
      </c>
      <c r="P1711" s="12">
        <f>_xlfn.XLOOKUP(B1711,[1]Sheet1!$B:$B,[1]Sheet1!$S:$S,0)</f>
        <v>0</v>
      </c>
      <c r="Q1711" s="12">
        <f>_xlfn.XLOOKUP(B1711,[1]Sheet1!$B:$B,[1]Sheet1!$T:$T,0)</f>
        <v>0</v>
      </c>
      <c r="R1711" s="12">
        <f>_xlfn.XLOOKUP(B1711,[1]Sheet1!$B:$B,[1]Sheet1!$U:$U,0)</f>
        <v>0</v>
      </c>
      <c r="S1711" s="12">
        <f>_xlfn.XLOOKUP(B1711,[1]Sheet1!$B:$B,[1]Sheet1!$V:$V,0)</f>
        <v>0</v>
      </c>
      <c r="T1711" s="12">
        <f>_xlfn.XLOOKUP(B1711,[1]Sheet1!$B:$B,[1]Sheet1!$W:$W,0)</f>
        <v>0</v>
      </c>
      <c r="U1711" s="12">
        <f>_xlfn.XLOOKUP(B1711,[1]Sheet1!$B:$B,[1]Sheet1!$X:$X,0)</f>
        <v>0</v>
      </c>
      <c r="V1711" s="12">
        <f>_xlfn.XLOOKUP(B1711,[1]Sheet1!$B:$B,[1]Sheet1!$Y:$Y,0)</f>
        <v>0</v>
      </c>
      <c r="W1711" s="12">
        <f t="shared" si="55"/>
        <v>0</v>
      </c>
      <c r="X1711" s="8" t="s">
        <v>2307</v>
      </c>
      <c r="Y1711" s="8" t="s">
        <v>2208</v>
      </c>
      <c r="Z1711" s="8" t="s">
        <v>2289</v>
      </c>
      <c r="AA1711" s="8" t="s">
        <v>2306</v>
      </c>
      <c r="AB1711" s="8" t="s">
        <v>93</v>
      </c>
      <c r="AC1711" s="8" t="s">
        <v>94</v>
      </c>
      <c r="AD1711" s="8" t="s">
        <v>482</v>
      </c>
      <c r="AE1711" s="8" t="s">
        <v>2208</v>
      </c>
      <c r="AF1711" s="8" t="s">
        <v>2211</v>
      </c>
      <c r="AG1711" s="9">
        <v>4958431.6900000004</v>
      </c>
      <c r="AH1711" s="11">
        <f>_xlfn.XLOOKUP(B1711,[1]Sheet1!$B:$B,[1]Sheet1!$AB:$AB,0)</f>
        <v>0</v>
      </c>
    </row>
    <row r="1712" spans="2:34" ht="16.8" thickTop="1" thickBot="1" x14ac:dyDescent="0.35">
      <c r="B1712" s="3" t="str">
        <f t="shared" si="54"/>
        <v>451418045170000874510815491320300105</v>
      </c>
      <c r="C1712" s="6" t="s">
        <v>2246</v>
      </c>
      <c r="D1712" s="6" t="s">
        <v>2778</v>
      </c>
      <c r="E1712" s="6" t="s">
        <v>2779</v>
      </c>
      <c r="F1712" s="6" t="s">
        <v>2317</v>
      </c>
      <c r="G1712" s="4" t="s">
        <v>2866</v>
      </c>
      <c r="H1712" s="4" t="s">
        <v>2923</v>
      </c>
      <c r="I1712" s="6" t="s">
        <v>1159</v>
      </c>
      <c r="J1712" s="6" t="s">
        <v>31</v>
      </c>
      <c r="K1712" s="12">
        <f>_xlfn.XLOOKUP(B1712,[1]Sheet1!$B:$B,[1]Sheet1!$N:$N,0)</f>
        <v>0</v>
      </c>
      <c r="L1712" s="12">
        <f>_xlfn.XLOOKUP(B1712,[1]Sheet1!$B:$B,[1]Sheet1!$O:$O,0)</f>
        <v>0</v>
      </c>
      <c r="M1712" s="12">
        <f>_xlfn.XLOOKUP(B1712,[1]Sheet1!$B:$B,[1]Sheet1!$P:$P,0)</f>
        <v>0</v>
      </c>
      <c r="N1712" s="12">
        <f>_xlfn.XLOOKUP(B1712,[1]Sheet1!$B:$B,[1]Sheet1!$Q:$Q,0)</f>
        <v>0</v>
      </c>
      <c r="O1712" s="12">
        <f>_xlfn.XLOOKUP(B1712,[1]Sheet1!$B:$B,[1]Sheet1!$R:$R,0)</f>
        <v>0</v>
      </c>
      <c r="P1712" s="12">
        <f>_xlfn.XLOOKUP(B1712,[1]Sheet1!$B:$B,[1]Sheet1!$S:$S,0)</f>
        <v>0</v>
      </c>
      <c r="Q1712" s="12">
        <f>_xlfn.XLOOKUP(B1712,[1]Sheet1!$B:$B,[1]Sheet1!$T:$T,0)</f>
        <v>0</v>
      </c>
      <c r="R1712" s="12">
        <f>_xlfn.XLOOKUP(B1712,[1]Sheet1!$B:$B,[1]Sheet1!$U:$U,0)</f>
        <v>0</v>
      </c>
      <c r="S1712" s="12">
        <f>_xlfn.XLOOKUP(B1712,[1]Sheet1!$B:$B,[1]Sheet1!$V:$V,0)</f>
        <v>0</v>
      </c>
      <c r="T1712" s="12">
        <f>_xlfn.XLOOKUP(B1712,[1]Sheet1!$B:$B,[1]Sheet1!$W:$W,0)</f>
        <v>0</v>
      </c>
      <c r="U1712" s="12">
        <f>_xlfn.XLOOKUP(B1712,[1]Sheet1!$B:$B,[1]Sheet1!$X:$X,0)</f>
        <v>0</v>
      </c>
      <c r="V1712" s="12">
        <f>_xlfn.XLOOKUP(B1712,[1]Sheet1!$B:$B,[1]Sheet1!$Y:$Y,0)</f>
        <v>0</v>
      </c>
      <c r="W1712" s="12">
        <f t="shared" si="55"/>
        <v>0</v>
      </c>
      <c r="X1712" s="6" t="s">
        <v>2293</v>
      </c>
      <c r="Y1712" s="6" t="s">
        <v>2208</v>
      </c>
      <c r="Z1712" s="6" t="s">
        <v>2289</v>
      </c>
      <c r="AA1712" s="6" t="s">
        <v>1159</v>
      </c>
      <c r="AB1712" s="6" t="s">
        <v>93</v>
      </c>
      <c r="AC1712" s="6" t="s">
        <v>94</v>
      </c>
      <c r="AD1712" s="6" t="s">
        <v>482</v>
      </c>
      <c r="AE1712" s="6" t="s">
        <v>2208</v>
      </c>
      <c r="AF1712" s="6" t="s">
        <v>2211</v>
      </c>
      <c r="AG1712" s="7">
        <v>5102317.33</v>
      </c>
      <c r="AH1712" s="11">
        <f>_xlfn.XLOOKUP(B1712,[1]Sheet1!$B:$B,[1]Sheet1!$AB:$AB,0)</f>
        <v>0</v>
      </c>
    </row>
    <row r="1713" spans="2:34" ht="16.8" thickTop="1" thickBot="1" x14ac:dyDescent="0.35">
      <c r="B1713" s="3" t="str">
        <f t="shared" si="54"/>
        <v>451418045170000884510710421119200104</v>
      </c>
      <c r="C1713" s="8" t="s">
        <v>2246</v>
      </c>
      <c r="D1713" s="8" t="s">
        <v>2780</v>
      </c>
      <c r="E1713" s="8" t="s">
        <v>2781</v>
      </c>
      <c r="F1713" s="8" t="s">
        <v>2280</v>
      </c>
      <c r="G1713" s="4" t="s">
        <v>2857</v>
      </c>
      <c r="H1713" s="4" t="s">
        <v>2922</v>
      </c>
      <c r="I1713" s="8" t="s">
        <v>739</v>
      </c>
      <c r="J1713" s="8" t="s">
        <v>31</v>
      </c>
      <c r="K1713" s="12">
        <f>_xlfn.XLOOKUP(B1713,[1]Sheet1!$B:$B,[1]Sheet1!$N:$N,0)</f>
        <v>0</v>
      </c>
      <c r="L1713" s="12">
        <f>_xlfn.XLOOKUP(B1713,[1]Sheet1!$B:$B,[1]Sheet1!$O:$O,0)</f>
        <v>0</v>
      </c>
      <c r="M1713" s="12">
        <f>_xlfn.XLOOKUP(B1713,[1]Sheet1!$B:$B,[1]Sheet1!$P:$P,0)</f>
        <v>0</v>
      </c>
      <c r="N1713" s="12">
        <f>_xlfn.XLOOKUP(B1713,[1]Sheet1!$B:$B,[1]Sheet1!$Q:$Q,0)</f>
        <v>0</v>
      </c>
      <c r="O1713" s="12">
        <f>_xlfn.XLOOKUP(B1713,[1]Sheet1!$B:$B,[1]Sheet1!$R:$R,0)</f>
        <v>0</v>
      </c>
      <c r="P1713" s="12">
        <f>_xlfn.XLOOKUP(B1713,[1]Sheet1!$B:$B,[1]Sheet1!$S:$S,0)</f>
        <v>0</v>
      </c>
      <c r="Q1713" s="12">
        <f>_xlfn.XLOOKUP(B1713,[1]Sheet1!$B:$B,[1]Sheet1!$T:$T,0)</f>
        <v>0</v>
      </c>
      <c r="R1713" s="12">
        <f>_xlfn.XLOOKUP(B1713,[1]Sheet1!$B:$B,[1]Sheet1!$U:$U,0)</f>
        <v>0</v>
      </c>
      <c r="S1713" s="12">
        <f>_xlfn.XLOOKUP(B1713,[1]Sheet1!$B:$B,[1]Sheet1!$V:$V,0)</f>
        <v>0</v>
      </c>
      <c r="T1713" s="12">
        <f>_xlfn.XLOOKUP(B1713,[1]Sheet1!$B:$B,[1]Sheet1!$W:$W,0)</f>
        <v>0</v>
      </c>
      <c r="U1713" s="12">
        <f>_xlfn.XLOOKUP(B1713,[1]Sheet1!$B:$B,[1]Sheet1!$X:$X,0)</f>
        <v>0</v>
      </c>
      <c r="V1713" s="12">
        <f>_xlfn.XLOOKUP(B1713,[1]Sheet1!$B:$B,[1]Sheet1!$Y:$Y,0)</f>
        <v>0</v>
      </c>
      <c r="W1713" s="12">
        <f t="shared" si="55"/>
        <v>0</v>
      </c>
      <c r="X1713" s="8" t="s">
        <v>2776</v>
      </c>
      <c r="Y1713" s="8" t="s">
        <v>2208</v>
      </c>
      <c r="Z1713" s="8" t="s">
        <v>2289</v>
      </c>
      <c r="AA1713" s="8" t="s">
        <v>741</v>
      </c>
      <c r="AB1713" s="8" t="s">
        <v>36</v>
      </c>
      <c r="AC1713" s="8" t="s">
        <v>37</v>
      </c>
      <c r="AD1713" s="8" t="s">
        <v>482</v>
      </c>
      <c r="AE1713" s="8" t="s">
        <v>2208</v>
      </c>
      <c r="AF1713" s="8" t="s">
        <v>2211</v>
      </c>
      <c r="AG1713" s="9">
        <v>864000</v>
      </c>
      <c r="AH1713" s="11">
        <f>_xlfn.XLOOKUP(B1713,[1]Sheet1!$B:$B,[1]Sheet1!$AB:$AB,0)</f>
        <v>0</v>
      </c>
    </row>
    <row r="1714" spans="2:34" ht="16.8" thickTop="1" thickBot="1" x14ac:dyDescent="0.35">
      <c r="B1714" s="3" t="str">
        <f t="shared" si="54"/>
        <v>451418045170000884510810423711200104</v>
      </c>
      <c r="C1714" s="6" t="s">
        <v>2246</v>
      </c>
      <c r="D1714" s="6" t="s">
        <v>2780</v>
      </c>
      <c r="E1714" s="6" t="s">
        <v>2781</v>
      </c>
      <c r="F1714" s="6" t="s">
        <v>2312</v>
      </c>
      <c r="G1714" s="4" t="s">
        <v>2878</v>
      </c>
      <c r="H1714" s="4" t="s">
        <v>2922</v>
      </c>
      <c r="I1714" s="6" t="s">
        <v>1826</v>
      </c>
      <c r="J1714" s="6" t="s">
        <v>31</v>
      </c>
      <c r="K1714" s="12">
        <f>_xlfn.XLOOKUP(B1714,[1]Sheet1!$B:$B,[1]Sheet1!$N:$N,0)</f>
        <v>0</v>
      </c>
      <c r="L1714" s="12">
        <f>_xlfn.XLOOKUP(B1714,[1]Sheet1!$B:$B,[1]Sheet1!$O:$O,0)</f>
        <v>0</v>
      </c>
      <c r="M1714" s="12">
        <f>_xlfn.XLOOKUP(B1714,[1]Sheet1!$B:$B,[1]Sheet1!$P:$P,0)</f>
        <v>0</v>
      </c>
      <c r="N1714" s="12">
        <f>_xlfn.XLOOKUP(B1714,[1]Sheet1!$B:$B,[1]Sheet1!$Q:$Q,0)</f>
        <v>0</v>
      </c>
      <c r="O1714" s="12">
        <f>_xlfn.XLOOKUP(B1714,[1]Sheet1!$B:$B,[1]Sheet1!$R:$R,0)</f>
        <v>0</v>
      </c>
      <c r="P1714" s="12">
        <f>_xlfn.XLOOKUP(B1714,[1]Sheet1!$B:$B,[1]Sheet1!$S:$S,0)</f>
        <v>0</v>
      </c>
      <c r="Q1714" s="12">
        <f>_xlfn.XLOOKUP(B1714,[1]Sheet1!$B:$B,[1]Sheet1!$T:$T,0)</f>
        <v>0</v>
      </c>
      <c r="R1714" s="12">
        <f>_xlfn.XLOOKUP(B1714,[1]Sheet1!$B:$B,[1]Sheet1!$U:$U,0)</f>
        <v>0</v>
      </c>
      <c r="S1714" s="12">
        <f>_xlfn.XLOOKUP(B1714,[1]Sheet1!$B:$B,[1]Sheet1!$V:$V,0)</f>
        <v>0</v>
      </c>
      <c r="T1714" s="12">
        <f>_xlfn.XLOOKUP(B1714,[1]Sheet1!$B:$B,[1]Sheet1!$W:$W,0)</f>
        <v>0</v>
      </c>
      <c r="U1714" s="12">
        <f>_xlfn.XLOOKUP(B1714,[1]Sheet1!$B:$B,[1]Sheet1!$X:$X,0)</f>
        <v>0</v>
      </c>
      <c r="V1714" s="12">
        <f>_xlfn.XLOOKUP(B1714,[1]Sheet1!$B:$B,[1]Sheet1!$Y:$Y,0)</f>
        <v>0</v>
      </c>
      <c r="W1714" s="12">
        <f t="shared" si="55"/>
        <v>0</v>
      </c>
      <c r="X1714" s="6" t="s">
        <v>2291</v>
      </c>
      <c r="Y1714" s="6" t="s">
        <v>2208</v>
      </c>
      <c r="Z1714" s="6" t="s">
        <v>2289</v>
      </c>
      <c r="AA1714" s="6" t="s">
        <v>1828</v>
      </c>
      <c r="AB1714" s="6" t="s">
        <v>36</v>
      </c>
      <c r="AC1714" s="6" t="s">
        <v>37</v>
      </c>
      <c r="AD1714" s="6" t="s">
        <v>482</v>
      </c>
      <c r="AE1714" s="6" t="s">
        <v>2208</v>
      </c>
      <c r="AF1714" s="6" t="s">
        <v>2211</v>
      </c>
      <c r="AG1714" s="7">
        <v>1502400.74</v>
      </c>
      <c r="AH1714" s="11">
        <f>_xlfn.XLOOKUP(B1714,[1]Sheet1!$B:$B,[1]Sheet1!$AB:$AB,0)</f>
        <v>0</v>
      </c>
    </row>
    <row r="1715" spans="2:34" ht="16.8" thickTop="1" thickBot="1" x14ac:dyDescent="0.35">
      <c r="B1715" s="3" t="str">
        <f t="shared" si="54"/>
        <v>451418045170000884510811422218200104</v>
      </c>
      <c r="C1715" s="8" t="s">
        <v>2246</v>
      </c>
      <c r="D1715" s="8" t="s">
        <v>2780</v>
      </c>
      <c r="E1715" s="8" t="s">
        <v>2781</v>
      </c>
      <c r="F1715" s="8" t="s">
        <v>2313</v>
      </c>
      <c r="G1715" s="4" t="s">
        <v>2867</v>
      </c>
      <c r="H1715" s="4" t="s">
        <v>2922</v>
      </c>
      <c r="I1715" s="8" t="s">
        <v>1174</v>
      </c>
      <c r="J1715" s="8" t="s">
        <v>31</v>
      </c>
      <c r="K1715" s="12">
        <f>_xlfn.XLOOKUP(B1715,[1]Sheet1!$B:$B,[1]Sheet1!$N:$N,0)</f>
        <v>0</v>
      </c>
      <c r="L1715" s="12">
        <f>_xlfn.XLOOKUP(B1715,[1]Sheet1!$B:$B,[1]Sheet1!$O:$O,0)</f>
        <v>0</v>
      </c>
      <c r="M1715" s="12">
        <f>_xlfn.XLOOKUP(B1715,[1]Sheet1!$B:$B,[1]Sheet1!$P:$P,0)</f>
        <v>0</v>
      </c>
      <c r="N1715" s="12">
        <f>_xlfn.XLOOKUP(B1715,[1]Sheet1!$B:$B,[1]Sheet1!$Q:$Q,0)</f>
        <v>0</v>
      </c>
      <c r="O1715" s="12">
        <f>_xlfn.XLOOKUP(B1715,[1]Sheet1!$B:$B,[1]Sheet1!$R:$R,0)</f>
        <v>0</v>
      </c>
      <c r="P1715" s="12">
        <f>_xlfn.XLOOKUP(B1715,[1]Sheet1!$B:$B,[1]Sheet1!$S:$S,0)</f>
        <v>0</v>
      </c>
      <c r="Q1715" s="12">
        <f>_xlfn.XLOOKUP(B1715,[1]Sheet1!$B:$B,[1]Sheet1!$T:$T,0)</f>
        <v>0</v>
      </c>
      <c r="R1715" s="12">
        <f>_xlfn.XLOOKUP(B1715,[1]Sheet1!$B:$B,[1]Sheet1!$U:$U,0)</f>
        <v>0</v>
      </c>
      <c r="S1715" s="12">
        <f>_xlfn.XLOOKUP(B1715,[1]Sheet1!$B:$B,[1]Sheet1!$V:$V,0)</f>
        <v>0</v>
      </c>
      <c r="T1715" s="12">
        <f>_xlfn.XLOOKUP(B1715,[1]Sheet1!$B:$B,[1]Sheet1!$W:$W,0)</f>
        <v>0</v>
      </c>
      <c r="U1715" s="12">
        <f>_xlfn.XLOOKUP(B1715,[1]Sheet1!$B:$B,[1]Sheet1!$X:$X,0)</f>
        <v>0</v>
      </c>
      <c r="V1715" s="12">
        <f>_xlfn.XLOOKUP(B1715,[1]Sheet1!$B:$B,[1]Sheet1!$Y:$Y,0)</f>
        <v>0</v>
      </c>
      <c r="W1715" s="12">
        <f t="shared" si="55"/>
        <v>0</v>
      </c>
      <c r="X1715" s="8" t="s">
        <v>2296</v>
      </c>
      <c r="Y1715" s="8" t="s">
        <v>2208</v>
      </c>
      <c r="Z1715" s="8" t="s">
        <v>2289</v>
      </c>
      <c r="AA1715" s="8" t="s">
        <v>1176</v>
      </c>
      <c r="AB1715" s="8" t="s">
        <v>36</v>
      </c>
      <c r="AC1715" s="8" t="s">
        <v>37</v>
      </c>
      <c r="AD1715" s="8" t="s">
        <v>482</v>
      </c>
      <c r="AE1715" s="8" t="s">
        <v>2208</v>
      </c>
      <c r="AF1715" s="8" t="s">
        <v>2211</v>
      </c>
      <c r="AG1715" s="9">
        <v>607886.4</v>
      </c>
      <c r="AH1715" s="11">
        <f>_xlfn.XLOOKUP(B1715,[1]Sheet1!$B:$B,[1]Sheet1!$AB:$AB,0)</f>
        <v>0</v>
      </c>
    </row>
    <row r="1716" spans="2:34" ht="16.8" thickTop="1" thickBot="1" x14ac:dyDescent="0.35">
      <c r="B1716" s="3" t="str">
        <f t="shared" si="54"/>
        <v>451418045170000884510811425303200104</v>
      </c>
      <c r="C1716" s="6" t="s">
        <v>2246</v>
      </c>
      <c r="D1716" s="6" t="s">
        <v>2780</v>
      </c>
      <c r="E1716" s="6" t="s">
        <v>2781</v>
      </c>
      <c r="F1716" s="6" t="s">
        <v>2313</v>
      </c>
      <c r="G1716" s="4" t="s">
        <v>2887</v>
      </c>
      <c r="H1716" s="4" t="s">
        <v>2922</v>
      </c>
      <c r="I1716" s="6" t="s">
        <v>2300</v>
      </c>
      <c r="J1716" s="6" t="s">
        <v>31</v>
      </c>
      <c r="K1716" s="12">
        <f>_xlfn.XLOOKUP(B1716,[1]Sheet1!$B:$B,[1]Sheet1!$N:$N,0)</f>
        <v>0</v>
      </c>
      <c r="L1716" s="12">
        <f>_xlfn.XLOOKUP(B1716,[1]Sheet1!$B:$B,[1]Sheet1!$O:$O,0)</f>
        <v>0</v>
      </c>
      <c r="M1716" s="12">
        <f>_xlfn.XLOOKUP(B1716,[1]Sheet1!$B:$B,[1]Sheet1!$P:$P,0)</f>
        <v>0</v>
      </c>
      <c r="N1716" s="12">
        <f>_xlfn.XLOOKUP(B1716,[1]Sheet1!$B:$B,[1]Sheet1!$Q:$Q,0)</f>
        <v>0</v>
      </c>
      <c r="O1716" s="12">
        <f>_xlfn.XLOOKUP(B1716,[1]Sheet1!$B:$B,[1]Sheet1!$R:$R,0)</f>
        <v>0</v>
      </c>
      <c r="P1716" s="12">
        <f>_xlfn.XLOOKUP(B1716,[1]Sheet1!$B:$B,[1]Sheet1!$S:$S,0)</f>
        <v>0</v>
      </c>
      <c r="Q1716" s="12">
        <f>_xlfn.XLOOKUP(B1716,[1]Sheet1!$B:$B,[1]Sheet1!$T:$T,0)</f>
        <v>0</v>
      </c>
      <c r="R1716" s="12">
        <f>_xlfn.XLOOKUP(B1716,[1]Sheet1!$B:$B,[1]Sheet1!$U:$U,0)</f>
        <v>0</v>
      </c>
      <c r="S1716" s="12">
        <f>_xlfn.XLOOKUP(B1716,[1]Sheet1!$B:$B,[1]Sheet1!$V:$V,0)</f>
        <v>0</v>
      </c>
      <c r="T1716" s="12">
        <f>_xlfn.XLOOKUP(B1716,[1]Sheet1!$B:$B,[1]Sheet1!$W:$W,0)</f>
        <v>0</v>
      </c>
      <c r="U1716" s="12">
        <f>_xlfn.XLOOKUP(B1716,[1]Sheet1!$B:$B,[1]Sheet1!$X:$X,0)</f>
        <v>0</v>
      </c>
      <c r="V1716" s="12">
        <f>_xlfn.XLOOKUP(B1716,[1]Sheet1!$B:$B,[1]Sheet1!$Y:$Y,0)</f>
        <v>0</v>
      </c>
      <c r="W1716" s="12">
        <f t="shared" si="55"/>
        <v>0</v>
      </c>
      <c r="X1716" s="6" t="s">
        <v>2301</v>
      </c>
      <c r="Y1716" s="6" t="s">
        <v>2208</v>
      </c>
      <c r="Z1716" s="6" t="s">
        <v>2289</v>
      </c>
      <c r="AA1716" s="6" t="s">
        <v>2300</v>
      </c>
      <c r="AB1716" s="6" t="s">
        <v>36</v>
      </c>
      <c r="AC1716" s="6" t="s">
        <v>37</v>
      </c>
      <c r="AD1716" s="6" t="s">
        <v>482</v>
      </c>
      <c r="AE1716" s="6" t="s">
        <v>2208</v>
      </c>
      <c r="AF1716" s="6" t="s">
        <v>2211</v>
      </c>
      <c r="AG1716" s="7">
        <v>120000</v>
      </c>
      <c r="AH1716" s="11">
        <f>_xlfn.XLOOKUP(B1716,[1]Sheet1!$B:$B,[1]Sheet1!$AB:$AB,0)</f>
        <v>0</v>
      </c>
    </row>
    <row r="1717" spans="2:34" ht="16.8" thickTop="1" thickBot="1" x14ac:dyDescent="0.35">
      <c r="B1717" s="3" t="str">
        <f t="shared" si="54"/>
        <v>451418045170000884510811425308200104</v>
      </c>
      <c r="C1717" s="8" t="s">
        <v>2246</v>
      </c>
      <c r="D1717" s="8" t="s">
        <v>2780</v>
      </c>
      <c r="E1717" s="8" t="s">
        <v>2781</v>
      </c>
      <c r="F1717" s="8" t="s">
        <v>2313</v>
      </c>
      <c r="G1717" s="4" t="s">
        <v>2886</v>
      </c>
      <c r="H1717" s="4" t="s">
        <v>2922</v>
      </c>
      <c r="I1717" s="8" t="s">
        <v>2297</v>
      </c>
      <c r="J1717" s="8" t="s">
        <v>31</v>
      </c>
      <c r="K1717" s="12">
        <f>_xlfn.XLOOKUP(B1717,[1]Sheet1!$B:$B,[1]Sheet1!$N:$N,0)</f>
        <v>0</v>
      </c>
      <c r="L1717" s="12">
        <f>_xlfn.XLOOKUP(B1717,[1]Sheet1!$B:$B,[1]Sheet1!$O:$O,0)</f>
        <v>0</v>
      </c>
      <c r="M1717" s="12">
        <f>_xlfn.XLOOKUP(B1717,[1]Sheet1!$B:$B,[1]Sheet1!$P:$P,0)</f>
        <v>0</v>
      </c>
      <c r="N1717" s="12">
        <f>_xlfn.XLOOKUP(B1717,[1]Sheet1!$B:$B,[1]Sheet1!$Q:$Q,0)</f>
        <v>0</v>
      </c>
      <c r="O1717" s="12">
        <f>_xlfn.XLOOKUP(B1717,[1]Sheet1!$B:$B,[1]Sheet1!$R:$R,0)</f>
        <v>0</v>
      </c>
      <c r="P1717" s="12">
        <f>_xlfn.XLOOKUP(B1717,[1]Sheet1!$B:$B,[1]Sheet1!$S:$S,0)</f>
        <v>0</v>
      </c>
      <c r="Q1717" s="12">
        <f>_xlfn.XLOOKUP(B1717,[1]Sheet1!$B:$B,[1]Sheet1!$T:$T,0)</f>
        <v>0</v>
      </c>
      <c r="R1717" s="12">
        <f>_xlfn.XLOOKUP(B1717,[1]Sheet1!$B:$B,[1]Sheet1!$U:$U,0)</f>
        <v>0</v>
      </c>
      <c r="S1717" s="12">
        <f>_xlfn.XLOOKUP(B1717,[1]Sheet1!$B:$B,[1]Sheet1!$V:$V,0)</f>
        <v>0</v>
      </c>
      <c r="T1717" s="12">
        <f>_xlfn.XLOOKUP(B1717,[1]Sheet1!$B:$B,[1]Sheet1!$W:$W,0)</f>
        <v>0</v>
      </c>
      <c r="U1717" s="12">
        <f>_xlfn.XLOOKUP(B1717,[1]Sheet1!$B:$B,[1]Sheet1!$X:$X,0)</f>
        <v>0</v>
      </c>
      <c r="V1717" s="12">
        <f>_xlfn.XLOOKUP(B1717,[1]Sheet1!$B:$B,[1]Sheet1!$Y:$Y,0)</f>
        <v>0</v>
      </c>
      <c r="W1717" s="12">
        <f t="shared" si="55"/>
        <v>0</v>
      </c>
      <c r="X1717" s="8" t="s">
        <v>2298</v>
      </c>
      <c r="Y1717" s="8" t="s">
        <v>2208</v>
      </c>
      <c r="Z1717" s="8" t="s">
        <v>2289</v>
      </c>
      <c r="AA1717" s="8" t="s">
        <v>2297</v>
      </c>
      <c r="AB1717" s="8" t="s">
        <v>36</v>
      </c>
      <c r="AC1717" s="8" t="s">
        <v>37</v>
      </c>
      <c r="AD1717" s="8" t="s">
        <v>482</v>
      </c>
      <c r="AE1717" s="8" t="s">
        <v>2208</v>
      </c>
      <c r="AF1717" s="8" t="s">
        <v>2211</v>
      </c>
      <c r="AG1717" s="9">
        <v>4033812.27</v>
      </c>
      <c r="AH1717" s="11">
        <f>_xlfn.XLOOKUP(B1717,[1]Sheet1!$B:$B,[1]Sheet1!$AB:$AB,0)</f>
        <v>0</v>
      </c>
    </row>
    <row r="1718" spans="2:34" ht="16.8" thickTop="1" thickBot="1" x14ac:dyDescent="0.35">
      <c r="B1718" s="3" t="str">
        <f t="shared" si="54"/>
        <v>451418045170000884510812422911200104</v>
      </c>
      <c r="C1718" s="6" t="s">
        <v>2246</v>
      </c>
      <c r="D1718" s="6" t="s">
        <v>2780</v>
      </c>
      <c r="E1718" s="6" t="s">
        <v>2781</v>
      </c>
      <c r="F1718" s="6" t="s">
        <v>2314</v>
      </c>
      <c r="G1718" s="4" t="s">
        <v>2863</v>
      </c>
      <c r="H1718" s="4" t="s">
        <v>2922</v>
      </c>
      <c r="I1718" s="6" t="s">
        <v>1009</v>
      </c>
      <c r="J1718" s="6" t="s">
        <v>31</v>
      </c>
      <c r="K1718" s="12">
        <f>_xlfn.XLOOKUP(B1718,[1]Sheet1!$B:$B,[1]Sheet1!$N:$N,0)</f>
        <v>0</v>
      </c>
      <c r="L1718" s="12">
        <f>_xlfn.XLOOKUP(B1718,[1]Sheet1!$B:$B,[1]Sheet1!$O:$O,0)</f>
        <v>0</v>
      </c>
      <c r="M1718" s="12">
        <f>_xlfn.XLOOKUP(B1718,[1]Sheet1!$B:$B,[1]Sheet1!$P:$P,0)</f>
        <v>0</v>
      </c>
      <c r="N1718" s="12">
        <f>_xlfn.XLOOKUP(B1718,[1]Sheet1!$B:$B,[1]Sheet1!$Q:$Q,0)</f>
        <v>0</v>
      </c>
      <c r="O1718" s="12">
        <f>_xlfn.XLOOKUP(B1718,[1]Sheet1!$B:$B,[1]Sheet1!$R:$R,0)</f>
        <v>0</v>
      </c>
      <c r="P1718" s="12">
        <f>_xlfn.XLOOKUP(B1718,[1]Sheet1!$B:$B,[1]Sheet1!$S:$S,0)</f>
        <v>0</v>
      </c>
      <c r="Q1718" s="12">
        <f>_xlfn.XLOOKUP(B1718,[1]Sheet1!$B:$B,[1]Sheet1!$T:$T,0)</f>
        <v>0</v>
      </c>
      <c r="R1718" s="12">
        <f>_xlfn.XLOOKUP(B1718,[1]Sheet1!$B:$B,[1]Sheet1!$U:$U,0)</f>
        <v>0</v>
      </c>
      <c r="S1718" s="12">
        <f>_xlfn.XLOOKUP(B1718,[1]Sheet1!$B:$B,[1]Sheet1!$V:$V,0)</f>
        <v>0</v>
      </c>
      <c r="T1718" s="12">
        <f>_xlfn.XLOOKUP(B1718,[1]Sheet1!$B:$B,[1]Sheet1!$W:$W,0)</f>
        <v>0</v>
      </c>
      <c r="U1718" s="12">
        <f>_xlfn.XLOOKUP(B1718,[1]Sheet1!$B:$B,[1]Sheet1!$X:$X,0)</f>
        <v>0</v>
      </c>
      <c r="V1718" s="12">
        <f>_xlfn.XLOOKUP(B1718,[1]Sheet1!$B:$B,[1]Sheet1!$Y:$Y,0)</f>
        <v>0</v>
      </c>
      <c r="W1718" s="12">
        <f t="shared" si="55"/>
        <v>0</v>
      </c>
      <c r="X1718" s="6" t="s">
        <v>2290</v>
      </c>
      <c r="Y1718" s="6" t="s">
        <v>2208</v>
      </c>
      <c r="Z1718" s="6" t="s">
        <v>2289</v>
      </c>
      <c r="AA1718" s="6" t="s">
        <v>1011</v>
      </c>
      <c r="AB1718" s="6" t="s">
        <v>36</v>
      </c>
      <c r="AC1718" s="6" t="s">
        <v>37</v>
      </c>
      <c r="AD1718" s="6" t="s">
        <v>482</v>
      </c>
      <c r="AE1718" s="6" t="s">
        <v>2208</v>
      </c>
      <c r="AF1718" s="6" t="s">
        <v>2211</v>
      </c>
      <c r="AG1718" s="7">
        <v>6230619.3099999996</v>
      </c>
      <c r="AH1718" s="11">
        <f>_xlfn.XLOOKUP(B1718,[1]Sheet1!$B:$B,[1]Sheet1!$AB:$AB,0)</f>
        <v>0</v>
      </c>
    </row>
    <row r="1719" spans="2:34" ht="16.8" thickTop="1" thickBot="1" x14ac:dyDescent="0.35">
      <c r="B1719" s="3" t="str">
        <f t="shared" si="54"/>
        <v>451418045170000884510813422212200104</v>
      </c>
      <c r="C1719" s="8" t="s">
        <v>2246</v>
      </c>
      <c r="D1719" s="8" t="s">
        <v>2780</v>
      </c>
      <c r="E1719" s="8" t="s">
        <v>2781</v>
      </c>
      <c r="F1719" s="8" t="s">
        <v>2315</v>
      </c>
      <c r="G1719" s="4" t="s">
        <v>2845</v>
      </c>
      <c r="H1719" s="4" t="s">
        <v>2922</v>
      </c>
      <c r="I1719" s="8" t="s">
        <v>477</v>
      </c>
      <c r="J1719" s="8" t="s">
        <v>31</v>
      </c>
      <c r="K1719" s="12">
        <f>_xlfn.XLOOKUP(B1719,[1]Sheet1!$B:$B,[1]Sheet1!$N:$N,0)</f>
        <v>0</v>
      </c>
      <c r="L1719" s="12">
        <f>_xlfn.XLOOKUP(B1719,[1]Sheet1!$B:$B,[1]Sheet1!$O:$O,0)</f>
        <v>0</v>
      </c>
      <c r="M1719" s="12">
        <f>_xlfn.XLOOKUP(B1719,[1]Sheet1!$B:$B,[1]Sheet1!$P:$P,0)</f>
        <v>0</v>
      </c>
      <c r="N1719" s="12">
        <f>_xlfn.XLOOKUP(B1719,[1]Sheet1!$B:$B,[1]Sheet1!$Q:$Q,0)</f>
        <v>0</v>
      </c>
      <c r="O1719" s="12">
        <f>_xlfn.XLOOKUP(B1719,[1]Sheet1!$B:$B,[1]Sheet1!$R:$R,0)</f>
        <v>0</v>
      </c>
      <c r="P1719" s="12">
        <f>_xlfn.XLOOKUP(B1719,[1]Sheet1!$B:$B,[1]Sheet1!$S:$S,0)</f>
        <v>0</v>
      </c>
      <c r="Q1719" s="12">
        <f>_xlfn.XLOOKUP(B1719,[1]Sheet1!$B:$B,[1]Sheet1!$T:$T,0)</f>
        <v>0</v>
      </c>
      <c r="R1719" s="12">
        <f>_xlfn.XLOOKUP(B1719,[1]Sheet1!$B:$B,[1]Sheet1!$U:$U,0)</f>
        <v>0</v>
      </c>
      <c r="S1719" s="12">
        <f>_xlfn.XLOOKUP(B1719,[1]Sheet1!$B:$B,[1]Sheet1!$V:$V,0)</f>
        <v>0</v>
      </c>
      <c r="T1719" s="12">
        <f>_xlfn.XLOOKUP(B1719,[1]Sheet1!$B:$B,[1]Sheet1!$W:$W,0)</f>
        <v>0</v>
      </c>
      <c r="U1719" s="12">
        <f>_xlfn.XLOOKUP(B1719,[1]Sheet1!$B:$B,[1]Sheet1!$X:$X,0)</f>
        <v>0</v>
      </c>
      <c r="V1719" s="12">
        <f>_xlfn.XLOOKUP(B1719,[1]Sheet1!$B:$B,[1]Sheet1!$Y:$Y,0)</f>
        <v>0</v>
      </c>
      <c r="W1719" s="12">
        <f t="shared" si="55"/>
        <v>0</v>
      </c>
      <c r="X1719" s="8" t="s">
        <v>2777</v>
      </c>
      <c r="Y1719" s="8" t="s">
        <v>2208</v>
      </c>
      <c r="Z1719" s="8" t="s">
        <v>2289</v>
      </c>
      <c r="AA1719" s="8" t="s">
        <v>481</v>
      </c>
      <c r="AB1719" s="8" t="s">
        <v>36</v>
      </c>
      <c r="AC1719" s="8" t="s">
        <v>37</v>
      </c>
      <c r="AD1719" s="8" t="s">
        <v>482</v>
      </c>
      <c r="AE1719" s="8" t="s">
        <v>2208</v>
      </c>
      <c r="AF1719" s="8" t="s">
        <v>2211</v>
      </c>
      <c r="AG1719" s="9">
        <v>20520</v>
      </c>
      <c r="AH1719" s="11">
        <f>_xlfn.XLOOKUP(B1719,[1]Sheet1!$B:$B,[1]Sheet1!$AB:$AB,0)</f>
        <v>0</v>
      </c>
    </row>
    <row r="1720" spans="2:34" ht="16.8" thickTop="1" thickBot="1" x14ac:dyDescent="0.35">
      <c r="B1720" s="3" t="str">
        <f t="shared" si="54"/>
        <v>451418045170000884510813422213200104</v>
      </c>
      <c r="C1720" s="6" t="s">
        <v>2246</v>
      </c>
      <c r="D1720" s="6" t="s">
        <v>2780</v>
      </c>
      <c r="E1720" s="6" t="s">
        <v>2781</v>
      </c>
      <c r="F1720" s="6" t="s">
        <v>2315</v>
      </c>
      <c r="G1720" s="4" t="s">
        <v>2846</v>
      </c>
      <c r="H1720" s="4" t="s">
        <v>2922</v>
      </c>
      <c r="I1720" s="6" t="s">
        <v>484</v>
      </c>
      <c r="J1720" s="6" t="s">
        <v>31</v>
      </c>
      <c r="K1720" s="12">
        <f>_xlfn.XLOOKUP(B1720,[1]Sheet1!$B:$B,[1]Sheet1!$N:$N,0)</f>
        <v>0</v>
      </c>
      <c r="L1720" s="12">
        <f>_xlfn.XLOOKUP(B1720,[1]Sheet1!$B:$B,[1]Sheet1!$O:$O,0)</f>
        <v>0</v>
      </c>
      <c r="M1720" s="12">
        <f>_xlfn.XLOOKUP(B1720,[1]Sheet1!$B:$B,[1]Sheet1!$P:$P,0)</f>
        <v>0</v>
      </c>
      <c r="N1720" s="12">
        <f>_xlfn.XLOOKUP(B1720,[1]Sheet1!$B:$B,[1]Sheet1!$Q:$Q,0)</f>
        <v>0</v>
      </c>
      <c r="O1720" s="12">
        <f>_xlfn.XLOOKUP(B1720,[1]Sheet1!$B:$B,[1]Sheet1!$R:$R,0)</f>
        <v>0</v>
      </c>
      <c r="P1720" s="12">
        <f>_xlfn.XLOOKUP(B1720,[1]Sheet1!$B:$B,[1]Sheet1!$S:$S,0)</f>
        <v>0</v>
      </c>
      <c r="Q1720" s="12">
        <f>_xlfn.XLOOKUP(B1720,[1]Sheet1!$B:$B,[1]Sheet1!$T:$T,0)</f>
        <v>0</v>
      </c>
      <c r="R1720" s="12">
        <f>_xlfn.XLOOKUP(B1720,[1]Sheet1!$B:$B,[1]Sheet1!$U:$U,0)</f>
        <v>0</v>
      </c>
      <c r="S1720" s="12">
        <f>_xlfn.XLOOKUP(B1720,[1]Sheet1!$B:$B,[1]Sheet1!$V:$V,0)</f>
        <v>0</v>
      </c>
      <c r="T1720" s="12">
        <f>_xlfn.XLOOKUP(B1720,[1]Sheet1!$B:$B,[1]Sheet1!$W:$W,0)</f>
        <v>0</v>
      </c>
      <c r="U1720" s="12">
        <f>_xlfn.XLOOKUP(B1720,[1]Sheet1!$B:$B,[1]Sheet1!$X:$X,0)</f>
        <v>0</v>
      </c>
      <c r="V1720" s="12">
        <f>_xlfn.XLOOKUP(B1720,[1]Sheet1!$B:$B,[1]Sheet1!$Y:$Y,0)</f>
        <v>0</v>
      </c>
      <c r="W1720" s="12">
        <f t="shared" si="55"/>
        <v>0</v>
      </c>
      <c r="X1720" s="6" t="s">
        <v>2295</v>
      </c>
      <c r="Y1720" s="6" t="s">
        <v>2208</v>
      </c>
      <c r="Z1720" s="6" t="s">
        <v>2289</v>
      </c>
      <c r="AA1720" s="6" t="s">
        <v>486</v>
      </c>
      <c r="AB1720" s="6" t="s">
        <v>36</v>
      </c>
      <c r="AC1720" s="6" t="s">
        <v>37</v>
      </c>
      <c r="AD1720" s="6" t="s">
        <v>482</v>
      </c>
      <c r="AE1720" s="6" t="s">
        <v>2208</v>
      </c>
      <c r="AF1720" s="6" t="s">
        <v>2211</v>
      </c>
      <c r="AG1720" s="7">
        <v>424152.25</v>
      </c>
      <c r="AH1720" s="11">
        <f>_xlfn.XLOOKUP(B1720,[1]Sheet1!$B:$B,[1]Sheet1!$AB:$AB,0)</f>
        <v>0</v>
      </c>
    </row>
    <row r="1721" spans="2:34" ht="16.8" thickTop="1" thickBot="1" x14ac:dyDescent="0.35">
      <c r="B1721" s="3" t="str">
        <f t="shared" si="54"/>
        <v>451418045170000884510814493120300105</v>
      </c>
      <c r="C1721" s="8" t="s">
        <v>2246</v>
      </c>
      <c r="D1721" s="8" t="s">
        <v>2780</v>
      </c>
      <c r="E1721" s="8" t="s">
        <v>2781</v>
      </c>
      <c r="F1721" s="8" t="s">
        <v>2316</v>
      </c>
      <c r="G1721" s="4" t="s">
        <v>2888</v>
      </c>
      <c r="H1721" s="4" t="s">
        <v>2923</v>
      </c>
      <c r="I1721" s="8" t="s">
        <v>2306</v>
      </c>
      <c r="J1721" s="8" t="s">
        <v>31</v>
      </c>
      <c r="K1721" s="12">
        <f>_xlfn.XLOOKUP(B1721,[1]Sheet1!$B:$B,[1]Sheet1!$N:$N,0)</f>
        <v>0</v>
      </c>
      <c r="L1721" s="12">
        <f>_xlfn.XLOOKUP(B1721,[1]Sheet1!$B:$B,[1]Sheet1!$O:$O,0)</f>
        <v>0</v>
      </c>
      <c r="M1721" s="12">
        <f>_xlfn.XLOOKUP(B1721,[1]Sheet1!$B:$B,[1]Sheet1!$P:$P,0)</f>
        <v>0</v>
      </c>
      <c r="N1721" s="12">
        <f>_xlfn.XLOOKUP(B1721,[1]Sheet1!$B:$B,[1]Sheet1!$Q:$Q,0)</f>
        <v>0</v>
      </c>
      <c r="O1721" s="12">
        <f>_xlfn.XLOOKUP(B1721,[1]Sheet1!$B:$B,[1]Sheet1!$R:$R,0)</f>
        <v>0</v>
      </c>
      <c r="P1721" s="12">
        <f>_xlfn.XLOOKUP(B1721,[1]Sheet1!$B:$B,[1]Sheet1!$S:$S,0)</f>
        <v>0</v>
      </c>
      <c r="Q1721" s="12">
        <f>_xlfn.XLOOKUP(B1721,[1]Sheet1!$B:$B,[1]Sheet1!$T:$T,0)</f>
        <v>0</v>
      </c>
      <c r="R1721" s="12">
        <f>_xlfn.XLOOKUP(B1721,[1]Sheet1!$B:$B,[1]Sheet1!$U:$U,0)</f>
        <v>0</v>
      </c>
      <c r="S1721" s="12">
        <f>_xlfn.XLOOKUP(B1721,[1]Sheet1!$B:$B,[1]Sheet1!$V:$V,0)</f>
        <v>0</v>
      </c>
      <c r="T1721" s="12">
        <f>_xlfn.XLOOKUP(B1721,[1]Sheet1!$B:$B,[1]Sheet1!$W:$W,0)</f>
        <v>0</v>
      </c>
      <c r="U1721" s="12">
        <f>_xlfn.XLOOKUP(B1721,[1]Sheet1!$B:$B,[1]Sheet1!$X:$X,0)</f>
        <v>0</v>
      </c>
      <c r="V1721" s="12">
        <f>_xlfn.XLOOKUP(B1721,[1]Sheet1!$B:$B,[1]Sheet1!$Y:$Y,0)</f>
        <v>0</v>
      </c>
      <c r="W1721" s="12">
        <f t="shared" si="55"/>
        <v>0</v>
      </c>
      <c r="X1721" s="8" t="s">
        <v>2307</v>
      </c>
      <c r="Y1721" s="8" t="s">
        <v>2208</v>
      </c>
      <c r="Z1721" s="8" t="s">
        <v>2289</v>
      </c>
      <c r="AA1721" s="8" t="s">
        <v>2306</v>
      </c>
      <c r="AB1721" s="8" t="s">
        <v>93</v>
      </c>
      <c r="AC1721" s="8" t="s">
        <v>94</v>
      </c>
      <c r="AD1721" s="8" t="s">
        <v>482</v>
      </c>
      <c r="AE1721" s="8" t="s">
        <v>2208</v>
      </c>
      <c r="AF1721" s="8" t="s">
        <v>2211</v>
      </c>
      <c r="AG1721" s="9">
        <v>5575502</v>
      </c>
      <c r="AH1721" s="11">
        <f>_xlfn.XLOOKUP(B1721,[1]Sheet1!$B:$B,[1]Sheet1!$AB:$AB,0)</f>
        <v>0</v>
      </c>
    </row>
    <row r="1722" spans="2:34" ht="16.8" thickTop="1" thickBot="1" x14ac:dyDescent="0.35">
      <c r="B1722" s="3" t="str">
        <f t="shared" si="54"/>
        <v>451418045170000884510815491320300105</v>
      </c>
      <c r="C1722" s="6" t="s">
        <v>2246</v>
      </c>
      <c r="D1722" s="6" t="s">
        <v>2780</v>
      </c>
      <c r="E1722" s="6" t="s">
        <v>2781</v>
      </c>
      <c r="F1722" s="6" t="s">
        <v>2317</v>
      </c>
      <c r="G1722" s="4" t="s">
        <v>2866</v>
      </c>
      <c r="H1722" s="4" t="s">
        <v>2923</v>
      </c>
      <c r="I1722" s="6" t="s">
        <v>1159</v>
      </c>
      <c r="J1722" s="6" t="s">
        <v>31</v>
      </c>
      <c r="K1722" s="12">
        <f>_xlfn.XLOOKUP(B1722,[1]Sheet1!$B:$B,[1]Sheet1!$N:$N,0)</f>
        <v>0</v>
      </c>
      <c r="L1722" s="12">
        <f>_xlfn.XLOOKUP(B1722,[1]Sheet1!$B:$B,[1]Sheet1!$O:$O,0)</f>
        <v>0</v>
      </c>
      <c r="M1722" s="12">
        <f>_xlfn.XLOOKUP(B1722,[1]Sheet1!$B:$B,[1]Sheet1!$P:$P,0)</f>
        <v>0</v>
      </c>
      <c r="N1722" s="12">
        <f>_xlfn.XLOOKUP(B1722,[1]Sheet1!$B:$B,[1]Sheet1!$Q:$Q,0)</f>
        <v>0</v>
      </c>
      <c r="O1722" s="12">
        <f>_xlfn.XLOOKUP(B1722,[1]Sheet1!$B:$B,[1]Sheet1!$R:$R,0)</f>
        <v>0</v>
      </c>
      <c r="P1722" s="12">
        <f>_xlfn.XLOOKUP(B1722,[1]Sheet1!$B:$B,[1]Sheet1!$S:$S,0)</f>
        <v>0</v>
      </c>
      <c r="Q1722" s="12">
        <f>_xlfn.XLOOKUP(B1722,[1]Sheet1!$B:$B,[1]Sheet1!$T:$T,0)</f>
        <v>0</v>
      </c>
      <c r="R1722" s="12">
        <f>_xlfn.XLOOKUP(B1722,[1]Sheet1!$B:$B,[1]Sheet1!$U:$U,0)</f>
        <v>0</v>
      </c>
      <c r="S1722" s="12">
        <f>_xlfn.XLOOKUP(B1722,[1]Sheet1!$B:$B,[1]Sheet1!$V:$V,0)</f>
        <v>0</v>
      </c>
      <c r="T1722" s="12">
        <f>_xlfn.XLOOKUP(B1722,[1]Sheet1!$B:$B,[1]Sheet1!$W:$W,0)</f>
        <v>0</v>
      </c>
      <c r="U1722" s="12">
        <f>_xlfn.XLOOKUP(B1722,[1]Sheet1!$B:$B,[1]Sheet1!$X:$X,0)</f>
        <v>0</v>
      </c>
      <c r="V1722" s="12">
        <f>_xlfn.XLOOKUP(B1722,[1]Sheet1!$B:$B,[1]Sheet1!$Y:$Y,0)</f>
        <v>0</v>
      </c>
      <c r="W1722" s="12">
        <f t="shared" si="55"/>
        <v>0</v>
      </c>
      <c r="X1722" s="6" t="s">
        <v>2293</v>
      </c>
      <c r="Y1722" s="6" t="s">
        <v>2208</v>
      </c>
      <c r="Z1722" s="6" t="s">
        <v>2289</v>
      </c>
      <c r="AA1722" s="6" t="s">
        <v>1159</v>
      </c>
      <c r="AB1722" s="6" t="s">
        <v>93</v>
      </c>
      <c r="AC1722" s="6" t="s">
        <v>94</v>
      </c>
      <c r="AD1722" s="6" t="s">
        <v>482</v>
      </c>
      <c r="AE1722" s="6" t="s">
        <v>2208</v>
      </c>
      <c r="AF1722" s="6" t="s">
        <v>2211</v>
      </c>
      <c r="AG1722" s="7">
        <v>5605543.9100000001</v>
      </c>
      <c r="AH1722" s="11">
        <f>_xlfn.XLOOKUP(B1722,[1]Sheet1!$B:$B,[1]Sheet1!$AB:$AB,0)</f>
        <v>0</v>
      </c>
    </row>
    <row r="1723" spans="2:34" ht="16.8" thickTop="1" thickBot="1" x14ac:dyDescent="0.35">
      <c r="B1723" s="3" t="str">
        <f t="shared" si="54"/>
        <v>451418045170000894510710421119200104</v>
      </c>
      <c r="C1723" s="8" t="s">
        <v>2246</v>
      </c>
      <c r="D1723" s="8" t="s">
        <v>2782</v>
      </c>
      <c r="E1723" s="8" t="s">
        <v>2783</v>
      </c>
      <c r="F1723" s="8" t="s">
        <v>2280</v>
      </c>
      <c r="G1723" s="4" t="s">
        <v>2857</v>
      </c>
      <c r="H1723" s="4" t="s">
        <v>2922</v>
      </c>
      <c r="I1723" s="8" t="s">
        <v>739</v>
      </c>
      <c r="J1723" s="8" t="s">
        <v>31</v>
      </c>
      <c r="K1723" s="12">
        <f>_xlfn.XLOOKUP(B1723,[1]Sheet1!$B:$B,[1]Sheet1!$N:$N,0)</f>
        <v>0</v>
      </c>
      <c r="L1723" s="12">
        <f>_xlfn.XLOOKUP(B1723,[1]Sheet1!$B:$B,[1]Sheet1!$O:$O,0)</f>
        <v>0</v>
      </c>
      <c r="M1723" s="12">
        <f>_xlfn.XLOOKUP(B1723,[1]Sheet1!$B:$B,[1]Sheet1!$P:$P,0)</f>
        <v>0</v>
      </c>
      <c r="N1723" s="12">
        <f>_xlfn.XLOOKUP(B1723,[1]Sheet1!$B:$B,[1]Sheet1!$Q:$Q,0)</f>
        <v>0</v>
      </c>
      <c r="O1723" s="12">
        <f>_xlfn.XLOOKUP(B1723,[1]Sheet1!$B:$B,[1]Sheet1!$R:$R,0)</f>
        <v>0</v>
      </c>
      <c r="P1723" s="12">
        <f>_xlfn.XLOOKUP(B1723,[1]Sheet1!$B:$B,[1]Sheet1!$S:$S,0)</f>
        <v>0</v>
      </c>
      <c r="Q1723" s="12">
        <f>_xlfn.XLOOKUP(B1723,[1]Sheet1!$B:$B,[1]Sheet1!$T:$T,0)</f>
        <v>0</v>
      </c>
      <c r="R1723" s="12">
        <f>_xlfn.XLOOKUP(B1723,[1]Sheet1!$B:$B,[1]Sheet1!$U:$U,0)</f>
        <v>0</v>
      </c>
      <c r="S1723" s="12">
        <f>_xlfn.XLOOKUP(B1723,[1]Sheet1!$B:$B,[1]Sheet1!$V:$V,0)</f>
        <v>0</v>
      </c>
      <c r="T1723" s="12">
        <f>_xlfn.XLOOKUP(B1723,[1]Sheet1!$B:$B,[1]Sheet1!$W:$W,0)</f>
        <v>0</v>
      </c>
      <c r="U1723" s="12">
        <f>_xlfn.XLOOKUP(B1723,[1]Sheet1!$B:$B,[1]Sheet1!$X:$X,0)</f>
        <v>0</v>
      </c>
      <c r="V1723" s="12">
        <f>_xlfn.XLOOKUP(B1723,[1]Sheet1!$B:$B,[1]Sheet1!$Y:$Y,0)</f>
        <v>0</v>
      </c>
      <c r="W1723" s="12">
        <f t="shared" si="55"/>
        <v>0</v>
      </c>
      <c r="X1723" s="8" t="s">
        <v>2776</v>
      </c>
      <c r="Y1723" s="8" t="s">
        <v>2208</v>
      </c>
      <c r="Z1723" s="8" t="s">
        <v>2289</v>
      </c>
      <c r="AA1723" s="8" t="s">
        <v>741</v>
      </c>
      <c r="AB1723" s="8" t="s">
        <v>36</v>
      </c>
      <c r="AC1723" s="8" t="s">
        <v>37</v>
      </c>
      <c r="AD1723" s="8" t="s">
        <v>482</v>
      </c>
      <c r="AE1723" s="8" t="s">
        <v>2208</v>
      </c>
      <c r="AF1723" s="8" t="s">
        <v>2211</v>
      </c>
      <c r="AG1723" s="9">
        <v>739000</v>
      </c>
      <c r="AH1723" s="11">
        <f>_xlfn.XLOOKUP(B1723,[1]Sheet1!$B:$B,[1]Sheet1!$AB:$AB,0)</f>
        <v>0</v>
      </c>
    </row>
    <row r="1724" spans="2:34" ht="16.8" thickTop="1" thickBot="1" x14ac:dyDescent="0.35">
      <c r="B1724" s="3" t="str">
        <f t="shared" si="54"/>
        <v>451418045170000894510810423711200104</v>
      </c>
      <c r="C1724" s="6" t="s">
        <v>2246</v>
      </c>
      <c r="D1724" s="6" t="s">
        <v>2782</v>
      </c>
      <c r="E1724" s="6" t="s">
        <v>2783</v>
      </c>
      <c r="F1724" s="6" t="s">
        <v>2312</v>
      </c>
      <c r="G1724" s="4" t="s">
        <v>2878</v>
      </c>
      <c r="H1724" s="4" t="s">
        <v>2922</v>
      </c>
      <c r="I1724" s="6" t="s">
        <v>1826</v>
      </c>
      <c r="J1724" s="6" t="s">
        <v>31</v>
      </c>
      <c r="K1724" s="12">
        <f>_xlfn.XLOOKUP(B1724,[1]Sheet1!$B:$B,[1]Sheet1!$N:$N,0)</f>
        <v>0</v>
      </c>
      <c r="L1724" s="12">
        <f>_xlfn.XLOOKUP(B1724,[1]Sheet1!$B:$B,[1]Sheet1!$O:$O,0)</f>
        <v>0</v>
      </c>
      <c r="M1724" s="12">
        <f>_xlfn.XLOOKUP(B1724,[1]Sheet1!$B:$B,[1]Sheet1!$P:$P,0)</f>
        <v>0</v>
      </c>
      <c r="N1724" s="12">
        <f>_xlfn.XLOOKUP(B1724,[1]Sheet1!$B:$B,[1]Sheet1!$Q:$Q,0)</f>
        <v>0</v>
      </c>
      <c r="O1724" s="12">
        <f>_xlfn.XLOOKUP(B1724,[1]Sheet1!$B:$B,[1]Sheet1!$R:$R,0)</f>
        <v>0</v>
      </c>
      <c r="P1724" s="12">
        <f>_xlfn.XLOOKUP(B1724,[1]Sheet1!$B:$B,[1]Sheet1!$S:$S,0)</f>
        <v>0</v>
      </c>
      <c r="Q1724" s="12">
        <f>_xlfn.XLOOKUP(B1724,[1]Sheet1!$B:$B,[1]Sheet1!$T:$T,0)</f>
        <v>0</v>
      </c>
      <c r="R1724" s="12">
        <f>_xlfn.XLOOKUP(B1724,[1]Sheet1!$B:$B,[1]Sheet1!$U:$U,0)</f>
        <v>0</v>
      </c>
      <c r="S1724" s="12">
        <f>_xlfn.XLOOKUP(B1724,[1]Sheet1!$B:$B,[1]Sheet1!$V:$V,0)</f>
        <v>0</v>
      </c>
      <c r="T1724" s="12">
        <f>_xlfn.XLOOKUP(B1724,[1]Sheet1!$B:$B,[1]Sheet1!$W:$W,0)</f>
        <v>0</v>
      </c>
      <c r="U1724" s="12">
        <f>_xlfn.XLOOKUP(B1724,[1]Sheet1!$B:$B,[1]Sheet1!$X:$X,0)</f>
        <v>0</v>
      </c>
      <c r="V1724" s="12">
        <f>_xlfn.XLOOKUP(B1724,[1]Sheet1!$B:$B,[1]Sheet1!$Y:$Y,0)</f>
        <v>0</v>
      </c>
      <c r="W1724" s="12">
        <f t="shared" si="55"/>
        <v>0</v>
      </c>
      <c r="X1724" s="6" t="s">
        <v>2291</v>
      </c>
      <c r="Y1724" s="6" t="s">
        <v>2208</v>
      </c>
      <c r="Z1724" s="6" t="s">
        <v>2289</v>
      </c>
      <c r="AA1724" s="6" t="s">
        <v>1828</v>
      </c>
      <c r="AB1724" s="6" t="s">
        <v>36</v>
      </c>
      <c r="AC1724" s="6" t="s">
        <v>37</v>
      </c>
      <c r="AD1724" s="6" t="s">
        <v>482</v>
      </c>
      <c r="AE1724" s="6" t="s">
        <v>2208</v>
      </c>
      <c r="AF1724" s="6" t="s">
        <v>2211</v>
      </c>
      <c r="AG1724" s="7">
        <v>564148</v>
      </c>
      <c r="AH1724" s="11">
        <f>_xlfn.XLOOKUP(B1724,[1]Sheet1!$B:$B,[1]Sheet1!$AB:$AB,0)</f>
        <v>0</v>
      </c>
    </row>
    <row r="1725" spans="2:34" ht="16.8" thickTop="1" thickBot="1" x14ac:dyDescent="0.35">
      <c r="B1725" s="3" t="str">
        <f t="shared" si="54"/>
        <v>451418045170000894510811422218200104</v>
      </c>
      <c r="C1725" s="8" t="s">
        <v>2246</v>
      </c>
      <c r="D1725" s="8" t="s">
        <v>2782</v>
      </c>
      <c r="E1725" s="8" t="s">
        <v>2783</v>
      </c>
      <c r="F1725" s="8" t="s">
        <v>2313</v>
      </c>
      <c r="G1725" s="4" t="s">
        <v>2867</v>
      </c>
      <c r="H1725" s="4" t="s">
        <v>2922</v>
      </c>
      <c r="I1725" s="8" t="s">
        <v>1174</v>
      </c>
      <c r="J1725" s="8" t="s">
        <v>31</v>
      </c>
      <c r="K1725" s="12">
        <f>_xlfn.XLOOKUP(B1725,[1]Sheet1!$B:$B,[1]Sheet1!$N:$N,0)</f>
        <v>0</v>
      </c>
      <c r="L1725" s="12">
        <f>_xlfn.XLOOKUP(B1725,[1]Sheet1!$B:$B,[1]Sheet1!$O:$O,0)</f>
        <v>0</v>
      </c>
      <c r="M1725" s="12">
        <f>_xlfn.XLOOKUP(B1725,[1]Sheet1!$B:$B,[1]Sheet1!$P:$P,0)</f>
        <v>0</v>
      </c>
      <c r="N1725" s="12">
        <f>_xlfn.XLOOKUP(B1725,[1]Sheet1!$B:$B,[1]Sheet1!$Q:$Q,0)</f>
        <v>0</v>
      </c>
      <c r="O1725" s="12">
        <f>_xlfn.XLOOKUP(B1725,[1]Sheet1!$B:$B,[1]Sheet1!$R:$R,0)</f>
        <v>0</v>
      </c>
      <c r="P1725" s="12">
        <f>_xlfn.XLOOKUP(B1725,[1]Sheet1!$B:$B,[1]Sheet1!$S:$S,0)</f>
        <v>0</v>
      </c>
      <c r="Q1725" s="12">
        <f>_xlfn.XLOOKUP(B1725,[1]Sheet1!$B:$B,[1]Sheet1!$T:$T,0)</f>
        <v>0</v>
      </c>
      <c r="R1725" s="12">
        <f>_xlfn.XLOOKUP(B1725,[1]Sheet1!$B:$B,[1]Sheet1!$U:$U,0)</f>
        <v>0</v>
      </c>
      <c r="S1725" s="12">
        <f>_xlfn.XLOOKUP(B1725,[1]Sheet1!$B:$B,[1]Sheet1!$V:$V,0)</f>
        <v>0</v>
      </c>
      <c r="T1725" s="12">
        <f>_xlfn.XLOOKUP(B1725,[1]Sheet1!$B:$B,[1]Sheet1!$W:$W,0)</f>
        <v>0</v>
      </c>
      <c r="U1725" s="12">
        <f>_xlfn.XLOOKUP(B1725,[1]Sheet1!$B:$B,[1]Sheet1!$X:$X,0)</f>
        <v>0</v>
      </c>
      <c r="V1725" s="12">
        <f>_xlfn.XLOOKUP(B1725,[1]Sheet1!$B:$B,[1]Sheet1!$Y:$Y,0)</f>
        <v>0</v>
      </c>
      <c r="W1725" s="12">
        <f t="shared" si="55"/>
        <v>0</v>
      </c>
      <c r="X1725" s="8" t="s">
        <v>2296</v>
      </c>
      <c r="Y1725" s="8" t="s">
        <v>2208</v>
      </c>
      <c r="Z1725" s="8" t="s">
        <v>2289</v>
      </c>
      <c r="AA1725" s="8" t="s">
        <v>1176</v>
      </c>
      <c r="AB1725" s="8" t="s">
        <v>36</v>
      </c>
      <c r="AC1725" s="8" t="s">
        <v>37</v>
      </c>
      <c r="AD1725" s="8" t="s">
        <v>482</v>
      </c>
      <c r="AE1725" s="8" t="s">
        <v>2208</v>
      </c>
      <c r="AF1725" s="8" t="s">
        <v>2211</v>
      </c>
      <c r="AG1725" s="9">
        <v>607886.4</v>
      </c>
      <c r="AH1725" s="11">
        <f>_xlfn.XLOOKUP(B1725,[1]Sheet1!$B:$B,[1]Sheet1!$AB:$AB,0)</f>
        <v>0</v>
      </c>
    </row>
    <row r="1726" spans="2:34" ht="16.8" thickTop="1" thickBot="1" x14ac:dyDescent="0.35">
      <c r="B1726" s="3" t="str">
        <f t="shared" si="54"/>
        <v>451418045170000894510811425308200104</v>
      </c>
      <c r="C1726" s="6" t="s">
        <v>2246</v>
      </c>
      <c r="D1726" s="6" t="s">
        <v>2782</v>
      </c>
      <c r="E1726" s="6" t="s">
        <v>2783</v>
      </c>
      <c r="F1726" s="6" t="s">
        <v>2313</v>
      </c>
      <c r="G1726" s="4" t="s">
        <v>2886</v>
      </c>
      <c r="H1726" s="4" t="s">
        <v>2922</v>
      </c>
      <c r="I1726" s="6" t="s">
        <v>2297</v>
      </c>
      <c r="J1726" s="6" t="s">
        <v>31</v>
      </c>
      <c r="K1726" s="12">
        <f>_xlfn.XLOOKUP(B1726,[1]Sheet1!$B:$B,[1]Sheet1!$N:$N,0)</f>
        <v>0</v>
      </c>
      <c r="L1726" s="12">
        <f>_xlfn.XLOOKUP(B1726,[1]Sheet1!$B:$B,[1]Sheet1!$O:$O,0)</f>
        <v>0</v>
      </c>
      <c r="M1726" s="12">
        <f>_xlfn.XLOOKUP(B1726,[1]Sheet1!$B:$B,[1]Sheet1!$P:$P,0)</f>
        <v>0</v>
      </c>
      <c r="N1726" s="12">
        <f>_xlfn.XLOOKUP(B1726,[1]Sheet1!$B:$B,[1]Sheet1!$Q:$Q,0)</f>
        <v>0</v>
      </c>
      <c r="O1726" s="12">
        <f>_xlfn.XLOOKUP(B1726,[1]Sheet1!$B:$B,[1]Sheet1!$R:$R,0)</f>
        <v>0</v>
      </c>
      <c r="P1726" s="12">
        <f>_xlfn.XLOOKUP(B1726,[1]Sheet1!$B:$B,[1]Sheet1!$S:$S,0)</f>
        <v>0</v>
      </c>
      <c r="Q1726" s="12">
        <f>_xlfn.XLOOKUP(B1726,[1]Sheet1!$B:$B,[1]Sheet1!$T:$T,0)</f>
        <v>0</v>
      </c>
      <c r="R1726" s="12">
        <f>_xlfn.XLOOKUP(B1726,[1]Sheet1!$B:$B,[1]Sheet1!$U:$U,0)</f>
        <v>0</v>
      </c>
      <c r="S1726" s="12">
        <f>_xlfn.XLOOKUP(B1726,[1]Sheet1!$B:$B,[1]Sheet1!$V:$V,0)</f>
        <v>0</v>
      </c>
      <c r="T1726" s="12">
        <f>_xlfn.XLOOKUP(B1726,[1]Sheet1!$B:$B,[1]Sheet1!$W:$W,0)</f>
        <v>0</v>
      </c>
      <c r="U1726" s="12">
        <f>_xlfn.XLOOKUP(B1726,[1]Sheet1!$B:$B,[1]Sheet1!$X:$X,0)</f>
        <v>0</v>
      </c>
      <c r="V1726" s="12">
        <f>_xlfn.XLOOKUP(B1726,[1]Sheet1!$B:$B,[1]Sheet1!$Y:$Y,0)</f>
        <v>0</v>
      </c>
      <c r="W1726" s="12">
        <f t="shared" si="55"/>
        <v>0</v>
      </c>
      <c r="X1726" s="6" t="s">
        <v>2298</v>
      </c>
      <c r="Y1726" s="6" t="s">
        <v>2208</v>
      </c>
      <c r="Z1726" s="6" t="s">
        <v>2289</v>
      </c>
      <c r="AA1726" s="6" t="s">
        <v>2297</v>
      </c>
      <c r="AB1726" s="6" t="s">
        <v>36</v>
      </c>
      <c r="AC1726" s="6" t="s">
        <v>37</v>
      </c>
      <c r="AD1726" s="6" t="s">
        <v>482</v>
      </c>
      <c r="AE1726" s="6" t="s">
        <v>2208</v>
      </c>
      <c r="AF1726" s="6" t="s">
        <v>2211</v>
      </c>
      <c r="AG1726" s="7">
        <v>458569</v>
      </c>
      <c r="AH1726" s="11">
        <f>_xlfn.XLOOKUP(B1726,[1]Sheet1!$B:$B,[1]Sheet1!$AB:$AB,0)</f>
        <v>0</v>
      </c>
    </row>
    <row r="1727" spans="2:34" ht="16.8" thickTop="1" thickBot="1" x14ac:dyDescent="0.35">
      <c r="B1727" s="3" t="str">
        <f t="shared" si="54"/>
        <v>451418045170000894510812422911200104</v>
      </c>
      <c r="C1727" s="8" t="s">
        <v>2246</v>
      </c>
      <c r="D1727" s="8" t="s">
        <v>2782</v>
      </c>
      <c r="E1727" s="8" t="s">
        <v>2783</v>
      </c>
      <c r="F1727" s="8" t="s">
        <v>2314</v>
      </c>
      <c r="G1727" s="4" t="s">
        <v>2863</v>
      </c>
      <c r="H1727" s="4" t="s">
        <v>2922</v>
      </c>
      <c r="I1727" s="8" t="s">
        <v>1009</v>
      </c>
      <c r="J1727" s="8" t="s">
        <v>31</v>
      </c>
      <c r="K1727" s="12">
        <f>_xlfn.XLOOKUP(B1727,[1]Sheet1!$B:$B,[1]Sheet1!$N:$N,0)</f>
        <v>0</v>
      </c>
      <c r="L1727" s="12">
        <f>_xlfn.XLOOKUP(B1727,[1]Sheet1!$B:$B,[1]Sheet1!$O:$O,0)</f>
        <v>0</v>
      </c>
      <c r="M1727" s="12">
        <f>_xlfn.XLOOKUP(B1727,[1]Sheet1!$B:$B,[1]Sheet1!$P:$P,0)</f>
        <v>0</v>
      </c>
      <c r="N1727" s="12">
        <f>_xlfn.XLOOKUP(B1727,[1]Sheet1!$B:$B,[1]Sheet1!$Q:$Q,0)</f>
        <v>0</v>
      </c>
      <c r="O1727" s="12">
        <f>_xlfn.XLOOKUP(B1727,[1]Sheet1!$B:$B,[1]Sheet1!$R:$R,0)</f>
        <v>0</v>
      </c>
      <c r="P1727" s="12">
        <f>_xlfn.XLOOKUP(B1727,[1]Sheet1!$B:$B,[1]Sheet1!$S:$S,0)</f>
        <v>0</v>
      </c>
      <c r="Q1727" s="12">
        <f>_xlfn.XLOOKUP(B1727,[1]Sheet1!$B:$B,[1]Sheet1!$T:$T,0)</f>
        <v>0</v>
      </c>
      <c r="R1727" s="12">
        <f>_xlfn.XLOOKUP(B1727,[1]Sheet1!$B:$B,[1]Sheet1!$U:$U,0)</f>
        <v>0</v>
      </c>
      <c r="S1727" s="12">
        <f>_xlfn.XLOOKUP(B1727,[1]Sheet1!$B:$B,[1]Sheet1!$V:$V,0)</f>
        <v>0</v>
      </c>
      <c r="T1727" s="12">
        <f>_xlfn.XLOOKUP(B1727,[1]Sheet1!$B:$B,[1]Sheet1!$W:$W,0)</f>
        <v>0</v>
      </c>
      <c r="U1727" s="12">
        <f>_xlfn.XLOOKUP(B1727,[1]Sheet1!$B:$B,[1]Sheet1!$X:$X,0)</f>
        <v>0</v>
      </c>
      <c r="V1727" s="12">
        <f>_xlfn.XLOOKUP(B1727,[1]Sheet1!$B:$B,[1]Sheet1!$Y:$Y,0)</f>
        <v>0</v>
      </c>
      <c r="W1727" s="12">
        <f t="shared" si="55"/>
        <v>0</v>
      </c>
      <c r="X1727" s="8" t="s">
        <v>2290</v>
      </c>
      <c r="Y1727" s="8" t="s">
        <v>2208</v>
      </c>
      <c r="Z1727" s="8" t="s">
        <v>2289</v>
      </c>
      <c r="AA1727" s="8" t="s">
        <v>1011</v>
      </c>
      <c r="AB1727" s="8" t="s">
        <v>36</v>
      </c>
      <c r="AC1727" s="8" t="s">
        <v>37</v>
      </c>
      <c r="AD1727" s="8" t="s">
        <v>482</v>
      </c>
      <c r="AE1727" s="8" t="s">
        <v>2208</v>
      </c>
      <c r="AF1727" s="8" t="s">
        <v>2211</v>
      </c>
      <c r="AG1727" s="9">
        <v>3031505.65</v>
      </c>
      <c r="AH1727" s="11">
        <f>_xlfn.XLOOKUP(B1727,[1]Sheet1!$B:$B,[1]Sheet1!$AB:$AB,0)</f>
        <v>0</v>
      </c>
    </row>
    <row r="1728" spans="2:34" ht="16.8" thickTop="1" thickBot="1" x14ac:dyDescent="0.35">
      <c r="B1728" s="3" t="str">
        <f t="shared" si="54"/>
        <v>451418045170000894510813422213200104</v>
      </c>
      <c r="C1728" s="6" t="s">
        <v>2246</v>
      </c>
      <c r="D1728" s="6" t="s">
        <v>2782</v>
      </c>
      <c r="E1728" s="6" t="s">
        <v>2783</v>
      </c>
      <c r="F1728" s="6" t="s">
        <v>2315</v>
      </c>
      <c r="G1728" s="4" t="s">
        <v>2846</v>
      </c>
      <c r="H1728" s="4" t="s">
        <v>2922</v>
      </c>
      <c r="I1728" s="6" t="s">
        <v>484</v>
      </c>
      <c r="J1728" s="6" t="s">
        <v>31</v>
      </c>
      <c r="K1728" s="12">
        <f>_xlfn.XLOOKUP(B1728,[1]Sheet1!$B:$B,[1]Sheet1!$N:$N,0)</f>
        <v>0</v>
      </c>
      <c r="L1728" s="12">
        <f>_xlfn.XLOOKUP(B1728,[1]Sheet1!$B:$B,[1]Sheet1!$O:$O,0)</f>
        <v>0</v>
      </c>
      <c r="M1728" s="12">
        <f>_xlfn.XLOOKUP(B1728,[1]Sheet1!$B:$B,[1]Sheet1!$P:$P,0)</f>
        <v>0</v>
      </c>
      <c r="N1728" s="12">
        <f>_xlfn.XLOOKUP(B1728,[1]Sheet1!$B:$B,[1]Sheet1!$Q:$Q,0)</f>
        <v>0</v>
      </c>
      <c r="O1728" s="12">
        <f>_xlfn.XLOOKUP(B1728,[1]Sheet1!$B:$B,[1]Sheet1!$R:$R,0)</f>
        <v>0</v>
      </c>
      <c r="P1728" s="12">
        <f>_xlfn.XLOOKUP(B1728,[1]Sheet1!$B:$B,[1]Sheet1!$S:$S,0)</f>
        <v>0</v>
      </c>
      <c r="Q1728" s="12">
        <f>_xlfn.XLOOKUP(B1728,[1]Sheet1!$B:$B,[1]Sheet1!$T:$T,0)</f>
        <v>0</v>
      </c>
      <c r="R1728" s="12">
        <f>_xlfn.XLOOKUP(B1728,[1]Sheet1!$B:$B,[1]Sheet1!$U:$U,0)</f>
        <v>0</v>
      </c>
      <c r="S1728" s="12">
        <f>_xlfn.XLOOKUP(B1728,[1]Sheet1!$B:$B,[1]Sheet1!$V:$V,0)</f>
        <v>0</v>
      </c>
      <c r="T1728" s="12">
        <f>_xlfn.XLOOKUP(B1728,[1]Sheet1!$B:$B,[1]Sheet1!$W:$W,0)</f>
        <v>0</v>
      </c>
      <c r="U1728" s="12">
        <f>_xlfn.XLOOKUP(B1728,[1]Sheet1!$B:$B,[1]Sheet1!$X:$X,0)</f>
        <v>0</v>
      </c>
      <c r="V1728" s="12">
        <f>_xlfn.XLOOKUP(B1728,[1]Sheet1!$B:$B,[1]Sheet1!$Y:$Y,0)</f>
        <v>0</v>
      </c>
      <c r="W1728" s="12">
        <f t="shared" si="55"/>
        <v>0</v>
      </c>
      <c r="X1728" s="6" t="s">
        <v>2295</v>
      </c>
      <c r="Y1728" s="6" t="s">
        <v>2208</v>
      </c>
      <c r="Z1728" s="6" t="s">
        <v>2289</v>
      </c>
      <c r="AA1728" s="6" t="s">
        <v>486</v>
      </c>
      <c r="AB1728" s="6" t="s">
        <v>36</v>
      </c>
      <c r="AC1728" s="6" t="s">
        <v>37</v>
      </c>
      <c r="AD1728" s="6" t="s">
        <v>482</v>
      </c>
      <c r="AE1728" s="6" t="s">
        <v>2208</v>
      </c>
      <c r="AF1728" s="6" t="s">
        <v>2211</v>
      </c>
      <c r="AG1728" s="7">
        <v>305818</v>
      </c>
      <c r="AH1728" s="11">
        <f>_xlfn.XLOOKUP(B1728,[1]Sheet1!$B:$B,[1]Sheet1!$AB:$AB,0)</f>
        <v>0</v>
      </c>
    </row>
    <row r="1729" spans="2:34" ht="16.8" thickTop="1" thickBot="1" x14ac:dyDescent="0.35">
      <c r="B1729" s="3" t="str">
        <f t="shared" si="54"/>
        <v>451418045170000894510814493120300105</v>
      </c>
      <c r="C1729" s="8" t="s">
        <v>2246</v>
      </c>
      <c r="D1729" s="8" t="s">
        <v>2782</v>
      </c>
      <c r="E1729" s="8" t="s">
        <v>2783</v>
      </c>
      <c r="F1729" s="8" t="s">
        <v>2316</v>
      </c>
      <c r="G1729" s="4" t="s">
        <v>2888</v>
      </c>
      <c r="H1729" s="4" t="s">
        <v>2923</v>
      </c>
      <c r="I1729" s="8" t="s">
        <v>2306</v>
      </c>
      <c r="J1729" s="8" t="s">
        <v>31</v>
      </c>
      <c r="K1729" s="12">
        <f>_xlfn.XLOOKUP(B1729,[1]Sheet1!$B:$B,[1]Sheet1!$N:$N,0)</f>
        <v>0</v>
      </c>
      <c r="L1729" s="12">
        <f>_xlfn.XLOOKUP(B1729,[1]Sheet1!$B:$B,[1]Sheet1!$O:$O,0)</f>
        <v>0</v>
      </c>
      <c r="M1729" s="12">
        <f>_xlfn.XLOOKUP(B1729,[1]Sheet1!$B:$B,[1]Sheet1!$P:$P,0)</f>
        <v>0</v>
      </c>
      <c r="N1729" s="12">
        <f>_xlfn.XLOOKUP(B1729,[1]Sheet1!$B:$B,[1]Sheet1!$Q:$Q,0)</f>
        <v>0</v>
      </c>
      <c r="O1729" s="12">
        <f>_xlfn.XLOOKUP(B1729,[1]Sheet1!$B:$B,[1]Sheet1!$R:$R,0)</f>
        <v>0</v>
      </c>
      <c r="P1729" s="12">
        <f>_xlfn.XLOOKUP(B1729,[1]Sheet1!$B:$B,[1]Sheet1!$S:$S,0)</f>
        <v>0</v>
      </c>
      <c r="Q1729" s="12">
        <f>_xlfn.XLOOKUP(B1729,[1]Sheet1!$B:$B,[1]Sheet1!$T:$T,0)</f>
        <v>0</v>
      </c>
      <c r="R1729" s="12">
        <f>_xlfn.XLOOKUP(B1729,[1]Sheet1!$B:$B,[1]Sheet1!$U:$U,0)</f>
        <v>0</v>
      </c>
      <c r="S1729" s="12">
        <f>_xlfn.XLOOKUP(B1729,[1]Sheet1!$B:$B,[1]Sheet1!$V:$V,0)</f>
        <v>0</v>
      </c>
      <c r="T1729" s="12">
        <f>_xlfn.XLOOKUP(B1729,[1]Sheet1!$B:$B,[1]Sheet1!$W:$W,0)</f>
        <v>0</v>
      </c>
      <c r="U1729" s="12">
        <f>_xlfn.XLOOKUP(B1729,[1]Sheet1!$B:$B,[1]Sheet1!$X:$X,0)</f>
        <v>0</v>
      </c>
      <c r="V1729" s="12">
        <f>_xlfn.XLOOKUP(B1729,[1]Sheet1!$B:$B,[1]Sheet1!$Y:$Y,0)</f>
        <v>0</v>
      </c>
      <c r="W1729" s="12">
        <f t="shared" si="55"/>
        <v>0</v>
      </c>
      <c r="X1729" s="8" t="s">
        <v>2307</v>
      </c>
      <c r="Y1729" s="8" t="s">
        <v>2208</v>
      </c>
      <c r="Z1729" s="8" t="s">
        <v>2289</v>
      </c>
      <c r="AA1729" s="8" t="s">
        <v>2306</v>
      </c>
      <c r="AB1729" s="8" t="s">
        <v>93</v>
      </c>
      <c r="AC1729" s="8" t="s">
        <v>94</v>
      </c>
      <c r="AD1729" s="8" t="s">
        <v>482</v>
      </c>
      <c r="AE1729" s="8" t="s">
        <v>2208</v>
      </c>
      <c r="AF1729" s="8" t="s">
        <v>2211</v>
      </c>
      <c r="AG1729" s="9">
        <v>34519335.229999997</v>
      </c>
      <c r="AH1729" s="11">
        <f>_xlfn.XLOOKUP(B1729,[1]Sheet1!$B:$B,[1]Sheet1!$AB:$AB,0)</f>
        <v>0</v>
      </c>
    </row>
    <row r="1730" spans="2:34" ht="16.8" thickTop="1" thickBot="1" x14ac:dyDescent="0.35">
      <c r="B1730" s="3" t="str">
        <f t="shared" si="54"/>
        <v>451418045170000894510815491320300105</v>
      </c>
      <c r="C1730" s="6" t="s">
        <v>2246</v>
      </c>
      <c r="D1730" s="6" t="s">
        <v>2782</v>
      </c>
      <c r="E1730" s="6" t="s">
        <v>2783</v>
      </c>
      <c r="F1730" s="6" t="s">
        <v>2317</v>
      </c>
      <c r="G1730" s="4" t="s">
        <v>2866</v>
      </c>
      <c r="H1730" s="4" t="s">
        <v>2923</v>
      </c>
      <c r="I1730" s="6" t="s">
        <v>1159</v>
      </c>
      <c r="J1730" s="6" t="s">
        <v>31</v>
      </c>
      <c r="K1730" s="12">
        <f>_xlfn.XLOOKUP(B1730,[1]Sheet1!$B:$B,[1]Sheet1!$N:$N,0)</f>
        <v>0</v>
      </c>
      <c r="L1730" s="12">
        <f>_xlfn.XLOOKUP(B1730,[1]Sheet1!$B:$B,[1]Sheet1!$O:$O,0)</f>
        <v>0</v>
      </c>
      <c r="M1730" s="12">
        <f>_xlfn.XLOOKUP(B1730,[1]Sheet1!$B:$B,[1]Sheet1!$P:$P,0)</f>
        <v>0</v>
      </c>
      <c r="N1730" s="12">
        <f>_xlfn.XLOOKUP(B1730,[1]Sheet1!$B:$B,[1]Sheet1!$Q:$Q,0)</f>
        <v>0</v>
      </c>
      <c r="O1730" s="12">
        <f>_xlfn.XLOOKUP(B1730,[1]Sheet1!$B:$B,[1]Sheet1!$R:$R,0)</f>
        <v>0</v>
      </c>
      <c r="P1730" s="12">
        <f>_xlfn.XLOOKUP(B1730,[1]Sheet1!$B:$B,[1]Sheet1!$S:$S,0)</f>
        <v>0</v>
      </c>
      <c r="Q1730" s="12">
        <f>_xlfn.XLOOKUP(B1730,[1]Sheet1!$B:$B,[1]Sheet1!$T:$T,0)</f>
        <v>0</v>
      </c>
      <c r="R1730" s="12">
        <f>_xlfn.XLOOKUP(B1730,[1]Sheet1!$B:$B,[1]Sheet1!$U:$U,0)</f>
        <v>0</v>
      </c>
      <c r="S1730" s="12">
        <f>_xlfn.XLOOKUP(B1730,[1]Sheet1!$B:$B,[1]Sheet1!$V:$V,0)</f>
        <v>0</v>
      </c>
      <c r="T1730" s="12">
        <f>_xlfn.XLOOKUP(B1730,[1]Sheet1!$B:$B,[1]Sheet1!$W:$W,0)</f>
        <v>0</v>
      </c>
      <c r="U1730" s="12">
        <f>_xlfn.XLOOKUP(B1730,[1]Sheet1!$B:$B,[1]Sheet1!$X:$X,0)</f>
        <v>0</v>
      </c>
      <c r="V1730" s="12">
        <f>_xlfn.XLOOKUP(B1730,[1]Sheet1!$B:$B,[1]Sheet1!$Y:$Y,0)</f>
        <v>0</v>
      </c>
      <c r="W1730" s="12">
        <f t="shared" si="55"/>
        <v>0</v>
      </c>
      <c r="X1730" s="6" t="s">
        <v>2293</v>
      </c>
      <c r="Y1730" s="6" t="s">
        <v>2208</v>
      </c>
      <c r="Z1730" s="6" t="s">
        <v>2289</v>
      </c>
      <c r="AA1730" s="6" t="s">
        <v>1159</v>
      </c>
      <c r="AB1730" s="6" t="s">
        <v>93</v>
      </c>
      <c r="AC1730" s="6" t="s">
        <v>94</v>
      </c>
      <c r="AD1730" s="6" t="s">
        <v>482</v>
      </c>
      <c r="AE1730" s="6" t="s">
        <v>2208</v>
      </c>
      <c r="AF1730" s="6" t="s">
        <v>2211</v>
      </c>
      <c r="AG1730" s="7">
        <v>14837350.66</v>
      </c>
      <c r="AH1730" s="11">
        <f>_xlfn.XLOOKUP(B1730,[1]Sheet1!$B:$B,[1]Sheet1!$AB:$AB,0)</f>
        <v>0</v>
      </c>
    </row>
    <row r="1731" spans="2:34" ht="16.8" thickTop="1" thickBot="1" x14ac:dyDescent="0.35">
      <c r="B1731" s="3" t="str">
        <f t="shared" si="54"/>
        <v>451418045170000904510710421119200104</v>
      </c>
      <c r="C1731" s="8" t="s">
        <v>2246</v>
      </c>
      <c r="D1731" s="8" t="s">
        <v>2784</v>
      </c>
      <c r="E1731" s="8" t="s">
        <v>2785</v>
      </c>
      <c r="F1731" s="8" t="s">
        <v>2280</v>
      </c>
      <c r="G1731" s="4" t="s">
        <v>2857</v>
      </c>
      <c r="H1731" s="4" t="s">
        <v>2922</v>
      </c>
      <c r="I1731" s="8" t="s">
        <v>739</v>
      </c>
      <c r="J1731" s="8" t="s">
        <v>31</v>
      </c>
      <c r="K1731" s="12">
        <f>_xlfn.XLOOKUP(B1731,[1]Sheet1!$B:$B,[1]Sheet1!$N:$N,0)</f>
        <v>0</v>
      </c>
      <c r="L1731" s="12">
        <f>_xlfn.XLOOKUP(B1731,[1]Sheet1!$B:$B,[1]Sheet1!$O:$O,0)</f>
        <v>0</v>
      </c>
      <c r="M1731" s="12">
        <f>_xlfn.XLOOKUP(B1731,[1]Sheet1!$B:$B,[1]Sheet1!$P:$P,0)</f>
        <v>0</v>
      </c>
      <c r="N1731" s="12">
        <f>_xlfn.XLOOKUP(B1731,[1]Sheet1!$B:$B,[1]Sheet1!$Q:$Q,0)</f>
        <v>0</v>
      </c>
      <c r="O1731" s="12">
        <f>_xlfn.XLOOKUP(B1731,[1]Sheet1!$B:$B,[1]Sheet1!$R:$R,0)</f>
        <v>0</v>
      </c>
      <c r="P1731" s="12">
        <f>_xlfn.XLOOKUP(B1731,[1]Sheet1!$B:$B,[1]Sheet1!$S:$S,0)</f>
        <v>0</v>
      </c>
      <c r="Q1731" s="12">
        <f>_xlfn.XLOOKUP(B1731,[1]Sheet1!$B:$B,[1]Sheet1!$T:$T,0)</f>
        <v>0</v>
      </c>
      <c r="R1731" s="12">
        <f>_xlfn.XLOOKUP(B1731,[1]Sheet1!$B:$B,[1]Sheet1!$U:$U,0)</f>
        <v>0</v>
      </c>
      <c r="S1731" s="12">
        <f>_xlfn.XLOOKUP(B1731,[1]Sheet1!$B:$B,[1]Sheet1!$V:$V,0)</f>
        <v>0</v>
      </c>
      <c r="T1731" s="12">
        <f>_xlfn.XLOOKUP(B1731,[1]Sheet1!$B:$B,[1]Sheet1!$W:$W,0)</f>
        <v>0</v>
      </c>
      <c r="U1731" s="12">
        <f>_xlfn.XLOOKUP(B1731,[1]Sheet1!$B:$B,[1]Sheet1!$X:$X,0)</f>
        <v>0</v>
      </c>
      <c r="V1731" s="12">
        <f>_xlfn.XLOOKUP(B1731,[1]Sheet1!$B:$B,[1]Sheet1!$Y:$Y,0)</f>
        <v>0</v>
      </c>
      <c r="W1731" s="12">
        <f t="shared" si="55"/>
        <v>0</v>
      </c>
      <c r="X1731" s="8" t="s">
        <v>2776</v>
      </c>
      <c r="Y1731" s="8" t="s">
        <v>2208</v>
      </c>
      <c r="Z1731" s="8" t="s">
        <v>2289</v>
      </c>
      <c r="AA1731" s="8" t="s">
        <v>741</v>
      </c>
      <c r="AB1731" s="8" t="s">
        <v>36</v>
      </c>
      <c r="AC1731" s="8" t="s">
        <v>37</v>
      </c>
      <c r="AD1731" s="8" t="s">
        <v>482</v>
      </c>
      <c r="AE1731" s="8" t="s">
        <v>2208</v>
      </c>
      <c r="AF1731" s="8" t="s">
        <v>2211</v>
      </c>
      <c r="AG1731" s="9">
        <v>864000</v>
      </c>
      <c r="AH1731" s="11">
        <f>_xlfn.XLOOKUP(B1731,[1]Sheet1!$B:$B,[1]Sheet1!$AB:$AB,0)</f>
        <v>0</v>
      </c>
    </row>
    <row r="1732" spans="2:34" ht="16.8" thickTop="1" thickBot="1" x14ac:dyDescent="0.35">
      <c r="B1732" s="3" t="str">
        <f t="shared" ref="B1732:B1741" si="56">C1732&amp;D1732&amp;F1732&amp;G1732&amp;H1732</f>
        <v>451418045170000904510810423711200104</v>
      </c>
      <c r="C1732" s="6" t="s">
        <v>2246</v>
      </c>
      <c r="D1732" s="6" t="s">
        <v>2784</v>
      </c>
      <c r="E1732" s="6" t="s">
        <v>2785</v>
      </c>
      <c r="F1732" s="6" t="s">
        <v>2312</v>
      </c>
      <c r="G1732" s="4" t="s">
        <v>2878</v>
      </c>
      <c r="H1732" s="4" t="s">
        <v>2922</v>
      </c>
      <c r="I1732" s="6" t="s">
        <v>1826</v>
      </c>
      <c r="J1732" s="6" t="s">
        <v>31</v>
      </c>
      <c r="K1732" s="12">
        <f>_xlfn.XLOOKUP(B1732,[1]Sheet1!$B:$B,[1]Sheet1!$N:$N,0)</f>
        <v>0</v>
      </c>
      <c r="L1732" s="12">
        <f>_xlfn.XLOOKUP(B1732,[1]Sheet1!$B:$B,[1]Sheet1!$O:$O,0)</f>
        <v>0</v>
      </c>
      <c r="M1732" s="12">
        <f>_xlfn.XLOOKUP(B1732,[1]Sheet1!$B:$B,[1]Sheet1!$P:$P,0)</f>
        <v>0</v>
      </c>
      <c r="N1732" s="12">
        <f>_xlfn.XLOOKUP(B1732,[1]Sheet1!$B:$B,[1]Sheet1!$Q:$Q,0)</f>
        <v>0</v>
      </c>
      <c r="O1732" s="12">
        <f>_xlfn.XLOOKUP(B1732,[1]Sheet1!$B:$B,[1]Sheet1!$R:$R,0)</f>
        <v>0</v>
      </c>
      <c r="P1732" s="12">
        <f>_xlfn.XLOOKUP(B1732,[1]Sheet1!$B:$B,[1]Sheet1!$S:$S,0)</f>
        <v>0</v>
      </c>
      <c r="Q1732" s="12">
        <f>_xlfn.XLOOKUP(B1732,[1]Sheet1!$B:$B,[1]Sheet1!$T:$T,0)</f>
        <v>0</v>
      </c>
      <c r="R1732" s="12">
        <f>_xlfn.XLOOKUP(B1732,[1]Sheet1!$B:$B,[1]Sheet1!$U:$U,0)</f>
        <v>0</v>
      </c>
      <c r="S1732" s="12">
        <f>_xlfn.XLOOKUP(B1732,[1]Sheet1!$B:$B,[1]Sheet1!$V:$V,0)</f>
        <v>0</v>
      </c>
      <c r="T1732" s="12">
        <f>_xlfn.XLOOKUP(B1732,[1]Sheet1!$B:$B,[1]Sheet1!$W:$W,0)</f>
        <v>0</v>
      </c>
      <c r="U1732" s="12">
        <f>_xlfn.XLOOKUP(B1732,[1]Sheet1!$B:$B,[1]Sheet1!$X:$X,0)</f>
        <v>0</v>
      </c>
      <c r="V1732" s="12">
        <f>_xlfn.XLOOKUP(B1732,[1]Sheet1!$B:$B,[1]Sheet1!$Y:$Y,0)</f>
        <v>0</v>
      </c>
      <c r="W1732" s="12">
        <f t="shared" ref="W1732:W1741" si="57">SUM(K1732:V1732)</f>
        <v>0</v>
      </c>
      <c r="X1732" s="6" t="s">
        <v>2291</v>
      </c>
      <c r="Y1732" s="6" t="s">
        <v>2208</v>
      </c>
      <c r="Z1732" s="6" t="s">
        <v>2289</v>
      </c>
      <c r="AA1732" s="6" t="s">
        <v>1828</v>
      </c>
      <c r="AB1732" s="6" t="s">
        <v>36</v>
      </c>
      <c r="AC1732" s="6" t="s">
        <v>37</v>
      </c>
      <c r="AD1732" s="6" t="s">
        <v>482</v>
      </c>
      <c r="AE1732" s="6" t="s">
        <v>2208</v>
      </c>
      <c r="AF1732" s="6" t="s">
        <v>2211</v>
      </c>
      <c r="AG1732" s="7">
        <v>9315.9599999999991</v>
      </c>
      <c r="AH1732" s="11">
        <f>_xlfn.XLOOKUP(B1732,[1]Sheet1!$B:$B,[1]Sheet1!$AB:$AB,0)</f>
        <v>0</v>
      </c>
    </row>
    <row r="1733" spans="2:34" ht="16.8" thickTop="1" thickBot="1" x14ac:dyDescent="0.35">
      <c r="B1733" s="3" t="str">
        <f t="shared" si="56"/>
        <v>451418045170000904510811425303200104</v>
      </c>
      <c r="C1733" s="8" t="s">
        <v>2246</v>
      </c>
      <c r="D1733" s="8" t="s">
        <v>2784</v>
      </c>
      <c r="E1733" s="8" t="s">
        <v>2785</v>
      </c>
      <c r="F1733" s="8" t="s">
        <v>2313</v>
      </c>
      <c r="G1733" s="4" t="s">
        <v>2887</v>
      </c>
      <c r="H1733" s="4" t="s">
        <v>2922</v>
      </c>
      <c r="I1733" s="8" t="s">
        <v>2300</v>
      </c>
      <c r="J1733" s="8" t="s">
        <v>31</v>
      </c>
      <c r="K1733" s="12">
        <f>_xlfn.XLOOKUP(B1733,[1]Sheet1!$B:$B,[1]Sheet1!$N:$N,0)</f>
        <v>0</v>
      </c>
      <c r="L1733" s="12">
        <f>_xlfn.XLOOKUP(B1733,[1]Sheet1!$B:$B,[1]Sheet1!$O:$O,0)</f>
        <v>0</v>
      </c>
      <c r="M1733" s="12">
        <f>_xlfn.XLOOKUP(B1733,[1]Sheet1!$B:$B,[1]Sheet1!$P:$P,0)</f>
        <v>0</v>
      </c>
      <c r="N1733" s="12">
        <f>_xlfn.XLOOKUP(B1733,[1]Sheet1!$B:$B,[1]Sheet1!$Q:$Q,0)</f>
        <v>0</v>
      </c>
      <c r="O1733" s="12">
        <f>_xlfn.XLOOKUP(B1733,[1]Sheet1!$B:$B,[1]Sheet1!$R:$R,0)</f>
        <v>0</v>
      </c>
      <c r="P1733" s="12">
        <f>_xlfn.XLOOKUP(B1733,[1]Sheet1!$B:$B,[1]Sheet1!$S:$S,0)</f>
        <v>0</v>
      </c>
      <c r="Q1733" s="12">
        <f>_xlfn.XLOOKUP(B1733,[1]Sheet1!$B:$B,[1]Sheet1!$T:$T,0)</f>
        <v>0</v>
      </c>
      <c r="R1733" s="12">
        <f>_xlfn.XLOOKUP(B1733,[1]Sheet1!$B:$B,[1]Sheet1!$U:$U,0)</f>
        <v>0</v>
      </c>
      <c r="S1733" s="12">
        <f>_xlfn.XLOOKUP(B1733,[1]Sheet1!$B:$B,[1]Sheet1!$V:$V,0)</f>
        <v>0</v>
      </c>
      <c r="T1733" s="12">
        <f>_xlfn.XLOOKUP(B1733,[1]Sheet1!$B:$B,[1]Sheet1!$W:$W,0)</f>
        <v>0</v>
      </c>
      <c r="U1733" s="12">
        <f>_xlfn.XLOOKUP(B1733,[1]Sheet1!$B:$B,[1]Sheet1!$X:$X,0)</f>
        <v>0</v>
      </c>
      <c r="V1733" s="12">
        <f>_xlfn.XLOOKUP(B1733,[1]Sheet1!$B:$B,[1]Sheet1!$Y:$Y,0)</f>
        <v>0</v>
      </c>
      <c r="W1733" s="12">
        <f t="shared" si="57"/>
        <v>0</v>
      </c>
      <c r="X1733" s="8" t="s">
        <v>2301</v>
      </c>
      <c r="Y1733" s="8" t="s">
        <v>2208</v>
      </c>
      <c r="Z1733" s="8" t="s">
        <v>2289</v>
      </c>
      <c r="AA1733" s="8" t="s">
        <v>2300</v>
      </c>
      <c r="AB1733" s="8" t="s">
        <v>36</v>
      </c>
      <c r="AC1733" s="8" t="s">
        <v>37</v>
      </c>
      <c r="AD1733" s="8" t="s">
        <v>482</v>
      </c>
      <c r="AE1733" s="8" t="s">
        <v>2208</v>
      </c>
      <c r="AF1733" s="8" t="s">
        <v>2211</v>
      </c>
      <c r="AG1733" s="9">
        <v>1000000</v>
      </c>
      <c r="AH1733" s="11">
        <f>_xlfn.XLOOKUP(B1733,[1]Sheet1!$B:$B,[1]Sheet1!$AB:$AB,0)</f>
        <v>0</v>
      </c>
    </row>
    <row r="1734" spans="2:34" ht="16.8" thickTop="1" thickBot="1" x14ac:dyDescent="0.35">
      <c r="B1734" s="3" t="str">
        <f t="shared" si="56"/>
        <v>451418045170000904510811425308200104</v>
      </c>
      <c r="C1734" s="6" t="s">
        <v>2246</v>
      </c>
      <c r="D1734" s="6" t="s">
        <v>2784</v>
      </c>
      <c r="E1734" s="6" t="s">
        <v>2785</v>
      </c>
      <c r="F1734" s="6" t="s">
        <v>2313</v>
      </c>
      <c r="G1734" s="4" t="s">
        <v>2886</v>
      </c>
      <c r="H1734" s="4" t="s">
        <v>2922</v>
      </c>
      <c r="I1734" s="6" t="s">
        <v>2297</v>
      </c>
      <c r="J1734" s="6" t="s">
        <v>31</v>
      </c>
      <c r="K1734" s="12">
        <f>_xlfn.XLOOKUP(B1734,[1]Sheet1!$B:$B,[1]Sheet1!$N:$N,0)</f>
        <v>0</v>
      </c>
      <c r="L1734" s="12">
        <f>_xlfn.XLOOKUP(B1734,[1]Sheet1!$B:$B,[1]Sheet1!$O:$O,0)</f>
        <v>0</v>
      </c>
      <c r="M1734" s="12">
        <f>_xlfn.XLOOKUP(B1734,[1]Sheet1!$B:$B,[1]Sheet1!$P:$P,0)</f>
        <v>0</v>
      </c>
      <c r="N1734" s="12">
        <f>_xlfn.XLOOKUP(B1734,[1]Sheet1!$B:$B,[1]Sheet1!$Q:$Q,0)</f>
        <v>0</v>
      </c>
      <c r="O1734" s="12">
        <f>_xlfn.XLOOKUP(B1734,[1]Sheet1!$B:$B,[1]Sheet1!$R:$R,0)</f>
        <v>0</v>
      </c>
      <c r="P1734" s="12">
        <f>_xlfn.XLOOKUP(B1734,[1]Sheet1!$B:$B,[1]Sheet1!$S:$S,0)</f>
        <v>0</v>
      </c>
      <c r="Q1734" s="12">
        <f>_xlfn.XLOOKUP(B1734,[1]Sheet1!$B:$B,[1]Sheet1!$T:$T,0)</f>
        <v>0</v>
      </c>
      <c r="R1734" s="12">
        <f>_xlfn.XLOOKUP(B1734,[1]Sheet1!$B:$B,[1]Sheet1!$U:$U,0)</f>
        <v>0</v>
      </c>
      <c r="S1734" s="12">
        <f>_xlfn.XLOOKUP(B1734,[1]Sheet1!$B:$B,[1]Sheet1!$V:$V,0)</f>
        <v>0</v>
      </c>
      <c r="T1734" s="12">
        <f>_xlfn.XLOOKUP(B1734,[1]Sheet1!$B:$B,[1]Sheet1!$W:$W,0)</f>
        <v>0</v>
      </c>
      <c r="U1734" s="12">
        <f>_xlfn.XLOOKUP(B1734,[1]Sheet1!$B:$B,[1]Sheet1!$X:$X,0)</f>
        <v>0</v>
      </c>
      <c r="V1734" s="12">
        <f>_xlfn.XLOOKUP(B1734,[1]Sheet1!$B:$B,[1]Sheet1!$Y:$Y,0)</f>
        <v>0</v>
      </c>
      <c r="W1734" s="12">
        <f t="shared" si="57"/>
        <v>0</v>
      </c>
      <c r="X1734" s="6" t="s">
        <v>2298</v>
      </c>
      <c r="Y1734" s="6" t="s">
        <v>2208</v>
      </c>
      <c r="Z1734" s="6" t="s">
        <v>2289</v>
      </c>
      <c r="AA1734" s="6" t="s">
        <v>2297</v>
      </c>
      <c r="AB1734" s="6" t="s">
        <v>36</v>
      </c>
      <c r="AC1734" s="6" t="s">
        <v>37</v>
      </c>
      <c r="AD1734" s="6" t="s">
        <v>482</v>
      </c>
      <c r="AE1734" s="6" t="s">
        <v>2208</v>
      </c>
      <c r="AF1734" s="6" t="s">
        <v>2211</v>
      </c>
      <c r="AG1734" s="7">
        <v>241644</v>
      </c>
      <c r="AH1734" s="11">
        <f>_xlfn.XLOOKUP(B1734,[1]Sheet1!$B:$B,[1]Sheet1!$AB:$AB,0)</f>
        <v>0</v>
      </c>
    </row>
    <row r="1735" spans="2:34" ht="16.8" thickTop="1" thickBot="1" x14ac:dyDescent="0.35">
      <c r="B1735" s="3" t="str">
        <f t="shared" si="56"/>
        <v>451418045170000904510812422911200104</v>
      </c>
      <c r="C1735" s="8" t="s">
        <v>2246</v>
      </c>
      <c r="D1735" s="8" t="s">
        <v>2784</v>
      </c>
      <c r="E1735" s="8" t="s">
        <v>2785</v>
      </c>
      <c r="F1735" s="8" t="s">
        <v>2314</v>
      </c>
      <c r="G1735" s="4" t="s">
        <v>2863</v>
      </c>
      <c r="H1735" s="4" t="s">
        <v>2922</v>
      </c>
      <c r="I1735" s="8" t="s">
        <v>1009</v>
      </c>
      <c r="J1735" s="8" t="s">
        <v>31</v>
      </c>
      <c r="K1735" s="12">
        <f>_xlfn.XLOOKUP(B1735,[1]Sheet1!$B:$B,[1]Sheet1!$N:$N,0)</f>
        <v>0</v>
      </c>
      <c r="L1735" s="12">
        <f>_xlfn.XLOOKUP(B1735,[1]Sheet1!$B:$B,[1]Sheet1!$O:$O,0)</f>
        <v>0</v>
      </c>
      <c r="M1735" s="12">
        <f>_xlfn.XLOOKUP(B1735,[1]Sheet1!$B:$B,[1]Sheet1!$P:$P,0)</f>
        <v>0</v>
      </c>
      <c r="N1735" s="12">
        <f>_xlfn.XLOOKUP(B1735,[1]Sheet1!$B:$B,[1]Sheet1!$Q:$Q,0)</f>
        <v>0</v>
      </c>
      <c r="O1735" s="12">
        <f>_xlfn.XLOOKUP(B1735,[1]Sheet1!$B:$B,[1]Sheet1!$R:$R,0)</f>
        <v>0</v>
      </c>
      <c r="P1735" s="12">
        <f>_xlfn.XLOOKUP(B1735,[1]Sheet1!$B:$B,[1]Sheet1!$S:$S,0)</f>
        <v>0</v>
      </c>
      <c r="Q1735" s="12">
        <f>_xlfn.XLOOKUP(B1735,[1]Sheet1!$B:$B,[1]Sheet1!$T:$T,0)</f>
        <v>0</v>
      </c>
      <c r="R1735" s="12">
        <f>_xlfn.XLOOKUP(B1735,[1]Sheet1!$B:$B,[1]Sheet1!$U:$U,0)</f>
        <v>0</v>
      </c>
      <c r="S1735" s="12">
        <f>_xlfn.XLOOKUP(B1735,[1]Sheet1!$B:$B,[1]Sheet1!$V:$V,0)</f>
        <v>0</v>
      </c>
      <c r="T1735" s="12">
        <f>_xlfn.XLOOKUP(B1735,[1]Sheet1!$B:$B,[1]Sheet1!$W:$W,0)</f>
        <v>0</v>
      </c>
      <c r="U1735" s="12">
        <f>_xlfn.XLOOKUP(B1735,[1]Sheet1!$B:$B,[1]Sheet1!$X:$X,0)</f>
        <v>0</v>
      </c>
      <c r="V1735" s="12">
        <f>_xlfn.XLOOKUP(B1735,[1]Sheet1!$B:$B,[1]Sheet1!$Y:$Y,0)</f>
        <v>0</v>
      </c>
      <c r="W1735" s="12">
        <f t="shared" si="57"/>
        <v>0</v>
      </c>
      <c r="X1735" s="8" t="s">
        <v>2290</v>
      </c>
      <c r="Y1735" s="8" t="s">
        <v>2208</v>
      </c>
      <c r="Z1735" s="8" t="s">
        <v>2289</v>
      </c>
      <c r="AA1735" s="8" t="s">
        <v>1011</v>
      </c>
      <c r="AB1735" s="8" t="s">
        <v>36</v>
      </c>
      <c r="AC1735" s="8" t="s">
        <v>37</v>
      </c>
      <c r="AD1735" s="8" t="s">
        <v>482</v>
      </c>
      <c r="AE1735" s="8" t="s">
        <v>2208</v>
      </c>
      <c r="AF1735" s="8" t="s">
        <v>2211</v>
      </c>
      <c r="AG1735" s="9">
        <v>1696666.33</v>
      </c>
      <c r="AH1735" s="11">
        <f>_xlfn.XLOOKUP(B1735,[1]Sheet1!$B:$B,[1]Sheet1!$AB:$AB,0)</f>
        <v>0</v>
      </c>
    </row>
    <row r="1736" spans="2:34" ht="16.8" thickTop="1" thickBot="1" x14ac:dyDescent="0.35">
      <c r="B1736" s="3" t="str">
        <f t="shared" si="56"/>
        <v>451418045170000904510813422212200104</v>
      </c>
      <c r="C1736" s="6" t="s">
        <v>2246</v>
      </c>
      <c r="D1736" s="6" t="s">
        <v>2784</v>
      </c>
      <c r="E1736" s="6" t="s">
        <v>2785</v>
      </c>
      <c r="F1736" s="6" t="s">
        <v>2315</v>
      </c>
      <c r="G1736" s="4" t="s">
        <v>2845</v>
      </c>
      <c r="H1736" s="4" t="s">
        <v>2922</v>
      </c>
      <c r="I1736" s="6" t="s">
        <v>477</v>
      </c>
      <c r="J1736" s="6" t="s">
        <v>31</v>
      </c>
      <c r="K1736" s="12">
        <f>_xlfn.XLOOKUP(B1736,[1]Sheet1!$B:$B,[1]Sheet1!$N:$N,0)</f>
        <v>0</v>
      </c>
      <c r="L1736" s="12">
        <f>_xlfn.XLOOKUP(B1736,[1]Sheet1!$B:$B,[1]Sheet1!$O:$O,0)</f>
        <v>0</v>
      </c>
      <c r="M1736" s="12">
        <f>_xlfn.XLOOKUP(B1736,[1]Sheet1!$B:$B,[1]Sheet1!$P:$P,0)</f>
        <v>0</v>
      </c>
      <c r="N1736" s="12">
        <f>_xlfn.XLOOKUP(B1736,[1]Sheet1!$B:$B,[1]Sheet1!$Q:$Q,0)</f>
        <v>0</v>
      </c>
      <c r="O1736" s="12">
        <f>_xlfn.XLOOKUP(B1736,[1]Sheet1!$B:$B,[1]Sheet1!$R:$R,0)</f>
        <v>0</v>
      </c>
      <c r="P1736" s="12">
        <f>_xlfn.XLOOKUP(B1736,[1]Sheet1!$B:$B,[1]Sheet1!$S:$S,0)</f>
        <v>0</v>
      </c>
      <c r="Q1736" s="12">
        <f>_xlfn.XLOOKUP(B1736,[1]Sheet1!$B:$B,[1]Sheet1!$T:$T,0)</f>
        <v>0</v>
      </c>
      <c r="R1736" s="12">
        <f>_xlfn.XLOOKUP(B1736,[1]Sheet1!$B:$B,[1]Sheet1!$U:$U,0)</f>
        <v>0</v>
      </c>
      <c r="S1736" s="12">
        <f>_xlfn.XLOOKUP(B1736,[1]Sheet1!$B:$B,[1]Sheet1!$V:$V,0)</f>
        <v>0</v>
      </c>
      <c r="T1736" s="12">
        <f>_xlfn.XLOOKUP(B1736,[1]Sheet1!$B:$B,[1]Sheet1!$W:$W,0)</f>
        <v>0</v>
      </c>
      <c r="U1736" s="12">
        <f>_xlfn.XLOOKUP(B1736,[1]Sheet1!$B:$B,[1]Sheet1!$X:$X,0)</f>
        <v>0</v>
      </c>
      <c r="V1736" s="12">
        <f>_xlfn.XLOOKUP(B1736,[1]Sheet1!$B:$B,[1]Sheet1!$Y:$Y,0)</f>
        <v>0</v>
      </c>
      <c r="W1736" s="12">
        <f t="shared" si="57"/>
        <v>0</v>
      </c>
      <c r="X1736" s="6" t="s">
        <v>2777</v>
      </c>
      <c r="Y1736" s="6" t="s">
        <v>2208</v>
      </c>
      <c r="Z1736" s="6" t="s">
        <v>2289</v>
      </c>
      <c r="AA1736" s="6" t="s">
        <v>481</v>
      </c>
      <c r="AB1736" s="6" t="s">
        <v>36</v>
      </c>
      <c r="AC1736" s="6" t="s">
        <v>37</v>
      </c>
      <c r="AD1736" s="6" t="s">
        <v>482</v>
      </c>
      <c r="AE1736" s="6" t="s">
        <v>2208</v>
      </c>
      <c r="AF1736" s="6" t="s">
        <v>2211</v>
      </c>
      <c r="AG1736" s="7">
        <v>20520</v>
      </c>
      <c r="AH1736" s="11">
        <f>_xlfn.XLOOKUP(B1736,[1]Sheet1!$B:$B,[1]Sheet1!$AB:$AB,0)</f>
        <v>0</v>
      </c>
    </row>
    <row r="1737" spans="2:34" ht="16.8" thickTop="1" thickBot="1" x14ac:dyDescent="0.35">
      <c r="B1737" s="3" t="str">
        <f t="shared" si="56"/>
        <v>451418045170000904510813422213200104</v>
      </c>
      <c r="C1737" s="8" t="s">
        <v>2246</v>
      </c>
      <c r="D1737" s="8" t="s">
        <v>2784</v>
      </c>
      <c r="E1737" s="8" t="s">
        <v>2785</v>
      </c>
      <c r="F1737" s="8" t="s">
        <v>2315</v>
      </c>
      <c r="G1737" s="4" t="s">
        <v>2846</v>
      </c>
      <c r="H1737" s="4" t="s">
        <v>2922</v>
      </c>
      <c r="I1737" s="8" t="s">
        <v>484</v>
      </c>
      <c r="J1737" s="8" t="s">
        <v>31</v>
      </c>
      <c r="K1737" s="12">
        <f>_xlfn.XLOOKUP(B1737,[1]Sheet1!$B:$B,[1]Sheet1!$N:$N,0)</f>
        <v>0</v>
      </c>
      <c r="L1737" s="12">
        <f>_xlfn.XLOOKUP(B1737,[1]Sheet1!$B:$B,[1]Sheet1!$O:$O,0)</f>
        <v>0</v>
      </c>
      <c r="M1737" s="12">
        <f>_xlfn.XLOOKUP(B1737,[1]Sheet1!$B:$B,[1]Sheet1!$P:$P,0)</f>
        <v>0</v>
      </c>
      <c r="N1737" s="12">
        <f>_xlfn.XLOOKUP(B1737,[1]Sheet1!$B:$B,[1]Sheet1!$Q:$Q,0)</f>
        <v>0</v>
      </c>
      <c r="O1737" s="12">
        <f>_xlfn.XLOOKUP(B1737,[1]Sheet1!$B:$B,[1]Sheet1!$R:$R,0)</f>
        <v>0</v>
      </c>
      <c r="P1737" s="12">
        <f>_xlfn.XLOOKUP(B1737,[1]Sheet1!$B:$B,[1]Sheet1!$S:$S,0)</f>
        <v>0</v>
      </c>
      <c r="Q1737" s="12">
        <f>_xlfn.XLOOKUP(B1737,[1]Sheet1!$B:$B,[1]Sheet1!$T:$T,0)</f>
        <v>0</v>
      </c>
      <c r="R1737" s="12">
        <f>_xlfn.XLOOKUP(B1737,[1]Sheet1!$B:$B,[1]Sheet1!$U:$U,0)</f>
        <v>0</v>
      </c>
      <c r="S1737" s="12">
        <f>_xlfn.XLOOKUP(B1737,[1]Sheet1!$B:$B,[1]Sheet1!$V:$V,0)</f>
        <v>0</v>
      </c>
      <c r="T1737" s="12">
        <f>_xlfn.XLOOKUP(B1737,[1]Sheet1!$B:$B,[1]Sheet1!$W:$W,0)</f>
        <v>0</v>
      </c>
      <c r="U1737" s="12">
        <f>_xlfn.XLOOKUP(B1737,[1]Sheet1!$B:$B,[1]Sheet1!$X:$X,0)</f>
        <v>0</v>
      </c>
      <c r="V1737" s="12">
        <f>_xlfn.XLOOKUP(B1737,[1]Sheet1!$B:$B,[1]Sheet1!$Y:$Y,0)</f>
        <v>0</v>
      </c>
      <c r="W1737" s="12">
        <f t="shared" si="57"/>
        <v>0</v>
      </c>
      <c r="X1737" s="8" t="s">
        <v>2295</v>
      </c>
      <c r="Y1737" s="8" t="s">
        <v>2208</v>
      </c>
      <c r="Z1737" s="8" t="s">
        <v>2289</v>
      </c>
      <c r="AA1737" s="8" t="s">
        <v>486</v>
      </c>
      <c r="AB1737" s="8" t="s">
        <v>36</v>
      </c>
      <c r="AC1737" s="8" t="s">
        <v>37</v>
      </c>
      <c r="AD1737" s="8" t="s">
        <v>482</v>
      </c>
      <c r="AE1737" s="8" t="s">
        <v>2208</v>
      </c>
      <c r="AF1737" s="8" t="s">
        <v>2211</v>
      </c>
      <c r="AG1737" s="9">
        <v>83333.75</v>
      </c>
      <c r="AH1737" s="11">
        <f>_xlfn.XLOOKUP(B1737,[1]Sheet1!$B:$B,[1]Sheet1!$AB:$AB,0)</f>
        <v>0</v>
      </c>
    </row>
    <row r="1738" spans="2:34" ht="16.8" thickTop="1" thickBot="1" x14ac:dyDescent="0.35">
      <c r="B1738" s="3" t="str">
        <f t="shared" si="56"/>
        <v>451418045170000904510814493120300105</v>
      </c>
      <c r="C1738" s="6" t="s">
        <v>2246</v>
      </c>
      <c r="D1738" s="6" t="s">
        <v>2784</v>
      </c>
      <c r="E1738" s="6" t="s">
        <v>2785</v>
      </c>
      <c r="F1738" s="6" t="s">
        <v>2316</v>
      </c>
      <c r="G1738" s="4" t="s">
        <v>2888</v>
      </c>
      <c r="H1738" s="4" t="s">
        <v>2923</v>
      </c>
      <c r="I1738" s="6" t="s">
        <v>2306</v>
      </c>
      <c r="J1738" s="6" t="s">
        <v>31</v>
      </c>
      <c r="K1738" s="12">
        <f>_xlfn.XLOOKUP(B1738,[1]Sheet1!$B:$B,[1]Sheet1!$N:$N,0)</f>
        <v>0</v>
      </c>
      <c r="L1738" s="12">
        <f>_xlfn.XLOOKUP(B1738,[1]Sheet1!$B:$B,[1]Sheet1!$O:$O,0)</f>
        <v>0</v>
      </c>
      <c r="M1738" s="12">
        <f>_xlfn.XLOOKUP(B1738,[1]Sheet1!$B:$B,[1]Sheet1!$P:$P,0)</f>
        <v>0</v>
      </c>
      <c r="N1738" s="12">
        <f>_xlfn.XLOOKUP(B1738,[1]Sheet1!$B:$B,[1]Sheet1!$Q:$Q,0)</f>
        <v>0</v>
      </c>
      <c r="O1738" s="12">
        <f>_xlfn.XLOOKUP(B1738,[1]Sheet1!$B:$B,[1]Sheet1!$R:$R,0)</f>
        <v>0</v>
      </c>
      <c r="P1738" s="12">
        <f>_xlfn.XLOOKUP(B1738,[1]Sheet1!$B:$B,[1]Sheet1!$S:$S,0)</f>
        <v>0</v>
      </c>
      <c r="Q1738" s="12">
        <f>_xlfn.XLOOKUP(B1738,[1]Sheet1!$B:$B,[1]Sheet1!$T:$T,0)</f>
        <v>0</v>
      </c>
      <c r="R1738" s="12">
        <f>_xlfn.XLOOKUP(B1738,[1]Sheet1!$B:$B,[1]Sheet1!$U:$U,0)</f>
        <v>0</v>
      </c>
      <c r="S1738" s="12">
        <f>_xlfn.XLOOKUP(B1738,[1]Sheet1!$B:$B,[1]Sheet1!$V:$V,0)</f>
        <v>0</v>
      </c>
      <c r="T1738" s="12">
        <f>_xlfn.XLOOKUP(B1738,[1]Sheet1!$B:$B,[1]Sheet1!$W:$W,0)</f>
        <v>0</v>
      </c>
      <c r="U1738" s="12">
        <f>_xlfn.XLOOKUP(B1738,[1]Sheet1!$B:$B,[1]Sheet1!$X:$X,0)</f>
        <v>0</v>
      </c>
      <c r="V1738" s="12">
        <f>_xlfn.XLOOKUP(B1738,[1]Sheet1!$B:$B,[1]Sheet1!$Y:$Y,0)</f>
        <v>0</v>
      </c>
      <c r="W1738" s="12">
        <f t="shared" si="57"/>
        <v>0</v>
      </c>
      <c r="X1738" s="6" t="s">
        <v>2307</v>
      </c>
      <c r="Y1738" s="6" t="s">
        <v>2208</v>
      </c>
      <c r="Z1738" s="6" t="s">
        <v>2289</v>
      </c>
      <c r="AA1738" s="6" t="s">
        <v>2306</v>
      </c>
      <c r="AB1738" s="6" t="s">
        <v>93</v>
      </c>
      <c r="AC1738" s="6" t="s">
        <v>94</v>
      </c>
      <c r="AD1738" s="6" t="s">
        <v>482</v>
      </c>
      <c r="AE1738" s="6" t="s">
        <v>2208</v>
      </c>
      <c r="AF1738" s="6" t="s">
        <v>2211</v>
      </c>
      <c r="AG1738" s="7">
        <v>948741.33</v>
      </c>
      <c r="AH1738" s="11">
        <f>_xlfn.XLOOKUP(B1738,[1]Sheet1!$B:$B,[1]Sheet1!$AB:$AB,0)</f>
        <v>0</v>
      </c>
    </row>
    <row r="1739" spans="2:34" ht="16.8" thickTop="1" thickBot="1" x14ac:dyDescent="0.35">
      <c r="B1739" s="3" t="str">
        <f t="shared" si="56"/>
        <v>451418045170000904510815491320300105</v>
      </c>
      <c r="C1739" s="8" t="s">
        <v>2246</v>
      </c>
      <c r="D1739" s="8" t="s">
        <v>2784</v>
      </c>
      <c r="E1739" s="8" t="s">
        <v>2785</v>
      </c>
      <c r="F1739" s="8" t="s">
        <v>2317</v>
      </c>
      <c r="G1739" s="4" t="s">
        <v>2866</v>
      </c>
      <c r="H1739" s="4" t="s">
        <v>2923</v>
      </c>
      <c r="I1739" s="8" t="s">
        <v>1159</v>
      </c>
      <c r="J1739" s="8" t="s">
        <v>31</v>
      </c>
      <c r="K1739" s="12">
        <f>_xlfn.XLOOKUP(B1739,[1]Sheet1!$B:$B,[1]Sheet1!$N:$N,0)</f>
        <v>0</v>
      </c>
      <c r="L1739" s="12">
        <f>_xlfn.XLOOKUP(B1739,[1]Sheet1!$B:$B,[1]Sheet1!$O:$O,0)</f>
        <v>0</v>
      </c>
      <c r="M1739" s="12">
        <f>_xlfn.XLOOKUP(B1739,[1]Sheet1!$B:$B,[1]Sheet1!$P:$P,0)</f>
        <v>0</v>
      </c>
      <c r="N1739" s="12">
        <f>_xlfn.XLOOKUP(B1739,[1]Sheet1!$B:$B,[1]Sheet1!$Q:$Q,0)</f>
        <v>0</v>
      </c>
      <c r="O1739" s="12">
        <f>_xlfn.XLOOKUP(B1739,[1]Sheet1!$B:$B,[1]Sheet1!$R:$R,0)</f>
        <v>0</v>
      </c>
      <c r="P1739" s="12">
        <f>_xlfn.XLOOKUP(B1739,[1]Sheet1!$B:$B,[1]Sheet1!$S:$S,0)</f>
        <v>0</v>
      </c>
      <c r="Q1739" s="12">
        <f>_xlfn.XLOOKUP(B1739,[1]Sheet1!$B:$B,[1]Sheet1!$T:$T,0)</f>
        <v>0</v>
      </c>
      <c r="R1739" s="12">
        <f>_xlfn.XLOOKUP(B1739,[1]Sheet1!$B:$B,[1]Sheet1!$U:$U,0)</f>
        <v>0</v>
      </c>
      <c r="S1739" s="12">
        <f>_xlfn.XLOOKUP(B1739,[1]Sheet1!$B:$B,[1]Sheet1!$V:$V,0)</f>
        <v>0</v>
      </c>
      <c r="T1739" s="12">
        <f>_xlfn.XLOOKUP(B1739,[1]Sheet1!$B:$B,[1]Sheet1!$W:$W,0)</f>
        <v>0</v>
      </c>
      <c r="U1739" s="12">
        <f>_xlfn.XLOOKUP(B1739,[1]Sheet1!$B:$B,[1]Sheet1!$X:$X,0)</f>
        <v>0</v>
      </c>
      <c r="V1739" s="12">
        <f>_xlfn.XLOOKUP(B1739,[1]Sheet1!$B:$B,[1]Sheet1!$Y:$Y,0)</f>
        <v>0</v>
      </c>
      <c r="W1739" s="12">
        <f t="shared" si="57"/>
        <v>0</v>
      </c>
      <c r="X1739" s="8" t="s">
        <v>2293</v>
      </c>
      <c r="Y1739" s="8" t="s">
        <v>2208</v>
      </c>
      <c r="Z1739" s="8" t="s">
        <v>2289</v>
      </c>
      <c r="AA1739" s="8" t="s">
        <v>1159</v>
      </c>
      <c r="AB1739" s="8" t="s">
        <v>93</v>
      </c>
      <c r="AC1739" s="8" t="s">
        <v>94</v>
      </c>
      <c r="AD1739" s="8" t="s">
        <v>482</v>
      </c>
      <c r="AE1739" s="8" t="s">
        <v>2208</v>
      </c>
      <c r="AF1739" s="8" t="s">
        <v>2211</v>
      </c>
      <c r="AG1739" s="9">
        <v>2379029.66</v>
      </c>
      <c r="AH1739" s="11">
        <f>_xlfn.XLOOKUP(B1739,[1]Sheet1!$B:$B,[1]Sheet1!$AB:$AB,0)</f>
        <v>0</v>
      </c>
    </row>
    <row r="1740" spans="2:34" ht="16.8" thickTop="1" thickBot="1" x14ac:dyDescent="0.35">
      <c r="B1740" s="3" t="str">
        <f t="shared" si="56"/>
        <v>451400045170001104510819422191200104</v>
      </c>
      <c r="C1740" s="6" t="s">
        <v>2210</v>
      </c>
      <c r="D1740" s="6" t="s">
        <v>2786</v>
      </c>
      <c r="E1740" s="6" t="s">
        <v>2787</v>
      </c>
      <c r="F1740" s="6" t="s">
        <v>2788</v>
      </c>
      <c r="G1740" s="4" t="s">
        <v>2826</v>
      </c>
      <c r="H1740" s="4" t="s">
        <v>2922</v>
      </c>
      <c r="I1740" s="6" t="s">
        <v>233</v>
      </c>
      <c r="J1740" s="6" t="s">
        <v>31</v>
      </c>
      <c r="K1740" s="12">
        <f>_xlfn.XLOOKUP(B1740,[1]Sheet1!$B:$B,[1]Sheet1!$N:$N,0)</f>
        <v>0</v>
      </c>
      <c r="L1740" s="12">
        <f>_xlfn.XLOOKUP(B1740,[1]Sheet1!$B:$B,[1]Sheet1!$O:$O,0)</f>
        <v>0</v>
      </c>
      <c r="M1740" s="12">
        <f>_xlfn.XLOOKUP(B1740,[1]Sheet1!$B:$B,[1]Sheet1!$P:$P,0)</f>
        <v>0</v>
      </c>
      <c r="N1740" s="12">
        <f>_xlfn.XLOOKUP(B1740,[1]Sheet1!$B:$B,[1]Sheet1!$Q:$Q,0)</f>
        <v>0</v>
      </c>
      <c r="O1740" s="12">
        <f>_xlfn.XLOOKUP(B1740,[1]Sheet1!$B:$B,[1]Sheet1!$R:$R,0)</f>
        <v>0</v>
      </c>
      <c r="P1740" s="12">
        <f>_xlfn.XLOOKUP(B1740,[1]Sheet1!$B:$B,[1]Sheet1!$S:$S,0)</f>
        <v>0</v>
      </c>
      <c r="Q1740" s="12">
        <f>_xlfn.XLOOKUP(B1740,[1]Sheet1!$B:$B,[1]Sheet1!$T:$T,0)</f>
        <v>0</v>
      </c>
      <c r="R1740" s="12">
        <f>_xlfn.XLOOKUP(B1740,[1]Sheet1!$B:$B,[1]Sheet1!$U:$U,0)</f>
        <v>0</v>
      </c>
      <c r="S1740" s="12">
        <f>_xlfn.XLOOKUP(B1740,[1]Sheet1!$B:$B,[1]Sheet1!$V:$V,0)</f>
        <v>0</v>
      </c>
      <c r="T1740" s="12">
        <f>_xlfn.XLOOKUP(B1740,[1]Sheet1!$B:$B,[1]Sheet1!$W:$W,0)</f>
        <v>0</v>
      </c>
      <c r="U1740" s="12">
        <f>_xlfn.XLOOKUP(B1740,[1]Sheet1!$B:$B,[1]Sheet1!$X:$X,0)</f>
        <v>0</v>
      </c>
      <c r="V1740" s="12">
        <f>_xlfn.XLOOKUP(B1740,[1]Sheet1!$B:$B,[1]Sheet1!$Y:$Y,0)</f>
        <v>0</v>
      </c>
      <c r="W1740" s="12">
        <f t="shared" si="57"/>
        <v>0</v>
      </c>
      <c r="X1740" s="6" t="s">
        <v>2789</v>
      </c>
      <c r="Y1740" s="6" t="s">
        <v>2208</v>
      </c>
      <c r="Z1740" s="6" t="s">
        <v>2209</v>
      </c>
      <c r="AA1740" s="6" t="s">
        <v>235</v>
      </c>
      <c r="AB1740" s="6" t="s">
        <v>36</v>
      </c>
      <c r="AC1740" s="6" t="s">
        <v>37</v>
      </c>
      <c r="AD1740" s="6" t="s">
        <v>2340</v>
      </c>
      <c r="AE1740" s="6" t="s">
        <v>2208</v>
      </c>
      <c r="AF1740" s="6" t="s">
        <v>2211</v>
      </c>
      <c r="AG1740" s="7">
        <v>26321026</v>
      </c>
      <c r="AH1740" s="11">
        <f>_xlfn.XLOOKUP(B1740,[1]Sheet1!$B:$B,[1]Sheet1!$AB:$AB,0)</f>
        <v>0</v>
      </c>
    </row>
    <row r="1741" spans="2:34" ht="16.2" thickTop="1" x14ac:dyDescent="0.3">
      <c r="B1741" s="3" t="str">
        <f t="shared" si="56"/>
        <v>451400045170001104510820491811300105</v>
      </c>
      <c r="C1741" s="8" t="s">
        <v>2210</v>
      </c>
      <c r="D1741" s="8" t="s">
        <v>2786</v>
      </c>
      <c r="E1741" s="8" t="s">
        <v>2787</v>
      </c>
      <c r="F1741" s="8" t="s">
        <v>2790</v>
      </c>
      <c r="G1741" s="4" t="s">
        <v>2825</v>
      </c>
      <c r="H1741" s="4" t="s">
        <v>2923</v>
      </c>
      <c r="I1741" s="8" t="s">
        <v>226</v>
      </c>
      <c r="J1741" s="8" t="s">
        <v>31</v>
      </c>
      <c r="K1741" s="12">
        <f>_xlfn.XLOOKUP(B1741,[1]Sheet1!$B:$B,[1]Sheet1!$N:$N,0)</f>
        <v>0</v>
      </c>
      <c r="L1741" s="12">
        <f>_xlfn.XLOOKUP(B1741,[1]Sheet1!$B:$B,[1]Sheet1!$O:$O,0)</f>
        <v>0</v>
      </c>
      <c r="M1741" s="12">
        <f>_xlfn.XLOOKUP(B1741,[1]Sheet1!$B:$B,[1]Sheet1!$P:$P,0)</f>
        <v>0</v>
      </c>
      <c r="N1741" s="12">
        <f>_xlfn.XLOOKUP(B1741,[1]Sheet1!$B:$B,[1]Sheet1!$Q:$Q,0)</f>
        <v>0</v>
      </c>
      <c r="O1741" s="12">
        <f>_xlfn.XLOOKUP(B1741,[1]Sheet1!$B:$B,[1]Sheet1!$R:$R,0)</f>
        <v>0</v>
      </c>
      <c r="P1741" s="12">
        <f>_xlfn.XLOOKUP(B1741,[1]Sheet1!$B:$B,[1]Sheet1!$S:$S,0)</f>
        <v>0</v>
      </c>
      <c r="Q1741" s="12">
        <f>_xlfn.XLOOKUP(B1741,[1]Sheet1!$B:$B,[1]Sheet1!$T:$T,0)</f>
        <v>0</v>
      </c>
      <c r="R1741" s="12">
        <f>_xlfn.XLOOKUP(B1741,[1]Sheet1!$B:$B,[1]Sheet1!$U:$U,0)</f>
        <v>0</v>
      </c>
      <c r="S1741" s="12">
        <f>_xlfn.XLOOKUP(B1741,[1]Sheet1!$B:$B,[1]Sheet1!$V:$V,0)</f>
        <v>0</v>
      </c>
      <c r="T1741" s="12">
        <f>_xlfn.XLOOKUP(B1741,[1]Sheet1!$B:$B,[1]Sheet1!$W:$W,0)</f>
        <v>0</v>
      </c>
      <c r="U1741" s="12">
        <f>_xlfn.XLOOKUP(B1741,[1]Sheet1!$B:$B,[1]Sheet1!$X:$X,0)</f>
        <v>0</v>
      </c>
      <c r="V1741" s="12">
        <f>_xlfn.XLOOKUP(B1741,[1]Sheet1!$B:$B,[1]Sheet1!$Y:$Y,0)</f>
        <v>0</v>
      </c>
      <c r="W1741" s="12">
        <f t="shared" si="57"/>
        <v>0</v>
      </c>
      <c r="X1741" s="8" t="s">
        <v>2791</v>
      </c>
      <c r="Y1741" s="8" t="s">
        <v>2208</v>
      </c>
      <c r="Z1741" s="8" t="s">
        <v>2209</v>
      </c>
      <c r="AA1741" s="8" t="s">
        <v>228</v>
      </c>
      <c r="AB1741" s="8" t="s">
        <v>93</v>
      </c>
      <c r="AC1741" s="8" t="s">
        <v>94</v>
      </c>
      <c r="AD1741" s="8" t="s">
        <v>2272</v>
      </c>
      <c r="AE1741" s="8" t="s">
        <v>2208</v>
      </c>
      <c r="AF1741" s="8" t="s">
        <v>2211</v>
      </c>
      <c r="AG1741" s="9">
        <v>1317223</v>
      </c>
      <c r="AH1741" s="11">
        <f>_xlfn.XLOOKUP(B1741,[1]Sheet1!$B:$B,[1]Sheet1!$AB:$AB,0)</f>
        <v>0</v>
      </c>
    </row>
  </sheetData>
  <autoFilter ref="B2:AH174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.6" x14ac:dyDescent="0.3"/>
  <sheetData>
    <row r="1" spans="1:1" x14ac:dyDescent="0.3">
      <c r="A1" t="s">
        <v>2792</v>
      </c>
    </row>
    <row r="2" spans="1:1" x14ac:dyDescent="0.3">
      <c r="A2" t="s">
        <v>2793</v>
      </c>
    </row>
    <row r="3" spans="1:1" x14ac:dyDescent="0.3">
      <c r="A3" t="s">
        <v>2794</v>
      </c>
    </row>
    <row r="4" spans="1:1" x14ac:dyDescent="0.3">
      <c r="A4" t="s">
        <v>2795</v>
      </c>
    </row>
    <row r="5" spans="1:1" x14ac:dyDescent="0.3">
      <c r="A5" t="s">
        <v>2796</v>
      </c>
    </row>
    <row r="6" spans="1:1" x14ac:dyDescent="0.3">
      <c r="A6" t="s">
        <v>2797</v>
      </c>
    </row>
    <row r="7" spans="1:1" x14ac:dyDescent="0.3">
      <c r="A7" t="s">
        <v>2798</v>
      </c>
    </row>
    <row r="8" spans="1:1" x14ac:dyDescent="0.3">
      <c r="A8" t="s">
        <v>2799</v>
      </c>
    </row>
  </sheetData>
  <pageMargins left="0.7" right="0.7" top="0.75" bottom="0.75" header="0.3" footer="0.3"/>
  <ignoredErrors>
    <ignoredError sqref="A1:A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2E24-8273-4FF5-9415-A6B1C131E969}">
  <dimension ref="B2:AF1366"/>
  <sheetViews>
    <sheetView zoomScale="85" zoomScaleNormal="85" workbookViewId="0">
      <selection activeCell="B3" sqref="B3:M20"/>
    </sheetView>
  </sheetViews>
  <sheetFormatPr defaultRowHeight="15.6" x14ac:dyDescent="0.3"/>
  <cols>
    <col min="1" max="1" width="8.796875" style="14"/>
    <col min="2" max="2" width="28.69921875" style="14" bestFit="1" customWidth="1"/>
    <col min="3" max="26" width="14.19921875" style="14" customWidth="1"/>
    <col min="27" max="27" width="2.296875" style="14" customWidth="1"/>
    <col min="28" max="30" width="14.19921875" style="14" customWidth="1"/>
    <col min="31" max="31" width="12.8984375" style="27" bestFit="1" customWidth="1"/>
    <col min="32" max="32" width="12" style="14" bestFit="1" customWidth="1"/>
    <col min="33" max="16384" width="8.796875" style="14"/>
  </cols>
  <sheetData>
    <row r="2" spans="2:32" ht="14.4" x14ac:dyDescent="0.3">
      <c r="N2" s="15">
        <f>SUBTOTAL(9,N4:N1366)</f>
        <v>1574767</v>
      </c>
      <c r="O2" s="15">
        <f t="shared" ref="O2:AF2" si="0">SUBTOTAL(9,O4:O1366)</f>
        <v>10563366.530000001</v>
      </c>
      <c r="P2" s="15">
        <f t="shared" si="0"/>
        <v>1255725888.5401249</v>
      </c>
      <c r="Q2" s="15">
        <f t="shared" si="0"/>
        <v>555839571.34920752</v>
      </c>
      <c r="R2" s="15">
        <f t="shared" si="0"/>
        <v>441008643.54824054</v>
      </c>
      <c r="S2" s="15">
        <f t="shared" si="0"/>
        <v>499726246.52885282</v>
      </c>
      <c r="T2" s="15">
        <f t="shared" si="0"/>
        <v>251083270.22406355</v>
      </c>
      <c r="U2" s="15">
        <f t="shared" si="0"/>
        <v>327748570.72564995</v>
      </c>
      <c r="V2" s="15">
        <f t="shared" si="0"/>
        <v>332081080.93620235</v>
      </c>
      <c r="W2" s="15">
        <f t="shared" si="0"/>
        <v>486108650.94104481</v>
      </c>
      <c r="X2" s="15">
        <f t="shared" si="0"/>
        <v>492293809.79035461</v>
      </c>
      <c r="Y2" s="15">
        <f t="shared" si="0"/>
        <v>486378265.12143046</v>
      </c>
      <c r="Z2" s="15">
        <f t="shared" si="0"/>
        <v>5140132131.2351732</v>
      </c>
      <c r="AB2" s="15">
        <f t="shared" si="0"/>
        <v>5365074943.8626719</v>
      </c>
      <c r="AC2" s="15">
        <f t="shared" si="0"/>
        <v>5365563026.7299995</v>
      </c>
      <c r="AD2" s="15">
        <f t="shared" si="0"/>
        <v>-488082.92732849636</v>
      </c>
      <c r="AE2" s="15">
        <f t="shared" si="0"/>
        <v>5366486276.7299995</v>
      </c>
      <c r="AF2" s="15">
        <f t="shared" si="0"/>
        <v>1411332.8673284953</v>
      </c>
    </row>
    <row r="3" spans="2:32" s="16" customFormat="1" ht="47.4" customHeight="1" x14ac:dyDescent="0.3">
      <c r="B3" s="55" t="s">
        <v>2801</v>
      </c>
      <c r="C3" s="17" t="s">
        <v>2943</v>
      </c>
      <c r="D3" s="17" t="s">
        <v>2944</v>
      </c>
      <c r="E3" s="17" t="s">
        <v>2945</v>
      </c>
      <c r="F3" s="17" t="s">
        <v>2946</v>
      </c>
      <c r="G3" s="17" t="s">
        <v>2947</v>
      </c>
      <c r="H3" s="17" t="s">
        <v>2948</v>
      </c>
      <c r="I3" s="17" t="s">
        <v>2920</v>
      </c>
      <c r="J3" s="17" t="s">
        <v>2921</v>
      </c>
      <c r="K3" s="17" t="s">
        <v>2949</v>
      </c>
      <c r="L3" s="17" t="s">
        <v>2950</v>
      </c>
      <c r="M3" s="17" t="s">
        <v>2951</v>
      </c>
      <c r="N3" s="18">
        <v>46048</v>
      </c>
      <c r="O3" s="18">
        <v>46079</v>
      </c>
      <c r="P3" s="18">
        <v>46107</v>
      </c>
      <c r="Q3" s="18">
        <v>46138</v>
      </c>
      <c r="R3" s="18">
        <v>46168</v>
      </c>
      <c r="S3" s="18">
        <v>46199</v>
      </c>
      <c r="T3" s="18">
        <v>46229</v>
      </c>
      <c r="U3" s="18">
        <v>46260</v>
      </c>
      <c r="V3" s="18">
        <v>46291</v>
      </c>
      <c r="W3" s="18">
        <v>46321</v>
      </c>
      <c r="X3" s="18">
        <v>46352</v>
      </c>
      <c r="Y3" s="18">
        <v>46382</v>
      </c>
      <c r="Z3" s="19" t="s">
        <v>2952</v>
      </c>
      <c r="AA3" s="55"/>
      <c r="AB3" s="20" t="s">
        <v>2953</v>
      </c>
      <c r="AC3" s="20" t="s">
        <v>2954</v>
      </c>
      <c r="AD3" s="20" t="s">
        <v>2955</v>
      </c>
      <c r="AE3" s="56" t="s">
        <v>2956</v>
      </c>
    </row>
    <row r="4" spans="2:32" x14ac:dyDescent="0.3">
      <c r="B4" s="14" t="str">
        <f>D4&amp;F4&amp;H4&amp;I4&amp;J4</f>
        <v>45101954511000666Activation&amp;Prog-N1422401200104</v>
      </c>
      <c r="C4" s="21" t="s">
        <v>2957</v>
      </c>
      <c r="D4" s="22">
        <v>4510195</v>
      </c>
      <c r="E4" s="21" t="s">
        <v>834</v>
      </c>
      <c r="F4" s="22">
        <v>4511000666</v>
      </c>
      <c r="G4" s="21" t="s">
        <v>2958</v>
      </c>
      <c r="H4" s="21" t="s">
        <v>371</v>
      </c>
      <c r="I4" s="22">
        <v>422401</v>
      </c>
      <c r="J4" s="22">
        <v>200104</v>
      </c>
      <c r="K4" s="22" t="s">
        <v>2959</v>
      </c>
      <c r="L4" s="22">
        <v>70101</v>
      </c>
      <c r="M4" s="23" t="s">
        <v>2960</v>
      </c>
      <c r="N4" s="24">
        <v>0</v>
      </c>
      <c r="O4" s="24">
        <v>4460</v>
      </c>
      <c r="P4" s="24">
        <v>0</v>
      </c>
      <c r="Q4" s="24">
        <v>0</v>
      </c>
      <c r="R4" s="24">
        <v>0</v>
      </c>
      <c r="S4" s="24">
        <v>245540</v>
      </c>
      <c r="T4" s="24">
        <v>0</v>
      </c>
      <c r="U4" s="24">
        <v>0</v>
      </c>
      <c r="V4" s="24">
        <v>0</v>
      </c>
      <c r="W4" s="24">
        <v>0</v>
      </c>
      <c r="X4" s="24">
        <v>300000</v>
      </c>
      <c r="Y4" s="24">
        <v>450000</v>
      </c>
      <c r="Z4" s="24">
        <f>SUM(N4:Y4)</f>
        <v>1000000</v>
      </c>
      <c r="AB4" s="25">
        <v>959000</v>
      </c>
      <c r="AC4" s="26">
        <v>959000</v>
      </c>
      <c r="AD4" s="24">
        <v>0</v>
      </c>
      <c r="AE4" s="27">
        <f>_xlfn.XLOOKUP(B4,'Projects Cashflow'!$B:$B,'Projects Cashflow'!$AG:$AG,0)</f>
        <v>959000</v>
      </c>
      <c r="AF4" s="28">
        <f>AE4-AB4</f>
        <v>0</v>
      </c>
    </row>
    <row r="5" spans="2:32" x14ac:dyDescent="0.3">
      <c r="B5" s="14" t="str">
        <f t="shared" ref="B5:B68" si="1">D5&amp;F5&amp;H5&amp;I5&amp;J5</f>
        <v>45101954511000666Mission &amp; Travel-N1423821200104</v>
      </c>
      <c r="C5" s="21" t="s">
        <v>2957</v>
      </c>
      <c r="D5" s="22">
        <v>4510195</v>
      </c>
      <c r="E5" s="21" t="s">
        <v>834</v>
      </c>
      <c r="F5" s="22">
        <v>4511000666</v>
      </c>
      <c r="G5" s="21" t="s">
        <v>2958</v>
      </c>
      <c r="H5" s="21" t="s">
        <v>472</v>
      </c>
      <c r="I5" s="22">
        <v>423821</v>
      </c>
      <c r="J5" s="22">
        <v>200104</v>
      </c>
      <c r="K5" s="22" t="s">
        <v>2959</v>
      </c>
      <c r="L5" s="22">
        <v>70101</v>
      </c>
      <c r="M5" s="23" t="s">
        <v>2960</v>
      </c>
      <c r="N5" s="24">
        <v>0</v>
      </c>
      <c r="O5" s="24">
        <v>233750</v>
      </c>
      <c r="P5" s="24">
        <v>0</v>
      </c>
      <c r="Q5" s="24">
        <v>161622</v>
      </c>
      <c r="R5" s="24">
        <v>153500</v>
      </c>
      <c r="S5" s="24">
        <v>77000</v>
      </c>
      <c r="T5" s="24">
        <v>0</v>
      </c>
      <c r="U5" s="24">
        <v>0</v>
      </c>
      <c r="V5" s="24">
        <v>0</v>
      </c>
      <c r="W5" s="24">
        <v>125000</v>
      </c>
      <c r="X5" s="24">
        <v>95000</v>
      </c>
      <c r="Y5" s="24">
        <v>0</v>
      </c>
      <c r="Z5" s="24">
        <f t="shared" ref="Z5:Z68" si="2">SUM(N5:Y5)</f>
        <v>845872</v>
      </c>
      <c r="AB5" s="25">
        <v>1245872</v>
      </c>
      <c r="AC5" s="26">
        <v>1245872</v>
      </c>
      <c r="AD5" s="24">
        <v>0</v>
      </c>
      <c r="AE5" s="27">
        <f>_xlfn.XLOOKUP(B5,'Projects Cashflow'!$B:$B,'Projects Cashflow'!$AG:$AG,0)</f>
        <v>1245872</v>
      </c>
      <c r="AF5" s="28">
        <f t="shared" ref="AF5:AF68" si="3">AE5-AB5</f>
        <v>0</v>
      </c>
    </row>
    <row r="6" spans="2:32" x14ac:dyDescent="0.3">
      <c r="B6" s="14" t="str">
        <f t="shared" si="1"/>
        <v>45101954511000666Freelancers-N1424521200104</v>
      </c>
      <c r="C6" s="21" t="s">
        <v>2957</v>
      </c>
      <c r="D6" s="22">
        <v>4510195</v>
      </c>
      <c r="E6" s="21" t="s">
        <v>834</v>
      </c>
      <c r="F6" s="22">
        <v>4511000666</v>
      </c>
      <c r="G6" s="21" t="s">
        <v>2958</v>
      </c>
      <c r="H6" s="21" t="s">
        <v>303</v>
      </c>
      <c r="I6" s="22">
        <v>424521</v>
      </c>
      <c r="J6" s="22">
        <v>200104</v>
      </c>
      <c r="K6" s="22" t="s">
        <v>2959</v>
      </c>
      <c r="L6" s="22">
        <v>70101</v>
      </c>
      <c r="M6" s="23" t="s">
        <v>2961</v>
      </c>
      <c r="N6" s="24">
        <v>0</v>
      </c>
      <c r="O6" s="24">
        <v>15000</v>
      </c>
      <c r="P6" s="24">
        <v>15000</v>
      </c>
      <c r="Q6" s="24">
        <v>30000</v>
      </c>
      <c r="R6" s="24">
        <v>15000</v>
      </c>
      <c r="S6" s="24">
        <v>15000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f t="shared" si="2"/>
        <v>90000</v>
      </c>
      <c r="AB6" s="25">
        <v>75500</v>
      </c>
      <c r="AC6" s="26">
        <v>75500</v>
      </c>
      <c r="AD6" s="24">
        <v>0</v>
      </c>
      <c r="AE6" s="27">
        <f>_xlfn.XLOOKUP(B6,'Projects Cashflow'!$B:$B,'Projects Cashflow'!$AG:$AG,0)</f>
        <v>75500</v>
      </c>
      <c r="AF6" s="28">
        <f t="shared" si="3"/>
        <v>0</v>
      </c>
    </row>
    <row r="7" spans="2:32" x14ac:dyDescent="0.3">
      <c r="B7" s="14" t="str">
        <f t="shared" si="1"/>
        <v>45101954511000892Freelancers-N2424521200104</v>
      </c>
      <c r="C7" s="21" t="s">
        <v>2957</v>
      </c>
      <c r="D7" s="22">
        <v>4510195</v>
      </c>
      <c r="E7" s="21" t="s">
        <v>834</v>
      </c>
      <c r="F7" s="22">
        <v>4511000892</v>
      </c>
      <c r="G7" s="21" t="s">
        <v>1222</v>
      </c>
      <c r="H7" s="29" t="s">
        <v>913</v>
      </c>
      <c r="I7" s="22">
        <v>424521</v>
      </c>
      <c r="J7" s="22">
        <v>200104</v>
      </c>
      <c r="K7" s="22" t="s">
        <v>2959</v>
      </c>
      <c r="L7" s="22">
        <v>70101</v>
      </c>
      <c r="M7" s="23" t="s">
        <v>2960</v>
      </c>
      <c r="N7" s="24">
        <v>0</v>
      </c>
      <c r="O7" s="24">
        <v>0</v>
      </c>
      <c r="P7" s="24">
        <v>15000</v>
      </c>
      <c r="Q7" s="24">
        <v>45000</v>
      </c>
      <c r="R7" s="24">
        <v>25000</v>
      </c>
      <c r="S7" s="24">
        <v>25000</v>
      </c>
      <c r="T7" s="24">
        <v>25000</v>
      </c>
      <c r="U7" s="24">
        <v>25000</v>
      </c>
      <c r="V7" s="24">
        <v>35000</v>
      </c>
      <c r="W7" s="24">
        <v>35000</v>
      </c>
      <c r="X7" s="24">
        <v>35000</v>
      </c>
      <c r="Y7" s="24">
        <v>35000</v>
      </c>
      <c r="Z7" s="24">
        <f t="shared" si="2"/>
        <v>300000</v>
      </c>
      <c r="AB7" s="25">
        <v>315500</v>
      </c>
      <c r="AC7" s="26">
        <v>315500</v>
      </c>
      <c r="AD7" s="24">
        <v>0</v>
      </c>
      <c r="AE7" s="27">
        <f>_xlfn.XLOOKUP(B7,'Projects Cashflow'!$B:$B,'Projects Cashflow'!$AG:$AG,0)</f>
        <v>315500</v>
      </c>
      <c r="AF7" s="28">
        <f t="shared" si="3"/>
        <v>0</v>
      </c>
    </row>
    <row r="8" spans="2:32" x14ac:dyDescent="0.3">
      <c r="B8" s="14" t="str">
        <f t="shared" si="1"/>
        <v>45101954511000892Event Management-N2422401200104</v>
      </c>
      <c r="C8" s="21" t="s">
        <v>2957</v>
      </c>
      <c r="D8" s="22">
        <v>4510195</v>
      </c>
      <c r="E8" s="21" t="s">
        <v>834</v>
      </c>
      <c r="F8" s="22">
        <v>4511000892</v>
      </c>
      <c r="G8" s="21" t="s">
        <v>1222</v>
      </c>
      <c r="H8" s="29" t="s">
        <v>387</v>
      </c>
      <c r="I8" s="22">
        <v>422401</v>
      </c>
      <c r="J8" s="22">
        <v>200104</v>
      </c>
      <c r="K8" s="22" t="s">
        <v>2959</v>
      </c>
      <c r="L8" s="22">
        <v>70101</v>
      </c>
      <c r="M8" s="23" t="s">
        <v>2960</v>
      </c>
      <c r="N8" s="24">
        <v>0</v>
      </c>
      <c r="O8" s="24">
        <v>0</v>
      </c>
      <c r="P8" s="24">
        <v>0</v>
      </c>
      <c r="Q8" s="24">
        <v>158938</v>
      </c>
      <c r="R8" s="24">
        <v>0</v>
      </c>
      <c r="S8" s="24">
        <v>0</v>
      </c>
      <c r="T8" s="24">
        <v>0</v>
      </c>
      <c r="U8" s="24">
        <v>8000</v>
      </c>
      <c r="V8" s="24">
        <v>0</v>
      </c>
      <c r="W8" s="24">
        <v>0</v>
      </c>
      <c r="X8" s="24">
        <v>7000</v>
      </c>
      <c r="Y8" s="24">
        <v>9000</v>
      </c>
      <c r="Z8" s="24">
        <f t="shared" si="2"/>
        <v>182938</v>
      </c>
      <c r="AB8" s="25">
        <v>182938</v>
      </c>
      <c r="AC8" s="26">
        <v>182938</v>
      </c>
      <c r="AD8" s="24">
        <v>0</v>
      </c>
      <c r="AE8" s="27">
        <f>_xlfn.XLOOKUP(B8,'Projects Cashflow'!$B:$B,'Projects Cashflow'!$AG:$AG,0)</f>
        <v>182938</v>
      </c>
      <c r="AF8" s="28">
        <f t="shared" si="3"/>
        <v>0</v>
      </c>
    </row>
    <row r="9" spans="2:32" x14ac:dyDescent="0.3">
      <c r="B9" s="14" t="str">
        <f t="shared" si="1"/>
        <v>45101954511000892Edit &amp; Copywrite-N2421115200104</v>
      </c>
      <c r="C9" s="21" t="s">
        <v>2957</v>
      </c>
      <c r="D9" s="22">
        <v>4510195</v>
      </c>
      <c r="E9" s="21" t="s">
        <v>834</v>
      </c>
      <c r="F9" s="22">
        <v>4511000892</v>
      </c>
      <c r="G9" s="21" t="s">
        <v>1222</v>
      </c>
      <c r="H9" s="29" t="s">
        <v>1223</v>
      </c>
      <c r="I9" s="22">
        <v>421115</v>
      </c>
      <c r="J9" s="22">
        <v>200104</v>
      </c>
      <c r="K9" s="22" t="s">
        <v>2959</v>
      </c>
      <c r="L9" s="22">
        <v>70704</v>
      </c>
      <c r="M9" s="23" t="s">
        <v>2960</v>
      </c>
      <c r="N9" s="24">
        <v>0</v>
      </c>
      <c r="O9" s="24">
        <v>0</v>
      </c>
      <c r="P9" s="24">
        <v>0</v>
      </c>
      <c r="Q9" s="24">
        <v>68000</v>
      </c>
      <c r="R9" s="24">
        <v>4000</v>
      </c>
      <c r="S9" s="24">
        <v>4000</v>
      </c>
      <c r="T9" s="24">
        <v>4000</v>
      </c>
      <c r="U9" s="24">
        <v>4000</v>
      </c>
      <c r="V9" s="24">
        <v>4000</v>
      </c>
      <c r="W9" s="24">
        <v>4000</v>
      </c>
      <c r="X9" s="24">
        <v>4000</v>
      </c>
      <c r="Y9" s="24">
        <v>4000</v>
      </c>
      <c r="Z9" s="24">
        <f t="shared" si="2"/>
        <v>100000</v>
      </c>
      <c r="AB9" s="25">
        <v>100000</v>
      </c>
      <c r="AC9" s="26">
        <v>100000</v>
      </c>
      <c r="AD9" s="24">
        <v>0</v>
      </c>
      <c r="AE9" s="27">
        <f>_xlfn.XLOOKUP(B9,'Projects Cashflow'!$B:$B,'Projects Cashflow'!$AG:$AG,0)</f>
        <v>100000</v>
      </c>
      <c r="AF9" s="28">
        <f t="shared" si="3"/>
        <v>0</v>
      </c>
    </row>
    <row r="10" spans="2:32" x14ac:dyDescent="0.3">
      <c r="B10" s="14" t="str">
        <f t="shared" si="1"/>
        <v>45101954511001251Event Management-N1422401200104</v>
      </c>
      <c r="C10" s="21" t="s">
        <v>2957</v>
      </c>
      <c r="D10" s="22">
        <v>4510195</v>
      </c>
      <c r="E10" s="21" t="s">
        <v>834</v>
      </c>
      <c r="F10" s="22">
        <v>4511001251</v>
      </c>
      <c r="G10" s="21" t="s">
        <v>2962</v>
      </c>
      <c r="H10" s="21" t="s">
        <v>122</v>
      </c>
      <c r="I10" s="22">
        <v>422401</v>
      </c>
      <c r="J10" s="22">
        <v>200104</v>
      </c>
      <c r="K10" s="22" t="s">
        <v>2959</v>
      </c>
      <c r="L10" s="22">
        <v>70701</v>
      </c>
      <c r="M10" s="23" t="s">
        <v>2961</v>
      </c>
      <c r="N10" s="24">
        <v>0</v>
      </c>
      <c r="O10" s="24">
        <v>0</v>
      </c>
      <c r="P10" s="24">
        <v>0</v>
      </c>
      <c r="Q10" s="24">
        <v>63000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99000</v>
      </c>
      <c r="X10" s="24">
        <v>0</v>
      </c>
      <c r="Y10" s="24">
        <v>0</v>
      </c>
      <c r="Z10" s="24">
        <f t="shared" si="2"/>
        <v>162000</v>
      </c>
      <c r="AB10" s="25">
        <v>212000</v>
      </c>
      <c r="AC10" s="26">
        <v>212000</v>
      </c>
      <c r="AD10" s="24">
        <v>0</v>
      </c>
      <c r="AE10" s="27">
        <f>_xlfn.XLOOKUP(B10,'Projects Cashflow'!$B:$B,'Projects Cashflow'!$AG:$AG,0)</f>
        <v>212000</v>
      </c>
      <c r="AF10" s="28">
        <f t="shared" si="3"/>
        <v>0</v>
      </c>
    </row>
    <row r="11" spans="2:32" x14ac:dyDescent="0.3">
      <c r="B11" s="14" t="str">
        <f t="shared" si="1"/>
        <v>45191964511000667CampaignProductn-N1422511200104</v>
      </c>
      <c r="C11" s="21" t="s">
        <v>2957</v>
      </c>
      <c r="D11" s="22">
        <v>4519196</v>
      </c>
      <c r="E11" s="21" t="s">
        <v>842</v>
      </c>
      <c r="F11" s="22">
        <v>4511000667</v>
      </c>
      <c r="G11" s="21" t="s">
        <v>839</v>
      </c>
      <c r="H11" s="21" t="s">
        <v>840</v>
      </c>
      <c r="I11" s="22">
        <v>422511</v>
      </c>
      <c r="J11" s="22">
        <v>200104</v>
      </c>
      <c r="K11" s="22" t="s">
        <v>2959</v>
      </c>
      <c r="L11" s="22">
        <v>70705</v>
      </c>
      <c r="M11" s="23" t="s">
        <v>2960</v>
      </c>
      <c r="N11" s="24">
        <v>0</v>
      </c>
      <c r="O11" s="24">
        <v>0</v>
      </c>
      <c r="P11" s="24">
        <v>0</v>
      </c>
      <c r="Q11" s="24">
        <v>18000</v>
      </c>
      <c r="R11" s="24">
        <v>100000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32000</v>
      </c>
      <c r="Z11" s="24">
        <f t="shared" si="2"/>
        <v>150000</v>
      </c>
      <c r="AB11" s="25">
        <v>150000</v>
      </c>
      <c r="AC11" s="26">
        <v>150000</v>
      </c>
      <c r="AD11" s="24">
        <v>0</v>
      </c>
      <c r="AE11" s="27">
        <f>_xlfn.XLOOKUP(B11,'Projects Cashflow'!$B:$B,'Projects Cashflow'!$AG:$AG,0)</f>
        <v>150000</v>
      </c>
      <c r="AF11" s="28">
        <f t="shared" si="3"/>
        <v>0</v>
      </c>
    </row>
    <row r="12" spans="2:32" x14ac:dyDescent="0.3">
      <c r="B12" s="14" t="str">
        <f t="shared" si="1"/>
        <v>45191964511000685PR&amp;MediaCoverage-N1424781200104</v>
      </c>
      <c r="C12" s="21" t="s">
        <v>2957</v>
      </c>
      <c r="D12" s="22">
        <v>4519196</v>
      </c>
      <c r="E12" s="21" t="s">
        <v>842</v>
      </c>
      <c r="F12" s="22">
        <v>4511000685</v>
      </c>
      <c r="G12" s="21" t="s">
        <v>2963</v>
      </c>
      <c r="H12" s="21" t="s">
        <v>906</v>
      </c>
      <c r="I12" s="22">
        <v>424781</v>
      </c>
      <c r="J12" s="22">
        <v>200104</v>
      </c>
      <c r="K12" s="22" t="s">
        <v>2959</v>
      </c>
      <c r="L12" s="22">
        <v>70705</v>
      </c>
      <c r="M12" s="23" t="s">
        <v>2960</v>
      </c>
      <c r="N12" s="24">
        <v>0</v>
      </c>
      <c r="O12" s="24">
        <v>0</v>
      </c>
      <c r="P12" s="24">
        <v>0</v>
      </c>
      <c r="Q12" s="24">
        <v>298080</v>
      </c>
      <c r="R12" s="24">
        <v>74520</v>
      </c>
      <c r="S12" s="24">
        <v>74520</v>
      </c>
      <c r="T12" s="24">
        <v>74520</v>
      </c>
      <c r="U12" s="24">
        <v>74520</v>
      </c>
      <c r="V12" s="24">
        <v>74520</v>
      </c>
      <c r="W12" s="24">
        <v>74520</v>
      </c>
      <c r="X12" s="24">
        <v>74520</v>
      </c>
      <c r="Y12" s="24">
        <v>173880</v>
      </c>
      <c r="Z12" s="24">
        <f t="shared" si="2"/>
        <v>993600</v>
      </c>
      <c r="AB12" s="25">
        <v>993600</v>
      </c>
      <c r="AC12" s="26">
        <v>993600</v>
      </c>
      <c r="AD12" s="24">
        <v>0</v>
      </c>
      <c r="AE12" s="27">
        <f>_xlfn.XLOOKUP(B12,'Projects Cashflow'!$B:$B,'Projects Cashflow'!$AG:$AG,0)</f>
        <v>993600</v>
      </c>
      <c r="AF12" s="28">
        <f t="shared" si="3"/>
        <v>0</v>
      </c>
    </row>
    <row r="13" spans="2:32" x14ac:dyDescent="0.3">
      <c r="B13" s="14" t="str">
        <f t="shared" si="1"/>
        <v>45191964511000695Photo &amp; Video-N424221200104</v>
      </c>
      <c r="C13" s="21" t="s">
        <v>2957</v>
      </c>
      <c r="D13" s="22">
        <v>4519196</v>
      </c>
      <c r="E13" s="21" t="s">
        <v>842</v>
      </c>
      <c r="F13" s="22">
        <v>4511000695</v>
      </c>
      <c r="G13" s="21" t="s">
        <v>926</v>
      </c>
      <c r="H13" s="21" t="s">
        <v>927</v>
      </c>
      <c r="I13" s="22">
        <v>424221</v>
      </c>
      <c r="J13" s="22">
        <v>200104</v>
      </c>
      <c r="K13" s="22" t="s">
        <v>2959</v>
      </c>
      <c r="L13" s="22">
        <v>70704</v>
      </c>
      <c r="M13" s="23" t="s">
        <v>2960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285000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f t="shared" si="2"/>
        <v>285000</v>
      </c>
      <c r="AB13" s="25">
        <v>285000</v>
      </c>
      <c r="AC13" s="26">
        <v>285000</v>
      </c>
      <c r="AD13" s="24">
        <v>0</v>
      </c>
      <c r="AE13" s="27">
        <f>_xlfn.XLOOKUP(B13,'Projects Cashflow'!$B:$B,'Projects Cashflow'!$AG:$AG,0)</f>
        <v>285000</v>
      </c>
      <c r="AF13" s="28">
        <f t="shared" si="3"/>
        <v>0</v>
      </c>
    </row>
    <row r="14" spans="2:32" x14ac:dyDescent="0.3">
      <c r="B14" s="14" t="str">
        <f t="shared" si="1"/>
        <v>45191964511000729PR&amp;MediaCoverage-N1424781200104</v>
      </c>
      <c r="C14" s="21" t="s">
        <v>2957</v>
      </c>
      <c r="D14" s="22">
        <v>4519196</v>
      </c>
      <c r="E14" s="21" t="s">
        <v>842</v>
      </c>
      <c r="F14" s="22">
        <v>4511000729</v>
      </c>
      <c r="G14" s="21" t="s">
        <v>959</v>
      </c>
      <c r="H14" s="21" t="s">
        <v>906</v>
      </c>
      <c r="I14" s="22">
        <v>424781</v>
      </c>
      <c r="J14" s="22">
        <v>200104</v>
      </c>
      <c r="K14" s="22" t="s">
        <v>2959</v>
      </c>
      <c r="L14" s="22">
        <v>70704</v>
      </c>
      <c r="M14" s="23" t="s">
        <v>2961</v>
      </c>
      <c r="N14" s="24">
        <v>0</v>
      </c>
      <c r="O14" s="24">
        <v>0</v>
      </c>
      <c r="P14" s="24">
        <v>0</v>
      </c>
      <c r="Q14" s="24">
        <v>115000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f t="shared" si="2"/>
        <v>115000</v>
      </c>
      <c r="AB14" s="25">
        <v>290000</v>
      </c>
      <c r="AC14" s="26">
        <v>290000</v>
      </c>
      <c r="AD14" s="24">
        <v>0</v>
      </c>
      <c r="AE14" s="27">
        <f>_xlfn.XLOOKUP(B14,'Projects Cashflow'!$B:$B,'Projects Cashflow'!$AG:$AG,0)</f>
        <v>290000</v>
      </c>
      <c r="AF14" s="28">
        <f t="shared" si="3"/>
        <v>0</v>
      </c>
    </row>
    <row r="15" spans="2:32" x14ac:dyDescent="0.3">
      <c r="B15" s="14" t="str">
        <f t="shared" si="1"/>
        <v>45191964511000730PR&amp;MediaCoverage-N1424781200104</v>
      </c>
      <c r="C15" s="21" t="s">
        <v>2957</v>
      </c>
      <c r="D15" s="22">
        <v>4519196</v>
      </c>
      <c r="E15" s="21" t="s">
        <v>842</v>
      </c>
      <c r="F15" s="22">
        <v>4511000730</v>
      </c>
      <c r="G15" s="21" t="s">
        <v>970</v>
      </c>
      <c r="H15" s="21" t="s">
        <v>906</v>
      </c>
      <c r="I15" s="22">
        <v>424781</v>
      </c>
      <c r="J15" s="22">
        <v>200104</v>
      </c>
      <c r="K15" s="22" t="s">
        <v>2959</v>
      </c>
      <c r="L15" s="22">
        <v>70703</v>
      </c>
      <c r="M15" s="23" t="s">
        <v>2961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625000</v>
      </c>
      <c r="Y15" s="24">
        <v>0</v>
      </c>
      <c r="Z15" s="24">
        <f t="shared" si="2"/>
        <v>625000</v>
      </c>
      <c r="AB15" s="25">
        <v>625000</v>
      </c>
      <c r="AC15" s="26">
        <v>625000</v>
      </c>
      <c r="AD15" s="24">
        <v>0</v>
      </c>
      <c r="AE15" s="27">
        <f>_xlfn.XLOOKUP(B15,'Projects Cashflow'!$B:$B,'Projects Cashflow'!$AG:$AG,0)</f>
        <v>625000</v>
      </c>
      <c r="AF15" s="28">
        <f t="shared" si="3"/>
        <v>0</v>
      </c>
    </row>
    <row r="16" spans="2:32" x14ac:dyDescent="0.3">
      <c r="B16" s="14" t="str">
        <f t="shared" si="1"/>
        <v>45191964511000769Media Coverage-N1422511200104</v>
      </c>
      <c r="C16" s="21" t="s">
        <v>2957</v>
      </c>
      <c r="D16" s="22">
        <v>4519196</v>
      </c>
      <c r="E16" s="21" t="s">
        <v>842</v>
      </c>
      <c r="F16" s="22">
        <v>4511000769</v>
      </c>
      <c r="G16" s="21" t="s">
        <v>2964</v>
      </c>
      <c r="H16" s="21" t="s">
        <v>1047</v>
      </c>
      <c r="I16" s="22">
        <v>422511</v>
      </c>
      <c r="J16" s="22">
        <v>200104</v>
      </c>
      <c r="K16" s="22" t="s">
        <v>2959</v>
      </c>
      <c r="L16" s="22">
        <v>70702</v>
      </c>
      <c r="M16" s="23" t="s">
        <v>2961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1250000</v>
      </c>
      <c r="X16" s="24">
        <v>0</v>
      </c>
      <c r="Y16" s="24">
        <v>0</v>
      </c>
      <c r="Z16" s="24">
        <f t="shared" si="2"/>
        <v>1250000</v>
      </c>
      <c r="AB16" s="25">
        <v>1250000</v>
      </c>
      <c r="AC16" s="26">
        <v>1250000</v>
      </c>
      <c r="AD16" s="24">
        <v>0</v>
      </c>
      <c r="AE16" s="27">
        <f>_xlfn.XLOOKUP(B16,'Projects Cashflow'!$B:$B,'Projects Cashflow'!$AG:$AG,0)</f>
        <v>1250000</v>
      </c>
      <c r="AF16" s="28">
        <f t="shared" si="3"/>
        <v>0</v>
      </c>
    </row>
    <row r="17" spans="2:32" x14ac:dyDescent="0.3">
      <c r="B17" s="14" t="str">
        <f t="shared" si="1"/>
        <v>45191964511000769PR&amp;MediaCoverage-N1424781200104</v>
      </c>
      <c r="C17" s="21" t="s">
        <v>2957</v>
      </c>
      <c r="D17" s="22">
        <v>4519196</v>
      </c>
      <c r="E17" s="21" t="s">
        <v>842</v>
      </c>
      <c r="F17" s="22">
        <v>4511000769</v>
      </c>
      <c r="G17" s="21" t="s">
        <v>2964</v>
      </c>
      <c r="H17" s="21" t="s">
        <v>906</v>
      </c>
      <c r="I17" s="22">
        <v>424781</v>
      </c>
      <c r="J17" s="22">
        <v>200104</v>
      </c>
      <c r="K17" s="22" t="s">
        <v>2959</v>
      </c>
      <c r="L17" s="22">
        <v>70704</v>
      </c>
      <c r="M17" s="23" t="s">
        <v>2961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600000</v>
      </c>
      <c r="W17" s="24">
        <v>0</v>
      </c>
      <c r="X17" s="24">
        <v>0</v>
      </c>
      <c r="Y17" s="24">
        <v>0</v>
      </c>
      <c r="Z17" s="24">
        <f t="shared" si="2"/>
        <v>600000</v>
      </c>
      <c r="AB17" s="25">
        <v>600000</v>
      </c>
      <c r="AC17" s="26">
        <v>600000</v>
      </c>
      <c r="AD17" s="24">
        <v>0</v>
      </c>
      <c r="AE17" s="27">
        <f>_xlfn.XLOOKUP(B17,'Projects Cashflow'!$B:$B,'Projects Cashflow'!$AG:$AG,0)</f>
        <v>600000</v>
      </c>
      <c r="AF17" s="28">
        <f t="shared" si="3"/>
        <v>0</v>
      </c>
    </row>
    <row r="18" spans="2:32" x14ac:dyDescent="0.3">
      <c r="B18" s="14" t="str">
        <f t="shared" si="1"/>
        <v>45191964511000769Offline Ads-N1422511200104</v>
      </c>
      <c r="C18" s="21" t="s">
        <v>2957</v>
      </c>
      <c r="D18" s="22">
        <v>4519196</v>
      </c>
      <c r="E18" s="21" t="s">
        <v>842</v>
      </c>
      <c r="F18" s="22">
        <v>4511000769</v>
      </c>
      <c r="G18" s="21" t="s">
        <v>2964</v>
      </c>
      <c r="H18" s="21" t="s">
        <v>1049</v>
      </c>
      <c r="I18" s="22">
        <v>422511</v>
      </c>
      <c r="J18" s="22">
        <v>200104</v>
      </c>
      <c r="K18" s="22" t="s">
        <v>2959</v>
      </c>
      <c r="L18" s="22">
        <v>70704</v>
      </c>
      <c r="M18" s="23" t="s">
        <v>2961</v>
      </c>
      <c r="N18" s="24">
        <v>0</v>
      </c>
      <c r="O18" s="24">
        <v>0</v>
      </c>
      <c r="P18" s="24">
        <v>0</v>
      </c>
      <c r="Q18" s="24">
        <v>250000</v>
      </c>
      <c r="R18" s="24">
        <v>250000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f t="shared" si="2"/>
        <v>500000</v>
      </c>
      <c r="AB18" s="25">
        <v>500000</v>
      </c>
      <c r="AC18" s="26">
        <v>500000</v>
      </c>
      <c r="AD18" s="24">
        <v>0</v>
      </c>
      <c r="AE18" s="27">
        <f>_xlfn.XLOOKUP(B18,'Projects Cashflow'!$B:$B,'Projects Cashflow'!$AG:$AG,0)</f>
        <v>500000</v>
      </c>
      <c r="AF18" s="28">
        <f t="shared" si="3"/>
        <v>0</v>
      </c>
    </row>
    <row r="19" spans="2:32" x14ac:dyDescent="0.3">
      <c r="B19" s="14" t="str">
        <f t="shared" si="1"/>
        <v>45191964511000886SM Managnt E-E-N1422511200104</v>
      </c>
      <c r="C19" s="21" t="s">
        <v>2957</v>
      </c>
      <c r="D19" s="22">
        <v>4519196</v>
      </c>
      <c r="E19" s="21" t="s">
        <v>842</v>
      </c>
      <c r="F19" s="22">
        <v>4511000886</v>
      </c>
      <c r="G19" s="21" t="s">
        <v>1201</v>
      </c>
      <c r="H19" s="21" t="s">
        <v>1205</v>
      </c>
      <c r="I19" s="22">
        <v>422511</v>
      </c>
      <c r="J19" s="22">
        <v>200104</v>
      </c>
      <c r="K19" s="22" t="s">
        <v>2959</v>
      </c>
      <c r="L19" s="22">
        <v>70705</v>
      </c>
      <c r="M19" s="23" t="s">
        <v>2960</v>
      </c>
      <c r="N19" s="24">
        <v>0</v>
      </c>
      <c r="O19" s="24">
        <v>0</v>
      </c>
      <c r="P19" s="24">
        <v>736200</v>
      </c>
      <c r="Q19" s="24"/>
      <c r="R19" s="24">
        <v>736200</v>
      </c>
      <c r="S19" s="24">
        <v>736200</v>
      </c>
      <c r="T19" s="24">
        <v>368100</v>
      </c>
      <c r="U19" s="24">
        <v>368100</v>
      </c>
      <c r="V19" s="24">
        <v>368100</v>
      </c>
      <c r="W19" s="24">
        <v>368100</v>
      </c>
      <c r="X19" s="24">
        <v>368100</v>
      </c>
      <c r="Y19" s="24">
        <v>1840500</v>
      </c>
      <c r="Z19" s="24">
        <f t="shared" si="2"/>
        <v>5889600</v>
      </c>
      <c r="AB19" s="25">
        <v>5889600</v>
      </c>
      <c r="AC19" s="26">
        <v>5889600</v>
      </c>
      <c r="AD19" s="24">
        <v>0</v>
      </c>
      <c r="AE19" s="27">
        <f>_xlfn.XLOOKUP(B19,'Projects Cashflow'!$B:$B,'Projects Cashflow'!$AG:$AG,0)</f>
        <v>5889600</v>
      </c>
      <c r="AF19" s="28">
        <f t="shared" si="3"/>
        <v>0</v>
      </c>
    </row>
    <row r="20" spans="2:32" x14ac:dyDescent="0.3">
      <c r="B20" s="14" t="str">
        <f t="shared" si="1"/>
        <v>45191964511000886Online Ads-N1422511200104</v>
      </c>
      <c r="C20" s="21" t="s">
        <v>2957</v>
      </c>
      <c r="D20" s="22">
        <v>4519196</v>
      </c>
      <c r="E20" s="21" t="s">
        <v>842</v>
      </c>
      <c r="F20" s="22">
        <v>4511000886</v>
      </c>
      <c r="G20" s="21" t="s">
        <v>1201</v>
      </c>
      <c r="H20" s="21" t="s">
        <v>1202</v>
      </c>
      <c r="I20" s="22">
        <v>422511</v>
      </c>
      <c r="J20" s="22">
        <v>200104</v>
      </c>
      <c r="K20" s="22" t="s">
        <v>2959</v>
      </c>
      <c r="L20" s="22">
        <v>70705</v>
      </c>
      <c r="M20" s="23" t="s">
        <v>2960</v>
      </c>
      <c r="N20" s="24">
        <v>0</v>
      </c>
      <c r="O20" s="24">
        <v>0</v>
      </c>
      <c r="P20" s="24">
        <v>0</v>
      </c>
      <c r="Q20" s="24">
        <v>500000</v>
      </c>
      <c r="R20" s="24">
        <v>0</v>
      </c>
      <c r="S20" s="24">
        <v>334748</v>
      </c>
      <c r="T20" s="24">
        <v>0</v>
      </c>
      <c r="U20" s="24">
        <v>0</v>
      </c>
      <c r="V20" s="24">
        <v>300000</v>
      </c>
      <c r="W20" s="24">
        <v>0</v>
      </c>
      <c r="X20" s="24">
        <v>0</v>
      </c>
      <c r="Y20" s="24">
        <v>510036</v>
      </c>
      <c r="Z20" s="24">
        <f t="shared" si="2"/>
        <v>1644784</v>
      </c>
      <c r="AB20" s="25">
        <v>1930416</v>
      </c>
      <c r="AC20" s="26">
        <v>1930416</v>
      </c>
      <c r="AD20" s="24">
        <v>0</v>
      </c>
      <c r="AE20" s="27">
        <f>_xlfn.XLOOKUP(B20,'Projects Cashflow'!$B:$B,'Projects Cashflow'!$AG:$AG,0)</f>
        <v>1930416</v>
      </c>
      <c r="AF20" s="28">
        <f t="shared" si="3"/>
        <v>0</v>
      </c>
    </row>
    <row r="21" spans="2:32" x14ac:dyDescent="0.3">
      <c r="B21" s="14" t="str">
        <f t="shared" si="1"/>
        <v>45191964511000886SM Prodct&amp;Develp-N1422511200104</v>
      </c>
      <c r="C21" s="21" t="s">
        <v>2957</v>
      </c>
      <c r="D21" s="22">
        <v>4519196</v>
      </c>
      <c r="E21" s="21" t="s">
        <v>842</v>
      </c>
      <c r="F21" s="22">
        <v>4511000886</v>
      </c>
      <c r="G21" s="21" t="s">
        <v>1201</v>
      </c>
      <c r="H21" s="21" t="s">
        <v>1206</v>
      </c>
      <c r="I21" s="22">
        <v>422511</v>
      </c>
      <c r="J21" s="22">
        <v>200104</v>
      </c>
      <c r="K21" s="22" t="s">
        <v>2959</v>
      </c>
      <c r="L21" s="22">
        <v>70705</v>
      </c>
      <c r="M21" s="23" t="s">
        <v>2960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750000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f t="shared" si="2"/>
        <v>750000</v>
      </c>
      <c r="AB21" s="25">
        <v>750000</v>
      </c>
      <c r="AC21" s="26">
        <v>750000</v>
      </c>
      <c r="AD21" s="24">
        <v>0</v>
      </c>
      <c r="AE21" s="27">
        <f>_xlfn.XLOOKUP(B21,'Projects Cashflow'!$B:$B,'Projects Cashflow'!$AG:$AG,0)</f>
        <v>750000</v>
      </c>
      <c r="AF21" s="28">
        <f t="shared" si="3"/>
        <v>0</v>
      </c>
    </row>
    <row r="22" spans="2:32" x14ac:dyDescent="0.3">
      <c r="B22" s="14" t="str">
        <f t="shared" si="1"/>
        <v>45191964511000886Photo &amp; Video-N1424221200104</v>
      </c>
      <c r="C22" s="21" t="s">
        <v>2957</v>
      </c>
      <c r="D22" s="22">
        <v>4519196</v>
      </c>
      <c r="E22" s="21" t="s">
        <v>842</v>
      </c>
      <c r="F22" s="22">
        <v>4511000886</v>
      </c>
      <c r="G22" s="21" t="s">
        <v>1201</v>
      </c>
      <c r="H22" s="21" t="s">
        <v>1203</v>
      </c>
      <c r="I22" s="22">
        <v>424221</v>
      </c>
      <c r="J22" s="22">
        <v>200104</v>
      </c>
      <c r="K22" s="22" t="s">
        <v>2959</v>
      </c>
      <c r="L22" s="22">
        <v>70705</v>
      </c>
      <c r="M22" s="23" t="s">
        <v>2960</v>
      </c>
      <c r="N22" s="24">
        <v>0</v>
      </c>
      <c r="O22" s="24">
        <v>0</v>
      </c>
      <c r="P22" s="24">
        <v>0</v>
      </c>
      <c r="Q22" s="24">
        <v>250000</v>
      </c>
      <c r="R22" s="24">
        <v>250000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f t="shared" si="2"/>
        <v>500000</v>
      </c>
      <c r="AB22" s="25">
        <v>500000</v>
      </c>
      <c r="AC22" s="26">
        <v>500000</v>
      </c>
      <c r="AD22" s="24">
        <v>0</v>
      </c>
      <c r="AE22" s="27">
        <f>_xlfn.XLOOKUP(B22,'Projects Cashflow'!$B:$B,'Projects Cashflow'!$AG:$AG,0)</f>
        <v>500000</v>
      </c>
      <c r="AF22" s="28">
        <f t="shared" si="3"/>
        <v>0</v>
      </c>
    </row>
    <row r="23" spans="2:32" x14ac:dyDescent="0.3">
      <c r="B23" s="14" t="str">
        <f t="shared" si="1"/>
        <v>45191964511000887Freelancers-N1424521200104</v>
      </c>
      <c r="C23" s="21" t="s">
        <v>2957</v>
      </c>
      <c r="D23" s="22">
        <v>4519196</v>
      </c>
      <c r="E23" s="21" t="s">
        <v>842</v>
      </c>
      <c r="F23" s="22">
        <v>4511000887</v>
      </c>
      <c r="G23" s="21" t="s">
        <v>1208</v>
      </c>
      <c r="H23" s="21" t="s">
        <v>303</v>
      </c>
      <c r="I23" s="22">
        <v>424521</v>
      </c>
      <c r="J23" s="22">
        <v>200104</v>
      </c>
      <c r="K23" s="22" t="s">
        <v>2959</v>
      </c>
      <c r="L23" s="22">
        <v>70705</v>
      </c>
      <c r="M23" s="23" t="s">
        <v>2960</v>
      </c>
      <c r="N23" s="24">
        <v>0</v>
      </c>
      <c r="O23" s="24">
        <v>40000</v>
      </c>
      <c r="P23" s="24">
        <v>21333</v>
      </c>
      <c r="Q23" s="24">
        <v>41332</v>
      </c>
      <c r="R23" s="24">
        <v>40000</v>
      </c>
      <c r="S23" s="24">
        <v>58667</v>
      </c>
      <c r="T23" s="24">
        <v>58278</v>
      </c>
      <c r="U23" s="24">
        <v>58278</v>
      </c>
      <c r="V23" s="24">
        <v>58278</v>
      </c>
      <c r="W23" s="24">
        <v>58278</v>
      </c>
      <c r="X23" s="24">
        <v>58278</v>
      </c>
      <c r="Y23" s="24">
        <v>58278</v>
      </c>
      <c r="Z23" s="24">
        <f t="shared" si="2"/>
        <v>551000</v>
      </c>
      <c r="AB23" s="25">
        <v>460500</v>
      </c>
      <c r="AC23" s="26">
        <v>460500</v>
      </c>
      <c r="AD23" s="24">
        <v>0</v>
      </c>
      <c r="AE23" s="27">
        <f>_xlfn.XLOOKUP(B23,'Projects Cashflow'!$B:$B,'Projects Cashflow'!$AG:$AG,0)</f>
        <v>460500</v>
      </c>
      <c r="AF23" s="28">
        <f t="shared" si="3"/>
        <v>0</v>
      </c>
    </row>
    <row r="24" spans="2:32" x14ac:dyDescent="0.3">
      <c r="B24" s="14" t="str">
        <f t="shared" si="1"/>
        <v>45191964511000887Mission &amp; Travel-N1423821200104</v>
      </c>
      <c r="C24" s="21" t="s">
        <v>2957</v>
      </c>
      <c r="D24" s="22">
        <v>4519196</v>
      </c>
      <c r="E24" s="21" t="s">
        <v>842</v>
      </c>
      <c r="F24" s="22">
        <v>4511000887</v>
      </c>
      <c r="G24" s="21" t="s">
        <v>1208</v>
      </c>
      <c r="H24" s="21" t="s">
        <v>472</v>
      </c>
      <c r="I24" s="22">
        <v>423821</v>
      </c>
      <c r="J24" s="22">
        <v>200104</v>
      </c>
      <c r="K24" s="22" t="s">
        <v>2959</v>
      </c>
      <c r="L24" s="22">
        <v>70705</v>
      </c>
      <c r="M24" s="23" t="s">
        <v>2960</v>
      </c>
      <c r="N24" s="24">
        <v>0</v>
      </c>
      <c r="O24" s="26">
        <v>41500</v>
      </c>
      <c r="P24" s="24">
        <v>0</v>
      </c>
      <c r="Q24" s="24">
        <v>144000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22500</v>
      </c>
      <c r="Y24" s="24">
        <v>177000</v>
      </c>
      <c r="Z24" s="24">
        <f t="shared" si="2"/>
        <v>385000</v>
      </c>
      <c r="AB24" s="25">
        <v>385000</v>
      </c>
      <c r="AC24" s="26">
        <v>385000</v>
      </c>
      <c r="AD24" s="24">
        <v>0</v>
      </c>
      <c r="AE24" s="27">
        <f>_xlfn.XLOOKUP(B24,'Projects Cashflow'!$B:$B,'Projects Cashflow'!$AG:$AG,0)</f>
        <v>385000</v>
      </c>
      <c r="AF24" s="28">
        <f t="shared" si="3"/>
        <v>0</v>
      </c>
    </row>
    <row r="25" spans="2:32" x14ac:dyDescent="0.3">
      <c r="B25" s="14" t="str">
        <f t="shared" si="1"/>
        <v>45191964511000887E-E Ops and Prod-N1421125200104</v>
      </c>
      <c r="C25" s="21" t="s">
        <v>2957</v>
      </c>
      <c r="D25" s="22">
        <v>4519196</v>
      </c>
      <c r="E25" s="21" t="s">
        <v>842</v>
      </c>
      <c r="F25" s="22">
        <v>4511000887</v>
      </c>
      <c r="G25" s="21" t="s">
        <v>1208</v>
      </c>
      <c r="H25" s="29" t="s">
        <v>1209</v>
      </c>
      <c r="I25" s="30">
        <v>421125</v>
      </c>
      <c r="J25" s="22">
        <v>200104</v>
      </c>
      <c r="K25" s="22" t="s">
        <v>2959</v>
      </c>
      <c r="L25" s="22">
        <v>70705</v>
      </c>
      <c r="M25" s="23" t="s">
        <v>2961</v>
      </c>
      <c r="N25" s="24">
        <v>0</v>
      </c>
      <c r="O25" s="24">
        <v>0</v>
      </c>
      <c r="P25" s="24">
        <v>0</v>
      </c>
      <c r="Q25" s="24">
        <v>16000</v>
      </c>
      <c r="R25" s="24">
        <v>0</v>
      </c>
      <c r="S25" s="24">
        <v>16000</v>
      </c>
      <c r="T25" s="24">
        <v>0</v>
      </c>
      <c r="U25" s="24">
        <v>10000</v>
      </c>
      <c r="V25" s="24">
        <v>16000</v>
      </c>
      <c r="W25" s="24">
        <v>16000</v>
      </c>
      <c r="X25" s="24">
        <v>16000</v>
      </c>
      <c r="Y25" s="24">
        <v>10069</v>
      </c>
      <c r="Z25" s="24">
        <f t="shared" si="2"/>
        <v>100069</v>
      </c>
      <c r="AB25" s="25">
        <v>100069</v>
      </c>
      <c r="AC25" s="26">
        <v>100069</v>
      </c>
      <c r="AD25" s="24">
        <v>0</v>
      </c>
      <c r="AE25" s="27">
        <f>_xlfn.XLOOKUP(B25,'Projects Cashflow'!$B:$B,'Projects Cashflow'!$AG:$AG,0)</f>
        <v>100069</v>
      </c>
      <c r="AF25" s="28">
        <f t="shared" si="3"/>
        <v>0</v>
      </c>
    </row>
    <row r="26" spans="2:32" x14ac:dyDescent="0.3">
      <c r="B26" s="14" t="str">
        <f t="shared" si="1"/>
        <v>45191964511000887Hospitality-N1424761200104</v>
      </c>
      <c r="C26" s="21" t="s">
        <v>2957</v>
      </c>
      <c r="D26" s="22">
        <v>4519196</v>
      </c>
      <c r="E26" s="21" t="s">
        <v>842</v>
      </c>
      <c r="F26" s="22">
        <v>4511000887</v>
      </c>
      <c r="G26" s="21" t="s">
        <v>1208</v>
      </c>
      <c r="H26" s="21" t="s">
        <v>399</v>
      </c>
      <c r="I26" s="22">
        <v>424761</v>
      </c>
      <c r="J26" s="22">
        <v>200104</v>
      </c>
      <c r="K26" s="22" t="s">
        <v>2959</v>
      </c>
      <c r="L26" s="22">
        <v>70705</v>
      </c>
      <c r="M26" s="23" t="s">
        <v>2960</v>
      </c>
      <c r="N26" s="24">
        <v>0</v>
      </c>
      <c r="O26" s="24">
        <v>61333</v>
      </c>
      <c r="P26" s="24">
        <v>0</v>
      </c>
      <c r="Q26" s="24">
        <v>8667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30000</v>
      </c>
      <c r="Y26" s="24">
        <v>0</v>
      </c>
      <c r="Z26" s="24">
        <f t="shared" si="2"/>
        <v>100000</v>
      </c>
      <c r="AB26" s="25">
        <v>100000</v>
      </c>
      <c r="AC26" s="26">
        <v>100000</v>
      </c>
      <c r="AD26" s="24">
        <v>0</v>
      </c>
      <c r="AE26" s="27">
        <f>_xlfn.XLOOKUP(B26,'Projects Cashflow'!$B:$B,'Projects Cashflow'!$AG:$AG,0)</f>
        <v>100000</v>
      </c>
      <c r="AF26" s="28">
        <f t="shared" si="3"/>
        <v>0</v>
      </c>
    </row>
    <row r="27" spans="2:32" x14ac:dyDescent="0.3">
      <c r="B27" s="14" t="str">
        <f t="shared" si="1"/>
        <v>45191964511000890Brand Management-N1422511200104</v>
      </c>
      <c r="C27" s="21" t="s">
        <v>2957</v>
      </c>
      <c r="D27" s="22">
        <v>4519196</v>
      </c>
      <c r="E27" s="21" t="s">
        <v>842</v>
      </c>
      <c r="F27" s="22">
        <v>4511000890</v>
      </c>
      <c r="G27" s="21" t="s">
        <v>1219</v>
      </c>
      <c r="H27" s="21" t="s">
        <v>1220</v>
      </c>
      <c r="I27" s="22">
        <v>422511</v>
      </c>
      <c r="J27" s="22">
        <v>200104</v>
      </c>
      <c r="K27" s="22" t="s">
        <v>2959</v>
      </c>
      <c r="L27" s="22">
        <v>70705</v>
      </c>
      <c r="M27" s="23" t="s">
        <v>2960</v>
      </c>
      <c r="N27" s="24">
        <v>0</v>
      </c>
      <c r="O27" s="24">
        <v>12555</v>
      </c>
      <c r="P27" s="24">
        <v>79147.5</v>
      </c>
      <c r="Q27" s="24">
        <v>15877.5</v>
      </c>
      <c r="R27" s="24">
        <v>37745</v>
      </c>
      <c r="S27" s="24">
        <v>25190</v>
      </c>
      <c r="T27" s="24">
        <v>20263</v>
      </c>
      <c r="U27" s="24">
        <v>20263</v>
      </c>
      <c r="V27" s="24">
        <v>20263</v>
      </c>
      <c r="W27" s="24">
        <v>20263</v>
      </c>
      <c r="X27" s="24">
        <v>20263</v>
      </c>
      <c r="Y27" s="24">
        <v>9000</v>
      </c>
      <c r="Z27" s="24">
        <f t="shared" si="2"/>
        <v>280830</v>
      </c>
      <c r="AB27" s="25">
        <v>371330</v>
      </c>
      <c r="AC27" s="26">
        <v>371330</v>
      </c>
      <c r="AD27" s="24">
        <v>0</v>
      </c>
      <c r="AE27" s="27">
        <f>_xlfn.XLOOKUP(B27,'Projects Cashflow'!$B:$B,'Projects Cashflow'!$AG:$AG,0)</f>
        <v>371330</v>
      </c>
      <c r="AF27" s="28">
        <f t="shared" si="3"/>
        <v>0</v>
      </c>
    </row>
    <row r="28" spans="2:32" x14ac:dyDescent="0.3">
      <c r="B28" s="14" t="str">
        <f t="shared" si="1"/>
        <v>45191964511001500CampaignProductn-N422511200104</v>
      </c>
      <c r="C28" s="21" t="s">
        <v>2957</v>
      </c>
      <c r="D28" s="22">
        <v>4519196</v>
      </c>
      <c r="E28" s="21" t="s">
        <v>842</v>
      </c>
      <c r="F28" s="22">
        <v>4511001500</v>
      </c>
      <c r="G28" s="21" t="s">
        <v>1864</v>
      </c>
      <c r="H28" s="21" t="s">
        <v>1137</v>
      </c>
      <c r="I28" s="22">
        <v>422511</v>
      </c>
      <c r="J28" s="22">
        <v>200104</v>
      </c>
      <c r="K28" s="22" t="s">
        <v>2959</v>
      </c>
      <c r="L28" s="22">
        <v>70705</v>
      </c>
      <c r="M28" s="23" t="s">
        <v>2960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500000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f t="shared" si="2"/>
        <v>500000</v>
      </c>
      <c r="AB28" s="25">
        <v>500000</v>
      </c>
      <c r="AC28" s="26">
        <v>500000</v>
      </c>
      <c r="AD28" s="24">
        <v>0</v>
      </c>
      <c r="AE28" s="27">
        <f>_xlfn.XLOOKUP(B28,'Projects Cashflow'!$B:$B,'Projects Cashflow'!$AG:$AG,0)</f>
        <v>500000</v>
      </c>
      <c r="AF28" s="28">
        <f t="shared" si="3"/>
        <v>0</v>
      </c>
    </row>
    <row r="29" spans="2:32" x14ac:dyDescent="0.3">
      <c r="B29" s="14" t="str">
        <f t="shared" si="1"/>
        <v>45191974511000681Mission &amp; Travel-N1423821200104</v>
      </c>
      <c r="C29" s="21" t="s">
        <v>2957</v>
      </c>
      <c r="D29" s="22">
        <v>4519197</v>
      </c>
      <c r="E29" s="21" t="s">
        <v>902</v>
      </c>
      <c r="F29" s="22">
        <v>4511000681</v>
      </c>
      <c r="G29" s="21" t="s">
        <v>2965</v>
      </c>
      <c r="H29" s="21" t="s">
        <v>472</v>
      </c>
      <c r="I29" s="22">
        <v>423821</v>
      </c>
      <c r="J29" s="22">
        <v>200104</v>
      </c>
      <c r="K29" s="22" t="s">
        <v>2959</v>
      </c>
      <c r="L29" s="22">
        <v>70701</v>
      </c>
      <c r="M29" s="23" t="s">
        <v>2960</v>
      </c>
      <c r="N29" s="24">
        <v>0</v>
      </c>
      <c r="O29" s="24">
        <v>0</v>
      </c>
      <c r="P29" s="24">
        <v>0</v>
      </c>
      <c r="Q29" s="24">
        <v>0</v>
      </c>
      <c r="R29" s="24">
        <v>39000</v>
      </c>
      <c r="S29" s="24">
        <v>0</v>
      </c>
      <c r="T29" s="24">
        <v>0</v>
      </c>
      <c r="U29" s="24">
        <v>0</v>
      </c>
      <c r="V29" s="24">
        <v>0</v>
      </c>
      <c r="W29" s="24">
        <v>24000</v>
      </c>
      <c r="X29" s="24">
        <v>37000</v>
      </c>
      <c r="Y29" s="24">
        <v>0</v>
      </c>
      <c r="Z29" s="24">
        <f t="shared" si="2"/>
        <v>100000</v>
      </c>
      <c r="AB29" s="25">
        <v>100000</v>
      </c>
      <c r="AC29" s="26">
        <v>100000</v>
      </c>
      <c r="AD29" s="24">
        <v>0</v>
      </c>
      <c r="AE29" s="27">
        <f>_xlfn.XLOOKUP(B29,'Projects Cashflow'!$B:$B,'Projects Cashflow'!$AG:$AG,0)</f>
        <v>100000</v>
      </c>
      <c r="AF29" s="28">
        <f t="shared" si="3"/>
        <v>0</v>
      </c>
    </row>
    <row r="30" spans="2:32" x14ac:dyDescent="0.3">
      <c r="B30" s="14" t="str">
        <f t="shared" si="1"/>
        <v>45191974511000727Sponsorship Fees-N1424811200104</v>
      </c>
      <c r="C30" s="21" t="s">
        <v>2957</v>
      </c>
      <c r="D30" s="22">
        <v>4519197</v>
      </c>
      <c r="E30" s="21" t="s">
        <v>902</v>
      </c>
      <c r="F30" s="22">
        <v>4511000727</v>
      </c>
      <c r="G30" s="21" t="s">
        <v>2966</v>
      </c>
      <c r="H30" s="21" t="s">
        <v>29</v>
      </c>
      <c r="I30" s="22">
        <v>424811</v>
      </c>
      <c r="J30" s="22">
        <v>200104</v>
      </c>
      <c r="K30" s="22" t="s">
        <v>2959</v>
      </c>
      <c r="L30" s="22">
        <v>70701</v>
      </c>
      <c r="M30" s="23" t="s">
        <v>2960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2500000</v>
      </c>
      <c r="W30" s="24">
        <v>0</v>
      </c>
      <c r="X30" s="24">
        <v>0</v>
      </c>
      <c r="Y30" s="24">
        <v>0</v>
      </c>
      <c r="Z30" s="24">
        <f t="shared" si="2"/>
        <v>2500000</v>
      </c>
      <c r="AB30" s="25">
        <v>2500000</v>
      </c>
      <c r="AC30" s="26">
        <v>2500000</v>
      </c>
      <c r="AD30" s="24">
        <v>0</v>
      </c>
      <c r="AE30" s="27">
        <f>_xlfn.XLOOKUP(B30,'Projects Cashflow'!$B:$B,'Projects Cashflow'!$AG:$AG,0)</f>
        <v>2500000</v>
      </c>
      <c r="AF30" s="28">
        <f t="shared" si="3"/>
        <v>0</v>
      </c>
    </row>
    <row r="31" spans="2:32" x14ac:dyDescent="0.3">
      <c r="B31" s="14" t="str">
        <f t="shared" si="1"/>
        <v>45191974511000728Freelancers-N424521200104</v>
      </c>
      <c r="C31" s="21" t="s">
        <v>2957</v>
      </c>
      <c r="D31" s="22">
        <v>4519197</v>
      </c>
      <c r="E31" s="21" t="s">
        <v>902</v>
      </c>
      <c r="F31" s="22">
        <v>4511000728</v>
      </c>
      <c r="G31" s="21" t="s">
        <v>956</v>
      </c>
      <c r="H31" s="21" t="s">
        <v>50</v>
      </c>
      <c r="I31" s="22">
        <v>424521</v>
      </c>
      <c r="J31" s="22">
        <v>200104</v>
      </c>
      <c r="K31" s="22" t="s">
        <v>2959</v>
      </c>
      <c r="L31" s="22">
        <v>70704</v>
      </c>
      <c r="M31" s="23" t="s">
        <v>2960</v>
      </c>
      <c r="N31" s="24">
        <v>0</v>
      </c>
      <c r="O31" s="24">
        <v>36500</v>
      </c>
      <c r="P31" s="24">
        <v>36500</v>
      </c>
      <c r="Q31" s="24">
        <v>73000</v>
      </c>
      <c r="R31" s="24">
        <v>36500</v>
      </c>
      <c r="S31" s="24">
        <v>36500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0</v>
      </c>
      <c r="Z31" s="24">
        <f t="shared" si="2"/>
        <v>219000</v>
      </c>
      <c r="AB31" s="25">
        <v>219000</v>
      </c>
      <c r="AC31" s="26">
        <v>219000</v>
      </c>
      <c r="AD31" s="24">
        <v>0</v>
      </c>
      <c r="AE31" s="27">
        <f>_xlfn.XLOOKUP(B31,'Projects Cashflow'!$B:$B,'Projects Cashflow'!$AG:$AG,0)</f>
        <v>219000</v>
      </c>
      <c r="AF31" s="28">
        <f t="shared" si="3"/>
        <v>0</v>
      </c>
    </row>
    <row r="32" spans="2:32" x14ac:dyDescent="0.3">
      <c r="B32" s="14" t="str">
        <f t="shared" si="1"/>
        <v>45191974511000765Print Runs-N1424791200104</v>
      </c>
      <c r="C32" s="21" t="s">
        <v>2957</v>
      </c>
      <c r="D32" s="22">
        <v>4519197</v>
      </c>
      <c r="E32" s="21" t="s">
        <v>902</v>
      </c>
      <c r="F32" s="22">
        <v>4511000765</v>
      </c>
      <c r="G32" s="21" t="s">
        <v>2967</v>
      </c>
      <c r="H32" s="21" t="s">
        <v>307</v>
      </c>
      <c r="I32" s="22">
        <v>424791</v>
      </c>
      <c r="J32" s="22">
        <v>200104</v>
      </c>
      <c r="K32" s="22" t="s">
        <v>2959</v>
      </c>
      <c r="L32" s="22">
        <v>70701</v>
      </c>
      <c r="M32" s="23" t="s">
        <v>2960</v>
      </c>
      <c r="N32" s="24">
        <v>0</v>
      </c>
      <c r="O32" s="24">
        <v>0</v>
      </c>
      <c r="P32" s="24">
        <v>0</v>
      </c>
      <c r="Q32" s="24">
        <v>100000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f t="shared" si="2"/>
        <v>100000</v>
      </c>
      <c r="AB32" s="25">
        <v>100000</v>
      </c>
      <c r="AC32" s="26">
        <v>100000</v>
      </c>
      <c r="AD32" s="24">
        <v>0</v>
      </c>
      <c r="AE32" s="27">
        <f>_xlfn.XLOOKUP(B32,'Projects Cashflow'!$B:$B,'Projects Cashflow'!$AG:$AG,0)</f>
        <v>100000</v>
      </c>
      <c r="AF32" s="28">
        <f t="shared" si="3"/>
        <v>0</v>
      </c>
    </row>
    <row r="33" spans="2:32" x14ac:dyDescent="0.3">
      <c r="B33" s="14" t="str">
        <f t="shared" si="1"/>
        <v>45191974511000765Research&amp;Survey-N1423411200104</v>
      </c>
      <c r="C33" s="21" t="s">
        <v>2957</v>
      </c>
      <c r="D33" s="22">
        <v>4519197</v>
      </c>
      <c r="E33" s="21" t="s">
        <v>902</v>
      </c>
      <c r="F33" s="22">
        <v>4511000765</v>
      </c>
      <c r="G33" s="21" t="s">
        <v>2967</v>
      </c>
      <c r="H33" s="21" t="s">
        <v>1033</v>
      </c>
      <c r="I33" s="22">
        <v>423411</v>
      </c>
      <c r="J33" s="22">
        <v>200104</v>
      </c>
      <c r="K33" s="22" t="s">
        <v>2959</v>
      </c>
      <c r="L33" s="22">
        <v>70701</v>
      </c>
      <c r="M33" s="23" t="s">
        <v>2960</v>
      </c>
      <c r="N33" s="24">
        <v>0</v>
      </c>
      <c r="O33" s="24">
        <v>0</v>
      </c>
      <c r="P33" s="24">
        <v>0</v>
      </c>
      <c r="Q33" s="24">
        <v>21500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71580</v>
      </c>
      <c r="Y33" s="24">
        <v>0</v>
      </c>
      <c r="Z33" s="24">
        <f t="shared" si="2"/>
        <v>93080</v>
      </c>
      <c r="AB33" s="25">
        <v>93080</v>
      </c>
      <c r="AC33" s="26">
        <v>93080</v>
      </c>
      <c r="AD33" s="24">
        <v>0</v>
      </c>
      <c r="AE33" s="27">
        <f>_xlfn.XLOOKUP(B33,'Projects Cashflow'!$B:$B,'Projects Cashflow'!$AG:$AG,0)</f>
        <v>93080</v>
      </c>
      <c r="AF33" s="28">
        <f t="shared" si="3"/>
        <v>0</v>
      </c>
    </row>
    <row r="34" spans="2:32" x14ac:dyDescent="0.3">
      <c r="B34" s="14" t="str">
        <f t="shared" si="1"/>
        <v>45191974511000766CampaignProductn-N1422511200104</v>
      </c>
      <c r="C34" s="21" t="s">
        <v>2957</v>
      </c>
      <c r="D34" s="22">
        <v>4519197</v>
      </c>
      <c r="E34" s="21" t="s">
        <v>902</v>
      </c>
      <c r="F34" s="22">
        <v>4511000766</v>
      </c>
      <c r="G34" s="21" t="s">
        <v>2968</v>
      </c>
      <c r="H34" s="21" t="s">
        <v>840</v>
      </c>
      <c r="I34" s="22">
        <v>422511</v>
      </c>
      <c r="J34" s="22">
        <v>200104</v>
      </c>
      <c r="K34" s="22" t="s">
        <v>2959</v>
      </c>
      <c r="L34" s="22">
        <v>70703</v>
      </c>
      <c r="M34" s="23" t="s">
        <v>2960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200000</v>
      </c>
      <c r="V34" s="24">
        <v>0</v>
      </c>
      <c r="W34" s="24">
        <v>0</v>
      </c>
      <c r="X34" s="24">
        <v>200000</v>
      </c>
      <c r="Y34" s="24">
        <v>0</v>
      </c>
      <c r="Z34" s="24">
        <f t="shared" si="2"/>
        <v>400000</v>
      </c>
      <c r="AB34" s="25">
        <v>400000</v>
      </c>
      <c r="AC34" s="26">
        <v>400000</v>
      </c>
      <c r="AD34" s="24">
        <v>0</v>
      </c>
      <c r="AE34" s="27">
        <f>_xlfn.XLOOKUP(B34,'Projects Cashflow'!$B:$B,'Projects Cashflow'!$AG:$AG,0)</f>
        <v>400000</v>
      </c>
      <c r="AF34" s="28">
        <f t="shared" si="3"/>
        <v>0</v>
      </c>
    </row>
    <row r="35" spans="2:32" x14ac:dyDescent="0.3">
      <c r="B35" s="14" t="str">
        <f t="shared" si="1"/>
        <v>45191974511000766Awards &amp; Prizes-N1424231200104</v>
      </c>
      <c r="C35" s="21" t="s">
        <v>2957</v>
      </c>
      <c r="D35" s="22">
        <v>4519197</v>
      </c>
      <c r="E35" s="21" t="s">
        <v>902</v>
      </c>
      <c r="F35" s="22">
        <v>4511000766</v>
      </c>
      <c r="G35" s="21" t="s">
        <v>2968</v>
      </c>
      <c r="H35" s="21" t="s">
        <v>1037</v>
      </c>
      <c r="I35" s="22">
        <v>424231</v>
      </c>
      <c r="J35" s="22">
        <v>200104</v>
      </c>
      <c r="K35" s="22" t="s">
        <v>2959</v>
      </c>
      <c r="L35" s="22">
        <v>70702</v>
      </c>
      <c r="M35" s="23" t="s">
        <v>2960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45000</v>
      </c>
      <c r="W35" s="24">
        <v>0</v>
      </c>
      <c r="X35" s="24">
        <v>0</v>
      </c>
      <c r="Y35" s="24">
        <v>0</v>
      </c>
      <c r="Z35" s="24">
        <f t="shared" si="2"/>
        <v>45000</v>
      </c>
      <c r="AB35" s="25">
        <v>45000</v>
      </c>
      <c r="AC35" s="26">
        <v>45000</v>
      </c>
      <c r="AD35" s="24">
        <v>0</v>
      </c>
      <c r="AE35" s="27">
        <f>_xlfn.XLOOKUP(B35,'Projects Cashflow'!$B:$B,'Projects Cashflow'!$AG:$AG,0)</f>
        <v>45000</v>
      </c>
      <c r="AF35" s="28">
        <f t="shared" si="3"/>
        <v>0</v>
      </c>
    </row>
    <row r="36" spans="2:32" x14ac:dyDescent="0.3">
      <c r="B36" s="14" t="str">
        <f t="shared" si="1"/>
        <v>45191974511000882Sponsorship Fees-N1424811200104</v>
      </c>
      <c r="C36" s="21" t="s">
        <v>2957</v>
      </c>
      <c r="D36" s="22">
        <v>4519197</v>
      </c>
      <c r="E36" s="21" t="s">
        <v>902</v>
      </c>
      <c r="F36" s="22">
        <v>4511000882</v>
      </c>
      <c r="G36" s="21" t="s">
        <v>1195</v>
      </c>
      <c r="H36" s="21" t="s">
        <v>29</v>
      </c>
      <c r="I36" s="22">
        <v>424811</v>
      </c>
      <c r="J36" s="22">
        <v>200104</v>
      </c>
      <c r="K36" s="22" t="s">
        <v>2959</v>
      </c>
      <c r="L36" s="22">
        <v>70702</v>
      </c>
      <c r="M36" s="23" t="s">
        <v>2961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200000</v>
      </c>
      <c r="T36" s="24">
        <v>0</v>
      </c>
      <c r="U36" s="24">
        <v>0</v>
      </c>
      <c r="V36" s="24">
        <v>340000</v>
      </c>
      <c r="W36" s="24">
        <v>0</v>
      </c>
      <c r="X36" s="24">
        <v>340000</v>
      </c>
      <c r="Y36" s="24">
        <v>0</v>
      </c>
      <c r="Z36" s="24">
        <f t="shared" si="2"/>
        <v>880000</v>
      </c>
      <c r="AB36" s="25">
        <v>880000</v>
      </c>
      <c r="AC36" s="26">
        <v>880000</v>
      </c>
      <c r="AD36" s="24">
        <v>0</v>
      </c>
      <c r="AE36" s="27">
        <f>_xlfn.XLOOKUP(B36,'Projects Cashflow'!$B:$B,'Projects Cashflow'!$AG:$AG,0)</f>
        <v>880000</v>
      </c>
      <c r="AF36" s="28">
        <f t="shared" si="3"/>
        <v>0</v>
      </c>
    </row>
    <row r="37" spans="2:32" x14ac:dyDescent="0.3">
      <c r="B37" s="14" t="str">
        <f t="shared" si="1"/>
        <v>45191974511001501Research Grants-N423411200104</v>
      </c>
      <c r="C37" s="21" t="s">
        <v>2957</v>
      </c>
      <c r="D37" s="22">
        <v>4519197</v>
      </c>
      <c r="E37" s="21" t="s">
        <v>902</v>
      </c>
      <c r="F37" s="22">
        <v>4511001501</v>
      </c>
      <c r="G37" s="21" t="s">
        <v>1866</v>
      </c>
      <c r="H37" s="21" t="s">
        <v>1869</v>
      </c>
      <c r="I37" s="22">
        <v>423411</v>
      </c>
      <c r="J37" s="22">
        <v>200104</v>
      </c>
      <c r="K37" s="22" t="s">
        <v>2959</v>
      </c>
      <c r="L37" s="22">
        <v>70702</v>
      </c>
      <c r="M37" s="23" t="s">
        <v>2960</v>
      </c>
      <c r="N37" s="24">
        <v>0</v>
      </c>
      <c r="O37" s="24">
        <v>0</v>
      </c>
      <c r="P37" s="24">
        <v>4000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446000</v>
      </c>
      <c r="Z37" s="24">
        <f t="shared" si="2"/>
        <v>450000</v>
      </c>
      <c r="AB37" s="25">
        <v>450000</v>
      </c>
      <c r="AC37" s="26">
        <v>450000</v>
      </c>
      <c r="AD37" s="24">
        <v>0</v>
      </c>
      <c r="AE37" s="27">
        <f>_xlfn.XLOOKUP(B37,'Projects Cashflow'!$B:$B,'Projects Cashflow'!$AG:$AG,0)</f>
        <v>450000</v>
      </c>
      <c r="AF37" s="28">
        <f t="shared" si="3"/>
        <v>0</v>
      </c>
    </row>
    <row r="38" spans="2:32" x14ac:dyDescent="0.3">
      <c r="B38" s="14" t="str">
        <f t="shared" si="1"/>
        <v>45191974511001501Print Runs-N424791200104</v>
      </c>
      <c r="C38" s="21" t="s">
        <v>2957</v>
      </c>
      <c r="D38" s="22">
        <v>4519197</v>
      </c>
      <c r="E38" s="21" t="s">
        <v>902</v>
      </c>
      <c r="F38" s="22">
        <v>4511001501</v>
      </c>
      <c r="G38" s="21" t="s">
        <v>1866</v>
      </c>
      <c r="H38" s="21" t="s">
        <v>304</v>
      </c>
      <c r="I38" s="22">
        <v>424791</v>
      </c>
      <c r="J38" s="22">
        <v>200104</v>
      </c>
      <c r="K38" s="22" t="s">
        <v>2959</v>
      </c>
      <c r="L38" s="22">
        <v>70702</v>
      </c>
      <c r="M38" s="23" t="s">
        <v>2960</v>
      </c>
      <c r="N38" s="24">
        <v>0</v>
      </c>
      <c r="O38" s="24">
        <v>0</v>
      </c>
      <c r="P38" s="24">
        <v>0</v>
      </c>
      <c r="Q38" s="24">
        <v>0</v>
      </c>
      <c r="R38" s="24">
        <v>130000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f t="shared" si="2"/>
        <v>130000</v>
      </c>
      <c r="AB38" s="25">
        <v>130000</v>
      </c>
      <c r="AC38" s="26">
        <v>130000</v>
      </c>
      <c r="AD38" s="24">
        <v>0</v>
      </c>
      <c r="AE38" s="27">
        <f>_xlfn.XLOOKUP(B38,'Projects Cashflow'!$B:$B,'Projects Cashflow'!$AG:$AG,0)</f>
        <v>130000</v>
      </c>
      <c r="AF38" s="28">
        <f t="shared" si="3"/>
        <v>0</v>
      </c>
    </row>
    <row r="39" spans="2:32" x14ac:dyDescent="0.3">
      <c r="B39" s="14" t="str">
        <f t="shared" si="1"/>
        <v>45191974511001501Editing&amp;Proof-N424791200104</v>
      </c>
      <c r="C39" s="21" t="s">
        <v>2957</v>
      </c>
      <c r="D39" s="22">
        <v>4519197</v>
      </c>
      <c r="E39" s="21" t="s">
        <v>902</v>
      </c>
      <c r="F39" s="22">
        <v>4511001501</v>
      </c>
      <c r="G39" s="21" t="s">
        <v>1866</v>
      </c>
      <c r="H39" s="21" t="s">
        <v>1867</v>
      </c>
      <c r="I39" s="22">
        <v>424791</v>
      </c>
      <c r="J39" s="22">
        <v>200104</v>
      </c>
      <c r="K39" s="22" t="s">
        <v>2959</v>
      </c>
      <c r="L39" s="22">
        <v>70702</v>
      </c>
      <c r="M39" s="23" t="s">
        <v>2960</v>
      </c>
      <c r="N39" s="24">
        <v>0</v>
      </c>
      <c r="O39" s="24">
        <v>0</v>
      </c>
      <c r="P39" s="24">
        <v>0</v>
      </c>
      <c r="Q39" s="24">
        <v>0</v>
      </c>
      <c r="R39" s="24">
        <v>90000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f t="shared" si="2"/>
        <v>90000</v>
      </c>
      <c r="AB39" s="25">
        <v>90000</v>
      </c>
      <c r="AC39" s="26">
        <v>90000</v>
      </c>
      <c r="AD39" s="24">
        <v>0</v>
      </c>
      <c r="AE39" s="27">
        <f>_xlfn.XLOOKUP(B39,'Projects Cashflow'!$B:$B,'Projects Cashflow'!$AG:$AG,0)</f>
        <v>90000</v>
      </c>
      <c r="AF39" s="28">
        <f t="shared" si="3"/>
        <v>0</v>
      </c>
    </row>
    <row r="40" spans="2:32" x14ac:dyDescent="0.3">
      <c r="B40" s="14" t="str">
        <f t="shared" si="1"/>
        <v>45191974511001502Management Advice-N2424521200104</v>
      </c>
      <c r="C40" s="21" t="s">
        <v>2957</v>
      </c>
      <c r="D40" s="22">
        <v>4519197</v>
      </c>
      <c r="E40" s="21" t="s">
        <v>902</v>
      </c>
      <c r="F40" s="22">
        <v>4511001502</v>
      </c>
      <c r="G40" s="21" t="s">
        <v>1872</v>
      </c>
      <c r="H40" s="31" t="s">
        <v>1873</v>
      </c>
      <c r="I40" s="22">
        <v>424521</v>
      </c>
      <c r="J40" s="22">
        <v>200104</v>
      </c>
      <c r="K40" s="22" t="s">
        <v>2959</v>
      </c>
      <c r="L40" s="22">
        <v>70701</v>
      </c>
      <c r="M40" s="23" t="s">
        <v>2960</v>
      </c>
      <c r="N40" s="24">
        <v>0</v>
      </c>
      <c r="O40" s="24">
        <v>0</v>
      </c>
      <c r="P40" s="24">
        <v>0</v>
      </c>
      <c r="Q40" s="24">
        <v>225000</v>
      </c>
      <c r="R40" s="24">
        <v>0</v>
      </c>
      <c r="S40" s="24">
        <v>425000</v>
      </c>
      <c r="T40" s="24">
        <v>0</v>
      </c>
      <c r="U40" s="24">
        <v>750000</v>
      </c>
      <c r="V40" s="24">
        <v>0</v>
      </c>
      <c r="W40" s="24">
        <v>120000</v>
      </c>
      <c r="X40" s="24">
        <v>0</v>
      </c>
      <c r="Y40" s="24">
        <v>0</v>
      </c>
      <c r="Z40" s="24">
        <f t="shared" si="2"/>
        <v>1520000</v>
      </c>
      <c r="AB40" s="25">
        <v>1520000</v>
      </c>
      <c r="AC40" s="26">
        <v>1520000</v>
      </c>
      <c r="AD40" s="24">
        <v>0</v>
      </c>
      <c r="AE40" s="27">
        <f>_xlfn.XLOOKUP(B40,'Projects Cashflow'!$B:$B,'Projects Cashflow'!$AG:$AG,0)</f>
        <v>1520000</v>
      </c>
      <c r="AF40" s="28">
        <f t="shared" si="3"/>
        <v>0</v>
      </c>
    </row>
    <row r="41" spans="2:32" x14ac:dyDescent="0.3">
      <c r="B41" s="14" t="str">
        <f t="shared" si="1"/>
        <v>45191974511001503Print Runs-N424791200104</v>
      </c>
      <c r="C41" s="21" t="s">
        <v>2957</v>
      </c>
      <c r="D41" s="22">
        <v>4519197</v>
      </c>
      <c r="E41" s="21" t="s">
        <v>902</v>
      </c>
      <c r="F41" s="22">
        <v>4511001503</v>
      </c>
      <c r="G41" s="21" t="s">
        <v>1876</v>
      </c>
      <c r="H41" s="21" t="s">
        <v>304</v>
      </c>
      <c r="I41" s="22">
        <v>424791</v>
      </c>
      <c r="J41" s="22">
        <v>200104</v>
      </c>
      <c r="K41" s="22" t="s">
        <v>2959</v>
      </c>
      <c r="L41" s="22">
        <v>70704</v>
      </c>
      <c r="M41" s="23" t="s">
        <v>2969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550000</v>
      </c>
      <c r="Z41" s="24">
        <f t="shared" si="2"/>
        <v>550000</v>
      </c>
      <c r="AB41" s="25">
        <v>550000</v>
      </c>
      <c r="AC41" s="26">
        <v>550000</v>
      </c>
      <c r="AD41" s="24">
        <v>0</v>
      </c>
      <c r="AE41" s="27">
        <f>_xlfn.XLOOKUP(B41,'Projects Cashflow'!$B:$B,'Projects Cashflow'!$AG:$AG,0)</f>
        <v>550000</v>
      </c>
      <c r="AF41" s="28">
        <f t="shared" si="3"/>
        <v>0</v>
      </c>
    </row>
    <row r="42" spans="2:32" x14ac:dyDescent="0.3">
      <c r="B42" s="14" t="str">
        <f t="shared" si="1"/>
        <v>45191974511001504Research&amp;Survey-N423411200104</v>
      </c>
      <c r="C42" s="21" t="s">
        <v>2957</v>
      </c>
      <c r="D42" s="22">
        <v>4519197</v>
      </c>
      <c r="E42" s="21" t="s">
        <v>902</v>
      </c>
      <c r="F42" s="22">
        <v>4511001504</v>
      </c>
      <c r="G42" s="21" t="s">
        <v>1879</v>
      </c>
      <c r="H42" s="21" t="s">
        <v>381</v>
      </c>
      <c r="I42" s="22">
        <v>423411</v>
      </c>
      <c r="J42" s="22">
        <v>200104</v>
      </c>
      <c r="K42" s="22" t="s">
        <v>2959</v>
      </c>
      <c r="L42" s="22">
        <v>70704</v>
      </c>
      <c r="M42" s="23" t="s">
        <v>2960</v>
      </c>
      <c r="N42" s="24">
        <v>0</v>
      </c>
      <c r="O42" s="24">
        <v>0</v>
      </c>
      <c r="P42" s="24">
        <v>310000</v>
      </c>
      <c r="Q42" s="24">
        <v>120000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f t="shared" si="2"/>
        <v>430000</v>
      </c>
      <c r="AB42" s="25">
        <v>430000</v>
      </c>
      <c r="AC42" s="26">
        <v>430000</v>
      </c>
      <c r="AD42" s="24">
        <v>0</v>
      </c>
      <c r="AE42" s="27">
        <f>_xlfn.XLOOKUP(B42,'Projects Cashflow'!$B:$B,'Projects Cashflow'!$AG:$AG,0)</f>
        <v>430000</v>
      </c>
      <c r="AF42" s="28">
        <f t="shared" si="3"/>
        <v>0</v>
      </c>
    </row>
    <row r="43" spans="2:32" x14ac:dyDescent="0.3">
      <c r="B43" s="14" t="str">
        <f t="shared" si="1"/>
        <v>45191974511001504Print Runs-N424791200104</v>
      </c>
      <c r="C43" s="21" t="s">
        <v>2957</v>
      </c>
      <c r="D43" s="22">
        <v>4519197</v>
      </c>
      <c r="E43" s="21" t="s">
        <v>902</v>
      </c>
      <c r="F43" s="22">
        <v>4511001504</v>
      </c>
      <c r="G43" s="21" t="s">
        <v>1879</v>
      </c>
      <c r="H43" s="21" t="s">
        <v>304</v>
      </c>
      <c r="I43" s="22">
        <v>424791</v>
      </c>
      <c r="J43" s="22">
        <v>200104</v>
      </c>
      <c r="K43" s="22" t="s">
        <v>2959</v>
      </c>
      <c r="L43" s="22">
        <v>70704</v>
      </c>
      <c r="M43" s="23" t="s">
        <v>2960</v>
      </c>
      <c r="N43" s="24">
        <v>0</v>
      </c>
      <c r="O43" s="24">
        <v>0</v>
      </c>
      <c r="P43" s="24">
        <v>0</v>
      </c>
      <c r="Q43" s="24">
        <v>100000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f t="shared" si="2"/>
        <v>100000</v>
      </c>
      <c r="AB43" s="25">
        <v>100000</v>
      </c>
      <c r="AC43" s="26">
        <v>100000</v>
      </c>
      <c r="AD43" s="24">
        <v>0</v>
      </c>
      <c r="AE43" s="27">
        <f>_xlfn.XLOOKUP(B43,'Projects Cashflow'!$B:$B,'Projects Cashflow'!$AG:$AG,0)</f>
        <v>100000</v>
      </c>
      <c r="AF43" s="28">
        <f t="shared" si="3"/>
        <v>0</v>
      </c>
    </row>
    <row r="44" spans="2:32" x14ac:dyDescent="0.3">
      <c r="B44" s="14" t="str">
        <f t="shared" si="1"/>
        <v>45191994511000291Print Runs-N1424791200104</v>
      </c>
      <c r="C44" s="21" t="s">
        <v>2957</v>
      </c>
      <c r="D44" s="22">
        <v>4519199</v>
      </c>
      <c r="E44" s="21" t="s">
        <v>393</v>
      </c>
      <c r="F44" s="22">
        <v>4511000291</v>
      </c>
      <c r="G44" s="21" t="s">
        <v>390</v>
      </c>
      <c r="H44" s="21" t="s">
        <v>307</v>
      </c>
      <c r="I44" s="22">
        <v>424791</v>
      </c>
      <c r="J44" s="22">
        <v>200104</v>
      </c>
      <c r="K44" s="22" t="s">
        <v>2959</v>
      </c>
      <c r="L44" s="22">
        <v>70704</v>
      </c>
      <c r="M44" s="23" t="s">
        <v>2960</v>
      </c>
      <c r="N44" s="24">
        <v>0</v>
      </c>
      <c r="O44" s="24">
        <v>0</v>
      </c>
      <c r="P44" s="24">
        <v>0</v>
      </c>
      <c r="Q44" s="24">
        <v>0</v>
      </c>
      <c r="R44" s="24">
        <v>40000</v>
      </c>
      <c r="S44" s="24">
        <v>0</v>
      </c>
      <c r="T44" s="24">
        <v>0</v>
      </c>
      <c r="U44" s="24">
        <v>38923</v>
      </c>
      <c r="V44" s="24">
        <v>0</v>
      </c>
      <c r="W44" s="24">
        <v>35000</v>
      </c>
      <c r="X44" s="24">
        <v>35000</v>
      </c>
      <c r="Y44" s="24">
        <v>0</v>
      </c>
      <c r="Z44" s="24">
        <f t="shared" si="2"/>
        <v>148923</v>
      </c>
      <c r="AB44" s="25">
        <v>148923</v>
      </c>
      <c r="AC44" s="26">
        <v>148923</v>
      </c>
      <c r="AD44" s="24">
        <v>0</v>
      </c>
      <c r="AE44" s="27">
        <f>_xlfn.XLOOKUP(B44,'Projects Cashflow'!$B:$B,'Projects Cashflow'!$AG:$AG,0)</f>
        <v>148923</v>
      </c>
      <c r="AF44" s="28">
        <f t="shared" si="3"/>
        <v>0</v>
      </c>
    </row>
    <row r="45" spans="2:32" x14ac:dyDescent="0.3">
      <c r="B45" s="14" t="str">
        <f t="shared" si="1"/>
        <v>45191994511000291Hospitality-N1424761200104</v>
      </c>
      <c r="C45" s="21" t="s">
        <v>2957</v>
      </c>
      <c r="D45" s="22">
        <v>4519199</v>
      </c>
      <c r="E45" s="21" t="s">
        <v>393</v>
      </c>
      <c r="F45" s="22">
        <v>4511000291</v>
      </c>
      <c r="G45" s="21" t="s">
        <v>390</v>
      </c>
      <c r="H45" s="21" t="s">
        <v>399</v>
      </c>
      <c r="I45" s="22">
        <v>424761</v>
      </c>
      <c r="J45" s="22">
        <v>200104</v>
      </c>
      <c r="K45" s="22" t="s">
        <v>2959</v>
      </c>
      <c r="L45" s="22">
        <v>70704</v>
      </c>
      <c r="M45" s="23" t="s">
        <v>2960</v>
      </c>
      <c r="N45" s="24">
        <v>0</v>
      </c>
      <c r="O45" s="24">
        <v>0</v>
      </c>
      <c r="P45" s="24">
        <v>0</v>
      </c>
      <c r="Q45" s="24">
        <v>36000</v>
      </c>
      <c r="R45" s="24">
        <v>0</v>
      </c>
      <c r="S45" s="24">
        <v>6000</v>
      </c>
      <c r="T45" s="24">
        <v>6000</v>
      </c>
      <c r="U45" s="24">
        <v>6000</v>
      </c>
      <c r="V45" s="24">
        <v>0</v>
      </c>
      <c r="W45" s="24">
        <v>0</v>
      </c>
      <c r="X45" s="24">
        <v>56000</v>
      </c>
      <c r="Y45" s="24">
        <v>20000</v>
      </c>
      <c r="Z45" s="24">
        <f t="shared" si="2"/>
        <v>130000</v>
      </c>
      <c r="AB45" s="25">
        <v>107500</v>
      </c>
      <c r="AC45" s="26">
        <v>107500</v>
      </c>
      <c r="AD45" s="24">
        <v>0</v>
      </c>
      <c r="AE45" s="27">
        <f>_xlfn.XLOOKUP(B45,'Projects Cashflow'!$B:$B,'Projects Cashflow'!$AG:$AG,0)</f>
        <v>107500</v>
      </c>
      <c r="AF45" s="28">
        <f t="shared" si="3"/>
        <v>0</v>
      </c>
    </row>
    <row r="46" spans="2:32" x14ac:dyDescent="0.3">
      <c r="B46" s="14" t="str">
        <f t="shared" si="1"/>
        <v>45191994511000291Print Permit-N1422951200104</v>
      </c>
      <c r="C46" s="21" t="s">
        <v>2957</v>
      </c>
      <c r="D46" s="22">
        <v>4519199</v>
      </c>
      <c r="E46" s="21" t="s">
        <v>393</v>
      </c>
      <c r="F46" s="22">
        <v>4511000291</v>
      </c>
      <c r="G46" s="21" t="s">
        <v>390</v>
      </c>
      <c r="H46" s="21" t="s">
        <v>401</v>
      </c>
      <c r="I46" s="22">
        <v>422951</v>
      </c>
      <c r="J46" s="22">
        <v>200104</v>
      </c>
      <c r="K46" s="22" t="s">
        <v>2959</v>
      </c>
      <c r="L46" s="22">
        <v>70704</v>
      </c>
      <c r="M46" s="23" t="s">
        <v>2960</v>
      </c>
      <c r="N46" s="24">
        <v>0</v>
      </c>
      <c r="O46" s="24">
        <v>0</v>
      </c>
      <c r="P46" s="24">
        <v>0</v>
      </c>
      <c r="Q46" s="24">
        <v>50000</v>
      </c>
      <c r="R46" s="24">
        <v>0</v>
      </c>
      <c r="S46" s="24">
        <v>20000</v>
      </c>
      <c r="T46" s="24">
        <v>0</v>
      </c>
      <c r="U46" s="24">
        <v>30000</v>
      </c>
      <c r="V46" s="24">
        <v>0</v>
      </c>
      <c r="W46" s="24">
        <v>0</v>
      </c>
      <c r="X46" s="24">
        <v>30000</v>
      </c>
      <c r="Y46" s="24">
        <v>0</v>
      </c>
      <c r="Z46" s="24">
        <f t="shared" si="2"/>
        <v>130000</v>
      </c>
      <c r="AB46" s="25">
        <v>130000</v>
      </c>
      <c r="AC46" s="26">
        <v>130000</v>
      </c>
      <c r="AD46" s="24">
        <v>0</v>
      </c>
      <c r="AE46" s="27">
        <f>_xlfn.XLOOKUP(B46,'Projects Cashflow'!$B:$B,'Projects Cashflow'!$AG:$AG,0)</f>
        <v>130000</v>
      </c>
      <c r="AF46" s="28">
        <f t="shared" si="3"/>
        <v>0</v>
      </c>
    </row>
    <row r="47" spans="2:32" x14ac:dyDescent="0.3">
      <c r="B47" s="14" t="str">
        <f t="shared" si="1"/>
        <v>45191994511000291Activation&amp;Prog-N1422401200104</v>
      </c>
      <c r="C47" s="21" t="s">
        <v>2957</v>
      </c>
      <c r="D47" s="22">
        <v>4519199</v>
      </c>
      <c r="E47" s="21" t="s">
        <v>393</v>
      </c>
      <c r="F47" s="22">
        <v>4511000291</v>
      </c>
      <c r="G47" s="21" t="s">
        <v>390</v>
      </c>
      <c r="H47" s="21" t="s">
        <v>371</v>
      </c>
      <c r="I47" s="22">
        <v>422401</v>
      </c>
      <c r="J47" s="22">
        <v>200104</v>
      </c>
      <c r="K47" s="22" t="s">
        <v>2959</v>
      </c>
      <c r="L47" s="22">
        <v>70704</v>
      </c>
      <c r="M47" s="23" t="s">
        <v>2960</v>
      </c>
      <c r="N47" s="24">
        <v>0</v>
      </c>
      <c r="O47" s="24">
        <v>5000</v>
      </c>
      <c r="P47" s="24">
        <v>0</v>
      </c>
      <c r="Q47" s="24">
        <v>20000</v>
      </c>
      <c r="R47" s="24">
        <v>0</v>
      </c>
      <c r="S47" s="24">
        <v>0</v>
      </c>
      <c r="T47" s="24">
        <v>10000</v>
      </c>
      <c r="U47" s="24">
        <v>0</v>
      </c>
      <c r="V47" s="24">
        <v>5000</v>
      </c>
      <c r="W47" s="24">
        <v>0</v>
      </c>
      <c r="X47" s="24">
        <v>5000</v>
      </c>
      <c r="Y47" s="24">
        <v>5000</v>
      </c>
      <c r="Z47" s="24">
        <f t="shared" si="2"/>
        <v>50000</v>
      </c>
      <c r="AB47" s="25">
        <v>50000</v>
      </c>
      <c r="AC47" s="26">
        <v>50000</v>
      </c>
      <c r="AD47" s="24">
        <v>0</v>
      </c>
      <c r="AE47" s="27">
        <f>_xlfn.XLOOKUP(B47,'Projects Cashflow'!$B:$B,'Projects Cashflow'!$AG:$AG,0)</f>
        <v>50000</v>
      </c>
      <c r="AF47" s="28">
        <f t="shared" si="3"/>
        <v>0</v>
      </c>
    </row>
    <row r="48" spans="2:32" x14ac:dyDescent="0.3">
      <c r="B48" s="14" t="str">
        <f t="shared" si="1"/>
        <v>45191994511000291Editing &amp; Proof-N1424791200104</v>
      </c>
      <c r="C48" s="21" t="s">
        <v>2957</v>
      </c>
      <c r="D48" s="22">
        <v>4519199</v>
      </c>
      <c r="E48" s="21" t="s">
        <v>393</v>
      </c>
      <c r="F48" s="22">
        <v>4511000291</v>
      </c>
      <c r="G48" s="21" t="s">
        <v>390</v>
      </c>
      <c r="H48" s="21" t="s">
        <v>398</v>
      </c>
      <c r="I48" s="22">
        <v>424791</v>
      </c>
      <c r="J48" s="22">
        <v>200104</v>
      </c>
      <c r="K48" s="22" t="s">
        <v>2959</v>
      </c>
      <c r="L48" s="22">
        <v>70704</v>
      </c>
      <c r="M48" s="23" t="s">
        <v>2960</v>
      </c>
      <c r="N48" s="24">
        <v>0</v>
      </c>
      <c r="O48" s="24">
        <v>0</v>
      </c>
      <c r="P48" s="24">
        <v>0</v>
      </c>
      <c r="Q48" s="24">
        <v>7000</v>
      </c>
      <c r="R48" s="24">
        <v>0</v>
      </c>
      <c r="S48" s="24">
        <v>15000</v>
      </c>
      <c r="T48" s="24">
        <v>0</v>
      </c>
      <c r="U48" s="24">
        <v>0</v>
      </c>
      <c r="V48" s="24">
        <v>8000</v>
      </c>
      <c r="W48" s="24">
        <v>0</v>
      </c>
      <c r="X48" s="24">
        <v>0</v>
      </c>
      <c r="Y48" s="24">
        <v>20000</v>
      </c>
      <c r="Z48" s="24">
        <f t="shared" si="2"/>
        <v>50000</v>
      </c>
      <c r="AB48" s="25">
        <v>50000</v>
      </c>
      <c r="AC48" s="26">
        <v>50000</v>
      </c>
      <c r="AD48" s="24">
        <v>0</v>
      </c>
      <c r="AE48" s="27">
        <f>_xlfn.XLOOKUP(B48,'Projects Cashflow'!$B:$B,'Projects Cashflow'!$AG:$AG,0)</f>
        <v>50000</v>
      </c>
      <c r="AF48" s="28">
        <f t="shared" si="3"/>
        <v>0</v>
      </c>
    </row>
    <row r="49" spans="2:32" x14ac:dyDescent="0.3">
      <c r="B49" s="14" t="str">
        <f t="shared" si="1"/>
        <v>45191994511000291Typesetting-N1431114200104</v>
      </c>
      <c r="C49" s="21" t="s">
        <v>2957</v>
      </c>
      <c r="D49" s="22">
        <v>4519199</v>
      </c>
      <c r="E49" s="21" t="s">
        <v>393</v>
      </c>
      <c r="F49" s="22">
        <v>4511000291</v>
      </c>
      <c r="G49" s="21" t="s">
        <v>390</v>
      </c>
      <c r="H49" s="21" t="s">
        <v>404</v>
      </c>
      <c r="I49" s="22">
        <v>431114</v>
      </c>
      <c r="J49" s="22">
        <v>200104</v>
      </c>
      <c r="K49" s="22" t="s">
        <v>2959</v>
      </c>
      <c r="L49" s="22">
        <v>70704</v>
      </c>
      <c r="M49" s="23" t="s">
        <v>2960</v>
      </c>
      <c r="N49" s="24">
        <v>0</v>
      </c>
      <c r="O49" s="24">
        <v>0</v>
      </c>
      <c r="P49" s="24">
        <v>0</v>
      </c>
      <c r="Q49" s="24">
        <v>14000</v>
      </c>
      <c r="R49" s="24">
        <v>0</v>
      </c>
      <c r="S49" s="24">
        <v>0</v>
      </c>
      <c r="T49" s="24">
        <v>7500</v>
      </c>
      <c r="U49" s="24">
        <v>0</v>
      </c>
      <c r="V49" s="24">
        <v>0</v>
      </c>
      <c r="W49" s="24">
        <v>8500</v>
      </c>
      <c r="X49" s="24">
        <v>0</v>
      </c>
      <c r="Y49" s="24">
        <v>0</v>
      </c>
      <c r="Z49" s="24">
        <f t="shared" si="2"/>
        <v>30000</v>
      </c>
      <c r="AB49" s="25">
        <v>30000</v>
      </c>
      <c r="AC49" s="26">
        <v>30000</v>
      </c>
      <c r="AD49" s="24">
        <v>0</v>
      </c>
      <c r="AE49" s="27">
        <f>_xlfn.XLOOKUP(B49,'Projects Cashflow'!$B:$B,'Projects Cashflow'!$AG:$AG,0)</f>
        <v>30000</v>
      </c>
      <c r="AF49" s="28">
        <f t="shared" si="3"/>
        <v>0</v>
      </c>
    </row>
    <row r="50" spans="2:32" x14ac:dyDescent="0.3">
      <c r="B50" s="14" t="str">
        <f t="shared" si="1"/>
        <v>45191994511000291Cover Design-N1424791200104</v>
      </c>
      <c r="C50" s="21" t="s">
        <v>2957</v>
      </c>
      <c r="D50" s="22">
        <v>4519199</v>
      </c>
      <c r="E50" s="21" t="s">
        <v>393</v>
      </c>
      <c r="F50" s="22">
        <v>4511000291</v>
      </c>
      <c r="G50" s="21" t="s">
        <v>390</v>
      </c>
      <c r="H50" s="21" t="s">
        <v>396</v>
      </c>
      <c r="I50" s="22">
        <v>424791</v>
      </c>
      <c r="J50" s="22">
        <v>200104</v>
      </c>
      <c r="K50" s="22" t="s">
        <v>2959</v>
      </c>
      <c r="L50" s="22">
        <v>70704</v>
      </c>
      <c r="M50" s="23" t="s">
        <v>2960</v>
      </c>
      <c r="N50" s="24">
        <v>0</v>
      </c>
      <c r="O50" s="24">
        <v>0</v>
      </c>
      <c r="P50" s="24">
        <v>0</v>
      </c>
      <c r="Q50" s="24">
        <v>0</v>
      </c>
      <c r="R50" s="24">
        <v>8100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f t="shared" si="2"/>
        <v>8100</v>
      </c>
      <c r="AB50" s="25">
        <v>8100</v>
      </c>
      <c r="AC50" s="26">
        <v>8100</v>
      </c>
      <c r="AD50" s="24">
        <v>0</v>
      </c>
      <c r="AE50" s="27">
        <f>_xlfn.XLOOKUP(B50,'Projects Cashflow'!$B:$B,'Projects Cashflow'!$AG:$AG,0)</f>
        <v>8100</v>
      </c>
      <c r="AF50" s="28">
        <f t="shared" si="3"/>
        <v>0</v>
      </c>
    </row>
    <row r="51" spans="2:32" x14ac:dyDescent="0.3">
      <c r="B51" s="14" t="str">
        <f t="shared" si="1"/>
        <v>45191994511000673Print Permit-N1422951200104</v>
      </c>
      <c r="C51" s="21" t="s">
        <v>2957</v>
      </c>
      <c r="D51" s="22">
        <v>4519199</v>
      </c>
      <c r="E51" s="21" t="s">
        <v>393</v>
      </c>
      <c r="F51" s="22">
        <v>4511000673</v>
      </c>
      <c r="G51" s="21" t="s">
        <v>846</v>
      </c>
      <c r="H51" s="21" t="s">
        <v>401</v>
      </c>
      <c r="I51" s="22">
        <v>422951</v>
      </c>
      <c r="J51" s="22">
        <v>200104</v>
      </c>
      <c r="K51" s="22" t="s">
        <v>2959</v>
      </c>
      <c r="L51" s="22">
        <v>70701</v>
      </c>
      <c r="M51" s="23" t="s">
        <v>2960</v>
      </c>
      <c r="N51" s="24">
        <v>0</v>
      </c>
      <c r="O51" s="24">
        <v>0</v>
      </c>
      <c r="P51" s="24">
        <v>0</v>
      </c>
      <c r="Q51" s="24">
        <v>67500</v>
      </c>
      <c r="R51" s="24">
        <v>54000</v>
      </c>
      <c r="S51" s="24">
        <v>13500</v>
      </c>
      <c r="T51" s="24">
        <v>16200</v>
      </c>
      <c r="U51" s="24">
        <v>24300</v>
      </c>
      <c r="V51" s="24">
        <v>21600</v>
      </c>
      <c r="W51" s="24">
        <v>27000</v>
      </c>
      <c r="X51" s="24">
        <v>37800</v>
      </c>
      <c r="Y51" s="24">
        <v>58100</v>
      </c>
      <c r="Z51" s="24">
        <f t="shared" si="2"/>
        <v>320000</v>
      </c>
      <c r="AB51" s="25">
        <v>320000</v>
      </c>
      <c r="AC51" s="26">
        <v>320000</v>
      </c>
      <c r="AD51" s="24">
        <v>0</v>
      </c>
      <c r="AE51" s="27">
        <f>_xlfn.XLOOKUP(B51,'Projects Cashflow'!$B:$B,'Projects Cashflow'!$AG:$AG,0)</f>
        <v>320000</v>
      </c>
      <c r="AF51" s="28">
        <f t="shared" si="3"/>
        <v>0</v>
      </c>
    </row>
    <row r="52" spans="2:32" x14ac:dyDescent="0.3">
      <c r="B52" s="14" t="str">
        <f t="shared" si="1"/>
        <v>45191994511000673Print Runs-N1424791200104</v>
      </c>
      <c r="C52" s="21" t="s">
        <v>2957</v>
      </c>
      <c r="D52" s="22">
        <v>4519199</v>
      </c>
      <c r="E52" s="21" t="s">
        <v>393</v>
      </c>
      <c r="F52" s="22">
        <v>4511000673</v>
      </c>
      <c r="G52" s="21" t="s">
        <v>846</v>
      </c>
      <c r="H52" s="21" t="s">
        <v>307</v>
      </c>
      <c r="I52" s="22">
        <v>424791</v>
      </c>
      <c r="J52" s="22">
        <v>200104</v>
      </c>
      <c r="K52" s="22" t="s">
        <v>2959</v>
      </c>
      <c r="L52" s="22">
        <v>70701</v>
      </c>
      <c r="M52" s="23" t="s">
        <v>2960</v>
      </c>
      <c r="N52" s="24">
        <v>0</v>
      </c>
      <c r="O52" s="24">
        <v>0</v>
      </c>
      <c r="P52" s="24">
        <v>0</v>
      </c>
      <c r="Q52" s="24">
        <v>0</v>
      </c>
      <c r="R52" s="24">
        <v>112500</v>
      </c>
      <c r="S52" s="24">
        <v>12500</v>
      </c>
      <c r="T52" s="24">
        <v>15000</v>
      </c>
      <c r="U52" s="24">
        <v>22500</v>
      </c>
      <c r="V52" s="24">
        <v>20000</v>
      </c>
      <c r="W52" s="24">
        <v>25000</v>
      </c>
      <c r="X52" s="24">
        <v>35000</v>
      </c>
      <c r="Y52" s="24">
        <v>57500</v>
      </c>
      <c r="Z52" s="24">
        <f t="shared" si="2"/>
        <v>300000</v>
      </c>
      <c r="AB52" s="25">
        <v>300000</v>
      </c>
      <c r="AC52" s="26">
        <v>300000</v>
      </c>
      <c r="AD52" s="24">
        <v>0</v>
      </c>
      <c r="AE52" s="27">
        <f>_xlfn.XLOOKUP(B52,'Projects Cashflow'!$B:$B,'Projects Cashflow'!$AG:$AG,0)</f>
        <v>300000</v>
      </c>
      <c r="AF52" s="28">
        <f t="shared" si="3"/>
        <v>0</v>
      </c>
    </row>
    <row r="53" spans="2:32" x14ac:dyDescent="0.3">
      <c r="B53" s="14" t="str">
        <f t="shared" si="1"/>
        <v>45191994511000673Editing &amp; Proof-N1424791200104</v>
      </c>
      <c r="C53" s="21" t="s">
        <v>2957</v>
      </c>
      <c r="D53" s="22">
        <v>4519199</v>
      </c>
      <c r="E53" s="21" t="s">
        <v>393</v>
      </c>
      <c r="F53" s="22">
        <v>4511000673</v>
      </c>
      <c r="G53" s="21" t="s">
        <v>846</v>
      </c>
      <c r="H53" s="21" t="s">
        <v>398</v>
      </c>
      <c r="I53" s="22">
        <v>424791</v>
      </c>
      <c r="J53" s="22">
        <v>200104</v>
      </c>
      <c r="K53" s="22" t="s">
        <v>2959</v>
      </c>
      <c r="L53" s="22">
        <v>70701</v>
      </c>
      <c r="M53" s="23" t="s">
        <v>2960</v>
      </c>
      <c r="N53" s="24">
        <v>0</v>
      </c>
      <c r="O53" s="24">
        <v>0</v>
      </c>
      <c r="P53" s="24">
        <v>0</v>
      </c>
      <c r="Q53" s="24">
        <v>22500</v>
      </c>
      <c r="R53" s="24">
        <v>18000</v>
      </c>
      <c r="S53" s="24">
        <v>4500</v>
      </c>
      <c r="T53" s="24">
        <v>5400</v>
      </c>
      <c r="U53" s="24">
        <v>8100</v>
      </c>
      <c r="V53" s="24">
        <v>7200</v>
      </c>
      <c r="W53" s="24">
        <v>9000</v>
      </c>
      <c r="X53" s="24">
        <v>15300</v>
      </c>
      <c r="Y53" s="24">
        <v>90000</v>
      </c>
      <c r="Z53" s="24">
        <f t="shared" si="2"/>
        <v>180000</v>
      </c>
      <c r="AB53" s="25">
        <v>180000</v>
      </c>
      <c r="AC53" s="26">
        <v>180000</v>
      </c>
      <c r="AD53" s="24">
        <v>0</v>
      </c>
      <c r="AE53" s="27">
        <f>_xlfn.XLOOKUP(B53,'Projects Cashflow'!$B:$B,'Projects Cashflow'!$AG:$AG,0)</f>
        <v>180000</v>
      </c>
      <c r="AF53" s="28">
        <f t="shared" si="3"/>
        <v>0</v>
      </c>
    </row>
    <row r="54" spans="2:32" x14ac:dyDescent="0.3">
      <c r="B54" s="14" t="str">
        <f t="shared" si="1"/>
        <v>45191994511000673Typesetting-N1431114200104</v>
      </c>
      <c r="C54" s="21" t="s">
        <v>2957</v>
      </c>
      <c r="D54" s="22">
        <v>4519199</v>
      </c>
      <c r="E54" s="21" t="s">
        <v>393</v>
      </c>
      <c r="F54" s="22">
        <v>4511000673</v>
      </c>
      <c r="G54" s="21" t="s">
        <v>846</v>
      </c>
      <c r="H54" s="21" t="s">
        <v>404</v>
      </c>
      <c r="I54" s="22">
        <v>431114</v>
      </c>
      <c r="J54" s="22">
        <v>200104</v>
      </c>
      <c r="K54" s="22" t="s">
        <v>2959</v>
      </c>
      <c r="L54" s="22">
        <v>70701</v>
      </c>
      <c r="M54" s="23" t="s">
        <v>2960</v>
      </c>
      <c r="N54" s="24">
        <v>0</v>
      </c>
      <c r="O54" s="24">
        <v>0</v>
      </c>
      <c r="P54" s="24">
        <v>0</v>
      </c>
      <c r="Q54" s="24">
        <v>11250</v>
      </c>
      <c r="R54" s="24">
        <v>9000</v>
      </c>
      <c r="S54" s="24">
        <v>2250</v>
      </c>
      <c r="T54" s="24">
        <v>2700</v>
      </c>
      <c r="U54" s="24">
        <v>4050</v>
      </c>
      <c r="V54" s="24">
        <v>3600</v>
      </c>
      <c r="W54" s="24">
        <v>4500</v>
      </c>
      <c r="X54" s="24">
        <v>6300</v>
      </c>
      <c r="Y54" s="24">
        <v>1350</v>
      </c>
      <c r="Z54" s="24">
        <f t="shared" si="2"/>
        <v>45000</v>
      </c>
      <c r="AB54" s="25">
        <v>45000</v>
      </c>
      <c r="AC54" s="26">
        <v>45000</v>
      </c>
      <c r="AD54" s="24">
        <v>0</v>
      </c>
      <c r="AE54" s="27">
        <f>_xlfn.XLOOKUP(B54,'Projects Cashflow'!$B:$B,'Projects Cashflow'!$AG:$AG,0)</f>
        <v>45000</v>
      </c>
      <c r="AF54" s="28">
        <f t="shared" si="3"/>
        <v>0</v>
      </c>
    </row>
    <row r="55" spans="2:32" x14ac:dyDescent="0.3">
      <c r="B55" s="14" t="str">
        <f t="shared" si="1"/>
        <v>45191994511000673Cover Design-N1424791200104</v>
      </c>
      <c r="C55" s="21" t="s">
        <v>2957</v>
      </c>
      <c r="D55" s="22">
        <v>4519199</v>
      </c>
      <c r="E55" s="21" t="s">
        <v>393</v>
      </c>
      <c r="F55" s="22">
        <v>4511000673</v>
      </c>
      <c r="G55" s="21" t="s">
        <v>846</v>
      </c>
      <c r="H55" s="21" t="s">
        <v>396</v>
      </c>
      <c r="I55" s="22">
        <v>424791</v>
      </c>
      <c r="J55" s="22">
        <v>200104</v>
      </c>
      <c r="K55" s="22" t="s">
        <v>2959</v>
      </c>
      <c r="L55" s="22">
        <v>70701</v>
      </c>
      <c r="M55" s="23" t="s">
        <v>2960</v>
      </c>
      <c r="N55" s="24">
        <v>0</v>
      </c>
      <c r="O55" s="24">
        <v>0</v>
      </c>
      <c r="P55" s="24">
        <v>0</v>
      </c>
      <c r="Q55" s="24">
        <v>4500</v>
      </c>
      <c r="R55" s="24">
        <v>3600</v>
      </c>
      <c r="S55" s="24">
        <v>900</v>
      </c>
      <c r="T55" s="24">
        <v>1080</v>
      </c>
      <c r="U55" s="24">
        <v>1620</v>
      </c>
      <c r="V55" s="24">
        <v>1440</v>
      </c>
      <c r="W55" s="24">
        <v>1800</v>
      </c>
      <c r="X55" s="24">
        <v>2520</v>
      </c>
      <c r="Y55" s="24">
        <v>540</v>
      </c>
      <c r="Z55" s="24">
        <f t="shared" si="2"/>
        <v>18000</v>
      </c>
      <c r="AB55" s="25">
        <v>18000</v>
      </c>
      <c r="AC55" s="26">
        <v>18000</v>
      </c>
      <c r="AD55" s="24">
        <v>0</v>
      </c>
      <c r="AE55" s="27">
        <f>_xlfn.XLOOKUP(B55,'Projects Cashflow'!$B:$B,'Projects Cashflow'!$AG:$AG,0)</f>
        <v>18000</v>
      </c>
      <c r="AF55" s="28">
        <f t="shared" si="3"/>
        <v>0</v>
      </c>
    </row>
    <row r="56" spans="2:32" x14ac:dyDescent="0.3">
      <c r="B56" s="14" t="str">
        <f t="shared" si="1"/>
        <v>45191994511000677Translation-N1424701200104</v>
      </c>
      <c r="C56" s="21" t="s">
        <v>2957</v>
      </c>
      <c r="D56" s="22">
        <v>4519199</v>
      </c>
      <c r="E56" s="21" t="s">
        <v>393</v>
      </c>
      <c r="F56" s="22">
        <v>4511000677</v>
      </c>
      <c r="G56" s="21" t="s">
        <v>890</v>
      </c>
      <c r="H56" s="21" t="s">
        <v>896</v>
      </c>
      <c r="I56" s="22">
        <v>424701</v>
      </c>
      <c r="J56" s="22">
        <v>200104</v>
      </c>
      <c r="K56" s="22" t="s">
        <v>2959</v>
      </c>
      <c r="L56" s="22">
        <v>70702</v>
      </c>
      <c r="M56" s="23" t="s">
        <v>2960</v>
      </c>
      <c r="N56" s="24">
        <v>0</v>
      </c>
      <c r="O56" s="24">
        <v>0</v>
      </c>
      <c r="P56" s="24">
        <v>0</v>
      </c>
      <c r="Q56" s="24">
        <v>257110</v>
      </c>
      <c r="R56" s="24">
        <v>275475</v>
      </c>
      <c r="S56" s="24">
        <v>91825</v>
      </c>
      <c r="T56" s="24">
        <v>55095</v>
      </c>
      <c r="U56" s="24">
        <v>55095</v>
      </c>
      <c r="V56" s="24">
        <v>275475</v>
      </c>
      <c r="W56" s="24">
        <v>275475</v>
      </c>
      <c r="X56" s="24">
        <v>275475</v>
      </c>
      <c r="Y56" s="24">
        <v>275475</v>
      </c>
      <c r="Z56" s="24">
        <f t="shared" si="2"/>
        <v>1836500</v>
      </c>
      <c r="AB56" s="25">
        <v>1836500</v>
      </c>
      <c r="AC56" s="26">
        <v>1836500</v>
      </c>
      <c r="AD56" s="24">
        <v>0</v>
      </c>
      <c r="AE56" s="27">
        <f>_xlfn.XLOOKUP(B56,'Projects Cashflow'!$B:$B,'Projects Cashflow'!$AG:$AG,0)</f>
        <v>1836500</v>
      </c>
      <c r="AF56" s="28">
        <f t="shared" si="3"/>
        <v>0</v>
      </c>
    </row>
    <row r="57" spans="2:32" x14ac:dyDescent="0.3">
      <c r="B57" s="14" t="str">
        <f t="shared" si="1"/>
        <v>45191994511000677Editing &amp; Proof-N1424791200104</v>
      </c>
      <c r="C57" s="21" t="s">
        <v>2957</v>
      </c>
      <c r="D57" s="22">
        <v>4519199</v>
      </c>
      <c r="E57" s="21" t="s">
        <v>393</v>
      </c>
      <c r="F57" s="22">
        <v>4511000677</v>
      </c>
      <c r="G57" s="21" t="s">
        <v>890</v>
      </c>
      <c r="H57" s="21" t="s">
        <v>398</v>
      </c>
      <c r="I57" s="22">
        <v>424791</v>
      </c>
      <c r="J57" s="22">
        <v>200104</v>
      </c>
      <c r="K57" s="22" t="s">
        <v>2959</v>
      </c>
      <c r="L57" s="22">
        <v>70702</v>
      </c>
      <c r="M57" s="23" t="s">
        <v>2960</v>
      </c>
      <c r="N57" s="24">
        <v>0</v>
      </c>
      <c r="O57" s="24">
        <v>0</v>
      </c>
      <c r="P57" s="24">
        <v>0</v>
      </c>
      <c r="Q57" s="24">
        <v>167737</v>
      </c>
      <c r="R57" s="24">
        <v>154000</v>
      </c>
      <c r="S57" s="24">
        <v>44730</v>
      </c>
      <c r="T57" s="24">
        <v>181475</v>
      </c>
      <c r="U57" s="24">
        <v>33547.5</v>
      </c>
      <c r="V57" s="24">
        <v>33547.5</v>
      </c>
      <c r="W57" s="24">
        <v>167737.5</v>
      </c>
      <c r="X57" s="24">
        <v>167737.5</v>
      </c>
      <c r="Y57" s="24">
        <v>167737.5</v>
      </c>
      <c r="Z57" s="24">
        <f t="shared" si="2"/>
        <v>1118249.5</v>
      </c>
      <c r="AB57" s="25">
        <v>1118249.5</v>
      </c>
      <c r="AC57" s="26">
        <v>1118249</v>
      </c>
      <c r="AD57" s="24">
        <v>0.5</v>
      </c>
      <c r="AE57" s="27">
        <f>_xlfn.XLOOKUP(B57,'Projects Cashflow'!$B:$B,'Projects Cashflow'!$AG:$AG,0)</f>
        <v>1118249</v>
      </c>
      <c r="AF57" s="28">
        <f t="shared" si="3"/>
        <v>-0.5</v>
      </c>
    </row>
    <row r="58" spans="2:32" x14ac:dyDescent="0.3">
      <c r="B58" s="14" t="str">
        <f t="shared" si="1"/>
        <v>45191994511000677Print Runs-N1424791200104</v>
      </c>
      <c r="C58" s="21" t="s">
        <v>2957</v>
      </c>
      <c r="D58" s="22">
        <v>4519199</v>
      </c>
      <c r="E58" s="21" t="s">
        <v>393</v>
      </c>
      <c r="F58" s="22">
        <v>4511000677</v>
      </c>
      <c r="G58" s="21" t="s">
        <v>890</v>
      </c>
      <c r="H58" s="21" t="s">
        <v>307</v>
      </c>
      <c r="I58" s="22">
        <v>424791</v>
      </c>
      <c r="J58" s="22">
        <v>200104</v>
      </c>
      <c r="K58" s="22" t="s">
        <v>2959</v>
      </c>
      <c r="L58" s="22">
        <v>70702</v>
      </c>
      <c r="M58" s="23" t="s">
        <v>2960</v>
      </c>
      <c r="N58" s="24">
        <v>0</v>
      </c>
      <c r="O58" s="24">
        <v>2014.3</v>
      </c>
      <c r="P58" s="24">
        <v>2820.0199999999995</v>
      </c>
      <c r="Q58" s="24">
        <v>160165.70000000001</v>
      </c>
      <c r="R58" s="24">
        <v>110000</v>
      </c>
      <c r="S58" s="24">
        <v>44000</v>
      </c>
      <c r="T58" s="24">
        <v>220000</v>
      </c>
      <c r="U58" s="24">
        <v>33000</v>
      </c>
      <c r="V58" s="24">
        <v>33000</v>
      </c>
      <c r="W58" s="24">
        <v>165000</v>
      </c>
      <c r="X58" s="24">
        <v>165000</v>
      </c>
      <c r="Y58" s="24">
        <v>165000</v>
      </c>
      <c r="Z58" s="24">
        <f t="shared" si="2"/>
        <v>1100000.02</v>
      </c>
      <c r="AB58" s="25">
        <v>1100000.02</v>
      </c>
      <c r="AC58" s="26">
        <v>1100000</v>
      </c>
      <c r="AD58" s="24">
        <v>2.0000000018626451E-2</v>
      </c>
      <c r="AE58" s="27">
        <f>_xlfn.XLOOKUP(B58,'Projects Cashflow'!$B:$B,'Projects Cashflow'!$AG:$AG,0)</f>
        <v>1100000</v>
      </c>
      <c r="AF58" s="28">
        <f t="shared" si="3"/>
        <v>-2.0000000018626451E-2</v>
      </c>
    </row>
    <row r="59" spans="2:32" x14ac:dyDescent="0.3">
      <c r="B59" s="14" t="str">
        <f t="shared" si="1"/>
        <v>45191994511000677Committee Member-N1421115200104</v>
      </c>
      <c r="C59" s="21" t="s">
        <v>2957</v>
      </c>
      <c r="D59" s="22">
        <v>4519199</v>
      </c>
      <c r="E59" s="21" t="s">
        <v>393</v>
      </c>
      <c r="F59" s="22">
        <v>4511000677</v>
      </c>
      <c r="G59" s="21" t="s">
        <v>890</v>
      </c>
      <c r="H59" s="21" t="s">
        <v>891</v>
      </c>
      <c r="I59" s="22">
        <v>421115</v>
      </c>
      <c r="J59" s="22">
        <v>200104</v>
      </c>
      <c r="K59" s="22" t="s">
        <v>2959</v>
      </c>
      <c r="L59" s="22">
        <v>70704</v>
      </c>
      <c r="M59" s="23" t="s">
        <v>2960</v>
      </c>
      <c r="N59" s="24">
        <v>0</v>
      </c>
      <c r="O59" s="24">
        <v>0</v>
      </c>
      <c r="P59" s="24">
        <v>0</v>
      </c>
      <c r="Q59" s="24">
        <v>240000</v>
      </c>
      <c r="R59" s="24">
        <v>0</v>
      </c>
      <c r="S59" s="24">
        <v>0</v>
      </c>
      <c r="T59" s="24">
        <v>240000</v>
      </c>
      <c r="U59" s="24">
        <v>0</v>
      </c>
      <c r="V59" s="24">
        <v>0</v>
      </c>
      <c r="W59" s="24">
        <v>240000</v>
      </c>
      <c r="X59" s="24">
        <v>0</v>
      </c>
      <c r="Y59" s="24">
        <v>180000</v>
      </c>
      <c r="Z59" s="24">
        <f t="shared" si="2"/>
        <v>900000</v>
      </c>
      <c r="AB59" s="25">
        <v>900000</v>
      </c>
      <c r="AC59" s="26">
        <v>900000</v>
      </c>
      <c r="AD59" s="24">
        <v>0</v>
      </c>
      <c r="AE59" s="27">
        <f>_xlfn.XLOOKUP(B59,'Projects Cashflow'!$B:$B,'Projects Cashflow'!$AG:$AG,0)</f>
        <v>900000</v>
      </c>
      <c r="AF59" s="28">
        <f t="shared" si="3"/>
        <v>0</v>
      </c>
    </row>
    <row r="60" spans="2:32" x14ac:dyDescent="0.3">
      <c r="B60" s="14" t="str">
        <f t="shared" si="1"/>
        <v>45191994511000677Print Permit-N1422951200104</v>
      </c>
      <c r="C60" s="21" t="s">
        <v>2957</v>
      </c>
      <c r="D60" s="22">
        <v>4519199</v>
      </c>
      <c r="E60" s="21" t="s">
        <v>393</v>
      </c>
      <c r="F60" s="22">
        <v>4511000677</v>
      </c>
      <c r="G60" s="21" t="s">
        <v>890</v>
      </c>
      <c r="H60" s="21" t="s">
        <v>401</v>
      </c>
      <c r="I60" s="22">
        <v>422951</v>
      </c>
      <c r="J60" s="22">
        <v>200104</v>
      </c>
      <c r="K60" s="22" t="s">
        <v>2959</v>
      </c>
      <c r="L60" s="22">
        <v>70702</v>
      </c>
      <c r="M60" s="23" t="s">
        <v>2960</v>
      </c>
      <c r="N60" s="24">
        <v>0</v>
      </c>
      <c r="O60" s="24">
        <v>19097</v>
      </c>
      <c r="P60" s="24">
        <v>0</v>
      </c>
      <c r="Q60" s="24">
        <v>55903</v>
      </c>
      <c r="R60" s="24">
        <v>55000</v>
      </c>
      <c r="S60" s="24">
        <v>100000</v>
      </c>
      <c r="T60" s="24">
        <v>0</v>
      </c>
      <c r="U60" s="24">
        <v>0</v>
      </c>
      <c r="V60" s="24">
        <v>211475</v>
      </c>
      <c r="W60" s="24">
        <v>0</v>
      </c>
      <c r="X60" s="24">
        <v>0</v>
      </c>
      <c r="Y60" s="24">
        <v>176775</v>
      </c>
      <c r="Z60" s="24">
        <f t="shared" si="2"/>
        <v>618250</v>
      </c>
      <c r="AB60" s="25">
        <v>618250</v>
      </c>
      <c r="AC60" s="26">
        <v>618250</v>
      </c>
      <c r="AD60" s="24">
        <v>0</v>
      </c>
      <c r="AE60" s="27">
        <f>_xlfn.XLOOKUP(B60,'Projects Cashflow'!$B:$B,'Projects Cashflow'!$AG:$AG,0)</f>
        <v>618250</v>
      </c>
      <c r="AF60" s="28">
        <f t="shared" si="3"/>
        <v>0</v>
      </c>
    </row>
    <row r="61" spans="2:32" x14ac:dyDescent="0.3">
      <c r="B61" s="14" t="str">
        <f t="shared" si="1"/>
        <v>45191994511000677Activation&amp;Prog-N1422401200104</v>
      </c>
      <c r="C61" s="21" t="s">
        <v>2957</v>
      </c>
      <c r="D61" s="22">
        <v>4519199</v>
      </c>
      <c r="E61" s="21" t="s">
        <v>393</v>
      </c>
      <c r="F61" s="22">
        <v>4511000677</v>
      </c>
      <c r="G61" s="21" t="s">
        <v>890</v>
      </c>
      <c r="H61" s="21" t="s">
        <v>371</v>
      </c>
      <c r="I61" s="22">
        <v>422401</v>
      </c>
      <c r="J61" s="22">
        <v>200104</v>
      </c>
      <c r="K61" s="22" t="s">
        <v>2959</v>
      </c>
      <c r="L61" s="22">
        <v>70704</v>
      </c>
      <c r="M61" s="23" t="s">
        <v>2960</v>
      </c>
      <c r="N61" s="24">
        <v>0</v>
      </c>
      <c r="O61" s="24">
        <v>0</v>
      </c>
      <c r="P61" s="24">
        <v>0</v>
      </c>
      <c r="Q61" s="24">
        <v>20000</v>
      </c>
      <c r="R61" s="24">
        <v>60000</v>
      </c>
      <c r="S61" s="24">
        <v>20000</v>
      </c>
      <c r="T61" s="24">
        <v>20000</v>
      </c>
      <c r="U61" s="24">
        <v>60000</v>
      </c>
      <c r="V61" s="24">
        <v>20000</v>
      </c>
      <c r="W61" s="24">
        <v>40000</v>
      </c>
      <c r="X61" s="24">
        <v>40000</v>
      </c>
      <c r="Y61" s="24">
        <v>20000</v>
      </c>
      <c r="Z61" s="24">
        <f t="shared" si="2"/>
        <v>300000</v>
      </c>
      <c r="AB61" s="25">
        <v>300000</v>
      </c>
      <c r="AC61" s="26">
        <v>300000</v>
      </c>
      <c r="AD61" s="24">
        <v>0</v>
      </c>
      <c r="AE61" s="27">
        <f>_xlfn.XLOOKUP(B61,'Projects Cashflow'!$B:$B,'Projects Cashflow'!$AG:$AG,0)</f>
        <v>300000</v>
      </c>
      <c r="AF61" s="28">
        <f t="shared" si="3"/>
        <v>0</v>
      </c>
    </row>
    <row r="62" spans="2:32" x14ac:dyDescent="0.3">
      <c r="B62" s="14" t="str">
        <f t="shared" si="1"/>
        <v>45191994511000677Freelancers-N424521200104</v>
      </c>
      <c r="C62" s="21" t="s">
        <v>2957</v>
      </c>
      <c r="D62" s="22">
        <v>4519199</v>
      </c>
      <c r="E62" s="21" t="s">
        <v>393</v>
      </c>
      <c r="F62" s="22">
        <v>4511000677</v>
      </c>
      <c r="G62" s="21" t="s">
        <v>890</v>
      </c>
      <c r="H62" s="21" t="s">
        <v>50</v>
      </c>
      <c r="I62" s="22">
        <v>424521</v>
      </c>
      <c r="J62" s="22">
        <v>200104</v>
      </c>
      <c r="K62" s="22" t="s">
        <v>2959</v>
      </c>
      <c r="L62" s="22">
        <v>70704</v>
      </c>
      <c r="M62" s="23" t="s">
        <v>2960</v>
      </c>
      <c r="N62" s="24">
        <v>0</v>
      </c>
      <c r="O62" s="24">
        <v>25000</v>
      </c>
      <c r="P62" s="24">
        <v>0</v>
      </c>
      <c r="Q62" s="24">
        <v>75000</v>
      </c>
      <c r="R62" s="24">
        <v>25000</v>
      </c>
      <c r="S62" s="24">
        <v>25000</v>
      </c>
      <c r="T62" s="24">
        <v>25000</v>
      </c>
      <c r="U62" s="24">
        <v>25000</v>
      </c>
      <c r="V62" s="24">
        <v>25000</v>
      </c>
      <c r="W62" s="24">
        <v>25000</v>
      </c>
      <c r="X62" s="24">
        <v>25000</v>
      </c>
      <c r="Y62" s="24">
        <v>25000</v>
      </c>
      <c r="Z62" s="24">
        <f t="shared" si="2"/>
        <v>300000</v>
      </c>
      <c r="AB62" s="25">
        <v>300000</v>
      </c>
      <c r="AC62" s="26">
        <v>300000</v>
      </c>
      <c r="AD62" s="24">
        <v>0</v>
      </c>
      <c r="AE62" s="27">
        <f>_xlfn.XLOOKUP(B62,'Projects Cashflow'!$B:$B,'Projects Cashflow'!$AG:$AG,0)</f>
        <v>300000</v>
      </c>
      <c r="AF62" s="28">
        <f t="shared" si="3"/>
        <v>0</v>
      </c>
    </row>
    <row r="63" spans="2:32" x14ac:dyDescent="0.3">
      <c r="B63" s="14" t="str">
        <f t="shared" si="1"/>
        <v>45191994511000677Typesetting-N1431114200104</v>
      </c>
      <c r="C63" s="21" t="s">
        <v>2957</v>
      </c>
      <c r="D63" s="22">
        <v>4519199</v>
      </c>
      <c r="E63" s="21" t="s">
        <v>393</v>
      </c>
      <c r="F63" s="22">
        <v>4511000677</v>
      </c>
      <c r="G63" s="21" t="s">
        <v>890</v>
      </c>
      <c r="H63" s="21" t="s">
        <v>404</v>
      </c>
      <c r="I63" s="22">
        <v>431114</v>
      </c>
      <c r="J63" s="22">
        <v>200104</v>
      </c>
      <c r="K63" s="22" t="s">
        <v>2959</v>
      </c>
      <c r="L63" s="22">
        <v>70702</v>
      </c>
      <c r="M63" s="23" t="s">
        <v>2960</v>
      </c>
      <c r="N63" s="24">
        <v>0</v>
      </c>
      <c r="O63" s="24">
        <v>0</v>
      </c>
      <c r="P63" s="24">
        <v>0</v>
      </c>
      <c r="Q63" s="24">
        <v>30000</v>
      </c>
      <c r="R63" s="24">
        <v>60000</v>
      </c>
      <c r="S63" s="24">
        <v>30000</v>
      </c>
      <c r="T63" s="24">
        <v>30000</v>
      </c>
      <c r="U63" s="24">
        <v>0</v>
      </c>
      <c r="V63" s="24">
        <v>60000</v>
      </c>
      <c r="W63" s="24">
        <v>0</v>
      </c>
      <c r="X63" s="24">
        <v>60000</v>
      </c>
      <c r="Y63" s="24">
        <v>30000</v>
      </c>
      <c r="Z63" s="24">
        <f t="shared" si="2"/>
        <v>300000</v>
      </c>
      <c r="AB63" s="25">
        <v>300000</v>
      </c>
      <c r="AC63" s="26">
        <v>300000</v>
      </c>
      <c r="AD63" s="24">
        <v>0</v>
      </c>
      <c r="AE63" s="27">
        <f>_xlfn.XLOOKUP(B63,'Projects Cashflow'!$B:$B,'Projects Cashflow'!$AG:$AG,0)</f>
        <v>300000</v>
      </c>
      <c r="AF63" s="28">
        <f t="shared" si="3"/>
        <v>0</v>
      </c>
    </row>
    <row r="64" spans="2:32" x14ac:dyDescent="0.3">
      <c r="B64" s="14" t="str">
        <f t="shared" si="1"/>
        <v>45191994511000686Mission &amp; Travel-N1423821200104</v>
      </c>
      <c r="C64" s="21" t="s">
        <v>2957</v>
      </c>
      <c r="D64" s="22">
        <v>4519199</v>
      </c>
      <c r="E64" s="21" t="s">
        <v>393</v>
      </c>
      <c r="F64" s="22">
        <v>4511000686</v>
      </c>
      <c r="G64" s="21" t="s">
        <v>2970</v>
      </c>
      <c r="H64" s="21" t="s">
        <v>472</v>
      </c>
      <c r="I64" s="22">
        <v>423821</v>
      </c>
      <c r="J64" s="22">
        <v>200104</v>
      </c>
      <c r="K64" s="22" t="s">
        <v>2959</v>
      </c>
      <c r="L64" s="22">
        <v>70701</v>
      </c>
      <c r="M64" s="23" t="s">
        <v>2960</v>
      </c>
      <c r="N64" s="24">
        <v>0</v>
      </c>
      <c r="O64" s="26">
        <v>24000</v>
      </c>
      <c r="P64" s="24">
        <v>20000</v>
      </c>
      <c r="Q64" s="24">
        <v>0</v>
      </c>
      <c r="R64" s="24">
        <v>10500</v>
      </c>
      <c r="S64" s="24">
        <v>27500</v>
      </c>
      <c r="T64" s="24">
        <v>0</v>
      </c>
      <c r="U64" s="24">
        <v>0</v>
      </c>
      <c r="V64" s="24">
        <v>44000</v>
      </c>
      <c r="W64" s="24">
        <v>28000</v>
      </c>
      <c r="X64" s="24">
        <v>56000</v>
      </c>
      <c r="Y64" s="24">
        <v>0</v>
      </c>
      <c r="Z64" s="24">
        <f t="shared" si="2"/>
        <v>210000</v>
      </c>
      <c r="AB64" s="25">
        <v>184000</v>
      </c>
      <c r="AC64" s="26">
        <v>191650</v>
      </c>
      <c r="AD64" s="32">
        <v>-7650</v>
      </c>
      <c r="AE64" s="27">
        <f>_xlfn.XLOOKUP(B64,'Projects Cashflow'!$B:$B,'Projects Cashflow'!$AG:$AG,0)</f>
        <v>191650</v>
      </c>
      <c r="AF64" s="28">
        <f t="shared" si="3"/>
        <v>7650</v>
      </c>
    </row>
    <row r="65" spans="2:32" x14ac:dyDescent="0.3">
      <c r="B65" s="14" t="str">
        <f t="shared" si="1"/>
        <v>45191994511000764E-bookConversion-N1424791200104</v>
      </c>
      <c r="C65" s="21" t="s">
        <v>2957</v>
      </c>
      <c r="D65" s="22">
        <v>4519199</v>
      </c>
      <c r="E65" s="21" t="s">
        <v>393</v>
      </c>
      <c r="F65" s="22">
        <v>4511000764</v>
      </c>
      <c r="G65" s="21" t="s">
        <v>2971</v>
      </c>
      <c r="H65" s="21" t="s">
        <v>1025</v>
      </c>
      <c r="I65" s="22">
        <v>424791</v>
      </c>
      <c r="J65" s="22">
        <v>200104</v>
      </c>
      <c r="K65" s="22" t="s">
        <v>2959</v>
      </c>
      <c r="L65" s="22">
        <v>70702</v>
      </c>
      <c r="M65" s="23" t="s">
        <v>2960</v>
      </c>
      <c r="N65" s="24">
        <v>0</v>
      </c>
      <c r="O65" s="24">
        <v>0</v>
      </c>
      <c r="P65" s="24">
        <v>0</v>
      </c>
      <c r="Q65" s="24">
        <v>0</v>
      </c>
      <c r="R65" s="24">
        <v>116509</v>
      </c>
      <c r="S65" s="24">
        <v>0</v>
      </c>
      <c r="T65" s="24">
        <v>0</v>
      </c>
      <c r="U65" s="24">
        <v>100000</v>
      </c>
      <c r="V65" s="24">
        <v>0</v>
      </c>
      <c r="W65" s="24">
        <v>0</v>
      </c>
      <c r="X65" s="24">
        <v>100000</v>
      </c>
      <c r="Y65" s="24">
        <v>0</v>
      </c>
      <c r="Z65" s="24">
        <f t="shared" si="2"/>
        <v>316509</v>
      </c>
      <c r="AB65" s="25">
        <v>316509</v>
      </c>
      <c r="AC65" s="26">
        <v>316509</v>
      </c>
      <c r="AD65" s="24">
        <v>0</v>
      </c>
      <c r="AE65" s="27">
        <f>_xlfn.XLOOKUP(B65,'Projects Cashflow'!$B:$B,'Projects Cashflow'!$AG:$AG,0)</f>
        <v>316509</v>
      </c>
      <c r="AF65" s="28">
        <f t="shared" si="3"/>
        <v>0</v>
      </c>
    </row>
    <row r="66" spans="2:32" x14ac:dyDescent="0.3">
      <c r="B66" s="14" t="str">
        <f t="shared" si="1"/>
        <v>45191994511000764eBook Distribute-N1425301200104</v>
      </c>
      <c r="C66" s="21" t="s">
        <v>2957</v>
      </c>
      <c r="D66" s="22">
        <v>4519199</v>
      </c>
      <c r="E66" s="21" t="s">
        <v>393</v>
      </c>
      <c r="F66" s="22">
        <v>4511000764</v>
      </c>
      <c r="G66" s="21" t="s">
        <v>2971</v>
      </c>
      <c r="H66" s="21" t="s">
        <v>1026</v>
      </c>
      <c r="I66" s="22">
        <v>425301</v>
      </c>
      <c r="J66" s="22">
        <v>200104</v>
      </c>
      <c r="K66" s="22" t="s">
        <v>2959</v>
      </c>
      <c r="L66" s="22">
        <v>70702</v>
      </c>
      <c r="M66" s="23" t="s">
        <v>2960</v>
      </c>
      <c r="N66" s="24">
        <v>0</v>
      </c>
      <c r="O66" s="24">
        <v>0</v>
      </c>
      <c r="P66" s="24">
        <v>0</v>
      </c>
      <c r="Q66" s="24">
        <v>0</v>
      </c>
      <c r="R66" s="24">
        <v>80000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57700</v>
      </c>
      <c r="Y66" s="24">
        <v>0</v>
      </c>
      <c r="Z66" s="24">
        <f t="shared" si="2"/>
        <v>137700</v>
      </c>
      <c r="AB66" s="25">
        <v>137700</v>
      </c>
      <c r="AC66" s="26">
        <v>137700</v>
      </c>
      <c r="AD66" s="24">
        <v>0</v>
      </c>
      <c r="AE66" s="27">
        <f>_xlfn.XLOOKUP(B66,'Projects Cashflow'!$B:$B,'Projects Cashflow'!$AG:$AG,0)</f>
        <v>137700</v>
      </c>
      <c r="AF66" s="28">
        <f t="shared" si="3"/>
        <v>0</v>
      </c>
    </row>
    <row r="67" spans="2:32" x14ac:dyDescent="0.3">
      <c r="B67" s="14" t="str">
        <f t="shared" si="1"/>
        <v>45191994511000764AudioBook Create-N1424791200104</v>
      </c>
      <c r="C67" s="21" t="s">
        <v>2957</v>
      </c>
      <c r="D67" s="22">
        <v>4519199</v>
      </c>
      <c r="E67" s="21" t="s">
        <v>393</v>
      </c>
      <c r="F67" s="22">
        <v>4511000764</v>
      </c>
      <c r="G67" s="21" t="s">
        <v>2971</v>
      </c>
      <c r="H67" s="21" t="s">
        <v>1024</v>
      </c>
      <c r="I67" s="22">
        <v>424791</v>
      </c>
      <c r="J67" s="22">
        <v>200104</v>
      </c>
      <c r="K67" s="22" t="s">
        <v>2959</v>
      </c>
      <c r="L67" s="22">
        <v>70702</v>
      </c>
      <c r="M67" s="23" t="s">
        <v>2960</v>
      </c>
      <c r="N67" s="24">
        <v>0</v>
      </c>
      <c r="O67" s="24">
        <v>0</v>
      </c>
      <c r="P67" s="24">
        <v>0</v>
      </c>
      <c r="Q67" s="24">
        <v>40000</v>
      </c>
      <c r="R67" s="24">
        <v>0</v>
      </c>
      <c r="S67" s="24">
        <v>40000</v>
      </c>
      <c r="T67" s="24">
        <v>0</v>
      </c>
      <c r="U67" s="24">
        <v>0</v>
      </c>
      <c r="V67" s="24">
        <v>0</v>
      </c>
      <c r="W67" s="24">
        <v>0</v>
      </c>
      <c r="X67" s="24">
        <v>50410</v>
      </c>
      <c r="Y67" s="24">
        <v>0</v>
      </c>
      <c r="Z67" s="24">
        <f t="shared" si="2"/>
        <v>130410</v>
      </c>
      <c r="AB67" s="25">
        <v>130410</v>
      </c>
      <c r="AC67" s="26">
        <v>130410</v>
      </c>
      <c r="AD67" s="24">
        <v>0</v>
      </c>
      <c r="AE67" s="27">
        <f>_xlfn.XLOOKUP(B67,'Projects Cashflow'!$B:$B,'Projects Cashflow'!$AG:$AG,0)</f>
        <v>130410</v>
      </c>
      <c r="AF67" s="28">
        <f t="shared" si="3"/>
        <v>0</v>
      </c>
    </row>
    <row r="68" spans="2:32" x14ac:dyDescent="0.3">
      <c r="B68" s="14" t="str">
        <f t="shared" si="1"/>
        <v>45191994511000888TranslationGrant-N1424701200104</v>
      </c>
      <c r="C68" s="21" t="s">
        <v>2957</v>
      </c>
      <c r="D68" s="22">
        <v>4519199</v>
      </c>
      <c r="E68" s="21" t="s">
        <v>393</v>
      </c>
      <c r="F68" s="22">
        <v>4511000888</v>
      </c>
      <c r="G68" s="21" t="s">
        <v>1215</v>
      </c>
      <c r="H68" s="21" t="s">
        <v>1216</v>
      </c>
      <c r="I68" s="22">
        <v>424701</v>
      </c>
      <c r="J68" s="22">
        <v>200104</v>
      </c>
      <c r="K68" s="22" t="s">
        <v>2959</v>
      </c>
      <c r="L68" s="22">
        <v>70703</v>
      </c>
      <c r="M68" s="23" t="s">
        <v>2960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184200</v>
      </c>
      <c r="V68" s="24">
        <v>184200</v>
      </c>
      <c r="W68" s="24">
        <v>184200</v>
      </c>
      <c r="X68" s="24">
        <v>184200</v>
      </c>
      <c r="Y68" s="24">
        <v>184200</v>
      </c>
      <c r="Z68" s="24">
        <f t="shared" si="2"/>
        <v>921000</v>
      </c>
      <c r="AB68" s="25">
        <v>921000</v>
      </c>
      <c r="AC68" s="26">
        <v>921000</v>
      </c>
      <c r="AD68" s="24">
        <v>0</v>
      </c>
      <c r="AE68" s="27">
        <f>_xlfn.XLOOKUP(B68,'Projects Cashflow'!$B:$B,'Projects Cashflow'!$AG:$AG,0)</f>
        <v>921000</v>
      </c>
      <c r="AF68" s="28">
        <f t="shared" si="3"/>
        <v>0</v>
      </c>
    </row>
    <row r="69" spans="2:32" x14ac:dyDescent="0.3">
      <c r="B69" s="14" t="str">
        <f t="shared" ref="B69:B132" si="4">D69&amp;F69&amp;H69&amp;I69&amp;J69</f>
        <v>45191994511001049CampaignProductn-N2422511200104</v>
      </c>
      <c r="C69" s="21" t="s">
        <v>2957</v>
      </c>
      <c r="D69" s="22">
        <v>4519199</v>
      </c>
      <c r="E69" s="21" t="s">
        <v>393</v>
      </c>
      <c r="F69" s="22">
        <v>4511001049</v>
      </c>
      <c r="G69" s="21" t="s">
        <v>1324</v>
      </c>
      <c r="H69" s="21" t="s">
        <v>1325</v>
      </c>
      <c r="I69" s="22">
        <v>422511</v>
      </c>
      <c r="J69" s="22">
        <v>200104</v>
      </c>
      <c r="K69" s="22" t="s">
        <v>2959</v>
      </c>
      <c r="L69" s="22">
        <v>70702</v>
      </c>
      <c r="M69" s="23" t="s">
        <v>2961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</v>
      </c>
      <c r="T69" s="24">
        <v>0</v>
      </c>
      <c r="U69" s="24">
        <v>0</v>
      </c>
      <c r="V69" s="24">
        <v>350000</v>
      </c>
      <c r="W69" s="24">
        <v>0</v>
      </c>
      <c r="X69" s="24">
        <v>0</v>
      </c>
      <c r="Y69" s="24">
        <v>0</v>
      </c>
      <c r="Z69" s="24">
        <f t="shared" ref="Z69:Z132" si="5">SUM(N69:Y69)</f>
        <v>350000</v>
      </c>
      <c r="AB69" s="25">
        <v>350000</v>
      </c>
      <c r="AC69" s="26">
        <v>350000</v>
      </c>
      <c r="AD69" s="24">
        <v>0</v>
      </c>
      <c r="AE69" s="27">
        <f>_xlfn.XLOOKUP(B69,'Projects Cashflow'!$B:$B,'Projects Cashflow'!$AG:$AG,0)</f>
        <v>350000</v>
      </c>
      <c r="AF69" s="28">
        <f t="shared" ref="AF69:AF132" si="6">AE69-AB69</f>
        <v>0</v>
      </c>
    </row>
    <row r="70" spans="2:32" x14ac:dyDescent="0.3">
      <c r="B70" s="14" t="str">
        <f t="shared" si="4"/>
        <v>45191994511001505Book Acquisition-NC491811300105</v>
      </c>
      <c r="C70" s="21" t="s">
        <v>2957</v>
      </c>
      <c r="D70" s="22">
        <v>4519199</v>
      </c>
      <c r="E70" s="21" t="s">
        <v>393</v>
      </c>
      <c r="F70" s="22">
        <v>4511001505</v>
      </c>
      <c r="G70" s="21" t="s">
        <v>1882</v>
      </c>
      <c r="H70" s="21" t="s">
        <v>1883</v>
      </c>
      <c r="I70" s="22">
        <v>491811</v>
      </c>
      <c r="J70" s="22">
        <v>300105</v>
      </c>
      <c r="K70" s="22" t="s">
        <v>2972</v>
      </c>
      <c r="L70" s="22">
        <v>70704</v>
      </c>
      <c r="M70" s="23" t="s">
        <v>2960</v>
      </c>
      <c r="N70" s="24">
        <v>0</v>
      </c>
      <c r="O70" s="24">
        <v>0</v>
      </c>
      <c r="P70" s="24">
        <v>0</v>
      </c>
      <c r="Q70" s="24">
        <v>45000</v>
      </c>
      <c r="R70" s="24">
        <v>35000</v>
      </c>
      <c r="S70" s="24">
        <v>25000</v>
      </c>
      <c r="T70" s="24">
        <v>15000</v>
      </c>
      <c r="U70" s="24">
        <v>25000</v>
      </c>
      <c r="V70" s="24">
        <v>0</v>
      </c>
      <c r="W70" s="24">
        <v>50000</v>
      </c>
      <c r="X70" s="24">
        <v>60000</v>
      </c>
      <c r="Y70" s="24">
        <v>75568</v>
      </c>
      <c r="Z70" s="24">
        <f t="shared" si="5"/>
        <v>330568</v>
      </c>
      <c r="AB70" s="25">
        <v>330568</v>
      </c>
      <c r="AC70" s="26">
        <v>330568</v>
      </c>
      <c r="AD70" s="24">
        <v>0</v>
      </c>
      <c r="AE70" s="27">
        <f>_xlfn.XLOOKUP(B70,'Projects Cashflow'!$B:$B,'Projects Cashflow'!$AG:$AG,0)</f>
        <v>330568</v>
      </c>
      <c r="AF70" s="28">
        <f t="shared" si="6"/>
        <v>0</v>
      </c>
    </row>
    <row r="71" spans="2:32" x14ac:dyDescent="0.3">
      <c r="B71" s="14" t="str">
        <f t="shared" si="4"/>
        <v>45192004511000729Design &amp; Build-N2424221200104</v>
      </c>
      <c r="C71" s="21" t="s">
        <v>2957</v>
      </c>
      <c r="D71" s="22">
        <v>4519200</v>
      </c>
      <c r="E71" s="21" t="s">
        <v>961</v>
      </c>
      <c r="F71" s="22">
        <v>4511000729</v>
      </c>
      <c r="G71" s="21" t="s">
        <v>959</v>
      </c>
      <c r="H71" s="21" t="s">
        <v>963</v>
      </c>
      <c r="I71" s="22">
        <v>424221</v>
      </c>
      <c r="J71" s="22">
        <v>200104</v>
      </c>
      <c r="K71" s="22" t="s">
        <v>2959</v>
      </c>
      <c r="L71" s="22">
        <v>70703</v>
      </c>
      <c r="M71" s="23" t="s">
        <v>2961</v>
      </c>
      <c r="N71" s="24">
        <v>0</v>
      </c>
      <c r="O71" s="24">
        <v>0</v>
      </c>
      <c r="P71" s="24">
        <v>0</v>
      </c>
      <c r="Q71" s="24">
        <v>3941465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f t="shared" si="5"/>
        <v>3941465</v>
      </c>
      <c r="AB71" s="25">
        <v>3766465</v>
      </c>
      <c r="AC71" s="26">
        <v>3766465</v>
      </c>
      <c r="AD71" s="24">
        <v>0</v>
      </c>
      <c r="AE71" s="27">
        <f>_xlfn.XLOOKUP(B71,'Projects Cashflow'!$B:$B,'Projects Cashflow'!$AG:$AG,0)</f>
        <v>3766465</v>
      </c>
      <c r="AF71" s="28">
        <f t="shared" si="6"/>
        <v>0</v>
      </c>
    </row>
    <row r="72" spans="2:32" x14ac:dyDescent="0.3">
      <c r="B72" s="14" t="str">
        <f t="shared" si="4"/>
        <v>45192004511000729Activation&amp;Prog-N2422401200104</v>
      </c>
      <c r="C72" s="21" t="s">
        <v>2957</v>
      </c>
      <c r="D72" s="22">
        <v>4519200</v>
      </c>
      <c r="E72" s="21" t="s">
        <v>961</v>
      </c>
      <c r="F72" s="22">
        <v>4511000729</v>
      </c>
      <c r="G72" s="21" t="s">
        <v>959</v>
      </c>
      <c r="H72" s="21" t="s">
        <v>853</v>
      </c>
      <c r="I72" s="22">
        <v>422401</v>
      </c>
      <c r="J72" s="22">
        <v>200104</v>
      </c>
      <c r="K72" s="22" t="s">
        <v>2959</v>
      </c>
      <c r="L72" s="22">
        <v>70703</v>
      </c>
      <c r="M72" s="23" t="s">
        <v>2961</v>
      </c>
      <c r="N72" s="24">
        <v>0</v>
      </c>
      <c r="O72" s="24">
        <v>0</v>
      </c>
      <c r="P72" s="24">
        <v>0</v>
      </c>
      <c r="Q72" s="24">
        <v>1461316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f t="shared" si="5"/>
        <v>1461316</v>
      </c>
      <c r="AB72" s="25">
        <v>1461316</v>
      </c>
      <c r="AC72" s="26">
        <v>1461316</v>
      </c>
      <c r="AD72" s="24">
        <v>0</v>
      </c>
      <c r="AE72" s="27">
        <f>_xlfn.XLOOKUP(B72,'Projects Cashflow'!$B:$B,'Projects Cashflow'!$AG:$AG,0)</f>
        <v>1461316</v>
      </c>
      <c r="AF72" s="28">
        <f t="shared" si="6"/>
        <v>0</v>
      </c>
    </row>
    <row r="73" spans="2:32" x14ac:dyDescent="0.3">
      <c r="B73" s="14" t="str">
        <f t="shared" si="4"/>
        <v>45192004511000729Mission &amp; Travel-N2423821200104</v>
      </c>
      <c r="C73" s="21" t="s">
        <v>2957</v>
      </c>
      <c r="D73" s="22">
        <v>4519200</v>
      </c>
      <c r="E73" s="21" t="s">
        <v>961</v>
      </c>
      <c r="F73" s="22">
        <v>4511000729</v>
      </c>
      <c r="G73" s="21" t="s">
        <v>959</v>
      </c>
      <c r="H73" s="21" t="s">
        <v>867</v>
      </c>
      <c r="I73" s="22">
        <v>423821</v>
      </c>
      <c r="J73" s="22">
        <v>200104</v>
      </c>
      <c r="K73" s="22" t="s">
        <v>2959</v>
      </c>
      <c r="L73" s="22">
        <v>70703</v>
      </c>
      <c r="M73" s="23" t="s">
        <v>2961</v>
      </c>
      <c r="N73" s="24">
        <v>0</v>
      </c>
      <c r="O73" s="24">
        <v>51200</v>
      </c>
      <c r="P73" s="24">
        <v>900</v>
      </c>
      <c r="Q73" s="24">
        <v>266207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0</v>
      </c>
      <c r="Z73" s="24">
        <f t="shared" si="5"/>
        <v>318307</v>
      </c>
      <c r="AB73" s="25">
        <v>312579</v>
      </c>
      <c r="AC73" s="26">
        <v>312579</v>
      </c>
      <c r="AD73" s="24">
        <v>0</v>
      </c>
      <c r="AE73" s="27">
        <f>_xlfn.XLOOKUP(B73,'Projects Cashflow'!$B:$B,'Projects Cashflow'!$AG:$AG,0)</f>
        <v>312579</v>
      </c>
      <c r="AF73" s="28">
        <f t="shared" si="6"/>
        <v>0</v>
      </c>
    </row>
    <row r="74" spans="2:32" x14ac:dyDescent="0.3">
      <c r="B74" s="14" t="str">
        <f t="shared" si="4"/>
        <v>45192004511000729Hospitality-N2424761200104</v>
      </c>
      <c r="C74" s="21" t="s">
        <v>2957</v>
      </c>
      <c r="D74" s="22">
        <v>4519200</v>
      </c>
      <c r="E74" s="21" t="s">
        <v>961</v>
      </c>
      <c r="F74" s="22">
        <v>4511000729</v>
      </c>
      <c r="G74" s="21" t="s">
        <v>959</v>
      </c>
      <c r="H74" s="21" t="s">
        <v>637</v>
      </c>
      <c r="I74" s="22">
        <v>424761</v>
      </c>
      <c r="J74" s="22">
        <v>200104</v>
      </c>
      <c r="K74" s="22" t="s">
        <v>2959</v>
      </c>
      <c r="L74" s="22">
        <v>70703</v>
      </c>
      <c r="M74" s="23" t="s">
        <v>2961</v>
      </c>
      <c r="N74" s="24">
        <v>0</v>
      </c>
      <c r="O74" s="24">
        <v>0</v>
      </c>
      <c r="P74" s="24">
        <v>0</v>
      </c>
      <c r="Q74" s="24">
        <v>46850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f t="shared" si="5"/>
        <v>46850</v>
      </c>
      <c r="AB74" s="25">
        <v>52578</v>
      </c>
      <c r="AC74" s="26">
        <v>52578</v>
      </c>
      <c r="AD74" s="24">
        <v>0</v>
      </c>
      <c r="AE74" s="27">
        <f>_xlfn.XLOOKUP(B74,'Projects Cashflow'!$B:$B,'Projects Cashflow'!$AG:$AG,0)</f>
        <v>52578</v>
      </c>
      <c r="AF74" s="28">
        <f t="shared" si="6"/>
        <v>0</v>
      </c>
    </row>
    <row r="75" spans="2:32" x14ac:dyDescent="0.3">
      <c r="B75" s="14" t="str">
        <f t="shared" si="4"/>
        <v>45192004511000730Design &amp; Build-N2424221200104</v>
      </c>
      <c r="C75" s="21" t="s">
        <v>2957</v>
      </c>
      <c r="D75" s="22">
        <v>4519200</v>
      </c>
      <c r="E75" s="21" t="s">
        <v>961</v>
      </c>
      <c r="F75" s="22">
        <v>4511000730</v>
      </c>
      <c r="G75" s="21" t="s">
        <v>970</v>
      </c>
      <c r="H75" s="21" t="s">
        <v>963</v>
      </c>
      <c r="I75" s="22">
        <v>424221</v>
      </c>
      <c r="J75" s="22">
        <v>200104</v>
      </c>
      <c r="K75" s="22" t="s">
        <v>2959</v>
      </c>
      <c r="L75" s="22">
        <v>70703</v>
      </c>
      <c r="M75" s="23" t="s">
        <v>2961</v>
      </c>
      <c r="N75" s="24">
        <v>0</v>
      </c>
      <c r="O75" s="24">
        <v>0</v>
      </c>
      <c r="P75" s="24">
        <v>0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3448848</v>
      </c>
      <c r="Z75" s="24">
        <f t="shared" si="5"/>
        <v>3448848</v>
      </c>
      <c r="AB75" s="25">
        <v>3448848</v>
      </c>
      <c r="AC75" s="26">
        <v>3448848</v>
      </c>
      <c r="AD75" s="24">
        <v>0</v>
      </c>
      <c r="AE75" s="27">
        <f>_xlfn.XLOOKUP(B75,'Projects Cashflow'!$B:$B,'Projects Cashflow'!$AG:$AG,0)</f>
        <v>3448848</v>
      </c>
      <c r="AF75" s="28">
        <f t="shared" si="6"/>
        <v>0</v>
      </c>
    </row>
    <row r="76" spans="2:32" x14ac:dyDescent="0.3">
      <c r="B76" s="14" t="str">
        <f t="shared" si="4"/>
        <v>45192004511000730Licenses Fees-N424131200104</v>
      </c>
      <c r="C76" s="21" t="s">
        <v>2957</v>
      </c>
      <c r="D76" s="22">
        <v>4519200</v>
      </c>
      <c r="E76" s="21" t="s">
        <v>961</v>
      </c>
      <c r="F76" s="22">
        <v>4511000730</v>
      </c>
      <c r="G76" s="21" t="s">
        <v>970</v>
      </c>
      <c r="H76" s="21" t="s">
        <v>365</v>
      </c>
      <c r="I76" s="22">
        <v>424131</v>
      </c>
      <c r="J76" s="22">
        <v>200104</v>
      </c>
      <c r="K76" s="22" t="s">
        <v>2959</v>
      </c>
      <c r="L76" s="22">
        <v>70703</v>
      </c>
      <c r="M76" s="23" t="s">
        <v>2961</v>
      </c>
      <c r="N76" s="24">
        <v>0</v>
      </c>
      <c r="O76" s="24">
        <v>0</v>
      </c>
      <c r="P76" s="24">
        <v>0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646000</v>
      </c>
      <c r="Z76" s="24">
        <f t="shared" si="5"/>
        <v>646000</v>
      </c>
      <c r="AB76" s="25">
        <v>646000</v>
      </c>
      <c r="AC76" s="26">
        <v>646000</v>
      </c>
      <c r="AD76" s="24">
        <v>0</v>
      </c>
      <c r="AE76" s="27">
        <f>_xlfn.XLOOKUP(B76,'Projects Cashflow'!$B:$B,'Projects Cashflow'!$AG:$AG,0)</f>
        <v>646000</v>
      </c>
      <c r="AF76" s="28">
        <f t="shared" si="6"/>
        <v>0</v>
      </c>
    </row>
    <row r="77" spans="2:32" x14ac:dyDescent="0.3">
      <c r="B77" s="14" t="str">
        <f t="shared" si="4"/>
        <v>45192004511000730Activation&amp;Prog-N2422401200104</v>
      </c>
      <c r="C77" s="21" t="s">
        <v>2957</v>
      </c>
      <c r="D77" s="22">
        <v>4519200</v>
      </c>
      <c r="E77" s="21" t="s">
        <v>961</v>
      </c>
      <c r="F77" s="22">
        <v>4511000730</v>
      </c>
      <c r="G77" s="21" t="s">
        <v>970</v>
      </c>
      <c r="H77" s="21" t="s">
        <v>853</v>
      </c>
      <c r="I77" s="22">
        <v>422401</v>
      </c>
      <c r="J77" s="22">
        <v>200104</v>
      </c>
      <c r="K77" s="22" t="s">
        <v>2959</v>
      </c>
      <c r="L77" s="22">
        <v>70703</v>
      </c>
      <c r="M77" s="23" t="s">
        <v>2961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550000</v>
      </c>
      <c r="Z77" s="24">
        <f t="shared" si="5"/>
        <v>550000</v>
      </c>
      <c r="AB77" s="25">
        <v>550000</v>
      </c>
      <c r="AC77" s="26">
        <v>550000</v>
      </c>
      <c r="AD77" s="24">
        <v>0</v>
      </c>
      <c r="AE77" s="27">
        <f>_xlfn.XLOOKUP(B77,'Projects Cashflow'!$B:$B,'Projects Cashflow'!$AG:$AG,0)</f>
        <v>550000</v>
      </c>
      <c r="AF77" s="28">
        <f t="shared" si="6"/>
        <v>0</v>
      </c>
    </row>
    <row r="78" spans="2:32" x14ac:dyDescent="0.3">
      <c r="B78" s="14" t="str">
        <f t="shared" si="4"/>
        <v>45192004511000730Mission &amp; Travel-N2423821200104</v>
      </c>
      <c r="C78" s="21" t="s">
        <v>2957</v>
      </c>
      <c r="D78" s="22">
        <v>4519200</v>
      </c>
      <c r="E78" s="21" t="s">
        <v>961</v>
      </c>
      <c r="F78" s="22">
        <v>4511000730</v>
      </c>
      <c r="G78" s="21" t="s">
        <v>970</v>
      </c>
      <c r="H78" s="21" t="s">
        <v>867</v>
      </c>
      <c r="I78" s="22">
        <v>423821</v>
      </c>
      <c r="J78" s="22">
        <v>200104</v>
      </c>
      <c r="K78" s="22" t="s">
        <v>2959</v>
      </c>
      <c r="L78" s="22">
        <v>70703</v>
      </c>
      <c r="M78" s="23" t="s">
        <v>2961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407000</v>
      </c>
      <c r="Y78" s="24">
        <v>0</v>
      </c>
      <c r="Z78" s="24">
        <f t="shared" si="5"/>
        <v>407000</v>
      </c>
      <c r="AB78" s="25">
        <v>407000</v>
      </c>
      <c r="AC78" s="26">
        <v>407000</v>
      </c>
      <c r="AD78" s="24">
        <v>0</v>
      </c>
      <c r="AE78" s="27">
        <f>_xlfn.XLOOKUP(B78,'Projects Cashflow'!$B:$B,'Projects Cashflow'!$AG:$AG,0)</f>
        <v>407000</v>
      </c>
      <c r="AF78" s="28">
        <f t="shared" si="6"/>
        <v>0</v>
      </c>
    </row>
    <row r="79" spans="2:32" x14ac:dyDescent="0.3">
      <c r="B79" s="14" t="str">
        <f t="shared" si="4"/>
        <v>45192004511000730Hospitality-N2424761200104</v>
      </c>
      <c r="C79" s="21" t="s">
        <v>2957</v>
      </c>
      <c r="D79" s="22">
        <v>4519200</v>
      </c>
      <c r="E79" s="21" t="s">
        <v>961</v>
      </c>
      <c r="F79" s="22">
        <v>4511000730</v>
      </c>
      <c r="G79" s="21" t="s">
        <v>970</v>
      </c>
      <c r="H79" s="21" t="s">
        <v>637</v>
      </c>
      <c r="I79" s="22">
        <v>424761</v>
      </c>
      <c r="J79" s="22">
        <v>200104</v>
      </c>
      <c r="K79" s="22" t="s">
        <v>2959</v>
      </c>
      <c r="L79" s="22">
        <v>70703</v>
      </c>
      <c r="M79" s="23" t="s">
        <v>2961</v>
      </c>
      <c r="N79" s="24">
        <v>0</v>
      </c>
      <c r="O79" s="24">
        <v>0</v>
      </c>
      <c r="P79" s="24">
        <v>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171000</v>
      </c>
      <c r="Z79" s="24">
        <f t="shared" si="5"/>
        <v>171000</v>
      </c>
      <c r="AB79" s="25">
        <v>171000</v>
      </c>
      <c r="AC79" s="26">
        <v>171000</v>
      </c>
      <c r="AD79" s="24">
        <v>0</v>
      </c>
      <c r="AE79" s="27">
        <f>_xlfn.XLOOKUP(B79,'Projects Cashflow'!$B:$B,'Projects Cashflow'!$AG:$AG,0)</f>
        <v>171000</v>
      </c>
      <c r="AF79" s="28">
        <f t="shared" si="6"/>
        <v>0</v>
      </c>
    </row>
    <row r="80" spans="2:32" x14ac:dyDescent="0.3">
      <c r="B80" s="14" t="str">
        <f t="shared" si="4"/>
        <v>45192004511000730Event Consumable-N3421125200104</v>
      </c>
      <c r="C80" s="21" t="s">
        <v>2957</v>
      </c>
      <c r="D80" s="22">
        <v>4519200</v>
      </c>
      <c r="E80" s="21" t="s">
        <v>961</v>
      </c>
      <c r="F80" s="22">
        <v>4511000730</v>
      </c>
      <c r="G80" s="21" t="s">
        <v>970</v>
      </c>
      <c r="H80" s="21" t="s">
        <v>971</v>
      </c>
      <c r="I80" s="33">
        <v>421125</v>
      </c>
      <c r="J80" s="22">
        <v>200104</v>
      </c>
      <c r="K80" s="22" t="s">
        <v>2959</v>
      </c>
      <c r="L80" s="22">
        <v>70703</v>
      </c>
      <c r="M80" s="23" t="s">
        <v>2961</v>
      </c>
      <c r="N80" s="24">
        <v>0</v>
      </c>
      <c r="O80" s="24">
        <v>0</v>
      </c>
      <c r="P80" s="24">
        <v>0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170000</v>
      </c>
      <c r="Z80" s="24">
        <f t="shared" si="5"/>
        <v>170000</v>
      </c>
      <c r="AB80" s="25">
        <v>170000</v>
      </c>
      <c r="AC80" s="26">
        <v>170000</v>
      </c>
      <c r="AD80" s="24">
        <v>0</v>
      </c>
      <c r="AE80" s="27">
        <f>_xlfn.XLOOKUP(B80,'Projects Cashflow'!$B:$B,'Projects Cashflow'!$AG:$AG,0)</f>
        <v>170000</v>
      </c>
      <c r="AF80" s="28">
        <f t="shared" si="6"/>
        <v>0</v>
      </c>
    </row>
    <row r="81" spans="2:32" x14ac:dyDescent="0.3">
      <c r="B81" s="14" t="str">
        <f t="shared" si="4"/>
        <v>45192004511000768Activation&amp;Prog-N1422401200104</v>
      </c>
      <c r="C81" s="21" t="s">
        <v>2957</v>
      </c>
      <c r="D81" s="22">
        <v>4519200</v>
      </c>
      <c r="E81" s="21" t="s">
        <v>961</v>
      </c>
      <c r="F81" s="22">
        <v>4511000768</v>
      </c>
      <c r="G81" s="21" t="s">
        <v>2973</v>
      </c>
      <c r="H81" s="21" t="s">
        <v>371</v>
      </c>
      <c r="I81" s="22">
        <v>422401</v>
      </c>
      <c r="J81" s="22">
        <v>200104</v>
      </c>
      <c r="K81" s="22" t="s">
        <v>2959</v>
      </c>
      <c r="L81" s="22">
        <v>70701</v>
      </c>
      <c r="M81" s="23" t="s">
        <v>2960</v>
      </c>
      <c r="N81" s="24">
        <v>0</v>
      </c>
      <c r="O81" s="24">
        <v>4000</v>
      </c>
      <c r="P81" s="24">
        <v>23209</v>
      </c>
      <c r="Q81" s="24">
        <v>58132</v>
      </c>
      <c r="R81" s="24">
        <v>28447</v>
      </c>
      <c r="S81" s="24">
        <v>28447</v>
      </c>
      <c r="T81" s="24">
        <v>28447</v>
      </c>
      <c r="U81" s="24">
        <v>28447</v>
      </c>
      <c r="V81" s="24">
        <v>28447</v>
      </c>
      <c r="W81" s="24">
        <v>28447</v>
      </c>
      <c r="X81" s="24">
        <v>28447</v>
      </c>
      <c r="Y81" s="24">
        <v>28446</v>
      </c>
      <c r="Z81" s="24">
        <f t="shared" si="5"/>
        <v>312916</v>
      </c>
      <c r="AB81" s="25">
        <v>516916</v>
      </c>
      <c r="AC81" s="26">
        <v>516916</v>
      </c>
      <c r="AD81" s="24">
        <v>0</v>
      </c>
      <c r="AE81" s="27">
        <f>_xlfn.XLOOKUP(B81,'Projects Cashflow'!$B:$B,'Projects Cashflow'!$AG:$AG,0)</f>
        <v>516916</v>
      </c>
      <c r="AF81" s="28">
        <f t="shared" si="6"/>
        <v>0</v>
      </c>
    </row>
    <row r="82" spans="2:32" x14ac:dyDescent="0.3">
      <c r="B82" s="14" t="str">
        <f t="shared" si="4"/>
        <v>45192004511000769Design &amp; Build-N2424221200104</v>
      </c>
      <c r="C82" s="21" t="s">
        <v>2957</v>
      </c>
      <c r="D82" s="22">
        <v>4519200</v>
      </c>
      <c r="E82" s="21" t="s">
        <v>961</v>
      </c>
      <c r="F82" s="22">
        <v>4511000769</v>
      </c>
      <c r="G82" s="21" t="s">
        <v>2964</v>
      </c>
      <c r="H82" s="21" t="s">
        <v>963</v>
      </c>
      <c r="I82" s="22">
        <v>424221</v>
      </c>
      <c r="J82" s="22">
        <v>200104</v>
      </c>
      <c r="K82" s="22" t="s">
        <v>2959</v>
      </c>
      <c r="L82" s="22">
        <v>70703</v>
      </c>
      <c r="M82" s="23" t="s">
        <v>2961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10708691</v>
      </c>
      <c r="Y82" s="24">
        <v>0</v>
      </c>
      <c r="Z82" s="24">
        <f t="shared" si="5"/>
        <v>10708691</v>
      </c>
      <c r="AB82" s="25">
        <v>10708691</v>
      </c>
      <c r="AC82" s="26">
        <v>10708691</v>
      </c>
      <c r="AD82" s="24">
        <v>0</v>
      </c>
      <c r="AE82" s="27">
        <f>_xlfn.XLOOKUP(B82,'Projects Cashflow'!$B:$B,'Projects Cashflow'!$AG:$AG,0)</f>
        <v>10708691</v>
      </c>
      <c r="AF82" s="28">
        <f t="shared" si="6"/>
        <v>0</v>
      </c>
    </row>
    <row r="83" spans="2:32" x14ac:dyDescent="0.3">
      <c r="B83" s="14" t="str">
        <f t="shared" si="4"/>
        <v>45192004511000769Venue&amp;Room Rent-N2422401200104</v>
      </c>
      <c r="C83" s="21" t="s">
        <v>2957</v>
      </c>
      <c r="D83" s="22">
        <v>4519200</v>
      </c>
      <c r="E83" s="21" t="s">
        <v>961</v>
      </c>
      <c r="F83" s="22">
        <v>4511000769</v>
      </c>
      <c r="G83" s="21" t="s">
        <v>2964</v>
      </c>
      <c r="H83" s="21" t="s">
        <v>1051</v>
      </c>
      <c r="I83" s="22">
        <v>422401</v>
      </c>
      <c r="J83" s="22">
        <v>200104</v>
      </c>
      <c r="K83" s="22" t="s">
        <v>2959</v>
      </c>
      <c r="L83" s="22">
        <v>70703</v>
      </c>
      <c r="M83" s="23" t="s">
        <v>2961</v>
      </c>
      <c r="N83" s="24">
        <v>0</v>
      </c>
      <c r="O83" s="24">
        <v>0</v>
      </c>
      <c r="P83" s="24">
        <v>0</v>
      </c>
      <c r="Q83" s="24">
        <v>0</v>
      </c>
      <c r="R83" s="24">
        <v>0</v>
      </c>
      <c r="S83" s="24">
        <v>0</v>
      </c>
      <c r="T83" s="24">
        <v>0</v>
      </c>
      <c r="U83" s="24">
        <v>9725309</v>
      </c>
      <c r="V83" s="24">
        <v>0</v>
      </c>
      <c r="W83" s="24">
        <v>0</v>
      </c>
      <c r="X83" s="24">
        <v>0</v>
      </c>
      <c r="Y83" s="24">
        <v>0</v>
      </c>
      <c r="Z83" s="24">
        <f t="shared" si="5"/>
        <v>9725309</v>
      </c>
      <c r="AB83" s="25">
        <v>7067685</v>
      </c>
      <c r="AC83" s="26">
        <v>7067685</v>
      </c>
      <c r="AD83" s="24">
        <v>0</v>
      </c>
      <c r="AE83" s="27">
        <f>_xlfn.XLOOKUP(B83,'Projects Cashflow'!$B:$B,'Projects Cashflow'!$AG:$AG,0)</f>
        <v>7067685</v>
      </c>
      <c r="AF83" s="28">
        <f t="shared" si="6"/>
        <v>0</v>
      </c>
    </row>
    <row r="84" spans="2:32" x14ac:dyDescent="0.3">
      <c r="B84" s="14" t="str">
        <f t="shared" si="4"/>
        <v>45154004511000943MICE-Association-N461412200104</v>
      </c>
      <c r="C84" s="34" t="s">
        <v>211</v>
      </c>
      <c r="D84" s="35">
        <v>4515400</v>
      </c>
      <c r="E84" s="34" t="s">
        <v>212</v>
      </c>
      <c r="F84" s="35">
        <v>4511000943</v>
      </c>
      <c r="G84" s="34" t="s">
        <v>1260</v>
      </c>
      <c r="H84" s="34" t="s">
        <v>1261</v>
      </c>
      <c r="I84" s="35">
        <v>461412</v>
      </c>
      <c r="J84" s="35">
        <v>200104</v>
      </c>
      <c r="K84" s="35" t="s">
        <v>2959</v>
      </c>
      <c r="L84" s="22">
        <v>70602</v>
      </c>
      <c r="M84" s="36" t="s">
        <v>2961</v>
      </c>
      <c r="N84" s="24">
        <v>0</v>
      </c>
      <c r="O84" s="24">
        <v>0</v>
      </c>
      <c r="P84" s="24">
        <v>0</v>
      </c>
      <c r="Q84" s="24">
        <v>42339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f t="shared" si="5"/>
        <v>42339</v>
      </c>
      <c r="AB84" s="37">
        <v>42339</v>
      </c>
      <c r="AC84" s="38">
        <v>42339.1</v>
      </c>
      <c r="AD84" s="39">
        <v>-9.9999999998544808E-2</v>
      </c>
      <c r="AE84" s="27">
        <f>_xlfn.XLOOKUP(B84,'Projects Cashflow'!$B:$B,'Projects Cashflow'!$AG:$AG,0)</f>
        <v>42339.1</v>
      </c>
      <c r="AF84" s="28">
        <f t="shared" si="6"/>
        <v>9.9999999998544808E-2</v>
      </c>
    </row>
    <row r="85" spans="2:32" x14ac:dyDescent="0.3">
      <c r="B85" s="14" t="str">
        <f t="shared" si="4"/>
        <v>45192004511000769Event Consumable-N2421125200104</v>
      </c>
      <c r="C85" s="21" t="s">
        <v>2957</v>
      </c>
      <c r="D85" s="22">
        <v>4519200</v>
      </c>
      <c r="E85" s="21" t="s">
        <v>961</v>
      </c>
      <c r="F85" s="22">
        <v>4511000769</v>
      </c>
      <c r="G85" s="21" t="s">
        <v>2964</v>
      </c>
      <c r="H85" s="21" t="s">
        <v>1045</v>
      </c>
      <c r="I85" s="33">
        <v>421125</v>
      </c>
      <c r="J85" s="22">
        <v>200104</v>
      </c>
      <c r="K85" s="22" t="s">
        <v>2959</v>
      </c>
      <c r="L85" s="22">
        <v>70704</v>
      </c>
      <c r="M85" s="23" t="s">
        <v>2961</v>
      </c>
      <c r="N85" s="24">
        <v>0</v>
      </c>
      <c r="O85" s="24">
        <v>0</v>
      </c>
      <c r="P85" s="24">
        <v>0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1388029</v>
      </c>
      <c r="X85" s="24">
        <v>1388029</v>
      </c>
      <c r="Y85" s="24">
        <v>0</v>
      </c>
      <c r="Z85" s="24">
        <f t="shared" si="5"/>
        <v>2776058</v>
      </c>
      <c r="AB85" s="25">
        <v>3407000</v>
      </c>
      <c r="AC85" s="26">
        <v>3407000</v>
      </c>
      <c r="AD85" s="24">
        <v>0</v>
      </c>
      <c r="AE85" s="27">
        <f>_xlfn.XLOOKUP(B85,'Projects Cashflow'!$B:$B,'Projects Cashflow'!$AG:$AG,0)</f>
        <v>3407000</v>
      </c>
      <c r="AF85" s="28">
        <f t="shared" si="6"/>
        <v>0</v>
      </c>
    </row>
    <row r="86" spans="2:32" x14ac:dyDescent="0.3">
      <c r="B86" s="14" t="str">
        <f t="shared" si="4"/>
        <v>45192004511000769Hospitality-N2424761200104</v>
      </c>
      <c r="C86" s="21" t="s">
        <v>2957</v>
      </c>
      <c r="D86" s="22">
        <v>4519200</v>
      </c>
      <c r="E86" s="21" t="s">
        <v>961</v>
      </c>
      <c r="F86" s="22">
        <v>4511000769</v>
      </c>
      <c r="G86" s="21" t="s">
        <v>2964</v>
      </c>
      <c r="H86" s="21" t="s">
        <v>637</v>
      </c>
      <c r="I86" s="22">
        <v>424761</v>
      </c>
      <c r="J86" s="22">
        <v>200104</v>
      </c>
      <c r="K86" s="22" t="s">
        <v>2959</v>
      </c>
      <c r="L86" s="22">
        <v>70703</v>
      </c>
      <c r="M86" s="23" t="s">
        <v>2961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2000000</v>
      </c>
      <c r="X86" s="24">
        <v>0</v>
      </c>
      <c r="Y86" s="24">
        <v>0</v>
      </c>
      <c r="Z86" s="24">
        <f t="shared" si="5"/>
        <v>2000000</v>
      </c>
      <c r="AB86" s="25">
        <v>2500000</v>
      </c>
      <c r="AC86" s="26">
        <v>2500000</v>
      </c>
      <c r="AD86" s="24">
        <v>0</v>
      </c>
      <c r="AE86" s="27">
        <f>_xlfn.XLOOKUP(B86,'Projects Cashflow'!$B:$B,'Projects Cashflow'!$AG:$AG,0)</f>
        <v>2500000</v>
      </c>
      <c r="AF86" s="28">
        <f t="shared" si="6"/>
        <v>0</v>
      </c>
    </row>
    <row r="87" spans="2:32" x14ac:dyDescent="0.3">
      <c r="B87" s="14" t="str">
        <f t="shared" si="4"/>
        <v>45192004511000769Activation&amp;Prog-N2422401200104</v>
      </c>
      <c r="C87" s="21" t="s">
        <v>2957</v>
      </c>
      <c r="D87" s="22">
        <v>4519200</v>
      </c>
      <c r="E87" s="21" t="s">
        <v>961</v>
      </c>
      <c r="F87" s="22">
        <v>4511000769</v>
      </c>
      <c r="G87" s="21" t="s">
        <v>2964</v>
      </c>
      <c r="H87" s="21" t="s">
        <v>853</v>
      </c>
      <c r="I87" s="22">
        <v>422401</v>
      </c>
      <c r="J87" s="22">
        <v>200104</v>
      </c>
      <c r="K87" s="22" t="s">
        <v>2959</v>
      </c>
      <c r="L87" s="22">
        <v>70703</v>
      </c>
      <c r="M87" s="23" t="s">
        <v>2961</v>
      </c>
      <c r="N87" s="24">
        <v>0</v>
      </c>
      <c r="O87" s="24">
        <v>0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1534890</v>
      </c>
      <c r="X87" s="24">
        <v>0</v>
      </c>
      <c r="Y87" s="24">
        <v>0</v>
      </c>
      <c r="Z87" s="24">
        <f t="shared" si="5"/>
        <v>1534890</v>
      </c>
      <c r="AB87" s="25">
        <v>2428412</v>
      </c>
      <c r="AC87" s="26">
        <v>2428412</v>
      </c>
      <c r="AD87" s="24">
        <v>0</v>
      </c>
      <c r="AE87" s="27">
        <f>_xlfn.XLOOKUP(B87,'Projects Cashflow'!$B:$B,'Projects Cashflow'!$AG:$AG,0)</f>
        <v>2428412</v>
      </c>
      <c r="AF87" s="28">
        <f t="shared" si="6"/>
        <v>0</v>
      </c>
    </row>
    <row r="88" spans="2:32" x14ac:dyDescent="0.3">
      <c r="B88" s="14" t="str">
        <f t="shared" si="4"/>
        <v>45157004511000860Co-Invest Events-N422401200104</v>
      </c>
      <c r="C88" s="21" t="s">
        <v>211</v>
      </c>
      <c r="D88" s="22">
        <v>4515700</v>
      </c>
      <c r="E88" s="21" t="s">
        <v>340</v>
      </c>
      <c r="F88" s="22">
        <v>4511000860</v>
      </c>
      <c r="G88" s="21" t="s">
        <v>1135</v>
      </c>
      <c r="H88" s="21" t="s">
        <v>523</v>
      </c>
      <c r="I88" s="22">
        <v>422401</v>
      </c>
      <c r="J88" s="22">
        <v>200104</v>
      </c>
      <c r="K88" s="22" t="s">
        <v>2959</v>
      </c>
      <c r="L88" s="22">
        <v>70501</v>
      </c>
      <c r="M88" s="23" t="s">
        <v>2960</v>
      </c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4">
        <f t="shared" si="5"/>
        <v>0</v>
      </c>
      <c r="AB88" s="25">
        <v>10000000</v>
      </c>
      <c r="AC88" s="26">
        <v>10000000</v>
      </c>
      <c r="AD88" s="24">
        <v>0</v>
      </c>
      <c r="AE88" s="27">
        <f>_xlfn.XLOOKUP(B88,'Projects Cashflow'!$B:$B,'Projects Cashflow'!$AG:$AG,0)</f>
        <v>10000000</v>
      </c>
      <c r="AF88" s="28">
        <f t="shared" si="6"/>
        <v>0</v>
      </c>
    </row>
    <row r="89" spans="2:32" x14ac:dyDescent="0.3">
      <c r="B89" s="14" t="str">
        <f t="shared" si="4"/>
        <v>45192004511000883Mission &amp; Travel-N1423821200104</v>
      </c>
      <c r="C89" s="21" t="s">
        <v>2957</v>
      </c>
      <c r="D89" s="22">
        <v>4519200</v>
      </c>
      <c r="E89" s="21" t="s">
        <v>961</v>
      </c>
      <c r="F89" s="22">
        <v>4511000883</v>
      </c>
      <c r="G89" s="21" t="s">
        <v>1198</v>
      </c>
      <c r="H89" s="21" t="s">
        <v>472</v>
      </c>
      <c r="I89" s="22">
        <v>423821</v>
      </c>
      <c r="J89" s="22">
        <v>200104</v>
      </c>
      <c r="K89" s="22" t="s">
        <v>2959</v>
      </c>
      <c r="L89" s="22">
        <v>70703</v>
      </c>
      <c r="M89" s="23" t="s">
        <v>2960</v>
      </c>
      <c r="N89" s="24">
        <v>0</v>
      </c>
      <c r="O89" s="24">
        <v>182000</v>
      </c>
      <c r="P89" s="24">
        <v>0</v>
      </c>
      <c r="Q89" s="24">
        <v>18000</v>
      </c>
      <c r="R89" s="24">
        <v>50000</v>
      </c>
      <c r="S89" s="24">
        <v>50000</v>
      </c>
      <c r="T89" s="24">
        <v>50000</v>
      </c>
      <c r="U89" s="24">
        <v>50000</v>
      </c>
      <c r="V89" s="24">
        <v>50000</v>
      </c>
      <c r="W89" s="24">
        <v>150000</v>
      </c>
      <c r="X89" s="24">
        <v>25000</v>
      </c>
      <c r="Y89" s="24">
        <v>50000</v>
      </c>
      <c r="Z89" s="24">
        <f t="shared" si="5"/>
        <v>675000</v>
      </c>
      <c r="AB89" s="25">
        <v>649000</v>
      </c>
      <c r="AC89" s="26">
        <v>675000</v>
      </c>
      <c r="AD89" s="32">
        <v>-26000</v>
      </c>
      <c r="AE89" s="27">
        <f>_xlfn.XLOOKUP(B89,'Projects Cashflow'!$B:$B,'Projects Cashflow'!$AG:$AG,0)</f>
        <v>675000</v>
      </c>
      <c r="AF89" s="28">
        <f t="shared" si="6"/>
        <v>26000</v>
      </c>
    </row>
    <row r="90" spans="2:32" x14ac:dyDescent="0.3">
      <c r="B90" s="14" t="str">
        <f t="shared" si="4"/>
        <v>45192004511000883Freelancers-N1424521200104</v>
      </c>
      <c r="C90" s="21" t="s">
        <v>2957</v>
      </c>
      <c r="D90" s="22">
        <v>4519200</v>
      </c>
      <c r="E90" s="21" t="s">
        <v>961</v>
      </c>
      <c r="F90" s="22">
        <v>4511000883</v>
      </c>
      <c r="G90" s="21" t="s">
        <v>1198</v>
      </c>
      <c r="H90" s="21" t="s">
        <v>303</v>
      </c>
      <c r="I90" s="22">
        <v>424521</v>
      </c>
      <c r="J90" s="22">
        <v>200104</v>
      </c>
      <c r="K90" s="22" t="s">
        <v>2959</v>
      </c>
      <c r="L90" s="22">
        <v>70704</v>
      </c>
      <c r="M90" s="23" t="s">
        <v>2960</v>
      </c>
      <c r="N90" s="24">
        <v>0</v>
      </c>
      <c r="O90" s="24">
        <v>36000</v>
      </c>
      <c r="P90" s="24">
        <v>0</v>
      </c>
      <c r="Q90" s="24">
        <v>36000</v>
      </c>
      <c r="R90" s="24">
        <v>18000</v>
      </c>
      <c r="S90" s="24">
        <v>18000</v>
      </c>
      <c r="T90" s="24">
        <v>18000</v>
      </c>
      <c r="U90" s="24">
        <v>18000</v>
      </c>
      <c r="V90" s="24">
        <v>18000</v>
      </c>
      <c r="W90" s="24">
        <v>18000</v>
      </c>
      <c r="X90" s="24">
        <v>18000</v>
      </c>
      <c r="Y90" s="24">
        <v>18000</v>
      </c>
      <c r="Z90" s="24">
        <f t="shared" si="5"/>
        <v>216000</v>
      </c>
      <c r="AB90" s="25">
        <v>216000</v>
      </c>
      <c r="AC90" s="26">
        <v>216000</v>
      </c>
      <c r="AD90" s="24">
        <v>0</v>
      </c>
      <c r="AE90" s="27">
        <f>_xlfn.XLOOKUP(B90,'Projects Cashflow'!$B:$B,'Projects Cashflow'!$AG:$AG,0)</f>
        <v>216000</v>
      </c>
      <c r="AF90" s="28">
        <f t="shared" si="6"/>
        <v>0</v>
      </c>
    </row>
    <row r="91" spans="2:32" x14ac:dyDescent="0.3">
      <c r="B91" s="14" t="str">
        <f t="shared" si="4"/>
        <v>45192014511000676Awards &amp; Prizes-N2424231200104</v>
      </c>
      <c r="C91" s="21" t="s">
        <v>2957</v>
      </c>
      <c r="D91" s="22">
        <v>4519201</v>
      </c>
      <c r="E91" s="21" t="s">
        <v>875</v>
      </c>
      <c r="F91" s="22">
        <v>4511000676</v>
      </c>
      <c r="G91" s="21" t="s">
        <v>872</v>
      </c>
      <c r="H91" s="21" t="s">
        <v>873</v>
      </c>
      <c r="I91" s="22">
        <v>424231</v>
      </c>
      <c r="J91" s="22">
        <v>200104</v>
      </c>
      <c r="K91" s="22" t="s">
        <v>2959</v>
      </c>
      <c r="L91" s="22">
        <v>70703</v>
      </c>
      <c r="M91" s="23" t="s">
        <v>2961</v>
      </c>
      <c r="N91" s="24">
        <v>0</v>
      </c>
      <c r="O91" s="24">
        <v>0</v>
      </c>
      <c r="P91" s="24">
        <v>0</v>
      </c>
      <c r="Q91" s="24">
        <v>0</v>
      </c>
      <c r="R91" s="24">
        <v>0</v>
      </c>
      <c r="S91" s="24">
        <v>0</v>
      </c>
      <c r="T91" s="24">
        <v>500000</v>
      </c>
      <c r="U91" s="24">
        <v>5250000</v>
      </c>
      <c r="V91" s="24">
        <v>1000000</v>
      </c>
      <c r="W91" s="24">
        <v>0</v>
      </c>
      <c r="X91" s="24">
        <v>750000</v>
      </c>
      <c r="Y91" s="24">
        <v>0</v>
      </c>
      <c r="Z91" s="24">
        <f t="shared" si="5"/>
        <v>7500000</v>
      </c>
      <c r="AB91" s="25">
        <v>7500000</v>
      </c>
      <c r="AC91" s="26">
        <v>7500000</v>
      </c>
      <c r="AD91" s="24">
        <v>0</v>
      </c>
      <c r="AE91" s="27">
        <f>_xlfn.XLOOKUP(B91,'Projects Cashflow'!$B:$B,'Projects Cashflow'!$AG:$AG,0)</f>
        <v>7500000</v>
      </c>
      <c r="AF91" s="28">
        <f t="shared" si="6"/>
        <v>0</v>
      </c>
    </row>
    <row r="92" spans="2:32" x14ac:dyDescent="0.3">
      <c r="B92" s="14" t="str">
        <f t="shared" si="4"/>
        <v>45192014511000676Event Management-N2422401200104</v>
      </c>
      <c r="C92" s="21" t="s">
        <v>2957</v>
      </c>
      <c r="D92" s="22">
        <v>4519201</v>
      </c>
      <c r="E92" s="21" t="s">
        <v>875</v>
      </c>
      <c r="F92" s="22">
        <v>4511000676</v>
      </c>
      <c r="G92" s="21" t="s">
        <v>872</v>
      </c>
      <c r="H92" s="21" t="s">
        <v>387</v>
      </c>
      <c r="I92" s="22">
        <v>422401</v>
      </c>
      <c r="J92" s="22">
        <v>200104</v>
      </c>
      <c r="K92" s="22" t="s">
        <v>2959</v>
      </c>
      <c r="L92" s="22">
        <v>70703</v>
      </c>
      <c r="M92" s="23" t="s">
        <v>2961</v>
      </c>
      <c r="N92" s="24">
        <v>0</v>
      </c>
      <c r="O92" s="24">
        <v>0</v>
      </c>
      <c r="P92" s="24">
        <v>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4400000</v>
      </c>
      <c r="W92" s="24">
        <v>0</v>
      </c>
      <c r="X92" s="24">
        <v>0</v>
      </c>
      <c r="Y92" s="24">
        <v>0</v>
      </c>
      <c r="Z92" s="24">
        <f t="shared" si="5"/>
        <v>4400000</v>
      </c>
      <c r="AB92" s="25">
        <v>4400000</v>
      </c>
      <c r="AC92" s="26">
        <v>4400000</v>
      </c>
      <c r="AD92" s="24">
        <v>0</v>
      </c>
      <c r="AE92" s="27">
        <f>_xlfn.XLOOKUP(B92,'Projects Cashflow'!$B:$B,'Projects Cashflow'!$AG:$AG,0)</f>
        <v>4400000</v>
      </c>
      <c r="AF92" s="28">
        <f t="shared" si="6"/>
        <v>0</v>
      </c>
    </row>
    <row r="93" spans="2:32" x14ac:dyDescent="0.3">
      <c r="B93" s="14" t="str">
        <f t="shared" si="4"/>
        <v>45192014511000676PR&amp;MediaCoverage-N2424781200104</v>
      </c>
      <c r="C93" s="21" t="s">
        <v>2957</v>
      </c>
      <c r="D93" s="22">
        <v>4519201</v>
      </c>
      <c r="E93" s="21" t="s">
        <v>875</v>
      </c>
      <c r="F93" s="22">
        <v>4511000676</v>
      </c>
      <c r="G93" s="21" t="s">
        <v>872</v>
      </c>
      <c r="H93" s="21" t="s">
        <v>884</v>
      </c>
      <c r="I93" s="22">
        <v>424781</v>
      </c>
      <c r="J93" s="22">
        <v>200104</v>
      </c>
      <c r="K93" s="22" t="s">
        <v>2959</v>
      </c>
      <c r="L93" s="22">
        <v>70703</v>
      </c>
      <c r="M93" s="23" t="s">
        <v>2961</v>
      </c>
      <c r="N93" s="24">
        <v>0</v>
      </c>
      <c r="O93" s="24">
        <v>0</v>
      </c>
      <c r="P93" s="24">
        <v>0</v>
      </c>
      <c r="Q93" s="24">
        <v>582000</v>
      </c>
      <c r="R93" s="24">
        <v>0</v>
      </c>
      <c r="S93" s="24">
        <v>0</v>
      </c>
      <c r="T93" s="24">
        <v>582000</v>
      </c>
      <c r="U93" s="24">
        <v>117500</v>
      </c>
      <c r="V93" s="24">
        <v>0</v>
      </c>
      <c r="W93" s="24">
        <v>0</v>
      </c>
      <c r="X93" s="24">
        <v>0</v>
      </c>
      <c r="Y93" s="24">
        <v>1000000</v>
      </c>
      <c r="Z93" s="24">
        <f t="shared" si="5"/>
        <v>2281500</v>
      </c>
      <c r="AB93" s="25">
        <v>2281500</v>
      </c>
      <c r="AC93" s="26">
        <v>2281500</v>
      </c>
      <c r="AD93" s="24">
        <v>0</v>
      </c>
      <c r="AE93" s="27">
        <f>_xlfn.XLOOKUP(B93,'Projects Cashflow'!$B:$B,'Projects Cashflow'!$AG:$AG,0)</f>
        <v>2281500</v>
      </c>
      <c r="AF93" s="28">
        <f t="shared" si="6"/>
        <v>0</v>
      </c>
    </row>
    <row r="94" spans="2:32" x14ac:dyDescent="0.3">
      <c r="B94" s="14" t="str">
        <f t="shared" si="4"/>
        <v>45192014511000676Committee Member-N2421115200104</v>
      </c>
      <c r="C94" s="21" t="s">
        <v>2957</v>
      </c>
      <c r="D94" s="22">
        <v>4519201</v>
      </c>
      <c r="E94" s="21" t="s">
        <v>875</v>
      </c>
      <c r="F94" s="22">
        <v>4511000676</v>
      </c>
      <c r="G94" s="21" t="s">
        <v>872</v>
      </c>
      <c r="H94" s="21" t="s">
        <v>877</v>
      </c>
      <c r="I94" s="22">
        <v>421115</v>
      </c>
      <c r="J94" s="22">
        <v>200104</v>
      </c>
      <c r="K94" s="22" t="s">
        <v>2959</v>
      </c>
      <c r="L94" s="22">
        <v>70702</v>
      </c>
      <c r="M94" s="23" t="s">
        <v>2961</v>
      </c>
      <c r="N94" s="24">
        <v>0</v>
      </c>
      <c r="O94" s="24">
        <v>0</v>
      </c>
      <c r="P94" s="24">
        <v>550000</v>
      </c>
      <c r="Q94" s="24">
        <v>0</v>
      </c>
      <c r="R94" s="24">
        <v>0</v>
      </c>
      <c r="S94" s="24">
        <v>0</v>
      </c>
      <c r="T94" s="24">
        <v>0</v>
      </c>
      <c r="U94" s="24">
        <v>275000</v>
      </c>
      <c r="V94" s="24">
        <v>635000</v>
      </c>
      <c r="W94" s="24">
        <v>460000</v>
      </c>
      <c r="X94" s="24">
        <v>0</v>
      </c>
      <c r="Y94" s="24">
        <v>0</v>
      </c>
      <c r="Z94" s="24">
        <f t="shared" si="5"/>
        <v>1920000</v>
      </c>
      <c r="AB94" s="25">
        <v>1920000</v>
      </c>
      <c r="AC94" s="26">
        <v>1920000</v>
      </c>
      <c r="AD94" s="24">
        <v>0</v>
      </c>
      <c r="AE94" s="27">
        <f>_xlfn.XLOOKUP(B94,'Projects Cashflow'!$B:$B,'Projects Cashflow'!$AG:$AG,0)</f>
        <v>1920000</v>
      </c>
      <c r="AF94" s="28">
        <f t="shared" si="6"/>
        <v>0</v>
      </c>
    </row>
    <row r="95" spans="2:32" x14ac:dyDescent="0.3">
      <c r="B95" s="14" t="str">
        <f t="shared" si="4"/>
        <v>45192014511000676Hospitality-N2424761200104</v>
      </c>
      <c r="C95" s="21" t="s">
        <v>2957</v>
      </c>
      <c r="D95" s="22">
        <v>4519201</v>
      </c>
      <c r="E95" s="21" t="s">
        <v>875</v>
      </c>
      <c r="F95" s="22">
        <v>4511000676</v>
      </c>
      <c r="G95" s="21" t="s">
        <v>872</v>
      </c>
      <c r="H95" s="21" t="s">
        <v>637</v>
      </c>
      <c r="I95" s="22">
        <v>424761</v>
      </c>
      <c r="J95" s="22">
        <v>200104</v>
      </c>
      <c r="K95" s="22" t="s">
        <v>2959</v>
      </c>
      <c r="L95" s="22">
        <v>70703</v>
      </c>
      <c r="M95" s="23" t="s">
        <v>2961</v>
      </c>
      <c r="N95" s="24">
        <v>0</v>
      </c>
      <c r="O95" s="24">
        <v>0</v>
      </c>
      <c r="P95" s="24">
        <v>0</v>
      </c>
      <c r="Q95" s="24">
        <v>200000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433000</v>
      </c>
      <c r="X95" s="24">
        <v>0</v>
      </c>
      <c r="Y95" s="24">
        <v>0</v>
      </c>
      <c r="Z95" s="24">
        <f t="shared" si="5"/>
        <v>633000</v>
      </c>
      <c r="AB95" s="25">
        <v>633000</v>
      </c>
      <c r="AC95" s="26">
        <v>633000</v>
      </c>
      <c r="AD95" s="24">
        <v>0</v>
      </c>
      <c r="AE95" s="27">
        <f>_xlfn.XLOOKUP(B95,'Projects Cashflow'!$B:$B,'Projects Cashflow'!$AG:$AG,0)</f>
        <v>633000</v>
      </c>
      <c r="AF95" s="28">
        <f t="shared" si="6"/>
        <v>0</v>
      </c>
    </row>
    <row r="96" spans="2:32" x14ac:dyDescent="0.3">
      <c r="B96" s="14" t="str">
        <f t="shared" si="4"/>
        <v>45192014511000676TranslationGrant-N2424701200104</v>
      </c>
      <c r="C96" s="21" t="s">
        <v>2957</v>
      </c>
      <c r="D96" s="22">
        <v>4519201</v>
      </c>
      <c r="E96" s="21" t="s">
        <v>875</v>
      </c>
      <c r="F96" s="22">
        <v>4511000676</v>
      </c>
      <c r="G96" s="21" t="s">
        <v>872</v>
      </c>
      <c r="H96" s="21" t="s">
        <v>887</v>
      </c>
      <c r="I96" s="22">
        <v>424701</v>
      </c>
      <c r="J96" s="22">
        <v>200104</v>
      </c>
      <c r="K96" s="22" t="s">
        <v>2959</v>
      </c>
      <c r="L96" s="22">
        <v>70702</v>
      </c>
      <c r="M96" s="23" t="s">
        <v>2960</v>
      </c>
      <c r="N96" s="24">
        <v>0</v>
      </c>
      <c r="O96" s="24">
        <v>0</v>
      </c>
      <c r="P96" s="24">
        <v>0</v>
      </c>
      <c r="Q96" s="24">
        <v>75000</v>
      </c>
      <c r="R96" s="24">
        <v>50000</v>
      </c>
      <c r="S96" s="24">
        <v>75000</v>
      </c>
      <c r="T96" s="24">
        <v>0</v>
      </c>
      <c r="U96" s="24">
        <v>75000</v>
      </c>
      <c r="V96" s="24">
        <v>75000</v>
      </c>
      <c r="W96" s="24">
        <v>20000</v>
      </c>
      <c r="X96" s="24">
        <v>0</v>
      </c>
      <c r="Y96" s="24">
        <v>0</v>
      </c>
      <c r="Z96" s="24">
        <f t="shared" si="5"/>
        <v>370000</v>
      </c>
      <c r="AB96" s="25">
        <v>370000</v>
      </c>
      <c r="AC96" s="26">
        <v>370000</v>
      </c>
      <c r="AD96" s="24">
        <v>0</v>
      </c>
      <c r="AE96" s="27">
        <f>_xlfn.XLOOKUP(B96,'Projects Cashflow'!$B:$B,'Projects Cashflow'!$AG:$AG,0)</f>
        <v>370000</v>
      </c>
      <c r="AF96" s="28">
        <f t="shared" si="6"/>
        <v>0</v>
      </c>
    </row>
    <row r="97" spans="2:32" x14ac:dyDescent="0.3">
      <c r="B97" s="14" t="str">
        <f t="shared" si="4"/>
        <v>45192014511000676Prizes &amp; Comps-N2424231200104</v>
      </c>
      <c r="C97" s="21" t="s">
        <v>2957</v>
      </c>
      <c r="D97" s="22">
        <v>4519201</v>
      </c>
      <c r="E97" s="21" t="s">
        <v>875</v>
      </c>
      <c r="F97" s="22">
        <v>4511000676</v>
      </c>
      <c r="G97" s="21" t="s">
        <v>872</v>
      </c>
      <c r="H97" s="21" t="s">
        <v>886</v>
      </c>
      <c r="I97" s="22">
        <v>424231</v>
      </c>
      <c r="J97" s="22">
        <v>200104</v>
      </c>
      <c r="K97" s="22" t="s">
        <v>2959</v>
      </c>
      <c r="L97" s="22">
        <v>70703</v>
      </c>
      <c r="M97" s="23" t="s">
        <v>2961</v>
      </c>
      <c r="N97" s="24">
        <v>0</v>
      </c>
      <c r="O97" s="24">
        <v>0</v>
      </c>
      <c r="P97" s="24">
        <v>0</v>
      </c>
      <c r="Q97" s="24">
        <v>20000</v>
      </c>
      <c r="R97" s="24">
        <v>0</v>
      </c>
      <c r="S97" s="24">
        <v>0</v>
      </c>
      <c r="T97" s="24">
        <v>130000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f t="shared" si="5"/>
        <v>150000</v>
      </c>
      <c r="AB97" s="25">
        <v>150000</v>
      </c>
      <c r="AC97" s="26">
        <v>150000</v>
      </c>
      <c r="AD97" s="24">
        <v>0</v>
      </c>
      <c r="AE97" s="27">
        <f>_xlfn.XLOOKUP(B97,'Projects Cashflow'!$B:$B,'Projects Cashflow'!$AG:$AG,0)</f>
        <v>150000</v>
      </c>
      <c r="AF97" s="28">
        <f t="shared" si="6"/>
        <v>0</v>
      </c>
    </row>
    <row r="98" spans="2:32" x14ac:dyDescent="0.3">
      <c r="B98" s="14" t="str">
        <f t="shared" si="4"/>
        <v>45192014511000676Gen Logistics-N2424671200104</v>
      </c>
      <c r="C98" s="21" t="s">
        <v>2957</v>
      </c>
      <c r="D98" s="22">
        <v>4519201</v>
      </c>
      <c r="E98" s="21" t="s">
        <v>875</v>
      </c>
      <c r="F98" s="22">
        <v>4511000676</v>
      </c>
      <c r="G98" s="21" t="s">
        <v>872</v>
      </c>
      <c r="H98" s="21" t="s">
        <v>881</v>
      </c>
      <c r="I98" s="22">
        <v>424671</v>
      </c>
      <c r="J98" s="22">
        <v>200104</v>
      </c>
      <c r="K98" s="22" t="s">
        <v>2959</v>
      </c>
      <c r="L98" s="22">
        <v>70703</v>
      </c>
      <c r="M98" s="23" t="s">
        <v>2961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10000</v>
      </c>
      <c r="W98" s="24">
        <v>0</v>
      </c>
      <c r="X98" s="24">
        <v>10000</v>
      </c>
      <c r="Y98" s="24">
        <v>5000</v>
      </c>
      <c r="Z98" s="24">
        <f t="shared" si="5"/>
        <v>25000</v>
      </c>
      <c r="AB98" s="25">
        <v>25000</v>
      </c>
      <c r="AC98" s="26">
        <v>25000</v>
      </c>
      <c r="AD98" s="24">
        <v>0</v>
      </c>
      <c r="AE98" s="27">
        <f>_xlfn.XLOOKUP(B98,'Projects Cashflow'!$B:$B,'Projects Cashflow'!$AG:$AG,0)</f>
        <v>25000</v>
      </c>
      <c r="AF98" s="28">
        <f t="shared" si="6"/>
        <v>0</v>
      </c>
    </row>
    <row r="99" spans="2:32" x14ac:dyDescent="0.3">
      <c r="B99" s="14" t="str">
        <f t="shared" si="4"/>
        <v>45192014511000731Sponsorship Fees-N2424811200104</v>
      </c>
      <c r="C99" s="21" t="s">
        <v>2957</v>
      </c>
      <c r="D99" s="22">
        <v>4519201</v>
      </c>
      <c r="E99" s="21" t="s">
        <v>875</v>
      </c>
      <c r="F99" s="22">
        <v>4511000731</v>
      </c>
      <c r="G99" s="21" t="s">
        <v>975</v>
      </c>
      <c r="H99" s="21" t="s">
        <v>976</v>
      </c>
      <c r="I99" s="22">
        <v>424811</v>
      </c>
      <c r="J99" s="22">
        <v>200104</v>
      </c>
      <c r="K99" s="22" t="s">
        <v>2959</v>
      </c>
      <c r="L99" s="22">
        <v>70704</v>
      </c>
      <c r="M99" s="23" t="s">
        <v>2960</v>
      </c>
      <c r="N99" s="24">
        <v>0</v>
      </c>
      <c r="O99" s="24">
        <v>0</v>
      </c>
      <c r="P99" s="24">
        <v>0</v>
      </c>
      <c r="Q99" s="24">
        <v>0</v>
      </c>
      <c r="R99" s="24">
        <v>0</v>
      </c>
      <c r="S99" s="24">
        <v>0</v>
      </c>
      <c r="T99" s="24">
        <v>1652940</v>
      </c>
      <c r="U99" s="24">
        <v>0</v>
      </c>
      <c r="V99" s="24">
        <v>0</v>
      </c>
      <c r="W99" s="24">
        <v>0</v>
      </c>
      <c r="X99" s="24">
        <v>0</v>
      </c>
      <c r="Y99" s="24">
        <v>0</v>
      </c>
      <c r="Z99" s="24">
        <f t="shared" si="5"/>
        <v>1652940</v>
      </c>
      <c r="AB99" s="25">
        <v>1652940</v>
      </c>
      <c r="AC99" s="26">
        <v>1652940</v>
      </c>
      <c r="AD99" s="24">
        <v>0</v>
      </c>
      <c r="AE99" s="27">
        <f>_xlfn.XLOOKUP(B99,'Projects Cashflow'!$B:$B,'Projects Cashflow'!$AG:$AG,0)</f>
        <v>1652940</v>
      </c>
      <c r="AF99" s="28">
        <f t="shared" si="6"/>
        <v>0</v>
      </c>
    </row>
    <row r="100" spans="2:32" x14ac:dyDescent="0.3">
      <c r="B100" s="14" t="str">
        <f t="shared" si="4"/>
        <v>45192014511000880Awards &amp; Prizes-N2424231200104</v>
      </c>
      <c r="C100" s="21" t="s">
        <v>2957</v>
      </c>
      <c r="D100" s="22">
        <v>4519201</v>
      </c>
      <c r="E100" s="21" t="s">
        <v>875</v>
      </c>
      <c r="F100" s="22">
        <v>4511000880</v>
      </c>
      <c r="G100" s="21" t="s">
        <v>1184</v>
      </c>
      <c r="H100" s="21" t="s">
        <v>873</v>
      </c>
      <c r="I100" s="22">
        <v>424231</v>
      </c>
      <c r="J100" s="22">
        <v>200104</v>
      </c>
      <c r="K100" s="22" t="s">
        <v>2959</v>
      </c>
      <c r="L100" s="22">
        <v>70703</v>
      </c>
      <c r="M100" s="23" t="s">
        <v>2961</v>
      </c>
      <c r="N100" s="24">
        <v>0</v>
      </c>
      <c r="O100" s="24">
        <v>0</v>
      </c>
      <c r="P100" s="24">
        <v>0</v>
      </c>
      <c r="Q100" s="24">
        <v>0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750000</v>
      </c>
      <c r="Y100" s="24">
        <v>750000</v>
      </c>
      <c r="Z100" s="24">
        <f t="shared" si="5"/>
        <v>1500000</v>
      </c>
      <c r="AB100" s="25">
        <v>1500000</v>
      </c>
      <c r="AC100" s="26">
        <v>1500000</v>
      </c>
      <c r="AD100" s="24">
        <v>0</v>
      </c>
      <c r="AE100" s="27">
        <f>_xlfn.XLOOKUP(B100,'Projects Cashflow'!$B:$B,'Projects Cashflow'!$AG:$AG,0)</f>
        <v>1500000</v>
      </c>
      <c r="AF100" s="28">
        <f t="shared" si="6"/>
        <v>0</v>
      </c>
    </row>
    <row r="101" spans="2:32" x14ac:dyDescent="0.3">
      <c r="B101" s="14" t="str">
        <f t="shared" si="4"/>
        <v>45192014511000880Event Management-N2422401200104</v>
      </c>
      <c r="C101" s="21" t="s">
        <v>2957</v>
      </c>
      <c r="D101" s="22">
        <v>4519201</v>
      </c>
      <c r="E101" s="21" t="s">
        <v>875</v>
      </c>
      <c r="F101" s="22">
        <v>4511000880</v>
      </c>
      <c r="G101" s="21" t="s">
        <v>1184</v>
      </c>
      <c r="H101" s="21" t="s">
        <v>387</v>
      </c>
      <c r="I101" s="22">
        <v>422401</v>
      </c>
      <c r="J101" s="22">
        <v>200104</v>
      </c>
      <c r="K101" s="22" t="s">
        <v>2959</v>
      </c>
      <c r="L101" s="22">
        <v>70703</v>
      </c>
      <c r="M101" s="23" t="s">
        <v>2961</v>
      </c>
      <c r="N101" s="24">
        <v>0</v>
      </c>
      <c r="O101" s="24">
        <v>0</v>
      </c>
      <c r="P101" s="24">
        <v>0</v>
      </c>
      <c r="Q101" s="24">
        <v>0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1500000</v>
      </c>
      <c r="Y101" s="24">
        <v>0</v>
      </c>
      <c r="Z101" s="24">
        <f t="shared" si="5"/>
        <v>1500000</v>
      </c>
      <c r="AB101" s="25">
        <v>1500000</v>
      </c>
      <c r="AC101" s="26">
        <v>1500000</v>
      </c>
      <c r="AD101" s="24">
        <v>0</v>
      </c>
      <c r="AE101" s="27">
        <f>_xlfn.XLOOKUP(B101,'Projects Cashflow'!$B:$B,'Projects Cashflow'!$AG:$AG,0)</f>
        <v>1500000</v>
      </c>
      <c r="AF101" s="28">
        <f t="shared" si="6"/>
        <v>0</v>
      </c>
    </row>
    <row r="102" spans="2:32" x14ac:dyDescent="0.3">
      <c r="B102" s="14" t="str">
        <f t="shared" si="4"/>
        <v>45192014511000880Committee Member-N2421115200104</v>
      </c>
      <c r="C102" s="21" t="s">
        <v>2957</v>
      </c>
      <c r="D102" s="22">
        <v>4519201</v>
      </c>
      <c r="E102" s="21" t="s">
        <v>875</v>
      </c>
      <c r="F102" s="22">
        <v>4511000880</v>
      </c>
      <c r="G102" s="21" t="s">
        <v>1184</v>
      </c>
      <c r="H102" s="21" t="s">
        <v>877</v>
      </c>
      <c r="I102" s="22">
        <v>421115</v>
      </c>
      <c r="J102" s="22">
        <v>200104</v>
      </c>
      <c r="K102" s="22" t="s">
        <v>2959</v>
      </c>
      <c r="L102" s="22">
        <v>70702</v>
      </c>
      <c r="M102" s="23" t="s">
        <v>2961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45000</v>
      </c>
      <c r="U102" s="24">
        <v>0</v>
      </c>
      <c r="V102" s="24">
        <v>0</v>
      </c>
      <c r="W102" s="24">
        <v>605000</v>
      </c>
      <c r="X102" s="24">
        <v>0</v>
      </c>
      <c r="Y102" s="24">
        <v>0</v>
      </c>
      <c r="Z102" s="24">
        <f t="shared" si="5"/>
        <v>650000</v>
      </c>
      <c r="AB102" s="25">
        <v>650000</v>
      </c>
      <c r="AC102" s="26">
        <v>650000</v>
      </c>
      <c r="AD102" s="24">
        <v>0</v>
      </c>
      <c r="AE102" s="27">
        <f>_xlfn.XLOOKUP(B102,'Projects Cashflow'!$B:$B,'Projects Cashflow'!$AG:$AG,0)</f>
        <v>650000</v>
      </c>
      <c r="AF102" s="28">
        <f t="shared" si="6"/>
        <v>0</v>
      </c>
    </row>
    <row r="103" spans="2:32" x14ac:dyDescent="0.3">
      <c r="B103" s="14" t="str">
        <f t="shared" si="4"/>
        <v>45192014511000880Gen Logistics-N3424671200104</v>
      </c>
      <c r="C103" s="21" t="s">
        <v>2957</v>
      </c>
      <c r="D103" s="22">
        <v>4519201</v>
      </c>
      <c r="E103" s="21" t="s">
        <v>875</v>
      </c>
      <c r="F103" s="22">
        <v>4511000880</v>
      </c>
      <c r="G103" s="21" t="s">
        <v>1184</v>
      </c>
      <c r="H103" s="21" t="s">
        <v>1185</v>
      </c>
      <c r="I103" s="22">
        <v>424671</v>
      </c>
      <c r="J103" s="22">
        <v>200104</v>
      </c>
      <c r="K103" s="22" t="s">
        <v>2959</v>
      </c>
      <c r="L103" s="22">
        <v>70703</v>
      </c>
      <c r="M103" s="23" t="s">
        <v>2961</v>
      </c>
      <c r="N103" s="24">
        <v>0</v>
      </c>
      <c r="O103" s="24">
        <v>0</v>
      </c>
      <c r="P103" s="24">
        <v>0</v>
      </c>
      <c r="Q103" s="24">
        <v>244100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f t="shared" si="5"/>
        <v>244100</v>
      </c>
      <c r="AB103" s="25">
        <v>244100</v>
      </c>
      <c r="AC103" s="26">
        <v>244100</v>
      </c>
      <c r="AD103" s="24">
        <v>0</v>
      </c>
      <c r="AE103" s="27">
        <f>_xlfn.XLOOKUP(B103,'Projects Cashflow'!$B:$B,'Projects Cashflow'!$AG:$AG,0)</f>
        <v>244100</v>
      </c>
      <c r="AF103" s="28">
        <f t="shared" si="6"/>
        <v>0</v>
      </c>
    </row>
    <row r="104" spans="2:32" x14ac:dyDescent="0.3">
      <c r="B104" s="14" t="str">
        <f t="shared" si="4"/>
        <v>45192014511000880Hospitality-N2424761200104</v>
      </c>
      <c r="C104" s="21" t="s">
        <v>2957</v>
      </c>
      <c r="D104" s="22">
        <v>4519201</v>
      </c>
      <c r="E104" s="21" t="s">
        <v>875</v>
      </c>
      <c r="F104" s="22">
        <v>4511000880</v>
      </c>
      <c r="G104" s="21" t="s">
        <v>1184</v>
      </c>
      <c r="H104" s="21" t="s">
        <v>637</v>
      </c>
      <c r="I104" s="22">
        <v>424761</v>
      </c>
      <c r="J104" s="22">
        <v>200104</v>
      </c>
      <c r="K104" s="22" t="s">
        <v>2959</v>
      </c>
      <c r="L104" s="22">
        <v>70703</v>
      </c>
      <c r="M104" s="23" t="s">
        <v>2961</v>
      </c>
      <c r="N104" s="24">
        <v>0</v>
      </c>
      <c r="O104" s="24">
        <v>0</v>
      </c>
      <c r="P104" s="24">
        <v>0</v>
      </c>
      <c r="Q104" s="24">
        <v>0</v>
      </c>
      <c r="R104" s="24">
        <v>0</v>
      </c>
      <c r="S104" s="24">
        <v>70000</v>
      </c>
      <c r="T104" s="24">
        <v>0</v>
      </c>
      <c r="U104" s="24">
        <v>50000</v>
      </c>
      <c r="V104" s="24">
        <v>0</v>
      </c>
      <c r="W104" s="24">
        <v>52000</v>
      </c>
      <c r="X104" s="24">
        <v>28000</v>
      </c>
      <c r="Y104" s="24">
        <v>0</v>
      </c>
      <c r="Z104" s="24">
        <f t="shared" si="5"/>
        <v>200000</v>
      </c>
      <c r="AB104" s="25">
        <v>200000</v>
      </c>
      <c r="AC104" s="26">
        <v>200000</v>
      </c>
      <c r="AD104" s="24">
        <v>0</v>
      </c>
      <c r="AE104" s="27">
        <f>_xlfn.XLOOKUP(B104,'Projects Cashflow'!$B:$B,'Projects Cashflow'!$AG:$AG,0)</f>
        <v>200000</v>
      </c>
      <c r="AF104" s="28">
        <f t="shared" si="6"/>
        <v>0</v>
      </c>
    </row>
    <row r="105" spans="2:32" x14ac:dyDescent="0.3">
      <c r="B105" s="14" t="str">
        <f t="shared" si="4"/>
        <v>45192014511000880Prizes &amp; Comps-N2424231200104</v>
      </c>
      <c r="C105" s="21" t="s">
        <v>2957</v>
      </c>
      <c r="D105" s="22">
        <v>4519201</v>
      </c>
      <c r="E105" s="21" t="s">
        <v>875</v>
      </c>
      <c r="F105" s="22">
        <v>4511000880</v>
      </c>
      <c r="G105" s="21" t="s">
        <v>1184</v>
      </c>
      <c r="H105" s="21" t="s">
        <v>886</v>
      </c>
      <c r="I105" s="22">
        <v>424231</v>
      </c>
      <c r="J105" s="22">
        <v>200104</v>
      </c>
      <c r="K105" s="22" t="s">
        <v>2959</v>
      </c>
      <c r="L105" s="22">
        <v>70703</v>
      </c>
      <c r="M105" s="23" t="s">
        <v>2961</v>
      </c>
      <c r="N105" s="24">
        <v>0</v>
      </c>
      <c r="O105" s="24">
        <v>0</v>
      </c>
      <c r="P105" s="24">
        <v>0</v>
      </c>
      <c r="Q105" s="24">
        <v>0</v>
      </c>
      <c r="R105" s="24">
        <v>20000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20000</v>
      </c>
      <c r="Y105" s="24">
        <v>0</v>
      </c>
      <c r="Z105" s="24">
        <f t="shared" si="5"/>
        <v>40000</v>
      </c>
      <c r="AB105" s="25">
        <v>40000</v>
      </c>
      <c r="AC105" s="26">
        <v>40000</v>
      </c>
      <c r="AD105" s="24">
        <v>0</v>
      </c>
      <c r="AE105" s="27">
        <f>_xlfn.XLOOKUP(B105,'Projects Cashflow'!$B:$B,'Projects Cashflow'!$AG:$AG,0)</f>
        <v>40000</v>
      </c>
      <c r="AF105" s="28">
        <f t="shared" si="6"/>
        <v>0</v>
      </c>
    </row>
    <row r="106" spans="2:32" x14ac:dyDescent="0.3">
      <c r="B106" s="14" t="str">
        <f t="shared" si="4"/>
        <v>45192014511001051Awards &amp; Prizes-N2424231200104</v>
      </c>
      <c r="C106" s="21" t="s">
        <v>2957</v>
      </c>
      <c r="D106" s="22">
        <v>4519201</v>
      </c>
      <c r="E106" s="21" t="s">
        <v>875</v>
      </c>
      <c r="F106" s="22">
        <v>4511001051</v>
      </c>
      <c r="G106" s="21" t="s">
        <v>1328</v>
      </c>
      <c r="H106" s="21" t="s">
        <v>873</v>
      </c>
      <c r="I106" s="22">
        <v>424231</v>
      </c>
      <c r="J106" s="22">
        <v>200104</v>
      </c>
      <c r="K106" s="22" t="s">
        <v>2959</v>
      </c>
      <c r="L106" s="22">
        <v>70703</v>
      </c>
      <c r="M106" s="23" t="s">
        <v>2961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385000</v>
      </c>
      <c r="X106" s="24">
        <v>0</v>
      </c>
      <c r="Y106" s="24">
        <v>2000000</v>
      </c>
      <c r="Z106" s="24">
        <f t="shared" si="5"/>
        <v>2385000</v>
      </c>
      <c r="AB106" s="25">
        <v>2355000</v>
      </c>
      <c r="AC106" s="26">
        <v>2355000</v>
      </c>
      <c r="AD106" s="24">
        <v>0</v>
      </c>
      <c r="AE106" s="27">
        <f>_xlfn.XLOOKUP(B106,'Projects Cashflow'!$B:$B,'Projects Cashflow'!$AG:$AG,0)</f>
        <v>2355000</v>
      </c>
      <c r="AF106" s="28">
        <f t="shared" si="6"/>
        <v>0</v>
      </c>
    </row>
    <row r="107" spans="2:32" x14ac:dyDescent="0.3">
      <c r="B107" s="14" t="str">
        <f t="shared" si="4"/>
        <v>45192014511001051Event Management-N2422401200104</v>
      </c>
      <c r="C107" s="21" t="s">
        <v>2957</v>
      </c>
      <c r="D107" s="22">
        <v>4519201</v>
      </c>
      <c r="E107" s="21" t="s">
        <v>875</v>
      </c>
      <c r="F107" s="22">
        <v>4511001051</v>
      </c>
      <c r="G107" s="21" t="s">
        <v>1328</v>
      </c>
      <c r="H107" s="21" t="s">
        <v>387</v>
      </c>
      <c r="I107" s="22">
        <v>422401</v>
      </c>
      <c r="J107" s="22">
        <v>200104</v>
      </c>
      <c r="K107" s="22" t="s">
        <v>2959</v>
      </c>
      <c r="L107" s="22">
        <v>70703</v>
      </c>
      <c r="M107" s="23" t="s">
        <v>2961</v>
      </c>
      <c r="N107" s="24">
        <v>0</v>
      </c>
      <c r="O107" s="24">
        <v>0</v>
      </c>
      <c r="P107" s="24">
        <v>0</v>
      </c>
      <c r="Q107" s="24">
        <v>2000700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f t="shared" si="5"/>
        <v>2000700</v>
      </c>
      <c r="AB107" s="25">
        <v>2000700</v>
      </c>
      <c r="AC107" s="26">
        <v>2000700</v>
      </c>
      <c r="AD107" s="24">
        <v>0</v>
      </c>
      <c r="AE107" s="27">
        <f>_xlfn.XLOOKUP(B107,'Projects Cashflow'!$B:$B,'Projects Cashflow'!$AG:$AG,0)</f>
        <v>2000700</v>
      </c>
      <c r="AF107" s="28">
        <f t="shared" si="6"/>
        <v>0</v>
      </c>
    </row>
    <row r="108" spans="2:32" x14ac:dyDescent="0.3">
      <c r="B108" s="14" t="str">
        <f t="shared" si="4"/>
        <v>45192014511001051Committee Member-N2421115200104</v>
      </c>
      <c r="C108" s="21" t="s">
        <v>2957</v>
      </c>
      <c r="D108" s="22">
        <v>4519201</v>
      </c>
      <c r="E108" s="21" t="s">
        <v>875</v>
      </c>
      <c r="F108" s="22">
        <v>4511001051</v>
      </c>
      <c r="G108" s="21" t="s">
        <v>1328</v>
      </c>
      <c r="H108" s="21" t="s">
        <v>877</v>
      </c>
      <c r="I108" s="22">
        <v>421115</v>
      </c>
      <c r="J108" s="22">
        <v>200104</v>
      </c>
      <c r="K108" s="22" t="s">
        <v>2959</v>
      </c>
      <c r="L108" s="22">
        <v>70702</v>
      </c>
      <c r="M108" s="23" t="s">
        <v>2961</v>
      </c>
      <c r="N108" s="24">
        <v>0</v>
      </c>
      <c r="O108" s="24">
        <v>0</v>
      </c>
      <c r="P108" s="24">
        <v>0</v>
      </c>
      <c r="Q108" s="24">
        <v>0</v>
      </c>
      <c r="R108" s="24">
        <v>0</v>
      </c>
      <c r="S108" s="24">
        <v>0</v>
      </c>
      <c r="T108" s="24">
        <v>45000</v>
      </c>
      <c r="U108" s="24">
        <v>0</v>
      </c>
      <c r="V108" s="24">
        <v>0</v>
      </c>
      <c r="W108" s="24">
        <v>555000</v>
      </c>
      <c r="X108" s="24">
        <v>0</v>
      </c>
      <c r="Y108" s="24">
        <v>0</v>
      </c>
      <c r="Z108" s="24">
        <f t="shared" si="5"/>
        <v>600000</v>
      </c>
      <c r="AB108" s="25">
        <v>600000</v>
      </c>
      <c r="AC108" s="26">
        <v>600000</v>
      </c>
      <c r="AD108" s="24">
        <v>0</v>
      </c>
      <c r="AE108" s="27">
        <f>_xlfn.XLOOKUP(B108,'Projects Cashflow'!$B:$B,'Projects Cashflow'!$AG:$AG,0)</f>
        <v>600000</v>
      </c>
      <c r="AF108" s="28">
        <f t="shared" si="6"/>
        <v>0</v>
      </c>
    </row>
    <row r="109" spans="2:32" x14ac:dyDescent="0.3">
      <c r="B109" s="14" t="str">
        <f t="shared" si="4"/>
        <v>45192014511001051Hospitality-N2424761200104</v>
      </c>
      <c r="C109" s="21" t="s">
        <v>2957</v>
      </c>
      <c r="D109" s="22">
        <v>4519201</v>
      </c>
      <c r="E109" s="21" t="s">
        <v>875</v>
      </c>
      <c r="F109" s="22">
        <v>4511001051</v>
      </c>
      <c r="G109" s="21" t="s">
        <v>1328</v>
      </c>
      <c r="H109" s="21" t="s">
        <v>637</v>
      </c>
      <c r="I109" s="22">
        <v>424761</v>
      </c>
      <c r="J109" s="22">
        <v>200104</v>
      </c>
      <c r="K109" s="22" t="s">
        <v>2959</v>
      </c>
      <c r="L109" s="22">
        <v>70703</v>
      </c>
      <c r="M109" s="23" t="s">
        <v>2961</v>
      </c>
      <c r="N109" s="24">
        <v>0</v>
      </c>
      <c r="O109" s="24">
        <v>0</v>
      </c>
      <c r="P109" s="24">
        <v>0</v>
      </c>
      <c r="Q109" s="24">
        <v>75000</v>
      </c>
      <c r="R109" s="24">
        <v>90000</v>
      </c>
      <c r="S109" s="24">
        <v>45000</v>
      </c>
      <c r="T109" s="24">
        <v>0</v>
      </c>
      <c r="U109" s="24">
        <v>0</v>
      </c>
      <c r="V109" s="24">
        <v>40000</v>
      </c>
      <c r="W109" s="24">
        <v>0</v>
      </c>
      <c r="X109" s="24">
        <v>0</v>
      </c>
      <c r="Y109" s="24">
        <v>0</v>
      </c>
      <c r="Z109" s="24">
        <f t="shared" si="5"/>
        <v>250000</v>
      </c>
      <c r="AB109" s="25">
        <v>250000</v>
      </c>
      <c r="AC109" s="26">
        <v>250000</v>
      </c>
      <c r="AD109" s="24">
        <v>0</v>
      </c>
      <c r="AE109" s="27">
        <f>_xlfn.XLOOKUP(B109,'Projects Cashflow'!$B:$B,'Projects Cashflow'!$AG:$AG,0)</f>
        <v>250000</v>
      </c>
      <c r="AF109" s="28">
        <f t="shared" si="6"/>
        <v>0</v>
      </c>
    </row>
    <row r="110" spans="2:32" x14ac:dyDescent="0.3">
      <c r="B110" s="14" t="str">
        <f t="shared" si="4"/>
        <v>45192014511001486Mission &amp; Travel-N423821200104</v>
      </c>
      <c r="C110" s="21" t="s">
        <v>2957</v>
      </c>
      <c r="D110" s="22">
        <v>4519201</v>
      </c>
      <c r="E110" s="21" t="s">
        <v>875</v>
      </c>
      <c r="F110" s="22">
        <v>4511001486</v>
      </c>
      <c r="G110" s="21" t="s">
        <v>1806</v>
      </c>
      <c r="H110" s="21" t="s">
        <v>54</v>
      </c>
      <c r="I110" s="22">
        <v>423821</v>
      </c>
      <c r="J110" s="22">
        <v>200104</v>
      </c>
      <c r="K110" s="22" t="s">
        <v>2959</v>
      </c>
      <c r="L110" s="22">
        <v>70703</v>
      </c>
      <c r="M110" s="23" t="s">
        <v>2960</v>
      </c>
      <c r="N110" s="24">
        <v>0</v>
      </c>
      <c r="O110" s="24">
        <v>0</v>
      </c>
      <c r="P110" s="24">
        <v>47500</v>
      </c>
      <c r="Q110" s="24">
        <v>72500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130000</v>
      </c>
      <c r="X110" s="24">
        <v>50000</v>
      </c>
      <c r="Y110" s="24">
        <v>0</v>
      </c>
      <c r="Z110" s="24">
        <f t="shared" si="5"/>
        <v>300000</v>
      </c>
      <c r="AB110" s="25">
        <v>300000</v>
      </c>
      <c r="AC110" s="26">
        <v>300000</v>
      </c>
      <c r="AD110" s="24">
        <v>0</v>
      </c>
      <c r="AE110" s="27">
        <f>_xlfn.XLOOKUP(B110,'Projects Cashflow'!$B:$B,'Projects Cashflow'!$AG:$AG,0)</f>
        <v>300000</v>
      </c>
      <c r="AF110" s="28">
        <f t="shared" si="6"/>
        <v>0</v>
      </c>
    </row>
    <row r="111" spans="2:32" x14ac:dyDescent="0.3">
      <c r="B111" s="14" t="str">
        <f t="shared" si="4"/>
        <v>45192024511000675Book Acquisition-NC2491811300105</v>
      </c>
      <c r="C111" s="21" t="s">
        <v>2957</v>
      </c>
      <c r="D111" s="22">
        <v>4519202</v>
      </c>
      <c r="E111" s="21" t="s">
        <v>855</v>
      </c>
      <c r="F111" s="22">
        <v>4511000675</v>
      </c>
      <c r="G111" s="21" t="s">
        <v>852</v>
      </c>
      <c r="H111" s="21" t="s">
        <v>857</v>
      </c>
      <c r="I111" s="22">
        <v>491811</v>
      </c>
      <c r="J111" s="22">
        <v>300105</v>
      </c>
      <c r="K111" s="22" t="s">
        <v>2972</v>
      </c>
      <c r="L111" s="22">
        <v>70703</v>
      </c>
      <c r="M111" s="23" t="s">
        <v>2960</v>
      </c>
      <c r="N111" s="24">
        <v>0</v>
      </c>
      <c r="O111" s="24">
        <v>0</v>
      </c>
      <c r="P111" s="24">
        <v>0</v>
      </c>
      <c r="Q111" s="24">
        <v>0</v>
      </c>
      <c r="R111" s="24">
        <v>0</v>
      </c>
      <c r="S111" s="24">
        <v>0</v>
      </c>
      <c r="T111" s="24">
        <v>750000</v>
      </c>
      <c r="U111" s="24">
        <v>0</v>
      </c>
      <c r="V111" s="24">
        <v>0</v>
      </c>
      <c r="W111" s="24">
        <v>750000</v>
      </c>
      <c r="X111" s="24">
        <v>0</v>
      </c>
      <c r="Y111" s="24">
        <v>0</v>
      </c>
      <c r="Z111" s="24">
        <f t="shared" si="5"/>
        <v>1500000</v>
      </c>
      <c r="AB111" s="25">
        <v>1500000</v>
      </c>
      <c r="AC111" s="26">
        <v>1500000</v>
      </c>
      <c r="AD111" s="24">
        <v>0</v>
      </c>
      <c r="AE111" s="27">
        <f>_xlfn.XLOOKUP(B111,'Projects Cashflow'!$B:$B,'Projects Cashflow'!$AG:$AG,0)</f>
        <v>1500000</v>
      </c>
      <c r="AF111" s="28">
        <f t="shared" si="6"/>
        <v>0</v>
      </c>
    </row>
    <row r="112" spans="2:32" x14ac:dyDescent="0.3">
      <c r="B112" s="14" t="str">
        <f t="shared" si="4"/>
        <v>45192024511000675Interior Fit Out-NC2491711300105</v>
      </c>
      <c r="C112" s="21" t="s">
        <v>2957</v>
      </c>
      <c r="D112" s="22">
        <v>4519202</v>
      </c>
      <c r="E112" s="21" t="s">
        <v>855</v>
      </c>
      <c r="F112" s="22">
        <v>4511000675</v>
      </c>
      <c r="G112" s="21" t="s">
        <v>852</v>
      </c>
      <c r="H112" s="21" t="s">
        <v>650</v>
      </c>
      <c r="I112" s="22">
        <v>491711</v>
      </c>
      <c r="J112" s="22">
        <v>300105</v>
      </c>
      <c r="K112" s="22" t="s">
        <v>2972</v>
      </c>
      <c r="L112" s="22">
        <v>70703</v>
      </c>
      <c r="M112" s="23" t="s">
        <v>2960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150000</v>
      </c>
      <c r="W112" s="24">
        <v>0</v>
      </c>
      <c r="X112" s="24">
        <v>0</v>
      </c>
      <c r="Y112" s="24">
        <v>0</v>
      </c>
      <c r="Z112" s="24">
        <f t="shared" si="5"/>
        <v>150000</v>
      </c>
      <c r="AB112" s="25">
        <v>150000</v>
      </c>
      <c r="AC112" s="26">
        <v>150000</v>
      </c>
      <c r="AD112" s="24">
        <v>0</v>
      </c>
      <c r="AE112" s="27">
        <f>_xlfn.XLOOKUP(B112,'Projects Cashflow'!$B:$B,'Projects Cashflow'!$AG:$AG,0)</f>
        <v>150000</v>
      </c>
      <c r="AF112" s="28">
        <f t="shared" si="6"/>
        <v>0</v>
      </c>
    </row>
    <row r="113" spans="2:32" x14ac:dyDescent="0.3">
      <c r="B113" s="14" t="str">
        <f t="shared" si="4"/>
        <v>45192024511000675Activation&amp;Prog-N2422401200104</v>
      </c>
      <c r="C113" s="21" t="s">
        <v>2957</v>
      </c>
      <c r="D113" s="22">
        <v>4519202</v>
      </c>
      <c r="E113" s="21" t="s">
        <v>855</v>
      </c>
      <c r="F113" s="22">
        <v>4511000675</v>
      </c>
      <c r="G113" s="21" t="s">
        <v>852</v>
      </c>
      <c r="H113" s="21" t="s">
        <v>853</v>
      </c>
      <c r="I113" s="22">
        <v>422401</v>
      </c>
      <c r="J113" s="22">
        <v>200104</v>
      </c>
      <c r="K113" s="22" t="s">
        <v>2959</v>
      </c>
      <c r="L113" s="22">
        <v>70704</v>
      </c>
      <c r="M113" s="23" t="s">
        <v>2960</v>
      </c>
      <c r="N113" s="24">
        <v>0</v>
      </c>
      <c r="O113" s="24">
        <v>0</v>
      </c>
      <c r="P113" s="24">
        <v>0</v>
      </c>
      <c r="Q113" s="24">
        <v>25000</v>
      </c>
      <c r="R113" s="24">
        <v>25000</v>
      </c>
      <c r="S113" s="24">
        <v>25000</v>
      </c>
      <c r="T113" s="24">
        <v>25000</v>
      </c>
      <c r="U113" s="24">
        <v>50000</v>
      </c>
      <c r="V113" s="24">
        <v>50000</v>
      </c>
      <c r="W113" s="24">
        <v>50000</v>
      </c>
      <c r="X113" s="24">
        <v>125000</v>
      </c>
      <c r="Y113" s="24">
        <v>75000</v>
      </c>
      <c r="Z113" s="24">
        <f t="shared" si="5"/>
        <v>450000</v>
      </c>
      <c r="AB113" s="25">
        <v>380000</v>
      </c>
      <c r="AC113" s="26">
        <v>379999.85</v>
      </c>
      <c r="AD113" s="24">
        <v>0.15000000002328306</v>
      </c>
      <c r="AE113" s="27">
        <f>_xlfn.XLOOKUP(B113,'Projects Cashflow'!$B:$B,'Projects Cashflow'!$AG:$AG,0)</f>
        <v>379999.85</v>
      </c>
      <c r="AF113" s="28">
        <f t="shared" si="6"/>
        <v>-0.15000000002328306</v>
      </c>
    </row>
    <row r="114" spans="2:32" x14ac:dyDescent="0.3">
      <c r="B114" s="14" t="str">
        <f t="shared" si="4"/>
        <v>45192024511000675Licenses Fees-N2424131200104</v>
      </c>
      <c r="C114" s="21" t="s">
        <v>2957</v>
      </c>
      <c r="D114" s="22">
        <v>4519202</v>
      </c>
      <c r="E114" s="21" t="s">
        <v>855</v>
      </c>
      <c r="F114" s="22">
        <v>4511000675</v>
      </c>
      <c r="G114" s="21" t="s">
        <v>852</v>
      </c>
      <c r="H114" s="21" t="s">
        <v>865</v>
      </c>
      <c r="I114" s="22">
        <v>424131</v>
      </c>
      <c r="J114" s="22">
        <v>200104</v>
      </c>
      <c r="K114" s="22" t="s">
        <v>2959</v>
      </c>
      <c r="L114" s="22">
        <v>70702</v>
      </c>
      <c r="M114" s="23" t="s">
        <v>2960</v>
      </c>
      <c r="N114" s="24">
        <v>0</v>
      </c>
      <c r="O114" s="24">
        <v>0</v>
      </c>
      <c r="P114" s="24">
        <v>0</v>
      </c>
      <c r="Q114" s="24">
        <v>0</v>
      </c>
      <c r="R114" s="24">
        <v>60000</v>
      </c>
      <c r="S114" s="24">
        <v>86467</v>
      </c>
      <c r="T114" s="24">
        <v>0</v>
      </c>
      <c r="U114" s="24">
        <v>0</v>
      </c>
      <c r="V114" s="24">
        <v>67333</v>
      </c>
      <c r="W114" s="24">
        <v>151200</v>
      </c>
      <c r="X114" s="24">
        <v>0</v>
      </c>
      <c r="Y114" s="24">
        <v>0</v>
      </c>
      <c r="Z114" s="24">
        <f t="shared" si="5"/>
        <v>365000</v>
      </c>
      <c r="AB114" s="25">
        <v>365000</v>
      </c>
      <c r="AC114" s="26">
        <v>365000</v>
      </c>
      <c r="AD114" s="24">
        <v>0</v>
      </c>
      <c r="AE114" s="27">
        <f>_xlfn.XLOOKUP(B114,'Projects Cashflow'!$B:$B,'Projects Cashflow'!$AG:$AG,0)</f>
        <v>365000</v>
      </c>
      <c r="AF114" s="28">
        <f t="shared" si="6"/>
        <v>0</v>
      </c>
    </row>
    <row r="115" spans="2:32" x14ac:dyDescent="0.3">
      <c r="B115" s="14" t="str">
        <f t="shared" si="4"/>
        <v>45192024511000675Mission &amp; Travel-N2423821200104</v>
      </c>
      <c r="C115" s="21" t="s">
        <v>2957</v>
      </c>
      <c r="D115" s="22">
        <v>4519202</v>
      </c>
      <c r="E115" s="21" t="s">
        <v>855</v>
      </c>
      <c r="F115" s="22">
        <v>4511000675</v>
      </c>
      <c r="G115" s="21" t="s">
        <v>852</v>
      </c>
      <c r="H115" s="21" t="s">
        <v>867</v>
      </c>
      <c r="I115" s="22">
        <v>423821</v>
      </c>
      <c r="J115" s="22">
        <v>200104</v>
      </c>
      <c r="K115" s="22" t="s">
        <v>2959</v>
      </c>
      <c r="L115" s="22">
        <v>70702</v>
      </c>
      <c r="M115" s="23" t="s">
        <v>2960</v>
      </c>
      <c r="N115" s="24">
        <v>0</v>
      </c>
      <c r="O115" s="24">
        <v>0</v>
      </c>
      <c r="P115" s="24">
        <v>130700</v>
      </c>
      <c r="Q115" s="24">
        <v>0</v>
      </c>
      <c r="R115" s="24">
        <v>0</v>
      </c>
      <c r="S115" s="24">
        <v>67200</v>
      </c>
      <c r="T115" s="24">
        <v>0</v>
      </c>
      <c r="U115" s="24">
        <v>40000</v>
      </c>
      <c r="V115" s="24">
        <v>0</v>
      </c>
      <c r="W115" s="24">
        <v>0</v>
      </c>
      <c r="X115" s="24">
        <v>122100</v>
      </c>
      <c r="Y115" s="24">
        <v>0</v>
      </c>
      <c r="Z115" s="24">
        <f t="shared" si="5"/>
        <v>360000</v>
      </c>
      <c r="AB115" s="25">
        <v>308000</v>
      </c>
      <c r="AC115" s="26">
        <v>308000</v>
      </c>
      <c r="AD115" s="24">
        <v>0</v>
      </c>
      <c r="AE115" s="27">
        <f>_xlfn.XLOOKUP(B115,'Projects Cashflow'!$B:$B,'Projects Cashflow'!$AG:$AG,0)</f>
        <v>308000</v>
      </c>
      <c r="AF115" s="28">
        <f t="shared" si="6"/>
        <v>0</v>
      </c>
    </row>
    <row r="116" spans="2:32" x14ac:dyDescent="0.3">
      <c r="B116" s="14" t="str">
        <f t="shared" si="4"/>
        <v>45192024511000675FreelancerN1424521200104</v>
      </c>
      <c r="C116" s="21" t="s">
        <v>2957</v>
      </c>
      <c r="D116" s="22">
        <v>4519202</v>
      </c>
      <c r="E116" s="21" t="s">
        <v>855</v>
      </c>
      <c r="F116" s="22">
        <v>4511000675</v>
      </c>
      <c r="G116" s="21" t="s">
        <v>852</v>
      </c>
      <c r="H116" s="21" t="s">
        <v>860</v>
      </c>
      <c r="I116" s="22">
        <v>424521</v>
      </c>
      <c r="J116" s="22">
        <v>200104</v>
      </c>
      <c r="K116" s="22" t="s">
        <v>2959</v>
      </c>
      <c r="L116" s="22">
        <v>70704</v>
      </c>
      <c r="M116" s="23" t="s">
        <v>2960</v>
      </c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4">
        <f t="shared" si="5"/>
        <v>0</v>
      </c>
      <c r="AB116" s="25">
        <v>70000</v>
      </c>
      <c r="AC116" s="26">
        <v>70000</v>
      </c>
      <c r="AD116" s="24">
        <v>0</v>
      </c>
      <c r="AE116" s="27">
        <f>_xlfn.XLOOKUP(B116,'Projects Cashflow'!$B:$B,'Projects Cashflow'!$AG:$AG,0)</f>
        <v>70000</v>
      </c>
      <c r="AF116" s="28">
        <f t="shared" si="6"/>
        <v>0</v>
      </c>
    </row>
    <row r="117" spans="2:32" x14ac:dyDescent="0.3">
      <c r="B117" s="14" t="str">
        <f t="shared" si="4"/>
        <v>45192024511000675Hospitality-N2424761200104</v>
      </c>
      <c r="C117" s="21" t="s">
        <v>2957</v>
      </c>
      <c r="D117" s="22">
        <v>4519202</v>
      </c>
      <c r="E117" s="21" t="s">
        <v>855</v>
      </c>
      <c r="F117" s="22">
        <v>4511000675</v>
      </c>
      <c r="G117" s="21" t="s">
        <v>852</v>
      </c>
      <c r="H117" s="21" t="s">
        <v>637</v>
      </c>
      <c r="I117" s="22">
        <v>424761</v>
      </c>
      <c r="J117" s="22">
        <v>200104</v>
      </c>
      <c r="K117" s="22" t="s">
        <v>2959</v>
      </c>
      <c r="L117" s="22">
        <v>70702</v>
      </c>
      <c r="M117" s="23" t="s">
        <v>2960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50000</v>
      </c>
      <c r="T117" s="24">
        <v>0</v>
      </c>
      <c r="U117" s="24">
        <v>15000</v>
      </c>
      <c r="V117" s="24">
        <v>0</v>
      </c>
      <c r="W117" s="24">
        <v>69718</v>
      </c>
      <c r="X117" s="24">
        <v>20000</v>
      </c>
      <c r="Y117" s="24">
        <v>34000</v>
      </c>
      <c r="Z117" s="24">
        <f t="shared" si="5"/>
        <v>188718</v>
      </c>
      <c r="AB117" s="25">
        <v>188718</v>
      </c>
      <c r="AC117" s="26">
        <v>188718</v>
      </c>
      <c r="AD117" s="24">
        <v>0</v>
      </c>
      <c r="AE117" s="27">
        <f>_xlfn.XLOOKUP(B117,'Projects Cashflow'!$B:$B,'Projects Cashflow'!$AG:$AG,0)</f>
        <v>188718</v>
      </c>
      <c r="AF117" s="28">
        <f t="shared" si="6"/>
        <v>0</v>
      </c>
    </row>
    <row r="118" spans="2:32" x14ac:dyDescent="0.3">
      <c r="B118" s="14" t="str">
        <f t="shared" si="4"/>
        <v>45192024511000675Photo &amp; Video-N2424221200104</v>
      </c>
      <c r="C118" s="21" t="s">
        <v>2957</v>
      </c>
      <c r="D118" s="22">
        <v>4519202</v>
      </c>
      <c r="E118" s="21" t="s">
        <v>855</v>
      </c>
      <c r="F118" s="22">
        <v>4511000675</v>
      </c>
      <c r="G118" s="21" t="s">
        <v>852</v>
      </c>
      <c r="H118" s="21" t="s">
        <v>869</v>
      </c>
      <c r="I118" s="22">
        <v>424221</v>
      </c>
      <c r="J118" s="22">
        <v>200104</v>
      </c>
      <c r="K118" s="22" t="s">
        <v>2959</v>
      </c>
      <c r="L118" s="22">
        <v>70703</v>
      </c>
      <c r="M118" s="23" t="s">
        <v>2960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50000</v>
      </c>
      <c r="V118" s="24">
        <v>0</v>
      </c>
      <c r="W118" s="24">
        <v>0</v>
      </c>
      <c r="X118" s="24">
        <v>0</v>
      </c>
      <c r="Y118" s="24">
        <v>0</v>
      </c>
      <c r="Z118" s="24">
        <f t="shared" si="5"/>
        <v>50000</v>
      </c>
      <c r="AB118" s="25">
        <v>50000</v>
      </c>
      <c r="AC118" s="26">
        <v>50000</v>
      </c>
      <c r="AD118" s="24">
        <v>0</v>
      </c>
      <c r="AE118" s="27">
        <f>_xlfn.XLOOKUP(B118,'Projects Cashflow'!$B:$B,'Projects Cashflow'!$AG:$AG,0)</f>
        <v>50000</v>
      </c>
      <c r="AF118" s="28">
        <f t="shared" si="6"/>
        <v>0</v>
      </c>
    </row>
    <row r="119" spans="2:32" x14ac:dyDescent="0.3">
      <c r="B119" s="14" t="str">
        <f t="shared" si="4"/>
        <v>45192034511000687Committee Member-N2421115200104</v>
      </c>
      <c r="C119" s="21" t="s">
        <v>2957</v>
      </c>
      <c r="D119" s="22">
        <v>4519203</v>
      </c>
      <c r="E119" s="21" t="s">
        <v>915</v>
      </c>
      <c r="F119" s="22">
        <v>4511000687</v>
      </c>
      <c r="G119" s="21" t="s">
        <v>2974</v>
      </c>
      <c r="H119" s="21" t="s">
        <v>877</v>
      </c>
      <c r="I119" s="22">
        <v>421115</v>
      </c>
      <c r="J119" s="22">
        <v>200104</v>
      </c>
      <c r="K119" s="22" t="s">
        <v>2959</v>
      </c>
      <c r="L119" s="22">
        <v>70701</v>
      </c>
      <c r="M119" s="23" t="s">
        <v>2960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1000000</v>
      </c>
      <c r="Y119" s="24">
        <v>0</v>
      </c>
      <c r="Z119" s="24">
        <f t="shared" si="5"/>
        <v>1000000</v>
      </c>
      <c r="AB119" s="25">
        <v>0</v>
      </c>
      <c r="AC119" s="26">
        <v>0</v>
      </c>
      <c r="AD119" s="24">
        <v>0</v>
      </c>
      <c r="AE119" s="27">
        <f>_xlfn.XLOOKUP(B119,'Projects Cashflow'!$B:$B,'Projects Cashflow'!$AG:$AG,0)</f>
        <v>0</v>
      </c>
      <c r="AF119" s="28">
        <f t="shared" si="6"/>
        <v>0</v>
      </c>
    </row>
    <row r="120" spans="2:32" x14ac:dyDescent="0.3">
      <c r="B120" s="14" t="str">
        <f t="shared" si="4"/>
        <v>45192034511000692Strategy Advice-N2421123200104</v>
      </c>
      <c r="C120" s="21" t="s">
        <v>2957</v>
      </c>
      <c r="D120" s="22">
        <v>4519203</v>
      </c>
      <c r="E120" s="21" t="s">
        <v>915</v>
      </c>
      <c r="F120" s="22">
        <v>4511000692</v>
      </c>
      <c r="G120" s="21" t="s">
        <v>912</v>
      </c>
      <c r="H120" s="21" t="s">
        <v>921</v>
      </c>
      <c r="I120" s="22">
        <v>421123</v>
      </c>
      <c r="J120" s="22">
        <v>200104</v>
      </c>
      <c r="K120" s="22" t="s">
        <v>2959</v>
      </c>
      <c r="L120" s="22">
        <v>70701</v>
      </c>
      <c r="M120" s="23" t="s">
        <v>2960</v>
      </c>
      <c r="N120" s="24">
        <v>0</v>
      </c>
      <c r="O120" s="24">
        <v>0</v>
      </c>
      <c r="P120" s="24">
        <v>0</v>
      </c>
      <c r="Q120" s="24">
        <v>1285999.3333333333</v>
      </c>
      <c r="R120" s="24">
        <v>0</v>
      </c>
      <c r="S120" s="24">
        <v>0</v>
      </c>
      <c r="T120" s="24">
        <v>1285999.3333333333</v>
      </c>
      <c r="U120" s="24">
        <v>0</v>
      </c>
      <c r="V120" s="24">
        <v>0</v>
      </c>
      <c r="W120" s="24">
        <v>1285999.3333333333</v>
      </c>
      <c r="X120" s="24">
        <v>0</v>
      </c>
      <c r="Y120" s="24">
        <v>0</v>
      </c>
      <c r="Z120" s="24">
        <f t="shared" si="5"/>
        <v>3857998</v>
      </c>
      <c r="AB120" s="25">
        <v>4005998</v>
      </c>
      <c r="AC120" s="26">
        <v>4005998</v>
      </c>
      <c r="AD120" s="24">
        <v>0</v>
      </c>
      <c r="AE120" s="27">
        <f>_xlfn.XLOOKUP(B120,'Projects Cashflow'!$B:$B,'Projects Cashflow'!$AG:$AG,0)</f>
        <v>4005998</v>
      </c>
      <c r="AF120" s="28">
        <f t="shared" si="6"/>
        <v>0</v>
      </c>
    </row>
    <row r="121" spans="2:32" x14ac:dyDescent="0.3">
      <c r="B121" s="14" t="str">
        <f t="shared" si="4"/>
        <v>45192034511000692Market Research-N2423411200104</v>
      </c>
      <c r="C121" s="21" t="s">
        <v>2957</v>
      </c>
      <c r="D121" s="22">
        <v>4519203</v>
      </c>
      <c r="E121" s="21" t="s">
        <v>915</v>
      </c>
      <c r="F121" s="22">
        <v>4511000692</v>
      </c>
      <c r="G121" s="21" t="s">
        <v>912</v>
      </c>
      <c r="H121" s="21" t="s">
        <v>918</v>
      </c>
      <c r="I121" s="22">
        <v>423411</v>
      </c>
      <c r="J121" s="22">
        <v>200104</v>
      </c>
      <c r="K121" s="22" t="s">
        <v>2959</v>
      </c>
      <c r="L121" s="22">
        <v>70701</v>
      </c>
      <c r="M121" s="23" t="s">
        <v>2960</v>
      </c>
      <c r="N121" s="24">
        <v>0</v>
      </c>
      <c r="O121" s="24">
        <v>0</v>
      </c>
      <c r="P121" s="24">
        <v>0</v>
      </c>
      <c r="Q121" s="24">
        <v>491163</v>
      </c>
      <c r="R121" s="24">
        <v>0</v>
      </c>
      <c r="S121" s="24">
        <v>100000</v>
      </c>
      <c r="T121" s="24">
        <v>72091</v>
      </c>
      <c r="U121" s="24">
        <v>200000</v>
      </c>
      <c r="V121" s="24">
        <v>293373</v>
      </c>
      <c r="W121" s="24">
        <v>0</v>
      </c>
      <c r="X121" s="24">
        <v>0</v>
      </c>
      <c r="Y121" s="24">
        <v>293373</v>
      </c>
      <c r="Z121" s="24">
        <f t="shared" si="5"/>
        <v>1450000</v>
      </c>
      <c r="AB121" s="25">
        <v>1450000</v>
      </c>
      <c r="AC121" s="26">
        <v>1450000</v>
      </c>
      <c r="AD121" s="24">
        <v>0</v>
      </c>
      <c r="AE121" s="27">
        <f>_xlfn.XLOOKUP(B121,'Projects Cashflow'!$B:$B,'Projects Cashflow'!$AG:$AG,0)</f>
        <v>1450000</v>
      </c>
      <c r="AF121" s="28">
        <f t="shared" si="6"/>
        <v>0</v>
      </c>
    </row>
    <row r="122" spans="2:32" x14ac:dyDescent="0.3">
      <c r="B122" s="14" t="str">
        <f t="shared" si="4"/>
        <v>45192034511000692Freelancers-N2424521200104</v>
      </c>
      <c r="C122" s="21" t="s">
        <v>2957</v>
      </c>
      <c r="D122" s="22">
        <v>4519203</v>
      </c>
      <c r="E122" s="21" t="s">
        <v>915</v>
      </c>
      <c r="F122" s="22">
        <v>4511000692</v>
      </c>
      <c r="G122" s="21" t="s">
        <v>912</v>
      </c>
      <c r="H122" s="21" t="s">
        <v>913</v>
      </c>
      <c r="I122" s="22">
        <v>424521</v>
      </c>
      <c r="J122" s="22">
        <v>200104</v>
      </c>
      <c r="K122" s="22" t="s">
        <v>2959</v>
      </c>
      <c r="L122" s="22">
        <v>70701</v>
      </c>
      <c r="M122" s="23" t="s">
        <v>2960</v>
      </c>
      <c r="N122" s="24">
        <v>0</v>
      </c>
      <c r="O122" s="24">
        <v>50000</v>
      </c>
      <c r="P122" s="24">
        <v>50000</v>
      </c>
      <c r="Q122" s="24">
        <v>100000</v>
      </c>
      <c r="R122" s="24">
        <v>50000</v>
      </c>
      <c r="S122" s="24">
        <v>50000</v>
      </c>
      <c r="T122" s="24">
        <v>50000</v>
      </c>
      <c r="U122" s="24">
        <v>50000</v>
      </c>
      <c r="V122" s="24">
        <v>49000</v>
      </c>
      <c r="W122" s="24">
        <v>40000</v>
      </c>
      <c r="X122" s="24">
        <v>40000</v>
      </c>
      <c r="Y122" s="24">
        <v>0</v>
      </c>
      <c r="Z122" s="24">
        <f t="shared" si="5"/>
        <v>529000</v>
      </c>
      <c r="AB122" s="25">
        <v>579000</v>
      </c>
      <c r="AC122" s="26">
        <v>579000</v>
      </c>
      <c r="AD122" s="24">
        <v>0</v>
      </c>
      <c r="AE122" s="27">
        <f>_xlfn.XLOOKUP(B122,'Projects Cashflow'!$B:$B,'Projects Cashflow'!$AG:$AG,0)</f>
        <v>579000</v>
      </c>
      <c r="AF122" s="28">
        <f t="shared" si="6"/>
        <v>0</v>
      </c>
    </row>
    <row r="123" spans="2:32" x14ac:dyDescent="0.3">
      <c r="B123" s="14" t="str">
        <f t="shared" si="4"/>
        <v>45192034511000692Translation-N2424701200104</v>
      </c>
      <c r="C123" s="21" t="s">
        <v>2957</v>
      </c>
      <c r="D123" s="22">
        <v>4519203</v>
      </c>
      <c r="E123" s="21" t="s">
        <v>915</v>
      </c>
      <c r="F123" s="22">
        <v>4511000692</v>
      </c>
      <c r="G123" s="21" t="s">
        <v>912</v>
      </c>
      <c r="H123" s="21" t="s">
        <v>923</v>
      </c>
      <c r="I123" s="22">
        <v>424701</v>
      </c>
      <c r="J123" s="22">
        <v>200104</v>
      </c>
      <c r="K123" s="22" t="s">
        <v>2959</v>
      </c>
      <c r="L123" s="22">
        <v>70701</v>
      </c>
      <c r="M123" s="23" t="s">
        <v>2960</v>
      </c>
      <c r="N123" s="24">
        <v>0</v>
      </c>
      <c r="O123" s="24">
        <v>0</v>
      </c>
      <c r="P123" s="24">
        <v>0</v>
      </c>
      <c r="Q123" s="24">
        <v>116500</v>
      </c>
      <c r="R123" s="24">
        <v>0</v>
      </c>
      <c r="S123" s="24">
        <v>0</v>
      </c>
      <c r="T123" s="24">
        <v>14000</v>
      </c>
      <c r="U123" s="24">
        <v>0</v>
      </c>
      <c r="V123" s="24">
        <v>100000</v>
      </c>
      <c r="W123" s="24">
        <v>90000</v>
      </c>
      <c r="X123" s="24">
        <v>0</v>
      </c>
      <c r="Y123" s="24">
        <v>179500</v>
      </c>
      <c r="Z123" s="24">
        <f t="shared" si="5"/>
        <v>500000</v>
      </c>
      <c r="AB123" s="25">
        <v>500000</v>
      </c>
      <c r="AC123" s="26">
        <v>500000</v>
      </c>
      <c r="AD123" s="24">
        <v>0</v>
      </c>
      <c r="AE123" s="27">
        <f>_xlfn.XLOOKUP(B123,'Projects Cashflow'!$B:$B,'Projects Cashflow'!$AG:$AG,0)</f>
        <v>500000</v>
      </c>
      <c r="AF123" s="28">
        <f t="shared" si="6"/>
        <v>0</v>
      </c>
    </row>
    <row r="124" spans="2:32" x14ac:dyDescent="0.3">
      <c r="B124" s="14" t="str">
        <f t="shared" si="4"/>
        <v>45192034511000692Mission &amp; Travel-N2423821200104</v>
      </c>
      <c r="C124" s="21" t="s">
        <v>2957</v>
      </c>
      <c r="D124" s="22">
        <v>4519203</v>
      </c>
      <c r="E124" s="21" t="s">
        <v>915</v>
      </c>
      <c r="F124" s="22">
        <v>4511000692</v>
      </c>
      <c r="G124" s="21" t="s">
        <v>912</v>
      </c>
      <c r="H124" s="21" t="s">
        <v>867</v>
      </c>
      <c r="I124" s="22">
        <v>423821</v>
      </c>
      <c r="J124" s="22">
        <v>200104</v>
      </c>
      <c r="K124" s="22" t="s">
        <v>2959</v>
      </c>
      <c r="L124" s="22">
        <v>70701</v>
      </c>
      <c r="M124" s="23" t="s">
        <v>2960</v>
      </c>
      <c r="N124" s="24">
        <v>0</v>
      </c>
      <c r="O124" s="24">
        <v>4000</v>
      </c>
      <c r="P124" s="24">
        <v>0</v>
      </c>
      <c r="Q124" s="24">
        <v>46000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50000</v>
      </c>
      <c r="X124" s="24">
        <v>0</v>
      </c>
      <c r="Y124" s="24">
        <v>0</v>
      </c>
      <c r="Z124" s="24">
        <f t="shared" si="5"/>
        <v>100000</v>
      </c>
      <c r="AB124" s="25">
        <v>160000</v>
      </c>
      <c r="AC124" s="26">
        <v>160000</v>
      </c>
      <c r="AD124" s="24">
        <v>0</v>
      </c>
      <c r="AE124" s="27">
        <f>_xlfn.XLOOKUP(B124,'Projects Cashflow'!$B:$B,'Projects Cashflow'!$AG:$AG,0)</f>
        <v>160000</v>
      </c>
      <c r="AF124" s="28">
        <f t="shared" si="6"/>
        <v>0</v>
      </c>
    </row>
    <row r="125" spans="2:32" x14ac:dyDescent="0.3">
      <c r="B125" s="14" t="str">
        <f t="shared" si="4"/>
        <v>45192034511000692Hospitality-N2424761200104</v>
      </c>
      <c r="C125" s="21" t="s">
        <v>2957</v>
      </c>
      <c r="D125" s="22">
        <v>4519203</v>
      </c>
      <c r="E125" s="21" t="s">
        <v>915</v>
      </c>
      <c r="F125" s="22">
        <v>4511000692</v>
      </c>
      <c r="G125" s="21" t="s">
        <v>912</v>
      </c>
      <c r="H125" s="21" t="s">
        <v>637</v>
      </c>
      <c r="I125" s="22">
        <v>424761</v>
      </c>
      <c r="J125" s="22">
        <v>200104</v>
      </c>
      <c r="K125" s="22" t="s">
        <v>2959</v>
      </c>
      <c r="L125" s="22">
        <v>70701</v>
      </c>
      <c r="M125" s="23" t="s">
        <v>2960</v>
      </c>
      <c r="N125" s="24">
        <v>0</v>
      </c>
      <c r="O125" s="24">
        <v>0</v>
      </c>
      <c r="P125" s="24">
        <v>0</v>
      </c>
      <c r="Q125" s="24">
        <v>10000</v>
      </c>
      <c r="R125" s="24">
        <v>0</v>
      </c>
      <c r="S125" s="24">
        <v>10000</v>
      </c>
      <c r="T125" s="24">
        <v>0</v>
      </c>
      <c r="U125" s="24">
        <v>10000</v>
      </c>
      <c r="V125" s="24">
        <v>20000</v>
      </c>
      <c r="W125" s="24">
        <v>5000</v>
      </c>
      <c r="X125" s="24">
        <v>10000</v>
      </c>
      <c r="Y125" s="24">
        <v>10000</v>
      </c>
      <c r="Z125" s="24">
        <f t="shared" si="5"/>
        <v>75000</v>
      </c>
      <c r="AB125" s="25">
        <v>75000</v>
      </c>
      <c r="AC125" s="26">
        <v>75000</v>
      </c>
      <c r="AD125" s="24">
        <v>0</v>
      </c>
      <c r="AE125" s="27">
        <f>_xlfn.XLOOKUP(B125,'Projects Cashflow'!$B:$B,'Projects Cashflow'!$AG:$AG,0)</f>
        <v>75000</v>
      </c>
      <c r="AF125" s="28">
        <f t="shared" si="6"/>
        <v>0</v>
      </c>
    </row>
    <row r="126" spans="2:32" x14ac:dyDescent="0.3">
      <c r="B126" s="14" t="str">
        <f t="shared" si="4"/>
        <v>45192034511000881Event Management-N2422401200104</v>
      </c>
      <c r="C126" s="21" t="s">
        <v>2957</v>
      </c>
      <c r="D126" s="22">
        <v>4519203</v>
      </c>
      <c r="E126" s="21" t="s">
        <v>915</v>
      </c>
      <c r="F126" s="22">
        <v>4511000881</v>
      </c>
      <c r="G126" s="21" t="s">
        <v>1187</v>
      </c>
      <c r="H126" s="21" t="s">
        <v>387</v>
      </c>
      <c r="I126" s="22">
        <v>422401</v>
      </c>
      <c r="J126" s="22">
        <v>200104</v>
      </c>
      <c r="K126" s="22" t="s">
        <v>2959</v>
      </c>
      <c r="L126" s="22">
        <v>70704</v>
      </c>
      <c r="M126" s="23" t="s">
        <v>2960</v>
      </c>
      <c r="N126" s="24">
        <v>0</v>
      </c>
      <c r="O126" s="24">
        <v>0</v>
      </c>
      <c r="P126" s="24">
        <v>0</v>
      </c>
      <c r="Q126" s="24">
        <v>750000</v>
      </c>
      <c r="R126" s="24">
        <v>0</v>
      </c>
      <c r="S126" s="24">
        <v>0</v>
      </c>
      <c r="T126" s="24">
        <v>0</v>
      </c>
      <c r="U126" s="24">
        <v>1500000</v>
      </c>
      <c r="V126" s="24">
        <v>2750000</v>
      </c>
      <c r="W126" s="24">
        <v>0</v>
      </c>
      <c r="X126" s="24">
        <v>0</v>
      </c>
      <c r="Y126" s="24">
        <v>0</v>
      </c>
      <c r="Z126" s="24">
        <f t="shared" si="5"/>
        <v>5000000</v>
      </c>
      <c r="AB126" s="25">
        <v>5000000</v>
      </c>
      <c r="AC126" s="26">
        <v>5000000</v>
      </c>
      <c r="AD126" s="24">
        <v>0</v>
      </c>
      <c r="AE126" s="27">
        <f>_xlfn.XLOOKUP(B126,'Projects Cashflow'!$B:$B,'Projects Cashflow'!$AG:$AG,0)</f>
        <v>5000000</v>
      </c>
      <c r="AF126" s="28">
        <f t="shared" si="6"/>
        <v>0</v>
      </c>
    </row>
    <row r="127" spans="2:32" x14ac:dyDescent="0.3">
      <c r="B127" s="14" t="str">
        <f t="shared" si="4"/>
        <v>45192034511000881Hospitality-N2424761200104</v>
      </c>
      <c r="C127" s="21" t="s">
        <v>2957</v>
      </c>
      <c r="D127" s="22">
        <v>4519203</v>
      </c>
      <c r="E127" s="21" t="s">
        <v>915</v>
      </c>
      <c r="F127" s="22">
        <v>4511000881</v>
      </c>
      <c r="G127" s="21" t="s">
        <v>1187</v>
      </c>
      <c r="H127" s="21" t="s">
        <v>637</v>
      </c>
      <c r="I127" s="22">
        <v>424761</v>
      </c>
      <c r="J127" s="22">
        <v>200104</v>
      </c>
      <c r="K127" s="22" t="s">
        <v>2959</v>
      </c>
      <c r="L127" s="22">
        <v>70704</v>
      </c>
      <c r="M127" s="23" t="s">
        <v>2960</v>
      </c>
      <c r="N127" s="24">
        <v>0</v>
      </c>
      <c r="O127" s="24">
        <v>0</v>
      </c>
      <c r="P127" s="24">
        <v>0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4">
        <v>200000</v>
      </c>
      <c r="W127" s="24">
        <v>610373</v>
      </c>
      <c r="X127" s="24">
        <v>0</v>
      </c>
      <c r="Y127" s="24">
        <v>0</v>
      </c>
      <c r="Z127" s="24">
        <f t="shared" si="5"/>
        <v>810373</v>
      </c>
      <c r="AB127" s="25">
        <v>810373</v>
      </c>
      <c r="AC127" s="26">
        <v>810373</v>
      </c>
      <c r="AD127" s="24">
        <v>0</v>
      </c>
      <c r="AE127" s="27">
        <f>_xlfn.XLOOKUP(B127,'Projects Cashflow'!$B:$B,'Projects Cashflow'!$AG:$AG,0)</f>
        <v>810373</v>
      </c>
      <c r="AF127" s="28">
        <f t="shared" si="6"/>
        <v>0</v>
      </c>
    </row>
    <row r="128" spans="2:32" x14ac:dyDescent="0.3">
      <c r="B128" s="14" t="str">
        <f t="shared" si="4"/>
        <v>45192034511000881Venue&amp;Room Rent-N2422401200104</v>
      </c>
      <c r="C128" s="21" t="s">
        <v>2957</v>
      </c>
      <c r="D128" s="22">
        <v>4519203</v>
      </c>
      <c r="E128" s="21" t="s">
        <v>915</v>
      </c>
      <c r="F128" s="22">
        <v>4511000881</v>
      </c>
      <c r="G128" s="21" t="s">
        <v>1187</v>
      </c>
      <c r="H128" s="21" t="s">
        <v>1051</v>
      </c>
      <c r="I128" s="22">
        <v>422401</v>
      </c>
      <c r="J128" s="22">
        <v>200104</v>
      </c>
      <c r="K128" s="22" t="s">
        <v>2959</v>
      </c>
      <c r="L128" s="22">
        <v>70704</v>
      </c>
      <c r="M128" s="23" t="s">
        <v>2960</v>
      </c>
      <c r="N128" s="24">
        <v>0</v>
      </c>
      <c r="O128" s="24">
        <v>0</v>
      </c>
      <c r="P128" s="24">
        <v>0</v>
      </c>
      <c r="Q128" s="24">
        <v>377816</v>
      </c>
      <c r="R128" s="24">
        <v>0</v>
      </c>
      <c r="S128" s="24">
        <v>0</v>
      </c>
      <c r="T128" s="24">
        <v>0</v>
      </c>
      <c r="U128" s="24">
        <v>0</v>
      </c>
      <c r="V128" s="24">
        <v>377816</v>
      </c>
      <c r="W128" s="24">
        <v>0</v>
      </c>
      <c r="X128" s="24">
        <v>0</v>
      </c>
      <c r="Y128" s="24">
        <v>0</v>
      </c>
      <c r="Z128" s="24">
        <f t="shared" si="5"/>
        <v>755632</v>
      </c>
      <c r="AB128" s="25">
        <v>500000</v>
      </c>
      <c r="AC128" s="26">
        <v>500000</v>
      </c>
      <c r="AD128" s="24">
        <v>0</v>
      </c>
      <c r="AE128" s="27">
        <f>_xlfn.XLOOKUP(B128,'Projects Cashflow'!$B:$B,'Projects Cashflow'!$AG:$AG,0)</f>
        <v>500000</v>
      </c>
      <c r="AF128" s="28">
        <f t="shared" si="6"/>
        <v>0</v>
      </c>
    </row>
    <row r="129" spans="2:32" x14ac:dyDescent="0.3">
      <c r="B129" s="14" t="str">
        <f t="shared" si="4"/>
        <v>45192034511000881Media Mgmnt &amp;Buy-N422511200104</v>
      </c>
      <c r="C129" s="21" t="s">
        <v>2957</v>
      </c>
      <c r="D129" s="22">
        <v>4519203</v>
      </c>
      <c r="E129" s="21" t="s">
        <v>915</v>
      </c>
      <c r="F129" s="22">
        <v>4511000881</v>
      </c>
      <c r="G129" s="21" t="s">
        <v>1187</v>
      </c>
      <c r="H129" s="21" t="s">
        <v>166</v>
      </c>
      <c r="I129" s="22">
        <v>422511</v>
      </c>
      <c r="J129" s="22">
        <v>200104</v>
      </c>
      <c r="K129" s="22" t="s">
        <v>2959</v>
      </c>
      <c r="L129" s="22">
        <v>70704</v>
      </c>
      <c r="M129" s="23" t="s">
        <v>2960</v>
      </c>
      <c r="N129" s="24">
        <v>0</v>
      </c>
      <c r="O129" s="24">
        <v>0</v>
      </c>
      <c r="P129" s="24">
        <v>0</v>
      </c>
      <c r="Q129" s="24">
        <v>100000</v>
      </c>
      <c r="R129" s="24">
        <v>0</v>
      </c>
      <c r="S129" s="24">
        <v>0</v>
      </c>
      <c r="T129" s="24">
        <v>192887</v>
      </c>
      <c r="U129" s="24">
        <v>0</v>
      </c>
      <c r="V129" s="24">
        <v>200000</v>
      </c>
      <c r="W129" s="24">
        <v>0</v>
      </c>
      <c r="X129" s="24">
        <v>0</v>
      </c>
      <c r="Y129" s="24">
        <v>0</v>
      </c>
      <c r="Z129" s="24">
        <f t="shared" si="5"/>
        <v>492887</v>
      </c>
      <c r="AB129" s="25">
        <v>492887</v>
      </c>
      <c r="AC129" s="26">
        <v>492887</v>
      </c>
      <c r="AD129" s="24">
        <v>0</v>
      </c>
      <c r="AE129" s="27">
        <f>_xlfn.XLOOKUP(B129,'Projects Cashflow'!$B:$B,'Projects Cashflow'!$AG:$AG,0)</f>
        <v>492887</v>
      </c>
      <c r="AF129" s="28">
        <f t="shared" si="6"/>
        <v>0</v>
      </c>
    </row>
    <row r="130" spans="2:32" x14ac:dyDescent="0.3">
      <c r="B130" s="14" t="str">
        <f t="shared" si="4"/>
        <v>45192034511000881Freelancers-N424521200104</v>
      </c>
      <c r="C130" s="21" t="s">
        <v>2957</v>
      </c>
      <c r="D130" s="22">
        <v>4519203</v>
      </c>
      <c r="E130" s="21" t="s">
        <v>915</v>
      </c>
      <c r="F130" s="22">
        <v>4511000881</v>
      </c>
      <c r="G130" s="21" t="s">
        <v>1187</v>
      </c>
      <c r="H130" s="21" t="s">
        <v>50</v>
      </c>
      <c r="I130" s="22">
        <v>424521</v>
      </c>
      <c r="J130" s="22">
        <v>200104</v>
      </c>
      <c r="K130" s="22" t="s">
        <v>2959</v>
      </c>
      <c r="L130" s="22">
        <v>70704</v>
      </c>
      <c r="M130" s="23" t="s">
        <v>2960</v>
      </c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4">
        <f t="shared" si="5"/>
        <v>0</v>
      </c>
      <c r="AB130" s="25">
        <v>212000</v>
      </c>
      <c r="AC130" s="26">
        <v>212000</v>
      </c>
      <c r="AD130" s="24">
        <v>0</v>
      </c>
      <c r="AE130" s="27">
        <f>_xlfn.XLOOKUP(B130,'Projects Cashflow'!$B:$B,'Projects Cashflow'!$AG:$AG,0)</f>
        <v>212000</v>
      </c>
      <c r="AF130" s="28">
        <f t="shared" si="6"/>
        <v>0</v>
      </c>
    </row>
    <row r="131" spans="2:32" x14ac:dyDescent="0.3">
      <c r="B131" s="14" t="str">
        <f t="shared" si="4"/>
        <v>45192034511000881Talent Mgmnt-N2422401200104</v>
      </c>
      <c r="C131" s="21" t="s">
        <v>2957</v>
      </c>
      <c r="D131" s="22">
        <v>4519203</v>
      </c>
      <c r="E131" s="21" t="s">
        <v>915</v>
      </c>
      <c r="F131" s="22">
        <v>4511000881</v>
      </c>
      <c r="G131" s="21" t="s">
        <v>1187</v>
      </c>
      <c r="H131" s="21" t="s">
        <v>1193</v>
      </c>
      <c r="I131" s="22">
        <v>422401</v>
      </c>
      <c r="J131" s="22">
        <v>200104</v>
      </c>
      <c r="K131" s="22" t="s">
        <v>2959</v>
      </c>
      <c r="L131" s="22">
        <v>70704</v>
      </c>
      <c r="M131" s="23" t="s">
        <v>2960</v>
      </c>
      <c r="N131" s="24">
        <v>0</v>
      </c>
      <c r="O131" s="24">
        <v>0</v>
      </c>
      <c r="P131" s="24">
        <v>0</v>
      </c>
      <c r="Q131" s="21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386192</v>
      </c>
      <c r="W131" s="24">
        <v>0</v>
      </c>
      <c r="X131" s="24">
        <v>0</v>
      </c>
      <c r="Y131" s="24">
        <v>0</v>
      </c>
      <c r="Z131" s="24">
        <f t="shared" si="5"/>
        <v>386192</v>
      </c>
      <c r="AB131" s="25">
        <v>386192</v>
      </c>
      <c r="AC131" s="26">
        <v>386192</v>
      </c>
      <c r="AD131" s="24">
        <v>0</v>
      </c>
      <c r="AE131" s="27">
        <f>_xlfn.XLOOKUP(B131,'Projects Cashflow'!$B:$B,'Projects Cashflow'!$AG:$AG,0)</f>
        <v>386192</v>
      </c>
      <c r="AF131" s="28">
        <f t="shared" si="6"/>
        <v>0</v>
      </c>
    </row>
    <row r="132" spans="2:32" x14ac:dyDescent="0.3">
      <c r="B132" s="14" t="str">
        <f t="shared" si="4"/>
        <v>45192034511000881Event Consumable-N2421125200104</v>
      </c>
      <c r="C132" s="21" t="s">
        <v>2957</v>
      </c>
      <c r="D132" s="22">
        <v>4519203</v>
      </c>
      <c r="E132" s="21" t="s">
        <v>915</v>
      </c>
      <c r="F132" s="22">
        <v>4511000881</v>
      </c>
      <c r="G132" s="21" t="s">
        <v>1187</v>
      </c>
      <c r="H132" s="21" t="s">
        <v>1045</v>
      </c>
      <c r="I132" s="33">
        <v>421125</v>
      </c>
      <c r="J132" s="22">
        <v>200104</v>
      </c>
      <c r="K132" s="22" t="s">
        <v>2959</v>
      </c>
      <c r="L132" s="22">
        <v>70704</v>
      </c>
      <c r="M132" s="23" t="s">
        <v>2960</v>
      </c>
      <c r="N132" s="24">
        <v>0</v>
      </c>
      <c r="O132" s="24">
        <v>0</v>
      </c>
      <c r="P132" s="24">
        <v>0</v>
      </c>
      <c r="Q132" s="24">
        <v>75000</v>
      </c>
      <c r="R132" s="24">
        <v>0</v>
      </c>
      <c r="S132" s="24">
        <v>0</v>
      </c>
      <c r="T132" s="24">
        <v>0</v>
      </c>
      <c r="U132" s="24">
        <v>25000</v>
      </c>
      <c r="V132" s="24">
        <v>27729</v>
      </c>
      <c r="W132" s="24">
        <v>0</v>
      </c>
      <c r="X132" s="24">
        <v>0</v>
      </c>
      <c r="Y132" s="24">
        <v>0</v>
      </c>
      <c r="Z132" s="24">
        <f t="shared" si="5"/>
        <v>127729</v>
      </c>
      <c r="AB132" s="25">
        <v>16729</v>
      </c>
      <c r="AC132" s="26">
        <v>16729</v>
      </c>
      <c r="AD132" s="24">
        <v>0</v>
      </c>
      <c r="AE132" s="27">
        <f>_xlfn.XLOOKUP(B132,'Projects Cashflow'!$B:$B,'Projects Cashflow'!$AG:$AG,0)</f>
        <v>16729</v>
      </c>
      <c r="AF132" s="28">
        <f t="shared" si="6"/>
        <v>0</v>
      </c>
    </row>
    <row r="133" spans="2:32" x14ac:dyDescent="0.3">
      <c r="B133" s="14" t="str">
        <f t="shared" ref="B133:B196" si="7">D133&amp;F133&amp;H133&amp;I133&amp;J133</f>
        <v>45192034511001179Design &amp; Build-N2424221200104</v>
      </c>
      <c r="C133" s="21" t="s">
        <v>2957</v>
      </c>
      <c r="D133" s="22">
        <v>4519203</v>
      </c>
      <c r="E133" s="21" t="s">
        <v>915</v>
      </c>
      <c r="F133" s="22">
        <v>4511001179</v>
      </c>
      <c r="G133" s="21" t="s">
        <v>1423</v>
      </c>
      <c r="H133" s="21" t="s">
        <v>963</v>
      </c>
      <c r="I133" s="22">
        <v>424221</v>
      </c>
      <c r="J133" s="22">
        <v>200104</v>
      </c>
      <c r="K133" s="22" t="s">
        <v>2959</v>
      </c>
      <c r="L133" s="22">
        <v>70704</v>
      </c>
      <c r="M133" s="23" t="s">
        <v>2961</v>
      </c>
      <c r="N133" s="24">
        <v>0</v>
      </c>
      <c r="O133" s="24">
        <v>0</v>
      </c>
      <c r="P133" s="24">
        <v>0</v>
      </c>
      <c r="Q133" s="24">
        <v>995000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1005000</v>
      </c>
      <c r="X133" s="24">
        <v>2191498.5</v>
      </c>
      <c r="Y133" s="24">
        <v>2191498.5</v>
      </c>
      <c r="Z133" s="24">
        <f t="shared" ref="Z133:Z196" si="8">SUM(N133:Y133)</f>
        <v>6382997</v>
      </c>
      <c r="AB133" s="25">
        <v>6382997</v>
      </c>
      <c r="AC133" s="26">
        <v>6382997</v>
      </c>
      <c r="AD133" s="24">
        <v>0</v>
      </c>
      <c r="AE133" s="27">
        <f>_xlfn.XLOOKUP(B133,'Projects Cashflow'!$B:$B,'Projects Cashflow'!$AG:$AG,0)</f>
        <v>6382997</v>
      </c>
      <c r="AF133" s="28">
        <f t="shared" ref="AF133:AF196" si="9">AE133-AB133</f>
        <v>0</v>
      </c>
    </row>
    <row r="134" spans="2:32" x14ac:dyDescent="0.3">
      <c r="B134" s="14" t="str">
        <f t="shared" si="7"/>
        <v>45192034511001179Activation&amp;Prog-N2422401200104</v>
      </c>
      <c r="C134" s="21" t="s">
        <v>2957</v>
      </c>
      <c r="D134" s="22">
        <v>4519203</v>
      </c>
      <c r="E134" s="21" t="s">
        <v>915</v>
      </c>
      <c r="F134" s="22">
        <v>4511001179</v>
      </c>
      <c r="G134" s="21" t="s">
        <v>1423</v>
      </c>
      <c r="H134" s="21" t="s">
        <v>853</v>
      </c>
      <c r="I134" s="22">
        <v>422401</v>
      </c>
      <c r="J134" s="22">
        <v>200104</v>
      </c>
      <c r="K134" s="22" t="s">
        <v>2959</v>
      </c>
      <c r="L134" s="22">
        <v>70704</v>
      </c>
      <c r="M134" s="23" t="s">
        <v>2961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2677458</v>
      </c>
      <c r="X134" s="24">
        <v>2677458</v>
      </c>
      <c r="Y134" s="24">
        <v>0</v>
      </c>
      <c r="Z134" s="24">
        <f t="shared" si="8"/>
        <v>5354916</v>
      </c>
      <c r="AB134" s="25">
        <v>5354916</v>
      </c>
      <c r="AC134" s="26">
        <v>5354916</v>
      </c>
      <c r="AD134" s="24">
        <v>0</v>
      </c>
      <c r="AE134" s="27">
        <f>_xlfn.XLOOKUP(B134,'Projects Cashflow'!$B:$B,'Projects Cashflow'!$AG:$AG,0)</f>
        <v>5354916</v>
      </c>
      <c r="AF134" s="28">
        <f t="shared" si="9"/>
        <v>0</v>
      </c>
    </row>
    <row r="135" spans="2:32" x14ac:dyDescent="0.3">
      <c r="B135" s="14" t="str">
        <f t="shared" si="7"/>
        <v>45192034511001179Media Mgmnt &amp;Buy-N2422511200104</v>
      </c>
      <c r="C135" s="21" t="s">
        <v>2957</v>
      </c>
      <c r="D135" s="22">
        <v>4519203</v>
      </c>
      <c r="E135" s="21" t="s">
        <v>915</v>
      </c>
      <c r="F135" s="22">
        <v>4511001179</v>
      </c>
      <c r="G135" s="21" t="s">
        <v>1423</v>
      </c>
      <c r="H135" s="21" t="s">
        <v>1115</v>
      </c>
      <c r="I135" s="22">
        <v>422511</v>
      </c>
      <c r="J135" s="22">
        <v>200104</v>
      </c>
      <c r="K135" s="22" t="s">
        <v>2959</v>
      </c>
      <c r="L135" s="22">
        <v>70704</v>
      </c>
      <c r="M135" s="23" t="s">
        <v>2961</v>
      </c>
      <c r="N135" s="24">
        <v>0</v>
      </c>
      <c r="O135" s="24">
        <v>0</v>
      </c>
      <c r="P135" s="24">
        <v>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24">
        <v>0</v>
      </c>
      <c r="W135" s="24">
        <v>0</v>
      </c>
      <c r="X135" s="24">
        <v>3296222</v>
      </c>
      <c r="Y135" s="24">
        <v>0</v>
      </c>
      <c r="Z135" s="24">
        <f t="shared" si="8"/>
        <v>3296222</v>
      </c>
      <c r="AB135" s="25">
        <v>3296222</v>
      </c>
      <c r="AC135" s="26">
        <v>3296222</v>
      </c>
      <c r="AD135" s="24">
        <v>0</v>
      </c>
      <c r="AE135" s="27">
        <f>_xlfn.XLOOKUP(B135,'Projects Cashflow'!$B:$B,'Projects Cashflow'!$AG:$AG,0)</f>
        <v>3296222</v>
      </c>
      <c r="AF135" s="28">
        <f t="shared" si="9"/>
        <v>0</v>
      </c>
    </row>
    <row r="136" spans="2:32" x14ac:dyDescent="0.3">
      <c r="B136" s="14" t="str">
        <f t="shared" si="7"/>
        <v>45192034511001179Event Consumable-N2421125200104</v>
      </c>
      <c r="C136" s="21" t="s">
        <v>2957</v>
      </c>
      <c r="D136" s="22">
        <v>4519203</v>
      </c>
      <c r="E136" s="21" t="s">
        <v>915</v>
      </c>
      <c r="F136" s="22">
        <v>4511001179</v>
      </c>
      <c r="G136" s="21" t="s">
        <v>1423</v>
      </c>
      <c r="H136" s="21" t="s">
        <v>1045</v>
      </c>
      <c r="I136" s="33">
        <v>421125</v>
      </c>
      <c r="J136" s="22">
        <v>200104</v>
      </c>
      <c r="K136" s="22" t="s">
        <v>2959</v>
      </c>
      <c r="L136" s="22">
        <v>70704</v>
      </c>
      <c r="M136" s="23" t="s">
        <v>2961</v>
      </c>
      <c r="N136" s="24">
        <v>0</v>
      </c>
      <c r="O136" s="24">
        <v>0</v>
      </c>
      <c r="P136" s="24">
        <v>0</v>
      </c>
      <c r="Q136" s="24">
        <v>0</v>
      </c>
      <c r="R136" s="24">
        <v>0</v>
      </c>
      <c r="S136" s="24">
        <v>0</v>
      </c>
      <c r="T136" s="24">
        <v>0</v>
      </c>
      <c r="U136" s="24">
        <v>0</v>
      </c>
      <c r="V136" s="24">
        <v>500000</v>
      </c>
      <c r="W136" s="24">
        <v>0</v>
      </c>
      <c r="X136" s="24">
        <v>0</v>
      </c>
      <c r="Y136" s="24">
        <v>0</v>
      </c>
      <c r="Z136" s="24">
        <f t="shared" si="8"/>
        <v>500000</v>
      </c>
      <c r="AB136" s="25">
        <v>500000</v>
      </c>
      <c r="AC136" s="26">
        <v>500000</v>
      </c>
      <c r="AD136" s="24">
        <v>0</v>
      </c>
      <c r="AE136" s="27">
        <f>_xlfn.XLOOKUP(B136,'Projects Cashflow'!$B:$B,'Projects Cashflow'!$AG:$AG,0)</f>
        <v>500000</v>
      </c>
      <c r="AF136" s="28">
        <f t="shared" si="9"/>
        <v>0</v>
      </c>
    </row>
    <row r="137" spans="2:32" x14ac:dyDescent="0.3">
      <c r="B137" s="14" t="str">
        <f t="shared" si="7"/>
        <v>45192034511001179PR Mgmnt E-E-N2424781200104</v>
      </c>
      <c r="C137" s="21" t="s">
        <v>2957</v>
      </c>
      <c r="D137" s="22">
        <v>4519203</v>
      </c>
      <c r="E137" s="21" t="s">
        <v>915</v>
      </c>
      <c r="F137" s="22">
        <v>4511001179</v>
      </c>
      <c r="G137" s="21" t="s">
        <v>1423</v>
      </c>
      <c r="H137" s="21" t="s">
        <v>1425</v>
      </c>
      <c r="I137" s="22">
        <v>424781</v>
      </c>
      <c r="J137" s="22">
        <v>200104</v>
      </c>
      <c r="K137" s="22" t="s">
        <v>2959</v>
      </c>
      <c r="L137" s="22">
        <v>70704</v>
      </c>
      <c r="M137" s="23" t="s">
        <v>2961</v>
      </c>
      <c r="N137" s="24">
        <v>0</v>
      </c>
      <c r="O137" s="24">
        <v>0</v>
      </c>
      <c r="P137" s="24">
        <v>0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24">
        <v>0</v>
      </c>
      <c r="W137" s="24">
        <v>155288.33333333334</v>
      </c>
      <c r="X137" s="24">
        <v>155288.33333333334</v>
      </c>
      <c r="Y137" s="24">
        <v>155288.33333333334</v>
      </c>
      <c r="Z137" s="24">
        <f t="shared" si="8"/>
        <v>465865</v>
      </c>
      <c r="AB137" s="25">
        <v>465865</v>
      </c>
      <c r="AC137" s="26">
        <v>465865</v>
      </c>
      <c r="AD137" s="24">
        <v>0</v>
      </c>
      <c r="AE137" s="27">
        <f>_xlfn.XLOOKUP(B137,'Projects Cashflow'!$B:$B,'Projects Cashflow'!$AG:$AG,0)</f>
        <v>465865</v>
      </c>
      <c r="AF137" s="28">
        <f t="shared" si="9"/>
        <v>0</v>
      </c>
    </row>
    <row r="138" spans="2:32" x14ac:dyDescent="0.3">
      <c r="B138" s="14" t="str">
        <f t="shared" si="7"/>
        <v>45192034511001427Managed Service-N422212202067</v>
      </c>
      <c r="C138" s="21" t="s">
        <v>2957</v>
      </c>
      <c r="D138" s="22">
        <v>4519203</v>
      </c>
      <c r="E138" s="21" t="s">
        <v>915</v>
      </c>
      <c r="F138" s="22">
        <v>4511001427</v>
      </c>
      <c r="G138" s="21" t="s">
        <v>1705</v>
      </c>
      <c r="H138" s="21" t="s">
        <v>476</v>
      </c>
      <c r="I138" s="22">
        <v>422212</v>
      </c>
      <c r="J138" s="22">
        <v>202067</v>
      </c>
      <c r="K138" s="22" t="s">
        <v>2959</v>
      </c>
      <c r="L138" s="22">
        <v>70705</v>
      </c>
      <c r="M138" s="23" t="s">
        <v>2960</v>
      </c>
      <c r="N138" s="24">
        <v>0</v>
      </c>
      <c r="O138" s="24">
        <v>0</v>
      </c>
      <c r="P138" s="24">
        <v>5891624.8348749997</v>
      </c>
      <c r="Q138" s="24">
        <v>8375.1651250002906</v>
      </c>
      <c r="R138" s="24">
        <v>0</v>
      </c>
      <c r="S138" s="24">
        <v>0</v>
      </c>
      <c r="T138" s="24">
        <v>4720000</v>
      </c>
      <c r="U138" s="24">
        <v>0</v>
      </c>
      <c r="V138" s="24">
        <v>0</v>
      </c>
      <c r="W138" s="24">
        <v>0</v>
      </c>
      <c r="X138" s="24">
        <v>1180000</v>
      </c>
      <c r="Y138" s="24">
        <v>0</v>
      </c>
      <c r="Z138" s="24">
        <f t="shared" si="8"/>
        <v>11800000</v>
      </c>
      <c r="AB138" s="25">
        <v>11800000</v>
      </c>
      <c r="AC138" s="26">
        <v>11800000</v>
      </c>
      <c r="AD138" s="24">
        <v>0</v>
      </c>
      <c r="AE138" s="27">
        <f>_xlfn.XLOOKUP(B138,'Projects Cashflow'!$B:$B,'Projects Cashflow'!$AG:$AG,0)</f>
        <v>11800000</v>
      </c>
      <c r="AF138" s="28">
        <f t="shared" si="9"/>
        <v>0</v>
      </c>
    </row>
    <row r="139" spans="2:32" x14ac:dyDescent="0.3">
      <c r="B139" s="14" t="str">
        <f t="shared" si="7"/>
        <v>45192034511001427Freelancers-N2424521202067</v>
      </c>
      <c r="C139" s="21" t="s">
        <v>2957</v>
      </c>
      <c r="D139" s="22">
        <v>4519203</v>
      </c>
      <c r="E139" s="21" t="s">
        <v>915</v>
      </c>
      <c r="F139" s="22">
        <v>4511001427</v>
      </c>
      <c r="G139" s="21" t="s">
        <v>1705</v>
      </c>
      <c r="H139" s="29" t="s">
        <v>913</v>
      </c>
      <c r="I139" s="22">
        <v>424521</v>
      </c>
      <c r="J139" s="22">
        <v>202067</v>
      </c>
      <c r="K139" s="22" t="s">
        <v>2959</v>
      </c>
      <c r="L139" s="22">
        <v>70705</v>
      </c>
      <c r="M139" s="23" t="s">
        <v>2961</v>
      </c>
      <c r="N139" s="24">
        <v>0</v>
      </c>
      <c r="O139" s="24">
        <v>0</v>
      </c>
      <c r="P139" s="24">
        <v>0</v>
      </c>
      <c r="Q139" s="24">
        <v>222222.22222222222</v>
      </c>
      <c r="R139" s="24">
        <v>222222.22222222222</v>
      </c>
      <c r="S139" s="24">
        <v>222222.22222222222</v>
      </c>
      <c r="T139" s="24">
        <v>222222.22222222222</v>
      </c>
      <c r="U139" s="24">
        <v>222222.22222222222</v>
      </c>
      <c r="V139" s="24">
        <v>222222.22222222222</v>
      </c>
      <c r="W139" s="24">
        <v>222222.22222222222</v>
      </c>
      <c r="X139" s="24">
        <v>222222.22222222222</v>
      </c>
      <c r="Y139" s="24">
        <v>222222.22222222222</v>
      </c>
      <c r="Z139" s="24">
        <f t="shared" si="8"/>
        <v>2000000</v>
      </c>
      <c r="AB139" s="25">
        <v>2000000</v>
      </c>
      <c r="AC139" s="26">
        <v>2000000</v>
      </c>
      <c r="AD139" s="24">
        <v>0</v>
      </c>
      <c r="AE139" s="27">
        <f>_xlfn.XLOOKUP(B139,'Projects Cashflow'!$B:$B,'Projects Cashflow'!$AG:$AG,0)</f>
        <v>2000000</v>
      </c>
      <c r="AF139" s="28">
        <f t="shared" si="9"/>
        <v>0</v>
      </c>
    </row>
    <row r="140" spans="2:32" x14ac:dyDescent="0.3">
      <c r="B140" s="14" t="str">
        <f t="shared" si="7"/>
        <v>45192034511001427Committee Member-N421115202067</v>
      </c>
      <c r="C140" s="21" t="s">
        <v>2957</v>
      </c>
      <c r="D140" s="22">
        <v>4519203</v>
      </c>
      <c r="E140" s="21" t="s">
        <v>915</v>
      </c>
      <c r="F140" s="22">
        <v>4511001427</v>
      </c>
      <c r="G140" s="21" t="s">
        <v>1705</v>
      </c>
      <c r="H140" s="21" t="s">
        <v>1706</v>
      </c>
      <c r="I140" s="22">
        <v>421115</v>
      </c>
      <c r="J140" s="22">
        <v>202067</v>
      </c>
      <c r="K140" s="22" t="s">
        <v>2959</v>
      </c>
      <c r="L140" s="22">
        <v>70705</v>
      </c>
      <c r="M140" s="23" t="s">
        <v>2960</v>
      </c>
      <c r="N140" s="24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1000000</v>
      </c>
      <c r="Y140" s="24">
        <v>0</v>
      </c>
      <c r="Z140" s="24">
        <f t="shared" si="8"/>
        <v>1000000</v>
      </c>
      <c r="AB140" s="25">
        <v>1000000</v>
      </c>
      <c r="AC140" s="26">
        <v>1000000</v>
      </c>
      <c r="AD140" s="24">
        <v>0</v>
      </c>
      <c r="AE140" s="27">
        <f>_xlfn.XLOOKUP(B140,'Projects Cashflow'!$B:$B,'Projects Cashflow'!$AG:$AG,0)</f>
        <v>1000000</v>
      </c>
      <c r="AF140" s="28">
        <f t="shared" si="9"/>
        <v>0</v>
      </c>
    </row>
    <row r="141" spans="2:32" x14ac:dyDescent="0.3">
      <c r="B141" s="14" t="str">
        <f t="shared" si="7"/>
        <v>45110104511000208Strategy Advice-N421123200104</v>
      </c>
      <c r="C141" s="21" t="s">
        <v>65</v>
      </c>
      <c r="D141" s="22">
        <v>4511010</v>
      </c>
      <c r="E141" s="21" t="s">
        <v>267</v>
      </c>
      <c r="F141" s="22">
        <v>4511000208</v>
      </c>
      <c r="G141" s="21" t="s">
        <v>2975</v>
      </c>
      <c r="H141" s="21" t="s">
        <v>236</v>
      </c>
      <c r="I141" s="22">
        <v>421123</v>
      </c>
      <c r="J141" s="22">
        <v>200104</v>
      </c>
      <c r="K141" s="22" t="s">
        <v>2959</v>
      </c>
      <c r="L141" s="22">
        <v>70303</v>
      </c>
      <c r="M141" s="23" t="s">
        <v>2961</v>
      </c>
      <c r="N141" s="24">
        <v>0</v>
      </c>
      <c r="O141" s="24">
        <v>0</v>
      </c>
      <c r="P141" s="24">
        <v>0</v>
      </c>
      <c r="Q141" s="24">
        <v>0</v>
      </c>
      <c r="R141" s="24">
        <v>0</v>
      </c>
      <c r="S141" s="24">
        <v>0</v>
      </c>
      <c r="T141" s="24">
        <v>0</v>
      </c>
      <c r="U141" s="24">
        <v>0</v>
      </c>
      <c r="V141" s="24">
        <v>0</v>
      </c>
      <c r="W141" s="24">
        <v>4000000</v>
      </c>
      <c r="X141" s="24">
        <v>7321945</v>
      </c>
      <c r="Y141" s="24">
        <v>0</v>
      </c>
      <c r="Z141" s="24">
        <f t="shared" si="8"/>
        <v>11321945</v>
      </c>
      <c r="AB141" s="25">
        <v>11321945</v>
      </c>
      <c r="AC141" s="26">
        <v>11321945</v>
      </c>
      <c r="AD141" s="24">
        <v>0</v>
      </c>
      <c r="AE141" s="27">
        <f>_xlfn.XLOOKUP(B141,'Projects Cashflow'!$B:$B,'Projects Cashflow'!$AG:$AG,0)</f>
        <v>11321945</v>
      </c>
      <c r="AF141" s="28">
        <f t="shared" si="9"/>
        <v>0</v>
      </c>
    </row>
    <row r="142" spans="2:32" x14ac:dyDescent="0.3">
      <c r="B142" s="14" t="str">
        <f t="shared" si="7"/>
        <v>45110104511000208Event Management-N422401200104</v>
      </c>
      <c r="C142" s="21" t="s">
        <v>65</v>
      </c>
      <c r="D142" s="22">
        <v>4511010</v>
      </c>
      <c r="E142" s="21" t="s">
        <v>267</v>
      </c>
      <c r="F142" s="22">
        <v>4511000208</v>
      </c>
      <c r="G142" s="21" t="s">
        <v>2975</v>
      </c>
      <c r="H142" s="21" t="s">
        <v>162</v>
      </c>
      <c r="I142" s="22">
        <v>422401</v>
      </c>
      <c r="J142" s="22">
        <v>200104</v>
      </c>
      <c r="K142" s="22" t="s">
        <v>2959</v>
      </c>
      <c r="L142" s="22">
        <v>70303</v>
      </c>
      <c r="M142" s="23" t="s">
        <v>2961</v>
      </c>
      <c r="N142" s="24">
        <v>0</v>
      </c>
      <c r="O142" s="24">
        <v>0</v>
      </c>
      <c r="P142" s="24">
        <v>154025.19</v>
      </c>
      <c r="Q142" s="24">
        <v>0</v>
      </c>
      <c r="R142" s="24">
        <v>0</v>
      </c>
      <c r="S142" s="24">
        <v>0</v>
      </c>
      <c r="T142" s="24">
        <v>1047033.39047619</v>
      </c>
      <c r="U142" s="24">
        <v>0</v>
      </c>
      <c r="V142" s="24">
        <v>751755.60952380998</v>
      </c>
      <c r="W142" s="24">
        <v>280000</v>
      </c>
      <c r="X142" s="24">
        <v>3000000</v>
      </c>
      <c r="Y142" s="24">
        <v>5000000</v>
      </c>
      <c r="Z142" s="24">
        <f t="shared" si="8"/>
        <v>10232814.189999999</v>
      </c>
      <c r="AB142" s="25">
        <v>4648813.1899999995</v>
      </c>
      <c r="AC142" s="26">
        <v>4648813</v>
      </c>
      <c r="AD142" s="24">
        <v>0.18999999947845936</v>
      </c>
      <c r="AE142" s="27">
        <f>_xlfn.XLOOKUP(B142,'Projects Cashflow'!$B:$B,'Projects Cashflow'!$AG:$AG,0)</f>
        <v>4648813</v>
      </c>
      <c r="AF142" s="28">
        <f t="shared" si="9"/>
        <v>-0.18999999947845936</v>
      </c>
    </row>
    <row r="143" spans="2:32" x14ac:dyDescent="0.3">
      <c r="B143" s="14" t="str">
        <f t="shared" si="7"/>
        <v>45110104511000208Mission &amp; Travel-N423821200104</v>
      </c>
      <c r="C143" s="21" t="s">
        <v>65</v>
      </c>
      <c r="D143" s="22">
        <v>4511010</v>
      </c>
      <c r="E143" s="21" t="s">
        <v>267</v>
      </c>
      <c r="F143" s="22">
        <v>4511000208</v>
      </c>
      <c r="G143" s="21" t="s">
        <v>2975</v>
      </c>
      <c r="H143" s="21" t="s">
        <v>54</v>
      </c>
      <c r="I143" s="22">
        <v>423821</v>
      </c>
      <c r="J143" s="22">
        <v>200104</v>
      </c>
      <c r="K143" s="22" t="s">
        <v>2959</v>
      </c>
      <c r="L143" s="22">
        <v>70303</v>
      </c>
      <c r="M143" s="23" t="s">
        <v>2961</v>
      </c>
      <c r="N143" s="24">
        <v>0</v>
      </c>
      <c r="O143" s="24">
        <v>0</v>
      </c>
      <c r="P143" s="24">
        <v>12000</v>
      </c>
      <c r="Q143" s="24">
        <v>188000</v>
      </c>
      <c r="R143" s="24">
        <v>200000</v>
      </c>
      <c r="S143" s="24">
        <v>200000</v>
      </c>
      <c r="T143" s="24">
        <v>200000</v>
      </c>
      <c r="U143" s="24">
        <v>200000</v>
      </c>
      <c r="V143" s="24">
        <v>200000</v>
      </c>
      <c r="W143" s="24">
        <v>200000</v>
      </c>
      <c r="X143" s="24">
        <v>200000</v>
      </c>
      <c r="Y143" s="24">
        <v>636251</v>
      </c>
      <c r="Z143" s="24">
        <f t="shared" si="8"/>
        <v>2236251</v>
      </c>
      <c r="AB143" s="25">
        <v>2236251</v>
      </c>
      <c r="AC143" s="26">
        <v>2236251</v>
      </c>
      <c r="AD143" s="24">
        <v>0</v>
      </c>
      <c r="AE143" s="27">
        <f>_xlfn.XLOOKUP(B143,'Projects Cashflow'!$B:$B,'Projects Cashflow'!$AG:$AG,0)</f>
        <v>2236251</v>
      </c>
      <c r="AF143" s="28">
        <f t="shared" si="9"/>
        <v>0</v>
      </c>
    </row>
    <row r="144" spans="2:32" x14ac:dyDescent="0.3">
      <c r="B144" s="14" t="str">
        <f t="shared" si="7"/>
        <v>45110104511000208Freelancers-N424521200104</v>
      </c>
      <c r="C144" s="21" t="s">
        <v>65</v>
      </c>
      <c r="D144" s="22">
        <v>4511010</v>
      </c>
      <c r="E144" s="21" t="s">
        <v>267</v>
      </c>
      <c r="F144" s="22">
        <v>4511000208</v>
      </c>
      <c r="G144" s="21" t="s">
        <v>2975</v>
      </c>
      <c r="H144" s="21" t="s">
        <v>50</v>
      </c>
      <c r="I144" s="22">
        <v>424521</v>
      </c>
      <c r="J144" s="22">
        <v>200104</v>
      </c>
      <c r="K144" s="22" t="s">
        <v>2959</v>
      </c>
      <c r="L144" s="22">
        <v>70303</v>
      </c>
      <c r="M144" s="23" t="s">
        <v>2961</v>
      </c>
      <c r="N144" s="24">
        <v>0</v>
      </c>
      <c r="O144" s="24">
        <v>0</v>
      </c>
      <c r="P144" s="24">
        <v>422654.15</v>
      </c>
      <c r="Q144" s="24">
        <v>69345.850000000006</v>
      </c>
      <c r="R144" s="24">
        <v>164000</v>
      </c>
      <c r="S144" s="24">
        <v>164000</v>
      </c>
      <c r="T144" s="24">
        <v>164000</v>
      </c>
      <c r="U144" s="24">
        <v>164000</v>
      </c>
      <c r="V144" s="24">
        <v>164000</v>
      </c>
      <c r="W144" s="24">
        <v>164000</v>
      </c>
      <c r="X144" s="24">
        <v>164000</v>
      </c>
      <c r="Y144" s="24">
        <v>328000</v>
      </c>
      <c r="Z144" s="24">
        <f t="shared" si="8"/>
        <v>1968000</v>
      </c>
      <c r="AB144" s="25">
        <v>1811917</v>
      </c>
      <c r="AC144" s="26">
        <v>1811917</v>
      </c>
      <c r="AD144" s="24">
        <v>0</v>
      </c>
      <c r="AE144" s="27">
        <f>_xlfn.XLOOKUP(B144,'Projects Cashflow'!$B:$B,'Projects Cashflow'!$AG:$AG,0)</f>
        <v>1811917</v>
      </c>
      <c r="AF144" s="28">
        <f t="shared" si="9"/>
        <v>0</v>
      </c>
    </row>
    <row r="145" spans="2:32" x14ac:dyDescent="0.3">
      <c r="B145" s="14" t="str">
        <f t="shared" si="7"/>
        <v>45110104511000208Admin Expenses-N421125200104</v>
      </c>
      <c r="C145" s="21" t="s">
        <v>65</v>
      </c>
      <c r="D145" s="22">
        <v>4511010</v>
      </c>
      <c r="E145" s="21" t="s">
        <v>267</v>
      </c>
      <c r="F145" s="22">
        <v>4511000208</v>
      </c>
      <c r="G145" s="21" t="s">
        <v>2975</v>
      </c>
      <c r="H145" s="21" t="s">
        <v>130</v>
      </c>
      <c r="I145" s="22">
        <v>421125</v>
      </c>
      <c r="J145" s="22">
        <v>200104</v>
      </c>
      <c r="K145" s="22" t="s">
        <v>2959</v>
      </c>
      <c r="L145" s="22">
        <v>70205</v>
      </c>
      <c r="M145" s="23" t="s">
        <v>2961</v>
      </c>
      <c r="N145" s="24">
        <v>0</v>
      </c>
      <c r="O145" s="24">
        <v>0</v>
      </c>
      <c r="P145" s="24">
        <v>0</v>
      </c>
      <c r="Q145" s="24">
        <v>0</v>
      </c>
      <c r="R145" s="24">
        <v>50000</v>
      </c>
      <c r="S145" s="24">
        <v>0</v>
      </c>
      <c r="T145" s="24">
        <v>50000</v>
      </c>
      <c r="U145" s="24">
        <v>0</v>
      </c>
      <c r="V145" s="24">
        <v>100000</v>
      </c>
      <c r="W145" s="24">
        <v>89424</v>
      </c>
      <c r="X145" s="24">
        <v>100000</v>
      </c>
      <c r="Y145" s="24">
        <v>100000</v>
      </c>
      <c r="Z145" s="24">
        <f t="shared" si="8"/>
        <v>489424</v>
      </c>
      <c r="AB145" s="25">
        <v>489424</v>
      </c>
      <c r="AC145" s="26">
        <v>489424</v>
      </c>
      <c r="AD145" s="24">
        <v>0</v>
      </c>
      <c r="AE145" s="27">
        <f>_xlfn.XLOOKUP(B145,'Projects Cashflow'!$B:$B,'Projects Cashflow'!$AG:$AG,0)</f>
        <v>489424</v>
      </c>
      <c r="AF145" s="28">
        <f t="shared" si="9"/>
        <v>0</v>
      </c>
    </row>
    <row r="146" spans="2:32" x14ac:dyDescent="0.3">
      <c r="B146" s="14" t="str">
        <f t="shared" si="7"/>
        <v>45110104511000208Hospitality-N424761200104</v>
      </c>
      <c r="C146" s="21" t="s">
        <v>65</v>
      </c>
      <c r="D146" s="22">
        <v>4511010</v>
      </c>
      <c r="E146" s="21" t="s">
        <v>267</v>
      </c>
      <c r="F146" s="22">
        <v>4511000208</v>
      </c>
      <c r="G146" s="21" t="s">
        <v>2975</v>
      </c>
      <c r="H146" s="21" t="s">
        <v>83</v>
      </c>
      <c r="I146" s="22">
        <v>424761</v>
      </c>
      <c r="J146" s="22">
        <v>200104</v>
      </c>
      <c r="K146" s="22" t="s">
        <v>2959</v>
      </c>
      <c r="L146" s="22">
        <v>70303</v>
      </c>
      <c r="M146" s="23" t="s">
        <v>2961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200000</v>
      </c>
      <c r="V146" s="24">
        <v>0</v>
      </c>
      <c r="W146" s="24">
        <v>0</v>
      </c>
      <c r="X146" s="24">
        <v>0</v>
      </c>
      <c r="Y146" s="24">
        <v>0</v>
      </c>
      <c r="Z146" s="24">
        <f t="shared" si="8"/>
        <v>200000</v>
      </c>
      <c r="AB146" s="25">
        <v>181000</v>
      </c>
      <c r="AC146" s="26">
        <v>181000</v>
      </c>
      <c r="AD146" s="24">
        <v>0</v>
      </c>
      <c r="AE146" s="27">
        <f>_xlfn.XLOOKUP(B146,'Projects Cashflow'!$B:$B,'Projects Cashflow'!$AG:$AG,0)</f>
        <v>181000</v>
      </c>
      <c r="AF146" s="28">
        <f t="shared" si="9"/>
        <v>0</v>
      </c>
    </row>
    <row r="147" spans="2:32" x14ac:dyDescent="0.3">
      <c r="B147" s="14" t="str">
        <f t="shared" si="7"/>
        <v>45110104511000816Event Management-N422401200104</v>
      </c>
      <c r="C147" s="21" t="s">
        <v>65</v>
      </c>
      <c r="D147" s="22">
        <v>4511010</v>
      </c>
      <c r="E147" s="21" t="s">
        <v>267</v>
      </c>
      <c r="F147" s="22">
        <v>4511000816</v>
      </c>
      <c r="G147" s="21" t="s">
        <v>1109</v>
      </c>
      <c r="H147" s="21" t="s">
        <v>162</v>
      </c>
      <c r="I147" s="22">
        <v>422401</v>
      </c>
      <c r="J147" s="22">
        <v>200104</v>
      </c>
      <c r="K147" s="22" t="s">
        <v>2959</v>
      </c>
      <c r="L147" s="22">
        <v>70206</v>
      </c>
      <c r="M147" s="23" t="s">
        <v>2961</v>
      </c>
      <c r="N147" s="24">
        <v>0</v>
      </c>
      <c r="O147" s="24">
        <v>0</v>
      </c>
      <c r="P147" s="24">
        <v>0</v>
      </c>
      <c r="Q147" s="24">
        <v>0</v>
      </c>
      <c r="R147" s="24">
        <v>0</v>
      </c>
      <c r="S147" s="24">
        <v>0</v>
      </c>
      <c r="T147" s="24">
        <v>0</v>
      </c>
      <c r="U147" s="24">
        <v>3038800</v>
      </c>
      <c r="V147" s="24">
        <v>0</v>
      </c>
      <c r="W147" s="24">
        <v>0</v>
      </c>
      <c r="X147" s="24">
        <v>0</v>
      </c>
      <c r="Y147" s="24">
        <v>0</v>
      </c>
      <c r="Z147" s="24">
        <f t="shared" si="8"/>
        <v>3038800</v>
      </c>
      <c r="AB147" s="25">
        <v>3038800</v>
      </c>
      <c r="AC147" s="26">
        <v>3038800</v>
      </c>
      <c r="AD147" s="24">
        <v>0</v>
      </c>
      <c r="AE147" s="27">
        <f>_xlfn.XLOOKUP(B147,'Projects Cashflow'!$B:$B,'Projects Cashflow'!$AG:$AG,0)</f>
        <v>3038800</v>
      </c>
      <c r="AF147" s="28">
        <f t="shared" si="9"/>
        <v>0</v>
      </c>
    </row>
    <row r="148" spans="2:32" x14ac:dyDescent="0.3">
      <c r="B148" s="14" t="str">
        <f t="shared" si="7"/>
        <v>45110104511001300Design &amp; Build-NC491211300105</v>
      </c>
      <c r="C148" s="21" t="s">
        <v>65</v>
      </c>
      <c r="D148" s="22">
        <v>4511010</v>
      </c>
      <c r="E148" s="21" t="s">
        <v>267</v>
      </c>
      <c r="F148" s="22">
        <v>4511001300</v>
      </c>
      <c r="G148" s="21" t="s">
        <v>1537</v>
      </c>
      <c r="H148" s="21" t="s">
        <v>1285</v>
      </c>
      <c r="I148" s="22">
        <v>491211</v>
      </c>
      <c r="J148" s="22">
        <v>300105</v>
      </c>
      <c r="K148" s="22" t="s">
        <v>2972</v>
      </c>
      <c r="L148" s="22">
        <v>70205</v>
      </c>
      <c r="M148" s="23" t="s">
        <v>2969</v>
      </c>
      <c r="N148" s="24">
        <v>0</v>
      </c>
      <c r="O148" s="24">
        <v>0</v>
      </c>
      <c r="P148" s="24">
        <v>0</v>
      </c>
      <c r="Q148" s="24">
        <v>0</v>
      </c>
      <c r="R148" s="24">
        <v>0</v>
      </c>
      <c r="S148" s="24">
        <v>0</v>
      </c>
      <c r="T148" s="24">
        <v>0</v>
      </c>
      <c r="U148" s="24">
        <v>0</v>
      </c>
      <c r="V148" s="24">
        <v>0</v>
      </c>
      <c r="W148" s="24">
        <v>0</v>
      </c>
      <c r="X148" s="24">
        <v>1800000</v>
      </c>
      <c r="Y148" s="24">
        <v>0</v>
      </c>
      <c r="Z148" s="24">
        <f t="shared" si="8"/>
        <v>1800000</v>
      </c>
      <c r="AB148" s="25">
        <v>1800000</v>
      </c>
      <c r="AC148" s="26">
        <v>1800000</v>
      </c>
      <c r="AD148" s="24">
        <v>0</v>
      </c>
      <c r="AE148" s="27">
        <f>_xlfn.XLOOKUP(B148,'Projects Cashflow'!$B:$B,'Projects Cashflow'!$AG:$AG,0)</f>
        <v>1800000</v>
      </c>
      <c r="AF148" s="28">
        <f t="shared" si="9"/>
        <v>0</v>
      </c>
    </row>
    <row r="149" spans="2:32" x14ac:dyDescent="0.3">
      <c r="B149" s="14" t="str">
        <f t="shared" si="7"/>
        <v>45110104511001300Concept Develop-NC495511300105</v>
      </c>
      <c r="C149" s="21" t="s">
        <v>65</v>
      </c>
      <c r="D149" s="22">
        <v>4511010</v>
      </c>
      <c r="E149" s="21" t="s">
        <v>267</v>
      </c>
      <c r="F149" s="22">
        <v>4511001300</v>
      </c>
      <c r="G149" s="21" t="s">
        <v>1537</v>
      </c>
      <c r="H149" s="21" t="s">
        <v>2976</v>
      </c>
      <c r="I149" s="22">
        <v>495511</v>
      </c>
      <c r="J149" s="22">
        <v>300105</v>
      </c>
      <c r="K149" s="22" t="s">
        <v>2972</v>
      </c>
      <c r="L149" s="22">
        <v>70205</v>
      </c>
      <c r="M149" s="23" t="s">
        <v>2969</v>
      </c>
      <c r="N149" s="24">
        <v>0</v>
      </c>
      <c r="O149" s="24">
        <v>0</v>
      </c>
      <c r="P149" s="24">
        <v>0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24">
        <v>0</v>
      </c>
      <c r="W149" s="24">
        <v>800000</v>
      </c>
      <c r="X149" s="24">
        <v>0</v>
      </c>
      <c r="Y149" s="24">
        <v>0</v>
      </c>
      <c r="Z149" s="24">
        <f t="shared" si="8"/>
        <v>800000</v>
      </c>
      <c r="AB149" s="25">
        <v>0</v>
      </c>
      <c r="AC149" s="26">
        <v>0</v>
      </c>
      <c r="AD149" s="24">
        <v>0</v>
      </c>
      <c r="AE149" s="27">
        <f>_xlfn.XLOOKUP(B149,'Projects Cashflow'!$B:$B,'Projects Cashflow'!$AG:$AG,0)</f>
        <v>0</v>
      </c>
      <c r="AF149" s="28">
        <f t="shared" si="9"/>
        <v>0</v>
      </c>
    </row>
    <row r="150" spans="2:32" x14ac:dyDescent="0.3">
      <c r="B150" s="14" t="str">
        <f t="shared" si="7"/>
        <v>45110104511001300Event Management-N422401200104</v>
      </c>
      <c r="C150" s="21" t="s">
        <v>65</v>
      </c>
      <c r="D150" s="22">
        <v>4511010</v>
      </c>
      <c r="E150" s="21" t="s">
        <v>267</v>
      </c>
      <c r="F150" s="22">
        <v>4511001300</v>
      </c>
      <c r="G150" s="21" t="s">
        <v>1537</v>
      </c>
      <c r="H150" s="21" t="s">
        <v>162</v>
      </c>
      <c r="I150" s="22">
        <v>422401</v>
      </c>
      <c r="J150" s="22">
        <v>200104</v>
      </c>
      <c r="K150" s="22" t="s">
        <v>2959</v>
      </c>
      <c r="L150" s="22">
        <v>70205</v>
      </c>
      <c r="M150" s="23" t="s">
        <v>2969</v>
      </c>
      <c r="N150" s="24">
        <v>0</v>
      </c>
      <c r="O150" s="24">
        <v>0</v>
      </c>
      <c r="P150" s="24">
        <v>0</v>
      </c>
      <c r="Q150" s="24">
        <v>0</v>
      </c>
      <c r="R150" s="24">
        <v>0</v>
      </c>
      <c r="S150" s="24">
        <v>0</v>
      </c>
      <c r="T150" s="24">
        <v>0</v>
      </c>
      <c r="U150" s="24">
        <v>0</v>
      </c>
      <c r="V150" s="24">
        <v>0</v>
      </c>
      <c r="W150" s="24">
        <v>0</v>
      </c>
      <c r="X150" s="24">
        <v>0</v>
      </c>
      <c r="Y150" s="24">
        <v>2740000</v>
      </c>
      <c r="Z150" s="24">
        <f t="shared" si="8"/>
        <v>2740000</v>
      </c>
      <c r="AB150" s="25">
        <v>2740000</v>
      </c>
      <c r="AC150" s="26">
        <v>2740000</v>
      </c>
      <c r="AD150" s="24">
        <v>0</v>
      </c>
      <c r="AE150" s="27">
        <f>_xlfn.XLOOKUP(B150,'Projects Cashflow'!$B:$B,'Projects Cashflow'!$AG:$AG,0)</f>
        <v>2740000</v>
      </c>
      <c r="AF150" s="28">
        <f t="shared" si="9"/>
        <v>0</v>
      </c>
    </row>
    <row r="151" spans="2:32" x14ac:dyDescent="0.3">
      <c r="B151" s="14" t="str">
        <f t="shared" si="7"/>
        <v>45110104511001300Freelancers-N424521200104</v>
      </c>
      <c r="C151" s="21" t="s">
        <v>65</v>
      </c>
      <c r="D151" s="22">
        <v>4511010</v>
      </c>
      <c r="E151" s="21" t="s">
        <v>267</v>
      </c>
      <c r="F151" s="22">
        <v>4511001300</v>
      </c>
      <c r="G151" s="21" t="s">
        <v>1537</v>
      </c>
      <c r="H151" s="21" t="s">
        <v>50</v>
      </c>
      <c r="I151" s="22">
        <v>424521</v>
      </c>
      <c r="J151" s="22">
        <v>200104</v>
      </c>
      <c r="K151" s="22" t="s">
        <v>2959</v>
      </c>
      <c r="L151" s="22">
        <v>70205</v>
      </c>
      <c r="M151" s="23" t="s">
        <v>2969</v>
      </c>
      <c r="N151" s="24">
        <v>0</v>
      </c>
      <c r="O151" s="24">
        <v>0</v>
      </c>
      <c r="P151" s="24">
        <v>91000</v>
      </c>
      <c r="Q151" s="24">
        <v>0</v>
      </c>
      <c r="R151" s="24">
        <v>169539</v>
      </c>
      <c r="S151" s="24">
        <v>260539</v>
      </c>
      <c r="T151" s="24">
        <v>260539</v>
      </c>
      <c r="U151" s="24">
        <v>260539</v>
      </c>
      <c r="V151" s="24">
        <v>260539</v>
      </c>
      <c r="W151" s="24">
        <v>260539</v>
      </c>
      <c r="X151" s="24">
        <v>260539</v>
      </c>
      <c r="Y151" s="24">
        <v>260539</v>
      </c>
      <c r="Z151" s="24">
        <f t="shared" si="8"/>
        <v>2084312</v>
      </c>
      <c r="AB151" s="25">
        <v>2084312</v>
      </c>
      <c r="AC151" s="26">
        <v>2084312</v>
      </c>
      <c r="AD151" s="24">
        <v>0</v>
      </c>
      <c r="AE151" s="27">
        <f>_xlfn.XLOOKUP(B151,'Projects Cashflow'!$B:$B,'Projects Cashflow'!$AG:$AG,0)</f>
        <v>2084312</v>
      </c>
      <c r="AF151" s="28">
        <f t="shared" si="9"/>
        <v>0</v>
      </c>
    </row>
    <row r="152" spans="2:32" x14ac:dyDescent="0.3">
      <c r="B152" s="14" t="str">
        <f t="shared" si="7"/>
        <v>45110104511001300SM Managnt E-E-N422511200104</v>
      </c>
      <c r="C152" s="21" t="s">
        <v>65</v>
      </c>
      <c r="D152" s="22">
        <v>4511010</v>
      </c>
      <c r="E152" s="21" t="s">
        <v>267</v>
      </c>
      <c r="F152" s="22">
        <v>4511001300</v>
      </c>
      <c r="G152" s="21" t="s">
        <v>1537</v>
      </c>
      <c r="H152" s="21" t="s">
        <v>255</v>
      </c>
      <c r="I152" s="22">
        <v>422511</v>
      </c>
      <c r="J152" s="22">
        <v>200104</v>
      </c>
      <c r="K152" s="22" t="s">
        <v>2959</v>
      </c>
      <c r="L152" s="22">
        <v>70205</v>
      </c>
      <c r="M152" s="23" t="s">
        <v>2969</v>
      </c>
      <c r="N152" s="24">
        <v>0</v>
      </c>
      <c r="O152" s="24">
        <v>0</v>
      </c>
      <c r="P152" s="24">
        <v>0</v>
      </c>
      <c r="Q152" s="24">
        <v>0</v>
      </c>
      <c r="R152" s="24">
        <v>0</v>
      </c>
      <c r="S152" s="24">
        <v>0</v>
      </c>
      <c r="T152" s="24">
        <v>0</v>
      </c>
      <c r="U152" s="24">
        <v>0</v>
      </c>
      <c r="V152" s="24">
        <v>0</v>
      </c>
      <c r="W152" s="24">
        <v>0</v>
      </c>
      <c r="X152" s="24">
        <v>0</v>
      </c>
      <c r="Y152" s="24">
        <v>1500000</v>
      </c>
      <c r="Z152" s="24">
        <f t="shared" si="8"/>
        <v>1500000</v>
      </c>
      <c r="AB152" s="25">
        <v>1041533</v>
      </c>
      <c r="AC152" s="26">
        <v>1041533</v>
      </c>
      <c r="AD152" s="24">
        <v>0</v>
      </c>
      <c r="AE152" s="27">
        <f>_xlfn.XLOOKUP(B152,'Projects Cashflow'!$B:$B,'Projects Cashflow'!$AG:$AG,0)</f>
        <v>1041533</v>
      </c>
      <c r="AF152" s="28">
        <f t="shared" si="9"/>
        <v>0</v>
      </c>
    </row>
    <row r="153" spans="2:32" x14ac:dyDescent="0.3">
      <c r="B153" s="14" t="str">
        <f t="shared" si="7"/>
        <v>45110104511001300Admin Expenses-N421125200104</v>
      </c>
      <c r="C153" s="21" t="s">
        <v>65</v>
      </c>
      <c r="D153" s="22">
        <v>4511010</v>
      </c>
      <c r="E153" s="21" t="s">
        <v>267</v>
      </c>
      <c r="F153" s="22">
        <v>4511001300</v>
      </c>
      <c r="G153" s="21" t="s">
        <v>1537</v>
      </c>
      <c r="H153" s="21" t="s">
        <v>130</v>
      </c>
      <c r="I153" s="22">
        <v>421125</v>
      </c>
      <c r="J153" s="22">
        <v>200104</v>
      </c>
      <c r="K153" s="22" t="s">
        <v>2959</v>
      </c>
      <c r="L153" s="22">
        <v>70205</v>
      </c>
      <c r="M153" s="23" t="s">
        <v>2969</v>
      </c>
      <c r="N153" s="24">
        <v>0</v>
      </c>
      <c r="O153" s="24">
        <v>0</v>
      </c>
      <c r="P153" s="24">
        <v>0</v>
      </c>
      <c r="Q153" s="24">
        <v>0</v>
      </c>
      <c r="R153" s="24">
        <v>0</v>
      </c>
      <c r="S153" s="24">
        <v>0</v>
      </c>
      <c r="T153" s="24">
        <v>0</v>
      </c>
      <c r="U153" s="24">
        <v>15000</v>
      </c>
      <c r="V153" s="24">
        <v>15000</v>
      </c>
      <c r="W153" s="24">
        <v>15000</v>
      </c>
      <c r="X153" s="24">
        <v>15000</v>
      </c>
      <c r="Y153" s="24">
        <v>15000</v>
      </c>
      <c r="Z153" s="24">
        <f t="shared" si="8"/>
        <v>75000</v>
      </c>
      <c r="AB153" s="25">
        <v>75000</v>
      </c>
      <c r="AC153" s="26">
        <v>75000</v>
      </c>
      <c r="AD153" s="24">
        <v>0</v>
      </c>
      <c r="AE153" s="27">
        <f>_xlfn.XLOOKUP(B153,'Projects Cashflow'!$B:$B,'Projects Cashflow'!$AG:$AG,0)</f>
        <v>75000</v>
      </c>
      <c r="AF153" s="28">
        <f t="shared" si="9"/>
        <v>0</v>
      </c>
    </row>
    <row r="154" spans="2:32" x14ac:dyDescent="0.3">
      <c r="B154" s="14" t="str">
        <f t="shared" si="7"/>
        <v>45110104511001301Cultural Advice-N1424521200104</v>
      </c>
      <c r="C154" s="21" t="s">
        <v>65</v>
      </c>
      <c r="D154" s="22">
        <v>4511010</v>
      </c>
      <c r="E154" s="21" t="s">
        <v>267</v>
      </c>
      <c r="F154" s="22">
        <v>4511001301</v>
      </c>
      <c r="G154" s="21" t="s">
        <v>1544</v>
      </c>
      <c r="H154" s="21" t="s">
        <v>1545</v>
      </c>
      <c r="I154" s="22">
        <v>424521</v>
      </c>
      <c r="J154" s="22">
        <v>200104</v>
      </c>
      <c r="K154" s="22" t="s">
        <v>2959</v>
      </c>
      <c r="L154" s="22">
        <v>70205</v>
      </c>
      <c r="M154" s="23" t="s">
        <v>2961</v>
      </c>
      <c r="N154" s="24">
        <v>0</v>
      </c>
      <c r="O154" s="24">
        <v>0</v>
      </c>
      <c r="P154" s="24">
        <v>0</v>
      </c>
      <c r="Q154" s="24">
        <v>0</v>
      </c>
      <c r="R154" s="24">
        <v>0</v>
      </c>
      <c r="S154" s="24">
        <v>0</v>
      </c>
      <c r="T154" s="24">
        <v>0</v>
      </c>
      <c r="U154" s="24">
        <v>0</v>
      </c>
      <c r="V154" s="24">
        <v>0</v>
      </c>
      <c r="W154" s="24">
        <v>4443197</v>
      </c>
      <c r="X154" s="24">
        <v>0</v>
      </c>
      <c r="Y154" s="24">
        <v>0</v>
      </c>
      <c r="Z154" s="24">
        <f t="shared" si="8"/>
        <v>4443197</v>
      </c>
      <c r="AB154" s="25">
        <v>4443197</v>
      </c>
      <c r="AC154" s="26">
        <v>4443197</v>
      </c>
      <c r="AD154" s="24">
        <v>0</v>
      </c>
      <c r="AE154" s="27">
        <f>_xlfn.XLOOKUP(B154,'Projects Cashflow'!$B:$B,'Projects Cashflow'!$AG:$AG,0)</f>
        <v>4443197</v>
      </c>
      <c r="AF154" s="28">
        <f t="shared" si="9"/>
        <v>0</v>
      </c>
    </row>
    <row r="155" spans="2:32" x14ac:dyDescent="0.3">
      <c r="B155" s="14" t="str">
        <f t="shared" si="7"/>
        <v>45110104511001301Freelancers-N424521200104</v>
      </c>
      <c r="C155" s="21" t="s">
        <v>65</v>
      </c>
      <c r="D155" s="22">
        <v>4511010</v>
      </c>
      <c r="E155" s="21" t="s">
        <v>267</v>
      </c>
      <c r="F155" s="22">
        <v>4511001301</v>
      </c>
      <c r="G155" s="21" t="s">
        <v>1544</v>
      </c>
      <c r="H155" s="21" t="s">
        <v>50</v>
      </c>
      <c r="I155" s="22">
        <v>424521</v>
      </c>
      <c r="J155" s="22">
        <v>200104</v>
      </c>
      <c r="K155" s="22" t="s">
        <v>2959</v>
      </c>
      <c r="L155" s="22">
        <v>70205</v>
      </c>
      <c r="M155" s="23" t="s">
        <v>2961</v>
      </c>
      <c r="N155" s="24">
        <v>0</v>
      </c>
      <c r="O155" s="24">
        <v>0</v>
      </c>
      <c r="P155" s="24">
        <v>0</v>
      </c>
      <c r="Q155" s="24">
        <v>161000</v>
      </c>
      <c r="R155" s="24">
        <v>161000</v>
      </c>
      <c r="S155" s="24">
        <v>161000</v>
      </c>
      <c r="T155" s="24">
        <v>161000</v>
      </c>
      <c r="U155" s="24">
        <v>161000</v>
      </c>
      <c r="V155" s="24">
        <v>161000</v>
      </c>
      <c r="W155" s="24">
        <v>161000</v>
      </c>
      <c r="X155" s="24">
        <v>161000</v>
      </c>
      <c r="Y155" s="24">
        <v>322000</v>
      </c>
      <c r="Z155" s="24">
        <f t="shared" si="8"/>
        <v>1610000</v>
      </c>
      <c r="AB155" s="25">
        <v>1610000</v>
      </c>
      <c r="AC155" s="26">
        <v>1610000</v>
      </c>
      <c r="AD155" s="24">
        <v>0</v>
      </c>
      <c r="AE155" s="27">
        <f>_xlfn.XLOOKUP(B155,'Projects Cashflow'!$B:$B,'Projects Cashflow'!$AG:$AG,0)</f>
        <v>1610000</v>
      </c>
      <c r="AF155" s="28">
        <f t="shared" si="9"/>
        <v>0</v>
      </c>
    </row>
    <row r="156" spans="2:32" x14ac:dyDescent="0.3">
      <c r="B156" s="14" t="str">
        <f t="shared" si="7"/>
        <v>45110104511001310Concept Develop-N495511300105</v>
      </c>
      <c r="C156" s="21" t="s">
        <v>65</v>
      </c>
      <c r="D156" s="22">
        <v>4511010</v>
      </c>
      <c r="E156" s="21" t="s">
        <v>267</v>
      </c>
      <c r="F156" s="22">
        <v>4511001310</v>
      </c>
      <c r="G156" s="21" t="s">
        <v>2977</v>
      </c>
      <c r="H156" s="21" t="s">
        <v>378</v>
      </c>
      <c r="I156" s="22">
        <v>495511</v>
      </c>
      <c r="J156" s="22">
        <v>300105</v>
      </c>
      <c r="K156" s="22" t="s">
        <v>2972</v>
      </c>
      <c r="L156" s="22">
        <v>70206</v>
      </c>
      <c r="M156" s="23" t="s">
        <v>2961</v>
      </c>
      <c r="N156" s="24">
        <v>0</v>
      </c>
      <c r="O156" s="24">
        <v>0</v>
      </c>
      <c r="P156" s="24">
        <v>0</v>
      </c>
      <c r="Q156" s="24">
        <v>0</v>
      </c>
      <c r="R156" s="24">
        <v>300000</v>
      </c>
      <c r="S156" s="24">
        <v>0</v>
      </c>
      <c r="T156" s="24">
        <v>0</v>
      </c>
      <c r="U156" s="24">
        <v>420000</v>
      </c>
      <c r="V156" s="24">
        <v>0</v>
      </c>
      <c r="W156" s="24">
        <v>0</v>
      </c>
      <c r="X156" s="24">
        <v>0</v>
      </c>
      <c r="Y156" s="24">
        <v>0</v>
      </c>
      <c r="Z156" s="24">
        <f t="shared" si="8"/>
        <v>720000</v>
      </c>
      <c r="AB156" s="25">
        <v>340000</v>
      </c>
      <c r="AC156" s="26">
        <v>340000</v>
      </c>
      <c r="AD156" s="24">
        <v>0</v>
      </c>
      <c r="AE156" s="27">
        <f>_xlfn.XLOOKUP(B156,'Projects Cashflow'!$B:$B,'Projects Cashflow'!$AG:$AG,0)</f>
        <v>340000</v>
      </c>
      <c r="AF156" s="28">
        <f t="shared" si="9"/>
        <v>0</v>
      </c>
    </row>
    <row r="157" spans="2:32" x14ac:dyDescent="0.3">
      <c r="B157" s="14" t="str">
        <f t="shared" si="7"/>
        <v>45110104511001312Concept Develop-N495511300105</v>
      </c>
      <c r="C157" s="21" t="s">
        <v>65</v>
      </c>
      <c r="D157" s="22">
        <v>4511010</v>
      </c>
      <c r="E157" s="21" t="s">
        <v>267</v>
      </c>
      <c r="F157" s="22">
        <v>4511001312</v>
      </c>
      <c r="G157" s="21" t="s">
        <v>1555</v>
      </c>
      <c r="H157" s="21" t="s">
        <v>378</v>
      </c>
      <c r="I157" s="22">
        <v>495511</v>
      </c>
      <c r="J157" s="22">
        <v>300105</v>
      </c>
      <c r="K157" s="22" t="s">
        <v>2972</v>
      </c>
      <c r="L157" s="22">
        <v>70206</v>
      </c>
      <c r="M157" s="23" t="s">
        <v>2961</v>
      </c>
      <c r="N157" s="24">
        <v>0</v>
      </c>
      <c r="O157" s="24">
        <v>0</v>
      </c>
      <c r="P157" s="24">
        <v>0</v>
      </c>
      <c r="Q157" s="24">
        <v>0</v>
      </c>
      <c r="R157" s="24">
        <v>0</v>
      </c>
      <c r="S157" s="24">
        <v>0</v>
      </c>
      <c r="T157" s="24">
        <v>0</v>
      </c>
      <c r="U157" s="24">
        <v>2020000</v>
      </c>
      <c r="V157" s="24">
        <v>0</v>
      </c>
      <c r="W157" s="24">
        <v>2600000</v>
      </c>
      <c r="X157" s="24">
        <v>0</v>
      </c>
      <c r="Y157" s="24">
        <v>0</v>
      </c>
      <c r="Z157" s="24">
        <f t="shared" si="8"/>
        <v>4620000</v>
      </c>
      <c r="AB157" s="25">
        <v>1000000</v>
      </c>
      <c r="AC157" s="26">
        <v>1000000</v>
      </c>
      <c r="AD157" s="24">
        <v>0</v>
      </c>
      <c r="AE157" s="27">
        <f>_xlfn.XLOOKUP(B157,'Projects Cashflow'!$B:$B,'Projects Cashflow'!$AG:$AG,0)</f>
        <v>1000000</v>
      </c>
      <c r="AF157" s="28">
        <f t="shared" si="9"/>
        <v>0</v>
      </c>
    </row>
    <row r="158" spans="2:32" x14ac:dyDescent="0.3">
      <c r="B158" s="14" t="str">
        <f t="shared" si="7"/>
        <v>45110104511001394Freelancers-N424521200104</v>
      </c>
      <c r="C158" s="21" t="s">
        <v>65</v>
      </c>
      <c r="D158" s="22">
        <v>4511010</v>
      </c>
      <c r="E158" s="21" t="s">
        <v>267</v>
      </c>
      <c r="F158" s="22">
        <v>4511001394</v>
      </c>
      <c r="G158" s="21" t="s">
        <v>1647</v>
      </c>
      <c r="H158" s="21" t="s">
        <v>50</v>
      </c>
      <c r="I158" s="22">
        <v>424521</v>
      </c>
      <c r="J158" s="22">
        <v>200104</v>
      </c>
      <c r="K158" s="22" t="s">
        <v>2959</v>
      </c>
      <c r="L158" s="22">
        <v>70303</v>
      </c>
      <c r="M158" s="23" t="s">
        <v>2961</v>
      </c>
      <c r="N158" s="24">
        <v>0</v>
      </c>
      <c r="O158" s="24">
        <v>0</v>
      </c>
      <c r="P158" s="24">
        <v>41499.25</v>
      </c>
      <c r="Q158" s="24">
        <v>34216</v>
      </c>
      <c r="R158" s="24">
        <v>25238.416666666668</v>
      </c>
      <c r="S158" s="24">
        <v>25238.416666666668</v>
      </c>
      <c r="T158" s="24">
        <v>25238.416666666668</v>
      </c>
      <c r="U158" s="24">
        <v>25238.416666666668</v>
      </c>
      <c r="V158" s="24">
        <v>25238.416666666668</v>
      </c>
      <c r="W158" s="24">
        <v>25238.416666666668</v>
      </c>
      <c r="X158" s="24">
        <v>25238.416666666668</v>
      </c>
      <c r="Y158" s="24">
        <v>50477</v>
      </c>
      <c r="Z158" s="24">
        <f t="shared" si="8"/>
        <v>302861.16666666663</v>
      </c>
      <c r="AB158" s="25">
        <v>902861.16666666663</v>
      </c>
      <c r="AC158" s="26">
        <v>902862</v>
      </c>
      <c r="AD158" s="24">
        <v>-0.83333333337213844</v>
      </c>
      <c r="AE158" s="27">
        <f>_xlfn.XLOOKUP(B158,'Projects Cashflow'!$B:$B,'Projects Cashflow'!$AG:$AG,0)</f>
        <v>902862</v>
      </c>
      <c r="AF158" s="28">
        <f t="shared" si="9"/>
        <v>0.83333333337213844</v>
      </c>
    </row>
    <row r="159" spans="2:32" x14ac:dyDescent="0.3">
      <c r="B159" s="14" t="str">
        <f t="shared" si="7"/>
        <v>45110104511001428Lease Improve-NC1490600300105</v>
      </c>
      <c r="C159" s="21" t="s">
        <v>65</v>
      </c>
      <c r="D159" s="22">
        <v>4511010</v>
      </c>
      <c r="E159" s="21" t="s">
        <v>267</v>
      </c>
      <c r="F159" s="22">
        <v>4511001428</v>
      </c>
      <c r="G159" s="21" t="s">
        <v>1712</v>
      </c>
      <c r="H159" s="21" t="s">
        <v>1713</v>
      </c>
      <c r="I159" s="22">
        <v>490600</v>
      </c>
      <c r="J159" s="22">
        <v>300105</v>
      </c>
      <c r="K159" s="22" t="s">
        <v>2972</v>
      </c>
      <c r="L159" s="22">
        <v>70205</v>
      </c>
      <c r="M159" s="23" t="s">
        <v>2961</v>
      </c>
      <c r="N159" s="24">
        <v>0</v>
      </c>
      <c r="O159" s="24">
        <v>0</v>
      </c>
      <c r="P159" s="24">
        <v>0</v>
      </c>
      <c r="Q159" s="24">
        <v>0</v>
      </c>
      <c r="R159" s="24">
        <v>0</v>
      </c>
      <c r="S159" s="24">
        <v>0</v>
      </c>
      <c r="T159" s="24">
        <v>0</v>
      </c>
      <c r="U159" s="24">
        <v>6000000</v>
      </c>
      <c r="V159" s="24">
        <v>0</v>
      </c>
      <c r="W159" s="24">
        <v>6000000</v>
      </c>
      <c r="X159" s="24">
        <v>0</v>
      </c>
      <c r="Y159" s="24">
        <v>0</v>
      </c>
      <c r="Z159" s="24">
        <f t="shared" si="8"/>
        <v>12000000</v>
      </c>
      <c r="AB159" s="25">
        <v>12000000</v>
      </c>
      <c r="AC159" s="26">
        <v>12000000</v>
      </c>
      <c r="AD159" s="24">
        <v>0</v>
      </c>
      <c r="AE159" s="27">
        <f>_xlfn.XLOOKUP(B159,'Projects Cashflow'!$B:$B,'Projects Cashflow'!$AG:$AG,0)</f>
        <v>12000000</v>
      </c>
      <c r="AF159" s="28">
        <f t="shared" si="9"/>
        <v>0</v>
      </c>
    </row>
    <row r="160" spans="2:32" x14ac:dyDescent="0.3">
      <c r="B160" s="14" t="str">
        <f t="shared" si="7"/>
        <v>45110104511001493Freelancers-N424521200104</v>
      </c>
      <c r="C160" s="21" t="s">
        <v>65</v>
      </c>
      <c r="D160" s="22">
        <v>4511010</v>
      </c>
      <c r="E160" s="21" t="s">
        <v>267</v>
      </c>
      <c r="F160" s="22">
        <v>4511001493</v>
      </c>
      <c r="G160" s="21" t="s">
        <v>1843</v>
      </c>
      <c r="H160" s="21" t="s">
        <v>50</v>
      </c>
      <c r="I160" s="22">
        <v>424521</v>
      </c>
      <c r="J160" s="22">
        <v>200104</v>
      </c>
      <c r="K160" s="22" t="s">
        <v>2959</v>
      </c>
      <c r="L160" s="22">
        <v>70205</v>
      </c>
      <c r="M160" s="23" t="s">
        <v>2960</v>
      </c>
      <c r="N160" s="24">
        <v>0</v>
      </c>
      <c r="O160" s="24">
        <v>0</v>
      </c>
      <c r="P160" s="24">
        <v>0</v>
      </c>
      <c r="Q160" s="24">
        <v>48400</v>
      </c>
      <c r="R160" s="24">
        <v>24200</v>
      </c>
      <c r="S160" s="24">
        <v>24200</v>
      </c>
      <c r="T160" s="24">
        <v>24200</v>
      </c>
      <c r="U160" s="24">
        <v>24200</v>
      </c>
      <c r="V160" s="24">
        <v>24200</v>
      </c>
      <c r="W160" s="24">
        <v>24200</v>
      </c>
      <c r="X160" s="24">
        <v>24200</v>
      </c>
      <c r="Y160" s="24">
        <v>24200</v>
      </c>
      <c r="Z160" s="24">
        <f t="shared" si="8"/>
        <v>242000</v>
      </c>
      <c r="AB160" s="25">
        <v>242000</v>
      </c>
      <c r="AC160" s="26">
        <v>242000</v>
      </c>
      <c r="AD160" s="24">
        <v>0</v>
      </c>
      <c r="AE160" s="27">
        <f>_xlfn.XLOOKUP(B160,'Projects Cashflow'!$B:$B,'Projects Cashflow'!$AG:$AG,0)</f>
        <v>242000</v>
      </c>
      <c r="AF160" s="28">
        <f t="shared" si="9"/>
        <v>0</v>
      </c>
    </row>
    <row r="161" spans="2:32" x14ac:dyDescent="0.3">
      <c r="B161" s="14" t="str">
        <f t="shared" si="7"/>
        <v>45110104511001512Strategy Advice-N421123200104</v>
      </c>
      <c r="C161" s="21" t="s">
        <v>65</v>
      </c>
      <c r="D161" s="22">
        <v>4511010</v>
      </c>
      <c r="E161" s="21" t="s">
        <v>267</v>
      </c>
      <c r="F161" s="22">
        <v>4511001512</v>
      </c>
      <c r="G161" s="21" t="s">
        <v>1898</v>
      </c>
      <c r="H161" s="21" t="s">
        <v>236</v>
      </c>
      <c r="I161" s="22">
        <v>421123</v>
      </c>
      <c r="J161" s="22">
        <v>200104</v>
      </c>
      <c r="K161" s="22" t="s">
        <v>2959</v>
      </c>
      <c r="L161" s="22">
        <v>70101</v>
      </c>
      <c r="M161" s="23" t="s">
        <v>2961</v>
      </c>
      <c r="N161" s="24">
        <v>0</v>
      </c>
      <c r="O161" s="24">
        <v>0</v>
      </c>
      <c r="P161" s="24">
        <v>0</v>
      </c>
      <c r="Q161" s="24">
        <v>0</v>
      </c>
      <c r="R161" s="24">
        <v>0</v>
      </c>
      <c r="S161" s="24">
        <v>0</v>
      </c>
      <c r="T161" s="24">
        <v>0</v>
      </c>
      <c r="U161" s="24">
        <v>0</v>
      </c>
      <c r="V161" s="24">
        <v>0</v>
      </c>
      <c r="W161" s="24">
        <v>2500000</v>
      </c>
      <c r="X161" s="24">
        <v>2881782</v>
      </c>
      <c r="Y161" s="24">
        <v>2500000</v>
      </c>
      <c r="Z161" s="24">
        <f t="shared" si="8"/>
        <v>7881782</v>
      </c>
      <c r="AB161" s="25">
        <v>3081782</v>
      </c>
      <c r="AC161" s="26">
        <v>3081782</v>
      </c>
      <c r="AD161" s="24">
        <v>0</v>
      </c>
      <c r="AE161" s="27">
        <f>_xlfn.XLOOKUP(B161,'Projects Cashflow'!$B:$B,'Projects Cashflow'!$AG:$AG,0)</f>
        <v>3081782</v>
      </c>
      <c r="AF161" s="28">
        <f t="shared" si="9"/>
        <v>0</v>
      </c>
    </row>
    <row r="162" spans="2:32" x14ac:dyDescent="0.3">
      <c r="B162" s="14" t="str">
        <f t="shared" si="7"/>
        <v>45110104511001522Strategy Advice-N421123200104</v>
      </c>
      <c r="C162" s="21" t="s">
        <v>65</v>
      </c>
      <c r="D162" s="22">
        <v>4511010</v>
      </c>
      <c r="E162" s="21" t="s">
        <v>267</v>
      </c>
      <c r="F162" s="22">
        <v>4511001522</v>
      </c>
      <c r="G162" s="21" t="s">
        <v>1919</v>
      </c>
      <c r="H162" s="21" t="s">
        <v>236</v>
      </c>
      <c r="I162" s="22">
        <v>421123</v>
      </c>
      <c r="J162" s="22">
        <v>200104</v>
      </c>
      <c r="K162" s="22" t="s">
        <v>2959</v>
      </c>
      <c r="L162" s="22">
        <v>70206</v>
      </c>
      <c r="M162" s="23" t="s">
        <v>2961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500000</v>
      </c>
      <c r="T162" s="24">
        <v>0</v>
      </c>
      <c r="U162" s="24">
        <v>0</v>
      </c>
      <c r="V162" s="24">
        <v>0</v>
      </c>
      <c r="W162" s="24">
        <v>0</v>
      </c>
      <c r="X162" s="24">
        <v>500000</v>
      </c>
      <c r="Y162" s="24">
        <v>0</v>
      </c>
      <c r="Z162" s="24">
        <f t="shared" si="8"/>
        <v>1000000</v>
      </c>
      <c r="AB162" s="25">
        <v>1000000</v>
      </c>
      <c r="AC162" s="26">
        <v>1000000</v>
      </c>
      <c r="AD162" s="24">
        <v>0</v>
      </c>
      <c r="AE162" s="27">
        <f>_xlfn.XLOOKUP(B162,'Projects Cashflow'!$B:$B,'Projects Cashflow'!$AG:$AG,0)</f>
        <v>1000000</v>
      </c>
      <c r="AF162" s="28">
        <f t="shared" si="9"/>
        <v>0</v>
      </c>
    </row>
    <row r="163" spans="2:32" x14ac:dyDescent="0.3">
      <c r="B163" s="14" t="str">
        <f t="shared" si="7"/>
        <v>45110104511001608Cultural Advice-N424521200104</v>
      </c>
      <c r="C163" s="21" t="s">
        <v>65</v>
      </c>
      <c r="D163" s="22">
        <v>4511010</v>
      </c>
      <c r="E163" s="21" t="s">
        <v>267</v>
      </c>
      <c r="F163" s="22">
        <v>4511001608</v>
      </c>
      <c r="G163" s="21" t="s">
        <v>2108</v>
      </c>
      <c r="H163" s="21" t="s">
        <v>296</v>
      </c>
      <c r="I163" s="22">
        <v>424521</v>
      </c>
      <c r="J163" s="22">
        <v>200104</v>
      </c>
      <c r="K163" s="22" t="s">
        <v>2959</v>
      </c>
      <c r="L163" s="22">
        <v>70302</v>
      </c>
      <c r="M163" s="23" t="s">
        <v>2961</v>
      </c>
      <c r="N163" s="24">
        <v>0</v>
      </c>
      <c r="O163" s="24">
        <v>0</v>
      </c>
      <c r="P163" s="24">
        <v>0</v>
      </c>
      <c r="Q163" s="24">
        <v>0</v>
      </c>
      <c r="R163" s="24">
        <v>0</v>
      </c>
      <c r="S163" s="24">
        <v>0</v>
      </c>
      <c r="T163" s="24">
        <v>0</v>
      </c>
      <c r="U163" s="24">
        <v>1000000</v>
      </c>
      <c r="V163" s="24">
        <v>0</v>
      </c>
      <c r="W163" s="24">
        <v>0</v>
      </c>
      <c r="X163" s="24">
        <v>0</v>
      </c>
      <c r="Y163" s="24">
        <v>0</v>
      </c>
      <c r="Z163" s="24">
        <f t="shared" si="8"/>
        <v>1000000</v>
      </c>
      <c r="AB163" s="25">
        <v>1000000</v>
      </c>
      <c r="AC163" s="26">
        <v>1000000</v>
      </c>
      <c r="AD163" s="24">
        <v>0</v>
      </c>
      <c r="AE163" s="27">
        <f>_xlfn.XLOOKUP(B163,'Projects Cashflow'!$B:$B,'Projects Cashflow'!$AG:$AG,0)</f>
        <v>1000000</v>
      </c>
      <c r="AF163" s="28">
        <f t="shared" si="9"/>
        <v>0</v>
      </c>
    </row>
    <row r="164" spans="2:32" x14ac:dyDescent="0.3">
      <c r="B164" s="14" t="str">
        <f t="shared" si="7"/>
        <v>45110204511000592Freelancers-N424521200104</v>
      </c>
      <c r="C164" s="21" t="s">
        <v>65</v>
      </c>
      <c r="D164" s="22">
        <v>4511020</v>
      </c>
      <c r="E164" s="21" t="s">
        <v>301</v>
      </c>
      <c r="F164" s="22">
        <v>4511000592</v>
      </c>
      <c r="G164" s="21" t="s">
        <v>2978</v>
      </c>
      <c r="H164" s="21" t="s">
        <v>50</v>
      </c>
      <c r="I164" s="22">
        <v>424521</v>
      </c>
      <c r="J164" s="22">
        <v>200104</v>
      </c>
      <c r="K164" s="22" t="s">
        <v>2959</v>
      </c>
      <c r="L164" s="22">
        <v>70103</v>
      </c>
      <c r="M164" s="23" t="s">
        <v>2961</v>
      </c>
      <c r="N164" s="24">
        <v>0</v>
      </c>
      <c r="O164" s="24">
        <v>0</v>
      </c>
      <c r="P164" s="24">
        <v>0</v>
      </c>
      <c r="Q164" s="24">
        <v>0</v>
      </c>
      <c r="R164" s="24">
        <v>82000</v>
      </c>
      <c r="S164" s="24">
        <v>82000</v>
      </c>
      <c r="T164" s="24">
        <v>82000</v>
      </c>
      <c r="U164" s="24">
        <v>82000</v>
      </c>
      <c r="V164" s="24">
        <v>328000</v>
      </c>
      <c r="W164" s="24">
        <v>200000</v>
      </c>
      <c r="X164" s="24">
        <v>217271</v>
      </c>
      <c r="Y164" s="24">
        <v>300000</v>
      </c>
      <c r="Z164" s="24">
        <f t="shared" si="8"/>
        <v>1373271</v>
      </c>
      <c r="AB164" s="25">
        <v>1373271</v>
      </c>
      <c r="AC164" s="26">
        <v>1373271</v>
      </c>
      <c r="AD164" s="24">
        <v>0</v>
      </c>
      <c r="AE164" s="27">
        <f>_xlfn.XLOOKUP(B164,'Projects Cashflow'!$B:$B,'Projects Cashflow'!$AG:$AG,0)</f>
        <v>1373271</v>
      </c>
      <c r="AF164" s="28">
        <f t="shared" si="9"/>
        <v>0</v>
      </c>
    </row>
    <row r="165" spans="2:32" x14ac:dyDescent="0.3">
      <c r="B165" s="14" t="str">
        <f t="shared" si="7"/>
        <v>45110204511000592Mission &amp; Travel-N423821200104</v>
      </c>
      <c r="C165" s="21" t="s">
        <v>65</v>
      </c>
      <c r="D165" s="22">
        <v>4511020</v>
      </c>
      <c r="E165" s="21" t="s">
        <v>301</v>
      </c>
      <c r="F165" s="22">
        <v>4511000592</v>
      </c>
      <c r="G165" s="21" t="s">
        <v>2978</v>
      </c>
      <c r="H165" s="21" t="s">
        <v>54</v>
      </c>
      <c r="I165" s="22">
        <v>423821</v>
      </c>
      <c r="J165" s="22">
        <v>200104</v>
      </c>
      <c r="K165" s="22" t="s">
        <v>2959</v>
      </c>
      <c r="L165" s="22">
        <v>70103</v>
      </c>
      <c r="M165" s="23" t="s">
        <v>2961</v>
      </c>
      <c r="N165" s="24">
        <v>0</v>
      </c>
      <c r="O165" s="24">
        <v>0</v>
      </c>
      <c r="P165" s="24">
        <v>0</v>
      </c>
      <c r="Q165" s="24">
        <v>75000</v>
      </c>
      <c r="R165" s="24">
        <v>75000</v>
      </c>
      <c r="S165" s="24">
        <v>75000</v>
      </c>
      <c r="T165" s="24">
        <v>75000</v>
      </c>
      <c r="U165" s="24">
        <v>75000</v>
      </c>
      <c r="V165" s="24">
        <v>86300</v>
      </c>
      <c r="W165" s="24">
        <v>75000</v>
      </c>
      <c r="X165" s="24">
        <v>150000</v>
      </c>
      <c r="Y165" s="24">
        <v>150000</v>
      </c>
      <c r="Z165" s="24">
        <f t="shared" si="8"/>
        <v>836300</v>
      </c>
      <c r="AB165" s="25">
        <v>836300</v>
      </c>
      <c r="AC165" s="26">
        <v>836300</v>
      </c>
      <c r="AD165" s="24">
        <v>0</v>
      </c>
      <c r="AE165" s="27">
        <f>_xlfn.XLOOKUP(B165,'Projects Cashflow'!$B:$B,'Projects Cashflow'!$AG:$AG,0)</f>
        <v>836300</v>
      </c>
      <c r="AF165" s="28">
        <f t="shared" si="9"/>
        <v>0</v>
      </c>
    </row>
    <row r="166" spans="2:32" x14ac:dyDescent="0.3">
      <c r="B166" s="14" t="str">
        <f t="shared" si="7"/>
        <v>45110204511001494Freelancers-N424521200104</v>
      </c>
      <c r="C166" s="21" t="s">
        <v>65</v>
      </c>
      <c r="D166" s="22">
        <v>4511020</v>
      </c>
      <c r="E166" s="21" t="s">
        <v>301</v>
      </c>
      <c r="F166" s="22">
        <v>4511001494</v>
      </c>
      <c r="G166" s="21" t="s">
        <v>1845</v>
      </c>
      <c r="H166" s="21" t="s">
        <v>50</v>
      </c>
      <c r="I166" s="22">
        <v>424521</v>
      </c>
      <c r="J166" s="22">
        <v>200104</v>
      </c>
      <c r="K166" s="22" t="s">
        <v>2959</v>
      </c>
      <c r="L166" s="22">
        <v>70101</v>
      </c>
      <c r="M166" s="23" t="s">
        <v>2961</v>
      </c>
      <c r="N166" s="24">
        <v>0</v>
      </c>
      <c r="O166" s="24">
        <v>0</v>
      </c>
      <c r="P166" s="24">
        <v>0</v>
      </c>
      <c r="Q166" s="24">
        <v>0</v>
      </c>
      <c r="R166" s="24">
        <v>36700</v>
      </c>
      <c r="S166" s="24">
        <v>136700</v>
      </c>
      <c r="T166" s="24">
        <v>36700</v>
      </c>
      <c r="U166" s="24">
        <v>36700</v>
      </c>
      <c r="V166" s="24">
        <v>36700</v>
      </c>
      <c r="W166" s="24">
        <v>36700</v>
      </c>
      <c r="X166" s="24">
        <v>176700</v>
      </c>
      <c r="Y166" s="24">
        <v>433400</v>
      </c>
      <c r="Z166" s="24">
        <f t="shared" si="8"/>
        <v>930300</v>
      </c>
      <c r="AB166" s="25">
        <v>930300</v>
      </c>
      <c r="AC166" s="26">
        <v>930300</v>
      </c>
      <c r="AD166" s="24">
        <v>0</v>
      </c>
      <c r="AE166" s="27">
        <f>_xlfn.XLOOKUP(B166,'Projects Cashflow'!$B:$B,'Projects Cashflow'!$AG:$AG,0)</f>
        <v>930300</v>
      </c>
      <c r="AF166" s="28">
        <f t="shared" si="9"/>
        <v>0</v>
      </c>
    </row>
    <row r="167" spans="2:32" x14ac:dyDescent="0.3">
      <c r="B167" s="14" t="str">
        <f t="shared" si="7"/>
        <v>45110204511001494Event Management-N422401200104</v>
      </c>
      <c r="C167" s="21" t="s">
        <v>65</v>
      </c>
      <c r="D167" s="22">
        <v>4511020</v>
      </c>
      <c r="E167" s="21" t="s">
        <v>301</v>
      </c>
      <c r="F167" s="22">
        <v>4511001494</v>
      </c>
      <c r="G167" s="21" t="s">
        <v>1845</v>
      </c>
      <c r="H167" s="21" t="s">
        <v>162</v>
      </c>
      <c r="I167" s="22">
        <v>422401</v>
      </c>
      <c r="J167" s="22">
        <v>200104</v>
      </c>
      <c r="K167" s="22" t="s">
        <v>2959</v>
      </c>
      <c r="L167" s="22">
        <v>70101</v>
      </c>
      <c r="M167" s="23" t="s">
        <v>2961</v>
      </c>
      <c r="N167" s="24">
        <v>0</v>
      </c>
      <c r="O167" s="24">
        <v>0</v>
      </c>
      <c r="P167" s="24">
        <v>0</v>
      </c>
      <c r="Q167" s="24">
        <v>0</v>
      </c>
      <c r="R167" s="24">
        <v>0</v>
      </c>
      <c r="S167" s="24">
        <v>0</v>
      </c>
      <c r="T167" s="24">
        <v>0</v>
      </c>
      <c r="U167" s="24">
        <v>0</v>
      </c>
      <c r="V167" s="24">
        <v>250000</v>
      </c>
      <c r="W167" s="24">
        <v>250000</v>
      </c>
      <c r="X167" s="24">
        <v>100000</v>
      </c>
      <c r="Y167" s="24">
        <v>250000</v>
      </c>
      <c r="Z167" s="24">
        <f t="shared" si="8"/>
        <v>850000</v>
      </c>
      <c r="AB167" s="25">
        <v>850000</v>
      </c>
      <c r="AC167" s="26">
        <v>850000</v>
      </c>
      <c r="AD167" s="24">
        <v>0</v>
      </c>
      <c r="AE167" s="27">
        <f>_xlfn.XLOOKUP(B167,'Projects Cashflow'!$B:$B,'Projects Cashflow'!$AG:$AG,0)</f>
        <v>850000</v>
      </c>
      <c r="AF167" s="28">
        <f t="shared" si="9"/>
        <v>0</v>
      </c>
    </row>
    <row r="168" spans="2:32" x14ac:dyDescent="0.3">
      <c r="B168" s="14" t="str">
        <f t="shared" si="7"/>
        <v>45110204511001494Cultural Advice-N424521200104</v>
      </c>
      <c r="C168" s="21" t="s">
        <v>65</v>
      </c>
      <c r="D168" s="22">
        <v>4511020</v>
      </c>
      <c r="E168" s="21" t="s">
        <v>301</v>
      </c>
      <c r="F168" s="22">
        <v>4511001494</v>
      </c>
      <c r="G168" s="21" t="s">
        <v>1845</v>
      </c>
      <c r="H168" s="21" t="s">
        <v>296</v>
      </c>
      <c r="I168" s="22">
        <v>424521</v>
      </c>
      <c r="J168" s="22">
        <v>200104</v>
      </c>
      <c r="K168" s="22" t="s">
        <v>2959</v>
      </c>
      <c r="L168" s="22">
        <v>70101</v>
      </c>
      <c r="M168" s="23" t="s">
        <v>2961</v>
      </c>
      <c r="N168" s="24">
        <v>0</v>
      </c>
      <c r="O168" s="24">
        <v>0</v>
      </c>
      <c r="P168" s="24">
        <v>0</v>
      </c>
      <c r="Q168" s="24">
        <v>0</v>
      </c>
      <c r="R168" s="24">
        <v>50000</v>
      </c>
      <c r="S168" s="24">
        <v>100000</v>
      </c>
      <c r="T168" s="24">
        <v>100000</v>
      </c>
      <c r="U168" s="24">
        <v>0</v>
      </c>
      <c r="V168" s="24">
        <v>0</v>
      </c>
      <c r="W168" s="24">
        <v>0</v>
      </c>
      <c r="X168" s="24">
        <v>100000</v>
      </c>
      <c r="Y168" s="24">
        <v>0</v>
      </c>
      <c r="Z168" s="24">
        <f t="shared" si="8"/>
        <v>350000</v>
      </c>
      <c r="AB168" s="25">
        <v>350000</v>
      </c>
      <c r="AC168" s="26">
        <v>350000</v>
      </c>
      <c r="AD168" s="24">
        <v>0</v>
      </c>
      <c r="AE168" s="27">
        <f>_xlfn.XLOOKUP(B168,'Projects Cashflow'!$B:$B,'Projects Cashflow'!$AG:$AG,0)</f>
        <v>350000</v>
      </c>
      <c r="AF168" s="28">
        <f t="shared" si="9"/>
        <v>0</v>
      </c>
    </row>
    <row r="169" spans="2:32" x14ac:dyDescent="0.3">
      <c r="B169" s="14" t="str">
        <f t="shared" si="7"/>
        <v>45110204511001494Mission &amp; Travel-N423821200104</v>
      </c>
      <c r="C169" s="21" t="s">
        <v>65</v>
      </c>
      <c r="D169" s="22">
        <v>4511020</v>
      </c>
      <c r="E169" s="21" t="s">
        <v>301</v>
      </c>
      <c r="F169" s="22">
        <v>4511001494</v>
      </c>
      <c r="G169" s="21" t="s">
        <v>1845</v>
      </c>
      <c r="H169" s="21" t="s">
        <v>54</v>
      </c>
      <c r="I169" s="22">
        <v>423821</v>
      </c>
      <c r="J169" s="22">
        <v>200104</v>
      </c>
      <c r="K169" s="22" t="s">
        <v>2959</v>
      </c>
      <c r="L169" s="22">
        <v>70101</v>
      </c>
      <c r="M169" s="23" t="s">
        <v>2961</v>
      </c>
      <c r="N169" s="24">
        <v>0</v>
      </c>
      <c r="O169" s="24">
        <v>0</v>
      </c>
      <c r="P169" s="24">
        <v>0</v>
      </c>
      <c r="Q169" s="24">
        <v>30000</v>
      </c>
      <c r="R169" s="21">
        <v>0</v>
      </c>
      <c r="S169" s="24">
        <v>0</v>
      </c>
      <c r="T169" s="24">
        <v>0</v>
      </c>
      <c r="U169" s="24">
        <v>60000</v>
      </c>
      <c r="V169" s="24">
        <v>60000</v>
      </c>
      <c r="W169" s="24">
        <v>60000</v>
      </c>
      <c r="X169" s="24">
        <v>60000</v>
      </c>
      <c r="Y169" s="24">
        <v>0</v>
      </c>
      <c r="Z169" s="24">
        <f t="shared" si="8"/>
        <v>270000</v>
      </c>
      <c r="AB169" s="25">
        <v>270000</v>
      </c>
      <c r="AC169" s="26">
        <v>270000</v>
      </c>
      <c r="AD169" s="24">
        <v>0</v>
      </c>
      <c r="AE169" s="27">
        <f>_xlfn.XLOOKUP(B169,'Projects Cashflow'!$B:$B,'Projects Cashflow'!$AG:$AG,0)</f>
        <v>270000</v>
      </c>
      <c r="AF169" s="28">
        <f t="shared" si="9"/>
        <v>0</v>
      </c>
    </row>
    <row r="170" spans="2:32" x14ac:dyDescent="0.3">
      <c r="B170" s="14" t="str">
        <f t="shared" si="7"/>
        <v>45110204511001495Freelancers-N424521200104</v>
      </c>
      <c r="C170" s="21" t="s">
        <v>65</v>
      </c>
      <c r="D170" s="22">
        <v>4511020</v>
      </c>
      <c r="E170" s="21" t="s">
        <v>301</v>
      </c>
      <c r="F170" s="22">
        <v>4511001495</v>
      </c>
      <c r="G170" s="21" t="s">
        <v>1850</v>
      </c>
      <c r="H170" s="21" t="s">
        <v>50</v>
      </c>
      <c r="I170" s="22">
        <v>424521</v>
      </c>
      <c r="J170" s="22">
        <v>200104</v>
      </c>
      <c r="K170" s="22" t="s">
        <v>2959</v>
      </c>
      <c r="L170" s="22">
        <v>70101</v>
      </c>
      <c r="M170" s="23" t="s">
        <v>2961</v>
      </c>
      <c r="N170" s="24">
        <v>0</v>
      </c>
      <c r="O170" s="24">
        <v>0</v>
      </c>
      <c r="P170" s="24">
        <v>0</v>
      </c>
      <c r="Q170" s="24">
        <v>0</v>
      </c>
      <c r="R170" s="24">
        <v>44000</v>
      </c>
      <c r="S170" s="24">
        <v>44000</v>
      </c>
      <c r="T170" s="24">
        <v>44000</v>
      </c>
      <c r="U170" s="24">
        <v>44000</v>
      </c>
      <c r="V170" s="24">
        <v>44000</v>
      </c>
      <c r="W170" s="24">
        <v>44000</v>
      </c>
      <c r="X170" s="24">
        <v>116000</v>
      </c>
      <c r="Y170" s="24">
        <v>60000</v>
      </c>
      <c r="Z170" s="24">
        <f t="shared" si="8"/>
        <v>440000</v>
      </c>
      <c r="AB170" s="25">
        <v>440000</v>
      </c>
      <c r="AC170" s="26">
        <v>440000</v>
      </c>
      <c r="AD170" s="24">
        <v>0</v>
      </c>
      <c r="AE170" s="27">
        <f>_xlfn.XLOOKUP(B170,'Projects Cashflow'!$B:$B,'Projects Cashflow'!$AG:$AG,0)</f>
        <v>440000</v>
      </c>
      <c r="AF170" s="28">
        <f t="shared" si="9"/>
        <v>0</v>
      </c>
    </row>
    <row r="171" spans="2:32" x14ac:dyDescent="0.3">
      <c r="B171" s="14" t="str">
        <f t="shared" si="7"/>
        <v>45110204511001495Event Management-N422401200104</v>
      </c>
      <c r="C171" s="21" t="s">
        <v>65</v>
      </c>
      <c r="D171" s="22">
        <v>4511020</v>
      </c>
      <c r="E171" s="21" t="s">
        <v>301</v>
      </c>
      <c r="F171" s="22">
        <v>4511001495</v>
      </c>
      <c r="G171" s="21" t="s">
        <v>1850</v>
      </c>
      <c r="H171" s="21" t="s">
        <v>162</v>
      </c>
      <c r="I171" s="22">
        <v>422401</v>
      </c>
      <c r="J171" s="22">
        <v>200104</v>
      </c>
      <c r="K171" s="22" t="s">
        <v>2959</v>
      </c>
      <c r="L171" s="22">
        <v>70101</v>
      </c>
      <c r="M171" s="23" t="s">
        <v>2961</v>
      </c>
      <c r="N171" s="24">
        <v>0</v>
      </c>
      <c r="O171" s="24">
        <v>0</v>
      </c>
      <c r="P171" s="24">
        <v>0</v>
      </c>
      <c r="Q171" s="24">
        <v>0</v>
      </c>
      <c r="R171" s="24">
        <v>0</v>
      </c>
      <c r="S171" s="24">
        <v>0</v>
      </c>
      <c r="T171" s="24">
        <v>0</v>
      </c>
      <c r="U171" s="24">
        <v>351000</v>
      </c>
      <c r="V171" s="24">
        <v>0</v>
      </c>
      <c r="W171" s="24">
        <v>0</v>
      </c>
      <c r="X171" s="24">
        <v>0</v>
      </c>
      <c r="Y171" s="24">
        <v>0</v>
      </c>
      <c r="Z171" s="24">
        <f t="shared" si="8"/>
        <v>351000</v>
      </c>
      <c r="AB171" s="25">
        <v>351000</v>
      </c>
      <c r="AC171" s="26">
        <v>351000</v>
      </c>
      <c r="AD171" s="24">
        <v>0</v>
      </c>
      <c r="AE171" s="27">
        <f>_xlfn.XLOOKUP(B171,'Projects Cashflow'!$B:$B,'Projects Cashflow'!$AG:$AG,0)</f>
        <v>351000</v>
      </c>
      <c r="AF171" s="28">
        <f t="shared" si="9"/>
        <v>0</v>
      </c>
    </row>
    <row r="172" spans="2:32" x14ac:dyDescent="0.3">
      <c r="B172" s="14" t="str">
        <f t="shared" si="7"/>
        <v>45110204511001538Cultural Advice-N424521200104</v>
      </c>
      <c r="C172" s="21" t="s">
        <v>65</v>
      </c>
      <c r="D172" s="22">
        <v>4511020</v>
      </c>
      <c r="E172" s="21" t="s">
        <v>301</v>
      </c>
      <c r="F172" s="22">
        <v>4511001538</v>
      </c>
      <c r="G172" s="21" t="s">
        <v>1961</v>
      </c>
      <c r="H172" s="21" t="s">
        <v>296</v>
      </c>
      <c r="I172" s="22">
        <v>424521</v>
      </c>
      <c r="J172" s="22">
        <v>200104</v>
      </c>
      <c r="K172" s="22" t="s">
        <v>2959</v>
      </c>
      <c r="L172" s="22">
        <v>70101</v>
      </c>
      <c r="M172" s="23" t="s">
        <v>2961</v>
      </c>
      <c r="N172" s="24">
        <v>0</v>
      </c>
      <c r="O172" s="24">
        <v>0</v>
      </c>
      <c r="P172" s="24">
        <v>0</v>
      </c>
      <c r="Q172" s="24">
        <v>0</v>
      </c>
      <c r="R172" s="24">
        <v>0</v>
      </c>
      <c r="S172" s="24">
        <v>0</v>
      </c>
      <c r="T172" s="24">
        <v>0</v>
      </c>
      <c r="U172" s="24">
        <v>0</v>
      </c>
      <c r="V172" s="24">
        <v>0</v>
      </c>
      <c r="W172" s="24">
        <v>0</v>
      </c>
      <c r="X172" s="24">
        <v>200000</v>
      </c>
      <c r="Y172" s="24">
        <v>0</v>
      </c>
      <c r="Z172" s="24">
        <f t="shared" si="8"/>
        <v>200000</v>
      </c>
      <c r="AB172" s="25">
        <v>200000</v>
      </c>
      <c r="AC172" s="26">
        <v>200000</v>
      </c>
      <c r="AD172" s="24">
        <v>0</v>
      </c>
      <c r="AE172" s="27">
        <f>_xlfn.XLOOKUP(B172,'Projects Cashflow'!$B:$B,'Projects Cashflow'!$AG:$AG,0)</f>
        <v>200000</v>
      </c>
      <c r="AF172" s="28">
        <f t="shared" si="9"/>
        <v>0</v>
      </c>
    </row>
    <row r="173" spans="2:32" x14ac:dyDescent="0.3">
      <c r="B173" s="14" t="str">
        <f t="shared" si="7"/>
        <v>45111504511000231Cultural Advice-N424521200104</v>
      </c>
      <c r="C173" s="21" t="s">
        <v>65</v>
      </c>
      <c r="D173" s="22">
        <v>4511150</v>
      </c>
      <c r="E173" s="21" t="s">
        <v>2979</v>
      </c>
      <c r="F173" s="22">
        <v>4511000231</v>
      </c>
      <c r="G173" s="21" t="s">
        <v>2980</v>
      </c>
      <c r="H173" s="21" t="s">
        <v>296</v>
      </c>
      <c r="I173" s="22">
        <v>424521</v>
      </c>
      <c r="J173" s="22">
        <v>200104</v>
      </c>
      <c r="K173" s="22" t="s">
        <v>2959</v>
      </c>
      <c r="L173" s="22">
        <v>70303</v>
      </c>
      <c r="M173" s="23" t="s">
        <v>2961</v>
      </c>
      <c r="N173" s="24">
        <v>0</v>
      </c>
      <c r="O173" s="24">
        <v>0</v>
      </c>
      <c r="P173" s="24">
        <v>0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24">
        <v>0</v>
      </c>
      <c r="W173" s="24">
        <v>0</v>
      </c>
      <c r="X173" s="24">
        <v>3343932</v>
      </c>
      <c r="Y173" s="24">
        <v>0</v>
      </c>
      <c r="Z173" s="24">
        <f t="shared" si="8"/>
        <v>3343932</v>
      </c>
      <c r="AB173" s="25">
        <v>3343932</v>
      </c>
      <c r="AC173" s="26">
        <v>3343932.36</v>
      </c>
      <c r="AD173" s="39">
        <v>-0.35999999986961484</v>
      </c>
      <c r="AE173" s="27">
        <f>_xlfn.XLOOKUP(B173,'Projects Cashflow'!$B:$B,'Projects Cashflow'!$AG:$AG,0)</f>
        <v>3343932.36</v>
      </c>
      <c r="AF173" s="28">
        <f t="shared" si="9"/>
        <v>0.35999999986961484</v>
      </c>
    </row>
    <row r="174" spans="2:32" x14ac:dyDescent="0.3">
      <c r="B174" s="14" t="str">
        <f t="shared" si="7"/>
        <v>45111504511000231Print Runs-N1424791200104</v>
      </c>
      <c r="C174" s="21" t="s">
        <v>65</v>
      </c>
      <c r="D174" s="22">
        <v>4511150</v>
      </c>
      <c r="E174" s="21" t="s">
        <v>2979</v>
      </c>
      <c r="F174" s="22">
        <v>4511000231</v>
      </c>
      <c r="G174" s="21" t="s">
        <v>2980</v>
      </c>
      <c r="H174" s="29" t="s">
        <v>307</v>
      </c>
      <c r="I174" s="22">
        <v>424791</v>
      </c>
      <c r="J174" s="22">
        <v>200104</v>
      </c>
      <c r="K174" s="22" t="s">
        <v>2959</v>
      </c>
      <c r="L174" s="22">
        <v>70303</v>
      </c>
      <c r="M174" s="23" t="s">
        <v>2961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110000</v>
      </c>
      <c r="U174" s="24">
        <v>160000</v>
      </c>
      <c r="V174" s="24">
        <v>50000</v>
      </c>
      <c r="W174" s="24">
        <v>180000</v>
      </c>
      <c r="X174" s="24">
        <v>350000</v>
      </c>
      <c r="Y174" s="24">
        <v>350000</v>
      </c>
      <c r="Z174" s="24">
        <f t="shared" si="8"/>
        <v>1200000</v>
      </c>
      <c r="AB174" s="25">
        <v>1200000</v>
      </c>
      <c r="AC174" s="26">
        <v>1200000</v>
      </c>
      <c r="AD174" s="24">
        <v>0</v>
      </c>
      <c r="AE174" s="27">
        <f>_xlfn.XLOOKUP(B174,'Projects Cashflow'!$B:$B,'Projects Cashflow'!$AG:$AG,0)</f>
        <v>1200000</v>
      </c>
      <c r="AF174" s="28">
        <f t="shared" si="9"/>
        <v>0</v>
      </c>
    </row>
    <row r="175" spans="2:32" x14ac:dyDescent="0.3">
      <c r="B175" s="14" t="str">
        <f t="shared" si="7"/>
        <v>45111504511000231Freelancers-N1424521200104</v>
      </c>
      <c r="C175" s="21" t="s">
        <v>65</v>
      </c>
      <c r="D175" s="22">
        <v>4511150</v>
      </c>
      <c r="E175" s="21" t="s">
        <v>2979</v>
      </c>
      <c r="F175" s="22">
        <v>4511000231</v>
      </c>
      <c r="G175" s="21" t="s">
        <v>2980</v>
      </c>
      <c r="H175" s="29" t="s">
        <v>303</v>
      </c>
      <c r="I175" s="22">
        <v>424521</v>
      </c>
      <c r="J175" s="22">
        <v>200104</v>
      </c>
      <c r="K175" s="22" t="s">
        <v>2959</v>
      </c>
      <c r="L175" s="22">
        <v>70303</v>
      </c>
      <c r="M175" s="23" t="s">
        <v>2961</v>
      </c>
      <c r="N175" s="24">
        <v>0</v>
      </c>
      <c r="O175" s="24">
        <v>0</v>
      </c>
      <c r="P175" s="24">
        <v>6882</v>
      </c>
      <c r="Q175" s="24">
        <v>0</v>
      </c>
      <c r="R175" s="24">
        <v>28118</v>
      </c>
      <c r="S175" s="24">
        <v>0</v>
      </c>
      <c r="T175" s="24">
        <v>0</v>
      </c>
      <c r="U175" s="24">
        <v>55000</v>
      </c>
      <c r="V175" s="24">
        <v>35000</v>
      </c>
      <c r="W175" s="24">
        <v>0</v>
      </c>
      <c r="X175" s="24">
        <v>35000</v>
      </c>
      <c r="Y175" s="24">
        <v>0</v>
      </c>
      <c r="Z175" s="24">
        <f t="shared" si="8"/>
        <v>160000</v>
      </c>
      <c r="AB175" s="25">
        <v>160000</v>
      </c>
      <c r="AC175" s="26">
        <v>160000</v>
      </c>
      <c r="AD175" s="24">
        <v>0</v>
      </c>
      <c r="AE175" s="27">
        <f>_xlfn.XLOOKUP(B175,'Projects Cashflow'!$B:$B,'Projects Cashflow'!$AG:$AG,0)</f>
        <v>160000</v>
      </c>
      <c r="AF175" s="28">
        <f t="shared" si="9"/>
        <v>0</v>
      </c>
    </row>
    <row r="176" spans="2:32" x14ac:dyDescent="0.3">
      <c r="B176" s="14" t="str">
        <f t="shared" si="7"/>
        <v>45111504511000306Freelancers-N1424521200104</v>
      </c>
      <c r="C176" s="21" t="s">
        <v>65</v>
      </c>
      <c r="D176" s="22">
        <v>4511150</v>
      </c>
      <c r="E176" s="21" t="s">
        <v>2979</v>
      </c>
      <c r="F176" s="22">
        <v>4511000306</v>
      </c>
      <c r="G176" s="21" t="s">
        <v>410</v>
      </c>
      <c r="H176" s="29" t="s">
        <v>303</v>
      </c>
      <c r="I176" s="22">
        <v>424521</v>
      </c>
      <c r="J176" s="22">
        <v>200104</v>
      </c>
      <c r="K176" s="22" t="s">
        <v>2959</v>
      </c>
      <c r="L176" s="22">
        <v>70203</v>
      </c>
      <c r="M176" s="23" t="s">
        <v>2961</v>
      </c>
      <c r="N176" s="24">
        <v>0</v>
      </c>
      <c r="O176" s="24">
        <v>0</v>
      </c>
      <c r="P176" s="24">
        <v>30000</v>
      </c>
      <c r="Q176" s="24">
        <v>59000</v>
      </c>
      <c r="R176" s="24">
        <v>114500</v>
      </c>
      <c r="S176" s="24">
        <v>114500</v>
      </c>
      <c r="T176" s="24">
        <v>114500</v>
      </c>
      <c r="U176" s="24">
        <v>114500</v>
      </c>
      <c r="V176" s="24">
        <v>114500</v>
      </c>
      <c r="W176" s="24">
        <v>114500</v>
      </c>
      <c r="X176" s="24">
        <v>164500</v>
      </c>
      <c r="Y176" s="24">
        <v>100000</v>
      </c>
      <c r="Z176" s="24">
        <f t="shared" si="8"/>
        <v>1040500</v>
      </c>
      <c r="AB176" s="25">
        <v>910300</v>
      </c>
      <c r="AC176" s="26">
        <v>910300</v>
      </c>
      <c r="AD176" s="24">
        <v>0</v>
      </c>
      <c r="AE176" s="27">
        <f>_xlfn.XLOOKUP(B176,'Projects Cashflow'!$B:$B,'Projects Cashflow'!$AG:$AG,0)</f>
        <v>910300</v>
      </c>
      <c r="AF176" s="28">
        <f t="shared" si="9"/>
        <v>0</v>
      </c>
    </row>
    <row r="177" spans="2:32" x14ac:dyDescent="0.3">
      <c r="B177" s="14" t="str">
        <f t="shared" si="7"/>
        <v>45111504511000339Freelancers-N1424521200104</v>
      </c>
      <c r="C177" s="21" t="s">
        <v>65</v>
      </c>
      <c r="D177" s="22">
        <v>4511150</v>
      </c>
      <c r="E177" s="21" t="s">
        <v>2979</v>
      </c>
      <c r="F177" s="22">
        <v>4511000339</v>
      </c>
      <c r="G177" s="21" t="s">
        <v>2981</v>
      </c>
      <c r="H177" s="21" t="s">
        <v>303</v>
      </c>
      <c r="I177" s="22">
        <v>424521</v>
      </c>
      <c r="J177" s="22">
        <v>200104</v>
      </c>
      <c r="K177" s="22" t="s">
        <v>2959</v>
      </c>
      <c r="L177" s="22">
        <v>70203</v>
      </c>
      <c r="M177" s="23" t="s">
        <v>2961</v>
      </c>
      <c r="N177" s="24">
        <v>0</v>
      </c>
      <c r="O177" s="24">
        <v>0</v>
      </c>
      <c r="P177" s="24">
        <v>0</v>
      </c>
      <c r="Q177" s="24">
        <v>0</v>
      </c>
      <c r="R177" s="24">
        <v>36000</v>
      </c>
      <c r="S177" s="24">
        <v>36000</v>
      </c>
      <c r="T177" s="24">
        <v>36000</v>
      </c>
      <c r="U177" s="24">
        <v>36000</v>
      </c>
      <c r="V177" s="24">
        <v>36000</v>
      </c>
      <c r="W177" s="24">
        <v>36000</v>
      </c>
      <c r="X177" s="24">
        <v>36000</v>
      </c>
      <c r="Y177" s="24">
        <v>95325</v>
      </c>
      <c r="Z177" s="24">
        <f t="shared" si="8"/>
        <v>347325</v>
      </c>
      <c r="AB177" s="25">
        <v>347325</v>
      </c>
      <c r="AC177" s="26">
        <v>347325</v>
      </c>
      <c r="AD177" s="32">
        <v>0</v>
      </c>
      <c r="AE177" s="27">
        <f>_xlfn.XLOOKUP(B177,'Projects Cashflow'!$B:$B,'Projects Cashflow'!$AG:$AG,0)</f>
        <v>347325</v>
      </c>
      <c r="AF177" s="28">
        <f t="shared" si="9"/>
        <v>0</v>
      </c>
    </row>
    <row r="178" spans="2:32" x14ac:dyDescent="0.3">
      <c r="B178" s="14" t="str">
        <f t="shared" si="7"/>
        <v>45111504511000592Mission &amp; Travel-N1423821200104</v>
      </c>
      <c r="C178" s="21" t="s">
        <v>65</v>
      </c>
      <c r="D178" s="22">
        <v>4511150</v>
      </c>
      <c r="E178" s="21" t="s">
        <v>2979</v>
      </c>
      <c r="F178" s="22">
        <v>4511000592</v>
      </c>
      <c r="G178" s="21" t="s">
        <v>2978</v>
      </c>
      <c r="H178" s="29" t="s">
        <v>472</v>
      </c>
      <c r="I178" s="22">
        <v>423821</v>
      </c>
      <c r="J178" s="22">
        <v>200104</v>
      </c>
      <c r="K178" s="22" t="s">
        <v>2959</v>
      </c>
      <c r="L178" s="22">
        <v>70103</v>
      </c>
      <c r="M178" s="23" t="s">
        <v>2961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168000</v>
      </c>
      <c r="Y178" s="24">
        <v>0</v>
      </c>
      <c r="Z178" s="24">
        <f t="shared" si="8"/>
        <v>168000</v>
      </c>
      <c r="AB178" s="25">
        <v>168000</v>
      </c>
      <c r="AC178" s="26">
        <v>168000</v>
      </c>
      <c r="AD178" s="32">
        <v>0</v>
      </c>
      <c r="AE178" s="27">
        <f>_xlfn.XLOOKUP(B178,'Projects Cashflow'!$B:$B,'Projects Cashflow'!$AG:$AG,0)</f>
        <v>168000</v>
      </c>
      <c r="AF178" s="28">
        <f t="shared" si="9"/>
        <v>0</v>
      </c>
    </row>
    <row r="179" spans="2:32" x14ac:dyDescent="0.3">
      <c r="B179" s="14" t="str">
        <f t="shared" si="7"/>
        <v>45111504511000864Interior Fit Out-N491711300105</v>
      </c>
      <c r="C179" s="21" t="s">
        <v>65</v>
      </c>
      <c r="D179" s="22">
        <v>4511150</v>
      </c>
      <c r="E179" s="21" t="s">
        <v>2979</v>
      </c>
      <c r="F179" s="22">
        <v>4511000864</v>
      </c>
      <c r="G179" s="21" t="s">
        <v>1148</v>
      </c>
      <c r="H179" s="29" t="s">
        <v>1149</v>
      </c>
      <c r="I179" s="22">
        <v>491711</v>
      </c>
      <c r="J179" s="22">
        <v>300105</v>
      </c>
      <c r="K179" s="22" t="s">
        <v>2972</v>
      </c>
      <c r="L179" s="22">
        <v>70205</v>
      </c>
      <c r="M179" s="23" t="s">
        <v>2961</v>
      </c>
      <c r="N179" s="24">
        <v>0</v>
      </c>
      <c r="O179" s="24">
        <v>0</v>
      </c>
      <c r="P179" s="24">
        <v>0</v>
      </c>
      <c r="Q179" s="24">
        <v>0</v>
      </c>
      <c r="R179" s="24">
        <v>0</v>
      </c>
      <c r="S179" s="24">
        <v>0</v>
      </c>
      <c r="T179" s="24">
        <v>500000</v>
      </c>
      <c r="U179" s="24">
        <v>0</v>
      </c>
      <c r="V179" s="24">
        <v>0</v>
      </c>
      <c r="W179" s="24">
        <v>600000</v>
      </c>
      <c r="X179" s="24">
        <v>600000</v>
      </c>
      <c r="Y179" s="24">
        <v>0</v>
      </c>
      <c r="Z179" s="24">
        <f t="shared" si="8"/>
        <v>1700000</v>
      </c>
      <c r="AB179" s="25">
        <v>1700000</v>
      </c>
      <c r="AC179" s="26">
        <v>1700000</v>
      </c>
      <c r="AD179" s="24">
        <v>0</v>
      </c>
      <c r="AE179" s="27">
        <f>_xlfn.XLOOKUP(B179,'Projects Cashflow'!$B:$B,'Projects Cashflow'!$AG:$AG,0)</f>
        <v>1700000</v>
      </c>
      <c r="AF179" s="28">
        <f t="shared" si="9"/>
        <v>0</v>
      </c>
    </row>
    <row r="180" spans="2:32" x14ac:dyDescent="0.3">
      <c r="B180" s="14" t="str">
        <f t="shared" si="7"/>
        <v>45111504511001041Design &amp; Build-N1491211300105</v>
      </c>
      <c r="C180" s="21" t="s">
        <v>65</v>
      </c>
      <c r="D180" s="22">
        <v>4511150</v>
      </c>
      <c r="E180" s="21" t="s">
        <v>2979</v>
      </c>
      <c r="F180" s="22">
        <v>4511001041</v>
      </c>
      <c r="G180" s="21" t="s">
        <v>1320</v>
      </c>
      <c r="H180" s="21" t="s">
        <v>1321</v>
      </c>
      <c r="I180" s="22">
        <v>491211</v>
      </c>
      <c r="J180" s="22">
        <v>300105</v>
      </c>
      <c r="K180" s="22" t="s">
        <v>2972</v>
      </c>
      <c r="L180" s="22">
        <v>70205</v>
      </c>
      <c r="M180" s="23" t="s">
        <v>2961</v>
      </c>
      <c r="N180" s="24">
        <v>0</v>
      </c>
      <c r="O180" s="24">
        <v>0</v>
      </c>
      <c r="P180" s="24">
        <v>0</v>
      </c>
      <c r="Q180" s="24">
        <v>0</v>
      </c>
      <c r="R180" s="24">
        <v>0</v>
      </c>
      <c r="S180" s="24">
        <v>0</v>
      </c>
      <c r="T180" s="24">
        <v>0</v>
      </c>
      <c r="U180" s="24">
        <v>5500000</v>
      </c>
      <c r="V180" s="24">
        <v>6500000</v>
      </c>
      <c r="W180" s="24">
        <v>7000000</v>
      </c>
      <c r="X180" s="24">
        <v>400000</v>
      </c>
      <c r="Y180" s="24">
        <v>4849000</v>
      </c>
      <c r="Z180" s="24">
        <f t="shared" si="8"/>
        <v>24249000</v>
      </c>
      <c r="AB180" s="25">
        <v>4249000</v>
      </c>
      <c r="AC180" s="26">
        <v>4249000</v>
      </c>
      <c r="AD180" s="24">
        <v>0</v>
      </c>
      <c r="AE180" s="27">
        <f>_xlfn.XLOOKUP(B180,'Projects Cashflow'!$B:$B,'Projects Cashflow'!$AG:$AG,0)</f>
        <v>4249000</v>
      </c>
      <c r="AF180" s="28">
        <f t="shared" si="9"/>
        <v>0</v>
      </c>
    </row>
    <row r="181" spans="2:32" x14ac:dyDescent="0.3">
      <c r="B181" s="14" t="str">
        <f t="shared" si="7"/>
        <v>45111504511001487Design &amp; Build-NC491211300105</v>
      </c>
      <c r="C181" s="21" t="s">
        <v>65</v>
      </c>
      <c r="D181" s="22">
        <v>4511150</v>
      </c>
      <c r="E181" s="21" t="s">
        <v>2979</v>
      </c>
      <c r="F181" s="22">
        <v>4511001487</v>
      </c>
      <c r="G181" s="21" t="s">
        <v>1809</v>
      </c>
      <c r="H181" s="21" t="s">
        <v>1285</v>
      </c>
      <c r="I181" s="22">
        <v>491211</v>
      </c>
      <c r="J181" s="22">
        <v>300105</v>
      </c>
      <c r="K181" s="22" t="s">
        <v>2972</v>
      </c>
      <c r="L181" s="22">
        <v>70203</v>
      </c>
      <c r="M181" s="23" t="s">
        <v>2961</v>
      </c>
      <c r="N181" s="24">
        <v>0</v>
      </c>
      <c r="O181" s="24">
        <v>0</v>
      </c>
      <c r="P181" s="24">
        <v>0</v>
      </c>
      <c r="Q181" s="24">
        <v>0</v>
      </c>
      <c r="R181" s="24">
        <v>0</v>
      </c>
      <c r="S181" s="24">
        <v>0</v>
      </c>
      <c r="T181" s="24">
        <v>0</v>
      </c>
      <c r="U181" s="24">
        <v>0</v>
      </c>
      <c r="V181" s="24">
        <v>200000</v>
      </c>
      <c r="W181" s="24">
        <v>0</v>
      </c>
      <c r="X181" s="24">
        <v>0</v>
      </c>
      <c r="Y181" s="24">
        <v>0</v>
      </c>
      <c r="Z181" s="24">
        <f t="shared" si="8"/>
        <v>200000</v>
      </c>
      <c r="AB181" s="25">
        <v>200000</v>
      </c>
      <c r="AC181" s="26">
        <v>200000</v>
      </c>
      <c r="AD181" s="24">
        <v>0</v>
      </c>
      <c r="AE181" s="27">
        <f>_xlfn.XLOOKUP(B181,'Projects Cashflow'!$B:$B,'Projects Cashflow'!$AG:$AG,0)</f>
        <v>200000</v>
      </c>
      <c r="AF181" s="28">
        <f t="shared" si="9"/>
        <v>0</v>
      </c>
    </row>
    <row r="182" spans="2:32" x14ac:dyDescent="0.3">
      <c r="B182" s="14" t="str">
        <f t="shared" si="7"/>
        <v>45111504511001487Collection Mgmnt-N423411200104</v>
      </c>
      <c r="C182" s="21" t="s">
        <v>65</v>
      </c>
      <c r="D182" s="22">
        <v>4511150</v>
      </c>
      <c r="E182" s="21" t="s">
        <v>2979</v>
      </c>
      <c r="F182" s="22">
        <v>4511001487</v>
      </c>
      <c r="G182" s="21" t="s">
        <v>1809</v>
      </c>
      <c r="H182" s="21" t="s">
        <v>1810</v>
      </c>
      <c r="I182" s="22">
        <v>423411</v>
      </c>
      <c r="J182" s="22">
        <v>200104</v>
      </c>
      <c r="K182" s="22" t="s">
        <v>2959</v>
      </c>
      <c r="L182" s="22">
        <v>70203</v>
      </c>
      <c r="M182" s="23" t="s">
        <v>2961</v>
      </c>
      <c r="N182" s="24">
        <v>0</v>
      </c>
      <c r="O182" s="24">
        <v>0</v>
      </c>
      <c r="P182" s="24">
        <v>4038.15</v>
      </c>
      <c r="Q182" s="24">
        <v>0</v>
      </c>
      <c r="R182" s="24">
        <v>534263.5</v>
      </c>
      <c r="S182" s="24">
        <v>0</v>
      </c>
      <c r="T182" s="24">
        <v>492000</v>
      </c>
      <c r="U182" s="24">
        <v>1374300</v>
      </c>
      <c r="V182" s="24">
        <v>386000</v>
      </c>
      <c r="W182" s="24">
        <v>1877000</v>
      </c>
      <c r="X182" s="24">
        <v>1517000</v>
      </c>
      <c r="Y182" s="24">
        <v>1110700</v>
      </c>
      <c r="Z182" s="24">
        <f t="shared" si="8"/>
        <v>7295301.6500000004</v>
      </c>
      <c r="AB182" s="25">
        <v>7195301.6500000004</v>
      </c>
      <c r="AC182" s="26">
        <v>7195302.1699999999</v>
      </c>
      <c r="AD182" s="32">
        <v>-0.51999999955296516</v>
      </c>
      <c r="AE182" s="27">
        <f>_xlfn.XLOOKUP(B182,'Projects Cashflow'!$B:$B,'Projects Cashflow'!$AG:$AG,0)</f>
        <v>7195302.1699999999</v>
      </c>
      <c r="AF182" s="28">
        <f t="shared" si="9"/>
        <v>0.51999999955296516</v>
      </c>
    </row>
    <row r="183" spans="2:32" x14ac:dyDescent="0.3">
      <c r="B183" s="14" t="str">
        <f t="shared" si="7"/>
        <v>45111504511001487Freelancers-N1424521200104</v>
      </c>
      <c r="C183" s="21" t="s">
        <v>65</v>
      </c>
      <c r="D183" s="22">
        <v>4511150</v>
      </c>
      <c r="E183" s="21" t="s">
        <v>2979</v>
      </c>
      <c r="F183" s="22">
        <v>4511001487</v>
      </c>
      <c r="G183" s="21" t="s">
        <v>1809</v>
      </c>
      <c r="H183" s="21" t="s">
        <v>303</v>
      </c>
      <c r="I183" s="22">
        <v>424521</v>
      </c>
      <c r="J183" s="22">
        <v>200104</v>
      </c>
      <c r="K183" s="22" t="s">
        <v>2959</v>
      </c>
      <c r="L183" s="22">
        <v>70203</v>
      </c>
      <c r="M183" s="23" t="s">
        <v>2961</v>
      </c>
      <c r="N183" s="24">
        <v>0</v>
      </c>
      <c r="O183" s="24">
        <v>0</v>
      </c>
      <c r="P183" s="24">
        <v>0</v>
      </c>
      <c r="Q183" s="24">
        <v>661451</v>
      </c>
      <c r="R183" s="24">
        <v>224249</v>
      </c>
      <c r="S183" s="24">
        <v>378900</v>
      </c>
      <c r="T183" s="24">
        <v>855600</v>
      </c>
      <c r="U183" s="24">
        <v>265600</v>
      </c>
      <c r="V183" s="24">
        <v>388900</v>
      </c>
      <c r="W183" s="24">
        <v>265600</v>
      </c>
      <c r="X183" s="24">
        <v>521200</v>
      </c>
      <c r="Y183" s="24">
        <v>558900</v>
      </c>
      <c r="Z183" s="24">
        <f t="shared" si="8"/>
        <v>4120400</v>
      </c>
      <c r="AB183" s="25">
        <v>4120400</v>
      </c>
      <c r="AC183" s="26">
        <v>4120400</v>
      </c>
      <c r="AD183" s="24">
        <v>0</v>
      </c>
      <c r="AE183" s="27">
        <f>_xlfn.XLOOKUP(B183,'Projects Cashflow'!$B:$B,'Projects Cashflow'!$AG:$AG,0)</f>
        <v>4120400</v>
      </c>
      <c r="AF183" s="28">
        <f t="shared" si="9"/>
        <v>0</v>
      </c>
    </row>
    <row r="184" spans="2:32" x14ac:dyDescent="0.3">
      <c r="B184" s="14" t="str">
        <f t="shared" si="7"/>
        <v>45111504511001487Mission &amp; Travel-N1423821200104</v>
      </c>
      <c r="C184" s="21" t="s">
        <v>65</v>
      </c>
      <c r="D184" s="22">
        <v>4511150</v>
      </c>
      <c r="E184" s="21" t="s">
        <v>2979</v>
      </c>
      <c r="F184" s="22">
        <v>4511001487</v>
      </c>
      <c r="G184" s="21" t="s">
        <v>1809</v>
      </c>
      <c r="H184" s="21" t="s">
        <v>472</v>
      </c>
      <c r="I184" s="22">
        <v>423821</v>
      </c>
      <c r="J184" s="22">
        <v>200104</v>
      </c>
      <c r="K184" s="22" t="s">
        <v>2959</v>
      </c>
      <c r="L184" s="22">
        <v>70203</v>
      </c>
      <c r="M184" s="23" t="s">
        <v>2961</v>
      </c>
      <c r="N184" s="24">
        <v>0</v>
      </c>
      <c r="O184" s="24">
        <v>0</v>
      </c>
      <c r="P184" s="24">
        <v>0</v>
      </c>
      <c r="Q184" s="24">
        <v>0</v>
      </c>
      <c r="R184" s="24">
        <v>50000</v>
      </c>
      <c r="S184" s="24">
        <v>20000</v>
      </c>
      <c r="T184" s="24">
        <v>50000</v>
      </c>
      <c r="U184" s="24">
        <v>0</v>
      </c>
      <c r="V184" s="24">
        <v>60000</v>
      </c>
      <c r="W184" s="24">
        <v>40431.5</v>
      </c>
      <c r="X184" s="24">
        <v>0</v>
      </c>
      <c r="Y184" s="24">
        <v>0</v>
      </c>
      <c r="Z184" s="24">
        <f t="shared" si="8"/>
        <v>220431.5</v>
      </c>
      <c r="AB184" s="25">
        <v>220431.5</v>
      </c>
      <c r="AC184" s="26">
        <v>220432</v>
      </c>
      <c r="AD184" s="24">
        <v>-0.5</v>
      </c>
      <c r="AE184" s="27">
        <f>_xlfn.XLOOKUP(B184,'Projects Cashflow'!$B:$B,'Projects Cashflow'!$AG:$AG,0)</f>
        <v>220432</v>
      </c>
      <c r="AF184" s="28">
        <f t="shared" si="9"/>
        <v>0.5</v>
      </c>
    </row>
    <row r="185" spans="2:32" x14ac:dyDescent="0.3">
      <c r="B185" s="14" t="str">
        <f t="shared" si="7"/>
        <v>45111504511001488Design &amp; Build-NC491211300105</v>
      </c>
      <c r="C185" s="21" t="s">
        <v>65</v>
      </c>
      <c r="D185" s="22">
        <v>4511150</v>
      </c>
      <c r="E185" s="21" t="s">
        <v>2979</v>
      </c>
      <c r="F185" s="22">
        <v>4511001488</v>
      </c>
      <c r="G185" s="21" t="s">
        <v>1815</v>
      </c>
      <c r="H185" s="21" t="s">
        <v>1285</v>
      </c>
      <c r="I185" s="22">
        <v>491211</v>
      </c>
      <c r="J185" s="22">
        <v>300105</v>
      </c>
      <c r="K185" s="22" t="s">
        <v>2972</v>
      </c>
      <c r="L185" s="22">
        <v>70203</v>
      </c>
      <c r="M185" s="23" t="s">
        <v>2961</v>
      </c>
      <c r="N185" s="24">
        <v>0</v>
      </c>
      <c r="O185" s="24">
        <v>0</v>
      </c>
      <c r="P185" s="24">
        <v>0</v>
      </c>
      <c r="Q185" s="24">
        <v>0</v>
      </c>
      <c r="R185" s="24">
        <v>0</v>
      </c>
      <c r="S185" s="24">
        <v>0</v>
      </c>
      <c r="T185" s="24">
        <v>0</v>
      </c>
      <c r="U185" s="24">
        <v>250000</v>
      </c>
      <c r="V185" s="24">
        <v>0</v>
      </c>
      <c r="W185" s="24">
        <v>0</v>
      </c>
      <c r="X185" s="24">
        <v>0</v>
      </c>
      <c r="Y185" s="24">
        <v>0</v>
      </c>
      <c r="Z185" s="24">
        <f t="shared" si="8"/>
        <v>250000</v>
      </c>
      <c r="AB185" s="25">
        <v>250000</v>
      </c>
      <c r="AC185" s="26">
        <v>250000</v>
      </c>
      <c r="AD185" s="24">
        <v>0</v>
      </c>
      <c r="AE185" s="27">
        <f>_xlfn.XLOOKUP(B185,'Projects Cashflow'!$B:$B,'Projects Cashflow'!$AG:$AG,0)</f>
        <v>250000</v>
      </c>
      <c r="AF185" s="28">
        <f t="shared" si="9"/>
        <v>0</v>
      </c>
    </row>
    <row r="186" spans="2:32" x14ac:dyDescent="0.3">
      <c r="B186" s="14" t="str">
        <f t="shared" si="7"/>
        <v>45111504511001488Freelancers-N1424521200104</v>
      </c>
      <c r="C186" s="21" t="s">
        <v>65</v>
      </c>
      <c r="D186" s="22">
        <v>4511150</v>
      </c>
      <c r="E186" s="21" t="s">
        <v>2979</v>
      </c>
      <c r="F186" s="22">
        <v>4511001488</v>
      </c>
      <c r="G186" s="21" t="s">
        <v>1815</v>
      </c>
      <c r="H186" s="21" t="s">
        <v>303</v>
      </c>
      <c r="I186" s="22">
        <v>424521</v>
      </c>
      <c r="J186" s="22">
        <v>200104</v>
      </c>
      <c r="K186" s="22" t="s">
        <v>2959</v>
      </c>
      <c r="L186" s="22">
        <v>70203</v>
      </c>
      <c r="M186" s="23" t="s">
        <v>2961</v>
      </c>
      <c r="N186" s="24">
        <v>0</v>
      </c>
      <c r="O186" s="24">
        <v>0</v>
      </c>
      <c r="P186" s="24">
        <v>0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156000</v>
      </c>
      <c r="Y186" s="24">
        <v>500000</v>
      </c>
      <c r="Z186" s="24">
        <f t="shared" si="8"/>
        <v>656000</v>
      </c>
      <c r="AB186" s="25">
        <v>556000</v>
      </c>
      <c r="AC186" s="26">
        <v>556000</v>
      </c>
      <c r="AD186" s="24">
        <v>0</v>
      </c>
      <c r="AE186" s="27">
        <f>_xlfn.XLOOKUP(B186,'Projects Cashflow'!$B:$B,'Projects Cashflow'!$AG:$AG,0)</f>
        <v>556000</v>
      </c>
      <c r="AF186" s="28">
        <f t="shared" si="9"/>
        <v>0</v>
      </c>
    </row>
    <row r="187" spans="2:32" x14ac:dyDescent="0.3">
      <c r="B187" s="14" t="str">
        <f t="shared" si="7"/>
        <v>45111504511001488Collection Mgmnt-N423411200104</v>
      </c>
      <c r="C187" s="21" t="s">
        <v>65</v>
      </c>
      <c r="D187" s="22">
        <v>4511150</v>
      </c>
      <c r="E187" s="21" t="s">
        <v>2979</v>
      </c>
      <c r="F187" s="22">
        <v>4511001488</v>
      </c>
      <c r="G187" s="21" t="s">
        <v>1815</v>
      </c>
      <c r="H187" s="21" t="s">
        <v>1810</v>
      </c>
      <c r="I187" s="22">
        <v>423411</v>
      </c>
      <c r="J187" s="22">
        <v>200104</v>
      </c>
      <c r="K187" s="22" t="s">
        <v>2959</v>
      </c>
      <c r="L187" s="22">
        <v>70203</v>
      </c>
      <c r="M187" s="23" t="s">
        <v>2961</v>
      </c>
      <c r="N187" s="24">
        <v>0</v>
      </c>
      <c r="O187" s="24">
        <v>0</v>
      </c>
      <c r="P187" s="24">
        <v>0</v>
      </c>
      <c r="Q187" s="24">
        <v>0</v>
      </c>
      <c r="R187" s="24">
        <v>0</v>
      </c>
      <c r="S187" s="24">
        <v>0</v>
      </c>
      <c r="T187" s="24">
        <v>0</v>
      </c>
      <c r="U187" s="24">
        <v>0</v>
      </c>
      <c r="V187" s="24">
        <v>0</v>
      </c>
      <c r="W187" s="24">
        <v>0</v>
      </c>
      <c r="X187" s="24">
        <v>202000</v>
      </c>
      <c r="Y187" s="24">
        <v>202000</v>
      </c>
      <c r="Z187" s="24">
        <f t="shared" si="8"/>
        <v>404000</v>
      </c>
      <c r="AB187" s="25">
        <v>1134000</v>
      </c>
      <c r="AC187" s="26">
        <v>1134000.69</v>
      </c>
      <c r="AD187" s="24">
        <v>-0.68999999994412065</v>
      </c>
      <c r="AE187" s="27">
        <f>_xlfn.XLOOKUP(B187,'Projects Cashflow'!$B:$B,'Projects Cashflow'!$AG:$AG,0)</f>
        <v>1134000.69</v>
      </c>
      <c r="AF187" s="28">
        <f t="shared" si="9"/>
        <v>0.68999999994412065</v>
      </c>
    </row>
    <row r="188" spans="2:32" x14ac:dyDescent="0.3">
      <c r="B188" s="14" t="str">
        <f t="shared" si="7"/>
        <v>45111504511001488Mission &amp; Travel-N1423821200104</v>
      </c>
      <c r="C188" s="21" t="s">
        <v>65</v>
      </c>
      <c r="D188" s="22">
        <v>4511150</v>
      </c>
      <c r="E188" s="21" t="s">
        <v>2979</v>
      </c>
      <c r="F188" s="22">
        <v>4511001488</v>
      </c>
      <c r="G188" s="21" t="s">
        <v>1815</v>
      </c>
      <c r="H188" s="21" t="s">
        <v>472</v>
      </c>
      <c r="I188" s="22">
        <v>423821</v>
      </c>
      <c r="J188" s="22">
        <v>200104</v>
      </c>
      <c r="K188" s="22" t="s">
        <v>2959</v>
      </c>
      <c r="L188" s="22">
        <v>70203</v>
      </c>
      <c r="M188" s="23" t="s">
        <v>2961</v>
      </c>
      <c r="N188" s="24">
        <v>0</v>
      </c>
      <c r="O188" s="24">
        <v>0</v>
      </c>
      <c r="P188" s="24">
        <v>0</v>
      </c>
      <c r="Q188" s="24">
        <v>0</v>
      </c>
      <c r="R188" s="24">
        <v>0</v>
      </c>
      <c r="S188" s="24">
        <v>0</v>
      </c>
      <c r="T188" s="24">
        <v>20000</v>
      </c>
      <c r="U188" s="24">
        <v>0</v>
      </c>
      <c r="V188" s="24">
        <v>20000</v>
      </c>
      <c r="W188" s="21">
        <v>0</v>
      </c>
      <c r="X188" s="24">
        <v>10000</v>
      </c>
      <c r="Y188" s="24">
        <v>0</v>
      </c>
      <c r="Z188" s="24">
        <f t="shared" si="8"/>
        <v>50000</v>
      </c>
      <c r="AB188" s="25">
        <v>150000</v>
      </c>
      <c r="AC188" s="26">
        <v>150000</v>
      </c>
      <c r="AD188" s="24">
        <v>0</v>
      </c>
      <c r="AE188" s="27">
        <f>_xlfn.XLOOKUP(B188,'Projects Cashflow'!$B:$B,'Projects Cashflow'!$AG:$AG,0)</f>
        <v>150000</v>
      </c>
      <c r="AF188" s="28">
        <f t="shared" si="9"/>
        <v>0</v>
      </c>
    </row>
    <row r="189" spans="2:32" x14ac:dyDescent="0.3">
      <c r="B189" s="14" t="str">
        <f t="shared" si="7"/>
        <v>45112504511000019Lease Improve-N490600300105</v>
      </c>
      <c r="C189" s="21" t="s">
        <v>65</v>
      </c>
      <c r="D189" s="22">
        <v>4511250</v>
      </c>
      <c r="E189" s="21" t="s">
        <v>66</v>
      </c>
      <c r="F189" s="22">
        <v>4511000019</v>
      </c>
      <c r="G189" s="21" t="s">
        <v>2982</v>
      </c>
      <c r="H189" s="21" t="s">
        <v>89</v>
      </c>
      <c r="I189" s="22">
        <v>490600</v>
      </c>
      <c r="J189" s="22">
        <v>300105</v>
      </c>
      <c r="K189" s="22" t="s">
        <v>2972</v>
      </c>
      <c r="L189" s="22">
        <v>70205</v>
      </c>
      <c r="M189" s="23" t="s">
        <v>2961</v>
      </c>
      <c r="N189" s="24">
        <v>0</v>
      </c>
      <c r="O189" s="24">
        <v>0</v>
      </c>
      <c r="P189" s="24">
        <v>0</v>
      </c>
      <c r="Q189" s="24">
        <v>0</v>
      </c>
      <c r="R189" s="24">
        <v>250000</v>
      </c>
      <c r="S189" s="24">
        <v>0</v>
      </c>
      <c r="T189" s="24">
        <v>250000</v>
      </c>
      <c r="U189" s="24">
        <v>0</v>
      </c>
      <c r="V189" s="24">
        <v>0</v>
      </c>
      <c r="W189" s="24">
        <v>0</v>
      </c>
      <c r="X189" s="24">
        <v>0</v>
      </c>
      <c r="Y189" s="24">
        <v>0</v>
      </c>
      <c r="Z189" s="24">
        <f t="shared" si="8"/>
        <v>500000</v>
      </c>
      <c r="AB189" s="25">
        <v>500000</v>
      </c>
      <c r="AC189" s="26">
        <v>500000</v>
      </c>
      <c r="AD189" s="24">
        <v>0</v>
      </c>
      <c r="AE189" s="27">
        <f>_xlfn.XLOOKUP(B189,'Projects Cashflow'!$B:$B,'Projects Cashflow'!$AG:$AG,0)</f>
        <v>500000</v>
      </c>
      <c r="AF189" s="28">
        <f t="shared" si="9"/>
        <v>0</v>
      </c>
    </row>
    <row r="190" spans="2:32" x14ac:dyDescent="0.3">
      <c r="B190" s="14" t="str">
        <f t="shared" si="7"/>
        <v>45192004511000769Licenses Fees-N424131200104</v>
      </c>
      <c r="C190" s="21" t="s">
        <v>2957</v>
      </c>
      <c r="D190" s="22">
        <v>4519200</v>
      </c>
      <c r="E190" s="21" t="s">
        <v>961</v>
      </c>
      <c r="F190" s="22">
        <v>4511000769</v>
      </c>
      <c r="G190" s="21" t="s">
        <v>2964</v>
      </c>
      <c r="H190" s="21" t="s">
        <v>365</v>
      </c>
      <c r="I190" s="22">
        <v>424131</v>
      </c>
      <c r="J190" s="22">
        <v>200104</v>
      </c>
      <c r="K190" s="22" t="s">
        <v>2959</v>
      </c>
      <c r="L190" s="22">
        <v>70703</v>
      </c>
      <c r="M190" s="23" t="s">
        <v>2961</v>
      </c>
      <c r="N190" s="24">
        <v>0</v>
      </c>
      <c r="O190" s="24">
        <v>0</v>
      </c>
      <c r="P190" s="24">
        <v>0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4981552</v>
      </c>
      <c r="X190" s="24">
        <v>0</v>
      </c>
      <c r="Y190" s="24">
        <v>0</v>
      </c>
      <c r="Z190" s="24">
        <f t="shared" si="8"/>
        <v>4981552</v>
      </c>
      <c r="AB190" s="25">
        <v>4981552</v>
      </c>
      <c r="AC190" s="26">
        <v>4981552</v>
      </c>
      <c r="AD190" s="24">
        <v>0</v>
      </c>
      <c r="AE190" s="27">
        <f>_xlfn.XLOOKUP(B190,'Projects Cashflow'!$B:$B,'Projects Cashflow'!$AG:$AG,0)</f>
        <v>4981552</v>
      </c>
      <c r="AF190" s="28">
        <f t="shared" si="9"/>
        <v>0</v>
      </c>
    </row>
    <row r="191" spans="2:32" x14ac:dyDescent="0.3">
      <c r="B191" s="14" t="str">
        <f t="shared" si="7"/>
        <v>45112504511000019Freelancers-N424521200104</v>
      </c>
      <c r="C191" s="21" t="s">
        <v>65</v>
      </c>
      <c r="D191" s="22">
        <v>4511250</v>
      </c>
      <c r="E191" s="21" t="s">
        <v>66</v>
      </c>
      <c r="F191" s="22">
        <v>4511000019</v>
      </c>
      <c r="G191" s="21" t="s">
        <v>2982</v>
      </c>
      <c r="H191" s="21" t="s">
        <v>50</v>
      </c>
      <c r="I191" s="22">
        <v>424521</v>
      </c>
      <c r="J191" s="22">
        <v>200104</v>
      </c>
      <c r="K191" s="22" t="s">
        <v>2959</v>
      </c>
      <c r="L191" s="22">
        <v>70205</v>
      </c>
      <c r="M191" s="23" t="s">
        <v>2961</v>
      </c>
      <c r="N191" s="24">
        <v>0</v>
      </c>
      <c r="O191" s="24">
        <v>0</v>
      </c>
      <c r="P191" s="24">
        <v>223600</v>
      </c>
      <c r="Q191" s="24">
        <v>71600</v>
      </c>
      <c r="R191" s="24">
        <v>98400</v>
      </c>
      <c r="S191" s="24">
        <v>98400</v>
      </c>
      <c r="T191" s="24">
        <v>98400</v>
      </c>
      <c r="U191" s="24">
        <v>98400</v>
      </c>
      <c r="V191" s="24">
        <v>98400</v>
      </c>
      <c r="W191" s="24">
        <v>150400</v>
      </c>
      <c r="X191" s="24">
        <v>150400</v>
      </c>
      <c r="Y191" s="24">
        <v>150400</v>
      </c>
      <c r="Z191" s="24">
        <f t="shared" si="8"/>
        <v>1238400</v>
      </c>
      <c r="AB191" s="25">
        <v>1238400</v>
      </c>
      <c r="AC191" s="26">
        <v>1238400</v>
      </c>
      <c r="AD191" s="24">
        <v>0</v>
      </c>
      <c r="AE191" s="27">
        <f>_xlfn.XLOOKUP(B191,'Projects Cashflow'!$B:$B,'Projects Cashflow'!$AG:$AG,0)</f>
        <v>1238400</v>
      </c>
      <c r="AF191" s="28">
        <f t="shared" si="9"/>
        <v>0</v>
      </c>
    </row>
    <row r="192" spans="2:32" x14ac:dyDescent="0.3">
      <c r="B192" s="14" t="str">
        <f t="shared" si="7"/>
        <v>45112504511000019Activation&amp;Prog-N422401200104</v>
      </c>
      <c r="C192" s="21" t="s">
        <v>65</v>
      </c>
      <c r="D192" s="22">
        <v>4511250</v>
      </c>
      <c r="E192" s="21" t="s">
        <v>66</v>
      </c>
      <c r="F192" s="22">
        <v>4511000019</v>
      </c>
      <c r="G192" s="21" t="s">
        <v>2982</v>
      </c>
      <c r="H192" s="21" t="s">
        <v>62</v>
      </c>
      <c r="I192" s="22">
        <v>422401</v>
      </c>
      <c r="J192" s="22">
        <v>200104</v>
      </c>
      <c r="K192" s="22" t="s">
        <v>2959</v>
      </c>
      <c r="L192" s="22">
        <v>70205</v>
      </c>
      <c r="M192" s="23" t="s">
        <v>2961</v>
      </c>
      <c r="N192" s="24">
        <v>0</v>
      </c>
      <c r="O192" s="24">
        <v>0</v>
      </c>
      <c r="P192" s="24">
        <v>562600</v>
      </c>
      <c r="Q192" s="24">
        <v>0</v>
      </c>
      <c r="R192" s="24">
        <v>0</v>
      </c>
      <c r="S192" s="24">
        <v>0</v>
      </c>
      <c r="T192" s="24">
        <v>0</v>
      </c>
      <c r="U192" s="24">
        <v>0</v>
      </c>
      <c r="V192" s="24">
        <v>0</v>
      </c>
      <c r="W192" s="24">
        <v>0</v>
      </c>
      <c r="X192" s="24">
        <v>0</v>
      </c>
      <c r="Y192" s="24">
        <v>430400</v>
      </c>
      <c r="Z192" s="24">
        <f t="shared" si="8"/>
        <v>993000</v>
      </c>
      <c r="AB192" s="25">
        <v>993000</v>
      </c>
      <c r="AC192" s="26">
        <v>993000</v>
      </c>
      <c r="AD192" s="24">
        <v>0</v>
      </c>
      <c r="AE192" s="27">
        <f>_xlfn.XLOOKUP(B192,'Projects Cashflow'!$B:$B,'Projects Cashflow'!$AG:$AG,0)</f>
        <v>993000</v>
      </c>
      <c r="AF192" s="28">
        <f t="shared" si="9"/>
        <v>0</v>
      </c>
    </row>
    <row r="193" spans="2:32" x14ac:dyDescent="0.3">
      <c r="B193" s="14" t="str">
        <f t="shared" si="7"/>
        <v>45112504511000019Utilities-N423931200104</v>
      </c>
      <c r="C193" s="21" t="s">
        <v>65</v>
      </c>
      <c r="D193" s="22">
        <v>4511250</v>
      </c>
      <c r="E193" s="21" t="s">
        <v>66</v>
      </c>
      <c r="F193" s="22">
        <v>4511000019</v>
      </c>
      <c r="G193" s="21" t="s">
        <v>2982</v>
      </c>
      <c r="H193" s="21" t="s">
        <v>110</v>
      </c>
      <c r="I193" s="22">
        <v>423931</v>
      </c>
      <c r="J193" s="22">
        <v>200104</v>
      </c>
      <c r="K193" s="22" t="s">
        <v>2959</v>
      </c>
      <c r="L193" s="22">
        <v>70205</v>
      </c>
      <c r="M193" s="23" t="s">
        <v>2961</v>
      </c>
      <c r="N193" s="24">
        <v>0</v>
      </c>
      <c r="O193" s="24">
        <v>0</v>
      </c>
      <c r="P193" s="24">
        <v>53524.41</v>
      </c>
      <c r="Q193" s="24">
        <v>88015.59</v>
      </c>
      <c r="R193" s="24">
        <v>70770</v>
      </c>
      <c r="S193" s="24">
        <v>70770</v>
      </c>
      <c r="T193" s="24">
        <v>70770</v>
      </c>
      <c r="U193" s="24">
        <v>70770</v>
      </c>
      <c r="V193" s="24">
        <v>70775</v>
      </c>
      <c r="W193" s="24">
        <v>35000</v>
      </c>
      <c r="X193" s="24">
        <v>35000</v>
      </c>
      <c r="Y193" s="24">
        <v>0</v>
      </c>
      <c r="Z193" s="24">
        <f t="shared" si="8"/>
        <v>565395</v>
      </c>
      <c r="AB193" s="25">
        <v>565395</v>
      </c>
      <c r="AC193" s="26">
        <v>565395</v>
      </c>
      <c r="AD193" s="24">
        <v>0</v>
      </c>
      <c r="AE193" s="27">
        <f>_xlfn.XLOOKUP(B193,'Projects Cashflow'!$B:$B,'Projects Cashflow'!$AG:$AG,0)</f>
        <v>565395</v>
      </c>
      <c r="AF193" s="28">
        <f t="shared" si="9"/>
        <v>0</v>
      </c>
    </row>
    <row r="194" spans="2:32" x14ac:dyDescent="0.3">
      <c r="B194" s="14" t="str">
        <f t="shared" si="7"/>
        <v>45112504511000019Security Service-N424551200104</v>
      </c>
      <c r="C194" s="21" t="s">
        <v>65</v>
      </c>
      <c r="D194" s="22">
        <v>4511250</v>
      </c>
      <c r="E194" s="21" t="s">
        <v>66</v>
      </c>
      <c r="F194" s="22">
        <v>4511000019</v>
      </c>
      <c r="G194" s="21" t="s">
        <v>2982</v>
      </c>
      <c r="H194" s="21" t="s">
        <v>107</v>
      </c>
      <c r="I194" s="22">
        <v>424551</v>
      </c>
      <c r="J194" s="22">
        <v>200104</v>
      </c>
      <c r="K194" s="22" t="s">
        <v>2959</v>
      </c>
      <c r="L194" s="22">
        <v>70205</v>
      </c>
      <c r="M194" s="23" t="s">
        <v>2961</v>
      </c>
      <c r="N194" s="24">
        <v>0</v>
      </c>
      <c r="O194" s="24">
        <v>0</v>
      </c>
      <c r="P194" s="24">
        <v>0</v>
      </c>
      <c r="Q194" s="24">
        <v>180000</v>
      </c>
      <c r="R194" s="24">
        <v>60000</v>
      </c>
      <c r="S194" s="24">
        <v>60000</v>
      </c>
      <c r="T194" s="24">
        <v>60000</v>
      </c>
      <c r="U194" s="24">
        <v>60000</v>
      </c>
      <c r="V194" s="24">
        <v>60000</v>
      </c>
      <c r="W194" s="24">
        <v>36005</v>
      </c>
      <c r="X194" s="24">
        <v>0</v>
      </c>
      <c r="Y194" s="24">
        <v>0</v>
      </c>
      <c r="Z194" s="24">
        <f t="shared" si="8"/>
        <v>516005</v>
      </c>
      <c r="AB194" s="25">
        <v>516005</v>
      </c>
      <c r="AC194" s="26">
        <v>516005</v>
      </c>
      <c r="AD194" s="24">
        <v>0</v>
      </c>
      <c r="AE194" s="27">
        <f>_xlfn.XLOOKUP(B194,'Projects Cashflow'!$B:$B,'Projects Cashflow'!$AG:$AG,0)</f>
        <v>516005</v>
      </c>
      <c r="AF194" s="28">
        <f t="shared" si="9"/>
        <v>0</v>
      </c>
    </row>
    <row r="195" spans="2:32" x14ac:dyDescent="0.3">
      <c r="B195" s="14" t="str">
        <f t="shared" si="7"/>
        <v>45112504511000019Maintenance-N426212200104</v>
      </c>
      <c r="C195" s="21" t="s">
        <v>65</v>
      </c>
      <c r="D195" s="22">
        <v>4511250</v>
      </c>
      <c r="E195" s="21" t="s">
        <v>66</v>
      </c>
      <c r="F195" s="22">
        <v>4511000019</v>
      </c>
      <c r="G195" s="21" t="s">
        <v>2982</v>
      </c>
      <c r="H195" s="21" t="s">
        <v>95</v>
      </c>
      <c r="I195" s="22">
        <v>426212</v>
      </c>
      <c r="J195" s="22">
        <v>200104</v>
      </c>
      <c r="K195" s="22" t="s">
        <v>2959</v>
      </c>
      <c r="L195" s="22">
        <v>70205</v>
      </c>
      <c r="M195" s="23" t="s">
        <v>2961</v>
      </c>
      <c r="N195" s="24">
        <v>0</v>
      </c>
      <c r="O195" s="24">
        <v>0</v>
      </c>
      <c r="P195" s="24">
        <v>0</v>
      </c>
      <c r="Q195" s="24">
        <v>117213.02</v>
      </c>
      <c r="R195" s="24">
        <v>58606.51</v>
      </c>
      <c r="S195" s="24">
        <v>58606.51</v>
      </c>
      <c r="T195" s="24">
        <v>58606.51</v>
      </c>
      <c r="U195" s="24">
        <v>58606.51</v>
      </c>
      <c r="V195" s="24">
        <v>58606.51</v>
      </c>
      <c r="W195" s="24">
        <v>31356</v>
      </c>
      <c r="X195" s="24">
        <v>0</v>
      </c>
      <c r="Y195" s="24">
        <v>0</v>
      </c>
      <c r="Z195" s="24">
        <f t="shared" si="8"/>
        <v>441601.57</v>
      </c>
      <c r="AB195" s="25">
        <v>441601.57</v>
      </c>
      <c r="AC195" s="26">
        <v>441605</v>
      </c>
      <c r="AD195" s="24">
        <v>-3.4299999999930151</v>
      </c>
      <c r="AE195" s="27">
        <f>_xlfn.XLOOKUP(B195,'Projects Cashflow'!$B:$B,'Projects Cashflow'!$AG:$AG,0)</f>
        <v>441605</v>
      </c>
      <c r="AF195" s="28">
        <f t="shared" si="9"/>
        <v>3.4299999999930151</v>
      </c>
    </row>
    <row r="196" spans="2:32" x14ac:dyDescent="0.3">
      <c r="B196" s="14" t="str">
        <f t="shared" si="7"/>
        <v>45112504511000019Admin Expenses-N1421125200104</v>
      </c>
      <c r="C196" s="21" t="s">
        <v>65</v>
      </c>
      <c r="D196" s="22">
        <v>4511250</v>
      </c>
      <c r="E196" s="21" t="s">
        <v>66</v>
      </c>
      <c r="F196" s="22">
        <v>4511000019</v>
      </c>
      <c r="G196" s="21" t="s">
        <v>2982</v>
      </c>
      <c r="H196" s="21" t="s">
        <v>73</v>
      </c>
      <c r="I196" s="22">
        <v>421125</v>
      </c>
      <c r="J196" s="22">
        <v>200104</v>
      </c>
      <c r="K196" s="22" t="s">
        <v>2959</v>
      </c>
      <c r="L196" s="22">
        <v>70205</v>
      </c>
      <c r="M196" s="23" t="s">
        <v>2961</v>
      </c>
      <c r="N196" s="24">
        <v>0</v>
      </c>
      <c r="O196" s="24">
        <v>0</v>
      </c>
      <c r="P196" s="24">
        <v>0</v>
      </c>
      <c r="Q196" s="24">
        <v>0</v>
      </c>
      <c r="R196" s="24">
        <v>40000</v>
      </c>
      <c r="S196" s="24">
        <v>40000</v>
      </c>
      <c r="T196" s="24">
        <v>40000</v>
      </c>
      <c r="U196" s="24">
        <v>40000</v>
      </c>
      <c r="V196" s="24">
        <v>40000</v>
      </c>
      <c r="W196" s="24">
        <v>71800</v>
      </c>
      <c r="X196" s="24">
        <v>0</v>
      </c>
      <c r="Y196" s="24">
        <v>0</v>
      </c>
      <c r="Z196" s="24">
        <f t="shared" si="8"/>
        <v>271800</v>
      </c>
      <c r="AB196" s="25">
        <v>271800</v>
      </c>
      <c r="AC196" s="26">
        <v>271800</v>
      </c>
      <c r="AD196" s="24">
        <v>0</v>
      </c>
      <c r="AE196" s="27">
        <f>_xlfn.XLOOKUP(B196,'Projects Cashflow'!$B:$B,'Projects Cashflow'!$AG:$AG,0)</f>
        <v>271800</v>
      </c>
      <c r="AF196" s="28">
        <f t="shared" si="9"/>
        <v>0</v>
      </c>
    </row>
    <row r="197" spans="2:32" x14ac:dyDescent="0.3">
      <c r="B197" s="14" t="str">
        <f t="shared" ref="B197:B260" si="10">D197&amp;F197&amp;H197&amp;I197&amp;J197</f>
        <v>45112504511000019Hospitality-N424761200104</v>
      </c>
      <c r="C197" s="21" t="s">
        <v>65</v>
      </c>
      <c r="D197" s="22">
        <v>4511250</v>
      </c>
      <c r="E197" s="21" t="s">
        <v>66</v>
      </c>
      <c r="F197" s="22">
        <v>4511000019</v>
      </c>
      <c r="G197" s="21" t="s">
        <v>2982</v>
      </c>
      <c r="H197" s="21" t="s">
        <v>83</v>
      </c>
      <c r="I197" s="22">
        <v>424761</v>
      </c>
      <c r="J197" s="22">
        <v>200104</v>
      </c>
      <c r="K197" s="22" t="s">
        <v>2959</v>
      </c>
      <c r="L197" s="22">
        <v>70205</v>
      </c>
      <c r="M197" s="23" t="s">
        <v>2961</v>
      </c>
      <c r="N197" s="24">
        <v>0</v>
      </c>
      <c r="O197" s="24">
        <v>0</v>
      </c>
      <c r="P197" s="24">
        <v>0</v>
      </c>
      <c r="Q197" s="24">
        <v>60000</v>
      </c>
      <c r="R197" s="24">
        <v>30000</v>
      </c>
      <c r="S197" s="24">
        <v>30000</v>
      </c>
      <c r="T197" s="24">
        <v>30000</v>
      </c>
      <c r="U197" s="24">
        <v>30000</v>
      </c>
      <c r="V197" s="24">
        <v>30000</v>
      </c>
      <c r="W197" s="24">
        <v>30000</v>
      </c>
      <c r="X197" s="24">
        <v>25000</v>
      </c>
      <c r="Y197" s="24">
        <v>0</v>
      </c>
      <c r="Z197" s="24">
        <f t="shared" ref="Z197:Z260" si="11">SUM(N197:Y197)</f>
        <v>265000</v>
      </c>
      <c r="AB197" s="25">
        <v>265000</v>
      </c>
      <c r="AC197" s="26">
        <v>265000</v>
      </c>
      <c r="AD197" s="24">
        <v>0</v>
      </c>
      <c r="AE197" s="27">
        <f>_xlfn.XLOOKUP(B197,'Projects Cashflow'!$B:$B,'Projects Cashflow'!$AG:$AG,0)</f>
        <v>265000</v>
      </c>
      <c r="AF197" s="28">
        <f t="shared" ref="AF197:AF260" si="12">AE197-AB197</f>
        <v>0</v>
      </c>
    </row>
    <row r="198" spans="2:32" x14ac:dyDescent="0.3">
      <c r="B198" s="14" t="str">
        <f t="shared" si="10"/>
        <v>45112504511000019Cleaning Service-N422311200104</v>
      </c>
      <c r="C198" s="21" t="s">
        <v>65</v>
      </c>
      <c r="D198" s="22">
        <v>4511250</v>
      </c>
      <c r="E198" s="21" t="s">
        <v>66</v>
      </c>
      <c r="F198" s="22">
        <v>4511000019</v>
      </c>
      <c r="G198" s="21" t="s">
        <v>2982</v>
      </c>
      <c r="H198" s="21" t="s">
        <v>79</v>
      </c>
      <c r="I198" s="22">
        <v>422311</v>
      </c>
      <c r="J198" s="22">
        <v>200104</v>
      </c>
      <c r="K198" s="22" t="s">
        <v>2959</v>
      </c>
      <c r="L198" s="22">
        <v>70205</v>
      </c>
      <c r="M198" s="23" t="s">
        <v>2961</v>
      </c>
      <c r="N198" s="24">
        <v>0</v>
      </c>
      <c r="O198" s="24">
        <v>0</v>
      </c>
      <c r="P198" s="24">
        <v>0</v>
      </c>
      <c r="Q198" s="24">
        <v>45000</v>
      </c>
      <c r="R198" s="24">
        <v>15000</v>
      </c>
      <c r="S198" s="24">
        <v>15000</v>
      </c>
      <c r="T198" s="24">
        <v>15000</v>
      </c>
      <c r="U198" s="24">
        <v>15000</v>
      </c>
      <c r="V198" s="24">
        <v>15000</v>
      </c>
      <c r="W198" s="24">
        <v>30000</v>
      </c>
      <c r="X198" s="24">
        <v>30000</v>
      </c>
      <c r="Y198" s="24">
        <v>38430</v>
      </c>
      <c r="Z198" s="24">
        <f t="shared" si="11"/>
        <v>218430</v>
      </c>
      <c r="AB198" s="25">
        <v>218430</v>
      </c>
      <c r="AC198" s="26">
        <v>218430</v>
      </c>
      <c r="AD198" s="24">
        <v>0</v>
      </c>
      <c r="AE198" s="27">
        <f>_xlfn.XLOOKUP(B198,'Projects Cashflow'!$B:$B,'Projects Cashflow'!$AG:$AG,0)</f>
        <v>218430</v>
      </c>
      <c r="AF198" s="28">
        <f t="shared" si="12"/>
        <v>0</v>
      </c>
    </row>
    <row r="199" spans="2:32" x14ac:dyDescent="0.3">
      <c r="B199" s="14" t="str">
        <f t="shared" si="10"/>
        <v>45112504511000019Ad-hoc Repairs-N426427200104</v>
      </c>
      <c r="C199" s="21" t="s">
        <v>65</v>
      </c>
      <c r="D199" s="22">
        <v>4511250</v>
      </c>
      <c r="E199" s="21" t="s">
        <v>66</v>
      </c>
      <c r="F199" s="22">
        <v>4511000019</v>
      </c>
      <c r="G199" s="21" t="s">
        <v>2982</v>
      </c>
      <c r="H199" s="21" t="s">
        <v>70</v>
      </c>
      <c r="I199" s="22">
        <v>426427</v>
      </c>
      <c r="J199" s="22">
        <v>200104</v>
      </c>
      <c r="K199" s="22" t="s">
        <v>2959</v>
      </c>
      <c r="L199" s="22">
        <v>70205</v>
      </c>
      <c r="M199" s="23" t="s">
        <v>2961</v>
      </c>
      <c r="N199" s="24">
        <v>0</v>
      </c>
      <c r="O199" s="24">
        <v>0</v>
      </c>
      <c r="P199" s="24">
        <v>0</v>
      </c>
      <c r="Q199" s="24">
        <v>30000</v>
      </c>
      <c r="R199" s="24">
        <v>30000</v>
      </c>
      <c r="S199" s="24">
        <v>30000</v>
      </c>
      <c r="T199" s="24">
        <v>30000</v>
      </c>
      <c r="U199" s="24">
        <v>5316</v>
      </c>
      <c r="V199" s="24">
        <v>17658</v>
      </c>
      <c r="W199" s="24">
        <v>19368</v>
      </c>
      <c r="X199" s="24">
        <v>0</v>
      </c>
      <c r="Y199" s="24">
        <v>0</v>
      </c>
      <c r="Z199" s="24">
        <f t="shared" si="11"/>
        <v>162342</v>
      </c>
      <c r="AB199" s="25">
        <v>162342</v>
      </c>
      <c r="AC199" s="26">
        <v>162342</v>
      </c>
      <c r="AD199" s="24">
        <v>0</v>
      </c>
      <c r="AE199" s="27">
        <f>_xlfn.XLOOKUP(B199,'Projects Cashflow'!$B:$B,'Projects Cashflow'!$AG:$AG,0)</f>
        <v>162342</v>
      </c>
      <c r="AF199" s="28">
        <f t="shared" si="12"/>
        <v>0</v>
      </c>
    </row>
    <row r="200" spans="2:32" x14ac:dyDescent="0.3">
      <c r="B200" s="14" t="str">
        <f t="shared" si="10"/>
        <v>45112504511000019Art Materials-N1432626200104</v>
      </c>
      <c r="C200" s="21" t="s">
        <v>65</v>
      </c>
      <c r="D200" s="22">
        <v>4511250</v>
      </c>
      <c r="E200" s="21" t="s">
        <v>66</v>
      </c>
      <c r="F200" s="22">
        <v>4511000019</v>
      </c>
      <c r="G200" s="21" t="s">
        <v>2982</v>
      </c>
      <c r="H200" s="21" t="s">
        <v>75</v>
      </c>
      <c r="I200" s="22">
        <v>432626</v>
      </c>
      <c r="J200" s="22">
        <v>200104</v>
      </c>
      <c r="K200" s="22" t="s">
        <v>2959</v>
      </c>
      <c r="L200" s="22">
        <v>70205</v>
      </c>
      <c r="M200" s="23" t="s">
        <v>2961</v>
      </c>
      <c r="N200" s="24">
        <v>0</v>
      </c>
      <c r="O200" s="24">
        <v>0</v>
      </c>
      <c r="P200" s="24">
        <v>0</v>
      </c>
      <c r="Q200" s="24">
        <v>75000</v>
      </c>
      <c r="R200" s="24">
        <v>0</v>
      </c>
      <c r="S200" s="24">
        <v>50000</v>
      </c>
      <c r="T200" s="24">
        <v>0</v>
      </c>
      <c r="U200" s="24">
        <v>0</v>
      </c>
      <c r="V200" s="24">
        <v>0</v>
      </c>
      <c r="W200" s="24">
        <v>25000</v>
      </c>
      <c r="X200" s="24">
        <v>0</v>
      </c>
      <c r="Y200" s="24">
        <v>0</v>
      </c>
      <c r="Z200" s="24">
        <f t="shared" si="11"/>
        <v>150000</v>
      </c>
      <c r="AB200" s="25">
        <v>150000</v>
      </c>
      <c r="AC200" s="26">
        <v>150000</v>
      </c>
      <c r="AD200" s="24">
        <v>0</v>
      </c>
      <c r="AE200" s="27">
        <f>_xlfn.XLOOKUP(B200,'Projects Cashflow'!$B:$B,'Projects Cashflow'!$AG:$AG,0)</f>
        <v>150000</v>
      </c>
      <c r="AF200" s="28">
        <f t="shared" si="12"/>
        <v>0</v>
      </c>
    </row>
    <row r="201" spans="2:32" x14ac:dyDescent="0.3">
      <c r="B201" s="14" t="str">
        <f t="shared" si="10"/>
        <v>45112504511000019Landscaping-N432614200104</v>
      </c>
      <c r="C201" s="21" t="s">
        <v>65</v>
      </c>
      <c r="D201" s="22">
        <v>4511250</v>
      </c>
      <c r="E201" s="21" t="s">
        <v>66</v>
      </c>
      <c r="F201" s="22">
        <v>4511000019</v>
      </c>
      <c r="G201" s="21" t="s">
        <v>2982</v>
      </c>
      <c r="H201" s="21" t="s">
        <v>86</v>
      </c>
      <c r="I201" s="22">
        <v>432614</v>
      </c>
      <c r="J201" s="22">
        <v>200104</v>
      </c>
      <c r="K201" s="22" t="s">
        <v>2959</v>
      </c>
      <c r="L201" s="22">
        <v>70205</v>
      </c>
      <c r="M201" s="23" t="s">
        <v>2961</v>
      </c>
      <c r="N201" s="24">
        <v>0</v>
      </c>
      <c r="O201" s="24">
        <v>0</v>
      </c>
      <c r="P201" s="24">
        <v>0</v>
      </c>
      <c r="Q201" s="24">
        <v>20000</v>
      </c>
      <c r="R201" s="24">
        <v>20000</v>
      </c>
      <c r="S201" s="24">
        <v>20000</v>
      </c>
      <c r="T201" s="24">
        <v>20000</v>
      </c>
      <c r="U201" s="24">
        <v>20000</v>
      </c>
      <c r="V201" s="24">
        <v>20000</v>
      </c>
      <c r="W201" s="24">
        <v>4500</v>
      </c>
      <c r="X201" s="24">
        <v>0</v>
      </c>
      <c r="Y201" s="24">
        <v>0</v>
      </c>
      <c r="Z201" s="24">
        <f t="shared" si="11"/>
        <v>124500</v>
      </c>
      <c r="AB201" s="25">
        <v>124500</v>
      </c>
      <c r="AC201" s="26">
        <v>124500</v>
      </c>
      <c r="AD201" s="24">
        <v>0</v>
      </c>
      <c r="AE201" s="27">
        <f>_xlfn.XLOOKUP(B201,'Projects Cashflow'!$B:$B,'Projects Cashflow'!$AG:$AG,0)</f>
        <v>124500</v>
      </c>
      <c r="AF201" s="28">
        <f t="shared" si="12"/>
        <v>0</v>
      </c>
    </row>
    <row r="202" spans="2:32" x14ac:dyDescent="0.3">
      <c r="B202" s="14" t="str">
        <f t="shared" si="10"/>
        <v>45112504511000019Pest Control-N422321200104</v>
      </c>
      <c r="C202" s="21" t="s">
        <v>65</v>
      </c>
      <c r="D202" s="22">
        <v>4511250</v>
      </c>
      <c r="E202" s="21" t="s">
        <v>66</v>
      </c>
      <c r="F202" s="22">
        <v>4511000019</v>
      </c>
      <c r="G202" s="21" t="s">
        <v>2982</v>
      </c>
      <c r="H202" s="21" t="s">
        <v>103</v>
      </c>
      <c r="I202" s="22">
        <v>422321</v>
      </c>
      <c r="J202" s="22">
        <v>200104</v>
      </c>
      <c r="K202" s="22" t="s">
        <v>2959</v>
      </c>
      <c r="L202" s="22">
        <v>70205</v>
      </c>
      <c r="M202" s="23" t="s">
        <v>2961</v>
      </c>
      <c r="N202" s="24">
        <v>0</v>
      </c>
      <c r="O202" s="24">
        <v>0</v>
      </c>
      <c r="P202" s="24">
        <v>0</v>
      </c>
      <c r="Q202" s="24">
        <v>30000</v>
      </c>
      <c r="R202" s="24">
        <v>10000</v>
      </c>
      <c r="S202" s="24">
        <v>10000</v>
      </c>
      <c r="T202" s="24">
        <v>10000</v>
      </c>
      <c r="U202" s="24">
        <v>1938</v>
      </c>
      <c r="V202" s="24">
        <v>0</v>
      </c>
      <c r="W202" s="24">
        <v>0</v>
      </c>
      <c r="X202" s="24">
        <v>0</v>
      </c>
      <c r="Y202" s="24">
        <v>0</v>
      </c>
      <c r="Z202" s="24">
        <f t="shared" si="11"/>
        <v>61938</v>
      </c>
      <c r="AB202" s="25">
        <v>57188</v>
      </c>
      <c r="AC202" s="26">
        <v>57188</v>
      </c>
      <c r="AD202" s="24">
        <v>0</v>
      </c>
      <c r="AE202" s="27">
        <f>_xlfn.XLOOKUP(B202,'Projects Cashflow'!$B:$B,'Projects Cashflow'!$AG:$AG,0)</f>
        <v>57188</v>
      </c>
      <c r="AF202" s="28">
        <f t="shared" si="12"/>
        <v>0</v>
      </c>
    </row>
    <row r="203" spans="2:32" x14ac:dyDescent="0.3">
      <c r="B203" s="14" t="str">
        <f t="shared" si="10"/>
        <v>45112504511000063Activation&amp;Prog-N422401200104</v>
      </c>
      <c r="C203" s="21" t="s">
        <v>65</v>
      </c>
      <c r="D203" s="22">
        <v>4511250</v>
      </c>
      <c r="E203" s="21" t="s">
        <v>66</v>
      </c>
      <c r="F203" s="22">
        <v>4511000063</v>
      </c>
      <c r="G203" s="21" t="s">
        <v>2983</v>
      </c>
      <c r="H203" s="21" t="s">
        <v>62</v>
      </c>
      <c r="I203" s="22">
        <v>422401</v>
      </c>
      <c r="J203" s="22">
        <v>200104</v>
      </c>
      <c r="K203" s="22" t="s">
        <v>2959</v>
      </c>
      <c r="L203" s="22">
        <v>70205</v>
      </c>
      <c r="M203" s="23" t="s">
        <v>2961</v>
      </c>
      <c r="N203" s="24">
        <v>0</v>
      </c>
      <c r="O203" s="24">
        <v>0</v>
      </c>
      <c r="P203" s="24">
        <v>0</v>
      </c>
      <c r="Q203" s="24">
        <v>0</v>
      </c>
      <c r="R203" s="24">
        <v>1254037</v>
      </c>
      <c r="S203" s="24">
        <v>0</v>
      </c>
      <c r="T203" s="24">
        <v>0</v>
      </c>
      <c r="U203" s="24">
        <v>0</v>
      </c>
      <c r="V203" s="24">
        <v>0</v>
      </c>
      <c r="W203" s="24">
        <v>0</v>
      </c>
      <c r="X203" s="24">
        <v>0</v>
      </c>
      <c r="Y203" s="24">
        <v>0</v>
      </c>
      <c r="Z203" s="24">
        <f t="shared" si="11"/>
        <v>1254037</v>
      </c>
      <c r="AB203" s="25">
        <v>1254037</v>
      </c>
      <c r="AC203" s="26">
        <v>1254037</v>
      </c>
      <c r="AD203" s="24">
        <v>0</v>
      </c>
      <c r="AE203" s="27">
        <f>_xlfn.XLOOKUP(B203,'Projects Cashflow'!$B:$B,'Projects Cashflow'!$AG:$AG,0)</f>
        <v>1254037</v>
      </c>
      <c r="AF203" s="28">
        <f t="shared" si="12"/>
        <v>0</v>
      </c>
    </row>
    <row r="204" spans="2:32" x14ac:dyDescent="0.3">
      <c r="B204" s="14" t="str">
        <f t="shared" si="10"/>
        <v>45102404511000445Procuremt Advice-N421191200104</v>
      </c>
      <c r="C204" s="21" t="s">
        <v>2984</v>
      </c>
      <c r="D204" s="22">
        <v>4510240</v>
      </c>
      <c r="E204" s="21" t="s">
        <v>196</v>
      </c>
      <c r="F204" s="22">
        <v>4511000445</v>
      </c>
      <c r="G204" s="21" t="s">
        <v>2985</v>
      </c>
      <c r="H204" s="21" t="s">
        <v>549</v>
      </c>
      <c r="I204" s="22">
        <v>421191</v>
      </c>
      <c r="J204" s="22">
        <v>200104</v>
      </c>
      <c r="K204" s="22" t="s">
        <v>2959</v>
      </c>
      <c r="L204" s="22">
        <v>70105</v>
      </c>
      <c r="M204" s="23" t="s">
        <v>2960</v>
      </c>
      <c r="N204" s="24">
        <v>0</v>
      </c>
      <c r="O204" s="24">
        <v>0</v>
      </c>
      <c r="P204" s="24">
        <v>0</v>
      </c>
      <c r="Q204" s="24">
        <v>1980000</v>
      </c>
      <c r="R204" s="24">
        <v>990000</v>
      </c>
      <c r="S204" s="24">
        <v>0</v>
      </c>
      <c r="T204" s="24">
        <v>500000</v>
      </c>
      <c r="U204" s="24">
        <v>0</v>
      </c>
      <c r="V204" s="24">
        <v>0</v>
      </c>
      <c r="W204" s="24">
        <v>180000</v>
      </c>
      <c r="X204" s="24">
        <v>0</v>
      </c>
      <c r="Y204" s="24">
        <v>0</v>
      </c>
      <c r="Z204" s="24">
        <f t="shared" si="11"/>
        <v>3650000</v>
      </c>
      <c r="AB204" s="25">
        <v>3470000</v>
      </c>
      <c r="AC204" s="26">
        <v>3470000</v>
      </c>
      <c r="AD204" s="24">
        <v>0</v>
      </c>
      <c r="AE204" s="27">
        <f>_xlfn.XLOOKUP(B204,'Projects Cashflow'!$B:$B,'Projects Cashflow'!$AG:$AG,0)</f>
        <v>3470000</v>
      </c>
      <c r="AF204" s="28">
        <f t="shared" si="12"/>
        <v>0</v>
      </c>
    </row>
    <row r="205" spans="2:32" x14ac:dyDescent="0.3">
      <c r="B205" s="14" t="str">
        <f t="shared" si="10"/>
        <v>45112504511000063Security Service-N424551200104</v>
      </c>
      <c r="C205" s="21" t="s">
        <v>65</v>
      </c>
      <c r="D205" s="22">
        <v>4511250</v>
      </c>
      <c r="E205" s="21" t="s">
        <v>66</v>
      </c>
      <c r="F205" s="22">
        <v>4511000063</v>
      </c>
      <c r="G205" s="21" t="s">
        <v>2983</v>
      </c>
      <c r="H205" s="21" t="s">
        <v>107</v>
      </c>
      <c r="I205" s="22">
        <v>424551</v>
      </c>
      <c r="J205" s="22">
        <v>200104</v>
      </c>
      <c r="K205" s="22" t="s">
        <v>2959</v>
      </c>
      <c r="L205" s="22">
        <v>70205</v>
      </c>
      <c r="M205" s="23" t="s">
        <v>2961</v>
      </c>
      <c r="N205" s="24">
        <v>0</v>
      </c>
      <c r="O205" s="24">
        <v>0</v>
      </c>
      <c r="P205" s="24">
        <v>0</v>
      </c>
      <c r="Q205" s="24">
        <v>120000</v>
      </c>
      <c r="R205" s="24">
        <v>60000</v>
      </c>
      <c r="S205" s="24">
        <v>60000</v>
      </c>
      <c r="T205" s="24">
        <v>60000</v>
      </c>
      <c r="U205" s="24">
        <v>60000</v>
      </c>
      <c r="V205" s="24">
        <v>60000</v>
      </c>
      <c r="W205" s="24">
        <v>60000</v>
      </c>
      <c r="X205" s="24">
        <v>28881</v>
      </c>
      <c r="Y205" s="24">
        <v>0</v>
      </c>
      <c r="Z205" s="24">
        <f t="shared" si="11"/>
        <v>508881</v>
      </c>
      <c r="AB205" s="25">
        <v>508881</v>
      </c>
      <c r="AC205" s="26">
        <v>508881</v>
      </c>
      <c r="AD205" s="24">
        <v>0</v>
      </c>
      <c r="AE205" s="27">
        <f>_xlfn.XLOOKUP(B205,'Projects Cashflow'!$B:$B,'Projects Cashflow'!$AG:$AG,0)</f>
        <v>508881</v>
      </c>
      <c r="AF205" s="28">
        <f t="shared" si="12"/>
        <v>0</v>
      </c>
    </row>
    <row r="206" spans="2:32" x14ac:dyDescent="0.3">
      <c r="B206" s="14" t="str">
        <f t="shared" si="10"/>
        <v>45112504511000063Maintenance-N426212200104</v>
      </c>
      <c r="C206" s="21" t="s">
        <v>65</v>
      </c>
      <c r="D206" s="22">
        <v>4511250</v>
      </c>
      <c r="E206" s="21" t="s">
        <v>66</v>
      </c>
      <c r="F206" s="22">
        <v>4511000063</v>
      </c>
      <c r="G206" s="21" t="s">
        <v>2983</v>
      </c>
      <c r="H206" s="21" t="s">
        <v>95</v>
      </c>
      <c r="I206" s="22">
        <v>426212</v>
      </c>
      <c r="J206" s="22">
        <v>200104</v>
      </c>
      <c r="K206" s="22" t="s">
        <v>2959</v>
      </c>
      <c r="L206" s="22">
        <v>70205</v>
      </c>
      <c r="M206" s="23" t="s">
        <v>2961</v>
      </c>
      <c r="N206" s="24">
        <v>0</v>
      </c>
      <c r="O206" s="24">
        <v>0</v>
      </c>
      <c r="P206" s="24">
        <v>0</v>
      </c>
      <c r="Q206" s="24">
        <v>139638.72</v>
      </c>
      <c r="R206" s="24">
        <v>69819.360000000001</v>
      </c>
      <c r="S206" s="24">
        <v>69819.360000000001</v>
      </c>
      <c r="T206" s="24">
        <v>69819.360000000001</v>
      </c>
      <c r="U206" s="24">
        <v>59906</v>
      </c>
      <c r="V206" s="24">
        <v>0</v>
      </c>
      <c r="W206" s="24">
        <v>0</v>
      </c>
      <c r="X206" s="24">
        <v>0</v>
      </c>
      <c r="Y206" s="24">
        <v>0</v>
      </c>
      <c r="Z206" s="24">
        <f t="shared" si="11"/>
        <v>409002.8</v>
      </c>
      <c r="AB206" s="25">
        <v>409002.8</v>
      </c>
      <c r="AC206" s="26">
        <v>409001</v>
      </c>
      <c r="AD206" s="24">
        <v>1.7999999999883585</v>
      </c>
      <c r="AE206" s="27">
        <f>_xlfn.XLOOKUP(B206,'Projects Cashflow'!$B:$B,'Projects Cashflow'!$AG:$AG,0)</f>
        <v>409001</v>
      </c>
      <c r="AF206" s="28">
        <f t="shared" si="12"/>
        <v>-1.7999999999883585</v>
      </c>
    </row>
    <row r="207" spans="2:32" x14ac:dyDescent="0.3">
      <c r="B207" s="14" t="str">
        <f t="shared" si="10"/>
        <v>45112504511000063Utilities-N423931200104</v>
      </c>
      <c r="C207" s="21" t="s">
        <v>65</v>
      </c>
      <c r="D207" s="22">
        <v>4511250</v>
      </c>
      <c r="E207" s="21" t="s">
        <v>66</v>
      </c>
      <c r="F207" s="22">
        <v>4511000063</v>
      </c>
      <c r="G207" s="21" t="s">
        <v>2983</v>
      </c>
      <c r="H207" s="21" t="s">
        <v>110</v>
      </c>
      <c r="I207" s="22">
        <v>423931</v>
      </c>
      <c r="J207" s="22">
        <v>200104</v>
      </c>
      <c r="K207" s="22" t="s">
        <v>2959</v>
      </c>
      <c r="L207" s="22">
        <v>70205</v>
      </c>
      <c r="M207" s="23" t="s">
        <v>2961</v>
      </c>
      <c r="N207" s="24">
        <v>0</v>
      </c>
      <c r="O207" s="24">
        <v>0</v>
      </c>
      <c r="P207" s="24">
        <v>0</v>
      </c>
      <c r="Q207" s="24">
        <v>40000</v>
      </c>
      <c r="R207" s="24">
        <v>20000</v>
      </c>
      <c r="S207" s="24">
        <v>20000</v>
      </c>
      <c r="T207" s="24">
        <v>20000</v>
      </c>
      <c r="U207" s="24">
        <v>25000</v>
      </c>
      <c r="V207" s="24">
        <v>25000</v>
      </c>
      <c r="W207" s="24">
        <v>25000</v>
      </c>
      <c r="X207" s="24">
        <v>37377</v>
      </c>
      <c r="Y207" s="24">
        <v>0</v>
      </c>
      <c r="Z207" s="24">
        <f t="shared" si="11"/>
        <v>212377</v>
      </c>
      <c r="AB207" s="25">
        <v>212377</v>
      </c>
      <c r="AC207" s="26">
        <v>212377</v>
      </c>
      <c r="AD207" s="24">
        <v>0</v>
      </c>
      <c r="AE207" s="27">
        <f>_xlfn.XLOOKUP(B207,'Projects Cashflow'!$B:$B,'Projects Cashflow'!$AG:$AG,0)</f>
        <v>212377</v>
      </c>
      <c r="AF207" s="28">
        <f t="shared" si="12"/>
        <v>0</v>
      </c>
    </row>
    <row r="208" spans="2:32" x14ac:dyDescent="0.3">
      <c r="B208" s="14" t="str">
        <f t="shared" si="10"/>
        <v>45112504511000063Cleaning Service-N422311200104</v>
      </c>
      <c r="C208" s="21" t="s">
        <v>65</v>
      </c>
      <c r="D208" s="22">
        <v>4511250</v>
      </c>
      <c r="E208" s="21" t="s">
        <v>66</v>
      </c>
      <c r="F208" s="22">
        <v>4511000063</v>
      </c>
      <c r="G208" s="21" t="s">
        <v>2983</v>
      </c>
      <c r="H208" s="21" t="s">
        <v>79</v>
      </c>
      <c r="I208" s="22">
        <v>422311</v>
      </c>
      <c r="J208" s="22">
        <v>200104</v>
      </c>
      <c r="K208" s="22" t="s">
        <v>2959</v>
      </c>
      <c r="L208" s="22">
        <v>70205</v>
      </c>
      <c r="M208" s="23" t="s">
        <v>2961</v>
      </c>
      <c r="N208" s="24">
        <v>0</v>
      </c>
      <c r="O208" s="24">
        <v>0</v>
      </c>
      <c r="P208" s="24">
        <v>0</v>
      </c>
      <c r="Q208" s="24">
        <v>60000</v>
      </c>
      <c r="R208" s="24">
        <v>20000</v>
      </c>
      <c r="S208" s="24">
        <v>20000</v>
      </c>
      <c r="T208" s="24">
        <v>20000</v>
      </c>
      <c r="U208" s="24">
        <v>20000</v>
      </c>
      <c r="V208" s="24">
        <v>20000</v>
      </c>
      <c r="W208" s="24">
        <v>20698</v>
      </c>
      <c r="X208" s="24">
        <v>0</v>
      </c>
      <c r="Y208" s="24">
        <v>0</v>
      </c>
      <c r="Z208" s="24">
        <f t="shared" si="11"/>
        <v>180698</v>
      </c>
      <c r="AB208" s="25">
        <v>180698</v>
      </c>
      <c r="AC208" s="26">
        <v>180698</v>
      </c>
      <c r="AD208" s="24">
        <v>0</v>
      </c>
      <c r="AE208" s="27">
        <f>_xlfn.XLOOKUP(B208,'Projects Cashflow'!$B:$B,'Projects Cashflow'!$AG:$AG,0)</f>
        <v>180698</v>
      </c>
      <c r="AF208" s="28">
        <f t="shared" si="12"/>
        <v>0</v>
      </c>
    </row>
    <row r="209" spans="2:32" x14ac:dyDescent="0.3">
      <c r="B209" s="14" t="str">
        <f t="shared" si="10"/>
        <v>45112504511000063Admin Expenses-N1421125200104</v>
      </c>
      <c r="C209" s="21" t="s">
        <v>65</v>
      </c>
      <c r="D209" s="22">
        <v>4511250</v>
      </c>
      <c r="E209" s="21" t="s">
        <v>66</v>
      </c>
      <c r="F209" s="22">
        <v>4511000063</v>
      </c>
      <c r="G209" s="21" t="s">
        <v>2983</v>
      </c>
      <c r="H209" s="21" t="s">
        <v>73</v>
      </c>
      <c r="I209" s="22">
        <v>421125</v>
      </c>
      <c r="J209" s="22">
        <v>200104</v>
      </c>
      <c r="K209" s="22" t="s">
        <v>2959</v>
      </c>
      <c r="L209" s="22">
        <v>70205</v>
      </c>
      <c r="M209" s="23" t="s">
        <v>2961</v>
      </c>
      <c r="N209" s="24">
        <v>0</v>
      </c>
      <c r="O209" s="24">
        <v>0</v>
      </c>
      <c r="P209" s="24">
        <v>0</v>
      </c>
      <c r="Q209" s="24">
        <v>40000</v>
      </c>
      <c r="R209" s="24">
        <v>40000</v>
      </c>
      <c r="S209" s="24">
        <v>40000</v>
      </c>
      <c r="T209" s="24">
        <v>51500</v>
      </c>
      <c r="U209" s="24">
        <v>0</v>
      </c>
      <c r="V209" s="24">
        <v>0</v>
      </c>
      <c r="W209" s="24">
        <v>0</v>
      </c>
      <c r="X209" s="24">
        <v>0</v>
      </c>
      <c r="Y209" s="24">
        <v>0</v>
      </c>
      <c r="Z209" s="24">
        <f t="shared" si="11"/>
        <v>171500</v>
      </c>
      <c r="AB209" s="25">
        <v>171500</v>
      </c>
      <c r="AC209" s="26">
        <v>171500</v>
      </c>
      <c r="AD209" s="24">
        <v>0</v>
      </c>
      <c r="AE209" s="27">
        <f>_xlfn.XLOOKUP(B209,'Projects Cashflow'!$B:$B,'Projects Cashflow'!$AG:$AG,0)</f>
        <v>171500</v>
      </c>
      <c r="AF209" s="28">
        <f t="shared" si="12"/>
        <v>0</v>
      </c>
    </row>
    <row r="210" spans="2:32" x14ac:dyDescent="0.3">
      <c r="B210" s="14" t="str">
        <f t="shared" si="10"/>
        <v>45112504511000063Landscaping-N432614200104</v>
      </c>
      <c r="C210" s="21" t="s">
        <v>65</v>
      </c>
      <c r="D210" s="22">
        <v>4511250</v>
      </c>
      <c r="E210" s="21" t="s">
        <v>66</v>
      </c>
      <c r="F210" s="22">
        <v>4511000063</v>
      </c>
      <c r="G210" s="21" t="s">
        <v>2983</v>
      </c>
      <c r="H210" s="21" t="s">
        <v>86</v>
      </c>
      <c r="I210" s="22">
        <v>432614</v>
      </c>
      <c r="J210" s="22">
        <v>200104</v>
      </c>
      <c r="K210" s="22" t="s">
        <v>2959</v>
      </c>
      <c r="L210" s="22">
        <v>70205</v>
      </c>
      <c r="M210" s="23" t="s">
        <v>2961</v>
      </c>
      <c r="N210" s="24">
        <v>0</v>
      </c>
      <c r="O210" s="24">
        <v>0</v>
      </c>
      <c r="P210" s="24">
        <v>0</v>
      </c>
      <c r="Q210" s="24">
        <v>45000</v>
      </c>
      <c r="R210" s="24">
        <v>15000</v>
      </c>
      <c r="S210" s="24">
        <v>15000</v>
      </c>
      <c r="T210" s="24">
        <v>15000</v>
      </c>
      <c r="U210" s="24">
        <v>15000</v>
      </c>
      <c r="V210" s="24">
        <v>15000</v>
      </c>
      <c r="W210" s="24">
        <v>16679</v>
      </c>
      <c r="X210" s="24">
        <v>0</v>
      </c>
      <c r="Y210" s="24">
        <v>0</v>
      </c>
      <c r="Z210" s="24">
        <f t="shared" si="11"/>
        <v>136679</v>
      </c>
      <c r="AB210" s="25">
        <v>136679</v>
      </c>
      <c r="AC210" s="26">
        <v>136679</v>
      </c>
      <c r="AD210" s="24">
        <v>0</v>
      </c>
      <c r="AE210" s="27">
        <f>_xlfn.XLOOKUP(B210,'Projects Cashflow'!$B:$B,'Projects Cashflow'!$AG:$AG,0)</f>
        <v>136679</v>
      </c>
      <c r="AF210" s="28">
        <f t="shared" si="12"/>
        <v>0</v>
      </c>
    </row>
    <row r="211" spans="2:32" x14ac:dyDescent="0.3">
      <c r="B211" s="14" t="str">
        <f t="shared" si="10"/>
        <v>45112504511000063Edu &amp; Outreach-N422401200104</v>
      </c>
      <c r="C211" s="21" t="s">
        <v>65</v>
      </c>
      <c r="D211" s="22">
        <v>4511250</v>
      </c>
      <c r="E211" s="21" t="s">
        <v>66</v>
      </c>
      <c r="F211" s="22">
        <v>4511000063</v>
      </c>
      <c r="G211" s="21" t="s">
        <v>2983</v>
      </c>
      <c r="H211" s="21" t="s">
        <v>155</v>
      </c>
      <c r="I211" s="22">
        <v>422401</v>
      </c>
      <c r="J211" s="22">
        <v>200104</v>
      </c>
      <c r="K211" s="22" t="s">
        <v>2959</v>
      </c>
      <c r="L211" s="22">
        <v>70205</v>
      </c>
      <c r="M211" s="23" t="s">
        <v>2961</v>
      </c>
      <c r="N211" s="24">
        <v>0</v>
      </c>
      <c r="O211" s="24">
        <v>0</v>
      </c>
      <c r="P211" s="24">
        <v>0</v>
      </c>
      <c r="Q211" s="24">
        <v>0</v>
      </c>
      <c r="R211" s="24">
        <v>0</v>
      </c>
      <c r="S211" s="24">
        <v>0</v>
      </c>
      <c r="T211" s="24">
        <v>0</v>
      </c>
      <c r="U211" s="24">
        <v>0</v>
      </c>
      <c r="V211" s="24">
        <v>0</v>
      </c>
      <c r="W211" s="24">
        <v>0</v>
      </c>
      <c r="X211" s="24">
        <v>135000</v>
      </c>
      <c r="Y211" s="24">
        <v>0</v>
      </c>
      <c r="Z211" s="24">
        <f t="shared" si="11"/>
        <v>135000</v>
      </c>
      <c r="AB211" s="25">
        <v>120000</v>
      </c>
      <c r="AC211" s="26">
        <v>120000</v>
      </c>
      <c r="AD211" s="24">
        <v>0</v>
      </c>
      <c r="AE211" s="27">
        <f>_xlfn.XLOOKUP(B211,'Projects Cashflow'!$B:$B,'Projects Cashflow'!$AG:$AG,0)</f>
        <v>120000</v>
      </c>
      <c r="AF211" s="28">
        <f t="shared" si="12"/>
        <v>0</v>
      </c>
    </row>
    <row r="212" spans="2:32" x14ac:dyDescent="0.3">
      <c r="B212" s="14" t="str">
        <f t="shared" si="10"/>
        <v>45112504511000063Pest Control-N422321200104</v>
      </c>
      <c r="C212" s="21" t="s">
        <v>65</v>
      </c>
      <c r="D212" s="22">
        <v>4511250</v>
      </c>
      <c r="E212" s="21" t="s">
        <v>66</v>
      </c>
      <c r="F212" s="22">
        <v>4511000063</v>
      </c>
      <c r="G212" s="21" t="s">
        <v>2983</v>
      </c>
      <c r="H212" s="21" t="s">
        <v>103</v>
      </c>
      <c r="I212" s="22">
        <v>422321</v>
      </c>
      <c r="J212" s="22">
        <v>200104</v>
      </c>
      <c r="K212" s="22" t="s">
        <v>2959</v>
      </c>
      <c r="L212" s="22">
        <v>70205</v>
      </c>
      <c r="M212" s="23" t="s">
        <v>2961</v>
      </c>
      <c r="N212" s="24">
        <v>0</v>
      </c>
      <c r="O212" s="24">
        <v>0</v>
      </c>
      <c r="P212" s="24">
        <v>0</v>
      </c>
      <c r="Q212" s="24">
        <v>20000</v>
      </c>
      <c r="R212" s="24">
        <v>10000</v>
      </c>
      <c r="S212" s="24">
        <v>10000</v>
      </c>
      <c r="T212" s="24">
        <v>10000</v>
      </c>
      <c r="U212" s="24">
        <v>10000</v>
      </c>
      <c r="V212" s="24">
        <v>10000</v>
      </c>
      <c r="W212" s="24">
        <v>10000</v>
      </c>
      <c r="X212" s="24">
        <v>12340</v>
      </c>
      <c r="Y212" s="24">
        <v>0</v>
      </c>
      <c r="Z212" s="24">
        <f t="shared" si="11"/>
        <v>92340</v>
      </c>
      <c r="AB212" s="25">
        <v>92340</v>
      </c>
      <c r="AC212" s="26">
        <v>92340</v>
      </c>
      <c r="AD212" s="24">
        <v>0</v>
      </c>
      <c r="AE212" s="27">
        <f>_xlfn.XLOOKUP(B212,'Projects Cashflow'!$B:$B,'Projects Cashflow'!$AG:$AG,0)</f>
        <v>92340</v>
      </c>
      <c r="AF212" s="28">
        <f t="shared" si="12"/>
        <v>0</v>
      </c>
    </row>
    <row r="213" spans="2:32" x14ac:dyDescent="0.3">
      <c r="B213" s="14" t="str">
        <f t="shared" si="10"/>
        <v>45112504511000063Hospitality-N424761200104</v>
      </c>
      <c r="C213" s="21" t="s">
        <v>65</v>
      </c>
      <c r="D213" s="22">
        <v>4511250</v>
      </c>
      <c r="E213" s="21" t="s">
        <v>66</v>
      </c>
      <c r="F213" s="22">
        <v>4511000063</v>
      </c>
      <c r="G213" s="21" t="s">
        <v>2983</v>
      </c>
      <c r="H213" s="21" t="s">
        <v>83</v>
      </c>
      <c r="I213" s="22">
        <v>424761</v>
      </c>
      <c r="J213" s="22">
        <v>200104</v>
      </c>
      <c r="K213" s="22" t="s">
        <v>2959</v>
      </c>
      <c r="L213" s="22">
        <v>70205</v>
      </c>
      <c r="M213" s="23" t="s">
        <v>2961</v>
      </c>
      <c r="N213" s="24">
        <v>0</v>
      </c>
      <c r="O213" s="24">
        <v>0</v>
      </c>
      <c r="P213" s="24">
        <v>0</v>
      </c>
      <c r="Q213" s="24">
        <v>30000</v>
      </c>
      <c r="R213" s="24">
        <v>10000</v>
      </c>
      <c r="S213" s="24">
        <v>10000</v>
      </c>
      <c r="T213" s="24">
        <v>10000</v>
      </c>
      <c r="U213" s="24">
        <v>10000</v>
      </c>
      <c r="V213" s="24">
        <v>10529</v>
      </c>
      <c r="W213" s="24">
        <v>0</v>
      </c>
      <c r="X213" s="24">
        <v>0</v>
      </c>
      <c r="Y213" s="24">
        <v>0</v>
      </c>
      <c r="Z213" s="24">
        <f t="shared" si="11"/>
        <v>80529</v>
      </c>
      <c r="AB213" s="25">
        <v>80529</v>
      </c>
      <c r="AC213" s="26">
        <v>80529</v>
      </c>
      <c r="AD213" s="24">
        <v>0</v>
      </c>
      <c r="AE213" s="27">
        <f>_xlfn.XLOOKUP(B213,'Projects Cashflow'!$B:$B,'Projects Cashflow'!$AG:$AG,0)</f>
        <v>80529</v>
      </c>
      <c r="AF213" s="28">
        <f t="shared" si="12"/>
        <v>0</v>
      </c>
    </row>
    <row r="214" spans="2:32" x14ac:dyDescent="0.3">
      <c r="B214" s="14" t="str">
        <f t="shared" si="10"/>
        <v>45112504511000064Lease Improve-N490600300105</v>
      </c>
      <c r="C214" s="21" t="s">
        <v>65</v>
      </c>
      <c r="D214" s="22">
        <v>4511250</v>
      </c>
      <c r="E214" s="21" t="s">
        <v>66</v>
      </c>
      <c r="F214" s="22">
        <v>4511000064</v>
      </c>
      <c r="G214" s="21" t="s">
        <v>2986</v>
      </c>
      <c r="H214" s="21" t="s">
        <v>89</v>
      </c>
      <c r="I214" s="22">
        <v>490600</v>
      </c>
      <c r="J214" s="22">
        <v>300105</v>
      </c>
      <c r="K214" s="22" t="s">
        <v>2972</v>
      </c>
      <c r="L214" s="22">
        <v>70205</v>
      </c>
      <c r="M214" s="23" t="s">
        <v>2961</v>
      </c>
      <c r="N214" s="24">
        <v>0</v>
      </c>
      <c r="O214" s="24">
        <v>0</v>
      </c>
      <c r="P214" s="24">
        <v>0</v>
      </c>
      <c r="Q214" s="24">
        <v>482713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f t="shared" si="11"/>
        <v>482713</v>
      </c>
      <c r="AB214" s="25">
        <v>482713</v>
      </c>
      <c r="AC214" s="26">
        <v>482713</v>
      </c>
      <c r="AD214" s="24">
        <v>0</v>
      </c>
      <c r="AE214" s="27">
        <f>_xlfn.XLOOKUP(B214,'Projects Cashflow'!$B:$B,'Projects Cashflow'!$AG:$AG,0)</f>
        <v>482713</v>
      </c>
      <c r="AF214" s="28">
        <f t="shared" si="12"/>
        <v>0</v>
      </c>
    </row>
    <row r="215" spans="2:32" x14ac:dyDescent="0.3">
      <c r="B215" s="14" t="str">
        <f t="shared" si="10"/>
        <v>45112504511000064Activation&amp;Prog-N422401200104</v>
      </c>
      <c r="C215" s="21" t="s">
        <v>65</v>
      </c>
      <c r="D215" s="22">
        <v>4511250</v>
      </c>
      <c r="E215" s="21" t="s">
        <v>66</v>
      </c>
      <c r="F215" s="22">
        <v>4511000064</v>
      </c>
      <c r="G215" s="21" t="s">
        <v>2986</v>
      </c>
      <c r="H215" s="21" t="s">
        <v>62</v>
      </c>
      <c r="I215" s="22">
        <v>422401</v>
      </c>
      <c r="J215" s="22">
        <v>200104</v>
      </c>
      <c r="K215" s="22" t="s">
        <v>2959</v>
      </c>
      <c r="L215" s="22">
        <v>70205</v>
      </c>
      <c r="M215" s="23" t="s">
        <v>2961</v>
      </c>
      <c r="N215" s="24">
        <v>0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s="24">
        <v>1350000</v>
      </c>
      <c r="Z215" s="24">
        <f t="shared" si="11"/>
        <v>1350000</v>
      </c>
      <c r="AB215" s="25">
        <v>1350000</v>
      </c>
      <c r="AC215" s="26">
        <v>1350000</v>
      </c>
      <c r="AD215" s="24">
        <v>0</v>
      </c>
      <c r="AE215" s="27">
        <f>_xlfn.XLOOKUP(B215,'Projects Cashflow'!$B:$B,'Projects Cashflow'!$AG:$AG,0)</f>
        <v>1350000</v>
      </c>
      <c r="AF215" s="28">
        <f t="shared" si="12"/>
        <v>0</v>
      </c>
    </row>
    <row r="216" spans="2:32" x14ac:dyDescent="0.3">
      <c r="B216" s="14" t="str">
        <f t="shared" si="10"/>
        <v>45112504511000283Manpower-N424521200104</v>
      </c>
      <c r="C216" s="21" t="s">
        <v>65</v>
      </c>
      <c r="D216" s="22">
        <v>4511250</v>
      </c>
      <c r="E216" s="21" t="s">
        <v>66</v>
      </c>
      <c r="F216" s="22">
        <v>4511000283</v>
      </c>
      <c r="G216" s="21" t="s">
        <v>377</v>
      </c>
      <c r="H216" s="21" t="s">
        <v>98</v>
      </c>
      <c r="I216" s="22">
        <v>424521</v>
      </c>
      <c r="J216" s="22">
        <v>200104</v>
      </c>
      <c r="K216" s="22" t="s">
        <v>2959</v>
      </c>
      <c r="L216" s="22">
        <v>70205</v>
      </c>
      <c r="M216" s="23" t="s">
        <v>2961</v>
      </c>
      <c r="N216" s="24">
        <v>0</v>
      </c>
      <c r="O216" s="24">
        <v>0</v>
      </c>
      <c r="P216" s="24">
        <v>0</v>
      </c>
      <c r="Q216" s="24">
        <v>829505</v>
      </c>
      <c r="R216" s="24">
        <v>207376.25</v>
      </c>
      <c r="S216" s="24">
        <v>207376.25</v>
      </c>
      <c r="T216" s="24">
        <v>207376.25</v>
      </c>
      <c r="U216" s="24">
        <v>207376.25</v>
      </c>
      <c r="V216" s="24">
        <v>207376.25</v>
      </c>
      <c r="W216" s="24">
        <v>207376.25</v>
      </c>
      <c r="X216" s="24">
        <v>207376.25</v>
      </c>
      <c r="Y216" s="24">
        <v>207376.25</v>
      </c>
      <c r="Z216" s="24">
        <f t="shared" si="11"/>
        <v>2488515</v>
      </c>
      <c r="AB216" s="25">
        <v>2501605</v>
      </c>
      <c r="AC216" s="26">
        <v>2501605</v>
      </c>
      <c r="AD216" s="24">
        <v>0</v>
      </c>
      <c r="AE216" s="27">
        <f>_xlfn.XLOOKUP(B216,'Projects Cashflow'!$B:$B,'Projects Cashflow'!$AG:$AG,0)</f>
        <v>2501605</v>
      </c>
      <c r="AF216" s="28">
        <f t="shared" si="12"/>
        <v>0</v>
      </c>
    </row>
    <row r="217" spans="2:32" x14ac:dyDescent="0.3">
      <c r="B217" s="14" t="str">
        <f t="shared" si="10"/>
        <v>45112504511000064Maintenance-N426212200104</v>
      </c>
      <c r="C217" s="21" t="s">
        <v>65</v>
      </c>
      <c r="D217" s="22">
        <v>4511250</v>
      </c>
      <c r="E217" s="21" t="s">
        <v>66</v>
      </c>
      <c r="F217" s="22">
        <v>4511000064</v>
      </c>
      <c r="G217" s="21" t="s">
        <v>2986</v>
      </c>
      <c r="H217" s="21" t="s">
        <v>95</v>
      </c>
      <c r="I217" s="22">
        <v>426212</v>
      </c>
      <c r="J217" s="22">
        <v>200104</v>
      </c>
      <c r="K217" s="22" t="s">
        <v>2959</v>
      </c>
      <c r="L217" s="22">
        <v>70205</v>
      </c>
      <c r="M217" s="23" t="s">
        <v>2961</v>
      </c>
      <c r="N217" s="24">
        <v>0</v>
      </c>
      <c r="O217" s="24">
        <v>0</v>
      </c>
      <c r="P217" s="24">
        <v>0</v>
      </c>
      <c r="Q217" s="24">
        <v>103601.99</v>
      </c>
      <c r="R217" s="24">
        <v>103601.99</v>
      </c>
      <c r="S217" s="24">
        <v>103601.99</v>
      </c>
      <c r="T217" s="24">
        <v>103601.99</v>
      </c>
      <c r="U217" s="24">
        <v>103601.99</v>
      </c>
      <c r="V217" s="24">
        <v>94031</v>
      </c>
      <c r="W217" s="24">
        <v>0</v>
      </c>
      <c r="X217" s="24">
        <v>0</v>
      </c>
      <c r="Y217" s="24">
        <v>0</v>
      </c>
      <c r="Z217" s="24">
        <f t="shared" si="11"/>
        <v>612040.94999999995</v>
      </c>
      <c r="AB217" s="25">
        <v>612040.94999999995</v>
      </c>
      <c r="AC217" s="26">
        <v>612041</v>
      </c>
      <c r="AD217" s="24">
        <v>-5.0000000046566129E-2</v>
      </c>
      <c r="AE217" s="27">
        <f>_xlfn.XLOOKUP(B217,'Projects Cashflow'!$B:$B,'Projects Cashflow'!$AG:$AG,0)</f>
        <v>612041</v>
      </c>
      <c r="AF217" s="28">
        <f t="shared" si="12"/>
        <v>5.0000000046566129E-2</v>
      </c>
    </row>
    <row r="218" spans="2:32" x14ac:dyDescent="0.3">
      <c r="B218" s="14" t="str">
        <f t="shared" si="10"/>
        <v>45112504511000064Security Service-N424551200104</v>
      </c>
      <c r="C218" s="21" t="s">
        <v>65</v>
      </c>
      <c r="D218" s="22">
        <v>4511250</v>
      </c>
      <c r="E218" s="21" t="s">
        <v>66</v>
      </c>
      <c r="F218" s="22">
        <v>4511000064</v>
      </c>
      <c r="G218" s="21" t="s">
        <v>2986</v>
      </c>
      <c r="H218" s="21" t="s">
        <v>107</v>
      </c>
      <c r="I218" s="22">
        <v>424551</v>
      </c>
      <c r="J218" s="22">
        <v>200104</v>
      </c>
      <c r="K218" s="22" t="s">
        <v>2959</v>
      </c>
      <c r="L218" s="22">
        <v>70205</v>
      </c>
      <c r="M218" s="23" t="s">
        <v>2961</v>
      </c>
      <c r="N218" s="24">
        <v>0</v>
      </c>
      <c r="O218" s="24">
        <v>0</v>
      </c>
      <c r="P218" s="24">
        <v>0</v>
      </c>
      <c r="Q218" s="24">
        <v>120000</v>
      </c>
      <c r="R218" s="24">
        <v>60000</v>
      </c>
      <c r="S218" s="24">
        <v>60000</v>
      </c>
      <c r="T218" s="24">
        <v>60000</v>
      </c>
      <c r="U218" s="24">
        <v>60000</v>
      </c>
      <c r="V218" s="24">
        <v>60000</v>
      </c>
      <c r="W218" s="24">
        <v>60000</v>
      </c>
      <c r="X218" s="24">
        <v>77135</v>
      </c>
      <c r="Y218" s="24">
        <v>0</v>
      </c>
      <c r="Z218" s="24">
        <f t="shared" si="11"/>
        <v>557135</v>
      </c>
      <c r="AB218" s="25">
        <v>557135</v>
      </c>
      <c r="AC218" s="26">
        <v>557135</v>
      </c>
      <c r="AD218" s="24">
        <v>0</v>
      </c>
      <c r="AE218" s="27">
        <f>_xlfn.XLOOKUP(B218,'Projects Cashflow'!$B:$B,'Projects Cashflow'!$AG:$AG,0)</f>
        <v>557135</v>
      </c>
      <c r="AF218" s="28">
        <f t="shared" si="12"/>
        <v>0</v>
      </c>
    </row>
    <row r="219" spans="2:32" x14ac:dyDescent="0.3">
      <c r="B219" s="14" t="str">
        <f t="shared" si="10"/>
        <v>45112504511000064Ad-hoc Repairs-N426427200104</v>
      </c>
      <c r="C219" s="21" t="s">
        <v>65</v>
      </c>
      <c r="D219" s="22">
        <v>4511250</v>
      </c>
      <c r="E219" s="21" t="s">
        <v>66</v>
      </c>
      <c r="F219" s="22">
        <v>4511000064</v>
      </c>
      <c r="G219" s="21" t="s">
        <v>2986</v>
      </c>
      <c r="H219" s="21" t="s">
        <v>70</v>
      </c>
      <c r="I219" s="22">
        <v>426427</v>
      </c>
      <c r="J219" s="22">
        <v>200104</v>
      </c>
      <c r="K219" s="22" t="s">
        <v>2959</v>
      </c>
      <c r="L219" s="22">
        <v>70205</v>
      </c>
      <c r="M219" s="23" t="s">
        <v>2961</v>
      </c>
      <c r="N219" s="24">
        <v>0</v>
      </c>
      <c r="O219" s="24">
        <v>0</v>
      </c>
      <c r="P219" s="24">
        <v>0</v>
      </c>
      <c r="Q219" s="24">
        <v>120000</v>
      </c>
      <c r="R219" s="24">
        <v>60000</v>
      </c>
      <c r="S219" s="24">
        <v>60000</v>
      </c>
      <c r="T219" s="24">
        <v>60000</v>
      </c>
      <c r="U219" s="24">
        <v>60000</v>
      </c>
      <c r="V219" s="24">
        <v>60000</v>
      </c>
      <c r="W219" s="24">
        <v>43872</v>
      </c>
      <c r="X219" s="24">
        <v>0</v>
      </c>
      <c r="Y219" s="24">
        <v>0</v>
      </c>
      <c r="Z219" s="24">
        <f t="shared" si="11"/>
        <v>463872</v>
      </c>
      <c r="AB219" s="25">
        <v>463872</v>
      </c>
      <c r="AC219" s="26">
        <v>463872</v>
      </c>
      <c r="AD219" s="24">
        <v>0</v>
      </c>
      <c r="AE219" s="27">
        <f>_xlfn.XLOOKUP(B219,'Projects Cashflow'!$B:$B,'Projects Cashflow'!$AG:$AG,0)</f>
        <v>463872</v>
      </c>
      <c r="AF219" s="28">
        <f t="shared" si="12"/>
        <v>0</v>
      </c>
    </row>
    <row r="220" spans="2:32" x14ac:dyDescent="0.3">
      <c r="B220" s="14" t="str">
        <f t="shared" si="10"/>
        <v>45112504511000064Cleaning Service-N422311200104</v>
      </c>
      <c r="C220" s="21" t="s">
        <v>65</v>
      </c>
      <c r="D220" s="22">
        <v>4511250</v>
      </c>
      <c r="E220" s="21" t="s">
        <v>66</v>
      </c>
      <c r="F220" s="22">
        <v>4511000064</v>
      </c>
      <c r="G220" s="21" t="s">
        <v>2986</v>
      </c>
      <c r="H220" s="21" t="s">
        <v>79</v>
      </c>
      <c r="I220" s="22">
        <v>422311</v>
      </c>
      <c r="J220" s="22">
        <v>200104</v>
      </c>
      <c r="K220" s="22" t="s">
        <v>2959</v>
      </c>
      <c r="L220" s="22">
        <v>70205</v>
      </c>
      <c r="M220" s="23" t="s">
        <v>2961</v>
      </c>
      <c r="N220" s="24">
        <v>0</v>
      </c>
      <c r="O220" s="24">
        <v>0</v>
      </c>
      <c r="P220" s="24">
        <v>0</v>
      </c>
      <c r="Q220" s="24">
        <v>60000</v>
      </c>
      <c r="R220" s="24">
        <v>30000</v>
      </c>
      <c r="S220" s="24">
        <v>30000</v>
      </c>
      <c r="T220" s="24">
        <v>30000</v>
      </c>
      <c r="U220" s="24">
        <v>30000</v>
      </c>
      <c r="V220" s="24">
        <v>30000</v>
      </c>
      <c r="W220" s="24">
        <v>30000</v>
      </c>
      <c r="X220" s="24">
        <v>48599</v>
      </c>
      <c r="Y220" s="24">
        <v>0</v>
      </c>
      <c r="Z220" s="24">
        <f t="shared" si="11"/>
        <v>288599</v>
      </c>
      <c r="AB220" s="25">
        <v>288599</v>
      </c>
      <c r="AC220" s="26">
        <v>288599</v>
      </c>
      <c r="AD220" s="24">
        <v>0</v>
      </c>
      <c r="AE220" s="27">
        <f>_xlfn.XLOOKUP(B220,'Projects Cashflow'!$B:$B,'Projects Cashflow'!$AG:$AG,0)</f>
        <v>288599</v>
      </c>
      <c r="AF220" s="28">
        <f t="shared" si="12"/>
        <v>0</v>
      </c>
    </row>
    <row r="221" spans="2:32" x14ac:dyDescent="0.3">
      <c r="B221" s="14" t="str">
        <f t="shared" si="10"/>
        <v>45112504511000064Landscaping-N432614200104</v>
      </c>
      <c r="C221" s="21" t="s">
        <v>65</v>
      </c>
      <c r="D221" s="22">
        <v>4511250</v>
      </c>
      <c r="E221" s="21" t="s">
        <v>66</v>
      </c>
      <c r="F221" s="22">
        <v>4511000064</v>
      </c>
      <c r="G221" s="21" t="s">
        <v>2986</v>
      </c>
      <c r="H221" s="21" t="s">
        <v>86</v>
      </c>
      <c r="I221" s="22">
        <v>432614</v>
      </c>
      <c r="J221" s="22">
        <v>200104</v>
      </c>
      <c r="K221" s="22" t="s">
        <v>2959</v>
      </c>
      <c r="L221" s="22">
        <v>70205</v>
      </c>
      <c r="M221" s="23" t="s">
        <v>2961</v>
      </c>
      <c r="N221" s="24">
        <v>0</v>
      </c>
      <c r="O221" s="24">
        <v>0</v>
      </c>
      <c r="P221" s="24">
        <v>0</v>
      </c>
      <c r="Q221" s="24">
        <v>60000</v>
      </c>
      <c r="R221" s="24">
        <v>30000</v>
      </c>
      <c r="S221" s="24">
        <v>30000</v>
      </c>
      <c r="T221" s="24">
        <v>30000</v>
      </c>
      <c r="U221" s="24">
        <v>30000</v>
      </c>
      <c r="V221" s="24">
        <v>30000</v>
      </c>
      <c r="W221" s="24">
        <v>30000</v>
      </c>
      <c r="X221" s="24">
        <v>36212</v>
      </c>
      <c r="Y221" s="24">
        <v>0</v>
      </c>
      <c r="Z221" s="24">
        <f t="shared" si="11"/>
        <v>276212</v>
      </c>
      <c r="AB221" s="25">
        <v>276212</v>
      </c>
      <c r="AC221" s="26">
        <v>276212</v>
      </c>
      <c r="AD221" s="24">
        <v>0</v>
      </c>
      <c r="AE221" s="27">
        <f>_xlfn.XLOOKUP(B221,'Projects Cashflow'!$B:$B,'Projects Cashflow'!$AG:$AG,0)</f>
        <v>276212</v>
      </c>
      <c r="AF221" s="28">
        <f t="shared" si="12"/>
        <v>0</v>
      </c>
    </row>
    <row r="222" spans="2:32" x14ac:dyDescent="0.3">
      <c r="B222" s="14" t="str">
        <f t="shared" si="10"/>
        <v>45112504511000064Hospitality-N424761200104</v>
      </c>
      <c r="C222" s="21" t="s">
        <v>65</v>
      </c>
      <c r="D222" s="22">
        <v>4511250</v>
      </c>
      <c r="E222" s="21" t="s">
        <v>66</v>
      </c>
      <c r="F222" s="22">
        <v>4511000064</v>
      </c>
      <c r="G222" s="21" t="s">
        <v>2986</v>
      </c>
      <c r="H222" s="21" t="s">
        <v>83</v>
      </c>
      <c r="I222" s="22">
        <v>424761</v>
      </c>
      <c r="J222" s="22">
        <v>200104</v>
      </c>
      <c r="K222" s="22" t="s">
        <v>2959</v>
      </c>
      <c r="L222" s="22">
        <v>70205</v>
      </c>
      <c r="M222" s="23" t="s">
        <v>2961</v>
      </c>
      <c r="N222" s="24">
        <v>0</v>
      </c>
      <c r="O222" s="24">
        <v>0</v>
      </c>
      <c r="P222" s="24">
        <v>0</v>
      </c>
      <c r="Q222" s="24">
        <v>40000</v>
      </c>
      <c r="R222" s="24">
        <v>20000</v>
      </c>
      <c r="S222" s="24">
        <v>20000</v>
      </c>
      <c r="T222" s="24">
        <v>20000</v>
      </c>
      <c r="U222" s="24">
        <v>20000</v>
      </c>
      <c r="V222" s="24">
        <v>20000</v>
      </c>
      <c r="W222" s="24">
        <v>5067</v>
      </c>
      <c r="X222" s="24">
        <v>0</v>
      </c>
      <c r="Y222" s="24">
        <v>0</v>
      </c>
      <c r="Z222" s="24">
        <f t="shared" si="11"/>
        <v>145067</v>
      </c>
      <c r="AB222" s="25">
        <v>145067</v>
      </c>
      <c r="AC222" s="26">
        <v>145067</v>
      </c>
      <c r="AD222" s="24">
        <v>0</v>
      </c>
      <c r="AE222" s="27">
        <f>_xlfn.XLOOKUP(B222,'Projects Cashflow'!$B:$B,'Projects Cashflow'!$AG:$AG,0)</f>
        <v>145067</v>
      </c>
      <c r="AF222" s="28">
        <f t="shared" si="12"/>
        <v>0</v>
      </c>
    </row>
    <row r="223" spans="2:32" x14ac:dyDescent="0.3">
      <c r="B223" s="14" t="str">
        <f t="shared" si="10"/>
        <v>45131304511001559General Retainer-L421125201931</v>
      </c>
      <c r="C223" s="21" t="s">
        <v>319</v>
      </c>
      <c r="D223" s="22">
        <v>4513130</v>
      </c>
      <c r="E223" s="21" t="s">
        <v>320</v>
      </c>
      <c r="F223" s="22">
        <v>4511001559</v>
      </c>
      <c r="G223" s="21" t="s">
        <v>2008</v>
      </c>
      <c r="H223" s="21" t="s">
        <v>557</v>
      </c>
      <c r="I223" s="22">
        <v>421125</v>
      </c>
      <c r="J223" s="22">
        <v>201931</v>
      </c>
      <c r="K223" s="22" t="s">
        <v>2959</v>
      </c>
      <c r="L223" s="22">
        <v>70601</v>
      </c>
      <c r="M223" s="23" t="s">
        <v>2960</v>
      </c>
      <c r="N223" s="24">
        <v>0</v>
      </c>
      <c r="O223" s="24">
        <v>0</v>
      </c>
      <c r="P223" s="24">
        <v>0</v>
      </c>
      <c r="Q223" s="24">
        <v>1188704</v>
      </c>
      <c r="R223" s="24">
        <v>297176</v>
      </c>
      <c r="S223" s="24">
        <v>297176</v>
      </c>
      <c r="T223" s="24">
        <v>297176</v>
      </c>
      <c r="U223" s="24">
        <v>297176</v>
      </c>
      <c r="V223" s="24">
        <v>297176</v>
      </c>
      <c r="W223" s="24">
        <v>297176</v>
      </c>
      <c r="X223" s="24">
        <v>297176</v>
      </c>
      <c r="Y223" s="24">
        <v>297176</v>
      </c>
      <c r="Z223" s="24">
        <f t="shared" si="11"/>
        <v>3566112</v>
      </c>
      <c r="AB223" s="25">
        <v>3566112</v>
      </c>
      <c r="AC223" s="26">
        <v>3566112</v>
      </c>
      <c r="AD223" s="24">
        <v>0</v>
      </c>
      <c r="AE223" s="27">
        <f>_xlfn.XLOOKUP(B223,'Projects Cashflow'!$B:$B,'Projects Cashflow'!$AG:$AG,0)</f>
        <v>3566112</v>
      </c>
      <c r="AF223" s="28">
        <f t="shared" si="12"/>
        <v>0</v>
      </c>
    </row>
    <row r="224" spans="2:32" x14ac:dyDescent="0.3">
      <c r="B224" s="14" t="str">
        <f t="shared" si="10"/>
        <v>45112504511000064Pest Control-N422321200104</v>
      </c>
      <c r="C224" s="21" t="s">
        <v>65</v>
      </c>
      <c r="D224" s="22">
        <v>4511250</v>
      </c>
      <c r="E224" s="21" t="s">
        <v>66</v>
      </c>
      <c r="F224" s="22">
        <v>4511000064</v>
      </c>
      <c r="G224" s="21" t="s">
        <v>2986</v>
      </c>
      <c r="H224" s="21" t="s">
        <v>103</v>
      </c>
      <c r="I224" s="22">
        <v>422321</v>
      </c>
      <c r="J224" s="22">
        <v>200104</v>
      </c>
      <c r="K224" s="22" t="s">
        <v>2959</v>
      </c>
      <c r="L224" s="22">
        <v>70205</v>
      </c>
      <c r="M224" s="23" t="s">
        <v>2961</v>
      </c>
      <c r="N224" s="24">
        <v>0</v>
      </c>
      <c r="O224" s="24">
        <v>0</v>
      </c>
      <c r="P224" s="24">
        <v>0</v>
      </c>
      <c r="Q224" s="24">
        <v>20000</v>
      </c>
      <c r="R224" s="24">
        <v>10000</v>
      </c>
      <c r="S224" s="24">
        <v>10000</v>
      </c>
      <c r="T224" s="24">
        <v>10000</v>
      </c>
      <c r="U224" s="24">
        <v>10000</v>
      </c>
      <c r="V224" s="24">
        <v>329</v>
      </c>
      <c r="W224" s="24">
        <v>0</v>
      </c>
      <c r="X224" s="24">
        <v>0</v>
      </c>
      <c r="Y224" s="24">
        <v>0</v>
      </c>
      <c r="Z224" s="24">
        <f t="shared" si="11"/>
        <v>60329</v>
      </c>
      <c r="AB224" s="25">
        <v>60329</v>
      </c>
      <c r="AC224" s="26">
        <v>60329</v>
      </c>
      <c r="AD224" s="24">
        <v>0</v>
      </c>
      <c r="AE224" s="27">
        <f>_xlfn.XLOOKUP(B224,'Projects Cashflow'!$B:$B,'Projects Cashflow'!$AG:$AG,0)</f>
        <v>60329</v>
      </c>
      <c r="AF224" s="28">
        <f t="shared" si="12"/>
        <v>0</v>
      </c>
    </row>
    <row r="225" spans="2:32" x14ac:dyDescent="0.3">
      <c r="B225" s="14" t="str">
        <f t="shared" si="10"/>
        <v>45112504511000086Freelancers-N424521200104</v>
      </c>
      <c r="C225" s="21" t="s">
        <v>65</v>
      </c>
      <c r="D225" s="22">
        <v>4511250</v>
      </c>
      <c r="E225" s="21" t="s">
        <v>66</v>
      </c>
      <c r="F225" s="22">
        <v>4511000086</v>
      </c>
      <c r="G225" s="21" t="s">
        <v>2987</v>
      </c>
      <c r="H225" s="21" t="s">
        <v>50</v>
      </c>
      <c r="I225" s="22">
        <v>424521</v>
      </c>
      <c r="J225" s="22">
        <v>200104</v>
      </c>
      <c r="K225" s="22" t="s">
        <v>2959</v>
      </c>
      <c r="L225" s="22">
        <v>70205</v>
      </c>
      <c r="M225" s="23" t="s">
        <v>2961</v>
      </c>
      <c r="N225" s="24">
        <v>0</v>
      </c>
      <c r="O225" s="24">
        <v>224000</v>
      </c>
      <c r="P225" s="24">
        <v>112000</v>
      </c>
      <c r="Q225" s="24">
        <v>112000</v>
      </c>
      <c r="R225" s="24">
        <v>112000</v>
      </c>
      <c r="S225" s="24">
        <v>112000</v>
      </c>
      <c r="T225" s="24">
        <v>112000</v>
      </c>
      <c r="U225" s="24">
        <v>112000</v>
      </c>
      <c r="V225" s="24">
        <v>112000</v>
      </c>
      <c r="W225" s="24">
        <v>112000</v>
      </c>
      <c r="X225" s="24">
        <v>112000</v>
      </c>
      <c r="Y225" s="24">
        <v>112000</v>
      </c>
      <c r="Z225" s="24">
        <f t="shared" si="11"/>
        <v>1344000</v>
      </c>
      <c r="AB225" s="25">
        <v>1344000</v>
      </c>
      <c r="AC225" s="26">
        <v>1344000</v>
      </c>
      <c r="AD225" s="24">
        <v>0</v>
      </c>
      <c r="AE225" s="27">
        <f>_xlfn.XLOOKUP(B225,'Projects Cashflow'!$B:$B,'Projects Cashflow'!$AG:$AG,0)</f>
        <v>1344000</v>
      </c>
      <c r="AF225" s="28">
        <f t="shared" si="12"/>
        <v>0</v>
      </c>
    </row>
    <row r="226" spans="2:32" x14ac:dyDescent="0.3">
      <c r="B226" s="14" t="str">
        <f t="shared" si="10"/>
        <v>45112504511000086Activation&amp;Prog-N422401200104</v>
      </c>
      <c r="C226" s="21" t="s">
        <v>65</v>
      </c>
      <c r="D226" s="22">
        <v>4511250</v>
      </c>
      <c r="E226" s="21" t="s">
        <v>66</v>
      </c>
      <c r="F226" s="22">
        <v>4511000086</v>
      </c>
      <c r="G226" s="21" t="s">
        <v>2987</v>
      </c>
      <c r="H226" s="21" t="s">
        <v>62</v>
      </c>
      <c r="I226" s="22">
        <v>422401</v>
      </c>
      <c r="J226" s="22">
        <v>200104</v>
      </c>
      <c r="K226" s="22" t="s">
        <v>2959</v>
      </c>
      <c r="L226" s="22">
        <v>70205</v>
      </c>
      <c r="M226" s="23" t="s">
        <v>2961</v>
      </c>
      <c r="N226" s="24">
        <v>0</v>
      </c>
      <c r="O226" s="24">
        <v>0</v>
      </c>
      <c r="P226" s="24">
        <v>0</v>
      </c>
      <c r="Q226" s="24">
        <v>29400</v>
      </c>
      <c r="R226" s="24">
        <v>40000</v>
      </c>
      <c r="S226" s="24">
        <v>0</v>
      </c>
      <c r="T226" s="24">
        <v>0</v>
      </c>
      <c r="U226" s="24">
        <v>0</v>
      </c>
      <c r="V226" s="24">
        <v>80000</v>
      </c>
      <c r="W226" s="24">
        <v>155000</v>
      </c>
      <c r="X226" s="24">
        <v>45000</v>
      </c>
      <c r="Y226" s="24">
        <v>91000</v>
      </c>
      <c r="Z226" s="24">
        <f t="shared" si="11"/>
        <v>440400</v>
      </c>
      <c r="AB226" s="25">
        <v>440400</v>
      </c>
      <c r="AC226" s="26">
        <v>440400</v>
      </c>
      <c r="AD226" s="24">
        <v>0</v>
      </c>
      <c r="AE226" s="27">
        <f>_xlfn.XLOOKUP(B226,'Projects Cashflow'!$B:$B,'Projects Cashflow'!$AG:$AG,0)</f>
        <v>440400</v>
      </c>
      <c r="AF226" s="28">
        <f t="shared" si="12"/>
        <v>0</v>
      </c>
    </row>
    <row r="227" spans="2:32" x14ac:dyDescent="0.3">
      <c r="B227" s="14" t="str">
        <f t="shared" si="10"/>
        <v>45112504511000086Manpower-N424521200104</v>
      </c>
      <c r="C227" s="21" t="s">
        <v>65</v>
      </c>
      <c r="D227" s="22">
        <v>4511250</v>
      </c>
      <c r="E227" s="21" t="s">
        <v>66</v>
      </c>
      <c r="F227" s="22">
        <v>4511000086</v>
      </c>
      <c r="G227" s="21" t="s">
        <v>2987</v>
      </c>
      <c r="H227" s="21" t="s">
        <v>98</v>
      </c>
      <c r="I227" s="22">
        <v>424521</v>
      </c>
      <c r="J227" s="22">
        <v>200104</v>
      </c>
      <c r="K227" s="22" t="s">
        <v>2959</v>
      </c>
      <c r="L227" s="22">
        <v>70205</v>
      </c>
      <c r="M227" s="23" t="s">
        <v>2961</v>
      </c>
      <c r="N227" s="24">
        <v>0</v>
      </c>
      <c r="O227" s="24">
        <v>0</v>
      </c>
      <c r="P227" s="24">
        <v>0</v>
      </c>
      <c r="Q227" s="24">
        <v>75012</v>
      </c>
      <c r="R227" s="24">
        <v>19396</v>
      </c>
      <c r="S227" s="24">
        <v>19396</v>
      </c>
      <c r="T227" s="24">
        <v>19396</v>
      </c>
      <c r="U227" s="24">
        <v>19396</v>
      </c>
      <c r="V227" s="24">
        <v>19396</v>
      </c>
      <c r="W227" s="24">
        <v>19396</v>
      </c>
      <c r="X227" s="24">
        <v>19396</v>
      </c>
      <c r="Y227" s="24">
        <v>19396</v>
      </c>
      <c r="Z227" s="24">
        <f t="shared" si="11"/>
        <v>230180</v>
      </c>
      <c r="AB227" s="25">
        <v>230180</v>
      </c>
      <c r="AC227" s="26">
        <v>230180</v>
      </c>
      <c r="AD227" s="24">
        <v>0</v>
      </c>
      <c r="AE227" s="27">
        <f>_xlfn.XLOOKUP(B227,'Projects Cashflow'!$B:$B,'Projects Cashflow'!$AG:$AG,0)</f>
        <v>230180</v>
      </c>
      <c r="AF227" s="28">
        <f t="shared" si="12"/>
        <v>0</v>
      </c>
    </row>
    <row r="228" spans="2:32" x14ac:dyDescent="0.3">
      <c r="B228" s="14" t="str">
        <f t="shared" si="10"/>
        <v>45112504511000820Manpower-N424521200104</v>
      </c>
      <c r="C228" s="21" t="s">
        <v>65</v>
      </c>
      <c r="D228" s="22">
        <v>4511250</v>
      </c>
      <c r="E228" s="21" t="s">
        <v>66</v>
      </c>
      <c r="F228" s="22">
        <v>4511000820</v>
      </c>
      <c r="G228" s="21" t="s">
        <v>1114</v>
      </c>
      <c r="H228" s="21" t="s">
        <v>98</v>
      </c>
      <c r="I228" s="22">
        <v>424521</v>
      </c>
      <c r="J228" s="22">
        <v>200104</v>
      </c>
      <c r="K228" s="22" t="s">
        <v>2959</v>
      </c>
      <c r="L228" s="22">
        <v>70205</v>
      </c>
      <c r="M228" s="23" t="s">
        <v>2961</v>
      </c>
      <c r="N228" s="24">
        <v>0</v>
      </c>
      <c r="O228" s="26">
        <v>243456.71</v>
      </c>
      <c r="P228" s="24">
        <v>0</v>
      </c>
      <c r="Q228" s="24">
        <v>838470.31</v>
      </c>
      <c r="R228" s="24">
        <v>279490.01</v>
      </c>
      <c r="S228" s="24">
        <v>279490.01</v>
      </c>
      <c r="T228" s="24">
        <v>279490.01</v>
      </c>
      <c r="U228" s="24">
        <v>279490.01</v>
      </c>
      <c r="V228" s="24">
        <v>279490.01</v>
      </c>
      <c r="W228" s="24">
        <v>279490.01</v>
      </c>
      <c r="X228" s="24">
        <v>279490.01</v>
      </c>
      <c r="Y228" s="24">
        <v>279490.01</v>
      </c>
      <c r="Z228" s="24">
        <f t="shared" si="11"/>
        <v>3317847.0999999996</v>
      </c>
      <c r="AB228" s="25">
        <v>3317847.0999999996</v>
      </c>
      <c r="AC228" s="26">
        <v>3317847</v>
      </c>
      <c r="AD228" s="24">
        <v>9.999999962747097E-2</v>
      </c>
      <c r="AE228" s="27">
        <f>_xlfn.XLOOKUP(B228,'Projects Cashflow'!$B:$B,'Projects Cashflow'!$AG:$AG,0)</f>
        <v>3317847</v>
      </c>
      <c r="AF228" s="28">
        <f t="shared" si="12"/>
        <v>-9.999999962747097E-2</v>
      </c>
    </row>
    <row r="229" spans="2:32" x14ac:dyDescent="0.3">
      <c r="B229" s="14" t="str">
        <f t="shared" si="10"/>
        <v>45112504511000186Utilities-N423931200104</v>
      </c>
      <c r="C229" s="21" t="s">
        <v>65</v>
      </c>
      <c r="D229" s="22">
        <v>4511250</v>
      </c>
      <c r="E229" s="21" t="s">
        <v>66</v>
      </c>
      <c r="F229" s="22">
        <v>4511000186</v>
      </c>
      <c r="G229" s="21" t="s">
        <v>2988</v>
      </c>
      <c r="H229" s="21" t="s">
        <v>110</v>
      </c>
      <c r="I229" s="22">
        <v>423931</v>
      </c>
      <c r="J229" s="22">
        <v>200104</v>
      </c>
      <c r="K229" s="22" t="s">
        <v>2959</v>
      </c>
      <c r="L229" s="22">
        <v>70205</v>
      </c>
      <c r="M229" s="23" t="s">
        <v>2961</v>
      </c>
      <c r="N229" s="24">
        <v>0</v>
      </c>
      <c r="O229" s="24">
        <v>0</v>
      </c>
      <c r="P229" s="24">
        <v>0</v>
      </c>
      <c r="Q229" s="24">
        <v>40000</v>
      </c>
      <c r="R229" s="24">
        <v>20000</v>
      </c>
      <c r="S229" s="24">
        <v>30000</v>
      </c>
      <c r="T229" s="24">
        <v>30000</v>
      </c>
      <c r="U229" s="24">
        <v>30000</v>
      </c>
      <c r="V229" s="24">
        <v>30000</v>
      </c>
      <c r="W229" s="24">
        <v>30000</v>
      </c>
      <c r="X229" s="24">
        <v>37416</v>
      </c>
      <c r="Y229" s="24">
        <v>0</v>
      </c>
      <c r="Z229" s="24">
        <f t="shared" si="11"/>
        <v>247416</v>
      </c>
      <c r="AB229" s="25">
        <v>247416</v>
      </c>
      <c r="AC229" s="26">
        <v>247416</v>
      </c>
      <c r="AD229" s="24">
        <v>0</v>
      </c>
      <c r="AE229" s="27">
        <f>_xlfn.XLOOKUP(B229,'Projects Cashflow'!$B:$B,'Projects Cashflow'!$AG:$AG,0)</f>
        <v>247416</v>
      </c>
      <c r="AF229" s="28">
        <f t="shared" si="12"/>
        <v>0</v>
      </c>
    </row>
    <row r="230" spans="2:32" x14ac:dyDescent="0.3">
      <c r="B230" s="14" t="str">
        <f t="shared" si="10"/>
        <v>45112504511000187Lease Improve-N490600300105</v>
      </c>
      <c r="C230" s="21" t="s">
        <v>65</v>
      </c>
      <c r="D230" s="22">
        <v>4511250</v>
      </c>
      <c r="E230" s="21" t="s">
        <v>66</v>
      </c>
      <c r="F230" s="22">
        <v>4511000187</v>
      </c>
      <c r="G230" s="21" t="s">
        <v>2989</v>
      </c>
      <c r="H230" s="21" t="s">
        <v>89</v>
      </c>
      <c r="I230" s="22">
        <v>490600</v>
      </c>
      <c r="J230" s="22">
        <v>300105</v>
      </c>
      <c r="K230" s="22" t="s">
        <v>2972</v>
      </c>
      <c r="L230" s="22">
        <v>70205</v>
      </c>
      <c r="M230" s="23" t="s">
        <v>2961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967287</v>
      </c>
      <c r="V230" s="24">
        <v>0</v>
      </c>
      <c r="W230" s="24">
        <v>0</v>
      </c>
      <c r="X230" s="24">
        <v>0</v>
      </c>
      <c r="Y230" s="24">
        <v>0</v>
      </c>
      <c r="Z230" s="24">
        <f t="shared" si="11"/>
        <v>967287</v>
      </c>
      <c r="AB230" s="25">
        <v>967287</v>
      </c>
      <c r="AC230" s="26">
        <v>967287</v>
      </c>
      <c r="AD230" s="24">
        <v>0</v>
      </c>
      <c r="AE230" s="27">
        <f>_xlfn.XLOOKUP(B230,'Projects Cashflow'!$B:$B,'Projects Cashflow'!$AG:$AG,0)</f>
        <v>967287</v>
      </c>
      <c r="AF230" s="28">
        <f t="shared" si="12"/>
        <v>0</v>
      </c>
    </row>
    <row r="231" spans="2:32" x14ac:dyDescent="0.3">
      <c r="B231" s="14" t="str">
        <f t="shared" si="10"/>
        <v>45112504511000187Activation&amp;Prog-N422401200104</v>
      </c>
      <c r="C231" s="21" t="s">
        <v>65</v>
      </c>
      <c r="D231" s="22">
        <v>4511250</v>
      </c>
      <c r="E231" s="21" t="s">
        <v>66</v>
      </c>
      <c r="F231" s="22">
        <v>4511000187</v>
      </c>
      <c r="G231" s="21" t="s">
        <v>2989</v>
      </c>
      <c r="H231" s="21" t="s">
        <v>62</v>
      </c>
      <c r="I231" s="22">
        <v>422401</v>
      </c>
      <c r="J231" s="22">
        <v>200104</v>
      </c>
      <c r="K231" s="22" t="s">
        <v>2959</v>
      </c>
      <c r="L231" s="22">
        <v>70205</v>
      </c>
      <c r="M231" s="23" t="s">
        <v>2961</v>
      </c>
      <c r="N231" s="24">
        <v>0</v>
      </c>
      <c r="O231" s="24">
        <v>0</v>
      </c>
      <c r="P231" s="24">
        <v>0</v>
      </c>
      <c r="Q231" s="24">
        <v>915000</v>
      </c>
      <c r="R231" s="24">
        <v>250000</v>
      </c>
      <c r="S231" s="24">
        <v>90000</v>
      </c>
      <c r="T231" s="24">
        <v>300000</v>
      </c>
      <c r="U231" s="24">
        <v>130000</v>
      </c>
      <c r="V231" s="24">
        <v>90000</v>
      </c>
      <c r="W231" s="24">
        <v>140000</v>
      </c>
      <c r="X231" s="24">
        <v>465000</v>
      </c>
      <c r="Y231" s="24">
        <v>180000</v>
      </c>
      <c r="Z231" s="24">
        <f t="shared" si="11"/>
        <v>2560000</v>
      </c>
      <c r="AB231" s="25">
        <v>2161760</v>
      </c>
      <c r="AC231" s="26">
        <v>2161760</v>
      </c>
      <c r="AD231" s="24">
        <v>0</v>
      </c>
      <c r="AE231" s="27">
        <f>_xlfn.XLOOKUP(B231,'Projects Cashflow'!$B:$B,'Projects Cashflow'!$AG:$AG,0)</f>
        <v>2161760</v>
      </c>
      <c r="AF231" s="28">
        <f t="shared" si="12"/>
        <v>0</v>
      </c>
    </row>
    <row r="232" spans="2:32" x14ac:dyDescent="0.3">
      <c r="B232" s="14" t="str">
        <f t="shared" si="10"/>
        <v>45112504511000187Maintenance-N426212200104</v>
      </c>
      <c r="C232" s="21" t="s">
        <v>65</v>
      </c>
      <c r="D232" s="22">
        <v>4511250</v>
      </c>
      <c r="E232" s="21" t="s">
        <v>66</v>
      </c>
      <c r="F232" s="22">
        <v>4511000187</v>
      </c>
      <c r="G232" s="21" t="s">
        <v>2989</v>
      </c>
      <c r="H232" s="21" t="s">
        <v>95</v>
      </c>
      <c r="I232" s="22">
        <v>426212</v>
      </c>
      <c r="J232" s="22">
        <v>200104</v>
      </c>
      <c r="K232" s="22" t="s">
        <v>2959</v>
      </c>
      <c r="L232" s="22">
        <v>70205</v>
      </c>
      <c r="M232" s="23" t="s">
        <v>2961</v>
      </c>
      <c r="N232" s="24">
        <v>0</v>
      </c>
      <c r="O232" s="24">
        <v>0</v>
      </c>
      <c r="P232" s="24">
        <v>0</v>
      </c>
      <c r="Q232" s="24">
        <v>634615.02</v>
      </c>
      <c r="R232" s="24">
        <v>211538.34</v>
      </c>
      <c r="S232" s="24">
        <v>211538.34</v>
      </c>
      <c r="T232" s="24">
        <v>211538.34</v>
      </c>
      <c r="U232" s="24">
        <v>211538.34</v>
      </c>
      <c r="V232" s="24">
        <v>211538.34</v>
      </c>
      <c r="W232" s="24">
        <v>211538.34</v>
      </c>
      <c r="X232" s="24">
        <v>245104</v>
      </c>
      <c r="Y232" s="24">
        <v>0</v>
      </c>
      <c r="Z232" s="24">
        <f t="shared" si="11"/>
        <v>2148949.0600000005</v>
      </c>
      <c r="AB232" s="25">
        <v>2148949.0600000005</v>
      </c>
      <c r="AC232" s="26">
        <v>2148949.44</v>
      </c>
      <c r="AD232" s="24">
        <v>-0.37999999942258</v>
      </c>
      <c r="AE232" s="27">
        <f>_xlfn.XLOOKUP(B232,'Projects Cashflow'!$B:$B,'Projects Cashflow'!$AG:$AG,0)</f>
        <v>2148949.44</v>
      </c>
      <c r="AF232" s="28">
        <f t="shared" si="12"/>
        <v>0.37999999942258</v>
      </c>
    </row>
    <row r="233" spans="2:32" x14ac:dyDescent="0.3">
      <c r="B233" s="14" t="str">
        <f t="shared" si="10"/>
        <v>45112504511000187Utilities-N423931200104</v>
      </c>
      <c r="C233" s="21" t="s">
        <v>65</v>
      </c>
      <c r="D233" s="22">
        <v>4511250</v>
      </c>
      <c r="E233" s="21" t="s">
        <v>66</v>
      </c>
      <c r="F233" s="22">
        <v>4511000187</v>
      </c>
      <c r="G233" s="21" t="s">
        <v>2989</v>
      </c>
      <c r="H233" s="21" t="s">
        <v>110</v>
      </c>
      <c r="I233" s="22">
        <v>423931</v>
      </c>
      <c r="J233" s="22">
        <v>200104</v>
      </c>
      <c r="K233" s="22" t="s">
        <v>2959</v>
      </c>
      <c r="L233" s="22">
        <v>70205</v>
      </c>
      <c r="M233" s="23" t="s">
        <v>2961</v>
      </c>
      <c r="N233" s="24">
        <v>0</v>
      </c>
      <c r="O233" s="24">
        <v>0</v>
      </c>
      <c r="P233" s="24">
        <v>0</v>
      </c>
      <c r="Q233" s="24">
        <v>577544</v>
      </c>
      <c r="R233" s="24">
        <v>288772</v>
      </c>
      <c r="S233" s="24">
        <v>288772</v>
      </c>
      <c r="T233" s="24">
        <v>288772</v>
      </c>
      <c r="U233" s="24">
        <v>288772</v>
      </c>
      <c r="V233" s="24">
        <v>304185</v>
      </c>
      <c r="W233" s="24">
        <v>0</v>
      </c>
      <c r="X233" s="24">
        <v>0</v>
      </c>
      <c r="Y233" s="24">
        <v>0</v>
      </c>
      <c r="Z233" s="24">
        <f t="shared" si="11"/>
        <v>2036817</v>
      </c>
      <c r="AB233" s="25">
        <v>2036817</v>
      </c>
      <c r="AC233" s="26">
        <v>2036817.09</v>
      </c>
      <c r="AD233" s="24">
        <v>-9.0000000083819032E-2</v>
      </c>
      <c r="AE233" s="27">
        <f>_xlfn.XLOOKUP(B233,'Projects Cashflow'!$B:$B,'Projects Cashflow'!$AG:$AG,0)</f>
        <v>2036817.09</v>
      </c>
      <c r="AF233" s="28">
        <f t="shared" si="12"/>
        <v>9.0000000083819032E-2</v>
      </c>
    </row>
    <row r="234" spans="2:32" x14ac:dyDescent="0.3">
      <c r="B234" s="14" t="str">
        <f t="shared" si="10"/>
        <v>45112504511000526Manpower-N424521200104</v>
      </c>
      <c r="C234" s="21" t="s">
        <v>65</v>
      </c>
      <c r="D234" s="22">
        <v>4511250</v>
      </c>
      <c r="E234" s="21" t="s">
        <v>66</v>
      </c>
      <c r="F234" s="22">
        <v>4511000526</v>
      </c>
      <c r="G234" s="21" t="s">
        <v>2990</v>
      </c>
      <c r="H234" s="21" t="s">
        <v>98</v>
      </c>
      <c r="I234" s="22">
        <v>424521</v>
      </c>
      <c r="J234" s="22">
        <v>200104</v>
      </c>
      <c r="K234" s="22" t="s">
        <v>2959</v>
      </c>
      <c r="L234" s="22">
        <v>70205</v>
      </c>
      <c r="M234" s="23" t="s">
        <v>2961</v>
      </c>
      <c r="N234" s="24">
        <v>0</v>
      </c>
      <c r="O234" s="24">
        <v>0</v>
      </c>
      <c r="P234" s="24">
        <v>268021.15999999997</v>
      </c>
      <c r="Q234" s="24">
        <v>134010.58000000002</v>
      </c>
      <c r="R234" s="24">
        <v>134010.57999999999</v>
      </c>
      <c r="S234" s="24">
        <v>134010.57999999999</v>
      </c>
      <c r="T234" s="24">
        <v>134010.57999999999</v>
      </c>
      <c r="U234" s="24">
        <v>134010.57999999999</v>
      </c>
      <c r="V234" s="24">
        <v>134010.57999999999</v>
      </c>
      <c r="W234" s="24">
        <v>134010.57999999999</v>
      </c>
      <c r="X234" s="24">
        <v>134010.57999999999</v>
      </c>
      <c r="Y234" s="24">
        <v>134010.57999999999</v>
      </c>
      <c r="Z234" s="24">
        <f t="shared" si="11"/>
        <v>1474116.3800000001</v>
      </c>
      <c r="AB234" s="25">
        <v>1474116.3800000001</v>
      </c>
      <c r="AC234" s="26">
        <v>1474116</v>
      </c>
      <c r="AD234" s="24">
        <v>0.38000000012107193</v>
      </c>
      <c r="AE234" s="27">
        <f>_xlfn.XLOOKUP(B234,'Projects Cashflow'!$B:$B,'Projects Cashflow'!$AG:$AG,0)</f>
        <v>1474116</v>
      </c>
      <c r="AF234" s="28">
        <f t="shared" si="12"/>
        <v>-0.38000000012107193</v>
      </c>
    </row>
    <row r="235" spans="2:32" x14ac:dyDescent="0.3">
      <c r="B235" s="14" t="str">
        <f t="shared" si="10"/>
        <v>45112504511000187Cleaning Service-N422311200104</v>
      </c>
      <c r="C235" s="21" t="s">
        <v>65</v>
      </c>
      <c r="D235" s="22">
        <v>4511250</v>
      </c>
      <c r="E235" s="21" t="s">
        <v>66</v>
      </c>
      <c r="F235" s="22">
        <v>4511000187</v>
      </c>
      <c r="G235" s="21" t="s">
        <v>2989</v>
      </c>
      <c r="H235" s="21" t="s">
        <v>79</v>
      </c>
      <c r="I235" s="22">
        <v>422311</v>
      </c>
      <c r="J235" s="22">
        <v>200104</v>
      </c>
      <c r="K235" s="22" t="s">
        <v>2959</v>
      </c>
      <c r="L235" s="22">
        <v>70205</v>
      </c>
      <c r="M235" s="23" t="s">
        <v>2961</v>
      </c>
      <c r="N235" s="24">
        <v>0</v>
      </c>
      <c r="O235" s="24">
        <v>0</v>
      </c>
      <c r="P235" s="24">
        <v>0</v>
      </c>
      <c r="Q235" s="24">
        <v>265584.25</v>
      </c>
      <c r="R235" s="24">
        <v>88528.083333333328</v>
      </c>
      <c r="S235" s="24">
        <v>88528.083333333328</v>
      </c>
      <c r="T235" s="24">
        <v>88528.083333333328</v>
      </c>
      <c r="U235" s="24">
        <v>88528.083333333328</v>
      </c>
      <c r="V235" s="24">
        <v>88528.083333333328</v>
      </c>
      <c r="W235" s="24">
        <v>88528.083333333328</v>
      </c>
      <c r="X235" s="24">
        <v>88528.083333333328</v>
      </c>
      <c r="Y235" s="24">
        <v>177056.16666666666</v>
      </c>
      <c r="Z235" s="24">
        <f t="shared" si="11"/>
        <v>1062337.0000000002</v>
      </c>
      <c r="AB235" s="25">
        <v>1062337.0000000002</v>
      </c>
      <c r="AC235" s="26">
        <v>1062336.6000000001</v>
      </c>
      <c r="AD235" s="24">
        <v>0.40000000013969839</v>
      </c>
      <c r="AE235" s="27">
        <f>_xlfn.XLOOKUP(B235,'Projects Cashflow'!$B:$B,'Projects Cashflow'!$AG:$AG,0)</f>
        <v>1062336.6000000001</v>
      </c>
      <c r="AF235" s="28">
        <f t="shared" si="12"/>
        <v>-0.40000000013969839</v>
      </c>
    </row>
    <row r="236" spans="2:32" x14ac:dyDescent="0.3">
      <c r="B236" s="14" t="str">
        <f t="shared" si="10"/>
        <v>45112504511000187Security Service-N424551200104</v>
      </c>
      <c r="C236" s="21" t="s">
        <v>65</v>
      </c>
      <c r="D236" s="22">
        <v>4511250</v>
      </c>
      <c r="E236" s="21" t="s">
        <v>66</v>
      </c>
      <c r="F236" s="22">
        <v>4511000187</v>
      </c>
      <c r="G236" s="21" t="s">
        <v>2989</v>
      </c>
      <c r="H236" s="21" t="s">
        <v>107</v>
      </c>
      <c r="I236" s="22">
        <v>424551</v>
      </c>
      <c r="J236" s="22">
        <v>200104</v>
      </c>
      <c r="K236" s="22" t="s">
        <v>2959</v>
      </c>
      <c r="L236" s="22">
        <v>70205</v>
      </c>
      <c r="M236" s="23" t="s">
        <v>2961</v>
      </c>
      <c r="N236" s="24">
        <v>0</v>
      </c>
      <c r="O236" s="24">
        <v>0</v>
      </c>
      <c r="P236" s="24">
        <v>0</v>
      </c>
      <c r="Q236" s="24">
        <v>268650</v>
      </c>
      <c r="R236" s="24">
        <v>89550</v>
      </c>
      <c r="S236" s="24">
        <v>89550</v>
      </c>
      <c r="T236" s="24">
        <v>89550</v>
      </c>
      <c r="U236" s="24">
        <v>89550</v>
      </c>
      <c r="V236" s="24">
        <v>89550</v>
      </c>
      <c r="W236" s="24">
        <v>89550</v>
      </c>
      <c r="X236" s="24">
        <v>25555</v>
      </c>
      <c r="Y236" s="24">
        <v>0</v>
      </c>
      <c r="Z236" s="24">
        <f t="shared" si="11"/>
        <v>831505</v>
      </c>
      <c r="AB236" s="25">
        <v>837746</v>
      </c>
      <c r="AC236" s="26">
        <v>837745.5</v>
      </c>
      <c r="AD236" s="24">
        <v>0.5</v>
      </c>
      <c r="AE236" s="27">
        <f>_xlfn.XLOOKUP(B236,'Projects Cashflow'!$B:$B,'Projects Cashflow'!$AG:$AG,0)</f>
        <v>837745.5</v>
      </c>
      <c r="AF236" s="28">
        <f t="shared" si="12"/>
        <v>-0.5</v>
      </c>
    </row>
    <row r="237" spans="2:32" x14ac:dyDescent="0.3">
      <c r="B237" s="14" t="str">
        <f t="shared" si="10"/>
        <v>45112504511000187Landscaping-N432614200104</v>
      </c>
      <c r="C237" s="21" t="s">
        <v>65</v>
      </c>
      <c r="D237" s="22">
        <v>4511250</v>
      </c>
      <c r="E237" s="21" t="s">
        <v>66</v>
      </c>
      <c r="F237" s="22">
        <v>4511000187</v>
      </c>
      <c r="G237" s="21" t="s">
        <v>2989</v>
      </c>
      <c r="H237" s="21" t="s">
        <v>86</v>
      </c>
      <c r="I237" s="22">
        <v>432614</v>
      </c>
      <c r="J237" s="22">
        <v>200104</v>
      </c>
      <c r="K237" s="22" t="s">
        <v>2959</v>
      </c>
      <c r="L237" s="22">
        <v>70205</v>
      </c>
      <c r="M237" s="23" t="s">
        <v>2961</v>
      </c>
      <c r="N237" s="24">
        <v>0</v>
      </c>
      <c r="O237" s="24">
        <v>0</v>
      </c>
      <c r="P237" s="24">
        <v>0</v>
      </c>
      <c r="Q237" s="24">
        <v>154363.74</v>
      </c>
      <c r="R237" s="24">
        <v>51454.58</v>
      </c>
      <c r="S237" s="24">
        <v>51454.58</v>
      </c>
      <c r="T237" s="24">
        <v>51454.58</v>
      </c>
      <c r="U237" s="24">
        <v>51454.58</v>
      </c>
      <c r="V237" s="24">
        <v>51454.58</v>
      </c>
      <c r="W237" s="24">
        <v>51454.58</v>
      </c>
      <c r="X237" s="24">
        <v>51454.58</v>
      </c>
      <c r="Y237" s="24">
        <v>102904</v>
      </c>
      <c r="Z237" s="24">
        <f t="shared" si="11"/>
        <v>617449.80000000005</v>
      </c>
      <c r="AB237" s="25">
        <v>617449.80000000005</v>
      </c>
      <c r="AC237" s="26">
        <v>617449.5</v>
      </c>
      <c r="AD237" s="24">
        <v>0.30000000004656613</v>
      </c>
      <c r="AE237" s="27">
        <f>_xlfn.XLOOKUP(B237,'Projects Cashflow'!$B:$B,'Projects Cashflow'!$AG:$AG,0)</f>
        <v>617449.5</v>
      </c>
      <c r="AF237" s="28">
        <f t="shared" si="12"/>
        <v>-0.30000000004656613</v>
      </c>
    </row>
    <row r="238" spans="2:32" x14ac:dyDescent="0.3">
      <c r="B238" s="14" t="str">
        <f t="shared" si="10"/>
        <v>45112504511000187Admin Expenses-N1421125200104</v>
      </c>
      <c r="C238" s="21" t="s">
        <v>65</v>
      </c>
      <c r="D238" s="22">
        <v>4511250</v>
      </c>
      <c r="E238" s="21" t="s">
        <v>66</v>
      </c>
      <c r="F238" s="22">
        <v>4511000187</v>
      </c>
      <c r="G238" s="21" t="s">
        <v>2989</v>
      </c>
      <c r="H238" s="21" t="s">
        <v>73</v>
      </c>
      <c r="I238" s="22">
        <v>421125</v>
      </c>
      <c r="J238" s="22">
        <v>200104</v>
      </c>
      <c r="K238" s="22" t="s">
        <v>2959</v>
      </c>
      <c r="L238" s="22">
        <v>70205</v>
      </c>
      <c r="M238" s="23" t="s">
        <v>2961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124000</v>
      </c>
      <c r="U238" s="24">
        <v>0</v>
      </c>
      <c r="V238" s="24">
        <v>0</v>
      </c>
      <c r="W238" s="24">
        <v>0</v>
      </c>
      <c r="X238" s="24">
        <v>0</v>
      </c>
      <c r="Y238" s="24">
        <v>200000</v>
      </c>
      <c r="Z238" s="24">
        <f t="shared" si="11"/>
        <v>324000</v>
      </c>
      <c r="AB238" s="25">
        <v>324000</v>
      </c>
      <c r="AC238" s="26">
        <v>324000</v>
      </c>
      <c r="AD238" s="24">
        <v>0</v>
      </c>
      <c r="AE238" s="27">
        <f>_xlfn.XLOOKUP(B238,'Projects Cashflow'!$B:$B,'Projects Cashflow'!$AG:$AG,0)</f>
        <v>324000</v>
      </c>
      <c r="AF238" s="28">
        <f t="shared" si="12"/>
        <v>0</v>
      </c>
    </row>
    <row r="239" spans="2:32" x14ac:dyDescent="0.3">
      <c r="B239" s="14" t="str">
        <f t="shared" si="10"/>
        <v>45112504511000187Freelancers-N424521200104</v>
      </c>
      <c r="C239" s="21" t="s">
        <v>65</v>
      </c>
      <c r="D239" s="22">
        <v>4511250</v>
      </c>
      <c r="E239" s="21" t="s">
        <v>66</v>
      </c>
      <c r="F239" s="22">
        <v>4511000187</v>
      </c>
      <c r="G239" s="21" t="s">
        <v>2989</v>
      </c>
      <c r="H239" s="21" t="s">
        <v>50</v>
      </c>
      <c r="I239" s="22">
        <v>424521</v>
      </c>
      <c r="J239" s="22">
        <v>200104</v>
      </c>
      <c r="K239" s="22" t="s">
        <v>2959</v>
      </c>
      <c r="L239" s="22">
        <v>70205</v>
      </c>
      <c r="M239" s="23" t="s">
        <v>2961</v>
      </c>
      <c r="N239" s="24">
        <v>0</v>
      </c>
      <c r="O239" s="24">
        <v>0</v>
      </c>
      <c r="P239" s="24">
        <v>36000</v>
      </c>
      <c r="Q239" s="24">
        <v>12000</v>
      </c>
      <c r="R239" s="24">
        <v>12000</v>
      </c>
      <c r="S239" s="24">
        <v>12000</v>
      </c>
      <c r="T239" s="24">
        <v>12000</v>
      </c>
      <c r="U239" s="24">
        <v>12000</v>
      </c>
      <c r="V239" s="24">
        <v>12000</v>
      </c>
      <c r="W239" s="24">
        <v>12000</v>
      </c>
      <c r="X239" s="24">
        <v>12000</v>
      </c>
      <c r="Y239" s="24">
        <v>12000</v>
      </c>
      <c r="Z239" s="24">
        <f t="shared" si="11"/>
        <v>144000</v>
      </c>
      <c r="AB239" s="25">
        <v>536000</v>
      </c>
      <c r="AC239" s="26">
        <v>536000</v>
      </c>
      <c r="AD239" s="24">
        <v>0</v>
      </c>
      <c r="AE239" s="27">
        <f>_xlfn.XLOOKUP(B239,'Projects Cashflow'!$B:$B,'Projects Cashflow'!$AG:$AG,0)</f>
        <v>536000</v>
      </c>
      <c r="AF239" s="28">
        <f t="shared" si="12"/>
        <v>0</v>
      </c>
    </row>
    <row r="240" spans="2:32" x14ac:dyDescent="0.3">
      <c r="B240" s="14" t="str">
        <f t="shared" si="10"/>
        <v>45112504511000187Pest Control-N422321200104</v>
      </c>
      <c r="C240" s="21" t="s">
        <v>65</v>
      </c>
      <c r="D240" s="22">
        <v>4511250</v>
      </c>
      <c r="E240" s="21" t="s">
        <v>66</v>
      </c>
      <c r="F240" s="22">
        <v>4511000187</v>
      </c>
      <c r="G240" s="21" t="s">
        <v>2989</v>
      </c>
      <c r="H240" s="21" t="s">
        <v>103</v>
      </c>
      <c r="I240" s="22">
        <v>422321</v>
      </c>
      <c r="J240" s="22">
        <v>200104</v>
      </c>
      <c r="K240" s="22" t="s">
        <v>2959</v>
      </c>
      <c r="L240" s="22">
        <v>70205</v>
      </c>
      <c r="M240" s="23" t="s">
        <v>2961</v>
      </c>
      <c r="N240" s="24">
        <v>0</v>
      </c>
      <c r="O240" s="24">
        <v>0</v>
      </c>
      <c r="P240" s="24">
        <v>0</v>
      </c>
      <c r="Q240" s="24">
        <v>31050</v>
      </c>
      <c r="R240" s="24">
        <v>10350</v>
      </c>
      <c r="S240" s="24">
        <v>10350</v>
      </c>
      <c r="T240" s="24">
        <v>10350</v>
      </c>
      <c r="U240" s="24">
        <v>10350</v>
      </c>
      <c r="V240" s="24">
        <v>10350</v>
      </c>
      <c r="W240" s="24">
        <v>10350</v>
      </c>
      <c r="X240" s="24">
        <v>10350</v>
      </c>
      <c r="Y240" s="24">
        <v>20700</v>
      </c>
      <c r="Z240" s="24">
        <f t="shared" si="11"/>
        <v>124200</v>
      </c>
      <c r="AB240" s="25">
        <v>124200</v>
      </c>
      <c r="AC240" s="26">
        <v>124200</v>
      </c>
      <c r="AD240" s="24">
        <v>0</v>
      </c>
      <c r="AE240" s="27">
        <f>_xlfn.XLOOKUP(B240,'Projects Cashflow'!$B:$B,'Projects Cashflow'!$AG:$AG,0)</f>
        <v>124200</v>
      </c>
      <c r="AF240" s="28">
        <f t="shared" si="12"/>
        <v>0</v>
      </c>
    </row>
    <row r="241" spans="2:32" x14ac:dyDescent="0.3">
      <c r="B241" s="14" t="str">
        <f t="shared" si="10"/>
        <v>45112504511000187Hospitality-N424761200104</v>
      </c>
      <c r="C241" s="21" t="s">
        <v>65</v>
      </c>
      <c r="D241" s="22">
        <v>4511250</v>
      </c>
      <c r="E241" s="21" t="s">
        <v>66</v>
      </c>
      <c r="F241" s="22">
        <v>4511000187</v>
      </c>
      <c r="G241" s="21" t="s">
        <v>2989</v>
      </c>
      <c r="H241" s="21" t="s">
        <v>83</v>
      </c>
      <c r="I241" s="22">
        <v>424761</v>
      </c>
      <c r="J241" s="22">
        <v>200104</v>
      </c>
      <c r="K241" s="22" t="s">
        <v>2959</v>
      </c>
      <c r="L241" s="22">
        <v>70205</v>
      </c>
      <c r="M241" s="23" t="s">
        <v>2961</v>
      </c>
      <c r="N241" s="24">
        <v>0</v>
      </c>
      <c r="O241" s="24">
        <v>0</v>
      </c>
      <c r="P241" s="24">
        <v>0</v>
      </c>
      <c r="Q241" s="24">
        <v>0</v>
      </c>
      <c r="R241" s="24">
        <v>0</v>
      </c>
      <c r="S241" s="24">
        <v>0</v>
      </c>
      <c r="T241" s="24">
        <v>0</v>
      </c>
      <c r="U241" s="24">
        <v>69455</v>
      </c>
      <c r="V241" s="24">
        <v>0</v>
      </c>
      <c r="W241" s="24">
        <v>0</v>
      </c>
      <c r="X241" s="24">
        <v>0</v>
      </c>
      <c r="Y241" s="24">
        <v>0</v>
      </c>
      <c r="Z241" s="24">
        <f t="shared" si="11"/>
        <v>69455</v>
      </c>
      <c r="AB241" s="25">
        <v>69455</v>
      </c>
      <c r="AC241" s="26">
        <v>69454.8</v>
      </c>
      <c r="AD241" s="24">
        <v>0.19999999999708962</v>
      </c>
      <c r="AE241" s="27">
        <f>_xlfn.XLOOKUP(B241,'Projects Cashflow'!$B:$B,'Projects Cashflow'!$AG:$AG,0)</f>
        <v>69454.8</v>
      </c>
      <c r="AF241" s="28">
        <f t="shared" si="12"/>
        <v>-0.19999999999708962</v>
      </c>
    </row>
    <row r="242" spans="2:32" x14ac:dyDescent="0.3">
      <c r="B242" s="14" t="str">
        <f t="shared" si="10"/>
        <v>45112504511000217Activation&amp;Prog-N422401200104</v>
      </c>
      <c r="C242" s="21" t="s">
        <v>65</v>
      </c>
      <c r="D242" s="22">
        <v>4511250</v>
      </c>
      <c r="E242" s="21" t="s">
        <v>66</v>
      </c>
      <c r="F242" s="22">
        <v>4511000217</v>
      </c>
      <c r="G242" s="21" t="s">
        <v>2991</v>
      </c>
      <c r="H242" s="21" t="s">
        <v>62</v>
      </c>
      <c r="I242" s="22">
        <v>422401</v>
      </c>
      <c r="J242" s="22">
        <v>200104</v>
      </c>
      <c r="K242" s="22" t="s">
        <v>2959</v>
      </c>
      <c r="L242" s="22">
        <v>70205</v>
      </c>
      <c r="M242" s="23" t="s">
        <v>2961</v>
      </c>
      <c r="N242" s="24">
        <v>0</v>
      </c>
      <c r="O242" s="24">
        <v>0</v>
      </c>
      <c r="P242" s="24">
        <v>0</v>
      </c>
      <c r="Q242" s="24">
        <v>350000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1503400</v>
      </c>
      <c r="Z242" s="24">
        <f t="shared" si="11"/>
        <v>1853400</v>
      </c>
      <c r="AB242" s="25">
        <v>1853400</v>
      </c>
      <c r="AC242" s="26">
        <v>1853400</v>
      </c>
      <c r="AD242" s="24">
        <v>0</v>
      </c>
      <c r="AE242" s="27">
        <f>_xlfn.XLOOKUP(B242,'Projects Cashflow'!$B:$B,'Projects Cashflow'!$AG:$AG,0)</f>
        <v>1853400</v>
      </c>
      <c r="AF242" s="28">
        <f t="shared" si="12"/>
        <v>0</v>
      </c>
    </row>
    <row r="243" spans="2:32" x14ac:dyDescent="0.3">
      <c r="B243" s="14" t="str">
        <f t="shared" si="10"/>
        <v>45112504511000217Security Service-N424551200104</v>
      </c>
      <c r="C243" s="21" t="s">
        <v>65</v>
      </c>
      <c r="D243" s="22">
        <v>4511250</v>
      </c>
      <c r="E243" s="21" t="s">
        <v>66</v>
      </c>
      <c r="F243" s="22">
        <v>4511000217</v>
      </c>
      <c r="G243" s="21" t="s">
        <v>2991</v>
      </c>
      <c r="H243" s="21" t="s">
        <v>107</v>
      </c>
      <c r="I243" s="22">
        <v>424551</v>
      </c>
      <c r="J243" s="22">
        <v>200104</v>
      </c>
      <c r="K243" s="22" t="s">
        <v>2959</v>
      </c>
      <c r="L243" s="22">
        <v>70205</v>
      </c>
      <c r="M243" s="23" t="s">
        <v>2961</v>
      </c>
      <c r="N243" s="24">
        <v>0</v>
      </c>
      <c r="O243" s="24">
        <v>0</v>
      </c>
      <c r="P243" s="24">
        <v>0</v>
      </c>
      <c r="Q243" s="24">
        <v>165000</v>
      </c>
      <c r="R243" s="24">
        <v>55000</v>
      </c>
      <c r="S243" s="24">
        <v>60000</v>
      </c>
      <c r="T243" s="24">
        <v>60000</v>
      </c>
      <c r="U243" s="24">
        <v>60000</v>
      </c>
      <c r="V243" s="24">
        <v>60000</v>
      </c>
      <c r="W243" s="24">
        <v>65000</v>
      </c>
      <c r="X243" s="24">
        <v>70000</v>
      </c>
      <c r="Y243" s="24">
        <v>52152</v>
      </c>
      <c r="Z243" s="24">
        <f t="shared" si="11"/>
        <v>647152</v>
      </c>
      <c r="AB243" s="25">
        <v>647152</v>
      </c>
      <c r="AC243" s="26">
        <v>647152</v>
      </c>
      <c r="AD243" s="24">
        <v>0</v>
      </c>
      <c r="AE243" s="27">
        <f>_xlfn.XLOOKUP(B243,'Projects Cashflow'!$B:$B,'Projects Cashflow'!$AG:$AG,0)</f>
        <v>647152</v>
      </c>
      <c r="AF243" s="28">
        <f t="shared" si="12"/>
        <v>0</v>
      </c>
    </row>
    <row r="244" spans="2:32" x14ac:dyDescent="0.3">
      <c r="B244" s="14" t="str">
        <f t="shared" si="10"/>
        <v>45112504511000583Activation&amp;Prog-N422401200104</v>
      </c>
      <c r="C244" s="21" t="s">
        <v>65</v>
      </c>
      <c r="D244" s="22">
        <v>4511250</v>
      </c>
      <c r="E244" s="21" t="s">
        <v>66</v>
      </c>
      <c r="F244" s="22">
        <v>4511000583</v>
      </c>
      <c r="G244" s="21" t="s">
        <v>2992</v>
      </c>
      <c r="H244" s="21" t="s">
        <v>62</v>
      </c>
      <c r="I244" s="22">
        <v>422401</v>
      </c>
      <c r="J244" s="22">
        <v>200104</v>
      </c>
      <c r="K244" s="22" t="s">
        <v>2959</v>
      </c>
      <c r="L244" s="22">
        <v>70205</v>
      </c>
      <c r="M244" s="23" t="s">
        <v>2961</v>
      </c>
      <c r="N244" s="24">
        <v>0</v>
      </c>
      <c r="O244" s="24">
        <v>0</v>
      </c>
      <c r="P244" s="24">
        <v>0</v>
      </c>
      <c r="Q244" s="24">
        <v>427400</v>
      </c>
      <c r="R244" s="24">
        <v>50000</v>
      </c>
      <c r="S244" s="24">
        <v>400000</v>
      </c>
      <c r="T244" s="24">
        <v>0</v>
      </c>
      <c r="U244" s="24">
        <v>0</v>
      </c>
      <c r="V244" s="24">
        <v>32600</v>
      </c>
      <c r="W244" s="24">
        <v>0</v>
      </c>
      <c r="X244" s="24">
        <v>290000</v>
      </c>
      <c r="Y244" s="24">
        <v>0</v>
      </c>
      <c r="Z244" s="24">
        <f t="shared" si="11"/>
        <v>1200000</v>
      </c>
      <c r="AB244" s="25">
        <v>1200000</v>
      </c>
      <c r="AC244" s="26">
        <v>1200000</v>
      </c>
      <c r="AD244" s="24">
        <v>0</v>
      </c>
      <c r="AE244" s="27">
        <f>_xlfn.XLOOKUP(B244,'Projects Cashflow'!$B:$B,'Projects Cashflow'!$AG:$AG,0)</f>
        <v>1200000</v>
      </c>
      <c r="AF244" s="28">
        <f t="shared" si="12"/>
        <v>0</v>
      </c>
    </row>
    <row r="245" spans="2:32" x14ac:dyDescent="0.3">
      <c r="B245" s="14" t="str">
        <f t="shared" si="10"/>
        <v>45112504511000217Maintenance-N426212200104</v>
      </c>
      <c r="C245" s="21" t="s">
        <v>65</v>
      </c>
      <c r="D245" s="22">
        <v>4511250</v>
      </c>
      <c r="E245" s="21" t="s">
        <v>66</v>
      </c>
      <c r="F245" s="22">
        <v>4511000217</v>
      </c>
      <c r="G245" s="21" t="s">
        <v>2991</v>
      </c>
      <c r="H245" s="21" t="s">
        <v>95</v>
      </c>
      <c r="I245" s="22">
        <v>426212</v>
      </c>
      <c r="J245" s="22">
        <v>200104</v>
      </c>
      <c r="K245" s="22" t="s">
        <v>2959</v>
      </c>
      <c r="L245" s="22">
        <v>70205</v>
      </c>
      <c r="M245" s="23" t="s">
        <v>2961</v>
      </c>
      <c r="N245" s="24">
        <v>0</v>
      </c>
      <c r="O245" s="24">
        <v>0</v>
      </c>
      <c r="P245" s="24">
        <v>0</v>
      </c>
      <c r="Q245" s="24">
        <v>120000</v>
      </c>
      <c r="R245" s="24">
        <v>60000</v>
      </c>
      <c r="S245" s="24">
        <v>60000</v>
      </c>
      <c r="T245" s="24">
        <v>60000</v>
      </c>
      <c r="U245" s="24">
        <v>60000</v>
      </c>
      <c r="V245" s="24">
        <v>60000</v>
      </c>
      <c r="W245" s="24">
        <v>2242</v>
      </c>
      <c r="X245" s="24">
        <v>0</v>
      </c>
      <c r="Y245" s="24">
        <v>0</v>
      </c>
      <c r="Z245" s="24">
        <f t="shared" si="11"/>
        <v>422242</v>
      </c>
      <c r="AB245" s="25">
        <v>422242</v>
      </c>
      <c r="AC245" s="26">
        <v>422242</v>
      </c>
      <c r="AD245" s="24">
        <v>0</v>
      </c>
      <c r="AE245" s="27">
        <f>_xlfn.XLOOKUP(B245,'Projects Cashflow'!$B:$B,'Projects Cashflow'!$AG:$AG,0)</f>
        <v>422242</v>
      </c>
      <c r="AF245" s="28">
        <f t="shared" si="12"/>
        <v>0</v>
      </c>
    </row>
    <row r="246" spans="2:32" x14ac:dyDescent="0.3">
      <c r="B246" s="14" t="str">
        <f t="shared" si="10"/>
        <v>45112504511000217Cleaning Service-N422311200104</v>
      </c>
      <c r="C246" s="21" t="s">
        <v>65</v>
      </c>
      <c r="D246" s="22">
        <v>4511250</v>
      </c>
      <c r="E246" s="21" t="s">
        <v>66</v>
      </c>
      <c r="F246" s="22">
        <v>4511000217</v>
      </c>
      <c r="G246" s="21" t="s">
        <v>2991</v>
      </c>
      <c r="H246" s="21" t="s">
        <v>79</v>
      </c>
      <c r="I246" s="22">
        <v>422311</v>
      </c>
      <c r="J246" s="22">
        <v>200104</v>
      </c>
      <c r="K246" s="22" t="s">
        <v>2959</v>
      </c>
      <c r="L246" s="22">
        <v>70205</v>
      </c>
      <c r="M246" s="23" t="s">
        <v>2961</v>
      </c>
      <c r="N246" s="24">
        <v>0</v>
      </c>
      <c r="O246" s="24">
        <v>0</v>
      </c>
      <c r="P246" s="24">
        <v>0</v>
      </c>
      <c r="Q246" s="24">
        <v>80000</v>
      </c>
      <c r="R246" s="24">
        <v>40000</v>
      </c>
      <c r="S246" s="24">
        <v>40000</v>
      </c>
      <c r="T246" s="24">
        <v>40000</v>
      </c>
      <c r="U246" s="24">
        <v>40000</v>
      </c>
      <c r="V246" s="24">
        <v>40000</v>
      </c>
      <c r="W246" s="24">
        <v>40000</v>
      </c>
      <c r="X246" s="24">
        <v>40000</v>
      </c>
      <c r="Y246" s="24">
        <v>1594</v>
      </c>
      <c r="Z246" s="24">
        <f t="shared" si="11"/>
        <v>361594</v>
      </c>
      <c r="AB246" s="25">
        <v>361594</v>
      </c>
      <c r="AC246" s="26">
        <v>361594</v>
      </c>
      <c r="AD246" s="24">
        <v>0</v>
      </c>
      <c r="AE246" s="27">
        <f>_xlfn.XLOOKUP(B246,'Projects Cashflow'!$B:$B,'Projects Cashflow'!$AG:$AG,0)</f>
        <v>361594</v>
      </c>
      <c r="AF246" s="28">
        <f t="shared" si="12"/>
        <v>0</v>
      </c>
    </row>
    <row r="247" spans="2:32" x14ac:dyDescent="0.3">
      <c r="B247" s="14" t="str">
        <f t="shared" si="10"/>
        <v>45112504511000217Admin Expenses-N1421125200104</v>
      </c>
      <c r="C247" s="21" t="s">
        <v>65</v>
      </c>
      <c r="D247" s="22">
        <v>4511250</v>
      </c>
      <c r="E247" s="21" t="s">
        <v>66</v>
      </c>
      <c r="F247" s="22">
        <v>4511000217</v>
      </c>
      <c r="G247" s="21" t="s">
        <v>2991</v>
      </c>
      <c r="H247" s="21" t="s">
        <v>73</v>
      </c>
      <c r="I247" s="22">
        <v>421125</v>
      </c>
      <c r="J247" s="22">
        <v>200104</v>
      </c>
      <c r="K247" s="22" t="s">
        <v>2959</v>
      </c>
      <c r="L247" s="22">
        <v>70205</v>
      </c>
      <c r="M247" s="23" t="s">
        <v>2961</v>
      </c>
      <c r="N247" s="24">
        <v>0</v>
      </c>
      <c r="O247" s="24">
        <v>0</v>
      </c>
      <c r="P247" s="24">
        <v>0</v>
      </c>
      <c r="Q247" s="24">
        <v>39200</v>
      </c>
      <c r="R247" s="24">
        <v>40000</v>
      </c>
      <c r="S247" s="24">
        <v>40000</v>
      </c>
      <c r="T247" s="24">
        <v>40000</v>
      </c>
      <c r="U247" s="24">
        <v>40000</v>
      </c>
      <c r="V247" s="24">
        <v>40000</v>
      </c>
      <c r="W247" s="24">
        <v>21600</v>
      </c>
      <c r="X247" s="24">
        <v>0</v>
      </c>
      <c r="Y247" s="24">
        <v>0</v>
      </c>
      <c r="Z247" s="24">
        <f t="shared" si="11"/>
        <v>260800</v>
      </c>
      <c r="AB247" s="25">
        <v>260800</v>
      </c>
      <c r="AC247" s="26">
        <v>260800</v>
      </c>
      <c r="AD247" s="24">
        <v>0</v>
      </c>
      <c r="AE247" s="27">
        <f>_xlfn.XLOOKUP(B247,'Projects Cashflow'!$B:$B,'Projects Cashflow'!$AG:$AG,0)</f>
        <v>260800</v>
      </c>
      <c r="AF247" s="28">
        <f t="shared" si="12"/>
        <v>0</v>
      </c>
    </row>
    <row r="248" spans="2:32" x14ac:dyDescent="0.3">
      <c r="B248" s="14" t="str">
        <f t="shared" si="10"/>
        <v>45112504511000217Utilities-N423931200104</v>
      </c>
      <c r="C248" s="21" t="s">
        <v>65</v>
      </c>
      <c r="D248" s="22">
        <v>4511250</v>
      </c>
      <c r="E248" s="21" t="s">
        <v>66</v>
      </c>
      <c r="F248" s="22">
        <v>4511000217</v>
      </c>
      <c r="G248" s="21" t="s">
        <v>2991</v>
      </c>
      <c r="H248" s="21" t="s">
        <v>110</v>
      </c>
      <c r="I248" s="22">
        <v>423931</v>
      </c>
      <c r="J248" s="22">
        <v>200104</v>
      </c>
      <c r="K248" s="22" t="s">
        <v>2959</v>
      </c>
      <c r="L248" s="22">
        <v>70205</v>
      </c>
      <c r="M248" s="23" t="s">
        <v>2961</v>
      </c>
      <c r="N248" s="24">
        <v>0</v>
      </c>
      <c r="O248" s="24">
        <v>0</v>
      </c>
      <c r="P248" s="24">
        <v>0</v>
      </c>
      <c r="Q248" s="24">
        <v>50000</v>
      </c>
      <c r="R248" s="24">
        <v>25000</v>
      </c>
      <c r="S248" s="24">
        <v>25000</v>
      </c>
      <c r="T248" s="24">
        <v>25000</v>
      </c>
      <c r="U248" s="24">
        <v>25000</v>
      </c>
      <c r="V248" s="24">
        <v>25500</v>
      </c>
      <c r="W248" s="24">
        <v>29500</v>
      </c>
      <c r="X248" s="24">
        <v>28520</v>
      </c>
      <c r="Y248" s="24">
        <v>0</v>
      </c>
      <c r="Z248" s="24">
        <f t="shared" si="11"/>
        <v>233520</v>
      </c>
      <c r="AB248" s="25">
        <v>233520</v>
      </c>
      <c r="AC248" s="26">
        <v>233520</v>
      </c>
      <c r="AD248" s="24">
        <v>0</v>
      </c>
      <c r="AE248" s="27">
        <f>_xlfn.XLOOKUP(B248,'Projects Cashflow'!$B:$B,'Projects Cashflow'!$AG:$AG,0)</f>
        <v>233520</v>
      </c>
      <c r="AF248" s="28">
        <f t="shared" si="12"/>
        <v>0</v>
      </c>
    </row>
    <row r="249" spans="2:32" x14ac:dyDescent="0.3">
      <c r="B249" s="14" t="str">
        <f t="shared" si="10"/>
        <v>45112504511000217Ad-hoc Repairs-N426427200104</v>
      </c>
      <c r="C249" s="21" t="s">
        <v>65</v>
      </c>
      <c r="D249" s="22">
        <v>4511250</v>
      </c>
      <c r="E249" s="21" t="s">
        <v>66</v>
      </c>
      <c r="F249" s="22">
        <v>4511000217</v>
      </c>
      <c r="G249" s="21" t="s">
        <v>2991</v>
      </c>
      <c r="H249" s="21" t="s">
        <v>70</v>
      </c>
      <c r="I249" s="22">
        <v>426427</v>
      </c>
      <c r="J249" s="22">
        <v>200104</v>
      </c>
      <c r="K249" s="22" t="s">
        <v>2959</v>
      </c>
      <c r="L249" s="22">
        <v>70205</v>
      </c>
      <c r="M249" s="23" t="s">
        <v>2961</v>
      </c>
      <c r="N249" s="24">
        <v>0</v>
      </c>
      <c r="O249" s="24">
        <v>0</v>
      </c>
      <c r="P249" s="24">
        <v>0</v>
      </c>
      <c r="Q249" s="24">
        <v>60000</v>
      </c>
      <c r="R249" s="24">
        <v>30000</v>
      </c>
      <c r="S249" s="24">
        <v>30000</v>
      </c>
      <c r="T249" s="24">
        <v>30000</v>
      </c>
      <c r="U249" s="24">
        <v>30000</v>
      </c>
      <c r="V249" s="24">
        <v>12347</v>
      </c>
      <c r="W249" s="24">
        <v>0</v>
      </c>
      <c r="X249" s="24">
        <v>0</v>
      </c>
      <c r="Y249" s="24">
        <v>0</v>
      </c>
      <c r="Z249" s="24">
        <f t="shared" si="11"/>
        <v>192347</v>
      </c>
      <c r="AB249" s="25">
        <v>192347</v>
      </c>
      <c r="AC249" s="26">
        <v>192347</v>
      </c>
      <c r="AD249" s="24">
        <v>0</v>
      </c>
      <c r="AE249" s="27">
        <f>_xlfn.XLOOKUP(B249,'Projects Cashflow'!$B:$B,'Projects Cashflow'!$AG:$AG,0)</f>
        <v>192347</v>
      </c>
      <c r="AF249" s="28">
        <f t="shared" si="12"/>
        <v>0</v>
      </c>
    </row>
    <row r="250" spans="2:32" x14ac:dyDescent="0.3">
      <c r="B250" s="14" t="str">
        <f t="shared" si="10"/>
        <v>45112504511000217Landscaping-N432614200104</v>
      </c>
      <c r="C250" s="21" t="s">
        <v>65</v>
      </c>
      <c r="D250" s="22">
        <v>4511250</v>
      </c>
      <c r="E250" s="21" t="s">
        <v>66</v>
      </c>
      <c r="F250" s="22">
        <v>4511000217</v>
      </c>
      <c r="G250" s="21" t="s">
        <v>2991</v>
      </c>
      <c r="H250" s="21" t="s">
        <v>86</v>
      </c>
      <c r="I250" s="22">
        <v>432614</v>
      </c>
      <c r="J250" s="22">
        <v>200104</v>
      </c>
      <c r="K250" s="22" t="s">
        <v>2959</v>
      </c>
      <c r="L250" s="22">
        <v>70205</v>
      </c>
      <c r="M250" s="23" t="s">
        <v>2961</v>
      </c>
      <c r="N250" s="24">
        <v>0</v>
      </c>
      <c r="O250" s="24">
        <v>0</v>
      </c>
      <c r="P250" s="24">
        <v>0</v>
      </c>
      <c r="Q250" s="24">
        <v>60000</v>
      </c>
      <c r="R250" s="24">
        <v>30000</v>
      </c>
      <c r="S250" s="24">
        <v>30000</v>
      </c>
      <c r="T250" s="24">
        <v>30000</v>
      </c>
      <c r="U250" s="24">
        <v>19860</v>
      </c>
      <c r="V250" s="24">
        <v>0</v>
      </c>
      <c r="W250" s="24">
        <v>0</v>
      </c>
      <c r="X250" s="24">
        <v>0</v>
      </c>
      <c r="Y250" s="24">
        <v>0</v>
      </c>
      <c r="Z250" s="24">
        <f t="shared" si="11"/>
        <v>169860</v>
      </c>
      <c r="AB250" s="25">
        <v>169860</v>
      </c>
      <c r="AC250" s="26">
        <v>169860</v>
      </c>
      <c r="AD250" s="24">
        <v>0</v>
      </c>
      <c r="AE250" s="27">
        <f>_xlfn.XLOOKUP(B250,'Projects Cashflow'!$B:$B,'Projects Cashflow'!$AG:$AG,0)</f>
        <v>169860</v>
      </c>
      <c r="AF250" s="28">
        <f t="shared" si="12"/>
        <v>0</v>
      </c>
    </row>
    <row r="251" spans="2:32" x14ac:dyDescent="0.3">
      <c r="B251" s="14" t="str">
        <f t="shared" si="10"/>
        <v>45112504511000217Hospitality-N424761200104</v>
      </c>
      <c r="C251" s="21" t="s">
        <v>65</v>
      </c>
      <c r="D251" s="22">
        <v>4511250</v>
      </c>
      <c r="E251" s="21" t="s">
        <v>66</v>
      </c>
      <c r="F251" s="22">
        <v>4511000217</v>
      </c>
      <c r="G251" s="21" t="s">
        <v>2991</v>
      </c>
      <c r="H251" s="21" t="s">
        <v>83</v>
      </c>
      <c r="I251" s="22">
        <v>424761</v>
      </c>
      <c r="J251" s="22">
        <v>200104</v>
      </c>
      <c r="K251" s="22" t="s">
        <v>2959</v>
      </c>
      <c r="L251" s="22">
        <v>70205</v>
      </c>
      <c r="M251" s="23" t="s">
        <v>2961</v>
      </c>
      <c r="N251" s="24">
        <v>0</v>
      </c>
      <c r="O251" s="24">
        <v>0</v>
      </c>
      <c r="P251" s="24">
        <v>0</v>
      </c>
      <c r="Q251" s="24">
        <v>60000</v>
      </c>
      <c r="R251" s="24">
        <v>30000</v>
      </c>
      <c r="S251" s="24">
        <v>30000</v>
      </c>
      <c r="T251" s="24">
        <v>30000</v>
      </c>
      <c r="U251" s="24">
        <v>1485</v>
      </c>
      <c r="V251" s="24">
        <v>0</v>
      </c>
      <c r="W251" s="24">
        <v>0</v>
      </c>
      <c r="X251" s="24">
        <v>0</v>
      </c>
      <c r="Y251" s="24">
        <v>0</v>
      </c>
      <c r="Z251" s="24">
        <f t="shared" si="11"/>
        <v>151485</v>
      </c>
      <c r="AB251" s="25">
        <v>151485</v>
      </c>
      <c r="AC251" s="26">
        <v>151485</v>
      </c>
      <c r="AD251" s="24">
        <v>0</v>
      </c>
      <c r="AE251" s="27">
        <f>_xlfn.XLOOKUP(B251,'Projects Cashflow'!$B:$B,'Projects Cashflow'!$AG:$AG,0)</f>
        <v>151485</v>
      </c>
      <c r="AF251" s="28">
        <f t="shared" si="12"/>
        <v>0</v>
      </c>
    </row>
    <row r="252" spans="2:32" x14ac:dyDescent="0.3">
      <c r="B252" s="14" t="str">
        <f t="shared" si="10"/>
        <v>45112504511000217Edu &amp; Outreach-N422401200104</v>
      </c>
      <c r="C252" s="21" t="s">
        <v>65</v>
      </c>
      <c r="D252" s="22">
        <v>4511250</v>
      </c>
      <c r="E252" s="21" t="s">
        <v>66</v>
      </c>
      <c r="F252" s="22">
        <v>4511000217</v>
      </c>
      <c r="G252" s="21" t="s">
        <v>2991</v>
      </c>
      <c r="H252" s="21" t="s">
        <v>155</v>
      </c>
      <c r="I252" s="22">
        <v>422401</v>
      </c>
      <c r="J252" s="22">
        <v>200104</v>
      </c>
      <c r="K252" s="22" t="s">
        <v>2959</v>
      </c>
      <c r="L252" s="22">
        <v>70205</v>
      </c>
      <c r="M252" s="23" t="s">
        <v>2961</v>
      </c>
      <c r="N252" s="24">
        <v>0</v>
      </c>
      <c r="O252" s="24">
        <v>0</v>
      </c>
      <c r="P252" s="24">
        <v>0</v>
      </c>
      <c r="Q252" s="24">
        <v>0</v>
      </c>
      <c r="R252" s="24">
        <v>0</v>
      </c>
      <c r="S252" s="24">
        <v>0</v>
      </c>
      <c r="T252" s="24">
        <v>0</v>
      </c>
      <c r="U252" s="24">
        <v>0</v>
      </c>
      <c r="V252" s="24">
        <v>0</v>
      </c>
      <c r="W252" s="24">
        <v>0</v>
      </c>
      <c r="X252" s="24">
        <v>135000</v>
      </c>
      <c r="Y252" s="24">
        <v>0</v>
      </c>
      <c r="Z252" s="24">
        <f t="shared" si="11"/>
        <v>135000</v>
      </c>
      <c r="AB252" s="25">
        <v>150000</v>
      </c>
      <c r="AC252" s="26">
        <v>150000</v>
      </c>
      <c r="AD252" s="24">
        <v>0</v>
      </c>
      <c r="AE252" s="27">
        <f>_xlfn.XLOOKUP(B252,'Projects Cashflow'!$B:$B,'Projects Cashflow'!$AG:$AG,0)</f>
        <v>150000</v>
      </c>
      <c r="AF252" s="28">
        <f t="shared" si="12"/>
        <v>0</v>
      </c>
    </row>
    <row r="253" spans="2:32" x14ac:dyDescent="0.3">
      <c r="B253" s="14" t="str">
        <f t="shared" si="10"/>
        <v>45112504511000218Freelancers-N424521200104</v>
      </c>
      <c r="C253" s="21" t="s">
        <v>65</v>
      </c>
      <c r="D253" s="22">
        <v>4511250</v>
      </c>
      <c r="E253" s="21" t="s">
        <v>66</v>
      </c>
      <c r="F253" s="22">
        <v>4511000218</v>
      </c>
      <c r="G253" s="21" t="s">
        <v>2993</v>
      </c>
      <c r="H253" s="21" t="s">
        <v>50</v>
      </c>
      <c r="I253" s="22">
        <v>424521</v>
      </c>
      <c r="J253" s="22">
        <v>200104</v>
      </c>
      <c r="K253" s="22" t="s">
        <v>2959</v>
      </c>
      <c r="L253" s="22">
        <v>70202</v>
      </c>
      <c r="M253" s="23" t="s">
        <v>2961</v>
      </c>
      <c r="N253" s="24">
        <v>0</v>
      </c>
      <c r="O253" s="24">
        <v>0</v>
      </c>
      <c r="P253" s="24">
        <v>125200</v>
      </c>
      <c r="Q253" s="24">
        <v>174800</v>
      </c>
      <c r="R253" s="24">
        <v>75000</v>
      </c>
      <c r="S253" s="24">
        <v>127462</v>
      </c>
      <c r="T253" s="24">
        <v>75000</v>
      </c>
      <c r="U253" s="24">
        <v>75000</v>
      </c>
      <c r="V253" s="24">
        <v>75000</v>
      </c>
      <c r="W253" s="24">
        <v>75000</v>
      </c>
      <c r="X253" s="24">
        <v>75000</v>
      </c>
      <c r="Y253" s="24">
        <v>127462</v>
      </c>
      <c r="Z253" s="24">
        <f t="shared" si="11"/>
        <v>1004924</v>
      </c>
      <c r="AB253" s="25">
        <v>1004924</v>
      </c>
      <c r="AC253" s="26">
        <v>1004924</v>
      </c>
      <c r="AD253" s="24">
        <v>0</v>
      </c>
      <c r="AE253" s="27">
        <f>_xlfn.XLOOKUP(B253,'Projects Cashflow'!$B:$B,'Projects Cashflow'!$AG:$AG,0)</f>
        <v>1004924</v>
      </c>
      <c r="AF253" s="28">
        <f t="shared" si="12"/>
        <v>0</v>
      </c>
    </row>
    <row r="254" spans="2:32" x14ac:dyDescent="0.3">
      <c r="B254" s="14" t="str">
        <f t="shared" si="10"/>
        <v>45112504511000218Art Materials-N1432626200104</v>
      </c>
      <c r="C254" s="21" t="s">
        <v>65</v>
      </c>
      <c r="D254" s="22">
        <v>4511250</v>
      </c>
      <c r="E254" s="21" t="s">
        <v>66</v>
      </c>
      <c r="F254" s="22">
        <v>4511000218</v>
      </c>
      <c r="G254" s="21" t="s">
        <v>2993</v>
      </c>
      <c r="H254" s="21" t="s">
        <v>75</v>
      </c>
      <c r="I254" s="22">
        <v>432626</v>
      </c>
      <c r="J254" s="22">
        <v>200104</v>
      </c>
      <c r="K254" s="22" t="s">
        <v>2959</v>
      </c>
      <c r="L254" s="22">
        <v>70202</v>
      </c>
      <c r="M254" s="23" t="s">
        <v>2961</v>
      </c>
      <c r="N254" s="24">
        <v>0</v>
      </c>
      <c r="O254" s="24">
        <v>0</v>
      </c>
      <c r="P254" s="24">
        <v>0</v>
      </c>
      <c r="Q254" s="24">
        <v>25696.6</v>
      </c>
      <c r="R254" s="24">
        <v>0</v>
      </c>
      <c r="S254" s="24">
        <v>0</v>
      </c>
      <c r="T254" s="24">
        <v>0</v>
      </c>
      <c r="U254" s="24">
        <v>25696.6</v>
      </c>
      <c r="V254" s="24">
        <v>0</v>
      </c>
      <c r="W254" s="24">
        <v>0</v>
      </c>
      <c r="X254" s="24">
        <v>0</v>
      </c>
      <c r="Y254" s="24">
        <v>25696.6</v>
      </c>
      <c r="Z254" s="24">
        <f t="shared" si="11"/>
        <v>77089.799999999988</v>
      </c>
      <c r="AB254" s="25">
        <v>77089.799999999988</v>
      </c>
      <c r="AC254" s="26">
        <v>77090</v>
      </c>
      <c r="AD254" s="24">
        <v>-0.20000000001164153</v>
      </c>
      <c r="AE254" s="27">
        <f>_xlfn.XLOOKUP(B254,'Projects Cashflow'!$B:$B,'Projects Cashflow'!$AG:$AG,0)</f>
        <v>77090</v>
      </c>
      <c r="AF254" s="28">
        <f t="shared" si="12"/>
        <v>0.20000000001164153</v>
      </c>
    </row>
    <row r="255" spans="2:32" x14ac:dyDescent="0.3">
      <c r="B255" s="14" t="str">
        <f t="shared" si="10"/>
        <v>45112504511000219Freelancers-N424521200104</v>
      </c>
      <c r="C255" s="21" t="s">
        <v>65</v>
      </c>
      <c r="D255" s="22">
        <v>4511250</v>
      </c>
      <c r="E255" s="21" t="s">
        <v>66</v>
      </c>
      <c r="F255" s="22">
        <v>4511000219</v>
      </c>
      <c r="G255" s="21" t="s">
        <v>2994</v>
      </c>
      <c r="H255" s="21" t="s">
        <v>50</v>
      </c>
      <c r="I255" s="22">
        <v>424521</v>
      </c>
      <c r="J255" s="22">
        <v>200104</v>
      </c>
      <c r="K255" s="22" t="s">
        <v>2959</v>
      </c>
      <c r="L255" s="22">
        <v>70202</v>
      </c>
      <c r="M255" s="23" t="s">
        <v>2961</v>
      </c>
      <c r="N255" s="24">
        <v>0</v>
      </c>
      <c r="O255" s="26">
        <v>291000</v>
      </c>
      <c r="P255" s="24">
        <v>138400</v>
      </c>
      <c r="Q255" s="24">
        <v>158200</v>
      </c>
      <c r="R255" s="24">
        <v>144400</v>
      </c>
      <c r="S255" s="24">
        <v>129600</v>
      </c>
      <c r="T255" s="24">
        <v>144400</v>
      </c>
      <c r="U255" s="24">
        <v>144400</v>
      </c>
      <c r="V255" s="24">
        <v>143000</v>
      </c>
      <c r="W255" s="24">
        <v>134800</v>
      </c>
      <c r="X255" s="24">
        <v>144400</v>
      </c>
      <c r="Y255" s="24">
        <v>144400</v>
      </c>
      <c r="Z255" s="24">
        <f t="shared" si="11"/>
        <v>1717000</v>
      </c>
      <c r="AB255" s="25">
        <v>1717000</v>
      </c>
      <c r="AC255" s="26">
        <v>1717000</v>
      </c>
      <c r="AD255" s="24">
        <v>0</v>
      </c>
      <c r="AE255" s="27">
        <f>_xlfn.XLOOKUP(B255,'Projects Cashflow'!$B:$B,'Projects Cashflow'!$AG:$AG,0)</f>
        <v>1717000</v>
      </c>
      <c r="AF255" s="28">
        <f t="shared" si="12"/>
        <v>0</v>
      </c>
    </row>
    <row r="256" spans="2:32" x14ac:dyDescent="0.3">
      <c r="B256" s="14" t="str">
        <f t="shared" si="10"/>
        <v>45112504511000219Art Materials-N432626200104</v>
      </c>
      <c r="C256" s="21" t="s">
        <v>65</v>
      </c>
      <c r="D256" s="22">
        <v>4511250</v>
      </c>
      <c r="E256" s="21" t="s">
        <v>66</v>
      </c>
      <c r="F256" s="22">
        <v>4511000219</v>
      </c>
      <c r="G256" s="21" t="s">
        <v>2994</v>
      </c>
      <c r="H256" s="21" t="s">
        <v>283</v>
      </c>
      <c r="I256" s="22">
        <v>432626</v>
      </c>
      <c r="J256" s="22">
        <v>200104</v>
      </c>
      <c r="K256" s="22" t="s">
        <v>2959</v>
      </c>
      <c r="L256" s="22">
        <v>70202</v>
      </c>
      <c r="M256" s="23" t="s">
        <v>2961</v>
      </c>
      <c r="N256" s="24">
        <v>0</v>
      </c>
      <c r="O256" s="24">
        <v>0</v>
      </c>
      <c r="P256" s="24">
        <v>9852.32</v>
      </c>
      <c r="Q256" s="24">
        <v>20147.68</v>
      </c>
      <c r="R256" s="24">
        <v>0</v>
      </c>
      <c r="S256" s="24">
        <v>0</v>
      </c>
      <c r="T256" s="24">
        <v>0</v>
      </c>
      <c r="U256" s="24">
        <v>30000</v>
      </c>
      <c r="V256" s="24">
        <v>0</v>
      </c>
      <c r="W256" s="24">
        <v>0</v>
      </c>
      <c r="X256" s="24">
        <v>0</v>
      </c>
      <c r="Y256" s="24">
        <v>30000</v>
      </c>
      <c r="Z256" s="24">
        <f t="shared" si="11"/>
        <v>90000</v>
      </c>
      <c r="AB256" s="25">
        <v>90000</v>
      </c>
      <c r="AC256" s="26">
        <v>90000</v>
      </c>
      <c r="AD256" s="24">
        <v>0</v>
      </c>
      <c r="AE256" s="27">
        <f>_xlfn.XLOOKUP(B256,'Projects Cashflow'!$B:$B,'Projects Cashflow'!$AG:$AG,0)</f>
        <v>90000</v>
      </c>
      <c r="AF256" s="28">
        <f t="shared" si="12"/>
        <v>0</v>
      </c>
    </row>
    <row r="257" spans="2:32" x14ac:dyDescent="0.3">
      <c r="B257" s="14" t="str">
        <f t="shared" si="10"/>
        <v>45112504511000266Activation&amp;Prog-N1422401200104</v>
      </c>
      <c r="C257" s="21" t="s">
        <v>65</v>
      </c>
      <c r="D257" s="22">
        <v>4511250</v>
      </c>
      <c r="E257" s="21" t="s">
        <v>66</v>
      </c>
      <c r="F257" s="22">
        <v>4511000266</v>
      </c>
      <c r="G257" s="21" t="s">
        <v>2995</v>
      </c>
      <c r="H257" s="29" t="s">
        <v>371</v>
      </c>
      <c r="I257" s="22">
        <v>422401</v>
      </c>
      <c r="J257" s="22">
        <v>200104</v>
      </c>
      <c r="K257" s="22" t="s">
        <v>2959</v>
      </c>
      <c r="L257" s="22">
        <v>70205</v>
      </c>
      <c r="M257" s="23" t="s">
        <v>2961</v>
      </c>
      <c r="N257" s="24">
        <v>0</v>
      </c>
      <c r="O257" s="24">
        <v>0</v>
      </c>
      <c r="P257" s="24">
        <v>0</v>
      </c>
      <c r="Q257" s="24">
        <v>0</v>
      </c>
      <c r="R257" s="24">
        <v>0</v>
      </c>
      <c r="S257" s="24">
        <v>0</v>
      </c>
      <c r="T257" s="24">
        <v>0</v>
      </c>
      <c r="U257" s="24">
        <v>0</v>
      </c>
      <c r="V257" s="24">
        <v>0</v>
      </c>
      <c r="W257" s="24">
        <v>142695</v>
      </c>
      <c r="X257" s="24">
        <v>142695</v>
      </c>
      <c r="Y257" s="24">
        <v>142694</v>
      </c>
      <c r="Z257" s="24">
        <f t="shared" si="11"/>
        <v>428084</v>
      </c>
      <c r="AB257" s="25">
        <v>428084</v>
      </c>
      <c r="AC257" s="26">
        <v>428084</v>
      </c>
      <c r="AD257" s="24">
        <v>0</v>
      </c>
      <c r="AE257" s="27">
        <f>_xlfn.XLOOKUP(B257,'Projects Cashflow'!$B:$B,'Projects Cashflow'!$AG:$AG,0)</f>
        <v>428084</v>
      </c>
      <c r="AF257" s="28">
        <f t="shared" si="12"/>
        <v>0</v>
      </c>
    </row>
    <row r="258" spans="2:32" x14ac:dyDescent="0.3">
      <c r="B258" s="14" t="str">
        <f t="shared" si="10"/>
        <v>45112504511000266Event Management-N1422401200104</v>
      </c>
      <c r="C258" s="21" t="s">
        <v>65</v>
      </c>
      <c r="D258" s="22">
        <v>4511250</v>
      </c>
      <c r="E258" s="21" t="s">
        <v>66</v>
      </c>
      <c r="F258" s="22">
        <v>4511000266</v>
      </c>
      <c r="G258" s="21" t="s">
        <v>2995</v>
      </c>
      <c r="H258" s="29" t="s">
        <v>122</v>
      </c>
      <c r="I258" s="22">
        <v>422401</v>
      </c>
      <c r="J258" s="22">
        <v>200104</v>
      </c>
      <c r="K258" s="22" t="s">
        <v>2959</v>
      </c>
      <c r="L258" s="22">
        <v>70205</v>
      </c>
      <c r="M258" s="23" t="s">
        <v>2961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156250</v>
      </c>
      <c r="Y258" s="24">
        <v>156250</v>
      </c>
      <c r="Z258" s="24">
        <f t="shared" si="11"/>
        <v>312500</v>
      </c>
      <c r="AB258" s="25">
        <v>312500</v>
      </c>
      <c r="AC258" s="26">
        <v>312500</v>
      </c>
      <c r="AD258" s="24">
        <v>0</v>
      </c>
      <c r="AE258" s="27">
        <f>_xlfn.XLOOKUP(B258,'Projects Cashflow'!$B:$B,'Projects Cashflow'!$AG:$AG,0)</f>
        <v>312500</v>
      </c>
      <c r="AF258" s="28">
        <f t="shared" si="12"/>
        <v>0</v>
      </c>
    </row>
    <row r="259" spans="2:32" x14ac:dyDescent="0.3">
      <c r="B259" s="14" t="str">
        <f t="shared" si="10"/>
        <v>45112504511000266Utilities-N423931200104</v>
      </c>
      <c r="C259" s="21" t="s">
        <v>65</v>
      </c>
      <c r="D259" s="22">
        <v>4511250</v>
      </c>
      <c r="E259" s="21" t="s">
        <v>66</v>
      </c>
      <c r="F259" s="22">
        <v>4511000266</v>
      </c>
      <c r="G259" s="21" t="s">
        <v>2995</v>
      </c>
      <c r="H259" s="21" t="s">
        <v>110</v>
      </c>
      <c r="I259" s="22">
        <v>423931</v>
      </c>
      <c r="J259" s="22">
        <v>200104</v>
      </c>
      <c r="K259" s="22" t="s">
        <v>2959</v>
      </c>
      <c r="L259" s="22">
        <v>70205</v>
      </c>
      <c r="M259" s="23" t="s">
        <v>2961</v>
      </c>
      <c r="N259" s="24">
        <v>0</v>
      </c>
      <c r="O259" s="24">
        <v>0</v>
      </c>
      <c r="P259" s="24">
        <v>0</v>
      </c>
      <c r="Q259" s="24">
        <v>100000</v>
      </c>
      <c r="R259" s="24">
        <v>25000</v>
      </c>
      <c r="S259" s="24">
        <v>25000</v>
      </c>
      <c r="T259" s="24">
        <v>25000</v>
      </c>
      <c r="U259" s="24">
        <v>25000</v>
      </c>
      <c r="V259" s="24">
        <v>25000</v>
      </c>
      <c r="W259" s="24">
        <v>25000</v>
      </c>
      <c r="X259" s="24">
        <v>25000</v>
      </c>
      <c r="Y259" s="24">
        <v>25000</v>
      </c>
      <c r="Z259" s="24">
        <f t="shared" si="11"/>
        <v>300000</v>
      </c>
      <c r="AB259" s="25">
        <v>300000</v>
      </c>
      <c r="AC259" s="26">
        <v>300000</v>
      </c>
      <c r="AD259" s="24">
        <v>0</v>
      </c>
      <c r="AE259" s="27">
        <f>_xlfn.XLOOKUP(B259,'Projects Cashflow'!$B:$B,'Projects Cashflow'!$AG:$AG,0)</f>
        <v>300000</v>
      </c>
      <c r="AF259" s="28">
        <f t="shared" si="12"/>
        <v>0</v>
      </c>
    </row>
    <row r="260" spans="2:32" x14ac:dyDescent="0.3">
      <c r="B260" s="14" t="str">
        <f t="shared" si="10"/>
        <v>45112504511000266Talent Fees-N1422511200104</v>
      </c>
      <c r="C260" s="21" t="s">
        <v>65</v>
      </c>
      <c r="D260" s="22">
        <v>4511250</v>
      </c>
      <c r="E260" s="21" t="s">
        <v>66</v>
      </c>
      <c r="F260" s="22">
        <v>4511000266</v>
      </c>
      <c r="G260" s="21" t="s">
        <v>2995</v>
      </c>
      <c r="H260" s="29" t="s">
        <v>372</v>
      </c>
      <c r="I260" s="22">
        <v>422511</v>
      </c>
      <c r="J260" s="22">
        <v>200104</v>
      </c>
      <c r="K260" s="22" t="s">
        <v>2959</v>
      </c>
      <c r="L260" s="22">
        <v>70205</v>
      </c>
      <c r="M260" s="23" t="s">
        <v>2961</v>
      </c>
      <c r="N260" s="24">
        <v>0</v>
      </c>
      <c r="O260" s="24">
        <v>0</v>
      </c>
      <c r="P260" s="24">
        <v>0</v>
      </c>
      <c r="Q260" s="24">
        <v>0</v>
      </c>
      <c r="R260" s="24">
        <v>0</v>
      </c>
      <c r="S260" s="24">
        <v>0</v>
      </c>
      <c r="T260" s="24">
        <v>0</v>
      </c>
      <c r="U260" s="24">
        <v>0</v>
      </c>
      <c r="V260" s="24">
        <v>0</v>
      </c>
      <c r="W260" s="24">
        <v>0</v>
      </c>
      <c r="X260" s="24">
        <v>0</v>
      </c>
      <c r="Y260" s="24">
        <v>200000</v>
      </c>
      <c r="Z260" s="24">
        <f t="shared" si="11"/>
        <v>200000</v>
      </c>
      <c r="AB260" s="25">
        <v>200000</v>
      </c>
      <c r="AC260" s="26">
        <v>200000</v>
      </c>
      <c r="AD260" s="24">
        <v>0</v>
      </c>
      <c r="AE260" s="27">
        <f>_xlfn.XLOOKUP(B260,'Projects Cashflow'!$B:$B,'Projects Cashflow'!$AG:$AG,0)</f>
        <v>200000</v>
      </c>
      <c r="AF260" s="28">
        <f t="shared" si="12"/>
        <v>0</v>
      </c>
    </row>
    <row r="261" spans="2:32" x14ac:dyDescent="0.3">
      <c r="B261" s="14" t="str">
        <f t="shared" ref="B261:B324" si="13">D261&amp;F261&amp;H261&amp;I261&amp;J261</f>
        <v>45112504511000266Security Service-N424551200104</v>
      </c>
      <c r="C261" s="21" t="s">
        <v>65</v>
      </c>
      <c r="D261" s="22">
        <v>4511250</v>
      </c>
      <c r="E261" s="21" t="s">
        <v>66</v>
      </c>
      <c r="F261" s="22">
        <v>4511000266</v>
      </c>
      <c r="G261" s="21" t="s">
        <v>2995</v>
      </c>
      <c r="H261" s="21" t="s">
        <v>107</v>
      </c>
      <c r="I261" s="22">
        <v>424551</v>
      </c>
      <c r="J261" s="22">
        <v>200104</v>
      </c>
      <c r="K261" s="22" t="s">
        <v>2959</v>
      </c>
      <c r="L261" s="22">
        <v>70205</v>
      </c>
      <c r="M261" s="23" t="s">
        <v>2961</v>
      </c>
      <c r="N261" s="24">
        <v>0</v>
      </c>
      <c r="O261" s="24">
        <v>0</v>
      </c>
      <c r="P261" s="24">
        <v>0</v>
      </c>
      <c r="Q261" s="24">
        <v>66666.666666666672</v>
      </c>
      <c r="R261" s="24">
        <v>16666.666666666668</v>
      </c>
      <c r="S261" s="24">
        <v>16666.666666666668</v>
      </c>
      <c r="T261" s="24">
        <v>16666.666666666668</v>
      </c>
      <c r="U261" s="24">
        <v>16666.666666666668</v>
      </c>
      <c r="V261" s="24">
        <v>16666.666666666668</v>
      </c>
      <c r="W261" s="24">
        <v>16666.666666666668</v>
      </c>
      <c r="X261" s="24">
        <v>16666.666666666668</v>
      </c>
      <c r="Y261" s="24">
        <v>16666.666666666668</v>
      </c>
      <c r="Z261" s="24">
        <f t="shared" ref="Z261:Z324" si="14">SUM(N261:Y261)</f>
        <v>199999.99999999997</v>
      </c>
      <c r="AB261" s="25">
        <v>199999.99999999997</v>
      </c>
      <c r="AC261" s="26">
        <v>200000</v>
      </c>
      <c r="AD261" s="24">
        <v>0</v>
      </c>
      <c r="AE261" s="27">
        <f>_xlfn.XLOOKUP(B261,'Projects Cashflow'!$B:$B,'Projects Cashflow'!$AG:$AG,0)</f>
        <v>200000</v>
      </c>
      <c r="AF261" s="28">
        <f t="shared" ref="AF261:AF324" si="15">AE261-AB261</f>
        <v>0</v>
      </c>
    </row>
    <row r="262" spans="2:32" x14ac:dyDescent="0.3">
      <c r="B262" s="14" t="str">
        <f t="shared" si="13"/>
        <v>45112504511000266Cleaning Service-N422311200104</v>
      </c>
      <c r="C262" s="21" t="s">
        <v>65</v>
      </c>
      <c r="D262" s="22">
        <v>4511250</v>
      </c>
      <c r="E262" s="21" t="s">
        <v>66</v>
      </c>
      <c r="F262" s="22">
        <v>4511000266</v>
      </c>
      <c r="G262" s="21" t="s">
        <v>2995</v>
      </c>
      <c r="H262" s="21" t="s">
        <v>79</v>
      </c>
      <c r="I262" s="22">
        <v>422311</v>
      </c>
      <c r="J262" s="22">
        <v>200104</v>
      </c>
      <c r="K262" s="22" t="s">
        <v>2959</v>
      </c>
      <c r="L262" s="22">
        <v>70205</v>
      </c>
      <c r="M262" s="23" t="s">
        <v>2961</v>
      </c>
      <c r="N262" s="24">
        <v>0</v>
      </c>
      <c r="O262" s="24">
        <v>0</v>
      </c>
      <c r="P262" s="24">
        <v>0</v>
      </c>
      <c r="Q262" s="24">
        <v>60000</v>
      </c>
      <c r="R262" s="24">
        <v>15000</v>
      </c>
      <c r="S262" s="24">
        <v>15000</v>
      </c>
      <c r="T262" s="24">
        <v>15000</v>
      </c>
      <c r="U262" s="24">
        <v>15000</v>
      </c>
      <c r="V262" s="24">
        <v>15000</v>
      </c>
      <c r="W262" s="24">
        <v>15000</v>
      </c>
      <c r="X262" s="24">
        <v>15000</v>
      </c>
      <c r="Y262" s="24">
        <v>15000</v>
      </c>
      <c r="Z262" s="24">
        <f t="shared" si="14"/>
        <v>180000</v>
      </c>
      <c r="AB262" s="25">
        <v>180000</v>
      </c>
      <c r="AC262" s="26">
        <v>180000</v>
      </c>
      <c r="AD262" s="24">
        <v>0</v>
      </c>
      <c r="AE262" s="27">
        <f>_xlfn.XLOOKUP(B262,'Projects Cashflow'!$B:$B,'Projects Cashflow'!$AG:$AG,0)</f>
        <v>180000</v>
      </c>
      <c r="AF262" s="28">
        <f t="shared" si="15"/>
        <v>0</v>
      </c>
    </row>
    <row r="263" spans="2:32" x14ac:dyDescent="0.3">
      <c r="B263" s="14" t="str">
        <f t="shared" si="13"/>
        <v>45112504511000266Maintenance-N426212200104</v>
      </c>
      <c r="C263" s="21" t="s">
        <v>65</v>
      </c>
      <c r="D263" s="22">
        <v>4511250</v>
      </c>
      <c r="E263" s="21" t="s">
        <v>66</v>
      </c>
      <c r="F263" s="22">
        <v>4511000266</v>
      </c>
      <c r="G263" s="21" t="s">
        <v>2995</v>
      </c>
      <c r="H263" s="21" t="s">
        <v>95</v>
      </c>
      <c r="I263" s="22">
        <v>426212</v>
      </c>
      <c r="J263" s="22">
        <v>200104</v>
      </c>
      <c r="K263" s="22" t="s">
        <v>2959</v>
      </c>
      <c r="L263" s="22">
        <v>70205</v>
      </c>
      <c r="M263" s="23" t="s">
        <v>2961</v>
      </c>
      <c r="N263" s="24">
        <v>0</v>
      </c>
      <c r="O263" s="24">
        <v>0</v>
      </c>
      <c r="P263" s="24">
        <v>0</v>
      </c>
      <c r="Q263" s="24">
        <v>50000</v>
      </c>
      <c r="R263" s="24">
        <v>12500</v>
      </c>
      <c r="S263" s="24">
        <v>12500</v>
      </c>
      <c r="T263" s="24">
        <v>12500</v>
      </c>
      <c r="U263" s="24">
        <v>12500</v>
      </c>
      <c r="V263" s="24">
        <v>12500</v>
      </c>
      <c r="W263" s="24">
        <v>12500</v>
      </c>
      <c r="X263" s="24">
        <v>12500</v>
      </c>
      <c r="Y263" s="24">
        <v>12500</v>
      </c>
      <c r="Z263" s="24">
        <f t="shared" si="14"/>
        <v>150000</v>
      </c>
      <c r="AB263" s="25">
        <v>150000</v>
      </c>
      <c r="AC263" s="26">
        <v>150000</v>
      </c>
      <c r="AD263" s="24">
        <v>0</v>
      </c>
      <c r="AE263" s="27">
        <f>_xlfn.XLOOKUP(B263,'Projects Cashflow'!$B:$B,'Projects Cashflow'!$AG:$AG,0)</f>
        <v>150000</v>
      </c>
      <c r="AF263" s="28">
        <f t="shared" si="15"/>
        <v>0</v>
      </c>
    </row>
    <row r="264" spans="2:32" x14ac:dyDescent="0.3">
      <c r="B264" s="14" t="str">
        <f t="shared" si="13"/>
        <v>45112504511000266Hospitality-N424761200104</v>
      </c>
      <c r="C264" s="21" t="s">
        <v>65</v>
      </c>
      <c r="D264" s="22">
        <v>4511250</v>
      </c>
      <c r="E264" s="21" t="s">
        <v>66</v>
      </c>
      <c r="F264" s="22">
        <v>4511000266</v>
      </c>
      <c r="G264" s="21" t="s">
        <v>2995</v>
      </c>
      <c r="H264" s="21" t="s">
        <v>83</v>
      </c>
      <c r="I264" s="22">
        <v>424761</v>
      </c>
      <c r="J264" s="22">
        <v>200104</v>
      </c>
      <c r="K264" s="22" t="s">
        <v>2959</v>
      </c>
      <c r="L264" s="22">
        <v>70205</v>
      </c>
      <c r="M264" s="23" t="s">
        <v>2961</v>
      </c>
      <c r="N264" s="24">
        <v>0</v>
      </c>
      <c r="O264" s="24">
        <v>0</v>
      </c>
      <c r="P264" s="24">
        <v>0</v>
      </c>
      <c r="Q264" s="24">
        <v>20000</v>
      </c>
      <c r="R264" s="24">
        <v>5000</v>
      </c>
      <c r="S264" s="24">
        <v>5000</v>
      </c>
      <c r="T264" s="24">
        <v>5000</v>
      </c>
      <c r="U264" s="24">
        <v>5000</v>
      </c>
      <c r="V264" s="24">
        <v>5000</v>
      </c>
      <c r="W264" s="24">
        <v>5000</v>
      </c>
      <c r="X264" s="24">
        <v>5000</v>
      </c>
      <c r="Y264" s="24">
        <v>5000</v>
      </c>
      <c r="Z264" s="24">
        <f t="shared" si="14"/>
        <v>60000</v>
      </c>
      <c r="AB264" s="25">
        <v>60000</v>
      </c>
      <c r="AC264" s="26">
        <v>60000</v>
      </c>
      <c r="AD264" s="24">
        <v>0</v>
      </c>
      <c r="AE264" s="27">
        <f>_xlfn.XLOOKUP(B264,'Projects Cashflow'!$B:$B,'Projects Cashflow'!$AG:$AG,0)</f>
        <v>60000</v>
      </c>
      <c r="AF264" s="28">
        <f t="shared" si="15"/>
        <v>0</v>
      </c>
    </row>
    <row r="265" spans="2:32" x14ac:dyDescent="0.3">
      <c r="B265" s="14" t="str">
        <f t="shared" si="13"/>
        <v>45112504511000266Ad-hoc Repairs-N426427200104</v>
      </c>
      <c r="C265" s="21" t="s">
        <v>65</v>
      </c>
      <c r="D265" s="22">
        <v>4511250</v>
      </c>
      <c r="E265" s="21" t="s">
        <v>66</v>
      </c>
      <c r="F265" s="22">
        <v>4511000266</v>
      </c>
      <c r="G265" s="21" t="s">
        <v>2995</v>
      </c>
      <c r="H265" s="21" t="s">
        <v>70</v>
      </c>
      <c r="I265" s="22">
        <v>426427</v>
      </c>
      <c r="J265" s="22">
        <v>200104</v>
      </c>
      <c r="K265" s="22" t="s">
        <v>2959</v>
      </c>
      <c r="L265" s="22">
        <v>70205</v>
      </c>
      <c r="M265" s="23" t="s">
        <v>2961</v>
      </c>
      <c r="N265" s="24">
        <v>0</v>
      </c>
      <c r="O265" s="24">
        <v>0</v>
      </c>
      <c r="P265" s="24">
        <v>0</v>
      </c>
      <c r="Q265" s="24">
        <v>16666.666666666668</v>
      </c>
      <c r="R265" s="24">
        <v>4166.666666666667</v>
      </c>
      <c r="S265" s="24">
        <v>4166.666666666667</v>
      </c>
      <c r="T265" s="24">
        <v>4166.666666666667</v>
      </c>
      <c r="U265" s="24">
        <v>4166.666666666667</v>
      </c>
      <c r="V265" s="24">
        <v>4166.666666666667</v>
      </c>
      <c r="W265" s="24">
        <v>4166.666666666667</v>
      </c>
      <c r="X265" s="24">
        <v>4166.666666666667</v>
      </c>
      <c r="Y265" s="24">
        <v>4166.666666666667</v>
      </c>
      <c r="Z265" s="24">
        <f t="shared" si="14"/>
        <v>49999.999999999993</v>
      </c>
      <c r="AB265" s="25">
        <v>49999.999999999993</v>
      </c>
      <c r="AC265" s="26">
        <v>50000</v>
      </c>
      <c r="AD265" s="24">
        <v>0</v>
      </c>
      <c r="AE265" s="27">
        <f>_xlfn.XLOOKUP(B265,'Projects Cashflow'!$B:$B,'Projects Cashflow'!$AG:$AG,0)</f>
        <v>50000</v>
      </c>
      <c r="AF265" s="28">
        <f t="shared" si="15"/>
        <v>0</v>
      </c>
    </row>
    <row r="266" spans="2:32" x14ac:dyDescent="0.3">
      <c r="B266" s="14" t="str">
        <f t="shared" si="13"/>
        <v>45112504511000266Landscaping-N432614200104</v>
      </c>
      <c r="C266" s="21" t="s">
        <v>65</v>
      </c>
      <c r="D266" s="22">
        <v>4511250</v>
      </c>
      <c r="E266" s="21" t="s">
        <v>66</v>
      </c>
      <c r="F266" s="22">
        <v>4511000266</v>
      </c>
      <c r="G266" s="21" t="s">
        <v>2995</v>
      </c>
      <c r="H266" s="21" t="s">
        <v>86</v>
      </c>
      <c r="I266" s="22">
        <v>432614</v>
      </c>
      <c r="J266" s="22">
        <v>200104</v>
      </c>
      <c r="K266" s="22" t="s">
        <v>2959</v>
      </c>
      <c r="L266" s="22">
        <v>70205</v>
      </c>
      <c r="M266" s="23" t="s">
        <v>2961</v>
      </c>
      <c r="N266" s="24">
        <v>0</v>
      </c>
      <c r="O266" s="24">
        <v>0</v>
      </c>
      <c r="P266" s="24">
        <v>0</v>
      </c>
      <c r="Q266" s="24">
        <v>16666.666666666668</v>
      </c>
      <c r="R266" s="24">
        <v>4166.666666666667</v>
      </c>
      <c r="S266" s="24">
        <v>4166.666666666667</v>
      </c>
      <c r="T266" s="24">
        <v>4166.666666666667</v>
      </c>
      <c r="U266" s="24">
        <v>4166.666666666667</v>
      </c>
      <c r="V266" s="24">
        <v>4166.666666666667</v>
      </c>
      <c r="W266" s="24">
        <v>4166.666666666667</v>
      </c>
      <c r="X266" s="24">
        <v>4166.666666666667</v>
      </c>
      <c r="Y266" s="24">
        <v>4166.666666666667</v>
      </c>
      <c r="Z266" s="24">
        <f t="shared" si="14"/>
        <v>49999.999999999993</v>
      </c>
      <c r="AB266" s="25">
        <v>49999.999999999993</v>
      </c>
      <c r="AC266" s="26">
        <v>50000</v>
      </c>
      <c r="AD266" s="24">
        <v>0</v>
      </c>
      <c r="AE266" s="27">
        <f>_xlfn.XLOOKUP(B266,'Projects Cashflow'!$B:$B,'Projects Cashflow'!$AG:$AG,0)</f>
        <v>50000</v>
      </c>
      <c r="AF266" s="28">
        <f t="shared" si="15"/>
        <v>0</v>
      </c>
    </row>
    <row r="267" spans="2:32" x14ac:dyDescent="0.3">
      <c r="B267" s="14" t="str">
        <f t="shared" si="13"/>
        <v>45112504511000266Pest Control-N422321200104</v>
      </c>
      <c r="C267" s="21" t="s">
        <v>65</v>
      </c>
      <c r="D267" s="22">
        <v>4511250</v>
      </c>
      <c r="E267" s="21" t="s">
        <v>66</v>
      </c>
      <c r="F267" s="22">
        <v>4511000266</v>
      </c>
      <c r="G267" s="21" t="s">
        <v>2995</v>
      </c>
      <c r="H267" s="21" t="s">
        <v>103</v>
      </c>
      <c r="I267" s="22">
        <v>422321</v>
      </c>
      <c r="J267" s="22">
        <v>200104</v>
      </c>
      <c r="K267" s="22" t="s">
        <v>2959</v>
      </c>
      <c r="L267" s="22">
        <v>70205</v>
      </c>
      <c r="M267" s="23" t="s">
        <v>2961</v>
      </c>
      <c r="N267" s="24">
        <v>0</v>
      </c>
      <c r="O267" s="24">
        <v>0</v>
      </c>
      <c r="P267" s="24">
        <v>0</v>
      </c>
      <c r="Q267" s="24">
        <v>3336</v>
      </c>
      <c r="R267" s="24">
        <v>833</v>
      </c>
      <c r="S267" s="24">
        <v>833</v>
      </c>
      <c r="T267" s="24">
        <v>833</v>
      </c>
      <c r="U267" s="24">
        <v>833</v>
      </c>
      <c r="V267" s="24">
        <v>833</v>
      </c>
      <c r="W267" s="24">
        <v>833</v>
      </c>
      <c r="X267" s="24">
        <v>833</v>
      </c>
      <c r="Y267" s="24">
        <v>833</v>
      </c>
      <c r="Z267" s="24">
        <f t="shared" si="14"/>
        <v>10000</v>
      </c>
      <c r="AB267" s="25">
        <v>10000</v>
      </c>
      <c r="AC267" s="26">
        <v>10000</v>
      </c>
      <c r="AD267" s="24">
        <v>0</v>
      </c>
      <c r="AE267" s="27">
        <f>_xlfn.XLOOKUP(B267,'Projects Cashflow'!$B:$B,'Projects Cashflow'!$AG:$AG,0)</f>
        <v>10000</v>
      </c>
      <c r="AF267" s="28">
        <f t="shared" si="15"/>
        <v>0</v>
      </c>
    </row>
    <row r="268" spans="2:32" x14ac:dyDescent="0.3">
      <c r="B268" s="14" t="str">
        <f t="shared" si="13"/>
        <v>45112504511000277Freelancers-N424521200104</v>
      </c>
      <c r="C268" s="21" t="s">
        <v>65</v>
      </c>
      <c r="D268" s="22">
        <v>4511250</v>
      </c>
      <c r="E268" s="21" t="s">
        <v>66</v>
      </c>
      <c r="F268" s="22">
        <v>4511000277</v>
      </c>
      <c r="G268" s="21" t="s">
        <v>2996</v>
      </c>
      <c r="H268" s="21" t="s">
        <v>50</v>
      </c>
      <c r="I268" s="22">
        <v>424521</v>
      </c>
      <c r="J268" s="22">
        <v>200104</v>
      </c>
      <c r="K268" s="22" t="s">
        <v>2959</v>
      </c>
      <c r="L268" s="22">
        <v>70202</v>
      </c>
      <c r="M268" s="23" t="s">
        <v>2961</v>
      </c>
      <c r="N268" s="24">
        <v>0</v>
      </c>
      <c r="O268" s="26">
        <v>54200</v>
      </c>
      <c r="P268" s="24">
        <v>24650</v>
      </c>
      <c r="Q268" s="24">
        <v>291150</v>
      </c>
      <c r="R268" s="24">
        <v>105000</v>
      </c>
      <c r="S268" s="24">
        <v>100000</v>
      </c>
      <c r="T268" s="24">
        <v>105000</v>
      </c>
      <c r="U268" s="24">
        <v>100000</v>
      </c>
      <c r="V268" s="24">
        <v>100000</v>
      </c>
      <c r="W268" s="24">
        <v>105000</v>
      </c>
      <c r="X268" s="24">
        <v>115000</v>
      </c>
      <c r="Y268" s="24">
        <v>100000</v>
      </c>
      <c r="Z268" s="24">
        <f t="shared" si="14"/>
        <v>1200000</v>
      </c>
      <c r="AB268" s="25">
        <v>695600</v>
      </c>
      <c r="AC268" s="26">
        <v>695600</v>
      </c>
      <c r="AD268" s="24">
        <v>0</v>
      </c>
      <c r="AE268" s="27">
        <f>_xlfn.XLOOKUP(B268,'Projects Cashflow'!$B:$B,'Projects Cashflow'!$AG:$AG,0)</f>
        <v>695600</v>
      </c>
      <c r="AF268" s="28">
        <f t="shared" si="15"/>
        <v>0</v>
      </c>
    </row>
    <row r="269" spans="2:32" x14ac:dyDescent="0.3">
      <c r="B269" s="14" t="str">
        <f t="shared" si="13"/>
        <v>45112504511000277Art Materials-N1432626200104</v>
      </c>
      <c r="C269" s="21" t="s">
        <v>65</v>
      </c>
      <c r="D269" s="22">
        <v>4511250</v>
      </c>
      <c r="E269" s="21" t="s">
        <v>66</v>
      </c>
      <c r="F269" s="22">
        <v>4511000277</v>
      </c>
      <c r="G269" s="21" t="s">
        <v>2996</v>
      </c>
      <c r="H269" s="21" t="s">
        <v>75</v>
      </c>
      <c r="I269" s="22">
        <v>432626</v>
      </c>
      <c r="J269" s="22">
        <v>200104</v>
      </c>
      <c r="K269" s="22" t="s">
        <v>2959</v>
      </c>
      <c r="L269" s="22">
        <v>70202</v>
      </c>
      <c r="M269" s="23" t="s">
        <v>2961</v>
      </c>
      <c r="N269" s="24">
        <v>0</v>
      </c>
      <c r="O269" s="24">
        <v>0</v>
      </c>
      <c r="P269" s="24">
        <v>0</v>
      </c>
      <c r="Q269" s="24">
        <v>15000</v>
      </c>
      <c r="R269" s="24">
        <v>0</v>
      </c>
      <c r="S269" s="24">
        <v>12000</v>
      </c>
      <c r="T269" s="24">
        <v>0</v>
      </c>
      <c r="U269" s="24">
        <v>0</v>
      </c>
      <c r="V269" s="24">
        <v>13000</v>
      </c>
      <c r="W269" s="24">
        <v>0</v>
      </c>
      <c r="X269" s="24">
        <v>0</v>
      </c>
      <c r="Y269" s="24">
        <v>15000</v>
      </c>
      <c r="Z269" s="24">
        <f t="shared" si="14"/>
        <v>55000</v>
      </c>
      <c r="AB269" s="25">
        <v>135000</v>
      </c>
      <c r="AC269" s="26">
        <v>135000</v>
      </c>
      <c r="AD269" s="24">
        <v>0</v>
      </c>
      <c r="AE269" s="27">
        <f>_xlfn.XLOOKUP(B269,'Projects Cashflow'!$B:$B,'Projects Cashflow'!$AG:$AG,0)</f>
        <v>135000</v>
      </c>
      <c r="AF269" s="28">
        <f t="shared" si="15"/>
        <v>0</v>
      </c>
    </row>
    <row r="270" spans="2:32" x14ac:dyDescent="0.3">
      <c r="B270" s="14" t="str">
        <f t="shared" si="13"/>
        <v>45112504511000283Lease Improve-N490600300105</v>
      </c>
      <c r="C270" s="21" t="s">
        <v>65</v>
      </c>
      <c r="D270" s="22">
        <v>4511250</v>
      </c>
      <c r="E270" s="21" t="s">
        <v>66</v>
      </c>
      <c r="F270" s="22">
        <v>4511000283</v>
      </c>
      <c r="G270" s="21" t="s">
        <v>377</v>
      </c>
      <c r="H270" s="21" t="s">
        <v>89</v>
      </c>
      <c r="I270" s="22">
        <v>490600</v>
      </c>
      <c r="J270" s="22">
        <v>300105</v>
      </c>
      <c r="K270" s="22" t="s">
        <v>2972</v>
      </c>
      <c r="L270" s="22">
        <v>70205</v>
      </c>
      <c r="M270" s="23" t="s">
        <v>2961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1500000</v>
      </c>
      <c r="X270" s="24">
        <v>0</v>
      </c>
      <c r="Y270" s="24">
        <v>0</v>
      </c>
      <c r="Z270" s="24">
        <f t="shared" si="14"/>
        <v>1500000</v>
      </c>
      <c r="AB270" s="25">
        <v>1500000</v>
      </c>
      <c r="AC270" s="26">
        <v>1499999.9</v>
      </c>
      <c r="AD270" s="24">
        <v>0.10000000009313226</v>
      </c>
      <c r="AE270" s="27">
        <f>_xlfn.XLOOKUP(B270,'Projects Cashflow'!$B:$B,'Projects Cashflow'!$AG:$AG,0)</f>
        <v>1499999.9</v>
      </c>
      <c r="AF270" s="28">
        <f t="shared" si="15"/>
        <v>-0.10000000009313226</v>
      </c>
    </row>
    <row r="271" spans="2:32" x14ac:dyDescent="0.3">
      <c r="B271" s="14" t="str">
        <f t="shared" si="13"/>
        <v>45112504511000283Utilities-N423931200104</v>
      </c>
      <c r="C271" s="21" t="s">
        <v>65</v>
      </c>
      <c r="D271" s="22">
        <v>4511250</v>
      </c>
      <c r="E271" s="21" t="s">
        <v>66</v>
      </c>
      <c r="F271" s="22">
        <v>4511000283</v>
      </c>
      <c r="G271" s="21" t="s">
        <v>377</v>
      </c>
      <c r="H271" s="21" t="s">
        <v>110</v>
      </c>
      <c r="I271" s="22">
        <v>423931</v>
      </c>
      <c r="J271" s="22">
        <v>200104</v>
      </c>
      <c r="K271" s="22" t="s">
        <v>2959</v>
      </c>
      <c r="L271" s="22">
        <v>70205</v>
      </c>
      <c r="M271" s="23" t="s">
        <v>2961</v>
      </c>
      <c r="N271" s="24">
        <v>0</v>
      </c>
      <c r="O271" s="24">
        <v>0</v>
      </c>
      <c r="P271" s="24">
        <v>0</v>
      </c>
      <c r="Q271" s="24">
        <v>2276121.3499999996</v>
      </c>
      <c r="R271" s="24">
        <v>569030.32999999996</v>
      </c>
      <c r="S271" s="24">
        <v>569030.34</v>
      </c>
      <c r="T271" s="24">
        <v>569030.32999999996</v>
      </c>
      <c r="U271" s="24">
        <v>569030.32999999996</v>
      </c>
      <c r="V271" s="24">
        <v>569030.32999999996</v>
      </c>
      <c r="W271" s="24">
        <v>569030.32999999996</v>
      </c>
      <c r="X271" s="24">
        <v>569030.32999999996</v>
      </c>
      <c r="Y271" s="24">
        <v>569030.32999999996</v>
      </c>
      <c r="Z271" s="24">
        <f t="shared" si="14"/>
        <v>6828364</v>
      </c>
      <c r="AB271" s="25">
        <v>6828364</v>
      </c>
      <c r="AC271" s="26">
        <v>6828364</v>
      </c>
      <c r="AD271" s="24">
        <v>0</v>
      </c>
      <c r="AE271" s="27">
        <f>_xlfn.XLOOKUP(B271,'Projects Cashflow'!$B:$B,'Projects Cashflow'!$AG:$AG,0)</f>
        <v>6828364</v>
      </c>
      <c r="AF271" s="28">
        <f t="shared" si="15"/>
        <v>0</v>
      </c>
    </row>
    <row r="272" spans="2:32" x14ac:dyDescent="0.3">
      <c r="B272" s="14" t="str">
        <f t="shared" si="13"/>
        <v>45112504511000283Cleaning Service-N422311200104</v>
      </c>
      <c r="C272" s="21" t="s">
        <v>65</v>
      </c>
      <c r="D272" s="22">
        <v>4511250</v>
      </c>
      <c r="E272" s="21" t="s">
        <v>66</v>
      </c>
      <c r="F272" s="22">
        <v>4511000283</v>
      </c>
      <c r="G272" s="21" t="s">
        <v>377</v>
      </c>
      <c r="H272" s="21" t="s">
        <v>79</v>
      </c>
      <c r="I272" s="22">
        <v>422311</v>
      </c>
      <c r="J272" s="22">
        <v>200104</v>
      </c>
      <c r="K272" s="22" t="s">
        <v>2959</v>
      </c>
      <c r="L272" s="22">
        <v>70205</v>
      </c>
      <c r="M272" s="23" t="s">
        <v>2961</v>
      </c>
      <c r="N272" s="24">
        <v>0</v>
      </c>
      <c r="O272" s="24">
        <v>0</v>
      </c>
      <c r="P272" s="24">
        <v>0</v>
      </c>
      <c r="Q272" s="24">
        <v>1738112.68</v>
      </c>
      <c r="R272" s="24">
        <v>434528.17</v>
      </c>
      <c r="S272" s="24">
        <v>434528.17</v>
      </c>
      <c r="T272" s="24">
        <v>434528.17</v>
      </c>
      <c r="U272" s="24">
        <v>434528.17</v>
      </c>
      <c r="V272" s="24">
        <v>434528.16</v>
      </c>
      <c r="W272" s="24">
        <v>434528.16</v>
      </c>
      <c r="X272" s="24">
        <v>434528.16</v>
      </c>
      <c r="Y272" s="24">
        <v>434528.16</v>
      </c>
      <c r="Z272" s="24">
        <f t="shared" si="14"/>
        <v>5214338</v>
      </c>
      <c r="AB272" s="25">
        <v>5214338</v>
      </c>
      <c r="AC272" s="26">
        <v>5214338</v>
      </c>
      <c r="AD272" s="24">
        <v>0</v>
      </c>
      <c r="AE272" s="27">
        <f>_xlfn.XLOOKUP(B272,'Projects Cashflow'!$B:$B,'Projects Cashflow'!$AG:$AG,0)</f>
        <v>5214338</v>
      </c>
      <c r="AF272" s="28">
        <f t="shared" si="15"/>
        <v>0</v>
      </c>
    </row>
    <row r="273" spans="2:32" x14ac:dyDescent="0.3">
      <c r="B273" s="14" t="str">
        <f t="shared" si="13"/>
        <v>45112504511000283Security Service-N424551200104</v>
      </c>
      <c r="C273" s="21" t="s">
        <v>65</v>
      </c>
      <c r="D273" s="22">
        <v>4511250</v>
      </c>
      <c r="E273" s="21" t="s">
        <v>66</v>
      </c>
      <c r="F273" s="22">
        <v>4511000283</v>
      </c>
      <c r="G273" s="21" t="s">
        <v>377</v>
      </c>
      <c r="H273" s="21" t="s">
        <v>107</v>
      </c>
      <c r="I273" s="22">
        <v>424551</v>
      </c>
      <c r="J273" s="22">
        <v>200104</v>
      </c>
      <c r="K273" s="22" t="s">
        <v>2959</v>
      </c>
      <c r="L273" s="22">
        <v>70205</v>
      </c>
      <c r="M273" s="23" t="s">
        <v>2961</v>
      </c>
      <c r="N273" s="24">
        <v>0</v>
      </c>
      <c r="O273" s="24">
        <v>0</v>
      </c>
      <c r="P273" s="24">
        <v>0</v>
      </c>
      <c r="Q273" s="24">
        <v>1509080</v>
      </c>
      <c r="R273" s="24">
        <v>377270</v>
      </c>
      <c r="S273" s="24">
        <v>377270</v>
      </c>
      <c r="T273" s="24">
        <v>377270</v>
      </c>
      <c r="U273" s="24">
        <v>377270</v>
      </c>
      <c r="V273" s="24">
        <v>377270</v>
      </c>
      <c r="W273" s="24">
        <v>377270</v>
      </c>
      <c r="X273" s="24">
        <v>377270</v>
      </c>
      <c r="Y273" s="24">
        <v>377270</v>
      </c>
      <c r="Z273" s="24">
        <f t="shared" si="14"/>
        <v>4527240</v>
      </c>
      <c r="AB273" s="25">
        <v>4527240</v>
      </c>
      <c r="AC273" s="26">
        <v>4527240</v>
      </c>
      <c r="AD273" s="24">
        <v>0</v>
      </c>
      <c r="AE273" s="27">
        <f>_xlfn.XLOOKUP(B273,'Projects Cashflow'!$B:$B,'Projects Cashflow'!$AG:$AG,0)</f>
        <v>4527240</v>
      </c>
      <c r="AF273" s="28">
        <f t="shared" si="15"/>
        <v>0</v>
      </c>
    </row>
    <row r="274" spans="2:32" x14ac:dyDescent="0.3">
      <c r="B274" s="14" t="str">
        <f t="shared" si="13"/>
        <v>45112504511000283Activation&amp;Prog-N422401200104</v>
      </c>
      <c r="C274" s="21" t="s">
        <v>65</v>
      </c>
      <c r="D274" s="22">
        <v>4511250</v>
      </c>
      <c r="E274" s="21" t="s">
        <v>66</v>
      </c>
      <c r="F274" s="22">
        <v>4511000283</v>
      </c>
      <c r="G274" s="21" t="s">
        <v>377</v>
      </c>
      <c r="H274" s="21" t="s">
        <v>62</v>
      </c>
      <c r="I274" s="22">
        <v>422401</v>
      </c>
      <c r="J274" s="22">
        <v>200104</v>
      </c>
      <c r="K274" s="22" t="s">
        <v>2959</v>
      </c>
      <c r="L274" s="22">
        <v>70205</v>
      </c>
      <c r="M274" s="23" t="s">
        <v>2961</v>
      </c>
      <c r="N274" s="24">
        <v>0</v>
      </c>
      <c r="O274" s="24">
        <v>0</v>
      </c>
      <c r="P274" s="24">
        <v>0</v>
      </c>
      <c r="Q274" s="24">
        <v>2000000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160000</v>
      </c>
      <c r="X274" s="24">
        <v>240000</v>
      </c>
      <c r="Y274" s="24">
        <v>1800000</v>
      </c>
      <c r="Z274" s="24">
        <f t="shared" si="14"/>
        <v>4200000</v>
      </c>
      <c r="AB274" s="25">
        <v>4443435</v>
      </c>
      <c r="AC274" s="26">
        <v>4443435</v>
      </c>
      <c r="AD274" s="24">
        <v>0</v>
      </c>
      <c r="AE274" s="27">
        <f>_xlfn.XLOOKUP(B274,'Projects Cashflow'!$B:$B,'Projects Cashflow'!$AG:$AG,0)</f>
        <v>4443435</v>
      </c>
      <c r="AF274" s="28">
        <f t="shared" si="15"/>
        <v>0</v>
      </c>
    </row>
    <row r="275" spans="2:32" x14ac:dyDescent="0.3">
      <c r="B275" s="14" t="str">
        <f t="shared" si="13"/>
        <v>45112504511000283Maintenance-N426212200104</v>
      </c>
      <c r="C275" s="21" t="s">
        <v>65</v>
      </c>
      <c r="D275" s="22">
        <v>4511250</v>
      </c>
      <c r="E275" s="21" t="s">
        <v>66</v>
      </c>
      <c r="F275" s="22">
        <v>4511000283</v>
      </c>
      <c r="G275" s="21" t="s">
        <v>377</v>
      </c>
      <c r="H275" s="21" t="s">
        <v>95</v>
      </c>
      <c r="I275" s="22">
        <v>426212</v>
      </c>
      <c r="J275" s="22">
        <v>200104</v>
      </c>
      <c r="K275" s="22" t="s">
        <v>2959</v>
      </c>
      <c r="L275" s="22">
        <v>70205</v>
      </c>
      <c r="M275" s="23" t="s">
        <v>2961</v>
      </c>
      <c r="N275" s="24">
        <v>0</v>
      </c>
      <c r="O275" s="24">
        <v>0</v>
      </c>
      <c r="P275" s="24">
        <v>0</v>
      </c>
      <c r="Q275" s="24">
        <v>1151010.68</v>
      </c>
      <c r="R275" s="24">
        <v>287752.67</v>
      </c>
      <c r="S275" s="24">
        <v>287752.67</v>
      </c>
      <c r="T275" s="24">
        <v>287752.67</v>
      </c>
      <c r="U275" s="24">
        <v>287752.67</v>
      </c>
      <c r="V275" s="24">
        <v>287752.65999999997</v>
      </c>
      <c r="W275" s="24">
        <v>287752.65999999997</v>
      </c>
      <c r="X275" s="24">
        <v>287752.65999999997</v>
      </c>
      <c r="Y275" s="24">
        <v>287752.65999999997</v>
      </c>
      <c r="Z275" s="24">
        <f t="shared" si="14"/>
        <v>3453032.0000000005</v>
      </c>
      <c r="AB275" s="25">
        <v>3453032.0000000005</v>
      </c>
      <c r="AC275" s="26">
        <v>3453032</v>
      </c>
      <c r="AD275" s="24">
        <v>0</v>
      </c>
      <c r="AE275" s="27">
        <f>_xlfn.XLOOKUP(B275,'Projects Cashflow'!$B:$B,'Projects Cashflow'!$AG:$AG,0)</f>
        <v>3453032</v>
      </c>
      <c r="AF275" s="28">
        <f t="shared" si="15"/>
        <v>0</v>
      </c>
    </row>
    <row r="276" spans="2:32" x14ac:dyDescent="0.3">
      <c r="B276" s="14" t="str">
        <f t="shared" si="13"/>
        <v>45102304511000511FM Mgmnt (E-E)-N1426212200104</v>
      </c>
      <c r="C276" s="21" t="s">
        <v>2984</v>
      </c>
      <c r="D276" s="22">
        <v>4510230</v>
      </c>
      <c r="E276" s="21" t="s">
        <v>466</v>
      </c>
      <c r="F276" s="22">
        <v>4511000511</v>
      </c>
      <c r="G276" s="21" t="s">
        <v>2997</v>
      </c>
      <c r="H276" s="21" t="s">
        <v>655</v>
      </c>
      <c r="I276" s="22">
        <v>426212</v>
      </c>
      <c r="J276" s="22">
        <v>200104</v>
      </c>
      <c r="K276" s="22" t="s">
        <v>2959</v>
      </c>
      <c r="L276" s="22">
        <v>70107</v>
      </c>
      <c r="M276" s="23" t="s">
        <v>2960</v>
      </c>
      <c r="N276" s="24">
        <v>0</v>
      </c>
      <c r="O276" s="24">
        <v>0</v>
      </c>
      <c r="P276" s="24">
        <v>0</v>
      </c>
      <c r="Q276" s="24">
        <v>640000</v>
      </c>
      <c r="R276" s="24">
        <v>160000</v>
      </c>
      <c r="S276" s="24">
        <v>160000</v>
      </c>
      <c r="T276" s="24">
        <v>160000</v>
      </c>
      <c r="U276" s="24">
        <v>160000</v>
      </c>
      <c r="V276" s="24">
        <v>160000</v>
      </c>
      <c r="W276" s="24">
        <v>160000</v>
      </c>
      <c r="X276" s="24">
        <v>160000</v>
      </c>
      <c r="Y276" s="24">
        <v>0</v>
      </c>
      <c r="Z276" s="24">
        <f t="shared" si="14"/>
        <v>1760000</v>
      </c>
      <c r="AB276" s="25">
        <v>1760000</v>
      </c>
      <c r="AC276" s="26">
        <v>1760000</v>
      </c>
      <c r="AD276" s="24">
        <v>0</v>
      </c>
      <c r="AE276" s="27">
        <f>_xlfn.XLOOKUP(B276,'Projects Cashflow'!$B:$B,'Projects Cashflow'!$AG:$AG,0)</f>
        <v>1760000</v>
      </c>
      <c r="AF276" s="28">
        <f t="shared" si="15"/>
        <v>0</v>
      </c>
    </row>
    <row r="277" spans="2:32" x14ac:dyDescent="0.3">
      <c r="B277" s="14" t="str">
        <f t="shared" si="13"/>
        <v>45112504511000283Admin Expenses-N1421125200104</v>
      </c>
      <c r="C277" s="21" t="s">
        <v>65</v>
      </c>
      <c r="D277" s="22">
        <v>4511250</v>
      </c>
      <c r="E277" s="21" t="s">
        <v>66</v>
      </c>
      <c r="F277" s="22">
        <v>4511000283</v>
      </c>
      <c r="G277" s="21" t="s">
        <v>377</v>
      </c>
      <c r="H277" s="21" t="s">
        <v>73</v>
      </c>
      <c r="I277" s="22">
        <v>421125</v>
      </c>
      <c r="J277" s="22">
        <v>200104</v>
      </c>
      <c r="K277" s="22" t="s">
        <v>2959</v>
      </c>
      <c r="L277" s="22">
        <v>70205</v>
      </c>
      <c r="M277" s="23" t="s">
        <v>2961</v>
      </c>
      <c r="N277" s="24">
        <v>0</v>
      </c>
      <c r="O277" s="24">
        <v>0</v>
      </c>
      <c r="P277" s="24">
        <v>40000</v>
      </c>
      <c r="Q277" s="24">
        <v>663334</v>
      </c>
      <c r="R277" s="24">
        <v>175833.5</v>
      </c>
      <c r="S277" s="24">
        <v>175833.5</v>
      </c>
      <c r="T277" s="24">
        <v>175833.5</v>
      </c>
      <c r="U277" s="24">
        <v>175833.5</v>
      </c>
      <c r="V277" s="24">
        <v>175833.5</v>
      </c>
      <c r="W277" s="24">
        <v>175833.5</v>
      </c>
      <c r="X277" s="24">
        <v>175833.5</v>
      </c>
      <c r="Y277" s="24">
        <v>175833.5</v>
      </c>
      <c r="Z277" s="24">
        <f t="shared" si="14"/>
        <v>2110002</v>
      </c>
      <c r="AB277" s="25">
        <v>2110002</v>
      </c>
      <c r="AC277" s="26">
        <v>2110002</v>
      </c>
      <c r="AD277" s="24">
        <v>0</v>
      </c>
      <c r="AE277" s="27">
        <f>_xlfn.XLOOKUP(B277,'Projects Cashflow'!$B:$B,'Projects Cashflow'!$AG:$AG,0)</f>
        <v>2110002</v>
      </c>
      <c r="AF277" s="28">
        <f t="shared" si="15"/>
        <v>0</v>
      </c>
    </row>
    <row r="278" spans="2:32" x14ac:dyDescent="0.3">
      <c r="B278" s="14" t="str">
        <f t="shared" si="13"/>
        <v>45112504511000283FM Mgmnt (E-E)-N426212200104</v>
      </c>
      <c r="C278" s="21" t="s">
        <v>65</v>
      </c>
      <c r="D278" s="22">
        <v>4511250</v>
      </c>
      <c r="E278" s="21" t="s">
        <v>66</v>
      </c>
      <c r="F278" s="22">
        <v>4511000283</v>
      </c>
      <c r="G278" s="21" t="s">
        <v>377</v>
      </c>
      <c r="H278" s="21" t="s">
        <v>380</v>
      </c>
      <c r="I278" s="22">
        <v>426212</v>
      </c>
      <c r="J278" s="22">
        <v>200104</v>
      </c>
      <c r="K278" s="22" t="s">
        <v>2959</v>
      </c>
      <c r="L278" s="22">
        <v>70205</v>
      </c>
      <c r="M278" s="23" t="s">
        <v>2961</v>
      </c>
      <c r="N278" s="24">
        <v>0</v>
      </c>
      <c r="O278" s="24">
        <v>0</v>
      </c>
      <c r="P278" s="24">
        <v>0</v>
      </c>
      <c r="Q278" s="24">
        <v>408434.68</v>
      </c>
      <c r="R278" s="24">
        <v>102108.67</v>
      </c>
      <c r="S278" s="24">
        <v>102108.67</v>
      </c>
      <c r="T278" s="24">
        <v>102108.67</v>
      </c>
      <c r="U278" s="24">
        <v>102108.67</v>
      </c>
      <c r="V278" s="24">
        <v>102108.66</v>
      </c>
      <c r="W278" s="24">
        <v>102108.66</v>
      </c>
      <c r="X278" s="24">
        <v>102108.66</v>
      </c>
      <c r="Y278" s="24">
        <v>102108.66</v>
      </c>
      <c r="Z278" s="24">
        <f t="shared" si="14"/>
        <v>1225304</v>
      </c>
      <c r="AB278" s="25">
        <v>1225304</v>
      </c>
      <c r="AC278" s="26">
        <v>1225304</v>
      </c>
      <c r="AD278" s="24">
        <v>0</v>
      </c>
      <c r="AE278" s="27">
        <f>_xlfn.XLOOKUP(B278,'Projects Cashflow'!$B:$B,'Projects Cashflow'!$AG:$AG,0)</f>
        <v>1225304</v>
      </c>
      <c r="AF278" s="28">
        <f t="shared" si="15"/>
        <v>0</v>
      </c>
    </row>
    <row r="279" spans="2:32" x14ac:dyDescent="0.3">
      <c r="B279" s="14" t="str">
        <f t="shared" si="13"/>
        <v>45112504511000283Ad-hoc Repairs-N426427200104</v>
      </c>
      <c r="C279" s="21" t="s">
        <v>65</v>
      </c>
      <c r="D279" s="22">
        <v>4511250</v>
      </c>
      <c r="E279" s="21" t="s">
        <v>66</v>
      </c>
      <c r="F279" s="22">
        <v>4511000283</v>
      </c>
      <c r="G279" s="21" t="s">
        <v>377</v>
      </c>
      <c r="H279" s="21" t="s">
        <v>70</v>
      </c>
      <c r="I279" s="22">
        <v>426427</v>
      </c>
      <c r="J279" s="22">
        <v>200104</v>
      </c>
      <c r="K279" s="22" t="s">
        <v>2959</v>
      </c>
      <c r="L279" s="22">
        <v>70205</v>
      </c>
      <c r="M279" s="23" t="s">
        <v>2961</v>
      </c>
      <c r="N279" s="24">
        <v>0</v>
      </c>
      <c r="O279" s="24">
        <v>0</v>
      </c>
      <c r="P279" s="24">
        <v>0</v>
      </c>
      <c r="Q279" s="24">
        <v>333333.32799999998</v>
      </c>
      <c r="R279" s="24">
        <v>83333.334000000003</v>
      </c>
      <c r="S279" s="24">
        <v>83333.334000000003</v>
      </c>
      <c r="T279" s="24">
        <v>83333.334000000003</v>
      </c>
      <c r="U279" s="24">
        <v>83333.334000000003</v>
      </c>
      <c r="V279" s="24">
        <v>83333.334000000003</v>
      </c>
      <c r="W279" s="24">
        <v>83333.334000000003</v>
      </c>
      <c r="X279" s="24">
        <v>83333.334000000003</v>
      </c>
      <c r="Y279" s="24">
        <v>83333.334000000003</v>
      </c>
      <c r="Z279" s="24">
        <f t="shared" si="14"/>
        <v>1000000.0000000002</v>
      </c>
      <c r="AB279" s="25">
        <v>1000000.0000000002</v>
      </c>
      <c r="AC279" s="26">
        <v>1000000</v>
      </c>
      <c r="AD279" s="24">
        <v>0</v>
      </c>
      <c r="AE279" s="27">
        <f>_xlfn.XLOOKUP(B279,'Projects Cashflow'!$B:$B,'Projects Cashflow'!$AG:$AG,0)</f>
        <v>1000000</v>
      </c>
      <c r="AF279" s="28">
        <f t="shared" si="15"/>
        <v>0</v>
      </c>
    </row>
    <row r="280" spans="2:32" x14ac:dyDescent="0.3">
      <c r="B280" s="14" t="str">
        <f t="shared" si="13"/>
        <v>45112504511000512Manpower-N424521200104</v>
      </c>
      <c r="C280" s="21" t="s">
        <v>65</v>
      </c>
      <c r="D280" s="22">
        <v>4511250</v>
      </c>
      <c r="E280" s="21" t="s">
        <v>66</v>
      </c>
      <c r="F280" s="22">
        <v>4511000512</v>
      </c>
      <c r="G280" s="21" t="s">
        <v>2998</v>
      </c>
      <c r="H280" s="21" t="s">
        <v>98</v>
      </c>
      <c r="I280" s="22">
        <v>424521</v>
      </c>
      <c r="J280" s="22">
        <v>200104</v>
      </c>
      <c r="K280" s="22" t="s">
        <v>2959</v>
      </c>
      <c r="L280" s="22">
        <v>70205</v>
      </c>
      <c r="M280" s="23" t="s">
        <v>2961</v>
      </c>
      <c r="N280" s="24">
        <v>0</v>
      </c>
      <c r="O280" s="24">
        <v>0</v>
      </c>
      <c r="P280" s="24">
        <v>0</v>
      </c>
      <c r="Q280" s="24">
        <v>298355</v>
      </c>
      <c r="R280" s="24">
        <v>74589</v>
      </c>
      <c r="S280" s="24">
        <v>74589</v>
      </c>
      <c r="T280" s="24">
        <v>74589</v>
      </c>
      <c r="U280" s="24">
        <v>74589</v>
      </c>
      <c r="V280" s="24">
        <v>74589</v>
      </c>
      <c r="W280" s="24">
        <v>74589</v>
      </c>
      <c r="X280" s="24">
        <v>74589</v>
      </c>
      <c r="Y280" s="24">
        <v>74586</v>
      </c>
      <c r="Z280" s="24">
        <f t="shared" si="14"/>
        <v>895064</v>
      </c>
      <c r="AB280" s="25">
        <v>895064</v>
      </c>
      <c r="AC280" s="26">
        <v>895067.4</v>
      </c>
      <c r="AD280" s="24">
        <v>-3.4000000000232831</v>
      </c>
      <c r="AE280" s="27">
        <f>_xlfn.XLOOKUP(B280,'Projects Cashflow'!$B:$B,'Projects Cashflow'!$AG:$AG,0)</f>
        <v>895067.4</v>
      </c>
      <c r="AF280" s="28">
        <f t="shared" si="15"/>
        <v>3.4000000000232831</v>
      </c>
    </row>
    <row r="281" spans="2:32" x14ac:dyDescent="0.3">
      <c r="B281" s="14" t="str">
        <f t="shared" si="13"/>
        <v>45112504511000283Concept Develop-N423411200104</v>
      </c>
      <c r="C281" s="21" t="s">
        <v>65</v>
      </c>
      <c r="D281" s="22">
        <v>4511250</v>
      </c>
      <c r="E281" s="21" t="s">
        <v>66</v>
      </c>
      <c r="F281" s="22">
        <v>4511000283</v>
      </c>
      <c r="G281" s="21" t="s">
        <v>377</v>
      </c>
      <c r="H281" s="21" t="s">
        <v>378</v>
      </c>
      <c r="I281" s="22">
        <v>423411</v>
      </c>
      <c r="J281" s="22">
        <v>200104</v>
      </c>
      <c r="K281" s="22" t="s">
        <v>2959</v>
      </c>
      <c r="L281" s="22">
        <v>70205</v>
      </c>
      <c r="M281" s="23" t="s">
        <v>2961</v>
      </c>
      <c r="N281" s="24">
        <v>0</v>
      </c>
      <c r="O281" s="24">
        <v>0</v>
      </c>
      <c r="P281" s="24">
        <v>0</v>
      </c>
      <c r="Q281" s="24">
        <v>0</v>
      </c>
      <c r="R281" s="24">
        <v>0</v>
      </c>
      <c r="S281" s="24">
        <v>0</v>
      </c>
      <c r="T281" s="24">
        <v>0</v>
      </c>
      <c r="U281" s="24">
        <v>0</v>
      </c>
      <c r="V281" s="24">
        <v>0</v>
      </c>
      <c r="W281" s="24">
        <v>0</v>
      </c>
      <c r="X281" s="24">
        <v>0</v>
      </c>
      <c r="Y281" s="24">
        <v>360000</v>
      </c>
      <c r="Z281" s="24">
        <f t="shared" si="14"/>
        <v>360000</v>
      </c>
      <c r="AB281" s="25">
        <v>315000</v>
      </c>
      <c r="AC281" s="26">
        <v>315000</v>
      </c>
      <c r="AD281" s="24">
        <v>0</v>
      </c>
      <c r="AE281" s="27">
        <f>_xlfn.XLOOKUP(B281,'Projects Cashflow'!$B:$B,'Projects Cashflow'!$AG:$AG,0)</f>
        <v>315000</v>
      </c>
      <c r="AF281" s="28">
        <f t="shared" si="15"/>
        <v>0</v>
      </c>
    </row>
    <row r="282" spans="2:32" x14ac:dyDescent="0.3">
      <c r="B282" s="14" t="str">
        <f t="shared" si="13"/>
        <v>45112504511000283Hospitality-N424761200104</v>
      </c>
      <c r="C282" s="21" t="s">
        <v>65</v>
      </c>
      <c r="D282" s="22">
        <v>4511250</v>
      </c>
      <c r="E282" s="21" t="s">
        <v>66</v>
      </c>
      <c r="F282" s="22">
        <v>4511000283</v>
      </c>
      <c r="G282" s="21" t="s">
        <v>377</v>
      </c>
      <c r="H282" s="21" t="s">
        <v>83</v>
      </c>
      <c r="I282" s="22">
        <v>424761</v>
      </c>
      <c r="J282" s="22">
        <v>200104</v>
      </c>
      <c r="K282" s="22" t="s">
        <v>2959</v>
      </c>
      <c r="L282" s="22">
        <v>70205</v>
      </c>
      <c r="M282" s="23" t="s">
        <v>2961</v>
      </c>
      <c r="N282" s="24">
        <v>0</v>
      </c>
      <c r="O282" s="24">
        <v>0</v>
      </c>
      <c r="P282" s="24">
        <v>0</v>
      </c>
      <c r="Q282" s="24">
        <v>111926</v>
      </c>
      <c r="R282" s="24">
        <v>27981.5</v>
      </c>
      <c r="S282" s="24">
        <v>27981.5</v>
      </c>
      <c r="T282" s="24">
        <v>27981.5</v>
      </c>
      <c r="U282" s="24">
        <v>27981.5</v>
      </c>
      <c r="V282" s="24">
        <v>27981.5</v>
      </c>
      <c r="W282" s="24">
        <v>27981.5</v>
      </c>
      <c r="X282" s="24">
        <v>27981.5</v>
      </c>
      <c r="Y282" s="24">
        <v>27981.5</v>
      </c>
      <c r="Z282" s="24">
        <f t="shared" si="14"/>
        <v>335778</v>
      </c>
      <c r="AB282" s="25">
        <v>335778</v>
      </c>
      <c r="AC282" s="26">
        <v>335778</v>
      </c>
      <c r="AD282" s="24">
        <v>0</v>
      </c>
      <c r="AE282" s="27">
        <f>_xlfn.XLOOKUP(B282,'Projects Cashflow'!$B:$B,'Projects Cashflow'!$AG:$AG,0)</f>
        <v>335778</v>
      </c>
      <c r="AF282" s="28">
        <f t="shared" si="15"/>
        <v>0</v>
      </c>
    </row>
    <row r="283" spans="2:32" x14ac:dyDescent="0.3">
      <c r="B283" s="14" t="str">
        <f t="shared" si="13"/>
        <v>45112504511000283Research&amp;Survey-N423411200104</v>
      </c>
      <c r="C283" s="21" t="s">
        <v>65</v>
      </c>
      <c r="D283" s="22">
        <v>4511250</v>
      </c>
      <c r="E283" s="21" t="s">
        <v>66</v>
      </c>
      <c r="F283" s="22">
        <v>4511000283</v>
      </c>
      <c r="G283" s="21" t="s">
        <v>377</v>
      </c>
      <c r="H283" s="21" t="s">
        <v>381</v>
      </c>
      <c r="I283" s="22">
        <v>423411</v>
      </c>
      <c r="J283" s="22">
        <v>200104</v>
      </c>
      <c r="K283" s="22" t="s">
        <v>2959</v>
      </c>
      <c r="L283" s="22">
        <v>70205</v>
      </c>
      <c r="M283" s="23" t="s">
        <v>2961</v>
      </c>
      <c r="N283" s="24">
        <v>0</v>
      </c>
      <c r="O283" s="24">
        <v>0</v>
      </c>
      <c r="P283" s="24">
        <v>0</v>
      </c>
      <c r="Q283" s="24">
        <v>72000</v>
      </c>
      <c r="R283" s="24">
        <v>18000</v>
      </c>
      <c r="S283" s="24">
        <v>18000</v>
      </c>
      <c r="T283" s="24">
        <v>18000</v>
      </c>
      <c r="U283" s="24">
        <v>18000</v>
      </c>
      <c r="V283" s="24">
        <v>18000</v>
      </c>
      <c r="W283" s="24">
        <v>18000</v>
      </c>
      <c r="X283" s="24">
        <v>18000</v>
      </c>
      <c r="Y283" s="24">
        <v>27000</v>
      </c>
      <c r="Z283" s="24">
        <f t="shared" si="14"/>
        <v>225000</v>
      </c>
      <c r="AB283" s="25">
        <v>162000</v>
      </c>
      <c r="AC283" s="26">
        <v>162000</v>
      </c>
      <c r="AD283" s="24">
        <v>0</v>
      </c>
      <c r="AE283" s="27">
        <f>_xlfn.XLOOKUP(B283,'Projects Cashflow'!$B:$B,'Projects Cashflow'!$AG:$AG,0)</f>
        <v>162000</v>
      </c>
      <c r="AF283" s="28">
        <f t="shared" si="15"/>
        <v>0</v>
      </c>
    </row>
    <row r="284" spans="2:32" x14ac:dyDescent="0.3">
      <c r="B284" s="14" t="str">
        <f t="shared" si="13"/>
        <v>45112504511000283Edu &amp; Outreach-N422401200104</v>
      </c>
      <c r="C284" s="21" t="s">
        <v>65</v>
      </c>
      <c r="D284" s="22">
        <v>4511250</v>
      </c>
      <c r="E284" s="21" t="s">
        <v>66</v>
      </c>
      <c r="F284" s="22">
        <v>4511000283</v>
      </c>
      <c r="G284" s="21" t="s">
        <v>377</v>
      </c>
      <c r="H284" s="21" t="s">
        <v>155</v>
      </c>
      <c r="I284" s="22">
        <v>422401</v>
      </c>
      <c r="J284" s="22">
        <v>200104</v>
      </c>
      <c r="K284" s="22" t="s">
        <v>2959</v>
      </c>
      <c r="L284" s="22">
        <v>70205</v>
      </c>
      <c r="M284" s="23" t="s">
        <v>2961</v>
      </c>
      <c r="N284" s="24">
        <v>0</v>
      </c>
      <c r="O284" s="24">
        <v>0</v>
      </c>
      <c r="P284" s="24">
        <v>0</v>
      </c>
      <c r="Q284" s="24">
        <v>0</v>
      </c>
      <c r="R284" s="24">
        <v>0</v>
      </c>
      <c r="S284" s="24">
        <v>0</v>
      </c>
      <c r="T284" s="24">
        <v>0</v>
      </c>
      <c r="U284" s="24">
        <v>90000</v>
      </c>
      <c r="V284" s="24">
        <v>0</v>
      </c>
      <c r="W284" s="24">
        <v>45000</v>
      </c>
      <c r="X284" s="24">
        <v>0</v>
      </c>
      <c r="Y284" s="24">
        <v>0</v>
      </c>
      <c r="Z284" s="24">
        <f t="shared" si="14"/>
        <v>135000</v>
      </c>
      <c r="AB284" s="25">
        <v>0</v>
      </c>
      <c r="AC284" s="26">
        <v>0</v>
      </c>
      <c r="AD284" s="24">
        <v>0</v>
      </c>
      <c r="AE284" s="27">
        <f>_xlfn.XLOOKUP(B284,'Projects Cashflow'!$B:$B,'Projects Cashflow'!$AG:$AG,0)</f>
        <v>0</v>
      </c>
      <c r="AF284" s="28">
        <f t="shared" si="15"/>
        <v>0</v>
      </c>
    </row>
    <row r="285" spans="2:32" x14ac:dyDescent="0.3">
      <c r="B285" s="14" t="str">
        <f t="shared" si="13"/>
        <v>45112504511000283Freelancers-N424521200104</v>
      </c>
      <c r="C285" s="21" t="s">
        <v>65</v>
      </c>
      <c r="D285" s="22">
        <v>4511250</v>
      </c>
      <c r="E285" s="21" t="s">
        <v>66</v>
      </c>
      <c r="F285" s="22">
        <v>4511000283</v>
      </c>
      <c r="G285" s="21" t="s">
        <v>377</v>
      </c>
      <c r="H285" s="21" t="s">
        <v>50</v>
      </c>
      <c r="I285" s="22">
        <v>424521</v>
      </c>
      <c r="J285" s="22">
        <v>200104</v>
      </c>
      <c r="K285" s="22" t="s">
        <v>2959</v>
      </c>
      <c r="L285" s="22">
        <v>70205</v>
      </c>
      <c r="M285" s="23" t="s">
        <v>2961</v>
      </c>
      <c r="N285" s="24">
        <v>0</v>
      </c>
      <c r="O285" s="24">
        <v>0</v>
      </c>
      <c r="P285" s="24">
        <v>20000</v>
      </c>
      <c r="Q285" s="24">
        <v>20000</v>
      </c>
      <c r="R285" s="24">
        <v>10000</v>
      </c>
      <c r="S285" s="24">
        <v>10000</v>
      </c>
      <c r="T285" s="24">
        <v>10000</v>
      </c>
      <c r="U285" s="24">
        <v>10000</v>
      </c>
      <c r="V285" s="24">
        <v>10000</v>
      </c>
      <c r="W285" s="24">
        <v>10000</v>
      </c>
      <c r="X285" s="24">
        <v>10000</v>
      </c>
      <c r="Y285" s="24">
        <v>10000</v>
      </c>
      <c r="Z285" s="24">
        <f t="shared" si="14"/>
        <v>120000</v>
      </c>
      <c r="AB285" s="25">
        <v>228000</v>
      </c>
      <c r="AC285" s="26">
        <v>228000</v>
      </c>
      <c r="AD285" s="24">
        <v>0</v>
      </c>
      <c r="AE285" s="27">
        <f>_xlfn.XLOOKUP(B285,'Projects Cashflow'!$B:$B,'Projects Cashflow'!$AG:$AG,0)</f>
        <v>228000</v>
      </c>
      <c r="AF285" s="28">
        <f t="shared" si="15"/>
        <v>0</v>
      </c>
    </row>
    <row r="286" spans="2:32" x14ac:dyDescent="0.3">
      <c r="B286" s="14" t="str">
        <f t="shared" si="13"/>
        <v>45112504511000283Pest Control-N422321200104</v>
      </c>
      <c r="C286" s="21" t="s">
        <v>65</v>
      </c>
      <c r="D286" s="22">
        <v>4511250</v>
      </c>
      <c r="E286" s="21" t="s">
        <v>66</v>
      </c>
      <c r="F286" s="22">
        <v>4511000283</v>
      </c>
      <c r="G286" s="21" t="s">
        <v>377</v>
      </c>
      <c r="H286" s="21" t="s">
        <v>103</v>
      </c>
      <c r="I286" s="22">
        <v>422321</v>
      </c>
      <c r="J286" s="22">
        <v>200104</v>
      </c>
      <c r="K286" s="22" t="s">
        <v>2959</v>
      </c>
      <c r="L286" s="22">
        <v>70205</v>
      </c>
      <c r="M286" s="23" t="s">
        <v>2961</v>
      </c>
      <c r="N286" s="24">
        <v>0</v>
      </c>
      <c r="O286" s="24">
        <v>0</v>
      </c>
      <c r="P286" s="24">
        <v>0</v>
      </c>
      <c r="Q286" s="24">
        <v>36231.360000000001</v>
      </c>
      <c r="R286" s="24">
        <v>9057.83</v>
      </c>
      <c r="S286" s="24">
        <v>9057.83</v>
      </c>
      <c r="T286" s="24">
        <v>9057.83</v>
      </c>
      <c r="U286" s="24">
        <v>9057.83</v>
      </c>
      <c r="V286" s="24">
        <v>9057.83</v>
      </c>
      <c r="W286" s="24">
        <v>9057.83</v>
      </c>
      <c r="X286" s="24">
        <v>9057.83</v>
      </c>
      <c r="Y286" s="24">
        <v>9057.83</v>
      </c>
      <c r="Z286" s="24">
        <f t="shared" si="14"/>
        <v>108694.00000000001</v>
      </c>
      <c r="AB286" s="25">
        <v>108694.00000000001</v>
      </c>
      <c r="AC286" s="26">
        <v>108694</v>
      </c>
      <c r="AD286" s="24">
        <v>0</v>
      </c>
      <c r="AE286" s="27">
        <f>_xlfn.XLOOKUP(B286,'Projects Cashflow'!$B:$B,'Projects Cashflow'!$AG:$AG,0)</f>
        <v>108694</v>
      </c>
      <c r="AF286" s="28">
        <f t="shared" si="15"/>
        <v>0</v>
      </c>
    </row>
    <row r="287" spans="2:32" x14ac:dyDescent="0.3">
      <c r="B287" s="14" t="str">
        <f t="shared" si="13"/>
        <v>45112504511000283Waste Mgmnt-N424591200104</v>
      </c>
      <c r="C287" s="21" t="s">
        <v>65</v>
      </c>
      <c r="D287" s="22">
        <v>4511250</v>
      </c>
      <c r="E287" s="21" t="s">
        <v>66</v>
      </c>
      <c r="F287" s="22">
        <v>4511000283</v>
      </c>
      <c r="G287" s="21" t="s">
        <v>377</v>
      </c>
      <c r="H287" s="21" t="s">
        <v>382</v>
      </c>
      <c r="I287" s="22">
        <v>424591</v>
      </c>
      <c r="J287" s="22">
        <v>200104</v>
      </c>
      <c r="K287" s="22" t="s">
        <v>2959</v>
      </c>
      <c r="L287" s="22">
        <v>70205</v>
      </c>
      <c r="M287" s="23" t="s">
        <v>2961</v>
      </c>
      <c r="N287" s="24">
        <v>0</v>
      </c>
      <c r="O287" s="24">
        <v>0</v>
      </c>
      <c r="P287" s="24">
        <v>0</v>
      </c>
      <c r="Q287" s="24">
        <v>7426.68</v>
      </c>
      <c r="R287" s="24">
        <v>1856.67</v>
      </c>
      <c r="S287" s="24">
        <v>1856.67</v>
      </c>
      <c r="T287" s="24">
        <v>1856.67</v>
      </c>
      <c r="U287" s="24">
        <v>1856.67</v>
      </c>
      <c r="V287" s="24">
        <v>1856.66</v>
      </c>
      <c r="W287" s="24">
        <v>1856.66</v>
      </c>
      <c r="X287" s="24">
        <v>1856.66</v>
      </c>
      <c r="Y287" s="24">
        <v>1856.66</v>
      </c>
      <c r="Z287" s="24">
        <f t="shared" si="14"/>
        <v>22280</v>
      </c>
      <c r="AB287" s="25">
        <v>22280</v>
      </c>
      <c r="AC287" s="26">
        <v>22280</v>
      </c>
      <c r="AD287" s="24">
        <v>0</v>
      </c>
      <c r="AE287" s="27">
        <f>_xlfn.XLOOKUP(B287,'Projects Cashflow'!$B:$B,'Projects Cashflow'!$AG:$AG,0)</f>
        <v>22280</v>
      </c>
      <c r="AF287" s="28">
        <f t="shared" si="15"/>
        <v>0</v>
      </c>
    </row>
    <row r="288" spans="2:32" x14ac:dyDescent="0.3">
      <c r="B288" s="14" t="str">
        <f t="shared" si="13"/>
        <v>45112504511000299Admin Expenses-N1421125200104</v>
      </c>
      <c r="C288" s="21" t="s">
        <v>65</v>
      </c>
      <c r="D288" s="22">
        <v>4511250</v>
      </c>
      <c r="E288" s="21" t="s">
        <v>66</v>
      </c>
      <c r="F288" s="22">
        <v>4511000299</v>
      </c>
      <c r="G288" s="21" t="s">
        <v>408</v>
      </c>
      <c r="H288" s="21" t="s">
        <v>73</v>
      </c>
      <c r="I288" s="22">
        <v>421125</v>
      </c>
      <c r="J288" s="22">
        <v>200104</v>
      </c>
      <c r="K288" s="22" t="s">
        <v>2959</v>
      </c>
      <c r="L288" s="22">
        <v>70205</v>
      </c>
      <c r="M288" s="23" t="s">
        <v>2961</v>
      </c>
      <c r="N288" s="24">
        <v>0</v>
      </c>
      <c r="O288" s="24">
        <v>0</v>
      </c>
      <c r="P288" s="24">
        <v>0</v>
      </c>
      <c r="Q288" s="24">
        <v>27000</v>
      </c>
      <c r="R288" s="24">
        <v>13500</v>
      </c>
      <c r="S288" s="24">
        <v>13500</v>
      </c>
      <c r="T288" s="24">
        <v>13500</v>
      </c>
      <c r="U288" s="24">
        <v>13500</v>
      </c>
      <c r="V288" s="24">
        <v>13500</v>
      </c>
      <c r="W288" s="24">
        <v>13500</v>
      </c>
      <c r="X288" s="24">
        <v>13500</v>
      </c>
      <c r="Y288" s="24">
        <v>40500</v>
      </c>
      <c r="Z288" s="24">
        <f t="shared" si="14"/>
        <v>162000</v>
      </c>
      <c r="AB288" s="25">
        <v>162000</v>
      </c>
      <c r="AC288" s="26">
        <v>162000</v>
      </c>
      <c r="AD288" s="24">
        <v>0</v>
      </c>
      <c r="AE288" s="27">
        <f>_xlfn.XLOOKUP(B288,'Projects Cashflow'!$B:$B,'Projects Cashflow'!$AG:$AG,0)</f>
        <v>162000</v>
      </c>
      <c r="AF288" s="28">
        <f t="shared" si="15"/>
        <v>0</v>
      </c>
    </row>
    <row r="289" spans="2:32" x14ac:dyDescent="0.3">
      <c r="B289" s="14" t="str">
        <f t="shared" si="13"/>
        <v>45112504511000318Audio &amp; Visual-N491335300105</v>
      </c>
      <c r="C289" s="21" t="s">
        <v>65</v>
      </c>
      <c r="D289" s="22">
        <v>4511250</v>
      </c>
      <c r="E289" s="21" t="s">
        <v>66</v>
      </c>
      <c r="F289" s="22">
        <v>4511000318</v>
      </c>
      <c r="G289" s="21" t="s">
        <v>2999</v>
      </c>
      <c r="H289" s="21" t="s">
        <v>418</v>
      </c>
      <c r="I289" s="22">
        <v>491335</v>
      </c>
      <c r="J289" s="22">
        <v>300105</v>
      </c>
      <c r="K289" s="22" t="s">
        <v>2972</v>
      </c>
      <c r="L289" s="22">
        <v>70205</v>
      </c>
      <c r="M289" s="23" t="s">
        <v>2961</v>
      </c>
      <c r="N289" s="24">
        <v>0</v>
      </c>
      <c r="O289" s="24">
        <v>0</v>
      </c>
      <c r="P289" s="24">
        <v>0</v>
      </c>
      <c r="Q289" s="24">
        <v>0</v>
      </c>
      <c r="R289" s="24">
        <v>0</v>
      </c>
      <c r="S289" s="24">
        <v>0</v>
      </c>
      <c r="T289" s="24">
        <v>0</v>
      </c>
      <c r="U289" s="24">
        <v>0</v>
      </c>
      <c r="V289" s="24">
        <v>0</v>
      </c>
      <c r="W289" s="24">
        <v>2418017</v>
      </c>
      <c r="X289" s="24">
        <v>0</v>
      </c>
      <c r="Y289" s="24">
        <v>0</v>
      </c>
      <c r="Z289" s="24">
        <f t="shared" si="14"/>
        <v>2418017</v>
      </c>
      <c r="AB289" s="25">
        <v>2418017</v>
      </c>
      <c r="AC289" s="26">
        <v>2418017</v>
      </c>
      <c r="AD289" s="24">
        <v>0</v>
      </c>
      <c r="AE289" s="27">
        <f>_xlfn.XLOOKUP(B289,'Projects Cashflow'!$B:$B,'Projects Cashflow'!$AG:$AG,0)</f>
        <v>2418017</v>
      </c>
      <c r="AF289" s="28">
        <f t="shared" si="15"/>
        <v>0</v>
      </c>
    </row>
    <row r="290" spans="2:32" x14ac:dyDescent="0.3">
      <c r="B290" s="14" t="str">
        <f t="shared" si="13"/>
        <v>45112504511000318Manpower-N424521200104</v>
      </c>
      <c r="C290" s="21" t="s">
        <v>65</v>
      </c>
      <c r="D290" s="22">
        <v>4511250</v>
      </c>
      <c r="E290" s="21" t="s">
        <v>66</v>
      </c>
      <c r="F290" s="22">
        <v>4511000318</v>
      </c>
      <c r="G290" s="21" t="s">
        <v>2999</v>
      </c>
      <c r="H290" s="21" t="s">
        <v>98</v>
      </c>
      <c r="I290" s="22">
        <v>424521</v>
      </c>
      <c r="J290" s="22">
        <v>200104</v>
      </c>
      <c r="K290" s="22" t="s">
        <v>2959</v>
      </c>
      <c r="L290" s="22">
        <v>70205</v>
      </c>
      <c r="M290" s="23" t="s">
        <v>2961</v>
      </c>
      <c r="N290" s="24">
        <v>0</v>
      </c>
      <c r="O290" s="24">
        <v>0</v>
      </c>
      <c r="P290" s="24">
        <v>0</v>
      </c>
      <c r="Q290" s="24">
        <v>963333.35</v>
      </c>
      <c r="R290" s="24">
        <v>240833.34</v>
      </c>
      <c r="S290" s="24">
        <v>240833.33</v>
      </c>
      <c r="T290" s="24">
        <v>240833.33</v>
      </c>
      <c r="U290" s="24">
        <v>240833.33</v>
      </c>
      <c r="V290" s="24">
        <v>240833.33</v>
      </c>
      <c r="W290" s="24">
        <v>240833.33</v>
      </c>
      <c r="X290" s="24">
        <v>240833.33</v>
      </c>
      <c r="Y290" s="24">
        <v>240833.33</v>
      </c>
      <c r="Z290" s="24">
        <f t="shared" si="14"/>
        <v>2890000.0000000005</v>
      </c>
      <c r="AB290" s="25">
        <v>2890000.0000000005</v>
      </c>
      <c r="AC290" s="26">
        <v>2890000</v>
      </c>
      <c r="AD290" s="24">
        <v>0</v>
      </c>
      <c r="AE290" s="27">
        <f>_xlfn.XLOOKUP(B290,'Projects Cashflow'!$B:$B,'Projects Cashflow'!$AG:$AG,0)</f>
        <v>2890000</v>
      </c>
      <c r="AF290" s="28">
        <f t="shared" si="15"/>
        <v>0</v>
      </c>
    </row>
    <row r="291" spans="2:32" x14ac:dyDescent="0.3">
      <c r="B291" s="14" t="str">
        <f t="shared" si="13"/>
        <v>45112504511000341Activation&amp;Prog-N422401200104</v>
      </c>
      <c r="C291" s="21" t="s">
        <v>65</v>
      </c>
      <c r="D291" s="22">
        <v>4511250</v>
      </c>
      <c r="E291" s="21" t="s">
        <v>66</v>
      </c>
      <c r="F291" s="22">
        <v>4511000341</v>
      </c>
      <c r="G291" s="21" t="s">
        <v>3000</v>
      </c>
      <c r="H291" s="21" t="s">
        <v>62</v>
      </c>
      <c r="I291" s="22">
        <v>422401</v>
      </c>
      <c r="J291" s="22">
        <v>200104</v>
      </c>
      <c r="K291" s="22" t="s">
        <v>2959</v>
      </c>
      <c r="L291" s="22">
        <v>70205</v>
      </c>
      <c r="M291" s="23" t="s">
        <v>2961</v>
      </c>
      <c r="N291" s="24">
        <v>0</v>
      </c>
      <c r="O291" s="24">
        <v>0</v>
      </c>
      <c r="P291" s="24">
        <v>0</v>
      </c>
      <c r="Q291" s="24">
        <v>775000</v>
      </c>
      <c r="R291" s="24">
        <v>150000</v>
      </c>
      <c r="S291" s="24">
        <v>375000</v>
      </c>
      <c r="T291" s="24">
        <v>200000</v>
      </c>
      <c r="U291" s="24">
        <v>200000</v>
      </c>
      <c r="V291" s="24">
        <v>150000</v>
      </c>
      <c r="W291" s="24">
        <v>150000</v>
      </c>
      <c r="X291" s="24">
        <v>150000</v>
      </c>
      <c r="Y291" s="24">
        <v>787215.8</v>
      </c>
      <c r="Z291" s="24">
        <f t="shared" si="14"/>
        <v>2937215.8</v>
      </c>
      <c r="AB291" s="25">
        <v>2937215.8</v>
      </c>
      <c r="AC291" s="26">
        <v>2937215.9</v>
      </c>
      <c r="AD291" s="24">
        <v>-0.10000000009313226</v>
      </c>
      <c r="AE291" s="27">
        <f>_xlfn.XLOOKUP(B291,'Projects Cashflow'!$B:$B,'Projects Cashflow'!$AG:$AG,0)</f>
        <v>2937215.9</v>
      </c>
      <c r="AF291" s="28">
        <f t="shared" si="15"/>
        <v>0.10000000009313226</v>
      </c>
    </row>
    <row r="292" spans="2:32" x14ac:dyDescent="0.3">
      <c r="B292" s="14" t="str">
        <f t="shared" si="13"/>
        <v>45112504511000341Freelancers-N424521200104</v>
      </c>
      <c r="C292" s="21" t="s">
        <v>65</v>
      </c>
      <c r="D292" s="22">
        <v>4511250</v>
      </c>
      <c r="E292" s="21" t="s">
        <v>66</v>
      </c>
      <c r="F292" s="22">
        <v>4511000341</v>
      </c>
      <c r="G292" s="21" t="s">
        <v>3000</v>
      </c>
      <c r="H292" s="21" t="s">
        <v>50</v>
      </c>
      <c r="I292" s="22">
        <v>424521</v>
      </c>
      <c r="J292" s="22">
        <v>200104</v>
      </c>
      <c r="K292" s="22" t="s">
        <v>2959</v>
      </c>
      <c r="L292" s="22">
        <v>70205</v>
      </c>
      <c r="M292" s="23" t="s">
        <v>2961</v>
      </c>
      <c r="N292" s="24">
        <v>0</v>
      </c>
      <c r="O292" s="24">
        <v>0</v>
      </c>
      <c r="P292" s="24">
        <v>528000</v>
      </c>
      <c r="Q292" s="24">
        <v>136000</v>
      </c>
      <c r="R292" s="24">
        <v>183500</v>
      </c>
      <c r="S292" s="24">
        <v>183500</v>
      </c>
      <c r="T292" s="24">
        <v>156000</v>
      </c>
      <c r="U292" s="24">
        <v>156000</v>
      </c>
      <c r="V292" s="24">
        <v>156000</v>
      </c>
      <c r="W292" s="24">
        <v>156000</v>
      </c>
      <c r="X292" s="24">
        <v>156000</v>
      </c>
      <c r="Y292" s="24">
        <v>156000</v>
      </c>
      <c r="Z292" s="24">
        <f t="shared" si="14"/>
        <v>1967000</v>
      </c>
      <c r="AB292" s="25">
        <v>1967000</v>
      </c>
      <c r="AC292" s="26">
        <v>1967000.2</v>
      </c>
      <c r="AD292" s="24">
        <v>-0.19999999995343387</v>
      </c>
      <c r="AE292" s="27">
        <f>_xlfn.XLOOKUP(B292,'Projects Cashflow'!$B:$B,'Projects Cashflow'!$AG:$AG,0)</f>
        <v>1967000.2</v>
      </c>
      <c r="AF292" s="28">
        <f t="shared" si="15"/>
        <v>0.19999999995343387</v>
      </c>
    </row>
    <row r="293" spans="2:32" x14ac:dyDescent="0.3">
      <c r="B293" s="14" t="str">
        <f t="shared" si="13"/>
        <v>45112504511000341Printed Material-N1424791200104</v>
      </c>
      <c r="C293" s="21" t="s">
        <v>65</v>
      </c>
      <c r="D293" s="22">
        <v>4511250</v>
      </c>
      <c r="E293" s="21" t="s">
        <v>66</v>
      </c>
      <c r="F293" s="22">
        <v>4511000341</v>
      </c>
      <c r="G293" s="21" t="s">
        <v>3000</v>
      </c>
      <c r="H293" s="29" t="s">
        <v>438</v>
      </c>
      <c r="I293" s="33">
        <v>424791</v>
      </c>
      <c r="J293" s="22">
        <v>200104</v>
      </c>
      <c r="K293" s="22" t="s">
        <v>2959</v>
      </c>
      <c r="L293" s="22">
        <v>70205</v>
      </c>
      <c r="M293" s="23" t="s">
        <v>2961</v>
      </c>
      <c r="N293" s="24">
        <v>0</v>
      </c>
      <c r="O293" s="24">
        <v>0</v>
      </c>
      <c r="P293" s="24">
        <v>0</v>
      </c>
      <c r="Q293" s="24">
        <v>15420</v>
      </c>
      <c r="R293" s="24">
        <v>20000</v>
      </c>
      <c r="S293" s="24">
        <v>110000</v>
      </c>
      <c r="T293" s="24">
        <v>110000</v>
      </c>
      <c r="U293" s="24">
        <v>30000</v>
      </c>
      <c r="V293" s="24">
        <v>85000</v>
      </c>
      <c r="W293" s="24">
        <v>40000</v>
      </c>
      <c r="X293" s="24">
        <v>155000</v>
      </c>
      <c r="Y293" s="24">
        <v>76130</v>
      </c>
      <c r="Z293" s="24">
        <f t="shared" si="14"/>
        <v>641550</v>
      </c>
      <c r="AB293" s="25">
        <v>641550</v>
      </c>
      <c r="AC293" s="26">
        <v>641550</v>
      </c>
      <c r="AD293" s="24">
        <v>0</v>
      </c>
      <c r="AE293" s="27">
        <f>_xlfn.XLOOKUP(B293,'Projects Cashflow'!$B:$B,'Projects Cashflow'!$AG:$AG,0)</f>
        <v>641550</v>
      </c>
      <c r="AF293" s="28">
        <f t="shared" si="15"/>
        <v>0</v>
      </c>
    </row>
    <row r="294" spans="2:32" x14ac:dyDescent="0.3">
      <c r="B294" s="14" t="str">
        <f t="shared" si="13"/>
        <v>45112504511000341Manpower-N424521200104</v>
      </c>
      <c r="C294" s="21" t="s">
        <v>65</v>
      </c>
      <c r="D294" s="22">
        <v>4511250</v>
      </c>
      <c r="E294" s="21" t="s">
        <v>66</v>
      </c>
      <c r="F294" s="22">
        <v>4511000341</v>
      </c>
      <c r="G294" s="21" t="s">
        <v>3000</v>
      </c>
      <c r="H294" s="21" t="s">
        <v>98</v>
      </c>
      <c r="I294" s="22">
        <v>424521</v>
      </c>
      <c r="J294" s="22">
        <v>200104</v>
      </c>
      <c r="K294" s="22" t="s">
        <v>2959</v>
      </c>
      <c r="L294" s="22">
        <v>70205</v>
      </c>
      <c r="M294" s="23" t="s">
        <v>2961</v>
      </c>
      <c r="N294" s="24">
        <v>0</v>
      </c>
      <c r="O294" s="24">
        <v>0</v>
      </c>
      <c r="P294" s="24">
        <v>0</v>
      </c>
      <c r="Q294" s="24">
        <v>127394.44</v>
      </c>
      <c r="R294" s="24">
        <v>45722.22</v>
      </c>
      <c r="S294" s="24">
        <v>45722.22</v>
      </c>
      <c r="T294" s="24">
        <v>45722.22</v>
      </c>
      <c r="U294" s="24">
        <v>45722.22</v>
      </c>
      <c r="V294" s="24">
        <v>45722.22</v>
      </c>
      <c r="W294" s="24">
        <v>45722.22</v>
      </c>
      <c r="X294" s="24">
        <v>45722.22</v>
      </c>
      <c r="Y294" s="24">
        <v>45722.22</v>
      </c>
      <c r="Z294" s="24">
        <f t="shared" si="14"/>
        <v>493172.19999999984</v>
      </c>
      <c r="AB294" s="25">
        <v>493172.19999999984</v>
      </c>
      <c r="AC294" s="26">
        <v>493172</v>
      </c>
      <c r="AD294" s="24">
        <v>0.19999999983701855</v>
      </c>
      <c r="AE294" s="27">
        <f>_xlfn.XLOOKUP(B294,'Projects Cashflow'!$B:$B,'Projects Cashflow'!$AG:$AG,0)</f>
        <v>493172</v>
      </c>
      <c r="AF294" s="28">
        <f t="shared" si="15"/>
        <v>-0.19999999983701855</v>
      </c>
    </row>
    <row r="295" spans="2:32" x14ac:dyDescent="0.3">
      <c r="B295" s="14" t="str">
        <f t="shared" si="13"/>
        <v>45112504511000341Edu &amp; Outreach-N422401200104</v>
      </c>
      <c r="C295" s="21" t="s">
        <v>65</v>
      </c>
      <c r="D295" s="22">
        <v>4511250</v>
      </c>
      <c r="E295" s="21" t="s">
        <v>66</v>
      </c>
      <c r="F295" s="22">
        <v>4511000341</v>
      </c>
      <c r="G295" s="21" t="s">
        <v>3000</v>
      </c>
      <c r="H295" s="21" t="s">
        <v>155</v>
      </c>
      <c r="I295" s="22">
        <v>422401</v>
      </c>
      <c r="J295" s="22">
        <v>200104</v>
      </c>
      <c r="K295" s="22" t="s">
        <v>2959</v>
      </c>
      <c r="L295" s="22">
        <v>70205</v>
      </c>
      <c r="M295" s="23" t="s">
        <v>2961</v>
      </c>
      <c r="N295" s="24">
        <v>0</v>
      </c>
      <c r="O295" s="24">
        <v>0</v>
      </c>
      <c r="P295" s="24">
        <v>0</v>
      </c>
      <c r="Q295" s="24">
        <v>0</v>
      </c>
      <c r="R295" s="24">
        <v>0</v>
      </c>
      <c r="S295" s="24">
        <v>0</v>
      </c>
      <c r="T295" s="24">
        <v>0</v>
      </c>
      <c r="U295" s="24">
        <v>0</v>
      </c>
      <c r="V295" s="24">
        <v>0</v>
      </c>
      <c r="W295" s="24">
        <v>0</v>
      </c>
      <c r="X295" s="24">
        <v>360000</v>
      </c>
      <c r="Y295" s="24">
        <v>0</v>
      </c>
      <c r="Z295" s="24">
        <f t="shared" si="14"/>
        <v>360000</v>
      </c>
      <c r="AB295" s="25">
        <v>360000</v>
      </c>
      <c r="AC295" s="26">
        <v>360000</v>
      </c>
      <c r="AD295" s="24">
        <v>0</v>
      </c>
      <c r="AE295" s="27">
        <f>_xlfn.XLOOKUP(B295,'Projects Cashflow'!$B:$B,'Projects Cashflow'!$AG:$AG,0)</f>
        <v>360000</v>
      </c>
      <c r="AF295" s="28">
        <f t="shared" si="15"/>
        <v>0</v>
      </c>
    </row>
    <row r="296" spans="2:32" x14ac:dyDescent="0.3">
      <c r="B296" s="14" t="str">
        <f t="shared" si="13"/>
        <v>45112504511000360Manpower-N424521200104</v>
      </c>
      <c r="C296" s="21" t="s">
        <v>65</v>
      </c>
      <c r="D296" s="22">
        <v>4511250</v>
      </c>
      <c r="E296" s="21" t="s">
        <v>66</v>
      </c>
      <c r="F296" s="22">
        <v>4511000360</v>
      </c>
      <c r="G296" s="21" t="s">
        <v>3001</v>
      </c>
      <c r="H296" s="21" t="s">
        <v>98</v>
      </c>
      <c r="I296" s="22">
        <v>424521</v>
      </c>
      <c r="J296" s="22">
        <v>200104</v>
      </c>
      <c r="K296" s="22" t="s">
        <v>2959</v>
      </c>
      <c r="L296" s="22">
        <v>70205</v>
      </c>
      <c r="M296" s="23" t="s">
        <v>2961</v>
      </c>
      <c r="N296" s="24">
        <v>0</v>
      </c>
      <c r="O296" s="24">
        <v>0</v>
      </c>
      <c r="P296" s="24">
        <v>0</v>
      </c>
      <c r="Q296" s="24">
        <v>667735.15</v>
      </c>
      <c r="R296" s="24">
        <v>227795.15</v>
      </c>
      <c r="S296" s="24">
        <v>239095.15</v>
      </c>
      <c r="T296" s="24">
        <v>227795.15</v>
      </c>
      <c r="U296" s="24">
        <v>227795.15</v>
      </c>
      <c r="V296" s="24">
        <v>248135.15</v>
      </c>
      <c r="W296" s="24">
        <v>227795.15</v>
      </c>
      <c r="X296" s="24">
        <v>227795.15</v>
      </c>
      <c r="Y296" s="24">
        <v>477962.5</v>
      </c>
      <c r="Z296" s="24">
        <f t="shared" si="14"/>
        <v>2771903.6999999997</v>
      </c>
      <c r="AB296" s="25">
        <v>2821553.6999999997</v>
      </c>
      <c r="AC296" s="26">
        <v>2821554</v>
      </c>
      <c r="AD296" s="24">
        <v>-0.30000000027939677</v>
      </c>
      <c r="AE296" s="27">
        <f>_xlfn.XLOOKUP(B296,'Projects Cashflow'!$B:$B,'Projects Cashflow'!$AG:$AG,0)</f>
        <v>2821554</v>
      </c>
      <c r="AF296" s="28">
        <f t="shared" si="15"/>
        <v>0.30000000027939677</v>
      </c>
    </row>
    <row r="297" spans="2:32" x14ac:dyDescent="0.3">
      <c r="B297" s="14" t="str">
        <f t="shared" si="13"/>
        <v>45112504511000360Activation&amp;Prog-N422401200104</v>
      </c>
      <c r="C297" s="21" t="s">
        <v>65</v>
      </c>
      <c r="D297" s="22">
        <v>4511250</v>
      </c>
      <c r="E297" s="21" t="s">
        <v>66</v>
      </c>
      <c r="F297" s="22">
        <v>4511000360</v>
      </c>
      <c r="G297" s="21" t="s">
        <v>3001</v>
      </c>
      <c r="H297" s="21" t="s">
        <v>62</v>
      </c>
      <c r="I297" s="22">
        <v>422401</v>
      </c>
      <c r="J297" s="22">
        <v>200104</v>
      </c>
      <c r="K297" s="22" t="s">
        <v>2959</v>
      </c>
      <c r="L297" s="22">
        <v>70205</v>
      </c>
      <c r="M297" s="23" t="s">
        <v>2961</v>
      </c>
      <c r="N297" s="24">
        <v>0</v>
      </c>
      <c r="O297" s="24">
        <v>0</v>
      </c>
      <c r="P297" s="24">
        <v>0</v>
      </c>
      <c r="Q297" s="24">
        <v>167720</v>
      </c>
      <c r="R297" s="24">
        <v>17040</v>
      </c>
      <c r="S297" s="24">
        <v>350000</v>
      </c>
      <c r="T297" s="24">
        <v>524140</v>
      </c>
      <c r="U297" s="24">
        <v>570000</v>
      </c>
      <c r="V297" s="24">
        <v>17040</v>
      </c>
      <c r="W297" s="24">
        <v>0</v>
      </c>
      <c r="X297" s="24">
        <v>91140</v>
      </c>
      <c r="Y297" s="24">
        <v>187420</v>
      </c>
      <c r="Z297" s="24">
        <f t="shared" si="14"/>
        <v>1924500</v>
      </c>
      <c r="AB297" s="25">
        <v>2259500</v>
      </c>
      <c r="AC297" s="26">
        <v>2259500</v>
      </c>
      <c r="AD297" s="24">
        <v>0</v>
      </c>
      <c r="AE297" s="27">
        <f>_xlfn.XLOOKUP(B297,'Projects Cashflow'!$B:$B,'Projects Cashflow'!$AG:$AG,0)</f>
        <v>2259500</v>
      </c>
      <c r="AF297" s="28">
        <f t="shared" si="15"/>
        <v>0</v>
      </c>
    </row>
    <row r="298" spans="2:32" x14ac:dyDescent="0.3">
      <c r="B298" s="14" t="str">
        <f t="shared" si="13"/>
        <v>45112504511000360Book Acquisition-N431113200104</v>
      </c>
      <c r="C298" s="21" t="s">
        <v>65</v>
      </c>
      <c r="D298" s="22">
        <v>4511250</v>
      </c>
      <c r="E298" s="21" t="s">
        <v>66</v>
      </c>
      <c r="F298" s="22">
        <v>4511000360</v>
      </c>
      <c r="G298" s="21" t="s">
        <v>3001</v>
      </c>
      <c r="H298" s="21" t="s">
        <v>495</v>
      </c>
      <c r="I298" s="22">
        <v>431113</v>
      </c>
      <c r="J298" s="22">
        <v>200104</v>
      </c>
      <c r="K298" s="22" t="s">
        <v>2959</v>
      </c>
      <c r="L298" s="22">
        <v>70205</v>
      </c>
      <c r="M298" s="23" t="s">
        <v>2961</v>
      </c>
      <c r="N298" s="24">
        <v>0</v>
      </c>
      <c r="O298" s="24">
        <v>0</v>
      </c>
      <c r="P298" s="24">
        <v>0</v>
      </c>
      <c r="Q298" s="24">
        <v>100000</v>
      </c>
      <c r="R298" s="24">
        <v>100000</v>
      </c>
      <c r="S298" s="24">
        <v>0</v>
      </c>
      <c r="T298" s="24">
        <v>200000</v>
      </c>
      <c r="U298" s="24">
        <v>0</v>
      </c>
      <c r="V298" s="24">
        <v>0</v>
      </c>
      <c r="W298" s="24">
        <v>100000</v>
      </c>
      <c r="X298" s="24">
        <v>0</v>
      </c>
      <c r="Y298" s="24">
        <v>200000</v>
      </c>
      <c r="Z298" s="24">
        <f t="shared" si="14"/>
        <v>700000</v>
      </c>
      <c r="AB298" s="25">
        <v>700000</v>
      </c>
      <c r="AC298" s="26">
        <v>700000</v>
      </c>
      <c r="AD298" s="24">
        <v>0</v>
      </c>
      <c r="AE298" s="27">
        <f>_xlfn.XLOOKUP(B298,'Projects Cashflow'!$B:$B,'Projects Cashflow'!$AG:$AG,0)</f>
        <v>700000</v>
      </c>
      <c r="AF298" s="28">
        <f t="shared" si="15"/>
        <v>0</v>
      </c>
    </row>
    <row r="299" spans="2:32" x14ac:dyDescent="0.3">
      <c r="B299" s="14" t="str">
        <f t="shared" si="13"/>
        <v>45112504511000360Freelancers-N424521200104</v>
      </c>
      <c r="C299" s="21" t="s">
        <v>65</v>
      </c>
      <c r="D299" s="22">
        <v>4511250</v>
      </c>
      <c r="E299" s="21" t="s">
        <v>66</v>
      </c>
      <c r="F299" s="22">
        <v>4511000360</v>
      </c>
      <c r="G299" s="21" t="s">
        <v>3001</v>
      </c>
      <c r="H299" s="21" t="s">
        <v>50</v>
      </c>
      <c r="I299" s="22">
        <v>424521</v>
      </c>
      <c r="J299" s="22">
        <v>200104</v>
      </c>
      <c r="K299" s="22" t="s">
        <v>2959</v>
      </c>
      <c r="L299" s="22">
        <v>70205</v>
      </c>
      <c r="M299" s="23" t="s">
        <v>2961</v>
      </c>
      <c r="N299" s="24">
        <v>0</v>
      </c>
      <c r="O299" s="24">
        <v>0</v>
      </c>
      <c r="P299" s="24">
        <v>0</v>
      </c>
      <c r="Q299" s="24">
        <v>72150</v>
      </c>
      <c r="R299" s="24">
        <v>0</v>
      </c>
      <c r="S299" s="24">
        <v>0</v>
      </c>
      <c r="T299" s="24">
        <v>0</v>
      </c>
      <c r="U299" s="24">
        <v>0</v>
      </c>
      <c r="V299" s="24">
        <v>0</v>
      </c>
      <c r="W299" s="24">
        <v>0</v>
      </c>
      <c r="X299" s="24">
        <v>0</v>
      </c>
      <c r="Y299" s="24">
        <v>0</v>
      </c>
      <c r="Z299" s="24">
        <f t="shared" si="14"/>
        <v>72150</v>
      </c>
      <c r="AB299" s="25">
        <v>22500</v>
      </c>
      <c r="AC299" s="26">
        <v>22500</v>
      </c>
      <c r="AD299" s="24">
        <v>0</v>
      </c>
      <c r="AE299" s="27">
        <f>_xlfn.XLOOKUP(B299,'Projects Cashflow'!$B:$B,'Projects Cashflow'!$AG:$AG,0)</f>
        <v>22500</v>
      </c>
      <c r="AF299" s="28">
        <f t="shared" si="15"/>
        <v>0</v>
      </c>
    </row>
    <row r="300" spans="2:32" x14ac:dyDescent="0.3">
      <c r="B300" s="14" t="str">
        <f t="shared" si="13"/>
        <v>45112504511000362Activation&amp;Prog-N422401200104</v>
      </c>
      <c r="C300" s="21" t="s">
        <v>65</v>
      </c>
      <c r="D300" s="22">
        <v>4511250</v>
      </c>
      <c r="E300" s="21" t="s">
        <v>66</v>
      </c>
      <c r="F300" s="22">
        <v>4511000362</v>
      </c>
      <c r="G300" s="21" t="s">
        <v>3002</v>
      </c>
      <c r="H300" s="21" t="s">
        <v>62</v>
      </c>
      <c r="I300" s="22">
        <v>422401</v>
      </c>
      <c r="J300" s="22">
        <v>200104</v>
      </c>
      <c r="K300" s="22" t="s">
        <v>2959</v>
      </c>
      <c r="L300" s="22">
        <v>70205</v>
      </c>
      <c r="M300" s="23" t="s">
        <v>2961</v>
      </c>
      <c r="N300" s="24">
        <v>0</v>
      </c>
      <c r="O300" s="24">
        <v>0</v>
      </c>
      <c r="P300" s="24">
        <v>60000</v>
      </c>
      <c r="Q300" s="24">
        <v>540000</v>
      </c>
      <c r="R300" s="24">
        <v>200000</v>
      </c>
      <c r="S300" s="24">
        <v>200000</v>
      </c>
      <c r="T300" s="24">
        <v>300000</v>
      </c>
      <c r="U300" s="24">
        <v>100000</v>
      </c>
      <c r="V300" s="24">
        <v>200000</v>
      </c>
      <c r="W300" s="24">
        <v>500000</v>
      </c>
      <c r="X300" s="24">
        <v>700000</v>
      </c>
      <c r="Y300" s="24">
        <v>750000</v>
      </c>
      <c r="Z300" s="24">
        <f t="shared" si="14"/>
        <v>3550000</v>
      </c>
      <c r="AB300" s="25">
        <v>3350000</v>
      </c>
      <c r="AC300" s="26">
        <v>3350000</v>
      </c>
      <c r="AD300" s="24">
        <v>0</v>
      </c>
      <c r="AE300" s="27">
        <f>_xlfn.XLOOKUP(B300,'Projects Cashflow'!$B:$B,'Projects Cashflow'!$AG:$AG,0)</f>
        <v>3350000</v>
      </c>
      <c r="AF300" s="28">
        <f t="shared" si="15"/>
        <v>0</v>
      </c>
    </row>
    <row r="301" spans="2:32" x14ac:dyDescent="0.3">
      <c r="B301" s="14" t="str">
        <f t="shared" si="13"/>
        <v>45112504511000362Manpower-N424521200104</v>
      </c>
      <c r="C301" s="21" t="s">
        <v>65</v>
      </c>
      <c r="D301" s="22">
        <v>4511250</v>
      </c>
      <c r="E301" s="21" t="s">
        <v>66</v>
      </c>
      <c r="F301" s="22">
        <v>4511000362</v>
      </c>
      <c r="G301" s="21" t="s">
        <v>3002</v>
      </c>
      <c r="H301" s="21" t="s">
        <v>98</v>
      </c>
      <c r="I301" s="22">
        <v>424521</v>
      </c>
      <c r="J301" s="22">
        <v>200104</v>
      </c>
      <c r="K301" s="22" t="s">
        <v>2959</v>
      </c>
      <c r="L301" s="22">
        <v>70205</v>
      </c>
      <c r="M301" s="23" t="s">
        <v>2961</v>
      </c>
      <c r="N301" s="24">
        <v>0</v>
      </c>
      <c r="O301" s="24">
        <v>0</v>
      </c>
      <c r="P301" s="24">
        <v>0</v>
      </c>
      <c r="Q301" s="24">
        <v>269400</v>
      </c>
      <c r="R301" s="24">
        <v>75000</v>
      </c>
      <c r="S301" s="24">
        <v>75000</v>
      </c>
      <c r="T301" s="24">
        <v>75000</v>
      </c>
      <c r="U301" s="24">
        <v>75000</v>
      </c>
      <c r="V301" s="24">
        <v>75000</v>
      </c>
      <c r="W301" s="24">
        <v>75000</v>
      </c>
      <c r="X301" s="24">
        <v>75000</v>
      </c>
      <c r="Y301" s="24">
        <v>75000</v>
      </c>
      <c r="Z301" s="24">
        <f t="shared" si="14"/>
        <v>869400</v>
      </c>
      <c r="AB301" s="25">
        <v>869400</v>
      </c>
      <c r="AC301" s="26">
        <v>869400</v>
      </c>
      <c r="AD301" s="24">
        <v>0</v>
      </c>
      <c r="AE301" s="27">
        <f>_xlfn.XLOOKUP(B301,'Projects Cashflow'!$B:$B,'Projects Cashflow'!$AG:$AG,0)</f>
        <v>869400</v>
      </c>
      <c r="AF301" s="28">
        <f t="shared" si="15"/>
        <v>0</v>
      </c>
    </row>
    <row r="302" spans="2:32" x14ac:dyDescent="0.3">
      <c r="B302" s="14" t="str">
        <f t="shared" si="13"/>
        <v>45112504511000362Freelancers-N424521200104</v>
      </c>
      <c r="C302" s="21" t="s">
        <v>65</v>
      </c>
      <c r="D302" s="22">
        <v>4511250</v>
      </c>
      <c r="E302" s="21" t="s">
        <v>66</v>
      </c>
      <c r="F302" s="22">
        <v>4511000362</v>
      </c>
      <c r="G302" s="21" t="s">
        <v>3002</v>
      </c>
      <c r="H302" s="21" t="s">
        <v>50</v>
      </c>
      <c r="I302" s="22">
        <v>424521</v>
      </c>
      <c r="J302" s="22">
        <v>200104</v>
      </c>
      <c r="K302" s="22" t="s">
        <v>2959</v>
      </c>
      <c r="L302" s="22">
        <v>70205</v>
      </c>
      <c r="M302" s="23" t="s">
        <v>2961</v>
      </c>
      <c r="N302" s="24">
        <v>0</v>
      </c>
      <c r="O302" s="24">
        <v>0</v>
      </c>
      <c r="P302" s="24">
        <v>0</v>
      </c>
      <c r="Q302" s="24">
        <v>30600</v>
      </c>
      <c r="R302" s="24">
        <v>0</v>
      </c>
      <c r="S302" s="24">
        <v>0</v>
      </c>
      <c r="T302" s="24">
        <v>0</v>
      </c>
      <c r="U302" s="24">
        <v>0</v>
      </c>
      <c r="V302" s="24">
        <v>0</v>
      </c>
      <c r="W302" s="24">
        <v>0</v>
      </c>
      <c r="X302" s="24">
        <v>0</v>
      </c>
      <c r="Y302" s="24">
        <v>0</v>
      </c>
      <c r="Z302" s="24">
        <f t="shared" si="14"/>
        <v>30600</v>
      </c>
      <c r="AB302" s="25">
        <v>30600</v>
      </c>
      <c r="AC302" s="26">
        <v>30600</v>
      </c>
      <c r="AD302" s="24">
        <v>0</v>
      </c>
      <c r="AE302" s="27">
        <f>_xlfn.XLOOKUP(B302,'Projects Cashflow'!$B:$B,'Projects Cashflow'!$AG:$AG,0)</f>
        <v>30600</v>
      </c>
      <c r="AF302" s="28">
        <f t="shared" si="15"/>
        <v>0</v>
      </c>
    </row>
    <row r="303" spans="2:32" x14ac:dyDescent="0.3">
      <c r="B303" s="14" t="str">
        <f t="shared" si="13"/>
        <v>45112504511000422Freelancers-N424521200104</v>
      </c>
      <c r="C303" s="21" t="s">
        <v>65</v>
      </c>
      <c r="D303" s="22">
        <v>4511250</v>
      </c>
      <c r="E303" s="21" t="s">
        <v>66</v>
      </c>
      <c r="F303" s="22">
        <v>4511000422</v>
      </c>
      <c r="G303" s="21" t="s">
        <v>3003</v>
      </c>
      <c r="H303" s="21" t="s">
        <v>50</v>
      </c>
      <c r="I303" s="22">
        <v>424521</v>
      </c>
      <c r="J303" s="22">
        <v>200104</v>
      </c>
      <c r="K303" s="22" t="s">
        <v>2959</v>
      </c>
      <c r="L303" s="22">
        <v>70202</v>
      </c>
      <c r="M303" s="23" t="s">
        <v>2961</v>
      </c>
      <c r="N303" s="24">
        <v>0</v>
      </c>
      <c r="O303" s="24">
        <v>0</v>
      </c>
      <c r="P303" s="26">
        <v>174352</v>
      </c>
      <c r="Q303" s="24">
        <v>202152</v>
      </c>
      <c r="R303" s="24">
        <v>93876</v>
      </c>
      <c r="S303" s="24">
        <v>160120</v>
      </c>
      <c r="T303" s="24">
        <v>93876</v>
      </c>
      <c r="U303" s="24">
        <v>93876</v>
      </c>
      <c r="V303" s="24">
        <v>93876</v>
      </c>
      <c r="W303" s="24">
        <v>93876</v>
      </c>
      <c r="X303" s="24">
        <v>93876</v>
      </c>
      <c r="Y303" s="24">
        <v>160120</v>
      </c>
      <c r="Z303" s="24">
        <f t="shared" si="14"/>
        <v>1260000</v>
      </c>
      <c r="AB303" s="25">
        <v>1125000</v>
      </c>
      <c r="AC303" s="26">
        <v>1125000</v>
      </c>
      <c r="AD303" s="24">
        <v>0</v>
      </c>
      <c r="AE303" s="27">
        <f>_xlfn.XLOOKUP(B303,'Projects Cashflow'!$B:$B,'Projects Cashflow'!$AG:$AG,0)</f>
        <v>1125000</v>
      </c>
      <c r="AF303" s="28">
        <f t="shared" si="15"/>
        <v>0</v>
      </c>
    </row>
    <row r="304" spans="2:32" x14ac:dyDescent="0.3">
      <c r="B304" s="14" t="str">
        <f t="shared" si="13"/>
        <v>45112504511000422Art Materials-N1432626200104</v>
      </c>
      <c r="C304" s="21" t="s">
        <v>65</v>
      </c>
      <c r="D304" s="22">
        <v>4511250</v>
      </c>
      <c r="E304" s="21" t="s">
        <v>66</v>
      </c>
      <c r="F304" s="22">
        <v>4511000422</v>
      </c>
      <c r="G304" s="21" t="s">
        <v>3003</v>
      </c>
      <c r="H304" s="29" t="s">
        <v>75</v>
      </c>
      <c r="I304" s="22">
        <v>432626</v>
      </c>
      <c r="J304" s="22">
        <v>200104</v>
      </c>
      <c r="K304" s="22" t="s">
        <v>2959</v>
      </c>
      <c r="L304" s="22">
        <v>70205</v>
      </c>
      <c r="M304" s="23" t="s">
        <v>2961</v>
      </c>
      <c r="N304" s="24">
        <v>0</v>
      </c>
      <c r="O304" s="24">
        <v>0</v>
      </c>
      <c r="P304" s="24">
        <v>0</v>
      </c>
      <c r="Q304" s="24">
        <v>16333</v>
      </c>
      <c r="R304" s="24">
        <v>0</v>
      </c>
      <c r="S304" s="24">
        <v>0</v>
      </c>
      <c r="T304" s="24">
        <v>0</v>
      </c>
      <c r="U304" s="24">
        <v>16501</v>
      </c>
      <c r="V304" s="24">
        <v>0</v>
      </c>
      <c r="W304" s="24">
        <v>0</v>
      </c>
      <c r="X304" s="24">
        <v>0</v>
      </c>
      <c r="Y304" s="24">
        <v>16666</v>
      </c>
      <c r="Z304" s="24">
        <f t="shared" si="14"/>
        <v>49500</v>
      </c>
      <c r="AB304" s="25">
        <v>49500</v>
      </c>
      <c r="AC304" s="26">
        <v>49500</v>
      </c>
      <c r="AD304" s="24">
        <v>0</v>
      </c>
      <c r="AE304" s="27">
        <f>_xlfn.XLOOKUP(B304,'Projects Cashflow'!$B:$B,'Projects Cashflow'!$AG:$AG,0)</f>
        <v>49500</v>
      </c>
      <c r="AF304" s="28">
        <f t="shared" si="15"/>
        <v>0</v>
      </c>
    </row>
    <row r="305" spans="2:32" x14ac:dyDescent="0.3">
      <c r="B305" s="14" t="str">
        <f t="shared" si="13"/>
        <v>45112504511000434Admin Expenses-N1421125200104</v>
      </c>
      <c r="C305" s="21" t="s">
        <v>65</v>
      </c>
      <c r="D305" s="22">
        <v>4511250</v>
      </c>
      <c r="E305" s="21" t="s">
        <v>66</v>
      </c>
      <c r="F305" s="22">
        <v>4511000434</v>
      </c>
      <c r="G305" s="21" t="s">
        <v>3004</v>
      </c>
      <c r="H305" s="21" t="s">
        <v>73</v>
      </c>
      <c r="I305" s="22">
        <v>421125</v>
      </c>
      <c r="J305" s="22">
        <v>200104</v>
      </c>
      <c r="K305" s="22" t="s">
        <v>2959</v>
      </c>
      <c r="L305" s="22">
        <v>70205</v>
      </c>
      <c r="M305" s="23" t="s">
        <v>2961</v>
      </c>
      <c r="N305" s="24">
        <v>0</v>
      </c>
      <c r="O305" s="24">
        <v>0</v>
      </c>
      <c r="P305" s="24">
        <v>0</v>
      </c>
      <c r="Q305" s="24">
        <v>2754375</v>
      </c>
      <c r="R305" s="24">
        <v>0</v>
      </c>
      <c r="S305" s="24">
        <v>0</v>
      </c>
      <c r="T305" s="24">
        <v>0</v>
      </c>
      <c r="U305" s="24">
        <v>0</v>
      </c>
      <c r="V305" s="24">
        <v>0</v>
      </c>
      <c r="W305" s="24">
        <v>2758195</v>
      </c>
      <c r="X305" s="24">
        <v>0</v>
      </c>
      <c r="Y305" s="24">
        <v>0</v>
      </c>
      <c r="Z305" s="24">
        <f t="shared" si="14"/>
        <v>5512570</v>
      </c>
      <c r="AB305" s="25">
        <v>5512570</v>
      </c>
      <c r="AC305" s="26">
        <v>5512570</v>
      </c>
      <c r="AD305" s="24">
        <v>0</v>
      </c>
      <c r="AE305" s="27">
        <f>_xlfn.XLOOKUP(B305,'Projects Cashflow'!$B:$B,'Projects Cashflow'!$AG:$AG,0)</f>
        <v>5512570</v>
      </c>
      <c r="AF305" s="28">
        <f t="shared" si="15"/>
        <v>0</v>
      </c>
    </row>
    <row r="306" spans="2:32" x14ac:dyDescent="0.3">
      <c r="B306" s="14" t="str">
        <f t="shared" si="13"/>
        <v>45112504511000434Scholarships-N422619200104</v>
      </c>
      <c r="C306" s="21" t="s">
        <v>65</v>
      </c>
      <c r="D306" s="22">
        <v>4511250</v>
      </c>
      <c r="E306" s="21" t="s">
        <v>66</v>
      </c>
      <c r="F306" s="22">
        <v>4511000434</v>
      </c>
      <c r="G306" s="21" t="s">
        <v>3004</v>
      </c>
      <c r="H306" s="21" t="s">
        <v>536</v>
      </c>
      <c r="I306" s="22">
        <v>422619</v>
      </c>
      <c r="J306" s="22">
        <v>200104</v>
      </c>
      <c r="K306" s="22" t="s">
        <v>2959</v>
      </c>
      <c r="L306" s="22">
        <v>70205</v>
      </c>
      <c r="M306" s="23" t="s">
        <v>2961</v>
      </c>
      <c r="N306" s="24">
        <v>0</v>
      </c>
      <c r="O306" s="24">
        <v>0</v>
      </c>
      <c r="P306" s="24">
        <v>0</v>
      </c>
      <c r="Q306" s="24">
        <v>0</v>
      </c>
      <c r="R306" s="24">
        <v>0</v>
      </c>
      <c r="S306" s="24">
        <v>0</v>
      </c>
      <c r="T306" s="24">
        <v>0</v>
      </c>
      <c r="U306" s="24">
        <v>0</v>
      </c>
      <c r="V306" s="24">
        <v>0</v>
      </c>
      <c r="W306" s="24">
        <v>0</v>
      </c>
      <c r="X306" s="24">
        <v>3700000</v>
      </c>
      <c r="Y306" s="24">
        <v>0</v>
      </c>
      <c r="Z306" s="24">
        <f t="shared" si="14"/>
        <v>3700000</v>
      </c>
      <c r="AB306" s="25">
        <v>3700000</v>
      </c>
      <c r="AC306" s="26">
        <v>3700000</v>
      </c>
      <c r="AD306" s="24">
        <v>0</v>
      </c>
      <c r="AE306" s="27">
        <f>_xlfn.XLOOKUP(B306,'Projects Cashflow'!$B:$B,'Projects Cashflow'!$AG:$AG,0)</f>
        <v>3700000</v>
      </c>
      <c r="AF306" s="28">
        <f t="shared" si="15"/>
        <v>0</v>
      </c>
    </row>
    <row r="307" spans="2:32" x14ac:dyDescent="0.3">
      <c r="B307" s="14" t="str">
        <f t="shared" si="13"/>
        <v>45112504511000434Facilities Rent-N425112200104</v>
      </c>
      <c r="C307" s="21" t="s">
        <v>65</v>
      </c>
      <c r="D307" s="22">
        <v>4511250</v>
      </c>
      <c r="E307" s="21" t="s">
        <v>66</v>
      </c>
      <c r="F307" s="22">
        <v>4511000434</v>
      </c>
      <c r="G307" s="21" t="s">
        <v>3004</v>
      </c>
      <c r="H307" s="21" t="s">
        <v>532</v>
      </c>
      <c r="I307" s="22">
        <v>425112</v>
      </c>
      <c r="J307" s="22">
        <v>200104</v>
      </c>
      <c r="K307" s="22" t="s">
        <v>2959</v>
      </c>
      <c r="L307" s="22">
        <v>70205</v>
      </c>
      <c r="M307" s="23" t="s">
        <v>2961</v>
      </c>
      <c r="N307" s="24">
        <v>0</v>
      </c>
      <c r="O307" s="24">
        <v>0</v>
      </c>
      <c r="P307" s="24">
        <v>0</v>
      </c>
      <c r="Q307" s="24">
        <v>0</v>
      </c>
      <c r="R307" s="24">
        <v>864000</v>
      </c>
      <c r="S307" s="24">
        <v>0</v>
      </c>
      <c r="T307" s="24">
        <v>0</v>
      </c>
      <c r="U307" s="24">
        <v>0</v>
      </c>
      <c r="V307" s="24">
        <v>0</v>
      </c>
      <c r="W307" s="24">
        <v>0</v>
      </c>
      <c r="X307" s="24">
        <v>0</v>
      </c>
      <c r="Y307" s="24">
        <v>0</v>
      </c>
      <c r="Z307" s="24">
        <f t="shared" si="14"/>
        <v>864000</v>
      </c>
      <c r="AB307" s="25">
        <v>864000</v>
      </c>
      <c r="AC307" s="26">
        <v>864000</v>
      </c>
      <c r="AD307" s="24">
        <v>0</v>
      </c>
      <c r="AE307" s="27">
        <f>_xlfn.XLOOKUP(B307,'Projects Cashflow'!$B:$B,'Projects Cashflow'!$AG:$AG,0)</f>
        <v>864000</v>
      </c>
      <c r="AF307" s="28">
        <f t="shared" si="15"/>
        <v>0</v>
      </c>
    </row>
    <row r="308" spans="2:32" x14ac:dyDescent="0.3">
      <c r="B308" s="14" t="str">
        <f t="shared" si="13"/>
        <v>45112504511000019Manpower-N424521200104</v>
      </c>
      <c r="C308" s="21" t="s">
        <v>65</v>
      </c>
      <c r="D308" s="22">
        <v>4511250</v>
      </c>
      <c r="E308" s="21" t="s">
        <v>66</v>
      </c>
      <c r="F308" s="22">
        <v>4511000019</v>
      </c>
      <c r="G308" s="21" t="s">
        <v>2982</v>
      </c>
      <c r="H308" s="21" t="s">
        <v>98</v>
      </c>
      <c r="I308" s="22">
        <v>424521</v>
      </c>
      <c r="J308" s="22">
        <v>200104</v>
      </c>
      <c r="K308" s="22" t="s">
        <v>2959</v>
      </c>
      <c r="L308" s="22">
        <v>70205</v>
      </c>
      <c r="M308" s="23" t="s">
        <v>2961</v>
      </c>
      <c r="N308" s="24">
        <v>0</v>
      </c>
      <c r="O308" s="24">
        <v>0</v>
      </c>
      <c r="P308" s="24">
        <v>160439.18</v>
      </c>
      <c r="Q308" s="24">
        <v>136789.60000000003</v>
      </c>
      <c r="R308" s="24">
        <v>136789.6</v>
      </c>
      <c r="S308" s="24">
        <v>136789.6</v>
      </c>
      <c r="T308" s="24">
        <v>136789.6</v>
      </c>
      <c r="U308" s="24">
        <v>136789.6</v>
      </c>
      <c r="V308" s="24">
        <v>136789.6</v>
      </c>
      <c r="W308" s="24">
        <v>136789.6</v>
      </c>
      <c r="X308" s="24">
        <v>136789.6</v>
      </c>
      <c r="Y308" s="24">
        <v>136789.6</v>
      </c>
      <c r="Z308" s="24">
        <f t="shared" si="14"/>
        <v>1391545.58</v>
      </c>
      <c r="AB308" s="25">
        <v>1391545.58</v>
      </c>
      <c r="AC308" s="26">
        <v>1391545.7</v>
      </c>
      <c r="AD308" s="24">
        <v>-0.11999999987892807</v>
      </c>
      <c r="AE308" s="27">
        <f>_xlfn.XLOOKUP(B308,'Projects Cashflow'!$B:$B,'Projects Cashflow'!$AG:$AG,0)</f>
        <v>1391545.7</v>
      </c>
      <c r="AF308" s="28">
        <f t="shared" si="15"/>
        <v>0.11999999987892807</v>
      </c>
    </row>
    <row r="309" spans="2:32" x14ac:dyDescent="0.3">
      <c r="B309" s="14" t="str">
        <f t="shared" si="13"/>
        <v>45112504511000434Freelancers-N424521200104</v>
      </c>
      <c r="C309" s="21" t="s">
        <v>65</v>
      </c>
      <c r="D309" s="22">
        <v>4511250</v>
      </c>
      <c r="E309" s="21" t="s">
        <v>66</v>
      </c>
      <c r="F309" s="22">
        <v>4511000434</v>
      </c>
      <c r="G309" s="21" t="s">
        <v>3004</v>
      </c>
      <c r="H309" s="21" t="s">
        <v>50</v>
      </c>
      <c r="I309" s="22">
        <v>424521</v>
      </c>
      <c r="J309" s="22">
        <v>200104</v>
      </c>
      <c r="K309" s="22" t="s">
        <v>2959</v>
      </c>
      <c r="L309" s="22">
        <v>70205</v>
      </c>
      <c r="M309" s="23" t="s">
        <v>2961</v>
      </c>
      <c r="N309" s="24">
        <v>0</v>
      </c>
      <c r="O309" s="24">
        <v>0</v>
      </c>
      <c r="P309" s="24">
        <v>0</v>
      </c>
      <c r="Q309" s="24">
        <v>48000</v>
      </c>
      <c r="R309" s="24">
        <v>12000</v>
      </c>
      <c r="S309" s="24">
        <v>12000</v>
      </c>
      <c r="T309" s="24">
        <v>12000</v>
      </c>
      <c r="U309" s="24">
        <v>12000</v>
      </c>
      <c r="V309" s="24">
        <v>12000</v>
      </c>
      <c r="W309" s="24">
        <v>12000</v>
      </c>
      <c r="X309" s="24">
        <v>12000</v>
      </c>
      <c r="Y309" s="24">
        <v>12000</v>
      </c>
      <c r="Z309" s="24">
        <f t="shared" si="14"/>
        <v>144000</v>
      </c>
      <c r="AB309" s="25">
        <v>144000</v>
      </c>
      <c r="AC309" s="26">
        <v>144000</v>
      </c>
      <c r="AD309" s="24">
        <v>0</v>
      </c>
      <c r="AE309" s="27">
        <f>_xlfn.XLOOKUP(B309,'Projects Cashflow'!$B:$B,'Projects Cashflow'!$AG:$AG,0)</f>
        <v>144000</v>
      </c>
      <c r="AF309" s="28">
        <f t="shared" si="15"/>
        <v>0</v>
      </c>
    </row>
    <row r="310" spans="2:32" x14ac:dyDescent="0.3">
      <c r="B310" s="14" t="str">
        <f t="shared" si="13"/>
        <v>45112504511000508Lease Improve-N490600300105</v>
      </c>
      <c r="C310" s="21" t="s">
        <v>65</v>
      </c>
      <c r="D310" s="22">
        <v>4511250</v>
      </c>
      <c r="E310" s="21" t="s">
        <v>66</v>
      </c>
      <c r="F310" s="22">
        <v>4511000508</v>
      </c>
      <c r="G310" s="21" t="s">
        <v>3005</v>
      </c>
      <c r="H310" s="21" t="s">
        <v>89</v>
      </c>
      <c r="I310" s="22">
        <v>490600</v>
      </c>
      <c r="J310" s="22">
        <v>300105</v>
      </c>
      <c r="K310" s="22" t="s">
        <v>2972</v>
      </c>
      <c r="L310" s="22">
        <v>70205</v>
      </c>
      <c r="M310" s="23" t="s">
        <v>2961</v>
      </c>
      <c r="N310" s="24">
        <v>0</v>
      </c>
      <c r="O310" s="24">
        <v>0</v>
      </c>
      <c r="P310" s="24">
        <v>0</v>
      </c>
      <c r="Q310" s="24">
        <v>0</v>
      </c>
      <c r="R310" s="24">
        <v>0</v>
      </c>
      <c r="S310" s="24">
        <v>0</v>
      </c>
      <c r="T310" s="24">
        <v>0</v>
      </c>
      <c r="U310" s="24">
        <v>0</v>
      </c>
      <c r="V310" s="24">
        <v>0</v>
      </c>
      <c r="W310" s="24">
        <v>500000</v>
      </c>
      <c r="X310" s="24">
        <v>0</v>
      </c>
      <c r="Y310" s="24">
        <v>0</v>
      </c>
      <c r="Z310" s="24">
        <f t="shared" si="14"/>
        <v>500000</v>
      </c>
      <c r="AB310" s="25">
        <v>500000</v>
      </c>
      <c r="AC310" s="26">
        <v>500000</v>
      </c>
      <c r="AD310" s="24">
        <v>0</v>
      </c>
      <c r="AE310" s="27">
        <f>_xlfn.XLOOKUP(B310,'Projects Cashflow'!$B:$B,'Projects Cashflow'!$AG:$AG,0)</f>
        <v>500000</v>
      </c>
      <c r="AF310" s="28">
        <f t="shared" si="15"/>
        <v>0</v>
      </c>
    </row>
    <row r="311" spans="2:32" x14ac:dyDescent="0.3">
      <c r="B311" s="14" t="str">
        <f t="shared" si="13"/>
        <v>45112504511000508Security Service-N424551200104</v>
      </c>
      <c r="C311" s="21" t="s">
        <v>65</v>
      </c>
      <c r="D311" s="22">
        <v>4511250</v>
      </c>
      <c r="E311" s="21" t="s">
        <v>66</v>
      </c>
      <c r="F311" s="22">
        <v>4511000508</v>
      </c>
      <c r="G311" s="21" t="s">
        <v>3005</v>
      </c>
      <c r="H311" s="21" t="s">
        <v>107</v>
      </c>
      <c r="I311" s="22">
        <v>424551</v>
      </c>
      <c r="J311" s="22">
        <v>200104</v>
      </c>
      <c r="K311" s="22" t="s">
        <v>2959</v>
      </c>
      <c r="L311" s="22">
        <v>70205</v>
      </c>
      <c r="M311" s="23" t="s">
        <v>2961</v>
      </c>
      <c r="N311" s="24">
        <v>0</v>
      </c>
      <c r="O311" s="24">
        <v>0</v>
      </c>
      <c r="P311" s="24">
        <v>0</v>
      </c>
      <c r="Q311" s="24">
        <v>120000</v>
      </c>
      <c r="R311" s="24">
        <v>60000</v>
      </c>
      <c r="S311" s="24">
        <v>60000</v>
      </c>
      <c r="T311" s="24">
        <v>60000</v>
      </c>
      <c r="U311" s="24">
        <v>60000</v>
      </c>
      <c r="V311" s="24">
        <v>60000</v>
      </c>
      <c r="W311" s="24">
        <v>60000</v>
      </c>
      <c r="X311" s="24">
        <v>46607</v>
      </c>
      <c r="Y311" s="24">
        <v>0</v>
      </c>
      <c r="Z311" s="24">
        <f t="shared" si="14"/>
        <v>526607</v>
      </c>
      <c r="AB311" s="25">
        <v>526607</v>
      </c>
      <c r="AC311" s="26">
        <v>526607</v>
      </c>
      <c r="AD311" s="24">
        <v>0</v>
      </c>
      <c r="AE311" s="27">
        <f>_xlfn.XLOOKUP(B311,'Projects Cashflow'!$B:$B,'Projects Cashflow'!$AG:$AG,0)</f>
        <v>526607</v>
      </c>
      <c r="AF311" s="28">
        <f t="shared" si="15"/>
        <v>0</v>
      </c>
    </row>
    <row r="312" spans="2:32" x14ac:dyDescent="0.3">
      <c r="B312" s="14" t="str">
        <f t="shared" si="13"/>
        <v>45112504511000508Maintenance-N426212200104</v>
      </c>
      <c r="C312" s="21" t="s">
        <v>65</v>
      </c>
      <c r="D312" s="22">
        <v>4511250</v>
      </c>
      <c r="E312" s="21" t="s">
        <v>66</v>
      </c>
      <c r="F312" s="22">
        <v>4511000508</v>
      </c>
      <c r="G312" s="21" t="s">
        <v>3005</v>
      </c>
      <c r="H312" s="21" t="s">
        <v>95</v>
      </c>
      <c r="I312" s="22">
        <v>426212</v>
      </c>
      <c r="J312" s="22">
        <v>200104</v>
      </c>
      <c r="K312" s="22" t="s">
        <v>2959</v>
      </c>
      <c r="L312" s="22">
        <v>70205</v>
      </c>
      <c r="M312" s="23" t="s">
        <v>2961</v>
      </c>
      <c r="N312" s="24">
        <v>0</v>
      </c>
      <c r="O312" s="24">
        <v>0</v>
      </c>
      <c r="P312" s="24">
        <v>0</v>
      </c>
      <c r="Q312" s="24">
        <v>160000</v>
      </c>
      <c r="R312" s="24">
        <v>100000</v>
      </c>
      <c r="S312" s="24">
        <v>100000</v>
      </c>
      <c r="T312" s="24">
        <v>10000</v>
      </c>
      <c r="U312" s="24">
        <v>135202</v>
      </c>
      <c r="V312" s="24">
        <v>0</v>
      </c>
      <c r="W312" s="24">
        <v>0</v>
      </c>
      <c r="X312" s="24">
        <v>0</v>
      </c>
      <c r="Y312" s="24">
        <v>0</v>
      </c>
      <c r="Z312" s="24">
        <f t="shared" si="14"/>
        <v>505202</v>
      </c>
      <c r="AB312" s="25">
        <v>505202</v>
      </c>
      <c r="AC312" s="26">
        <v>505202</v>
      </c>
      <c r="AD312" s="24">
        <v>0</v>
      </c>
      <c r="AE312" s="27">
        <f>_xlfn.XLOOKUP(B312,'Projects Cashflow'!$B:$B,'Projects Cashflow'!$AG:$AG,0)</f>
        <v>505202</v>
      </c>
      <c r="AF312" s="28">
        <f t="shared" si="15"/>
        <v>0</v>
      </c>
    </row>
    <row r="313" spans="2:32" x14ac:dyDescent="0.3">
      <c r="B313" s="14" t="str">
        <f t="shared" si="13"/>
        <v>45112504511000508Ad-hoc Repairs-N426427200104</v>
      </c>
      <c r="C313" s="21" t="s">
        <v>65</v>
      </c>
      <c r="D313" s="22">
        <v>4511250</v>
      </c>
      <c r="E313" s="21" t="s">
        <v>66</v>
      </c>
      <c r="F313" s="22">
        <v>4511000508</v>
      </c>
      <c r="G313" s="21" t="s">
        <v>3005</v>
      </c>
      <c r="H313" s="21" t="s">
        <v>70</v>
      </c>
      <c r="I313" s="22">
        <v>426427</v>
      </c>
      <c r="J313" s="22">
        <v>200104</v>
      </c>
      <c r="K313" s="22" t="s">
        <v>2959</v>
      </c>
      <c r="L313" s="22">
        <v>70205</v>
      </c>
      <c r="M313" s="23" t="s">
        <v>2961</v>
      </c>
      <c r="N313" s="24">
        <v>0</v>
      </c>
      <c r="O313" s="24">
        <v>0</v>
      </c>
      <c r="P313" s="24">
        <v>0</v>
      </c>
      <c r="Q313" s="24">
        <v>80000</v>
      </c>
      <c r="R313" s="24">
        <v>40000</v>
      </c>
      <c r="S313" s="24">
        <v>40000</v>
      </c>
      <c r="T313" s="24">
        <v>40000</v>
      </c>
      <c r="U313" s="24">
        <v>40000</v>
      </c>
      <c r="V313" s="24">
        <v>40000</v>
      </c>
      <c r="W313" s="24">
        <v>40000</v>
      </c>
      <c r="X313" s="24">
        <v>59667</v>
      </c>
      <c r="Y313" s="24">
        <v>0</v>
      </c>
      <c r="Z313" s="24">
        <f t="shared" si="14"/>
        <v>379667</v>
      </c>
      <c r="AB313" s="25">
        <v>379667</v>
      </c>
      <c r="AC313" s="26">
        <v>379667</v>
      </c>
      <c r="AD313" s="24">
        <v>0</v>
      </c>
      <c r="AE313" s="27">
        <f>_xlfn.XLOOKUP(B313,'Projects Cashflow'!$B:$B,'Projects Cashflow'!$AG:$AG,0)</f>
        <v>379667</v>
      </c>
      <c r="AF313" s="28">
        <f t="shared" si="15"/>
        <v>0</v>
      </c>
    </row>
    <row r="314" spans="2:32" x14ac:dyDescent="0.3">
      <c r="B314" s="14" t="str">
        <f t="shared" si="13"/>
        <v>45112504511000508Cleaning Service-N422311200104</v>
      </c>
      <c r="C314" s="21" t="s">
        <v>65</v>
      </c>
      <c r="D314" s="22">
        <v>4511250</v>
      </c>
      <c r="E314" s="21" t="s">
        <v>66</v>
      </c>
      <c r="F314" s="22">
        <v>4511000508</v>
      </c>
      <c r="G314" s="21" t="s">
        <v>3005</v>
      </c>
      <c r="H314" s="21" t="s">
        <v>79</v>
      </c>
      <c r="I314" s="22">
        <v>422311</v>
      </c>
      <c r="J314" s="22">
        <v>200104</v>
      </c>
      <c r="K314" s="22" t="s">
        <v>2959</v>
      </c>
      <c r="L314" s="22">
        <v>70205</v>
      </c>
      <c r="M314" s="23" t="s">
        <v>2961</v>
      </c>
      <c r="N314" s="24">
        <v>0</v>
      </c>
      <c r="O314" s="24">
        <v>0</v>
      </c>
      <c r="P314" s="24">
        <v>0</v>
      </c>
      <c r="Q314" s="24">
        <v>60000</v>
      </c>
      <c r="R314" s="24">
        <v>30000</v>
      </c>
      <c r="S314" s="24">
        <v>30000</v>
      </c>
      <c r="T314" s="24">
        <v>30000</v>
      </c>
      <c r="U314" s="24">
        <v>30000</v>
      </c>
      <c r="V314" s="24">
        <v>30000</v>
      </c>
      <c r="W314" s="24">
        <v>30000</v>
      </c>
      <c r="X314" s="24">
        <v>10766</v>
      </c>
      <c r="Y314" s="24">
        <v>0</v>
      </c>
      <c r="Z314" s="24">
        <f t="shared" si="14"/>
        <v>250766</v>
      </c>
      <c r="AB314" s="25">
        <v>250766</v>
      </c>
      <c r="AC314" s="26">
        <v>250766</v>
      </c>
      <c r="AD314" s="24">
        <v>0</v>
      </c>
      <c r="AE314" s="27">
        <f>_xlfn.XLOOKUP(B314,'Projects Cashflow'!$B:$B,'Projects Cashflow'!$AG:$AG,0)</f>
        <v>250766</v>
      </c>
      <c r="AF314" s="28">
        <f t="shared" si="15"/>
        <v>0</v>
      </c>
    </row>
    <row r="315" spans="2:32" x14ac:dyDescent="0.3">
      <c r="B315" s="14" t="str">
        <f t="shared" si="13"/>
        <v>45112504511000508Utilities-N423931200104</v>
      </c>
      <c r="C315" s="21" t="s">
        <v>65</v>
      </c>
      <c r="D315" s="22">
        <v>4511250</v>
      </c>
      <c r="E315" s="21" t="s">
        <v>66</v>
      </c>
      <c r="F315" s="22">
        <v>4511000508</v>
      </c>
      <c r="G315" s="21" t="s">
        <v>3005</v>
      </c>
      <c r="H315" s="21" t="s">
        <v>110</v>
      </c>
      <c r="I315" s="22">
        <v>423931</v>
      </c>
      <c r="J315" s="22">
        <v>200104</v>
      </c>
      <c r="K315" s="22" t="s">
        <v>2959</v>
      </c>
      <c r="L315" s="22">
        <v>70205</v>
      </c>
      <c r="M315" s="23" t="s">
        <v>2961</v>
      </c>
      <c r="N315" s="24">
        <v>0</v>
      </c>
      <c r="O315" s="24">
        <v>0</v>
      </c>
      <c r="P315" s="24">
        <v>0</v>
      </c>
      <c r="Q315" s="24">
        <v>50000</v>
      </c>
      <c r="R315" s="24">
        <v>25000</v>
      </c>
      <c r="S315" s="24">
        <v>25000</v>
      </c>
      <c r="T315" s="24">
        <v>25000</v>
      </c>
      <c r="U315" s="24">
        <v>25000</v>
      </c>
      <c r="V315" s="24">
        <v>25000</v>
      </c>
      <c r="W315" s="24">
        <v>36000</v>
      </c>
      <c r="X315" s="24">
        <v>35655</v>
      </c>
      <c r="Y315" s="24">
        <v>0</v>
      </c>
      <c r="Z315" s="24">
        <f t="shared" si="14"/>
        <v>246655</v>
      </c>
      <c r="AB315" s="25">
        <v>246655</v>
      </c>
      <c r="AC315" s="26">
        <v>246655</v>
      </c>
      <c r="AD315" s="24">
        <v>0</v>
      </c>
      <c r="AE315" s="27">
        <f>_xlfn.XLOOKUP(B315,'Projects Cashflow'!$B:$B,'Projects Cashflow'!$AG:$AG,0)</f>
        <v>246655</v>
      </c>
      <c r="AF315" s="28">
        <f t="shared" si="15"/>
        <v>0</v>
      </c>
    </row>
    <row r="316" spans="2:32" x14ac:dyDescent="0.3">
      <c r="B316" s="14" t="str">
        <f t="shared" si="13"/>
        <v>45112504511000508Landscaping-N432614200104</v>
      </c>
      <c r="C316" s="21" t="s">
        <v>65</v>
      </c>
      <c r="D316" s="22">
        <v>4511250</v>
      </c>
      <c r="E316" s="21" t="s">
        <v>66</v>
      </c>
      <c r="F316" s="22">
        <v>4511000508</v>
      </c>
      <c r="G316" s="21" t="s">
        <v>3005</v>
      </c>
      <c r="H316" s="21" t="s">
        <v>86</v>
      </c>
      <c r="I316" s="22">
        <v>432614</v>
      </c>
      <c r="J316" s="22">
        <v>200104</v>
      </c>
      <c r="K316" s="22" t="s">
        <v>2959</v>
      </c>
      <c r="L316" s="22">
        <v>70205</v>
      </c>
      <c r="M316" s="23" t="s">
        <v>2961</v>
      </c>
      <c r="N316" s="24">
        <v>0</v>
      </c>
      <c r="O316" s="24">
        <v>0</v>
      </c>
      <c r="P316" s="24">
        <v>0</v>
      </c>
      <c r="Q316" s="24">
        <v>50000</v>
      </c>
      <c r="R316" s="24">
        <v>25000</v>
      </c>
      <c r="S316" s="24">
        <v>25000</v>
      </c>
      <c r="T316" s="24">
        <v>25000</v>
      </c>
      <c r="U316" s="24">
        <v>25000</v>
      </c>
      <c r="V316" s="24">
        <v>25000</v>
      </c>
      <c r="W316" s="24">
        <v>22998</v>
      </c>
      <c r="X316" s="24">
        <v>0</v>
      </c>
      <c r="Y316" s="24">
        <v>0</v>
      </c>
      <c r="Z316" s="24">
        <f t="shared" si="14"/>
        <v>197998</v>
      </c>
      <c r="AB316" s="25">
        <v>197998</v>
      </c>
      <c r="AC316" s="26">
        <v>197998</v>
      </c>
      <c r="AD316" s="24">
        <v>0</v>
      </c>
      <c r="AE316" s="27">
        <f>_xlfn.XLOOKUP(B316,'Projects Cashflow'!$B:$B,'Projects Cashflow'!$AG:$AG,0)</f>
        <v>197998</v>
      </c>
      <c r="AF316" s="28">
        <f t="shared" si="15"/>
        <v>0</v>
      </c>
    </row>
    <row r="317" spans="2:32" x14ac:dyDescent="0.3">
      <c r="B317" s="14" t="str">
        <f t="shared" si="13"/>
        <v>45112504511000508Hospitality-N424761200104</v>
      </c>
      <c r="C317" s="21" t="s">
        <v>65</v>
      </c>
      <c r="D317" s="22">
        <v>4511250</v>
      </c>
      <c r="E317" s="21" t="s">
        <v>66</v>
      </c>
      <c r="F317" s="22">
        <v>4511000508</v>
      </c>
      <c r="G317" s="21" t="s">
        <v>3005</v>
      </c>
      <c r="H317" s="21" t="s">
        <v>83</v>
      </c>
      <c r="I317" s="22">
        <v>424761</v>
      </c>
      <c r="J317" s="22">
        <v>200104</v>
      </c>
      <c r="K317" s="22" t="s">
        <v>2959</v>
      </c>
      <c r="L317" s="22">
        <v>70205</v>
      </c>
      <c r="M317" s="23" t="s">
        <v>2961</v>
      </c>
      <c r="N317" s="24">
        <v>0</v>
      </c>
      <c r="O317" s="24">
        <v>0</v>
      </c>
      <c r="P317" s="24">
        <v>0</v>
      </c>
      <c r="Q317" s="24">
        <v>30000</v>
      </c>
      <c r="R317" s="24">
        <v>15000</v>
      </c>
      <c r="S317" s="24">
        <v>15000</v>
      </c>
      <c r="T317" s="24">
        <v>15000</v>
      </c>
      <c r="U317" s="24">
        <v>13576</v>
      </c>
      <c r="V317" s="24">
        <v>0</v>
      </c>
      <c r="W317" s="24">
        <v>0</v>
      </c>
      <c r="X317" s="24">
        <v>0</v>
      </c>
      <c r="Y317" s="24">
        <v>0</v>
      </c>
      <c r="Z317" s="24">
        <f t="shared" si="14"/>
        <v>88576</v>
      </c>
      <c r="AB317" s="25">
        <v>88576</v>
      </c>
      <c r="AC317" s="26">
        <v>88576</v>
      </c>
      <c r="AD317" s="24">
        <v>0</v>
      </c>
      <c r="AE317" s="27">
        <f>_xlfn.XLOOKUP(B317,'Projects Cashflow'!$B:$B,'Projects Cashflow'!$AG:$AG,0)</f>
        <v>88576</v>
      </c>
      <c r="AF317" s="28">
        <f t="shared" si="15"/>
        <v>0</v>
      </c>
    </row>
    <row r="318" spans="2:32" x14ac:dyDescent="0.3">
      <c r="B318" s="14" t="str">
        <f t="shared" si="13"/>
        <v>45112504511000510Manpower-N424521200104</v>
      </c>
      <c r="C318" s="21" t="s">
        <v>65</v>
      </c>
      <c r="D318" s="22">
        <v>4511250</v>
      </c>
      <c r="E318" s="21" t="s">
        <v>66</v>
      </c>
      <c r="F318" s="22">
        <v>4511000510</v>
      </c>
      <c r="G318" s="21" t="s">
        <v>3006</v>
      </c>
      <c r="H318" s="21" t="s">
        <v>98</v>
      </c>
      <c r="I318" s="22">
        <v>424521</v>
      </c>
      <c r="J318" s="22">
        <v>200104</v>
      </c>
      <c r="K318" s="22" t="s">
        <v>2959</v>
      </c>
      <c r="L318" s="22">
        <v>70205</v>
      </c>
      <c r="M318" s="23" t="s">
        <v>2961</v>
      </c>
      <c r="N318" s="24">
        <v>0</v>
      </c>
      <c r="O318" s="24">
        <v>0</v>
      </c>
      <c r="P318" s="24">
        <v>0</v>
      </c>
      <c r="Q318" s="24">
        <v>200413</v>
      </c>
      <c r="R318" s="24">
        <v>50103</v>
      </c>
      <c r="S318" s="24">
        <v>50103</v>
      </c>
      <c r="T318" s="24">
        <v>50103</v>
      </c>
      <c r="U318" s="24">
        <v>50103</v>
      </c>
      <c r="V318" s="24">
        <v>50103</v>
      </c>
      <c r="W318" s="24">
        <v>50103</v>
      </c>
      <c r="X318" s="24">
        <v>50103</v>
      </c>
      <c r="Y318" s="24">
        <v>50107</v>
      </c>
      <c r="Z318" s="24">
        <f t="shared" si="14"/>
        <v>601241</v>
      </c>
      <c r="AB318" s="25">
        <v>601241</v>
      </c>
      <c r="AC318" s="26">
        <v>601241</v>
      </c>
      <c r="AD318" s="24">
        <v>0</v>
      </c>
      <c r="AE318" s="27">
        <f>_xlfn.XLOOKUP(B318,'Projects Cashflow'!$B:$B,'Projects Cashflow'!$AG:$AG,0)</f>
        <v>601241</v>
      </c>
      <c r="AF318" s="28">
        <f t="shared" si="15"/>
        <v>0</v>
      </c>
    </row>
    <row r="319" spans="2:32" x14ac:dyDescent="0.3">
      <c r="B319" s="14" t="str">
        <f t="shared" si="13"/>
        <v>45112504511000510Activation&amp;Prog-N422401200104</v>
      </c>
      <c r="C319" s="21" t="s">
        <v>65</v>
      </c>
      <c r="D319" s="22">
        <v>4511250</v>
      </c>
      <c r="E319" s="21" t="s">
        <v>66</v>
      </c>
      <c r="F319" s="22">
        <v>4511000510</v>
      </c>
      <c r="G319" s="21" t="s">
        <v>3006</v>
      </c>
      <c r="H319" s="21" t="s">
        <v>62</v>
      </c>
      <c r="I319" s="22">
        <v>422401</v>
      </c>
      <c r="J319" s="22">
        <v>200104</v>
      </c>
      <c r="K319" s="22" t="s">
        <v>2959</v>
      </c>
      <c r="L319" s="22">
        <v>70205</v>
      </c>
      <c r="M319" s="23" t="s">
        <v>2961</v>
      </c>
      <c r="N319" s="24">
        <v>0</v>
      </c>
      <c r="O319" s="24">
        <v>0</v>
      </c>
      <c r="P319" s="24">
        <v>0</v>
      </c>
      <c r="Q319" s="24">
        <v>0</v>
      </c>
      <c r="R319" s="24">
        <v>0</v>
      </c>
      <c r="S319" s="24">
        <v>75000</v>
      </c>
      <c r="T319" s="24">
        <v>0</v>
      </c>
      <c r="U319" s="24">
        <v>0</v>
      </c>
      <c r="V319" s="24">
        <v>0</v>
      </c>
      <c r="W319" s="24">
        <v>0</v>
      </c>
      <c r="X319" s="24">
        <v>0</v>
      </c>
      <c r="Y319" s="24">
        <v>75000</v>
      </c>
      <c r="Z319" s="24">
        <f t="shared" si="14"/>
        <v>150000</v>
      </c>
      <c r="AB319" s="25">
        <v>150000</v>
      </c>
      <c r="AC319" s="26">
        <v>150000</v>
      </c>
      <c r="AD319" s="24">
        <v>0</v>
      </c>
      <c r="AE319" s="27">
        <f>_xlfn.XLOOKUP(B319,'Projects Cashflow'!$B:$B,'Projects Cashflow'!$AG:$AG,0)</f>
        <v>150000</v>
      </c>
      <c r="AF319" s="28">
        <f t="shared" si="15"/>
        <v>0</v>
      </c>
    </row>
    <row r="320" spans="2:32" x14ac:dyDescent="0.3">
      <c r="B320" s="14" t="str">
        <f t="shared" si="13"/>
        <v>45112504511000510Security Service-N424551200104</v>
      </c>
      <c r="C320" s="21" t="s">
        <v>65</v>
      </c>
      <c r="D320" s="22">
        <v>4511250</v>
      </c>
      <c r="E320" s="21" t="s">
        <v>66</v>
      </c>
      <c r="F320" s="22">
        <v>4511000510</v>
      </c>
      <c r="G320" s="21" t="s">
        <v>3006</v>
      </c>
      <c r="H320" s="21" t="s">
        <v>107</v>
      </c>
      <c r="I320" s="22">
        <v>424551</v>
      </c>
      <c r="J320" s="22">
        <v>200104</v>
      </c>
      <c r="K320" s="22" t="s">
        <v>2959</v>
      </c>
      <c r="L320" s="22">
        <v>70205</v>
      </c>
      <c r="M320" s="23" t="s">
        <v>2961</v>
      </c>
      <c r="N320" s="24">
        <v>0</v>
      </c>
      <c r="O320" s="24">
        <v>0</v>
      </c>
      <c r="P320" s="24">
        <v>0</v>
      </c>
      <c r="Q320" s="24">
        <v>40485</v>
      </c>
      <c r="R320" s="24">
        <v>10121</v>
      </c>
      <c r="S320" s="24">
        <v>10121</v>
      </c>
      <c r="T320" s="24">
        <v>10121</v>
      </c>
      <c r="U320" s="24">
        <v>10121</v>
      </c>
      <c r="V320" s="24">
        <v>10121</v>
      </c>
      <c r="W320" s="24">
        <v>10121</v>
      </c>
      <c r="X320" s="24">
        <v>10121</v>
      </c>
      <c r="Y320" s="24">
        <v>10124</v>
      </c>
      <c r="Z320" s="24">
        <f t="shared" si="14"/>
        <v>121456</v>
      </c>
      <c r="AB320" s="25">
        <v>121456</v>
      </c>
      <c r="AC320" s="26">
        <v>121456</v>
      </c>
      <c r="AD320" s="24">
        <v>0</v>
      </c>
      <c r="AE320" s="27">
        <f>_xlfn.XLOOKUP(B320,'Projects Cashflow'!$B:$B,'Projects Cashflow'!$AG:$AG,0)</f>
        <v>121456</v>
      </c>
      <c r="AF320" s="28">
        <f t="shared" si="15"/>
        <v>0</v>
      </c>
    </row>
    <row r="321" spans="2:32" x14ac:dyDescent="0.3">
      <c r="B321" s="14" t="str">
        <f t="shared" si="13"/>
        <v>45112504511000510Utilities-N423931200104</v>
      </c>
      <c r="C321" s="21" t="s">
        <v>65</v>
      </c>
      <c r="D321" s="22">
        <v>4511250</v>
      </c>
      <c r="E321" s="21" t="s">
        <v>66</v>
      </c>
      <c r="F321" s="22">
        <v>4511000510</v>
      </c>
      <c r="G321" s="21" t="s">
        <v>3006</v>
      </c>
      <c r="H321" s="21" t="s">
        <v>110</v>
      </c>
      <c r="I321" s="22">
        <v>423931</v>
      </c>
      <c r="J321" s="22">
        <v>200104</v>
      </c>
      <c r="K321" s="22" t="s">
        <v>2959</v>
      </c>
      <c r="L321" s="22">
        <v>70205</v>
      </c>
      <c r="M321" s="23" t="s">
        <v>2961</v>
      </c>
      <c r="N321" s="24">
        <v>0</v>
      </c>
      <c r="O321" s="24">
        <v>0</v>
      </c>
      <c r="P321" s="24">
        <v>0</v>
      </c>
      <c r="Q321" s="24">
        <v>17500</v>
      </c>
      <c r="R321" s="24">
        <v>8750</v>
      </c>
      <c r="S321" s="24">
        <v>8750</v>
      </c>
      <c r="T321" s="24">
        <v>8750</v>
      </c>
      <c r="U321" s="24">
        <v>8750</v>
      </c>
      <c r="V321" s="24">
        <v>8750</v>
      </c>
      <c r="W321" s="24">
        <v>8750</v>
      </c>
      <c r="X321" s="24">
        <v>8750</v>
      </c>
      <c r="Y321" s="24">
        <v>26250</v>
      </c>
      <c r="Z321" s="24">
        <f t="shared" si="14"/>
        <v>105000</v>
      </c>
      <c r="AB321" s="25">
        <v>105000</v>
      </c>
      <c r="AC321" s="26">
        <v>105000</v>
      </c>
      <c r="AD321" s="24">
        <v>0</v>
      </c>
      <c r="AE321" s="27">
        <f>_xlfn.XLOOKUP(B321,'Projects Cashflow'!$B:$B,'Projects Cashflow'!$AG:$AG,0)</f>
        <v>105000</v>
      </c>
      <c r="AF321" s="28">
        <f t="shared" si="15"/>
        <v>0</v>
      </c>
    </row>
    <row r="322" spans="2:32" x14ac:dyDescent="0.3">
      <c r="B322" s="14" t="str">
        <f t="shared" si="13"/>
        <v>45192004511000883Activation&amp;Prog-N1422401200104</v>
      </c>
      <c r="C322" s="21" t="s">
        <v>2957</v>
      </c>
      <c r="D322" s="22">
        <v>4519200</v>
      </c>
      <c r="E322" s="21" t="s">
        <v>961</v>
      </c>
      <c r="F322" s="22">
        <v>4511000883</v>
      </c>
      <c r="G322" s="21" t="s">
        <v>1198</v>
      </c>
      <c r="H322" s="21" t="s">
        <v>371</v>
      </c>
      <c r="I322" s="22">
        <v>422401</v>
      </c>
      <c r="J322" s="22">
        <v>200104</v>
      </c>
      <c r="K322" s="22" t="s">
        <v>2959</v>
      </c>
      <c r="L322" s="22">
        <v>70703</v>
      </c>
      <c r="M322" s="23" t="s">
        <v>2960</v>
      </c>
      <c r="N322" s="24">
        <v>0</v>
      </c>
      <c r="O322" s="24">
        <v>0</v>
      </c>
      <c r="P322" s="24">
        <v>0</v>
      </c>
      <c r="Q322" s="24">
        <v>0</v>
      </c>
      <c r="R322" s="24">
        <v>617000</v>
      </c>
      <c r="S322" s="24">
        <v>233000</v>
      </c>
      <c r="T322" s="24">
        <v>0</v>
      </c>
      <c r="U322" s="24">
        <v>0</v>
      </c>
      <c r="V322" s="24">
        <v>0</v>
      </c>
      <c r="W322" s="24">
        <v>0</v>
      </c>
      <c r="X322" s="24">
        <v>1101236</v>
      </c>
      <c r="Y322" s="24">
        <v>0</v>
      </c>
      <c r="Z322" s="24">
        <f t="shared" si="14"/>
        <v>1951236</v>
      </c>
      <c r="AB322" s="25">
        <v>1951236</v>
      </c>
      <c r="AC322" s="26">
        <v>1951236</v>
      </c>
      <c r="AD322" s="24">
        <v>0</v>
      </c>
      <c r="AE322" s="27">
        <f>_xlfn.XLOOKUP(B322,'Projects Cashflow'!$B:$B,'Projects Cashflow'!$AG:$AG,0)</f>
        <v>1951236</v>
      </c>
      <c r="AF322" s="28">
        <f t="shared" si="15"/>
        <v>0</v>
      </c>
    </row>
    <row r="323" spans="2:32" x14ac:dyDescent="0.3">
      <c r="B323" s="14" t="str">
        <f t="shared" si="13"/>
        <v>45112504511000063Manpower-N424521200104</v>
      </c>
      <c r="C323" s="21" t="s">
        <v>65</v>
      </c>
      <c r="D323" s="22">
        <v>4511250</v>
      </c>
      <c r="E323" s="21" t="s">
        <v>66</v>
      </c>
      <c r="F323" s="22">
        <v>4511000063</v>
      </c>
      <c r="G323" s="21" t="s">
        <v>2983</v>
      </c>
      <c r="H323" s="21" t="s">
        <v>98</v>
      </c>
      <c r="I323" s="22">
        <v>424521</v>
      </c>
      <c r="J323" s="22">
        <v>200104</v>
      </c>
      <c r="K323" s="22" t="s">
        <v>2959</v>
      </c>
      <c r="L323" s="22">
        <v>70205</v>
      </c>
      <c r="M323" s="23" t="s">
        <v>2961</v>
      </c>
      <c r="N323" s="24">
        <v>0</v>
      </c>
      <c r="O323" s="24">
        <v>0</v>
      </c>
      <c r="P323" s="24">
        <v>44233.34</v>
      </c>
      <c r="Q323" s="24">
        <v>122675.82</v>
      </c>
      <c r="R323" s="24">
        <v>41727.29</v>
      </c>
      <c r="S323" s="24">
        <v>41727.29</v>
      </c>
      <c r="T323" s="24">
        <v>41727.29</v>
      </c>
      <c r="U323" s="24">
        <v>41727.29</v>
      </c>
      <c r="V323" s="24">
        <v>41727.29</v>
      </c>
      <c r="W323" s="24">
        <v>41727.29</v>
      </c>
      <c r="X323" s="24">
        <v>41727.29</v>
      </c>
      <c r="Y323" s="24">
        <v>283149.81</v>
      </c>
      <c r="Z323" s="24">
        <f t="shared" si="14"/>
        <v>742150</v>
      </c>
      <c r="AB323" s="25">
        <v>742150</v>
      </c>
      <c r="AC323" s="26">
        <v>742150</v>
      </c>
      <c r="AD323" s="24">
        <v>0</v>
      </c>
      <c r="AE323" s="27">
        <f>_xlfn.XLOOKUP(B323,'Projects Cashflow'!$B:$B,'Projects Cashflow'!$AG:$AG,0)</f>
        <v>742150</v>
      </c>
      <c r="AF323" s="28">
        <f t="shared" si="15"/>
        <v>0</v>
      </c>
    </row>
    <row r="324" spans="2:32" x14ac:dyDescent="0.3">
      <c r="B324" s="14" t="str">
        <f t="shared" si="13"/>
        <v>45112504511000510Landscaping-N432614200104</v>
      </c>
      <c r="C324" s="21" t="s">
        <v>65</v>
      </c>
      <c r="D324" s="22">
        <v>4511250</v>
      </c>
      <c r="E324" s="21" t="s">
        <v>66</v>
      </c>
      <c r="F324" s="22">
        <v>4511000510</v>
      </c>
      <c r="G324" s="21" t="s">
        <v>3006</v>
      </c>
      <c r="H324" s="21" t="s">
        <v>86</v>
      </c>
      <c r="I324" s="22">
        <v>432614</v>
      </c>
      <c r="J324" s="22">
        <v>200104</v>
      </c>
      <c r="K324" s="22" t="s">
        <v>2959</v>
      </c>
      <c r="L324" s="22">
        <v>70205</v>
      </c>
      <c r="M324" s="23" t="s">
        <v>2961</v>
      </c>
      <c r="N324" s="24">
        <v>0</v>
      </c>
      <c r="O324" s="24">
        <v>0</v>
      </c>
      <c r="P324" s="24">
        <v>0</v>
      </c>
      <c r="Q324" s="24">
        <v>23416</v>
      </c>
      <c r="R324" s="24">
        <v>5854</v>
      </c>
      <c r="S324" s="24">
        <v>5854</v>
      </c>
      <c r="T324" s="24">
        <v>5854</v>
      </c>
      <c r="U324" s="24">
        <v>5854</v>
      </c>
      <c r="V324" s="24">
        <v>5854</v>
      </c>
      <c r="W324" s="24">
        <v>5854</v>
      </c>
      <c r="X324" s="24">
        <v>5854</v>
      </c>
      <c r="Y324" s="24">
        <v>5853</v>
      </c>
      <c r="Z324" s="24">
        <f t="shared" si="14"/>
        <v>70247</v>
      </c>
      <c r="AB324" s="25">
        <v>70247</v>
      </c>
      <c r="AC324" s="26">
        <v>70247</v>
      </c>
      <c r="AD324" s="24">
        <v>0</v>
      </c>
      <c r="AE324" s="27">
        <f>_xlfn.XLOOKUP(B324,'Projects Cashflow'!$B:$B,'Projects Cashflow'!$AG:$AG,0)</f>
        <v>70247</v>
      </c>
      <c r="AF324" s="28">
        <f t="shared" si="15"/>
        <v>0</v>
      </c>
    </row>
    <row r="325" spans="2:32" x14ac:dyDescent="0.3">
      <c r="B325" s="14" t="str">
        <f t="shared" ref="B325:B388" si="16">D325&amp;F325&amp;H325&amp;I325&amp;J325</f>
        <v>45112504511000510Hospitality-N424761200104</v>
      </c>
      <c r="C325" s="21" t="s">
        <v>65</v>
      </c>
      <c r="D325" s="22">
        <v>4511250</v>
      </c>
      <c r="E325" s="21" t="s">
        <v>66</v>
      </c>
      <c r="F325" s="22">
        <v>4511000510</v>
      </c>
      <c r="G325" s="21" t="s">
        <v>3006</v>
      </c>
      <c r="H325" s="21" t="s">
        <v>83</v>
      </c>
      <c r="I325" s="22">
        <v>424761</v>
      </c>
      <c r="J325" s="22">
        <v>200104</v>
      </c>
      <c r="K325" s="22" t="s">
        <v>2959</v>
      </c>
      <c r="L325" s="22">
        <v>70205</v>
      </c>
      <c r="M325" s="23" t="s">
        <v>2961</v>
      </c>
      <c r="N325" s="24">
        <v>0</v>
      </c>
      <c r="O325" s="24">
        <v>0</v>
      </c>
      <c r="P325" s="24">
        <v>0</v>
      </c>
      <c r="Q325" s="24">
        <v>14425</v>
      </c>
      <c r="R325" s="24">
        <v>3604</v>
      </c>
      <c r="S325" s="24">
        <v>3604</v>
      </c>
      <c r="T325" s="24">
        <v>3604</v>
      </c>
      <c r="U325" s="24">
        <v>3604</v>
      </c>
      <c r="V325" s="24">
        <v>3604</v>
      </c>
      <c r="W325" s="24">
        <v>3604</v>
      </c>
      <c r="X325" s="24">
        <v>3604</v>
      </c>
      <c r="Y325" s="24">
        <v>3604</v>
      </c>
      <c r="Z325" s="24">
        <f t="shared" ref="Z325:Z388" si="17">SUM(N325:Y325)</f>
        <v>43257</v>
      </c>
      <c r="AB325" s="25">
        <v>43257</v>
      </c>
      <c r="AC325" s="26">
        <v>43257</v>
      </c>
      <c r="AD325" s="24">
        <v>0</v>
      </c>
      <c r="AE325" s="27">
        <f>_xlfn.XLOOKUP(B325,'Projects Cashflow'!$B:$B,'Projects Cashflow'!$AG:$AG,0)</f>
        <v>43257</v>
      </c>
      <c r="AF325" s="28">
        <f t="shared" ref="AF325:AF388" si="18">AE325-AB325</f>
        <v>0</v>
      </c>
    </row>
    <row r="326" spans="2:32" x14ac:dyDescent="0.3">
      <c r="B326" s="14" t="str">
        <f t="shared" si="16"/>
        <v>45112504511000187Manpower-N424521200104</v>
      </c>
      <c r="C326" s="21" t="s">
        <v>65</v>
      </c>
      <c r="D326" s="22">
        <v>4511250</v>
      </c>
      <c r="E326" s="21" t="s">
        <v>66</v>
      </c>
      <c r="F326" s="22">
        <v>4511000187</v>
      </c>
      <c r="G326" s="21" t="s">
        <v>2989</v>
      </c>
      <c r="H326" s="21" t="s">
        <v>98</v>
      </c>
      <c r="I326" s="22">
        <v>424521</v>
      </c>
      <c r="J326" s="22">
        <v>200104</v>
      </c>
      <c r="K326" s="22" t="s">
        <v>2959</v>
      </c>
      <c r="L326" s="22">
        <v>70205</v>
      </c>
      <c r="M326" s="23" t="s">
        <v>2961</v>
      </c>
      <c r="N326" s="24">
        <v>0</v>
      </c>
      <c r="O326" s="24">
        <v>0</v>
      </c>
      <c r="P326" s="24">
        <v>182565.02</v>
      </c>
      <c r="Q326" s="24">
        <v>450690.98</v>
      </c>
      <c r="R326" s="24">
        <v>158128</v>
      </c>
      <c r="S326" s="24">
        <v>158128</v>
      </c>
      <c r="T326" s="24">
        <v>158128</v>
      </c>
      <c r="U326" s="24">
        <v>158128</v>
      </c>
      <c r="V326" s="24">
        <v>158128</v>
      </c>
      <c r="W326" s="24">
        <v>158128</v>
      </c>
      <c r="X326" s="24">
        <v>158128</v>
      </c>
      <c r="Y326" s="24">
        <v>157388</v>
      </c>
      <c r="Z326" s="24">
        <f t="shared" si="17"/>
        <v>1897540</v>
      </c>
      <c r="AB326" s="25">
        <v>1897540</v>
      </c>
      <c r="AC326" s="26">
        <v>1897540</v>
      </c>
      <c r="AD326" s="24">
        <v>0</v>
      </c>
      <c r="AE326" s="27">
        <f>_xlfn.XLOOKUP(B326,'Projects Cashflow'!$B:$B,'Projects Cashflow'!$AG:$AG,0)</f>
        <v>1897540</v>
      </c>
      <c r="AF326" s="28">
        <f t="shared" si="18"/>
        <v>0</v>
      </c>
    </row>
    <row r="327" spans="2:32" x14ac:dyDescent="0.3">
      <c r="B327" s="14" t="str">
        <f t="shared" si="16"/>
        <v>45112504511000512Activation&amp;Prog-N422401200104</v>
      </c>
      <c r="C327" s="21" t="s">
        <v>65</v>
      </c>
      <c r="D327" s="22">
        <v>4511250</v>
      </c>
      <c r="E327" s="21" t="s">
        <v>66</v>
      </c>
      <c r="F327" s="22">
        <v>4511000512</v>
      </c>
      <c r="G327" s="21" t="s">
        <v>2998</v>
      </c>
      <c r="H327" s="21" t="s">
        <v>62</v>
      </c>
      <c r="I327" s="22">
        <v>422401</v>
      </c>
      <c r="J327" s="22">
        <v>200104</v>
      </c>
      <c r="K327" s="22" t="s">
        <v>2959</v>
      </c>
      <c r="L327" s="22">
        <v>70205</v>
      </c>
      <c r="M327" s="23" t="s">
        <v>2961</v>
      </c>
      <c r="N327" s="24">
        <v>0</v>
      </c>
      <c r="O327" s="24">
        <v>0</v>
      </c>
      <c r="P327" s="24">
        <v>0</v>
      </c>
      <c r="Q327" s="24">
        <v>0</v>
      </c>
      <c r="R327" s="24">
        <v>0</v>
      </c>
      <c r="S327" s="24">
        <v>664750</v>
      </c>
      <c r="T327" s="24">
        <v>0</v>
      </c>
      <c r="U327" s="24">
        <v>0</v>
      </c>
      <c r="V327" s="24">
        <v>0</v>
      </c>
      <c r="W327" s="24">
        <v>0</v>
      </c>
      <c r="X327" s="24">
        <v>0</v>
      </c>
      <c r="Y327" s="24">
        <v>664750</v>
      </c>
      <c r="Z327" s="24">
        <f t="shared" si="17"/>
        <v>1329500</v>
      </c>
      <c r="AB327" s="25">
        <v>1329500</v>
      </c>
      <c r="AC327" s="26">
        <v>1329500</v>
      </c>
      <c r="AD327" s="24">
        <v>0</v>
      </c>
      <c r="AE327" s="27">
        <f>_xlfn.XLOOKUP(B327,'Projects Cashflow'!$B:$B,'Projects Cashflow'!$AG:$AG,0)</f>
        <v>1329500</v>
      </c>
      <c r="AF327" s="28">
        <f t="shared" si="18"/>
        <v>0</v>
      </c>
    </row>
    <row r="328" spans="2:32" x14ac:dyDescent="0.3">
      <c r="B328" s="14" t="str">
        <f t="shared" si="16"/>
        <v>45112504511000064Manpower-N424521200104</v>
      </c>
      <c r="C328" s="21" t="s">
        <v>65</v>
      </c>
      <c r="D328" s="22">
        <v>4511250</v>
      </c>
      <c r="E328" s="21" t="s">
        <v>66</v>
      </c>
      <c r="F328" s="22">
        <v>4511000064</v>
      </c>
      <c r="G328" s="21" t="s">
        <v>2986</v>
      </c>
      <c r="H328" s="21" t="s">
        <v>98</v>
      </c>
      <c r="I328" s="22">
        <v>424521</v>
      </c>
      <c r="J328" s="22">
        <v>200104</v>
      </c>
      <c r="K328" s="22" t="s">
        <v>2959</v>
      </c>
      <c r="L328" s="22">
        <v>70205</v>
      </c>
      <c r="M328" s="23" t="s">
        <v>2961</v>
      </c>
      <c r="N328" s="24">
        <v>0</v>
      </c>
      <c r="O328" s="26">
        <v>117980.02</v>
      </c>
      <c r="P328" s="24">
        <v>0</v>
      </c>
      <c r="Q328" s="24">
        <v>189093.33999999997</v>
      </c>
      <c r="R328" s="24">
        <v>76768.34</v>
      </c>
      <c r="S328" s="24">
        <v>76768.34</v>
      </c>
      <c r="T328" s="24">
        <v>76768.34</v>
      </c>
      <c r="U328" s="24">
        <v>76768.34</v>
      </c>
      <c r="V328" s="24">
        <v>76768.34</v>
      </c>
      <c r="W328" s="24">
        <v>76768.34</v>
      </c>
      <c r="X328" s="24">
        <v>76768.34</v>
      </c>
      <c r="Y328" s="24">
        <v>147782.26</v>
      </c>
      <c r="Z328" s="24">
        <f t="shared" si="17"/>
        <v>992233.99999999977</v>
      </c>
      <c r="AB328" s="25">
        <v>992233.99999999977</v>
      </c>
      <c r="AC328" s="26">
        <v>992234</v>
      </c>
      <c r="AD328" s="24">
        <v>0</v>
      </c>
      <c r="AE328" s="27">
        <f>_xlfn.XLOOKUP(B328,'Projects Cashflow'!$B:$B,'Projects Cashflow'!$AG:$AG,0)</f>
        <v>992234</v>
      </c>
      <c r="AF328" s="28">
        <f t="shared" si="18"/>
        <v>0</v>
      </c>
    </row>
    <row r="329" spans="2:32" x14ac:dyDescent="0.3">
      <c r="B329" s="14" t="str">
        <f t="shared" si="16"/>
        <v>45151004511001471GSA Retainer-N421125200104</v>
      </c>
      <c r="C329" s="21" t="s">
        <v>211</v>
      </c>
      <c r="D329" s="22">
        <v>4515100</v>
      </c>
      <c r="E329" s="21" t="s">
        <v>3007</v>
      </c>
      <c r="F329" s="22">
        <v>4511001471</v>
      </c>
      <c r="G329" s="21" t="s">
        <v>1774</v>
      </c>
      <c r="H329" s="21" t="s">
        <v>1775</v>
      </c>
      <c r="I329" s="22">
        <v>421125</v>
      </c>
      <c r="J329" s="22">
        <v>200104</v>
      </c>
      <c r="K329" s="22" t="s">
        <v>2959</v>
      </c>
      <c r="L329" s="22">
        <v>70602</v>
      </c>
      <c r="M329" s="23" t="s">
        <v>2960</v>
      </c>
      <c r="N329" s="24">
        <v>0</v>
      </c>
      <c r="O329" s="24">
        <v>0</v>
      </c>
      <c r="P329" s="24">
        <v>0</v>
      </c>
      <c r="Q329" s="24">
        <v>850897.46</v>
      </c>
      <c r="R329" s="24">
        <v>212724.36499999999</v>
      </c>
      <c r="S329" s="24">
        <v>212724.36499999999</v>
      </c>
      <c r="T329" s="24">
        <v>212724.36499999999</v>
      </c>
      <c r="U329" s="24">
        <v>212724.36499999999</v>
      </c>
      <c r="V329" s="24">
        <v>212724.36499999999</v>
      </c>
      <c r="W329" s="24">
        <v>212724.36499999999</v>
      </c>
      <c r="X329" s="24">
        <v>212724.36499999999</v>
      </c>
      <c r="Y329" s="24">
        <v>227176.9850000001</v>
      </c>
      <c r="Z329" s="24">
        <f t="shared" si="17"/>
        <v>2567145</v>
      </c>
      <c r="AB329" s="25">
        <v>2567145</v>
      </c>
      <c r="AC329" s="26">
        <v>2567145</v>
      </c>
      <c r="AD329" s="24">
        <v>0</v>
      </c>
      <c r="AE329" s="27">
        <f>_xlfn.XLOOKUP(B329,'Projects Cashflow'!$B:$B,'Projects Cashflow'!$AG:$AG,0)</f>
        <v>2567145</v>
      </c>
      <c r="AF329" s="28">
        <f t="shared" si="18"/>
        <v>0</v>
      </c>
    </row>
    <row r="330" spans="2:32" x14ac:dyDescent="0.3">
      <c r="B330" s="14" t="str">
        <f t="shared" si="16"/>
        <v>45112504511000186Manpower-N424521200104</v>
      </c>
      <c r="C330" s="21" t="s">
        <v>65</v>
      </c>
      <c r="D330" s="22">
        <v>4511250</v>
      </c>
      <c r="E330" s="21" t="s">
        <v>66</v>
      </c>
      <c r="F330" s="22">
        <v>4511000186</v>
      </c>
      <c r="G330" s="21" t="s">
        <v>2988</v>
      </c>
      <c r="H330" s="21" t="s">
        <v>98</v>
      </c>
      <c r="I330" s="22">
        <v>424521</v>
      </c>
      <c r="J330" s="22">
        <v>200104</v>
      </c>
      <c r="K330" s="22" t="s">
        <v>2959</v>
      </c>
      <c r="L330" s="22">
        <v>70205</v>
      </c>
      <c r="M330" s="23" t="s">
        <v>2961</v>
      </c>
      <c r="N330" s="24">
        <v>0</v>
      </c>
      <c r="O330" s="24">
        <v>0</v>
      </c>
      <c r="P330" s="24">
        <v>44233.34</v>
      </c>
      <c r="Q330" s="24">
        <v>44233.34</v>
      </c>
      <c r="R330" s="24">
        <v>22116.67</v>
      </c>
      <c r="S330" s="24">
        <v>22116.67</v>
      </c>
      <c r="T330" s="24">
        <v>22116.67</v>
      </c>
      <c r="U330" s="24">
        <v>22116.67</v>
      </c>
      <c r="V330" s="24">
        <v>22116.67</v>
      </c>
      <c r="W330" s="24">
        <v>22116.67</v>
      </c>
      <c r="X330" s="24">
        <v>22116.67</v>
      </c>
      <c r="Y330" s="24">
        <v>22116.67</v>
      </c>
      <c r="Z330" s="24">
        <f t="shared" si="17"/>
        <v>265400.03999999992</v>
      </c>
      <c r="AB330" s="25">
        <v>265400.03999999992</v>
      </c>
      <c r="AC330" s="26">
        <v>265400</v>
      </c>
      <c r="AD330" s="24">
        <v>3.9999999920837581E-2</v>
      </c>
      <c r="AE330" s="27">
        <f>_xlfn.XLOOKUP(B330,'Projects Cashflow'!$B:$B,'Projects Cashflow'!$AG:$AG,0)</f>
        <v>265400</v>
      </c>
      <c r="AF330" s="28">
        <f t="shared" si="18"/>
        <v>-3.9999999920837581E-2</v>
      </c>
    </row>
    <row r="331" spans="2:32" x14ac:dyDescent="0.3">
      <c r="B331" s="14" t="str">
        <f t="shared" si="16"/>
        <v>45112504511000512Utilities-N423931200104</v>
      </c>
      <c r="C331" s="21" t="s">
        <v>65</v>
      </c>
      <c r="D331" s="22">
        <v>4511250</v>
      </c>
      <c r="E331" s="21" t="s">
        <v>66</v>
      </c>
      <c r="F331" s="22">
        <v>4511000512</v>
      </c>
      <c r="G331" s="21" t="s">
        <v>2998</v>
      </c>
      <c r="H331" s="21" t="s">
        <v>110</v>
      </c>
      <c r="I331" s="22">
        <v>423931</v>
      </c>
      <c r="J331" s="22">
        <v>200104</v>
      </c>
      <c r="K331" s="22" t="s">
        <v>2959</v>
      </c>
      <c r="L331" s="22">
        <v>70205</v>
      </c>
      <c r="M331" s="23" t="s">
        <v>2961</v>
      </c>
      <c r="N331" s="24">
        <v>0</v>
      </c>
      <c r="O331" s="24">
        <v>0</v>
      </c>
      <c r="P331" s="24">
        <v>0</v>
      </c>
      <c r="Q331" s="24">
        <v>44665.166599999997</v>
      </c>
      <c r="R331" s="24">
        <v>22332.583299999998</v>
      </c>
      <c r="S331" s="24">
        <v>22332.583299999998</v>
      </c>
      <c r="T331" s="24">
        <v>22332.583299999998</v>
      </c>
      <c r="U331" s="24">
        <v>22332.583299999998</v>
      </c>
      <c r="V331" s="24">
        <v>22332.583299999998</v>
      </c>
      <c r="W331" s="24">
        <v>22332.583299999998</v>
      </c>
      <c r="X331" s="24">
        <v>22332.583299999998</v>
      </c>
      <c r="Y331" s="24">
        <v>66997.75</v>
      </c>
      <c r="Z331" s="24">
        <f t="shared" si="17"/>
        <v>267990.99969999999</v>
      </c>
      <c r="AB331" s="25">
        <v>267990.99969999999</v>
      </c>
      <c r="AC331" s="26">
        <v>267994.59999999998</v>
      </c>
      <c r="AD331" s="24">
        <v>-3.6002999999909662</v>
      </c>
      <c r="AE331" s="27">
        <f>_xlfn.XLOOKUP(B331,'Projects Cashflow'!$B:$B,'Projects Cashflow'!$AG:$AG,0)</f>
        <v>267994.59999999998</v>
      </c>
      <c r="AF331" s="28">
        <f t="shared" si="18"/>
        <v>3.6002999999909662</v>
      </c>
    </row>
    <row r="332" spans="2:32" x14ac:dyDescent="0.3">
      <c r="B332" s="14" t="str">
        <f t="shared" si="16"/>
        <v>45112504511000512Security Service-N424551200104</v>
      </c>
      <c r="C332" s="21" t="s">
        <v>65</v>
      </c>
      <c r="D332" s="22">
        <v>4511250</v>
      </c>
      <c r="E332" s="21" t="s">
        <v>66</v>
      </c>
      <c r="F332" s="22">
        <v>4511000512</v>
      </c>
      <c r="G332" s="21" t="s">
        <v>2998</v>
      </c>
      <c r="H332" s="21" t="s">
        <v>107</v>
      </c>
      <c r="I332" s="22">
        <v>424551</v>
      </c>
      <c r="J332" s="22">
        <v>200104</v>
      </c>
      <c r="K332" s="22" t="s">
        <v>2959</v>
      </c>
      <c r="L332" s="22">
        <v>70205</v>
      </c>
      <c r="M332" s="23" t="s">
        <v>2961</v>
      </c>
      <c r="N332" s="24">
        <v>0</v>
      </c>
      <c r="O332" s="24">
        <v>0</v>
      </c>
      <c r="P332" s="24">
        <v>0</v>
      </c>
      <c r="Q332" s="24">
        <v>66355</v>
      </c>
      <c r="R332" s="24">
        <v>16588.75</v>
      </c>
      <c r="S332" s="24">
        <v>16588.75</v>
      </c>
      <c r="T332" s="24">
        <v>16588.75</v>
      </c>
      <c r="U332" s="24">
        <v>16588.75</v>
      </c>
      <c r="V332" s="24">
        <v>16588.75</v>
      </c>
      <c r="W332" s="24">
        <v>16588.75</v>
      </c>
      <c r="X332" s="24">
        <v>16588.75</v>
      </c>
      <c r="Y332" s="24">
        <v>17128.75</v>
      </c>
      <c r="Z332" s="24">
        <f t="shared" si="17"/>
        <v>199605</v>
      </c>
      <c r="AB332" s="25">
        <v>199605</v>
      </c>
      <c r="AC332" s="26">
        <v>199604.7</v>
      </c>
      <c r="AD332" s="24">
        <v>0.29999999998835847</v>
      </c>
      <c r="AE332" s="27">
        <f>_xlfn.XLOOKUP(B332,'Projects Cashflow'!$B:$B,'Projects Cashflow'!$AG:$AG,0)</f>
        <v>199604.7</v>
      </c>
      <c r="AF332" s="28">
        <f t="shared" si="18"/>
        <v>-0.29999999998835847</v>
      </c>
    </row>
    <row r="333" spans="2:32" x14ac:dyDescent="0.3">
      <c r="B333" s="14" t="str">
        <f t="shared" si="16"/>
        <v>45112504511000512FM Mgmnt (E-E)-N1426212200104</v>
      </c>
      <c r="C333" s="21" t="s">
        <v>65</v>
      </c>
      <c r="D333" s="22">
        <v>4511250</v>
      </c>
      <c r="E333" s="21" t="s">
        <v>66</v>
      </c>
      <c r="F333" s="22">
        <v>4511000512</v>
      </c>
      <c r="G333" s="21" t="s">
        <v>2998</v>
      </c>
      <c r="H333" s="21" t="s">
        <v>655</v>
      </c>
      <c r="I333" s="22">
        <v>426212</v>
      </c>
      <c r="J333" s="22">
        <v>200104</v>
      </c>
      <c r="K333" s="22" t="s">
        <v>2959</v>
      </c>
      <c r="L333" s="22">
        <v>70205</v>
      </c>
      <c r="M333" s="23" t="s">
        <v>2961</v>
      </c>
      <c r="N333" s="24">
        <v>0</v>
      </c>
      <c r="O333" s="24">
        <v>0</v>
      </c>
      <c r="P333" s="24">
        <v>0</v>
      </c>
      <c r="Q333" s="24">
        <v>28752</v>
      </c>
      <c r="R333" s="24">
        <v>14376</v>
      </c>
      <c r="S333" s="24">
        <v>14376</v>
      </c>
      <c r="T333" s="24">
        <v>14376</v>
      </c>
      <c r="U333" s="24">
        <v>14376</v>
      </c>
      <c r="V333" s="24">
        <v>43129</v>
      </c>
      <c r="W333" s="24">
        <v>14376</v>
      </c>
      <c r="X333" s="24">
        <v>14376</v>
      </c>
      <c r="Y333" s="24">
        <v>14378</v>
      </c>
      <c r="Z333" s="24">
        <f t="shared" si="17"/>
        <v>172515</v>
      </c>
      <c r="AB333" s="25">
        <v>172515</v>
      </c>
      <c r="AC333" s="26">
        <v>172514.7</v>
      </c>
      <c r="AD333" s="24">
        <v>0.29999999998835847</v>
      </c>
      <c r="AE333" s="27">
        <f>_xlfn.XLOOKUP(B333,'Projects Cashflow'!$B:$B,'Projects Cashflow'!$AG:$AG,0)</f>
        <v>172514.7</v>
      </c>
      <c r="AF333" s="28">
        <f t="shared" si="18"/>
        <v>-0.29999999998835847</v>
      </c>
    </row>
    <row r="334" spans="2:32" x14ac:dyDescent="0.3">
      <c r="B334" s="14" t="str">
        <f t="shared" si="16"/>
        <v>45101504511000113Systems Develop-NC493140300105</v>
      </c>
      <c r="C334" s="21" t="s">
        <v>33</v>
      </c>
      <c r="D334" s="22">
        <v>4510150</v>
      </c>
      <c r="E334" s="21" t="s">
        <v>172</v>
      </c>
      <c r="F334" s="22">
        <v>4511000113</v>
      </c>
      <c r="G334" s="21" t="s">
        <v>171</v>
      </c>
      <c r="H334" s="21" t="s">
        <v>184</v>
      </c>
      <c r="I334" s="22">
        <v>493140</v>
      </c>
      <c r="J334" s="22">
        <v>300105</v>
      </c>
      <c r="K334" s="22" t="s">
        <v>2972</v>
      </c>
      <c r="L334" s="22">
        <v>70101</v>
      </c>
      <c r="M334" s="23" t="s">
        <v>2960</v>
      </c>
      <c r="N334" s="24">
        <v>0</v>
      </c>
      <c r="O334" s="24">
        <v>0</v>
      </c>
      <c r="P334" s="24">
        <v>0</v>
      </c>
      <c r="Q334" s="24">
        <v>200000</v>
      </c>
      <c r="R334" s="24">
        <v>100000</v>
      </c>
      <c r="S334" s="24">
        <v>0</v>
      </c>
      <c r="T334" s="24">
        <v>130000</v>
      </c>
      <c r="U334" s="24">
        <v>18000</v>
      </c>
      <c r="V334" s="24">
        <v>138000</v>
      </c>
      <c r="W334" s="24">
        <v>138000</v>
      </c>
      <c r="X334" s="24">
        <v>138000</v>
      </c>
      <c r="Y334" s="24">
        <v>138000</v>
      </c>
      <c r="Z334" s="24">
        <f t="shared" si="17"/>
        <v>1000000</v>
      </c>
      <c r="AB334" s="25">
        <v>1000000</v>
      </c>
      <c r="AC334" s="26">
        <v>1000000</v>
      </c>
      <c r="AD334" s="24">
        <v>0</v>
      </c>
      <c r="AE334" s="27">
        <f>_xlfn.XLOOKUP(B334,'Projects Cashflow'!$B:$B,'Projects Cashflow'!$AG:$AG,0)</f>
        <v>1000000</v>
      </c>
      <c r="AF334" s="28">
        <f t="shared" si="18"/>
        <v>0</v>
      </c>
    </row>
    <row r="335" spans="2:32" x14ac:dyDescent="0.3">
      <c r="B335" s="14" t="str">
        <f t="shared" si="16"/>
        <v>45112504511000512Landscaping-N432614200104</v>
      </c>
      <c r="C335" s="21" t="s">
        <v>65</v>
      </c>
      <c r="D335" s="22">
        <v>4511250</v>
      </c>
      <c r="E335" s="21" t="s">
        <v>66</v>
      </c>
      <c r="F335" s="22">
        <v>4511000512</v>
      </c>
      <c r="G335" s="21" t="s">
        <v>2998</v>
      </c>
      <c r="H335" s="21" t="s">
        <v>86</v>
      </c>
      <c r="I335" s="22">
        <v>432614</v>
      </c>
      <c r="J335" s="22">
        <v>200104</v>
      </c>
      <c r="K335" s="22" t="s">
        <v>2959</v>
      </c>
      <c r="L335" s="22">
        <v>70205</v>
      </c>
      <c r="M335" s="23" t="s">
        <v>2961</v>
      </c>
      <c r="N335" s="24">
        <v>0</v>
      </c>
      <c r="O335" s="24">
        <v>0</v>
      </c>
      <c r="P335" s="24">
        <v>0</v>
      </c>
      <c r="Q335" s="24">
        <v>34839</v>
      </c>
      <c r="R335" s="24">
        <v>8710</v>
      </c>
      <c r="S335" s="24">
        <v>8710</v>
      </c>
      <c r="T335" s="24">
        <v>8710</v>
      </c>
      <c r="U335" s="24">
        <v>8710</v>
      </c>
      <c r="V335" s="24">
        <v>8710</v>
      </c>
      <c r="W335" s="24">
        <v>8710</v>
      </c>
      <c r="X335" s="24">
        <v>8710</v>
      </c>
      <c r="Y335" s="24">
        <v>8707</v>
      </c>
      <c r="Z335" s="24">
        <f t="shared" si="17"/>
        <v>104516</v>
      </c>
      <c r="AB335" s="25">
        <v>104516</v>
      </c>
      <c r="AC335" s="26">
        <v>104515.58</v>
      </c>
      <c r="AD335" s="24">
        <v>0.41999999999825377</v>
      </c>
      <c r="AE335" s="27">
        <f>_xlfn.XLOOKUP(B335,'Projects Cashflow'!$B:$B,'Projects Cashflow'!$AG:$AG,0)</f>
        <v>104515.58</v>
      </c>
      <c r="AF335" s="28">
        <f t="shared" si="18"/>
        <v>-0.41999999999825377</v>
      </c>
    </row>
    <row r="336" spans="2:32" x14ac:dyDescent="0.3">
      <c r="B336" s="14" t="str">
        <f t="shared" si="16"/>
        <v>45112504511000512Hospitality-N424761200104</v>
      </c>
      <c r="C336" s="21" t="s">
        <v>65</v>
      </c>
      <c r="D336" s="22">
        <v>4511250</v>
      </c>
      <c r="E336" s="21" t="s">
        <v>66</v>
      </c>
      <c r="F336" s="22">
        <v>4511000512</v>
      </c>
      <c r="G336" s="21" t="s">
        <v>2998</v>
      </c>
      <c r="H336" s="21" t="s">
        <v>83</v>
      </c>
      <c r="I336" s="22">
        <v>424761</v>
      </c>
      <c r="J336" s="22">
        <v>200104</v>
      </c>
      <c r="K336" s="22" t="s">
        <v>2959</v>
      </c>
      <c r="L336" s="22">
        <v>70205</v>
      </c>
      <c r="M336" s="23" t="s">
        <v>2961</v>
      </c>
      <c r="N336" s="24">
        <v>0</v>
      </c>
      <c r="O336" s="24">
        <v>0</v>
      </c>
      <c r="P336" s="24">
        <v>0</v>
      </c>
      <c r="Q336" s="24">
        <v>17755</v>
      </c>
      <c r="R336" s="24">
        <v>4439</v>
      </c>
      <c r="S336" s="24">
        <v>4439</v>
      </c>
      <c r="T336" s="24">
        <v>4439</v>
      </c>
      <c r="U336" s="24">
        <v>4439</v>
      </c>
      <c r="V336" s="24">
        <v>4439</v>
      </c>
      <c r="W336" s="24">
        <v>4439</v>
      </c>
      <c r="X336" s="24">
        <v>4439</v>
      </c>
      <c r="Y336" s="24">
        <v>4437</v>
      </c>
      <c r="Z336" s="24">
        <f t="shared" si="17"/>
        <v>53265</v>
      </c>
      <c r="AB336" s="25">
        <v>53265</v>
      </c>
      <c r="AC336" s="26">
        <v>53265</v>
      </c>
      <c r="AD336" s="24">
        <v>0</v>
      </c>
      <c r="AE336" s="27">
        <f>_xlfn.XLOOKUP(B336,'Projects Cashflow'!$B:$B,'Projects Cashflow'!$AG:$AG,0)</f>
        <v>53265</v>
      </c>
      <c r="AF336" s="28">
        <f t="shared" si="18"/>
        <v>0</v>
      </c>
    </row>
    <row r="337" spans="2:32" x14ac:dyDescent="0.3">
      <c r="B337" s="14" t="str">
        <f t="shared" si="16"/>
        <v>45112504511000512Pest Control-N422321200104</v>
      </c>
      <c r="C337" s="21" t="s">
        <v>65</v>
      </c>
      <c r="D337" s="22">
        <v>4511250</v>
      </c>
      <c r="E337" s="21" t="s">
        <v>66</v>
      </c>
      <c r="F337" s="22">
        <v>4511000512</v>
      </c>
      <c r="G337" s="21" t="s">
        <v>2998</v>
      </c>
      <c r="H337" s="21" t="s">
        <v>103</v>
      </c>
      <c r="I337" s="22">
        <v>422321</v>
      </c>
      <c r="J337" s="22">
        <v>200104</v>
      </c>
      <c r="K337" s="22" t="s">
        <v>2959</v>
      </c>
      <c r="L337" s="22">
        <v>70205</v>
      </c>
      <c r="M337" s="23" t="s">
        <v>2961</v>
      </c>
      <c r="N337" s="24">
        <v>0</v>
      </c>
      <c r="O337" s="24">
        <v>0</v>
      </c>
      <c r="P337" s="24">
        <v>0</v>
      </c>
      <c r="Q337" s="24">
        <v>16989</v>
      </c>
      <c r="R337" s="24">
        <v>4247</v>
      </c>
      <c r="S337" s="24">
        <v>4247</v>
      </c>
      <c r="T337" s="24">
        <v>4247</v>
      </c>
      <c r="U337" s="24">
        <v>4247</v>
      </c>
      <c r="V337" s="24">
        <v>4247</v>
      </c>
      <c r="W337" s="24">
        <v>4247</v>
      </c>
      <c r="X337" s="24">
        <v>4247</v>
      </c>
      <c r="Y337" s="24">
        <v>4251</v>
      </c>
      <c r="Z337" s="24">
        <f t="shared" si="17"/>
        <v>50969</v>
      </c>
      <c r="AB337" s="25">
        <v>50969</v>
      </c>
      <c r="AC337" s="26">
        <v>50968</v>
      </c>
      <c r="AD337" s="24">
        <v>1</v>
      </c>
      <c r="AE337" s="27">
        <f>_xlfn.XLOOKUP(B337,'Projects Cashflow'!$B:$B,'Projects Cashflow'!$AG:$AG,0)</f>
        <v>50968</v>
      </c>
      <c r="AF337" s="28">
        <f t="shared" si="18"/>
        <v>-1</v>
      </c>
    </row>
    <row r="338" spans="2:32" x14ac:dyDescent="0.3">
      <c r="B338" s="14" t="str">
        <f t="shared" si="16"/>
        <v>45112504511000512Waste Mgmnt-N424591200104</v>
      </c>
      <c r="C338" s="21" t="s">
        <v>65</v>
      </c>
      <c r="D338" s="22">
        <v>4511250</v>
      </c>
      <c r="E338" s="21" t="s">
        <v>66</v>
      </c>
      <c r="F338" s="22">
        <v>4511000512</v>
      </c>
      <c r="G338" s="21" t="s">
        <v>2998</v>
      </c>
      <c r="H338" s="21" t="s">
        <v>382</v>
      </c>
      <c r="I338" s="22">
        <v>424591</v>
      </c>
      <c r="J338" s="22">
        <v>200104</v>
      </c>
      <c r="K338" s="22" t="s">
        <v>2959</v>
      </c>
      <c r="L338" s="22">
        <v>70205</v>
      </c>
      <c r="M338" s="23" t="s">
        <v>2961</v>
      </c>
      <c r="N338" s="24">
        <v>0</v>
      </c>
      <c r="O338" s="24">
        <v>0</v>
      </c>
      <c r="P338" s="24">
        <v>0</v>
      </c>
      <c r="Q338" s="24">
        <v>1848</v>
      </c>
      <c r="R338" s="24">
        <v>0</v>
      </c>
      <c r="S338" s="24">
        <v>0</v>
      </c>
      <c r="T338" s="24">
        <v>0</v>
      </c>
      <c r="U338" s="24">
        <v>1848</v>
      </c>
      <c r="V338" s="24">
        <v>0</v>
      </c>
      <c r="W338" s="24">
        <v>0</v>
      </c>
      <c r="X338" s="24">
        <v>0</v>
      </c>
      <c r="Y338" s="24">
        <v>1849</v>
      </c>
      <c r="Z338" s="24">
        <f t="shared" si="17"/>
        <v>5545</v>
      </c>
      <c r="AB338" s="25">
        <v>5545</v>
      </c>
      <c r="AC338" s="26">
        <v>5544.9</v>
      </c>
      <c r="AD338" s="24">
        <v>0.1000000000003638</v>
      </c>
      <c r="AE338" s="27">
        <f>_xlfn.XLOOKUP(B338,'Projects Cashflow'!$B:$B,'Projects Cashflow'!$AG:$AG,0)</f>
        <v>5544.9</v>
      </c>
      <c r="AF338" s="28">
        <f t="shared" si="18"/>
        <v>-0.1000000000003638</v>
      </c>
    </row>
    <row r="339" spans="2:32" x14ac:dyDescent="0.3">
      <c r="B339" s="14" t="str">
        <f t="shared" si="16"/>
        <v>45112504511000514Security Service-N424551200104</v>
      </c>
      <c r="C339" s="21" t="s">
        <v>65</v>
      </c>
      <c r="D339" s="22">
        <v>4511250</v>
      </c>
      <c r="E339" s="21" t="s">
        <v>66</v>
      </c>
      <c r="F339" s="22">
        <v>4511000514</v>
      </c>
      <c r="G339" s="21" t="s">
        <v>3008</v>
      </c>
      <c r="H339" s="21" t="s">
        <v>107</v>
      </c>
      <c r="I339" s="22">
        <v>424551</v>
      </c>
      <c r="J339" s="22">
        <v>200104</v>
      </c>
      <c r="K339" s="22" t="s">
        <v>2959</v>
      </c>
      <c r="L339" s="22">
        <v>70205</v>
      </c>
      <c r="M339" s="23" t="s">
        <v>2961</v>
      </c>
      <c r="N339" s="24">
        <v>0</v>
      </c>
      <c r="O339" s="24">
        <v>0</v>
      </c>
      <c r="P339" s="24">
        <v>0</v>
      </c>
      <c r="Q339" s="24">
        <v>170000</v>
      </c>
      <c r="R339" s="24">
        <v>85000</v>
      </c>
      <c r="S339" s="24">
        <v>85000</v>
      </c>
      <c r="T339" s="24">
        <v>85000</v>
      </c>
      <c r="U339" s="24">
        <v>85000</v>
      </c>
      <c r="V339" s="24">
        <v>85000</v>
      </c>
      <c r="W339" s="24">
        <v>85000</v>
      </c>
      <c r="X339" s="24">
        <v>75000</v>
      </c>
      <c r="Y339" s="24">
        <v>76600</v>
      </c>
      <c r="Z339" s="24">
        <f t="shared" si="17"/>
        <v>831600</v>
      </c>
      <c r="AB339" s="25">
        <v>831600</v>
      </c>
      <c r="AC339" s="26">
        <v>831600</v>
      </c>
      <c r="AD339" s="24">
        <v>0</v>
      </c>
      <c r="AE339" s="27">
        <f>_xlfn.XLOOKUP(B339,'Projects Cashflow'!$B:$B,'Projects Cashflow'!$AG:$AG,0)</f>
        <v>831600</v>
      </c>
      <c r="AF339" s="28">
        <f t="shared" si="18"/>
        <v>0</v>
      </c>
    </row>
    <row r="340" spans="2:32" x14ac:dyDescent="0.3">
      <c r="B340" s="14" t="str">
        <f t="shared" si="16"/>
        <v>45112504511000514Utilities-N423931200104</v>
      </c>
      <c r="C340" s="21" t="s">
        <v>65</v>
      </c>
      <c r="D340" s="22">
        <v>4511250</v>
      </c>
      <c r="E340" s="21" t="s">
        <v>66</v>
      </c>
      <c r="F340" s="22">
        <v>4511000514</v>
      </c>
      <c r="G340" s="21" t="s">
        <v>3008</v>
      </c>
      <c r="H340" s="21" t="s">
        <v>110</v>
      </c>
      <c r="I340" s="22">
        <v>423931</v>
      </c>
      <c r="J340" s="22">
        <v>200104</v>
      </c>
      <c r="K340" s="22" t="s">
        <v>2959</v>
      </c>
      <c r="L340" s="22">
        <v>70205</v>
      </c>
      <c r="M340" s="23" t="s">
        <v>2961</v>
      </c>
      <c r="N340" s="24">
        <v>0</v>
      </c>
      <c r="O340" s="24">
        <v>0</v>
      </c>
      <c r="P340" s="24">
        <v>0</v>
      </c>
      <c r="Q340" s="24">
        <v>0</v>
      </c>
      <c r="R340" s="24">
        <v>0</v>
      </c>
      <c r="S340" s="24">
        <v>0</v>
      </c>
      <c r="T340" s="24">
        <v>0</v>
      </c>
      <c r="U340" s="24">
        <v>0</v>
      </c>
      <c r="V340" s="24">
        <v>0</v>
      </c>
      <c r="W340" s="24">
        <v>0</v>
      </c>
      <c r="X340" s="24">
        <v>0</v>
      </c>
      <c r="Y340" s="24">
        <v>6387</v>
      </c>
      <c r="Z340" s="24">
        <f t="shared" si="17"/>
        <v>6387</v>
      </c>
      <c r="AB340" s="25">
        <v>6387</v>
      </c>
      <c r="AC340" s="26">
        <v>6387</v>
      </c>
      <c r="AD340" s="24">
        <v>0</v>
      </c>
      <c r="AE340" s="27">
        <f>_xlfn.XLOOKUP(B340,'Projects Cashflow'!$B:$B,'Projects Cashflow'!$AG:$AG,0)</f>
        <v>6387</v>
      </c>
      <c r="AF340" s="28">
        <f t="shared" si="18"/>
        <v>0</v>
      </c>
    </row>
    <row r="341" spans="2:32" x14ac:dyDescent="0.3">
      <c r="B341" s="14" t="str">
        <f t="shared" si="16"/>
        <v>45112504511000525Maintenance-N426212200104</v>
      </c>
      <c r="C341" s="21" t="s">
        <v>65</v>
      </c>
      <c r="D341" s="22">
        <v>4511250</v>
      </c>
      <c r="E341" s="21" t="s">
        <v>66</v>
      </c>
      <c r="F341" s="22">
        <v>4511000525</v>
      </c>
      <c r="G341" s="21" t="s">
        <v>3009</v>
      </c>
      <c r="H341" s="21" t="s">
        <v>95</v>
      </c>
      <c r="I341" s="22">
        <v>426212</v>
      </c>
      <c r="J341" s="22">
        <v>200104</v>
      </c>
      <c r="K341" s="22" t="s">
        <v>2959</v>
      </c>
      <c r="L341" s="22">
        <v>70205</v>
      </c>
      <c r="M341" s="23" t="s">
        <v>2961</v>
      </c>
      <c r="N341" s="24">
        <v>0</v>
      </c>
      <c r="O341" s="24">
        <v>0</v>
      </c>
      <c r="P341" s="24">
        <v>0</v>
      </c>
      <c r="Q341" s="24">
        <v>217587.49996666668</v>
      </c>
      <c r="R341" s="24">
        <v>72529.166666666672</v>
      </c>
      <c r="S341" s="24">
        <v>72529.166666666672</v>
      </c>
      <c r="T341" s="24">
        <v>72529.166666666672</v>
      </c>
      <c r="U341" s="24">
        <v>72529.166666666672</v>
      </c>
      <c r="V341" s="24">
        <v>72529.166666666672</v>
      </c>
      <c r="W341" s="24">
        <v>72529.166666666672</v>
      </c>
      <c r="X341" s="24">
        <v>72529.166666666672</v>
      </c>
      <c r="Y341" s="24">
        <v>145058.33333333334</v>
      </c>
      <c r="Z341" s="24">
        <f t="shared" si="17"/>
        <v>870349.99996666668</v>
      </c>
      <c r="AB341" s="25">
        <v>870349.99996666668</v>
      </c>
      <c r="AC341" s="26">
        <v>870350</v>
      </c>
      <c r="AD341" s="24">
        <v>-3.3333315514028072E-5</v>
      </c>
      <c r="AE341" s="27">
        <f>_xlfn.XLOOKUP(B341,'Projects Cashflow'!$B:$B,'Projects Cashflow'!$AG:$AG,0)</f>
        <v>870350</v>
      </c>
      <c r="AF341" s="28">
        <f t="shared" si="18"/>
        <v>3.3333315514028072E-5</v>
      </c>
    </row>
    <row r="342" spans="2:32" x14ac:dyDescent="0.3">
      <c r="B342" s="14" t="str">
        <f t="shared" si="16"/>
        <v>45112504511000525Cooling Bills-N423931200104</v>
      </c>
      <c r="C342" s="21" t="s">
        <v>65</v>
      </c>
      <c r="D342" s="22">
        <v>4511250</v>
      </c>
      <c r="E342" s="21" t="s">
        <v>66</v>
      </c>
      <c r="F342" s="22">
        <v>4511000525</v>
      </c>
      <c r="G342" s="21" t="s">
        <v>3009</v>
      </c>
      <c r="H342" s="21" t="s">
        <v>682</v>
      </c>
      <c r="I342" s="22">
        <v>423931</v>
      </c>
      <c r="J342" s="22">
        <v>200104</v>
      </c>
      <c r="K342" s="22" t="s">
        <v>2959</v>
      </c>
      <c r="L342" s="22">
        <v>70205</v>
      </c>
      <c r="M342" s="23" t="s">
        <v>2961</v>
      </c>
      <c r="N342" s="24">
        <v>0</v>
      </c>
      <c r="O342" s="24">
        <v>0</v>
      </c>
      <c r="P342" s="24">
        <v>0</v>
      </c>
      <c r="Q342" s="24">
        <v>270000</v>
      </c>
      <c r="R342" s="24">
        <v>90000</v>
      </c>
      <c r="S342" s="24">
        <v>90000</v>
      </c>
      <c r="T342" s="24">
        <v>90000</v>
      </c>
      <c r="U342" s="24">
        <v>90000</v>
      </c>
      <c r="V342" s="24">
        <v>0</v>
      </c>
      <c r="W342" s="24">
        <v>0</v>
      </c>
      <c r="X342" s="24">
        <v>0</v>
      </c>
      <c r="Y342" s="24">
        <v>0</v>
      </c>
      <c r="Z342" s="24">
        <f t="shared" si="17"/>
        <v>630000</v>
      </c>
      <c r="AB342" s="25">
        <v>630000</v>
      </c>
      <c r="AC342" s="26">
        <v>630000</v>
      </c>
      <c r="AD342" s="24">
        <v>0</v>
      </c>
      <c r="AE342" s="27">
        <f>_xlfn.XLOOKUP(B342,'Projects Cashflow'!$B:$B,'Projects Cashflow'!$AG:$AG,0)</f>
        <v>630000</v>
      </c>
      <c r="AF342" s="28">
        <f t="shared" si="18"/>
        <v>0</v>
      </c>
    </row>
    <row r="343" spans="2:32" x14ac:dyDescent="0.3">
      <c r="B343" s="14" t="str">
        <f t="shared" si="16"/>
        <v>45112504511000525Cleaning Service-N422311200104</v>
      </c>
      <c r="C343" s="21" t="s">
        <v>65</v>
      </c>
      <c r="D343" s="22">
        <v>4511250</v>
      </c>
      <c r="E343" s="21" t="s">
        <v>66</v>
      </c>
      <c r="F343" s="22">
        <v>4511000525</v>
      </c>
      <c r="G343" s="21" t="s">
        <v>3009</v>
      </c>
      <c r="H343" s="21" t="s">
        <v>79</v>
      </c>
      <c r="I343" s="22">
        <v>422311</v>
      </c>
      <c r="J343" s="22">
        <v>200104</v>
      </c>
      <c r="K343" s="22" t="s">
        <v>2959</v>
      </c>
      <c r="L343" s="22">
        <v>70205</v>
      </c>
      <c r="M343" s="23" t="s">
        <v>2961</v>
      </c>
      <c r="N343" s="24">
        <v>0</v>
      </c>
      <c r="O343" s="24">
        <v>0</v>
      </c>
      <c r="P343" s="24">
        <v>0</v>
      </c>
      <c r="Q343" s="24">
        <v>68343</v>
      </c>
      <c r="R343" s="24">
        <v>22781</v>
      </c>
      <c r="S343" s="24">
        <v>22781</v>
      </c>
      <c r="T343" s="24">
        <v>22781</v>
      </c>
      <c r="U343" s="24">
        <v>22781</v>
      </c>
      <c r="V343" s="24">
        <v>22781</v>
      </c>
      <c r="W343" s="24">
        <v>22781</v>
      </c>
      <c r="X343" s="24">
        <v>22781</v>
      </c>
      <c r="Y343" s="24">
        <v>45562</v>
      </c>
      <c r="Z343" s="24">
        <f t="shared" si="17"/>
        <v>273372</v>
      </c>
      <c r="AB343" s="25">
        <v>273372</v>
      </c>
      <c r="AC343" s="26">
        <v>273372</v>
      </c>
      <c r="AD343" s="24">
        <v>0</v>
      </c>
      <c r="AE343" s="27">
        <f>_xlfn.XLOOKUP(B343,'Projects Cashflow'!$B:$B,'Projects Cashflow'!$AG:$AG,0)</f>
        <v>273372</v>
      </c>
      <c r="AF343" s="28">
        <f t="shared" si="18"/>
        <v>0</v>
      </c>
    </row>
    <row r="344" spans="2:32" x14ac:dyDescent="0.3">
      <c r="B344" s="14" t="str">
        <f t="shared" si="16"/>
        <v>45112504511000525Utilities-N423931200104</v>
      </c>
      <c r="C344" s="21" t="s">
        <v>65</v>
      </c>
      <c r="D344" s="22">
        <v>4511250</v>
      </c>
      <c r="E344" s="21" t="s">
        <v>66</v>
      </c>
      <c r="F344" s="22">
        <v>4511000525</v>
      </c>
      <c r="G344" s="21" t="s">
        <v>3009</v>
      </c>
      <c r="H344" s="21" t="s">
        <v>110</v>
      </c>
      <c r="I344" s="22">
        <v>423931</v>
      </c>
      <c r="J344" s="22">
        <v>200104</v>
      </c>
      <c r="K344" s="22" t="s">
        <v>2959</v>
      </c>
      <c r="L344" s="22">
        <v>70205</v>
      </c>
      <c r="M344" s="23" t="s">
        <v>2961</v>
      </c>
      <c r="N344" s="24">
        <v>0</v>
      </c>
      <c r="O344" s="24">
        <v>0</v>
      </c>
      <c r="P344" s="24">
        <v>0</v>
      </c>
      <c r="Q344" s="24">
        <v>62392</v>
      </c>
      <c r="R344" s="24">
        <v>31196</v>
      </c>
      <c r="S344" s="24">
        <v>31196</v>
      </c>
      <c r="T344" s="24">
        <v>31196</v>
      </c>
      <c r="U344" s="24">
        <v>31196</v>
      </c>
      <c r="V344" s="24">
        <v>31197</v>
      </c>
      <c r="W344" s="24">
        <v>0</v>
      </c>
      <c r="X344" s="24">
        <v>0</v>
      </c>
      <c r="Y344" s="24">
        <v>0</v>
      </c>
      <c r="Z344" s="24">
        <f t="shared" si="17"/>
        <v>218373</v>
      </c>
      <c r="AB344" s="25">
        <v>218373</v>
      </c>
      <c r="AC344" s="26">
        <v>218373</v>
      </c>
      <c r="AD344" s="24">
        <v>0</v>
      </c>
      <c r="AE344" s="27">
        <f>_xlfn.XLOOKUP(B344,'Projects Cashflow'!$B:$B,'Projects Cashflow'!$AG:$AG,0)</f>
        <v>218373</v>
      </c>
      <c r="AF344" s="28">
        <f t="shared" si="18"/>
        <v>0</v>
      </c>
    </row>
    <row r="345" spans="2:32" x14ac:dyDescent="0.3">
      <c r="B345" s="14" t="str">
        <f t="shared" si="16"/>
        <v>45112504511000525Security Service-N424551200104</v>
      </c>
      <c r="C345" s="21" t="s">
        <v>65</v>
      </c>
      <c r="D345" s="22">
        <v>4511250</v>
      </c>
      <c r="E345" s="21" t="s">
        <v>66</v>
      </c>
      <c r="F345" s="22">
        <v>4511000525</v>
      </c>
      <c r="G345" s="21" t="s">
        <v>3009</v>
      </c>
      <c r="H345" s="21" t="s">
        <v>107</v>
      </c>
      <c r="I345" s="22">
        <v>424551</v>
      </c>
      <c r="J345" s="22">
        <v>200104</v>
      </c>
      <c r="K345" s="22" t="s">
        <v>2959</v>
      </c>
      <c r="L345" s="22">
        <v>70205</v>
      </c>
      <c r="M345" s="23" t="s">
        <v>2961</v>
      </c>
      <c r="N345" s="24">
        <v>0</v>
      </c>
      <c r="O345" s="24">
        <v>0</v>
      </c>
      <c r="P345" s="24">
        <v>0</v>
      </c>
      <c r="Q345" s="24">
        <v>35600</v>
      </c>
      <c r="R345" s="24">
        <v>8900</v>
      </c>
      <c r="S345" s="24">
        <v>8900</v>
      </c>
      <c r="T345" s="24">
        <v>8900</v>
      </c>
      <c r="U345" s="24">
        <v>8900</v>
      </c>
      <c r="V345" s="24">
        <v>8900</v>
      </c>
      <c r="W345" s="24">
        <v>8900</v>
      </c>
      <c r="X345" s="24">
        <v>8900</v>
      </c>
      <c r="Y345" s="24">
        <v>27500</v>
      </c>
      <c r="Z345" s="24">
        <f t="shared" si="17"/>
        <v>125400</v>
      </c>
      <c r="AB345" s="25">
        <v>125400</v>
      </c>
      <c r="AC345" s="26">
        <v>125400</v>
      </c>
      <c r="AD345" s="24">
        <v>0</v>
      </c>
      <c r="AE345" s="27">
        <f>_xlfn.XLOOKUP(B345,'Projects Cashflow'!$B:$B,'Projects Cashflow'!$AG:$AG,0)</f>
        <v>125400</v>
      </c>
      <c r="AF345" s="28">
        <f t="shared" si="18"/>
        <v>0</v>
      </c>
    </row>
    <row r="346" spans="2:32" x14ac:dyDescent="0.3">
      <c r="B346" s="14" t="str">
        <f t="shared" si="16"/>
        <v>45112504511000525Ad-hoc Repairs-N426427200104</v>
      </c>
      <c r="C346" s="21" t="s">
        <v>65</v>
      </c>
      <c r="D346" s="22">
        <v>4511250</v>
      </c>
      <c r="E346" s="21" t="s">
        <v>66</v>
      </c>
      <c r="F346" s="22">
        <v>4511000525</v>
      </c>
      <c r="G346" s="21" t="s">
        <v>3009</v>
      </c>
      <c r="H346" s="21" t="s">
        <v>70</v>
      </c>
      <c r="I346" s="22">
        <v>426427</v>
      </c>
      <c r="J346" s="22">
        <v>200104</v>
      </c>
      <c r="K346" s="22" t="s">
        <v>2959</v>
      </c>
      <c r="L346" s="22">
        <v>70205</v>
      </c>
      <c r="M346" s="23" t="s">
        <v>2961</v>
      </c>
      <c r="N346" s="24">
        <v>0</v>
      </c>
      <c r="O346" s="24">
        <v>0</v>
      </c>
      <c r="P346" s="24">
        <v>0</v>
      </c>
      <c r="Q346" s="24">
        <v>0</v>
      </c>
      <c r="R346" s="24">
        <v>0</v>
      </c>
      <c r="S346" s="24">
        <v>26200</v>
      </c>
      <c r="T346" s="24">
        <v>0</v>
      </c>
      <c r="U346" s="24">
        <v>0</v>
      </c>
      <c r="V346" s="24">
        <v>0</v>
      </c>
      <c r="W346" s="24">
        <v>20000</v>
      </c>
      <c r="X346" s="24">
        <v>0</v>
      </c>
      <c r="Y346" s="24">
        <v>0</v>
      </c>
      <c r="Z346" s="24">
        <f t="shared" si="17"/>
        <v>46200</v>
      </c>
      <c r="AB346" s="25">
        <v>46200</v>
      </c>
      <c r="AC346" s="26">
        <v>46200</v>
      </c>
      <c r="AD346" s="24">
        <v>0</v>
      </c>
      <c r="AE346" s="27">
        <f>_xlfn.XLOOKUP(B346,'Projects Cashflow'!$B:$B,'Projects Cashflow'!$AG:$AG,0)</f>
        <v>46200</v>
      </c>
      <c r="AF346" s="28">
        <f t="shared" si="18"/>
        <v>0</v>
      </c>
    </row>
    <row r="347" spans="2:32" x14ac:dyDescent="0.3">
      <c r="B347" s="14" t="str">
        <f t="shared" si="16"/>
        <v>45112504511000525Pest Control-N422321200104</v>
      </c>
      <c r="C347" s="21" t="s">
        <v>65</v>
      </c>
      <c r="D347" s="22">
        <v>4511250</v>
      </c>
      <c r="E347" s="21" t="s">
        <v>66</v>
      </c>
      <c r="F347" s="22">
        <v>4511000525</v>
      </c>
      <c r="G347" s="21" t="s">
        <v>3009</v>
      </c>
      <c r="H347" s="21" t="s">
        <v>103</v>
      </c>
      <c r="I347" s="22">
        <v>422321</v>
      </c>
      <c r="J347" s="22">
        <v>200104</v>
      </c>
      <c r="K347" s="22" t="s">
        <v>2959</v>
      </c>
      <c r="L347" s="22">
        <v>70205</v>
      </c>
      <c r="M347" s="23" t="s">
        <v>2961</v>
      </c>
      <c r="N347" s="24">
        <v>0</v>
      </c>
      <c r="O347" s="24">
        <v>0</v>
      </c>
      <c r="P347" s="24">
        <v>0</v>
      </c>
      <c r="Q347" s="24">
        <v>0</v>
      </c>
      <c r="R347" s="24">
        <v>0</v>
      </c>
      <c r="S347" s="24">
        <v>7920</v>
      </c>
      <c r="T347" s="24">
        <v>0</v>
      </c>
      <c r="U347" s="24">
        <v>0</v>
      </c>
      <c r="V347" s="24">
        <v>0</v>
      </c>
      <c r="W347" s="24">
        <v>0</v>
      </c>
      <c r="X347" s="24">
        <v>0</v>
      </c>
      <c r="Y347" s="24">
        <v>0</v>
      </c>
      <c r="Z347" s="24">
        <f t="shared" si="17"/>
        <v>7920</v>
      </c>
      <c r="AB347" s="25">
        <v>7920</v>
      </c>
      <c r="AC347" s="26">
        <v>7920</v>
      </c>
      <c r="AD347" s="24">
        <v>0</v>
      </c>
      <c r="AE347" s="27">
        <f>_xlfn.XLOOKUP(B347,'Projects Cashflow'!$B:$B,'Projects Cashflow'!$AG:$AG,0)</f>
        <v>7920</v>
      </c>
      <c r="AF347" s="28">
        <f t="shared" si="18"/>
        <v>0</v>
      </c>
    </row>
    <row r="348" spans="2:32" x14ac:dyDescent="0.3">
      <c r="B348" s="14" t="str">
        <f t="shared" si="16"/>
        <v>45112504511001261Maintenance-N426212200104</v>
      </c>
      <c r="C348" s="21" t="s">
        <v>65</v>
      </c>
      <c r="D348" s="22">
        <v>4511250</v>
      </c>
      <c r="E348" s="21" t="s">
        <v>66</v>
      </c>
      <c r="F348" s="22">
        <v>4511001261</v>
      </c>
      <c r="G348" s="21" t="s">
        <v>1512</v>
      </c>
      <c r="H348" s="21" t="s">
        <v>95</v>
      </c>
      <c r="I348" s="22">
        <v>426212</v>
      </c>
      <c r="J348" s="22">
        <v>200104</v>
      </c>
      <c r="K348" s="22" t="s">
        <v>2959</v>
      </c>
      <c r="L348" s="22">
        <v>70205</v>
      </c>
      <c r="M348" s="23" t="s">
        <v>2961</v>
      </c>
      <c r="N348" s="24">
        <v>0</v>
      </c>
      <c r="O348" s="24">
        <v>0</v>
      </c>
      <c r="P348" s="24">
        <v>0</v>
      </c>
      <c r="Q348" s="24">
        <v>154961.20000000001</v>
      </c>
      <c r="R348" s="24">
        <v>38740.300000000003</v>
      </c>
      <c r="S348" s="24">
        <v>26877.3</v>
      </c>
      <c r="T348" s="24">
        <v>0</v>
      </c>
      <c r="U348" s="24">
        <v>0</v>
      </c>
      <c r="V348" s="24">
        <v>0</v>
      </c>
      <c r="W348" s="24">
        <v>0</v>
      </c>
      <c r="X348" s="24">
        <v>0</v>
      </c>
      <c r="Y348" s="24">
        <v>0</v>
      </c>
      <c r="Z348" s="24">
        <f t="shared" si="17"/>
        <v>220578.8</v>
      </c>
      <c r="AB348" s="25">
        <v>220578.8</v>
      </c>
      <c r="AC348" s="26">
        <v>220579.20000000001</v>
      </c>
      <c r="AD348" s="24">
        <v>-0.40000000002328306</v>
      </c>
      <c r="AE348" s="27">
        <f>_xlfn.XLOOKUP(B348,'Projects Cashflow'!$B:$B,'Projects Cashflow'!$AG:$AG,0)</f>
        <v>220579.20000000001</v>
      </c>
      <c r="AF348" s="28">
        <f t="shared" si="18"/>
        <v>0.40000000002328306</v>
      </c>
    </row>
    <row r="349" spans="2:32" x14ac:dyDescent="0.3">
      <c r="B349" s="14" t="str">
        <f t="shared" si="16"/>
        <v>45112504511000526Activation&amp;Prog-N422401200104</v>
      </c>
      <c r="C349" s="21" t="s">
        <v>65</v>
      </c>
      <c r="D349" s="22">
        <v>4511250</v>
      </c>
      <c r="E349" s="21" t="s">
        <v>66</v>
      </c>
      <c r="F349" s="22">
        <v>4511000526</v>
      </c>
      <c r="G349" s="21" t="s">
        <v>2990</v>
      </c>
      <c r="H349" s="21" t="s">
        <v>62</v>
      </c>
      <c r="I349" s="22">
        <v>422401</v>
      </c>
      <c r="J349" s="22">
        <v>200104</v>
      </c>
      <c r="K349" s="22" t="s">
        <v>2959</v>
      </c>
      <c r="L349" s="22">
        <v>70205</v>
      </c>
      <c r="M349" s="23" t="s">
        <v>2961</v>
      </c>
      <c r="N349" s="24">
        <v>0</v>
      </c>
      <c r="O349" s="24">
        <v>0</v>
      </c>
      <c r="P349" s="24">
        <v>373100</v>
      </c>
      <c r="Q349" s="24">
        <v>0</v>
      </c>
      <c r="R349" s="24">
        <v>0</v>
      </c>
      <c r="S349" s="24">
        <v>597400</v>
      </c>
      <c r="T349" s="24">
        <v>0</v>
      </c>
      <c r="U349" s="24">
        <v>0</v>
      </c>
      <c r="V349" s="24">
        <v>0</v>
      </c>
      <c r="W349" s="24">
        <v>0</v>
      </c>
      <c r="X349" s="24">
        <v>0</v>
      </c>
      <c r="Y349" s="24">
        <v>0</v>
      </c>
      <c r="Z349" s="24">
        <f t="shared" si="17"/>
        <v>970500</v>
      </c>
      <c r="AB349" s="25">
        <v>970500</v>
      </c>
      <c r="AC349" s="26">
        <v>970500</v>
      </c>
      <c r="AD349" s="24">
        <v>0</v>
      </c>
      <c r="AE349" s="27">
        <f>_xlfn.XLOOKUP(B349,'Projects Cashflow'!$B:$B,'Projects Cashflow'!$AG:$AG,0)</f>
        <v>970500</v>
      </c>
      <c r="AF349" s="28">
        <f t="shared" si="18"/>
        <v>0</v>
      </c>
    </row>
    <row r="350" spans="2:32" x14ac:dyDescent="0.3">
      <c r="B350" s="14" t="str">
        <f t="shared" si="16"/>
        <v>45112504511000526Admin Expenses-N1421125200104</v>
      </c>
      <c r="C350" s="21" t="s">
        <v>65</v>
      </c>
      <c r="D350" s="22">
        <v>4511250</v>
      </c>
      <c r="E350" s="21" t="s">
        <v>66</v>
      </c>
      <c r="F350" s="22">
        <v>4511000526</v>
      </c>
      <c r="G350" s="21" t="s">
        <v>2990</v>
      </c>
      <c r="H350" s="21" t="s">
        <v>73</v>
      </c>
      <c r="I350" s="22">
        <v>421125</v>
      </c>
      <c r="J350" s="22">
        <v>200104</v>
      </c>
      <c r="K350" s="22" t="s">
        <v>2959</v>
      </c>
      <c r="L350" s="22">
        <v>70205</v>
      </c>
      <c r="M350" s="23" t="s">
        <v>2961</v>
      </c>
      <c r="N350" s="24">
        <v>0</v>
      </c>
      <c r="O350" s="24">
        <v>0</v>
      </c>
      <c r="P350" s="24">
        <v>0</v>
      </c>
      <c r="Q350" s="24">
        <v>60000</v>
      </c>
      <c r="R350" s="24">
        <v>60000</v>
      </c>
      <c r="S350" s="24">
        <v>60000</v>
      </c>
      <c r="T350" s="24">
        <v>57950</v>
      </c>
      <c r="U350" s="24">
        <v>0</v>
      </c>
      <c r="V350" s="24">
        <v>0</v>
      </c>
      <c r="W350" s="24">
        <v>0</v>
      </c>
      <c r="X350" s="24">
        <v>0</v>
      </c>
      <c r="Y350" s="24">
        <v>0</v>
      </c>
      <c r="Z350" s="24">
        <f t="shared" si="17"/>
        <v>237950</v>
      </c>
      <c r="AB350" s="25">
        <v>237950</v>
      </c>
      <c r="AC350" s="26">
        <v>237950</v>
      </c>
      <c r="AD350" s="24">
        <v>0</v>
      </c>
      <c r="AE350" s="27">
        <f>_xlfn.XLOOKUP(B350,'Projects Cashflow'!$B:$B,'Projects Cashflow'!$AG:$AG,0)</f>
        <v>237950</v>
      </c>
      <c r="AF350" s="28">
        <f t="shared" si="18"/>
        <v>0</v>
      </c>
    </row>
    <row r="351" spans="2:32" x14ac:dyDescent="0.3">
      <c r="B351" s="14" t="str">
        <f t="shared" si="16"/>
        <v>45112504511000526Edu &amp; Outreach-N422401200104</v>
      </c>
      <c r="C351" s="21" t="s">
        <v>65</v>
      </c>
      <c r="D351" s="22">
        <v>4511250</v>
      </c>
      <c r="E351" s="21" t="s">
        <v>66</v>
      </c>
      <c r="F351" s="22">
        <v>4511000526</v>
      </c>
      <c r="G351" s="21" t="s">
        <v>2990</v>
      </c>
      <c r="H351" s="21" t="s">
        <v>155</v>
      </c>
      <c r="I351" s="22">
        <v>422401</v>
      </c>
      <c r="J351" s="22">
        <v>200104</v>
      </c>
      <c r="K351" s="22" t="s">
        <v>2959</v>
      </c>
      <c r="L351" s="22">
        <v>70205</v>
      </c>
      <c r="M351" s="23" t="s">
        <v>2961</v>
      </c>
      <c r="N351" s="24">
        <v>0</v>
      </c>
      <c r="O351" s="24">
        <v>0</v>
      </c>
      <c r="P351" s="24">
        <v>0</v>
      </c>
      <c r="Q351" s="24">
        <v>0</v>
      </c>
      <c r="R351" s="24">
        <v>0</v>
      </c>
      <c r="S351" s="24">
        <v>0</v>
      </c>
      <c r="T351" s="24">
        <v>0</v>
      </c>
      <c r="U351" s="24">
        <v>0</v>
      </c>
      <c r="V351" s="24">
        <v>0</v>
      </c>
      <c r="W351" s="24">
        <v>0</v>
      </c>
      <c r="X351" s="24">
        <v>135000</v>
      </c>
      <c r="Y351" s="24">
        <v>0</v>
      </c>
      <c r="Z351" s="24">
        <f t="shared" si="17"/>
        <v>135000</v>
      </c>
      <c r="AB351" s="25">
        <v>135000</v>
      </c>
      <c r="AC351" s="26">
        <v>135000</v>
      </c>
      <c r="AD351" s="24">
        <v>0</v>
      </c>
      <c r="AE351" s="27">
        <f>_xlfn.XLOOKUP(B351,'Projects Cashflow'!$B:$B,'Projects Cashflow'!$AG:$AG,0)</f>
        <v>135000</v>
      </c>
      <c r="AF351" s="28">
        <f t="shared" si="18"/>
        <v>0</v>
      </c>
    </row>
    <row r="352" spans="2:32" x14ac:dyDescent="0.3">
      <c r="B352" s="14" t="str">
        <f t="shared" si="16"/>
        <v>45112504511000527Utilities-N423931200104</v>
      </c>
      <c r="C352" s="21" t="s">
        <v>65</v>
      </c>
      <c r="D352" s="22">
        <v>4511250</v>
      </c>
      <c r="E352" s="21" t="s">
        <v>66</v>
      </c>
      <c r="F352" s="22">
        <v>4511000527</v>
      </c>
      <c r="G352" s="21" t="s">
        <v>3010</v>
      </c>
      <c r="H352" s="21" t="s">
        <v>110</v>
      </c>
      <c r="I352" s="22">
        <v>423931</v>
      </c>
      <c r="J352" s="22">
        <v>200104</v>
      </c>
      <c r="K352" s="22" t="s">
        <v>2959</v>
      </c>
      <c r="L352" s="22">
        <v>70205</v>
      </c>
      <c r="M352" s="23" t="s">
        <v>2961</v>
      </c>
      <c r="N352" s="24">
        <v>0</v>
      </c>
      <c r="O352" s="24">
        <v>0</v>
      </c>
      <c r="P352" s="24">
        <v>0</v>
      </c>
      <c r="Q352" s="24">
        <v>23333.333200000001</v>
      </c>
      <c r="R352" s="24">
        <v>11666.6666</v>
      </c>
      <c r="S352" s="24">
        <v>11666.6666</v>
      </c>
      <c r="T352" s="24">
        <v>11666.6666</v>
      </c>
      <c r="U352" s="24">
        <v>11666.6666</v>
      </c>
      <c r="V352" s="24">
        <v>11666.6666</v>
      </c>
      <c r="W352" s="24">
        <v>11666.6666</v>
      </c>
      <c r="X352" s="24">
        <v>11666.6666</v>
      </c>
      <c r="Y352" s="24">
        <v>35000</v>
      </c>
      <c r="Z352" s="24">
        <f t="shared" si="17"/>
        <v>139999.99939999997</v>
      </c>
      <c r="AB352" s="25">
        <v>139999.99939999997</v>
      </c>
      <c r="AC352" s="26">
        <v>140003</v>
      </c>
      <c r="AD352" s="24">
        <v>-3.0006000000284985</v>
      </c>
      <c r="AE352" s="27">
        <f>_xlfn.XLOOKUP(B352,'Projects Cashflow'!$B:$B,'Projects Cashflow'!$AG:$AG,0)</f>
        <v>140003</v>
      </c>
      <c r="AF352" s="28">
        <f t="shared" si="18"/>
        <v>3.0006000000284985</v>
      </c>
    </row>
    <row r="353" spans="2:32" x14ac:dyDescent="0.3">
      <c r="B353" s="14" t="str">
        <f t="shared" si="16"/>
        <v>45112504511000527Security Service-N424551200104</v>
      </c>
      <c r="C353" s="21" t="s">
        <v>65</v>
      </c>
      <c r="D353" s="22">
        <v>4511250</v>
      </c>
      <c r="E353" s="21" t="s">
        <v>66</v>
      </c>
      <c r="F353" s="22">
        <v>4511000527</v>
      </c>
      <c r="G353" s="21" t="s">
        <v>3010</v>
      </c>
      <c r="H353" s="21" t="s">
        <v>107</v>
      </c>
      <c r="I353" s="22">
        <v>424551</v>
      </c>
      <c r="J353" s="22">
        <v>200104</v>
      </c>
      <c r="K353" s="22" t="s">
        <v>2959</v>
      </c>
      <c r="L353" s="22">
        <v>70205</v>
      </c>
      <c r="M353" s="23" t="s">
        <v>2961</v>
      </c>
      <c r="N353" s="24">
        <v>0</v>
      </c>
      <c r="O353" s="24">
        <v>0</v>
      </c>
      <c r="P353" s="24">
        <v>0</v>
      </c>
      <c r="Q353" s="24">
        <v>41580</v>
      </c>
      <c r="R353" s="24">
        <v>10395</v>
      </c>
      <c r="S353" s="24">
        <v>10395</v>
      </c>
      <c r="T353" s="24">
        <v>10395</v>
      </c>
      <c r="U353" s="24">
        <v>10395</v>
      </c>
      <c r="V353" s="24">
        <v>10395</v>
      </c>
      <c r="W353" s="24">
        <v>10395</v>
      </c>
      <c r="X353" s="24">
        <v>10394</v>
      </c>
      <c r="Y353" s="24">
        <v>10395</v>
      </c>
      <c r="Z353" s="24">
        <f t="shared" si="17"/>
        <v>124739</v>
      </c>
      <c r="AB353" s="25">
        <v>124739</v>
      </c>
      <c r="AC353" s="26">
        <v>124739</v>
      </c>
      <c r="AD353" s="24">
        <v>0</v>
      </c>
      <c r="AE353" s="27">
        <f>_xlfn.XLOOKUP(B353,'Projects Cashflow'!$B:$B,'Projects Cashflow'!$AG:$AG,0)</f>
        <v>124739</v>
      </c>
      <c r="AF353" s="28">
        <f t="shared" si="18"/>
        <v>0</v>
      </c>
    </row>
    <row r="354" spans="2:32" x14ac:dyDescent="0.3">
      <c r="B354" s="14" t="str">
        <f t="shared" si="16"/>
        <v>45112504511000217Manpower-N424521200104</v>
      </c>
      <c r="C354" s="21" t="s">
        <v>65</v>
      </c>
      <c r="D354" s="22">
        <v>4511250</v>
      </c>
      <c r="E354" s="21" t="s">
        <v>66</v>
      </c>
      <c r="F354" s="22">
        <v>4511000217</v>
      </c>
      <c r="G354" s="21" t="s">
        <v>2991</v>
      </c>
      <c r="H354" s="21" t="s">
        <v>98</v>
      </c>
      <c r="I354" s="22">
        <v>424521</v>
      </c>
      <c r="J354" s="22">
        <v>200104</v>
      </c>
      <c r="K354" s="22" t="s">
        <v>2959</v>
      </c>
      <c r="L354" s="22">
        <v>70205</v>
      </c>
      <c r="M354" s="23" t="s">
        <v>2961</v>
      </c>
      <c r="N354" s="24">
        <v>0</v>
      </c>
      <c r="O354" s="26">
        <v>43753.34</v>
      </c>
      <c r="P354" s="24">
        <v>0</v>
      </c>
      <c r="Q354" s="24">
        <v>43754.66</v>
      </c>
      <c r="R354" s="24">
        <v>43754</v>
      </c>
      <c r="S354" s="24">
        <v>43754</v>
      </c>
      <c r="T354" s="24">
        <v>43754</v>
      </c>
      <c r="U354" s="24">
        <v>43754</v>
      </c>
      <c r="V354" s="24">
        <v>43754</v>
      </c>
      <c r="W354" s="24">
        <v>74753</v>
      </c>
      <c r="X354" s="24">
        <v>92878</v>
      </c>
      <c r="Y354" s="24">
        <v>92878</v>
      </c>
      <c r="Z354" s="24">
        <f t="shared" si="17"/>
        <v>566787</v>
      </c>
      <c r="AB354" s="25">
        <v>566787</v>
      </c>
      <c r="AC354" s="26">
        <v>566787</v>
      </c>
      <c r="AD354" s="24">
        <v>0</v>
      </c>
      <c r="AE354" s="27">
        <f>_xlfn.XLOOKUP(B354,'Projects Cashflow'!$B:$B,'Projects Cashflow'!$AG:$AG,0)</f>
        <v>566787</v>
      </c>
      <c r="AF354" s="28">
        <f t="shared" si="18"/>
        <v>0</v>
      </c>
    </row>
    <row r="355" spans="2:32" x14ac:dyDescent="0.3">
      <c r="B355" s="14" t="str">
        <f t="shared" si="16"/>
        <v>45112504511000527Cleaning Service-N422311200104</v>
      </c>
      <c r="C355" s="21" t="s">
        <v>65</v>
      </c>
      <c r="D355" s="22">
        <v>4511250</v>
      </c>
      <c r="E355" s="21" t="s">
        <v>66</v>
      </c>
      <c r="F355" s="22">
        <v>4511000527</v>
      </c>
      <c r="G355" s="21" t="s">
        <v>3010</v>
      </c>
      <c r="H355" s="21" t="s">
        <v>79</v>
      </c>
      <c r="I355" s="22">
        <v>422311</v>
      </c>
      <c r="J355" s="22">
        <v>200104</v>
      </c>
      <c r="K355" s="22" t="s">
        <v>2959</v>
      </c>
      <c r="L355" s="22">
        <v>70205</v>
      </c>
      <c r="M355" s="23" t="s">
        <v>2961</v>
      </c>
      <c r="N355" s="24">
        <v>0</v>
      </c>
      <c r="O355" s="24">
        <v>0</v>
      </c>
      <c r="P355" s="24">
        <v>0</v>
      </c>
      <c r="Q355" s="24">
        <v>26199</v>
      </c>
      <c r="R355" s="24">
        <v>6548</v>
      </c>
      <c r="S355" s="24">
        <v>6550</v>
      </c>
      <c r="T355" s="24">
        <v>6550</v>
      </c>
      <c r="U355" s="24">
        <v>6550</v>
      </c>
      <c r="V355" s="24">
        <v>6550</v>
      </c>
      <c r="W355" s="24">
        <v>6550</v>
      </c>
      <c r="X355" s="24">
        <v>6550</v>
      </c>
      <c r="Y355" s="24">
        <v>6550</v>
      </c>
      <c r="Z355" s="24">
        <f t="shared" si="17"/>
        <v>78597</v>
      </c>
      <c r="AB355" s="25">
        <v>78597</v>
      </c>
      <c r="AC355" s="26">
        <v>78597</v>
      </c>
      <c r="AD355" s="24">
        <v>0</v>
      </c>
      <c r="AE355" s="27">
        <f>_xlfn.XLOOKUP(B355,'Projects Cashflow'!$B:$B,'Projects Cashflow'!$AG:$AG,0)</f>
        <v>78597</v>
      </c>
      <c r="AF355" s="28">
        <f t="shared" si="18"/>
        <v>0</v>
      </c>
    </row>
    <row r="356" spans="2:32" x14ac:dyDescent="0.3">
      <c r="B356" s="14" t="str">
        <f t="shared" si="16"/>
        <v>45112504511000512Cleaning Service-N422311200104</v>
      </c>
      <c r="C356" s="21" t="s">
        <v>65</v>
      </c>
      <c r="D356" s="22">
        <v>4511250</v>
      </c>
      <c r="E356" s="21" t="s">
        <v>66</v>
      </c>
      <c r="F356" s="22">
        <v>4511000512</v>
      </c>
      <c r="G356" s="21" t="s">
        <v>2998</v>
      </c>
      <c r="H356" s="21" t="s">
        <v>79</v>
      </c>
      <c r="I356" s="22">
        <v>422311</v>
      </c>
      <c r="J356" s="22">
        <v>200104</v>
      </c>
      <c r="K356" s="22" t="s">
        <v>2959</v>
      </c>
      <c r="L356" s="22">
        <v>70205</v>
      </c>
      <c r="M356" s="23" t="s">
        <v>2961</v>
      </c>
      <c r="N356" s="24">
        <v>0</v>
      </c>
      <c r="O356" s="24">
        <v>0</v>
      </c>
      <c r="P356" s="24">
        <v>0</v>
      </c>
      <c r="Q356" s="24">
        <v>91215</v>
      </c>
      <c r="R356" s="24">
        <v>22804</v>
      </c>
      <c r="S356" s="24">
        <v>22804</v>
      </c>
      <c r="T356" s="24">
        <v>22804</v>
      </c>
      <c r="U356" s="24">
        <v>22804</v>
      </c>
      <c r="V356" s="24">
        <v>22804</v>
      </c>
      <c r="W356" s="24">
        <v>22804</v>
      </c>
      <c r="X356" s="24">
        <v>22804</v>
      </c>
      <c r="Y356" s="24">
        <v>22802</v>
      </c>
      <c r="Z356" s="24">
        <f t="shared" si="17"/>
        <v>273645</v>
      </c>
      <c r="AB356" s="25">
        <v>273645</v>
      </c>
      <c r="AC356" s="26">
        <v>273644.59999999998</v>
      </c>
      <c r="AD356" s="24">
        <v>0.40000000002328306</v>
      </c>
      <c r="AE356" s="27">
        <f>_xlfn.XLOOKUP(B356,'Projects Cashflow'!$B:$B,'Projects Cashflow'!$AG:$AG,0)</f>
        <v>273644.59999999998</v>
      </c>
      <c r="AF356" s="28">
        <f t="shared" si="18"/>
        <v>-0.40000000002328306</v>
      </c>
    </row>
    <row r="357" spans="2:32" x14ac:dyDescent="0.3">
      <c r="B357" s="14" t="str">
        <f t="shared" si="16"/>
        <v>45112504511000527Pest Control-N422321200104</v>
      </c>
      <c r="C357" s="21" t="s">
        <v>65</v>
      </c>
      <c r="D357" s="22">
        <v>4511250</v>
      </c>
      <c r="E357" s="21" t="s">
        <v>66</v>
      </c>
      <c r="F357" s="22">
        <v>4511000527</v>
      </c>
      <c r="G357" s="21" t="s">
        <v>3010</v>
      </c>
      <c r="H357" s="21" t="s">
        <v>103</v>
      </c>
      <c r="I357" s="22">
        <v>422321</v>
      </c>
      <c r="J357" s="22">
        <v>200104</v>
      </c>
      <c r="K357" s="22" t="s">
        <v>2959</v>
      </c>
      <c r="L357" s="22">
        <v>70205</v>
      </c>
      <c r="M357" s="23" t="s">
        <v>2961</v>
      </c>
      <c r="N357" s="24">
        <v>0</v>
      </c>
      <c r="O357" s="24">
        <v>0</v>
      </c>
      <c r="P357" s="24">
        <v>0</v>
      </c>
      <c r="Q357" s="24">
        <v>3589</v>
      </c>
      <c r="R357" s="24">
        <v>3589</v>
      </c>
      <c r="S357" s="24">
        <v>0</v>
      </c>
      <c r="T357" s="24">
        <v>3589</v>
      </c>
      <c r="U357" s="24">
        <v>0</v>
      </c>
      <c r="V357" s="24">
        <v>3589</v>
      </c>
      <c r="W357" s="24">
        <v>0</v>
      </c>
      <c r="X357" s="24">
        <v>3588</v>
      </c>
      <c r="Y357" s="24">
        <v>0</v>
      </c>
      <c r="Z357" s="24">
        <f t="shared" si="17"/>
        <v>17944</v>
      </c>
      <c r="AB357" s="25">
        <v>17944</v>
      </c>
      <c r="AC357" s="26">
        <v>17944</v>
      </c>
      <c r="AD357" s="24">
        <v>0</v>
      </c>
      <c r="AE357" s="27">
        <f>_xlfn.XLOOKUP(B357,'Projects Cashflow'!$B:$B,'Projects Cashflow'!$AG:$AG,0)</f>
        <v>17944</v>
      </c>
      <c r="AF357" s="28">
        <f t="shared" si="18"/>
        <v>0</v>
      </c>
    </row>
    <row r="358" spans="2:32" x14ac:dyDescent="0.3">
      <c r="B358" s="14" t="str">
        <f t="shared" si="16"/>
        <v>45112504511000527Landscaping-N432614200104</v>
      </c>
      <c r="C358" s="21" t="s">
        <v>65</v>
      </c>
      <c r="D358" s="22">
        <v>4511250</v>
      </c>
      <c r="E358" s="21" t="s">
        <v>66</v>
      </c>
      <c r="F358" s="22">
        <v>4511000527</v>
      </c>
      <c r="G358" s="21" t="s">
        <v>3010</v>
      </c>
      <c r="H358" s="21" t="s">
        <v>86</v>
      </c>
      <c r="I358" s="22">
        <v>432614</v>
      </c>
      <c r="J358" s="22">
        <v>200104</v>
      </c>
      <c r="K358" s="22" t="s">
        <v>2959</v>
      </c>
      <c r="L358" s="22">
        <v>70205</v>
      </c>
      <c r="M358" s="23" t="s">
        <v>2961</v>
      </c>
      <c r="N358" s="24">
        <v>0</v>
      </c>
      <c r="O358" s="24">
        <v>0</v>
      </c>
      <c r="P358" s="24">
        <v>0</v>
      </c>
      <c r="Q358" s="24">
        <v>3520</v>
      </c>
      <c r="R358" s="24">
        <v>880</v>
      </c>
      <c r="S358" s="24">
        <v>880</v>
      </c>
      <c r="T358" s="24">
        <v>880</v>
      </c>
      <c r="U358" s="24">
        <v>880</v>
      </c>
      <c r="V358" s="24">
        <v>880</v>
      </c>
      <c r="W358" s="24">
        <v>880</v>
      </c>
      <c r="X358" s="24">
        <v>880</v>
      </c>
      <c r="Y358" s="24">
        <v>879</v>
      </c>
      <c r="Z358" s="24">
        <f t="shared" si="17"/>
        <v>10559</v>
      </c>
      <c r="AB358" s="25">
        <v>10559</v>
      </c>
      <c r="AC358" s="26">
        <v>10559</v>
      </c>
      <c r="AD358" s="24">
        <v>0</v>
      </c>
      <c r="AE358" s="27">
        <f>_xlfn.XLOOKUP(B358,'Projects Cashflow'!$B:$B,'Projects Cashflow'!$AG:$AG,0)</f>
        <v>10559</v>
      </c>
      <c r="AF358" s="28">
        <f t="shared" si="18"/>
        <v>0</v>
      </c>
    </row>
    <row r="359" spans="2:32" x14ac:dyDescent="0.3">
      <c r="B359" s="14" t="str">
        <f t="shared" si="16"/>
        <v>45112504511000528DestinationMgmnt-N1421125200104</v>
      </c>
      <c r="C359" s="21" t="s">
        <v>65</v>
      </c>
      <c r="D359" s="22">
        <v>4511250</v>
      </c>
      <c r="E359" s="21" t="s">
        <v>66</v>
      </c>
      <c r="F359" s="22">
        <v>4511000528</v>
      </c>
      <c r="G359" s="21" t="s">
        <v>3011</v>
      </c>
      <c r="H359" s="21" t="s">
        <v>689</v>
      </c>
      <c r="I359" s="33">
        <v>421125</v>
      </c>
      <c r="J359" s="22">
        <v>200104</v>
      </c>
      <c r="K359" s="22" t="s">
        <v>2959</v>
      </c>
      <c r="L359" s="22">
        <v>70205</v>
      </c>
      <c r="M359" s="23" t="s">
        <v>2961</v>
      </c>
      <c r="N359" s="24">
        <v>0</v>
      </c>
      <c r="O359" s="24">
        <v>0</v>
      </c>
      <c r="P359" s="24">
        <v>0</v>
      </c>
      <c r="Q359" s="24">
        <v>2162574.8476190479</v>
      </c>
      <c r="R359" s="24">
        <v>1222425</v>
      </c>
      <c r="S359" s="24">
        <v>685000</v>
      </c>
      <c r="T359" s="24">
        <v>585000</v>
      </c>
      <c r="U359" s="24">
        <v>586600</v>
      </c>
      <c r="V359" s="24">
        <v>735000</v>
      </c>
      <c r="W359" s="24">
        <v>835000</v>
      </c>
      <c r="X359" s="24">
        <v>885000</v>
      </c>
      <c r="Y359" s="24">
        <v>985000</v>
      </c>
      <c r="Z359" s="24">
        <f t="shared" si="17"/>
        <v>8681599.8476190474</v>
      </c>
      <c r="AB359" s="25">
        <v>8681599.8476190474</v>
      </c>
      <c r="AC359" s="26">
        <v>8681600</v>
      </c>
      <c r="AD359" s="24">
        <v>-0.15238095261156559</v>
      </c>
      <c r="AE359" s="27">
        <f>_xlfn.XLOOKUP(B359,'Projects Cashflow'!$B:$B,'Projects Cashflow'!$AG:$AG,0)</f>
        <v>8681600</v>
      </c>
      <c r="AF359" s="28">
        <f t="shared" si="18"/>
        <v>0.15238095261156559</v>
      </c>
    </row>
    <row r="360" spans="2:32" x14ac:dyDescent="0.3">
      <c r="B360" s="14" t="str">
        <f t="shared" si="16"/>
        <v>45112504511000528Manpower-N424521200104</v>
      </c>
      <c r="C360" s="21" t="s">
        <v>65</v>
      </c>
      <c r="D360" s="22">
        <v>4511250</v>
      </c>
      <c r="E360" s="21" t="s">
        <v>66</v>
      </c>
      <c r="F360" s="22">
        <v>4511000528</v>
      </c>
      <c r="G360" s="21" t="s">
        <v>3011</v>
      </c>
      <c r="H360" s="21" t="s">
        <v>98</v>
      </c>
      <c r="I360" s="22">
        <v>424521</v>
      </c>
      <c r="J360" s="22">
        <v>200104</v>
      </c>
      <c r="K360" s="22" t="s">
        <v>2959</v>
      </c>
      <c r="L360" s="22">
        <v>70205</v>
      </c>
      <c r="M360" s="23" t="s">
        <v>2961</v>
      </c>
      <c r="N360" s="24">
        <v>0</v>
      </c>
      <c r="O360" s="24">
        <v>0</v>
      </c>
      <c r="P360" s="24">
        <v>0</v>
      </c>
      <c r="Q360" s="40">
        <v>0</v>
      </c>
      <c r="R360" s="24">
        <v>15000</v>
      </c>
      <c r="S360" s="24">
        <v>15000</v>
      </c>
      <c r="T360" s="24">
        <v>15000</v>
      </c>
      <c r="U360" s="24">
        <v>15000</v>
      </c>
      <c r="V360" s="24">
        <v>15000</v>
      </c>
      <c r="W360" s="24">
        <v>15000</v>
      </c>
      <c r="X360" s="24">
        <v>15000</v>
      </c>
      <c r="Y360" s="24">
        <v>15000</v>
      </c>
      <c r="Z360" s="24">
        <f t="shared" si="17"/>
        <v>120000</v>
      </c>
      <c r="AB360" s="25">
        <v>120000</v>
      </c>
      <c r="AC360" s="26">
        <v>120000</v>
      </c>
      <c r="AD360" s="24">
        <v>0</v>
      </c>
      <c r="AE360" s="27">
        <f>_xlfn.XLOOKUP(B360,'Projects Cashflow'!$B:$B,'Projects Cashflow'!$AG:$AG,0)</f>
        <v>120000</v>
      </c>
      <c r="AF360" s="28">
        <f t="shared" si="18"/>
        <v>0</v>
      </c>
    </row>
    <row r="361" spans="2:32" x14ac:dyDescent="0.3">
      <c r="B361" s="14" t="str">
        <f t="shared" si="16"/>
        <v>45112504511000580Activation&amp;Prog-N422401200104</v>
      </c>
      <c r="C361" s="21" t="s">
        <v>65</v>
      </c>
      <c r="D361" s="22">
        <v>4511250</v>
      </c>
      <c r="E361" s="21" t="s">
        <v>66</v>
      </c>
      <c r="F361" s="22">
        <v>4511000580</v>
      </c>
      <c r="G361" s="21" t="s">
        <v>3012</v>
      </c>
      <c r="H361" s="21" t="s">
        <v>62</v>
      </c>
      <c r="I361" s="22">
        <v>422401</v>
      </c>
      <c r="J361" s="22">
        <v>200104</v>
      </c>
      <c r="K361" s="22" t="s">
        <v>2959</v>
      </c>
      <c r="L361" s="22">
        <v>70205</v>
      </c>
      <c r="M361" s="23" t="s">
        <v>2961</v>
      </c>
      <c r="N361" s="24">
        <v>0</v>
      </c>
      <c r="O361" s="24">
        <v>534234</v>
      </c>
      <c r="P361" s="24">
        <v>0</v>
      </c>
      <c r="Q361" s="24"/>
      <c r="R361" s="24">
        <v>0</v>
      </c>
      <c r="S361" s="24">
        <v>927136</v>
      </c>
      <c r="T361" s="24">
        <v>0</v>
      </c>
      <c r="U361" s="24">
        <v>50000</v>
      </c>
      <c r="V361" s="24">
        <v>475000</v>
      </c>
      <c r="W361" s="24">
        <v>1314482</v>
      </c>
      <c r="X361" s="24">
        <v>432000</v>
      </c>
      <c r="Y361" s="24">
        <v>187726</v>
      </c>
      <c r="Z361" s="24">
        <f t="shared" si="17"/>
        <v>3920578</v>
      </c>
      <c r="AB361" s="25">
        <v>3920578</v>
      </c>
      <c r="AC361" s="26">
        <v>3920578</v>
      </c>
      <c r="AD361" s="24">
        <v>0</v>
      </c>
      <c r="AE361" s="27">
        <f>_xlfn.XLOOKUP(B361,'Projects Cashflow'!$B:$B,'Projects Cashflow'!$AG:$AG,0)</f>
        <v>3920578</v>
      </c>
      <c r="AF361" s="28">
        <f t="shared" si="18"/>
        <v>0</v>
      </c>
    </row>
    <row r="362" spans="2:32" x14ac:dyDescent="0.3">
      <c r="B362" s="14" t="str">
        <f t="shared" si="16"/>
        <v>45112504511000580Freelancers-N424521200104</v>
      </c>
      <c r="C362" s="21" t="s">
        <v>65</v>
      </c>
      <c r="D362" s="22">
        <v>4511250</v>
      </c>
      <c r="E362" s="21" t="s">
        <v>66</v>
      </c>
      <c r="F362" s="22">
        <v>4511000580</v>
      </c>
      <c r="G362" s="21" t="s">
        <v>3012</v>
      </c>
      <c r="H362" s="21" t="s">
        <v>50</v>
      </c>
      <c r="I362" s="22">
        <v>424521</v>
      </c>
      <c r="J362" s="22">
        <v>200104</v>
      </c>
      <c r="K362" s="22" t="s">
        <v>2959</v>
      </c>
      <c r="L362" s="22">
        <v>70205</v>
      </c>
      <c r="M362" s="23" t="s">
        <v>2961</v>
      </c>
      <c r="N362" s="24">
        <v>0</v>
      </c>
      <c r="O362" s="24">
        <v>0</v>
      </c>
      <c r="P362" s="26">
        <v>39000</v>
      </c>
      <c r="Q362" s="24">
        <v>117000</v>
      </c>
      <c r="R362" s="24">
        <v>39000</v>
      </c>
      <c r="S362" s="24">
        <v>39000</v>
      </c>
      <c r="T362" s="24">
        <v>39000</v>
      </c>
      <c r="U362" s="24">
        <v>39000</v>
      </c>
      <c r="V362" s="24">
        <v>0</v>
      </c>
      <c r="W362" s="24">
        <v>0</v>
      </c>
      <c r="X362" s="24">
        <v>0</v>
      </c>
      <c r="Y362" s="24">
        <v>0</v>
      </c>
      <c r="Z362" s="24">
        <f t="shared" si="17"/>
        <v>312000</v>
      </c>
      <c r="AB362" s="25">
        <v>234000</v>
      </c>
      <c r="AC362" s="26">
        <v>234000</v>
      </c>
      <c r="AD362" s="24">
        <v>0</v>
      </c>
      <c r="AE362" s="27">
        <f>_xlfn.XLOOKUP(B362,'Projects Cashflow'!$B:$B,'Projects Cashflow'!$AG:$AG,0)</f>
        <v>234000</v>
      </c>
      <c r="AF362" s="28">
        <f t="shared" si="18"/>
        <v>0</v>
      </c>
    </row>
    <row r="363" spans="2:32" x14ac:dyDescent="0.3">
      <c r="B363" s="14" t="str">
        <f t="shared" si="16"/>
        <v>45112504511000580Manpower-N424521200104</v>
      </c>
      <c r="C363" s="21" t="s">
        <v>65</v>
      </c>
      <c r="D363" s="22">
        <v>4511250</v>
      </c>
      <c r="E363" s="21" t="s">
        <v>66</v>
      </c>
      <c r="F363" s="22">
        <v>4511000580</v>
      </c>
      <c r="G363" s="21" t="s">
        <v>3012</v>
      </c>
      <c r="H363" s="21" t="s">
        <v>98</v>
      </c>
      <c r="I363" s="22">
        <v>424521</v>
      </c>
      <c r="J363" s="22">
        <v>200104</v>
      </c>
      <c r="K363" s="22" t="s">
        <v>2959</v>
      </c>
      <c r="L363" s="22">
        <v>70205</v>
      </c>
      <c r="M363" s="23" t="s">
        <v>2961</v>
      </c>
      <c r="N363" s="24">
        <v>0</v>
      </c>
      <c r="O363" s="24">
        <v>0</v>
      </c>
      <c r="P363" s="24">
        <v>0</v>
      </c>
      <c r="Q363" s="24">
        <v>40000</v>
      </c>
      <c r="R363" s="24">
        <v>12000</v>
      </c>
      <c r="S363" s="24">
        <v>12000</v>
      </c>
      <c r="T363" s="24">
        <v>12000</v>
      </c>
      <c r="U363" s="24">
        <v>12000</v>
      </c>
      <c r="V363" s="24">
        <v>0</v>
      </c>
      <c r="W363" s="24">
        <v>0</v>
      </c>
      <c r="X363" s="24">
        <v>0</v>
      </c>
      <c r="Y363" s="24">
        <v>0</v>
      </c>
      <c r="Z363" s="24">
        <f t="shared" si="17"/>
        <v>88000</v>
      </c>
      <c r="AB363" s="25">
        <v>166000</v>
      </c>
      <c r="AC363" s="26">
        <v>166000.04999999999</v>
      </c>
      <c r="AD363" s="24">
        <v>-4.9999999988358468E-2</v>
      </c>
      <c r="AE363" s="27">
        <f>_xlfn.XLOOKUP(B363,'Projects Cashflow'!$B:$B,'Projects Cashflow'!$AG:$AG,0)</f>
        <v>166000.04999999999</v>
      </c>
      <c r="AF363" s="28">
        <f t="shared" si="18"/>
        <v>4.9999999988358468E-2</v>
      </c>
    </row>
    <row r="364" spans="2:32" x14ac:dyDescent="0.3">
      <c r="B364" s="14" t="str">
        <f t="shared" si="16"/>
        <v>45112504511000581Activation&amp;Prog-N422401200104</v>
      </c>
      <c r="C364" s="21" t="s">
        <v>65</v>
      </c>
      <c r="D364" s="22">
        <v>4511250</v>
      </c>
      <c r="E364" s="21" t="s">
        <v>66</v>
      </c>
      <c r="F364" s="22">
        <v>4511000581</v>
      </c>
      <c r="G364" s="21" t="s">
        <v>3013</v>
      </c>
      <c r="H364" s="21" t="s">
        <v>62</v>
      </c>
      <c r="I364" s="22">
        <v>422401</v>
      </c>
      <c r="J364" s="22">
        <v>200104</v>
      </c>
      <c r="K364" s="22" t="s">
        <v>2959</v>
      </c>
      <c r="L364" s="22">
        <v>70205</v>
      </c>
      <c r="M364" s="23" t="s">
        <v>2961</v>
      </c>
      <c r="N364" s="24">
        <v>0</v>
      </c>
      <c r="O364" s="24">
        <v>0</v>
      </c>
      <c r="P364" s="24">
        <v>0</v>
      </c>
      <c r="Q364" s="24">
        <v>0</v>
      </c>
      <c r="R364" s="24">
        <v>0</v>
      </c>
      <c r="S364" s="24">
        <v>0</v>
      </c>
      <c r="T364" s="24">
        <v>0</v>
      </c>
      <c r="U364" s="24">
        <v>0</v>
      </c>
      <c r="V364" s="24">
        <v>0</v>
      </c>
      <c r="W364" s="24">
        <v>101500</v>
      </c>
      <c r="X364" s="24">
        <v>0</v>
      </c>
      <c r="Y364" s="24">
        <v>168500</v>
      </c>
      <c r="Z364" s="24">
        <f t="shared" si="17"/>
        <v>270000</v>
      </c>
      <c r="AB364" s="25">
        <v>270000</v>
      </c>
      <c r="AC364" s="26">
        <v>270000</v>
      </c>
      <c r="AD364" s="24">
        <v>0</v>
      </c>
      <c r="AE364" s="27">
        <f>_xlfn.XLOOKUP(B364,'Projects Cashflow'!$B:$B,'Projects Cashflow'!$AG:$AG,0)</f>
        <v>270000</v>
      </c>
      <c r="AF364" s="28">
        <f t="shared" si="18"/>
        <v>0</v>
      </c>
    </row>
    <row r="365" spans="2:32" x14ac:dyDescent="0.3">
      <c r="B365" s="14" t="str">
        <f t="shared" si="16"/>
        <v>45112504511000581Freelancers-N424521200104</v>
      </c>
      <c r="C365" s="21" t="s">
        <v>65</v>
      </c>
      <c r="D365" s="22">
        <v>4511250</v>
      </c>
      <c r="E365" s="21" t="s">
        <v>66</v>
      </c>
      <c r="F365" s="22">
        <v>4511000581</v>
      </c>
      <c r="G365" s="21" t="s">
        <v>3013</v>
      </c>
      <c r="H365" s="21" t="s">
        <v>50</v>
      </c>
      <c r="I365" s="22">
        <v>424521</v>
      </c>
      <c r="J365" s="22">
        <v>200104</v>
      </c>
      <c r="K365" s="22" t="s">
        <v>2959</v>
      </c>
      <c r="L365" s="22">
        <v>70205</v>
      </c>
      <c r="M365" s="23" t="s">
        <v>2961</v>
      </c>
      <c r="N365" s="24">
        <v>0</v>
      </c>
      <c r="O365" s="24">
        <v>0</v>
      </c>
      <c r="P365" s="26">
        <v>39000</v>
      </c>
      <c r="Q365" s="24">
        <v>0</v>
      </c>
      <c r="R365" s="24">
        <v>23500</v>
      </c>
      <c r="S365" s="24">
        <v>0</v>
      </c>
      <c r="T365" s="24">
        <v>0</v>
      </c>
      <c r="U365" s="24">
        <v>62500</v>
      </c>
      <c r="V365" s="24">
        <v>0</v>
      </c>
      <c r="W365" s="24">
        <v>0</v>
      </c>
      <c r="X365" s="24">
        <v>0</v>
      </c>
      <c r="Y365" s="24">
        <v>125000</v>
      </c>
      <c r="Z365" s="24">
        <f t="shared" si="17"/>
        <v>250000</v>
      </c>
      <c r="AB365" s="25">
        <v>250000</v>
      </c>
      <c r="AC365" s="26">
        <v>250000</v>
      </c>
      <c r="AD365" s="24">
        <v>0</v>
      </c>
      <c r="AE365" s="27">
        <f>_xlfn.XLOOKUP(B365,'Projects Cashflow'!$B:$B,'Projects Cashflow'!$AG:$AG,0)</f>
        <v>250000</v>
      </c>
      <c r="AF365" s="28">
        <f t="shared" si="18"/>
        <v>0</v>
      </c>
    </row>
    <row r="366" spans="2:32" x14ac:dyDescent="0.3">
      <c r="B366" s="14" t="str">
        <f t="shared" si="16"/>
        <v>45112504511000510Maintenance-N426212200104</v>
      </c>
      <c r="C366" s="21" t="s">
        <v>65</v>
      </c>
      <c r="D366" s="22">
        <v>4511250</v>
      </c>
      <c r="E366" s="21" t="s">
        <v>66</v>
      </c>
      <c r="F366" s="22">
        <v>4511000510</v>
      </c>
      <c r="G366" s="21" t="s">
        <v>3006</v>
      </c>
      <c r="H366" s="21" t="s">
        <v>95</v>
      </c>
      <c r="I366" s="22">
        <v>426212</v>
      </c>
      <c r="J366" s="22">
        <v>200104</v>
      </c>
      <c r="K366" s="22" t="s">
        <v>2959</v>
      </c>
      <c r="L366" s="22">
        <v>70205</v>
      </c>
      <c r="M366" s="23" t="s">
        <v>2961</v>
      </c>
      <c r="N366" s="24">
        <v>0</v>
      </c>
      <c r="O366" s="24">
        <v>0</v>
      </c>
      <c r="P366" s="24">
        <v>0</v>
      </c>
      <c r="Q366" s="24">
        <v>31715</v>
      </c>
      <c r="R366" s="24">
        <v>7929</v>
      </c>
      <c r="S366" s="24">
        <v>7929</v>
      </c>
      <c r="T366" s="24">
        <v>7929</v>
      </c>
      <c r="U366" s="24">
        <v>7929</v>
      </c>
      <c r="V366" s="24">
        <v>7929</v>
      </c>
      <c r="W366" s="24">
        <v>7929</v>
      </c>
      <c r="X366" s="24">
        <v>7929</v>
      </c>
      <c r="Y366" s="24">
        <v>7924</v>
      </c>
      <c r="Z366" s="24">
        <f t="shared" si="17"/>
        <v>95142</v>
      </c>
      <c r="AB366" s="25">
        <v>95142</v>
      </c>
      <c r="AC366" s="26">
        <v>95142</v>
      </c>
      <c r="AD366" s="24">
        <v>0</v>
      </c>
      <c r="AE366" s="27">
        <f>_xlfn.XLOOKUP(B366,'Projects Cashflow'!$B:$B,'Projects Cashflow'!$AG:$AG,0)</f>
        <v>95142</v>
      </c>
      <c r="AF366" s="28">
        <f t="shared" si="18"/>
        <v>0</v>
      </c>
    </row>
    <row r="367" spans="2:32" x14ac:dyDescent="0.3">
      <c r="B367" s="14" t="str">
        <f t="shared" si="16"/>
        <v>45112504511000583Manpower-N424521200104</v>
      </c>
      <c r="C367" s="21" t="s">
        <v>65</v>
      </c>
      <c r="D367" s="22">
        <v>4511250</v>
      </c>
      <c r="E367" s="21" t="s">
        <v>66</v>
      </c>
      <c r="F367" s="22">
        <v>4511000583</v>
      </c>
      <c r="G367" s="21" t="s">
        <v>2992</v>
      </c>
      <c r="H367" s="21" t="s">
        <v>98</v>
      </c>
      <c r="I367" s="22">
        <v>424521</v>
      </c>
      <c r="J367" s="22">
        <v>200104</v>
      </c>
      <c r="K367" s="22" t="s">
        <v>2959</v>
      </c>
      <c r="L367" s="22">
        <v>70205</v>
      </c>
      <c r="M367" s="23" t="s">
        <v>2961</v>
      </c>
      <c r="N367" s="24">
        <v>0</v>
      </c>
      <c r="O367" s="24">
        <v>0</v>
      </c>
      <c r="P367" s="24">
        <v>0</v>
      </c>
      <c r="Q367" s="24">
        <v>0</v>
      </c>
      <c r="R367" s="24">
        <v>0</v>
      </c>
      <c r="S367" s="24">
        <v>0</v>
      </c>
      <c r="T367" s="24">
        <v>9600</v>
      </c>
      <c r="U367" s="24">
        <v>80000</v>
      </c>
      <c r="V367" s="24">
        <v>25000</v>
      </c>
      <c r="W367" s="24">
        <v>10000</v>
      </c>
      <c r="X367" s="24">
        <v>15000</v>
      </c>
      <c r="Y367" s="24">
        <v>200000</v>
      </c>
      <c r="Z367" s="24">
        <f t="shared" si="17"/>
        <v>339600</v>
      </c>
      <c r="AB367" s="25">
        <v>339600</v>
      </c>
      <c r="AC367" s="26">
        <v>339600</v>
      </c>
      <c r="AD367" s="24">
        <v>0</v>
      </c>
      <c r="AE367" s="27">
        <f>_xlfn.XLOOKUP(B367,'Projects Cashflow'!$B:$B,'Projects Cashflow'!$AG:$AG,0)</f>
        <v>339600</v>
      </c>
      <c r="AF367" s="28">
        <f t="shared" si="18"/>
        <v>0</v>
      </c>
    </row>
    <row r="368" spans="2:32" x14ac:dyDescent="0.3">
      <c r="B368" s="14" t="str">
        <f t="shared" si="16"/>
        <v>45112504511000623Facilities Rent-N425112200104</v>
      </c>
      <c r="C368" s="21" t="s">
        <v>65</v>
      </c>
      <c r="D368" s="22">
        <v>4511250</v>
      </c>
      <c r="E368" s="21" t="s">
        <v>66</v>
      </c>
      <c r="F368" s="22">
        <v>4511000623</v>
      </c>
      <c r="G368" s="21" t="s">
        <v>3014</v>
      </c>
      <c r="H368" s="21" t="s">
        <v>532</v>
      </c>
      <c r="I368" s="22">
        <v>425112</v>
      </c>
      <c r="J368" s="22">
        <v>200104</v>
      </c>
      <c r="K368" s="22" t="s">
        <v>2959</v>
      </c>
      <c r="L368" s="22">
        <v>70205</v>
      </c>
      <c r="M368" s="23" t="s">
        <v>2961</v>
      </c>
      <c r="N368" s="24">
        <v>0</v>
      </c>
      <c r="O368" s="24">
        <v>0</v>
      </c>
      <c r="P368" s="24">
        <v>833490</v>
      </c>
      <c r="Q368" s="24">
        <v>0</v>
      </c>
      <c r="R368" s="24">
        <v>0</v>
      </c>
      <c r="S368" s="24">
        <v>0</v>
      </c>
      <c r="T368" s="24">
        <v>0</v>
      </c>
      <c r="U368" s="24">
        <v>0</v>
      </c>
      <c r="V368" s="24">
        <v>0</v>
      </c>
      <c r="W368" s="24">
        <v>0</v>
      </c>
      <c r="X368" s="24">
        <v>0</v>
      </c>
      <c r="Y368" s="24">
        <v>0</v>
      </c>
      <c r="Z368" s="24">
        <f t="shared" si="17"/>
        <v>833490</v>
      </c>
      <c r="AB368" s="25">
        <v>833490</v>
      </c>
      <c r="AC368" s="26">
        <v>833490</v>
      </c>
      <c r="AD368" s="24">
        <v>0</v>
      </c>
      <c r="AE368" s="27">
        <f>_xlfn.XLOOKUP(B368,'Projects Cashflow'!$B:$B,'Projects Cashflow'!$AG:$AG,0)</f>
        <v>833490</v>
      </c>
      <c r="AF368" s="28">
        <f t="shared" si="18"/>
        <v>0</v>
      </c>
    </row>
    <row r="369" spans="2:32" x14ac:dyDescent="0.3">
      <c r="B369" s="14" t="str">
        <f t="shared" si="16"/>
        <v>45112504511000434Manpower-N424521200104</v>
      </c>
      <c r="C369" s="21" t="s">
        <v>65</v>
      </c>
      <c r="D369" s="22">
        <v>4511250</v>
      </c>
      <c r="E369" s="21" t="s">
        <v>66</v>
      </c>
      <c r="F369" s="22">
        <v>4511000434</v>
      </c>
      <c r="G369" s="21" t="s">
        <v>3004</v>
      </c>
      <c r="H369" s="21" t="s">
        <v>98</v>
      </c>
      <c r="I369" s="22">
        <v>424521</v>
      </c>
      <c r="J369" s="22">
        <v>200104</v>
      </c>
      <c r="K369" s="22" t="s">
        <v>2959</v>
      </c>
      <c r="L369" s="22">
        <v>70205</v>
      </c>
      <c r="M369" s="23" t="s">
        <v>2961</v>
      </c>
      <c r="N369" s="24">
        <v>0</v>
      </c>
      <c r="O369" s="24">
        <v>0</v>
      </c>
      <c r="P369" s="24">
        <v>51788.88</v>
      </c>
      <c r="Q369" s="24">
        <v>89683</v>
      </c>
      <c r="R369" s="24">
        <v>25894.440000000002</v>
      </c>
      <c r="S369" s="24">
        <v>25894.440000000002</v>
      </c>
      <c r="T369" s="24">
        <v>25894.440000000002</v>
      </c>
      <c r="U369" s="24">
        <v>25894.440000000002</v>
      </c>
      <c r="V369" s="24">
        <v>101683.32</v>
      </c>
      <c r="W369" s="24">
        <v>25894.440000000002</v>
      </c>
      <c r="X369" s="24">
        <v>139956</v>
      </c>
      <c r="Y369" s="24">
        <v>71157</v>
      </c>
      <c r="Z369" s="24">
        <f t="shared" si="17"/>
        <v>583740.4</v>
      </c>
      <c r="AB369" s="25">
        <v>583740.4</v>
      </c>
      <c r="AC369" s="26">
        <v>583740</v>
      </c>
      <c r="AD369" s="24">
        <v>0.40000000002328306</v>
      </c>
      <c r="AE369" s="27">
        <f>_xlfn.XLOOKUP(B369,'Projects Cashflow'!$B:$B,'Projects Cashflow'!$AG:$AG,0)</f>
        <v>583740</v>
      </c>
      <c r="AF369" s="28">
        <f t="shared" si="18"/>
        <v>-0.40000000002328306</v>
      </c>
    </row>
    <row r="370" spans="2:32" x14ac:dyDescent="0.3">
      <c r="B370" s="14" t="str">
        <f t="shared" si="16"/>
        <v>45112504511000064Edu &amp; Outreach-N422401200104</v>
      </c>
      <c r="C370" s="21" t="s">
        <v>65</v>
      </c>
      <c r="D370" s="22">
        <v>4511250</v>
      </c>
      <c r="E370" s="21" t="s">
        <v>66</v>
      </c>
      <c r="F370" s="22">
        <v>4511000064</v>
      </c>
      <c r="G370" s="21" t="s">
        <v>2986</v>
      </c>
      <c r="H370" s="21" t="s">
        <v>155</v>
      </c>
      <c r="I370" s="22">
        <v>422401</v>
      </c>
      <c r="J370" s="22">
        <v>200104</v>
      </c>
      <c r="K370" s="22" t="s">
        <v>2959</v>
      </c>
      <c r="L370" s="22">
        <v>70205</v>
      </c>
      <c r="M370" s="23" t="s">
        <v>2961</v>
      </c>
      <c r="N370" s="24">
        <v>0</v>
      </c>
      <c r="O370" s="24">
        <v>0</v>
      </c>
      <c r="P370" s="24">
        <v>0</v>
      </c>
      <c r="Q370" s="24">
        <v>0</v>
      </c>
      <c r="R370" s="24">
        <v>0</v>
      </c>
      <c r="S370" s="24">
        <v>0</v>
      </c>
      <c r="T370" s="24">
        <v>0</v>
      </c>
      <c r="U370" s="24">
        <v>0</v>
      </c>
      <c r="V370" s="24">
        <v>0</v>
      </c>
      <c r="W370" s="24">
        <v>0</v>
      </c>
      <c r="X370" s="24">
        <v>0</v>
      </c>
      <c r="Y370" s="24">
        <v>135000</v>
      </c>
      <c r="Z370" s="24">
        <f t="shared" si="17"/>
        <v>135000</v>
      </c>
      <c r="AB370" s="25">
        <v>135000</v>
      </c>
      <c r="AC370" s="26">
        <v>135000</v>
      </c>
      <c r="AD370" s="24">
        <v>0</v>
      </c>
      <c r="AE370" s="27">
        <f>_xlfn.XLOOKUP(B370,'Projects Cashflow'!$B:$B,'Projects Cashflow'!$AG:$AG,0)</f>
        <v>135000</v>
      </c>
      <c r="AF370" s="28">
        <f t="shared" si="18"/>
        <v>0</v>
      </c>
    </row>
    <row r="371" spans="2:32" x14ac:dyDescent="0.3">
      <c r="B371" s="14" t="str">
        <f t="shared" si="16"/>
        <v>45112504511000623Cleaning Service-N422311200104</v>
      </c>
      <c r="C371" s="21" t="s">
        <v>65</v>
      </c>
      <c r="D371" s="22">
        <v>4511250</v>
      </c>
      <c r="E371" s="21" t="s">
        <v>66</v>
      </c>
      <c r="F371" s="22">
        <v>4511000623</v>
      </c>
      <c r="G371" s="21" t="s">
        <v>3014</v>
      </c>
      <c r="H371" s="21" t="s">
        <v>79</v>
      </c>
      <c r="I371" s="22">
        <v>422311</v>
      </c>
      <c r="J371" s="22">
        <v>200104</v>
      </c>
      <c r="K371" s="22" t="s">
        <v>2959</v>
      </c>
      <c r="L371" s="22">
        <v>70205</v>
      </c>
      <c r="M371" s="23" t="s">
        <v>2961</v>
      </c>
      <c r="N371" s="24">
        <v>0</v>
      </c>
      <c r="O371" s="24">
        <v>0</v>
      </c>
      <c r="P371" s="24">
        <v>0</v>
      </c>
      <c r="Q371" s="24">
        <v>30532</v>
      </c>
      <c r="R371" s="24">
        <v>7633</v>
      </c>
      <c r="S371" s="24">
        <v>7633</v>
      </c>
      <c r="T371" s="24">
        <v>7633</v>
      </c>
      <c r="U371" s="24">
        <v>7633</v>
      </c>
      <c r="V371" s="24">
        <v>7633</v>
      </c>
      <c r="W371" s="24">
        <v>7633</v>
      </c>
      <c r="X371" s="24">
        <v>7633</v>
      </c>
      <c r="Y371" s="24">
        <v>7613</v>
      </c>
      <c r="Z371" s="24">
        <f t="shared" si="17"/>
        <v>91576</v>
      </c>
      <c r="AB371" s="25">
        <v>91576</v>
      </c>
      <c r="AC371" s="26">
        <v>91576.1</v>
      </c>
      <c r="AD371" s="24">
        <v>-0.10000000000582077</v>
      </c>
      <c r="AE371" s="27">
        <f>_xlfn.XLOOKUP(B371,'Projects Cashflow'!$B:$B,'Projects Cashflow'!$AG:$AG,0)</f>
        <v>91576.1</v>
      </c>
      <c r="AF371" s="28">
        <f t="shared" si="18"/>
        <v>0.10000000000582077</v>
      </c>
    </row>
    <row r="372" spans="2:32" x14ac:dyDescent="0.3">
      <c r="B372" s="14" t="str">
        <f t="shared" si="16"/>
        <v>45112504511000283Landscaping-N432614200104</v>
      </c>
      <c r="C372" s="21" t="s">
        <v>65</v>
      </c>
      <c r="D372" s="22">
        <v>4511250</v>
      </c>
      <c r="E372" s="21" t="s">
        <v>66</v>
      </c>
      <c r="F372" s="22">
        <v>4511000283</v>
      </c>
      <c r="G372" s="21" t="s">
        <v>377</v>
      </c>
      <c r="H372" s="21" t="s">
        <v>86</v>
      </c>
      <c r="I372" s="22">
        <v>432614</v>
      </c>
      <c r="J372" s="22">
        <v>200104</v>
      </c>
      <c r="K372" s="22" t="s">
        <v>2959</v>
      </c>
      <c r="L372" s="22">
        <v>70205</v>
      </c>
      <c r="M372" s="23" t="s">
        <v>2961</v>
      </c>
      <c r="N372" s="24">
        <v>0</v>
      </c>
      <c r="O372" s="24">
        <v>0</v>
      </c>
      <c r="P372" s="24">
        <v>0</v>
      </c>
      <c r="Q372" s="24">
        <v>194444.68</v>
      </c>
      <c r="R372" s="24">
        <v>48611.17</v>
      </c>
      <c r="S372" s="24">
        <v>48611.17</v>
      </c>
      <c r="T372" s="24">
        <v>48611.17</v>
      </c>
      <c r="U372" s="24">
        <v>48611.17</v>
      </c>
      <c r="V372" s="24">
        <v>48611.16</v>
      </c>
      <c r="W372" s="24">
        <v>48611.16</v>
      </c>
      <c r="X372" s="24">
        <v>48611.16</v>
      </c>
      <c r="Y372" s="24">
        <v>48611.16</v>
      </c>
      <c r="Z372" s="24">
        <f t="shared" si="17"/>
        <v>583334</v>
      </c>
      <c r="AB372" s="25">
        <v>583334</v>
      </c>
      <c r="AC372" s="26">
        <v>583334</v>
      </c>
      <c r="AD372" s="24">
        <v>0</v>
      </c>
      <c r="AE372" s="27">
        <f>_xlfn.XLOOKUP(B372,'Projects Cashflow'!$B:$B,'Projects Cashflow'!$AG:$AG,0)</f>
        <v>583334</v>
      </c>
      <c r="AF372" s="28">
        <f t="shared" si="18"/>
        <v>0</v>
      </c>
    </row>
    <row r="373" spans="2:32" x14ac:dyDescent="0.3">
      <c r="B373" s="14" t="str">
        <f t="shared" si="16"/>
        <v>45112504511000623Landscaping-N432614200104</v>
      </c>
      <c r="C373" s="21" t="s">
        <v>65</v>
      </c>
      <c r="D373" s="22">
        <v>4511250</v>
      </c>
      <c r="E373" s="21" t="s">
        <v>66</v>
      </c>
      <c r="F373" s="22">
        <v>4511000623</v>
      </c>
      <c r="G373" s="21" t="s">
        <v>3014</v>
      </c>
      <c r="H373" s="21" t="s">
        <v>86</v>
      </c>
      <c r="I373" s="22">
        <v>432614</v>
      </c>
      <c r="J373" s="22">
        <v>200104</v>
      </c>
      <c r="K373" s="22" t="s">
        <v>2959</v>
      </c>
      <c r="L373" s="22">
        <v>70205</v>
      </c>
      <c r="M373" s="23" t="s">
        <v>2961</v>
      </c>
      <c r="N373" s="24">
        <v>0</v>
      </c>
      <c r="O373" s="24">
        <v>0</v>
      </c>
      <c r="P373" s="24">
        <v>0</v>
      </c>
      <c r="Q373" s="24">
        <v>3992</v>
      </c>
      <c r="R373" s="24">
        <v>998</v>
      </c>
      <c r="S373" s="24">
        <v>998</v>
      </c>
      <c r="T373" s="24">
        <v>998</v>
      </c>
      <c r="U373" s="24">
        <v>998</v>
      </c>
      <c r="V373" s="24">
        <v>998</v>
      </c>
      <c r="W373" s="24">
        <v>998</v>
      </c>
      <c r="X373" s="24">
        <v>998</v>
      </c>
      <c r="Y373" s="24">
        <v>998</v>
      </c>
      <c r="Z373" s="24">
        <f t="shared" si="17"/>
        <v>11976</v>
      </c>
      <c r="AB373" s="25">
        <v>11976</v>
      </c>
      <c r="AC373" s="26">
        <v>11976.48</v>
      </c>
      <c r="AD373" s="24">
        <v>-0.47999999999956344</v>
      </c>
      <c r="AE373" s="27">
        <f>_xlfn.XLOOKUP(B373,'Projects Cashflow'!$B:$B,'Projects Cashflow'!$AG:$AG,0)</f>
        <v>11976.48</v>
      </c>
      <c r="AF373" s="28">
        <f t="shared" si="18"/>
        <v>0.47999999999956344</v>
      </c>
    </row>
    <row r="374" spans="2:32" x14ac:dyDescent="0.3">
      <c r="B374" s="14" t="str">
        <f t="shared" si="16"/>
        <v>45112504511000623Ad-hoc Repairs-N426427200104</v>
      </c>
      <c r="C374" s="21" t="s">
        <v>65</v>
      </c>
      <c r="D374" s="22">
        <v>4511250</v>
      </c>
      <c r="E374" s="21" t="s">
        <v>66</v>
      </c>
      <c r="F374" s="22">
        <v>4511000623</v>
      </c>
      <c r="G374" s="21" t="s">
        <v>3014</v>
      </c>
      <c r="H374" s="21" t="s">
        <v>70</v>
      </c>
      <c r="I374" s="22">
        <v>426427</v>
      </c>
      <c r="J374" s="22">
        <v>200104</v>
      </c>
      <c r="K374" s="22" t="s">
        <v>2959</v>
      </c>
      <c r="L374" s="22">
        <v>70205</v>
      </c>
      <c r="M374" s="23" t="s">
        <v>2961</v>
      </c>
      <c r="N374" s="24">
        <v>0</v>
      </c>
      <c r="O374" s="24">
        <v>0</v>
      </c>
      <c r="P374" s="24">
        <v>0</v>
      </c>
      <c r="Q374" s="24">
        <v>5940</v>
      </c>
      <c r="R374" s="24">
        <v>0</v>
      </c>
      <c r="S374" s="24">
        <v>0</v>
      </c>
      <c r="T374" s="24">
        <v>0</v>
      </c>
      <c r="U374" s="24">
        <v>0</v>
      </c>
      <c r="V374" s="24">
        <v>0</v>
      </c>
      <c r="W374" s="24">
        <v>0</v>
      </c>
      <c r="X374" s="24">
        <v>0</v>
      </c>
      <c r="Y374" s="24">
        <v>0</v>
      </c>
      <c r="Z374" s="24">
        <f t="shared" si="17"/>
        <v>5940</v>
      </c>
      <c r="AB374" s="25">
        <v>5940</v>
      </c>
      <c r="AC374" s="26">
        <v>5940</v>
      </c>
      <c r="AD374" s="24">
        <v>0</v>
      </c>
      <c r="AE374" s="27">
        <f>_xlfn.XLOOKUP(B374,'Projects Cashflow'!$B:$B,'Projects Cashflow'!$AG:$AG,0)</f>
        <v>5940</v>
      </c>
      <c r="AF374" s="28">
        <f t="shared" si="18"/>
        <v>0</v>
      </c>
    </row>
    <row r="375" spans="2:32" x14ac:dyDescent="0.3">
      <c r="B375" s="14" t="str">
        <f t="shared" si="16"/>
        <v>45112504511000623Utilities-N423931200104</v>
      </c>
      <c r="C375" s="21" t="s">
        <v>65</v>
      </c>
      <c r="D375" s="22">
        <v>4511250</v>
      </c>
      <c r="E375" s="21" t="s">
        <v>66</v>
      </c>
      <c r="F375" s="22">
        <v>4511000623</v>
      </c>
      <c r="G375" s="21" t="s">
        <v>3015</v>
      </c>
      <c r="H375" s="21" t="s">
        <v>110</v>
      </c>
      <c r="I375" s="22">
        <v>423931</v>
      </c>
      <c r="J375" s="22">
        <v>200104</v>
      </c>
      <c r="K375" s="22" t="s">
        <v>2959</v>
      </c>
      <c r="L375" s="22">
        <v>70205</v>
      </c>
      <c r="M375" s="23" t="s">
        <v>2961</v>
      </c>
      <c r="N375" s="24">
        <v>0</v>
      </c>
      <c r="O375" s="24">
        <v>0</v>
      </c>
      <c r="P375" s="24">
        <v>0</v>
      </c>
      <c r="Q375" s="24">
        <v>0</v>
      </c>
      <c r="R375" s="24">
        <v>0</v>
      </c>
      <c r="S375" s="24">
        <v>0</v>
      </c>
      <c r="T375" s="24">
        <v>5</v>
      </c>
      <c r="U375" s="24">
        <v>0</v>
      </c>
      <c r="V375" s="24">
        <v>0</v>
      </c>
      <c r="W375" s="24">
        <v>0</v>
      </c>
      <c r="X375" s="24">
        <v>0</v>
      </c>
      <c r="Y375" s="24">
        <v>0</v>
      </c>
      <c r="Z375" s="24">
        <f t="shared" si="17"/>
        <v>5</v>
      </c>
      <c r="AB375" s="25">
        <v>5</v>
      </c>
      <c r="AC375" s="26">
        <v>0</v>
      </c>
      <c r="AD375" s="24">
        <v>5</v>
      </c>
      <c r="AE375" s="27">
        <f>_xlfn.XLOOKUP(B375,'Projects Cashflow'!$B:$B,'Projects Cashflow'!$AG:$AG,0)</f>
        <v>0</v>
      </c>
      <c r="AF375" s="28">
        <f t="shared" si="18"/>
        <v>-5</v>
      </c>
    </row>
    <row r="376" spans="2:32" x14ac:dyDescent="0.3">
      <c r="B376" s="14" t="str">
        <f t="shared" si="16"/>
        <v>45112504511000708Utilities-N423931200104</v>
      </c>
      <c r="C376" s="21" t="s">
        <v>65</v>
      </c>
      <c r="D376" s="22">
        <v>4511250</v>
      </c>
      <c r="E376" s="21" t="s">
        <v>66</v>
      </c>
      <c r="F376" s="22">
        <v>4511000708</v>
      </c>
      <c r="G376" s="21" t="s">
        <v>3016</v>
      </c>
      <c r="H376" s="21" t="s">
        <v>110</v>
      </c>
      <c r="I376" s="22">
        <v>423931</v>
      </c>
      <c r="J376" s="22">
        <v>200104</v>
      </c>
      <c r="K376" s="22" t="s">
        <v>2959</v>
      </c>
      <c r="L376" s="22">
        <v>70205</v>
      </c>
      <c r="M376" s="23" t="s">
        <v>2961</v>
      </c>
      <c r="N376" s="24">
        <v>0</v>
      </c>
      <c r="O376" s="24">
        <v>0</v>
      </c>
      <c r="P376" s="24">
        <v>0</v>
      </c>
      <c r="Q376" s="24">
        <v>31222.1666</v>
      </c>
      <c r="R376" s="24">
        <v>15611.0833</v>
      </c>
      <c r="S376" s="24">
        <v>15611.0833</v>
      </c>
      <c r="T376" s="24">
        <v>15611.0833</v>
      </c>
      <c r="U376" s="24">
        <v>15611.0833</v>
      </c>
      <c r="V376" s="24">
        <v>15611.0833</v>
      </c>
      <c r="W376" s="24">
        <v>15611.0833</v>
      </c>
      <c r="X376" s="24">
        <v>15611.0833</v>
      </c>
      <c r="Y376" s="24">
        <v>46833.25</v>
      </c>
      <c r="Z376" s="24">
        <f t="shared" si="17"/>
        <v>187332.99970000001</v>
      </c>
      <c r="AB376" s="25">
        <v>187332.99970000001</v>
      </c>
      <c r="AC376" s="26">
        <v>187332.2</v>
      </c>
      <c r="AD376" s="24">
        <v>0.79970000000321306</v>
      </c>
      <c r="AE376" s="27">
        <f>_xlfn.XLOOKUP(B376,'Projects Cashflow'!$B:$B,'Projects Cashflow'!$AG:$AG,0)</f>
        <v>187332.2</v>
      </c>
      <c r="AF376" s="28">
        <f t="shared" si="18"/>
        <v>-0.79970000000321306</v>
      </c>
    </row>
    <row r="377" spans="2:32" x14ac:dyDescent="0.3">
      <c r="B377" s="14" t="str">
        <f t="shared" si="16"/>
        <v>45112504511000708Security Service-N424551200104</v>
      </c>
      <c r="C377" s="21" t="s">
        <v>65</v>
      </c>
      <c r="D377" s="22">
        <v>4511250</v>
      </c>
      <c r="E377" s="21" t="s">
        <v>66</v>
      </c>
      <c r="F377" s="22">
        <v>4511000708</v>
      </c>
      <c r="G377" s="21" t="s">
        <v>3016</v>
      </c>
      <c r="H377" s="21" t="s">
        <v>107</v>
      </c>
      <c r="I377" s="22">
        <v>424551</v>
      </c>
      <c r="J377" s="22">
        <v>200104</v>
      </c>
      <c r="K377" s="22" t="s">
        <v>2959</v>
      </c>
      <c r="L377" s="22">
        <v>70205</v>
      </c>
      <c r="M377" s="23" t="s">
        <v>2961</v>
      </c>
      <c r="N377" s="24">
        <v>0</v>
      </c>
      <c r="O377" s="24">
        <v>0</v>
      </c>
      <c r="P377" s="24">
        <v>0</v>
      </c>
      <c r="Q377" s="24">
        <v>33200</v>
      </c>
      <c r="R377" s="24">
        <v>8300</v>
      </c>
      <c r="S377" s="24">
        <v>8300</v>
      </c>
      <c r="T377" s="24">
        <v>8300</v>
      </c>
      <c r="U377" s="24">
        <v>8300</v>
      </c>
      <c r="V377" s="24">
        <v>8300</v>
      </c>
      <c r="W377" s="24">
        <v>8300</v>
      </c>
      <c r="X377" s="24">
        <v>8300</v>
      </c>
      <c r="Y377" s="24">
        <v>8300</v>
      </c>
      <c r="Z377" s="24">
        <f t="shared" si="17"/>
        <v>99600</v>
      </c>
      <c r="AB377" s="25">
        <v>99600</v>
      </c>
      <c r="AC377" s="26">
        <v>99600.4</v>
      </c>
      <c r="AD377" s="24">
        <v>-0.39999999999417923</v>
      </c>
      <c r="AE377" s="27">
        <f>_xlfn.XLOOKUP(B377,'Projects Cashflow'!$B:$B,'Projects Cashflow'!$AG:$AG,0)</f>
        <v>99600.4</v>
      </c>
      <c r="AF377" s="28">
        <f t="shared" si="18"/>
        <v>0.39999999999417923</v>
      </c>
    </row>
    <row r="378" spans="2:32" x14ac:dyDescent="0.3">
      <c r="B378" s="14" t="str">
        <f t="shared" si="16"/>
        <v>45112504511000708Pest Control-N422321200104</v>
      </c>
      <c r="C378" s="21" t="s">
        <v>65</v>
      </c>
      <c r="D378" s="22">
        <v>4511250</v>
      </c>
      <c r="E378" s="21" t="s">
        <v>66</v>
      </c>
      <c r="F378" s="22">
        <v>4511000708</v>
      </c>
      <c r="G378" s="21" t="s">
        <v>3016</v>
      </c>
      <c r="H378" s="21" t="s">
        <v>103</v>
      </c>
      <c r="I378" s="22">
        <v>422321</v>
      </c>
      <c r="J378" s="22">
        <v>200104</v>
      </c>
      <c r="K378" s="22" t="s">
        <v>2959</v>
      </c>
      <c r="L378" s="22">
        <v>70205</v>
      </c>
      <c r="M378" s="23" t="s">
        <v>2961</v>
      </c>
      <c r="N378" s="24">
        <v>0</v>
      </c>
      <c r="O378" s="24">
        <v>0</v>
      </c>
      <c r="P378" s="24">
        <v>0</v>
      </c>
      <c r="Q378" s="24">
        <v>10000</v>
      </c>
      <c r="R378" s="24">
        <v>10000</v>
      </c>
      <c r="S378" s="24">
        <v>0</v>
      </c>
      <c r="T378" s="24">
        <v>10000</v>
      </c>
      <c r="U378" s="24">
        <v>0</v>
      </c>
      <c r="V378" s="24">
        <v>10000</v>
      </c>
      <c r="W378" s="24">
        <v>0</v>
      </c>
      <c r="X378" s="24">
        <v>10000</v>
      </c>
      <c r="Y378" s="24">
        <v>0</v>
      </c>
      <c r="Z378" s="24">
        <f t="shared" si="17"/>
        <v>50000</v>
      </c>
      <c r="AB378" s="25">
        <v>50000</v>
      </c>
      <c r="AC378" s="26">
        <v>50000</v>
      </c>
      <c r="AD378" s="24">
        <v>0</v>
      </c>
      <c r="AE378" s="27">
        <f>_xlfn.XLOOKUP(B378,'Projects Cashflow'!$B:$B,'Projects Cashflow'!$AG:$AG,0)</f>
        <v>50000</v>
      </c>
      <c r="AF378" s="28">
        <f t="shared" si="18"/>
        <v>0</v>
      </c>
    </row>
    <row r="379" spans="2:32" x14ac:dyDescent="0.3">
      <c r="B379" s="14" t="str">
        <f t="shared" si="16"/>
        <v>45112504511000512Maintenance-N426212200104</v>
      </c>
      <c r="C379" s="21" t="s">
        <v>65</v>
      </c>
      <c r="D379" s="22">
        <v>4511250</v>
      </c>
      <c r="E379" s="21" t="s">
        <v>66</v>
      </c>
      <c r="F379" s="22">
        <v>4511000512</v>
      </c>
      <c r="G379" s="21" t="s">
        <v>2998</v>
      </c>
      <c r="H379" s="21" t="s">
        <v>95</v>
      </c>
      <c r="I379" s="22">
        <v>426212</v>
      </c>
      <c r="J379" s="22">
        <v>200104</v>
      </c>
      <c r="K379" s="22" t="s">
        <v>2959</v>
      </c>
      <c r="L379" s="22">
        <v>70205</v>
      </c>
      <c r="M379" s="23" t="s">
        <v>2961</v>
      </c>
      <c r="N379" s="24">
        <v>0</v>
      </c>
      <c r="O379" s="24">
        <v>0</v>
      </c>
      <c r="P379" s="24">
        <v>0</v>
      </c>
      <c r="Q379" s="24">
        <v>91355</v>
      </c>
      <c r="R379" s="24">
        <v>22839</v>
      </c>
      <c r="S379" s="24">
        <v>22839</v>
      </c>
      <c r="T379" s="24">
        <v>22839</v>
      </c>
      <c r="U379" s="24">
        <v>22839</v>
      </c>
      <c r="V379" s="24">
        <v>22839</v>
      </c>
      <c r="W379" s="24">
        <v>22839</v>
      </c>
      <c r="X379" s="24">
        <v>22839</v>
      </c>
      <c r="Y379" s="24">
        <v>22834</v>
      </c>
      <c r="Z379" s="24">
        <f t="shared" si="17"/>
        <v>274062</v>
      </c>
      <c r="AB379" s="25">
        <v>274062</v>
      </c>
      <c r="AC379" s="26">
        <v>274061.84000000003</v>
      </c>
      <c r="AD379" s="24">
        <v>0.15999999997438863</v>
      </c>
      <c r="AE379" s="27">
        <f>_xlfn.XLOOKUP(B379,'Projects Cashflow'!$B:$B,'Projects Cashflow'!$AG:$AG,0)</f>
        <v>274061.84000000003</v>
      </c>
      <c r="AF379" s="28">
        <f t="shared" si="18"/>
        <v>-0.15999999997438863</v>
      </c>
    </row>
    <row r="380" spans="2:32" x14ac:dyDescent="0.3">
      <c r="B380" s="14" t="str">
        <f t="shared" si="16"/>
        <v>45112504511001261Hospitality-N424761200104</v>
      </c>
      <c r="C380" s="21" t="s">
        <v>65</v>
      </c>
      <c r="D380" s="22">
        <v>4511250</v>
      </c>
      <c r="E380" s="21" t="s">
        <v>66</v>
      </c>
      <c r="F380" s="22">
        <v>4511001261</v>
      </c>
      <c r="G380" s="21" t="s">
        <v>1512</v>
      </c>
      <c r="H380" s="21" t="s">
        <v>83</v>
      </c>
      <c r="I380" s="22">
        <v>424761</v>
      </c>
      <c r="J380" s="22">
        <v>200104</v>
      </c>
      <c r="K380" s="22" t="s">
        <v>2959</v>
      </c>
      <c r="L380" s="22">
        <v>70205</v>
      </c>
      <c r="M380" s="23" t="s">
        <v>2961</v>
      </c>
      <c r="N380" s="24">
        <v>0</v>
      </c>
      <c r="O380" s="24">
        <v>0</v>
      </c>
      <c r="P380" s="24">
        <v>0</v>
      </c>
      <c r="Q380" s="24">
        <v>43939.360000000001</v>
      </c>
      <c r="R380" s="24">
        <v>10984.69</v>
      </c>
      <c r="S380" s="24">
        <v>10984.69</v>
      </c>
      <c r="T380" s="24">
        <v>10984.69</v>
      </c>
      <c r="U380" s="24">
        <v>12746.69</v>
      </c>
      <c r="V380" s="24">
        <v>0</v>
      </c>
      <c r="W380" s="24">
        <v>0</v>
      </c>
      <c r="X380" s="24">
        <v>0</v>
      </c>
      <c r="Y380" s="24">
        <v>0</v>
      </c>
      <c r="Z380" s="24">
        <f t="shared" si="17"/>
        <v>89640.12000000001</v>
      </c>
      <c r="AB380" s="25">
        <v>89640.12000000001</v>
      </c>
      <c r="AC380" s="26">
        <v>89640</v>
      </c>
      <c r="AD380" s="24">
        <v>0.1200000000098953</v>
      </c>
      <c r="AE380" s="27">
        <f>_xlfn.XLOOKUP(B380,'Projects Cashflow'!$B:$B,'Projects Cashflow'!$AG:$AG,0)</f>
        <v>89640</v>
      </c>
      <c r="AF380" s="28">
        <f t="shared" si="18"/>
        <v>-0.1200000000098953</v>
      </c>
    </row>
    <row r="381" spans="2:32" x14ac:dyDescent="0.3">
      <c r="B381" s="14" t="str">
        <f t="shared" si="16"/>
        <v>45155004511001325Event Management-N422401200104</v>
      </c>
      <c r="C381" s="21" t="s">
        <v>211</v>
      </c>
      <c r="D381" s="22">
        <v>4515500</v>
      </c>
      <c r="E381" s="21" t="s">
        <v>512</v>
      </c>
      <c r="F381" s="22">
        <v>4511001325</v>
      </c>
      <c r="G381" s="21" t="s">
        <v>1565</v>
      </c>
      <c r="H381" s="21" t="s">
        <v>162</v>
      </c>
      <c r="I381" s="22">
        <v>422401</v>
      </c>
      <c r="J381" s="22">
        <v>200104</v>
      </c>
      <c r="K381" s="22" t="s">
        <v>2959</v>
      </c>
      <c r="L381" s="22">
        <v>70501</v>
      </c>
      <c r="M381" s="23" t="s">
        <v>2960</v>
      </c>
      <c r="N381" s="24">
        <v>0</v>
      </c>
      <c r="O381" s="24">
        <v>0</v>
      </c>
      <c r="P381" s="24">
        <v>8532500</v>
      </c>
      <c r="Q381" s="24">
        <v>3400000</v>
      </c>
      <c r="R381" s="24">
        <v>2040000</v>
      </c>
      <c r="S381" s="24">
        <v>0</v>
      </c>
      <c r="T381" s="24">
        <v>1000000</v>
      </c>
      <c r="U381" s="24">
        <v>190000</v>
      </c>
      <c r="V381" s="24">
        <v>0</v>
      </c>
      <c r="W381" s="24">
        <v>0</v>
      </c>
      <c r="X381" s="24">
        <v>0</v>
      </c>
      <c r="Y381" s="24">
        <v>0</v>
      </c>
      <c r="Z381" s="24">
        <f t="shared" si="17"/>
        <v>15162500</v>
      </c>
      <c r="AB381" s="25">
        <v>11932500</v>
      </c>
      <c r="AC381" s="26">
        <v>11932500</v>
      </c>
      <c r="AD381" s="24">
        <v>0</v>
      </c>
      <c r="AE381" s="27">
        <f>_xlfn.XLOOKUP(B381,'Projects Cashflow'!$B:$B,'Projects Cashflow'!$AG:$AG,0)</f>
        <v>11932500</v>
      </c>
      <c r="AF381" s="28">
        <f t="shared" si="18"/>
        <v>0</v>
      </c>
    </row>
    <row r="382" spans="2:32" x14ac:dyDescent="0.3">
      <c r="B382" s="14" t="str">
        <f t="shared" si="16"/>
        <v>45112504511000820Lease Improve-N490600300105</v>
      </c>
      <c r="C382" s="21" t="s">
        <v>65</v>
      </c>
      <c r="D382" s="22">
        <v>4511250</v>
      </c>
      <c r="E382" s="21" t="s">
        <v>66</v>
      </c>
      <c r="F382" s="22">
        <v>4511000820</v>
      </c>
      <c r="G382" s="21" t="s">
        <v>1114</v>
      </c>
      <c r="H382" s="21" t="s">
        <v>89</v>
      </c>
      <c r="I382" s="22">
        <v>490600</v>
      </c>
      <c r="J382" s="22">
        <v>300105</v>
      </c>
      <c r="K382" s="22" t="s">
        <v>2972</v>
      </c>
      <c r="L382" s="22">
        <v>70205</v>
      </c>
      <c r="M382" s="23" t="s">
        <v>2961</v>
      </c>
      <c r="N382" s="24">
        <v>0</v>
      </c>
      <c r="O382" s="24">
        <v>0</v>
      </c>
      <c r="P382" s="24">
        <v>0</v>
      </c>
      <c r="Q382" s="24">
        <v>0</v>
      </c>
      <c r="R382" s="24">
        <v>0</v>
      </c>
      <c r="S382" s="24">
        <v>269498</v>
      </c>
      <c r="T382" s="24">
        <v>0</v>
      </c>
      <c r="U382" s="24">
        <v>0</v>
      </c>
      <c r="V382" s="24">
        <v>0</v>
      </c>
      <c r="W382" s="24">
        <v>0</v>
      </c>
      <c r="X382" s="24">
        <v>0</v>
      </c>
      <c r="Y382" s="24">
        <v>0</v>
      </c>
      <c r="Z382" s="24">
        <f t="shared" si="17"/>
        <v>269498</v>
      </c>
      <c r="AB382" s="25">
        <v>4469498</v>
      </c>
      <c r="AC382" s="26">
        <v>4469498</v>
      </c>
      <c r="AD382" s="24">
        <v>0</v>
      </c>
      <c r="AE382" s="27">
        <f>_xlfn.XLOOKUP(B382,'Projects Cashflow'!$B:$B,'Projects Cashflow'!$AG:$AG,0)</f>
        <v>4469498</v>
      </c>
      <c r="AF382" s="28">
        <f t="shared" si="18"/>
        <v>0</v>
      </c>
    </row>
    <row r="383" spans="2:32" x14ac:dyDescent="0.3">
      <c r="B383" s="14" t="str">
        <f t="shared" si="16"/>
        <v>45112504511000820Activation&amp;Prog-N422401200104</v>
      </c>
      <c r="C383" s="21" t="s">
        <v>65</v>
      </c>
      <c r="D383" s="22">
        <v>4511250</v>
      </c>
      <c r="E383" s="21" t="s">
        <v>66</v>
      </c>
      <c r="F383" s="22">
        <v>4511000820</v>
      </c>
      <c r="G383" s="21" t="s">
        <v>1114</v>
      </c>
      <c r="H383" s="21" t="s">
        <v>62</v>
      </c>
      <c r="I383" s="22">
        <v>422401</v>
      </c>
      <c r="J383" s="22">
        <v>200104</v>
      </c>
      <c r="K383" s="22" t="s">
        <v>2959</v>
      </c>
      <c r="L383" s="22">
        <v>70205</v>
      </c>
      <c r="M383" s="23" t="s">
        <v>2961</v>
      </c>
      <c r="N383" s="24">
        <v>0</v>
      </c>
      <c r="O383" s="24">
        <v>0</v>
      </c>
      <c r="P383" s="24">
        <v>0</v>
      </c>
      <c r="Q383" s="24">
        <v>1045100</v>
      </c>
      <c r="R383" s="24">
        <v>121300</v>
      </c>
      <c r="S383" s="24">
        <v>85000</v>
      </c>
      <c r="T383" s="24">
        <v>65000</v>
      </c>
      <c r="U383" s="24">
        <v>16300</v>
      </c>
      <c r="V383" s="24">
        <v>108000</v>
      </c>
      <c r="W383" s="24">
        <v>345000</v>
      </c>
      <c r="X383" s="24">
        <v>2359300</v>
      </c>
      <c r="Y383" s="24">
        <v>1635000</v>
      </c>
      <c r="Z383" s="24">
        <f t="shared" si="17"/>
        <v>5780000</v>
      </c>
      <c r="AB383" s="25">
        <v>5790800</v>
      </c>
      <c r="AC383" s="26">
        <v>5790800</v>
      </c>
      <c r="AD383" s="24">
        <v>0</v>
      </c>
      <c r="AE383" s="27">
        <f>_xlfn.XLOOKUP(B383,'Projects Cashflow'!$B:$B,'Projects Cashflow'!$AG:$AG,0)</f>
        <v>5790800</v>
      </c>
      <c r="AF383" s="28">
        <f t="shared" si="18"/>
        <v>0</v>
      </c>
    </row>
    <row r="384" spans="2:32" x14ac:dyDescent="0.3">
      <c r="B384" s="14" t="str">
        <f t="shared" si="16"/>
        <v>45102504511000770Mission &amp; Travel-N423821200104</v>
      </c>
      <c r="C384" s="21" t="s">
        <v>2984</v>
      </c>
      <c r="D384" s="22">
        <v>4510250</v>
      </c>
      <c r="E384" s="21" t="s">
        <v>3017</v>
      </c>
      <c r="F384" s="22">
        <v>4511000770</v>
      </c>
      <c r="G384" s="21" t="s">
        <v>1053</v>
      </c>
      <c r="H384" s="21" t="s">
        <v>54</v>
      </c>
      <c r="I384" s="22">
        <v>423821</v>
      </c>
      <c r="J384" s="22">
        <v>200104</v>
      </c>
      <c r="K384" s="22" t="s">
        <v>2959</v>
      </c>
      <c r="L384" s="22">
        <v>70106</v>
      </c>
      <c r="M384" s="23" t="s">
        <v>2960</v>
      </c>
      <c r="N384" s="24">
        <v>0</v>
      </c>
      <c r="O384" s="24">
        <v>0</v>
      </c>
      <c r="P384" s="24">
        <v>0</v>
      </c>
      <c r="Q384" s="24">
        <v>45906.25</v>
      </c>
      <c r="R384" s="24">
        <v>0</v>
      </c>
      <c r="S384" s="24">
        <v>0</v>
      </c>
      <c r="T384" s="24">
        <v>45906.25</v>
      </c>
      <c r="U384" s="24">
        <v>0</v>
      </c>
      <c r="V384" s="24">
        <v>45906.25</v>
      </c>
      <c r="W384" s="24">
        <v>0</v>
      </c>
      <c r="X384" s="24">
        <v>49781.25</v>
      </c>
      <c r="Y384" s="24">
        <v>0</v>
      </c>
      <c r="Z384" s="24">
        <f t="shared" si="17"/>
        <v>187500</v>
      </c>
      <c r="AB384" s="25">
        <v>187500</v>
      </c>
      <c r="AC384" s="26">
        <v>187500</v>
      </c>
      <c r="AD384" s="24">
        <v>0</v>
      </c>
      <c r="AE384" s="27">
        <f>_xlfn.XLOOKUP(B384,'Projects Cashflow'!$B:$B,'Projects Cashflow'!$AG:$AG,0)</f>
        <v>187500</v>
      </c>
      <c r="AF384" s="28">
        <f t="shared" si="18"/>
        <v>0</v>
      </c>
    </row>
    <row r="385" spans="2:32" x14ac:dyDescent="0.3">
      <c r="B385" s="14" t="str">
        <f t="shared" si="16"/>
        <v>45112504511000820Security Service-N424551200104</v>
      </c>
      <c r="C385" s="21" t="s">
        <v>65</v>
      </c>
      <c r="D385" s="22">
        <v>4511250</v>
      </c>
      <c r="E385" s="21" t="s">
        <v>66</v>
      </c>
      <c r="F385" s="22">
        <v>4511000820</v>
      </c>
      <c r="G385" s="21" t="s">
        <v>1114</v>
      </c>
      <c r="H385" s="21" t="s">
        <v>107</v>
      </c>
      <c r="I385" s="22">
        <v>424551</v>
      </c>
      <c r="J385" s="22">
        <v>200104</v>
      </c>
      <c r="K385" s="22" t="s">
        <v>2959</v>
      </c>
      <c r="L385" s="22">
        <v>70205</v>
      </c>
      <c r="M385" s="23" t="s">
        <v>2961</v>
      </c>
      <c r="N385" s="24">
        <v>0</v>
      </c>
      <c r="O385" s="24">
        <v>0</v>
      </c>
      <c r="P385" s="24">
        <v>0</v>
      </c>
      <c r="Q385" s="24">
        <v>340000</v>
      </c>
      <c r="R385" s="24">
        <v>170000</v>
      </c>
      <c r="S385" s="24">
        <v>170000</v>
      </c>
      <c r="T385" s="24">
        <v>170000</v>
      </c>
      <c r="U385" s="24">
        <v>170000</v>
      </c>
      <c r="V385" s="24">
        <v>170000</v>
      </c>
      <c r="W385" s="24">
        <v>170000</v>
      </c>
      <c r="X385" s="24">
        <v>154600</v>
      </c>
      <c r="Y385" s="24">
        <v>0</v>
      </c>
      <c r="Z385" s="24">
        <f t="shared" si="17"/>
        <v>1514600</v>
      </c>
      <c r="AB385" s="25">
        <v>1514600</v>
      </c>
      <c r="AC385" s="26">
        <v>1514600</v>
      </c>
      <c r="AD385" s="24">
        <v>0</v>
      </c>
      <c r="AE385" s="27">
        <f>_xlfn.XLOOKUP(B385,'Projects Cashflow'!$B:$B,'Projects Cashflow'!$AG:$AG,0)</f>
        <v>1514600</v>
      </c>
      <c r="AF385" s="28">
        <f t="shared" si="18"/>
        <v>0</v>
      </c>
    </row>
    <row r="386" spans="2:32" x14ac:dyDescent="0.3">
      <c r="B386" s="14" t="str">
        <f t="shared" si="16"/>
        <v>45112504511000820Utilities-N423931200104</v>
      </c>
      <c r="C386" s="21" t="s">
        <v>65</v>
      </c>
      <c r="D386" s="22">
        <v>4511250</v>
      </c>
      <c r="E386" s="21" t="s">
        <v>66</v>
      </c>
      <c r="F386" s="22">
        <v>4511000820</v>
      </c>
      <c r="G386" s="21" t="s">
        <v>1114</v>
      </c>
      <c r="H386" s="21" t="s">
        <v>110</v>
      </c>
      <c r="I386" s="22">
        <v>423931</v>
      </c>
      <c r="J386" s="22">
        <v>200104</v>
      </c>
      <c r="K386" s="22" t="s">
        <v>2959</v>
      </c>
      <c r="L386" s="22">
        <v>70205</v>
      </c>
      <c r="M386" s="23" t="s">
        <v>2961</v>
      </c>
      <c r="N386" s="24">
        <v>0</v>
      </c>
      <c r="O386" s="24">
        <v>0</v>
      </c>
      <c r="P386" s="24">
        <v>0</v>
      </c>
      <c r="Q386" s="24">
        <v>285000</v>
      </c>
      <c r="R386" s="24">
        <v>95000</v>
      </c>
      <c r="S386" s="24">
        <v>95000</v>
      </c>
      <c r="T386" s="24">
        <v>95000</v>
      </c>
      <c r="U386" s="24">
        <v>95000</v>
      </c>
      <c r="V386" s="24">
        <v>95000</v>
      </c>
      <c r="W386" s="24">
        <v>95000</v>
      </c>
      <c r="X386" s="24">
        <v>115000</v>
      </c>
      <c r="Y386" s="24">
        <v>114140</v>
      </c>
      <c r="Z386" s="24">
        <f t="shared" si="17"/>
        <v>1084140</v>
      </c>
      <c r="AB386" s="25">
        <v>1084140</v>
      </c>
      <c r="AC386" s="26">
        <v>1084140</v>
      </c>
      <c r="AD386" s="24">
        <v>0</v>
      </c>
      <c r="AE386" s="27">
        <f>_xlfn.XLOOKUP(B386,'Projects Cashflow'!$B:$B,'Projects Cashflow'!$AG:$AG,0)</f>
        <v>1084140</v>
      </c>
      <c r="AF386" s="28">
        <f t="shared" si="18"/>
        <v>0</v>
      </c>
    </row>
    <row r="387" spans="2:32" x14ac:dyDescent="0.3">
      <c r="B387" s="14" t="str">
        <f t="shared" si="16"/>
        <v>45112504511000820Maintenance-N426212200104</v>
      </c>
      <c r="C387" s="21" t="s">
        <v>65</v>
      </c>
      <c r="D387" s="22">
        <v>4511250</v>
      </c>
      <c r="E387" s="21" t="s">
        <v>66</v>
      </c>
      <c r="F387" s="22">
        <v>4511000820</v>
      </c>
      <c r="G387" s="21" t="s">
        <v>1114</v>
      </c>
      <c r="H387" s="21" t="s">
        <v>95</v>
      </c>
      <c r="I387" s="22">
        <v>426212</v>
      </c>
      <c r="J387" s="22">
        <v>200104</v>
      </c>
      <c r="K387" s="22" t="s">
        <v>2959</v>
      </c>
      <c r="L387" s="22">
        <v>70205</v>
      </c>
      <c r="M387" s="23" t="s">
        <v>2961</v>
      </c>
      <c r="N387" s="24">
        <v>0</v>
      </c>
      <c r="O387" s="24">
        <v>0</v>
      </c>
      <c r="P387" s="24">
        <v>0</v>
      </c>
      <c r="Q387" s="24">
        <v>110000</v>
      </c>
      <c r="R387" s="24">
        <v>55000</v>
      </c>
      <c r="S387" s="24">
        <v>55000</v>
      </c>
      <c r="T387" s="24">
        <v>55000</v>
      </c>
      <c r="U387" s="24">
        <v>55000</v>
      </c>
      <c r="V387" s="24">
        <v>55000</v>
      </c>
      <c r="W387" s="24">
        <v>55000</v>
      </c>
      <c r="X387" s="24">
        <v>70000</v>
      </c>
      <c r="Y387" s="24">
        <v>0</v>
      </c>
      <c r="Z387" s="24">
        <f t="shared" si="17"/>
        <v>510000</v>
      </c>
      <c r="AB387" s="25">
        <v>510000</v>
      </c>
      <c r="AC387" s="26">
        <v>510000</v>
      </c>
      <c r="AD387" s="24">
        <v>0</v>
      </c>
      <c r="AE387" s="27">
        <f>_xlfn.XLOOKUP(B387,'Projects Cashflow'!$B:$B,'Projects Cashflow'!$AG:$AG,0)</f>
        <v>510000</v>
      </c>
      <c r="AF387" s="28">
        <f t="shared" si="18"/>
        <v>0</v>
      </c>
    </row>
    <row r="388" spans="2:32" x14ac:dyDescent="0.3">
      <c r="B388" s="14" t="str">
        <f t="shared" si="16"/>
        <v>45112504511000820Admin Expenses-N1421125200104</v>
      </c>
      <c r="C388" s="21" t="s">
        <v>65</v>
      </c>
      <c r="D388" s="22">
        <v>4511250</v>
      </c>
      <c r="E388" s="21" t="s">
        <v>66</v>
      </c>
      <c r="F388" s="22">
        <v>4511000820</v>
      </c>
      <c r="G388" s="21" t="s">
        <v>1114</v>
      </c>
      <c r="H388" s="21" t="s">
        <v>73</v>
      </c>
      <c r="I388" s="22">
        <v>421125</v>
      </c>
      <c r="J388" s="22">
        <v>200104</v>
      </c>
      <c r="K388" s="22" t="s">
        <v>2959</v>
      </c>
      <c r="L388" s="22">
        <v>70205</v>
      </c>
      <c r="M388" s="23" t="s">
        <v>2961</v>
      </c>
      <c r="N388" s="24">
        <v>0</v>
      </c>
      <c r="O388" s="24">
        <v>0</v>
      </c>
      <c r="P388" s="24">
        <v>0</v>
      </c>
      <c r="Q388" s="24">
        <v>73520</v>
      </c>
      <c r="R388" s="24">
        <v>35000</v>
      </c>
      <c r="S388" s="24">
        <v>48000</v>
      </c>
      <c r="T388" s="24">
        <v>60000</v>
      </c>
      <c r="U388" s="24">
        <v>60000</v>
      </c>
      <c r="V388" s="24">
        <v>60000</v>
      </c>
      <c r="W388" s="24">
        <v>50000</v>
      </c>
      <c r="X388" s="24">
        <v>60000</v>
      </c>
      <c r="Y388" s="24">
        <v>60000</v>
      </c>
      <c r="Z388" s="24">
        <f t="shared" si="17"/>
        <v>506520</v>
      </c>
      <c r="AB388" s="25">
        <v>201520</v>
      </c>
      <c r="AC388" s="26">
        <v>201520</v>
      </c>
      <c r="AD388" s="24">
        <v>0</v>
      </c>
      <c r="AE388" s="27">
        <f>_xlfn.XLOOKUP(B388,'Projects Cashflow'!$B:$B,'Projects Cashflow'!$AG:$AG,0)</f>
        <v>201520</v>
      </c>
      <c r="AF388" s="28">
        <f t="shared" si="18"/>
        <v>0</v>
      </c>
    </row>
    <row r="389" spans="2:32" x14ac:dyDescent="0.3">
      <c r="B389" s="14" t="str">
        <f t="shared" ref="B389:B452" si="19">D389&amp;F389&amp;H389&amp;I389&amp;J389</f>
        <v>45112504511000820Edu &amp; Outreach-N422401200104</v>
      </c>
      <c r="C389" s="21" t="s">
        <v>65</v>
      </c>
      <c r="D389" s="22">
        <v>4511250</v>
      </c>
      <c r="E389" s="21" t="s">
        <v>66</v>
      </c>
      <c r="F389" s="22">
        <v>4511000820</v>
      </c>
      <c r="G389" s="21" t="s">
        <v>1114</v>
      </c>
      <c r="H389" s="21" t="s">
        <v>155</v>
      </c>
      <c r="I389" s="22">
        <v>422401</v>
      </c>
      <c r="J389" s="22">
        <v>200104</v>
      </c>
      <c r="K389" s="22" t="s">
        <v>2959</v>
      </c>
      <c r="L389" s="22">
        <v>70205</v>
      </c>
      <c r="M389" s="23" t="s">
        <v>2961</v>
      </c>
      <c r="N389" s="24">
        <v>0</v>
      </c>
      <c r="O389" s="24">
        <v>0</v>
      </c>
      <c r="P389" s="24">
        <v>0</v>
      </c>
      <c r="Q389" s="24">
        <v>100000</v>
      </c>
      <c r="R389" s="24">
        <v>50000</v>
      </c>
      <c r="S389" s="24">
        <v>50000</v>
      </c>
      <c r="T389" s="24">
        <v>90000</v>
      </c>
      <c r="U389" s="24">
        <v>70000</v>
      </c>
      <c r="V389" s="24">
        <v>0</v>
      </c>
      <c r="W389" s="24">
        <v>40000</v>
      </c>
      <c r="X389" s="24">
        <v>0</v>
      </c>
      <c r="Y389" s="24">
        <v>100000</v>
      </c>
      <c r="Z389" s="24">
        <f t="shared" ref="Z389:Z452" si="20">SUM(N389:Y389)</f>
        <v>500000</v>
      </c>
      <c r="AB389" s="25">
        <v>500000</v>
      </c>
      <c r="AC389" s="26">
        <v>500000</v>
      </c>
      <c r="AD389" s="24">
        <v>0</v>
      </c>
      <c r="AE389" s="27">
        <f>_xlfn.XLOOKUP(B389,'Projects Cashflow'!$B:$B,'Projects Cashflow'!$AG:$AG,0)</f>
        <v>500000</v>
      </c>
      <c r="AF389" s="28">
        <f t="shared" ref="AF389:AF452" si="21">AE389-AB389</f>
        <v>0</v>
      </c>
    </row>
    <row r="390" spans="2:32" x14ac:dyDescent="0.3">
      <c r="B390" s="14" t="str">
        <f t="shared" si="19"/>
        <v>45112504511000820Cleaning Service-N422311200104</v>
      </c>
      <c r="C390" s="21" t="s">
        <v>65</v>
      </c>
      <c r="D390" s="22">
        <v>4511250</v>
      </c>
      <c r="E390" s="21" t="s">
        <v>66</v>
      </c>
      <c r="F390" s="22">
        <v>4511000820</v>
      </c>
      <c r="G390" s="21" t="s">
        <v>1114</v>
      </c>
      <c r="H390" s="21" t="s">
        <v>79</v>
      </c>
      <c r="I390" s="22">
        <v>422311</v>
      </c>
      <c r="J390" s="22">
        <v>200104</v>
      </c>
      <c r="K390" s="22" t="s">
        <v>2959</v>
      </c>
      <c r="L390" s="22">
        <v>70205</v>
      </c>
      <c r="M390" s="23" t="s">
        <v>2961</v>
      </c>
      <c r="N390" s="24">
        <v>0</v>
      </c>
      <c r="O390" s="24">
        <v>0</v>
      </c>
      <c r="P390" s="24">
        <v>0</v>
      </c>
      <c r="Q390" s="24">
        <v>130000</v>
      </c>
      <c r="R390" s="24">
        <v>65000</v>
      </c>
      <c r="S390" s="24">
        <v>65000</v>
      </c>
      <c r="T390" s="24">
        <v>65000</v>
      </c>
      <c r="U390" s="24">
        <v>65000</v>
      </c>
      <c r="V390" s="24">
        <v>48000</v>
      </c>
      <c r="W390" s="24">
        <v>0</v>
      </c>
      <c r="X390" s="24">
        <v>0</v>
      </c>
      <c r="Y390" s="24">
        <v>0</v>
      </c>
      <c r="Z390" s="24">
        <f t="shared" si="20"/>
        <v>438000</v>
      </c>
      <c r="AB390" s="25">
        <v>438000</v>
      </c>
      <c r="AC390" s="26">
        <v>438000</v>
      </c>
      <c r="AD390" s="24">
        <v>0</v>
      </c>
      <c r="AE390" s="27">
        <f>_xlfn.XLOOKUP(B390,'Projects Cashflow'!$B:$B,'Projects Cashflow'!$AG:$AG,0)</f>
        <v>438000</v>
      </c>
      <c r="AF390" s="28">
        <f t="shared" si="21"/>
        <v>0</v>
      </c>
    </row>
    <row r="391" spans="2:32" x14ac:dyDescent="0.3">
      <c r="B391" s="14" t="str">
        <f t="shared" si="19"/>
        <v>45112504511000820Landscaping-N432614200104</v>
      </c>
      <c r="C391" s="21" t="s">
        <v>65</v>
      </c>
      <c r="D391" s="22">
        <v>4511250</v>
      </c>
      <c r="E391" s="21" t="s">
        <v>66</v>
      </c>
      <c r="F391" s="22">
        <v>4511000820</v>
      </c>
      <c r="G391" s="21" t="s">
        <v>1114</v>
      </c>
      <c r="H391" s="21" t="s">
        <v>86</v>
      </c>
      <c r="I391" s="22">
        <v>432614</v>
      </c>
      <c r="J391" s="22">
        <v>200104</v>
      </c>
      <c r="K391" s="22" t="s">
        <v>2959</v>
      </c>
      <c r="L391" s="22">
        <v>70205</v>
      </c>
      <c r="M391" s="23" t="s">
        <v>2961</v>
      </c>
      <c r="N391" s="24">
        <v>0</v>
      </c>
      <c r="O391" s="24">
        <v>0</v>
      </c>
      <c r="P391" s="24">
        <v>0</v>
      </c>
      <c r="Q391" s="24">
        <v>80000</v>
      </c>
      <c r="R391" s="24">
        <v>40000</v>
      </c>
      <c r="S391" s="24">
        <v>40000</v>
      </c>
      <c r="T391" s="24">
        <v>40000</v>
      </c>
      <c r="U391" s="24">
        <v>40000</v>
      </c>
      <c r="V391" s="24">
        <v>40000</v>
      </c>
      <c r="W391" s="24">
        <v>32000</v>
      </c>
      <c r="X391" s="24">
        <v>0</v>
      </c>
      <c r="Y391" s="24">
        <v>0</v>
      </c>
      <c r="Z391" s="24">
        <f t="shared" si="20"/>
        <v>312000</v>
      </c>
      <c r="AB391" s="25">
        <v>312000</v>
      </c>
      <c r="AC391" s="26">
        <v>312000</v>
      </c>
      <c r="AD391" s="24">
        <v>0</v>
      </c>
      <c r="AE391" s="27">
        <f>_xlfn.XLOOKUP(B391,'Projects Cashflow'!$B:$B,'Projects Cashflow'!$AG:$AG,0)</f>
        <v>312000</v>
      </c>
      <c r="AF391" s="28">
        <f t="shared" si="21"/>
        <v>0</v>
      </c>
    </row>
    <row r="392" spans="2:32" x14ac:dyDescent="0.3">
      <c r="B392" s="14" t="str">
        <f t="shared" si="19"/>
        <v>45112504511000820Freelancers-N424521200104</v>
      </c>
      <c r="C392" s="21" t="s">
        <v>65</v>
      </c>
      <c r="D392" s="22">
        <v>4511250</v>
      </c>
      <c r="E392" s="21" t="s">
        <v>66</v>
      </c>
      <c r="F392" s="22">
        <v>4511000820</v>
      </c>
      <c r="G392" s="21" t="s">
        <v>1114</v>
      </c>
      <c r="H392" s="21" t="s">
        <v>50</v>
      </c>
      <c r="I392" s="22">
        <v>424521</v>
      </c>
      <c r="J392" s="22">
        <v>200104</v>
      </c>
      <c r="K392" s="22" t="s">
        <v>2959</v>
      </c>
      <c r="L392" s="22">
        <v>70205</v>
      </c>
      <c r="M392" s="23" t="s">
        <v>2961</v>
      </c>
      <c r="N392" s="24">
        <v>0</v>
      </c>
      <c r="O392" s="24">
        <v>0</v>
      </c>
      <c r="P392" s="24">
        <v>0</v>
      </c>
      <c r="Q392" s="24">
        <v>84000</v>
      </c>
      <c r="R392" s="24">
        <v>21000</v>
      </c>
      <c r="S392" s="24">
        <v>21000</v>
      </c>
      <c r="T392" s="24">
        <v>21000</v>
      </c>
      <c r="U392" s="24">
        <v>21000</v>
      </c>
      <c r="V392" s="24">
        <v>21000</v>
      </c>
      <c r="W392" s="24">
        <v>21000</v>
      </c>
      <c r="X392" s="24">
        <v>21000</v>
      </c>
      <c r="Y392" s="24">
        <v>21000</v>
      </c>
      <c r="Z392" s="24">
        <f t="shared" si="20"/>
        <v>252000</v>
      </c>
      <c r="AB392" s="25">
        <v>252000</v>
      </c>
      <c r="AC392" s="26">
        <v>252000</v>
      </c>
      <c r="AD392" s="24">
        <v>0</v>
      </c>
      <c r="AE392" s="27">
        <f>_xlfn.XLOOKUP(B392,'Projects Cashflow'!$B:$B,'Projects Cashflow'!$AG:$AG,0)</f>
        <v>252000</v>
      </c>
      <c r="AF392" s="28">
        <f t="shared" si="21"/>
        <v>0</v>
      </c>
    </row>
    <row r="393" spans="2:32" x14ac:dyDescent="0.3">
      <c r="B393" s="14" t="str">
        <f t="shared" si="19"/>
        <v>45112504511000820FM Mgmnt (E-E)-N426212200104</v>
      </c>
      <c r="C393" s="21" t="s">
        <v>65</v>
      </c>
      <c r="D393" s="22">
        <v>4511250</v>
      </c>
      <c r="E393" s="21" t="s">
        <v>66</v>
      </c>
      <c r="F393" s="22">
        <v>4511000820</v>
      </c>
      <c r="G393" s="21" t="s">
        <v>1114</v>
      </c>
      <c r="H393" s="21" t="s">
        <v>380</v>
      </c>
      <c r="I393" s="22">
        <v>426212</v>
      </c>
      <c r="J393" s="22">
        <v>200104</v>
      </c>
      <c r="K393" s="22" t="s">
        <v>2959</v>
      </c>
      <c r="L393" s="22">
        <v>70205</v>
      </c>
      <c r="M393" s="23" t="s">
        <v>2961</v>
      </c>
      <c r="N393" s="24">
        <v>0</v>
      </c>
      <c r="O393" s="24">
        <v>0</v>
      </c>
      <c r="P393" s="24">
        <v>0</v>
      </c>
      <c r="Q393" s="24">
        <v>60000</v>
      </c>
      <c r="R393" s="24">
        <v>30000</v>
      </c>
      <c r="S393" s="24">
        <v>30000</v>
      </c>
      <c r="T393" s="24">
        <v>30000</v>
      </c>
      <c r="U393" s="24">
        <v>30000</v>
      </c>
      <c r="V393" s="24">
        <v>900</v>
      </c>
      <c r="W393" s="24">
        <v>0</v>
      </c>
      <c r="X393" s="24">
        <v>0</v>
      </c>
      <c r="Y393" s="24">
        <v>0</v>
      </c>
      <c r="Z393" s="24">
        <f t="shared" si="20"/>
        <v>180900</v>
      </c>
      <c r="AB393" s="25">
        <v>180900</v>
      </c>
      <c r="AC393" s="26">
        <v>180900</v>
      </c>
      <c r="AD393" s="24">
        <v>0</v>
      </c>
      <c r="AE393" s="27">
        <f>_xlfn.XLOOKUP(B393,'Projects Cashflow'!$B:$B,'Projects Cashflow'!$AG:$AG,0)</f>
        <v>180900</v>
      </c>
      <c r="AF393" s="28">
        <f t="shared" si="21"/>
        <v>0</v>
      </c>
    </row>
    <row r="394" spans="2:32" x14ac:dyDescent="0.3">
      <c r="B394" s="14" t="str">
        <f t="shared" si="19"/>
        <v>45112504511000820Pest Control-N422321200104</v>
      </c>
      <c r="C394" s="21" t="s">
        <v>65</v>
      </c>
      <c r="D394" s="22">
        <v>4511250</v>
      </c>
      <c r="E394" s="21" t="s">
        <v>66</v>
      </c>
      <c r="F394" s="22">
        <v>4511000820</v>
      </c>
      <c r="G394" s="21" t="s">
        <v>1114</v>
      </c>
      <c r="H394" s="21" t="s">
        <v>103</v>
      </c>
      <c r="I394" s="22">
        <v>422321</v>
      </c>
      <c r="J394" s="22">
        <v>200104</v>
      </c>
      <c r="K394" s="22" t="s">
        <v>2959</v>
      </c>
      <c r="L394" s="22">
        <v>70205</v>
      </c>
      <c r="M394" s="23" t="s">
        <v>2961</v>
      </c>
      <c r="N394" s="24">
        <v>0</v>
      </c>
      <c r="O394" s="24">
        <v>0</v>
      </c>
      <c r="P394" s="24">
        <v>0</v>
      </c>
      <c r="Q394" s="24">
        <v>40000</v>
      </c>
      <c r="R394" s="24">
        <v>20000</v>
      </c>
      <c r="S394" s="24">
        <v>20000</v>
      </c>
      <c r="T394" s="24">
        <v>20000</v>
      </c>
      <c r="U394" s="24">
        <v>20000</v>
      </c>
      <c r="V394" s="24">
        <v>20000</v>
      </c>
      <c r="W394" s="24">
        <v>20000</v>
      </c>
      <c r="X394" s="24">
        <v>20000</v>
      </c>
      <c r="Y394" s="24">
        <v>900</v>
      </c>
      <c r="Z394" s="24">
        <f t="shared" si="20"/>
        <v>180900</v>
      </c>
      <c r="AB394" s="25">
        <v>180900</v>
      </c>
      <c r="AC394" s="26">
        <v>180900</v>
      </c>
      <c r="AD394" s="24">
        <v>0</v>
      </c>
      <c r="AE394" s="27">
        <f>_xlfn.XLOOKUP(B394,'Projects Cashflow'!$B:$B,'Projects Cashflow'!$AG:$AG,0)</f>
        <v>180900</v>
      </c>
      <c r="AF394" s="28">
        <f t="shared" si="21"/>
        <v>0</v>
      </c>
    </row>
    <row r="395" spans="2:32" x14ac:dyDescent="0.3">
      <c r="B395" s="14" t="str">
        <f t="shared" si="19"/>
        <v>45112504511000820Hospitality-N424761200104</v>
      </c>
      <c r="C395" s="21" t="s">
        <v>65</v>
      </c>
      <c r="D395" s="22">
        <v>4511250</v>
      </c>
      <c r="E395" s="21" t="s">
        <v>66</v>
      </c>
      <c r="F395" s="22">
        <v>4511000820</v>
      </c>
      <c r="G395" s="21" t="s">
        <v>1114</v>
      </c>
      <c r="H395" s="21" t="s">
        <v>83</v>
      </c>
      <c r="I395" s="22">
        <v>424761</v>
      </c>
      <c r="J395" s="22">
        <v>200104</v>
      </c>
      <c r="K395" s="22" t="s">
        <v>2959</v>
      </c>
      <c r="L395" s="22">
        <v>70205</v>
      </c>
      <c r="M395" s="23" t="s">
        <v>2961</v>
      </c>
      <c r="N395" s="24">
        <v>0</v>
      </c>
      <c r="O395" s="24">
        <v>0</v>
      </c>
      <c r="P395" s="24">
        <v>0</v>
      </c>
      <c r="Q395" s="24">
        <v>60000</v>
      </c>
      <c r="R395" s="24">
        <v>30000</v>
      </c>
      <c r="S395" s="24">
        <v>30000</v>
      </c>
      <c r="T395" s="24">
        <v>30000</v>
      </c>
      <c r="U395" s="24">
        <v>20900</v>
      </c>
      <c r="V395" s="24">
        <v>0</v>
      </c>
      <c r="W395" s="24">
        <v>0</v>
      </c>
      <c r="X395" s="24">
        <v>0</v>
      </c>
      <c r="Y395" s="24">
        <v>0</v>
      </c>
      <c r="Z395" s="24">
        <f t="shared" si="20"/>
        <v>170900</v>
      </c>
      <c r="AB395" s="25">
        <v>170900</v>
      </c>
      <c r="AC395" s="26">
        <v>170900</v>
      </c>
      <c r="AD395" s="24">
        <v>0</v>
      </c>
      <c r="AE395" s="27">
        <f>_xlfn.XLOOKUP(B395,'Projects Cashflow'!$B:$B,'Projects Cashflow'!$AG:$AG,0)</f>
        <v>170900</v>
      </c>
      <c r="AF395" s="28">
        <f t="shared" si="21"/>
        <v>0</v>
      </c>
    </row>
    <row r="396" spans="2:32" x14ac:dyDescent="0.3">
      <c r="B396" s="14" t="str">
        <f t="shared" si="19"/>
        <v>45112504511000820Waste Mgmnt-N424591200104</v>
      </c>
      <c r="C396" s="21" t="s">
        <v>65</v>
      </c>
      <c r="D396" s="22">
        <v>4511250</v>
      </c>
      <c r="E396" s="21" t="s">
        <v>66</v>
      </c>
      <c r="F396" s="22">
        <v>4511000820</v>
      </c>
      <c r="G396" s="21" t="s">
        <v>1114</v>
      </c>
      <c r="H396" s="21" t="s">
        <v>382</v>
      </c>
      <c r="I396" s="22">
        <v>424591</v>
      </c>
      <c r="J396" s="22">
        <v>200104</v>
      </c>
      <c r="K396" s="22" t="s">
        <v>2959</v>
      </c>
      <c r="L396" s="22">
        <v>70205</v>
      </c>
      <c r="M396" s="23" t="s">
        <v>2961</v>
      </c>
      <c r="N396" s="24">
        <v>0</v>
      </c>
      <c r="O396" s="24">
        <v>0</v>
      </c>
      <c r="P396" s="24">
        <v>0</v>
      </c>
      <c r="Q396" s="24">
        <v>16180</v>
      </c>
      <c r="R396" s="24">
        <v>10000</v>
      </c>
      <c r="S396" s="24">
        <v>10000</v>
      </c>
      <c r="T396" s="24">
        <v>0</v>
      </c>
      <c r="U396" s="24">
        <v>0</v>
      </c>
      <c r="V396" s="24">
        <v>0</v>
      </c>
      <c r="W396" s="24">
        <v>0</v>
      </c>
      <c r="X396" s="24">
        <v>0</v>
      </c>
      <c r="Y396" s="24">
        <v>0</v>
      </c>
      <c r="Z396" s="24">
        <f t="shared" si="20"/>
        <v>36180</v>
      </c>
      <c r="AB396" s="25">
        <v>36180</v>
      </c>
      <c r="AC396" s="26">
        <v>36180</v>
      </c>
      <c r="AD396" s="24">
        <v>0</v>
      </c>
      <c r="AE396" s="27">
        <f>_xlfn.XLOOKUP(B396,'Projects Cashflow'!$B:$B,'Projects Cashflow'!$AG:$AG,0)</f>
        <v>36180</v>
      </c>
      <c r="AF396" s="28">
        <f t="shared" si="21"/>
        <v>0</v>
      </c>
    </row>
    <row r="397" spans="2:32" x14ac:dyDescent="0.3">
      <c r="B397" s="14" t="str">
        <f t="shared" si="19"/>
        <v>45112504511000903Activation&amp;Prog-N422401200104</v>
      </c>
      <c r="C397" s="21" t="s">
        <v>65</v>
      </c>
      <c r="D397" s="22">
        <v>4511250</v>
      </c>
      <c r="E397" s="21" t="s">
        <v>66</v>
      </c>
      <c r="F397" s="22">
        <v>4511000903</v>
      </c>
      <c r="G397" s="21" t="s">
        <v>1229</v>
      </c>
      <c r="H397" s="21" t="s">
        <v>62</v>
      </c>
      <c r="I397" s="22">
        <v>422401</v>
      </c>
      <c r="J397" s="22">
        <v>200104</v>
      </c>
      <c r="K397" s="22" t="s">
        <v>2959</v>
      </c>
      <c r="L397" s="22">
        <v>70205</v>
      </c>
      <c r="M397" s="23" t="s">
        <v>2961</v>
      </c>
      <c r="N397" s="24">
        <v>0</v>
      </c>
      <c r="O397" s="24">
        <v>0</v>
      </c>
      <c r="P397" s="24">
        <v>0</v>
      </c>
      <c r="Q397" s="24">
        <v>0</v>
      </c>
      <c r="R397" s="24">
        <v>0</v>
      </c>
      <c r="S397" s="24">
        <v>0</v>
      </c>
      <c r="T397" s="24">
        <v>0</v>
      </c>
      <c r="U397" s="24">
        <v>0</v>
      </c>
      <c r="V397" s="24">
        <v>0</v>
      </c>
      <c r="W397" s="24">
        <v>0</v>
      </c>
      <c r="X397" s="24">
        <v>0</v>
      </c>
      <c r="Y397" s="24">
        <v>1000000</v>
      </c>
      <c r="Z397" s="24">
        <f t="shared" si="20"/>
        <v>1000000</v>
      </c>
      <c r="AB397" s="25">
        <v>1000000</v>
      </c>
      <c r="AC397" s="26">
        <v>1000000</v>
      </c>
      <c r="AD397" s="24">
        <v>0</v>
      </c>
      <c r="AE397" s="27">
        <f>_xlfn.XLOOKUP(B397,'Projects Cashflow'!$B:$B,'Projects Cashflow'!$AG:$AG,0)</f>
        <v>1000000</v>
      </c>
      <c r="AF397" s="28">
        <f t="shared" si="21"/>
        <v>0</v>
      </c>
    </row>
    <row r="398" spans="2:32" x14ac:dyDescent="0.3">
      <c r="B398" s="14" t="str">
        <f t="shared" si="19"/>
        <v>45112504511000903Maintenance-N426212200104</v>
      </c>
      <c r="C398" s="21" t="s">
        <v>65</v>
      </c>
      <c r="D398" s="22">
        <v>4511250</v>
      </c>
      <c r="E398" s="21" t="s">
        <v>66</v>
      </c>
      <c r="F398" s="22">
        <v>4511000903</v>
      </c>
      <c r="G398" s="21" t="s">
        <v>1229</v>
      </c>
      <c r="H398" s="21" t="s">
        <v>95</v>
      </c>
      <c r="I398" s="22">
        <v>426212</v>
      </c>
      <c r="J398" s="22">
        <v>200104</v>
      </c>
      <c r="K398" s="22" t="s">
        <v>2959</v>
      </c>
      <c r="L398" s="22">
        <v>70205</v>
      </c>
      <c r="M398" s="23" t="s">
        <v>2961</v>
      </c>
      <c r="N398" s="24">
        <v>0</v>
      </c>
      <c r="O398" s="24">
        <v>0</v>
      </c>
      <c r="P398" s="24">
        <v>0</v>
      </c>
      <c r="Q398" s="24">
        <v>0</v>
      </c>
      <c r="R398" s="24">
        <v>0</v>
      </c>
      <c r="S398" s="24">
        <v>0</v>
      </c>
      <c r="T398" s="24">
        <v>0</v>
      </c>
      <c r="U398" s="24">
        <v>0</v>
      </c>
      <c r="V398" s="24">
        <v>0</v>
      </c>
      <c r="W398" s="24">
        <v>179791</v>
      </c>
      <c r="X398" s="24">
        <v>179791</v>
      </c>
      <c r="Y398" s="24">
        <v>179792</v>
      </c>
      <c r="Z398" s="24">
        <f t="shared" si="20"/>
        <v>539374</v>
      </c>
      <c r="AB398" s="25">
        <v>539374</v>
      </c>
      <c r="AC398" s="26">
        <v>539374</v>
      </c>
      <c r="AD398" s="24">
        <v>0</v>
      </c>
      <c r="AE398" s="27">
        <f>_xlfn.XLOOKUP(B398,'Projects Cashflow'!$B:$B,'Projects Cashflow'!$AG:$AG,0)</f>
        <v>539374</v>
      </c>
      <c r="AF398" s="28">
        <f t="shared" si="21"/>
        <v>0</v>
      </c>
    </row>
    <row r="399" spans="2:32" x14ac:dyDescent="0.3">
      <c r="B399" s="14" t="str">
        <f t="shared" si="19"/>
        <v>45112504511000903Security Service-N424551200104</v>
      </c>
      <c r="C399" s="21" t="s">
        <v>65</v>
      </c>
      <c r="D399" s="22">
        <v>4511250</v>
      </c>
      <c r="E399" s="21" t="s">
        <v>66</v>
      </c>
      <c r="F399" s="22">
        <v>4511000903</v>
      </c>
      <c r="G399" s="21" t="s">
        <v>1229</v>
      </c>
      <c r="H399" s="21" t="s">
        <v>107</v>
      </c>
      <c r="I399" s="22">
        <v>424551</v>
      </c>
      <c r="J399" s="22">
        <v>200104</v>
      </c>
      <c r="K399" s="22" t="s">
        <v>2959</v>
      </c>
      <c r="L399" s="22">
        <v>70205</v>
      </c>
      <c r="M399" s="23" t="s">
        <v>2961</v>
      </c>
      <c r="N399" s="24">
        <v>0</v>
      </c>
      <c r="O399" s="24">
        <v>0</v>
      </c>
      <c r="P399" s="24">
        <v>0</v>
      </c>
      <c r="Q399" s="24">
        <v>80000</v>
      </c>
      <c r="R399" s="24">
        <v>40000</v>
      </c>
      <c r="S399" s="24">
        <v>40000</v>
      </c>
      <c r="T399" s="24">
        <v>40000</v>
      </c>
      <c r="U399" s="24">
        <v>40000</v>
      </c>
      <c r="V399" s="24">
        <v>40000</v>
      </c>
      <c r="W399" s="24">
        <v>40000</v>
      </c>
      <c r="X399" s="24">
        <v>11640</v>
      </c>
      <c r="Y399" s="24">
        <v>0</v>
      </c>
      <c r="Z399" s="24">
        <f t="shared" si="20"/>
        <v>331640</v>
      </c>
      <c r="AB399" s="25">
        <v>331640</v>
      </c>
      <c r="AC399" s="26">
        <v>331640</v>
      </c>
      <c r="AD399" s="24">
        <v>0</v>
      </c>
      <c r="AE399" s="27">
        <f>_xlfn.XLOOKUP(B399,'Projects Cashflow'!$B:$B,'Projects Cashflow'!$AG:$AG,0)</f>
        <v>331640</v>
      </c>
      <c r="AF399" s="28">
        <f t="shared" si="21"/>
        <v>0</v>
      </c>
    </row>
    <row r="400" spans="2:32" x14ac:dyDescent="0.3">
      <c r="B400" s="14" t="str">
        <f t="shared" si="19"/>
        <v>45112504511000903Cleaning Service-N422311200104</v>
      </c>
      <c r="C400" s="21" t="s">
        <v>65</v>
      </c>
      <c r="D400" s="22">
        <v>4511250</v>
      </c>
      <c r="E400" s="21" t="s">
        <v>66</v>
      </c>
      <c r="F400" s="22">
        <v>4511000903</v>
      </c>
      <c r="G400" s="21" t="s">
        <v>1229</v>
      </c>
      <c r="H400" s="21" t="s">
        <v>79</v>
      </c>
      <c r="I400" s="22">
        <v>422311</v>
      </c>
      <c r="J400" s="22">
        <v>200104</v>
      </c>
      <c r="K400" s="22" t="s">
        <v>2959</v>
      </c>
      <c r="L400" s="22">
        <v>70205</v>
      </c>
      <c r="M400" s="23" t="s">
        <v>2961</v>
      </c>
      <c r="N400" s="24">
        <v>0</v>
      </c>
      <c r="O400" s="24">
        <v>0</v>
      </c>
      <c r="P400" s="24">
        <v>0</v>
      </c>
      <c r="Q400" s="24">
        <v>50000</v>
      </c>
      <c r="R400" s="24">
        <v>25000</v>
      </c>
      <c r="S400" s="24">
        <v>25000</v>
      </c>
      <c r="T400" s="24">
        <v>25000</v>
      </c>
      <c r="U400" s="24">
        <v>25000</v>
      </c>
      <c r="V400" s="24">
        <v>25000</v>
      </c>
      <c r="W400" s="24">
        <v>25000</v>
      </c>
      <c r="X400" s="24">
        <v>25000</v>
      </c>
      <c r="Y400" s="24">
        <v>3992</v>
      </c>
      <c r="Z400" s="24">
        <f t="shared" si="20"/>
        <v>228992</v>
      </c>
      <c r="AB400" s="25">
        <v>228992</v>
      </c>
      <c r="AC400" s="26">
        <v>228992</v>
      </c>
      <c r="AD400" s="24">
        <v>0</v>
      </c>
      <c r="AE400" s="27">
        <f>_xlfn.XLOOKUP(B400,'Projects Cashflow'!$B:$B,'Projects Cashflow'!$AG:$AG,0)</f>
        <v>228992</v>
      </c>
      <c r="AF400" s="28">
        <f t="shared" si="21"/>
        <v>0</v>
      </c>
    </row>
    <row r="401" spans="2:32" x14ac:dyDescent="0.3">
      <c r="B401" s="14" t="str">
        <f t="shared" si="19"/>
        <v>45112504511000903Utilities-N423931200104</v>
      </c>
      <c r="C401" s="21" t="s">
        <v>65</v>
      </c>
      <c r="D401" s="22">
        <v>4511250</v>
      </c>
      <c r="E401" s="21" t="s">
        <v>66</v>
      </c>
      <c r="F401" s="22">
        <v>4511000903</v>
      </c>
      <c r="G401" s="21" t="s">
        <v>1229</v>
      </c>
      <c r="H401" s="21" t="s">
        <v>110</v>
      </c>
      <c r="I401" s="22">
        <v>423931</v>
      </c>
      <c r="J401" s="22">
        <v>200104</v>
      </c>
      <c r="K401" s="22" t="s">
        <v>2959</v>
      </c>
      <c r="L401" s="22">
        <v>70205</v>
      </c>
      <c r="M401" s="23" t="s">
        <v>2961</v>
      </c>
      <c r="N401" s="24">
        <v>0</v>
      </c>
      <c r="O401" s="24">
        <v>0</v>
      </c>
      <c r="P401" s="24">
        <v>0</v>
      </c>
      <c r="Q401" s="24">
        <v>65000</v>
      </c>
      <c r="R401" s="24">
        <v>20000</v>
      </c>
      <c r="S401" s="24">
        <v>20000</v>
      </c>
      <c r="T401" s="24">
        <v>20000</v>
      </c>
      <c r="U401" s="24">
        <v>20000</v>
      </c>
      <c r="V401" s="24">
        <v>20000</v>
      </c>
      <c r="W401" s="24">
        <v>20000</v>
      </c>
      <c r="X401" s="24">
        <v>20000</v>
      </c>
      <c r="Y401" s="24">
        <v>23024</v>
      </c>
      <c r="Z401" s="24">
        <f t="shared" si="20"/>
        <v>228024</v>
      </c>
      <c r="AB401" s="25">
        <v>228024</v>
      </c>
      <c r="AC401" s="26">
        <v>228024</v>
      </c>
      <c r="AD401" s="24">
        <v>0</v>
      </c>
      <c r="AE401" s="27">
        <f>_xlfn.XLOOKUP(B401,'Projects Cashflow'!$B:$B,'Projects Cashflow'!$AG:$AG,0)</f>
        <v>228024</v>
      </c>
      <c r="AF401" s="28">
        <f t="shared" si="21"/>
        <v>0</v>
      </c>
    </row>
    <row r="402" spans="2:32" x14ac:dyDescent="0.3">
      <c r="B402" s="14" t="str">
        <f t="shared" si="19"/>
        <v>45112504511000903Landscaping-N432614200104</v>
      </c>
      <c r="C402" s="21" t="s">
        <v>65</v>
      </c>
      <c r="D402" s="22">
        <v>4511250</v>
      </c>
      <c r="E402" s="21" t="s">
        <v>66</v>
      </c>
      <c r="F402" s="22">
        <v>4511000903</v>
      </c>
      <c r="G402" s="21" t="s">
        <v>1229</v>
      </c>
      <c r="H402" s="21" t="s">
        <v>86</v>
      </c>
      <c r="I402" s="22">
        <v>432614</v>
      </c>
      <c r="J402" s="22">
        <v>200104</v>
      </c>
      <c r="K402" s="22" t="s">
        <v>2959</v>
      </c>
      <c r="L402" s="22">
        <v>70205</v>
      </c>
      <c r="M402" s="23" t="s">
        <v>2961</v>
      </c>
      <c r="N402" s="24">
        <v>0</v>
      </c>
      <c r="O402" s="24">
        <v>0</v>
      </c>
      <c r="P402" s="24">
        <v>0</v>
      </c>
      <c r="Q402" s="24">
        <v>30000</v>
      </c>
      <c r="R402" s="24">
        <v>15000</v>
      </c>
      <c r="S402" s="24">
        <v>15000</v>
      </c>
      <c r="T402" s="24">
        <v>15000</v>
      </c>
      <c r="U402" s="24">
        <v>15000</v>
      </c>
      <c r="V402" s="24">
        <v>15000</v>
      </c>
      <c r="W402" s="24">
        <v>15000</v>
      </c>
      <c r="X402" s="24">
        <v>15000</v>
      </c>
      <c r="Y402" s="24">
        <v>15000</v>
      </c>
      <c r="Z402" s="24">
        <f t="shared" si="20"/>
        <v>150000</v>
      </c>
      <c r="AB402" s="25">
        <v>150000</v>
      </c>
      <c r="AC402" s="26">
        <v>150000</v>
      </c>
      <c r="AD402" s="24">
        <v>0</v>
      </c>
      <c r="AE402" s="27">
        <f>_xlfn.XLOOKUP(B402,'Projects Cashflow'!$B:$B,'Projects Cashflow'!$AG:$AG,0)</f>
        <v>150000</v>
      </c>
      <c r="AF402" s="28">
        <f t="shared" si="21"/>
        <v>0</v>
      </c>
    </row>
    <row r="403" spans="2:32" x14ac:dyDescent="0.3">
      <c r="B403" s="14" t="str">
        <f t="shared" si="19"/>
        <v>45112504511001038Activation&amp;Prog-N422401200104</v>
      </c>
      <c r="C403" s="21" t="s">
        <v>65</v>
      </c>
      <c r="D403" s="22">
        <v>4511250</v>
      </c>
      <c r="E403" s="21" t="s">
        <v>66</v>
      </c>
      <c r="F403" s="22">
        <v>4511001038</v>
      </c>
      <c r="G403" s="21" t="s">
        <v>3018</v>
      </c>
      <c r="H403" s="21" t="s">
        <v>62</v>
      </c>
      <c r="I403" s="22">
        <v>422401</v>
      </c>
      <c r="J403" s="22">
        <v>200104</v>
      </c>
      <c r="K403" s="22" t="s">
        <v>2959</v>
      </c>
      <c r="L403" s="22">
        <v>70205</v>
      </c>
      <c r="M403" s="23" t="s">
        <v>2961</v>
      </c>
      <c r="N403" s="24">
        <v>0</v>
      </c>
      <c r="O403" s="24">
        <v>0</v>
      </c>
      <c r="P403" s="24">
        <v>0</v>
      </c>
      <c r="Q403" s="24">
        <v>7000</v>
      </c>
      <c r="R403" s="24">
        <v>0</v>
      </c>
      <c r="S403" s="24">
        <v>75000</v>
      </c>
      <c r="T403" s="24">
        <v>0</v>
      </c>
      <c r="U403" s="24">
        <v>0</v>
      </c>
      <c r="V403" s="24">
        <v>45000</v>
      </c>
      <c r="W403" s="24">
        <v>0</v>
      </c>
      <c r="X403" s="24">
        <v>0</v>
      </c>
      <c r="Y403" s="24">
        <v>1373000</v>
      </c>
      <c r="Z403" s="24">
        <f t="shared" si="20"/>
        <v>1500000</v>
      </c>
      <c r="AB403" s="25">
        <v>1500000</v>
      </c>
      <c r="AC403" s="26">
        <v>1500000</v>
      </c>
      <c r="AD403" s="24">
        <v>0</v>
      </c>
      <c r="AE403" s="27">
        <f>_xlfn.XLOOKUP(B403,'Projects Cashflow'!$B:$B,'Projects Cashflow'!$AG:$AG,0)</f>
        <v>1500000</v>
      </c>
      <c r="AF403" s="28">
        <f t="shared" si="21"/>
        <v>0</v>
      </c>
    </row>
    <row r="404" spans="2:32" x14ac:dyDescent="0.3">
      <c r="B404" s="14" t="str">
        <f t="shared" si="19"/>
        <v>45112504511001038Manpower-N424521200104</v>
      </c>
      <c r="C404" s="21" t="s">
        <v>65</v>
      </c>
      <c r="D404" s="22">
        <v>4511250</v>
      </c>
      <c r="E404" s="21" t="s">
        <v>66</v>
      </c>
      <c r="F404" s="22">
        <v>4511001038</v>
      </c>
      <c r="G404" s="21" t="s">
        <v>3018</v>
      </c>
      <c r="H404" s="21" t="s">
        <v>98</v>
      </c>
      <c r="I404" s="22">
        <v>424521</v>
      </c>
      <c r="J404" s="22">
        <v>200104</v>
      </c>
      <c r="K404" s="22" t="s">
        <v>2959</v>
      </c>
      <c r="L404" s="22">
        <v>70205</v>
      </c>
      <c r="M404" s="23" t="s">
        <v>2961</v>
      </c>
      <c r="N404" s="24">
        <v>0</v>
      </c>
      <c r="O404" s="24">
        <v>0</v>
      </c>
      <c r="P404" s="24">
        <v>0</v>
      </c>
      <c r="Q404" s="24">
        <v>159190</v>
      </c>
      <c r="R404" s="24">
        <v>94595</v>
      </c>
      <c r="S404" s="24">
        <v>94595</v>
      </c>
      <c r="T404" s="24">
        <v>94595</v>
      </c>
      <c r="U404" s="24">
        <v>94595</v>
      </c>
      <c r="V404" s="24">
        <v>41869</v>
      </c>
      <c r="W404" s="24">
        <v>0</v>
      </c>
      <c r="X404" s="24">
        <v>0</v>
      </c>
      <c r="Y404" s="24">
        <v>0</v>
      </c>
      <c r="Z404" s="24">
        <f t="shared" si="20"/>
        <v>579439</v>
      </c>
      <c r="AB404" s="25">
        <v>579439</v>
      </c>
      <c r="AC404" s="26">
        <v>579439</v>
      </c>
      <c r="AD404" s="24">
        <v>0</v>
      </c>
      <c r="AE404" s="27">
        <f>_xlfn.XLOOKUP(B404,'Projects Cashflow'!$B:$B,'Projects Cashflow'!$AG:$AG,0)</f>
        <v>579439</v>
      </c>
      <c r="AF404" s="28">
        <f t="shared" si="21"/>
        <v>0</v>
      </c>
    </row>
    <row r="405" spans="2:32" x14ac:dyDescent="0.3">
      <c r="B405" s="14" t="str">
        <f t="shared" si="19"/>
        <v>45112504511001038Admin Expenses-N1421125200104</v>
      </c>
      <c r="C405" s="21" t="s">
        <v>65</v>
      </c>
      <c r="D405" s="22">
        <v>4511250</v>
      </c>
      <c r="E405" s="21" t="s">
        <v>66</v>
      </c>
      <c r="F405" s="22">
        <v>4511001038</v>
      </c>
      <c r="G405" s="21" t="s">
        <v>3018</v>
      </c>
      <c r="H405" s="21" t="s">
        <v>73</v>
      </c>
      <c r="I405" s="22">
        <v>421125</v>
      </c>
      <c r="J405" s="22">
        <v>200104</v>
      </c>
      <c r="K405" s="22" t="s">
        <v>2959</v>
      </c>
      <c r="L405" s="22">
        <v>70205</v>
      </c>
      <c r="M405" s="23" t="s">
        <v>2961</v>
      </c>
      <c r="N405" s="24">
        <v>0</v>
      </c>
      <c r="O405" s="24">
        <v>0</v>
      </c>
      <c r="P405" s="24">
        <v>0</v>
      </c>
      <c r="Q405" s="24">
        <v>89000</v>
      </c>
      <c r="R405" s="24">
        <v>22250</v>
      </c>
      <c r="S405" s="24">
        <v>22250</v>
      </c>
      <c r="T405" s="24">
        <v>22250</v>
      </c>
      <c r="U405" s="24">
        <v>22250</v>
      </c>
      <c r="V405" s="24">
        <v>47250.44</v>
      </c>
      <c r="W405" s="24">
        <v>66750</v>
      </c>
      <c r="X405" s="24">
        <v>64410</v>
      </c>
      <c r="Y405" s="24">
        <v>87569</v>
      </c>
      <c r="Z405" s="24">
        <f t="shared" si="20"/>
        <v>443979.44</v>
      </c>
      <c r="AB405" s="25">
        <v>443979.44</v>
      </c>
      <c r="AC405" s="26">
        <v>443979</v>
      </c>
      <c r="AD405" s="24">
        <v>0.44000000000232831</v>
      </c>
      <c r="AE405" s="27">
        <f>_xlfn.XLOOKUP(B405,'Projects Cashflow'!$B:$B,'Projects Cashflow'!$AG:$AG,0)</f>
        <v>443979</v>
      </c>
      <c r="AF405" s="28">
        <f t="shared" si="21"/>
        <v>-0.44000000000232831</v>
      </c>
    </row>
    <row r="406" spans="2:32" x14ac:dyDescent="0.3">
      <c r="B406" s="14" t="str">
        <f t="shared" si="19"/>
        <v>45112504511001038FM Mgmnt (E-E)-N426212200104</v>
      </c>
      <c r="C406" s="21" t="s">
        <v>65</v>
      </c>
      <c r="D406" s="22">
        <v>4511250</v>
      </c>
      <c r="E406" s="21" t="s">
        <v>66</v>
      </c>
      <c r="F406" s="22">
        <v>4511001038</v>
      </c>
      <c r="G406" s="21" t="s">
        <v>3018</v>
      </c>
      <c r="H406" s="21" t="s">
        <v>380</v>
      </c>
      <c r="I406" s="22">
        <v>426212</v>
      </c>
      <c r="J406" s="22">
        <v>200104</v>
      </c>
      <c r="K406" s="22" t="s">
        <v>2959</v>
      </c>
      <c r="L406" s="22">
        <v>70205</v>
      </c>
      <c r="M406" s="23" t="s">
        <v>2961</v>
      </c>
      <c r="N406" s="24">
        <v>0</v>
      </c>
      <c r="O406" s="24">
        <v>0</v>
      </c>
      <c r="P406" s="24">
        <v>0</v>
      </c>
      <c r="Q406" s="24">
        <v>103043.44</v>
      </c>
      <c r="R406" s="24">
        <v>25760.86</v>
      </c>
      <c r="S406" s="24">
        <v>25760.86</v>
      </c>
      <c r="T406" s="24">
        <v>25760.86</v>
      </c>
      <c r="U406" s="24">
        <v>25760.86</v>
      </c>
      <c r="V406" s="24">
        <v>25760.86</v>
      </c>
      <c r="W406" s="24">
        <v>25760.86</v>
      </c>
      <c r="X406" s="24">
        <v>25760.86</v>
      </c>
      <c r="Y406" s="24">
        <v>18131</v>
      </c>
      <c r="Z406" s="24">
        <f t="shared" si="20"/>
        <v>301500.45999999996</v>
      </c>
      <c r="AB406" s="25">
        <v>301500.45999999996</v>
      </c>
      <c r="AC406" s="26">
        <v>301500</v>
      </c>
      <c r="AD406" s="24">
        <v>0.4599999999627471</v>
      </c>
      <c r="AE406" s="27">
        <f>_xlfn.XLOOKUP(B406,'Projects Cashflow'!$B:$B,'Projects Cashflow'!$AG:$AG,0)</f>
        <v>301500</v>
      </c>
      <c r="AF406" s="28">
        <f t="shared" si="21"/>
        <v>-0.4599999999627471</v>
      </c>
    </row>
    <row r="407" spans="2:32" x14ac:dyDescent="0.3">
      <c r="B407" s="14" t="str">
        <f t="shared" si="19"/>
        <v>45112504511001038Freelancers-N424521200104</v>
      </c>
      <c r="C407" s="21" t="s">
        <v>65</v>
      </c>
      <c r="D407" s="22">
        <v>4511250</v>
      </c>
      <c r="E407" s="21" t="s">
        <v>66</v>
      </c>
      <c r="F407" s="22">
        <v>4511001038</v>
      </c>
      <c r="G407" s="21" t="s">
        <v>3018</v>
      </c>
      <c r="H407" s="21" t="s">
        <v>50</v>
      </c>
      <c r="I407" s="22">
        <v>424521</v>
      </c>
      <c r="J407" s="22">
        <v>200104</v>
      </c>
      <c r="K407" s="22" t="s">
        <v>2959</v>
      </c>
      <c r="L407" s="22">
        <v>70205</v>
      </c>
      <c r="M407" s="23" t="s">
        <v>2961</v>
      </c>
      <c r="N407" s="24">
        <v>0</v>
      </c>
      <c r="O407" s="24">
        <v>0</v>
      </c>
      <c r="P407" s="24">
        <v>0</v>
      </c>
      <c r="Q407" s="24">
        <v>60000</v>
      </c>
      <c r="R407" s="24">
        <v>15000</v>
      </c>
      <c r="S407" s="24">
        <v>15000</v>
      </c>
      <c r="T407" s="24">
        <v>15000</v>
      </c>
      <c r="U407" s="24">
        <v>15000</v>
      </c>
      <c r="V407" s="24">
        <v>15000</v>
      </c>
      <c r="W407" s="24">
        <v>0</v>
      </c>
      <c r="X407" s="24">
        <v>0</v>
      </c>
      <c r="Y407" s="24">
        <v>0</v>
      </c>
      <c r="Z407" s="24">
        <f t="shared" si="20"/>
        <v>135000</v>
      </c>
      <c r="AB407" s="25">
        <v>135000</v>
      </c>
      <c r="AC407" s="26">
        <v>135000</v>
      </c>
      <c r="AD407" s="24">
        <v>0</v>
      </c>
      <c r="AE407" s="27">
        <f>_xlfn.XLOOKUP(B407,'Projects Cashflow'!$B:$B,'Projects Cashflow'!$AG:$AG,0)</f>
        <v>135000</v>
      </c>
      <c r="AF407" s="28">
        <f t="shared" si="21"/>
        <v>0</v>
      </c>
    </row>
    <row r="408" spans="2:32" x14ac:dyDescent="0.3">
      <c r="B408" s="14" t="str">
        <f t="shared" si="19"/>
        <v>45112504511001038Utilities-N423931200104</v>
      </c>
      <c r="C408" s="21" t="s">
        <v>65</v>
      </c>
      <c r="D408" s="22">
        <v>4511250</v>
      </c>
      <c r="E408" s="21" t="s">
        <v>66</v>
      </c>
      <c r="F408" s="22">
        <v>4511001038</v>
      </c>
      <c r="G408" s="21" t="s">
        <v>3018</v>
      </c>
      <c r="H408" s="21" t="s">
        <v>110</v>
      </c>
      <c r="I408" s="22">
        <v>423931</v>
      </c>
      <c r="J408" s="22">
        <v>200104</v>
      </c>
      <c r="K408" s="22" t="s">
        <v>2959</v>
      </c>
      <c r="L408" s="41">
        <v>0</v>
      </c>
      <c r="M408" s="23" t="s">
        <v>2961</v>
      </c>
      <c r="N408" s="24">
        <v>0</v>
      </c>
      <c r="O408" s="24">
        <v>0</v>
      </c>
      <c r="P408" s="24">
        <v>0</v>
      </c>
      <c r="Q408" s="24">
        <v>0</v>
      </c>
      <c r="R408" s="24">
        <v>0</v>
      </c>
      <c r="S408" s="24">
        <v>0</v>
      </c>
      <c r="T408" s="24">
        <v>2</v>
      </c>
      <c r="U408" s="24">
        <v>0</v>
      </c>
      <c r="V408" s="24">
        <v>0</v>
      </c>
      <c r="W408" s="24">
        <v>0</v>
      </c>
      <c r="X408" s="24">
        <v>0</v>
      </c>
      <c r="Y408" s="24">
        <v>0</v>
      </c>
      <c r="Z408" s="24">
        <f t="shared" si="20"/>
        <v>2</v>
      </c>
      <c r="AB408" s="25">
        <v>2</v>
      </c>
      <c r="AC408" s="26">
        <v>0</v>
      </c>
      <c r="AD408" s="24">
        <v>2</v>
      </c>
      <c r="AE408" s="27">
        <f>_xlfn.XLOOKUP(B408,'Projects Cashflow'!$B:$B,'Projects Cashflow'!$AG:$AG,0)</f>
        <v>0</v>
      </c>
      <c r="AF408" s="28">
        <f t="shared" si="21"/>
        <v>-2</v>
      </c>
    </row>
    <row r="409" spans="2:32" x14ac:dyDescent="0.3">
      <c r="B409" s="14" t="str">
        <f t="shared" si="19"/>
        <v>45112504511001261Lease Improve-N490600300105</v>
      </c>
      <c r="C409" s="21" t="s">
        <v>65</v>
      </c>
      <c r="D409" s="22">
        <v>4511250</v>
      </c>
      <c r="E409" s="21" t="s">
        <v>66</v>
      </c>
      <c r="F409" s="22">
        <v>4511001261</v>
      </c>
      <c r="G409" s="21" t="s">
        <v>1512</v>
      </c>
      <c r="H409" s="21" t="s">
        <v>89</v>
      </c>
      <c r="I409" s="22">
        <v>490600</v>
      </c>
      <c r="J409" s="22">
        <v>300105</v>
      </c>
      <c r="K409" s="22" t="s">
        <v>2972</v>
      </c>
      <c r="L409" s="22">
        <v>70205</v>
      </c>
      <c r="M409" s="23" t="s">
        <v>2961</v>
      </c>
      <c r="N409" s="24">
        <v>0</v>
      </c>
      <c r="O409" s="24">
        <v>0</v>
      </c>
      <c r="P409" s="24">
        <v>0</v>
      </c>
      <c r="Q409" s="24">
        <v>0</v>
      </c>
      <c r="R409" s="24">
        <v>0</v>
      </c>
      <c r="S409" s="24">
        <v>2249201</v>
      </c>
      <c r="T409" s="24">
        <v>0</v>
      </c>
      <c r="U409" s="24">
        <v>0</v>
      </c>
      <c r="V409" s="24">
        <v>0</v>
      </c>
      <c r="W409" s="24">
        <v>0</v>
      </c>
      <c r="X409" s="24">
        <v>0</v>
      </c>
      <c r="Y409" s="24">
        <v>2249201</v>
      </c>
      <c r="Z409" s="24">
        <f t="shared" si="20"/>
        <v>4498402</v>
      </c>
      <c r="AB409" s="25">
        <v>8883402</v>
      </c>
      <c r="AC409" s="26">
        <v>8883402</v>
      </c>
      <c r="AD409" s="24">
        <v>0</v>
      </c>
      <c r="AE409" s="27">
        <f>_xlfn.XLOOKUP(B409,'Projects Cashflow'!$B:$B,'Projects Cashflow'!$AG:$AG,0)</f>
        <v>8883402</v>
      </c>
      <c r="AF409" s="28">
        <f t="shared" si="21"/>
        <v>0</v>
      </c>
    </row>
    <row r="410" spans="2:32" x14ac:dyDescent="0.3">
      <c r="B410" s="14" t="str">
        <f t="shared" si="19"/>
        <v>45112504511001261Activation&amp;Prog-N422401200104</v>
      </c>
      <c r="C410" s="21" t="s">
        <v>65</v>
      </c>
      <c r="D410" s="22">
        <v>4511250</v>
      </c>
      <c r="E410" s="21" t="s">
        <v>66</v>
      </c>
      <c r="F410" s="22">
        <v>4511001261</v>
      </c>
      <c r="G410" s="21" t="s">
        <v>1512</v>
      </c>
      <c r="H410" s="21" t="s">
        <v>62</v>
      </c>
      <c r="I410" s="22">
        <v>422401</v>
      </c>
      <c r="J410" s="22">
        <v>200104</v>
      </c>
      <c r="K410" s="22" t="s">
        <v>2959</v>
      </c>
      <c r="L410" s="22">
        <v>70205</v>
      </c>
      <c r="M410" s="23" t="s">
        <v>2961</v>
      </c>
      <c r="N410" s="24">
        <v>0</v>
      </c>
      <c r="O410" s="24">
        <v>0</v>
      </c>
      <c r="P410" s="24">
        <v>0</v>
      </c>
      <c r="Q410" s="24">
        <v>1600000</v>
      </c>
      <c r="R410" s="24">
        <v>100000</v>
      </c>
      <c r="S410" s="24">
        <v>0</v>
      </c>
      <c r="T410" s="24">
        <v>0</v>
      </c>
      <c r="U410" s="24">
        <v>0</v>
      </c>
      <c r="V410" s="24">
        <v>0</v>
      </c>
      <c r="W410" s="24">
        <v>525184</v>
      </c>
      <c r="X410" s="24">
        <v>0</v>
      </c>
      <c r="Y410" s="24">
        <v>0</v>
      </c>
      <c r="Z410" s="24">
        <f t="shared" si="20"/>
        <v>2225184</v>
      </c>
      <c r="AB410" s="25">
        <v>2225184</v>
      </c>
      <c r="AC410" s="26">
        <v>2225184.2000000002</v>
      </c>
      <c r="AD410" s="24">
        <v>-0.20000000018626451</v>
      </c>
      <c r="AE410" s="27">
        <f>_xlfn.XLOOKUP(B410,'Projects Cashflow'!$B:$B,'Projects Cashflow'!$AG:$AG,0)</f>
        <v>2225184.2000000002</v>
      </c>
      <c r="AF410" s="28">
        <f t="shared" si="21"/>
        <v>0.20000000018626451</v>
      </c>
    </row>
    <row r="411" spans="2:32" x14ac:dyDescent="0.3">
      <c r="B411" s="14" t="str">
        <f t="shared" si="19"/>
        <v>45112504511001261Manpower-N424521200104</v>
      </c>
      <c r="C411" s="21" t="s">
        <v>65</v>
      </c>
      <c r="D411" s="22">
        <v>4511250</v>
      </c>
      <c r="E411" s="21" t="s">
        <v>66</v>
      </c>
      <c r="F411" s="22">
        <v>4511001261</v>
      </c>
      <c r="G411" s="21" t="s">
        <v>1512</v>
      </c>
      <c r="H411" s="21" t="s">
        <v>98</v>
      </c>
      <c r="I411" s="22">
        <v>424521</v>
      </c>
      <c r="J411" s="22">
        <v>200104</v>
      </c>
      <c r="K411" s="22" t="s">
        <v>2959</v>
      </c>
      <c r="L411" s="22">
        <v>70205</v>
      </c>
      <c r="M411" s="23" t="s">
        <v>2961</v>
      </c>
      <c r="N411" s="24">
        <v>0</v>
      </c>
      <c r="O411" s="24">
        <v>0</v>
      </c>
      <c r="P411" s="24">
        <v>0</v>
      </c>
      <c r="Q411" s="24">
        <v>358155.24</v>
      </c>
      <c r="R411" s="24">
        <v>179077.62</v>
      </c>
      <c r="S411" s="24">
        <v>179077.62</v>
      </c>
      <c r="T411" s="24">
        <v>179077.62</v>
      </c>
      <c r="U411" s="24">
        <v>179077.62</v>
      </c>
      <c r="V411" s="24">
        <v>179077.62</v>
      </c>
      <c r="W411" s="24">
        <v>179077.62</v>
      </c>
      <c r="X411" s="24">
        <v>384921</v>
      </c>
      <c r="Y411" s="24">
        <v>384922</v>
      </c>
      <c r="Z411" s="24">
        <f t="shared" si="20"/>
        <v>2202463.96</v>
      </c>
      <c r="AB411" s="25">
        <v>2202463.96</v>
      </c>
      <c r="AC411" s="26">
        <v>2202464</v>
      </c>
      <c r="AD411" s="24">
        <v>-4.0000000037252903E-2</v>
      </c>
      <c r="AE411" s="27">
        <f>_xlfn.XLOOKUP(B411,'Projects Cashflow'!$B:$B,'Projects Cashflow'!$AG:$AG,0)</f>
        <v>2202464</v>
      </c>
      <c r="AF411" s="28">
        <f t="shared" si="21"/>
        <v>4.0000000037252903E-2</v>
      </c>
    </row>
    <row r="412" spans="2:32" x14ac:dyDescent="0.3">
      <c r="B412" s="14" t="str">
        <f t="shared" si="19"/>
        <v>45112504511001261Security Service-N424551200104</v>
      </c>
      <c r="C412" s="21" t="s">
        <v>65</v>
      </c>
      <c r="D412" s="22">
        <v>4511250</v>
      </c>
      <c r="E412" s="21" t="s">
        <v>66</v>
      </c>
      <c r="F412" s="22">
        <v>4511001261</v>
      </c>
      <c r="G412" s="21" t="s">
        <v>1512</v>
      </c>
      <c r="H412" s="21" t="s">
        <v>107</v>
      </c>
      <c r="I412" s="22">
        <v>424551</v>
      </c>
      <c r="J412" s="22">
        <v>200104</v>
      </c>
      <c r="K412" s="22" t="s">
        <v>2959</v>
      </c>
      <c r="L412" s="22">
        <v>70205</v>
      </c>
      <c r="M412" s="23" t="s">
        <v>2961</v>
      </c>
      <c r="N412" s="24">
        <v>0</v>
      </c>
      <c r="O412" s="24">
        <v>0</v>
      </c>
      <c r="P412" s="24">
        <v>0</v>
      </c>
      <c r="Q412" s="24">
        <v>128820</v>
      </c>
      <c r="R412" s="24">
        <v>32205</v>
      </c>
      <c r="S412" s="24">
        <v>32205</v>
      </c>
      <c r="T412" s="24">
        <v>32205</v>
      </c>
      <c r="U412" s="24">
        <v>32205</v>
      </c>
      <c r="V412" s="24">
        <v>32205</v>
      </c>
      <c r="W412" s="24">
        <v>33259</v>
      </c>
      <c r="X412" s="24">
        <v>0</v>
      </c>
      <c r="Y412" s="24">
        <v>0</v>
      </c>
      <c r="Z412" s="24">
        <f t="shared" si="20"/>
        <v>323104</v>
      </c>
      <c r="AB412" s="25">
        <v>323104</v>
      </c>
      <c r="AC412" s="26">
        <v>323103.59999999998</v>
      </c>
      <c r="AD412" s="24">
        <v>0.40000000002328306</v>
      </c>
      <c r="AE412" s="27">
        <f>_xlfn.XLOOKUP(B412,'Projects Cashflow'!$B:$B,'Projects Cashflow'!$AG:$AG,0)</f>
        <v>323103.59999999998</v>
      </c>
      <c r="AF412" s="28">
        <f t="shared" si="21"/>
        <v>-0.40000000002328306</v>
      </c>
    </row>
    <row r="413" spans="2:32" x14ac:dyDescent="0.3">
      <c r="B413" s="14" t="str">
        <f t="shared" si="19"/>
        <v>45112504511001261Freelancers-N424521200104</v>
      </c>
      <c r="C413" s="21" t="s">
        <v>65</v>
      </c>
      <c r="D413" s="22">
        <v>4511250</v>
      </c>
      <c r="E413" s="21" t="s">
        <v>66</v>
      </c>
      <c r="F413" s="22">
        <v>4511001261</v>
      </c>
      <c r="G413" s="21" t="s">
        <v>1512</v>
      </c>
      <c r="H413" s="21" t="s">
        <v>50</v>
      </c>
      <c r="I413" s="22">
        <v>424521</v>
      </c>
      <c r="J413" s="22">
        <v>200104</v>
      </c>
      <c r="K413" s="22" t="s">
        <v>2959</v>
      </c>
      <c r="L413" s="22">
        <v>70205</v>
      </c>
      <c r="M413" s="23" t="s">
        <v>2961</v>
      </c>
      <c r="N413" s="24">
        <v>0</v>
      </c>
      <c r="O413" s="24">
        <v>0</v>
      </c>
      <c r="P413" s="24">
        <v>84498.7</v>
      </c>
      <c r="Q413" s="24">
        <v>215501.3</v>
      </c>
      <c r="R413" s="24">
        <v>14000</v>
      </c>
      <c r="S413" s="24">
        <v>0</v>
      </c>
      <c r="T413" s="24">
        <v>0</v>
      </c>
      <c r="U413" s="24">
        <v>0</v>
      </c>
      <c r="V413" s="24">
        <v>0</v>
      </c>
      <c r="W413" s="24">
        <v>0</v>
      </c>
      <c r="X413" s="24">
        <v>0</v>
      </c>
      <c r="Y413" s="24">
        <v>0</v>
      </c>
      <c r="Z413" s="24">
        <f t="shared" si="20"/>
        <v>314000</v>
      </c>
      <c r="AB413" s="25">
        <v>314000</v>
      </c>
      <c r="AC413" s="26">
        <v>314000</v>
      </c>
      <c r="AD413" s="24">
        <v>0</v>
      </c>
      <c r="AE413" s="27">
        <f>_xlfn.XLOOKUP(B413,'Projects Cashflow'!$B:$B,'Projects Cashflow'!$AG:$AG,0)</f>
        <v>314000</v>
      </c>
      <c r="AF413" s="28">
        <f t="shared" si="21"/>
        <v>0</v>
      </c>
    </row>
    <row r="414" spans="2:32" x14ac:dyDescent="0.3">
      <c r="B414" s="14" t="str">
        <f t="shared" si="19"/>
        <v>45112504511001261Utilities-N423931200104</v>
      </c>
      <c r="C414" s="21" t="s">
        <v>65</v>
      </c>
      <c r="D414" s="22">
        <v>4511250</v>
      </c>
      <c r="E414" s="21" t="s">
        <v>66</v>
      </c>
      <c r="F414" s="22">
        <v>4511001261</v>
      </c>
      <c r="G414" s="21" t="s">
        <v>1512</v>
      </c>
      <c r="H414" s="21" t="s">
        <v>110</v>
      </c>
      <c r="I414" s="22">
        <v>423931</v>
      </c>
      <c r="J414" s="22">
        <v>200104</v>
      </c>
      <c r="K414" s="22" t="s">
        <v>2959</v>
      </c>
      <c r="L414" s="22">
        <v>70205</v>
      </c>
      <c r="M414" s="23" t="s">
        <v>2961</v>
      </c>
      <c r="N414" s="24">
        <v>0</v>
      </c>
      <c r="O414" s="24">
        <v>0</v>
      </c>
      <c r="P414" s="24">
        <v>0</v>
      </c>
      <c r="Q414" s="24">
        <v>82500</v>
      </c>
      <c r="R414" s="24">
        <v>20625</v>
      </c>
      <c r="S414" s="24">
        <v>20625</v>
      </c>
      <c r="T414" s="24">
        <v>20625</v>
      </c>
      <c r="U414" s="24">
        <v>20625</v>
      </c>
      <c r="V414" s="24">
        <v>20625</v>
      </c>
      <c r="W414" s="24">
        <v>20625</v>
      </c>
      <c r="X414" s="24">
        <v>20625</v>
      </c>
      <c r="Y414" s="24">
        <v>20625</v>
      </c>
      <c r="Z414" s="24">
        <f t="shared" si="20"/>
        <v>247500</v>
      </c>
      <c r="AB414" s="25">
        <v>247500</v>
      </c>
      <c r="AC414" s="26">
        <v>247500</v>
      </c>
      <c r="AD414" s="24">
        <v>0</v>
      </c>
      <c r="AE414" s="27">
        <f>_xlfn.XLOOKUP(B414,'Projects Cashflow'!$B:$B,'Projects Cashflow'!$AG:$AG,0)</f>
        <v>247500</v>
      </c>
      <c r="AF414" s="28">
        <f t="shared" si="21"/>
        <v>0</v>
      </c>
    </row>
    <row r="415" spans="2:32" x14ac:dyDescent="0.3">
      <c r="B415" s="14" t="str">
        <f t="shared" si="19"/>
        <v>45112504511000623Maintenance-N426212200104</v>
      </c>
      <c r="C415" s="21" t="s">
        <v>65</v>
      </c>
      <c r="D415" s="22">
        <v>4511250</v>
      </c>
      <c r="E415" s="21" t="s">
        <v>66</v>
      </c>
      <c r="F415" s="22">
        <v>4511000623</v>
      </c>
      <c r="G415" s="21" t="s">
        <v>3014</v>
      </c>
      <c r="H415" s="21" t="s">
        <v>95</v>
      </c>
      <c r="I415" s="22">
        <v>426212</v>
      </c>
      <c r="J415" s="22">
        <v>200104</v>
      </c>
      <c r="K415" s="22" t="s">
        <v>2959</v>
      </c>
      <c r="L415" s="22">
        <v>70205</v>
      </c>
      <c r="M415" s="23" t="s">
        <v>2961</v>
      </c>
      <c r="N415" s="24">
        <v>0</v>
      </c>
      <c r="O415" s="24">
        <v>0</v>
      </c>
      <c r="P415" s="24">
        <v>0</v>
      </c>
      <c r="Q415" s="24">
        <v>38404</v>
      </c>
      <c r="R415" s="24">
        <v>9601</v>
      </c>
      <c r="S415" s="24">
        <v>9601</v>
      </c>
      <c r="T415" s="24">
        <v>9601</v>
      </c>
      <c r="U415" s="24">
        <v>9604</v>
      </c>
      <c r="V415" s="24">
        <v>9601</v>
      </c>
      <c r="W415" s="24">
        <v>9601</v>
      </c>
      <c r="X415" s="24">
        <v>7538</v>
      </c>
      <c r="Y415" s="24">
        <v>0</v>
      </c>
      <c r="Z415" s="24">
        <f t="shared" si="20"/>
        <v>103551</v>
      </c>
      <c r="AB415" s="25">
        <v>103551</v>
      </c>
      <c r="AC415" s="26">
        <v>103550.66</v>
      </c>
      <c r="AD415" s="24">
        <v>0.33999999999650754</v>
      </c>
      <c r="AE415" s="27">
        <f>_xlfn.XLOOKUP(B415,'Projects Cashflow'!$B:$B,'Projects Cashflow'!$AG:$AG,0)</f>
        <v>103550.66</v>
      </c>
      <c r="AF415" s="28">
        <f t="shared" si="21"/>
        <v>-0.33999999999650754</v>
      </c>
    </row>
    <row r="416" spans="2:32" x14ac:dyDescent="0.3">
      <c r="B416" s="14" t="str">
        <f t="shared" si="19"/>
        <v>45112504511001261Admin Expenses-N1421125200104</v>
      </c>
      <c r="C416" s="21" t="s">
        <v>65</v>
      </c>
      <c r="D416" s="22">
        <v>4511250</v>
      </c>
      <c r="E416" s="21" t="s">
        <v>66</v>
      </c>
      <c r="F416" s="22">
        <v>4511001261</v>
      </c>
      <c r="G416" s="21" t="s">
        <v>1512</v>
      </c>
      <c r="H416" s="21" t="s">
        <v>73</v>
      </c>
      <c r="I416" s="22">
        <v>421125</v>
      </c>
      <c r="J416" s="22">
        <v>200104</v>
      </c>
      <c r="K416" s="22" t="s">
        <v>2959</v>
      </c>
      <c r="L416" s="22">
        <v>70205</v>
      </c>
      <c r="M416" s="23" t="s">
        <v>2961</v>
      </c>
      <c r="N416" s="24">
        <v>0</v>
      </c>
      <c r="O416" s="24">
        <v>0</v>
      </c>
      <c r="P416" s="24">
        <v>0</v>
      </c>
      <c r="Q416" s="24">
        <v>54000</v>
      </c>
      <c r="R416" s="24">
        <v>13500</v>
      </c>
      <c r="S416" s="24">
        <v>13500</v>
      </c>
      <c r="T416" s="24">
        <v>13500</v>
      </c>
      <c r="U416" s="24">
        <v>13500</v>
      </c>
      <c r="V416" s="24">
        <v>13500</v>
      </c>
      <c r="W416" s="24">
        <v>13500</v>
      </c>
      <c r="X416" s="24">
        <v>13500</v>
      </c>
      <c r="Y416" s="24">
        <v>13500</v>
      </c>
      <c r="Z416" s="24">
        <f t="shared" si="20"/>
        <v>162000</v>
      </c>
      <c r="AB416" s="25">
        <v>162000</v>
      </c>
      <c r="AC416" s="26">
        <v>162000</v>
      </c>
      <c r="AD416" s="24">
        <v>0</v>
      </c>
      <c r="AE416" s="27">
        <f>_xlfn.XLOOKUP(B416,'Projects Cashflow'!$B:$B,'Projects Cashflow'!$AG:$AG,0)</f>
        <v>162000</v>
      </c>
      <c r="AF416" s="28">
        <f t="shared" si="21"/>
        <v>0</v>
      </c>
    </row>
    <row r="417" spans="2:32" x14ac:dyDescent="0.3">
      <c r="B417" s="14" t="str">
        <f t="shared" si="19"/>
        <v>45112504511001261Ad-hoc Repairs-N426427200104</v>
      </c>
      <c r="C417" s="21" t="s">
        <v>65</v>
      </c>
      <c r="D417" s="22">
        <v>4511250</v>
      </c>
      <c r="E417" s="21" t="s">
        <v>66</v>
      </c>
      <c r="F417" s="22">
        <v>4511001261</v>
      </c>
      <c r="G417" s="21" t="s">
        <v>1512</v>
      </c>
      <c r="H417" s="21" t="s">
        <v>70</v>
      </c>
      <c r="I417" s="22">
        <v>426427</v>
      </c>
      <c r="J417" s="22">
        <v>200104</v>
      </c>
      <c r="K417" s="22" t="s">
        <v>2959</v>
      </c>
      <c r="L417" s="22">
        <v>70205</v>
      </c>
      <c r="M417" s="23" t="s">
        <v>2961</v>
      </c>
      <c r="N417" s="24">
        <v>0</v>
      </c>
      <c r="O417" s="24">
        <v>0</v>
      </c>
      <c r="P417" s="24">
        <v>0</v>
      </c>
      <c r="Q417" s="24">
        <v>39240</v>
      </c>
      <c r="R417" s="24">
        <v>9810</v>
      </c>
      <c r="S417" s="24">
        <v>9810</v>
      </c>
      <c r="T417" s="24">
        <v>9810</v>
      </c>
      <c r="U417" s="24">
        <v>9810</v>
      </c>
      <c r="V417" s="24">
        <v>9810</v>
      </c>
      <c r="W417" s="24">
        <v>9810</v>
      </c>
      <c r="X417" s="24">
        <v>9810</v>
      </c>
      <c r="Y417" s="24">
        <v>9810</v>
      </c>
      <c r="Z417" s="24">
        <f t="shared" si="20"/>
        <v>117720</v>
      </c>
      <c r="AB417" s="25">
        <v>117720</v>
      </c>
      <c r="AC417" s="26">
        <v>117720</v>
      </c>
      <c r="AD417" s="24">
        <v>0</v>
      </c>
      <c r="AE417" s="27">
        <f>_xlfn.XLOOKUP(B417,'Projects Cashflow'!$B:$B,'Projects Cashflow'!$AG:$AG,0)</f>
        <v>117720</v>
      </c>
      <c r="AF417" s="28">
        <f t="shared" si="21"/>
        <v>0</v>
      </c>
    </row>
    <row r="418" spans="2:32" x14ac:dyDescent="0.3">
      <c r="B418" s="14" t="str">
        <f t="shared" si="19"/>
        <v>45112504511001261Cleaning Service-N422311200104</v>
      </c>
      <c r="C418" s="21" t="s">
        <v>65</v>
      </c>
      <c r="D418" s="22">
        <v>4511250</v>
      </c>
      <c r="E418" s="21" t="s">
        <v>66</v>
      </c>
      <c r="F418" s="22">
        <v>4511001261</v>
      </c>
      <c r="G418" s="21" t="s">
        <v>1512</v>
      </c>
      <c r="H418" s="21" t="s">
        <v>79</v>
      </c>
      <c r="I418" s="22">
        <v>422311</v>
      </c>
      <c r="J418" s="22">
        <v>200104</v>
      </c>
      <c r="K418" s="22" t="s">
        <v>2959</v>
      </c>
      <c r="L418" s="22">
        <v>70205</v>
      </c>
      <c r="M418" s="23" t="s">
        <v>2961</v>
      </c>
      <c r="N418" s="24">
        <v>0</v>
      </c>
      <c r="O418" s="24">
        <v>0</v>
      </c>
      <c r="P418" s="24">
        <v>0</v>
      </c>
      <c r="Q418" s="24">
        <v>108000</v>
      </c>
      <c r="R418" s="24">
        <v>0</v>
      </c>
      <c r="S418" s="24">
        <v>0</v>
      </c>
      <c r="T418" s="24">
        <v>0</v>
      </c>
      <c r="U418" s="24">
        <v>0</v>
      </c>
      <c r="V418" s="24">
        <v>0</v>
      </c>
      <c r="W418" s="24">
        <v>0</v>
      </c>
      <c r="X418" s="24">
        <v>0</v>
      </c>
      <c r="Y418" s="24">
        <v>0</v>
      </c>
      <c r="Z418" s="24">
        <f t="shared" si="20"/>
        <v>108000</v>
      </c>
      <c r="AB418" s="25">
        <v>108000</v>
      </c>
      <c r="AC418" s="26">
        <v>108000</v>
      </c>
      <c r="AD418" s="24">
        <v>0</v>
      </c>
      <c r="AE418" s="27">
        <f>_xlfn.XLOOKUP(B418,'Projects Cashflow'!$B:$B,'Projects Cashflow'!$AG:$AG,0)</f>
        <v>108000</v>
      </c>
      <c r="AF418" s="28">
        <f t="shared" si="21"/>
        <v>0</v>
      </c>
    </row>
    <row r="419" spans="2:32" x14ac:dyDescent="0.3">
      <c r="B419" s="14" t="str">
        <f t="shared" si="19"/>
        <v>45112504511000527FM Mgmnt (E-E)-N426212200104</v>
      </c>
      <c r="C419" s="21" t="s">
        <v>65</v>
      </c>
      <c r="D419" s="22">
        <v>4511250</v>
      </c>
      <c r="E419" s="21" t="s">
        <v>66</v>
      </c>
      <c r="F419" s="22">
        <v>4511000527</v>
      </c>
      <c r="G419" s="21" t="s">
        <v>3010</v>
      </c>
      <c r="H419" s="21" t="s">
        <v>380</v>
      </c>
      <c r="I419" s="22">
        <v>426212</v>
      </c>
      <c r="J419" s="22">
        <v>200104</v>
      </c>
      <c r="K419" s="22" t="s">
        <v>2959</v>
      </c>
      <c r="L419" s="22">
        <v>70205</v>
      </c>
      <c r="M419" s="23" t="s">
        <v>2961</v>
      </c>
      <c r="N419" s="24">
        <v>0</v>
      </c>
      <c r="O419" s="24">
        <v>0</v>
      </c>
      <c r="P419" s="24">
        <v>0</v>
      </c>
      <c r="Q419" s="24">
        <v>27134</v>
      </c>
      <c r="R419" s="24">
        <v>6784</v>
      </c>
      <c r="S419" s="24">
        <v>6784</v>
      </c>
      <c r="T419" s="24">
        <v>6784</v>
      </c>
      <c r="U419" s="24">
        <v>6784</v>
      </c>
      <c r="V419" s="24">
        <v>6784</v>
      </c>
      <c r="W419" s="24">
        <v>6784</v>
      </c>
      <c r="X419" s="24">
        <v>6780</v>
      </c>
      <c r="Y419" s="24">
        <v>6784</v>
      </c>
      <c r="Z419" s="24">
        <f t="shared" si="20"/>
        <v>81402</v>
      </c>
      <c r="AB419" s="25">
        <v>81402</v>
      </c>
      <c r="AC419" s="26">
        <v>81402</v>
      </c>
      <c r="AD419" s="24">
        <v>0</v>
      </c>
      <c r="AE419" s="27">
        <f>_xlfn.XLOOKUP(B419,'Projects Cashflow'!$B:$B,'Projects Cashflow'!$AG:$AG,0)</f>
        <v>81402</v>
      </c>
      <c r="AF419" s="28">
        <f t="shared" si="21"/>
        <v>0</v>
      </c>
    </row>
    <row r="420" spans="2:32" x14ac:dyDescent="0.3">
      <c r="B420" s="14" t="str">
        <f t="shared" si="19"/>
        <v>45112504511001261Landscaping-N432614200104</v>
      </c>
      <c r="C420" s="21" t="s">
        <v>65</v>
      </c>
      <c r="D420" s="22">
        <v>4511250</v>
      </c>
      <c r="E420" s="21" t="s">
        <v>66</v>
      </c>
      <c r="F420" s="22">
        <v>4511001261</v>
      </c>
      <c r="G420" s="21" t="s">
        <v>1512</v>
      </c>
      <c r="H420" s="21" t="s">
        <v>86</v>
      </c>
      <c r="I420" s="22">
        <v>432614</v>
      </c>
      <c r="J420" s="22">
        <v>200104</v>
      </c>
      <c r="K420" s="22" t="s">
        <v>2959</v>
      </c>
      <c r="L420" s="22">
        <v>70205</v>
      </c>
      <c r="M420" s="23" t="s">
        <v>2961</v>
      </c>
      <c r="N420" s="24">
        <v>0</v>
      </c>
      <c r="O420" s="24">
        <v>0</v>
      </c>
      <c r="P420" s="24">
        <v>0</v>
      </c>
      <c r="Q420" s="24">
        <v>76571.92</v>
      </c>
      <c r="R420" s="24">
        <v>0</v>
      </c>
      <c r="S420" s="24">
        <v>0</v>
      </c>
      <c r="T420" s="24">
        <v>0</v>
      </c>
      <c r="U420" s="24">
        <v>0</v>
      </c>
      <c r="V420" s="24">
        <v>0</v>
      </c>
      <c r="W420" s="24">
        <v>0</v>
      </c>
      <c r="X420" s="24">
        <v>0</v>
      </c>
      <c r="Y420" s="24">
        <v>0</v>
      </c>
      <c r="Z420" s="24">
        <f t="shared" si="20"/>
        <v>76571.92</v>
      </c>
      <c r="AB420" s="25">
        <v>76571.92</v>
      </c>
      <c r="AC420" s="26">
        <v>76572</v>
      </c>
      <c r="AD420" s="24">
        <v>-8.000000000174623E-2</v>
      </c>
      <c r="AE420" s="27">
        <f>_xlfn.XLOOKUP(B420,'Projects Cashflow'!$B:$B,'Projects Cashflow'!$AG:$AG,0)</f>
        <v>76572</v>
      </c>
      <c r="AF420" s="28">
        <f t="shared" si="21"/>
        <v>8.000000000174623E-2</v>
      </c>
    </row>
    <row r="421" spans="2:32" x14ac:dyDescent="0.3">
      <c r="B421" s="14" t="str">
        <f t="shared" si="19"/>
        <v>45112504511001261Pest Control-N422321200104</v>
      </c>
      <c r="C421" s="21" t="s">
        <v>65</v>
      </c>
      <c r="D421" s="22">
        <v>4511250</v>
      </c>
      <c r="E421" s="21" t="s">
        <v>66</v>
      </c>
      <c r="F421" s="22">
        <v>4511001261</v>
      </c>
      <c r="G421" s="21" t="s">
        <v>1512</v>
      </c>
      <c r="H421" s="21" t="s">
        <v>103</v>
      </c>
      <c r="I421" s="22">
        <v>422321</v>
      </c>
      <c r="J421" s="22">
        <v>200104</v>
      </c>
      <c r="K421" s="22" t="s">
        <v>2959</v>
      </c>
      <c r="L421" s="22">
        <v>70205</v>
      </c>
      <c r="M421" s="23" t="s">
        <v>2961</v>
      </c>
      <c r="N421" s="24">
        <v>0</v>
      </c>
      <c r="O421" s="24">
        <v>0</v>
      </c>
      <c r="P421" s="24">
        <v>0</v>
      </c>
      <c r="Q421" s="24">
        <v>7500</v>
      </c>
      <c r="R421" s="24">
        <v>1875</v>
      </c>
      <c r="S421" s="24">
        <v>1875</v>
      </c>
      <c r="T421" s="24">
        <v>1875</v>
      </c>
      <c r="U421" s="24">
        <v>1875</v>
      </c>
      <c r="V421" s="24">
        <v>1875</v>
      </c>
      <c r="W421" s="24">
        <v>1875</v>
      </c>
      <c r="X421" s="24">
        <v>1875</v>
      </c>
      <c r="Y421" s="24">
        <v>1874</v>
      </c>
      <c r="Z421" s="24">
        <f t="shared" si="20"/>
        <v>22499</v>
      </c>
      <c r="AB421" s="25">
        <v>22499</v>
      </c>
      <c r="AC421" s="26">
        <v>22500</v>
      </c>
      <c r="AD421" s="24">
        <v>-1</v>
      </c>
      <c r="AE421" s="27">
        <f>_xlfn.XLOOKUP(B421,'Projects Cashflow'!$B:$B,'Projects Cashflow'!$AG:$AG,0)</f>
        <v>22500</v>
      </c>
      <c r="AF421" s="28">
        <f t="shared" si="21"/>
        <v>1</v>
      </c>
    </row>
    <row r="422" spans="2:32" x14ac:dyDescent="0.3">
      <c r="B422" s="14" t="str">
        <f t="shared" si="19"/>
        <v>45112504511001263Security Service-N424551200104</v>
      </c>
      <c r="C422" s="21" t="s">
        <v>65</v>
      </c>
      <c r="D422" s="22">
        <v>4511250</v>
      </c>
      <c r="E422" s="21" t="s">
        <v>66</v>
      </c>
      <c r="F422" s="22">
        <v>4511001263</v>
      </c>
      <c r="G422" s="21" t="s">
        <v>1514</v>
      </c>
      <c r="H422" s="21" t="s">
        <v>107</v>
      </c>
      <c r="I422" s="22">
        <v>424551</v>
      </c>
      <c r="J422" s="22">
        <v>200104</v>
      </c>
      <c r="K422" s="22" t="s">
        <v>2959</v>
      </c>
      <c r="L422" s="22">
        <v>70205</v>
      </c>
      <c r="M422" s="23" t="s">
        <v>2961</v>
      </c>
      <c r="N422" s="24">
        <v>0</v>
      </c>
      <c r="O422" s="24">
        <v>0</v>
      </c>
      <c r="P422" s="24">
        <v>0</v>
      </c>
      <c r="Q422" s="24">
        <v>60000</v>
      </c>
      <c r="R422" s="24">
        <v>15000</v>
      </c>
      <c r="S422" s="24">
        <v>15000</v>
      </c>
      <c r="T422" s="24">
        <v>15000</v>
      </c>
      <c r="U422" s="24">
        <v>15000</v>
      </c>
      <c r="V422" s="24">
        <v>15000</v>
      </c>
      <c r="W422" s="24">
        <v>15000</v>
      </c>
      <c r="X422" s="24">
        <v>15000</v>
      </c>
      <c r="Y422" s="24">
        <v>15000</v>
      </c>
      <c r="Z422" s="24">
        <f t="shared" si="20"/>
        <v>180000</v>
      </c>
      <c r="AB422" s="25">
        <v>180000</v>
      </c>
      <c r="AC422" s="26">
        <v>180000</v>
      </c>
      <c r="AD422" s="24">
        <v>0</v>
      </c>
      <c r="AE422" s="27">
        <f>_xlfn.XLOOKUP(B422,'Projects Cashflow'!$B:$B,'Projects Cashflow'!$AG:$AG,0)</f>
        <v>180000</v>
      </c>
      <c r="AF422" s="28">
        <f t="shared" si="21"/>
        <v>0</v>
      </c>
    </row>
    <row r="423" spans="2:32" x14ac:dyDescent="0.3">
      <c r="B423" s="14" t="str">
        <f t="shared" si="19"/>
        <v>45112504511001263Utilities-N423931200104</v>
      </c>
      <c r="C423" s="21" t="s">
        <v>65</v>
      </c>
      <c r="D423" s="22">
        <v>4511250</v>
      </c>
      <c r="E423" s="21" t="s">
        <v>66</v>
      </c>
      <c r="F423" s="22">
        <v>4511001263</v>
      </c>
      <c r="G423" s="21" t="s">
        <v>1514</v>
      </c>
      <c r="H423" s="21" t="s">
        <v>110</v>
      </c>
      <c r="I423" s="22">
        <v>423931</v>
      </c>
      <c r="J423" s="22">
        <v>200104</v>
      </c>
      <c r="K423" s="22" t="s">
        <v>2959</v>
      </c>
      <c r="L423" s="22">
        <v>70205</v>
      </c>
      <c r="M423" s="23" t="s">
        <v>2961</v>
      </c>
      <c r="N423" s="24">
        <v>0</v>
      </c>
      <c r="O423" s="24">
        <v>0</v>
      </c>
      <c r="P423" s="24">
        <v>0</v>
      </c>
      <c r="Q423" s="24">
        <v>23645</v>
      </c>
      <c r="R423" s="24">
        <v>11822.5</v>
      </c>
      <c r="S423" s="24">
        <v>11822.5</v>
      </c>
      <c r="T423" s="24">
        <v>11822.5</v>
      </c>
      <c r="U423" s="24">
        <v>11822.5</v>
      </c>
      <c r="V423" s="24">
        <v>11822.5</v>
      </c>
      <c r="W423" s="24">
        <v>11822.5</v>
      </c>
      <c r="X423" s="24">
        <v>11822.5</v>
      </c>
      <c r="Y423" s="24">
        <v>35467.5</v>
      </c>
      <c r="Z423" s="24">
        <f t="shared" si="20"/>
        <v>141870</v>
      </c>
      <c r="AB423" s="25">
        <v>141870</v>
      </c>
      <c r="AC423" s="26">
        <v>141875.10999999999</v>
      </c>
      <c r="AD423" s="24">
        <v>-5.1099999999860302</v>
      </c>
      <c r="AE423" s="27">
        <f>_xlfn.XLOOKUP(B423,'Projects Cashflow'!$B:$B,'Projects Cashflow'!$AG:$AG,0)</f>
        <v>141875.10999999999</v>
      </c>
      <c r="AF423" s="28">
        <f t="shared" si="21"/>
        <v>5.1099999999860302</v>
      </c>
    </row>
    <row r="424" spans="2:32" x14ac:dyDescent="0.3">
      <c r="B424" s="14" t="str">
        <f t="shared" si="19"/>
        <v>45112504511001263Ad-hoc Repairs-N426427200104</v>
      </c>
      <c r="C424" s="21" t="s">
        <v>65</v>
      </c>
      <c r="D424" s="22">
        <v>4511250</v>
      </c>
      <c r="E424" s="21" t="s">
        <v>66</v>
      </c>
      <c r="F424" s="22">
        <v>4511001263</v>
      </c>
      <c r="G424" s="21" t="s">
        <v>1514</v>
      </c>
      <c r="H424" s="21" t="s">
        <v>70</v>
      </c>
      <c r="I424" s="22">
        <v>426427</v>
      </c>
      <c r="J424" s="22">
        <v>200104</v>
      </c>
      <c r="K424" s="22" t="s">
        <v>2959</v>
      </c>
      <c r="L424" s="22">
        <v>70205</v>
      </c>
      <c r="M424" s="23" t="s">
        <v>2961</v>
      </c>
      <c r="N424" s="24">
        <v>0</v>
      </c>
      <c r="O424" s="24">
        <v>0</v>
      </c>
      <c r="P424" s="24">
        <v>0</v>
      </c>
      <c r="Q424" s="24">
        <v>24436</v>
      </c>
      <c r="R424" s="24">
        <v>6109</v>
      </c>
      <c r="S424" s="24">
        <v>6109</v>
      </c>
      <c r="T424" s="24">
        <v>6109</v>
      </c>
      <c r="U424" s="24">
        <v>6109</v>
      </c>
      <c r="V424" s="24">
        <v>6109</v>
      </c>
      <c r="W424" s="24">
        <v>6109</v>
      </c>
      <c r="X424" s="24">
        <v>6109</v>
      </c>
      <c r="Y424" s="24">
        <v>6110</v>
      </c>
      <c r="Z424" s="24">
        <f t="shared" si="20"/>
        <v>73309</v>
      </c>
      <c r="AB424" s="25">
        <v>73309</v>
      </c>
      <c r="AC424" s="26">
        <v>73310</v>
      </c>
      <c r="AD424" s="24">
        <v>-1</v>
      </c>
      <c r="AE424" s="27">
        <f>_xlfn.XLOOKUP(B424,'Projects Cashflow'!$B:$B,'Projects Cashflow'!$AG:$AG,0)</f>
        <v>73310</v>
      </c>
      <c r="AF424" s="28">
        <f t="shared" si="21"/>
        <v>1</v>
      </c>
    </row>
    <row r="425" spans="2:32" x14ac:dyDescent="0.3">
      <c r="B425" s="14" t="str">
        <f t="shared" si="19"/>
        <v>45112504511001263Cleaning Service-N422311200104</v>
      </c>
      <c r="C425" s="21" t="s">
        <v>65</v>
      </c>
      <c r="D425" s="22">
        <v>4511250</v>
      </c>
      <c r="E425" s="21" t="s">
        <v>66</v>
      </c>
      <c r="F425" s="22">
        <v>4511001263</v>
      </c>
      <c r="G425" s="21" t="s">
        <v>1514</v>
      </c>
      <c r="H425" s="21" t="s">
        <v>79</v>
      </c>
      <c r="I425" s="22">
        <v>422311</v>
      </c>
      <c r="J425" s="22">
        <v>200104</v>
      </c>
      <c r="K425" s="22" t="s">
        <v>2959</v>
      </c>
      <c r="L425" s="22">
        <v>70205</v>
      </c>
      <c r="M425" s="23" t="s">
        <v>2961</v>
      </c>
      <c r="N425" s="24">
        <v>0</v>
      </c>
      <c r="O425" s="24">
        <v>0</v>
      </c>
      <c r="P425" s="24">
        <v>0</v>
      </c>
      <c r="Q425" s="24">
        <v>15741</v>
      </c>
      <c r="R425" s="24">
        <v>3935</v>
      </c>
      <c r="S425" s="24">
        <v>3935</v>
      </c>
      <c r="T425" s="24">
        <v>3935</v>
      </c>
      <c r="U425" s="24">
        <v>3935</v>
      </c>
      <c r="V425" s="24">
        <v>3935</v>
      </c>
      <c r="W425" s="24">
        <v>3935</v>
      </c>
      <c r="X425" s="24">
        <v>3935</v>
      </c>
      <c r="Y425" s="24">
        <v>3936</v>
      </c>
      <c r="Z425" s="24">
        <f t="shared" si="20"/>
        <v>47222</v>
      </c>
      <c r="AB425" s="25">
        <v>47222</v>
      </c>
      <c r="AC425" s="26">
        <v>47222.1</v>
      </c>
      <c r="AD425" s="24">
        <v>-9.9999999998544808E-2</v>
      </c>
      <c r="AE425" s="27">
        <f>_xlfn.XLOOKUP(B425,'Projects Cashflow'!$B:$B,'Projects Cashflow'!$AG:$AG,0)</f>
        <v>47222.1</v>
      </c>
      <c r="AF425" s="28">
        <f t="shared" si="21"/>
        <v>9.9999999998544808E-2</v>
      </c>
    </row>
    <row r="426" spans="2:32" x14ac:dyDescent="0.3">
      <c r="B426" s="14" t="str">
        <f t="shared" si="19"/>
        <v>45112504511001263Landscaping-N432614200104</v>
      </c>
      <c r="C426" s="21" t="s">
        <v>65</v>
      </c>
      <c r="D426" s="22">
        <v>4511250</v>
      </c>
      <c r="E426" s="21" t="s">
        <v>66</v>
      </c>
      <c r="F426" s="22">
        <v>4511001263</v>
      </c>
      <c r="G426" s="21" t="s">
        <v>1514</v>
      </c>
      <c r="H426" s="21" t="s">
        <v>86</v>
      </c>
      <c r="I426" s="22">
        <v>432614</v>
      </c>
      <c r="J426" s="22">
        <v>200104</v>
      </c>
      <c r="K426" s="22" t="s">
        <v>2959</v>
      </c>
      <c r="L426" s="22">
        <v>70205</v>
      </c>
      <c r="M426" s="23" t="s">
        <v>2961</v>
      </c>
      <c r="N426" s="24">
        <v>0</v>
      </c>
      <c r="O426" s="24">
        <v>0</v>
      </c>
      <c r="P426" s="24">
        <v>0</v>
      </c>
      <c r="Q426" s="24">
        <v>15208</v>
      </c>
      <c r="R426" s="24">
        <v>3802</v>
      </c>
      <c r="S426" s="24">
        <v>3802</v>
      </c>
      <c r="T426" s="24">
        <v>3802</v>
      </c>
      <c r="U426" s="24">
        <v>3802</v>
      </c>
      <c r="V426" s="24">
        <v>3802</v>
      </c>
      <c r="W426" s="24">
        <v>3802</v>
      </c>
      <c r="X426" s="24">
        <v>3802</v>
      </c>
      <c r="Y426" s="24">
        <v>3803</v>
      </c>
      <c r="Z426" s="24">
        <f t="shared" si="20"/>
        <v>45625</v>
      </c>
      <c r="AB426" s="25">
        <v>45625</v>
      </c>
      <c r="AC426" s="26">
        <v>45624.44</v>
      </c>
      <c r="AD426" s="24">
        <v>0.55999999999767169</v>
      </c>
      <c r="AE426" s="27">
        <f>_xlfn.XLOOKUP(B426,'Projects Cashflow'!$B:$B,'Projects Cashflow'!$AG:$AG,0)</f>
        <v>45624.44</v>
      </c>
      <c r="AF426" s="28">
        <f t="shared" si="21"/>
        <v>-0.55999999999767169</v>
      </c>
    </row>
    <row r="427" spans="2:32" x14ac:dyDescent="0.3">
      <c r="B427" s="14" t="str">
        <f t="shared" si="19"/>
        <v>45112504511001263Maintenance-N426212200104</v>
      </c>
      <c r="C427" s="21" t="s">
        <v>65</v>
      </c>
      <c r="D427" s="22">
        <v>4511250</v>
      </c>
      <c r="E427" s="21" t="s">
        <v>66</v>
      </c>
      <c r="F427" s="22">
        <v>4511001263</v>
      </c>
      <c r="G427" s="21" t="s">
        <v>1514</v>
      </c>
      <c r="H427" s="21" t="s">
        <v>95</v>
      </c>
      <c r="I427" s="22">
        <v>426212</v>
      </c>
      <c r="J427" s="22">
        <v>200104</v>
      </c>
      <c r="K427" s="22" t="s">
        <v>2959</v>
      </c>
      <c r="L427" s="22">
        <v>70205</v>
      </c>
      <c r="M427" s="23" t="s">
        <v>2961</v>
      </c>
      <c r="N427" s="24">
        <v>0</v>
      </c>
      <c r="O427" s="24">
        <v>0</v>
      </c>
      <c r="P427" s="24">
        <v>0</v>
      </c>
      <c r="Q427" s="24">
        <v>10409</v>
      </c>
      <c r="R427" s="24">
        <v>2602</v>
      </c>
      <c r="S427" s="24">
        <v>2602</v>
      </c>
      <c r="T427" s="24">
        <v>2602</v>
      </c>
      <c r="U427" s="24">
        <v>2602</v>
      </c>
      <c r="V427" s="24">
        <v>2602</v>
      </c>
      <c r="W427" s="24">
        <v>2602</v>
      </c>
      <c r="X427" s="24">
        <v>2603</v>
      </c>
      <c r="Y427" s="24">
        <v>2601</v>
      </c>
      <c r="Z427" s="24">
        <f t="shared" si="20"/>
        <v>31225</v>
      </c>
      <c r="AB427" s="25">
        <v>31225</v>
      </c>
      <c r="AC427" s="26">
        <v>31225.16</v>
      </c>
      <c r="AD427" s="24">
        <v>-0.15999999999985448</v>
      </c>
      <c r="AE427" s="27">
        <f>_xlfn.XLOOKUP(B427,'Projects Cashflow'!$B:$B,'Projects Cashflow'!$AG:$AG,0)</f>
        <v>31225.16</v>
      </c>
      <c r="AF427" s="28">
        <f t="shared" si="21"/>
        <v>0.15999999999985448</v>
      </c>
    </row>
    <row r="428" spans="2:32" x14ac:dyDescent="0.3">
      <c r="B428" s="14" t="str">
        <f t="shared" si="19"/>
        <v>45112504511001263Pest Control-N422321200104</v>
      </c>
      <c r="C428" s="21" t="s">
        <v>65</v>
      </c>
      <c r="D428" s="22">
        <v>4511250</v>
      </c>
      <c r="E428" s="21" t="s">
        <v>66</v>
      </c>
      <c r="F428" s="22">
        <v>4511001263</v>
      </c>
      <c r="G428" s="21" t="s">
        <v>1514</v>
      </c>
      <c r="H428" s="21" t="s">
        <v>103</v>
      </c>
      <c r="I428" s="22">
        <v>422321</v>
      </c>
      <c r="J428" s="22">
        <v>200104</v>
      </c>
      <c r="K428" s="22" t="s">
        <v>2959</v>
      </c>
      <c r="L428" s="22">
        <v>70205</v>
      </c>
      <c r="M428" s="23" t="s">
        <v>2961</v>
      </c>
      <c r="N428" s="24">
        <v>0</v>
      </c>
      <c r="O428" s="24">
        <v>0</v>
      </c>
      <c r="P428" s="24">
        <v>0</v>
      </c>
      <c r="Q428" s="24">
        <v>3244</v>
      </c>
      <c r="R428" s="24">
        <v>811</v>
      </c>
      <c r="S428" s="24">
        <v>811</v>
      </c>
      <c r="T428" s="24">
        <v>811</v>
      </c>
      <c r="U428" s="24">
        <v>811</v>
      </c>
      <c r="V428" s="24">
        <v>811</v>
      </c>
      <c r="W428" s="24">
        <v>811</v>
      </c>
      <c r="X428" s="24">
        <v>811</v>
      </c>
      <c r="Y428" s="24">
        <v>809</v>
      </c>
      <c r="Z428" s="24">
        <f t="shared" si="20"/>
        <v>9730</v>
      </c>
      <c r="AB428" s="25">
        <v>9730</v>
      </c>
      <c r="AC428" s="26">
        <v>9730.4</v>
      </c>
      <c r="AD428" s="24">
        <v>-0.3999999999996362</v>
      </c>
      <c r="AE428" s="27">
        <f>_xlfn.XLOOKUP(B428,'Projects Cashflow'!$B:$B,'Projects Cashflow'!$AG:$AG,0)</f>
        <v>9730.4</v>
      </c>
      <c r="AF428" s="28">
        <f t="shared" si="21"/>
        <v>0.3999999999996362</v>
      </c>
    </row>
    <row r="429" spans="2:32" x14ac:dyDescent="0.3">
      <c r="B429" s="14" t="str">
        <f t="shared" si="19"/>
        <v>45112504511001263Waste Mgmnt-N424591200104</v>
      </c>
      <c r="C429" s="21" t="s">
        <v>65</v>
      </c>
      <c r="D429" s="22">
        <v>4511250</v>
      </c>
      <c r="E429" s="21" t="s">
        <v>66</v>
      </c>
      <c r="F429" s="22">
        <v>4511001263</v>
      </c>
      <c r="G429" s="21" t="s">
        <v>1514</v>
      </c>
      <c r="H429" s="21" t="s">
        <v>382</v>
      </c>
      <c r="I429" s="22">
        <v>424591</v>
      </c>
      <c r="J429" s="22">
        <v>200104</v>
      </c>
      <c r="K429" s="22" t="s">
        <v>2959</v>
      </c>
      <c r="L429" s="22">
        <v>70205</v>
      </c>
      <c r="M429" s="23" t="s">
        <v>2961</v>
      </c>
      <c r="N429" s="24">
        <v>0</v>
      </c>
      <c r="O429" s="24">
        <v>0</v>
      </c>
      <c r="P429" s="24">
        <v>0</v>
      </c>
      <c r="Q429" s="24">
        <v>0</v>
      </c>
      <c r="R429" s="24">
        <v>1848</v>
      </c>
      <c r="S429" s="24">
        <v>0</v>
      </c>
      <c r="T429" s="24">
        <v>0</v>
      </c>
      <c r="U429" s="24">
        <v>1848</v>
      </c>
      <c r="V429" s="24">
        <v>0</v>
      </c>
      <c r="W429" s="24">
        <v>0</v>
      </c>
      <c r="X429" s="24">
        <v>1849</v>
      </c>
      <c r="Y429" s="24">
        <v>0</v>
      </c>
      <c r="Z429" s="24">
        <f t="shared" si="20"/>
        <v>5545</v>
      </c>
      <c r="AB429" s="25">
        <v>5545</v>
      </c>
      <c r="AC429" s="26">
        <v>5544.9</v>
      </c>
      <c r="AD429" s="24">
        <v>0.1000000000003638</v>
      </c>
      <c r="AE429" s="27">
        <f>_xlfn.XLOOKUP(B429,'Projects Cashflow'!$B:$B,'Projects Cashflow'!$AG:$AG,0)</f>
        <v>5544.9</v>
      </c>
      <c r="AF429" s="28">
        <f t="shared" si="21"/>
        <v>-0.1000000000003638</v>
      </c>
    </row>
    <row r="430" spans="2:32" x14ac:dyDescent="0.3">
      <c r="B430" s="14" t="str">
        <f t="shared" si="19"/>
        <v>45112504511001267ComplianceAdvice-N424521200104</v>
      </c>
      <c r="C430" s="21" t="s">
        <v>65</v>
      </c>
      <c r="D430" s="22">
        <v>4511250</v>
      </c>
      <c r="E430" s="21" t="s">
        <v>66</v>
      </c>
      <c r="F430" s="22">
        <v>4511001267</v>
      </c>
      <c r="G430" s="21" t="s">
        <v>1518</v>
      </c>
      <c r="H430" s="21" t="s">
        <v>1519</v>
      </c>
      <c r="I430" s="22">
        <v>424521</v>
      </c>
      <c r="J430" s="22">
        <v>200104</v>
      </c>
      <c r="K430" s="22" t="s">
        <v>2959</v>
      </c>
      <c r="L430" s="22">
        <v>70205</v>
      </c>
      <c r="M430" s="23" t="s">
        <v>2961</v>
      </c>
      <c r="N430" s="24">
        <v>0</v>
      </c>
      <c r="O430" s="24">
        <v>0</v>
      </c>
      <c r="P430" s="24">
        <v>8720.2800000000007</v>
      </c>
      <c r="Q430" s="24">
        <v>0</v>
      </c>
      <c r="R430" s="24">
        <v>0</v>
      </c>
      <c r="S430" s="24">
        <v>258780</v>
      </c>
      <c r="T430" s="24">
        <v>0</v>
      </c>
      <c r="U430" s="24">
        <v>0</v>
      </c>
      <c r="V430" s="24">
        <v>287500</v>
      </c>
      <c r="W430" s="24">
        <v>0</v>
      </c>
      <c r="X430" s="24">
        <v>263227</v>
      </c>
      <c r="Y430" s="24">
        <v>0</v>
      </c>
      <c r="Z430" s="24">
        <f t="shared" si="20"/>
        <v>818227.28</v>
      </c>
      <c r="AB430" s="25">
        <v>687268.28</v>
      </c>
      <c r="AC430" s="26">
        <v>687268.07</v>
      </c>
      <c r="AD430" s="24">
        <v>0.21000000007916242</v>
      </c>
      <c r="AE430" s="27">
        <f>_xlfn.XLOOKUP(B430,'Projects Cashflow'!$B:$B,'Projects Cashflow'!$AG:$AG,0)</f>
        <v>687268.07</v>
      </c>
      <c r="AF430" s="28">
        <f t="shared" si="21"/>
        <v>-0.21000000007916242</v>
      </c>
    </row>
    <row r="431" spans="2:32" x14ac:dyDescent="0.3">
      <c r="B431" s="14" t="str">
        <f t="shared" si="19"/>
        <v>45112504511001267Manpower-N424521200104</v>
      </c>
      <c r="C431" s="21" t="s">
        <v>65</v>
      </c>
      <c r="D431" s="22">
        <v>4511250</v>
      </c>
      <c r="E431" s="21" t="s">
        <v>66</v>
      </c>
      <c r="F431" s="22">
        <v>4511001267</v>
      </c>
      <c r="G431" s="21" t="s">
        <v>1518</v>
      </c>
      <c r="H431" s="21" t="s">
        <v>98</v>
      </c>
      <c r="I431" s="22">
        <v>424521</v>
      </c>
      <c r="J431" s="22">
        <v>200104</v>
      </c>
      <c r="K431" s="22" t="s">
        <v>2959</v>
      </c>
      <c r="L431" s="22">
        <v>70205</v>
      </c>
      <c r="M431" s="23" t="s">
        <v>2961</v>
      </c>
      <c r="N431" s="24">
        <v>0</v>
      </c>
      <c r="O431" s="24">
        <v>0</v>
      </c>
      <c r="P431" s="24">
        <v>0</v>
      </c>
      <c r="Q431" s="24">
        <v>0</v>
      </c>
      <c r="R431" s="24">
        <v>43601.4</v>
      </c>
      <c r="S431" s="24">
        <v>8720.2800000000007</v>
      </c>
      <c r="T431" s="24">
        <v>8720.2800000000007</v>
      </c>
      <c r="U431" s="24">
        <v>8720.2800000000007</v>
      </c>
      <c r="V431" s="24">
        <v>8720.2800000000007</v>
      </c>
      <c r="W431" s="24">
        <v>8720.2800000000007</v>
      </c>
      <c r="X431" s="24">
        <v>17440.560000000001</v>
      </c>
      <c r="Y431" s="24">
        <v>0</v>
      </c>
      <c r="Z431" s="24">
        <f t="shared" si="20"/>
        <v>104643.36</v>
      </c>
      <c r="AB431" s="25">
        <v>104643.36</v>
      </c>
      <c r="AC431" s="26">
        <v>104643</v>
      </c>
      <c r="AD431" s="24">
        <v>0.36000000000058208</v>
      </c>
      <c r="AE431" s="27">
        <f>_xlfn.XLOOKUP(B431,'Projects Cashflow'!$B:$B,'Projects Cashflow'!$AG:$AG,0)</f>
        <v>104643</v>
      </c>
      <c r="AF431" s="28">
        <f t="shared" si="21"/>
        <v>-0.36000000000058208</v>
      </c>
    </row>
    <row r="432" spans="2:32" x14ac:dyDescent="0.3">
      <c r="B432" s="14" t="str">
        <f t="shared" si="19"/>
        <v>45112504511001267Freelancers-N424521200104</v>
      </c>
      <c r="C432" s="21" t="s">
        <v>65</v>
      </c>
      <c r="D432" s="22">
        <v>4511250</v>
      </c>
      <c r="E432" s="21" t="s">
        <v>66</v>
      </c>
      <c r="F432" s="22">
        <v>4511001267</v>
      </c>
      <c r="G432" s="21" t="s">
        <v>1518</v>
      </c>
      <c r="H432" s="21" t="s">
        <v>50</v>
      </c>
      <c r="I432" s="22">
        <v>424521</v>
      </c>
      <c r="J432" s="22">
        <v>200104</v>
      </c>
      <c r="K432" s="22" t="s">
        <v>2959</v>
      </c>
      <c r="L432" s="22">
        <v>70205</v>
      </c>
      <c r="M432" s="23" t="s">
        <v>2961</v>
      </c>
      <c r="N432" s="24">
        <v>0</v>
      </c>
      <c r="O432" s="24">
        <v>0</v>
      </c>
      <c r="P432" s="24">
        <v>0</v>
      </c>
      <c r="Q432" s="24">
        <v>25000</v>
      </c>
      <c r="R432" s="24">
        <v>12500</v>
      </c>
      <c r="S432" s="24">
        <v>0</v>
      </c>
      <c r="T432" s="24">
        <v>0</v>
      </c>
      <c r="U432" s="24">
        <v>0</v>
      </c>
      <c r="V432" s="24">
        <v>0</v>
      </c>
      <c r="W432" s="24">
        <v>0</v>
      </c>
      <c r="X432" s="24">
        <v>0</v>
      </c>
      <c r="Y432" s="24">
        <v>0</v>
      </c>
      <c r="Z432" s="24">
        <f t="shared" si="20"/>
        <v>37500</v>
      </c>
      <c r="AB432" s="25">
        <v>37500</v>
      </c>
      <c r="AC432" s="26">
        <v>37500</v>
      </c>
      <c r="AD432" s="24">
        <v>0</v>
      </c>
      <c r="AE432" s="27">
        <f>_xlfn.XLOOKUP(B432,'Projects Cashflow'!$B:$B,'Projects Cashflow'!$AG:$AG,0)</f>
        <v>37500</v>
      </c>
      <c r="AF432" s="28">
        <f t="shared" si="21"/>
        <v>0</v>
      </c>
    </row>
    <row r="433" spans="2:32" x14ac:dyDescent="0.3">
      <c r="B433" s="14" t="str">
        <f t="shared" si="19"/>
        <v>45112504511001268Mission &amp; Travel-N423821200104</v>
      </c>
      <c r="C433" s="21" t="s">
        <v>65</v>
      </c>
      <c r="D433" s="22">
        <v>4511250</v>
      </c>
      <c r="E433" s="21" t="s">
        <v>66</v>
      </c>
      <c r="F433" s="22">
        <v>4511001268</v>
      </c>
      <c r="G433" s="21" t="s">
        <v>3019</v>
      </c>
      <c r="H433" s="21" t="s">
        <v>54</v>
      </c>
      <c r="I433" s="22">
        <v>423821</v>
      </c>
      <c r="J433" s="22">
        <v>200104</v>
      </c>
      <c r="K433" s="22" t="s">
        <v>2959</v>
      </c>
      <c r="L433" s="22">
        <v>70205</v>
      </c>
      <c r="M433" s="23" t="s">
        <v>2961</v>
      </c>
      <c r="N433" s="24">
        <v>0</v>
      </c>
      <c r="O433" s="26">
        <v>26200</v>
      </c>
      <c r="P433" s="24">
        <v>1600</v>
      </c>
      <c r="Q433" s="24">
        <v>23000</v>
      </c>
      <c r="R433" s="24">
        <v>0</v>
      </c>
      <c r="S433" s="24">
        <v>399670</v>
      </c>
      <c r="T433" s="24">
        <v>0</v>
      </c>
      <c r="U433" s="24">
        <v>0</v>
      </c>
      <c r="V433" s="24">
        <v>399670</v>
      </c>
      <c r="W433" s="24">
        <v>0</v>
      </c>
      <c r="X433" s="24">
        <v>0</v>
      </c>
      <c r="Y433" s="24">
        <v>799340</v>
      </c>
      <c r="Z433" s="24">
        <f t="shared" si="20"/>
        <v>1649480</v>
      </c>
      <c r="AB433" s="25">
        <v>1664480</v>
      </c>
      <c r="AC433" s="26">
        <v>1664480</v>
      </c>
      <c r="AD433" s="24">
        <v>0</v>
      </c>
      <c r="AE433" s="27">
        <f>_xlfn.XLOOKUP(B433,'Projects Cashflow'!$B:$B,'Projects Cashflow'!$AG:$AG,0)</f>
        <v>1664480</v>
      </c>
      <c r="AF433" s="28">
        <f t="shared" si="21"/>
        <v>0</v>
      </c>
    </row>
    <row r="434" spans="2:32" x14ac:dyDescent="0.3">
      <c r="B434" s="14" t="str">
        <f t="shared" si="19"/>
        <v>45112504511001268Hospitality-N424761200104</v>
      </c>
      <c r="C434" s="21" t="s">
        <v>65</v>
      </c>
      <c r="D434" s="22">
        <v>4511250</v>
      </c>
      <c r="E434" s="21" t="s">
        <v>66</v>
      </c>
      <c r="F434" s="22">
        <v>4511001268</v>
      </c>
      <c r="G434" s="21" t="s">
        <v>3019</v>
      </c>
      <c r="H434" s="21" t="s">
        <v>83</v>
      </c>
      <c r="I434" s="22">
        <v>424761</v>
      </c>
      <c r="J434" s="22">
        <v>200104</v>
      </c>
      <c r="K434" s="22" t="s">
        <v>2959</v>
      </c>
      <c r="L434" s="22">
        <v>70205</v>
      </c>
      <c r="M434" s="23" t="s">
        <v>2961</v>
      </c>
      <c r="N434" s="24">
        <v>0</v>
      </c>
      <c r="O434" s="24">
        <v>0</v>
      </c>
      <c r="P434" s="24">
        <v>0</v>
      </c>
      <c r="Q434" s="24">
        <v>530000</v>
      </c>
      <c r="R434" s="24">
        <v>0</v>
      </c>
      <c r="S434" s="24">
        <v>0</v>
      </c>
      <c r="T434" s="24">
        <v>0</v>
      </c>
      <c r="U434" s="24">
        <v>0</v>
      </c>
      <c r="V434" s="24">
        <v>0</v>
      </c>
      <c r="W434" s="24">
        <v>0</v>
      </c>
      <c r="X434" s="24">
        <v>0</v>
      </c>
      <c r="Y434" s="24">
        <v>0</v>
      </c>
      <c r="Z434" s="24">
        <f t="shared" si="20"/>
        <v>530000</v>
      </c>
      <c r="AB434" s="25">
        <v>505000</v>
      </c>
      <c r="AC434" s="26">
        <v>505000</v>
      </c>
      <c r="AD434" s="24">
        <v>0</v>
      </c>
      <c r="AE434" s="27">
        <f>_xlfn.XLOOKUP(B434,'Projects Cashflow'!$B:$B,'Projects Cashflow'!$AG:$AG,0)</f>
        <v>505000</v>
      </c>
      <c r="AF434" s="28">
        <f t="shared" si="21"/>
        <v>0</v>
      </c>
    </row>
    <row r="435" spans="2:32" x14ac:dyDescent="0.3">
      <c r="B435" s="14" t="str">
        <f t="shared" si="19"/>
        <v>45112504511001269Freelancers-N424521200104</v>
      </c>
      <c r="C435" s="21" t="s">
        <v>65</v>
      </c>
      <c r="D435" s="22">
        <v>4511250</v>
      </c>
      <c r="E435" s="21" t="s">
        <v>66</v>
      </c>
      <c r="F435" s="22">
        <v>4511001269</v>
      </c>
      <c r="G435" s="21" t="s">
        <v>1523</v>
      </c>
      <c r="H435" s="21" t="s">
        <v>50</v>
      </c>
      <c r="I435" s="22">
        <v>424521</v>
      </c>
      <c r="J435" s="22">
        <v>200104</v>
      </c>
      <c r="K435" s="22" t="s">
        <v>2959</v>
      </c>
      <c r="L435" s="22">
        <v>70205</v>
      </c>
      <c r="M435" s="23" t="s">
        <v>2961</v>
      </c>
      <c r="N435" s="24">
        <v>0</v>
      </c>
      <c r="O435" s="26">
        <v>281000</v>
      </c>
      <c r="P435" s="24">
        <v>0</v>
      </c>
      <c r="Q435" s="24">
        <v>195000</v>
      </c>
      <c r="R435" s="24">
        <v>119000</v>
      </c>
      <c r="S435" s="24">
        <v>119000</v>
      </c>
      <c r="T435" s="24">
        <v>119000</v>
      </c>
      <c r="U435" s="24">
        <v>119000</v>
      </c>
      <c r="V435" s="24">
        <v>119000</v>
      </c>
      <c r="W435" s="24">
        <v>119000</v>
      </c>
      <c r="X435" s="24">
        <v>119000</v>
      </c>
      <c r="Y435" s="24">
        <v>119000</v>
      </c>
      <c r="Z435" s="24">
        <f t="shared" si="20"/>
        <v>1428000</v>
      </c>
      <c r="AB435" s="25">
        <v>1399310</v>
      </c>
      <c r="AC435" s="26">
        <v>1399310</v>
      </c>
      <c r="AD435" s="24">
        <v>0</v>
      </c>
      <c r="AE435" s="27">
        <f>_xlfn.XLOOKUP(B435,'Projects Cashflow'!$B:$B,'Projects Cashflow'!$AG:$AG,0)</f>
        <v>1399310</v>
      </c>
      <c r="AF435" s="28">
        <f t="shared" si="21"/>
        <v>0</v>
      </c>
    </row>
    <row r="436" spans="2:32" x14ac:dyDescent="0.3">
      <c r="B436" s="14" t="str">
        <f t="shared" si="19"/>
        <v>45112504511001269Manpower-N424521200104</v>
      </c>
      <c r="C436" s="21" t="s">
        <v>65</v>
      </c>
      <c r="D436" s="22">
        <v>4511250</v>
      </c>
      <c r="E436" s="21" t="s">
        <v>66</v>
      </c>
      <c r="F436" s="22">
        <v>4511001269</v>
      </c>
      <c r="G436" s="21" t="s">
        <v>1523</v>
      </c>
      <c r="H436" s="21" t="s">
        <v>98</v>
      </c>
      <c r="I436" s="22">
        <v>424521</v>
      </c>
      <c r="J436" s="22">
        <v>200104</v>
      </c>
      <c r="K436" s="22" t="s">
        <v>2959</v>
      </c>
      <c r="L436" s="22">
        <v>70205</v>
      </c>
      <c r="M436" s="23" t="s">
        <v>2961</v>
      </c>
      <c r="N436" s="24">
        <v>0</v>
      </c>
      <c r="O436" s="24">
        <v>0</v>
      </c>
      <c r="P436" s="24">
        <v>0</v>
      </c>
      <c r="Q436" s="24">
        <v>450800</v>
      </c>
      <c r="R436" s="24">
        <v>112700</v>
      </c>
      <c r="S436" s="24">
        <v>112700</v>
      </c>
      <c r="T436" s="24">
        <v>112700</v>
      </c>
      <c r="U436" s="24">
        <v>112700</v>
      </c>
      <c r="V436" s="24">
        <v>112700</v>
      </c>
      <c r="W436" s="24">
        <v>112700</v>
      </c>
      <c r="X436" s="24">
        <v>112700</v>
      </c>
      <c r="Y436" s="24">
        <v>112700</v>
      </c>
      <c r="Z436" s="24">
        <f t="shared" si="20"/>
        <v>1352400</v>
      </c>
      <c r="AB436" s="25">
        <v>1352400</v>
      </c>
      <c r="AC436" s="26">
        <v>1352400</v>
      </c>
      <c r="AD436" s="24">
        <v>0</v>
      </c>
      <c r="AE436" s="27">
        <f>_xlfn.XLOOKUP(B436,'Projects Cashflow'!$B:$B,'Projects Cashflow'!$AG:$AG,0)</f>
        <v>1352400</v>
      </c>
      <c r="AF436" s="28">
        <f t="shared" si="21"/>
        <v>0</v>
      </c>
    </row>
    <row r="437" spans="2:32" x14ac:dyDescent="0.3">
      <c r="B437" s="14" t="str">
        <f t="shared" si="19"/>
        <v>45112504511001269Admin Expenses-N1421125200104</v>
      </c>
      <c r="C437" s="21" t="s">
        <v>65</v>
      </c>
      <c r="D437" s="22">
        <v>4511250</v>
      </c>
      <c r="E437" s="21" t="s">
        <v>66</v>
      </c>
      <c r="F437" s="22">
        <v>4511001269</v>
      </c>
      <c r="G437" s="21" t="s">
        <v>1523</v>
      </c>
      <c r="H437" s="21" t="s">
        <v>73</v>
      </c>
      <c r="I437" s="22">
        <v>421125</v>
      </c>
      <c r="J437" s="22">
        <v>200104</v>
      </c>
      <c r="K437" s="22" t="s">
        <v>2959</v>
      </c>
      <c r="L437" s="22">
        <v>70205</v>
      </c>
      <c r="M437" s="23" t="s">
        <v>2961</v>
      </c>
      <c r="N437" s="24">
        <v>0</v>
      </c>
      <c r="O437" s="24">
        <v>0</v>
      </c>
      <c r="P437" s="24">
        <v>49930</v>
      </c>
      <c r="Q437" s="24">
        <v>70</v>
      </c>
      <c r="R437" s="24">
        <v>0</v>
      </c>
      <c r="S437" s="24">
        <v>0</v>
      </c>
      <c r="T437" s="24">
        <v>0</v>
      </c>
      <c r="U437" s="24">
        <v>0</v>
      </c>
      <c r="V437" s="24">
        <v>0</v>
      </c>
      <c r="W437" s="24">
        <v>247497</v>
      </c>
      <c r="X437" s="24">
        <v>397917</v>
      </c>
      <c r="Y437" s="24">
        <v>397919</v>
      </c>
      <c r="Z437" s="24">
        <f t="shared" si="20"/>
        <v>1093333</v>
      </c>
      <c r="AB437" s="25">
        <v>1093333</v>
      </c>
      <c r="AC437" s="26">
        <v>1093333</v>
      </c>
      <c r="AD437" s="24">
        <v>0</v>
      </c>
      <c r="AE437" s="27">
        <f>_xlfn.XLOOKUP(B437,'Projects Cashflow'!$B:$B,'Projects Cashflow'!$AG:$AG,0)</f>
        <v>1093333</v>
      </c>
      <c r="AF437" s="28">
        <f t="shared" si="21"/>
        <v>0</v>
      </c>
    </row>
    <row r="438" spans="2:32" x14ac:dyDescent="0.3">
      <c r="B438" s="14" t="str">
        <f t="shared" si="19"/>
        <v>45112504511001269E-E Ops and Prod-N1421125200104</v>
      </c>
      <c r="C438" s="21" t="s">
        <v>65</v>
      </c>
      <c r="D438" s="22">
        <v>4511250</v>
      </c>
      <c r="E438" s="21" t="s">
        <v>66</v>
      </c>
      <c r="F438" s="22">
        <v>4511001269</v>
      </c>
      <c r="G438" s="21" t="s">
        <v>1523</v>
      </c>
      <c r="H438" s="21" t="s">
        <v>1209</v>
      </c>
      <c r="I438" s="33">
        <v>421125</v>
      </c>
      <c r="J438" s="22">
        <v>200104</v>
      </c>
      <c r="K438" s="22" t="s">
        <v>2959</v>
      </c>
      <c r="L438" s="22">
        <v>70205</v>
      </c>
      <c r="M438" s="23" t="s">
        <v>2961</v>
      </c>
      <c r="N438" s="24">
        <v>0</v>
      </c>
      <c r="O438" s="24">
        <v>0</v>
      </c>
      <c r="P438" s="24">
        <v>0</v>
      </c>
      <c r="Q438" s="24">
        <v>0</v>
      </c>
      <c r="R438" s="24">
        <v>0</v>
      </c>
      <c r="S438" s="24">
        <v>0</v>
      </c>
      <c r="T438" s="24">
        <v>0</v>
      </c>
      <c r="U438" s="24">
        <v>0</v>
      </c>
      <c r="V438" s="24">
        <v>0</v>
      </c>
      <c r="W438" s="24">
        <v>213310</v>
      </c>
      <c r="X438" s="24">
        <v>213313</v>
      </c>
      <c r="Y438" s="24">
        <v>213315</v>
      </c>
      <c r="Z438" s="24">
        <f t="shared" si="20"/>
        <v>639938</v>
      </c>
      <c r="AB438" s="25">
        <v>687462</v>
      </c>
      <c r="AC438" s="26">
        <v>687461.93</v>
      </c>
      <c r="AD438" s="24">
        <v>6.9999999948777258E-2</v>
      </c>
      <c r="AE438" s="27">
        <f>_xlfn.XLOOKUP(B438,'Projects Cashflow'!$B:$B,'Projects Cashflow'!$AG:$AG,0)</f>
        <v>687461.93</v>
      </c>
      <c r="AF438" s="28">
        <f t="shared" si="21"/>
        <v>-6.9999999948777258E-2</v>
      </c>
    </row>
    <row r="439" spans="2:32" x14ac:dyDescent="0.3">
      <c r="B439" s="14" t="str">
        <f t="shared" si="19"/>
        <v>45112504511001270Manpower-N424521200104</v>
      </c>
      <c r="C439" s="21" t="s">
        <v>65</v>
      </c>
      <c r="D439" s="22">
        <v>4511250</v>
      </c>
      <c r="E439" s="21" t="s">
        <v>66</v>
      </c>
      <c r="F439" s="22">
        <v>4511001270</v>
      </c>
      <c r="G439" s="21" t="s">
        <v>1525</v>
      </c>
      <c r="H439" s="21" t="s">
        <v>98</v>
      </c>
      <c r="I439" s="22">
        <v>424521</v>
      </c>
      <c r="J439" s="22">
        <v>200104</v>
      </c>
      <c r="K439" s="22" t="s">
        <v>2959</v>
      </c>
      <c r="L439" s="22">
        <v>70205</v>
      </c>
      <c r="M439" s="23" t="s">
        <v>2961</v>
      </c>
      <c r="N439" s="24">
        <v>0</v>
      </c>
      <c r="O439" s="24">
        <v>0</v>
      </c>
      <c r="P439" s="24">
        <v>0</v>
      </c>
      <c r="Q439" s="24">
        <v>106439</v>
      </c>
      <c r="R439" s="24">
        <v>33468</v>
      </c>
      <c r="S439" s="24">
        <v>33468</v>
      </c>
      <c r="T439" s="24">
        <v>33468</v>
      </c>
      <c r="U439" s="24">
        <v>33468</v>
      </c>
      <c r="V439" s="24">
        <v>33468</v>
      </c>
      <c r="W439" s="24">
        <v>62307</v>
      </c>
      <c r="X439" s="24">
        <v>62307</v>
      </c>
      <c r="Y439" s="24">
        <v>62307</v>
      </c>
      <c r="Z439" s="24">
        <f t="shared" si="20"/>
        <v>460700</v>
      </c>
      <c r="AB439" s="25">
        <v>480700</v>
      </c>
      <c r="AC439" s="26">
        <v>480700</v>
      </c>
      <c r="AD439" s="24">
        <v>0</v>
      </c>
      <c r="AE439" s="27">
        <f>_xlfn.XLOOKUP(B439,'Projects Cashflow'!$B:$B,'Projects Cashflow'!$AG:$AG,0)</f>
        <v>480700</v>
      </c>
      <c r="AF439" s="28">
        <f t="shared" si="21"/>
        <v>0</v>
      </c>
    </row>
    <row r="440" spans="2:32" x14ac:dyDescent="0.3">
      <c r="B440" s="14" t="str">
        <f t="shared" si="19"/>
        <v>45112504511001270Freelancers-N424521200104</v>
      </c>
      <c r="C440" s="21" t="s">
        <v>65</v>
      </c>
      <c r="D440" s="22">
        <v>4511250</v>
      </c>
      <c r="E440" s="21" t="s">
        <v>66</v>
      </c>
      <c r="F440" s="22">
        <v>4511001270</v>
      </c>
      <c r="G440" s="21" t="s">
        <v>1525</v>
      </c>
      <c r="H440" s="21" t="s">
        <v>50</v>
      </c>
      <c r="I440" s="22">
        <v>424521</v>
      </c>
      <c r="J440" s="22">
        <v>200104</v>
      </c>
      <c r="K440" s="22" t="s">
        <v>2959</v>
      </c>
      <c r="L440" s="22">
        <v>70205</v>
      </c>
      <c r="M440" s="23" t="s">
        <v>2961</v>
      </c>
      <c r="N440" s="24">
        <v>0</v>
      </c>
      <c r="O440" s="24">
        <v>0</v>
      </c>
      <c r="P440" s="24">
        <v>0</v>
      </c>
      <c r="Q440" s="24">
        <v>30000</v>
      </c>
      <c r="R440" s="24">
        <v>30000</v>
      </c>
      <c r="S440" s="24">
        <v>30000</v>
      </c>
      <c r="T440" s="24">
        <v>30000</v>
      </c>
      <c r="U440" s="24">
        <v>30000</v>
      </c>
      <c r="V440" s="24">
        <v>30000</v>
      </c>
      <c r="W440" s="24">
        <v>30000</v>
      </c>
      <c r="X440" s="24">
        <v>30000</v>
      </c>
      <c r="Y440" s="24">
        <v>30000</v>
      </c>
      <c r="Z440" s="24">
        <f t="shared" si="20"/>
        <v>270000</v>
      </c>
      <c r="AB440" s="25">
        <v>270000</v>
      </c>
      <c r="AC440" s="26">
        <v>270000</v>
      </c>
      <c r="AD440" s="24">
        <v>0</v>
      </c>
      <c r="AE440" s="27">
        <f>_xlfn.XLOOKUP(B440,'Projects Cashflow'!$B:$B,'Projects Cashflow'!$AG:$AG,0)</f>
        <v>270000</v>
      </c>
      <c r="AF440" s="28">
        <f t="shared" si="21"/>
        <v>0</v>
      </c>
    </row>
    <row r="441" spans="2:32" x14ac:dyDescent="0.3">
      <c r="B441" s="14" t="str">
        <f t="shared" si="19"/>
        <v>45112504511001270E-E Ops and Prod-N1421125200104</v>
      </c>
      <c r="C441" s="21" t="s">
        <v>65</v>
      </c>
      <c r="D441" s="22">
        <v>4511250</v>
      </c>
      <c r="E441" s="21" t="s">
        <v>66</v>
      </c>
      <c r="F441" s="22">
        <v>4511001270</v>
      </c>
      <c r="G441" s="21" t="s">
        <v>1525</v>
      </c>
      <c r="H441" s="21" t="s">
        <v>1209</v>
      </c>
      <c r="I441" s="33">
        <v>421125</v>
      </c>
      <c r="J441" s="22">
        <v>200104</v>
      </c>
      <c r="K441" s="22" t="s">
        <v>2959</v>
      </c>
      <c r="L441" s="22">
        <v>70205</v>
      </c>
      <c r="M441" s="23" t="s">
        <v>2961</v>
      </c>
      <c r="N441" s="24">
        <v>0</v>
      </c>
      <c r="O441" s="24">
        <v>0</v>
      </c>
      <c r="P441" s="24">
        <v>0</v>
      </c>
      <c r="Q441" s="24">
        <v>0</v>
      </c>
      <c r="R441" s="24">
        <v>0</v>
      </c>
      <c r="S441" s="24">
        <v>0</v>
      </c>
      <c r="T441" s="24">
        <v>0</v>
      </c>
      <c r="U441" s="24">
        <v>0</v>
      </c>
      <c r="V441" s="24">
        <v>0</v>
      </c>
      <c r="W441" s="24">
        <v>0</v>
      </c>
      <c r="X441" s="24">
        <v>0</v>
      </c>
      <c r="Y441" s="24">
        <v>30000</v>
      </c>
      <c r="Z441" s="24">
        <f t="shared" si="20"/>
        <v>30000</v>
      </c>
      <c r="AB441" s="25">
        <v>41025</v>
      </c>
      <c r="AC441" s="26">
        <v>41025</v>
      </c>
      <c r="AD441" s="24">
        <v>0</v>
      </c>
      <c r="AE441" s="27">
        <f>_xlfn.XLOOKUP(B441,'Projects Cashflow'!$B:$B,'Projects Cashflow'!$AG:$AG,0)</f>
        <v>41025</v>
      </c>
      <c r="AF441" s="28">
        <f t="shared" si="21"/>
        <v>0</v>
      </c>
    </row>
    <row r="442" spans="2:32" x14ac:dyDescent="0.3">
      <c r="B442" s="14" t="str">
        <f t="shared" si="19"/>
        <v>45113004511000227Plant &amp; Tools-N491351300105</v>
      </c>
      <c r="C442" s="21" t="s">
        <v>65</v>
      </c>
      <c r="D442" s="22">
        <v>4511300</v>
      </c>
      <c r="E442" s="21" t="s">
        <v>287</v>
      </c>
      <c r="F442" s="22">
        <v>4511000227</v>
      </c>
      <c r="G442" s="21" t="s">
        <v>3020</v>
      </c>
      <c r="H442" s="21" t="s">
        <v>291</v>
      </c>
      <c r="I442" s="22">
        <v>491351</v>
      </c>
      <c r="J442" s="22">
        <v>300105</v>
      </c>
      <c r="K442" s="22" t="s">
        <v>2972</v>
      </c>
      <c r="L442" s="22">
        <v>70201</v>
      </c>
      <c r="M442" s="23" t="s">
        <v>2961</v>
      </c>
      <c r="N442" s="24">
        <v>0</v>
      </c>
      <c r="O442" s="24">
        <v>0</v>
      </c>
      <c r="P442" s="24">
        <v>7700</v>
      </c>
      <c r="Q442" s="24">
        <v>0</v>
      </c>
      <c r="R442" s="24">
        <v>0</v>
      </c>
      <c r="S442" s="24">
        <v>108833.54</v>
      </c>
      <c r="T442" s="24">
        <v>9558.0400000000009</v>
      </c>
      <c r="U442" s="24">
        <v>326670</v>
      </c>
      <c r="V442" s="24">
        <v>667238</v>
      </c>
      <c r="W442" s="24">
        <v>630000</v>
      </c>
      <c r="X442" s="24">
        <v>550000</v>
      </c>
      <c r="Y442" s="24">
        <v>700000</v>
      </c>
      <c r="Z442" s="24">
        <f t="shared" si="20"/>
        <v>2999999.58</v>
      </c>
      <c r="AB442" s="25">
        <v>8999999.5800000001</v>
      </c>
      <c r="AC442" s="26">
        <v>9000000</v>
      </c>
      <c r="AD442" s="24">
        <v>-0.41999999992549419</v>
      </c>
      <c r="AE442" s="27">
        <f>_xlfn.XLOOKUP(B442,'Projects Cashflow'!$B:$B,'Projects Cashflow'!$AG:$AG,0)</f>
        <v>9000000</v>
      </c>
      <c r="AF442" s="28">
        <f t="shared" si="21"/>
        <v>0.41999999992549419</v>
      </c>
    </row>
    <row r="443" spans="2:32" x14ac:dyDescent="0.3">
      <c r="B443" s="14" t="str">
        <f t="shared" si="19"/>
        <v>45113004511000227Admin Expenses-N421125200104</v>
      </c>
      <c r="C443" s="21" t="s">
        <v>65</v>
      </c>
      <c r="D443" s="22">
        <v>4511300</v>
      </c>
      <c r="E443" s="21" t="s">
        <v>287</v>
      </c>
      <c r="F443" s="22">
        <v>4511000227</v>
      </c>
      <c r="G443" s="21" t="s">
        <v>3020</v>
      </c>
      <c r="H443" s="21" t="s">
        <v>130</v>
      </c>
      <c r="I443" s="22">
        <v>421125</v>
      </c>
      <c r="J443" s="22">
        <v>200104</v>
      </c>
      <c r="K443" s="22" t="s">
        <v>2959</v>
      </c>
      <c r="L443" s="22">
        <v>70201</v>
      </c>
      <c r="M443" s="23" t="s">
        <v>2961</v>
      </c>
      <c r="N443" s="24">
        <v>0</v>
      </c>
      <c r="O443" s="24">
        <v>71939.5</v>
      </c>
      <c r="P443" s="24">
        <v>75777.50999999998</v>
      </c>
      <c r="Q443" s="24"/>
      <c r="R443" s="24">
        <v>100029</v>
      </c>
      <c r="S443" s="24">
        <v>50000</v>
      </c>
      <c r="T443" s="24">
        <v>200000</v>
      </c>
      <c r="U443" s="24">
        <v>200000</v>
      </c>
      <c r="V443" s="24">
        <v>200000</v>
      </c>
      <c r="W443" s="24">
        <v>300000</v>
      </c>
      <c r="X443" s="24">
        <v>400000</v>
      </c>
      <c r="Y443" s="24">
        <v>502254</v>
      </c>
      <c r="Z443" s="24">
        <f t="shared" si="20"/>
        <v>2100000.0099999998</v>
      </c>
      <c r="AB443" s="25">
        <v>1748354.0099999998</v>
      </c>
      <c r="AC443" s="42">
        <v>1748354</v>
      </c>
      <c r="AD443" s="24">
        <v>9.9999997764825821E-3</v>
      </c>
      <c r="AE443" s="27">
        <f>_xlfn.XLOOKUP(B443,'Projects Cashflow'!$B:$B,'Projects Cashflow'!$AG:$AG,0)</f>
        <v>1748354</v>
      </c>
      <c r="AF443" s="28">
        <f t="shared" si="21"/>
        <v>-9.9999997764825821E-3</v>
      </c>
    </row>
    <row r="444" spans="2:32" x14ac:dyDescent="0.3">
      <c r="B444" s="14" t="str">
        <f t="shared" si="19"/>
        <v>45113004511000227Mission &amp; Travel-N423821200104</v>
      </c>
      <c r="C444" s="21" t="s">
        <v>65</v>
      </c>
      <c r="D444" s="22">
        <v>4511300</v>
      </c>
      <c r="E444" s="21" t="s">
        <v>287</v>
      </c>
      <c r="F444" s="22">
        <v>4511000227</v>
      </c>
      <c r="G444" s="21" t="s">
        <v>3020</v>
      </c>
      <c r="H444" s="21" t="s">
        <v>54</v>
      </c>
      <c r="I444" s="22">
        <v>423821</v>
      </c>
      <c r="J444" s="22">
        <v>200104</v>
      </c>
      <c r="K444" s="22" t="s">
        <v>2959</v>
      </c>
      <c r="L444" s="22">
        <v>70201</v>
      </c>
      <c r="M444" s="23" t="s">
        <v>2961</v>
      </c>
      <c r="N444" s="24">
        <v>0</v>
      </c>
      <c r="O444" s="24">
        <v>73850</v>
      </c>
      <c r="P444" s="24">
        <v>36600</v>
      </c>
      <c r="Q444" s="24">
        <v>29800</v>
      </c>
      <c r="R444" s="24">
        <v>144750</v>
      </c>
      <c r="S444" s="24">
        <v>0</v>
      </c>
      <c r="T444" s="24">
        <v>200000</v>
      </c>
      <c r="U444" s="24">
        <v>100000</v>
      </c>
      <c r="V444" s="24">
        <v>100000</v>
      </c>
      <c r="W444" s="24">
        <v>100000</v>
      </c>
      <c r="X444" s="24">
        <v>100000</v>
      </c>
      <c r="Y444" s="24">
        <v>411049</v>
      </c>
      <c r="Z444" s="24">
        <f t="shared" si="20"/>
        <v>1296049</v>
      </c>
      <c r="AB444" s="25">
        <v>1296049</v>
      </c>
      <c r="AC444" s="26">
        <v>1296049</v>
      </c>
      <c r="AD444" s="24">
        <v>0</v>
      </c>
      <c r="AE444" s="27">
        <f>_xlfn.XLOOKUP(B444,'Projects Cashflow'!$B:$B,'Projects Cashflow'!$AG:$AG,0)</f>
        <v>1296049</v>
      </c>
      <c r="AF444" s="28">
        <f t="shared" si="21"/>
        <v>0</v>
      </c>
    </row>
    <row r="445" spans="2:32" x14ac:dyDescent="0.3">
      <c r="B445" s="14" t="str">
        <f t="shared" si="19"/>
        <v>45113004511000637Freelancers-N424521200104</v>
      </c>
      <c r="C445" s="21" t="s">
        <v>65</v>
      </c>
      <c r="D445" s="22">
        <v>4511300</v>
      </c>
      <c r="E445" s="21" t="s">
        <v>287</v>
      </c>
      <c r="F445" s="22">
        <v>4511000637</v>
      </c>
      <c r="G445" s="21" t="s">
        <v>3021</v>
      </c>
      <c r="H445" s="21" t="s">
        <v>50</v>
      </c>
      <c r="I445" s="22">
        <v>424521</v>
      </c>
      <c r="J445" s="22">
        <v>200104</v>
      </c>
      <c r="K445" s="22" t="s">
        <v>2959</v>
      </c>
      <c r="L445" s="22">
        <v>70201</v>
      </c>
      <c r="M445" s="23" t="s">
        <v>2961</v>
      </c>
      <c r="N445" s="24">
        <v>0</v>
      </c>
      <c r="O445" s="24">
        <v>0</v>
      </c>
      <c r="P445" s="24">
        <v>1488593.42</v>
      </c>
      <c r="Q445" s="24">
        <v>0</v>
      </c>
      <c r="R445" s="24">
        <v>0</v>
      </c>
      <c r="S445" s="24">
        <v>185506.26</v>
      </c>
      <c r="T445" s="24">
        <v>515572.83999999997</v>
      </c>
      <c r="U445" s="24">
        <v>412569.83999999997</v>
      </c>
      <c r="V445" s="24">
        <v>1055631</v>
      </c>
      <c r="W445" s="24">
        <v>2878421</v>
      </c>
      <c r="X445" s="24">
        <v>1172410</v>
      </c>
      <c r="Y445" s="24">
        <v>1181761.6399999999</v>
      </c>
      <c r="Z445" s="24">
        <f t="shared" si="20"/>
        <v>8890466</v>
      </c>
      <c r="AB445" s="25">
        <v>7890466</v>
      </c>
      <c r="AC445" s="26">
        <v>7890466</v>
      </c>
      <c r="AD445" s="24">
        <v>0</v>
      </c>
      <c r="AE445" s="27">
        <f>_xlfn.XLOOKUP(B445,'Projects Cashflow'!$B:$B,'Projects Cashflow'!$AG:$AG,0)</f>
        <v>7890466</v>
      </c>
      <c r="AF445" s="28">
        <f t="shared" si="21"/>
        <v>0</v>
      </c>
    </row>
    <row r="446" spans="2:32" x14ac:dyDescent="0.3">
      <c r="B446" s="14" t="str">
        <f t="shared" si="19"/>
        <v>45113004511000637Event Management-N422401200104</v>
      </c>
      <c r="C446" s="21" t="s">
        <v>65</v>
      </c>
      <c r="D446" s="22">
        <v>4511300</v>
      </c>
      <c r="E446" s="21" t="s">
        <v>287</v>
      </c>
      <c r="F446" s="22">
        <v>4511000637</v>
      </c>
      <c r="G446" s="21" t="s">
        <v>3021</v>
      </c>
      <c r="H446" s="21" t="s">
        <v>162</v>
      </c>
      <c r="I446" s="22">
        <v>422401</v>
      </c>
      <c r="J446" s="22">
        <v>200104</v>
      </c>
      <c r="K446" s="22" t="s">
        <v>2959</v>
      </c>
      <c r="L446" s="22">
        <v>70201</v>
      </c>
      <c r="M446" s="23" t="s">
        <v>2961</v>
      </c>
      <c r="N446" s="24">
        <v>0</v>
      </c>
      <c r="O446" s="24">
        <v>0</v>
      </c>
      <c r="P446" s="24">
        <v>0</v>
      </c>
      <c r="Q446" s="24">
        <v>42000</v>
      </c>
      <c r="R446" s="24">
        <v>0</v>
      </c>
      <c r="S446" s="24">
        <v>0</v>
      </c>
      <c r="T446" s="24">
        <v>0</v>
      </c>
      <c r="U446" s="24">
        <v>0</v>
      </c>
      <c r="V446" s="24">
        <v>0</v>
      </c>
      <c r="W446" s="24">
        <v>0</v>
      </c>
      <c r="X446" s="24">
        <v>0</v>
      </c>
      <c r="Y446" s="24">
        <v>0</v>
      </c>
      <c r="Z446" s="24">
        <f t="shared" si="20"/>
        <v>42000</v>
      </c>
      <c r="AB446" s="25">
        <v>42000</v>
      </c>
      <c r="AC446" s="26">
        <v>42000</v>
      </c>
      <c r="AD446" s="24">
        <v>0</v>
      </c>
      <c r="AE446" s="27">
        <f>_xlfn.XLOOKUP(B446,'Projects Cashflow'!$B:$B,'Projects Cashflow'!$AG:$AG,0)</f>
        <v>42000</v>
      </c>
      <c r="AF446" s="28">
        <f t="shared" si="21"/>
        <v>0</v>
      </c>
    </row>
    <row r="447" spans="2:32" x14ac:dyDescent="0.3">
      <c r="B447" s="14" t="str">
        <f t="shared" si="19"/>
        <v>45113004511000639Event Management-N422401200104</v>
      </c>
      <c r="C447" s="21" t="s">
        <v>65</v>
      </c>
      <c r="D447" s="22">
        <v>4511300</v>
      </c>
      <c r="E447" s="21" t="s">
        <v>287</v>
      </c>
      <c r="F447" s="22">
        <v>4511000639</v>
      </c>
      <c r="G447" s="21" t="s">
        <v>3022</v>
      </c>
      <c r="H447" s="21" t="s">
        <v>162</v>
      </c>
      <c r="I447" s="22">
        <v>422401</v>
      </c>
      <c r="J447" s="22">
        <v>200104</v>
      </c>
      <c r="K447" s="22" t="s">
        <v>2959</v>
      </c>
      <c r="L447" s="22">
        <v>70201</v>
      </c>
      <c r="M447" s="23" t="s">
        <v>2961</v>
      </c>
      <c r="N447" s="24">
        <v>0</v>
      </c>
      <c r="O447" s="24">
        <v>0</v>
      </c>
      <c r="P447" s="24">
        <v>0</v>
      </c>
      <c r="Q447" s="24">
        <v>0</v>
      </c>
      <c r="R447" s="24">
        <v>0</v>
      </c>
      <c r="S447" s="24">
        <v>0</v>
      </c>
      <c r="T447" s="24">
        <v>1245684</v>
      </c>
      <c r="U447" s="24">
        <v>400000</v>
      </c>
      <c r="V447" s="24">
        <v>4772921</v>
      </c>
      <c r="W447" s="24">
        <v>581395</v>
      </c>
      <c r="X447" s="24">
        <v>0</v>
      </c>
      <c r="Y447" s="24">
        <v>0</v>
      </c>
      <c r="Z447" s="24">
        <f t="shared" si="20"/>
        <v>7000000</v>
      </c>
      <c r="AB447" s="25">
        <v>4555000</v>
      </c>
      <c r="AC447" s="26">
        <v>4555000</v>
      </c>
      <c r="AD447" s="24">
        <v>0</v>
      </c>
      <c r="AE447" s="27">
        <f>_xlfn.XLOOKUP(B447,'Projects Cashflow'!$B:$B,'Projects Cashflow'!$AG:$AG,0)</f>
        <v>4555000</v>
      </c>
      <c r="AF447" s="28">
        <f t="shared" si="21"/>
        <v>0</v>
      </c>
    </row>
    <row r="448" spans="2:32" x14ac:dyDescent="0.3">
      <c r="B448" s="14" t="str">
        <f t="shared" si="19"/>
        <v>45113004511000639Research&amp;Survey-N423411200104</v>
      </c>
      <c r="C448" s="21" t="s">
        <v>65</v>
      </c>
      <c r="D448" s="22">
        <v>4511300</v>
      </c>
      <c r="E448" s="21" t="s">
        <v>287</v>
      </c>
      <c r="F448" s="22">
        <v>4511000639</v>
      </c>
      <c r="G448" s="21" t="s">
        <v>3022</v>
      </c>
      <c r="H448" s="21" t="s">
        <v>381</v>
      </c>
      <c r="I448" s="22">
        <v>423411</v>
      </c>
      <c r="J448" s="22">
        <v>200104</v>
      </c>
      <c r="K448" s="22" t="s">
        <v>2959</v>
      </c>
      <c r="L448" s="22">
        <v>70201</v>
      </c>
      <c r="M448" s="23" t="s">
        <v>2961</v>
      </c>
      <c r="N448" s="24">
        <v>0</v>
      </c>
      <c r="O448" s="24">
        <v>0</v>
      </c>
      <c r="P448" s="24">
        <v>0</v>
      </c>
      <c r="Q448" s="24">
        <v>120412</v>
      </c>
      <c r="R448" s="24">
        <v>259515</v>
      </c>
      <c r="S448" s="24">
        <v>410000</v>
      </c>
      <c r="T448" s="24">
        <v>530000</v>
      </c>
      <c r="U448" s="24">
        <v>0</v>
      </c>
      <c r="V448" s="24">
        <v>1220000</v>
      </c>
      <c r="W448" s="24">
        <v>90000</v>
      </c>
      <c r="X448" s="24">
        <v>860000</v>
      </c>
      <c r="Y448" s="24">
        <v>1321996</v>
      </c>
      <c r="Z448" s="24">
        <f t="shared" si="20"/>
        <v>4811923</v>
      </c>
      <c r="AB448" s="25">
        <v>5181396</v>
      </c>
      <c r="AC448" s="26">
        <v>5181396</v>
      </c>
      <c r="AD448" s="24">
        <v>0</v>
      </c>
      <c r="AE448" s="27">
        <f>_xlfn.XLOOKUP(B448,'Projects Cashflow'!$B:$B,'Projects Cashflow'!$AG:$AG,0)</f>
        <v>5181396</v>
      </c>
      <c r="AF448" s="28">
        <f t="shared" si="21"/>
        <v>0</v>
      </c>
    </row>
    <row r="449" spans="2:32" x14ac:dyDescent="0.3">
      <c r="B449" s="14" t="str">
        <f t="shared" si="19"/>
        <v>45113004511000639Freelancers-N424521200104</v>
      </c>
      <c r="C449" s="21" t="s">
        <v>65</v>
      </c>
      <c r="D449" s="22">
        <v>4511300</v>
      </c>
      <c r="E449" s="21" t="s">
        <v>287</v>
      </c>
      <c r="F449" s="22">
        <v>4511000639</v>
      </c>
      <c r="G449" s="21" t="s">
        <v>3022</v>
      </c>
      <c r="H449" s="21" t="s">
        <v>50</v>
      </c>
      <c r="I449" s="22">
        <v>424521</v>
      </c>
      <c r="J449" s="22">
        <v>200104</v>
      </c>
      <c r="K449" s="22" t="s">
        <v>2959</v>
      </c>
      <c r="L449" s="22">
        <v>70201</v>
      </c>
      <c r="M449" s="23" t="s">
        <v>2961</v>
      </c>
      <c r="N449" s="24">
        <v>0</v>
      </c>
      <c r="O449" s="24">
        <v>279017.5</v>
      </c>
      <c r="P449" s="24">
        <v>124625.5</v>
      </c>
      <c r="Q449" s="24">
        <v>0</v>
      </c>
      <c r="R449" s="24">
        <v>0</v>
      </c>
      <c r="S449" s="24">
        <v>31701</v>
      </c>
      <c r="T449" s="24">
        <v>80418</v>
      </c>
      <c r="U449" s="24">
        <v>74268</v>
      </c>
      <c r="V449" s="24">
        <v>74268</v>
      </c>
      <c r="W449" s="24">
        <v>139268</v>
      </c>
      <c r="X449" s="24">
        <v>99268</v>
      </c>
      <c r="Y449" s="24">
        <v>104719</v>
      </c>
      <c r="Z449" s="24">
        <f t="shared" si="20"/>
        <v>1007553</v>
      </c>
      <c r="AB449" s="25">
        <v>1267553</v>
      </c>
      <c r="AC449" s="26">
        <v>1267553</v>
      </c>
      <c r="AD449" s="24">
        <v>0</v>
      </c>
      <c r="AE449" s="27">
        <f>_xlfn.XLOOKUP(B449,'Projects Cashflow'!$B:$B,'Projects Cashflow'!$AG:$AG,0)</f>
        <v>1267553</v>
      </c>
      <c r="AF449" s="28">
        <f t="shared" si="21"/>
        <v>0</v>
      </c>
    </row>
    <row r="450" spans="2:32" x14ac:dyDescent="0.3">
      <c r="B450" s="14" t="str">
        <f t="shared" si="19"/>
        <v>45113004511000639Conserv-Restore-N3421125200104</v>
      </c>
      <c r="C450" s="21" t="s">
        <v>65</v>
      </c>
      <c r="D450" s="22">
        <v>4511300</v>
      </c>
      <c r="E450" s="21" t="s">
        <v>287</v>
      </c>
      <c r="F450" s="22">
        <v>4511000639</v>
      </c>
      <c r="G450" s="21" t="s">
        <v>3022</v>
      </c>
      <c r="H450" s="21" t="s">
        <v>791</v>
      </c>
      <c r="I450" s="22">
        <v>421125</v>
      </c>
      <c r="J450" s="22">
        <v>200104</v>
      </c>
      <c r="K450" s="22" t="s">
        <v>2959</v>
      </c>
      <c r="L450" s="22">
        <v>70201</v>
      </c>
      <c r="M450" s="23" t="s">
        <v>2961</v>
      </c>
      <c r="N450" s="24">
        <v>0</v>
      </c>
      <c r="O450" s="24">
        <v>0</v>
      </c>
      <c r="P450" s="24">
        <v>0</v>
      </c>
      <c r="Q450" s="24">
        <v>0</v>
      </c>
      <c r="R450" s="24">
        <v>149500</v>
      </c>
      <c r="S450" s="24">
        <v>50000</v>
      </c>
      <c r="T450" s="24">
        <v>3000</v>
      </c>
      <c r="U450" s="24">
        <v>143000</v>
      </c>
      <c r="V450" s="24">
        <v>148000</v>
      </c>
      <c r="W450" s="24">
        <v>52175</v>
      </c>
      <c r="X450" s="24">
        <v>35000</v>
      </c>
      <c r="Y450" s="24">
        <v>231488</v>
      </c>
      <c r="Z450" s="24">
        <f t="shared" si="20"/>
        <v>812163</v>
      </c>
      <c r="AB450" s="25">
        <v>1133458</v>
      </c>
      <c r="AC450" s="26">
        <v>1133458</v>
      </c>
      <c r="AD450" s="24">
        <v>0</v>
      </c>
      <c r="AE450" s="27">
        <f>_xlfn.XLOOKUP(B450,'Projects Cashflow'!$B:$B,'Projects Cashflow'!$AG:$AG,0)</f>
        <v>1133458</v>
      </c>
      <c r="AF450" s="28">
        <f t="shared" si="21"/>
        <v>0</v>
      </c>
    </row>
    <row r="451" spans="2:32" x14ac:dyDescent="0.3">
      <c r="B451" s="14" t="str">
        <f t="shared" si="19"/>
        <v>45113004511000639Cultural Advice-N424521200104</v>
      </c>
      <c r="C451" s="21" t="s">
        <v>65</v>
      </c>
      <c r="D451" s="22">
        <v>4511300</v>
      </c>
      <c r="E451" s="21" t="s">
        <v>287</v>
      </c>
      <c r="F451" s="22">
        <v>4511000639</v>
      </c>
      <c r="G451" s="21" t="s">
        <v>3022</v>
      </c>
      <c r="H451" s="21" t="s">
        <v>296</v>
      </c>
      <c r="I451" s="22">
        <v>424521</v>
      </c>
      <c r="J451" s="22">
        <v>200104</v>
      </c>
      <c r="K451" s="22" t="s">
        <v>2959</v>
      </c>
      <c r="L451" s="22">
        <v>70201</v>
      </c>
      <c r="M451" s="23" t="s">
        <v>2961</v>
      </c>
      <c r="N451" s="24">
        <v>0</v>
      </c>
      <c r="O451" s="24">
        <v>0</v>
      </c>
      <c r="P451" s="24">
        <v>0</v>
      </c>
      <c r="Q451" s="24">
        <v>0</v>
      </c>
      <c r="R451" s="24">
        <v>0</v>
      </c>
      <c r="S451" s="24">
        <v>391500</v>
      </c>
      <c r="T451" s="24">
        <v>0</v>
      </c>
      <c r="U451" s="24">
        <v>0</v>
      </c>
      <c r="V451" s="24">
        <v>0</v>
      </c>
      <c r="W451" s="24">
        <v>0</v>
      </c>
      <c r="X451" s="24">
        <v>193500</v>
      </c>
      <c r="Y451" s="24">
        <v>0</v>
      </c>
      <c r="Z451" s="24">
        <f t="shared" si="20"/>
        <v>585000</v>
      </c>
      <c r="AB451" s="25">
        <v>991000</v>
      </c>
      <c r="AC451" s="26">
        <v>991000</v>
      </c>
      <c r="AD451" s="24">
        <v>0</v>
      </c>
      <c r="AE451" s="27">
        <f>_xlfn.XLOOKUP(B451,'Projects Cashflow'!$B:$B,'Projects Cashflow'!$AG:$AG,0)</f>
        <v>991000</v>
      </c>
      <c r="AF451" s="28">
        <f t="shared" si="21"/>
        <v>0</v>
      </c>
    </row>
    <row r="452" spans="2:32" x14ac:dyDescent="0.3">
      <c r="B452" s="14" t="str">
        <f t="shared" si="19"/>
        <v>45113004511000639Architect Advice-N424521200104</v>
      </c>
      <c r="C452" s="21" t="s">
        <v>65</v>
      </c>
      <c r="D452" s="22">
        <v>4511300</v>
      </c>
      <c r="E452" s="21" t="s">
        <v>287</v>
      </c>
      <c r="F452" s="22">
        <v>4511000639</v>
      </c>
      <c r="G452" s="21" t="s">
        <v>3022</v>
      </c>
      <c r="H452" s="21" t="s">
        <v>790</v>
      </c>
      <c r="I452" s="22">
        <v>424521</v>
      </c>
      <c r="J452" s="22">
        <v>200104</v>
      </c>
      <c r="K452" s="22" t="s">
        <v>2959</v>
      </c>
      <c r="L452" s="22">
        <v>70201</v>
      </c>
      <c r="M452" s="23" t="s">
        <v>2961</v>
      </c>
      <c r="N452" s="24">
        <v>0</v>
      </c>
      <c r="O452" s="24">
        <v>0</v>
      </c>
      <c r="P452" s="24">
        <v>0</v>
      </c>
      <c r="Q452" s="24">
        <v>0</v>
      </c>
      <c r="R452" s="24">
        <v>0</v>
      </c>
      <c r="S452" s="24">
        <v>0</v>
      </c>
      <c r="T452" s="24">
        <v>125000</v>
      </c>
      <c r="U452" s="24">
        <v>25000</v>
      </c>
      <c r="V452" s="24">
        <v>25000</v>
      </c>
      <c r="W452" s="24">
        <v>25000</v>
      </c>
      <c r="X452" s="24">
        <v>15000</v>
      </c>
      <c r="Y452" s="24">
        <v>0</v>
      </c>
      <c r="Z452" s="24">
        <f t="shared" si="20"/>
        <v>215000</v>
      </c>
      <c r="AB452" s="25">
        <v>1430000</v>
      </c>
      <c r="AC452" s="26">
        <v>1430000</v>
      </c>
      <c r="AD452" s="24">
        <v>0</v>
      </c>
      <c r="AE452" s="27">
        <f>_xlfn.XLOOKUP(B452,'Projects Cashflow'!$B:$B,'Projects Cashflow'!$AG:$AG,0)</f>
        <v>1430000</v>
      </c>
      <c r="AF452" s="28">
        <f t="shared" si="21"/>
        <v>0</v>
      </c>
    </row>
    <row r="453" spans="2:32" x14ac:dyDescent="0.3">
      <c r="B453" s="14" t="str">
        <f t="shared" ref="B453:B516" si="22">D453&amp;F453&amp;H453&amp;I453&amp;J453</f>
        <v>45113004511000641CollectionConsrv-N421191200104</v>
      </c>
      <c r="C453" s="21" t="s">
        <v>65</v>
      </c>
      <c r="D453" s="22">
        <v>4511300</v>
      </c>
      <c r="E453" s="21" t="s">
        <v>287</v>
      </c>
      <c r="F453" s="22">
        <v>4511000641</v>
      </c>
      <c r="G453" s="21" t="s">
        <v>3023</v>
      </c>
      <c r="H453" s="21" t="s">
        <v>800</v>
      </c>
      <c r="I453" s="22">
        <v>421191</v>
      </c>
      <c r="J453" s="22">
        <v>200104</v>
      </c>
      <c r="K453" s="22" t="s">
        <v>2959</v>
      </c>
      <c r="L453" s="22">
        <v>70201</v>
      </c>
      <c r="M453" s="23" t="s">
        <v>2961</v>
      </c>
      <c r="N453" s="24">
        <v>0</v>
      </c>
      <c r="O453" s="24">
        <v>0</v>
      </c>
      <c r="P453" s="24">
        <v>0</v>
      </c>
      <c r="Q453" s="24">
        <v>0</v>
      </c>
      <c r="R453" s="24">
        <v>300000</v>
      </c>
      <c r="S453" s="24">
        <v>300000</v>
      </c>
      <c r="T453" s="24">
        <v>0</v>
      </c>
      <c r="U453" s="24">
        <v>400000</v>
      </c>
      <c r="V453" s="24">
        <v>400000</v>
      </c>
      <c r="W453" s="24">
        <v>0</v>
      </c>
      <c r="X453" s="24">
        <v>250000</v>
      </c>
      <c r="Y453" s="24">
        <v>0</v>
      </c>
      <c r="Z453" s="24">
        <f t="shared" ref="Z453:Z516" si="23">SUM(N453:Y453)</f>
        <v>1650000</v>
      </c>
      <c r="AB453" s="25">
        <v>1333821</v>
      </c>
      <c r="AC453" s="26">
        <v>1333821</v>
      </c>
      <c r="AD453" s="24">
        <v>0</v>
      </c>
      <c r="AE453" s="27">
        <f>_xlfn.XLOOKUP(B453,'Projects Cashflow'!$B:$B,'Projects Cashflow'!$AG:$AG,0)</f>
        <v>1333821</v>
      </c>
      <c r="AF453" s="28">
        <f t="shared" ref="AF453:AF516" si="24">AE453-AB453</f>
        <v>0</v>
      </c>
    </row>
    <row r="454" spans="2:32" x14ac:dyDescent="0.3">
      <c r="B454" s="14" t="str">
        <f t="shared" si="22"/>
        <v>45113004511000641Freelancers-N424521200104</v>
      </c>
      <c r="C454" s="21" t="s">
        <v>65</v>
      </c>
      <c r="D454" s="22">
        <v>4511300</v>
      </c>
      <c r="E454" s="21" t="s">
        <v>287</v>
      </c>
      <c r="F454" s="22">
        <v>4511000641</v>
      </c>
      <c r="G454" s="21" t="s">
        <v>3023</v>
      </c>
      <c r="H454" s="21" t="s">
        <v>50</v>
      </c>
      <c r="I454" s="22">
        <v>424521</v>
      </c>
      <c r="J454" s="22">
        <v>200104</v>
      </c>
      <c r="K454" s="22" t="s">
        <v>2959</v>
      </c>
      <c r="L454" s="22">
        <v>70201</v>
      </c>
      <c r="M454" s="23" t="s">
        <v>2961</v>
      </c>
      <c r="N454" s="24">
        <v>0</v>
      </c>
      <c r="O454" s="24">
        <v>0</v>
      </c>
      <c r="P454" s="24">
        <v>93000</v>
      </c>
      <c r="Q454" s="24">
        <v>0</v>
      </c>
      <c r="R454" s="24">
        <v>0</v>
      </c>
      <c r="S454" s="24">
        <v>0</v>
      </c>
      <c r="T454" s="24">
        <v>0</v>
      </c>
      <c r="U454" s="24">
        <v>50000</v>
      </c>
      <c r="V454" s="24">
        <v>0</v>
      </c>
      <c r="W454" s="24">
        <v>557000</v>
      </c>
      <c r="X454" s="24">
        <v>0</v>
      </c>
      <c r="Y454" s="24">
        <v>0</v>
      </c>
      <c r="Z454" s="24">
        <f t="shared" si="23"/>
        <v>700000</v>
      </c>
      <c r="AB454" s="25">
        <v>522000</v>
      </c>
      <c r="AC454" s="26">
        <v>522000</v>
      </c>
      <c r="AD454" s="24">
        <v>0</v>
      </c>
      <c r="AE454" s="27">
        <f>_xlfn.XLOOKUP(B454,'Projects Cashflow'!$B:$B,'Projects Cashflow'!$AG:$AG,0)</f>
        <v>522000</v>
      </c>
      <c r="AF454" s="28">
        <f t="shared" si="24"/>
        <v>0</v>
      </c>
    </row>
    <row r="455" spans="2:32" x14ac:dyDescent="0.3">
      <c r="B455" s="14" t="str">
        <f t="shared" si="22"/>
        <v>45113004511000644FeasibilityStudy-N424521200104</v>
      </c>
      <c r="C455" s="21" t="s">
        <v>65</v>
      </c>
      <c r="D455" s="22">
        <v>4511300</v>
      </c>
      <c r="E455" s="21" t="s">
        <v>287</v>
      </c>
      <c r="F455" s="22">
        <v>4511000644</v>
      </c>
      <c r="G455" s="21" t="s">
        <v>3024</v>
      </c>
      <c r="H455" s="21" t="s">
        <v>792</v>
      </c>
      <c r="I455" s="22">
        <v>424521</v>
      </c>
      <c r="J455" s="22">
        <v>200104</v>
      </c>
      <c r="K455" s="22" t="s">
        <v>2959</v>
      </c>
      <c r="L455" s="22">
        <v>70201</v>
      </c>
      <c r="M455" s="23" t="s">
        <v>2961</v>
      </c>
      <c r="N455" s="24">
        <v>0</v>
      </c>
      <c r="O455" s="24">
        <v>0</v>
      </c>
      <c r="P455" s="24">
        <v>0</v>
      </c>
      <c r="Q455" s="24">
        <v>0</v>
      </c>
      <c r="R455" s="24">
        <v>0</v>
      </c>
      <c r="S455" s="24">
        <v>627488</v>
      </c>
      <c r="T455" s="24">
        <v>250000</v>
      </c>
      <c r="U455" s="24">
        <v>800000</v>
      </c>
      <c r="V455" s="24">
        <v>627488</v>
      </c>
      <c r="W455" s="24">
        <v>250000</v>
      </c>
      <c r="X455" s="24">
        <v>663884</v>
      </c>
      <c r="Y455" s="24">
        <v>0</v>
      </c>
      <c r="Z455" s="24">
        <f t="shared" si="23"/>
        <v>3218860</v>
      </c>
      <c r="AB455" s="25">
        <v>3758860</v>
      </c>
      <c r="AC455" s="26">
        <v>3758860</v>
      </c>
      <c r="AD455" s="24">
        <v>0</v>
      </c>
      <c r="AE455" s="27">
        <f>_xlfn.XLOOKUP(B455,'Projects Cashflow'!$B:$B,'Projects Cashflow'!$AG:$AG,0)</f>
        <v>3758860</v>
      </c>
      <c r="AF455" s="28">
        <f t="shared" si="24"/>
        <v>0</v>
      </c>
    </row>
    <row r="456" spans="2:32" x14ac:dyDescent="0.3">
      <c r="B456" s="14" t="str">
        <f t="shared" si="22"/>
        <v>45113004511000646Research&amp;Survey-N423411200104</v>
      </c>
      <c r="C456" s="21" t="s">
        <v>65</v>
      </c>
      <c r="D456" s="22">
        <v>4511300</v>
      </c>
      <c r="E456" s="21" t="s">
        <v>287</v>
      </c>
      <c r="F456" s="22">
        <v>4511000646</v>
      </c>
      <c r="G456" s="21" t="s">
        <v>3025</v>
      </c>
      <c r="H456" s="21" t="s">
        <v>381</v>
      </c>
      <c r="I456" s="22">
        <v>423411</v>
      </c>
      <c r="J456" s="22">
        <v>200104</v>
      </c>
      <c r="K456" s="22" t="s">
        <v>2959</v>
      </c>
      <c r="L456" s="22">
        <v>70201</v>
      </c>
      <c r="M456" s="23" t="s">
        <v>2961</v>
      </c>
      <c r="N456" s="24">
        <v>0</v>
      </c>
      <c r="O456" s="24">
        <v>0</v>
      </c>
      <c r="P456" s="24">
        <v>0</v>
      </c>
      <c r="Q456" s="24">
        <v>30000</v>
      </c>
      <c r="R456" s="24">
        <v>0</v>
      </c>
      <c r="S456" s="24">
        <v>30000</v>
      </c>
      <c r="T456" s="24">
        <v>0</v>
      </c>
      <c r="U456" s="24">
        <v>30000</v>
      </c>
      <c r="V456" s="24">
        <v>0</v>
      </c>
      <c r="W456" s="24">
        <v>30000</v>
      </c>
      <c r="X456" s="24">
        <v>802080</v>
      </c>
      <c r="Y456" s="24">
        <v>400000</v>
      </c>
      <c r="Z456" s="24">
        <f t="shared" si="23"/>
        <v>1322080</v>
      </c>
      <c r="AB456" s="25">
        <v>1322080</v>
      </c>
      <c r="AC456" s="26">
        <v>1322080</v>
      </c>
      <c r="AD456" s="24">
        <v>0</v>
      </c>
      <c r="AE456" s="27">
        <f>_xlfn.XLOOKUP(B456,'Projects Cashflow'!$B:$B,'Projects Cashflow'!$AG:$AG,0)</f>
        <v>1322080</v>
      </c>
      <c r="AF456" s="28">
        <f t="shared" si="24"/>
        <v>0</v>
      </c>
    </row>
    <row r="457" spans="2:32" x14ac:dyDescent="0.3">
      <c r="B457" s="14" t="str">
        <f t="shared" si="22"/>
        <v>45113004511000646Freelancers-N424521200104</v>
      </c>
      <c r="C457" s="21" t="s">
        <v>65</v>
      </c>
      <c r="D457" s="22">
        <v>4511300</v>
      </c>
      <c r="E457" s="21" t="s">
        <v>287</v>
      </c>
      <c r="F457" s="22">
        <v>4511000646</v>
      </c>
      <c r="G457" s="21" t="s">
        <v>3025</v>
      </c>
      <c r="H457" s="21" t="s">
        <v>50</v>
      </c>
      <c r="I457" s="22">
        <v>424521</v>
      </c>
      <c r="J457" s="22">
        <v>200104</v>
      </c>
      <c r="K457" s="22" t="s">
        <v>2959</v>
      </c>
      <c r="L457" s="22">
        <v>70201</v>
      </c>
      <c r="M457" s="23" t="s">
        <v>2961</v>
      </c>
      <c r="N457" s="24">
        <v>0</v>
      </c>
      <c r="O457" s="24">
        <v>0</v>
      </c>
      <c r="P457" s="24">
        <v>0</v>
      </c>
      <c r="Q457" s="24">
        <v>35000</v>
      </c>
      <c r="R457" s="24">
        <v>35000</v>
      </c>
      <c r="S457" s="24">
        <v>35000</v>
      </c>
      <c r="T457" s="24">
        <v>35400</v>
      </c>
      <c r="U457" s="24">
        <v>0</v>
      </c>
      <c r="V457" s="24">
        <v>0</v>
      </c>
      <c r="W457" s="24">
        <v>0</v>
      </c>
      <c r="X457" s="24">
        <v>0</v>
      </c>
      <c r="Y457" s="24">
        <v>0</v>
      </c>
      <c r="Z457" s="24">
        <f t="shared" si="23"/>
        <v>140400</v>
      </c>
      <c r="AB457" s="25">
        <v>80000</v>
      </c>
      <c r="AC457" s="26">
        <v>80000</v>
      </c>
      <c r="AD457" s="24">
        <v>0</v>
      </c>
      <c r="AE457" s="27">
        <f>_xlfn.XLOOKUP(B457,'Projects Cashflow'!$B:$B,'Projects Cashflow'!$AG:$AG,0)</f>
        <v>80000</v>
      </c>
      <c r="AF457" s="28">
        <f t="shared" si="24"/>
        <v>0</v>
      </c>
    </row>
    <row r="458" spans="2:32" x14ac:dyDescent="0.3">
      <c r="B458" s="14" t="str">
        <f t="shared" si="22"/>
        <v>45113004511001292Research&amp;Survey-N423411200104</v>
      </c>
      <c r="C458" s="21" t="s">
        <v>65</v>
      </c>
      <c r="D458" s="22">
        <v>4511300</v>
      </c>
      <c r="E458" s="21" t="s">
        <v>287</v>
      </c>
      <c r="F458" s="22">
        <v>4511001292</v>
      </c>
      <c r="G458" s="21" t="s">
        <v>3026</v>
      </c>
      <c r="H458" s="21" t="s">
        <v>381</v>
      </c>
      <c r="I458" s="22">
        <v>423411</v>
      </c>
      <c r="J458" s="22">
        <v>200104</v>
      </c>
      <c r="K458" s="22" t="s">
        <v>2959</v>
      </c>
      <c r="L458" s="22">
        <v>70201</v>
      </c>
      <c r="M458" s="23" t="s">
        <v>2961</v>
      </c>
      <c r="N458" s="24">
        <v>0</v>
      </c>
      <c r="O458" s="24">
        <v>0</v>
      </c>
      <c r="P458" s="24">
        <v>0</v>
      </c>
      <c r="Q458" s="24">
        <v>0</v>
      </c>
      <c r="R458" s="24">
        <v>0</v>
      </c>
      <c r="S458" s="24">
        <v>0</v>
      </c>
      <c r="T458" s="24">
        <v>0</v>
      </c>
      <c r="U458" s="24">
        <v>0</v>
      </c>
      <c r="V458" s="24">
        <v>0</v>
      </c>
      <c r="W458" s="24">
        <v>0</v>
      </c>
      <c r="X458" s="24">
        <v>0</v>
      </c>
      <c r="Y458" s="24">
        <v>200000</v>
      </c>
      <c r="Z458" s="24">
        <f t="shared" si="23"/>
        <v>200000</v>
      </c>
      <c r="AB458" s="25">
        <v>186710</v>
      </c>
      <c r="AC458" s="26">
        <v>186710</v>
      </c>
      <c r="AD458" s="24">
        <v>0</v>
      </c>
      <c r="AE458" s="27">
        <f>_xlfn.XLOOKUP(B458,'Projects Cashflow'!$B:$B,'Projects Cashflow'!$AG:$AG,0)</f>
        <v>186710</v>
      </c>
      <c r="AF458" s="28">
        <f t="shared" si="24"/>
        <v>0</v>
      </c>
    </row>
    <row r="459" spans="2:32" x14ac:dyDescent="0.3">
      <c r="B459" s="14" t="str">
        <f t="shared" si="22"/>
        <v>45113004511001379Research&amp;Survey-N423411200104</v>
      </c>
      <c r="C459" s="21" t="s">
        <v>65</v>
      </c>
      <c r="D459" s="22">
        <v>4511300</v>
      </c>
      <c r="E459" s="21" t="s">
        <v>287</v>
      </c>
      <c r="F459" s="22">
        <v>4511001379</v>
      </c>
      <c r="G459" s="21" t="s">
        <v>1629</v>
      </c>
      <c r="H459" s="21" t="s">
        <v>381</v>
      </c>
      <c r="I459" s="22">
        <v>423411</v>
      </c>
      <c r="J459" s="22">
        <v>200104</v>
      </c>
      <c r="K459" s="22" t="s">
        <v>2959</v>
      </c>
      <c r="L459" s="22">
        <v>70201</v>
      </c>
      <c r="M459" s="23" t="s">
        <v>2961</v>
      </c>
      <c r="N459" s="24">
        <v>0</v>
      </c>
      <c r="O459" s="24">
        <v>0</v>
      </c>
      <c r="P459" s="24">
        <v>0</v>
      </c>
      <c r="Q459" s="24">
        <v>229188</v>
      </c>
      <c r="R459" s="24">
        <v>317056</v>
      </c>
      <c r="S459" s="24">
        <v>796378</v>
      </c>
      <c r="T459" s="24">
        <v>317056</v>
      </c>
      <c r="U459" s="24">
        <v>382008</v>
      </c>
      <c r="V459" s="24">
        <v>1312528</v>
      </c>
      <c r="W459" s="24">
        <v>892836</v>
      </c>
      <c r="X459" s="24">
        <v>1221614</v>
      </c>
      <c r="Y459" s="24">
        <v>398189</v>
      </c>
      <c r="Z459" s="24">
        <f t="shared" si="23"/>
        <v>5866853</v>
      </c>
      <c r="AB459" s="25">
        <v>4370395.9399999995</v>
      </c>
      <c r="AC459" s="26">
        <v>4370395.9400000004</v>
      </c>
      <c r="AD459" s="24">
        <v>0</v>
      </c>
      <c r="AE459" s="27">
        <f>_xlfn.XLOOKUP(B459,'Projects Cashflow'!$B:$B,'Projects Cashflow'!$AG:$AG,0)</f>
        <v>4370395.9400000004</v>
      </c>
      <c r="AF459" s="28">
        <f t="shared" si="24"/>
        <v>0</v>
      </c>
    </row>
    <row r="460" spans="2:32" x14ac:dyDescent="0.3">
      <c r="B460" s="14" t="str">
        <f t="shared" si="22"/>
        <v>45113004511001467Freelancers-N424521200104</v>
      </c>
      <c r="C460" s="21" t="s">
        <v>65</v>
      </c>
      <c r="D460" s="22">
        <v>4511300</v>
      </c>
      <c r="E460" s="21" t="s">
        <v>287</v>
      </c>
      <c r="F460" s="22">
        <v>4511001467</v>
      </c>
      <c r="G460" s="21" t="s">
        <v>1770</v>
      </c>
      <c r="H460" s="21" t="s">
        <v>50</v>
      </c>
      <c r="I460" s="22">
        <v>424521</v>
      </c>
      <c r="J460" s="22">
        <v>200104</v>
      </c>
      <c r="K460" s="22" t="s">
        <v>2959</v>
      </c>
      <c r="L460" s="22">
        <v>70201</v>
      </c>
      <c r="M460" s="23" t="s">
        <v>2969</v>
      </c>
      <c r="N460" s="24">
        <v>0</v>
      </c>
      <c r="O460" s="24">
        <v>0</v>
      </c>
      <c r="P460" s="24">
        <v>0</v>
      </c>
      <c r="Q460" s="24">
        <v>0</v>
      </c>
      <c r="R460" s="24">
        <v>125000</v>
      </c>
      <c r="S460" s="24">
        <v>0</v>
      </c>
      <c r="T460" s="24">
        <v>0</v>
      </c>
      <c r="U460" s="24">
        <v>125000</v>
      </c>
      <c r="V460" s="24">
        <v>0</v>
      </c>
      <c r="W460" s="24">
        <v>125000</v>
      </c>
      <c r="X460" s="24">
        <v>125000</v>
      </c>
      <c r="Y460" s="24">
        <v>0</v>
      </c>
      <c r="Z460" s="24">
        <f t="shared" si="23"/>
        <v>500000</v>
      </c>
      <c r="AB460" s="25">
        <v>500000</v>
      </c>
      <c r="AC460" s="26">
        <v>500000</v>
      </c>
      <c r="AD460" s="24">
        <v>0</v>
      </c>
      <c r="AE460" s="27">
        <f>_xlfn.XLOOKUP(B460,'Projects Cashflow'!$B:$B,'Projects Cashflow'!$AG:$AG,0)</f>
        <v>500000</v>
      </c>
      <c r="AF460" s="28">
        <f t="shared" si="24"/>
        <v>0</v>
      </c>
    </row>
    <row r="461" spans="2:32" x14ac:dyDescent="0.3">
      <c r="B461" s="14" t="str">
        <f t="shared" si="22"/>
        <v>45113004511001542Print Runs-N424791200104</v>
      </c>
      <c r="C461" s="21" t="s">
        <v>65</v>
      </c>
      <c r="D461" s="22">
        <v>4511300</v>
      </c>
      <c r="E461" s="21" t="s">
        <v>287</v>
      </c>
      <c r="F461" s="22">
        <v>4511001542</v>
      </c>
      <c r="G461" s="21" t="s">
        <v>1970</v>
      </c>
      <c r="H461" s="21" t="s">
        <v>304</v>
      </c>
      <c r="I461" s="22">
        <v>424791</v>
      </c>
      <c r="J461" s="22">
        <v>200104</v>
      </c>
      <c r="K461" s="22" t="s">
        <v>2959</v>
      </c>
      <c r="L461" s="22">
        <v>70204</v>
      </c>
      <c r="M461" s="23" t="s">
        <v>2961</v>
      </c>
      <c r="N461" s="24">
        <v>0</v>
      </c>
      <c r="O461" s="24">
        <v>0</v>
      </c>
      <c r="P461" s="24">
        <v>0</v>
      </c>
      <c r="Q461" s="24">
        <v>0</v>
      </c>
      <c r="R461" s="24">
        <v>0</v>
      </c>
      <c r="S461" s="24">
        <v>0</v>
      </c>
      <c r="T461" s="24">
        <v>200000</v>
      </c>
      <c r="U461" s="24">
        <v>0</v>
      </c>
      <c r="V461" s="24">
        <v>200000</v>
      </c>
      <c r="W461" s="24">
        <v>0</v>
      </c>
      <c r="X461" s="24">
        <v>200000</v>
      </c>
      <c r="Y461" s="24">
        <v>0</v>
      </c>
      <c r="Z461" s="24">
        <f t="shared" si="23"/>
        <v>600000</v>
      </c>
      <c r="AB461" s="25">
        <v>600000</v>
      </c>
      <c r="AC461" s="26">
        <v>600000</v>
      </c>
      <c r="AD461" s="24">
        <v>0</v>
      </c>
      <c r="AE461" s="27">
        <f>_xlfn.XLOOKUP(B461,'Projects Cashflow'!$B:$B,'Projects Cashflow'!$AG:$AG,0)</f>
        <v>600000</v>
      </c>
      <c r="AF461" s="28">
        <f t="shared" si="24"/>
        <v>0</v>
      </c>
    </row>
    <row r="462" spans="2:32" x14ac:dyDescent="0.3">
      <c r="B462" s="14" t="str">
        <f t="shared" si="22"/>
        <v>45113004511001543Research&amp;Survey-N423411200104</v>
      </c>
      <c r="C462" s="21" t="s">
        <v>65</v>
      </c>
      <c r="D462" s="22">
        <v>4511300</v>
      </c>
      <c r="E462" s="21" t="s">
        <v>287</v>
      </c>
      <c r="F462" s="22">
        <v>4511001543</v>
      </c>
      <c r="G462" s="21" t="s">
        <v>1973</v>
      </c>
      <c r="H462" s="21" t="s">
        <v>381</v>
      </c>
      <c r="I462" s="22">
        <v>423411</v>
      </c>
      <c r="J462" s="22">
        <v>200104</v>
      </c>
      <c r="K462" s="22" t="s">
        <v>2959</v>
      </c>
      <c r="L462" s="22">
        <v>70204</v>
      </c>
      <c r="M462" s="23" t="s">
        <v>2961</v>
      </c>
      <c r="N462" s="24">
        <v>0</v>
      </c>
      <c r="O462" s="24">
        <v>0</v>
      </c>
      <c r="P462" s="24">
        <v>0</v>
      </c>
      <c r="Q462" s="24">
        <v>0</v>
      </c>
      <c r="R462" s="24">
        <v>0</v>
      </c>
      <c r="S462" s="24">
        <v>524073</v>
      </c>
      <c r="T462" s="24">
        <v>2087708.37</v>
      </c>
      <c r="U462" s="24">
        <v>92256.33</v>
      </c>
      <c r="V462" s="24">
        <v>978218.26</v>
      </c>
      <c r="W462" s="24">
        <v>575742.32999999996</v>
      </c>
      <c r="X462" s="24">
        <v>3424850.33</v>
      </c>
      <c r="Y462" s="24">
        <v>2394277</v>
      </c>
      <c r="Z462" s="24">
        <f t="shared" si="23"/>
        <v>10077125.620000001</v>
      </c>
      <c r="AB462" s="25">
        <v>6180899.620000001</v>
      </c>
      <c r="AC462" s="26">
        <v>6180900</v>
      </c>
      <c r="AD462" s="24">
        <v>-0.37999999895691872</v>
      </c>
      <c r="AE462" s="27">
        <f>_xlfn.XLOOKUP(B462,'Projects Cashflow'!$B:$B,'Projects Cashflow'!$AG:$AG,0)</f>
        <v>6180900</v>
      </c>
      <c r="AF462" s="28">
        <f t="shared" si="24"/>
        <v>0.37999999895691872</v>
      </c>
    </row>
    <row r="463" spans="2:32" x14ac:dyDescent="0.3">
      <c r="B463" s="14" t="str">
        <f t="shared" si="22"/>
        <v>45113004511001544Research&amp;Survey-N423411200104</v>
      </c>
      <c r="C463" s="21" t="s">
        <v>65</v>
      </c>
      <c r="D463" s="22">
        <v>4511300</v>
      </c>
      <c r="E463" s="21" t="s">
        <v>287</v>
      </c>
      <c r="F463" s="22">
        <v>4511001544</v>
      </c>
      <c r="G463" s="21" t="s">
        <v>1976</v>
      </c>
      <c r="H463" s="21" t="s">
        <v>381</v>
      </c>
      <c r="I463" s="22">
        <v>423411</v>
      </c>
      <c r="J463" s="22">
        <v>200104</v>
      </c>
      <c r="K463" s="22" t="s">
        <v>2959</v>
      </c>
      <c r="L463" s="22">
        <v>70204</v>
      </c>
      <c r="M463" s="23" t="s">
        <v>2961</v>
      </c>
      <c r="N463" s="24">
        <v>0</v>
      </c>
      <c r="O463" s="24">
        <v>0</v>
      </c>
      <c r="P463" s="24">
        <v>0</v>
      </c>
      <c r="Q463" s="24">
        <v>0</v>
      </c>
      <c r="R463" s="24">
        <v>0</v>
      </c>
      <c r="S463" s="24">
        <v>70000</v>
      </c>
      <c r="T463" s="24">
        <v>105235</v>
      </c>
      <c r="U463" s="24">
        <v>190000</v>
      </c>
      <c r="V463" s="24">
        <v>172500</v>
      </c>
      <c r="W463" s="24">
        <v>317000</v>
      </c>
      <c r="X463" s="24">
        <v>1165000</v>
      </c>
      <c r="Y463" s="24">
        <v>0</v>
      </c>
      <c r="Z463" s="24">
        <f t="shared" si="23"/>
        <v>2019735</v>
      </c>
      <c r="AB463" s="25">
        <v>2019735</v>
      </c>
      <c r="AC463" s="26">
        <v>2019735</v>
      </c>
      <c r="AD463" s="24">
        <v>0</v>
      </c>
      <c r="AE463" s="27">
        <f>_xlfn.XLOOKUP(B463,'Projects Cashflow'!$B:$B,'Projects Cashflow'!$AG:$AG,0)</f>
        <v>2019735</v>
      </c>
      <c r="AF463" s="28">
        <f t="shared" si="24"/>
        <v>0</v>
      </c>
    </row>
    <row r="464" spans="2:32" x14ac:dyDescent="0.3">
      <c r="B464" s="14" t="str">
        <f t="shared" si="22"/>
        <v>45115504511000019PR Mgmnt E-E-N424781200104</v>
      </c>
      <c r="C464" s="21" t="s">
        <v>65</v>
      </c>
      <c r="D464" s="22">
        <v>4511550</v>
      </c>
      <c r="E464" s="21" t="s">
        <v>3027</v>
      </c>
      <c r="F464" s="22">
        <v>4511000019</v>
      </c>
      <c r="G464" s="21" t="s">
        <v>2982</v>
      </c>
      <c r="H464" s="21" t="s">
        <v>99</v>
      </c>
      <c r="I464" s="22">
        <v>424781</v>
      </c>
      <c r="J464" s="22">
        <v>200104</v>
      </c>
      <c r="K464" s="22" t="s">
        <v>2959</v>
      </c>
      <c r="L464" s="22">
        <v>70206</v>
      </c>
      <c r="M464" s="23" t="s">
        <v>2961</v>
      </c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4">
        <f t="shared" si="23"/>
        <v>0</v>
      </c>
      <c r="AB464" s="25">
        <v>4750</v>
      </c>
      <c r="AC464" s="26">
        <v>4750</v>
      </c>
      <c r="AD464" s="32">
        <v>0</v>
      </c>
      <c r="AE464" s="27">
        <f>_xlfn.XLOOKUP(B464,'Projects Cashflow'!$B:$B,'Projects Cashflow'!$AG:$AG,0)</f>
        <v>0</v>
      </c>
      <c r="AF464" s="28">
        <f t="shared" si="24"/>
        <v>-4750</v>
      </c>
    </row>
    <row r="465" spans="2:32" x14ac:dyDescent="0.3">
      <c r="B465" s="14" t="str">
        <f t="shared" si="22"/>
        <v>45115504511000063Collaterals-N422511200104</v>
      </c>
      <c r="C465" s="21" t="s">
        <v>65</v>
      </c>
      <c r="D465" s="22">
        <v>4511550</v>
      </c>
      <c r="E465" s="21" t="s">
        <v>3027</v>
      </c>
      <c r="F465" s="22">
        <v>4511000063</v>
      </c>
      <c r="G465" s="21" t="s">
        <v>2983</v>
      </c>
      <c r="H465" s="21" t="s">
        <v>150</v>
      </c>
      <c r="I465" s="22">
        <v>422511</v>
      </c>
      <c r="J465" s="22">
        <v>200104</v>
      </c>
      <c r="K465" s="22" t="s">
        <v>2959</v>
      </c>
      <c r="L465" s="22">
        <v>70205</v>
      </c>
      <c r="M465" s="23" t="s">
        <v>2961</v>
      </c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4">
        <f t="shared" si="23"/>
        <v>0</v>
      </c>
      <c r="AB465" s="25">
        <v>16800</v>
      </c>
      <c r="AC465" s="26">
        <v>18500</v>
      </c>
      <c r="AD465" s="32">
        <v>-1700</v>
      </c>
      <c r="AE465" s="27">
        <f>_xlfn.XLOOKUP(B465,'Projects Cashflow'!$B:$B,'Projects Cashflow'!$AG:$AG,0)</f>
        <v>18500</v>
      </c>
      <c r="AF465" s="28">
        <f t="shared" si="24"/>
        <v>1700</v>
      </c>
    </row>
    <row r="466" spans="2:32" x14ac:dyDescent="0.3">
      <c r="B466" s="14" t="str">
        <f t="shared" si="22"/>
        <v>45115504511000088Media Mgmnt &amp;Buy-N422511200104</v>
      </c>
      <c r="C466" s="21" t="s">
        <v>65</v>
      </c>
      <c r="D466" s="22">
        <v>4511550</v>
      </c>
      <c r="E466" s="21" t="s">
        <v>3027</v>
      </c>
      <c r="F466" s="22">
        <v>4511000088</v>
      </c>
      <c r="G466" s="21" t="s">
        <v>3028</v>
      </c>
      <c r="H466" s="21" t="s">
        <v>166</v>
      </c>
      <c r="I466" s="22">
        <v>422511</v>
      </c>
      <c r="J466" s="22">
        <v>200104</v>
      </c>
      <c r="K466" s="22" t="s">
        <v>2959</v>
      </c>
      <c r="L466" s="22">
        <v>70206</v>
      </c>
      <c r="M466" s="23" t="s">
        <v>2961</v>
      </c>
      <c r="N466" s="24">
        <v>0</v>
      </c>
      <c r="O466" s="24">
        <v>0</v>
      </c>
      <c r="P466" s="24">
        <v>0</v>
      </c>
      <c r="Q466" s="24">
        <v>0</v>
      </c>
      <c r="R466" s="24">
        <v>0</v>
      </c>
      <c r="S466" s="24">
        <v>0</v>
      </c>
      <c r="T466" s="24">
        <v>299240</v>
      </c>
      <c r="U466" s="24">
        <v>100000</v>
      </c>
      <c r="V466" s="24">
        <v>300000</v>
      </c>
      <c r="W466" s="24">
        <v>250000</v>
      </c>
      <c r="X466" s="24">
        <v>350000</v>
      </c>
      <c r="Y466" s="24">
        <v>0</v>
      </c>
      <c r="Z466" s="24">
        <f t="shared" si="23"/>
        <v>1299240</v>
      </c>
      <c r="AB466" s="25">
        <v>100000</v>
      </c>
      <c r="AC466" s="26">
        <v>100000</v>
      </c>
      <c r="AD466" s="24">
        <v>0</v>
      </c>
      <c r="AE466" s="27">
        <f>_xlfn.XLOOKUP(B466,'Projects Cashflow'!$B:$B,'Projects Cashflow'!$AG:$AG,0)</f>
        <v>100000</v>
      </c>
      <c r="AF466" s="28">
        <f t="shared" si="24"/>
        <v>0</v>
      </c>
    </row>
    <row r="467" spans="2:32" x14ac:dyDescent="0.3">
      <c r="B467" s="14" t="str">
        <f t="shared" si="22"/>
        <v>45115504511000088Collaterals-N422511200104</v>
      </c>
      <c r="C467" s="21" t="s">
        <v>65</v>
      </c>
      <c r="D467" s="22">
        <v>4511550</v>
      </c>
      <c r="E467" s="21" t="s">
        <v>3027</v>
      </c>
      <c r="F467" s="22">
        <v>4511000088</v>
      </c>
      <c r="G467" s="21" t="s">
        <v>3028</v>
      </c>
      <c r="H467" s="21" t="s">
        <v>150</v>
      </c>
      <c r="I467" s="22">
        <v>422511</v>
      </c>
      <c r="J467" s="22">
        <v>200104</v>
      </c>
      <c r="K467" s="22" t="s">
        <v>2959</v>
      </c>
      <c r="L467" s="22">
        <v>70205</v>
      </c>
      <c r="M467" s="23" t="s">
        <v>2961</v>
      </c>
      <c r="N467" s="24">
        <v>0</v>
      </c>
      <c r="O467" s="24">
        <v>0</v>
      </c>
      <c r="P467" s="24">
        <v>0</v>
      </c>
      <c r="Q467" s="24">
        <v>0</v>
      </c>
      <c r="R467" s="24">
        <v>0</v>
      </c>
      <c r="S467" s="24">
        <v>0</v>
      </c>
      <c r="T467" s="24">
        <v>0</v>
      </c>
      <c r="U467" s="24">
        <v>0</v>
      </c>
      <c r="V467" s="24">
        <v>0</v>
      </c>
      <c r="W467" s="24">
        <v>37260</v>
      </c>
      <c r="X467" s="24">
        <v>0</v>
      </c>
      <c r="Y467" s="24">
        <v>0</v>
      </c>
      <c r="Z467" s="24">
        <f t="shared" si="23"/>
        <v>37260</v>
      </c>
      <c r="AB467" s="25">
        <v>20460</v>
      </c>
      <c r="AC467" s="26">
        <v>20460</v>
      </c>
      <c r="AD467" s="24">
        <v>0</v>
      </c>
      <c r="AE467" s="27">
        <f>_xlfn.XLOOKUP(B467,'Projects Cashflow'!$B:$B,'Projects Cashflow'!$AG:$AG,0)</f>
        <v>20460</v>
      </c>
      <c r="AF467" s="28">
        <f t="shared" si="24"/>
        <v>0</v>
      </c>
    </row>
    <row r="468" spans="2:32" x14ac:dyDescent="0.3">
      <c r="B468" s="14" t="str">
        <f t="shared" si="22"/>
        <v>45115504511000187SM Managnt E-E-N422511200104</v>
      </c>
      <c r="C468" s="21" t="s">
        <v>65</v>
      </c>
      <c r="D468" s="22">
        <v>4511550</v>
      </c>
      <c r="E468" s="21" t="s">
        <v>3027</v>
      </c>
      <c r="F468" s="22">
        <v>4511000187</v>
      </c>
      <c r="G468" s="21" t="s">
        <v>2989</v>
      </c>
      <c r="H468" s="21" t="s">
        <v>255</v>
      </c>
      <c r="I468" s="22">
        <v>422511</v>
      </c>
      <c r="J468" s="22">
        <v>200104</v>
      </c>
      <c r="K468" s="22" t="s">
        <v>2959</v>
      </c>
      <c r="L468" s="22">
        <v>70205</v>
      </c>
      <c r="M468" s="23" t="s">
        <v>2961</v>
      </c>
      <c r="N468" s="24">
        <v>0</v>
      </c>
      <c r="O468" s="24">
        <v>0</v>
      </c>
      <c r="P468" s="24">
        <v>0</v>
      </c>
      <c r="Q468" s="24">
        <v>113333.33333333323</v>
      </c>
      <c r="R468" s="24">
        <v>28333.333333333332</v>
      </c>
      <c r="S468" s="24">
        <v>28333.333333333332</v>
      </c>
      <c r="T468" s="24">
        <v>28333.333333333332</v>
      </c>
      <c r="U468" s="24">
        <v>28333.333333333332</v>
      </c>
      <c r="V468" s="24">
        <v>28333.333333333332</v>
      </c>
      <c r="W468" s="24">
        <v>28333.333333333332</v>
      </c>
      <c r="X468" s="24">
        <v>28333.333333333332</v>
      </c>
      <c r="Y468" s="24">
        <v>28333.333333333332</v>
      </c>
      <c r="Z468" s="24">
        <f t="shared" si="23"/>
        <v>339999.99999999988</v>
      </c>
      <c r="AB468" s="25">
        <v>339999.99999999988</v>
      </c>
      <c r="AC468" s="26">
        <v>340000</v>
      </c>
      <c r="AD468" s="24">
        <v>0</v>
      </c>
      <c r="AE468" s="27">
        <f>_xlfn.XLOOKUP(B468,'Projects Cashflow'!$B:$B,'Projects Cashflow'!$AG:$AG,0)</f>
        <v>340000</v>
      </c>
      <c r="AF468" s="28">
        <f t="shared" si="24"/>
        <v>0</v>
      </c>
    </row>
    <row r="469" spans="2:32" x14ac:dyDescent="0.3">
      <c r="B469" s="14" t="str">
        <f t="shared" si="22"/>
        <v>45115504511000187Media Mgmnt &amp;Buy-N422511200104</v>
      </c>
      <c r="C469" s="21" t="s">
        <v>65</v>
      </c>
      <c r="D469" s="22">
        <v>4511550</v>
      </c>
      <c r="E469" s="21" t="s">
        <v>3027</v>
      </c>
      <c r="F469" s="22">
        <v>4511000187</v>
      </c>
      <c r="G469" s="21" t="s">
        <v>2989</v>
      </c>
      <c r="H469" s="21" t="s">
        <v>166</v>
      </c>
      <c r="I469" s="22">
        <v>422511</v>
      </c>
      <c r="J469" s="22">
        <v>200104</v>
      </c>
      <c r="K469" s="22" t="s">
        <v>2959</v>
      </c>
      <c r="L469" s="22">
        <v>70205</v>
      </c>
      <c r="M469" s="23" t="s">
        <v>2961</v>
      </c>
      <c r="N469" s="24">
        <v>0</v>
      </c>
      <c r="O469" s="24">
        <v>0</v>
      </c>
      <c r="P469" s="24">
        <v>0</v>
      </c>
      <c r="Q469" s="24">
        <v>87126.666666666773</v>
      </c>
      <c r="R469" s="24">
        <v>21781.666666666675</v>
      </c>
      <c r="S469" s="24">
        <v>21781.666666666675</v>
      </c>
      <c r="T469" s="24">
        <v>21781.666666666675</v>
      </c>
      <c r="U469" s="24">
        <v>21781.666666666675</v>
      </c>
      <c r="V469" s="24">
        <v>21781.666666666675</v>
      </c>
      <c r="W469" s="24">
        <v>21781.666666666675</v>
      </c>
      <c r="X469" s="24">
        <v>21781.666666666675</v>
      </c>
      <c r="Y469" s="24">
        <v>21781.666666666701</v>
      </c>
      <c r="Z469" s="24">
        <f t="shared" si="23"/>
        <v>261380.00000000023</v>
      </c>
      <c r="AB469" s="25">
        <v>261380.00000000023</v>
      </c>
      <c r="AC469" s="26">
        <v>261381</v>
      </c>
      <c r="AD469" s="24">
        <v>-0.99999999976716936</v>
      </c>
      <c r="AE469" s="27">
        <f>_xlfn.XLOOKUP(B469,'Projects Cashflow'!$B:$B,'Projects Cashflow'!$AG:$AG,0)</f>
        <v>261381</v>
      </c>
      <c r="AF469" s="28">
        <f t="shared" si="24"/>
        <v>0.99999999976716936</v>
      </c>
    </row>
    <row r="470" spans="2:32" x14ac:dyDescent="0.3">
      <c r="B470" s="14" t="str">
        <f t="shared" si="22"/>
        <v>45115504511000283Media Mgmnt &amp;Buy-N422511200104</v>
      </c>
      <c r="C470" s="21" t="s">
        <v>65</v>
      </c>
      <c r="D470" s="22">
        <v>4511550</v>
      </c>
      <c r="E470" s="21" t="s">
        <v>3027</v>
      </c>
      <c r="F470" s="22">
        <v>4511000283</v>
      </c>
      <c r="G470" s="21" t="s">
        <v>377</v>
      </c>
      <c r="H470" s="21" t="s">
        <v>166</v>
      </c>
      <c r="I470" s="22">
        <v>422511</v>
      </c>
      <c r="J470" s="22">
        <v>200104</v>
      </c>
      <c r="K470" s="22" t="s">
        <v>2959</v>
      </c>
      <c r="L470" s="22">
        <v>70205</v>
      </c>
      <c r="M470" s="23" t="s">
        <v>2961</v>
      </c>
      <c r="N470" s="24">
        <v>0</v>
      </c>
      <c r="O470" s="24">
        <v>0</v>
      </c>
      <c r="P470" s="24">
        <v>0</v>
      </c>
      <c r="Q470" s="24">
        <v>203834</v>
      </c>
      <c r="R470" s="24">
        <v>50958.5</v>
      </c>
      <c r="S470" s="24">
        <v>50958.5</v>
      </c>
      <c r="T470" s="24">
        <v>50958.5</v>
      </c>
      <c r="U470" s="24">
        <v>50958.5</v>
      </c>
      <c r="V470" s="24">
        <v>50958.5</v>
      </c>
      <c r="W470" s="24">
        <v>50958.5</v>
      </c>
      <c r="X470" s="24">
        <v>50958.5</v>
      </c>
      <c r="Y470" s="24">
        <v>50958.5</v>
      </c>
      <c r="Z470" s="24">
        <f t="shared" si="23"/>
        <v>611502</v>
      </c>
      <c r="AB470" s="25">
        <v>611502</v>
      </c>
      <c r="AC470" s="26">
        <v>611502</v>
      </c>
      <c r="AD470" s="24">
        <v>0</v>
      </c>
      <c r="AE470" s="27">
        <f>_xlfn.XLOOKUP(B470,'Projects Cashflow'!$B:$B,'Projects Cashflow'!$AG:$AG,0)</f>
        <v>611502</v>
      </c>
      <c r="AF470" s="28">
        <f t="shared" si="24"/>
        <v>0</v>
      </c>
    </row>
    <row r="471" spans="2:32" x14ac:dyDescent="0.3">
      <c r="B471" s="14" t="str">
        <f t="shared" si="22"/>
        <v>45115504511000283SM Managnt E-E-N422511200104</v>
      </c>
      <c r="C471" s="21" t="s">
        <v>65</v>
      </c>
      <c r="D471" s="22">
        <v>4511550</v>
      </c>
      <c r="E471" s="21" t="s">
        <v>3027</v>
      </c>
      <c r="F471" s="22">
        <v>4511000283</v>
      </c>
      <c r="G471" s="21" t="s">
        <v>377</v>
      </c>
      <c r="H471" s="21" t="s">
        <v>255</v>
      </c>
      <c r="I471" s="22">
        <v>422511</v>
      </c>
      <c r="J471" s="22">
        <v>200104</v>
      </c>
      <c r="K471" s="22" t="s">
        <v>2959</v>
      </c>
      <c r="L471" s="22">
        <v>70205</v>
      </c>
      <c r="M471" s="23" t="s">
        <v>2961</v>
      </c>
      <c r="N471" s="24">
        <v>0</v>
      </c>
      <c r="O471" s="24">
        <v>0</v>
      </c>
      <c r="P471" s="24">
        <v>0</v>
      </c>
      <c r="Q471" s="24">
        <v>133333.33333333323</v>
      </c>
      <c r="R471" s="24">
        <v>33333.333333333336</v>
      </c>
      <c r="S471" s="24">
        <v>33333.333333333336</v>
      </c>
      <c r="T471" s="24">
        <v>33333.333333333336</v>
      </c>
      <c r="U471" s="24">
        <v>33333.333333333336</v>
      </c>
      <c r="V471" s="24">
        <v>33333.333333333336</v>
      </c>
      <c r="W471" s="24">
        <v>33333.333333333336</v>
      </c>
      <c r="X471" s="24">
        <v>33333.333333333336</v>
      </c>
      <c r="Y471" s="24">
        <v>33333.333333333336</v>
      </c>
      <c r="Z471" s="24">
        <f t="shared" si="23"/>
        <v>399999.99999999983</v>
      </c>
      <c r="AB471" s="25">
        <v>399999.99999999983</v>
      </c>
      <c r="AC471" s="26">
        <v>400000</v>
      </c>
      <c r="AD471" s="24">
        <v>0</v>
      </c>
      <c r="AE471" s="27">
        <f>_xlfn.XLOOKUP(B471,'Projects Cashflow'!$B:$B,'Projects Cashflow'!$AG:$AG,0)</f>
        <v>400000</v>
      </c>
      <c r="AF471" s="28">
        <f t="shared" si="24"/>
        <v>0</v>
      </c>
    </row>
    <row r="472" spans="2:32" x14ac:dyDescent="0.3">
      <c r="B472" s="14" t="str">
        <f t="shared" si="22"/>
        <v>45115504511000318Media Mgmnt &amp;Buy-N422511200104</v>
      </c>
      <c r="C472" s="21" t="s">
        <v>65</v>
      </c>
      <c r="D472" s="22">
        <v>4511550</v>
      </c>
      <c r="E472" s="21" t="s">
        <v>3027</v>
      </c>
      <c r="F472" s="22">
        <v>4511000318</v>
      </c>
      <c r="G472" s="21" t="s">
        <v>2999</v>
      </c>
      <c r="H472" s="21" t="s">
        <v>166</v>
      </c>
      <c r="I472" s="22">
        <v>422511</v>
      </c>
      <c r="J472" s="22">
        <v>200104</v>
      </c>
      <c r="K472" s="22" t="s">
        <v>2959</v>
      </c>
      <c r="L472" s="22">
        <v>70205</v>
      </c>
      <c r="M472" s="23" t="s">
        <v>2961</v>
      </c>
      <c r="N472" s="24">
        <v>0</v>
      </c>
      <c r="O472" s="24">
        <v>0</v>
      </c>
      <c r="P472" s="24">
        <v>0</v>
      </c>
      <c r="Q472" s="24">
        <v>206152.6666666668</v>
      </c>
      <c r="R472" s="24">
        <v>51538.166666666686</v>
      </c>
      <c r="S472" s="24">
        <v>51538.166666666686</v>
      </c>
      <c r="T472" s="24">
        <v>51538.166666666686</v>
      </c>
      <c r="U472" s="24">
        <v>51538.166666666686</v>
      </c>
      <c r="V472" s="24">
        <v>51538.166666666686</v>
      </c>
      <c r="W472" s="24">
        <v>51538.166666666686</v>
      </c>
      <c r="X472" s="24">
        <v>51538.166666666686</v>
      </c>
      <c r="Y472" s="24">
        <v>51538.166666666686</v>
      </c>
      <c r="Z472" s="24">
        <f t="shared" si="23"/>
        <v>618458.00000000023</v>
      </c>
      <c r="AB472" s="25">
        <v>618458.00000000023</v>
      </c>
      <c r="AC472" s="26">
        <v>618458</v>
      </c>
      <c r="AD472" s="24">
        <v>0</v>
      </c>
      <c r="AE472" s="27">
        <f>_xlfn.XLOOKUP(B472,'Projects Cashflow'!$B:$B,'Projects Cashflow'!$AG:$AG,0)</f>
        <v>618458</v>
      </c>
      <c r="AF472" s="28">
        <f t="shared" si="24"/>
        <v>0</v>
      </c>
    </row>
    <row r="473" spans="2:32" x14ac:dyDescent="0.3">
      <c r="B473" s="14" t="str">
        <f t="shared" si="22"/>
        <v>45115504511000318SM Managnt E-E-N422511200104</v>
      </c>
      <c r="C473" s="21" t="s">
        <v>65</v>
      </c>
      <c r="D473" s="22">
        <v>4511550</v>
      </c>
      <c r="E473" s="21" t="s">
        <v>3027</v>
      </c>
      <c r="F473" s="22">
        <v>4511000318</v>
      </c>
      <c r="G473" s="21" t="s">
        <v>2999</v>
      </c>
      <c r="H473" s="21" t="s">
        <v>255</v>
      </c>
      <c r="I473" s="22">
        <v>422511</v>
      </c>
      <c r="J473" s="22">
        <v>200104</v>
      </c>
      <c r="K473" s="22" t="s">
        <v>2959</v>
      </c>
      <c r="L473" s="22">
        <v>70205</v>
      </c>
      <c r="M473" s="23" t="s">
        <v>2961</v>
      </c>
      <c r="N473" s="24">
        <v>0</v>
      </c>
      <c r="O473" s="24">
        <v>0</v>
      </c>
      <c r="P473" s="24">
        <v>0</v>
      </c>
      <c r="Q473" s="24">
        <v>133333.33333333323</v>
      </c>
      <c r="R473" s="24">
        <v>33333.333333333336</v>
      </c>
      <c r="S473" s="24">
        <v>33333.333333333336</v>
      </c>
      <c r="T473" s="24">
        <v>33333.333333333336</v>
      </c>
      <c r="U473" s="24">
        <v>33333.333333333336</v>
      </c>
      <c r="V473" s="24">
        <v>33333.333333333336</v>
      </c>
      <c r="W473" s="24">
        <v>33333.333333333336</v>
      </c>
      <c r="X473" s="24">
        <v>33333.333333333336</v>
      </c>
      <c r="Y473" s="24">
        <v>33333.333333333336</v>
      </c>
      <c r="Z473" s="24">
        <f t="shared" si="23"/>
        <v>399999.99999999983</v>
      </c>
      <c r="AB473" s="25">
        <v>399999.99999999983</v>
      </c>
      <c r="AC473" s="26">
        <v>400000</v>
      </c>
      <c r="AD473" s="24">
        <v>0</v>
      </c>
      <c r="AE473" s="27">
        <f>_xlfn.XLOOKUP(B473,'Projects Cashflow'!$B:$B,'Projects Cashflow'!$AG:$AG,0)</f>
        <v>400000</v>
      </c>
      <c r="AF473" s="28">
        <f t="shared" si="24"/>
        <v>0</v>
      </c>
    </row>
    <row r="474" spans="2:32" x14ac:dyDescent="0.3">
      <c r="B474" s="14" t="str">
        <f t="shared" si="22"/>
        <v>45115504511000340Media Mgmnt &amp;Buy-N422511200104</v>
      </c>
      <c r="C474" s="21" t="s">
        <v>65</v>
      </c>
      <c r="D474" s="22">
        <v>4511550</v>
      </c>
      <c r="E474" s="21" t="s">
        <v>3027</v>
      </c>
      <c r="F474" s="22">
        <v>4511000340</v>
      </c>
      <c r="G474" s="21" t="s">
        <v>3029</v>
      </c>
      <c r="H474" s="21" t="s">
        <v>166</v>
      </c>
      <c r="I474" s="22">
        <v>422511</v>
      </c>
      <c r="J474" s="22">
        <v>200104</v>
      </c>
      <c r="K474" s="22" t="s">
        <v>2959</v>
      </c>
      <c r="L474" s="22">
        <v>70202</v>
      </c>
      <c r="M474" s="23" t="s">
        <v>2961</v>
      </c>
      <c r="N474" s="24">
        <v>0</v>
      </c>
      <c r="O474" s="24">
        <v>0</v>
      </c>
      <c r="P474" s="24">
        <v>0</v>
      </c>
      <c r="Q474" s="24">
        <v>41062.333333333336</v>
      </c>
      <c r="R474" s="24">
        <v>41062.333333333336</v>
      </c>
      <c r="S474" s="24">
        <v>41062.333333333336</v>
      </c>
      <c r="T474" s="24">
        <v>41062.333333333336</v>
      </c>
      <c r="U474" s="24">
        <v>41062.333333333336</v>
      </c>
      <c r="V474" s="24">
        <v>41062.333333333336</v>
      </c>
      <c r="W474" s="24">
        <v>41062.333333333336</v>
      </c>
      <c r="X474" s="24">
        <v>41062.333333333336</v>
      </c>
      <c r="Y474" s="24">
        <v>41062.333333333336</v>
      </c>
      <c r="Z474" s="24">
        <f t="shared" si="23"/>
        <v>369561</v>
      </c>
      <c r="AB474" s="25">
        <v>369561</v>
      </c>
      <c r="AC474" s="26">
        <v>369561</v>
      </c>
      <c r="AD474" s="24">
        <v>0</v>
      </c>
      <c r="AE474" s="27">
        <f>_xlfn.XLOOKUP(B474,'Projects Cashflow'!$B:$B,'Projects Cashflow'!$AG:$AG,0)</f>
        <v>369561</v>
      </c>
      <c r="AF474" s="28">
        <f t="shared" si="24"/>
        <v>0</v>
      </c>
    </row>
    <row r="475" spans="2:32" x14ac:dyDescent="0.3">
      <c r="B475" s="14" t="str">
        <f t="shared" si="22"/>
        <v>45115504511000340SM Prodct&amp;Develp-N422511200104</v>
      </c>
      <c r="C475" s="21" t="s">
        <v>65</v>
      </c>
      <c r="D475" s="22">
        <v>4511550</v>
      </c>
      <c r="E475" s="21" t="s">
        <v>3027</v>
      </c>
      <c r="F475" s="22">
        <v>4511000340</v>
      </c>
      <c r="G475" s="21" t="s">
        <v>3029</v>
      </c>
      <c r="H475" s="21" t="s">
        <v>435</v>
      </c>
      <c r="I475" s="22">
        <v>422511</v>
      </c>
      <c r="J475" s="22">
        <v>200104</v>
      </c>
      <c r="K475" s="22" t="s">
        <v>2959</v>
      </c>
      <c r="L475" s="22">
        <v>70202</v>
      </c>
      <c r="M475" s="23" t="s">
        <v>2961</v>
      </c>
      <c r="N475" s="24">
        <v>0</v>
      </c>
      <c r="O475" s="24">
        <v>0</v>
      </c>
      <c r="P475" s="24">
        <v>0</v>
      </c>
      <c r="Q475" s="24">
        <v>0</v>
      </c>
      <c r="R475" s="24">
        <v>0</v>
      </c>
      <c r="S475" s="24">
        <v>0</v>
      </c>
      <c r="T475" s="24">
        <v>0</v>
      </c>
      <c r="U475" s="24">
        <v>0</v>
      </c>
      <c r="V475" s="24">
        <v>0</v>
      </c>
      <c r="W475" s="24">
        <v>200000</v>
      </c>
      <c r="X475" s="24">
        <v>0</v>
      </c>
      <c r="Y475" s="24">
        <v>0</v>
      </c>
      <c r="Z475" s="24">
        <f t="shared" si="23"/>
        <v>200000</v>
      </c>
      <c r="AB475" s="25">
        <v>200000</v>
      </c>
      <c r="AC475" s="26">
        <v>200000</v>
      </c>
      <c r="AD475" s="24">
        <v>0</v>
      </c>
      <c r="AE475" s="27">
        <f>_xlfn.XLOOKUP(B475,'Projects Cashflow'!$B:$B,'Projects Cashflow'!$AG:$AG,0)</f>
        <v>200000</v>
      </c>
      <c r="AF475" s="28">
        <f t="shared" si="24"/>
        <v>0</v>
      </c>
    </row>
    <row r="476" spans="2:32" x14ac:dyDescent="0.3">
      <c r="B476" s="14" t="str">
        <f t="shared" si="22"/>
        <v>45115504511000423Media Mgmnt &amp;Buy-N422511200104</v>
      </c>
      <c r="C476" s="21" t="s">
        <v>65</v>
      </c>
      <c r="D476" s="22">
        <v>4511550</v>
      </c>
      <c r="E476" s="21" t="s">
        <v>3027</v>
      </c>
      <c r="F476" s="22">
        <v>4511000423</v>
      </c>
      <c r="G476" s="21" t="s">
        <v>3030</v>
      </c>
      <c r="H476" s="21" t="s">
        <v>166</v>
      </c>
      <c r="I476" s="22">
        <v>422511</v>
      </c>
      <c r="J476" s="22">
        <v>200104</v>
      </c>
      <c r="K476" s="22" t="s">
        <v>2959</v>
      </c>
      <c r="L476" s="22">
        <v>70206</v>
      </c>
      <c r="M476" s="23" t="s">
        <v>2961</v>
      </c>
      <c r="N476" s="24">
        <v>0</v>
      </c>
      <c r="O476" s="24">
        <v>0</v>
      </c>
      <c r="P476" s="24">
        <v>0</v>
      </c>
      <c r="Q476" s="24">
        <v>0</v>
      </c>
      <c r="R476" s="24">
        <v>0</v>
      </c>
      <c r="S476" s="24">
        <v>0</v>
      </c>
      <c r="T476" s="24">
        <v>508100</v>
      </c>
      <c r="U476" s="21">
        <v>0</v>
      </c>
      <c r="V476" s="24">
        <v>0</v>
      </c>
      <c r="W476" s="24">
        <v>0</v>
      </c>
      <c r="X476" s="24">
        <v>0</v>
      </c>
      <c r="Y476" s="24">
        <v>200000</v>
      </c>
      <c r="Z476" s="24">
        <f t="shared" si="23"/>
        <v>708100</v>
      </c>
      <c r="AB476" s="25">
        <v>708100</v>
      </c>
      <c r="AC476" s="26">
        <v>708100</v>
      </c>
      <c r="AD476" s="24">
        <v>0</v>
      </c>
      <c r="AE476" s="27">
        <f>_xlfn.XLOOKUP(B476,'Projects Cashflow'!$B:$B,'Projects Cashflow'!$AG:$AG,0)</f>
        <v>708100</v>
      </c>
      <c r="AF476" s="28">
        <f t="shared" si="24"/>
        <v>0</v>
      </c>
    </row>
    <row r="477" spans="2:32" x14ac:dyDescent="0.3">
      <c r="B477" s="14" t="str">
        <f t="shared" si="22"/>
        <v>45115504511000423SM Managnt E-E-N422511200104</v>
      </c>
      <c r="C477" s="21" t="s">
        <v>65</v>
      </c>
      <c r="D477" s="22">
        <v>4511550</v>
      </c>
      <c r="E477" s="21" t="s">
        <v>3027</v>
      </c>
      <c r="F477" s="22">
        <v>4511000423</v>
      </c>
      <c r="G477" s="21" t="s">
        <v>3030</v>
      </c>
      <c r="H477" s="21" t="s">
        <v>255</v>
      </c>
      <c r="I477" s="22">
        <v>422511</v>
      </c>
      <c r="J477" s="22">
        <v>200104</v>
      </c>
      <c r="K477" s="22" t="s">
        <v>2959</v>
      </c>
      <c r="L477" s="22">
        <v>70206</v>
      </c>
      <c r="M477" s="23" t="s">
        <v>2961</v>
      </c>
      <c r="N477" s="24">
        <v>0</v>
      </c>
      <c r="O477" s="24">
        <v>0</v>
      </c>
      <c r="P477" s="24">
        <v>0</v>
      </c>
      <c r="Q477" s="24">
        <v>0</v>
      </c>
      <c r="R477" s="24">
        <v>0</v>
      </c>
      <c r="S477" s="24">
        <v>0</v>
      </c>
      <c r="T477" s="24">
        <v>425000</v>
      </c>
      <c r="U477" s="21">
        <v>0</v>
      </c>
      <c r="V477" s="24">
        <v>0</v>
      </c>
      <c r="W477" s="24">
        <v>0</v>
      </c>
      <c r="X477" s="24">
        <v>0</v>
      </c>
      <c r="Y477" s="24">
        <v>0</v>
      </c>
      <c r="Z477" s="24">
        <f t="shared" si="23"/>
        <v>425000</v>
      </c>
      <c r="AB477" s="25">
        <v>425000</v>
      </c>
      <c r="AC477" s="26">
        <v>425000</v>
      </c>
      <c r="AD477" s="24">
        <v>0</v>
      </c>
      <c r="AE477" s="27">
        <f>_xlfn.XLOOKUP(B477,'Projects Cashflow'!$B:$B,'Projects Cashflow'!$AG:$AG,0)</f>
        <v>425000</v>
      </c>
      <c r="AF477" s="28">
        <f t="shared" si="24"/>
        <v>0</v>
      </c>
    </row>
    <row r="478" spans="2:32" x14ac:dyDescent="0.3">
      <c r="B478" s="14" t="str">
        <f t="shared" si="22"/>
        <v>45115504511000434SM Managnt E-E-N422511200104</v>
      </c>
      <c r="C478" s="21" t="s">
        <v>65</v>
      </c>
      <c r="D478" s="22">
        <v>4511550</v>
      </c>
      <c r="E478" s="21" t="s">
        <v>3027</v>
      </c>
      <c r="F478" s="22">
        <v>4511000434</v>
      </c>
      <c r="G478" s="21" t="s">
        <v>3004</v>
      </c>
      <c r="H478" s="21" t="s">
        <v>255</v>
      </c>
      <c r="I478" s="22">
        <v>422511</v>
      </c>
      <c r="J478" s="22">
        <v>200104</v>
      </c>
      <c r="K478" s="22" t="s">
        <v>2959</v>
      </c>
      <c r="L478" s="22">
        <v>70206</v>
      </c>
      <c r="M478" s="23" t="s">
        <v>2961</v>
      </c>
      <c r="N478" s="24">
        <v>0</v>
      </c>
      <c r="O478" s="24">
        <v>0</v>
      </c>
      <c r="P478" s="24">
        <v>0</v>
      </c>
      <c r="Q478" s="24">
        <v>156000</v>
      </c>
      <c r="R478" s="24">
        <v>39000</v>
      </c>
      <c r="S478" s="24">
        <v>39000</v>
      </c>
      <c r="T478" s="24">
        <v>39000</v>
      </c>
      <c r="U478" s="24">
        <v>39000</v>
      </c>
      <c r="V478" s="24">
        <v>39000</v>
      </c>
      <c r="W478" s="24">
        <v>39000</v>
      </c>
      <c r="X478" s="24">
        <v>39000</v>
      </c>
      <c r="Y478" s="24">
        <v>39000</v>
      </c>
      <c r="Z478" s="24">
        <f t="shared" si="23"/>
        <v>468000</v>
      </c>
      <c r="AB478" s="25">
        <v>468000</v>
      </c>
      <c r="AC478" s="26">
        <v>468000</v>
      </c>
      <c r="AD478" s="24">
        <v>0</v>
      </c>
      <c r="AE478" s="27">
        <f>_xlfn.XLOOKUP(B478,'Projects Cashflow'!$B:$B,'Projects Cashflow'!$AG:$AG,0)</f>
        <v>468000</v>
      </c>
      <c r="AF478" s="28">
        <f t="shared" si="24"/>
        <v>0</v>
      </c>
    </row>
    <row r="479" spans="2:32" x14ac:dyDescent="0.3">
      <c r="B479" s="14" t="str">
        <f t="shared" si="22"/>
        <v>45115504511000434Media Mgmnt &amp;Buy-N422511200104</v>
      </c>
      <c r="C479" s="21" t="s">
        <v>65</v>
      </c>
      <c r="D479" s="22">
        <v>4511550</v>
      </c>
      <c r="E479" s="21" t="s">
        <v>3027</v>
      </c>
      <c r="F479" s="22">
        <v>4511000434</v>
      </c>
      <c r="G479" s="21" t="s">
        <v>3004</v>
      </c>
      <c r="H479" s="21" t="s">
        <v>166</v>
      </c>
      <c r="I479" s="22">
        <v>422511</v>
      </c>
      <c r="J479" s="22">
        <v>200104</v>
      </c>
      <c r="K479" s="22" t="s">
        <v>2959</v>
      </c>
      <c r="L479" s="22">
        <v>70205</v>
      </c>
      <c r="M479" s="23" t="s">
        <v>2961</v>
      </c>
      <c r="N479" s="24">
        <v>0</v>
      </c>
      <c r="O479" s="24">
        <v>0</v>
      </c>
      <c r="P479" s="24">
        <v>0</v>
      </c>
      <c r="Q479" s="24">
        <v>0</v>
      </c>
      <c r="R479" s="24">
        <v>0</v>
      </c>
      <c r="S479" s="24">
        <v>0</v>
      </c>
      <c r="T479" s="24">
        <v>50000</v>
      </c>
      <c r="U479" s="24">
        <v>50000</v>
      </c>
      <c r="V479" s="24">
        <v>50000</v>
      </c>
      <c r="W479" s="24">
        <v>67926</v>
      </c>
      <c r="X479" s="24">
        <v>0</v>
      </c>
      <c r="Y479" s="24">
        <v>0</v>
      </c>
      <c r="Z479" s="24">
        <f t="shared" si="23"/>
        <v>217926</v>
      </c>
      <c r="AB479" s="25">
        <v>217926</v>
      </c>
      <c r="AC479" s="26">
        <v>217926</v>
      </c>
      <c r="AD479" s="32">
        <v>0</v>
      </c>
      <c r="AE479" s="27">
        <f>_xlfn.XLOOKUP(B479,'Projects Cashflow'!$B:$B,'Projects Cashflow'!$AG:$AG,0)</f>
        <v>217926</v>
      </c>
      <c r="AF479" s="28">
        <f t="shared" si="24"/>
        <v>0</v>
      </c>
    </row>
    <row r="480" spans="2:32" x14ac:dyDescent="0.3">
      <c r="B480" s="14" t="str">
        <f t="shared" si="22"/>
        <v>45115504511000434PR Mgmnt E-E-N424781200104</v>
      </c>
      <c r="C480" s="21" t="s">
        <v>65</v>
      </c>
      <c r="D480" s="22">
        <v>4511550</v>
      </c>
      <c r="E480" s="21" t="s">
        <v>3027</v>
      </c>
      <c r="F480" s="22">
        <v>4511000434</v>
      </c>
      <c r="G480" s="21" t="s">
        <v>3004</v>
      </c>
      <c r="H480" s="21" t="s">
        <v>99</v>
      </c>
      <c r="I480" s="22">
        <v>424781</v>
      </c>
      <c r="J480" s="22">
        <v>200104</v>
      </c>
      <c r="K480" s="22" t="s">
        <v>2959</v>
      </c>
      <c r="L480" s="22">
        <v>70206</v>
      </c>
      <c r="M480" s="23" t="s">
        <v>2961</v>
      </c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4">
        <f t="shared" si="23"/>
        <v>0</v>
      </c>
      <c r="AB480" s="25">
        <v>0</v>
      </c>
      <c r="AC480" s="26">
        <v>20700</v>
      </c>
      <c r="AD480" s="32">
        <v>-20700</v>
      </c>
      <c r="AE480" s="27">
        <f>_xlfn.XLOOKUP(B480,'Projects Cashflow'!$B:$B,'Projects Cashflow'!$AG:$AG,0)</f>
        <v>20700</v>
      </c>
      <c r="AF480" s="28">
        <f t="shared" si="24"/>
        <v>20700</v>
      </c>
    </row>
    <row r="481" spans="2:32" x14ac:dyDescent="0.3">
      <c r="B481" s="14" t="str">
        <f t="shared" si="22"/>
        <v>45115504511000540Media Mgmnt &amp;Buy-N422511200104</v>
      </c>
      <c r="C481" s="21" t="s">
        <v>65</v>
      </c>
      <c r="D481" s="22">
        <v>4511550</v>
      </c>
      <c r="E481" s="21" t="s">
        <v>3027</v>
      </c>
      <c r="F481" s="22">
        <v>4511000540</v>
      </c>
      <c r="G481" s="21" t="s">
        <v>3031</v>
      </c>
      <c r="H481" s="21" t="s">
        <v>166</v>
      </c>
      <c r="I481" s="22">
        <v>422511</v>
      </c>
      <c r="J481" s="22">
        <v>200104</v>
      </c>
      <c r="K481" s="22" t="s">
        <v>2959</v>
      </c>
      <c r="L481" s="22">
        <v>70603</v>
      </c>
      <c r="M481" s="23" t="s">
        <v>2961</v>
      </c>
      <c r="N481" s="24">
        <v>0</v>
      </c>
      <c r="O481" s="24">
        <v>0</v>
      </c>
      <c r="P481" s="24">
        <v>0</v>
      </c>
      <c r="Q481" s="24">
        <v>652885.22222222225</v>
      </c>
      <c r="R481" s="24">
        <v>652885.22222222225</v>
      </c>
      <c r="S481" s="24">
        <v>652885.22222222225</v>
      </c>
      <c r="T481" s="24">
        <v>652885.22222222225</v>
      </c>
      <c r="U481" s="24">
        <v>652885.22222222225</v>
      </c>
      <c r="V481" s="24">
        <v>652885.22222222225</v>
      </c>
      <c r="W481" s="24">
        <v>652885.22222222225</v>
      </c>
      <c r="X481" s="24">
        <v>2499999.9999999991</v>
      </c>
      <c r="Y481" s="24">
        <v>1305770</v>
      </c>
      <c r="Z481" s="24">
        <f t="shared" si="23"/>
        <v>8375966.5555555541</v>
      </c>
      <c r="AB481" s="25">
        <v>7325966.5555555541</v>
      </c>
      <c r="AC481" s="26">
        <v>7325967</v>
      </c>
      <c r="AD481" s="24">
        <v>-0.44444444589316845</v>
      </c>
      <c r="AE481" s="27">
        <f>_xlfn.XLOOKUP(B481,'Projects Cashflow'!$B:$B,'Projects Cashflow'!$AG:$AG,0)</f>
        <v>7325967</v>
      </c>
      <c r="AF481" s="28">
        <f t="shared" si="24"/>
        <v>0.44444444589316845</v>
      </c>
    </row>
    <row r="482" spans="2:32" x14ac:dyDescent="0.3">
      <c r="B482" s="14" t="str">
        <f t="shared" si="22"/>
        <v>45115504511000540Freelancers-N424521200104</v>
      </c>
      <c r="C482" s="21" t="s">
        <v>65</v>
      </c>
      <c r="D482" s="22">
        <v>4511550</v>
      </c>
      <c r="E482" s="21" t="s">
        <v>3027</v>
      </c>
      <c r="F482" s="22">
        <v>4511000540</v>
      </c>
      <c r="G482" s="21" t="s">
        <v>3031</v>
      </c>
      <c r="H482" s="21" t="s">
        <v>50</v>
      </c>
      <c r="I482" s="22">
        <v>424521</v>
      </c>
      <c r="J482" s="22">
        <v>200104</v>
      </c>
      <c r="K482" s="22" t="s">
        <v>2959</v>
      </c>
      <c r="L482" s="22">
        <v>70603</v>
      </c>
      <c r="M482" s="23" t="s">
        <v>2961</v>
      </c>
      <c r="N482" s="24">
        <v>0</v>
      </c>
      <c r="O482" s="24">
        <v>0</v>
      </c>
      <c r="P482" s="24">
        <v>440333.33</v>
      </c>
      <c r="Q482" s="24">
        <v>7022.1699999999837</v>
      </c>
      <c r="R482" s="24">
        <v>223677.75</v>
      </c>
      <c r="S482" s="24">
        <v>223677.75</v>
      </c>
      <c r="T482" s="24">
        <v>223677.75</v>
      </c>
      <c r="U482" s="24">
        <v>223677.75</v>
      </c>
      <c r="V482" s="24">
        <v>223677.75</v>
      </c>
      <c r="W482" s="24">
        <v>223677.75</v>
      </c>
      <c r="X482" s="24">
        <v>447356</v>
      </c>
      <c r="Y482" s="24">
        <v>447355.5</v>
      </c>
      <c r="Z482" s="24">
        <f t="shared" si="23"/>
        <v>2684133.5</v>
      </c>
      <c r="AB482" s="25">
        <v>2684133.5</v>
      </c>
      <c r="AC482" s="26">
        <v>2684133</v>
      </c>
      <c r="AD482" s="24">
        <v>0.5</v>
      </c>
      <c r="AE482" s="27">
        <f>_xlfn.XLOOKUP(B482,'Projects Cashflow'!$B:$B,'Projects Cashflow'!$AG:$AG,0)</f>
        <v>2684133</v>
      </c>
      <c r="AF482" s="28">
        <f t="shared" si="24"/>
        <v>-0.5</v>
      </c>
    </row>
    <row r="483" spans="2:32" x14ac:dyDescent="0.3">
      <c r="B483" s="14" t="str">
        <f t="shared" si="22"/>
        <v>45115504511000540Campaign Mgmnt-N422511200104</v>
      </c>
      <c r="C483" s="21" t="s">
        <v>65</v>
      </c>
      <c r="D483" s="22">
        <v>4511550</v>
      </c>
      <c r="E483" s="21" t="s">
        <v>3027</v>
      </c>
      <c r="F483" s="22">
        <v>4511000540</v>
      </c>
      <c r="G483" s="21" t="s">
        <v>3031</v>
      </c>
      <c r="H483" s="21" t="s">
        <v>709</v>
      </c>
      <c r="I483" s="22">
        <v>422511</v>
      </c>
      <c r="J483" s="22">
        <v>200104</v>
      </c>
      <c r="K483" s="22" t="s">
        <v>2959</v>
      </c>
      <c r="L483" s="22">
        <v>70603</v>
      </c>
      <c r="M483" s="23" t="s">
        <v>2961</v>
      </c>
      <c r="N483" s="24">
        <v>0</v>
      </c>
      <c r="O483" s="24">
        <v>0</v>
      </c>
      <c r="P483" s="24">
        <v>0</v>
      </c>
      <c r="Q483" s="24">
        <v>0</v>
      </c>
      <c r="R483" s="24">
        <v>0</v>
      </c>
      <c r="S483" s="24">
        <v>208333.33333333334</v>
      </c>
      <c r="T483" s="24">
        <v>208333.33333333334</v>
      </c>
      <c r="U483" s="24">
        <v>208333.33333333334</v>
      </c>
      <c r="V483" s="24">
        <v>208333.33333333334</v>
      </c>
      <c r="W483" s="24">
        <v>208333.33333333334</v>
      </c>
      <c r="X483" s="24">
        <v>208333.33333333334</v>
      </c>
      <c r="Y483" s="24">
        <v>1250000</v>
      </c>
      <c r="Z483" s="24">
        <f t="shared" si="23"/>
        <v>2500000</v>
      </c>
      <c r="AB483" s="25">
        <v>3300000</v>
      </c>
      <c r="AC483" s="26">
        <v>3300000</v>
      </c>
      <c r="AD483" s="24">
        <v>0</v>
      </c>
      <c r="AE483" s="27">
        <f>_xlfn.XLOOKUP(B483,'Projects Cashflow'!$B:$B,'Projects Cashflow'!$AG:$AG,0)</f>
        <v>3300000</v>
      </c>
      <c r="AF483" s="28">
        <f t="shared" si="24"/>
        <v>0</v>
      </c>
    </row>
    <row r="484" spans="2:32" x14ac:dyDescent="0.3">
      <c r="B484" s="14" t="str">
        <f t="shared" si="22"/>
        <v>45115504511000540PR Mgmnt E-E-N424781200104</v>
      </c>
      <c r="C484" s="21" t="s">
        <v>65</v>
      </c>
      <c r="D484" s="22">
        <v>4511550</v>
      </c>
      <c r="E484" s="21" t="s">
        <v>3027</v>
      </c>
      <c r="F484" s="22">
        <v>4511000540</v>
      </c>
      <c r="G484" s="21" t="s">
        <v>3031</v>
      </c>
      <c r="H484" s="21" t="s">
        <v>99</v>
      </c>
      <c r="I484" s="22">
        <v>424781</v>
      </c>
      <c r="J484" s="22">
        <v>200104</v>
      </c>
      <c r="K484" s="22" t="s">
        <v>2959</v>
      </c>
      <c r="L484" s="22">
        <v>70603</v>
      </c>
      <c r="M484" s="23" t="s">
        <v>2961</v>
      </c>
      <c r="N484" s="24">
        <v>0</v>
      </c>
      <c r="O484" s="24">
        <v>0</v>
      </c>
      <c r="P484" s="24">
        <v>0</v>
      </c>
      <c r="Q484" s="24">
        <v>179400</v>
      </c>
      <c r="R484" s="24">
        <v>179400</v>
      </c>
      <c r="S484" s="24">
        <v>179400</v>
      </c>
      <c r="T484" s="24">
        <v>179400</v>
      </c>
      <c r="U484" s="24">
        <v>179400</v>
      </c>
      <c r="V484" s="24">
        <v>179400</v>
      </c>
      <c r="W484" s="24">
        <v>179400</v>
      </c>
      <c r="X484" s="24">
        <v>179400</v>
      </c>
      <c r="Y484" s="24">
        <v>799800</v>
      </c>
      <c r="Z484" s="24">
        <f t="shared" si="23"/>
        <v>2235000</v>
      </c>
      <c r="AB484" s="25">
        <v>2235000</v>
      </c>
      <c r="AC484" s="26">
        <v>2235000</v>
      </c>
      <c r="AD484" s="24">
        <v>0</v>
      </c>
      <c r="AE484" s="27">
        <f>_xlfn.XLOOKUP(B484,'Projects Cashflow'!$B:$B,'Projects Cashflow'!$AG:$AG,0)</f>
        <v>2235000</v>
      </c>
      <c r="AF484" s="28">
        <f t="shared" si="24"/>
        <v>0</v>
      </c>
    </row>
    <row r="485" spans="2:32" x14ac:dyDescent="0.3">
      <c r="B485" s="14" t="str">
        <f t="shared" si="22"/>
        <v>45115504511000540Mission &amp; Travel-N423821200104</v>
      </c>
      <c r="C485" s="21" t="s">
        <v>65</v>
      </c>
      <c r="D485" s="22">
        <v>4511550</v>
      </c>
      <c r="E485" s="21" t="s">
        <v>3027</v>
      </c>
      <c r="F485" s="22">
        <v>4511000540</v>
      </c>
      <c r="G485" s="21" t="s">
        <v>3031</v>
      </c>
      <c r="H485" s="21" t="s">
        <v>54</v>
      </c>
      <c r="I485" s="22">
        <v>423821</v>
      </c>
      <c r="J485" s="22">
        <v>200104</v>
      </c>
      <c r="K485" s="22" t="s">
        <v>2959</v>
      </c>
      <c r="L485" s="22">
        <v>70603</v>
      </c>
      <c r="M485" s="23" t="s">
        <v>2961</v>
      </c>
      <c r="N485" s="24">
        <v>0</v>
      </c>
      <c r="O485" s="24">
        <v>0</v>
      </c>
      <c r="P485" s="24">
        <v>0</v>
      </c>
      <c r="Q485" s="24">
        <v>0</v>
      </c>
      <c r="R485" s="24">
        <v>50000</v>
      </c>
      <c r="S485" s="24">
        <v>0</v>
      </c>
      <c r="T485" s="24">
        <v>0</v>
      </c>
      <c r="U485" s="24">
        <v>0</v>
      </c>
      <c r="V485" s="24">
        <v>0</v>
      </c>
      <c r="W485" s="24">
        <v>50000</v>
      </c>
      <c r="X485" s="24">
        <v>52800</v>
      </c>
      <c r="Y485" s="24">
        <v>0</v>
      </c>
      <c r="Z485" s="24">
        <f t="shared" si="23"/>
        <v>152800</v>
      </c>
      <c r="AB485" s="25">
        <v>152800</v>
      </c>
      <c r="AC485" s="26">
        <v>152800</v>
      </c>
      <c r="AD485" s="24">
        <v>0</v>
      </c>
      <c r="AE485" s="27">
        <f>_xlfn.XLOOKUP(B485,'Projects Cashflow'!$B:$B,'Projects Cashflow'!$AG:$AG,0)</f>
        <v>152800</v>
      </c>
      <c r="AF485" s="28">
        <f t="shared" si="24"/>
        <v>0</v>
      </c>
    </row>
    <row r="486" spans="2:32" x14ac:dyDescent="0.3">
      <c r="B486" s="14" t="str">
        <f t="shared" si="22"/>
        <v>45115504511000576SM Managnt E-E-N422511200104</v>
      </c>
      <c r="C486" s="21" t="s">
        <v>65</v>
      </c>
      <c r="D486" s="22">
        <v>4511550</v>
      </c>
      <c r="E486" s="21" t="s">
        <v>3027</v>
      </c>
      <c r="F486" s="22">
        <v>4511000576</v>
      </c>
      <c r="G486" s="21" t="s">
        <v>3032</v>
      </c>
      <c r="H486" s="21" t="s">
        <v>255</v>
      </c>
      <c r="I486" s="22">
        <v>422511</v>
      </c>
      <c r="J486" s="22">
        <v>200104</v>
      </c>
      <c r="K486" s="22" t="s">
        <v>2959</v>
      </c>
      <c r="L486" s="22">
        <v>70603</v>
      </c>
      <c r="M486" s="23" t="s">
        <v>2961</v>
      </c>
      <c r="N486" s="24">
        <v>0</v>
      </c>
      <c r="O486" s="24">
        <v>0</v>
      </c>
      <c r="P486" s="24">
        <v>0</v>
      </c>
      <c r="Q486" s="24">
        <v>176640</v>
      </c>
      <c r="R486" s="24">
        <v>88320</v>
      </c>
      <c r="S486" s="24">
        <v>88320</v>
      </c>
      <c r="T486" s="24">
        <v>88320</v>
      </c>
      <c r="U486" s="24">
        <v>88320</v>
      </c>
      <c r="V486" s="24">
        <v>88320</v>
      </c>
      <c r="W486" s="24">
        <v>88320</v>
      </c>
      <c r="X486" s="24">
        <v>88320</v>
      </c>
      <c r="Y486" s="24">
        <v>88320</v>
      </c>
      <c r="Z486" s="24">
        <f t="shared" si="23"/>
        <v>883200</v>
      </c>
      <c r="AB486" s="25">
        <v>883200</v>
      </c>
      <c r="AC486" s="26">
        <v>883200</v>
      </c>
      <c r="AD486" s="24">
        <v>0</v>
      </c>
      <c r="AE486" s="27">
        <f>_xlfn.XLOOKUP(B486,'Projects Cashflow'!$B:$B,'Projects Cashflow'!$AG:$AG,0)</f>
        <v>883200</v>
      </c>
      <c r="AF486" s="28">
        <f t="shared" si="24"/>
        <v>0</v>
      </c>
    </row>
    <row r="487" spans="2:32" x14ac:dyDescent="0.3">
      <c r="B487" s="14" t="str">
        <f t="shared" si="22"/>
        <v>45115504511000593Media Mgmnt &amp;Buy-N422511200104</v>
      </c>
      <c r="C487" s="21" t="s">
        <v>65</v>
      </c>
      <c r="D487" s="22">
        <v>4511550</v>
      </c>
      <c r="E487" s="21" t="s">
        <v>3027</v>
      </c>
      <c r="F487" s="22">
        <v>4511000593</v>
      </c>
      <c r="G487" s="21" t="s">
        <v>3033</v>
      </c>
      <c r="H487" s="21" t="s">
        <v>166</v>
      </c>
      <c r="I487" s="22">
        <v>422511</v>
      </c>
      <c r="J487" s="22">
        <v>200104</v>
      </c>
      <c r="K487" s="22" t="s">
        <v>2959</v>
      </c>
      <c r="L487" s="22">
        <v>70206</v>
      </c>
      <c r="M487" s="23" t="s">
        <v>2961</v>
      </c>
      <c r="N487" s="24">
        <v>0</v>
      </c>
      <c r="O487" s="24">
        <v>0</v>
      </c>
      <c r="P487" s="24">
        <v>0</v>
      </c>
      <c r="Q487" s="24">
        <v>0</v>
      </c>
      <c r="R487" s="24">
        <v>0</v>
      </c>
      <c r="S487" s="24">
        <v>0</v>
      </c>
      <c r="T487" s="24">
        <v>0</v>
      </c>
      <c r="U487" s="24">
        <v>0</v>
      </c>
      <c r="V487" s="24">
        <v>0</v>
      </c>
      <c r="W487" s="24">
        <v>0</v>
      </c>
      <c r="X487" s="24">
        <v>239380.5</v>
      </c>
      <c r="Y487" s="24">
        <v>239380.5</v>
      </c>
      <c r="Z487" s="24">
        <f t="shared" si="23"/>
        <v>478761</v>
      </c>
      <c r="AB487" s="25">
        <v>478761</v>
      </c>
      <c r="AC487" s="26">
        <v>478760.9</v>
      </c>
      <c r="AD487" s="24">
        <v>9.9999999976716936E-2</v>
      </c>
      <c r="AE487" s="27">
        <f>_xlfn.XLOOKUP(B487,'Projects Cashflow'!$B:$B,'Projects Cashflow'!$AG:$AG,0)</f>
        <v>478760.9</v>
      </c>
      <c r="AF487" s="28">
        <f t="shared" si="24"/>
        <v>-9.9999999976716936E-2</v>
      </c>
    </row>
    <row r="488" spans="2:32" x14ac:dyDescent="0.3">
      <c r="B488" s="14" t="str">
        <f t="shared" si="22"/>
        <v>45115504511000593SM Managnt E-E-N422511200104</v>
      </c>
      <c r="C488" s="21" t="s">
        <v>65</v>
      </c>
      <c r="D488" s="22">
        <v>4511550</v>
      </c>
      <c r="E488" s="21" t="s">
        <v>3027</v>
      </c>
      <c r="F488" s="22">
        <v>4511000593</v>
      </c>
      <c r="G488" s="21" t="s">
        <v>3033</v>
      </c>
      <c r="H488" s="21" t="s">
        <v>255</v>
      </c>
      <c r="I488" s="22">
        <v>422511</v>
      </c>
      <c r="J488" s="22">
        <v>200104</v>
      </c>
      <c r="K488" s="22" t="s">
        <v>2959</v>
      </c>
      <c r="L488" s="22">
        <v>70206</v>
      </c>
      <c r="M488" s="23" t="s">
        <v>2961</v>
      </c>
      <c r="N488" s="24">
        <v>0</v>
      </c>
      <c r="O488" s="24">
        <v>0</v>
      </c>
      <c r="P488" s="24">
        <v>0</v>
      </c>
      <c r="Q488" s="24">
        <v>0</v>
      </c>
      <c r="R488" s="24">
        <v>0</v>
      </c>
      <c r="S488" s="24">
        <v>0</v>
      </c>
      <c r="T488" s="24">
        <v>0</v>
      </c>
      <c r="U488" s="24">
        <v>0</v>
      </c>
      <c r="V488" s="24">
        <v>0</v>
      </c>
      <c r="W488" s="24">
        <v>133333.33333333334</v>
      </c>
      <c r="X488" s="24">
        <v>133333.33333333334</v>
      </c>
      <c r="Y488" s="24">
        <v>133333.33333333334</v>
      </c>
      <c r="Z488" s="24">
        <f t="shared" si="23"/>
        <v>400000</v>
      </c>
      <c r="AB488" s="25">
        <v>400000</v>
      </c>
      <c r="AC488" s="26">
        <v>400000</v>
      </c>
      <c r="AD488" s="24">
        <v>0</v>
      </c>
      <c r="AE488" s="27">
        <f>_xlfn.XLOOKUP(B488,'Projects Cashflow'!$B:$B,'Projects Cashflow'!$AG:$AG,0)</f>
        <v>400000</v>
      </c>
      <c r="AF488" s="28">
        <f t="shared" si="24"/>
        <v>0</v>
      </c>
    </row>
    <row r="489" spans="2:32" x14ac:dyDescent="0.3">
      <c r="B489" s="14" t="str">
        <f t="shared" si="22"/>
        <v>45115504511000644SM Prodct&amp;Develp-N422511200104</v>
      </c>
      <c r="C489" s="21" t="s">
        <v>65</v>
      </c>
      <c r="D489" s="22">
        <v>4511550</v>
      </c>
      <c r="E489" s="21" t="s">
        <v>3027</v>
      </c>
      <c r="F489" s="22">
        <v>4511000644</v>
      </c>
      <c r="G489" s="21" t="s">
        <v>3024</v>
      </c>
      <c r="H489" s="21" t="s">
        <v>435</v>
      </c>
      <c r="I489" s="22">
        <v>422511</v>
      </c>
      <c r="J489" s="22">
        <v>200104</v>
      </c>
      <c r="K489" s="22" t="s">
        <v>2959</v>
      </c>
      <c r="L489" s="22">
        <v>70201</v>
      </c>
      <c r="M489" s="23" t="s">
        <v>2961</v>
      </c>
      <c r="N489" s="24">
        <v>0</v>
      </c>
      <c r="O489" s="24">
        <v>0</v>
      </c>
      <c r="P489" s="24">
        <v>0</v>
      </c>
      <c r="Q489" s="24">
        <v>0</v>
      </c>
      <c r="R489" s="24">
        <v>0</v>
      </c>
      <c r="S489" s="24">
        <v>0</v>
      </c>
      <c r="T489" s="24">
        <v>0</v>
      </c>
      <c r="U489" s="24">
        <v>0</v>
      </c>
      <c r="V489" s="24">
        <v>0</v>
      </c>
      <c r="W489" s="24">
        <v>192510</v>
      </c>
      <c r="X489" s="24">
        <v>0</v>
      </c>
      <c r="Y489" s="24">
        <v>0</v>
      </c>
      <c r="Z489" s="24">
        <f t="shared" si="23"/>
        <v>192510</v>
      </c>
      <c r="AB489" s="25">
        <v>192510</v>
      </c>
      <c r="AC489" s="26">
        <v>192510</v>
      </c>
      <c r="AD489" s="24">
        <v>0</v>
      </c>
      <c r="AE489" s="27">
        <f>_xlfn.XLOOKUP(B489,'Projects Cashflow'!$B:$B,'Projects Cashflow'!$AG:$AG,0)</f>
        <v>192510</v>
      </c>
      <c r="AF489" s="28">
        <f t="shared" si="24"/>
        <v>0</v>
      </c>
    </row>
    <row r="490" spans="2:32" x14ac:dyDescent="0.3">
      <c r="B490" s="14" t="str">
        <f t="shared" si="22"/>
        <v>45115504511000721SM Prodct&amp;Develp-N422511200104</v>
      </c>
      <c r="C490" s="21" t="s">
        <v>65</v>
      </c>
      <c r="D490" s="22">
        <v>4511550</v>
      </c>
      <c r="E490" s="21" t="s">
        <v>3027</v>
      </c>
      <c r="F490" s="22">
        <v>4511000721</v>
      </c>
      <c r="G490" s="21" t="s">
        <v>3034</v>
      </c>
      <c r="H490" s="21" t="s">
        <v>435</v>
      </c>
      <c r="I490" s="22">
        <v>422511</v>
      </c>
      <c r="J490" s="22">
        <v>200104</v>
      </c>
      <c r="K490" s="22" t="s">
        <v>2959</v>
      </c>
      <c r="L490" s="22">
        <v>70204</v>
      </c>
      <c r="M490" s="23" t="s">
        <v>2961</v>
      </c>
      <c r="N490" s="24">
        <v>0</v>
      </c>
      <c r="O490" s="24">
        <v>0</v>
      </c>
      <c r="P490" s="24">
        <v>0</v>
      </c>
      <c r="Q490" s="24">
        <v>0</v>
      </c>
      <c r="R490" s="24">
        <v>100000</v>
      </c>
      <c r="S490" s="24">
        <v>100000</v>
      </c>
      <c r="T490" s="24">
        <v>100000</v>
      </c>
      <c r="U490" s="24">
        <v>300000</v>
      </c>
      <c r="V490" s="24">
        <v>200000</v>
      </c>
      <c r="W490" s="24">
        <v>300000</v>
      </c>
      <c r="X490" s="24">
        <v>300000</v>
      </c>
      <c r="Y490" s="24">
        <v>312788</v>
      </c>
      <c r="Z490" s="24">
        <f t="shared" si="23"/>
        <v>1712788</v>
      </c>
      <c r="AB490" s="25">
        <v>1712788</v>
      </c>
      <c r="AC490" s="26">
        <v>1712788</v>
      </c>
      <c r="AD490" s="24">
        <v>0</v>
      </c>
      <c r="AE490" s="27">
        <f>_xlfn.XLOOKUP(B490,'Projects Cashflow'!$B:$B,'Projects Cashflow'!$AG:$AG,0)</f>
        <v>1712788</v>
      </c>
      <c r="AF490" s="28">
        <f t="shared" si="24"/>
        <v>0</v>
      </c>
    </row>
    <row r="491" spans="2:32" x14ac:dyDescent="0.3">
      <c r="B491" s="14" t="str">
        <f t="shared" si="22"/>
        <v>45115504511000819SM Prodct&amp;Develp-N422511200104</v>
      </c>
      <c r="C491" s="21" t="s">
        <v>65</v>
      </c>
      <c r="D491" s="22">
        <v>4511550</v>
      </c>
      <c r="E491" s="21" t="s">
        <v>3027</v>
      </c>
      <c r="F491" s="22">
        <v>4511000819</v>
      </c>
      <c r="G491" s="21" t="s">
        <v>1112</v>
      </c>
      <c r="H491" s="21" t="s">
        <v>435</v>
      </c>
      <c r="I491" s="22">
        <v>422511</v>
      </c>
      <c r="J491" s="22">
        <v>200104</v>
      </c>
      <c r="K491" s="22" t="s">
        <v>2959</v>
      </c>
      <c r="L491" s="22">
        <v>70204</v>
      </c>
      <c r="M491" s="23" t="s">
        <v>2961</v>
      </c>
      <c r="N491" s="24">
        <v>0</v>
      </c>
      <c r="O491" s="24">
        <v>0</v>
      </c>
      <c r="P491" s="24">
        <v>0</v>
      </c>
      <c r="Q491" s="24">
        <v>0</v>
      </c>
      <c r="R491" s="24">
        <v>116411</v>
      </c>
      <c r="S491" s="24">
        <v>0</v>
      </c>
      <c r="T491" s="24">
        <v>0</v>
      </c>
      <c r="U491" s="24">
        <v>0</v>
      </c>
      <c r="V491" s="24">
        <v>0</v>
      </c>
      <c r="W491" s="24">
        <v>0</v>
      </c>
      <c r="X491" s="24">
        <v>0</v>
      </c>
      <c r="Y491" s="24">
        <v>0</v>
      </c>
      <c r="Z491" s="24">
        <f t="shared" si="23"/>
        <v>116411</v>
      </c>
      <c r="AB491" s="25">
        <v>116411</v>
      </c>
      <c r="AC491" s="26">
        <v>116411</v>
      </c>
      <c r="AD491" s="24">
        <v>0</v>
      </c>
      <c r="AE491" s="27">
        <f>_xlfn.XLOOKUP(B491,'Projects Cashflow'!$B:$B,'Projects Cashflow'!$AG:$AG,0)</f>
        <v>116411</v>
      </c>
      <c r="AF491" s="28">
        <f t="shared" si="24"/>
        <v>0</v>
      </c>
    </row>
    <row r="492" spans="2:32" x14ac:dyDescent="0.3">
      <c r="B492" s="14" t="str">
        <f t="shared" si="22"/>
        <v>45115504511000820Media Mgmnt &amp;Buy-N2422511200104</v>
      </c>
      <c r="C492" s="21" t="s">
        <v>65</v>
      </c>
      <c r="D492" s="22">
        <v>4511550</v>
      </c>
      <c r="E492" s="21" t="s">
        <v>3027</v>
      </c>
      <c r="F492" s="22">
        <v>4511000820</v>
      </c>
      <c r="G492" s="21" t="s">
        <v>1114</v>
      </c>
      <c r="H492" s="29" t="s">
        <v>1115</v>
      </c>
      <c r="I492" s="22">
        <v>422511</v>
      </c>
      <c r="J492" s="22">
        <v>200104</v>
      </c>
      <c r="K492" s="22" t="s">
        <v>2959</v>
      </c>
      <c r="L492" s="22">
        <v>70204</v>
      </c>
      <c r="M492" s="23" t="s">
        <v>2961</v>
      </c>
      <c r="N492" s="24">
        <v>0</v>
      </c>
      <c r="O492" s="24">
        <v>0</v>
      </c>
      <c r="P492" s="24">
        <v>0</v>
      </c>
      <c r="Q492" s="40">
        <v>0</v>
      </c>
      <c r="R492" s="24">
        <v>0</v>
      </c>
      <c r="S492" s="24">
        <v>0</v>
      </c>
      <c r="T492" s="24">
        <v>0</v>
      </c>
      <c r="U492" s="24">
        <v>0</v>
      </c>
      <c r="V492" s="24">
        <v>0</v>
      </c>
      <c r="W492" s="24">
        <v>0</v>
      </c>
      <c r="X492" s="24">
        <v>0</v>
      </c>
      <c r="Y492" s="24">
        <v>10000</v>
      </c>
      <c r="Z492" s="24">
        <f t="shared" si="23"/>
        <v>10000</v>
      </c>
      <c r="AB492" s="25">
        <v>1010000</v>
      </c>
      <c r="AC492" s="26">
        <v>1010000</v>
      </c>
      <c r="AD492" s="24">
        <v>0</v>
      </c>
      <c r="AE492" s="27">
        <f>_xlfn.XLOOKUP(B492,'Projects Cashflow'!$B:$B,'Projects Cashflow'!$AG:$AG,0)</f>
        <v>1010000</v>
      </c>
      <c r="AF492" s="28">
        <f t="shared" si="24"/>
        <v>0</v>
      </c>
    </row>
    <row r="493" spans="2:32" x14ac:dyDescent="0.3">
      <c r="B493" s="14" t="str">
        <f t="shared" si="22"/>
        <v>45115504511000914Media Mgmnt &amp;Buy-N422511200104</v>
      </c>
      <c r="C493" s="21" t="s">
        <v>65</v>
      </c>
      <c r="D493" s="22">
        <v>4511550</v>
      </c>
      <c r="E493" s="21" t="s">
        <v>3027</v>
      </c>
      <c r="F493" s="22">
        <v>4511000914</v>
      </c>
      <c r="G493" s="21" t="s">
        <v>1239</v>
      </c>
      <c r="H493" s="21" t="s">
        <v>166</v>
      </c>
      <c r="I493" s="22">
        <v>422511</v>
      </c>
      <c r="J493" s="22">
        <v>200104</v>
      </c>
      <c r="K493" s="22" t="s">
        <v>2959</v>
      </c>
      <c r="L493" s="22">
        <v>70206</v>
      </c>
      <c r="M493" s="23" t="s">
        <v>2961</v>
      </c>
      <c r="N493" s="24">
        <v>0</v>
      </c>
      <c r="O493" s="24">
        <v>0</v>
      </c>
      <c r="P493" s="24">
        <v>0</v>
      </c>
      <c r="Q493" s="24">
        <v>0</v>
      </c>
      <c r="R493" s="24">
        <v>0</v>
      </c>
      <c r="S493" s="24">
        <v>0</v>
      </c>
      <c r="T493" s="24">
        <v>0</v>
      </c>
      <c r="U493" s="24">
        <v>0</v>
      </c>
      <c r="V493" s="24">
        <v>0</v>
      </c>
      <c r="W493" s="24">
        <v>200000</v>
      </c>
      <c r="X493" s="24">
        <v>249604</v>
      </c>
      <c r="Y493" s="24">
        <v>0</v>
      </c>
      <c r="Z493" s="24">
        <f t="shared" si="23"/>
        <v>449604</v>
      </c>
      <c r="AB493" s="25">
        <v>449604</v>
      </c>
      <c r="AC493" s="26">
        <v>449604</v>
      </c>
      <c r="AD493" s="24">
        <v>0</v>
      </c>
      <c r="AE493" s="27">
        <f>_xlfn.XLOOKUP(B493,'Projects Cashflow'!$B:$B,'Projects Cashflow'!$AG:$AG,0)</f>
        <v>449604</v>
      </c>
      <c r="AF493" s="28">
        <f t="shared" si="24"/>
        <v>0</v>
      </c>
    </row>
    <row r="494" spans="2:32" x14ac:dyDescent="0.3">
      <c r="B494" s="14" t="str">
        <f t="shared" si="22"/>
        <v>45115504511000920Media Mgmnt &amp;Buy-N422511200104</v>
      </c>
      <c r="C494" s="21" t="s">
        <v>65</v>
      </c>
      <c r="D494" s="22">
        <v>4511550</v>
      </c>
      <c r="E494" s="21" t="s">
        <v>3027</v>
      </c>
      <c r="F494" s="22">
        <v>4511000920</v>
      </c>
      <c r="G494" s="21" t="s">
        <v>1241</v>
      </c>
      <c r="H494" s="21" t="s">
        <v>166</v>
      </c>
      <c r="I494" s="22">
        <v>422511</v>
      </c>
      <c r="J494" s="22">
        <v>200104</v>
      </c>
      <c r="K494" s="22" t="s">
        <v>2959</v>
      </c>
      <c r="L494" s="22">
        <v>70603</v>
      </c>
      <c r="M494" s="23" t="s">
        <v>2961</v>
      </c>
      <c r="N494" s="24">
        <v>0</v>
      </c>
      <c r="O494" s="24">
        <v>0</v>
      </c>
      <c r="P494" s="24">
        <v>0</v>
      </c>
      <c r="Q494" s="24">
        <v>50000</v>
      </c>
      <c r="R494" s="24">
        <v>250000</v>
      </c>
      <c r="S494" s="24">
        <v>250000</v>
      </c>
      <c r="T494" s="24">
        <v>0</v>
      </c>
      <c r="U494" s="24">
        <v>0</v>
      </c>
      <c r="V494" s="24">
        <v>0</v>
      </c>
      <c r="W494" s="24">
        <v>72668</v>
      </c>
      <c r="X494" s="24">
        <v>55890</v>
      </c>
      <c r="Y494" s="24">
        <v>0</v>
      </c>
      <c r="Z494" s="24">
        <f t="shared" si="23"/>
        <v>678558</v>
      </c>
      <c r="AB494" s="25">
        <v>678558</v>
      </c>
      <c r="AC494" s="26">
        <v>678557.7</v>
      </c>
      <c r="AD494" s="24">
        <v>0.30000000004656613</v>
      </c>
      <c r="AE494" s="27">
        <f>_xlfn.XLOOKUP(B494,'Projects Cashflow'!$B:$B,'Projects Cashflow'!$AG:$AG,0)</f>
        <v>678557.7</v>
      </c>
      <c r="AF494" s="28">
        <f t="shared" si="24"/>
        <v>-0.30000000004656613</v>
      </c>
    </row>
    <row r="495" spans="2:32" x14ac:dyDescent="0.3">
      <c r="B495" s="14" t="str">
        <f t="shared" si="22"/>
        <v>45115504511001261SM Managnt E-E-N422511200104</v>
      </c>
      <c r="C495" s="21" t="s">
        <v>65</v>
      </c>
      <c r="D495" s="22">
        <v>4511550</v>
      </c>
      <c r="E495" s="21" t="s">
        <v>3027</v>
      </c>
      <c r="F495" s="22">
        <v>4511001261</v>
      </c>
      <c r="G495" s="21" t="s">
        <v>1512</v>
      </c>
      <c r="H495" s="21" t="s">
        <v>255</v>
      </c>
      <c r="I495" s="22">
        <v>422511</v>
      </c>
      <c r="J495" s="22">
        <v>200104</v>
      </c>
      <c r="K495" s="22" t="s">
        <v>2959</v>
      </c>
      <c r="L495" s="22">
        <v>70205</v>
      </c>
      <c r="M495" s="23" t="s">
        <v>2961</v>
      </c>
      <c r="N495" s="24">
        <v>0</v>
      </c>
      <c r="O495" s="24">
        <v>0</v>
      </c>
      <c r="P495" s="24">
        <v>0</v>
      </c>
      <c r="Q495" s="24">
        <v>0</v>
      </c>
      <c r="R495" s="24">
        <v>0</v>
      </c>
      <c r="S495" s="24">
        <v>0</v>
      </c>
      <c r="T495" s="24">
        <v>0</v>
      </c>
      <c r="U495" s="24">
        <v>0</v>
      </c>
      <c r="V495" s="24">
        <v>0</v>
      </c>
      <c r="W495" s="24">
        <v>0</v>
      </c>
      <c r="X495" s="24">
        <v>0</v>
      </c>
      <c r="Y495" s="24">
        <v>9997.6200000009994</v>
      </c>
      <c r="Z495" s="24">
        <f t="shared" si="23"/>
        <v>9997.6200000009994</v>
      </c>
      <c r="AB495" s="25">
        <v>9997.6200000009994</v>
      </c>
      <c r="AC495" s="26">
        <v>9998</v>
      </c>
      <c r="AD495" s="24">
        <v>-0.37999999900057446</v>
      </c>
      <c r="AE495" s="27">
        <f>_xlfn.XLOOKUP(B495,'Projects Cashflow'!$B:$B,'Projects Cashflow'!$AG:$AG,0)</f>
        <v>9998</v>
      </c>
      <c r="AF495" s="28">
        <f t="shared" si="24"/>
        <v>0.37999999900057446</v>
      </c>
    </row>
    <row r="496" spans="2:32" x14ac:dyDescent="0.3">
      <c r="B496" s="14" t="str">
        <f t="shared" si="22"/>
        <v>45115504511001545PR Mgmnt E-E-N424781200104</v>
      </c>
      <c r="C496" s="21" t="s">
        <v>65</v>
      </c>
      <c r="D496" s="22">
        <v>4511550</v>
      </c>
      <c r="E496" s="21" t="s">
        <v>3027</v>
      </c>
      <c r="F496" s="22">
        <v>4511001545</v>
      </c>
      <c r="G496" s="21" t="s">
        <v>1978</v>
      </c>
      <c r="H496" s="21" t="s">
        <v>99</v>
      </c>
      <c r="I496" s="22">
        <v>424781</v>
      </c>
      <c r="J496" s="22">
        <v>200104</v>
      </c>
      <c r="K496" s="22" t="s">
        <v>2959</v>
      </c>
      <c r="L496" s="22">
        <v>70603</v>
      </c>
      <c r="M496" s="23" t="s">
        <v>2961</v>
      </c>
      <c r="N496" s="24">
        <v>0</v>
      </c>
      <c r="O496" s="24">
        <v>0</v>
      </c>
      <c r="P496" s="24">
        <v>0</v>
      </c>
      <c r="Q496" s="24">
        <v>0</v>
      </c>
      <c r="R496" s="24">
        <v>125000</v>
      </c>
      <c r="S496" s="24">
        <v>125000</v>
      </c>
      <c r="T496" s="24">
        <v>125000</v>
      </c>
      <c r="U496" s="24">
        <v>125000</v>
      </c>
      <c r="V496" s="24">
        <v>125000</v>
      </c>
      <c r="W496" s="24">
        <v>125000</v>
      </c>
      <c r="X496" s="24">
        <v>125000</v>
      </c>
      <c r="Y496" s="24">
        <v>150351</v>
      </c>
      <c r="Z496" s="24">
        <f t="shared" si="23"/>
        <v>1025351</v>
      </c>
      <c r="AB496" s="25">
        <v>1025351</v>
      </c>
      <c r="AC496" s="26">
        <v>1025351</v>
      </c>
      <c r="AD496" s="24">
        <v>0</v>
      </c>
      <c r="AE496" s="27">
        <f>_xlfn.XLOOKUP(B496,'Projects Cashflow'!$B:$B,'Projects Cashflow'!$AG:$AG,0)</f>
        <v>1025351</v>
      </c>
      <c r="AF496" s="28">
        <f t="shared" si="24"/>
        <v>0</v>
      </c>
    </row>
    <row r="497" spans="2:32" x14ac:dyDescent="0.3">
      <c r="B497" s="14" t="str">
        <f t="shared" si="22"/>
        <v>45115504511001545SM Managnt E-E-N422511200104</v>
      </c>
      <c r="C497" s="21" t="s">
        <v>65</v>
      </c>
      <c r="D497" s="22">
        <v>4511550</v>
      </c>
      <c r="E497" s="21" t="s">
        <v>3027</v>
      </c>
      <c r="F497" s="22">
        <v>4511001545</v>
      </c>
      <c r="G497" s="21" t="s">
        <v>1978</v>
      </c>
      <c r="H497" s="21" t="s">
        <v>255</v>
      </c>
      <c r="I497" s="22">
        <v>422511</v>
      </c>
      <c r="J497" s="22">
        <v>200104</v>
      </c>
      <c r="K497" s="22" t="s">
        <v>2959</v>
      </c>
      <c r="L497" s="22">
        <v>70603</v>
      </c>
      <c r="M497" s="23" t="s">
        <v>2961</v>
      </c>
      <c r="N497" s="24">
        <v>0</v>
      </c>
      <c r="O497" s="24">
        <v>0</v>
      </c>
      <c r="P497" s="24">
        <v>0</v>
      </c>
      <c r="Q497" s="24">
        <v>0</v>
      </c>
      <c r="R497" s="24">
        <v>75000</v>
      </c>
      <c r="S497" s="24">
        <v>75000</v>
      </c>
      <c r="T497" s="24">
        <v>75000</v>
      </c>
      <c r="U497" s="24">
        <v>75000</v>
      </c>
      <c r="V497" s="24">
        <v>75000</v>
      </c>
      <c r="W497" s="24">
        <v>75000</v>
      </c>
      <c r="X497" s="24">
        <v>75000</v>
      </c>
      <c r="Y497" s="24">
        <v>75000</v>
      </c>
      <c r="Z497" s="24">
        <f t="shared" si="23"/>
        <v>600000</v>
      </c>
      <c r="AB497" s="25">
        <v>600000</v>
      </c>
      <c r="AC497" s="26">
        <v>600000</v>
      </c>
      <c r="AD497" s="24">
        <v>0</v>
      </c>
      <c r="AE497" s="27">
        <f>_xlfn.XLOOKUP(B497,'Projects Cashflow'!$B:$B,'Projects Cashflow'!$AG:$AG,0)</f>
        <v>600000</v>
      </c>
      <c r="AF497" s="28">
        <f t="shared" si="24"/>
        <v>0</v>
      </c>
    </row>
    <row r="498" spans="2:32" x14ac:dyDescent="0.3">
      <c r="B498" s="14" t="str">
        <f t="shared" si="22"/>
        <v>45115504511001545Media Mgmnt &amp;Buy-N422511200104</v>
      </c>
      <c r="C498" s="21" t="s">
        <v>65</v>
      </c>
      <c r="D498" s="22">
        <v>4511550</v>
      </c>
      <c r="E498" s="21" t="s">
        <v>3027</v>
      </c>
      <c r="F498" s="22">
        <v>4511001545</v>
      </c>
      <c r="G498" s="21" t="s">
        <v>1978</v>
      </c>
      <c r="H498" s="21" t="s">
        <v>166</v>
      </c>
      <c r="I498" s="22">
        <v>422511</v>
      </c>
      <c r="J498" s="22">
        <v>200104</v>
      </c>
      <c r="K498" s="22" t="s">
        <v>2959</v>
      </c>
      <c r="L498" s="22">
        <v>70603</v>
      </c>
      <c r="M498" s="23" t="s">
        <v>2961</v>
      </c>
      <c r="N498" s="24">
        <v>0</v>
      </c>
      <c r="O498" s="24">
        <v>0</v>
      </c>
      <c r="P498" s="24">
        <v>0</v>
      </c>
      <c r="Q498" s="24">
        <v>0</v>
      </c>
      <c r="R498" s="24">
        <v>0</v>
      </c>
      <c r="S498" s="24">
        <v>0</v>
      </c>
      <c r="T498" s="24">
        <v>0</v>
      </c>
      <c r="U498" s="24">
        <v>0</v>
      </c>
      <c r="V498" s="24">
        <v>0</v>
      </c>
      <c r="W498" s="24">
        <v>0</v>
      </c>
      <c r="X498" s="24">
        <v>0</v>
      </c>
      <c r="Y498" s="24">
        <v>10000</v>
      </c>
      <c r="Z498" s="24">
        <f t="shared" si="23"/>
        <v>10000</v>
      </c>
      <c r="AB498" s="25">
        <v>10000</v>
      </c>
      <c r="AC498" s="26">
        <v>10000</v>
      </c>
      <c r="AD498" s="24">
        <v>0</v>
      </c>
      <c r="AE498" s="27">
        <f>_xlfn.XLOOKUP(B498,'Projects Cashflow'!$B:$B,'Projects Cashflow'!$AG:$AG,0)</f>
        <v>10000</v>
      </c>
      <c r="AF498" s="28">
        <f t="shared" si="24"/>
        <v>0</v>
      </c>
    </row>
    <row r="499" spans="2:32" x14ac:dyDescent="0.3">
      <c r="B499" s="14" t="str">
        <f t="shared" si="22"/>
        <v>45115504511001546SM Managnt E-E-N422511200104</v>
      </c>
      <c r="C499" s="21" t="s">
        <v>65</v>
      </c>
      <c r="D499" s="22">
        <v>4511550</v>
      </c>
      <c r="E499" s="21" t="s">
        <v>3027</v>
      </c>
      <c r="F499" s="22">
        <v>4511001546</v>
      </c>
      <c r="G499" s="21" t="s">
        <v>1980</v>
      </c>
      <c r="H499" s="21" t="s">
        <v>255</v>
      </c>
      <c r="I499" s="22">
        <v>422511</v>
      </c>
      <c r="J499" s="22">
        <v>200104</v>
      </c>
      <c r="K499" s="22" t="s">
        <v>2959</v>
      </c>
      <c r="L499" s="22">
        <v>70603</v>
      </c>
      <c r="M499" s="23" t="s">
        <v>2961</v>
      </c>
      <c r="N499" s="24">
        <v>0</v>
      </c>
      <c r="O499" s="24">
        <v>0</v>
      </c>
      <c r="P499" s="24">
        <v>0</v>
      </c>
      <c r="Q499" s="24">
        <v>140000</v>
      </c>
      <c r="R499" s="24">
        <v>35000</v>
      </c>
      <c r="S499" s="24">
        <v>35000</v>
      </c>
      <c r="T499" s="24">
        <v>35000</v>
      </c>
      <c r="U499" s="24">
        <v>35000</v>
      </c>
      <c r="V499" s="24">
        <v>35000</v>
      </c>
      <c r="W499" s="24">
        <v>35000</v>
      </c>
      <c r="X499" s="24">
        <v>35000</v>
      </c>
      <c r="Y499" s="24">
        <v>35000</v>
      </c>
      <c r="Z499" s="24">
        <f t="shared" si="23"/>
        <v>420000</v>
      </c>
      <c r="AB499" s="25">
        <v>420000</v>
      </c>
      <c r="AC499" s="26">
        <v>420000</v>
      </c>
      <c r="AD499" s="24">
        <v>0</v>
      </c>
      <c r="AE499" s="27">
        <f>_xlfn.XLOOKUP(B499,'Projects Cashflow'!$B:$B,'Projects Cashflow'!$AG:$AG,0)</f>
        <v>420000</v>
      </c>
      <c r="AF499" s="28">
        <f t="shared" si="24"/>
        <v>0</v>
      </c>
    </row>
    <row r="500" spans="2:32" x14ac:dyDescent="0.3">
      <c r="B500" s="14" t="str">
        <f t="shared" si="22"/>
        <v>45115504511001546PR Mgmnt E-E-N424781200104</v>
      </c>
      <c r="C500" s="21" t="s">
        <v>65</v>
      </c>
      <c r="D500" s="22">
        <v>4511550</v>
      </c>
      <c r="E500" s="21" t="s">
        <v>3027</v>
      </c>
      <c r="F500" s="22">
        <v>4511001546</v>
      </c>
      <c r="G500" s="21" t="s">
        <v>1980</v>
      </c>
      <c r="H500" s="21" t="s">
        <v>99</v>
      </c>
      <c r="I500" s="22">
        <v>424781</v>
      </c>
      <c r="J500" s="22">
        <v>200104</v>
      </c>
      <c r="K500" s="22" t="s">
        <v>2959</v>
      </c>
      <c r="L500" s="22">
        <v>70603</v>
      </c>
      <c r="M500" s="23" t="s">
        <v>2961</v>
      </c>
      <c r="N500" s="24">
        <v>0</v>
      </c>
      <c r="O500" s="24">
        <v>0</v>
      </c>
      <c r="P500" s="24">
        <v>0</v>
      </c>
      <c r="Q500" s="24">
        <v>50000</v>
      </c>
      <c r="R500" s="24">
        <v>0</v>
      </c>
      <c r="S500" s="24">
        <v>0</v>
      </c>
      <c r="T500" s="24">
        <v>0</v>
      </c>
      <c r="U500" s="24">
        <v>0</v>
      </c>
      <c r="V500" s="24">
        <v>0</v>
      </c>
      <c r="W500" s="24">
        <v>129868</v>
      </c>
      <c r="X500" s="24">
        <v>0</v>
      </c>
      <c r="Y500" s="24">
        <v>0</v>
      </c>
      <c r="Z500" s="24">
        <f t="shared" si="23"/>
        <v>179868</v>
      </c>
      <c r="AB500" s="25">
        <v>179868</v>
      </c>
      <c r="AC500" s="26">
        <v>179868</v>
      </c>
      <c r="AD500" s="24">
        <v>0</v>
      </c>
      <c r="AE500" s="27">
        <f>_xlfn.XLOOKUP(B500,'Projects Cashflow'!$B:$B,'Projects Cashflow'!$AG:$AG,0)</f>
        <v>179868</v>
      </c>
      <c r="AF500" s="28">
        <f t="shared" si="24"/>
        <v>0</v>
      </c>
    </row>
    <row r="501" spans="2:32" x14ac:dyDescent="0.3">
      <c r="B501" s="14" t="str">
        <f t="shared" si="22"/>
        <v>45115504511001554SM Prodct&amp;Develp-N422511200104</v>
      </c>
      <c r="C501" s="21" t="s">
        <v>65</v>
      </c>
      <c r="D501" s="22">
        <v>4511550</v>
      </c>
      <c r="E501" s="21" t="s">
        <v>3027</v>
      </c>
      <c r="F501" s="22">
        <v>4511001554</v>
      </c>
      <c r="G501" s="21" t="s">
        <v>1998</v>
      </c>
      <c r="H501" s="21" t="s">
        <v>435</v>
      </c>
      <c r="I501" s="22">
        <v>422511</v>
      </c>
      <c r="J501" s="22">
        <v>200104</v>
      </c>
      <c r="K501" s="22" t="s">
        <v>2959</v>
      </c>
      <c r="L501" s="22">
        <v>70603</v>
      </c>
      <c r="M501" s="23" t="s">
        <v>2961</v>
      </c>
      <c r="N501" s="24">
        <v>0</v>
      </c>
      <c r="O501" s="24">
        <v>0</v>
      </c>
      <c r="P501" s="24">
        <v>0</v>
      </c>
      <c r="Q501" s="24">
        <v>0</v>
      </c>
      <c r="R501" s="24">
        <v>0</v>
      </c>
      <c r="S501" s="24">
        <v>0</v>
      </c>
      <c r="T501" s="24">
        <v>0</v>
      </c>
      <c r="U501" s="24">
        <v>0</v>
      </c>
      <c r="V501" s="24">
        <v>0</v>
      </c>
      <c r="W501" s="24">
        <v>486000</v>
      </c>
      <c r="X501" s="24">
        <v>0</v>
      </c>
      <c r="Y501" s="24">
        <v>0</v>
      </c>
      <c r="Z501" s="24">
        <f t="shared" si="23"/>
        <v>486000</v>
      </c>
      <c r="AB501" s="25">
        <v>348740</v>
      </c>
      <c r="AC501" s="26">
        <v>348740</v>
      </c>
      <c r="AD501" s="24">
        <v>0</v>
      </c>
      <c r="AE501" s="27">
        <f>_xlfn.XLOOKUP(B501,'Projects Cashflow'!$B:$B,'Projects Cashflow'!$AG:$AG,0)</f>
        <v>348740</v>
      </c>
      <c r="AF501" s="28">
        <f t="shared" si="24"/>
        <v>0</v>
      </c>
    </row>
    <row r="502" spans="2:32" x14ac:dyDescent="0.3">
      <c r="B502" s="14" t="str">
        <f t="shared" si="22"/>
        <v>45115504511001555SM Prodct&amp;Develp-N422511200104</v>
      </c>
      <c r="C502" s="21" t="s">
        <v>65</v>
      </c>
      <c r="D502" s="22">
        <v>4511550</v>
      </c>
      <c r="E502" s="21" t="s">
        <v>3027</v>
      </c>
      <c r="F502" s="22">
        <v>4511001555</v>
      </c>
      <c r="G502" s="21" t="s">
        <v>2000</v>
      </c>
      <c r="H502" s="21" t="s">
        <v>435</v>
      </c>
      <c r="I502" s="22">
        <v>422511</v>
      </c>
      <c r="J502" s="22">
        <v>200104</v>
      </c>
      <c r="K502" s="22" t="s">
        <v>2959</v>
      </c>
      <c r="L502" s="22">
        <v>70603</v>
      </c>
      <c r="M502" s="23" t="s">
        <v>2961</v>
      </c>
      <c r="N502" s="24">
        <v>0</v>
      </c>
      <c r="O502" s="24">
        <v>0</v>
      </c>
      <c r="P502" s="24">
        <v>0</v>
      </c>
      <c r="Q502" s="24">
        <v>0</v>
      </c>
      <c r="R502" s="24">
        <v>0</v>
      </c>
      <c r="S502" s="24">
        <v>0</v>
      </c>
      <c r="T502" s="24">
        <v>0</v>
      </c>
      <c r="U502" s="24">
        <v>0</v>
      </c>
      <c r="V502" s="24">
        <v>0</v>
      </c>
      <c r="W502" s="24">
        <v>478350</v>
      </c>
      <c r="X502" s="24">
        <v>0</v>
      </c>
      <c r="Y502" s="24">
        <v>0</v>
      </c>
      <c r="Z502" s="24">
        <f t="shared" si="23"/>
        <v>478350</v>
      </c>
      <c r="AB502" s="25">
        <v>478350</v>
      </c>
      <c r="AC502" s="26">
        <v>478350</v>
      </c>
      <c r="AD502" s="24">
        <v>0</v>
      </c>
      <c r="AE502" s="27">
        <f>_xlfn.XLOOKUP(B502,'Projects Cashflow'!$B:$B,'Projects Cashflow'!$AG:$AG,0)</f>
        <v>478350</v>
      </c>
      <c r="AF502" s="28">
        <f t="shared" si="24"/>
        <v>0</v>
      </c>
    </row>
    <row r="503" spans="2:32" x14ac:dyDescent="0.3">
      <c r="B503" s="14" t="str">
        <f t="shared" si="22"/>
        <v>45116004511000022Event Management-N1422401200104</v>
      </c>
      <c r="C503" s="21" t="s">
        <v>65</v>
      </c>
      <c r="D503" s="22">
        <v>4511600</v>
      </c>
      <c r="E503" s="21" t="s">
        <v>3035</v>
      </c>
      <c r="F503" s="22">
        <v>4511000022</v>
      </c>
      <c r="G503" s="21" t="s">
        <v>3036</v>
      </c>
      <c r="H503" s="21" t="s">
        <v>122</v>
      </c>
      <c r="I503" s="22">
        <v>422401</v>
      </c>
      <c r="J503" s="22">
        <v>200104</v>
      </c>
      <c r="K503" s="22" t="s">
        <v>2959</v>
      </c>
      <c r="L503" s="22">
        <v>70201</v>
      </c>
      <c r="M503" s="23" t="s">
        <v>2961</v>
      </c>
      <c r="N503" s="24">
        <v>0</v>
      </c>
      <c r="O503" s="24">
        <v>0</v>
      </c>
      <c r="P503" s="24">
        <v>0</v>
      </c>
      <c r="Q503" s="24">
        <v>0</v>
      </c>
      <c r="R503" s="24">
        <v>0</v>
      </c>
      <c r="S503" s="24">
        <v>0</v>
      </c>
      <c r="T503" s="24">
        <v>0</v>
      </c>
      <c r="U503" s="24">
        <v>0</v>
      </c>
      <c r="V503" s="24">
        <v>0</v>
      </c>
      <c r="W503" s="24">
        <v>231900</v>
      </c>
      <c r="X503" s="24">
        <v>0</v>
      </c>
      <c r="Y503" s="24">
        <v>0</v>
      </c>
      <c r="Z503" s="24">
        <f t="shared" si="23"/>
        <v>231900</v>
      </c>
      <c r="AB503" s="25">
        <v>231900</v>
      </c>
      <c r="AC503" s="26">
        <v>231900</v>
      </c>
      <c r="AD503" s="24">
        <v>0</v>
      </c>
      <c r="AE503" s="27">
        <f>_xlfn.XLOOKUP(B503,'Projects Cashflow'!$B:$B,'Projects Cashflow'!$AG:$AG,0)</f>
        <v>231900</v>
      </c>
      <c r="AF503" s="28">
        <f t="shared" si="24"/>
        <v>0</v>
      </c>
    </row>
    <row r="504" spans="2:32" x14ac:dyDescent="0.3">
      <c r="B504" s="14" t="str">
        <f t="shared" si="22"/>
        <v>45116004511000022Other Expenses-N424991200104</v>
      </c>
      <c r="C504" s="21" t="s">
        <v>65</v>
      </c>
      <c r="D504" s="22">
        <v>4511600</v>
      </c>
      <c r="E504" s="21" t="s">
        <v>3035</v>
      </c>
      <c r="F504" s="22">
        <v>4511000022</v>
      </c>
      <c r="G504" s="21" t="s">
        <v>3036</v>
      </c>
      <c r="H504" s="21" t="s">
        <v>57</v>
      </c>
      <c r="I504" s="22">
        <v>424991</v>
      </c>
      <c r="J504" s="22">
        <v>200104</v>
      </c>
      <c r="K504" s="22" t="s">
        <v>2959</v>
      </c>
      <c r="L504" s="22">
        <v>70201</v>
      </c>
      <c r="M504" s="23" t="s">
        <v>2961</v>
      </c>
      <c r="N504" s="24">
        <v>0</v>
      </c>
      <c r="O504" s="24">
        <v>0</v>
      </c>
      <c r="P504" s="24">
        <v>0</v>
      </c>
      <c r="Q504" s="24">
        <v>0</v>
      </c>
      <c r="R504" s="24">
        <v>0</v>
      </c>
      <c r="S504" s="24">
        <v>0</v>
      </c>
      <c r="T504" s="24">
        <v>0</v>
      </c>
      <c r="U504" s="24">
        <v>0</v>
      </c>
      <c r="V504" s="24">
        <v>0</v>
      </c>
      <c r="W504" s="24">
        <v>180000</v>
      </c>
      <c r="X504" s="24">
        <v>0</v>
      </c>
      <c r="Y504" s="24">
        <v>0</v>
      </c>
      <c r="Z504" s="24">
        <f t="shared" si="23"/>
        <v>180000</v>
      </c>
      <c r="AB504" s="25">
        <v>180000</v>
      </c>
      <c r="AC504" s="26">
        <v>180000</v>
      </c>
      <c r="AD504" s="24">
        <v>0</v>
      </c>
      <c r="AE504" s="27">
        <f>_xlfn.XLOOKUP(B504,'Projects Cashflow'!$B:$B,'Projects Cashflow'!$AG:$AG,0)</f>
        <v>180000</v>
      </c>
      <c r="AF504" s="28">
        <f t="shared" si="24"/>
        <v>0</v>
      </c>
    </row>
    <row r="505" spans="2:32" x14ac:dyDescent="0.3">
      <c r="B505" s="14" t="str">
        <f t="shared" si="22"/>
        <v>45116004511000038Mission &amp; Travel-N423821200104</v>
      </c>
      <c r="C505" s="21" t="s">
        <v>65</v>
      </c>
      <c r="D505" s="22">
        <v>4511600</v>
      </c>
      <c r="E505" s="21" t="s">
        <v>3035</v>
      </c>
      <c r="F505" s="22">
        <v>4511000038</v>
      </c>
      <c r="G505" s="21" t="s">
        <v>3037</v>
      </c>
      <c r="H505" s="21" t="s">
        <v>54</v>
      </c>
      <c r="I505" s="22">
        <v>423821</v>
      </c>
      <c r="J505" s="22">
        <v>200104</v>
      </c>
      <c r="K505" s="22" t="s">
        <v>2959</v>
      </c>
      <c r="L505" s="22">
        <v>70204</v>
      </c>
      <c r="M505" s="23" t="s">
        <v>2961</v>
      </c>
      <c r="N505" s="24">
        <v>0</v>
      </c>
      <c r="O505" s="24">
        <v>0</v>
      </c>
      <c r="P505" s="24">
        <v>17900</v>
      </c>
      <c r="Q505" s="24">
        <v>0</v>
      </c>
      <c r="R505" s="24">
        <v>0</v>
      </c>
      <c r="S505" s="24">
        <v>0</v>
      </c>
      <c r="T505" s="24">
        <v>0</v>
      </c>
      <c r="U505" s="24">
        <v>282100</v>
      </c>
      <c r="V505" s="24">
        <v>0</v>
      </c>
      <c r="W505" s="24">
        <v>0</v>
      </c>
      <c r="X505" s="24">
        <v>400000</v>
      </c>
      <c r="Y505" s="24">
        <v>0</v>
      </c>
      <c r="Z505" s="24">
        <f t="shared" si="23"/>
        <v>700000</v>
      </c>
      <c r="AB505" s="25">
        <v>700000</v>
      </c>
      <c r="AC505" s="26">
        <v>700000</v>
      </c>
      <c r="AD505" s="24">
        <v>0</v>
      </c>
      <c r="AE505" s="27">
        <f>_xlfn.XLOOKUP(B505,'Projects Cashflow'!$B:$B,'Projects Cashflow'!$AG:$AG,0)</f>
        <v>700000</v>
      </c>
      <c r="AF505" s="28">
        <f t="shared" si="24"/>
        <v>0</v>
      </c>
    </row>
    <row r="506" spans="2:32" x14ac:dyDescent="0.3">
      <c r="B506" s="14" t="str">
        <f t="shared" si="22"/>
        <v>45116004511000087Event Management-N422401200104</v>
      </c>
      <c r="C506" s="21" t="s">
        <v>65</v>
      </c>
      <c r="D506" s="22">
        <v>4511600</v>
      </c>
      <c r="E506" s="21" t="s">
        <v>3035</v>
      </c>
      <c r="F506" s="22">
        <v>4511000087</v>
      </c>
      <c r="G506" s="21" t="s">
        <v>3038</v>
      </c>
      <c r="H506" s="21" t="s">
        <v>162</v>
      </c>
      <c r="I506" s="22">
        <v>422401</v>
      </c>
      <c r="J506" s="22">
        <v>200104</v>
      </c>
      <c r="K506" s="22" t="s">
        <v>2959</v>
      </c>
      <c r="L506" s="22">
        <v>70206</v>
      </c>
      <c r="M506" s="23" t="s">
        <v>2961</v>
      </c>
      <c r="N506" s="24">
        <v>0</v>
      </c>
      <c r="O506" s="24">
        <v>0</v>
      </c>
      <c r="P506" s="24">
        <v>0</v>
      </c>
      <c r="Q506" s="24">
        <v>0</v>
      </c>
      <c r="R506" s="24">
        <v>0</v>
      </c>
      <c r="S506" s="24">
        <v>0</v>
      </c>
      <c r="T506" s="24">
        <v>0</v>
      </c>
      <c r="U506" s="24">
        <v>180000</v>
      </c>
      <c r="V506" s="24">
        <v>0</v>
      </c>
      <c r="W506" s="24">
        <v>0</v>
      </c>
      <c r="X506" s="24">
        <v>0</v>
      </c>
      <c r="Y506" s="24">
        <v>0</v>
      </c>
      <c r="Z506" s="24">
        <f t="shared" si="23"/>
        <v>180000</v>
      </c>
      <c r="AB506" s="25">
        <v>180000</v>
      </c>
      <c r="AC506" s="26">
        <v>180000</v>
      </c>
      <c r="AD506" s="24">
        <v>0</v>
      </c>
      <c r="AE506" s="27">
        <f>_xlfn.XLOOKUP(B506,'Projects Cashflow'!$B:$B,'Projects Cashflow'!$AG:$AG,0)</f>
        <v>180000</v>
      </c>
      <c r="AF506" s="28">
        <f t="shared" si="24"/>
        <v>0</v>
      </c>
    </row>
    <row r="507" spans="2:32" x14ac:dyDescent="0.3">
      <c r="B507" s="14" t="str">
        <f t="shared" si="22"/>
        <v>45116004511000087Other Expenses-N424991200104</v>
      </c>
      <c r="C507" s="21" t="s">
        <v>65</v>
      </c>
      <c r="D507" s="22">
        <v>4511600</v>
      </c>
      <c r="E507" s="21" t="s">
        <v>3035</v>
      </c>
      <c r="F507" s="22">
        <v>4511000087</v>
      </c>
      <c r="G507" s="21" t="s">
        <v>3038</v>
      </c>
      <c r="H507" s="21" t="s">
        <v>57</v>
      </c>
      <c r="I507" s="22">
        <v>424991</v>
      </c>
      <c r="J507" s="22">
        <v>200104</v>
      </c>
      <c r="K507" s="22" t="s">
        <v>2959</v>
      </c>
      <c r="L507" s="22">
        <v>70201</v>
      </c>
      <c r="M507" s="23" t="s">
        <v>2961</v>
      </c>
      <c r="N507" s="24">
        <v>0</v>
      </c>
      <c r="O507" s="24">
        <v>0</v>
      </c>
      <c r="P507" s="24">
        <v>0</v>
      </c>
      <c r="Q507" s="21">
        <v>0</v>
      </c>
      <c r="R507" s="24">
        <v>20000</v>
      </c>
      <c r="S507" s="24">
        <v>60000</v>
      </c>
      <c r="T507" s="24">
        <v>0</v>
      </c>
      <c r="U507" s="24">
        <v>0</v>
      </c>
      <c r="V507" s="24">
        <v>50000</v>
      </c>
      <c r="W507" s="24">
        <v>0</v>
      </c>
      <c r="X507" s="24">
        <v>50000</v>
      </c>
      <c r="Y507" s="24">
        <v>0</v>
      </c>
      <c r="Z507" s="24">
        <f t="shared" si="23"/>
        <v>180000</v>
      </c>
      <c r="AB507" s="25">
        <v>180000</v>
      </c>
      <c r="AC507" s="26">
        <v>180000</v>
      </c>
      <c r="AD507" s="24">
        <v>0</v>
      </c>
      <c r="AE507" s="27">
        <f>_xlfn.XLOOKUP(B507,'Projects Cashflow'!$B:$B,'Projects Cashflow'!$AG:$AG,0)</f>
        <v>180000</v>
      </c>
      <c r="AF507" s="28">
        <f t="shared" si="24"/>
        <v>0</v>
      </c>
    </row>
    <row r="508" spans="2:32" x14ac:dyDescent="0.3">
      <c r="B508" s="14" t="str">
        <f t="shared" si="22"/>
        <v>45116004511000635Freelancers-N424521200104</v>
      </c>
      <c r="C508" s="21" t="s">
        <v>65</v>
      </c>
      <c r="D508" s="22">
        <v>4511600</v>
      </c>
      <c r="E508" s="21" t="s">
        <v>3035</v>
      </c>
      <c r="F508" s="22">
        <v>4511000635</v>
      </c>
      <c r="G508" s="21" t="s">
        <v>3039</v>
      </c>
      <c r="H508" s="21" t="s">
        <v>50</v>
      </c>
      <c r="I508" s="22">
        <v>424521</v>
      </c>
      <c r="J508" s="22">
        <v>200104</v>
      </c>
      <c r="K508" s="22" t="s">
        <v>2959</v>
      </c>
      <c r="L508" s="22">
        <v>70201</v>
      </c>
      <c r="M508" s="23" t="s">
        <v>2961</v>
      </c>
      <c r="N508" s="24">
        <v>0</v>
      </c>
      <c r="O508" s="24">
        <v>0</v>
      </c>
      <c r="P508" s="24">
        <v>0</v>
      </c>
      <c r="Q508" s="24">
        <v>35000</v>
      </c>
      <c r="R508" s="24">
        <v>25000</v>
      </c>
      <c r="S508" s="24">
        <v>25000</v>
      </c>
      <c r="T508" s="24">
        <v>25000</v>
      </c>
      <c r="U508" s="24">
        <v>26228</v>
      </c>
      <c r="V508" s="24">
        <v>0</v>
      </c>
      <c r="W508" s="24">
        <v>0</v>
      </c>
      <c r="X508" s="24">
        <v>0</v>
      </c>
      <c r="Y508" s="24">
        <v>0</v>
      </c>
      <c r="Z508" s="24">
        <f t="shared" si="23"/>
        <v>136228</v>
      </c>
      <c r="AB508" s="25">
        <v>136228</v>
      </c>
      <c r="AC508" s="26">
        <v>136228</v>
      </c>
      <c r="AD508" s="24">
        <v>0</v>
      </c>
      <c r="AE508" s="27">
        <f>_xlfn.XLOOKUP(B508,'Projects Cashflow'!$B:$B,'Projects Cashflow'!$AG:$AG,0)</f>
        <v>136228</v>
      </c>
      <c r="AF508" s="28">
        <f t="shared" si="24"/>
        <v>0</v>
      </c>
    </row>
    <row r="509" spans="2:32" x14ac:dyDescent="0.3">
      <c r="B509" s="14" t="str">
        <f t="shared" si="22"/>
        <v>45116004511000638Training &amp; Dev-N421191200104</v>
      </c>
      <c r="C509" s="21" t="s">
        <v>65</v>
      </c>
      <c r="D509" s="22">
        <v>4511600</v>
      </c>
      <c r="E509" s="21" t="s">
        <v>3035</v>
      </c>
      <c r="F509" s="22">
        <v>4511000638</v>
      </c>
      <c r="G509" s="21" t="s">
        <v>3040</v>
      </c>
      <c r="H509" s="21" t="s">
        <v>786</v>
      </c>
      <c r="I509" s="22">
        <v>421191</v>
      </c>
      <c r="J509" s="22">
        <v>200104</v>
      </c>
      <c r="K509" s="22" t="s">
        <v>2959</v>
      </c>
      <c r="L509" s="22">
        <v>70202</v>
      </c>
      <c r="M509" s="23" t="s">
        <v>2961</v>
      </c>
      <c r="N509" s="24">
        <v>0</v>
      </c>
      <c r="O509" s="24">
        <v>0</v>
      </c>
      <c r="P509" s="24">
        <v>0</v>
      </c>
      <c r="Q509" s="24">
        <v>0</v>
      </c>
      <c r="R509" s="24">
        <v>15000</v>
      </c>
      <c r="S509" s="24">
        <v>30000</v>
      </c>
      <c r="T509" s="24">
        <v>20000</v>
      </c>
      <c r="U509" s="24">
        <v>20000</v>
      </c>
      <c r="V509" s="24">
        <v>20000</v>
      </c>
      <c r="W509" s="24">
        <v>13772</v>
      </c>
      <c r="X509" s="24">
        <v>115000</v>
      </c>
      <c r="Y509" s="24">
        <v>10000</v>
      </c>
      <c r="Z509" s="24">
        <f t="shared" si="23"/>
        <v>243772</v>
      </c>
      <c r="AB509" s="25">
        <v>440772</v>
      </c>
      <c r="AC509" s="26">
        <v>440772</v>
      </c>
      <c r="AD509" s="24">
        <v>0</v>
      </c>
      <c r="AE509" s="27">
        <f>_xlfn.XLOOKUP(B509,'Projects Cashflow'!$B:$B,'Projects Cashflow'!$AG:$AG,0)</f>
        <v>440772</v>
      </c>
      <c r="AF509" s="28">
        <f t="shared" si="24"/>
        <v>0</v>
      </c>
    </row>
    <row r="510" spans="2:32" x14ac:dyDescent="0.3">
      <c r="B510" s="14" t="str">
        <f t="shared" si="22"/>
        <v>45116004511000640Art Materials-N1432626200104</v>
      </c>
      <c r="C510" s="21" t="s">
        <v>65</v>
      </c>
      <c r="D510" s="22">
        <v>4511600</v>
      </c>
      <c r="E510" s="21" t="s">
        <v>3035</v>
      </c>
      <c r="F510" s="22">
        <v>4511000640</v>
      </c>
      <c r="G510" s="21" t="s">
        <v>3041</v>
      </c>
      <c r="H510" s="29" t="s">
        <v>75</v>
      </c>
      <c r="I510" s="22">
        <v>432626</v>
      </c>
      <c r="J510" s="22">
        <v>200104</v>
      </c>
      <c r="K510" s="22" t="s">
        <v>2959</v>
      </c>
      <c r="L510" s="22">
        <v>70201</v>
      </c>
      <c r="M510" s="23" t="s">
        <v>2961</v>
      </c>
      <c r="N510" s="24">
        <v>0</v>
      </c>
      <c r="O510" s="24">
        <v>0</v>
      </c>
      <c r="P510" s="24">
        <v>0</v>
      </c>
      <c r="Q510" s="24">
        <v>0</v>
      </c>
      <c r="R510" s="24">
        <v>210000</v>
      </c>
      <c r="S510" s="24">
        <v>215000</v>
      </c>
      <c r="T510" s="24">
        <v>210000</v>
      </c>
      <c r="U510" s="24">
        <v>215000</v>
      </c>
      <c r="V510" s="24">
        <v>210000</v>
      </c>
      <c r="W510" s="24">
        <v>215000</v>
      </c>
      <c r="X510" s="24">
        <v>210000</v>
      </c>
      <c r="Y510" s="24">
        <v>527000</v>
      </c>
      <c r="Z510" s="24">
        <f t="shared" si="23"/>
        <v>2012000</v>
      </c>
      <c r="AB510" s="25">
        <v>2040600</v>
      </c>
      <c r="AC510" s="26">
        <v>2040600</v>
      </c>
      <c r="AD510" s="24">
        <v>0</v>
      </c>
      <c r="AE510" s="27">
        <f>_xlfn.XLOOKUP(B510,'Projects Cashflow'!$B:$B,'Projects Cashflow'!$AG:$AG,0)</f>
        <v>2040600</v>
      </c>
      <c r="AF510" s="28">
        <f t="shared" si="24"/>
        <v>0</v>
      </c>
    </row>
    <row r="511" spans="2:32" x14ac:dyDescent="0.3">
      <c r="B511" s="14" t="str">
        <f t="shared" si="22"/>
        <v>45116004511000642ICH Management-N431512200104</v>
      </c>
      <c r="C511" s="21" t="s">
        <v>65</v>
      </c>
      <c r="D511" s="22">
        <v>4511600</v>
      </c>
      <c r="E511" s="21" t="s">
        <v>3035</v>
      </c>
      <c r="F511" s="22">
        <v>4511000642</v>
      </c>
      <c r="G511" s="21" t="s">
        <v>3042</v>
      </c>
      <c r="H511" s="21" t="s">
        <v>804</v>
      </c>
      <c r="I511" s="22">
        <v>431512</v>
      </c>
      <c r="J511" s="22">
        <v>200104</v>
      </c>
      <c r="K511" s="22" t="s">
        <v>2959</v>
      </c>
      <c r="L511" s="22">
        <v>70204</v>
      </c>
      <c r="M511" s="23" t="s">
        <v>2961</v>
      </c>
      <c r="N511" s="24">
        <v>0</v>
      </c>
      <c r="O511" s="24">
        <v>0</v>
      </c>
      <c r="P511" s="24">
        <v>0</v>
      </c>
      <c r="Q511" s="24">
        <v>0</v>
      </c>
      <c r="R511" s="24">
        <v>0</v>
      </c>
      <c r="S511" s="24">
        <v>0</v>
      </c>
      <c r="T511" s="24">
        <v>200000</v>
      </c>
      <c r="U511" s="24">
        <v>0</v>
      </c>
      <c r="V511" s="24">
        <v>390000</v>
      </c>
      <c r="W511" s="24">
        <v>0</v>
      </c>
      <c r="X511" s="24">
        <v>0</v>
      </c>
      <c r="Y511" s="24">
        <v>0</v>
      </c>
      <c r="Z511" s="24">
        <f t="shared" si="23"/>
        <v>590000</v>
      </c>
      <c r="AB511" s="25">
        <v>590000</v>
      </c>
      <c r="AC511" s="26">
        <v>590000</v>
      </c>
      <c r="AD511" s="24">
        <v>0</v>
      </c>
      <c r="AE511" s="27">
        <f>_xlfn.XLOOKUP(B511,'Projects Cashflow'!$B:$B,'Projects Cashflow'!$AG:$AG,0)</f>
        <v>590000</v>
      </c>
      <c r="AF511" s="28">
        <f t="shared" si="24"/>
        <v>0</v>
      </c>
    </row>
    <row r="512" spans="2:32" x14ac:dyDescent="0.3">
      <c r="B512" s="14" t="str">
        <f t="shared" si="22"/>
        <v>45116004511000643ICH Management-N431512200104</v>
      </c>
      <c r="C512" s="21" t="s">
        <v>65</v>
      </c>
      <c r="D512" s="22">
        <v>4511600</v>
      </c>
      <c r="E512" s="21" t="s">
        <v>3035</v>
      </c>
      <c r="F512" s="22">
        <v>4511000643</v>
      </c>
      <c r="G512" s="21" t="s">
        <v>3043</v>
      </c>
      <c r="H512" s="21" t="s">
        <v>804</v>
      </c>
      <c r="I512" s="22">
        <v>431512</v>
      </c>
      <c r="J512" s="22">
        <v>200104</v>
      </c>
      <c r="K512" s="22" t="s">
        <v>2959</v>
      </c>
      <c r="L512" s="22">
        <v>70204</v>
      </c>
      <c r="M512" s="23" t="s">
        <v>2961</v>
      </c>
      <c r="N512" s="24">
        <v>0</v>
      </c>
      <c r="O512" s="24">
        <v>0</v>
      </c>
      <c r="P512" s="24">
        <v>0</v>
      </c>
      <c r="Q512" s="24">
        <v>0</v>
      </c>
      <c r="R512" s="24">
        <v>0</v>
      </c>
      <c r="S512" s="24">
        <v>30000</v>
      </c>
      <c r="T512" s="24">
        <v>0</v>
      </c>
      <c r="U512" s="24">
        <v>0</v>
      </c>
      <c r="V512" s="24">
        <v>0</v>
      </c>
      <c r="W512" s="24">
        <v>30000</v>
      </c>
      <c r="X512" s="24">
        <v>30000</v>
      </c>
      <c r="Y512" s="24">
        <v>0</v>
      </c>
      <c r="Z512" s="24">
        <f t="shared" si="23"/>
        <v>90000</v>
      </c>
      <c r="AB512" s="25">
        <v>1140000</v>
      </c>
      <c r="AC512" s="26">
        <v>1140000</v>
      </c>
      <c r="AD512" s="24">
        <v>0</v>
      </c>
      <c r="AE512" s="27">
        <f>_xlfn.XLOOKUP(B512,'Projects Cashflow'!$B:$B,'Projects Cashflow'!$AG:$AG,0)</f>
        <v>1140000</v>
      </c>
      <c r="AF512" s="28">
        <f t="shared" si="24"/>
        <v>0</v>
      </c>
    </row>
    <row r="513" spans="2:32" x14ac:dyDescent="0.3">
      <c r="B513" s="14" t="str">
        <f t="shared" si="22"/>
        <v>45116004511000645ICH Management-N431512200104</v>
      </c>
      <c r="C513" s="21" t="s">
        <v>65</v>
      </c>
      <c r="D513" s="22">
        <v>4511600</v>
      </c>
      <c r="E513" s="21" t="s">
        <v>3035</v>
      </c>
      <c r="F513" s="22">
        <v>4511000645</v>
      </c>
      <c r="G513" s="21" t="s">
        <v>3044</v>
      </c>
      <c r="H513" s="21" t="s">
        <v>804</v>
      </c>
      <c r="I513" s="22">
        <v>431512</v>
      </c>
      <c r="J513" s="22">
        <v>200104</v>
      </c>
      <c r="K513" s="22" t="s">
        <v>2959</v>
      </c>
      <c r="L513" s="22">
        <v>70204</v>
      </c>
      <c r="M513" s="23" t="s">
        <v>2961</v>
      </c>
      <c r="N513" s="24">
        <v>0</v>
      </c>
      <c r="O513" s="24">
        <v>0</v>
      </c>
      <c r="P513" s="24">
        <v>0</v>
      </c>
      <c r="Q513" s="24">
        <v>0</v>
      </c>
      <c r="R513" s="24">
        <v>0</v>
      </c>
      <c r="S513" s="24">
        <v>0</v>
      </c>
      <c r="T513" s="24">
        <v>0</v>
      </c>
      <c r="U513" s="24">
        <v>0</v>
      </c>
      <c r="V513" s="24">
        <v>25000</v>
      </c>
      <c r="W513" s="24">
        <v>25000</v>
      </c>
      <c r="X513" s="24">
        <v>0</v>
      </c>
      <c r="Y513" s="24">
        <v>0</v>
      </c>
      <c r="Z513" s="24">
        <f t="shared" si="23"/>
        <v>50000</v>
      </c>
      <c r="AB513" s="25">
        <v>50000</v>
      </c>
      <c r="AC513" s="26">
        <v>50000</v>
      </c>
      <c r="AD513" s="24">
        <v>0</v>
      </c>
      <c r="AE513" s="27">
        <f>_xlfn.XLOOKUP(B513,'Projects Cashflow'!$B:$B,'Projects Cashflow'!$AG:$AG,0)</f>
        <v>50000</v>
      </c>
      <c r="AF513" s="28">
        <f t="shared" si="24"/>
        <v>0</v>
      </c>
    </row>
    <row r="514" spans="2:32" x14ac:dyDescent="0.3">
      <c r="B514" s="14" t="str">
        <f t="shared" si="22"/>
        <v>45117004511000088Event Management-N422401200104</v>
      </c>
      <c r="C514" s="21" t="s">
        <v>65</v>
      </c>
      <c r="D514" s="22">
        <v>4511700</v>
      </c>
      <c r="E514" s="21" t="s">
        <v>3045</v>
      </c>
      <c r="F514" s="22">
        <v>4511000088</v>
      </c>
      <c r="G514" s="21" t="s">
        <v>3028</v>
      </c>
      <c r="H514" s="21" t="s">
        <v>162</v>
      </c>
      <c r="I514" s="22">
        <v>422401</v>
      </c>
      <c r="J514" s="22">
        <v>200104</v>
      </c>
      <c r="K514" s="22" t="s">
        <v>2959</v>
      </c>
      <c r="L514" s="22">
        <v>70206</v>
      </c>
      <c r="M514" s="23" t="s">
        <v>2961</v>
      </c>
      <c r="N514" s="24">
        <v>0</v>
      </c>
      <c r="O514" s="24">
        <v>0</v>
      </c>
      <c r="P514" s="24">
        <v>0</v>
      </c>
      <c r="Q514" s="24">
        <v>0</v>
      </c>
      <c r="R514" s="24">
        <v>0</v>
      </c>
      <c r="S514" s="24">
        <v>0</v>
      </c>
      <c r="T514" s="24">
        <v>0</v>
      </c>
      <c r="U514" s="24">
        <v>0</v>
      </c>
      <c r="V514" s="24">
        <v>0</v>
      </c>
      <c r="W514" s="24">
        <v>0</v>
      </c>
      <c r="X514" s="24">
        <v>7234510</v>
      </c>
      <c r="Y514" s="24">
        <v>0</v>
      </c>
      <c r="Z514" s="24">
        <f t="shared" si="23"/>
        <v>7234510</v>
      </c>
      <c r="AB514" s="25">
        <v>0</v>
      </c>
      <c r="AC514" s="26">
        <v>0</v>
      </c>
      <c r="AD514" s="24">
        <v>0</v>
      </c>
      <c r="AE514" s="27">
        <f>_xlfn.XLOOKUP(B514,'Projects Cashflow'!$B:$B,'Projects Cashflow'!$AG:$AG,0)</f>
        <v>0</v>
      </c>
      <c r="AF514" s="28">
        <f t="shared" si="24"/>
        <v>0</v>
      </c>
    </row>
    <row r="515" spans="2:32" x14ac:dyDescent="0.3">
      <c r="B515" s="14" t="str">
        <f t="shared" si="22"/>
        <v>45117004511000088Mission &amp; Travel-N423821200104</v>
      </c>
      <c r="C515" s="21" t="s">
        <v>65</v>
      </c>
      <c r="D515" s="22">
        <v>4511700</v>
      </c>
      <c r="E515" s="21" t="s">
        <v>3045</v>
      </c>
      <c r="F515" s="22">
        <v>4511000088</v>
      </c>
      <c r="G515" s="21" t="s">
        <v>3028</v>
      </c>
      <c r="H515" s="21" t="s">
        <v>54</v>
      </c>
      <c r="I515" s="22">
        <v>423821</v>
      </c>
      <c r="J515" s="22">
        <v>200104</v>
      </c>
      <c r="K515" s="22" t="s">
        <v>2959</v>
      </c>
      <c r="L515" s="22">
        <v>70206</v>
      </c>
      <c r="M515" s="23" t="s">
        <v>2961</v>
      </c>
      <c r="N515" s="24">
        <v>0</v>
      </c>
      <c r="O515" s="24">
        <v>0</v>
      </c>
      <c r="P515" s="24">
        <v>0</v>
      </c>
      <c r="Q515" s="24">
        <v>0</v>
      </c>
      <c r="R515" s="24">
        <v>0</v>
      </c>
      <c r="S515" s="24">
        <v>0</v>
      </c>
      <c r="T515" s="24">
        <v>0</v>
      </c>
      <c r="U515" s="24">
        <v>0</v>
      </c>
      <c r="V515" s="24">
        <v>0</v>
      </c>
      <c r="W515" s="24">
        <v>0</v>
      </c>
      <c r="X515" s="24">
        <v>80000</v>
      </c>
      <c r="Y515" s="24">
        <v>0</v>
      </c>
      <c r="Z515" s="24">
        <f t="shared" si="23"/>
        <v>80000</v>
      </c>
      <c r="AB515" s="25">
        <v>0</v>
      </c>
      <c r="AC515" s="26">
        <v>0</v>
      </c>
      <c r="AD515" s="24">
        <v>0</v>
      </c>
      <c r="AE515" s="27">
        <f>_xlfn.XLOOKUP(B515,'Projects Cashflow'!$B:$B,'Projects Cashflow'!$AG:$AG,0)</f>
        <v>0</v>
      </c>
      <c r="AF515" s="28">
        <f t="shared" si="24"/>
        <v>0</v>
      </c>
    </row>
    <row r="516" spans="2:32" x14ac:dyDescent="0.3">
      <c r="B516" s="14" t="str">
        <f t="shared" si="22"/>
        <v>45117004511000188Activation&amp;Prog-N422401200104</v>
      </c>
      <c r="C516" s="21" t="s">
        <v>65</v>
      </c>
      <c r="D516" s="22">
        <v>4511700</v>
      </c>
      <c r="E516" s="21" t="s">
        <v>3045</v>
      </c>
      <c r="F516" s="22">
        <v>4511000188</v>
      </c>
      <c r="G516" s="21" t="s">
        <v>3046</v>
      </c>
      <c r="H516" s="21" t="s">
        <v>62</v>
      </c>
      <c r="I516" s="22">
        <v>422401</v>
      </c>
      <c r="J516" s="22">
        <v>200104</v>
      </c>
      <c r="K516" s="22" t="s">
        <v>2959</v>
      </c>
      <c r="L516" s="22">
        <v>70206</v>
      </c>
      <c r="M516" s="23" t="s">
        <v>2961</v>
      </c>
      <c r="N516" s="24">
        <v>0</v>
      </c>
      <c r="O516" s="24">
        <v>0</v>
      </c>
      <c r="P516" s="24">
        <v>0</v>
      </c>
      <c r="Q516" s="24">
        <v>0</v>
      </c>
      <c r="R516" s="24">
        <v>200000</v>
      </c>
      <c r="S516" s="24">
        <v>300000</v>
      </c>
      <c r="T516" s="24">
        <v>145000</v>
      </c>
      <c r="U516" s="24">
        <v>0</v>
      </c>
      <c r="V516" s="24">
        <v>100000</v>
      </c>
      <c r="W516" s="24">
        <v>0</v>
      </c>
      <c r="X516" s="24">
        <v>0</v>
      </c>
      <c r="Y516" s="24">
        <v>0</v>
      </c>
      <c r="Z516" s="24">
        <f t="shared" si="23"/>
        <v>745000</v>
      </c>
      <c r="AB516" s="25">
        <v>745000</v>
      </c>
      <c r="AC516" s="26">
        <v>745000</v>
      </c>
      <c r="AD516" s="24">
        <v>0</v>
      </c>
      <c r="AE516" s="27">
        <f>_xlfn.XLOOKUP(B516,'Projects Cashflow'!$B:$B,'Projects Cashflow'!$AG:$AG,0)</f>
        <v>745000</v>
      </c>
      <c r="AF516" s="28">
        <f t="shared" si="24"/>
        <v>0</v>
      </c>
    </row>
    <row r="517" spans="2:32" x14ac:dyDescent="0.3">
      <c r="B517" s="14" t="str">
        <f t="shared" ref="B517:B580" si="25">D517&amp;F517&amp;H517&amp;I517&amp;J517</f>
        <v>45117004511000188Talent Fees-N422511200104</v>
      </c>
      <c r="C517" s="21" t="s">
        <v>65</v>
      </c>
      <c r="D517" s="22">
        <v>4511700</v>
      </c>
      <c r="E517" s="21" t="s">
        <v>3045</v>
      </c>
      <c r="F517" s="22">
        <v>4511000188</v>
      </c>
      <c r="G517" s="21" t="s">
        <v>3046</v>
      </c>
      <c r="H517" s="21" t="s">
        <v>262</v>
      </c>
      <c r="I517" s="22">
        <v>422511</v>
      </c>
      <c r="J517" s="22">
        <v>200104</v>
      </c>
      <c r="K517" s="22" t="s">
        <v>2959</v>
      </c>
      <c r="L517" s="22">
        <v>70206</v>
      </c>
      <c r="M517" s="23" t="s">
        <v>2961</v>
      </c>
      <c r="N517" s="24">
        <v>0</v>
      </c>
      <c r="O517" s="24">
        <v>0</v>
      </c>
      <c r="P517" s="24">
        <v>0</v>
      </c>
      <c r="Q517" s="24">
        <v>0</v>
      </c>
      <c r="R517" s="24">
        <v>70000</v>
      </c>
      <c r="S517" s="24">
        <v>21185</v>
      </c>
      <c r="T517" s="24">
        <v>200000</v>
      </c>
      <c r="U517" s="24">
        <v>0</v>
      </c>
      <c r="V517" s="24">
        <v>0</v>
      </c>
      <c r="W517" s="24">
        <v>100000</v>
      </c>
      <c r="X517" s="24">
        <v>0</v>
      </c>
      <c r="Y517" s="24">
        <v>0</v>
      </c>
      <c r="Z517" s="24">
        <f t="shared" ref="Z517:Z580" si="26">SUM(N517:Y517)</f>
        <v>391185</v>
      </c>
      <c r="AB517" s="25">
        <v>391185</v>
      </c>
      <c r="AC517" s="26">
        <v>391185</v>
      </c>
      <c r="AD517" s="24">
        <v>0</v>
      </c>
      <c r="AE517" s="27">
        <f>_xlfn.XLOOKUP(B517,'Projects Cashflow'!$B:$B,'Projects Cashflow'!$AG:$AG,0)</f>
        <v>391185</v>
      </c>
      <c r="AF517" s="28">
        <f t="shared" ref="AF517:AF580" si="27">AE517-AB517</f>
        <v>0</v>
      </c>
    </row>
    <row r="518" spans="2:32" x14ac:dyDescent="0.3">
      <c r="B518" s="14" t="str">
        <f t="shared" si="25"/>
        <v>45117004511000188Mission &amp; Travel-N423821200104</v>
      </c>
      <c r="C518" s="21" t="s">
        <v>65</v>
      </c>
      <c r="D518" s="22">
        <v>4511700</v>
      </c>
      <c r="E518" s="21" t="s">
        <v>3045</v>
      </c>
      <c r="F518" s="22">
        <v>4511000188</v>
      </c>
      <c r="G518" s="21" t="s">
        <v>3046</v>
      </c>
      <c r="H518" s="21" t="s">
        <v>54</v>
      </c>
      <c r="I518" s="22">
        <v>423821</v>
      </c>
      <c r="J518" s="22">
        <v>200104</v>
      </c>
      <c r="K518" s="22" t="s">
        <v>2959</v>
      </c>
      <c r="L518" s="22">
        <v>70206</v>
      </c>
      <c r="M518" s="23" t="s">
        <v>2961</v>
      </c>
      <c r="N518" s="24">
        <v>0</v>
      </c>
      <c r="O518" s="24">
        <v>0</v>
      </c>
      <c r="P518" s="24">
        <v>0</v>
      </c>
      <c r="Q518" s="24">
        <v>0</v>
      </c>
      <c r="R518" s="24">
        <v>0</v>
      </c>
      <c r="S518" s="24">
        <v>0</v>
      </c>
      <c r="T518" s="24">
        <v>145000</v>
      </c>
      <c r="U518" s="24">
        <v>0</v>
      </c>
      <c r="V518" s="24">
        <v>0</v>
      </c>
      <c r="W518" s="24">
        <v>0</v>
      </c>
      <c r="X518" s="24">
        <v>0</v>
      </c>
      <c r="Y518" s="24">
        <v>0</v>
      </c>
      <c r="Z518" s="24">
        <f t="shared" si="26"/>
        <v>145000</v>
      </c>
      <c r="AB518" s="25">
        <v>145000</v>
      </c>
      <c r="AC518" s="26">
        <v>145000</v>
      </c>
      <c r="AD518" s="24">
        <v>0</v>
      </c>
      <c r="AE518" s="27">
        <f>_xlfn.XLOOKUP(B518,'Projects Cashflow'!$B:$B,'Projects Cashflow'!$AG:$AG,0)</f>
        <v>145000</v>
      </c>
      <c r="AF518" s="28">
        <f t="shared" si="27"/>
        <v>0</v>
      </c>
    </row>
    <row r="519" spans="2:32" x14ac:dyDescent="0.3">
      <c r="B519" s="14" t="str">
        <f t="shared" si="25"/>
        <v>45117004511000240Talent Fees-N422511200104</v>
      </c>
      <c r="C519" s="21" t="s">
        <v>65</v>
      </c>
      <c r="D519" s="22">
        <v>4511700</v>
      </c>
      <c r="E519" s="21" t="s">
        <v>3045</v>
      </c>
      <c r="F519" s="22">
        <v>4511000240</v>
      </c>
      <c r="G519" s="21" t="s">
        <v>3047</v>
      </c>
      <c r="H519" s="21" t="s">
        <v>262</v>
      </c>
      <c r="I519" s="22">
        <v>422511</v>
      </c>
      <c r="J519" s="22">
        <v>200104</v>
      </c>
      <c r="K519" s="22" t="s">
        <v>2959</v>
      </c>
      <c r="L519" s="22">
        <v>70206</v>
      </c>
      <c r="M519" s="23" t="s">
        <v>2961</v>
      </c>
      <c r="N519" s="24">
        <v>0</v>
      </c>
      <c r="O519" s="24">
        <v>0</v>
      </c>
      <c r="P519" s="24">
        <v>0</v>
      </c>
      <c r="Q519" s="24">
        <v>0</v>
      </c>
      <c r="R519" s="24">
        <v>150000</v>
      </c>
      <c r="S519" s="24">
        <v>150000</v>
      </c>
      <c r="T519" s="24">
        <v>0</v>
      </c>
      <c r="U519" s="24">
        <v>0</v>
      </c>
      <c r="V519" s="24">
        <v>100000</v>
      </c>
      <c r="W519" s="24">
        <v>100000</v>
      </c>
      <c r="X519" s="24">
        <v>485055</v>
      </c>
      <c r="Y519" s="24">
        <v>0</v>
      </c>
      <c r="Z519" s="24">
        <f t="shared" si="26"/>
        <v>985055</v>
      </c>
      <c r="AB519" s="25">
        <v>985055</v>
      </c>
      <c r="AC519" s="26">
        <v>985055</v>
      </c>
      <c r="AD519" s="24">
        <v>0</v>
      </c>
      <c r="AE519" s="27">
        <f>_xlfn.XLOOKUP(B519,'Projects Cashflow'!$B:$B,'Projects Cashflow'!$AG:$AG,0)</f>
        <v>985055</v>
      </c>
      <c r="AF519" s="28">
        <f t="shared" si="27"/>
        <v>0</v>
      </c>
    </row>
    <row r="520" spans="2:32" x14ac:dyDescent="0.3">
      <c r="B520" s="14" t="str">
        <f t="shared" si="25"/>
        <v>45117004511000240Event Management-N422401200104</v>
      </c>
      <c r="C520" s="21" t="s">
        <v>65</v>
      </c>
      <c r="D520" s="22">
        <v>4511700</v>
      </c>
      <c r="E520" s="21" t="s">
        <v>3045</v>
      </c>
      <c r="F520" s="22">
        <v>4511000240</v>
      </c>
      <c r="G520" s="21" t="s">
        <v>3047</v>
      </c>
      <c r="H520" s="21" t="s">
        <v>162</v>
      </c>
      <c r="I520" s="22">
        <v>422401</v>
      </c>
      <c r="J520" s="22">
        <v>200104</v>
      </c>
      <c r="K520" s="22" t="s">
        <v>2959</v>
      </c>
      <c r="L520" s="22">
        <v>70206</v>
      </c>
      <c r="M520" s="23" t="s">
        <v>2961</v>
      </c>
      <c r="N520" s="24">
        <v>0</v>
      </c>
      <c r="O520" s="24">
        <v>0</v>
      </c>
      <c r="P520" s="24">
        <v>0</v>
      </c>
      <c r="Q520" s="24">
        <v>0</v>
      </c>
      <c r="R520" s="24">
        <v>142000</v>
      </c>
      <c r="S520" s="24">
        <v>0</v>
      </c>
      <c r="T520" s="24">
        <v>0</v>
      </c>
      <c r="U520" s="24">
        <v>0</v>
      </c>
      <c r="V520" s="24">
        <v>100000</v>
      </c>
      <c r="W520" s="24">
        <v>0</v>
      </c>
      <c r="X520" s="24">
        <v>300000</v>
      </c>
      <c r="Y520" s="24">
        <v>0</v>
      </c>
      <c r="Z520" s="24">
        <f t="shared" si="26"/>
        <v>542000</v>
      </c>
      <c r="AB520" s="25">
        <v>542000</v>
      </c>
      <c r="AC520" s="26">
        <v>542000</v>
      </c>
      <c r="AD520" s="24">
        <v>0</v>
      </c>
      <c r="AE520" s="27">
        <f>_xlfn.XLOOKUP(B520,'Projects Cashflow'!$B:$B,'Projects Cashflow'!$AG:$AG,0)</f>
        <v>542000</v>
      </c>
      <c r="AF520" s="28">
        <f t="shared" si="27"/>
        <v>0</v>
      </c>
    </row>
    <row r="521" spans="2:32" x14ac:dyDescent="0.3">
      <c r="B521" s="14" t="str">
        <f t="shared" si="25"/>
        <v>45117004511000240Hospitality-N424761200104</v>
      </c>
      <c r="C521" s="21" t="s">
        <v>65</v>
      </c>
      <c r="D521" s="22">
        <v>4511700</v>
      </c>
      <c r="E521" s="21" t="s">
        <v>3045</v>
      </c>
      <c r="F521" s="22">
        <v>4511000240</v>
      </c>
      <c r="G521" s="21" t="s">
        <v>3047</v>
      </c>
      <c r="H521" s="21" t="s">
        <v>83</v>
      </c>
      <c r="I521" s="22">
        <v>424761</v>
      </c>
      <c r="J521" s="22">
        <v>200104</v>
      </c>
      <c r="K521" s="22" t="s">
        <v>2959</v>
      </c>
      <c r="L521" s="22">
        <v>70206</v>
      </c>
      <c r="M521" s="23" t="s">
        <v>2961</v>
      </c>
      <c r="N521" s="24">
        <v>0</v>
      </c>
      <c r="O521" s="24">
        <v>0</v>
      </c>
      <c r="P521" s="24">
        <v>0</v>
      </c>
      <c r="Q521" s="24">
        <v>0</v>
      </c>
      <c r="R521" s="24">
        <v>50000</v>
      </c>
      <c r="S521" s="24">
        <v>0</v>
      </c>
      <c r="T521" s="24">
        <v>0</v>
      </c>
      <c r="U521" s="24">
        <v>0</v>
      </c>
      <c r="V521" s="24">
        <v>34568</v>
      </c>
      <c r="W521" s="24">
        <v>50000</v>
      </c>
      <c r="X521" s="24">
        <v>250000</v>
      </c>
      <c r="Y521" s="24">
        <v>0</v>
      </c>
      <c r="Z521" s="24">
        <f t="shared" si="26"/>
        <v>384568</v>
      </c>
      <c r="AB521" s="25">
        <v>384568</v>
      </c>
      <c r="AC521" s="26">
        <v>384568</v>
      </c>
      <c r="AD521" s="24">
        <v>0</v>
      </c>
      <c r="AE521" s="27">
        <f>_xlfn.XLOOKUP(B521,'Projects Cashflow'!$B:$B,'Projects Cashflow'!$AG:$AG,0)</f>
        <v>384568</v>
      </c>
      <c r="AF521" s="28">
        <f t="shared" si="27"/>
        <v>0</v>
      </c>
    </row>
    <row r="522" spans="2:32" x14ac:dyDescent="0.3">
      <c r="B522" s="14" t="str">
        <f t="shared" si="25"/>
        <v>45117004511000240Gen Logistics-N424671200104</v>
      </c>
      <c r="C522" s="21" t="s">
        <v>65</v>
      </c>
      <c r="D522" s="22">
        <v>4511700</v>
      </c>
      <c r="E522" s="21" t="s">
        <v>3045</v>
      </c>
      <c r="F522" s="22">
        <v>4511000240</v>
      </c>
      <c r="G522" s="21" t="s">
        <v>3047</v>
      </c>
      <c r="H522" s="21" t="s">
        <v>311</v>
      </c>
      <c r="I522" s="22">
        <v>424671</v>
      </c>
      <c r="J522" s="22">
        <v>200104</v>
      </c>
      <c r="K522" s="22" t="s">
        <v>2959</v>
      </c>
      <c r="L522" s="22">
        <v>70206</v>
      </c>
      <c r="M522" s="23" t="s">
        <v>2961</v>
      </c>
      <c r="N522" s="24">
        <v>0</v>
      </c>
      <c r="O522" s="24">
        <v>0</v>
      </c>
      <c r="P522" s="24">
        <v>0</v>
      </c>
      <c r="Q522" s="24">
        <v>0</v>
      </c>
      <c r="R522" s="24">
        <v>72600</v>
      </c>
      <c r="S522" s="24">
        <v>0</v>
      </c>
      <c r="T522" s="24">
        <v>0</v>
      </c>
      <c r="U522" s="24">
        <v>0</v>
      </c>
      <c r="V522" s="24">
        <v>50000</v>
      </c>
      <c r="W522" s="24">
        <v>150000</v>
      </c>
      <c r="X522" s="24">
        <v>100000</v>
      </c>
      <c r="Y522" s="24">
        <v>0</v>
      </c>
      <c r="Z522" s="24">
        <f t="shared" si="26"/>
        <v>372600</v>
      </c>
      <c r="AB522" s="25">
        <v>372600</v>
      </c>
      <c r="AC522" s="26">
        <v>372600</v>
      </c>
      <c r="AD522" s="24">
        <v>0</v>
      </c>
      <c r="AE522" s="27">
        <f>_xlfn.XLOOKUP(B522,'Projects Cashflow'!$B:$B,'Projects Cashflow'!$AG:$AG,0)</f>
        <v>372600</v>
      </c>
      <c r="AF522" s="28">
        <f t="shared" si="27"/>
        <v>0</v>
      </c>
    </row>
    <row r="523" spans="2:32" x14ac:dyDescent="0.3">
      <c r="B523" s="14" t="str">
        <f t="shared" si="25"/>
        <v>45117004511000344Admin Expenses-N421125200104</v>
      </c>
      <c r="C523" s="21" t="s">
        <v>65</v>
      </c>
      <c r="D523" s="22">
        <v>4511700</v>
      </c>
      <c r="E523" s="21" t="s">
        <v>3045</v>
      </c>
      <c r="F523" s="22">
        <v>4511000344</v>
      </c>
      <c r="G523" s="21" t="s">
        <v>3048</v>
      </c>
      <c r="H523" s="21" t="s">
        <v>130</v>
      </c>
      <c r="I523" s="22">
        <v>421125</v>
      </c>
      <c r="J523" s="22">
        <v>200104</v>
      </c>
      <c r="K523" s="22" t="s">
        <v>2959</v>
      </c>
      <c r="L523" s="22">
        <v>70206</v>
      </c>
      <c r="M523" s="23" t="s">
        <v>2961</v>
      </c>
      <c r="N523" s="24">
        <v>0</v>
      </c>
      <c r="O523" s="24">
        <v>0</v>
      </c>
      <c r="P523" s="24">
        <v>16675.230000000003</v>
      </c>
      <c r="Q523" s="24">
        <v>0</v>
      </c>
      <c r="R523" s="24">
        <v>0</v>
      </c>
      <c r="S523" s="24">
        <v>0</v>
      </c>
      <c r="T523" s="24">
        <v>0</v>
      </c>
      <c r="U523" s="24">
        <v>0</v>
      </c>
      <c r="V523" s="24">
        <v>57241.8</v>
      </c>
      <c r="W523" s="24">
        <v>236083</v>
      </c>
      <c r="X523" s="24">
        <v>250000</v>
      </c>
      <c r="Y523" s="24">
        <v>100000</v>
      </c>
      <c r="Z523" s="24">
        <f t="shared" si="26"/>
        <v>660000.03</v>
      </c>
      <c r="AB523" s="25">
        <v>660000.03</v>
      </c>
      <c r="AC523" s="26">
        <v>660000</v>
      </c>
      <c r="AD523" s="24">
        <v>3.0000000027939677E-2</v>
      </c>
      <c r="AE523" s="27">
        <f>_xlfn.XLOOKUP(B523,'Projects Cashflow'!$B:$B,'Projects Cashflow'!$AG:$AG,0)</f>
        <v>660000</v>
      </c>
      <c r="AF523" s="28">
        <f t="shared" si="27"/>
        <v>-3.0000000027939677E-2</v>
      </c>
    </row>
    <row r="524" spans="2:32" x14ac:dyDescent="0.3">
      <c r="B524" s="14" t="str">
        <f t="shared" si="25"/>
        <v>45117004511000344Freelancers-N424521200104</v>
      </c>
      <c r="C524" s="21" t="s">
        <v>65</v>
      </c>
      <c r="D524" s="22">
        <v>4511700</v>
      </c>
      <c r="E524" s="21" t="s">
        <v>3045</v>
      </c>
      <c r="F524" s="22">
        <v>4511000344</v>
      </c>
      <c r="G524" s="21" t="s">
        <v>3048</v>
      </c>
      <c r="H524" s="21" t="s">
        <v>50</v>
      </c>
      <c r="I524" s="22">
        <v>424521</v>
      </c>
      <c r="J524" s="22">
        <v>200104</v>
      </c>
      <c r="K524" s="22" t="s">
        <v>2959</v>
      </c>
      <c r="L524" s="22">
        <v>70206</v>
      </c>
      <c r="M524" s="23" t="s">
        <v>2961</v>
      </c>
      <c r="N524" s="24">
        <v>0</v>
      </c>
      <c r="O524" s="24">
        <v>0</v>
      </c>
      <c r="P524" s="24">
        <v>125000</v>
      </c>
      <c r="Q524" s="24">
        <v>25000</v>
      </c>
      <c r="R524" s="24">
        <v>50000</v>
      </c>
      <c r="S524" s="24">
        <v>50000</v>
      </c>
      <c r="T524" s="24">
        <v>50000</v>
      </c>
      <c r="U524" s="24">
        <v>50000</v>
      </c>
      <c r="V524" s="24">
        <v>50000</v>
      </c>
      <c r="W524" s="24">
        <v>25000</v>
      </c>
      <c r="X524" s="24">
        <v>50000</v>
      </c>
      <c r="Y524" s="24">
        <v>0</v>
      </c>
      <c r="Z524" s="24">
        <f t="shared" si="26"/>
        <v>475000</v>
      </c>
      <c r="AB524" s="25">
        <v>475000</v>
      </c>
      <c r="AC524" s="26">
        <v>475000</v>
      </c>
      <c r="AD524" s="24">
        <v>0</v>
      </c>
      <c r="AE524" s="27">
        <f>_xlfn.XLOOKUP(B524,'Projects Cashflow'!$B:$B,'Projects Cashflow'!$AG:$AG,0)</f>
        <v>475000</v>
      </c>
      <c r="AF524" s="28">
        <f t="shared" si="27"/>
        <v>0</v>
      </c>
    </row>
    <row r="525" spans="2:32" x14ac:dyDescent="0.3">
      <c r="B525" s="14" t="str">
        <f t="shared" si="25"/>
        <v>45117004511000344Mission &amp; Travel-N423821200104</v>
      </c>
      <c r="C525" s="21" t="s">
        <v>65</v>
      </c>
      <c r="D525" s="22">
        <v>4511700</v>
      </c>
      <c r="E525" s="21" t="s">
        <v>3045</v>
      </c>
      <c r="F525" s="22">
        <v>4511000344</v>
      </c>
      <c r="G525" s="21" t="s">
        <v>3048</v>
      </c>
      <c r="H525" s="21" t="s">
        <v>54</v>
      </c>
      <c r="I525" s="22">
        <v>423821</v>
      </c>
      <c r="J525" s="22">
        <v>200104</v>
      </c>
      <c r="K525" s="22" t="s">
        <v>2959</v>
      </c>
      <c r="L525" s="22">
        <v>70206</v>
      </c>
      <c r="M525" s="23" t="s">
        <v>2961</v>
      </c>
      <c r="N525" s="24">
        <v>0</v>
      </c>
      <c r="O525" s="24">
        <v>0</v>
      </c>
      <c r="P525" s="24">
        <v>30000</v>
      </c>
      <c r="Q525" s="24">
        <v>0</v>
      </c>
      <c r="R525" s="24">
        <v>21245</v>
      </c>
      <c r="S525" s="24">
        <v>148755</v>
      </c>
      <c r="T525" s="24">
        <v>50000</v>
      </c>
      <c r="U525" s="24">
        <v>0</v>
      </c>
      <c r="V525" s="24">
        <v>60000</v>
      </c>
      <c r="W525" s="24">
        <v>50000</v>
      </c>
      <c r="X525" s="24">
        <v>0</v>
      </c>
      <c r="Y525" s="24">
        <v>0</v>
      </c>
      <c r="Z525" s="24">
        <f t="shared" si="26"/>
        <v>360000</v>
      </c>
      <c r="AB525" s="25">
        <v>360000</v>
      </c>
      <c r="AC525" s="26">
        <v>360000</v>
      </c>
      <c r="AD525" s="24">
        <v>0</v>
      </c>
      <c r="AE525" s="27">
        <f>_xlfn.XLOOKUP(B525,'Projects Cashflow'!$B:$B,'Projects Cashflow'!$AG:$AG,0)</f>
        <v>360000</v>
      </c>
      <c r="AF525" s="28">
        <f t="shared" si="27"/>
        <v>0</v>
      </c>
    </row>
    <row r="526" spans="2:32" x14ac:dyDescent="0.3">
      <c r="B526" s="14" t="str">
        <f t="shared" si="25"/>
        <v>45117004511000356Talent Fees-N422511200104</v>
      </c>
      <c r="C526" s="21" t="s">
        <v>65</v>
      </c>
      <c r="D526" s="22">
        <v>4511700</v>
      </c>
      <c r="E526" s="21" t="s">
        <v>3045</v>
      </c>
      <c r="F526" s="22">
        <v>4511000356</v>
      </c>
      <c r="G526" s="21" t="s">
        <v>3049</v>
      </c>
      <c r="H526" s="21" t="s">
        <v>262</v>
      </c>
      <c r="I526" s="22">
        <v>422511</v>
      </c>
      <c r="J526" s="22">
        <v>200104</v>
      </c>
      <c r="K526" s="22" t="s">
        <v>2959</v>
      </c>
      <c r="L526" s="22">
        <v>70206</v>
      </c>
      <c r="M526" s="23" t="s">
        <v>2961</v>
      </c>
      <c r="N526" s="24">
        <v>0</v>
      </c>
      <c r="O526" s="24">
        <v>0</v>
      </c>
      <c r="P526" s="24">
        <v>0</v>
      </c>
      <c r="Q526" s="24">
        <v>0</v>
      </c>
      <c r="R526" s="24">
        <v>0</v>
      </c>
      <c r="S526" s="24">
        <v>0</v>
      </c>
      <c r="T526" s="24">
        <v>100000</v>
      </c>
      <c r="U526" s="24">
        <v>0</v>
      </c>
      <c r="V526" s="24">
        <v>0</v>
      </c>
      <c r="W526" s="24">
        <v>0</v>
      </c>
      <c r="X526" s="24">
        <v>193773</v>
      </c>
      <c r="Y526" s="24">
        <v>0</v>
      </c>
      <c r="Z526" s="24">
        <f t="shared" si="26"/>
        <v>293773</v>
      </c>
      <c r="AB526" s="25">
        <v>293773</v>
      </c>
      <c r="AC526" s="26">
        <v>293773</v>
      </c>
      <c r="AD526" s="24">
        <v>0</v>
      </c>
      <c r="AE526" s="27">
        <f>_xlfn.XLOOKUP(B526,'Projects Cashflow'!$B:$B,'Projects Cashflow'!$AG:$AG,0)</f>
        <v>293773</v>
      </c>
      <c r="AF526" s="28">
        <f t="shared" si="27"/>
        <v>0</v>
      </c>
    </row>
    <row r="527" spans="2:32" x14ac:dyDescent="0.3">
      <c r="B527" s="14" t="str">
        <f t="shared" si="25"/>
        <v>45117004511000356Activation&amp;Prog-N422401200104</v>
      </c>
      <c r="C527" s="21" t="s">
        <v>65</v>
      </c>
      <c r="D527" s="22">
        <v>4511700</v>
      </c>
      <c r="E527" s="21" t="s">
        <v>3045</v>
      </c>
      <c r="F527" s="22">
        <v>4511000356</v>
      </c>
      <c r="G527" s="21" t="s">
        <v>3049</v>
      </c>
      <c r="H527" s="21" t="s">
        <v>62</v>
      </c>
      <c r="I527" s="22">
        <v>422401</v>
      </c>
      <c r="J527" s="22">
        <v>200104</v>
      </c>
      <c r="K527" s="22" t="s">
        <v>2959</v>
      </c>
      <c r="L527" s="22">
        <v>70206</v>
      </c>
      <c r="M527" s="23" t="s">
        <v>2961</v>
      </c>
      <c r="N527" s="24">
        <v>0</v>
      </c>
      <c r="O527" s="24">
        <v>0</v>
      </c>
      <c r="P527" s="24">
        <v>0</v>
      </c>
      <c r="Q527" s="24">
        <v>0</v>
      </c>
      <c r="R527" s="24">
        <v>0</v>
      </c>
      <c r="S527" s="24">
        <v>0</v>
      </c>
      <c r="T527" s="24">
        <v>0</v>
      </c>
      <c r="U527" s="24">
        <v>0</v>
      </c>
      <c r="V527" s="24">
        <v>0</v>
      </c>
      <c r="W527" s="24">
        <v>0</v>
      </c>
      <c r="X527" s="24">
        <v>76422</v>
      </c>
      <c r="Y527" s="24">
        <v>0</v>
      </c>
      <c r="Z527" s="24">
        <f t="shared" si="26"/>
        <v>76422</v>
      </c>
      <c r="AB527" s="25">
        <v>76422</v>
      </c>
      <c r="AC527" s="26">
        <v>76422</v>
      </c>
      <c r="AD527" s="24">
        <v>0</v>
      </c>
      <c r="AE527" s="27">
        <f>_xlfn.XLOOKUP(B527,'Projects Cashflow'!$B:$B,'Projects Cashflow'!$AG:$AG,0)</f>
        <v>76422</v>
      </c>
      <c r="AF527" s="28">
        <f t="shared" si="27"/>
        <v>0</v>
      </c>
    </row>
    <row r="528" spans="2:32" x14ac:dyDescent="0.3">
      <c r="B528" s="14" t="str">
        <f t="shared" si="25"/>
        <v>45117004511000356Hospitality-N424761200104</v>
      </c>
      <c r="C528" s="21" t="s">
        <v>65</v>
      </c>
      <c r="D528" s="22">
        <v>4511700</v>
      </c>
      <c r="E528" s="21" t="s">
        <v>3045</v>
      </c>
      <c r="F528" s="22">
        <v>4511000356</v>
      </c>
      <c r="G528" s="21" t="s">
        <v>3049</v>
      </c>
      <c r="H528" s="21" t="s">
        <v>83</v>
      </c>
      <c r="I528" s="22">
        <v>424761</v>
      </c>
      <c r="J528" s="22">
        <v>200104</v>
      </c>
      <c r="K528" s="22" t="s">
        <v>2959</v>
      </c>
      <c r="L528" s="22">
        <v>70206</v>
      </c>
      <c r="M528" s="23" t="s">
        <v>2961</v>
      </c>
      <c r="N528" s="24">
        <v>0</v>
      </c>
      <c r="O528" s="24">
        <v>0</v>
      </c>
      <c r="P528" s="24">
        <v>0</v>
      </c>
      <c r="Q528" s="24">
        <v>0</v>
      </c>
      <c r="R528" s="24">
        <v>0</v>
      </c>
      <c r="S528" s="24">
        <v>0</v>
      </c>
      <c r="T528" s="24">
        <v>0</v>
      </c>
      <c r="U528" s="24">
        <v>0</v>
      </c>
      <c r="V528" s="24">
        <v>0</v>
      </c>
      <c r="W528" s="24">
        <v>0</v>
      </c>
      <c r="X528" s="24">
        <v>70000</v>
      </c>
      <c r="Y528" s="24">
        <v>0</v>
      </c>
      <c r="Z528" s="24">
        <f t="shared" si="26"/>
        <v>70000</v>
      </c>
      <c r="AB528" s="25">
        <v>70000</v>
      </c>
      <c r="AC528" s="26">
        <v>70000</v>
      </c>
      <c r="AD528" s="24">
        <v>0</v>
      </c>
      <c r="AE528" s="27">
        <f>_xlfn.XLOOKUP(B528,'Projects Cashflow'!$B:$B,'Projects Cashflow'!$AG:$AG,0)</f>
        <v>70000</v>
      </c>
      <c r="AF528" s="28">
        <f t="shared" si="27"/>
        <v>0</v>
      </c>
    </row>
    <row r="529" spans="2:32" x14ac:dyDescent="0.3">
      <c r="B529" s="14" t="str">
        <f t="shared" si="25"/>
        <v>45117004511000357Event Management-N422401200104</v>
      </c>
      <c r="C529" s="21" t="s">
        <v>65</v>
      </c>
      <c r="D529" s="22">
        <v>4511700</v>
      </c>
      <c r="E529" s="21" t="s">
        <v>3045</v>
      </c>
      <c r="F529" s="22">
        <v>4511000357</v>
      </c>
      <c r="G529" s="21" t="s">
        <v>3050</v>
      </c>
      <c r="H529" s="21" t="s">
        <v>162</v>
      </c>
      <c r="I529" s="22">
        <v>422401</v>
      </c>
      <c r="J529" s="22">
        <v>200104</v>
      </c>
      <c r="K529" s="22" t="s">
        <v>2959</v>
      </c>
      <c r="L529" s="22">
        <v>70206</v>
      </c>
      <c r="M529" s="23" t="s">
        <v>2961</v>
      </c>
      <c r="N529" s="24">
        <v>0</v>
      </c>
      <c r="O529" s="24">
        <v>0</v>
      </c>
      <c r="P529" s="24">
        <v>0</v>
      </c>
      <c r="Q529" s="24">
        <v>0</v>
      </c>
      <c r="R529" s="24">
        <v>0</v>
      </c>
      <c r="S529" s="24">
        <v>0</v>
      </c>
      <c r="T529" s="24">
        <v>0</v>
      </c>
      <c r="U529" s="24">
        <v>0</v>
      </c>
      <c r="V529" s="24">
        <v>0</v>
      </c>
      <c r="W529" s="24">
        <v>0</v>
      </c>
      <c r="X529" s="24">
        <v>700000</v>
      </c>
      <c r="Y529" s="24">
        <v>0</v>
      </c>
      <c r="Z529" s="24">
        <f t="shared" si="26"/>
        <v>700000</v>
      </c>
      <c r="AB529" s="25">
        <v>700000</v>
      </c>
      <c r="AC529" s="26">
        <v>700000</v>
      </c>
      <c r="AD529" s="24">
        <v>0</v>
      </c>
      <c r="AE529" s="27">
        <f>_xlfn.XLOOKUP(B529,'Projects Cashflow'!$B:$B,'Projects Cashflow'!$AG:$AG,0)</f>
        <v>700000</v>
      </c>
      <c r="AF529" s="28">
        <f t="shared" si="27"/>
        <v>0</v>
      </c>
    </row>
    <row r="530" spans="2:32" x14ac:dyDescent="0.3">
      <c r="B530" s="14" t="str">
        <f t="shared" si="25"/>
        <v>45117004511000357Talent Fees-N422511200104</v>
      </c>
      <c r="C530" s="21" t="s">
        <v>65</v>
      </c>
      <c r="D530" s="22">
        <v>4511700</v>
      </c>
      <c r="E530" s="21" t="s">
        <v>3045</v>
      </c>
      <c r="F530" s="22">
        <v>4511000357</v>
      </c>
      <c r="G530" s="21" t="s">
        <v>3050</v>
      </c>
      <c r="H530" s="21" t="s">
        <v>262</v>
      </c>
      <c r="I530" s="22">
        <v>422511</v>
      </c>
      <c r="J530" s="22">
        <v>200104</v>
      </c>
      <c r="K530" s="22" t="s">
        <v>2959</v>
      </c>
      <c r="L530" s="22">
        <v>70206</v>
      </c>
      <c r="M530" s="23" t="s">
        <v>2961</v>
      </c>
      <c r="N530" s="24">
        <v>0</v>
      </c>
      <c r="O530" s="24">
        <v>0</v>
      </c>
      <c r="P530" s="24">
        <v>0</v>
      </c>
      <c r="Q530" s="24">
        <v>0</v>
      </c>
      <c r="R530" s="24">
        <v>0</v>
      </c>
      <c r="S530" s="24">
        <v>0</v>
      </c>
      <c r="T530" s="24">
        <v>0</v>
      </c>
      <c r="U530" s="24">
        <v>0</v>
      </c>
      <c r="V530" s="24">
        <v>0</v>
      </c>
      <c r="W530" s="24">
        <v>0</v>
      </c>
      <c r="X530" s="24">
        <v>305000</v>
      </c>
      <c r="Y530" s="24">
        <v>0</v>
      </c>
      <c r="Z530" s="24">
        <f t="shared" si="26"/>
        <v>305000</v>
      </c>
      <c r="AB530" s="25">
        <v>305000</v>
      </c>
      <c r="AC530" s="26">
        <v>305000</v>
      </c>
      <c r="AD530" s="24">
        <v>0</v>
      </c>
      <c r="AE530" s="27">
        <f>_xlfn.XLOOKUP(B530,'Projects Cashflow'!$B:$B,'Projects Cashflow'!$AG:$AG,0)</f>
        <v>305000</v>
      </c>
      <c r="AF530" s="28">
        <f t="shared" si="27"/>
        <v>0</v>
      </c>
    </row>
    <row r="531" spans="2:32" x14ac:dyDescent="0.3">
      <c r="B531" s="14" t="str">
        <f t="shared" si="25"/>
        <v>45117004511000946Event Management-N422401200104</v>
      </c>
      <c r="C531" s="21" t="s">
        <v>65</v>
      </c>
      <c r="D531" s="22">
        <v>4511700</v>
      </c>
      <c r="E531" s="21" t="s">
        <v>3045</v>
      </c>
      <c r="F531" s="22">
        <v>4511000946</v>
      </c>
      <c r="G531" s="21" t="s">
        <v>1268</v>
      </c>
      <c r="H531" s="21" t="s">
        <v>162</v>
      </c>
      <c r="I531" s="22">
        <v>422401</v>
      </c>
      <c r="J531" s="22">
        <v>200104</v>
      </c>
      <c r="K531" s="22" t="s">
        <v>2959</v>
      </c>
      <c r="L531" s="22">
        <v>70206</v>
      </c>
      <c r="M531" s="23" t="s">
        <v>2961</v>
      </c>
      <c r="N531" s="24">
        <v>0</v>
      </c>
      <c r="O531" s="24">
        <v>0</v>
      </c>
      <c r="P531" s="24">
        <v>0</v>
      </c>
      <c r="Q531" s="24">
        <v>0</v>
      </c>
      <c r="R531" s="24">
        <v>0</v>
      </c>
      <c r="S531" s="24">
        <v>0</v>
      </c>
      <c r="T531" s="24">
        <v>3633864.94</v>
      </c>
      <c r="U531" s="24">
        <v>0</v>
      </c>
      <c r="V531" s="24">
        <v>0</v>
      </c>
      <c r="W531" s="24">
        <v>0</v>
      </c>
      <c r="X531" s="24">
        <v>3049720.7</v>
      </c>
      <c r="Y531" s="24">
        <v>851301</v>
      </c>
      <c r="Z531" s="24">
        <f t="shared" si="26"/>
        <v>7534886.6400000006</v>
      </c>
      <c r="AB531" s="25">
        <v>7534886.6400000006</v>
      </c>
      <c r="AC531" s="26">
        <v>7534887.0999999996</v>
      </c>
      <c r="AD531" s="24">
        <v>-0.45999999903142452</v>
      </c>
      <c r="AE531" s="27">
        <f>_xlfn.XLOOKUP(B531,'Projects Cashflow'!$B:$B,'Projects Cashflow'!$AG:$AG,0)</f>
        <v>7534887.0999999996</v>
      </c>
      <c r="AF531" s="28">
        <f t="shared" si="27"/>
        <v>0.45999999903142452</v>
      </c>
    </row>
    <row r="532" spans="2:32" x14ac:dyDescent="0.3">
      <c r="B532" s="14" t="str">
        <f t="shared" si="25"/>
        <v>45117004511000946Hospitality-N424761200104</v>
      </c>
      <c r="C532" s="21" t="s">
        <v>65</v>
      </c>
      <c r="D532" s="22">
        <v>4511700</v>
      </c>
      <c r="E532" s="21" t="s">
        <v>3045</v>
      </c>
      <c r="F532" s="22">
        <v>4511000946</v>
      </c>
      <c r="G532" s="21" t="s">
        <v>1268</v>
      </c>
      <c r="H532" s="21" t="s">
        <v>83</v>
      </c>
      <c r="I532" s="22">
        <v>424761</v>
      </c>
      <c r="J532" s="22">
        <v>200104</v>
      </c>
      <c r="K532" s="22" t="s">
        <v>2959</v>
      </c>
      <c r="L532" s="22">
        <v>70206</v>
      </c>
      <c r="M532" s="23" t="s">
        <v>2961</v>
      </c>
      <c r="N532" s="24">
        <v>0</v>
      </c>
      <c r="O532" s="24">
        <v>0</v>
      </c>
      <c r="P532" s="24">
        <v>0</v>
      </c>
      <c r="Q532" s="24">
        <v>0</v>
      </c>
      <c r="R532" s="24">
        <v>0</v>
      </c>
      <c r="S532" s="24">
        <v>0</v>
      </c>
      <c r="T532" s="24">
        <v>0</v>
      </c>
      <c r="U532" s="24">
        <v>0</v>
      </c>
      <c r="V532" s="24">
        <v>0</v>
      </c>
      <c r="W532" s="24">
        <v>0</v>
      </c>
      <c r="X532" s="24">
        <v>3683590</v>
      </c>
      <c r="Y532" s="24">
        <v>2910150.8</v>
      </c>
      <c r="Z532" s="24">
        <f t="shared" si="26"/>
        <v>6593740.7999999998</v>
      </c>
      <c r="AB532" s="25">
        <v>6593740.7999999998</v>
      </c>
      <c r="AC532" s="26">
        <v>6593741</v>
      </c>
      <c r="AD532" s="24">
        <v>-0.20000000018626451</v>
      </c>
      <c r="AE532" s="27">
        <f>_xlfn.XLOOKUP(B532,'Projects Cashflow'!$B:$B,'Projects Cashflow'!$AG:$AG,0)</f>
        <v>6593741</v>
      </c>
      <c r="AF532" s="28">
        <f t="shared" si="27"/>
        <v>0.20000000018626451</v>
      </c>
    </row>
    <row r="533" spans="2:32" x14ac:dyDescent="0.3">
      <c r="B533" s="14" t="str">
        <f t="shared" si="25"/>
        <v>45117004511000946Partnership Fees-N422401200104</v>
      </c>
      <c r="C533" s="21" t="s">
        <v>65</v>
      </c>
      <c r="D533" s="22">
        <v>4511700</v>
      </c>
      <c r="E533" s="21" t="s">
        <v>3045</v>
      </c>
      <c r="F533" s="22">
        <v>4511000946</v>
      </c>
      <c r="G533" s="21" t="s">
        <v>1268</v>
      </c>
      <c r="H533" s="21" t="s">
        <v>1087</v>
      </c>
      <c r="I533" s="22">
        <v>422401</v>
      </c>
      <c r="J533" s="22">
        <v>200104</v>
      </c>
      <c r="K533" s="22" t="s">
        <v>2959</v>
      </c>
      <c r="L533" s="22">
        <v>70206</v>
      </c>
      <c r="M533" s="23" t="s">
        <v>2961</v>
      </c>
      <c r="N533" s="24">
        <v>0</v>
      </c>
      <c r="O533" s="24">
        <v>0</v>
      </c>
      <c r="P533" s="24">
        <v>0</v>
      </c>
      <c r="Q533" s="24">
        <v>77130.899999999994</v>
      </c>
      <c r="R533" s="24">
        <v>82665.5</v>
      </c>
      <c r="S533" s="24">
        <v>82665.5</v>
      </c>
      <c r="T533" s="24">
        <v>77130.899999999994</v>
      </c>
      <c r="U533" s="24">
        <v>0</v>
      </c>
      <c r="V533" s="24">
        <v>400000</v>
      </c>
      <c r="W533" s="24">
        <v>77130.899999999994</v>
      </c>
      <c r="X533" s="24">
        <v>0</v>
      </c>
      <c r="Y533" s="24">
        <v>1138817.8</v>
      </c>
      <c r="Z533" s="24">
        <f t="shared" si="26"/>
        <v>1935541.5</v>
      </c>
      <c r="AB533" s="25">
        <v>1935541.5</v>
      </c>
      <c r="AC533" s="26">
        <v>1935542</v>
      </c>
      <c r="AD533" s="24">
        <v>-0.5</v>
      </c>
      <c r="AE533" s="27">
        <f>_xlfn.XLOOKUP(B533,'Projects Cashflow'!$B:$B,'Projects Cashflow'!$AG:$AG,0)</f>
        <v>1935542</v>
      </c>
      <c r="AF533" s="28">
        <f t="shared" si="27"/>
        <v>0.5</v>
      </c>
    </row>
    <row r="534" spans="2:32" x14ac:dyDescent="0.3">
      <c r="B534" s="14" t="str">
        <f t="shared" si="25"/>
        <v>45117004511000946Freelancers-N424521200104</v>
      </c>
      <c r="C534" s="21" t="s">
        <v>65</v>
      </c>
      <c r="D534" s="22">
        <v>4511700</v>
      </c>
      <c r="E534" s="21" t="s">
        <v>3045</v>
      </c>
      <c r="F534" s="22">
        <v>4511000946</v>
      </c>
      <c r="G534" s="21" t="s">
        <v>1268</v>
      </c>
      <c r="H534" s="21" t="s">
        <v>50</v>
      </c>
      <c r="I534" s="22">
        <v>424521</v>
      </c>
      <c r="J534" s="22">
        <v>200104</v>
      </c>
      <c r="K534" s="22" t="s">
        <v>2959</v>
      </c>
      <c r="L534" s="22">
        <v>70206</v>
      </c>
      <c r="M534" s="23" t="s">
        <v>2961</v>
      </c>
      <c r="N534" s="24">
        <v>0</v>
      </c>
      <c r="O534" s="24">
        <v>0</v>
      </c>
      <c r="P534" s="24">
        <v>80000</v>
      </c>
      <c r="Q534" s="24">
        <v>0</v>
      </c>
      <c r="R534" s="24">
        <v>112000</v>
      </c>
      <c r="S534" s="24">
        <v>192000</v>
      </c>
      <c r="T534" s="24">
        <v>192000</v>
      </c>
      <c r="U534" s="24">
        <v>192000</v>
      </c>
      <c r="V534" s="24">
        <v>177000</v>
      </c>
      <c r="W534" s="24">
        <v>434000</v>
      </c>
      <c r="X534" s="24">
        <v>136000</v>
      </c>
      <c r="Y534" s="24">
        <v>256000</v>
      </c>
      <c r="Z534" s="24">
        <f t="shared" si="26"/>
        <v>1771000</v>
      </c>
      <c r="AB534" s="25">
        <v>1771000</v>
      </c>
      <c r="AC534" s="26">
        <v>1771000</v>
      </c>
      <c r="AD534" s="24">
        <v>0</v>
      </c>
      <c r="AE534" s="27">
        <f>_xlfn.XLOOKUP(B534,'Projects Cashflow'!$B:$B,'Projects Cashflow'!$AG:$AG,0)</f>
        <v>1771000</v>
      </c>
      <c r="AF534" s="28">
        <f t="shared" si="27"/>
        <v>0</v>
      </c>
    </row>
    <row r="535" spans="2:32" x14ac:dyDescent="0.3">
      <c r="B535" s="14" t="str">
        <f t="shared" si="25"/>
        <v>45117004511001180Art Acquisition-NC1491811300105</v>
      </c>
      <c r="C535" s="21" t="s">
        <v>65</v>
      </c>
      <c r="D535" s="22">
        <v>4511700</v>
      </c>
      <c r="E535" s="21" t="s">
        <v>3045</v>
      </c>
      <c r="F535" s="22">
        <v>4511001180</v>
      </c>
      <c r="G535" s="21" t="s">
        <v>1428</v>
      </c>
      <c r="H535" s="21" t="s">
        <v>1429</v>
      </c>
      <c r="I535" s="22">
        <v>491811</v>
      </c>
      <c r="J535" s="22">
        <v>300105</v>
      </c>
      <c r="K535" s="22" t="s">
        <v>2972</v>
      </c>
      <c r="L535" s="22">
        <v>70206</v>
      </c>
      <c r="M535" s="23" t="s">
        <v>2969</v>
      </c>
      <c r="N535" s="24">
        <v>0</v>
      </c>
      <c r="O535" s="24">
        <v>0</v>
      </c>
      <c r="P535" s="24">
        <v>0</v>
      </c>
      <c r="Q535" s="24">
        <v>1769850</v>
      </c>
      <c r="R535" s="24">
        <v>0</v>
      </c>
      <c r="S535" s="24">
        <v>1322100.1499999999</v>
      </c>
      <c r="T535" s="24">
        <v>0</v>
      </c>
      <c r="U535" s="24">
        <v>0</v>
      </c>
      <c r="V535" s="24">
        <v>0</v>
      </c>
      <c r="W535" s="24">
        <v>5508750</v>
      </c>
      <c r="X535" s="24">
        <v>1218975</v>
      </c>
      <c r="Y535" s="24">
        <v>0</v>
      </c>
      <c r="Z535" s="24">
        <f t="shared" si="26"/>
        <v>9819675.1500000004</v>
      </c>
      <c r="AB535" s="25">
        <v>9819675.1500000004</v>
      </c>
      <c r="AC535" s="26">
        <v>9819675</v>
      </c>
      <c r="AD535" s="24">
        <v>0.15000000037252903</v>
      </c>
      <c r="AE535" s="27">
        <f>_xlfn.XLOOKUP(B535,'Projects Cashflow'!$B:$B,'Projects Cashflow'!$AG:$AG,0)</f>
        <v>9819675</v>
      </c>
      <c r="AF535" s="28">
        <f t="shared" si="27"/>
        <v>-0.15000000037252903</v>
      </c>
    </row>
    <row r="536" spans="2:32" x14ac:dyDescent="0.3">
      <c r="B536" s="14" t="str">
        <f t="shared" si="25"/>
        <v>45117004511001180Art Commission-NC1491811300105</v>
      </c>
      <c r="C536" s="21" t="s">
        <v>65</v>
      </c>
      <c r="D536" s="22">
        <v>4511700</v>
      </c>
      <c r="E536" s="21" t="s">
        <v>3045</v>
      </c>
      <c r="F536" s="22">
        <v>4511001180</v>
      </c>
      <c r="G536" s="21" t="s">
        <v>1428</v>
      </c>
      <c r="H536" s="21" t="s">
        <v>1431</v>
      </c>
      <c r="I536" s="22">
        <v>491811</v>
      </c>
      <c r="J536" s="22">
        <v>300105</v>
      </c>
      <c r="K536" s="22" t="s">
        <v>2972</v>
      </c>
      <c r="L536" s="22">
        <v>70206</v>
      </c>
      <c r="M536" s="23" t="s">
        <v>2969</v>
      </c>
      <c r="N536" s="24">
        <v>0</v>
      </c>
      <c r="O536" s="24">
        <v>0</v>
      </c>
      <c r="P536" s="24">
        <v>0</v>
      </c>
      <c r="Q536" s="24">
        <v>1064555</v>
      </c>
      <c r="R536" s="24">
        <v>1064555</v>
      </c>
      <c r="S536" s="24">
        <v>1064555</v>
      </c>
      <c r="T536" s="24">
        <v>1064555</v>
      </c>
      <c r="U536" s="24">
        <v>1064555</v>
      </c>
      <c r="V536" s="24">
        <v>1064555</v>
      </c>
      <c r="W536" s="24">
        <v>1064555</v>
      </c>
      <c r="X536" s="24">
        <v>1064555</v>
      </c>
      <c r="Y536" s="24">
        <v>1064560</v>
      </c>
      <c r="Z536" s="24">
        <f t="shared" si="26"/>
        <v>9581000</v>
      </c>
      <c r="AB536" s="25">
        <v>9581000</v>
      </c>
      <c r="AC536" s="26">
        <v>9581000</v>
      </c>
      <c r="AD536" s="24">
        <v>0</v>
      </c>
      <c r="AE536" s="27">
        <f>_xlfn.XLOOKUP(B536,'Projects Cashflow'!$B:$B,'Projects Cashflow'!$AG:$AG,0)</f>
        <v>9581000</v>
      </c>
      <c r="AF536" s="28">
        <f t="shared" si="27"/>
        <v>0</v>
      </c>
    </row>
    <row r="537" spans="2:32" x14ac:dyDescent="0.3">
      <c r="B537" s="14" t="str">
        <f t="shared" si="25"/>
        <v>45117004511001180Plant &amp; Tools-NC1491351300105</v>
      </c>
      <c r="C537" s="21" t="s">
        <v>65</v>
      </c>
      <c r="D537" s="22">
        <v>4511700</v>
      </c>
      <c r="E537" s="21" t="s">
        <v>3045</v>
      </c>
      <c r="F537" s="22">
        <v>4511001180</v>
      </c>
      <c r="G537" s="21" t="s">
        <v>1428</v>
      </c>
      <c r="H537" s="21" t="s">
        <v>1433</v>
      </c>
      <c r="I537" s="22">
        <v>491351</v>
      </c>
      <c r="J537" s="22">
        <v>300105</v>
      </c>
      <c r="K537" s="22" t="s">
        <v>2972</v>
      </c>
      <c r="L537" s="22">
        <v>70206</v>
      </c>
      <c r="M537" s="23" t="s">
        <v>2969</v>
      </c>
      <c r="N537" s="24">
        <v>0</v>
      </c>
      <c r="O537" s="24">
        <v>0</v>
      </c>
      <c r="P537" s="24">
        <v>0</v>
      </c>
      <c r="Q537" s="24">
        <v>0</v>
      </c>
      <c r="R537" s="24">
        <v>155347</v>
      </c>
      <c r="S537" s="24">
        <v>1278401</v>
      </c>
      <c r="T537" s="24">
        <v>0</v>
      </c>
      <c r="U537" s="24">
        <v>0</v>
      </c>
      <c r="V537" s="24">
        <v>6165577</v>
      </c>
      <c r="W537" s="24">
        <v>0</v>
      </c>
      <c r="X537" s="24">
        <v>500000</v>
      </c>
      <c r="Y537" s="24">
        <v>0</v>
      </c>
      <c r="Z537" s="24">
        <f t="shared" si="26"/>
        <v>8099325</v>
      </c>
      <c r="AB537" s="25">
        <v>8099325</v>
      </c>
      <c r="AC537" s="26">
        <v>8099325</v>
      </c>
      <c r="AD537" s="24">
        <v>0</v>
      </c>
      <c r="AE537" s="27">
        <f>_xlfn.XLOOKUP(B537,'Projects Cashflow'!$B:$B,'Projects Cashflow'!$AG:$AG,0)</f>
        <v>8099325</v>
      </c>
      <c r="AF537" s="28">
        <f t="shared" si="27"/>
        <v>0</v>
      </c>
    </row>
    <row r="538" spans="2:32" x14ac:dyDescent="0.3">
      <c r="B538" s="14" t="str">
        <f t="shared" si="25"/>
        <v>45117004511001180Event Management-N1422401200104</v>
      </c>
      <c r="C538" s="21" t="s">
        <v>65</v>
      </c>
      <c r="D538" s="22">
        <v>4511700</v>
      </c>
      <c r="E538" s="21" t="s">
        <v>3045</v>
      </c>
      <c r="F538" s="22">
        <v>4511001180</v>
      </c>
      <c r="G538" s="21" t="s">
        <v>1428</v>
      </c>
      <c r="H538" s="21" t="s">
        <v>122</v>
      </c>
      <c r="I538" s="22">
        <v>422401</v>
      </c>
      <c r="J538" s="22">
        <v>200104</v>
      </c>
      <c r="K538" s="22" t="s">
        <v>2959</v>
      </c>
      <c r="L538" s="22">
        <v>70206</v>
      </c>
      <c r="M538" s="23" t="s">
        <v>2969</v>
      </c>
      <c r="N538" s="24">
        <v>0</v>
      </c>
      <c r="O538" s="24">
        <v>3678000</v>
      </c>
      <c r="P538" s="24">
        <v>100372.36000000034</v>
      </c>
      <c r="Q538" s="24">
        <v>0</v>
      </c>
      <c r="R538" s="24">
        <v>42272401.159999996</v>
      </c>
      <c r="S538" s="24">
        <v>6046381.54</v>
      </c>
      <c r="T538" s="24">
        <v>0</v>
      </c>
      <c r="U538" s="24">
        <v>6718198.5999999996</v>
      </c>
      <c r="V538" s="24">
        <v>0</v>
      </c>
      <c r="W538" s="24">
        <v>10500000</v>
      </c>
      <c r="X538" s="24">
        <v>0</v>
      </c>
      <c r="Y538" s="24">
        <v>0</v>
      </c>
      <c r="Z538" s="24">
        <f t="shared" si="26"/>
        <v>69315353.659999996</v>
      </c>
      <c r="AB538" s="25">
        <v>69260353</v>
      </c>
      <c r="AC538" s="26">
        <v>69260353</v>
      </c>
      <c r="AD538" s="24">
        <v>0</v>
      </c>
      <c r="AE538" s="27">
        <f>_xlfn.XLOOKUP(B538,'Projects Cashflow'!$B:$B,'Projects Cashflow'!$AG:$AG,0)</f>
        <v>69260353</v>
      </c>
      <c r="AF538" s="28">
        <f t="shared" si="27"/>
        <v>0</v>
      </c>
    </row>
    <row r="539" spans="2:32" x14ac:dyDescent="0.3">
      <c r="B539" s="14" t="str">
        <f t="shared" si="25"/>
        <v>45117004511001180Strategy Advice-N1421123200104</v>
      </c>
      <c r="C539" s="21" t="s">
        <v>65</v>
      </c>
      <c r="D539" s="22">
        <v>4511700</v>
      </c>
      <c r="E539" s="21" t="s">
        <v>3045</v>
      </c>
      <c r="F539" s="22">
        <v>4511001180</v>
      </c>
      <c r="G539" s="21" t="s">
        <v>1428</v>
      </c>
      <c r="H539" s="21" t="s">
        <v>1435</v>
      </c>
      <c r="I539" s="22">
        <v>421123</v>
      </c>
      <c r="J539" s="22">
        <v>200104</v>
      </c>
      <c r="K539" s="22" t="s">
        <v>2959</v>
      </c>
      <c r="L539" s="22">
        <v>70206</v>
      </c>
      <c r="M539" s="23" t="s">
        <v>2969</v>
      </c>
      <c r="N539" s="24">
        <v>0</v>
      </c>
      <c r="O539" s="24">
        <v>0</v>
      </c>
      <c r="P539" s="24">
        <v>0</v>
      </c>
      <c r="Q539" s="24">
        <v>0</v>
      </c>
      <c r="R539" s="24">
        <v>2242498.1800000002</v>
      </c>
      <c r="S539" s="24">
        <v>9750000</v>
      </c>
      <c r="T539" s="24">
        <v>0</v>
      </c>
      <c r="U539" s="24">
        <v>0</v>
      </c>
      <c r="V539" s="24">
        <v>0</v>
      </c>
      <c r="W539" s="24">
        <v>0</v>
      </c>
      <c r="X539" s="24">
        <v>9550000</v>
      </c>
      <c r="Y539" s="24">
        <v>0</v>
      </c>
      <c r="Z539" s="24">
        <f t="shared" si="26"/>
        <v>21542498.18</v>
      </c>
      <c r="AB539" s="25">
        <v>21542498.18</v>
      </c>
      <c r="AC539" s="26">
        <v>21542498</v>
      </c>
      <c r="AD539" s="24">
        <v>0.17999999970197678</v>
      </c>
      <c r="AE539" s="27">
        <f>_xlfn.XLOOKUP(B539,'Projects Cashflow'!$B:$B,'Projects Cashflow'!$AG:$AG,0)</f>
        <v>21542498</v>
      </c>
      <c r="AF539" s="28">
        <f t="shared" si="27"/>
        <v>-0.17999999970197678</v>
      </c>
    </row>
    <row r="540" spans="2:32" x14ac:dyDescent="0.3">
      <c r="B540" s="14" t="str">
        <f t="shared" si="25"/>
        <v>45117004511001180Freelancers-N1424521200104</v>
      </c>
      <c r="C540" s="21" t="s">
        <v>65</v>
      </c>
      <c r="D540" s="22">
        <v>4511700</v>
      </c>
      <c r="E540" s="21" t="s">
        <v>3045</v>
      </c>
      <c r="F540" s="22">
        <v>4511001180</v>
      </c>
      <c r="G540" s="21" t="s">
        <v>1428</v>
      </c>
      <c r="H540" s="21" t="s">
        <v>303</v>
      </c>
      <c r="I540" s="22">
        <v>424521</v>
      </c>
      <c r="J540" s="22">
        <v>200104</v>
      </c>
      <c r="K540" s="22" t="s">
        <v>2959</v>
      </c>
      <c r="L540" s="22">
        <v>70206</v>
      </c>
      <c r="M540" s="23" t="s">
        <v>2969</v>
      </c>
      <c r="N540" s="24">
        <v>0</v>
      </c>
      <c r="O540" s="24">
        <v>0</v>
      </c>
      <c r="P540" s="24">
        <v>873274.64</v>
      </c>
      <c r="Q540" s="24"/>
      <c r="R540" s="24">
        <v>207441</v>
      </c>
      <c r="S540" s="24">
        <v>270179</v>
      </c>
      <c r="T540" s="24">
        <v>270179</v>
      </c>
      <c r="U540" s="24">
        <v>270179</v>
      </c>
      <c r="V540" s="24">
        <v>270179</v>
      </c>
      <c r="W540" s="24">
        <v>270179</v>
      </c>
      <c r="X540" s="24">
        <v>270179</v>
      </c>
      <c r="Y540" s="24">
        <v>340358</v>
      </c>
      <c r="Z540" s="24">
        <f t="shared" si="26"/>
        <v>3042147.64</v>
      </c>
      <c r="AB540" s="25">
        <v>3308147.64</v>
      </c>
      <c r="AC540" s="26">
        <v>3308148</v>
      </c>
      <c r="AD540" s="24">
        <v>-0.35999999986961484</v>
      </c>
      <c r="AE540" s="27">
        <f>_xlfn.XLOOKUP(B540,'Projects Cashflow'!$B:$B,'Projects Cashflow'!$AG:$AG,0)</f>
        <v>3308148</v>
      </c>
      <c r="AF540" s="28">
        <f t="shared" si="27"/>
        <v>0.35999999986961484</v>
      </c>
    </row>
    <row r="541" spans="2:32" x14ac:dyDescent="0.3">
      <c r="B541" s="14" t="str">
        <f t="shared" si="25"/>
        <v>45117004511001180Hospitality-N1424761200104</v>
      </c>
      <c r="C541" s="21" t="s">
        <v>65</v>
      </c>
      <c r="D541" s="22">
        <v>4511700</v>
      </c>
      <c r="E541" s="21" t="s">
        <v>3045</v>
      </c>
      <c r="F541" s="22">
        <v>4511001180</v>
      </c>
      <c r="G541" s="21" t="s">
        <v>1428</v>
      </c>
      <c r="H541" s="21" t="s">
        <v>399</v>
      </c>
      <c r="I541" s="22">
        <v>424761</v>
      </c>
      <c r="J541" s="22">
        <v>200104</v>
      </c>
      <c r="K541" s="22" t="s">
        <v>2959</v>
      </c>
      <c r="L541" s="22">
        <v>70206</v>
      </c>
      <c r="M541" s="23" t="s">
        <v>2969</v>
      </c>
      <c r="N541" s="24">
        <v>0</v>
      </c>
      <c r="O541" s="24">
        <v>0</v>
      </c>
      <c r="P541" s="24">
        <v>0</v>
      </c>
      <c r="Q541" s="24">
        <v>0</v>
      </c>
      <c r="R541" s="24">
        <v>0</v>
      </c>
      <c r="S541" s="24">
        <v>0</v>
      </c>
      <c r="T541" s="24">
        <v>450000</v>
      </c>
      <c r="U541" s="24">
        <v>0</v>
      </c>
      <c r="V541" s="24">
        <v>0</v>
      </c>
      <c r="W541" s="24">
        <v>450000</v>
      </c>
      <c r="X541" s="24">
        <v>0</v>
      </c>
      <c r="Y541" s="24">
        <v>0</v>
      </c>
      <c r="Z541" s="24">
        <f t="shared" si="26"/>
        <v>900000</v>
      </c>
      <c r="AB541" s="25">
        <v>900000</v>
      </c>
      <c r="AC541" s="26">
        <v>900000</v>
      </c>
      <c r="AD541" s="24">
        <v>0</v>
      </c>
      <c r="AE541" s="27">
        <f>_xlfn.XLOOKUP(B541,'Projects Cashflow'!$B:$B,'Projects Cashflow'!$AG:$AG,0)</f>
        <v>900000</v>
      </c>
      <c r="AF541" s="28">
        <f t="shared" si="27"/>
        <v>0</v>
      </c>
    </row>
    <row r="542" spans="2:32" x14ac:dyDescent="0.3">
      <c r="B542" s="14" t="str">
        <f t="shared" si="25"/>
        <v>45117004511001180FeasibilityStudy-N1424521200104</v>
      </c>
      <c r="C542" s="21" t="s">
        <v>65</v>
      </c>
      <c r="D542" s="22">
        <v>4511700</v>
      </c>
      <c r="E542" s="21" t="s">
        <v>3045</v>
      </c>
      <c r="F542" s="22">
        <v>4511001180</v>
      </c>
      <c r="G542" s="21" t="s">
        <v>1428</v>
      </c>
      <c r="H542" s="21" t="s">
        <v>1432</v>
      </c>
      <c r="I542" s="22">
        <v>424521</v>
      </c>
      <c r="J542" s="22">
        <v>200104</v>
      </c>
      <c r="K542" s="22" t="s">
        <v>2959</v>
      </c>
      <c r="L542" s="22">
        <v>70206</v>
      </c>
      <c r="M542" s="23" t="s">
        <v>2969</v>
      </c>
      <c r="N542" s="24">
        <v>0</v>
      </c>
      <c r="O542" s="24">
        <v>0</v>
      </c>
      <c r="P542" s="24">
        <v>0</v>
      </c>
      <c r="Q542" s="24">
        <v>0</v>
      </c>
      <c r="R542" s="24">
        <v>0</v>
      </c>
      <c r="S542" s="24">
        <v>150000</v>
      </c>
      <c r="T542" s="24">
        <v>0</v>
      </c>
      <c r="U542" s="24">
        <v>0</v>
      </c>
      <c r="V542" s="24">
        <v>0</v>
      </c>
      <c r="W542" s="24">
        <v>0</v>
      </c>
      <c r="X542" s="24">
        <v>150000</v>
      </c>
      <c r="Y542" s="24">
        <v>0</v>
      </c>
      <c r="Z542" s="24">
        <f t="shared" si="26"/>
        <v>300000</v>
      </c>
      <c r="AB542" s="25">
        <v>300000</v>
      </c>
      <c r="AC542" s="26">
        <v>300000</v>
      </c>
      <c r="AD542" s="24">
        <v>0</v>
      </c>
      <c r="AE542" s="27">
        <f>_xlfn.XLOOKUP(B542,'Projects Cashflow'!$B:$B,'Projects Cashflow'!$AG:$AG,0)</f>
        <v>300000</v>
      </c>
      <c r="AF542" s="28">
        <f t="shared" si="27"/>
        <v>0</v>
      </c>
    </row>
    <row r="543" spans="2:32" x14ac:dyDescent="0.3">
      <c r="B543" s="14" t="str">
        <f t="shared" si="25"/>
        <v>45117504511000020Event Management-N3422401200104</v>
      </c>
      <c r="C543" s="21" t="s">
        <v>65</v>
      </c>
      <c r="D543" s="22">
        <v>4511750</v>
      </c>
      <c r="E543" s="21" t="s">
        <v>117</v>
      </c>
      <c r="F543" s="22">
        <v>4511000020</v>
      </c>
      <c r="G543" s="21" t="s">
        <v>3051</v>
      </c>
      <c r="H543" s="21" t="s">
        <v>115</v>
      </c>
      <c r="I543" s="22">
        <v>422401</v>
      </c>
      <c r="J543" s="22">
        <v>200104</v>
      </c>
      <c r="K543" s="22" t="s">
        <v>2959</v>
      </c>
      <c r="L543" s="22">
        <v>70204</v>
      </c>
      <c r="M543" s="23" t="s">
        <v>2961</v>
      </c>
      <c r="N543" s="24">
        <v>0</v>
      </c>
      <c r="O543" s="24">
        <v>0</v>
      </c>
      <c r="P543" s="24">
        <v>0</v>
      </c>
      <c r="Q543" s="24">
        <v>0</v>
      </c>
      <c r="R543" s="24">
        <v>0</v>
      </c>
      <c r="S543" s="24">
        <v>0</v>
      </c>
      <c r="T543" s="24">
        <v>0</v>
      </c>
      <c r="U543" s="24">
        <v>0</v>
      </c>
      <c r="V543" s="24">
        <v>0</v>
      </c>
      <c r="W543" s="24">
        <v>2000000</v>
      </c>
      <c r="X543" s="24">
        <v>1918468</v>
      </c>
      <c r="Y543" s="24">
        <v>0</v>
      </c>
      <c r="Z543" s="24">
        <f t="shared" si="26"/>
        <v>3918468</v>
      </c>
      <c r="AB543" s="25">
        <v>3918468</v>
      </c>
      <c r="AC543" s="26">
        <v>3918468</v>
      </c>
      <c r="AD543" s="24">
        <v>0</v>
      </c>
      <c r="AE543" s="27">
        <f>_xlfn.XLOOKUP(B543,'Projects Cashflow'!$B:$B,'Projects Cashflow'!$AG:$AG,0)</f>
        <v>3918468</v>
      </c>
      <c r="AF543" s="28">
        <f t="shared" si="27"/>
        <v>0</v>
      </c>
    </row>
    <row r="544" spans="2:32" x14ac:dyDescent="0.3">
      <c r="B544" s="14" t="str">
        <f t="shared" si="25"/>
        <v>45117504511000285Event Management-N2422401200104</v>
      </c>
      <c r="C544" s="21" t="s">
        <v>65</v>
      </c>
      <c r="D544" s="22">
        <v>4511750</v>
      </c>
      <c r="E544" s="21" t="s">
        <v>117</v>
      </c>
      <c r="F544" s="22">
        <v>4511000285</v>
      </c>
      <c r="G544" s="21" t="s">
        <v>3052</v>
      </c>
      <c r="H544" s="21" t="s">
        <v>387</v>
      </c>
      <c r="I544" s="22">
        <v>422401</v>
      </c>
      <c r="J544" s="22">
        <v>200104</v>
      </c>
      <c r="K544" s="22" t="s">
        <v>2959</v>
      </c>
      <c r="L544" s="22">
        <v>70206</v>
      </c>
      <c r="M544" s="23" t="s">
        <v>2961</v>
      </c>
      <c r="N544" s="24">
        <v>0</v>
      </c>
      <c r="O544" s="24">
        <v>0</v>
      </c>
      <c r="P544" s="24">
        <v>0</v>
      </c>
      <c r="Q544" s="24">
        <v>1485000</v>
      </c>
      <c r="R544" s="24">
        <v>0</v>
      </c>
      <c r="S544" s="24">
        <v>0</v>
      </c>
      <c r="T544" s="24">
        <v>0</v>
      </c>
      <c r="U544" s="24">
        <v>0</v>
      </c>
      <c r="V544" s="24">
        <v>0</v>
      </c>
      <c r="W544" s="24">
        <v>1485000</v>
      </c>
      <c r="X544" s="24">
        <v>0</v>
      </c>
      <c r="Y544" s="24">
        <v>0</v>
      </c>
      <c r="Z544" s="24">
        <f t="shared" si="26"/>
        <v>2970000</v>
      </c>
      <c r="AB544" s="25">
        <v>2970000</v>
      </c>
      <c r="AC544" s="26">
        <v>2970000</v>
      </c>
      <c r="AD544" s="24">
        <v>0</v>
      </c>
      <c r="AE544" s="27">
        <f>_xlfn.XLOOKUP(B544,'Projects Cashflow'!$B:$B,'Projects Cashflow'!$AG:$AG,0)</f>
        <v>2970000</v>
      </c>
      <c r="AF544" s="28">
        <f t="shared" si="27"/>
        <v>0</v>
      </c>
    </row>
    <row r="545" spans="2:32" x14ac:dyDescent="0.3">
      <c r="B545" s="14" t="str">
        <f t="shared" si="25"/>
        <v>45117504511000340Event Management-N422401200104</v>
      </c>
      <c r="C545" s="21" t="s">
        <v>65</v>
      </c>
      <c r="D545" s="22">
        <v>4511750</v>
      </c>
      <c r="E545" s="21" t="s">
        <v>117</v>
      </c>
      <c r="F545" s="22">
        <v>4511000340</v>
      </c>
      <c r="G545" s="21" t="s">
        <v>3029</v>
      </c>
      <c r="H545" s="21" t="s">
        <v>162</v>
      </c>
      <c r="I545" s="22">
        <v>422401</v>
      </c>
      <c r="J545" s="22">
        <v>200104</v>
      </c>
      <c r="K545" s="22" t="s">
        <v>2959</v>
      </c>
      <c r="L545" s="22">
        <v>70204</v>
      </c>
      <c r="M545" s="23" t="s">
        <v>2969</v>
      </c>
      <c r="N545" s="24">
        <v>0</v>
      </c>
      <c r="O545" s="24">
        <v>0</v>
      </c>
      <c r="P545" s="24">
        <v>7690.06</v>
      </c>
      <c r="Q545" s="24">
        <v>0</v>
      </c>
      <c r="R545" s="24">
        <v>1392309.94</v>
      </c>
      <c r="S545" s="24">
        <v>0</v>
      </c>
      <c r="T545" s="24">
        <v>0</v>
      </c>
      <c r="U545" s="24">
        <v>517000</v>
      </c>
      <c r="V545" s="24">
        <v>1900000</v>
      </c>
      <c r="W545" s="24">
        <v>1467000</v>
      </c>
      <c r="X545" s="24">
        <v>2000000</v>
      </c>
      <c r="Y545" s="24">
        <v>0</v>
      </c>
      <c r="Z545" s="24">
        <f t="shared" si="26"/>
        <v>7284000</v>
      </c>
      <c r="AB545" s="25">
        <v>3284000</v>
      </c>
      <c r="AC545" s="26">
        <v>3284000</v>
      </c>
      <c r="AD545" s="24">
        <v>0</v>
      </c>
      <c r="AE545" s="27">
        <f>_xlfn.XLOOKUP(B545,'Projects Cashflow'!$B:$B,'Projects Cashflow'!$AG:$AG,0)</f>
        <v>3284000</v>
      </c>
      <c r="AF545" s="28">
        <f t="shared" si="27"/>
        <v>0</v>
      </c>
    </row>
    <row r="546" spans="2:32" x14ac:dyDescent="0.3">
      <c r="B546" s="14" t="str">
        <f t="shared" si="25"/>
        <v>45117504511000340Freelancers-N424521200104</v>
      </c>
      <c r="C546" s="21" t="s">
        <v>65</v>
      </c>
      <c r="D546" s="22">
        <v>4511750</v>
      </c>
      <c r="E546" s="21" t="s">
        <v>117</v>
      </c>
      <c r="F546" s="22">
        <v>4511000340</v>
      </c>
      <c r="G546" s="21" t="s">
        <v>3029</v>
      </c>
      <c r="H546" s="21" t="s">
        <v>50</v>
      </c>
      <c r="I546" s="22">
        <v>424521</v>
      </c>
      <c r="J546" s="22">
        <v>200104</v>
      </c>
      <c r="K546" s="22" t="s">
        <v>2959</v>
      </c>
      <c r="L546" s="22">
        <v>70202</v>
      </c>
      <c r="M546" s="23" t="s">
        <v>2969</v>
      </c>
      <c r="N546" s="24">
        <v>0</v>
      </c>
      <c r="O546" s="24">
        <v>0</v>
      </c>
      <c r="P546" s="24">
        <v>111000</v>
      </c>
      <c r="Q546" s="24">
        <v>0</v>
      </c>
      <c r="R546" s="24">
        <v>33000</v>
      </c>
      <c r="S546" s="24">
        <v>72000</v>
      </c>
      <c r="T546" s="24">
        <v>72000</v>
      </c>
      <c r="U546" s="24">
        <v>37000</v>
      </c>
      <c r="V546" s="24">
        <v>66000</v>
      </c>
      <c r="W546" s="24">
        <v>0</v>
      </c>
      <c r="X546" s="24">
        <v>0</v>
      </c>
      <c r="Y546" s="24">
        <v>0</v>
      </c>
      <c r="Z546" s="24">
        <f t="shared" si="26"/>
        <v>391000</v>
      </c>
      <c r="AB546" s="25">
        <v>391000</v>
      </c>
      <c r="AC546" s="26">
        <v>391000</v>
      </c>
      <c r="AD546" s="24">
        <v>0</v>
      </c>
      <c r="AE546" s="27">
        <f>_xlfn.XLOOKUP(B546,'Projects Cashflow'!$B:$B,'Projects Cashflow'!$AG:$AG,0)</f>
        <v>391000</v>
      </c>
      <c r="AF546" s="28">
        <f t="shared" si="27"/>
        <v>0</v>
      </c>
    </row>
    <row r="547" spans="2:32" x14ac:dyDescent="0.3">
      <c r="B547" s="14" t="str">
        <f t="shared" si="25"/>
        <v>45117504511000408Event Management-N422401200104</v>
      </c>
      <c r="C547" s="21" t="s">
        <v>65</v>
      </c>
      <c r="D547" s="22">
        <v>4511750</v>
      </c>
      <c r="E547" s="21" t="s">
        <v>117</v>
      </c>
      <c r="F547" s="22">
        <v>4511000408</v>
      </c>
      <c r="G547" s="21" t="s">
        <v>3053</v>
      </c>
      <c r="H547" s="21" t="s">
        <v>162</v>
      </c>
      <c r="I547" s="22">
        <v>422401</v>
      </c>
      <c r="J547" s="22">
        <v>200104</v>
      </c>
      <c r="K547" s="22" t="s">
        <v>2959</v>
      </c>
      <c r="L547" s="22">
        <v>70206</v>
      </c>
      <c r="M547" s="23" t="s">
        <v>2961</v>
      </c>
      <c r="N547" s="24">
        <v>0</v>
      </c>
      <c r="O547" s="24">
        <v>0</v>
      </c>
      <c r="P547" s="24">
        <v>0</v>
      </c>
      <c r="Q547" s="24">
        <v>2188591</v>
      </c>
      <c r="R547" s="24">
        <v>1298118</v>
      </c>
      <c r="S547" s="24">
        <v>865412</v>
      </c>
      <c r="T547" s="24">
        <v>3246537</v>
      </c>
      <c r="U547" s="24">
        <v>0</v>
      </c>
      <c r="V547" s="24">
        <v>6899538</v>
      </c>
      <c r="W547" s="24">
        <v>3350000</v>
      </c>
      <c r="X547" s="24">
        <v>3346864</v>
      </c>
      <c r="Y547" s="24">
        <v>0</v>
      </c>
      <c r="Z547" s="24">
        <f t="shared" si="26"/>
        <v>21195060</v>
      </c>
      <c r="AB547" s="25">
        <v>0</v>
      </c>
      <c r="AC547" s="26">
        <v>0</v>
      </c>
      <c r="AD547" s="24">
        <v>0</v>
      </c>
      <c r="AE547" s="27">
        <f>_xlfn.XLOOKUP(B547,'Projects Cashflow'!$B:$B,'Projects Cashflow'!$AG:$AG,0)</f>
        <v>0</v>
      </c>
      <c r="AF547" s="28">
        <f t="shared" si="27"/>
        <v>0</v>
      </c>
    </row>
    <row r="548" spans="2:32" x14ac:dyDescent="0.3">
      <c r="B548" s="14" t="str">
        <f t="shared" si="25"/>
        <v>45117504511000423Event Management-N422401200104</v>
      </c>
      <c r="C548" s="21" t="s">
        <v>65</v>
      </c>
      <c r="D548" s="22">
        <v>4511750</v>
      </c>
      <c r="E548" s="21" t="s">
        <v>117</v>
      </c>
      <c r="F548" s="22">
        <v>4511000423</v>
      </c>
      <c r="G548" s="21" t="s">
        <v>3030</v>
      </c>
      <c r="H548" s="21" t="s">
        <v>162</v>
      </c>
      <c r="I548" s="22">
        <v>422401</v>
      </c>
      <c r="J548" s="22">
        <v>200104</v>
      </c>
      <c r="K548" s="22" t="s">
        <v>2959</v>
      </c>
      <c r="L548" s="22">
        <v>70206</v>
      </c>
      <c r="M548" s="23" t="s">
        <v>2961</v>
      </c>
      <c r="N548" s="24">
        <v>0</v>
      </c>
      <c r="O548" s="24">
        <v>0</v>
      </c>
      <c r="P548" s="24">
        <v>0</v>
      </c>
      <c r="Q548" s="24">
        <v>14845516.699999999</v>
      </c>
      <c r="R548" s="24">
        <v>8907310.0199999996</v>
      </c>
      <c r="S548" s="24">
        <v>5938206.6799999997</v>
      </c>
      <c r="T548" s="24">
        <v>3308967</v>
      </c>
      <c r="U548" s="24">
        <v>0</v>
      </c>
      <c r="V548" s="24">
        <v>0</v>
      </c>
      <c r="W548" s="24">
        <v>0</v>
      </c>
      <c r="X548" s="24">
        <v>0</v>
      </c>
      <c r="Y548" s="24">
        <v>0</v>
      </c>
      <c r="Z548" s="24">
        <f t="shared" si="26"/>
        <v>33000000.399999999</v>
      </c>
      <c r="AB548" s="25">
        <v>27214475</v>
      </c>
      <c r="AC548" s="26">
        <v>27214475</v>
      </c>
      <c r="AD548" s="24">
        <v>0</v>
      </c>
      <c r="AE548" s="27">
        <f>_xlfn.XLOOKUP(B548,'Projects Cashflow'!$B:$B,'Projects Cashflow'!$AG:$AG,0)</f>
        <v>27214475</v>
      </c>
      <c r="AF548" s="28">
        <f t="shared" si="27"/>
        <v>0</v>
      </c>
    </row>
    <row r="549" spans="2:32" x14ac:dyDescent="0.3">
      <c r="B549" s="14" t="str">
        <f t="shared" si="25"/>
        <v>45117504511000593Event Management-N422401200104</v>
      </c>
      <c r="C549" s="21" t="s">
        <v>65</v>
      </c>
      <c r="D549" s="22">
        <v>4511750</v>
      </c>
      <c r="E549" s="21" t="s">
        <v>117</v>
      </c>
      <c r="F549" s="22">
        <v>4511000593</v>
      </c>
      <c r="G549" s="21" t="s">
        <v>3033</v>
      </c>
      <c r="H549" s="21" t="s">
        <v>162</v>
      </c>
      <c r="I549" s="22">
        <v>422401</v>
      </c>
      <c r="J549" s="22">
        <v>200104</v>
      </c>
      <c r="K549" s="22" t="s">
        <v>2959</v>
      </c>
      <c r="L549" s="22">
        <v>70206</v>
      </c>
      <c r="M549" s="23" t="s">
        <v>2961</v>
      </c>
      <c r="N549" s="24">
        <v>0</v>
      </c>
      <c r="O549" s="24">
        <v>0</v>
      </c>
      <c r="P549" s="24">
        <v>0</v>
      </c>
      <c r="Q549" s="24">
        <v>0</v>
      </c>
      <c r="R549" s="24">
        <v>0</v>
      </c>
      <c r="S549" s="24">
        <v>3055996</v>
      </c>
      <c r="T549" s="24">
        <v>0</v>
      </c>
      <c r="U549" s="24">
        <v>5357000</v>
      </c>
      <c r="V549" s="24">
        <v>10000000</v>
      </c>
      <c r="W549" s="24">
        <v>6090591</v>
      </c>
      <c r="X549" s="24">
        <v>0</v>
      </c>
      <c r="Y549" s="24">
        <v>0</v>
      </c>
      <c r="Z549" s="24">
        <f t="shared" si="26"/>
        <v>24503587</v>
      </c>
      <c r="AB549" s="25">
        <v>20003587</v>
      </c>
      <c r="AC549" s="26">
        <v>20003587</v>
      </c>
      <c r="AD549" s="24">
        <v>0</v>
      </c>
      <c r="AE549" s="27">
        <f>_xlfn.XLOOKUP(B549,'Projects Cashflow'!$B:$B,'Projects Cashflow'!$AG:$AG,0)</f>
        <v>20003587</v>
      </c>
      <c r="AF549" s="28">
        <f t="shared" si="27"/>
        <v>0</v>
      </c>
    </row>
    <row r="550" spans="2:32" x14ac:dyDescent="0.3">
      <c r="B550" s="14" t="str">
        <f t="shared" si="25"/>
        <v>45117504511000944Mission &amp; Travel-N423821200104</v>
      </c>
      <c r="C550" s="21" t="s">
        <v>65</v>
      </c>
      <c r="D550" s="22">
        <v>4511750</v>
      </c>
      <c r="E550" s="21" t="s">
        <v>117</v>
      </c>
      <c r="F550" s="22">
        <v>4511000944</v>
      </c>
      <c r="G550" s="21" t="s">
        <v>1265</v>
      </c>
      <c r="H550" s="21" t="s">
        <v>54</v>
      </c>
      <c r="I550" s="22">
        <v>423821</v>
      </c>
      <c r="J550" s="22">
        <v>200104</v>
      </c>
      <c r="K550" s="22" t="s">
        <v>2959</v>
      </c>
      <c r="L550" s="22">
        <v>70206</v>
      </c>
      <c r="M550" s="23" t="s">
        <v>2961</v>
      </c>
      <c r="N550" s="24">
        <v>0</v>
      </c>
      <c r="O550" s="24">
        <v>0</v>
      </c>
      <c r="P550" s="24">
        <v>0</v>
      </c>
      <c r="Q550" s="24">
        <v>0</v>
      </c>
      <c r="R550" s="24">
        <v>0</v>
      </c>
      <c r="S550" s="24">
        <v>0</v>
      </c>
      <c r="T550" s="24">
        <v>0</v>
      </c>
      <c r="U550" s="24">
        <v>0</v>
      </c>
      <c r="V550" s="24">
        <v>0</v>
      </c>
      <c r="W550" s="24">
        <v>0</v>
      </c>
      <c r="X550" s="24">
        <v>250000</v>
      </c>
      <c r="Y550" s="24">
        <v>250000</v>
      </c>
      <c r="Z550" s="24">
        <f t="shared" si="26"/>
        <v>500000</v>
      </c>
      <c r="AB550" s="25">
        <v>500000</v>
      </c>
      <c r="AC550" s="26">
        <v>500000</v>
      </c>
      <c r="AD550" s="24">
        <v>0</v>
      </c>
      <c r="AE550" s="27">
        <f>_xlfn.XLOOKUP(B550,'Projects Cashflow'!$B:$B,'Projects Cashflow'!$AG:$AG,0)</f>
        <v>500000</v>
      </c>
      <c r="AF550" s="28">
        <f t="shared" si="27"/>
        <v>0</v>
      </c>
    </row>
    <row r="551" spans="2:32" x14ac:dyDescent="0.3">
      <c r="B551" s="14" t="str">
        <f t="shared" si="25"/>
        <v>45118004511000119Admin Expenses-N421125200104</v>
      </c>
      <c r="C551" s="21" t="s">
        <v>65</v>
      </c>
      <c r="D551" s="22">
        <v>4511800</v>
      </c>
      <c r="E551" s="21" t="s">
        <v>190</v>
      </c>
      <c r="F551" s="22">
        <v>4511000119</v>
      </c>
      <c r="G551" s="21" t="s">
        <v>3054</v>
      </c>
      <c r="H551" s="21" t="s">
        <v>130</v>
      </c>
      <c r="I551" s="22">
        <v>421125</v>
      </c>
      <c r="J551" s="22">
        <v>200104</v>
      </c>
      <c r="K551" s="22" t="s">
        <v>2959</v>
      </c>
      <c r="L551" s="22">
        <v>70202</v>
      </c>
      <c r="M551" s="23" t="s">
        <v>2961</v>
      </c>
      <c r="N551" s="24">
        <v>0</v>
      </c>
      <c r="O551" s="24">
        <v>0</v>
      </c>
      <c r="P551" s="24">
        <v>0</v>
      </c>
      <c r="Q551" s="24">
        <v>25000</v>
      </c>
      <c r="R551" s="24">
        <v>0</v>
      </c>
      <c r="S551" s="24">
        <v>120000</v>
      </c>
      <c r="T551" s="24">
        <v>0</v>
      </c>
      <c r="U551" s="24">
        <v>25000</v>
      </c>
      <c r="V551" s="24">
        <v>106215</v>
      </c>
      <c r="W551" s="24">
        <v>36900</v>
      </c>
      <c r="X551" s="24">
        <v>0</v>
      </c>
      <c r="Y551" s="24">
        <v>100000</v>
      </c>
      <c r="Z551" s="24">
        <f t="shared" si="26"/>
        <v>413115</v>
      </c>
      <c r="AB551" s="25">
        <v>413115</v>
      </c>
      <c r="AC551" s="26">
        <v>413115</v>
      </c>
      <c r="AD551" s="24">
        <v>0</v>
      </c>
      <c r="AE551" s="27">
        <f>_xlfn.XLOOKUP(B551,'Projects Cashflow'!$B:$B,'Projects Cashflow'!$AG:$AG,0)</f>
        <v>413115</v>
      </c>
      <c r="AF551" s="28">
        <f t="shared" si="27"/>
        <v>0</v>
      </c>
    </row>
    <row r="552" spans="2:32" x14ac:dyDescent="0.3">
      <c r="B552" s="14" t="str">
        <f t="shared" si="25"/>
        <v>45118004511000501Freelancers-N424521200104</v>
      </c>
      <c r="C552" s="21" t="s">
        <v>65</v>
      </c>
      <c r="D552" s="22">
        <v>4511800</v>
      </c>
      <c r="E552" s="21" t="s">
        <v>190</v>
      </c>
      <c r="F552" s="22">
        <v>4511000501</v>
      </c>
      <c r="G552" s="21" t="s">
        <v>3055</v>
      </c>
      <c r="H552" s="21" t="s">
        <v>50</v>
      </c>
      <c r="I552" s="22">
        <v>424521</v>
      </c>
      <c r="J552" s="22">
        <v>200104</v>
      </c>
      <c r="K552" s="22" t="s">
        <v>2959</v>
      </c>
      <c r="L552" s="22">
        <v>70202</v>
      </c>
      <c r="M552" s="23" t="s">
        <v>2961</v>
      </c>
      <c r="N552" s="24">
        <v>0</v>
      </c>
      <c r="O552" s="24">
        <v>244500</v>
      </c>
      <c r="P552" s="24">
        <v>347500</v>
      </c>
      <c r="Q552" s="24"/>
      <c r="R552" s="24">
        <v>0</v>
      </c>
      <c r="S552" s="24">
        <v>0</v>
      </c>
      <c r="T552" s="24">
        <v>248000</v>
      </c>
      <c r="U552" s="24">
        <v>280000</v>
      </c>
      <c r="V552" s="24">
        <v>280000</v>
      </c>
      <c r="W552" s="24">
        <v>840000</v>
      </c>
      <c r="X552" s="24">
        <v>560000</v>
      </c>
      <c r="Y552" s="24">
        <v>560000</v>
      </c>
      <c r="Z552" s="24">
        <f t="shared" si="26"/>
        <v>3360000</v>
      </c>
      <c r="AB552" s="25">
        <v>2560000</v>
      </c>
      <c r="AC552" s="26">
        <v>2560000</v>
      </c>
      <c r="AD552" s="24">
        <v>0</v>
      </c>
      <c r="AE552" s="27">
        <f>_xlfn.XLOOKUP(B552,'Projects Cashflow'!$B:$B,'Projects Cashflow'!$AG:$AG,0)</f>
        <v>2560000</v>
      </c>
      <c r="AF552" s="28">
        <f t="shared" si="27"/>
        <v>0</v>
      </c>
    </row>
    <row r="553" spans="2:32" x14ac:dyDescent="0.3">
      <c r="B553" s="14" t="str">
        <f t="shared" si="25"/>
        <v>45118004511000501Event Management-N422401200104</v>
      </c>
      <c r="C553" s="21" t="s">
        <v>65</v>
      </c>
      <c r="D553" s="22">
        <v>4511800</v>
      </c>
      <c r="E553" s="21" t="s">
        <v>190</v>
      </c>
      <c r="F553" s="22">
        <v>4511000501</v>
      </c>
      <c r="G553" s="21" t="s">
        <v>3055</v>
      </c>
      <c r="H553" s="21" t="s">
        <v>162</v>
      </c>
      <c r="I553" s="22">
        <v>422401</v>
      </c>
      <c r="J553" s="22">
        <v>200104</v>
      </c>
      <c r="K553" s="22" t="s">
        <v>2959</v>
      </c>
      <c r="L553" s="22">
        <v>70202</v>
      </c>
      <c r="M553" s="23" t="s">
        <v>2961</v>
      </c>
      <c r="N553" s="24">
        <v>0</v>
      </c>
      <c r="O553" s="24">
        <v>0</v>
      </c>
      <c r="P553" s="24">
        <v>0</v>
      </c>
      <c r="Q553" s="24">
        <v>0</v>
      </c>
      <c r="R553" s="24">
        <v>0</v>
      </c>
      <c r="S553" s="24">
        <v>0</v>
      </c>
      <c r="T553" s="24">
        <v>0</v>
      </c>
      <c r="U553" s="24">
        <v>0</v>
      </c>
      <c r="V553" s="24">
        <v>0</v>
      </c>
      <c r="W553" s="24">
        <v>900000</v>
      </c>
      <c r="X553" s="24">
        <v>0</v>
      </c>
      <c r="Y553" s="24">
        <v>600000</v>
      </c>
      <c r="Z553" s="24">
        <f t="shared" si="26"/>
        <v>1500000</v>
      </c>
      <c r="AB553" s="25">
        <v>1500000</v>
      </c>
      <c r="AC553" s="26">
        <v>1500000</v>
      </c>
      <c r="AD553" s="24">
        <v>0</v>
      </c>
      <c r="AE553" s="27">
        <f>_xlfn.XLOOKUP(B553,'Projects Cashflow'!$B:$B,'Projects Cashflow'!$AG:$AG,0)</f>
        <v>1500000</v>
      </c>
      <c r="AF553" s="28">
        <f t="shared" si="27"/>
        <v>0</v>
      </c>
    </row>
    <row r="554" spans="2:32" x14ac:dyDescent="0.3">
      <c r="B554" s="14" t="str">
        <f t="shared" si="25"/>
        <v>45118004511000501Mission &amp; Travel-N423821200104</v>
      </c>
      <c r="C554" s="21" t="s">
        <v>65</v>
      </c>
      <c r="D554" s="22">
        <v>4511800</v>
      </c>
      <c r="E554" s="21" t="s">
        <v>190</v>
      </c>
      <c r="F554" s="22">
        <v>4511000501</v>
      </c>
      <c r="G554" s="21" t="s">
        <v>3055</v>
      </c>
      <c r="H554" s="21" t="s">
        <v>54</v>
      </c>
      <c r="I554" s="22">
        <v>423821</v>
      </c>
      <c r="J554" s="22">
        <v>200104</v>
      </c>
      <c r="K554" s="22" t="s">
        <v>2959</v>
      </c>
      <c r="L554" s="22">
        <v>70202</v>
      </c>
      <c r="M554" s="23" t="s">
        <v>2961</v>
      </c>
      <c r="N554" s="24">
        <v>0</v>
      </c>
      <c r="O554" s="24">
        <v>0</v>
      </c>
      <c r="P554" s="24">
        <v>6400</v>
      </c>
      <c r="Q554" s="24">
        <v>0</v>
      </c>
      <c r="R554" s="24">
        <v>0</v>
      </c>
      <c r="S554" s="24">
        <v>0</v>
      </c>
      <c r="T554" s="24">
        <v>0</v>
      </c>
      <c r="U554" s="24">
        <v>0</v>
      </c>
      <c r="V554" s="24">
        <v>0</v>
      </c>
      <c r="W554" s="24">
        <v>0</v>
      </c>
      <c r="X554" s="24">
        <v>0</v>
      </c>
      <c r="Y554" s="24">
        <v>843600</v>
      </c>
      <c r="Z554" s="24">
        <f t="shared" si="26"/>
        <v>850000</v>
      </c>
      <c r="AB554" s="25">
        <v>850000</v>
      </c>
      <c r="AC554" s="26">
        <v>850000</v>
      </c>
      <c r="AD554" s="24">
        <v>0</v>
      </c>
      <c r="AE554" s="27">
        <f>_xlfn.XLOOKUP(B554,'Projects Cashflow'!$B:$B,'Projects Cashflow'!$AG:$AG,0)</f>
        <v>850000</v>
      </c>
      <c r="AF554" s="28">
        <f t="shared" si="27"/>
        <v>0</v>
      </c>
    </row>
    <row r="555" spans="2:32" x14ac:dyDescent="0.3">
      <c r="B555" s="14" t="str">
        <f t="shared" si="25"/>
        <v>45118004511000501Art Materials-N432626200104</v>
      </c>
      <c r="C555" s="21" t="s">
        <v>65</v>
      </c>
      <c r="D555" s="22">
        <v>4511800</v>
      </c>
      <c r="E555" s="21" t="s">
        <v>190</v>
      </c>
      <c r="F555" s="22">
        <v>4511000501</v>
      </c>
      <c r="G555" s="21" t="s">
        <v>3055</v>
      </c>
      <c r="H555" s="21" t="s">
        <v>283</v>
      </c>
      <c r="I555" s="22">
        <v>432626</v>
      </c>
      <c r="J555" s="22">
        <v>200104</v>
      </c>
      <c r="K555" s="22" t="s">
        <v>2959</v>
      </c>
      <c r="L555" s="22">
        <v>70202</v>
      </c>
      <c r="M555" s="23" t="s">
        <v>2961</v>
      </c>
      <c r="N555" s="24">
        <v>0</v>
      </c>
      <c r="O555" s="24">
        <v>0</v>
      </c>
      <c r="P555" s="24">
        <v>0</v>
      </c>
      <c r="Q555" s="24">
        <v>0</v>
      </c>
      <c r="R555" s="24">
        <v>0</v>
      </c>
      <c r="S555" s="24">
        <v>0</v>
      </c>
      <c r="T555" s="24">
        <v>0</v>
      </c>
      <c r="U555" s="24">
        <v>50000</v>
      </c>
      <c r="V555" s="24">
        <v>50000</v>
      </c>
      <c r="W555" s="24">
        <v>0</v>
      </c>
      <c r="X555" s="24">
        <v>50000</v>
      </c>
      <c r="Y555" s="24">
        <v>0</v>
      </c>
      <c r="Z555" s="24">
        <f t="shared" si="26"/>
        <v>150000</v>
      </c>
      <c r="AB555" s="25">
        <v>150000</v>
      </c>
      <c r="AC555" s="26">
        <v>150000</v>
      </c>
      <c r="AD555" s="24">
        <v>0</v>
      </c>
      <c r="AE555" s="27">
        <f>_xlfn.XLOOKUP(B555,'Projects Cashflow'!$B:$B,'Projects Cashflow'!$AG:$AG,0)</f>
        <v>150000</v>
      </c>
      <c r="AF555" s="28">
        <f t="shared" si="27"/>
        <v>0</v>
      </c>
    </row>
    <row r="556" spans="2:32" x14ac:dyDescent="0.3">
      <c r="B556" s="14" t="str">
        <f t="shared" si="25"/>
        <v>45118004511000501Hospitality-N424761200104</v>
      </c>
      <c r="C556" s="21" t="s">
        <v>65</v>
      </c>
      <c r="D556" s="22">
        <v>4511800</v>
      </c>
      <c r="E556" s="21" t="s">
        <v>190</v>
      </c>
      <c r="F556" s="22">
        <v>4511000501</v>
      </c>
      <c r="G556" s="21" t="s">
        <v>3055</v>
      </c>
      <c r="H556" s="21" t="s">
        <v>83</v>
      </c>
      <c r="I556" s="22">
        <v>424761</v>
      </c>
      <c r="J556" s="22">
        <v>200104</v>
      </c>
      <c r="K556" s="22" t="s">
        <v>2959</v>
      </c>
      <c r="L556" s="22">
        <v>70202</v>
      </c>
      <c r="M556" s="23" t="s">
        <v>2961</v>
      </c>
      <c r="N556" s="24">
        <v>0</v>
      </c>
      <c r="O556" s="24">
        <v>0</v>
      </c>
      <c r="P556" s="24">
        <v>0</v>
      </c>
      <c r="Q556" s="24">
        <v>0</v>
      </c>
      <c r="R556" s="24">
        <v>0</v>
      </c>
      <c r="S556" s="24">
        <v>0</v>
      </c>
      <c r="T556" s="24">
        <v>30000</v>
      </c>
      <c r="U556" s="24">
        <v>0</v>
      </c>
      <c r="V556" s="24">
        <v>0</v>
      </c>
      <c r="W556" s="24">
        <v>30000</v>
      </c>
      <c r="X556" s="24">
        <v>0</v>
      </c>
      <c r="Y556" s="24">
        <v>0</v>
      </c>
      <c r="Z556" s="24">
        <f t="shared" si="26"/>
        <v>60000</v>
      </c>
      <c r="AB556" s="25">
        <v>60000</v>
      </c>
      <c r="AC556" s="26">
        <v>60000</v>
      </c>
      <c r="AD556" s="24">
        <v>0</v>
      </c>
      <c r="AE556" s="27">
        <f>_xlfn.XLOOKUP(B556,'Projects Cashflow'!$B:$B,'Projects Cashflow'!$AG:$AG,0)</f>
        <v>60000</v>
      </c>
      <c r="AF556" s="28">
        <f t="shared" si="27"/>
        <v>0</v>
      </c>
    </row>
    <row r="557" spans="2:32" x14ac:dyDescent="0.3">
      <c r="B557" s="14" t="str">
        <f t="shared" si="25"/>
        <v>45118004511000907Freelancers-N424521200104</v>
      </c>
      <c r="C557" s="21" t="s">
        <v>65</v>
      </c>
      <c r="D557" s="22">
        <v>4511800</v>
      </c>
      <c r="E557" s="21" t="s">
        <v>190</v>
      </c>
      <c r="F557" s="22">
        <v>4511000907</v>
      </c>
      <c r="G557" s="21" t="s">
        <v>1231</v>
      </c>
      <c r="H557" s="21" t="s">
        <v>50</v>
      </c>
      <c r="I557" s="22">
        <v>424521</v>
      </c>
      <c r="J557" s="22">
        <v>200104</v>
      </c>
      <c r="K557" s="22" t="s">
        <v>2959</v>
      </c>
      <c r="L557" s="22">
        <v>70202</v>
      </c>
      <c r="M557" s="23" t="s">
        <v>2961</v>
      </c>
      <c r="N557" s="24">
        <v>0</v>
      </c>
      <c r="O557" s="24">
        <v>0</v>
      </c>
      <c r="P557" s="24">
        <v>0</v>
      </c>
      <c r="Q557" s="24">
        <v>71000</v>
      </c>
      <c r="R557" s="24">
        <v>71000</v>
      </c>
      <c r="S557" s="24">
        <v>177000</v>
      </c>
      <c r="T557" s="24">
        <v>71000</v>
      </c>
      <c r="U557" s="24">
        <v>71000</v>
      </c>
      <c r="V557" s="24">
        <v>71000</v>
      </c>
      <c r="W557" s="24">
        <v>71000</v>
      </c>
      <c r="X557" s="24">
        <v>71000</v>
      </c>
      <c r="Y557" s="24">
        <v>106000</v>
      </c>
      <c r="Z557" s="24">
        <f t="shared" si="26"/>
        <v>780000</v>
      </c>
      <c r="AB557" s="25">
        <v>780000</v>
      </c>
      <c r="AC557" s="26">
        <v>780000</v>
      </c>
      <c r="AD557" s="24">
        <v>0</v>
      </c>
      <c r="AE557" s="27">
        <f>_xlfn.XLOOKUP(B557,'Projects Cashflow'!$B:$B,'Projects Cashflow'!$AG:$AG,0)</f>
        <v>780000</v>
      </c>
      <c r="AF557" s="28">
        <f t="shared" si="27"/>
        <v>0</v>
      </c>
    </row>
    <row r="558" spans="2:32" x14ac:dyDescent="0.3">
      <c r="B558" s="14" t="str">
        <f t="shared" si="25"/>
        <v>45118004511000909Freelancers-N424521200104</v>
      </c>
      <c r="C558" s="21" t="s">
        <v>65</v>
      </c>
      <c r="D558" s="22">
        <v>4511800</v>
      </c>
      <c r="E558" s="21" t="s">
        <v>190</v>
      </c>
      <c r="F558" s="22">
        <v>4511000909</v>
      </c>
      <c r="G558" s="21" t="s">
        <v>1233</v>
      </c>
      <c r="H558" s="21" t="s">
        <v>50</v>
      </c>
      <c r="I558" s="22">
        <v>424521</v>
      </c>
      <c r="J558" s="22">
        <v>200104</v>
      </c>
      <c r="K558" s="22" t="s">
        <v>2959</v>
      </c>
      <c r="L558" s="22">
        <v>70202</v>
      </c>
      <c r="M558" s="23" t="s">
        <v>2961</v>
      </c>
      <c r="N558" s="24">
        <v>0</v>
      </c>
      <c r="O558" s="24">
        <v>0</v>
      </c>
      <c r="P558" s="24">
        <v>156000</v>
      </c>
      <c r="Q558" s="24">
        <v>0</v>
      </c>
      <c r="R558" s="24">
        <v>0</v>
      </c>
      <c r="S558" s="24">
        <v>0</v>
      </c>
      <c r="T558" s="24">
        <v>0</v>
      </c>
      <c r="U558" s="24">
        <v>0</v>
      </c>
      <c r="V558" s="24">
        <v>0</v>
      </c>
      <c r="W558" s="24">
        <v>0</v>
      </c>
      <c r="X558" s="24">
        <v>1344000</v>
      </c>
      <c r="Y558" s="24">
        <v>0</v>
      </c>
      <c r="Z558" s="24">
        <f t="shared" si="26"/>
        <v>1500000</v>
      </c>
      <c r="AB558" s="25">
        <v>1300000</v>
      </c>
      <c r="AC558" s="26">
        <v>1300000</v>
      </c>
      <c r="AD558" s="24">
        <v>0</v>
      </c>
      <c r="AE558" s="27">
        <f>_xlfn.XLOOKUP(B558,'Projects Cashflow'!$B:$B,'Projects Cashflow'!$AG:$AG,0)</f>
        <v>1300000</v>
      </c>
      <c r="AF558" s="28">
        <f t="shared" si="27"/>
        <v>0</v>
      </c>
    </row>
    <row r="559" spans="2:32" x14ac:dyDescent="0.3">
      <c r="B559" s="14" t="str">
        <f t="shared" si="25"/>
        <v>45118004511000909Art Materials-N432626200104</v>
      </c>
      <c r="C559" s="21" t="s">
        <v>65</v>
      </c>
      <c r="D559" s="22">
        <v>4511800</v>
      </c>
      <c r="E559" s="21" t="s">
        <v>190</v>
      </c>
      <c r="F559" s="22">
        <v>4511000909</v>
      </c>
      <c r="G559" s="21" t="s">
        <v>1233</v>
      </c>
      <c r="H559" s="21" t="s">
        <v>283</v>
      </c>
      <c r="I559" s="22">
        <v>432626</v>
      </c>
      <c r="J559" s="22">
        <v>200104</v>
      </c>
      <c r="K559" s="22" t="s">
        <v>2959</v>
      </c>
      <c r="L559" s="22">
        <v>70202</v>
      </c>
      <c r="M559" s="23" t="s">
        <v>2961</v>
      </c>
      <c r="N559" s="24">
        <v>0</v>
      </c>
      <c r="O559" s="24">
        <v>0</v>
      </c>
      <c r="P559" s="24">
        <v>0</v>
      </c>
      <c r="Q559" s="24">
        <v>0</v>
      </c>
      <c r="R559" s="24">
        <v>0</v>
      </c>
      <c r="S559" s="24">
        <v>0</v>
      </c>
      <c r="T559" s="24">
        <v>0</v>
      </c>
      <c r="U559" s="24">
        <v>0</v>
      </c>
      <c r="V559" s="24">
        <v>0</v>
      </c>
      <c r="W559" s="24">
        <v>0</v>
      </c>
      <c r="X559" s="24">
        <v>500000</v>
      </c>
      <c r="Y559" s="24">
        <v>0</v>
      </c>
      <c r="Z559" s="24">
        <f t="shared" si="26"/>
        <v>500000</v>
      </c>
      <c r="AB559" s="25">
        <v>350000</v>
      </c>
      <c r="AC559" s="26">
        <v>350000</v>
      </c>
      <c r="AD559" s="24">
        <v>0</v>
      </c>
      <c r="AE559" s="27">
        <f>_xlfn.XLOOKUP(B559,'Projects Cashflow'!$B:$B,'Projects Cashflow'!$AG:$AG,0)</f>
        <v>350000</v>
      </c>
      <c r="AF559" s="28">
        <f t="shared" si="27"/>
        <v>0</v>
      </c>
    </row>
    <row r="560" spans="2:32" x14ac:dyDescent="0.3">
      <c r="B560" s="14" t="str">
        <f t="shared" si="25"/>
        <v>45118004511000909Event Management-N422401200104</v>
      </c>
      <c r="C560" s="21" t="s">
        <v>65</v>
      </c>
      <c r="D560" s="22">
        <v>4511800</v>
      </c>
      <c r="E560" s="21" t="s">
        <v>190</v>
      </c>
      <c r="F560" s="22">
        <v>4511000909</v>
      </c>
      <c r="G560" s="21" t="s">
        <v>1233</v>
      </c>
      <c r="H560" s="21" t="s">
        <v>162</v>
      </c>
      <c r="I560" s="22">
        <v>422401</v>
      </c>
      <c r="J560" s="22">
        <v>200104</v>
      </c>
      <c r="K560" s="22" t="s">
        <v>2959</v>
      </c>
      <c r="L560" s="22">
        <v>70202</v>
      </c>
      <c r="M560" s="23" t="s">
        <v>2961</v>
      </c>
      <c r="N560" s="24">
        <v>0</v>
      </c>
      <c r="O560" s="24">
        <v>0</v>
      </c>
      <c r="P560" s="24">
        <v>0</v>
      </c>
      <c r="Q560" s="21">
        <v>0</v>
      </c>
      <c r="R560" s="24">
        <v>0</v>
      </c>
      <c r="S560" s="24">
        <v>0</v>
      </c>
      <c r="T560" s="24">
        <v>0</v>
      </c>
      <c r="U560" s="24">
        <v>0</v>
      </c>
      <c r="V560" s="24">
        <v>330000</v>
      </c>
      <c r="W560" s="21">
        <v>0</v>
      </c>
      <c r="X560" s="24">
        <v>0</v>
      </c>
      <c r="Y560" s="24">
        <v>30000</v>
      </c>
      <c r="Z560" s="24">
        <f t="shared" si="26"/>
        <v>360000</v>
      </c>
      <c r="AB560" s="25">
        <v>360000</v>
      </c>
      <c r="AC560" s="26">
        <v>360000</v>
      </c>
      <c r="AD560" s="24">
        <v>0</v>
      </c>
      <c r="AE560" s="27">
        <f>_xlfn.XLOOKUP(B560,'Projects Cashflow'!$B:$B,'Projects Cashflow'!$AG:$AG,0)</f>
        <v>360000</v>
      </c>
      <c r="AF560" s="28">
        <f t="shared" si="27"/>
        <v>0</v>
      </c>
    </row>
    <row r="561" spans="2:32" x14ac:dyDescent="0.3">
      <c r="B561" s="14" t="str">
        <f t="shared" si="25"/>
        <v>45118004511000910Freelancers-N424521200104</v>
      </c>
      <c r="C561" s="21" t="s">
        <v>65</v>
      </c>
      <c r="D561" s="22">
        <v>4511800</v>
      </c>
      <c r="E561" s="21" t="s">
        <v>190</v>
      </c>
      <c r="F561" s="22">
        <v>4511000910</v>
      </c>
      <c r="G561" s="21" t="s">
        <v>1235</v>
      </c>
      <c r="H561" s="21" t="s">
        <v>50</v>
      </c>
      <c r="I561" s="22">
        <v>424521</v>
      </c>
      <c r="J561" s="22">
        <v>200104</v>
      </c>
      <c r="K561" s="22" t="s">
        <v>2959</v>
      </c>
      <c r="L561" s="22">
        <v>70202</v>
      </c>
      <c r="M561" s="23" t="s">
        <v>2961</v>
      </c>
      <c r="N561" s="24">
        <v>0</v>
      </c>
      <c r="O561" s="24">
        <v>0</v>
      </c>
      <c r="P561" s="24">
        <v>51500</v>
      </c>
      <c r="Q561" s="24">
        <v>0</v>
      </c>
      <c r="R561" s="24">
        <v>35500</v>
      </c>
      <c r="S561" s="24">
        <v>23000</v>
      </c>
      <c r="T561" s="24">
        <v>43000</v>
      </c>
      <c r="U561" s="24">
        <v>45000</v>
      </c>
      <c r="V561" s="24">
        <v>25000</v>
      </c>
      <c r="W561" s="24">
        <v>31000</v>
      </c>
      <c r="X561" s="24">
        <v>172500</v>
      </c>
      <c r="Y561" s="24">
        <v>65000</v>
      </c>
      <c r="Z561" s="24">
        <f t="shared" si="26"/>
        <v>491500</v>
      </c>
      <c r="AB561" s="25">
        <v>491500</v>
      </c>
      <c r="AC561" s="26">
        <v>491500</v>
      </c>
      <c r="AD561" s="24">
        <v>0</v>
      </c>
      <c r="AE561" s="27">
        <f>_xlfn.XLOOKUP(B561,'Projects Cashflow'!$B:$B,'Projects Cashflow'!$AG:$AG,0)</f>
        <v>491500</v>
      </c>
      <c r="AF561" s="28">
        <f t="shared" si="27"/>
        <v>0</v>
      </c>
    </row>
    <row r="562" spans="2:32" x14ac:dyDescent="0.3">
      <c r="B562" s="14" t="str">
        <f t="shared" si="25"/>
        <v>45118004511000910Activation&amp;Prog-N422401200104</v>
      </c>
      <c r="C562" s="21" t="s">
        <v>65</v>
      </c>
      <c r="D562" s="22">
        <v>4511800</v>
      </c>
      <c r="E562" s="21" t="s">
        <v>190</v>
      </c>
      <c r="F562" s="22">
        <v>4511000910</v>
      </c>
      <c r="G562" s="21" t="s">
        <v>1235</v>
      </c>
      <c r="H562" s="21" t="s">
        <v>62</v>
      </c>
      <c r="I562" s="22">
        <v>422401</v>
      </c>
      <c r="J562" s="22">
        <v>200104</v>
      </c>
      <c r="K562" s="22" t="s">
        <v>2959</v>
      </c>
      <c r="L562" s="22">
        <v>70202</v>
      </c>
      <c r="M562" s="23" t="s">
        <v>2961</v>
      </c>
      <c r="N562" s="24">
        <v>0</v>
      </c>
      <c r="O562" s="24">
        <v>0</v>
      </c>
      <c r="P562" s="24">
        <v>0</v>
      </c>
      <c r="Q562" s="24">
        <v>0</v>
      </c>
      <c r="R562" s="24">
        <v>34000</v>
      </c>
      <c r="S562" s="24">
        <v>90000</v>
      </c>
      <c r="T562" s="24">
        <v>25000</v>
      </c>
      <c r="U562" s="24">
        <v>90000</v>
      </c>
      <c r="V562" s="24">
        <v>39000</v>
      </c>
      <c r="W562" s="24">
        <v>90000</v>
      </c>
      <c r="X562" s="24">
        <v>40000</v>
      </c>
      <c r="Y562" s="24">
        <v>40000</v>
      </c>
      <c r="Z562" s="24">
        <f t="shared" si="26"/>
        <v>448000</v>
      </c>
      <c r="AB562" s="25">
        <v>448000</v>
      </c>
      <c r="AC562" s="26">
        <v>448000</v>
      </c>
      <c r="AD562" s="24">
        <v>0</v>
      </c>
      <c r="AE562" s="27">
        <f>_xlfn.XLOOKUP(B562,'Projects Cashflow'!$B:$B,'Projects Cashflow'!$AG:$AG,0)</f>
        <v>448000</v>
      </c>
      <c r="AF562" s="28">
        <f t="shared" si="27"/>
        <v>0</v>
      </c>
    </row>
    <row r="563" spans="2:32" x14ac:dyDescent="0.3">
      <c r="B563" s="14" t="str">
        <f t="shared" si="25"/>
        <v>45118004511000910Mission &amp; Travel-N423821200104</v>
      </c>
      <c r="C563" s="21" t="s">
        <v>65</v>
      </c>
      <c r="D563" s="22">
        <v>4511800</v>
      </c>
      <c r="E563" s="21" t="s">
        <v>190</v>
      </c>
      <c r="F563" s="22">
        <v>4511000910</v>
      </c>
      <c r="G563" s="21" t="s">
        <v>1235</v>
      </c>
      <c r="H563" s="21" t="s">
        <v>54</v>
      </c>
      <c r="I563" s="22">
        <v>423821</v>
      </c>
      <c r="J563" s="22">
        <v>200104</v>
      </c>
      <c r="K563" s="22" t="s">
        <v>2959</v>
      </c>
      <c r="L563" s="22">
        <v>70202</v>
      </c>
      <c r="M563" s="23" t="s">
        <v>2961</v>
      </c>
      <c r="N563" s="24">
        <v>0</v>
      </c>
      <c r="O563" s="24">
        <v>0</v>
      </c>
      <c r="P563" s="24">
        <v>0</v>
      </c>
      <c r="Q563" s="24">
        <v>0</v>
      </c>
      <c r="R563" s="24">
        <v>6000</v>
      </c>
      <c r="S563" s="24">
        <v>6000</v>
      </c>
      <c r="T563" s="24">
        <v>0</v>
      </c>
      <c r="U563" s="24">
        <v>12000</v>
      </c>
      <c r="V563" s="24">
        <v>6000</v>
      </c>
      <c r="W563" s="24">
        <v>0</v>
      </c>
      <c r="X563" s="24">
        <v>25000</v>
      </c>
      <c r="Y563" s="24">
        <v>20000</v>
      </c>
      <c r="Z563" s="24">
        <f t="shared" si="26"/>
        <v>75000</v>
      </c>
      <c r="AB563" s="25">
        <v>75000</v>
      </c>
      <c r="AC563" s="26">
        <v>75000</v>
      </c>
      <c r="AD563" s="24">
        <v>0</v>
      </c>
      <c r="AE563" s="27">
        <f>_xlfn.XLOOKUP(B563,'Projects Cashflow'!$B:$B,'Projects Cashflow'!$AG:$AG,0)</f>
        <v>75000</v>
      </c>
      <c r="AF563" s="28">
        <f t="shared" si="27"/>
        <v>0</v>
      </c>
    </row>
    <row r="564" spans="2:32" x14ac:dyDescent="0.3">
      <c r="B564" s="14" t="str">
        <f t="shared" si="25"/>
        <v>45118004511000910Media Mgmnt &amp;Buy-N422511200104</v>
      </c>
      <c r="C564" s="21" t="s">
        <v>65</v>
      </c>
      <c r="D564" s="22">
        <v>4511800</v>
      </c>
      <c r="E564" s="21" t="s">
        <v>190</v>
      </c>
      <c r="F564" s="22">
        <v>4511000910</v>
      </c>
      <c r="G564" s="21" t="s">
        <v>1235</v>
      </c>
      <c r="H564" s="21" t="s">
        <v>166</v>
      </c>
      <c r="I564" s="22">
        <v>422511</v>
      </c>
      <c r="J564" s="22">
        <v>200104</v>
      </c>
      <c r="K564" s="22" t="s">
        <v>2959</v>
      </c>
      <c r="L564" s="22">
        <v>70202</v>
      </c>
      <c r="M564" s="23" t="s">
        <v>2961</v>
      </c>
      <c r="N564" s="24">
        <v>0</v>
      </c>
      <c r="O564" s="24">
        <v>0</v>
      </c>
      <c r="P564" s="24">
        <v>0</v>
      </c>
      <c r="Q564" s="24">
        <v>0</v>
      </c>
      <c r="R564" s="24">
        <v>0</v>
      </c>
      <c r="S564" s="24">
        <v>0</v>
      </c>
      <c r="T564" s="24">
        <v>0</v>
      </c>
      <c r="U564" s="24">
        <v>0</v>
      </c>
      <c r="V564" s="24">
        <v>0</v>
      </c>
      <c r="W564" s="24">
        <v>20000</v>
      </c>
      <c r="X564" s="24">
        <v>20000</v>
      </c>
      <c r="Y564" s="24">
        <v>25000</v>
      </c>
      <c r="Z564" s="24">
        <f t="shared" si="26"/>
        <v>65000</v>
      </c>
      <c r="AB564" s="25">
        <v>65000</v>
      </c>
      <c r="AC564" s="26">
        <v>65000</v>
      </c>
      <c r="AD564" s="24">
        <v>0</v>
      </c>
      <c r="AE564" s="27">
        <f>_xlfn.XLOOKUP(B564,'Projects Cashflow'!$B:$B,'Projects Cashflow'!$AG:$AG,0)</f>
        <v>65000</v>
      </c>
      <c r="AF564" s="28">
        <f t="shared" si="27"/>
        <v>0</v>
      </c>
    </row>
    <row r="565" spans="2:32" x14ac:dyDescent="0.3">
      <c r="B565" s="14" t="str">
        <f t="shared" si="25"/>
        <v>45118004511000910Event Management-N422401200104</v>
      </c>
      <c r="C565" s="21" t="s">
        <v>65</v>
      </c>
      <c r="D565" s="22">
        <v>4511800</v>
      </c>
      <c r="E565" s="21" t="s">
        <v>190</v>
      </c>
      <c r="F565" s="22">
        <v>4511000910</v>
      </c>
      <c r="G565" s="21" t="s">
        <v>1235</v>
      </c>
      <c r="H565" s="21" t="s">
        <v>162</v>
      </c>
      <c r="I565" s="22">
        <v>422401</v>
      </c>
      <c r="J565" s="22">
        <v>200104</v>
      </c>
      <c r="K565" s="22" t="s">
        <v>2959</v>
      </c>
      <c r="L565" s="22">
        <v>70202</v>
      </c>
      <c r="M565" s="23" t="s">
        <v>2961</v>
      </c>
      <c r="N565" s="24">
        <v>0</v>
      </c>
      <c r="O565" s="24">
        <v>0</v>
      </c>
      <c r="P565" s="24">
        <v>0</v>
      </c>
      <c r="Q565" s="24">
        <v>0</v>
      </c>
      <c r="R565" s="24">
        <v>0</v>
      </c>
      <c r="S565" s="24">
        <v>10000</v>
      </c>
      <c r="T565" s="24">
        <v>0</v>
      </c>
      <c r="U565" s="24">
        <v>0</v>
      </c>
      <c r="V565" s="24">
        <v>0</v>
      </c>
      <c r="W565" s="24">
        <v>11000</v>
      </c>
      <c r="X565" s="24">
        <v>16000</v>
      </c>
      <c r="Y565" s="24">
        <v>11000</v>
      </c>
      <c r="Z565" s="24">
        <f t="shared" si="26"/>
        <v>48000</v>
      </c>
      <c r="AB565" s="25">
        <v>48000</v>
      </c>
      <c r="AC565" s="26">
        <v>48000</v>
      </c>
      <c r="AD565" s="24">
        <v>0</v>
      </c>
      <c r="AE565" s="27">
        <f>_xlfn.XLOOKUP(B565,'Projects Cashflow'!$B:$B,'Projects Cashflow'!$AG:$AG,0)</f>
        <v>48000</v>
      </c>
      <c r="AF565" s="28">
        <f t="shared" si="27"/>
        <v>0</v>
      </c>
    </row>
    <row r="566" spans="2:32" x14ac:dyDescent="0.3">
      <c r="B566" s="14" t="str">
        <f t="shared" si="25"/>
        <v>45118004511000910Art Materials-N432626200104</v>
      </c>
      <c r="C566" s="21" t="s">
        <v>65</v>
      </c>
      <c r="D566" s="22">
        <v>4511800</v>
      </c>
      <c r="E566" s="21" t="s">
        <v>190</v>
      </c>
      <c r="F566" s="22">
        <v>4511000910</v>
      </c>
      <c r="G566" s="21" t="s">
        <v>1235</v>
      </c>
      <c r="H566" s="21" t="s">
        <v>283</v>
      </c>
      <c r="I566" s="22">
        <v>432626</v>
      </c>
      <c r="J566" s="22">
        <v>200104</v>
      </c>
      <c r="K566" s="22" t="s">
        <v>2959</v>
      </c>
      <c r="L566" s="22">
        <v>70202</v>
      </c>
      <c r="M566" s="23" t="s">
        <v>2961</v>
      </c>
      <c r="N566" s="24">
        <v>0</v>
      </c>
      <c r="O566" s="24">
        <v>0</v>
      </c>
      <c r="P566" s="24">
        <v>0</v>
      </c>
      <c r="Q566" s="24">
        <v>10000</v>
      </c>
      <c r="R566" s="24">
        <v>4500</v>
      </c>
      <c r="S566" s="24">
        <v>0</v>
      </c>
      <c r="T566" s="24">
        <v>0</v>
      </c>
      <c r="U566" s="24">
        <v>4500</v>
      </c>
      <c r="V566" s="24">
        <v>0</v>
      </c>
      <c r="W566" s="24">
        <v>0</v>
      </c>
      <c r="X566" s="24">
        <v>5000</v>
      </c>
      <c r="Y566" s="24">
        <v>0</v>
      </c>
      <c r="Z566" s="24">
        <f t="shared" si="26"/>
        <v>24000</v>
      </c>
      <c r="AB566" s="25">
        <v>0</v>
      </c>
      <c r="AC566" s="26">
        <v>0</v>
      </c>
      <c r="AD566" s="24">
        <v>0</v>
      </c>
      <c r="AE566" s="27">
        <f>_xlfn.XLOOKUP(B566,'Projects Cashflow'!$B:$B,'Projects Cashflow'!$AG:$AG,0)</f>
        <v>0</v>
      </c>
      <c r="AF566" s="28">
        <f t="shared" si="27"/>
        <v>0</v>
      </c>
    </row>
    <row r="567" spans="2:32" x14ac:dyDescent="0.3">
      <c r="B567" s="14" t="str">
        <f t="shared" si="25"/>
        <v>45118004511000910Translation-N424701200104</v>
      </c>
      <c r="C567" s="21" t="s">
        <v>65</v>
      </c>
      <c r="D567" s="22">
        <v>4511800</v>
      </c>
      <c r="E567" s="21" t="s">
        <v>190</v>
      </c>
      <c r="F567" s="22">
        <v>4511000910</v>
      </c>
      <c r="G567" s="21" t="s">
        <v>1235</v>
      </c>
      <c r="H567" s="21" t="s">
        <v>355</v>
      </c>
      <c r="I567" s="22">
        <v>424701</v>
      </c>
      <c r="J567" s="22">
        <v>200104</v>
      </c>
      <c r="K567" s="22" t="s">
        <v>2959</v>
      </c>
      <c r="L567" s="22">
        <v>70202</v>
      </c>
      <c r="M567" s="23" t="s">
        <v>2961</v>
      </c>
      <c r="N567" s="24">
        <v>0</v>
      </c>
      <c r="O567" s="24">
        <v>0</v>
      </c>
      <c r="P567" s="24">
        <v>0</v>
      </c>
      <c r="Q567" s="24">
        <v>600</v>
      </c>
      <c r="R567" s="24">
        <v>0</v>
      </c>
      <c r="S567" s="24">
        <v>600</v>
      </c>
      <c r="T567" s="24">
        <v>0</v>
      </c>
      <c r="U567" s="24">
        <v>600</v>
      </c>
      <c r="V567" s="24">
        <v>0</v>
      </c>
      <c r="W567" s="24">
        <v>2000</v>
      </c>
      <c r="X567" s="24">
        <v>600</v>
      </c>
      <c r="Y567" s="24">
        <v>600</v>
      </c>
      <c r="Z567" s="24">
        <f t="shared" si="26"/>
        <v>5000</v>
      </c>
      <c r="AB567" s="25">
        <v>5000</v>
      </c>
      <c r="AC567" s="26">
        <v>5000</v>
      </c>
      <c r="AD567" s="24">
        <v>0</v>
      </c>
      <c r="AE567" s="27">
        <f>_xlfn.XLOOKUP(B567,'Projects Cashflow'!$B:$B,'Projects Cashflow'!$AG:$AG,0)</f>
        <v>5000</v>
      </c>
      <c r="AF567" s="28">
        <f t="shared" si="27"/>
        <v>0</v>
      </c>
    </row>
    <row r="568" spans="2:32" x14ac:dyDescent="0.3">
      <c r="B568" s="14" t="str">
        <f t="shared" si="25"/>
        <v>45118004511001214Strategy Advice-N421123200104</v>
      </c>
      <c r="C568" s="21" t="s">
        <v>65</v>
      </c>
      <c r="D568" s="22">
        <v>4511800</v>
      </c>
      <c r="E568" s="21" t="s">
        <v>190</v>
      </c>
      <c r="F568" s="22">
        <v>4511001214</v>
      </c>
      <c r="G568" s="21" t="s">
        <v>1473</v>
      </c>
      <c r="H568" s="21" t="s">
        <v>236</v>
      </c>
      <c r="I568" s="22">
        <v>421123</v>
      </c>
      <c r="J568" s="22">
        <v>200104</v>
      </c>
      <c r="K568" s="22" t="s">
        <v>2959</v>
      </c>
      <c r="L568" s="22">
        <v>70202</v>
      </c>
      <c r="M568" s="23" t="s">
        <v>2961</v>
      </c>
      <c r="N568" s="24">
        <v>0</v>
      </c>
      <c r="O568" s="24">
        <v>0</v>
      </c>
      <c r="P568" s="24">
        <v>0</v>
      </c>
      <c r="Q568" s="24">
        <v>0</v>
      </c>
      <c r="R568" s="24">
        <v>72000</v>
      </c>
      <c r="S568" s="24">
        <v>72000</v>
      </c>
      <c r="T568" s="24">
        <v>72000</v>
      </c>
      <c r="U568" s="24">
        <v>72000</v>
      </c>
      <c r="V568" s="24">
        <v>72000</v>
      </c>
      <c r="W568" s="24">
        <v>72000</v>
      </c>
      <c r="X568" s="24">
        <v>72000</v>
      </c>
      <c r="Y568" s="24">
        <v>216000</v>
      </c>
      <c r="Z568" s="24">
        <f t="shared" si="26"/>
        <v>720000</v>
      </c>
      <c r="AB568" s="25">
        <v>53800</v>
      </c>
      <c r="AC568" s="26">
        <v>53800</v>
      </c>
      <c r="AD568" s="24">
        <v>0</v>
      </c>
      <c r="AE568" s="27">
        <f>_xlfn.XLOOKUP(B568,'Projects Cashflow'!$B:$B,'Projects Cashflow'!$AG:$AG,0)</f>
        <v>53800</v>
      </c>
      <c r="AF568" s="28">
        <f t="shared" si="27"/>
        <v>0</v>
      </c>
    </row>
    <row r="569" spans="2:32" x14ac:dyDescent="0.3">
      <c r="B569" s="14" t="str">
        <f t="shared" si="25"/>
        <v>45118004511001214Printed Material-N424790200104</v>
      </c>
      <c r="C569" s="21" t="s">
        <v>65</v>
      </c>
      <c r="D569" s="22">
        <v>4511800</v>
      </c>
      <c r="E569" s="21" t="s">
        <v>190</v>
      </c>
      <c r="F569" s="22">
        <v>4511001214</v>
      </c>
      <c r="G569" s="21" t="s">
        <v>1473</v>
      </c>
      <c r="H569" s="21" t="s">
        <v>1474</v>
      </c>
      <c r="I569" s="22">
        <v>424790</v>
      </c>
      <c r="J569" s="22">
        <v>200104</v>
      </c>
      <c r="K569" s="22" t="s">
        <v>2959</v>
      </c>
      <c r="L569" s="22">
        <v>70202</v>
      </c>
      <c r="M569" s="23" t="s">
        <v>2961</v>
      </c>
      <c r="N569" s="24">
        <v>0</v>
      </c>
      <c r="O569" s="24">
        <v>0</v>
      </c>
      <c r="P569" s="24">
        <v>1225</v>
      </c>
      <c r="Q569" s="24">
        <v>10675</v>
      </c>
      <c r="R569" s="24">
        <v>210300</v>
      </c>
      <c r="S569" s="24">
        <v>23800</v>
      </c>
      <c r="T569" s="24">
        <v>11900</v>
      </c>
      <c r="U569" s="24">
        <v>74700</v>
      </c>
      <c r="V569" s="24">
        <v>21000</v>
      </c>
      <c r="W569" s="24">
        <v>30900</v>
      </c>
      <c r="X569" s="24">
        <v>36200</v>
      </c>
      <c r="Y569" s="24">
        <v>49400</v>
      </c>
      <c r="Z569" s="24">
        <f t="shared" si="26"/>
        <v>470100</v>
      </c>
      <c r="AB569" s="25">
        <v>470100</v>
      </c>
      <c r="AC569" s="26">
        <v>470100</v>
      </c>
      <c r="AD569" s="24">
        <v>0</v>
      </c>
      <c r="AE569" s="27">
        <f>_xlfn.XLOOKUP(B569,'Projects Cashflow'!$B:$B,'Projects Cashflow'!$AG:$AG,0)</f>
        <v>470100</v>
      </c>
      <c r="AF569" s="28">
        <f t="shared" si="27"/>
        <v>0</v>
      </c>
    </row>
    <row r="570" spans="2:32" x14ac:dyDescent="0.3">
      <c r="B570" s="14" t="str">
        <f t="shared" si="25"/>
        <v>45118004511001496Strategy Advice-N421123200104</v>
      </c>
      <c r="C570" s="21" t="s">
        <v>65</v>
      </c>
      <c r="D570" s="22">
        <v>4511800</v>
      </c>
      <c r="E570" s="21" t="s">
        <v>190</v>
      </c>
      <c r="F570" s="22">
        <v>4511001496</v>
      </c>
      <c r="G570" s="21" t="s">
        <v>1852</v>
      </c>
      <c r="H570" s="21" t="s">
        <v>236</v>
      </c>
      <c r="I570" s="22">
        <v>421123</v>
      </c>
      <c r="J570" s="22">
        <v>200104</v>
      </c>
      <c r="K570" s="22" t="s">
        <v>2959</v>
      </c>
      <c r="L570" s="22">
        <v>70202</v>
      </c>
      <c r="M570" s="23" t="s">
        <v>2961</v>
      </c>
      <c r="N570" s="24">
        <v>0</v>
      </c>
      <c r="O570" s="24">
        <v>0</v>
      </c>
      <c r="P570" s="24">
        <v>0</v>
      </c>
      <c r="Q570" s="24">
        <v>0</v>
      </c>
      <c r="R570" s="24">
        <v>0</v>
      </c>
      <c r="S570" s="24">
        <v>250000</v>
      </c>
      <c r="T570" s="24">
        <v>0</v>
      </c>
      <c r="U570" s="24">
        <v>250000</v>
      </c>
      <c r="V570" s="24">
        <v>0</v>
      </c>
      <c r="W570" s="24">
        <v>250000</v>
      </c>
      <c r="X570" s="24">
        <v>0</v>
      </c>
      <c r="Y570" s="24">
        <v>250000</v>
      </c>
      <c r="Z570" s="24">
        <f t="shared" si="26"/>
        <v>1000000</v>
      </c>
      <c r="AB570" s="25">
        <v>2840200</v>
      </c>
      <c r="AC570" s="26">
        <v>2840200</v>
      </c>
      <c r="AD570" s="24">
        <v>0</v>
      </c>
      <c r="AE570" s="27">
        <f>_xlfn.XLOOKUP(B570,'Projects Cashflow'!$B:$B,'Projects Cashflow'!$AG:$AG,0)</f>
        <v>2840200</v>
      </c>
      <c r="AF570" s="28">
        <f t="shared" si="27"/>
        <v>0</v>
      </c>
    </row>
    <row r="571" spans="2:32" x14ac:dyDescent="0.3">
      <c r="B571" s="14" t="str">
        <f t="shared" si="25"/>
        <v>45118004511001496Freelancers-N424521200104</v>
      </c>
      <c r="C571" s="21" t="s">
        <v>65</v>
      </c>
      <c r="D571" s="22">
        <v>4511800</v>
      </c>
      <c r="E571" s="21" t="s">
        <v>190</v>
      </c>
      <c r="F571" s="22">
        <v>4511001496</v>
      </c>
      <c r="G571" s="21" t="s">
        <v>1852</v>
      </c>
      <c r="H571" s="21" t="s">
        <v>50</v>
      </c>
      <c r="I571" s="22">
        <v>424521</v>
      </c>
      <c r="J571" s="22">
        <v>200104</v>
      </c>
      <c r="K571" s="22" t="s">
        <v>2959</v>
      </c>
      <c r="L571" s="22">
        <v>70202</v>
      </c>
      <c r="M571" s="23" t="s">
        <v>2961</v>
      </c>
      <c r="N571" s="24">
        <v>0</v>
      </c>
      <c r="O571" s="24">
        <v>0</v>
      </c>
      <c r="P571" s="24">
        <v>0</v>
      </c>
      <c r="Q571" s="24">
        <v>0</v>
      </c>
      <c r="R571" s="24">
        <v>35000</v>
      </c>
      <c r="S571" s="24">
        <v>35000</v>
      </c>
      <c r="T571" s="24">
        <v>35000</v>
      </c>
      <c r="U571" s="24">
        <v>35000</v>
      </c>
      <c r="V571" s="24">
        <v>35000</v>
      </c>
      <c r="W571" s="24">
        <v>35000</v>
      </c>
      <c r="X571" s="24">
        <v>140000</v>
      </c>
      <c r="Y571" s="24">
        <v>70000</v>
      </c>
      <c r="Z571" s="24">
        <f t="shared" si="26"/>
        <v>420000</v>
      </c>
      <c r="AB571" s="25">
        <v>420000</v>
      </c>
      <c r="AC571" s="26">
        <v>420000</v>
      </c>
      <c r="AD571" s="24">
        <v>0</v>
      </c>
      <c r="AE571" s="27">
        <f>_xlfn.XLOOKUP(B571,'Projects Cashflow'!$B:$B,'Projects Cashflow'!$AG:$AG,0)</f>
        <v>420000</v>
      </c>
      <c r="AF571" s="28">
        <f t="shared" si="27"/>
        <v>0</v>
      </c>
    </row>
    <row r="572" spans="2:32" x14ac:dyDescent="0.3">
      <c r="B572" s="14" t="str">
        <f t="shared" si="25"/>
        <v>45161004511000488Event Management-N422401200104</v>
      </c>
      <c r="C572" s="21" t="s">
        <v>65</v>
      </c>
      <c r="D572" s="22">
        <v>4516100</v>
      </c>
      <c r="E572" s="21" t="s">
        <v>583</v>
      </c>
      <c r="F572" s="22">
        <v>4511000488</v>
      </c>
      <c r="G572" s="21" t="s">
        <v>3056</v>
      </c>
      <c r="H572" s="21" t="s">
        <v>162</v>
      </c>
      <c r="I572" s="22">
        <v>422401</v>
      </c>
      <c r="J572" s="22">
        <v>200104</v>
      </c>
      <c r="K572" s="22" t="s">
        <v>2959</v>
      </c>
      <c r="L572" s="22">
        <v>70205</v>
      </c>
      <c r="M572" s="23" t="s">
        <v>2961</v>
      </c>
      <c r="N572" s="24">
        <v>0</v>
      </c>
      <c r="O572" s="24">
        <v>0</v>
      </c>
      <c r="P572" s="24">
        <v>143700</v>
      </c>
      <c r="Q572" s="24">
        <v>0</v>
      </c>
      <c r="R572" s="24">
        <v>0</v>
      </c>
      <c r="S572" s="24">
        <v>686550</v>
      </c>
      <c r="T572" s="24">
        <v>550000</v>
      </c>
      <c r="U572" s="24">
        <v>124000</v>
      </c>
      <c r="V572" s="24">
        <v>25080</v>
      </c>
      <c r="W572" s="24">
        <v>600000</v>
      </c>
      <c r="X572" s="24">
        <v>283931</v>
      </c>
      <c r="Y572" s="24">
        <v>323421</v>
      </c>
      <c r="Z572" s="24">
        <f t="shared" si="26"/>
        <v>2736682</v>
      </c>
      <c r="AB572" s="25">
        <v>2736682</v>
      </c>
      <c r="AC572" s="26">
        <v>2736682</v>
      </c>
      <c r="AD572" s="24">
        <v>0</v>
      </c>
      <c r="AE572" s="27">
        <f>_xlfn.XLOOKUP(B572,'Projects Cashflow'!$B:$B,'Projects Cashflow'!$AG:$AG,0)</f>
        <v>2736682</v>
      </c>
      <c r="AF572" s="28">
        <f t="shared" si="27"/>
        <v>0</v>
      </c>
    </row>
    <row r="573" spans="2:32" x14ac:dyDescent="0.3">
      <c r="B573" s="14" t="str">
        <f t="shared" si="25"/>
        <v>45161004511000488Mission &amp; Travel-N423821200104</v>
      </c>
      <c r="C573" s="21" t="s">
        <v>65</v>
      </c>
      <c r="D573" s="22">
        <v>4516100</v>
      </c>
      <c r="E573" s="21" t="s">
        <v>583</v>
      </c>
      <c r="F573" s="22">
        <v>4511000488</v>
      </c>
      <c r="G573" s="21" t="s">
        <v>3056</v>
      </c>
      <c r="H573" s="21" t="s">
        <v>54</v>
      </c>
      <c r="I573" s="22">
        <v>423821</v>
      </c>
      <c r="J573" s="22">
        <v>200104</v>
      </c>
      <c r="K573" s="22" t="s">
        <v>2959</v>
      </c>
      <c r="L573" s="22">
        <v>70205</v>
      </c>
      <c r="M573" s="23" t="s">
        <v>2961</v>
      </c>
      <c r="N573" s="24">
        <v>0</v>
      </c>
      <c r="O573" s="24">
        <v>0</v>
      </c>
      <c r="P573" s="24">
        <v>0</v>
      </c>
      <c r="Q573" s="24">
        <v>0</v>
      </c>
      <c r="R573" s="24">
        <v>0</v>
      </c>
      <c r="S573" s="24">
        <v>112750</v>
      </c>
      <c r="T573" s="24">
        <v>0</v>
      </c>
      <c r="U573" s="24">
        <v>112750</v>
      </c>
      <c r="V573" s="24">
        <v>0</v>
      </c>
      <c r="W573" s="24">
        <v>112750</v>
      </c>
      <c r="X573" s="24">
        <v>113250</v>
      </c>
      <c r="Y573" s="24">
        <v>0</v>
      </c>
      <c r="Z573" s="24">
        <f t="shared" si="26"/>
        <v>451500</v>
      </c>
      <c r="AB573" s="25">
        <v>451500</v>
      </c>
      <c r="AC573" s="26">
        <v>451500</v>
      </c>
      <c r="AD573" s="24">
        <v>0</v>
      </c>
      <c r="AE573" s="27">
        <f>_xlfn.XLOOKUP(B573,'Projects Cashflow'!$B:$B,'Projects Cashflow'!$AG:$AG,0)</f>
        <v>451500</v>
      </c>
      <c r="AF573" s="28">
        <f t="shared" si="27"/>
        <v>0</v>
      </c>
    </row>
    <row r="574" spans="2:32" x14ac:dyDescent="0.3">
      <c r="B574" s="14" t="str">
        <f t="shared" si="25"/>
        <v>45161004511000488Admin Expenses-N421125200104</v>
      </c>
      <c r="C574" s="21" t="s">
        <v>65</v>
      </c>
      <c r="D574" s="22">
        <v>4516100</v>
      </c>
      <c r="E574" s="21" t="s">
        <v>583</v>
      </c>
      <c r="F574" s="22">
        <v>4511000488</v>
      </c>
      <c r="G574" s="21" t="s">
        <v>3056</v>
      </c>
      <c r="H574" s="21" t="s">
        <v>130</v>
      </c>
      <c r="I574" s="22">
        <v>421125</v>
      </c>
      <c r="J574" s="22">
        <v>200104</v>
      </c>
      <c r="K574" s="22" t="s">
        <v>2959</v>
      </c>
      <c r="L574" s="22">
        <v>70205</v>
      </c>
      <c r="M574" s="23" t="s">
        <v>2961</v>
      </c>
      <c r="N574" s="24">
        <v>0</v>
      </c>
      <c r="O574" s="24">
        <v>0</v>
      </c>
      <c r="P574" s="24">
        <v>38543.130000000005</v>
      </c>
      <c r="Q574" s="24">
        <v>1274.08</v>
      </c>
      <c r="R574" s="24">
        <v>17542</v>
      </c>
      <c r="S574" s="24">
        <v>3921</v>
      </c>
      <c r="T574" s="24">
        <v>28480</v>
      </c>
      <c r="U574" s="24">
        <v>49457</v>
      </c>
      <c r="V574" s="24">
        <v>100315</v>
      </c>
      <c r="W574" s="24">
        <v>25117</v>
      </c>
      <c r="X574" s="24">
        <v>54712</v>
      </c>
      <c r="Y574" s="24">
        <v>4639</v>
      </c>
      <c r="Z574" s="24">
        <f t="shared" si="26"/>
        <v>324000.21000000002</v>
      </c>
      <c r="AB574" s="25">
        <v>324000.21000000002</v>
      </c>
      <c r="AC574" s="26">
        <v>324000</v>
      </c>
      <c r="AD574" s="24">
        <v>0.21000000002095476</v>
      </c>
      <c r="AE574" s="27">
        <f>_xlfn.XLOOKUP(B574,'Projects Cashflow'!$B:$B,'Projects Cashflow'!$AG:$AG,0)</f>
        <v>324000</v>
      </c>
      <c r="AF574" s="28">
        <f t="shared" si="27"/>
        <v>-0.21000000002095476</v>
      </c>
    </row>
    <row r="575" spans="2:32" x14ac:dyDescent="0.3">
      <c r="B575" s="14" t="str">
        <f t="shared" si="25"/>
        <v>45161004511000488Freelancers-N424521200104</v>
      </c>
      <c r="C575" s="21" t="s">
        <v>65</v>
      </c>
      <c r="D575" s="22">
        <v>4516100</v>
      </c>
      <c r="E575" s="21" t="s">
        <v>583</v>
      </c>
      <c r="F575" s="22">
        <v>4511000488</v>
      </c>
      <c r="G575" s="21" t="s">
        <v>3056</v>
      </c>
      <c r="H575" s="21" t="s">
        <v>50</v>
      </c>
      <c r="I575" s="22">
        <v>424521</v>
      </c>
      <c r="J575" s="22">
        <v>200104</v>
      </c>
      <c r="K575" s="22" t="s">
        <v>2959</v>
      </c>
      <c r="L575" s="22">
        <v>70205</v>
      </c>
      <c r="M575" s="23" t="s">
        <v>2961</v>
      </c>
      <c r="N575" s="24">
        <v>0</v>
      </c>
      <c r="O575" s="24">
        <v>0</v>
      </c>
      <c r="P575" s="24">
        <v>45867</v>
      </c>
      <c r="Q575" s="24">
        <v>0</v>
      </c>
      <c r="R575" s="24">
        <v>0</v>
      </c>
      <c r="S575" s="24">
        <v>39133</v>
      </c>
      <c r="T575" s="24">
        <v>12500</v>
      </c>
      <c r="U575" s="24">
        <v>13500</v>
      </c>
      <c r="V575" s="24">
        <v>0</v>
      </c>
      <c r="W575" s="24">
        <v>54784</v>
      </c>
      <c r="X575" s="24">
        <v>50000</v>
      </c>
      <c r="Y575" s="24">
        <v>0</v>
      </c>
      <c r="Z575" s="24">
        <f t="shared" si="26"/>
        <v>215784</v>
      </c>
      <c r="AB575" s="25">
        <v>215784</v>
      </c>
      <c r="AC575" s="26">
        <v>215784</v>
      </c>
      <c r="AD575" s="24">
        <v>0</v>
      </c>
      <c r="AE575" s="27">
        <f>_xlfn.XLOOKUP(B575,'Projects Cashflow'!$B:$B,'Projects Cashflow'!$AG:$AG,0)</f>
        <v>215784</v>
      </c>
      <c r="AF575" s="28">
        <f t="shared" si="27"/>
        <v>0</v>
      </c>
    </row>
    <row r="576" spans="2:32" x14ac:dyDescent="0.3">
      <c r="B576" s="14" t="str">
        <f t="shared" si="25"/>
        <v>45161004511000490Print Runs-N424791200104</v>
      </c>
      <c r="C576" s="21" t="s">
        <v>65</v>
      </c>
      <c r="D576" s="22">
        <v>4516100</v>
      </c>
      <c r="E576" s="21" t="s">
        <v>583</v>
      </c>
      <c r="F576" s="22">
        <v>4511000490</v>
      </c>
      <c r="G576" s="21" t="s">
        <v>3057</v>
      </c>
      <c r="H576" s="21" t="s">
        <v>304</v>
      </c>
      <c r="I576" s="22">
        <v>424791</v>
      </c>
      <c r="J576" s="22">
        <v>200104</v>
      </c>
      <c r="K576" s="22" t="s">
        <v>2959</v>
      </c>
      <c r="L576" s="22">
        <v>70205</v>
      </c>
      <c r="M576" s="23" t="s">
        <v>2961</v>
      </c>
      <c r="N576" s="24">
        <v>0</v>
      </c>
      <c r="O576" s="24">
        <v>0</v>
      </c>
      <c r="P576" s="24">
        <v>0</v>
      </c>
      <c r="Q576" s="24">
        <v>0</v>
      </c>
      <c r="R576" s="24">
        <v>0</v>
      </c>
      <c r="S576" s="24">
        <v>47762</v>
      </c>
      <c r="T576" s="24">
        <v>0</v>
      </c>
      <c r="U576" s="24">
        <v>0</v>
      </c>
      <c r="V576" s="24">
        <v>139150</v>
      </c>
      <c r="W576" s="24">
        <v>47618</v>
      </c>
      <c r="X576" s="24">
        <v>71470</v>
      </c>
      <c r="Y576" s="24">
        <v>0</v>
      </c>
      <c r="Z576" s="24">
        <f t="shared" si="26"/>
        <v>306000</v>
      </c>
      <c r="AB576" s="25">
        <v>306000</v>
      </c>
      <c r="AC576" s="26">
        <v>306000</v>
      </c>
      <c r="AD576" s="24">
        <v>0</v>
      </c>
      <c r="AE576" s="27">
        <f>_xlfn.XLOOKUP(B576,'Projects Cashflow'!$B:$B,'Projects Cashflow'!$AG:$AG,0)</f>
        <v>306000</v>
      </c>
      <c r="AF576" s="28">
        <f t="shared" si="27"/>
        <v>0</v>
      </c>
    </row>
    <row r="577" spans="2:32" x14ac:dyDescent="0.3">
      <c r="B577" s="14" t="str">
        <f t="shared" si="25"/>
        <v>45161004511000490Awards &amp; Prizes-N424231200104</v>
      </c>
      <c r="C577" s="21" t="s">
        <v>65</v>
      </c>
      <c r="D577" s="22">
        <v>4516100</v>
      </c>
      <c r="E577" s="21" t="s">
        <v>583</v>
      </c>
      <c r="F577" s="22">
        <v>4511000490</v>
      </c>
      <c r="G577" s="21" t="s">
        <v>3057</v>
      </c>
      <c r="H577" s="21" t="s">
        <v>590</v>
      </c>
      <c r="I577" s="22">
        <v>424231</v>
      </c>
      <c r="J577" s="22">
        <v>200104</v>
      </c>
      <c r="K577" s="22" t="s">
        <v>2959</v>
      </c>
      <c r="L577" s="22">
        <v>70205</v>
      </c>
      <c r="M577" s="23" t="s">
        <v>2961</v>
      </c>
      <c r="N577" s="24">
        <v>0</v>
      </c>
      <c r="O577" s="24">
        <v>0</v>
      </c>
      <c r="P577" s="24">
        <v>0</v>
      </c>
      <c r="Q577" s="24">
        <v>0</v>
      </c>
      <c r="R577" s="24">
        <v>0</v>
      </c>
      <c r="S577" s="24">
        <v>103026</v>
      </c>
      <c r="T577" s="24">
        <v>6900</v>
      </c>
      <c r="U577" s="24">
        <v>16000</v>
      </c>
      <c r="V577" s="24">
        <v>24500</v>
      </c>
      <c r="W577" s="24">
        <v>0</v>
      </c>
      <c r="X577" s="24">
        <v>2574</v>
      </c>
      <c r="Y577" s="24">
        <v>0</v>
      </c>
      <c r="Z577" s="24">
        <f t="shared" si="26"/>
        <v>153000</v>
      </c>
      <c r="AB577" s="25">
        <v>153000</v>
      </c>
      <c r="AC577" s="26">
        <v>153000</v>
      </c>
      <c r="AD577" s="24">
        <v>0</v>
      </c>
      <c r="AE577" s="27">
        <f>_xlfn.XLOOKUP(B577,'Projects Cashflow'!$B:$B,'Projects Cashflow'!$AG:$AG,0)</f>
        <v>153000</v>
      </c>
      <c r="AF577" s="28">
        <f t="shared" si="27"/>
        <v>0</v>
      </c>
    </row>
    <row r="578" spans="2:32" x14ac:dyDescent="0.3">
      <c r="B578" s="14" t="str">
        <f t="shared" si="25"/>
        <v>45161004511000491Event Management-N422401200104</v>
      </c>
      <c r="C578" s="21" t="s">
        <v>65</v>
      </c>
      <c r="D578" s="22">
        <v>4516100</v>
      </c>
      <c r="E578" s="21" t="s">
        <v>583</v>
      </c>
      <c r="F578" s="22">
        <v>4511000491</v>
      </c>
      <c r="G578" s="21" t="s">
        <v>3058</v>
      </c>
      <c r="H578" s="21" t="s">
        <v>162</v>
      </c>
      <c r="I578" s="22">
        <v>422401</v>
      </c>
      <c r="J578" s="22">
        <v>200104</v>
      </c>
      <c r="K578" s="22" t="s">
        <v>2959</v>
      </c>
      <c r="L578" s="22">
        <v>70205</v>
      </c>
      <c r="M578" s="23" t="s">
        <v>2961</v>
      </c>
      <c r="N578" s="24">
        <v>0</v>
      </c>
      <c r="O578" s="24">
        <v>0</v>
      </c>
      <c r="P578" s="24">
        <v>0</v>
      </c>
      <c r="Q578" s="24">
        <v>50942</v>
      </c>
      <c r="R578" s="24">
        <v>0</v>
      </c>
      <c r="S578" s="24">
        <v>0</v>
      </c>
      <c r="T578" s="24">
        <v>0</v>
      </c>
      <c r="U578" s="24">
        <v>0</v>
      </c>
      <c r="V578" s="24">
        <v>0</v>
      </c>
      <c r="W578" s="24">
        <v>0</v>
      </c>
      <c r="X578" s="24">
        <v>222540</v>
      </c>
      <c r="Y578" s="24">
        <v>22438</v>
      </c>
      <c r="Z578" s="24">
        <f t="shared" si="26"/>
        <v>295920</v>
      </c>
      <c r="AB578" s="25">
        <v>295920</v>
      </c>
      <c r="AC578" s="26">
        <v>295920</v>
      </c>
      <c r="AD578" s="24">
        <v>0</v>
      </c>
      <c r="AE578" s="27">
        <f>_xlfn.XLOOKUP(B578,'Projects Cashflow'!$B:$B,'Projects Cashflow'!$AG:$AG,0)</f>
        <v>295920</v>
      </c>
      <c r="AF578" s="28">
        <f t="shared" si="27"/>
        <v>0</v>
      </c>
    </row>
    <row r="579" spans="2:32" x14ac:dyDescent="0.3">
      <c r="B579" s="14" t="str">
        <f t="shared" si="25"/>
        <v>45161004511000492Manuscripts-N431512200104</v>
      </c>
      <c r="C579" s="21" t="s">
        <v>65</v>
      </c>
      <c r="D579" s="22">
        <v>4516100</v>
      </c>
      <c r="E579" s="21" t="s">
        <v>583</v>
      </c>
      <c r="F579" s="22">
        <v>4511000492</v>
      </c>
      <c r="G579" s="21" t="s">
        <v>3059</v>
      </c>
      <c r="H579" s="21" t="s">
        <v>598</v>
      </c>
      <c r="I579" s="22">
        <v>431512</v>
      </c>
      <c r="J579" s="22">
        <v>200104</v>
      </c>
      <c r="K579" s="22" t="s">
        <v>2959</v>
      </c>
      <c r="L579" s="22">
        <v>70205</v>
      </c>
      <c r="M579" s="23" t="s">
        <v>2961</v>
      </c>
      <c r="N579" s="24">
        <v>0</v>
      </c>
      <c r="O579" s="24">
        <v>0</v>
      </c>
      <c r="P579" s="24">
        <v>0</v>
      </c>
      <c r="Q579" s="24">
        <v>0</v>
      </c>
      <c r="R579" s="24">
        <v>716231.25</v>
      </c>
      <c r="S579" s="24">
        <v>0</v>
      </c>
      <c r="T579" s="24">
        <v>0</v>
      </c>
      <c r="U579" s="24">
        <v>0</v>
      </c>
      <c r="V579" s="24">
        <v>0</v>
      </c>
      <c r="W579" s="24">
        <v>716231.25</v>
      </c>
      <c r="X579" s="24">
        <v>716231.02</v>
      </c>
      <c r="Y579" s="24">
        <v>716231</v>
      </c>
      <c r="Z579" s="24">
        <f t="shared" si="26"/>
        <v>2864924.52</v>
      </c>
      <c r="AB579" s="25">
        <v>2864924.52</v>
      </c>
      <c r="AC579" s="26">
        <v>2864925</v>
      </c>
      <c r="AD579" s="24">
        <v>-0.47999999998137355</v>
      </c>
      <c r="AE579" s="27">
        <f>_xlfn.XLOOKUP(B579,'Projects Cashflow'!$B:$B,'Projects Cashflow'!$AG:$AG,0)</f>
        <v>2864925</v>
      </c>
      <c r="AF579" s="28">
        <f t="shared" si="27"/>
        <v>0.47999999998137355</v>
      </c>
    </row>
    <row r="580" spans="2:32" x14ac:dyDescent="0.3">
      <c r="B580" s="14" t="str">
        <f t="shared" si="25"/>
        <v>45161004511000492Freelancers-N424521200104</v>
      </c>
      <c r="C580" s="21" t="s">
        <v>65</v>
      </c>
      <c r="D580" s="22">
        <v>4516100</v>
      </c>
      <c r="E580" s="21" t="s">
        <v>583</v>
      </c>
      <c r="F580" s="22">
        <v>4511000492</v>
      </c>
      <c r="G580" s="21" t="s">
        <v>3059</v>
      </c>
      <c r="H580" s="21" t="s">
        <v>50</v>
      </c>
      <c r="I580" s="22">
        <v>424521</v>
      </c>
      <c r="J580" s="22">
        <v>200104</v>
      </c>
      <c r="K580" s="22" t="s">
        <v>2959</v>
      </c>
      <c r="L580" s="22">
        <v>70205</v>
      </c>
      <c r="M580" s="23" t="s">
        <v>2961</v>
      </c>
      <c r="N580" s="24">
        <v>0</v>
      </c>
      <c r="O580" s="24">
        <v>0</v>
      </c>
      <c r="P580" s="24">
        <v>60000</v>
      </c>
      <c r="Q580" s="24">
        <v>0</v>
      </c>
      <c r="R580" s="24">
        <v>46859.7</v>
      </c>
      <c r="S580" s="24">
        <v>74859.7</v>
      </c>
      <c r="T580" s="24">
        <v>74859.7</v>
      </c>
      <c r="U580" s="24">
        <v>74859.7</v>
      </c>
      <c r="V580" s="24">
        <v>74859.7</v>
      </c>
      <c r="W580" s="24">
        <v>250579</v>
      </c>
      <c r="X580" s="24">
        <v>74859.7</v>
      </c>
      <c r="Y580" s="24">
        <v>74859.7</v>
      </c>
      <c r="Z580" s="24">
        <f t="shared" si="26"/>
        <v>806596.89999999991</v>
      </c>
      <c r="AB580" s="25">
        <v>806596.89999999991</v>
      </c>
      <c r="AC580" s="26">
        <v>806597</v>
      </c>
      <c r="AD580" s="24">
        <v>-0.10000000009313226</v>
      </c>
      <c r="AE580" s="27">
        <f>_xlfn.XLOOKUP(B580,'Projects Cashflow'!$B:$B,'Projects Cashflow'!$AG:$AG,0)</f>
        <v>806597</v>
      </c>
      <c r="AF580" s="28">
        <f t="shared" si="27"/>
        <v>0.10000000009313226</v>
      </c>
    </row>
    <row r="581" spans="2:32" x14ac:dyDescent="0.3">
      <c r="B581" s="14" t="str">
        <f t="shared" ref="B581:B644" si="28">D581&amp;F581&amp;H581&amp;I581&amp;J581</f>
        <v>45161004511000492Gen Logistics-N424671200104</v>
      </c>
      <c r="C581" s="21" t="s">
        <v>65</v>
      </c>
      <c r="D581" s="22">
        <v>4516100</v>
      </c>
      <c r="E581" s="21" t="s">
        <v>583</v>
      </c>
      <c r="F581" s="22">
        <v>4511000492</v>
      </c>
      <c r="G581" s="21" t="s">
        <v>3059</v>
      </c>
      <c r="H581" s="21" t="s">
        <v>311</v>
      </c>
      <c r="I581" s="22">
        <v>424671</v>
      </c>
      <c r="J581" s="22">
        <v>200104</v>
      </c>
      <c r="K581" s="22" t="s">
        <v>2959</v>
      </c>
      <c r="L581" s="22">
        <v>70205</v>
      </c>
      <c r="M581" s="23" t="s">
        <v>2961</v>
      </c>
      <c r="N581" s="24">
        <v>0</v>
      </c>
      <c r="O581" s="24">
        <v>0</v>
      </c>
      <c r="P581" s="24">
        <v>0</v>
      </c>
      <c r="Q581" s="24">
        <v>0</v>
      </c>
      <c r="R581" s="24">
        <v>8490</v>
      </c>
      <c r="S581" s="24">
        <v>0</v>
      </c>
      <c r="T581" s="24">
        <v>0</v>
      </c>
      <c r="U581" s="24">
        <v>0</v>
      </c>
      <c r="V581" s="24">
        <v>49510</v>
      </c>
      <c r="W581" s="24">
        <v>401900</v>
      </c>
      <c r="X581" s="24">
        <v>0</v>
      </c>
      <c r="Y581" s="24">
        <v>0</v>
      </c>
      <c r="Z581" s="24">
        <f t="shared" ref="Z581:Z644" si="29">SUM(N581:Y581)</f>
        <v>459900</v>
      </c>
      <c r="AB581" s="25">
        <v>459900</v>
      </c>
      <c r="AC581" s="26">
        <v>459900</v>
      </c>
      <c r="AD581" s="24">
        <v>0</v>
      </c>
      <c r="AE581" s="27">
        <f>_xlfn.XLOOKUP(B581,'Projects Cashflow'!$B:$B,'Projects Cashflow'!$AG:$AG,0)</f>
        <v>459900</v>
      </c>
      <c r="AF581" s="28">
        <f t="shared" ref="AF581:AF644" si="30">AE581-AB581</f>
        <v>0</v>
      </c>
    </row>
    <row r="582" spans="2:32" x14ac:dyDescent="0.3">
      <c r="B582" s="14" t="str">
        <f t="shared" si="28"/>
        <v>45161004511000494Freelancers-N424521200104</v>
      </c>
      <c r="C582" s="21" t="s">
        <v>65</v>
      </c>
      <c r="D582" s="22">
        <v>4516100</v>
      </c>
      <c r="E582" s="21" t="s">
        <v>583</v>
      </c>
      <c r="F582" s="22">
        <v>4511000494</v>
      </c>
      <c r="G582" s="21" t="s">
        <v>3060</v>
      </c>
      <c r="H582" s="21" t="s">
        <v>50</v>
      </c>
      <c r="I582" s="22">
        <v>424521</v>
      </c>
      <c r="J582" s="22">
        <v>200104</v>
      </c>
      <c r="K582" s="22" t="s">
        <v>2959</v>
      </c>
      <c r="L582" s="22">
        <v>70205</v>
      </c>
      <c r="M582" s="23" t="s">
        <v>2961</v>
      </c>
      <c r="N582" s="24">
        <v>0</v>
      </c>
      <c r="O582" s="24">
        <v>0</v>
      </c>
      <c r="P582" s="24">
        <v>136449.99</v>
      </c>
      <c r="Q582" s="24">
        <v>68694.010000000009</v>
      </c>
      <c r="R582" s="24">
        <v>102572</v>
      </c>
      <c r="S582" s="24">
        <v>102572</v>
      </c>
      <c r="T582" s="24">
        <v>102572</v>
      </c>
      <c r="U582" s="24">
        <v>102572</v>
      </c>
      <c r="V582" s="24">
        <v>102572</v>
      </c>
      <c r="W582" s="24">
        <v>102572</v>
      </c>
      <c r="X582" s="24">
        <v>102572</v>
      </c>
      <c r="Y582" s="24">
        <v>307716</v>
      </c>
      <c r="Z582" s="24">
        <f t="shared" si="29"/>
        <v>1230864</v>
      </c>
      <c r="AB582" s="25">
        <v>1230864</v>
      </c>
      <c r="AC582" s="26">
        <v>1230864</v>
      </c>
      <c r="AD582" s="24">
        <v>0</v>
      </c>
      <c r="AE582" s="27">
        <f>_xlfn.XLOOKUP(B582,'Projects Cashflow'!$B:$B,'Projects Cashflow'!$AG:$AG,0)</f>
        <v>1230864</v>
      </c>
      <c r="AF582" s="28">
        <f t="shared" si="30"/>
        <v>0</v>
      </c>
    </row>
    <row r="583" spans="2:32" x14ac:dyDescent="0.3">
      <c r="B583" s="14" t="str">
        <f t="shared" si="28"/>
        <v>45161004511000494SM Prodct&amp;Develp-N422511200104</v>
      </c>
      <c r="C583" s="21" t="s">
        <v>65</v>
      </c>
      <c r="D583" s="22">
        <v>4516100</v>
      </c>
      <c r="E583" s="21" t="s">
        <v>583</v>
      </c>
      <c r="F583" s="22">
        <v>4511000494</v>
      </c>
      <c r="G583" s="21" t="s">
        <v>3060</v>
      </c>
      <c r="H583" s="21" t="s">
        <v>435</v>
      </c>
      <c r="I583" s="22">
        <v>422511</v>
      </c>
      <c r="J583" s="22">
        <v>200104</v>
      </c>
      <c r="K583" s="22" t="s">
        <v>2959</v>
      </c>
      <c r="L583" s="22">
        <v>70205</v>
      </c>
      <c r="M583" s="23" t="s">
        <v>2961</v>
      </c>
      <c r="N583" s="24">
        <v>0</v>
      </c>
      <c r="O583" s="24">
        <v>0</v>
      </c>
      <c r="P583" s="24">
        <v>71805.600000000006</v>
      </c>
      <c r="Q583" s="24">
        <v>111527.73000000001</v>
      </c>
      <c r="R583" s="24">
        <v>45833.33</v>
      </c>
      <c r="S583" s="24">
        <v>45833.33</v>
      </c>
      <c r="T583" s="24">
        <v>45833.33</v>
      </c>
      <c r="U583" s="24">
        <v>45833.33</v>
      </c>
      <c r="V583" s="24">
        <v>45833.33</v>
      </c>
      <c r="W583" s="24">
        <v>45833.33</v>
      </c>
      <c r="X583" s="24">
        <v>45833.33</v>
      </c>
      <c r="Y583" s="24">
        <v>45833.33</v>
      </c>
      <c r="Z583" s="24">
        <f t="shared" si="29"/>
        <v>549999.97000000009</v>
      </c>
      <c r="AB583" s="25">
        <v>549999.97000000009</v>
      </c>
      <c r="AC583" s="26">
        <v>550000</v>
      </c>
      <c r="AD583" s="24">
        <v>-2.9999999911524355E-2</v>
      </c>
      <c r="AE583" s="27">
        <f>_xlfn.XLOOKUP(B583,'Projects Cashflow'!$B:$B,'Projects Cashflow'!$AG:$AG,0)</f>
        <v>550000</v>
      </c>
      <c r="AF583" s="28">
        <f t="shared" si="30"/>
        <v>2.9999999911524355E-2</v>
      </c>
    </row>
    <row r="584" spans="2:32" x14ac:dyDescent="0.3">
      <c r="B584" s="14" t="str">
        <f t="shared" si="28"/>
        <v>45161004511000494Gen Logistics-N424671200104</v>
      </c>
      <c r="C584" s="21" t="s">
        <v>65</v>
      </c>
      <c r="D584" s="22">
        <v>4516100</v>
      </c>
      <c r="E584" s="21" t="s">
        <v>583</v>
      </c>
      <c r="F584" s="22">
        <v>4511000494</v>
      </c>
      <c r="G584" s="21" t="s">
        <v>3060</v>
      </c>
      <c r="H584" s="21" t="s">
        <v>311</v>
      </c>
      <c r="I584" s="22">
        <v>424671</v>
      </c>
      <c r="J584" s="22">
        <v>200104</v>
      </c>
      <c r="K584" s="22" t="s">
        <v>2959</v>
      </c>
      <c r="L584" s="22">
        <v>70205</v>
      </c>
      <c r="M584" s="23" t="s">
        <v>2961</v>
      </c>
      <c r="N584" s="24">
        <v>0</v>
      </c>
      <c r="O584" s="24">
        <v>0</v>
      </c>
      <c r="P584" s="24">
        <v>0</v>
      </c>
      <c r="Q584" s="24">
        <v>0</v>
      </c>
      <c r="R584" s="24">
        <v>0</v>
      </c>
      <c r="S584" s="24">
        <v>0</v>
      </c>
      <c r="T584" s="24">
        <v>22305</v>
      </c>
      <c r="U584" s="24">
        <v>0</v>
      </c>
      <c r="V584" s="24">
        <v>0</v>
      </c>
      <c r="W584" s="24">
        <v>27100</v>
      </c>
      <c r="X584" s="24">
        <v>0</v>
      </c>
      <c r="Y584" s="24">
        <v>0</v>
      </c>
      <c r="Z584" s="24">
        <f t="shared" si="29"/>
        <v>49405</v>
      </c>
      <c r="AB584" s="25">
        <v>49405</v>
      </c>
      <c r="AC584" s="26">
        <v>49405</v>
      </c>
      <c r="AD584" s="24">
        <v>0</v>
      </c>
      <c r="AE584" s="27">
        <f>_xlfn.XLOOKUP(B584,'Projects Cashflow'!$B:$B,'Projects Cashflow'!$AG:$AG,0)</f>
        <v>49405</v>
      </c>
      <c r="AF584" s="28">
        <f t="shared" si="30"/>
        <v>0</v>
      </c>
    </row>
    <row r="585" spans="2:32" x14ac:dyDescent="0.3">
      <c r="B585" s="14" t="str">
        <f t="shared" si="28"/>
        <v>45161004511000499Licenses Fees-N424131200104</v>
      </c>
      <c r="C585" s="21" t="s">
        <v>65</v>
      </c>
      <c r="D585" s="22">
        <v>4516100</v>
      </c>
      <c r="E585" s="21" t="s">
        <v>583</v>
      </c>
      <c r="F585" s="22">
        <v>4511000499</v>
      </c>
      <c r="G585" s="21" t="s">
        <v>3061</v>
      </c>
      <c r="H585" s="21" t="s">
        <v>365</v>
      </c>
      <c r="I585" s="22">
        <v>424131</v>
      </c>
      <c r="J585" s="22">
        <v>200104</v>
      </c>
      <c r="K585" s="22" t="s">
        <v>2959</v>
      </c>
      <c r="L585" s="22">
        <v>70205</v>
      </c>
      <c r="M585" s="23" t="s">
        <v>2961</v>
      </c>
      <c r="N585" s="24">
        <v>0</v>
      </c>
      <c r="O585" s="24">
        <v>0</v>
      </c>
      <c r="P585" s="24">
        <v>0</v>
      </c>
      <c r="Q585" s="24">
        <v>0</v>
      </c>
      <c r="R585" s="24">
        <v>0</v>
      </c>
      <c r="S585" s="24">
        <v>848841</v>
      </c>
      <c r="T585" s="24">
        <v>125920</v>
      </c>
      <c r="U585" s="24">
        <v>301570</v>
      </c>
      <c r="V585" s="24">
        <v>594940</v>
      </c>
      <c r="W585" s="24">
        <v>153729</v>
      </c>
      <c r="X585" s="24">
        <v>0</v>
      </c>
      <c r="Y585" s="24">
        <v>0</v>
      </c>
      <c r="Z585" s="24">
        <f t="shared" si="29"/>
        <v>2025000</v>
      </c>
      <c r="AB585" s="25">
        <v>2071750</v>
      </c>
      <c r="AC585" s="26">
        <v>2071750</v>
      </c>
      <c r="AD585" s="24">
        <v>0</v>
      </c>
      <c r="AE585" s="27">
        <f>_xlfn.XLOOKUP(B585,'Projects Cashflow'!$B:$B,'Projects Cashflow'!$AG:$AG,0)</f>
        <v>2071750</v>
      </c>
      <c r="AF585" s="28">
        <f t="shared" si="30"/>
        <v>0</v>
      </c>
    </row>
    <row r="586" spans="2:32" x14ac:dyDescent="0.3">
      <c r="B586" s="14" t="str">
        <f t="shared" si="28"/>
        <v>45161004511000499Book Acquisition-N431113200104</v>
      </c>
      <c r="C586" s="21" t="s">
        <v>65</v>
      </c>
      <c r="D586" s="22">
        <v>4516100</v>
      </c>
      <c r="E586" s="21" t="s">
        <v>583</v>
      </c>
      <c r="F586" s="22">
        <v>4511000499</v>
      </c>
      <c r="G586" s="21" t="s">
        <v>3061</v>
      </c>
      <c r="H586" s="21" t="s">
        <v>495</v>
      </c>
      <c r="I586" s="22">
        <v>431113</v>
      </c>
      <c r="J586" s="22">
        <v>200104</v>
      </c>
      <c r="K586" s="22" t="s">
        <v>2959</v>
      </c>
      <c r="L586" s="22">
        <v>70205</v>
      </c>
      <c r="M586" s="23" t="s">
        <v>2961</v>
      </c>
      <c r="N586" s="24">
        <v>0</v>
      </c>
      <c r="O586" s="24">
        <v>0</v>
      </c>
      <c r="P586" s="24">
        <v>0</v>
      </c>
      <c r="Q586" s="24">
        <v>8000</v>
      </c>
      <c r="R586" s="24">
        <v>79618</v>
      </c>
      <c r="S586" s="24">
        <v>64838</v>
      </c>
      <c r="T586" s="24">
        <v>27587</v>
      </c>
      <c r="U586" s="24">
        <v>179772</v>
      </c>
      <c r="V586" s="24">
        <v>313374</v>
      </c>
      <c r="W586" s="24">
        <v>19048</v>
      </c>
      <c r="X586" s="24">
        <v>207763</v>
      </c>
      <c r="Y586" s="24">
        <v>0</v>
      </c>
      <c r="Z586" s="24">
        <f t="shared" si="29"/>
        <v>900000</v>
      </c>
      <c r="AB586" s="25">
        <v>853250</v>
      </c>
      <c r="AC586" s="26">
        <v>853250</v>
      </c>
      <c r="AD586" s="24">
        <v>0</v>
      </c>
      <c r="AE586" s="27">
        <f>_xlfn.XLOOKUP(B586,'Projects Cashflow'!$B:$B,'Projects Cashflow'!$AG:$AG,0)</f>
        <v>853250</v>
      </c>
      <c r="AF586" s="28">
        <f t="shared" si="30"/>
        <v>0</v>
      </c>
    </row>
    <row r="587" spans="2:32" x14ac:dyDescent="0.3">
      <c r="B587" s="14" t="str">
        <f t="shared" si="28"/>
        <v>45161004511000500Editing &amp; Proof-N424791200104</v>
      </c>
      <c r="C587" s="21" t="s">
        <v>65</v>
      </c>
      <c r="D587" s="22">
        <v>4516100</v>
      </c>
      <c r="E587" s="21" t="s">
        <v>583</v>
      </c>
      <c r="F587" s="22">
        <v>4511000500</v>
      </c>
      <c r="G587" s="21" t="s">
        <v>3062</v>
      </c>
      <c r="H587" s="21" t="s">
        <v>611</v>
      </c>
      <c r="I587" s="22">
        <v>424791</v>
      </c>
      <c r="J587" s="22">
        <v>200104</v>
      </c>
      <c r="K587" s="22" t="s">
        <v>2959</v>
      </c>
      <c r="L587" s="22">
        <v>70205</v>
      </c>
      <c r="M587" s="23" t="s">
        <v>2961</v>
      </c>
      <c r="N587" s="24">
        <v>0</v>
      </c>
      <c r="O587" s="24">
        <v>0</v>
      </c>
      <c r="P587" s="24">
        <v>0</v>
      </c>
      <c r="Q587" s="24">
        <v>0</v>
      </c>
      <c r="R587" s="24">
        <v>0</v>
      </c>
      <c r="S587" s="24">
        <v>0</v>
      </c>
      <c r="T587" s="24">
        <v>0</v>
      </c>
      <c r="U587" s="24">
        <v>0</v>
      </c>
      <c r="V587" s="24">
        <v>0</v>
      </c>
      <c r="W587" s="24">
        <v>41396</v>
      </c>
      <c r="X587" s="24">
        <v>54560</v>
      </c>
      <c r="Y587" s="24">
        <v>25544</v>
      </c>
      <c r="Z587" s="24">
        <f t="shared" si="29"/>
        <v>121500</v>
      </c>
      <c r="AB587" s="25">
        <v>121500</v>
      </c>
      <c r="AC587" s="26">
        <v>121500</v>
      </c>
      <c r="AD587" s="24">
        <v>0</v>
      </c>
      <c r="AE587" s="27">
        <f>_xlfn.XLOOKUP(B587,'Projects Cashflow'!$B:$B,'Projects Cashflow'!$AG:$AG,0)</f>
        <v>121500</v>
      </c>
      <c r="AF587" s="28">
        <f t="shared" si="30"/>
        <v>0</v>
      </c>
    </row>
    <row r="588" spans="2:32" x14ac:dyDescent="0.3">
      <c r="B588" s="14" t="str">
        <f t="shared" si="28"/>
        <v>45161004511001493Freelancers-N1424521200104</v>
      </c>
      <c r="C588" s="21" t="s">
        <v>65</v>
      </c>
      <c r="D588" s="22">
        <v>4516100</v>
      </c>
      <c r="E588" s="21" t="s">
        <v>583</v>
      </c>
      <c r="F588" s="22">
        <v>4511001493</v>
      </c>
      <c r="G588" s="21" t="s">
        <v>1843</v>
      </c>
      <c r="H588" s="21" t="s">
        <v>303</v>
      </c>
      <c r="I588" s="22">
        <v>424521</v>
      </c>
      <c r="J588" s="22">
        <v>200104</v>
      </c>
      <c r="K588" s="22" t="s">
        <v>2959</v>
      </c>
      <c r="L588" s="22">
        <v>70205</v>
      </c>
      <c r="M588" s="23" t="s">
        <v>2961</v>
      </c>
      <c r="N588" s="24">
        <v>0</v>
      </c>
      <c r="O588" s="24">
        <v>0</v>
      </c>
      <c r="P588" s="26">
        <v>11000</v>
      </c>
      <c r="Q588" s="24">
        <v>25000</v>
      </c>
      <c r="R588" s="24">
        <v>108000</v>
      </c>
      <c r="S588" s="24">
        <v>36000</v>
      </c>
      <c r="T588" s="24">
        <v>36000</v>
      </c>
      <c r="U588" s="24">
        <v>24000</v>
      </c>
      <c r="V588" s="24">
        <v>24000</v>
      </c>
      <c r="W588" s="24">
        <v>24000</v>
      </c>
      <c r="X588" s="24">
        <v>24000</v>
      </c>
      <c r="Y588" s="24">
        <v>24000</v>
      </c>
      <c r="Z588" s="24">
        <f t="shared" si="29"/>
        <v>336000</v>
      </c>
      <c r="AB588" s="25">
        <v>336000</v>
      </c>
      <c r="AC588" s="26">
        <v>336000</v>
      </c>
      <c r="AD588" s="24">
        <v>0</v>
      </c>
      <c r="AE588" s="27">
        <f>_xlfn.XLOOKUP(B588,'Projects Cashflow'!$B:$B,'Projects Cashflow'!$AG:$AG,0)</f>
        <v>336000</v>
      </c>
      <c r="AF588" s="28">
        <f t="shared" si="30"/>
        <v>0</v>
      </c>
    </row>
    <row r="589" spans="2:32" x14ac:dyDescent="0.3">
      <c r="B589" s="14" t="str">
        <f t="shared" si="28"/>
        <v>45100114511000015Sponsorship Fees-N1424811200104</v>
      </c>
      <c r="C589" s="21" t="s">
        <v>33</v>
      </c>
      <c r="D589" s="22">
        <v>4510011</v>
      </c>
      <c r="E589" s="21" t="s">
        <v>34</v>
      </c>
      <c r="F589" s="22">
        <v>4511000015</v>
      </c>
      <c r="G589" s="21" t="s">
        <v>3063</v>
      </c>
      <c r="H589" s="21" t="s">
        <v>29</v>
      </c>
      <c r="I589" s="22">
        <v>424811</v>
      </c>
      <c r="J589" s="22">
        <v>200104</v>
      </c>
      <c r="K589" s="22" t="s">
        <v>2959</v>
      </c>
      <c r="L589" s="22">
        <v>70101</v>
      </c>
      <c r="M589" s="23" t="s">
        <v>2960</v>
      </c>
      <c r="N589" s="24">
        <v>0</v>
      </c>
      <c r="O589" s="24">
        <v>0</v>
      </c>
      <c r="P589" s="24">
        <v>30000000</v>
      </c>
      <c r="Q589" s="24">
        <v>0</v>
      </c>
      <c r="R589" s="24">
        <v>0</v>
      </c>
      <c r="S589" s="24">
        <v>0</v>
      </c>
      <c r="T589" s="24">
        <v>0</v>
      </c>
      <c r="U589" s="24">
        <v>0</v>
      </c>
      <c r="V589" s="24">
        <v>0</v>
      </c>
      <c r="W589" s="24">
        <v>0</v>
      </c>
      <c r="X589" s="24">
        <v>0</v>
      </c>
      <c r="Y589" s="24">
        <v>0</v>
      </c>
      <c r="Z589" s="24">
        <f t="shared" si="29"/>
        <v>30000000</v>
      </c>
      <c r="AB589" s="25">
        <v>30000000</v>
      </c>
      <c r="AC589" s="26">
        <v>30000000</v>
      </c>
      <c r="AD589" s="24">
        <v>0</v>
      </c>
      <c r="AE589" s="27">
        <f>_xlfn.XLOOKUP(B589,'Projects Cashflow'!$B:$B,'Projects Cashflow'!$AG:$AG,0)</f>
        <v>30000000</v>
      </c>
      <c r="AF589" s="28">
        <f t="shared" si="30"/>
        <v>0</v>
      </c>
    </row>
    <row r="590" spans="2:32" x14ac:dyDescent="0.3">
      <c r="B590" s="14" t="str">
        <f t="shared" si="28"/>
        <v>45100114511000181CAPEX Management-N1491811300105</v>
      </c>
      <c r="C590" s="21" t="s">
        <v>33</v>
      </c>
      <c r="D590" s="22">
        <v>4510011</v>
      </c>
      <c r="E590" s="21" t="s">
        <v>34</v>
      </c>
      <c r="F590" s="22">
        <v>4511000181</v>
      </c>
      <c r="G590" s="21" t="s">
        <v>3064</v>
      </c>
      <c r="H590" s="21" t="s">
        <v>225</v>
      </c>
      <c r="I590" s="22">
        <v>491811</v>
      </c>
      <c r="J590" s="22">
        <v>300105</v>
      </c>
      <c r="K590" s="22" t="s">
        <v>2972</v>
      </c>
      <c r="L590" s="22">
        <v>70101</v>
      </c>
      <c r="M590" s="23" t="s">
        <v>2960</v>
      </c>
      <c r="N590" s="24">
        <v>0</v>
      </c>
      <c r="O590" s="24">
        <v>0</v>
      </c>
      <c r="P590" s="24">
        <v>0</v>
      </c>
      <c r="Q590" s="24">
        <v>0</v>
      </c>
      <c r="R590" s="24">
        <v>0</v>
      </c>
      <c r="S590" s="24">
        <v>0</v>
      </c>
      <c r="T590" s="24">
        <v>0</v>
      </c>
      <c r="U590" s="24">
        <v>0</v>
      </c>
      <c r="V590" s="24">
        <v>0</v>
      </c>
      <c r="W590" s="24">
        <v>0</v>
      </c>
      <c r="X590" s="24">
        <v>0</v>
      </c>
      <c r="Y590" s="24">
        <v>2237470</v>
      </c>
      <c r="Z590" s="24">
        <f t="shared" si="29"/>
        <v>2237470</v>
      </c>
      <c r="AB590" s="25">
        <v>2116604</v>
      </c>
      <c r="AC590" s="26">
        <v>2116604</v>
      </c>
      <c r="AD590" s="32">
        <v>0</v>
      </c>
      <c r="AE590" s="27">
        <f>_xlfn.XLOOKUP(B590,'Projects Cashflow'!$B:$B,'Projects Cashflow'!$AG:$AG,0)</f>
        <v>2116604</v>
      </c>
      <c r="AF590" s="28">
        <f t="shared" si="30"/>
        <v>0</v>
      </c>
    </row>
    <row r="591" spans="2:32" x14ac:dyDescent="0.3">
      <c r="B591" s="14" t="str">
        <f t="shared" si="28"/>
        <v>45100114511000181OPEX Management-N1422191200104</v>
      </c>
      <c r="C591" s="21" t="s">
        <v>33</v>
      </c>
      <c r="D591" s="22">
        <v>4510011</v>
      </c>
      <c r="E591" s="21" t="s">
        <v>34</v>
      </c>
      <c r="F591" s="22">
        <v>4511000181</v>
      </c>
      <c r="G591" s="21" t="s">
        <v>3064</v>
      </c>
      <c r="H591" s="21" t="s">
        <v>232</v>
      </c>
      <c r="I591" s="22">
        <v>422191</v>
      </c>
      <c r="J591" s="22">
        <v>200104</v>
      </c>
      <c r="K591" s="22" t="s">
        <v>2959</v>
      </c>
      <c r="L591" s="22">
        <v>70101</v>
      </c>
      <c r="M591" s="23" t="s">
        <v>2960</v>
      </c>
      <c r="N591" s="24">
        <v>0</v>
      </c>
      <c r="O591" s="24">
        <v>0</v>
      </c>
      <c r="P591" s="24">
        <v>0</v>
      </c>
      <c r="Q591" s="24">
        <v>0</v>
      </c>
      <c r="R591" s="24">
        <v>0</v>
      </c>
      <c r="S591" s="24">
        <v>0</v>
      </c>
      <c r="T591" s="24">
        <v>0</v>
      </c>
      <c r="U591" s="24">
        <v>0</v>
      </c>
      <c r="V591" s="24">
        <v>0</v>
      </c>
      <c r="W591" s="24">
        <v>0</v>
      </c>
      <c r="X591" s="24">
        <v>0</v>
      </c>
      <c r="Y591" s="24">
        <v>70260105</v>
      </c>
      <c r="Z591" s="24">
        <f t="shared" si="29"/>
        <v>70260105</v>
      </c>
      <c r="AB591" s="25">
        <v>59488225</v>
      </c>
      <c r="AC591" s="26">
        <v>59488224.969999999</v>
      </c>
      <c r="AD591" s="24">
        <v>3.0000001192092896E-2</v>
      </c>
      <c r="AE591" s="27">
        <f>_xlfn.XLOOKUP(B591,'Projects Cashflow'!$B:$B,'Projects Cashflow'!$AG:$AG,0)</f>
        <v>59488224.969999999</v>
      </c>
      <c r="AF591" s="28">
        <f t="shared" si="30"/>
        <v>-3.0000001192092896E-2</v>
      </c>
    </row>
    <row r="592" spans="2:32" x14ac:dyDescent="0.3">
      <c r="B592" s="14" t="str">
        <f t="shared" si="28"/>
        <v>45100114511001308Sponsorship Fees-N1424811200104</v>
      </c>
      <c r="C592" s="21" t="s">
        <v>33</v>
      </c>
      <c r="D592" s="22">
        <v>4510011</v>
      </c>
      <c r="E592" s="21" t="s">
        <v>34</v>
      </c>
      <c r="F592" s="22">
        <v>4511001308</v>
      </c>
      <c r="G592" s="21" t="s">
        <v>1547</v>
      </c>
      <c r="H592" s="21" t="s">
        <v>29</v>
      </c>
      <c r="I592" s="22">
        <v>424811</v>
      </c>
      <c r="J592" s="22">
        <v>200104</v>
      </c>
      <c r="K592" s="22" t="s">
        <v>2959</v>
      </c>
      <c r="L592" s="22">
        <v>70101</v>
      </c>
      <c r="M592" s="23" t="s">
        <v>2960</v>
      </c>
      <c r="N592" s="24">
        <v>0</v>
      </c>
      <c r="O592" s="24">
        <v>0</v>
      </c>
      <c r="P592" s="24">
        <v>0</v>
      </c>
      <c r="Q592" s="24">
        <v>0</v>
      </c>
      <c r="R592" s="24">
        <v>0</v>
      </c>
      <c r="S592" s="24">
        <v>179000000</v>
      </c>
      <c r="T592" s="24">
        <v>0</v>
      </c>
      <c r="U592" s="24">
        <v>0</v>
      </c>
      <c r="V592" s="24">
        <v>0</v>
      </c>
      <c r="W592" s="24">
        <v>0</v>
      </c>
      <c r="X592" s="24">
        <v>0</v>
      </c>
      <c r="Y592" s="24">
        <v>0</v>
      </c>
      <c r="Z592" s="24">
        <f t="shared" si="29"/>
        <v>179000000</v>
      </c>
      <c r="AB592" s="25">
        <v>179000000</v>
      </c>
      <c r="AC592" s="26">
        <v>179000000</v>
      </c>
      <c r="AD592" s="24">
        <v>0</v>
      </c>
      <c r="AE592" s="27">
        <f>_xlfn.XLOOKUP(B592,'Projects Cashflow'!$B:$B,'Projects Cashflow'!$AG:$AG,0)</f>
        <v>179000000</v>
      </c>
      <c r="AF592" s="28">
        <f t="shared" si="30"/>
        <v>0</v>
      </c>
    </row>
    <row r="593" spans="2:32" x14ac:dyDescent="0.3">
      <c r="B593" s="14" t="str">
        <f t="shared" si="28"/>
        <v>45101104511000181ManagementAdvice-N424521200104</v>
      </c>
      <c r="C593" s="21" t="s">
        <v>33</v>
      </c>
      <c r="D593" s="22">
        <v>4510110</v>
      </c>
      <c r="E593" s="21" t="s">
        <v>223</v>
      </c>
      <c r="F593" s="22">
        <v>4511000181</v>
      </c>
      <c r="G593" s="21" t="s">
        <v>3064</v>
      </c>
      <c r="H593" s="21" t="s">
        <v>230</v>
      </c>
      <c r="I593" s="22">
        <v>424521</v>
      </c>
      <c r="J593" s="22">
        <v>200104</v>
      </c>
      <c r="K593" s="22" t="s">
        <v>2959</v>
      </c>
      <c r="L593" s="22">
        <v>70101</v>
      </c>
      <c r="M593" s="23" t="s">
        <v>2960</v>
      </c>
      <c r="N593" s="24">
        <v>0</v>
      </c>
      <c r="O593" s="24">
        <v>0</v>
      </c>
      <c r="P593" s="24">
        <v>0</v>
      </c>
      <c r="Q593" s="24">
        <v>0</v>
      </c>
      <c r="R593" s="24">
        <v>32051376</v>
      </c>
      <c r="S593" s="24">
        <v>0</v>
      </c>
      <c r="T593" s="24">
        <v>10000000</v>
      </c>
      <c r="U593" s="24">
        <v>0</v>
      </c>
      <c r="V593" s="24">
        <v>0</v>
      </c>
      <c r="W593" s="24">
        <v>0</v>
      </c>
      <c r="X593" s="24">
        <v>0</v>
      </c>
      <c r="Y593" s="24">
        <v>0</v>
      </c>
      <c r="Z593" s="24">
        <f t="shared" si="29"/>
        <v>42051376</v>
      </c>
      <c r="AB593" s="25">
        <v>58624458</v>
      </c>
      <c r="AC593" s="26">
        <v>58624458</v>
      </c>
      <c r="AD593" s="24">
        <v>0</v>
      </c>
      <c r="AE593" s="27">
        <f>_xlfn.XLOOKUP(B593,'Projects Cashflow'!$B:$B,'Projects Cashflow'!$AG:$AG,0)</f>
        <v>58624458</v>
      </c>
      <c r="AF593" s="28">
        <f t="shared" si="30"/>
        <v>0</v>
      </c>
    </row>
    <row r="594" spans="2:32" x14ac:dyDescent="0.3">
      <c r="B594" s="14" t="str">
        <f t="shared" si="28"/>
        <v>45101104511000181Freelancers-N424521200104</v>
      </c>
      <c r="C594" s="21" t="s">
        <v>33</v>
      </c>
      <c r="D594" s="22">
        <v>4510110</v>
      </c>
      <c r="E594" s="21" t="s">
        <v>223</v>
      </c>
      <c r="F594" s="22">
        <v>4511000181</v>
      </c>
      <c r="G594" s="21" t="s">
        <v>3064</v>
      </c>
      <c r="H594" s="21" t="s">
        <v>50</v>
      </c>
      <c r="I594" s="22">
        <v>424521</v>
      </c>
      <c r="J594" s="22">
        <v>200104</v>
      </c>
      <c r="K594" s="22" t="s">
        <v>2959</v>
      </c>
      <c r="L594" s="22">
        <v>70101</v>
      </c>
      <c r="M594" s="23" t="s">
        <v>2960</v>
      </c>
      <c r="N594" s="24">
        <v>502000</v>
      </c>
      <c r="O594" s="24">
        <v>502000</v>
      </c>
      <c r="P594" s="26">
        <v>373000</v>
      </c>
      <c r="Q594" s="24">
        <v>4607000</v>
      </c>
      <c r="R594" s="24">
        <v>502000</v>
      </c>
      <c r="S594" s="24">
        <v>502000</v>
      </c>
      <c r="T594" s="24">
        <v>502000</v>
      </c>
      <c r="U594" s="24">
        <v>502000</v>
      </c>
      <c r="V594" s="24">
        <v>502000</v>
      </c>
      <c r="W594" s="24">
        <v>502000</v>
      </c>
      <c r="X594" s="24">
        <v>502000</v>
      </c>
      <c r="Y594" s="24">
        <v>502000</v>
      </c>
      <c r="Z594" s="24">
        <f t="shared" si="29"/>
        <v>10000000</v>
      </c>
      <c r="AB594" s="25">
        <v>4000000</v>
      </c>
      <c r="AC594" s="26">
        <v>4000000</v>
      </c>
      <c r="AD594" s="24">
        <v>0</v>
      </c>
      <c r="AE594" s="27">
        <f>_xlfn.XLOOKUP(B594,'Projects Cashflow'!$B:$B,'Projects Cashflow'!$AG:$AG,0)</f>
        <v>4000000</v>
      </c>
      <c r="AF594" s="28">
        <f t="shared" si="30"/>
        <v>0</v>
      </c>
    </row>
    <row r="595" spans="2:32" x14ac:dyDescent="0.3">
      <c r="B595" s="14" t="str">
        <f t="shared" si="28"/>
        <v>45101104511000181Admin Expenses-N421125200104</v>
      </c>
      <c r="C595" s="21" t="s">
        <v>33</v>
      </c>
      <c r="D595" s="22">
        <v>4510110</v>
      </c>
      <c r="E595" s="21" t="s">
        <v>223</v>
      </c>
      <c r="F595" s="22">
        <v>4511000181</v>
      </c>
      <c r="G595" s="21" t="s">
        <v>3064</v>
      </c>
      <c r="H595" s="21" t="s">
        <v>130</v>
      </c>
      <c r="I595" s="22">
        <v>421125</v>
      </c>
      <c r="J595" s="22">
        <v>200104</v>
      </c>
      <c r="K595" s="22" t="s">
        <v>2959</v>
      </c>
      <c r="L595" s="22">
        <v>70101</v>
      </c>
      <c r="M595" s="23" t="s">
        <v>2960</v>
      </c>
      <c r="N595" s="24">
        <v>0</v>
      </c>
      <c r="O595" s="24">
        <v>0</v>
      </c>
      <c r="P595" s="24">
        <v>0</v>
      </c>
      <c r="Q595" s="24">
        <v>38455</v>
      </c>
      <c r="R595" s="24">
        <v>3000</v>
      </c>
      <c r="S595" s="24">
        <v>3317.28</v>
      </c>
      <c r="T595" s="24">
        <v>77318.540000000008</v>
      </c>
      <c r="U595" s="24">
        <v>22550</v>
      </c>
      <c r="V595" s="24">
        <v>4475.119999999999</v>
      </c>
      <c r="W595" s="24">
        <v>28659.439999999999</v>
      </c>
      <c r="X595" s="24">
        <v>1409112.31</v>
      </c>
      <c r="Y595" s="24">
        <v>1413112.31</v>
      </c>
      <c r="Z595" s="24">
        <f t="shared" si="29"/>
        <v>3000000</v>
      </c>
      <c r="AB595" s="25">
        <v>3000000</v>
      </c>
      <c r="AC595" s="26">
        <v>3000000</v>
      </c>
      <c r="AD595" s="24">
        <v>0</v>
      </c>
      <c r="AE595" s="27">
        <f>_xlfn.XLOOKUP(B595,'Projects Cashflow'!$B:$B,'Projects Cashflow'!$AG:$AG,0)</f>
        <v>3000000</v>
      </c>
      <c r="AF595" s="28">
        <f t="shared" si="30"/>
        <v>0</v>
      </c>
    </row>
    <row r="596" spans="2:32" x14ac:dyDescent="0.3">
      <c r="B596" s="14" t="str">
        <f t="shared" si="28"/>
        <v>45101104511000181Mission &amp; Travel-N423821200104</v>
      </c>
      <c r="C596" s="21" t="s">
        <v>33</v>
      </c>
      <c r="D596" s="22">
        <v>4510110</v>
      </c>
      <c r="E596" s="21" t="s">
        <v>223</v>
      </c>
      <c r="F596" s="22">
        <v>4511000181</v>
      </c>
      <c r="G596" s="21" t="s">
        <v>3064</v>
      </c>
      <c r="H596" s="21" t="s">
        <v>54</v>
      </c>
      <c r="I596" s="22">
        <v>423821</v>
      </c>
      <c r="J596" s="22">
        <v>200104</v>
      </c>
      <c r="K596" s="22" t="s">
        <v>2959</v>
      </c>
      <c r="L596" s="22">
        <v>70101</v>
      </c>
      <c r="M596" s="23" t="s">
        <v>2960</v>
      </c>
      <c r="N596" s="24">
        <v>0</v>
      </c>
      <c r="O596" s="24">
        <v>0</v>
      </c>
      <c r="P596" s="24">
        <v>800</v>
      </c>
      <c r="Q596" s="24">
        <v>53200</v>
      </c>
      <c r="R596" s="24">
        <v>50000</v>
      </c>
      <c r="S596" s="24">
        <v>184476</v>
      </c>
      <c r="T596" s="24">
        <v>57894</v>
      </c>
      <c r="U596" s="24">
        <v>142658</v>
      </c>
      <c r="V596" s="24">
        <v>10000</v>
      </c>
      <c r="W596" s="24">
        <v>82231</v>
      </c>
      <c r="X596" s="24">
        <v>311610</v>
      </c>
      <c r="Y596" s="24">
        <v>1107131</v>
      </c>
      <c r="Z596" s="24">
        <f t="shared" si="29"/>
        <v>2000000</v>
      </c>
      <c r="AB596" s="25">
        <v>2000000</v>
      </c>
      <c r="AC596" s="26">
        <v>2000000</v>
      </c>
      <c r="AD596" s="24">
        <v>0</v>
      </c>
      <c r="AE596" s="27">
        <f>_xlfn.XLOOKUP(B596,'Projects Cashflow'!$B:$B,'Projects Cashflow'!$AG:$AG,0)</f>
        <v>2000000</v>
      </c>
      <c r="AF596" s="28">
        <f t="shared" si="30"/>
        <v>0</v>
      </c>
    </row>
    <row r="597" spans="2:32" x14ac:dyDescent="0.3">
      <c r="B597" s="14" t="str">
        <f t="shared" si="28"/>
        <v>45101104511000829Acquisitions-L491811301439</v>
      </c>
      <c r="C597" s="21" t="s">
        <v>33</v>
      </c>
      <c r="D597" s="22">
        <v>4510110</v>
      </c>
      <c r="E597" s="21" t="s">
        <v>223</v>
      </c>
      <c r="F597" s="22">
        <v>4511000829</v>
      </c>
      <c r="G597" s="43" t="s">
        <v>1123</v>
      </c>
      <c r="H597" s="43" t="s">
        <v>1124</v>
      </c>
      <c r="I597" s="22">
        <v>491811</v>
      </c>
      <c r="J597" s="22">
        <v>301439</v>
      </c>
      <c r="K597" s="22" t="s">
        <v>2972</v>
      </c>
      <c r="L597" s="22">
        <v>70101</v>
      </c>
      <c r="M597" s="23" t="s">
        <v>2960</v>
      </c>
      <c r="N597" s="24">
        <v>0</v>
      </c>
      <c r="O597" s="24">
        <v>0</v>
      </c>
      <c r="P597" s="24">
        <v>868032100</v>
      </c>
      <c r="Q597" s="24">
        <v>0</v>
      </c>
      <c r="R597" s="24">
        <v>0</v>
      </c>
      <c r="S597" s="24">
        <v>0</v>
      </c>
      <c r="T597" s="24">
        <v>0</v>
      </c>
      <c r="U597" s="24">
        <v>0</v>
      </c>
      <c r="V597" s="24">
        <v>0</v>
      </c>
      <c r="W597" s="24">
        <v>0</v>
      </c>
      <c r="X597" s="24">
        <v>0</v>
      </c>
      <c r="Y597" s="24">
        <v>0</v>
      </c>
      <c r="Z597" s="24">
        <f t="shared" si="29"/>
        <v>868032100</v>
      </c>
      <c r="AB597" s="25">
        <v>1077724774</v>
      </c>
      <c r="AC597" s="26">
        <v>1077724774</v>
      </c>
      <c r="AD597" s="24">
        <v>0</v>
      </c>
      <c r="AE597" s="27">
        <f>_xlfn.XLOOKUP(B597,'Projects Cashflow'!$B:$B,'Projects Cashflow'!$AG:$AG,0)</f>
        <v>1077724774</v>
      </c>
      <c r="AF597" s="28">
        <f t="shared" si="30"/>
        <v>0</v>
      </c>
    </row>
    <row r="598" spans="2:32" x14ac:dyDescent="0.3">
      <c r="B598" s="14" t="str">
        <f t="shared" si="28"/>
        <v>45101404511000016Audit Services-N421125200104</v>
      </c>
      <c r="C598" s="21" t="s">
        <v>33</v>
      </c>
      <c r="D598" s="22">
        <v>4510140</v>
      </c>
      <c r="E598" s="21" t="s">
        <v>3065</v>
      </c>
      <c r="F598" s="22">
        <v>4511000016</v>
      </c>
      <c r="G598" s="21" t="s">
        <v>46</v>
      </c>
      <c r="H598" s="21" t="s">
        <v>43</v>
      </c>
      <c r="I598" s="22">
        <v>421125</v>
      </c>
      <c r="J598" s="22">
        <v>200104</v>
      </c>
      <c r="K598" s="22" t="s">
        <v>2959</v>
      </c>
      <c r="L598" s="22">
        <v>70109</v>
      </c>
      <c r="M598" s="23" t="s">
        <v>2960</v>
      </c>
      <c r="N598" s="24">
        <v>0</v>
      </c>
      <c r="O598" s="24">
        <v>0</v>
      </c>
      <c r="P598" s="24">
        <v>0</v>
      </c>
      <c r="Q598" s="24">
        <v>454200</v>
      </c>
      <c r="R598" s="24">
        <v>142800</v>
      </c>
      <c r="S598" s="24">
        <v>142800</v>
      </c>
      <c r="T598" s="24">
        <v>142800</v>
      </c>
      <c r="U598" s="24">
        <v>142800</v>
      </c>
      <c r="V598" s="24">
        <v>464500</v>
      </c>
      <c r="W598" s="24">
        <v>342800</v>
      </c>
      <c r="X598" s="24">
        <v>802800</v>
      </c>
      <c r="Y598" s="24">
        <v>464500</v>
      </c>
      <c r="Z598" s="24">
        <f t="shared" si="29"/>
        <v>3100000</v>
      </c>
      <c r="AB598" s="25">
        <v>2669667</v>
      </c>
      <c r="AC598" s="26">
        <v>2669667</v>
      </c>
      <c r="AD598" s="24">
        <v>0</v>
      </c>
      <c r="AE598" s="27">
        <f>_xlfn.XLOOKUP(B598,'Projects Cashflow'!$B:$B,'Projects Cashflow'!$AG:$AG,0)</f>
        <v>2669667</v>
      </c>
      <c r="AF598" s="28">
        <f t="shared" si="30"/>
        <v>0</v>
      </c>
    </row>
    <row r="599" spans="2:32" x14ac:dyDescent="0.3">
      <c r="B599" s="14" t="str">
        <f t="shared" si="28"/>
        <v>45101404511000016Other Expenses-N424991200104</v>
      </c>
      <c r="C599" s="21" t="s">
        <v>33</v>
      </c>
      <c r="D599" s="22">
        <v>4510140</v>
      </c>
      <c r="E599" s="21" t="s">
        <v>3065</v>
      </c>
      <c r="F599" s="22">
        <v>4511000016</v>
      </c>
      <c r="G599" s="21" t="s">
        <v>46</v>
      </c>
      <c r="H599" s="21" t="s">
        <v>57</v>
      </c>
      <c r="I599" s="22">
        <v>424991</v>
      </c>
      <c r="J599" s="22">
        <v>200104</v>
      </c>
      <c r="K599" s="22" t="s">
        <v>2959</v>
      </c>
      <c r="L599" s="22">
        <v>70109</v>
      </c>
      <c r="M599" s="23" t="s">
        <v>2960</v>
      </c>
      <c r="N599" s="24">
        <v>0</v>
      </c>
      <c r="O599" s="24">
        <v>0</v>
      </c>
      <c r="P599" s="24">
        <v>2926.04</v>
      </c>
      <c r="Q599" s="24">
        <v>0</v>
      </c>
      <c r="R599" s="24">
        <v>0</v>
      </c>
      <c r="S599" s="24">
        <v>0</v>
      </c>
      <c r="T599" s="24">
        <v>0</v>
      </c>
      <c r="U599" s="24">
        <v>0</v>
      </c>
      <c r="V599" s="24">
        <v>59574</v>
      </c>
      <c r="W599" s="24">
        <v>0</v>
      </c>
      <c r="X599" s="24">
        <v>62500</v>
      </c>
      <c r="Y599" s="24">
        <v>0</v>
      </c>
      <c r="Z599" s="24">
        <f t="shared" si="29"/>
        <v>125000.04000000001</v>
      </c>
      <c r="AB599" s="25">
        <v>125000.04000000001</v>
      </c>
      <c r="AC599" s="26">
        <v>125000</v>
      </c>
      <c r="AD599" s="24">
        <v>4.0000000008149073E-2</v>
      </c>
      <c r="AE599" s="27">
        <f>_xlfn.XLOOKUP(B599,'Projects Cashflow'!$B:$B,'Projects Cashflow'!$AG:$AG,0)</f>
        <v>125000</v>
      </c>
      <c r="AF599" s="28">
        <f t="shared" si="30"/>
        <v>-4.0000000008149073E-2</v>
      </c>
    </row>
    <row r="600" spans="2:32" x14ac:dyDescent="0.3">
      <c r="B600" s="14" t="str">
        <f t="shared" si="28"/>
        <v>45101404511000016Mission &amp; Travel-N423821200104</v>
      </c>
      <c r="C600" s="21" t="s">
        <v>33</v>
      </c>
      <c r="D600" s="22">
        <v>4510140</v>
      </c>
      <c r="E600" s="21" t="s">
        <v>3065</v>
      </c>
      <c r="F600" s="22">
        <v>4511000016</v>
      </c>
      <c r="G600" s="21" t="s">
        <v>46</v>
      </c>
      <c r="H600" s="21" t="s">
        <v>54</v>
      </c>
      <c r="I600" s="22">
        <v>423821</v>
      </c>
      <c r="J600" s="22">
        <v>200104</v>
      </c>
      <c r="K600" s="22" t="s">
        <v>2959</v>
      </c>
      <c r="L600" s="22">
        <v>70109</v>
      </c>
      <c r="M600" s="23" t="s">
        <v>2960</v>
      </c>
      <c r="N600" s="24">
        <v>0</v>
      </c>
      <c r="O600" s="24">
        <v>0</v>
      </c>
      <c r="P600" s="24">
        <v>0</v>
      </c>
      <c r="Q600" s="24">
        <v>0</v>
      </c>
      <c r="R600" s="24">
        <v>0</v>
      </c>
      <c r="S600" s="24">
        <v>0</v>
      </c>
      <c r="T600" s="24">
        <v>0</v>
      </c>
      <c r="U600" s="24">
        <v>0</v>
      </c>
      <c r="V600" s="24">
        <v>0</v>
      </c>
      <c r="W600" s="24">
        <v>0</v>
      </c>
      <c r="X600" s="24">
        <v>125000</v>
      </c>
      <c r="Y600" s="24">
        <v>0</v>
      </c>
      <c r="Z600" s="24">
        <f t="shared" si="29"/>
        <v>125000</v>
      </c>
      <c r="AB600" s="25">
        <v>125000</v>
      </c>
      <c r="AC600" s="26">
        <v>125000</v>
      </c>
      <c r="AD600" s="24">
        <v>0</v>
      </c>
      <c r="AE600" s="27">
        <f>_xlfn.XLOOKUP(B600,'Projects Cashflow'!$B:$B,'Projects Cashflow'!$AG:$AG,0)</f>
        <v>125000</v>
      </c>
      <c r="AF600" s="28">
        <f t="shared" si="30"/>
        <v>0</v>
      </c>
    </row>
    <row r="601" spans="2:32" x14ac:dyDescent="0.3">
      <c r="B601" s="14" t="str">
        <f t="shared" si="28"/>
        <v>45112504511000623Security Service-N424551200104</v>
      </c>
      <c r="C601" s="21" t="s">
        <v>65</v>
      </c>
      <c r="D601" s="22">
        <v>4511250</v>
      </c>
      <c r="E601" s="21" t="s">
        <v>66</v>
      </c>
      <c r="F601" s="22">
        <v>4511000623</v>
      </c>
      <c r="G601" s="21" t="s">
        <v>3014</v>
      </c>
      <c r="H601" s="21" t="s">
        <v>107</v>
      </c>
      <c r="I601" s="22">
        <v>424551</v>
      </c>
      <c r="J601" s="22">
        <v>200104</v>
      </c>
      <c r="K601" s="22" t="s">
        <v>2959</v>
      </c>
      <c r="L601" s="22">
        <v>70205</v>
      </c>
      <c r="M601" s="23" t="s">
        <v>2961</v>
      </c>
      <c r="N601" s="24">
        <v>0</v>
      </c>
      <c r="O601" s="24">
        <v>0</v>
      </c>
      <c r="P601" s="24">
        <v>0</v>
      </c>
      <c r="Q601" s="24">
        <v>34000</v>
      </c>
      <c r="R601" s="24">
        <v>8500</v>
      </c>
      <c r="S601" s="24">
        <v>8500</v>
      </c>
      <c r="T601" s="24">
        <v>8500</v>
      </c>
      <c r="U601" s="24">
        <v>8500</v>
      </c>
      <c r="V601" s="24">
        <v>8500</v>
      </c>
      <c r="W601" s="24">
        <v>25500</v>
      </c>
      <c r="X601" s="24">
        <v>10860</v>
      </c>
      <c r="Y601" s="24">
        <v>0</v>
      </c>
      <c r="Z601" s="24">
        <f t="shared" si="29"/>
        <v>112860</v>
      </c>
      <c r="AB601" s="25">
        <v>112860</v>
      </c>
      <c r="AC601" s="26">
        <v>112860</v>
      </c>
      <c r="AD601" s="24">
        <v>0</v>
      </c>
      <c r="AE601" s="27">
        <f>_xlfn.XLOOKUP(B601,'Projects Cashflow'!$B:$B,'Projects Cashflow'!$AG:$AG,0)</f>
        <v>112860</v>
      </c>
      <c r="AF601" s="28">
        <f t="shared" si="30"/>
        <v>0</v>
      </c>
    </row>
    <row r="602" spans="2:32" x14ac:dyDescent="0.3">
      <c r="B602" s="14" t="str">
        <f t="shared" si="28"/>
        <v>45101504511000113Construct Advice-N421126200104</v>
      </c>
      <c r="C602" s="21" t="s">
        <v>33</v>
      </c>
      <c r="D602" s="22">
        <v>4510150</v>
      </c>
      <c r="E602" s="21" t="s">
        <v>172</v>
      </c>
      <c r="F602" s="22">
        <v>4511000113</v>
      </c>
      <c r="G602" s="21" t="s">
        <v>171</v>
      </c>
      <c r="H602" s="21" t="s">
        <v>174</v>
      </c>
      <c r="I602" s="22">
        <v>421126</v>
      </c>
      <c r="J602" s="22">
        <v>200104</v>
      </c>
      <c r="K602" s="22" t="s">
        <v>2959</v>
      </c>
      <c r="L602" s="22">
        <v>70101</v>
      </c>
      <c r="M602" s="23" t="s">
        <v>2960</v>
      </c>
      <c r="N602" s="24">
        <v>0</v>
      </c>
      <c r="O602" s="24">
        <v>0</v>
      </c>
      <c r="P602" s="24">
        <v>0</v>
      </c>
      <c r="Q602" s="24">
        <v>1311000</v>
      </c>
      <c r="R602" s="24">
        <v>1020000</v>
      </c>
      <c r="S602" s="24">
        <v>420000</v>
      </c>
      <c r="T602" s="24">
        <v>559000</v>
      </c>
      <c r="U602" s="24">
        <v>1200000</v>
      </c>
      <c r="V602" s="24">
        <v>370000</v>
      </c>
      <c r="W602" s="24">
        <v>270000</v>
      </c>
      <c r="X602" s="24">
        <v>320000</v>
      </c>
      <c r="Y602" s="24">
        <v>270000</v>
      </c>
      <c r="Z602" s="24">
        <f t="shared" si="29"/>
        <v>5740000</v>
      </c>
      <c r="AB602" s="25">
        <v>5740000</v>
      </c>
      <c r="AC602" s="26">
        <v>5740000</v>
      </c>
      <c r="AD602" s="24">
        <v>0</v>
      </c>
      <c r="AE602" s="27">
        <f>_xlfn.XLOOKUP(B602,'Projects Cashflow'!$B:$B,'Projects Cashflow'!$AG:$AG,0)</f>
        <v>5740000</v>
      </c>
      <c r="AF602" s="28">
        <f t="shared" si="30"/>
        <v>0</v>
      </c>
    </row>
    <row r="603" spans="2:32" x14ac:dyDescent="0.3">
      <c r="B603" s="14" t="str">
        <f t="shared" si="28"/>
        <v>45101504511000113System Licenses-N425252200104</v>
      </c>
      <c r="C603" s="21" t="s">
        <v>33</v>
      </c>
      <c r="D603" s="22">
        <v>4510150</v>
      </c>
      <c r="E603" s="21" t="s">
        <v>172</v>
      </c>
      <c r="F603" s="22">
        <v>4511000113</v>
      </c>
      <c r="G603" s="21" t="s">
        <v>171</v>
      </c>
      <c r="H603" s="21" t="s">
        <v>180</v>
      </c>
      <c r="I603" s="22">
        <v>425252</v>
      </c>
      <c r="J603" s="22">
        <v>200104</v>
      </c>
      <c r="K603" s="22" t="s">
        <v>2959</v>
      </c>
      <c r="L603" s="22">
        <v>70101</v>
      </c>
      <c r="M603" s="23" t="s">
        <v>2960</v>
      </c>
      <c r="N603" s="24">
        <v>0</v>
      </c>
      <c r="O603" s="24">
        <v>0</v>
      </c>
      <c r="P603" s="24">
        <v>0</v>
      </c>
      <c r="Q603" s="24">
        <v>535900.14</v>
      </c>
      <c r="R603" s="24">
        <v>0</v>
      </c>
      <c r="S603" s="24">
        <v>0</v>
      </c>
      <c r="T603" s="24">
        <v>0</v>
      </c>
      <c r="U603" s="24">
        <v>0</v>
      </c>
      <c r="V603" s="24">
        <v>0</v>
      </c>
      <c r="W603" s="24">
        <v>0</v>
      </c>
      <c r="X603" s="24">
        <v>2929678.8600000003</v>
      </c>
      <c r="Y603" s="24">
        <v>0</v>
      </c>
      <c r="Z603" s="24">
        <f t="shared" si="29"/>
        <v>3465579.0000000005</v>
      </c>
      <c r="AB603" s="25">
        <v>3465579.0000000005</v>
      </c>
      <c r="AC603" s="26">
        <v>3465579</v>
      </c>
      <c r="AD603" s="24">
        <v>0</v>
      </c>
      <c r="AE603" s="27">
        <f>_xlfn.XLOOKUP(B603,'Projects Cashflow'!$B:$B,'Projects Cashflow'!$AG:$AG,0)</f>
        <v>3465579</v>
      </c>
      <c r="AF603" s="28">
        <f t="shared" si="30"/>
        <v>0</v>
      </c>
    </row>
    <row r="604" spans="2:32" x14ac:dyDescent="0.3">
      <c r="B604" s="14" t="str">
        <f t="shared" si="28"/>
        <v>45101504511000113Hospitality-N424761200104</v>
      </c>
      <c r="C604" s="21" t="s">
        <v>33</v>
      </c>
      <c r="D604" s="22">
        <v>4510150</v>
      </c>
      <c r="E604" s="21" t="s">
        <v>172</v>
      </c>
      <c r="F604" s="22">
        <v>4511000113</v>
      </c>
      <c r="G604" s="21" t="s">
        <v>171</v>
      </c>
      <c r="H604" s="21" t="s">
        <v>83</v>
      </c>
      <c r="I604" s="22">
        <v>424761</v>
      </c>
      <c r="J604" s="22">
        <v>200104</v>
      </c>
      <c r="K604" s="22" t="s">
        <v>2959</v>
      </c>
      <c r="L604" s="22">
        <v>70101</v>
      </c>
      <c r="M604" s="23" t="s">
        <v>2960</v>
      </c>
      <c r="N604" s="24">
        <v>0</v>
      </c>
      <c r="O604" s="24">
        <v>0</v>
      </c>
      <c r="P604" s="24">
        <v>0</v>
      </c>
      <c r="Q604" s="24">
        <v>492291</v>
      </c>
      <c r="R604" s="24">
        <v>310100</v>
      </c>
      <c r="S604" s="24">
        <v>0</v>
      </c>
      <c r="T604" s="24">
        <v>0</v>
      </c>
      <c r="U604" s="24">
        <v>251200</v>
      </c>
      <c r="V604" s="24">
        <v>0</v>
      </c>
      <c r="W604" s="24">
        <v>251200</v>
      </c>
      <c r="X604" s="24">
        <v>251200</v>
      </c>
      <c r="Y604" s="24">
        <v>251200</v>
      </c>
      <c r="Z604" s="24">
        <f t="shared" si="29"/>
        <v>1807191</v>
      </c>
      <c r="AB604" s="25">
        <v>1807191</v>
      </c>
      <c r="AC604" s="26">
        <v>1807191</v>
      </c>
      <c r="AD604" s="24">
        <v>0</v>
      </c>
      <c r="AE604" s="27">
        <f>_xlfn.XLOOKUP(B604,'Projects Cashflow'!$B:$B,'Projects Cashflow'!$AG:$AG,0)</f>
        <v>1807191</v>
      </c>
      <c r="AF604" s="28">
        <f t="shared" si="30"/>
        <v>0</v>
      </c>
    </row>
    <row r="605" spans="2:32" x14ac:dyDescent="0.3">
      <c r="B605" s="14" t="str">
        <f t="shared" si="28"/>
        <v>45101504511000113Mission &amp; Travel-N423821200104</v>
      </c>
      <c r="C605" s="21" t="s">
        <v>33</v>
      </c>
      <c r="D605" s="22">
        <v>4510150</v>
      </c>
      <c r="E605" s="21" t="s">
        <v>172</v>
      </c>
      <c r="F605" s="22">
        <v>4511000113</v>
      </c>
      <c r="G605" s="21" t="s">
        <v>171</v>
      </c>
      <c r="H605" s="21" t="s">
        <v>54</v>
      </c>
      <c r="I605" s="22">
        <v>423821</v>
      </c>
      <c r="J605" s="22">
        <v>200104</v>
      </c>
      <c r="K605" s="22" t="s">
        <v>2959</v>
      </c>
      <c r="L605" s="22">
        <v>70101</v>
      </c>
      <c r="M605" s="23" t="s">
        <v>2960</v>
      </c>
      <c r="N605" s="24">
        <v>0</v>
      </c>
      <c r="O605" s="24">
        <v>0</v>
      </c>
      <c r="P605" s="24">
        <v>41400</v>
      </c>
      <c r="Q605" s="24">
        <v>833100</v>
      </c>
      <c r="R605" s="24">
        <v>36000</v>
      </c>
      <c r="S605" s="24">
        <v>0</v>
      </c>
      <c r="T605" s="24">
        <v>100500</v>
      </c>
      <c r="U605" s="24">
        <v>0</v>
      </c>
      <c r="V605" s="24">
        <v>0</v>
      </c>
      <c r="W605" s="24">
        <v>102000</v>
      </c>
      <c r="X605" s="24">
        <v>0</v>
      </c>
      <c r="Y605" s="24">
        <v>0</v>
      </c>
      <c r="Z605" s="24">
        <f t="shared" si="29"/>
        <v>1113000</v>
      </c>
      <c r="AB605" s="25">
        <v>1113000</v>
      </c>
      <c r="AC605" s="26">
        <v>1113000</v>
      </c>
      <c r="AD605" s="24">
        <v>0</v>
      </c>
      <c r="AE605" s="27">
        <f>_xlfn.XLOOKUP(B605,'Projects Cashflow'!$B:$B,'Projects Cashflow'!$AG:$AG,0)</f>
        <v>1113000</v>
      </c>
      <c r="AF605" s="28">
        <f t="shared" si="30"/>
        <v>0</v>
      </c>
    </row>
    <row r="606" spans="2:32" x14ac:dyDescent="0.3">
      <c r="B606" s="14" t="str">
        <f t="shared" si="28"/>
        <v>45101504511000113Admin Expenses-N421125200104</v>
      </c>
      <c r="C606" s="21" t="s">
        <v>33</v>
      </c>
      <c r="D606" s="22">
        <v>4510150</v>
      </c>
      <c r="E606" s="21" t="s">
        <v>172</v>
      </c>
      <c r="F606" s="22">
        <v>4511000113</v>
      </c>
      <c r="G606" s="21" t="s">
        <v>171</v>
      </c>
      <c r="H606" s="21" t="s">
        <v>130</v>
      </c>
      <c r="I606" s="22">
        <v>421125</v>
      </c>
      <c r="J606" s="22">
        <v>200104</v>
      </c>
      <c r="K606" s="22" t="s">
        <v>2959</v>
      </c>
      <c r="L606" s="22">
        <v>70101</v>
      </c>
      <c r="M606" s="23" t="s">
        <v>2960</v>
      </c>
      <c r="N606" s="24">
        <v>0</v>
      </c>
      <c r="O606" s="24">
        <v>0</v>
      </c>
      <c r="P606" s="24">
        <v>4944.8999999999996</v>
      </c>
      <c r="Q606" s="24">
        <v>47055.1</v>
      </c>
      <c r="R606" s="24">
        <v>17000</v>
      </c>
      <c r="S606" s="24">
        <v>0</v>
      </c>
      <c r="T606" s="24">
        <v>19500</v>
      </c>
      <c r="U606" s="24">
        <v>10000</v>
      </c>
      <c r="V606" s="24">
        <v>7000</v>
      </c>
      <c r="W606" s="24">
        <v>12500</v>
      </c>
      <c r="X606" s="24">
        <v>17000</v>
      </c>
      <c r="Y606" s="24">
        <v>0</v>
      </c>
      <c r="Z606" s="24">
        <f t="shared" si="29"/>
        <v>135000</v>
      </c>
      <c r="AB606" s="25">
        <v>135000</v>
      </c>
      <c r="AC606" s="26">
        <v>135000</v>
      </c>
      <c r="AD606" s="24">
        <v>0</v>
      </c>
      <c r="AE606" s="27">
        <f>_xlfn.XLOOKUP(B606,'Projects Cashflow'!$B:$B,'Projects Cashflow'!$AG:$AG,0)</f>
        <v>135000</v>
      </c>
      <c r="AF606" s="28">
        <f t="shared" si="30"/>
        <v>0</v>
      </c>
    </row>
    <row r="607" spans="2:32" x14ac:dyDescent="0.3">
      <c r="B607" s="14" t="str">
        <f t="shared" si="28"/>
        <v>45101554511000265Construct Advice-N421126200104</v>
      </c>
      <c r="C607" s="21" t="s">
        <v>33</v>
      </c>
      <c r="D607" s="22">
        <v>4510155</v>
      </c>
      <c r="E607" s="21" t="s">
        <v>362</v>
      </c>
      <c r="F607" s="22">
        <v>4511000265</v>
      </c>
      <c r="G607" s="21" t="s">
        <v>3066</v>
      </c>
      <c r="H607" s="21" t="s">
        <v>174</v>
      </c>
      <c r="I607" s="22">
        <v>421126</v>
      </c>
      <c r="J607" s="22">
        <v>200104</v>
      </c>
      <c r="K607" s="22" t="s">
        <v>2959</v>
      </c>
      <c r="L607" s="22">
        <v>70101</v>
      </c>
      <c r="M607" s="23" t="s">
        <v>2960</v>
      </c>
      <c r="N607" s="24">
        <v>0</v>
      </c>
      <c r="O607" s="24">
        <v>0</v>
      </c>
      <c r="P607" s="24">
        <v>0</v>
      </c>
      <c r="Q607" s="24">
        <v>975000</v>
      </c>
      <c r="R607" s="24">
        <v>625000</v>
      </c>
      <c r="S607" s="24">
        <v>575000</v>
      </c>
      <c r="T607" s="24">
        <v>363230</v>
      </c>
      <c r="U607" s="24">
        <v>575000</v>
      </c>
      <c r="V607" s="24">
        <v>604000</v>
      </c>
      <c r="W607" s="24">
        <v>575000</v>
      </c>
      <c r="X607" s="24">
        <v>625000</v>
      </c>
      <c r="Y607" s="24">
        <v>536000</v>
      </c>
      <c r="Z607" s="24">
        <f t="shared" si="29"/>
        <v>5453230</v>
      </c>
      <c r="AB607" s="25">
        <v>5453230</v>
      </c>
      <c r="AC607" s="26">
        <v>5453230</v>
      </c>
      <c r="AD607" s="24">
        <v>0</v>
      </c>
      <c r="AE607" s="27">
        <f>_xlfn.XLOOKUP(B607,'Projects Cashflow'!$B:$B,'Projects Cashflow'!$AG:$AG,0)</f>
        <v>5453230</v>
      </c>
      <c r="AF607" s="28">
        <f t="shared" si="30"/>
        <v>0</v>
      </c>
    </row>
    <row r="608" spans="2:32" x14ac:dyDescent="0.3">
      <c r="B608" s="14" t="str">
        <f t="shared" si="28"/>
        <v>45101554511000265Mission &amp; Travel-N423821200104</v>
      </c>
      <c r="C608" s="21" t="s">
        <v>33</v>
      </c>
      <c r="D608" s="22">
        <v>4510155</v>
      </c>
      <c r="E608" s="21" t="s">
        <v>362</v>
      </c>
      <c r="F608" s="22">
        <v>4511000265</v>
      </c>
      <c r="G608" s="21" t="s">
        <v>3066</v>
      </c>
      <c r="H608" s="21" t="s">
        <v>54</v>
      </c>
      <c r="I608" s="22">
        <v>423821</v>
      </c>
      <c r="J608" s="22">
        <v>200104</v>
      </c>
      <c r="K608" s="22" t="s">
        <v>2959</v>
      </c>
      <c r="L608" s="22">
        <v>70101</v>
      </c>
      <c r="M608" s="23" t="s">
        <v>2960</v>
      </c>
      <c r="N608" s="24">
        <v>0</v>
      </c>
      <c r="O608" s="24">
        <v>0</v>
      </c>
      <c r="P608" s="24">
        <v>16800</v>
      </c>
      <c r="Q608" s="24">
        <v>634700</v>
      </c>
      <c r="R608" s="24">
        <v>191500</v>
      </c>
      <c r="S608" s="24">
        <v>1500</v>
      </c>
      <c r="T608" s="24">
        <v>1500</v>
      </c>
      <c r="U608" s="24">
        <v>1500</v>
      </c>
      <c r="V608" s="24">
        <v>86937</v>
      </c>
      <c r="W608" s="24">
        <v>1500</v>
      </c>
      <c r="X608" s="24">
        <v>66500</v>
      </c>
      <c r="Y608" s="24">
        <v>0</v>
      </c>
      <c r="Z608" s="24">
        <f t="shared" si="29"/>
        <v>1002437</v>
      </c>
      <c r="AB608" s="25">
        <v>1002437</v>
      </c>
      <c r="AC608" s="26">
        <v>1002437</v>
      </c>
      <c r="AD608" s="24">
        <v>0</v>
      </c>
      <c r="AE608" s="27">
        <f>_xlfn.XLOOKUP(B608,'Projects Cashflow'!$B:$B,'Projects Cashflow'!$AG:$AG,0)</f>
        <v>1002437</v>
      </c>
      <c r="AF608" s="28">
        <f t="shared" si="30"/>
        <v>0</v>
      </c>
    </row>
    <row r="609" spans="2:32" x14ac:dyDescent="0.3">
      <c r="B609" s="14" t="str">
        <f t="shared" si="28"/>
        <v>45101554511000265Admin Expenses-N421125200104</v>
      </c>
      <c r="C609" s="21" t="s">
        <v>33</v>
      </c>
      <c r="D609" s="22">
        <v>4510155</v>
      </c>
      <c r="E609" s="21" t="s">
        <v>362</v>
      </c>
      <c r="F609" s="22">
        <v>4511000265</v>
      </c>
      <c r="G609" s="21" t="s">
        <v>3066</v>
      </c>
      <c r="H609" s="21" t="s">
        <v>130</v>
      </c>
      <c r="I609" s="22">
        <v>421125</v>
      </c>
      <c r="J609" s="22">
        <v>200104</v>
      </c>
      <c r="K609" s="22" t="s">
        <v>2959</v>
      </c>
      <c r="L609" s="22">
        <v>70101</v>
      </c>
      <c r="M609" s="23" t="s">
        <v>2960</v>
      </c>
      <c r="N609" s="24">
        <v>0</v>
      </c>
      <c r="O609" s="24">
        <v>0</v>
      </c>
      <c r="P609" s="24">
        <v>0</v>
      </c>
      <c r="Q609" s="24">
        <v>70000</v>
      </c>
      <c r="R609" s="24">
        <v>15000</v>
      </c>
      <c r="S609" s="24">
        <v>20000</v>
      </c>
      <c r="T609" s="24">
        <v>10000</v>
      </c>
      <c r="U609" s="24">
        <v>15000</v>
      </c>
      <c r="V609" s="24">
        <v>15000</v>
      </c>
      <c r="W609" s="24">
        <v>25000</v>
      </c>
      <c r="X609" s="24">
        <v>29466</v>
      </c>
      <c r="Y609" s="24">
        <v>40000</v>
      </c>
      <c r="Z609" s="24">
        <f t="shared" si="29"/>
        <v>239466</v>
      </c>
      <c r="AB609" s="25">
        <v>52303</v>
      </c>
      <c r="AC609" s="26">
        <v>52303</v>
      </c>
      <c r="AD609" s="24">
        <v>0</v>
      </c>
      <c r="AE609" s="27">
        <f>_xlfn.XLOOKUP(B609,'Projects Cashflow'!$B:$B,'Projects Cashflow'!$AG:$AG,0)</f>
        <v>52303</v>
      </c>
      <c r="AF609" s="28">
        <f t="shared" si="30"/>
        <v>0</v>
      </c>
    </row>
    <row r="610" spans="2:32" x14ac:dyDescent="0.3">
      <c r="B610" s="14" t="str">
        <f t="shared" si="28"/>
        <v>45101554511000265Licenses Fees-N424131200104</v>
      </c>
      <c r="C610" s="21" t="s">
        <v>33</v>
      </c>
      <c r="D610" s="22">
        <v>4510155</v>
      </c>
      <c r="E610" s="21" t="s">
        <v>362</v>
      </c>
      <c r="F610" s="22">
        <v>4511000265</v>
      </c>
      <c r="G610" s="21" t="s">
        <v>3066</v>
      </c>
      <c r="H610" s="21" t="s">
        <v>365</v>
      </c>
      <c r="I610" s="22">
        <v>424131</v>
      </c>
      <c r="J610" s="22">
        <v>200104</v>
      </c>
      <c r="K610" s="22" t="s">
        <v>2959</v>
      </c>
      <c r="L610" s="22">
        <v>70101</v>
      </c>
      <c r="M610" s="23" t="s">
        <v>2960</v>
      </c>
      <c r="N610" s="24">
        <v>0</v>
      </c>
      <c r="O610" s="24">
        <v>0</v>
      </c>
      <c r="P610" s="24">
        <v>0</v>
      </c>
      <c r="Q610" s="24">
        <v>0</v>
      </c>
      <c r="R610" s="24">
        <v>0</v>
      </c>
      <c r="S610" s="24">
        <v>10534</v>
      </c>
      <c r="T610" s="24">
        <v>0</v>
      </c>
      <c r="U610" s="24">
        <v>0</v>
      </c>
      <c r="V610" s="24">
        <v>0</v>
      </c>
      <c r="W610" s="24">
        <v>0</v>
      </c>
      <c r="X610" s="24">
        <v>0</v>
      </c>
      <c r="Y610" s="24">
        <v>0</v>
      </c>
      <c r="Z610" s="24">
        <f t="shared" si="29"/>
        <v>10534</v>
      </c>
      <c r="AB610" s="25">
        <v>10534</v>
      </c>
      <c r="AC610" s="26">
        <v>10534</v>
      </c>
      <c r="AD610" s="24">
        <v>0</v>
      </c>
      <c r="AE610" s="27">
        <f>_xlfn.XLOOKUP(B610,'Projects Cashflow'!$B:$B,'Projects Cashflow'!$AG:$AG,0)</f>
        <v>10534</v>
      </c>
      <c r="AF610" s="28">
        <f t="shared" si="30"/>
        <v>0</v>
      </c>
    </row>
    <row r="611" spans="2:32" x14ac:dyDescent="0.3">
      <c r="B611" s="14" t="str">
        <f t="shared" si="28"/>
        <v>45101604511000184Freelancers-N424521200104</v>
      </c>
      <c r="C611" s="21" t="s">
        <v>33</v>
      </c>
      <c r="D611" s="22">
        <v>4510160</v>
      </c>
      <c r="E611" s="21" t="s">
        <v>243</v>
      </c>
      <c r="F611" s="22">
        <v>4511000184</v>
      </c>
      <c r="G611" s="21" t="s">
        <v>3067</v>
      </c>
      <c r="H611" s="21" t="s">
        <v>50</v>
      </c>
      <c r="I611" s="22">
        <v>424521</v>
      </c>
      <c r="J611" s="22">
        <v>200104</v>
      </c>
      <c r="K611" s="22" t="s">
        <v>2959</v>
      </c>
      <c r="L611" s="22">
        <v>70108</v>
      </c>
      <c r="M611" s="23" t="s">
        <v>2960</v>
      </c>
      <c r="N611" s="24">
        <v>0</v>
      </c>
      <c r="O611" s="44">
        <v>37000</v>
      </c>
      <c r="P611" s="24">
        <v>118789.33000000002</v>
      </c>
      <c r="Q611" s="24"/>
      <c r="R611" s="24">
        <v>127131</v>
      </c>
      <c r="S611" s="24">
        <v>130960</v>
      </c>
      <c r="T611" s="24">
        <v>114000</v>
      </c>
      <c r="U611" s="24">
        <v>114000</v>
      </c>
      <c r="V611" s="24">
        <v>114000</v>
      </c>
      <c r="W611" s="24">
        <v>114000</v>
      </c>
      <c r="X611" s="24">
        <v>114000</v>
      </c>
      <c r="Y611" s="24">
        <v>228000</v>
      </c>
      <c r="Z611" s="24">
        <f t="shared" si="29"/>
        <v>1211880.33</v>
      </c>
      <c r="AB611" s="25">
        <v>629280.33000000007</v>
      </c>
      <c r="AC611" s="26">
        <v>629280</v>
      </c>
      <c r="AD611" s="24">
        <v>0.33000000007450581</v>
      </c>
      <c r="AE611" s="27">
        <f>_xlfn.XLOOKUP(B611,'Projects Cashflow'!$B:$B,'Projects Cashflow'!$AG:$AG,0)</f>
        <v>629280</v>
      </c>
      <c r="AF611" s="28">
        <f t="shared" si="30"/>
        <v>-0.33000000007450581</v>
      </c>
    </row>
    <row r="612" spans="2:32" x14ac:dyDescent="0.3">
      <c r="B612" s="14" t="str">
        <f t="shared" si="28"/>
        <v>45101604511000184Legal Advice-N421121200104</v>
      </c>
      <c r="C612" s="21" t="s">
        <v>33</v>
      </c>
      <c r="D612" s="22">
        <v>4510160</v>
      </c>
      <c r="E612" s="21" t="s">
        <v>243</v>
      </c>
      <c r="F612" s="22">
        <v>4511000184</v>
      </c>
      <c r="G612" s="21" t="s">
        <v>3067</v>
      </c>
      <c r="H612" s="21" t="s">
        <v>246</v>
      </c>
      <c r="I612" s="22">
        <v>421121</v>
      </c>
      <c r="J612" s="22">
        <v>200104</v>
      </c>
      <c r="K612" s="22" t="s">
        <v>2959</v>
      </c>
      <c r="L612" s="22">
        <v>70108</v>
      </c>
      <c r="M612" s="23" t="s">
        <v>2960</v>
      </c>
      <c r="N612" s="24">
        <v>0</v>
      </c>
      <c r="O612" s="24">
        <v>0</v>
      </c>
      <c r="P612" s="24">
        <v>183224.88</v>
      </c>
      <c r="Q612" s="24">
        <v>264775.12</v>
      </c>
      <c r="R612" s="24">
        <v>1048000</v>
      </c>
      <c r="S612" s="24">
        <v>153000</v>
      </c>
      <c r="T612" s="24">
        <v>183000</v>
      </c>
      <c r="U612" s="24">
        <v>1138000</v>
      </c>
      <c r="V612" s="24">
        <v>183000</v>
      </c>
      <c r="W612" s="24">
        <v>1153000</v>
      </c>
      <c r="X612" s="24">
        <v>248000</v>
      </c>
      <c r="Y612" s="24">
        <v>779836</v>
      </c>
      <c r="Z612" s="24">
        <f t="shared" si="29"/>
        <v>5333836</v>
      </c>
      <c r="AB612" s="25">
        <v>7540090</v>
      </c>
      <c r="AC612" s="26">
        <v>7540090</v>
      </c>
      <c r="AD612" s="24">
        <v>0</v>
      </c>
      <c r="AE612" s="27">
        <f>_xlfn.XLOOKUP(B612,'Projects Cashflow'!$B:$B,'Projects Cashflow'!$AG:$AG,0)</f>
        <v>7540090</v>
      </c>
      <c r="AF612" s="28">
        <f t="shared" si="30"/>
        <v>0</v>
      </c>
    </row>
    <row r="613" spans="2:32" x14ac:dyDescent="0.3">
      <c r="B613" s="14" t="str">
        <f t="shared" si="28"/>
        <v>45101604511000184Legal Services-N421121200104</v>
      </c>
      <c r="C613" s="21" t="s">
        <v>33</v>
      </c>
      <c r="D613" s="22">
        <v>4510160</v>
      </c>
      <c r="E613" s="21" t="s">
        <v>243</v>
      </c>
      <c r="F613" s="22">
        <v>4511000184</v>
      </c>
      <c r="G613" s="21" t="s">
        <v>3067</v>
      </c>
      <c r="H613" s="21" t="s">
        <v>249</v>
      </c>
      <c r="I613" s="22">
        <v>421121</v>
      </c>
      <c r="J613" s="22">
        <v>200104</v>
      </c>
      <c r="K613" s="22" t="s">
        <v>2959</v>
      </c>
      <c r="L613" s="22">
        <v>70108</v>
      </c>
      <c r="M613" s="23" t="s">
        <v>2960</v>
      </c>
      <c r="N613" s="24">
        <v>0</v>
      </c>
      <c r="O613" s="24">
        <v>0</v>
      </c>
      <c r="P613" s="24">
        <v>113700.39749999999</v>
      </c>
      <c r="Q613" s="24"/>
      <c r="R613" s="24">
        <v>0</v>
      </c>
      <c r="S613" s="24">
        <v>0</v>
      </c>
      <c r="T613" s="24">
        <v>53180</v>
      </c>
      <c r="U613" s="24">
        <v>0</v>
      </c>
      <c r="V613" s="24">
        <v>55720</v>
      </c>
      <c r="W613" s="24">
        <v>35000</v>
      </c>
      <c r="X613" s="24">
        <v>187400</v>
      </c>
      <c r="Y613" s="24">
        <v>137240</v>
      </c>
      <c r="Z613" s="24">
        <f t="shared" si="29"/>
        <v>582240.39749999996</v>
      </c>
      <c r="AB613" s="25">
        <v>1595680.3975</v>
      </c>
      <c r="AC613" s="26">
        <v>1595680</v>
      </c>
      <c r="AD613" s="24">
        <v>0.3974999999627471</v>
      </c>
      <c r="AE613" s="27">
        <f>_xlfn.XLOOKUP(B613,'Projects Cashflow'!$B:$B,'Projects Cashflow'!$AG:$AG,0)</f>
        <v>1595680</v>
      </c>
      <c r="AF613" s="28">
        <f t="shared" si="30"/>
        <v>-0.3974999999627471</v>
      </c>
    </row>
    <row r="614" spans="2:32" x14ac:dyDescent="0.3">
      <c r="B614" s="14" t="str">
        <f t="shared" si="28"/>
        <v>45101604511000184Manpower-N424521200104</v>
      </c>
      <c r="C614" s="21" t="s">
        <v>33</v>
      </c>
      <c r="D614" s="22">
        <v>4510160</v>
      </c>
      <c r="E614" s="21" t="s">
        <v>243</v>
      </c>
      <c r="F614" s="22">
        <v>4511000184</v>
      </c>
      <c r="G614" s="21" t="s">
        <v>3067</v>
      </c>
      <c r="H614" s="21" t="s">
        <v>98</v>
      </c>
      <c r="I614" s="22" t="s">
        <v>2804</v>
      </c>
      <c r="J614" s="22" t="s">
        <v>2922</v>
      </c>
      <c r="K614" s="22" t="s">
        <v>2959</v>
      </c>
      <c r="L614" s="22">
        <v>70108</v>
      </c>
      <c r="M614" s="23" t="s">
        <v>2960</v>
      </c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4">
        <f t="shared" si="29"/>
        <v>0</v>
      </c>
      <c r="AB614" s="25">
        <v>582600</v>
      </c>
      <c r="AC614" s="26">
        <v>582600</v>
      </c>
      <c r="AD614" s="24">
        <v>0</v>
      </c>
      <c r="AE614" s="27">
        <f>_xlfn.XLOOKUP(B614,'Projects Cashflow'!$B:$B,'Projects Cashflow'!$AG:$AG,0)</f>
        <v>582600</v>
      </c>
      <c r="AF614" s="28">
        <f t="shared" si="30"/>
        <v>0</v>
      </c>
    </row>
    <row r="615" spans="2:32" x14ac:dyDescent="0.3">
      <c r="B615" s="14" t="str">
        <f t="shared" si="28"/>
        <v>45101604511000184Mission &amp; Travel-N423821200104</v>
      </c>
      <c r="C615" s="21" t="s">
        <v>33</v>
      </c>
      <c r="D615" s="22">
        <v>4510160</v>
      </c>
      <c r="E615" s="21" t="s">
        <v>243</v>
      </c>
      <c r="F615" s="22">
        <v>4511000184</v>
      </c>
      <c r="G615" s="21" t="s">
        <v>3067</v>
      </c>
      <c r="H615" s="21" t="s">
        <v>54</v>
      </c>
      <c r="I615" s="22">
        <v>423821</v>
      </c>
      <c r="J615" s="22">
        <v>200104</v>
      </c>
      <c r="K615" s="22" t="s">
        <v>2959</v>
      </c>
      <c r="L615" s="22">
        <v>70108</v>
      </c>
      <c r="M615" s="23" t="s">
        <v>2960</v>
      </c>
      <c r="N615" s="24">
        <v>0</v>
      </c>
      <c r="O615" s="24">
        <v>0</v>
      </c>
      <c r="P615" s="24">
        <v>0</v>
      </c>
      <c r="Q615" s="24">
        <v>50000</v>
      </c>
      <c r="R615" s="24">
        <v>0</v>
      </c>
      <c r="S615" s="24">
        <v>80000</v>
      </c>
      <c r="T615" s="24">
        <v>0</v>
      </c>
      <c r="U615" s="24">
        <v>150000</v>
      </c>
      <c r="V615" s="24">
        <v>100000</v>
      </c>
      <c r="W615" s="24">
        <v>100000</v>
      </c>
      <c r="X615" s="24">
        <v>200000</v>
      </c>
      <c r="Y615" s="24">
        <v>120000</v>
      </c>
      <c r="Z615" s="24">
        <f t="shared" si="29"/>
        <v>800000</v>
      </c>
      <c r="AB615" s="25">
        <v>767500</v>
      </c>
      <c r="AC615" s="26">
        <v>767500</v>
      </c>
      <c r="AD615" s="24">
        <v>0</v>
      </c>
      <c r="AE615" s="27">
        <f>_xlfn.XLOOKUP(B615,'Projects Cashflow'!$B:$B,'Projects Cashflow'!$AG:$AG,0)</f>
        <v>767500</v>
      </c>
      <c r="AF615" s="28">
        <f t="shared" si="30"/>
        <v>0</v>
      </c>
    </row>
    <row r="616" spans="2:32" x14ac:dyDescent="0.3">
      <c r="B616" s="14" t="str">
        <f t="shared" si="28"/>
        <v>45120104511000761ManagementAdvice-N1424521200104</v>
      </c>
      <c r="C616" s="21" t="s">
        <v>721</v>
      </c>
      <c r="D616" s="22">
        <v>4512010</v>
      </c>
      <c r="E616" s="21" t="s">
        <v>1017</v>
      </c>
      <c r="F616" s="22">
        <v>4511000761</v>
      </c>
      <c r="G616" s="21" t="s">
        <v>33</v>
      </c>
      <c r="H616" s="21" t="s">
        <v>725</v>
      </c>
      <c r="I616" s="22">
        <v>424521</v>
      </c>
      <c r="J616" s="22">
        <v>200104</v>
      </c>
      <c r="K616" s="22" t="s">
        <v>2959</v>
      </c>
      <c r="L616" s="22">
        <v>70110</v>
      </c>
      <c r="M616" s="23" t="s">
        <v>2960</v>
      </c>
      <c r="N616" s="24">
        <v>0</v>
      </c>
      <c r="O616" s="24">
        <v>0</v>
      </c>
      <c r="P616" s="26">
        <v>0</v>
      </c>
      <c r="Q616" s="24">
        <v>300000</v>
      </c>
      <c r="R616" s="24">
        <v>150000</v>
      </c>
      <c r="S616" s="24">
        <v>150000</v>
      </c>
      <c r="T616" s="24">
        <v>150000</v>
      </c>
      <c r="U616" s="24">
        <v>150000</v>
      </c>
      <c r="V616" s="24">
        <v>150000</v>
      </c>
      <c r="W616" s="24">
        <v>150000</v>
      </c>
      <c r="X616" s="24">
        <v>150000</v>
      </c>
      <c r="Y616" s="24">
        <v>150000</v>
      </c>
      <c r="Z616" s="24">
        <f t="shared" si="29"/>
        <v>1500000</v>
      </c>
      <c r="AB616" s="25">
        <v>836000</v>
      </c>
      <c r="AC616" s="26">
        <v>836000</v>
      </c>
      <c r="AD616" s="24">
        <v>0</v>
      </c>
      <c r="AE616" s="27">
        <f>_xlfn.XLOOKUP(B616,'Projects Cashflow'!$B:$B,'Projects Cashflow'!$AG:$AG,0)</f>
        <v>836000</v>
      </c>
      <c r="AF616" s="28">
        <f t="shared" si="30"/>
        <v>0</v>
      </c>
    </row>
    <row r="617" spans="2:32" x14ac:dyDescent="0.3">
      <c r="B617" s="14" t="str">
        <f t="shared" si="28"/>
        <v>45120104511000761Hospitality-N424761200104</v>
      </c>
      <c r="C617" s="21" t="s">
        <v>721</v>
      </c>
      <c r="D617" s="22">
        <v>4512010</v>
      </c>
      <c r="E617" s="21" t="s">
        <v>1017</v>
      </c>
      <c r="F617" s="22">
        <v>4511000761</v>
      </c>
      <c r="G617" s="21" t="s">
        <v>33</v>
      </c>
      <c r="H617" s="21" t="s">
        <v>83</v>
      </c>
      <c r="I617" s="22">
        <v>424761</v>
      </c>
      <c r="J617" s="22">
        <v>200104</v>
      </c>
      <c r="K617" s="22" t="s">
        <v>2959</v>
      </c>
      <c r="L617" s="22">
        <v>70110</v>
      </c>
      <c r="M617" s="23" t="s">
        <v>2960</v>
      </c>
      <c r="N617" s="24">
        <v>0</v>
      </c>
      <c r="O617" s="24">
        <v>7345</v>
      </c>
      <c r="P617" s="24">
        <v>0</v>
      </c>
      <c r="Q617" s="24">
        <v>12655</v>
      </c>
      <c r="R617" s="24">
        <v>0</v>
      </c>
      <c r="S617" s="24">
        <v>30000</v>
      </c>
      <c r="T617" s="24">
        <v>0</v>
      </c>
      <c r="U617" s="24">
        <v>30000</v>
      </c>
      <c r="V617" s="24">
        <v>30000</v>
      </c>
      <c r="W617" s="24">
        <v>30000</v>
      </c>
      <c r="X617" s="24">
        <v>30000</v>
      </c>
      <c r="Y617" s="24">
        <v>30000</v>
      </c>
      <c r="Z617" s="24">
        <f t="shared" si="29"/>
        <v>200000</v>
      </c>
      <c r="AB617" s="25">
        <v>139600</v>
      </c>
      <c r="AC617" s="26">
        <v>139600</v>
      </c>
      <c r="AD617" s="24">
        <v>0</v>
      </c>
      <c r="AE617" s="27">
        <f>_xlfn.XLOOKUP(B617,'Projects Cashflow'!$B:$B,'Projects Cashflow'!$AG:$AG,0)</f>
        <v>139600</v>
      </c>
      <c r="AF617" s="28">
        <f t="shared" si="30"/>
        <v>0</v>
      </c>
    </row>
    <row r="618" spans="2:32" x14ac:dyDescent="0.3">
      <c r="B618" s="14" t="str">
        <f t="shared" si="28"/>
        <v>45120104511000761Mission &amp; Travel-N423821200104</v>
      </c>
      <c r="C618" s="21" t="s">
        <v>721</v>
      </c>
      <c r="D618" s="22">
        <v>4512010</v>
      </c>
      <c r="E618" s="21" t="s">
        <v>1017</v>
      </c>
      <c r="F618" s="22">
        <v>4511000761</v>
      </c>
      <c r="G618" s="21" t="s">
        <v>33</v>
      </c>
      <c r="H618" s="21" t="s">
        <v>54</v>
      </c>
      <c r="I618" s="22">
        <v>423821</v>
      </c>
      <c r="J618" s="22">
        <v>200104</v>
      </c>
      <c r="K618" s="22" t="s">
        <v>2959</v>
      </c>
      <c r="L618" s="22">
        <v>70110</v>
      </c>
      <c r="M618" s="23" t="s">
        <v>2960</v>
      </c>
      <c r="N618" s="24">
        <v>0</v>
      </c>
      <c r="O618" s="24">
        <v>25000</v>
      </c>
      <c r="P618" s="24">
        <v>0</v>
      </c>
      <c r="Q618" s="24">
        <v>0</v>
      </c>
      <c r="R618" s="24">
        <v>40000</v>
      </c>
      <c r="S618" s="24">
        <v>0</v>
      </c>
      <c r="T618" s="24">
        <v>0</v>
      </c>
      <c r="U618" s="24">
        <v>0</v>
      </c>
      <c r="V618" s="24">
        <v>0</v>
      </c>
      <c r="W618" s="24">
        <v>0</v>
      </c>
      <c r="X618" s="24">
        <v>35000</v>
      </c>
      <c r="Y618" s="24">
        <v>0</v>
      </c>
      <c r="Z618" s="24">
        <f t="shared" si="29"/>
        <v>100000</v>
      </c>
      <c r="AB618" s="25">
        <v>200000</v>
      </c>
      <c r="AC618" s="26">
        <v>200000</v>
      </c>
      <c r="AD618" s="24">
        <v>0</v>
      </c>
      <c r="AE618" s="27">
        <f>_xlfn.XLOOKUP(B618,'Projects Cashflow'!$B:$B,'Projects Cashflow'!$AG:$AG,0)</f>
        <v>200000</v>
      </c>
      <c r="AF618" s="28">
        <f t="shared" si="30"/>
        <v>0</v>
      </c>
    </row>
    <row r="619" spans="2:32" x14ac:dyDescent="0.3">
      <c r="B619" s="14" t="str">
        <f t="shared" si="28"/>
        <v>45121004511000549Freelancers-N424521200104</v>
      </c>
      <c r="C619" s="21" t="s">
        <v>721</v>
      </c>
      <c r="D619" s="22">
        <v>4512100</v>
      </c>
      <c r="E619" s="21" t="s">
        <v>737</v>
      </c>
      <c r="F619" s="22">
        <v>4511000549</v>
      </c>
      <c r="G619" s="21" t="s">
        <v>3068</v>
      </c>
      <c r="H619" s="21" t="s">
        <v>50</v>
      </c>
      <c r="I619" s="22">
        <v>424521</v>
      </c>
      <c r="J619" s="22">
        <v>200104</v>
      </c>
      <c r="K619" s="22" t="s">
        <v>2959</v>
      </c>
      <c r="L619" s="22">
        <v>70110</v>
      </c>
      <c r="M619" s="23" t="s">
        <v>2960</v>
      </c>
      <c r="N619" s="24">
        <v>452500</v>
      </c>
      <c r="O619" s="24">
        <v>551666</v>
      </c>
      <c r="P619" s="26">
        <v>1002291</v>
      </c>
      <c r="Q619" s="24">
        <v>565292</v>
      </c>
      <c r="R619" s="24">
        <v>834250</v>
      </c>
      <c r="S619" s="24">
        <v>834250</v>
      </c>
      <c r="T619" s="24">
        <v>884250</v>
      </c>
      <c r="U619" s="24">
        <v>884250</v>
      </c>
      <c r="V619" s="24">
        <v>884250</v>
      </c>
      <c r="W619" s="24">
        <v>925703</v>
      </c>
      <c r="X619" s="24">
        <v>884250</v>
      </c>
      <c r="Y619" s="24">
        <v>884250</v>
      </c>
      <c r="Z619" s="24">
        <f t="shared" si="29"/>
        <v>9587202</v>
      </c>
      <c r="AB619" s="25">
        <v>9587202</v>
      </c>
      <c r="AC619" s="26">
        <v>9587202</v>
      </c>
      <c r="AD619" s="24">
        <v>0</v>
      </c>
      <c r="AE619" s="27">
        <f>_xlfn.XLOOKUP(B619,'Projects Cashflow'!$B:$B,'Projects Cashflow'!$AG:$AG,0)</f>
        <v>9587202</v>
      </c>
      <c r="AF619" s="28">
        <f t="shared" si="30"/>
        <v>0</v>
      </c>
    </row>
    <row r="620" spans="2:32" x14ac:dyDescent="0.3">
      <c r="B620" s="14" t="str">
        <f t="shared" si="28"/>
        <v>45122004511000547Research&amp;Survey-N423411200104</v>
      </c>
      <c r="C620" s="21" t="s">
        <v>721</v>
      </c>
      <c r="D620" s="22">
        <v>4512200</v>
      </c>
      <c r="E620" s="21" t="s">
        <v>3069</v>
      </c>
      <c r="F620" s="22">
        <v>4511000547</v>
      </c>
      <c r="G620" s="21" t="s">
        <v>3070</v>
      </c>
      <c r="H620" s="21" t="s">
        <v>381</v>
      </c>
      <c r="I620" s="22">
        <v>423411</v>
      </c>
      <c r="J620" s="22">
        <v>200104</v>
      </c>
      <c r="K620" s="22" t="s">
        <v>2959</v>
      </c>
      <c r="L620" s="22">
        <v>70111</v>
      </c>
      <c r="M620" s="23" t="s">
        <v>2960</v>
      </c>
      <c r="N620" s="24">
        <v>0</v>
      </c>
      <c r="O620" s="24">
        <v>0</v>
      </c>
      <c r="P620" s="24">
        <v>0</v>
      </c>
      <c r="Q620" s="24">
        <v>868500</v>
      </c>
      <c r="R620" s="24">
        <v>1085645</v>
      </c>
      <c r="S620" s="24">
        <v>0</v>
      </c>
      <c r="T620" s="24">
        <v>868500</v>
      </c>
      <c r="U620" s="24">
        <v>0</v>
      </c>
      <c r="V620" s="24">
        <v>0</v>
      </c>
      <c r="W620" s="24">
        <v>1085645</v>
      </c>
      <c r="X620" s="24">
        <v>0</v>
      </c>
      <c r="Y620" s="24">
        <v>1737000</v>
      </c>
      <c r="Z620" s="24">
        <f t="shared" si="29"/>
        <v>5645290</v>
      </c>
      <c r="AB620" s="25">
        <v>6555780</v>
      </c>
      <c r="AC620" s="26">
        <v>6555780</v>
      </c>
      <c r="AD620" s="32">
        <v>0</v>
      </c>
      <c r="AE620" s="27">
        <f>_xlfn.XLOOKUP(B620,'Projects Cashflow'!$B:$B,'Projects Cashflow'!$AG:$AG,0)</f>
        <v>6555780</v>
      </c>
      <c r="AF620" s="28">
        <f t="shared" si="30"/>
        <v>0</v>
      </c>
    </row>
    <row r="621" spans="2:32" x14ac:dyDescent="0.3">
      <c r="B621" s="14" t="str">
        <f t="shared" si="28"/>
        <v>45122004511000547Licenses Fees-N424131200104</v>
      </c>
      <c r="C621" s="21" t="s">
        <v>721</v>
      </c>
      <c r="D621" s="22">
        <v>4512200</v>
      </c>
      <c r="E621" s="21" t="s">
        <v>3069</v>
      </c>
      <c r="F621" s="22">
        <v>4511000547</v>
      </c>
      <c r="G621" s="21" t="s">
        <v>3070</v>
      </c>
      <c r="H621" s="21" t="s">
        <v>365</v>
      </c>
      <c r="I621" s="22">
        <v>424131</v>
      </c>
      <c r="J621" s="22">
        <v>200104</v>
      </c>
      <c r="K621" s="22" t="s">
        <v>2959</v>
      </c>
      <c r="L621" s="22">
        <v>70111</v>
      </c>
      <c r="M621" s="23" t="s">
        <v>2960</v>
      </c>
      <c r="N621" s="24">
        <v>0</v>
      </c>
      <c r="O621" s="24">
        <v>0</v>
      </c>
      <c r="P621" s="24">
        <v>0</v>
      </c>
      <c r="Q621" s="24">
        <v>256900</v>
      </c>
      <c r="R621" s="24">
        <v>207864</v>
      </c>
      <c r="S621" s="24">
        <v>526964</v>
      </c>
      <c r="T621" s="24">
        <v>203875</v>
      </c>
      <c r="U621" s="24">
        <v>64225</v>
      </c>
      <c r="V621" s="24">
        <v>434682</v>
      </c>
      <c r="W621" s="24">
        <v>276742</v>
      </c>
      <c r="X621" s="24">
        <v>411229</v>
      </c>
      <c r="Y621" s="24">
        <v>1094394</v>
      </c>
      <c r="Z621" s="24">
        <f t="shared" si="29"/>
        <v>3476875</v>
      </c>
      <c r="AB621" s="25">
        <v>3476875</v>
      </c>
      <c r="AC621" s="26">
        <v>3476875</v>
      </c>
      <c r="AD621" s="24">
        <v>0</v>
      </c>
      <c r="AE621" s="27">
        <f>_xlfn.XLOOKUP(B621,'Projects Cashflow'!$B:$B,'Projects Cashflow'!$AG:$AG,0)</f>
        <v>3476875</v>
      </c>
      <c r="AF621" s="28">
        <f t="shared" si="30"/>
        <v>0</v>
      </c>
    </row>
    <row r="622" spans="2:32" x14ac:dyDescent="0.3">
      <c r="B622" s="14" t="str">
        <f t="shared" si="28"/>
        <v>45122004511000815Systems Develop-NC1493140300105</v>
      </c>
      <c r="C622" s="21" t="s">
        <v>721</v>
      </c>
      <c r="D622" s="22">
        <v>4512200</v>
      </c>
      <c r="E622" s="21" t="s">
        <v>3069</v>
      </c>
      <c r="F622" s="22">
        <v>4511000815</v>
      </c>
      <c r="G622" s="21" t="s">
        <v>1101</v>
      </c>
      <c r="H622" s="21" t="s">
        <v>1106</v>
      </c>
      <c r="I622" s="22">
        <v>493140</v>
      </c>
      <c r="J622" s="22">
        <v>300105</v>
      </c>
      <c r="K622" s="22" t="s">
        <v>2972</v>
      </c>
      <c r="L622" s="22">
        <v>70111</v>
      </c>
      <c r="M622" s="23" t="s">
        <v>2960</v>
      </c>
      <c r="N622" s="24">
        <v>0</v>
      </c>
      <c r="O622" s="24">
        <v>0</v>
      </c>
      <c r="P622" s="24">
        <v>0</v>
      </c>
      <c r="Q622" s="24">
        <v>3600000</v>
      </c>
      <c r="R622" s="24">
        <v>5000000</v>
      </c>
      <c r="S622" s="24">
        <v>5800000</v>
      </c>
      <c r="T622" s="24">
        <v>5800000</v>
      </c>
      <c r="U622" s="24">
        <v>5800000</v>
      </c>
      <c r="V622" s="24">
        <v>4800000</v>
      </c>
      <c r="W622" s="24">
        <v>4500000</v>
      </c>
      <c r="X622" s="24">
        <v>3500000</v>
      </c>
      <c r="Y622" s="24">
        <v>0</v>
      </c>
      <c r="Z622" s="24">
        <f t="shared" si="29"/>
        <v>38800000</v>
      </c>
      <c r="AB622" s="25">
        <v>41961001</v>
      </c>
      <c r="AC622" s="26">
        <v>41961000.859999999</v>
      </c>
      <c r="AD622" s="24">
        <v>0.14000000059604645</v>
      </c>
      <c r="AE622" s="27">
        <f>_xlfn.XLOOKUP(B622,'Projects Cashflow'!$B:$B,'Projects Cashflow'!$AG:$AG,0)</f>
        <v>41961000.859999999</v>
      </c>
      <c r="AF622" s="28">
        <f t="shared" si="30"/>
        <v>-0.14000000059604645</v>
      </c>
    </row>
    <row r="623" spans="2:32" x14ac:dyDescent="0.3">
      <c r="B623" s="14" t="str">
        <f t="shared" si="28"/>
        <v>45122004511000815Manpower-N1424521200104</v>
      </c>
      <c r="C623" s="21" t="s">
        <v>721</v>
      </c>
      <c r="D623" s="22">
        <v>4512200</v>
      </c>
      <c r="E623" s="21" t="s">
        <v>3069</v>
      </c>
      <c r="F623" s="22">
        <v>4511000815</v>
      </c>
      <c r="G623" s="21" t="s">
        <v>1101</v>
      </c>
      <c r="H623" s="21" t="s">
        <v>470</v>
      </c>
      <c r="I623" s="22">
        <v>424521</v>
      </c>
      <c r="J623" s="22">
        <v>200104</v>
      </c>
      <c r="K623" s="22" t="s">
        <v>2959</v>
      </c>
      <c r="L623" s="22">
        <v>70111</v>
      </c>
      <c r="M623" s="23" t="s">
        <v>2960</v>
      </c>
      <c r="N623" s="24">
        <v>0</v>
      </c>
      <c r="O623" s="24">
        <v>0</v>
      </c>
      <c r="P623" s="24">
        <v>0</v>
      </c>
      <c r="Q623" s="24">
        <v>4113040</v>
      </c>
      <c r="R623" s="24">
        <v>1199266</v>
      </c>
      <c r="S623" s="24">
        <v>2599266</v>
      </c>
      <c r="T623" s="24">
        <v>2201694</v>
      </c>
      <c r="U623" s="24">
        <v>1199266</v>
      </c>
      <c r="V623" s="24">
        <v>2199266</v>
      </c>
      <c r="W623" s="24">
        <v>1199266</v>
      </c>
      <c r="X623" s="24">
        <v>1199267</v>
      </c>
      <c r="Y623" s="24">
        <v>1402714</v>
      </c>
      <c r="Z623" s="24">
        <f t="shared" si="29"/>
        <v>17313045</v>
      </c>
      <c r="AB623" s="25">
        <v>13751081</v>
      </c>
      <c r="AC623" s="26">
        <v>13751081</v>
      </c>
      <c r="AD623" s="24">
        <v>0</v>
      </c>
      <c r="AE623" s="27">
        <f>_xlfn.XLOOKUP(B623,'Projects Cashflow'!$B:$B,'Projects Cashflow'!$AG:$AG,0)</f>
        <v>13751081</v>
      </c>
      <c r="AF623" s="28">
        <f t="shared" si="30"/>
        <v>0</v>
      </c>
    </row>
    <row r="624" spans="2:32" x14ac:dyDescent="0.3">
      <c r="B624" s="14" t="str">
        <f t="shared" si="28"/>
        <v>45122004511000815General Retainer-N421125200104</v>
      </c>
      <c r="C624" s="21" t="s">
        <v>721</v>
      </c>
      <c r="D624" s="22">
        <v>4512200</v>
      </c>
      <c r="E624" s="21" t="s">
        <v>3069</v>
      </c>
      <c r="F624" s="22">
        <v>4511000815</v>
      </c>
      <c r="G624" s="21" t="s">
        <v>1101</v>
      </c>
      <c r="H624" s="21" t="s">
        <v>1104</v>
      </c>
      <c r="I624" s="22">
        <v>421125</v>
      </c>
      <c r="J624" s="22">
        <v>200104</v>
      </c>
      <c r="K624" s="22" t="s">
        <v>2959</v>
      </c>
      <c r="L624" s="22">
        <v>70111</v>
      </c>
      <c r="M624" s="23" t="s">
        <v>2960</v>
      </c>
      <c r="N624" s="24">
        <v>0</v>
      </c>
      <c r="O624" s="24">
        <v>0</v>
      </c>
      <c r="P624" s="24">
        <v>0</v>
      </c>
      <c r="Q624" s="24">
        <v>0</v>
      </c>
      <c r="R624" s="24">
        <v>1000000</v>
      </c>
      <c r="S624" s="24">
        <v>0</v>
      </c>
      <c r="T624" s="24">
        <v>0</v>
      </c>
      <c r="U624" s="24">
        <v>1000000</v>
      </c>
      <c r="V624" s="24">
        <v>0</v>
      </c>
      <c r="W624" s="24">
        <v>0</v>
      </c>
      <c r="X624" s="24">
        <v>2000000</v>
      </c>
      <c r="Y624" s="24">
        <v>0</v>
      </c>
      <c r="Z624" s="24">
        <f t="shared" si="29"/>
        <v>4000000</v>
      </c>
      <c r="AB624" s="25">
        <v>4000000</v>
      </c>
      <c r="AC624" s="26">
        <v>4000000</v>
      </c>
      <c r="AD624" s="24">
        <v>0</v>
      </c>
      <c r="AE624" s="27">
        <f>_xlfn.XLOOKUP(B624,'Projects Cashflow'!$B:$B,'Projects Cashflow'!$AG:$AG,0)</f>
        <v>4000000</v>
      </c>
      <c r="AF624" s="28">
        <f t="shared" si="30"/>
        <v>0</v>
      </c>
    </row>
    <row r="625" spans="2:32" x14ac:dyDescent="0.3">
      <c r="B625" s="14" t="str">
        <f t="shared" si="28"/>
        <v>45122004511000815Audit Services-N1421125200104</v>
      </c>
      <c r="C625" s="21" t="s">
        <v>721</v>
      </c>
      <c r="D625" s="22">
        <v>4512200</v>
      </c>
      <c r="E625" s="21" t="s">
        <v>3069</v>
      </c>
      <c r="F625" s="22">
        <v>4511000815</v>
      </c>
      <c r="G625" s="21" t="s">
        <v>1101</v>
      </c>
      <c r="H625" s="21" t="s">
        <v>1102</v>
      </c>
      <c r="I625" s="22">
        <v>421125</v>
      </c>
      <c r="J625" s="22">
        <v>200104</v>
      </c>
      <c r="K625" s="22" t="s">
        <v>2959</v>
      </c>
      <c r="L625" s="22">
        <v>70111</v>
      </c>
      <c r="M625" s="23" t="s">
        <v>2960</v>
      </c>
      <c r="N625" s="24">
        <v>0</v>
      </c>
      <c r="O625" s="24">
        <v>0</v>
      </c>
      <c r="P625" s="24">
        <v>0</v>
      </c>
      <c r="Q625" s="24">
        <v>380000</v>
      </c>
      <c r="R625" s="24">
        <v>190000</v>
      </c>
      <c r="S625" s="24">
        <v>190000</v>
      </c>
      <c r="T625" s="24">
        <v>190000</v>
      </c>
      <c r="U625" s="24">
        <v>0</v>
      </c>
      <c r="V625" s="24">
        <v>0</v>
      </c>
      <c r="W625" s="24">
        <v>0</v>
      </c>
      <c r="X625" s="24">
        <v>0</v>
      </c>
      <c r="Y625" s="24">
        <v>0</v>
      </c>
      <c r="Z625" s="24">
        <f t="shared" si="29"/>
        <v>950000</v>
      </c>
      <c r="AB625" s="25">
        <v>950000</v>
      </c>
      <c r="AC625" s="26">
        <v>950000</v>
      </c>
      <c r="AD625" s="24">
        <v>0</v>
      </c>
      <c r="AE625" s="27">
        <f>_xlfn.XLOOKUP(B625,'Projects Cashflow'!$B:$B,'Projects Cashflow'!$AG:$AG,0)</f>
        <v>950000</v>
      </c>
      <c r="AF625" s="28">
        <f t="shared" si="30"/>
        <v>0</v>
      </c>
    </row>
    <row r="626" spans="2:32" x14ac:dyDescent="0.3">
      <c r="B626" s="14" t="str">
        <f t="shared" si="28"/>
        <v>45122004511001397Manpower-N424521200104</v>
      </c>
      <c r="C626" s="21" t="s">
        <v>721</v>
      </c>
      <c r="D626" s="22">
        <v>4512200</v>
      </c>
      <c r="E626" s="21" t="s">
        <v>3069</v>
      </c>
      <c r="F626" s="22">
        <v>4511001397</v>
      </c>
      <c r="G626" s="21" t="s">
        <v>1652</v>
      </c>
      <c r="H626" s="21" t="s">
        <v>98</v>
      </c>
      <c r="I626" s="22">
        <v>424521</v>
      </c>
      <c r="J626" s="22">
        <v>200104</v>
      </c>
      <c r="K626" s="22" t="s">
        <v>2959</v>
      </c>
      <c r="L626" s="22">
        <v>70111</v>
      </c>
      <c r="M626" s="23" t="s">
        <v>2960</v>
      </c>
      <c r="N626" s="24">
        <v>0</v>
      </c>
      <c r="O626" s="24">
        <v>0</v>
      </c>
      <c r="P626" s="26">
        <v>0</v>
      </c>
      <c r="Q626" s="24">
        <v>680000</v>
      </c>
      <c r="R626" s="24">
        <v>170000</v>
      </c>
      <c r="S626" s="24">
        <v>170000</v>
      </c>
      <c r="T626" s="24">
        <v>170000</v>
      </c>
      <c r="U626" s="24">
        <v>170000</v>
      </c>
      <c r="V626" s="24">
        <v>170000</v>
      </c>
      <c r="W626" s="24">
        <v>170000</v>
      </c>
      <c r="X626" s="24">
        <v>170000</v>
      </c>
      <c r="Y626" s="24">
        <v>170000</v>
      </c>
      <c r="Z626" s="24">
        <f t="shared" si="29"/>
        <v>2040000</v>
      </c>
      <c r="AB626" s="25">
        <v>2040000</v>
      </c>
      <c r="AC626" s="26">
        <v>2040000</v>
      </c>
      <c r="AD626" s="24">
        <v>0</v>
      </c>
      <c r="AE626" s="27">
        <f>_xlfn.XLOOKUP(B626,'Projects Cashflow'!$B:$B,'Projects Cashflow'!$AG:$AG,0)</f>
        <v>2040000</v>
      </c>
      <c r="AF626" s="28">
        <f t="shared" si="30"/>
        <v>0</v>
      </c>
    </row>
    <row r="627" spans="2:32" x14ac:dyDescent="0.3">
      <c r="B627" s="14" t="str">
        <f t="shared" si="28"/>
        <v>45122004511001417Admin Expenses-N1421125200104</v>
      </c>
      <c r="C627" s="21" t="s">
        <v>721</v>
      </c>
      <c r="D627" s="22">
        <v>4512200</v>
      </c>
      <c r="E627" s="21" t="s">
        <v>3069</v>
      </c>
      <c r="F627" s="22">
        <v>4511001417</v>
      </c>
      <c r="G627" s="21" t="s">
        <v>1693</v>
      </c>
      <c r="H627" s="21" t="s">
        <v>73</v>
      </c>
      <c r="I627" s="22">
        <v>421125</v>
      </c>
      <c r="J627" s="22">
        <v>200104</v>
      </c>
      <c r="K627" s="22" t="s">
        <v>2959</v>
      </c>
      <c r="L627" s="22">
        <v>70111</v>
      </c>
      <c r="M627" s="23" t="s">
        <v>2960</v>
      </c>
      <c r="N627" s="24">
        <v>0</v>
      </c>
      <c r="O627" s="24">
        <v>0</v>
      </c>
      <c r="P627" s="24">
        <v>0</v>
      </c>
      <c r="Q627" s="24">
        <v>54000</v>
      </c>
      <c r="R627" s="24">
        <v>6000</v>
      </c>
      <c r="S627" s="24">
        <v>1000</v>
      </c>
      <c r="T627" s="24">
        <v>121000</v>
      </c>
      <c r="U627" s="24">
        <v>6000</v>
      </c>
      <c r="V627" s="24">
        <v>1000</v>
      </c>
      <c r="W627" s="24">
        <v>1000</v>
      </c>
      <c r="X627" s="24">
        <v>6000</v>
      </c>
      <c r="Y627" s="24">
        <v>4000</v>
      </c>
      <c r="Z627" s="24">
        <f t="shared" si="29"/>
        <v>200000</v>
      </c>
      <c r="AB627" s="25">
        <v>200000</v>
      </c>
      <c r="AC627" s="26">
        <v>200000</v>
      </c>
      <c r="AD627" s="24">
        <v>0</v>
      </c>
      <c r="AE627" s="27">
        <f>_xlfn.XLOOKUP(B627,'Projects Cashflow'!$B:$B,'Projects Cashflow'!$AG:$AG,0)</f>
        <v>200000</v>
      </c>
      <c r="AF627" s="28">
        <f t="shared" si="30"/>
        <v>0</v>
      </c>
    </row>
    <row r="628" spans="2:32" x14ac:dyDescent="0.3">
      <c r="B628" s="14" t="str">
        <f t="shared" si="28"/>
        <v>45122004511001417Mission &amp; Travel-N1423821200104</v>
      </c>
      <c r="C628" s="21" t="s">
        <v>721</v>
      </c>
      <c r="D628" s="22">
        <v>4512200</v>
      </c>
      <c r="E628" s="21" t="s">
        <v>3069</v>
      </c>
      <c r="F628" s="22">
        <v>4511001417</v>
      </c>
      <c r="G628" s="21" t="s">
        <v>1693</v>
      </c>
      <c r="H628" s="21" t="s">
        <v>472</v>
      </c>
      <c r="I628" s="22">
        <v>423821</v>
      </c>
      <c r="J628" s="22">
        <v>200104</v>
      </c>
      <c r="K628" s="22" t="s">
        <v>2959</v>
      </c>
      <c r="L628" s="22">
        <v>70111</v>
      </c>
      <c r="M628" s="23" t="s">
        <v>2960</v>
      </c>
      <c r="N628" s="24">
        <v>0</v>
      </c>
      <c r="O628" s="24">
        <v>0</v>
      </c>
      <c r="P628" s="24">
        <v>0</v>
      </c>
      <c r="Q628" s="24">
        <v>0</v>
      </c>
      <c r="R628" s="24">
        <v>0</v>
      </c>
      <c r="S628" s="24">
        <v>0</v>
      </c>
      <c r="T628" s="24">
        <v>27000</v>
      </c>
      <c r="U628" s="24">
        <v>0</v>
      </c>
      <c r="V628" s="24">
        <v>0</v>
      </c>
      <c r="W628" s="24">
        <v>100000</v>
      </c>
      <c r="X628" s="24">
        <v>0</v>
      </c>
      <c r="Y628" s="24">
        <v>0</v>
      </c>
      <c r="Z628" s="24">
        <f t="shared" si="29"/>
        <v>127000</v>
      </c>
      <c r="AB628" s="25">
        <v>127000</v>
      </c>
      <c r="AC628" s="26">
        <v>127000</v>
      </c>
      <c r="AD628" s="24">
        <v>0</v>
      </c>
      <c r="AE628" s="27">
        <f>_xlfn.XLOOKUP(B628,'Projects Cashflow'!$B:$B,'Projects Cashflow'!$AG:$AG,0)</f>
        <v>127000</v>
      </c>
      <c r="AF628" s="28">
        <f t="shared" si="30"/>
        <v>0</v>
      </c>
    </row>
    <row r="629" spans="2:32" x14ac:dyDescent="0.3">
      <c r="B629" s="14" t="str">
        <f t="shared" si="28"/>
        <v>45122004511001417Other Expenses-N1424991200104</v>
      </c>
      <c r="C629" s="21" t="s">
        <v>721</v>
      </c>
      <c r="D629" s="22">
        <v>4512200</v>
      </c>
      <c r="E629" s="21" t="s">
        <v>3069</v>
      </c>
      <c r="F629" s="22">
        <v>4511001417</v>
      </c>
      <c r="G629" s="21" t="s">
        <v>1693</v>
      </c>
      <c r="H629" s="21" t="s">
        <v>667</v>
      </c>
      <c r="I629" s="22">
        <v>424991</v>
      </c>
      <c r="J629" s="22">
        <v>200104</v>
      </c>
      <c r="K629" s="22" t="s">
        <v>2959</v>
      </c>
      <c r="L629" s="22">
        <v>70111</v>
      </c>
      <c r="M629" s="23" t="s">
        <v>2960</v>
      </c>
      <c r="N629" s="24">
        <v>0</v>
      </c>
      <c r="O629" s="24">
        <v>0</v>
      </c>
      <c r="P629" s="24">
        <v>0</v>
      </c>
      <c r="Q629" s="24">
        <v>16000</v>
      </c>
      <c r="R629" s="24">
        <v>8000</v>
      </c>
      <c r="S629" s="24">
        <v>8000</v>
      </c>
      <c r="T629" s="24">
        <v>8000</v>
      </c>
      <c r="U629" s="24">
        <v>8000</v>
      </c>
      <c r="V629" s="24">
        <v>8000</v>
      </c>
      <c r="W629" s="24">
        <v>8000</v>
      </c>
      <c r="X629" s="24">
        <v>8000</v>
      </c>
      <c r="Y629" s="24">
        <v>8000</v>
      </c>
      <c r="Z629" s="24">
        <f t="shared" si="29"/>
        <v>80000</v>
      </c>
      <c r="AB629" s="25">
        <v>80000</v>
      </c>
      <c r="AC629" s="26">
        <v>80000</v>
      </c>
      <c r="AD629" s="24">
        <v>0</v>
      </c>
      <c r="AE629" s="27">
        <f>_xlfn.XLOOKUP(B629,'Projects Cashflow'!$B:$B,'Projects Cashflow'!$AG:$AG,0)</f>
        <v>80000</v>
      </c>
      <c r="AF629" s="28">
        <f t="shared" si="30"/>
        <v>0</v>
      </c>
    </row>
    <row r="630" spans="2:32" x14ac:dyDescent="0.3">
      <c r="B630" s="14" t="str">
        <f t="shared" si="28"/>
        <v>45122004511001418Licenses Fees-N1424131200104</v>
      </c>
      <c r="C630" s="21" t="s">
        <v>721</v>
      </c>
      <c r="D630" s="22">
        <v>4512200</v>
      </c>
      <c r="E630" s="21" t="s">
        <v>3069</v>
      </c>
      <c r="F630" s="22">
        <v>4511001418</v>
      </c>
      <c r="G630" s="21" t="s">
        <v>1697</v>
      </c>
      <c r="H630" s="21" t="s">
        <v>1698</v>
      </c>
      <c r="I630" s="22">
        <v>424131</v>
      </c>
      <c r="J630" s="22">
        <v>200104</v>
      </c>
      <c r="K630" s="22" t="s">
        <v>2959</v>
      </c>
      <c r="L630" s="22">
        <v>70111</v>
      </c>
      <c r="M630" s="23" t="s">
        <v>2960</v>
      </c>
      <c r="N630" s="24">
        <v>0</v>
      </c>
      <c r="O630" s="24">
        <v>0</v>
      </c>
      <c r="P630" s="24">
        <v>0</v>
      </c>
      <c r="Q630" s="24">
        <v>2311543</v>
      </c>
      <c r="R630" s="24">
        <v>92000</v>
      </c>
      <c r="S630" s="24">
        <v>623900</v>
      </c>
      <c r="T630" s="24">
        <v>73400</v>
      </c>
      <c r="U630" s="24">
        <v>920000</v>
      </c>
      <c r="V630" s="24">
        <v>91750</v>
      </c>
      <c r="W630" s="24">
        <v>1354924</v>
      </c>
      <c r="X630" s="24">
        <v>220800</v>
      </c>
      <c r="Y630" s="24">
        <v>623900</v>
      </c>
      <c r="Z630" s="24">
        <f t="shared" si="29"/>
        <v>6312217</v>
      </c>
      <c r="AB630" s="25">
        <v>11029279</v>
      </c>
      <c r="AC630" s="26">
        <v>11029279</v>
      </c>
      <c r="AD630" s="24">
        <v>0</v>
      </c>
      <c r="AE630" s="27">
        <f>_xlfn.XLOOKUP(B630,'Projects Cashflow'!$B:$B,'Projects Cashflow'!$AG:$AG,0)</f>
        <v>11029279</v>
      </c>
      <c r="AF630" s="28">
        <f t="shared" si="30"/>
        <v>0</v>
      </c>
    </row>
    <row r="631" spans="2:32" x14ac:dyDescent="0.3">
      <c r="B631" s="14" t="str">
        <f t="shared" si="28"/>
        <v>45122004511001418Freelancers-N1424521200104</v>
      </c>
      <c r="C631" s="21" t="s">
        <v>721</v>
      </c>
      <c r="D631" s="22">
        <v>4512200</v>
      </c>
      <c r="E631" s="21" t="s">
        <v>3069</v>
      </c>
      <c r="F631" s="22">
        <v>4511001418</v>
      </c>
      <c r="G631" s="21" t="s">
        <v>1697</v>
      </c>
      <c r="H631" s="21" t="s">
        <v>303</v>
      </c>
      <c r="I631" s="22">
        <v>424521</v>
      </c>
      <c r="J631" s="22">
        <v>200104</v>
      </c>
      <c r="K631" s="22" t="s">
        <v>2959</v>
      </c>
      <c r="L631" s="22">
        <v>70111</v>
      </c>
      <c r="M631" s="23" t="s">
        <v>2960</v>
      </c>
      <c r="N631" s="24">
        <v>0</v>
      </c>
      <c r="O631" s="24">
        <v>0</v>
      </c>
      <c r="P631" s="26">
        <v>0</v>
      </c>
      <c r="Q631" s="24">
        <v>413800</v>
      </c>
      <c r="R631" s="24">
        <v>199450</v>
      </c>
      <c r="S631" s="24">
        <v>199450</v>
      </c>
      <c r="T631" s="24">
        <v>199450</v>
      </c>
      <c r="U631" s="24">
        <v>199450</v>
      </c>
      <c r="V631" s="24">
        <v>199450</v>
      </c>
      <c r="W631" s="24">
        <v>199450</v>
      </c>
      <c r="X631" s="24">
        <v>199450</v>
      </c>
      <c r="Y631" s="24">
        <v>190050</v>
      </c>
      <c r="Z631" s="24">
        <f t="shared" si="29"/>
        <v>2000000</v>
      </c>
      <c r="AB631" s="25">
        <v>2000000</v>
      </c>
      <c r="AC631" s="26">
        <v>2000000</v>
      </c>
      <c r="AD631" s="24">
        <v>0</v>
      </c>
      <c r="AE631" s="27">
        <f>_xlfn.XLOOKUP(B631,'Projects Cashflow'!$B:$B,'Projects Cashflow'!$AG:$AG,0)</f>
        <v>2000000</v>
      </c>
      <c r="AF631" s="28">
        <f t="shared" si="30"/>
        <v>0</v>
      </c>
    </row>
    <row r="632" spans="2:32" x14ac:dyDescent="0.3">
      <c r="B632" s="14" t="str">
        <f t="shared" si="28"/>
        <v>45122004511001418Trade Promotion-N1424251200104</v>
      </c>
      <c r="C632" s="21" t="s">
        <v>721</v>
      </c>
      <c r="D632" s="22">
        <v>4512200</v>
      </c>
      <c r="E632" s="21" t="s">
        <v>3069</v>
      </c>
      <c r="F632" s="22">
        <v>4511001418</v>
      </c>
      <c r="G632" s="21" t="s">
        <v>1697</v>
      </c>
      <c r="H632" s="21" t="s">
        <v>829</v>
      </c>
      <c r="I632" s="22">
        <v>424251</v>
      </c>
      <c r="J632" s="22">
        <v>200104</v>
      </c>
      <c r="K632" s="22" t="s">
        <v>2959</v>
      </c>
      <c r="L632" s="22">
        <v>70111</v>
      </c>
      <c r="M632" s="23" t="s">
        <v>2960</v>
      </c>
      <c r="N632" s="24">
        <v>0</v>
      </c>
      <c r="O632" s="24">
        <v>0</v>
      </c>
      <c r="P632" s="24">
        <v>0</v>
      </c>
      <c r="Q632" s="24">
        <v>0</v>
      </c>
      <c r="R632" s="24">
        <v>0</v>
      </c>
      <c r="S632" s="24">
        <v>0</v>
      </c>
      <c r="T632" s="24">
        <v>99360</v>
      </c>
      <c r="U632" s="24">
        <v>0</v>
      </c>
      <c r="V632" s="24">
        <v>0</v>
      </c>
      <c r="W632" s="24">
        <v>99360</v>
      </c>
      <c r="X632" s="24">
        <v>0</v>
      </c>
      <c r="Y632" s="24">
        <v>0</v>
      </c>
      <c r="Z632" s="24">
        <f t="shared" si="29"/>
        <v>198720</v>
      </c>
      <c r="AB632" s="25">
        <v>198720</v>
      </c>
      <c r="AC632" s="26">
        <v>198720</v>
      </c>
      <c r="AD632" s="24">
        <v>0</v>
      </c>
      <c r="AE632" s="27">
        <f>_xlfn.XLOOKUP(B632,'Projects Cashflow'!$B:$B,'Projects Cashflow'!$AG:$AG,0)</f>
        <v>198720</v>
      </c>
      <c r="AF632" s="28">
        <f t="shared" si="30"/>
        <v>0</v>
      </c>
    </row>
    <row r="633" spans="2:32" x14ac:dyDescent="0.3">
      <c r="B633" s="14" t="str">
        <f t="shared" si="28"/>
        <v>45122004511001419ManagementAdvice-N1424521200104</v>
      </c>
      <c r="C633" s="21" t="s">
        <v>721</v>
      </c>
      <c r="D633" s="22">
        <v>4512200</v>
      </c>
      <c r="E633" s="21" t="s">
        <v>3069</v>
      </c>
      <c r="F633" s="22">
        <v>4511001419</v>
      </c>
      <c r="G633" s="21" t="s">
        <v>1701</v>
      </c>
      <c r="H633" s="21" t="s">
        <v>725</v>
      </c>
      <c r="I633" s="22">
        <v>424521</v>
      </c>
      <c r="J633" s="22">
        <v>200104</v>
      </c>
      <c r="K633" s="22" t="s">
        <v>2959</v>
      </c>
      <c r="L633" s="22">
        <v>70111</v>
      </c>
      <c r="M633" s="23" t="s">
        <v>2960</v>
      </c>
      <c r="N633" s="24">
        <v>0</v>
      </c>
      <c r="O633" s="24">
        <v>0</v>
      </c>
      <c r="P633" s="24">
        <v>0</v>
      </c>
      <c r="Q633" s="24">
        <v>0</v>
      </c>
      <c r="R633" s="24">
        <v>30000</v>
      </c>
      <c r="S633" s="24">
        <v>30000</v>
      </c>
      <c r="T633" s="24">
        <v>40000</v>
      </c>
      <c r="U633" s="24">
        <v>42000</v>
      </c>
      <c r="V633" s="24">
        <v>42000</v>
      </c>
      <c r="W633" s="24">
        <v>0</v>
      </c>
      <c r="X633" s="24">
        <v>0</v>
      </c>
      <c r="Y633" s="24">
        <v>0</v>
      </c>
      <c r="Z633" s="24">
        <f t="shared" si="29"/>
        <v>184000</v>
      </c>
      <c r="AB633" s="25">
        <v>184000</v>
      </c>
      <c r="AC633" s="26">
        <v>184000</v>
      </c>
      <c r="AD633" s="24">
        <v>0</v>
      </c>
      <c r="AE633" s="27">
        <f>_xlfn.XLOOKUP(B633,'Projects Cashflow'!$B:$B,'Projects Cashflow'!$AG:$AG,0)</f>
        <v>184000</v>
      </c>
      <c r="AF633" s="28">
        <f t="shared" si="30"/>
        <v>0</v>
      </c>
    </row>
    <row r="634" spans="2:32" x14ac:dyDescent="0.3">
      <c r="B634" s="14" t="str">
        <f t="shared" si="28"/>
        <v>45123004511000542ManagementAdvice-N1424521200104</v>
      </c>
      <c r="C634" s="21" t="s">
        <v>721</v>
      </c>
      <c r="D634" s="22">
        <v>4512300</v>
      </c>
      <c r="E634" s="21" t="s">
        <v>3071</v>
      </c>
      <c r="F634" s="22">
        <v>4511000542</v>
      </c>
      <c r="G634" s="21" t="s">
        <v>3072</v>
      </c>
      <c r="H634" s="21" t="s">
        <v>725</v>
      </c>
      <c r="I634" s="22">
        <v>424521</v>
      </c>
      <c r="J634" s="22">
        <v>200104</v>
      </c>
      <c r="K634" s="22" t="s">
        <v>2959</v>
      </c>
      <c r="L634" s="22">
        <v>70110</v>
      </c>
      <c r="M634" s="23" t="s">
        <v>2960</v>
      </c>
      <c r="N634" s="24">
        <v>0</v>
      </c>
      <c r="O634" s="24">
        <v>0</v>
      </c>
      <c r="P634" s="24">
        <v>0</v>
      </c>
      <c r="Q634" s="24">
        <v>0</v>
      </c>
      <c r="R634" s="24">
        <v>0</v>
      </c>
      <c r="S634" s="24">
        <v>0</v>
      </c>
      <c r="T634" s="24">
        <v>530000</v>
      </c>
      <c r="U634" s="24">
        <v>0</v>
      </c>
      <c r="V634" s="24">
        <v>770000</v>
      </c>
      <c r="W634" s="24">
        <v>0</v>
      </c>
      <c r="X634" s="24">
        <v>800000</v>
      </c>
      <c r="Y634" s="24">
        <v>0</v>
      </c>
      <c r="Z634" s="24">
        <f t="shared" si="29"/>
        <v>2100000</v>
      </c>
      <c r="AB634" s="25">
        <v>2100000</v>
      </c>
      <c r="AC634" s="26">
        <v>2099999.6</v>
      </c>
      <c r="AD634" s="24">
        <v>0.39999999990686774</v>
      </c>
      <c r="AE634" s="27">
        <f>_xlfn.XLOOKUP(B634,'Projects Cashflow'!$B:$B,'Projects Cashflow'!$AG:$AG,0)</f>
        <v>2099999.6</v>
      </c>
      <c r="AF634" s="28">
        <f t="shared" si="30"/>
        <v>-0.39999999990686774</v>
      </c>
    </row>
    <row r="635" spans="2:32" x14ac:dyDescent="0.3">
      <c r="B635" s="14" t="str">
        <f t="shared" si="28"/>
        <v>45123004511000542Licenses Fees-N424131200104</v>
      </c>
      <c r="C635" s="21" t="s">
        <v>721</v>
      </c>
      <c r="D635" s="22">
        <v>4512300</v>
      </c>
      <c r="E635" s="21" t="s">
        <v>3071</v>
      </c>
      <c r="F635" s="22">
        <v>4511000542</v>
      </c>
      <c r="G635" s="21" t="s">
        <v>3072</v>
      </c>
      <c r="H635" s="21" t="s">
        <v>365</v>
      </c>
      <c r="I635" s="22">
        <v>424131</v>
      </c>
      <c r="J635" s="22">
        <v>200104</v>
      </c>
      <c r="K635" s="22" t="s">
        <v>2959</v>
      </c>
      <c r="L635" s="22">
        <v>70110</v>
      </c>
      <c r="M635" s="23" t="s">
        <v>2960</v>
      </c>
      <c r="N635" s="24">
        <v>0</v>
      </c>
      <c r="O635" s="24">
        <v>0</v>
      </c>
      <c r="P635" s="24">
        <v>0</v>
      </c>
      <c r="Q635" s="24">
        <v>0</v>
      </c>
      <c r="R635" s="24">
        <v>0</v>
      </c>
      <c r="S635" s="24">
        <v>100000</v>
      </c>
      <c r="T635" s="24">
        <v>0</v>
      </c>
      <c r="U635" s="24">
        <v>105000</v>
      </c>
      <c r="V635" s="24">
        <v>0</v>
      </c>
      <c r="W635" s="24">
        <v>0</v>
      </c>
      <c r="X635" s="24">
        <v>110000</v>
      </c>
      <c r="Y635" s="24">
        <v>0</v>
      </c>
      <c r="Z635" s="24">
        <f t="shared" si="29"/>
        <v>315000</v>
      </c>
      <c r="AB635" s="25">
        <v>315000</v>
      </c>
      <c r="AC635" s="26">
        <v>315000</v>
      </c>
      <c r="AD635" s="24">
        <v>0</v>
      </c>
      <c r="AE635" s="27">
        <f>_xlfn.XLOOKUP(B635,'Projects Cashflow'!$B:$B,'Projects Cashflow'!$AG:$AG,0)</f>
        <v>315000</v>
      </c>
      <c r="AF635" s="28">
        <f t="shared" si="30"/>
        <v>0</v>
      </c>
    </row>
    <row r="636" spans="2:32" x14ac:dyDescent="0.3">
      <c r="B636" s="14" t="str">
        <f t="shared" si="28"/>
        <v>45123004511001184Freelancers-N424521200104</v>
      </c>
      <c r="C636" s="21" t="s">
        <v>721</v>
      </c>
      <c r="D636" s="22">
        <v>4512300</v>
      </c>
      <c r="E636" s="21" t="s">
        <v>3071</v>
      </c>
      <c r="F636" s="22">
        <v>4511001184</v>
      </c>
      <c r="G636" s="21" t="s">
        <v>1445</v>
      </c>
      <c r="H636" s="21" t="s">
        <v>50</v>
      </c>
      <c r="I636" s="22">
        <v>424521</v>
      </c>
      <c r="J636" s="22">
        <v>200104</v>
      </c>
      <c r="K636" s="22" t="s">
        <v>2959</v>
      </c>
      <c r="L636" s="22">
        <v>70110</v>
      </c>
      <c r="M636" s="23" t="s">
        <v>2960</v>
      </c>
      <c r="N636" s="24">
        <v>0</v>
      </c>
      <c r="O636" s="24">
        <v>136000</v>
      </c>
      <c r="P636" s="24">
        <v>68000</v>
      </c>
      <c r="Q636" s="24">
        <v>68000</v>
      </c>
      <c r="R636" s="24">
        <v>68000</v>
      </c>
      <c r="S636" s="24">
        <v>68000</v>
      </c>
      <c r="T636" s="24">
        <v>68000</v>
      </c>
      <c r="U636" s="24">
        <v>68000</v>
      </c>
      <c r="V636" s="24">
        <v>68000</v>
      </c>
      <c r="W636" s="24">
        <v>68000</v>
      </c>
      <c r="X636" s="24">
        <v>0</v>
      </c>
      <c r="Y636" s="24">
        <v>0</v>
      </c>
      <c r="Z636" s="24">
        <f t="shared" si="29"/>
        <v>680000</v>
      </c>
      <c r="AB636" s="25">
        <v>680000</v>
      </c>
      <c r="AC636" s="26">
        <v>680000</v>
      </c>
      <c r="AD636" s="24">
        <v>0</v>
      </c>
      <c r="AE636" s="27">
        <f>_xlfn.XLOOKUP(B636,'Projects Cashflow'!$B:$B,'Projects Cashflow'!$AG:$AG,0)</f>
        <v>680000</v>
      </c>
      <c r="AF636" s="28">
        <f t="shared" si="30"/>
        <v>0</v>
      </c>
    </row>
    <row r="637" spans="2:32" x14ac:dyDescent="0.3">
      <c r="B637" s="14" t="str">
        <f t="shared" si="28"/>
        <v>45123004511001184Hospitality-N424761200104</v>
      </c>
      <c r="C637" s="21" t="s">
        <v>721</v>
      </c>
      <c r="D637" s="22">
        <v>4512300</v>
      </c>
      <c r="E637" s="21" t="s">
        <v>3071</v>
      </c>
      <c r="F637" s="22">
        <v>4511001184</v>
      </c>
      <c r="G637" s="21" t="s">
        <v>1445</v>
      </c>
      <c r="H637" s="21" t="s">
        <v>83</v>
      </c>
      <c r="I637" s="22">
        <v>424761</v>
      </c>
      <c r="J637" s="22">
        <v>200104</v>
      </c>
      <c r="K637" s="22" t="s">
        <v>2959</v>
      </c>
      <c r="L637" s="22">
        <v>70110</v>
      </c>
      <c r="M637" s="23" t="s">
        <v>2960</v>
      </c>
      <c r="N637" s="24">
        <v>0</v>
      </c>
      <c r="O637" s="24">
        <v>0</v>
      </c>
      <c r="P637" s="24">
        <v>0</v>
      </c>
      <c r="Q637" s="24">
        <v>0</v>
      </c>
      <c r="R637" s="24">
        <v>0</v>
      </c>
      <c r="S637" s="24">
        <v>0</v>
      </c>
      <c r="T637" s="24">
        <v>0</v>
      </c>
      <c r="U637" s="24">
        <v>46995</v>
      </c>
      <c r="V637" s="24">
        <v>0</v>
      </c>
      <c r="W637" s="24">
        <v>0</v>
      </c>
      <c r="X637" s="24">
        <v>0</v>
      </c>
      <c r="Y637" s="24">
        <v>0</v>
      </c>
      <c r="Z637" s="24">
        <f t="shared" si="29"/>
        <v>46995</v>
      </c>
      <c r="AB637" s="25">
        <v>46995</v>
      </c>
      <c r="AC637" s="26">
        <v>46995</v>
      </c>
      <c r="AD637" s="24">
        <v>0</v>
      </c>
      <c r="AE637" s="27">
        <f>_xlfn.XLOOKUP(B637,'Projects Cashflow'!$B:$B,'Projects Cashflow'!$AG:$AG,0)</f>
        <v>46995</v>
      </c>
      <c r="AF637" s="28">
        <f t="shared" si="30"/>
        <v>0</v>
      </c>
    </row>
    <row r="638" spans="2:32" x14ac:dyDescent="0.3">
      <c r="B638" s="14" t="str">
        <f t="shared" si="28"/>
        <v>45123004511001185Strategy Advice-N421123200104</v>
      </c>
      <c r="C638" s="21" t="s">
        <v>721</v>
      </c>
      <c r="D638" s="22">
        <v>4512300</v>
      </c>
      <c r="E638" s="21" t="s">
        <v>3071</v>
      </c>
      <c r="F638" s="22">
        <v>4511001185</v>
      </c>
      <c r="G638" s="21" t="s">
        <v>1448</v>
      </c>
      <c r="H638" s="21" t="s">
        <v>236</v>
      </c>
      <c r="I638" s="22">
        <v>421123</v>
      </c>
      <c r="J638" s="22">
        <v>200104</v>
      </c>
      <c r="K638" s="22" t="s">
        <v>2959</v>
      </c>
      <c r="L638" s="22">
        <v>70110</v>
      </c>
      <c r="M638" s="23" t="s">
        <v>2960</v>
      </c>
      <c r="N638" s="24">
        <v>0</v>
      </c>
      <c r="O638" s="24">
        <v>0</v>
      </c>
      <c r="P638" s="24">
        <v>0</v>
      </c>
      <c r="Q638" s="24">
        <v>0</v>
      </c>
      <c r="R638" s="24">
        <v>0</v>
      </c>
      <c r="S638" s="24">
        <v>890000</v>
      </c>
      <c r="T638" s="24">
        <v>500000</v>
      </c>
      <c r="U638" s="24">
        <v>500000</v>
      </c>
      <c r="V638" s="24">
        <v>1000000</v>
      </c>
      <c r="W638" s="24">
        <v>1000000</v>
      </c>
      <c r="X638" s="24">
        <v>1000000</v>
      </c>
      <c r="Y638" s="24">
        <v>1000000</v>
      </c>
      <c r="Z638" s="24">
        <f t="shared" si="29"/>
        <v>5890000</v>
      </c>
      <c r="AB638" s="25">
        <v>5890000</v>
      </c>
      <c r="AC638" s="26">
        <v>5890000</v>
      </c>
      <c r="AD638" s="24">
        <v>0</v>
      </c>
      <c r="AE638" s="27">
        <f>_xlfn.XLOOKUP(B638,'Projects Cashflow'!$B:$B,'Projects Cashflow'!$AG:$AG,0)</f>
        <v>5890000</v>
      </c>
      <c r="AF638" s="28">
        <f t="shared" si="30"/>
        <v>0</v>
      </c>
    </row>
    <row r="639" spans="2:32" x14ac:dyDescent="0.3">
      <c r="B639" s="14" t="str">
        <f t="shared" si="28"/>
        <v>45123004511001187ManagementAdvice-N1424521200104</v>
      </c>
      <c r="C639" s="21" t="s">
        <v>721</v>
      </c>
      <c r="D639" s="22">
        <v>4512300</v>
      </c>
      <c r="E639" s="21" t="s">
        <v>3071</v>
      </c>
      <c r="F639" s="22">
        <v>4511001187</v>
      </c>
      <c r="G639" s="21" t="s">
        <v>1451</v>
      </c>
      <c r="H639" s="21" t="s">
        <v>725</v>
      </c>
      <c r="I639" s="22">
        <v>424521</v>
      </c>
      <c r="J639" s="22">
        <v>200104</v>
      </c>
      <c r="K639" s="22" t="s">
        <v>2959</v>
      </c>
      <c r="L639" s="22">
        <v>70110</v>
      </c>
      <c r="M639" s="23" t="s">
        <v>2960</v>
      </c>
      <c r="N639" s="24">
        <v>0</v>
      </c>
      <c r="O639" s="24">
        <v>0</v>
      </c>
      <c r="P639" s="24">
        <v>0</v>
      </c>
      <c r="Q639" s="24">
        <v>0</v>
      </c>
      <c r="R639" s="24">
        <v>0</v>
      </c>
      <c r="S639" s="24">
        <v>0</v>
      </c>
      <c r="T639" s="24">
        <v>1967771</v>
      </c>
      <c r="U639" s="24">
        <v>0</v>
      </c>
      <c r="V639" s="24">
        <v>1500000</v>
      </c>
      <c r="W639" s="24">
        <v>0</v>
      </c>
      <c r="X639" s="24">
        <v>1500000</v>
      </c>
      <c r="Y639" s="24">
        <v>0</v>
      </c>
      <c r="Z639" s="24">
        <f t="shared" si="29"/>
        <v>4967771</v>
      </c>
      <c r="AB639" s="25">
        <v>4967771</v>
      </c>
      <c r="AC639" s="26">
        <v>4967771</v>
      </c>
      <c r="AD639" s="24">
        <v>0</v>
      </c>
      <c r="AE639" s="27">
        <f>_xlfn.XLOOKUP(B639,'Projects Cashflow'!$B:$B,'Projects Cashflow'!$AG:$AG,0)</f>
        <v>4967771</v>
      </c>
      <c r="AF639" s="28">
        <f t="shared" si="30"/>
        <v>0</v>
      </c>
    </row>
    <row r="640" spans="2:32" x14ac:dyDescent="0.3">
      <c r="B640" s="14" t="str">
        <f t="shared" si="28"/>
        <v>45125004511001497ManagementAdvice-N424521200104</v>
      </c>
      <c r="C640" s="21" t="s">
        <v>721</v>
      </c>
      <c r="D640" s="22">
        <v>4512500</v>
      </c>
      <c r="E640" s="21" t="s">
        <v>1856</v>
      </c>
      <c r="F640" s="22">
        <v>4511001497</v>
      </c>
      <c r="G640" s="21" t="s">
        <v>1854</v>
      </c>
      <c r="H640" s="21" t="s">
        <v>230</v>
      </c>
      <c r="I640" s="22">
        <v>424521</v>
      </c>
      <c r="J640" s="22">
        <v>200104</v>
      </c>
      <c r="K640" s="22" t="s">
        <v>2959</v>
      </c>
      <c r="L640" s="22">
        <v>70101</v>
      </c>
      <c r="M640" s="23" t="s">
        <v>2960</v>
      </c>
      <c r="N640" s="24">
        <v>0</v>
      </c>
      <c r="O640" s="24">
        <v>0</v>
      </c>
      <c r="P640" s="24">
        <v>0</v>
      </c>
      <c r="Q640" s="24">
        <v>0</v>
      </c>
      <c r="R640" s="24">
        <v>0</v>
      </c>
      <c r="S640" s="24">
        <v>0</v>
      </c>
      <c r="T640" s="24">
        <v>0</v>
      </c>
      <c r="U640" s="24">
        <v>0</v>
      </c>
      <c r="V640" s="24">
        <v>0</v>
      </c>
      <c r="W640" s="24">
        <v>0</v>
      </c>
      <c r="X640" s="24">
        <v>0</v>
      </c>
      <c r="Y640" s="24">
        <v>1967295</v>
      </c>
      <c r="Z640" s="24">
        <f t="shared" si="29"/>
        <v>1967295</v>
      </c>
      <c r="AB640" s="25">
        <v>1967295</v>
      </c>
      <c r="AC640" s="26">
        <v>1967295</v>
      </c>
      <c r="AD640" s="24">
        <v>0</v>
      </c>
      <c r="AE640" s="27">
        <f>_xlfn.XLOOKUP(B640,'Projects Cashflow'!$B:$B,'Projects Cashflow'!$AG:$AG,0)</f>
        <v>1967295</v>
      </c>
      <c r="AF640" s="28">
        <f t="shared" si="30"/>
        <v>0</v>
      </c>
    </row>
    <row r="641" spans="2:32" x14ac:dyDescent="0.3">
      <c r="B641" s="14" t="str">
        <f t="shared" si="28"/>
        <v>45125004511001497Freelancers-N424521200104</v>
      </c>
      <c r="C641" s="21" t="s">
        <v>721</v>
      </c>
      <c r="D641" s="22">
        <v>4512500</v>
      </c>
      <c r="E641" s="21" t="s">
        <v>1856</v>
      </c>
      <c r="F641" s="22">
        <v>4511001497</v>
      </c>
      <c r="G641" s="21" t="s">
        <v>1854</v>
      </c>
      <c r="H641" s="21" t="s">
        <v>50</v>
      </c>
      <c r="I641" s="22">
        <v>424521</v>
      </c>
      <c r="J641" s="22">
        <v>200104</v>
      </c>
      <c r="K641" s="22" t="s">
        <v>2959</v>
      </c>
      <c r="L641" s="22">
        <v>70101</v>
      </c>
      <c r="M641" s="23" t="s">
        <v>2960</v>
      </c>
      <c r="N641" s="24">
        <v>0</v>
      </c>
      <c r="O641" s="24">
        <v>0</v>
      </c>
      <c r="P641" s="24">
        <v>0</v>
      </c>
      <c r="Q641" s="24">
        <v>0</v>
      </c>
      <c r="R641" s="24">
        <v>0</v>
      </c>
      <c r="S641" s="24">
        <v>0</v>
      </c>
      <c r="T641" s="24">
        <v>0</v>
      </c>
      <c r="U641" s="24">
        <v>0</v>
      </c>
      <c r="V641" s="24">
        <v>0</v>
      </c>
      <c r="W641" s="24">
        <v>0</v>
      </c>
      <c r="X641" s="24">
        <v>0</v>
      </c>
      <c r="Y641" s="24">
        <v>92705</v>
      </c>
      <c r="Z641" s="24">
        <f t="shared" si="29"/>
        <v>92705</v>
      </c>
      <c r="AB641" s="25">
        <v>92705</v>
      </c>
      <c r="AC641" s="26">
        <v>92705</v>
      </c>
      <c r="AD641" s="24">
        <v>0</v>
      </c>
      <c r="AE641" s="27">
        <f>_xlfn.XLOOKUP(B641,'Projects Cashflow'!$B:$B,'Projects Cashflow'!$AG:$AG,0)</f>
        <v>92705</v>
      </c>
      <c r="AF641" s="28">
        <f t="shared" si="30"/>
        <v>0</v>
      </c>
    </row>
    <row r="642" spans="2:32" x14ac:dyDescent="0.3">
      <c r="B642" s="14" t="str">
        <f t="shared" si="28"/>
        <v>45126004511001151Manpower-N1424521200104</v>
      </c>
      <c r="C642" s="21" t="s">
        <v>721</v>
      </c>
      <c r="D642" s="22">
        <v>4512600</v>
      </c>
      <c r="E642" s="21" t="s">
        <v>1413</v>
      </c>
      <c r="F642" s="22">
        <v>4511001151</v>
      </c>
      <c r="G642" s="21" t="s">
        <v>1411</v>
      </c>
      <c r="H642" s="21" t="s">
        <v>470</v>
      </c>
      <c r="I642" s="22">
        <v>424521</v>
      </c>
      <c r="J642" s="22">
        <v>200104</v>
      </c>
      <c r="K642" s="22" t="s">
        <v>2959</v>
      </c>
      <c r="L642" s="22">
        <v>70301</v>
      </c>
      <c r="M642" s="23" t="s">
        <v>2960</v>
      </c>
      <c r="N642" s="24">
        <v>0</v>
      </c>
      <c r="O642" s="24">
        <v>0</v>
      </c>
      <c r="P642" s="24">
        <v>0</v>
      </c>
      <c r="Q642" s="24">
        <v>260136.67</v>
      </c>
      <c r="R642" s="24">
        <v>260136.67</v>
      </c>
      <c r="S642" s="24">
        <v>260136.67</v>
      </c>
      <c r="T642" s="24">
        <v>260136.67</v>
      </c>
      <c r="U642" s="24">
        <v>260136.67</v>
      </c>
      <c r="V642" s="24">
        <v>260136.67</v>
      </c>
      <c r="W642" s="24">
        <v>260136.67</v>
      </c>
      <c r="X642" s="24">
        <v>260136.67</v>
      </c>
      <c r="Y642" s="24">
        <v>260136.67</v>
      </c>
      <c r="Z642" s="24">
        <f t="shared" si="29"/>
        <v>2341230.0299999998</v>
      </c>
      <c r="AB642" s="25">
        <v>2341230.0299999998</v>
      </c>
      <c r="AC642" s="26">
        <v>2341230</v>
      </c>
      <c r="AD642" s="24">
        <v>2.9999999795109034E-2</v>
      </c>
      <c r="AE642" s="27">
        <f>_xlfn.XLOOKUP(B642,'Projects Cashflow'!$B:$B,'Projects Cashflow'!$AG:$AG,0)</f>
        <v>2341230</v>
      </c>
      <c r="AF642" s="28">
        <f t="shared" si="30"/>
        <v>-2.9999999795109034E-2</v>
      </c>
    </row>
    <row r="643" spans="2:32" x14ac:dyDescent="0.3">
      <c r="B643" s="14" t="str">
        <f t="shared" si="28"/>
        <v>45126004511001151Freelancers-N1424521200104</v>
      </c>
      <c r="C643" s="21" t="s">
        <v>721</v>
      </c>
      <c r="D643" s="22">
        <v>4512600</v>
      </c>
      <c r="E643" s="21" t="s">
        <v>1413</v>
      </c>
      <c r="F643" s="22">
        <v>4511001151</v>
      </c>
      <c r="G643" s="21" t="s">
        <v>1411</v>
      </c>
      <c r="H643" s="21" t="s">
        <v>303</v>
      </c>
      <c r="I643" s="22">
        <v>424521</v>
      </c>
      <c r="J643" s="22">
        <v>200104</v>
      </c>
      <c r="K643" s="22" t="s">
        <v>2959</v>
      </c>
      <c r="L643" s="22">
        <v>70301</v>
      </c>
      <c r="M643" s="23" t="s">
        <v>2960</v>
      </c>
      <c r="N643" s="24">
        <v>200600</v>
      </c>
      <c r="O643" s="24">
        <v>200600</v>
      </c>
      <c r="P643" s="26">
        <v>290131.88</v>
      </c>
      <c r="Q643" s="24">
        <v>89079.12</v>
      </c>
      <c r="R643" s="24">
        <v>0</v>
      </c>
      <c r="S643" s="24">
        <v>0</v>
      </c>
      <c r="T643" s="24">
        <v>0</v>
      </c>
      <c r="U643" s="24">
        <v>0</v>
      </c>
      <c r="V643" s="24">
        <v>0</v>
      </c>
      <c r="W643" s="24">
        <v>0</v>
      </c>
      <c r="X643" s="24">
        <v>0</v>
      </c>
      <c r="Y643" s="24">
        <v>0</v>
      </c>
      <c r="Z643" s="24">
        <f t="shared" si="29"/>
        <v>780411</v>
      </c>
      <c r="AB643" s="25">
        <v>780411</v>
      </c>
      <c r="AC643" s="26">
        <v>780411</v>
      </c>
      <c r="AD643" s="24">
        <v>0</v>
      </c>
      <c r="AE643" s="27">
        <f>_xlfn.XLOOKUP(B643,'Projects Cashflow'!$B:$B,'Projects Cashflow'!$AG:$AG,0)</f>
        <v>780411</v>
      </c>
      <c r="AF643" s="28">
        <f t="shared" si="30"/>
        <v>0</v>
      </c>
    </row>
    <row r="644" spans="2:32" x14ac:dyDescent="0.3">
      <c r="B644" s="14" t="str">
        <f t="shared" si="28"/>
        <v>45126004511001151Print Runs-N1424791200104</v>
      </c>
      <c r="C644" s="21" t="s">
        <v>721</v>
      </c>
      <c r="D644" s="22">
        <v>4512600</v>
      </c>
      <c r="E644" s="21" t="s">
        <v>1413</v>
      </c>
      <c r="F644" s="22">
        <v>4511001151</v>
      </c>
      <c r="G644" s="21" t="s">
        <v>1411</v>
      </c>
      <c r="H644" s="29" t="s">
        <v>307</v>
      </c>
      <c r="I644" s="22">
        <v>424791</v>
      </c>
      <c r="J644" s="22">
        <v>200104</v>
      </c>
      <c r="K644" s="22" t="s">
        <v>2959</v>
      </c>
      <c r="L644" s="22">
        <v>70301</v>
      </c>
      <c r="M644" s="23" t="s">
        <v>2960</v>
      </c>
      <c r="N644" s="24">
        <v>0</v>
      </c>
      <c r="O644" s="24">
        <v>0</v>
      </c>
      <c r="P644" s="24">
        <v>0</v>
      </c>
      <c r="Q644" s="24">
        <v>150000</v>
      </c>
      <c r="R644" s="24">
        <v>70000</v>
      </c>
      <c r="S644" s="24">
        <v>70000</v>
      </c>
      <c r="T644" s="24">
        <v>70000</v>
      </c>
      <c r="U644" s="24">
        <v>70000</v>
      </c>
      <c r="V644" s="24">
        <v>70000</v>
      </c>
      <c r="W644" s="24">
        <v>0</v>
      </c>
      <c r="X644" s="24">
        <v>0</v>
      </c>
      <c r="Y644" s="24">
        <v>0</v>
      </c>
      <c r="Z644" s="24">
        <f t="shared" si="29"/>
        <v>500000</v>
      </c>
      <c r="AB644" s="25">
        <v>500000</v>
      </c>
      <c r="AC644" s="26">
        <v>500000</v>
      </c>
      <c r="AD644" s="24">
        <v>0</v>
      </c>
      <c r="AE644" s="27">
        <f>_xlfn.XLOOKUP(B644,'Projects Cashflow'!$B:$B,'Projects Cashflow'!$AG:$AG,0)</f>
        <v>500000</v>
      </c>
      <c r="AF644" s="28">
        <f t="shared" si="30"/>
        <v>0</v>
      </c>
    </row>
    <row r="645" spans="2:32" x14ac:dyDescent="0.3">
      <c r="B645" s="14" t="str">
        <f t="shared" ref="B645:B708" si="31">D645&amp;F645&amp;H645&amp;I645&amp;J645</f>
        <v>45126004511001183Furniture-N1491711300105</v>
      </c>
      <c r="C645" s="21" t="s">
        <v>721</v>
      </c>
      <c r="D645" s="22">
        <v>4512600</v>
      </c>
      <c r="E645" s="21" t="s">
        <v>1413</v>
      </c>
      <c r="F645" s="22">
        <v>4511001183</v>
      </c>
      <c r="G645" s="21" t="s">
        <v>1438</v>
      </c>
      <c r="H645" s="29" t="s">
        <v>1441</v>
      </c>
      <c r="I645" s="22">
        <v>491711</v>
      </c>
      <c r="J645" s="22">
        <v>300105</v>
      </c>
      <c r="K645" s="22" t="s">
        <v>2972</v>
      </c>
      <c r="L645" s="22">
        <v>70101</v>
      </c>
      <c r="M645" s="23" t="s">
        <v>2960</v>
      </c>
      <c r="N645" s="24">
        <v>0</v>
      </c>
      <c r="O645" s="24">
        <v>0</v>
      </c>
      <c r="P645" s="24">
        <v>0</v>
      </c>
      <c r="Q645" s="24">
        <v>0</v>
      </c>
      <c r="R645" s="24">
        <v>220000</v>
      </c>
      <c r="S645" s="24">
        <v>0</v>
      </c>
      <c r="T645" s="24">
        <v>0</v>
      </c>
      <c r="U645" s="24">
        <v>0</v>
      </c>
      <c r="V645" s="24">
        <v>660000</v>
      </c>
      <c r="W645" s="24">
        <v>0</v>
      </c>
      <c r="X645" s="24">
        <v>1320000</v>
      </c>
      <c r="Y645" s="24">
        <v>0</v>
      </c>
      <c r="Z645" s="24">
        <f t="shared" ref="Z645:Z708" si="32">SUM(N645:Y645)</f>
        <v>2200000</v>
      </c>
      <c r="AB645" s="25">
        <v>497222</v>
      </c>
      <c r="AC645" s="26">
        <v>497222</v>
      </c>
      <c r="AD645" s="24">
        <v>0</v>
      </c>
      <c r="AE645" s="27">
        <f>_xlfn.XLOOKUP(B645,'Projects Cashflow'!$B:$B,'Projects Cashflow'!$AG:$AG,0)</f>
        <v>497222</v>
      </c>
      <c r="AF645" s="28">
        <f t="shared" ref="AF645:AF708" si="33">AE645-AB645</f>
        <v>0</v>
      </c>
    </row>
    <row r="646" spans="2:32" x14ac:dyDescent="0.3">
      <c r="B646" s="14" t="str">
        <f t="shared" si="31"/>
        <v>45126004511001183Facilities Rent-N1425112200104</v>
      </c>
      <c r="C646" s="21" t="s">
        <v>721</v>
      </c>
      <c r="D646" s="22">
        <v>4512600</v>
      </c>
      <c r="E646" s="21" t="s">
        <v>1413</v>
      </c>
      <c r="F646" s="22">
        <v>4511001183</v>
      </c>
      <c r="G646" s="21" t="s">
        <v>1438</v>
      </c>
      <c r="H646" s="21" t="s">
        <v>631</v>
      </c>
      <c r="I646" s="22">
        <v>425112</v>
      </c>
      <c r="J646" s="22">
        <v>200104</v>
      </c>
      <c r="K646" s="22" t="s">
        <v>2959</v>
      </c>
      <c r="L646" s="22">
        <v>70101</v>
      </c>
      <c r="M646" s="23" t="s">
        <v>2960</v>
      </c>
      <c r="N646" s="24">
        <v>0</v>
      </c>
      <c r="O646" s="24">
        <v>0</v>
      </c>
      <c r="P646" s="26">
        <v>0</v>
      </c>
      <c r="Q646" s="24">
        <v>148435.91999999998</v>
      </c>
      <c r="R646" s="24">
        <v>37108.92</v>
      </c>
      <c r="S646" s="24">
        <v>37108.92</v>
      </c>
      <c r="T646" s="24">
        <v>37108.92</v>
      </c>
      <c r="U646" s="24">
        <v>37108.92</v>
      </c>
      <c r="V646" s="24">
        <v>37108.92</v>
      </c>
      <c r="W646" s="24">
        <v>37108.92</v>
      </c>
      <c r="X646" s="24">
        <v>37108.92</v>
      </c>
      <c r="Y646" s="24">
        <v>37108.92</v>
      </c>
      <c r="Z646" s="24">
        <f t="shared" si="32"/>
        <v>445307.27999999985</v>
      </c>
      <c r="AB646" s="25">
        <v>653807.2799999998</v>
      </c>
      <c r="AC646" s="26">
        <v>653807</v>
      </c>
      <c r="AD646" s="24">
        <v>0.27999999979510903</v>
      </c>
      <c r="AE646" s="27">
        <f>_xlfn.XLOOKUP(B646,'Projects Cashflow'!$B:$B,'Projects Cashflow'!$AG:$AG,0)</f>
        <v>653807</v>
      </c>
      <c r="AF646" s="28">
        <f t="shared" si="33"/>
        <v>-0.27999999979510903</v>
      </c>
    </row>
    <row r="647" spans="2:32" x14ac:dyDescent="0.3">
      <c r="B647" s="14" t="str">
        <f t="shared" si="31"/>
        <v>45126004511001183Admin Expenses-N1421125200104</v>
      </c>
      <c r="C647" s="21" t="s">
        <v>721</v>
      </c>
      <c r="D647" s="22">
        <v>4512600</v>
      </c>
      <c r="E647" s="21" t="s">
        <v>1413</v>
      </c>
      <c r="F647" s="22">
        <v>4511001183</v>
      </c>
      <c r="G647" s="21" t="s">
        <v>1438</v>
      </c>
      <c r="H647" s="29" t="s">
        <v>73</v>
      </c>
      <c r="I647" s="22">
        <v>421125</v>
      </c>
      <c r="J647" s="22">
        <v>200104</v>
      </c>
      <c r="K647" s="22" t="s">
        <v>2959</v>
      </c>
      <c r="L647" s="22">
        <v>70101</v>
      </c>
      <c r="M647" s="23" t="s">
        <v>2960</v>
      </c>
      <c r="N647" s="24">
        <v>0</v>
      </c>
      <c r="O647" s="24">
        <v>0</v>
      </c>
      <c r="P647" s="26">
        <v>0</v>
      </c>
      <c r="Q647" s="24">
        <v>62867</v>
      </c>
      <c r="R647" s="24">
        <v>32867</v>
      </c>
      <c r="S647" s="24">
        <v>32867</v>
      </c>
      <c r="T647" s="24">
        <v>32867</v>
      </c>
      <c r="U647" s="24">
        <v>32867</v>
      </c>
      <c r="V647" s="24">
        <v>32867</v>
      </c>
      <c r="W647" s="24">
        <v>32867</v>
      </c>
      <c r="X647" s="24">
        <v>32867</v>
      </c>
      <c r="Y647" s="24">
        <v>32867</v>
      </c>
      <c r="Z647" s="24">
        <f t="shared" si="32"/>
        <v>325803</v>
      </c>
      <c r="AB647" s="25">
        <v>117303</v>
      </c>
      <c r="AC647" s="26">
        <v>117303</v>
      </c>
      <c r="AD647" s="24">
        <v>0</v>
      </c>
      <c r="AE647" s="27">
        <f>_xlfn.XLOOKUP(B647,'Projects Cashflow'!$B:$B,'Projects Cashflow'!$AG:$AG,0)</f>
        <v>117303</v>
      </c>
      <c r="AF647" s="28">
        <f t="shared" si="33"/>
        <v>0</v>
      </c>
    </row>
    <row r="648" spans="2:32" x14ac:dyDescent="0.3">
      <c r="B648" s="14" t="str">
        <f t="shared" si="31"/>
        <v>45126004511001183Mission &amp; Travel-N1423821200104</v>
      </c>
      <c r="C648" s="21" t="s">
        <v>721</v>
      </c>
      <c r="D648" s="22">
        <v>4512600</v>
      </c>
      <c r="E648" s="21" t="s">
        <v>1413</v>
      </c>
      <c r="F648" s="22">
        <v>4511001183</v>
      </c>
      <c r="G648" s="21" t="s">
        <v>1438</v>
      </c>
      <c r="H648" s="29" t="s">
        <v>472</v>
      </c>
      <c r="I648" s="22">
        <v>423821</v>
      </c>
      <c r="J648" s="22">
        <v>200104</v>
      </c>
      <c r="K648" s="22" t="s">
        <v>2959</v>
      </c>
      <c r="L648" s="22">
        <v>70101</v>
      </c>
      <c r="M648" s="23" t="s">
        <v>2960</v>
      </c>
      <c r="N648" s="24">
        <v>0</v>
      </c>
      <c r="O648" s="24">
        <v>0</v>
      </c>
      <c r="P648" s="24">
        <v>0</v>
      </c>
      <c r="Q648" s="24">
        <v>0</v>
      </c>
      <c r="R648" s="24">
        <v>0</v>
      </c>
      <c r="S648" s="24">
        <v>0</v>
      </c>
      <c r="T648" s="24">
        <v>0</v>
      </c>
      <c r="U648" s="24">
        <v>100000</v>
      </c>
      <c r="V648" s="24">
        <v>150000</v>
      </c>
      <c r="W648" s="24">
        <v>0</v>
      </c>
      <c r="X648" s="24">
        <v>0</v>
      </c>
      <c r="Y648" s="24">
        <v>0</v>
      </c>
      <c r="Z648" s="24">
        <f t="shared" si="32"/>
        <v>250000</v>
      </c>
      <c r="AB648" s="25">
        <v>250000</v>
      </c>
      <c r="AC648" s="26">
        <v>250000</v>
      </c>
      <c r="AD648" s="24">
        <v>0</v>
      </c>
      <c r="AE648" s="27">
        <f>_xlfn.XLOOKUP(B648,'Projects Cashflow'!$B:$B,'Projects Cashflow'!$AG:$AG,0)</f>
        <v>250000</v>
      </c>
      <c r="AF648" s="28">
        <f t="shared" si="33"/>
        <v>0</v>
      </c>
    </row>
    <row r="649" spans="2:32" x14ac:dyDescent="0.3">
      <c r="B649" s="14" t="str">
        <f t="shared" si="31"/>
        <v>45126004511001605Activation&amp;Prog-N422401200104</v>
      </c>
      <c r="C649" s="21" t="s">
        <v>721</v>
      </c>
      <c r="D649" s="22">
        <v>4512600</v>
      </c>
      <c r="E649" s="21" t="s">
        <v>1413</v>
      </c>
      <c r="F649" s="22">
        <v>4511001605</v>
      </c>
      <c r="G649" s="21" t="s">
        <v>2102</v>
      </c>
      <c r="H649" s="21" t="s">
        <v>62</v>
      </c>
      <c r="I649" s="22">
        <v>422401</v>
      </c>
      <c r="J649" s="22">
        <v>200104</v>
      </c>
      <c r="K649" s="22" t="s">
        <v>2959</v>
      </c>
      <c r="L649" s="22">
        <v>70301</v>
      </c>
      <c r="M649" s="23" t="s">
        <v>2960</v>
      </c>
      <c r="N649" s="24">
        <v>0</v>
      </c>
      <c r="O649" s="24">
        <v>0</v>
      </c>
      <c r="P649" s="24">
        <v>0</v>
      </c>
      <c r="Q649" s="24">
        <v>684920</v>
      </c>
      <c r="R649" s="24">
        <v>227125.76000000001</v>
      </c>
      <c r="S649" s="24">
        <v>0</v>
      </c>
      <c r="T649" s="24">
        <v>0</v>
      </c>
      <c r="U649" s="24">
        <v>0</v>
      </c>
      <c r="V649" s="24">
        <v>0</v>
      </c>
      <c r="W649" s="24">
        <v>1190126</v>
      </c>
      <c r="X649" s="24">
        <v>0</v>
      </c>
      <c r="Y649" s="24">
        <v>0</v>
      </c>
      <c r="Z649" s="24">
        <f t="shared" si="32"/>
        <v>2102171.7599999998</v>
      </c>
      <c r="AB649" s="25">
        <v>2102171.7599999998</v>
      </c>
      <c r="AC649" s="26">
        <v>2102172</v>
      </c>
      <c r="AD649" s="24">
        <v>-0.24000000022351742</v>
      </c>
      <c r="AE649" s="27">
        <f>_xlfn.XLOOKUP(B649,'Projects Cashflow'!$B:$B,'Projects Cashflow'!$AG:$AG,0)</f>
        <v>2102172</v>
      </c>
      <c r="AF649" s="28">
        <f t="shared" si="33"/>
        <v>0.24000000022351742</v>
      </c>
    </row>
    <row r="650" spans="2:32" x14ac:dyDescent="0.3">
      <c r="B650" s="14" t="str">
        <f t="shared" si="31"/>
        <v>45126004511001605Hospitality-N424761200104</v>
      </c>
      <c r="C650" s="21" t="s">
        <v>721</v>
      </c>
      <c r="D650" s="22">
        <v>4512600</v>
      </c>
      <c r="E650" s="21" t="s">
        <v>1413</v>
      </c>
      <c r="F650" s="22">
        <v>4511001605</v>
      </c>
      <c r="G650" s="21" t="s">
        <v>2102</v>
      </c>
      <c r="H650" s="29" t="s">
        <v>83</v>
      </c>
      <c r="I650" s="22">
        <v>424761</v>
      </c>
      <c r="J650" s="22">
        <v>200104</v>
      </c>
      <c r="K650" s="22" t="s">
        <v>2959</v>
      </c>
      <c r="L650" s="22">
        <v>70301</v>
      </c>
      <c r="M650" s="23" t="s">
        <v>2960</v>
      </c>
      <c r="N650" s="24">
        <v>0</v>
      </c>
      <c r="O650" s="24">
        <v>0</v>
      </c>
      <c r="P650" s="24">
        <v>0</v>
      </c>
      <c r="Q650" s="24">
        <v>52250</v>
      </c>
      <c r="R650" s="24">
        <v>0</v>
      </c>
      <c r="S650" s="24">
        <v>0</v>
      </c>
      <c r="T650" s="24">
        <v>0</v>
      </c>
      <c r="U650" s="24">
        <v>0</v>
      </c>
      <c r="V650" s="24">
        <v>197750</v>
      </c>
      <c r="W650" s="24">
        <v>0</v>
      </c>
      <c r="X650" s="24">
        <v>0</v>
      </c>
      <c r="Y650" s="24">
        <v>0</v>
      </c>
      <c r="Z650" s="24">
        <f t="shared" si="32"/>
        <v>250000</v>
      </c>
      <c r="AB650" s="25">
        <v>250000</v>
      </c>
      <c r="AC650" s="26">
        <v>250000</v>
      </c>
      <c r="AD650" s="24">
        <v>0</v>
      </c>
      <c r="AE650" s="27">
        <f>_xlfn.XLOOKUP(B650,'Projects Cashflow'!$B:$B,'Projects Cashflow'!$AG:$AG,0)</f>
        <v>250000</v>
      </c>
      <c r="AF650" s="28">
        <f t="shared" si="33"/>
        <v>0</v>
      </c>
    </row>
    <row r="651" spans="2:32" x14ac:dyDescent="0.3">
      <c r="B651" s="14" t="str">
        <f t="shared" si="31"/>
        <v>45126004511001605Event Management-N422401200104</v>
      </c>
      <c r="C651" s="21" t="s">
        <v>721</v>
      </c>
      <c r="D651" s="22">
        <v>4512600</v>
      </c>
      <c r="E651" s="21" t="s">
        <v>1413</v>
      </c>
      <c r="F651" s="22">
        <v>4511001605</v>
      </c>
      <c r="G651" s="21" t="s">
        <v>2102</v>
      </c>
      <c r="H651" s="21" t="s">
        <v>162</v>
      </c>
      <c r="I651" s="22">
        <v>422401</v>
      </c>
      <c r="J651" s="22">
        <v>200104</v>
      </c>
      <c r="K651" s="22" t="s">
        <v>2959</v>
      </c>
      <c r="L651" s="22">
        <v>70301</v>
      </c>
      <c r="M651" s="23" t="s">
        <v>2960</v>
      </c>
      <c r="N651" s="24">
        <v>0</v>
      </c>
      <c r="O651" s="24">
        <v>0</v>
      </c>
      <c r="P651" s="24">
        <v>0</v>
      </c>
      <c r="Q651" s="24">
        <v>0</v>
      </c>
      <c r="R651" s="24">
        <v>25000</v>
      </c>
      <c r="S651" s="24">
        <v>0</v>
      </c>
      <c r="T651" s="24">
        <v>10000</v>
      </c>
      <c r="U651" s="24">
        <v>0</v>
      </c>
      <c r="V651" s="24">
        <v>25000</v>
      </c>
      <c r="W651" s="24">
        <v>0</v>
      </c>
      <c r="X651" s="24">
        <v>0</v>
      </c>
      <c r="Y651" s="24">
        <v>10000</v>
      </c>
      <c r="Z651" s="24">
        <f t="shared" si="32"/>
        <v>70000</v>
      </c>
      <c r="AB651" s="25">
        <v>70000</v>
      </c>
      <c r="AC651" s="26">
        <v>70000</v>
      </c>
      <c r="AD651" s="24">
        <v>0</v>
      </c>
      <c r="AE651" s="27">
        <f>_xlfn.XLOOKUP(B651,'Projects Cashflow'!$B:$B,'Projects Cashflow'!$AG:$AG,0)</f>
        <v>70000</v>
      </c>
      <c r="AF651" s="28">
        <f t="shared" si="33"/>
        <v>0</v>
      </c>
    </row>
    <row r="652" spans="2:32" x14ac:dyDescent="0.3">
      <c r="B652" s="14" t="str">
        <f t="shared" si="31"/>
        <v>45126004511001605Permits Fees-N422951200104</v>
      </c>
      <c r="C652" s="21" t="s">
        <v>721</v>
      </c>
      <c r="D652" s="22">
        <v>4512600</v>
      </c>
      <c r="E652" s="21" t="s">
        <v>1413</v>
      </c>
      <c r="F652" s="22">
        <v>4511001605</v>
      </c>
      <c r="G652" s="21" t="s">
        <v>2102</v>
      </c>
      <c r="H652" s="21" t="s">
        <v>2105</v>
      </c>
      <c r="I652" s="22">
        <v>422951</v>
      </c>
      <c r="J652" s="22">
        <v>200104</v>
      </c>
      <c r="K652" s="22" t="s">
        <v>2959</v>
      </c>
      <c r="L652" s="22">
        <v>70301</v>
      </c>
      <c r="M652" s="23" t="s">
        <v>2960</v>
      </c>
      <c r="N652" s="24">
        <v>0</v>
      </c>
      <c r="O652" s="24">
        <v>0</v>
      </c>
      <c r="P652" s="24">
        <v>0</v>
      </c>
      <c r="Q652" s="24">
        <v>1007</v>
      </c>
      <c r="R652" s="24">
        <v>2500</v>
      </c>
      <c r="S652" s="24">
        <v>0</v>
      </c>
      <c r="T652" s="24">
        <v>2500</v>
      </c>
      <c r="U652" s="24">
        <v>0</v>
      </c>
      <c r="V652" s="24">
        <v>2500</v>
      </c>
      <c r="W652" s="24">
        <v>0</v>
      </c>
      <c r="X652" s="24">
        <v>0</v>
      </c>
      <c r="Y652" s="24">
        <v>2500</v>
      </c>
      <c r="Z652" s="24">
        <f t="shared" si="32"/>
        <v>11007</v>
      </c>
      <c r="AB652" s="25">
        <v>11007</v>
      </c>
      <c r="AC652" s="26">
        <v>11007</v>
      </c>
      <c r="AD652" s="24">
        <v>0</v>
      </c>
      <c r="AE652" s="27">
        <f>_xlfn.XLOOKUP(B652,'Projects Cashflow'!$B:$B,'Projects Cashflow'!$AG:$AG,0)</f>
        <v>11007</v>
      </c>
      <c r="AF652" s="28">
        <f t="shared" si="33"/>
        <v>0</v>
      </c>
    </row>
    <row r="653" spans="2:32" x14ac:dyDescent="0.3">
      <c r="B653" s="14" t="str">
        <f t="shared" si="31"/>
        <v>45126004511001615Brand Strategy-N422511200104</v>
      </c>
      <c r="C653" s="21" t="s">
        <v>721</v>
      </c>
      <c r="D653" s="22">
        <v>4512600</v>
      </c>
      <c r="E653" s="21" t="s">
        <v>1413</v>
      </c>
      <c r="F653" s="22">
        <v>4511001615</v>
      </c>
      <c r="G653" s="21" t="s">
        <v>2119</v>
      </c>
      <c r="H653" s="21" t="s">
        <v>2120</v>
      </c>
      <c r="I653" s="22">
        <v>422511</v>
      </c>
      <c r="J653" s="22">
        <v>200104</v>
      </c>
      <c r="K653" s="22" t="s">
        <v>2959</v>
      </c>
      <c r="L653" s="22">
        <v>70301</v>
      </c>
      <c r="M653" s="23" t="s">
        <v>2960</v>
      </c>
      <c r="N653" s="24">
        <v>0</v>
      </c>
      <c r="O653" s="24">
        <v>0</v>
      </c>
      <c r="P653" s="24">
        <v>0</v>
      </c>
      <c r="Q653" s="24">
        <v>600000</v>
      </c>
      <c r="R653" s="24">
        <v>150000</v>
      </c>
      <c r="S653" s="24">
        <v>150000</v>
      </c>
      <c r="T653" s="24">
        <v>150000</v>
      </c>
      <c r="U653" s="24">
        <v>150000</v>
      </c>
      <c r="V653" s="24">
        <v>0</v>
      </c>
      <c r="W653" s="24">
        <v>0</v>
      </c>
      <c r="X653" s="24">
        <v>300000</v>
      </c>
      <c r="Y653" s="24">
        <v>0</v>
      </c>
      <c r="Z653" s="24">
        <f t="shared" si="32"/>
        <v>1500000</v>
      </c>
      <c r="AB653" s="25">
        <v>1308000</v>
      </c>
      <c r="AC653" s="26">
        <v>1307999.6000000001</v>
      </c>
      <c r="AD653" s="32">
        <v>0.39999999990686774</v>
      </c>
      <c r="AE653" s="27">
        <f>_xlfn.XLOOKUP(B653,'Projects Cashflow'!$B:$B,'Projects Cashflow'!$AG:$AG,0)</f>
        <v>1307999.6000000001</v>
      </c>
      <c r="AF653" s="28">
        <f t="shared" si="33"/>
        <v>-0.39999999990686774</v>
      </c>
    </row>
    <row r="654" spans="2:32" x14ac:dyDescent="0.3">
      <c r="B654" s="14" t="str">
        <f t="shared" si="31"/>
        <v>45126004511001615PR Mgmnt E-E-N424781200104</v>
      </c>
      <c r="C654" s="21" t="s">
        <v>721</v>
      </c>
      <c r="D654" s="22">
        <v>4512600</v>
      </c>
      <c r="E654" s="21" t="s">
        <v>1413</v>
      </c>
      <c r="F654" s="22">
        <v>4511001615</v>
      </c>
      <c r="G654" s="21" t="s">
        <v>2119</v>
      </c>
      <c r="H654" s="29" t="s">
        <v>99</v>
      </c>
      <c r="I654" s="22">
        <v>424781</v>
      </c>
      <c r="J654" s="22">
        <v>200104</v>
      </c>
      <c r="K654" s="22" t="s">
        <v>2959</v>
      </c>
      <c r="L654" s="22">
        <v>70301</v>
      </c>
      <c r="M654" s="23" t="s">
        <v>2960</v>
      </c>
      <c r="N654" s="24">
        <v>0</v>
      </c>
      <c r="O654" s="24">
        <v>0</v>
      </c>
      <c r="P654" s="24">
        <v>0</v>
      </c>
      <c r="Q654" s="24">
        <v>0</v>
      </c>
      <c r="R654" s="24">
        <v>0</v>
      </c>
      <c r="S654" s="24">
        <v>0</v>
      </c>
      <c r="T654" s="24">
        <v>0</v>
      </c>
      <c r="U654" s="24">
        <v>0</v>
      </c>
      <c r="V654" s="24">
        <v>0</v>
      </c>
      <c r="W654" s="24">
        <v>500000</v>
      </c>
      <c r="X654" s="24">
        <v>0</v>
      </c>
      <c r="Y654" s="24">
        <v>0</v>
      </c>
      <c r="Z654" s="24">
        <f t="shared" si="32"/>
        <v>500000</v>
      </c>
      <c r="AB654" s="25">
        <v>500000</v>
      </c>
      <c r="AC654" s="26">
        <v>500000</v>
      </c>
      <c r="AD654" s="24">
        <v>0</v>
      </c>
      <c r="AE654" s="27">
        <f>_xlfn.XLOOKUP(B654,'Projects Cashflow'!$B:$B,'Projects Cashflow'!$AG:$AG,0)</f>
        <v>500000</v>
      </c>
      <c r="AF654" s="28">
        <f t="shared" si="33"/>
        <v>0</v>
      </c>
    </row>
    <row r="655" spans="2:32" x14ac:dyDescent="0.3">
      <c r="B655" s="14" t="str">
        <f t="shared" si="31"/>
        <v>45126004511001616eBook Distribute-N425301200104</v>
      </c>
      <c r="C655" s="21" t="s">
        <v>721</v>
      </c>
      <c r="D655" s="22">
        <v>4512600</v>
      </c>
      <c r="E655" s="21" t="s">
        <v>1413</v>
      </c>
      <c r="F655" s="22">
        <v>4511001616</v>
      </c>
      <c r="G655" s="21" t="s">
        <v>2124</v>
      </c>
      <c r="H655" s="21" t="s">
        <v>2126</v>
      </c>
      <c r="I655" s="22">
        <v>425301</v>
      </c>
      <c r="J655" s="22">
        <v>200104</v>
      </c>
      <c r="K655" s="22" t="s">
        <v>2959</v>
      </c>
      <c r="L655" s="22">
        <v>70301</v>
      </c>
      <c r="M655" s="23" t="s">
        <v>2960</v>
      </c>
      <c r="N655" s="24">
        <v>0</v>
      </c>
      <c r="O655" s="24">
        <v>0</v>
      </c>
      <c r="P655" s="24">
        <v>0</v>
      </c>
      <c r="Q655" s="24">
        <v>0</v>
      </c>
      <c r="R655" s="24">
        <v>0</v>
      </c>
      <c r="S655" s="24">
        <v>0</v>
      </c>
      <c r="T655" s="24">
        <v>51666.666666666664</v>
      </c>
      <c r="U655" s="24">
        <v>51666.666666666664</v>
      </c>
      <c r="V655" s="24">
        <v>51666.666666666664</v>
      </c>
      <c r="W655" s="24">
        <v>51666.666666666664</v>
      </c>
      <c r="X655" s="24">
        <v>51666.666666666664</v>
      </c>
      <c r="Y655" s="24">
        <v>51666.666666666664</v>
      </c>
      <c r="Z655" s="24">
        <f t="shared" si="32"/>
        <v>310000</v>
      </c>
      <c r="AB655" s="25">
        <v>310000</v>
      </c>
      <c r="AC655" s="26">
        <v>310000</v>
      </c>
      <c r="AD655" s="24">
        <v>0</v>
      </c>
      <c r="AE655" s="27">
        <f>_xlfn.XLOOKUP(B655,'Projects Cashflow'!$B:$B,'Projects Cashflow'!$AG:$AG,0)</f>
        <v>310000</v>
      </c>
      <c r="AF655" s="28">
        <f t="shared" si="33"/>
        <v>0</v>
      </c>
    </row>
    <row r="656" spans="2:32" x14ac:dyDescent="0.3">
      <c r="B656" s="14" t="str">
        <f t="shared" si="31"/>
        <v>45126004511001616Gen Logistics-N424671200104</v>
      </c>
      <c r="C656" s="21" t="s">
        <v>721</v>
      </c>
      <c r="D656" s="22">
        <v>4512600</v>
      </c>
      <c r="E656" s="21" t="s">
        <v>1413</v>
      </c>
      <c r="F656" s="22">
        <v>4511001616</v>
      </c>
      <c r="G656" s="21" t="s">
        <v>2124</v>
      </c>
      <c r="H656" s="21" t="s">
        <v>311</v>
      </c>
      <c r="I656" s="22">
        <v>424671</v>
      </c>
      <c r="J656" s="22">
        <v>200104</v>
      </c>
      <c r="K656" s="22" t="s">
        <v>2959</v>
      </c>
      <c r="L656" s="22">
        <v>70301</v>
      </c>
      <c r="M656" s="23" t="s">
        <v>2960</v>
      </c>
      <c r="N656" s="24">
        <v>0</v>
      </c>
      <c r="O656" s="24">
        <v>0</v>
      </c>
      <c r="P656" s="24">
        <v>0</v>
      </c>
      <c r="Q656" s="24">
        <v>45000</v>
      </c>
      <c r="R656" s="24">
        <v>0</v>
      </c>
      <c r="S656" s="24">
        <v>0</v>
      </c>
      <c r="T656" s="24">
        <v>0</v>
      </c>
      <c r="U656" s="24">
        <v>35000</v>
      </c>
      <c r="V656" s="24">
        <v>50000</v>
      </c>
      <c r="W656" s="24">
        <v>0</v>
      </c>
      <c r="X656" s="24">
        <v>0</v>
      </c>
      <c r="Y656" s="24">
        <v>0</v>
      </c>
      <c r="Z656" s="24">
        <f t="shared" si="32"/>
        <v>130000</v>
      </c>
      <c r="AB656" s="25">
        <v>130000</v>
      </c>
      <c r="AC656" s="26">
        <v>130000</v>
      </c>
      <c r="AD656" s="24">
        <v>0</v>
      </c>
      <c r="AE656" s="27">
        <f>_xlfn.XLOOKUP(B656,'Projects Cashflow'!$B:$B,'Projects Cashflow'!$AG:$AG,0)</f>
        <v>130000</v>
      </c>
      <c r="AF656" s="28">
        <f t="shared" si="33"/>
        <v>0</v>
      </c>
    </row>
    <row r="657" spans="2:32" x14ac:dyDescent="0.3">
      <c r="B657" s="14" t="str">
        <f t="shared" si="31"/>
        <v>45126004511001617Licenses Fees-N424131200104</v>
      </c>
      <c r="C657" s="21" t="s">
        <v>721</v>
      </c>
      <c r="D657" s="22">
        <v>4512600</v>
      </c>
      <c r="E657" s="21" t="s">
        <v>1413</v>
      </c>
      <c r="F657" s="22">
        <v>4511001617</v>
      </c>
      <c r="G657" s="21" t="s">
        <v>2129</v>
      </c>
      <c r="H657" s="21" t="s">
        <v>365</v>
      </c>
      <c r="I657" s="22">
        <v>424131</v>
      </c>
      <c r="J657" s="22">
        <v>200104</v>
      </c>
      <c r="K657" s="22" t="s">
        <v>2959</v>
      </c>
      <c r="L657" s="22">
        <v>70301</v>
      </c>
      <c r="M657" s="23" t="s">
        <v>2960</v>
      </c>
      <c r="N657" s="24">
        <v>0</v>
      </c>
      <c r="O657" s="24">
        <v>0</v>
      </c>
      <c r="P657" s="24">
        <v>0</v>
      </c>
      <c r="Q657" s="24">
        <v>0</v>
      </c>
      <c r="R657" s="24">
        <v>0</v>
      </c>
      <c r="S657" s="24">
        <v>0</v>
      </c>
      <c r="T657" s="24">
        <v>0</v>
      </c>
      <c r="U657" s="24">
        <v>66105</v>
      </c>
      <c r="V657" s="24">
        <v>0</v>
      </c>
      <c r="W657" s="24">
        <v>0</v>
      </c>
      <c r="X657" s="24">
        <v>27075.24</v>
      </c>
      <c r="Y657" s="24">
        <v>0</v>
      </c>
      <c r="Z657" s="24">
        <f t="shared" si="32"/>
        <v>93180.24</v>
      </c>
      <c r="AB657" s="25">
        <v>93180.24</v>
      </c>
      <c r="AC657" s="26">
        <v>93180</v>
      </c>
      <c r="AD657" s="24">
        <v>0.24000000000523869</v>
      </c>
      <c r="AE657" s="27">
        <f>_xlfn.XLOOKUP(B657,'Projects Cashflow'!$B:$B,'Projects Cashflow'!$AG:$AG,0)</f>
        <v>93180</v>
      </c>
      <c r="AF657" s="28">
        <f t="shared" si="33"/>
        <v>-0.24000000000523869</v>
      </c>
    </row>
    <row r="658" spans="2:32" x14ac:dyDescent="0.3">
      <c r="B658" s="14" t="str">
        <f t="shared" si="31"/>
        <v>45126004511001618IP Rights-N423531200104</v>
      </c>
      <c r="C658" s="21" t="s">
        <v>721</v>
      </c>
      <c r="D658" s="22">
        <v>4512600</v>
      </c>
      <c r="E658" s="21" t="s">
        <v>1413</v>
      </c>
      <c r="F658" s="22">
        <v>4511001618</v>
      </c>
      <c r="G658" s="21" t="s">
        <v>2132</v>
      </c>
      <c r="H658" s="21" t="s">
        <v>2133</v>
      </c>
      <c r="I658" s="22">
        <v>423531</v>
      </c>
      <c r="J658" s="22">
        <v>200104</v>
      </c>
      <c r="K658" s="22" t="s">
        <v>2959</v>
      </c>
      <c r="L658" s="22">
        <v>70301</v>
      </c>
      <c r="M658" s="23" t="s">
        <v>2960</v>
      </c>
      <c r="N658" s="24">
        <v>0</v>
      </c>
      <c r="O658" s="24">
        <v>0</v>
      </c>
      <c r="P658" s="24">
        <v>0</v>
      </c>
      <c r="Q658" s="24">
        <v>0</v>
      </c>
      <c r="R658" s="24">
        <v>384000</v>
      </c>
      <c r="S658" s="24">
        <v>384000</v>
      </c>
      <c r="T658" s="24">
        <v>384000</v>
      </c>
      <c r="U658" s="24">
        <v>384000</v>
      </c>
      <c r="V658" s="24">
        <v>384000</v>
      </c>
      <c r="W658" s="24">
        <v>640000</v>
      </c>
      <c r="X658" s="24">
        <v>3000000</v>
      </c>
      <c r="Y658" s="24">
        <v>797232</v>
      </c>
      <c r="Z658" s="24">
        <f t="shared" si="32"/>
        <v>6357232</v>
      </c>
      <c r="AB658" s="25">
        <v>6549232</v>
      </c>
      <c r="AC658" s="26">
        <v>6549232</v>
      </c>
      <c r="AD658" s="24">
        <v>0</v>
      </c>
      <c r="AE658" s="27">
        <f>_xlfn.XLOOKUP(B658,'Projects Cashflow'!$B:$B,'Projects Cashflow'!$AG:$AG,0)</f>
        <v>6549232</v>
      </c>
      <c r="AF658" s="28">
        <f t="shared" si="33"/>
        <v>0</v>
      </c>
    </row>
    <row r="659" spans="2:32" x14ac:dyDescent="0.3">
      <c r="B659" s="14" t="str">
        <f t="shared" si="31"/>
        <v>45181134511001137Strategy Advice-N421123200104</v>
      </c>
      <c r="C659" s="21" t="s">
        <v>721</v>
      </c>
      <c r="D659" s="22">
        <v>4518113</v>
      </c>
      <c r="E659" s="21" t="s">
        <v>1381</v>
      </c>
      <c r="F659" s="22">
        <v>4511001137</v>
      </c>
      <c r="G659" s="21" t="s">
        <v>1379</v>
      </c>
      <c r="H659" s="21" t="s">
        <v>236</v>
      </c>
      <c r="I659" s="22">
        <v>421123</v>
      </c>
      <c r="J659" s="22">
        <v>200104</v>
      </c>
      <c r="K659" s="22" t="s">
        <v>2959</v>
      </c>
      <c r="L659" s="22">
        <v>70303</v>
      </c>
      <c r="M659" s="23" t="s">
        <v>2960</v>
      </c>
      <c r="N659" s="24">
        <v>0</v>
      </c>
      <c r="O659" s="24">
        <v>0</v>
      </c>
      <c r="P659" s="24">
        <v>0</v>
      </c>
      <c r="Q659" s="24">
        <v>6108462</v>
      </c>
      <c r="R659" s="24">
        <v>59909</v>
      </c>
      <c r="S659" s="24">
        <v>59909</v>
      </c>
      <c r="T659" s="24">
        <v>59909</v>
      </c>
      <c r="U659" s="24">
        <v>0</v>
      </c>
      <c r="V659" s="24">
        <v>0</v>
      </c>
      <c r="W659" s="24">
        <v>0</v>
      </c>
      <c r="X659" s="24">
        <v>0</v>
      </c>
      <c r="Y659" s="24">
        <v>0</v>
      </c>
      <c r="Z659" s="24">
        <f t="shared" si="32"/>
        <v>6288189</v>
      </c>
      <c r="AB659" s="25">
        <v>6288189</v>
      </c>
      <c r="AC659" s="26">
        <v>6288189</v>
      </c>
      <c r="AD659" s="24">
        <v>0</v>
      </c>
      <c r="AE659" s="27">
        <f>_xlfn.XLOOKUP(B659,'Projects Cashflow'!$B:$B,'Projects Cashflow'!$AG:$AG,0)</f>
        <v>6288189</v>
      </c>
      <c r="AF659" s="28">
        <f t="shared" si="33"/>
        <v>0</v>
      </c>
    </row>
    <row r="660" spans="2:32" x14ac:dyDescent="0.3">
      <c r="B660" s="14" t="str">
        <f t="shared" si="31"/>
        <v>45181134511001137Freelancers-N1424521200104</v>
      </c>
      <c r="C660" s="21" t="s">
        <v>721</v>
      </c>
      <c r="D660" s="22">
        <v>4518113</v>
      </c>
      <c r="E660" s="21" t="s">
        <v>1381</v>
      </c>
      <c r="F660" s="22">
        <v>4511001137</v>
      </c>
      <c r="G660" s="21" t="s">
        <v>1379</v>
      </c>
      <c r="H660" s="21" t="s">
        <v>303</v>
      </c>
      <c r="I660" s="22">
        <v>424521</v>
      </c>
      <c r="J660" s="22">
        <v>200104</v>
      </c>
      <c r="K660" s="22" t="s">
        <v>2959</v>
      </c>
      <c r="L660" s="22">
        <v>70303</v>
      </c>
      <c r="M660" s="23" t="s">
        <v>2960</v>
      </c>
      <c r="N660" s="24">
        <v>116167</v>
      </c>
      <c r="O660" s="24">
        <v>210333</v>
      </c>
      <c r="P660" s="26">
        <v>286500</v>
      </c>
      <c r="Q660" s="24">
        <v>0</v>
      </c>
      <c r="R660" s="45">
        <v>69000</v>
      </c>
      <c r="S660" s="45">
        <v>239000</v>
      </c>
      <c r="T660" s="45">
        <v>98500</v>
      </c>
      <c r="U660" s="45">
        <v>98500</v>
      </c>
      <c r="V660" s="45">
        <v>358000</v>
      </c>
      <c r="W660" s="45">
        <v>350000</v>
      </c>
      <c r="X660" s="45">
        <v>231666</v>
      </c>
      <c r="Y660" s="45">
        <v>231667</v>
      </c>
      <c r="Z660" s="24">
        <f t="shared" si="32"/>
        <v>2289333</v>
      </c>
      <c r="AB660" s="25">
        <v>8960003</v>
      </c>
      <c r="AC660" s="26">
        <v>8960003</v>
      </c>
      <c r="AD660" s="24">
        <v>0</v>
      </c>
      <c r="AE660" s="27">
        <f>_xlfn.XLOOKUP(B660,'Projects Cashflow'!$B:$B,'Projects Cashflow'!$AG:$AG,0)</f>
        <v>8960003</v>
      </c>
      <c r="AF660" s="28">
        <f t="shared" si="33"/>
        <v>0</v>
      </c>
    </row>
    <row r="661" spans="2:32" x14ac:dyDescent="0.3">
      <c r="B661" s="14" t="str">
        <f t="shared" si="31"/>
        <v>45181134511001141Event Management-N422401200104</v>
      </c>
      <c r="C661" s="21" t="s">
        <v>721</v>
      </c>
      <c r="D661" s="22">
        <v>4518113</v>
      </c>
      <c r="E661" s="21" t="s">
        <v>1381</v>
      </c>
      <c r="F661" s="22">
        <v>4511001141</v>
      </c>
      <c r="G661" s="21" t="s">
        <v>1385</v>
      </c>
      <c r="H661" s="21" t="s">
        <v>162</v>
      </c>
      <c r="I661" s="22">
        <v>422401</v>
      </c>
      <c r="J661" s="22">
        <v>200104</v>
      </c>
      <c r="K661" s="22" t="s">
        <v>2959</v>
      </c>
      <c r="L661" s="22">
        <v>70303</v>
      </c>
      <c r="M661" s="23" t="s">
        <v>2960</v>
      </c>
      <c r="N661" s="24">
        <v>0</v>
      </c>
      <c r="O661" s="24">
        <v>0</v>
      </c>
      <c r="P661" s="24">
        <v>0</v>
      </c>
      <c r="Q661" s="24">
        <v>660110</v>
      </c>
      <c r="R661" s="24">
        <v>50000</v>
      </c>
      <c r="S661" s="24">
        <v>50000</v>
      </c>
      <c r="T661" s="24">
        <v>50000</v>
      </c>
      <c r="U661" s="24">
        <v>1100000</v>
      </c>
      <c r="V661" s="24">
        <v>50000</v>
      </c>
      <c r="W661" s="24">
        <v>3805382</v>
      </c>
      <c r="X661" s="24">
        <v>1804922</v>
      </c>
      <c r="Y661" s="24">
        <v>99890</v>
      </c>
      <c r="Z661" s="24">
        <f t="shared" si="32"/>
        <v>7670304</v>
      </c>
      <c r="AB661" s="25">
        <v>7339779</v>
      </c>
      <c r="AC661" s="26">
        <v>7339779</v>
      </c>
      <c r="AD661" s="24">
        <v>0</v>
      </c>
      <c r="AE661" s="27">
        <f>_xlfn.XLOOKUP(B661,'Projects Cashflow'!$B:$B,'Projects Cashflow'!$AG:$AG,0)</f>
        <v>7339779</v>
      </c>
      <c r="AF661" s="28">
        <f t="shared" si="33"/>
        <v>0</v>
      </c>
    </row>
    <row r="662" spans="2:32" x14ac:dyDescent="0.3">
      <c r="B662" s="14" t="str">
        <f t="shared" si="31"/>
        <v>45181134511001143Concept Develop-N423411200104</v>
      </c>
      <c r="C662" s="21" t="s">
        <v>721</v>
      </c>
      <c r="D662" s="22">
        <v>4518113</v>
      </c>
      <c r="E662" s="21" t="s">
        <v>1381</v>
      </c>
      <c r="F662" s="22">
        <v>4511001143</v>
      </c>
      <c r="G662" s="21" t="s">
        <v>1388</v>
      </c>
      <c r="H662" s="21" t="s">
        <v>378</v>
      </c>
      <c r="I662" s="22">
        <v>423411</v>
      </c>
      <c r="J662" s="22">
        <v>200104</v>
      </c>
      <c r="K662" s="22" t="s">
        <v>2959</v>
      </c>
      <c r="L662" s="22">
        <v>70303</v>
      </c>
      <c r="M662" s="23" t="s">
        <v>2960</v>
      </c>
      <c r="N662" s="24">
        <v>0</v>
      </c>
      <c r="O662" s="21" t="s">
        <v>3073</v>
      </c>
      <c r="P662" s="26">
        <v>3672500</v>
      </c>
      <c r="Q662" s="24">
        <v>223370</v>
      </c>
      <c r="R662" s="24">
        <v>0</v>
      </c>
      <c r="S662" s="24">
        <v>0</v>
      </c>
      <c r="T662" s="24">
        <v>3672500</v>
      </c>
      <c r="U662" s="24">
        <v>0</v>
      </c>
      <c r="V662" s="24">
        <v>223370</v>
      </c>
      <c r="W662" s="24">
        <v>0</v>
      </c>
      <c r="X662" s="24">
        <v>951630</v>
      </c>
      <c r="Y662" s="24">
        <v>0</v>
      </c>
      <c r="Z662" s="24">
        <f t="shared" si="32"/>
        <v>8743370</v>
      </c>
      <c r="AB662" s="25">
        <v>8743370</v>
      </c>
      <c r="AC662" s="26">
        <v>8743370</v>
      </c>
      <c r="AD662" s="24">
        <v>0</v>
      </c>
      <c r="AE662" s="27">
        <f>_xlfn.XLOOKUP(B662,'Projects Cashflow'!$B:$B,'Projects Cashflow'!$AG:$AG,0)</f>
        <v>8743370</v>
      </c>
      <c r="AF662" s="28">
        <f t="shared" si="33"/>
        <v>0</v>
      </c>
    </row>
    <row r="663" spans="2:32" x14ac:dyDescent="0.3">
      <c r="B663" s="14" t="str">
        <f t="shared" si="31"/>
        <v>45181134511001143Event Management-N422401200104</v>
      </c>
      <c r="C663" s="21" t="s">
        <v>721</v>
      </c>
      <c r="D663" s="22">
        <v>4518113</v>
      </c>
      <c r="E663" s="21" t="s">
        <v>1381</v>
      </c>
      <c r="F663" s="22">
        <v>4511001143</v>
      </c>
      <c r="G663" s="21" t="s">
        <v>1388</v>
      </c>
      <c r="H663" s="21" t="s">
        <v>162</v>
      </c>
      <c r="I663" s="22">
        <v>422401</v>
      </c>
      <c r="J663" s="22">
        <v>200104</v>
      </c>
      <c r="K663" s="22" t="s">
        <v>2959</v>
      </c>
      <c r="L663" s="22">
        <v>70303</v>
      </c>
      <c r="M663" s="23" t="s">
        <v>2960</v>
      </c>
      <c r="N663" s="24">
        <v>0</v>
      </c>
      <c r="O663" s="24">
        <v>0</v>
      </c>
      <c r="P663" s="24">
        <v>22800</v>
      </c>
      <c r="Q663" s="24">
        <v>16800</v>
      </c>
      <c r="R663" s="24">
        <v>25000</v>
      </c>
      <c r="S663" s="24">
        <v>25000</v>
      </c>
      <c r="T663" s="24">
        <v>25000</v>
      </c>
      <c r="U663" s="24">
        <v>25000</v>
      </c>
      <c r="V663" s="24">
        <v>25000</v>
      </c>
      <c r="W663" s="24">
        <v>770000</v>
      </c>
      <c r="X663" s="24">
        <v>1037698</v>
      </c>
      <c r="Y663" s="24">
        <v>0</v>
      </c>
      <c r="Z663" s="24">
        <f t="shared" si="32"/>
        <v>1972298</v>
      </c>
      <c r="AB663" s="25">
        <v>408784</v>
      </c>
      <c r="AC663" s="26">
        <v>408783.6</v>
      </c>
      <c r="AD663" s="24">
        <v>0.40000000002328306</v>
      </c>
      <c r="AE663" s="27">
        <f>_xlfn.XLOOKUP(B663,'Projects Cashflow'!$B:$B,'Projects Cashflow'!$AG:$AG,0)</f>
        <v>408783.6</v>
      </c>
      <c r="AF663" s="28">
        <f t="shared" si="33"/>
        <v>-0.40000000002328306</v>
      </c>
    </row>
    <row r="664" spans="2:32" x14ac:dyDescent="0.3">
      <c r="B664" s="14" t="str">
        <f t="shared" si="31"/>
        <v>45181134511001143Hospitality-N424761200104</v>
      </c>
      <c r="C664" s="21" t="s">
        <v>721</v>
      </c>
      <c r="D664" s="22">
        <v>4518113</v>
      </c>
      <c r="E664" s="21" t="s">
        <v>1381</v>
      </c>
      <c r="F664" s="22">
        <v>4511001143</v>
      </c>
      <c r="G664" s="21" t="s">
        <v>1388</v>
      </c>
      <c r="H664" s="21" t="s">
        <v>83</v>
      </c>
      <c r="I664" s="22">
        <v>424761</v>
      </c>
      <c r="J664" s="22">
        <v>200104</v>
      </c>
      <c r="K664" s="22" t="s">
        <v>2959</v>
      </c>
      <c r="L664" s="22">
        <v>70303</v>
      </c>
      <c r="M664" s="23" t="s">
        <v>2960</v>
      </c>
      <c r="N664" s="24">
        <v>0</v>
      </c>
      <c r="O664" s="24">
        <v>0</v>
      </c>
      <c r="P664" s="24">
        <v>0</v>
      </c>
      <c r="Q664" s="24">
        <v>88400</v>
      </c>
      <c r="R664" s="24">
        <v>0</v>
      </c>
      <c r="S664" s="24">
        <v>0</v>
      </c>
      <c r="T664" s="24">
        <v>0</v>
      </c>
      <c r="U664" s="24">
        <v>0</v>
      </c>
      <c r="V664" s="24">
        <v>0</v>
      </c>
      <c r="W664" s="24">
        <v>0</v>
      </c>
      <c r="X664" s="24">
        <v>0</v>
      </c>
      <c r="Y664" s="24">
        <v>0</v>
      </c>
      <c r="Z664" s="24">
        <f t="shared" si="32"/>
        <v>88400</v>
      </c>
      <c r="AB664" s="25">
        <v>143690</v>
      </c>
      <c r="AC664" s="26">
        <v>143690</v>
      </c>
      <c r="AD664" s="24">
        <v>0</v>
      </c>
      <c r="AE664" s="27">
        <f>_xlfn.XLOOKUP(B664,'Projects Cashflow'!$B:$B,'Projects Cashflow'!$AG:$AG,0)</f>
        <v>143690</v>
      </c>
      <c r="AF664" s="28">
        <f t="shared" si="33"/>
        <v>0</v>
      </c>
    </row>
    <row r="665" spans="2:32" x14ac:dyDescent="0.3">
      <c r="B665" s="14" t="str">
        <f t="shared" si="31"/>
        <v>45181134511001144Furniture-N491711300105</v>
      </c>
      <c r="C665" s="21" t="s">
        <v>721</v>
      </c>
      <c r="D665" s="22">
        <v>4518113</v>
      </c>
      <c r="E665" s="21" t="s">
        <v>1381</v>
      </c>
      <c r="F665" s="22">
        <v>4511001144</v>
      </c>
      <c r="G665" s="21" t="s">
        <v>1392</v>
      </c>
      <c r="H665" s="21" t="s">
        <v>1394</v>
      </c>
      <c r="I665" s="22">
        <v>491711</v>
      </c>
      <c r="J665" s="22">
        <v>300105</v>
      </c>
      <c r="K665" s="22" t="s">
        <v>2972</v>
      </c>
      <c r="L665" s="22">
        <v>70301</v>
      </c>
      <c r="M665" s="23" t="s">
        <v>2960</v>
      </c>
      <c r="N665" s="24">
        <v>0</v>
      </c>
      <c r="O665" s="24">
        <v>0</v>
      </c>
      <c r="P665" s="24">
        <v>0</v>
      </c>
      <c r="Q665" s="24">
        <v>115791</v>
      </c>
      <c r="R665" s="24">
        <v>0</v>
      </c>
      <c r="S665" s="24">
        <v>500000</v>
      </c>
      <c r="T665" s="24">
        <v>0</v>
      </c>
      <c r="U665" s="24">
        <v>500000</v>
      </c>
      <c r="V665" s="24">
        <v>562104</v>
      </c>
      <c r="W665" s="24">
        <v>0</v>
      </c>
      <c r="X665" s="24">
        <v>0</v>
      </c>
      <c r="Y665" s="24">
        <v>562105</v>
      </c>
      <c r="Z665" s="24">
        <f t="shared" si="32"/>
        <v>2240000</v>
      </c>
      <c r="AB665" s="25">
        <v>1716263</v>
      </c>
      <c r="AC665" s="26">
        <v>1716263</v>
      </c>
      <c r="AD665" s="24">
        <v>0</v>
      </c>
      <c r="AE665" s="27">
        <f>_xlfn.XLOOKUP(B665,'Projects Cashflow'!$B:$B,'Projects Cashflow'!$AG:$AG,0)</f>
        <v>1716263</v>
      </c>
      <c r="AF665" s="28">
        <f t="shared" si="33"/>
        <v>0</v>
      </c>
    </row>
    <row r="666" spans="2:32" x14ac:dyDescent="0.3">
      <c r="B666" s="14" t="str">
        <f t="shared" si="31"/>
        <v>45181134511001144FeasibilityStudy-N424521200104</v>
      </c>
      <c r="C666" s="21" t="s">
        <v>721</v>
      </c>
      <c r="D666" s="22">
        <v>4518113</v>
      </c>
      <c r="E666" s="21" t="s">
        <v>1381</v>
      </c>
      <c r="F666" s="22">
        <v>4511001144</v>
      </c>
      <c r="G666" s="21" t="s">
        <v>1392</v>
      </c>
      <c r="H666" s="21" t="s">
        <v>792</v>
      </c>
      <c r="I666" s="22">
        <v>424521</v>
      </c>
      <c r="J666" s="22">
        <v>200104</v>
      </c>
      <c r="K666" s="22" t="s">
        <v>2959</v>
      </c>
      <c r="L666" s="22">
        <v>70303</v>
      </c>
      <c r="M666" s="23" t="s">
        <v>2960</v>
      </c>
      <c r="N666" s="24">
        <v>0</v>
      </c>
      <c r="O666" s="24">
        <v>0</v>
      </c>
      <c r="P666" s="24">
        <v>0</v>
      </c>
      <c r="Q666" s="24">
        <v>2321666</v>
      </c>
      <c r="R666" s="24">
        <v>2270833</v>
      </c>
      <c r="S666" s="24">
        <v>3081458</v>
      </c>
      <c r="T666" s="24">
        <v>2270833</v>
      </c>
      <c r="U666" s="24">
        <v>3081458</v>
      </c>
      <c r="V666" s="24">
        <v>1185833</v>
      </c>
      <c r="W666" s="24">
        <v>1996458</v>
      </c>
      <c r="X666" s="24">
        <v>1320000</v>
      </c>
      <c r="Y666" s="24">
        <v>1400625</v>
      </c>
      <c r="Z666" s="24">
        <f t="shared" si="32"/>
        <v>18929164</v>
      </c>
      <c r="AB666" s="25">
        <v>12218894</v>
      </c>
      <c r="AC666" s="26">
        <v>12218894</v>
      </c>
      <c r="AD666" s="24">
        <v>0</v>
      </c>
      <c r="AE666" s="27">
        <f>_xlfn.XLOOKUP(B666,'Projects Cashflow'!$B:$B,'Projects Cashflow'!$AG:$AG,0)</f>
        <v>12218894</v>
      </c>
      <c r="AF666" s="28">
        <f t="shared" si="33"/>
        <v>0</v>
      </c>
    </row>
    <row r="667" spans="2:32" x14ac:dyDescent="0.3">
      <c r="B667" s="14" t="str">
        <f t="shared" si="31"/>
        <v>45181134511001144Mission &amp; Travel-N423821200104</v>
      </c>
      <c r="C667" s="21" t="s">
        <v>721</v>
      </c>
      <c r="D667" s="22">
        <v>4518113</v>
      </c>
      <c r="E667" s="21" t="s">
        <v>1381</v>
      </c>
      <c r="F667" s="22">
        <v>4511001144</v>
      </c>
      <c r="G667" s="21" t="s">
        <v>1392</v>
      </c>
      <c r="H667" s="21" t="s">
        <v>54</v>
      </c>
      <c r="I667" s="22">
        <v>423821</v>
      </c>
      <c r="J667" s="22">
        <v>200104</v>
      </c>
      <c r="K667" s="22" t="s">
        <v>2959</v>
      </c>
      <c r="L667" s="22">
        <v>70303</v>
      </c>
      <c r="M667" s="23" t="s">
        <v>2960</v>
      </c>
      <c r="N667" s="24">
        <v>0</v>
      </c>
      <c r="O667" s="24">
        <v>0</v>
      </c>
      <c r="P667" s="24">
        <v>0</v>
      </c>
      <c r="Q667" s="24">
        <v>0</v>
      </c>
      <c r="R667" s="24">
        <v>0</v>
      </c>
      <c r="S667" s="24">
        <v>0</v>
      </c>
      <c r="T667" s="24">
        <v>100000</v>
      </c>
      <c r="U667" s="24">
        <v>155000</v>
      </c>
      <c r="V667" s="24">
        <v>100000</v>
      </c>
      <c r="W667" s="24">
        <v>0</v>
      </c>
      <c r="X667" s="24">
        <v>0</v>
      </c>
      <c r="Y667" s="24">
        <v>0</v>
      </c>
      <c r="Z667" s="24">
        <f t="shared" si="32"/>
        <v>355000</v>
      </c>
      <c r="AB667" s="25">
        <v>355000</v>
      </c>
      <c r="AC667" s="26">
        <v>355000</v>
      </c>
      <c r="AD667" s="24">
        <v>0</v>
      </c>
      <c r="AE667" s="27">
        <f>_xlfn.XLOOKUP(B667,'Projects Cashflow'!$B:$B,'Projects Cashflow'!$AG:$AG,0)</f>
        <v>355000</v>
      </c>
      <c r="AF667" s="28">
        <f t="shared" si="33"/>
        <v>0</v>
      </c>
    </row>
    <row r="668" spans="2:32" x14ac:dyDescent="0.3">
      <c r="B668" s="14" t="str">
        <f t="shared" si="31"/>
        <v>45181134511001144Admin Expenses-N421125200104</v>
      </c>
      <c r="C668" s="21" t="s">
        <v>721</v>
      </c>
      <c r="D668" s="22">
        <v>4518113</v>
      </c>
      <c r="E668" s="21" t="s">
        <v>1381</v>
      </c>
      <c r="F668" s="22">
        <v>4511001144</v>
      </c>
      <c r="G668" s="21" t="s">
        <v>1392</v>
      </c>
      <c r="H668" s="21" t="s">
        <v>130</v>
      </c>
      <c r="I668" s="22">
        <v>421125</v>
      </c>
      <c r="J668" s="22">
        <v>200104</v>
      </c>
      <c r="K668" s="22" t="s">
        <v>2959</v>
      </c>
      <c r="L668" s="22">
        <v>70303</v>
      </c>
      <c r="M668" s="23" t="s">
        <v>2960</v>
      </c>
      <c r="N668" s="24">
        <v>0</v>
      </c>
      <c r="O668" s="24">
        <v>0</v>
      </c>
      <c r="P668" s="24">
        <v>2330</v>
      </c>
      <c r="Q668" s="24">
        <v>105670</v>
      </c>
      <c r="R668" s="24">
        <v>12000</v>
      </c>
      <c r="S668" s="24">
        <v>12000</v>
      </c>
      <c r="T668" s="24">
        <v>12000</v>
      </c>
      <c r="U668" s="24">
        <v>12000</v>
      </c>
      <c r="V668" s="24">
        <v>12000</v>
      </c>
      <c r="W668" s="24">
        <v>12000</v>
      </c>
      <c r="X668" s="24">
        <v>12000</v>
      </c>
      <c r="Y668" s="24">
        <v>12000</v>
      </c>
      <c r="Z668" s="24">
        <f t="shared" si="32"/>
        <v>204000</v>
      </c>
      <c r="AB668" s="25">
        <v>204000</v>
      </c>
      <c r="AC668" s="26">
        <v>204000</v>
      </c>
      <c r="AD668" s="24">
        <v>0</v>
      </c>
      <c r="AE668" s="27">
        <f>_xlfn.XLOOKUP(B668,'Projects Cashflow'!$B:$B,'Projects Cashflow'!$AG:$AG,0)</f>
        <v>204000</v>
      </c>
      <c r="AF668" s="28">
        <f t="shared" si="33"/>
        <v>0</v>
      </c>
    </row>
    <row r="669" spans="2:32" x14ac:dyDescent="0.3">
      <c r="B669" s="14" t="str">
        <f t="shared" si="31"/>
        <v>45181134511001144Hospitality-N424761200104</v>
      </c>
      <c r="C669" s="21" t="s">
        <v>721</v>
      </c>
      <c r="D669" s="22">
        <v>4518113</v>
      </c>
      <c r="E669" s="21" t="s">
        <v>1381</v>
      </c>
      <c r="F669" s="22">
        <v>4511001144</v>
      </c>
      <c r="G669" s="21" t="s">
        <v>1392</v>
      </c>
      <c r="H669" s="21" t="s">
        <v>83</v>
      </c>
      <c r="I669" s="22">
        <v>424761</v>
      </c>
      <c r="J669" s="22">
        <v>200104</v>
      </c>
      <c r="K669" s="22" t="s">
        <v>2959</v>
      </c>
      <c r="L669" s="22">
        <v>70303</v>
      </c>
      <c r="M669" s="23" t="s">
        <v>2960</v>
      </c>
      <c r="N669" s="24">
        <v>0</v>
      </c>
      <c r="O669" s="24">
        <v>0</v>
      </c>
      <c r="P669" s="24">
        <v>0</v>
      </c>
      <c r="Q669" s="24">
        <v>20000</v>
      </c>
      <c r="R669" s="24">
        <v>10000</v>
      </c>
      <c r="S669" s="24">
        <v>10000</v>
      </c>
      <c r="T669" s="24">
        <v>10000</v>
      </c>
      <c r="U669" s="24">
        <v>10000</v>
      </c>
      <c r="V669" s="24">
        <v>10000</v>
      </c>
      <c r="W669" s="24">
        <v>10000</v>
      </c>
      <c r="X669" s="24">
        <v>10000</v>
      </c>
      <c r="Y669" s="24">
        <v>10000</v>
      </c>
      <c r="Z669" s="24">
        <f t="shared" si="32"/>
        <v>100000</v>
      </c>
      <c r="AB669" s="25">
        <v>100000</v>
      </c>
      <c r="AC669" s="26">
        <v>100000</v>
      </c>
      <c r="AD669" s="24">
        <v>0</v>
      </c>
      <c r="AE669" s="27">
        <f>_xlfn.XLOOKUP(B669,'Projects Cashflow'!$B:$B,'Projects Cashflow'!$AG:$AG,0)</f>
        <v>100000</v>
      </c>
      <c r="AF669" s="28">
        <f t="shared" si="33"/>
        <v>0</v>
      </c>
    </row>
    <row r="670" spans="2:32" x14ac:dyDescent="0.3">
      <c r="B670" s="14" t="str">
        <f t="shared" si="31"/>
        <v>45181134511001146PR Mgmnt E-E-N424781200104</v>
      </c>
      <c r="C670" s="21" t="s">
        <v>721</v>
      </c>
      <c r="D670" s="22">
        <v>4518113</v>
      </c>
      <c r="E670" s="21" t="s">
        <v>1381</v>
      </c>
      <c r="F670" s="22">
        <v>4511001146</v>
      </c>
      <c r="G670" s="21" t="s">
        <v>1400</v>
      </c>
      <c r="H670" s="21" t="s">
        <v>99</v>
      </c>
      <c r="I670" s="22">
        <v>424781</v>
      </c>
      <c r="J670" s="22">
        <v>200104</v>
      </c>
      <c r="K670" s="22" t="s">
        <v>2959</v>
      </c>
      <c r="L670" s="22">
        <v>70303</v>
      </c>
      <c r="M670" s="23" t="s">
        <v>2960</v>
      </c>
      <c r="N670" s="24">
        <v>0</v>
      </c>
      <c r="O670" s="24">
        <v>0</v>
      </c>
      <c r="P670" s="24">
        <v>0</v>
      </c>
      <c r="Q670" s="24">
        <v>1274810</v>
      </c>
      <c r="R670" s="24">
        <v>750779</v>
      </c>
      <c r="S670" s="24">
        <v>980658</v>
      </c>
      <c r="T670" s="24">
        <v>285140</v>
      </c>
      <c r="U670" s="24">
        <v>285140</v>
      </c>
      <c r="V670" s="24">
        <v>802640</v>
      </c>
      <c r="W670" s="24">
        <v>82640</v>
      </c>
      <c r="X670" s="24">
        <v>262640</v>
      </c>
      <c r="Y670" s="24">
        <v>82640</v>
      </c>
      <c r="Z670" s="24">
        <f t="shared" si="32"/>
        <v>4807087</v>
      </c>
      <c r="AB670" s="25">
        <v>4807087</v>
      </c>
      <c r="AC670" s="26">
        <v>4807087</v>
      </c>
      <c r="AD670" s="24">
        <v>0</v>
      </c>
      <c r="AE670" s="27">
        <f>_xlfn.XLOOKUP(B670,'Projects Cashflow'!$B:$B,'Projects Cashflow'!$AG:$AG,0)</f>
        <v>4807087</v>
      </c>
      <c r="AF670" s="28">
        <f t="shared" si="33"/>
        <v>0</v>
      </c>
    </row>
    <row r="671" spans="2:32" x14ac:dyDescent="0.3">
      <c r="B671" s="14" t="str">
        <f t="shared" si="31"/>
        <v>45181134511001148Subsidies-N462512200104</v>
      </c>
      <c r="C671" s="21" t="s">
        <v>721</v>
      </c>
      <c r="D671" s="22">
        <v>4518113</v>
      </c>
      <c r="E671" s="21" t="s">
        <v>1381</v>
      </c>
      <c r="F671" s="22">
        <v>4511001148</v>
      </c>
      <c r="G671" s="21" t="s">
        <v>1403</v>
      </c>
      <c r="H671" s="21" t="s">
        <v>1404</v>
      </c>
      <c r="I671" s="22">
        <v>462512</v>
      </c>
      <c r="J671" s="22">
        <v>200104</v>
      </c>
      <c r="K671" s="22" t="s">
        <v>2959</v>
      </c>
      <c r="L671" s="22">
        <v>70303</v>
      </c>
      <c r="M671" s="23" t="s">
        <v>2960</v>
      </c>
      <c r="N671" s="24">
        <v>0</v>
      </c>
      <c r="O671" s="26">
        <v>0</v>
      </c>
      <c r="P671" s="24">
        <v>1265719</v>
      </c>
      <c r="Q671" s="24">
        <v>3219236</v>
      </c>
      <c r="R671" s="24">
        <v>3379025</v>
      </c>
      <c r="S671" s="24">
        <v>2675989</v>
      </c>
      <c r="T671" s="24">
        <v>3142122</v>
      </c>
      <c r="U671" s="24">
        <v>2317156</v>
      </c>
      <c r="V671" s="24">
        <v>1298940</v>
      </c>
      <c r="W671" s="24">
        <v>1840285</v>
      </c>
      <c r="X671" s="24">
        <v>2376194</v>
      </c>
      <c r="Y671" s="24">
        <v>1133700</v>
      </c>
      <c r="Z671" s="24">
        <f t="shared" si="32"/>
        <v>22648366</v>
      </c>
      <c r="AB671" s="25">
        <v>22648366</v>
      </c>
      <c r="AC671" s="26">
        <v>22648366</v>
      </c>
      <c r="AD671" s="24">
        <v>0</v>
      </c>
      <c r="AE671" s="27">
        <f>_xlfn.XLOOKUP(B671,'Projects Cashflow'!$B:$B,'Projects Cashflow'!$AG:$AG,0)</f>
        <v>22648366</v>
      </c>
      <c r="AF671" s="28">
        <f t="shared" si="33"/>
        <v>0</v>
      </c>
    </row>
    <row r="672" spans="2:32" x14ac:dyDescent="0.3">
      <c r="B672" s="14" t="str">
        <f t="shared" si="31"/>
        <v>45181134511001149Facilities Rent-N425112200104</v>
      </c>
      <c r="C672" s="21" t="s">
        <v>721</v>
      </c>
      <c r="D672" s="22">
        <v>4518113</v>
      </c>
      <c r="E672" s="21" t="s">
        <v>1381</v>
      </c>
      <c r="F672" s="22">
        <v>4511001149</v>
      </c>
      <c r="G672" s="21" t="s">
        <v>1408</v>
      </c>
      <c r="H672" s="21" t="s">
        <v>532</v>
      </c>
      <c r="I672" s="22">
        <v>425112</v>
      </c>
      <c r="J672" s="22">
        <v>200104</v>
      </c>
      <c r="K672" s="22" t="s">
        <v>2959</v>
      </c>
      <c r="L672" s="22">
        <v>70303</v>
      </c>
      <c r="M672" s="23" t="s">
        <v>2960</v>
      </c>
      <c r="N672" s="24">
        <v>0</v>
      </c>
      <c r="O672" s="24">
        <v>0</v>
      </c>
      <c r="P672" s="24">
        <v>20000</v>
      </c>
      <c r="Q672" s="24">
        <v>2669776</v>
      </c>
      <c r="R672" s="24">
        <v>0</v>
      </c>
      <c r="S672" s="24">
        <v>1394339</v>
      </c>
      <c r="T672" s="24">
        <v>20000</v>
      </c>
      <c r="U672" s="24">
        <v>1807517</v>
      </c>
      <c r="V672" s="24">
        <v>0</v>
      </c>
      <c r="W672" s="24">
        <v>0</v>
      </c>
      <c r="X672" s="24">
        <v>0</v>
      </c>
      <c r="Y672" s="24">
        <v>0</v>
      </c>
      <c r="Z672" s="24">
        <f t="shared" si="32"/>
        <v>5911632</v>
      </c>
      <c r="AB672" s="25">
        <v>6882554</v>
      </c>
      <c r="AC672" s="26">
        <v>6882554</v>
      </c>
      <c r="AD672" s="24">
        <v>0</v>
      </c>
      <c r="AE672" s="27">
        <f>_xlfn.XLOOKUP(B672,'Projects Cashflow'!$B:$B,'Projects Cashflow'!$AG:$AG,0)</f>
        <v>6882554</v>
      </c>
      <c r="AF672" s="28">
        <f t="shared" si="33"/>
        <v>0</v>
      </c>
    </row>
    <row r="673" spans="2:32" x14ac:dyDescent="0.3">
      <c r="B673" s="14" t="str">
        <f t="shared" si="31"/>
        <v>45131104511000246CampaignProductn-l422511201931</v>
      </c>
      <c r="C673" s="21" t="s">
        <v>319</v>
      </c>
      <c r="D673" s="22">
        <v>4513110</v>
      </c>
      <c r="E673" s="21" t="s">
        <v>3074</v>
      </c>
      <c r="F673" s="22">
        <v>4511000246</v>
      </c>
      <c r="G673" s="21" t="s">
        <v>3075</v>
      </c>
      <c r="H673" s="21" t="s">
        <v>2017</v>
      </c>
      <c r="I673" s="22">
        <v>422511</v>
      </c>
      <c r="J673" s="22">
        <v>201931</v>
      </c>
      <c r="K673" s="22" t="s">
        <v>2959</v>
      </c>
      <c r="L673" s="22">
        <v>70601</v>
      </c>
      <c r="M673" s="23" t="s">
        <v>2960</v>
      </c>
      <c r="N673" s="24">
        <v>0</v>
      </c>
      <c r="O673" s="24">
        <v>0</v>
      </c>
      <c r="P673" s="24">
        <v>518760</v>
      </c>
      <c r="Q673" s="24">
        <v>1181240</v>
      </c>
      <c r="R673" s="24">
        <v>200000</v>
      </c>
      <c r="S673" s="24">
        <v>200000</v>
      </c>
      <c r="T673" s="24">
        <v>1000000</v>
      </c>
      <c r="U673" s="24">
        <v>300000</v>
      </c>
      <c r="V673" s="24">
        <v>1000000</v>
      </c>
      <c r="W673" s="24">
        <v>600000</v>
      </c>
      <c r="X673" s="24">
        <v>1500000</v>
      </c>
      <c r="Y673" s="24">
        <v>500000</v>
      </c>
      <c r="Z673" s="24">
        <f t="shared" si="32"/>
        <v>7000000</v>
      </c>
      <c r="AB673" s="25">
        <v>7000000</v>
      </c>
      <c r="AC673" s="26">
        <v>7000000</v>
      </c>
      <c r="AD673" s="24">
        <v>0</v>
      </c>
      <c r="AE673" s="27">
        <f>_xlfn.XLOOKUP(B673,'Projects Cashflow'!$B:$B,'Projects Cashflow'!$AG:$AG,0)</f>
        <v>7000000</v>
      </c>
      <c r="AF673" s="28">
        <f t="shared" si="33"/>
        <v>0</v>
      </c>
    </row>
    <row r="674" spans="2:32" x14ac:dyDescent="0.3">
      <c r="B674" s="14" t="str">
        <f t="shared" si="31"/>
        <v>45131104511000246Collaterals-L422511201931</v>
      </c>
      <c r="C674" s="21" t="s">
        <v>319</v>
      </c>
      <c r="D674" s="22">
        <v>4513110</v>
      </c>
      <c r="E674" s="21" t="s">
        <v>3074</v>
      </c>
      <c r="F674" s="22">
        <v>4511000246</v>
      </c>
      <c r="G674" s="21" t="s">
        <v>3075</v>
      </c>
      <c r="H674" s="21" t="s">
        <v>349</v>
      </c>
      <c r="I674" s="22">
        <v>422511</v>
      </c>
      <c r="J674" s="22">
        <v>201931</v>
      </c>
      <c r="K674" s="22" t="s">
        <v>2959</v>
      </c>
      <c r="L674" s="22">
        <v>70601</v>
      </c>
      <c r="M674" s="23" t="s">
        <v>2960</v>
      </c>
      <c r="N674" s="24">
        <v>0</v>
      </c>
      <c r="O674" s="24">
        <v>0</v>
      </c>
      <c r="P674" s="24">
        <v>0</v>
      </c>
      <c r="Q674" s="24">
        <v>250000</v>
      </c>
      <c r="R674" s="24">
        <v>0</v>
      </c>
      <c r="S674" s="24">
        <v>50000</v>
      </c>
      <c r="T674" s="24">
        <v>0</v>
      </c>
      <c r="U674" s="24">
        <v>50000</v>
      </c>
      <c r="V674" s="24">
        <v>0</v>
      </c>
      <c r="W674" s="24">
        <v>100000</v>
      </c>
      <c r="X674" s="24">
        <v>50000</v>
      </c>
      <c r="Y674" s="24">
        <v>0</v>
      </c>
      <c r="Z674" s="24">
        <f t="shared" si="32"/>
        <v>500000</v>
      </c>
      <c r="AB674" s="25">
        <v>500000</v>
      </c>
      <c r="AC674" s="26">
        <v>500000</v>
      </c>
      <c r="AD674" s="24">
        <v>0</v>
      </c>
      <c r="AE674" s="27">
        <f>_xlfn.XLOOKUP(B674,'Projects Cashflow'!$B:$B,'Projects Cashflow'!$AG:$AG,0)</f>
        <v>500000</v>
      </c>
      <c r="AF674" s="28">
        <f t="shared" si="33"/>
        <v>0</v>
      </c>
    </row>
    <row r="675" spans="2:32" x14ac:dyDescent="0.3">
      <c r="B675" s="14" t="str">
        <f t="shared" si="31"/>
        <v>45131104511000246Gifts-N424231200104</v>
      </c>
      <c r="C675" s="21" t="s">
        <v>319</v>
      </c>
      <c r="D675" s="22">
        <v>4513110</v>
      </c>
      <c r="E675" s="21" t="s">
        <v>3074</v>
      </c>
      <c r="F675" s="22">
        <v>4511000246</v>
      </c>
      <c r="G675" s="21" t="s">
        <v>3075</v>
      </c>
      <c r="H675" s="21" t="s">
        <v>350</v>
      </c>
      <c r="I675" s="22">
        <v>424231</v>
      </c>
      <c r="J675" s="22">
        <v>200104</v>
      </c>
      <c r="K675" s="22" t="s">
        <v>2959</v>
      </c>
      <c r="L675" s="22">
        <v>70601</v>
      </c>
      <c r="M675" s="23" t="s">
        <v>2960</v>
      </c>
      <c r="N675" s="24">
        <v>0</v>
      </c>
      <c r="O675" s="24">
        <v>0</v>
      </c>
      <c r="P675" s="24">
        <v>0</v>
      </c>
      <c r="Q675" s="24">
        <v>100000</v>
      </c>
      <c r="R675" s="24">
        <v>25000</v>
      </c>
      <c r="S675" s="24">
        <v>50000</v>
      </c>
      <c r="T675" s="24">
        <v>25000</v>
      </c>
      <c r="U675" s="24">
        <v>50000</v>
      </c>
      <c r="V675" s="24">
        <v>0</v>
      </c>
      <c r="W675" s="24">
        <v>100000</v>
      </c>
      <c r="X675" s="24">
        <v>100000</v>
      </c>
      <c r="Y675" s="24">
        <v>50000</v>
      </c>
      <c r="Z675" s="24">
        <f t="shared" si="32"/>
        <v>500000</v>
      </c>
      <c r="AB675" s="25">
        <v>500000</v>
      </c>
      <c r="AC675" s="26">
        <v>500000</v>
      </c>
      <c r="AD675" s="24">
        <v>0</v>
      </c>
      <c r="AE675" s="27">
        <f>_xlfn.XLOOKUP(B675,'Projects Cashflow'!$B:$B,'Projects Cashflow'!$AG:$AG,0)</f>
        <v>500000</v>
      </c>
      <c r="AF675" s="28">
        <f t="shared" si="33"/>
        <v>0</v>
      </c>
    </row>
    <row r="676" spans="2:32" x14ac:dyDescent="0.3">
      <c r="B676" s="14" t="str">
        <f t="shared" si="31"/>
        <v>45131104511000251Translation-N424701200104</v>
      </c>
      <c r="C676" s="21" t="s">
        <v>319</v>
      </c>
      <c r="D676" s="22">
        <v>4513110</v>
      </c>
      <c r="E676" s="21" t="s">
        <v>3074</v>
      </c>
      <c r="F676" s="22">
        <v>4511000251</v>
      </c>
      <c r="G676" s="21" t="s">
        <v>3076</v>
      </c>
      <c r="H676" s="21" t="s">
        <v>355</v>
      </c>
      <c r="I676" s="22">
        <v>424701</v>
      </c>
      <c r="J676" s="22">
        <v>200104</v>
      </c>
      <c r="K676" s="22" t="s">
        <v>2959</v>
      </c>
      <c r="L676" s="22">
        <v>70601</v>
      </c>
      <c r="M676" s="23" t="s">
        <v>2960</v>
      </c>
      <c r="N676" s="24">
        <v>0</v>
      </c>
      <c r="O676" s="24">
        <v>0</v>
      </c>
      <c r="P676" s="24">
        <v>0</v>
      </c>
      <c r="Q676" s="24">
        <v>250000</v>
      </c>
      <c r="R676" s="24">
        <v>0</v>
      </c>
      <c r="S676" s="24">
        <v>0</v>
      </c>
      <c r="T676" s="24">
        <v>500000</v>
      </c>
      <c r="U676" s="24">
        <v>0</v>
      </c>
      <c r="V676" s="24">
        <v>0</v>
      </c>
      <c r="W676" s="24">
        <v>0</v>
      </c>
      <c r="X676" s="24">
        <v>0</v>
      </c>
      <c r="Y676" s="24">
        <v>0</v>
      </c>
      <c r="Z676" s="24">
        <f t="shared" si="32"/>
        <v>750000</v>
      </c>
      <c r="AB676" s="25">
        <v>750000</v>
      </c>
      <c r="AC676" s="26">
        <v>750000</v>
      </c>
      <c r="AD676" s="24">
        <v>0</v>
      </c>
      <c r="AE676" s="27">
        <f>_xlfn.XLOOKUP(B676,'Projects Cashflow'!$B:$B,'Projects Cashflow'!$AG:$AG,0)</f>
        <v>750000</v>
      </c>
      <c r="AF676" s="28">
        <f t="shared" si="33"/>
        <v>0</v>
      </c>
    </row>
    <row r="677" spans="2:32" x14ac:dyDescent="0.3">
      <c r="B677" s="14" t="str">
        <f t="shared" si="31"/>
        <v>45131104511000364SM Mgmnt Rtnr-N421125200104</v>
      </c>
      <c r="C677" s="21" t="s">
        <v>319</v>
      </c>
      <c r="D677" s="22">
        <v>4513110</v>
      </c>
      <c r="E677" s="21" t="s">
        <v>3074</v>
      </c>
      <c r="F677" s="22">
        <v>4511000364</v>
      </c>
      <c r="G677" s="21" t="s">
        <v>3077</v>
      </c>
      <c r="H677" s="21" t="s">
        <v>502</v>
      </c>
      <c r="I677" s="22">
        <v>421125</v>
      </c>
      <c r="J677" s="22">
        <v>200104</v>
      </c>
      <c r="K677" s="22" t="s">
        <v>2959</v>
      </c>
      <c r="L677" s="22">
        <v>70601</v>
      </c>
      <c r="M677" s="23" t="s">
        <v>2960</v>
      </c>
      <c r="N677" s="24">
        <v>0</v>
      </c>
      <c r="O677" s="24">
        <v>0</v>
      </c>
      <c r="P677" s="24">
        <v>0</v>
      </c>
      <c r="Q677" s="24">
        <v>3387431.32</v>
      </c>
      <c r="R677" s="24">
        <v>846857.83</v>
      </c>
      <c r="S677" s="24">
        <v>846857.83</v>
      </c>
      <c r="T677" s="24">
        <v>846857.83</v>
      </c>
      <c r="U677" s="24">
        <v>846857.83</v>
      </c>
      <c r="V677" s="24">
        <v>846857.83</v>
      </c>
      <c r="W677" s="24">
        <v>846857.83</v>
      </c>
      <c r="X677" s="24">
        <v>846857.83</v>
      </c>
      <c r="Y677" s="24">
        <v>846857.83</v>
      </c>
      <c r="Z677" s="24">
        <f t="shared" si="32"/>
        <v>10162293.959999999</v>
      </c>
      <c r="AB677" s="25">
        <v>0</v>
      </c>
      <c r="AC677" s="26">
        <v>0.73</v>
      </c>
      <c r="AD677" s="32">
        <v>-0.77000000096857546</v>
      </c>
      <c r="AE677" s="27">
        <f>_xlfn.XLOOKUP(B677,'Projects Cashflow'!$B:$B,'Projects Cashflow'!$AG:$AG,0)</f>
        <v>0.73</v>
      </c>
      <c r="AF677" s="28">
        <f t="shared" si="33"/>
        <v>0.73</v>
      </c>
    </row>
    <row r="678" spans="2:32" x14ac:dyDescent="0.3">
      <c r="B678" s="14" t="str">
        <f t="shared" si="31"/>
        <v>45131104511000656WebSupportRtnr-L421125201931</v>
      </c>
      <c r="C678" s="21" t="s">
        <v>319</v>
      </c>
      <c r="D678" s="22">
        <v>4513110</v>
      </c>
      <c r="E678" s="21" t="s">
        <v>3074</v>
      </c>
      <c r="F678" s="22">
        <v>4511000656</v>
      </c>
      <c r="G678" s="21" t="s">
        <v>816</v>
      </c>
      <c r="H678" s="21" t="s">
        <v>817</v>
      </c>
      <c r="I678" s="22">
        <v>421125</v>
      </c>
      <c r="J678" s="22">
        <v>201931</v>
      </c>
      <c r="K678" s="22" t="s">
        <v>2959</v>
      </c>
      <c r="L678" s="22">
        <v>70601</v>
      </c>
      <c r="M678" s="23" t="s">
        <v>2960</v>
      </c>
      <c r="N678" s="24">
        <v>0</v>
      </c>
      <c r="O678" s="24">
        <v>0</v>
      </c>
      <c r="P678" s="24">
        <v>0</v>
      </c>
      <c r="Q678" s="24">
        <v>833332</v>
      </c>
      <c r="R678" s="24">
        <v>208333</v>
      </c>
      <c r="S678" s="24">
        <v>208333</v>
      </c>
      <c r="T678" s="24">
        <v>208333</v>
      </c>
      <c r="U678" s="24">
        <v>208333</v>
      </c>
      <c r="V678" s="24">
        <v>208333</v>
      </c>
      <c r="W678" s="24">
        <v>208333</v>
      </c>
      <c r="X678" s="24">
        <v>208333</v>
      </c>
      <c r="Y678" s="24">
        <v>208333</v>
      </c>
      <c r="Z678" s="24">
        <f t="shared" si="32"/>
        <v>2499996</v>
      </c>
      <c r="AB678" s="25">
        <v>2895042</v>
      </c>
      <c r="AC678" s="26">
        <v>2895042</v>
      </c>
      <c r="AD678" s="24">
        <v>0</v>
      </c>
      <c r="AE678" s="27">
        <f>_xlfn.XLOOKUP(B678,'Projects Cashflow'!$B:$B,'Projects Cashflow'!$AG:$AG,0)</f>
        <v>2895042</v>
      </c>
      <c r="AF678" s="28">
        <f t="shared" si="33"/>
        <v>0</v>
      </c>
    </row>
    <row r="679" spans="2:32" x14ac:dyDescent="0.3">
      <c r="B679" s="14" t="str">
        <f t="shared" si="31"/>
        <v>45131104511001372Activation&amp;Prog-N422401200104</v>
      </c>
      <c r="C679" s="21" t="s">
        <v>319</v>
      </c>
      <c r="D679" s="22">
        <v>4513110</v>
      </c>
      <c r="E679" s="21" t="s">
        <v>3074</v>
      </c>
      <c r="F679" s="22">
        <v>4511001372</v>
      </c>
      <c r="G679" s="21" t="s">
        <v>1624</v>
      </c>
      <c r="H679" s="21" t="s">
        <v>62</v>
      </c>
      <c r="I679" s="22">
        <v>422401</v>
      </c>
      <c r="J679" s="22">
        <v>200104</v>
      </c>
      <c r="K679" s="22" t="s">
        <v>2959</v>
      </c>
      <c r="L679" s="22">
        <v>70601</v>
      </c>
      <c r="M679" s="23" t="s">
        <v>2960</v>
      </c>
      <c r="N679" s="24">
        <v>0</v>
      </c>
      <c r="O679" s="24">
        <v>0</v>
      </c>
      <c r="P679" s="24">
        <v>0</v>
      </c>
      <c r="Q679" s="24">
        <v>0</v>
      </c>
      <c r="R679" s="24">
        <v>250000</v>
      </c>
      <c r="S679" s="24">
        <v>0</v>
      </c>
      <c r="T679" s="24">
        <v>0</v>
      </c>
      <c r="U679" s="24">
        <v>250000</v>
      </c>
      <c r="V679" s="24">
        <v>250000</v>
      </c>
      <c r="W679" s="24">
        <v>500000</v>
      </c>
      <c r="X679" s="24">
        <v>500000</v>
      </c>
      <c r="Y679" s="24">
        <v>250000</v>
      </c>
      <c r="Z679" s="24">
        <f t="shared" si="32"/>
        <v>2000000</v>
      </c>
      <c r="AB679" s="25">
        <v>2000000</v>
      </c>
      <c r="AC679" s="26">
        <v>2000000</v>
      </c>
      <c r="AD679" s="24">
        <v>0</v>
      </c>
      <c r="AE679" s="27">
        <f>_xlfn.XLOOKUP(B679,'Projects Cashflow'!$B:$B,'Projects Cashflow'!$AG:$AG,0)</f>
        <v>2000000</v>
      </c>
      <c r="AF679" s="28">
        <f t="shared" si="33"/>
        <v>0</v>
      </c>
    </row>
    <row r="680" spans="2:32" x14ac:dyDescent="0.3">
      <c r="B680" s="14" t="str">
        <f t="shared" si="31"/>
        <v>45131104511001556SM Mgmnt Rtnr-L421125201931</v>
      </c>
      <c r="C680" s="21" t="s">
        <v>319</v>
      </c>
      <c r="D680" s="22">
        <v>4513110</v>
      </c>
      <c r="E680" s="21" t="s">
        <v>3074</v>
      </c>
      <c r="F680" s="22">
        <v>4511001556</v>
      </c>
      <c r="G680" s="21" t="s">
        <v>2002</v>
      </c>
      <c r="H680" s="21" t="s">
        <v>2003</v>
      </c>
      <c r="I680" s="22">
        <v>421125</v>
      </c>
      <c r="J680" s="22">
        <v>201931</v>
      </c>
      <c r="K680" s="22" t="s">
        <v>2959</v>
      </c>
      <c r="L680" s="22">
        <v>70601</v>
      </c>
      <c r="M680" s="23" t="s">
        <v>2960</v>
      </c>
      <c r="N680" s="24">
        <v>0</v>
      </c>
      <c r="O680" s="24">
        <v>0</v>
      </c>
      <c r="P680" s="24">
        <v>0</v>
      </c>
      <c r="Q680" s="24">
        <v>0</v>
      </c>
      <c r="R680" s="24">
        <v>250000</v>
      </c>
      <c r="S680" s="24">
        <v>250000</v>
      </c>
      <c r="T680" s="24">
        <v>250000</v>
      </c>
      <c r="U680" s="24">
        <v>250000</v>
      </c>
      <c r="V680" s="24">
        <v>250000</v>
      </c>
      <c r="W680" s="24">
        <v>250000</v>
      </c>
      <c r="X680" s="24">
        <v>250000</v>
      </c>
      <c r="Y680" s="24">
        <v>250000</v>
      </c>
      <c r="Z680" s="24">
        <f t="shared" si="32"/>
        <v>2000000</v>
      </c>
      <c r="AB680" s="25">
        <v>2000000</v>
      </c>
      <c r="AC680" s="26">
        <v>2000000</v>
      </c>
      <c r="AD680" s="24">
        <v>0</v>
      </c>
      <c r="AE680" s="27">
        <f>_xlfn.XLOOKUP(B680,'Projects Cashflow'!$B:$B,'Projects Cashflow'!$AG:$AG,0)</f>
        <v>2000000</v>
      </c>
      <c r="AF680" s="28">
        <f t="shared" si="33"/>
        <v>0</v>
      </c>
    </row>
    <row r="681" spans="2:32" x14ac:dyDescent="0.3">
      <c r="B681" s="14" t="str">
        <f t="shared" si="31"/>
        <v>45131104511001612SM Mgmnt Rtnr-N421125200104</v>
      </c>
      <c r="C681" s="21" t="s">
        <v>319</v>
      </c>
      <c r="D681" s="22">
        <v>4513110</v>
      </c>
      <c r="E681" s="21" t="s">
        <v>3074</v>
      </c>
      <c r="F681" s="22">
        <v>4511001612</v>
      </c>
      <c r="G681" s="21" t="s">
        <v>3078</v>
      </c>
      <c r="H681" s="21" t="s">
        <v>502</v>
      </c>
      <c r="I681" s="22">
        <v>421125</v>
      </c>
      <c r="J681" s="22">
        <v>200104</v>
      </c>
      <c r="K681" s="22" t="s">
        <v>2959</v>
      </c>
      <c r="L681" s="22">
        <v>70601</v>
      </c>
      <c r="M681" s="23" t="s">
        <v>2961</v>
      </c>
      <c r="N681" s="24">
        <v>0</v>
      </c>
      <c r="O681" s="24">
        <v>0</v>
      </c>
      <c r="P681" s="24">
        <v>0</v>
      </c>
      <c r="Q681" s="24">
        <v>0</v>
      </c>
      <c r="R681" s="24">
        <v>250000</v>
      </c>
      <c r="S681" s="24">
        <v>250000</v>
      </c>
      <c r="T681" s="24">
        <v>250000</v>
      </c>
      <c r="U681" s="24">
        <v>250000</v>
      </c>
      <c r="V681" s="24">
        <v>250000</v>
      </c>
      <c r="W681" s="24">
        <v>250000</v>
      </c>
      <c r="X681" s="24">
        <v>250000</v>
      </c>
      <c r="Y681" s="24">
        <v>250000</v>
      </c>
      <c r="Z681" s="24">
        <f t="shared" si="32"/>
        <v>2000000</v>
      </c>
      <c r="AB681" s="25">
        <v>2000000</v>
      </c>
      <c r="AC681" s="26">
        <v>2000000</v>
      </c>
      <c r="AD681" s="24">
        <v>0</v>
      </c>
      <c r="AE681" s="27">
        <f>_xlfn.XLOOKUP(B681,'Projects Cashflow'!$B:$B,'Projects Cashflow'!$AG:$AG,0)</f>
        <v>2000000</v>
      </c>
      <c r="AF681" s="28">
        <f t="shared" si="33"/>
        <v>0</v>
      </c>
    </row>
    <row r="682" spans="2:32" x14ac:dyDescent="0.3">
      <c r="B682" s="14" t="str">
        <f t="shared" si="31"/>
        <v>45131104511001612WebSupportRtnr-N421125200104</v>
      </c>
      <c r="C682" s="21" t="s">
        <v>319</v>
      </c>
      <c r="D682" s="22">
        <v>4513110</v>
      </c>
      <c r="E682" s="21" t="s">
        <v>3074</v>
      </c>
      <c r="F682" s="22">
        <v>4511001612</v>
      </c>
      <c r="G682" s="21" t="s">
        <v>3078</v>
      </c>
      <c r="H682" s="21" t="s">
        <v>2115</v>
      </c>
      <c r="I682" s="22">
        <v>421125</v>
      </c>
      <c r="J682" s="22">
        <v>200104</v>
      </c>
      <c r="K682" s="22" t="s">
        <v>2959</v>
      </c>
      <c r="L682" s="22">
        <v>70601</v>
      </c>
      <c r="M682" s="23" t="s">
        <v>2961</v>
      </c>
      <c r="N682" s="24">
        <v>0</v>
      </c>
      <c r="O682" s="24">
        <v>0</v>
      </c>
      <c r="P682" s="24">
        <v>0</v>
      </c>
      <c r="Q682" s="24">
        <v>300000</v>
      </c>
      <c r="R682" s="24">
        <v>150000</v>
      </c>
      <c r="S682" s="24">
        <v>150000</v>
      </c>
      <c r="T682" s="24">
        <v>150000</v>
      </c>
      <c r="U682" s="24">
        <v>150000</v>
      </c>
      <c r="V682" s="24">
        <v>150000</v>
      </c>
      <c r="W682" s="24">
        <v>150000</v>
      </c>
      <c r="X682" s="24">
        <v>150000</v>
      </c>
      <c r="Y682" s="24">
        <v>150000</v>
      </c>
      <c r="Z682" s="24">
        <f t="shared" si="32"/>
        <v>1500000</v>
      </c>
      <c r="AB682" s="25">
        <v>1500000</v>
      </c>
      <c r="AC682" s="26">
        <v>1500000</v>
      </c>
      <c r="AD682" s="24">
        <v>0</v>
      </c>
      <c r="AE682" s="27">
        <f>_xlfn.XLOOKUP(B682,'Projects Cashflow'!$B:$B,'Projects Cashflow'!$AG:$AG,0)</f>
        <v>1500000</v>
      </c>
      <c r="AF682" s="28">
        <f t="shared" si="33"/>
        <v>0</v>
      </c>
    </row>
    <row r="683" spans="2:32" x14ac:dyDescent="0.3">
      <c r="B683" s="14" t="str">
        <f t="shared" si="31"/>
        <v>45131204511000450PRMgmnt E-E Rtnr-N421125200104</v>
      </c>
      <c r="C683" s="21" t="s">
        <v>319</v>
      </c>
      <c r="D683" s="22">
        <v>4513120</v>
      </c>
      <c r="E683" s="21" t="s">
        <v>563</v>
      </c>
      <c r="F683" s="22">
        <v>4511000450</v>
      </c>
      <c r="G683" s="21" t="s">
        <v>554</v>
      </c>
      <c r="H683" s="21" t="s">
        <v>566</v>
      </c>
      <c r="I683" s="22">
        <v>421125</v>
      </c>
      <c r="J683" s="22">
        <v>200104</v>
      </c>
      <c r="K683" s="22" t="s">
        <v>2959</v>
      </c>
      <c r="L683" s="22">
        <v>70601</v>
      </c>
      <c r="M683" s="23" t="s">
        <v>2960</v>
      </c>
      <c r="N683" s="24">
        <v>0</v>
      </c>
      <c r="O683" s="24">
        <v>0</v>
      </c>
      <c r="P683" s="24">
        <v>0</v>
      </c>
      <c r="Q683" s="24">
        <v>3758838.75</v>
      </c>
      <c r="R683" s="24">
        <v>939709.75</v>
      </c>
      <c r="S683" s="24">
        <v>939709.75</v>
      </c>
      <c r="T683" s="24">
        <v>939709.75</v>
      </c>
      <c r="U683" s="24">
        <v>939709.75</v>
      </c>
      <c r="V683" s="24">
        <v>939709.75</v>
      </c>
      <c r="W683" s="24">
        <v>939709.75</v>
      </c>
      <c r="X683" s="24">
        <v>939709.75</v>
      </c>
      <c r="Y683" s="24">
        <v>939709.75</v>
      </c>
      <c r="Z683" s="24">
        <f t="shared" si="32"/>
        <v>11276516.75</v>
      </c>
      <c r="AB683" s="25">
        <v>11276516.75</v>
      </c>
      <c r="AC683" s="26">
        <v>11276517</v>
      </c>
      <c r="AD683" s="24">
        <v>-0.25</v>
      </c>
      <c r="AE683" s="27">
        <f>_xlfn.XLOOKUP(B683,'Projects Cashflow'!$B:$B,'Projects Cashflow'!$AG:$AG,0)</f>
        <v>11276517</v>
      </c>
      <c r="AF683" s="28">
        <f t="shared" si="33"/>
        <v>0.25</v>
      </c>
    </row>
    <row r="684" spans="2:32" x14ac:dyDescent="0.3">
      <c r="B684" s="14" t="str">
        <f t="shared" si="31"/>
        <v>45131204511000450PR Mgmnt E-E-N424781200104</v>
      </c>
      <c r="C684" s="21" t="s">
        <v>319</v>
      </c>
      <c r="D684" s="22">
        <v>4513120</v>
      </c>
      <c r="E684" s="21" t="s">
        <v>563</v>
      </c>
      <c r="F684" s="22">
        <v>4511000450</v>
      </c>
      <c r="G684" s="21" t="s">
        <v>554</v>
      </c>
      <c r="H684" s="21" t="s">
        <v>99</v>
      </c>
      <c r="I684" s="22">
        <v>424781</v>
      </c>
      <c r="J684" s="22">
        <v>200104</v>
      </c>
      <c r="K684" s="22" t="s">
        <v>2959</v>
      </c>
      <c r="L684" s="22">
        <v>70601</v>
      </c>
      <c r="M684" s="23" t="s">
        <v>2960</v>
      </c>
      <c r="N684" s="24">
        <v>0</v>
      </c>
      <c r="O684" s="24">
        <v>0</v>
      </c>
      <c r="P684" s="24">
        <v>0</v>
      </c>
      <c r="Q684" s="24">
        <v>3952970</v>
      </c>
      <c r="R684" s="24">
        <v>908416</v>
      </c>
      <c r="S684" s="24">
        <v>386139</v>
      </c>
      <c r="T684" s="24">
        <v>193069</v>
      </c>
      <c r="U684" s="24">
        <v>193069</v>
      </c>
      <c r="V684" s="24">
        <v>193069</v>
      </c>
      <c r="W684" s="24">
        <v>386139</v>
      </c>
      <c r="X684" s="24">
        <v>321782</v>
      </c>
      <c r="Y684" s="24">
        <v>965347</v>
      </c>
      <c r="Z684" s="24">
        <f t="shared" si="32"/>
        <v>7500000</v>
      </c>
      <c r="AB684" s="25">
        <v>8050000</v>
      </c>
      <c r="AC684" s="26">
        <v>8050000</v>
      </c>
      <c r="AD684" s="24">
        <v>0</v>
      </c>
      <c r="AE684" s="27">
        <f>_xlfn.XLOOKUP(B684,'Projects Cashflow'!$B:$B,'Projects Cashflow'!$AG:$AG,0)</f>
        <v>8050000</v>
      </c>
      <c r="AF684" s="28">
        <f t="shared" si="33"/>
        <v>0</v>
      </c>
    </row>
    <row r="685" spans="2:32" x14ac:dyDescent="0.3">
      <c r="B685" s="14" t="str">
        <f t="shared" si="31"/>
        <v>45131204511000450Media outreach-N422511200104</v>
      </c>
      <c r="C685" s="21" t="s">
        <v>319</v>
      </c>
      <c r="D685" s="22">
        <v>4513120</v>
      </c>
      <c r="E685" s="21" t="s">
        <v>563</v>
      </c>
      <c r="F685" s="22">
        <v>4511000450</v>
      </c>
      <c r="G685" s="21" t="s">
        <v>554</v>
      </c>
      <c r="H685" s="21" t="s">
        <v>561</v>
      </c>
      <c r="I685" s="22">
        <v>422511</v>
      </c>
      <c r="J685" s="22">
        <v>200104</v>
      </c>
      <c r="K685" s="22" t="s">
        <v>2959</v>
      </c>
      <c r="L685" s="22">
        <v>70601</v>
      </c>
      <c r="M685" s="23" t="s">
        <v>2960</v>
      </c>
      <c r="N685" s="24">
        <v>0</v>
      </c>
      <c r="O685" s="24">
        <v>0</v>
      </c>
      <c r="P685" s="24">
        <v>0</v>
      </c>
      <c r="Q685" s="24">
        <v>440000</v>
      </c>
      <c r="R685" s="24">
        <v>110000</v>
      </c>
      <c r="S685" s="24">
        <v>110000</v>
      </c>
      <c r="T685" s="24">
        <v>36666</v>
      </c>
      <c r="U685" s="24">
        <v>36667</v>
      </c>
      <c r="V685" s="24">
        <v>36667</v>
      </c>
      <c r="W685" s="24">
        <v>110000</v>
      </c>
      <c r="X685" s="24">
        <v>110000</v>
      </c>
      <c r="Y685" s="24">
        <v>110000</v>
      </c>
      <c r="Z685" s="24">
        <f t="shared" si="32"/>
        <v>1100000</v>
      </c>
      <c r="AB685" s="25">
        <v>550000</v>
      </c>
      <c r="AC685" s="26">
        <v>550000</v>
      </c>
      <c r="AD685" s="24">
        <v>0</v>
      </c>
      <c r="AE685" s="27">
        <f>_xlfn.XLOOKUP(B685,'Projects Cashflow'!$B:$B,'Projects Cashflow'!$AG:$AG,0)</f>
        <v>550000</v>
      </c>
      <c r="AF685" s="28">
        <f t="shared" si="33"/>
        <v>0</v>
      </c>
    </row>
    <row r="686" spans="2:32" x14ac:dyDescent="0.3">
      <c r="B686" s="14" t="str">
        <f t="shared" si="31"/>
        <v>45131204511000450Media Event-N422511200104</v>
      </c>
      <c r="C686" s="21" t="s">
        <v>319</v>
      </c>
      <c r="D686" s="22">
        <v>4513120</v>
      </c>
      <c r="E686" s="21" t="s">
        <v>563</v>
      </c>
      <c r="F686" s="22">
        <v>4511000450</v>
      </c>
      <c r="G686" s="21" t="s">
        <v>554</v>
      </c>
      <c r="H686" s="21" t="s">
        <v>3079</v>
      </c>
      <c r="I686" s="22">
        <v>422511</v>
      </c>
      <c r="J686" s="22">
        <v>200104</v>
      </c>
      <c r="K686" s="22" t="s">
        <v>2959</v>
      </c>
      <c r="L686" s="22">
        <v>70601</v>
      </c>
      <c r="M686" s="23" t="s">
        <v>2960</v>
      </c>
      <c r="N686" s="24">
        <v>0</v>
      </c>
      <c r="O686" s="24">
        <v>0</v>
      </c>
      <c r="P686" s="24">
        <v>0</v>
      </c>
      <c r="Q686" s="24">
        <v>280000</v>
      </c>
      <c r="R686" s="24">
        <v>70000</v>
      </c>
      <c r="S686" s="24">
        <v>70000</v>
      </c>
      <c r="T686" s="24">
        <v>23334</v>
      </c>
      <c r="U686" s="24">
        <v>23333</v>
      </c>
      <c r="V686" s="24">
        <v>23333</v>
      </c>
      <c r="W686" s="24">
        <v>70000</v>
      </c>
      <c r="X686" s="24">
        <v>70000</v>
      </c>
      <c r="Y686" s="24">
        <v>70000</v>
      </c>
      <c r="Z686" s="24">
        <f t="shared" si="32"/>
        <v>700000</v>
      </c>
      <c r="AB686" s="25">
        <v>0</v>
      </c>
      <c r="AC686" s="26">
        <v>0</v>
      </c>
      <c r="AD686" s="24">
        <v>0</v>
      </c>
      <c r="AE686" s="27">
        <f>_xlfn.XLOOKUP(B686,'Projects Cashflow'!$B:$B,'Projects Cashflow'!$AG:$AG,0)</f>
        <v>0</v>
      </c>
      <c r="AF686" s="28">
        <f t="shared" si="33"/>
        <v>0</v>
      </c>
    </row>
    <row r="687" spans="2:32" x14ac:dyDescent="0.3">
      <c r="B687" s="14" t="str">
        <f t="shared" si="31"/>
        <v>45131204511000541PRMgmnt E-E Rtnr-N421125200104</v>
      </c>
      <c r="C687" s="21" t="s">
        <v>319</v>
      </c>
      <c r="D687" s="22">
        <v>4513120</v>
      </c>
      <c r="E687" s="21" t="s">
        <v>563</v>
      </c>
      <c r="F687" s="22">
        <v>4511000541</v>
      </c>
      <c r="G687" s="21" t="s">
        <v>3080</v>
      </c>
      <c r="H687" s="21" t="s">
        <v>566</v>
      </c>
      <c r="I687" s="22">
        <v>421125</v>
      </c>
      <c r="J687" s="22">
        <v>200104</v>
      </c>
      <c r="K687" s="22" t="s">
        <v>2959</v>
      </c>
      <c r="L687" s="22">
        <v>70601</v>
      </c>
      <c r="M687" s="23" t="s">
        <v>2960</v>
      </c>
      <c r="N687" s="24">
        <v>0</v>
      </c>
      <c r="O687" s="24">
        <v>0</v>
      </c>
      <c r="P687" s="24">
        <v>0</v>
      </c>
      <c r="Q687" s="24">
        <v>1204444.45</v>
      </c>
      <c r="R687" s="24">
        <v>724444.45</v>
      </c>
      <c r="S687" s="24">
        <v>724444.45</v>
      </c>
      <c r="T687" s="24">
        <v>724444.45</v>
      </c>
      <c r="U687" s="24">
        <v>724444.45</v>
      </c>
      <c r="V687" s="24">
        <v>724444.45</v>
      </c>
      <c r="W687" s="24">
        <v>724444.45</v>
      </c>
      <c r="X687" s="24">
        <v>724444.45</v>
      </c>
      <c r="Y687" s="24">
        <v>724444.45</v>
      </c>
      <c r="Z687" s="24">
        <f t="shared" si="32"/>
        <v>7000000.0500000007</v>
      </c>
      <c r="AB687" s="25">
        <v>7000000.0500000007</v>
      </c>
      <c r="AC687" s="26">
        <v>7000000</v>
      </c>
      <c r="AD687" s="24">
        <v>5.000000074505806E-2</v>
      </c>
      <c r="AE687" s="27">
        <f>_xlfn.XLOOKUP(B687,'Projects Cashflow'!$B:$B,'Projects Cashflow'!$AG:$AG,0)</f>
        <v>7000000</v>
      </c>
      <c r="AF687" s="28">
        <f t="shared" si="33"/>
        <v>-5.000000074505806E-2</v>
      </c>
    </row>
    <row r="688" spans="2:32" x14ac:dyDescent="0.3">
      <c r="B688" s="14" t="str">
        <f t="shared" si="31"/>
        <v>45131204511001612PR Mgmnt E-E-N424781200104</v>
      </c>
      <c r="C688" s="21" t="s">
        <v>319</v>
      </c>
      <c r="D688" s="22">
        <v>4513120</v>
      </c>
      <c r="E688" s="21" t="s">
        <v>563</v>
      </c>
      <c r="F688" s="22">
        <v>4511001612</v>
      </c>
      <c r="G688" s="21" t="s">
        <v>3078</v>
      </c>
      <c r="H688" s="21" t="s">
        <v>99</v>
      </c>
      <c r="I688" s="22">
        <v>424781</v>
      </c>
      <c r="J688" s="22">
        <v>200104</v>
      </c>
      <c r="K688" s="22" t="s">
        <v>2959</v>
      </c>
      <c r="L688" s="22">
        <v>70601</v>
      </c>
      <c r="M688" s="23" t="s">
        <v>2961</v>
      </c>
      <c r="N688" s="24">
        <v>0</v>
      </c>
      <c r="O688" s="24">
        <v>0</v>
      </c>
      <c r="P688" s="24">
        <v>0</v>
      </c>
      <c r="Q688" s="24">
        <v>250000</v>
      </c>
      <c r="R688" s="24">
        <v>250000</v>
      </c>
      <c r="S688" s="24">
        <v>0</v>
      </c>
      <c r="T688" s="24">
        <v>0</v>
      </c>
      <c r="U688" s="24">
        <v>0</v>
      </c>
      <c r="V688" s="24">
        <v>0</v>
      </c>
      <c r="W688" s="24">
        <v>0</v>
      </c>
      <c r="X688" s="24">
        <v>0</v>
      </c>
      <c r="Y688" s="24">
        <v>0</v>
      </c>
      <c r="Z688" s="24">
        <f t="shared" si="32"/>
        <v>500000</v>
      </c>
      <c r="AB688" s="25">
        <v>500000</v>
      </c>
      <c r="AC688" s="26">
        <v>500000</v>
      </c>
      <c r="AD688" s="24">
        <v>0</v>
      </c>
      <c r="AE688" s="27">
        <f>_xlfn.XLOOKUP(B688,'Projects Cashflow'!$B:$B,'Projects Cashflow'!$AG:$AG,0)</f>
        <v>500000</v>
      </c>
      <c r="AF688" s="28">
        <f t="shared" si="33"/>
        <v>0</v>
      </c>
    </row>
    <row r="689" spans="2:32" x14ac:dyDescent="0.3">
      <c r="B689" s="14" t="str">
        <f t="shared" si="31"/>
        <v>45131204511001612PRMgmnt E-E Rtnr-N421125200104</v>
      </c>
      <c r="C689" s="21" t="s">
        <v>319</v>
      </c>
      <c r="D689" s="22">
        <v>4513120</v>
      </c>
      <c r="E689" s="21" t="s">
        <v>563</v>
      </c>
      <c r="F689" s="22">
        <v>4511001612</v>
      </c>
      <c r="G689" s="21" t="s">
        <v>3078</v>
      </c>
      <c r="H689" s="21" t="s">
        <v>566</v>
      </c>
      <c r="I689" s="22">
        <v>421125</v>
      </c>
      <c r="J689" s="22">
        <v>200104</v>
      </c>
      <c r="K689" s="22" t="s">
        <v>2959</v>
      </c>
      <c r="L689" s="22">
        <v>70601</v>
      </c>
      <c r="M689" s="23" t="s">
        <v>2961</v>
      </c>
      <c r="N689" s="24">
        <v>0</v>
      </c>
      <c r="O689" s="24">
        <v>0</v>
      </c>
      <c r="P689" s="24">
        <v>0</v>
      </c>
      <c r="Q689" s="24">
        <v>200000</v>
      </c>
      <c r="R689" s="24">
        <v>50000</v>
      </c>
      <c r="S689" s="24">
        <v>50000</v>
      </c>
      <c r="T689" s="24">
        <v>16666.66</v>
      </c>
      <c r="U689" s="24">
        <v>16666.66</v>
      </c>
      <c r="V689" s="24">
        <v>16666.66</v>
      </c>
      <c r="W689" s="24">
        <v>50000</v>
      </c>
      <c r="X689" s="24">
        <v>50000</v>
      </c>
      <c r="Y689" s="24">
        <v>50000</v>
      </c>
      <c r="Z689" s="24">
        <f t="shared" si="32"/>
        <v>499999.97999999992</v>
      </c>
      <c r="AB689" s="25">
        <v>0</v>
      </c>
      <c r="AC689" s="26">
        <v>0</v>
      </c>
      <c r="AD689" s="24">
        <v>-2.0000000076834112E-2</v>
      </c>
      <c r="AE689" s="27">
        <f>_xlfn.XLOOKUP(B689,'Projects Cashflow'!$B:$B,'Projects Cashflow'!$AG:$AG,0)</f>
        <v>0</v>
      </c>
      <c r="AF689" s="28">
        <f t="shared" si="33"/>
        <v>0</v>
      </c>
    </row>
    <row r="690" spans="2:32" x14ac:dyDescent="0.3">
      <c r="B690" s="14" t="str">
        <f t="shared" si="31"/>
        <v>45131304511000243Mission &amp; Travel-N423821200104</v>
      </c>
      <c r="C690" s="21" t="s">
        <v>319</v>
      </c>
      <c r="D690" s="22">
        <v>4513130</v>
      </c>
      <c r="E690" s="21" t="s">
        <v>320</v>
      </c>
      <c r="F690" s="22">
        <v>4511000243</v>
      </c>
      <c r="G690" s="21" t="s">
        <v>3081</v>
      </c>
      <c r="H690" s="21" t="s">
        <v>54</v>
      </c>
      <c r="I690" s="22">
        <v>423821</v>
      </c>
      <c r="J690" s="22">
        <v>200104</v>
      </c>
      <c r="K690" s="22" t="s">
        <v>2959</v>
      </c>
      <c r="L690" s="22">
        <v>70601</v>
      </c>
      <c r="M690" s="23" t="s">
        <v>2960</v>
      </c>
      <c r="N690" s="24">
        <v>0</v>
      </c>
      <c r="O690" s="24">
        <v>0</v>
      </c>
      <c r="P690" s="24">
        <v>34000</v>
      </c>
      <c r="Q690" s="24">
        <v>1026000</v>
      </c>
      <c r="R690" s="24">
        <v>595000</v>
      </c>
      <c r="S690" s="24">
        <v>165000</v>
      </c>
      <c r="T690" s="24">
        <v>0</v>
      </c>
      <c r="U690" s="24">
        <v>570000</v>
      </c>
      <c r="V690" s="24">
        <v>400000</v>
      </c>
      <c r="W690" s="24">
        <v>0</v>
      </c>
      <c r="X690" s="24">
        <v>584496</v>
      </c>
      <c r="Y690" s="24">
        <v>0</v>
      </c>
      <c r="Z690" s="24">
        <f t="shared" si="32"/>
        <v>3374496</v>
      </c>
      <c r="AB690" s="25">
        <v>3374496</v>
      </c>
      <c r="AC690" s="26">
        <v>3374496</v>
      </c>
      <c r="AD690" s="24">
        <v>0</v>
      </c>
      <c r="AE690" s="27">
        <f>_xlfn.XLOOKUP(B690,'Projects Cashflow'!$B:$B,'Projects Cashflow'!$AG:$AG,0)</f>
        <v>3374496</v>
      </c>
      <c r="AF690" s="28">
        <f t="shared" si="33"/>
        <v>0</v>
      </c>
    </row>
    <row r="691" spans="2:32" x14ac:dyDescent="0.3">
      <c r="B691" s="14" t="str">
        <f t="shared" si="31"/>
        <v>45131304511000243Research&amp;Survey-L423411201931</v>
      </c>
      <c r="C691" s="21" t="s">
        <v>319</v>
      </c>
      <c r="D691" s="22">
        <v>4513130</v>
      </c>
      <c r="E691" s="21" t="s">
        <v>320</v>
      </c>
      <c r="F691" s="22">
        <v>4511000243</v>
      </c>
      <c r="G691" s="21" t="s">
        <v>3081</v>
      </c>
      <c r="H691" s="21" t="s">
        <v>329</v>
      </c>
      <c r="I691" s="22">
        <v>423411</v>
      </c>
      <c r="J691" s="22">
        <v>201931</v>
      </c>
      <c r="K691" s="22" t="s">
        <v>2959</v>
      </c>
      <c r="L691" s="22">
        <v>70601</v>
      </c>
      <c r="M691" s="23" t="s">
        <v>2960</v>
      </c>
      <c r="N691" s="24">
        <v>0</v>
      </c>
      <c r="O691" s="24">
        <v>0</v>
      </c>
      <c r="P691" s="24">
        <v>0</v>
      </c>
      <c r="Q691" s="24">
        <v>500000</v>
      </c>
      <c r="R691" s="24">
        <v>0</v>
      </c>
      <c r="S691" s="24">
        <v>500000</v>
      </c>
      <c r="T691" s="24">
        <v>0</v>
      </c>
      <c r="U691" s="24">
        <v>0</v>
      </c>
      <c r="V691" s="24">
        <v>500000</v>
      </c>
      <c r="W691" s="24">
        <v>0</v>
      </c>
      <c r="X691" s="24">
        <v>0</v>
      </c>
      <c r="Y691" s="24">
        <v>500000</v>
      </c>
      <c r="Z691" s="24">
        <f t="shared" si="32"/>
        <v>2000000</v>
      </c>
      <c r="AB691" s="25">
        <v>2000000</v>
      </c>
      <c r="AC691" s="26">
        <v>2000000</v>
      </c>
      <c r="AD691" s="24">
        <v>0</v>
      </c>
      <c r="AE691" s="27">
        <f>_xlfn.XLOOKUP(B691,'Projects Cashflow'!$B:$B,'Projects Cashflow'!$AG:$AG,0)</f>
        <v>2000000</v>
      </c>
      <c r="AF691" s="28">
        <f t="shared" si="33"/>
        <v>0</v>
      </c>
    </row>
    <row r="692" spans="2:32" x14ac:dyDescent="0.3">
      <c r="B692" s="14" t="str">
        <f t="shared" si="31"/>
        <v>45131304511000243Admin Expenses-N421125200104</v>
      </c>
      <c r="C692" s="21" t="s">
        <v>319</v>
      </c>
      <c r="D692" s="22">
        <v>4513130</v>
      </c>
      <c r="E692" s="21" t="s">
        <v>320</v>
      </c>
      <c r="F692" s="22">
        <v>4511000243</v>
      </c>
      <c r="G692" s="21" t="s">
        <v>3081</v>
      </c>
      <c r="H692" s="21" t="s">
        <v>130</v>
      </c>
      <c r="I692" s="22">
        <v>421125</v>
      </c>
      <c r="J692" s="22">
        <v>200104</v>
      </c>
      <c r="K692" s="22" t="s">
        <v>2959</v>
      </c>
      <c r="L692" s="22">
        <v>70601</v>
      </c>
      <c r="M692" s="23" t="s">
        <v>2960</v>
      </c>
      <c r="N692" s="24">
        <v>0</v>
      </c>
      <c r="O692" s="24">
        <v>0</v>
      </c>
      <c r="P692" s="24">
        <v>123407.48000000001</v>
      </c>
      <c r="Q692" s="24">
        <v>646564.52</v>
      </c>
      <c r="R692" s="24">
        <v>64000</v>
      </c>
      <c r="S692" s="24">
        <v>64000</v>
      </c>
      <c r="T692" s="24">
        <v>64000</v>
      </c>
      <c r="U692" s="24">
        <v>64000</v>
      </c>
      <c r="V692" s="24">
        <v>76000</v>
      </c>
      <c r="W692" s="24">
        <v>76000</v>
      </c>
      <c r="X692" s="24">
        <v>76000</v>
      </c>
      <c r="Y692" s="24">
        <v>76000</v>
      </c>
      <c r="Z692" s="24">
        <f t="shared" si="32"/>
        <v>1329972</v>
      </c>
      <c r="AB692" s="25">
        <v>1329972</v>
      </c>
      <c r="AC692" s="26">
        <v>1329972</v>
      </c>
      <c r="AD692" s="24">
        <v>0</v>
      </c>
      <c r="AE692" s="27">
        <f>_xlfn.XLOOKUP(B692,'Projects Cashflow'!$B:$B,'Projects Cashflow'!$AG:$AG,0)</f>
        <v>1329972</v>
      </c>
      <c r="AF692" s="28">
        <f t="shared" si="33"/>
        <v>0</v>
      </c>
    </row>
    <row r="693" spans="2:32" x14ac:dyDescent="0.3">
      <c r="B693" s="14" t="str">
        <f t="shared" si="31"/>
        <v>45131304511000243Awards submission-L424231201931</v>
      </c>
      <c r="C693" s="21" t="s">
        <v>319</v>
      </c>
      <c r="D693" s="22">
        <v>4513130</v>
      </c>
      <c r="E693" s="21" t="s">
        <v>320</v>
      </c>
      <c r="F693" s="22">
        <v>4511000243</v>
      </c>
      <c r="G693" s="21" t="s">
        <v>3081</v>
      </c>
      <c r="H693" s="21" t="s">
        <v>323</v>
      </c>
      <c r="I693" s="22">
        <v>424231</v>
      </c>
      <c r="J693" s="22">
        <v>201931</v>
      </c>
      <c r="K693" s="22" t="s">
        <v>2959</v>
      </c>
      <c r="L693" s="22">
        <v>70601</v>
      </c>
      <c r="M693" s="23" t="s">
        <v>2960</v>
      </c>
      <c r="N693" s="24">
        <v>0</v>
      </c>
      <c r="O693" s="24">
        <v>0</v>
      </c>
      <c r="P693" s="24">
        <v>0</v>
      </c>
      <c r="Q693" s="24">
        <v>60600</v>
      </c>
      <c r="R693" s="24">
        <v>38000</v>
      </c>
      <c r="S693" s="24">
        <v>52000</v>
      </c>
      <c r="T693" s="24">
        <v>12000</v>
      </c>
      <c r="U693" s="24">
        <v>18000</v>
      </c>
      <c r="V693" s="24">
        <v>101000</v>
      </c>
      <c r="W693" s="24">
        <v>12800</v>
      </c>
      <c r="X693" s="24">
        <v>0</v>
      </c>
      <c r="Y693" s="24">
        <v>6000</v>
      </c>
      <c r="Z693" s="24">
        <f t="shared" si="32"/>
        <v>300400</v>
      </c>
      <c r="AB693" s="25">
        <v>300400</v>
      </c>
      <c r="AC693" s="26">
        <v>300400</v>
      </c>
      <c r="AD693" s="24">
        <v>0</v>
      </c>
      <c r="AE693" s="27">
        <f>_xlfn.XLOOKUP(B693,'Projects Cashflow'!$B:$B,'Projects Cashflow'!$AG:$AG,0)</f>
        <v>300400</v>
      </c>
      <c r="AF693" s="28">
        <f t="shared" si="33"/>
        <v>0</v>
      </c>
    </row>
    <row r="694" spans="2:32" x14ac:dyDescent="0.3">
      <c r="B694" s="14" t="str">
        <f t="shared" si="31"/>
        <v>45131304511000251Freelancers-N424521200104</v>
      </c>
      <c r="C694" s="21" t="s">
        <v>319</v>
      </c>
      <c r="D694" s="22">
        <v>4513130</v>
      </c>
      <c r="E694" s="21" t="s">
        <v>320</v>
      </c>
      <c r="F694" s="22">
        <v>4511000251</v>
      </c>
      <c r="G694" s="21" t="s">
        <v>3076</v>
      </c>
      <c r="H694" s="21" t="s">
        <v>50</v>
      </c>
      <c r="I694" s="22">
        <v>424521</v>
      </c>
      <c r="J694" s="22">
        <v>200104</v>
      </c>
      <c r="K694" s="22" t="s">
        <v>2959</v>
      </c>
      <c r="L694" s="22">
        <v>70601</v>
      </c>
      <c r="M694" s="23" t="s">
        <v>2960</v>
      </c>
      <c r="N694" s="24">
        <v>0</v>
      </c>
      <c r="O694" s="24">
        <v>638500</v>
      </c>
      <c r="P694" s="24">
        <v>1154833.33</v>
      </c>
      <c r="Q694" s="24">
        <v>1257733.67</v>
      </c>
      <c r="R694" s="24">
        <v>1033000</v>
      </c>
      <c r="S694" s="24">
        <v>1033000</v>
      </c>
      <c r="T694" s="24">
        <v>1033000</v>
      </c>
      <c r="U694" s="24">
        <v>1033000</v>
      </c>
      <c r="V694" s="24">
        <v>1033000</v>
      </c>
      <c r="W694" s="24">
        <v>1033000</v>
      </c>
      <c r="X694" s="24">
        <v>1033000</v>
      </c>
      <c r="Y694" s="24">
        <v>1033000</v>
      </c>
      <c r="Z694" s="24">
        <f t="shared" si="32"/>
        <v>11315067</v>
      </c>
      <c r="AB694" s="25">
        <v>11315067</v>
      </c>
      <c r="AC694" s="26">
        <v>11315067</v>
      </c>
      <c r="AD694" s="24">
        <v>0</v>
      </c>
      <c r="AE694" s="27">
        <f>_xlfn.XLOOKUP(B694,'Projects Cashflow'!$B:$B,'Projects Cashflow'!$AG:$AG,0)</f>
        <v>11315067</v>
      </c>
      <c r="AF694" s="28">
        <f t="shared" si="33"/>
        <v>0</v>
      </c>
    </row>
    <row r="695" spans="2:32" x14ac:dyDescent="0.3">
      <c r="B695" s="14" t="str">
        <f t="shared" si="31"/>
        <v>45131304511000373Sponsorship Fees-N424811200104</v>
      </c>
      <c r="C695" s="21" t="s">
        <v>319</v>
      </c>
      <c r="D695" s="22">
        <v>4513130</v>
      </c>
      <c r="E695" s="21" t="s">
        <v>320</v>
      </c>
      <c r="F695" s="22">
        <v>4511000373</v>
      </c>
      <c r="G695" s="21" t="s">
        <v>3082</v>
      </c>
      <c r="H695" s="21" t="s">
        <v>506</v>
      </c>
      <c r="I695" s="22">
        <v>424811</v>
      </c>
      <c r="J695" s="22">
        <v>200104</v>
      </c>
      <c r="K695" s="22" t="s">
        <v>2959</v>
      </c>
      <c r="L695" s="22">
        <v>70601</v>
      </c>
      <c r="M695" s="23" t="s">
        <v>2960</v>
      </c>
      <c r="N695" s="24">
        <v>0</v>
      </c>
      <c r="O695" s="24">
        <v>0</v>
      </c>
      <c r="P695" s="24">
        <v>0</v>
      </c>
      <c r="Q695" s="24">
        <v>0</v>
      </c>
      <c r="R695" s="24">
        <v>0</v>
      </c>
      <c r="S695" s="24">
        <v>0</v>
      </c>
      <c r="T695" s="24">
        <v>0</v>
      </c>
      <c r="U695" s="24">
        <v>250000</v>
      </c>
      <c r="V695" s="24">
        <v>0</v>
      </c>
      <c r="W695" s="24">
        <v>0</v>
      </c>
      <c r="X695" s="24">
        <v>0</v>
      </c>
      <c r="Y695" s="24">
        <v>250000</v>
      </c>
      <c r="Z695" s="24">
        <f t="shared" si="32"/>
        <v>500000</v>
      </c>
      <c r="AB695" s="25">
        <v>500000</v>
      </c>
      <c r="AC695" s="26">
        <v>500000</v>
      </c>
      <c r="AD695" s="24">
        <v>0</v>
      </c>
      <c r="AE695" s="27">
        <f>_xlfn.XLOOKUP(B695,'Projects Cashflow'!$B:$B,'Projects Cashflow'!$AG:$AG,0)</f>
        <v>500000</v>
      </c>
      <c r="AF695" s="28">
        <f t="shared" si="33"/>
        <v>0</v>
      </c>
    </row>
    <row r="696" spans="2:32" x14ac:dyDescent="0.3">
      <c r="B696" s="14" t="str">
        <f t="shared" si="31"/>
        <v>45131304511000450Trade Partners-L424251201931</v>
      </c>
      <c r="C696" s="21" t="s">
        <v>319</v>
      </c>
      <c r="D696" s="22">
        <v>4513130</v>
      </c>
      <c r="E696" s="21" t="s">
        <v>320</v>
      </c>
      <c r="F696" s="22">
        <v>4511000450</v>
      </c>
      <c r="G696" s="21" t="s">
        <v>554</v>
      </c>
      <c r="H696" s="21" t="s">
        <v>568</v>
      </c>
      <c r="I696" s="22">
        <v>424251</v>
      </c>
      <c r="J696" s="22">
        <v>201931</v>
      </c>
      <c r="K696" s="22" t="s">
        <v>2959</v>
      </c>
      <c r="L696" s="22">
        <v>70501</v>
      </c>
      <c r="M696" s="23" t="s">
        <v>2960</v>
      </c>
      <c r="N696" s="24">
        <v>0</v>
      </c>
      <c r="O696" s="24">
        <v>0</v>
      </c>
      <c r="P696" s="24">
        <v>0</v>
      </c>
      <c r="Q696" s="24">
        <v>5761548</v>
      </c>
      <c r="R696" s="24">
        <v>6713481</v>
      </c>
      <c r="S696" s="24">
        <v>1468960</v>
      </c>
      <c r="T696" s="24">
        <v>1285340</v>
      </c>
      <c r="U696" s="24">
        <v>1101720</v>
      </c>
      <c r="V696" s="24">
        <v>1101720</v>
      </c>
      <c r="W696" s="24">
        <v>1451720</v>
      </c>
      <c r="X696" s="24">
        <v>2728451</v>
      </c>
      <c r="Y696" s="24">
        <v>2387060</v>
      </c>
      <c r="Z696" s="24">
        <f t="shared" si="32"/>
        <v>24000000</v>
      </c>
      <c r="AB696" s="25">
        <v>14855233</v>
      </c>
      <c r="AC696" s="26">
        <v>14855233</v>
      </c>
      <c r="AD696" s="24">
        <v>0</v>
      </c>
      <c r="AE696" s="27">
        <f>_xlfn.XLOOKUP(B696,'Projects Cashflow'!$B:$B,'Projects Cashflow'!$AG:$AG,0)</f>
        <v>14855233</v>
      </c>
      <c r="AF696" s="28">
        <f t="shared" si="33"/>
        <v>0</v>
      </c>
    </row>
    <row r="697" spans="2:32" x14ac:dyDescent="0.3">
      <c r="B697" s="14" t="str">
        <f t="shared" si="31"/>
        <v>45131304511000450Media Mgmnt &amp;Buy-L422511201931</v>
      </c>
      <c r="C697" s="21" t="s">
        <v>319</v>
      </c>
      <c r="D697" s="22">
        <v>4513130</v>
      </c>
      <c r="E697" s="21" t="s">
        <v>320</v>
      </c>
      <c r="F697" s="22">
        <v>4511000450</v>
      </c>
      <c r="G697" s="21" t="s">
        <v>554</v>
      </c>
      <c r="H697" s="21" t="s">
        <v>559</v>
      </c>
      <c r="I697" s="22">
        <v>422511</v>
      </c>
      <c r="J697" s="22">
        <v>201931</v>
      </c>
      <c r="K697" s="22" t="s">
        <v>2959</v>
      </c>
      <c r="L697" s="22">
        <v>70601</v>
      </c>
      <c r="M697" s="23" t="s">
        <v>2960</v>
      </c>
      <c r="N697" s="24">
        <v>0</v>
      </c>
      <c r="O697" s="24">
        <v>0</v>
      </c>
      <c r="P697" s="24">
        <v>0</v>
      </c>
      <c r="Q697" s="24">
        <v>0</v>
      </c>
      <c r="R697" s="24">
        <v>6981796</v>
      </c>
      <c r="S697" s="24">
        <v>2570000</v>
      </c>
      <c r="T697" s="24">
        <v>2570000</v>
      </c>
      <c r="U697" s="24">
        <v>2570000</v>
      </c>
      <c r="V697" s="24">
        <v>3570000</v>
      </c>
      <c r="W697" s="24">
        <v>3530000</v>
      </c>
      <c r="X697" s="24">
        <v>0</v>
      </c>
      <c r="Y697" s="24">
        <v>0</v>
      </c>
      <c r="Z697" s="24">
        <f t="shared" si="32"/>
        <v>21791796</v>
      </c>
      <c r="AB697" s="25">
        <v>21791796</v>
      </c>
      <c r="AC697" s="26">
        <v>21791796</v>
      </c>
      <c r="AD697" s="24">
        <v>0</v>
      </c>
      <c r="AE697" s="27">
        <f>_xlfn.XLOOKUP(B697,'Projects Cashflow'!$B:$B,'Projects Cashflow'!$AG:$AG,0)</f>
        <v>21791796</v>
      </c>
      <c r="AF697" s="28">
        <f t="shared" si="33"/>
        <v>0</v>
      </c>
    </row>
    <row r="698" spans="2:32" x14ac:dyDescent="0.3">
      <c r="B698" s="14" t="str">
        <f t="shared" si="31"/>
        <v>45131304511000450General Retainer-L421125201931</v>
      </c>
      <c r="C698" s="21" t="s">
        <v>319</v>
      </c>
      <c r="D698" s="22">
        <v>4513130</v>
      </c>
      <c r="E698" s="21" t="s">
        <v>320</v>
      </c>
      <c r="F698" s="22">
        <v>4511000450</v>
      </c>
      <c r="G698" s="21" t="s">
        <v>554</v>
      </c>
      <c r="H698" s="21" t="s">
        <v>557</v>
      </c>
      <c r="I698" s="22">
        <v>421125</v>
      </c>
      <c r="J698" s="22">
        <v>201931</v>
      </c>
      <c r="K698" s="22" t="s">
        <v>2959</v>
      </c>
      <c r="L698" s="22">
        <v>70601</v>
      </c>
      <c r="M698" s="23" t="s">
        <v>2960</v>
      </c>
      <c r="N698" s="24">
        <v>0</v>
      </c>
      <c r="O698" s="24">
        <v>0</v>
      </c>
      <c r="P698" s="24">
        <v>0</v>
      </c>
      <c r="Q698" s="24">
        <v>1348288.5</v>
      </c>
      <c r="R698" s="24">
        <v>293071.5</v>
      </c>
      <c r="S698" s="24">
        <v>293071.5</v>
      </c>
      <c r="T698" s="24">
        <v>293071.5</v>
      </c>
      <c r="U698" s="24">
        <v>293071.5</v>
      </c>
      <c r="V698" s="24">
        <v>293071.5</v>
      </c>
      <c r="W698" s="24">
        <v>293071.5</v>
      </c>
      <c r="X698" s="24">
        <v>293071.5</v>
      </c>
      <c r="Y698" s="24">
        <v>293071.5</v>
      </c>
      <c r="Z698" s="24">
        <f t="shared" si="32"/>
        <v>3692860.5</v>
      </c>
      <c r="AB698" s="25">
        <v>3692860.5</v>
      </c>
      <c r="AC698" s="26">
        <v>3692861</v>
      </c>
      <c r="AD698" s="24">
        <v>-0.5</v>
      </c>
      <c r="AE698" s="27">
        <f>_xlfn.XLOOKUP(B698,'Projects Cashflow'!$B:$B,'Projects Cashflow'!$AG:$AG,0)</f>
        <v>3692861</v>
      </c>
      <c r="AF698" s="28">
        <f t="shared" si="33"/>
        <v>0.5</v>
      </c>
    </row>
    <row r="699" spans="2:32" x14ac:dyDescent="0.3">
      <c r="B699" s="14" t="str">
        <f t="shared" si="31"/>
        <v>45131304511000453MediaBuyRetainer-L421125201931</v>
      </c>
      <c r="C699" s="21" t="s">
        <v>319</v>
      </c>
      <c r="D699" s="22">
        <v>4513130</v>
      </c>
      <c r="E699" s="21" t="s">
        <v>320</v>
      </c>
      <c r="F699" s="22">
        <v>4511000453</v>
      </c>
      <c r="G699" s="21" t="s">
        <v>3083</v>
      </c>
      <c r="H699" s="21" t="s">
        <v>573</v>
      </c>
      <c r="I699" s="22">
        <v>421125</v>
      </c>
      <c r="J699" s="22">
        <v>201931</v>
      </c>
      <c r="K699" s="22" t="s">
        <v>2959</v>
      </c>
      <c r="L699" s="22">
        <v>70501</v>
      </c>
      <c r="M699" s="23" t="s">
        <v>2960</v>
      </c>
      <c r="N699" s="24">
        <v>0</v>
      </c>
      <c r="O699" s="24">
        <v>0</v>
      </c>
      <c r="P699" s="24">
        <v>0</v>
      </c>
      <c r="Q699" s="24">
        <v>420001</v>
      </c>
      <c r="R699" s="24">
        <v>105000.25</v>
      </c>
      <c r="S699" s="24">
        <v>105000.25</v>
      </c>
      <c r="T699" s="24">
        <v>105000.25</v>
      </c>
      <c r="U699" s="24">
        <v>105000.25</v>
      </c>
      <c r="V699" s="24">
        <v>105000.25</v>
      </c>
      <c r="W699" s="24">
        <v>105000.25</v>
      </c>
      <c r="X699" s="24">
        <v>105000.25</v>
      </c>
      <c r="Y699" s="24">
        <v>105000.25</v>
      </c>
      <c r="Z699" s="24">
        <f t="shared" si="32"/>
        <v>1260003</v>
      </c>
      <c r="AB699" s="25">
        <v>1260003</v>
      </c>
      <c r="AC699" s="26">
        <v>1260003</v>
      </c>
      <c r="AD699" s="24">
        <v>0</v>
      </c>
      <c r="AE699" s="27">
        <f>_xlfn.XLOOKUP(B699,'Projects Cashflow'!$B:$B,'Projects Cashflow'!$AG:$AG,0)</f>
        <v>1260003</v>
      </c>
      <c r="AF699" s="28">
        <f t="shared" si="33"/>
        <v>0</v>
      </c>
    </row>
    <row r="700" spans="2:32" x14ac:dyDescent="0.3">
      <c r="B700" s="14" t="str">
        <f t="shared" si="31"/>
        <v>45131304511000657Brand Tracking-N423411200104</v>
      </c>
      <c r="C700" s="21" t="s">
        <v>319</v>
      </c>
      <c r="D700" s="22">
        <v>4513130</v>
      </c>
      <c r="E700" s="21" t="s">
        <v>320</v>
      </c>
      <c r="F700" s="22">
        <v>4511000657</v>
      </c>
      <c r="G700" s="21" t="s">
        <v>820</v>
      </c>
      <c r="H700" s="21" t="s">
        <v>821</v>
      </c>
      <c r="I700" s="22">
        <v>423411</v>
      </c>
      <c r="J700" s="22">
        <v>200104</v>
      </c>
      <c r="K700" s="22" t="s">
        <v>2959</v>
      </c>
      <c r="L700" s="22">
        <v>70601</v>
      </c>
      <c r="M700" s="23" t="s">
        <v>2960</v>
      </c>
      <c r="N700" s="24">
        <v>0</v>
      </c>
      <c r="O700" s="24">
        <v>0</v>
      </c>
      <c r="P700" s="24">
        <v>0</v>
      </c>
      <c r="Q700" s="24">
        <v>3095672</v>
      </c>
      <c r="R700" s="24">
        <v>249584</v>
      </c>
      <c r="S700" s="24">
        <v>1642084</v>
      </c>
      <c r="T700" s="24">
        <v>1359732</v>
      </c>
      <c r="U700" s="24">
        <v>99584</v>
      </c>
      <c r="V700" s="24">
        <v>1852084</v>
      </c>
      <c r="W700" s="24">
        <v>249584</v>
      </c>
      <c r="X700" s="24">
        <v>99584</v>
      </c>
      <c r="Y700" s="24">
        <v>1852092</v>
      </c>
      <c r="Z700" s="24">
        <f t="shared" si="32"/>
        <v>10500000</v>
      </c>
      <c r="AB700" s="25">
        <v>10289000</v>
      </c>
      <c r="AC700" s="26">
        <v>10289000</v>
      </c>
      <c r="AD700" s="24">
        <v>0</v>
      </c>
      <c r="AE700" s="27">
        <f>_xlfn.XLOOKUP(B700,'Projects Cashflow'!$B:$B,'Projects Cashflow'!$AG:$AG,0)</f>
        <v>10289000</v>
      </c>
      <c r="AF700" s="28">
        <f t="shared" si="33"/>
        <v>0</v>
      </c>
    </row>
    <row r="701" spans="2:32" x14ac:dyDescent="0.3">
      <c r="B701" s="14" t="str">
        <f t="shared" si="31"/>
        <v>45131304511001095Sponsorship Fees-L424811201931</v>
      </c>
      <c r="C701" s="21" t="s">
        <v>319</v>
      </c>
      <c r="D701" s="22">
        <v>4513130</v>
      </c>
      <c r="E701" s="21" t="s">
        <v>320</v>
      </c>
      <c r="F701" s="22">
        <v>4511001095</v>
      </c>
      <c r="G701" s="21" t="s">
        <v>1355</v>
      </c>
      <c r="H701" s="21" t="s">
        <v>935</v>
      </c>
      <c r="I701" s="22">
        <v>424811</v>
      </c>
      <c r="J701" s="22">
        <v>201931</v>
      </c>
      <c r="K701" s="22" t="s">
        <v>2959</v>
      </c>
      <c r="L701" s="22">
        <v>70501</v>
      </c>
      <c r="M701" s="23" t="s">
        <v>2960</v>
      </c>
      <c r="N701" s="24">
        <v>0</v>
      </c>
      <c r="O701" s="24">
        <v>0</v>
      </c>
      <c r="P701" s="24">
        <v>0</v>
      </c>
      <c r="Q701" s="24">
        <v>2530000</v>
      </c>
      <c r="R701" s="24">
        <v>875000</v>
      </c>
      <c r="S701" s="24">
        <v>450000</v>
      </c>
      <c r="T701" s="24">
        <v>0</v>
      </c>
      <c r="U701" s="24">
        <v>90000</v>
      </c>
      <c r="V701" s="24">
        <v>500000</v>
      </c>
      <c r="W701" s="24">
        <v>1200000</v>
      </c>
      <c r="X701" s="24">
        <v>450000</v>
      </c>
      <c r="Y701" s="24">
        <v>905000</v>
      </c>
      <c r="Z701" s="24">
        <f t="shared" si="32"/>
        <v>7000000</v>
      </c>
      <c r="AB701" s="25">
        <v>6604954</v>
      </c>
      <c r="AC701" s="26">
        <v>6604954</v>
      </c>
      <c r="AD701" s="24">
        <v>0</v>
      </c>
      <c r="AE701" s="27">
        <f>_xlfn.XLOOKUP(B701,'Projects Cashflow'!$B:$B,'Projects Cashflow'!$AG:$AG,0)</f>
        <v>6604954</v>
      </c>
      <c r="AF701" s="28">
        <f t="shared" si="33"/>
        <v>0</v>
      </c>
    </row>
    <row r="702" spans="2:32" x14ac:dyDescent="0.3">
      <c r="B702" s="14" t="str">
        <f t="shared" si="31"/>
        <v>45131304511001117Media Mgmnt &amp;Buy-L422511201931</v>
      </c>
      <c r="C702" s="21" t="s">
        <v>319</v>
      </c>
      <c r="D702" s="22">
        <v>4513130</v>
      </c>
      <c r="E702" s="21" t="s">
        <v>320</v>
      </c>
      <c r="F702" s="22">
        <v>4511001117</v>
      </c>
      <c r="G702" s="21" t="s">
        <v>1358</v>
      </c>
      <c r="H702" s="21" t="s">
        <v>559</v>
      </c>
      <c r="I702" s="22">
        <v>422511</v>
      </c>
      <c r="J702" s="22">
        <v>201931</v>
      </c>
      <c r="K702" s="22" t="s">
        <v>2959</v>
      </c>
      <c r="L702" s="22">
        <v>70501</v>
      </c>
      <c r="M702" s="23" t="s">
        <v>2961</v>
      </c>
      <c r="N702" s="24">
        <v>0</v>
      </c>
      <c r="O702" s="24">
        <v>0</v>
      </c>
      <c r="P702" s="24">
        <v>0</v>
      </c>
      <c r="Q702" s="24">
        <v>189891</v>
      </c>
      <c r="R702" s="24">
        <v>0</v>
      </c>
      <c r="S702" s="24">
        <v>0</v>
      </c>
      <c r="T702" s="24">
        <v>0</v>
      </c>
      <c r="U702" s="24">
        <v>0</v>
      </c>
      <c r="V702" s="24">
        <v>0</v>
      </c>
      <c r="W702" s="24">
        <v>0</v>
      </c>
      <c r="X702" s="24">
        <v>0</v>
      </c>
      <c r="Y702" s="24">
        <v>0</v>
      </c>
      <c r="Z702" s="24">
        <f t="shared" si="32"/>
        <v>189891</v>
      </c>
      <c r="AB702" s="25">
        <v>189891</v>
      </c>
      <c r="AC702" s="26">
        <v>189891</v>
      </c>
      <c r="AD702" s="24">
        <v>0</v>
      </c>
      <c r="AE702" s="27">
        <f>_xlfn.XLOOKUP(B702,'Projects Cashflow'!$B:$B,'Projects Cashflow'!$AG:$AG,0)</f>
        <v>189891</v>
      </c>
      <c r="AF702" s="28">
        <f t="shared" si="33"/>
        <v>0</v>
      </c>
    </row>
    <row r="703" spans="2:32" x14ac:dyDescent="0.3">
      <c r="B703" s="14" t="str">
        <f t="shared" si="31"/>
        <v>45131304511001118General Retainer-N421125200104</v>
      </c>
      <c r="C703" s="21" t="s">
        <v>319</v>
      </c>
      <c r="D703" s="22">
        <v>4513130</v>
      </c>
      <c r="E703" s="21" t="s">
        <v>320</v>
      </c>
      <c r="F703" s="22">
        <v>4511001118</v>
      </c>
      <c r="G703" s="21" t="s">
        <v>1361</v>
      </c>
      <c r="H703" s="21" t="s">
        <v>1104</v>
      </c>
      <c r="I703" s="22">
        <v>421125</v>
      </c>
      <c r="J703" s="22">
        <v>200104</v>
      </c>
      <c r="K703" s="22" t="s">
        <v>2959</v>
      </c>
      <c r="L703" s="22">
        <v>70601</v>
      </c>
      <c r="M703" s="23" t="s">
        <v>2960</v>
      </c>
      <c r="N703" s="24">
        <v>0</v>
      </c>
      <c r="O703" s="24">
        <v>0</v>
      </c>
      <c r="P703" s="24">
        <v>0</v>
      </c>
      <c r="Q703" s="24">
        <v>2136887.4</v>
      </c>
      <c r="R703" s="24">
        <v>424054</v>
      </c>
      <c r="S703" s="24">
        <v>424054</v>
      </c>
      <c r="T703" s="24">
        <v>424054</v>
      </c>
      <c r="U703" s="24">
        <v>424054</v>
      </c>
      <c r="V703" s="24">
        <v>424054</v>
      </c>
      <c r="W703" s="24">
        <v>424054</v>
      </c>
      <c r="X703" s="24">
        <v>424054</v>
      </c>
      <c r="Y703" s="24">
        <v>424054</v>
      </c>
      <c r="Z703" s="24">
        <f t="shared" si="32"/>
        <v>5529319.4000000004</v>
      </c>
      <c r="AB703" s="25">
        <v>5529319.4000000004</v>
      </c>
      <c r="AC703" s="26">
        <v>5529319</v>
      </c>
      <c r="AD703" s="24">
        <v>0.40000000037252903</v>
      </c>
      <c r="AE703" s="27">
        <f>_xlfn.XLOOKUP(B703,'Projects Cashflow'!$B:$B,'Projects Cashflow'!$AG:$AG,0)</f>
        <v>5529319</v>
      </c>
      <c r="AF703" s="28">
        <f t="shared" si="33"/>
        <v>-0.40000000037252903</v>
      </c>
    </row>
    <row r="704" spans="2:32" x14ac:dyDescent="0.3">
      <c r="B704" s="14" t="str">
        <f t="shared" si="31"/>
        <v>45131304511001229Sponsorship Fees-L424811201931</v>
      </c>
      <c r="C704" s="21" t="s">
        <v>319</v>
      </c>
      <c r="D704" s="22">
        <v>4513130</v>
      </c>
      <c r="E704" s="21" t="s">
        <v>320</v>
      </c>
      <c r="F704" s="22">
        <v>4511001229</v>
      </c>
      <c r="G704" s="21" t="s">
        <v>1489</v>
      </c>
      <c r="H704" s="21" t="s">
        <v>935</v>
      </c>
      <c r="I704" s="22">
        <v>424811</v>
      </c>
      <c r="J704" s="22">
        <v>201931</v>
      </c>
      <c r="K704" s="22" t="s">
        <v>2959</v>
      </c>
      <c r="L704" s="22">
        <v>70501</v>
      </c>
      <c r="M704" s="23" t="s">
        <v>2960</v>
      </c>
      <c r="N704" s="24">
        <v>0</v>
      </c>
      <c r="O704" s="24">
        <v>0</v>
      </c>
      <c r="P704" s="24">
        <v>0</v>
      </c>
      <c r="Q704" s="24">
        <v>0</v>
      </c>
      <c r="R704" s="24">
        <v>0</v>
      </c>
      <c r="S704" s="24">
        <v>1138320</v>
      </c>
      <c r="T704" s="24">
        <v>0</v>
      </c>
      <c r="U704" s="24">
        <v>15422400</v>
      </c>
      <c r="V704" s="24">
        <v>0</v>
      </c>
      <c r="W704" s="24">
        <v>0</v>
      </c>
      <c r="X704" s="24">
        <v>0</v>
      </c>
      <c r="Y704" s="24">
        <v>0</v>
      </c>
      <c r="Z704" s="24">
        <f t="shared" si="32"/>
        <v>16560720</v>
      </c>
      <c r="AB704" s="25">
        <v>16560720</v>
      </c>
      <c r="AC704" s="26">
        <v>16560720</v>
      </c>
      <c r="AD704" s="24">
        <v>0</v>
      </c>
      <c r="AE704" s="27">
        <f>_xlfn.XLOOKUP(B704,'Projects Cashflow'!$B:$B,'Projects Cashflow'!$AG:$AG,0)</f>
        <v>16560720</v>
      </c>
      <c r="AF704" s="28">
        <f t="shared" si="33"/>
        <v>0</v>
      </c>
    </row>
    <row r="705" spans="2:32" x14ac:dyDescent="0.3">
      <c r="B705" s="14" t="str">
        <f t="shared" si="31"/>
        <v>45131304511001271Sponsorship Fees-L424811201931</v>
      </c>
      <c r="C705" s="21" t="s">
        <v>319</v>
      </c>
      <c r="D705" s="22">
        <v>4513130</v>
      </c>
      <c r="E705" s="21" t="s">
        <v>320</v>
      </c>
      <c r="F705" s="22">
        <v>4511001271</v>
      </c>
      <c r="G705" s="21" t="s">
        <v>1527</v>
      </c>
      <c r="H705" s="21" t="s">
        <v>935</v>
      </c>
      <c r="I705" s="22">
        <v>424811</v>
      </c>
      <c r="J705" s="22">
        <v>201931</v>
      </c>
      <c r="K705" s="22" t="s">
        <v>2959</v>
      </c>
      <c r="L705" s="22">
        <v>70501</v>
      </c>
      <c r="M705" s="23" t="s">
        <v>2960</v>
      </c>
      <c r="N705" s="24">
        <v>0</v>
      </c>
      <c r="O705" s="24">
        <v>0</v>
      </c>
      <c r="P705" s="24">
        <v>0</v>
      </c>
      <c r="Q705" s="24">
        <v>0</v>
      </c>
      <c r="R705" s="24">
        <v>0</v>
      </c>
      <c r="S705" s="24">
        <v>0</v>
      </c>
      <c r="T705" s="24">
        <v>1372700</v>
      </c>
      <c r="U705" s="24">
        <v>0</v>
      </c>
      <c r="V705" s="24">
        <v>0</v>
      </c>
      <c r="W705" s="24">
        <v>0</v>
      </c>
      <c r="X705" s="24">
        <v>0</v>
      </c>
      <c r="Y705" s="24">
        <v>1372700</v>
      </c>
      <c r="Z705" s="24">
        <f t="shared" si="32"/>
        <v>2745400</v>
      </c>
      <c r="AB705" s="25">
        <v>2745400</v>
      </c>
      <c r="AC705" s="26">
        <v>2745400</v>
      </c>
      <c r="AD705" s="24">
        <v>0</v>
      </c>
      <c r="AE705" s="27">
        <f>_xlfn.XLOOKUP(B705,'Projects Cashflow'!$B:$B,'Projects Cashflow'!$AG:$AG,0)</f>
        <v>2745400</v>
      </c>
      <c r="AF705" s="28">
        <f t="shared" si="33"/>
        <v>0</v>
      </c>
    </row>
    <row r="706" spans="2:32" x14ac:dyDescent="0.3">
      <c r="B706" s="14" t="str">
        <f t="shared" si="31"/>
        <v>45131304511001320Sponsorship Fees-N1424811200104</v>
      </c>
      <c r="C706" s="21" t="s">
        <v>319</v>
      </c>
      <c r="D706" s="22">
        <v>4513130</v>
      </c>
      <c r="E706" s="21" t="s">
        <v>320</v>
      </c>
      <c r="F706" s="22">
        <v>4511001320</v>
      </c>
      <c r="G706" s="21" t="s">
        <v>3084</v>
      </c>
      <c r="H706" s="21" t="s">
        <v>29</v>
      </c>
      <c r="I706" s="22">
        <v>424811</v>
      </c>
      <c r="J706" s="22">
        <v>200104</v>
      </c>
      <c r="K706" s="22" t="s">
        <v>2959</v>
      </c>
      <c r="L706" s="22">
        <v>70601</v>
      </c>
      <c r="M706" s="23" t="s">
        <v>2960</v>
      </c>
      <c r="N706" s="24">
        <v>0</v>
      </c>
      <c r="O706" s="24">
        <v>0</v>
      </c>
      <c r="P706" s="24">
        <v>0</v>
      </c>
      <c r="Q706" s="24">
        <v>9250000</v>
      </c>
      <c r="R706" s="24">
        <v>0</v>
      </c>
      <c r="S706" s="24">
        <v>0</v>
      </c>
      <c r="T706" s="24">
        <v>0</v>
      </c>
      <c r="U706" s="24">
        <v>0</v>
      </c>
      <c r="V706" s="24">
        <v>0</v>
      </c>
      <c r="W706" s="24">
        <v>0</v>
      </c>
      <c r="X706" s="24">
        <v>0</v>
      </c>
      <c r="Y706" s="24">
        <v>0</v>
      </c>
      <c r="Z706" s="24">
        <f t="shared" si="32"/>
        <v>9250000</v>
      </c>
      <c r="AB706" s="25">
        <v>0</v>
      </c>
      <c r="AC706" s="26">
        <v>0</v>
      </c>
      <c r="AD706" s="24">
        <v>0</v>
      </c>
      <c r="AE706" s="27">
        <f>_xlfn.XLOOKUP(B706,'Projects Cashflow'!$B:$B,'Projects Cashflow'!$AG:$AG,0)</f>
        <v>0</v>
      </c>
      <c r="AF706" s="28">
        <f t="shared" si="33"/>
        <v>0</v>
      </c>
    </row>
    <row r="707" spans="2:32" x14ac:dyDescent="0.3">
      <c r="B707" s="14" t="str">
        <f t="shared" si="31"/>
        <v>45131304511001322Sponsorship Fees-L1424811201932</v>
      </c>
      <c r="C707" s="21" t="s">
        <v>319</v>
      </c>
      <c r="D707" s="22">
        <v>4513130</v>
      </c>
      <c r="E707" s="21" t="s">
        <v>320</v>
      </c>
      <c r="F707" s="22">
        <v>4511001322</v>
      </c>
      <c r="G707" s="21" t="s">
        <v>1559</v>
      </c>
      <c r="H707" s="21" t="s">
        <v>1561</v>
      </c>
      <c r="I707" s="22">
        <v>424811</v>
      </c>
      <c r="J707" s="22">
        <v>201932</v>
      </c>
      <c r="K707" s="22" t="s">
        <v>2959</v>
      </c>
      <c r="L707" s="22">
        <v>70501</v>
      </c>
      <c r="M707" s="23" t="s">
        <v>2960</v>
      </c>
      <c r="N707" s="24">
        <v>0</v>
      </c>
      <c r="O707" s="24">
        <v>0</v>
      </c>
      <c r="P707" s="24">
        <v>0</v>
      </c>
      <c r="Q707" s="24">
        <v>0</v>
      </c>
      <c r="R707" s="24">
        <v>0</v>
      </c>
      <c r="S707" s="24">
        <v>0</v>
      </c>
      <c r="T707" s="24">
        <v>0</v>
      </c>
      <c r="U707" s="24">
        <v>0</v>
      </c>
      <c r="V707" s="24">
        <v>0</v>
      </c>
      <c r="W707" s="24">
        <v>73500000</v>
      </c>
      <c r="X707" s="24">
        <v>0</v>
      </c>
      <c r="Y707" s="24">
        <v>0</v>
      </c>
      <c r="Z707" s="24">
        <f t="shared" si="32"/>
        <v>73500000</v>
      </c>
      <c r="AB707" s="25">
        <v>73500000</v>
      </c>
      <c r="AC707" s="26">
        <v>73500000</v>
      </c>
      <c r="AD707" s="24">
        <v>0</v>
      </c>
      <c r="AE707" s="27">
        <f>_xlfn.XLOOKUP(B707,'Projects Cashflow'!$B:$B,'Projects Cashflow'!$AG:$AG,0)</f>
        <v>73500000</v>
      </c>
      <c r="AF707" s="28">
        <f t="shared" si="33"/>
        <v>0</v>
      </c>
    </row>
    <row r="708" spans="2:32" x14ac:dyDescent="0.3">
      <c r="B708" s="14" t="str">
        <f t="shared" si="31"/>
        <v>45131304511001335Talent Fees-L422511201931</v>
      </c>
      <c r="C708" s="21" t="s">
        <v>319</v>
      </c>
      <c r="D708" s="22">
        <v>4513130</v>
      </c>
      <c r="E708" s="21" t="s">
        <v>320</v>
      </c>
      <c r="F708" s="22">
        <v>4511001335</v>
      </c>
      <c r="G708" s="21" t="s">
        <v>3085</v>
      </c>
      <c r="H708" s="21" t="s">
        <v>1580</v>
      </c>
      <c r="I708" s="22">
        <v>422511</v>
      </c>
      <c r="J708" s="22">
        <v>201931</v>
      </c>
      <c r="K708" s="22" t="s">
        <v>2959</v>
      </c>
      <c r="L708" s="22">
        <v>70501</v>
      </c>
      <c r="M708" s="23" t="s">
        <v>2961</v>
      </c>
      <c r="N708" s="24">
        <v>0</v>
      </c>
      <c r="O708" s="24">
        <v>0</v>
      </c>
      <c r="P708" s="24">
        <v>0</v>
      </c>
      <c r="Q708" s="24">
        <v>20185000</v>
      </c>
      <c r="R708" s="24">
        <v>0</v>
      </c>
      <c r="S708" s="24">
        <v>0</v>
      </c>
      <c r="T708" s="24">
        <v>0</v>
      </c>
      <c r="U708" s="24">
        <v>0</v>
      </c>
      <c r="V708" s="24">
        <v>0</v>
      </c>
      <c r="W708" s="24">
        <v>4373100</v>
      </c>
      <c r="X708" s="24">
        <v>0</v>
      </c>
      <c r="Y708" s="24">
        <v>0</v>
      </c>
      <c r="Z708" s="24">
        <f t="shared" si="32"/>
        <v>24558100</v>
      </c>
      <c r="AB708" s="25">
        <v>24558100</v>
      </c>
      <c r="AC708" s="26">
        <v>24558100</v>
      </c>
      <c r="AD708" s="24">
        <v>0</v>
      </c>
      <c r="AE708" s="27">
        <f>_xlfn.XLOOKUP(B708,'Projects Cashflow'!$B:$B,'Projects Cashflow'!$AG:$AG,0)</f>
        <v>24558100</v>
      </c>
      <c r="AF708" s="28">
        <f t="shared" si="33"/>
        <v>0</v>
      </c>
    </row>
    <row r="709" spans="2:32" x14ac:dyDescent="0.3">
      <c r="B709" s="14" t="str">
        <f t="shared" ref="B709:B772" si="34">D709&amp;F709&amp;H709&amp;I709&amp;J709</f>
        <v>45131304511001335Media Mgmnt &amp;Buy-L422511201931</v>
      </c>
      <c r="C709" s="21" t="s">
        <v>319</v>
      </c>
      <c r="D709" s="22">
        <v>4513130</v>
      </c>
      <c r="E709" s="21" t="s">
        <v>320</v>
      </c>
      <c r="F709" s="22">
        <v>4511001335</v>
      </c>
      <c r="G709" s="21" t="s">
        <v>3085</v>
      </c>
      <c r="H709" s="21" t="s">
        <v>559</v>
      </c>
      <c r="I709" s="22">
        <v>422511</v>
      </c>
      <c r="J709" s="22">
        <v>201931</v>
      </c>
      <c r="K709" s="22" t="s">
        <v>2959</v>
      </c>
      <c r="L709" s="22">
        <v>70501</v>
      </c>
      <c r="M709" s="23" t="s">
        <v>2961</v>
      </c>
      <c r="N709" s="24">
        <v>0</v>
      </c>
      <c r="O709" s="24">
        <v>0</v>
      </c>
      <c r="P709" s="24">
        <v>0</v>
      </c>
      <c r="Q709" s="24">
        <v>22954412</v>
      </c>
      <c r="R709" s="24">
        <v>0</v>
      </c>
      <c r="S709" s="24">
        <v>0</v>
      </c>
      <c r="T709" s="24">
        <v>0</v>
      </c>
      <c r="U709" s="24">
        <v>0</v>
      </c>
      <c r="V709" s="24">
        <v>0</v>
      </c>
      <c r="W709" s="24">
        <v>0</v>
      </c>
      <c r="X709" s="24">
        <v>0</v>
      </c>
      <c r="Y709" s="24">
        <v>0</v>
      </c>
      <c r="Z709" s="24">
        <f t="shared" ref="Z709:Z772" si="35">SUM(N709:Y709)</f>
        <v>22954412</v>
      </c>
      <c r="AB709" s="25">
        <v>22954412</v>
      </c>
      <c r="AC709" s="26">
        <v>22954412</v>
      </c>
      <c r="AD709" s="24">
        <v>0</v>
      </c>
      <c r="AE709" s="27">
        <f>_xlfn.XLOOKUP(B709,'Projects Cashflow'!$B:$B,'Projects Cashflow'!$AG:$AG,0)</f>
        <v>22954412</v>
      </c>
      <c r="AF709" s="28">
        <f t="shared" ref="AF709:AF772" si="36">AE709-AB709</f>
        <v>0</v>
      </c>
    </row>
    <row r="710" spans="2:32" x14ac:dyDescent="0.3">
      <c r="B710" s="14" t="str">
        <f t="shared" si="34"/>
        <v>45131304511001339Media Mgmnt &amp;Buy-L422511201931</v>
      </c>
      <c r="C710" s="21" t="s">
        <v>319</v>
      </c>
      <c r="D710" s="22">
        <v>4513130</v>
      </c>
      <c r="E710" s="21" t="s">
        <v>320</v>
      </c>
      <c r="F710" s="22">
        <v>4511001339</v>
      </c>
      <c r="G710" s="21" t="s">
        <v>1582</v>
      </c>
      <c r="H710" s="21" t="s">
        <v>559</v>
      </c>
      <c r="I710" s="22">
        <v>422511</v>
      </c>
      <c r="J710" s="22">
        <v>201931</v>
      </c>
      <c r="K710" s="22" t="s">
        <v>2959</v>
      </c>
      <c r="L710" s="22">
        <v>70501</v>
      </c>
      <c r="M710" s="23" t="s">
        <v>2969</v>
      </c>
      <c r="N710" s="24">
        <v>0</v>
      </c>
      <c r="O710" s="24">
        <v>0</v>
      </c>
      <c r="P710" s="24">
        <v>0</v>
      </c>
      <c r="Q710" s="24">
        <v>18479379</v>
      </c>
      <c r="R710" s="24">
        <v>0</v>
      </c>
      <c r="S710" s="24">
        <v>0</v>
      </c>
      <c r="T710" s="24">
        <v>0</v>
      </c>
      <c r="U710" s="24">
        <v>0</v>
      </c>
      <c r="V710" s="24">
        <v>0</v>
      </c>
      <c r="W710" s="24">
        <v>0</v>
      </c>
      <c r="X710" s="24">
        <v>0</v>
      </c>
      <c r="Y710" s="24">
        <v>0</v>
      </c>
      <c r="Z710" s="24">
        <f t="shared" si="35"/>
        <v>18479379</v>
      </c>
      <c r="AB710" s="25">
        <v>18479379</v>
      </c>
      <c r="AC710" s="26">
        <v>18479379</v>
      </c>
      <c r="AD710" s="24">
        <v>0</v>
      </c>
      <c r="AE710" s="27">
        <f>_xlfn.XLOOKUP(B710,'Projects Cashflow'!$B:$B,'Projects Cashflow'!$AG:$AG,0)</f>
        <v>18479379</v>
      </c>
      <c r="AF710" s="28">
        <f t="shared" si="36"/>
        <v>0</v>
      </c>
    </row>
    <row r="711" spans="2:32" x14ac:dyDescent="0.3">
      <c r="B711" s="14" t="str">
        <f t="shared" si="34"/>
        <v>45131304511001340Celebrities-L422511201931</v>
      </c>
      <c r="C711" s="21" t="s">
        <v>319</v>
      </c>
      <c r="D711" s="22">
        <v>4513130</v>
      </c>
      <c r="E711" s="21" t="s">
        <v>320</v>
      </c>
      <c r="F711" s="22">
        <v>4511001340</v>
      </c>
      <c r="G711" s="21" t="s">
        <v>1584</v>
      </c>
      <c r="H711" s="21" t="s">
        <v>1585</v>
      </c>
      <c r="I711" s="22">
        <v>422511</v>
      </c>
      <c r="J711" s="22">
        <v>201931</v>
      </c>
      <c r="K711" s="22" t="s">
        <v>2959</v>
      </c>
      <c r="L711" s="22">
        <v>70501</v>
      </c>
      <c r="M711" s="23" t="s">
        <v>2961</v>
      </c>
      <c r="N711" s="24">
        <v>0</v>
      </c>
      <c r="O711" s="24">
        <v>0</v>
      </c>
      <c r="P711" s="24">
        <v>0</v>
      </c>
      <c r="Q711" s="24">
        <v>0</v>
      </c>
      <c r="R711" s="24">
        <v>0</v>
      </c>
      <c r="S711" s="24">
        <v>0</v>
      </c>
      <c r="T711" s="24">
        <v>0</v>
      </c>
      <c r="U711" s="24">
        <v>0</v>
      </c>
      <c r="V711" s="24">
        <v>0</v>
      </c>
      <c r="W711" s="24">
        <v>0</v>
      </c>
      <c r="X711" s="24">
        <v>0</v>
      </c>
      <c r="Y711" s="24">
        <v>26217746</v>
      </c>
      <c r="Z711" s="24">
        <f t="shared" si="35"/>
        <v>26217746</v>
      </c>
      <c r="AB711" s="25">
        <v>26217746</v>
      </c>
      <c r="AC711" s="26">
        <v>26217746</v>
      </c>
      <c r="AD711" s="24">
        <v>0</v>
      </c>
      <c r="AE711" s="27">
        <f>_xlfn.XLOOKUP(B711,'Projects Cashflow'!$B:$B,'Projects Cashflow'!$AG:$AG,0)</f>
        <v>26217746</v>
      </c>
      <c r="AF711" s="28">
        <f t="shared" si="36"/>
        <v>0</v>
      </c>
    </row>
    <row r="712" spans="2:32" x14ac:dyDescent="0.3">
      <c r="B712" s="14" t="str">
        <f t="shared" si="34"/>
        <v>45131304511001343Celebrities-N422511200104</v>
      </c>
      <c r="C712" s="21" t="s">
        <v>319</v>
      </c>
      <c r="D712" s="22">
        <v>4513130</v>
      </c>
      <c r="E712" s="21" t="s">
        <v>320</v>
      </c>
      <c r="F712" s="22">
        <v>4511001343</v>
      </c>
      <c r="G712" s="21" t="s">
        <v>1587</v>
      </c>
      <c r="H712" s="21" t="s">
        <v>1588</v>
      </c>
      <c r="I712" s="22">
        <v>422511</v>
      </c>
      <c r="J712" s="22">
        <v>200104</v>
      </c>
      <c r="K712" s="22" t="s">
        <v>2959</v>
      </c>
      <c r="L712" s="22">
        <v>70601</v>
      </c>
      <c r="M712" s="23" t="s">
        <v>2961</v>
      </c>
      <c r="N712" s="24">
        <v>0</v>
      </c>
      <c r="O712" s="24">
        <v>0</v>
      </c>
      <c r="P712" s="24">
        <v>0</v>
      </c>
      <c r="Q712" s="24">
        <v>5049759.7</v>
      </c>
      <c r="R712" s="24">
        <v>1207430</v>
      </c>
      <c r="S712" s="24">
        <v>51380</v>
      </c>
      <c r="T712" s="24">
        <v>154140</v>
      </c>
      <c r="U712" s="24">
        <v>102760</v>
      </c>
      <c r="V712" s="24">
        <v>411040</v>
      </c>
      <c r="W712" s="24">
        <v>3725050</v>
      </c>
      <c r="X712" s="24">
        <v>13163373</v>
      </c>
      <c r="Y712" s="24">
        <v>513800</v>
      </c>
      <c r="Z712" s="24">
        <f t="shared" si="35"/>
        <v>24378732.699999999</v>
      </c>
      <c r="AB712" s="25">
        <v>11206876.699999999</v>
      </c>
      <c r="AC712" s="26">
        <v>11206877</v>
      </c>
      <c r="AD712" s="24">
        <v>-0.30000000074505806</v>
      </c>
      <c r="AE712" s="27">
        <f>_xlfn.XLOOKUP(B712,'Projects Cashflow'!$B:$B,'Projects Cashflow'!$AG:$AG,0)</f>
        <v>11206877</v>
      </c>
      <c r="AF712" s="28">
        <f t="shared" si="36"/>
        <v>0.30000000074505806</v>
      </c>
    </row>
    <row r="713" spans="2:32" x14ac:dyDescent="0.3">
      <c r="B713" s="14" t="str">
        <f t="shared" si="34"/>
        <v>45131304511001346Offline Ads-L422511201931</v>
      </c>
      <c r="C713" s="21" t="s">
        <v>319</v>
      </c>
      <c r="D713" s="22">
        <v>4513130</v>
      </c>
      <c r="E713" s="21" t="s">
        <v>320</v>
      </c>
      <c r="F713" s="22">
        <v>4511001346</v>
      </c>
      <c r="G713" s="21" t="s">
        <v>1591</v>
      </c>
      <c r="H713" s="21" t="s">
        <v>1592</v>
      </c>
      <c r="I713" s="22">
        <v>422511</v>
      </c>
      <c r="J713" s="22">
        <v>201931</v>
      </c>
      <c r="K713" s="22" t="s">
        <v>2959</v>
      </c>
      <c r="L713" s="22">
        <v>70501</v>
      </c>
      <c r="M713" s="23" t="s">
        <v>2960</v>
      </c>
      <c r="N713" s="24">
        <v>0</v>
      </c>
      <c r="O713" s="24">
        <v>0</v>
      </c>
      <c r="P713" s="24">
        <v>0</v>
      </c>
      <c r="Q713" s="24">
        <v>0</v>
      </c>
      <c r="R713" s="24">
        <v>0</v>
      </c>
      <c r="S713" s="24">
        <v>0</v>
      </c>
      <c r="T713" s="24">
        <v>0</v>
      </c>
      <c r="U713" s="24">
        <v>0</v>
      </c>
      <c r="V713" s="24">
        <v>0</v>
      </c>
      <c r="W713" s="24">
        <v>0</v>
      </c>
      <c r="X713" s="24">
        <v>0</v>
      </c>
      <c r="Y713" s="24">
        <v>7500000</v>
      </c>
      <c r="Z713" s="24">
        <f t="shared" si="35"/>
        <v>7500000</v>
      </c>
      <c r="AB713" s="25">
        <v>7500000</v>
      </c>
      <c r="AC713" s="26">
        <v>7500000</v>
      </c>
      <c r="AD713" s="24">
        <v>0</v>
      </c>
      <c r="AE713" s="27">
        <f>_xlfn.XLOOKUP(B713,'Projects Cashflow'!$B:$B,'Projects Cashflow'!$AG:$AG,0)</f>
        <v>7500000</v>
      </c>
      <c r="AF713" s="28">
        <f t="shared" si="36"/>
        <v>0</v>
      </c>
    </row>
    <row r="714" spans="2:32" x14ac:dyDescent="0.3">
      <c r="B714" s="14" t="str">
        <f t="shared" si="34"/>
        <v>45131304511001347Media Mgmnt &amp;Buy-L422511201931</v>
      </c>
      <c r="C714" s="21" t="s">
        <v>319</v>
      </c>
      <c r="D714" s="22">
        <v>4513130</v>
      </c>
      <c r="E714" s="21" t="s">
        <v>320</v>
      </c>
      <c r="F714" s="22">
        <v>4511001347</v>
      </c>
      <c r="G714" s="21" t="s">
        <v>1594</v>
      </c>
      <c r="H714" s="21" t="s">
        <v>559</v>
      </c>
      <c r="I714" s="22">
        <v>422511</v>
      </c>
      <c r="J714" s="22">
        <v>201931</v>
      </c>
      <c r="K714" s="22" t="s">
        <v>2959</v>
      </c>
      <c r="L714" s="22">
        <v>70501</v>
      </c>
      <c r="M714" s="23" t="s">
        <v>2960</v>
      </c>
      <c r="N714" s="24">
        <v>0</v>
      </c>
      <c r="O714" s="24">
        <v>0</v>
      </c>
      <c r="P714" s="24">
        <v>0</v>
      </c>
      <c r="Q714" s="24">
        <v>0</v>
      </c>
      <c r="R714" s="24">
        <v>4800000</v>
      </c>
      <c r="S714" s="24">
        <v>1600000</v>
      </c>
      <c r="T714" s="24">
        <v>1600000</v>
      </c>
      <c r="U714" s="24">
        <v>1600000</v>
      </c>
      <c r="V714" s="24">
        <v>1600000</v>
      </c>
      <c r="W714" s="24">
        <v>1600000</v>
      </c>
      <c r="X714" s="24">
        <v>1600000</v>
      </c>
      <c r="Y714" s="24">
        <v>1600000</v>
      </c>
      <c r="Z714" s="24">
        <f t="shared" si="35"/>
        <v>16000000</v>
      </c>
      <c r="AB714" s="25">
        <v>16000000</v>
      </c>
      <c r="AC714" s="26">
        <v>16000000</v>
      </c>
      <c r="AD714" s="24">
        <v>0</v>
      </c>
      <c r="AE714" s="27">
        <f>_xlfn.XLOOKUP(B714,'Projects Cashflow'!$B:$B,'Projects Cashflow'!$AG:$AG,0)</f>
        <v>16000000</v>
      </c>
      <c r="AF714" s="28">
        <f t="shared" si="36"/>
        <v>0</v>
      </c>
    </row>
    <row r="715" spans="2:32" x14ac:dyDescent="0.3">
      <c r="B715" s="14" t="str">
        <f t="shared" si="34"/>
        <v>45131304511001349Offline Ads-L422511201931</v>
      </c>
      <c r="C715" s="21" t="s">
        <v>319</v>
      </c>
      <c r="D715" s="22">
        <v>4513130</v>
      </c>
      <c r="E715" s="21" t="s">
        <v>320</v>
      </c>
      <c r="F715" s="22">
        <v>4511001349</v>
      </c>
      <c r="G715" s="21" t="s">
        <v>1596</v>
      </c>
      <c r="H715" s="21" t="s">
        <v>1592</v>
      </c>
      <c r="I715" s="22">
        <v>422511</v>
      </c>
      <c r="J715" s="22">
        <v>201931</v>
      </c>
      <c r="K715" s="22" t="s">
        <v>2959</v>
      </c>
      <c r="L715" s="22">
        <v>70501</v>
      </c>
      <c r="M715" s="23" t="s">
        <v>2960</v>
      </c>
      <c r="N715" s="24">
        <v>0</v>
      </c>
      <c r="O715" s="24">
        <v>0</v>
      </c>
      <c r="P715" s="24">
        <v>0</v>
      </c>
      <c r="Q715" s="24">
        <v>3344056.4000000004</v>
      </c>
      <c r="R715" s="24">
        <v>0</v>
      </c>
      <c r="S715" s="24">
        <v>0</v>
      </c>
      <c r="T715" s="24">
        <v>0</v>
      </c>
      <c r="U715" s="24">
        <v>836014.10000000009</v>
      </c>
      <c r="V715" s="24">
        <v>836014.10000000009</v>
      </c>
      <c r="W715" s="24">
        <v>836014.10000000009</v>
      </c>
      <c r="X715" s="24">
        <v>836014.10000000009</v>
      </c>
      <c r="Y715" s="24">
        <v>836014.10000000009</v>
      </c>
      <c r="Z715" s="24">
        <f t="shared" si="35"/>
        <v>7524126.9000000004</v>
      </c>
      <c r="AB715" s="25">
        <v>7524126.9000000004</v>
      </c>
      <c r="AC715" s="26">
        <v>7524128</v>
      </c>
      <c r="AD715" s="24">
        <v>-1.099999999627471</v>
      </c>
      <c r="AE715" s="27">
        <f>_xlfn.XLOOKUP(B715,'Projects Cashflow'!$B:$B,'Projects Cashflow'!$AG:$AG,0)</f>
        <v>7524128</v>
      </c>
      <c r="AF715" s="28">
        <f t="shared" si="36"/>
        <v>1.099999999627471</v>
      </c>
    </row>
    <row r="716" spans="2:32" x14ac:dyDescent="0.3">
      <c r="B716" s="14" t="str">
        <f t="shared" si="34"/>
        <v>45131304511001350Offline Ads-L422511201931</v>
      </c>
      <c r="C716" s="21" t="s">
        <v>319</v>
      </c>
      <c r="D716" s="22">
        <v>4513130</v>
      </c>
      <c r="E716" s="21" t="s">
        <v>320</v>
      </c>
      <c r="F716" s="22">
        <v>4511001350</v>
      </c>
      <c r="G716" s="21" t="s">
        <v>1598</v>
      </c>
      <c r="H716" s="21" t="s">
        <v>1592</v>
      </c>
      <c r="I716" s="22">
        <v>422511</v>
      </c>
      <c r="J716" s="22">
        <v>201931</v>
      </c>
      <c r="K716" s="22" t="s">
        <v>2959</v>
      </c>
      <c r="L716" s="22">
        <v>70501</v>
      </c>
      <c r="M716" s="23" t="s">
        <v>2960</v>
      </c>
      <c r="N716" s="24">
        <v>0</v>
      </c>
      <c r="O716" s="24">
        <v>0</v>
      </c>
      <c r="P716" s="24">
        <v>0</v>
      </c>
      <c r="Q716" s="24">
        <v>3372372</v>
      </c>
      <c r="R716" s="24">
        <v>0</v>
      </c>
      <c r="S716" s="24">
        <v>0</v>
      </c>
      <c r="T716" s="24">
        <v>0</v>
      </c>
      <c r="U716" s="24">
        <v>843093</v>
      </c>
      <c r="V716" s="24">
        <v>843093</v>
      </c>
      <c r="W716" s="24">
        <v>843093</v>
      </c>
      <c r="X716" s="24">
        <v>843093</v>
      </c>
      <c r="Y716" s="24">
        <v>843093</v>
      </c>
      <c r="Z716" s="24">
        <f t="shared" si="35"/>
        <v>7587837</v>
      </c>
      <c r="AB716" s="25">
        <v>7587837</v>
      </c>
      <c r="AC716" s="26">
        <v>7587837</v>
      </c>
      <c r="AD716" s="24">
        <v>0</v>
      </c>
      <c r="AE716" s="27">
        <f>_xlfn.XLOOKUP(B716,'Projects Cashflow'!$B:$B,'Projects Cashflow'!$AG:$AG,0)</f>
        <v>7587837</v>
      </c>
      <c r="AF716" s="28">
        <f t="shared" si="36"/>
        <v>0</v>
      </c>
    </row>
    <row r="717" spans="2:32" x14ac:dyDescent="0.3">
      <c r="B717" s="14" t="str">
        <f t="shared" si="34"/>
        <v>45131304511001352Offline Ads-L422511201931</v>
      </c>
      <c r="C717" s="21" t="s">
        <v>319</v>
      </c>
      <c r="D717" s="22">
        <v>4513130</v>
      </c>
      <c r="E717" s="21" t="s">
        <v>320</v>
      </c>
      <c r="F717" s="22">
        <v>4511001352</v>
      </c>
      <c r="G717" s="21" t="s">
        <v>1600</v>
      </c>
      <c r="H717" s="21" t="s">
        <v>1592</v>
      </c>
      <c r="I717" s="22">
        <v>422511</v>
      </c>
      <c r="J717" s="22">
        <v>201931</v>
      </c>
      <c r="K717" s="22" t="s">
        <v>2959</v>
      </c>
      <c r="L717" s="22">
        <v>70501</v>
      </c>
      <c r="M717" s="23" t="s">
        <v>2961</v>
      </c>
      <c r="N717" s="24">
        <v>0</v>
      </c>
      <c r="O717" s="24">
        <v>0</v>
      </c>
      <c r="P717" s="24">
        <v>0</v>
      </c>
      <c r="Q717" s="24">
        <v>3118849</v>
      </c>
      <c r="R717" s="24">
        <v>0</v>
      </c>
      <c r="S717" s="24">
        <v>0</v>
      </c>
      <c r="T717" s="24">
        <v>0</v>
      </c>
      <c r="U717" s="24">
        <v>0</v>
      </c>
      <c r="V717" s="24">
        <v>0</v>
      </c>
      <c r="W717" s="24">
        <v>0</v>
      </c>
      <c r="X717" s="24">
        <v>0</v>
      </c>
      <c r="Y717" s="24">
        <v>0</v>
      </c>
      <c r="Z717" s="24">
        <f t="shared" si="35"/>
        <v>3118849</v>
      </c>
      <c r="AB717" s="25">
        <v>3118849</v>
      </c>
      <c r="AC717" s="26">
        <v>3118849</v>
      </c>
      <c r="AD717" s="24">
        <v>0</v>
      </c>
      <c r="AE717" s="27">
        <f>_xlfn.XLOOKUP(B717,'Projects Cashflow'!$B:$B,'Projects Cashflow'!$AG:$AG,0)</f>
        <v>3118849</v>
      </c>
      <c r="AF717" s="28">
        <f t="shared" si="36"/>
        <v>0</v>
      </c>
    </row>
    <row r="718" spans="2:32" x14ac:dyDescent="0.3">
      <c r="B718" s="14" t="str">
        <f t="shared" si="34"/>
        <v>45131304511001355Offline Ads-L422511201931</v>
      </c>
      <c r="C718" s="21" t="s">
        <v>319</v>
      </c>
      <c r="D718" s="22">
        <v>4513130</v>
      </c>
      <c r="E718" s="21" t="s">
        <v>320</v>
      </c>
      <c r="F718" s="22">
        <v>4511001355</v>
      </c>
      <c r="G718" s="21" t="s">
        <v>1602</v>
      </c>
      <c r="H718" s="21" t="s">
        <v>1592</v>
      </c>
      <c r="I718" s="22">
        <v>422511</v>
      </c>
      <c r="J718" s="22">
        <v>201931</v>
      </c>
      <c r="K718" s="22" t="s">
        <v>2959</v>
      </c>
      <c r="L718" s="22">
        <v>70501</v>
      </c>
      <c r="M718" s="23" t="s">
        <v>2960</v>
      </c>
      <c r="N718" s="24">
        <v>0</v>
      </c>
      <c r="O718" s="24">
        <v>0</v>
      </c>
      <c r="P718" s="24">
        <v>0</v>
      </c>
      <c r="Q718" s="24">
        <v>1886025.6</v>
      </c>
      <c r="R718" s="24">
        <v>0</v>
      </c>
      <c r="S718" s="24">
        <v>0</v>
      </c>
      <c r="T718" s="24">
        <v>0</v>
      </c>
      <c r="U718" s="24">
        <v>471506.4</v>
      </c>
      <c r="V718" s="24">
        <v>471506.4</v>
      </c>
      <c r="W718" s="24">
        <v>471506.4</v>
      </c>
      <c r="X718" s="24">
        <v>471506.4</v>
      </c>
      <c r="Y718" s="24">
        <v>471506.4</v>
      </c>
      <c r="Z718" s="24">
        <f t="shared" si="35"/>
        <v>4243557.5999999996</v>
      </c>
      <c r="AB718" s="25">
        <v>4243557.5999999996</v>
      </c>
      <c r="AC718" s="26">
        <v>4243558</v>
      </c>
      <c r="AD718" s="24">
        <v>-0.40000000037252903</v>
      </c>
      <c r="AE718" s="27">
        <f>_xlfn.XLOOKUP(B718,'Projects Cashflow'!$B:$B,'Projects Cashflow'!$AG:$AG,0)</f>
        <v>4243558</v>
      </c>
      <c r="AF718" s="28">
        <f t="shared" si="36"/>
        <v>0.40000000037252903</v>
      </c>
    </row>
    <row r="719" spans="2:32" x14ac:dyDescent="0.3">
      <c r="B719" s="14" t="str">
        <f t="shared" si="34"/>
        <v>45131304511001356Offline Ads-L422511201931</v>
      </c>
      <c r="C719" s="21" t="s">
        <v>319</v>
      </c>
      <c r="D719" s="22">
        <v>4513130</v>
      </c>
      <c r="E719" s="21" t="s">
        <v>320</v>
      </c>
      <c r="F719" s="22">
        <v>4511001356</v>
      </c>
      <c r="G719" s="21" t="s">
        <v>1604</v>
      </c>
      <c r="H719" s="21" t="s">
        <v>1592</v>
      </c>
      <c r="I719" s="22">
        <v>422511</v>
      </c>
      <c r="J719" s="22">
        <v>201931</v>
      </c>
      <c r="K719" s="22" t="s">
        <v>2959</v>
      </c>
      <c r="L719" s="22">
        <v>70501</v>
      </c>
      <c r="M719" s="23" t="s">
        <v>2960</v>
      </c>
      <c r="N719" s="24">
        <v>0</v>
      </c>
      <c r="O719" s="24">
        <v>0</v>
      </c>
      <c r="P719" s="24">
        <v>0</v>
      </c>
      <c r="Q719" s="24">
        <v>1721720.4000000001</v>
      </c>
      <c r="R719" s="24">
        <v>0</v>
      </c>
      <c r="S719" s="24">
        <v>0</v>
      </c>
      <c r="T719" s="24">
        <v>0</v>
      </c>
      <c r="U719" s="24">
        <v>430430.10000000003</v>
      </c>
      <c r="V719" s="24">
        <v>430430.10000000003</v>
      </c>
      <c r="W719" s="24">
        <v>430430.10000000003</v>
      </c>
      <c r="X719" s="24">
        <v>430430.10000000003</v>
      </c>
      <c r="Y719" s="24">
        <v>430430.10000000003</v>
      </c>
      <c r="Z719" s="24">
        <f t="shared" si="35"/>
        <v>3873870.9000000004</v>
      </c>
      <c r="AB719" s="25">
        <v>3873870.9000000004</v>
      </c>
      <c r="AC719" s="26">
        <v>3873872</v>
      </c>
      <c r="AD719" s="24">
        <v>-1.099999999627471</v>
      </c>
      <c r="AE719" s="27">
        <f>_xlfn.XLOOKUP(B719,'Projects Cashflow'!$B:$B,'Projects Cashflow'!$AG:$AG,0)</f>
        <v>3873872</v>
      </c>
      <c r="AF719" s="28">
        <f t="shared" si="36"/>
        <v>1.099999999627471</v>
      </c>
    </row>
    <row r="720" spans="2:32" x14ac:dyDescent="0.3">
      <c r="B720" s="14" t="str">
        <f t="shared" si="34"/>
        <v>45131304511001358Sponsorship Fees-L424811201931</v>
      </c>
      <c r="C720" s="21" t="s">
        <v>319</v>
      </c>
      <c r="D720" s="22">
        <v>4513130</v>
      </c>
      <c r="E720" s="21" t="s">
        <v>320</v>
      </c>
      <c r="F720" s="22">
        <v>4511001358</v>
      </c>
      <c r="G720" s="21" t="s">
        <v>1606</v>
      </c>
      <c r="H720" s="21" t="s">
        <v>935</v>
      </c>
      <c r="I720" s="22">
        <v>424811</v>
      </c>
      <c r="J720" s="22">
        <v>201931</v>
      </c>
      <c r="K720" s="22" t="s">
        <v>2959</v>
      </c>
      <c r="L720" s="22">
        <v>70501</v>
      </c>
      <c r="M720" s="23" t="s">
        <v>2960</v>
      </c>
      <c r="N720" s="24">
        <v>0</v>
      </c>
      <c r="O720" s="24">
        <v>0</v>
      </c>
      <c r="P720" s="24">
        <v>0</v>
      </c>
      <c r="Q720" s="24">
        <v>10500000</v>
      </c>
      <c r="R720" s="24">
        <v>0</v>
      </c>
      <c r="S720" s="24">
        <v>0</v>
      </c>
      <c r="T720" s="24">
        <v>10657500</v>
      </c>
      <c r="U720" s="24">
        <v>0</v>
      </c>
      <c r="V720" s="24">
        <v>0</v>
      </c>
      <c r="W720" s="24">
        <v>0</v>
      </c>
      <c r="X720" s="24">
        <v>0</v>
      </c>
      <c r="Y720" s="24">
        <v>0</v>
      </c>
      <c r="Z720" s="24">
        <f t="shared" si="35"/>
        <v>21157500</v>
      </c>
      <c r="AB720" s="25">
        <v>21571795</v>
      </c>
      <c r="AC720" s="26">
        <v>21571795</v>
      </c>
      <c r="AD720" s="24">
        <v>0</v>
      </c>
      <c r="AE720" s="27">
        <f>_xlfn.XLOOKUP(B720,'Projects Cashflow'!$B:$B,'Projects Cashflow'!$AG:$AG,0)</f>
        <v>21571795</v>
      </c>
      <c r="AF720" s="28">
        <f t="shared" si="36"/>
        <v>0</v>
      </c>
    </row>
    <row r="721" spans="2:32" x14ac:dyDescent="0.3">
      <c r="B721" s="14" t="str">
        <f t="shared" si="34"/>
        <v>45131304511001359Offline Ads-L422511201931</v>
      </c>
      <c r="C721" s="21" t="s">
        <v>319</v>
      </c>
      <c r="D721" s="22">
        <v>4513130</v>
      </c>
      <c r="E721" s="21" t="s">
        <v>320</v>
      </c>
      <c r="F721" s="22">
        <v>4511001359</v>
      </c>
      <c r="G721" s="21" t="s">
        <v>1608</v>
      </c>
      <c r="H721" s="21" t="s">
        <v>1592</v>
      </c>
      <c r="I721" s="22">
        <v>422511</v>
      </c>
      <c r="J721" s="22">
        <v>201931</v>
      </c>
      <c r="K721" s="22" t="s">
        <v>2959</v>
      </c>
      <c r="L721" s="22">
        <v>70501</v>
      </c>
      <c r="M721" s="23" t="s">
        <v>2960</v>
      </c>
      <c r="N721" s="24">
        <v>0</v>
      </c>
      <c r="O721" s="24">
        <v>0</v>
      </c>
      <c r="P721" s="24">
        <v>0</v>
      </c>
      <c r="Q721" s="24">
        <v>1571694.8</v>
      </c>
      <c r="R721" s="24">
        <v>0</v>
      </c>
      <c r="S721" s="24">
        <v>0</v>
      </c>
      <c r="T721" s="24">
        <v>0</v>
      </c>
      <c r="U721" s="24">
        <v>392923.7</v>
      </c>
      <c r="V721" s="24">
        <v>392923.7</v>
      </c>
      <c r="W721" s="24">
        <v>392923.7</v>
      </c>
      <c r="X721" s="24">
        <v>392923.7</v>
      </c>
      <c r="Y721" s="24">
        <v>392923.7</v>
      </c>
      <c r="Z721" s="24">
        <f t="shared" si="35"/>
        <v>3536313.3000000007</v>
      </c>
      <c r="AB721" s="25">
        <v>3536313.3000000007</v>
      </c>
      <c r="AC721" s="26">
        <v>3536313</v>
      </c>
      <c r="AD721" s="24">
        <v>0.30000000074505806</v>
      </c>
      <c r="AE721" s="27">
        <f>_xlfn.XLOOKUP(B721,'Projects Cashflow'!$B:$B,'Projects Cashflow'!$AG:$AG,0)</f>
        <v>3536313</v>
      </c>
      <c r="AF721" s="28">
        <f t="shared" si="36"/>
        <v>-0.30000000074505806</v>
      </c>
    </row>
    <row r="722" spans="2:32" x14ac:dyDescent="0.3">
      <c r="B722" s="14" t="str">
        <f t="shared" si="34"/>
        <v>45131304511001362Celebrities-L422511201931</v>
      </c>
      <c r="C722" s="21" t="s">
        <v>319</v>
      </c>
      <c r="D722" s="22">
        <v>4513130</v>
      </c>
      <c r="E722" s="21" t="s">
        <v>320</v>
      </c>
      <c r="F722" s="22">
        <v>4511001362</v>
      </c>
      <c r="G722" s="21" t="s">
        <v>1614</v>
      </c>
      <c r="H722" s="21" t="s">
        <v>1585</v>
      </c>
      <c r="I722" s="22">
        <v>422511</v>
      </c>
      <c r="J722" s="22">
        <v>201931</v>
      </c>
      <c r="K722" s="22" t="s">
        <v>2959</v>
      </c>
      <c r="L722" s="22">
        <v>70501</v>
      </c>
      <c r="M722" s="23" t="s">
        <v>2961</v>
      </c>
      <c r="N722" s="24">
        <v>0</v>
      </c>
      <c r="O722" s="24">
        <v>0</v>
      </c>
      <c r="P722" s="24">
        <v>0</v>
      </c>
      <c r="Q722" s="24">
        <v>0</v>
      </c>
      <c r="R722" s="24">
        <v>0</v>
      </c>
      <c r="S722" s="24">
        <v>0</v>
      </c>
      <c r="T722" s="24">
        <v>0</v>
      </c>
      <c r="U722" s="24">
        <v>0</v>
      </c>
      <c r="V722" s="24">
        <v>0</v>
      </c>
      <c r="W722" s="24">
        <v>13909851</v>
      </c>
      <c r="X722" s="24">
        <v>0</v>
      </c>
      <c r="Y722" s="24">
        <v>0</v>
      </c>
      <c r="Z722" s="24">
        <f t="shared" si="35"/>
        <v>13909851</v>
      </c>
      <c r="AB722" s="25">
        <v>13909851</v>
      </c>
      <c r="AC722" s="26">
        <v>13909851</v>
      </c>
      <c r="AD722" s="24">
        <v>0</v>
      </c>
      <c r="AE722" s="27">
        <f>_xlfn.XLOOKUP(B722,'Projects Cashflow'!$B:$B,'Projects Cashflow'!$AG:$AG,0)</f>
        <v>13909851</v>
      </c>
      <c r="AF722" s="28">
        <f t="shared" si="36"/>
        <v>0</v>
      </c>
    </row>
    <row r="723" spans="2:32" x14ac:dyDescent="0.3">
      <c r="B723" s="14" t="str">
        <f t="shared" si="34"/>
        <v>45131304511001367Offline Ads-L422511201931</v>
      </c>
      <c r="C723" s="21" t="s">
        <v>319</v>
      </c>
      <c r="D723" s="22">
        <v>4513130</v>
      </c>
      <c r="E723" s="21" t="s">
        <v>320</v>
      </c>
      <c r="F723" s="22">
        <v>4511001367</v>
      </c>
      <c r="G723" s="21" t="s">
        <v>1616</v>
      </c>
      <c r="H723" s="21" t="s">
        <v>1592</v>
      </c>
      <c r="I723" s="22">
        <v>422511</v>
      </c>
      <c r="J723" s="22">
        <v>201931</v>
      </c>
      <c r="K723" s="22" t="s">
        <v>2959</v>
      </c>
      <c r="L723" s="22">
        <v>70501</v>
      </c>
      <c r="M723" s="23" t="s">
        <v>2960</v>
      </c>
      <c r="N723" s="24">
        <v>0</v>
      </c>
      <c r="O723" s="24">
        <v>0</v>
      </c>
      <c r="P723" s="24">
        <v>0</v>
      </c>
      <c r="Q723" s="24">
        <v>1072597.2</v>
      </c>
      <c r="R723" s="24">
        <v>0</v>
      </c>
      <c r="S723" s="24">
        <v>0</v>
      </c>
      <c r="T723" s="24">
        <v>0</v>
      </c>
      <c r="U723" s="24">
        <v>268149.3</v>
      </c>
      <c r="V723" s="24">
        <v>268149.3</v>
      </c>
      <c r="W723" s="24">
        <v>268149.3</v>
      </c>
      <c r="X723" s="24">
        <v>268149.3</v>
      </c>
      <c r="Y723" s="24">
        <v>268149.3</v>
      </c>
      <c r="Z723" s="24">
        <f t="shared" si="35"/>
        <v>2413343.6999999997</v>
      </c>
      <c r="AB723" s="25">
        <v>2413343.6999999997</v>
      </c>
      <c r="AC723" s="26">
        <v>2413345</v>
      </c>
      <c r="AD723" s="24">
        <v>-1.3000000002793968</v>
      </c>
      <c r="AE723" s="27">
        <f>_xlfn.XLOOKUP(B723,'Projects Cashflow'!$B:$B,'Projects Cashflow'!$AG:$AG,0)</f>
        <v>2413345</v>
      </c>
      <c r="AF723" s="28">
        <f t="shared" si="36"/>
        <v>1.3000000002793968</v>
      </c>
    </row>
    <row r="724" spans="2:32" x14ac:dyDescent="0.3">
      <c r="B724" s="14" t="str">
        <f t="shared" si="34"/>
        <v>45131304511001369Celebrities-L422511201931</v>
      </c>
      <c r="C724" s="21" t="s">
        <v>319</v>
      </c>
      <c r="D724" s="22">
        <v>4513130</v>
      </c>
      <c r="E724" s="21" t="s">
        <v>320</v>
      </c>
      <c r="F724" s="22">
        <v>4511001369</v>
      </c>
      <c r="G724" s="21" t="s">
        <v>1618</v>
      </c>
      <c r="H724" s="21" t="s">
        <v>1585</v>
      </c>
      <c r="I724" s="22">
        <v>422511</v>
      </c>
      <c r="J724" s="22">
        <v>201931</v>
      </c>
      <c r="K724" s="22" t="s">
        <v>2959</v>
      </c>
      <c r="L724" s="22">
        <v>70501</v>
      </c>
      <c r="M724" s="23" t="s">
        <v>2961</v>
      </c>
      <c r="N724" s="24">
        <v>0</v>
      </c>
      <c r="O724" s="24">
        <v>0</v>
      </c>
      <c r="P724" s="24">
        <v>0</v>
      </c>
      <c r="Q724" s="24">
        <v>0</v>
      </c>
      <c r="R724" s="24">
        <v>0</v>
      </c>
      <c r="S724" s="24">
        <v>0</v>
      </c>
      <c r="T724" s="24">
        <v>0</v>
      </c>
      <c r="U724" s="24">
        <v>0</v>
      </c>
      <c r="V724" s="24">
        <v>0</v>
      </c>
      <c r="W724" s="24">
        <v>2195027</v>
      </c>
      <c r="X724" s="24">
        <v>0</v>
      </c>
      <c r="Y724" s="24">
        <v>0</v>
      </c>
      <c r="Z724" s="24">
        <f t="shared" si="35"/>
        <v>2195027</v>
      </c>
      <c r="AB724" s="25">
        <v>2195027</v>
      </c>
      <c r="AC724" s="26">
        <v>2195027</v>
      </c>
      <c r="AD724" s="24">
        <v>0</v>
      </c>
      <c r="AE724" s="27">
        <f>_xlfn.XLOOKUP(B724,'Projects Cashflow'!$B:$B,'Projects Cashflow'!$AG:$AG,0)</f>
        <v>2195027</v>
      </c>
      <c r="AF724" s="28">
        <f t="shared" si="36"/>
        <v>0</v>
      </c>
    </row>
    <row r="725" spans="2:32" x14ac:dyDescent="0.3">
      <c r="B725" s="14" t="str">
        <f t="shared" si="34"/>
        <v>45131304511001370Offline Ads-L422511201931</v>
      </c>
      <c r="C725" s="21" t="s">
        <v>319</v>
      </c>
      <c r="D725" s="22">
        <v>4513130</v>
      </c>
      <c r="E725" s="21" t="s">
        <v>320</v>
      </c>
      <c r="F725" s="22">
        <v>4511001370</v>
      </c>
      <c r="G725" s="21" t="s">
        <v>1620</v>
      </c>
      <c r="H725" s="21" t="s">
        <v>1592</v>
      </c>
      <c r="I725" s="22">
        <v>422511</v>
      </c>
      <c r="J725" s="22">
        <v>201931</v>
      </c>
      <c r="K725" s="22" t="s">
        <v>2959</v>
      </c>
      <c r="L725" s="22">
        <v>70501</v>
      </c>
      <c r="M725" s="23" t="s">
        <v>2960</v>
      </c>
      <c r="N725" s="24">
        <v>0</v>
      </c>
      <c r="O725" s="24">
        <v>0</v>
      </c>
      <c r="P725" s="24">
        <v>0</v>
      </c>
      <c r="Q725" s="24">
        <v>799165.60000000009</v>
      </c>
      <c r="R725" s="24">
        <v>0</v>
      </c>
      <c r="S725" s="24">
        <v>0</v>
      </c>
      <c r="T725" s="24">
        <v>0</v>
      </c>
      <c r="U725" s="24">
        <v>199791.40000000002</v>
      </c>
      <c r="V725" s="24">
        <v>199791.40000000002</v>
      </c>
      <c r="W725" s="24">
        <v>199791.40000000002</v>
      </c>
      <c r="X725" s="24">
        <v>199791.40000000002</v>
      </c>
      <c r="Y725" s="24">
        <v>199791.40000000002</v>
      </c>
      <c r="Z725" s="24">
        <f t="shared" si="35"/>
        <v>1798122.6</v>
      </c>
      <c r="AB725" s="25">
        <v>1798122.6</v>
      </c>
      <c r="AC725" s="26">
        <v>1798123</v>
      </c>
      <c r="AD725" s="24">
        <v>-0.39999999990686774</v>
      </c>
      <c r="AE725" s="27">
        <f>_xlfn.XLOOKUP(B725,'Projects Cashflow'!$B:$B,'Projects Cashflow'!$AG:$AG,0)</f>
        <v>1798123</v>
      </c>
      <c r="AF725" s="28">
        <f t="shared" si="36"/>
        <v>0.39999999990686774</v>
      </c>
    </row>
    <row r="726" spans="2:32" x14ac:dyDescent="0.3">
      <c r="B726" s="14" t="str">
        <f t="shared" si="34"/>
        <v>45131304511001371Media Mgmnt &amp;Buy-L422511201931</v>
      </c>
      <c r="C726" s="21" t="s">
        <v>319</v>
      </c>
      <c r="D726" s="22">
        <v>4513130</v>
      </c>
      <c r="E726" s="21" t="s">
        <v>320</v>
      </c>
      <c r="F726" s="22">
        <v>4511001371</v>
      </c>
      <c r="G726" s="21" t="s">
        <v>1622</v>
      </c>
      <c r="H726" s="21" t="s">
        <v>559</v>
      </c>
      <c r="I726" s="22">
        <v>422511</v>
      </c>
      <c r="J726" s="22">
        <v>201931</v>
      </c>
      <c r="K726" s="22" t="s">
        <v>2959</v>
      </c>
      <c r="L726" s="22">
        <v>70501</v>
      </c>
      <c r="M726" s="23" t="s">
        <v>2961</v>
      </c>
      <c r="N726" s="24">
        <v>0</v>
      </c>
      <c r="O726" s="24">
        <v>0</v>
      </c>
      <c r="P726" s="24">
        <v>0</v>
      </c>
      <c r="Q726" s="24">
        <v>0</v>
      </c>
      <c r="R726" s="24">
        <v>0</v>
      </c>
      <c r="S726" s="24">
        <v>0</v>
      </c>
      <c r="T726" s="24">
        <v>0</v>
      </c>
      <c r="U726" s="24">
        <v>0</v>
      </c>
      <c r="V726" s="24">
        <v>0</v>
      </c>
      <c r="W726" s="24">
        <v>0</v>
      </c>
      <c r="X726" s="24">
        <v>81579.792055720347</v>
      </c>
      <c r="Y726" s="24">
        <v>54386.528037146898</v>
      </c>
      <c r="Z726" s="24">
        <f t="shared" si="35"/>
        <v>135966.32009286724</v>
      </c>
      <c r="AB726" s="25">
        <v>135966.32009286724</v>
      </c>
      <c r="AC726" s="26">
        <v>135966</v>
      </c>
      <c r="AD726" s="24">
        <v>0.32009286724496633</v>
      </c>
      <c r="AE726" s="27">
        <f>_xlfn.XLOOKUP(B726,'Projects Cashflow'!$B:$B,'Projects Cashflow'!$AG:$AG,0)</f>
        <v>135966</v>
      </c>
      <c r="AF726" s="28">
        <f t="shared" si="36"/>
        <v>-0.32009286724496633</v>
      </c>
    </row>
    <row r="727" spans="2:32" x14ac:dyDescent="0.3">
      <c r="B727" s="14" t="str">
        <f t="shared" si="34"/>
        <v>45131304511001373Media Mgmnt &amp;Buy-L422511201931</v>
      </c>
      <c r="C727" s="21" t="s">
        <v>319</v>
      </c>
      <c r="D727" s="22">
        <v>4513130</v>
      </c>
      <c r="E727" s="21" t="s">
        <v>320</v>
      </c>
      <c r="F727" s="22">
        <v>4511001373</v>
      </c>
      <c r="G727" s="21" t="s">
        <v>1627</v>
      </c>
      <c r="H727" s="21" t="s">
        <v>559</v>
      </c>
      <c r="I727" s="22">
        <v>422511</v>
      </c>
      <c r="J727" s="22">
        <v>201931</v>
      </c>
      <c r="K727" s="22" t="s">
        <v>2959</v>
      </c>
      <c r="L727" s="22">
        <v>70501</v>
      </c>
      <c r="M727" s="23" t="s">
        <v>2961</v>
      </c>
      <c r="N727" s="24">
        <v>0</v>
      </c>
      <c r="O727" s="24">
        <v>0</v>
      </c>
      <c r="P727" s="24">
        <v>0</v>
      </c>
      <c r="Q727" s="24">
        <v>0</v>
      </c>
      <c r="R727" s="24">
        <v>0</v>
      </c>
      <c r="S727" s="24">
        <v>0</v>
      </c>
      <c r="T727" s="24">
        <v>0</v>
      </c>
      <c r="U727" s="24">
        <v>0</v>
      </c>
      <c r="V727" s="24">
        <v>0</v>
      </c>
      <c r="W727" s="24">
        <v>879552.17682778463</v>
      </c>
      <c r="X727" s="24">
        <v>527731.3060966708</v>
      </c>
      <c r="Y727" s="24">
        <v>351820.87073111389</v>
      </c>
      <c r="Z727" s="24">
        <f t="shared" si="35"/>
        <v>1759104.3536555693</v>
      </c>
      <c r="AB727" s="25">
        <v>1759104.3536555693</v>
      </c>
      <c r="AC727" s="26">
        <v>1759105</v>
      </c>
      <c r="AD727" s="24">
        <v>-0.64634443074464798</v>
      </c>
      <c r="AE727" s="27">
        <f>_xlfn.XLOOKUP(B727,'Projects Cashflow'!$B:$B,'Projects Cashflow'!$AG:$AG,0)</f>
        <v>1759105</v>
      </c>
      <c r="AF727" s="28">
        <f t="shared" si="36"/>
        <v>0.64634443074464798</v>
      </c>
    </row>
    <row r="728" spans="2:32" x14ac:dyDescent="0.3">
      <c r="B728" s="14" t="str">
        <f t="shared" si="34"/>
        <v>45131304511001499Sponsorship Fees-L424811201932</v>
      </c>
      <c r="C728" s="21" t="s">
        <v>319</v>
      </c>
      <c r="D728" s="22">
        <v>4513130</v>
      </c>
      <c r="E728" s="21" t="s">
        <v>320</v>
      </c>
      <c r="F728" s="22">
        <v>4511001499</v>
      </c>
      <c r="G728" s="21" t="s">
        <v>1861</v>
      </c>
      <c r="H728" s="21" t="s">
        <v>935</v>
      </c>
      <c r="I728" s="22">
        <v>424811</v>
      </c>
      <c r="J728" s="22">
        <v>201932</v>
      </c>
      <c r="K728" s="22" t="s">
        <v>2959</v>
      </c>
      <c r="L728" s="22">
        <v>70601</v>
      </c>
      <c r="M728" s="23" t="s">
        <v>2960</v>
      </c>
      <c r="N728" s="24">
        <v>0</v>
      </c>
      <c r="O728" s="24">
        <v>0</v>
      </c>
      <c r="P728" s="24">
        <v>27543750</v>
      </c>
      <c r="Q728" s="24">
        <v>0</v>
      </c>
      <c r="R728" s="24">
        <v>0</v>
      </c>
      <c r="S728" s="24">
        <v>0</v>
      </c>
      <c r="T728" s="24">
        <v>0</v>
      </c>
      <c r="U728" s="24">
        <v>0</v>
      </c>
      <c r="V728" s="24">
        <v>0</v>
      </c>
      <c r="W728" s="24">
        <v>0</v>
      </c>
      <c r="X728" s="24">
        <v>27511250</v>
      </c>
      <c r="Y728" s="24">
        <v>0</v>
      </c>
      <c r="Z728" s="24">
        <f t="shared" si="35"/>
        <v>55055000</v>
      </c>
      <c r="AB728" s="25">
        <v>55055000</v>
      </c>
      <c r="AC728" s="26">
        <v>55055000</v>
      </c>
      <c r="AD728" s="24">
        <v>0</v>
      </c>
      <c r="AE728" s="27">
        <f>_xlfn.XLOOKUP(B728,'Projects Cashflow'!$B:$B,'Projects Cashflow'!$AG:$AG,0)</f>
        <v>55055000</v>
      </c>
      <c r="AF728" s="28">
        <f t="shared" si="36"/>
        <v>0</v>
      </c>
    </row>
    <row r="729" spans="2:32" x14ac:dyDescent="0.3">
      <c r="B729" s="14" t="str">
        <f t="shared" si="34"/>
        <v>45131304511001499Sponsorship Fees-N424811200104</v>
      </c>
      <c r="C729" s="21" t="s">
        <v>319</v>
      </c>
      <c r="D729" s="22">
        <v>4513130</v>
      </c>
      <c r="E729" s="21" t="s">
        <v>320</v>
      </c>
      <c r="F729" s="22">
        <v>4511001499</v>
      </c>
      <c r="G729" s="21" t="s">
        <v>1861</v>
      </c>
      <c r="H729" s="21" t="s">
        <v>506</v>
      </c>
      <c r="I729" s="22">
        <v>424811</v>
      </c>
      <c r="J729" s="22">
        <v>200104</v>
      </c>
      <c r="K729" s="22" t="s">
        <v>2959</v>
      </c>
      <c r="L729" s="22">
        <v>70601</v>
      </c>
      <c r="M729" s="23" t="s">
        <v>2961</v>
      </c>
      <c r="N729" s="24">
        <v>0</v>
      </c>
      <c r="O729" s="24">
        <v>0</v>
      </c>
      <c r="P729" s="24">
        <v>0</v>
      </c>
      <c r="Q729" s="24">
        <v>0</v>
      </c>
      <c r="R729" s="24">
        <v>0</v>
      </c>
      <c r="S729" s="24">
        <v>0</v>
      </c>
      <c r="T729" s="24">
        <v>0</v>
      </c>
      <c r="U729" s="24">
        <v>0</v>
      </c>
      <c r="V729" s="24">
        <v>0</v>
      </c>
      <c r="W729" s="24">
        <v>0</v>
      </c>
      <c r="X729" s="24">
        <v>245000</v>
      </c>
      <c r="Y729" s="24">
        <v>0</v>
      </c>
      <c r="Z729" s="24">
        <f t="shared" si="35"/>
        <v>245000</v>
      </c>
      <c r="AB729" s="25">
        <v>245000</v>
      </c>
      <c r="AC729" s="26">
        <v>245000</v>
      </c>
      <c r="AD729" s="24">
        <v>0</v>
      </c>
      <c r="AE729" s="27">
        <f>_xlfn.XLOOKUP(B729,'Projects Cashflow'!$B:$B,'Projects Cashflow'!$AG:$AG,0)</f>
        <v>245000</v>
      </c>
      <c r="AF729" s="28">
        <f t="shared" si="36"/>
        <v>0</v>
      </c>
    </row>
    <row r="730" spans="2:32" x14ac:dyDescent="0.3">
      <c r="B730" s="14" t="str">
        <f t="shared" si="34"/>
        <v>45131304511001547Celebrities-L422511201931</v>
      </c>
      <c r="C730" s="21" t="s">
        <v>319</v>
      </c>
      <c r="D730" s="22">
        <v>4513130</v>
      </c>
      <c r="E730" s="21" t="s">
        <v>320</v>
      </c>
      <c r="F730" s="22">
        <v>4511001547</v>
      </c>
      <c r="G730" s="21" t="s">
        <v>1982</v>
      </c>
      <c r="H730" s="21" t="s">
        <v>1585</v>
      </c>
      <c r="I730" s="22">
        <v>422511</v>
      </c>
      <c r="J730" s="22">
        <v>201931</v>
      </c>
      <c r="K730" s="22" t="s">
        <v>2959</v>
      </c>
      <c r="L730" s="22">
        <v>70601</v>
      </c>
      <c r="M730" s="23" t="s">
        <v>2961</v>
      </c>
      <c r="N730" s="24">
        <v>0</v>
      </c>
      <c r="O730" s="24">
        <v>0</v>
      </c>
      <c r="P730" s="24">
        <v>0</v>
      </c>
      <c r="Q730" s="24">
        <v>0</v>
      </c>
      <c r="R730" s="24">
        <v>0</v>
      </c>
      <c r="S730" s="24">
        <v>0</v>
      </c>
      <c r="T730" s="24">
        <v>0</v>
      </c>
      <c r="U730" s="24">
        <v>0</v>
      </c>
      <c r="V730" s="24">
        <v>0</v>
      </c>
      <c r="W730" s="24">
        <v>0</v>
      </c>
      <c r="X730" s="24">
        <v>0</v>
      </c>
      <c r="Y730" s="24">
        <v>106614</v>
      </c>
      <c r="Z730" s="24">
        <f t="shared" si="35"/>
        <v>106614</v>
      </c>
      <c r="AB730" s="25">
        <v>106614</v>
      </c>
      <c r="AC730" s="26">
        <v>106614</v>
      </c>
      <c r="AD730" s="24">
        <v>0</v>
      </c>
      <c r="AE730" s="27">
        <f>_xlfn.XLOOKUP(B730,'Projects Cashflow'!$B:$B,'Projects Cashflow'!$AG:$AG,0)</f>
        <v>106614</v>
      </c>
      <c r="AF730" s="28">
        <f t="shared" si="36"/>
        <v>0</v>
      </c>
    </row>
    <row r="731" spans="2:32" x14ac:dyDescent="0.3">
      <c r="B731" s="14" t="str">
        <f t="shared" si="34"/>
        <v>45131304511001547Media Mgmnt &amp;Buy-L422511201931</v>
      </c>
      <c r="C731" s="21" t="s">
        <v>319</v>
      </c>
      <c r="D731" s="22">
        <v>4513130</v>
      </c>
      <c r="E731" s="21" t="s">
        <v>320</v>
      </c>
      <c r="F731" s="22">
        <v>4511001547</v>
      </c>
      <c r="G731" s="21" t="s">
        <v>1982</v>
      </c>
      <c r="H731" s="21" t="s">
        <v>559</v>
      </c>
      <c r="I731" s="22">
        <v>422511</v>
      </c>
      <c r="J731" s="22">
        <v>201931</v>
      </c>
      <c r="K731" s="22" t="s">
        <v>2959</v>
      </c>
      <c r="L731" s="22">
        <v>70601</v>
      </c>
      <c r="M731" s="23" t="s">
        <v>2961</v>
      </c>
      <c r="N731" s="24">
        <v>0</v>
      </c>
      <c r="O731" s="24">
        <v>0</v>
      </c>
      <c r="P731" s="24">
        <v>0</v>
      </c>
      <c r="Q731" s="24">
        <v>0</v>
      </c>
      <c r="R731" s="24">
        <v>0</v>
      </c>
      <c r="S731" s="24">
        <v>0</v>
      </c>
      <c r="T731" s="24">
        <v>0</v>
      </c>
      <c r="U731" s="24">
        <v>0</v>
      </c>
      <c r="V731" s="24">
        <v>0</v>
      </c>
      <c r="W731" s="24">
        <v>0</v>
      </c>
      <c r="X731" s="24">
        <v>0</v>
      </c>
      <c r="Y731" s="24">
        <v>55951.704021809404</v>
      </c>
      <c r="Z731" s="24">
        <f t="shared" si="35"/>
        <v>55951.704021809404</v>
      </c>
      <c r="AB731" s="25">
        <v>55951.704021809404</v>
      </c>
      <c r="AC731" s="26">
        <v>55952</v>
      </c>
      <c r="AD731" s="24">
        <v>-0.29597819059563335</v>
      </c>
      <c r="AE731" s="27">
        <f>_xlfn.XLOOKUP(B731,'Projects Cashflow'!$B:$B,'Projects Cashflow'!$AG:$AG,0)</f>
        <v>55952</v>
      </c>
      <c r="AF731" s="28">
        <f t="shared" si="36"/>
        <v>0.29597819059563335</v>
      </c>
    </row>
    <row r="732" spans="2:32" x14ac:dyDescent="0.3">
      <c r="B732" s="14" t="str">
        <f t="shared" si="34"/>
        <v>45131304511001548Media Mgmnt &amp;Buy-L422511201931</v>
      </c>
      <c r="C732" s="21" t="s">
        <v>319</v>
      </c>
      <c r="D732" s="22">
        <v>4513130</v>
      </c>
      <c r="E732" s="21" t="s">
        <v>320</v>
      </c>
      <c r="F732" s="22">
        <v>4511001548</v>
      </c>
      <c r="G732" s="21" t="s">
        <v>1984</v>
      </c>
      <c r="H732" s="21" t="s">
        <v>559</v>
      </c>
      <c r="I732" s="22">
        <v>422511</v>
      </c>
      <c r="J732" s="22">
        <v>201931</v>
      </c>
      <c r="K732" s="22" t="s">
        <v>2959</v>
      </c>
      <c r="L732" s="22">
        <v>70104</v>
      </c>
      <c r="M732" s="23" t="s">
        <v>2961</v>
      </c>
      <c r="N732" s="24">
        <v>0</v>
      </c>
      <c r="O732" s="24">
        <v>0</v>
      </c>
      <c r="P732" s="24">
        <v>0</v>
      </c>
      <c r="Q732" s="24">
        <v>0</v>
      </c>
      <c r="R732" s="24">
        <v>342820.84798029787</v>
      </c>
      <c r="S732" s="24">
        <v>79112.343341019354</v>
      </c>
      <c r="T732" s="24">
        <v>79112.343341019354</v>
      </c>
      <c r="U732" s="24">
        <v>79112.343341019354</v>
      </c>
      <c r="V732" s="24">
        <v>79112.343341019354</v>
      </c>
      <c r="W732" s="24">
        <v>79112.343341019354</v>
      </c>
      <c r="X732" s="24">
        <v>131854.25231963926</v>
      </c>
      <c r="Y732" s="24">
        <v>158225.20680894921</v>
      </c>
      <c r="Z732" s="24">
        <f t="shared" si="35"/>
        <v>1028462.0238139831</v>
      </c>
      <c r="AB732" s="25">
        <v>1028462.0238139831</v>
      </c>
      <c r="AC732" s="26">
        <v>1028462</v>
      </c>
      <c r="AD732" s="24">
        <v>2.3813983076252043E-2</v>
      </c>
      <c r="AE732" s="27">
        <f>_xlfn.XLOOKUP(B732,'Projects Cashflow'!$B:$B,'Projects Cashflow'!$AG:$AG,0)</f>
        <v>1028462</v>
      </c>
      <c r="AF732" s="28">
        <f t="shared" si="36"/>
        <v>-2.3813983076252043E-2</v>
      </c>
    </row>
    <row r="733" spans="2:32" x14ac:dyDescent="0.3">
      <c r="B733" s="14" t="str">
        <f t="shared" si="34"/>
        <v>45131304511001549Media Mgmnt &amp;Buy-L422511201931</v>
      </c>
      <c r="C733" s="21" t="s">
        <v>319</v>
      </c>
      <c r="D733" s="22">
        <v>4513130</v>
      </c>
      <c r="E733" s="21" t="s">
        <v>320</v>
      </c>
      <c r="F733" s="22">
        <v>4511001549</v>
      </c>
      <c r="G733" s="21" t="s">
        <v>1988</v>
      </c>
      <c r="H733" s="21" t="s">
        <v>559</v>
      </c>
      <c r="I733" s="22">
        <v>422511</v>
      </c>
      <c r="J733" s="22">
        <v>201931</v>
      </c>
      <c r="K733" s="22" t="s">
        <v>2959</v>
      </c>
      <c r="L733" s="22">
        <v>70104</v>
      </c>
      <c r="M733" s="23" t="s">
        <v>2969</v>
      </c>
      <c r="N733" s="24">
        <v>0</v>
      </c>
      <c r="O733" s="24">
        <v>0</v>
      </c>
      <c r="P733" s="24">
        <v>0</v>
      </c>
      <c r="Q733" s="24">
        <v>0</v>
      </c>
      <c r="R733" s="24">
        <v>57743.263100790879</v>
      </c>
      <c r="S733" s="24">
        <v>13325.341451588498</v>
      </c>
      <c r="T733" s="24">
        <v>13325.341451588498</v>
      </c>
      <c r="U733" s="24">
        <v>13325.341451588498</v>
      </c>
      <c r="V733" s="24">
        <v>13325.341451588498</v>
      </c>
      <c r="W733" s="24">
        <v>13325.341451588498</v>
      </c>
      <c r="X733" s="24">
        <v>22208.960824601192</v>
      </c>
      <c r="Y733" s="24">
        <v>26650.770511107541</v>
      </c>
      <c r="Z733" s="24">
        <f t="shared" si="35"/>
        <v>173229.7016944421</v>
      </c>
      <c r="AB733" s="25">
        <v>173229.7016944421</v>
      </c>
      <c r="AC733" s="26">
        <v>173231</v>
      </c>
      <c r="AD733" s="24">
        <v>-1.298305557895219</v>
      </c>
      <c r="AE733" s="27">
        <f>_xlfn.XLOOKUP(B733,'Projects Cashflow'!$B:$B,'Projects Cashflow'!$AG:$AG,0)</f>
        <v>173231</v>
      </c>
      <c r="AF733" s="28">
        <f t="shared" si="36"/>
        <v>1.298305557895219</v>
      </c>
    </row>
    <row r="734" spans="2:32" x14ac:dyDescent="0.3">
      <c r="B734" s="14" t="str">
        <f t="shared" si="34"/>
        <v>45131304511001550Media Mgmnt &amp;Buy-L422511201931</v>
      </c>
      <c r="C734" s="21" t="s">
        <v>319</v>
      </c>
      <c r="D734" s="22">
        <v>4513130</v>
      </c>
      <c r="E734" s="21" t="s">
        <v>320</v>
      </c>
      <c r="F734" s="22">
        <v>4511001550</v>
      </c>
      <c r="G734" s="21" t="s">
        <v>1990</v>
      </c>
      <c r="H734" s="21" t="s">
        <v>559</v>
      </c>
      <c r="I734" s="22">
        <v>422511</v>
      </c>
      <c r="J734" s="22">
        <v>201931</v>
      </c>
      <c r="K734" s="22" t="s">
        <v>2959</v>
      </c>
      <c r="L734" s="22">
        <v>70601</v>
      </c>
      <c r="M734" s="23" t="s">
        <v>2961</v>
      </c>
      <c r="N734" s="24">
        <v>0</v>
      </c>
      <c r="O734" s="24">
        <v>0</v>
      </c>
      <c r="P734" s="24">
        <v>0</v>
      </c>
      <c r="Q734" s="24">
        <v>0</v>
      </c>
      <c r="R734" s="24">
        <v>0</v>
      </c>
      <c r="S734" s="24">
        <v>0</v>
      </c>
      <c r="T734" s="24">
        <v>0</v>
      </c>
      <c r="U734" s="24">
        <v>0</v>
      </c>
      <c r="V734" s="24">
        <v>0</v>
      </c>
      <c r="W734" s="24">
        <v>0</v>
      </c>
      <c r="X734" s="24">
        <v>0</v>
      </c>
      <c r="Y734" s="24">
        <v>680254.50774194254</v>
      </c>
      <c r="Z734" s="24">
        <f t="shared" si="35"/>
        <v>680254.50774194254</v>
      </c>
      <c r="AB734" s="25">
        <v>680254.50774194254</v>
      </c>
      <c r="AC734" s="26">
        <v>680255</v>
      </c>
      <c r="AD734" s="24">
        <v>-0.49225805746391416</v>
      </c>
      <c r="AE734" s="27">
        <f>_xlfn.XLOOKUP(B734,'Projects Cashflow'!$B:$B,'Projects Cashflow'!$AG:$AG,0)</f>
        <v>680255</v>
      </c>
      <c r="AF734" s="28">
        <f t="shared" si="36"/>
        <v>0.49225805746391416</v>
      </c>
    </row>
    <row r="735" spans="2:32" x14ac:dyDescent="0.3">
      <c r="B735" s="14" t="str">
        <f t="shared" si="34"/>
        <v>45131304511001551Media Mgmnt &amp;Buy-L422511201931</v>
      </c>
      <c r="C735" s="21" t="s">
        <v>319</v>
      </c>
      <c r="D735" s="22">
        <v>4513130</v>
      </c>
      <c r="E735" s="21" t="s">
        <v>320</v>
      </c>
      <c r="F735" s="22">
        <v>4511001551</v>
      </c>
      <c r="G735" s="21" t="s">
        <v>1992</v>
      </c>
      <c r="H735" s="21" t="s">
        <v>559</v>
      </c>
      <c r="I735" s="22">
        <v>422511</v>
      </c>
      <c r="J735" s="22">
        <v>201931</v>
      </c>
      <c r="K735" s="22" t="s">
        <v>2959</v>
      </c>
      <c r="L735" s="22">
        <v>70601</v>
      </c>
      <c r="M735" s="23" t="s">
        <v>2969</v>
      </c>
      <c r="N735" s="24">
        <v>0</v>
      </c>
      <c r="O735" s="24">
        <v>0</v>
      </c>
      <c r="P735" s="24">
        <v>0</v>
      </c>
      <c r="Q735" s="24">
        <v>0</v>
      </c>
      <c r="R735" s="24">
        <v>0</v>
      </c>
      <c r="S735" s="24">
        <v>0</v>
      </c>
      <c r="T735" s="24">
        <v>0</v>
      </c>
      <c r="U735" s="24">
        <v>0</v>
      </c>
      <c r="V735" s="24">
        <v>0</v>
      </c>
      <c r="W735" s="24">
        <v>0</v>
      </c>
      <c r="X735" s="24">
        <v>0</v>
      </c>
      <c r="Y735" s="24">
        <v>111044.70223498273</v>
      </c>
      <c r="Z735" s="24">
        <f t="shared" si="35"/>
        <v>111044.70223498273</v>
      </c>
      <c r="AB735" s="25">
        <v>111044.70223498273</v>
      </c>
      <c r="AC735" s="26">
        <v>111045</v>
      </c>
      <c r="AD735" s="24">
        <v>-0.29776501726882998</v>
      </c>
      <c r="AE735" s="27">
        <f>_xlfn.XLOOKUP(B735,'Projects Cashflow'!$B:$B,'Projects Cashflow'!$AG:$AG,0)</f>
        <v>111045</v>
      </c>
      <c r="AF735" s="28">
        <f t="shared" si="36"/>
        <v>0.29776501726882998</v>
      </c>
    </row>
    <row r="736" spans="2:32" x14ac:dyDescent="0.3">
      <c r="B736" s="14" t="str">
        <f t="shared" si="34"/>
        <v>45131304511001552Media Mgmnt &amp;Buy-L422511201931</v>
      </c>
      <c r="C736" s="21" t="s">
        <v>319</v>
      </c>
      <c r="D736" s="22">
        <v>4513130</v>
      </c>
      <c r="E736" s="21" t="s">
        <v>320</v>
      </c>
      <c r="F736" s="22">
        <v>4511001552</v>
      </c>
      <c r="G736" s="21" t="s">
        <v>1994</v>
      </c>
      <c r="H736" s="21" t="s">
        <v>559</v>
      </c>
      <c r="I736" s="22">
        <v>422511</v>
      </c>
      <c r="J736" s="22">
        <v>201931</v>
      </c>
      <c r="K736" s="22" t="s">
        <v>2959</v>
      </c>
      <c r="L736" s="22">
        <v>70601</v>
      </c>
      <c r="M736" s="23" t="s">
        <v>2961</v>
      </c>
      <c r="N736" s="24">
        <v>0</v>
      </c>
      <c r="O736" s="24">
        <v>0</v>
      </c>
      <c r="P736" s="24">
        <v>0</v>
      </c>
      <c r="Q736" s="24">
        <v>0</v>
      </c>
      <c r="R736" s="24">
        <v>1526330.5514518274</v>
      </c>
      <c r="S736" s="24">
        <v>352230.12725811399</v>
      </c>
      <c r="T736" s="24">
        <v>352230.12725811399</v>
      </c>
      <c r="U736" s="24">
        <v>352230.12725811399</v>
      </c>
      <c r="V736" s="24">
        <v>352230.12725811399</v>
      </c>
      <c r="W736" s="24">
        <v>352230.12725811399</v>
      </c>
      <c r="X736" s="24">
        <v>587050.21209685667</v>
      </c>
      <c r="Y736" s="24">
        <v>704460.25451622799</v>
      </c>
      <c r="Z736" s="24">
        <f t="shared" si="35"/>
        <v>4578991.6543554822</v>
      </c>
      <c r="AB736" s="25">
        <v>4578991.6543554822</v>
      </c>
      <c r="AC736" s="26">
        <v>4578992</v>
      </c>
      <c r="AD736" s="24">
        <v>-0.34564451780170202</v>
      </c>
      <c r="AE736" s="27">
        <f>_xlfn.XLOOKUP(B736,'Projects Cashflow'!$B:$B,'Projects Cashflow'!$AG:$AG,0)</f>
        <v>4578992</v>
      </c>
      <c r="AF736" s="28">
        <f t="shared" si="36"/>
        <v>0.34564451780170202</v>
      </c>
    </row>
    <row r="737" spans="2:32" x14ac:dyDescent="0.3">
      <c r="B737" s="14" t="str">
        <f t="shared" si="34"/>
        <v>45131304511001553Media Mgmnt &amp;Buy-L422511201931</v>
      </c>
      <c r="C737" s="21" t="s">
        <v>319</v>
      </c>
      <c r="D737" s="22">
        <v>4513130</v>
      </c>
      <c r="E737" s="21" t="s">
        <v>320</v>
      </c>
      <c r="F737" s="22">
        <v>4511001553</v>
      </c>
      <c r="G737" s="21" t="s">
        <v>1996</v>
      </c>
      <c r="H737" s="21" t="s">
        <v>559</v>
      </c>
      <c r="I737" s="22">
        <v>422511</v>
      </c>
      <c r="J737" s="22">
        <v>201931</v>
      </c>
      <c r="K737" s="22" t="s">
        <v>2959</v>
      </c>
      <c r="L737" s="22">
        <v>70601</v>
      </c>
      <c r="M737" s="23" t="s">
        <v>2969</v>
      </c>
      <c r="N737" s="24">
        <v>0</v>
      </c>
      <c r="O737" s="24">
        <v>0</v>
      </c>
      <c r="P737" s="24">
        <v>0</v>
      </c>
      <c r="Q737" s="24">
        <v>0</v>
      </c>
      <c r="R737" s="24">
        <v>103335.57990441225</v>
      </c>
      <c r="S737" s="24">
        <v>23846.672285633598</v>
      </c>
      <c r="T737" s="24">
        <v>23846.672285633598</v>
      </c>
      <c r="U737" s="24">
        <v>23846.672285633598</v>
      </c>
      <c r="V737" s="24">
        <v>23846.672285633598</v>
      </c>
      <c r="W737" s="24">
        <v>23846.672285633598</v>
      </c>
      <c r="X737" s="24">
        <v>39744.453809389328</v>
      </c>
      <c r="Y737" s="24">
        <v>47693.344571267196</v>
      </c>
      <c r="Z737" s="24">
        <f t="shared" si="35"/>
        <v>310006.73971323681</v>
      </c>
      <c r="AB737" s="25">
        <v>310006.73971323681</v>
      </c>
      <c r="AC737" s="26">
        <v>310007</v>
      </c>
      <c r="AD737" s="24">
        <v>-0.26028676319401711</v>
      </c>
      <c r="AE737" s="27">
        <f>_xlfn.XLOOKUP(B737,'Projects Cashflow'!$B:$B,'Projects Cashflow'!$AG:$AG,0)</f>
        <v>310007</v>
      </c>
      <c r="AF737" s="28">
        <f t="shared" si="36"/>
        <v>0.26028676319401711</v>
      </c>
    </row>
    <row r="738" spans="2:32" x14ac:dyDescent="0.3">
      <c r="B738" s="14" t="str">
        <f t="shared" si="34"/>
        <v>45131304511001558Influencers-L422511201931</v>
      </c>
      <c r="C738" s="21" t="s">
        <v>319</v>
      </c>
      <c r="D738" s="22">
        <v>4513130</v>
      </c>
      <c r="E738" s="21" t="s">
        <v>320</v>
      </c>
      <c r="F738" s="22">
        <v>4511001558</v>
      </c>
      <c r="G738" s="21" t="s">
        <v>2005</v>
      </c>
      <c r="H738" s="21" t="s">
        <v>2006</v>
      </c>
      <c r="I738" s="22">
        <v>422511</v>
      </c>
      <c r="J738" s="22">
        <v>201931</v>
      </c>
      <c r="K738" s="22" t="s">
        <v>2959</v>
      </c>
      <c r="L738" s="22">
        <v>70601</v>
      </c>
      <c r="M738" s="23" t="s">
        <v>2961</v>
      </c>
      <c r="N738" s="24">
        <v>0</v>
      </c>
      <c r="O738" s="24">
        <v>0</v>
      </c>
      <c r="P738" s="24">
        <v>0</v>
      </c>
      <c r="Q738" s="24">
        <v>5200000.09</v>
      </c>
      <c r="R738" s="24">
        <v>14269958.800000001</v>
      </c>
      <c r="S738" s="24">
        <v>4282765.22</v>
      </c>
      <c r="T738" s="24">
        <v>4282765.22</v>
      </c>
      <c r="U738" s="24">
        <v>4282765.22</v>
      </c>
      <c r="V738" s="24">
        <v>5571034.3099999996</v>
      </c>
      <c r="W738" s="24">
        <v>8166678.5099999998</v>
      </c>
      <c r="X738" s="24">
        <v>7522542.1299999999</v>
      </c>
      <c r="Y738" s="24">
        <v>8166678.5099999998</v>
      </c>
      <c r="Z738" s="24">
        <f t="shared" si="35"/>
        <v>61745188.009999998</v>
      </c>
      <c r="AB738" s="25">
        <v>61745188.009999998</v>
      </c>
      <c r="AC738" s="26">
        <v>61745188</v>
      </c>
      <c r="AD738" s="24">
        <v>9.9999979138374329E-3</v>
      </c>
      <c r="AE738" s="27">
        <f>_xlfn.XLOOKUP(B738,'Projects Cashflow'!$B:$B,'Projects Cashflow'!$AG:$AG,0)</f>
        <v>61745188</v>
      </c>
      <c r="AF738" s="28">
        <f t="shared" si="36"/>
        <v>-9.9999979138374329E-3</v>
      </c>
    </row>
    <row r="739" spans="2:32" x14ac:dyDescent="0.3">
      <c r="B739" s="14" t="str">
        <f t="shared" si="34"/>
        <v>45131304511001558General Retainer-L421125201931</v>
      </c>
      <c r="C739" s="21" t="s">
        <v>319</v>
      </c>
      <c r="D739" s="22">
        <v>4513130</v>
      </c>
      <c r="E739" s="21" t="s">
        <v>320</v>
      </c>
      <c r="F739" s="22">
        <v>4511001558</v>
      </c>
      <c r="G739" s="21" t="s">
        <v>2005</v>
      </c>
      <c r="H739" s="21" t="s">
        <v>557</v>
      </c>
      <c r="I739" s="22">
        <v>421125</v>
      </c>
      <c r="J739" s="22">
        <v>201931</v>
      </c>
      <c r="K739" s="22" t="s">
        <v>2959</v>
      </c>
      <c r="L739" s="22">
        <v>70601</v>
      </c>
      <c r="M739" s="23" t="s">
        <v>2960</v>
      </c>
      <c r="N739" s="24">
        <v>0</v>
      </c>
      <c r="O739" s="24">
        <v>0</v>
      </c>
      <c r="P739" s="24">
        <v>0</v>
      </c>
      <c r="Q739" s="24">
        <v>2523736</v>
      </c>
      <c r="R739" s="24">
        <v>630934</v>
      </c>
      <c r="S739" s="24">
        <v>630934</v>
      </c>
      <c r="T739" s="24">
        <v>850000</v>
      </c>
      <c r="U739" s="24">
        <v>850000</v>
      </c>
      <c r="V739" s="24">
        <v>850000</v>
      </c>
      <c r="W739" s="24">
        <v>850000</v>
      </c>
      <c r="X739" s="24">
        <v>850000</v>
      </c>
      <c r="Y739" s="24">
        <v>850000</v>
      </c>
      <c r="Z739" s="24">
        <f t="shared" si="35"/>
        <v>8885604</v>
      </c>
      <c r="AB739" s="25">
        <v>8885604</v>
      </c>
      <c r="AC739" s="26">
        <v>8885604</v>
      </c>
      <c r="AD739" s="24">
        <v>0</v>
      </c>
      <c r="AE739" s="27">
        <f>_xlfn.XLOOKUP(B739,'Projects Cashflow'!$B:$B,'Projects Cashflow'!$AG:$AG,0)</f>
        <v>8885604</v>
      </c>
      <c r="AF739" s="28">
        <f t="shared" si="36"/>
        <v>0</v>
      </c>
    </row>
    <row r="740" spans="2:32" x14ac:dyDescent="0.3">
      <c r="B740" s="14" t="str">
        <f t="shared" si="34"/>
        <v>45112504511000510Cleaning Service-N422311200104</v>
      </c>
      <c r="C740" s="21" t="s">
        <v>65</v>
      </c>
      <c r="D740" s="22">
        <v>4511250</v>
      </c>
      <c r="E740" s="21" t="s">
        <v>66</v>
      </c>
      <c r="F740" s="22">
        <v>4511000510</v>
      </c>
      <c r="G740" s="21" t="s">
        <v>3006</v>
      </c>
      <c r="H740" s="21" t="s">
        <v>79</v>
      </c>
      <c r="I740" s="22">
        <v>422311</v>
      </c>
      <c r="J740" s="22">
        <v>200104</v>
      </c>
      <c r="K740" s="22" t="s">
        <v>2959</v>
      </c>
      <c r="L740" s="22">
        <v>70205</v>
      </c>
      <c r="M740" s="23" t="s">
        <v>2961</v>
      </c>
      <c r="N740" s="24">
        <v>0</v>
      </c>
      <c r="O740" s="24">
        <v>0</v>
      </c>
      <c r="P740" s="24">
        <v>0</v>
      </c>
      <c r="Q740" s="24">
        <v>24368.6666</v>
      </c>
      <c r="R740" s="24">
        <v>6092.1665999999996</v>
      </c>
      <c r="S740" s="24">
        <v>6092.1665999999996</v>
      </c>
      <c r="T740" s="24">
        <v>6092.1665999999996</v>
      </c>
      <c r="U740" s="24">
        <v>6092.1665999999996</v>
      </c>
      <c r="V740" s="24">
        <v>6092.1665999999996</v>
      </c>
      <c r="W740" s="24">
        <v>6092.1665999999996</v>
      </c>
      <c r="X740" s="24">
        <v>6092.1665999999996</v>
      </c>
      <c r="Y740" s="24">
        <v>6092.1665999999996</v>
      </c>
      <c r="Z740" s="24">
        <f t="shared" si="35"/>
        <v>73105.999399999986</v>
      </c>
      <c r="AB740" s="25">
        <v>73105.999399999986</v>
      </c>
      <c r="AC740" s="26">
        <v>73106</v>
      </c>
      <c r="AD740" s="24">
        <v>-6.0000001394655555E-4</v>
      </c>
      <c r="AE740" s="27">
        <f>_xlfn.XLOOKUP(B740,'Projects Cashflow'!$B:$B,'Projects Cashflow'!$AG:$AG,0)</f>
        <v>73106</v>
      </c>
      <c r="AF740" s="28">
        <f t="shared" si="36"/>
        <v>6.0000001394655555E-4</v>
      </c>
    </row>
    <row r="741" spans="2:32" x14ac:dyDescent="0.3">
      <c r="B741" s="14" t="str">
        <f t="shared" si="34"/>
        <v>45131304511001560Influencers-L422511201931</v>
      </c>
      <c r="C741" s="21" t="s">
        <v>319</v>
      </c>
      <c r="D741" s="22">
        <v>4513130</v>
      </c>
      <c r="E741" s="21" t="s">
        <v>320</v>
      </c>
      <c r="F741" s="22">
        <v>4511001560</v>
      </c>
      <c r="G741" s="21" t="s">
        <v>2010</v>
      </c>
      <c r="H741" s="21" t="s">
        <v>2006</v>
      </c>
      <c r="I741" s="22">
        <v>422511</v>
      </c>
      <c r="J741" s="22">
        <v>201931</v>
      </c>
      <c r="K741" s="22" t="s">
        <v>2959</v>
      </c>
      <c r="L741" s="22">
        <v>70601</v>
      </c>
      <c r="M741" s="23" t="s">
        <v>2969</v>
      </c>
      <c r="N741" s="24">
        <v>0</v>
      </c>
      <c r="O741" s="24">
        <v>0</v>
      </c>
      <c r="P741" s="24">
        <v>0</v>
      </c>
      <c r="Q741" s="24">
        <v>4339753.6399999997</v>
      </c>
      <c r="R741" s="24">
        <v>793353.07499999995</v>
      </c>
      <c r="S741" s="24">
        <v>1129870.06</v>
      </c>
      <c r="T741" s="24">
        <v>1129870.06</v>
      </c>
      <c r="U741" s="24">
        <v>1129870.06</v>
      </c>
      <c r="V741" s="24">
        <v>1466394.38</v>
      </c>
      <c r="W741" s="24">
        <v>2158541.7000000002</v>
      </c>
      <c r="X741" s="24">
        <v>1990275.87</v>
      </c>
      <c r="Y741" s="24">
        <v>2116883.4700000002</v>
      </c>
      <c r="Z741" s="24">
        <f t="shared" si="35"/>
        <v>16254812.315000003</v>
      </c>
      <c r="AB741" s="25">
        <v>16254812.315000003</v>
      </c>
      <c r="AC741" s="26">
        <v>16254812</v>
      </c>
      <c r="AD741" s="24">
        <v>0.31500000320374966</v>
      </c>
      <c r="AE741" s="27">
        <f>_xlfn.XLOOKUP(B741,'Projects Cashflow'!$B:$B,'Projects Cashflow'!$AG:$AG,0)</f>
        <v>16254812</v>
      </c>
      <c r="AF741" s="28">
        <f t="shared" si="36"/>
        <v>-0.31500000320374966</v>
      </c>
    </row>
    <row r="742" spans="2:32" x14ac:dyDescent="0.3">
      <c r="B742" s="14" t="str">
        <f t="shared" si="34"/>
        <v>45131304511001561Media Mgmnt &amp;Buy-L422511201931</v>
      </c>
      <c r="C742" s="21" t="s">
        <v>319</v>
      </c>
      <c r="D742" s="22">
        <v>4513130</v>
      </c>
      <c r="E742" s="21" t="s">
        <v>320</v>
      </c>
      <c r="F742" s="22">
        <v>4511001561</v>
      </c>
      <c r="G742" s="21" t="s">
        <v>2012</v>
      </c>
      <c r="H742" s="21" t="s">
        <v>559</v>
      </c>
      <c r="I742" s="22">
        <v>422511</v>
      </c>
      <c r="J742" s="22">
        <v>201931</v>
      </c>
      <c r="K742" s="22" t="s">
        <v>2959</v>
      </c>
      <c r="L742" s="22">
        <v>70601</v>
      </c>
      <c r="M742" s="23" t="s">
        <v>2961</v>
      </c>
      <c r="N742" s="24">
        <v>0</v>
      </c>
      <c r="O742" s="24">
        <v>0</v>
      </c>
      <c r="P742" s="24">
        <v>0</v>
      </c>
      <c r="Q742" s="24">
        <v>0</v>
      </c>
      <c r="R742" s="24">
        <v>30997558.23036306</v>
      </c>
      <c r="S742" s="24">
        <v>21698291.403895594</v>
      </c>
      <c r="T742" s="24">
        <v>15498779.11518153</v>
      </c>
      <c r="U742" s="24">
        <v>12399023.774126314</v>
      </c>
      <c r="V742" s="24">
        <v>12399023.774126314</v>
      </c>
      <c r="W742" s="24">
        <v>10332519.41012102</v>
      </c>
      <c r="X742" s="24">
        <v>0</v>
      </c>
      <c r="Y742" s="24">
        <v>0</v>
      </c>
      <c r="Z742" s="24">
        <f t="shared" si="35"/>
        <v>103325195.70781386</v>
      </c>
      <c r="AB742" s="25">
        <v>103325195.70781386</v>
      </c>
      <c r="AC742" s="26">
        <v>103325196</v>
      </c>
      <c r="AD742" s="24">
        <v>-0.29218614101409912</v>
      </c>
      <c r="AE742" s="27">
        <f>_xlfn.XLOOKUP(B742,'Projects Cashflow'!$B:$B,'Projects Cashflow'!$AG:$AG,0)</f>
        <v>103325196</v>
      </c>
      <c r="AF742" s="28">
        <f t="shared" si="36"/>
        <v>0.29218614101409912</v>
      </c>
    </row>
    <row r="743" spans="2:32" x14ac:dyDescent="0.3">
      <c r="B743" s="14" t="str">
        <f t="shared" si="34"/>
        <v>45131304511001562Media Mgmnt &amp;Buy-L422511201931</v>
      </c>
      <c r="C743" s="21" t="s">
        <v>319</v>
      </c>
      <c r="D743" s="22">
        <v>4513130</v>
      </c>
      <c r="E743" s="21" t="s">
        <v>320</v>
      </c>
      <c r="F743" s="22">
        <v>4511001562</v>
      </c>
      <c r="G743" s="21" t="s">
        <v>2014</v>
      </c>
      <c r="H743" s="21" t="s">
        <v>559</v>
      </c>
      <c r="I743" s="22">
        <v>422511</v>
      </c>
      <c r="J743" s="22">
        <v>201931</v>
      </c>
      <c r="K743" s="22" t="s">
        <v>2959</v>
      </c>
      <c r="L743" s="22">
        <v>70601</v>
      </c>
      <c r="M743" s="23" t="s">
        <v>2961</v>
      </c>
      <c r="N743" s="24">
        <v>0</v>
      </c>
      <c r="O743" s="24">
        <v>0</v>
      </c>
      <c r="P743" s="24">
        <v>0</v>
      </c>
      <c r="Q743" s="24">
        <v>0</v>
      </c>
      <c r="R743" s="24">
        <v>0</v>
      </c>
      <c r="S743" s="24">
        <v>0</v>
      </c>
      <c r="T743" s="24">
        <v>0</v>
      </c>
      <c r="U743" s="24">
        <v>0</v>
      </c>
      <c r="V743" s="24">
        <v>0</v>
      </c>
      <c r="W743" s="24">
        <v>0</v>
      </c>
      <c r="X743" s="24">
        <v>34113021.917937502</v>
      </c>
      <c r="Y743" s="24">
        <v>7491109.8200000003</v>
      </c>
      <c r="Z743" s="24">
        <f t="shared" si="35"/>
        <v>41604131.737937503</v>
      </c>
      <c r="AB743" s="25">
        <v>41604131.737937503</v>
      </c>
      <c r="AC743" s="26">
        <v>41604132</v>
      </c>
      <c r="AD743" s="24">
        <v>-0.26206249743700027</v>
      </c>
      <c r="AE743" s="27">
        <f>_xlfn.XLOOKUP(B743,'Projects Cashflow'!$B:$B,'Projects Cashflow'!$AG:$AG,0)</f>
        <v>41604132</v>
      </c>
      <c r="AF743" s="28">
        <f t="shared" si="36"/>
        <v>0.26206249743700027</v>
      </c>
    </row>
    <row r="744" spans="2:32" x14ac:dyDescent="0.3">
      <c r="B744" s="14" t="str">
        <f t="shared" si="34"/>
        <v>45131304511001563Media Mgmnt &amp;Buy-L422511201931</v>
      </c>
      <c r="C744" s="21" t="s">
        <v>319</v>
      </c>
      <c r="D744" s="22">
        <v>4513130</v>
      </c>
      <c r="E744" s="21" t="s">
        <v>320</v>
      </c>
      <c r="F744" s="22">
        <v>4511001563</v>
      </c>
      <c r="G744" s="21" t="s">
        <v>2016</v>
      </c>
      <c r="H744" s="21" t="s">
        <v>559</v>
      </c>
      <c r="I744" s="22">
        <v>422511</v>
      </c>
      <c r="J744" s="22">
        <v>201931</v>
      </c>
      <c r="K744" s="22" t="s">
        <v>2959</v>
      </c>
      <c r="L744" s="22">
        <v>70601</v>
      </c>
      <c r="M744" s="23" t="s">
        <v>2961</v>
      </c>
      <c r="N744" s="24">
        <v>0</v>
      </c>
      <c r="O744" s="24">
        <v>0</v>
      </c>
      <c r="P744" s="24">
        <v>0</v>
      </c>
      <c r="Q744" s="24">
        <v>0</v>
      </c>
      <c r="R744" s="24">
        <v>35593116</v>
      </c>
      <c r="S744" s="24">
        <v>0</v>
      </c>
      <c r="T744" s="24">
        <v>0</v>
      </c>
      <c r="U744" s="24">
        <v>0</v>
      </c>
      <c r="V744" s="24">
        <v>0</v>
      </c>
      <c r="W744" s="24">
        <v>0</v>
      </c>
      <c r="X744" s="24">
        <v>0</v>
      </c>
      <c r="Y744" s="24">
        <v>0</v>
      </c>
      <c r="Z744" s="24">
        <f t="shared" si="35"/>
        <v>35593116</v>
      </c>
      <c r="AB744" s="25">
        <v>35593116</v>
      </c>
      <c r="AC744" s="26">
        <v>35593116</v>
      </c>
      <c r="AD744" s="24">
        <v>0</v>
      </c>
      <c r="AE744" s="27">
        <f>_xlfn.XLOOKUP(B744,'Projects Cashflow'!$B:$B,'Projects Cashflow'!$AG:$AG,0)</f>
        <v>35593116</v>
      </c>
      <c r="AF744" s="28">
        <f t="shared" si="36"/>
        <v>0</v>
      </c>
    </row>
    <row r="745" spans="2:32" x14ac:dyDescent="0.3">
      <c r="B745" s="14" t="str">
        <f t="shared" si="34"/>
        <v>45131304511001564Media Mgmnt &amp;Buy-L422511201931</v>
      </c>
      <c r="C745" s="21" t="s">
        <v>319</v>
      </c>
      <c r="D745" s="22">
        <v>4513130</v>
      </c>
      <c r="E745" s="21" t="s">
        <v>320</v>
      </c>
      <c r="F745" s="22">
        <v>4511001564</v>
      </c>
      <c r="G745" s="21" t="s">
        <v>2019</v>
      </c>
      <c r="H745" s="21" t="s">
        <v>559</v>
      </c>
      <c r="I745" s="22">
        <v>422511</v>
      </c>
      <c r="J745" s="22">
        <v>201931</v>
      </c>
      <c r="K745" s="22" t="s">
        <v>2959</v>
      </c>
      <c r="L745" s="22">
        <v>70601</v>
      </c>
      <c r="M745" s="23" t="s">
        <v>2969</v>
      </c>
      <c r="N745" s="24">
        <v>0</v>
      </c>
      <c r="O745" s="24">
        <v>0</v>
      </c>
      <c r="P745" s="24">
        <v>0</v>
      </c>
      <c r="Q745" s="24">
        <v>0</v>
      </c>
      <c r="R745" s="24">
        <v>8302467.3583361516</v>
      </c>
      <c r="S745" s="24">
        <v>5811727.3229620792</v>
      </c>
      <c r="T745" s="24">
        <v>4151233.6791680758</v>
      </c>
      <c r="U745" s="24">
        <v>3320987.0724295406</v>
      </c>
      <c r="V745" s="24">
        <v>3320987.0724295406</v>
      </c>
      <c r="W745" s="24">
        <v>2767489.1194453835</v>
      </c>
      <c r="X745" s="24">
        <v>0</v>
      </c>
      <c r="Y745" s="24">
        <v>0</v>
      </c>
      <c r="Z745" s="24">
        <f t="shared" si="35"/>
        <v>27674891.624770772</v>
      </c>
      <c r="AB745" s="25">
        <v>27674891.624770772</v>
      </c>
      <c r="AC745" s="26">
        <v>27674893</v>
      </c>
      <c r="AD745" s="24">
        <v>-1.3752292282879353</v>
      </c>
      <c r="AE745" s="27">
        <f>_xlfn.XLOOKUP(B745,'Projects Cashflow'!$B:$B,'Projects Cashflow'!$AG:$AG,0)</f>
        <v>27674893</v>
      </c>
      <c r="AF745" s="28">
        <f t="shared" si="36"/>
        <v>1.3752292282879353</v>
      </c>
    </row>
    <row r="746" spans="2:32" x14ac:dyDescent="0.3">
      <c r="B746" s="14" t="str">
        <f t="shared" si="34"/>
        <v>45131304511001565Media Mgmnt &amp;Buy-L422511201931</v>
      </c>
      <c r="C746" s="21" t="s">
        <v>319</v>
      </c>
      <c r="D746" s="22">
        <v>4513130</v>
      </c>
      <c r="E746" s="21" t="s">
        <v>320</v>
      </c>
      <c r="F746" s="22">
        <v>4511001565</v>
      </c>
      <c r="G746" s="21" t="s">
        <v>2021</v>
      </c>
      <c r="H746" s="21" t="s">
        <v>559</v>
      </c>
      <c r="I746" s="22">
        <v>422511</v>
      </c>
      <c r="J746" s="22">
        <v>201931</v>
      </c>
      <c r="K746" s="22" t="s">
        <v>2959</v>
      </c>
      <c r="L746" s="22">
        <v>70601</v>
      </c>
      <c r="M746" s="23" t="s">
        <v>2969</v>
      </c>
      <c r="N746" s="24">
        <v>0</v>
      </c>
      <c r="O746" s="24">
        <v>0</v>
      </c>
      <c r="P746" s="24">
        <v>0</v>
      </c>
      <c r="Q746" s="24">
        <v>0</v>
      </c>
      <c r="R746" s="24">
        <v>19631222</v>
      </c>
      <c r="S746" s="24">
        <v>0</v>
      </c>
      <c r="T746" s="24">
        <v>0</v>
      </c>
      <c r="U746" s="24">
        <v>0</v>
      </c>
      <c r="V746" s="24">
        <v>0</v>
      </c>
      <c r="W746" s="24">
        <v>0</v>
      </c>
      <c r="X746" s="24">
        <v>0</v>
      </c>
      <c r="Y746" s="24">
        <v>0</v>
      </c>
      <c r="Z746" s="24">
        <f t="shared" si="35"/>
        <v>19631222</v>
      </c>
      <c r="AB746" s="25">
        <v>19631222</v>
      </c>
      <c r="AC746" s="26">
        <v>19631222</v>
      </c>
      <c r="AD746" s="24">
        <v>0</v>
      </c>
      <c r="AE746" s="27">
        <f>_xlfn.XLOOKUP(B746,'Projects Cashflow'!$B:$B,'Projects Cashflow'!$AG:$AG,0)</f>
        <v>19631222</v>
      </c>
      <c r="AF746" s="28">
        <f t="shared" si="36"/>
        <v>0</v>
      </c>
    </row>
    <row r="747" spans="2:32" x14ac:dyDescent="0.3">
      <c r="B747" s="14" t="str">
        <f t="shared" si="34"/>
        <v>45131304511001566Media Mgmnt &amp;Buy-L422511201931</v>
      </c>
      <c r="C747" s="21" t="s">
        <v>319</v>
      </c>
      <c r="D747" s="22">
        <v>4513130</v>
      </c>
      <c r="E747" s="21" t="s">
        <v>320</v>
      </c>
      <c r="F747" s="22">
        <v>4511001566</v>
      </c>
      <c r="G747" s="21" t="s">
        <v>2023</v>
      </c>
      <c r="H747" s="21" t="s">
        <v>559</v>
      </c>
      <c r="I747" s="22">
        <v>422511</v>
      </c>
      <c r="J747" s="22">
        <v>201931</v>
      </c>
      <c r="K747" s="22" t="s">
        <v>2959</v>
      </c>
      <c r="L747" s="22">
        <v>70601</v>
      </c>
      <c r="M747" s="23" t="s">
        <v>2969</v>
      </c>
      <c r="N747" s="24">
        <v>0</v>
      </c>
      <c r="O747" s="24">
        <v>0</v>
      </c>
      <c r="P747" s="24">
        <v>0</v>
      </c>
      <c r="Q747" s="24">
        <v>0</v>
      </c>
      <c r="R747" s="24">
        <v>0</v>
      </c>
      <c r="S747" s="24">
        <v>0</v>
      </c>
      <c r="T747" s="24">
        <v>0</v>
      </c>
      <c r="U747" s="24">
        <v>0</v>
      </c>
      <c r="V747" s="24">
        <v>0</v>
      </c>
      <c r="W747" s="24">
        <v>0</v>
      </c>
      <c r="X747" s="24">
        <v>15714076.802101061</v>
      </c>
      <c r="Y747" s="24">
        <v>0</v>
      </c>
      <c r="Z747" s="24">
        <f t="shared" si="35"/>
        <v>15714076.802101061</v>
      </c>
      <c r="AB747" s="25">
        <v>15714076.802101061</v>
      </c>
      <c r="AC747" s="26">
        <v>15714077</v>
      </c>
      <c r="AD747" s="24">
        <v>-0.19789893925189972</v>
      </c>
      <c r="AE747" s="27">
        <f>_xlfn.XLOOKUP(B747,'Projects Cashflow'!$B:$B,'Projects Cashflow'!$AG:$AG,0)</f>
        <v>15714077</v>
      </c>
      <c r="AF747" s="28">
        <f t="shared" si="36"/>
        <v>0.19789893925189972</v>
      </c>
    </row>
    <row r="748" spans="2:32" x14ac:dyDescent="0.3">
      <c r="B748" s="14" t="str">
        <f t="shared" si="34"/>
        <v>45131304511001567Media Mgmnt &amp;Buy-L422511201931</v>
      </c>
      <c r="C748" s="21" t="s">
        <v>319</v>
      </c>
      <c r="D748" s="22">
        <v>4513130</v>
      </c>
      <c r="E748" s="21" t="s">
        <v>320</v>
      </c>
      <c r="F748" s="22">
        <v>4511001567</v>
      </c>
      <c r="G748" s="21" t="s">
        <v>2025</v>
      </c>
      <c r="H748" s="21" t="s">
        <v>559</v>
      </c>
      <c r="I748" s="22">
        <v>422511</v>
      </c>
      <c r="J748" s="22">
        <v>201931</v>
      </c>
      <c r="K748" s="22" t="s">
        <v>2959</v>
      </c>
      <c r="L748" s="22">
        <v>70601</v>
      </c>
      <c r="M748" s="23" t="s">
        <v>2961</v>
      </c>
      <c r="N748" s="24">
        <v>0</v>
      </c>
      <c r="O748" s="24">
        <v>0</v>
      </c>
      <c r="P748" s="24">
        <v>0</v>
      </c>
      <c r="Q748" s="24">
        <v>0</v>
      </c>
      <c r="R748" s="24">
        <v>4487518.4721926767</v>
      </c>
      <c r="S748" s="24">
        <v>2804699.5569725153</v>
      </c>
      <c r="T748" s="24">
        <v>2243759.7798041557</v>
      </c>
      <c r="U748" s="24">
        <v>1682820.0026357959</v>
      </c>
      <c r="V748" s="24">
        <v>1402349.7823927193</v>
      </c>
      <c r="W748" s="24">
        <v>1402349.7823927193</v>
      </c>
      <c r="X748" s="24">
        <v>0</v>
      </c>
      <c r="Y748" s="24">
        <v>0</v>
      </c>
      <c r="Z748" s="24">
        <f t="shared" si="35"/>
        <v>14023497.376390582</v>
      </c>
      <c r="AB748" s="25">
        <v>14023497.376390582</v>
      </c>
      <c r="AC748" s="26">
        <v>14023498</v>
      </c>
      <c r="AD748" s="24">
        <v>-0.62360941804945469</v>
      </c>
      <c r="AE748" s="27">
        <f>_xlfn.XLOOKUP(B748,'Projects Cashflow'!$B:$B,'Projects Cashflow'!$AG:$AG,0)</f>
        <v>14023498</v>
      </c>
      <c r="AF748" s="28">
        <f t="shared" si="36"/>
        <v>0.62360941804945469</v>
      </c>
    </row>
    <row r="749" spans="2:32" x14ac:dyDescent="0.3">
      <c r="B749" s="14" t="str">
        <f t="shared" si="34"/>
        <v>45131304511001568Media Mgmnt &amp;Buy-L422511201931</v>
      </c>
      <c r="C749" s="21" t="s">
        <v>319</v>
      </c>
      <c r="D749" s="22">
        <v>4513130</v>
      </c>
      <c r="E749" s="21" t="s">
        <v>320</v>
      </c>
      <c r="F749" s="22">
        <v>4511001568</v>
      </c>
      <c r="G749" s="21" t="s">
        <v>2027</v>
      </c>
      <c r="H749" s="21" t="s">
        <v>559</v>
      </c>
      <c r="I749" s="22">
        <v>422511</v>
      </c>
      <c r="J749" s="22">
        <v>201931</v>
      </c>
      <c r="K749" s="22" t="s">
        <v>2959</v>
      </c>
      <c r="L749" s="22">
        <v>70601</v>
      </c>
      <c r="M749" s="23" t="s">
        <v>2961</v>
      </c>
      <c r="N749" s="24">
        <v>0</v>
      </c>
      <c r="O749" s="24">
        <v>0</v>
      </c>
      <c r="P749" s="24">
        <v>0</v>
      </c>
      <c r="Q749" s="24">
        <v>0</v>
      </c>
      <c r="R749" s="24">
        <v>7651644</v>
      </c>
      <c r="S749" s="24">
        <v>0</v>
      </c>
      <c r="T749" s="24">
        <v>0</v>
      </c>
      <c r="U749" s="24">
        <v>0</v>
      </c>
      <c r="V749" s="24">
        <v>0</v>
      </c>
      <c r="W749" s="24">
        <v>0</v>
      </c>
      <c r="X749" s="24">
        <v>0</v>
      </c>
      <c r="Y749" s="24">
        <v>0</v>
      </c>
      <c r="Z749" s="24">
        <f t="shared" si="35"/>
        <v>7651644</v>
      </c>
      <c r="AB749" s="25">
        <v>7651644</v>
      </c>
      <c r="AC749" s="26">
        <v>7651644</v>
      </c>
      <c r="AD749" s="24">
        <v>0</v>
      </c>
      <c r="AE749" s="27">
        <f>_xlfn.XLOOKUP(B749,'Projects Cashflow'!$B:$B,'Projects Cashflow'!$AG:$AG,0)</f>
        <v>7651644</v>
      </c>
      <c r="AF749" s="28">
        <f t="shared" si="36"/>
        <v>0</v>
      </c>
    </row>
    <row r="750" spans="2:32" x14ac:dyDescent="0.3">
      <c r="B750" s="14" t="str">
        <f t="shared" si="34"/>
        <v>45131304511001568Talent Fees-L422511201931</v>
      </c>
      <c r="C750" s="21" t="s">
        <v>319</v>
      </c>
      <c r="D750" s="22">
        <v>4513130</v>
      </c>
      <c r="E750" s="21" t="s">
        <v>320</v>
      </c>
      <c r="F750" s="22">
        <v>4511001568</v>
      </c>
      <c r="G750" s="21" t="s">
        <v>2027</v>
      </c>
      <c r="H750" s="21" t="s">
        <v>1580</v>
      </c>
      <c r="I750" s="22">
        <v>422511</v>
      </c>
      <c r="J750" s="22">
        <v>201931</v>
      </c>
      <c r="K750" s="22" t="s">
        <v>2959</v>
      </c>
      <c r="L750" s="22">
        <v>70601</v>
      </c>
      <c r="M750" s="23" t="s">
        <v>2961</v>
      </c>
      <c r="N750" s="24">
        <v>0</v>
      </c>
      <c r="O750" s="24">
        <v>0</v>
      </c>
      <c r="P750" s="24">
        <v>0</v>
      </c>
      <c r="Q750" s="24">
        <v>0</v>
      </c>
      <c r="R750" s="24">
        <v>0</v>
      </c>
      <c r="S750" s="24">
        <v>0</v>
      </c>
      <c r="T750" s="24">
        <v>0</v>
      </c>
      <c r="U750" s="24">
        <v>0</v>
      </c>
      <c r="V750" s="24">
        <v>0</v>
      </c>
      <c r="W750" s="24">
        <v>0</v>
      </c>
      <c r="X750" s="24">
        <v>7046400</v>
      </c>
      <c r="Y750" s="24">
        <v>0</v>
      </c>
      <c r="Z750" s="24">
        <f t="shared" si="35"/>
        <v>7046400</v>
      </c>
      <c r="AB750" s="25">
        <v>7051900</v>
      </c>
      <c r="AC750" s="26">
        <v>7051900</v>
      </c>
      <c r="AD750" s="32">
        <v>0</v>
      </c>
      <c r="AE750" s="27">
        <f>_xlfn.XLOOKUP(B750,'Projects Cashflow'!$B:$B,'Projects Cashflow'!$AG:$AG,0)</f>
        <v>7051900</v>
      </c>
      <c r="AF750" s="28">
        <f t="shared" si="36"/>
        <v>0</v>
      </c>
    </row>
    <row r="751" spans="2:32" x14ac:dyDescent="0.3">
      <c r="B751" s="14" t="str">
        <f t="shared" si="34"/>
        <v>45131304511001569Media Mgmnt &amp;Buy-L422511201931</v>
      </c>
      <c r="C751" s="21" t="s">
        <v>319</v>
      </c>
      <c r="D751" s="22">
        <v>4513130</v>
      </c>
      <c r="E751" s="21" t="s">
        <v>320</v>
      </c>
      <c r="F751" s="22">
        <v>4511001569</v>
      </c>
      <c r="G751" s="21" t="s">
        <v>2029</v>
      </c>
      <c r="H751" s="21" t="s">
        <v>559</v>
      </c>
      <c r="I751" s="22">
        <v>422511</v>
      </c>
      <c r="J751" s="22">
        <v>201931</v>
      </c>
      <c r="K751" s="22" t="s">
        <v>2959</v>
      </c>
      <c r="L751" s="22">
        <v>70601</v>
      </c>
      <c r="M751" s="23" t="s">
        <v>2961</v>
      </c>
      <c r="N751" s="24">
        <v>0</v>
      </c>
      <c r="O751" s="24">
        <v>0</v>
      </c>
      <c r="P751" s="24">
        <v>0</v>
      </c>
      <c r="Q751" s="24">
        <v>0</v>
      </c>
      <c r="R751" s="24">
        <v>920651.92965688184</v>
      </c>
      <c r="S751" s="24">
        <v>920651.92965688184</v>
      </c>
      <c r="T751" s="24">
        <v>920651.92965688184</v>
      </c>
      <c r="U751" s="24">
        <v>920651.92965688184</v>
      </c>
      <c r="V751" s="24">
        <v>920651.92965688184</v>
      </c>
      <c r="W751" s="24">
        <v>920651.92965688184</v>
      </c>
      <c r="X751" s="24">
        <v>920651.92965688184</v>
      </c>
      <c r="Y751" s="24">
        <v>920651.92965688184</v>
      </c>
      <c r="Z751" s="24">
        <f t="shared" si="35"/>
        <v>7365215.4372550547</v>
      </c>
      <c r="AB751" s="25">
        <v>7365215.4372550547</v>
      </c>
      <c r="AC751" s="26">
        <v>7365215</v>
      </c>
      <c r="AD751" s="24">
        <v>0.43725505471229553</v>
      </c>
      <c r="AE751" s="27">
        <f>_xlfn.XLOOKUP(B751,'Projects Cashflow'!$B:$B,'Projects Cashflow'!$AG:$AG,0)</f>
        <v>7365215</v>
      </c>
      <c r="AF751" s="28">
        <f t="shared" si="36"/>
        <v>-0.43725505471229553</v>
      </c>
    </row>
    <row r="752" spans="2:32" x14ac:dyDescent="0.3">
      <c r="B752" s="14" t="str">
        <f t="shared" si="34"/>
        <v>45131304511001570Media Mgmnt &amp;Buy-L422511201931</v>
      </c>
      <c r="C752" s="21" t="s">
        <v>319</v>
      </c>
      <c r="D752" s="22">
        <v>4513130</v>
      </c>
      <c r="E752" s="21" t="s">
        <v>320</v>
      </c>
      <c r="F752" s="22">
        <v>4511001570</v>
      </c>
      <c r="G752" s="21" t="s">
        <v>2031</v>
      </c>
      <c r="H752" s="21" t="s">
        <v>559</v>
      </c>
      <c r="I752" s="22">
        <v>422511</v>
      </c>
      <c r="J752" s="22">
        <v>201931</v>
      </c>
      <c r="K752" s="22" t="s">
        <v>2959</v>
      </c>
      <c r="L752" s="22">
        <v>70601</v>
      </c>
      <c r="M752" s="23" t="s">
        <v>2961</v>
      </c>
      <c r="N752" s="24">
        <v>0</v>
      </c>
      <c r="O752" s="24">
        <v>0</v>
      </c>
      <c r="P752" s="24">
        <v>0</v>
      </c>
      <c r="Q752" s="24">
        <v>0</v>
      </c>
      <c r="R752" s="24">
        <v>2301642.5208128928</v>
      </c>
      <c r="S752" s="24">
        <v>552394.64093838399</v>
      </c>
      <c r="T752" s="24">
        <v>552394.64093838399</v>
      </c>
      <c r="U752" s="24">
        <v>460327.05101827963</v>
      </c>
      <c r="V752" s="24">
        <v>460327.05101827963</v>
      </c>
      <c r="W752" s="24">
        <v>460327.05101827963</v>
      </c>
      <c r="X752" s="24">
        <v>1104785.6490160206</v>
      </c>
      <c r="Y752" s="24">
        <v>1105023.6490160199</v>
      </c>
      <c r="Z752" s="24">
        <f t="shared" si="35"/>
        <v>6997222.253776541</v>
      </c>
      <c r="AB752" s="25">
        <v>6997222.253776541</v>
      </c>
      <c r="AC752" s="26">
        <v>6997222</v>
      </c>
      <c r="AD752" s="24">
        <v>0.253776540979743</v>
      </c>
      <c r="AE752" s="27">
        <f>_xlfn.XLOOKUP(B752,'Projects Cashflow'!$B:$B,'Projects Cashflow'!$AG:$AG,0)</f>
        <v>6997222</v>
      </c>
      <c r="AF752" s="28">
        <f t="shared" si="36"/>
        <v>-0.253776540979743</v>
      </c>
    </row>
    <row r="753" spans="2:32" x14ac:dyDescent="0.3">
      <c r="B753" s="14" t="str">
        <f t="shared" si="34"/>
        <v>45131304511001571Media Mgmnt &amp;Buy-L422511201931</v>
      </c>
      <c r="C753" s="21" t="s">
        <v>319</v>
      </c>
      <c r="D753" s="22">
        <v>4513130</v>
      </c>
      <c r="E753" s="21" t="s">
        <v>320</v>
      </c>
      <c r="F753" s="22">
        <v>4511001571</v>
      </c>
      <c r="G753" s="21" t="s">
        <v>2033</v>
      </c>
      <c r="H753" s="21" t="s">
        <v>559</v>
      </c>
      <c r="I753" s="22">
        <v>422511</v>
      </c>
      <c r="J753" s="22">
        <v>201931</v>
      </c>
      <c r="K753" s="22" t="s">
        <v>2959</v>
      </c>
      <c r="L753" s="22">
        <v>70601</v>
      </c>
      <c r="M753" s="23" t="s">
        <v>2961</v>
      </c>
      <c r="N753" s="24">
        <v>0</v>
      </c>
      <c r="O753" s="24">
        <v>0</v>
      </c>
      <c r="P753" s="24">
        <v>0</v>
      </c>
      <c r="Q753" s="24">
        <v>0</v>
      </c>
      <c r="R753" s="24">
        <v>0</v>
      </c>
      <c r="S753" s="24">
        <v>0</v>
      </c>
      <c r="T753" s="24">
        <v>0</v>
      </c>
      <c r="U753" s="24">
        <v>0</v>
      </c>
      <c r="V753" s="24">
        <v>1431604.7386653926</v>
      </c>
      <c r="W753" s="24">
        <v>1431604.7386653926</v>
      </c>
      <c r="X753" s="24">
        <v>1431604.7386653926</v>
      </c>
      <c r="Y753" s="24">
        <v>1431604.7386653926</v>
      </c>
      <c r="Z753" s="24">
        <f t="shared" si="35"/>
        <v>5726418.9546615705</v>
      </c>
      <c r="AB753" s="25">
        <v>5726418.9546615705</v>
      </c>
      <c r="AC753" s="26">
        <v>5726419</v>
      </c>
      <c r="AD753" s="24">
        <v>-4.5338429510593414E-2</v>
      </c>
      <c r="AE753" s="27">
        <f>_xlfn.XLOOKUP(B753,'Projects Cashflow'!$B:$B,'Projects Cashflow'!$AG:$AG,0)</f>
        <v>5726419</v>
      </c>
      <c r="AF753" s="28">
        <f t="shared" si="36"/>
        <v>4.5338429510593414E-2</v>
      </c>
    </row>
    <row r="754" spans="2:32" x14ac:dyDescent="0.3">
      <c r="B754" s="14" t="str">
        <f t="shared" si="34"/>
        <v>45131304511001572Media Mgmnt &amp;Buy-L422511201931</v>
      </c>
      <c r="C754" s="21" t="s">
        <v>319</v>
      </c>
      <c r="D754" s="22">
        <v>4513130</v>
      </c>
      <c r="E754" s="21" t="s">
        <v>320</v>
      </c>
      <c r="F754" s="22">
        <v>4511001572</v>
      </c>
      <c r="G754" s="21" t="s">
        <v>2035</v>
      </c>
      <c r="H754" s="21" t="s">
        <v>559</v>
      </c>
      <c r="I754" s="22">
        <v>422511</v>
      </c>
      <c r="J754" s="22">
        <v>201931</v>
      </c>
      <c r="K754" s="22" t="s">
        <v>2959</v>
      </c>
      <c r="L754" s="22">
        <v>70601</v>
      </c>
      <c r="M754" s="23" t="s">
        <v>2961</v>
      </c>
      <c r="N754" s="24">
        <v>0</v>
      </c>
      <c r="O754" s="24">
        <v>0</v>
      </c>
      <c r="P754" s="24">
        <v>0</v>
      </c>
      <c r="Q754" s="24">
        <v>0</v>
      </c>
      <c r="R754" s="24">
        <v>1768661.5251267049</v>
      </c>
      <c r="S754" s="24">
        <v>408152.65964462422</v>
      </c>
      <c r="T754" s="24">
        <v>408152.65964462422</v>
      </c>
      <c r="U754" s="24">
        <v>408152.65964462422</v>
      </c>
      <c r="V754" s="24">
        <v>408152.65964462422</v>
      </c>
      <c r="W754" s="24">
        <v>408152.65964462422</v>
      </c>
      <c r="X754" s="24">
        <v>680254.43274104036</v>
      </c>
      <c r="Y754" s="24">
        <v>816305.31928924844</v>
      </c>
      <c r="Z754" s="24">
        <f t="shared" si="35"/>
        <v>5305984.5753801148</v>
      </c>
      <c r="AB754" s="25">
        <v>5305984.5753801148</v>
      </c>
      <c r="AC754" s="26">
        <v>5305985</v>
      </c>
      <c r="AD754" s="24">
        <v>-0.42461988516151905</v>
      </c>
      <c r="AE754" s="27">
        <f>_xlfn.XLOOKUP(B754,'Projects Cashflow'!$B:$B,'Projects Cashflow'!$AG:$AG,0)</f>
        <v>5305985</v>
      </c>
      <c r="AF754" s="28">
        <f t="shared" si="36"/>
        <v>0.42461988516151905</v>
      </c>
    </row>
    <row r="755" spans="2:32" x14ac:dyDescent="0.3">
      <c r="B755" s="14" t="str">
        <f t="shared" si="34"/>
        <v>45131304511001573Media Mgmnt &amp;Buy-L422511201931</v>
      </c>
      <c r="C755" s="21" t="s">
        <v>319</v>
      </c>
      <c r="D755" s="22">
        <v>4513130</v>
      </c>
      <c r="E755" s="21" t="s">
        <v>320</v>
      </c>
      <c r="F755" s="22">
        <v>4511001573</v>
      </c>
      <c r="G755" s="21" t="s">
        <v>2037</v>
      </c>
      <c r="H755" s="21" t="s">
        <v>559</v>
      </c>
      <c r="I755" s="22">
        <v>422511</v>
      </c>
      <c r="J755" s="22">
        <v>201931</v>
      </c>
      <c r="K755" s="22" t="s">
        <v>2959</v>
      </c>
      <c r="L755" s="22">
        <v>70601</v>
      </c>
      <c r="M755" s="23" t="s">
        <v>2961</v>
      </c>
      <c r="N755" s="24">
        <v>0</v>
      </c>
      <c r="O755" s="24">
        <v>0</v>
      </c>
      <c r="P755" s="24">
        <v>0</v>
      </c>
      <c r="Q755" s="24">
        <v>0</v>
      </c>
      <c r="R755" s="24">
        <v>5225096.5493218023</v>
      </c>
      <c r="S755" s="24">
        <v>0</v>
      </c>
      <c r="T755" s="24">
        <v>0</v>
      </c>
      <c r="U755" s="24">
        <v>0</v>
      </c>
      <c r="V755" s="24">
        <v>0</v>
      </c>
      <c r="W755" s="24">
        <v>0</v>
      </c>
      <c r="X755" s="24">
        <v>0</v>
      </c>
      <c r="Y755" s="24">
        <v>0</v>
      </c>
      <c r="Z755" s="24">
        <f t="shared" si="35"/>
        <v>5225096.5493218023</v>
      </c>
      <c r="AB755" s="25">
        <v>5225096.5493218023</v>
      </c>
      <c r="AC755" s="26">
        <v>5225097</v>
      </c>
      <c r="AD755" s="24">
        <v>-0.45067819766700268</v>
      </c>
      <c r="AE755" s="27">
        <f>_xlfn.XLOOKUP(B755,'Projects Cashflow'!$B:$B,'Projects Cashflow'!$AG:$AG,0)</f>
        <v>5225097</v>
      </c>
      <c r="AF755" s="28">
        <f t="shared" si="36"/>
        <v>0.45067819766700268</v>
      </c>
    </row>
    <row r="756" spans="2:32" x14ac:dyDescent="0.3">
      <c r="B756" s="14" t="str">
        <f t="shared" si="34"/>
        <v>45131304511001574Media Mgmnt &amp;Buy-L422511201931</v>
      </c>
      <c r="C756" s="21" t="s">
        <v>319</v>
      </c>
      <c r="D756" s="22">
        <v>4513130</v>
      </c>
      <c r="E756" s="21" t="s">
        <v>320</v>
      </c>
      <c r="F756" s="22">
        <v>4511001574</v>
      </c>
      <c r="G756" s="21" t="s">
        <v>2039</v>
      </c>
      <c r="H756" s="21" t="s">
        <v>559</v>
      </c>
      <c r="I756" s="22">
        <v>422511</v>
      </c>
      <c r="J756" s="22">
        <v>201931</v>
      </c>
      <c r="K756" s="22" t="s">
        <v>2959</v>
      </c>
      <c r="L756" s="22">
        <v>70601</v>
      </c>
      <c r="M756" s="23" t="s">
        <v>2969</v>
      </c>
      <c r="N756" s="24">
        <v>0</v>
      </c>
      <c r="O756" s="24">
        <v>0</v>
      </c>
      <c r="P756" s="24">
        <v>0</v>
      </c>
      <c r="Q756" s="24">
        <v>0</v>
      </c>
      <c r="R756" s="24">
        <v>1686637.2256919059</v>
      </c>
      <c r="S756" s="24">
        <v>404793.2536240854</v>
      </c>
      <c r="T756" s="24">
        <v>404793.2536240854</v>
      </c>
      <c r="U756" s="24">
        <v>337326.3802782881</v>
      </c>
      <c r="V756" s="24">
        <v>337326.3802782881</v>
      </c>
      <c r="W756" s="24">
        <v>337326.3802782881</v>
      </c>
      <c r="X756" s="24">
        <v>809583.84509793809</v>
      </c>
      <c r="Y756" s="24">
        <v>809583.84509793809</v>
      </c>
      <c r="Z756" s="24">
        <f t="shared" si="35"/>
        <v>5127370.5639708173</v>
      </c>
      <c r="AB756" s="25">
        <v>5127370.5639708173</v>
      </c>
      <c r="AC756" s="26">
        <v>5127372</v>
      </c>
      <c r="AD756" s="24">
        <v>-1.4360291827470064</v>
      </c>
      <c r="AE756" s="27">
        <f>_xlfn.XLOOKUP(B756,'Projects Cashflow'!$B:$B,'Projects Cashflow'!$AG:$AG,0)</f>
        <v>5127372</v>
      </c>
      <c r="AF756" s="28">
        <f t="shared" si="36"/>
        <v>1.4360291827470064</v>
      </c>
    </row>
    <row r="757" spans="2:32" x14ac:dyDescent="0.3">
      <c r="B757" s="14" t="str">
        <f t="shared" si="34"/>
        <v>45131304511001575Media Mgmnt &amp;Buy-L422511201931</v>
      </c>
      <c r="C757" s="21" t="s">
        <v>319</v>
      </c>
      <c r="D757" s="22">
        <v>4513130</v>
      </c>
      <c r="E757" s="21" t="s">
        <v>320</v>
      </c>
      <c r="F757" s="22">
        <v>4511001575</v>
      </c>
      <c r="G757" s="21" t="s">
        <v>2041</v>
      </c>
      <c r="H757" s="21" t="s">
        <v>559</v>
      </c>
      <c r="I757" s="22">
        <v>422511</v>
      </c>
      <c r="J757" s="22">
        <v>201931</v>
      </c>
      <c r="K757" s="22" t="s">
        <v>2959</v>
      </c>
      <c r="L757" s="22">
        <v>70601</v>
      </c>
      <c r="M757" s="23" t="s">
        <v>2961</v>
      </c>
      <c r="N757" s="24">
        <v>0</v>
      </c>
      <c r="O757" s="24">
        <v>0</v>
      </c>
      <c r="P757" s="24">
        <v>0</v>
      </c>
      <c r="Q757" s="24">
        <v>0</v>
      </c>
      <c r="R757" s="24">
        <v>1514201.449646214</v>
      </c>
      <c r="S757" s="24">
        <v>946376.07874063647</v>
      </c>
      <c r="T757" s="24">
        <v>757100.90828378126</v>
      </c>
      <c r="U757" s="24">
        <v>567825.73782692628</v>
      </c>
      <c r="V757" s="24">
        <v>473188.04068845644</v>
      </c>
      <c r="W757" s="24">
        <v>473188.04068845644</v>
      </c>
      <c r="X757" s="24">
        <v>0</v>
      </c>
      <c r="Y757" s="24">
        <v>0</v>
      </c>
      <c r="Z757" s="24">
        <f t="shared" si="35"/>
        <v>4731880.2558744699</v>
      </c>
      <c r="AB757" s="25">
        <v>4731880.2558744699</v>
      </c>
      <c r="AC757" s="26">
        <v>4731881</v>
      </c>
      <c r="AD757" s="24">
        <v>-0.74412553012371063</v>
      </c>
      <c r="AE757" s="27">
        <f>_xlfn.XLOOKUP(B757,'Projects Cashflow'!$B:$B,'Projects Cashflow'!$AG:$AG,0)</f>
        <v>4731881</v>
      </c>
      <c r="AF757" s="28">
        <f t="shared" si="36"/>
        <v>0.74412553012371063</v>
      </c>
    </row>
    <row r="758" spans="2:32" x14ac:dyDescent="0.3">
      <c r="B758" s="14" t="str">
        <f t="shared" si="34"/>
        <v>45131304511001576Media Mgmnt &amp;Buy-L422511201931</v>
      </c>
      <c r="C758" s="21" t="s">
        <v>319</v>
      </c>
      <c r="D758" s="22">
        <v>4513130</v>
      </c>
      <c r="E758" s="21" t="s">
        <v>320</v>
      </c>
      <c r="F758" s="22">
        <v>4511001576</v>
      </c>
      <c r="G758" s="21" t="s">
        <v>2043</v>
      </c>
      <c r="H758" s="21" t="s">
        <v>559</v>
      </c>
      <c r="I758" s="22">
        <v>422511</v>
      </c>
      <c r="J758" s="22">
        <v>201931</v>
      </c>
      <c r="K758" s="22" t="s">
        <v>2959</v>
      </c>
      <c r="L758" s="22">
        <v>70601</v>
      </c>
      <c r="M758" s="23" t="s">
        <v>2961</v>
      </c>
      <c r="N758" s="24">
        <v>0</v>
      </c>
      <c r="O758" s="24">
        <v>0</v>
      </c>
      <c r="P758" s="24">
        <v>0</v>
      </c>
      <c r="Q758" s="24">
        <v>0</v>
      </c>
      <c r="R758" s="24">
        <v>2556560.8972279606</v>
      </c>
      <c r="S758" s="24">
        <v>0</v>
      </c>
      <c r="T758" s="24">
        <v>0</v>
      </c>
      <c r="U758" s="24">
        <v>0</v>
      </c>
      <c r="V758" s="24">
        <v>0</v>
      </c>
      <c r="W758" s="24">
        <v>0</v>
      </c>
      <c r="X758" s="24">
        <v>0</v>
      </c>
      <c r="Y758" s="24">
        <v>0</v>
      </c>
      <c r="Z758" s="24">
        <f t="shared" si="35"/>
        <v>2556560.8972279606</v>
      </c>
      <c r="AB758" s="25">
        <v>2556560.8972279606</v>
      </c>
      <c r="AC758" s="26">
        <v>2556561</v>
      </c>
      <c r="AD758" s="24">
        <v>-0.10277203936129808</v>
      </c>
      <c r="AE758" s="27">
        <f>_xlfn.XLOOKUP(B758,'Projects Cashflow'!$B:$B,'Projects Cashflow'!$AG:$AG,0)</f>
        <v>2556561</v>
      </c>
      <c r="AF758" s="28">
        <f t="shared" si="36"/>
        <v>0.10277203936129808</v>
      </c>
    </row>
    <row r="759" spans="2:32" x14ac:dyDescent="0.3">
      <c r="B759" s="14" t="str">
        <f t="shared" si="34"/>
        <v>45131304511001577Media Mgmnt &amp;Buy-L422511201931</v>
      </c>
      <c r="C759" s="21" t="s">
        <v>319</v>
      </c>
      <c r="D759" s="22">
        <v>4513130</v>
      </c>
      <c r="E759" s="21" t="s">
        <v>320</v>
      </c>
      <c r="F759" s="22">
        <v>4511001577</v>
      </c>
      <c r="G759" s="21" t="s">
        <v>2045</v>
      </c>
      <c r="H759" s="21" t="s">
        <v>559</v>
      </c>
      <c r="I759" s="22">
        <v>422511</v>
      </c>
      <c r="J759" s="22">
        <v>201931</v>
      </c>
      <c r="K759" s="22" t="s">
        <v>2959</v>
      </c>
      <c r="L759" s="22">
        <v>70601</v>
      </c>
      <c r="M759" s="23" t="s">
        <v>2969</v>
      </c>
      <c r="N759" s="24">
        <v>0</v>
      </c>
      <c r="O759" s="24">
        <v>0</v>
      </c>
      <c r="P759" s="24">
        <v>0</v>
      </c>
      <c r="Q759" s="24">
        <v>0</v>
      </c>
      <c r="R759" s="24">
        <v>753600.37238312198</v>
      </c>
      <c r="S759" s="24">
        <v>471000.31869607291</v>
      </c>
      <c r="T759" s="24">
        <v>376800.27749779535</v>
      </c>
      <c r="U759" s="24">
        <v>282600.23629951786</v>
      </c>
      <c r="V759" s="24">
        <v>235500.16000405845</v>
      </c>
      <c r="W759" s="24">
        <v>235500.16000405845</v>
      </c>
      <c r="X759" s="24">
        <v>0</v>
      </c>
      <c r="Y759" s="24">
        <v>0</v>
      </c>
      <c r="Z759" s="24">
        <f t="shared" si="35"/>
        <v>2355001.5248846249</v>
      </c>
      <c r="AB759" s="25">
        <v>2355001.5248846249</v>
      </c>
      <c r="AC759" s="26">
        <v>2355003</v>
      </c>
      <c r="AD759" s="24">
        <v>-1.4751153751276433</v>
      </c>
      <c r="AE759" s="27">
        <f>_xlfn.XLOOKUP(B759,'Projects Cashflow'!$B:$B,'Projects Cashflow'!$AG:$AG,0)</f>
        <v>2355003</v>
      </c>
      <c r="AF759" s="28">
        <f t="shared" si="36"/>
        <v>1.4751153751276433</v>
      </c>
    </row>
    <row r="760" spans="2:32" x14ac:dyDescent="0.3">
      <c r="B760" s="14" t="str">
        <f t="shared" si="34"/>
        <v>45131304511001578Media Mgmnt &amp;Buy-L422511201931</v>
      </c>
      <c r="C760" s="21" t="s">
        <v>319</v>
      </c>
      <c r="D760" s="22">
        <v>4513130</v>
      </c>
      <c r="E760" s="21" t="s">
        <v>320</v>
      </c>
      <c r="F760" s="22">
        <v>4511001578</v>
      </c>
      <c r="G760" s="21" t="s">
        <v>2047</v>
      </c>
      <c r="H760" s="21" t="s">
        <v>559</v>
      </c>
      <c r="I760" s="22">
        <v>422511</v>
      </c>
      <c r="J760" s="22">
        <v>201931</v>
      </c>
      <c r="K760" s="22" t="s">
        <v>2959</v>
      </c>
      <c r="L760" s="22">
        <v>70601</v>
      </c>
      <c r="M760" s="23" t="s">
        <v>2961</v>
      </c>
      <c r="N760" s="24">
        <v>0</v>
      </c>
      <c r="O760" s="24">
        <v>0</v>
      </c>
      <c r="P760" s="24">
        <v>0</v>
      </c>
      <c r="Q760" s="24">
        <v>0</v>
      </c>
      <c r="R760" s="24">
        <v>0</v>
      </c>
      <c r="S760" s="24">
        <v>0</v>
      </c>
      <c r="T760" s="24">
        <v>0</v>
      </c>
      <c r="U760" s="24">
        <v>0</v>
      </c>
      <c r="V760" s="24">
        <v>0</v>
      </c>
      <c r="W760" s="24">
        <v>2000000</v>
      </c>
      <c r="X760" s="24">
        <v>0</v>
      </c>
      <c r="Y760" s="24">
        <v>0</v>
      </c>
      <c r="Z760" s="24">
        <f t="shared" si="35"/>
        <v>2000000</v>
      </c>
      <c r="AB760" s="25">
        <v>2000000</v>
      </c>
      <c r="AC760" s="26">
        <v>2000000</v>
      </c>
      <c r="AD760" s="24">
        <v>0</v>
      </c>
      <c r="AE760" s="27">
        <f>_xlfn.XLOOKUP(B760,'Projects Cashflow'!$B:$B,'Projects Cashflow'!$AG:$AG,0)</f>
        <v>2000000</v>
      </c>
      <c r="AF760" s="28">
        <f t="shared" si="36"/>
        <v>0</v>
      </c>
    </row>
    <row r="761" spans="2:32" x14ac:dyDescent="0.3">
      <c r="B761" s="14" t="str">
        <f t="shared" si="34"/>
        <v>45131304511001579Media Mgmnt &amp;Buy-L422511201931</v>
      </c>
      <c r="C761" s="21" t="s">
        <v>319</v>
      </c>
      <c r="D761" s="22">
        <v>4513130</v>
      </c>
      <c r="E761" s="21" t="s">
        <v>320</v>
      </c>
      <c r="F761" s="22">
        <v>4511001579</v>
      </c>
      <c r="G761" s="21" t="s">
        <v>2049</v>
      </c>
      <c r="H761" s="21" t="s">
        <v>559</v>
      </c>
      <c r="I761" s="22">
        <v>422511</v>
      </c>
      <c r="J761" s="22">
        <v>201931</v>
      </c>
      <c r="K761" s="22" t="s">
        <v>2959</v>
      </c>
      <c r="L761" s="22">
        <v>70601</v>
      </c>
      <c r="M761" s="23" t="s">
        <v>2961</v>
      </c>
      <c r="N761" s="24">
        <v>0</v>
      </c>
      <c r="O761" s="24">
        <v>0</v>
      </c>
      <c r="P761" s="24">
        <v>0</v>
      </c>
      <c r="Q761" s="24">
        <v>0</v>
      </c>
      <c r="R761" s="24">
        <v>0</v>
      </c>
      <c r="S761" s="24">
        <v>0</v>
      </c>
      <c r="T761" s="24">
        <v>0</v>
      </c>
      <c r="U761" s="24">
        <v>0</v>
      </c>
      <c r="V761" s="24">
        <v>0</v>
      </c>
      <c r="W761" s="24">
        <v>0</v>
      </c>
      <c r="X761" s="24">
        <v>1825713.6851920979</v>
      </c>
      <c r="Y761" s="24">
        <v>0</v>
      </c>
      <c r="Z761" s="24">
        <f t="shared" si="35"/>
        <v>1825713.6851920979</v>
      </c>
      <c r="AB761" s="25">
        <v>1825713.6851920979</v>
      </c>
      <c r="AC761" s="26">
        <v>1825714</v>
      </c>
      <c r="AD761" s="24">
        <v>-0.31480790209025145</v>
      </c>
      <c r="AE761" s="27">
        <f>_xlfn.XLOOKUP(B761,'Projects Cashflow'!$B:$B,'Projects Cashflow'!$AG:$AG,0)</f>
        <v>1825714</v>
      </c>
      <c r="AF761" s="28">
        <f t="shared" si="36"/>
        <v>0.31480790209025145</v>
      </c>
    </row>
    <row r="762" spans="2:32" x14ac:dyDescent="0.3">
      <c r="B762" s="14" t="str">
        <f t="shared" si="34"/>
        <v>45131304511001580Media Mgmnt &amp;Buy-L422511201931</v>
      </c>
      <c r="C762" s="21" t="s">
        <v>319</v>
      </c>
      <c r="D762" s="22">
        <v>4513130</v>
      </c>
      <c r="E762" s="21" t="s">
        <v>320</v>
      </c>
      <c r="F762" s="22">
        <v>4511001580</v>
      </c>
      <c r="G762" s="21" t="s">
        <v>2051</v>
      </c>
      <c r="H762" s="21" t="s">
        <v>559</v>
      </c>
      <c r="I762" s="22">
        <v>422511</v>
      </c>
      <c r="J762" s="22">
        <v>201931</v>
      </c>
      <c r="K762" s="22" t="s">
        <v>2959</v>
      </c>
      <c r="L762" s="22">
        <v>70601</v>
      </c>
      <c r="M762" s="23" t="s">
        <v>2961</v>
      </c>
      <c r="N762" s="24">
        <v>0</v>
      </c>
      <c r="O762" s="24">
        <v>0</v>
      </c>
      <c r="P762" s="24">
        <v>0</v>
      </c>
      <c r="Q762" s="24">
        <v>0</v>
      </c>
      <c r="R762" s="24">
        <v>0</v>
      </c>
      <c r="S762" s="24">
        <v>1031594.7480042643</v>
      </c>
      <c r="T762" s="24">
        <v>687729.83200284292</v>
      </c>
      <c r="U762" s="24">
        <v>0</v>
      </c>
      <c r="V762" s="24">
        <v>0</v>
      </c>
      <c r="W762" s="24">
        <v>0</v>
      </c>
      <c r="X762" s="24">
        <v>0</v>
      </c>
      <c r="Y762" s="24">
        <v>0</v>
      </c>
      <c r="Z762" s="24">
        <f t="shared" si="35"/>
        <v>1719324.5800071072</v>
      </c>
      <c r="AB762" s="25">
        <v>1719324.5800071072</v>
      </c>
      <c r="AC762" s="26">
        <v>1719325</v>
      </c>
      <c r="AD762" s="24">
        <v>-0.41999289277009666</v>
      </c>
      <c r="AE762" s="27">
        <f>_xlfn.XLOOKUP(B762,'Projects Cashflow'!$B:$B,'Projects Cashflow'!$AG:$AG,0)</f>
        <v>1719325</v>
      </c>
      <c r="AF762" s="28">
        <f t="shared" si="36"/>
        <v>0.41999289277009666</v>
      </c>
    </row>
    <row r="763" spans="2:32" x14ac:dyDescent="0.3">
      <c r="B763" s="14" t="str">
        <f t="shared" si="34"/>
        <v>45131304511001581Media Mgmnt &amp;Buy-L422511201931</v>
      </c>
      <c r="C763" s="21" t="s">
        <v>319</v>
      </c>
      <c r="D763" s="22">
        <v>4513130</v>
      </c>
      <c r="E763" s="21" t="s">
        <v>320</v>
      </c>
      <c r="F763" s="22">
        <v>4511001581</v>
      </c>
      <c r="G763" s="21" t="s">
        <v>2053</v>
      </c>
      <c r="H763" s="21" t="s">
        <v>559</v>
      </c>
      <c r="I763" s="22">
        <v>422511</v>
      </c>
      <c r="J763" s="22">
        <v>201931</v>
      </c>
      <c r="K763" s="22" t="s">
        <v>2959</v>
      </c>
      <c r="L763" s="22">
        <v>70601</v>
      </c>
      <c r="M763" s="23" t="s">
        <v>2961</v>
      </c>
      <c r="N763" s="24">
        <v>0</v>
      </c>
      <c r="O763" s="24">
        <v>0</v>
      </c>
      <c r="P763" s="24">
        <v>0</v>
      </c>
      <c r="Q763" s="24">
        <v>0</v>
      </c>
      <c r="R763" s="24">
        <v>530598.45753801148</v>
      </c>
      <c r="S763" s="24">
        <v>122445.79789338728</v>
      </c>
      <c r="T763" s="24">
        <v>122445.79789338728</v>
      </c>
      <c r="U763" s="24">
        <v>122445.79789338728</v>
      </c>
      <c r="V763" s="24">
        <v>122445.79789338728</v>
      </c>
      <c r="W763" s="24">
        <v>122445.79789338728</v>
      </c>
      <c r="X763" s="24">
        <v>204076.32982231211</v>
      </c>
      <c r="Y763" s="24">
        <v>244891.59578677456</v>
      </c>
      <c r="Z763" s="24">
        <f t="shared" si="35"/>
        <v>1591795.3726140345</v>
      </c>
      <c r="AB763" s="25">
        <v>1591795.3726140345</v>
      </c>
      <c r="AC763" s="26">
        <v>1591796</v>
      </c>
      <c r="AD763" s="24">
        <v>-0.62738596554845572</v>
      </c>
      <c r="AE763" s="27">
        <f>_xlfn.XLOOKUP(B763,'Projects Cashflow'!$B:$B,'Projects Cashflow'!$AG:$AG,0)</f>
        <v>1591796</v>
      </c>
      <c r="AF763" s="28">
        <f t="shared" si="36"/>
        <v>0.62738596554845572</v>
      </c>
    </row>
    <row r="764" spans="2:32" x14ac:dyDescent="0.3">
      <c r="B764" s="14" t="str">
        <f t="shared" si="34"/>
        <v>45131304511001582Media Mgmnt &amp;Buy-L422511201931</v>
      </c>
      <c r="C764" s="21" t="s">
        <v>319</v>
      </c>
      <c r="D764" s="22">
        <v>4513130</v>
      </c>
      <c r="E764" s="21" t="s">
        <v>320</v>
      </c>
      <c r="F764" s="22">
        <v>4511001582</v>
      </c>
      <c r="G764" s="21" t="s">
        <v>2055</v>
      </c>
      <c r="H764" s="21" t="s">
        <v>559</v>
      </c>
      <c r="I764" s="22">
        <v>422511</v>
      </c>
      <c r="J764" s="22">
        <v>201931</v>
      </c>
      <c r="K764" s="22" t="s">
        <v>2959</v>
      </c>
      <c r="L764" s="22">
        <v>70601</v>
      </c>
      <c r="M764" s="23" t="s">
        <v>2961</v>
      </c>
      <c r="N764" s="24">
        <v>0</v>
      </c>
      <c r="O764" s="24">
        <v>0</v>
      </c>
      <c r="P764" s="24">
        <v>0</v>
      </c>
      <c r="Q764" s="24">
        <v>0</v>
      </c>
      <c r="R764" s="24">
        <v>494506.47937689041</v>
      </c>
      <c r="S764" s="24">
        <v>118681.64871260125</v>
      </c>
      <c r="T764" s="24">
        <v>118681.64871260125</v>
      </c>
      <c r="U764" s="24">
        <v>98900.983668219575</v>
      </c>
      <c r="V764" s="24">
        <v>98900.983668219575</v>
      </c>
      <c r="W764" s="24">
        <v>98900.983668219575</v>
      </c>
      <c r="X764" s="24">
        <v>237362.51690730627</v>
      </c>
      <c r="Y764" s="24">
        <v>237362.51690730627</v>
      </c>
      <c r="Z764" s="24">
        <f t="shared" si="35"/>
        <v>1503297.7616213639</v>
      </c>
      <c r="AB764" s="25">
        <v>1503297.7616213639</v>
      </c>
      <c r="AC764" s="26">
        <v>1503299</v>
      </c>
      <c r="AD764" s="24">
        <v>-1.2383786360733211</v>
      </c>
      <c r="AE764" s="27">
        <f>_xlfn.XLOOKUP(B764,'Projects Cashflow'!$B:$B,'Projects Cashflow'!$AG:$AG,0)</f>
        <v>1503299</v>
      </c>
      <c r="AF764" s="28">
        <f t="shared" si="36"/>
        <v>1.2383786360733211</v>
      </c>
    </row>
    <row r="765" spans="2:32" x14ac:dyDescent="0.3">
      <c r="B765" s="14" t="str">
        <f t="shared" si="34"/>
        <v>45131304511001583Media Mgmnt &amp;Buy-L422511201931</v>
      </c>
      <c r="C765" s="21" t="s">
        <v>319</v>
      </c>
      <c r="D765" s="22">
        <v>4513130</v>
      </c>
      <c r="E765" s="21" t="s">
        <v>320</v>
      </c>
      <c r="F765" s="22">
        <v>4511001583</v>
      </c>
      <c r="G765" s="21" t="s">
        <v>2057</v>
      </c>
      <c r="H765" s="21" t="s">
        <v>559</v>
      </c>
      <c r="I765" s="22">
        <v>422511</v>
      </c>
      <c r="J765" s="22">
        <v>201931</v>
      </c>
      <c r="K765" s="22" t="s">
        <v>2959</v>
      </c>
      <c r="L765" s="22">
        <v>70601</v>
      </c>
      <c r="M765" s="23" t="s">
        <v>2961</v>
      </c>
      <c r="N765" s="24">
        <v>0</v>
      </c>
      <c r="O765" s="24">
        <v>0</v>
      </c>
      <c r="P765" s="24">
        <v>0</v>
      </c>
      <c r="Q765" s="24">
        <v>0</v>
      </c>
      <c r="R765" s="24">
        <v>461222.41180251725</v>
      </c>
      <c r="S765" s="24">
        <v>110693.46619057293</v>
      </c>
      <c r="T765" s="24">
        <v>110693.46619057293</v>
      </c>
      <c r="U765" s="24">
        <v>92244.191167274184</v>
      </c>
      <c r="V765" s="24">
        <v>92244.191167274184</v>
      </c>
      <c r="W765" s="24">
        <v>92244.191167274184</v>
      </c>
      <c r="X765" s="24">
        <v>221386.2043980727</v>
      </c>
      <c r="Y765" s="24">
        <v>221386.2043980727</v>
      </c>
      <c r="Z765" s="24">
        <f t="shared" si="35"/>
        <v>1402114.326481631</v>
      </c>
      <c r="AB765" s="25">
        <v>1402114.326481631</v>
      </c>
      <c r="AC765" s="26">
        <v>1402115</v>
      </c>
      <c r="AD765" s="24">
        <v>-0.67351836897432804</v>
      </c>
      <c r="AE765" s="27">
        <f>_xlfn.XLOOKUP(B765,'Projects Cashflow'!$B:$B,'Projects Cashflow'!$AG:$AG,0)</f>
        <v>1402115</v>
      </c>
      <c r="AF765" s="28">
        <f t="shared" si="36"/>
        <v>0.67351836897432804</v>
      </c>
    </row>
    <row r="766" spans="2:32" x14ac:dyDescent="0.3">
      <c r="B766" s="14" t="str">
        <f t="shared" si="34"/>
        <v>45131304511001584Media Mgmnt &amp;Buy-L422511201931</v>
      </c>
      <c r="C766" s="21" t="s">
        <v>319</v>
      </c>
      <c r="D766" s="22">
        <v>4513130</v>
      </c>
      <c r="E766" s="21" t="s">
        <v>320</v>
      </c>
      <c r="F766" s="22">
        <v>4511001584</v>
      </c>
      <c r="G766" s="21" t="s">
        <v>2059</v>
      </c>
      <c r="H766" s="21" t="s">
        <v>559</v>
      </c>
      <c r="I766" s="22">
        <v>422511</v>
      </c>
      <c r="J766" s="22">
        <v>201931</v>
      </c>
      <c r="K766" s="22" t="s">
        <v>2959</v>
      </c>
      <c r="L766" s="22">
        <v>70601</v>
      </c>
      <c r="M766" s="23" t="s">
        <v>2961</v>
      </c>
      <c r="N766" s="24">
        <v>0</v>
      </c>
      <c r="O766" s="24">
        <v>0</v>
      </c>
      <c r="P766" s="24">
        <v>0</v>
      </c>
      <c r="Q766" s="24">
        <v>0</v>
      </c>
      <c r="R766" s="24">
        <v>0</v>
      </c>
      <c r="S766" s="24">
        <v>0</v>
      </c>
      <c r="T766" s="24">
        <v>0</v>
      </c>
      <c r="U766" s="24">
        <v>0</v>
      </c>
      <c r="V766" s="24">
        <v>322589.00898955564</v>
      </c>
      <c r="W766" s="24">
        <v>322589.00898955564</v>
      </c>
      <c r="X766" s="24">
        <v>322589.00898955564</v>
      </c>
      <c r="Y766" s="24">
        <v>322589.00898955564</v>
      </c>
      <c r="Z766" s="24">
        <f t="shared" si="35"/>
        <v>1290356.0359582226</v>
      </c>
      <c r="AB766" s="25">
        <v>1290356.0359582226</v>
      </c>
      <c r="AC766" s="26">
        <v>1290356</v>
      </c>
      <c r="AD766" s="24">
        <v>3.5958222579210997E-2</v>
      </c>
      <c r="AE766" s="27">
        <f>_xlfn.XLOOKUP(B766,'Projects Cashflow'!$B:$B,'Projects Cashflow'!$AG:$AG,0)</f>
        <v>1290356</v>
      </c>
      <c r="AF766" s="28">
        <f t="shared" si="36"/>
        <v>-3.5958222579210997E-2</v>
      </c>
    </row>
    <row r="767" spans="2:32" x14ac:dyDescent="0.3">
      <c r="B767" s="14" t="str">
        <f t="shared" si="34"/>
        <v>45131304511001585Media Mgmnt &amp;Buy-L422511201931</v>
      </c>
      <c r="C767" s="21" t="s">
        <v>319</v>
      </c>
      <c r="D767" s="22">
        <v>4513130</v>
      </c>
      <c r="E767" s="21" t="s">
        <v>320</v>
      </c>
      <c r="F767" s="22">
        <v>4511001585</v>
      </c>
      <c r="G767" s="21" t="s">
        <v>2061</v>
      </c>
      <c r="H767" s="21" t="s">
        <v>559</v>
      </c>
      <c r="I767" s="22">
        <v>422511</v>
      </c>
      <c r="J767" s="22">
        <v>201931</v>
      </c>
      <c r="K767" s="22" t="s">
        <v>2959</v>
      </c>
      <c r="L767" s="22">
        <v>70601</v>
      </c>
      <c r="M767" s="23" t="s">
        <v>2969</v>
      </c>
      <c r="N767" s="24">
        <v>0</v>
      </c>
      <c r="O767" s="24">
        <v>0</v>
      </c>
      <c r="P767" s="24">
        <v>0</v>
      </c>
      <c r="Q767" s="24">
        <v>0</v>
      </c>
      <c r="R767" s="24">
        <v>335584.37804084294</v>
      </c>
      <c r="S767" s="24">
        <v>77442.54877865607</v>
      </c>
      <c r="T767" s="24">
        <v>77442.54877865607</v>
      </c>
      <c r="U767" s="24">
        <v>77442.54877865607</v>
      </c>
      <c r="V767" s="24">
        <v>77442.54877865607</v>
      </c>
      <c r="W767" s="24">
        <v>77442.54877865607</v>
      </c>
      <c r="X767" s="24">
        <v>129070.91463109344</v>
      </c>
      <c r="Y767" s="24">
        <v>154885.09755731214</v>
      </c>
      <c r="Z767" s="24">
        <f t="shared" si="35"/>
        <v>1006753.1341225288</v>
      </c>
      <c r="AB767" s="25">
        <v>1006753.1341225288</v>
      </c>
      <c r="AC767" s="26">
        <v>1006754</v>
      </c>
      <c r="AD767" s="24">
        <v>-0.86587747116573155</v>
      </c>
      <c r="AE767" s="27">
        <f>_xlfn.XLOOKUP(B767,'Projects Cashflow'!$B:$B,'Projects Cashflow'!$AG:$AG,0)</f>
        <v>1006754</v>
      </c>
      <c r="AF767" s="28">
        <f t="shared" si="36"/>
        <v>0.86587747116573155</v>
      </c>
    </row>
    <row r="768" spans="2:32" x14ac:dyDescent="0.3">
      <c r="B768" s="14" t="str">
        <f t="shared" si="34"/>
        <v>45131304511001586Media Mgmnt &amp;Buy-L422511201931</v>
      </c>
      <c r="C768" s="21" t="s">
        <v>319</v>
      </c>
      <c r="D768" s="22">
        <v>4513130</v>
      </c>
      <c r="E768" s="21" t="s">
        <v>320</v>
      </c>
      <c r="F768" s="22">
        <v>4511001586</v>
      </c>
      <c r="G768" s="21" t="s">
        <v>2063</v>
      </c>
      <c r="H768" s="21" t="s">
        <v>559</v>
      </c>
      <c r="I768" s="22">
        <v>422511</v>
      </c>
      <c r="J768" s="22">
        <v>201931</v>
      </c>
      <c r="K768" s="22" t="s">
        <v>2959</v>
      </c>
      <c r="L768" s="22">
        <v>70601</v>
      </c>
      <c r="M768" s="23" t="s">
        <v>2961</v>
      </c>
      <c r="N768" s="24">
        <v>0</v>
      </c>
      <c r="O768" s="24">
        <v>0</v>
      </c>
      <c r="P768" s="24">
        <v>0</v>
      </c>
      <c r="Q768" s="24">
        <v>0</v>
      </c>
      <c r="R768" s="24">
        <v>799625</v>
      </c>
      <c r="S768" s="24">
        <v>0</v>
      </c>
      <c r="T768" s="24">
        <v>0</v>
      </c>
      <c r="U768" s="24">
        <v>0</v>
      </c>
      <c r="V768" s="24">
        <v>0</v>
      </c>
      <c r="W768" s="24">
        <v>0</v>
      </c>
      <c r="X768" s="24">
        <v>0</v>
      </c>
      <c r="Y768" s="24">
        <v>0</v>
      </c>
      <c r="Z768" s="24">
        <f t="shared" si="35"/>
        <v>799625</v>
      </c>
      <c r="AB768" s="25">
        <v>799625</v>
      </c>
      <c r="AC768" s="26">
        <v>799625</v>
      </c>
      <c r="AD768" s="24">
        <v>0</v>
      </c>
      <c r="AE768" s="27">
        <f>_xlfn.XLOOKUP(B768,'Projects Cashflow'!$B:$B,'Projects Cashflow'!$AG:$AG,0)</f>
        <v>799625</v>
      </c>
      <c r="AF768" s="28">
        <f t="shared" si="36"/>
        <v>0</v>
      </c>
    </row>
    <row r="769" spans="2:32" x14ac:dyDescent="0.3">
      <c r="B769" s="14" t="str">
        <f t="shared" si="34"/>
        <v>45131304511001587Media Mgmnt &amp;Buy-L422511201931</v>
      </c>
      <c r="C769" s="21" t="s">
        <v>319</v>
      </c>
      <c r="D769" s="22">
        <v>4513130</v>
      </c>
      <c r="E769" s="21" t="s">
        <v>320</v>
      </c>
      <c r="F769" s="22">
        <v>4511001587</v>
      </c>
      <c r="G769" s="21" t="s">
        <v>2065</v>
      </c>
      <c r="H769" s="21" t="s">
        <v>559</v>
      </c>
      <c r="I769" s="22">
        <v>422511</v>
      </c>
      <c r="J769" s="22">
        <v>201931</v>
      </c>
      <c r="K769" s="22" t="s">
        <v>2959</v>
      </c>
      <c r="L769" s="22">
        <v>70601</v>
      </c>
      <c r="M769" s="23" t="s">
        <v>2961</v>
      </c>
      <c r="N769" s="24">
        <v>0</v>
      </c>
      <c r="O769" s="24">
        <v>0</v>
      </c>
      <c r="P769" s="24">
        <v>0</v>
      </c>
      <c r="Q769" s="24">
        <v>0</v>
      </c>
      <c r="R769" s="24">
        <v>265299.3404376079</v>
      </c>
      <c r="S769" s="24">
        <v>61222.800866685437</v>
      </c>
      <c r="T769" s="24">
        <v>61222.800866685437</v>
      </c>
      <c r="U769" s="24">
        <v>61222.800866685437</v>
      </c>
      <c r="V769" s="24">
        <v>61222.800866685437</v>
      </c>
      <c r="W769" s="24">
        <v>61222.800866685437</v>
      </c>
      <c r="X769" s="24">
        <v>102038.26978546123</v>
      </c>
      <c r="Y769" s="24">
        <v>122446.00424484913</v>
      </c>
      <c r="Z769" s="24">
        <f t="shared" si="35"/>
        <v>795897.61880134547</v>
      </c>
      <c r="AB769" s="25">
        <v>795897.61880134547</v>
      </c>
      <c r="AC769" s="26">
        <v>795899</v>
      </c>
      <c r="AD769" s="24">
        <v>-1.3811986545333639</v>
      </c>
      <c r="AE769" s="27">
        <f>_xlfn.XLOOKUP(B769,'Projects Cashflow'!$B:$B,'Projects Cashflow'!$AG:$AG,0)</f>
        <v>795899</v>
      </c>
      <c r="AF769" s="28">
        <f t="shared" si="36"/>
        <v>1.3811986545333639</v>
      </c>
    </row>
    <row r="770" spans="2:32" x14ac:dyDescent="0.3">
      <c r="B770" s="14" t="str">
        <f t="shared" si="34"/>
        <v>45131304511001588Media Mgmnt &amp;Buy-L422511201931</v>
      </c>
      <c r="C770" s="21" t="s">
        <v>319</v>
      </c>
      <c r="D770" s="22">
        <v>4513130</v>
      </c>
      <c r="E770" s="21" t="s">
        <v>320</v>
      </c>
      <c r="F770" s="22">
        <v>4511001588</v>
      </c>
      <c r="G770" s="21" t="s">
        <v>2067</v>
      </c>
      <c r="H770" s="21" t="s">
        <v>559</v>
      </c>
      <c r="I770" s="22">
        <v>422511</v>
      </c>
      <c r="J770" s="22">
        <v>201931</v>
      </c>
      <c r="K770" s="22" t="s">
        <v>2959</v>
      </c>
      <c r="L770" s="22">
        <v>70601</v>
      </c>
      <c r="M770" s="23" t="s">
        <v>2961</v>
      </c>
      <c r="N770" s="24">
        <v>0</v>
      </c>
      <c r="O770" s="24">
        <v>0</v>
      </c>
      <c r="P770" s="24">
        <v>0</v>
      </c>
      <c r="Q770" s="24">
        <v>0</v>
      </c>
      <c r="R770" s="24">
        <v>252706.5070413276</v>
      </c>
      <c r="S770" s="24">
        <v>58316.886240306369</v>
      </c>
      <c r="T770" s="24">
        <v>58316.886240306369</v>
      </c>
      <c r="U770" s="24">
        <v>58316.886240306369</v>
      </c>
      <c r="V770" s="24">
        <v>58316.886240306369</v>
      </c>
      <c r="W770" s="24">
        <v>58316.886240306369</v>
      </c>
      <c r="X770" s="24">
        <v>97194.810400510614</v>
      </c>
      <c r="Y770" s="24">
        <v>116633.77248061274</v>
      </c>
      <c r="Z770" s="24">
        <f t="shared" si="35"/>
        <v>758119.52112398285</v>
      </c>
      <c r="AB770" s="25">
        <v>758119.52112398285</v>
      </c>
      <c r="AC770" s="26">
        <v>758120</v>
      </c>
      <c r="AD770" s="24">
        <v>-0.47887601715046912</v>
      </c>
      <c r="AE770" s="27">
        <f>_xlfn.XLOOKUP(B770,'Projects Cashflow'!$B:$B,'Projects Cashflow'!$AG:$AG,0)</f>
        <v>758120</v>
      </c>
      <c r="AF770" s="28">
        <f t="shared" si="36"/>
        <v>0.47887601715046912</v>
      </c>
    </row>
    <row r="771" spans="2:32" x14ac:dyDescent="0.3">
      <c r="B771" s="14" t="str">
        <f t="shared" si="34"/>
        <v>45131304511001589Media Mgmnt &amp;Buy-L422511201931</v>
      </c>
      <c r="C771" s="21" t="s">
        <v>319</v>
      </c>
      <c r="D771" s="22">
        <v>4513130</v>
      </c>
      <c r="E771" s="21" t="s">
        <v>320</v>
      </c>
      <c r="F771" s="22">
        <v>4511001589</v>
      </c>
      <c r="G771" s="21" t="s">
        <v>2069</v>
      </c>
      <c r="H771" s="21" t="s">
        <v>559</v>
      </c>
      <c r="I771" s="22">
        <v>422511</v>
      </c>
      <c r="J771" s="22">
        <v>201931</v>
      </c>
      <c r="K771" s="22" t="s">
        <v>2959</v>
      </c>
      <c r="L771" s="22">
        <v>70601</v>
      </c>
      <c r="M771" s="23" t="s">
        <v>2961</v>
      </c>
      <c r="N771" s="24">
        <v>0</v>
      </c>
      <c r="O771" s="24">
        <v>0</v>
      </c>
      <c r="P771" s="24">
        <v>0</v>
      </c>
      <c r="Q771" s="24">
        <v>0</v>
      </c>
      <c r="R771" s="24">
        <v>635402.56217653968</v>
      </c>
      <c r="S771" s="24">
        <v>0</v>
      </c>
      <c r="T771" s="24">
        <v>0</v>
      </c>
      <c r="U771" s="24">
        <v>0</v>
      </c>
      <c r="V771" s="24">
        <v>0</v>
      </c>
      <c r="W771" s="24">
        <v>0</v>
      </c>
      <c r="X771" s="24">
        <v>0</v>
      </c>
      <c r="Y771" s="24">
        <v>0</v>
      </c>
      <c r="Z771" s="24">
        <f t="shared" si="35"/>
        <v>635402.56217653968</v>
      </c>
      <c r="AB771" s="25">
        <v>635402.56217653968</v>
      </c>
      <c r="AC771" s="26">
        <v>635403</v>
      </c>
      <c r="AD771" s="24">
        <v>-0.4378234603209421</v>
      </c>
      <c r="AE771" s="27">
        <f>_xlfn.XLOOKUP(B771,'Projects Cashflow'!$B:$B,'Projects Cashflow'!$AG:$AG,0)</f>
        <v>635403</v>
      </c>
      <c r="AF771" s="28">
        <f t="shared" si="36"/>
        <v>0.4378234603209421</v>
      </c>
    </row>
    <row r="772" spans="2:32" x14ac:dyDescent="0.3">
      <c r="B772" s="14" t="str">
        <f t="shared" si="34"/>
        <v>45131304511001590Media Mgmnt &amp;Buy-N422511200104</v>
      </c>
      <c r="C772" s="21" t="s">
        <v>319</v>
      </c>
      <c r="D772" s="22">
        <v>4513130</v>
      </c>
      <c r="E772" s="21" t="s">
        <v>320</v>
      </c>
      <c r="F772" s="22">
        <v>4511001590</v>
      </c>
      <c r="G772" s="21" t="s">
        <v>2071</v>
      </c>
      <c r="H772" s="21" t="s">
        <v>166</v>
      </c>
      <c r="I772" s="22">
        <v>422511</v>
      </c>
      <c r="J772" s="22">
        <v>200104</v>
      </c>
      <c r="K772" s="22" t="s">
        <v>2959</v>
      </c>
      <c r="L772" s="22">
        <v>70603</v>
      </c>
      <c r="M772" s="23" t="s">
        <v>2961</v>
      </c>
      <c r="N772" s="24">
        <v>0</v>
      </c>
      <c r="O772" s="24">
        <v>0</v>
      </c>
      <c r="P772" s="24">
        <v>0</v>
      </c>
      <c r="Q772" s="24">
        <v>0</v>
      </c>
      <c r="R772" s="24">
        <v>0</v>
      </c>
      <c r="S772" s="24">
        <v>0</v>
      </c>
      <c r="T772" s="24">
        <v>506453.69722181576</v>
      </c>
      <c r="U772" s="24">
        <v>2337599.91041453</v>
      </c>
      <c r="V772" s="24">
        <v>5064536.9722181577</v>
      </c>
      <c r="W772" s="24">
        <v>4431469.8506908873</v>
      </c>
      <c r="X772" s="24">
        <v>0</v>
      </c>
      <c r="Y772" s="24">
        <v>0</v>
      </c>
      <c r="Z772" s="24">
        <f t="shared" si="35"/>
        <v>12340060.43054539</v>
      </c>
      <c r="AB772" s="25">
        <v>12340060.43054539</v>
      </c>
      <c r="AC772" s="26">
        <v>12340060</v>
      </c>
      <c r="AD772" s="24">
        <v>0.4305453896522522</v>
      </c>
      <c r="AE772" s="27">
        <f>_xlfn.XLOOKUP(B772,'Projects Cashflow'!$B:$B,'Projects Cashflow'!$AG:$AG,0)</f>
        <v>12340060</v>
      </c>
      <c r="AF772" s="28">
        <f t="shared" si="36"/>
        <v>-0.4305453896522522</v>
      </c>
    </row>
    <row r="773" spans="2:32" x14ac:dyDescent="0.3">
      <c r="B773" s="14" t="str">
        <f t="shared" ref="B773:B836" si="37">D773&amp;F773&amp;H773&amp;I773&amp;J773</f>
        <v>45131304511001590Media Mgmnt &amp;Buy-L422511201931</v>
      </c>
      <c r="C773" s="21" t="s">
        <v>319</v>
      </c>
      <c r="D773" s="22">
        <v>4513130</v>
      </c>
      <c r="E773" s="21" t="s">
        <v>320</v>
      </c>
      <c r="F773" s="22">
        <v>4511001590</v>
      </c>
      <c r="G773" s="21" t="s">
        <v>2071</v>
      </c>
      <c r="H773" s="21" t="s">
        <v>559</v>
      </c>
      <c r="I773" s="22">
        <v>422511</v>
      </c>
      <c r="J773" s="22">
        <v>201931</v>
      </c>
      <c r="K773" s="22" t="s">
        <v>2959</v>
      </c>
      <c r="L773" s="22">
        <v>70603</v>
      </c>
      <c r="M773" s="23" t="s">
        <v>2961</v>
      </c>
      <c r="N773" s="24">
        <v>0</v>
      </c>
      <c r="O773" s="24">
        <v>0</v>
      </c>
      <c r="P773" s="24">
        <v>0</v>
      </c>
      <c r="Q773" s="24">
        <v>0</v>
      </c>
      <c r="R773" s="24">
        <v>0</v>
      </c>
      <c r="S773" s="24">
        <v>0</v>
      </c>
      <c r="T773" s="24">
        <v>0</v>
      </c>
      <c r="U773" s="24">
        <v>521282</v>
      </c>
      <c r="V773" s="24">
        <v>0</v>
      </c>
      <c r="W773" s="24">
        <v>0</v>
      </c>
      <c r="X773" s="24">
        <v>0</v>
      </c>
      <c r="Y773" s="24">
        <v>0</v>
      </c>
      <c r="Z773" s="24">
        <f t="shared" ref="Z773:Z836" si="38">SUM(N773:Y773)</f>
        <v>521282</v>
      </c>
      <c r="AB773" s="25">
        <v>521282</v>
      </c>
      <c r="AC773" s="26">
        <v>521282</v>
      </c>
      <c r="AD773" s="24">
        <v>0</v>
      </c>
      <c r="AE773" s="27">
        <f>_xlfn.XLOOKUP(B773,'Projects Cashflow'!$B:$B,'Projects Cashflow'!$AG:$AG,0)</f>
        <v>521282</v>
      </c>
      <c r="AF773" s="28">
        <f t="shared" ref="AF773:AF836" si="39">AE773-AB773</f>
        <v>0</v>
      </c>
    </row>
    <row r="774" spans="2:32" x14ac:dyDescent="0.3">
      <c r="B774" s="14" t="str">
        <f t="shared" si="37"/>
        <v>45131304511001591Media Mgmnt &amp;Buy-L422511201931</v>
      </c>
      <c r="C774" s="21" t="s">
        <v>319</v>
      </c>
      <c r="D774" s="22">
        <v>4513130</v>
      </c>
      <c r="E774" s="21" t="s">
        <v>320</v>
      </c>
      <c r="F774" s="22">
        <v>4511001591</v>
      </c>
      <c r="G774" s="21" t="s">
        <v>2075</v>
      </c>
      <c r="H774" s="21" t="s">
        <v>559</v>
      </c>
      <c r="I774" s="22">
        <v>422511</v>
      </c>
      <c r="J774" s="22">
        <v>201931</v>
      </c>
      <c r="K774" s="22" t="s">
        <v>2959</v>
      </c>
      <c r="L774" s="22">
        <v>70601</v>
      </c>
      <c r="M774" s="23" t="s">
        <v>2969</v>
      </c>
      <c r="N774" s="24">
        <v>0</v>
      </c>
      <c r="O774" s="24">
        <v>0</v>
      </c>
      <c r="P774" s="24">
        <v>0</v>
      </c>
      <c r="Q774" s="24">
        <v>0</v>
      </c>
      <c r="R774" s="24">
        <v>417332.836971034</v>
      </c>
      <c r="S774" s="24">
        <v>0</v>
      </c>
      <c r="T774" s="24">
        <v>0</v>
      </c>
      <c r="U774" s="24">
        <v>0</v>
      </c>
      <c r="V774" s="24">
        <v>0</v>
      </c>
      <c r="W774" s="24">
        <v>0</v>
      </c>
      <c r="X774" s="24">
        <v>0</v>
      </c>
      <c r="Y774" s="24">
        <v>0</v>
      </c>
      <c r="Z774" s="24">
        <f t="shared" si="38"/>
        <v>417332.836971034</v>
      </c>
      <c r="AB774" s="25">
        <v>417332.836971034</v>
      </c>
      <c r="AC774" s="26">
        <v>417333</v>
      </c>
      <c r="AD774" s="24">
        <v>-0.16302896599518135</v>
      </c>
      <c r="AE774" s="27">
        <f>_xlfn.XLOOKUP(B774,'Projects Cashflow'!$B:$B,'Projects Cashflow'!$AG:$AG,0)</f>
        <v>417333</v>
      </c>
      <c r="AF774" s="28">
        <f t="shared" si="39"/>
        <v>0.16302896599518135</v>
      </c>
    </row>
    <row r="775" spans="2:32" x14ac:dyDescent="0.3">
      <c r="B775" s="14" t="str">
        <f t="shared" si="37"/>
        <v>45131304511001592Media Mgmnt &amp;Buy-L422511201931</v>
      </c>
      <c r="C775" s="21" t="s">
        <v>319</v>
      </c>
      <c r="D775" s="22">
        <v>4513130</v>
      </c>
      <c r="E775" s="21" t="s">
        <v>320</v>
      </c>
      <c r="F775" s="22">
        <v>4511001592</v>
      </c>
      <c r="G775" s="21" t="s">
        <v>2077</v>
      </c>
      <c r="H775" s="21" t="s">
        <v>559</v>
      </c>
      <c r="I775" s="22">
        <v>422511</v>
      </c>
      <c r="J775" s="22">
        <v>201931</v>
      </c>
      <c r="K775" s="22" t="s">
        <v>2959</v>
      </c>
      <c r="L775" s="22">
        <v>70601</v>
      </c>
      <c r="M775" s="23" t="s">
        <v>2969</v>
      </c>
      <c r="N775" s="24">
        <v>0</v>
      </c>
      <c r="O775" s="24">
        <v>0</v>
      </c>
      <c r="P775" s="24">
        <v>0</v>
      </c>
      <c r="Q775" s="24">
        <v>0</v>
      </c>
      <c r="R775" s="24">
        <v>0</v>
      </c>
      <c r="S775" s="24">
        <v>0</v>
      </c>
      <c r="T775" s="24">
        <v>0</v>
      </c>
      <c r="U775" s="24">
        <v>0</v>
      </c>
      <c r="V775" s="24">
        <v>104307.38001186062</v>
      </c>
      <c r="W775" s="24">
        <v>104307.38001186062</v>
      </c>
      <c r="X775" s="24">
        <v>104307.38001186062</v>
      </c>
      <c r="Y775" s="24">
        <v>104307.38001186062</v>
      </c>
      <c r="Z775" s="24">
        <f t="shared" si="38"/>
        <v>417229.52004744246</v>
      </c>
      <c r="AB775" s="25">
        <v>417229.52004744246</v>
      </c>
      <c r="AC775" s="26">
        <v>417230</v>
      </c>
      <c r="AD775" s="24">
        <v>-0.47995255753630772</v>
      </c>
      <c r="AE775" s="27">
        <f>_xlfn.XLOOKUP(B775,'Projects Cashflow'!$B:$B,'Projects Cashflow'!$AG:$AG,0)</f>
        <v>417230</v>
      </c>
      <c r="AF775" s="28">
        <f t="shared" si="39"/>
        <v>0.47995255753630772</v>
      </c>
    </row>
    <row r="776" spans="2:32" x14ac:dyDescent="0.3">
      <c r="B776" s="14" t="str">
        <f t="shared" si="37"/>
        <v>45131304511001593Media Mgmnt &amp;Buy-L422511201931</v>
      </c>
      <c r="C776" s="21" t="s">
        <v>319</v>
      </c>
      <c r="D776" s="22">
        <v>4513130</v>
      </c>
      <c r="E776" s="21" t="s">
        <v>320</v>
      </c>
      <c r="F776" s="22">
        <v>4511001593</v>
      </c>
      <c r="G776" s="21" t="s">
        <v>2079</v>
      </c>
      <c r="H776" s="21" t="s">
        <v>559</v>
      </c>
      <c r="I776" s="22">
        <v>422511</v>
      </c>
      <c r="J776" s="22">
        <v>201931</v>
      </c>
      <c r="K776" s="22" t="s">
        <v>2959</v>
      </c>
      <c r="L776" s="22">
        <v>70601</v>
      </c>
      <c r="M776" s="23" t="s">
        <v>2961</v>
      </c>
      <c r="N776" s="24">
        <v>0</v>
      </c>
      <c r="O776" s="24">
        <v>0</v>
      </c>
      <c r="P776" s="24">
        <v>0</v>
      </c>
      <c r="Q776" s="24">
        <v>0</v>
      </c>
      <c r="R776" s="24">
        <v>0</v>
      </c>
      <c r="S776" s="24">
        <v>195733.93607598872</v>
      </c>
      <c r="T776" s="24">
        <v>130489.29071732583</v>
      </c>
      <c r="U776" s="24">
        <v>0</v>
      </c>
      <c r="V776" s="24">
        <v>0</v>
      </c>
      <c r="W776" s="24">
        <v>0</v>
      </c>
      <c r="X776" s="24">
        <v>0</v>
      </c>
      <c r="Y776" s="24">
        <v>0</v>
      </c>
      <c r="Z776" s="24">
        <f t="shared" si="38"/>
        <v>326223.22679331456</v>
      </c>
      <c r="AB776" s="25">
        <v>326223.22679331456</v>
      </c>
      <c r="AC776" s="26">
        <v>326223</v>
      </c>
      <c r="AD776" s="24">
        <v>0.22679331456311047</v>
      </c>
      <c r="AE776" s="27">
        <f>_xlfn.XLOOKUP(B776,'Projects Cashflow'!$B:$B,'Projects Cashflow'!$AG:$AG,0)</f>
        <v>326223</v>
      </c>
      <c r="AF776" s="28">
        <f t="shared" si="39"/>
        <v>-0.22679331456311047</v>
      </c>
    </row>
    <row r="777" spans="2:32" x14ac:dyDescent="0.3">
      <c r="B777" s="14" t="str">
        <f t="shared" si="37"/>
        <v>45131304511001594Media Mgmnt &amp;Buy-L422511201931</v>
      </c>
      <c r="C777" s="21" t="s">
        <v>319</v>
      </c>
      <c r="D777" s="22">
        <v>4513130</v>
      </c>
      <c r="E777" s="21" t="s">
        <v>320</v>
      </c>
      <c r="F777" s="22">
        <v>4511001594</v>
      </c>
      <c r="G777" s="21" t="s">
        <v>2081</v>
      </c>
      <c r="H777" s="21" t="s">
        <v>559</v>
      </c>
      <c r="I777" s="22">
        <v>422511</v>
      </c>
      <c r="J777" s="22">
        <v>201931</v>
      </c>
      <c r="K777" s="22" t="s">
        <v>2959</v>
      </c>
      <c r="L777" s="22">
        <v>70601</v>
      </c>
      <c r="M777" s="23" t="s">
        <v>2961</v>
      </c>
      <c r="N777" s="24">
        <v>0</v>
      </c>
      <c r="O777" s="24">
        <v>0</v>
      </c>
      <c r="P777" s="24">
        <v>0</v>
      </c>
      <c r="Q777" s="24">
        <v>0</v>
      </c>
      <c r="R777" s="24">
        <v>91487.885966511574</v>
      </c>
      <c r="S777" s="24">
        <v>21957.109960253169</v>
      </c>
      <c r="T777" s="24">
        <v>21957.109960253169</v>
      </c>
      <c r="U777" s="24">
        <v>18297.519432334349</v>
      </c>
      <c r="V777" s="24">
        <v>18297.519432334349</v>
      </c>
      <c r="W777" s="24">
        <v>18297.519432334349</v>
      </c>
      <c r="X777" s="24">
        <v>43914.075518086422</v>
      </c>
      <c r="Y777" s="24">
        <v>43914.075518086422</v>
      </c>
      <c r="Z777" s="24">
        <f t="shared" si="38"/>
        <v>278122.81522019382</v>
      </c>
      <c r="AB777" s="25">
        <v>278122.81522019382</v>
      </c>
      <c r="AC777" s="26">
        <v>278123</v>
      </c>
      <c r="AD777" s="24">
        <v>-0.18477980617899448</v>
      </c>
      <c r="AE777" s="27">
        <f>_xlfn.XLOOKUP(B777,'Projects Cashflow'!$B:$B,'Projects Cashflow'!$AG:$AG,0)</f>
        <v>278123</v>
      </c>
      <c r="AF777" s="28">
        <f t="shared" si="39"/>
        <v>0.18477980617899448</v>
      </c>
    </row>
    <row r="778" spans="2:32" x14ac:dyDescent="0.3">
      <c r="B778" s="14" t="str">
        <f t="shared" si="37"/>
        <v>45131304511001595Media Mgmnt &amp;Buy-L422511201931</v>
      </c>
      <c r="C778" s="21" t="s">
        <v>319</v>
      </c>
      <c r="D778" s="22">
        <v>4513130</v>
      </c>
      <c r="E778" s="21" t="s">
        <v>320</v>
      </c>
      <c r="F778" s="22">
        <v>4511001595</v>
      </c>
      <c r="G778" s="21" t="s">
        <v>2083</v>
      </c>
      <c r="H778" s="21" t="s">
        <v>559</v>
      </c>
      <c r="I778" s="22">
        <v>422511</v>
      </c>
      <c r="J778" s="22">
        <v>201931</v>
      </c>
      <c r="K778" s="22" t="s">
        <v>2959</v>
      </c>
      <c r="L778" s="22">
        <v>70601</v>
      </c>
      <c r="M778" s="23" t="s">
        <v>2969</v>
      </c>
      <c r="N778" s="24">
        <v>0</v>
      </c>
      <c r="O778" s="24">
        <v>0</v>
      </c>
      <c r="P778" s="24">
        <v>0</v>
      </c>
      <c r="Q778" s="24">
        <v>0</v>
      </c>
      <c r="R778" s="24">
        <v>87852.504611579498</v>
      </c>
      <c r="S778" s="24">
        <v>21084.617746508982</v>
      </c>
      <c r="T778" s="24">
        <v>21084.617746508982</v>
      </c>
      <c r="U778" s="24">
        <v>17570.445456549576</v>
      </c>
      <c r="V778" s="24">
        <v>17570.445456549576</v>
      </c>
      <c r="W778" s="24">
        <v>17570.445456549576</v>
      </c>
      <c r="X778" s="24">
        <v>42169.096828602153</v>
      </c>
      <c r="Y778" s="24">
        <v>42169.096828602153</v>
      </c>
      <c r="Z778" s="24">
        <f t="shared" si="38"/>
        <v>267071.2701314505</v>
      </c>
      <c r="AB778" s="25">
        <v>267071.2701314505</v>
      </c>
      <c r="AC778" s="26">
        <v>267071</v>
      </c>
      <c r="AD778" s="24">
        <v>0.27013145049568266</v>
      </c>
      <c r="AE778" s="27">
        <f>_xlfn.XLOOKUP(B778,'Projects Cashflow'!$B:$B,'Projects Cashflow'!$AG:$AG,0)</f>
        <v>267071</v>
      </c>
      <c r="AF778" s="28">
        <f t="shared" si="39"/>
        <v>-0.27013145049568266</v>
      </c>
    </row>
    <row r="779" spans="2:32" x14ac:dyDescent="0.3">
      <c r="B779" s="14" t="str">
        <f t="shared" si="37"/>
        <v>45131304511001596Media Mgmnt &amp;Buy-L422511201931</v>
      </c>
      <c r="C779" s="21" t="s">
        <v>319</v>
      </c>
      <c r="D779" s="22">
        <v>4513130</v>
      </c>
      <c r="E779" s="21" t="s">
        <v>320</v>
      </c>
      <c r="F779" s="22">
        <v>4511001596</v>
      </c>
      <c r="G779" s="21" t="s">
        <v>2085</v>
      </c>
      <c r="H779" s="21" t="s">
        <v>559</v>
      </c>
      <c r="I779" s="22">
        <v>422511</v>
      </c>
      <c r="J779" s="22">
        <v>201931</v>
      </c>
      <c r="K779" s="22" t="s">
        <v>2959</v>
      </c>
      <c r="L779" s="22">
        <v>70601</v>
      </c>
      <c r="M779" s="23" t="s">
        <v>2961</v>
      </c>
      <c r="N779" s="24">
        <v>0</v>
      </c>
      <c r="O779" s="24">
        <v>0</v>
      </c>
      <c r="P779" s="24">
        <v>0</v>
      </c>
      <c r="Q779" s="24">
        <v>0</v>
      </c>
      <c r="R779" s="24">
        <v>0</v>
      </c>
      <c r="S779" s="24">
        <v>84849.836868238432</v>
      </c>
      <c r="T779" s="24">
        <v>56566.557912158954</v>
      </c>
      <c r="U779" s="24">
        <v>0</v>
      </c>
      <c r="V779" s="24">
        <v>0</v>
      </c>
      <c r="W779" s="24">
        <v>0</v>
      </c>
      <c r="X779" s="24">
        <v>0</v>
      </c>
      <c r="Y779" s="24">
        <v>0</v>
      </c>
      <c r="Z779" s="24">
        <f t="shared" si="38"/>
        <v>141416.39478039739</v>
      </c>
      <c r="AB779" s="25">
        <v>141416.39478039739</v>
      </c>
      <c r="AC779" s="26">
        <v>141416</v>
      </c>
      <c r="AD779" s="24">
        <v>0.3947803973860573</v>
      </c>
      <c r="AE779" s="27">
        <f>_xlfn.XLOOKUP(B779,'Projects Cashflow'!$B:$B,'Projects Cashflow'!$AG:$AG,0)</f>
        <v>141416</v>
      </c>
      <c r="AF779" s="28">
        <f t="shared" si="39"/>
        <v>-0.3947803973860573</v>
      </c>
    </row>
    <row r="780" spans="2:32" x14ac:dyDescent="0.3">
      <c r="B780" s="14" t="str">
        <f t="shared" si="37"/>
        <v>45131304511001597Media Mgmnt &amp;Buy-L422511201931</v>
      </c>
      <c r="C780" s="21" t="s">
        <v>319</v>
      </c>
      <c r="D780" s="22">
        <v>4513130</v>
      </c>
      <c r="E780" s="21" t="s">
        <v>320</v>
      </c>
      <c r="F780" s="22">
        <v>4511001597</v>
      </c>
      <c r="G780" s="21" t="s">
        <v>2087</v>
      </c>
      <c r="H780" s="21" t="s">
        <v>559</v>
      </c>
      <c r="I780" s="22">
        <v>422511</v>
      </c>
      <c r="J780" s="22">
        <v>201931</v>
      </c>
      <c r="K780" s="22" t="s">
        <v>2959</v>
      </c>
      <c r="L780" s="22">
        <v>70601</v>
      </c>
      <c r="M780" s="23" t="s">
        <v>2969</v>
      </c>
      <c r="N780" s="24">
        <v>0</v>
      </c>
      <c r="O780" s="24">
        <v>0</v>
      </c>
      <c r="P780" s="24">
        <v>0</v>
      </c>
      <c r="Q780" s="24">
        <v>0</v>
      </c>
      <c r="R780" s="24">
        <v>120560.75772796407</v>
      </c>
      <c r="S780" s="24">
        <v>0</v>
      </c>
      <c r="T780" s="24">
        <v>0</v>
      </c>
      <c r="U780" s="24">
        <v>0</v>
      </c>
      <c r="V780" s="24">
        <v>0</v>
      </c>
      <c r="W780" s="24">
        <v>0</v>
      </c>
      <c r="X780" s="24">
        <v>0</v>
      </c>
      <c r="Y780" s="24">
        <v>0</v>
      </c>
      <c r="Z780" s="24">
        <f t="shared" si="38"/>
        <v>120560.75772796407</v>
      </c>
      <c r="AB780" s="25">
        <v>120560.75772796407</v>
      </c>
      <c r="AC780" s="26">
        <v>120561</v>
      </c>
      <c r="AD780" s="24">
        <v>-0.24227203593181912</v>
      </c>
      <c r="AE780" s="27">
        <f>_xlfn.XLOOKUP(B780,'Projects Cashflow'!$B:$B,'Projects Cashflow'!$AG:$AG,0)</f>
        <v>120561</v>
      </c>
      <c r="AF780" s="28">
        <f t="shared" si="39"/>
        <v>0.24227203593181912</v>
      </c>
    </row>
    <row r="781" spans="2:32" x14ac:dyDescent="0.3">
      <c r="B781" s="14" t="str">
        <f t="shared" si="37"/>
        <v>45131304511001598Media Mgmnt &amp;Buy-L422511201931</v>
      </c>
      <c r="C781" s="21" t="s">
        <v>319</v>
      </c>
      <c r="D781" s="22">
        <v>4513130</v>
      </c>
      <c r="E781" s="21" t="s">
        <v>320</v>
      </c>
      <c r="F781" s="22">
        <v>4511001598</v>
      </c>
      <c r="G781" s="21" t="s">
        <v>2089</v>
      </c>
      <c r="H781" s="21" t="s">
        <v>559</v>
      </c>
      <c r="I781" s="22">
        <v>422511</v>
      </c>
      <c r="J781" s="22">
        <v>201931</v>
      </c>
      <c r="K781" s="22" t="s">
        <v>2959</v>
      </c>
      <c r="L781" s="22">
        <v>70601</v>
      </c>
      <c r="M781" s="23" t="s">
        <v>2961</v>
      </c>
      <c r="N781" s="24">
        <v>0</v>
      </c>
      <c r="O781" s="24">
        <v>0</v>
      </c>
      <c r="P781" s="24">
        <v>0</v>
      </c>
      <c r="Q781" s="24">
        <v>0</v>
      </c>
      <c r="R781" s="24">
        <v>52262.580679712075</v>
      </c>
      <c r="S781" s="24">
        <v>0</v>
      </c>
      <c r="T781" s="24">
        <v>0</v>
      </c>
      <c r="U781" s="24">
        <v>0</v>
      </c>
      <c r="V781" s="24">
        <v>0</v>
      </c>
      <c r="W781" s="24">
        <v>0</v>
      </c>
      <c r="X781" s="24">
        <v>0</v>
      </c>
      <c r="Y781" s="24">
        <v>0</v>
      </c>
      <c r="Z781" s="24">
        <f t="shared" si="38"/>
        <v>52262.580679712075</v>
      </c>
      <c r="AB781" s="25">
        <v>52262.580679712075</v>
      </c>
      <c r="AC781" s="26">
        <v>52263</v>
      </c>
      <c r="AD781" s="24">
        <v>-0.41932028792507481</v>
      </c>
      <c r="AE781" s="27">
        <f>_xlfn.XLOOKUP(B781,'Projects Cashflow'!$B:$B,'Projects Cashflow'!$AG:$AG,0)</f>
        <v>52263</v>
      </c>
      <c r="AF781" s="28">
        <f t="shared" si="39"/>
        <v>0.41932028792507481</v>
      </c>
    </row>
    <row r="782" spans="2:32" x14ac:dyDescent="0.3">
      <c r="B782" s="14" t="str">
        <f t="shared" si="37"/>
        <v>45131304511001599Talent Fees-N422511200104</v>
      </c>
      <c r="C782" s="21" t="s">
        <v>319</v>
      </c>
      <c r="D782" s="22">
        <v>4513130</v>
      </c>
      <c r="E782" s="21" t="s">
        <v>320</v>
      </c>
      <c r="F782" s="22">
        <v>4511001599</v>
      </c>
      <c r="G782" s="21" t="s">
        <v>2091</v>
      </c>
      <c r="H782" s="21" t="s">
        <v>262</v>
      </c>
      <c r="I782" s="22">
        <v>422511</v>
      </c>
      <c r="J782" s="22">
        <v>200104</v>
      </c>
      <c r="K782" s="22" t="s">
        <v>2959</v>
      </c>
      <c r="L782" s="22">
        <v>70601</v>
      </c>
      <c r="M782" s="23" t="s">
        <v>2961</v>
      </c>
      <c r="N782" s="24">
        <v>0</v>
      </c>
      <c r="O782" s="24">
        <v>0</v>
      </c>
      <c r="P782" s="24">
        <v>0</v>
      </c>
      <c r="Q782" s="24">
        <v>1339550</v>
      </c>
      <c r="R782" s="24">
        <v>0</v>
      </c>
      <c r="S782" s="24">
        <v>0</v>
      </c>
      <c r="T782" s="24">
        <v>0</v>
      </c>
      <c r="U782" s="24">
        <v>0</v>
      </c>
      <c r="V782" s="24">
        <v>0</v>
      </c>
      <c r="W782" s="24">
        <v>0</v>
      </c>
      <c r="X782" s="24">
        <v>8037300</v>
      </c>
      <c r="Y782" s="24">
        <v>4018650</v>
      </c>
      <c r="Z782" s="24">
        <f t="shared" si="38"/>
        <v>13395500</v>
      </c>
      <c r="AB782" s="25">
        <v>13395500</v>
      </c>
      <c r="AC782" s="26">
        <v>13395500</v>
      </c>
      <c r="AD782" s="24">
        <v>0</v>
      </c>
      <c r="AE782" s="27">
        <f>_xlfn.XLOOKUP(B782,'Projects Cashflow'!$B:$B,'Projects Cashflow'!$AG:$AG,0)</f>
        <v>13395500</v>
      </c>
      <c r="AF782" s="28">
        <f t="shared" si="39"/>
        <v>0</v>
      </c>
    </row>
    <row r="783" spans="2:32" x14ac:dyDescent="0.3">
      <c r="B783" s="14" t="str">
        <f t="shared" si="37"/>
        <v>45131304511001612Media Mgmnt &amp;Buy-L422511201931</v>
      </c>
      <c r="C783" s="21" t="s">
        <v>319</v>
      </c>
      <c r="D783" s="22">
        <v>4513130</v>
      </c>
      <c r="E783" s="21" t="s">
        <v>320</v>
      </c>
      <c r="F783" s="22">
        <v>4511001612</v>
      </c>
      <c r="G783" s="21" t="s">
        <v>3078</v>
      </c>
      <c r="H783" s="21" t="s">
        <v>559</v>
      </c>
      <c r="I783" s="22">
        <v>422511</v>
      </c>
      <c r="J783" s="22">
        <v>201931</v>
      </c>
      <c r="K783" s="22" t="s">
        <v>2959</v>
      </c>
      <c r="L783" s="22">
        <v>70601</v>
      </c>
      <c r="M783" s="23" t="s">
        <v>2961</v>
      </c>
      <c r="N783" s="24">
        <v>0</v>
      </c>
      <c r="O783" s="24">
        <v>0</v>
      </c>
      <c r="P783" s="24">
        <v>0</v>
      </c>
      <c r="Q783" s="24">
        <v>0</v>
      </c>
      <c r="R783" s="24">
        <v>0</v>
      </c>
      <c r="S783" s="24">
        <v>1212000</v>
      </c>
      <c r="T783" s="24">
        <v>1212000</v>
      </c>
      <c r="U783" s="24">
        <v>1212000</v>
      </c>
      <c r="V783" s="24">
        <v>1010000</v>
      </c>
      <c r="W783" s="24">
        <v>1010000</v>
      </c>
      <c r="X783" s="24">
        <v>1010000</v>
      </c>
      <c r="Y783" s="24">
        <v>1212000</v>
      </c>
      <c r="Z783" s="24">
        <f t="shared" si="38"/>
        <v>7878000</v>
      </c>
      <c r="AB783" s="25">
        <v>7878000</v>
      </c>
      <c r="AC783" s="26">
        <v>7878000</v>
      </c>
      <c r="AD783" s="24">
        <v>0</v>
      </c>
      <c r="AE783" s="27">
        <f>_xlfn.XLOOKUP(B783,'Projects Cashflow'!$B:$B,'Projects Cashflow'!$AG:$AG,0)</f>
        <v>7878000</v>
      </c>
      <c r="AF783" s="28">
        <f t="shared" si="39"/>
        <v>0</v>
      </c>
    </row>
    <row r="784" spans="2:32" x14ac:dyDescent="0.3">
      <c r="B784" s="14" t="str">
        <f t="shared" si="37"/>
        <v>45131304511001612Influencers-L422511201931</v>
      </c>
      <c r="C784" s="21" t="s">
        <v>319</v>
      </c>
      <c r="D784" s="22">
        <v>4513130</v>
      </c>
      <c r="E784" s="21" t="s">
        <v>320</v>
      </c>
      <c r="F784" s="22">
        <v>4511001612</v>
      </c>
      <c r="G784" s="21" t="s">
        <v>3078</v>
      </c>
      <c r="H784" s="21" t="s">
        <v>2006</v>
      </c>
      <c r="I784" s="22">
        <v>422511</v>
      </c>
      <c r="J784" s="22">
        <v>201931</v>
      </c>
      <c r="K784" s="22" t="s">
        <v>2959</v>
      </c>
      <c r="L784" s="22">
        <v>70601</v>
      </c>
      <c r="M784" s="23" t="s">
        <v>2961</v>
      </c>
      <c r="N784" s="24">
        <v>0</v>
      </c>
      <c r="O784" s="24">
        <v>0</v>
      </c>
      <c r="P784" s="24">
        <v>0</v>
      </c>
      <c r="Q784" s="24">
        <v>435996</v>
      </c>
      <c r="R784" s="24">
        <v>145332</v>
      </c>
      <c r="S784" s="24">
        <v>145332</v>
      </c>
      <c r="T784" s="24">
        <v>145332</v>
      </c>
      <c r="U784" s="24">
        <v>145332</v>
      </c>
      <c r="V784" s="24">
        <v>145332</v>
      </c>
      <c r="W784" s="24">
        <v>145332</v>
      </c>
      <c r="X784" s="24">
        <v>145332</v>
      </c>
      <c r="Y784" s="24">
        <v>146680</v>
      </c>
      <c r="Z784" s="24">
        <f t="shared" si="38"/>
        <v>1600000</v>
      </c>
      <c r="AB784" s="25">
        <v>1600000</v>
      </c>
      <c r="AC784" s="26">
        <v>1600000</v>
      </c>
      <c r="AD784" s="24">
        <v>0</v>
      </c>
      <c r="AE784" s="27">
        <f>_xlfn.XLOOKUP(B784,'Projects Cashflow'!$B:$B,'Projects Cashflow'!$AG:$AG,0)</f>
        <v>1600000</v>
      </c>
      <c r="AF784" s="28">
        <f t="shared" si="39"/>
        <v>0</v>
      </c>
    </row>
    <row r="785" spans="2:32" x14ac:dyDescent="0.3">
      <c r="B785" s="14" t="str">
        <f t="shared" si="37"/>
        <v>45131304511001631Sponsorship Fees-L424811201931</v>
      </c>
      <c r="C785" s="21" t="s">
        <v>319</v>
      </c>
      <c r="D785" s="22">
        <v>4513130</v>
      </c>
      <c r="E785" s="21" t="s">
        <v>320</v>
      </c>
      <c r="F785" s="22">
        <v>4511001631</v>
      </c>
      <c r="G785" s="21" t="s">
        <v>2140</v>
      </c>
      <c r="H785" s="21" t="s">
        <v>935</v>
      </c>
      <c r="I785" s="22" t="s">
        <v>2802</v>
      </c>
      <c r="J785" s="22">
        <v>201931</v>
      </c>
      <c r="K785" s="22" t="s">
        <v>2959</v>
      </c>
      <c r="L785" s="22">
        <v>70501</v>
      </c>
      <c r="M785" s="23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4">
        <f t="shared" si="38"/>
        <v>0</v>
      </c>
      <c r="AB785" s="25">
        <v>4240000</v>
      </c>
      <c r="AC785" s="26">
        <v>4240000</v>
      </c>
      <c r="AD785" s="24">
        <v>0</v>
      </c>
      <c r="AE785" s="27">
        <f>_xlfn.XLOOKUP(B785,'Projects Cashflow'!$B:$B,'Projects Cashflow'!$AG:$AG,0)</f>
        <v>4240000</v>
      </c>
      <c r="AF785" s="28">
        <f t="shared" si="39"/>
        <v>0</v>
      </c>
    </row>
    <row r="786" spans="2:32" x14ac:dyDescent="0.3">
      <c r="B786" s="14" t="str">
        <f t="shared" si="37"/>
        <v>45131404511000243Strategy Advice-L1421123201931</v>
      </c>
      <c r="C786" s="21" t="s">
        <v>319</v>
      </c>
      <c r="D786" s="22">
        <v>4513140</v>
      </c>
      <c r="E786" s="21" t="s">
        <v>334</v>
      </c>
      <c r="F786" s="22">
        <v>4511000243</v>
      </c>
      <c r="G786" s="21" t="s">
        <v>3081</v>
      </c>
      <c r="H786" s="29" t="s">
        <v>332</v>
      </c>
      <c r="I786" s="22">
        <v>421123</v>
      </c>
      <c r="J786" s="22">
        <v>201931</v>
      </c>
      <c r="K786" s="22" t="s">
        <v>2959</v>
      </c>
      <c r="L786" s="22">
        <v>70601</v>
      </c>
      <c r="M786" s="23" t="s">
        <v>2961</v>
      </c>
      <c r="N786" s="24">
        <v>0</v>
      </c>
      <c r="O786" s="24">
        <v>0</v>
      </c>
      <c r="P786" s="24">
        <v>0</v>
      </c>
      <c r="Q786" s="24">
        <v>0</v>
      </c>
      <c r="R786" s="24">
        <v>0</v>
      </c>
      <c r="S786" s="24">
        <v>0</v>
      </c>
      <c r="T786" s="24">
        <v>0</v>
      </c>
      <c r="U786" s="24">
        <v>2000000</v>
      </c>
      <c r="V786" s="24">
        <v>0</v>
      </c>
      <c r="W786" s="24">
        <v>0</v>
      </c>
      <c r="X786" s="24">
        <v>0</v>
      </c>
      <c r="Y786" s="24">
        <v>0</v>
      </c>
      <c r="Z786" s="24">
        <f t="shared" si="38"/>
        <v>2000000</v>
      </c>
      <c r="AB786" s="25">
        <v>2000000</v>
      </c>
      <c r="AC786" s="26">
        <v>2000000</v>
      </c>
      <c r="AD786" s="24">
        <v>0</v>
      </c>
      <c r="AE786" s="27">
        <f>_xlfn.XLOOKUP(B786,'Projects Cashflow'!$B:$B,'Projects Cashflow'!$AG:$AG,0)</f>
        <v>2000000</v>
      </c>
      <c r="AF786" s="28">
        <f t="shared" si="39"/>
        <v>0</v>
      </c>
    </row>
    <row r="787" spans="2:32" x14ac:dyDescent="0.3">
      <c r="B787" s="14" t="str">
        <f t="shared" si="37"/>
        <v>45131404511000450Activation&amp;Prog-L422401201931</v>
      </c>
      <c r="C787" s="21" t="s">
        <v>319</v>
      </c>
      <c r="D787" s="22">
        <v>4513140</v>
      </c>
      <c r="E787" s="21" t="s">
        <v>334</v>
      </c>
      <c r="F787" s="22">
        <v>4511000450</v>
      </c>
      <c r="G787" s="21" t="s">
        <v>554</v>
      </c>
      <c r="H787" s="21" t="s">
        <v>555</v>
      </c>
      <c r="I787" s="22">
        <v>422401</v>
      </c>
      <c r="J787" s="22">
        <v>201931</v>
      </c>
      <c r="K787" s="22" t="s">
        <v>2959</v>
      </c>
      <c r="L787" s="22">
        <v>70601</v>
      </c>
      <c r="M787" s="23" t="s">
        <v>2960</v>
      </c>
      <c r="N787" s="24">
        <v>0</v>
      </c>
      <c r="O787" s="24">
        <v>0</v>
      </c>
      <c r="P787" s="24">
        <v>0</v>
      </c>
      <c r="Q787" s="24">
        <v>0</v>
      </c>
      <c r="R787" s="24">
        <v>0</v>
      </c>
      <c r="S787" s="24">
        <v>2000000</v>
      </c>
      <c r="T787" s="24">
        <v>0</v>
      </c>
      <c r="U787" s="24">
        <v>0</v>
      </c>
      <c r="V787" s="24">
        <v>0</v>
      </c>
      <c r="W787" s="24">
        <v>0</v>
      </c>
      <c r="X787" s="24">
        <v>0</v>
      </c>
      <c r="Y787" s="24">
        <v>2000000</v>
      </c>
      <c r="Z787" s="24">
        <f t="shared" si="38"/>
        <v>4000000</v>
      </c>
      <c r="AB787" s="25">
        <v>4000000</v>
      </c>
      <c r="AC787" s="26">
        <v>4000000</v>
      </c>
      <c r="AD787" s="24">
        <v>0</v>
      </c>
      <c r="AE787" s="27">
        <f>_xlfn.XLOOKUP(B787,'Projects Cashflow'!$B:$B,'Projects Cashflow'!$AG:$AG,0)</f>
        <v>4000000</v>
      </c>
      <c r="AF787" s="28">
        <f t="shared" si="39"/>
        <v>0</v>
      </c>
    </row>
    <row r="788" spans="2:32" x14ac:dyDescent="0.3">
      <c r="B788" s="14" t="str">
        <f t="shared" si="37"/>
        <v>45131404511000947CampaignProdRtnr-N1422511200104</v>
      </c>
      <c r="C788" s="21" t="s">
        <v>319</v>
      </c>
      <c r="D788" s="22">
        <v>4513140</v>
      </c>
      <c r="E788" s="21" t="s">
        <v>334</v>
      </c>
      <c r="F788" s="22">
        <v>4511000947</v>
      </c>
      <c r="G788" s="21" t="s">
        <v>1270</v>
      </c>
      <c r="H788" s="21" t="s">
        <v>1271</v>
      </c>
      <c r="I788" s="22">
        <v>422511</v>
      </c>
      <c r="J788" s="22">
        <v>200104</v>
      </c>
      <c r="K788" s="22" t="s">
        <v>2959</v>
      </c>
      <c r="L788" s="22">
        <v>70601</v>
      </c>
      <c r="M788" s="23" t="s">
        <v>2960</v>
      </c>
      <c r="N788" s="24">
        <v>0</v>
      </c>
      <c r="O788" s="24">
        <v>0</v>
      </c>
      <c r="P788" s="24">
        <v>0</v>
      </c>
      <c r="Q788" s="24">
        <v>4149797.54</v>
      </c>
      <c r="R788" s="24">
        <v>911471.54</v>
      </c>
      <c r="S788" s="24">
        <v>911471.54</v>
      </c>
      <c r="T788" s="24">
        <v>911471.54</v>
      </c>
      <c r="U788" s="24">
        <v>911471.54</v>
      </c>
      <c r="V788" s="24">
        <v>911471.54</v>
      </c>
      <c r="W788" s="24">
        <v>911471.54</v>
      </c>
      <c r="X788" s="24">
        <v>911471.54</v>
      </c>
      <c r="Y788" s="24">
        <v>1822943.09</v>
      </c>
      <c r="Z788" s="24">
        <f t="shared" si="38"/>
        <v>12353041.41</v>
      </c>
      <c r="AB788" s="25">
        <v>8982590.4100000001</v>
      </c>
      <c r="AC788" s="26">
        <v>8982590</v>
      </c>
      <c r="AD788" s="24">
        <v>0.41000000014901161</v>
      </c>
      <c r="AE788" s="27">
        <f>_xlfn.XLOOKUP(B788,'Projects Cashflow'!$B:$B,'Projects Cashflow'!$AG:$AG,0)</f>
        <v>8982590</v>
      </c>
      <c r="AF788" s="28">
        <f t="shared" si="39"/>
        <v>-0.41000000014901161</v>
      </c>
    </row>
    <row r="789" spans="2:32" x14ac:dyDescent="0.3">
      <c r="B789" s="14" t="str">
        <f t="shared" si="37"/>
        <v>45131404511001361CampaignProductn-L1422511201931</v>
      </c>
      <c r="C789" s="21" t="s">
        <v>319</v>
      </c>
      <c r="D789" s="22">
        <v>4513140</v>
      </c>
      <c r="E789" s="21" t="s">
        <v>334</v>
      </c>
      <c r="F789" s="22">
        <v>4511001361</v>
      </c>
      <c r="G789" s="21" t="s">
        <v>1610</v>
      </c>
      <c r="H789" s="21" t="s">
        <v>1763</v>
      </c>
      <c r="I789" s="22">
        <v>422511</v>
      </c>
      <c r="J789" s="22">
        <v>201931</v>
      </c>
      <c r="K789" s="22" t="s">
        <v>2959</v>
      </c>
      <c r="L789" s="22">
        <v>70501</v>
      </c>
      <c r="M789" s="23" t="s">
        <v>2961</v>
      </c>
      <c r="N789" s="24">
        <v>0</v>
      </c>
      <c r="O789" s="24">
        <v>0</v>
      </c>
      <c r="P789" s="24">
        <v>0</v>
      </c>
      <c r="Q789" s="24">
        <v>100000</v>
      </c>
      <c r="R789" s="24">
        <v>0</v>
      </c>
      <c r="S789" s="24">
        <v>0</v>
      </c>
      <c r="T789" s="24">
        <v>0</v>
      </c>
      <c r="U789" s="24">
        <v>0</v>
      </c>
      <c r="V789" s="24">
        <v>0</v>
      </c>
      <c r="W789" s="24">
        <v>200000</v>
      </c>
      <c r="X789" s="24">
        <v>200000</v>
      </c>
      <c r="Y789" s="24">
        <v>200000</v>
      </c>
      <c r="Z789" s="24">
        <f t="shared" si="38"/>
        <v>700000</v>
      </c>
      <c r="AB789" s="25">
        <v>700000</v>
      </c>
      <c r="AC789" s="26">
        <v>700000</v>
      </c>
      <c r="AD789" s="24">
        <v>0</v>
      </c>
      <c r="AE789" s="27">
        <f>_xlfn.XLOOKUP(B789,'Projects Cashflow'!$B:$B,'Projects Cashflow'!$AG:$AG,0)</f>
        <v>700000</v>
      </c>
      <c r="AF789" s="28">
        <f t="shared" si="39"/>
        <v>0</v>
      </c>
    </row>
    <row r="790" spans="2:32" x14ac:dyDescent="0.3">
      <c r="B790" s="14" t="str">
        <f t="shared" si="37"/>
        <v>45131404511001465PRMgmnt E-E Rtnr-L421125201931</v>
      </c>
      <c r="C790" s="21" t="s">
        <v>319</v>
      </c>
      <c r="D790" s="22">
        <v>4513140</v>
      </c>
      <c r="E790" s="21" t="s">
        <v>334</v>
      </c>
      <c r="F790" s="22">
        <v>4511001465</v>
      </c>
      <c r="G790" s="21" t="s">
        <v>1762</v>
      </c>
      <c r="H790" s="21" t="s">
        <v>1767</v>
      </c>
      <c r="I790" s="22">
        <v>421125</v>
      </c>
      <c r="J790" s="22">
        <v>201931</v>
      </c>
      <c r="K790" s="22" t="s">
        <v>2959</v>
      </c>
      <c r="L790" s="22">
        <v>70603</v>
      </c>
      <c r="M790" s="23" t="s">
        <v>2961</v>
      </c>
      <c r="N790" s="24">
        <v>0</v>
      </c>
      <c r="O790" s="24">
        <v>0</v>
      </c>
      <c r="P790" s="24">
        <v>0</v>
      </c>
      <c r="Q790" s="24">
        <v>1300000</v>
      </c>
      <c r="R790" s="24">
        <v>0</v>
      </c>
      <c r="S790" s="24">
        <v>4400000</v>
      </c>
      <c r="T790" s="24">
        <v>183333.33333333334</v>
      </c>
      <c r="U790" s="24">
        <v>183333.33333333334</v>
      </c>
      <c r="V790" s="24">
        <v>183333.33333333334</v>
      </c>
      <c r="W790" s="24">
        <v>183333.33333333334</v>
      </c>
      <c r="X790" s="24">
        <v>183333.33333333334</v>
      </c>
      <c r="Y790" s="24">
        <v>183333.33333333334</v>
      </c>
      <c r="Z790" s="24">
        <f t="shared" si="38"/>
        <v>6799999.9999999981</v>
      </c>
      <c r="AB790" s="25">
        <v>6058507.9999999981</v>
      </c>
      <c r="AC790" s="26">
        <v>6058508</v>
      </c>
      <c r="AD790" s="24">
        <v>0</v>
      </c>
      <c r="AE790" s="27">
        <f>_xlfn.XLOOKUP(B790,'Projects Cashflow'!$B:$B,'Projects Cashflow'!$AG:$AG,0)</f>
        <v>6058508</v>
      </c>
      <c r="AF790" s="28">
        <f t="shared" si="39"/>
        <v>0</v>
      </c>
    </row>
    <row r="791" spans="2:32" x14ac:dyDescent="0.3">
      <c r="B791" s="14" t="str">
        <f t="shared" si="37"/>
        <v>45131404511001465CampaignProductn-L1422511201931</v>
      </c>
      <c r="C791" s="21" t="s">
        <v>319</v>
      </c>
      <c r="D791" s="22">
        <v>4513140</v>
      </c>
      <c r="E791" s="21" t="s">
        <v>334</v>
      </c>
      <c r="F791" s="22">
        <v>4511001465</v>
      </c>
      <c r="G791" s="21" t="s">
        <v>1762</v>
      </c>
      <c r="H791" s="29" t="s">
        <v>1763</v>
      </c>
      <c r="I791" s="22">
        <v>422511</v>
      </c>
      <c r="J791" s="22">
        <v>201931</v>
      </c>
      <c r="K791" s="22" t="s">
        <v>2959</v>
      </c>
      <c r="L791" s="22">
        <v>70601</v>
      </c>
      <c r="M791" s="23" t="s">
        <v>2961</v>
      </c>
      <c r="N791" s="24">
        <v>0</v>
      </c>
      <c r="O791" s="24">
        <v>0</v>
      </c>
      <c r="P791" s="24">
        <v>0</v>
      </c>
      <c r="Q791" s="24">
        <v>0</v>
      </c>
      <c r="R791" s="24">
        <v>0</v>
      </c>
      <c r="S791" s="24">
        <v>0</v>
      </c>
      <c r="T791" s="24">
        <v>0</v>
      </c>
      <c r="U791" s="24">
        <v>4000000</v>
      </c>
      <c r="V791" s="24">
        <v>0</v>
      </c>
      <c r="W791" s="24">
        <v>0</v>
      </c>
      <c r="X791" s="24">
        <v>0</v>
      </c>
      <c r="Y791" s="24">
        <v>0</v>
      </c>
      <c r="Z791" s="24">
        <f t="shared" si="38"/>
        <v>4000000</v>
      </c>
      <c r="AB791" s="25">
        <v>4000000</v>
      </c>
      <c r="AC791" s="26">
        <v>4000000</v>
      </c>
      <c r="AD791" s="24">
        <v>0</v>
      </c>
      <c r="AE791" s="27">
        <f>_xlfn.XLOOKUP(B791,'Projects Cashflow'!$B:$B,'Projects Cashflow'!$AG:$AG,0)</f>
        <v>4000000</v>
      </c>
      <c r="AF791" s="28">
        <f t="shared" si="39"/>
        <v>0</v>
      </c>
    </row>
    <row r="792" spans="2:32" x14ac:dyDescent="0.3">
      <c r="B792" s="14" t="str">
        <f t="shared" si="37"/>
        <v>45131404511001547CampaignProductn-l422511201931</v>
      </c>
      <c r="C792" s="21" t="s">
        <v>319</v>
      </c>
      <c r="D792" s="22">
        <v>4513140</v>
      </c>
      <c r="E792" s="21" t="s">
        <v>334</v>
      </c>
      <c r="F792" s="22">
        <v>4511001547</v>
      </c>
      <c r="G792" s="21" t="s">
        <v>1982</v>
      </c>
      <c r="H792" s="21" t="s">
        <v>2017</v>
      </c>
      <c r="I792" s="22">
        <v>422511</v>
      </c>
      <c r="J792" s="22">
        <v>201931</v>
      </c>
      <c r="K792" s="22" t="s">
        <v>2959</v>
      </c>
      <c r="L792" s="22">
        <v>70601</v>
      </c>
      <c r="M792" s="23" t="s">
        <v>2961</v>
      </c>
      <c r="N792" s="24">
        <v>0</v>
      </c>
      <c r="O792" s="24">
        <v>0</v>
      </c>
      <c r="P792" s="24">
        <v>0</v>
      </c>
      <c r="Q792" s="24">
        <v>0</v>
      </c>
      <c r="R792" s="24">
        <v>0</v>
      </c>
      <c r="S792" s="24">
        <v>0</v>
      </c>
      <c r="T792" s="24">
        <v>0</v>
      </c>
      <c r="U792" s="24">
        <v>0</v>
      </c>
      <c r="V792" s="24">
        <v>0</v>
      </c>
      <c r="W792" s="24">
        <v>0</v>
      </c>
      <c r="X792" s="24">
        <v>0</v>
      </c>
      <c r="Y792" s="24">
        <v>2000000</v>
      </c>
      <c r="Z792" s="24">
        <f t="shared" si="38"/>
        <v>2000000</v>
      </c>
      <c r="AB792" s="25">
        <v>4022112</v>
      </c>
      <c r="AC792" s="26">
        <v>4022112</v>
      </c>
      <c r="AD792" s="24">
        <v>0</v>
      </c>
      <c r="AE792" s="27">
        <f>_xlfn.XLOOKUP(B792,'Projects Cashflow'!$B:$B,'Projects Cashflow'!$AG:$AG,0)</f>
        <v>4022112</v>
      </c>
      <c r="AF792" s="28">
        <f t="shared" si="39"/>
        <v>0</v>
      </c>
    </row>
    <row r="793" spans="2:32" x14ac:dyDescent="0.3">
      <c r="B793" s="14" t="str">
        <f t="shared" si="37"/>
        <v>45131404511001563CampaignProductn-l422511201931</v>
      </c>
      <c r="C793" s="21" t="s">
        <v>319</v>
      </c>
      <c r="D793" s="22">
        <v>4513140</v>
      </c>
      <c r="E793" s="21" t="s">
        <v>334</v>
      </c>
      <c r="F793" s="22">
        <v>4511001563</v>
      </c>
      <c r="G793" s="21" t="s">
        <v>2016</v>
      </c>
      <c r="H793" s="21" t="s">
        <v>2017</v>
      </c>
      <c r="I793" s="22">
        <v>422511</v>
      </c>
      <c r="J793" s="22">
        <v>201931</v>
      </c>
      <c r="K793" s="22" t="s">
        <v>2959</v>
      </c>
      <c r="L793" s="22">
        <v>70601</v>
      </c>
      <c r="M793" s="23" t="s">
        <v>2961</v>
      </c>
      <c r="N793" s="24">
        <v>0</v>
      </c>
      <c r="O793" s="24">
        <v>0</v>
      </c>
      <c r="P793" s="24">
        <v>0</v>
      </c>
      <c r="Q793" s="24">
        <v>9000000</v>
      </c>
      <c r="R793" s="24">
        <v>0</v>
      </c>
      <c r="S793" s="24">
        <v>1424533</v>
      </c>
      <c r="T793" s="24">
        <v>0</v>
      </c>
      <c r="U793" s="24">
        <v>0</v>
      </c>
      <c r="V793" s="24">
        <v>0</v>
      </c>
      <c r="W793" s="24">
        <v>0</v>
      </c>
      <c r="X793" s="24">
        <v>0</v>
      </c>
      <c r="Y793" s="24">
        <v>0</v>
      </c>
      <c r="Z793" s="24">
        <f t="shared" si="38"/>
        <v>10424533</v>
      </c>
      <c r="AB793" s="25">
        <v>10424533</v>
      </c>
      <c r="AC793" s="26">
        <v>10424533</v>
      </c>
      <c r="AD793" s="24">
        <v>0</v>
      </c>
      <c r="AE793" s="27">
        <f>_xlfn.XLOOKUP(B793,'Projects Cashflow'!$B:$B,'Projects Cashflow'!$AG:$AG,0)</f>
        <v>10424533</v>
      </c>
      <c r="AF793" s="28">
        <f t="shared" si="39"/>
        <v>0</v>
      </c>
    </row>
    <row r="794" spans="2:32" x14ac:dyDescent="0.3">
      <c r="B794" s="14" t="str">
        <f t="shared" si="37"/>
        <v>45131404511001567CampaignProductn-l422511201931</v>
      </c>
      <c r="C794" s="21" t="s">
        <v>319</v>
      </c>
      <c r="D794" s="22">
        <v>4513140</v>
      </c>
      <c r="E794" s="21" t="s">
        <v>334</v>
      </c>
      <c r="F794" s="22">
        <v>4511001567</v>
      </c>
      <c r="G794" s="21" t="s">
        <v>2025</v>
      </c>
      <c r="H794" s="21" t="s">
        <v>2017</v>
      </c>
      <c r="I794" s="22">
        <v>422511</v>
      </c>
      <c r="J794" s="22">
        <v>201931</v>
      </c>
      <c r="K794" s="22" t="s">
        <v>2959</v>
      </c>
      <c r="L794" s="22">
        <v>70601</v>
      </c>
      <c r="M794" s="23" t="s">
        <v>2961</v>
      </c>
      <c r="N794" s="24">
        <v>0</v>
      </c>
      <c r="O794" s="24">
        <v>0</v>
      </c>
      <c r="P794" s="24">
        <v>0</v>
      </c>
      <c r="Q794" s="24">
        <v>0</v>
      </c>
      <c r="R794" s="24">
        <v>5000000</v>
      </c>
      <c r="S794" s="24">
        <v>0</v>
      </c>
      <c r="T794" s="24">
        <v>0</v>
      </c>
      <c r="U794" s="24">
        <v>0</v>
      </c>
      <c r="V794" s="24">
        <v>0</v>
      </c>
      <c r="W794" s="24">
        <v>0</v>
      </c>
      <c r="X794" s="24">
        <v>0</v>
      </c>
      <c r="Y794" s="24">
        <v>0</v>
      </c>
      <c r="Z794" s="24">
        <f t="shared" si="38"/>
        <v>5000000</v>
      </c>
      <c r="AB794" s="25">
        <v>5000000</v>
      </c>
      <c r="AC794" s="26">
        <v>5000000</v>
      </c>
      <c r="AD794" s="24">
        <v>0</v>
      </c>
      <c r="AE794" s="27">
        <f>_xlfn.XLOOKUP(B794,'Projects Cashflow'!$B:$B,'Projects Cashflow'!$AG:$AG,0)</f>
        <v>5000000</v>
      </c>
      <c r="AF794" s="28">
        <f t="shared" si="39"/>
        <v>0</v>
      </c>
    </row>
    <row r="795" spans="2:32" x14ac:dyDescent="0.3">
      <c r="B795" s="14" t="str">
        <f t="shared" si="37"/>
        <v>45131404511001568CampaignProductn-l422511201931</v>
      </c>
      <c r="C795" s="21" t="s">
        <v>319</v>
      </c>
      <c r="D795" s="22">
        <v>4513140</v>
      </c>
      <c r="E795" s="21" t="s">
        <v>334</v>
      </c>
      <c r="F795" s="22">
        <v>4511001568</v>
      </c>
      <c r="G795" s="21" t="s">
        <v>2027</v>
      </c>
      <c r="H795" s="21" t="s">
        <v>2017</v>
      </c>
      <c r="I795" s="22">
        <v>422511</v>
      </c>
      <c r="J795" s="22">
        <v>201931</v>
      </c>
      <c r="K795" s="22" t="s">
        <v>2959</v>
      </c>
      <c r="L795" s="22">
        <v>70601</v>
      </c>
      <c r="M795" s="23" t="s">
        <v>2961</v>
      </c>
      <c r="N795" s="24">
        <v>0</v>
      </c>
      <c r="O795" s="24">
        <v>0</v>
      </c>
      <c r="P795" s="24">
        <v>0</v>
      </c>
      <c r="Q795" s="24">
        <v>0</v>
      </c>
      <c r="R795" s="24">
        <v>0</v>
      </c>
      <c r="S795" s="24">
        <v>0</v>
      </c>
      <c r="T795" s="24">
        <v>0</v>
      </c>
      <c r="U795" s="24">
        <v>0</v>
      </c>
      <c r="V795" s="24">
        <v>0</v>
      </c>
      <c r="W795" s="24">
        <v>0</v>
      </c>
      <c r="X795" s="24">
        <v>0</v>
      </c>
      <c r="Y795" s="24">
        <v>6000000</v>
      </c>
      <c r="Z795" s="24">
        <f t="shared" si="38"/>
        <v>6000000</v>
      </c>
      <c r="AB795" s="25">
        <v>6000000</v>
      </c>
      <c r="AC795" s="26">
        <v>6000000</v>
      </c>
      <c r="AD795" s="24">
        <v>0</v>
      </c>
      <c r="AE795" s="27">
        <f>_xlfn.XLOOKUP(B795,'Projects Cashflow'!$B:$B,'Projects Cashflow'!$AG:$AG,0)</f>
        <v>6000000</v>
      </c>
      <c r="AF795" s="28">
        <f t="shared" si="39"/>
        <v>0</v>
      </c>
    </row>
    <row r="796" spans="2:32" x14ac:dyDescent="0.3">
      <c r="B796" s="14" t="str">
        <f t="shared" si="37"/>
        <v>45131404511001599CampaignProductn-l422511201931</v>
      </c>
      <c r="C796" s="21" t="s">
        <v>319</v>
      </c>
      <c r="D796" s="22">
        <v>4513140</v>
      </c>
      <c r="E796" s="21" t="s">
        <v>334</v>
      </c>
      <c r="F796" s="22">
        <v>4511001599</v>
      </c>
      <c r="G796" s="21" t="s">
        <v>2091</v>
      </c>
      <c r="H796" s="21" t="s">
        <v>2017</v>
      </c>
      <c r="I796" s="22">
        <v>422511</v>
      </c>
      <c r="J796" s="22">
        <v>201931</v>
      </c>
      <c r="K796" s="22" t="s">
        <v>2959</v>
      </c>
      <c r="L796" s="22">
        <v>70601</v>
      </c>
      <c r="M796" s="23" t="s">
        <v>2961</v>
      </c>
      <c r="N796" s="24">
        <v>0</v>
      </c>
      <c r="O796" s="24">
        <v>0</v>
      </c>
      <c r="P796" s="24">
        <v>0</v>
      </c>
      <c r="Q796" s="24">
        <v>0</v>
      </c>
      <c r="R796" s="24">
        <v>0</v>
      </c>
      <c r="S796" s="24">
        <v>0</v>
      </c>
      <c r="T796" s="24">
        <v>0</v>
      </c>
      <c r="U796" s="24">
        <v>0</v>
      </c>
      <c r="V796" s="24">
        <v>0</v>
      </c>
      <c r="W796" s="24">
        <v>0</v>
      </c>
      <c r="X796" s="24">
        <v>0</v>
      </c>
      <c r="Y796" s="24">
        <v>5500000</v>
      </c>
      <c r="Z796" s="24">
        <f t="shared" si="38"/>
        <v>5500000</v>
      </c>
      <c r="AB796" s="25">
        <v>5500000</v>
      </c>
      <c r="AC796" s="26">
        <v>5500000</v>
      </c>
      <c r="AD796" s="24">
        <v>0</v>
      </c>
      <c r="AE796" s="27">
        <f>_xlfn.XLOOKUP(B796,'Projects Cashflow'!$B:$B,'Projects Cashflow'!$AG:$AG,0)</f>
        <v>5500000</v>
      </c>
      <c r="AF796" s="28">
        <f t="shared" si="39"/>
        <v>0</v>
      </c>
    </row>
    <row r="797" spans="2:32" x14ac:dyDescent="0.3">
      <c r="B797" s="14" t="str">
        <f t="shared" si="37"/>
        <v>45131404511001600CampaignProductn-l422511201931</v>
      </c>
      <c r="C797" s="21" t="s">
        <v>319</v>
      </c>
      <c r="D797" s="22">
        <v>4513140</v>
      </c>
      <c r="E797" s="21" t="s">
        <v>334</v>
      </c>
      <c r="F797" s="22">
        <v>4511001600</v>
      </c>
      <c r="G797" s="21" t="s">
        <v>2093</v>
      </c>
      <c r="H797" s="21" t="s">
        <v>2017</v>
      </c>
      <c r="I797" s="22">
        <v>422511</v>
      </c>
      <c r="J797" s="22">
        <v>201931</v>
      </c>
      <c r="K797" s="22" t="s">
        <v>2959</v>
      </c>
      <c r="L797" s="22">
        <v>70601</v>
      </c>
      <c r="M797" s="23" t="s">
        <v>2961</v>
      </c>
      <c r="N797" s="24">
        <v>0</v>
      </c>
      <c r="O797" s="24">
        <v>0</v>
      </c>
      <c r="P797" s="24">
        <v>0</v>
      </c>
      <c r="Q797" s="24">
        <v>0</v>
      </c>
      <c r="R797" s="24">
        <v>0</v>
      </c>
      <c r="S797" s="24">
        <v>0</v>
      </c>
      <c r="T797" s="24">
        <v>0</v>
      </c>
      <c r="U797" s="24">
        <v>0</v>
      </c>
      <c r="V797" s="24">
        <v>0</v>
      </c>
      <c r="W797" s="24">
        <v>0</v>
      </c>
      <c r="X797" s="24">
        <v>7868506</v>
      </c>
      <c r="Y797" s="24">
        <v>0</v>
      </c>
      <c r="Z797" s="24">
        <f t="shared" si="38"/>
        <v>7868506</v>
      </c>
      <c r="AB797" s="25">
        <v>9918506</v>
      </c>
      <c r="AC797" s="26">
        <v>9918506</v>
      </c>
      <c r="AD797" s="24">
        <v>0</v>
      </c>
      <c r="AE797" s="27">
        <f>_xlfn.XLOOKUP(B797,'Projects Cashflow'!$B:$B,'Projects Cashflow'!$AG:$AG,0)</f>
        <v>9918506</v>
      </c>
      <c r="AF797" s="28">
        <f t="shared" si="39"/>
        <v>0</v>
      </c>
    </row>
    <row r="798" spans="2:32" x14ac:dyDescent="0.3">
      <c r="B798" s="14" t="str">
        <f t="shared" si="37"/>
        <v>45131404511001601CampaignProductn-l422511201931</v>
      </c>
      <c r="C798" s="21" t="s">
        <v>319</v>
      </c>
      <c r="D798" s="22">
        <v>4513140</v>
      </c>
      <c r="E798" s="21" t="s">
        <v>334</v>
      </c>
      <c r="F798" s="22">
        <v>4511001601</v>
      </c>
      <c r="G798" s="21" t="s">
        <v>2095</v>
      </c>
      <c r="H798" s="21" t="s">
        <v>2017</v>
      </c>
      <c r="I798" s="22">
        <v>422511</v>
      </c>
      <c r="J798" s="22">
        <v>201931</v>
      </c>
      <c r="K798" s="22" t="s">
        <v>2959</v>
      </c>
      <c r="L798" s="22">
        <v>70601</v>
      </c>
      <c r="M798" s="23" t="s">
        <v>2961</v>
      </c>
      <c r="N798" s="24">
        <v>0</v>
      </c>
      <c r="O798" s="24">
        <v>0</v>
      </c>
      <c r="P798" s="24">
        <v>0</v>
      </c>
      <c r="Q798" s="24">
        <v>0</v>
      </c>
      <c r="R798" s="24">
        <v>0</v>
      </c>
      <c r="S798" s="24">
        <v>0</v>
      </c>
      <c r="T798" s="24">
        <v>1853920</v>
      </c>
      <c r="U798" s="24">
        <v>0</v>
      </c>
      <c r="V798" s="24">
        <v>0</v>
      </c>
      <c r="W798" s="24">
        <v>0</v>
      </c>
      <c r="X798" s="24">
        <v>0</v>
      </c>
      <c r="Y798" s="24">
        <v>0</v>
      </c>
      <c r="Z798" s="24">
        <f t="shared" si="38"/>
        <v>1853920</v>
      </c>
      <c r="AB798" s="25">
        <v>1853920</v>
      </c>
      <c r="AC798" s="26">
        <v>1853920</v>
      </c>
      <c r="AD798" s="24">
        <v>0</v>
      </c>
      <c r="AE798" s="27">
        <f>_xlfn.XLOOKUP(B798,'Projects Cashflow'!$B:$B,'Projects Cashflow'!$AG:$AG,0)</f>
        <v>1853920</v>
      </c>
      <c r="AF798" s="28">
        <f t="shared" si="39"/>
        <v>0</v>
      </c>
    </row>
    <row r="799" spans="2:32" x14ac:dyDescent="0.3">
      <c r="B799" s="14" t="str">
        <f t="shared" si="37"/>
        <v>45131404511001602Sponsorship Fees-L424811201931</v>
      </c>
      <c r="C799" s="21" t="s">
        <v>319</v>
      </c>
      <c r="D799" s="22">
        <v>4513140</v>
      </c>
      <c r="E799" s="21" t="s">
        <v>334</v>
      </c>
      <c r="F799" s="22">
        <v>4511001602</v>
      </c>
      <c r="G799" s="21" t="s">
        <v>2097</v>
      </c>
      <c r="H799" s="21" t="s">
        <v>935</v>
      </c>
      <c r="I799" s="22">
        <v>424811</v>
      </c>
      <c r="J799" s="22">
        <v>201931</v>
      </c>
      <c r="K799" s="22" t="s">
        <v>2959</v>
      </c>
      <c r="L799" s="22">
        <v>70601</v>
      </c>
      <c r="M799" s="23" t="s">
        <v>2960</v>
      </c>
      <c r="N799" s="24">
        <v>0</v>
      </c>
      <c r="O799" s="24">
        <v>0</v>
      </c>
      <c r="P799" s="24">
        <v>0</v>
      </c>
      <c r="Q799" s="24">
        <v>0</v>
      </c>
      <c r="R799" s="24">
        <v>0</v>
      </c>
      <c r="S799" s="24">
        <v>0</v>
      </c>
      <c r="T799" s="24">
        <v>0</v>
      </c>
      <c r="U799" s="24">
        <v>0</v>
      </c>
      <c r="V799" s="24">
        <v>0</v>
      </c>
      <c r="W799" s="24">
        <v>0</v>
      </c>
      <c r="X799" s="24">
        <v>850000</v>
      </c>
      <c r="Y799" s="24">
        <v>0</v>
      </c>
      <c r="Z799" s="24">
        <f t="shared" si="38"/>
        <v>850000</v>
      </c>
      <c r="AB799" s="25">
        <v>874000</v>
      </c>
      <c r="AC799" s="26">
        <v>874000</v>
      </c>
      <c r="AD799" s="24">
        <v>0</v>
      </c>
      <c r="AE799" s="27">
        <f>_xlfn.XLOOKUP(B799,'Projects Cashflow'!$B:$B,'Projects Cashflow'!$AG:$AG,0)</f>
        <v>874000</v>
      </c>
      <c r="AF799" s="28">
        <f t="shared" si="39"/>
        <v>0</v>
      </c>
    </row>
    <row r="800" spans="2:32" x14ac:dyDescent="0.3">
      <c r="B800" s="14" t="str">
        <f t="shared" si="37"/>
        <v>45101704511000037Mission &amp; Travel-N423821200104</v>
      </c>
      <c r="C800" s="21" t="s">
        <v>2984</v>
      </c>
      <c r="D800" s="22">
        <v>4510170</v>
      </c>
      <c r="E800" s="21" t="s">
        <v>141</v>
      </c>
      <c r="F800" s="22">
        <v>4511000037</v>
      </c>
      <c r="G800" s="21" t="s">
        <v>3086</v>
      </c>
      <c r="H800" s="21" t="s">
        <v>54</v>
      </c>
      <c r="I800" s="22">
        <v>423821</v>
      </c>
      <c r="J800" s="22">
        <v>200104</v>
      </c>
      <c r="K800" s="22" t="s">
        <v>2959</v>
      </c>
      <c r="L800" s="22">
        <v>70502</v>
      </c>
      <c r="M800" s="23" t="s">
        <v>2960</v>
      </c>
      <c r="N800" s="24">
        <v>0</v>
      </c>
      <c r="O800" s="24">
        <v>0</v>
      </c>
      <c r="P800" s="24">
        <v>0</v>
      </c>
      <c r="Q800" s="24">
        <v>54800</v>
      </c>
      <c r="R800" s="24">
        <v>0</v>
      </c>
      <c r="S800" s="24">
        <v>0</v>
      </c>
      <c r="T800" s="24">
        <v>3000</v>
      </c>
      <c r="U800" s="24">
        <v>0</v>
      </c>
      <c r="V800" s="24">
        <v>0</v>
      </c>
      <c r="W800" s="24">
        <v>3000</v>
      </c>
      <c r="X800" s="24">
        <v>70404</v>
      </c>
      <c r="Y800" s="24">
        <v>13000</v>
      </c>
      <c r="Z800" s="24">
        <f t="shared" si="38"/>
        <v>144204</v>
      </c>
      <c r="AB800" s="25">
        <v>144204</v>
      </c>
      <c r="AC800" s="26">
        <v>144204</v>
      </c>
      <c r="AD800" s="24">
        <v>0</v>
      </c>
      <c r="AE800" s="27">
        <f>_xlfn.XLOOKUP(B800,'Projects Cashflow'!$B:$B,'Projects Cashflow'!$AG:$AG,0)</f>
        <v>144204</v>
      </c>
      <c r="AF800" s="28">
        <f t="shared" si="39"/>
        <v>0</v>
      </c>
    </row>
    <row r="801" spans="2:32" x14ac:dyDescent="0.3">
      <c r="B801" s="14" t="str">
        <f t="shared" si="37"/>
        <v>45101704511000037Admin Expenses-N421125200104</v>
      </c>
      <c r="C801" s="21" t="s">
        <v>2984</v>
      </c>
      <c r="D801" s="22">
        <v>4510170</v>
      </c>
      <c r="E801" s="21" t="s">
        <v>141</v>
      </c>
      <c r="F801" s="22">
        <v>4511000037</v>
      </c>
      <c r="G801" s="21" t="s">
        <v>3086</v>
      </c>
      <c r="H801" s="21" t="s">
        <v>130</v>
      </c>
      <c r="I801" s="22">
        <v>421125</v>
      </c>
      <c r="J801" s="22">
        <v>200104</v>
      </c>
      <c r="K801" s="22" t="s">
        <v>2959</v>
      </c>
      <c r="L801" s="22">
        <v>70502</v>
      </c>
      <c r="M801" s="23" t="s">
        <v>2960</v>
      </c>
      <c r="N801" s="24">
        <v>0</v>
      </c>
      <c r="O801" s="24">
        <v>0</v>
      </c>
      <c r="P801" s="24">
        <v>0</v>
      </c>
      <c r="Q801" s="24">
        <v>0</v>
      </c>
      <c r="R801" s="24">
        <v>0</v>
      </c>
      <c r="S801" s="24">
        <v>5000</v>
      </c>
      <c r="T801" s="24">
        <v>5000</v>
      </c>
      <c r="U801" s="24">
        <v>0</v>
      </c>
      <c r="V801" s="24">
        <v>0</v>
      </c>
      <c r="W801" s="24">
        <v>0</v>
      </c>
      <c r="X801" s="24">
        <v>52000</v>
      </c>
      <c r="Y801" s="24">
        <v>0</v>
      </c>
      <c r="Z801" s="24">
        <f t="shared" si="38"/>
        <v>62000</v>
      </c>
      <c r="AB801" s="25">
        <v>62000</v>
      </c>
      <c r="AC801" s="26">
        <v>62000</v>
      </c>
      <c r="AD801" s="24">
        <v>0</v>
      </c>
      <c r="AE801" s="27">
        <f>_xlfn.XLOOKUP(B801,'Projects Cashflow'!$B:$B,'Projects Cashflow'!$AG:$AG,0)</f>
        <v>62000</v>
      </c>
      <c r="AF801" s="28">
        <f t="shared" si="39"/>
        <v>0</v>
      </c>
    </row>
    <row r="802" spans="2:32" x14ac:dyDescent="0.3">
      <c r="B802" s="14" t="str">
        <f t="shared" si="37"/>
        <v>45101704511000751ManagementAdvice-N424521200104</v>
      </c>
      <c r="C802" s="21" t="s">
        <v>2984</v>
      </c>
      <c r="D802" s="22">
        <v>4510170</v>
      </c>
      <c r="E802" s="21" t="s">
        <v>141</v>
      </c>
      <c r="F802" s="22">
        <v>4511000751</v>
      </c>
      <c r="G802" s="21" t="s">
        <v>3087</v>
      </c>
      <c r="H802" s="21" t="s">
        <v>230</v>
      </c>
      <c r="I802" s="22">
        <v>424521</v>
      </c>
      <c r="J802" s="22">
        <v>200104</v>
      </c>
      <c r="K802" s="22" t="s">
        <v>2959</v>
      </c>
      <c r="L802" s="22">
        <v>70502</v>
      </c>
      <c r="M802" s="23" t="s">
        <v>2960</v>
      </c>
      <c r="N802" s="24">
        <v>0</v>
      </c>
      <c r="O802" s="24">
        <v>0</v>
      </c>
      <c r="P802" s="24">
        <v>0</v>
      </c>
      <c r="Q802" s="24">
        <v>0</v>
      </c>
      <c r="R802" s="24">
        <v>226846</v>
      </c>
      <c r="S802" s="24">
        <v>258559</v>
      </c>
      <c r="T802" s="24">
        <v>0</v>
      </c>
      <c r="U802" s="24">
        <v>0</v>
      </c>
      <c r="V802" s="24">
        <v>300000</v>
      </c>
      <c r="W802" s="24">
        <v>0</v>
      </c>
      <c r="X802" s="24">
        <v>193070</v>
      </c>
      <c r="Y802" s="24">
        <v>0</v>
      </c>
      <c r="Z802" s="24">
        <f t="shared" si="38"/>
        <v>978475</v>
      </c>
      <c r="AB802" s="25">
        <v>838975</v>
      </c>
      <c r="AC802" s="26">
        <v>838975</v>
      </c>
      <c r="AD802" s="24">
        <v>0</v>
      </c>
      <c r="AE802" s="27">
        <f>_xlfn.XLOOKUP(B802,'Projects Cashflow'!$B:$B,'Projects Cashflow'!$AG:$AG,0)</f>
        <v>838975</v>
      </c>
      <c r="AF802" s="28">
        <f t="shared" si="39"/>
        <v>0</v>
      </c>
    </row>
    <row r="803" spans="2:32" x14ac:dyDescent="0.3">
      <c r="B803" s="14" t="str">
        <f t="shared" si="37"/>
        <v>45101704511000751Audit Services-N421125200104</v>
      </c>
      <c r="C803" s="21" t="s">
        <v>2984</v>
      </c>
      <c r="D803" s="22">
        <v>4510170</v>
      </c>
      <c r="E803" s="21" t="s">
        <v>141</v>
      </c>
      <c r="F803" s="22">
        <v>4511000751</v>
      </c>
      <c r="G803" s="21" t="s">
        <v>3087</v>
      </c>
      <c r="H803" s="21" t="s">
        <v>43</v>
      </c>
      <c r="I803" s="22">
        <v>421125</v>
      </c>
      <c r="J803" s="22">
        <v>200104</v>
      </c>
      <c r="K803" s="22" t="s">
        <v>2959</v>
      </c>
      <c r="L803" s="22">
        <v>70502</v>
      </c>
      <c r="M803" s="23" t="s">
        <v>2960</v>
      </c>
      <c r="N803" s="24">
        <v>0</v>
      </c>
      <c r="O803" s="24">
        <v>0</v>
      </c>
      <c r="P803" s="24">
        <v>0</v>
      </c>
      <c r="Q803" s="24">
        <v>0</v>
      </c>
      <c r="R803" s="24">
        <v>57405</v>
      </c>
      <c r="S803" s="24">
        <v>0</v>
      </c>
      <c r="T803" s="24">
        <v>0</v>
      </c>
      <c r="U803" s="24">
        <v>22500</v>
      </c>
      <c r="V803" s="24">
        <v>5464</v>
      </c>
      <c r="W803" s="24">
        <v>0</v>
      </c>
      <c r="X803" s="24">
        <v>106700</v>
      </c>
      <c r="Y803" s="24">
        <v>0</v>
      </c>
      <c r="Z803" s="24">
        <f t="shared" si="38"/>
        <v>192069</v>
      </c>
      <c r="AB803" s="25">
        <v>192069</v>
      </c>
      <c r="AC803" s="26">
        <v>192069</v>
      </c>
      <c r="AD803" s="24">
        <v>0</v>
      </c>
      <c r="AE803" s="27">
        <f>_xlfn.XLOOKUP(B803,'Projects Cashflow'!$B:$B,'Projects Cashflow'!$AG:$AG,0)</f>
        <v>192069</v>
      </c>
      <c r="AF803" s="28">
        <f t="shared" si="39"/>
        <v>0</v>
      </c>
    </row>
    <row r="804" spans="2:32" x14ac:dyDescent="0.3">
      <c r="B804" s="14" t="str">
        <f t="shared" si="37"/>
        <v>45101704511000751Freelancer-N424521200104</v>
      </c>
      <c r="C804" s="21" t="s">
        <v>2984</v>
      </c>
      <c r="D804" s="22">
        <v>4510170</v>
      </c>
      <c r="E804" s="21" t="s">
        <v>141</v>
      </c>
      <c r="F804" s="22">
        <v>4511000751</v>
      </c>
      <c r="G804" s="21" t="s">
        <v>3087</v>
      </c>
      <c r="H804" s="46" t="s">
        <v>990</v>
      </c>
      <c r="I804" s="22">
        <v>424521</v>
      </c>
      <c r="J804" s="22">
        <v>200104</v>
      </c>
      <c r="K804" s="22" t="s">
        <v>2959</v>
      </c>
      <c r="L804" s="22">
        <v>70502</v>
      </c>
      <c r="M804" s="23" t="s">
        <v>2960</v>
      </c>
      <c r="N804" s="24">
        <v>0</v>
      </c>
      <c r="O804" s="24">
        <v>42400</v>
      </c>
      <c r="P804" s="26">
        <v>0</v>
      </c>
      <c r="Q804" s="24">
        <v>44000</v>
      </c>
      <c r="R804" s="24">
        <v>22000</v>
      </c>
      <c r="S804" s="24">
        <v>22000</v>
      </c>
      <c r="T804" s="24">
        <v>0</v>
      </c>
      <c r="U804" s="24">
        <v>0</v>
      </c>
      <c r="V804" s="24">
        <v>0</v>
      </c>
      <c r="W804" s="24">
        <v>0</v>
      </c>
      <c r="X804" s="24">
        <v>0</v>
      </c>
      <c r="Y804" s="24">
        <v>0</v>
      </c>
      <c r="Z804" s="24">
        <f t="shared" si="38"/>
        <v>130400</v>
      </c>
      <c r="AB804" s="25">
        <v>394400</v>
      </c>
      <c r="AC804" s="26">
        <v>394400</v>
      </c>
      <c r="AD804" s="24">
        <v>0</v>
      </c>
      <c r="AE804" s="27">
        <f>_xlfn.XLOOKUP(B804,'Projects Cashflow'!$B:$B,'Projects Cashflow'!$AG:$AG,0)</f>
        <v>394400</v>
      </c>
      <c r="AF804" s="28">
        <f t="shared" si="39"/>
        <v>0</v>
      </c>
    </row>
    <row r="805" spans="2:32" x14ac:dyDescent="0.3">
      <c r="B805" s="14" t="str">
        <f t="shared" si="37"/>
        <v>45101704511000751Licenses Fees-N424131200104</v>
      </c>
      <c r="C805" s="21" t="s">
        <v>2984</v>
      </c>
      <c r="D805" s="22">
        <v>4510170</v>
      </c>
      <c r="E805" s="21" t="s">
        <v>141</v>
      </c>
      <c r="F805" s="22">
        <v>4511000751</v>
      </c>
      <c r="G805" s="21" t="s">
        <v>3087</v>
      </c>
      <c r="H805" s="21" t="s">
        <v>365</v>
      </c>
      <c r="I805" s="22">
        <v>424131</v>
      </c>
      <c r="J805" s="22">
        <v>200104</v>
      </c>
      <c r="K805" s="22" t="s">
        <v>2959</v>
      </c>
      <c r="L805" s="22">
        <v>70502</v>
      </c>
      <c r="M805" s="23" t="s">
        <v>2960</v>
      </c>
      <c r="N805" s="24">
        <v>0</v>
      </c>
      <c r="O805" s="24">
        <v>0</v>
      </c>
      <c r="P805" s="24">
        <v>0</v>
      </c>
      <c r="Q805" s="24">
        <v>0</v>
      </c>
      <c r="R805" s="24">
        <v>0</v>
      </c>
      <c r="S805" s="24">
        <v>0</v>
      </c>
      <c r="T805" s="24">
        <v>0</v>
      </c>
      <c r="U805" s="24">
        <v>107892</v>
      </c>
      <c r="V805" s="24">
        <v>0</v>
      </c>
      <c r="W805" s="24">
        <v>0</v>
      </c>
      <c r="X805" s="24">
        <v>8600</v>
      </c>
      <c r="Y805" s="24">
        <v>0</v>
      </c>
      <c r="Z805" s="24">
        <f t="shared" si="38"/>
        <v>116492</v>
      </c>
      <c r="AB805" s="25">
        <v>116492</v>
      </c>
      <c r="AC805" s="26">
        <v>116492</v>
      </c>
      <c r="AD805" s="24">
        <v>0</v>
      </c>
      <c r="AE805" s="27">
        <f>_xlfn.XLOOKUP(B805,'Projects Cashflow'!$B:$B,'Projects Cashflow'!$AG:$AG,0)</f>
        <v>116492</v>
      </c>
      <c r="AF805" s="28">
        <f t="shared" si="39"/>
        <v>0</v>
      </c>
    </row>
    <row r="806" spans="2:32" x14ac:dyDescent="0.3">
      <c r="B806" s="14" t="str">
        <f t="shared" si="37"/>
        <v>45101704511000751Mission &amp; Travel-N423821200104</v>
      </c>
      <c r="C806" s="21" t="s">
        <v>2984</v>
      </c>
      <c r="D806" s="22">
        <v>4510170</v>
      </c>
      <c r="E806" s="21" t="s">
        <v>141</v>
      </c>
      <c r="F806" s="22">
        <v>4511000751</v>
      </c>
      <c r="G806" s="21" t="s">
        <v>3087</v>
      </c>
      <c r="H806" s="21" t="s">
        <v>54</v>
      </c>
      <c r="I806" s="22">
        <v>423821</v>
      </c>
      <c r="J806" s="22">
        <v>200104</v>
      </c>
      <c r="K806" s="22" t="s">
        <v>2959</v>
      </c>
      <c r="L806" s="22">
        <v>70502</v>
      </c>
      <c r="M806" s="23" t="s">
        <v>2960</v>
      </c>
      <c r="N806" s="24">
        <v>0</v>
      </c>
      <c r="O806" s="24">
        <v>0</v>
      </c>
      <c r="P806" s="26">
        <v>1000</v>
      </c>
      <c r="Q806" s="24">
        <v>7750</v>
      </c>
      <c r="R806" s="24">
        <v>0</v>
      </c>
      <c r="S806" s="24">
        <v>1950</v>
      </c>
      <c r="T806" s="24">
        <v>0</v>
      </c>
      <c r="U806" s="24">
        <v>1200</v>
      </c>
      <c r="V806" s="24">
        <v>0</v>
      </c>
      <c r="W806" s="24">
        <v>0</v>
      </c>
      <c r="X806" s="24">
        <v>0</v>
      </c>
      <c r="Y806" s="24">
        <v>13000</v>
      </c>
      <c r="Z806" s="24">
        <f t="shared" si="38"/>
        <v>24900</v>
      </c>
      <c r="AB806" s="25">
        <v>24900</v>
      </c>
      <c r="AC806" s="26">
        <v>24900</v>
      </c>
      <c r="AD806" s="24">
        <v>0</v>
      </c>
      <c r="AE806" s="27">
        <f>_xlfn.XLOOKUP(B806,'Projects Cashflow'!$B:$B,'Projects Cashflow'!$AG:$AG,0)</f>
        <v>24900</v>
      </c>
      <c r="AF806" s="28">
        <f t="shared" si="39"/>
        <v>0</v>
      </c>
    </row>
    <row r="807" spans="2:32" x14ac:dyDescent="0.3">
      <c r="B807" s="14" t="str">
        <f t="shared" si="37"/>
        <v>45101704511000751Admin Expenses-N421125200104</v>
      </c>
      <c r="C807" s="21" t="s">
        <v>2984</v>
      </c>
      <c r="D807" s="22">
        <v>4510170</v>
      </c>
      <c r="E807" s="21" t="s">
        <v>141</v>
      </c>
      <c r="F807" s="22">
        <v>4511000751</v>
      </c>
      <c r="G807" s="21" t="s">
        <v>3087</v>
      </c>
      <c r="H807" s="21" t="s">
        <v>130</v>
      </c>
      <c r="I807" s="22">
        <v>421125</v>
      </c>
      <c r="J807" s="22">
        <v>200104</v>
      </c>
      <c r="K807" s="22" t="s">
        <v>2959</v>
      </c>
      <c r="L807" s="22">
        <v>70502</v>
      </c>
      <c r="M807" s="23" t="s">
        <v>2960</v>
      </c>
      <c r="N807" s="24">
        <v>0</v>
      </c>
      <c r="O807" s="24">
        <v>0</v>
      </c>
      <c r="P807" s="24">
        <v>0</v>
      </c>
      <c r="Q807" s="24">
        <v>0</v>
      </c>
      <c r="R807" s="24">
        <v>0</v>
      </c>
      <c r="S807" s="24">
        <v>0</v>
      </c>
      <c r="T807" s="24">
        <v>0</v>
      </c>
      <c r="U807" s="24">
        <v>0</v>
      </c>
      <c r="V807" s="24">
        <v>0</v>
      </c>
      <c r="W807" s="24">
        <v>0</v>
      </c>
      <c r="X807" s="24">
        <v>8205</v>
      </c>
      <c r="Y807" s="24">
        <v>0</v>
      </c>
      <c r="Z807" s="24">
        <f t="shared" si="38"/>
        <v>8205</v>
      </c>
      <c r="AB807" s="25">
        <v>8205</v>
      </c>
      <c r="AC807" s="26">
        <v>8205</v>
      </c>
      <c r="AD807" s="24">
        <v>0</v>
      </c>
      <c r="AE807" s="27">
        <f>_xlfn.XLOOKUP(B807,'Projects Cashflow'!$B:$B,'Projects Cashflow'!$AG:$AG,0)</f>
        <v>8205</v>
      </c>
      <c r="AF807" s="28">
        <f t="shared" si="39"/>
        <v>0</v>
      </c>
    </row>
    <row r="808" spans="2:32" x14ac:dyDescent="0.3">
      <c r="B808" s="14" t="str">
        <f t="shared" si="37"/>
        <v>45101704511000752Health &amp; Safety-NC491911300105</v>
      </c>
      <c r="C808" s="21" t="s">
        <v>2984</v>
      </c>
      <c r="D808" s="22">
        <v>4510170</v>
      </c>
      <c r="E808" s="21" t="s">
        <v>141</v>
      </c>
      <c r="F808" s="22">
        <v>4511000752</v>
      </c>
      <c r="G808" s="21" t="s">
        <v>994</v>
      </c>
      <c r="H808" s="21" t="s">
        <v>999</v>
      </c>
      <c r="I808" s="22">
        <v>491911</v>
      </c>
      <c r="J808" s="22">
        <v>300105</v>
      </c>
      <c r="K808" s="22" t="s">
        <v>2972</v>
      </c>
      <c r="L808" s="22">
        <v>70101</v>
      </c>
      <c r="M808" s="23" t="s">
        <v>2960</v>
      </c>
      <c r="N808" s="24">
        <v>0</v>
      </c>
      <c r="O808" s="24">
        <v>0</v>
      </c>
      <c r="P808" s="24">
        <v>0</v>
      </c>
      <c r="Q808" s="24">
        <v>0</v>
      </c>
      <c r="R808" s="24">
        <v>2500</v>
      </c>
      <c r="S808" s="24">
        <v>0</v>
      </c>
      <c r="T808" s="24">
        <v>0</v>
      </c>
      <c r="U808" s="24">
        <v>2500</v>
      </c>
      <c r="V808" s="24">
        <v>0</v>
      </c>
      <c r="W808" s="24">
        <v>4000</v>
      </c>
      <c r="X808" s="24">
        <v>0</v>
      </c>
      <c r="Y808" s="24">
        <v>0</v>
      </c>
      <c r="Z808" s="24">
        <f t="shared" si="38"/>
        <v>9000</v>
      </c>
      <c r="AB808" s="25">
        <v>9000</v>
      </c>
      <c r="AC808" s="26">
        <v>9000</v>
      </c>
      <c r="AD808" s="24">
        <v>0</v>
      </c>
      <c r="AE808" s="27">
        <f>_xlfn.XLOOKUP(B808,'Projects Cashflow'!$B:$B,'Projects Cashflow'!$AG:$AG,0)</f>
        <v>9000</v>
      </c>
      <c r="AF808" s="28">
        <f t="shared" si="39"/>
        <v>0</v>
      </c>
    </row>
    <row r="809" spans="2:32" x14ac:dyDescent="0.3">
      <c r="B809" s="14" t="str">
        <f t="shared" si="37"/>
        <v>45101704511000752Freelancers-N424521200104</v>
      </c>
      <c r="C809" s="21" t="s">
        <v>2984</v>
      </c>
      <c r="D809" s="22">
        <v>4510170</v>
      </c>
      <c r="E809" s="21" t="s">
        <v>141</v>
      </c>
      <c r="F809" s="22">
        <v>4511000752</v>
      </c>
      <c r="G809" s="21" t="s">
        <v>994</v>
      </c>
      <c r="H809" s="21" t="s">
        <v>50</v>
      </c>
      <c r="I809" s="22">
        <v>424521</v>
      </c>
      <c r="J809" s="22">
        <v>200104</v>
      </c>
      <c r="K809" s="22" t="s">
        <v>2959</v>
      </c>
      <c r="L809" s="22">
        <v>70502</v>
      </c>
      <c r="M809" s="23" t="s">
        <v>2960</v>
      </c>
      <c r="N809" s="24">
        <v>0</v>
      </c>
      <c r="O809" s="47">
        <v>19333</v>
      </c>
      <c r="P809" s="26">
        <v>40000</v>
      </c>
      <c r="Q809" s="24">
        <v>20000</v>
      </c>
      <c r="R809" s="24">
        <v>20000</v>
      </c>
      <c r="S809" s="24">
        <v>20000</v>
      </c>
      <c r="T809" s="24">
        <v>20000</v>
      </c>
      <c r="U809" s="24">
        <v>20000</v>
      </c>
      <c r="V809" s="24">
        <v>20000</v>
      </c>
      <c r="W809" s="24">
        <v>20000</v>
      </c>
      <c r="X809" s="24">
        <v>20000</v>
      </c>
      <c r="Y809" s="24">
        <v>20000</v>
      </c>
      <c r="Z809" s="24">
        <f t="shared" si="38"/>
        <v>239333</v>
      </c>
      <c r="AB809" s="25">
        <v>239333</v>
      </c>
      <c r="AC809" s="26">
        <v>239334</v>
      </c>
      <c r="AD809" s="24">
        <v>-1</v>
      </c>
      <c r="AE809" s="27">
        <f>_xlfn.XLOOKUP(B809,'Projects Cashflow'!$B:$B,'Projects Cashflow'!$AG:$AG,0)</f>
        <v>239334</v>
      </c>
      <c r="AF809" s="28">
        <f t="shared" si="39"/>
        <v>1</v>
      </c>
    </row>
    <row r="810" spans="2:32" x14ac:dyDescent="0.3">
      <c r="B810" s="14" t="str">
        <f t="shared" si="37"/>
        <v>45101704511000752Clinic Services-N423351200104</v>
      </c>
      <c r="C810" s="21" t="s">
        <v>2984</v>
      </c>
      <c r="D810" s="22">
        <v>4510170</v>
      </c>
      <c r="E810" s="21" t="s">
        <v>141</v>
      </c>
      <c r="F810" s="22">
        <v>4511000752</v>
      </c>
      <c r="G810" s="21" t="s">
        <v>994</v>
      </c>
      <c r="H810" s="21" t="s">
        <v>995</v>
      </c>
      <c r="I810" s="22">
        <v>423351</v>
      </c>
      <c r="J810" s="22">
        <v>200104</v>
      </c>
      <c r="K810" s="22" t="s">
        <v>2959</v>
      </c>
      <c r="L810" s="22">
        <v>70502</v>
      </c>
      <c r="M810" s="23" t="s">
        <v>2960</v>
      </c>
      <c r="N810" s="24">
        <v>0</v>
      </c>
      <c r="O810" s="24">
        <v>0</v>
      </c>
      <c r="P810" s="24">
        <v>0</v>
      </c>
      <c r="Q810" s="24">
        <v>35000</v>
      </c>
      <c r="R810" s="24">
        <v>8750</v>
      </c>
      <c r="S810" s="24">
        <v>8750</v>
      </c>
      <c r="T810" s="24">
        <v>8750</v>
      </c>
      <c r="U810" s="24">
        <v>8750</v>
      </c>
      <c r="V810" s="24">
        <v>8750</v>
      </c>
      <c r="W810" s="24">
        <v>8750</v>
      </c>
      <c r="X810" s="24">
        <v>11356</v>
      </c>
      <c r="Y810" s="24">
        <v>31550</v>
      </c>
      <c r="Z810" s="24">
        <f t="shared" si="38"/>
        <v>130406</v>
      </c>
      <c r="AB810" s="25">
        <v>130406</v>
      </c>
      <c r="AC810" s="26">
        <v>130406</v>
      </c>
      <c r="AD810" s="24">
        <v>0</v>
      </c>
      <c r="AE810" s="27">
        <f>_xlfn.XLOOKUP(B810,'Projects Cashflow'!$B:$B,'Projects Cashflow'!$AG:$AG,0)</f>
        <v>130406</v>
      </c>
      <c r="AF810" s="28">
        <f t="shared" si="39"/>
        <v>0</v>
      </c>
    </row>
    <row r="811" spans="2:32" x14ac:dyDescent="0.3">
      <c r="B811" s="14" t="str">
        <f t="shared" si="37"/>
        <v>45101704511000752Admin Expenses-N421125200104</v>
      </c>
      <c r="C811" s="21" t="s">
        <v>2984</v>
      </c>
      <c r="D811" s="22">
        <v>4510170</v>
      </c>
      <c r="E811" s="21" t="s">
        <v>141</v>
      </c>
      <c r="F811" s="22">
        <v>4511000752</v>
      </c>
      <c r="G811" s="21" t="s">
        <v>994</v>
      </c>
      <c r="H811" s="21" t="s">
        <v>130</v>
      </c>
      <c r="I811" s="22">
        <v>421125</v>
      </c>
      <c r="J811" s="22">
        <v>200104</v>
      </c>
      <c r="K811" s="22" t="s">
        <v>2959</v>
      </c>
      <c r="L811" s="22">
        <v>70502</v>
      </c>
      <c r="M811" s="23" t="s">
        <v>2960</v>
      </c>
      <c r="N811" s="24">
        <v>0</v>
      </c>
      <c r="O811" s="24">
        <v>0</v>
      </c>
      <c r="P811" s="24">
        <v>0</v>
      </c>
      <c r="Q811" s="24">
        <v>9375</v>
      </c>
      <c r="R811" s="24">
        <v>3000</v>
      </c>
      <c r="S811" s="24">
        <v>8375</v>
      </c>
      <c r="T811" s="24">
        <v>10000</v>
      </c>
      <c r="U811" s="24">
        <v>4000</v>
      </c>
      <c r="V811" s="24">
        <v>13375</v>
      </c>
      <c r="W811" s="24">
        <v>0</v>
      </c>
      <c r="X811" s="24">
        <v>30935</v>
      </c>
      <c r="Y811" s="24">
        <v>0</v>
      </c>
      <c r="Z811" s="24">
        <f t="shared" si="38"/>
        <v>79060</v>
      </c>
      <c r="AB811" s="25">
        <v>79060</v>
      </c>
      <c r="AC811" s="26">
        <v>79060</v>
      </c>
      <c r="AD811" s="24">
        <v>0</v>
      </c>
      <c r="AE811" s="27">
        <f>_xlfn.XLOOKUP(B811,'Projects Cashflow'!$B:$B,'Projects Cashflow'!$AG:$AG,0)</f>
        <v>79060</v>
      </c>
      <c r="AF811" s="28">
        <f t="shared" si="39"/>
        <v>0</v>
      </c>
    </row>
    <row r="812" spans="2:32" x14ac:dyDescent="0.3">
      <c r="B812" s="14" t="str">
        <f t="shared" si="37"/>
        <v>45101704511000752Mission &amp; Travel-N423821200104</v>
      </c>
      <c r="C812" s="21" t="s">
        <v>2984</v>
      </c>
      <c r="D812" s="22">
        <v>4510170</v>
      </c>
      <c r="E812" s="21" t="s">
        <v>141</v>
      </c>
      <c r="F812" s="22">
        <v>4511000752</v>
      </c>
      <c r="G812" s="21" t="s">
        <v>994</v>
      </c>
      <c r="H812" s="21" t="s">
        <v>54</v>
      </c>
      <c r="I812" s="22">
        <v>423821</v>
      </c>
      <c r="J812" s="22">
        <v>200104</v>
      </c>
      <c r="K812" s="22" t="s">
        <v>2959</v>
      </c>
      <c r="L812" s="22">
        <v>70502</v>
      </c>
      <c r="M812" s="23" t="s">
        <v>2960</v>
      </c>
      <c r="N812" s="24">
        <v>0</v>
      </c>
      <c r="O812" s="24">
        <v>0</v>
      </c>
      <c r="P812" s="26">
        <v>800</v>
      </c>
      <c r="Q812" s="24">
        <v>11950</v>
      </c>
      <c r="R812" s="24">
        <v>4000</v>
      </c>
      <c r="S812" s="24">
        <v>4000</v>
      </c>
      <c r="T812" s="24">
        <v>1800</v>
      </c>
      <c r="U812" s="24">
        <v>0</v>
      </c>
      <c r="V812" s="24">
        <v>10000</v>
      </c>
      <c r="W812" s="24">
        <v>5200</v>
      </c>
      <c r="X812" s="24">
        <v>2550</v>
      </c>
      <c r="Y812" s="24">
        <v>7200</v>
      </c>
      <c r="Z812" s="24">
        <f t="shared" si="38"/>
        <v>47500</v>
      </c>
      <c r="AB812" s="25">
        <v>47500</v>
      </c>
      <c r="AC812" s="26">
        <v>47500</v>
      </c>
      <c r="AD812" s="24">
        <v>0</v>
      </c>
      <c r="AE812" s="27">
        <f>_xlfn.XLOOKUP(B812,'Projects Cashflow'!$B:$B,'Projects Cashflow'!$AG:$AG,0)</f>
        <v>47500</v>
      </c>
      <c r="AF812" s="28">
        <f t="shared" si="39"/>
        <v>0</v>
      </c>
    </row>
    <row r="813" spans="2:32" x14ac:dyDescent="0.3">
      <c r="B813" s="14" t="str">
        <f t="shared" si="37"/>
        <v>45101704511000753Audit Services-N421125200104</v>
      </c>
      <c r="C813" s="21" t="s">
        <v>2984</v>
      </c>
      <c r="D813" s="22">
        <v>4510170</v>
      </c>
      <c r="E813" s="21" t="s">
        <v>141</v>
      </c>
      <c r="F813" s="22">
        <v>4511000753</v>
      </c>
      <c r="G813" s="21" t="s">
        <v>1003</v>
      </c>
      <c r="H813" s="21" t="s">
        <v>43</v>
      </c>
      <c r="I813" s="22">
        <v>421125</v>
      </c>
      <c r="J813" s="22">
        <v>200104</v>
      </c>
      <c r="K813" s="22" t="s">
        <v>2959</v>
      </c>
      <c r="L813" s="22">
        <v>70502</v>
      </c>
      <c r="M813" s="23" t="s">
        <v>2960</v>
      </c>
      <c r="N813" s="24">
        <v>0</v>
      </c>
      <c r="O813" s="24">
        <v>0</v>
      </c>
      <c r="P813" s="24">
        <v>0</v>
      </c>
      <c r="Q813" s="24">
        <v>0</v>
      </c>
      <c r="R813" s="24">
        <v>15000</v>
      </c>
      <c r="S813" s="24">
        <v>15000</v>
      </c>
      <c r="T813" s="24">
        <v>15000</v>
      </c>
      <c r="U813" s="24">
        <v>28500</v>
      </c>
      <c r="V813" s="24">
        <v>15000</v>
      </c>
      <c r="W813" s="24">
        <v>15000</v>
      </c>
      <c r="X813" s="24">
        <v>43500</v>
      </c>
      <c r="Y813" s="24">
        <v>0</v>
      </c>
      <c r="Z813" s="24">
        <f t="shared" si="38"/>
        <v>147000</v>
      </c>
      <c r="AB813" s="25">
        <v>147000</v>
      </c>
      <c r="AC813" s="26">
        <v>147000</v>
      </c>
      <c r="AD813" s="24">
        <v>0</v>
      </c>
      <c r="AE813" s="27">
        <f>_xlfn.XLOOKUP(B813,'Projects Cashflow'!$B:$B,'Projects Cashflow'!$AG:$AG,0)</f>
        <v>147000</v>
      </c>
      <c r="AF813" s="28">
        <f t="shared" si="39"/>
        <v>0</v>
      </c>
    </row>
    <row r="814" spans="2:32" x14ac:dyDescent="0.3">
      <c r="B814" s="14" t="str">
        <f t="shared" si="37"/>
        <v>45101704511000754Mission &amp; Travel-N423821200104</v>
      </c>
      <c r="C814" s="21" t="s">
        <v>2984</v>
      </c>
      <c r="D814" s="22">
        <v>4510170</v>
      </c>
      <c r="E814" s="21" t="s">
        <v>141</v>
      </c>
      <c r="F814" s="22">
        <v>4511000754</v>
      </c>
      <c r="G814" s="21" t="s">
        <v>1005</v>
      </c>
      <c r="H814" s="21" t="s">
        <v>54</v>
      </c>
      <c r="I814" s="22">
        <v>423821</v>
      </c>
      <c r="J814" s="22">
        <v>200104</v>
      </c>
      <c r="K814" s="22" t="s">
        <v>2959</v>
      </c>
      <c r="L814" s="22">
        <v>70502</v>
      </c>
      <c r="M814" s="23" t="s">
        <v>2960</v>
      </c>
      <c r="N814" s="24">
        <v>0</v>
      </c>
      <c r="O814" s="24">
        <v>0</v>
      </c>
      <c r="P814" s="24">
        <v>0</v>
      </c>
      <c r="Q814" s="24">
        <v>13000</v>
      </c>
      <c r="R814" s="24">
        <v>0</v>
      </c>
      <c r="S814" s="24">
        <v>1800</v>
      </c>
      <c r="T814" s="24">
        <v>0</v>
      </c>
      <c r="U814" s="24">
        <v>0</v>
      </c>
      <c r="V814" s="24">
        <v>1200</v>
      </c>
      <c r="W814" s="24">
        <v>1800</v>
      </c>
      <c r="X814" s="24">
        <v>26200</v>
      </c>
      <c r="Y814" s="24">
        <v>125450</v>
      </c>
      <c r="Z814" s="24">
        <f t="shared" si="38"/>
        <v>169450</v>
      </c>
      <c r="AB814" s="25">
        <v>169450</v>
      </c>
      <c r="AC814" s="26">
        <v>169450.5</v>
      </c>
      <c r="AD814" s="24">
        <v>-0.5</v>
      </c>
      <c r="AE814" s="27">
        <f>_xlfn.XLOOKUP(B814,'Projects Cashflow'!$B:$B,'Projects Cashflow'!$AG:$AG,0)</f>
        <v>169450.5</v>
      </c>
      <c r="AF814" s="28">
        <f t="shared" si="39"/>
        <v>0.5</v>
      </c>
    </row>
    <row r="815" spans="2:32" x14ac:dyDescent="0.3">
      <c r="B815" s="14" t="str">
        <f t="shared" si="37"/>
        <v>45101704511000754Admin Expenses-N421125200104</v>
      </c>
      <c r="C815" s="21" t="s">
        <v>2984</v>
      </c>
      <c r="D815" s="22">
        <v>4510170</v>
      </c>
      <c r="E815" s="21" t="s">
        <v>141</v>
      </c>
      <c r="F815" s="22">
        <v>4511000754</v>
      </c>
      <c r="G815" s="21" t="s">
        <v>1005</v>
      </c>
      <c r="H815" s="21" t="s">
        <v>130</v>
      </c>
      <c r="I815" s="22">
        <v>421125</v>
      </c>
      <c r="J815" s="22">
        <v>200104</v>
      </c>
      <c r="K815" s="22" t="s">
        <v>2959</v>
      </c>
      <c r="L815" s="22">
        <v>70502</v>
      </c>
      <c r="M815" s="23" t="s">
        <v>2960</v>
      </c>
      <c r="N815" s="24">
        <v>0</v>
      </c>
      <c r="O815" s="24">
        <v>0</v>
      </c>
      <c r="P815" s="26">
        <v>1688</v>
      </c>
      <c r="Q815" s="24">
        <v>712</v>
      </c>
      <c r="R815" s="24">
        <v>500</v>
      </c>
      <c r="S815" s="24">
        <v>500</v>
      </c>
      <c r="T815" s="24">
        <v>500</v>
      </c>
      <c r="U815" s="24">
        <v>500</v>
      </c>
      <c r="V815" s="24">
        <v>500</v>
      </c>
      <c r="W815" s="24">
        <v>500</v>
      </c>
      <c r="X815" s="24">
        <v>5600</v>
      </c>
      <c r="Y815" s="24">
        <v>0</v>
      </c>
      <c r="Z815" s="24">
        <f t="shared" si="38"/>
        <v>11000</v>
      </c>
      <c r="AB815" s="25">
        <v>11000</v>
      </c>
      <c r="AC815" s="26">
        <v>11000</v>
      </c>
      <c r="AD815" s="24">
        <v>0</v>
      </c>
      <c r="AE815" s="27">
        <f>_xlfn.XLOOKUP(B815,'Projects Cashflow'!$B:$B,'Projects Cashflow'!$AG:$AG,0)</f>
        <v>11000</v>
      </c>
      <c r="AF815" s="28">
        <f t="shared" si="39"/>
        <v>0</v>
      </c>
    </row>
    <row r="816" spans="2:32" x14ac:dyDescent="0.3">
      <c r="B816" s="14" t="str">
        <f t="shared" si="37"/>
        <v>45101704511000902Hospitality-N424761200104</v>
      </c>
      <c r="C816" s="21" t="s">
        <v>2984</v>
      </c>
      <c r="D816" s="22">
        <v>4510170</v>
      </c>
      <c r="E816" s="21" t="s">
        <v>141</v>
      </c>
      <c r="F816" s="22">
        <v>4511000902</v>
      </c>
      <c r="G816" s="21" t="s">
        <v>1226</v>
      </c>
      <c r="H816" s="21" t="s">
        <v>83</v>
      </c>
      <c r="I816" s="22">
        <v>424761</v>
      </c>
      <c r="J816" s="22">
        <v>200104</v>
      </c>
      <c r="K816" s="22" t="s">
        <v>2959</v>
      </c>
      <c r="L816" s="22">
        <v>70502</v>
      </c>
      <c r="M816" s="23" t="s">
        <v>2960</v>
      </c>
      <c r="N816" s="24">
        <v>0</v>
      </c>
      <c r="O816" s="24">
        <v>0</v>
      </c>
      <c r="P816" s="24">
        <v>0</v>
      </c>
      <c r="Q816" s="24">
        <v>29000</v>
      </c>
      <c r="R816" s="24">
        <v>15000</v>
      </c>
      <c r="S816" s="24">
        <v>0</v>
      </c>
      <c r="T816" s="24">
        <v>0</v>
      </c>
      <c r="U816" s="24">
        <v>15000</v>
      </c>
      <c r="V816" s="24">
        <v>15000</v>
      </c>
      <c r="W816" s="24">
        <v>0</v>
      </c>
      <c r="X816" s="24">
        <v>29912</v>
      </c>
      <c r="Y816" s="24">
        <v>0</v>
      </c>
      <c r="Z816" s="24">
        <f t="shared" si="38"/>
        <v>103912</v>
      </c>
      <c r="AB816" s="25">
        <v>103912</v>
      </c>
      <c r="AC816" s="26">
        <v>103912</v>
      </c>
      <c r="AD816" s="24">
        <v>0</v>
      </c>
      <c r="AE816" s="27">
        <f>_xlfn.XLOOKUP(B816,'Projects Cashflow'!$B:$B,'Projects Cashflow'!$AG:$AG,0)</f>
        <v>103912</v>
      </c>
      <c r="AF816" s="28">
        <f t="shared" si="39"/>
        <v>0</v>
      </c>
    </row>
    <row r="817" spans="2:32" x14ac:dyDescent="0.3">
      <c r="B817" s="14" t="str">
        <f t="shared" si="37"/>
        <v>45101704511000902Mission &amp; Travel-N423821200104</v>
      </c>
      <c r="C817" s="21" t="s">
        <v>2984</v>
      </c>
      <c r="D817" s="22">
        <v>4510170</v>
      </c>
      <c r="E817" s="21" t="s">
        <v>141</v>
      </c>
      <c r="F817" s="22">
        <v>4511000902</v>
      </c>
      <c r="G817" s="21" t="s">
        <v>1226</v>
      </c>
      <c r="H817" s="21" t="s">
        <v>54</v>
      </c>
      <c r="I817" s="22">
        <v>423821</v>
      </c>
      <c r="J817" s="22">
        <v>200104</v>
      </c>
      <c r="K817" s="22" t="s">
        <v>2959</v>
      </c>
      <c r="L817" s="22">
        <v>70502</v>
      </c>
      <c r="M817" s="23" t="s">
        <v>2960</v>
      </c>
      <c r="N817" s="24">
        <v>0</v>
      </c>
      <c r="O817" s="24">
        <v>0</v>
      </c>
      <c r="P817" s="24">
        <v>0</v>
      </c>
      <c r="Q817" s="24">
        <v>600</v>
      </c>
      <c r="R817" s="24">
        <v>9000</v>
      </c>
      <c r="S817" s="24">
        <v>0</v>
      </c>
      <c r="T817" s="24">
        <v>0</v>
      </c>
      <c r="U817" s="24">
        <v>0</v>
      </c>
      <c r="V817" s="24">
        <v>0</v>
      </c>
      <c r="W817" s="24">
        <v>13500</v>
      </c>
      <c r="X817" s="24">
        <v>64455</v>
      </c>
      <c r="Y817" s="24">
        <v>0</v>
      </c>
      <c r="Z817" s="24">
        <f t="shared" si="38"/>
        <v>87555</v>
      </c>
      <c r="AB817" s="25">
        <v>87555</v>
      </c>
      <c r="AC817" s="26">
        <v>87555</v>
      </c>
      <c r="AD817" s="24">
        <v>0</v>
      </c>
      <c r="AE817" s="27">
        <f>_xlfn.XLOOKUP(B817,'Projects Cashflow'!$B:$B,'Projects Cashflow'!$AG:$AG,0)</f>
        <v>87555</v>
      </c>
      <c r="AF817" s="28">
        <f t="shared" si="39"/>
        <v>0</v>
      </c>
    </row>
    <row r="818" spans="2:32" x14ac:dyDescent="0.3">
      <c r="B818" s="14" t="str">
        <f t="shared" si="37"/>
        <v>45101704511000988Audit Services-N421125200104</v>
      </c>
      <c r="C818" s="21" t="s">
        <v>2984</v>
      </c>
      <c r="D818" s="22">
        <v>4510170</v>
      </c>
      <c r="E818" s="21" t="s">
        <v>141</v>
      </c>
      <c r="F818" s="22">
        <v>4511000988</v>
      </c>
      <c r="G818" s="21" t="s">
        <v>1309</v>
      </c>
      <c r="H818" s="21" t="s">
        <v>43</v>
      </c>
      <c r="I818" s="22">
        <v>421125</v>
      </c>
      <c r="J818" s="22">
        <v>200104</v>
      </c>
      <c r="K818" s="22" t="s">
        <v>2959</v>
      </c>
      <c r="L818" s="22">
        <v>70502</v>
      </c>
      <c r="M818" s="23" t="s">
        <v>2960</v>
      </c>
      <c r="N818" s="24">
        <v>0</v>
      </c>
      <c r="O818" s="24">
        <v>0</v>
      </c>
      <c r="P818" s="24">
        <v>0</v>
      </c>
      <c r="Q818" s="24">
        <v>228000</v>
      </c>
      <c r="R818" s="24">
        <v>99000</v>
      </c>
      <c r="S818" s="24">
        <v>99000</v>
      </c>
      <c r="T818" s="24">
        <v>99000</v>
      </c>
      <c r="U818" s="24">
        <v>99000</v>
      </c>
      <c r="V818" s="24">
        <v>99000</v>
      </c>
      <c r="W818" s="24">
        <v>93000</v>
      </c>
      <c r="X818" s="24">
        <v>90000</v>
      </c>
      <c r="Y818" s="24">
        <v>0</v>
      </c>
      <c r="Z818" s="24">
        <f t="shared" si="38"/>
        <v>906000</v>
      </c>
      <c r="AB818" s="25">
        <v>906000</v>
      </c>
      <c r="AC818" s="26">
        <v>906000</v>
      </c>
      <c r="AD818" s="24">
        <v>0</v>
      </c>
      <c r="AE818" s="27">
        <f>_xlfn.XLOOKUP(B818,'Projects Cashflow'!$B:$B,'Projects Cashflow'!$AG:$AG,0)</f>
        <v>906000</v>
      </c>
      <c r="AF818" s="28">
        <f t="shared" si="39"/>
        <v>0</v>
      </c>
    </row>
    <row r="819" spans="2:32" x14ac:dyDescent="0.3">
      <c r="B819" s="14" t="str">
        <f t="shared" si="37"/>
        <v>45101704511000988Admin Expenses-N421125200104</v>
      </c>
      <c r="C819" s="21" t="s">
        <v>2984</v>
      </c>
      <c r="D819" s="22">
        <v>4510170</v>
      </c>
      <c r="E819" s="21" t="s">
        <v>141</v>
      </c>
      <c r="F819" s="22">
        <v>4511000988</v>
      </c>
      <c r="G819" s="21" t="s">
        <v>1309</v>
      </c>
      <c r="H819" s="21" t="s">
        <v>130</v>
      </c>
      <c r="I819" s="22">
        <v>421125</v>
      </c>
      <c r="J819" s="22">
        <v>200104</v>
      </c>
      <c r="K819" s="22" t="s">
        <v>2959</v>
      </c>
      <c r="L819" s="22">
        <v>70502</v>
      </c>
      <c r="M819" s="23" t="s">
        <v>2960</v>
      </c>
      <c r="N819" s="24">
        <v>0</v>
      </c>
      <c r="O819" s="24">
        <v>0</v>
      </c>
      <c r="P819" s="24">
        <v>17510.599999999999</v>
      </c>
      <c r="Q819" s="24">
        <v>0</v>
      </c>
      <c r="R819" s="24">
        <v>0</v>
      </c>
      <c r="S819" s="24">
        <v>4889</v>
      </c>
      <c r="T819" s="24">
        <v>153000</v>
      </c>
      <c r="U819" s="24">
        <v>7300</v>
      </c>
      <c r="V819" s="24">
        <v>7300</v>
      </c>
      <c r="W819" s="24">
        <v>164100</v>
      </c>
      <c r="X819" s="24">
        <v>12900</v>
      </c>
      <c r="Y819" s="24">
        <v>0</v>
      </c>
      <c r="Z819" s="24">
        <f t="shared" si="38"/>
        <v>366999.6</v>
      </c>
      <c r="AB819" s="25">
        <v>366999.6</v>
      </c>
      <c r="AC819" s="26">
        <v>367000</v>
      </c>
      <c r="AD819" s="24">
        <v>-0.40000000002328306</v>
      </c>
      <c r="AE819" s="27">
        <f>_xlfn.XLOOKUP(B819,'Projects Cashflow'!$B:$B,'Projects Cashflow'!$AG:$AG,0)</f>
        <v>367000</v>
      </c>
      <c r="AF819" s="28">
        <f t="shared" si="39"/>
        <v>0.40000000002328306</v>
      </c>
    </row>
    <row r="820" spans="2:32" x14ac:dyDescent="0.3">
      <c r="B820" s="14" t="str">
        <f t="shared" si="37"/>
        <v>45101704511000988Mission &amp; Travel-N423821200104</v>
      </c>
      <c r="C820" s="21" t="s">
        <v>2984</v>
      </c>
      <c r="D820" s="22">
        <v>4510170</v>
      </c>
      <c r="E820" s="21" t="s">
        <v>141</v>
      </c>
      <c r="F820" s="22">
        <v>4511000988</v>
      </c>
      <c r="G820" s="21" t="s">
        <v>1309</v>
      </c>
      <c r="H820" s="21" t="s">
        <v>54</v>
      </c>
      <c r="I820" s="22">
        <v>423821</v>
      </c>
      <c r="J820" s="22">
        <v>200104</v>
      </c>
      <c r="K820" s="22" t="s">
        <v>2959</v>
      </c>
      <c r="L820" s="22">
        <v>70502</v>
      </c>
      <c r="M820" s="23" t="s">
        <v>2960</v>
      </c>
      <c r="N820" s="24">
        <v>0</v>
      </c>
      <c r="O820" s="24">
        <v>0</v>
      </c>
      <c r="P820" s="24">
        <v>0</v>
      </c>
      <c r="Q820" s="24">
        <v>0</v>
      </c>
      <c r="R820" s="24">
        <v>31500</v>
      </c>
      <c r="S820" s="24">
        <v>0</v>
      </c>
      <c r="T820" s="24">
        <v>0</v>
      </c>
      <c r="U820" s="24">
        <v>19000</v>
      </c>
      <c r="V820" s="24">
        <v>33000</v>
      </c>
      <c r="W820" s="24">
        <v>66500</v>
      </c>
      <c r="X820" s="24">
        <v>0</v>
      </c>
      <c r="Y820" s="24">
        <v>76650</v>
      </c>
      <c r="Z820" s="24">
        <f t="shared" si="38"/>
        <v>226650</v>
      </c>
      <c r="AB820" s="25">
        <v>226650</v>
      </c>
      <c r="AC820" s="26">
        <v>226650</v>
      </c>
      <c r="AD820" s="24">
        <v>0</v>
      </c>
      <c r="AE820" s="27">
        <f>_xlfn.XLOOKUP(B820,'Projects Cashflow'!$B:$B,'Projects Cashflow'!$AG:$AG,0)</f>
        <v>226650</v>
      </c>
      <c r="AF820" s="28">
        <f t="shared" si="39"/>
        <v>0</v>
      </c>
    </row>
    <row r="821" spans="2:32" x14ac:dyDescent="0.3">
      <c r="B821" s="14" t="str">
        <f t="shared" si="37"/>
        <v>45101704511001189Training &amp; Dev-N421191200104</v>
      </c>
      <c r="C821" s="21" t="s">
        <v>2984</v>
      </c>
      <c r="D821" s="22">
        <v>4510170</v>
      </c>
      <c r="E821" s="21" t="s">
        <v>141</v>
      </c>
      <c r="F821" s="22">
        <v>4511001189</v>
      </c>
      <c r="G821" s="21" t="s">
        <v>1453</v>
      </c>
      <c r="H821" s="21" t="s">
        <v>786</v>
      </c>
      <c r="I821" s="22">
        <v>421191</v>
      </c>
      <c r="J821" s="22">
        <v>200104</v>
      </c>
      <c r="K821" s="22" t="s">
        <v>2959</v>
      </c>
      <c r="L821" s="22">
        <v>70502</v>
      </c>
      <c r="M821" s="23" t="s">
        <v>2960</v>
      </c>
      <c r="N821" s="24">
        <v>0</v>
      </c>
      <c r="O821" s="24">
        <v>0</v>
      </c>
      <c r="P821" s="24">
        <v>0</v>
      </c>
      <c r="Q821" s="24">
        <v>527629</v>
      </c>
      <c r="R821" s="24">
        <v>68025</v>
      </c>
      <c r="S821" s="24">
        <v>33503</v>
      </c>
      <c r="T821" s="24">
        <v>28500</v>
      </c>
      <c r="U821" s="24">
        <v>0</v>
      </c>
      <c r="V821" s="24">
        <v>29000</v>
      </c>
      <c r="W821" s="24">
        <v>22500</v>
      </c>
      <c r="X821" s="24">
        <v>193200</v>
      </c>
      <c r="Y821" s="24">
        <v>0</v>
      </c>
      <c r="Z821" s="24">
        <f t="shared" si="38"/>
        <v>902357</v>
      </c>
      <c r="AB821" s="25">
        <v>784457</v>
      </c>
      <c r="AC821" s="26">
        <v>784457</v>
      </c>
      <c r="AD821" s="24">
        <v>0</v>
      </c>
      <c r="AE821" s="27">
        <f>_xlfn.XLOOKUP(B821,'Projects Cashflow'!$B:$B,'Projects Cashflow'!$AG:$AG,0)</f>
        <v>784457</v>
      </c>
      <c r="AF821" s="28">
        <f t="shared" si="39"/>
        <v>0</v>
      </c>
    </row>
    <row r="822" spans="2:32" x14ac:dyDescent="0.3">
      <c r="B822" s="14" t="str">
        <f t="shared" si="37"/>
        <v>45101704511001189Admin Expenses-N421125200104</v>
      </c>
      <c r="C822" s="21" t="s">
        <v>2984</v>
      </c>
      <c r="D822" s="22">
        <v>4510170</v>
      </c>
      <c r="E822" s="21" t="s">
        <v>141</v>
      </c>
      <c r="F822" s="22">
        <v>4511001189</v>
      </c>
      <c r="G822" s="21" t="s">
        <v>1453</v>
      </c>
      <c r="H822" s="21" t="s">
        <v>130</v>
      </c>
      <c r="I822" s="22">
        <v>421125</v>
      </c>
      <c r="J822" s="22">
        <v>200104</v>
      </c>
      <c r="K822" s="22" t="s">
        <v>2959</v>
      </c>
      <c r="L822" s="22">
        <v>70502</v>
      </c>
      <c r="M822" s="23" t="s">
        <v>2960</v>
      </c>
      <c r="N822" s="24">
        <v>0</v>
      </c>
      <c r="O822" s="24">
        <v>0</v>
      </c>
      <c r="P822" s="24">
        <v>18201.25</v>
      </c>
      <c r="Q822" s="24">
        <v>1998.75</v>
      </c>
      <c r="R822" s="24">
        <v>2400</v>
      </c>
      <c r="S822" s="24">
        <v>800</v>
      </c>
      <c r="T822" s="24">
        <v>800</v>
      </c>
      <c r="U822" s="24">
        <v>0</v>
      </c>
      <c r="V822" s="24">
        <v>800</v>
      </c>
      <c r="W822" s="24">
        <v>800</v>
      </c>
      <c r="X822" s="24">
        <v>2400</v>
      </c>
      <c r="Y822" s="24">
        <v>0</v>
      </c>
      <c r="Z822" s="24">
        <f t="shared" si="38"/>
        <v>28200</v>
      </c>
      <c r="AB822" s="25">
        <v>23000</v>
      </c>
      <c r="AC822" s="26">
        <v>23000</v>
      </c>
      <c r="AD822" s="24">
        <v>0</v>
      </c>
      <c r="AE822" s="27">
        <f>_xlfn.XLOOKUP(B822,'Projects Cashflow'!$B:$B,'Projects Cashflow'!$AG:$AG,0)</f>
        <v>23000</v>
      </c>
      <c r="AF822" s="28">
        <f t="shared" si="39"/>
        <v>0</v>
      </c>
    </row>
    <row r="823" spans="2:32" x14ac:dyDescent="0.3">
      <c r="B823" s="14" t="str">
        <f t="shared" si="37"/>
        <v>45101704511001189Mission &amp; Travel-N423821200104</v>
      </c>
      <c r="C823" s="21" t="s">
        <v>2984</v>
      </c>
      <c r="D823" s="22">
        <v>4510170</v>
      </c>
      <c r="E823" s="21" t="s">
        <v>141</v>
      </c>
      <c r="F823" s="22">
        <v>4511001189</v>
      </c>
      <c r="G823" s="21" t="s">
        <v>1453</v>
      </c>
      <c r="H823" s="21" t="s">
        <v>54</v>
      </c>
      <c r="I823" s="22">
        <v>423821</v>
      </c>
      <c r="J823" s="22">
        <v>200104</v>
      </c>
      <c r="K823" s="22" t="s">
        <v>2959</v>
      </c>
      <c r="L823" s="22">
        <v>70502</v>
      </c>
      <c r="M823" s="23" t="s">
        <v>2960</v>
      </c>
      <c r="N823" s="24">
        <v>0</v>
      </c>
      <c r="O823" s="24">
        <v>0</v>
      </c>
      <c r="P823" s="24">
        <v>0</v>
      </c>
      <c r="Q823" s="24">
        <v>3000</v>
      </c>
      <c r="R823" s="24">
        <v>0</v>
      </c>
      <c r="S823" s="24">
        <v>0</v>
      </c>
      <c r="T823" s="24">
        <v>0</v>
      </c>
      <c r="U823" s="24">
        <v>3600</v>
      </c>
      <c r="V823" s="24">
        <v>0</v>
      </c>
      <c r="W823" s="24">
        <v>1800</v>
      </c>
      <c r="X823" s="24">
        <v>2400</v>
      </c>
      <c r="Y823" s="24">
        <v>0</v>
      </c>
      <c r="Z823" s="24">
        <f t="shared" si="38"/>
        <v>10800</v>
      </c>
      <c r="AB823" s="25">
        <v>9400</v>
      </c>
      <c r="AC823" s="26">
        <v>9400</v>
      </c>
      <c r="AD823" s="24">
        <v>0</v>
      </c>
      <c r="AE823" s="27">
        <f>_xlfn.XLOOKUP(B823,'Projects Cashflow'!$B:$B,'Projects Cashflow'!$AG:$AG,0)</f>
        <v>9400</v>
      </c>
      <c r="AF823" s="28">
        <f t="shared" si="39"/>
        <v>0</v>
      </c>
    </row>
    <row r="824" spans="2:32" x14ac:dyDescent="0.3">
      <c r="B824" s="14" t="str">
        <f t="shared" si="37"/>
        <v>45102014511000324Strategy Advice-N421123200104</v>
      </c>
      <c r="C824" s="21" t="s">
        <v>2984</v>
      </c>
      <c r="D824" s="22">
        <v>4510201</v>
      </c>
      <c r="E824" s="21" t="s">
        <v>425</v>
      </c>
      <c r="F824" s="22">
        <v>4511000324</v>
      </c>
      <c r="G824" s="21" t="s">
        <v>3088</v>
      </c>
      <c r="H824" s="21" t="s">
        <v>236</v>
      </c>
      <c r="I824" s="22">
        <v>421123</v>
      </c>
      <c r="J824" s="22">
        <v>200104</v>
      </c>
      <c r="K824" s="22" t="s">
        <v>2959</v>
      </c>
      <c r="L824" s="22">
        <v>70101</v>
      </c>
      <c r="M824" s="23" t="s">
        <v>2960</v>
      </c>
      <c r="N824" s="24">
        <v>0</v>
      </c>
      <c r="O824" s="24">
        <v>0</v>
      </c>
      <c r="P824" s="24">
        <v>0</v>
      </c>
      <c r="Q824" s="24">
        <v>775000</v>
      </c>
      <c r="R824" s="24">
        <v>100000</v>
      </c>
      <c r="S824" s="24">
        <v>0</v>
      </c>
      <c r="T824" s="24">
        <v>0</v>
      </c>
      <c r="U824" s="24">
        <v>0</v>
      </c>
      <c r="V824" s="24">
        <v>0</v>
      </c>
      <c r="W824" s="24">
        <v>500000</v>
      </c>
      <c r="X824" s="24">
        <v>1000000</v>
      </c>
      <c r="Y824" s="24">
        <v>2519464</v>
      </c>
      <c r="Z824" s="24">
        <f t="shared" si="38"/>
        <v>4894464</v>
      </c>
      <c r="AB824" s="25">
        <v>2560464</v>
      </c>
      <c r="AC824" s="26">
        <v>2560464</v>
      </c>
      <c r="AD824" s="24">
        <v>0</v>
      </c>
      <c r="AE824" s="27">
        <f>_xlfn.XLOOKUP(B824,'Projects Cashflow'!$B:$B,'Projects Cashflow'!$AG:$AG,0)</f>
        <v>2560464</v>
      </c>
      <c r="AF824" s="28">
        <f t="shared" si="39"/>
        <v>0</v>
      </c>
    </row>
    <row r="825" spans="2:32" x14ac:dyDescent="0.3">
      <c r="B825" s="14" t="str">
        <f t="shared" si="37"/>
        <v>45102014511000324Mission &amp; Travel-N423821200104</v>
      </c>
      <c r="C825" s="21" t="s">
        <v>2984</v>
      </c>
      <c r="D825" s="22">
        <v>4510201</v>
      </c>
      <c r="E825" s="21" t="s">
        <v>425</v>
      </c>
      <c r="F825" s="22">
        <v>4511000324</v>
      </c>
      <c r="G825" s="21" t="s">
        <v>3088</v>
      </c>
      <c r="H825" s="21" t="s">
        <v>54</v>
      </c>
      <c r="I825" s="22">
        <v>423821</v>
      </c>
      <c r="J825" s="22">
        <v>200104</v>
      </c>
      <c r="K825" s="22" t="s">
        <v>2959</v>
      </c>
      <c r="L825" s="22">
        <v>70101</v>
      </c>
      <c r="M825" s="23" t="s">
        <v>2960</v>
      </c>
      <c r="N825" s="24">
        <v>0</v>
      </c>
      <c r="O825" s="24">
        <v>0</v>
      </c>
      <c r="P825" s="24">
        <v>0</v>
      </c>
      <c r="Q825" s="24">
        <v>0</v>
      </c>
      <c r="R825" s="24">
        <v>0</v>
      </c>
      <c r="S825" s="24">
        <v>50000</v>
      </c>
      <c r="T825" s="24">
        <v>0</v>
      </c>
      <c r="U825" s="24">
        <v>0</v>
      </c>
      <c r="V825" s="24">
        <v>0</v>
      </c>
      <c r="W825" s="24">
        <v>100000</v>
      </c>
      <c r="X825" s="24">
        <v>0</v>
      </c>
      <c r="Y825" s="24">
        <v>150000</v>
      </c>
      <c r="Z825" s="24">
        <f t="shared" si="38"/>
        <v>300000</v>
      </c>
      <c r="AB825" s="25">
        <v>300000</v>
      </c>
      <c r="AC825" s="26">
        <v>300000</v>
      </c>
      <c r="AD825" s="24">
        <v>0</v>
      </c>
      <c r="AE825" s="27">
        <f>_xlfn.XLOOKUP(B825,'Projects Cashflow'!$B:$B,'Projects Cashflow'!$AG:$AG,0)</f>
        <v>300000</v>
      </c>
      <c r="AF825" s="28">
        <f t="shared" si="39"/>
        <v>0</v>
      </c>
    </row>
    <row r="826" spans="2:32" x14ac:dyDescent="0.3">
      <c r="B826" s="14" t="str">
        <f t="shared" si="37"/>
        <v>45102014511000324Admin Expenses-N421125200104</v>
      </c>
      <c r="C826" s="21" t="s">
        <v>2984</v>
      </c>
      <c r="D826" s="22">
        <v>4510201</v>
      </c>
      <c r="E826" s="21" t="s">
        <v>425</v>
      </c>
      <c r="F826" s="22">
        <v>4511000324</v>
      </c>
      <c r="G826" s="21" t="s">
        <v>3088</v>
      </c>
      <c r="H826" s="21" t="s">
        <v>130</v>
      </c>
      <c r="I826" s="22">
        <v>421125</v>
      </c>
      <c r="J826" s="22">
        <v>200104</v>
      </c>
      <c r="K826" s="22" t="s">
        <v>2959</v>
      </c>
      <c r="L826" s="22">
        <v>70101</v>
      </c>
      <c r="M826" s="23" t="s">
        <v>2960</v>
      </c>
      <c r="N826" s="24">
        <v>0</v>
      </c>
      <c r="O826" s="24">
        <v>0</v>
      </c>
      <c r="P826" s="24">
        <v>0</v>
      </c>
      <c r="Q826" s="24">
        <v>30000</v>
      </c>
      <c r="R826" s="24">
        <v>0</v>
      </c>
      <c r="S826" s="24">
        <v>0</v>
      </c>
      <c r="T826" s="24">
        <v>30000</v>
      </c>
      <c r="U826" s="24">
        <v>0</v>
      </c>
      <c r="V826" s="24">
        <v>0</v>
      </c>
      <c r="W826" s="24">
        <v>0</v>
      </c>
      <c r="X826" s="24">
        <v>30000</v>
      </c>
      <c r="Y826" s="24">
        <v>36249</v>
      </c>
      <c r="Z826" s="24">
        <f t="shared" si="38"/>
        <v>126249</v>
      </c>
      <c r="AB826" s="25">
        <v>126249</v>
      </c>
      <c r="AC826" s="26">
        <v>126249</v>
      </c>
      <c r="AD826" s="24">
        <v>0</v>
      </c>
      <c r="AE826" s="27">
        <f>_xlfn.XLOOKUP(B826,'Projects Cashflow'!$B:$B,'Projects Cashflow'!$AG:$AG,0)</f>
        <v>126249</v>
      </c>
      <c r="AF826" s="28">
        <f t="shared" si="39"/>
        <v>0</v>
      </c>
    </row>
    <row r="827" spans="2:32" x14ac:dyDescent="0.3">
      <c r="B827" s="14" t="str">
        <f t="shared" si="37"/>
        <v>45112504511000512Ad-hoc Repairs-N426427200104</v>
      </c>
      <c r="C827" s="21" t="s">
        <v>65</v>
      </c>
      <c r="D827" s="22">
        <v>4511250</v>
      </c>
      <c r="E827" s="21" t="s">
        <v>66</v>
      </c>
      <c r="F827" s="22">
        <v>4511000512</v>
      </c>
      <c r="G827" s="21" t="s">
        <v>2998</v>
      </c>
      <c r="H827" s="21" t="s">
        <v>70</v>
      </c>
      <c r="I827" s="22">
        <v>426427</v>
      </c>
      <c r="J827" s="22">
        <v>200104</v>
      </c>
      <c r="K827" s="22" t="s">
        <v>2959</v>
      </c>
      <c r="L827" s="22">
        <v>70205</v>
      </c>
      <c r="M827" s="23" t="s">
        <v>2961</v>
      </c>
      <c r="N827" s="24">
        <v>0</v>
      </c>
      <c r="O827" s="24">
        <v>0</v>
      </c>
      <c r="P827" s="24">
        <v>0</v>
      </c>
      <c r="Q827" s="24">
        <v>15000</v>
      </c>
      <c r="R827" s="24">
        <v>0</v>
      </c>
      <c r="S827" s="24">
        <v>0</v>
      </c>
      <c r="T827" s="24">
        <v>55000</v>
      </c>
      <c r="U827" s="24">
        <v>0</v>
      </c>
      <c r="V827" s="24">
        <v>0</v>
      </c>
      <c r="W827" s="24">
        <v>0</v>
      </c>
      <c r="X827" s="24">
        <v>92081</v>
      </c>
      <c r="Y827" s="24">
        <v>0</v>
      </c>
      <c r="Z827" s="24">
        <f t="shared" si="38"/>
        <v>162081</v>
      </c>
      <c r="AB827" s="25">
        <v>162081</v>
      </c>
      <c r="AC827" s="26">
        <v>162080.6</v>
      </c>
      <c r="AD827" s="24">
        <v>0.39999999999417923</v>
      </c>
      <c r="AE827" s="27">
        <f>_xlfn.XLOOKUP(B827,'Projects Cashflow'!$B:$B,'Projects Cashflow'!$AG:$AG,0)</f>
        <v>162080.6</v>
      </c>
      <c r="AF827" s="28">
        <f t="shared" si="39"/>
        <v>-0.39999999999417923</v>
      </c>
    </row>
    <row r="828" spans="2:32" x14ac:dyDescent="0.3">
      <c r="B828" s="14" t="str">
        <f t="shared" si="37"/>
        <v>45102104511000346Manpower-N424521200104</v>
      </c>
      <c r="C828" s="21" t="s">
        <v>2984</v>
      </c>
      <c r="D828" s="22">
        <v>4510210</v>
      </c>
      <c r="E828" s="21" t="s">
        <v>447</v>
      </c>
      <c r="F828" s="22">
        <v>4511000346</v>
      </c>
      <c r="G828" s="21" t="s">
        <v>3089</v>
      </c>
      <c r="H828" s="21" t="s">
        <v>98</v>
      </c>
      <c r="I828" s="22">
        <v>424521</v>
      </c>
      <c r="J828" s="22">
        <v>200104</v>
      </c>
      <c r="K828" s="22" t="s">
        <v>2959</v>
      </c>
      <c r="L828" s="22">
        <v>70102</v>
      </c>
      <c r="M828" s="23" t="s">
        <v>2960</v>
      </c>
      <c r="N828" s="24">
        <v>0</v>
      </c>
      <c r="O828" s="24">
        <v>0</v>
      </c>
      <c r="P828" s="26">
        <v>641863</v>
      </c>
      <c r="Q828" s="24">
        <v>296121</v>
      </c>
      <c r="R828" s="24">
        <v>234496</v>
      </c>
      <c r="S828" s="24">
        <v>234496</v>
      </c>
      <c r="T828" s="24">
        <v>234496</v>
      </c>
      <c r="U828" s="24">
        <v>234496</v>
      </c>
      <c r="V828" s="24">
        <v>234496</v>
      </c>
      <c r="W828" s="24">
        <v>234496</v>
      </c>
      <c r="X828" s="24">
        <v>234496</v>
      </c>
      <c r="Y828" s="24">
        <v>234496</v>
      </c>
      <c r="Z828" s="24">
        <f t="shared" si="38"/>
        <v>2813952</v>
      </c>
      <c r="AB828" s="25">
        <v>2606623</v>
      </c>
      <c r="AC828" s="26">
        <v>2606623</v>
      </c>
      <c r="AD828" s="24">
        <v>0</v>
      </c>
      <c r="AE828" s="27">
        <f>_xlfn.XLOOKUP(B828,'Projects Cashflow'!$B:$B,'Projects Cashflow'!$AG:$AG,0)</f>
        <v>2606623</v>
      </c>
      <c r="AF828" s="28">
        <f t="shared" si="39"/>
        <v>0</v>
      </c>
    </row>
    <row r="829" spans="2:32" x14ac:dyDescent="0.3">
      <c r="B829" s="14" t="str">
        <f t="shared" si="37"/>
        <v>45102104511000346Bank Charges-N437111200104</v>
      </c>
      <c r="C829" s="21" t="s">
        <v>2984</v>
      </c>
      <c r="D829" s="22">
        <v>4510210</v>
      </c>
      <c r="E829" s="21" t="s">
        <v>447</v>
      </c>
      <c r="F829" s="22">
        <v>4511000346</v>
      </c>
      <c r="G829" s="21" t="s">
        <v>3089</v>
      </c>
      <c r="H829" s="21" t="s">
        <v>450</v>
      </c>
      <c r="I829" s="22">
        <v>437111</v>
      </c>
      <c r="J829" s="22">
        <v>200104</v>
      </c>
      <c r="K829" s="22" t="s">
        <v>2959</v>
      </c>
      <c r="L829" s="22">
        <v>70102</v>
      </c>
      <c r="M829" s="23" t="s">
        <v>2960</v>
      </c>
      <c r="N829" s="24">
        <v>0</v>
      </c>
      <c r="O829" s="24">
        <v>0</v>
      </c>
      <c r="P829" s="24">
        <v>567</v>
      </c>
      <c r="Q829" s="24">
        <v>0</v>
      </c>
      <c r="R829" s="24">
        <v>0</v>
      </c>
      <c r="S829" s="24">
        <v>0</v>
      </c>
      <c r="T829" s="24">
        <v>0</v>
      </c>
      <c r="U829" s="24">
        <v>0</v>
      </c>
      <c r="V829" s="24">
        <v>0</v>
      </c>
      <c r="W829" s="24">
        <v>99433</v>
      </c>
      <c r="X829" s="24">
        <v>213800</v>
      </c>
      <c r="Y829" s="24">
        <v>209462</v>
      </c>
      <c r="Z829" s="24">
        <f t="shared" si="38"/>
        <v>523262</v>
      </c>
      <c r="AB829" s="25">
        <v>423262</v>
      </c>
      <c r="AC829" s="26">
        <v>423262</v>
      </c>
      <c r="AD829" s="24">
        <v>0</v>
      </c>
      <c r="AE829" s="27">
        <f>_xlfn.XLOOKUP(B829,'Projects Cashflow'!$B:$B,'Projects Cashflow'!$AG:$AG,0)</f>
        <v>423262</v>
      </c>
      <c r="AF829" s="28">
        <f t="shared" si="39"/>
        <v>0</v>
      </c>
    </row>
    <row r="830" spans="2:32" x14ac:dyDescent="0.3">
      <c r="B830" s="14" t="str">
        <f t="shared" si="37"/>
        <v>45102104511000346Admin Expenses-N421125200104</v>
      </c>
      <c r="C830" s="21" t="s">
        <v>2984</v>
      </c>
      <c r="D830" s="22">
        <v>4510210</v>
      </c>
      <c r="E830" s="21" t="s">
        <v>447</v>
      </c>
      <c r="F830" s="22">
        <v>4511000346</v>
      </c>
      <c r="G830" s="21" t="s">
        <v>3089</v>
      </c>
      <c r="H830" s="21" t="s">
        <v>130</v>
      </c>
      <c r="I830" s="22">
        <v>421125</v>
      </c>
      <c r="J830" s="22">
        <v>200104</v>
      </c>
      <c r="K830" s="22" t="s">
        <v>2959</v>
      </c>
      <c r="L830" s="22">
        <v>70102</v>
      </c>
      <c r="M830" s="23" t="s">
        <v>2960</v>
      </c>
      <c r="N830" s="24">
        <v>0</v>
      </c>
      <c r="O830" s="24">
        <v>0</v>
      </c>
      <c r="P830" s="24">
        <v>17242</v>
      </c>
      <c r="Q830" s="24">
        <v>45571.75</v>
      </c>
      <c r="R830" s="24">
        <v>0</v>
      </c>
      <c r="S830" s="24">
        <v>62813.75</v>
      </c>
      <c r="T830" s="24">
        <v>0</v>
      </c>
      <c r="U830" s="24">
        <v>0</v>
      </c>
      <c r="V830" s="24">
        <v>62813.75</v>
      </c>
      <c r="W830" s="24">
        <v>0</v>
      </c>
      <c r="X830" s="24">
        <v>0</v>
      </c>
      <c r="Y830" s="24">
        <v>54615.75</v>
      </c>
      <c r="Z830" s="24">
        <f t="shared" si="38"/>
        <v>243057</v>
      </c>
      <c r="AB830" s="25">
        <v>184057</v>
      </c>
      <c r="AC830" s="26">
        <v>184057</v>
      </c>
      <c r="AD830" s="24">
        <v>0</v>
      </c>
      <c r="AE830" s="27">
        <f>_xlfn.XLOOKUP(B830,'Projects Cashflow'!$B:$B,'Projects Cashflow'!$AG:$AG,0)</f>
        <v>184057</v>
      </c>
      <c r="AF830" s="28">
        <f t="shared" si="39"/>
        <v>0</v>
      </c>
    </row>
    <row r="831" spans="2:32" x14ac:dyDescent="0.3">
      <c r="B831" s="14" t="str">
        <f t="shared" si="37"/>
        <v>45102104511000346Audit Services-N421125200104</v>
      </c>
      <c r="C831" s="21" t="s">
        <v>2984</v>
      </c>
      <c r="D831" s="22">
        <v>4510210</v>
      </c>
      <c r="E831" s="21" t="s">
        <v>447</v>
      </c>
      <c r="F831" s="22">
        <v>4511000346</v>
      </c>
      <c r="G831" s="21" t="s">
        <v>3089</v>
      </c>
      <c r="H831" s="21" t="s">
        <v>43</v>
      </c>
      <c r="I831" s="22">
        <v>421125</v>
      </c>
      <c r="J831" s="22">
        <v>200104</v>
      </c>
      <c r="K831" s="22" t="s">
        <v>2959</v>
      </c>
      <c r="L831" s="22">
        <v>70102</v>
      </c>
      <c r="M831" s="23" t="s">
        <v>2960</v>
      </c>
      <c r="N831" s="24">
        <v>0</v>
      </c>
      <c r="O831" s="24">
        <v>0</v>
      </c>
      <c r="P831" s="24">
        <v>0</v>
      </c>
      <c r="Q831" s="24">
        <v>99000</v>
      </c>
      <c r="R831" s="24">
        <v>0</v>
      </c>
      <c r="S831" s="24">
        <v>0</v>
      </c>
      <c r="T831" s="24">
        <v>99000</v>
      </c>
      <c r="U831" s="24">
        <v>0</v>
      </c>
      <c r="V831" s="24">
        <v>0</v>
      </c>
      <c r="W831" s="24">
        <v>0</v>
      </c>
      <c r="X831" s="24">
        <v>0</v>
      </c>
      <c r="Y831" s="24">
        <v>0</v>
      </c>
      <c r="Z831" s="24">
        <f t="shared" si="38"/>
        <v>198000</v>
      </c>
      <c r="AB831" s="25">
        <v>198000</v>
      </c>
      <c r="AC831" s="26">
        <v>198000</v>
      </c>
      <c r="AD831" s="24">
        <v>0</v>
      </c>
      <c r="AE831" s="27">
        <f>_xlfn.XLOOKUP(B831,'Projects Cashflow'!$B:$B,'Projects Cashflow'!$AG:$AG,0)</f>
        <v>198000</v>
      </c>
      <c r="AF831" s="28">
        <f t="shared" si="39"/>
        <v>0</v>
      </c>
    </row>
    <row r="832" spans="2:32" x14ac:dyDescent="0.3">
      <c r="B832" s="14" t="str">
        <f t="shared" si="37"/>
        <v>45102104511000346Freelancers-N424521200104</v>
      </c>
      <c r="C832" s="21" t="s">
        <v>2984</v>
      </c>
      <c r="D832" s="22">
        <v>4510210</v>
      </c>
      <c r="E832" s="21" t="s">
        <v>447</v>
      </c>
      <c r="F832" s="22">
        <v>4511000346</v>
      </c>
      <c r="G832" s="21" t="s">
        <v>3089</v>
      </c>
      <c r="H832" s="21" t="s">
        <v>50</v>
      </c>
      <c r="I832" s="22">
        <v>424521</v>
      </c>
      <c r="J832" s="22">
        <v>200104</v>
      </c>
      <c r="K832" s="22" t="s">
        <v>2959</v>
      </c>
      <c r="L832" s="22">
        <v>70102</v>
      </c>
      <c r="M832" s="23" t="s">
        <v>2960</v>
      </c>
      <c r="N832" s="24">
        <v>0</v>
      </c>
      <c r="O832" s="24">
        <v>18800</v>
      </c>
      <c r="P832" s="24">
        <v>27253.260000000002</v>
      </c>
      <c r="Q832" s="24">
        <v>0</v>
      </c>
      <c r="R832" s="24">
        <v>8747</v>
      </c>
      <c r="S832" s="24">
        <v>12000</v>
      </c>
      <c r="T832" s="24">
        <v>12000</v>
      </c>
      <c r="U832" s="24">
        <v>12000</v>
      </c>
      <c r="V832" s="24">
        <v>12000</v>
      </c>
      <c r="W832" s="24">
        <v>12000</v>
      </c>
      <c r="X832" s="24">
        <v>12000</v>
      </c>
      <c r="Y832" s="24">
        <v>12000</v>
      </c>
      <c r="Z832" s="24">
        <f t="shared" si="38"/>
        <v>138800.26</v>
      </c>
      <c r="AB832" s="25">
        <v>346129.26</v>
      </c>
      <c r="AC832" s="26">
        <v>346129</v>
      </c>
      <c r="AD832" s="24">
        <v>0.26000000000931323</v>
      </c>
      <c r="AE832" s="27">
        <f>_xlfn.XLOOKUP(B832,'Projects Cashflow'!$B:$B,'Projects Cashflow'!$AG:$AG,0)</f>
        <v>346129</v>
      </c>
      <c r="AF832" s="28">
        <f t="shared" si="39"/>
        <v>-0.26000000000931323</v>
      </c>
    </row>
    <row r="833" spans="2:32" x14ac:dyDescent="0.3">
      <c r="B833" s="14" t="str">
        <f t="shared" si="37"/>
        <v>45102104511000346Mission &amp; Travel-N423821200104</v>
      </c>
      <c r="C833" s="21" t="s">
        <v>2984</v>
      </c>
      <c r="D833" s="22">
        <v>4510210</v>
      </c>
      <c r="E833" s="21" t="s">
        <v>447</v>
      </c>
      <c r="F833" s="22">
        <v>4511000346</v>
      </c>
      <c r="G833" s="21" t="s">
        <v>3089</v>
      </c>
      <c r="H833" s="21" t="s">
        <v>54</v>
      </c>
      <c r="I833" s="22">
        <v>423821</v>
      </c>
      <c r="J833" s="22">
        <v>200104</v>
      </c>
      <c r="K833" s="22" t="s">
        <v>2959</v>
      </c>
      <c r="L833" s="22">
        <v>70102</v>
      </c>
      <c r="M833" s="23" t="s">
        <v>2960</v>
      </c>
      <c r="N833" s="24">
        <v>0</v>
      </c>
      <c r="O833" s="24">
        <v>0</v>
      </c>
      <c r="P833" s="26">
        <v>12000</v>
      </c>
      <c r="Q833" s="24">
        <v>72000</v>
      </c>
      <c r="R833" s="24">
        <v>0</v>
      </c>
      <c r="S833" s="24">
        <v>0</v>
      </c>
      <c r="T833" s="24">
        <v>0</v>
      </c>
      <c r="U833" s="24">
        <v>0</v>
      </c>
      <c r="V833" s="24">
        <v>0</v>
      </c>
      <c r="W833" s="24">
        <v>0</v>
      </c>
      <c r="X833" s="24">
        <v>0</v>
      </c>
      <c r="Y833" s="24">
        <v>10000</v>
      </c>
      <c r="Z833" s="24">
        <f t="shared" si="38"/>
        <v>94000</v>
      </c>
      <c r="AB833" s="25">
        <v>64000</v>
      </c>
      <c r="AC833" s="26">
        <v>64000</v>
      </c>
      <c r="AD833" s="24">
        <v>0</v>
      </c>
      <c r="AE833" s="27">
        <f>_xlfn.XLOOKUP(B833,'Projects Cashflow'!$B:$B,'Projects Cashflow'!$AG:$AG,0)</f>
        <v>64000</v>
      </c>
      <c r="AF833" s="28">
        <f t="shared" si="39"/>
        <v>0</v>
      </c>
    </row>
    <row r="834" spans="2:32" x14ac:dyDescent="0.3">
      <c r="B834" s="14" t="str">
        <f t="shared" si="37"/>
        <v>45102104511000987Audit Services-N1421125200104</v>
      </c>
      <c r="C834" s="21" t="s">
        <v>2984</v>
      </c>
      <c r="D834" s="22">
        <v>4510210</v>
      </c>
      <c r="E834" s="21" t="s">
        <v>447</v>
      </c>
      <c r="F834" s="22">
        <v>4511000987</v>
      </c>
      <c r="G834" s="21" t="s">
        <v>1303</v>
      </c>
      <c r="H834" s="21" t="s">
        <v>1102</v>
      </c>
      <c r="I834" s="22">
        <v>421125</v>
      </c>
      <c r="J834" s="22">
        <v>200104</v>
      </c>
      <c r="K834" s="22" t="s">
        <v>2959</v>
      </c>
      <c r="L834" s="22">
        <v>70102</v>
      </c>
      <c r="M834" s="23" t="s">
        <v>2960</v>
      </c>
      <c r="N834" s="24">
        <v>0</v>
      </c>
      <c r="O834" s="24">
        <v>0</v>
      </c>
      <c r="P834" s="24">
        <v>0</v>
      </c>
      <c r="Q834" s="24">
        <v>0</v>
      </c>
      <c r="R834" s="24">
        <v>0</v>
      </c>
      <c r="S834" s="24">
        <v>0</v>
      </c>
      <c r="T834" s="24">
        <v>243200</v>
      </c>
      <c r="U834" s="24">
        <v>121600</v>
      </c>
      <c r="V834" s="24">
        <v>121600</v>
      </c>
      <c r="W834" s="24">
        <v>0</v>
      </c>
      <c r="X834" s="24">
        <v>212800</v>
      </c>
      <c r="Y834" s="24">
        <v>477280</v>
      </c>
      <c r="Z834" s="24">
        <f t="shared" si="38"/>
        <v>1176480</v>
      </c>
      <c r="AB834" s="25">
        <v>1176480</v>
      </c>
      <c r="AC834" s="26">
        <v>1176480</v>
      </c>
      <c r="AD834" s="24">
        <v>0</v>
      </c>
      <c r="AE834" s="27">
        <f>_xlfn.XLOOKUP(B834,'Projects Cashflow'!$B:$B,'Projects Cashflow'!$AG:$AG,0)</f>
        <v>1176480</v>
      </c>
      <c r="AF834" s="28">
        <f t="shared" si="39"/>
        <v>0</v>
      </c>
    </row>
    <row r="835" spans="2:32" x14ac:dyDescent="0.3">
      <c r="B835" s="14" t="str">
        <f t="shared" si="37"/>
        <v>45102104511000987Freelancers-N1424521200104</v>
      </c>
      <c r="C835" s="21" t="s">
        <v>2984</v>
      </c>
      <c r="D835" s="22">
        <v>4510210</v>
      </c>
      <c r="E835" s="21" t="s">
        <v>447</v>
      </c>
      <c r="F835" s="22">
        <v>4511000987</v>
      </c>
      <c r="G835" s="21" t="s">
        <v>1303</v>
      </c>
      <c r="H835" s="21" t="s">
        <v>303</v>
      </c>
      <c r="I835" s="22">
        <v>424521</v>
      </c>
      <c r="J835" s="22">
        <v>200104</v>
      </c>
      <c r="K835" s="22" t="s">
        <v>2959</v>
      </c>
      <c r="L835" s="22">
        <v>70102</v>
      </c>
      <c r="M835" s="23" t="s">
        <v>2960</v>
      </c>
      <c r="N835" s="24">
        <v>0</v>
      </c>
      <c r="O835" s="24">
        <v>88000</v>
      </c>
      <c r="P835" s="26">
        <v>22000</v>
      </c>
      <c r="Q835" s="24">
        <v>66000</v>
      </c>
      <c r="R835" s="24">
        <v>44000</v>
      </c>
      <c r="S835" s="24">
        <v>44000</v>
      </c>
      <c r="T835" s="24">
        <v>44000</v>
      </c>
      <c r="U835" s="24">
        <v>44000</v>
      </c>
      <c r="V835" s="24">
        <v>44000</v>
      </c>
      <c r="W835" s="24">
        <v>44000</v>
      </c>
      <c r="X835" s="24">
        <v>44000</v>
      </c>
      <c r="Y835" s="24">
        <v>44000</v>
      </c>
      <c r="Z835" s="24">
        <f t="shared" si="38"/>
        <v>528000</v>
      </c>
      <c r="AB835" s="25">
        <v>724400</v>
      </c>
      <c r="AC835" s="26">
        <v>724400</v>
      </c>
      <c r="AD835" s="24">
        <v>0</v>
      </c>
      <c r="AE835" s="27">
        <f>_xlfn.XLOOKUP(B835,'Projects Cashflow'!$B:$B,'Projects Cashflow'!$AG:$AG,0)</f>
        <v>724400</v>
      </c>
      <c r="AF835" s="28">
        <f t="shared" si="39"/>
        <v>0</v>
      </c>
    </row>
    <row r="836" spans="2:32" x14ac:dyDescent="0.3">
      <c r="B836" s="14" t="str">
        <f t="shared" si="37"/>
        <v>45102104511000987ComplianceAdvice-N1424521200104</v>
      </c>
      <c r="C836" s="21" t="s">
        <v>2984</v>
      </c>
      <c r="D836" s="22">
        <v>4510210</v>
      </c>
      <c r="E836" s="21" t="s">
        <v>447</v>
      </c>
      <c r="F836" s="22">
        <v>4511000987</v>
      </c>
      <c r="G836" s="21" t="s">
        <v>1303</v>
      </c>
      <c r="H836" s="21" t="s">
        <v>1305</v>
      </c>
      <c r="I836" s="22">
        <v>424521</v>
      </c>
      <c r="J836" s="22">
        <v>200104</v>
      </c>
      <c r="K836" s="22" t="s">
        <v>2959</v>
      </c>
      <c r="L836" s="22">
        <v>70502</v>
      </c>
      <c r="M836" s="23" t="s">
        <v>2960</v>
      </c>
      <c r="N836" s="24">
        <v>0</v>
      </c>
      <c r="O836" s="24">
        <v>0</v>
      </c>
      <c r="P836" s="24">
        <v>0</v>
      </c>
      <c r="Q836" s="24">
        <v>0</v>
      </c>
      <c r="R836" s="24">
        <v>0</v>
      </c>
      <c r="S836" s="24">
        <v>0</v>
      </c>
      <c r="T836" s="24">
        <v>0</v>
      </c>
      <c r="U836" s="24">
        <v>0</v>
      </c>
      <c r="V836" s="24">
        <v>0</v>
      </c>
      <c r="W836" s="24">
        <v>0</v>
      </c>
      <c r="X836" s="24">
        <v>150000</v>
      </c>
      <c r="Y836" s="24">
        <v>0</v>
      </c>
      <c r="Z836" s="24">
        <f t="shared" si="38"/>
        <v>150000</v>
      </c>
      <c r="AB836" s="25">
        <v>150000</v>
      </c>
      <c r="AC836" s="26">
        <v>150000</v>
      </c>
      <c r="AD836" s="24">
        <v>0</v>
      </c>
      <c r="AE836" s="27">
        <f>_xlfn.XLOOKUP(B836,'Projects Cashflow'!$B:$B,'Projects Cashflow'!$AG:$AG,0)</f>
        <v>150000</v>
      </c>
      <c r="AF836" s="28">
        <f t="shared" si="39"/>
        <v>0</v>
      </c>
    </row>
    <row r="837" spans="2:32" x14ac:dyDescent="0.3">
      <c r="B837" s="14" t="str">
        <f t="shared" ref="B837:B900" si="40">D837&amp;F837&amp;H837&amp;I837&amp;J837</f>
        <v>45102104511000987Mission &amp; Travel-N1423821200104</v>
      </c>
      <c r="C837" s="21" t="s">
        <v>2984</v>
      </c>
      <c r="D837" s="22">
        <v>4510210</v>
      </c>
      <c r="E837" s="21" t="s">
        <v>447</v>
      </c>
      <c r="F837" s="22">
        <v>4511000987</v>
      </c>
      <c r="G837" s="21" t="s">
        <v>1303</v>
      </c>
      <c r="H837" s="21" t="s">
        <v>472</v>
      </c>
      <c r="I837" s="22">
        <v>423821</v>
      </c>
      <c r="J837" s="22">
        <v>200104</v>
      </c>
      <c r="K837" s="22" t="s">
        <v>2959</v>
      </c>
      <c r="L837" s="22">
        <v>70502</v>
      </c>
      <c r="M837" s="23" t="s">
        <v>2960</v>
      </c>
      <c r="N837" s="24">
        <v>0</v>
      </c>
      <c r="O837" s="24">
        <v>0</v>
      </c>
      <c r="P837" s="24">
        <v>0</v>
      </c>
      <c r="Q837" s="24">
        <v>4000</v>
      </c>
      <c r="R837" s="24">
        <v>0</v>
      </c>
      <c r="S837" s="24">
        <v>52500</v>
      </c>
      <c r="T837" s="24">
        <v>41200</v>
      </c>
      <c r="U837" s="24">
        <v>1200</v>
      </c>
      <c r="V837" s="24">
        <v>4600</v>
      </c>
      <c r="W837" s="24">
        <v>8310</v>
      </c>
      <c r="X837" s="24">
        <v>17600</v>
      </c>
      <c r="Y837" s="24">
        <v>0</v>
      </c>
      <c r="Z837" s="24">
        <f t="shared" ref="Z837:Z900" si="41">SUM(N837:Y837)</f>
        <v>129410</v>
      </c>
      <c r="AB837" s="25">
        <v>129410</v>
      </c>
      <c r="AC837" s="26">
        <v>129410</v>
      </c>
      <c r="AD837" s="24">
        <v>0</v>
      </c>
      <c r="AE837" s="27">
        <f>_xlfn.XLOOKUP(B837,'Projects Cashflow'!$B:$B,'Projects Cashflow'!$AG:$AG,0)</f>
        <v>129410</v>
      </c>
      <c r="AF837" s="28">
        <f t="shared" ref="AF837:AF900" si="42">AE837-AB837</f>
        <v>0</v>
      </c>
    </row>
    <row r="838" spans="2:32" x14ac:dyDescent="0.3">
      <c r="B838" s="14" t="str">
        <f t="shared" si="40"/>
        <v>45102104511000987Admin Expenses-N1421125200104</v>
      </c>
      <c r="C838" s="21" t="s">
        <v>2984</v>
      </c>
      <c r="D838" s="22">
        <v>4510210</v>
      </c>
      <c r="E838" s="21" t="s">
        <v>447</v>
      </c>
      <c r="F838" s="22">
        <v>4511000987</v>
      </c>
      <c r="G838" s="21" t="s">
        <v>1303</v>
      </c>
      <c r="H838" s="21" t="s">
        <v>73</v>
      </c>
      <c r="I838" s="22">
        <v>421125</v>
      </c>
      <c r="J838" s="22">
        <v>200104</v>
      </c>
      <c r="K838" s="22" t="s">
        <v>2959</v>
      </c>
      <c r="L838" s="22">
        <v>70502</v>
      </c>
      <c r="M838" s="23" t="s">
        <v>2960</v>
      </c>
      <c r="N838" s="24">
        <v>0</v>
      </c>
      <c r="O838" s="24">
        <v>0</v>
      </c>
      <c r="P838" s="24">
        <v>0</v>
      </c>
      <c r="Q838" s="24">
        <v>4000</v>
      </c>
      <c r="R838" s="24">
        <v>0</v>
      </c>
      <c r="S838" s="24">
        <v>5000</v>
      </c>
      <c r="T838" s="24">
        <v>48035</v>
      </c>
      <c r="U838" s="24">
        <v>5000</v>
      </c>
      <c r="V838" s="24">
        <v>0</v>
      </c>
      <c r="W838" s="24">
        <v>0</v>
      </c>
      <c r="X838" s="24">
        <v>5000</v>
      </c>
      <c r="Y838" s="24">
        <v>0</v>
      </c>
      <c r="Z838" s="24">
        <f t="shared" si="41"/>
        <v>67035</v>
      </c>
      <c r="AB838" s="25">
        <v>67035</v>
      </c>
      <c r="AC838" s="26">
        <v>67035</v>
      </c>
      <c r="AD838" s="24">
        <v>0</v>
      </c>
      <c r="AE838" s="27">
        <f>_xlfn.XLOOKUP(B838,'Projects Cashflow'!$B:$B,'Projects Cashflow'!$AG:$AG,0)</f>
        <v>67035</v>
      </c>
      <c r="AF838" s="28">
        <f t="shared" si="42"/>
        <v>0</v>
      </c>
    </row>
    <row r="839" spans="2:32" x14ac:dyDescent="0.3">
      <c r="B839" s="14" t="str">
        <f t="shared" si="40"/>
        <v>45102204511000023Freelancers-N424521200104</v>
      </c>
      <c r="C839" s="21" t="s">
        <v>2984</v>
      </c>
      <c r="D839" s="22">
        <v>4510220</v>
      </c>
      <c r="E839" s="21" t="s">
        <v>133</v>
      </c>
      <c r="F839" s="22">
        <v>4511000023</v>
      </c>
      <c r="G839" s="21" t="s">
        <v>3090</v>
      </c>
      <c r="H839" s="21" t="s">
        <v>50</v>
      </c>
      <c r="I839" s="22">
        <v>424521</v>
      </c>
      <c r="J839" s="22">
        <v>200104</v>
      </c>
      <c r="K839" s="22" t="s">
        <v>2959</v>
      </c>
      <c r="L839" s="22">
        <v>70103</v>
      </c>
      <c r="M839" s="23" t="s">
        <v>2960</v>
      </c>
      <c r="N839" s="24">
        <v>0</v>
      </c>
      <c r="O839" s="24">
        <v>218633</v>
      </c>
      <c r="P839" s="26">
        <v>267300</v>
      </c>
      <c r="Q839" s="24">
        <v>193500</v>
      </c>
      <c r="R839" s="24">
        <v>86000</v>
      </c>
      <c r="S839" s="24">
        <v>86000</v>
      </c>
      <c r="T839" s="24">
        <v>86000</v>
      </c>
      <c r="U839" s="24">
        <v>86000</v>
      </c>
      <c r="V839" s="24">
        <v>86000</v>
      </c>
      <c r="W839" s="24">
        <v>86000</v>
      </c>
      <c r="X839" s="24">
        <v>86000</v>
      </c>
      <c r="Y839" s="24">
        <v>75857</v>
      </c>
      <c r="Z839" s="24">
        <f t="shared" si="41"/>
        <v>1357290</v>
      </c>
      <c r="AB839" s="25">
        <v>1357290</v>
      </c>
      <c r="AC839" s="26">
        <v>1357290</v>
      </c>
      <c r="AD839" s="24">
        <v>0</v>
      </c>
      <c r="AE839" s="27">
        <f>_xlfn.XLOOKUP(B839,'Projects Cashflow'!$B:$B,'Projects Cashflow'!$AG:$AG,0)</f>
        <v>1357290</v>
      </c>
      <c r="AF839" s="28">
        <f t="shared" si="42"/>
        <v>0</v>
      </c>
    </row>
    <row r="840" spans="2:32" x14ac:dyDescent="0.3">
      <c r="B840" s="14" t="str">
        <f t="shared" si="40"/>
        <v>45102204511000023Admin Expenses-N421125200104</v>
      </c>
      <c r="C840" s="21" t="s">
        <v>2984</v>
      </c>
      <c r="D840" s="22">
        <v>4510220</v>
      </c>
      <c r="E840" s="21" t="s">
        <v>133</v>
      </c>
      <c r="F840" s="22">
        <v>4511000023</v>
      </c>
      <c r="G840" s="21" t="s">
        <v>3090</v>
      </c>
      <c r="H840" s="21" t="s">
        <v>130</v>
      </c>
      <c r="I840" s="22">
        <v>421125</v>
      </c>
      <c r="J840" s="22">
        <v>200104</v>
      </c>
      <c r="K840" s="22" t="s">
        <v>2959</v>
      </c>
      <c r="L840" s="22">
        <v>70103</v>
      </c>
      <c r="M840" s="23" t="s">
        <v>2960</v>
      </c>
      <c r="N840" s="24">
        <v>0</v>
      </c>
      <c r="O840" s="24">
        <v>0</v>
      </c>
      <c r="P840" s="24">
        <v>13054.26</v>
      </c>
      <c r="Q840" s="24">
        <v>26945.739999999998</v>
      </c>
      <c r="R840" s="24">
        <v>0</v>
      </c>
      <c r="S840" s="24">
        <v>20000</v>
      </c>
      <c r="T840" s="24">
        <v>0</v>
      </c>
      <c r="U840" s="24">
        <v>0</v>
      </c>
      <c r="V840" s="24">
        <v>30000</v>
      </c>
      <c r="W840" s="24">
        <v>0</v>
      </c>
      <c r="X840" s="24">
        <v>18097</v>
      </c>
      <c r="Y840" s="24">
        <v>40000</v>
      </c>
      <c r="Z840" s="24">
        <f t="shared" si="41"/>
        <v>148097</v>
      </c>
      <c r="AB840" s="25">
        <v>148097</v>
      </c>
      <c r="AC840" s="26">
        <v>148097</v>
      </c>
      <c r="AD840" s="24">
        <v>0</v>
      </c>
      <c r="AE840" s="27">
        <f>_xlfn.XLOOKUP(B840,'Projects Cashflow'!$B:$B,'Projects Cashflow'!$AG:$AG,0)</f>
        <v>148097</v>
      </c>
      <c r="AF840" s="28">
        <f t="shared" si="42"/>
        <v>0</v>
      </c>
    </row>
    <row r="841" spans="2:32" x14ac:dyDescent="0.3">
      <c r="B841" s="14" t="str">
        <f t="shared" si="40"/>
        <v>45102204511000023Mission &amp; Travel-N423821200104</v>
      </c>
      <c r="C841" s="21" t="s">
        <v>2984</v>
      </c>
      <c r="D841" s="22">
        <v>4510220</v>
      </c>
      <c r="E841" s="21" t="s">
        <v>133</v>
      </c>
      <c r="F841" s="22">
        <v>4511000023</v>
      </c>
      <c r="G841" s="21" t="s">
        <v>3090</v>
      </c>
      <c r="H841" s="21" t="s">
        <v>54</v>
      </c>
      <c r="I841" s="22">
        <v>423821</v>
      </c>
      <c r="J841" s="22">
        <v>200104</v>
      </c>
      <c r="K841" s="22" t="s">
        <v>2959</v>
      </c>
      <c r="L841" s="22">
        <v>70103</v>
      </c>
      <c r="M841" s="23" t="s">
        <v>2960</v>
      </c>
      <c r="N841" s="24">
        <v>0</v>
      </c>
      <c r="O841" s="26">
        <v>7500</v>
      </c>
      <c r="P841" s="24">
        <v>0</v>
      </c>
      <c r="Q841" s="24">
        <v>57500</v>
      </c>
      <c r="R841" s="24">
        <v>0</v>
      </c>
      <c r="S841" s="24">
        <v>0</v>
      </c>
      <c r="T841" s="24">
        <v>0</v>
      </c>
      <c r="U841" s="24">
        <v>0</v>
      </c>
      <c r="V841" s="24">
        <v>0</v>
      </c>
      <c r="W841" s="24">
        <v>0</v>
      </c>
      <c r="X841" s="24">
        <v>0</v>
      </c>
      <c r="Y841" s="24">
        <v>0</v>
      </c>
      <c r="Z841" s="24">
        <f t="shared" si="41"/>
        <v>65000</v>
      </c>
      <c r="AB841" s="25">
        <v>65000</v>
      </c>
      <c r="AC841" s="26">
        <v>65000</v>
      </c>
      <c r="AD841" s="24">
        <v>0</v>
      </c>
      <c r="AE841" s="27">
        <f>_xlfn.XLOOKUP(B841,'Projects Cashflow'!$B:$B,'Projects Cashflow'!$AG:$AG,0)</f>
        <v>65000</v>
      </c>
      <c r="AF841" s="28">
        <f t="shared" si="42"/>
        <v>0</v>
      </c>
    </row>
    <row r="842" spans="2:32" x14ac:dyDescent="0.3">
      <c r="B842" s="14" t="str">
        <f t="shared" si="40"/>
        <v>45102204511000779Event Management-N422401200104</v>
      </c>
      <c r="C842" s="21" t="s">
        <v>2984</v>
      </c>
      <c r="D842" s="22">
        <v>4510220</v>
      </c>
      <c r="E842" s="21" t="s">
        <v>133</v>
      </c>
      <c r="F842" s="22">
        <v>4511000779</v>
      </c>
      <c r="G842" s="21" t="s">
        <v>1060</v>
      </c>
      <c r="H842" s="21" t="s">
        <v>162</v>
      </c>
      <c r="I842" s="22">
        <v>422401</v>
      </c>
      <c r="J842" s="22">
        <v>200104</v>
      </c>
      <c r="K842" s="22" t="s">
        <v>2959</v>
      </c>
      <c r="L842" s="22">
        <v>70103</v>
      </c>
      <c r="M842" s="23" t="s">
        <v>2960</v>
      </c>
      <c r="N842" s="24">
        <v>0</v>
      </c>
      <c r="O842" s="24">
        <v>0</v>
      </c>
      <c r="P842" s="24">
        <v>73075</v>
      </c>
      <c r="Q842" s="24">
        <v>54375</v>
      </c>
      <c r="R842" s="24">
        <v>204500</v>
      </c>
      <c r="S842" s="24">
        <v>0</v>
      </c>
      <c r="T842" s="24">
        <v>123000</v>
      </c>
      <c r="U842" s="24">
        <v>0</v>
      </c>
      <c r="V842" s="24">
        <v>23500</v>
      </c>
      <c r="W842" s="24">
        <v>0</v>
      </c>
      <c r="X842" s="24">
        <v>355000</v>
      </c>
      <c r="Y842" s="24">
        <v>355000</v>
      </c>
      <c r="Z842" s="24">
        <f t="shared" si="41"/>
        <v>1188450</v>
      </c>
      <c r="AB842" s="25">
        <v>3230450</v>
      </c>
      <c r="AC842" s="26">
        <v>3230450</v>
      </c>
      <c r="AD842" s="32">
        <v>0</v>
      </c>
      <c r="AE842" s="27">
        <f>_xlfn.XLOOKUP(B842,'Projects Cashflow'!$B:$B,'Projects Cashflow'!$AG:$AG,0)</f>
        <v>3230450</v>
      </c>
      <c r="AF842" s="28">
        <f t="shared" si="42"/>
        <v>0</v>
      </c>
    </row>
    <row r="843" spans="2:32" x14ac:dyDescent="0.3">
      <c r="B843" s="14" t="str">
        <f t="shared" si="40"/>
        <v>45102204511000782Awards &amp; Prizes-N424231200104</v>
      </c>
      <c r="C843" s="21" t="s">
        <v>2984</v>
      </c>
      <c r="D843" s="22">
        <v>4510220</v>
      </c>
      <c r="E843" s="21" t="s">
        <v>133</v>
      </c>
      <c r="F843" s="22">
        <v>4511000782</v>
      </c>
      <c r="G843" s="21" t="s">
        <v>1063</v>
      </c>
      <c r="H843" s="21" t="s">
        <v>590</v>
      </c>
      <c r="I843" s="22">
        <v>424231</v>
      </c>
      <c r="J843" s="22">
        <v>200104</v>
      </c>
      <c r="K843" s="22" t="s">
        <v>2959</v>
      </c>
      <c r="L843" s="22">
        <v>70103</v>
      </c>
      <c r="M843" s="23" t="s">
        <v>2960</v>
      </c>
      <c r="N843" s="24">
        <v>0</v>
      </c>
      <c r="O843" s="24">
        <v>0</v>
      </c>
      <c r="P843" s="24">
        <v>92000</v>
      </c>
      <c r="Q843" s="24">
        <v>0</v>
      </c>
      <c r="R843" s="24">
        <v>0</v>
      </c>
      <c r="S843" s="24">
        <v>0</v>
      </c>
      <c r="T843" s="24">
        <v>0</v>
      </c>
      <c r="U843" s="24">
        <v>0</v>
      </c>
      <c r="V843" s="24">
        <v>0</v>
      </c>
      <c r="W843" s="24">
        <v>0</v>
      </c>
      <c r="X843" s="24">
        <v>0</v>
      </c>
      <c r="Y843" s="24">
        <v>5319</v>
      </c>
      <c r="Z843" s="24">
        <f t="shared" si="41"/>
        <v>97319</v>
      </c>
      <c r="AB843" s="25">
        <v>2874819</v>
      </c>
      <c r="AC843" s="26">
        <v>2874819</v>
      </c>
      <c r="AD843" s="24">
        <v>0</v>
      </c>
      <c r="AE843" s="27">
        <f>_xlfn.XLOOKUP(B843,'Projects Cashflow'!$B:$B,'Projects Cashflow'!$AG:$AG,0)</f>
        <v>2874819</v>
      </c>
      <c r="AF843" s="28">
        <f t="shared" si="42"/>
        <v>0</v>
      </c>
    </row>
    <row r="844" spans="2:32" x14ac:dyDescent="0.3">
      <c r="B844" s="14" t="str">
        <f t="shared" si="40"/>
        <v>45102204511001326Event Management-N422401200104</v>
      </c>
      <c r="C844" s="21" t="s">
        <v>2984</v>
      </c>
      <c r="D844" s="22">
        <v>4510220</v>
      </c>
      <c r="E844" s="21" t="s">
        <v>133</v>
      </c>
      <c r="F844" s="22">
        <v>4511001326</v>
      </c>
      <c r="G844" s="21" t="s">
        <v>3091</v>
      </c>
      <c r="H844" s="21" t="s">
        <v>162</v>
      </c>
      <c r="I844" s="22">
        <v>422401</v>
      </c>
      <c r="J844" s="22">
        <v>200104</v>
      </c>
      <c r="K844" s="22" t="s">
        <v>2959</v>
      </c>
      <c r="L844" s="22">
        <v>70103</v>
      </c>
      <c r="M844" s="23" t="s">
        <v>2960</v>
      </c>
      <c r="N844" s="24">
        <v>0</v>
      </c>
      <c r="O844" s="24">
        <v>0</v>
      </c>
      <c r="P844" s="24">
        <v>1600</v>
      </c>
      <c r="Q844" s="24">
        <v>38400</v>
      </c>
      <c r="R844" s="24">
        <v>32000</v>
      </c>
      <c r="S844" s="24">
        <v>0</v>
      </c>
      <c r="T844" s="24">
        <v>0</v>
      </c>
      <c r="U844" s="24">
        <v>9500</v>
      </c>
      <c r="V844" s="24">
        <v>0</v>
      </c>
      <c r="W844" s="24">
        <v>235000</v>
      </c>
      <c r="X844" s="24">
        <v>200000</v>
      </c>
      <c r="Y844" s="24">
        <v>28000</v>
      </c>
      <c r="Z844" s="24">
        <f t="shared" si="41"/>
        <v>544500</v>
      </c>
      <c r="AB844" s="25">
        <v>840650</v>
      </c>
      <c r="AC844" s="26">
        <v>840650</v>
      </c>
      <c r="AD844" s="24">
        <v>0</v>
      </c>
      <c r="AE844" s="27">
        <f>_xlfn.XLOOKUP(B844,'Projects Cashflow'!$B:$B,'Projects Cashflow'!$AG:$AG,0)</f>
        <v>840650</v>
      </c>
      <c r="AF844" s="28">
        <f t="shared" si="42"/>
        <v>0</v>
      </c>
    </row>
    <row r="845" spans="2:32" x14ac:dyDescent="0.3">
      <c r="B845" s="14" t="str">
        <f t="shared" si="40"/>
        <v>45102304511000348Manpower-N1424521200104</v>
      </c>
      <c r="C845" s="21" t="s">
        <v>2984</v>
      </c>
      <c r="D845" s="22">
        <v>4510230</v>
      </c>
      <c r="E845" s="21" t="s">
        <v>466</v>
      </c>
      <c r="F845" s="22">
        <v>4511000348</v>
      </c>
      <c r="G845" s="21" t="s">
        <v>3092</v>
      </c>
      <c r="H845" s="21" t="s">
        <v>470</v>
      </c>
      <c r="I845" s="22">
        <v>424521</v>
      </c>
      <c r="J845" s="22">
        <v>200104</v>
      </c>
      <c r="K845" s="22" t="s">
        <v>2959</v>
      </c>
      <c r="L845" s="22">
        <v>70107</v>
      </c>
      <c r="M845" s="23" t="s">
        <v>2960</v>
      </c>
      <c r="N845" s="24">
        <v>0</v>
      </c>
      <c r="O845" s="24">
        <v>0</v>
      </c>
      <c r="P845" s="24">
        <v>0</v>
      </c>
      <c r="Q845" s="24">
        <v>587540</v>
      </c>
      <c r="R845" s="24">
        <v>146885</v>
      </c>
      <c r="S845" s="24">
        <v>146885</v>
      </c>
      <c r="T845" s="24">
        <v>146885</v>
      </c>
      <c r="U845" s="24">
        <v>146885</v>
      </c>
      <c r="V845" s="24">
        <v>146885</v>
      </c>
      <c r="W845" s="24">
        <v>146885</v>
      </c>
      <c r="X845" s="24">
        <v>146885</v>
      </c>
      <c r="Y845" s="24">
        <v>146885</v>
      </c>
      <c r="Z845" s="24">
        <f t="shared" si="41"/>
        <v>1762620</v>
      </c>
      <c r="AB845" s="25">
        <v>1762620</v>
      </c>
      <c r="AC845" s="26">
        <v>1762620</v>
      </c>
      <c r="AD845" s="24">
        <v>0</v>
      </c>
      <c r="AE845" s="27">
        <f>_xlfn.XLOOKUP(B845,'Projects Cashflow'!$B:$B,'Projects Cashflow'!$AG:$AG,0)</f>
        <v>1762620</v>
      </c>
      <c r="AF845" s="28">
        <f t="shared" si="42"/>
        <v>0</v>
      </c>
    </row>
    <row r="846" spans="2:32" x14ac:dyDescent="0.3">
      <c r="B846" s="14" t="str">
        <f t="shared" si="40"/>
        <v>45102304511000348Fuel-N1431614200104</v>
      </c>
      <c r="C846" s="21" t="s">
        <v>2984</v>
      </c>
      <c r="D846" s="22">
        <v>4510230</v>
      </c>
      <c r="E846" s="21" t="s">
        <v>466</v>
      </c>
      <c r="F846" s="22">
        <v>4511000348</v>
      </c>
      <c r="G846" s="21" t="s">
        <v>3092</v>
      </c>
      <c r="H846" s="21" t="s">
        <v>463</v>
      </c>
      <c r="I846" s="22">
        <v>431614</v>
      </c>
      <c r="J846" s="22">
        <v>200104</v>
      </c>
      <c r="K846" s="22" t="s">
        <v>2959</v>
      </c>
      <c r="L846" s="22">
        <v>70107</v>
      </c>
      <c r="M846" s="23" t="s">
        <v>2960</v>
      </c>
      <c r="N846" s="24">
        <v>0</v>
      </c>
      <c r="O846" s="24">
        <v>0</v>
      </c>
      <c r="P846" s="24">
        <v>0</v>
      </c>
      <c r="Q846" s="24">
        <v>480206</v>
      </c>
      <c r="R846" s="24">
        <v>100000</v>
      </c>
      <c r="S846" s="24">
        <v>100000</v>
      </c>
      <c r="T846" s="24">
        <v>100000</v>
      </c>
      <c r="U846" s="24">
        <v>100000</v>
      </c>
      <c r="V846" s="24">
        <v>100000</v>
      </c>
      <c r="W846" s="24">
        <v>100000</v>
      </c>
      <c r="X846" s="24">
        <v>100000</v>
      </c>
      <c r="Y846" s="24">
        <v>0</v>
      </c>
      <c r="Z846" s="24">
        <f t="shared" si="41"/>
        <v>1180206</v>
      </c>
      <c r="AB846" s="25">
        <v>1415432</v>
      </c>
      <c r="AC846" s="26">
        <v>1415432</v>
      </c>
      <c r="AD846" s="24">
        <v>0</v>
      </c>
      <c r="AE846" s="27">
        <f>_xlfn.XLOOKUP(B846,'Projects Cashflow'!$B:$B,'Projects Cashflow'!$AG:$AG,0)</f>
        <v>1415432</v>
      </c>
      <c r="AF846" s="28">
        <f t="shared" si="42"/>
        <v>0</v>
      </c>
    </row>
    <row r="847" spans="2:32" x14ac:dyDescent="0.3">
      <c r="B847" s="14" t="str">
        <f t="shared" si="40"/>
        <v>45102304511000348Hospitality-N1424761200104</v>
      </c>
      <c r="C847" s="21" t="s">
        <v>2984</v>
      </c>
      <c r="D847" s="22">
        <v>4510230</v>
      </c>
      <c r="E847" s="21" t="s">
        <v>466</v>
      </c>
      <c r="F847" s="22">
        <v>4511000348</v>
      </c>
      <c r="G847" s="21" t="s">
        <v>3092</v>
      </c>
      <c r="H847" s="21" t="s">
        <v>399</v>
      </c>
      <c r="I847" s="22">
        <v>424761</v>
      </c>
      <c r="J847" s="22">
        <v>200104</v>
      </c>
      <c r="K847" s="22" t="s">
        <v>2959</v>
      </c>
      <c r="L847" s="22">
        <v>70107</v>
      </c>
      <c r="M847" s="23" t="s">
        <v>2960</v>
      </c>
      <c r="N847" s="24">
        <v>0</v>
      </c>
      <c r="O847" s="24">
        <v>0</v>
      </c>
      <c r="P847" s="24">
        <v>0</v>
      </c>
      <c r="Q847" s="24">
        <v>290000</v>
      </c>
      <c r="R847" s="24">
        <v>0</v>
      </c>
      <c r="S847" s="24">
        <v>57500</v>
      </c>
      <c r="T847" s="24">
        <v>0</v>
      </c>
      <c r="U847" s="24">
        <v>0</v>
      </c>
      <c r="V847" s="24">
        <v>0</v>
      </c>
      <c r="W847" s="24">
        <v>127500</v>
      </c>
      <c r="X847" s="24">
        <v>0</v>
      </c>
      <c r="Y847" s="24">
        <v>10000</v>
      </c>
      <c r="Z847" s="24">
        <f t="shared" si="41"/>
        <v>485000</v>
      </c>
      <c r="AB847" s="25">
        <v>485000</v>
      </c>
      <c r="AC847" s="26">
        <v>485000</v>
      </c>
      <c r="AD847" s="24">
        <v>0</v>
      </c>
      <c r="AE847" s="27">
        <f>_xlfn.XLOOKUP(B847,'Projects Cashflow'!$B:$B,'Projects Cashflow'!$AG:$AG,0)</f>
        <v>485000</v>
      </c>
      <c r="AF847" s="28">
        <f t="shared" si="42"/>
        <v>0</v>
      </c>
    </row>
    <row r="848" spans="2:32" x14ac:dyDescent="0.3">
      <c r="B848" s="14" t="str">
        <f t="shared" si="40"/>
        <v>45102304511000348Mission &amp; Travel-N1423821200104</v>
      </c>
      <c r="C848" s="21" t="s">
        <v>2984</v>
      </c>
      <c r="D848" s="22">
        <v>4510230</v>
      </c>
      <c r="E848" s="21" t="s">
        <v>466</v>
      </c>
      <c r="F848" s="22">
        <v>4511000348</v>
      </c>
      <c r="G848" s="21" t="s">
        <v>3092</v>
      </c>
      <c r="H848" s="21" t="s">
        <v>472</v>
      </c>
      <c r="I848" s="22">
        <v>423821</v>
      </c>
      <c r="J848" s="22">
        <v>200104</v>
      </c>
      <c r="K848" s="22" t="s">
        <v>2959</v>
      </c>
      <c r="L848" s="22">
        <v>70107</v>
      </c>
      <c r="M848" s="23" t="s">
        <v>2960</v>
      </c>
      <c r="N848" s="24">
        <v>0</v>
      </c>
      <c r="O848" s="24">
        <v>0</v>
      </c>
      <c r="P848" s="24">
        <v>0</v>
      </c>
      <c r="Q848" s="24">
        <v>8000</v>
      </c>
      <c r="R848" s="24">
        <v>17000</v>
      </c>
      <c r="S848" s="24">
        <v>0</v>
      </c>
      <c r="T848" s="24">
        <v>0</v>
      </c>
      <c r="U848" s="24">
        <v>0</v>
      </c>
      <c r="V848" s="24">
        <v>0</v>
      </c>
      <c r="W848" s="24">
        <v>12000</v>
      </c>
      <c r="X848" s="24">
        <v>22500</v>
      </c>
      <c r="Y848" s="24">
        <v>30500</v>
      </c>
      <c r="Z848" s="24">
        <f t="shared" si="41"/>
        <v>90000</v>
      </c>
      <c r="AB848" s="25">
        <v>90000</v>
      </c>
      <c r="AC848" s="26">
        <v>90000</v>
      </c>
      <c r="AD848" s="24">
        <v>0</v>
      </c>
      <c r="AE848" s="27">
        <f>_xlfn.XLOOKUP(B848,'Projects Cashflow'!$B:$B,'Projects Cashflow'!$AG:$AG,0)</f>
        <v>90000</v>
      </c>
      <c r="AF848" s="28">
        <f t="shared" si="42"/>
        <v>0</v>
      </c>
    </row>
    <row r="849" spans="2:32" x14ac:dyDescent="0.3">
      <c r="B849" s="14" t="str">
        <f t="shared" si="40"/>
        <v>45112504511000527Ad-hoc Repairs-N426427200104</v>
      </c>
      <c r="C849" s="21" t="s">
        <v>65</v>
      </c>
      <c r="D849" s="22">
        <v>4511250</v>
      </c>
      <c r="E849" s="21" t="s">
        <v>66</v>
      </c>
      <c r="F849" s="22">
        <v>4511000527</v>
      </c>
      <c r="G849" s="21" t="s">
        <v>3010</v>
      </c>
      <c r="H849" s="21" t="s">
        <v>70</v>
      </c>
      <c r="I849" s="22">
        <v>426427</v>
      </c>
      <c r="J849" s="22">
        <v>200104</v>
      </c>
      <c r="K849" s="22" t="s">
        <v>2959</v>
      </c>
      <c r="L849" s="22">
        <v>70205</v>
      </c>
      <c r="M849" s="23" t="s">
        <v>2961</v>
      </c>
      <c r="N849" s="24">
        <v>0</v>
      </c>
      <c r="O849" s="24">
        <v>0</v>
      </c>
      <c r="P849" s="24">
        <v>0</v>
      </c>
      <c r="Q849" s="24">
        <v>0</v>
      </c>
      <c r="R849" s="24">
        <v>10232</v>
      </c>
      <c r="S849" s="24">
        <v>0</v>
      </c>
      <c r="T849" s="24">
        <v>10233</v>
      </c>
      <c r="U849" s="24">
        <v>0</v>
      </c>
      <c r="V849" s="24">
        <v>10233</v>
      </c>
      <c r="W849" s="24">
        <v>0</v>
      </c>
      <c r="X849" s="24">
        <v>10233</v>
      </c>
      <c r="Y849" s="24">
        <v>0</v>
      </c>
      <c r="Z849" s="24">
        <f t="shared" si="41"/>
        <v>40931</v>
      </c>
      <c r="AB849" s="25">
        <v>40931</v>
      </c>
      <c r="AC849" s="26">
        <v>40931</v>
      </c>
      <c r="AD849" s="24">
        <v>0</v>
      </c>
      <c r="AE849" s="27">
        <f>_xlfn.XLOOKUP(B849,'Projects Cashflow'!$B:$B,'Projects Cashflow'!$AG:$AG,0)</f>
        <v>40931</v>
      </c>
      <c r="AF849" s="28">
        <f t="shared" si="42"/>
        <v>0</v>
      </c>
    </row>
    <row r="850" spans="2:32" x14ac:dyDescent="0.3">
      <c r="B850" s="14" t="str">
        <f t="shared" si="40"/>
        <v>45102304511000502Cleaning Service-N1422311200104</v>
      </c>
      <c r="C850" s="21" t="s">
        <v>2984</v>
      </c>
      <c r="D850" s="22">
        <v>4510230</v>
      </c>
      <c r="E850" s="21" t="s">
        <v>466</v>
      </c>
      <c r="F850" s="22">
        <v>4511000502</v>
      </c>
      <c r="G850" s="21" t="s">
        <v>3093</v>
      </c>
      <c r="H850" s="21" t="s">
        <v>623</v>
      </c>
      <c r="I850" s="22">
        <v>422311</v>
      </c>
      <c r="J850" s="22">
        <v>200104</v>
      </c>
      <c r="K850" s="22" t="s">
        <v>2959</v>
      </c>
      <c r="L850" s="22">
        <v>70107</v>
      </c>
      <c r="M850" s="23" t="s">
        <v>2960</v>
      </c>
      <c r="N850" s="24">
        <v>0</v>
      </c>
      <c r="O850" s="24">
        <v>0</v>
      </c>
      <c r="P850" s="24">
        <v>0</v>
      </c>
      <c r="Q850" s="24">
        <v>28000</v>
      </c>
      <c r="R850" s="24">
        <v>7000</v>
      </c>
      <c r="S850" s="24">
        <v>7000</v>
      </c>
      <c r="T850" s="24">
        <v>7000</v>
      </c>
      <c r="U850" s="24">
        <v>7000</v>
      </c>
      <c r="V850" s="24">
        <v>7000</v>
      </c>
      <c r="W850" s="24">
        <v>7000</v>
      </c>
      <c r="X850" s="24">
        <v>7000</v>
      </c>
      <c r="Y850" s="24">
        <v>7000</v>
      </c>
      <c r="Z850" s="24">
        <f t="shared" si="41"/>
        <v>84000</v>
      </c>
      <c r="AB850" s="25">
        <v>84000</v>
      </c>
      <c r="AC850" s="26">
        <v>84000</v>
      </c>
      <c r="AD850" s="24">
        <v>0</v>
      </c>
      <c r="AE850" s="27">
        <f>_xlfn.XLOOKUP(B850,'Projects Cashflow'!$B:$B,'Projects Cashflow'!$AG:$AG,0)</f>
        <v>84000</v>
      </c>
      <c r="AF850" s="28">
        <f t="shared" si="42"/>
        <v>0</v>
      </c>
    </row>
    <row r="851" spans="2:32" x14ac:dyDescent="0.3">
      <c r="B851" s="14" t="str">
        <f t="shared" si="40"/>
        <v>45102304511000502Hospitality-N1424761200104</v>
      </c>
      <c r="C851" s="21" t="s">
        <v>2984</v>
      </c>
      <c r="D851" s="22">
        <v>4510230</v>
      </c>
      <c r="E851" s="21" t="s">
        <v>466</v>
      </c>
      <c r="F851" s="22">
        <v>4511000502</v>
      </c>
      <c r="G851" s="21" t="s">
        <v>3093</v>
      </c>
      <c r="H851" s="21" t="s">
        <v>399</v>
      </c>
      <c r="I851" s="22">
        <v>424761</v>
      </c>
      <c r="J851" s="22">
        <v>200104</v>
      </c>
      <c r="K851" s="22" t="s">
        <v>2959</v>
      </c>
      <c r="L851" s="22">
        <v>70107</v>
      </c>
      <c r="M851" s="23" t="s">
        <v>2960</v>
      </c>
      <c r="N851" s="24">
        <v>0</v>
      </c>
      <c r="O851" s="24">
        <v>0</v>
      </c>
      <c r="P851" s="24">
        <v>0</v>
      </c>
      <c r="Q851" s="24">
        <v>16664</v>
      </c>
      <c r="R851" s="24">
        <v>4167</v>
      </c>
      <c r="S851" s="24">
        <v>4167</v>
      </c>
      <c r="T851" s="24">
        <v>4167</v>
      </c>
      <c r="U851" s="24">
        <v>4167</v>
      </c>
      <c r="V851" s="24">
        <v>4167</v>
      </c>
      <c r="W851" s="24">
        <v>4167</v>
      </c>
      <c r="X851" s="24">
        <v>4167</v>
      </c>
      <c r="Y851" s="24">
        <v>4167</v>
      </c>
      <c r="Z851" s="24">
        <f t="shared" si="41"/>
        <v>50000</v>
      </c>
      <c r="AB851" s="25">
        <v>50000</v>
      </c>
      <c r="AC851" s="26">
        <v>50000</v>
      </c>
      <c r="AD851" s="24">
        <v>0</v>
      </c>
      <c r="AE851" s="27">
        <f>_xlfn.XLOOKUP(B851,'Projects Cashflow'!$B:$B,'Projects Cashflow'!$AG:$AG,0)</f>
        <v>50000</v>
      </c>
      <c r="AF851" s="28">
        <f t="shared" si="42"/>
        <v>0</v>
      </c>
    </row>
    <row r="852" spans="2:32" x14ac:dyDescent="0.3">
      <c r="B852" s="14" t="str">
        <f t="shared" si="40"/>
        <v>45102304511000502Maintenance-N1426212200104</v>
      </c>
      <c r="C852" s="21" t="s">
        <v>2984</v>
      </c>
      <c r="D852" s="22">
        <v>4510230</v>
      </c>
      <c r="E852" s="21" t="s">
        <v>466</v>
      </c>
      <c r="F852" s="22">
        <v>4511000502</v>
      </c>
      <c r="G852" s="21" t="s">
        <v>3093</v>
      </c>
      <c r="H852" s="21" t="s">
        <v>625</v>
      </c>
      <c r="I852" s="22">
        <v>426212</v>
      </c>
      <c r="J852" s="22">
        <v>200104</v>
      </c>
      <c r="K852" s="22" t="s">
        <v>2959</v>
      </c>
      <c r="L852" s="22">
        <v>70107</v>
      </c>
      <c r="M852" s="23" t="s">
        <v>2960</v>
      </c>
      <c r="N852" s="24">
        <v>0</v>
      </c>
      <c r="O852" s="24">
        <v>0</v>
      </c>
      <c r="P852" s="24">
        <v>0</v>
      </c>
      <c r="Q852" s="24">
        <v>9400</v>
      </c>
      <c r="R852" s="24">
        <v>2350</v>
      </c>
      <c r="S852" s="24">
        <v>2350</v>
      </c>
      <c r="T852" s="24">
        <v>2350</v>
      </c>
      <c r="U852" s="24">
        <v>2350</v>
      </c>
      <c r="V852" s="24">
        <v>2350</v>
      </c>
      <c r="W852" s="24">
        <v>2350</v>
      </c>
      <c r="X852" s="24">
        <v>2350</v>
      </c>
      <c r="Y852" s="24">
        <v>2350</v>
      </c>
      <c r="Z852" s="24">
        <f t="shared" si="41"/>
        <v>28200</v>
      </c>
      <c r="AB852" s="25">
        <v>28200</v>
      </c>
      <c r="AC852" s="26">
        <v>28200</v>
      </c>
      <c r="AD852" s="24">
        <v>0</v>
      </c>
      <c r="AE852" s="27">
        <f>_xlfn.XLOOKUP(B852,'Projects Cashflow'!$B:$B,'Projects Cashflow'!$AG:$AG,0)</f>
        <v>28200</v>
      </c>
      <c r="AF852" s="28">
        <f t="shared" si="42"/>
        <v>0</v>
      </c>
    </row>
    <row r="853" spans="2:32" x14ac:dyDescent="0.3">
      <c r="B853" s="14" t="str">
        <f t="shared" si="40"/>
        <v>45102304511000502Ad-hoc Repairs-N1426427200104</v>
      </c>
      <c r="C853" s="21" t="s">
        <v>2984</v>
      </c>
      <c r="D853" s="22">
        <v>4510230</v>
      </c>
      <c r="E853" s="21" t="s">
        <v>466</v>
      </c>
      <c r="F853" s="22">
        <v>4511000502</v>
      </c>
      <c r="G853" s="21" t="s">
        <v>3093</v>
      </c>
      <c r="H853" s="21" t="s">
        <v>621</v>
      </c>
      <c r="I853" s="22">
        <v>426427</v>
      </c>
      <c r="J853" s="22">
        <v>200104</v>
      </c>
      <c r="K853" s="22" t="s">
        <v>2959</v>
      </c>
      <c r="L853" s="22">
        <v>70107</v>
      </c>
      <c r="M853" s="23" t="s">
        <v>2960</v>
      </c>
      <c r="N853" s="24">
        <v>0</v>
      </c>
      <c r="O853" s="24">
        <v>0</v>
      </c>
      <c r="P853" s="24">
        <v>0</v>
      </c>
      <c r="Q853" s="24">
        <v>1200</v>
      </c>
      <c r="R853" s="24">
        <v>0</v>
      </c>
      <c r="S853" s="24">
        <v>1200</v>
      </c>
      <c r="T853" s="24">
        <v>0</v>
      </c>
      <c r="U853" s="24">
        <v>0</v>
      </c>
      <c r="V853" s="24">
        <v>1200</v>
      </c>
      <c r="W853" s="24">
        <v>0</v>
      </c>
      <c r="X853" s="24">
        <v>0</v>
      </c>
      <c r="Y853" s="24">
        <v>0</v>
      </c>
      <c r="Z853" s="24">
        <f t="shared" si="41"/>
        <v>3600</v>
      </c>
      <c r="AB853" s="25">
        <v>3600</v>
      </c>
      <c r="AC853" s="26">
        <v>3600</v>
      </c>
      <c r="AD853" s="24">
        <v>0</v>
      </c>
      <c r="AE853" s="27">
        <f>_xlfn.XLOOKUP(B853,'Projects Cashflow'!$B:$B,'Projects Cashflow'!$AG:$AG,0)</f>
        <v>3600</v>
      </c>
      <c r="AF853" s="28">
        <f t="shared" si="42"/>
        <v>0</v>
      </c>
    </row>
    <row r="854" spans="2:32" x14ac:dyDescent="0.3">
      <c r="B854" s="14" t="str">
        <f t="shared" si="40"/>
        <v>45102304511000504Security Service-N1424551200104</v>
      </c>
      <c r="C854" s="21" t="s">
        <v>2984</v>
      </c>
      <c r="D854" s="22">
        <v>4510230</v>
      </c>
      <c r="E854" s="21" t="s">
        <v>466</v>
      </c>
      <c r="F854" s="22">
        <v>4511000504</v>
      </c>
      <c r="G854" s="21" t="s">
        <v>3094</v>
      </c>
      <c r="H854" s="21" t="s">
        <v>627</v>
      </c>
      <c r="I854" s="22">
        <v>424551</v>
      </c>
      <c r="J854" s="22">
        <v>200104</v>
      </c>
      <c r="K854" s="22" t="s">
        <v>2959</v>
      </c>
      <c r="L854" s="22">
        <v>70107</v>
      </c>
      <c r="M854" s="23" t="s">
        <v>2960</v>
      </c>
      <c r="N854" s="24">
        <v>0</v>
      </c>
      <c r="O854" s="24">
        <v>0</v>
      </c>
      <c r="P854" s="24">
        <v>0</v>
      </c>
      <c r="Q854" s="24">
        <v>29880</v>
      </c>
      <c r="R854" s="24">
        <v>7470</v>
      </c>
      <c r="S854" s="24">
        <v>7470</v>
      </c>
      <c r="T854" s="24">
        <v>7470</v>
      </c>
      <c r="U854" s="24">
        <v>7470</v>
      </c>
      <c r="V854" s="24">
        <v>7470</v>
      </c>
      <c r="W854" s="24">
        <v>7470</v>
      </c>
      <c r="X854" s="24">
        <v>7470</v>
      </c>
      <c r="Y854" s="24">
        <v>7470</v>
      </c>
      <c r="Z854" s="24">
        <f t="shared" si="41"/>
        <v>89640</v>
      </c>
      <c r="AB854" s="25">
        <v>89640</v>
      </c>
      <c r="AC854" s="26">
        <v>89640</v>
      </c>
      <c r="AD854" s="24">
        <v>0</v>
      </c>
      <c r="AE854" s="27">
        <f>_xlfn.XLOOKUP(B854,'Projects Cashflow'!$B:$B,'Projects Cashflow'!$AG:$AG,0)</f>
        <v>89640</v>
      </c>
      <c r="AF854" s="28">
        <f t="shared" si="42"/>
        <v>0</v>
      </c>
    </row>
    <row r="855" spans="2:32" x14ac:dyDescent="0.3">
      <c r="B855" s="14" t="str">
        <f t="shared" si="40"/>
        <v>45102304511000504Facilities Rent-N1425112200104</v>
      </c>
      <c r="C855" s="21" t="s">
        <v>2984</v>
      </c>
      <c r="D855" s="22">
        <v>4510230</v>
      </c>
      <c r="E855" s="21" t="s">
        <v>466</v>
      </c>
      <c r="F855" s="22">
        <v>4511000504</v>
      </c>
      <c r="G855" s="21" t="s">
        <v>3094</v>
      </c>
      <c r="H855" s="21" t="s">
        <v>631</v>
      </c>
      <c r="I855" s="22">
        <v>425112</v>
      </c>
      <c r="J855" s="22">
        <v>200104</v>
      </c>
      <c r="K855" s="22" t="s">
        <v>2959</v>
      </c>
      <c r="L855" s="22">
        <v>70107</v>
      </c>
      <c r="M855" s="23" t="s">
        <v>2960</v>
      </c>
      <c r="N855" s="24">
        <v>0</v>
      </c>
      <c r="O855" s="24">
        <v>0</v>
      </c>
      <c r="P855" s="24">
        <v>0</v>
      </c>
      <c r="Q855" s="24">
        <v>61560.45</v>
      </c>
      <c r="R855" s="24">
        <v>0</v>
      </c>
      <c r="S855" s="24">
        <v>0</v>
      </c>
      <c r="T855" s="24">
        <v>0</v>
      </c>
      <c r="U855" s="24">
        <v>0</v>
      </c>
      <c r="V855" s="24">
        <v>0</v>
      </c>
      <c r="W855" s="24">
        <v>0</v>
      </c>
      <c r="X855" s="24">
        <v>0</v>
      </c>
      <c r="Y855" s="24">
        <v>0</v>
      </c>
      <c r="Z855" s="24">
        <f t="shared" si="41"/>
        <v>61560.45</v>
      </c>
      <c r="AB855" s="25">
        <v>61560.45</v>
      </c>
      <c r="AC855" s="26">
        <v>61560.9</v>
      </c>
      <c r="AD855" s="24">
        <v>-0.45000000000436557</v>
      </c>
      <c r="AE855" s="27">
        <f>_xlfn.XLOOKUP(B855,'Projects Cashflow'!$B:$B,'Projects Cashflow'!$AG:$AG,0)</f>
        <v>61560.9</v>
      </c>
      <c r="AF855" s="28">
        <f t="shared" si="42"/>
        <v>0.45000000000436557</v>
      </c>
    </row>
    <row r="856" spans="2:32" x14ac:dyDescent="0.3">
      <c r="B856" s="14" t="str">
        <f t="shared" si="40"/>
        <v>45102304511000504Cleaning Service-N1422311200104</v>
      </c>
      <c r="C856" s="21" t="s">
        <v>2984</v>
      </c>
      <c r="D856" s="22">
        <v>4510230</v>
      </c>
      <c r="E856" s="21" t="s">
        <v>466</v>
      </c>
      <c r="F856" s="22">
        <v>4511000504</v>
      </c>
      <c r="G856" s="21" t="s">
        <v>3094</v>
      </c>
      <c r="H856" s="21" t="s">
        <v>623</v>
      </c>
      <c r="I856" s="22">
        <v>422311</v>
      </c>
      <c r="J856" s="22">
        <v>200104</v>
      </c>
      <c r="K856" s="22" t="s">
        <v>2959</v>
      </c>
      <c r="L856" s="22">
        <v>70107</v>
      </c>
      <c r="M856" s="23" t="s">
        <v>2960</v>
      </c>
      <c r="N856" s="24">
        <v>0</v>
      </c>
      <c r="O856" s="24">
        <v>0</v>
      </c>
      <c r="P856" s="24">
        <v>0</v>
      </c>
      <c r="Q856" s="24">
        <v>14660</v>
      </c>
      <c r="R856" s="24">
        <v>3667</v>
      </c>
      <c r="S856" s="24">
        <v>3667</v>
      </c>
      <c r="T856" s="24">
        <v>3667</v>
      </c>
      <c r="U856" s="24">
        <v>3667</v>
      </c>
      <c r="V856" s="24">
        <v>3667</v>
      </c>
      <c r="W856" s="24">
        <v>3667</v>
      </c>
      <c r="X856" s="24">
        <v>3668</v>
      </c>
      <c r="Y856" s="24">
        <v>3670</v>
      </c>
      <c r="Z856" s="24">
        <f t="shared" si="41"/>
        <v>44000</v>
      </c>
      <c r="AB856" s="25">
        <v>44000</v>
      </c>
      <c r="AC856" s="26">
        <v>44000</v>
      </c>
      <c r="AD856" s="24">
        <v>0</v>
      </c>
      <c r="AE856" s="27">
        <f>_xlfn.XLOOKUP(B856,'Projects Cashflow'!$B:$B,'Projects Cashflow'!$AG:$AG,0)</f>
        <v>44000</v>
      </c>
      <c r="AF856" s="28">
        <f t="shared" si="42"/>
        <v>0</v>
      </c>
    </row>
    <row r="857" spans="2:32" x14ac:dyDescent="0.3">
      <c r="B857" s="14" t="str">
        <f t="shared" si="40"/>
        <v>45102304511000504Hospitality-N1424761200104</v>
      </c>
      <c r="C857" s="21" t="s">
        <v>2984</v>
      </c>
      <c r="D857" s="22">
        <v>4510230</v>
      </c>
      <c r="E857" s="21" t="s">
        <v>466</v>
      </c>
      <c r="F857" s="22">
        <v>4511000504</v>
      </c>
      <c r="G857" s="21" t="s">
        <v>3094</v>
      </c>
      <c r="H857" s="21" t="s">
        <v>399</v>
      </c>
      <c r="I857" s="22">
        <v>424761</v>
      </c>
      <c r="J857" s="22">
        <v>200104</v>
      </c>
      <c r="K857" s="22" t="s">
        <v>2959</v>
      </c>
      <c r="L857" s="22">
        <v>70107</v>
      </c>
      <c r="M857" s="23" t="s">
        <v>2960</v>
      </c>
      <c r="N857" s="24">
        <v>0</v>
      </c>
      <c r="O857" s="24">
        <v>0</v>
      </c>
      <c r="P857" s="24">
        <v>0</v>
      </c>
      <c r="Q857" s="24">
        <v>12433</v>
      </c>
      <c r="R857" s="24">
        <v>3108</v>
      </c>
      <c r="S857" s="24">
        <v>3108</v>
      </c>
      <c r="T857" s="24">
        <v>3108</v>
      </c>
      <c r="U857" s="24">
        <v>3108</v>
      </c>
      <c r="V857" s="24">
        <v>3108</v>
      </c>
      <c r="W857" s="24">
        <v>3108</v>
      </c>
      <c r="X857" s="24">
        <v>3108</v>
      </c>
      <c r="Y857" s="24">
        <v>3111</v>
      </c>
      <c r="Z857" s="24">
        <f t="shared" si="41"/>
        <v>37300</v>
      </c>
      <c r="AB857" s="25">
        <v>37300</v>
      </c>
      <c r="AC857" s="26">
        <v>37300</v>
      </c>
      <c r="AD857" s="24">
        <v>0</v>
      </c>
      <c r="AE857" s="27">
        <f>_xlfn.XLOOKUP(B857,'Projects Cashflow'!$B:$B,'Projects Cashflow'!$AG:$AG,0)</f>
        <v>37300</v>
      </c>
      <c r="AF857" s="28">
        <f t="shared" si="42"/>
        <v>0</v>
      </c>
    </row>
    <row r="858" spans="2:32" x14ac:dyDescent="0.3">
      <c r="B858" s="14" t="str">
        <f t="shared" si="40"/>
        <v>45102304511000504Maintenance-N1426212200104</v>
      </c>
      <c r="C858" s="21" t="s">
        <v>2984</v>
      </c>
      <c r="D858" s="22">
        <v>4510230</v>
      </c>
      <c r="E858" s="21" t="s">
        <v>466</v>
      </c>
      <c r="F858" s="22">
        <v>4511000504</v>
      </c>
      <c r="G858" s="21" t="s">
        <v>3094</v>
      </c>
      <c r="H858" s="21" t="s">
        <v>625</v>
      </c>
      <c r="I858" s="22">
        <v>426212</v>
      </c>
      <c r="J858" s="22">
        <v>200104</v>
      </c>
      <c r="K858" s="22" t="s">
        <v>2959</v>
      </c>
      <c r="L858" s="22">
        <v>70107</v>
      </c>
      <c r="M858" s="23" t="s">
        <v>2960</v>
      </c>
      <c r="N858" s="24">
        <v>0</v>
      </c>
      <c r="O858" s="24">
        <v>0</v>
      </c>
      <c r="P858" s="24">
        <v>0</v>
      </c>
      <c r="Q858" s="24">
        <v>12000</v>
      </c>
      <c r="R858" s="24">
        <v>3000</v>
      </c>
      <c r="S858" s="24">
        <v>3000</v>
      </c>
      <c r="T858" s="24">
        <v>3000</v>
      </c>
      <c r="U858" s="24">
        <v>3000</v>
      </c>
      <c r="V858" s="24">
        <v>3000</v>
      </c>
      <c r="W858" s="24">
        <v>3000</v>
      </c>
      <c r="X858" s="24">
        <v>3000</v>
      </c>
      <c r="Y858" s="24">
        <v>3000</v>
      </c>
      <c r="Z858" s="24">
        <f t="shared" si="41"/>
        <v>36000</v>
      </c>
      <c r="AB858" s="25">
        <v>36000</v>
      </c>
      <c r="AC858" s="26">
        <v>36000</v>
      </c>
      <c r="AD858" s="24">
        <v>0</v>
      </c>
      <c r="AE858" s="27">
        <f>_xlfn.XLOOKUP(B858,'Projects Cashflow'!$B:$B,'Projects Cashflow'!$AG:$AG,0)</f>
        <v>36000</v>
      </c>
      <c r="AF858" s="28">
        <f t="shared" si="42"/>
        <v>0</v>
      </c>
    </row>
    <row r="859" spans="2:32" x14ac:dyDescent="0.3">
      <c r="B859" s="14" t="str">
        <f t="shared" si="40"/>
        <v>45102304511000504Ad-hoc Repairs-N1426427200104</v>
      </c>
      <c r="C859" s="21" t="s">
        <v>2984</v>
      </c>
      <c r="D859" s="22">
        <v>4510230</v>
      </c>
      <c r="E859" s="21" t="s">
        <v>466</v>
      </c>
      <c r="F859" s="22">
        <v>4511000504</v>
      </c>
      <c r="G859" s="21" t="s">
        <v>3094</v>
      </c>
      <c r="H859" s="21" t="s">
        <v>621</v>
      </c>
      <c r="I859" s="22">
        <v>426427</v>
      </c>
      <c r="J859" s="22">
        <v>200104</v>
      </c>
      <c r="K859" s="22" t="s">
        <v>2959</v>
      </c>
      <c r="L859" s="22">
        <v>70107</v>
      </c>
      <c r="M859" s="23" t="s">
        <v>2960</v>
      </c>
      <c r="N859" s="24">
        <v>0</v>
      </c>
      <c r="O859" s="24">
        <v>0</v>
      </c>
      <c r="P859" s="24">
        <v>0</v>
      </c>
      <c r="Q859" s="24">
        <v>4000</v>
      </c>
      <c r="R859" s="24">
        <v>1000</v>
      </c>
      <c r="S859" s="24">
        <v>1000</v>
      </c>
      <c r="T859" s="24">
        <v>1000</v>
      </c>
      <c r="U859" s="24">
        <v>1000</v>
      </c>
      <c r="V859" s="24">
        <v>1000</v>
      </c>
      <c r="W859" s="24">
        <v>1000</v>
      </c>
      <c r="X859" s="24">
        <v>1000</v>
      </c>
      <c r="Y859" s="24">
        <v>1000</v>
      </c>
      <c r="Z859" s="24">
        <f t="shared" si="41"/>
        <v>12000</v>
      </c>
      <c r="AB859" s="25">
        <v>12000</v>
      </c>
      <c r="AC859" s="26">
        <v>12000</v>
      </c>
      <c r="AD859" s="24">
        <v>0</v>
      </c>
      <c r="AE859" s="27">
        <f>_xlfn.XLOOKUP(B859,'Projects Cashflow'!$B:$B,'Projects Cashflow'!$AG:$AG,0)</f>
        <v>12000</v>
      </c>
      <c r="AF859" s="28">
        <f t="shared" si="42"/>
        <v>0</v>
      </c>
    </row>
    <row r="860" spans="2:32" x14ac:dyDescent="0.3">
      <c r="B860" s="14" t="str">
        <f t="shared" si="40"/>
        <v>45102304511000505Interior Fit Out-NC1491711300105</v>
      </c>
      <c r="C860" s="21" t="s">
        <v>2984</v>
      </c>
      <c r="D860" s="22">
        <v>4510230</v>
      </c>
      <c r="E860" s="21" t="s">
        <v>466</v>
      </c>
      <c r="F860" s="22">
        <v>4511000505</v>
      </c>
      <c r="G860" s="21" t="s">
        <v>3095</v>
      </c>
      <c r="H860" s="21" t="s">
        <v>638</v>
      </c>
      <c r="I860" s="22">
        <v>491711</v>
      </c>
      <c r="J860" s="22">
        <v>300105</v>
      </c>
      <c r="K860" s="22" t="s">
        <v>2972</v>
      </c>
      <c r="L860" s="22">
        <v>70107</v>
      </c>
      <c r="M860" s="23" t="s">
        <v>2960</v>
      </c>
      <c r="N860" s="24">
        <v>0</v>
      </c>
      <c r="O860" s="24">
        <v>0</v>
      </c>
      <c r="P860" s="24">
        <v>0</v>
      </c>
      <c r="Q860" s="24">
        <v>48922</v>
      </c>
      <c r="R860" s="24">
        <v>0</v>
      </c>
      <c r="S860" s="24">
        <v>0</v>
      </c>
      <c r="T860" s="24">
        <v>0</v>
      </c>
      <c r="U860" s="24">
        <v>0</v>
      </c>
      <c r="V860" s="24">
        <v>50000</v>
      </c>
      <c r="W860" s="24">
        <v>0</v>
      </c>
      <c r="X860" s="24">
        <v>43578</v>
      </c>
      <c r="Y860" s="24">
        <v>0</v>
      </c>
      <c r="Z860" s="24">
        <f t="shared" si="41"/>
        <v>142500</v>
      </c>
      <c r="AB860" s="25">
        <v>142500</v>
      </c>
      <c r="AC860" s="26">
        <v>142500</v>
      </c>
      <c r="AD860" s="24">
        <v>0</v>
      </c>
      <c r="AE860" s="27">
        <f>_xlfn.XLOOKUP(B860,'Projects Cashflow'!$B:$B,'Projects Cashflow'!$AG:$AG,0)</f>
        <v>142500</v>
      </c>
      <c r="AF860" s="28">
        <f t="shared" si="42"/>
        <v>0</v>
      </c>
    </row>
    <row r="861" spans="2:32" x14ac:dyDescent="0.3">
      <c r="B861" s="14" t="str">
        <f t="shared" si="40"/>
        <v>45102304511000505Facilities Rent-N2425112200104</v>
      </c>
      <c r="C861" s="21" t="s">
        <v>2984</v>
      </c>
      <c r="D861" s="22">
        <v>4510230</v>
      </c>
      <c r="E861" s="21" t="s">
        <v>466</v>
      </c>
      <c r="F861" s="22">
        <v>4511000505</v>
      </c>
      <c r="G861" s="21" t="s">
        <v>3095</v>
      </c>
      <c r="H861" s="21" t="s">
        <v>636</v>
      </c>
      <c r="I861" s="22">
        <v>425112</v>
      </c>
      <c r="J861" s="22">
        <v>200104</v>
      </c>
      <c r="K861" s="22" t="s">
        <v>2959</v>
      </c>
      <c r="L861" s="22">
        <v>70107</v>
      </c>
      <c r="M861" s="23" t="s">
        <v>2960</v>
      </c>
      <c r="N861" s="24">
        <v>0</v>
      </c>
      <c r="O861" s="24">
        <v>0</v>
      </c>
      <c r="P861" s="24">
        <v>0</v>
      </c>
      <c r="Q861" s="24">
        <v>0</v>
      </c>
      <c r="R861" s="24">
        <v>0</v>
      </c>
      <c r="S861" s="24">
        <v>296166.78000000003</v>
      </c>
      <c r="T861" s="24">
        <v>0</v>
      </c>
      <c r="U861" s="24">
        <v>0</v>
      </c>
      <c r="V861" s="24">
        <v>0</v>
      </c>
      <c r="W861" s="24">
        <v>0</v>
      </c>
      <c r="X861" s="24">
        <v>0</v>
      </c>
      <c r="Y861" s="24">
        <v>0</v>
      </c>
      <c r="Z861" s="24">
        <f t="shared" si="41"/>
        <v>296166.78000000003</v>
      </c>
      <c r="AB861" s="25">
        <v>296166.78000000003</v>
      </c>
      <c r="AC861" s="26">
        <v>296167</v>
      </c>
      <c r="AD861" s="24">
        <v>-0.21999999997206032</v>
      </c>
      <c r="AE861" s="27">
        <f>_xlfn.XLOOKUP(B861,'Projects Cashflow'!$B:$B,'Projects Cashflow'!$AG:$AG,0)</f>
        <v>296167</v>
      </c>
      <c r="AF861" s="28">
        <f t="shared" si="42"/>
        <v>0.21999999997206032</v>
      </c>
    </row>
    <row r="862" spans="2:32" x14ac:dyDescent="0.3">
      <c r="B862" s="14" t="str">
        <f t="shared" si="40"/>
        <v>45102304511000505Security Service-N2424551200104</v>
      </c>
      <c r="C862" s="21" t="s">
        <v>2984</v>
      </c>
      <c r="D862" s="22">
        <v>4510230</v>
      </c>
      <c r="E862" s="21" t="s">
        <v>466</v>
      </c>
      <c r="F862" s="22">
        <v>4511000505</v>
      </c>
      <c r="G862" s="21" t="s">
        <v>3095</v>
      </c>
      <c r="H862" s="21" t="s">
        <v>642</v>
      </c>
      <c r="I862" s="22">
        <v>424551</v>
      </c>
      <c r="J862" s="22">
        <v>200104</v>
      </c>
      <c r="K862" s="22" t="s">
        <v>2959</v>
      </c>
      <c r="L862" s="22">
        <v>70107</v>
      </c>
      <c r="M862" s="23" t="s">
        <v>2960</v>
      </c>
      <c r="N862" s="24">
        <v>0</v>
      </c>
      <c r="O862" s="24">
        <v>0</v>
      </c>
      <c r="P862" s="24">
        <v>0</v>
      </c>
      <c r="Q862" s="24">
        <v>73976</v>
      </c>
      <c r="R862" s="24">
        <v>18494</v>
      </c>
      <c r="S862" s="24">
        <v>18494</v>
      </c>
      <c r="T862" s="24">
        <v>18494</v>
      </c>
      <c r="U862" s="24">
        <v>18494</v>
      </c>
      <c r="V862" s="24">
        <v>18494</v>
      </c>
      <c r="W862" s="24">
        <v>18494</v>
      </c>
      <c r="X862" s="24">
        <v>18494</v>
      </c>
      <c r="Y862" s="24">
        <v>18494</v>
      </c>
      <c r="Z862" s="24">
        <f t="shared" si="41"/>
        <v>221928</v>
      </c>
      <c r="AB862" s="25">
        <v>221928</v>
      </c>
      <c r="AC862" s="26">
        <v>221928</v>
      </c>
      <c r="AD862" s="24">
        <v>0</v>
      </c>
      <c r="AE862" s="27">
        <f>_xlfn.XLOOKUP(B862,'Projects Cashflow'!$B:$B,'Projects Cashflow'!$AG:$AG,0)</f>
        <v>221928</v>
      </c>
      <c r="AF862" s="28">
        <f t="shared" si="42"/>
        <v>0</v>
      </c>
    </row>
    <row r="863" spans="2:32" x14ac:dyDescent="0.3">
      <c r="B863" s="14" t="str">
        <f t="shared" si="40"/>
        <v>45102304511000505Cleaning Service-N2422311200104</v>
      </c>
      <c r="C863" s="21" t="s">
        <v>2984</v>
      </c>
      <c r="D863" s="22">
        <v>4510230</v>
      </c>
      <c r="E863" s="21" t="s">
        <v>466</v>
      </c>
      <c r="F863" s="22">
        <v>4511000505</v>
      </c>
      <c r="G863" s="21" t="s">
        <v>3095</v>
      </c>
      <c r="H863" s="21" t="s">
        <v>635</v>
      </c>
      <c r="I863" s="22">
        <v>422311</v>
      </c>
      <c r="J863" s="22">
        <v>200104</v>
      </c>
      <c r="K863" s="22" t="s">
        <v>2959</v>
      </c>
      <c r="L863" s="22">
        <v>70107</v>
      </c>
      <c r="M863" s="23" t="s">
        <v>2960</v>
      </c>
      <c r="N863" s="24">
        <v>0</v>
      </c>
      <c r="O863" s="24">
        <v>0</v>
      </c>
      <c r="P863" s="24">
        <v>0</v>
      </c>
      <c r="Q863" s="24">
        <v>46800</v>
      </c>
      <c r="R863" s="24">
        <v>11700</v>
      </c>
      <c r="S863" s="24">
        <v>11700</v>
      </c>
      <c r="T863" s="24">
        <v>11700</v>
      </c>
      <c r="U863" s="24">
        <v>11700</v>
      </c>
      <c r="V863" s="24">
        <v>11700</v>
      </c>
      <c r="W863" s="24">
        <v>11700</v>
      </c>
      <c r="X863" s="24">
        <v>11700</v>
      </c>
      <c r="Y863" s="24">
        <v>11700</v>
      </c>
      <c r="Z863" s="24">
        <f t="shared" si="41"/>
        <v>140400</v>
      </c>
      <c r="AB863" s="25">
        <v>140400</v>
      </c>
      <c r="AC863" s="26">
        <v>140400</v>
      </c>
      <c r="AD863" s="24">
        <v>0</v>
      </c>
      <c r="AE863" s="27">
        <f>_xlfn.XLOOKUP(B863,'Projects Cashflow'!$B:$B,'Projects Cashflow'!$AG:$AG,0)</f>
        <v>140400</v>
      </c>
      <c r="AF863" s="28">
        <f t="shared" si="42"/>
        <v>0</v>
      </c>
    </row>
    <row r="864" spans="2:32" x14ac:dyDescent="0.3">
      <c r="B864" s="14" t="str">
        <f t="shared" si="40"/>
        <v>45102304511000505Maintenance-N2426212200104</v>
      </c>
      <c r="C864" s="21" t="s">
        <v>2984</v>
      </c>
      <c r="D864" s="22">
        <v>4510230</v>
      </c>
      <c r="E864" s="21" t="s">
        <v>466</v>
      </c>
      <c r="F864" s="22">
        <v>4511000505</v>
      </c>
      <c r="G864" s="21" t="s">
        <v>3095</v>
      </c>
      <c r="H864" s="21" t="s">
        <v>641</v>
      </c>
      <c r="I864" s="22">
        <v>426212</v>
      </c>
      <c r="J864" s="22">
        <v>200104</v>
      </c>
      <c r="K864" s="22" t="s">
        <v>2959</v>
      </c>
      <c r="L864" s="22">
        <v>70107</v>
      </c>
      <c r="M864" s="23" t="s">
        <v>2960</v>
      </c>
      <c r="N864" s="24">
        <v>0</v>
      </c>
      <c r="O864" s="24">
        <v>0</v>
      </c>
      <c r="P864" s="24">
        <v>0</v>
      </c>
      <c r="Q864" s="24">
        <v>20000</v>
      </c>
      <c r="R864" s="24">
        <v>5000</v>
      </c>
      <c r="S864" s="24">
        <v>5000</v>
      </c>
      <c r="T864" s="24">
        <v>5000</v>
      </c>
      <c r="U864" s="24">
        <v>5000</v>
      </c>
      <c r="V864" s="24">
        <v>5000</v>
      </c>
      <c r="W864" s="24">
        <v>5000</v>
      </c>
      <c r="X864" s="24">
        <v>5000</v>
      </c>
      <c r="Y864" s="24">
        <v>5000</v>
      </c>
      <c r="Z864" s="24">
        <f t="shared" si="41"/>
        <v>60000</v>
      </c>
      <c r="AB864" s="25">
        <v>60000</v>
      </c>
      <c r="AC864" s="26">
        <v>60000</v>
      </c>
      <c r="AD864" s="24">
        <v>0</v>
      </c>
      <c r="AE864" s="27">
        <f>_xlfn.XLOOKUP(B864,'Projects Cashflow'!$B:$B,'Projects Cashflow'!$AG:$AG,0)</f>
        <v>60000</v>
      </c>
      <c r="AF864" s="28">
        <f t="shared" si="42"/>
        <v>0</v>
      </c>
    </row>
    <row r="865" spans="2:32" x14ac:dyDescent="0.3">
      <c r="B865" s="14" t="str">
        <f t="shared" si="40"/>
        <v>45102304511000505Hospitality-N2424761200104</v>
      </c>
      <c r="C865" s="21" t="s">
        <v>2984</v>
      </c>
      <c r="D865" s="22">
        <v>4510230</v>
      </c>
      <c r="E865" s="21" t="s">
        <v>466</v>
      </c>
      <c r="F865" s="22">
        <v>4511000505</v>
      </c>
      <c r="G865" s="21" t="s">
        <v>3095</v>
      </c>
      <c r="H865" s="21" t="s">
        <v>637</v>
      </c>
      <c r="I865" s="22">
        <v>424761</v>
      </c>
      <c r="J865" s="22">
        <v>200104</v>
      </c>
      <c r="K865" s="22" t="s">
        <v>2959</v>
      </c>
      <c r="L865" s="22">
        <v>70107</v>
      </c>
      <c r="M865" s="23" t="s">
        <v>2960</v>
      </c>
      <c r="N865" s="24">
        <v>0</v>
      </c>
      <c r="O865" s="24">
        <v>0</v>
      </c>
      <c r="P865" s="24">
        <v>0</v>
      </c>
      <c r="Q865" s="24">
        <v>17200</v>
      </c>
      <c r="R865" s="24">
        <v>4300</v>
      </c>
      <c r="S865" s="24">
        <v>4300</v>
      </c>
      <c r="T865" s="24">
        <v>4300</v>
      </c>
      <c r="U865" s="24">
        <v>4300</v>
      </c>
      <c r="V865" s="24">
        <v>4300</v>
      </c>
      <c r="W865" s="24">
        <v>4300</v>
      </c>
      <c r="X865" s="24">
        <v>4300</v>
      </c>
      <c r="Y865" s="24">
        <v>4300</v>
      </c>
      <c r="Z865" s="24">
        <f t="shared" si="41"/>
        <v>51600</v>
      </c>
      <c r="AB865" s="25">
        <v>51600</v>
      </c>
      <c r="AC865" s="26">
        <v>51600</v>
      </c>
      <c r="AD865" s="24">
        <v>0</v>
      </c>
      <c r="AE865" s="27">
        <f>_xlfn.XLOOKUP(B865,'Projects Cashflow'!$B:$B,'Projects Cashflow'!$AG:$AG,0)</f>
        <v>51600</v>
      </c>
      <c r="AF865" s="28">
        <f t="shared" si="42"/>
        <v>0</v>
      </c>
    </row>
    <row r="866" spans="2:32" x14ac:dyDescent="0.3">
      <c r="B866" s="14" t="str">
        <f t="shared" si="40"/>
        <v>45102304511000505Ad-hoc Repairs-N1426427200104</v>
      </c>
      <c r="C866" s="21" t="s">
        <v>2984</v>
      </c>
      <c r="D866" s="22">
        <v>4510230</v>
      </c>
      <c r="E866" s="21" t="s">
        <v>466</v>
      </c>
      <c r="F866" s="22">
        <v>4511000505</v>
      </c>
      <c r="G866" s="21" t="s">
        <v>3095</v>
      </c>
      <c r="H866" s="21" t="s">
        <v>621</v>
      </c>
      <c r="I866" s="22">
        <v>426427</v>
      </c>
      <c r="J866" s="22">
        <v>200104</v>
      </c>
      <c r="K866" s="22" t="s">
        <v>2959</v>
      </c>
      <c r="L866" s="22">
        <v>70107</v>
      </c>
      <c r="M866" s="23" t="s">
        <v>2960</v>
      </c>
      <c r="N866" s="24">
        <v>0</v>
      </c>
      <c r="O866" s="24">
        <v>0</v>
      </c>
      <c r="P866" s="24">
        <v>0</v>
      </c>
      <c r="Q866" s="24">
        <v>4600</v>
      </c>
      <c r="R866" s="24">
        <v>1150</v>
      </c>
      <c r="S866" s="24">
        <v>1150</v>
      </c>
      <c r="T866" s="24">
        <v>1150</v>
      </c>
      <c r="U866" s="24">
        <v>1150</v>
      </c>
      <c r="V866" s="24">
        <v>1150</v>
      </c>
      <c r="W866" s="24">
        <v>1150</v>
      </c>
      <c r="X866" s="24">
        <v>1150</v>
      </c>
      <c r="Y866" s="24">
        <v>1150</v>
      </c>
      <c r="Z866" s="24">
        <f t="shared" si="41"/>
        <v>13800</v>
      </c>
      <c r="AB866" s="25">
        <v>13800</v>
      </c>
      <c r="AC866" s="26">
        <v>13800</v>
      </c>
      <c r="AD866" s="24">
        <v>0</v>
      </c>
      <c r="AE866" s="27">
        <f>_xlfn.XLOOKUP(B866,'Projects Cashflow'!$B:$B,'Projects Cashflow'!$AG:$AG,0)</f>
        <v>13800</v>
      </c>
      <c r="AF866" s="28">
        <f t="shared" si="42"/>
        <v>0</v>
      </c>
    </row>
    <row r="867" spans="2:32" x14ac:dyDescent="0.3">
      <c r="B867" s="14" t="str">
        <f t="shared" si="40"/>
        <v>45102104511000346Insurance-N422749200104</v>
      </c>
      <c r="C867" s="21" t="s">
        <v>2984</v>
      </c>
      <c r="D867" s="22">
        <v>4510210</v>
      </c>
      <c r="E867" s="21" t="s">
        <v>447</v>
      </c>
      <c r="F867" s="22">
        <v>4511000346</v>
      </c>
      <c r="G867" s="21" t="s">
        <v>3089</v>
      </c>
      <c r="H867" s="21" t="s">
        <v>454</v>
      </c>
      <c r="I867" s="22">
        <v>422749</v>
      </c>
      <c r="J867" s="22">
        <v>200104</v>
      </c>
      <c r="K867" s="22" t="s">
        <v>2959</v>
      </c>
      <c r="L867" s="22">
        <v>70102</v>
      </c>
      <c r="M867" s="23" t="s">
        <v>2960</v>
      </c>
      <c r="N867" s="24">
        <v>0</v>
      </c>
      <c r="O867" s="24">
        <v>0</v>
      </c>
      <c r="P867" s="24">
        <v>0</v>
      </c>
      <c r="Q867" s="24">
        <v>1500000</v>
      </c>
      <c r="R867" s="24">
        <v>609912</v>
      </c>
      <c r="S867" s="24">
        <v>0</v>
      </c>
      <c r="T867" s="24">
        <v>126234.11</v>
      </c>
      <c r="U867" s="24">
        <v>0</v>
      </c>
      <c r="V867" s="24">
        <v>0</v>
      </c>
      <c r="W867" s="24">
        <v>836332</v>
      </c>
      <c r="X867" s="24">
        <v>0</v>
      </c>
      <c r="Y867" s="24">
        <v>7166</v>
      </c>
      <c r="Z867" s="24">
        <f t="shared" si="41"/>
        <v>3079644.11</v>
      </c>
      <c r="AB867" s="25">
        <v>13371044.109999999</v>
      </c>
      <c r="AC867" s="26">
        <v>13371044</v>
      </c>
      <c r="AD867" s="24">
        <v>0.10999999940395355</v>
      </c>
      <c r="AE867" s="27">
        <f>_xlfn.XLOOKUP(B867,'Projects Cashflow'!$B:$B,'Projects Cashflow'!$AG:$AG,0)</f>
        <v>13371044</v>
      </c>
      <c r="AF867" s="28">
        <f t="shared" si="42"/>
        <v>-0.10999999940395355</v>
      </c>
    </row>
    <row r="868" spans="2:32" x14ac:dyDescent="0.3">
      <c r="B868" s="14" t="str">
        <f t="shared" si="40"/>
        <v>45102304511000507Cleaning Service-N1422311200104</v>
      </c>
      <c r="C868" s="21" t="s">
        <v>2984</v>
      </c>
      <c r="D868" s="22">
        <v>4510230</v>
      </c>
      <c r="E868" s="21" t="s">
        <v>466</v>
      </c>
      <c r="F868" s="22">
        <v>4511000507</v>
      </c>
      <c r="G868" s="21" t="s">
        <v>3096</v>
      </c>
      <c r="H868" s="21" t="s">
        <v>623</v>
      </c>
      <c r="I868" s="22">
        <v>422311</v>
      </c>
      <c r="J868" s="22">
        <v>200104</v>
      </c>
      <c r="K868" s="22" t="s">
        <v>2959</v>
      </c>
      <c r="L868" s="22">
        <v>70107</v>
      </c>
      <c r="M868" s="23" t="s">
        <v>2960</v>
      </c>
      <c r="N868" s="24">
        <v>0</v>
      </c>
      <c r="O868" s="24">
        <v>0</v>
      </c>
      <c r="P868" s="24">
        <v>0</v>
      </c>
      <c r="Q868" s="24">
        <v>27500</v>
      </c>
      <c r="R868" s="24">
        <v>6875</v>
      </c>
      <c r="S868" s="24">
        <v>6875</v>
      </c>
      <c r="T868" s="24">
        <v>6875</v>
      </c>
      <c r="U868" s="24">
        <v>6875</v>
      </c>
      <c r="V868" s="24">
        <v>6875</v>
      </c>
      <c r="W868" s="24">
        <v>6875</v>
      </c>
      <c r="X868" s="24">
        <v>6875</v>
      </c>
      <c r="Y868" s="24">
        <v>6875</v>
      </c>
      <c r="Z868" s="24">
        <f t="shared" si="41"/>
        <v>82500</v>
      </c>
      <c r="AB868" s="25">
        <v>82500</v>
      </c>
      <c r="AC868" s="26">
        <v>82500</v>
      </c>
      <c r="AD868" s="24">
        <v>0</v>
      </c>
      <c r="AE868" s="27">
        <f>_xlfn.XLOOKUP(B868,'Projects Cashflow'!$B:$B,'Projects Cashflow'!$AG:$AG,0)</f>
        <v>82500</v>
      </c>
      <c r="AF868" s="28">
        <f t="shared" si="42"/>
        <v>0</v>
      </c>
    </row>
    <row r="869" spans="2:32" x14ac:dyDescent="0.3">
      <c r="B869" s="14" t="str">
        <f t="shared" si="40"/>
        <v>45102304511000507Hospitality-N1424761200104</v>
      </c>
      <c r="C869" s="21" t="s">
        <v>2984</v>
      </c>
      <c r="D869" s="22">
        <v>4510230</v>
      </c>
      <c r="E869" s="21" t="s">
        <v>466</v>
      </c>
      <c r="F869" s="22">
        <v>4511000507</v>
      </c>
      <c r="G869" s="21" t="s">
        <v>3096</v>
      </c>
      <c r="H869" s="21" t="s">
        <v>399</v>
      </c>
      <c r="I869" s="22">
        <v>424761</v>
      </c>
      <c r="J869" s="22">
        <v>200104</v>
      </c>
      <c r="K869" s="22" t="s">
        <v>2959</v>
      </c>
      <c r="L869" s="22">
        <v>70107</v>
      </c>
      <c r="M869" s="23" t="s">
        <v>2960</v>
      </c>
      <c r="N869" s="24">
        <v>0</v>
      </c>
      <c r="O869" s="24">
        <v>0</v>
      </c>
      <c r="P869" s="24">
        <v>0</v>
      </c>
      <c r="Q869" s="24">
        <v>18500</v>
      </c>
      <c r="R869" s="24">
        <v>4625</v>
      </c>
      <c r="S869" s="24">
        <v>4625</v>
      </c>
      <c r="T869" s="24">
        <v>4625</v>
      </c>
      <c r="U869" s="24">
        <v>4625</v>
      </c>
      <c r="V869" s="24">
        <v>4625</v>
      </c>
      <c r="W869" s="24">
        <v>4625</v>
      </c>
      <c r="X869" s="24">
        <v>4625</v>
      </c>
      <c r="Y869" s="24">
        <v>4625</v>
      </c>
      <c r="Z869" s="24">
        <f t="shared" si="41"/>
        <v>55500</v>
      </c>
      <c r="AB869" s="25">
        <v>55500</v>
      </c>
      <c r="AC869" s="26">
        <v>55500</v>
      </c>
      <c r="AD869" s="24">
        <v>0</v>
      </c>
      <c r="AE869" s="27">
        <f>_xlfn.XLOOKUP(B869,'Projects Cashflow'!$B:$B,'Projects Cashflow'!$AG:$AG,0)</f>
        <v>55500</v>
      </c>
      <c r="AF869" s="28">
        <f t="shared" si="42"/>
        <v>0</v>
      </c>
    </row>
    <row r="870" spans="2:32" x14ac:dyDescent="0.3">
      <c r="B870" s="14" t="str">
        <f t="shared" si="40"/>
        <v>45102304511000507Ad-hoc Repairs-N1426427200104</v>
      </c>
      <c r="C870" s="21" t="s">
        <v>2984</v>
      </c>
      <c r="D870" s="22">
        <v>4510230</v>
      </c>
      <c r="E870" s="21" t="s">
        <v>466</v>
      </c>
      <c r="F870" s="22">
        <v>4511000507</v>
      </c>
      <c r="G870" s="21" t="s">
        <v>3096</v>
      </c>
      <c r="H870" s="21" t="s">
        <v>621</v>
      </c>
      <c r="I870" s="22">
        <v>426427</v>
      </c>
      <c r="J870" s="22">
        <v>200104</v>
      </c>
      <c r="K870" s="22" t="s">
        <v>2959</v>
      </c>
      <c r="L870" s="22">
        <v>70107</v>
      </c>
      <c r="M870" s="23" t="s">
        <v>2960</v>
      </c>
      <c r="N870" s="24">
        <v>0</v>
      </c>
      <c r="O870" s="24">
        <v>0</v>
      </c>
      <c r="P870" s="24">
        <v>0</v>
      </c>
      <c r="Q870" s="24">
        <v>3500</v>
      </c>
      <c r="R870" s="24">
        <v>875</v>
      </c>
      <c r="S870" s="24">
        <v>875</v>
      </c>
      <c r="T870" s="24">
        <v>875</v>
      </c>
      <c r="U870" s="24">
        <v>875</v>
      </c>
      <c r="V870" s="24">
        <v>875</v>
      </c>
      <c r="W870" s="24">
        <v>875</v>
      </c>
      <c r="X870" s="24">
        <v>875</v>
      </c>
      <c r="Y870" s="24">
        <v>875</v>
      </c>
      <c r="Z870" s="24">
        <f t="shared" si="41"/>
        <v>10500</v>
      </c>
      <c r="AB870" s="25">
        <v>10500</v>
      </c>
      <c r="AC870" s="26">
        <v>10500</v>
      </c>
      <c r="AD870" s="24">
        <v>0</v>
      </c>
      <c r="AE870" s="27">
        <f>_xlfn.XLOOKUP(B870,'Projects Cashflow'!$B:$B,'Projects Cashflow'!$AG:$AG,0)</f>
        <v>10500</v>
      </c>
      <c r="AF870" s="28">
        <f t="shared" si="42"/>
        <v>0</v>
      </c>
    </row>
    <row r="871" spans="2:32" x14ac:dyDescent="0.3">
      <c r="B871" s="14" t="str">
        <f t="shared" si="40"/>
        <v>45102304511000507Maintenance-N1426212200104</v>
      </c>
      <c r="C871" s="21" t="s">
        <v>2984</v>
      </c>
      <c r="D871" s="22">
        <v>4510230</v>
      </c>
      <c r="E871" s="21" t="s">
        <v>466</v>
      </c>
      <c r="F871" s="22">
        <v>4511000507</v>
      </c>
      <c r="G871" s="21" t="s">
        <v>3096</v>
      </c>
      <c r="H871" s="21" t="s">
        <v>625</v>
      </c>
      <c r="I871" s="22">
        <v>426212</v>
      </c>
      <c r="J871" s="22">
        <v>200104</v>
      </c>
      <c r="K871" s="22" t="s">
        <v>2959</v>
      </c>
      <c r="L871" s="22">
        <v>70107</v>
      </c>
      <c r="M871" s="23" t="s">
        <v>2960</v>
      </c>
      <c r="N871" s="24">
        <v>0</v>
      </c>
      <c r="O871" s="24">
        <v>0</v>
      </c>
      <c r="P871" s="24">
        <v>0</v>
      </c>
      <c r="Q871" s="24">
        <v>3333</v>
      </c>
      <c r="R871" s="24">
        <v>833</v>
      </c>
      <c r="S871" s="24">
        <v>833</v>
      </c>
      <c r="T871" s="24">
        <v>833</v>
      </c>
      <c r="U871" s="24">
        <v>833</v>
      </c>
      <c r="V871" s="24">
        <v>833</v>
      </c>
      <c r="W871" s="24">
        <v>833</v>
      </c>
      <c r="X871" s="24">
        <v>833</v>
      </c>
      <c r="Y871" s="24">
        <v>836</v>
      </c>
      <c r="Z871" s="24">
        <f t="shared" si="41"/>
        <v>10000</v>
      </c>
      <c r="AB871" s="25">
        <v>10000</v>
      </c>
      <c r="AC871" s="26">
        <v>10000</v>
      </c>
      <c r="AD871" s="24">
        <v>0</v>
      </c>
      <c r="AE871" s="27">
        <f>_xlfn.XLOOKUP(B871,'Projects Cashflow'!$B:$B,'Projects Cashflow'!$AG:$AG,0)</f>
        <v>10000</v>
      </c>
      <c r="AF871" s="28">
        <f t="shared" si="42"/>
        <v>0</v>
      </c>
    </row>
    <row r="872" spans="2:32" x14ac:dyDescent="0.3">
      <c r="B872" s="14" t="str">
        <f t="shared" si="40"/>
        <v>45102304511000509Interior Fit Out-NC2491711300105</v>
      </c>
      <c r="C872" s="21" t="s">
        <v>2984</v>
      </c>
      <c r="D872" s="22">
        <v>4510230</v>
      </c>
      <c r="E872" s="21" t="s">
        <v>466</v>
      </c>
      <c r="F872" s="22">
        <v>4511000509</v>
      </c>
      <c r="G872" s="21" t="s">
        <v>3097</v>
      </c>
      <c r="H872" s="21" t="s">
        <v>650</v>
      </c>
      <c r="I872" s="22">
        <v>491711</v>
      </c>
      <c r="J872" s="22">
        <v>300105</v>
      </c>
      <c r="K872" s="22" t="s">
        <v>2972</v>
      </c>
      <c r="L872" s="22">
        <v>70107</v>
      </c>
      <c r="M872" s="23" t="s">
        <v>2960</v>
      </c>
      <c r="N872" s="24">
        <v>0</v>
      </c>
      <c r="O872" s="24">
        <v>0</v>
      </c>
      <c r="P872" s="24">
        <v>0</v>
      </c>
      <c r="Q872" s="24">
        <v>18000</v>
      </c>
      <c r="R872" s="24">
        <v>0</v>
      </c>
      <c r="S872" s="24">
        <v>10000</v>
      </c>
      <c r="T872" s="24">
        <v>0</v>
      </c>
      <c r="U872" s="24">
        <v>5000</v>
      </c>
      <c r="V872" s="24">
        <v>0</v>
      </c>
      <c r="W872" s="24">
        <v>9000</v>
      </c>
      <c r="X872" s="24">
        <v>5500</v>
      </c>
      <c r="Y872" s="24">
        <v>0</v>
      </c>
      <c r="Z872" s="24">
        <f t="shared" si="41"/>
        <v>47500</v>
      </c>
      <c r="AB872" s="25">
        <v>47500</v>
      </c>
      <c r="AC872" s="26">
        <v>47500</v>
      </c>
      <c r="AD872" s="24">
        <v>0</v>
      </c>
      <c r="AE872" s="27">
        <f>_xlfn.XLOOKUP(B872,'Projects Cashflow'!$B:$B,'Projects Cashflow'!$AG:$AG,0)</f>
        <v>47500</v>
      </c>
      <c r="AF872" s="28">
        <f t="shared" si="42"/>
        <v>0</v>
      </c>
    </row>
    <row r="873" spans="2:32" x14ac:dyDescent="0.3">
      <c r="B873" s="14" t="str">
        <f t="shared" si="40"/>
        <v>45102304511000509Maintenance-N1426212200104</v>
      </c>
      <c r="C873" s="21" t="s">
        <v>2984</v>
      </c>
      <c r="D873" s="22">
        <v>4510230</v>
      </c>
      <c r="E873" s="21" t="s">
        <v>466</v>
      </c>
      <c r="F873" s="22">
        <v>4511000509</v>
      </c>
      <c r="G873" s="21" t="s">
        <v>3097</v>
      </c>
      <c r="H873" s="21" t="s">
        <v>625</v>
      </c>
      <c r="I873" s="22">
        <v>426212</v>
      </c>
      <c r="J873" s="22">
        <v>200104</v>
      </c>
      <c r="K873" s="22" t="s">
        <v>2959</v>
      </c>
      <c r="L873" s="22">
        <v>70107</v>
      </c>
      <c r="M873" s="23" t="s">
        <v>2960</v>
      </c>
      <c r="N873" s="24">
        <v>0</v>
      </c>
      <c r="O873" s="24">
        <v>0</v>
      </c>
      <c r="P873" s="24">
        <v>0</v>
      </c>
      <c r="Q873" s="24">
        <v>33600</v>
      </c>
      <c r="R873" s="24">
        <v>8400</v>
      </c>
      <c r="S873" s="24">
        <v>8400</v>
      </c>
      <c r="T873" s="24">
        <v>8400</v>
      </c>
      <c r="U873" s="24">
        <v>8400</v>
      </c>
      <c r="V873" s="24">
        <v>8400</v>
      </c>
      <c r="W873" s="24">
        <v>8400</v>
      </c>
      <c r="X873" s="24">
        <v>8400</v>
      </c>
      <c r="Y873" s="24">
        <v>8400</v>
      </c>
      <c r="Z873" s="24">
        <f t="shared" si="41"/>
        <v>100800</v>
      </c>
      <c r="AB873" s="25">
        <v>100800</v>
      </c>
      <c r="AC873" s="26">
        <v>100800</v>
      </c>
      <c r="AD873" s="24">
        <v>0</v>
      </c>
      <c r="AE873" s="27">
        <f>_xlfn.XLOOKUP(B873,'Projects Cashflow'!$B:$B,'Projects Cashflow'!$AG:$AG,0)</f>
        <v>100800</v>
      </c>
      <c r="AF873" s="28">
        <f t="shared" si="42"/>
        <v>0</v>
      </c>
    </row>
    <row r="874" spans="2:32" x14ac:dyDescent="0.3">
      <c r="B874" s="14" t="str">
        <f t="shared" si="40"/>
        <v>45102304511000509Cleaning Service-N1422311200104</v>
      </c>
      <c r="C874" s="21" t="s">
        <v>2984</v>
      </c>
      <c r="D874" s="22">
        <v>4510230</v>
      </c>
      <c r="E874" s="21" t="s">
        <v>466</v>
      </c>
      <c r="F874" s="22">
        <v>4511000509</v>
      </c>
      <c r="G874" s="21" t="s">
        <v>3097</v>
      </c>
      <c r="H874" s="21" t="s">
        <v>623</v>
      </c>
      <c r="I874" s="22">
        <v>422311</v>
      </c>
      <c r="J874" s="22">
        <v>200104</v>
      </c>
      <c r="K874" s="22" t="s">
        <v>2959</v>
      </c>
      <c r="L874" s="22">
        <v>70107</v>
      </c>
      <c r="M874" s="23" t="s">
        <v>2960</v>
      </c>
      <c r="N874" s="24">
        <v>0</v>
      </c>
      <c r="O874" s="24">
        <v>0</v>
      </c>
      <c r="P874" s="24">
        <v>0</v>
      </c>
      <c r="Q874" s="24">
        <v>31664</v>
      </c>
      <c r="R874" s="24">
        <v>7917</v>
      </c>
      <c r="S874" s="24">
        <v>7917</v>
      </c>
      <c r="T874" s="24">
        <v>7917</v>
      </c>
      <c r="U874" s="24">
        <v>7917</v>
      </c>
      <c r="V874" s="24">
        <v>7917</v>
      </c>
      <c r="W874" s="24">
        <v>7917</v>
      </c>
      <c r="X874" s="24">
        <v>7917</v>
      </c>
      <c r="Y874" s="24">
        <v>7917</v>
      </c>
      <c r="Z874" s="24">
        <f t="shared" si="41"/>
        <v>95000</v>
      </c>
      <c r="AB874" s="25">
        <v>95000</v>
      </c>
      <c r="AC874" s="26">
        <v>95000</v>
      </c>
      <c r="AD874" s="24">
        <v>0</v>
      </c>
      <c r="AE874" s="27">
        <f>_xlfn.XLOOKUP(B874,'Projects Cashflow'!$B:$B,'Projects Cashflow'!$AG:$AG,0)</f>
        <v>95000</v>
      </c>
      <c r="AF874" s="28">
        <f t="shared" si="42"/>
        <v>0</v>
      </c>
    </row>
    <row r="875" spans="2:32" x14ac:dyDescent="0.3">
      <c r="B875" s="14" t="str">
        <f t="shared" si="40"/>
        <v>45102304511000509Hospitality -N1424761200104</v>
      </c>
      <c r="C875" s="21" t="s">
        <v>2984</v>
      </c>
      <c r="D875" s="22">
        <v>4510230</v>
      </c>
      <c r="E875" s="21" t="s">
        <v>466</v>
      </c>
      <c r="F875" s="22">
        <v>4511000509</v>
      </c>
      <c r="G875" s="21" t="s">
        <v>3097</v>
      </c>
      <c r="H875" s="21" t="s">
        <v>649</v>
      </c>
      <c r="I875" s="22">
        <v>424761</v>
      </c>
      <c r="J875" s="22">
        <v>200104</v>
      </c>
      <c r="K875" s="22" t="s">
        <v>2959</v>
      </c>
      <c r="L875" s="22">
        <v>70107</v>
      </c>
      <c r="M875" s="23" t="s">
        <v>2960</v>
      </c>
      <c r="N875" s="24">
        <v>0</v>
      </c>
      <c r="O875" s="24">
        <v>0</v>
      </c>
      <c r="P875" s="24">
        <v>0</v>
      </c>
      <c r="Q875" s="24">
        <v>12800</v>
      </c>
      <c r="R875" s="24">
        <v>3200</v>
      </c>
      <c r="S875" s="24">
        <v>3200</v>
      </c>
      <c r="T875" s="24">
        <v>3200</v>
      </c>
      <c r="U875" s="24">
        <v>3200</v>
      </c>
      <c r="V875" s="24">
        <v>3200</v>
      </c>
      <c r="W875" s="24">
        <v>3200</v>
      </c>
      <c r="X875" s="24">
        <v>3200</v>
      </c>
      <c r="Y875" s="24">
        <v>3200</v>
      </c>
      <c r="Z875" s="24">
        <f t="shared" si="41"/>
        <v>38400</v>
      </c>
      <c r="AB875" s="25">
        <v>38400</v>
      </c>
      <c r="AC875" s="26">
        <v>38400</v>
      </c>
      <c r="AD875" s="24">
        <v>0</v>
      </c>
      <c r="AE875" s="27">
        <f>_xlfn.XLOOKUP(B875,'Projects Cashflow'!$B:$B,'Projects Cashflow'!$AG:$AG,0)</f>
        <v>38400</v>
      </c>
      <c r="AF875" s="28">
        <f t="shared" si="42"/>
        <v>0</v>
      </c>
    </row>
    <row r="876" spans="2:32" x14ac:dyDescent="0.3">
      <c r="B876" s="14" t="str">
        <f t="shared" si="40"/>
        <v>45102304511000509Ad-hoc Repairs-N1426427200104</v>
      </c>
      <c r="C876" s="21" t="s">
        <v>2984</v>
      </c>
      <c r="D876" s="22">
        <v>4510230</v>
      </c>
      <c r="E876" s="21" t="s">
        <v>466</v>
      </c>
      <c r="F876" s="22">
        <v>4511000509</v>
      </c>
      <c r="G876" s="21" t="s">
        <v>3097</v>
      </c>
      <c r="H876" s="21" t="s">
        <v>621</v>
      </c>
      <c r="I876" s="22">
        <v>426427</v>
      </c>
      <c r="J876" s="22">
        <v>200104</v>
      </c>
      <c r="K876" s="22" t="s">
        <v>2959</v>
      </c>
      <c r="L876" s="22">
        <v>70107</v>
      </c>
      <c r="M876" s="23" t="s">
        <v>2960</v>
      </c>
      <c r="N876" s="24">
        <v>0</v>
      </c>
      <c r="O876" s="24">
        <v>0</v>
      </c>
      <c r="P876" s="24">
        <v>0</v>
      </c>
      <c r="Q876" s="24">
        <v>4640</v>
      </c>
      <c r="R876" s="24">
        <v>1170</v>
      </c>
      <c r="S876" s="24">
        <v>1170</v>
      </c>
      <c r="T876" s="24">
        <v>1170</v>
      </c>
      <c r="U876" s="24">
        <v>1170</v>
      </c>
      <c r="V876" s="24">
        <v>1170</v>
      </c>
      <c r="W876" s="24">
        <v>1170</v>
      </c>
      <c r="X876" s="24">
        <v>1170</v>
      </c>
      <c r="Y876" s="24">
        <v>1170</v>
      </c>
      <c r="Z876" s="24">
        <f t="shared" si="41"/>
        <v>14000</v>
      </c>
      <c r="AB876" s="25">
        <v>14000</v>
      </c>
      <c r="AC876" s="26">
        <v>14000</v>
      </c>
      <c r="AD876" s="24">
        <v>0</v>
      </c>
      <c r="AE876" s="27">
        <f>_xlfn.XLOOKUP(B876,'Projects Cashflow'!$B:$B,'Projects Cashflow'!$AG:$AG,0)</f>
        <v>14000</v>
      </c>
      <c r="AF876" s="28">
        <f t="shared" si="42"/>
        <v>0</v>
      </c>
    </row>
    <row r="877" spans="2:32" x14ac:dyDescent="0.3">
      <c r="B877" s="14" t="str">
        <f t="shared" si="40"/>
        <v>45102304511000511Facilities Rent-N1425112200104</v>
      </c>
      <c r="C877" s="21" t="s">
        <v>2984</v>
      </c>
      <c r="D877" s="22">
        <v>4510230</v>
      </c>
      <c r="E877" s="21" t="s">
        <v>466</v>
      </c>
      <c r="F877" s="22">
        <v>4511000511</v>
      </c>
      <c r="G877" s="21" t="s">
        <v>2997</v>
      </c>
      <c r="H877" s="21" t="s">
        <v>631</v>
      </c>
      <c r="I877" s="22">
        <v>425112</v>
      </c>
      <c r="J877" s="22">
        <v>200104</v>
      </c>
      <c r="K877" s="22" t="s">
        <v>2959</v>
      </c>
      <c r="L877" s="22">
        <v>70107</v>
      </c>
      <c r="M877" s="23" t="s">
        <v>2960</v>
      </c>
      <c r="N877" s="24">
        <v>0</v>
      </c>
      <c r="O877" s="24">
        <v>0</v>
      </c>
      <c r="P877" s="24">
        <v>0</v>
      </c>
      <c r="Q877" s="24">
        <v>0</v>
      </c>
      <c r="R877" s="24">
        <v>0</v>
      </c>
      <c r="S877" s="24">
        <v>0</v>
      </c>
      <c r="T877" s="24">
        <v>2021090</v>
      </c>
      <c r="U877" s="24">
        <v>0</v>
      </c>
      <c r="V877" s="24">
        <v>0</v>
      </c>
      <c r="W877" s="24">
        <v>0</v>
      </c>
      <c r="X877" s="24">
        <v>0</v>
      </c>
      <c r="Y877" s="24">
        <v>0</v>
      </c>
      <c r="Z877" s="24">
        <f t="shared" si="41"/>
        <v>2021090</v>
      </c>
      <c r="AB877" s="25">
        <v>2021090</v>
      </c>
      <c r="AC877" s="26">
        <v>2021090</v>
      </c>
      <c r="AD877" s="24">
        <v>0</v>
      </c>
      <c r="AE877" s="27">
        <f>_xlfn.XLOOKUP(B877,'Projects Cashflow'!$B:$B,'Projects Cashflow'!$AG:$AG,0)</f>
        <v>2021090</v>
      </c>
      <c r="AF877" s="28">
        <f t="shared" si="42"/>
        <v>0</v>
      </c>
    </row>
    <row r="878" spans="2:32" x14ac:dyDescent="0.3">
      <c r="B878" s="14" t="str">
        <f t="shared" si="40"/>
        <v>45112504511000623Hospitality-N424761200104</v>
      </c>
      <c r="C878" s="21" t="s">
        <v>65</v>
      </c>
      <c r="D878" s="22">
        <v>4511250</v>
      </c>
      <c r="E878" s="21" t="s">
        <v>66</v>
      </c>
      <c r="F878" s="22">
        <v>4511000623</v>
      </c>
      <c r="G878" s="21" t="s">
        <v>3014</v>
      </c>
      <c r="H878" s="21" t="s">
        <v>83</v>
      </c>
      <c r="I878" s="22">
        <v>424761</v>
      </c>
      <c r="J878" s="22">
        <v>200104</v>
      </c>
      <c r="K878" s="22" t="s">
        <v>2959</v>
      </c>
      <c r="L878" s="22">
        <v>70205</v>
      </c>
      <c r="M878" s="23" t="s">
        <v>2961</v>
      </c>
      <c r="N878" s="24">
        <v>0</v>
      </c>
      <c r="O878" s="24">
        <v>0</v>
      </c>
      <c r="P878" s="24">
        <v>0</v>
      </c>
      <c r="Q878" s="24">
        <v>20000</v>
      </c>
      <c r="R878" s="24">
        <v>5000</v>
      </c>
      <c r="S878" s="24">
        <v>5000</v>
      </c>
      <c r="T878" s="24">
        <v>5938</v>
      </c>
      <c r="U878" s="24">
        <v>0</v>
      </c>
      <c r="V878" s="24">
        <v>0</v>
      </c>
      <c r="W878" s="24">
        <v>0</v>
      </c>
      <c r="X878" s="24">
        <v>0</v>
      </c>
      <c r="Y878" s="24">
        <v>0</v>
      </c>
      <c r="Z878" s="24">
        <f t="shared" si="41"/>
        <v>35938</v>
      </c>
      <c r="AB878" s="25">
        <v>35938</v>
      </c>
      <c r="AC878" s="26">
        <v>35938.199999999997</v>
      </c>
      <c r="AD878" s="24">
        <v>-0.19999999999708962</v>
      </c>
      <c r="AE878" s="27">
        <f>_xlfn.XLOOKUP(B878,'Projects Cashflow'!$B:$B,'Projects Cashflow'!$AG:$AG,0)</f>
        <v>35938.199999999997</v>
      </c>
      <c r="AF878" s="28">
        <f t="shared" si="42"/>
        <v>0.19999999999708962</v>
      </c>
    </row>
    <row r="879" spans="2:32" x14ac:dyDescent="0.3">
      <c r="B879" s="14" t="str">
        <f t="shared" si="40"/>
        <v>45102304511000511Hospitality-N1424761200104</v>
      </c>
      <c r="C879" s="21" t="s">
        <v>2984</v>
      </c>
      <c r="D879" s="22">
        <v>4510230</v>
      </c>
      <c r="E879" s="21" t="s">
        <v>466</v>
      </c>
      <c r="F879" s="22">
        <v>4511000511</v>
      </c>
      <c r="G879" s="21" t="s">
        <v>2997</v>
      </c>
      <c r="H879" s="21" t="s">
        <v>399</v>
      </c>
      <c r="I879" s="22">
        <v>424761</v>
      </c>
      <c r="J879" s="22">
        <v>200104</v>
      </c>
      <c r="K879" s="22" t="s">
        <v>2959</v>
      </c>
      <c r="L879" s="22">
        <v>70107</v>
      </c>
      <c r="M879" s="23" t="s">
        <v>2960</v>
      </c>
      <c r="N879" s="24">
        <v>0</v>
      </c>
      <c r="O879" s="24">
        <v>0</v>
      </c>
      <c r="P879" s="24">
        <v>0</v>
      </c>
      <c r="Q879" s="24">
        <v>43200</v>
      </c>
      <c r="R879" s="24">
        <v>10800</v>
      </c>
      <c r="S879" s="24">
        <v>10800</v>
      </c>
      <c r="T879" s="24">
        <v>10800</v>
      </c>
      <c r="U879" s="24">
        <v>10800</v>
      </c>
      <c r="V879" s="24">
        <v>10800</v>
      </c>
      <c r="W879" s="24">
        <v>10800</v>
      </c>
      <c r="X879" s="24">
        <v>10800</v>
      </c>
      <c r="Y879" s="24">
        <v>10800</v>
      </c>
      <c r="Z879" s="24">
        <f t="shared" si="41"/>
        <v>129600</v>
      </c>
      <c r="AB879" s="25">
        <v>129600</v>
      </c>
      <c r="AC879" s="26">
        <v>129600</v>
      </c>
      <c r="AD879" s="24">
        <v>0</v>
      </c>
      <c r="AE879" s="27">
        <f>_xlfn.XLOOKUP(B879,'Projects Cashflow'!$B:$B,'Projects Cashflow'!$AG:$AG,0)</f>
        <v>129600</v>
      </c>
      <c r="AF879" s="28">
        <f t="shared" si="42"/>
        <v>0</v>
      </c>
    </row>
    <row r="880" spans="2:32" x14ac:dyDescent="0.3">
      <c r="B880" s="14" t="str">
        <f t="shared" si="40"/>
        <v>45102304511000511Security Service-N1424551200104</v>
      </c>
      <c r="C880" s="21" t="s">
        <v>2984</v>
      </c>
      <c r="D880" s="22">
        <v>4510230</v>
      </c>
      <c r="E880" s="21" t="s">
        <v>466</v>
      </c>
      <c r="F880" s="22">
        <v>4511000511</v>
      </c>
      <c r="G880" s="21" t="s">
        <v>2997</v>
      </c>
      <c r="H880" s="21" t="s">
        <v>627</v>
      </c>
      <c r="I880" s="22">
        <v>424551</v>
      </c>
      <c r="J880" s="22">
        <v>200104</v>
      </c>
      <c r="K880" s="22" t="s">
        <v>2959</v>
      </c>
      <c r="L880" s="22">
        <v>70107</v>
      </c>
      <c r="M880" s="23" t="s">
        <v>2960</v>
      </c>
      <c r="N880" s="24">
        <v>0</v>
      </c>
      <c r="O880" s="24">
        <v>0</v>
      </c>
      <c r="P880" s="24">
        <v>0</v>
      </c>
      <c r="Q880" s="24">
        <v>33200</v>
      </c>
      <c r="R880" s="24">
        <v>8300</v>
      </c>
      <c r="S880" s="24">
        <v>8300</v>
      </c>
      <c r="T880" s="24">
        <v>8300</v>
      </c>
      <c r="U880" s="24">
        <v>8300</v>
      </c>
      <c r="V880" s="24">
        <v>8300</v>
      </c>
      <c r="W880" s="24">
        <v>8300</v>
      </c>
      <c r="X880" s="24">
        <v>8300</v>
      </c>
      <c r="Y880" s="24">
        <v>8300</v>
      </c>
      <c r="Z880" s="24">
        <f t="shared" si="41"/>
        <v>99600</v>
      </c>
      <c r="AB880" s="25">
        <v>99600</v>
      </c>
      <c r="AC880" s="26">
        <v>99600</v>
      </c>
      <c r="AD880" s="24">
        <v>0</v>
      </c>
      <c r="AE880" s="27">
        <f>_xlfn.XLOOKUP(B880,'Projects Cashflow'!$B:$B,'Projects Cashflow'!$AG:$AG,0)</f>
        <v>99600</v>
      </c>
      <c r="AF880" s="28">
        <f t="shared" si="42"/>
        <v>0</v>
      </c>
    </row>
    <row r="881" spans="2:32" x14ac:dyDescent="0.3">
      <c r="B881" s="14" t="str">
        <f t="shared" si="40"/>
        <v>45102304511000511Cleaning Service-N1422311200104</v>
      </c>
      <c r="C881" s="21" t="s">
        <v>2984</v>
      </c>
      <c r="D881" s="22">
        <v>4510230</v>
      </c>
      <c r="E881" s="21" t="s">
        <v>466</v>
      </c>
      <c r="F881" s="22">
        <v>4511000511</v>
      </c>
      <c r="G881" s="21" t="s">
        <v>2997</v>
      </c>
      <c r="H881" s="21" t="s">
        <v>623</v>
      </c>
      <c r="I881" s="22">
        <v>422311</v>
      </c>
      <c r="J881" s="22">
        <v>200104</v>
      </c>
      <c r="K881" s="22" t="s">
        <v>2959</v>
      </c>
      <c r="L881" s="22">
        <v>70107</v>
      </c>
      <c r="M881" s="23" t="s">
        <v>2960</v>
      </c>
      <c r="N881" s="24">
        <v>0</v>
      </c>
      <c r="O881" s="24">
        <v>0</v>
      </c>
      <c r="P881" s="24">
        <v>0</v>
      </c>
      <c r="Q881" s="24">
        <v>31657</v>
      </c>
      <c r="R881" s="24">
        <v>7917</v>
      </c>
      <c r="S881" s="24">
        <v>7917</v>
      </c>
      <c r="T881" s="24">
        <v>7917</v>
      </c>
      <c r="U881" s="24">
        <v>7917</v>
      </c>
      <c r="V881" s="24">
        <v>7917</v>
      </c>
      <c r="W881" s="24">
        <v>7917</v>
      </c>
      <c r="X881" s="24">
        <v>7917</v>
      </c>
      <c r="Y881" s="24">
        <v>7924</v>
      </c>
      <c r="Z881" s="24">
        <f t="shared" si="41"/>
        <v>95000</v>
      </c>
      <c r="AB881" s="25">
        <v>95000</v>
      </c>
      <c r="AC881" s="26">
        <v>95000</v>
      </c>
      <c r="AD881" s="24">
        <v>0</v>
      </c>
      <c r="AE881" s="27">
        <f>_xlfn.XLOOKUP(B881,'Projects Cashflow'!$B:$B,'Projects Cashflow'!$AG:$AG,0)</f>
        <v>95000</v>
      </c>
      <c r="AF881" s="28">
        <f t="shared" si="42"/>
        <v>0</v>
      </c>
    </row>
    <row r="882" spans="2:32" x14ac:dyDescent="0.3">
      <c r="B882" s="14" t="str">
        <f t="shared" si="40"/>
        <v>45102304511000515Security Service-N1424551200104</v>
      </c>
      <c r="C882" s="21" t="s">
        <v>2984</v>
      </c>
      <c r="D882" s="22">
        <v>4510230</v>
      </c>
      <c r="E882" s="21" t="s">
        <v>466</v>
      </c>
      <c r="F882" s="22">
        <v>4511000515</v>
      </c>
      <c r="G882" s="21" t="s">
        <v>3098</v>
      </c>
      <c r="H882" s="21" t="s">
        <v>627</v>
      </c>
      <c r="I882" s="22">
        <v>424551</v>
      </c>
      <c r="J882" s="22">
        <v>200104</v>
      </c>
      <c r="K882" s="22" t="s">
        <v>2959</v>
      </c>
      <c r="L882" s="22">
        <v>70107</v>
      </c>
      <c r="M882" s="23" t="s">
        <v>2960</v>
      </c>
      <c r="N882" s="24">
        <v>0</v>
      </c>
      <c r="O882" s="24">
        <v>0</v>
      </c>
      <c r="P882" s="24">
        <v>0</v>
      </c>
      <c r="Q882" s="24">
        <v>74920</v>
      </c>
      <c r="R882" s="24">
        <v>18730</v>
      </c>
      <c r="S882" s="24">
        <v>18730</v>
      </c>
      <c r="T882" s="24">
        <v>18730</v>
      </c>
      <c r="U882" s="24">
        <v>18730</v>
      </c>
      <c r="V882" s="24">
        <v>18730</v>
      </c>
      <c r="W882" s="24">
        <v>18730</v>
      </c>
      <c r="X882" s="24">
        <v>18600</v>
      </c>
      <c r="Y882" s="24">
        <v>18600</v>
      </c>
      <c r="Z882" s="24">
        <f t="shared" si="41"/>
        <v>224500</v>
      </c>
      <c r="AB882" s="25">
        <v>224500</v>
      </c>
      <c r="AC882" s="26">
        <v>224500</v>
      </c>
      <c r="AD882" s="24">
        <v>0</v>
      </c>
      <c r="AE882" s="27">
        <f>_xlfn.XLOOKUP(B882,'Projects Cashflow'!$B:$B,'Projects Cashflow'!$AG:$AG,0)</f>
        <v>224500</v>
      </c>
      <c r="AF882" s="28">
        <f t="shared" si="42"/>
        <v>0</v>
      </c>
    </row>
    <row r="883" spans="2:32" x14ac:dyDescent="0.3">
      <c r="B883" s="14" t="str">
        <f t="shared" si="40"/>
        <v>45102304511000515Cleaning Service-N2422311200104</v>
      </c>
      <c r="C883" s="21" t="s">
        <v>2984</v>
      </c>
      <c r="D883" s="22">
        <v>4510230</v>
      </c>
      <c r="E883" s="21" t="s">
        <v>466</v>
      </c>
      <c r="F883" s="22">
        <v>4511000515</v>
      </c>
      <c r="G883" s="21" t="s">
        <v>3098</v>
      </c>
      <c r="H883" s="21" t="s">
        <v>635</v>
      </c>
      <c r="I883" s="22">
        <v>422311</v>
      </c>
      <c r="J883" s="22">
        <v>200104</v>
      </c>
      <c r="K883" s="22" t="s">
        <v>2959</v>
      </c>
      <c r="L883" s="22">
        <v>70107</v>
      </c>
      <c r="M883" s="23" t="s">
        <v>2960</v>
      </c>
      <c r="N883" s="24">
        <v>0</v>
      </c>
      <c r="O883" s="24">
        <v>0</v>
      </c>
      <c r="P883" s="24">
        <v>0</v>
      </c>
      <c r="Q883" s="24">
        <v>53000</v>
      </c>
      <c r="R883" s="24">
        <v>13250</v>
      </c>
      <c r="S883" s="24">
        <v>13250</v>
      </c>
      <c r="T883" s="24">
        <v>13250</v>
      </c>
      <c r="U883" s="24">
        <v>13250</v>
      </c>
      <c r="V883" s="24">
        <v>13250</v>
      </c>
      <c r="W883" s="24">
        <v>13250</v>
      </c>
      <c r="X883" s="24">
        <v>13250</v>
      </c>
      <c r="Y883" s="24">
        <v>13250</v>
      </c>
      <c r="Z883" s="24">
        <f t="shared" si="41"/>
        <v>159000</v>
      </c>
      <c r="AB883" s="25">
        <v>159000</v>
      </c>
      <c r="AC883" s="26">
        <v>159000</v>
      </c>
      <c r="AD883" s="24">
        <v>0</v>
      </c>
      <c r="AE883" s="27">
        <f>_xlfn.XLOOKUP(B883,'Projects Cashflow'!$B:$B,'Projects Cashflow'!$AG:$AG,0)</f>
        <v>159000</v>
      </c>
      <c r="AF883" s="28">
        <f t="shared" si="42"/>
        <v>0</v>
      </c>
    </row>
    <row r="884" spans="2:32" x14ac:dyDescent="0.3">
      <c r="B884" s="14" t="str">
        <f t="shared" si="40"/>
        <v>45102304511000515Hospitality-N1424761200104</v>
      </c>
      <c r="C884" s="21" t="s">
        <v>2984</v>
      </c>
      <c r="D884" s="22">
        <v>4510230</v>
      </c>
      <c r="E884" s="21" t="s">
        <v>466</v>
      </c>
      <c r="F884" s="22">
        <v>4511000515</v>
      </c>
      <c r="G884" s="21" t="s">
        <v>3098</v>
      </c>
      <c r="H884" s="21" t="s">
        <v>399</v>
      </c>
      <c r="I884" s="22">
        <v>424761</v>
      </c>
      <c r="J884" s="22">
        <v>200104</v>
      </c>
      <c r="K884" s="22" t="s">
        <v>2959</v>
      </c>
      <c r="L884" s="22">
        <v>70107</v>
      </c>
      <c r="M884" s="23" t="s">
        <v>2960</v>
      </c>
      <c r="N884" s="24">
        <v>0</v>
      </c>
      <c r="O884" s="24">
        <v>0</v>
      </c>
      <c r="P884" s="24">
        <v>0</v>
      </c>
      <c r="Q884" s="24">
        <v>29200</v>
      </c>
      <c r="R884" s="24">
        <v>7300</v>
      </c>
      <c r="S884" s="24">
        <v>7300</v>
      </c>
      <c r="T884" s="24">
        <v>7300</v>
      </c>
      <c r="U884" s="24">
        <v>7300</v>
      </c>
      <c r="V884" s="24">
        <v>7300</v>
      </c>
      <c r="W884" s="24">
        <v>7300</v>
      </c>
      <c r="X884" s="24">
        <v>7300</v>
      </c>
      <c r="Y884" s="24">
        <v>7300</v>
      </c>
      <c r="Z884" s="24">
        <f t="shared" si="41"/>
        <v>87600</v>
      </c>
      <c r="AB884" s="25">
        <v>87600</v>
      </c>
      <c r="AC884" s="26">
        <v>87600</v>
      </c>
      <c r="AD884" s="24">
        <v>0</v>
      </c>
      <c r="AE884" s="27">
        <f>_xlfn.XLOOKUP(B884,'Projects Cashflow'!$B:$B,'Projects Cashflow'!$AG:$AG,0)</f>
        <v>87600</v>
      </c>
      <c r="AF884" s="28">
        <f t="shared" si="42"/>
        <v>0</v>
      </c>
    </row>
    <row r="885" spans="2:32" x14ac:dyDescent="0.3">
      <c r="B885" s="14" t="str">
        <f t="shared" si="40"/>
        <v>45102304511000515Maintenance-N1426212200104</v>
      </c>
      <c r="C885" s="21" t="s">
        <v>2984</v>
      </c>
      <c r="D885" s="22">
        <v>4510230</v>
      </c>
      <c r="E885" s="21" t="s">
        <v>466</v>
      </c>
      <c r="F885" s="22">
        <v>4511000515</v>
      </c>
      <c r="G885" s="21" t="s">
        <v>3098</v>
      </c>
      <c r="H885" s="21" t="s">
        <v>625</v>
      </c>
      <c r="I885" s="22">
        <v>426212</v>
      </c>
      <c r="J885" s="22">
        <v>200104</v>
      </c>
      <c r="K885" s="22" t="s">
        <v>2959</v>
      </c>
      <c r="L885" s="22">
        <v>70107</v>
      </c>
      <c r="M885" s="23" t="s">
        <v>2960</v>
      </c>
      <c r="N885" s="24">
        <v>0</v>
      </c>
      <c r="O885" s="24">
        <v>0</v>
      </c>
      <c r="P885" s="24">
        <v>0</v>
      </c>
      <c r="Q885" s="24">
        <v>12000</v>
      </c>
      <c r="R885" s="24">
        <v>3000</v>
      </c>
      <c r="S885" s="24">
        <v>3000</v>
      </c>
      <c r="T885" s="24">
        <v>3000</v>
      </c>
      <c r="U885" s="24">
        <v>3000</v>
      </c>
      <c r="V885" s="24">
        <v>3000</v>
      </c>
      <c r="W885" s="24">
        <v>3000</v>
      </c>
      <c r="X885" s="24">
        <v>3000</v>
      </c>
      <c r="Y885" s="24">
        <v>3000</v>
      </c>
      <c r="Z885" s="24">
        <f t="shared" si="41"/>
        <v>36000</v>
      </c>
      <c r="AB885" s="25">
        <v>36000</v>
      </c>
      <c r="AC885" s="26">
        <v>36000</v>
      </c>
      <c r="AD885" s="24">
        <v>0</v>
      </c>
      <c r="AE885" s="27">
        <f>_xlfn.XLOOKUP(B885,'Projects Cashflow'!$B:$B,'Projects Cashflow'!$AG:$AG,0)</f>
        <v>36000</v>
      </c>
      <c r="AF885" s="28">
        <f t="shared" si="42"/>
        <v>0</v>
      </c>
    </row>
    <row r="886" spans="2:32" x14ac:dyDescent="0.3">
      <c r="B886" s="14" t="str">
        <f t="shared" si="40"/>
        <v>45102304511000517Interior Fit Out-NC2491711300105</v>
      </c>
      <c r="C886" s="21" t="s">
        <v>2984</v>
      </c>
      <c r="D886" s="22">
        <v>4510230</v>
      </c>
      <c r="E886" s="21" t="s">
        <v>466</v>
      </c>
      <c r="F886" s="22">
        <v>4511000517</v>
      </c>
      <c r="G886" s="21" t="s">
        <v>3099</v>
      </c>
      <c r="H886" s="21" t="s">
        <v>650</v>
      </c>
      <c r="I886" s="22">
        <v>491711</v>
      </c>
      <c r="J886" s="22">
        <v>300105</v>
      </c>
      <c r="K886" s="22" t="s">
        <v>2972</v>
      </c>
      <c r="L886" s="22">
        <v>70107</v>
      </c>
      <c r="M886" s="23" t="s">
        <v>2960</v>
      </c>
      <c r="N886" s="24">
        <v>0</v>
      </c>
      <c r="O886" s="24">
        <v>0</v>
      </c>
      <c r="P886" s="24">
        <v>0</v>
      </c>
      <c r="Q886" s="24">
        <v>50000</v>
      </c>
      <c r="R886" s="24">
        <v>50000</v>
      </c>
      <c r="S886" s="24">
        <v>0</v>
      </c>
      <c r="T886" s="24">
        <v>183000</v>
      </c>
      <c r="U886" s="24">
        <v>0</v>
      </c>
      <c r="V886" s="24">
        <v>0</v>
      </c>
      <c r="W886" s="24">
        <v>50000</v>
      </c>
      <c r="X886" s="24">
        <v>0</v>
      </c>
      <c r="Y886" s="24">
        <v>0</v>
      </c>
      <c r="Z886" s="24">
        <f t="shared" si="41"/>
        <v>333000</v>
      </c>
      <c r="AB886" s="25">
        <v>333000</v>
      </c>
      <c r="AC886" s="26">
        <v>333000</v>
      </c>
      <c r="AD886" s="24">
        <v>0</v>
      </c>
      <c r="AE886" s="27">
        <f>_xlfn.XLOOKUP(B886,'Projects Cashflow'!$B:$B,'Projects Cashflow'!$AG:$AG,0)</f>
        <v>333000</v>
      </c>
      <c r="AF886" s="28">
        <f t="shared" si="42"/>
        <v>0</v>
      </c>
    </row>
    <row r="887" spans="2:32" x14ac:dyDescent="0.3">
      <c r="B887" s="14" t="str">
        <f t="shared" si="40"/>
        <v>45102304511000517Facilities Rent-N1425112200104</v>
      </c>
      <c r="C887" s="21" t="s">
        <v>2984</v>
      </c>
      <c r="D887" s="22">
        <v>4510230</v>
      </c>
      <c r="E887" s="21" t="s">
        <v>466</v>
      </c>
      <c r="F887" s="22">
        <v>4511000517</v>
      </c>
      <c r="G887" s="21" t="s">
        <v>3099</v>
      </c>
      <c r="H887" s="21" t="s">
        <v>631</v>
      </c>
      <c r="I887" s="22">
        <v>425112</v>
      </c>
      <c r="J887" s="22">
        <v>200104</v>
      </c>
      <c r="K887" s="22" t="s">
        <v>2959</v>
      </c>
      <c r="L887" s="22">
        <v>70107</v>
      </c>
      <c r="M887" s="23" t="s">
        <v>2960</v>
      </c>
      <c r="N887" s="24">
        <v>0</v>
      </c>
      <c r="O887" s="24">
        <v>0</v>
      </c>
      <c r="P887" s="24">
        <v>0</v>
      </c>
      <c r="Q887" s="24">
        <v>22206831.420000002</v>
      </c>
      <c r="R887" s="24">
        <v>0</v>
      </c>
      <c r="S887" s="24">
        <v>0</v>
      </c>
      <c r="T887" s="24">
        <v>0</v>
      </c>
      <c r="U887" s="24">
        <v>0</v>
      </c>
      <c r="V887" s="24">
        <v>0</v>
      </c>
      <c r="W887" s="24">
        <v>0</v>
      </c>
      <c r="X887" s="24">
        <v>0</v>
      </c>
      <c r="Y887" s="24">
        <v>0</v>
      </c>
      <c r="Z887" s="24">
        <f t="shared" si="41"/>
        <v>22206831.420000002</v>
      </c>
      <c r="AB887" s="25">
        <v>22380686.420000002</v>
      </c>
      <c r="AC887" s="26">
        <v>22380686</v>
      </c>
      <c r="AD887" s="24">
        <v>0.42000000178813934</v>
      </c>
      <c r="AE887" s="27">
        <f>_xlfn.XLOOKUP(B887,'Projects Cashflow'!$B:$B,'Projects Cashflow'!$AG:$AG,0)</f>
        <v>22380686</v>
      </c>
      <c r="AF887" s="28">
        <f t="shared" si="42"/>
        <v>-0.42000000178813934</v>
      </c>
    </row>
    <row r="888" spans="2:32" x14ac:dyDescent="0.3">
      <c r="B888" s="14" t="str">
        <f t="shared" si="40"/>
        <v>45102304511000517Parking Fees-N1425112200104</v>
      </c>
      <c r="C888" s="21" t="s">
        <v>2984</v>
      </c>
      <c r="D888" s="22">
        <v>4510230</v>
      </c>
      <c r="E888" s="21" t="s">
        <v>466</v>
      </c>
      <c r="F888" s="22">
        <v>4511000517</v>
      </c>
      <c r="G888" s="21" t="s">
        <v>3099</v>
      </c>
      <c r="H888" s="21" t="s">
        <v>673</v>
      </c>
      <c r="I888" s="22">
        <v>425112</v>
      </c>
      <c r="J888" s="22">
        <v>200104</v>
      </c>
      <c r="K888" s="22" t="s">
        <v>2959</v>
      </c>
      <c r="L888" s="22">
        <v>70107</v>
      </c>
      <c r="M888" s="23" t="s">
        <v>2960</v>
      </c>
      <c r="N888" s="24">
        <v>0</v>
      </c>
      <c r="O888" s="24">
        <v>0</v>
      </c>
      <c r="P888" s="26">
        <v>96000</v>
      </c>
      <c r="Q888" s="24">
        <v>652400</v>
      </c>
      <c r="R888" s="24">
        <v>25100</v>
      </c>
      <c r="S888" s="24">
        <v>32300</v>
      </c>
      <c r="T888" s="24">
        <v>38300</v>
      </c>
      <c r="U888" s="24">
        <v>56300</v>
      </c>
      <c r="V888" s="24">
        <v>46700</v>
      </c>
      <c r="W888" s="24">
        <v>61100</v>
      </c>
      <c r="X888" s="24">
        <v>63500</v>
      </c>
      <c r="Y888" s="24">
        <v>73100</v>
      </c>
      <c r="Z888" s="24">
        <f t="shared" si="41"/>
        <v>1144800</v>
      </c>
      <c r="AB888" s="25">
        <v>1144800</v>
      </c>
      <c r="AC888" s="26">
        <v>1144800</v>
      </c>
      <c r="AD888" s="24">
        <v>0</v>
      </c>
      <c r="AE888" s="27">
        <f>_xlfn.XLOOKUP(B888,'Projects Cashflow'!$B:$B,'Projects Cashflow'!$AG:$AG,0)</f>
        <v>1144800</v>
      </c>
      <c r="AF888" s="28">
        <f t="shared" si="42"/>
        <v>0</v>
      </c>
    </row>
    <row r="889" spans="2:32" x14ac:dyDescent="0.3">
      <c r="B889" s="14" t="str">
        <f t="shared" si="40"/>
        <v>45102304511000517Hospitality-N1424761200104</v>
      </c>
      <c r="C889" s="21" t="s">
        <v>2984</v>
      </c>
      <c r="D889" s="22">
        <v>4510230</v>
      </c>
      <c r="E889" s="21" t="s">
        <v>466</v>
      </c>
      <c r="F889" s="22">
        <v>4511000517</v>
      </c>
      <c r="G889" s="21" t="s">
        <v>3099</v>
      </c>
      <c r="H889" s="21" t="s">
        <v>399</v>
      </c>
      <c r="I889" s="22">
        <v>424761</v>
      </c>
      <c r="J889" s="22">
        <v>200104</v>
      </c>
      <c r="K889" s="22" t="s">
        <v>2959</v>
      </c>
      <c r="L889" s="22">
        <v>70107</v>
      </c>
      <c r="M889" s="23" t="s">
        <v>2960</v>
      </c>
      <c r="N889" s="24">
        <v>0</v>
      </c>
      <c r="O889" s="24">
        <v>0</v>
      </c>
      <c r="P889" s="24">
        <v>0</v>
      </c>
      <c r="Q889" s="24">
        <v>280800</v>
      </c>
      <c r="R889" s="24">
        <v>70200</v>
      </c>
      <c r="S889" s="24">
        <v>70200</v>
      </c>
      <c r="T889" s="24">
        <v>70200</v>
      </c>
      <c r="U889" s="24">
        <v>70200</v>
      </c>
      <c r="V889" s="24">
        <v>70200</v>
      </c>
      <c r="W889" s="24">
        <v>70200</v>
      </c>
      <c r="X889" s="24">
        <v>70200</v>
      </c>
      <c r="Y889" s="24">
        <v>70200</v>
      </c>
      <c r="Z889" s="24">
        <f t="shared" si="41"/>
        <v>842400</v>
      </c>
      <c r="AB889" s="25">
        <v>842400</v>
      </c>
      <c r="AC889" s="26">
        <v>842400</v>
      </c>
      <c r="AD889" s="24">
        <v>0</v>
      </c>
      <c r="AE889" s="27">
        <f>_xlfn.XLOOKUP(B889,'Projects Cashflow'!$B:$B,'Projects Cashflow'!$AG:$AG,0)</f>
        <v>842400</v>
      </c>
      <c r="AF889" s="28">
        <f t="shared" si="42"/>
        <v>0</v>
      </c>
    </row>
    <row r="890" spans="2:32" x14ac:dyDescent="0.3">
      <c r="B890" s="14" t="str">
        <f t="shared" si="40"/>
        <v>45102304511000517Pantry Supplies-N1431316200104</v>
      </c>
      <c r="C890" s="21" t="s">
        <v>2984</v>
      </c>
      <c r="D890" s="22">
        <v>4510230</v>
      </c>
      <c r="E890" s="21" t="s">
        <v>466</v>
      </c>
      <c r="F890" s="22">
        <v>4511000517</v>
      </c>
      <c r="G890" s="21" t="s">
        <v>3099</v>
      </c>
      <c r="H890" s="21" t="s">
        <v>669</v>
      </c>
      <c r="I890" s="22">
        <v>431316</v>
      </c>
      <c r="J890" s="22">
        <v>200104</v>
      </c>
      <c r="K890" s="22" t="s">
        <v>2959</v>
      </c>
      <c r="L890" s="22">
        <v>70107</v>
      </c>
      <c r="M890" s="23" t="s">
        <v>2960</v>
      </c>
      <c r="N890" s="24">
        <v>0</v>
      </c>
      <c r="O890" s="24">
        <v>0</v>
      </c>
      <c r="P890" s="24">
        <v>0</v>
      </c>
      <c r="Q890" s="24">
        <v>270000</v>
      </c>
      <c r="R890" s="24">
        <v>70000</v>
      </c>
      <c r="S890" s="24">
        <v>70000</v>
      </c>
      <c r="T890" s="24">
        <v>70000</v>
      </c>
      <c r="U890" s="24">
        <v>70000</v>
      </c>
      <c r="V890" s="24">
        <v>70000</v>
      </c>
      <c r="W890" s="24">
        <v>70000</v>
      </c>
      <c r="X890" s="24">
        <v>70000</v>
      </c>
      <c r="Y890" s="24">
        <v>70000</v>
      </c>
      <c r="Z890" s="24">
        <f t="shared" si="41"/>
        <v>830000</v>
      </c>
      <c r="AB890" s="25">
        <v>830000</v>
      </c>
      <c r="AC890" s="26">
        <v>830000</v>
      </c>
      <c r="AD890" s="24">
        <v>0</v>
      </c>
      <c r="AE890" s="27">
        <f>_xlfn.XLOOKUP(B890,'Projects Cashflow'!$B:$B,'Projects Cashflow'!$AG:$AG,0)</f>
        <v>830000</v>
      </c>
      <c r="AF890" s="28">
        <f t="shared" si="42"/>
        <v>0</v>
      </c>
    </row>
    <row r="891" spans="2:32" x14ac:dyDescent="0.3">
      <c r="B891" s="14" t="str">
        <f t="shared" si="40"/>
        <v>45102304511000517Cleaning Service-N1422311200104</v>
      </c>
      <c r="C891" s="21" t="s">
        <v>2984</v>
      </c>
      <c r="D891" s="22">
        <v>4510230</v>
      </c>
      <c r="E891" s="21" t="s">
        <v>466</v>
      </c>
      <c r="F891" s="22">
        <v>4511000517</v>
      </c>
      <c r="G891" s="21" t="s">
        <v>3099</v>
      </c>
      <c r="H891" s="21" t="s">
        <v>623</v>
      </c>
      <c r="I891" s="22">
        <v>422311</v>
      </c>
      <c r="J891" s="22">
        <v>200104</v>
      </c>
      <c r="K891" s="22" t="s">
        <v>2959</v>
      </c>
      <c r="L891" s="22">
        <v>70107</v>
      </c>
      <c r="M891" s="23" t="s">
        <v>2960</v>
      </c>
      <c r="N891" s="24">
        <v>0</v>
      </c>
      <c r="O891" s="24">
        <v>0</v>
      </c>
      <c r="P891" s="24">
        <v>0</v>
      </c>
      <c r="Q891" s="24">
        <v>256664</v>
      </c>
      <c r="R891" s="24">
        <v>64167</v>
      </c>
      <c r="S891" s="24">
        <v>64167</v>
      </c>
      <c r="T891" s="24">
        <v>64167</v>
      </c>
      <c r="U891" s="24">
        <v>64167</v>
      </c>
      <c r="V891" s="24">
        <v>64167</v>
      </c>
      <c r="W891" s="24">
        <v>64167</v>
      </c>
      <c r="X891" s="24">
        <v>64167</v>
      </c>
      <c r="Y891" s="24">
        <v>64167</v>
      </c>
      <c r="Z891" s="24">
        <f t="shared" si="41"/>
        <v>770000</v>
      </c>
      <c r="AB891" s="25">
        <v>770000</v>
      </c>
      <c r="AC891" s="26">
        <v>770000</v>
      </c>
      <c r="AD891" s="24">
        <v>0</v>
      </c>
      <c r="AE891" s="27">
        <f>_xlfn.XLOOKUP(B891,'Projects Cashflow'!$B:$B,'Projects Cashflow'!$AG:$AG,0)</f>
        <v>770000</v>
      </c>
      <c r="AF891" s="28">
        <f t="shared" si="42"/>
        <v>0</v>
      </c>
    </row>
    <row r="892" spans="2:32" x14ac:dyDescent="0.3">
      <c r="B892" s="14" t="str">
        <f t="shared" si="40"/>
        <v>45102304511000517Security Service-N1424551200104</v>
      </c>
      <c r="C892" s="21" t="s">
        <v>2984</v>
      </c>
      <c r="D892" s="22">
        <v>4510230</v>
      </c>
      <c r="E892" s="21" t="s">
        <v>466</v>
      </c>
      <c r="F892" s="22">
        <v>4511000517</v>
      </c>
      <c r="G892" s="21" t="s">
        <v>3099</v>
      </c>
      <c r="H892" s="21" t="s">
        <v>627</v>
      </c>
      <c r="I892" s="22">
        <v>424551</v>
      </c>
      <c r="J892" s="22">
        <v>200104</v>
      </c>
      <c r="K892" s="22" t="s">
        <v>2959</v>
      </c>
      <c r="L892" s="22">
        <v>70107</v>
      </c>
      <c r="M892" s="23" t="s">
        <v>2960</v>
      </c>
      <c r="N892" s="24">
        <v>0</v>
      </c>
      <c r="O892" s="24">
        <v>0</v>
      </c>
      <c r="P892" s="24">
        <v>0</v>
      </c>
      <c r="Q892" s="24">
        <v>178000</v>
      </c>
      <c r="R892" s="24">
        <v>44500</v>
      </c>
      <c r="S892" s="24">
        <v>44500</v>
      </c>
      <c r="T892" s="24">
        <v>44500</v>
      </c>
      <c r="U892" s="24">
        <v>44500</v>
      </c>
      <c r="V892" s="24">
        <v>44500</v>
      </c>
      <c r="W892" s="24">
        <v>44500</v>
      </c>
      <c r="X892" s="24">
        <v>44500</v>
      </c>
      <c r="Y892" s="24">
        <v>44500</v>
      </c>
      <c r="Z892" s="24">
        <f t="shared" si="41"/>
        <v>534000</v>
      </c>
      <c r="AB892" s="25">
        <v>534000</v>
      </c>
      <c r="AC892" s="26">
        <v>534000</v>
      </c>
      <c r="AD892" s="24">
        <v>0</v>
      </c>
      <c r="AE892" s="27">
        <f>_xlfn.XLOOKUP(B892,'Projects Cashflow'!$B:$B,'Projects Cashflow'!$AG:$AG,0)</f>
        <v>534000</v>
      </c>
      <c r="AF892" s="28">
        <f t="shared" si="42"/>
        <v>0</v>
      </c>
    </row>
    <row r="893" spans="2:32" x14ac:dyDescent="0.3">
      <c r="B893" s="14" t="str">
        <f t="shared" si="40"/>
        <v>45102304511000517Manpower-N424521200104</v>
      </c>
      <c r="C893" s="21" t="s">
        <v>2984</v>
      </c>
      <c r="D893" s="22">
        <v>4510230</v>
      </c>
      <c r="E893" s="21" t="s">
        <v>466</v>
      </c>
      <c r="F893" s="22">
        <v>4511000517</v>
      </c>
      <c r="G893" s="21" t="s">
        <v>3099</v>
      </c>
      <c r="H893" s="21" t="s">
        <v>98</v>
      </c>
      <c r="I893" s="22">
        <v>424521</v>
      </c>
      <c r="J893" s="22">
        <v>200104</v>
      </c>
      <c r="K893" s="22" t="s">
        <v>2959</v>
      </c>
      <c r="L893" s="22">
        <v>70107</v>
      </c>
      <c r="M893" s="23" t="s">
        <v>2960</v>
      </c>
      <c r="N893" s="24">
        <v>0</v>
      </c>
      <c r="O893" s="24">
        <v>0</v>
      </c>
      <c r="P893" s="24">
        <v>0</v>
      </c>
      <c r="Q893" s="24">
        <v>175600</v>
      </c>
      <c r="R893" s="24">
        <v>43900</v>
      </c>
      <c r="S893" s="24">
        <v>43900</v>
      </c>
      <c r="T893" s="24">
        <v>43900</v>
      </c>
      <c r="U893" s="24">
        <v>43900</v>
      </c>
      <c r="V893" s="24">
        <v>43900</v>
      </c>
      <c r="W893" s="24">
        <v>43900</v>
      </c>
      <c r="X893" s="24">
        <v>43900</v>
      </c>
      <c r="Y893" s="24">
        <v>43900</v>
      </c>
      <c r="Z893" s="24">
        <f t="shared" si="41"/>
        <v>526800</v>
      </c>
      <c r="AB893" s="25">
        <v>526800</v>
      </c>
      <c r="AC893" s="26">
        <v>526800</v>
      </c>
      <c r="AD893" s="24">
        <v>0</v>
      </c>
      <c r="AE893" s="27">
        <f>_xlfn.XLOOKUP(B893,'Projects Cashflow'!$B:$B,'Projects Cashflow'!$AG:$AG,0)</f>
        <v>526800</v>
      </c>
      <c r="AF893" s="28">
        <f t="shared" si="42"/>
        <v>0</v>
      </c>
    </row>
    <row r="894" spans="2:32" x14ac:dyDescent="0.3">
      <c r="B894" s="14" t="str">
        <f t="shared" si="40"/>
        <v>45102304511000517Maintenance-N1426212200104</v>
      </c>
      <c r="C894" s="21" t="s">
        <v>2984</v>
      </c>
      <c r="D894" s="22">
        <v>4510230</v>
      </c>
      <c r="E894" s="21" t="s">
        <v>466</v>
      </c>
      <c r="F894" s="22">
        <v>4511000517</v>
      </c>
      <c r="G894" s="21" t="s">
        <v>3099</v>
      </c>
      <c r="H894" s="21" t="s">
        <v>625</v>
      </c>
      <c r="I894" s="22">
        <v>426212</v>
      </c>
      <c r="J894" s="22">
        <v>200104</v>
      </c>
      <c r="K894" s="22" t="s">
        <v>2959</v>
      </c>
      <c r="L894" s="22">
        <v>70107</v>
      </c>
      <c r="M894" s="23" t="s">
        <v>2960</v>
      </c>
      <c r="N894" s="24">
        <v>0</v>
      </c>
      <c r="O894" s="24">
        <v>0</v>
      </c>
      <c r="P894" s="24">
        <v>0</v>
      </c>
      <c r="Q894" s="24">
        <v>157327.67999999999</v>
      </c>
      <c r="R894" s="24">
        <v>39331.919999999998</v>
      </c>
      <c r="S894" s="24">
        <v>39331.919999999998</v>
      </c>
      <c r="T894" s="24">
        <v>39331.919999999998</v>
      </c>
      <c r="U894" s="24">
        <v>39331.919999999998</v>
      </c>
      <c r="V894" s="24">
        <v>39331.919999999998</v>
      </c>
      <c r="W894" s="24">
        <v>39331.919999999998</v>
      </c>
      <c r="X894" s="24">
        <v>39331.919999999998</v>
      </c>
      <c r="Y894" s="24">
        <v>39331.919999999998</v>
      </c>
      <c r="Z894" s="24">
        <f t="shared" si="41"/>
        <v>471983.03999999986</v>
      </c>
      <c r="AB894" s="25">
        <v>471983.03999999986</v>
      </c>
      <c r="AC894" s="26">
        <v>471983</v>
      </c>
      <c r="AD894" s="24">
        <v>3.999999986262992E-2</v>
      </c>
      <c r="AE894" s="27">
        <f>_xlfn.XLOOKUP(B894,'Projects Cashflow'!$B:$B,'Projects Cashflow'!$AG:$AG,0)</f>
        <v>471983</v>
      </c>
      <c r="AF894" s="28">
        <f t="shared" si="42"/>
        <v>-3.999999986262992E-2</v>
      </c>
    </row>
    <row r="895" spans="2:32" x14ac:dyDescent="0.3">
      <c r="B895" s="14" t="str">
        <f t="shared" si="40"/>
        <v>45102304511000517Cooling Bills-N1423931200104</v>
      </c>
      <c r="C895" s="21" t="s">
        <v>2984</v>
      </c>
      <c r="D895" s="22">
        <v>4510230</v>
      </c>
      <c r="E895" s="21" t="s">
        <v>466</v>
      </c>
      <c r="F895" s="22">
        <v>4511000517</v>
      </c>
      <c r="G895" s="21" t="s">
        <v>3099</v>
      </c>
      <c r="H895" s="21" t="s">
        <v>665</v>
      </c>
      <c r="I895" s="22">
        <v>423931</v>
      </c>
      <c r="J895" s="22">
        <v>200104</v>
      </c>
      <c r="K895" s="22" t="s">
        <v>2959</v>
      </c>
      <c r="L895" s="22">
        <v>70107</v>
      </c>
      <c r="M895" s="23" t="s">
        <v>2960</v>
      </c>
      <c r="N895" s="24">
        <v>0</v>
      </c>
      <c r="O895" s="24">
        <v>0</v>
      </c>
      <c r="P895" s="24">
        <v>0</v>
      </c>
      <c r="Q895" s="24">
        <v>141473.33333333334</v>
      </c>
      <c r="R895" s="24">
        <v>35743.333333333336</v>
      </c>
      <c r="S895" s="24">
        <v>35743.333333333336</v>
      </c>
      <c r="T895" s="24">
        <v>35743.333333333336</v>
      </c>
      <c r="U895" s="24">
        <v>35743.333333333336</v>
      </c>
      <c r="V895" s="24">
        <v>35743.333333333336</v>
      </c>
      <c r="W895" s="24">
        <v>35743.333333333336</v>
      </c>
      <c r="X895" s="24">
        <v>35743.333333333336</v>
      </c>
      <c r="Y895" s="24">
        <v>37243.333333333336</v>
      </c>
      <c r="Z895" s="24">
        <f t="shared" si="41"/>
        <v>428919.99999999994</v>
      </c>
      <c r="AB895" s="25">
        <v>428919.99999999994</v>
      </c>
      <c r="AC895" s="26">
        <v>428920</v>
      </c>
      <c r="AD895" s="24">
        <v>0</v>
      </c>
      <c r="AE895" s="27">
        <f>_xlfn.XLOOKUP(B895,'Projects Cashflow'!$B:$B,'Projects Cashflow'!$AG:$AG,0)</f>
        <v>428920</v>
      </c>
      <c r="AF895" s="28">
        <f t="shared" si="42"/>
        <v>0</v>
      </c>
    </row>
    <row r="896" spans="2:32" x14ac:dyDescent="0.3">
      <c r="B896" s="14" t="str">
        <f t="shared" si="40"/>
        <v>45102304511000517Ad-hoc Repairs-N3426427200104</v>
      </c>
      <c r="C896" s="21" t="s">
        <v>2984</v>
      </c>
      <c r="D896" s="22">
        <v>4510230</v>
      </c>
      <c r="E896" s="21" t="s">
        <v>466</v>
      </c>
      <c r="F896" s="22">
        <v>4511000517</v>
      </c>
      <c r="G896" s="21" t="s">
        <v>3099</v>
      </c>
      <c r="H896" s="21" t="s">
        <v>664</v>
      </c>
      <c r="I896" s="22">
        <v>426427</v>
      </c>
      <c r="J896" s="22">
        <v>200104</v>
      </c>
      <c r="K896" s="22" t="s">
        <v>2959</v>
      </c>
      <c r="L896" s="22">
        <v>70107</v>
      </c>
      <c r="M896" s="23" t="s">
        <v>2960</v>
      </c>
      <c r="N896" s="24">
        <v>0</v>
      </c>
      <c r="O896" s="24">
        <v>0</v>
      </c>
      <c r="P896" s="24">
        <v>0</v>
      </c>
      <c r="Q896" s="24">
        <v>106000</v>
      </c>
      <c r="R896" s="24">
        <v>30500</v>
      </c>
      <c r="S896" s="24">
        <v>30500</v>
      </c>
      <c r="T896" s="24">
        <v>30500</v>
      </c>
      <c r="U896" s="24">
        <v>30500</v>
      </c>
      <c r="V896" s="24">
        <v>30500</v>
      </c>
      <c r="W896" s="24">
        <v>30500</v>
      </c>
      <c r="X896" s="24">
        <v>30500</v>
      </c>
      <c r="Y896" s="24">
        <v>30500</v>
      </c>
      <c r="Z896" s="24">
        <f t="shared" si="41"/>
        <v>350000</v>
      </c>
      <c r="AB896" s="25">
        <v>350000</v>
      </c>
      <c r="AC896" s="26">
        <v>350000</v>
      </c>
      <c r="AD896" s="24">
        <v>0</v>
      </c>
      <c r="AE896" s="27">
        <f>_xlfn.XLOOKUP(B896,'Projects Cashflow'!$B:$B,'Projects Cashflow'!$AG:$AG,0)</f>
        <v>350000</v>
      </c>
      <c r="AF896" s="28">
        <f t="shared" si="42"/>
        <v>0</v>
      </c>
    </row>
    <row r="897" spans="2:32" x14ac:dyDescent="0.3">
      <c r="B897" s="14" t="str">
        <f t="shared" si="40"/>
        <v>45102304511000517FM Mgmnt (E-E)-N1426212200104</v>
      </c>
      <c r="C897" s="21" t="s">
        <v>2984</v>
      </c>
      <c r="D897" s="22">
        <v>4510230</v>
      </c>
      <c r="E897" s="21" t="s">
        <v>466</v>
      </c>
      <c r="F897" s="22">
        <v>4511000517</v>
      </c>
      <c r="G897" s="21" t="s">
        <v>3099</v>
      </c>
      <c r="H897" s="21" t="s">
        <v>655</v>
      </c>
      <c r="I897" s="22">
        <v>426212</v>
      </c>
      <c r="J897" s="22">
        <v>200104</v>
      </c>
      <c r="K897" s="22" t="s">
        <v>2959</v>
      </c>
      <c r="L897" s="22">
        <v>70107</v>
      </c>
      <c r="M897" s="23" t="s">
        <v>2960</v>
      </c>
      <c r="N897" s="24">
        <v>0</v>
      </c>
      <c r="O897" s="24">
        <v>0</v>
      </c>
      <c r="P897" s="24">
        <v>0</v>
      </c>
      <c r="Q897" s="24">
        <v>0</v>
      </c>
      <c r="R897" s="24">
        <v>0</v>
      </c>
      <c r="S897" s="24">
        <v>0</v>
      </c>
      <c r="T897" s="24">
        <v>0</v>
      </c>
      <c r="U897" s="24">
        <v>0</v>
      </c>
      <c r="V897" s="24">
        <v>250000</v>
      </c>
      <c r="W897" s="24">
        <v>0</v>
      </c>
      <c r="X897" s="24">
        <v>0</v>
      </c>
      <c r="Y897" s="24">
        <v>0</v>
      </c>
      <c r="Z897" s="24">
        <f t="shared" si="41"/>
        <v>250000</v>
      </c>
      <c r="AB897" s="25">
        <v>250000</v>
      </c>
      <c r="AC897" s="26">
        <v>250000</v>
      </c>
      <c r="AD897" s="24">
        <v>0</v>
      </c>
      <c r="AE897" s="27">
        <f>_xlfn.XLOOKUP(B897,'Projects Cashflow'!$B:$B,'Projects Cashflow'!$AG:$AG,0)</f>
        <v>250000</v>
      </c>
      <c r="AF897" s="28">
        <f t="shared" si="42"/>
        <v>0</v>
      </c>
    </row>
    <row r="898" spans="2:32" x14ac:dyDescent="0.3">
      <c r="B898" s="14" t="str">
        <f t="shared" si="40"/>
        <v>45102304511000517Other Expenses-N1424991200104</v>
      </c>
      <c r="C898" s="21" t="s">
        <v>2984</v>
      </c>
      <c r="D898" s="22">
        <v>4510230</v>
      </c>
      <c r="E898" s="21" t="s">
        <v>466</v>
      </c>
      <c r="F898" s="22">
        <v>4511000517</v>
      </c>
      <c r="G898" s="21" t="s">
        <v>3099</v>
      </c>
      <c r="H898" s="21" t="s">
        <v>667</v>
      </c>
      <c r="I898" s="22">
        <v>424991</v>
      </c>
      <c r="J898" s="22">
        <v>200104</v>
      </c>
      <c r="K898" s="22" t="s">
        <v>2959</v>
      </c>
      <c r="L898" s="22">
        <v>70107</v>
      </c>
      <c r="M898" s="23" t="s">
        <v>2960</v>
      </c>
      <c r="N898" s="24">
        <v>0</v>
      </c>
      <c r="O898" s="24">
        <v>0</v>
      </c>
      <c r="P898" s="24">
        <v>0</v>
      </c>
      <c r="Q898" s="24">
        <v>18240</v>
      </c>
      <c r="R898" s="24">
        <v>4560</v>
      </c>
      <c r="S898" s="24">
        <v>4560</v>
      </c>
      <c r="T898" s="24">
        <v>4560</v>
      </c>
      <c r="U898" s="24">
        <v>4560</v>
      </c>
      <c r="V898" s="24">
        <v>4560</v>
      </c>
      <c r="W898" s="24">
        <v>4560</v>
      </c>
      <c r="X898" s="24">
        <v>4560</v>
      </c>
      <c r="Y898" s="24">
        <v>4595</v>
      </c>
      <c r="Z898" s="24">
        <f t="shared" si="41"/>
        <v>54755</v>
      </c>
      <c r="AB898" s="25">
        <v>54755</v>
      </c>
      <c r="AC898" s="26">
        <v>54755</v>
      </c>
      <c r="AD898" s="24">
        <v>0</v>
      </c>
      <c r="AE898" s="27">
        <f>_xlfn.XLOOKUP(B898,'Projects Cashflow'!$B:$B,'Projects Cashflow'!$AG:$AG,0)</f>
        <v>54755</v>
      </c>
      <c r="AF898" s="28">
        <f t="shared" si="42"/>
        <v>0</v>
      </c>
    </row>
    <row r="899" spans="2:32" x14ac:dyDescent="0.3">
      <c r="B899" s="14" t="str">
        <f t="shared" si="40"/>
        <v>45102304511000502Security Service-N1424551200104</v>
      </c>
      <c r="C899" s="21" t="s">
        <v>2984</v>
      </c>
      <c r="D899" s="22">
        <v>4510230</v>
      </c>
      <c r="E899" s="21" t="s">
        <v>466</v>
      </c>
      <c r="F899" s="22">
        <v>4511000502</v>
      </c>
      <c r="G899" s="21" t="s">
        <v>3093</v>
      </c>
      <c r="H899" s="21" t="s">
        <v>627</v>
      </c>
      <c r="I899" s="22">
        <v>424551</v>
      </c>
      <c r="J899" s="22">
        <v>200104</v>
      </c>
      <c r="K899" s="22" t="s">
        <v>2959</v>
      </c>
      <c r="L899" s="22">
        <v>70107</v>
      </c>
      <c r="M899" s="23" t="s">
        <v>2960</v>
      </c>
      <c r="N899" s="24">
        <v>0</v>
      </c>
      <c r="O899" s="24">
        <v>0</v>
      </c>
      <c r="P899" s="24">
        <v>0</v>
      </c>
      <c r="Q899" s="24">
        <v>34000</v>
      </c>
      <c r="R899" s="24">
        <v>8500</v>
      </c>
      <c r="S899" s="24">
        <v>8500</v>
      </c>
      <c r="T899" s="24">
        <v>8500</v>
      </c>
      <c r="U899" s="24">
        <v>8500</v>
      </c>
      <c r="V899" s="24">
        <v>8500</v>
      </c>
      <c r="W899" s="24">
        <v>8500</v>
      </c>
      <c r="X899" s="24">
        <v>8500</v>
      </c>
      <c r="Y899" s="24">
        <v>8500</v>
      </c>
      <c r="Z899" s="24">
        <f t="shared" si="41"/>
        <v>102000</v>
      </c>
      <c r="AB899" s="25">
        <v>102000</v>
      </c>
      <c r="AC899" s="26">
        <v>102000</v>
      </c>
      <c r="AD899" s="24">
        <v>0</v>
      </c>
      <c r="AE899" s="27">
        <f>_xlfn.XLOOKUP(B899,'Projects Cashflow'!$B:$B,'Projects Cashflow'!$AG:$AG,0)</f>
        <v>102000</v>
      </c>
      <c r="AF899" s="28">
        <f t="shared" si="42"/>
        <v>0</v>
      </c>
    </row>
    <row r="900" spans="2:32" x14ac:dyDescent="0.3">
      <c r="B900" s="14" t="str">
        <f t="shared" si="40"/>
        <v>45102304511000519Maintenance-N1426212200104</v>
      </c>
      <c r="C900" s="21" t="s">
        <v>2984</v>
      </c>
      <c r="D900" s="22">
        <v>4510230</v>
      </c>
      <c r="E900" s="21" t="s">
        <v>466</v>
      </c>
      <c r="F900" s="22">
        <v>4511000519</v>
      </c>
      <c r="G900" s="21" t="s">
        <v>3100</v>
      </c>
      <c r="H900" s="21" t="s">
        <v>625</v>
      </c>
      <c r="I900" s="22">
        <v>426212</v>
      </c>
      <c r="J900" s="22">
        <v>200104</v>
      </c>
      <c r="K900" s="22" t="s">
        <v>2959</v>
      </c>
      <c r="L900" s="22">
        <v>70107</v>
      </c>
      <c r="M900" s="23" t="s">
        <v>2960</v>
      </c>
      <c r="N900" s="24">
        <v>0</v>
      </c>
      <c r="O900" s="24">
        <v>0</v>
      </c>
      <c r="P900" s="24">
        <v>0</v>
      </c>
      <c r="Q900" s="24">
        <v>9334</v>
      </c>
      <c r="R900" s="24">
        <v>4667</v>
      </c>
      <c r="S900" s="24">
        <v>4667</v>
      </c>
      <c r="T900" s="24">
        <v>0</v>
      </c>
      <c r="U900" s="24">
        <v>0</v>
      </c>
      <c r="V900" s="24">
        <v>0</v>
      </c>
      <c r="W900" s="24">
        <v>0</v>
      </c>
      <c r="X900" s="24">
        <v>0</v>
      </c>
      <c r="Y900" s="24">
        <v>0</v>
      </c>
      <c r="Z900" s="24">
        <f t="shared" si="41"/>
        <v>18668</v>
      </c>
      <c r="AB900" s="25">
        <v>18668</v>
      </c>
      <c r="AC900" s="26">
        <v>18668</v>
      </c>
      <c r="AD900" s="24">
        <v>0</v>
      </c>
      <c r="AE900" s="27">
        <f>_xlfn.XLOOKUP(B900,'Projects Cashflow'!$B:$B,'Projects Cashflow'!$AG:$AG,0)</f>
        <v>18668</v>
      </c>
      <c r="AF900" s="28">
        <f t="shared" si="42"/>
        <v>0</v>
      </c>
    </row>
    <row r="901" spans="2:32" x14ac:dyDescent="0.3">
      <c r="B901" s="14" t="str">
        <f t="shared" ref="B901:B964" si="43">D901&amp;F901&amp;H901&amp;I901&amp;J901</f>
        <v>45102304511000519Cleaning Service-N2422311200104</v>
      </c>
      <c r="C901" s="21" t="s">
        <v>2984</v>
      </c>
      <c r="D901" s="22">
        <v>4510230</v>
      </c>
      <c r="E901" s="21" t="s">
        <v>466</v>
      </c>
      <c r="F901" s="22">
        <v>4511000519</v>
      </c>
      <c r="G901" s="21" t="s">
        <v>3100</v>
      </c>
      <c r="H901" s="21" t="s">
        <v>635</v>
      </c>
      <c r="I901" s="22">
        <v>422311</v>
      </c>
      <c r="J901" s="22">
        <v>200104</v>
      </c>
      <c r="K901" s="22" t="s">
        <v>2959</v>
      </c>
      <c r="L901" s="22">
        <v>70107</v>
      </c>
      <c r="M901" s="23" t="s">
        <v>2960</v>
      </c>
      <c r="N901" s="24">
        <v>0</v>
      </c>
      <c r="O901" s="24">
        <v>0</v>
      </c>
      <c r="P901" s="24">
        <v>0</v>
      </c>
      <c r="Q901" s="24">
        <v>8300</v>
      </c>
      <c r="R901" s="24">
        <v>4150</v>
      </c>
      <c r="S901" s="24">
        <v>4150</v>
      </c>
      <c r="T901" s="24">
        <v>0</v>
      </c>
      <c r="U901" s="24">
        <v>0</v>
      </c>
      <c r="V901" s="24">
        <v>0</v>
      </c>
      <c r="W901" s="24">
        <v>0</v>
      </c>
      <c r="X901" s="24">
        <v>0</v>
      </c>
      <c r="Y901" s="24">
        <v>0</v>
      </c>
      <c r="Z901" s="24">
        <f t="shared" ref="Z901:Z964" si="44">SUM(N901:Y901)</f>
        <v>16600</v>
      </c>
      <c r="AB901" s="25">
        <v>16600</v>
      </c>
      <c r="AC901" s="26">
        <v>16600</v>
      </c>
      <c r="AD901" s="24">
        <v>0</v>
      </c>
      <c r="AE901" s="27">
        <f>_xlfn.XLOOKUP(B901,'Projects Cashflow'!$B:$B,'Projects Cashflow'!$AG:$AG,0)</f>
        <v>16600</v>
      </c>
      <c r="AF901" s="28">
        <f t="shared" ref="AF901:AF964" si="45">AE901-AB901</f>
        <v>0</v>
      </c>
    </row>
    <row r="902" spans="2:32" x14ac:dyDescent="0.3">
      <c r="B902" s="14" t="str">
        <f t="shared" si="43"/>
        <v>45102304511000519Ad-hoc Repairs-N1426427200104</v>
      </c>
      <c r="C902" s="21" t="s">
        <v>2984</v>
      </c>
      <c r="D902" s="22">
        <v>4510230</v>
      </c>
      <c r="E902" s="21" t="s">
        <v>466</v>
      </c>
      <c r="F902" s="22">
        <v>4511000519</v>
      </c>
      <c r="G902" s="21" t="s">
        <v>3100</v>
      </c>
      <c r="H902" s="21" t="s">
        <v>621</v>
      </c>
      <c r="I902" s="22">
        <v>426427</v>
      </c>
      <c r="J902" s="22">
        <v>200104</v>
      </c>
      <c r="K902" s="22" t="s">
        <v>2959</v>
      </c>
      <c r="L902" s="22">
        <v>70107</v>
      </c>
      <c r="M902" s="23" t="s">
        <v>2960</v>
      </c>
      <c r="N902" s="24">
        <v>0</v>
      </c>
      <c r="O902" s="24">
        <v>0</v>
      </c>
      <c r="P902" s="24">
        <v>0</v>
      </c>
      <c r="Q902" s="24">
        <v>0</v>
      </c>
      <c r="R902" s="24">
        <v>8589</v>
      </c>
      <c r="S902" s="24">
        <v>0</v>
      </c>
      <c r="T902" s="24">
        <v>0</v>
      </c>
      <c r="U902" s="24">
        <v>0</v>
      </c>
      <c r="V902" s="24">
        <v>0</v>
      </c>
      <c r="W902" s="24">
        <v>0</v>
      </c>
      <c r="X902" s="24">
        <v>0</v>
      </c>
      <c r="Y902" s="24">
        <v>0</v>
      </c>
      <c r="Z902" s="24">
        <f t="shared" si="44"/>
        <v>8589</v>
      </c>
      <c r="AB902" s="25">
        <v>8589</v>
      </c>
      <c r="AC902" s="26">
        <v>8589</v>
      </c>
      <c r="AD902" s="24">
        <v>0</v>
      </c>
      <c r="AE902" s="27">
        <f>_xlfn.XLOOKUP(B902,'Projects Cashflow'!$B:$B,'Projects Cashflow'!$AG:$AG,0)</f>
        <v>8589</v>
      </c>
      <c r="AF902" s="28">
        <f t="shared" si="45"/>
        <v>0</v>
      </c>
    </row>
    <row r="903" spans="2:32" x14ac:dyDescent="0.3">
      <c r="B903" s="14" t="str">
        <f t="shared" si="43"/>
        <v>45102304511000521Hospitality-N1424761200104</v>
      </c>
      <c r="C903" s="21" t="s">
        <v>2984</v>
      </c>
      <c r="D903" s="22">
        <v>4510230</v>
      </c>
      <c r="E903" s="21" t="s">
        <v>466</v>
      </c>
      <c r="F903" s="22">
        <v>4511000521</v>
      </c>
      <c r="G903" s="21" t="s">
        <v>3101</v>
      </c>
      <c r="H903" s="21" t="s">
        <v>399</v>
      </c>
      <c r="I903" s="22">
        <v>424761</v>
      </c>
      <c r="J903" s="22">
        <v>200104</v>
      </c>
      <c r="K903" s="22" t="s">
        <v>2959</v>
      </c>
      <c r="L903" s="22">
        <v>70107</v>
      </c>
      <c r="M903" s="23" t="s">
        <v>2960</v>
      </c>
      <c r="N903" s="24">
        <v>0</v>
      </c>
      <c r="O903" s="24">
        <v>0</v>
      </c>
      <c r="P903" s="24">
        <v>0</v>
      </c>
      <c r="Q903" s="24">
        <v>34000</v>
      </c>
      <c r="R903" s="24">
        <v>8500</v>
      </c>
      <c r="S903" s="24">
        <v>8500</v>
      </c>
      <c r="T903" s="24">
        <v>8500</v>
      </c>
      <c r="U903" s="24">
        <v>8500</v>
      </c>
      <c r="V903" s="24">
        <v>8500</v>
      </c>
      <c r="W903" s="24">
        <v>8500</v>
      </c>
      <c r="X903" s="24">
        <v>8500</v>
      </c>
      <c r="Y903" s="24">
        <v>8500</v>
      </c>
      <c r="Z903" s="24">
        <f t="shared" si="44"/>
        <v>102000</v>
      </c>
      <c r="AB903" s="25">
        <v>102000</v>
      </c>
      <c r="AC903" s="26">
        <v>102000</v>
      </c>
      <c r="AD903" s="24">
        <v>0</v>
      </c>
      <c r="AE903" s="27">
        <f>_xlfn.XLOOKUP(B903,'Projects Cashflow'!$B:$B,'Projects Cashflow'!$AG:$AG,0)</f>
        <v>102000</v>
      </c>
      <c r="AF903" s="28">
        <f t="shared" si="45"/>
        <v>0</v>
      </c>
    </row>
    <row r="904" spans="2:32" x14ac:dyDescent="0.3">
      <c r="B904" s="14" t="str">
        <f t="shared" si="43"/>
        <v>45102304511000522Security Service-N1424551200104</v>
      </c>
      <c r="C904" s="21" t="s">
        <v>2984</v>
      </c>
      <c r="D904" s="22">
        <v>4510230</v>
      </c>
      <c r="E904" s="21" t="s">
        <v>466</v>
      </c>
      <c r="F904" s="22">
        <v>4511000522</v>
      </c>
      <c r="G904" s="21" t="s">
        <v>3102</v>
      </c>
      <c r="H904" s="21" t="s">
        <v>627</v>
      </c>
      <c r="I904" s="22">
        <v>424551</v>
      </c>
      <c r="J904" s="22">
        <v>200104</v>
      </c>
      <c r="K904" s="22" t="s">
        <v>2959</v>
      </c>
      <c r="L904" s="22">
        <v>70107</v>
      </c>
      <c r="M904" s="23" t="s">
        <v>2960</v>
      </c>
      <c r="N904" s="24">
        <v>0</v>
      </c>
      <c r="O904" s="24">
        <v>0</v>
      </c>
      <c r="P904" s="24">
        <v>0</v>
      </c>
      <c r="Q904" s="24">
        <v>36048</v>
      </c>
      <c r="R904" s="24">
        <v>9012</v>
      </c>
      <c r="S904" s="24">
        <v>9012</v>
      </c>
      <c r="T904" s="24">
        <v>9012</v>
      </c>
      <c r="U904" s="24">
        <v>9012</v>
      </c>
      <c r="V904" s="24">
        <v>9012</v>
      </c>
      <c r="W904" s="24">
        <v>9012</v>
      </c>
      <c r="X904" s="24">
        <v>9012</v>
      </c>
      <c r="Y904" s="24">
        <v>9012</v>
      </c>
      <c r="Z904" s="24">
        <f t="shared" si="44"/>
        <v>108144</v>
      </c>
      <c r="AB904" s="25">
        <v>108144</v>
      </c>
      <c r="AC904" s="26">
        <v>108144</v>
      </c>
      <c r="AD904" s="24">
        <v>0</v>
      </c>
      <c r="AE904" s="27">
        <f>_xlfn.XLOOKUP(B904,'Projects Cashflow'!$B:$B,'Projects Cashflow'!$AG:$AG,0)</f>
        <v>108144</v>
      </c>
      <c r="AF904" s="28">
        <f t="shared" si="45"/>
        <v>0</v>
      </c>
    </row>
    <row r="905" spans="2:32" x14ac:dyDescent="0.3">
      <c r="B905" s="14" t="str">
        <f t="shared" si="43"/>
        <v>45102304511000522Cleaning Service-N1422311200104</v>
      </c>
      <c r="C905" s="21" t="s">
        <v>2984</v>
      </c>
      <c r="D905" s="22">
        <v>4510230</v>
      </c>
      <c r="E905" s="21" t="s">
        <v>466</v>
      </c>
      <c r="F905" s="22">
        <v>4511000522</v>
      </c>
      <c r="G905" s="21" t="s">
        <v>3102</v>
      </c>
      <c r="H905" s="21" t="s">
        <v>623</v>
      </c>
      <c r="I905" s="22">
        <v>422311</v>
      </c>
      <c r="J905" s="22">
        <v>200104</v>
      </c>
      <c r="K905" s="22" t="s">
        <v>2959</v>
      </c>
      <c r="L905" s="22">
        <v>70107</v>
      </c>
      <c r="M905" s="23" t="s">
        <v>2960</v>
      </c>
      <c r="N905" s="24">
        <v>0</v>
      </c>
      <c r="O905" s="24">
        <v>0</v>
      </c>
      <c r="P905" s="24">
        <v>0</v>
      </c>
      <c r="Q905" s="24">
        <v>24400</v>
      </c>
      <c r="R905" s="24">
        <v>6100</v>
      </c>
      <c r="S905" s="24">
        <v>6100</v>
      </c>
      <c r="T905" s="24">
        <v>6100</v>
      </c>
      <c r="U905" s="24">
        <v>6100</v>
      </c>
      <c r="V905" s="24">
        <v>6100</v>
      </c>
      <c r="W905" s="24">
        <v>6100</v>
      </c>
      <c r="X905" s="24">
        <v>6100</v>
      </c>
      <c r="Y905" s="24">
        <v>6100</v>
      </c>
      <c r="Z905" s="24">
        <f t="shared" si="44"/>
        <v>73200</v>
      </c>
      <c r="AB905" s="25">
        <v>73200</v>
      </c>
      <c r="AC905" s="26">
        <v>73200</v>
      </c>
      <c r="AD905" s="24">
        <v>0</v>
      </c>
      <c r="AE905" s="27">
        <f>_xlfn.XLOOKUP(B905,'Projects Cashflow'!$B:$B,'Projects Cashflow'!$AG:$AG,0)</f>
        <v>73200</v>
      </c>
      <c r="AF905" s="28">
        <f t="shared" si="45"/>
        <v>0</v>
      </c>
    </row>
    <row r="906" spans="2:32" x14ac:dyDescent="0.3">
      <c r="B906" s="14" t="str">
        <f t="shared" si="43"/>
        <v>45102304511000522Maintenance-N1426212200104</v>
      </c>
      <c r="C906" s="21" t="s">
        <v>2984</v>
      </c>
      <c r="D906" s="22">
        <v>4510230</v>
      </c>
      <c r="E906" s="21" t="s">
        <v>466</v>
      </c>
      <c r="F906" s="22">
        <v>4511000522</v>
      </c>
      <c r="G906" s="21" t="s">
        <v>3102</v>
      </c>
      <c r="H906" s="21" t="s">
        <v>625</v>
      </c>
      <c r="I906" s="22">
        <v>426212</v>
      </c>
      <c r="J906" s="22">
        <v>200104</v>
      </c>
      <c r="K906" s="22" t="s">
        <v>2959</v>
      </c>
      <c r="L906" s="22">
        <v>70107</v>
      </c>
      <c r="M906" s="23" t="s">
        <v>2960</v>
      </c>
      <c r="N906" s="24">
        <v>0</v>
      </c>
      <c r="O906" s="24">
        <v>0</v>
      </c>
      <c r="P906" s="24">
        <v>0</v>
      </c>
      <c r="Q906" s="24">
        <v>21200</v>
      </c>
      <c r="R906" s="24">
        <v>5300</v>
      </c>
      <c r="S906" s="24">
        <v>5300</v>
      </c>
      <c r="T906" s="24">
        <v>5300</v>
      </c>
      <c r="U906" s="24">
        <v>5300</v>
      </c>
      <c r="V906" s="24">
        <v>5300</v>
      </c>
      <c r="W906" s="24">
        <v>5300</v>
      </c>
      <c r="X906" s="24">
        <v>5300</v>
      </c>
      <c r="Y906" s="24">
        <v>5300</v>
      </c>
      <c r="Z906" s="24">
        <f t="shared" si="44"/>
        <v>63600</v>
      </c>
      <c r="AB906" s="25">
        <v>63600</v>
      </c>
      <c r="AC906" s="26">
        <v>63600</v>
      </c>
      <c r="AD906" s="24">
        <v>0</v>
      </c>
      <c r="AE906" s="27">
        <f>_xlfn.XLOOKUP(B906,'Projects Cashflow'!$B:$B,'Projects Cashflow'!$AG:$AG,0)</f>
        <v>63600</v>
      </c>
      <c r="AF906" s="28">
        <f t="shared" si="45"/>
        <v>0</v>
      </c>
    </row>
    <row r="907" spans="2:32" x14ac:dyDescent="0.3">
      <c r="B907" s="14" t="str">
        <f t="shared" si="43"/>
        <v>45102304511000522Hospitality-N1424761200104</v>
      </c>
      <c r="C907" s="21" t="s">
        <v>2984</v>
      </c>
      <c r="D907" s="22">
        <v>4510230</v>
      </c>
      <c r="E907" s="21" t="s">
        <v>466</v>
      </c>
      <c r="F907" s="22">
        <v>4511000522</v>
      </c>
      <c r="G907" s="21" t="s">
        <v>3102</v>
      </c>
      <c r="H907" s="21" t="s">
        <v>399</v>
      </c>
      <c r="I907" s="22">
        <v>424761</v>
      </c>
      <c r="J907" s="22">
        <v>200104</v>
      </c>
      <c r="K907" s="22" t="s">
        <v>2959</v>
      </c>
      <c r="L907" s="22">
        <v>70107</v>
      </c>
      <c r="M907" s="23" t="s">
        <v>2960</v>
      </c>
      <c r="N907" s="24">
        <v>0</v>
      </c>
      <c r="O907" s="24">
        <v>0</v>
      </c>
      <c r="P907" s="24">
        <v>0</v>
      </c>
      <c r="Q907" s="24">
        <v>15400</v>
      </c>
      <c r="R907" s="24">
        <v>3850</v>
      </c>
      <c r="S907" s="24">
        <v>3850</v>
      </c>
      <c r="T907" s="24">
        <v>3850</v>
      </c>
      <c r="U907" s="24">
        <v>3850</v>
      </c>
      <c r="V907" s="24">
        <v>3850</v>
      </c>
      <c r="W907" s="24">
        <v>3850</v>
      </c>
      <c r="X907" s="24">
        <v>3850</v>
      </c>
      <c r="Y907" s="24">
        <v>3850</v>
      </c>
      <c r="Z907" s="24">
        <f t="shared" si="44"/>
        <v>46200</v>
      </c>
      <c r="AB907" s="25">
        <v>46200</v>
      </c>
      <c r="AC907" s="26">
        <v>46200</v>
      </c>
      <c r="AD907" s="24">
        <v>0</v>
      </c>
      <c r="AE907" s="27">
        <f>_xlfn.XLOOKUP(B907,'Projects Cashflow'!$B:$B,'Projects Cashflow'!$AG:$AG,0)</f>
        <v>46200</v>
      </c>
      <c r="AF907" s="28">
        <f t="shared" si="45"/>
        <v>0</v>
      </c>
    </row>
    <row r="908" spans="2:32" x14ac:dyDescent="0.3">
      <c r="B908" s="14" t="str">
        <f t="shared" si="43"/>
        <v>45102304511000522Ad-hoc Repairs-N1426427200104</v>
      </c>
      <c r="C908" s="21" t="s">
        <v>2984</v>
      </c>
      <c r="D908" s="22">
        <v>4510230</v>
      </c>
      <c r="E908" s="21" t="s">
        <v>466</v>
      </c>
      <c r="F908" s="22">
        <v>4511000522</v>
      </c>
      <c r="G908" s="21" t="s">
        <v>3102</v>
      </c>
      <c r="H908" s="21" t="s">
        <v>621</v>
      </c>
      <c r="I908" s="22">
        <v>426427</v>
      </c>
      <c r="J908" s="22">
        <v>200104</v>
      </c>
      <c r="K908" s="22" t="s">
        <v>2959</v>
      </c>
      <c r="L908" s="22">
        <v>70107</v>
      </c>
      <c r="M908" s="23" t="s">
        <v>2960</v>
      </c>
      <c r="N908" s="24">
        <v>0</v>
      </c>
      <c r="O908" s="24">
        <v>0</v>
      </c>
      <c r="P908" s="24">
        <v>0</v>
      </c>
      <c r="Q908" s="24">
        <v>2420</v>
      </c>
      <c r="R908" s="24">
        <v>630</v>
      </c>
      <c r="S908" s="24">
        <v>630</v>
      </c>
      <c r="T908" s="24">
        <v>630</v>
      </c>
      <c r="U908" s="24">
        <v>630</v>
      </c>
      <c r="V908" s="24">
        <v>630</v>
      </c>
      <c r="W908" s="24">
        <v>630</v>
      </c>
      <c r="X908" s="24">
        <v>630</v>
      </c>
      <c r="Y908" s="24">
        <v>630</v>
      </c>
      <c r="Z908" s="24">
        <f t="shared" si="44"/>
        <v>7460</v>
      </c>
      <c r="AB908" s="25">
        <v>7460</v>
      </c>
      <c r="AC908" s="26">
        <v>7460</v>
      </c>
      <c r="AD908" s="24">
        <v>0</v>
      </c>
      <c r="AE908" s="27">
        <f>_xlfn.XLOOKUP(B908,'Projects Cashflow'!$B:$B,'Projects Cashflow'!$AG:$AG,0)</f>
        <v>7460</v>
      </c>
      <c r="AF908" s="28">
        <f t="shared" si="45"/>
        <v>0</v>
      </c>
    </row>
    <row r="909" spans="2:32" x14ac:dyDescent="0.3">
      <c r="B909" s="14" t="str">
        <f t="shared" si="43"/>
        <v>45102304511000529Facilities Rent-N1425112200104</v>
      </c>
      <c r="C909" s="21" t="s">
        <v>2984</v>
      </c>
      <c r="D909" s="22">
        <v>4510230</v>
      </c>
      <c r="E909" s="21" t="s">
        <v>466</v>
      </c>
      <c r="F909" s="22">
        <v>4511000529</v>
      </c>
      <c r="G909" s="21" t="s">
        <v>3103</v>
      </c>
      <c r="H909" s="21" t="s">
        <v>631</v>
      </c>
      <c r="I909" s="22">
        <v>425112</v>
      </c>
      <c r="J909" s="22">
        <v>200104</v>
      </c>
      <c r="K909" s="22" t="s">
        <v>2959</v>
      </c>
      <c r="L909" s="22">
        <v>70107</v>
      </c>
      <c r="M909" s="23" t="s">
        <v>2960</v>
      </c>
      <c r="N909" s="24">
        <v>0</v>
      </c>
      <c r="O909" s="24">
        <v>0</v>
      </c>
      <c r="P909" s="24">
        <v>0</v>
      </c>
      <c r="Q909" s="24">
        <v>0</v>
      </c>
      <c r="R909" s="24">
        <v>0</v>
      </c>
      <c r="S909" s="24">
        <v>0</v>
      </c>
      <c r="T909" s="24">
        <v>0</v>
      </c>
      <c r="U909" s="24">
        <v>0</v>
      </c>
      <c r="V909" s="24">
        <v>0</v>
      </c>
      <c r="W909" s="24">
        <v>0</v>
      </c>
      <c r="X909" s="24">
        <v>790079.85</v>
      </c>
      <c r="Y909" s="24">
        <v>0</v>
      </c>
      <c r="Z909" s="24">
        <f t="shared" si="44"/>
        <v>790079.85</v>
      </c>
      <c r="AB909" s="25">
        <v>790079.85</v>
      </c>
      <c r="AC909" s="26">
        <v>790080</v>
      </c>
      <c r="AD909" s="24">
        <v>-0.15000000002328306</v>
      </c>
      <c r="AE909" s="27">
        <f>_xlfn.XLOOKUP(B909,'Projects Cashflow'!$B:$B,'Projects Cashflow'!$AG:$AG,0)</f>
        <v>790080</v>
      </c>
      <c r="AF909" s="28">
        <f t="shared" si="45"/>
        <v>0.15000000002328306</v>
      </c>
    </row>
    <row r="910" spans="2:32" x14ac:dyDescent="0.3">
      <c r="B910" s="14" t="str">
        <f t="shared" si="43"/>
        <v>45102304511000529Security Service-N1424551200104</v>
      </c>
      <c r="C910" s="21" t="s">
        <v>2984</v>
      </c>
      <c r="D910" s="22">
        <v>4510230</v>
      </c>
      <c r="E910" s="21" t="s">
        <v>466</v>
      </c>
      <c r="F910" s="22">
        <v>4511000529</v>
      </c>
      <c r="G910" s="21" t="s">
        <v>3103</v>
      </c>
      <c r="H910" s="21" t="s">
        <v>627</v>
      </c>
      <c r="I910" s="22">
        <v>424551</v>
      </c>
      <c r="J910" s="22">
        <v>200104</v>
      </c>
      <c r="K910" s="22" t="s">
        <v>2959</v>
      </c>
      <c r="L910" s="22">
        <v>70107</v>
      </c>
      <c r="M910" s="23" t="s">
        <v>2960</v>
      </c>
      <c r="N910" s="24">
        <v>0</v>
      </c>
      <c r="O910" s="24">
        <v>0</v>
      </c>
      <c r="P910" s="24">
        <v>0</v>
      </c>
      <c r="Q910" s="24">
        <v>36048</v>
      </c>
      <c r="R910" s="24">
        <v>9012</v>
      </c>
      <c r="S910" s="24">
        <v>9012</v>
      </c>
      <c r="T910" s="24">
        <v>9012</v>
      </c>
      <c r="U910" s="24">
        <v>9012</v>
      </c>
      <c r="V910" s="24">
        <v>9012</v>
      </c>
      <c r="W910" s="24">
        <v>9012</v>
      </c>
      <c r="X910" s="24">
        <v>9012</v>
      </c>
      <c r="Y910" s="24">
        <v>9012</v>
      </c>
      <c r="Z910" s="24">
        <f t="shared" si="44"/>
        <v>108144</v>
      </c>
      <c r="AB910" s="25">
        <v>108144</v>
      </c>
      <c r="AC910" s="26">
        <v>108144</v>
      </c>
      <c r="AD910" s="24">
        <v>0</v>
      </c>
      <c r="AE910" s="27">
        <f>_xlfn.XLOOKUP(B910,'Projects Cashflow'!$B:$B,'Projects Cashflow'!$AG:$AG,0)</f>
        <v>108144</v>
      </c>
      <c r="AF910" s="28">
        <f t="shared" si="45"/>
        <v>0</v>
      </c>
    </row>
    <row r="911" spans="2:32" x14ac:dyDescent="0.3">
      <c r="B911" s="14" t="str">
        <f t="shared" si="43"/>
        <v>45102304511000529Cleaning Service-N1422311200104</v>
      </c>
      <c r="C911" s="21" t="s">
        <v>2984</v>
      </c>
      <c r="D911" s="22">
        <v>4510230</v>
      </c>
      <c r="E911" s="21" t="s">
        <v>466</v>
      </c>
      <c r="F911" s="22">
        <v>4511000529</v>
      </c>
      <c r="G911" s="21" t="s">
        <v>3103</v>
      </c>
      <c r="H911" s="21" t="s">
        <v>623</v>
      </c>
      <c r="I911" s="22">
        <v>422311</v>
      </c>
      <c r="J911" s="22">
        <v>200104</v>
      </c>
      <c r="K911" s="22" t="s">
        <v>2959</v>
      </c>
      <c r="L911" s="22">
        <v>70107</v>
      </c>
      <c r="M911" s="23" t="s">
        <v>2960</v>
      </c>
      <c r="N911" s="24">
        <v>0</v>
      </c>
      <c r="O911" s="24">
        <v>0</v>
      </c>
      <c r="P911" s="24">
        <v>0</v>
      </c>
      <c r="Q911" s="24">
        <v>30833</v>
      </c>
      <c r="R911" s="24">
        <v>7708</v>
      </c>
      <c r="S911" s="24">
        <v>7708</v>
      </c>
      <c r="T911" s="24">
        <v>7708</v>
      </c>
      <c r="U911" s="24">
        <v>7708</v>
      </c>
      <c r="V911" s="24">
        <v>7708</v>
      </c>
      <c r="W911" s="24">
        <v>7708</v>
      </c>
      <c r="X911" s="24">
        <v>7708</v>
      </c>
      <c r="Y911" s="24">
        <v>7711</v>
      </c>
      <c r="Z911" s="24">
        <f t="shared" si="44"/>
        <v>92500</v>
      </c>
      <c r="AB911" s="25">
        <v>92500</v>
      </c>
      <c r="AC911" s="26">
        <v>92500</v>
      </c>
      <c r="AD911" s="24">
        <v>0</v>
      </c>
      <c r="AE911" s="27">
        <f>_xlfn.XLOOKUP(B911,'Projects Cashflow'!$B:$B,'Projects Cashflow'!$AG:$AG,0)</f>
        <v>92500</v>
      </c>
      <c r="AF911" s="28">
        <f t="shared" si="45"/>
        <v>0</v>
      </c>
    </row>
    <row r="912" spans="2:32" x14ac:dyDescent="0.3">
      <c r="B912" s="14" t="str">
        <f t="shared" si="43"/>
        <v>45102304511000529Maintenance-N1426212200104</v>
      </c>
      <c r="C912" s="21" t="s">
        <v>2984</v>
      </c>
      <c r="D912" s="22">
        <v>4510230</v>
      </c>
      <c r="E912" s="21" t="s">
        <v>466</v>
      </c>
      <c r="F912" s="22">
        <v>4511000529</v>
      </c>
      <c r="G912" s="21" t="s">
        <v>3103</v>
      </c>
      <c r="H912" s="21" t="s">
        <v>625</v>
      </c>
      <c r="I912" s="22">
        <v>426212</v>
      </c>
      <c r="J912" s="22">
        <v>200104</v>
      </c>
      <c r="K912" s="22" t="s">
        <v>2959</v>
      </c>
      <c r="L912" s="22">
        <v>70107</v>
      </c>
      <c r="M912" s="23" t="s">
        <v>2960</v>
      </c>
      <c r="N912" s="24">
        <v>0</v>
      </c>
      <c r="O912" s="24">
        <v>0</v>
      </c>
      <c r="P912" s="24">
        <v>0</v>
      </c>
      <c r="Q912" s="24">
        <v>22400</v>
      </c>
      <c r="R912" s="24">
        <v>5600</v>
      </c>
      <c r="S912" s="24">
        <v>5600</v>
      </c>
      <c r="T912" s="24">
        <v>5600</v>
      </c>
      <c r="U912" s="24">
        <v>5600</v>
      </c>
      <c r="V912" s="24">
        <v>5600</v>
      </c>
      <c r="W912" s="24">
        <v>5600</v>
      </c>
      <c r="X912" s="24">
        <v>5600</v>
      </c>
      <c r="Y912" s="24">
        <v>5600</v>
      </c>
      <c r="Z912" s="24">
        <f t="shared" si="44"/>
        <v>67200</v>
      </c>
      <c r="AB912" s="25">
        <v>67200</v>
      </c>
      <c r="AC912" s="26">
        <v>67200</v>
      </c>
      <c r="AD912" s="24">
        <v>0</v>
      </c>
      <c r="AE912" s="27">
        <f>_xlfn.XLOOKUP(B912,'Projects Cashflow'!$B:$B,'Projects Cashflow'!$AG:$AG,0)</f>
        <v>67200</v>
      </c>
      <c r="AF912" s="28">
        <f t="shared" si="45"/>
        <v>0</v>
      </c>
    </row>
    <row r="913" spans="2:32" x14ac:dyDescent="0.3">
      <c r="B913" s="14" t="str">
        <f t="shared" si="43"/>
        <v>45102304511000529Ad-hoc Repairs-N1426427200104</v>
      </c>
      <c r="C913" s="21" t="s">
        <v>2984</v>
      </c>
      <c r="D913" s="22">
        <v>4510230</v>
      </c>
      <c r="E913" s="21" t="s">
        <v>466</v>
      </c>
      <c r="F913" s="22">
        <v>4511000529</v>
      </c>
      <c r="G913" s="21" t="s">
        <v>3103</v>
      </c>
      <c r="H913" s="21" t="s">
        <v>621</v>
      </c>
      <c r="I913" s="22">
        <v>426427</v>
      </c>
      <c r="J913" s="22">
        <v>200104</v>
      </c>
      <c r="K913" s="22" t="s">
        <v>2959</v>
      </c>
      <c r="L913" s="22">
        <v>70107</v>
      </c>
      <c r="M913" s="23" t="s">
        <v>2960</v>
      </c>
      <c r="N913" s="24">
        <v>0</v>
      </c>
      <c r="O913" s="24">
        <v>0</v>
      </c>
      <c r="P913" s="24">
        <v>0</v>
      </c>
      <c r="Q913" s="24">
        <v>3080</v>
      </c>
      <c r="R913" s="24">
        <v>770</v>
      </c>
      <c r="S913" s="24">
        <v>770</v>
      </c>
      <c r="T913" s="24">
        <v>770</v>
      </c>
      <c r="U913" s="24">
        <v>770</v>
      </c>
      <c r="V913" s="24">
        <v>770</v>
      </c>
      <c r="W913" s="24">
        <v>770</v>
      </c>
      <c r="X913" s="24">
        <v>770</v>
      </c>
      <c r="Y913" s="24">
        <v>770</v>
      </c>
      <c r="Z913" s="24">
        <f t="shared" si="44"/>
        <v>9240</v>
      </c>
      <c r="AB913" s="25">
        <v>9240</v>
      </c>
      <c r="AC913" s="26">
        <v>9240</v>
      </c>
      <c r="AD913" s="24">
        <v>0</v>
      </c>
      <c r="AE913" s="27">
        <f>_xlfn.XLOOKUP(B913,'Projects Cashflow'!$B:$B,'Projects Cashflow'!$AG:$AG,0)</f>
        <v>9240</v>
      </c>
      <c r="AF913" s="28">
        <f t="shared" si="45"/>
        <v>0</v>
      </c>
    </row>
    <row r="914" spans="2:32" x14ac:dyDescent="0.3">
      <c r="B914" s="14" t="str">
        <f t="shared" si="43"/>
        <v>45102304511000530Interior Fit Out-NC2491711300105</v>
      </c>
      <c r="C914" s="21" t="s">
        <v>2984</v>
      </c>
      <c r="D914" s="22">
        <v>4510230</v>
      </c>
      <c r="E914" s="21" t="s">
        <v>466</v>
      </c>
      <c r="F914" s="22">
        <v>4511000530</v>
      </c>
      <c r="G914" s="21" t="s">
        <v>3104</v>
      </c>
      <c r="H914" s="21" t="s">
        <v>650</v>
      </c>
      <c r="I914" s="22">
        <v>491711</v>
      </c>
      <c r="J914" s="22">
        <v>300105</v>
      </c>
      <c r="K914" s="22" t="s">
        <v>2972</v>
      </c>
      <c r="L914" s="22">
        <v>70107</v>
      </c>
      <c r="M914" s="23" t="s">
        <v>2960</v>
      </c>
      <c r="N914" s="24">
        <v>0</v>
      </c>
      <c r="O914" s="24">
        <v>0</v>
      </c>
      <c r="P914" s="24">
        <v>0</v>
      </c>
      <c r="Q914" s="24">
        <v>153402</v>
      </c>
      <c r="R914" s="24">
        <v>0</v>
      </c>
      <c r="S914" s="24">
        <v>633500</v>
      </c>
      <c r="T914" s="24">
        <v>69098</v>
      </c>
      <c r="U914" s="24">
        <v>0</v>
      </c>
      <c r="V914" s="24">
        <v>0</v>
      </c>
      <c r="W914" s="24">
        <v>0</v>
      </c>
      <c r="X914" s="24">
        <v>0</v>
      </c>
      <c r="Y914" s="24">
        <v>0</v>
      </c>
      <c r="Z914" s="24">
        <f t="shared" si="44"/>
        <v>856000</v>
      </c>
      <c r="AB914" s="25">
        <v>856000</v>
      </c>
      <c r="AC914" s="26">
        <v>856000</v>
      </c>
      <c r="AD914" s="24">
        <v>0</v>
      </c>
      <c r="AE914" s="27">
        <f>_xlfn.XLOOKUP(B914,'Projects Cashflow'!$B:$B,'Projects Cashflow'!$AG:$AG,0)</f>
        <v>856000</v>
      </c>
      <c r="AF914" s="28">
        <f t="shared" si="45"/>
        <v>0</v>
      </c>
    </row>
    <row r="915" spans="2:32" x14ac:dyDescent="0.3">
      <c r="B915" s="14" t="str">
        <f t="shared" si="43"/>
        <v>45102304511000530Security Service-N1424551200104</v>
      </c>
      <c r="C915" s="21" t="s">
        <v>2984</v>
      </c>
      <c r="D915" s="22">
        <v>4510230</v>
      </c>
      <c r="E915" s="21" t="s">
        <v>466</v>
      </c>
      <c r="F915" s="22">
        <v>4511000530</v>
      </c>
      <c r="G915" s="21" t="s">
        <v>3104</v>
      </c>
      <c r="H915" s="21" t="s">
        <v>627</v>
      </c>
      <c r="I915" s="22">
        <v>424551</v>
      </c>
      <c r="J915" s="22">
        <v>200104</v>
      </c>
      <c r="K915" s="22" t="s">
        <v>2959</v>
      </c>
      <c r="L915" s="22">
        <v>70107</v>
      </c>
      <c r="M915" s="23" t="s">
        <v>2960</v>
      </c>
      <c r="N915" s="24">
        <v>0</v>
      </c>
      <c r="O915" s="24">
        <v>0</v>
      </c>
      <c r="P915" s="24">
        <v>0</v>
      </c>
      <c r="Q915" s="24">
        <v>128848</v>
      </c>
      <c r="R915" s="24">
        <v>32212</v>
      </c>
      <c r="S915" s="24">
        <v>32212</v>
      </c>
      <c r="T915" s="24">
        <v>32212</v>
      </c>
      <c r="U915" s="24">
        <v>32212</v>
      </c>
      <c r="V915" s="24">
        <v>32212</v>
      </c>
      <c r="W915" s="24">
        <v>32212</v>
      </c>
      <c r="X915" s="24">
        <v>32212</v>
      </c>
      <c r="Y915" s="24">
        <v>32212</v>
      </c>
      <c r="Z915" s="24">
        <f t="shared" si="44"/>
        <v>386544</v>
      </c>
      <c r="AB915" s="25">
        <v>386544</v>
      </c>
      <c r="AC915" s="26">
        <v>386544</v>
      </c>
      <c r="AD915" s="24">
        <v>0</v>
      </c>
      <c r="AE915" s="27">
        <f>_xlfn.XLOOKUP(B915,'Projects Cashflow'!$B:$B,'Projects Cashflow'!$AG:$AG,0)</f>
        <v>386544</v>
      </c>
      <c r="AF915" s="28">
        <f t="shared" si="45"/>
        <v>0</v>
      </c>
    </row>
    <row r="916" spans="2:32" x14ac:dyDescent="0.3">
      <c r="B916" s="14" t="str">
        <f t="shared" si="43"/>
        <v>45102304511000530Cleaning Service-N2422311200104</v>
      </c>
      <c r="C916" s="21" t="s">
        <v>2984</v>
      </c>
      <c r="D916" s="22">
        <v>4510230</v>
      </c>
      <c r="E916" s="21" t="s">
        <v>466</v>
      </c>
      <c r="F916" s="22">
        <v>4511000530</v>
      </c>
      <c r="G916" s="21" t="s">
        <v>3104</v>
      </c>
      <c r="H916" s="21" t="s">
        <v>635</v>
      </c>
      <c r="I916" s="22">
        <v>422311</v>
      </c>
      <c r="J916" s="22">
        <v>200104</v>
      </c>
      <c r="K916" s="22" t="s">
        <v>2959</v>
      </c>
      <c r="L916" s="22">
        <v>70107</v>
      </c>
      <c r="M916" s="23" t="s">
        <v>2960</v>
      </c>
      <c r="N916" s="24">
        <v>0</v>
      </c>
      <c r="O916" s="24">
        <v>0</v>
      </c>
      <c r="P916" s="24">
        <v>0</v>
      </c>
      <c r="Q916" s="24">
        <v>120000</v>
      </c>
      <c r="R916" s="24">
        <v>30000</v>
      </c>
      <c r="S916" s="24">
        <v>30000</v>
      </c>
      <c r="T916" s="24">
        <v>30000</v>
      </c>
      <c r="U916" s="24">
        <v>30000</v>
      </c>
      <c r="V916" s="24">
        <v>30000</v>
      </c>
      <c r="W916" s="24">
        <v>30000</v>
      </c>
      <c r="X916" s="24">
        <v>30000</v>
      </c>
      <c r="Y916" s="24">
        <v>30000</v>
      </c>
      <c r="Z916" s="24">
        <f t="shared" si="44"/>
        <v>360000</v>
      </c>
      <c r="AB916" s="25">
        <v>360000</v>
      </c>
      <c r="AC916" s="26">
        <v>360000</v>
      </c>
      <c r="AD916" s="24">
        <v>0</v>
      </c>
      <c r="AE916" s="27">
        <f>_xlfn.XLOOKUP(B916,'Projects Cashflow'!$B:$B,'Projects Cashflow'!$AG:$AG,0)</f>
        <v>360000</v>
      </c>
      <c r="AF916" s="28">
        <f t="shared" si="45"/>
        <v>0</v>
      </c>
    </row>
    <row r="917" spans="2:32" x14ac:dyDescent="0.3">
      <c r="B917" s="14" t="str">
        <f t="shared" si="43"/>
        <v>45102304511000530Maintenance-N1426212200104</v>
      </c>
      <c r="C917" s="21" t="s">
        <v>2984</v>
      </c>
      <c r="D917" s="22">
        <v>4510230</v>
      </c>
      <c r="E917" s="21" t="s">
        <v>466</v>
      </c>
      <c r="F917" s="22">
        <v>4511000530</v>
      </c>
      <c r="G917" s="21" t="s">
        <v>3104</v>
      </c>
      <c r="H917" s="21" t="s">
        <v>625</v>
      </c>
      <c r="I917" s="22">
        <v>426212</v>
      </c>
      <c r="J917" s="22">
        <v>200104</v>
      </c>
      <c r="K917" s="22" t="s">
        <v>2959</v>
      </c>
      <c r="L917" s="22">
        <v>70107</v>
      </c>
      <c r="M917" s="23" t="s">
        <v>2960</v>
      </c>
      <c r="N917" s="24">
        <v>0</v>
      </c>
      <c r="O917" s="24">
        <v>0</v>
      </c>
      <c r="P917" s="24">
        <v>0</v>
      </c>
      <c r="Q917" s="24">
        <v>100000</v>
      </c>
      <c r="R917" s="24">
        <v>25000</v>
      </c>
      <c r="S917" s="24">
        <v>25000</v>
      </c>
      <c r="T917" s="24">
        <v>25000</v>
      </c>
      <c r="U917" s="24">
        <v>25000</v>
      </c>
      <c r="V917" s="24">
        <v>25000</v>
      </c>
      <c r="W917" s="24">
        <v>25000</v>
      </c>
      <c r="X917" s="24">
        <v>25000</v>
      </c>
      <c r="Y917" s="24">
        <v>25000</v>
      </c>
      <c r="Z917" s="24">
        <f t="shared" si="44"/>
        <v>300000</v>
      </c>
      <c r="AB917" s="25">
        <v>300000</v>
      </c>
      <c r="AC917" s="26">
        <v>300000</v>
      </c>
      <c r="AD917" s="24">
        <v>0</v>
      </c>
      <c r="AE917" s="27">
        <f>_xlfn.XLOOKUP(B917,'Projects Cashflow'!$B:$B,'Projects Cashflow'!$AG:$AG,0)</f>
        <v>300000</v>
      </c>
      <c r="AF917" s="28">
        <f t="shared" si="45"/>
        <v>0</v>
      </c>
    </row>
    <row r="918" spans="2:32" x14ac:dyDescent="0.3">
      <c r="B918" s="14" t="str">
        <f t="shared" si="43"/>
        <v>45102304511000530Hospitality-N1424761200104</v>
      </c>
      <c r="C918" s="21" t="s">
        <v>2984</v>
      </c>
      <c r="D918" s="22">
        <v>4510230</v>
      </c>
      <c r="E918" s="21" t="s">
        <v>466</v>
      </c>
      <c r="F918" s="22">
        <v>4511000530</v>
      </c>
      <c r="G918" s="21" t="s">
        <v>3104</v>
      </c>
      <c r="H918" s="21" t="s">
        <v>399</v>
      </c>
      <c r="I918" s="22">
        <v>424761</v>
      </c>
      <c r="J918" s="22">
        <v>200104</v>
      </c>
      <c r="K918" s="22" t="s">
        <v>2959</v>
      </c>
      <c r="L918" s="22">
        <v>70107</v>
      </c>
      <c r="M918" s="23" t="s">
        <v>2960</v>
      </c>
      <c r="N918" s="24">
        <v>0</v>
      </c>
      <c r="O918" s="24">
        <v>0</v>
      </c>
      <c r="P918" s="24">
        <v>0</v>
      </c>
      <c r="Q918" s="24">
        <v>43330</v>
      </c>
      <c r="R918" s="24">
        <v>10830</v>
      </c>
      <c r="S918" s="24">
        <v>10830</v>
      </c>
      <c r="T918" s="24">
        <v>10830</v>
      </c>
      <c r="U918" s="24">
        <v>10830</v>
      </c>
      <c r="V918" s="24">
        <v>10830</v>
      </c>
      <c r="W918" s="24">
        <v>10830</v>
      </c>
      <c r="X918" s="24">
        <v>10830</v>
      </c>
      <c r="Y918" s="24">
        <v>10860</v>
      </c>
      <c r="Z918" s="24">
        <f t="shared" si="44"/>
        <v>130000</v>
      </c>
      <c r="AB918" s="25">
        <v>130000</v>
      </c>
      <c r="AC918" s="26">
        <v>130000</v>
      </c>
      <c r="AD918" s="24">
        <v>0</v>
      </c>
      <c r="AE918" s="27">
        <f>_xlfn.XLOOKUP(B918,'Projects Cashflow'!$B:$B,'Projects Cashflow'!$AG:$AG,0)</f>
        <v>130000</v>
      </c>
      <c r="AF918" s="28">
        <f t="shared" si="45"/>
        <v>0</v>
      </c>
    </row>
    <row r="919" spans="2:32" x14ac:dyDescent="0.3">
      <c r="B919" s="14" t="str">
        <f t="shared" si="43"/>
        <v>45102304511000530Landscaping-N1432614200104</v>
      </c>
      <c r="C919" s="21" t="s">
        <v>2984</v>
      </c>
      <c r="D919" s="22">
        <v>4510230</v>
      </c>
      <c r="E919" s="21" t="s">
        <v>466</v>
      </c>
      <c r="F919" s="22">
        <v>4511000530</v>
      </c>
      <c r="G919" s="21" t="s">
        <v>3104</v>
      </c>
      <c r="H919" s="21" t="s">
        <v>694</v>
      </c>
      <c r="I919" s="22">
        <v>432614</v>
      </c>
      <c r="J919" s="22">
        <v>200104</v>
      </c>
      <c r="K919" s="22" t="s">
        <v>2959</v>
      </c>
      <c r="L919" s="22">
        <v>70107</v>
      </c>
      <c r="M919" s="23" t="s">
        <v>2960</v>
      </c>
      <c r="N919" s="24">
        <v>0</v>
      </c>
      <c r="O919" s="24">
        <v>0</v>
      </c>
      <c r="P919" s="24">
        <v>0</v>
      </c>
      <c r="Q919" s="24">
        <v>36664</v>
      </c>
      <c r="R919" s="24">
        <v>9167</v>
      </c>
      <c r="S919" s="24">
        <v>9167</v>
      </c>
      <c r="T919" s="24">
        <v>9167</v>
      </c>
      <c r="U919" s="24">
        <v>9167</v>
      </c>
      <c r="V919" s="24">
        <v>9167</v>
      </c>
      <c r="W919" s="24">
        <v>9167</v>
      </c>
      <c r="X919" s="24">
        <v>9167</v>
      </c>
      <c r="Y919" s="24">
        <v>9167</v>
      </c>
      <c r="Z919" s="24">
        <f t="shared" si="44"/>
        <v>110000</v>
      </c>
      <c r="AB919" s="25">
        <v>110000</v>
      </c>
      <c r="AC919" s="26">
        <v>110000</v>
      </c>
      <c r="AD919" s="24">
        <v>0</v>
      </c>
      <c r="AE919" s="27">
        <f>_xlfn.XLOOKUP(B919,'Projects Cashflow'!$B:$B,'Projects Cashflow'!$AG:$AG,0)</f>
        <v>110000</v>
      </c>
      <c r="AF919" s="28">
        <f t="shared" si="45"/>
        <v>0</v>
      </c>
    </row>
    <row r="920" spans="2:32" x14ac:dyDescent="0.3">
      <c r="B920" s="14" t="str">
        <f t="shared" si="43"/>
        <v>45102304511000530Ad-hoc Repairs-N1426427200104</v>
      </c>
      <c r="C920" s="21" t="s">
        <v>2984</v>
      </c>
      <c r="D920" s="22">
        <v>4510230</v>
      </c>
      <c r="E920" s="21" t="s">
        <v>466</v>
      </c>
      <c r="F920" s="22">
        <v>4511000530</v>
      </c>
      <c r="G920" s="21" t="s">
        <v>3104</v>
      </c>
      <c r="H920" s="21" t="s">
        <v>621</v>
      </c>
      <c r="I920" s="22">
        <v>426427</v>
      </c>
      <c r="J920" s="22">
        <v>200104</v>
      </c>
      <c r="K920" s="22" t="s">
        <v>2959</v>
      </c>
      <c r="L920" s="22">
        <v>70107</v>
      </c>
      <c r="M920" s="23" t="s">
        <v>2960</v>
      </c>
      <c r="N920" s="24">
        <v>0</v>
      </c>
      <c r="O920" s="24">
        <v>0</v>
      </c>
      <c r="P920" s="24">
        <v>0</v>
      </c>
      <c r="Q920" s="24">
        <v>32333</v>
      </c>
      <c r="R920" s="24">
        <v>8333</v>
      </c>
      <c r="S920" s="24">
        <v>8333</v>
      </c>
      <c r="T920" s="24">
        <v>8333</v>
      </c>
      <c r="U920" s="24">
        <v>8333</v>
      </c>
      <c r="V920" s="24">
        <v>8333</v>
      </c>
      <c r="W920" s="24">
        <v>8333</v>
      </c>
      <c r="X920" s="24">
        <v>8336</v>
      </c>
      <c r="Y920" s="24">
        <v>9333</v>
      </c>
      <c r="Z920" s="24">
        <f t="shared" si="44"/>
        <v>100000</v>
      </c>
      <c r="AB920" s="25">
        <v>100000</v>
      </c>
      <c r="AC920" s="26">
        <v>100000</v>
      </c>
      <c r="AD920" s="24">
        <v>0</v>
      </c>
      <c r="AE920" s="27">
        <f>_xlfn.XLOOKUP(B920,'Projects Cashflow'!$B:$B,'Projects Cashflow'!$AG:$AG,0)</f>
        <v>100000</v>
      </c>
      <c r="AF920" s="28">
        <f t="shared" si="45"/>
        <v>0</v>
      </c>
    </row>
    <row r="921" spans="2:32" x14ac:dyDescent="0.3">
      <c r="B921" s="14" t="str">
        <f t="shared" si="43"/>
        <v>45102304511000507Security Service-N1424551200104</v>
      </c>
      <c r="C921" s="21" t="s">
        <v>2984</v>
      </c>
      <c r="D921" s="22">
        <v>4510230</v>
      </c>
      <c r="E921" s="21" t="s">
        <v>466</v>
      </c>
      <c r="F921" s="22">
        <v>4511000507</v>
      </c>
      <c r="G921" s="21" t="s">
        <v>3096</v>
      </c>
      <c r="H921" s="21" t="s">
        <v>627</v>
      </c>
      <c r="I921" s="22">
        <v>424551</v>
      </c>
      <c r="J921" s="22">
        <v>200104</v>
      </c>
      <c r="K921" s="22" t="s">
        <v>2959</v>
      </c>
      <c r="L921" s="22">
        <v>70107</v>
      </c>
      <c r="M921" s="23" t="s">
        <v>2960</v>
      </c>
      <c r="N921" s="24">
        <v>0</v>
      </c>
      <c r="O921" s="24">
        <v>0</v>
      </c>
      <c r="P921" s="24">
        <v>0</v>
      </c>
      <c r="Q921" s="24">
        <v>34000</v>
      </c>
      <c r="R921" s="24">
        <v>8500</v>
      </c>
      <c r="S921" s="24">
        <v>8500</v>
      </c>
      <c r="T921" s="24">
        <v>8500</v>
      </c>
      <c r="U921" s="24">
        <v>8500</v>
      </c>
      <c r="V921" s="24">
        <v>8500</v>
      </c>
      <c r="W921" s="24">
        <v>8500</v>
      </c>
      <c r="X921" s="24">
        <v>8500</v>
      </c>
      <c r="Y921" s="24">
        <v>8500</v>
      </c>
      <c r="Z921" s="24">
        <f t="shared" si="44"/>
        <v>102000</v>
      </c>
      <c r="AB921" s="25">
        <v>102000</v>
      </c>
      <c r="AC921" s="26">
        <v>102000</v>
      </c>
      <c r="AD921" s="24">
        <v>0</v>
      </c>
      <c r="AE921" s="27">
        <f>_xlfn.XLOOKUP(B921,'Projects Cashflow'!$B:$B,'Projects Cashflow'!$AG:$AG,0)</f>
        <v>102000</v>
      </c>
      <c r="AF921" s="28">
        <f t="shared" si="45"/>
        <v>0</v>
      </c>
    </row>
    <row r="922" spans="2:32" x14ac:dyDescent="0.3">
      <c r="B922" s="14" t="str">
        <f t="shared" si="43"/>
        <v>45102304511000532Cleaning Service-N1422311200104</v>
      </c>
      <c r="C922" s="21" t="s">
        <v>2984</v>
      </c>
      <c r="D922" s="22">
        <v>4510230</v>
      </c>
      <c r="E922" s="21" t="s">
        <v>466</v>
      </c>
      <c r="F922" s="22">
        <v>4511000532</v>
      </c>
      <c r="G922" s="21" t="s">
        <v>3105</v>
      </c>
      <c r="H922" s="21" t="s">
        <v>623</v>
      </c>
      <c r="I922" s="22">
        <v>422311</v>
      </c>
      <c r="J922" s="22">
        <v>200104</v>
      </c>
      <c r="K922" s="22" t="s">
        <v>2959</v>
      </c>
      <c r="L922" s="22">
        <v>70107</v>
      </c>
      <c r="M922" s="23" t="s">
        <v>2960</v>
      </c>
      <c r="N922" s="24">
        <v>0</v>
      </c>
      <c r="O922" s="24">
        <v>0</v>
      </c>
      <c r="P922" s="24">
        <v>0</v>
      </c>
      <c r="Q922" s="24">
        <v>20000</v>
      </c>
      <c r="R922" s="24">
        <v>5000</v>
      </c>
      <c r="S922" s="24">
        <v>5000</v>
      </c>
      <c r="T922" s="24">
        <v>5000</v>
      </c>
      <c r="U922" s="24">
        <v>5000</v>
      </c>
      <c r="V922" s="24">
        <v>5000</v>
      </c>
      <c r="W922" s="24">
        <v>5000</v>
      </c>
      <c r="X922" s="24">
        <v>5000</v>
      </c>
      <c r="Y922" s="24">
        <v>5000</v>
      </c>
      <c r="Z922" s="24">
        <f t="shared" si="44"/>
        <v>60000</v>
      </c>
      <c r="AB922" s="25">
        <v>60000</v>
      </c>
      <c r="AC922" s="26">
        <v>60000</v>
      </c>
      <c r="AD922" s="24">
        <v>0</v>
      </c>
      <c r="AE922" s="27">
        <f>_xlfn.XLOOKUP(B922,'Projects Cashflow'!$B:$B,'Projects Cashflow'!$AG:$AG,0)</f>
        <v>60000</v>
      </c>
      <c r="AF922" s="28">
        <f t="shared" si="45"/>
        <v>0</v>
      </c>
    </row>
    <row r="923" spans="2:32" x14ac:dyDescent="0.3">
      <c r="B923" s="14" t="str">
        <f t="shared" si="43"/>
        <v>45102304511000534Facilities Rent-N1425112200104</v>
      </c>
      <c r="C923" s="21" t="s">
        <v>2984</v>
      </c>
      <c r="D923" s="22">
        <v>4510230</v>
      </c>
      <c r="E923" s="21" t="s">
        <v>466</v>
      </c>
      <c r="F923" s="22">
        <v>4511000534</v>
      </c>
      <c r="G923" s="21" t="s">
        <v>3106</v>
      </c>
      <c r="H923" s="21" t="s">
        <v>631</v>
      </c>
      <c r="I923" s="22">
        <v>425112</v>
      </c>
      <c r="J923" s="22">
        <v>200104</v>
      </c>
      <c r="K923" s="22" t="s">
        <v>2959</v>
      </c>
      <c r="L923" s="22">
        <v>70107</v>
      </c>
      <c r="M923" s="23" t="s">
        <v>2960</v>
      </c>
      <c r="N923" s="24">
        <v>0</v>
      </c>
      <c r="O923" s="24">
        <v>0</v>
      </c>
      <c r="P923" s="24">
        <v>0</v>
      </c>
      <c r="Q923" s="24">
        <v>110250</v>
      </c>
      <c r="R923" s="24">
        <v>0</v>
      </c>
      <c r="S923" s="24">
        <v>0</v>
      </c>
      <c r="T923" s="24">
        <v>0</v>
      </c>
      <c r="U923" s="24">
        <v>0</v>
      </c>
      <c r="V923" s="24">
        <v>0</v>
      </c>
      <c r="W923" s="24">
        <v>0</v>
      </c>
      <c r="X923" s="24">
        <v>0</v>
      </c>
      <c r="Y923" s="24">
        <v>0</v>
      </c>
      <c r="Z923" s="24">
        <f t="shared" si="44"/>
        <v>110250</v>
      </c>
      <c r="AB923" s="25">
        <v>110250</v>
      </c>
      <c r="AC923" s="26">
        <v>110250</v>
      </c>
      <c r="AD923" s="24">
        <v>0</v>
      </c>
      <c r="AE923" s="27">
        <f>_xlfn.XLOOKUP(B923,'Projects Cashflow'!$B:$B,'Projects Cashflow'!$AG:$AG,0)</f>
        <v>110250</v>
      </c>
      <c r="AF923" s="28">
        <f t="shared" si="45"/>
        <v>0</v>
      </c>
    </row>
    <row r="924" spans="2:32" x14ac:dyDescent="0.3">
      <c r="B924" s="14" t="str">
        <f t="shared" si="43"/>
        <v>45102304511000534Cleaning Service-N1422311200104</v>
      </c>
      <c r="C924" s="21" t="s">
        <v>2984</v>
      </c>
      <c r="D924" s="22">
        <v>4510230</v>
      </c>
      <c r="E924" s="21" t="s">
        <v>466</v>
      </c>
      <c r="F924" s="22">
        <v>4511000534</v>
      </c>
      <c r="G924" s="21" t="s">
        <v>3106</v>
      </c>
      <c r="H924" s="21" t="s">
        <v>623</v>
      </c>
      <c r="I924" s="22">
        <v>422311</v>
      </c>
      <c r="J924" s="22">
        <v>200104</v>
      </c>
      <c r="K924" s="22" t="s">
        <v>2959</v>
      </c>
      <c r="L924" s="22">
        <v>70107</v>
      </c>
      <c r="M924" s="23" t="s">
        <v>2960</v>
      </c>
      <c r="N924" s="24">
        <v>0</v>
      </c>
      <c r="O924" s="24">
        <v>0</v>
      </c>
      <c r="P924" s="24">
        <v>0</v>
      </c>
      <c r="Q924" s="24">
        <v>14333</v>
      </c>
      <c r="R924" s="24">
        <v>3583</v>
      </c>
      <c r="S924" s="24">
        <v>3583</v>
      </c>
      <c r="T924" s="24">
        <v>3583</v>
      </c>
      <c r="U924" s="24">
        <v>3583</v>
      </c>
      <c r="V924" s="24">
        <v>3583</v>
      </c>
      <c r="W924" s="24">
        <v>3583</v>
      </c>
      <c r="X924" s="24">
        <v>3583</v>
      </c>
      <c r="Y924" s="24">
        <v>3586</v>
      </c>
      <c r="Z924" s="24">
        <f t="shared" si="44"/>
        <v>43000</v>
      </c>
      <c r="AB924" s="25">
        <v>43000</v>
      </c>
      <c r="AC924" s="26">
        <v>43000</v>
      </c>
      <c r="AD924" s="24">
        <v>0</v>
      </c>
      <c r="AE924" s="27">
        <f>_xlfn.XLOOKUP(B924,'Projects Cashflow'!$B:$B,'Projects Cashflow'!$AG:$AG,0)</f>
        <v>43000</v>
      </c>
      <c r="AF924" s="28">
        <f t="shared" si="45"/>
        <v>0</v>
      </c>
    </row>
    <row r="925" spans="2:32" x14ac:dyDescent="0.3">
      <c r="B925" s="14" t="str">
        <f t="shared" si="43"/>
        <v>45102304511000534Ad-hoc Repairs-N426427200104</v>
      </c>
      <c r="C925" s="21" t="s">
        <v>2984</v>
      </c>
      <c r="D925" s="22">
        <v>4510230</v>
      </c>
      <c r="E925" s="21" t="s">
        <v>466</v>
      </c>
      <c r="F925" s="22">
        <v>4511000534</v>
      </c>
      <c r="G925" s="21" t="s">
        <v>3106</v>
      </c>
      <c r="H925" s="21" t="s">
        <v>70</v>
      </c>
      <c r="I925" s="22">
        <v>426427</v>
      </c>
      <c r="J925" s="22">
        <v>200104</v>
      </c>
      <c r="K925" s="22" t="s">
        <v>2959</v>
      </c>
      <c r="L925" s="22">
        <v>70107</v>
      </c>
      <c r="M925" s="23" t="s">
        <v>2960</v>
      </c>
      <c r="N925" s="24">
        <v>0</v>
      </c>
      <c r="O925" s="24">
        <v>0</v>
      </c>
      <c r="P925" s="24">
        <v>0</v>
      </c>
      <c r="Q925" s="24">
        <v>0</v>
      </c>
      <c r="R925" s="24">
        <v>0</v>
      </c>
      <c r="S925" s="24">
        <v>0</v>
      </c>
      <c r="T925" s="24">
        <v>0</v>
      </c>
      <c r="U925" s="24">
        <v>0</v>
      </c>
      <c r="V925" s="24">
        <v>0</v>
      </c>
      <c r="W925" s="24">
        <v>0</v>
      </c>
      <c r="X925" s="24">
        <v>62230</v>
      </c>
      <c r="Y925" s="24">
        <v>0</v>
      </c>
      <c r="Z925" s="24">
        <f t="shared" si="44"/>
        <v>62230</v>
      </c>
      <c r="AB925" s="25">
        <v>62230</v>
      </c>
      <c r="AC925" s="26">
        <v>62230</v>
      </c>
      <c r="AD925" s="24">
        <v>0</v>
      </c>
      <c r="AE925" s="27">
        <f>_xlfn.XLOOKUP(B925,'Projects Cashflow'!$B:$B,'Projects Cashflow'!$AG:$AG,0)</f>
        <v>62230</v>
      </c>
      <c r="AF925" s="28">
        <f t="shared" si="45"/>
        <v>0</v>
      </c>
    </row>
    <row r="926" spans="2:32" x14ac:dyDescent="0.3">
      <c r="B926" s="14" t="str">
        <f t="shared" si="43"/>
        <v>45102304511000538Transportation -N2425203200104</v>
      </c>
      <c r="C926" s="21" t="s">
        <v>2984</v>
      </c>
      <c r="D926" s="22">
        <v>4510230</v>
      </c>
      <c r="E926" s="21" t="s">
        <v>466</v>
      </c>
      <c r="F926" s="22">
        <v>4511000538</v>
      </c>
      <c r="G926" s="21" t="s">
        <v>3107</v>
      </c>
      <c r="H926" s="21" t="s">
        <v>702</v>
      </c>
      <c r="I926" s="22">
        <v>425203</v>
      </c>
      <c r="J926" s="22">
        <v>200104</v>
      </c>
      <c r="K926" s="22" t="s">
        <v>2959</v>
      </c>
      <c r="L926" s="22">
        <v>70107</v>
      </c>
      <c r="M926" s="23" t="s">
        <v>2960</v>
      </c>
      <c r="N926" s="24">
        <v>0</v>
      </c>
      <c r="O926" s="24">
        <v>0</v>
      </c>
      <c r="P926" s="24">
        <v>0</v>
      </c>
      <c r="Q926" s="24">
        <v>1652444.13</v>
      </c>
      <c r="R926" s="24">
        <v>429404</v>
      </c>
      <c r="S926" s="24">
        <v>451826.1</v>
      </c>
      <c r="T926" s="24">
        <v>436826</v>
      </c>
      <c r="U926" s="24">
        <v>451826.1</v>
      </c>
      <c r="V926" s="24">
        <v>436826</v>
      </c>
      <c r="W926" s="24">
        <v>436826</v>
      </c>
      <c r="X926" s="24">
        <v>451826.1</v>
      </c>
      <c r="Y926" s="24">
        <v>466854</v>
      </c>
      <c r="Z926" s="24">
        <f t="shared" si="44"/>
        <v>5214658.43</v>
      </c>
      <c r="AB926" s="25">
        <v>5235223.43</v>
      </c>
      <c r="AC926" s="26">
        <v>5235223</v>
      </c>
      <c r="AD926" s="24">
        <v>0.42999999970197678</v>
      </c>
      <c r="AE926" s="27">
        <f>_xlfn.XLOOKUP(B926,'Projects Cashflow'!$B:$B,'Projects Cashflow'!$AG:$AG,0)</f>
        <v>5235223</v>
      </c>
      <c r="AF926" s="28">
        <f t="shared" si="45"/>
        <v>-0.42999999970197678</v>
      </c>
    </row>
    <row r="927" spans="2:32" x14ac:dyDescent="0.3">
      <c r="B927" s="14" t="str">
        <f t="shared" si="43"/>
        <v>45102304511000709Maintenance-N1426212200104</v>
      </c>
      <c r="C927" s="21" t="s">
        <v>2984</v>
      </c>
      <c r="D927" s="22">
        <v>4510230</v>
      </c>
      <c r="E927" s="21" t="s">
        <v>466</v>
      </c>
      <c r="F927" s="22">
        <v>4511000709</v>
      </c>
      <c r="G927" s="21" t="s">
        <v>932</v>
      </c>
      <c r="H927" s="21" t="s">
        <v>625</v>
      </c>
      <c r="I927" s="22">
        <v>426212</v>
      </c>
      <c r="J927" s="22">
        <v>200104</v>
      </c>
      <c r="K927" s="22" t="s">
        <v>2959</v>
      </c>
      <c r="L927" s="22">
        <v>70107</v>
      </c>
      <c r="M927" s="23" t="s">
        <v>2960</v>
      </c>
      <c r="N927" s="24">
        <v>0</v>
      </c>
      <c r="O927" s="24">
        <v>0</v>
      </c>
      <c r="P927" s="24">
        <v>0</v>
      </c>
      <c r="Q927" s="24">
        <v>26664</v>
      </c>
      <c r="R927" s="24">
        <v>6667</v>
      </c>
      <c r="S927" s="24">
        <v>6667</v>
      </c>
      <c r="T927" s="24">
        <v>6667</v>
      </c>
      <c r="U927" s="24">
        <v>6667</v>
      </c>
      <c r="V927" s="24">
        <v>6667</v>
      </c>
      <c r="W927" s="24">
        <v>6667</v>
      </c>
      <c r="X927" s="24">
        <v>6667</v>
      </c>
      <c r="Y927" s="24">
        <v>6667</v>
      </c>
      <c r="Z927" s="24">
        <f t="shared" si="44"/>
        <v>80000</v>
      </c>
      <c r="AB927" s="25">
        <v>80000</v>
      </c>
      <c r="AC927" s="26">
        <v>80000</v>
      </c>
      <c r="AD927" s="24">
        <v>0</v>
      </c>
      <c r="AE927" s="27">
        <f>_xlfn.XLOOKUP(B927,'Projects Cashflow'!$B:$B,'Projects Cashflow'!$AG:$AG,0)</f>
        <v>80000</v>
      </c>
      <c r="AF927" s="28">
        <f t="shared" si="45"/>
        <v>0</v>
      </c>
    </row>
    <row r="928" spans="2:32" x14ac:dyDescent="0.3">
      <c r="B928" s="14" t="str">
        <f t="shared" si="43"/>
        <v>45102304511000773Interior Fit Out-NC1491711300105</v>
      </c>
      <c r="C928" s="21" t="s">
        <v>2984</v>
      </c>
      <c r="D928" s="22">
        <v>4510230</v>
      </c>
      <c r="E928" s="21" t="s">
        <v>466</v>
      </c>
      <c r="F928" s="22">
        <v>4511000773</v>
      </c>
      <c r="G928" s="21" t="s">
        <v>1058</v>
      </c>
      <c r="H928" s="21" t="s">
        <v>638</v>
      </c>
      <c r="I928" s="22">
        <v>491711</v>
      </c>
      <c r="J928" s="22">
        <v>300105</v>
      </c>
      <c r="K928" s="22" t="s">
        <v>2972</v>
      </c>
      <c r="L928" s="22">
        <v>70107</v>
      </c>
      <c r="M928" s="23" t="s">
        <v>2960</v>
      </c>
      <c r="N928" s="24">
        <v>0</v>
      </c>
      <c r="O928" s="24">
        <v>0</v>
      </c>
      <c r="P928" s="24">
        <v>0</v>
      </c>
      <c r="Q928" s="24">
        <v>25000</v>
      </c>
      <c r="R928" s="24">
        <v>0</v>
      </c>
      <c r="S928" s="24">
        <v>22500</v>
      </c>
      <c r="T928" s="24">
        <v>0</v>
      </c>
      <c r="U928" s="24">
        <v>0</v>
      </c>
      <c r="V928" s="24">
        <v>0</v>
      </c>
      <c r="W928" s="24">
        <v>0</v>
      </c>
      <c r="X928" s="24">
        <v>0</v>
      </c>
      <c r="Y928" s="24">
        <v>0</v>
      </c>
      <c r="Z928" s="24">
        <f t="shared" si="44"/>
        <v>47500</v>
      </c>
      <c r="AB928" s="25">
        <v>47500</v>
      </c>
      <c r="AC928" s="26">
        <v>47500</v>
      </c>
      <c r="AD928" s="24">
        <v>0</v>
      </c>
      <c r="AE928" s="27">
        <f>_xlfn.XLOOKUP(B928,'Projects Cashflow'!$B:$B,'Projects Cashflow'!$AG:$AG,0)</f>
        <v>47500</v>
      </c>
      <c r="AF928" s="28">
        <f t="shared" si="45"/>
        <v>0</v>
      </c>
    </row>
    <row r="929" spans="2:32" x14ac:dyDescent="0.3">
      <c r="B929" s="14" t="str">
        <f t="shared" si="43"/>
        <v>45102304511000773Security Service-N1424551200104</v>
      </c>
      <c r="C929" s="21" t="s">
        <v>2984</v>
      </c>
      <c r="D929" s="22">
        <v>4510230</v>
      </c>
      <c r="E929" s="21" t="s">
        <v>466</v>
      </c>
      <c r="F929" s="22">
        <v>4511000773</v>
      </c>
      <c r="G929" s="21" t="s">
        <v>1058</v>
      </c>
      <c r="H929" s="21" t="s">
        <v>627</v>
      </c>
      <c r="I929" s="22">
        <v>424551</v>
      </c>
      <c r="J929" s="22">
        <v>200104</v>
      </c>
      <c r="K929" s="22" t="s">
        <v>2959</v>
      </c>
      <c r="L929" s="22">
        <v>70107</v>
      </c>
      <c r="M929" s="23" t="s">
        <v>2960</v>
      </c>
      <c r="N929" s="24">
        <v>0</v>
      </c>
      <c r="O929" s="24">
        <v>0</v>
      </c>
      <c r="P929" s="24">
        <v>0</v>
      </c>
      <c r="Q929" s="24">
        <v>36048</v>
      </c>
      <c r="R929" s="24">
        <v>9012</v>
      </c>
      <c r="S929" s="24">
        <v>9012</v>
      </c>
      <c r="T929" s="24">
        <v>9012</v>
      </c>
      <c r="U929" s="24">
        <v>9012</v>
      </c>
      <c r="V929" s="24">
        <v>9012</v>
      </c>
      <c r="W929" s="24">
        <v>9012</v>
      </c>
      <c r="X929" s="24">
        <v>9012</v>
      </c>
      <c r="Y929" s="24">
        <v>9012</v>
      </c>
      <c r="Z929" s="24">
        <f t="shared" si="44"/>
        <v>108144</v>
      </c>
      <c r="AB929" s="25">
        <v>108144</v>
      </c>
      <c r="AC929" s="26">
        <v>108144</v>
      </c>
      <c r="AD929" s="24">
        <v>0</v>
      </c>
      <c r="AE929" s="27">
        <f>_xlfn.XLOOKUP(B929,'Projects Cashflow'!$B:$B,'Projects Cashflow'!$AG:$AG,0)</f>
        <v>108144</v>
      </c>
      <c r="AF929" s="28">
        <f t="shared" si="45"/>
        <v>0</v>
      </c>
    </row>
    <row r="930" spans="2:32" x14ac:dyDescent="0.3">
      <c r="B930" s="14" t="str">
        <f t="shared" si="43"/>
        <v>45102304511000773Cleaning Service-N1422311200104</v>
      </c>
      <c r="C930" s="21" t="s">
        <v>2984</v>
      </c>
      <c r="D930" s="22">
        <v>4510230</v>
      </c>
      <c r="E930" s="21" t="s">
        <v>466</v>
      </c>
      <c r="F930" s="22">
        <v>4511000773</v>
      </c>
      <c r="G930" s="21" t="s">
        <v>1058</v>
      </c>
      <c r="H930" s="21" t="s">
        <v>623</v>
      </c>
      <c r="I930" s="22">
        <v>422311</v>
      </c>
      <c r="J930" s="22">
        <v>200104</v>
      </c>
      <c r="K930" s="22" t="s">
        <v>2959</v>
      </c>
      <c r="L930" s="22">
        <v>70107</v>
      </c>
      <c r="M930" s="23" t="s">
        <v>2960</v>
      </c>
      <c r="N930" s="24">
        <v>0</v>
      </c>
      <c r="O930" s="24">
        <v>0</v>
      </c>
      <c r="P930" s="24">
        <v>0</v>
      </c>
      <c r="Q930" s="24">
        <v>12400</v>
      </c>
      <c r="R930" s="24">
        <v>3100</v>
      </c>
      <c r="S930" s="24">
        <v>3100</v>
      </c>
      <c r="T930" s="24">
        <v>3100</v>
      </c>
      <c r="U930" s="24">
        <v>3100</v>
      </c>
      <c r="V930" s="24">
        <v>3100</v>
      </c>
      <c r="W930" s="24">
        <v>3100</v>
      </c>
      <c r="X930" s="24">
        <v>3100</v>
      </c>
      <c r="Y930" s="24">
        <v>3100</v>
      </c>
      <c r="Z930" s="24">
        <f t="shared" si="44"/>
        <v>37200</v>
      </c>
      <c r="AB930" s="25">
        <v>37200</v>
      </c>
      <c r="AC930" s="26">
        <v>37200</v>
      </c>
      <c r="AD930" s="24">
        <v>0</v>
      </c>
      <c r="AE930" s="27">
        <f>_xlfn.XLOOKUP(B930,'Projects Cashflow'!$B:$B,'Projects Cashflow'!$AG:$AG,0)</f>
        <v>37200</v>
      </c>
      <c r="AF930" s="28">
        <f t="shared" si="45"/>
        <v>0</v>
      </c>
    </row>
    <row r="931" spans="2:32" x14ac:dyDescent="0.3">
      <c r="B931" s="14" t="str">
        <f t="shared" si="43"/>
        <v>45102304511000773Maintenance-N1426212200104</v>
      </c>
      <c r="C931" s="21" t="s">
        <v>2984</v>
      </c>
      <c r="D931" s="22">
        <v>4510230</v>
      </c>
      <c r="E931" s="21" t="s">
        <v>466</v>
      </c>
      <c r="F931" s="22">
        <v>4511000773</v>
      </c>
      <c r="G931" s="21" t="s">
        <v>1058</v>
      </c>
      <c r="H931" s="21" t="s">
        <v>625</v>
      </c>
      <c r="I931" s="22">
        <v>426212</v>
      </c>
      <c r="J931" s="22">
        <v>200104</v>
      </c>
      <c r="K931" s="22" t="s">
        <v>2959</v>
      </c>
      <c r="L931" s="22">
        <v>70107</v>
      </c>
      <c r="M931" s="23" t="s">
        <v>2960</v>
      </c>
      <c r="N931" s="24">
        <v>0</v>
      </c>
      <c r="O931" s="24">
        <v>0</v>
      </c>
      <c r="P931" s="24">
        <v>0</v>
      </c>
      <c r="Q931" s="24">
        <v>7600</v>
      </c>
      <c r="R931" s="24">
        <v>1900</v>
      </c>
      <c r="S931" s="24">
        <v>1900</v>
      </c>
      <c r="T931" s="24">
        <v>1900</v>
      </c>
      <c r="U931" s="24">
        <v>1900</v>
      </c>
      <c r="V931" s="24">
        <v>1900</v>
      </c>
      <c r="W931" s="24">
        <v>1900</v>
      </c>
      <c r="X931" s="24">
        <v>1900</v>
      </c>
      <c r="Y931" s="24">
        <v>1900</v>
      </c>
      <c r="Z931" s="24">
        <f t="shared" si="44"/>
        <v>22800</v>
      </c>
      <c r="AB931" s="25">
        <v>22800</v>
      </c>
      <c r="AC931" s="26">
        <v>22800</v>
      </c>
      <c r="AD931" s="24">
        <v>0</v>
      </c>
      <c r="AE931" s="27">
        <f>_xlfn.XLOOKUP(B931,'Projects Cashflow'!$B:$B,'Projects Cashflow'!$AG:$AG,0)</f>
        <v>22800</v>
      </c>
      <c r="AF931" s="28">
        <f t="shared" si="45"/>
        <v>0</v>
      </c>
    </row>
    <row r="932" spans="2:32" x14ac:dyDescent="0.3">
      <c r="B932" s="14" t="str">
        <f t="shared" si="43"/>
        <v>45102304511000773Ad-hoc Repairs-N426427200104</v>
      </c>
      <c r="C932" s="21" t="s">
        <v>2984</v>
      </c>
      <c r="D932" s="22">
        <v>4510230</v>
      </c>
      <c r="E932" s="21" t="s">
        <v>466</v>
      </c>
      <c r="F932" s="22">
        <v>4511000773</v>
      </c>
      <c r="G932" s="21" t="s">
        <v>1058</v>
      </c>
      <c r="H932" s="21" t="s">
        <v>70</v>
      </c>
      <c r="I932" s="22">
        <v>426427</v>
      </c>
      <c r="J932" s="22">
        <v>200104</v>
      </c>
      <c r="K932" s="22" t="s">
        <v>2959</v>
      </c>
      <c r="L932" s="22">
        <v>70107</v>
      </c>
      <c r="M932" s="23" t="s">
        <v>2960</v>
      </c>
      <c r="N932" s="24">
        <v>0</v>
      </c>
      <c r="O932" s="24">
        <v>0</v>
      </c>
      <c r="P932" s="24">
        <v>0</v>
      </c>
      <c r="Q932" s="24">
        <v>0</v>
      </c>
      <c r="R932" s="24">
        <v>0</v>
      </c>
      <c r="S932" s="24">
        <v>0</v>
      </c>
      <c r="T932" s="24">
        <v>0</v>
      </c>
      <c r="U932" s="24">
        <v>0</v>
      </c>
      <c r="V932" s="24">
        <v>0</v>
      </c>
      <c r="W932" s="24">
        <v>0</v>
      </c>
      <c r="X932" s="24">
        <v>62230</v>
      </c>
      <c r="Y932" s="24">
        <v>0</v>
      </c>
      <c r="Z932" s="24">
        <f t="shared" si="44"/>
        <v>62230</v>
      </c>
      <c r="AB932" s="25">
        <v>62230</v>
      </c>
      <c r="AC932" s="26">
        <v>62230</v>
      </c>
      <c r="AD932" s="24">
        <v>0</v>
      </c>
      <c r="AE932" s="27">
        <f>_xlfn.XLOOKUP(B932,'Projects Cashflow'!$B:$B,'Projects Cashflow'!$AG:$AG,0)</f>
        <v>62230</v>
      </c>
      <c r="AF932" s="28">
        <f t="shared" si="45"/>
        <v>0</v>
      </c>
    </row>
    <row r="933" spans="2:32" x14ac:dyDescent="0.3">
      <c r="B933" s="14" t="str">
        <f t="shared" si="43"/>
        <v>45102304511000985Interior Fit Out-NC1491711300105</v>
      </c>
      <c r="C933" s="21" t="s">
        <v>2984</v>
      </c>
      <c r="D933" s="22">
        <v>4510230</v>
      </c>
      <c r="E933" s="21" t="s">
        <v>466</v>
      </c>
      <c r="F933" s="22">
        <v>4511000985</v>
      </c>
      <c r="G933" s="21" t="s">
        <v>1301</v>
      </c>
      <c r="H933" s="21" t="s">
        <v>638</v>
      </c>
      <c r="I933" s="22">
        <v>491711</v>
      </c>
      <c r="J933" s="22">
        <v>300105</v>
      </c>
      <c r="K933" s="22" t="s">
        <v>2972</v>
      </c>
      <c r="L933" s="22">
        <v>70107</v>
      </c>
      <c r="M933" s="23" t="s">
        <v>2960</v>
      </c>
      <c r="N933" s="24">
        <v>0</v>
      </c>
      <c r="O933" s="24">
        <v>0</v>
      </c>
      <c r="P933" s="24">
        <v>0</v>
      </c>
      <c r="Q933" s="24">
        <v>19000</v>
      </c>
      <c r="R933" s="24">
        <v>0</v>
      </c>
      <c r="S933" s="24">
        <v>0</v>
      </c>
      <c r="T933" s="24">
        <v>10000</v>
      </c>
      <c r="U933" s="24">
        <v>0</v>
      </c>
      <c r="V933" s="24">
        <v>18500</v>
      </c>
      <c r="W933" s="24">
        <v>0</v>
      </c>
      <c r="X933" s="24">
        <v>0</v>
      </c>
      <c r="Y933" s="24">
        <v>0</v>
      </c>
      <c r="Z933" s="24">
        <f t="shared" si="44"/>
        <v>47500</v>
      </c>
      <c r="AB933" s="25">
        <v>47500</v>
      </c>
      <c r="AC933" s="26">
        <v>47500</v>
      </c>
      <c r="AD933" s="24">
        <v>0</v>
      </c>
      <c r="AE933" s="27">
        <f>_xlfn.XLOOKUP(B933,'Projects Cashflow'!$B:$B,'Projects Cashflow'!$AG:$AG,0)</f>
        <v>47500</v>
      </c>
      <c r="AF933" s="28">
        <f t="shared" si="45"/>
        <v>0</v>
      </c>
    </row>
    <row r="934" spans="2:32" x14ac:dyDescent="0.3">
      <c r="B934" s="14" t="str">
        <f t="shared" si="43"/>
        <v>45102304511000985Security Service-N1424551200104</v>
      </c>
      <c r="C934" s="21" t="s">
        <v>2984</v>
      </c>
      <c r="D934" s="22">
        <v>4510230</v>
      </c>
      <c r="E934" s="21" t="s">
        <v>466</v>
      </c>
      <c r="F934" s="22">
        <v>4511000985</v>
      </c>
      <c r="G934" s="21" t="s">
        <v>1301</v>
      </c>
      <c r="H934" s="21" t="s">
        <v>627</v>
      </c>
      <c r="I934" s="22">
        <v>424551</v>
      </c>
      <c r="J934" s="22">
        <v>200104</v>
      </c>
      <c r="K934" s="22" t="s">
        <v>2959</v>
      </c>
      <c r="L934" s="22">
        <v>70107</v>
      </c>
      <c r="M934" s="23" t="s">
        <v>2960</v>
      </c>
      <c r="N934" s="24">
        <v>0</v>
      </c>
      <c r="O934" s="24">
        <v>0</v>
      </c>
      <c r="P934" s="24">
        <v>0</v>
      </c>
      <c r="Q934" s="24">
        <v>99600</v>
      </c>
      <c r="R934" s="24">
        <v>24900</v>
      </c>
      <c r="S934" s="24">
        <v>24900</v>
      </c>
      <c r="T934" s="24">
        <v>24900</v>
      </c>
      <c r="U934" s="24">
        <v>24900</v>
      </c>
      <c r="V934" s="24">
        <v>24900</v>
      </c>
      <c r="W934" s="24">
        <v>24900</v>
      </c>
      <c r="X934" s="24">
        <v>24900</v>
      </c>
      <c r="Y934" s="24">
        <v>24900</v>
      </c>
      <c r="Z934" s="24">
        <f t="shared" si="44"/>
        <v>298800</v>
      </c>
      <c r="AB934" s="25">
        <v>298800</v>
      </c>
      <c r="AC934" s="26">
        <v>298800</v>
      </c>
      <c r="AD934" s="24">
        <v>0</v>
      </c>
      <c r="AE934" s="27">
        <f>_xlfn.XLOOKUP(B934,'Projects Cashflow'!$B:$B,'Projects Cashflow'!$AG:$AG,0)</f>
        <v>298800</v>
      </c>
      <c r="AF934" s="28">
        <f t="shared" si="45"/>
        <v>0</v>
      </c>
    </row>
    <row r="935" spans="2:32" x14ac:dyDescent="0.3">
      <c r="B935" s="14" t="str">
        <f t="shared" si="43"/>
        <v>45102304511000985Ad-hoc Repairs-N1426427200104</v>
      </c>
      <c r="C935" s="21" t="s">
        <v>2984</v>
      </c>
      <c r="D935" s="22">
        <v>4510230</v>
      </c>
      <c r="E935" s="21" t="s">
        <v>466</v>
      </c>
      <c r="F935" s="22">
        <v>4511000985</v>
      </c>
      <c r="G935" s="21" t="s">
        <v>1301</v>
      </c>
      <c r="H935" s="21" t="s">
        <v>621</v>
      </c>
      <c r="I935" s="22">
        <v>426427</v>
      </c>
      <c r="J935" s="22">
        <v>200104</v>
      </c>
      <c r="K935" s="22" t="s">
        <v>2959</v>
      </c>
      <c r="L935" s="22">
        <v>70107</v>
      </c>
      <c r="M935" s="23" t="s">
        <v>2960</v>
      </c>
      <c r="N935" s="24">
        <v>0</v>
      </c>
      <c r="O935" s="24">
        <v>0</v>
      </c>
      <c r="P935" s="24">
        <v>0</v>
      </c>
      <c r="Q935" s="24">
        <v>16400</v>
      </c>
      <c r="R935" s="24">
        <v>4100</v>
      </c>
      <c r="S935" s="24">
        <v>4100</v>
      </c>
      <c r="T935" s="24">
        <v>4100</v>
      </c>
      <c r="U935" s="24">
        <v>4100</v>
      </c>
      <c r="V935" s="24">
        <v>4300</v>
      </c>
      <c r="W935" s="24">
        <v>4300</v>
      </c>
      <c r="X935" s="24">
        <v>4300</v>
      </c>
      <c r="Y935" s="24">
        <v>4300</v>
      </c>
      <c r="Z935" s="24">
        <f t="shared" si="44"/>
        <v>50000</v>
      </c>
      <c r="AB935" s="25">
        <v>50000</v>
      </c>
      <c r="AC935" s="26">
        <v>50000</v>
      </c>
      <c r="AD935" s="24">
        <v>0</v>
      </c>
      <c r="AE935" s="27">
        <f>_xlfn.XLOOKUP(B935,'Projects Cashflow'!$B:$B,'Projects Cashflow'!$AG:$AG,0)</f>
        <v>50000</v>
      </c>
      <c r="AF935" s="28">
        <f t="shared" si="45"/>
        <v>0</v>
      </c>
    </row>
    <row r="936" spans="2:32" x14ac:dyDescent="0.3">
      <c r="B936" s="14" t="str">
        <f t="shared" si="43"/>
        <v>45102304511000985Maintenance-N1426212200104</v>
      </c>
      <c r="C936" s="21" t="s">
        <v>2984</v>
      </c>
      <c r="D936" s="22">
        <v>4510230</v>
      </c>
      <c r="E936" s="21" t="s">
        <v>466</v>
      </c>
      <c r="F936" s="22">
        <v>4511000985</v>
      </c>
      <c r="G936" s="21" t="s">
        <v>1301</v>
      </c>
      <c r="H936" s="21" t="s">
        <v>625</v>
      </c>
      <c r="I936" s="22">
        <v>426212</v>
      </c>
      <c r="J936" s="22">
        <v>200104</v>
      </c>
      <c r="K936" s="22" t="s">
        <v>2959</v>
      </c>
      <c r="L936" s="22">
        <v>70107</v>
      </c>
      <c r="M936" s="23" t="s">
        <v>2960</v>
      </c>
      <c r="N936" s="24">
        <v>0</v>
      </c>
      <c r="O936" s="24">
        <v>0</v>
      </c>
      <c r="P936" s="24">
        <v>0</v>
      </c>
      <c r="Q936" s="24">
        <v>16000</v>
      </c>
      <c r="R936" s="24">
        <v>4000</v>
      </c>
      <c r="S936" s="24">
        <v>4000</v>
      </c>
      <c r="T936" s="24">
        <v>4000</v>
      </c>
      <c r="U936" s="24">
        <v>4000</v>
      </c>
      <c r="V936" s="24">
        <v>4000</v>
      </c>
      <c r="W936" s="24">
        <v>4000</v>
      </c>
      <c r="X936" s="24">
        <v>4000</v>
      </c>
      <c r="Y936" s="24">
        <v>4000</v>
      </c>
      <c r="Z936" s="24">
        <f t="shared" si="44"/>
        <v>48000</v>
      </c>
      <c r="AB936" s="25">
        <v>48000</v>
      </c>
      <c r="AC936" s="26">
        <v>48000</v>
      </c>
      <c r="AD936" s="24">
        <v>0</v>
      </c>
      <c r="AE936" s="27">
        <f>_xlfn.XLOOKUP(B936,'Projects Cashflow'!$B:$B,'Projects Cashflow'!$AG:$AG,0)</f>
        <v>48000</v>
      </c>
      <c r="AF936" s="28">
        <f t="shared" si="45"/>
        <v>0</v>
      </c>
    </row>
    <row r="937" spans="2:32" x14ac:dyDescent="0.3">
      <c r="B937" s="14" t="str">
        <f t="shared" si="43"/>
        <v>45102304511001217Interior Fit Out-NC1491711300105</v>
      </c>
      <c r="C937" s="21" t="s">
        <v>2984</v>
      </c>
      <c r="D937" s="22">
        <v>4510230</v>
      </c>
      <c r="E937" s="21" t="s">
        <v>466</v>
      </c>
      <c r="F937" s="22">
        <v>4511001217</v>
      </c>
      <c r="G937" s="21" t="s">
        <v>1479</v>
      </c>
      <c r="H937" s="21" t="s">
        <v>638</v>
      </c>
      <c r="I937" s="22">
        <v>491711</v>
      </c>
      <c r="J937" s="22">
        <v>300105</v>
      </c>
      <c r="K937" s="22" t="s">
        <v>2972</v>
      </c>
      <c r="L937" s="22">
        <v>70107</v>
      </c>
      <c r="M937" s="23" t="s">
        <v>2960</v>
      </c>
      <c r="N937" s="24">
        <v>0</v>
      </c>
      <c r="O937" s="24">
        <v>0</v>
      </c>
      <c r="P937" s="24">
        <v>0</v>
      </c>
      <c r="Q937" s="24">
        <v>130000</v>
      </c>
      <c r="R937" s="24">
        <v>30000</v>
      </c>
      <c r="S937" s="24">
        <v>0</v>
      </c>
      <c r="T937" s="24">
        <v>0</v>
      </c>
      <c r="U937" s="24">
        <v>75000</v>
      </c>
      <c r="V937" s="24">
        <v>0</v>
      </c>
      <c r="W937" s="24">
        <v>0</v>
      </c>
      <c r="X937" s="24">
        <v>50000</v>
      </c>
      <c r="Y937" s="24">
        <v>0</v>
      </c>
      <c r="Z937" s="24">
        <f t="shared" si="44"/>
        <v>285000</v>
      </c>
      <c r="AB937" s="25">
        <v>285000</v>
      </c>
      <c r="AC937" s="26">
        <v>285000</v>
      </c>
      <c r="AD937" s="24">
        <v>0</v>
      </c>
      <c r="AE937" s="27">
        <f>_xlfn.XLOOKUP(B937,'Projects Cashflow'!$B:$B,'Projects Cashflow'!$AG:$AG,0)</f>
        <v>285000</v>
      </c>
      <c r="AF937" s="28">
        <f t="shared" si="45"/>
        <v>0</v>
      </c>
    </row>
    <row r="938" spans="2:32" x14ac:dyDescent="0.3">
      <c r="B938" s="14" t="str">
        <f t="shared" si="43"/>
        <v>45102304511001217Facilities Rent-N1425112200104</v>
      </c>
      <c r="C938" s="21" t="s">
        <v>2984</v>
      </c>
      <c r="D938" s="22">
        <v>4510230</v>
      </c>
      <c r="E938" s="21" t="s">
        <v>466</v>
      </c>
      <c r="F938" s="22">
        <v>4511001217</v>
      </c>
      <c r="G938" s="21" t="s">
        <v>1479</v>
      </c>
      <c r="H938" s="21" t="s">
        <v>631</v>
      </c>
      <c r="I938" s="22">
        <v>425112</v>
      </c>
      <c r="J938" s="22">
        <v>200104</v>
      </c>
      <c r="K938" s="22" t="s">
        <v>2959</v>
      </c>
      <c r="L938" s="22">
        <v>70107</v>
      </c>
      <c r="M938" s="23" t="s">
        <v>2960</v>
      </c>
      <c r="N938" s="24">
        <v>0</v>
      </c>
      <c r="O938" s="24">
        <v>0</v>
      </c>
      <c r="P938" s="24">
        <v>0</v>
      </c>
      <c r="Q938" s="24">
        <v>0</v>
      </c>
      <c r="R938" s="24">
        <v>0</v>
      </c>
      <c r="S938" s="24">
        <v>0</v>
      </c>
      <c r="T938" s="24">
        <v>0</v>
      </c>
      <c r="U938" s="24">
        <v>0</v>
      </c>
      <c r="V938" s="24">
        <v>0</v>
      </c>
      <c r="W938" s="24">
        <v>0</v>
      </c>
      <c r="X938" s="24">
        <v>3826680</v>
      </c>
      <c r="Y938" s="24">
        <v>0</v>
      </c>
      <c r="Z938" s="24">
        <f t="shared" si="44"/>
        <v>3826680</v>
      </c>
      <c r="AB938" s="25">
        <v>3826680</v>
      </c>
      <c r="AC938" s="26">
        <v>3826680</v>
      </c>
      <c r="AD938" s="24">
        <v>0</v>
      </c>
      <c r="AE938" s="27">
        <f>_xlfn.XLOOKUP(B938,'Projects Cashflow'!$B:$B,'Projects Cashflow'!$AG:$AG,0)</f>
        <v>3826680</v>
      </c>
      <c r="AF938" s="28">
        <f t="shared" si="45"/>
        <v>0</v>
      </c>
    </row>
    <row r="939" spans="2:32" x14ac:dyDescent="0.3">
      <c r="B939" s="14" t="str">
        <f t="shared" si="43"/>
        <v>45102304511001217Cleaning Service-N1422311200104</v>
      </c>
      <c r="C939" s="21" t="s">
        <v>2984</v>
      </c>
      <c r="D939" s="22">
        <v>4510230</v>
      </c>
      <c r="E939" s="21" t="s">
        <v>466</v>
      </c>
      <c r="F939" s="22">
        <v>4511001217</v>
      </c>
      <c r="G939" s="21" t="s">
        <v>1479</v>
      </c>
      <c r="H939" s="21" t="s">
        <v>623</v>
      </c>
      <c r="I939" s="22">
        <v>422311</v>
      </c>
      <c r="J939" s="22">
        <v>200104</v>
      </c>
      <c r="K939" s="22" t="s">
        <v>2959</v>
      </c>
      <c r="L939" s="22">
        <v>70107</v>
      </c>
      <c r="M939" s="23" t="s">
        <v>2960</v>
      </c>
      <c r="N939" s="24">
        <v>0</v>
      </c>
      <c r="O939" s="24">
        <v>0</v>
      </c>
      <c r="P939" s="24">
        <v>0</v>
      </c>
      <c r="Q939" s="24">
        <v>61000</v>
      </c>
      <c r="R939" s="24">
        <v>15250</v>
      </c>
      <c r="S939" s="24">
        <v>15250</v>
      </c>
      <c r="T939" s="24">
        <v>15250</v>
      </c>
      <c r="U939" s="24">
        <v>15250</v>
      </c>
      <c r="V939" s="24">
        <v>15250</v>
      </c>
      <c r="W939" s="24">
        <v>15250</v>
      </c>
      <c r="X939" s="24">
        <v>15250</v>
      </c>
      <c r="Y939" s="24">
        <v>15250</v>
      </c>
      <c r="Z939" s="24">
        <f t="shared" si="44"/>
        <v>183000</v>
      </c>
      <c r="AB939" s="25">
        <v>183000</v>
      </c>
      <c r="AC939" s="26">
        <v>183000</v>
      </c>
      <c r="AD939" s="24">
        <v>0</v>
      </c>
      <c r="AE939" s="27">
        <f>_xlfn.XLOOKUP(B939,'Projects Cashflow'!$B:$B,'Projects Cashflow'!$AG:$AG,0)</f>
        <v>183000</v>
      </c>
      <c r="AF939" s="28">
        <f t="shared" si="45"/>
        <v>0</v>
      </c>
    </row>
    <row r="940" spans="2:32" x14ac:dyDescent="0.3">
      <c r="B940" s="14" t="str">
        <f t="shared" si="43"/>
        <v>45102304511001217Maintenance-N1426212200104</v>
      </c>
      <c r="C940" s="21" t="s">
        <v>2984</v>
      </c>
      <c r="D940" s="22">
        <v>4510230</v>
      </c>
      <c r="E940" s="21" t="s">
        <v>466</v>
      </c>
      <c r="F940" s="22">
        <v>4511001217</v>
      </c>
      <c r="G940" s="21" t="s">
        <v>1479</v>
      </c>
      <c r="H940" s="21" t="s">
        <v>625</v>
      </c>
      <c r="I940" s="22">
        <v>426212</v>
      </c>
      <c r="J940" s="22">
        <v>200104</v>
      </c>
      <c r="K940" s="22" t="s">
        <v>2959</v>
      </c>
      <c r="L940" s="22">
        <v>70107</v>
      </c>
      <c r="M940" s="23" t="s">
        <v>2960</v>
      </c>
      <c r="N940" s="24">
        <v>0</v>
      </c>
      <c r="O940" s="24">
        <v>0</v>
      </c>
      <c r="P940" s="24">
        <v>0</v>
      </c>
      <c r="Q940" s="24">
        <v>55662</v>
      </c>
      <c r="R940" s="24">
        <v>13917</v>
      </c>
      <c r="S940" s="24">
        <v>13917</v>
      </c>
      <c r="T940" s="24">
        <v>13917</v>
      </c>
      <c r="U940" s="24">
        <v>13917</v>
      </c>
      <c r="V940" s="24">
        <v>13917</v>
      </c>
      <c r="W940" s="24">
        <v>13917</v>
      </c>
      <c r="X940" s="24">
        <v>13917</v>
      </c>
      <c r="Y940" s="24">
        <v>13919</v>
      </c>
      <c r="Z940" s="24">
        <f t="shared" si="44"/>
        <v>167000</v>
      </c>
      <c r="AB940" s="25">
        <v>167000</v>
      </c>
      <c r="AC940" s="26">
        <v>167000</v>
      </c>
      <c r="AD940" s="24">
        <v>0</v>
      </c>
      <c r="AE940" s="27">
        <f>_xlfn.XLOOKUP(B940,'Projects Cashflow'!$B:$B,'Projects Cashflow'!$AG:$AG,0)</f>
        <v>167000</v>
      </c>
      <c r="AF940" s="28">
        <f t="shared" si="45"/>
        <v>0</v>
      </c>
    </row>
    <row r="941" spans="2:32" x14ac:dyDescent="0.3">
      <c r="B941" s="14" t="str">
        <f t="shared" si="43"/>
        <v>45102304511001217Ad-hoc Repairs-N1426427200104</v>
      </c>
      <c r="C941" s="21" t="s">
        <v>2984</v>
      </c>
      <c r="D941" s="22">
        <v>4510230</v>
      </c>
      <c r="E941" s="21" t="s">
        <v>466</v>
      </c>
      <c r="F941" s="22">
        <v>4511001217</v>
      </c>
      <c r="G941" s="21" t="s">
        <v>1479</v>
      </c>
      <c r="H941" s="21" t="s">
        <v>621</v>
      </c>
      <c r="I941" s="22">
        <v>426427</v>
      </c>
      <c r="J941" s="22">
        <v>200104</v>
      </c>
      <c r="K941" s="22" t="s">
        <v>2959</v>
      </c>
      <c r="L941" s="22">
        <v>70107</v>
      </c>
      <c r="M941" s="23" t="s">
        <v>2960</v>
      </c>
      <c r="N941" s="24">
        <v>0</v>
      </c>
      <c r="O941" s="24">
        <v>0</v>
      </c>
      <c r="P941" s="24">
        <v>0</v>
      </c>
      <c r="Q941" s="24">
        <v>16400</v>
      </c>
      <c r="R941" s="24">
        <v>4100</v>
      </c>
      <c r="S941" s="24">
        <v>4100</v>
      </c>
      <c r="T941" s="24">
        <v>4100</v>
      </c>
      <c r="U941" s="24">
        <v>4100</v>
      </c>
      <c r="V941" s="24">
        <v>4300</v>
      </c>
      <c r="W941" s="24">
        <v>4300</v>
      </c>
      <c r="X941" s="24">
        <v>4300</v>
      </c>
      <c r="Y941" s="24">
        <v>4300</v>
      </c>
      <c r="Z941" s="24">
        <f t="shared" si="44"/>
        <v>50000</v>
      </c>
      <c r="AB941" s="25">
        <v>50000</v>
      </c>
      <c r="AC941" s="26">
        <v>50000</v>
      </c>
      <c r="AD941" s="24">
        <v>0</v>
      </c>
      <c r="AE941" s="27">
        <f>_xlfn.XLOOKUP(B941,'Projects Cashflow'!$B:$B,'Projects Cashflow'!$AG:$AG,0)</f>
        <v>50000</v>
      </c>
      <c r="AF941" s="28">
        <f t="shared" si="45"/>
        <v>0</v>
      </c>
    </row>
    <row r="942" spans="2:32" x14ac:dyDescent="0.3">
      <c r="B942" s="14" t="str">
        <f t="shared" si="43"/>
        <v>45102304511001218Interior Fit Out-NC1491711300105</v>
      </c>
      <c r="C942" s="21" t="s">
        <v>2984</v>
      </c>
      <c r="D942" s="22">
        <v>4510230</v>
      </c>
      <c r="E942" s="21" t="s">
        <v>466</v>
      </c>
      <c r="F942" s="22">
        <v>4511001218</v>
      </c>
      <c r="G942" s="21" t="s">
        <v>1481</v>
      </c>
      <c r="H942" s="21" t="s">
        <v>638</v>
      </c>
      <c r="I942" s="22">
        <v>491711</v>
      </c>
      <c r="J942" s="22">
        <v>300105</v>
      </c>
      <c r="K942" s="22" t="s">
        <v>2972</v>
      </c>
      <c r="L942" s="22">
        <v>70107</v>
      </c>
      <c r="M942" s="23" t="s">
        <v>2960</v>
      </c>
      <c r="N942" s="24">
        <v>0</v>
      </c>
      <c r="O942" s="24">
        <v>0</v>
      </c>
      <c r="P942" s="24">
        <v>0</v>
      </c>
      <c r="Q942" s="24">
        <v>0</v>
      </c>
      <c r="R942" s="24">
        <v>0</v>
      </c>
      <c r="S942" s="24">
        <v>0</v>
      </c>
      <c r="T942" s="24">
        <v>0</v>
      </c>
      <c r="U942" s="24">
        <v>0</v>
      </c>
      <c r="V942" s="24">
        <v>0</v>
      </c>
      <c r="W942" s="24">
        <v>0</v>
      </c>
      <c r="X942" s="24">
        <v>143000</v>
      </c>
      <c r="Y942" s="24">
        <v>0</v>
      </c>
      <c r="Z942" s="24">
        <f t="shared" si="44"/>
        <v>143000</v>
      </c>
      <c r="AB942" s="25">
        <v>143000</v>
      </c>
      <c r="AC942" s="26">
        <v>143000</v>
      </c>
      <c r="AD942" s="24">
        <v>0</v>
      </c>
      <c r="AE942" s="27">
        <f>_xlfn.XLOOKUP(B942,'Projects Cashflow'!$B:$B,'Projects Cashflow'!$AG:$AG,0)</f>
        <v>143000</v>
      </c>
      <c r="AF942" s="28">
        <f t="shared" si="45"/>
        <v>0</v>
      </c>
    </row>
    <row r="943" spans="2:32" x14ac:dyDescent="0.3">
      <c r="B943" s="14" t="str">
        <f t="shared" si="43"/>
        <v>45102304511001218Facilities Rent-N1425112200104</v>
      </c>
      <c r="C943" s="21" t="s">
        <v>2984</v>
      </c>
      <c r="D943" s="22">
        <v>4510230</v>
      </c>
      <c r="E943" s="21" t="s">
        <v>466</v>
      </c>
      <c r="F943" s="22">
        <v>4511001218</v>
      </c>
      <c r="G943" s="21" t="s">
        <v>1481</v>
      </c>
      <c r="H943" s="21" t="s">
        <v>631</v>
      </c>
      <c r="I943" s="22">
        <v>425112</v>
      </c>
      <c r="J943" s="22">
        <v>200104</v>
      </c>
      <c r="K943" s="22" t="s">
        <v>2959</v>
      </c>
      <c r="L943" s="22">
        <v>70107</v>
      </c>
      <c r="M943" s="23" t="s">
        <v>2960</v>
      </c>
      <c r="N943" s="24">
        <v>0</v>
      </c>
      <c r="O943" s="24">
        <v>0</v>
      </c>
      <c r="P943" s="24">
        <v>0</v>
      </c>
      <c r="Q943" s="24">
        <v>0</v>
      </c>
      <c r="R943" s="24">
        <v>0</v>
      </c>
      <c r="S943" s="24">
        <v>0</v>
      </c>
      <c r="T943" s="24">
        <v>0</v>
      </c>
      <c r="U943" s="24">
        <v>0</v>
      </c>
      <c r="V943" s="24">
        <v>624104.25</v>
      </c>
      <c r="W943" s="24">
        <v>0</v>
      </c>
      <c r="X943" s="24">
        <v>0</v>
      </c>
      <c r="Y943" s="24">
        <v>0</v>
      </c>
      <c r="Z943" s="24">
        <f t="shared" si="44"/>
        <v>624104.25</v>
      </c>
      <c r="AB943" s="25">
        <v>624104.25</v>
      </c>
      <c r="AC943" s="26">
        <v>624104</v>
      </c>
      <c r="AD943" s="24">
        <v>0.25</v>
      </c>
      <c r="AE943" s="27">
        <f>_xlfn.XLOOKUP(B943,'Projects Cashflow'!$B:$B,'Projects Cashflow'!$AG:$AG,0)</f>
        <v>624104</v>
      </c>
      <c r="AF943" s="28">
        <f t="shared" si="45"/>
        <v>-0.25</v>
      </c>
    </row>
    <row r="944" spans="2:32" x14ac:dyDescent="0.3">
      <c r="B944" s="14" t="str">
        <f t="shared" si="43"/>
        <v>45102304511001218Cleaning Service-N1422311200104</v>
      </c>
      <c r="C944" s="21" t="s">
        <v>2984</v>
      </c>
      <c r="D944" s="22">
        <v>4510230</v>
      </c>
      <c r="E944" s="21" t="s">
        <v>466</v>
      </c>
      <c r="F944" s="22">
        <v>4511001218</v>
      </c>
      <c r="G944" s="21" t="s">
        <v>1481</v>
      </c>
      <c r="H944" s="21" t="s">
        <v>623</v>
      </c>
      <c r="I944" s="22">
        <v>422311</v>
      </c>
      <c r="J944" s="22">
        <v>200104</v>
      </c>
      <c r="K944" s="22" t="s">
        <v>2959</v>
      </c>
      <c r="L944" s="22">
        <v>70107</v>
      </c>
      <c r="M944" s="23" t="s">
        <v>2960</v>
      </c>
      <c r="N944" s="24">
        <v>0</v>
      </c>
      <c r="O944" s="24">
        <v>0</v>
      </c>
      <c r="P944" s="24">
        <v>0</v>
      </c>
      <c r="Q944" s="24">
        <v>22400</v>
      </c>
      <c r="R944" s="24">
        <v>5600</v>
      </c>
      <c r="S944" s="24">
        <v>5600</v>
      </c>
      <c r="T944" s="24">
        <v>5600</v>
      </c>
      <c r="U944" s="24">
        <v>5600</v>
      </c>
      <c r="V944" s="24">
        <v>5600</v>
      </c>
      <c r="W944" s="24">
        <v>5600</v>
      </c>
      <c r="X944" s="24">
        <v>5600</v>
      </c>
      <c r="Y944" s="24">
        <v>5600</v>
      </c>
      <c r="Z944" s="24">
        <f t="shared" si="44"/>
        <v>67200</v>
      </c>
      <c r="AB944" s="25">
        <v>67200</v>
      </c>
      <c r="AC944" s="26">
        <v>67200</v>
      </c>
      <c r="AD944" s="24">
        <v>0</v>
      </c>
      <c r="AE944" s="27">
        <f>_xlfn.XLOOKUP(B944,'Projects Cashflow'!$B:$B,'Projects Cashflow'!$AG:$AG,0)</f>
        <v>67200</v>
      </c>
      <c r="AF944" s="28">
        <f t="shared" si="45"/>
        <v>0</v>
      </c>
    </row>
    <row r="945" spans="2:32" x14ac:dyDescent="0.3">
      <c r="B945" s="14" t="str">
        <f t="shared" si="43"/>
        <v>45102304511001218Hospitality-N1424761200104</v>
      </c>
      <c r="C945" s="21" t="s">
        <v>2984</v>
      </c>
      <c r="D945" s="22">
        <v>4510230</v>
      </c>
      <c r="E945" s="21" t="s">
        <v>466</v>
      </c>
      <c r="F945" s="22">
        <v>4511001218</v>
      </c>
      <c r="G945" s="21" t="s">
        <v>1481</v>
      </c>
      <c r="H945" s="21" t="s">
        <v>399</v>
      </c>
      <c r="I945" s="22">
        <v>424761</v>
      </c>
      <c r="J945" s="22">
        <v>200104</v>
      </c>
      <c r="K945" s="22" t="s">
        <v>2959</v>
      </c>
      <c r="L945" s="22">
        <v>70107</v>
      </c>
      <c r="M945" s="23" t="s">
        <v>2960</v>
      </c>
      <c r="N945" s="24">
        <v>0</v>
      </c>
      <c r="O945" s="24">
        <v>0</v>
      </c>
      <c r="P945" s="24">
        <v>0</v>
      </c>
      <c r="Q945" s="24">
        <v>20000</v>
      </c>
      <c r="R945" s="24">
        <v>5000</v>
      </c>
      <c r="S945" s="24">
        <v>5000</v>
      </c>
      <c r="T945" s="24">
        <v>5000</v>
      </c>
      <c r="U945" s="24">
        <v>5000</v>
      </c>
      <c r="V945" s="24">
        <v>5000</v>
      </c>
      <c r="W945" s="24">
        <v>5000</v>
      </c>
      <c r="X945" s="24">
        <v>5000</v>
      </c>
      <c r="Y945" s="24">
        <v>5000</v>
      </c>
      <c r="Z945" s="24">
        <f t="shared" si="44"/>
        <v>60000</v>
      </c>
      <c r="AB945" s="25">
        <v>60000</v>
      </c>
      <c r="AC945" s="26">
        <v>60000</v>
      </c>
      <c r="AD945" s="24">
        <v>0</v>
      </c>
      <c r="AE945" s="27">
        <f>_xlfn.XLOOKUP(B945,'Projects Cashflow'!$B:$B,'Projects Cashflow'!$AG:$AG,0)</f>
        <v>60000</v>
      </c>
      <c r="AF945" s="28">
        <f t="shared" si="45"/>
        <v>0</v>
      </c>
    </row>
    <row r="946" spans="2:32" x14ac:dyDescent="0.3">
      <c r="B946" s="14" t="str">
        <f t="shared" si="43"/>
        <v>45102304511001218Maintenance-N1426212200104</v>
      </c>
      <c r="C946" s="21" t="s">
        <v>2984</v>
      </c>
      <c r="D946" s="22">
        <v>4510230</v>
      </c>
      <c r="E946" s="21" t="s">
        <v>466</v>
      </c>
      <c r="F946" s="22">
        <v>4511001218</v>
      </c>
      <c r="G946" s="21" t="s">
        <v>1481</v>
      </c>
      <c r="H946" s="21" t="s">
        <v>625</v>
      </c>
      <c r="I946" s="22">
        <v>426212</v>
      </c>
      <c r="J946" s="22">
        <v>200104</v>
      </c>
      <c r="K946" s="22" t="s">
        <v>2959</v>
      </c>
      <c r="L946" s="22">
        <v>70107</v>
      </c>
      <c r="M946" s="23" t="s">
        <v>2960</v>
      </c>
      <c r="N946" s="24">
        <v>0</v>
      </c>
      <c r="O946" s="24">
        <v>0</v>
      </c>
      <c r="P946" s="24">
        <v>0</v>
      </c>
      <c r="Q946" s="24">
        <v>4400</v>
      </c>
      <c r="R946" s="24">
        <v>1100</v>
      </c>
      <c r="S946" s="24">
        <v>1100</v>
      </c>
      <c r="T946" s="24">
        <v>1100</v>
      </c>
      <c r="U946" s="24">
        <v>1100</v>
      </c>
      <c r="V946" s="24">
        <v>1100</v>
      </c>
      <c r="W946" s="24">
        <v>1100</v>
      </c>
      <c r="X946" s="24">
        <v>1100</v>
      </c>
      <c r="Y946" s="24">
        <v>1100</v>
      </c>
      <c r="Z946" s="24">
        <f t="shared" si="44"/>
        <v>13200</v>
      </c>
      <c r="AB946" s="25">
        <v>13200</v>
      </c>
      <c r="AC946" s="26">
        <v>13200</v>
      </c>
      <c r="AD946" s="24">
        <v>0</v>
      </c>
      <c r="AE946" s="27">
        <f>_xlfn.XLOOKUP(B946,'Projects Cashflow'!$B:$B,'Projects Cashflow'!$AG:$AG,0)</f>
        <v>13200</v>
      </c>
      <c r="AF946" s="28">
        <f t="shared" si="45"/>
        <v>0</v>
      </c>
    </row>
    <row r="947" spans="2:32" x14ac:dyDescent="0.3">
      <c r="B947" s="14" t="str">
        <f t="shared" si="43"/>
        <v>45102304511001218Ad-hoc Repairs-N1426427200104</v>
      </c>
      <c r="C947" s="21" t="s">
        <v>2984</v>
      </c>
      <c r="D947" s="22">
        <v>4510230</v>
      </c>
      <c r="E947" s="21" t="s">
        <v>466</v>
      </c>
      <c r="F947" s="22">
        <v>4511001218</v>
      </c>
      <c r="G947" s="21" t="s">
        <v>1481</v>
      </c>
      <c r="H947" s="21" t="s">
        <v>621</v>
      </c>
      <c r="I947" s="22">
        <v>426427</v>
      </c>
      <c r="J947" s="22">
        <v>200104</v>
      </c>
      <c r="K947" s="22" t="s">
        <v>2959</v>
      </c>
      <c r="L947" s="22">
        <v>70107</v>
      </c>
      <c r="M947" s="23" t="s">
        <v>2960</v>
      </c>
      <c r="N947" s="24">
        <v>0</v>
      </c>
      <c r="O947" s="24">
        <v>0</v>
      </c>
      <c r="P947" s="24">
        <v>0</v>
      </c>
      <c r="Q947" s="24">
        <v>4000</v>
      </c>
      <c r="R947" s="24">
        <v>1000</v>
      </c>
      <c r="S947" s="24">
        <v>1000</v>
      </c>
      <c r="T947" s="24">
        <v>1000</v>
      </c>
      <c r="U947" s="24">
        <v>1000</v>
      </c>
      <c r="V947" s="24">
        <v>1000</v>
      </c>
      <c r="W947" s="24">
        <v>1000</v>
      </c>
      <c r="X947" s="24">
        <v>1000</v>
      </c>
      <c r="Y947" s="24">
        <v>1000</v>
      </c>
      <c r="Z947" s="24">
        <f t="shared" si="44"/>
        <v>12000</v>
      </c>
      <c r="AB947" s="25">
        <v>12000</v>
      </c>
      <c r="AC947" s="26">
        <v>12000</v>
      </c>
      <c r="AD947" s="24">
        <v>0</v>
      </c>
      <c r="AE947" s="27">
        <f>_xlfn.XLOOKUP(B947,'Projects Cashflow'!$B:$B,'Projects Cashflow'!$AG:$AG,0)</f>
        <v>12000</v>
      </c>
      <c r="AF947" s="28">
        <f t="shared" si="45"/>
        <v>0</v>
      </c>
    </row>
    <row r="948" spans="2:32" x14ac:dyDescent="0.3">
      <c r="B948" s="14" t="str">
        <f t="shared" si="43"/>
        <v>45102304511001272Maintenance-N1426212200104</v>
      </c>
      <c r="C948" s="21" t="s">
        <v>2984</v>
      </c>
      <c r="D948" s="22">
        <v>4510230</v>
      </c>
      <c r="E948" s="21" t="s">
        <v>466</v>
      </c>
      <c r="F948" s="22">
        <v>4511001272</v>
      </c>
      <c r="G948" s="21" t="s">
        <v>1529</v>
      </c>
      <c r="H948" s="21" t="s">
        <v>625</v>
      </c>
      <c r="I948" s="22">
        <v>426212</v>
      </c>
      <c r="J948" s="22">
        <v>200104</v>
      </c>
      <c r="K948" s="22" t="s">
        <v>2959</v>
      </c>
      <c r="L948" s="22">
        <v>70107</v>
      </c>
      <c r="M948" s="23" t="s">
        <v>2960</v>
      </c>
      <c r="N948" s="24">
        <v>0</v>
      </c>
      <c r="O948" s="24">
        <v>0</v>
      </c>
      <c r="P948" s="24">
        <v>0</v>
      </c>
      <c r="Q948" s="24">
        <v>108120</v>
      </c>
      <c r="R948" s="24">
        <v>27030</v>
      </c>
      <c r="S948" s="24">
        <v>27030</v>
      </c>
      <c r="T948" s="24">
        <v>27030</v>
      </c>
      <c r="U948" s="24">
        <v>27030</v>
      </c>
      <c r="V948" s="24">
        <v>27030</v>
      </c>
      <c r="W948" s="24">
        <v>27030</v>
      </c>
      <c r="X948" s="24">
        <v>27030</v>
      </c>
      <c r="Y948" s="24">
        <v>27030</v>
      </c>
      <c r="Z948" s="24">
        <f t="shared" si="44"/>
        <v>324360</v>
      </c>
      <c r="AB948" s="25">
        <v>324360</v>
      </c>
      <c r="AC948" s="26">
        <v>324360</v>
      </c>
      <c r="AD948" s="24">
        <v>0</v>
      </c>
      <c r="AE948" s="27">
        <f>_xlfn.XLOOKUP(B948,'Projects Cashflow'!$B:$B,'Projects Cashflow'!$AG:$AG,0)</f>
        <v>324360</v>
      </c>
      <c r="AF948" s="28">
        <f t="shared" si="45"/>
        <v>0</v>
      </c>
    </row>
    <row r="949" spans="2:32" x14ac:dyDescent="0.3">
      <c r="B949" s="14" t="str">
        <f t="shared" si="43"/>
        <v>45102304511001272Hospitality-N1424761200104</v>
      </c>
      <c r="C949" s="21" t="s">
        <v>2984</v>
      </c>
      <c r="D949" s="22">
        <v>4510230</v>
      </c>
      <c r="E949" s="21" t="s">
        <v>466</v>
      </c>
      <c r="F949" s="22">
        <v>4511001272</v>
      </c>
      <c r="G949" s="21" t="s">
        <v>1529</v>
      </c>
      <c r="H949" s="21" t="s">
        <v>399</v>
      </c>
      <c r="I949" s="22">
        <v>424761</v>
      </c>
      <c r="J949" s="22">
        <v>200104</v>
      </c>
      <c r="K949" s="22" t="s">
        <v>2959</v>
      </c>
      <c r="L949" s="22">
        <v>70107</v>
      </c>
      <c r="M949" s="23" t="s">
        <v>2960</v>
      </c>
      <c r="N949" s="24">
        <v>0</v>
      </c>
      <c r="O949" s="24">
        <v>0</v>
      </c>
      <c r="P949" s="24">
        <v>0</v>
      </c>
      <c r="Q949" s="24">
        <v>57600</v>
      </c>
      <c r="R949" s="24">
        <v>14400</v>
      </c>
      <c r="S949" s="24">
        <v>14400</v>
      </c>
      <c r="T949" s="24">
        <v>14400</v>
      </c>
      <c r="U949" s="24">
        <v>14400</v>
      </c>
      <c r="V949" s="24">
        <v>14400</v>
      </c>
      <c r="W949" s="24">
        <v>14400</v>
      </c>
      <c r="X949" s="24">
        <v>14400</v>
      </c>
      <c r="Y949" s="24">
        <v>14400</v>
      </c>
      <c r="Z949" s="24">
        <f t="shared" si="44"/>
        <v>172800</v>
      </c>
      <c r="AB949" s="25">
        <v>172800</v>
      </c>
      <c r="AC949" s="26">
        <v>172800</v>
      </c>
      <c r="AD949" s="24">
        <v>0</v>
      </c>
      <c r="AE949" s="27">
        <f>_xlfn.XLOOKUP(B949,'Projects Cashflow'!$B:$B,'Projects Cashflow'!$AG:$AG,0)</f>
        <v>172800</v>
      </c>
      <c r="AF949" s="28">
        <f t="shared" si="45"/>
        <v>0</v>
      </c>
    </row>
    <row r="950" spans="2:32" x14ac:dyDescent="0.3">
      <c r="B950" s="14" t="str">
        <f t="shared" si="43"/>
        <v>45102304511001272Cleaning Service-N1422311200104</v>
      </c>
      <c r="C950" s="21" t="s">
        <v>2984</v>
      </c>
      <c r="D950" s="22">
        <v>4510230</v>
      </c>
      <c r="E950" s="21" t="s">
        <v>466</v>
      </c>
      <c r="F950" s="22">
        <v>4511001272</v>
      </c>
      <c r="G950" s="21" t="s">
        <v>1529</v>
      </c>
      <c r="H950" s="21" t="s">
        <v>623</v>
      </c>
      <c r="I950" s="22">
        <v>422311</v>
      </c>
      <c r="J950" s="22">
        <v>200104</v>
      </c>
      <c r="K950" s="22" t="s">
        <v>2959</v>
      </c>
      <c r="L950" s="22">
        <v>70107</v>
      </c>
      <c r="M950" s="23" t="s">
        <v>2960</v>
      </c>
      <c r="N950" s="24">
        <v>0</v>
      </c>
      <c r="O950" s="24">
        <v>0</v>
      </c>
      <c r="P950" s="24">
        <v>0</v>
      </c>
      <c r="Q950" s="24">
        <v>45000</v>
      </c>
      <c r="R950" s="24">
        <v>11250</v>
      </c>
      <c r="S950" s="24">
        <v>11250</v>
      </c>
      <c r="T950" s="24">
        <v>11250</v>
      </c>
      <c r="U950" s="24">
        <v>11250</v>
      </c>
      <c r="V950" s="24">
        <v>11250</v>
      </c>
      <c r="W950" s="24">
        <v>11250</v>
      </c>
      <c r="X950" s="24">
        <v>11250</v>
      </c>
      <c r="Y950" s="24">
        <v>11250</v>
      </c>
      <c r="Z950" s="24">
        <f t="shared" si="44"/>
        <v>135000</v>
      </c>
      <c r="AB950" s="25">
        <v>135000</v>
      </c>
      <c r="AC950" s="26">
        <v>135000</v>
      </c>
      <c r="AD950" s="24">
        <v>0</v>
      </c>
      <c r="AE950" s="27">
        <f>_xlfn.XLOOKUP(B950,'Projects Cashflow'!$B:$B,'Projects Cashflow'!$AG:$AG,0)</f>
        <v>135000</v>
      </c>
      <c r="AF950" s="28">
        <f t="shared" si="45"/>
        <v>0</v>
      </c>
    </row>
    <row r="951" spans="2:32" x14ac:dyDescent="0.3">
      <c r="B951" s="14" t="str">
        <f t="shared" si="43"/>
        <v>45102304511001272Facilities Rent-N1425112200104</v>
      </c>
      <c r="C951" s="21" t="s">
        <v>2984</v>
      </c>
      <c r="D951" s="22">
        <v>4510230</v>
      </c>
      <c r="E951" s="21" t="s">
        <v>466</v>
      </c>
      <c r="F951" s="22">
        <v>4511001272</v>
      </c>
      <c r="G951" s="21" t="s">
        <v>1529</v>
      </c>
      <c r="H951" s="21" t="s">
        <v>631</v>
      </c>
      <c r="I951" s="22">
        <v>425112</v>
      </c>
      <c r="J951" s="22">
        <v>200104</v>
      </c>
      <c r="K951" s="22" t="s">
        <v>2959</v>
      </c>
      <c r="L951" s="22">
        <v>70107</v>
      </c>
      <c r="M951" s="23" t="s">
        <v>2960</v>
      </c>
      <c r="N951" s="24">
        <v>0</v>
      </c>
      <c r="O951" s="24">
        <v>0</v>
      </c>
      <c r="P951" s="24">
        <v>0</v>
      </c>
      <c r="Q951" s="24">
        <v>0</v>
      </c>
      <c r="R951" s="24">
        <v>53666</v>
      </c>
      <c r="S951" s="24">
        <v>0</v>
      </c>
      <c r="T951" s="24">
        <v>0</v>
      </c>
      <c r="U951" s="24">
        <v>0</v>
      </c>
      <c r="V951" s="24">
        <v>0</v>
      </c>
      <c r="W951" s="24">
        <v>0</v>
      </c>
      <c r="X951" s="24">
        <v>0</v>
      </c>
      <c r="Y951" s="24">
        <v>0</v>
      </c>
      <c r="Z951" s="24">
        <f t="shared" si="44"/>
        <v>53666</v>
      </c>
      <c r="AB951" s="25">
        <v>53666</v>
      </c>
      <c r="AC951" s="26">
        <v>53666.1</v>
      </c>
      <c r="AD951" s="24">
        <v>-9.9999999998544808E-2</v>
      </c>
      <c r="AE951" s="27">
        <f>_xlfn.XLOOKUP(B951,'Projects Cashflow'!$B:$B,'Projects Cashflow'!$AG:$AG,0)</f>
        <v>53666.1</v>
      </c>
      <c r="AF951" s="28">
        <f t="shared" si="45"/>
        <v>9.9999999998544808E-2</v>
      </c>
    </row>
    <row r="952" spans="2:32" x14ac:dyDescent="0.3">
      <c r="B952" s="14" t="str">
        <f t="shared" si="43"/>
        <v>45102304511001272Security Service-N1424551200104</v>
      </c>
      <c r="C952" s="21" t="s">
        <v>2984</v>
      </c>
      <c r="D952" s="22">
        <v>4510230</v>
      </c>
      <c r="E952" s="21" t="s">
        <v>466</v>
      </c>
      <c r="F952" s="22">
        <v>4511001272</v>
      </c>
      <c r="G952" s="21" t="s">
        <v>1529</v>
      </c>
      <c r="H952" s="21" t="s">
        <v>627</v>
      </c>
      <c r="I952" s="22">
        <v>424551</v>
      </c>
      <c r="J952" s="22">
        <v>200104</v>
      </c>
      <c r="K952" s="22" t="s">
        <v>2959</v>
      </c>
      <c r="L952" s="22">
        <v>70107</v>
      </c>
      <c r="M952" s="23" t="s">
        <v>2960</v>
      </c>
      <c r="N952" s="24">
        <v>0</v>
      </c>
      <c r="O952" s="24">
        <v>0</v>
      </c>
      <c r="P952" s="24">
        <v>0</v>
      </c>
      <c r="Q952" s="24">
        <v>16600</v>
      </c>
      <c r="R952" s="24">
        <v>4150</v>
      </c>
      <c r="S952" s="24">
        <v>4150</v>
      </c>
      <c r="T952" s="24">
        <v>4150</v>
      </c>
      <c r="U952" s="24">
        <v>4150</v>
      </c>
      <c r="V952" s="24">
        <v>4150</v>
      </c>
      <c r="W952" s="24">
        <v>4150</v>
      </c>
      <c r="X952" s="24">
        <v>4150</v>
      </c>
      <c r="Y952" s="24">
        <v>4150</v>
      </c>
      <c r="Z952" s="24">
        <f t="shared" si="44"/>
        <v>49800</v>
      </c>
      <c r="AB952" s="25">
        <v>49800</v>
      </c>
      <c r="AC952" s="26">
        <v>49800</v>
      </c>
      <c r="AD952" s="24">
        <v>0</v>
      </c>
      <c r="AE952" s="27">
        <f>_xlfn.XLOOKUP(B952,'Projects Cashflow'!$B:$B,'Projects Cashflow'!$AG:$AG,0)</f>
        <v>49800</v>
      </c>
      <c r="AF952" s="28">
        <f t="shared" si="45"/>
        <v>0</v>
      </c>
    </row>
    <row r="953" spans="2:32" x14ac:dyDescent="0.3">
      <c r="B953" s="14" t="str">
        <f t="shared" si="43"/>
        <v>45102304511001272Landscaping-N1432614200104</v>
      </c>
      <c r="C953" s="21" t="s">
        <v>2984</v>
      </c>
      <c r="D953" s="22">
        <v>4510230</v>
      </c>
      <c r="E953" s="21" t="s">
        <v>466</v>
      </c>
      <c r="F953" s="22">
        <v>4511001272</v>
      </c>
      <c r="G953" s="21" t="s">
        <v>1529</v>
      </c>
      <c r="H953" s="21" t="s">
        <v>694</v>
      </c>
      <c r="I953" s="22">
        <v>432614</v>
      </c>
      <c r="J953" s="22">
        <v>200104</v>
      </c>
      <c r="K953" s="22" t="s">
        <v>2959</v>
      </c>
      <c r="L953" s="22">
        <v>70107</v>
      </c>
      <c r="M953" s="23" t="s">
        <v>2960</v>
      </c>
      <c r="N953" s="24">
        <v>0</v>
      </c>
      <c r="O953" s="24">
        <v>0</v>
      </c>
      <c r="P953" s="24">
        <v>0</v>
      </c>
      <c r="Q953" s="24">
        <v>15000</v>
      </c>
      <c r="R953" s="24">
        <v>3750</v>
      </c>
      <c r="S953" s="24">
        <v>3750</v>
      </c>
      <c r="T953" s="24">
        <v>3750</v>
      </c>
      <c r="U953" s="24">
        <v>3750</v>
      </c>
      <c r="V953" s="24">
        <v>3750</v>
      </c>
      <c r="W953" s="24">
        <v>3750</v>
      </c>
      <c r="X953" s="24">
        <v>3750</v>
      </c>
      <c r="Y953" s="24">
        <v>3750</v>
      </c>
      <c r="Z953" s="24">
        <f t="shared" si="44"/>
        <v>45000</v>
      </c>
      <c r="AB953" s="25">
        <v>45000</v>
      </c>
      <c r="AC953" s="26">
        <v>45000</v>
      </c>
      <c r="AD953" s="24">
        <v>0</v>
      </c>
      <c r="AE953" s="27">
        <f>_xlfn.XLOOKUP(B953,'Projects Cashflow'!$B:$B,'Projects Cashflow'!$AG:$AG,0)</f>
        <v>45000</v>
      </c>
      <c r="AF953" s="28">
        <f t="shared" si="45"/>
        <v>0</v>
      </c>
    </row>
    <row r="954" spans="2:32" x14ac:dyDescent="0.3">
      <c r="B954" s="14" t="str">
        <f t="shared" si="43"/>
        <v>45102304511001272Ad-hoc Repairs-N1426427200104</v>
      </c>
      <c r="C954" s="21" t="s">
        <v>2984</v>
      </c>
      <c r="D954" s="22">
        <v>4510230</v>
      </c>
      <c r="E954" s="21" t="s">
        <v>466</v>
      </c>
      <c r="F954" s="22">
        <v>4511001272</v>
      </c>
      <c r="G954" s="21" t="s">
        <v>1529</v>
      </c>
      <c r="H954" s="21" t="s">
        <v>621</v>
      </c>
      <c r="I954" s="22">
        <v>426427</v>
      </c>
      <c r="J954" s="22">
        <v>200104</v>
      </c>
      <c r="K954" s="22" t="s">
        <v>2959</v>
      </c>
      <c r="L954" s="22">
        <v>70107</v>
      </c>
      <c r="M954" s="23" t="s">
        <v>2960</v>
      </c>
      <c r="N954" s="24">
        <v>0</v>
      </c>
      <c r="O954" s="24">
        <v>0</v>
      </c>
      <c r="P954" s="24">
        <v>0</v>
      </c>
      <c r="Q954" s="24">
        <v>10800</v>
      </c>
      <c r="R954" s="24">
        <v>2700</v>
      </c>
      <c r="S954" s="24">
        <v>2700</v>
      </c>
      <c r="T954" s="24">
        <v>2700</v>
      </c>
      <c r="U954" s="24">
        <v>2700</v>
      </c>
      <c r="V954" s="24">
        <v>2700</v>
      </c>
      <c r="W954" s="24">
        <v>2700</v>
      </c>
      <c r="X954" s="24">
        <v>2700</v>
      </c>
      <c r="Y954" s="24">
        <v>2700</v>
      </c>
      <c r="Z954" s="24">
        <f t="shared" si="44"/>
        <v>32400</v>
      </c>
      <c r="AB954" s="25">
        <v>32400</v>
      </c>
      <c r="AC954" s="26">
        <v>32400</v>
      </c>
      <c r="AD954" s="24">
        <v>0</v>
      </c>
      <c r="AE954" s="27">
        <f>_xlfn.XLOOKUP(B954,'Projects Cashflow'!$B:$B,'Projects Cashflow'!$AG:$AG,0)</f>
        <v>32400</v>
      </c>
      <c r="AF954" s="28">
        <f t="shared" si="45"/>
        <v>0</v>
      </c>
    </row>
    <row r="955" spans="2:32" x14ac:dyDescent="0.3">
      <c r="B955" s="14" t="str">
        <f t="shared" si="43"/>
        <v>45102304511001273Hospitality-N1424761200104</v>
      </c>
      <c r="C955" s="21" t="s">
        <v>2984</v>
      </c>
      <c r="D955" s="22">
        <v>4510230</v>
      </c>
      <c r="E955" s="21" t="s">
        <v>466</v>
      </c>
      <c r="F955" s="22">
        <v>4511001273</v>
      </c>
      <c r="G955" s="21" t="s">
        <v>1531</v>
      </c>
      <c r="H955" s="21" t="s">
        <v>399</v>
      </c>
      <c r="I955" s="22">
        <v>424761</v>
      </c>
      <c r="J955" s="22">
        <v>200104</v>
      </c>
      <c r="K955" s="22" t="s">
        <v>2959</v>
      </c>
      <c r="L955" s="22">
        <v>70107</v>
      </c>
      <c r="M955" s="23" t="s">
        <v>2960</v>
      </c>
      <c r="N955" s="24">
        <v>0</v>
      </c>
      <c r="O955" s="24">
        <v>0</v>
      </c>
      <c r="P955" s="24">
        <v>0</v>
      </c>
      <c r="Q955" s="24">
        <v>17632</v>
      </c>
      <c r="R955" s="24">
        <v>4408</v>
      </c>
      <c r="S955" s="24">
        <v>4408</v>
      </c>
      <c r="T955" s="24">
        <v>4408</v>
      </c>
      <c r="U955" s="24">
        <v>4408</v>
      </c>
      <c r="V955" s="24">
        <v>4408</v>
      </c>
      <c r="W955" s="24">
        <v>4410</v>
      </c>
      <c r="X955" s="24">
        <v>4410</v>
      </c>
      <c r="Y955" s="24">
        <v>4408</v>
      </c>
      <c r="Z955" s="24">
        <f t="shared" si="44"/>
        <v>52900</v>
      </c>
      <c r="AB955" s="25">
        <v>52900</v>
      </c>
      <c r="AC955" s="26">
        <v>52900</v>
      </c>
      <c r="AD955" s="24">
        <v>0</v>
      </c>
      <c r="AE955" s="27">
        <f>_xlfn.XLOOKUP(B955,'Projects Cashflow'!$B:$B,'Projects Cashflow'!$AG:$AG,0)</f>
        <v>52900</v>
      </c>
      <c r="AF955" s="28">
        <f t="shared" si="45"/>
        <v>0</v>
      </c>
    </row>
    <row r="956" spans="2:32" x14ac:dyDescent="0.3">
      <c r="B956" s="14" t="str">
        <f t="shared" si="43"/>
        <v>45102304511001273Cleaning Service-N1422311200104</v>
      </c>
      <c r="C956" s="21" t="s">
        <v>2984</v>
      </c>
      <c r="D956" s="22">
        <v>4510230</v>
      </c>
      <c r="E956" s="21" t="s">
        <v>466</v>
      </c>
      <c r="F956" s="22">
        <v>4511001273</v>
      </c>
      <c r="G956" s="21" t="s">
        <v>1531</v>
      </c>
      <c r="H956" s="21" t="s">
        <v>623</v>
      </c>
      <c r="I956" s="22">
        <v>422311</v>
      </c>
      <c r="J956" s="22">
        <v>200104</v>
      </c>
      <c r="K956" s="22" t="s">
        <v>2959</v>
      </c>
      <c r="L956" s="22">
        <v>70107</v>
      </c>
      <c r="M956" s="23" t="s">
        <v>2960</v>
      </c>
      <c r="N956" s="24">
        <v>0</v>
      </c>
      <c r="O956" s="24">
        <v>0</v>
      </c>
      <c r="P956" s="24">
        <v>0</v>
      </c>
      <c r="Q956" s="24">
        <v>12600</v>
      </c>
      <c r="R956" s="24">
        <v>3150</v>
      </c>
      <c r="S956" s="24">
        <v>3150</v>
      </c>
      <c r="T956" s="24">
        <v>3150</v>
      </c>
      <c r="U956" s="24">
        <v>3150</v>
      </c>
      <c r="V956" s="24">
        <v>3150</v>
      </c>
      <c r="W956" s="24">
        <v>3150</v>
      </c>
      <c r="X956" s="24">
        <v>3150</v>
      </c>
      <c r="Y956" s="24">
        <v>3150</v>
      </c>
      <c r="Z956" s="24">
        <f t="shared" si="44"/>
        <v>37800</v>
      </c>
      <c r="AB956" s="25">
        <v>37800</v>
      </c>
      <c r="AC956" s="26">
        <v>37800</v>
      </c>
      <c r="AD956" s="24">
        <v>0</v>
      </c>
      <c r="AE956" s="27">
        <f>_xlfn.XLOOKUP(B956,'Projects Cashflow'!$B:$B,'Projects Cashflow'!$AG:$AG,0)</f>
        <v>37800</v>
      </c>
      <c r="AF956" s="28">
        <f t="shared" si="45"/>
        <v>0</v>
      </c>
    </row>
    <row r="957" spans="2:32" x14ac:dyDescent="0.3">
      <c r="B957" s="14" t="str">
        <f t="shared" si="43"/>
        <v>45102304511001273Maintenance-N1426212200104</v>
      </c>
      <c r="C957" s="21" t="s">
        <v>2984</v>
      </c>
      <c r="D957" s="22">
        <v>4510230</v>
      </c>
      <c r="E957" s="21" t="s">
        <v>466</v>
      </c>
      <c r="F957" s="22">
        <v>4511001273</v>
      </c>
      <c r="G957" s="21" t="s">
        <v>1531</v>
      </c>
      <c r="H957" s="21" t="s">
        <v>625</v>
      </c>
      <c r="I957" s="22">
        <v>426212</v>
      </c>
      <c r="J957" s="22">
        <v>200104</v>
      </c>
      <c r="K957" s="22" t="s">
        <v>2959</v>
      </c>
      <c r="L957" s="22">
        <v>70107</v>
      </c>
      <c r="M957" s="23" t="s">
        <v>2960</v>
      </c>
      <c r="N957" s="24">
        <v>0</v>
      </c>
      <c r="O957" s="24">
        <v>0</v>
      </c>
      <c r="P957" s="24">
        <v>0</v>
      </c>
      <c r="Q957" s="24">
        <v>6336</v>
      </c>
      <c r="R957" s="24">
        <v>1583</v>
      </c>
      <c r="S957" s="24">
        <v>1583</v>
      </c>
      <c r="T957" s="24">
        <v>1583</v>
      </c>
      <c r="U957" s="24">
        <v>1583</v>
      </c>
      <c r="V957" s="24">
        <v>1583</v>
      </c>
      <c r="W957" s="24">
        <v>1583</v>
      </c>
      <c r="X957" s="24">
        <v>1583</v>
      </c>
      <c r="Y957" s="24">
        <v>1583</v>
      </c>
      <c r="Z957" s="24">
        <f t="shared" si="44"/>
        <v>19000</v>
      </c>
      <c r="AB957" s="25">
        <v>19000</v>
      </c>
      <c r="AC957" s="26">
        <v>19000</v>
      </c>
      <c r="AD957" s="24">
        <v>0</v>
      </c>
      <c r="AE957" s="27">
        <f>_xlfn.XLOOKUP(B957,'Projects Cashflow'!$B:$B,'Projects Cashflow'!$AG:$AG,0)</f>
        <v>19000</v>
      </c>
      <c r="AF957" s="28">
        <f t="shared" si="45"/>
        <v>0</v>
      </c>
    </row>
    <row r="958" spans="2:32" x14ac:dyDescent="0.3">
      <c r="B958" s="14" t="str">
        <f t="shared" si="43"/>
        <v>45102304511001273Ad-hoc Repairs-N1426427200104</v>
      </c>
      <c r="C958" s="21" t="s">
        <v>2984</v>
      </c>
      <c r="D958" s="22">
        <v>4510230</v>
      </c>
      <c r="E958" s="21" t="s">
        <v>466</v>
      </c>
      <c r="F958" s="22">
        <v>4511001273</v>
      </c>
      <c r="G958" s="21" t="s">
        <v>1531</v>
      </c>
      <c r="H958" s="21" t="s">
        <v>621</v>
      </c>
      <c r="I958" s="22">
        <v>426427</v>
      </c>
      <c r="J958" s="22">
        <v>200104</v>
      </c>
      <c r="K958" s="22" t="s">
        <v>2959</v>
      </c>
      <c r="L958" s="22">
        <v>70107</v>
      </c>
      <c r="M958" s="23" t="s">
        <v>2960</v>
      </c>
      <c r="N958" s="24">
        <v>0</v>
      </c>
      <c r="O958" s="24">
        <v>0</v>
      </c>
      <c r="P958" s="24">
        <v>0</v>
      </c>
      <c r="Q958" s="24">
        <v>2000</v>
      </c>
      <c r="R958" s="24">
        <v>0</v>
      </c>
      <c r="S958" s="24">
        <v>0</v>
      </c>
      <c r="T958" s="24">
        <v>2000</v>
      </c>
      <c r="U958" s="24">
        <v>0</v>
      </c>
      <c r="V958" s="24">
        <v>2000</v>
      </c>
      <c r="W958" s="24">
        <v>0</v>
      </c>
      <c r="X958" s="24">
        <v>0</v>
      </c>
      <c r="Y958" s="24">
        <v>0</v>
      </c>
      <c r="Z958" s="24">
        <f t="shared" si="44"/>
        <v>6000</v>
      </c>
      <c r="AB958" s="25">
        <v>6000</v>
      </c>
      <c r="AC958" s="26">
        <v>6000</v>
      </c>
      <c r="AD958" s="24">
        <v>0</v>
      </c>
      <c r="AE958" s="27">
        <f>_xlfn.XLOOKUP(B958,'Projects Cashflow'!$B:$B,'Projects Cashflow'!$AG:$AG,0)</f>
        <v>6000</v>
      </c>
      <c r="AF958" s="28">
        <f t="shared" si="45"/>
        <v>0</v>
      </c>
    </row>
    <row r="959" spans="2:32" x14ac:dyDescent="0.3">
      <c r="B959" s="14" t="str">
        <f t="shared" si="43"/>
        <v>45102304511001274Interior Fit Out-NC1491711300105</v>
      </c>
      <c r="C959" s="21" t="s">
        <v>2984</v>
      </c>
      <c r="D959" s="22">
        <v>4510230</v>
      </c>
      <c r="E959" s="21" t="s">
        <v>466</v>
      </c>
      <c r="F959" s="22">
        <v>4511001274</v>
      </c>
      <c r="G959" s="21" t="s">
        <v>1533</v>
      </c>
      <c r="H959" s="21" t="s">
        <v>638</v>
      </c>
      <c r="I959" s="22">
        <v>491711</v>
      </c>
      <c r="J959" s="22">
        <v>300105</v>
      </c>
      <c r="K959" s="22" t="s">
        <v>2972</v>
      </c>
      <c r="L959" s="22">
        <v>70107</v>
      </c>
      <c r="M959" s="23" t="s">
        <v>2960</v>
      </c>
      <c r="N959" s="24">
        <v>0</v>
      </c>
      <c r="O959" s="24">
        <v>0</v>
      </c>
      <c r="P959" s="24">
        <v>0</v>
      </c>
      <c r="Q959" s="24">
        <v>5000</v>
      </c>
      <c r="R959" s="24">
        <v>0</v>
      </c>
      <c r="S959" s="24">
        <v>5000</v>
      </c>
      <c r="T959" s="24">
        <v>0</v>
      </c>
      <c r="U959" s="24">
        <v>0</v>
      </c>
      <c r="V959" s="24">
        <v>5000</v>
      </c>
      <c r="W959" s="24">
        <v>0</v>
      </c>
      <c r="X959" s="24">
        <v>4000</v>
      </c>
      <c r="Y959" s="24">
        <v>0</v>
      </c>
      <c r="Z959" s="24">
        <f t="shared" si="44"/>
        <v>19000</v>
      </c>
      <c r="AB959" s="25">
        <v>19000</v>
      </c>
      <c r="AC959" s="26">
        <v>19000</v>
      </c>
      <c r="AD959" s="24">
        <v>0</v>
      </c>
      <c r="AE959" s="27">
        <f>_xlfn.XLOOKUP(B959,'Projects Cashflow'!$B:$B,'Projects Cashflow'!$AG:$AG,0)</f>
        <v>19000</v>
      </c>
      <c r="AF959" s="28">
        <f t="shared" si="45"/>
        <v>0</v>
      </c>
    </row>
    <row r="960" spans="2:32" x14ac:dyDescent="0.3">
      <c r="B960" s="14" t="str">
        <f t="shared" si="43"/>
        <v>45102304511000519Security Service-N1424551200104</v>
      </c>
      <c r="C960" s="21" t="s">
        <v>2984</v>
      </c>
      <c r="D960" s="22">
        <v>4510230</v>
      </c>
      <c r="E960" s="21" t="s">
        <v>466</v>
      </c>
      <c r="F960" s="22">
        <v>4511000519</v>
      </c>
      <c r="G960" s="21" t="s">
        <v>3100</v>
      </c>
      <c r="H960" s="21" t="s">
        <v>627</v>
      </c>
      <c r="I960" s="22">
        <v>424551</v>
      </c>
      <c r="J960" s="22">
        <v>200104</v>
      </c>
      <c r="K960" s="22" t="s">
        <v>2959</v>
      </c>
      <c r="L960" s="22">
        <v>70107</v>
      </c>
      <c r="M960" s="23" t="s">
        <v>2960</v>
      </c>
      <c r="N960" s="24">
        <v>0</v>
      </c>
      <c r="O960" s="24">
        <v>0</v>
      </c>
      <c r="P960" s="24">
        <v>0</v>
      </c>
      <c r="Q960" s="24">
        <v>34000</v>
      </c>
      <c r="R960" s="24">
        <v>8500</v>
      </c>
      <c r="S960" s="24">
        <v>8500</v>
      </c>
      <c r="T960" s="24">
        <v>8500</v>
      </c>
      <c r="U960" s="24">
        <v>0</v>
      </c>
      <c r="V960" s="24">
        <v>0</v>
      </c>
      <c r="W960" s="24">
        <v>0</v>
      </c>
      <c r="X960" s="24">
        <v>0</v>
      </c>
      <c r="Y960" s="24">
        <v>0</v>
      </c>
      <c r="Z960" s="24">
        <f t="shared" si="44"/>
        <v>59500</v>
      </c>
      <c r="AB960" s="25">
        <v>59500</v>
      </c>
      <c r="AC960" s="26">
        <v>59500</v>
      </c>
      <c r="AD960" s="24">
        <v>0</v>
      </c>
      <c r="AE960" s="27">
        <f>_xlfn.XLOOKUP(B960,'Projects Cashflow'!$B:$B,'Projects Cashflow'!$AG:$AG,0)</f>
        <v>59500</v>
      </c>
      <c r="AF960" s="28">
        <f t="shared" si="45"/>
        <v>0</v>
      </c>
    </row>
    <row r="961" spans="2:32" x14ac:dyDescent="0.3">
      <c r="B961" s="14" t="str">
        <f t="shared" si="43"/>
        <v>45102304511001274Cleaning Service-N1422311200104</v>
      </c>
      <c r="C961" s="21" t="s">
        <v>2984</v>
      </c>
      <c r="D961" s="22">
        <v>4510230</v>
      </c>
      <c r="E961" s="21" t="s">
        <v>466</v>
      </c>
      <c r="F961" s="22">
        <v>4511001274</v>
      </c>
      <c r="G961" s="21" t="s">
        <v>1533</v>
      </c>
      <c r="H961" s="21" t="s">
        <v>623</v>
      </c>
      <c r="I961" s="22">
        <v>422311</v>
      </c>
      <c r="J961" s="22">
        <v>200104</v>
      </c>
      <c r="K961" s="22" t="s">
        <v>2959</v>
      </c>
      <c r="L961" s="22">
        <v>70107</v>
      </c>
      <c r="M961" s="23" t="s">
        <v>2960</v>
      </c>
      <c r="N961" s="24">
        <v>0</v>
      </c>
      <c r="O961" s="24">
        <v>0</v>
      </c>
      <c r="P961" s="24">
        <v>0</v>
      </c>
      <c r="Q961" s="24">
        <v>24800</v>
      </c>
      <c r="R961" s="24">
        <v>6200</v>
      </c>
      <c r="S961" s="24">
        <v>6200</v>
      </c>
      <c r="T961" s="24">
        <v>6200</v>
      </c>
      <c r="U961" s="24">
        <v>6200</v>
      </c>
      <c r="V961" s="24">
        <v>6200</v>
      </c>
      <c r="W961" s="24">
        <v>6200</v>
      </c>
      <c r="X961" s="24">
        <v>6200</v>
      </c>
      <c r="Y961" s="24">
        <v>6200</v>
      </c>
      <c r="Z961" s="24">
        <f t="shared" si="44"/>
        <v>74400</v>
      </c>
      <c r="AB961" s="25">
        <v>74400</v>
      </c>
      <c r="AC961" s="26">
        <v>74400</v>
      </c>
      <c r="AD961" s="24">
        <v>0</v>
      </c>
      <c r="AE961" s="27">
        <f>_xlfn.XLOOKUP(B961,'Projects Cashflow'!$B:$B,'Projects Cashflow'!$AG:$AG,0)</f>
        <v>74400</v>
      </c>
      <c r="AF961" s="28">
        <f t="shared" si="45"/>
        <v>0</v>
      </c>
    </row>
    <row r="962" spans="2:32" x14ac:dyDescent="0.3">
      <c r="B962" s="14" t="str">
        <f t="shared" si="43"/>
        <v>45102304511001274Hospitality-N1424761200104</v>
      </c>
      <c r="C962" s="21" t="s">
        <v>2984</v>
      </c>
      <c r="D962" s="22">
        <v>4510230</v>
      </c>
      <c r="E962" s="21" t="s">
        <v>466</v>
      </c>
      <c r="F962" s="22">
        <v>4511001274</v>
      </c>
      <c r="G962" s="21" t="s">
        <v>1533</v>
      </c>
      <c r="H962" s="21" t="s">
        <v>399</v>
      </c>
      <c r="I962" s="22">
        <v>424761</v>
      </c>
      <c r="J962" s="22">
        <v>200104</v>
      </c>
      <c r="K962" s="22" t="s">
        <v>2959</v>
      </c>
      <c r="L962" s="22">
        <v>70107</v>
      </c>
      <c r="M962" s="23" t="s">
        <v>2960</v>
      </c>
      <c r="N962" s="24">
        <v>0</v>
      </c>
      <c r="O962" s="24">
        <v>0</v>
      </c>
      <c r="P962" s="24">
        <v>0</v>
      </c>
      <c r="Q962" s="24">
        <v>21332</v>
      </c>
      <c r="R962" s="24">
        <v>5333</v>
      </c>
      <c r="S962" s="24">
        <v>5333</v>
      </c>
      <c r="T962" s="24">
        <v>5333</v>
      </c>
      <c r="U962" s="24">
        <v>5333</v>
      </c>
      <c r="V962" s="24">
        <v>5333</v>
      </c>
      <c r="W962" s="24">
        <v>5333</v>
      </c>
      <c r="X962" s="24">
        <v>5333</v>
      </c>
      <c r="Y962" s="24">
        <v>5337</v>
      </c>
      <c r="Z962" s="24">
        <f t="shared" si="44"/>
        <v>64000</v>
      </c>
      <c r="AB962" s="25">
        <v>64000</v>
      </c>
      <c r="AC962" s="26">
        <v>64000</v>
      </c>
      <c r="AD962" s="24">
        <v>0</v>
      </c>
      <c r="AE962" s="27">
        <f>_xlfn.XLOOKUP(B962,'Projects Cashflow'!$B:$B,'Projects Cashflow'!$AG:$AG,0)</f>
        <v>64000</v>
      </c>
      <c r="AF962" s="28">
        <f t="shared" si="45"/>
        <v>0</v>
      </c>
    </row>
    <row r="963" spans="2:32" x14ac:dyDescent="0.3">
      <c r="B963" s="14" t="str">
        <f t="shared" si="43"/>
        <v>45102304511001274Maintenance-N1426212200104</v>
      </c>
      <c r="C963" s="21" t="s">
        <v>2984</v>
      </c>
      <c r="D963" s="22">
        <v>4510230</v>
      </c>
      <c r="E963" s="21" t="s">
        <v>466</v>
      </c>
      <c r="F963" s="22">
        <v>4511001274</v>
      </c>
      <c r="G963" s="21" t="s">
        <v>1533</v>
      </c>
      <c r="H963" s="21" t="s">
        <v>625</v>
      </c>
      <c r="I963" s="22">
        <v>426212</v>
      </c>
      <c r="J963" s="22">
        <v>200104</v>
      </c>
      <c r="K963" s="22" t="s">
        <v>2959</v>
      </c>
      <c r="L963" s="22">
        <v>70107</v>
      </c>
      <c r="M963" s="23" t="s">
        <v>2960</v>
      </c>
      <c r="N963" s="24">
        <v>0</v>
      </c>
      <c r="O963" s="24">
        <v>0</v>
      </c>
      <c r="P963" s="24">
        <v>0</v>
      </c>
      <c r="Q963" s="24">
        <v>20000</v>
      </c>
      <c r="R963" s="24">
        <v>5000</v>
      </c>
      <c r="S963" s="24">
        <v>5000</v>
      </c>
      <c r="T963" s="24">
        <v>5000</v>
      </c>
      <c r="U963" s="24">
        <v>5000</v>
      </c>
      <c r="V963" s="24">
        <v>5000</v>
      </c>
      <c r="W963" s="24">
        <v>5000</v>
      </c>
      <c r="X963" s="24">
        <v>5000</v>
      </c>
      <c r="Y963" s="24">
        <v>5000</v>
      </c>
      <c r="Z963" s="24">
        <f t="shared" si="44"/>
        <v>60000</v>
      </c>
      <c r="AB963" s="25">
        <v>60000</v>
      </c>
      <c r="AC963" s="26">
        <v>60000</v>
      </c>
      <c r="AD963" s="24">
        <v>0</v>
      </c>
      <c r="AE963" s="27">
        <f>_xlfn.XLOOKUP(B963,'Projects Cashflow'!$B:$B,'Projects Cashflow'!$AG:$AG,0)</f>
        <v>60000</v>
      </c>
      <c r="AF963" s="28">
        <f t="shared" si="45"/>
        <v>0</v>
      </c>
    </row>
    <row r="964" spans="2:32" x14ac:dyDescent="0.3">
      <c r="B964" s="14" t="str">
        <f t="shared" si="43"/>
        <v>45102304511001274Ad-hoc Repairs-N1426427200104</v>
      </c>
      <c r="C964" s="21" t="s">
        <v>2984</v>
      </c>
      <c r="D964" s="22">
        <v>4510230</v>
      </c>
      <c r="E964" s="21" t="s">
        <v>466</v>
      </c>
      <c r="F964" s="22">
        <v>4511001274</v>
      </c>
      <c r="G964" s="21" t="s">
        <v>1533</v>
      </c>
      <c r="H964" s="21" t="s">
        <v>621</v>
      </c>
      <c r="I964" s="22">
        <v>426427</v>
      </c>
      <c r="J964" s="22">
        <v>200104</v>
      </c>
      <c r="K964" s="22" t="s">
        <v>2959</v>
      </c>
      <c r="L964" s="22">
        <v>70107</v>
      </c>
      <c r="M964" s="23" t="s">
        <v>2960</v>
      </c>
      <c r="N964" s="24">
        <v>0</v>
      </c>
      <c r="O964" s="24">
        <v>0</v>
      </c>
      <c r="P964" s="24">
        <v>0</v>
      </c>
      <c r="Q964" s="24">
        <v>1000</v>
      </c>
      <c r="R964" s="24">
        <v>0</v>
      </c>
      <c r="S964" s="24">
        <v>0</v>
      </c>
      <c r="T964" s="24">
        <v>1000</v>
      </c>
      <c r="U964" s="24">
        <v>0</v>
      </c>
      <c r="V964" s="24">
        <v>0</v>
      </c>
      <c r="W964" s="24">
        <v>1000</v>
      </c>
      <c r="X964" s="24">
        <v>0</v>
      </c>
      <c r="Y964" s="24">
        <v>0</v>
      </c>
      <c r="Z964" s="24">
        <f t="shared" si="44"/>
        <v>3000</v>
      </c>
      <c r="AB964" s="25">
        <v>3000</v>
      </c>
      <c r="AC964" s="26">
        <v>3000</v>
      </c>
      <c r="AD964" s="24">
        <v>0</v>
      </c>
      <c r="AE964" s="27">
        <f>_xlfn.XLOOKUP(B964,'Projects Cashflow'!$B:$B,'Projects Cashflow'!$AG:$AG,0)</f>
        <v>3000</v>
      </c>
      <c r="AF964" s="28">
        <f t="shared" si="45"/>
        <v>0</v>
      </c>
    </row>
    <row r="965" spans="2:32" x14ac:dyDescent="0.3">
      <c r="B965" s="14" t="str">
        <f t="shared" ref="B965:B1028" si="46">D965&amp;F965&amp;H965&amp;I965&amp;J965</f>
        <v>45102304511001489Intrnt Telecom-N423711200104</v>
      </c>
      <c r="C965" s="21" t="s">
        <v>2984</v>
      </c>
      <c r="D965" s="22">
        <v>4510230</v>
      </c>
      <c r="E965" s="21" t="s">
        <v>466</v>
      </c>
      <c r="F965" s="22">
        <v>4511001489</v>
      </c>
      <c r="G965" s="21" t="s">
        <v>3108</v>
      </c>
      <c r="H965" s="21" t="s">
        <v>1825</v>
      </c>
      <c r="I965" s="22">
        <v>423711</v>
      </c>
      <c r="J965" s="22">
        <v>200104</v>
      </c>
      <c r="K965" s="22" t="s">
        <v>2959</v>
      </c>
      <c r="L965" s="22">
        <v>70107</v>
      </c>
      <c r="M965" s="23" t="s">
        <v>2960</v>
      </c>
      <c r="N965" s="24">
        <v>0</v>
      </c>
      <c r="O965" s="24">
        <v>0</v>
      </c>
      <c r="P965" s="24">
        <v>0</v>
      </c>
      <c r="Q965" s="24">
        <v>1600000</v>
      </c>
      <c r="R965" s="24">
        <v>400000</v>
      </c>
      <c r="S965" s="24">
        <v>400000</v>
      </c>
      <c r="T965" s="24">
        <v>400000</v>
      </c>
      <c r="U965" s="24">
        <v>400000</v>
      </c>
      <c r="V965" s="24">
        <v>400000</v>
      </c>
      <c r="W965" s="24">
        <v>400000</v>
      </c>
      <c r="X965" s="24">
        <v>400000</v>
      </c>
      <c r="Y965" s="24">
        <v>300000</v>
      </c>
      <c r="Z965" s="24">
        <f t="shared" ref="Z965:Z1028" si="47">SUM(N965:Y965)</f>
        <v>4700000</v>
      </c>
      <c r="AB965" s="25">
        <v>4700000</v>
      </c>
      <c r="AC965" s="26">
        <v>4700000</v>
      </c>
      <c r="AD965" s="24">
        <v>0</v>
      </c>
      <c r="AE965" s="27">
        <f>_xlfn.XLOOKUP(B965,'Projects Cashflow'!$B:$B,'Projects Cashflow'!$AG:$AG,0)</f>
        <v>4700000</v>
      </c>
      <c r="AF965" s="28">
        <f t="shared" ref="AF965:AF1028" si="48">AE965-AB965</f>
        <v>0</v>
      </c>
    </row>
    <row r="966" spans="2:32" x14ac:dyDescent="0.3">
      <c r="B966" s="14" t="str">
        <f t="shared" si="46"/>
        <v>45102304511001489Utilities-N423931200104</v>
      </c>
      <c r="C966" s="21" t="s">
        <v>2984</v>
      </c>
      <c r="D966" s="22">
        <v>4510230</v>
      </c>
      <c r="E966" s="21" t="s">
        <v>466</v>
      </c>
      <c r="F966" s="22">
        <v>4511001489</v>
      </c>
      <c r="G966" s="21" t="s">
        <v>3108</v>
      </c>
      <c r="H966" s="21" t="s">
        <v>110</v>
      </c>
      <c r="I966" s="22">
        <v>423931</v>
      </c>
      <c r="J966" s="22">
        <v>200104</v>
      </c>
      <c r="K966" s="22" t="s">
        <v>2959</v>
      </c>
      <c r="L966" s="22">
        <v>70107</v>
      </c>
      <c r="M966" s="23" t="s">
        <v>2960</v>
      </c>
      <c r="N966" s="24">
        <v>0</v>
      </c>
      <c r="O966" s="24">
        <v>0</v>
      </c>
      <c r="P966" s="24">
        <v>282194.86</v>
      </c>
      <c r="Q966" s="24">
        <v>484641.14</v>
      </c>
      <c r="R966" s="24">
        <v>214058</v>
      </c>
      <c r="S966" s="24">
        <v>214058</v>
      </c>
      <c r="T966" s="24">
        <v>214058</v>
      </c>
      <c r="U966" s="24">
        <v>214058</v>
      </c>
      <c r="V966" s="24">
        <v>291158</v>
      </c>
      <c r="W966" s="24">
        <v>214058</v>
      </c>
      <c r="X966" s="24">
        <v>214058</v>
      </c>
      <c r="Y966" s="24">
        <v>206163.39333333261</v>
      </c>
      <c r="Z966" s="24">
        <f t="shared" si="47"/>
        <v>2548505.3933333326</v>
      </c>
      <c r="AB966" s="25">
        <v>2548505.3933333326</v>
      </c>
      <c r="AC966" s="26">
        <v>2548505</v>
      </c>
      <c r="AD966" s="24">
        <v>0.39333333261311054</v>
      </c>
      <c r="AE966" s="27">
        <f>_xlfn.XLOOKUP(B966,'Projects Cashflow'!$B:$B,'Projects Cashflow'!$AG:$AG,0)</f>
        <v>2548505</v>
      </c>
      <c r="AF966" s="28">
        <f t="shared" si="48"/>
        <v>-0.39333333261311054</v>
      </c>
    </row>
    <row r="967" spans="2:32" x14ac:dyDescent="0.3">
      <c r="B967" s="14" t="str">
        <f t="shared" si="46"/>
        <v>45102304511001489Office Supplies-N431812200104</v>
      </c>
      <c r="C967" s="21" t="s">
        <v>2984</v>
      </c>
      <c r="D967" s="22">
        <v>4510230</v>
      </c>
      <c r="E967" s="21" t="s">
        <v>466</v>
      </c>
      <c r="F967" s="22">
        <v>4511001489</v>
      </c>
      <c r="G967" s="21" t="s">
        <v>3108</v>
      </c>
      <c r="H967" s="21" t="s">
        <v>1829</v>
      </c>
      <c r="I967" s="22">
        <v>431812</v>
      </c>
      <c r="J967" s="22">
        <v>200104</v>
      </c>
      <c r="K967" s="22" t="s">
        <v>2959</v>
      </c>
      <c r="L967" s="22">
        <v>70107</v>
      </c>
      <c r="M967" s="23" t="s">
        <v>2960</v>
      </c>
      <c r="N967" s="24">
        <v>0</v>
      </c>
      <c r="O967" s="24">
        <v>0</v>
      </c>
      <c r="P967" s="24">
        <v>0</v>
      </c>
      <c r="Q967" s="24">
        <v>94000</v>
      </c>
      <c r="R967" s="24">
        <v>0</v>
      </c>
      <c r="S967" s="24">
        <v>92000</v>
      </c>
      <c r="T967" s="24">
        <v>0</v>
      </c>
      <c r="U967" s="24">
        <v>0</v>
      </c>
      <c r="V967" s="24">
        <v>92000</v>
      </c>
      <c r="W967" s="24">
        <v>0</v>
      </c>
      <c r="X967" s="24">
        <v>0</v>
      </c>
      <c r="Y967" s="24">
        <v>0</v>
      </c>
      <c r="Z967" s="24">
        <f t="shared" si="47"/>
        <v>278000</v>
      </c>
      <c r="AB967" s="25">
        <v>278000</v>
      </c>
      <c r="AC967" s="26">
        <v>278000</v>
      </c>
      <c r="AD967" s="24">
        <v>0</v>
      </c>
      <c r="AE967" s="27">
        <f>_xlfn.XLOOKUP(B967,'Projects Cashflow'!$B:$B,'Projects Cashflow'!$AG:$AG,0)</f>
        <v>278000</v>
      </c>
      <c r="AF967" s="28">
        <f t="shared" si="48"/>
        <v>0</v>
      </c>
    </row>
    <row r="968" spans="2:32" x14ac:dyDescent="0.3">
      <c r="B968" s="14" t="str">
        <f t="shared" si="46"/>
        <v>45102304511001489Other Expenses-N424991200104</v>
      </c>
      <c r="C968" s="21" t="s">
        <v>2984</v>
      </c>
      <c r="D968" s="22">
        <v>4510230</v>
      </c>
      <c r="E968" s="21" t="s">
        <v>466</v>
      </c>
      <c r="F968" s="22">
        <v>4511001489</v>
      </c>
      <c r="G968" s="21" t="s">
        <v>3108</v>
      </c>
      <c r="H968" s="21" t="s">
        <v>57</v>
      </c>
      <c r="I968" s="22">
        <v>424991</v>
      </c>
      <c r="J968" s="22">
        <v>200104</v>
      </c>
      <c r="K968" s="22" t="s">
        <v>2959</v>
      </c>
      <c r="L968" s="22">
        <v>70107</v>
      </c>
      <c r="M968" s="23" t="s">
        <v>2960</v>
      </c>
      <c r="N968" s="24">
        <v>0</v>
      </c>
      <c r="O968" s="24">
        <v>0</v>
      </c>
      <c r="P968" s="24">
        <v>0</v>
      </c>
      <c r="Q968" s="24">
        <v>44000</v>
      </c>
      <c r="R968" s="24">
        <v>11000</v>
      </c>
      <c r="S968" s="24">
        <v>11000</v>
      </c>
      <c r="T968" s="24">
        <v>11000</v>
      </c>
      <c r="U968" s="24">
        <v>11000</v>
      </c>
      <c r="V968" s="24">
        <v>11000</v>
      </c>
      <c r="W968" s="24">
        <v>11000</v>
      </c>
      <c r="X968" s="24">
        <v>11000</v>
      </c>
      <c r="Y968" s="24">
        <v>11000</v>
      </c>
      <c r="Z968" s="24">
        <f t="shared" si="47"/>
        <v>132000</v>
      </c>
      <c r="AB968" s="25">
        <v>132000</v>
      </c>
      <c r="AC968" s="26">
        <v>132000</v>
      </c>
      <c r="AD968" s="24">
        <v>0</v>
      </c>
      <c r="AE968" s="27">
        <f>_xlfn.XLOOKUP(B968,'Projects Cashflow'!$B:$B,'Projects Cashflow'!$AG:$AG,0)</f>
        <v>132000</v>
      </c>
      <c r="AF968" s="28">
        <f t="shared" si="48"/>
        <v>0</v>
      </c>
    </row>
    <row r="969" spans="2:32" x14ac:dyDescent="0.3">
      <c r="B969" s="14" t="str">
        <f t="shared" si="46"/>
        <v>45102304511001489Mission &amp; Travel-N423821200104</v>
      </c>
      <c r="C969" s="21" t="s">
        <v>2984</v>
      </c>
      <c r="D969" s="22">
        <v>4510230</v>
      </c>
      <c r="E969" s="21" t="s">
        <v>466</v>
      </c>
      <c r="F969" s="22">
        <v>4511001489</v>
      </c>
      <c r="G969" s="21" t="s">
        <v>3108</v>
      </c>
      <c r="H969" s="21" t="s">
        <v>54</v>
      </c>
      <c r="I969" s="22">
        <v>423821</v>
      </c>
      <c r="J969" s="22">
        <v>200104</v>
      </c>
      <c r="K969" s="22" t="s">
        <v>2959</v>
      </c>
      <c r="L969" s="22">
        <v>70107</v>
      </c>
      <c r="M969" s="23" t="s">
        <v>2960</v>
      </c>
      <c r="N969" s="24">
        <v>0</v>
      </c>
      <c r="O969" s="24">
        <v>0</v>
      </c>
      <c r="P969" s="26">
        <v>8500</v>
      </c>
      <c r="Q969" s="24">
        <v>64100</v>
      </c>
      <c r="R969" s="24">
        <v>0</v>
      </c>
      <c r="S969" s="24">
        <v>0</v>
      </c>
      <c r="T969" s="24">
        <v>0</v>
      </c>
      <c r="U969" s="24">
        <v>37510</v>
      </c>
      <c r="V969" s="24">
        <v>0</v>
      </c>
      <c r="W969" s="24">
        <v>0</v>
      </c>
      <c r="X969" s="24">
        <v>10890</v>
      </c>
      <c r="Y969" s="24">
        <v>0</v>
      </c>
      <c r="Z969" s="24">
        <f t="shared" si="47"/>
        <v>121000</v>
      </c>
      <c r="AB969" s="25">
        <v>121000</v>
      </c>
      <c r="AC969" s="26">
        <v>121000</v>
      </c>
      <c r="AD969" s="24">
        <v>0</v>
      </c>
      <c r="AE969" s="27">
        <f>_xlfn.XLOOKUP(B969,'Projects Cashflow'!$B:$B,'Projects Cashflow'!$AG:$AG,0)</f>
        <v>121000</v>
      </c>
      <c r="AF969" s="28">
        <f t="shared" si="48"/>
        <v>0</v>
      </c>
    </row>
    <row r="970" spans="2:32" x14ac:dyDescent="0.3">
      <c r="B970" s="14" t="str">
        <f t="shared" si="46"/>
        <v>45102304511001489Gen Logistics-N424671200104</v>
      </c>
      <c r="C970" s="21" t="s">
        <v>2984</v>
      </c>
      <c r="D970" s="22">
        <v>4510230</v>
      </c>
      <c r="E970" s="21" t="s">
        <v>466</v>
      </c>
      <c r="F970" s="22">
        <v>4511001489</v>
      </c>
      <c r="G970" s="21" t="s">
        <v>3108</v>
      </c>
      <c r="H970" s="21" t="s">
        <v>311</v>
      </c>
      <c r="I970" s="22">
        <v>424671</v>
      </c>
      <c r="J970" s="22">
        <v>200104</v>
      </c>
      <c r="K970" s="22" t="s">
        <v>2959</v>
      </c>
      <c r="L970" s="22">
        <v>70107</v>
      </c>
      <c r="M970" s="23" t="s">
        <v>2960</v>
      </c>
      <c r="N970" s="24">
        <v>0</v>
      </c>
      <c r="O970" s="24">
        <v>0</v>
      </c>
      <c r="P970" s="24">
        <v>0</v>
      </c>
      <c r="Q970" s="24">
        <v>22100</v>
      </c>
      <c r="R970" s="24">
        <v>11050</v>
      </c>
      <c r="S970" s="24">
        <v>11050</v>
      </c>
      <c r="T970" s="24">
        <v>11050</v>
      </c>
      <c r="U970" s="24">
        <v>11050</v>
      </c>
      <c r="V970" s="24">
        <v>11050</v>
      </c>
      <c r="W970" s="24">
        <v>11050</v>
      </c>
      <c r="X970" s="24">
        <v>11050</v>
      </c>
      <c r="Y970" s="24">
        <v>13150</v>
      </c>
      <c r="Z970" s="24">
        <f t="shared" si="47"/>
        <v>112600</v>
      </c>
      <c r="AB970" s="25">
        <v>112600</v>
      </c>
      <c r="AC970" s="26">
        <v>112600</v>
      </c>
      <c r="AD970" s="24">
        <v>0</v>
      </c>
      <c r="AE970" s="27">
        <f>_xlfn.XLOOKUP(B970,'Projects Cashflow'!$B:$B,'Projects Cashflow'!$AG:$AG,0)</f>
        <v>112600</v>
      </c>
      <c r="AF970" s="28">
        <f t="shared" si="48"/>
        <v>0</v>
      </c>
    </row>
    <row r="971" spans="2:32" x14ac:dyDescent="0.3">
      <c r="B971" s="14" t="str">
        <f t="shared" si="46"/>
        <v>45102304511001489Health &amp; Safety-N424721200104</v>
      </c>
      <c r="C971" s="21" t="s">
        <v>2984</v>
      </c>
      <c r="D971" s="22">
        <v>4510230</v>
      </c>
      <c r="E971" s="21" t="s">
        <v>466</v>
      </c>
      <c r="F971" s="22">
        <v>4511001489</v>
      </c>
      <c r="G971" s="21" t="s">
        <v>3108</v>
      </c>
      <c r="H971" s="21" t="s">
        <v>1821</v>
      </c>
      <c r="I971" s="22">
        <v>424721</v>
      </c>
      <c r="J971" s="22">
        <v>200104</v>
      </c>
      <c r="K971" s="22" t="s">
        <v>2959</v>
      </c>
      <c r="L971" s="22">
        <v>70107</v>
      </c>
      <c r="M971" s="23" t="s">
        <v>2960</v>
      </c>
      <c r="N971" s="24">
        <v>0</v>
      </c>
      <c r="O971" s="24">
        <v>0</v>
      </c>
      <c r="P971" s="24">
        <v>0</v>
      </c>
      <c r="Q971" s="24">
        <v>61500</v>
      </c>
      <c r="R971" s="24">
        <v>0</v>
      </c>
      <c r="S971" s="24">
        <v>30500</v>
      </c>
      <c r="T971" s="24">
        <v>0</v>
      </c>
      <c r="U971" s="24">
        <v>0</v>
      </c>
      <c r="V971" s="24">
        <v>8000</v>
      </c>
      <c r="W971" s="24">
        <v>0</v>
      </c>
      <c r="X971" s="24">
        <v>0</v>
      </c>
      <c r="Y971" s="24">
        <v>0</v>
      </c>
      <c r="Z971" s="24">
        <f t="shared" si="47"/>
        <v>100000</v>
      </c>
      <c r="AB971" s="25">
        <v>100000</v>
      </c>
      <c r="AC971" s="26">
        <v>100000</v>
      </c>
      <c r="AD971" s="24">
        <v>0</v>
      </c>
      <c r="AE971" s="27">
        <f>_xlfn.XLOOKUP(B971,'Projects Cashflow'!$B:$B,'Projects Cashflow'!$AG:$AG,0)</f>
        <v>100000</v>
      </c>
      <c r="AF971" s="28">
        <f t="shared" si="48"/>
        <v>0</v>
      </c>
    </row>
    <row r="972" spans="2:32" x14ac:dyDescent="0.3">
      <c r="B972" s="14" t="str">
        <f t="shared" si="46"/>
        <v>45102304511001489AccreditationFee-N424561200104</v>
      </c>
      <c r="C972" s="21" t="s">
        <v>2984</v>
      </c>
      <c r="D972" s="22">
        <v>4510230</v>
      </c>
      <c r="E972" s="21" t="s">
        <v>466</v>
      </c>
      <c r="F972" s="22">
        <v>4511001489</v>
      </c>
      <c r="G972" s="21" t="s">
        <v>3108</v>
      </c>
      <c r="H972" s="21" t="s">
        <v>1818</v>
      </c>
      <c r="I972" s="22">
        <v>424561</v>
      </c>
      <c r="J972" s="22">
        <v>200104</v>
      </c>
      <c r="K972" s="22" t="s">
        <v>2959</v>
      </c>
      <c r="L972" s="22">
        <v>70107</v>
      </c>
      <c r="M972" s="23" t="s">
        <v>2960</v>
      </c>
      <c r="N972" s="24">
        <v>0</v>
      </c>
      <c r="O972" s="24">
        <v>0</v>
      </c>
      <c r="P972" s="24">
        <v>0</v>
      </c>
      <c r="Q972" s="24">
        <v>21700</v>
      </c>
      <c r="R972" s="24">
        <v>0</v>
      </c>
      <c r="S972" s="24">
        <v>0</v>
      </c>
      <c r="T972" s="24">
        <v>9000</v>
      </c>
      <c r="U972" s="24">
        <v>0</v>
      </c>
      <c r="V972" s="24">
        <v>9000</v>
      </c>
      <c r="W972" s="24">
        <v>0</v>
      </c>
      <c r="X972" s="24">
        <v>5300</v>
      </c>
      <c r="Y972" s="24">
        <v>0</v>
      </c>
      <c r="Z972" s="24">
        <f t="shared" si="47"/>
        <v>45000</v>
      </c>
      <c r="AB972" s="25">
        <v>45000</v>
      </c>
      <c r="AC972" s="26">
        <v>45000</v>
      </c>
      <c r="AD972" s="24">
        <v>0</v>
      </c>
      <c r="AE972" s="27">
        <f>_xlfn.XLOOKUP(B972,'Projects Cashflow'!$B:$B,'Projects Cashflow'!$AG:$AG,0)</f>
        <v>45000</v>
      </c>
      <c r="AF972" s="28">
        <f t="shared" si="48"/>
        <v>0</v>
      </c>
    </row>
    <row r="973" spans="2:32" x14ac:dyDescent="0.3">
      <c r="B973" s="14" t="str">
        <f t="shared" si="46"/>
        <v>45102304511001489Waste Mgmnt-N424591200104</v>
      </c>
      <c r="C973" s="21" t="s">
        <v>2984</v>
      </c>
      <c r="D973" s="22">
        <v>4510230</v>
      </c>
      <c r="E973" s="21" t="s">
        <v>466</v>
      </c>
      <c r="F973" s="22">
        <v>4511001489</v>
      </c>
      <c r="G973" s="21" t="s">
        <v>3108</v>
      </c>
      <c r="H973" s="21" t="s">
        <v>382</v>
      </c>
      <c r="I973" s="22">
        <v>424591</v>
      </c>
      <c r="J973" s="22">
        <v>200104</v>
      </c>
      <c r="K973" s="22" t="s">
        <v>2959</v>
      </c>
      <c r="L973" s="22">
        <v>70107</v>
      </c>
      <c r="M973" s="23" t="s">
        <v>2960</v>
      </c>
      <c r="N973" s="24">
        <v>0</v>
      </c>
      <c r="O973" s="24">
        <v>0</v>
      </c>
      <c r="P973" s="24">
        <v>0</v>
      </c>
      <c r="Q973" s="24">
        <v>15000</v>
      </c>
      <c r="R973" s="24">
        <v>3750</v>
      </c>
      <c r="S973" s="24">
        <v>3750</v>
      </c>
      <c r="T973" s="24">
        <v>3750</v>
      </c>
      <c r="U973" s="24">
        <v>3750</v>
      </c>
      <c r="V973" s="24">
        <v>3750</v>
      </c>
      <c r="W973" s="24">
        <v>3750</v>
      </c>
      <c r="X973" s="24">
        <v>3750</v>
      </c>
      <c r="Y973" s="24">
        <v>3750</v>
      </c>
      <c r="Z973" s="24">
        <f t="shared" si="47"/>
        <v>45000</v>
      </c>
      <c r="AB973" s="25">
        <v>45000</v>
      </c>
      <c r="AC973" s="26">
        <v>45000</v>
      </c>
      <c r="AD973" s="24">
        <v>0</v>
      </c>
      <c r="AE973" s="27">
        <f>_xlfn.XLOOKUP(B973,'Projects Cashflow'!$B:$B,'Projects Cashflow'!$AG:$AG,0)</f>
        <v>45000</v>
      </c>
      <c r="AF973" s="28">
        <f t="shared" si="48"/>
        <v>0</v>
      </c>
    </row>
    <row r="974" spans="2:32" x14ac:dyDescent="0.3">
      <c r="B974" s="14" t="str">
        <f t="shared" si="46"/>
        <v>45102404511000162Admin Expenses-N421125200104</v>
      </c>
      <c r="C974" s="21" t="s">
        <v>2984</v>
      </c>
      <c r="D974" s="22">
        <v>4510240</v>
      </c>
      <c r="E974" s="21" t="s">
        <v>196</v>
      </c>
      <c r="F974" s="22">
        <v>4511000162</v>
      </c>
      <c r="G974" s="21" t="s">
        <v>3109</v>
      </c>
      <c r="H974" s="21" t="s">
        <v>130</v>
      </c>
      <c r="I974" s="22">
        <v>421125</v>
      </c>
      <c r="J974" s="22">
        <v>200104</v>
      </c>
      <c r="K974" s="22" t="s">
        <v>2959</v>
      </c>
      <c r="L974" s="22">
        <v>70105</v>
      </c>
      <c r="M974" s="23" t="s">
        <v>2960</v>
      </c>
      <c r="N974" s="24">
        <v>0</v>
      </c>
      <c r="O974" s="24">
        <v>0</v>
      </c>
      <c r="P974" s="24">
        <v>0</v>
      </c>
      <c r="Q974" s="24">
        <v>25000</v>
      </c>
      <c r="R974" s="24">
        <v>30000</v>
      </c>
      <c r="S974" s="24">
        <v>29399</v>
      </c>
      <c r="T974" s="24">
        <v>15000</v>
      </c>
      <c r="U974" s="24">
        <v>0</v>
      </c>
      <c r="V974" s="24">
        <v>10000</v>
      </c>
      <c r="W974" s="24">
        <v>4500</v>
      </c>
      <c r="X974" s="24">
        <v>70000</v>
      </c>
      <c r="Y974" s="24">
        <v>114298</v>
      </c>
      <c r="Z974" s="24">
        <f t="shared" si="47"/>
        <v>298197</v>
      </c>
      <c r="AB974" s="25">
        <v>294197</v>
      </c>
      <c r="AC974" s="26">
        <v>294197</v>
      </c>
      <c r="AD974" s="24">
        <v>0</v>
      </c>
      <c r="AE974" s="27">
        <f>_xlfn.XLOOKUP(B974,'Projects Cashflow'!$B:$B,'Projects Cashflow'!$AG:$AG,0)</f>
        <v>294197</v>
      </c>
      <c r="AF974" s="28">
        <f t="shared" si="48"/>
        <v>0</v>
      </c>
    </row>
    <row r="975" spans="2:32" x14ac:dyDescent="0.3">
      <c r="B975" s="14" t="str">
        <f t="shared" si="46"/>
        <v>45102404511000439Manpower-N424521200104</v>
      </c>
      <c r="C975" s="21" t="s">
        <v>2984</v>
      </c>
      <c r="D975" s="22">
        <v>4510240</v>
      </c>
      <c r="E975" s="21" t="s">
        <v>196</v>
      </c>
      <c r="F975" s="22">
        <v>4511000439</v>
      </c>
      <c r="G975" s="21" t="s">
        <v>3110</v>
      </c>
      <c r="H975" s="21" t="s">
        <v>98</v>
      </c>
      <c r="I975" s="22">
        <v>424521</v>
      </c>
      <c r="J975" s="22">
        <v>200104</v>
      </c>
      <c r="K975" s="22" t="s">
        <v>2959</v>
      </c>
      <c r="L975" s="22">
        <v>70105</v>
      </c>
      <c r="M975" s="23" t="s">
        <v>2960</v>
      </c>
      <c r="N975" s="24">
        <v>0</v>
      </c>
      <c r="O975" s="24">
        <v>0</v>
      </c>
      <c r="P975" s="24">
        <v>582421.39</v>
      </c>
      <c r="Q975" s="24">
        <v>210243.43000000005</v>
      </c>
      <c r="R975" s="24">
        <v>196715</v>
      </c>
      <c r="S975" s="24">
        <v>196715</v>
      </c>
      <c r="T975" s="24">
        <v>196715</v>
      </c>
      <c r="U975" s="24">
        <v>196715</v>
      </c>
      <c r="V975" s="24">
        <v>196715</v>
      </c>
      <c r="W975" s="24">
        <v>196715</v>
      </c>
      <c r="X975" s="24">
        <v>196715</v>
      </c>
      <c r="Y975" s="24">
        <v>196715</v>
      </c>
      <c r="Z975" s="24">
        <f t="shared" si="47"/>
        <v>2366384.8200000003</v>
      </c>
      <c r="AB975" s="25">
        <v>2396384.8200000003</v>
      </c>
      <c r="AC975" s="26">
        <v>2396385</v>
      </c>
      <c r="AD975" s="24">
        <v>-0.17999999970197678</v>
      </c>
      <c r="AE975" s="27">
        <f>_xlfn.XLOOKUP(B975,'Projects Cashflow'!$B:$B,'Projects Cashflow'!$AG:$AG,0)</f>
        <v>2396385</v>
      </c>
      <c r="AF975" s="28">
        <f t="shared" si="48"/>
        <v>0.17999999970197678</v>
      </c>
    </row>
    <row r="976" spans="2:32" x14ac:dyDescent="0.3">
      <c r="B976" s="14" t="str">
        <f t="shared" si="46"/>
        <v>45102404511000439Mission &amp; Travel-N423821200104</v>
      </c>
      <c r="C976" s="21" t="s">
        <v>2984</v>
      </c>
      <c r="D976" s="22">
        <v>4510240</v>
      </c>
      <c r="E976" s="21" t="s">
        <v>196</v>
      </c>
      <c r="F976" s="22">
        <v>4511000439</v>
      </c>
      <c r="G976" s="21" t="s">
        <v>3110</v>
      </c>
      <c r="H976" s="21" t="s">
        <v>54</v>
      </c>
      <c r="I976" s="22">
        <v>423821</v>
      </c>
      <c r="J976" s="22">
        <v>200104</v>
      </c>
      <c r="K976" s="22" t="s">
        <v>2959</v>
      </c>
      <c r="L976" s="22">
        <v>70101</v>
      </c>
      <c r="M976" s="23" t="s">
        <v>2960</v>
      </c>
      <c r="N976" s="24">
        <v>0</v>
      </c>
      <c r="O976" s="24">
        <v>0</v>
      </c>
      <c r="P976" s="24">
        <v>21600</v>
      </c>
      <c r="Q976" s="24">
        <v>0</v>
      </c>
      <c r="R976" s="24">
        <v>61500</v>
      </c>
      <c r="S976" s="24">
        <v>6000</v>
      </c>
      <c r="T976" s="24">
        <v>0</v>
      </c>
      <c r="U976" s="24">
        <v>0</v>
      </c>
      <c r="V976" s="24">
        <v>18000</v>
      </c>
      <c r="W976" s="24">
        <v>27600</v>
      </c>
      <c r="X976" s="24">
        <v>6000</v>
      </c>
      <c r="Y976" s="24">
        <v>6000</v>
      </c>
      <c r="Z976" s="24">
        <f t="shared" si="47"/>
        <v>146700</v>
      </c>
      <c r="AB976" s="25">
        <v>146700</v>
      </c>
      <c r="AC976" s="26">
        <v>146700</v>
      </c>
      <c r="AD976" s="24">
        <v>0</v>
      </c>
      <c r="AE976" s="27">
        <f>_xlfn.XLOOKUP(B976,'Projects Cashflow'!$B:$B,'Projects Cashflow'!$AG:$AG,0)</f>
        <v>146700</v>
      </c>
      <c r="AF976" s="28">
        <f t="shared" si="48"/>
        <v>0</v>
      </c>
    </row>
    <row r="977" spans="2:32" x14ac:dyDescent="0.3">
      <c r="B977" s="14" t="str">
        <f t="shared" si="46"/>
        <v>45102404511000439Freelancers-N424521200104</v>
      </c>
      <c r="C977" s="21" t="s">
        <v>2984</v>
      </c>
      <c r="D977" s="22">
        <v>4510240</v>
      </c>
      <c r="E977" s="21" t="s">
        <v>196</v>
      </c>
      <c r="F977" s="22">
        <v>4511000439</v>
      </c>
      <c r="G977" s="21" t="s">
        <v>3110</v>
      </c>
      <c r="H977" s="21" t="s">
        <v>50</v>
      </c>
      <c r="I977" s="22">
        <v>424521</v>
      </c>
      <c r="J977" s="22">
        <v>200104</v>
      </c>
      <c r="K977" s="22" t="s">
        <v>2959</v>
      </c>
      <c r="L977" s="22">
        <v>70105</v>
      </c>
      <c r="M977" s="23" t="s">
        <v>2960</v>
      </c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4">
        <f t="shared" si="47"/>
        <v>0</v>
      </c>
      <c r="AB977" s="25">
        <v>154000</v>
      </c>
      <c r="AC977" s="26">
        <v>154000</v>
      </c>
      <c r="AD977" s="24">
        <v>0</v>
      </c>
      <c r="AE977" s="27">
        <f>_xlfn.XLOOKUP(B977,'Projects Cashflow'!$B:$B,'Projects Cashflow'!$AG:$AG,0)</f>
        <v>154000</v>
      </c>
      <c r="AF977" s="28">
        <f t="shared" si="48"/>
        <v>0</v>
      </c>
    </row>
    <row r="978" spans="2:32" x14ac:dyDescent="0.3">
      <c r="B978" s="14" t="str">
        <f t="shared" si="46"/>
        <v>45102304511000532Security Service-N1424551200104</v>
      </c>
      <c r="C978" s="21" t="s">
        <v>2984</v>
      </c>
      <c r="D978" s="22">
        <v>4510230</v>
      </c>
      <c r="E978" s="21" t="s">
        <v>466</v>
      </c>
      <c r="F978" s="22">
        <v>4511000532</v>
      </c>
      <c r="G978" s="21" t="s">
        <v>3105</v>
      </c>
      <c r="H978" s="21" t="s">
        <v>627</v>
      </c>
      <c r="I978" s="22">
        <v>424551</v>
      </c>
      <c r="J978" s="22">
        <v>200104</v>
      </c>
      <c r="K978" s="22" t="s">
        <v>2959</v>
      </c>
      <c r="L978" s="22">
        <v>70107</v>
      </c>
      <c r="M978" s="23" t="s">
        <v>2960</v>
      </c>
      <c r="N978" s="24">
        <v>0</v>
      </c>
      <c r="O978" s="24">
        <v>0</v>
      </c>
      <c r="P978" s="24">
        <v>0</v>
      </c>
      <c r="Q978" s="24">
        <v>34000</v>
      </c>
      <c r="R978" s="24">
        <v>8500</v>
      </c>
      <c r="S978" s="24">
        <v>8500</v>
      </c>
      <c r="T978" s="24">
        <v>8500</v>
      </c>
      <c r="U978" s="24">
        <v>8500</v>
      </c>
      <c r="V978" s="24">
        <v>8500</v>
      </c>
      <c r="W978" s="24">
        <v>8500</v>
      </c>
      <c r="X978" s="24">
        <v>8500</v>
      </c>
      <c r="Y978" s="24">
        <v>8500</v>
      </c>
      <c r="Z978" s="24">
        <f t="shared" si="47"/>
        <v>102000</v>
      </c>
      <c r="AB978" s="25">
        <v>102000</v>
      </c>
      <c r="AC978" s="26">
        <v>102000</v>
      </c>
      <c r="AD978" s="24">
        <v>0</v>
      </c>
      <c r="AE978" s="27">
        <f>_xlfn.XLOOKUP(B978,'Projects Cashflow'!$B:$B,'Projects Cashflow'!$AG:$AG,0)</f>
        <v>102000</v>
      </c>
      <c r="AF978" s="28">
        <f t="shared" si="48"/>
        <v>0</v>
      </c>
    </row>
    <row r="979" spans="2:32" x14ac:dyDescent="0.3">
      <c r="B979" s="14" t="str">
        <f t="shared" si="46"/>
        <v>45102404511000445AccreditationFee-N1424561200104</v>
      </c>
      <c r="C979" s="21" t="s">
        <v>2984</v>
      </c>
      <c r="D979" s="22">
        <v>4510240</v>
      </c>
      <c r="E979" s="21" t="s">
        <v>196</v>
      </c>
      <c r="F979" s="22">
        <v>4511000445</v>
      </c>
      <c r="G979" s="21" t="s">
        <v>2985</v>
      </c>
      <c r="H979" s="21" t="s">
        <v>545</v>
      </c>
      <c r="I979" s="22">
        <v>424561</v>
      </c>
      <c r="J979" s="22">
        <v>200104</v>
      </c>
      <c r="K979" s="22" t="s">
        <v>2959</v>
      </c>
      <c r="L979" s="22">
        <v>70107</v>
      </c>
      <c r="M979" s="23" t="s">
        <v>2960</v>
      </c>
      <c r="N979" s="24">
        <v>0</v>
      </c>
      <c r="O979" s="24">
        <v>0</v>
      </c>
      <c r="P979" s="24">
        <v>0</v>
      </c>
      <c r="Q979" s="24">
        <v>0</v>
      </c>
      <c r="R979" s="24">
        <v>0</v>
      </c>
      <c r="S979" s="24">
        <v>0</v>
      </c>
      <c r="T979" s="24">
        <v>5000</v>
      </c>
      <c r="U979" s="24">
        <v>304950</v>
      </c>
      <c r="V979" s="24">
        <v>0</v>
      </c>
      <c r="W979" s="24">
        <v>0</v>
      </c>
      <c r="X979" s="24">
        <v>105000</v>
      </c>
      <c r="Y979" s="24">
        <v>45000</v>
      </c>
      <c r="Z979" s="24">
        <f t="shared" si="47"/>
        <v>459950</v>
      </c>
      <c r="AB979" s="25">
        <v>459950</v>
      </c>
      <c r="AC979" s="26">
        <v>459950</v>
      </c>
      <c r="AD979" s="24">
        <v>0</v>
      </c>
      <c r="AE979" s="27">
        <f>_xlfn.XLOOKUP(B979,'Projects Cashflow'!$B:$B,'Projects Cashflow'!$AG:$AG,0)</f>
        <v>459950</v>
      </c>
      <c r="AF979" s="28">
        <f t="shared" si="48"/>
        <v>0</v>
      </c>
    </row>
    <row r="980" spans="2:32" x14ac:dyDescent="0.3">
      <c r="B980" s="14" t="str">
        <f t="shared" si="46"/>
        <v>45102504511000354Managed Service-N422212200104</v>
      </c>
      <c r="C980" s="21" t="s">
        <v>2984</v>
      </c>
      <c r="D980" s="22">
        <v>4510250</v>
      </c>
      <c r="E980" s="21" t="s">
        <v>3017</v>
      </c>
      <c r="F980" s="22">
        <v>4511000354</v>
      </c>
      <c r="G980" s="21" t="s">
        <v>3111</v>
      </c>
      <c r="H980" s="21" t="s">
        <v>476</v>
      </c>
      <c r="I980" s="22">
        <v>422212</v>
      </c>
      <c r="J980" s="22">
        <v>200104</v>
      </c>
      <c r="K980" s="22" t="s">
        <v>2959</v>
      </c>
      <c r="L980" s="22">
        <v>70106</v>
      </c>
      <c r="M980" s="23" t="s">
        <v>2960</v>
      </c>
      <c r="N980" s="24">
        <v>0</v>
      </c>
      <c r="O980" s="24">
        <v>0</v>
      </c>
      <c r="P980" s="24">
        <v>0</v>
      </c>
      <c r="Q980" s="24">
        <v>1050835.6299999999</v>
      </c>
      <c r="R980" s="24">
        <v>0</v>
      </c>
      <c r="S980" s="24">
        <v>677645.13</v>
      </c>
      <c r="T980" s="24">
        <v>0</v>
      </c>
      <c r="U980" s="24">
        <v>0</v>
      </c>
      <c r="V980" s="24">
        <v>586445.13</v>
      </c>
      <c r="W980" s="24">
        <v>0</v>
      </c>
      <c r="X980" s="24">
        <v>0</v>
      </c>
      <c r="Y980" s="24">
        <v>586445.13</v>
      </c>
      <c r="Z980" s="24">
        <f t="shared" si="47"/>
        <v>2901371.0199999996</v>
      </c>
      <c r="AB980" s="25">
        <v>2901371.0199999996</v>
      </c>
      <c r="AC980" s="26">
        <v>2901371</v>
      </c>
      <c r="AD980" s="24">
        <v>1.9999999552965164E-2</v>
      </c>
      <c r="AE980" s="27">
        <f>_xlfn.XLOOKUP(B980,'Projects Cashflow'!$B:$B,'Projects Cashflow'!$AG:$AG,0)</f>
        <v>2901371</v>
      </c>
      <c r="AF980" s="28">
        <f t="shared" si="48"/>
        <v>-1.9999999552965164E-2</v>
      </c>
    </row>
    <row r="981" spans="2:32" x14ac:dyDescent="0.3">
      <c r="B981" s="14" t="str">
        <f t="shared" si="46"/>
        <v>45102504511000354System Maintain-N422212200104</v>
      </c>
      <c r="C981" s="21" t="s">
        <v>2984</v>
      </c>
      <c r="D981" s="22">
        <v>4510250</v>
      </c>
      <c r="E981" s="21" t="s">
        <v>3017</v>
      </c>
      <c r="F981" s="22">
        <v>4511000354</v>
      </c>
      <c r="G981" s="21" t="s">
        <v>3111</v>
      </c>
      <c r="H981" s="21" t="s">
        <v>488</v>
      </c>
      <c r="I981" s="22">
        <v>422212</v>
      </c>
      <c r="J981" s="22">
        <v>200104</v>
      </c>
      <c r="K981" s="22" t="s">
        <v>2959</v>
      </c>
      <c r="L981" s="22">
        <v>70106</v>
      </c>
      <c r="M981" s="23" t="s">
        <v>2960</v>
      </c>
      <c r="N981" s="24">
        <v>0</v>
      </c>
      <c r="O981" s="24">
        <v>0</v>
      </c>
      <c r="P981" s="24">
        <v>0</v>
      </c>
      <c r="Q981" s="24">
        <v>644264</v>
      </c>
      <c r="R981" s="24">
        <v>161066</v>
      </c>
      <c r="S981" s="24">
        <v>161066</v>
      </c>
      <c r="T981" s="24">
        <v>161066</v>
      </c>
      <c r="U981" s="24">
        <v>161066</v>
      </c>
      <c r="V981" s="24">
        <v>161066</v>
      </c>
      <c r="W981" s="24">
        <v>161066</v>
      </c>
      <c r="X981" s="24">
        <v>161066</v>
      </c>
      <c r="Y981" s="24">
        <v>161066</v>
      </c>
      <c r="Z981" s="24">
        <f t="shared" si="47"/>
        <v>1932792</v>
      </c>
      <c r="AB981" s="25">
        <v>1932792</v>
      </c>
      <c r="AC981" s="26">
        <v>1932792</v>
      </c>
      <c r="AD981" s="24">
        <v>0</v>
      </c>
      <c r="AE981" s="27">
        <f>_xlfn.XLOOKUP(B981,'Projects Cashflow'!$B:$B,'Projects Cashflow'!$AG:$AG,0)</f>
        <v>1932792</v>
      </c>
      <c r="AF981" s="28">
        <f t="shared" si="48"/>
        <v>0</v>
      </c>
    </row>
    <row r="982" spans="2:32" x14ac:dyDescent="0.3">
      <c r="B982" s="14" t="str">
        <f t="shared" si="46"/>
        <v>45102504511000354System Licenses-N425252200104</v>
      </c>
      <c r="C982" s="21" t="s">
        <v>2984</v>
      </c>
      <c r="D982" s="22">
        <v>4510250</v>
      </c>
      <c r="E982" s="21" t="s">
        <v>3017</v>
      </c>
      <c r="F982" s="22">
        <v>4511000354</v>
      </c>
      <c r="G982" s="21" t="s">
        <v>3111</v>
      </c>
      <c r="H982" s="21" t="s">
        <v>180</v>
      </c>
      <c r="I982" s="22">
        <v>425252</v>
      </c>
      <c r="J982" s="22">
        <v>200104</v>
      </c>
      <c r="K982" s="22" t="s">
        <v>2959</v>
      </c>
      <c r="L982" s="22">
        <v>70106</v>
      </c>
      <c r="M982" s="23" t="s">
        <v>2960</v>
      </c>
      <c r="N982" s="24">
        <v>0</v>
      </c>
      <c r="O982" s="24">
        <v>0</v>
      </c>
      <c r="P982" s="24">
        <v>0</v>
      </c>
      <c r="Q982" s="24">
        <v>659000</v>
      </c>
      <c r="R982" s="24">
        <v>0</v>
      </c>
      <c r="S982" s="24">
        <v>0</v>
      </c>
      <c r="T982" s="24">
        <v>0</v>
      </c>
      <c r="U982" s="24">
        <v>0</v>
      </c>
      <c r="V982" s="24">
        <v>164989</v>
      </c>
      <c r="W982" s="24">
        <v>0</v>
      </c>
      <c r="X982" s="24">
        <v>0</v>
      </c>
      <c r="Y982" s="24">
        <v>0</v>
      </c>
      <c r="Z982" s="24">
        <f t="shared" si="47"/>
        <v>823989</v>
      </c>
      <c r="AB982" s="25">
        <v>823989</v>
      </c>
      <c r="AC982" s="26">
        <v>823989</v>
      </c>
      <c r="AD982" s="24">
        <v>0</v>
      </c>
      <c r="AE982" s="27">
        <f>_xlfn.XLOOKUP(B982,'Projects Cashflow'!$B:$B,'Projects Cashflow'!$AG:$AG,0)</f>
        <v>823989</v>
      </c>
      <c r="AF982" s="28">
        <f t="shared" si="48"/>
        <v>0</v>
      </c>
    </row>
    <row r="983" spans="2:32" x14ac:dyDescent="0.3">
      <c r="B983" s="14" t="str">
        <f t="shared" si="46"/>
        <v>45102504511000354Security Comply-N422213200104</v>
      </c>
      <c r="C983" s="21" t="s">
        <v>2984</v>
      </c>
      <c r="D983" s="22">
        <v>4510250</v>
      </c>
      <c r="E983" s="21" t="s">
        <v>3017</v>
      </c>
      <c r="F983" s="22">
        <v>4511000354</v>
      </c>
      <c r="G983" s="21" t="s">
        <v>3111</v>
      </c>
      <c r="H983" s="21" t="s">
        <v>483</v>
      </c>
      <c r="I983" s="22">
        <v>422213</v>
      </c>
      <c r="J983" s="22">
        <v>200104</v>
      </c>
      <c r="K983" s="22" t="s">
        <v>2959</v>
      </c>
      <c r="L983" s="22">
        <v>70106</v>
      </c>
      <c r="M983" s="23" t="s">
        <v>2960</v>
      </c>
      <c r="N983" s="24">
        <v>0</v>
      </c>
      <c r="O983" s="24">
        <v>0</v>
      </c>
      <c r="P983" s="24">
        <v>0</v>
      </c>
      <c r="Q983" s="24">
        <v>0</v>
      </c>
      <c r="R983" s="24">
        <v>0</v>
      </c>
      <c r="S983" s="24">
        <v>200000</v>
      </c>
      <c r="T983" s="24">
        <v>0</v>
      </c>
      <c r="U983" s="24">
        <v>0</v>
      </c>
      <c r="V983" s="24">
        <v>0</v>
      </c>
      <c r="W983" s="24">
        <v>0</v>
      </c>
      <c r="X983" s="24">
        <v>0</v>
      </c>
      <c r="Y983" s="24">
        <v>0</v>
      </c>
      <c r="Z983" s="24">
        <f t="shared" si="47"/>
        <v>200000</v>
      </c>
      <c r="AB983" s="25">
        <v>200000</v>
      </c>
      <c r="AC983" s="26">
        <v>200000</v>
      </c>
      <c r="AD983" s="24">
        <v>0</v>
      </c>
      <c r="AE983" s="27">
        <f>_xlfn.XLOOKUP(B983,'Projects Cashflow'!$B:$B,'Projects Cashflow'!$AG:$AG,0)</f>
        <v>200000</v>
      </c>
      <c r="AF983" s="28">
        <f t="shared" si="48"/>
        <v>0</v>
      </c>
    </row>
    <row r="984" spans="2:32" x14ac:dyDescent="0.3">
      <c r="B984" s="14" t="str">
        <f t="shared" si="46"/>
        <v>45102504511000758EndUser Software-N422911200104</v>
      </c>
      <c r="C984" s="21" t="s">
        <v>2984</v>
      </c>
      <c r="D984" s="22">
        <v>4510250</v>
      </c>
      <c r="E984" s="21" t="s">
        <v>3017</v>
      </c>
      <c r="F984" s="22">
        <v>4511000758</v>
      </c>
      <c r="G984" s="21" t="s">
        <v>1007</v>
      </c>
      <c r="H984" s="21" t="s">
        <v>1008</v>
      </c>
      <c r="I984" s="22">
        <v>422911</v>
      </c>
      <c r="J984" s="22">
        <v>200104</v>
      </c>
      <c r="K984" s="22" t="s">
        <v>2959</v>
      </c>
      <c r="L984" s="22">
        <v>70106</v>
      </c>
      <c r="M984" s="23" t="s">
        <v>2960</v>
      </c>
      <c r="N984" s="24">
        <v>0</v>
      </c>
      <c r="O984" s="24">
        <v>0</v>
      </c>
      <c r="P984" s="24">
        <v>0</v>
      </c>
      <c r="Q984" s="24">
        <v>0</v>
      </c>
      <c r="R984" s="24">
        <v>0</v>
      </c>
      <c r="S984" s="24">
        <v>0</v>
      </c>
      <c r="T984" s="24">
        <v>0</v>
      </c>
      <c r="U984" s="24">
        <v>0</v>
      </c>
      <c r="V984" s="24">
        <v>0</v>
      </c>
      <c r="W984" s="24">
        <v>0</v>
      </c>
      <c r="X984" s="24">
        <v>214278</v>
      </c>
      <c r="Y984" s="24">
        <v>0</v>
      </c>
      <c r="Z984" s="24">
        <f t="shared" si="47"/>
        <v>214278</v>
      </c>
      <c r="AB984" s="25">
        <v>214278</v>
      </c>
      <c r="AC984" s="26">
        <v>214278</v>
      </c>
      <c r="AD984" s="24">
        <v>0</v>
      </c>
      <c r="AE984" s="27">
        <f>_xlfn.XLOOKUP(B984,'Projects Cashflow'!$B:$B,'Projects Cashflow'!$AG:$AG,0)</f>
        <v>214278</v>
      </c>
      <c r="AF984" s="28">
        <f t="shared" si="48"/>
        <v>0</v>
      </c>
    </row>
    <row r="985" spans="2:32" x14ac:dyDescent="0.3">
      <c r="B985" s="14" t="str">
        <f t="shared" si="46"/>
        <v>45102504511000758System Licenses-N425252200104</v>
      </c>
      <c r="C985" s="21" t="s">
        <v>2984</v>
      </c>
      <c r="D985" s="22">
        <v>4510250</v>
      </c>
      <c r="E985" s="21" t="s">
        <v>3017</v>
      </c>
      <c r="F985" s="22">
        <v>4511000758</v>
      </c>
      <c r="G985" s="21" t="s">
        <v>1007</v>
      </c>
      <c r="H985" s="21" t="s">
        <v>180</v>
      </c>
      <c r="I985" s="22">
        <v>425252</v>
      </c>
      <c r="J985" s="22">
        <v>200104</v>
      </c>
      <c r="K985" s="22" t="s">
        <v>2959</v>
      </c>
      <c r="L985" s="22">
        <v>70106</v>
      </c>
      <c r="M985" s="23" t="s">
        <v>2960</v>
      </c>
      <c r="N985" s="24">
        <v>0</v>
      </c>
      <c r="O985" s="24">
        <v>0</v>
      </c>
      <c r="P985" s="24">
        <v>0</v>
      </c>
      <c r="Q985" s="24">
        <v>5300</v>
      </c>
      <c r="R985" s="24">
        <v>0</v>
      </c>
      <c r="S985" s="24">
        <v>0</v>
      </c>
      <c r="T985" s="24">
        <v>0</v>
      </c>
      <c r="U985" s="24">
        <v>0</v>
      </c>
      <c r="V985" s="24">
        <v>0</v>
      </c>
      <c r="W985" s="24">
        <v>0</v>
      </c>
      <c r="X985" s="24">
        <v>0</v>
      </c>
      <c r="Y985" s="24">
        <v>0</v>
      </c>
      <c r="Z985" s="24">
        <f t="shared" si="47"/>
        <v>5300</v>
      </c>
      <c r="AB985" s="25">
        <v>5300</v>
      </c>
      <c r="AC985" s="26">
        <v>5300</v>
      </c>
      <c r="AD985" s="24">
        <v>0</v>
      </c>
      <c r="AE985" s="27">
        <f>_xlfn.XLOOKUP(B985,'Projects Cashflow'!$B:$B,'Projects Cashflow'!$AG:$AG,0)</f>
        <v>5300</v>
      </c>
      <c r="AF985" s="28">
        <f t="shared" si="48"/>
        <v>0</v>
      </c>
    </row>
    <row r="986" spans="2:32" x14ac:dyDescent="0.3">
      <c r="B986" s="14" t="str">
        <f t="shared" si="46"/>
        <v>45102504511000760System Licenses-N425252200104</v>
      </c>
      <c r="C986" s="21" t="s">
        <v>2984</v>
      </c>
      <c r="D986" s="22">
        <v>4510250</v>
      </c>
      <c r="E986" s="21" t="s">
        <v>3017</v>
      </c>
      <c r="F986" s="22">
        <v>4511000760</v>
      </c>
      <c r="G986" s="21" t="s">
        <v>1013</v>
      </c>
      <c r="H986" s="21" t="s">
        <v>180</v>
      </c>
      <c r="I986" s="22">
        <v>425252</v>
      </c>
      <c r="J986" s="22">
        <v>200104</v>
      </c>
      <c r="K986" s="22" t="s">
        <v>2959</v>
      </c>
      <c r="L986" s="22">
        <v>70106</v>
      </c>
      <c r="M986" s="23" t="s">
        <v>2960</v>
      </c>
      <c r="N986" s="24">
        <v>0</v>
      </c>
      <c r="O986" s="24">
        <v>0</v>
      </c>
      <c r="P986" s="24">
        <v>0</v>
      </c>
      <c r="Q986" s="24">
        <v>21250</v>
      </c>
      <c r="R986" s="24">
        <v>0</v>
      </c>
      <c r="S986" s="24">
        <v>21250</v>
      </c>
      <c r="T986" s="24">
        <v>0</v>
      </c>
      <c r="U986" s="24">
        <v>0</v>
      </c>
      <c r="V986" s="24">
        <v>21250</v>
      </c>
      <c r="W986" s="24">
        <v>0</v>
      </c>
      <c r="X986" s="24">
        <v>151250</v>
      </c>
      <c r="Y986" s="24">
        <v>0</v>
      </c>
      <c r="Z986" s="24">
        <f t="shared" si="47"/>
        <v>215000</v>
      </c>
      <c r="AB986" s="25">
        <v>298750</v>
      </c>
      <c r="AC986" s="26">
        <v>298750</v>
      </c>
      <c r="AD986" s="24">
        <v>0</v>
      </c>
      <c r="AE986" s="27">
        <f>_xlfn.XLOOKUP(B986,'Projects Cashflow'!$B:$B,'Projects Cashflow'!$AG:$AG,0)</f>
        <v>298750</v>
      </c>
      <c r="AF986" s="28">
        <f t="shared" si="48"/>
        <v>0</v>
      </c>
    </row>
    <row r="987" spans="2:32" x14ac:dyDescent="0.3">
      <c r="B987" s="14" t="str">
        <f t="shared" si="46"/>
        <v>45102504511000770TechnologyAdvice-N424521200104</v>
      </c>
      <c r="C987" s="21" t="s">
        <v>2984</v>
      </c>
      <c r="D987" s="22">
        <v>4510250</v>
      </c>
      <c r="E987" s="21" t="s">
        <v>3017</v>
      </c>
      <c r="F987" s="22">
        <v>4511000770</v>
      </c>
      <c r="G987" s="21" t="s">
        <v>1053</v>
      </c>
      <c r="H987" s="21" t="s">
        <v>1056</v>
      </c>
      <c r="I987" s="22">
        <v>424521</v>
      </c>
      <c r="J987" s="22">
        <v>200104</v>
      </c>
      <c r="K987" s="22" t="s">
        <v>2959</v>
      </c>
      <c r="L987" s="22">
        <v>70106</v>
      </c>
      <c r="M987" s="23" t="s">
        <v>2960</v>
      </c>
      <c r="N987" s="24">
        <v>0</v>
      </c>
      <c r="O987" s="24">
        <v>0</v>
      </c>
      <c r="P987" s="24">
        <v>0</v>
      </c>
      <c r="Q987" s="24">
        <v>0</v>
      </c>
      <c r="R987" s="24">
        <v>0</v>
      </c>
      <c r="S987" s="24">
        <v>0</v>
      </c>
      <c r="T987" s="24">
        <v>1913524.2</v>
      </c>
      <c r="U987" s="24">
        <v>0</v>
      </c>
      <c r="V987" s="24">
        <v>1913524.2</v>
      </c>
      <c r="W987" s="24">
        <v>0</v>
      </c>
      <c r="X987" s="24">
        <v>2551365.6</v>
      </c>
      <c r="Y987" s="24">
        <v>0</v>
      </c>
      <c r="Z987" s="24">
        <f t="shared" si="47"/>
        <v>6378414</v>
      </c>
      <c r="AB987" s="25">
        <v>6378414</v>
      </c>
      <c r="AC987" s="26">
        <v>6378414</v>
      </c>
      <c r="AD987" s="24">
        <v>0</v>
      </c>
      <c r="AE987" s="27">
        <f>_xlfn.XLOOKUP(B987,'Projects Cashflow'!$B:$B,'Projects Cashflow'!$AG:$AG,0)</f>
        <v>6378414</v>
      </c>
      <c r="AF987" s="28">
        <f t="shared" si="48"/>
        <v>0</v>
      </c>
    </row>
    <row r="988" spans="2:32" x14ac:dyDescent="0.3">
      <c r="B988" s="14" t="str">
        <f t="shared" si="46"/>
        <v>45102504511000770Freelancers-N424521200104</v>
      </c>
      <c r="C988" s="21" t="s">
        <v>2984</v>
      </c>
      <c r="D988" s="22">
        <v>4510250</v>
      </c>
      <c r="E988" s="21" t="s">
        <v>3017</v>
      </c>
      <c r="F988" s="22">
        <v>4511000770</v>
      </c>
      <c r="G988" s="21" t="s">
        <v>1053</v>
      </c>
      <c r="H988" s="21" t="s">
        <v>50</v>
      </c>
      <c r="I988" s="22">
        <v>424521</v>
      </c>
      <c r="J988" s="22">
        <v>200104</v>
      </c>
      <c r="K988" s="22" t="s">
        <v>2959</v>
      </c>
      <c r="L988" s="22">
        <v>70106</v>
      </c>
      <c r="M988" s="23" t="s">
        <v>2960</v>
      </c>
      <c r="N988" s="24">
        <v>0</v>
      </c>
      <c r="O988" s="24">
        <v>0</v>
      </c>
      <c r="P988" s="24">
        <v>135000</v>
      </c>
      <c r="Q988" s="24">
        <v>75000</v>
      </c>
      <c r="R988" s="24">
        <v>60000</v>
      </c>
      <c r="S988" s="24">
        <v>60000</v>
      </c>
      <c r="T988" s="24">
        <v>60000</v>
      </c>
      <c r="U988" s="24">
        <v>60000</v>
      </c>
      <c r="V988" s="24">
        <v>60000</v>
      </c>
      <c r="W988" s="24">
        <v>60000</v>
      </c>
      <c r="X988" s="24">
        <v>60000</v>
      </c>
      <c r="Y988" s="24">
        <v>75000</v>
      </c>
      <c r="Z988" s="24">
        <f t="shared" si="47"/>
        <v>705000</v>
      </c>
      <c r="AB988" s="25">
        <v>2289194</v>
      </c>
      <c r="AC988" s="26">
        <v>2289194</v>
      </c>
      <c r="AD988" s="24">
        <v>0</v>
      </c>
      <c r="AE988" s="27">
        <f>_xlfn.XLOOKUP(B988,'Projects Cashflow'!$B:$B,'Projects Cashflow'!$AG:$AG,0)</f>
        <v>2289194</v>
      </c>
      <c r="AF988" s="28">
        <f t="shared" si="48"/>
        <v>0</v>
      </c>
    </row>
    <row r="989" spans="2:32" x14ac:dyDescent="0.3">
      <c r="B989" s="14" t="str">
        <f t="shared" si="46"/>
        <v>45102504511000770Admin Expenses-N421125200104</v>
      </c>
      <c r="C989" s="21" t="s">
        <v>2984</v>
      </c>
      <c r="D989" s="22">
        <v>4510250</v>
      </c>
      <c r="E989" s="21" t="s">
        <v>3017</v>
      </c>
      <c r="F989" s="22">
        <v>4511000770</v>
      </c>
      <c r="G989" s="21" t="s">
        <v>1053</v>
      </c>
      <c r="H989" s="21" t="s">
        <v>130</v>
      </c>
      <c r="I989" s="22">
        <v>421125</v>
      </c>
      <c r="J989" s="22">
        <v>200104</v>
      </c>
      <c r="K989" s="22" t="s">
        <v>2959</v>
      </c>
      <c r="L989" s="22">
        <v>70106</v>
      </c>
      <c r="M989" s="23" t="s">
        <v>2960</v>
      </c>
      <c r="N989" s="24">
        <v>0</v>
      </c>
      <c r="O989" s="24">
        <v>0</v>
      </c>
      <c r="P989" s="24">
        <v>67675.899999999994</v>
      </c>
      <c r="Q989" s="24">
        <v>134324.1</v>
      </c>
      <c r="R989" s="24">
        <v>64000</v>
      </c>
      <c r="S989" s="24">
        <v>0</v>
      </c>
      <c r="T989" s="24">
        <v>228000</v>
      </c>
      <c r="U989" s="24">
        <v>0</v>
      </c>
      <c r="V989" s="24">
        <v>78000</v>
      </c>
      <c r="W989" s="24">
        <v>0</v>
      </c>
      <c r="X989" s="24">
        <v>132857</v>
      </c>
      <c r="Y989" s="24">
        <v>0</v>
      </c>
      <c r="Z989" s="24">
        <f t="shared" si="47"/>
        <v>704857</v>
      </c>
      <c r="AB989" s="25">
        <v>704857</v>
      </c>
      <c r="AC989" s="26">
        <v>704857</v>
      </c>
      <c r="AD989" s="24">
        <v>0</v>
      </c>
      <c r="AE989" s="27">
        <f>_xlfn.XLOOKUP(B989,'Projects Cashflow'!$B:$B,'Projects Cashflow'!$AG:$AG,0)</f>
        <v>704857</v>
      </c>
      <c r="AF989" s="28">
        <f t="shared" si="48"/>
        <v>0</v>
      </c>
    </row>
    <row r="990" spans="2:32" x14ac:dyDescent="0.3">
      <c r="B990" s="14" t="str">
        <f t="shared" si="46"/>
        <v>45102304511001274Security Service-N1424551200104</v>
      </c>
      <c r="C990" s="21" t="s">
        <v>2984</v>
      </c>
      <c r="D990" s="22">
        <v>4510230</v>
      </c>
      <c r="E990" s="21" t="s">
        <v>466</v>
      </c>
      <c r="F990" s="22">
        <v>4511001274</v>
      </c>
      <c r="G990" s="21" t="s">
        <v>1533</v>
      </c>
      <c r="H990" s="21" t="s">
        <v>627</v>
      </c>
      <c r="I990" s="22">
        <v>424551</v>
      </c>
      <c r="J990" s="22">
        <v>200104</v>
      </c>
      <c r="K990" s="22" t="s">
        <v>2959</v>
      </c>
      <c r="L990" s="22">
        <v>70107</v>
      </c>
      <c r="M990" s="23" t="s">
        <v>2960</v>
      </c>
      <c r="N990" s="24">
        <v>0</v>
      </c>
      <c r="O990" s="24">
        <v>0</v>
      </c>
      <c r="P990" s="24">
        <v>0</v>
      </c>
      <c r="Q990" s="24">
        <v>34000</v>
      </c>
      <c r="R990" s="24">
        <v>8500</v>
      </c>
      <c r="S990" s="24">
        <v>8500</v>
      </c>
      <c r="T990" s="24">
        <v>8500</v>
      </c>
      <c r="U990" s="24">
        <v>8500</v>
      </c>
      <c r="V990" s="24">
        <v>8500</v>
      </c>
      <c r="W990" s="24">
        <v>8500</v>
      </c>
      <c r="X990" s="24">
        <v>8500</v>
      </c>
      <c r="Y990" s="24">
        <v>8500</v>
      </c>
      <c r="Z990" s="24">
        <f t="shared" si="47"/>
        <v>102000</v>
      </c>
      <c r="AB990" s="25">
        <v>102000</v>
      </c>
      <c r="AC990" s="26">
        <v>102000</v>
      </c>
      <c r="AD990" s="24">
        <v>0</v>
      </c>
      <c r="AE990" s="27">
        <f>_xlfn.XLOOKUP(B990,'Projects Cashflow'!$B:$B,'Projects Cashflow'!$AG:$AG,0)</f>
        <v>102000</v>
      </c>
      <c r="AF990" s="28">
        <f t="shared" si="48"/>
        <v>0</v>
      </c>
    </row>
    <row r="991" spans="2:32" x14ac:dyDescent="0.3">
      <c r="B991" s="14" t="str">
        <f t="shared" si="46"/>
        <v>45102504511000785Systems Develop-NC493140300105</v>
      </c>
      <c r="C991" s="21" t="s">
        <v>2984</v>
      </c>
      <c r="D991" s="22">
        <v>4510250</v>
      </c>
      <c r="E991" s="21" t="s">
        <v>3017</v>
      </c>
      <c r="F991" s="22">
        <v>4511000785</v>
      </c>
      <c r="G991" s="21" t="s">
        <v>3112</v>
      </c>
      <c r="H991" s="21" t="s">
        <v>184</v>
      </c>
      <c r="I991" s="22">
        <v>493140</v>
      </c>
      <c r="J991" s="22">
        <v>300105</v>
      </c>
      <c r="K991" s="22" t="s">
        <v>2972</v>
      </c>
      <c r="L991" s="22">
        <v>70106</v>
      </c>
      <c r="M991" s="23" t="s">
        <v>2960</v>
      </c>
      <c r="N991" s="24">
        <v>0</v>
      </c>
      <c r="O991" s="24">
        <v>0</v>
      </c>
      <c r="P991" s="24">
        <v>0</v>
      </c>
      <c r="Q991" s="24">
        <v>982361.11</v>
      </c>
      <c r="R991" s="24">
        <v>290111.11</v>
      </c>
      <c r="S991" s="24">
        <v>236111.11</v>
      </c>
      <c r="T991" s="24">
        <v>236111.11</v>
      </c>
      <c r="U991" s="24">
        <v>236111.11</v>
      </c>
      <c r="V991" s="24">
        <v>436111.11</v>
      </c>
      <c r="W991" s="24">
        <v>236111.11</v>
      </c>
      <c r="X991" s="24">
        <v>1279735.1099999999</v>
      </c>
      <c r="Y991" s="24">
        <v>236111.12</v>
      </c>
      <c r="Z991" s="24">
        <f t="shared" si="47"/>
        <v>4168873.9999999995</v>
      </c>
      <c r="AB991" s="25">
        <v>4168873.9999999995</v>
      </c>
      <c r="AC991" s="26">
        <v>4168874</v>
      </c>
      <c r="AD991" s="24">
        <v>0</v>
      </c>
      <c r="AE991" s="27">
        <f>_xlfn.XLOOKUP(B991,'Projects Cashflow'!$B:$B,'Projects Cashflow'!$AG:$AG,0)</f>
        <v>4168874</v>
      </c>
      <c r="AF991" s="28">
        <f t="shared" si="48"/>
        <v>0</v>
      </c>
    </row>
    <row r="992" spans="2:32" x14ac:dyDescent="0.3">
      <c r="B992" s="14" t="str">
        <f t="shared" si="46"/>
        <v>45102504511000785Managed Service-N422212200104</v>
      </c>
      <c r="C992" s="21" t="s">
        <v>2984</v>
      </c>
      <c r="D992" s="22">
        <v>4510250</v>
      </c>
      <c r="E992" s="21" t="s">
        <v>3017</v>
      </c>
      <c r="F992" s="22">
        <v>4511000785</v>
      </c>
      <c r="G992" s="21" t="s">
        <v>3112</v>
      </c>
      <c r="H992" s="21" t="s">
        <v>476</v>
      </c>
      <c r="I992" s="22">
        <v>422212</v>
      </c>
      <c r="J992" s="22">
        <v>200104</v>
      </c>
      <c r="K992" s="22" t="s">
        <v>2959</v>
      </c>
      <c r="L992" s="22">
        <v>70106</v>
      </c>
      <c r="M992" s="23" t="s">
        <v>2960</v>
      </c>
      <c r="N992" s="24">
        <v>0</v>
      </c>
      <c r="O992" s="24">
        <v>0</v>
      </c>
      <c r="P992" s="24">
        <v>0</v>
      </c>
      <c r="Q992" s="24">
        <v>3445865.64</v>
      </c>
      <c r="R992" s="24">
        <v>890975.72000000009</v>
      </c>
      <c r="S992" s="24">
        <v>890975.72000000009</v>
      </c>
      <c r="T992" s="24">
        <v>890975.72000000009</v>
      </c>
      <c r="U992" s="24">
        <v>890975.72000000009</v>
      </c>
      <c r="V992" s="24">
        <v>890975.72000000009</v>
      </c>
      <c r="W992" s="24">
        <v>890975.72000000009</v>
      </c>
      <c r="X992" s="24">
        <v>890975.72000000009</v>
      </c>
      <c r="Y992" s="24">
        <v>890975.72000000009</v>
      </c>
      <c r="Z992" s="24">
        <f t="shared" si="47"/>
        <v>10573671.4</v>
      </c>
      <c r="AB992" s="25">
        <v>10573671.4</v>
      </c>
      <c r="AC992" s="26">
        <v>10573671</v>
      </c>
      <c r="AD992" s="24">
        <v>0.40000000037252903</v>
      </c>
      <c r="AE992" s="27">
        <f>_xlfn.XLOOKUP(B992,'Projects Cashflow'!$B:$B,'Projects Cashflow'!$AG:$AG,0)</f>
        <v>10573671</v>
      </c>
      <c r="AF992" s="28">
        <f t="shared" si="48"/>
        <v>-0.40000000037252903</v>
      </c>
    </row>
    <row r="993" spans="2:32" x14ac:dyDescent="0.3">
      <c r="B993" s="14" t="str">
        <f t="shared" si="46"/>
        <v>45102504511000785System Licenses-N425252200104</v>
      </c>
      <c r="C993" s="21" t="s">
        <v>2984</v>
      </c>
      <c r="D993" s="22">
        <v>4510250</v>
      </c>
      <c r="E993" s="21" t="s">
        <v>3017</v>
      </c>
      <c r="F993" s="22">
        <v>4511000785</v>
      </c>
      <c r="G993" s="21" t="s">
        <v>3112</v>
      </c>
      <c r="H993" s="21" t="s">
        <v>180</v>
      </c>
      <c r="I993" s="22">
        <v>425252</v>
      </c>
      <c r="J993" s="22">
        <v>200104</v>
      </c>
      <c r="K993" s="22" t="s">
        <v>2959</v>
      </c>
      <c r="L993" s="22">
        <v>70106</v>
      </c>
      <c r="M993" s="23" t="s">
        <v>2960</v>
      </c>
      <c r="N993" s="24">
        <v>0</v>
      </c>
      <c r="O993" s="24">
        <v>0</v>
      </c>
      <c r="P993" s="24">
        <v>0</v>
      </c>
      <c r="Q993" s="24">
        <v>0</v>
      </c>
      <c r="R993" s="24">
        <v>70000</v>
      </c>
      <c r="S993" s="24">
        <v>166708</v>
      </c>
      <c r="T993" s="24">
        <v>142756</v>
      </c>
      <c r="U993" s="24">
        <v>142756</v>
      </c>
      <c r="V993" s="24">
        <v>1932756</v>
      </c>
      <c r="W993" s="24">
        <v>1197657</v>
      </c>
      <c r="X993" s="24">
        <v>3995260</v>
      </c>
      <c r="Y993" s="24">
        <v>2180317</v>
      </c>
      <c r="Z993" s="24">
        <f t="shared" si="47"/>
        <v>9828210</v>
      </c>
      <c r="AB993" s="25">
        <v>9780969</v>
      </c>
      <c r="AC993" s="26">
        <v>9780969</v>
      </c>
      <c r="AD993" s="24">
        <v>0</v>
      </c>
      <c r="AE993" s="27">
        <f>_xlfn.XLOOKUP(B993,'Projects Cashflow'!$B:$B,'Projects Cashflow'!$AG:$AG,0)</f>
        <v>9780969</v>
      </c>
      <c r="AF993" s="28">
        <f t="shared" si="48"/>
        <v>0</v>
      </c>
    </row>
    <row r="994" spans="2:32" x14ac:dyDescent="0.3">
      <c r="B994" s="14" t="str">
        <f t="shared" si="46"/>
        <v>45102504511000785Systems Develop-N425301200104</v>
      </c>
      <c r="C994" s="21" t="s">
        <v>2984</v>
      </c>
      <c r="D994" s="22">
        <v>4510250</v>
      </c>
      <c r="E994" s="21" t="s">
        <v>3017</v>
      </c>
      <c r="F994" s="22">
        <v>4511000785</v>
      </c>
      <c r="G994" s="21" t="s">
        <v>3112</v>
      </c>
      <c r="H994" s="21" t="s">
        <v>1068</v>
      </c>
      <c r="I994" s="22">
        <v>425301</v>
      </c>
      <c r="J994" s="22">
        <v>200104</v>
      </c>
      <c r="K994" s="22" t="s">
        <v>2959</v>
      </c>
      <c r="L994" s="22">
        <v>70106</v>
      </c>
      <c r="M994" s="23" t="s">
        <v>2960</v>
      </c>
      <c r="N994" s="24">
        <v>0</v>
      </c>
      <c r="O994" s="24">
        <v>0</v>
      </c>
      <c r="P994" s="24">
        <v>0</v>
      </c>
      <c r="Q994" s="24">
        <v>1976293.3172727274</v>
      </c>
      <c r="R994" s="24">
        <v>597306.60909090913</v>
      </c>
      <c r="S994" s="24">
        <v>597306.60909090913</v>
      </c>
      <c r="T994" s="24">
        <v>597306.60909090913</v>
      </c>
      <c r="U994" s="24">
        <v>597306.60909090913</v>
      </c>
      <c r="V994" s="24">
        <v>597306.60909090913</v>
      </c>
      <c r="W994" s="24">
        <v>597306.60909090913</v>
      </c>
      <c r="X994" s="24">
        <v>597306.60909090913</v>
      </c>
      <c r="Y994" s="24">
        <v>597307.66909090907</v>
      </c>
      <c r="Z994" s="24">
        <f t="shared" si="47"/>
        <v>6754747.2500000019</v>
      </c>
      <c r="AB994" s="25">
        <v>8399773.2500000019</v>
      </c>
      <c r="AC994" s="26">
        <v>8399773</v>
      </c>
      <c r="AD994" s="24">
        <v>0.25000000186264515</v>
      </c>
      <c r="AE994" s="27">
        <f>_xlfn.XLOOKUP(B994,'Projects Cashflow'!$B:$B,'Projects Cashflow'!$AG:$AG,0)</f>
        <v>8399773</v>
      </c>
      <c r="AF994" s="28">
        <f t="shared" si="48"/>
        <v>-0.25000000186264515</v>
      </c>
    </row>
    <row r="995" spans="2:32" x14ac:dyDescent="0.3">
      <c r="B995" s="14" t="str">
        <f t="shared" si="46"/>
        <v>45102504511000785Freelancers-N424521200104</v>
      </c>
      <c r="C995" s="21" t="s">
        <v>2984</v>
      </c>
      <c r="D995" s="22">
        <v>4510250</v>
      </c>
      <c r="E995" s="21" t="s">
        <v>3017</v>
      </c>
      <c r="F995" s="22">
        <v>4511000785</v>
      </c>
      <c r="G995" s="21" t="s">
        <v>3112</v>
      </c>
      <c r="H995" s="21" t="s">
        <v>50</v>
      </c>
      <c r="I995" s="22">
        <v>424521</v>
      </c>
      <c r="J995" s="22">
        <v>200104</v>
      </c>
      <c r="K995" s="22" t="s">
        <v>2959</v>
      </c>
      <c r="L995" s="22">
        <v>70106</v>
      </c>
      <c r="M995" s="23" t="s">
        <v>2960</v>
      </c>
      <c r="N995" s="24">
        <v>0</v>
      </c>
      <c r="O995" s="24">
        <v>154000</v>
      </c>
      <c r="P995" s="26">
        <v>55000</v>
      </c>
      <c r="Q995" s="24">
        <v>102000</v>
      </c>
      <c r="R995" s="24">
        <v>80258</v>
      </c>
      <c r="S995" s="24">
        <v>126000</v>
      </c>
      <c r="T995" s="24">
        <v>151000</v>
      </c>
      <c r="U995" s="24">
        <v>151000</v>
      </c>
      <c r="V995" s="24">
        <v>151000</v>
      </c>
      <c r="W995" s="24">
        <v>151000</v>
      </c>
      <c r="X995" s="24">
        <v>151000</v>
      </c>
      <c r="Y995" s="24">
        <v>151742</v>
      </c>
      <c r="Z995" s="24">
        <f t="shared" si="47"/>
        <v>1424000</v>
      </c>
      <c r="AB995" s="25">
        <v>1755387</v>
      </c>
      <c r="AC995" s="26">
        <v>1755387</v>
      </c>
      <c r="AD995" s="24">
        <v>0</v>
      </c>
      <c r="AE995" s="27">
        <f>_xlfn.XLOOKUP(B995,'Projects Cashflow'!$B:$B,'Projects Cashflow'!$AG:$AG,0)</f>
        <v>1755387</v>
      </c>
      <c r="AF995" s="28">
        <f t="shared" si="48"/>
        <v>0</v>
      </c>
    </row>
    <row r="996" spans="2:32" x14ac:dyDescent="0.3">
      <c r="B996" s="14" t="str">
        <f t="shared" si="46"/>
        <v>45102504511000785System Maintain-N1422212200104</v>
      </c>
      <c r="C996" s="21" t="s">
        <v>2984</v>
      </c>
      <c r="D996" s="22">
        <v>4510250</v>
      </c>
      <c r="E996" s="21" t="s">
        <v>3017</v>
      </c>
      <c r="F996" s="22">
        <v>4511000785</v>
      </c>
      <c r="G996" s="21" t="s">
        <v>3112</v>
      </c>
      <c r="H996" s="29" t="s">
        <v>1067</v>
      </c>
      <c r="I996" s="30">
        <v>422212</v>
      </c>
      <c r="J996" s="22">
        <v>200104</v>
      </c>
      <c r="K996" s="22" t="s">
        <v>2959</v>
      </c>
      <c r="L996" s="22">
        <v>70106</v>
      </c>
      <c r="M996" s="23" t="s">
        <v>2960</v>
      </c>
      <c r="N996" s="24">
        <v>0</v>
      </c>
      <c r="O996" s="24">
        <v>0</v>
      </c>
      <c r="P996" s="24">
        <v>0</v>
      </c>
      <c r="Q996" s="24">
        <v>0</v>
      </c>
      <c r="R996" s="24">
        <v>0</v>
      </c>
      <c r="S996" s="24">
        <v>0</v>
      </c>
      <c r="T996" s="24">
        <v>0</v>
      </c>
      <c r="U996" s="24">
        <v>0</v>
      </c>
      <c r="V996" s="24">
        <v>0</v>
      </c>
      <c r="W996" s="24">
        <v>666369.55000000005</v>
      </c>
      <c r="X996" s="24">
        <v>0</v>
      </c>
      <c r="Y996" s="24">
        <v>0</v>
      </c>
      <c r="Z996" s="24">
        <f t="shared" si="47"/>
        <v>666369.55000000005</v>
      </c>
      <c r="AB996" s="25">
        <v>666369.55000000005</v>
      </c>
      <c r="AC996" s="26">
        <v>666369</v>
      </c>
      <c r="AD996" s="24">
        <v>0.55000000004656613</v>
      </c>
      <c r="AE996" s="27">
        <f>_xlfn.XLOOKUP(B996,'Projects Cashflow'!$B:$B,'Projects Cashflow'!$AG:$AG,0)</f>
        <v>666369</v>
      </c>
      <c r="AF996" s="28">
        <f t="shared" si="48"/>
        <v>-0.55000000004656613</v>
      </c>
    </row>
    <row r="997" spans="2:32" x14ac:dyDescent="0.3">
      <c r="B997" s="14" t="str">
        <f t="shared" si="46"/>
        <v>45102504511000871Systems Develop-NC493140300105</v>
      </c>
      <c r="C997" s="21" t="s">
        <v>2984</v>
      </c>
      <c r="D997" s="22">
        <v>4510250</v>
      </c>
      <c r="E997" s="21" t="s">
        <v>3017</v>
      </c>
      <c r="F997" s="22">
        <v>4511000871</v>
      </c>
      <c r="G997" s="21" t="s">
        <v>1152</v>
      </c>
      <c r="H997" s="21" t="s">
        <v>184</v>
      </c>
      <c r="I997" s="22">
        <v>493140</v>
      </c>
      <c r="J997" s="22">
        <v>300105</v>
      </c>
      <c r="K997" s="22" t="s">
        <v>2972</v>
      </c>
      <c r="L997" s="22">
        <v>70106</v>
      </c>
      <c r="M997" s="23" t="s">
        <v>2960</v>
      </c>
      <c r="N997" s="24">
        <v>0</v>
      </c>
      <c r="O997" s="24">
        <v>0</v>
      </c>
      <c r="P997" s="24">
        <v>0</v>
      </c>
      <c r="Q997" s="24">
        <v>0</v>
      </c>
      <c r="R997" s="24">
        <v>0</v>
      </c>
      <c r="S997" s="24">
        <v>0</v>
      </c>
      <c r="T997" s="24">
        <v>0</v>
      </c>
      <c r="U997" s="24">
        <v>0</v>
      </c>
      <c r="V997" s="24">
        <v>0</v>
      </c>
      <c r="W997" s="24">
        <v>2826080</v>
      </c>
      <c r="X997" s="24">
        <v>0</v>
      </c>
      <c r="Y997" s="24">
        <v>0</v>
      </c>
      <c r="Z997" s="24">
        <f t="shared" si="47"/>
        <v>2826080</v>
      </c>
      <c r="AB997" s="25">
        <v>2326080</v>
      </c>
      <c r="AC997" s="26">
        <v>2326080</v>
      </c>
      <c r="AD997" s="24">
        <v>0</v>
      </c>
      <c r="AE997" s="27">
        <f>_xlfn.XLOOKUP(B997,'Projects Cashflow'!$B:$B,'Projects Cashflow'!$AG:$AG,0)</f>
        <v>2326080</v>
      </c>
      <c r="AF997" s="28">
        <f t="shared" si="48"/>
        <v>0</v>
      </c>
    </row>
    <row r="998" spans="2:32" x14ac:dyDescent="0.3">
      <c r="B998" s="14" t="str">
        <f t="shared" si="46"/>
        <v>45102504511000871Peripherals-NC1491320300105</v>
      </c>
      <c r="C998" s="21" t="s">
        <v>2984</v>
      </c>
      <c r="D998" s="22">
        <v>4510250</v>
      </c>
      <c r="E998" s="21" t="s">
        <v>3017</v>
      </c>
      <c r="F998" s="22">
        <v>4511000871</v>
      </c>
      <c r="G998" s="21" t="s">
        <v>1152</v>
      </c>
      <c r="H998" s="21" t="s">
        <v>1158</v>
      </c>
      <c r="I998" s="22">
        <v>491320</v>
      </c>
      <c r="J998" s="22">
        <v>300105</v>
      </c>
      <c r="K998" s="22" t="s">
        <v>2972</v>
      </c>
      <c r="L998" s="22">
        <v>70106</v>
      </c>
      <c r="M998" s="23" t="s">
        <v>2960</v>
      </c>
      <c r="N998" s="24">
        <v>0</v>
      </c>
      <c r="O998" s="24">
        <v>0</v>
      </c>
      <c r="P998" s="24">
        <v>0</v>
      </c>
      <c r="Q998" s="24">
        <v>0</v>
      </c>
      <c r="R998" s="24">
        <v>0</v>
      </c>
      <c r="S998" s="24">
        <v>0</v>
      </c>
      <c r="T998" s="24">
        <v>0</v>
      </c>
      <c r="U998" s="24">
        <v>0</v>
      </c>
      <c r="V998" s="24">
        <v>0</v>
      </c>
      <c r="W998" s="24">
        <v>0</v>
      </c>
      <c r="X998" s="24">
        <v>90100</v>
      </c>
      <c r="Y998" s="24">
        <v>0</v>
      </c>
      <c r="Z998" s="24">
        <f t="shared" si="47"/>
        <v>90100</v>
      </c>
      <c r="AB998" s="25">
        <v>90100</v>
      </c>
      <c r="AC998" s="26">
        <v>90100</v>
      </c>
      <c r="AD998" s="24">
        <v>0</v>
      </c>
      <c r="AE998" s="27">
        <f>_xlfn.XLOOKUP(B998,'Projects Cashflow'!$B:$B,'Projects Cashflow'!$AG:$AG,0)</f>
        <v>90100</v>
      </c>
      <c r="AF998" s="28">
        <f t="shared" si="48"/>
        <v>0</v>
      </c>
    </row>
    <row r="999" spans="2:32" x14ac:dyDescent="0.3">
      <c r="B999" s="14" t="str">
        <f t="shared" si="46"/>
        <v>45102504511000871System Maintain-N1422212200104</v>
      </c>
      <c r="C999" s="21" t="s">
        <v>2984</v>
      </c>
      <c r="D999" s="22">
        <v>4510250</v>
      </c>
      <c r="E999" s="21" t="s">
        <v>3017</v>
      </c>
      <c r="F999" s="22">
        <v>4511000871</v>
      </c>
      <c r="G999" s="21" t="s">
        <v>1152</v>
      </c>
      <c r="H999" s="21" t="s">
        <v>1067</v>
      </c>
      <c r="I999" s="22">
        <v>422212</v>
      </c>
      <c r="J999" s="22">
        <v>200104</v>
      </c>
      <c r="K999" s="22" t="s">
        <v>2959</v>
      </c>
      <c r="L999" s="22">
        <v>70106</v>
      </c>
      <c r="M999" s="23" t="s">
        <v>2960</v>
      </c>
      <c r="N999" s="24">
        <v>0</v>
      </c>
      <c r="O999" s="24">
        <v>0</v>
      </c>
      <c r="P999" s="24">
        <v>0</v>
      </c>
      <c r="Q999" s="24">
        <v>59745.84</v>
      </c>
      <c r="R999" s="24">
        <v>22672.92</v>
      </c>
      <c r="S999" s="24">
        <v>115282.92</v>
      </c>
      <c r="T999" s="24">
        <v>61672.92</v>
      </c>
      <c r="U999" s="24">
        <v>14400</v>
      </c>
      <c r="V999" s="24">
        <v>60705</v>
      </c>
      <c r="W999" s="24">
        <v>889996</v>
      </c>
      <c r="X999" s="24">
        <v>370640.4</v>
      </c>
      <c r="Y999" s="24">
        <v>0</v>
      </c>
      <c r="Z999" s="24">
        <f t="shared" si="47"/>
        <v>1595116</v>
      </c>
      <c r="AB999" s="25">
        <v>1595116</v>
      </c>
      <c r="AC999" s="26">
        <v>1595116</v>
      </c>
      <c r="AD999" s="24">
        <v>0</v>
      </c>
      <c r="AE999" s="27">
        <f>_xlfn.XLOOKUP(B999,'Projects Cashflow'!$B:$B,'Projects Cashflow'!$AG:$AG,0)</f>
        <v>1595116</v>
      </c>
      <c r="AF999" s="28">
        <f t="shared" si="48"/>
        <v>0</v>
      </c>
    </row>
    <row r="1000" spans="2:32" x14ac:dyDescent="0.3">
      <c r="B1000" s="14" t="str">
        <f t="shared" si="46"/>
        <v>45102504511000871Website Support-N422212200104</v>
      </c>
      <c r="C1000" s="21" t="s">
        <v>2984</v>
      </c>
      <c r="D1000" s="22">
        <v>4510250</v>
      </c>
      <c r="E1000" s="21" t="s">
        <v>3017</v>
      </c>
      <c r="F1000" s="22">
        <v>4511000871</v>
      </c>
      <c r="G1000" s="21" t="s">
        <v>1152</v>
      </c>
      <c r="H1000" s="21" t="s">
        <v>1161</v>
      </c>
      <c r="I1000" s="22">
        <v>422212</v>
      </c>
      <c r="J1000" s="22">
        <v>200104</v>
      </c>
      <c r="K1000" s="22" t="s">
        <v>2959</v>
      </c>
      <c r="L1000" s="22">
        <v>70106</v>
      </c>
      <c r="M1000" s="23" t="s">
        <v>2960</v>
      </c>
      <c r="N1000" s="24">
        <v>0</v>
      </c>
      <c r="O1000" s="24">
        <v>0</v>
      </c>
      <c r="P1000" s="24">
        <v>0</v>
      </c>
      <c r="Q1000" s="24">
        <v>0</v>
      </c>
      <c r="R1000" s="24">
        <v>0</v>
      </c>
      <c r="S1000" s="24">
        <v>0</v>
      </c>
      <c r="T1000" s="24">
        <v>55590</v>
      </c>
      <c r="U1000" s="24">
        <v>0</v>
      </c>
      <c r="V1000" s="24">
        <v>0</v>
      </c>
      <c r="W1000" s="24">
        <v>0</v>
      </c>
      <c r="X1000" s="24">
        <v>1017110</v>
      </c>
      <c r="Y1000" s="24">
        <v>0</v>
      </c>
      <c r="Z1000" s="24">
        <f t="shared" si="47"/>
        <v>1072700</v>
      </c>
      <c r="AB1000" s="25">
        <v>1072700</v>
      </c>
      <c r="AC1000" s="26">
        <v>1072700</v>
      </c>
      <c r="AD1000" s="24">
        <v>0</v>
      </c>
      <c r="AE1000" s="27">
        <f>_xlfn.XLOOKUP(B1000,'Projects Cashflow'!$B:$B,'Projects Cashflow'!$AG:$AG,0)</f>
        <v>1072700</v>
      </c>
      <c r="AF1000" s="28">
        <f t="shared" si="48"/>
        <v>0</v>
      </c>
    </row>
    <row r="1001" spans="2:32" x14ac:dyDescent="0.3">
      <c r="B1001" s="14" t="str">
        <f t="shared" si="46"/>
        <v>45102504511000871Managed Service-N422212200104</v>
      </c>
      <c r="C1001" s="21" t="s">
        <v>2984</v>
      </c>
      <c r="D1001" s="22">
        <v>4510250</v>
      </c>
      <c r="E1001" s="21" t="s">
        <v>3017</v>
      </c>
      <c r="F1001" s="22">
        <v>4511000871</v>
      </c>
      <c r="G1001" s="21" t="s">
        <v>1152</v>
      </c>
      <c r="H1001" s="21" t="s">
        <v>476</v>
      </c>
      <c r="I1001" s="22">
        <v>422212</v>
      </c>
      <c r="J1001" s="22">
        <v>200104</v>
      </c>
      <c r="K1001" s="22" t="s">
        <v>2959</v>
      </c>
      <c r="L1001" s="22">
        <v>70106</v>
      </c>
      <c r="M1001" s="23" t="s">
        <v>2960</v>
      </c>
      <c r="N1001" s="24">
        <v>0</v>
      </c>
      <c r="O1001" s="24">
        <v>0</v>
      </c>
      <c r="P1001" s="24">
        <v>0</v>
      </c>
      <c r="Q1001" s="24">
        <v>0</v>
      </c>
      <c r="R1001" s="24">
        <v>479880</v>
      </c>
      <c r="S1001" s="24">
        <v>0</v>
      </c>
      <c r="T1001" s="24">
        <v>0</v>
      </c>
      <c r="U1001" s="24">
        <v>0</v>
      </c>
      <c r="V1001" s="24">
        <v>0</v>
      </c>
      <c r="W1001" s="24">
        <v>480000</v>
      </c>
      <c r="X1001" s="24">
        <v>0</v>
      </c>
      <c r="Y1001" s="24">
        <v>0</v>
      </c>
      <c r="Z1001" s="24">
        <f t="shared" si="47"/>
        <v>959880</v>
      </c>
      <c r="AB1001" s="25">
        <v>959880</v>
      </c>
      <c r="AC1001" s="26">
        <v>959880</v>
      </c>
      <c r="AD1001" s="24">
        <v>0</v>
      </c>
      <c r="AE1001" s="27">
        <f>_xlfn.XLOOKUP(B1001,'Projects Cashflow'!$B:$B,'Projects Cashflow'!$AG:$AG,0)</f>
        <v>959880</v>
      </c>
      <c r="AF1001" s="28">
        <f t="shared" si="48"/>
        <v>0</v>
      </c>
    </row>
    <row r="1002" spans="2:32" x14ac:dyDescent="0.3">
      <c r="B1002" s="14" t="str">
        <f t="shared" si="46"/>
        <v>45102504511000871MobileAppSupport-N422212200104</v>
      </c>
      <c r="C1002" s="21" t="s">
        <v>2984</v>
      </c>
      <c r="D1002" s="22">
        <v>4510250</v>
      </c>
      <c r="E1002" s="21" t="s">
        <v>3017</v>
      </c>
      <c r="F1002" s="22">
        <v>4511000871</v>
      </c>
      <c r="G1002" s="21" t="s">
        <v>1152</v>
      </c>
      <c r="H1002" s="21" t="s">
        <v>1153</v>
      </c>
      <c r="I1002" s="22">
        <v>422212</v>
      </c>
      <c r="J1002" s="22">
        <v>200104</v>
      </c>
      <c r="K1002" s="22" t="s">
        <v>2959</v>
      </c>
      <c r="L1002" s="22">
        <v>70106</v>
      </c>
      <c r="M1002" s="23" t="s">
        <v>2960</v>
      </c>
      <c r="N1002" s="24">
        <v>0</v>
      </c>
      <c r="O1002" s="24">
        <v>0</v>
      </c>
      <c r="P1002" s="24">
        <v>0</v>
      </c>
      <c r="Q1002" s="24">
        <v>0</v>
      </c>
      <c r="R1002" s="24">
        <v>0</v>
      </c>
      <c r="S1002" s="24">
        <v>0</v>
      </c>
      <c r="T1002" s="24">
        <v>0</v>
      </c>
      <c r="U1002" s="24">
        <v>0</v>
      </c>
      <c r="V1002" s="24">
        <v>0</v>
      </c>
      <c r="W1002" s="24">
        <v>0</v>
      </c>
      <c r="X1002" s="24">
        <v>455000</v>
      </c>
      <c r="Y1002" s="24">
        <v>0</v>
      </c>
      <c r="Z1002" s="24">
        <f t="shared" si="47"/>
        <v>455000</v>
      </c>
      <c r="AB1002" s="25">
        <v>455000</v>
      </c>
      <c r="AC1002" s="26">
        <v>455000</v>
      </c>
      <c r="AD1002" s="24">
        <v>0</v>
      </c>
      <c r="AE1002" s="27">
        <f>_xlfn.XLOOKUP(B1002,'Projects Cashflow'!$B:$B,'Projects Cashflow'!$AG:$AG,0)</f>
        <v>455000</v>
      </c>
      <c r="AF1002" s="28">
        <f t="shared" si="48"/>
        <v>0</v>
      </c>
    </row>
    <row r="1003" spans="2:32" x14ac:dyDescent="0.3">
      <c r="B1003" s="14" t="str">
        <f t="shared" si="46"/>
        <v>45102504511000871System Licenses-N425252200104</v>
      </c>
      <c r="C1003" s="21" t="s">
        <v>2984</v>
      </c>
      <c r="D1003" s="22">
        <v>4510250</v>
      </c>
      <c r="E1003" s="21" t="s">
        <v>3017</v>
      </c>
      <c r="F1003" s="22">
        <v>4511000871</v>
      </c>
      <c r="G1003" s="21" t="s">
        <v>1152</v>
      </c>
      <c r="H1003" s="21" t="s">
        <v>180</v>
      </c>
      <c r="I1003" s="22">
        <v>425252</v>
      </c>
      <c r="J1003" s="22">
        <v>200104</v>
      </c>
      <c r="K1003" s="22" t="s">
        <v>2959</v>
      </c>
      <c r="L1003" s="22">
        <v>70106</v>
      </c>
      <c r="M1003" s="23" t="s">
        <v>2960</v>
      </c>
      <c r="N1003" s="24">
        <v>0</v>
      </c>
      <c r="O1003" s="24">
        <v>0</v>
      </c>
      <c r="P1003" s="24">
        <v>0</v>
      </c>
      <c r="Q1003" s="24">
        <v>0</v>
      </c>
      <c r="R1003" s="24">
        <v>0</v>
      </c>
      <c r="S1003" s="24">
        <v>0</v>
      </c>
      <c r="T1003" s="24">
        <v>209199</v>
      </c>
      <c r="U1003" s="24">
        <v>0</v>
      </c>
      <c r="V1003" s="24">
        <v>0</v>
      </c>
      <c r="W1003" s="24">
        <v>0</v>
      </c>
      <c r="X1003" s="24">
        <v>0</v>
      </c>
      <c r="Y1003" s="24">
        <v>0</v>
      </c>
      <c r="Z1003" s="24">
        <f t="shared" si="47"/>
        <v>209199</v>
      </c>
      <c r="AB1003" s="25">
        <v>209199</v>
      </c>
      <c r="AC1003" s="26">
        <v>209199</v>
      </c>
      <c r="AD1003" s="24">
        <v>0</v>
      </c>
      <c r="AE1003" s="27">
        <f>_xlfn.XLOOKUP(B1003,'Projects Cashflow'!$B:$B,'Projects Cashflow'!$AG:$AG,0)</f>
        <v>209199</v>
      </c>
      <c r="AF1003" s="28">
        <f t="shared" si="48"/>
        <v>0</v>
      </c>
    </row>
    <row r="1004" spans="2:32" x14ac:dyDescent="0.3">
      <c r="B1004" s="14" t="str">
        <f t="shared" si="46"/>
        <v>45102504511000871Network Service-N422214200104</v>
      </c>
      <c r="C1004" s="21" t="s">
        <v>2984</v>
      </c>
      <c r="D1004" s="22">
        <v>4510250</v>
      </c>
      <c r="E1004" s="21" t="s">
        <v>3017</v>
      </c>
      <c r="F1004" s="22">
        <v>4511000871</v>
      </c>
      <c r="G1004" s="21" t="s">
        <v>1152</v>
      </c>
      <c r="H1004" s="21" t="s">
        <v>1154</v>
      </c>
      <c r="I1004" s="22">
        <v>422214</v>
      </c>
      <c r="J1004" s="22">
        <v>200104</v>
      </c>
      <c r="K1004" s="22" t="s">
        <v>2959</v>
      </c>
      <c r="L1004" s="22">
        <v>70106</v>
      </c>
      <c r="M1004" s="23" t="s">
        <v>2960</v>
      </c>
      <c r="N1004" s="24">
        <v>0</v>
      </c>
      <c r="O1004" s="24">
        <v>0</v>
      </c>
      <c r="P1004" s="24">
        <v>0</v>
      </c>
      <c r="Q1004" s="24">
        <v>0</v>
      </c>
      <c r="R1004" s="24">
        <v>200000</v>
      </c>
      <c r="S1004" s="24">
        <v>0</v>
      </c>
      <c r="T1004" s="24">
        <v>0</v>
      </c>
      <c r="U1004" s="24">
        <v>0</v>
      </c>
      <c r="V1004" s="24">
        <v>0</v>
      </c>
      <c r="W1004" s="24">
        <v>0</v>
      </c>
      <c r="X1004" s="24">
        <v>0</v>
      </c>
      <c r="Y1004" s="24">
        <v>0</v>
      </c>
      <c r="Z1004" s="24">
        <f t="shared" si="47"/>
        <v>200000</v>
      </c>
      <c r="AB1004" s="25">
        <v>200000</v>
      </c>
      <c r="AC1004" s="26">
        <v>200000</v>
      </c>
      <c r="AD1004" s="24">
        <v>0</v>
      </c>
      <c r="AE1004" s="27">
        <f>_xlfn.XLOOKUP(B1004,'Projects Cashflow'!$B:$B,'Projects Cashflow'!$AG:$AG,0)</f>
        <v>200000</v>
      </c>
      <c r="AF1004" s="28">
        <f t="shared" si="48"/>
        <v>0</v>
      </c>
    </row>
    <row r="1005" spans="2:32" x14ac:dyDescent="0.3">
      <c r="B1005" s="14" t="str">
        <f t="shared" si="46"/>
        <v>45102504511000872Systems Develop-NC493140300105</v>
      </c>
      <c r="C1005" s="21" t="s">
        <v>2984</v>
      </c>
      <c r="D1005" s="22">
        <v>4510250</v>
      </c>
      <c r="E1005" s="21" t="s">
        <v>3017</v>
      </c>
      <c r="F1005" s="22">
        <v>4511000872</v>
      </c>
      <c r="G1005" s="21" t="s">
        <v>1163</v>
      </c>
      <c r="H1005" s="21" t="s">
        <v>184</v>
      </c>
      <c r="I1005" s="22">
        <v>493140</v>
      </c>
      <c r="J1005" s="22">
        <v>300105</v>
      </c>
      <c r="K1005" s="22" t="s">
        <v>2972</v>
      </c>
      <c r="L1005" s="22">
        <v>70106</v>
      </c>
      <c r="M1005" s="23" t="s">
        <v>2960</v>
      </c>
      <c r="N1005" s="24">
        <v>0</v>
      </c>
      <c r="O1005" s="24">
        <v>0</v>
      </c>
      <c r="P1005" s="24">
        <v>0</v>
      </c>
      <c r="Q1005" s="24">
        <v>0</v>
      </c>
      <c r="R1005" s="24">
        <v>0</v>
      </c>
      <c r="S1005" s="24">
        <v>0</v>
      </c>
      <c r="T1005" s="24">
        <v>0</v>
      </c>
      <c r="U1005" s="24">
        <v>75000</v>
      </c>
      <c r="V1005" s="24">
        <v>911500</v>
      </c>
      <c r="W1005" s="24">
        <v>500000</v>
      </c>
      <c r="X1005" s="24">
        <v>661500</v>
      </c>
      <c r="Y1005" s="24">
        <v>0</v>
      </c>
      <c r="Z1005" s="24">
        <f t="shared" si="47"/>
        <v>2148000</v>
      </c>
      <c r="AB1005" s="25">
        <v>2113000</v>
      </c>
      <c r="AC1005" s="26">
        <v>2113000</v>
      </c>
      <c r="AD1005" s="24">
        <v>0</v>
      </c>
      <c r="AE1005" s="27">
        <f>_xlfn.XLOOKUP(B1005,'Projects Cashflow'!$B:$B,'Projects Cashflow'!$AG:$AG,0)</f>
        <v>2113000</v>
      </c>
      <c r="AF1005" s="28">
        <f t="shared" si="48"/>
        <v>0</v>
      </c>
    </row>
    <row r="1006" spans="2:32" x14ac:dyDescent="0.3">
      <c r="B1006" s="14" t="str">
        <f t="shared" si="46"/>
        <v>45102504511000872System Maintain-N1422212200104</v>
      </c>
      <c r="C1006" s="21" t="s">
        <v>2984</v>
      </c>
      <c r="D1006" s="22">
        <v>4510250</v>
      </c>
      <c r="E1006" s="21" t="s">
        <v>3017</v>
      </c>
      <c r="F1006" s="22">
        <v>4511000872</v>
      </c>
      <c r="G1006" s="21" t="s">
        <v>1163</v>
      </c>
      <c r="H1006" s="29" t="s">
        <v>1067</v>
      </c>
      <c r="I1006" s="33">
        <v>422212</v>
      </c>
      <c r="J1006" s="22">
        <v>200104</v>
      </c>
      <c r="K1006" s="22" t="s">
        <v>2959</v>
      </c>
      <c r="L1006" s="22">
        <v>70106</v>
      </c>
      <c r="M1006" s="23" t="s">
        <v>2960</v>
      </c>
      <c r="N1006" s="24">
        <v>0</v>
      </c>
      <c r="O1006" s="24">
        <v>0</v>
      </c>
      <c r="P1006" s="24">
        <v>0</v>
      </c>
      <c r="Q1006" s="24">
        <v>396293.95</v>
      </c>
      <c r="R1006" s="24">
        <v>11500</v>
      </c>
      <c r="S1006" s="24">
        <v>538670</v>
      </c>
      <c r="T1006" s="24">
        <v>186646.95</v>
      </c>
      <c r="U1006" s="24">
        <v>11500</v>
      </c>
      <c r="V1006" s="24">
        <v>11500</v>
      </c>
      <c r="W1006" s="24">
        <v>516746.95</v>
      </c>
      <c r="X1006" s="24">
        <v>138540</v>
      </c>
      <c r="Y1006" s="24">
        <v>186646.95</v>
      </c>
      <c r="Z1006" s="24">
        <f t="shared" si="47"/>
        <v>1998044.7999999998</v>
      </c>
      <c r="AB1006" s="25">
        <v>1910874.7999999998</v>
      </c>
      <c r="AC1006" s="26">
        <v>1910875</v>
      </c>
      <c r="AD1006" s="24">
        <v>-0.20000000018626451</v>
      </c>
      <c r="AE1006" s="27">
        <f>_xlfn.XLOOKUP(B1006,'Projects Cashflow'!$B:$B,'Projects Cashflow'!$AG:$AG,0)</f>
        <v>1910875</v>
      </c>
      <c r="AF1006" s="28">
        <f t="shared" si="48"/>
        <v>0.20000000018626451</v>
      </c>
    </row>
    <row r="1007" spans="2:32" x14ac:dyDescent="0.3">
      <c r="B1007" s="14" t="str">
        <f t="shared" si="46"/>
        <v>45102504511000872System Licenses-N425252200104</v>
      </c>
      <c r="C1007" s="21" t="s">
        <v>2984</v>
      </c>
      <c r="D1007" s="22">
        <v>4510250</v>
      </c>
      <c r="E1007" s="21" t="s">
        <v>3017</v>
      </c>
      <c r="F1007" s="22">
        <v>4511000872</v>
      </c>
      <c r="G1007" s="21" t="s">
        <v>1163</v>
      </c>
      <c r="H1007" s="21" t="s">
        <v>180</v>
      </c>
      <c r="I1007" s="22">
        <v>425252</v>
      </c>
      <c r="J1007" s="22">
        <v>200104</v>
      </c>
      <c r="K1007" s="22" t="s">
        <v>2959</v>
      </c>
      <c r="L1007" s="22">
        <v>70106</v>
      </c>
      <c r="M1007" s="23" t="s">
        <v>2960</v>
      </c>
      <c r="N1007" s="24">
        <v>0</v>
      </c>
      <c r="O1007" s="24">
        <v>0</v>
      </c>
      <c r="P1007" s="24">
        <v>0</v>
      </c>
      <c r="Q1007" s="24">
        <v>693000</v>
      </c>
      <c r="R1007" s="24">
        <v>0</v>
      </c>
      <c r="S1007" s="24">
        <v>2825</v>
      </c>
      <c r="T1007" s="24">
        <v>40000</v>
      </c>
      <c r="U1007" s="24">
        <v>0</v>
      </c>
      <c r="V1007" s="24">
        <v>0</v>
      </c>
      <c r="W1007" s="24">
        <v>0</v>
      </c>
      <c r="X1007" s="24">
        <v>392266</v>
      </c>
      <c r="Y1007" s="24">
        <v>0</v>
      </c>
      <c r="Z1007" s="24">
        <f t="shared" si="47"/>
        <v>1128091</v>
      </c>
      <c r="AB1007" s="25">
        <v>1128091</v>
      </c>
      <c r="AC1007" s="26">
        <v>1128091</v>
      </c>
      <c r="AD1007" s="24">
        <v>0</v>
      </c>
      <c r="AE1007" s="27">
        <f>_xlfn.XLOOKUP(B1007,'Projects Cashflow'!$B:$B,'Projects Cashflow'!$AG:$AG,0)</f>
        <v>1128091</v>
      </c>
      <c r="AF1007" s="28">
        <f t="shared" si="48"/>
        <v>0</v>
      </c>
    </row>
    <row r="1008" spans="2:32" x14ac:dyDescent="0.3">
      <c r="B1008" s="14" t="str">
        <f t="shared" si="46"/>
        <v>45102504511000873Website Design-NC493140300105</v>
      </c>
      <c r="C1008" s="21" t="s">
        <v>2984</v>
      </c>
      <c r="D1008" s="22">
        <v>4510250</v>
      </c>
      <c r="E1008" s="21" t="s">
        <v>3017</v>
      </c>
      <c r="F1008" s="22">
        <v>4511000873</v>
      </c>
      <c r="G1008" s="21" t="s">
        <v>1165</v>
      </c>
      <c r="H1008" s="21" t="s">
        <v>1168</v>
      </c>
      <c r="I1008" s="22">
        <v>493140</v>
      </c>
      <c r="J1008" s="22">
        <v>300105</v>
      </c>
      <c r="K1008" s="22" t="s">
        <v>2972</v>
      </c>
      <c r="L1008" s="22">
        <v>70106</v>
      </c>
      <c r="M1008" s="23" t="s">
        <v>2960</v>
      </c>
      <c r="N1008" s="24">
        <v>0</v>
      </c>
      <c r="O1008" s="24">
        <v>0</v>
      </c>
      <c r="P1008" s="24">
        <v>0</v>
      </c>
      <c r="Q1008" s="24">
        <v>0</v>
      </c>
      <c r="R1008" s="24">
        <v>0</v>
      </c>
      <c r="S1008" s="24">
        <v>0</v>
      </c>
      <c r="T1008" s="24">
        <v>0</v>
      </c>
      <c r="U1008" s="24">
        <v>0</v>
      </c>
      <c r="V1008" s="24">
        <v>0</v>
      </c>
      <c r="W1008" s="24">
        <v>3319000</v>
      </c>
      <c r="X1008" s="24">
        <v>1153705</v>
      </c>
      <c r="Y1008" s="24">
        <v>0</v>
      </c>
      <c r="Z1008" s="24">
        <f t="shared" si="47"/>
        <v>4472705</v>
      </c>
      <c r="AB1008" s="25">
        <v>3835705</v>
      </c>
      <c r="AC1008" s="26">
        <v>3835705</v>
      </c>
      <c r="AD1008" s="24">
        <v>0</v>
      </c>
      <c r="AE1008" s="27">
        <f>_xlfn.XLOOKUP(B1008,'Projects Cashflow'!$B:$B,'Projects Cashflow'!$AG:$AG,0)</f>
        <v>3835705</v>
      </c>
      <c r="AF1008" s="28">
        <f t="shared" si="48"/>
        <v>0</v>
      </c>
    </row>
    <row r="1009" spans="2:32" x14ac:dyDescent="0.3">
      <c r="B1009" s="14" t="str">
        <f t="shared" si="46"/>
        <v>45102504511000873Systems Develop-NC493140300105</v>
      </c>
      <c r="C1009" s="21" t="s">
        <v>2984</v>
      </c>
      <c r="D1009" s="22">
        <v>4510250</v>
      </c>
      <c r="E1009" s="21" t="s">
        <v>3017</v>
      </c>
      <c r="F1009" s="22">
        <v>4511000873</v>
      </c>
      <c r="G1009" s="21" t="s">
        <v>1165</v>
      </c>
      <c r="H1009" s="21" t="s">
        <v>184</v>
      </c>
      <c r="I1009" s="22">
        <v>493140</v>
      </c>
      <c r="J1009" s="22">
        <v>300105</v>
      </c>
      <c r="K1009" s="22" t="s">
        <v>2972</v>
      </c>
      <c r="L1009" s="22">
        <v>70106</v>
      </c>
      <c r="M1009" s="23" t="s">
        <v>2960</v>
      </c>
      <c r="N1009" s="24">
        <v>0</v>
      </c>
      <c r="O1009" s="24">
        <v>0</v>
      </c>
      <c r="P1009" s="24">
        <v>0</v>
      </c>
      <c r="Q1009" s="24">
        <v>0</v>
      </c>
      <c r="R1009" s="24">
        <v>0</v>
      </c>
      <c r="S1009" s="24">
        <v>0</v>
      </c>
      <c r="T1009" s="24">
        <v>201280</v>
      </c>
      <c r="U1009" s="24">
        <v>186000</v>
      </c>
      <c r="V1009" s="24">
        <v>303000</v>
      </c>
      <c r="W1009" s="24">
        <v>1600000</v>
      </c>
      <c r="X1009" s="24">
        <v>800000</v>
      </c>
      <c r="Y1009" s="24">
        <v>0</v>
      </c>
      <c r="Z1009" s="24">
        <f t="shared" si="47"/>
        <v>3090280</v>
      </c>
      <c r="AB1009" s="25">
        <v>2532139</v>
      </c>
      <c r="AC1009" s="26">
        <v>2532139</v>
      </c>
      <c r="AD1009" s="24">
        <v>0</v>
      </c>
      <c r="AE1009" s="27">
        <f>_xlfn.XLOOKUP(B1009,'Projects Cashflow'!$B:$B,'Projects Cashflow'!$AG:$AG,0)</f>
        <v>2532139</v>
      </c>
      <c r="AF1009" s="28">
        <f t="shared" si="48"/>
        <v>0</v>
      </c>
    </row>
    <row r="1010" spans="2:32" x14ac:dyDescent="0.3">
      <c r="B1010" s="14" t="str">
        <f t="shared" si="46"/>
        <v>45102504511000873System Licenses-NC493140300105</v>
      </c>
      <c r="C1010" s="21" t="s">
        <v>2984</v>
      </c>
      <c r="D1010" s="22">
        <v>4510250</v>
      </c>
      <c r="E1010" s="21" t="s">
        <v>3017</v>
      </c>
      <c r="F1010" s="22">
        <v>4511000873</v>
      </c>
      <c r="G1010" s="21" t="s">
        <v>1165</v>
      </c>
      <c r="H1010" s="21" t="s">
        <v>1167</v>
      </c>
      <c r="I1010" s="22">
        <v>493140</v>
      </c>
      <c r="J1010" s="22">
        <v>300105</v>
      </c>
      <c r="K1010" s="22" t="s">
        <v>2972</v>
      </c>
      <c r="L1010" s="22">
        <v>70106</v>
      </c>
      <c r="M1010" s="23" t="s">
        <v>2960</v>
      </c>
      <c r="N1010" s="24">
        <v>0</v>
      </c>
      <c r="O1010" s="24">
        <v>0</v>
      </c>
      <c r="P1010" s="24">
        <v>0</v>
      </c>
      <c r="Q1010" s="24">
        <v>0</v>
      </c>
      <c r="R1010" s="24">
        <v>0</v>
      </c>
      <c r="S1010" s="24">
        <v>0</v>
      </c>
      <c r="T1010" s="24">
        <v>0</v>
      </c>
      <c r="U1010" s="24">
        <v>0</v>
      </c>
      <c r="V1010" s="24">
        <v>570000</v>
      </c>
      <c r="W1010" s="24">
        <v>0</v>
      </c>
      <c r="X1010" s="24">
        <v>205750</v>
      </c>
      <c r="Y1010" s="24">
        <v>0</v>
      </c>
      <c r="Z1010" s="24">
        <f t="shared" si="47"/>
        <v>775750</v>
      </c>
      <c r="AB1010" s="25">
        <v>775750</v>
      </c>
      <c r="AC1010" s="26">
        <v>775750</v>
      </c>
      <c r="AD1010" s="24">
        <v>0</v>
      </c>
      <c r="AE1010" s="27">
        <f>_xlfn.XLOOKUP(B1010,'Projects Cashflow'!$B:$B,'Projects Cashflow'!$AG:$AG,0)</f>
        <v>775750</v>
      </c>
      <c r="AF1010" s="28">
        <f t="shared" si="48"/>
        <v>0</v>
      </c>
    </row>
    <row r="1011" spans="2:32" x14ac:dyDescent="0.3">
      <c r="B1011" s="14" t="str">
        <f t="shared" si="46"/>
        <v>45102504511000873Peripherals-NC491320300105</v>
      </c>
      <c r="C1011" s="21" t="s">
        <v>2984</v>
      </c>
      <c r="D1011" s="22">
        <v>4510250</v>
      </c>
      <c r="E1011" s="21" t="s">
        <v>3017</v>
      </c>
      <c r="F1011" s="22">
        <v>4511000873</v>
      </c>
      <c r="G1011" s="21" t="s">
        <v>1165</v>
      </c>
      <c r="H1011" s="21" t="s">
        <v>1166</v>
      </c>
      <c r="I1011" s="22">
        <v>491320</v>
      </c>
      <c r="J1011" s="22">
        <v>300105</v>
      </c>
      <c r="K1011" s="22" t="s">
        <v>2972</v>
      </c>
      <c r="L1011" s="22">
        <v>70106</v>
      </c>
      <c r="M1011" s="23" t="s">
        <v>2960</v>
      </c>
      <c r="N1011" s="24">
        <v>0</v>
      </c>
      <c r="O1011" s="24">
        <v>0</v>
      </c>
      <c r="P1011" s="24">
        <v>0</v>
      </c>
      <c r="Q1011" s="24">
        <v>0</v>
      </c>
      <c r="R1011" s="24">
        <v>0</v>
      </c>
      <c r="S1011" s="24">
        <v>0</v>
      </c>
      <c r="T1011" s="24">
        <v>0</v>
      </c>
      <c r="U1011" s="24">
        <v>0</v>
      </c>
      <c r="V1011" s="24">
        <v>0</v>
      </c>
      <c r="W1011" s="24">
        <v>0</v>
      </c>
      <c r="X1011" s="24">
        <v>600000</v>
      </c>
      <c r="Y1011" s="24">
        <v>0</v>
      </c>
      <c r="Z1011" s="24">
        <f t="shared" si="47"/>
        <v>600000</v>
      </c>
      <c r="AB1011" s="25">
        <v>600000</v>
      </c>
      <c r="AC1011" s="26">
        <v>600000</v>
      </c>
      <c r="AD1011" s="24">
        <v>0</v>
      </c>
      <c r="AE1011" s="27">
        <f>_xlfn.XLOOKUP(B1011,'Projects Cashflow'!$B:$B,'Projects Cashflow'!$AG:$AG,0)</f>
        <v>600000</v>
      </c>
      <c r="AF1011" s="28">
        <f t="shared" si="48"/>
        <v>0</v>
      </c>
    </row>
    <row r="1012" spans="2:32" x14ac:dyDescent="0.3">
      <c r="B1012" s="14" t="str">
        <f t="shared" si="46"/>
        <v>45102504511000873System Licenses-N425252200104</v>
      </c>
      <c r="C1012" s="21" t="s">
        <v>2984</v>
      </c>
      <c r="D1012" s="22">
        <v>4510250</v>
      </c>
      <c r="E1012" s="21" t="s">
        <v>3017</v>
      </c>
      <c r="F1012" s="22">
        <v>4511000873</v>
      </c>
      <c r="G1012" s="21" t="s">
        <v>1165</v>
      </c>
      <c r="H1012" s="21" t="s">
        <v>180</v>
      </c>
      <c r="I1012" s="22">
        <v>425252</v>
      </c>
      <c r="J1012" s="22">
        <v>200104</v>
      </c>
      <c r="K1012" s="22" t="s">
        <v>2959</v>
      </c>
      <c r="L1012" s="22">
        <v>70106</v>
      </c>
      <c r="M1012" s="23" t="s">
        <v>2960</v>
      </c>
      <c r="N1012" s="24">
        <v>0</v>
      </c>
      <c r="O1012" s="24">
        <v>0</v>
      </c>
      <c r="P1012" s="24">
        <v>0</v>
      </c>
      <c r="Q1012" s="24">
        <v>0</v>
      </c>
      <c r="R1012" s="24">
        <v>0</v>
      </c>
      <c r="S1012" s="24">
        <v>0</v>
      </c>
      <c r="T1012" s="24">
        <v>209199</v>
      </c>
      <c r="U1012" s="24">
        <v>0</v>
      </c>
      <c r="V1012" s="24">
        <v>0</v>
      </c>
      <c r="W1012" s="24">
        <v>605871.51</v>
      </c>
      <c r="X1012" s="24">
        <v>3700000</v>
      </c>
      <c r="Y1012" s="24">
        <v>0</v>
      </c>
      <c r="Z1012" s="24">
        <f t="shared" si="47"/>
        <v>4515070.51</v>
      </c>
      <c r="AB1012" s="25">
        <v>4132212.51</v>
      </c>
      <c r="AC1012" s="26">
        <v>4132212.51</v>
      </c>
      <c r="AD1012" s="24">
        <v>0</v>
      </c>
      <c r="AE1012" s="27">
        <f>_xlfn.XLOOKUP(B1012,'Projects Cashflow'!$B:$B,'Projects Cashflow'!$AG:$AG,0)</f>
        <v>4132212.51</v>
      </c>
      <c r="AF1012" s="28">
        <f t="shared" si="48"/>
        <v>0</v>
      </c>
    </row>
    <row r="1013" spans="2:32" x14ac:dyDescent="0.3">
      <c r="B1013" s="14" t="str">
        <f t="shared" si="46"/>
        <v>45102504511000873System Maintain-N1422212200104</v>
      </c>
      <c r="C1013" s="21" t="s">
        <v>2984</v>
      </c>
      <c r="D1013" s="22">
        <v>4510250</v>
      </c>
      <c r="E1013" s="21" t="s">
        <v>3017</v>
      </c>
      <c r="F1013" s="22">
        <v>4511000873</v>
      </c>
      <c r="G1013" s="21" t="s">
        <v>1165</v>
      </c>
      <c r="H1013" s="21" t="s">
        <v>1067</v>
      </c>
      <c r="I1013" s="22">
        <v>422212</v>
      </c>
      <c r="J1013" s="22">
        <v>200104</v>
      </c>
      <c r="K1013" s="22" t="s">
        <v>2959</v>
      </c>
      <c r="L1013" s="22">
        <v>70106</v>
      </c>
      <c r="M1013" s="23" t="s">
        <v>2960</v>
      </c>
      <c r="N1013" s="24">
        <v>0</v>
      </c>
      <c r="O1013" s="24">
        <v>0</v>
      </c>
      <c r="P1013" s="24">
        <v>0</v>
      </c>
      <c r="Q1013" s="24">
        <v>35046.6</v>
      </c>
      <c r="R1013" s="24">
        <v>3282.3</v>
      </c>
      <c r="S1013" s="24">
        <v>358282.3</v>
      </c>
      <c r="T1013" s="24">
        <v>129482.3</v>
      </c>
      <c r="U1013" s="24">
        <v>106662.45</v>
      </c>
      <c r="V1013" s="24">
        <v>3282.3</v>
      </c>
      <c r="W1013" s="24">
        <v>2828564.3</v>
      </c>
      <c r="X1013" s="24">
        <v>50623.3</v>
      </c>
      <c r="Y1013" s="24">
        <v>0</v>
      </c>
      <c r="Z1013" s="24">
        <f t="shared" si="47"/>
        <v>3515225.8499999996</v>
      </c>
      <c r="AB1013" s="25">
        <v>1813119.8499999996</v>
      </c>
      <c r="AC1013" s="26">
        <v>1813120</v>
      </c>
      <c r="AD1013" s="24">
        <v>-0.15000000037252903</v>
      </c>
      <c r="AE1013" s="27">
        <f>_xlfn.XLOOKUP(B1013,'Projects Cashflow'!$B:$B,'Projects Cashflow'!$AG:$AG,0)</f>
        <v>1813120</v>
      </c>
      <c r="AF1013" s="28">
        <f t="shared" si="48"/>
        <v>0.15000000037252903</v>
      </c>
    </row>
    <row r="1014" spans="2:32" x14ac:dyDescent="0.3">
      <c r="B1014" s="14" t="str">
        <f t="shared" si="46"/>
        <v>45102504511000873Website Support-N422212200104</v>
      </c>
      <c r="C1014" s="21" t="s">
        <v>2984</v>
      </c>
      <c r="D1014" s="22">
        <v>4510250</v>
      </c>
      <c r="E1014" s="21" t="s">
        <v>3017</v>
      </c>
      <c r="F1014" s="22">
        <v>4511000873</v>
      </c>
      <c r="G1014" s="21" t="s">
        <v>1165</v>
      </c>
      <c r="H1014" s="21" t="s">
        <v>1161</v>
      </c>
      <c r="I1014" s="22">
        <v>422212</v>
      </c>
      <c r="J1014" s="22">
        <v>200104</v>
      </c>
      <c r="K1014" s="22" t="s">
        <v>2959</v>
      </c>
      <c r="L1014" s="22">
        <v>70106</v>
      </c>
      <c r="M1014" s="23" t="s">
        <v>2960</v>
      </c>
      <c r="N1014" s="24">
        <v>0</v>
      </c>
      <c r="O1014" s="24">
        <v>0</v>
      </c>
      <c r="P1014" s="24">
        <v>0</v>
      </c>
      <c r="Q1014" s="24">
        <v>392724.66000000003</v>
      </c>
      <c r="R1014" s="24">
        <v>14708.33</v>
      </c>
      <c r="S1014" s="24">
        <v>14708.33</v>
      </c>
      <c r="T1014" s="24">
        <v>14708.33</v>
      </c>
      <c r="U1014" s="24">
        <v>14708.33</v>
      </c>
      <c r="V1014" s="24">
        <v>14708.33</v>
      </c>
      <c r="W1014" s="24">
        <v>14708.33</v>
      </c>
      <c r="X1014" s="24">
        <v>48625.03</v>
      </c>
      <c r="Y1014" s="24">
        <v>0</v>
      </c>
      <c r="Z1014" s="24">
        <f t="shared" si="47"/>
        <v>529599.67000000016</v>
      </c>
      <c r="AB1014" s="25">
        <v>529599.67000000016</v>
      </c>
      <c r="AC1014" s="26">
        <v>529600</v>
      </c>
      <c r="AD1014" s="24">
        <v>-0.32999999984167516</v>
      </c>
      <c r="AE1014" s="27">
        <f>_xlfn.XLOOKUP(B1014,'Projects Cashflow'!$B:$B,'Projects Cashflow'!$AG:$AG,0)</f>
        <v>529600</v>
      </c>
      <c r="AF1014" s="28">
        <f t="shared" si="48"/>
        <v>0.32999999984167516</v>
      </c>
    </row>
    <row r="1015" spans="2:32" x14ac:dyDescent="0.3">
      <c r="B1015" s="14" t="str">
        <f t="shared" si="46"/>
        <v>45102504511000875Systems Develop-NC1493140300105</v>
      </c>
      <c r="C1015" s="21" t="s">
        <v>2984</v>
      </c>
      <c r="D1015" s="22">
        <v>4510250</v>
      </c>
      <c r="E1015" s="21" t="s">
        <v>3017</v>
      </c>
      <c r="F1015" s="22">
        <v>4511000875</v>
      </c>
      <c r="G1015" s="21" t="s">
        <v>1170</v>
      </c>
      <c r="H1015" s="21" t="s">
        <v>1106</v>
      </c>
      <c r="I1015" s="22">
        <v>493140</v>
      </c>
      <c r="J1015" s="22">
        <v>300105</v>
      </c>
      <c r="K1015" s="22" t="s">
        <v>2972</v>
      </c>
      <c r="L1015" s="22">
        <v>70106</v>
      </c>
      <c r="M1015" s="23" t="s">
        <v>2960</v>
      </c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4">
        <f t="shared" si="47"/>
        <v>0</v>
      </c>
      <c r="AB1015" s="25">
        <v>350000</v>
      </c>
      <c r="AC1015" s="26">
        <v>350000</v>
      </c>
      <c r="AD1015" s="24">
        <v>0</v>
      </c>
      <c r="AE1015" s="27">
        <f>_xlfn.XLOOKUP(B1015,'Projects Cashflow'!$B:$B,'Projects Cashflow'!$AG:$AG,0)</f>
        <v>350000</v>
      </c>
      <c r="AF1015" s="28">
        <f t="shared" si="48"/>
        <v>0</v>
      </c>
    </row>
    <row r="1016" spans="2:32" x14ac:dyDescent="0.3">
      <c r="B1016" s="14" t="str">
        <f t="shared" si="46"/>
        <v>45102504511000875Website Support-N422212200104</v>
      </c>
      <c r="C1016" s="21" t="s">
        <v>2984</v>
      </c>
      <c r="D1016" s="22">
        <v>4510250</v>
      </c>
      <c r="E1016" s="21" t="s">
        <v>3017</v>
      </c>
      <c r="F1016" s="22">
        <v>4511000875</v>
      </c>
      <c r="G1016" s="21" t="s">
        <v>1170</v>
      </c>
      <c r="H1016" s="21" t="s">
        <v>1161</v>
      </c>
      <c r="I1016" s="22">
        <v>422212</v>
      </c>
      <c r="J1016" s="22">
        <v>200104</v>
      </c>
      <c r="K1016" s="22" t="s">
        <v>2959</v>
      </c>
      <c r="L1016" s="22">
        <v>70106</v>
      </c>
      <c r="M1016" s="23" t="s">
        <v>2960</v>
      </c>
      <c r="N1016" s="24">
        <v>0</v>
      </c>
      <c r="O1016" s="24">
        <v>0</v>
      </c>
      <c r="P1016" s="24">
        <v>0</v>
      </c>
      <c r="Q1016" s="24">
        <v>397494</v>
      </c>
      <c r="R1016" s="24">
        <v>1192482</v>
      </c>
      <c r="S1016" s="24">
        <v>0</v>
      </c>
      <c r="T1016" s="24">
        <v>1500000</v>
      </c>
      <c r="U1016" s="24">
        <v>1192482</v>
      </c>
      <c r="V1016" s="24">
        <v>0</v>
      </c>
      <c r="W1016" s="24">
        <v>517946</v>
      </c>
      <c r="X1016" s="24">
        <v>1987470</v>
      </c>
      <c r="Y1016" s="24">
        <v>0</v>
      </c>
      <c r="Z1016" s="24">
        <f t="shared" si="47"/>
        <v>6787874</v>
      </c>
      <c r="AB1016" s="25">
        <v>6798260</v>
      </c>
      <c r="AC1016" s="26">
        <v>6798260</v>
      </c>
      <c r="AD1016" s="24">
        <v>0</v>
      </c>
      <c r="AE1016" s="27">
        <f>_xlfn.XLOOKUP(B1016,'Projects Cashflow'!$B:$B,'Projects Cashflow'!$AG:$AG,0)</f>
        <v>6798260</v>
      </c>
      <c r="AF1016" s="28">
        <f t="shared" si="48"/>
        <v>0</v>
      </c>
    </row>
    <row r="1017" spans="2:32" x14ac:dyDescent="0.3">
      <c r="B1017" s="14" t="str">
        <f t="shared" si="46"/>
        <v>45102504511000875System Licenses-N425252200104</v>
      </c>
      <c r="C1017" s="21" t="s">
        <v>2984</v>
      </c>
      <c r="D1017" s="22">
        <v>4510250</v>
      </c>
      <c r="E1017" s="21" t="s">
        <v>3017</v>
      </c>
      <c r="F1017" s="22">
        <v>4511000875</v>
      </c>
      <c r="G1017" s="21" t="s">
        <v>1170</v>
      </c>
      <c r="H1017" s="21" t="s">
        <v>180</v>
      </c>
      <c r="I1017" s="22">
        <v>425252</v>
      </c>
      <c r="J1017" s="22">
        <v>200104</v>
      </c>
      <c r="K1017" s="22" t="s">
        <v>2959</v>
      </c>
      <c r="L1017" s="22">
        <v>70106</v>
      </c>
      <c r="M1017" s="23" t="s">
        <v>2960</v>
      </c>
      <c r="N1017" s="24">
        <v>0</v>
      </c>
      <c r="O1017" s="24">
        <v>0</v>
      </c>
      <c r="P1017" s="24">
        <v>64290.17</v>
      </c>
      <c r="Q1017" s="24">
        <v>1844929.83</v>
      </c>
      <c r="R1017" s="24">
        <v>50000</v>
      </c>
      <c r="S1017" s="24">
        <v>50000</v>
      </c>
      <c r="T1017" s="24">
        <v>50000</v>
      </c>
      <c r="U1017" s="24">
        <v>118122</v>
      </c>
      <c r="V1017" s="24">
        <v>50000</v>
      </c>
      <c r="W1017" s="24">
        <v>1250907.5</v>
      </c>
      <c r="X1017" s="24">
        <v>2004006</v>
      </c>
      <c r="Y1017" s="24">
        <v>164000</v>
      </c>
      <c r="Z1017" s="24">
        <f t="shared" si="47"/>
        <v>5646255.5</v>
      </c>
      <c r="AB1017" s="25">
        <v>6542255.5</v>
      </c>
      <c r="AC1017" s="26">
        <v>6542255.5</v>
      </c>
      <c r="AD1017" s="24">
        <v>0</v>
      </c>
      <c r="AE1017" s="27">
        <f>_xlfn.XLOOKUP(B1017,'Projects Cashflow'!$B:$B,'Projects Cashflow'!$AG:$AG,0)</f>
        <v>6542255.5</v>
      </c>
      <c r="AF1017" s="28">
        <f t="shared" si="48"/>
        <v>0</v>
      </c>
    </row>
    <row r="1018" spans="2:32" x14ac:dyDescent="0.3">
      <c r="B1018" s="14" t="str">
        <f t="shared" si="46"/>
        <v>45102504511000876Systems Develop-NC493140300105</v>
      </c>
      <c r="C1018" s="21" t="s">
        <v>2984</v>
      </c>
      <c r="D1018" s="22">
        <v>4510250</v>
      </c>
      <c r="E1018" s="21" t="s">
        <v>3017</v>
      </c>
      <c r="F1018" s="22">
        <v>4511000876</v>
      </c>
      <c r="G1018" s="21" t="s">
        <v>1172</v>
      </c>
      <c r="H1018" s="21" t="s">
        <v>184</v>
      </c>
      <c r="I1018" s="22">
        <v>493140</v>
      </c>
      <c r="J1018" s="22">
        <v>300105</v>
      </c>
      <c r="K1018" s="22" t="s">
        <v>2972</v>
      </c>
      <c r="L1018" s="22">
        <v>70106</v>
      </c>
      <c r="M1018" s="23" t="s">
        <v>2960</v>
      </c>
      <c r="N1018" s="24">
        <v>0</v>
      </c>
      <c r="O1018" s="24">
        <v>0</v>
      </c>
      <c r="P1018" s="24">
        <v>0</v>
      </c>
      <c r="Q1018" s="24">
        <v>0</v>
      </c>
      <c r="R1018" s="24">
        <v>0</v>
      </c>
      <c r="S1018" s="24">
        <v>200000</v>
      </c>
      <c r="T1018" s="24">
        <v>50000</v>
      </c>
      <c r="U1018" s="24">
        <v>0</v>
      </c>
      <c r="V1018" s="24">
        <v>570000</v>
      </c>
      <c r="W1018" s="24">
        <v>4947706</v>
      </c>
      <c r="X1018" s="24">
        <v>100000</v>
      </c>
      <c r="Y1018" s="24">
        <v>0</v>
      </c>
      <c r="Z1018" s="24">
        <f t="shared" si="47"/>
        <v>5867706</v>
      </c>
      <c r="AB1018" s="25">
        <v>2645706</v>
      </c>
      <c r="AC1018" s="26">
        <v>2645706</v>
      </c>
      <c r="AD1018" s="24">
        <v>0</v>
      </c>
      <c r="AE1018" s="27">
        <f>_xlfn.XLOOKUP(B1018,'Projects Cashflow'!$B:$B,'Projects Cashflow'!$AG:$AG,0)</f>
        <v>2645706</v>
      </c>
      <c r="AF1018" s="28">
        <f t="shared" si="48"/>
        <v>0</v>
      </c>
    </row>
    <row r="1019" spans="2:32" x14ac:dyDescent="0.3">
      <c r="B1019" s="14" t="str">
        <f t="shared" si="46"/>
        <v>45102504511000876System Licenses-NC493140300105</v>
      </c>
      <c r="C1019" s="21" t="s">
        <v>2984</v>
      </c>
      <c r="D1019" s="22">
        <v>4510250</v>
      </c>
      <c r="E1019" s="21" t="s">
        <v>3017</v>
      </c>
      <c r="F1019" s="22">
        <v>4511000876</v>
      </c>
      <c r="G1019" s="21" t="s">
        <v>1172</v>
      </c>
      <c r="H1019" s="21" t="s">
        <v>1167</v>
      </c>
      <c r="I1019" s="22">
        <v>493140</v>
      </c>
      <c r="J1019" s="22">
        <v>300105</v>
      </c>
      <c r="K1019" s="22" t="s">
        <v>2972</v>
      </c>
      <c r="L1019" s="22">
        <v>70106</v>
      </c>
      <c r="M1019" s="23" t="s">
        <v>2960</v>
      </c>
      <c r="N1019" s="24">
        <v>0</v>
      </c>
      <c r="O1019" s="24">
        <v>0</v>
      </c>
      <c r="P1019" s="24">
        <v>0</v>
      </c>
      <c r="Q1019" s="24">
        <v>0</v>
      </c>
      <c r="R1019" s="24">
        <v>0</v>
      </c>
      <c r="S1019" s="24">
        <v>0</v>
      </c>
      <c r="T1019" s="24">
        <v>400000</v>
      </c>
      <c r="U1019" s="24">
        <v>0</v>
      </c>
      <c r="V1019" s="24">
        <v>0</v>
      </c>
      <c r="W1019" s="24">
        <v>0</v>
      </c>
      <c r="X1019" s="24">
        <v>0</v>
      </c>
      <c r="Y1019" s="24">
        <v>0</v>
      </c>
      <c r="Z1019" s="24">
        <f t="shared" si="47"/>
        <v>400000</v>
      </c>
      <c r="AB1019" s="25">
        <v>400000</v>
      </c>
      <c r="AC1019" s="26">
        <v>400000</v>
      </c>
      <c r="AD1019" s="24">
        <v>0</v>
      </c>
      <c r="AE1019" s="27">
        <f>_xlfn.XLOOKUP(B1019,'Projects Cashflow'!$B:$B,'Projects Cashflow'!$AG:$AG,0)</f>
        <v>400000</v>
      </c>
      <c r="AF1019" s="28">
        <f t="shared" si="48"/>
        <v>0</v>
      </c>
    </row>
    <row r="1020" spans="2:32" x14ac:dyDescent="0.3">
      <c r="B1020" s="14" t="str">
        <f t="shared" si="46"/>
        <v>45102504511000876System Licenses-N425252200104</v>
      </c>
      <c r="C1020" s="21" t="s">
        <v>2984</v>
      </c>
      <c r="D1020" s="22">
        <v>4510250</v>
      </c>
      <c r="E1020" s="21" t="s">
        <v>3017</v>
      </c>
      <c r="F1020" s="22">
        <v>4511000876</v>
      </c>
      <c r="G1020" s="21" t="s">
        <v>1172</v>
      </c>
      <c r="H1020" s="21" t="s">
        <v>180</v>
      </c>
      <c r="I1020" s="22">
        <v>425252</v>
      </c>
      <c r="J1020" s="22">
        <v>200104</v>
      </c>
      <c r="K1020" s="22" t="s">
        <v>2959</v>
      </c>
      <c r="L1020" s="22">
        <v>70106</v>
      </c>
      <c r="M1020" s="23" t="s">
        <v>2960</v>
      </c>
      <c r="N1020" s="24">
        <v>0</v>
      </c>
      <c r="O1020" s="24">
        <v>0</v>
      </c>
      <c r="P1020" s="24">
        <v>0</v>
      </c>
      <c r="Q1020" s="24">
        <v>0</v>
      </c>
      <c r="R1020" s="24">
        <v>0</v>
      </c>
      <c r="S1020" s="24">
        <v>12000</v>
      </c>
      <c r="T1020" s="24">
        <v>0</v>
      </c>
      <c r="U1020" s="24">
        <v>225000</v>
      </c>
      <c r="V1020" s="24">
        <v>642429</v>
      </c>
      <c r="W1020" s="24">
        <v>45928</v>
      </c>
      <c r="X1020" s="24">
        <v>3412116</v>
      </c>
      <c r="Y1020" s="24">
        <v>0</v>
      </c>
      <c r="Z1020" s="24">
        <f t="shared" si="47"/>
        <v>4337473</v>
      </c>
      <c r="AB1020" s="25">
        <v>4090384</v>
      </c>
      <c r="AC1020" s="26">
        <v>4090384</v>
      </c>
      <c r="AD1020" s="24">
        <v>0</v>
      </c>
      <c r="AE1020" s="27">
        <f>_xlfn.XLOOKUP(B1020,'Projects Cashflow'!$B:$B,'Projects Cashflow'!$AG:$AG,0)</f>
        <v>4090384</v>
      </c>
      <c r="AF1020" s="28">
        <f t="shared" si="48"/>
        <v>0</v>
      </c>
    </row>
    <row r="1021" spans="2:32" x14ac:dyDescent="0.3">
      <c r="B1021" s="14" t="str">
        <f t="shared" si="46"/>
        <v>45102504511000876Cloud Services-N422218200104</v>
      </c>
      <c r="C1021" s="21" t="s">
        <v>2984</v>
      </c>
      <c r="D1021" s="22">
        <v>4510250</v>
      </c>
      <c r="E1021" s="21" t="s">
        <v>3017</v>
      </c>
      <c r="F1021" s="22">
        <v>4511000876</v>
      </c>
      <c r="G1021" s="21" t="s">
        <v>1172</v>
      </c>
      <c r="H1021" s="21" t="s">
        <v>1173</v>
      </c>
      <c r="I1021" s="22">
        <v>422218</v>
      </c>
      <c r="J1021" s="22">
        <v>200104</v>
      </c>
      <c r="K1021" s="22" t="s">
        <v>2959</v>
      </c>
      <c r="L1021" s="22">
        <v>70106</v>
      </c>
      <c r="M1021" s="23" t="s">
        <v>2960</v>
      </c>
      <c r="N1021" s="24">
        <v>0</v>
      </c>
      <c r="O1021" s="24">
        <v>0</v>
      </c>
      <c r="P1021" s="24">
        <v>0</v>
      </c>
      <c r="Q1021" s="24">
        <v>0</v>
      </c>
      <c r="R1021" s="24">
        <v>0</v>
      </c>
      <c r="S1021" s="24">
        <v>0</v>
      </c>
      <c r="T1021" s="24">
        <v>0</v>
      </c>
      <c r="U1021" s="24">
        <v>0</v>
      </c>
      <c r="V1021" s="24">
        <v>0</v>
      </c>
      <c r="W1021" s="24">
        <v>2016</v>
      </c>
      <c r="X1021" s="24">
        <v>2305891</v>
      </c>
      <c r="Y1021" s="24">
        <v>0</v>
      </c>
      <c r="Z1021" s="24">
        <f t="shared" si="47"/>
        <v>2307907</v>
      </c>
      <c r="AB1021" s="25">
        <v>2307907</v>
      </c>
      <c r="AC1021" s="26">
        <v>2307907</v>
      </c>
      <c r="AD1021" s="24">
        <v>0</v>
      </c>
      <c r="AE1021" s="27">
        <f>_xlfn.XLOOKUP(B1021,'Projects Cashflow'!$B:$B,'Projects Cashflow'!$AG:$AG,0)</f>
        <v>2307907</v>
      </c>
      <c r="AF1021" s="28">
        <f t="shared" si="48"/>
        <v>0</v>
      </c>
    </row>
    <row r="1022" spans="2:32" x14ac:dyDescent="0.3">
      <c r="B1022" s="14" t="str">
        <f t="shared" si="46"/>
        <v>45102504511000876System Maintain-N1422212200104</v>
      </c>
      <c r="C1022" s="21" t="s">
        <v>2984</v>
      </c>
      <c r="D1022" s="22">
        <v>4510250</v>
      </c>
      <c r="E1022" s="21" t="s">
        <v>3017</v>
      </c>
      <c r="F1022" s="22">
        <v>4511000876</v>
      </c>
      <c r="G1022" s="21" t="s">
        <v>1172</v>
      </c>
      <c r="H1022" s="29" t="s">
        <v>1067</v>
      </c>
      <c r="I1022" s="33">
        <v>422212</v>
      </c>
      <c r="J1022" s="22">
        <v>200104</v>
      </c>
      <c r="K1022" s="22" t="s">
        <v>2959</v>
      </c>
      <c r="L1022" s="22">
        <v>70106</v>
      </c>
      <c r="M1022" s="23" t="s">
        <v>2960</v>
      </c>
      <c r="N1022" s="24">
        <v>0</v>
      </c>
      <c r="O1022" s="24">
        <v>0</v>
      </c>
      <c r="P1022" s="24">
        <v>0</v>
      </c>
      <c r="Q1022" s="24">
        <v>124060</v>
      </c>
      <c r="R1022" s="24">
        <v>0</v>
      </c>
      <c r="S1022" s="24">
        <v>0</v>
      </c>
      <c r="T1022" s="24">
        <v>0</v>
      </c>
      <c r="U1022" s="24">
        <v>65000</v>
      </c>
      <c r="V1022" s="24">
        <v>0</v>
      </c>
      <c r="W1022" s="24">
        <v>0</v>
      </c>
      <c r="X1022" s="24">
        <v>0</v>
      </c>
      <c r="Y1022" s="24">
        <v>0</v>
      </c>
      <c r="Z1022" s="24">
        <f t="shared" si="47"/>
        <v>189060</v>
      </c>
      <c r="AB1022" s="25">
        <v>184569</v>
      </c>
      <c r="AC1022" s="26">
        <v>184569</v>
      </c>
      <c r="AD1022" s="24">
        <v>0</v>
      </c>
      <c r="AE1022" s="27">
        <f>_xlfn.XLOOKUP(B1022,'Projects Cashflow'!$B:$B,'Projects Cashflow'!$AG:$AG,0)</f>
        <v>184569</v>
      </c>
      <c r="AF1022" s="28">
        <f t="shared" si="48"/>
        <v>0</v>
      </c>
    </row>
    <row r="1023" spans="2:32" x14ac:dyDescent="0.3">
      <c r="B1023" s="14" t="str">
        <f t="shared" si="46"/>
        <v>45102504511000877Systems Develop-NC493140300105</v>
      </c>
      <c r="C1023" s="21" t="s">
        <v>2984</v>
      </c>
      <c r="D1023" s="22">
        <v>4510250</v>
      </c>
      <c r="E1023" s="21" t="s">
        <v>3017</v>
      </c>
      <c r="F1023" s="22">
        <v>4511000877</v>
      </c>
      <c r="G1023" s="21" t="s">
        <v>1178</v>
      </c>
      <c r="H1023" s="21" t="s">
        <v>184</v>
      </c>
      <c r="I1023" s="22">
        <v>493140</v>
      </c>
      <c r="J1023" s="22">
        <v>300105</v>
      </c>
      <c r="K1023" s="22" t="s">
        <v>2972</v>
      </c>
      <c r="L1023" s="22">
        <v>70106</v>
      </c>
      <c r="M1023" s="23" t="s">
        <v>2960</v>
      </c>
      <c r="N1023" s="24">
        <v>0</v>
      </c>
      <c r="O1023" s="24">
        <v>0</v>
      </c>
      <c r="P1023" s="24">
        <v>0</v>
      </c>
      <c r="Q1023" s="24">
        <v>0</v>
      </c>
      <c r="R1023" s="24">
        <v>0</v>
      </c>
      <c r="S1023" s="24">
        <v>497259</v>
      </c>
      <c r="T1023" s="24">
        <v>200000</v>
      </c>
      <c r="U1023" s="24">
        <v>303333</v>
      </c>
      <c r="V1023" s="24">
        <v>500000</v>
      </c>
      <c r="W1023" s="24">
        <v>1100592</v>
      </c>
      <c r="X1023" s="24">
        <v>0</v>
      </c>
      <c r="Y1023" s="24">
        <v>303334</v>
      </c>
      <c r="Z1023" s="24">
        <f t="shared" si="47"/>
        <v>2904518</v>
      </c>
      <c r="AB1023" s="25">
        <v>6159600</v>
      </c>
      <c r="AC1023" s="26">
        <v>6159600</v>
      </c>
      <c r="AD1023" s="24">
        <v>0</v>
      </c>
      <c r="AE1023" s="27">
        <f>_xlfn.XLOOKUP(B1023,'Projects Cashflow'!$B:$B,'Projects Cashflow'!$AG:$AG,0)</f>
        <v>6159600</v>
      </c>
      <c r="AF1023" s="28">
        <f t="shared" si="48"/>
        <v>0</v>
      </c>
    </row>
    <row r="1024" spans="2:32" x14ac:dyDescent="0.3">
      <c r="B1024" s="14" t="str">
        <f t="shared" si="46"/>
        <v>45102504511000877Website Support-NC493140300105</v>
      </c>
      <c r="C1024" s="21" t="s">
        <v>2984</v>
      </c>
      <c r="D1024" s="22">
        <v>4510250</v>
      </c>
      <c r="E1024" s="21" t="s">
        <v>3017</v>
      </c>
      <c r="F1024" s="22">
        <v>4511000877</v>
      </c>
      <c r="G1024" s="21" t="s">
        <v>1178</v>
      </c>
      <c r="H1024" s="21" t="s">
        <v>1180</v>
      </c>
      <c r="I1024" s="22">
        <v>493140</v>
      </c>
      <c r="J1024" s="22">
        <v>300105</v>
      </c>
      <c r="K1024" s="22" t="s">
        <v>2972</v>
      </c>
      <c r="L1024" s="22">
        <v>70106</v>
      </c>
      <c r="M1024" s="23" t="s">
        <v>2960</v>
      </c>
      <c r="N1024" s="24">
        <v>0</v>
      </c>
      <c r="O1024" s="24">
        <v>0</v>
      </c>
      <c r="P1024" s="24">
        <v>0</v>
      </c>
      <c r="Q1024" s="24">
        <v>0</v>
      </c>
      <c r="R1024" s="24">
        <v>0</v>
      </c>
      <c r="S1024" s="24">
        <v>0</v>
      </c>
      <c r="T1024" s="24">
        <v>200000</v>
      </c>
      <c r="U1024" s="24">
        <v>0</v>
      </c>
      <c r="V1024" s="24">
        <v>200000</v>
      </c>
      <c r="W1024" s="24">
        <v>0</v>
      </c>
      <c r="X1024" s="24">
        <v>0</v>
      </c>
      <c r="Y1024" s="24">
        <v>0</v>
      </c>
      <c r="Z1024" s="24">
        <f t="shared" si="47"/>
        <v>400000</v>
      </c>
      <c r="AB1024" s="25">
        <v>400000</v>
      </c>
      <c r="AC1024" s="26">
        <v>400000</v>
      </c>
      <c r="AD1024" s="24">
        <v>0</v>
      </c>
      <c r="AE1024" s="27">
        <f>_xlfn.XLOOKUP(B1024,'Projects Cashflow'!$B:$B,'Projects Cashflow'!$AG:$AG,0)</f>
        <v>400000</v>
      </c>
      <c r="AF1024" s="28">
        <f t="shared" si="48"/>
        <v>0</v>
      </c>
    </row>
    <row r="1025" spans="2:32" x14ac:dyDescent="0.3">
      <c r="B1025" s="14" t="str">
        <f t="shared" si="46"/>
        <v>45102504511000877System Maintain-N422212200104</v>
      </c>
      <c r="C1025" s="21" t="s">
        <v>2984</v>
      </c>
      <c r="D1025" s="22">
        <v>4510250</v>
      </c>
      <c r="E1025" s="21" t="s">
        <v>3017</v>
      </c>
      <c r="F1025" s="22">
        <v>4511000877</v>
      </c>
      <c r="G1025" s="21" t="s">
        <v>1178</v>
      </c>
      <c r="H1025" s="21" t="s">
        <v>488</v>
      </c>
      <c r="I1025" s="22">
        <v>422212</v>
      </c>
      <c r="J1025" s="22">
        <v>200104</v>
      </c>
      <c r="K1025" s="22" t="s">
        <v>2959</v>
      </c>
      <c r="L1025" s="22">
        <v>70106</v>
      </c>
      <c r="M1025" s="23" t="s">
        <v>2960</v>
      </c>
      <c r="N1025" s="24">
        <v>0</v>
      </c>
      <c r="O1025" s="24">
        <v>0</v>
      </c>
      <c r="P1025" s="24">
        <v>0</v>
      </c>
      <c r="Q1025" s="24">
        <v>111985.5</v>
      </c>
      <c r="R1025" s="24">
        <v>0</v>
      </c>
      <c r="S1025" s="24">
        <v>972065.5</v>
      </c>
      <c r="T1025" s="24">
        <v>279272</v>
      </c>
      <c r="U1025" s="24">
        <v>497358</v>
      </c>
      <c r="V1025" s="24">
        <v>361985.5</v>
      </c>
      <c r="W1025" s="24">
        <v>1043875</v>
      </c>
      <c r="X1025" s="24">
        <v>1175000</v>
      </c>
      <c r="Y1025" s="24">
        <v>275685.5</v>
      </c>
      <c r="Z1025" s="24">
        <f t="shared" si="47"/>
        <v>4717227</v>
      </c>
      <c r="AB1025" s="25">
        <v>3695841</v>
      </c>
      <c r="AC1025" s="26">
        <v>3695841</v>
      </c>
      <c r="AD1025" s="24">
        <v>0</v>
      </c>
      <c r="AE1025" s="27">
        <f>_xlfn.XLOOKUP(B1025,'Projects Cashflow'!$B:$B,'Projects Cashflow'!$AG:$AG,0)</f>
        <v>3695841</v>
      </c>
      <c r="AF1025" s="28">
        <f t="shared" si="48"/>
        <v>0</v>
      </c>
    </row>
    <row r="1026" spans="2:32" x14ac:dyDescent="0.3">
      <c r="B1026" s="14" t="str">
        <f t="shared" si="46"/>
        <v>45102504511000877System Licenses-N425252200104</v>
      </c>
      <c r="C1026" s="21" t="s">
        <v>2984</v>
      </c>
      <c r="D1026" s="22">
        <v>4510250</v>
      </c>
      <c r="E1026" s="21" t="s">
        <v>3017</v>
      </c>
      <c r="F1026" s="22">
        <v>4511000877</v>
      </c>
      <c r="G1026" s="21" t="s">
        <v>1178</v>
      </c>
      <c r="H1026" s="21" t="s">
        <v>180</v>
      </c>
      <c r="I1026" s="22">
        <v>425252</v>
      </c>
      <c r="J1026" s="22">
        <v>200104</v>
      </c>
      <c r="K1026" s="22" t="s">
        <v>2959</v>
      </c>
      <c r="L1026" s="22">
        <v>70106</v>
      </c>
      <c r="M1026" s="23" t="s">
        <v>2960</v>
      </c>
      <c r="N1026" s="24">
        <v>0</v>
      </c>
      <c r="O1026" s="24">
        <v>0</v>
      </c>
      <c r="P1026" s="24">
        <v>0</v>
      </c>
      <c r="Q1026" s="24">
        <v>0</v>
      </c>
      <c r="R1026" s="24">
        <v>100000</v>
      </c>
      <c r="S1026" s="24">
        <v>609238.5</v>
      </c>
      <c r="T1026" s="24">
        <v>0</v>
      </c>
      <c r="U1026" s="24">
        <v>0</v>
      </c>
      <c r="V1026" s="24">
        <v>0</v>
      </c>
      <c r="W1026" s="24">
        <v>100000</v>
      </c>
      <c r="X1026" s="24">
        <v>1022608</v>
      </c>
      <c r="Y1026" s="24">
        <v>0</v>
      </c>
      <c r="Z1026" s="24">
        <f t="shared" si="47"/>
        <v>1831846.5</v>
      </c>
      <c r="AB1026" s="25">
        <v>1862246.5</v>
      </c>
      <c r="AC1026" s="26">
        <v>1862246.5</v>
      </c>
      <c r="AD1026" s="24">
        <v>0</v>
      </c>
      <c r="AE1026" s="27">
        <f>_xlfn.XLOOKUP(B1026,'Projects Cashflow'!$B:$B,'Projects Cashflow'!$AG:$AG,0)</f>
        <v>1862246.5</v>
      </c>
      <c r="AF1026" s="28">
        <f t="shared" si="48"/>
        <v>0</v>
      </c>
    </row>
    <row r="1027" spans="2:32" x14ac:dyDescent="0.3">
      <c r="B1027" s="14" t="str">
        <f t="shared" si="46"/>
        <v>45102504511000877Website Support-N422212200104</v>
      </c>
      <c r="C1027" s="21" t="s">
        <v>2984</v>
      </c>
      <c r="D1027" s="22">
        <v>4510250</v>
      </c>
      <c r="E1027" s="21" t="s">
        <v>3017</v>
      </c>
      <c r="F1027" s="22">
        <v>4511000877</v>
      </c>
      <c r="G1027" s="21" t="s">
        <v>1178</v>
      </c>
      <c r="H1027" s="21" t="s">
        <v>1161</v>
      </c>
      <c r="I1027" s="22">
        <v>422212</v>
      </c>
      <c r="J1027" s="22">
        <v>200104</v>
      </c>
      <c r="K1027" s="22" t="s">
        <v>2959</v>
      </c>
      <c r="L1027" s="22">
        <v>70106</v>
      </c>
      <c r="M1027" s="23" t="s">
        <v>2960</v>
      </c>
      <c r="N1027" s="24">
        <v>0</v>
      </c>
      <c r="O1027" s="24">
        <v>0</v>
      </c>
      <c r="P1027" s="24">
        <v>0</v>
      </c>
      <c r="Q1027" s="24">
        <v>208291.13</v>
      </c>
      <c r="R1027" s="24">
        <v>0</v>
      </c>
      <c r="S1027" s="24">
        <v>61758.13</v>
      </c>
      <c r="T1027" s="24">
        <v>0</v>
      </c>
      <c r="U1027" s="24">
        <v>148500</v>
      </c>
      <c r="V1027" s="24">
        <v>60108.740000000005</v>
      </c>
      <c r="W1027" s="24">
        <v>0</v>
      </c>
      <c r="X1027" s="24">
        <v>776380</v>
      </c>
      <c r="Y1027" s="24">
        <v>303000</v>
      </c>
      <c r="Z1027" s="24">
        <f t="shared" si="47"/>
        <v>1558038</v>
      </c>
      <c r="AB1027" s="25">
        <v>1558038</v>
      </c>
      <c r="AC1027" s="26">
        <v>1558038</v>
      </c>
      <c r="AD1027" s="24">
        <v>0</v>
      </c>
      <c r="AE1027" s="27">
        <f>_xlfn.XLOOKUP(B1027,'Projects Cashflow'!$B:$B,'Projects Cashflow'!$AG:$AG,0)</f>
        <v>1558038</v>
      </c>
      <c r="AF1027" s="28">
        <f t="shared" si="48"/>
        <v>0</v>
      </c>
    </row>
    <row r="1028" spans="2:32" x14ac:dyDescent="0.3">
      <c r="B1028" s="14" t="str">
        <f t="shared" si="46"/>
        <v>45102504511000877Systems Develop -N1425301200104</v>
      </c>
      <c r="C1028" s="21" t="s">
        <v>2984</v>
      </c>
      <c r="D1028" s="22">
        <v>4510250</v>
      </c>
      <c r="E1028" s="21" t="s">
        <v>3017</v>
      </c>
      <c r="F1028" s="22">
        <v>4511000877</v>
      </c>
      <c r="G1028" s="21" t="s">
        <v>1178</v>
      </c>
      <c r="H1028" s="31" t="s">
        <v>1179</v>
      </c>
      <c r="I1028" s="22">
        <v>425301</v>
      </c>
      <c r="J1028" s="22">
        <v>200104</v>
      </c>
      <c r="K1028" s="22" t="s">
        <v>2959</v>
      </c>
      <c r="L1028" s="22">
        <v>70106</v>
      </c>
      <c r="M1028" s="23" t="s">
        <v>2960</v>
      </c>
      <c r="N1028" s="24">
        <v>0</v>
      </c>
      <c r="O1028" s="24">
        <v>0</v>
      </c>
      <c r="P1028" s="24">
        <v>0</v>
      </c>
      <c r="Q1028" s="24">
        <v>0</v>
      </c>
      <c r="R1028" s="24">
        <v>0</v>
      </c>
      <c r="S1028" s="24">
        <v>225000</v>
      </c>
      <c r="T1028" s="24">
        <v>0</v>
      </c>
      <c r="U1028" s="24">
        <v>0</v>
      </c>
      <c r="V1028" s="24">
        <v>0</v>
      </c>
      <c r="W1028" s="24">
        <v>225000</v>
      </c>
      <c r="X1028" s="24">
        <v>0</v>
      </c>
      <c r="Y1028" s="24">
        <v>0</v>
      </c>
      <c r="Z1028" s="24">
        <f t="shared" si="47"/>
        <v>450000</v>
      </c>
      <c r="AB1028" s="25">
        <v>589550</v>
      </c>
      <c r="AC1028" s="26">
        <v>589550</v>
      </c>
      <c r="AD1028" s="24">
        <v>0</v>
      </c>
      <c r="AE1028" s="27">
        <f>_xlfn.XLOOKUP(B1028,'Projects Cashflow'!$B:$B,'Projects Cashflow'!$AG:$AG,0)</f>
        <v>589550</v>
      </c>
      <c r="AF1028" s="28">
        <f t="shared" si="48"/>
        <v>0</v>
      </c>
    </row>
    <row r="1029" spans="2:32" x14ac:dyDescent="0.3">
      <c r="B1029" s="14" t="str">
        <f t="shared" ref="B1029:B1092" si="49">D1029&amp;F1029&amp;H1029&amp;I1029&amp;J1029</f>
        <v>45102504511000877Network Service-N422214200104</v>
      </c>
      <c r="C1029" s="21" t="s">
        <v>2984</v>
      </c>
      <c r="D1029" s="22">
        <v>4510250</v>
      </c>
      <c r="E1029" s="21" t="s">
        <v>3017</v>
      </c>
      <c r="F1029" s="22">
        <v>4511000877</v>
      </c>
      <c r="G1029" s="21" t="s">
        <v>1178</v>
      </c>
      <c r="H1029" s="21" t="s">
        <v>1154</v>
      </c>
      <c r="I1029" s="22">
        <v>422214</v>
      </c>
      <c r="J1029" s="22">
        <v>200104</v>
      </c>
      <c r="K1029" s="22" t="s">
        <v>2959</v>
      </c>
      <c r="L1029" s="22">
        <v>70106</v>
      </c>
      <c r="M1029" s="23" t="s">
        <v>2960</v>
      </c>
      <c r="N1029" s="24">
        <v>0</v>
      </c>
      <c r="O1029" s="24">
        <v>0</v>
      </c>
      <c r="P1029" s="24">
        <v>0</v>
      </c>
      <c r="Q1029" s="24">
        <v>52000</v>
      </c>
      <c r="R1029" s="24">
        <v>13000</v>
      </c>
      <c r="S1029" s="24">
        <v>13000</v>
      </c>
      <c r="T1029" s="24">
        <v>13000</v>
      </c>
      <c r="U1029" s="24">
        <v>13000</v>
      </c>
      <c r="V1029" s="24">
        <v>13000</v>
      </c>
      <c r="W1029" s="24">
        <v>13000</v>
      </c>
      <c r="X1029" s="24">
        <v>13000</v>
      </c>
      <c r="Y1029" s="24">
        <v>13000</v>
      </c>
      <c r="Z1029" s="24">
        <f t="shared" ref="Z1029:Z1092" si="50">SUM(N1029:Y1029)</f>
        <v>156000</v>
      </c>
      <c r="AB1029" s="25">
        <v>156000</v>
      </c>
      <c r="AC1029" s="26">
        <v>156000</v>
      </c>
      <c r="AD1029" s="24">
        <v>0</v>
      </c>
      <c r="AE1029" s="27">
        <f>_xlfn.XLOOKUP(B1029,'Projects Cashflow'!$B:$B,'Projects Cashflow'!$AG:$AG,0)</f>
        <v>156000</v>
      </c>
      <c r="AF1029" s="28">
        <f t="shared" ref="AF1029:AF1092" si="51">AE1029-AB1029</f>
        <v>0</v>
      </c>
    </row>
    <row r="1030" spans="2:32" x14ac:dyDescent="0.3">
      <c r="B1030" s="14" t="str">
        <f t="shared" si="49"/>
        <v>45102504511000878Systems Develop-NC493140300105</v>
      </c>
      <c r="C1030" s="21" t="s">
        <v>2984</v>
      </c>
      <c r="D1030" s="22">
        <v>4510250</v>
      </c>
      <c r="E1030" s="21" t="s">
        <v>3017</v>
      </c>
      <c r="F1030" s="22">
        <v>4511000878</v>
      </c>
      <c r="G1030" s="21" t="s">
        <v>1182</v>
      </c>
      <c r="H1030" s="21" t="s">
        <v>184</v>
      </c>
      <c r="I1030" s="22">
        <v>493140</v>
      </c>
      <c r="J1030" s="22">
        <v>300105</v>
      </c>
      <c r="K1030" s="22" t="s">
        <v>2972</v>
      </c>
      <c r="L1030" s="22">
        <v>70106</v>
      </c>
      <c r="M1030" s="23" t="s">
        <v>2960</v>
      </c>
      <c r="N1030" s="24">
        <v>0</v>
      </c>
      <c r="O1030" s="24">
        <v>0</v>
      </c>
      <c r="P1030" s="24">
        <v>0</v>
      </c>
      <c r="Q1030" s="24">
        <v>0</v>
      </c>
      <c r="R1030" s="24">
        <v>0</v>
      </c>
      <c r="S1030" s="24">
        <v>420000</v>
      </c>
      <c r="T1030" s="24">
        <v>0</v>
      </c>
      <c r="U1030" s="24">
        <v>0</v>
      </c>
      <c r="V1030" s="24">
        <v>198315</v>
      </c>
      <c r="W1030" s="24">
        <v>250000</v>
      </c>
      <c r="X1030" s="24">
        <v>220000</v>
      </c>
      <c r="Y1030" s="24">
        <v>0</v>
      </c>
      <c r="Z1030" s="24">
        <f t="shared" si="50"/>
        <v>1088315</v>
      </c>
      <c r="AB1030" s="25">
        <v>2788315</v>
      </c>
      <c r="AC1030" s="26">
        <v>1588315</v>
      </c>
      <c r="AD1030" s="24">
        <v>1200000</v>
      </c>
      <c r="AE1030" s="27">
        <f>_xlfn.XLOOKUP(B1030,'Projects Cashflow'!$B:$B,'Projects Cashflow'!$AG:$AG,0)</f>
        <v>2788315</v>
      </c>
      <c r="AF1030" s="28">
        <f t="shared" si="51"/>
        <v>0</v>
      </c>
    </row>
    <row r="1031" spans="2:32" x14ac:dyDescent="0.3">
      <c r="B1031" s="14" t="str">
        <f t="shared" si="49"/>
        <v>45102504511000878System Licenses-N425252200104</v>
      </c>
      <c r="C1031" s="21" t="s">
        <v>2984</v>
      </c>
      <c r="D1031" s="22">
        <v>4510250</v>
      </c>
      <c r="E1031" s="21" t="s">
        <v>3017</v>
      </c>
      <c r="F1031" s="22">
        <v>4511000878</v>
      </c>
      <c r="G1031" s="21" t="s">
        <v>1182</v>
      </c>
      <c r="H1031" s="21" t="s">
        <v>180</v>
      </c>
      <c r="I1031" s="22">
        <v>425252</v>
      </c>
      <c r="J1031" s="22">
        <v>200104</v>
      </c>
      <c r="K1031" s="22" t="s">
        <v>2959</v>
      </c>
      <c r="L1031" s="22">
        <v>70106</v>
      </c>
      <c r="M1031" s="23" t="s">
        <v>2960</v>
      </c>
      <c r="N1031" s="24">
        <v>0</v>
      </c>
      <c r="O1031" s="24">
        <v>0</v>
      </c>
      <c r="P1031" s="24">
        <v>0</v>
      </c>
      <c r="Q1031" s="24">
        <v>156400</v>
      </c>
      <c r="R1031" s="24">
        <v>40000</v>
      </c>
      <c r="S1031" s="24">
        <v>0</v>
      </c>
      <c r="T1031" s="24">
        <v>685600</v>
      </c>
      <c r="U1031" s="24">
        <v>66000</v>
      </c>
      <c r="V1031" s="24">
        <v>174800</v>
      </c>
      <c r="W1031" s="24">
        <v>176170</v>
      </c>
      <c r="X1031" s="24">
        <v>1029488</v>
      </c>
      <c r="Y1031" s="24">
        <v>0</v>
      </c>
      <c r="Z1031" s="24">
        <f t="shared" si="50"/>
        <v>2328458</v>
      </c>
      <c r="AB1031" s="25">
        <v>2028458</v>
      </c>
      <c r="AC1031" s="26">
        <v>2028458</v>
      </c>
      <c r="AD1031" s="24">
        <v>0</v>
      </c>
      <c r="AE1031" s="27">
        <f>_xlfn.XLOOKUP(B1031,'Projects Cashflow'!$B:$B,'Projects Cashflow'!$AG:$AG,0)</f>
        <v>2028458</v>
      </c>
      <c r="AF1031" s="28">
        <f t="shared" si="51"/>
        <v>0</v>
      </c>
    </row>
    <row r="1032" spans="2:32" x14ac:dyDescent="0.3">
      <c r="B1032" s="14" t="str">
        <f t="shared" si="49"/>
        <v>45102504511001407Laptop  Desktop-NC491320300105</v>
      </c>
      <c r="C1032" s="21" t="s">
        <v>2984</v>
      </c>
      <c r="D1032" s="22">
        <v>4510250</v>
      </c>
      <c r="E1032" s="21" t="s">
        <v>3017</v>
      </c>
      <c r="F1032" s="22">
        <v>4511001407</v>
      </c>
      <c r="G1032" s="21" t="s">
        <v>1678</v>
      </c>
      <c r="H1032" s="31" t="s">
        <v>1680</v>
      </c>
      <c r="I1032" s="22">
        <v>491320</v>
      </c>
      <c r="J1032" s="22">
        <v>300105</v>
      </c>
      <c r="K1032" s="22" t="s">
        <v>2972</v>
      </c>
      <c r="L1032" s="22">
        <v>70106</v>
      </c>
      <c r="M1032" s="23" t="s">
        <v>2960</v>
      </c>
      <c r="N1032" s="24">
        <v>0</v>
      </c>
      <c r="O1032" s="24">
        <v>0</v>
      </c>
      <c r="P1032" s="24">
        <v>0</v>
      </c>
      <c r="Q1032" s="24">
        <v>2546100</v>
      </c>
      <c r="R1032" s="24">
        <v>0</v>
      </c>
      <c r="S1032" s="24">
        <v>0</v>
      </c>
      <c r="T1032" s="24">
        <v>0</v>
      </c>
      <c r="U1032" s="24">
        <v>0</v>
      </c>
      <c r="V1032" s="24">
        <v>0</v>
      </c>
      <c r="W1032" s="24">
        <v>0</v>
      </c>
      <c r="X1032" s="24">
        <v>0</v>
      </c>
      <c r="Y1032" s="24">
        <v>0</v>
      </c>
      <c r="Z1032" s="24">
        <f t="shared" si="50"/>
        <v>2546100</v>
      </c>
      <c r="AB1032" s="25">
        <v>4645048</v>
      </c>
      <c r="AC1032" s="26">
        <v>4865048</v>
      </c>
      <c r="AD1032" s="32">
        <v>-220000</v>
      </c>
      <c r="AE1032" s="27">
        <f>_xlfn.XLOOKUP(B1032,'Projects Cashflow'!$B:$B,'Projects Cashflow'!$AG:$AG,0)</f>
        <v>4645048</v>
      </c>
      <c r="AF1032" s="28">
        <f t="shared" si="51"/>
        <v>0</v>
      </c>
    </row>
    <row r="1033" spans="2:32" x14ac:dyDescent="0.3">
      <c r="B1033" s="14" t="str">
        <f t="shared" si="49"/>
        <v>45102504511001407NetworkHardware-NC491356300105</v>
      </c>
      <c r="C1033" s="21" t="s">
        <v>2984</v>
      </c>
      <c r="D1033" s="22">
        <v>4510250</v>
      </c>
      <c r="E1033" s="21" t="s">
        <v>3017</v>
      </c>
      <c r="F1033" s="22">
        <v>4511001407</v>
      </c>
      <c r="G1033" s="21" t="s">
        <v>1678</v>
      </c>
      <c r="H1033" s="21" t="s">
        <v>1681</v>
      </c>
      <c r="I1033" s="22">
        <v>491356</v>
      </c>
      <c r="J1033" s="22">
        <v>300105</v>
      </c>
      <c r="K1033" s="22" t="s">
        <v>2972</v>
      </c>
      <c r="L1033" s="22">
        <v>70106</v>
      </c>
      <c r="M1033" s="23" t="s">
        <v>2960</v>
      </c>
      <c r="N1033" s="24">
        <v>0</v>
      </c>
      <c r="O1033" s="24">
        <v>0</v>
      </c>
      <c r="P1033" s="24">
        <v>0</v>
      </c>
      <c r="Q1033" s="24">
        <v>0</v>
      </c>
      <c r="R1033" s="24">
        <v>0</v>
      </c>
      <c r="S1033" s="24">
        <v>0</v>
      </c>
      <c r="T1033" s="24">
        <v>0</v>
      </c>
      <c r="U1033" s="24">
        <v>1450000</v>
      </c>
      <c r="V1033" s="24">
        <v>0</v>
      </c>
      <c r="W1033" s="24">
        <v>0</v>
      </c>
      <c r="X1033" s="24">
        <v>0</v>
      </c>
      <c r="Y1033" s="24">
        <v>0</v>
      </c>
      <c r="Z1033" s="24">
        <f t="shared" si="50"/>
        <v>1450000</v>
      </c>
      <c r="AB1033" s="25">
        <v>990000</v>
      </c>
      <c r="AC1033" s="26">
        <v>990000</v>
      </c>
      <c r="AD1033" s="32">
        <v>0</v>
      </c>
      <c r="AE1033" s="27">
        <f>_xlfn.XLOOKUP(B1033,'Projects Cashflow'!$B:$B,'Projects Cashflow'!$AG:$AG,0)</f>
        <v>990000</v>
      </c>
      <c r="AF1033" s="28">
        <f t="shared" si="51"/>
        <v>0</v>
      </c>
    </row>
    <row r="1034" spans="2:32" x14ac:dyDescent="0.3">
      <c r="B1034" s="14" t="str">
        <f t="shared" si="49"/>
        <v>45102504511001407Peripherals-NC491320300105</v>
      </c>
      <c r="C1034" s="21" t="s">
        <v>2984</v>
      </c>
      <c r="D1034" s="22">
        <v>4510250</v>
      </c>
      <c r="E1034" s="21" t="s">
        <v>3017</v>
      </c>
      <c r="F1034" s="22">
        <v>4511001407</v>
      </c>
      <c r="G1034" s="21" t="s">
        <v>1678</v>
      </c>
      <c r="H1034" s="21" t="s">
        <v>1166</v>
      </c>
      <c r="I1034" s="22">
        <v>491320</v>
      </c>
      <c r="J1034" s="22">
        <v>300105</v>
      </c>
      <c r="K1034" s="22" t="s">
        <v>2972</v>
      </c>
      <c r="L1034" s="22">
        <v>70106</v>
      </c>
      <c r="M1034" s="23" t="s">
        <v>2960</v>
      </c>
      <c r="N1034" s="24">
        <v>0</v>
      </c>
      <c r="O1034" s="24">
        <v>0</v>
      </c>
      <c r="P1034" s="24">
        <v>0</v>
      </c>
      <c r="Q1034" s="24">
        <v>0</v>
      </c>
      <c r="R1034" s="24">
        <v>0</v>
      </c>
      <c r="S1034" s="24">
        <v>0</v>
      </c>
      <c r="T1034" s="24">
        <v>550000</v>
      </c>
      <c r="U1034" s="24">
        <v>0</v>
      </c>
      <c r="V1034" s="24">
        <v>0</v>
      </c>
      <c r="W1034" s="24">
        <v>0</v>
      </c>
      <c r="X1034" s="24">
        <v>0</v>
      </c>
      <c r="Y1034" s="24">
        <v>0</v>
      </c>
      <c r="Z1034" s="24">
        <f t="shared" si="50"/>
        <v>550000</v>
      </c>
      <c r="AB1034" s="25">
        <v>263765</v>
      </c>
      <c r="AC1034" s="26">
        <v>263765</v>
      </c>
      <c r="AD1034" s="24">
        <v>0</v>
      </c>
      <c r="AE1034" s="27">
        <f>_xlfn.XLOOKUP(B1034,'Projects Cashflow'!$B:$B,'Projects Cashflow'!$AG:$AG,0)</f>
        <v>263765</v>
      </c>
      <c r="AF1034" s="28">
        <f t="shared" si="51"/>
        <v>0</v>
      </c>
    </row>
    <row r="1035" spans="2:32" x14ac:dyDescent="0.3">
      <c r="B1035" s="14" t="str">
        <f t="shared" si="49"/>
        <v>45102504511001407EndUser Software-N422911200104</v>
      </c>
      <c r="C1035" s="21" t="s">
        <v>2984</v>
      </c>
      <c r="D1035" s="22">
        <v>4510250</v>
      </c>
      <c r="E1035" s="21" t="s">
        <v>3017</v>
      </c>
      <c r="F1035" s="22">
        <v>4511001407</v>
      </c>
      <c r="G1035" s="21" t="s">
        <v>1678</v>
      </c>
      <c r="H1035" s="21" t="s">
        <v>1008</v>
      </c>
      <c r="I1035" s="22">
        <v>422911</v>
      </c>
      <c r="J1035" s="22">
        <v>200104</v>
      </c>
      <c r="K1035" s="22" t="s">
        <v>2959</v>
      </c>
      <c r="L1035" s="22">
        <v>70106</v>
      </c>
      <c r="M1035" s="23" t="s">
        <v>2960</v>
      </c>
      <c r="N1035" s="24">
        <v>0</v>
      </c>
      <c r="O1035" s="24">
        <v>0</v>
      </c>
      <c r="P1035" s="24">
        <v>0</v>
      </c>
      <c r="Q1035" s="24">
        <v>298927</v>
      </c>
      <c r="R1035" s="24">
        <v>1650987.47</v>
      </c>
      <c r="S1035" s="24">
        <v>0</v>
      </c>
      <c r="T1035" s="24">
        <v>0</v>
      </c>
      <c r="U1035" s="24">
        <v>0</v>
      </c>
      <c r="V1035" s="24">
        <v>0</v>
      </c>
      <c r="W1035" s="24">
        <v>1929724</v>
      </c>
      <c r="X1035" s="24">
        <v>0</v>
      </c>
      <c r="Y1035" s="24">
        <v>0</v>
      </c>
      <c r="Z1035" s="24">
        <f t="shared" si="50"/>
        <v>3879638.4699999997</v>
      </c>
      <c r="AB1035" s="25">
        <v>4390228.47</v>
      </c>
      <c r="AC1035" s="26">
        <v>4390228</v>
      </c>
      <c r="AD1035" s="24">
        <v>0.46999999973922968</v>
      </c>
      <c r="AE1035" s="27">
        <f>_xlfn.XLOOKUP(B1035,'Projects Cashflow'!$B:$B,'Projects Cashflow'!$AG:$AG,0)</f>
        <v>4390228</v>
      </c>
      <c r="AF1035" s="28">
        <f t="shared" si="51"/>
        <v>-0.46999999973922968</v>
      </c>
    </row>
    <row r="1036" spans="2:32" x14ac:dyDescent="0.3">
      <c r="B1036" s="14" t="str">
        <f t="shared" si="49"/>
        <v>45102504511001407System Maintain-N1422212200104</v>
      </c>
      <c r="C1036" s="21" t="s">
        <v>2984</v>
      </c>
      <c r="D1036" s="22">
        <v>4510250</v>
      </c>
      <c r="E1036" s="21" t="s">
        <v>3017</v>
      </c>
      <c r="F1036" s="22">
        <v>4511001407</v>
      </c>
      <c r="G1036" s="21" t="s">
        <v>1678</v>
      </c>
      <c r="H1036" s="21" t="s">
        <v>1067</v>
      </c>
      <c r="I1036" s="22">
        <v>422212</v>
      </c>
      <c r="J1036" s="22">
        <v>200104</v>
      </c>
      <c r="K1036" s="22" t="s">
        <v>2959</v>
      </c>
      <c r="L1036" s="22">
        <v>70106</v>
      </c>
      <c r="M1036" s="23" t="s">
        <v>2960</v>
      </c>
      <c r="N1036" s="24">
        <v>0</v>
      </c>
      <c r="O1036" s="24">
        <v>0</v>
      </c>
      <c r="P1036" s="24">
        <v>0</v>
      </c>
      <c r="Q1036" s="24">
        <v>68000</v>
      </c>
      <c r="R1036" s="24">
        <v>0</v>
      </c>
      <c r="S1036" s="24">
        <v>68000</v>
      </c>
      <c r="T1036" s="24">
        <v>0</v>
      </c>
      <c r="U1036" s="24">
        <v>0</v>
      </c>
      <c r="V1036" s="24">
        <v>68000</v>
      </c>
      <c r="W1036" s="24">
        <v>0</v>
      </c>
      <c r="X1036" s="24">
        <v>0</v>
      </c>
      <c r="Y1036" s="24">
        <v>68000</v>
      </c>
      <c r="Z1036" s="24">
        <f t="shared" si="50"/>
        <v>272000</v>
      </c>
      <c r="AB1036" s="25">
        <v>272000</v>
      </c>
      <c r="AC1036" s="26">
        <v>272000</v>
      </c>
      <c r="AD1036" s="24">
        <v>0</v>
      </c>
      <c r="AE1036" s="27">
        <f>_xlfn.XLOOKUP(B1036,'Projects Cashflow'!$B:$B,'Projects Cashflow'!$AG:$AG,0)</f>
        <v>272000</v>
      </c>
      <c r="AF1036" s="28">
        <f t="shared" si="51"/>
        <v>0</v>
      </c>
    </row>
    <row r="1037" spans="2:32" x14ac:dyDescent="0.3">
      <c r="B1037" s="14" t="str">
        <f t="shared" si="49"/>
        <v>45102504511001407Managed Service-N422212200104</v>
      </c>
      <c r="C1037" s="21" t="s">
        <v>2984</v>
      </c>
      <c r="D1037" s="22">
        <v>4510250</v>
      </c>
      <c r="E1037" s="21" t="s">
        <v>3017</v>
      </c>
      <c r="F1037" s="22">
        <v>4511001407</v>
      </c>
      <c r="G1037" s="21" t="s">
        <v>1678</v>
      </c>
      <c r="H1037" s="21" t="s">
        <v>476</v>
      </c>
      <c r="I1037" s="22">
        <v>422212</v>
      </c>
      <c r="J1037" s="22">
        <v>200104</v>
      </c>
      <c r="K1037" s="22" t="s">
        <v>2959</v>
      </c>
      <c r="L1037" s="22">
        <v>70106</v>
      </c>
      <c r="M1037" s="23" t="s">
        <v>2960</v>
      </c>
      <c r="N1037" s="24">
        <v>0</v>
      </c>
      <c r="O1037" s="24">
        <v>0</v>
      </c>
      <c r="P1037" s="24">
        <v>0</v>
      </c>
      <c r="Q1037" s="24">
        <v>24750</v>
      </c>
      <c r="R1037" s="24">
        <v>0</v>
      </c>
      <c r="S1037" s="24">
        <v>24750</v>
      </c>
      <c r="T1037" s="24">
        <v>0</v>
      </c>
      <c r="U1037" s="24">
        <v>0</v>
      </c>
      <c r="V1037" s="24">
        <v>24750</v>
      </c>
      <c r="W1037" s="24">
        <v>0</v>
      </c>
      <c r="X1037" s="24">
        <v>0</v>
      </c>
      <c r="Y1037" s="24">
        <v>24750</v>
      </c>
      <c r="Z1037" s="24">
        <f t="shared" si="50"/>
        <v>99000</v>
      </c>
      <c r="AB1037" s="25">
        <v>99000</v>
      </c>
      <c r="AC1037" s="26">
        <v>99000</v>
      </c>
      <c r="AD1037" s="24">
        <v>0</v>
      </c>
      <c r="AE1037" s="27">
        <f>_xlfn.XLOOKUP(B1037,'Projects Cashflow'!$B:$B,'Projects Cashflow'!$AG:$AG,0)</f>
        <v>99000</v>
      </c>
      <c r="AF1037" s="28">
        <f t="shared" si="51"/>
        <v>0</v>
      </c>
    </row>
    <row r="1038" spans="2:32" x14ac:dyDescent="0.3">
      <c r="B1038" s="14" t="str">
        <f t="shared" si="49"/>
        <v>45102504511001408NetworkHardware-NC491356300105</v>
      </c>
      <c r="C1038" s="21" t="s">
        <v>2984</v>
      </c>
      <c r="D1038" s="22">
        <v>4510250</v>
      </c>
      <c r="E1038" s="21" t="s">
        <v>3017</v>
      </c>
      <c r="F1038" s="22">
        <v>4511001408</v>
      </c>
      <c r="G1038" s="21" t="s">
        <v>1685</v>
      </c>
      <c r="H1038" s="21" t="s">
        <v>1681</v>
      </c>
      <c r="I1038" s="22">
        <v>491356</v>
      </c>
      <c r="J1038" s="22">
        <v>300105</v>
      </c>
      <c r="K1038" s="22" t="s">
        <v>2972</v>
      </c>
      <c r="L1038" s="22">
        <v>70106</v>
      </c>
      <c r="M1038" s="23" t="s">
        <v>2960</v>
      </c>
      <c r="N1038" s="24">
        <v>0</v>
      </c>
      <c r="O1038" s="24">
        <v>0</v>
      </c>
      <c r="P1038" s="24">
        <v>0</v>
      </c>
      <c r="Q1038" s="24">
        <v>0</v>
      </c>
      <c r="R1038" s="24">
        <v>0</v>
      </c>
      <c r="S1038" s="24">
        <v>0</v>
      </c>
      <c r="T1038" s="24">
        <v>1000000</v>
      </c>
      <c r="U1038" s="24">
        <v>100000</v>
      </c>
      <c r="V1038" s="24">
        <v>0</v>
      </c>
      <c r="W1038" s="24">
        <v>2800000</v>
      </c>
      <c r="X1038" s="24">
        <v>0</v>
      </c>
      <c r="Y1038" s="24">
        <v>0</v>
      </c>
      <c r="Z1038" s="24">
        <f t="shared" si="50"/>
        <v>3900000</v>
      </c>
      <c r="AB1038" s="25">
        <v>4976483</v>
      </c>
      <c r="AC1038" s="26">
        <v>4976483</v>
      </c>
      <c r="AD1038" s="24">
        <v>0</v>
      </c>
      <c r="AE1038" s="27">
        <f>_xlfn.XLOOKUP(B1038,'Projects Cashflow'!$B:$B,'Projects Cashflow'!$AG:$AG,0)</f>
        <v>4976483</v>
      </c>
      <c r="AF1038" s="28">
        <f t="shared" si="51"/>
        <v>0</v>
      </c>
    </row>
    <row r="1039" spans="2:32" x14ac:dyDescent="0.3">
      <c r="B1039" s="14" t="str">
        <f t="shared" si="49"/>
        <v>45102504511001408Network Service-NC491356300105</v>
      </c>
      <c r="C1039" s="21" t="s">
        <v>2984</v>
      </c>
      <c r="D1039" s="22">
        <v>4510250</v>
      </c>
      <c r="E1039" s="21" t="s">
        <v>3017</v>
      </c>
      <c r="F1039" s="22">
        <v>4511001408</v>
      </c>
      <c r="G1039" s="21" t="s">
        <v>1685</v>
      </c>
      <c r="H1039" s="21" t="s">
        <v>1686</v>
      </c>
      <c r="I1039" s="22">
        <v>491356</v>
      </c>
      <c r="J1039" s="22">
        <v>300105</v>
      </c>
      <c r="K1039" s="22" t="s">
        <v>2972</v>
      </c>
      <c r="L1039" s="22">
        <v>70106</v>
      </c>
      <c r="M1039" s="23" t="s">
        <v>2960</v>
      </c>
      <c r="N1039" s="24">
        <v>0</v>
      </c>
      <c r="O1039" s="24">
        <v>0</v>
      </c>
      <c r="P1039" s="24">
        <v>0</v>
      </c>
      <c r="Q1039" s="24">
        <v>120000</v>
      </c>
      <c r="R1039" s="24">
        <v>0</v>
      </c>
      <c r="S1039" s="24">
        <v>0</v>
      </c>
      <c r="T1039" s="24">
        <v>0</v>
      </c>
      <c r="U1039" s="24">
        <v>0</v>
      </c>
      <c r="V1039" s="24">
        <v>0</v>
      </c>
      <c r="W1039" s="24">
        <v>0</v>
      </c>
      <c r="X1039" s="24">
        <v>0</v>
      </c>
      <c r="Y1039" s="24">
        <v>0</v>
      </c>
      <c r="Z1039" s="24">
        <f t="shared" si="50"/>
        <v>120000</v>
      </c>
      <c r="AB1039" s="25">
        <v>120000</v>
      </c>
      <c r="AC1039" s="26">
        <v>120000</v>
      </c>
      <c r="AD1039" s="24">
        <v>0</v>
      </c>
      <c r="AE1039" s="27">
        <f>_xlfn.XLOOKUP(B1039,'Projects Cashflow'!$B:$B,'Projects Cashflow'!$AG:$AG,0)</f>
        <v>120000</v>
      </c>
      <c r="AF1039" s="28">
        <f t="shared" si="51"/>
        <v>0</v>
      </c>
    </row>
    <row r="1040" spans="2:32" x14ac:dyDescent="0.3">
      <c r="B1040" s="14" t="str">
        <f t="shared" si="49"/>
        <v>45102504511001408Cyber Security-NC493150300105</v>
      </c>
      <c r="C1040" s="21" t="s">
        <v>2984</v>
      </c>
      <c r="D1040" s="22">
        <v>4510250</v>
      </c>
      <c r="E1040" s="21" t="s">
        <v>3017</v>
      </c>
      <c r="F1040" s="22">
        <v>4511001408</v>
      </c>
      <c r="G1040" s="21" t="s">
        <v>1685</v>
      </c>
      <c r="H1040" s="21" t="s">
        <v>3113</v>
      </c>
      <c r="I1040" s="22">
        <v>493150</v>
      </c>
      <c r="J1040" s="22">
        <v>300105</v>
      </c>
      <c r="K1040" s="22" t="s">
        <v>2972</v>
      </c>
      <c r="L1040" s="22">
        <v>70106</v>
      </c>
      <c r="M1040" s="23" t="s">
        <v>2960</v>
      </c>
      <c r="N1040" s="24">
        <v>0</v>
      </c>
      <c r="O1040" s="24">
        <v>0</v>
      </c>
      <c r="P1040" s="24">
        <v>0</v>
      </c>
      <c r="Q1040" s="24">
        <v>0</v>
      </c>
      <c r="R1040" s="24">
        <v>76483</v>
      </c>
      <c r="S1040" s="24">
        <v>0</v>
      </c>
      <c r="T1040" s="24">
        <v>0</v>
      </c>
      <c r="U1040" s="24">
        <v>0</v>
      </c>
      <c r="V1040" s="24">
        <v>0</v>
      </c>
      <c r="W1040" s="24">
        <v>0</v>
      </c>
      <c r="X1040" s="24">
        <v>0</v>
      </c>
      <c r="Y1040" s="24">
        <v>0</v>
      </c>
      <c r="Z1040" s="24">
        <f t="shared" si="50"/>
        <v>76483</v>
      </c>
      <c r="AB1040" s="25">
        <v>0</v>
      </c>
      <c r="AC1040" s="26">
        <v>0</v>
      </c>
      <c r="AD1040" s="24">
        <v>0</v>
      </c>
      <c r="AE1040" s="27">
        <f>_xlfn.XLOOKUP(B1040,'Projects Cashflow'!$B:$B,'Projects Cashflow'!$AG:$AG,0)</f>
        <v>0</v>
      </c>
      <c r="AF1040" s="28">
        <f t="shared" si="51"/>
        <v>0</v>
      </c>
    </row>
    <row r="1041" spans="2:32" x14ac:dyDescent="0.3">
      <c r="B1041" s="14" t="str">
        <f t="shared" si="49"/>
        <v>45102504511001408Cloud Services-N422218200104</v>
      </c>
      <c r="C1041" s="21" t="s">
        <v>2984</v>
      </c>
      <c r="D1041" s="22">
        <v>4510250</v>
      </c>
      <c r="E1041" s="21" t="s">
        <v>3017</v>
      </c>
      <c r="F1041" s="22">
        <v>4511001408</v>
      </c>
      <c r="G1041" s="21" t="s">
        <v>1685</v>
      </c>
      <c r="H1041" s="21" t="s">
        <v>1173</v>
      </c>
      <c r="I1041" s="22">
        <v>422218</v>
      </c>
      <c r="J1041" s="22">
        <v>200104</v>
      </c>
      <c r="K1041" s="22" t="s">
        <v>2959</v>
      </c>
      <c r="L1041" s="22">
        <v>70106</v>
      </c>
      <c r="M1041" s="23" t="s">
        <v>2960</v>
      </c>
      <c r="N1041" s="24">
        <v>0</v>
      </c>
      <c r="O1041" s="24">
        <v>0</v>
      </c>
      <c r="P1041" s="24">
        <v>0</v>
      </c>
      <c r="Q1041" s="24">
        <v>4743336</v>
      </c>
      <c r="R1041" s="24">
        <v>1185834</v>
      </c>
      <c r="S1041" s="24">
        <v>1185834</v>
      </c>
      <c r="T1041" s="24">
        <v>1185834</v>
      </c>
      <c r="U1041" s="24">
        <v>1185834</v>
      </c>
      <c r="V1041" s="24">
        <v>1185834</v>
      </c>
      <c r="W1041" s="24">
        <v>1185834</v>
      </c>
      <c r="X1041" s="24">
        <v>1185834</v>
      </c>
      <c r="Y1041" s="24">
        <v>1185834</v>
      </c>
      <c r="Z1041" s="24">
        <f t="shared" si="50"/>
        <v>14230008</v>
      </c>
      <c r="AB1041" s="25">
        <v>15192866</v>
      </c>
      <c r="AC1041" s="26">
        <v>15192866</v>
      </c>
      <c r="AD1041" s="24">
        <v>0</v>
      </c>
      <c r="AE1041" s="27">
        <f>_xlfn.XLOOKUP(B1041,'Projects Cashflow'!$B:$B,'Projects Cashflow'!$AG:$AG,0)</f>
        <v>15192866</v>
      </c>
      <c r="AF1041" s="28">
        <f t="shared" si="51"/>
        <v>0</v>
      </c>
    </row>
    <row r="1042" spans="2:32" x14ac:dyDescent="0.3">
      <c r="B1042" s="14" t="str">
        <f t="shared" si="49"/>
        <v>45102504511001408System Licenses-N425252200104</v>
      </c>
      <c r="C1042" s="21" t="s">
        <v>2984</v>
      </c>
      <c r="D1042" s="22">
        <v>4510250</v>
      </c>
      <c r="E1042" s="21" t="s">
        <v>3017</v>
      </c>
      <c r="F1042" s="22">
        <v>4511001408</v>
      </c>
      <c r="G1042" s="21" t="s">
        <v>1685</v>
      </c>
      <c r="H1042" s="21" t="s">
        <v>180</v>
      </c>
      <c r="I1042" s="22">
        <v>425252</v>
      </c>
      <c r="J1042" s="22">
        <v>200104</v>
      </c>
      <c r="K1042" s="22" t="s">
        <v>2959</v>
      </c>
      <c r="L1042" s="22">
        <v>70106</v>
      </c>
      <c r="M1042" s="23" t="s">
        <v>2960</v>
      </c>
      <c r="N1042" s="24">
        <v>0</v>
      </c>
      <c r="O1042" s="24">
        <v>0</v>
      </c>
      <c r="P1042" s="24">
        <v>2126929.06</v>
      </c>
      <c r="Q1042" s="24">
        <v>339737.25</v>
      </c>
      <c r="R1042" s="24">
        <v>299150</v>
      </c>
      <c r="S1042" s="24">
        <v>28400</v>
      </c>
      <c r="T1042" s="24">
        <v>28400</v>
      </c>
      <c r="U1042" s="24">
        <v>608400</v>
      </c>
      <c r="V1042" s="24">
        <v>9066822</v>
      </c>
      <c r="W1042" s="24">
        <v>56400</v>
      </c>
      <c r="X1042" s="24">
        <v>28400</v>
      </c>
      <c r="Y1042" s="24">
        <v>28400</v>
      </c>
      <c r="Z1042" s="24">
        <f t="shared" si="50"/>
        <v>12611038.310000001</v>
      </c>
      <c r="AB1042" s="25">
        <v>14028675.310000001</v>
      </c>
      <c r="AC1042" s="26">
        <v>14028675</v>
      </c>
      <c r="AD1042" s="24">
        <v>0.31000000052154064</v>
      </c>
      <c r="AE1042" s="27">
        <f>_xlfn.XLOOKUP(B1042,'Projects Cashflow'!$B:$B,'Projects Cashflow'!$AG:$AG,0)</f>
        <v>14028675</v>
      </c>
      <c r="AF1042" s="28">
        <f t="shared" si="51"/>
        <v>-0.31000000052154064</v>
      </c>
    </row>
    <row r="1043" spans="2:32" x14ac:dyDescent="0.3">
      <c r="B1043" s="14" t="str">
        <f t="shared" si="49"/>
        <v>45102504511001408Managed Service-N422212200104</v>
      </c>
      <c r="C1043" s="21" t="s">
        <v>2984</v>
      </c>
      <c r="D1043" s="22">
        <v>4510250</v>
      </c>
      <c r="E1043" s="21" t="s">
        <v>3017</v>
      </c>
      <c r="F1043" s="22">
        <v>4511001408</v>
      </c>
      <c r="G1043" s="21" t="s">
        <v>1685</v>
      </c>
      <c r="H1043" s="21" t="s">
        <v>476</v>
      </c>
      <c r="I1043" s="22">
        <v>422212</v>
      </c>
      <c r="J1043" s="22">
        <v>200104</v>
      </c>
      <c r="K1043" s="22" t="s">
        <v>2959</v>
      </c>
      <c r="L1043" s="22">
        <v>70106</v>
      </c>
      <c r="M1043" s="23" t="s">
        <v>2960</v>
      </c>
      <c r="N1043" s="24">
        <v>0</v>
      </c>
      <c r="O1043" s="24">
        <v>0</v>
      </c>
      <c r="P1043" s="24">
        <v>0</v>
      </c>
      <c r="Q1043" s="24">
        <v>2952582.3333333335</v>
      </c>
      <c r="R1043" s="24">
        <v>738145.66666666663</v>
      </c>
      <c r="S1043" s="24">
        <v>738145.66666666663</v>
      </c>
      <c r="T1043" s="24">
        <v>738145.66666666663</v>
      </c>
      <c r="U1043" s="24">
        <v>738145.66666666663</v>
      </c>
      <c r="V1043" s="24">
        <v>738145.66666666663</v>
      </c>
      <c r="W1043" s="24">
        <v>738145.66666666663</v>
      </c>
      <c r="X1043" s="24">
        <v>738145.66666666663</v>
      </c>
      <c r="Y1043" s="24">
        <v>738145.66666666663</v>
      </c>
      <c r="Z1043" s="24">
        <f t="shared" si="50"/>
        <v>8857747.6666666679</v>
      </c>
      <c r="AB1043" s="25">
        <v>8857747.6666666679</v>
      </c>
      <c r="AC1043" s="26">
        <v>8857748</v>
      </c>
      <c r="AD1043" s="24">
        <v>-0.3333333320915699</v>
      </c>
      <c r="AE1043" s="27">
        <f>_xlfn.XLOOKUP(B1043,'Projects Cashflow'!$B:$B,'Projects Cashflow'!$AG:$AG,0)</f>
        <v>8857748</v>
      </c>
      <c r="AF1043" s="28">
        <f t="shared" si="51"/>
        <v>0.3333333320915699</v>
      </c>
    </row>
    <row r="1044" spans="2:32" x14ac:dyDescent="0.3">
      <c r="B1044" s="14" t="str">
        <f t="shared" si="49"/>
        <v>45102504511001408System Maintain-N1422212200104</v>
      </c>
      <c r="C1044" s="21" t="s">
        <v>2984</v>
      </c>
      <c r="D1044" s="22">
        <v>4510250</v>
      </c>
      <c r="E1044" s="21" t="s">
        <v>3017</v>
      </c>
      <c r="F1044" s="22">
        <v>4511001408</v>
      </c>
      <c r="G1044" s="21" t="s">
        <v>1685</v>
      </c>
      <c r="H1044" s="21" t="s">
        <v>1067</v>
      </c>
      <c r="I1044" s="22">
        <v>422212</v>
      </c>
      <c r="J1044" s="22">
        <v>200104</v>
      </c>
      <c r="K1044" s="22" t="s">
        <v>2959</v>
      </c>
      <c r="L1044" s="22">
        <v>70106</v>
      </c>
      <c r="M1044" s="23" t="s">
        <v>2960</v>
      </c>
      <c r="N1044" s="24">
        <v>0</v>
      </c>
      <c r="O1044" s="24">
        <v>0</v>
      </c>
      <c r="P1044" s="24">
        <v>0</v>
      </c>
      <c r="Q1044" s="24">
        <v>0</v>
      </c>
      <c r="R1044" s="24">
        <v>0</v>
      </c>
      <c r="S1044" s="24">
        <v>0</v>
      </c>
      <c r="T1044" s="24">
        <v>0</v>
      </c>
      <c r="U1044" s="24">
        <v>0</v>
      </c>
      <c r="V1044" s="24">
        <v>42000</v>
      </c>
      <c r="W1044" s="24">
        <v>0</v>
      </c>
      <c r="X1044" s="24">
        <v>0</v>
      </c>
      <c r="Y1044" s="24">
        <v>0</v>
      </c>
      <c r="Z1044" s="24">
        <f t="shared" si="50"/>
        <v>42000</v>
      </c>
      <c r="AB1044" s="25">
        <v>42000</v>
      </c>
      <c r="AC1044" s="26">
        <v>42000</v>
      </c>
      <c r="AD1044" s="24">
        <v>0</v>
      </c>
      <c r="AE1044" s="27">
        <f>_xlfn.XLOOKUP(B1044,'Projects Cashflow'!$B:$B,'Projects Cashflow'!$AG:$AG,0)</f>
        <v>42000</v>
      </c>
      <c r="AF1044" s="28">
        <f t="shared" si="51"/>
        <v>0</v>
      </c>
    </row>
    <row r="1045" spans="2:32" x14ac:dyDescent="0.3">
      <c r="B1045" s="14" t="str">
        <f t="shared" si="49"/>
        <v>45102504511001409Managed Service-N422212200104</v>
      </c>
      <c r="C1045" s="21" t="s">
        <v>2984</v>
      </c>
      <c r="D1045" s="22">
        <v>4510250</v>
      </c>
      <c r="E1045" s="21" t="s">
        <v>3017</v>
      </c>
      <c r="F1045" s="22">
        <v>4511001409</v>
      </c>
      <c r="G1045" s="21" t="s">
        <v>1688</v>
      </c>
      <c r="H1045" s="21" t="s">
        <v>476</v>
      </c>
      <c r="I1045" s="22">
        <v>422212</v>
      </c>
      <c r="J1045" s="22">
        <v>200104</v>
      </c>
      <c r="K1045" s="22" t="s">
        <v>2959</v>
      </c>
      <c r="L1045" s="22">
        <v>70106</v>
      </c>
      <c r="M1045" s="23" t="s">
        <v>2960</v>
      </c>
      <c r="N1045" s="24">
        <v>0</v>
      </c>
      <c r="O1045" s="24">
        <v>0</v>
      </c>
      <c r="P1045" s="24">
        <v>0</v>
      </c>
      <c r="Q1045" s="24">
        <v>0</v>
      </c>
      <c r="R1045" s="24">
        <v>0</v>
      </c>
      <c r="S1045" s="24">
        <v>500000</v>
      </c>
      <c r="T1045" s="24">
        <v>0</v>
      </c>
      <c r="U1045" s="24">
        <v>500000</v>
      </c>
      <c r="V1045" s="24">
        <v>0</v>
      </c>
      <c r="W1045" s="24">
        <v>0</v>
      </c>
      <c r="X1045" s="24">
        <v>500000</v>
      </c>
      <c r="Y1045" s="24">
        <v>0</v>
      </c>
      <c r="Z1045" s="24">
        <f t="shared" si="50"/>
        <v>1500000</v>
      </c>
      <c r="AB1045" s="25">
        <v>0</v>
      </c>
      <c r="AC1045" s="26">
        <v>0</v>
      </c>
      <c r="AD1045" s="24">
        <v>0</v>
      </c>
      <c r="AE1045" s="27">
        <f>_xlfn.XLOOKUP(B1045,'Projects Cashflow'!$B:$B,'Projects Cashflow'!$AG:$AG,0)</f>
        <v>0</v>
      </c>
      <c r="AF1045" s="28">
        <f t="shared" si="51"/>
        <v>0</v>
      </c>
    </row>
    <row r="1046" spans="2:32" x14ac:dyDescent="0.3">
      <c r="B1046" s="14" t="str">
        <f t="shared" si="49"/>
        <v>45102504511001409System Licenses-N425252200104</v>
      </c>
      <c r="C1046" s="21" t="s">
        <v>2984</v>
      </c>
      <c r="D1046" s="22">
        <v>4510250</v>
      </c>
      <c r="E1046" s="21" t="s">
        <v>3017</v>
      </c>
      <c r="F1046" s="22">
        <v>4511001409</v>
      </c>
      <c r="G1046" s="21" t="s">
        <v>1688</v>
      </c>
      <c r="H1046" s="21" t="s">
        <v>180</v>
      </c>
      <c r="I1046" s="22">
        <v>425252</v>
      </c>
      <c r="J1046" s="22">
        <v>200104</v>
      </c>
      <c r="K1046" s="22" t="s">
        <v>2959</v>
      </c>
      <c r="L1046" s="22">
        <v>70106</v>
      </c>
      <c r="M1046" s="23" t="s">
        <v>2960</v>
      </c>
      <c r="N1046" s="24">
        <v>0</v>
      </c>
      <c r="O1046" s="24">
        <v>0</v>
      </c>
      <c r="P1046" s="24">
        <v>0</v>
      </c>
      <c r="Q1046" s="24">
        <v>5000</v>
      </c>
      <c r="R1046" s="24">
        <v>0</v>
      </c>
      <c r="S1046" s="24">
        <v>0</v>
      </c>
      <c r="T1046" s="24">
        <v>0</v>
      </c>
      <c r="U1046" s="24">
        <v>0</v>
      </c>
      <c r="V1046" s="24">
        <v>0</v>
      </c>
      <c r="W1046" s="24">
        <v>0</v>
      </c>
      <c r="X1046" s="24">
        <v>0</v>
      </c>
      <c r="Y1046" s="24">
        <v>0</v>
      </c>
      <c r="Z1046" s="24">
        <f t="shared" si="50"/>
        <v>5000</v>
      </c>
      <c r="AB1046" s="25">
        <v>17628</v>
      </c>
      <c r="AC1046" s="26">
        <v>17628</v>
      </c>
      <c r="AD1046" s="24">
        <v>0</v>
      </c>
      <c r="AE1046" s="27">
        <f>_xlfn.XLOOKUP(B1046,'Projects Cashflow'!$B:$B,'Projects Cashflow'!$AG:$AG,0)</f>
        <v>17628</v>
      </c>
      <c r="AF1046" s="28">
        <f t="shared" si="51"/>
        <v>0</v>
      </c>
    </row>
    <row r="1047" spans="2:32" x14ac:dyDescent="0.3">
      <c r="B1047" s="14" t="str">
        <f t="shared" si="49"/>
        <v>45102504511001604Systems Develop-NC493140300105</v>
      </c>
      <c r="C1047" s="21" t="s">
        <v>2984</v>
      </c>
      <c r="D1047" s="22">
        <v>4510250</v>
      </c>
      <c r="E1047" s="21" t="s">
        <v>3017</v>
      </c>
      <c r="F1047" s="22">
        <v>4511001604</v>
      </c>
      <c r="G1047" s="21" t="s">
        <v>2100</v>
      </c>
      <c r="H1047" s="21" t="s">
        <v>184</v>
      </c>
      <c r="I1047" s="22">
        <v>493140</v>
      </c>
      <c r="J1047" s="22">
        <v>300105</v>
      </c>
      <c r="K1047" s="22" t="s">
        <v>2972</v>
      </c>
      <c r="L1047" s="22">
        <v>70106</v>
      </c>
      <c r="M1047" s="23" t="s">
        <v>2960</v>
      </c>
      <c r="N1047" s="24">
        <v>0</v>
      </c>
      <c r="O1047" s="24">
        <v>0</v>
      </c>
      <c r="P1047" s="24">
        <v>0</v>
      </c>
      <c r="Q1047" s="24">
        <v>3000000</v>
      </c>
      <c r="R1047" s="24">
        <v>1000000</v>
      </c>
      <c r="S1047" s="24">
        <v>1000000</v>
      </c>
      <c r="T1047" s="24">
        <v>1000000</v>
      </c>
      <c r="U1047" s="24">
        <v>1500000</v>
      </c>
      <c r="V1047" s="24">
        <v>2500000</v>
      </c>
      <c r="W1047" s="24">
        <v>1500000</v>
      </c>
      <c r="X1047" s="24">
        <v>1500000</v>
      </c>
      <c r="Y1047" s="24">
        <v>1000000</v>
      </c>
      <c r="Z1047" s="24">
        <f t="shared" si="50"/>
        <v>14000000</v>
      </c>
      <c r="AB1047" s="25">
        <v>4391944</v>
      </c>
      <c r="AC1047" s="26">
        <v>4391944</v>
      </c>
      <c r="AD1047" s="24">
        <v>0</v>
      </c>
      <c r="AE1047" s="27">
        <f>_xlfn.XLOOKUP(B1047,'Projects Cashflow'!$B:$B,'Projects Cashflow'!$AG:$AG,0)</f>
        <v>4391944</v>
      </c>
      <c r="AF1047" s="28">
        <f t="shared" si="51"/>
        <v>0</v>
      </c>
    </row>
    <row r="1048" spans="2:32" x14ac:dyDescent="0.3">
      <c r="B1048" s="14" t="str">
        <f t="shared" si="49"/>
        <v>45102504511001604System Maintain-N422212200104</v>
      </c>
      <c r="C1048" s="21" t="s">
        <v>2984</v>
      </c>
      <c r="D1048" s="22">
        <v>4510250</v>
      </c>
      <c r="E1048" s="21" t="s">
        <v>3017</v>
      </c>
      <c r="F1048" s="22">
        <v>4511001604</v>
      </c>
      <c r="G1048" s="21" t="s">
        <v>2100</v>
      </c>
      <c r="H1048" s="21" t="s">
        <v>488</v>
      </c>
      <c r="I1048" s="22">
        <v>422212</v>
      </c>
      <c r="J1048" s="22">
        <v>200104</v>
      </c>
      <c r="K1048" s="22" t="s">
        <v>2959</v>
      </c>
      <c r="L1048" s="22">
        <v>70106</v>
      </c>
      <c r="M1048" s="23" t="s">
        <v>2960</v>
      </c>
      <c r="N1048" s="24">
        <v>0</v>
      </c>
      <c r="O1048" s="24">
        <v>0</v>
      </c>
      <c r="P1048" s="24">
        <v>0</v>
      </c>
      <c r="Q1048" s="24">
        <v>1500000</v>
      </c>
      <c r="R1048" s="24">
        <v>0</v>
      </c>
      <c r="S1048" s="24">
        <v>0</v>
      </c>
      <c r="T1048" s="24">
        <v>0</v>
      </c>
      <c r="U1048" s="24">
        <v>0</v>
      </c>
      <c r="V1048" s="24">
        <v>500000</v>
      </c>
      <c r="W1048" s="24">
        <v>2000000</v>
      </c>
      <c r="X1048" s="24">
        <v>2000000</v>
      </c>
      <c r="Y1048" s="24">
        <v>500000</v>
      </c>
      <c r="Z1048" s="24">
        <f t="shared" si="50"/>
        <v>6500000</v>
      </c>
      <c r="AB1048" s="25">
        <v>0</v>
      </c>
      <c r="AC1048" s="26">
        <v>0</v>
      </c>
      <c r="AD1048" s="24">
        <v>0</v>
      </c>
      <c r="AE1048" s="27">
        <f>_xlfn.XLOOKUP(B1048,'Projects Cashflow'!$B:$B,'Projects Cashflow'!$AG:$AG,0)</f>
        <v>0</v>
      </c>
      <c r="AF1048" s="28">
        <f t="shared" si="51"/>
        <v>0</v>
      </c>
    </row>
    <row r="1049" spans="2:32" x14ac:dyDescent="0.3">
      <c r="B1049" s="14" t="str">
        <f t="shared" si="49"/>
        <v>45102504511001604Systems Develop-N425301200104</v>
      </c>
      <c r="C1049" s="21" t="s">
        <v>2984</v>
      </c>
      <c r="D1049" s="22">
        <v>4510250</v>
      </c>
      <c r="E1049" s="21" t="s">
        <v>3017</v>
      </c>
      <c r="F1049" s="22">
        <v>4511001604</v>
      </c>
      <c r="G1049" s="21" t="s">
        <v>2100</v>
      </c>
      <c r="H1049" s="21" t="s">
        <v>1068</v>
      </c>
      <c r="I1049" s="22">
        <v>425301</v>
      </c>
      <c r="J1049" s="22">
        <v>200104</v>
      </c>
      <c r="K1049" s="22" t="s">
        <v>2959</v>
      </c>
      <c r="L1049" s="22">
        <v>70106</v>
      </c>
      <c r="M1049" s="23" t="s">
        <v>2960</v>
      </c>
      <c r="N1049" s="24">
        <v>0</v>
      </c>
      <c r="O1049" s="24">
        <v>0</v>
      </c>
      <c r="P1049" s="24">
        <v>0</v>
      </c>
      <c r="Q1049" s="24">
        <v>0</v>
      </c>
      <c r="R1049" s="24">
        <v>0</v>
      </c>
      <c r="S1049" s="24">
        <v>0</v>
      </c>
      <c r="T1049" s="24">
        <v>0</v>
      </c>
      <c r="U1049" s="24">
        <v>0</v>
      </c>
      <c r="V1049" s="24">
        <v>500000</v>
      </c>
      <c r="W1049" s="24">
        <v>500000</v>
      </c>
      <c r="X1049" s="24">
        <v>500000</v>
      </c>
      <c r="Y1049" s="24">
        <v>500000</v>
      </c>
      <c r="Z1049" s="24">
        <f t="shared" si="50"/>
        <v>2000000</v>
      </c>
      <c r="AB1049" s="25">
        <v>6583475</v>
      </c>
      <c r="AC1049" s="26">
        <v>6583475</v>
      </c>
      <c r="AD1049" s="24">
        <v>0</v>
      </c>
      <c r="AE1049" s="27">
        <f>_xlfn.XLOOKUP(B1049,'Projects Cashflow'!$B:$B,'Projects Cashflow'!$AG:$AG,0)</f>
        <v>6583475</v>
      </c>
      <c r="AF1049" s="28">
        <f t="shared" si="51"/>
        <v>0</v>
      </c>
    </row>
    <row r="1050" spans="2:32" x14ac:dyDescent="0.3">
      <c r="B1050" s="14" t="str">
        <f t="shared" si="49"/>
        <v>45155004511000810Freelancers-N424521200104</v>
      </c>
      <c r="C1050" s="34" t="s">
        <v>211</v>
      </c>
      <c r="D1050" s="35">
        <v>4515500</v>
      </c>
      <c r="E1050" s="34" t="s">
        <v>512</v>
      </c>
      <c r="F1050" s="35">
        <v>4511000810</v>
      </c>
      <c r="G1050" s="34" t="s">
        <v>1096</v>
      </c>
      <c r="H1050" s="34" t="s">
        <v>50</v>
      </c>
      <c r="I1050" s="35">
        <v>424521</v>
      </c>
      <c r="J1050" s="35">
        <v>200104</v>
      </c>
      <c r="K1050" s="35" t="s">
        <v>2959</v>
      </c>
      <c r="L1050" s="22">
        <v>70501</v>
      </c>
      <c r="M1050" s="36" t="s">
        <v>2960</v>
      </c>
      <c r="N1050" s="24">
        <v>189500</v>
      </c>
      <c r="O1050" s="24">
        <v>111416.65999999997</v>
      </c>
      <c r="P1050" s="24">
        <v>0</v>
      </c>
      <c r="Q1050" s="24">
        <v>560874</v>
      </c>
      <c r="R1050" s="24">
        <v>254500</v>
      </c>
      <c r="S1050" s="24">
        <v>254500</v>
      </c>
      <c r="T1050" s="24">
        <v>254500</v>
      </c>
      <c r="U1050" s="24">
        <v>254500</v>
      </c>
      <c r="V1050" s="24">
        <v>254500</v>
      </c>
      <c r="W1050" s="24">
        <v>254500</v>
      </c>
      <c r="X1050" s="24">
        <v>279500</v>
      </c>
      <c r="Y1050" s="24">
        <v>280477</v>
      </c>
      <c r="Z1050" s="24">
        <f t="shared" si="50"/>
        <v>2948767.66</v>
      </c>
      <c r="AB1050" s="37">
        <v>1973104.6600000001</v>
      </c>
      <c r="AC1050" s="38">
        <v>1973105</v>
      </c>
      <c r="AD1050" s="48">
        <v>-0.33999999985098839</v>
      </c>
      <c r="AE1050" s="27">
        <f>_xlfn.XLOOKUP(B1050,'Projects Cashflow'!$B:$B,'Projects Cashflow'!$AG:$AG,0)</f>
        <v>1973105</v>
      </c>
      <c r="AF1050" s="28">
        <f t="shared" si="51"/>
        <v>0.33999999985098839</v>
      </c>
    </row>
    <row r="1051" spans="2:32" x14ac:dyDescent="0.3">
      <c r="B1051" s="14" t="str">
        <f t="shared" si="49"/>
        <v>45150104511000826Freelancers-N424521200104</v>
      </c>
      <c r="C1051" s="34" t="s">
        <v>211</v>
      </c>
      <c r="D1051" s="35">
        <v>4515010</v>
      </c>
      <c r="E1051" s="34" t="s">
        <v>3114</v>
      </c>
      <c r="F1051" s="35">
        <v>4511000826</v>
      </c>
      <c r="G1051" s="34" t="s">
        <v>1118</v>
      </c>
      <c r="H1051" s="34" t="s">
        <v>50</v>
      </c>
      <c r="I1051" s="35">
        <v>424521</v>
      </c>
      <c r="J1051" s="35">
        <v>200104</v>
      </c>
      <c r="K1051" s="35" t="s">
        <v>2959</v>
      </c>
      <c r="L1051" s="22">
        <v>70501</v>
      </c>
      <c r="M1051" s="36" t="s">
        <v>2960</v>
      </c>
      <c r="N1051" s="24">
        <v>0</v>
      </c>
      <c r="O1051" s="24">
        <v>502000</v>
      </c>
      <c r="P1051" s="24">
        <v>23000</v>
      </c>
      <c r="Q1051" s="24">
        <v>245000</v>
      </c>
      <c r="R1051" s="24">
        <v>230741.93</v>
      </c>
      <c r="S1051" s="24">
        <v>200000</v>
      </c>
      <c r="T1051" s="24">
        <v>200000</v>
      </c>
      <c r="U1051" s="24">
        <v>142903.22580645161</v>
      </c>
      <c r="V1051" s="24">
        <v>126666.66666666667</v>
      </c>
      <c r="W1051" s="24">
        <v>103548.3870967742</v>
      </c>
      <c r="X1051" s="24">
        <v>70000</v>
      </c>
      <c r="Y1051" s="24">
        <v>70000</v>
      </c>
      <c r="Z1051" s="24">
        <f t="shared" si="50"/>
        <v>1913860.2095698926</v>
      </c>
      <c r="AB1051" s="37">
        <v>2858860.2095698928</v>
      </c>
      <c r="AC1051" s="38">
        <v>2858860</v>
      </c>
      <c r="AD1051" s="48">
        <v>0.20956989284604788</v>
      </c>
      <c r="AE1051" s="27">
        <f>_xlfn.XLOOKUP(B1051,'Projects Cashflow'!$B:$B,'Projects Cashflow'!$AG:$AG,0)</f>
        <v>2858860</v>
      </c>
      <c r="AF1051" s="28">
        <f t="shared" si="51"/>
        <v>-0.20956989284604788</v>
      </c>
    </row>
    <row r="1052" spans="2:32" x14ac:dyDescent="0.3">
      <c r="B1052" s="14" t="str">
        <f t="shared" si="49"/>
        <v>45150104511000826Mission &amp; Travel-N423821200104</v>
      </c>
      <c r="C1052" s="21" t="s">
        <v>211</v>
      </c>
      <c r="D1052" s="22">
        <v>4515010</v>
      </c>
      <c r="E1052" s="21" t="s">
        <v>3114</v>
      </c>
      <c r="F1052" s="22">
        <v>4511000826</v>
      </c>
      <c r="G1052" s="21" t="s">
        <v>1118</v>
      </c>
      <c r="H1052" s="21" t="s">
        <v>54</v>
      </c>
      <c r="I1052" s="22">
        <v>423821</v>
      </c>
      <c r="J1052" s="22">
        <v>200104</v>
      </c>
      <c r="K1052" s="22" t="s">
        <v>2959</v>
      </c>
      <c r="L1052" s="22">
        <v>70501</v>
      </c>
      <c r="M1052" s="23" t="s">
        <v>2960</v>
      </c>
      <c r="N1052" s="24">
        <v>0</v>
      </c>
      <c r="O1052" s="24">
        <v>0</v>
      </c>
      <c r="P1052" s="26">
        <v>36750</v>
      </c>
      <c r="Q1052" s="24">
        <v>0</v>
      </c>
      <c r="R1052" s="24">
        <v>122750</v>
      </c>
      <c r="S1052" s="24">
        <v>0</v>
      </c>
      <c r="T1052" s="24">
        <v>53200</v>
      </c>
      <c r="U1052" s="24">
        <v>0</v>
      </c>
      <c r="V1052" s="24">
        <v>80000</v>
      </c>
      <c r="W1052" s="24">
        <v>0</v>
      </c>
      <c r="X1052" s="24">
        <v>82500</v>
      </c>
      <c r="Y1052" s="24">
        <v>374800</v>
      </c>
      <c r="Z1052" s="24">
        <f t="shared" si="50"/>
        <v>750000</v>
      </c>
      <c r="AB1052" s="25">
        <v>750000</v>
      </c>
      <c r="AC1052" s="26">
        <v>750000</v>
      </c>
      <c r="AD1052" s="24">
        <v>0</v>
      </c>
      <c r="AE1052" s="27">
        <f>_xlfn.XLOOKUP(B1052,'Projects Cashflow'!$B:$B,'Projects Cashflow'!$AG:$AG,0)</f>
        <v>750000</v>
      </c>
      <c r="AF1052" s="28">
        <f t="shared" si="51"/>
        <v>0</v>
      </c>
    </row>
    <row r="1053" spans="2:32" x14ac:dyDescent="0.3">
      <c r="B1053" s="14" t="str">
        <f t="shared" si="49"/>
        <v>45155004511000810Strategy Advice-N421123200104</v>
      </c>
      <c r="C1053" s="21" t="s">
        <v>211</v>
      </c>
      <c r="D1053" s="22">
        <v>4515500</v>
      </c>
      <c r="E1053" s="21" t="s">
        <v>512</v>
      </c>
      <c r="F1053" s="22">
        <v>4511000810</v>
      </c>
      <c r="G1053" s="21" t="s">
        <v>1096</v>
      </c>
      <c r="H1053" s="21" t="s">
        <v>236</v>
      </c>
      <c r="I1053" s="22">
        <v>421123</v>
      </c>
      <c r="J1053" s="22">
        <v>200104</v>
      </c>
      <c r="K1053" s="22" t="s">
        <v>2959</v>
      </c>
      <c r="L1053" s="22">
        <v>70501</v>
      </c>
      <c r="M1053" s="23" t="s">
        <v>2960</v>
      </c>
      <c r="N1053" s="24">
        <v>0</v>
      </c>
      <c r="O1053" s="24">
        <v>0</v>
      </c>
      <c r="P1053" s="24">
        <v>0</v>
      </c>
      <c r="Q1053" s="24">
        <v>0</v>
      </c>
      <c r="R1053" s="24">
        <v>400000</v>
      </c>
      <c r="S1053" s="24">
        <v>0</v>
      </c>
      <c r="T1053" s="24">
        <v>0</v>
      </c>
      <c r="U1053" s="24">
        <v>0</v>
      </c>
      <c r="V1053" s="24">
        <v>400000</v>
      </c>
      <c r="W1053" s="24">
        <v>0</v>
      </c>
      <c r="X1053" s="24">
        <v>400000</v>
      </c>
      <c r="Y1053" s="24">
        <v>0</v>
      </c>
      <c r="Z1053" s="24">
        <f t="shared" si="50"/>
        <v>1200000</v>
      </c>
      <c r="AB1053" s="25">
        <v>1340015</v>
      </c>
      <c r="AC1053" s="26">
        <v>1340015</v>
      </c>
      <c r="AD1053" s="24">
        <v>0</v>
      </c>
      <c r="AE1053" s="27">
        <f>_xlfn.XLOOKUP(B1053,'Projects Cashflow'!$B:$B,'Projects Cashflow'!$AG:$AG,0)</f>
        <v>1340015</v>
      </c>
      <c r="AF1053" s="28">
        <f t="shared" si="51"/>
        <v>0</v>
      </c>
    </row>
    <row r="1054" spans="2:32" x14ac:dyDescent="0.3">
      <c r="B1054" s="14" t="str">
        <f t="shared" si="49"/>
        <v>45155004511000810Admin Expenses-N421125200104</v>
      </c>
      <c r="C1054" s="34" t="s">
        <v>211</v>
      </c>
      <c r="D1054" s="35">
        <v>4515500</v>
      </c>
      <c r="E1054" s="34" t="s">
        <v>512</v>
      </c>
      <c r="F1054" s="35">
        <v>4511000810</v>
      </c>
      <c r="G1054" s="34" t="s">
        <v>1096</v>
      </c>
      <c r="H1054" s="34" t="s">
        <v>130</v>
      </c>
      <c r="I1054" s="35">
        <v>421125</v>
      </c>
      <c r="J1054" s="35">
        <v>200104</v>
      </c>
      <c r="K1054" s="35" t="s">
        <v>2959</v>
      </c>
      <c r="L1054" s="22">
        <v>70501</v>
      </c>
      <c r="M1054" s="36" t="s">
        <v>2960</v>
      </c>
      <c r="N1054" s="24">
        <v>0</v>
      </c>
      <c r="O1054" s="24">
        <v>0</v>
      </c>
      <c r="P1054" s="24">
        <v>0</v>
      </c>
      <c r="Q1054" s="24">
        <v>77778</v>
      </c>
      <c r="R1054" s="24">
        <v>75000</v>
      </c>
      <c r="S1054" s="24">
        <v>75000</v>
      </c>
      <c r="T1054" s="24">
        <v>100000</v>
      </c>
      <c r="U1054" s="24">
        <v>100000</v>
      </c>
      <c r="V1054" s="24">
        <v>200000</v>
      </c>
      <c r="W1054" s="24">
        <v>200000</v>
      </c>
      <c r="X1054" s="24">
        <v>100000</v>
      </c>
      <c r="Y1054" s="24">
        <v>35649</v>
      </c>
      <c r="Z1054" s="24">
        <f t="shared" si="50"/>
        <v>963427</v>
      </c>
      <c r="AB1054" s="37">
        <v>1263427</v>
      </c>
      <c r="AC1054" s="38">
        <v>1263427</v>
      </c>
      <c r="AD1054" s="39">
        <v>0</v>
      </c>
      <c r="AE1054" s="27">
        <f>_xlfn.XLOOKUP(B1054,'Projects Cashflow'!$B:$B,'Projects Cashflow'!$AG:$AG,0)</f>
        <v>1263427</v>
      </c>
      <c r="AF1054" s="28">
        <f t="shared" si="51"/>
        <v>0</v>
      </c>
    </row>
    <row r="1055" spans="2:32" x14ac:dyDescent="0.3">
      <c r="B1055" s="14" t="str">
        <f t="shared" si="49"/>
        <v>45150104511000972Strategy Advice-N421123200104</v>
      </c>
      <c r="C1055" s="21" t="s">
        <v>211</v>
      </c>
      <c r="D1055" s="22">
        <v>4515010</v>
      </c>
      <c r="E1055" s="21" t="s">
        <v>3114</v>
      </c>
      <c r="F1055" s="22">
        <v>4511000972</v>
      </c>
      <c r="G1055" s="21" t="s">
        <v>1274</v>
      </c>
      <c r="H1055" s="21" t="s">
        <v>236</v>
      </c>
      <c r="I1055" s="22">
        <v>421123</v>
      </c>
      <c r="J1055" s="22">
        <v>200104</v>
      </c>
      <c r="K1055" s="22" t="s">
        <v>2959</v>
      </c>
      <c r="L1055" s="22">
        <v>70501</v>
      </c>
      <c r="M1055" s="23" t="s">
        <v>2961</v>
      </c>
      <c r="N1055" s="24">
        <v>0</v>
      </c>
      <c r="O1055" s="24">
        <v>0</v>
      </c>
      <c r="P1055" s="24">
        <v>0</v>
      </c>
      <c r="Q1055" s="24">
        <v>0</v>
      </c>
      <c r="R1055" s="24">
        <v>0</v>
      </c>
      <c r="S1055" s="24">
        <v>0</v>
      </c>
      <c r="T1055" s="24">
        <v>0</v>
      </c>
      <c r="U1055" s="24">
        <v>392688</v>
      </c>
      <c r="V1055" s="24">
        <v>0</v>
      </c>
      <c r="W1055" s="24">
        <v>0</v>
      </c>
      <c r="X1055" s="24">
        <v>1570755</v>
      </c>
      <c r="Y1055" s="24">
        <v>1963446</v>
      </c>
      <c r="Z1055" s="24">
        <f t="shared" si="50"/>
        <v>3926889</v>
      </c>
      <c r="AB1055" s="25">
        <v>2215889</v>
      </c>
      <c r="AC1055" s="26">
        <v>2215889</v>
      </c>
      <c r="AD1055" s="24">
        <v>0</v>
      </c>
      <c r="AE1055" s="27">
        <f>_xlfn.XLOOKUP(B1055,'Projects Cashflow'!$B:$B,'Projects Cashflow'!$AG:$AG,0)</f>
        <v>2215889</v>
      </c>
      <c r="AF1055" s="28">
        <f t="shared" si="51"/>
        <v>0</v>
      </c>
    </row>
    <row r="1056" spans="2:32" x14ac:dyDescent="0.3">
      <c r="B1056" s="14" t="str">
        <f t="shared" si="49"/>
        <v>45155004511001119Event Management-N422401200104</v>
      </c>
      <c r="C1056" s="21" t="s">
        <v>211</v>
      </c>
      <c r="D1056" s="22">
        <v>4515500</v>
      </c>
      <c r="E1056" s="21" t="s">
        <v>512</v>
      </c>
      <c r="F1056" s="22">
        <v>4511001119</v>
      </c>
      <c r="G1056" s="21" t="s">
        <v>1363</v>
      </c>
      <c r="H1056" s="21" t="s">
        <v>162</v>
      </c>
      <c r="I1056" s="22">
        <v>422401</v>
      </c>
      <c r="J1056" s="22">
        <v>200104</v>
      </c>
      <c r="K1056" s="22" t="s">
        <v>2959</v>
      </c>
      <c r="L1056" s="22">
        <v>70501</v>
      </c>
      <c r="M1056" s="23" t="s">
        <v>2960</v>
      </c>
      <c r="N1056" s="24">
        <v>0</v>
      </c>
      <c r="O1056" s="24">
        <v>0</v>
      </c>
      <c r="P1056" s="24">
        <v>0</v>
      </c>
      <c r="Q1056" s="24">
        <v>0</v>
      </c>
      <c r="R1056" s="24">
        <v>1267351</v>
      </c>
      <c r="S1056" s="24">
        <v>0</v>
      </c>
      <c r="T1056" s="24">
        <v>0</v>
      </c>
      <c r="U1056" s="24">
        <v>0</v>
      </c>
      <c r="V1056" s="24">
        <v>0</v>
      </c>
      <c r="W1056" s="24">
        <v>0</v>
      </c>
      <c r="X1056" s="24">
        <v>0</v>
      </c>
      <c r="Y1056" s="24">
        <v>0</v>
      </c>
      <c r="Z1056" s="24">
        <f t="shared" si="50"/>
        <v>1267351</v>
      </c>
      <c r="AB1056" s="25">
        <v>795297</v>
      </c>
      <c r="AC1056" s="26">
        <v>795297</v>
      </c>
      <c r="AD1056" s="24">
        <v>0</v>
      </c>
      <c r="AE1056" s="27">
        <f>_xlfn.XLOOKUP(B1056,'Projects Cashflow'!$B:$B,'Projects Cashflow'!$AG:$AG,0)</f>
        <v>795297</v>
      </c>
      <c r="AF1056" s="28">
        <f t="shared" si="51"/>
        <v>0</v>
      </c>
    </row>
    <row r="1057" spans="2:32" x14ac:dyDescent="0.3">
      <c r="B1057" s="14" t="str">
        <f t="shared" si="49"/>
        <v>45150104511001070Hospitality-N424761200104</v>
      </c>
      <c r="C1057" s="21" t="s">
        <v>211</v>
      </c>
      <c r="D1057" s="22">
        <v>4515010</v>
      </c>
      <c r="E1057" s="21" t="s">
        <v>3114</v>
      </c>
      <c r="F1057" s="22">
        <v>4511001070</v>
      </c>
      <c r="G1057" s="21" t="s">
        <v>1345</v>
      </c>
      <c r="H1057" s="21" t="s">
        <v>83</v>
      </c>
      <c r="I1057" s="22">
        <v>424761</v>
      </c>
      <c r="J1057" s="22">
        <v>200104</v>
      </c>
      <c r="K1057" s="22" t="s">
        <v>2959</v>
      </c>
      <c r="L1057" s="22">
        <v>70501</v>
      </c>
      <c r="M1057" s="23" t="s">
        <v>2960</v>
      </c>
      <c r="N1057" s="24">
        <v>0</v>
      </c>
      <c r="O1057" s="24">
        <v>0</v>
      </c>
      <c r="P1057" s="24">
        <v>0</v>
      </c>
      <c r="Q1057" s="24">
        <v>0</v>
      </c>
      <c r="R1057" s="24">
        <v>0</v>
      </c>
      <c r="S1057" s="24">
        <v>0</v>
      </c>
      <c r="T1057" s="24">
        <v>0</v>
      </c>
      <c r="U1057" s="24">
        <v>0</v>
      </c>
      <c r="V1057" s="24">
        <v>0</v>
      </c>
      <c r="W1057" s="24">
        <v>0</v>
      </c>
      <c r="X1057" s="24">
        <v>0</v>
      </c>
      <c r="Y1057" s="24">
        <v>1000000</v>
      </c>
      <c r="Z1057" s="24">
        <f t="shared" si="50"/>
        <v>1000000</v>
      </c>
      <c r="AB1057" s="25">
        <v>1000000</v>
      </c>
      <c r="AC1057" s="26">
        <v>1000000</v>
      </c>
      <c r="AD1057" s="24">
        <v>0</v>
      </c>
      <c r="AE1057" s="27">
        <f>_xlfn.XLOOKUP(B1057,'Projects Cashflow'!$B:$B,'Projects Cashflow'!$AG:$AG,0)</f>
        <v>1000000</v>
      </c>
      <c r="AF1057" s="28">
        <f t="shared" si="51"/>
        <v>0</v>
      </c>
    </row>
    <row r="1058" spans="2:32" x14ac:dyDescent="0.3">
      <c r="B1058" s="14" t="str">
        <f t="shared" si="49"/>
        <v>45150104511001078Hospitality-N424761200104</v>
      </c>
      <c r="C1058" s="21" t="s">
        <v>211</v>
      </c>
      <c r="D1058" s="22">
        <v>4515010</v>
      </c>
      <c r="E1058" s="21" t="s">
        <v>3114</v>
      </c>
      <c r="F1058" s="22">
        <v>4511001078</v>
      </c>
      <c r="G1058" s="21" t="s">
        <v>1347</v>
      </c>
      <c r="H1058" s="21" t="s">
        <v>83</v>
      </c>
      <c r="I1058" s="22">
        <v>424761</v>
      </c>
      <c r="J1058" s="22">
        <v>200104</v>
      </c>
      <c r="K1058" s="22" t="s">
        <v>2959</v>
      </c>
      <c r="L1058" s="22">
        <v>70501</v>
      </c>
      <c r="M1058" s="23" t="s">
        <v>2960</v>
      </c>
      <c r="N1058" s="24">
        <v>0</v>
      </c>
      <c r="O1058" s="24">
        <v>0</v>
      </c>
      <c r="P1058" s="24">
        <v>0</v>
      </c>
      <c r="Q1058" s="24">
        <v>0</v>
      </c>
      <c r="R1058" s="24">
        <v>0</v>
      </c>
      <c r="S1058" s="24">
        <v>80000</v>
      </c>
      <c r="T1058" s="24">
        <v>0</v>
      </c>
      <c r="U1058" s="24">
        <v>0</v>
      </c>
      <c r="V1058" s="24">
        <v>0</v>
      </c>
      <c r="W1058" s="24">
        <v>0</v>
      </c>
      <c r="X1058" s="24">
        <v>0</v>
      </c>
      <c r="Y1058" s="24">
        <v>60000</v>
      </c>
      <c r="Z1058" s="24">
        <f t="shared" si="50"/>
        <v>140000</v>
      </c>
      <c r="AB1058" s="25">
        <v>140000</v>
      </c>
      <c r="AC1058" s="26">
        <v>140000</v>
      </c>
      <c r="AD1058" s="24">
        <v>0</v>
      </c>
      <c r="AE1058" s="27">
        <f>_xlfn.XLOOKUP(B1058,'Projects Cashflow'!$B:$B,'Projects Cashflow'!$AG:$AG,0)</f>
        <v>140000</v>
      </c>
      <c r="AF1058" s="28">
        <f t="shared" si="51"/>
        <v>0</v>
      </c>
    </row>
    <row r="1059" spans="2:32" x14ac:dyDescent="0.3">
      <c r="B1059" s="14" t="str">
        <f t="shared" si="49"/>
        <v>45150104511001082Activation&amp;Prog-N422401200104</v>
      </c>
      <c r="C1059" s="21" t="s">
        <v>211</v>
      </c>
      <c r="D1059" s="22">
        <v>4515010</v>
      </c>
      <c r="E1059" s="21" t="s">
        <v>3114</v>
      </c>
      <c r="F1059" s="22">
        <v>4511001082</v>
      </c>
      <c r="G1059" s="21" t="s">
        <v>1349</v>
      </c>
      <c r="H1059" s="21" t="s">
        <v>62</v>
      </c>
      <c r="I1059" s="22">
        <v>422401</v>
      </c>
      <c r="J1059" s="22">
        <v>200104</v>
      </c>
      <c r="K1059" s="22" t="s">
        <v>2959</v>
      </c>
      <c r="L1059" s="22">
        <v>70101</v>
      </c>
      <c r="M1059" s="23" t="s">
        <v>2960</v>
      </c>
      <c r="N1059" s="24">
        <v>0</v>
      </c>
      <c r="O1059" s="24">
        <v>0</v>
      </c>
      <c r="P1059" s="24">
        <v>0</v>
      </c>
      <c r="Q1059" s="24">
        <v>0</v>
      </c>
      <c r="R1059" s="24">
        <v>0</v>
      </c>
      <c r="S1059" s="24">
        <v>150000</v>
      </c>
      <c r="T1059" s="24">
        <v>0</v>
      </c>
      <c r="U1059" s="24">
        <v>0</v>
      </c>
      <c r="V1059" s="24">
        <v>0</v>
      </c>
      <c r="W1059" s="24">
        <v>0</v>
      </c>
      <c r="X1059" s="24">
        <v>0</v>
      </c>
      <c r="Y1059" s="24">
        <v>0</v>
      </c>
      <c r="Z1059" s="24">
        <f t="shared" si="50"/>
        <v>150000</v>
      </c>
      <c r="AB1059" s="25">
        <v>150000</v>
      </c>
      <c r="AC1059" s="26">
        <v>150000</v>
      </c>
      <c r="AD1059" s="24">
        <v>0</v>
      </c>
      <c r="AE1059" s="27">
        <f>_xlfn.XLOOKUP(B1059,'Projects Cashflow'!$B:$B,'Projects Cashflow'!$AG:$AG,0)</f>
        <v>150000</v>
      </c>
      <c r="AF1059" s="28">
        <f t="shared" si="51"/>
        <v>0</v>
      </c>
    </row>
    <row r="1060" spans="2:32" x14ac:dyDescent="0.3">
      <c r="B1060" s="14" t="str">
        <f t="shared" si="49"/>
        <v>45150104511001083Entertainment-N422401200104</v>
      </c>
      <c r="C1060" s="21" t="s">
        <v>211</v>
      </c>
      <c r="D1060" s="22">
        <v>4515010</v>
      </c>
      <c r="E1060" s="21" t="s">
        <v>3114</v>
      </c>
      <c r="F1060" s="22">
        <v>4511001083</v>
      </c>
      <c r="G1060" s="21" t="s">
        <v>1352</v>
      </c>
      <c r="H1060" s="21" t="s">
        <v>1353</v>
      </c>
      <c r="I1060" s="22">
        <v>422401</v>
      </c>
      <c r="J1060" s="22">
        <v>200104</v>
      </c>
      <c r="K1060" s="22" t="s">
        <v>2959</v>
      </c>
      <c r="L1060" s="22">
        <v>70501</v>
      </c>
      <c r="M1060" s="23" t="s">
        <v>2960</v>
      </c>
      <c r="N1060" s="24">
        <v>0</v>
      </c>
      <c r="O1060" s="24">
        <v>0</v>
      </c>
      <c r="P1060" s="24">
        <v>0</v>
      </c>
      <c r="Q1060" s="24">
        <v>0</v>
      </c>
      <c r="R1060" s="24">
        <v>0</v>
      </c>
      <c r="S1060" s="24">
        <v>0</v>
      </c>
      <c r="T1060" s="24">
        <v>0</v>
      </c>
      <c r="U1060" s="24">
        <v>0</v>
      </c>
      <c r="V1060" s="24">
        <v>0</v>
      </c>
      <c r="W1060" s="24">
        <v>0</v>
      </c>
      <c r="X1060" s="24">
        <v>0</v>
      </c>
      <c r="Y1060" s="24">
        <v>30000</v>
      </c>
      <c r="Z1060" s="24">
        <f t="shared" si="50"/>
        <v>30000</v>
      </c>
      <c r="AB1060" s="25">
        <v>30000</v>
      </c>
      <c r="AC1060" s="26">
        <v>30000</v>
      </c>
      <c r="AD1060" s="24">
        <v>0</v>
      </c>
      <c r="AE1060" s="27">
        <f>_xlfn.XLOOKUP(B1060,'Projects Cashflow'!$B:$B,'Projects Cashflow'!$AG:$AG,0)</f>
        <v>30000</v>
      </c>
      <c r="AF1060" s="28">
        <f t="shared" si="51"/>
        <v>0</v>
      </c>
    </row>
    <row r="1061" spans="2:32" x14ac:dyDescent="0.3">
      <c r="B1061" s="14" t="str">
        <f t="shared" si="49"/>
        <v>45155004511001136Event Management-N422401200104</v>
      </c>
      <c r="C1061" s="34" t="s">
        <v>211</v>
      </c>
      <c r="D1061" s="35">
        <v>4515500</v>
      </c>
      <c r="E1061" s="34" t="s">
        <v>512</v>
      </c>
      <c r="F1061" s="35">
        <v>4511001136</v>
      </c>
      <c r="G1061" s="34" t="s">
        <v>1377</v>
      </c>
      <c r="H1061" s="34" t="s">
        <v>162</v>
      </c>
      <c r="I1061" s="35">
        <v>422401</v>
      </c>
      <c r="J1061" s="35">
        <v>200104</v>
      </c>
      <c r="K1061" s="35" t="s">
        <v>2959</v>
      </c>
      <c r="L1061" s="22">
        <v>70501</v>
      </c>
      <c r="M1061" s="36" t="s">
        <v>2969</v>
      </c>
      <c r="N1061" s="24">
        <v>0</v>
      </c>
      <c r="O1061" s="24">
        <v>0</v>
      </c>
      <c r="P1061" s="26">
        <v>88324364</v>
      </c>
      <c r="Q1061" s="24">
        <v>0</v>
      </c>
      <c r="R1061" s="24">
        <v>809100</v>
      </c>
      <c r="S1061" s="24">
        <v>0</v>
      </c>
      <c r="T1061" s="24">
        <v>0</v>
      </c>
      <c r="U1061" s="24">
        <v>0</v>
      </c>
      <c r="V1061" s="24">
        <v>0</v>
      </c>
      <c r="W1061" s="24">
        <v>3463923.23</v>
      </c>
      <c r="X1061" s="24">
        <v>0</v>
      </c>
      <c r="Y1061" s="24">
        <v>3666731.3999999901</v>
      </c>
      <c r="Z1061" s="24">
        <f t="shared" si="50"/>
        <v>96264118.629999995</v>
      </c>
      <c r="AB1061" s="37">
        <v>96264118.629999995</v>
      </c>
      <c r="AC1061" s="38">
        <v>96264119</v>
      </c>
      <c r="AD1061" s="32">
        <v>-0.37000000476837158</v>
      </c>
      <c r="AE1061" s="27">
        <f>_xlfn.XLOOKUP(B1061,'Projects Cashflow'!$B:$B,'Projects Cashflow'!$AG:$AG,0)</f>
        <v>96264119</v>
      </c>
      <c r="AF1061" s="28">
        <f t="shared" si="51"/>
        <v>0.37000000476837158</v>
      </c>
    </row>
    <row r="1062" spans="2:32" x14ac:dyDescent="0.3">
      <c r="B1062" s="14" t="str">
        <f t="shared" si="49"/>
        <v>45150104511001134ManagementAdvice-N424521200104</v>
      </c>
      <c r="C1062" s="21" t="s">
        <v>211</v>
      </c>
      <c r="D1062" s="22">
        <v>4515010</v>
      </c>
      <c r="E1062" s="21" t="s">
        <v>3114</v>
      </c>
      <c r="F1062" s="22">
        <v>4511001134</v>
      </c>
      <c r="G1062" s="21" t="s">
        <v>3115</v>
      </c>
      <c r="H1062" s="21" t="s">
        <v>230</v>
      </c>
      <c r="I1062" s="22">
        <v>424521</v>
      </c>
      <c r="J1062" s="22">
        <v>200104</v>
      </c>
      <c r="K1062" s="22" t="s">
        <v>2959</v>
      </c>
      <c r="L1062" s="22">
        <v>70501</v>
      </c>
      <c r="M1062" s="23" t="s">
        <v>2969</v>
      </c>
      <c r="N1062" s="24">
        <v>0</v>
      </c>
      <c r="O1062" s="24">
        <v>0</v>
      </c>
      <c r="P1062" s="24">
        <v>0</v>
      </c>
      <c r="Q1062" s="24">
        <v>0</v>
      </c>
      <c r="R1062" s="24">
        <v>0</v>
      </c>
      <c r="S1062" s="24">
        <v>350000</v>
      </c>
      <c r="T1062" s="24">
        <v>350000</v>
      </c>
      <c r="U1062" s="24">
        <v>550000</v>
      </c>
      <c r="V1062" s="24">
        <v>0</v>
      </c>
      <c r="W1062" s="24">
        <v>0</v>
      </c>
      <c r="X1062" s="24">
        <v>0</v>
      </c>
      <c r="Y1062" s="24">
        <v>550000</v>
      </c>
      <c r="Z1062" s="24">
        <f t="shared" si="50"/>
        <v>1800000</v>
      </c>
      <c r="AB1062" s="25">
        <v>1800000</v>
      </c>
      <c r="AC1062" s="26">
        <v>1800000</v>
      </c>
      <c r="AD1062" s="24">
        <v>0</v>
      </c>
      <c r="AE1062" s="27">
        <f>_xlfn.XLOOKUP(B1062,'Projects Cashflow'!$B:$B,'Projects Cashflow'!$AG:$AG,0)</f>
        <v>1800000</v>
      </c>
      <c r="AF1062" s="28">
        <f t="shared" si="51"/>
        <v>0</v>
      </c>
    </row>
    <row r="1063" spans="2:32" x14ac:dyDescent="0.3">
      <c r="B1063" s="14" t="str">
        <f t="shared" si="49"/>
        <v>45150104511001134Mission &amp; Travel-N1423821200104</v>
      </c>
      <c r="C1063" s="21" t="s">
        <v>211</v>
      </c>
      <c r="D1063" s="22">
        <v>4515010</v>
      </c>
      <c r="E1063" s="21" t="s">
        <v>3114</v>
      </c>
      <c r="F1063" s="22">
        <v>4511001134</v>
      </c>
      <c r="G1063" s="21" t="s">
        <v>3115</v>
      </c>
      <c r="H1063" s="21" t="s">
        <v>472</v>
      </c>
      <c r="I1063" s="22">
        <v>423821</v>
      </c>
      <c r="J1063" s="22">
        <v>200104</v>
      </c>
      <c r="K1063" s="22" t="s">
        <v>2959</v>
      </c>
      <c r="L1063" s="22">
        <v>70501</v>
      </c>
      <c r="M1063" s="23" t="s">
        <v>2969</v>
      </c>
      <c r="N1063" s="24">
        <v>0</v>
      </c>
      <c r="O1063" s="24">
        <v>0</v>
      </c>
      <c r="P1063" s="24">
        <v>0</v>
      </c>
      <c r="Q1063" s="24">
        <v>0</v>
      </c>
      <c r="R1063" s="24">
        <v>0</v>
      </c>
      <c r="S1063" s="24">
        <v>0</v>
      </c>
      <c r="T1063" s="24">
        <v>0</v>
      </c>
      <c r="U1063" s="24">
        <v>0</v>
      </c>
      <c r="V1063" s="24">
        <v>0</v>
      </c>
      <c r="W1063" s="24">
        <v>0</v>
      </c>
      <c r="X1063" s="24">
        <v>93610</v>
      </c>
      <c r="Y1063" s="24">
        <v>76390</v>
      </c>
      <c r="Z1063" s="24">
        <f t="shared" si="50"/>
        <v>170000</v>
      </c>
      <c r="AB1063" s="25">
        <v>170000</v>
      </c>
      <c r="AC1063" s="26">
        <v>170000</v>
      </c>
      <c r="AD1063" s="24">
        <v>0</v>
      </c>
      <c r="AE1063" s="27">
        <f>_xlfn.XLOOKUP(B1063,'Projects Cashflow'!$B:$B,'Projects Cashflow'!$AG:$AG,0)</f>
        <v>170000</v>
      </c>
      <c r="AF1063" s="28">
        <f t="shared" si="51"/>
        <v>0</v>
      </c>
    </row>
    <row r="1064" spans="2:32" x14ac:dyDescent="0.3">
      <c r="B1064" s="14" t="str">
        <f t="shared" si="49"/>
        <v>45150104511001134Hospitality-N1424761200104</v>
      </c>
      <c r="C1064" s="21" t="s">
        <v>211</v>
      </c>
      <c r="D1064" s="22">
        <v>4515010</v>
      </c>
      <c r="E1064" s="21" t="s">
        <v>3114</v>
      </c>
      <c r="F1064" s="22">
        <v>4511001134</v>
      </c>
      <c r="G1064" s="21" t="s">
        <v>3115</v>
      </c>
      <c r="H1064" s="21" t="s">
        <v>399</v>
      </c>
      <c r="I1064" s="22">
        <v>424761</v>
      </c>
      <c r="J1064" s="22">
        <v>200104</v>
      </c>
      <c r="K1064" s="22" t="s">
        <v>2959</v>
      </c>
      <c r="L1064" s="22">
        <v>70501</v>
      </c>
      <c r="M1064" s="23" t="s">
        <v>2969</v>
      </c>
      <c r="N1064" s="24">
        <v>0</v>
      </c>
      <c r="O1064" s="24">
        <v>0</v>
      </c>
      <c r="P1064" s="24">
        <v>0</v>
      </c>
      <c r="Q1064" s="24">
        <v>0</v>
      </c>
      <c r="R1064" s="24">
        <v>0</v>
      </c>
      <c r="S1064" s="24">
        <v>0</v>
      </c>
      <c r="T1064" s="24">
        <v>0</v>
      </c>
      <c r="U1064" s="24">
        <v>0</v>
      </c>
      <c r="V1064" s="24">
        <v>0</v>
      </c>
      <c r="W1064" s="24">
        <v>40000</v>
      </c>
      <c r="X1064" s="24">
        <v>0</v>
      </c>
      <c r="Y1064" s="24">
        <v>40000</v>
      </c>
      <c r="Z1064" s="24">
        <f t="shared" si="50"/>
        <v>80000</v>
      </c>
      <c r="AB1064" s="25">
        <v>80000</v>
      </c>
      <c r="AC1064" s="26">
        <v>80000</v>
      </c>
      <c r="AD1064" s="24">
        <v>0</v>
      </c>
      <c r="AE1064" s="27">
        <f>_xlfn.XLOOKUP(B1064,'Projects Cashflow'!$B:$B,'Projects Cashflow'!$AG:$AG,0)</f>
        <v>80000</v>
      </c>
      <c r="AF1064" s="28">
        <f t="shared" si="51"/>
        <v>0</v>
      </c>
    </row>
    <row r="1065" spans="2:32" x14ac:dyDescent="0.3">
      <c r="B1065" s="14" t="str">
        <f t="shared" si="49"/>
        <v>45150104511001134Admin Expenses-N3421125200104</v>
      </c>
      <c r="C1065" s="21" t="s">
        <v>211</v>
      </c>
      <c r="D1065" s="22">
        <v>4515010</v>
      </c>
      <c r="E1065" s="21" t="s">
        <v>3114</v>
      </c>
      <c r="F1065" s="22">
        <v>4511001134</v>
      </c>
      <c r="G1065" s="21" t="s">
        <v>3115</v>
      </c>
      <c r="H1065" s="21" t="s">
        <v>1373</v>
      </c>
      <c r="I1065" s="22">
        <v>421125</v>
      </c>
      <c r="J1065" s="22">
        <v>200104</v>
      </c>
      <c r="K1065" s="22" t="s">
        <v>2959</v>
      </c>
      <c r="L1065" s="22">
        <v>70501</v>
      </c>
      <c r="M1065" s="23" t="s">
        <v>2969</v>
      </c>
      <c r="N1065" s="24">
        <v>0</v>
      </c>
      <c r="O1065" s="24">
        <v>0</v>
      </c>
      <c r="P1065" s="24">
        <v>0</v>
      </c>
      <c r="Q1065" s="24">
        <v>0</v>
      </c>
      <c r="R1065" s="24">
        <v>0</v>
      </c>
      <c r="S1065" s="24">
        <v>0</v>
      </c>
      <c r="T1065" s="24">
        <v>0</v>
      </c>
      <c r="U1065" s="24">
        <v>0</v>
      </c>
      <c r="V1065" s="24">
        <v>0</v>
      </c>
      <c r="W1065" s="24">
        <v>0</v>
      </c>
      <c r="X1065" s="24">
        <v>5000</v>
      </c>
      <c r="Y1065" s="24">
        <v>15000</v>
      </c>
      <c r="Z1065" s="24">
        <f t="shared" si="50"/>
        <v>20000</v>
      </c>
      <c r="AB1065" s="25">
        <v>20000</v>
      </c>
      <c r="AC1065" s="26">
        <v>20000</v>
      </c>
      <c r="AD1065" s="24">
        <v>0</v>
      </c>
      <c r="AE1065" s="27">
        <f>_xlfn.XLOOKUP(B1065,'Projects Cashflow'!$B:$B,'Projects Cashflow'!$AG:$AG,0)</f>
        <v>20000</v>
      </c>
      <c r="AF1065" s="28">
        <f t="shared" si="51"/>
        <v>0</v>
      </c>
    </row>
    <row r="1066" spans="2:32" x14ac:dyDescent="0.3">
      <c r="B1066" s="14" t="str">
        <f t="shared" si="49"/>
        <v>45150104511001194Licenses Fees-N424131200104</v>
      </c>
      <c r="C1066" s="21" t="s">
        <v>211</v>
      </c>
      <c r="D1066" s="22">
        <v>4515010</v>
      </c>
      <c r="E1066" s="21" t="s">
        <v>3114</v>
      </c>
      <c r="F1066" s="22">
        <v>4511001194</v>
      </c>
      <c r="G1066" s="21" t="s">
        <v>1456</v>
      </c>
      <c r="H1066" s="21" t="s">
        <v>365</v>
      </c>
      <c r="I1066" s="22">
        <v>424131</v>
      </c>
      <c r="J1066" s="22">
        <v>200104</v>
      </c>
      <c r="K1066" s="22" t="s">
        <v>2959</v>
      </c>
      <c r="L1066" s="22">
        <v>70501</v>
      </c>
      <c r="M1066" s="23" t="s">
        <v>2960</v>
      </c>
      <c r="N1066" s="24">
        <v>0</v>
      </c>
      <c r="O1066" s="24">
        <v>0</v>
      </c>
      <c r="P1066" s="24">
        <v>0</v>
      </c>
      <c r="Q1066" s="24">
        <v>0</v>
      </c>
      <c r="R1066" s="24">
        <v>158000</v>
      </c>
      <c r="S1066" s="24">
        <v>0</v>
      </c>
      <c r="T1066" s="24">
        <v>0</v>
      </c>
      <c r="U1066" s="24">
        <v>0</v>
      </c>
      <c r="V1066" s="24">
        <v>0</v>
      </c>
      <c r="W1066" s="24">
        <v>0</v>
      </c>
      <c r="X1066" s="24">
        <v>0</v>
      </c>
      <c r="Y1066" s="24">
        <v>0</v>
      </c>
      <c r="Z1066" s="24">
        <f t="shared" si="50"/>
        <v>158000</v>
      </c>
      <c r="AB1066" s="25">
        <v>164000</v>
      </c>
      <c r="AC1066" s="26">
        <v>164000</v>
      </c>
      <c r="AD1066" s="24">
        <v>0</v>
      </c>
      <c r="AE1066" s="27">
        <f>_xlfn.XLOOKUP(B1066,'Projects Cashflow'!$B:$B,'Projects Cashflow'!$AG:$AG,0)</f>
        <v>164000</v>
      </c>
      <c r="AF1066" s="28">
        <f t="shared" si="51"/>
        <v>0</v>
      </c>
    </row>
    <row r="1067" spans="2:32" x14ac:dyDescent="0.3">
      <c r="B1067" s="14" t="str">
        <f t="shared" si="49"/>
        <v>45150104511001195Strategy Advice-N421123200104</v>
      </c>
      <c r="C1067" s="21" t="s">
        <v>211</v>
      </c>
      <c r="D1067" s="22">
        <v>4515010</v>
      </c>
      <c r="E1067" s="21" t="s">
        <v>3114</v>
      </c>
      <c r="F1067" s="22">
        <v>4511001195</v>
      </c>
      <c r="G1067" s="21" t="s">
        <v>1459</v>
      </c>
      <c r="H1067" s="21" t="s">
        <v>236</v>
      </c>
      <c r="I1067" s="22">
        <v>421123</v>
      </c>
      <c r="J1067" s="22">
        <v>200104</v>
      </c>
      <c r="K1067" s="22" t="s">
        <v>2959</v>
      </c>
      <c r="L1067" s="22">
        <v>70501</v>
      </c>
      <c r="M1067" s="23" t="s">
        <v>2960</v>
      </c>
      <c r="N1067" s="24">
        <v>0</v>
      </c>
      <c r="O1067" s="24">
        <v>0</v>
      </c>
      <c r="P1067" s="24">
        <v>0</v>
      </c>
      <c r="Q1067" s="24">
        <v>72763.199999999997</v>
      </c>
      <c r="R1067" s="24">
        <v>36381.599999999999</v>
      </c>
      <c r="S1067" s="24">
        <v>36381.599999999999</v>
      </c>
      <c r="T1067" s="24">
        <v>56611.6</v>
      </c>
      <c r="U1067" s="24">
        <v>36381.599999999999</v>
      </c>
      <c r="V1067" s="24">
        <v>36381.599999999999</v>
      </c>
      <c r="W1067" s="24">
        <v>36381.599999999999</v>
      </c>
      <c r="X1067" s="24">
        <v>36381.599999999999</v>
      </c>
      <c r="Y1067" s="24">
        <v>137423.6</v>
      </c>
      <c r="Z1067" s="24">
        <f t="shared" si="50"/>
        <v>485088</v>
      </c>
      <c r="AB1067" s="25">
        <v>485088</v>
      </c>
      <c r="AC1067" s="26">
        <v>485088</v>
      </c>
      <c r="AD1067" s="24">
        <v>0</v>
      </c>
      <c r="AE1067" s="27">
        <f>_xlfn.XLOOKUP(B1067,'Projects Cashflow'!$B:$B,'Projects Cashflow'!$AG:$AG,0)</f>
        <v>485088</v>
      </c>
      <c r="AF1067" s="28">
        <f t="shared" si="51"/>
        <v>0</v>
      </c>
    </row>
    <row r="1068" spans="2:32" x14ac:dyDescent="0.3">
      <c r="B1068" s="14" t="str">
        <f t="shared" si="49"/>
        <v>45150104511001256Licenses Fees-N424131200104</v>
      </c>
      <c r="C1068" s="21" t="s">
        <v>211</v>
      </c>
      <c r="D1068" s="22">
        <v>4515010</v>
      </c>
      <c r="E1068" s="21" t="s">
        <v>3114</v>
      </c>
      <c r="F1068" s="22">
        <v>4511001256</v>
      </c>
      <c r="G1068" s="21" t="s">
        <v>3116</v>
      </c>
      <c r="H1068" s="21" t="s">
        <v>365</v>
      </c>
      <c r="I1068" s="22">
        <v>424131</v>
      </c>
      <c r="J1068" s="22">
        <v>200104</v>
      </c>
      <c r="K1068" s="22" t="s">
        <v>2959</v>
      </c>
      <c r="L1068" s="22">
        <v>70501</v>
      </c>
      <c r="M1068" s="23" t="s">
        <v>2960</v>
      </c>
      <c r="N1068" s="24">
        <v>0</v>
      </c>
      <c r="O1068" s="24">
        <v>0</v>
      </c>
      <c r="P1068" s="24">
        <v>0</v>
      </c>
      <c r="Q1068" s="24">
        <v>0</v>
      </c>
      <c r="R1068" s="24">
        <v>0</v>
      </c>
      <c r="S1068" s="24">
        <v>0</v>
      </c>
      <c r="T1068" s="24">
        <v>0</v>
      </c>
      <c r="U1068" s="24">
        <v>0</v>
      </c>
      <c r="V1068" s="24">
        <v>155000</v>
      </c>
      <c r="W1068" s="24">
        <v>0</v>
      </c>
      <c r="X1068" s="24">
        <v>0</v>
      </c>
      <c r="Y1068" s="24">
        <v>0</v>
      </c>
      <c r="Z1068" s="24">
        <f t="shared" si="50"/>
        <v>155000</v>
      </c>
      <c r="AB1068" s="25">
        <v>0</v>
      </c>
      <c r="AC1068" s="26">
        <v>0</v>
      </c>
      <c r="AD1068" s="24">
        <v>0</v>
      </c>
      <c r="AE1068" s="27">
        <f>_xlfn.XLOOKUP(B1068,'Projects Cashflow'!$B:$B,'Projects Cashflow'!$AG:$AG,0)</f>
        <v>0</v>
      </c>
      <c r="AF1068" s="28">
        <f t="shared" si="51"/>
        <v>0</v>
      </c>
    </row>
    <row r="1069" spans="2:32" x14ac:dyDescent="0.3">
      <c r="B1069" s="14" t="str">
        <f t="shared" si="49"/>
        <v>45150104511001265Licenses Fees-N424131200104</v>
      </c>
      <c r="C1069" s="21" t="s">
        <v>211</v>
      </c>
      <c r="D1069" s="22">
        <v>4515010</v>
      </c>
      <c r="E1069" s="21" t="s">
        <v>3114</v>
      </c>
      <c r="F1069" s="22">
        <v>4511001265</v>
      </c>
      <c r="G1069" s="21" t="s">
        <v>1516</v>
      </c>
      <c r="H1069" s="21" t="s">
        <v>365</v>
      </c>
      <c r="I1069" s="22">
        <v>424131</v>
      </c>
      <c r="J1069" s="22">
        <v>200104</v>
      </c>
      <c r="K1069" s="22" t="s">
        <v>2959</v>
      </c>
      <c r="L1069" s="22">
        <v>70501</v>
      </c>
      <c r="M1069" s="23" t="s">
        <v>2960</v>
      </c>
      <c r="N1069" s="24">
        <v>0</v>
      </c>
      <c r="O1069" s="24">
        <v>0</v>
      </c>
      <c r="P1069" s="24">
        <v>0</v>
      </c>
      <c r="Q1069" s="24">
        <v>0</v>
      </c>
      <c r="R1069" s="24">
        <v>0</v>
      </c>
      <c r="S1069" s="24">
        <v>0</v>
      </c>
      <c r="T1069" s="24">
        <v>0</v>
      </c>
      <c r="U1069" s="24">
        <v>0</v>
      </c>
      <c r="V1069" s="24">
        <v>0</v>
      </c>
      <c r="W1069" s="24">
        <v>0</v>
      </c>
      <c r="X1069" s="24">
        <v>0</v>
      </c>
      <c r="Y1069" s="24">
        <v>35600</v>
      </c>
      <c r="Z1069" s="24">
        <f t="shared" si="50"/>
        <v>35600</v>
      </c>
      <c r="AB1069" s="25">
        <v>35600</v>
      </c>
      <c r="AC1069" s="26">
        <v>35600</v>
      </c>
      <c r="AD1069" s="24">
        <v>0</v>
      </c>
      <c r="AE1069" s="27">
        <f>_xlfn.XLOOKUP(B1069,'Projects Cashflow'!$B:$B,'Projects Cashflow'!$AG:$AG,0)</f>
        <v>35600</v>
      </c>
      <c r="AF1069" s="28">
        <f t="shared" si="51"/>
        <v>0</v>
      </c>
    </row>
    <row r="1070" spans="2:32" x14ac:dyDescent="0.3">
      <c r="B1070" s="14" t="str">
        <f t="shared" si="49"/>
        <v>45150104511001399Activation&amp;Prog-N422401200104</v>
      </c>
      <c r="C1070" s="21" t="s">
        <v>211</v>
      </c>
      <c r="D1070" s="22">
        <v>4515010</v>
      </c>
      <c r="E1070" s="21" t="s">
        <v>3114</v>
      </c>
      <c r="F1070" s="22">
        <v>4511001399</v>
      </c>
      <c r="G1070" s="21" t="s">
        <v>1658</v>
      </c>
      <c r="H1070" s="21" t="s">
        <v>62</v>
      </c>
      <c r="I1070" s="22">
        <v>422401</v>
      </c>
      <c r="J1070" s="22">
        <v>200104</v>
      </c>
      <c r="K1070" s="22" t="s">
        <v>2959</v>
      </c>
      <c r="L1070" s="22">
        <v>70501</v>
      </c>
      <c r="M1070" s="23" t="s">
        <v>2969</v>
      </c>
      <c r="N1070" s="24">
        <v>0</v>
      </c>
      <c r="O1070" s="24">
        <v>0</v>
      </c>
      <c r="P1070" s="24">
        <v>0</v>
      </c>
      <c r="Q1070" s="24">
        <v>0</v>
      </c>
      <c r="R1070" s="24">
        <v>0</v>
      </c>
      <c r="S1070" s="24">
        <v>0</v>
      </c>
      <c r="T1070" s="24">
        <v>80000</v>
      </c>
      <c r="U1070" s="24">
        <v>0</v>
      </c>
      <c r="V1070" s="24">
        <v>0</v>
      </c>
      <c r="W1070" s="24">
        <v>364030</v>
      </c>
      <c r="X1070" s="24">
        <v>0</v>
      </c>
      <c r="Y1070" s="24">
        <v>364030</v>
      </c>
      <c r="Z1070" s="24">
        <f t="shared" si="50"/>
        <v>808060</v>
      </c>
      <c r="AB1070" s="25">
        <v>1100000</v>
      </c>
      <c r="AC1070" s="26">
        <v>1100000</v>
      </c>
      <c r="AD1070" s="24">
        <v>0</v>
      </c>
      <c r="AE1070" s="27">
        <f>_xlfn.XLOOKUP(B1070,'Projects Cashflow'!$B:$B,'Projects Cashflow'!$AG:$AG,0)</f>
        <v>1100000</v>
      </c>
      <c r="AF1070" s="28">
        <f t="shared" si="51"/>
        <v>0</v>
      </c>
    </row>
    <row r="1071" spans="2:32" x14ac:dyDescent="0.3">
      <c r="B1071" s="14" t="str">
        <f t="shared" si="49"/>
        <v>45150204511001404ManagementAdvice-N424521200104</v>
      </c>
      <c r="C1071" s="21" t="s">
        <v>211</v>
      </c>
      <c r="D1071" s="22">
        <v>4515020</v>
      </c>
      <c r="E1071" s="21" t="s">
        <v>1667</v>
      </c>
      <c r="F1071" s="22">
        <v>4511001404</v>
      </c>
      <c r="G1071" s="21" t="s">
        <v>1665</v>
      </c>
      <c r="H1071" s="21" t="s">
        <v>230</v>
      </c>
      <c r="I1071" s="22">
        <v>424521</v>
      </c>
      <c r="J1071" s="22">
        <v>200104</v>
      </c>
      <c r="K1071" s="22" t="s">
        <v>2959</v>
      </c>
      <c r="L1071" s="22">
        <v>70502</v>
      </c>
      <c r="M1071" s="23" t="s">
        <v>2960</v>
      </c>
      <c r="N1071" s="24">
        <v>0</v>
      </c>
      <c r="O1071" s="24">
        <v>0</v>
      </c>
      <c r="P1071" s="24">
        <v>0</v>
      </c>
      <c r="Q1071" s="24">
        <v>0</v>
      </c>
      <c r="R1071" s="24">
        <v>581574</v>
      </c>
      <c r="S1071" s="24">
        <v>0</v>
      </c>
      <c r="T1071" s="24">
        <v>0</v>
      </c>
      <c r="U1071" s="24">
        <v>0</v>
      </c>
      <c r="V1071" s="24">
        <v>0</v>
      </c>
      <c r="W1071" s="24">
        <v>48950.333333333336</v>
      </c>
      <c r="X1071" s="24">
        <v>48950.333333333336</v>
      </c>
      <c r="Y1071" s="24">
        <v>48950.333333333336</v>
      </c>
      <c r="Z1071" s="24">
        <f t="shared" si="50"/>
        <v>728425.00000000012</v>
      </c>
      <c r="AB1071" s="25">
        <v>493425.00000000012</v>
      </c>
      <c r="AC1071" s="26">
        <v>493425</v>
      </c>
      <c r="AD1071" s="24">
        <v>0</v>
      </c>
      <c r="AE1071" s="27">
        <f>_xlfn.XLOOKUP(B1071,'Projects Cashflow'!$B:$B,'Projects Cashflow'!$AG:$AG,0)</f>
        <v>493425</v>
      </c>
      <c r="AF1071" s="28">
        <f t="shared" si="51"/>
        <v>0</v>
      </c>
    </row>
    <row r="1072" spans="2:32" x14ac:dyDescent="0.3">
      <c r="B1072" s="14" t="str">
        <f t="shared" si="49"/>
        <v>45150204511001404Venue&amp;Room Rent-N422401200104</v>
      </c>
      <c r="C1072" s="21" t="s">
        <v>211</v>
      </c>
      <c r="D1072" s="22">
        <v>4515020</v>
      </c>
      <c r="E1072" s="21" t="s">
        <v>1667</v>
      </c>
      <c r="F1072" s="22">
        <v>4511001404</v>
      </c>
      <c r="G1072" s="21" t="s">
        <v>1665</v>
      </c>
      <c r="H1072" s="21" t="s">
        <v>218</v>
      </c>
      <c r="I1072" s="22">
        <v>422401</v>
      </c>
      <c r="J1072" s="22">
        <v>200104</v>
      </c>
      <c r="K1072" s="22" t="s">
        <v>2959</v>
      </c>
      <c r="L1072" s="22">
        <v>70502</v>
      </c>
      <c r="M1072" s="23" t="s">
        <v>2960</v>
      </c>
      <c r="N1072" s="24">
        <v>0</v>
      </c>
      <c r="O1072" s="24">
        <v>0</v>
      </c>
      <c r="P1072" s="24">
        <v>0</v>
      </c>
      <c r="Q1072" s="24">
        <v>32575</v>
      </c>
      <c r="R1072" s="24">
        <v>0</v>
      </c>
      <c r="S1072" s="24">
        <v>0</v>
      </c>
      <c r="T1072" s="24">
        <v>0</v>
      </c>
      <c r="U1072" s="24">
        <v>0</v>
      </c>
      <c r="V1072" s="24">
        <v>0</v>
      </c>
      <c r="W1072" s="24">
        <v>0</v>
      </c>
      <c r="X1072" s="24">
        <v>0</v>
      </c>
      <c r="Y1072" s="24">
        <v>0</v>
      </c>
      <c r="Z1072" s="24">
        <f t="shared" si="50"/>
        <v>32575</v>
      </c>
      <c r="AB1072" s="25">
        <v>32575</v>
      </c>
      <c r="AC1072" s="26">
        <v>32575</v>
      </c>
      <c r="AD1072" s="24">
        <v>0</v>
      </c>
      <c r="AE1072" s="27">
        <f>_xlfn.XLOOKUP(B1072,'Projects Cashflow'!$B:$B,'Projects Cashflow'!$AG:$AG,0)</f>
        <v>32575</v>
      </c>
      <c r="AF1072" s="28">
        <f t="shared" si="51"/>
        <v>0</v>
      </c>
    </row>
    <row r="1073" spans="2:32" x14ac:dyDescent="0.3">
      <c r="B1073" s="14" t="str">
        <f t="shared" si="49"/>
        <v>45150204511001404Admin Expenses-N421125200104</v>
      </c>
      <c r="C1073" s="21" t="s">
        <v>211</v>
      </c>
      <c r="D1073" s="22">
        <v>4515020</v>
      </c>
      <c r="E1073" s="21" t="s">
        <v>1667</v>
      </c>
      <c r="F1073" s="22">
        <v>4511001404</v>
      </c>
      <c r="G1073" s="21" t="s">
        <v>1665</v>
      </c>
      <c r="H1073" s="21" t="s">
        <v>130</v>
      </c>
      <c r="I1073" s="22">
        <v>421125</v>
      </c>
      <c r="J1073" s="22">
        <v>200104</v>
      </c>
      <c r="K1073" s="22" t="s">
        <v>2959</v>
      </c>
      <c r="L1073" s="22">
        <v>70502</v>
      </c>
      <c r="M1073" s="23" t="s">
        <v>2960</v>
      </c>
      <c r="N1073" s="24">
        <v>0</v>
      </c>
      <c r="O1073" s="24">
        <v>0</v>
      </c>
      <c r="P1073" s="24">
        <v>0</v>
      </c>
      <c r="Q1073" s="24">
        <v>0</v>
      </c>
      <c r="R1073" s="24">
        <v>0</v>
      </c>
      <c r="S1073" s="24">
        <v>0</v>
      </c>
      <c r="T1073" s="24">
        <v>0</v>
      </c>
      <c r="U1073" s="24">
        <v>0</v>
      </c>
      <c r="V1073" s="24">
        <v>0</v>
      </c>
      <c r="W1073" s="24">
        <v>0</v>
      </c>
      <c r="X1073" s="24">
        <v>0</v>
      </c>
      <c r="Y1073" s="24">
        <v>3000</v>
      </c>
      <c r="Z1073" s="24">
        <f t="shared" si="50"/>
        <v>3000</v>
      </c>
      <c r="AB1073" s="25">
        <v>3000</v>
      </c>
      <c r="AC1073" s="26">
        <v>3000</v>
      </c>
      <c r="AD1073" s="24">
        <v>0</v>
      </c>
      <c r="AE1073" s="27">
        <f>_xlfn.XLOOKUP(B1073,'Projects Cashflow'!$B:$B,'Projects Cashflow'!$AG:$AG,0)</f>
        <v>3000</v>
      </c>
      <c r="AF1073" s="28">
        <f t="shared" si="51"/>
        <v>0</v>
      </c>
    </row>
    <row r="1074" spans="2:32" x14ac:dyDescent="0.3">
      <c r="B1074" s="14" t="str">
        <f t="shared" si="49"/>
        <v>45150204511001404Mission &amp; Travel-N423821200104</v>
      </c>
      <c r="C1074" s="21" t="s">
        <v>211</v>
      </c>
      <c r="D1074" s="22">
        <v>4515020</v>
      </c>
      <c r="E1074" s="21" t="s">
        <v>1667</v>
      </c>
      <c r="F1074" s="22">
        <v>4511001404</v>
      </c>
      <c r="G1074" s="21" t="s">
        <v>1665</v>
      </c>
      <c r="H1074" s="21" t="s">
        <v>54</v>
      </c>
      <c r="I1074" s="22">
        <v>423821</v>
      </c>
      <c r="J1074" s="22">
        <v>200104</v>
      </c>
      <c r="K1074" s="22" t="s">
        <v>2959</v>
      </c>
      <c r="L1074" s="22">
        <v>70502</v>
      </c>
      <c r="M1074" s="23" t="s">
        <v>2960</v>
      </c>
      <c r="N1074" s="24">
        <v>0</v>
      </c>
      <c r="O1074" s="24">
        <v>0</v>
      </c>
      <c r="P1074" s="24">
        <v>0</v>
      </c>
      <c r="Q1074" s="24">
        <v>0</v>
      </c>
      <c r="R1074" s="24">
        <v>0</v>
      </c>
      <c r="S1074" s="24">
        <v>0</v>
      </c>
      <c r="T1074" s="24">
        <v>0</v>
      </c>
      <c r="U1074" s="24">
        <v>0</v>
      </c>
      <c r="V1074" s="24">
        <v>0</v>
      </c>
      <c r="W1074" s="24">
        <v>0</v>
      </c>
      <c r="X1074" s="24">
        <v>600</v>
      </c>
      <c r="Y1074" s="24">
        <v>600</v>
      </c>
      <c r="Z1074" s="24">
        <f t="shared" si="50"/>
        <v>1200</v>
      </c>
      <c r="AB1074" s="25">
        <v>1200</v>
      </c>
      <c r="AC1074" s="26">
        <v>1200</v>
      </c>
      <c r="AD1074" s="24">
        <v>0</v>
      </c>
      <c r="AE1074" s="27">
        <f>_xlfn.XLOOKUP(B1074,'Projects Cashflow'!$B:$B,'Projects Cashflow'!$AG:$AG,0)</f>
        <v>1200</v>
      </c>
      <c r="AF1074" s="28">
        <f t="shared" si="51"/>
        <v>0</v>
      </c>
    </row>
    <row r="1075" spans="2:32" x14ac:dyDescent="0.3">
      <c r="B1075" s="14" t="str">
        <f t="shared" si="49"/>
        <v>45150204511001405Event Management-N422401200104</v>
      </c>
      <c r="C1075" s="21" t="s">
        <v>211</v>
      </c>
      <c r="D1075" s="22">
        <v>4515020</v>
      </c>
      <c r="E1075" s="21" t="s">
        <v>1667</v>
      </c>
      <c r="F1075" s="22">
        <v>4511001405</v>
      </c>
      <c r="G1075" s="21" t="s">
        <v>1673</v>
      </c>
      <c r="H1075" s="21" t="s">
        <v>162</v>
      </c>
      <c r="I1075" s="22">
        <v>422401</v>
      </c>
      <c r="J1075" s="22">
        <v>200104</v>
      </c>
      <c r="K1075" s="22" t="s">
        <v>2959</v>
      </c>
      <c r="L1075" s="22">
        <v>70502</v>
      </c>
      <c r="M1075" s="23" t="s">
        <v>2961</v>
      </c>
      <c r="N1075" s="24">
        <v>0</v>
      </c>
      <c r="O1075" s="24">
        <v>0</v>
      </c>
      <c r="P1075" s="24">
        <v>0</v>
      </c>
      <c r="Q1075" s="24">
        <v>0</v>
      </c>
      <c r="R1075" s="24">
        <v>0</v>
      </c>
      <c r="S1075" s="24">
        <v>0</v>
      </c>
      <c r="T1075" s="24">
        <v>0</v>
      </c>
      <c r="U1075" s="24">
        <v>0</v>
      </c>
      <c r="V1075" s="24">
        <v>400000</v>
      </c>
      <c r="W1075" s="24">
        <v>673000</v>
      </c>
      <c r="X1075" s="24">
        <v>0</v>
      </c>
      <c r="Y1075" s="24">
        <v>438250</v>
      </c>
      <c r="Z1075" s="24">
        <f t="shared" si="50"/>
        <v>1511250</v>
      </c>
      <c r="AB1075" s="25">
        <v>1691250</v>
      </c>
      <c r="AC1075" s="26">
        <v>1691250</v>
      </c>
      <c r="AD1075" s="24">
        <v>0</v>
      </c>
      <c r="AE1075" s="27">
        <f>_xlfn.XLOOKUP(B1075,'Projects Cashflow'!$B:$B,'Projects Cashflow'!$AG:$AG,0)</f>
        <v>1691250</v>
      </c>
      <c r="AF1075" s="28">
        <f t="shared" si="51"/>
        <v>0</v>
      </c>
    </row>
    <row r="1076" spans="2:32" x14ac:dyDescent="0.3">
      <c r="B1076" s="14" t="str">
        <f t="shared" si="49"/>
        <v>45150204511001405Freelancers-N424521200104</v>
      </c>
      <c r="C1076" s="21" t="s">
        <v>211</v>
      </c>
      <c r="D1076" s="22">
        <v>4515020</v>
      </c>
      <c r="E1076" s="21" t="s">
        <v>1667</v>
      </c>
      <c r="F1076" s="22">
        <v>4511001405</v>
      </c>
      <c r="G1076" s="21" t="s">
        <v>1673</v>
      </c>
      <c r="H1076" s="21" t="s">
        <v>50</v>
      </c>
      <c r="I1076" s="22">
        <v>424521</v>
      </c>
      <c r="J1076" s="22">
        <v>200104</v>
      </c>
      <c r="K1076" s="22" t="s">
        <v>2959</v>
      </c>
      <c r="L1076" s="22">
        <v>70502</v>
      </c>
      <c r="M1076" s="23" t="s">
        <v>2961</v>
      </c>
      <c r="N1076" s="24">
        <v>0</v>
      </c>
      <c r="O1076" s="24">
        <v>0</v>
      </c>
      <c r="P1076" s="26">
        <v>120000</v>
      </c>
      <c r="Q1076" s="24">
        <v>0</v>
      </c>
      <c r="R1076" s="24">
        <v>49000</v>
      </c>
      <c r="S1076" s="24">
        <v>77000</v>
      </c>
      <c r="T1076" s="24">
        <v>77000</v>
      </c>
      <c r="U1076" s="24">
        <v>77000</v>
      </c>
      <c r="V1076" s="24">
        <v>77000</v>
      </c>
      <c r="W1076" s="24">
        <v>32000</v>
      </c>
      <c r="X1076" s="24">
        <v>32000</v>
      </c>
      <c r="Y1076" s="24">
        <v>32000</v>
      </c>
      <c r="Z1076" s="24">
        <f t="shared" si="50"/>
        <v>573000</v>
      </c>
      <c r="AB1076" s="25">
        <v>639000</v>
      </c>
      <c r="AC1076" s="26">
        <v>639000</v>
      </c>
      <c r="AD1076" s="24">
        <v>0</v>
      </c>
      <c r="AE1076" s="27">
        <f>_xlfn.XLOOKUP(B1076,'Projects Cashflow'!$B:$B,'Projects Cashflow'!$AG:$AG,0)</f>
        <v>639000</v>
      </c>
      <c r="AF1076" s="28">
        <f t="shared" si="51"/>
        <v>0</v>
      </c>
    </row>
    <row r="1077" spans="2:32" x14ac:dyDescent="0.3">
      <c r="B1077" s="14" t="str">
        <f t="shared" si="49"/>
        <v>45150204511001405Venue&amp;Room Rent-N422401200104</v>
      </c>
      <c r="C1077" s="21" t="s">
        <v>211</v>
      </c>
      <c r="D1077" s="22">
        <v>4515020</v>
      </c>
      <c r="E1077" s="21" t="s">
        <v>1667</v>
      </c>
      <c r="F1077" s="22">
        <v>4511001405</v>
      </c>
      <c r="G1077" s="21" t="s">
        <v>1673</v>
      </c>
      <c r="H1077" s="21" t="s">
        <v>218</v>
      </c>
      <c r="I1077" s="22">
        <v>422401</v>
      </c>
      <c r="J1077" s="22">
        <v>200104</v>
      </c>
      <c r="K1077" s="22" t="s">
        <v>2959</v>
      </c>
      <c r="L1077" s="22">
        <v>70502</v>
      </c>
      <c r="M1077" s="23" t="s">
        <v>2961</v>
      </c>
      <c r="N1077" s="24">
        <v>0</v>
      </c>
      <c r="O1077" s="24">
        <v>0</v>
      </c>
      <c r="P1077" s="24">
        <v>0</v>
      </c>
      <c r="Q1077" s="24">
        <v>0</v>
      </c>
      <c r="R1077" s="24">
        <v>0</v>
      </c>
      <c r="S1077" s="24">
        <v>0</v>
      </c>
      <c r="T1077" s="24">
        <v>0</v>
      </c>
      <c r="U1077" s="24">
        <v>80000</v>
      </c>
      <c r="V1077" s="24">
        <v>0</v>
      </c>
      <c r="W1077" s="24">
        <v>0</v>
      </c>
      <c r="X1077" s="24">
        <v>0</v>
      </c>
      <c r="Y1077" s="24">
        <v>0</v>
      </c>
      <c r="Z1077" s="24">
        <f t="shared" si="50"/>
        <v>80000</v>
      </c>
      <c r="AB1077" s="25">
        <v>80000</v>
      </c>
      <c r="AC1077" s="26">
        <v>80000</v>
      </c>
      <c r="AD1077" s="24">
        <v>0</v>
      </c>
      <c r="AE1077" s="27">
        <f>_xlfn.XLOOKUP(B1077,'Projects Cashflow'!$B:$B,'Projects Cashflow'!$AG:$AG,0)</f>
        <v>80000</v>
      </c>
      <c r="AF1077" s="28">
        <f t="shared" si="51"/>
        <v>0</v>
      </c>
    </row>
    <row r="1078" spans="2:32" x14ac:dyDescent="0.3">
      <c r="B1078" s="14" t="str">
        <f t="shared" si="49"/>
        <v>45150204511001405Mission &amp; Travel-N423821200104</v>
      </c>
      <c r="C1078" s="21" t="s">
        <v>211</v>
      </c>
      <c r="D1078" s="22">
        <v>4515020</v>
      </c>
      <c r="E1078" s="21" t="s">
        <v>1667</v>
      </c>
      <c r="F1078" s="22">
        <v>4511001405</v>
      </c>
      <c r="G1078" s="21" t="s">
        <v>1673</v>
      </c>
      <c r="H1078" s="21" t="s">
        <v>54</v>
      </c>
      <c r="I1078" s="22">
        <v>423821</v>
      </c>
      <c r="J1078" s="22">
        <v>200104</v>
      </c>
      <c r="K1078" s="22" t="s">
        <v>2959</v>
      </c>
      <c r="L1078" s="22">
        <v>70502</v>
      </c>
      <c r="M1078" s="23" t="s">
        <v>2961</v>
      </c>
      <c r="N1078" s="24">
        <v>0</v>
      </c>
      <c r="O1078" s="24">
        <v>0</v>
      </c>
      <c r="P1078" s="24">
        <v>0</v>
      </c>
      <c r="Q1078" s="24">
        <v>0</v>
      </c>
      <c r="R1078" s="24">
        <v>8000</v>
      </c>
      <c r="S1078" s="24">
        <v>8000</v>
      </c>
      <c r="T1078" s="24">
        <v>0</v>
      </c>
      <c r="U1078" s="24">
        <v>0</v>
      </c>
      <c r="V1078" s="24">
        <v>0</v>
      </c>
      <c r="W1078" s="24">
        <v>8000</v>
      </c>
      <c r="X1078" s="24">
        <v>8000</v>
      </c>
      <c r="Y1078" s="24">
        <v>0</v>
      </c>
      <c r="Z1078" s="24">
        <f t="shared" si="50"/>
        <v>32000</v>
      </c>
      <c r="AB1078" s="25">
        <v>87000</v>
      </c>
      <c r="AC1078" s="26">
        <v>87000</v>
      </c>
      <c r="AD1078" s="24">
        <v>0</v>
      </c>
      <c r="AE1078" s="27">
        <f>_xlfn.XLOOKUP(B1078,'Projects Cashflow'!$B:$B,'Projects Cashflow'!$AG:$AG,0)</f>
        <v>87000</v>
      </c>
      <c r="AF1078" s="28">
        <f t="shared" si="51"/>
        <v>0</v>
      </c>
    </row>
    <row r="1079" spans="2:32" x14ac:dyDescent="0.3">
      <c r="B1079" s="14" t="str">
        <f t="shared" si="49"/>
        <v>45150204511001405Admin Expenses-N421125200104</v>
      </c>
      <c r="C1079" s="21" t="s">
        <v>211</v>
      </c>
      <c r="D1079" s="22">
        <v>4515020</v>
      </c>
      <c r="E1079" s="21" t="s">
        <v>1667</v>
      </c>
      <c r="F1079" s="22">
        <v>4511001405</v>
      </c>
      <c r="G1079" s="21" t="s">
        <v>1673</v>
      </c>
      <c r="H1079" s="21" t="s">
        <v>130</v>
      </c>
      <c r="I1079" s="22">
        <v>421125</v>
      </c>
      <c r="J1079" s="22">
        <v>200104</v>
      </c>
      <c r="K1079" s="22" t="s">
        <v>2959</v>
      </c>
      <c r="L1079" s="22">
        <v>70502</v>
      </c>
      <c r="M1079" s="23" t="s">
        <v>2961</v>
      </c>
      <c r="N1079" s="24">
        <v>0</v>
      </c>
      <c r="O1079" s="24">
        <v>0</v>
      </c>
      <c r="P1079" s="24">
        <v>0</v>
      </c>
      <c r="Q1079" s="24">
        <v>0</v>
      </c>
      <c r="R1079" s="24">
        <v>0</v>
      </c>
      <c r="S1079" s="24">
        <v>0</v>
      </c>
      <c r="T1079" s="24">
        <v>0</v>
      </c>
      <c r="U1079" s="24">
        <v>5000</v>
      </c>
      <c r="V1079" s="24">
        <v>0</v>
      </c>
      <c r="W1079" s="24">
        <v>0</v>
      </c>
      <c r="X1079" s="24">
        <v>0</v>
      </c>
      <c r="Y1079" s="24">
        <v>5000</v>
      </c>
      <c r="Z1079" s="24">
        <f t="shared" si="50"/>
        <v>10000</v>
      </c>
      <c r="AB1079" s="25">
        <v>10000</v>
      </c>
      <c r="AC1079" s="26">
        <v>10000</v>
      </c>
      <c r="AD1079" s="24">
        <v>0</v>
      </c>
      <c r="AE1079" s="27">
        <f>_xlfn.XLOOKUP(B1079,'Projects Cashflow'!$B:$B,'Projects Cashflow'!$AG:$AG,0)</f>
        <v>10000</v>
      </c>
      <c r="AF1079" s="28">
        <f t="shared" si="51"/>
        <v>0</v>
      </c>
    </row>
    <row r="1080" spans="2:32" x14ac:dyDescent="0.3">
      <c r="B1080" s="14" t="str">
        <f t="shared" si="49"/>
        <v>45150204511001406Campaign Mgmnt-N422511200104</v>
      </c>
      <c r="C1080" s="21" t="s">
        <v>211</v>
      </c>
      <c r="D1080" s="22">
        <v>4515020</v>
      </c>
      <c r="E1080" s="21" t="s">
        <v>1667</v>
      </c>
      <c r="F1080" s="22">
        <v>4511001406</v>
      </c>
      <c r="G1080" s="21" t="s">
        <v>1675</v>
      </c>
      <c r="H1080" s="21" t="s">
        <v>709</v>
      </c>
      <c r="I1080" s="22">
        <v>422511</v>
      </c>
      <c r="J1080" s="22">
        <v>200104</v>
      </c>
      <c r="K1080" s="22" t="s">
        <v>2959</v>
      </c>
      <c r="L1080" s="22">
        <v>70502</v>
      </c>
      <c r="M1080" s="23" t="s">
        <v>2961</v>
      </c>
      <c r="N1080" s="24">
        <v>0</v>
      </c>
      <c r="O1080" s="24">
        <v>0</v>
      </c>
      <c r="P1080" s="24">
        <v>0</v>
      </c>
      <c r="Q1080" s="24">
        <v>0</v>
      </c>
      <c r="R1080" s="24">
        <v>0</v>
      </c>
      <c r="S1080" s="24">
        <v>0</v>
      </c>
      <c r="T1080" s="24">
        <v>0</v>
      </c>
      <c r="U1080" s="24">
        <v>45000</v>
      </c>
      <c r="V1080" s="24">
        <v>0</v>
      </c>
      <c r="W1080" s="24">
        <v>45000</v>
      </c>
      <c r="X1080" s="24">
        <v>0</v>
      </c>
      <c r="Y1080" s="24">
        <v>60000</v>
      </c>
      <c r="Z1080" s="24">
        <f t="shared" si="50"/>
        <v>150000</v>
      </c>
      <c r="AB1080" s="25">
        <v>150000</v>
      </c>
      <c r="AC1080" s="26">
        <v>150000</v>
      </c>
      <c r="AD1080" s="24">
        <v>0</v>
      </c>
      <c r="AE1080" s="27">
        <f>_xlfn.XLOOKUP(B1080,'Projects Cashflow'!$B:$B,'Projects Cashflow'!$AG:$AG,0)</f>
        <v>150000</v>
      </c>
      <c r="AF1080" s="28">
        <f t="shared" si="51"/>
        <v>0</v>
      </c>
    </row>
    <row r="1081" spans="2:32" x14ac:dyDescent="0.3">
      <c r="B1081" s="14" t="str">
        <f t="shared" si="49"/>
        <v>45151004511000572Trade Partners-L424251201931</v>
      </c>
      <c r="C1081" s="34" t="s">
        <v>211</v>
      </c>
      <c r="D1081" s="35">
        <v>4515100</v>
      </c>
      <c r="E1081" s="34" t="s">
        <v>3007</v>
      </c>
      <c r="F1081" s="35">
        <v>4511000572</v>
      </c>
      <c r="G1081" s="34" t="s">
        <v>743</v>
      </c>
      <c r="H1081" s="34" t="s">
        <v>568</v>
      </c>
      <c r="I1081" s="35">
        <v>424251</v>
      </c>
      <c r="J1081" s="35">
        <v>201931</v>
      </c>
      <c r="K1081" s="35" t="s">
        <v>2959</v>
      </c>
      <c r="L1081" s="22">
        <v>70602</v>
      </c>
      <c r="M1081" s="36" t="s">
        <v>2961</v>
      </c>
      <c r="N1081" s="24">
        <v>0</v>
      </c>
      <c r="O1081" s="24">
        <v>0</v>
      </c>
      <c r="P1081" s="24">
        <v>0</v>
      </c>
      <c r="Q1081" s="24">
        <v>2352600</v>
      </c>
      <c r="R1081" s="24">
        <v>570451</v>
      </c>
      <c r="S1081" s="24">
        <v>0</v>
      </c>
      <c r="T1081" s="24">
        <v>210406</v>
      </c>
      <c r="U1081" s="24">
        <v>0</v>
      </c>
      <c r="V1081" s="24">
        <v>0</v>
      </c>
      <c r="W1081" s="24">
        <v>18086834</v>
      </c>
      <c r="X1081" s="24">
        <v>0</v>
      </c>
      <c r="Y1081" s="24">
        <v>0</v>
      </c>
      <c r="Z1081" s="24">
        <f t="shared" si="50"/>
        <v>21220291</v>
      </c>
      <c r="AB1081" s="37">
        <v>19987231</v>
      </c>
      <c r="AC1081" s="38">
        <v>19987231</v>
      </c>
      <c r="AD1081" s="48">
        <v>0</v>
      </c>
      <c r="AE1081" s="27">
        <f>_xlfn.XLOOKUP(B1081,'Projects Cashflow'!$B:$B,'Projects Cashflow'!$AG:$AG,0)</f>
        <v>19987231</v>
      </c>
      <c r="AF1081" s="28">
        <f t="shared" si="51"/>
        <v>0</v>
      </c>
    </row>
    <row r="1082" spans="2:32" x14ac:dyDescent="0.3">
      <c r="B1082" s="14" t="str">
        <f t="shared" si="49"/>
        <v>45151004511000572Admin Expenses-N1421125200104</v>
      </c>
      <c r="C1082" s="21" t="s">
        <v>211</v>
      </c>
      <c r="D1082" s="22">
        <v>4515100</v>
      </c>
      <c r="E1082" s="21" t="s">
        <v>3007</v>
      </c>
      <c r="F1082" s="22">
        <v>4511000572</v>
      </c>
      <c r="G1082" s="21" t="s">
        <v>743</v>
      </c>
      <c r="H1082" s="21" t="s">
        <v>73</v>
      </c>
      <c r="I1082" s="22">
        <v>421125</v>
      </c>
      <c r="J1082" s="22">
        <v>200104</v>
      </c>
      <c r="K1082" s="22" t="s">
        <v>2959</v>
      </c>
      <c r="L1082" s="22">
        <v>70602</v>
      </c>
      <c r="M1082" s="23" t="s">
        <v>2961</v>
      </c>
      <c r="N1082" s="24">
        <v>0</v>
      </c>
      <c r="O1082" s="24">
        <v>0</v>
      </c>
      <c r="P1082" s="24">
        <v>0</v>
      </c>
      <c r="Q1082" s="24">
        <v>20000</v>
      </c>
      <c r="R1082" s="24">
        <v>200000</v>
      </c>
      <c r="S1082" s="24">
        <v>0</v>
      </c>
      <c r="T1082" s="24">
        <v>0</v>
      </c>
      <c r="U1082" s="24">
        <v>0</v>
      </c>
      <c r="V1082" s="24">
        <v>0</v>
      </c>
      <c r="W1082" s="24">
        <v>250000</v>
      </c>
      <c r="X1082" s="24">
        <v>0</v>
      </c>
      <c r="Y1082" s="24">
        <v>0</v>
      </c>
      <c r="Z1082" s="24">
        <f t="shared" si="50"/>
        <v>470000</v>
      </c>
      <c r="AB1082" s="25">
        <v>470000</v>
      </c>
      <c r="AC1082" s="26">
        <v>470000</v>
      </c>
      <c r="AD1082" s="24">
        <v>0</v>
      </c>
      <c r="AE1082" s="27">
        <f>_xlfn.XLOOKUP(B1082,'Projects Cashflow'!$B:$B,'Projects Cashflow'!$AG:$AG,0)</f>
        <v>470000</v>
      </c>
      <c r="AF1082" s="28">
        <f t="shared" si="51"/>
        <v>0</v>
      </c>
    </row>
    <row r="1083" spans="2:32" x14ac:dyDescent="0.3">
      <c r="B1083" s="14" t="str">
        <f t="shared" si="49"/>
        <v>45151004511000572Trade Promotion-N424251200104</v>
      </c>
      <c r="C1083" s="21" t="s">
        <v>211</v>
      </c>
      <c r="D1083" s="22">
        <v>4515100</v>
      </c>
      <c r="E1083" s="21" t="s">
        <v>3007</v>
      </c>
      <c r="F1083" s="22">
        <v>4511000572</v>
      </c>
      <c r="G1083" s="21" t="s">
        <v>743</v>
      </c>
      <c r="H1083" s="21" t="s">
        <v>748</v>
      </c>
      <c r="I1083" s="22">
        <v>424251</v>
      </c>
      <c r="J1083" s="22">
        <v>200104</v>
      </c>
      <c r="K1083" s="22" t="s">
        <v>2959</v>
      </c>
      <c r="L1083" s="22">
        <v>70602</v>
      </c>
      <c r="M1083" s="23" t="s">
        <v>2961</v>
      </c>
      <c r="N1083" s="24">
        <v>0</v>
      </c>
      <c r="O1083" s="24">
        <v>0</v>
      </c>
      <c r="P1083" s="24">
        <v>0</v>
      </c>
      <c r="Q1083" s="24">
        <v>0</v>
      </c>
      <c r="R1083" s="24">
        <v>44000</v>
      </c>
      <c r="S1083" s="24">
        <v>0</v>
      </c>
      <c r="T1083" s="24">
        <v>0</v>
      </c>
      <c r="U1083" s="24">
        <v>44000</v>
      </c>
      <c r="V1083" s="24">
        <v>0</v>
      </c>
      <c r="W1083" s="24">
        <v>40000</v>
      </c>
      <c r="X1083" s="24">
        <v>0</v>
      </c>
      <c r="Y1083" s="24">
        <v>0</v>
      </c>
      <c r="Z1083" s="24">
        <f t="shared" si="50"/>
        <v>128000</v>
      </c>
      <c r="AB1083" s="25">
        <v>128000</v>
      </c>
      <c r="AC1083" s="26">
        <v>128000</v>
      </c>
      <c r="AD1083" s="24">
        <v>0</v>
      </c>
      <c r="AE1083" s="27">
        <f>_xlfn.XLOOKUP(B1083,'Projects Cashflow'!$B:$B,'Projects Cashflow'!$AG:$AG,0)</f>
        <v>128000</v>
      </c>
      <c r="AF1083" s="28">
        <f t="shared" si="51"/>
        <v>0</v>
      </c>
    </row>
    <row r="1084" spans="2:32" x14ac:dyDescent="0.3">
      <c r="B1084" s="14" t="str">
        <f t="shared" si="49"/>
        <v>45151004511000575ManagementAdvice-N1424521200104</v>
      </c>
      <c r="C1084" s="21" t="s">
        <v>211</v>
      </c>
      <c r="D1084" s="22">
        <v>4515100</v>
      </c>
      <c r="E1084" s="21" t="s">
        <v>3007</v>
      </c>
      <c r="F1084" s="22">
        <v>4511000575</v>
      </c>
      <c r="G1084" s="21" t="s">
        <v>3117</v>
      </c>
      <c r="H1084" s="21" t="s">
        <v>725</v>
      </c>
      <c r="I1084" s="22">
        <v>424521</v>
      </c>
      <c r="J1084" s="22">
        <v>200104</v>
      </c>
      <c r="K1084" s="22" t="s">
        <v>2959</v>
      </c>
      <c r="L1084" s="22">
        <v>70602</v>
      </c>
      <c r="M1084" s="23" t="s">
        <v>2961</v>
      </c>
      <c r="N1084" s="24">
        <v>0</v>
      </c>
      <c r="O1084" s="24">
        <v>0</v>
      </c>
      <c r="P1084" s="24">
        <v>0</v>
      </c>
      <c r="Q1084" s="24">
        <v>0</v>
      </c>
      <c r="R1084" s="24">
        <v>0</v>
      </c>
      <c r="S1084" s="24">
        <v>0</v>
      </c>
      <c r="T1084" s="24">
        <v>0</v>
      </c>
      <c r="U1084" s="24">
        <v>0</v>
      </c>
      <c r="V1084" s="24">
        <v>1836500</v>
      </c>
      <c r="W1084" s="24">
        <v>804000</v>
      </c>
      <c r="X1084" s="24">
        <v>0</v>
      </c>
      <c r="Y1084" s="24">
        <v>0</v>
      </c>
      <c r="Z1084" s="24">
        <f t="shared" si="50"/>
        <v>2640500</v>
      </c>
      <c r="AB1084" s="25">
        <v>2640500</v>
      </c>
      <c r="AC1084" s="26">
        <v>2640500</v>
      </c>
      <c r="AD1084" s="24">
        <v>0</v>
      </c>
      <c r="AE1084" s="27">
        <f>_xlfn.XLOOKUP(B1084,'Projects Cashflow'!$B:$B,'Projects Cashflow'!$AG:$AG,0)</f>
        <v>2640500</v>
      </c>
      <c r="AF1084" s="28">
        <f t="shared" si="51"/>
        <v>0</v>
      </c>
    </row>
    <row r="1085" spans="2:32" x14ac:dyDescent="0.3">
      <c r="B1085" s="14" t="str">
        <f t="shared" si="49"/>
        <v>45151004511000575Mission &amp; Travel-N423821200104</v>
      </c>
      <c r="C1085" s="21" t="s">
        <v>211</v>
      </c>
      <c r="D1085" s="22">
        <v>4515100</v>
      </c>
      <c r="E1085" s="21" t="s">
        <v>3007</v>
      </c>
      <c r="F1085" s="22">
        <v>4511000575</v>
      </c>
      <c r="G1085" s="21" t="s">
        <v>3117</v>
      </c>
      <c r="H1085" s="21" t="s">
        <v>54</v>
      </c>
      <c r="I1085" s="22">
        <v>423821</v>
      </c>
      <c r="J1085" s="22">
        <v>200104</v>
      </c>
      <c r="K1085" s="22" t="s">
        <v>2959</v>
      </c>
      <c r="L1085" s="22">
        <v>70602</v>
      </c>
      <c r="M1085" s="23" t="s">
        <v>2961</v>
      </c>
      <c r="N1085" s="24">
        <v>0</v>
      </c>
      <c r="O1085" s="24">
        <v>0</v>
      </c>
      <c r="P1085" s="26">
        <v>10000</v>
      </c>
      <c r="Q1085" s="24">
        <v>0</v>
      </c>
      <c r="R1085" s="24">
        <v>205300</v>
      </c>
      <c r="S1085" s="24">
        <v>54500</v>
      </c>
      <c r="T1085" s="24">
        <v>187500</v>
      </c>
      <c r="U1085" s="24">
        <v>64500</v>
      </c>
      <c r="V1085" s="24">
        <v>527938</v>
      </c>
      <c r="W1085" s="24">
        <v>162500</v>
      </c>
      <c r="X1085" s="24">
        <v>21500</v>
      </c>
      <c r="Y1085" s="24">
        <v>0</v>
      </c>
      <c r="Z1085" s="24">
        <f t="shared" si="50"/>
        <v>1233738</v>
      </c>
      <c r="AB1085" s="25">
        <v>1233738</v>
      </c>
      <c r="AC1085" s="26">
        <v>1233738</v>
      </c>
      <c r="AD1085" s="24">
        <v>0</v>
      </c>
      <c r="AE1085" s="27">
        <f>_xlfn.XLOOKUP(B1085,'Projects Cashflow'!$B:$B,'Projects Cashflow'!$AG:$AG,0)</f>
        <v>1233738</v>
      </c>
      <c r="AF1085" s="28">
        <f t="shared" si="51"/>
        <v>0</v>
      </c>
    </row>
    <row r="1086" spans="2:32" x14ac:dyDescent="0.3">
      <c r="B1086" s="14" t="str">
        <f t="shared" si="49"/>
        <v>45151004511000575Freelancers-N424521200104</v>
      </c>
      <c r="C1086" s="34" t="s">
        <v>211</v>
      </c>
      <c r="D1086" s="35">
        <v>4515100</v>
      </c>
      <c r="E1086" s="34" t="s">
        <v>3007</v>
      </c>
      <c r="F1086" s="35">
        <v>4511000575</v>
      </c>
      <c r="G1086" s="34" t="s">
        <v>3117</v>
      </c>
      <c r="H1086" s="34" t="s">
        <v>50</v>
      </c>
      <c r="I1086" s="35">
        <v>424521</v>
      </c>
      <c r="J1086" s="35">
        <v>200104</v>
      </c>
      <c r="K1086" s="35" t="s">
        <v>2959</v>
      </c>
      <c r="L1086" s="22">
        <v>70602</v>
      </c>
      <c r="M1086" s="36" t="s">
        <v>2961</v>
      </c>
      <c r="N1086" s="24">
        <v>0</v>
      </c>
      <c r="O1086" s="24">
        <v>0</v>
      </c>
      <c r="P1086" s="26">
        <v>180850</v>
      </c>
      <c r="Q1086" s="24">
        <v>5575</v>
      </c>
      <c r="R1086" s="24">
        <v>20000</v>
      </c>
      <c r="S1086" s="24">
        <v>20000</v>
      </c>
      <c r="T1086" s="24">
        <v>20000</v>
      </c>
      <c r="U1086" s="24">
        <v>20000</v>
      </c>
      <c r="V1086" s="24">
        <v>20000</v>
      </c>
      <c r="W1086" s="24">
        <v>20000</v>
      </c>
      <c r="X1086" s="24">
        <v>20000</v>
      </c>
      <c r="Y1086" s="24">
        <v>20000</v>
      </c>
      <c r="Z1086" s="24">
        <f t="shared" si="50"/>
        <v>346425</v>
      </c>
      <c r="AB1086" s="37">
        <v>498360</v>
      </c>
      <c r="AC1086" s="38">
        <v>498360</v>
      </c>
      <c r="AD1086" s="48">
        <v>0</v>
      </c>
      <c r="AE1086" s="27">
        <f>_xlfn.XLOOKUP(B1086,'Projects Cashflow'!$B:$B,'Projects Cashflow'!$AG:$AG,0)</f>
        <v>498360</v>
      </c>
      <c r="AF1086" s="28">
        <f t="shared" si="51"/>
        <v>0</v>
      </c>
    </row>
    <row r="1087" spans="2:32" x14ac:dyDescent="0.3">
      <c r="B1087" s="14" t="str">
        <f t="shared" si="49"/>
        <v>45151004511000575Trade Promotion-N424251200104</v>
      </c>
      <c r="C1087" s="21" t="s">
        <v>211</v>
      </c>
      <c r="D1087" s="22">
        <v>4515100</v>
      </c>
      <c r="E1087" s="21" t="s">
        <v>3007</v>
      </c>
      <c r="F1087" s="22">
        <v>4511000575</v>
      </c>
      <c r="G1087" s="21" t="s">
        <v>3117</v>
      </c>
      <c r="H1087" s="21" t="s">
        <v>748</v>
      </c>
      <c r="I1087" s="22">
        <v>424251</v>
      </c>
      <c r="J1087" s="22">
        <v>200104</v>
      </c>
      <c r="K1087" s="22" t="s">
        <v>2959</v>
      </c>
      <c r="L1087" s="22">
        <v>70602</v>
      </c>
      <c r="M1087" s="23" t="s">
        <v>2961</v>
      </c>
      <c r="N1087" s="24">
        <v>0</v>
      </c>
      <c r="O1087" s="24">
        <v>0</v>
      </c>
      <c r="P1087" s="24">
        <v>0</v>
      </c>
      <c r="Q1087" s="24">
        <v>0</v>
      </c>
      <c r="R1087" s="24">
        <v>0</v>
      </c>
      <c r="S1087" s="24">
        <v>0</v>
      </c>
      <c r="T1087" s="24">
        <v>0</v>
      </c>
      <c r="U1087" s="24">
        <v>0</v>
      </c>
      <c r="V1087" s="24">
        <v>0</v>
      </c>
      <c r="W1087" s="24">
        <v>200000</v>
      </c>
      <c r="X1087" s="24">
        <v>0</v>
      </c>
      <c r="Y1087" s="24">
        <v>0</v>
      </c>
      <c r="Z1087" s="24">
        <f t="shared" si="50"/>
        <v>200000</v>
      </c>
      <c r="AB1087" s="25">
        <v>200000</v>
      </c>
      <c r="AC1087" s="26">
        <v>200000</v>
      </c>
      <c r="AD1087" s="24">
        <v>0</v>
      </c>
      <c r="AE1087" s="27">
        <f>_xlfn.XLOOKUP(B1087,'Projects Cashflow'!$B:$B,'Projects Cashflow'!$AG:$AG,0)</f>
        <v>200000</v>
      </c>
      <c r="AF1087" s="28">
        <f t="shared" si="51"/>
        <v>0</v>
      </c>
    </row>
    <row r="1088" spans="2:32" x14ac:dyDescent="0.3">
      <c r="B1088" s="14" t="str">
        <f t="shared" si="49"/>
        <v>45151004511000575Admin Expenses-N1421125200104</v>
      </c>
      <c r="C1088" s="34" t="s">
        <v>211</v>
      </c>
      <c r="D1088" s="35">
        <v>4515100</v>
      </c>
      <c r="E1088" s="34" t="s">
        <v>3007</v>
      </c>
      <c r="F1088" s="35">
        <v>4511000575</v>
      </c>
      <c r="G1088" s="34" t="s">
        <v>3117</v>
      </c>
      <c r="H1088" s="34" t="s">
        <v>73</v>
      </c>
      <c r="I1088" s="35">
        <v>421125</v>
      </c>
      <c r="J1088" s="35">
        <v>200104</v>
      </c>
      <c r="K1088" s="35" t="s">
        <v>2959</v>
      </c>
      <c r="L1088" s="22">
        <v>70602</v>
      </c>
      <c r="M1088" s="36" t="s">
        <v>2961</v>
      </c>
      <c r="N1088" s="24">
        <v>0</v>
      </c>
      <c r="O1088" s="24">
        <v>0</v>
      </c>
      <c r="P1088" s="24">
        <v>0</v>
      </c>
      <c r="Q1088" s="24">
        <v>0</v>
      </c>
      <c r="R1088" s="24">
        <v>0</v>
      </c>
      <c r="S1088" s="24">
        <v>29483</v>
      </c>
      <c r="T1088" s="24">
        <v>0</v>
      </c>
      <c r="U1088" s="24">
        <v>74651</v>
      </c>
      <c r="V1088" s="24">
        <v>0</v>
      </c>
      <c r="W1088" s="24">
        <v>74650</v>
      </c>
      <c r="X1088" s="24">
        <v>0</v>
      </c>
      <c r="Y1088" s="24">
        <v>0</v>
      </c>
      <c r="Z1088" s="24">
        <f t="shared" si="50"/>
        <v>178784</v>
      </c>
      <c r="AB1088" s="37">
        <v>143849</v>
      </c>
      <c r="AC1088" s="38">
        <v>143849</v>
      </c>
      <c r="AD1088" s="32">
        <v>0</v>
      </c>
      <c r="AE1088" s="27">
        <f>_xlfn.XLOOKUP(B1088,'Projects Cashflow'!$B:$B,'Projects Cashflow'!$AG:$AG,0)</f>
        <v>143849</v>
      </c>
      <c r="AF1088" s="28">
        <f t="shared" si="51"/>
        <v>0</v>
      </c>
    </row>
    <row r="1089" spans="2:32" x14ac:dyDescent="0.3">
      <c r="B1089" s="14" t="str">
        <f t="shared" si="49"/>
        <v>45151004511001213PRMgmnt E-E Rtnr-N421125200104</v>
      </c>
      <c r="C1089" s="21" t="s">
        <v>211</v>
      </c>
      <c r="D1089" s="22">
        <v>4515100</v>
      </c>
      <c r="E1089" s="21" t="s">
        <v>3007</v>
      </c>
      <c r="F1089" s="22">
        <v>4511001213</v>
      </c>
      <c r="G1089" s="21" t="s">
        <v>1470</v>
      </c>
      <c r="H1089" s="21" t="s">
        <v>566</v>
      </c>
      <c r="I1089" s="22">
        <v>421125</v>
      </c>
      <c r="J1089" s="22">
        <v>200104</v>
      </c>
      <c r="K1089" s="22" t="s">
        <v>2959</v>
      </c>
      <c r="L1089" s="22">
        <v>70602</v>
      </c>
      <c r="M1089" s="23" t="s">
        <v>2960</v>
      </c>
      <c r="N1089" s="24">
        <v>0</v>
      </c>
      <c r="O1089" s="24">
        <v>0</v>
      </c>
      <c r="P1089" s="24">
        <v>0</v>
      </c>
      <c r="Q1089" s="24">
        <v>1101600</v>
      </c>
      <c r="R1089" s="24">
        <v>275400</v>
      </c>
      <c r="S1089" s="24">
        <v>275400</v>
      </c>
      <c r="T1089" s="24">
        <v>275400</v>
      </c>
      <c r="U1089" s="24">
        <v>275400</v>
      </c>
      <c r="V1089" s="24">
        <v>275400</v>
      </c>
      <c r="W1089" s="24">
        <v>275400</v>
      </c>
      <c r="X1089" s="24">
        <v>275400</v>
      </c>
      <c r="Y1089" s="24">
        <v>275400</v>
      </c>
      <c r="Z1089" s="24">
        <f t="shared" si="50"/>
        <v>3304800</v>
      </c>
      <c r="AB1089" s="25">
        <v>3304800</v>
      </c>
      <c r="AC1089" s="26">
        <v>3304800</v>
      </c>
      <c r="AD1089" s="24">
        <v>0</v>
      </c>
      <c r="AE1089" s="27">
        <f>_xlfn.XLOOKUP(B1089,'Projects Cashflow'!$B:$B,'Projects Cashflow'!$AG:$AG,0)</f>
        <v>3304800</v>
      </c>
      <c r="AF1089" s="28">
        <f t="shared" si="51"/>
        <v>0</v>
      </c>
    </row>
    <row r="1090" spans="2:32" x14ac:dyDescent="0.3">
      <c r="B1090" s="14" t="str">
        <f t="shared" si="49"/>
        <v>45151004511001213Trade Promotion-N424251200104</v>
      </c>
      <c r="C1090" s="21" t="s">
        <v>211</v>
      </c>
      <c r="D1090" s="22">
        <v>4515100</v>
      </c>
      <c r="E1090" s="21" t="s">
        <v>3007</v>
      </c>
      <c r="F1090" s="22">
        <v>4511001213</v>
      </c>
      <c r="G1090" s="21" t="s">
        <v>1470</v>
      </c>
      <c r="H1090" s="21" t="s">
        <v>748</v>
      </c>
      <c r="I1090" s="22">
        <v>424251</v>
      </c>
      <c r="J1090" s="22">
        <v>200104</v>
      </c>
      <c r="K1090" s="22" t="s">
        <v>2959</v>
      </c>
      <c r="L1090" s="22">
        <v>70602</v>
      </c>
      <c r="M1090" s="23" t="s">
        <v>2960</v>
      </c>
      <c r="N1090" s="24">
        <v>0</v>
      </c>
      <c r="O1090" s="24">
        <v>0</v>
      </c>
      <c r="P1090" s="24">
        <v>0</v>
      </c>
      <c r="Q1090" s="24">
        <v>0</v>
      </c>
      <c r="R1090" s="24">
        <v>0</v>
      </c>
      <c r="S1090" s="24">
        <v>150000</v>
      </c>
      <c r="T1090" s="24">
        <v>250000</v>
      </c>
      <c r="U1090" s="24">
        <v>245000</v>
      </c>
      <c r="V1090" s="24">
        <v>0</v>
      </c>
      <c r="W1090" s="24">
        <v>1860000</v>
      </c>
      <c r="X1090" s="24">
        <v>0</v>
      </c>
      <c r="Y1090" s="24">
        <v>490000</v>
      </c>
      <c r="Z1090" s="24">
        <f t="shared" si="50"/>
        <v>2995000</v>
      </c>
      <c r="AB1090" s="25">
        <v>2995000</v>
      </c>
      <c r="AC1090" s="26">
        <v>2995000</v>
      </c>
      <c r="AD1090" s="24">
        <v>0</v>
      </c>
      <c r="AE1090" s="27">
        <f>_xlfn.XLOOKUP(B1090,'Projects Cashflow'!$B:$B,'Projects Cashflow'!$AG:$AG,0)</f>
        <v>2995000</v>
      </c>
      <c r="AF1090" s="28">
        <f t="shared" si="51"/>
        <v>0</v>
      </c>
    </row>
    <row r="1091" spans="2:32" x14ac:dyDescent="0.3">
      <c r="B1091" s="14" t="str">
        <f t="shared" si="49"/>
        <v>45151004511001213Admin Expenses-N1421125200104</v>
      </c>
      <c r="C1091" s="34" t="s">
        <v>211</v>
      </c>
      <c r="D1091" s="35">
        <v>4515100</v>
      </c>
      <c r="E1091" s="34" t="s">
        <v>3007</v>
      </c>
      <c r="F1091" s="35">
        <v>4511001213</v>
      </c>
      <c r="G1091" s="34" t="s">
        <v>1470</v>
      </c>
      <c r="H1091" s="34" t="s">
        <v>73</v>
      </c>
      <c r="I1091" s="35">
        <v>421125</v>
      </c>
      <c r="J1091" s="35">
        <v>200104</v>
      </c>
      <c r="K1091" s="35" t="s">
        <v>2959</v>
      </c>
      <c r="L1091" s="22">
        <v>70602</v>
      </c>
      <c r="M1091" s="36" t="s">
        <v>2960</v>
      </c>
      <c r="N1091" s="24">
        <v>0</v>
      </c>
      <c r="O1091" s="24">
        <v>0</v>
      </c>
      <c r="P1091" s="24">
        <v>0</v>
      </c>
      <c r="Q1091" s="24">
        <v>0</v>
      </c>
      <c r="R1091" s="24">
        <v>0</v>
      </c>
      <c r="S1091" s="24">
        <v>525000</v>
      </c>
      <c r="T1091" s="24">
        <v>810000</v>
      </c>
      <c r="U1091" s="24">
        <v>0</v>
      </c>
      <c r="V1091" s="24">
        <v>108000</v>
      </c>
      <c r="W1091" s="24">
        <v>108000</v>
      </c>
      <c r="X1091" s="24">
        <v>0</v>
      </c>
      <c r="Y1091" s="24">
        <v>0</v>
      </c>
      <c r="Z1091" s="24">
        <f t="shared" si="50"/>
        <v>1551000</v>
      </c>
      <c r="AB1091" s="37">
        <v>1001250</v>
      </c>
      <c r="AC1091" s="38">
        <v>1001250</v>
      </c>
      <c r="AD1091" s="48">
        <v>0</v>
      </c>
      <c r="AE1091" s="27">
        <f>_xlfn.XLOOKUP(B1091,'Projects Cashflow'!$B:$B,'Projects Cashflow'!$AG:$AG,0)</f>
        <v>1001250</v>
      </c>
      <c r="AF1091" s="28">
        <f t="shared" si="51"/>
        <v>0</v>
      </c>
    </row>
    <row r="1092" spans="2:32" x14ac:dyDescent="0.3">
      <c r="B1092" s="14" t="str">
        <f t="shared" si="49"/>
        <v>45151004511001213Content Partner-N421125200104</v>
      </c>
      <c r="C1092" s="21" t="s">
        <v>211</v>
      </c>
      <c r="D1092" s="22">
        <v>4515100</v>
      </c>
      <c r="E1092" s="21" t="s">
        <v>3007</v>
      </c>
      <c r="F1092" s="22">
        <v>4511001213</v>
      </c>
      <c r="G1092" s="21" t="s">
        <v>1470</v>
      </c>
      <c r="H1092" s="21" t="s">
        <v>1471</v>
      </c>
      <c r="I1092" s="22">
        <v>421125</v>
      </c>
      <c r="J1092" s="22">
        <v>200104</v>
      </c>
      <c r="K1092" s="22" t="s">
        <v>2959</v>
      </c>
      <c r="L1092" s="22">
        <v>70602</v>
      </c>
      <c r="M1092" s="23" t="s">
        <v>2960</v>
      </c>
      <c r="N1092" s="24">
        <v>0</v>
      </c>
      <c r="O1092" s="24">
        <v>0</v>
      </c>
      <c r="P1092" s="24">
        <v>0</v>
      </c>
      <c r="Q1092" s="24">
        <v>75000</v>
      </c>
      <c r="R1092" s="24">
        <v>0</v>
      </c>
      <c r="S1092" s="24">
        <v>1020000</v>
      </c>
      <c r="T1092" s="24">
        <v>0</v>
      </c>
      <c r="U1092" s="24">
        <v>0</v>
      </c>
      <c r="V1092" s="24">
        <v>0</v>
      </c>
      <c r="W1092" s="24">
        <v>75000</v>
      </c>
      <c r="X1092" s="24">
        <v>0</v>
      </c>
      <c r="Y1092" s="24">
        <v>0</v>
      </c>
      <c r="Z1092" s="24">
        <f t="shared" si="50"/>
        <v>1170000</v>
      </c>
      <c r="AB1092" s="25">
        <v>1170000</v>
      </c>
      <c r="AC1092" s="26">
        <v>1170000</v>
      </c>
      <c r="AD1092" s="24">
        <v>0</v>
      </c>
      <c r="AE1092" s="27">
        <f>_xlfn.XLOOKUP(B1092,'Projects Cashflow'!$B:$B,'Projects Cashflow'!$AG:$AG,0)</f>
        <v>1170000</v>
      </c>
      <c r="AF1092" s="28">
        <f t="shared" si="51"/>
        <v>0</v>
      </c>
    </row>
    <row r="1093" spans="2:32" x14ac:dyDescent="0.3">
      <c r="B1093" s="14" t="str">
        <f t="shared" ref="B1093:B1156" si="52">D1093&amp;F1093&amp;H1093&amp;I1093&amp;J1093</f>
        <v>45151004511001471Trade Partners-L424251201931</v>
      </c>
      <c r="C1093" s="34" t="s">
        <v>211</v>
      </c>
      <c r="D1093" s="35">
        <v>4515100</v>
      </c>
      <c r="E1093" s="34" t="s">
        <v>3007</v>
      </c>
      <c r="F1093" s="35">
        <v>4511001471</v>
      </c>
      <c r="G1093" s="34" t="s">
        <v>1774</v>
      </c>
      <c r="H1093" s="34" t="s">
        <v>568</v>
      </c>
      <c r="I1093" s="35">
        <v>424251</v>
      </c>
      <c r="J1093" s="35">
        <v>201931</v>
      </c>
      <c r="K1093" s="35" t="s">
        <v>2959</v>
      </c>
      <c r="L1093" s="22">
        <v>70602</v>
      </c>
      <c r="M1093" s="36" t="s">
        <v>2961</v>
      </c>
      <c r="N1093" s="24">
        <v>0</v>
      </c>
      <c r="O1093" s="24">
        <v>0</v>
      </c>
      <c r="P1093" s="24">
        <v>0</v>
      </c>
      <c r="Q1093" s="24">
        <v>0</v>
      </c>
      <c r="R1093" s="24">
        <v>0</v>
      </c>
      <c r="S1093" s="24">
        <v>0</v>
      </c>
      <c r="T1093" s="24">
        <v>0</v>
      </c>
      <c r="U1093" s="24">
        <v>1925061</v>
      </c>
      <c r="V1093" s="24">
        <v>5759600</v>
      </c>
      <c r="W1093" s="24">
        <v>450000</v>
      </c>
      <c r="X1093" s="24">
        <v>0</v>
      </c>
      <c r="Y1093" s="24">
        <v>0</v>
      </c>
      <c r="Z1093" s="24">
        <f t="shared" ref="Z1093:Z1156" si="53">SUM(N1093:Y1093)</f>
        <v>8134661</v>
      </c>
      <c r="AB1093" s="37">
        <v>12700721</v>
      </c>
      <c r="AC1093" s="38">
        <v>12700721</v>
      </c>
      <c r="AD1093" s="48">
        <v>0</v>
      </c>
      <c r="AE1093" s="27">
        <f>_xlfn.XLOOKUP(B1093,'Projects Cashflow'!$B:$B,'Projects Cashflow'!$AG:$AG,0)</f>
        <v>12700721</v>
      </c>
      <c r="AF1093" s="28">
        <f t="shared" ref="AF1093:AF1156" si="54">AE1093-AB1093</f>
        <v>0</v>
      </c>
    </row>
    <row r="1094" spans="2:32" x14ac:dyDescent="0.3">
      <c r="B1094" s="14" t="str">
        <f t="shared" si="52"/>
        <v>45151004511001471Trade Promotion-N424251200104</v>
      </c>
      <c r="C1094" s="21" t="s">
        <v>211</v>
      </c>
      <c r="D1094" s="22">
        <v>4515100</v>
      </c>
      <c r="E1094" s="21" t="s">
        <v>3007</v>
      </c>
      <c r="F1094" s="22">
        <v>4511001471</v>
      </c>
      <c r="G1094" s="21" t="s">
        <v>1774</v>
      </c>
      <c r="H1094" s="21" t="s">
        <v>748</v>
      </c>
      <c r="I1094" s="22">
        <v>424251</v>
      </c>
      <c r="J1094" s="22">
        <v>200104</v>
      </c>
      <c r="K1094" s="22" t="s">
        <v>2959</v>
      </c>
      <c r="L1094" s="22">
        <v>70602</v>
      </c>
      <c r="M1094" s="23" t="s">
        <v>2961</v>
      </c>
      <c r="N1094" s="24">
        <v>0</v>
      </c>
      <c r="O1094" s="24">
        <v>0</v>
      </c>
      <c r="P1094" s="24">
        <v>0</v>
      </c>
      <c r="Q1094" s="24">
        <v>0</v>
      </c>
      <c r="R1094" s="24">
        <v>0</v>
      </c>
      <c r="S1094" s="24">
        <v>347500</v>
      </c>
      <c r="T1094" s="24">
        <v>150000</v>
      </c>
      <c r="U1094" s="24">
        <v>586500</v>
      </c>
      <c r="V1094" s="24">
        <v>500000</v>
      </c>
      <c r="W1094" s="24">
        <v>650000</v>
      </c>
      <c r="X1094" s="24">
        <v>567000</v>
      </c>
      <c r="Y1094" s="24">
        <v>0</v>
      </c>
      <c r="Z1094" s="24">
        <f t="shared" si="53"/>
        <v>2801000</v>
      </c>
      <c r="AB1094" s="25">
        <v>2801000</v>
      </c>
      <c r="AC1094" s="26">
        <v>2801000</v>
      </c>
      <c r="AD1094" s="24">
        <v>0</v>
      </c>
      <c r="AE1094" s="27">
        <f>_xlfn.XLOOKUP(B1094,'Projects Cashflow'!$B:$B,'Projects Cashflow'!$AG:$AG,0)</f>
        <v>2801000</v>
      </c>
      <c r="AF1094" s="28">
        <f t="shared" si="54"/>
        <v>0</v>
      </c>
    </row>
    <row r="1095" spans="2:32" x14ac:dyDescent="0.3">
      <c r="B1095" s="14" t="str">
        <f t="shared" si="52"/>
        <v>45112504511000708Maintenance-N426212200104</v>
      </c>
      <c r="C1095" s="21" t="s">
        <v>65</v>
      </c>
      <c r="D1095" s="22">
        <v>4511250</v>
      </c>
      <c r="E1095" s="21" t="s">
        <v>66</v>
      </c>
      <c r="F1095" s="22">
        <v>4511000708</v>
      </c>
      <c r="G1095" s="21" t="s">
        <v>3016</v>
      </c>
      <c r="H1095" s="21" t="s">
        <v>95</v>
      </c>
      <c r="I1095" s="22">
        <v>426212</v>
      </c>
      <c r="J1095" s="22">
        <v>200104</v>
      </c>
      <c r="K1095" s="22" t="s">
        <v>2959</v>
      </c>
      <c r="L1095" s="22">
        <v>70205</v>
      </c>
      <c r="M1095" s="23" t="s">
        <v>2961</v>
      </c>
      <c r="N1095" s="24">
        <v>0</v>
      </c>
      <c r="O1095" s="24">
        <v>0</v>
      </c>
      <c r="P1095" s="24">
        <v>0</v>
      </c>
      <c r="Q1095" s="24">
        <v>7423</v>
      </c>
      <c r="R1095" s="24">
        <v>1856</v>
      </c>
      <c r="S1095" s="24">
        <v>1856</v>
      </c>
      <c r="T1095" s="24">
        <v>1856</v>
      </c>
      <c r="U1095" s="24">
        <v>1856</v>
      </c>
      <c r="V1095" s="24">
        <v>1856</v>
      </c>
      <c r="W1095" s="24">
        <v>1856</v>
      </c>
      <c r="X1095" s="24">
        <v>1856</v>
      </c>
      <c r="Y1095" s="24">
        <v>1855</v>
      </c>
      <c r="Z1095" s="24">
        <f t="shared" si="53"/>
        <v>22270</v>
      </c>
      <c r="AB1095" s="25">
        <v>22270</v>
      </c>
      <c r="AC1095" s="26">
        <v>22270</v>
      </c>
      <c r="AD1095" s="24">
        <v>0</v>
      </c>
      <c r="AE1095" s="27">
        <f>_xlfn.XLOOKUP(B1095,'Projects Cashflow'!$B:$B,'Projects Cashflow'!$AG:$AG,0)</f>
        <v>22270</v>
      </c>
      <c r="AF1095" s="28">
        <f t="shared" si="54"/>
        <v>0</v>
      </c>
    </row>
    <row r="1096" spans="2:32" x14ac:dyDescent="0.3">
      <c r="B1096" s="14" t="str">
        <f t="shared" si="52"/>
        <v>45151004511001471Admin Expenses-N421125200104</v>
      </c>
      <c r="C1096" s="21" t="s">
        <v>211</v>
      </c>
      <c r="D1096" s="22">
        <v>4515100</v>
      </c>
      <c r="E1096" s="21" t="s">
        <v>3007</v>
      </c>
      <c r="F1096" s="22">
        <v>4511001471</v>
      </c>
      <c r="G1096" s="21" t="s">
        <v>1774</v>
      </c>
      <c r="H1096" s="21" t="s">
        <v>130</v>
      </c>
      <c r="I1096" s="22">
        <v>421125</v>
      </c>
      <c r="J1096" s="22">
        <v>200104</v>
      </c>
      <c r="K1096" s="22" t="s">
        <v>2959</v>
      </c>
      <c r="L1096" s="22">
        <v>70602</v>
      </c>
      <c r="M1096" s="23" t="s">
        <v>2961</v>
      </c>
      <c r="N1096" s="24">
        <v>0</v>
      </c>
      <c r="O1096" s="24">
        <v>0</v>
      </c>
      <c r="P1096" s="24">
        <v>0</v>
      </c>
      <c r="Q1096" s="24">
        <v>0</v>
      </c>
      <c r="R1096" s="24">
        <v>140000</v>
      </c>
      <c r="S1096" s="24">
        <v>0</v>
      </c>
      <c r="T1096" s="24">
        <v>80000</v>
      </c>
      <c r="U1096" s="24">
        <v>60000</v>
      </c>
      <c r="V1096" s="24">
        <v>80000</v>
      </c>
      <c r="W1096" s="24">
        <v>70000</v>
      </c>
      <c r="X1096" s="24">
        <v>50000</v>
      </c>
      <c r="Y1096" s="24">
        <v>0</v>
      </c>
      <c r="Z1096" s="24">
        <f t="shared" si="53"/>
        <v>480000</v>
      </c>
      <c r="AB1096" s="25">
        <v>480000</v>
      </c>
      <c r="AC1096" s="26">
        <v>480000</v>
      </c>
      <c r="AD1096" s="24">
        <v>0</v>
      </c>
      <c r="AE1096" s="27">
        <f>_xlfn.XLOOKUP(B1096,'Projects Cashflow'!$B:$B,'Projects Cashflow'!$AG:$AG,0)</f>
        <v>480000</v>
      </c>
      <c r="AF1096" s="28">
        <f t="shared" si="54"/>
        <v>0</v>
      </c>
    </row>
    <row r="1097" spans="2:32" x14ac:dyDescent="0.3">
      <c r="B1097" s="14" t="str">
        <f t="shared" si="52"/>
        <v>45155004511001237IP Events-N422401200104</v>
      </c>
      <c r="C1097" s="21" t="s">
        <v>211</v>
      </c>
      <c r="D1097" s="22">
        <v>4515500</v>
      </c>
      <c r="E1097" s="21" t="s">
        <v>512</v>
      </c>
      <c r="F1097" s="22">
        <v>4511001237</v>
      </c>
      <c r="G1097" s="21" t="s">
        <v>1495</v>
      </c>
      <c r="H1097" s="21" t="s">
        <v>943</v>
      </c>
      <c r="I1097" s="22">
        <v>422401</v>
      </c>
      <c r="J1097" s="22">
        <v>200104</v>
      </c>
      <c r="K1097" s="22" t="s">
        <v>2959</v>
      </c>
      <c r="L1097" s="22">
        <v>70501</v>
      </c>
      <c r="M1097" s="23" t="s">
        <v>2960</v>
      </c>
      <c r="N1097" s="24">
        <v>0</v>
      </c>
      <c r="O1097" s="24">
        <v>0</v>
      </c>
      <c r="P1097" s="26">
        <v>7200000</v>
      </c>
      <c r="Q1097" s="24">
        <v>0</v>
      </c>
      <c r="R1097" s="24">
        <v>0</v>
      </c>
      <c r="S1097" s="24">
        <v>0</v>
      </c>
      <c r="T1097" s="24">
        <v>0</v>
      </c>
      <c r="U1097" s="24">
        <v>2025000</v>
      </c>
      <c r="V1097" s="24">
        <v>0</v>
      </c>
      <c r="W1097" s="24">
        <v>0</v>
      </c>
      <c r="X1097" s="24">
        <v>5554500</v>
      </c>
      <c r="Y1097" s="24">
        <v>0</v>
      </c>
      <c r="Z1097" s="24">
        <f t="shared" si="53"/>
        <v>14779500</v>
      </c>
      <c r="AB1097" s="25">
        <v>13729500</v>
      </c>
      <c r="AC1097" s="26">
        <v>13729500</v>
      </c>
      <c r="AD1097" s="24">
        <v>0</v>
      </c>
      <c r="AE1097" s="27">
        <f>_xlfn.XLOOKUP(B1097,'Projects Cashflow'!$B:$B,'Projects Cashflow'!$AG:$AG,0)</f>
        <v>13729500</v>
      </c>
      <c r="AF1097" s="28">
        <f t="shared" si="54"/>
        <v>0</v>
      </c>
    </row>
    <row r="1098" spans="2:32" x14ac:dyDescent="0.3">
      <c r="B1098" s="14" t="str">
        <f t="shared" si="52"/>
        <v>45151004511001472Trade Promotion-N424251200104</v>
      </c>
      <c r="C1098" s="21" t="s">
        <v>211</v>
      </c>
      <c r="D1098" s="22">
        <v>4515100</v>
      </c>
      <c r="E1098" s="21" t="s">
        <v>3007</v>
      </c>
      <c r="F1098" s="22">
        <v>4511001472</v>
      </c>
      <c r="G1098" s="21" t="s">
        <v>1777</v>
      </c>
      <c r="H1098" s="21" t="s">
        <v>748</v>
      </c>
      <c r="I1098" s="22">
        <v>424251</v>
      </c>
      <c r="J1098" s="22">
        <v>200104</v>
      </c>
      <c r="K1098" s="22" t="s">
        <v>2959</v>
      </c>
      <c r="L1098" s="22">
        <v>70602</v>
      </c>
      <c r="M1098" s="23" t="s">
        <v>2961</v>
      </c>
      <c r="N1098" s="24">
        <v>0</v>
      </c>
      <c r="O1098" s="24">
        <v>0</v>
      </c>
      <c r="P1098" s="26">
        <v>158404</v>
      </c>
      <c r="Q1098" s="24">
        <v>158404</v>
      </c>
      <c r="R1098" s="24">
        <v>673192</v>
      </c>
      <c r="S1098" s="24">
        <v>393000</v>
      </c>
      <c r="T1098" s="24">
        <v>60000</v>
      </c>
      <c r="U1098" s="24">
        <v>1249400</v>
      </c>
      <c r="V1098" s="24">
        <v>245000</v>
      </c>
      <c r="W1098" s="24">
        <v>1345671</v>
      </c>
      <c r="X1098" s="24">
        <v>0</v>
      </c>
      <c r="Y1098" s="24">
        <v>0</v>
      </c>
      <c r="Z1098" s="24">
        <f t="shared" si="53"/>
        <v>4283071</v>
      </c>
      <c r="AB1098" s="25">
        <v>4272046</v>
      </c>
      <c r="AC1098" s="26">
        <v>4272046</v>
      </c>
      <c r="AD1098" s="24">
        <v>0</v>
      </c>
      <c r="AE1098" s="27">
        <f>_xlfn.XLOOKUP(B1098,'Projects Cashflow'!$B:$B,'Projects Cashflow'!$AG:$AG,0)</f>
        <v>4272046</v>
      </c>
      <c r="AF1098" s="28">
        <f t="shared" si="54"/>
        <v>0</v>
      </c>
    </row>
    <row r="1099" spans="2:32" x14ac:dyDescent="0.3">
      <c r="B1099" s="14" t="str">
        <f t="shared" si="52"/>
        <v>45151004511001472GSA Retainer-N421125200104</v>
      </c>
      <c r="C1099" s="34" t="s">
        <v>211</v>
      </c>
      <c r="D1099" s="35">
        <v>4515100</v>
      </c>
      <c r="E1099" s="34" t="s">
        <v>3007</v>
      </c>
      <c r="F1099" s="35">
        <v>4511001472</v>
      </c>
      <c r="G1099" s="34" t="s">
        <v>1777</v>
      </c>
      <c r="H1099" s="34" t="s">
        <v>1775</v>
      </c>
      <c r="I1099" s="35">
        <v>421125</v>
      </c>
      <c r="J1099" s="35">
        <v>200104</v>
      </c>
      <c r="K1099" s="35" t="s">
        <v>2959</v>
      </c>
      <c r="L1099" s="22">
        <v>70602</v>
      </c>
      <c r="M1099" s="36" t="s">
        <v>2960</v>
      </c>
      <c r="N1099" s="24">
        <v>0</v>
      </c>
      <c r="O1099" s="24">
        <v>0</v>
      </c>
      <c r="P1099" s="26">
        <v>406071.89600000001</v>
      </c>
      <c r="Q1099" s="24">
        <v>599820.36699999997</v>
      </c>
      <c r="R1099" s="24">
        <v>266299.23149999999</v>
      </c>
      <c r="S1099" s="24">
        <v>266299.23149999999</v>
      </c>
      <c r="T1099" s="24">
        <v>266299.23149999999</v>
      </c>
      <c r="U1099" s="24">
        <v>266299.23149999999</v>
      </c>
      <c r="V1099" s="24">
        <v>266299.23149999999</v>
      </c>
      <c r="W1099" s="24">
        <v>266299.23149999999</v>
      </c>
      <c r="X1099" s="24">
        <v>266299.23149999999</v>
      </c>
      <c r="Y1099" s="24">
        <v>615871.91650000017</v>
      </c>
      <c r="Z1099" s="24">
        <f t="shared" si="53"/>
        <v>3485858.8</v>
      </c>
      <c r="AB1099" s="37">
        <v>3404767</v>
      </c>
      <c r="AC1099" s="38">
        <v>3404767</v>
      </c>
      <c r="AD1099" s="48">
        <v>0</v>
      </c>
      <c r="AE1099" s="27">
        <f>_xlfn.XLOOKUP(B1099,'Projects Cashflow'!$B:$B,'Projects Cashflow'!$AG:$AG,0)</f>
        <v>3404767</v>
      </c>
      <c r="AF1099" s="28">
        <f t="shared" si="54"/>
        <v>0</v>
      </c>
    </row>
    <row r="1100" spans="2:32" x14ac:dyDescent="0.3">
      <c r="B1100" s="14" t="str">
        <f t="shared" si="52"/>
        <v>45151004511001472Admin Expenses-N421125200104</v>
      </c>
      <c r="C1100" s="21" t="s">
        <v>211</v>
      </c>
      <c r="D1100" s="22">
        <v>4515100</v>
      </c>
      <c r="E1100" s="21" t="s">
        <v>3007</v>
      </c>
      <c r="F1100" s="22">
        <v>4511001472</v>
      </c>
      <c r="G1100" s="21" t="s">
        <v>1777</v>
      </c>
      <c r="H1100" s="21" t="s">
        <v>130</v>
      </c>
      <c r="I1100" s="22">
        <v>421125</v>
      </c>
      <c r="J1100" s="22">
        <v>200104</v>
      </c>
      <c r="K1100" s="22" t="s">
        <v>2959</v>
      </c>
      <c r="L1100" s="22">
        <v>70602</v>
      </c>
      <c r="M1100" s="23" t="s">
        <v>2961</v>
      </c>
      <c r="N1100" s="24">
        <v>0</v>
      </c>
      <c r="O1100" s="24">
        <v>0</v>
      </c>
      <c r="P1100" s="24">
        <v>1513.26</v>
      </c>
      <c r="Q1100" s="24">
        <v>71820.740000000005</v>
      </c>
      <c r="R1100" s="24">
        <v>50000</v>
      </c>
      <c r="S1100" s="24">
        <v>100000</v>
      </c>
      <c r="T1100" s="24">
        <v>33333</v>
      </c>
      <c r="U1100" s="24">
        <v>90000</v>
      </c>
      <c r="V1100" s="24">
        <v>55000</v>
      </c>
      <c r="W1100" s="24">
        <v>33333</v>
      </c>
      <c r="X1100" s="24">
        <v>50000</v>
      </c>
      <c r="Y1100" s="24">
        <v>0</v>
      </c>
      <c r="Z1100" s="24">
        <f t="shared" si="53"/>
        <v>485000</v>
      </c>
      <c r="AB1100" s="25">
        <v>485000</v>
      </c>
      <c r="AC1100" s="26">
        <v>485000</v>
      </c>
      <c r="AD1100" s="24">
        <v>0</v>
      </c>
      <c r="AE1100" s="27">
        <f>_xlfn.XLOOKUP(B1100,'Projects Cashflow'!$B:$B,'Projects Cashflow'!$AG:$AG,0)</f>
        <v>485000</v>
      </c>
      <c r="AF1100" s="28">
        <f t="shared" si="54"/>
        <v>0</v>
      </c>
    </row>
    <row r="1101" spans="2:32" x14ac:dyDescent="0.3">
      <c r="B1101" s="14" t="str">
        <f t="shared" si="52"/>
        <v>45151004511001473Trade Partners-L424251201931</v>
      </c>
      <c r="C1101" s="21" t="s">
        <v>211</v>
      </c>
      <c r="D1101" s="22">
        <v>4515100</v>
      </c>
      <c r="E1101" s="21" t="s">
        <v>3007</v>
      </c>
      <c r="F1101" s="22">
        <v>4511001473</v>
      </c>
      <c r="G1101" s="21" t="s">
        <v>1779</v>
      </c>
      <c r="H1101" s="21" t="s">
        <v>568</v>
      </c>
      <c r="I1101" s="22">
        <v>424251</v>
      </c>
      <c r="J1101" s="22">
        <v>201931</v>
      </c>
      <c r="K1101" s="22" t="s">
        <v>2959</v>
      </c>
      <c r="L1101" s="22">
        <v>70602</v>
      </c>
      <c r="M1101" s="23" t="s">
        <v>2969</v>
      </c>
      <c r="N1101" s="24">
        <v>0</v>
      </c>
      <c r="O1101" s="24">
        <v>0</v>
      </c>
      <c r="P1101" s="24">
        <v>0</v>
      </c>
      <c r="Q1101" s="24">
        <v>0</v>
      </c>
      <c r="R1101" s="24">
        <v>0</v>
      </c>
      <c r="S1101" s="24">
        <v>332797</v>
      </c>
      <c r="T1101" s="24">
        <v>123413</v>
      </c>
      <c r="U1101" s="24">
        <v>201600</v>
      </c>
      <c r="V1101" s="24">
        <v>671800</v>
      </c>
      <c r="W1101" s="24">
        <v>29380</v>
      </c>
      <c r="X1101" s="24">
        <v>0</v>
      </c>
      <c r="Y1101" s="24">
        <v>0</v>
      </c>
      <c r="Z1101" s="24">
        <f t="shared" si="53"/>
        <v>1358990</v>
      </c>
      <c r="AB1101" s="25">
        <v>1358990</v>
      </c>
      <c r="AC1101" s="26">
        <v>1358990</v>
      </c>
      <c r="AD1101" s="24">
        <v>0</v>
      </c>
      <c r="AE1101" s="27">
        <f>_xlfn.XLOOKUP(B1101,'Projects Cashflow'!$B:$B,'Projects Cashflow'!$AG:$AG,0)</f>
        <v>1358990</v>
      </c>
      <c r="AF1101" s="28">
        <f t="shared" si="54"/>
        <v>0</v>
      </c>
    </row>
    <row r="1102" spans="2:32" x14ac:dyDescent="0.3">
      <c r="B1102" s="14" t="str">
        <f t="shared" si="52"/>
        <v>45151004511001473Trade Promotion-N424251200104</v>
      </c>
      <c r="C1102" s="21" t="s">
        <v>211</v>
      </c>
      <c r="D1102" s="22">
        <v>4515100</v>
      </c>
      <c r="E1102" s="21" t="s">
        <v>3007</v>
      </c>
      <c r="F1102" s="22">
        <v>4511001473</v>
      </c>
      <c r="G1102" s="21" t="s">
        <v>1779</v>
      </c>
      <c r="H1102" s="21" t="s">
        <v>748</v>
      </c>
      <c r="I1102" s="22">
        <v>424251</v>
      </c>
      <c r="J1102" s="22">
        <v>200104</v>
      </c>
      <c r="K1102" s="22" t="s">
        <v>2959</v>
      </c>
      <c r="L1102" s="22">
        <v>70602</v>
      </c>
      <c r="M1102" s="23" t="s">
        <v>2961</v>
      </c>
      <c r="N1102" s="24">
        <v>0</v>
      </c>
      <c r="O1102" s="24">
        <v>0</v>
      </c>
      <c r="P1102" s="24">
        <v>0</v>
      </c>
      <c r="Q1102" s="24">
        <v>0</v>
      </c>
      <c r="R1102" s="24">
        <v>0</v>
      </c>
      <c r="S1102" s="24">
        <v>120000</v>
      </c>
      <c r="T1102" s="24">
        <v>0</v>
      </c>
      <c r="U1102" s="24">
        <v>0</v>
      </c>
      <c r="V1102" s="24">
        <v>140000</v>
      </c>
      <c r="W1102" s="24">
        <v>910000</v>
      </c>
      <c r="X1102" s="24">
        <v>110000</v>
      </c>
      <c r="Y1102" s="24">
        <v>0</v>
      </c>
      <c r="Z1102" s="24">
        <f t="shared" si="53"/>
        <v>1280000</v>
      </c>
      <c r="AB1102" s="25">
        <v>1280000</v>
      </c>
      <c r="AC1102" s="26">
        <v>1280000</v>
      </c>
      <c r="AD1102" s="24">
        <v>0</v>
      </c>
      <c r="AE1102" s="27">
        <f>_xlfn.XLOOKUP(B1102,'Projects Cashflow'!$B:$B,'Projects Cashflow'!$AG:$AG,0)</f>
        <v>1280000</v>
      </c>
      <c r="AF1102" s="28">
        <f t="shared" si="54"/>
        <v>0</v>
      </c>
    </row>
    <row r="1103" spans="2:32" x14ac:dyDescent="0.3">
      <c r="B1103" s="14" t="str">
        <f t="shared" si="52"/>
        <v>45151004511001473GSA Retainer-N421125200104</v>
      </c>
      <c r="C1103" s="21" t="s">
        <v>211</v>
      </c>
      <c r="D1103" s="22">
        <v>4515100</v>
      </c>
      <c r="E1103" s="21" t="s">
        <v>3007</v>
      </c>
      <c r="F1103" s="22">
        <v>4511001473</v>
      </c>
      <c r="G1103" s="21" t="s">
        <v>1779</v>
      </c>
      <c r="H1103" s="21" t="s">
        <v>1775</v>
      </c>
      <c r="I1103" s="22">
        <v>421125</v>
      </c>
      <c r="J1103" s="22">
        <v>200104</v>
      </c>
      <c r="K1103" s="22" t="s">
        <v>2959</v>
      </c>
      <c r="L1103" s="22">
        <v>70602</v>
      </c>
      <c r="M1103" s="23" t="s">
        <v>2960</v>
      </c>
      <c r="N1103" s="24">
        <v>0</v>
      </c>
      <c r="O1103" s="24">
        <v>0</v>
      </c>
      <c r="P1103" s="24">
        <v>131593.01999999999</v>
      </c>
      <c r="Q1103" s="24">
        <v>104807.97912</v>
      </c>
      <c r="R1103" s="24">
        <v>59100.249779999998</v>
      </c>
      <c r="S1103" s="24">
        <v>81179.319779999991</v>
      </c>
      <c r="T1103" s="24">
        <v>59100.249779999998</v>
      </c>
      <c r="U1103" s="24">
        <v>59100.249779999998</v>
      </c>
      <c r="V1103" s="24">
        <v>59100.249779999998</v>
      </c>
      <c r="W1103" s="24">
        <v>59100.249779999998</v>
      </c>
      <c r="X1103" s="24">
        <v>59100.249779999998</v>
      </c>
      <c r="Y1103" s="24">
        <v>128639.18242000013</v>
      </c>
      <c r="Z1103" s="24">
        <f t="shared" si="53"/>
        <v>800821</v>
      </c>
      <c r="AB1103" s="25">
        <v>800821</v>
      </c>
      <c r="AC1103" s="26">
        <v>800821</v>
      </c>
      <c r="AD1103" s="24">
        <v>0</v>
      </c>
      <c r="AE1103" s="27">
        <f>_xlfn.XLOOKUP(B1103,'Projects Cashflow'!$B:$B,'Projects Cashflow'!$AG:$AG,0)</f>
        <v>800821</v>
      </c>
      <c r="AF1103" s="28">
        <f t="shared" si="54"/>
        <v>0</v>
      </c>
    </row>
    <row r="1104" spans="2:32" x14ac:dyDescent="0.3">
      <c r="B1104" s="14" t="str">
        <f t="shared" si="52"/>
        <v>45151004511001473Admin Expenses-N421125200104</v>
      </c>
      <c r="C1104" s="21" t="s">
        <v>211</v>
      </c>
      <c r="D1104" s="22">
        <v>4515100</v>
      </c>
      <c r="E1104" s="21" t="s">
        <v>3007</v>
      </c>
      <c r="F1104" s="22">
        <v>4511001473</v>
      </c>
      <c r="G1104" s="21" t="s">
        <v>1779</v>
      </c>
      <c r="H1104" s="21" t="s">
        <v>130</v>
      </c>
      <c r="I1104" s="22">
        <v>421125</v>
      </c>
      <c r="J1104" s="22">
        <v>200104</v>
      </c>
      <c r="K1104" s="22" t="s">
        <v>2959</v>
      </c>
      <c r="L1104" s="22">
        <v>70602</v>
      </c>
      <c r="M1104" s="23" t="s">
        <v>2961</v>
      </c>
      <c r="N1104" s="24">
        <v>0</v>
      </c>
      <c r="O1104" s="24">
        <v>0</v>
      </c>
      <c r="P1104" s="24">
        <v>0</v>
      </c>
      <c r="Q1104" s="24">
        <v>0</v>
      </c>
      <c r="R1104" s="24">
        <v>0</v>
      </c>
      <c r="S1104" s="24">
        <v>30000</v>
      </c>
      <c r="T1104" s="24">
        <v>50000</v>
      </c>
      <c r="U1104" s="24">
        <v>0</v>
      </c>
      <c r="V1104" s="24">
        <v>35000</v>
      </c>
      <c r="W1104" s="24">
        <v>130000</v>
      </c>
      <c r="X1104" s="24">
        <v>0</v>
      </c>
      <c r="Y1104" s="24">
        <v>0</v>
      </c>
      <c r="Z1104" s="24">
        <f t="shared" si="53"/>
        <v>245000</v>
      </c>
      <c r="AB1104" s="25">
        <v>245000</v>
      </c>
      <c r="AC1104" s="26">
        <v>245000</v>
      </c>
      <c r="AD1104" s="24">
        <v>0</v>
      </c>
      <c r="AE1104" s="27">
        <f>_xlfn.XLOOKUP(B1104,'Projects Cashflow'!$B:$B,'Projects Cashflow'!$AG:$AG,0)</f>
        <v>245000</v>
      </c>
      <c r="AF1104" s="28">
        <f t="shared" si="54"/>
        <v>0</v>
      </c>
    </row>
    <row r="1105" spans="2:32" x14ac:dyDescent="0.3">
      <c r="B1105" s="14" t="str">
        <f t="shared" si="52"/>
        <v>45151004511001474Design &amp; Build-N424221200104</v>
      </c>
      <c r="C1105" s="34" t="s">
        <v>211</v>
      </c>
      <c r="D1105" s="35">
        <v>4515100</v>
      </c>
      <c r="E1105" s="34" t="s">
        <v>3007</v>
      </c>
      <c r="F1105" s="35">
        <v>4511001474</v>
      </c>
      <c r="G1105" s="34" t="s">
        <v>1781</v>
      </c>
      <c r="H1105" s="34" t="s">
        <v>208</v>
      </c>
      <c r="I1105" s="35">
        <v>424221</v>
      </c>
      <c r="J1105" s="35">
        <v>200104</v>
      </c>
      <c r="K1105" s="35" t="s">
        <v>2959</v>
      </c>
      <c r="L1105" s="22">
        <v>70602</v>
      </c>
      <c r="M1105" s="36" t="s">
        <v>2960</v>
      </c>
      <c r="N1105" s="24">
        <v>0</v>
      </c>
      <c r="O1105" s="24">
        <v>0</v>
      </c>
      <c r="P1105" s="24">
        <v>0</v>
      </c>
      <c r="Q1105" s="24">
        <v>0</v>
      </c>
      <c r="R1105" s="24">
        <v>5437053.8600000059</v>
      </c>
      <c r="S1105" s="24">
        <v>0</v>
      </c>
      <c r="T1105" s="24">
        <v>843650</v>
      </c>
      <c r="U1105" s="24">
        <v>5975734</v>
      </c>
      <c r="V1105" s="24">
        <v>0</v>
      </c>
      <c r="W1105" s="24">
        <v>0</v>
      </c>
      <c r="X1105" s="24">
        <v>0</v>
      </c>
      <c r="Y1105" s="24">
        <v>0</v>
      </c>
      <c r="Z1105" s="24">
        <f t="shared" si="53"/>
        <v>12256437.860000007</v>
      </c>
      <c r="AB1105" s="37">
        <v>12256437.860000007</v>
      </c>
      <c r="AC1105" s="38">
        <v>12256438</v>
      </c>
      <c r="AD1105" s="48">
        <v>-0.13999999314546585</v>
      </c>
      <c r="AE1105" s="27">
        <f>_xlfn.XLOOKUP(B1105,'Projects Cashflow'!$B:$B,'Projects Cashflow'!$AG:$AG,0)</f>
        <v>12256438</v>
      </c>
      <c r="AF1105" s="28">
        <f t="shared" si="54"/>
        <v>0.13999999314546585</v>
      </c>
    </row>
    <row r="1106" spans="2:32" x14ac:dyDescent="0.3">
      <c r="B1106" s="14" t="str">
        <f t="shared" si="52"/>
        <v>45151004511001474Venue&amp;Room Rent-N422401200104</v>
      </c>
      <c r="C1106" s="21" t="s">
        <v>211</v>
      </c>
      <c r="D1106" s="22">
        <v>4515100</v>
      </c>
      <c r="E1106" s="21" t="s">
        <v>3007</v>
      </c>
      <c r="F1106" s="22">
        <v>4511001474</v>
      </c>
      <c r="G1106" s="21" t="s">
        <v>1781</v>
      </c>
      <c r="H1106" s="21" t="s">
        <v>218</v>
      </c>
      <c r="I1106" s="22">
        <v>422401</v>
      </c>
      <c r="J1106" s="22">
        <v>200104</v>
      </c>
      <c r="K1106" s="22" t="s">
        <v>2959</v>
      </c>
      <c r="L1106" s="22">
        <v>70602</v>
      </c>
      <c r="M1106" s="23" t="s">
        <v>2960</v>
      </c>
      <c r="N1106" s="24">
        <v>0</v>
      </c>
      <c r="O1106" s="24">
        <v>0</v>
      </c>
      <c r="P1106" s="24">
        <v>0</v>
      </c>
      <c r="Q1106" s="24">
        <v>5130000</v>
      </c>
      <c r="R1106" s="24">
        <v>0</v>
      </c>
      <c r="S1106" s="24">
        <v>0</v>
      </c>
      <c r="T1106" s="24">
        <v>0</v>
      </c>
      <c r="U1106" s="24">
        <v>2700000</v>
      </c>
      <c r="V1106" s="24">
        <v>0</v>
      </c>
      <c r="W1106" s="24">
        <v>0</v>
      </c>
      <c r="X1106" s="24">
        <v>2560000</v>
      </c>
      <c r="Y1106" s="24">
        <v>0</v>
      </c>
      <c r="Z1106" s="24">
        <f t="shared" si="53"/>
        <v>10390000</v>
      </c>
      <c r="AB1106" s="25">
        <v>10390000</v>
      </c>
      <c r="AC1106" s="26">
        <v>10390000</v>
      </c>
      <c r="AD1106" s="24">
        <v>0</v>
      </c>
      <c r="AE1106" s="27">
        <f>_xlfn.XLOOKUP(B1106,'Projects Cashflow'!$B:$B,'Projects Cashflow'!$AG:$AG,0)</f>
        <v>10390000</v>
      </c>
      <c r="AF1106" s="28">
        <f t="shared" si="54"/>
        <v>0</v>
      </c>
    </row>
    <row r="1107" spans="2:32" x14ac:dyDescent="0.3">
      <c r="B1107" s="14" t="str">
        <f t="shared" si="52"/>
        <v>45151004511001474Hospitality-N424761200104</v>
      </c>
      <c r="C1107" s="34" t="s">
        <v>211</v>
      </c>
      <c r="D1107" s="35">
        <v>4515100</v>
      </c>
      <c r="E1107" s="34" t="s">
        <v>3007</v>
      </c>
      <c r="F1107" s="35">
        <v>4511001474</v>
      </c>
      <c r="G1107" s="34" t="s">
        <v>1781</v>
      </c>
      <c r="H1107" s="34" t="s">
        <v>83</v>
      </c>
      <c r="I1107" s="35">
        <v>424761</v>
      </c>
      <c r="J1107" s="35">
        <v>200104</v>
      </c>
      <c r="K1107" s="35" t="s">
        <v>2959</v>
      </c>
      <c r="L1107" s="22">
        <v>70602</v>
      </c>
      <c r="M1107" s="36" t="s">
        <v>2960</v>
      </c>
      <c r="N1107" s="24">
        <v>0</v>
      </c>
      <c r="O1107" s="24">
        <v>0</v>
      </c>
      <c r="P1107" s="24">
        <v>0</v>
      </c>
      <c r="Q1107" s="24">
        <v>200000</v>
      </c>
      <c r="R1107" s="24">
        <v>590000</v>
      </c>
      <c r="S1107" s="24">
        <v>0</v>
      </c>
      <c r="T1107" s="24">
        <v>230000</v>
      </c>
      <c r="U1107" s="24">
        <v>800000</v>
      </c>
      <c r="V1107" s="24">
        <v>0</v>
      </c>
      <c r="W1107" s="24">
        <v>0</v>
      </c>
      <c r="X1107" s="24">
        <v>600000</v>
      </c>
      <c r="Y1107" s="24">
        <v>70000</v>
      </c>
      <c r="Z1107" s="24">
        <f t="shared" si="53"/>
        <v>2490000</v>
      </c>
      <c r="AB1107" s="37">
        <v>2373000</v>
      </c>
      <c r="AC1107" s="38">
        <v>2373000</v>
      </c>
      <c r="AD1107" s="39">
        <v>0</v>
      </c>
      <c r="AE1107" s="27">
        <f>_xlfn.XLOOKUP(B1107,'Projects Cashflow'!$B:$B,'Projects Cashflow'!$AG:$AG,0)</f>
        <v>2373000</v>
      </c>
      <c r="AF1107" s="28">
        <f t="shared" si="54"/>
        <v>0</v>
      </c>
    </row>
    <row r="1108" spans="2:32" x14ac:dyDescent="0.3">
      <c r="B1108" s="14" t="str">
        <f t="shared" si="52"/>
        <v>45151004511001474Mission &amp; Travel-N423821200104</v>
      </c>
      <c r="C1108" s="21" t="s">
        <v>211</v>
      </c>
      <c r="D1108" s="22">
        <v>4515100</v>
      </c>
      <c r="E1108" s="21" t="s">
        <v>3007</v>
      </c>
      <c r="F1108" s="22">
        <v>4511001474</v>
      </c>
      <c r="G1108" s="21" t="s">
        <v>1781</v>
      </c>
      <c r="H1108" s="21" t="s">
        <v>54</v>
      </c>
      <c r="I1108" s="22">
        <v>423821</v>
      </c>
      <c r="J1108" s="22">
        <v>200104</v>
      </c>
      <c r="K1108" s="22" t="s">
        <v>2959</v>
      </c>
      <c r="L1108" s="22">
        <v>70602</v>
      </c>
      <c r="M1108" s="23" t="s">
        <v>2960</v>
      </c>
      <c r="N1108" s="24">
        <v>0</v>
      </c>
      <c r="O1108" s="24">
        <v>0</v>
      </c>
      <c r="P1108" s="26">
        <v>101500</v>
      </c>
      <c r="Q1108" s="24">
        <v>0</v>
      </c>
      <c r="R1108" s="24">
        <v>370000</v>
      </c>
      <c r="S1108" s="24">
        <v>92250</v>
      </c>
      <c r="T1108" s="24">
        <v>150000</v>
      </c>
      <c r="U1108" s="24">
        <v>141000</v>
      </c>
      <c r="V1108" s="24">
        <v>0</v>
      </c>
      <c r="W1108" s="24">
        <v>0</v>
      </c>
      <c r="X1108" s="24">
        <v>360000</v>
      </c>
      <c r="Y1108" s="24">
        <v>0</v>
      </c>
      <c r="Z1108" s="24">
        <f t="shared" si="53"/>
        <v>1214750</v>
      </c>
      <c r="AB1108" s="25">
        <v>1214750</v>
      </c>
      <c r="AC1108" s="26">
        <v>1214750</v>
      </c>
      <c r="AD1108" s="24">
        <v>0</v>
      </c>
      <c r="AE1108" s="27">
        <f>_xlfn.XLOOKUP(B1108,'Projects Cashflow'!$B:$B,'Projects Cashflow'!$AG:$AG,0)</f>
        <v>1214750</v>
      </c>
      <c r="AF1108" s="28">
        <f t="shared" si="54"/>
        <v>0</v>
      </c>
    </row>
    <row r="1109" spans="2:32" x14ac:dyDescent="0.3">
      <c r="B1109" s="14" t="str">
        <f t="shared" si="52"/>
        <v>45151004511001474Design &amp; Build-L424221201931</v>
      </c>
      <c r="C1109" s="34" t="s">
        <v>211</v>
      </c>
      <c r="D1109" s="35">
        <v>4515100</v>
      </c>
      <c r="E1109" s="34" t="s">
        <v>3007</v>
      </c>
      <c r="F1109" s="35">
        <v>4511001474</v>
      </c>
      <c r="G1109" s="34" t="s">
        <v>1781</v>
      </c>
      <c r="H1109" s="34" t="s">
        <v>1782</v>
      </c>
      <c r="I1109" s="35">
        <v>424221</v>
      </c>
      <c r="J1109" s="35">
        <v>201931</v>
      </c>
      <c r="K1109" s="35" t="s">
        <v>2959</v>
      </c>
      <c r="L1109" s="22">
        <v>70602</v>
      </c>
      <c r="M1109" s="36" t="s">
        <v>2960</v>
      </c>
      <c r="N1109" s="24">
        <v>0</v>
      </c>
      <c r="O1109" s="24">
        <v>0</v>
      </c>
      <c r="P1109" s="24">
        <v>0</v>
      </c>
      <c r="Q1109" s="24">
        <v>0</v>
      </c>
      <c r="R1109" s="24">
        <v>1213557.599999994</v>
      </c>
      <c r="S1109" s="24">
        <v>0</v>
      </c>
      <c r="T1109" s="24">
        <v>0</v>
      </c>
      <c r="U1109" s="24">
        <v>0</v>
      </c>
      <c r="V1109" s="24">
        <v>0</v>
      </c>
      <c r="W1109" s="24">
        <v>0</v>
      </c>
      <c r="X1109" s="24">
        <v>0</v>
      </c>
      <c r="Y1109" s="24">
        <v>0</v>
      </c>
      <c r="Z1109" s="24">
        <f t="shared" si="53"/>
        <v>1213557.599999994</v>
      </c>
      <c r="AB1109" s="37">
        <v>1213557.599999994</v>
      </c>
      <c r="AC1109" s="38">
        <v>1213558</v>
      </c>
      <c r="AD1109" s="48">
        <v>-0.40000000596046448</v>
      </c>
      <c r="AE1109" s="27">
        <f>_xlfn.XLOOKUP(B1109,'Projects Cashflow'!$B:$B,'Projects Cashflow'!$AG:$AG,0)</f>
        <v>1213558</v>
      </c>
      <c r="AF1109" s="28">
        <f t="shared" si="54"/>
        <v>0.40000000596046448</v>
      </c>
    </row>
    <row r="1110" spans="2:32" x14ac:dyDescent="0.3">
      <c r="B1110" s="14" t="str">
        <f t="shared" si="52"/>
        <v>45151004511001475Trade Partners-L424251201931</v>
      </c>
      <c r="C1110" s="34" t="s">
        <v>211</v>
      </c>
      <c r="D1110" s="35">
        <v>4515100</v>
      </c>
      <c r="E1110" s="34" t="s">
        <v>3007</v>
      </c>
      <c r="F1110" s="35">
        <v>4511001475</v>
      </c>
      <c r="G1110" s="34" t="s">
        <v>1788</v>
      </c>
      <c r="H1110" s="34" t="s">
        <v>568</v>
      </c>
      <c r="I1110" s="35">
        <v>424251</v>
      </c>
      <c r="J1110" s="35">
        <v>201931</v>
      </c>
      <c r="K1110" s="35" t="s">
        <v>2959</v>
      </c>
      <c r="L1110" s="22">
        <v>70602</v>
      </c>
      <c r="M1110" s="36" t="s">
        <v>2969</v>
      </c>
      <c r="N1110" s="24">
        <v>0</v>
      </c>
      <c r="O1110" s="24">
        <v>0</v>
      </c>
      <c r="P1110" s="24">
        <v>0</v>
      </c>
      <c r="Q1110" s="24">
        <v>0</v>
      </c>
      <c r="R1110" s="24">
        <v>0</v>
      </c>
      <c r="S1110" s="24">
        <v>1389329.2999999998</v>
      </c>
      <c r="T1110" s="24">
        <v>2663333</v>
      </c>
      <c r="U1110" s="24">
        <v>678000</v>
      </c>
      <c r="V1110" s="24">
        <v>348500</v>
      </c>
      <c r="W1110" s="24">
        <v>1075000</v>
      </c>
      <c r="X1110" s="24">
        <v>0</v>
      </c>
      <c r="Y1110" s="24">
        <v>0</v>
      </c>
      <c r="Z1110" s="24">
        <f t="shared" si="53"/>
        <v>6154162.2999999998</v>
      </c>
      <c r="AB1110" s="37">
        <v>5958257</v>
      </c>
      <c r="AC1110" s="38">
        <v>5958257</v>
      </c>
      <c r="AD1110" s="48">
        <v>0</v>
      </c>
      <c r="AE1110" s="27">
        <f>_xlfn.XLOOKUP(B1110,'Projects Cashflow'!$B:$B,'Projects Cashflow'!$AG:$AG,0)</f>
        <v>5958257</v>
      </c>
      <c r="AF1110" s="28">
        <f t="shared" si="54"/>
        <v>0</v>
      </c>
    </row>
    <row r="1111" spans="2:32" x14ac:dyDescent="0.3">
      <c r="B1111" s="14" t="str">
        <f t="shared" si="52"/>
        <v>45151004511001475Trade Promotion-N424251200104</v>
      </c>
      <c r="C1111" s="21" t="s">
        <v>211</v>
      </c>
      <c r="D1111" s="22">
        <v>4515100</v>
      </c>
      <c r="E1111" s="21" t="s">
        <v>3007</v>
      </c>
      <c r="F1111" s="22">
        <v>4511001475</v>
      </c>
      <c r="G1111" s="21" t="s">
        <v>1788</v>
      </c>
      <c r="H1111" s="21" t="s">
        <v>748</v>
      </c>
      <c r="I1111" s="22">
        <v>424251</v>
      </c>
      <c r="J1111" s="22">
        <v>200104</v>
      </c>
      <c r="K1111" s="22" t="s">
        <v>2959</v>
      </c>
      <c r="L1111" s="22">
        <v>70602</v>
      </c>
      <c r="M1111" s="23" t="s">
        <v>2961</v>
      </c>
      <c r="N1111" s="24">
        <v>0</v>
      </c>
      <c r="O1111" s="24">
        <v>0</v>
      </c>
      <c r="P1111" s="24">
        <v>0</v>
      </c>
      <c r="Q1111" s="24">
        <v>320095</v>
      </c>
      <c r="R1111" s="24">
        <v>968500</v>
      </c>
      <c r="S1111" s="24">
        <v>90000</v>
      </c>
      <c r="T1111" s="24">
        <v>924065</v>
      </c>
      <c r="U1111" s="24">
        <v>225000</v>
      </c>
      <c r="V1111" s="24">
        <v>20000</v>
      </c>
      <c r="W1111" s="24">
        <v>301600</v>
      </c>
      <c r="X1111" s="24">
        <v>425190</v>
      </c>
      <c r="Y1111" s="24">
        <v>35935</v>
      </c>
      <c r="Z1111" s="24">
        <f t="shared" si="53"/>
        <v>3310385</v>
      </c>
      <c r="AB1111" s="25">
        <v>3310385</v>
      </c>
      <c r="AC1111" s="26">
        <v>3310385</v>
      </c>
      <c r="AD1111" s="24">
        <v>0</v>
      </c>
      <c r="AE1111" s="27">
        <f>_xlfn.XLOOKUP(B1111,'Projects Cashflow'!$B:$B,'Projects Cashflow'!$AG:$AG,0)</f>
        <v>3310385</v>
      </c>
      <c r="AF1111" s="28">
        <f t="shared" si="54"/>
        <v>0</v>
      </c>
    </row>
    <row r="1112" spans="2:32" x14ac:dyDescent="0.3">
      <c r="B1112" s="14" t="str">
        <f t="shared" si="52"/>
        <v>45151004511001475GSA Retainer-N421125200104</v>
      </c>
      <c r="C1112" s="21" t="s">
        <v>211</v>
      </c>
      <c r="D1112" s="22">
        <v>4515100</v>
      </c>
      <c r="E1112" s="21" t="s">
        <v>3007</v>
      </c>
      <c r="F1112" s="22">
        <v>4511001475</v>
      </c>
      <c r="G1112" s="21" t="s">
        <v>1788</v>
      </c>
      <c r="H1112" s="21" t="s">
        <v>1775</v>
      </c>
      <c r="I1112" s="22">
        <v>421125</v>
      </c>
      <c r="J1112" s="22">
        <v>200104</v>
      </c>
      <c r="K1112" s="22" t="s">
        <v>2959</v>
      </c>
      <c r="L1112" s="22">
        <v>70602</v>
      </c>
      <c r="M1112" s="23" t="s">
        <v>2960</v>
      </c>
      <c r="N1112" s="24">
        <v>0</v>
      </c>
      <c r="O1112" s="24">
        <v>0</v>
      </c>
      <c r="P1112" s="24">
        <v>467515.08675000002</v>
      </c>
      <c r="Q1112" s="24">
        <v>283772.54618999991</v>
      </c>
      <c r="R1112" s="24">
        <v>187821.90823499998</v>
      </c>
      <c r="S1112" s="24">
        <v>207621.90823499998</v>
      </c>
      <c r="T1112" s="24">
        <v>187821.90823499998</v>
      </c>
      <c r="U1112" s="24">
        <v>187821.90823499998</v>
      </c>
      <c r="V1112" s="24">
        <v>187821.90823499998</v>
      </c>
      <c r="W1112" s="24">
        <v>187821.90823499998</v>
      </c>
      <c r="X1112" s="24">
        <v>187821.90823499998</v>
      </c>
      <c r="Y1112" s="24">
        <v>445031.00941500033</v>
      </c>
      <c r="Z1112" s="24">
        <f t="shared" si="53"/>
        <v>2530872</v>
      </c>
      <c r="AB1112" s="25">
        <v>2530872</v>
      </c>
      <c r="AC1112" s="26">
        <v>2530872</v>
      </c>
      <c r="AD1112" s="24">
        <v>0</v>
      </c>
      <c r="AE1112" s="27">
        <f>_xlfn.XLOOKUP(B1112,'Projects Cashflow'!$B:$B,'Projects Cashflow'!$AG:$AG,0)</f>
        <v>2530872</v>
      </c>
      <c r="AF1112" s="28">
        <f t="shared" si="54"/>
        <v>0</v>
      </c>
    </row>
    <row r="1113" spans="2:32" x14ac:dyDescent="0.3">
      <c r="B1113" s="14" t="str">
        <f t="shared" si="52"/>
        <v>45151004511001475Admin Expenses-N421125200104</v>
      </c>
      <c r="C1113" s="21" t="s">
        <v>211</v>
      </c>
      <c r="D1113" s="22">
        <v>4515100</v>
      </c>
      <c r="E1113" s="21" t="s">
        <v>3007</v>
      </c>
      <c r="F1113" s="22">
        <v>4511001475</v>
      </c>
      <c r="G1113" s="21" t="s">
        <v>1788</v>
      </c>
      <c r="H1113" s="21" t="s">
        <v>130</v>
      </c>
      <c r="I1113" s="22">
        <v>421125</v>
      </c>
      <c r="J1113" s="22">
        <v>200104</v>
      </c>
      <c r="K1113" s="22" t="s">
        <v>2959</v>
      </c>
      <c r="L1113" s="22">
        <v>70602</v>
      </c>
      <c r="M1113" s="23" t="s">
        <v>2961</v>
      </c>
      <c r="N1113" s="24">
        <v>0</v>
      </c>
      <c r="O1113" s="24">
        <v>0</v>
      </c>
      <c r="P1113" s="24">
        <v>0</v>
      </c>
      <c r="Q1113" s="24">
        <v>82500</v>
      </c>
      <c r="R1113" s="24">
        <v>50000</v>
      </c>
      <c r="S1113" s="24">
        <v>27500</v>
      </c>
      <c r="T1113" s="24">
        <v>125000</v>
      </c>
      <c r="U1113" s="24">
        <v>25000</v>
      </c>
      <c r="V1113" s="24">
        <v>77500</v>
      </c>
      <c r="W1113" s="24">
        <v>60000</v>
      </c>
      <c r="X1113" s="24">
        <v>27500</v>
      </c>
      <c r="Y1113" s="24">
        <v>0</v>
      </c>
      <c r="Z1113" s="24">
        <f t="shared" si="53"/>
        <v>475000</v>
      </c>
      <c r="AB1113" s="25">
        <v>475000</v>
      </c>
      <c r="AC1113" s="26">
        <v>475000</v>
      </c>
      <c r="AD1113" s="24">
        <v>0</v>
      </c>
      <c r="AE1113" s="27">
        <f>_xlfn.XLOOKUP(B1113,'Projects Cashflow'!$B:$B,'Projects Cashflow'!$AG:$AG,0)</f>
        <v>475000</v>
      </c>
      <c r="AF1113" s="28">
        <f t="shared" si="54"/>
        <v>0</v>
      </c>
    </row>
    <row r="1114" spans="2:32" x14ac:dyDescent="0.3">
      <c r="B1114" s="14" t="str">
        <f t="shared" si="52"/>
        <v>45151004511001476Trade Partners-L424251201931</v>
      </c>
      <c r="C1114" s="21" t="s">
        <v>211</v>
      </c>
      <c r="D1114" s="22">
        <v>4515100</v>
      </c>
      <c r="E1114" s="21" t="s">
        <v>3007</v>
      </c>
      <c r="F1114" s="22">
        <v>4511001476</v>
      </c>
      <c r="G1114" s="21" t="s">
        <v>1790</v>
      </c>
      <c r="H1114" s="21" t="s">
        <v>568</v>
      </c>
      <c r="I1114" s="22">
        <v>424251</v>
      </c>
      <c r="J1114" s="22">
        <v>201931</v>
      </c>
      <c r="K1114" s="22" t="s">
        <v>2959</v>
      </c>
      <c r="L1114" s="22">
        <v>70602</v>
      </c>
      <c r="M1114" s="23" t="s">
        <v>2961</v>
      </c>
      <c r="N1114" s="24">
        <v>0</v>
      </c>
      <c r="O1114" s="24">
        <v>0</v>
      </c>
      <c r="P1114" s="24">
        <v>0</v>
      </c>
      <c r="Q1114" s="24">
        <v>0</v>
      </c>
      <c r="R1114" s="24">
        <v>396800</v>
      </c>
      <c r="S1114" s="24">
        <v>214400</v>
      </c>
      <c r="T1114" s="24">
        <v>884315</v>
      </c>
      <c r="U1114" s="24">
        <v>405900</v>
      </c>
      <c r="V1114" s="24">
        <v>350000</v>
      </c>
      <c r="W1114" s="24">
        <v>0</v>
      </c>
      <c r="X1114" s="24">
        <v>0</v>
      </c>
      <c r="Y1114" s="24">
        <v>0</v>
      </c>
      <c r="Z1114" s="24">
        <f t="shared" si="53"/>
        <v>2251415</v>
      </c>
      <c r="AB1114" s="25">
        <v>2251415</v>
      </c>
      <c r="AC1114" s="26">
        <v>2251415</v>
      </c>
      <c r="AD1114" s="24">
        <v>0</v>
      </c>
      <c r="AE1114" s="27">
        <f>_xlfn.XLOOKUP(B1114,'Projects Cashflow'!$B:$B,'Projects Cashflow'!$AG:$AG,0)</f>
        <v>2251415</v>
      </c>
      <c r="AF1114" s="28">
        <f t="shared" si="54"/>
        <v>0</v>
      </c>
    </row>
    <row r="1115" spans="2:32" x14ac:dyDescent="0.3">
      <c r="B1115" s="14" t="str">
        <f t="shared" si="52"/>
        <v>45151004511001476GSA Retainer-N421125200104</v>
      </c>
      <c r="C1115" s="21" t="s">
        <v>211</v>
      </c>
      <c r="D1115" s="22">
        <v>4515100</v>
      </c>
      <c r="E1115" s="21" t="s">
        <v>3007</v>
      </c>
      <c r="F1115" s="22">
        <v>4511001476</v>
      </c>
      <c r="G1115" s="21" t="s">
        <v>1790</v>
      </c>
      <c r="H1115" s="21" t="s">
        <v>1775</v>
      </c>
      <c r="I1115" s="22">
        <v>421125</v>
      </c>
      <c r="J1115" s="22">
        <v>200104</v>
      </c>
      <c r="K1115" s="22" t="s">
        <v>2959</v>
      </c>
      <c r="L1115" s="22">
        <v>70602</v>
      </c>
      <c r="M1115" s="23" t="s">
        <v>2960</v>
      </c>
      <c r="N1115" s="24">
        <v>0</v>
      </c>
      <c r="O1115" s="24">
        <v>0</v>
      </c>
      <c r="P1115" s="24">
        <v>273161.58999999997</v>
      </c>
      <c r="Q1115" s="24">
        <v>362853.17562500003</v>
      </c>
      <c r="R1115" s="24">
        <v>157500.703125</v>
      </c>
      <c r="S1115" s="24">
        <v>210000.9375</v>
      </c>
      <c r="T1115" s="24">
        <v>157500.703125</v>
      </c>
      <c r="U1115" s="24">
        <v>157500.703125</v>
      </c>
      <c r="V1115" s="24">
        <v>210000.9375</v>
      </c>
      <c r="W1115" s="24">
        <v>157500.703125</v>
      </c>
      <c r="X1115" s="24">
        <v>157500.703125</v>
      </c>
      <c r="Y1115" s="24">
        <v>256497.84375</v>
      </c>
      <c r="Z1115" s="24">
        <f t="shared" si="53"/>
        <v>2100018</v>
      </c>
      <c r="AB1115" s="25">
        <v>2100018</v>
      </c>
      <c r="AC1115" s="26">
        <v>2100018</v>
      </c>
      <c r="AD1115" s="24">
        <v>0</v>
      </c>
      <c r="AE1115" s="27">
        <f>_xlfn.XLOOKUP(B1115,'Projects Cashflow'!$B:$B,'Projects Cashflow'!$AG:$AG,0)</f>
        <v>2100018</v>
      </c>
      <c r="AF1115" s="28">
        <f t="shared" si="54"/>
        <v>0</v>
      </c>
    </row>
    <row r="1116" spans="2:32" x14ac:dyDescent="0.3">
      <c r="B1116" s="14" t="str">
        <f t="shared" si="52"/>
        <v>45151004511001476Trade Promotion-N424251200104</v>
      </c>
      <c r="C1116" s="21" t="s">
        <v>211</v>
      </c>
      <c r="D1116" s="22">
        <v>4515100</v>
      </c>
      <c r="E1116" s="21" t="s">
        <v>3007</v>
      </c>
      <c r="F1116" s="22">
        <v>4511001476</v>
      </c>
      <c r="G1116" s="21" t="s">
        <v>1790</v>
      </c>
      <c r="H1116" s="21" t="s">
        <v>748</v>
      </c>
      <c r="I1116" s="22">
        <v>424251</v>
      </c>
      <c r="J1116" s="22">
        <v>200104</v>
      </c>
      <c r="K1116" s="22" t="s">
        <v>2959</v>
      </c>
      <c r="L1116" s="22">
        <v>70602</v>
      </c>
      <c r="M1116" s="23" t="s">
        <v>2961</v>
      </c>
      <c r="N1116" s="24">
        <v>0</v>
      </c>
      <c r="O1116" s="24">
        <v>0</v>
      </c>
      <c r="P1116" s="24">
        <v>0</v>
      </c>
      <c r="Q1116" s="24">
        <v>0</v>
      </c>
      <c r="R1116" s="24">
        <v>0</v>
      </c>
      <c r="S1116" s="24">
        <v>0</v>
      </c>
      <c r="T1116" s="24">
        <v>76275</v>
      </c>
      <c r="U1116" s="24">
        <v>0</v>
      </c>
      <c r="V1116" s="24">
        <v>0</v>
      </c>
      <c r="W1116" s="24">
        <v>0</v>
      </c>
      <c r="X1116" s="24">
        <v>0</v>
      </c>
      <c r="Y1116" s="24">
        <v>0</v>
      </c>
      <c r="Z1116" s="24">
        <f t="shared" si="53"/>
        <v>76275</v>
      </c>
      <c r="AB1116" s="25">
        <v>76275</v>
      </c>
      <c r="AC1116" s="26">
        <v>76275</v>
      </c>
      <c r="AD1116" s="24">
        <v>0</v>
      </c>
      <c r="AE1116" s="27">
        <f>_xlfn.XLOOKUP(B1116,'Projects Cashflow'!$B:$B,'Projects Cashflow'!$AG:$AG,0)</f>
        <v>76275</v>
      </c>
      <c r="AF1116" s="28">
        <f t="shared" si="54"/>
        <v>0</v>
      </c>
    </row>
    <row r="1117" spans="2:32" x14ac:dyDescent="0.3">
      <c r="B1117" s="14" t="str">
        <f t="shared" si="52"/>
        <v>45151004511001476Admin Expenses-N421125200104</v>
      </c>
      <c r="C1117" s="21" t="s">
        <v>211</v>
      </c>
      <c r="D1117" s="22">
        <v>4515100</v>
      </c>
      <c r="E1117" s="21" t="s">
        <v>3007</v>
      </c>
      <c r="F1117" s="22">
        <v>4511001476</v>
      </c>
      <c r="G1117" s="21" t="s">
        <v>1790</v>
      </c>
      <c r="H1117" s="21" t="s">
        <v>130</v>
      </c>
      <c r="I1117" s="22">
        <v>421125</v>
      </c>
      <c r="J1117" s="22">
        <v>200104</v>
      </c>
      <c r="K1117" s="22" t="s">
        <v>2959</v>
      </c>
      <c r="L1117" s="22">
        <v>70602</v>
      </c>
      <c r="M1117" s="23" t="s">
        <v>2961</v>
      </c>
      <c r="N1117" s="24">
        <v>0</v>
      </c>
      <c r="O1117" s="24">
        <v>0</v>
      </c>
      <c r="P1117" s="24">
        <v>0</v>
      </c>
      <c r="Q1117" s="24">
        <v>0</v>
      </c>
      <c r="R1117" s="24">
        <v>0</v>
      </c>
      <c r="S1117" s="24">
        <v>0</v>
      </c>
      <c r="T1117" s="24">
        <v>10000</v>
      </c>
      <c r="U1117" s="24">
        <v>0</v>
      </c>
      <c r="V1117" s="24">
        <v>0</v>
      </c>
      <c r="W1117" s="24">
        <v>0</v>
      </c>
      <c r="X1117" s="24">
        <v>0</v>
      </c>
      <c r="Y1117" s="24">
        <v>0</v>
      </c>
      <c r="Z1117" s="24">
        <f t="shared" si="53"/>
        <v>10000</v>
      </c>
      <c r="AB1117" s="25">
        <v>10000</v>
      </c>
      <c r="AC1117" s="26">
        <v>10000</v>
      </c>
      <c r="AD1117" s="24">
        <v>0</v>
      </c>
      <c r="AE1117" s="27">
        <f>_xlfn.XLOOKUP(B1117,'Projects Cashflow'!$B:$B,'Projects Cashflow'!$AG:$AG,0)</f>
        <v>10000</v>
      </c>
      <c r="AF1117" s="28">
        <f t="shared" si="54"/>
        <v>0</v>
      </c>
    </row>
    <row r="1118" spans="2:32" x14ac:dyDescent="0.3">
      <c r="B1118" s="14" t="str">
        <f t="shared" si="52"/>
        <v>45151004511001477Trade Partners-L424251201931</v>
      </c>
      <c r="C1118" s="34" t="s">
        <v>211</v>
      </c>
      <c r="D1118" s="35">
        <v>4515100</v>
      </c>
      <c r="E1118" s="34" t="s">
        <v>3007</v>
      </c>
      <c r="F1118" s="35">
        <v>4511001477</v>
      </c>
      <c r="G1118" s="34" t="s">
        <v>1792</v>
      </c>
      <c r="H1118" s="34" t="s">
        <v>568</v>
      </c>
      <c r="I1118" s="35">
        <v>424251</v>
      </c>
      <c r="J1118" s="35">
        <v>201931</v>
      </c>
      <c r="K1118" s="35" t="s">
        <v>2959</v>
      </c>
      <c r="L1118" s="22">
        <v>70602</v>
      </c>
      <c r="M1118" s="36" t="s">
        <v>2961</v>
      </c>
      <c r="N1118" s="24">
        <v>0</v>
      </c>
      <c r="O1118" s="24">
        <v>0</v>
      </c>
      <c r="P1118" s="24">
        <v>351237.89999999997</v>
      </c>
      <c r="Q1118" s="24">
        <v>0</v>
      </c>
      <c r="R1118" s="24">
        <v>299761</v>
      </c>
      <c r="S1118" s="24">
        <v>0</v>
      </c>
      <c r="T1118" s="24">
        <v>0</v>
      </c>
      <c r="U1118" s="24">
        <v>0</v>
      </c>
      <c r="V1118" s="24">
        <v>0</v>
      </c>
      <c r="W1118" s="24">
        <v>4020006</v>
      </c>
      <c r="X1118" s="24">
        <v>0</v>
      </c>
      <c r="Y1118" s="24">
        <v>0</v>
      </c>
      <c r="Z1118" s="24">
        <f t="shared" si="53"/>
        <v>4671004.9000000004</v>
      </c>
      <c r="AB1118" s="37">
        <v>4216005</v>
      </c>
      <c r="AC1118" s="38">
        <v>4216005</v>
      </c>
      <c r="AD1118" s="48">
        <v>0</v>
      </c>
      <c r="AE1118" s="27">
        <f>_xlfn.XLOOKUP(B1118,'Projects Cashflow'!$B:$B,'Projects Cashflow'!$AG:$AG,0)</f>
        <v>4216005</v>
      </c>
      <c r="AF1118" s="28">
        <f t="shared" si="54"/>
        <v>0</v>
      </c>
    </row>
    <row r="1119" spans="2:32" x14ac:dyDescent="0.3">
      <c r="B1119" s="14" t="str">
        <f t="shared" si="52"/>
        <v>45151004511001477Trade Promotion-N424251200104</v>
      </c>
      <c r="C1119" s="21" t="s">
        <v>211</v>
      </c>
      <c r="D1119" s="22">
        <v>4515100</v>
      </c>
      <c r="E1119" s="21" t="s">
        <v>3007</v>
      </c>
      <c r="F1119" s="22">
        <v>4511001477</v>
      </c>
      <c r="G1119" s="21" t="s">
        <v>1792</v>
      </c>
      <c r="H1119" s="21" t="s">
        <v>748</v>
      </c>
      <c r="I1119" s="22">
        <v>424251</v>
      </c>
      <c r="J1119" s="22">
        <v>200104</v>
      </c>
      <c r="K1119" s="22" t="s">
        <v>2959</v>
      </c>
      <c r="L1119" s="22">
        <v>70602</v>
      </c>
      <c r="M1119" s="23" t="s">
        <v>2961</v>
      </c>
      <c r="N1119" s="24">
        <v>0</v>
      </c>
      <c r="O1119" s="24">
        <v>0</v>
      </c>
      <c r="P1119" s="24">
        <v>0</v>
      </c>
      <c r="Q1119" s="24">
        <v>0</v>
      </c>
      <c r="R1119" s="24">
        <v>50000</v>
      </c>
      <c r="S1119" s="24">
        <v>0</v>
      </c>
      <c r="T1119" s="24">
        <v>0</v>
      </c>
      <c r="U1119" s="24">
        <v>0</v>
      </c>
      <c r="V1119" s="24">
        <v>0</v>
      </c>
      <c r="W1119" s="24">
        <v>662400</v>
      </c>
      <c r="X1119" s="24">
        <v>0</v>
      </c>
      <c r="Y1119" s="24">
        <v>0</v>
      </c>
      <c r="Z1119" s="24">
        <f t="shared" si="53"/>
        <v>712400</v>
      </c>
      <c r="AB1119" s="25">
        <v>50000</v>
      </c>
      <c r="AC1119" s="26">
        <v>50000</v>
      </c>
      <c r="AD1119" s="24">
        <v>0</v>
      </c>
      <c r="AE1119" s="27">
        <f>_xlfn.XLOOKUP(B1119,'Projects Cashflow'!$B:$B,'Projects Cashflow'!$AG:$AG,0)</f>
        <v>50000</v>
      </c>
      <c r="AF1119" s="28">
        <f t="shared" si="54"/>
        <v>0</v>
      </c>
    </row>
    <row r="1120" spans="2:32" x14ac:dyDescent="0.3">
      <c r="B1120" s="14" t="str">
        <f t="shared" si="52"/>
        <v>45151004511001477Admin Expenses-N421125200104</v>
      </c>
      <c r="C1120" s="21" t="s">
        <v>211</v>
      </c>
      <c r="D1120" s="22">
        <v>4515100</v>
      </c>
      <c r="E1120" s="21" t="s">
        <v>3007</v>
      </c>
      <c r="F1120" s="22">
        <v>4511001477</v>
      </c>
      <c r="G1120" s="21" t="s">
        <v>1792</v>
      </c>
      <c r="H1120" s="21" t="s">
        <v>130</v>
      </c>
      <c r="I1120" s="22">
        <v>421125</v>
      </c>
      <c r="J1120" s="22">
        <v>200104</v>
      </c>
      <c r="K1120" s="22" t="s">
        <v>2959</v>
      </c>
      <c r="L1120" s="22">
        <v>70602</v>
      </c>
      <c r="M1120" s="23" t="s">
        <v>2961</v>
      </c>
      <c r="N1120" s="24">
        <v>0</v>
      </c>
      <c r="O1120" s="24">
        <v>0</v>
      </c>
      <c r="P1120" s="24">
        <v>0</v>
      </c>
      <c r="Q1120" s="24">
        <v>0</v>
      </c>
      <c r="R1120" s="24">
        <v>0</v>
      </c>
      <c r="S1120" s="24">
        <v>0</v>
      </c>
      <c r="T1120" s="24">
        <v>0</v>
      </c>
      <c r="U1120" s="24">
        <v>0</v>
      </c>
      <c r="V1120" s="24">
        <v>0</v>
      </c>
      <c r="W1120" s="24">
        <v>0</v>
      </c>
      <c r="X1120" s="24">
        <v>54000</v>
      </c>
      <c r="Y1120" s="24">
        <v>0</v>
      </c>
      <c r="Z1120" s="24">
        <f t="shared" si="53"/>
        <v>54000</v>
      </c>
      <c r="AB1120" s="25">
        <v>54000</v>
      </c>
      <c r="AC1120" s="26">
        <v>54000</v>
      </c>
      <c r="AD1120" s="24">
        <v>0</v>
      </c>
      <c r="AE1120" s="27">
        <f>_xlfn.XLOOKUP(B1120,'Projects Cashflow'!$B:$B,'Projects Cashflow'!$AG:$AG,0)</f>
        <v>54000</v>
      </c>
      <c r="AF1120" s="28">
        <f t="shared" si="54"/>
        <v>0</v>
      </c>
    </row>
    <row r="1121" spans="2:32" x14ac:dyDescent="0.3">
      <c r="B1121" s="14" t="str">
        <f t="shared" si="52"/>
        <v>45151004511001478Trade Partners-L424251201931</v>
      </c>
      <c r="C1121" s="34" t="s">
        <v>211</v>
      </c>
      <c r="D1121" s="35">
        <v>4515100</v>
      </c>
      <c r="E1121" s="34" t="s">
        <v>3007</v>
      </c>
      <c r="F1121" s="35">
        <v>4511001478</v>
      </c>
      <c r="G1121" s="34" t="s">
        <v>1794</v>
      </c>
      <c r="H1121" s="34" t="s">
        <v>568</v>
      </c>
      <c r="I1121" s="35">
        <v>424251</v>
      </c>
      <c r="J1121" s="35">
        <v>201931</v>
      </c>
      <c r="K1121" s="35" t="s">
        <v>2959</v>
      </c>
      <c r="L1121" s="22">
        <v>70602</v>
      </c>
      <c r="M1121" s="36" t="s">
        <v>2961</v>
      </c>
      <c r="N1121" s="24">
        <v>0</v>
      </c>
      <c r="O1121" s="24">
        <v>0</v>
      </c>
      <c r="P1121" s="24">
        <v>0</v>
      </c>
      <c r="Q1121" s="24">
        <v>0</v>
      </c>
      <c r="R1121" s="24">
        <v>280733</v>
      </c>
      <c r="S1121" s="24">
        <v>283879</v>
      </c>
      <c r="T1121" s="24">
        <v>47000</v>
      </c>
      <c r="U1121" s="24">
        <v>1291434</v>
      </c>
      <c r="V1121" s="24">
        <v>910602</v>
      </c>
      <c r="W1121" s="24">
        <v>499561</v>
      </c>
      <c r="X1121" s="24">
        <v>0</v>
      </c>
      <c r="Y1121" s="24">
        <v>0</v>
      </c>
      <c r="Z1121" s="24">
        <f t="shared" si="53"/>
        <v>3313209</v>
      </c>
      <c r="AB1121" s="37">
        <v>2535209</v>
      </c>
      <c r="AC1121" s="38">
        <v>2535209</v>
      </c>
      <c r="AD1121" s="48">
        <v>0</v>
      </c>
      <c r="AE1121" s="27">
        <f>_xlfn.XLOOKUP(B1121,'Projects Cashflow'!$B:$B,'Projects Cashflow'!$AG:$AG,0)</f>
        <v>2535209</v>
      </c>
      <c r="AF1121" s="28">
        <f t="shared" si="54"/>
        <v>0</v>
      </c>
    </row>
    <row r="1122" spans="2:32" x14ac:dyDescent="0.3">
      <c r="B1122" s="14" t="str">
        <f t="shared" si="52"/>
        <v>45151004511001478GSA Retainer-N421125200104</v>
      </c>
      <c r="C1122" s="34" t="s">
        <v>211</v>
      </c>
      <c r="D1122" s="35">
        <v>4515100</v>
      </c>
      <c r="E1122" s="34" t="s">
        <v>3007</v>
      </c>
      <c r="F1122" s="35">
        <v>4511001478</v>
      </c>
      <c r="G1122" s="34" t="s">
        <v>1794</v>
      </c>
      <c r="H1122" s="34" t="s">
        <v>1775</v>
      </c>
      <c r="I1122" s="35">
        <v>421125</v>
      </c>
      <c r="J1122" s="35">
        <v>200104</v>
      </c>
      <c r="K1122" s="35" t="s">
        <v>2959</v>
      </c>
      <c r="L1122" s="22">
        <v>70602</v>
      </c>
      <c r="M1122" s="36" t="s">
        <v>2960</v>
      </c>
      <c r="N1122" s="24">
        <v>0</v>
      </c>
      <c r="O1122" s="24">
        <v>0</v>
      </c>
      <c r="P1122" s="24">
        <v>0</v>
      </c>
      <c r="Q1122" s="24">
        <v>1111057.4664799999</v>
      </c>
      <c r="R1122" s="24">
        <v>235355.62933999998</v>
      </c>
      <c r="S1122" s="24">
        <v>235355.62933999998</v>
      </c>
      <c r="T1122" s="24">
        <v>235355.62933999998</v>
      </c>
      <c r="U1122" s="24">
        <v>235355.62933999998</v>
      </c>
      <c r="V1122" s="24">
        <v>235355.62933999998</v>
      </c>
      <c r="W1122" s="24">
        <v>235355.62933999998</v>
      </c>
      <c r="X1122" s="24">
        <v>235355.62933999998</v>
      </c>
      <c r="Y1122" s="24">
        <v>327069.64813999995</v>
      </c>
      <c r="Z1122" s="24">
        <f t="shared" si="53"/>
        <v>3085616.5199999996</v>
      </c>
      <c r="AB1122" s="37">
        <v>3166704</v>
      </c>
      <c r="AC1122" s="38">
        <v>3166704</v>
      </c>
      <c r="AD1122" s="48">
        <v>0</v>
      </c>
      <c r="AE1122" s="27">
        <f>_xlfn.XLOOKUP(B1122,'Projects Cashflow'!$B:$B,'Projects Cashflow'!$AG:$AG,0)</f>
        <v>3166704</v>
      </c>
      <c r="AF1122" s="28">
        <f t="shared" si="54"/>
        <v>0</v>
      </c>
    </row>
    <row r="1123" spans="2:32" x14ac:dyDescent="0.3">
      <c r="B1123" s="14" t="str">
        <f t="shared" si="52"/>
        <v>45151004511001478Trade Promotion-N424251200104</v>
      </c>
      <c r="C1123" s="21" t="s">
        <v>211</v>
      </c>
      <c r="D1123" s="22">
        <v>4515100</v>
      </c>
      <c r="E1123" s="21" t="s">
        <v>3007</v>
      </c>
      <c r="F1123" s="22">
        <v>4511001478</v>
      </c>
      <c r="G1123" s="21" t="s">
        <v>1794</v>
      </c>
      <c r="H1123" s="21" t="s">
        <v>748</v>
      </c>
      <c r="I1123" s="22">
        <v>424251</v>
      </c>
      <c r="J1123" s="22">
        <v>200104</v>
      </c>
      <c r="K1123" s="22" t="s">
        <v>2959</v>
      </c>
      <c r="L1123" s="22">
        <v>70602</v>
      </c>
      <c r="M1123" s="23" t="s">
        <v>2961</v>
      </c>
      <c r="N1123" s="24">
        <v>0</v>
      </c>
      <c r="O1123" s="24">
        <v>0</v>
      </c>
      <c r="P1123" s="24">
        <v>0</v>
      </c>
      <c r="Q1123" s="24">
        <v>0</v>
      </c>
      <c r="R1123" s="24">
        <v>22038</v>
      </c>
      <c r="S1123" s="24">
        <v>205000</v>
      </c>
      <c r="T1123" s="24">
        <v>0</v>
      </c>
      <c r="U1123" s="24">
        <v>614692</v>
      </c>
      <c r="V1123" s="24">
        <v>0</v>
      </c>
      <c r="W1123" s="24">
        <v>128592</v>
      </c>
      <c r="X1123" s="24">
        <v>0</v>
      </c>
      <c r="Y1123" s="24">
        <v>0</v>
      </c>
      <c r="Z1123" s="24">
        <f t="shared" si="53"/>
        <v>970322</v>
      </c>
      <c r="AB1123" s="25">
        <v>970322</v>
      </c>
      <c r="AC1123" s="26">
        <v>970322</v>
      </c>
      <c r="AD1123" s="24">
        <v>0</v>
      </c>
      <c r="AE1123" s="27">
        <f>_xlfn.XLOOKUP(B1123,'Projects Cashflow'!$B:$B,'Projects Cashflow'!$AG:$AG,0)</f>
        <v>970322</v>
      </c>
      <c r="AF1123" s="28">
        <f t="shared" si="54"/>
        <v>0</v>
      </c>
    </row>
    <row r="1124" spans="2:32" x14ac:dyDescent="0.3">
      <c r="B1124" s="14" t="str">
        <f t="shared" si="52"/>
        <v>45151004511001478Admin Expenses-N421125200104</v>
      </c>
      <c r="C1124" s="34" t="s">
        <v>211</v>
      </c>
      <c r="D1124" s="35">
        <v>4515100</v>
      </c>
      <c r="E1124" s="34" t="s">
        <v>3007</v>
      </c>
      <c r="F1124" s="35">
        <v>4511001478</v>
      </c>
      <c r="G1124" s="34" t="s">
        <v>1794</v>
      </c>
      <c r="H1124" s="34" t="s">
        <v>130</v>
      </c>
      <c r="I1124" s="35">
        <v>421125</v>
      </c>
      <c r="J1124" s="35">
        <v>200104</v>
      </c>
      <c r="K1124" s="35" t="s">
        <v>2959</v>
      </c>
      <c r="L1124" s="22">
        <v>70602</v>
      </c>
      <c r="M1124" s="36" t="s">
        <v>2961</v>
      </c>
      <c r="N1124" s="24">
        <v>0</v>
      </c>
      <c r="O1124" s="24">
        <v>0</v>
      </c>
      <c r="P1124" s="24">
        <v>0</v>
      </c>
      <c r="Q1124" s="24">
        <v>35000</v>
      </c>
      <c r="R1124" s="24">
        <v>0</v>
      </c>
      <c r="S1124" s="24">
        <v>0</v>
      </c>
      <c r="T1124" s="24">
        <v>33057</v>
      </c>
      <c r="U1124" s="24">
        <v>50000</v>
      </c>
      <c r="V1124" s="24">
        <v>52906.5</v>
      </c>
      <c r="W1124" s="24">
        <v>0</v>
      </c>
      <c r="X1124" s="24">
        <v>80670</v>
      </c>
      <c r="Y1124" s="24">
        <v>0</v>
      </c>
      <c r="Z1124" s="24">
        <f t="shared" si="53"/>
        <v>251633.5</v>
      </c>
      <c r="AB1124" s="37">
        <v>251633.5</v>
      </c>
      <c r="AC1124" s="38">
        <v>251633</v>
      </c>
      <c r="AD1124" s="48">
        <v>0.5</v>
      </c>
      <c r="AE1124" s="27">
        <f>_xlfn.XLOOKUP(B1124,'Projects Cashflow'!$B:$B,'Projects Cashflow'!$AG:$AG,0)</f>
        <v>251633</v>
      </c>
      <c r="AF1124" s="28">
        <f t="shared" si="54"/>
        <v>-0.5</v>
      </c>
    </row>
    <row r="1125" spans="2:32" x14ac:dyDescent="0.3">
      <c r="B1125" s="14" t="str">
        <f t="shared" si="52"/>
        <v>45151004511001479Trade Partners-L424251201931</v>
      </c>
      <c r="C1125" s="21" t="s">
        <v>211</v>
      </c>
      <c r="D1125" s="22">
        <v>4515100</v>
      </c>
      <c r="E1125" s="21" t="s">
        <v>3007</v>
      </c>
      <c r="F1125" s="22">
        <v>4511001479</v>
      </c>
      <c r="G1125" s="21" t="s">
        <v>1796</v>
      </c>
      <c r="H1125" s="21" t="s">
        <v>568</v>
      </c>
      <c r="I1125" s="22">
        <v>424251</v>
      </c>
      <c r="J1125" s="22">
        <v>201931</v>
      </c>
      <c r="K1125" s="22" t="s">
        <v>2959</v>
      </c>
      <c r="L1125" s="22">
        <v>70602</v>
      </c>
      <c r="M1125" s="23" t="s">
        <v>2969</v>
      </c>
      <c r="N1125" s="24">
        <v>0</v>
      </c>
      <c r="O1125" s="24">
        <v>0</v>
      </c>
      <c r="P1125" s="24">
        <v>125000</v>
      </c>
      <c r="Q1125" s="24">
        <v>0</v>
      </c>
      <c r="R1125" s="24">
        <v>0</v>
      </c>
      <c r="S1125" s="24">
        <v>210000</v>
      </c>
      <c r="T1125" s="24">
        <v>0</v>
      </c>
      <c r="U1125" s="24">
        <v>412000</v>
      </c>
      <c r="V1125" s="24">
        <v>0</v>
      </c>
      <c r="W1125" s="24">
        <v>0</v>
      </c>
      <c r="X1125" s="24">
        <v>0</v>
      </c>
      <c r="Y1125" s="24">
        <v>0</v>
      </c>
      <c r="Z1125" s="24">
        <f t="shared" si="53"/>
        <v>747000</v>
      </c>
      <c r="AB1125" s="25">
        <v>747000</v>
      </c>
      <c r="AC1125" s="26">
        <v>747000</v>
      </c>
      <c r="AD1125" s="24">
        <v>0</v>
      </c>
      <c r="AE1125" s="27">
        <f>_xlfn.XLOOKUP(B1125,'Projects Cashflow'!$B:$B,'Projects Cashflow'!$AG:$AG,0)</f>
        <v>747000</v>
      </c>
      <c r="AF1125" s="28">
        <f t="shared" si="54"/>
        <v>0</v>
      </c>
    </row>
    <row r="1126" spans="2:32" x14ac:dyDescent="0.3">
      <c r="B1126" s="14" t="str">
        <f t="shared" si="52"/>
        <v>45151004511001479GSA Retainer-N421125200104</v>
      </c>
      <c r="C1126" s="21" t="s">
        <v>211</v>
      </c>
      <c r="D1126" s="22">
        <v>4515100</v>
      </c>
      <c r="E1126" s="21" t="s">
        <v>3007</v>
      </c>
      <c r="F1126" s="22">
        <v>4511001479</v>
      </c>
      <c r="G1126" s="21" t="s">
        <v>1796</v>
      </c>
      <c r="H1126" s="21" t="s">
        <v>1775</v>
      </c>
      <c r="I1126" s="22">
        <v>421125</v>
      </c>
      <c r="J1126" s="22">
        <v>200104</v>
      </c>
      <c r="K1126" s="22" t="s">
        <v>2959</v>
      </c>
      <c r="L1126" s="22">
        <v>70602</v>
      </c>
      <c r="M1126" s="23" t="s">
        <v>2960</v>
      </c>
      <c r="N1126" s="24">
        <v>0</v>
      </c>
      <c r="O1126" s="24">
        <v>0</v>
      </c>
      <c r="P1126" s="24">
        <v>30567.599999999999</v>
      </c>
      <c r="Q1126" s="24">
        <v>35662.6</v>
      </c>
      <c r="R1126" s="24">
        <v>15283.8</v>
      </c>
      <c r="S1126" s="24">
        <v>20378.400000000001</v>
      </c>
      <c r="T1126" s="24">
        <v>15283.8</v>
      </c>
      <c r="U1126" s="24">
        <v>15283.8</v>
      </c>
      <c r="V1126" s="24">
        <v>20378.400000000001</v>
      </c>
      <c r="W1126" s="24">
        <v>15283.8</v>
      </c>
      <c r="X1126" s="24">
        <v>15283.8</v>
      </c>
      <c r="Y1126" s="24">
        <v>20378.000000000036</v>
      </c>
      <c r="Z1126" s="24">
        <f t="shared" si="53"/>
        <v>203784</v>
      </c>
      <c r="AB1126" s="25">
        <v>203784</v>
      </c>
      <c r="AC1126" s="26">
        <v>203784</v>
      </c>
      <c r="AD1126" s="24">
        <v>0</v>
      </c>
      <c r="AE1126" s="27">
        <f>_xlfn.XLOOKUP(B1126,'Projects Cashflow'!$B:$B,'Projects Cashflow'!$AG:$AG,0)</f>
        <v>203784</v>
      </c>
      <c r="AF1126" s="28">
        <f t="shared" si="54"/>
        <v>0</v>
      </c>
    </row>
    <row r="1127" spans="2:32" x14ac:dyDescent="0.3">
      <c r="B1127" s="14" t="str">
        <f t="shared" si="52"/>
        <v>45151004511001479Trade Promotion-N424251200104</v>
      </c>
      <c r="C1127" s="21" t="s">
        <v>211</v>
      </c>
      <c r="D1127" s="22">
        <v>4515100</v>
      </c>
      <c r="E1127" s="21" t="s">
        <v>3007</v>
      </c>
      <c r="F1127" s="22">
        <v>4511001479</v>
      </c>
      <c r="G1127" s="21" t="s">
        <v>1796</v>
      </c>
      <c r="H1127" s="21" t="s">
        <v>748</v>
      </c>
      <c r="I1127" s="22">
        <v>424251</v>
      </c>
      <c r="J1127" s="22">
        <v>200104</v>
      </c>
      <c r="K1127" s="22" t="s">
        <v>2959</v>
      </c>
      <c r="L1127" s="22">
        <v>70602</v>
      </c>
      <c r="M1127" s="23" t="s">
        <v>2961</v>
      </c>
      <c r="N1127" s="24">
        <v>0</v>
      </c>
      <c r="O1127" s="24">
        <v>0</v>
      </c>
      <c r="P1127" s="24">
        <v>25000</v>
      </c>
      <c r="Q1127" s="24">
        <v>0</v>
      </c>
      <c r="R1127" s="24">
        <v>0</v>
      </c>
      <c r="S1127" s="24">
        <v>0</v>
      </c>
      <c r="T1127" s="24">
        <v>0</v>
      </c>
      <c r="U1127" s="24">
        <v>0</v>
      </c>
      <c r="V1127" s="24">
        <v>175000</v>
      </c>
      <c r="W1127" s="24">
        <v>0</v>
      </c>
      <c r="X1127" s="24">
        <v>0</v>
      </c>
      <c r="Y1127" s="24">
        <v>0</v>
      </c>
      <c r="Z1127" s="24">
        <f t="shared" si="53"/>
        <v>200000</v>
      </c>
      <c r="AB1127" s="25">
        <v>200000</v>
      </c>
      <c r="AC1127" s="26">
        <v>200000</v>
      </c>
      <c r="AD1127" s="24">
        <v>0</v>
      </c>
      <c r="AE1127" s="27">
        <f>_xlfn.XLOOKUP(B1127,'Projects Cashflow'!$B:$B,'Projects Cashflow'!$AG:$AG,0)</f>
        <v>200000</v>
      </c>
      <c r="AF1127" s="28">
        <f t="shared" si="54"/>
        <v>0</v>
      </c>
    </row>
    <row r="1128" spans="2:32" x14ac:dyDescent="0.3">
      <c r="B1128" s="14" t="str">
        <f t="shared" si="52"/>
        <v>45151004511001479Admin Expenses-N421125200104</v>
      </c>
      <c r="C1128" s="21" t="s">
        <v>211</v>
      </c>
      <c r="D1128" s="22">
        <v>4515100</v>
      </c>
      <c r="E1128" s="21" t="s">
        <v>3007</v>
      </c>
      <c r="F1128" s="22">
        <v>4511001479</v>
      </c>
      <c r="G1128" s="21" t="s">
        <v>1796</v>
      </c>
      <c r="H1128" s="21" t="s">
        <v>130</v>
      </c>
      <c r="I1128" s="22">
        <v>421125</v>
      </c>
      <c r="J1128" s="22">
        <v>200104</v>
      </c>
      <c r="K1128" s="22" t="s">
        <v>2959</v>
      </c>
      <c r="L1128" s="22">
        <v>70602</v>
      </c>
      <c r="M1128" s="23" t="s">
        <v>2961</v>
      </c>
      <c r="N1128" s="24">
        <v>0</v>
      </c>
      <c r="O1128" s="24">
        <v>0</v>
      </c>
      <c r="P1128" s="24">
        <v>0</v>
      </c>
      <c r="Q1128" s="24">
        <v>0</v>
      </c>
      <c r="R1128" s="24">
        <v>0</v>
      </c>
      <c r="S1128" s="24">
        <v>0</v>
      </c>
      <c r="T1128" s="24">
        <v>0</v>
      </c>
      <c r="U1128" s="24">
        <v>0</v>
      </c>
      <c r="V1128" s="24">
        <v>90000</v>
      </c>
      <c r="W1128" s="24">
        <v>0</v>
      </c>
      <c r="X1128" s="24">
        <v>0</v>
      </c>
      <c r="Y1128" s="24">
        <v>0</v>
      </c>
      <c r="Z1128" s="24">
        <f t="shared" si="53"/>
        <v>90000</v>
      </c>
      <c r="AB1128" s="25">
        <v>90000</v>
      </c>
      <c r="AC1128" s="26">
        <v>90000</v>
      </c>
      <c r="AD1128" s="24">
        <v>0</v>
      </c>
      <c r="AE1128" s="27">
        <f>_xlfn.XLOOKUP(B1128,'Projects Cashflow'!$B:$B,'Projects Cashflow'!$AG:$AG,0)</f>
        <v>90000</v>
      </c>
      <c r="AF1128" s="28">
        <f t="shared" si="54"/>
        <v>0</v>
      </c>
    </row>
    <row r="1129" spans="2:32" x14ac:dyDescent="0.3">
      <c r="B1129" s="14" t="str">
        <f t="shared" si="52"/>
        <v>45151004511001480Trade Partners-L424251201931</v>
      </c>
      <c r="C1129" s="34" t="s">
        <v>211</v>
      </c>
      <c r="D1129" s="35">
        <v>4515100</v>
      </c>
      <c r="E1129" s="34" t="s">
        <v>3007</v>
      </c>
      <c r="F1129" s="35">
        <v>4511001480</v>
      </c>
      <c r="G1129" s="34" t="s">
        <v>1798</v>
      </c>
      <c r="H1129" s="34" t="s">
        <v>568</v>
      </c>
      <c r="I1129" s="35">
        <v>424251</v>
      </c>
      <c r="J1129" s="35">
        <v>201931</v>
      </c>
      <c r="K1129" s="35" t="s">
        <v>2959</v>
      </c>
      <c r="L1129" s="22">
        <v>70602</v>
      </c>
      <c r="M1129" s="36" t="s">
        <v>2969</v>
      </c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4">
        <f t="shared" si="53"/>
        <v>0</v>
      </c>
      <c r="AB1129" s="37">
        <v>195905</v>
      </c>
      <c r="AC1129" s="38">
        <v>195905</v>
      </c>
      <c r="AD1129" s="48">
        <v>0</v>
      </c>
      <c r="AE1129" s="27">
        <f>_xlfn.XLOOKUP(B1129,'Projects Cashflow'!$B:$B,'Projects Cashflow'!$AG:$AG,0)</f>
        <v>195905</v>
      </c>
      <c r="AF1129" s="28">
        <f t="shared" si="54"/>
        <v>0</v>
      </c>
    </row>
    <row r="1130" spans="2:32" x14ac:dyDescent="0.3">
      <c r="B1130" s="14" t="str">
        <f t="shared" si="52"/>
        <v>45153004511000789Mystery Shopper-N421191200104</v>
      </c>
      <c r="C1130" s="34" t="s">
        <v>211</v>
      </c>
      <c r="D1130" s="35">
        <v>4515300</v>
      </c>
      <c r="E1130" s="34" t="s">
        <v>3118</v>
      </c>
      <c r="F1130" s="35">
        <v>4511000789</v>
      </c>
      <c r="G1130" s="34" t="s">
        <v>1072</v>
      </c>
      <c r="H1130" s="34" t="s">
        <v>1078</v>
      </c>
      <c r="I1130" s="35">
        <v>421191</v>
      </c>
      <c r="J1130" s="35">
        <v>200104</v>
      </c>
      <c r="K1130" s="35" t="s">
        <v>2959</v>
      </c>
      <c r="L1130" s="22">
        <v>70503</v>
      </c>
      <c r="M1130" s="36" t="s">
        <v>2960</v>
      </c>
      <c r="N1130" s="24">
        <v>0</v>
      </c>
      <c r="O1130" s="24">
        <v>0</v>
      </c>
      <c r="P1130" s="26">
        <v>75808</v>
      </c>
      <c r="Q1130" s="24">
        <v>40070</v>
      </c>
      <c r="R1130" s="24">
        <v>60035</v>
      </c>
      <c r="S1130" s="24">
        <v>60035</v>
      </c>
      <c r="T1130" s="24">
        <v>390017.5</v>
      </c>
      <c r="U1130" s="24">
        <v>390017.5</v>
      </c>
      <c r="V1130" s="24">
        <v>390017.5</v>
      </c>
      <c r="W1130" s="24">
        <v>390017.5</v>
      </c>
      <c r="X1130" s="24">
        <v>390017.5</v>
      </c>
      <c r="Y1130" s="24">
        <v>3318126.25</v>
      </c>
      <c r="Z1130" s="24">
        <f t="shared" si="53"/>
        <v>5504161.75</v>
      </c>
      <c r="AB1130" s="37">
        <v>1989161.75</v>
      </c>
      <c r="AC1130" s="38">
        <v>1989162</v>
      </c>
      <c r="AD1130" s="48">
        <v>-0.25</v>
      </c>
      <c r="AE1130" s="27">
        <f>_xlfn.XLOOKUP(B1130,'Projects Cashflow'!$B:$B,'Projects Cashflow'!$AG:$AG,0)</f>
        <v>1989162</v>
      </c>
      <c r="AF1130" s="28">
        <f t="shared" si="54"/>
        <v>0.25</v>
      </c>
    </row>
    <row r="1131" spans="2:32" x14ac:dyDescent="0.3">
      <c r="B1131" s="14" t="str">
        <f t="shared" si="52"/>
        <v>45153004511000789Freelancers-N424521200104</v>
      </c>
      <c r="C1131" s="34" t="s">
        <v>211</v>
      </c>
      <c r="D1131" s="35">
        <v>4515300</v>
      </c>
      <c r="E1131" s="34" t="s">
        <v>3118</v>
      </c>
      <c r="F1131" s="35">
        <v>4511000789</v>
      </c>
      <c r="G1131" s="34" t="s">
        <v>1072</v>
      </c>
      <c r="H1131" s="34" t="s">
        <v>50</v>
      </c>
      <c r="I1131" s="35">
        <v>424521</v>
      </c>
      <c r="J1131" s="35">
        <v>200104</v>
      </c>
      <c r="K1131" s="35" t="s">
        <v>2959</v>
      </c>
      <c r="L1131" s="22">
        <v>70503</v>
      </c>
      <c r="M1131" s="36" t="s">
        <v>2960</v>
      </c>
      <c r="N1131" s="24">
        <v>0</v>
      </c>
      <c r="O1131" s="24">
        <v>0</v>
      </c>
      <c r="P1131" s="24">
        <v>0</v>
      </c>
      <c r="Q1131" s="24">
        <v>20630</v>
      </c>
      <c r="R1131" s="24">
        <v>19965</v>
      </c>
      <c r="S1131" s="24">
        <v>19965</v>
      </c>
      <c r="T1131" s="24">
        <v>19965</v>
      </c>
      <c r="U1131" s="24">
        <v>19965</v>
      </c>
      <c r="V1131" s="24">
        <v>19965</v>
      </c>
      <c r="W1131" s="24">
        <v>19965</v>
      </c>
      <c r="X1131" s="24">
        <v>19965</v>
      </c>
      <c r="Y1131" s="24">
        <v>19965</v>
      </c>
      <c r="Z1131" s="24">
        <f t="shared" si="53"/>
        <v>180350</v>
      </c>
      <c r="AB1131" s="37">
        <v>180350</v>
      </c>
      <c r="AC1131" s="38">
        <v>180350</v>
      </c>
      <c r="AD1131" s="32">
        <v>0</v>
      </c>
      <c r="AE1131" s="27">
        <f>_xlfn.XLOOKUP(B1131,'Projects Cashflow'!$B:$B,'Projects Cashflow'!$AG:$AG,0)</f>
        <v>180350</v>
      </c>
      <c r="AF1131" s="28">
        <f t="shared" si="54"/>
        <v>0</v>
      </c>
    </row>
    <row r="1132" spans="2:32" x14ac:dyDescent="0.3">
      <c r="B1132" s="14" t="str">
        <f t="shared" si="52"/>
        <v>45153004511000789Admin Expenses-N1421125200104</v>
      </c>
      <c r="C1132" s="34" t="s">
        <v>211</v>
      </c>
      <c r="D1132" s="35">
        <v>4515300</v>
      </c>
      <c r="E1132" s="34" t="s">
        <v>3118</v>
      </c>
      <c r="F1132" s="35">
        <v>4511000789</v>
      </c>
      <c r="G1132" s="34" t="s">
        <v>1072</v>
      </c>
      <c r="H1132" s="34" t="s">
        <v>73</v>
      </c>
      <c r="I1132" s="35">
        <v>421125</v>
      </c>
      <c r="J1132" s="35">
        <v>200104</v>
      </c>
      <c r="K1132" s="35" t="s">
        <v>2959</v>
      </c>
      <c r="L1132" s="22">
        <v>70501</v>
      </c>
      <c r="M1132" s="36" t="s">
        <v>2960</v>
      </c>
      <c r="N1132" s="24">
        <v>0</v>
      </c>
      <c r="O1132" s="24">
        <v>0</v>
      </c>
      <c r="P1132" s="24">
        <v>0</v>
      </c>
      <c r="Q1132" s="24">
        <v>0</v>
      </c>
      <c r="R1132" s="24">
        <v>0</v>
      </c>
      <c r="S1132" s="24">
        <v>26675</v>
      </c>
      <c r="T1132" s="24">
        <v>0</v>
      </c>
      <c r="U1132" s="24">
        <v>0</v>
      </c>
      <c r="V1132" s="24">
        <v>30000</v>
      </c>
      <c r="W1132" s="24">
        <v>0</v>
      </c>
      <c r="X1132" s="24">
        <v>0</v>
      </c>
      <c r="Y1132" s="24">
        <v>40000</v>
      </c>
      <c r="Z1132" s="24">
        <f t="shared" si="53"/>
        <v>96675</v>
      </c>
      <c r="AB1132" s="37">
        <v>96675</v>
      </c>
      <c r="AC1132" s="38">
        <v>96674.6</v>
      </c>
      <c r="AD1132" s="48">
        <v>0.39999999999417923</v>
      </c>
      <c r="AE1132" s="27">
        <f>_xlfn.XLOOKUP(B1132,'Projects Cashflow'!$B:$B,'Projects Cashflow'!$AG:$AG,0)</f>
        <v>96674.6</v>
      </c>
      <c r="AF1132" s="28">
        <f t="shared" si="54"/>
        <v>-0.39999999999417923</v>
      </c>
    </row>
    <row r="1133" spans="2:32" x14ac:dyDescent="0.3">
      <c r="B1133" s="14" t="str">
        <f t="shared" si="52"/>
        <v>45153004511000794Mission &amp; Travel-N423821200104</v>
      </c>
      <c r="C1133" s="21" t="s">
        <v>211</v>
      </c>
      <c r="D1133" s="22">
        <v>4515300</v>
      </c>
      <c r="E1133" s="21" t="s">
        <v>3118</v>
      </c>
      <c r="F1133" s="22">
        <v>4511000794</v>
      </c>
      <c r="G1133" s="21" t="s">
        <v>1081</v>
      </c>
      <c r="H1133" s="21" t="s">
        <v>54</v>
      </c>
      <c r="I1133" s="22">
        <v>423821</v>
      </c>
      <c r="J1133" s="22">
        <v>200104</v>
      </c>
      <c r="K1133" s="22" t="s">
        <v>2959</v>
      </c>
      <c r="L1133" s="22">
        <v>70503</v>
      </c>
      <c r="M1133" s="23" t="s">
        <v>2960</v>
      </c>
      <c r="N1133" s="24">
        <v>0</v>
      </c>
      <c r="O1133" s="24">
        <v>0</v>
      </c>
      <c r="P1133" s="24">
        <v>0</v>
      </c>
      <c r="Q1133" s="24">
        <v>0</v>
      </c>
      <c r="R1133" s="24">
        <v>0</v>
      </c>
      <c r="S1133" s="24">
        <v>101000</v>
      </c>
      <c r="T1133" s="24">
        <v>0</v>
      </c>
      <c r="U1133" s="24">
        <v>0</v>
      </c>
      <c r="V1133" s="24">
        <v>79300</v>
      </c>
      <c r="W1133" s="24">
        <v>56300</v>
      </c>
      <c r="X1133" s="24">
        <v>0</v>
      </c>
      <c r="Y1133" s="24">
        <v>89206</v>
      </c>
      <c r="Z1133" s="24">
        <f t="shared" si="53"/>
        <v>325806</v>
      </c>
      <c r="AB1133" s="25">
        <v>325806</v>
      </c>
      <c r="AC1133" s="26">
        <v>325806</v>
      </c>
      <c r="AD1133" s="24">
        <v>0</v>
      </c>
      <c r="AE1133" s="27">
        <f>_xlfn.XLOOKUP(B1133,'Projects Cashflow'!$B:$B,'Projects Cashflow'!$AG:$AG,0)</f>
        <v>325806</v>
      </c>
      <c r="AF1133" s="28">
        <f t="shared" si="54"/>
        <v>0</v>
      </c>
    </row>
    <row r="1134" spans="2:32" x14ac:dyDescent="0.3">
      <c r="B1134" s="14" t="str">
        <f t="shared" si="52"/>
        <v>45153004511000977Research&amp;Survey-N423411200104</v>
      </c>
      <c r="C1134" s="21" t="s">
        <v>211</v>
      </c>
      <c r="D1134" s="22">
        <v>4515300</v>
      </c>
      <c r="E1134" s="21" t="s">
        <v>3118</v>
      </c>
      <c r="F1134" s="22">
        <v>4511000977</v>
      </c>
      <c r="G1134" s="21" t="s">
        <v>1277</v>
      </c>
      <c r="H1134" s="21" t="s">
        <v>381</v>
      </c>
      <c r="I1134" s="22">
        <v>423411</v>
      </c>
      <c r="J1134" s="22">
        <v>200104</v>
      </c>
      <c r="K1134" s="22" t="s">
        <v>2959</v>
      </c>
      <c r="L1134" s="22">
        <v>70503</v>
      </c>
      <c r="M1134" s="23" t="s">
        <v>2960</v>
      </c>
      <c r="N1134" s="24">
        <v>0</v>
      </c>
      <c r="O1134" s="24">
        <v>0</v>
      </c>
      <c r="P1134" s="24">
        <v>0</v>
      </c>
      <c r="Q1134" s="24">
        <v>0</v>
      </c>
      <c r="R1134" s="24">
        <v>0</v>
      </c>
      <c r="S1134" s="24">
        <v>0</v>
      </c>
      <c r="T1134" s="24">
        <v>0</v>
      </c>
      <c r="U1134" s="24">
        <v>215000</v>
      </c>
      <c r="V1134" s="24">
        <v>300000</v>
      </c>
      <c r="W1134" s="24">
        <v>0</v>
      </c>
      <c r="X1134" s="24">
        <v>0</v>
      </c>
      <c r="Y1134" s="24">
        <v>500000</v>
      </c>
      <c r="Z1134" s="24">
        <f t="shared" si="53"/>
        <v>1015000</v>
      </c>
      <c r="AB1134" s="25">
        <v>3077</v>
      </c>
      <c r="AC1134" s="26">
        <v>3077</v>
      </c>
      <c r="AD1134" s="24">
        <v>0</v>
      </c>
      <c r="AE1134" s="27">
        <f>_xlfn.XLOOKUP(B1134,'Projects Cashflow'!$B:$B,'Projects Cashflow'!$AG:$AG,0)</f>
        <v>3077</v>
      </c>
      <c r="AF1134" s="28">
        <f t="shared" si="54"/>
        <v>0</v>
      </c>
    </row>
    <row r="1135" spans="2:32" x14ac:dyDescent="0.3">
      <c r="B1135" s="14" t="str">
        <f t="shared" si="52"/>
        <v>45153004511000977Licenses Fees-N424131200104</v>
      </c>
      <c r="C1135" s="21" t="s">
        <v>211</v>
      </c>
      <c r="D1135" s="22">
        <v>4515300</v>
      </c>
      <c r="E1135" s="21" t="s">
        <v>3118</v>
      </c>
      <c r="F1135" s="22">
        <v>4511000977</v>
      </c>
      <c r="G1135" s="21" t="s">
        <v>1277</v>
      </c>
      <c r="H1135" s="21" t="s">
        <v>365</v>
      </c>
      <c r="I1135" s="22">
        <v>424131</v>
      </c>
      <c r="J1135" s="22">
        <v>200104</v>
      </c>
      <c r="K1135" s="22" t="s">
        <v>2959</v>
      </c>
      <c r="L1135" s="22">
        <v>70503</v>
      </c>
      <c r="M1135" s="23" t="s">
        <v>2960</v>
      </c>
      <c r="N1135" s="24">
        <v>0</v>
      </c>
      <c r="O1135" s="24">
        <v>0</v>
      </c>
      <c r="P1135" s="24">
        <v>0</v>
      </c>
      <c r="Q1135" s="24">
        <v>0</v>
      </c>
      <c r="R1135" s="24">
        <v>0</v>
      </c>
      <c r="S1135" s="24">
        <v>0</v>
      </c>
      <c r="T1135" s="24">
        <v>0</v>
      </c>
      <c r="U1135" s="24">
        <v>85000</v>
      </c>
      <c r="V1135" s="24">
        <v>50000</v>
      </c>
      <c r="W1135" s="24">
        <v>0</v>
      </c>
      <c r="X1135" s="24">
        <v>0</v>
      </c>
      <c r="Y1135" s="24">
        <v>50000</v>
      </c>
      <c r="Z1135" s="24">
        <f t="shared" si="53"/>
        <v>185000</v>
      </c>
      <c r="AB1135" s="25">
        <v>185000</v>
      </c>
      <c r="AC1135" s="26">
        <v>185000</v>
      </c>
      <c r="AD1135" s="24">
        <v>0</v>
      </c>
      <c r="AE1135" s="27">
        <f>_xlfn.XLOOKUP(B1135,'Projects Cashflow'!$B:$B,'Projects Cashflow'!$AG:$AG,0)</f>
        <v>185000</v>
      </c>
      <c r="AF1135" s="28">
        <f t="shared" si="54"/>
        <v>0</v>
      </c>
    </row>
    <row r="1136" spans="2:32" x14ac:dyDescent="0.3">
      <c r="B1136" s="14" t="str">
        <f t="shared" si="52"/>
        <v>45153004511000978ManagementAdvice-N424521200104</v>
      </c>
      <c r="C1136" s="21" t="s">
        <v>211</v>
      </c>
      <c r="D1136" s="22">
        <v>4515300</v>
      </c>
      <c r="E1136" s="21" t="s">
        <v>3118</v>
      </c>
      <c r="F1136" s="22">
        <v>4511000978</v>
      </c>
      <c r="G1136" s="21" t="s">
        <v>1282</v>
      </c>
      <c r="H1136" s="21" t="s">
        <v>230</v>
      </c>
      <c r="I1136" s="22">
        <v>424521</v>
      </c>
      <c r="J1136" s="22">
        <v>200104</v>
      </c>
      <c r="K1136" s="22" t="s">
        <v>2959</v>
      </c>
      <c r="L1136" s="22">
        <v>70503</v>
      </c>
      <c r="M1136" s="23" t="s">
        <v>2969</v>
      </c>
      <c r="N1136" s="24">
        <v>0</v>
      </c>
      <c r="O1136" s="24">
        <v>0</v>
      </c>
      <c r="P1136" s="24">
        <v>0</v>
      </c>
      <c r="Q1136" s="24">
        <v>570375</v>
      </c>
      <c r="R1136" s="24">
        <v>321375</v>
      </c>
      <c r="S1136" s="24">
        <v>1074500</v>
      </c>
      <c r="T1136" s="24">
        <v>1446375</v>
      </c>
      <c r="U1136" s="24">
        <v>2273375</v>
      </c>
      <c r="V1136" s="24">
        <v>1274750</v>
      </c>
      <c r="W1136" s="24">
        <v>824500</v>
      </c>
      <c r="X1136" s="24">
        <v>974500</v>
      </c>
      <c r="Y1136" s="24">
        <v>1549000</v>
      </c>
      <c r="Z1136" s="24">
        <f t="shared" si="53"/>
        <v>10308750</v>
      </c>
      <c r="AB1136" s="25">
        <v>8428800</v>
      </c>
      <c r="AC1136" s="26">
        <v>8428800</v>
      </c>
      <c r="AD1136" s="24">
        <v>0</v>
      </c>
      <c r="AE1136" s="27">
        <f>_xlfn.XLOOKUP(B1136,'Projects Cashflow'!$B:$B,'Projects Cashflow'!$AG:$AG,0)</f>
        <v>8428800</v>
      </c>
      <c r="AF1136" s="28">
        <f t="shared" si="54"/>
        <v>0</v>
      </c>
    </row>
    <row r="1137" spans="2:32" x14ac:dyDescent="0.3">
      <c r="B1137" s="14" t="str">
        <f t="shared" si="52"/>
        <v>45155004511001330Co-Invest Events-N422401200104</v>
      </c>
      <c r="C1137" s="21" t="s">
        <v>211</v>
      </c>
      <c r="D1137" s="22">
        <v>4515500</v>
      </c>
      <c r="E1137" s="21" t="s">
        <v>512</v>
      </c>
      <c r="F1137" s="22">
        <v>4511001330</v>
      </c>
      <c r="G1137" s="21" t="s">
        <v>1574</v>
      </c>
      <c r="H1137" s="21" t="s">
        <v>523</v>
      </c>
      <c r="I1137" s="22">
        <v>422401</v>
      </c>
      <c r="J1137" s="22">
        <v>200104</v>
      </c>
      <c r="K1137" s="22" t="s">
        <v>2959</v>
      </c>
      <c r="L1137" s="22">
        <v>70501</v>
      </c>
      <c r="M1137" s="23" t="s">
        <v>2969</v>
      </c>
      <c r="N1137" s="24">
        <v>0</v>
      </c>
      <c r="O1137" s="24">
        <v>0</v>
      </c>
      <c r="P1137" s="24">
        <v>0</v>
      </c>
      <c r="Q1137" s="24">
        <v>560000</v>
      </c>
      <c r="R1137" s="24">
        <v>0</v>
      </c>
      <c r="S1137" s="24">
        <v>0</v>
      </c>
      <c r="T1137" s="24">
        <v>0</v>
      </c>
      <c r="U1137" s="24">
        <v>0</v>
      </c>
      <c r="V1137" s="24">
        <v>2240000</v>
      </c>
      <c r="W1137" s="24">
        <v>1680000</v>
      </c>
      <c r="X1137" s="24">
        <v>5103557</v>
      </c>
      <c r="Y1137" s="24">
        <v>1120000</v>
      </c>
      <c r="Z1137" s="24">
        <f t="shared" si="53"/>
        <v>10703557</v>
      </c>
      <c r="AB1137" s="25">
        <v>8203557</v>
      </c>
      <c r="AC1137" s="26">
        <v>8203557</v>
      </c>
      <c r="AD1137" s="24">
        <v>0</v>
      </c>
      <c r="AE1137" s="27">
        <f>_xlfn.XLOOKUP(B1137,'Projects Cashflow'!$B:$B,'Projects Cashflow'!$AG:$AG,0)</f>
        <v>8203557</v>
      </c>
      <c r="AF1137" s="28">
        <f t="shared" si="54"/>
        <v>0</v>
      </c>
    </row>
    <row r="1138" spans="2:32" x14ac:dyDescent="0.3">
      <c r="B1138" s="14" t="str">
        <f t="shared" si="52"/>
        <v>45153004511000979System Maintain-N422211200104</v>
      </c>
      <c r="C1138" s="21" t="s">
        <v>211</v>
      </c>
      <c r="D1138" s="22">
        <v>4515300</v>
      </c>
      <c r="E1138" s="21" t="s">
        <v>3118</v>
      </c>
      <c r="F1138" s="22">
        <v>4511000979</v>
      </c>
      <c r="G1138" s="21" t="s">
        <v>1284</v>
      </c>
      <c r="H1138" s="21" t="s">
        <v>488</v>
      </c>
      <c r="I1138" s="22">
        <v>422211</v>
      </c>
      <c r="J1138" s="22">
        <v>200104</v>
      </c>
      <c r="K1138" s="22" t="s">
        <v>2959</v>
      </c>
      <c r="L1138" s="22">
        <v>70503</v>
      </c>
      <c r="M1138" s="23" t="s">
        <v>2961</v>
      </c>
      <c r="N1138" s="24">
        <v>0</v>
      </c>
      <c r="O1138" s="24">
        <v>0</v>
      </c>
      <c r="P1138" s="24">
        <v>0</v>
      </c>
      <c r="Q1138" s="24">
        <v>0</v>
      </c>
      <c r="R1138" s="24">
        <v>0</v>
      </c>
      <c r="S1138" s="24">
        <v>0</v>
      </c>
      <c r="T1138" s="24">
        <v>0</v>
      </c>
      <c r="U1138" s="24">
        <v>450000</v>
      </c>
      <c r="V1138" s="24">
        <v>0</v>
      </c>
      <c r="W1138" s="24">
        <v>0</v>
      </c>
      <c r="X1138" s="24">
        <v>0</v>
      </c>
      <c r="Y1138" s="24">
        <v>450000</v>
      </c>
      <c r="Z1138" s="24">
        <f t="shared" si="53"/>
        <v>900000</v>
      </c>
      <c r="AB1138" s="25">
        <v>900000</v>
      </c>
      <c r="AC1138" s="26">
        <v>900000</v>
      </c>
      <c r="AD1138" s="24">
        <v>0</v>
      </c>
      <c r="AE1138" s="27">
        <f>_xlfn.XLOOKUP(B1138,'Projects Cashflow'!$B:$B,'Projects Cashflow'!$AG:$AG,0)</f>
        <v>900000</v>
      </c>
      <c r="AF1138" s="28">
        <f t="shared" si="54"/>
        <v>0</v>
      </c>
    </row>
    <row r="1139" spans="2:32" x14ac:dyDescent="0.3">
      <c r="B1139" s="14" t="str">
        <f t="shared" si="52"/>
        <v>45153004511001004Manpower-N424521200104</v>
      </c>
      <c r="C1139" s="21" t="s">
        <v>211</v>
      </c>
      <c r="D1139" s="22">
        <v>4515300</v>
      </c>
      <c r="E1139" s="21" t="s">
        <v>3118</v>
      </c>
      <c r="F1139" s="22">
        <v>4511001004</v>
      </c>
      <c r="G1139" s="21" t="s">
        <v>1311</v>
      </c>
      <c r="H1139" s="21" t="s">
        <v>98</v>
      </c>
      <c r="I1139" s="22">
        <v>424521</v>
      </c>
      <c r="J1139" s="22">
        <v>200104</v>
      </c>
      <c r="K1139" s="22" t="s">
        <v>2959</v>
      </c>
      <c r="L1139" s="22">
        <v>70503</v>
      </c>
      <c r="M1139" s="23" t="s">
        <v>2960</v>
      </c>
      <c r="N1139" s="24">
        <v>0</v>
      </c>
      <c r="O1139" s="24">
        <v>0</v>
      </c>
      <c r="P1139" s="24">
        <v>0</v>
      </c>
      <c r="Q1139" s="24">
        <v>402288</v>
      </c>
      <c r="R1139" s="24">
        <v>100572</v>
      </c>
      <c r="S1139" s="24">
        <v>100572</v>
      </c>
      <c r="T1139" s="24">
        <v>100572</v>
      </c>
      <c r="U1139" s="24">
        <v>100572</v>
      </c>
      <c r="V1139" s="24">
        <v>100572</v>
      </c>
      <c r="W1139" s="24">
        <v>100572</v>
      </c>
      <c r="X1139" s="24">
        <v>100571</v>
      </c>
      <c r="Y1139" s="24">
        <v>100571</v>
      </c>
      <c r="Z1139" s="24">
        <f t="shared" si="53"/>
        <v>1206862</v>
      </c>
      <c r="AB1139" s="25">
        <v>703868</v>
      </c>
      <c r="AC1139" s="26">
        <v>703868</v>
      </c>
      <c r="AD1139" s="24">
        <v>0</v>
      </c>
      <c r="AE1139" s="27">
        <f>_xlfn.XLOOKUP(B1139,'Projects Cashflow'!$B:$B,'Projects Cashflow'!$AG:$AG,0)</f>
        <v>703868</v>
      </c>
      <c r="AF1139" s="28">
        <f t="shared" si="54"/>
        <v>0</v>
      </c>
    </row>
    <row r="1140" spans="2:32" x14ac:dyDescent="0.3">
      <c r="B1140" s="14" t="str">
        <f t="shared" si="52"/>
        <v>45153004511001004Maintenance-N426212200104</v>
      </c>
      <c r="C1140" s="21" t="s">
        <v>211</v>
      </c>
      <c r="D1140" s="22">
        <v>4515300</v>
      </c>
      <c r="E1140" s="21" t="s">
        <v>3118</v>
      </c>
      <c r="F1140" s="22">
        <v>4511001004</v>
      </c>
      <c r="G1140" s="21" t="s">
        <v>1311</v>
      </c>
      <c r="H1140" s="21" t="s">
        <v>95</v>
      </c>
      <c r="I1140" s="22">
        <v>426212</v>
      </c>
      <c r="J1140" s="22">
        <v>200104</v>
      </c>
      <c r="K1140" s="22" t="s">
        <v>2959</v>
      </c>
      <c r="L1140" s="22">
        <v>70503</v>
      </c>
      <c r="M1140" s="23" t="s">
        <v>2960</v>
      </c>
      <c r="N1140" s="24">
        <v>0</v>
      </c>
      <c r="O1140" s="24">
        <v>0</v>
      </c>
      <c r="P1140" s="24">
        <v>0</v>
      </c>
      <c r="Q1140" s="24">
        <v>54402</v>
      </c>
      <c r="R1140" s="24">
        <v>27201</v>
      </c>
      <c r="S1140" s="24">
        <v>27201</v>
      </c>
      <c r="T1140" s="24">
        <v>27201</v>
      </c>
      <c r="U1140" s="24">
        <v>27201</v>
      </c>
      <c r="V1140" s="24">
        <v>27201</v>
      </c>
      <c r="W1140" s="24">
        <v>27201</v>
      </c>
      <c r="X1140" s="24">
        <v>27201</v>
      </c>
      <c r="Y1140" s="24">
        <v>81603</v>
      </c>
      <c r="Z1140" s="24">
        <f t="shared" si="53"/>
        <v>326412</v>
      </c>
      <c r="AB1140" s="25">
        <v>56554</v>
      </c>
      <c r="AC1140" s="26">
        <v>56554</v>
      </c>
      <c r="AD1140" s="24">
        <v>0</v>
      </c>
      <c r="AE1140" s="27">
        <f>_xlfn.XLOOKUP(B1140,'Projects Cashflow'!$B:$B,'Projects Cashflow'!$AG:$AG,0)</f>
        <v>56554</v>
      </c>
      <c r="AF1140" s="28">
        <f t="shared" si="54"/>
        <v>0</v>
      </c>
    </row>
    <row r="1141" spans="2:32" x14ac:dyDescent="0.3">
      <c r="B1141" s="14" t="str">
        <f t="shared" si="52"/>
        <v>45153004511001004Trade Promotion-N424251200104</v>
      </c>
      <c r="C1141" s="21" t="s">
        <v>211</v>
      </c>
      <c r="D1141" s="22">
        <v>4515300</v>
      </c>
      <c r="E1141" s="21" t="s">
        <v>3118</v>
      </c>
      <c r="F1141" s="22">
        <v>4511001004</v>
      </c>
      <c r="G1141" s="21" t="s">
        <v>1311</v>
      </c>
      <c r="H1141" s="21" t="s">
        <v>748</v>
      </c>
      <c r="I1141" s="22">
        <v>424251</v>
      </c>
      <c r="J1141" s="22">
        <v>200104</v>
      </c>
      <c r="K1141" s="22" t="s">
        <v>2959</v>
      </c>
      <c r="L1141" s="22">
        <v>70503</v>
      </c>
      <c r="M1141" s="23" t="s">
        <v>2960</v>
      </c>
      <c r="N1141" s="24">
        <v>0</v>
      </c>
      <c r="O1141" s="24">
        <v>0</v>
      </c>
      <c r="P1141" s="24">
        <v>0</v>
      </c>
      <c r="Q1141" s="24">
        <v>0</v>
      </c>
      <c r="R1141" s="24">
        <v>30000</v>
      </c>
      <c r="S1141" s="24">
        <v>0</v>
      </c>
      <c r="T1141" s="24">
        <v>30000</v>
      </c>
      <c r="U1141" s="24">
        <v>0</v>
      </c>
      <c r="V1141" s="24">
        <v>40000</v>
      </c>
      <c r="W1141" s="24">
        <v>33438</v>
      </c>
      <c r="X1141" s="24">
        <v>50000</v>
      </c>
      <c r="Y1141" s="24">
        <v>100000</v>
      </c>
      <c r="Z1141" s="24">
        <f t="shared" si="53"/>
        <v>283438</v>
      </c>
      <c r="AB1141" s="25">
        <v>0</v>
      </c>
      <c r="AC1141" s="26">
        <v>0</v>
      </c>
      <c r="AD1141" s="24">
        <v>0</v>
      </c>
      <c r="AE1141" s="27">
        <f>_xlfn.XLOOKUP(B1141,'Projects Cashflow'!$B:$B,'Projects Cashflow'!$AG:$AG,0)</f>
        <v>0</v>
      </c>
      <c r="AF1141" s="28">
        <f t="shared" si="54"/>
        <v>0</v>
      </c>
    </row>
    <row r="1142" spans="2:32" x14ac:dyDescent="0.3">
      <c r="B1142" s="14" t="str">
        <f t="shared" si="52"/>
        <v>45153004511001004Parking Fees-N425112200104</v>
      </c>
      <c r="C1142" s="21" t="s">
        <v>211</v>
      </c>
      <c r="D1142" s="22">
        <v>4515300</v>
      </c>
      <c r="E1142" s="21" t="s">
        <v>3118</v>
      </c>
      <c r="F1142" s="22">
        <v>4511001004</v>
      </c>
      <c r="G1142" s="21" t="s">
        <v>1311</v>
      </c>
      <c r="H1142" s="21" t="s">
        <v>1313</v>
      </c>
      <c r="I1142" s="22">
        <v>425112</v>
      </c>
      <c r="J1142" s="22">
        <v>200104</v>
      </c>
      <c r="K1142" s="22" t="s">
        <v>2959</v>
      </c>
      <c r="L1142" s="22">
        <v>70503</v>
      </c>
      <c r="M1142" s="23" t="s">
        <v>2960</v>
      </c>
      <c r="N1142" s="24">
        <v>0</v>
      </c>
      <c r="O1142" s="24">
        <v>0</v>
      </c>
      <c r="P1142" s="24">
        <v>0</v>
      </c>
      <c r="Q1142" s="24">
        <v>0</v>
      </c>
      <c r="R1142" s="24">
        <v>0</v>
      </c>
      <c r="S1142" s="24">
        <v>0</v>
      </c>
      <c r="T1142" s="24">
        <v>0</v>
      </c>
      <c r="U1142" s="24">
        <v>0</v>
      </c>
      <c r="V1142" s="24">
        <v>0</v>
      </c>
      <c r="W1142" s="24">
        <v>80000</v>
      </c>
      <c r="X1142" s="24">
        <v>0</v>
      </c>
      <c r="Y1142" s="24">
        <v>0</v>
      </c>
      <c r="Z1142" s="24">
        <f t="shared" si="53"/>
        <v>80000</v>
      </c>
      <c r="AB1142" s="25">
        <v>80000</v>
      </c>
      <c r="AC1142" s="26">
        <v>80000</v>
      </c>
      <c r="AD1142" s="24">
        <v>0</v>
      </c>
      <c r="AE1142" s="27">
        <f>_xlfn.XLOOKUP(B1142,'Projects Cashflow'!$B:$B,'Projects Cashflow'!$AG:$AG,0)</f>
        <v>80000</v>
      </c>
      <c r="AF1142" s="28">
        <f t="shared" si="54"/>
        <v>0</v>
      </c>
    </row>
    <row r="1143" spans="2:32" x14ac:dyDescent="0.3">
      <c r="B1143" s="14" t="str">
        <f t="shared" si="52"/>
        <v>45153004511001005ManagementAdvice-N424521200104</v>
      </c>
      <c r="C1143" s="21" t="s">
        <v>211</v>
      </c>
      <c r="D1143" s="22">
        <v>4515300</v>
      </c>
      <c r="E1143" s="21" t="s">
        <v>3118</v>
      </c>
      <c r="F1143" s="22">
        <v>4511001005</v>
      </c>
      <c r="G1143" s="21" t="s">
        <v>1316</v>
      </c>
      <c r="H1143" s="21" t="s">
        <v>230</v>
      </c>
      <c r="I1143" s="22">
        <v>424521</v>
      </c>
      <c r="J1143" s="22">
        <v>200104</v>
      </c>
      <c r="K1143" s="22" t="s">
        <v>2959</v>
      </c>
      <c r="L1143" s="22">
        <v>70503</v>
      </c>
      <c r="M1143" s="23" t="s">
        <v>2960</v>
      </c>
      <c r="N1143" s="24">
        <v>0</v>
      </c>
      <c r="O1143" s="24">
        <v>0</v>
      </c>
      <c r="P1143" s="24">
        <v>0</v>
      </c>
      <c r="Q1143" s="24">
        <v>0</v>
      </c>
      <c r="R1143" s="24">
        <v>772281</v>
      </c>
      <c r="S1143" s="24">
        <v>772281</v>
      </c>
      <c r="T1143" s="24">
        <v>772281</v>
      </c>
      <c r="U1143" s="24">
        <v>772281</v>
      </c>
      <c r="V1143" s="24">
        <v>772281</v>
      </c>
      <c r="W1143" s="24">
        <v>772281</v>
      </c>
      <c r="X1143" s="24">
        <v>308913</v>
      </c>
      <c r="Y1143" s="24">
        <v>1235651</v>
      </c>
      <c r="Z1143" s="24">
        <f t="shared" si="53"/>
        <v>6178250</v>
      </c>
      <c r="AB1143" s="25">
        <v>6178250</v>
      </c>
      <c r="AC1143" s="26">
        <v>6178250</v>
      </c>
      <c r="AD1143" s="24">
        <v>0</v>
      </c>
      <c r="AE1143" s="27">
        <f>_xlfn.XLOOKUP(B1143,'Projects Cashflow'!$B:$B,'Projects Cashflow'!$AG:$AG,0)</f>
        <v>6178250</v>
      </c>
      <c r="AF1143" s="28">
        <f t="shared" si="54"/>
        <v>0</v>
      </c>
    </row>
    <row r="1144" spans="2:32" x14ac:dyDescent="0.3">
      <c r="B1144" s="14" t="str">
        <f t="shared" si="52"/>
        <v>45153004511001005Manpower-N424521200104</v>
      </c>
      <c r="C1144" s="21" t="s">
        <v>211</v>
      </c>
      <c r="D1144" s="22">
        <v>4515300</v>
      </c>
      <c r="E1144" s="21" t="s">
        <v>3118</v>
      </c>
      <c r="F1144" s="22">
        <v>4511001005</v>
      </c>
      <c r="G1144" s="21" t="s">
        <v>1316</v>
      </c>
      <c r="H1144" s="21" t="s">
        <v>98</v>
      </c>
      <c r="I1144" s="22">
        <v>424521</v>
      </c>
      <c r="J1144" s="22">
        <v>200104</v>
      </c>
      <c r="K1144" s="22" t="s">
        <v>2959</v>
      </c>
      <c r="L1144" s="22">
        <v>70503</v>
      </c>
      <c r="M1144" s="23" t="s">
        <v>2960</v>
      </c>
      <c r="N1144" s="24">
        <v>0</v>
      </c>
      <c r="O1144" s="24">
        <v>0</v>
      </c>
      <c r="P1144" s="24">
        <v>0</v>
      </c>
      <c r="Q1144" s="24">
        <v>158500</v>
      </c>
      <c r="R1144" s="24">
        <v>59500</v>
      </c>
      <c r="S1144" s="24">
        <v>59500</v>
      </c>
      <c r="T1144" s="24">
        <v>59500</v>
      </c>
      <c r="U1144" s="24">
        <v>59500</v>
      </c>
      <c r="V1144" s="24">
        <v>59500</v>
      </c>
      <c r="W1144" s="24">
        <v>59500</v>
      </c>
      <c r="X1144" s="24">
        <v>59500</v>
      </c>
      <c r="Y1144" s="24">
        <v>119000</v>
      </c>
      <c r="Z1144" s="24">
        <f t="shared" si="53"/>
        <v>694000</v>
      </c>
      <c r="AB1144" s="25">
        <v>1184000</v>
      </c>
      <c r="AC1144" s="26">
        <v>1184000</v>
      </c>
      <c r="AD1144" s="24">
        <v>0</v>
      </c>
      <c r="AE1144" s="27">
        <f>_xlfn.XLOOKUP(B1144,'Projects Cashflow'!$B:$B,'Projects Cashflow'!$AG:$AG,0)</f>
        <v>1184000</v>
      </c>
      <c r="AF1144" s="28">
        <f t="shared" si="54"/>
        <v>0</v>
      </c>
    </row>
    <row r="1145" spans="2:32" x14ac:dyDescent="0.3">
      <c r="B1145" s="14" t="str">
        <f t="shared" si="52"/>
        <v>45153004511001005Freelancers-N424521200104</v>
      </c>
      <c r="C1145" s="34" t="s">
        <v>211</v>
      </c>
      <c r="D1145" s="35">
        <v>4515300</v>
      </c>
      <c r="E1145" s="34" t="s">
        <v>3118</v>
      </c>
      <c r="F1145" s="35">
        <v>4511001005</v>
      </c>
      <c r="G1145" s="34" t="s">
        <v>1316</v>
      </c>
      <c r="H1145" s="34" t="s">
        <v>50</v>
      </c>
      <c r="I1145" s="35">
        <v>424521</v>
      </c>
      <c r="J1145" s="35">
        <v>200104</v>
      </c>
      <c r="K1145" s="35" t="s">
        <v>2959</v>
      </c>
      <c r="L1145" s="22">
        <v>70503</v>
      </c>
      <c r="M1145" s="36" t="s">
        <v>2960</v>
      </c>
      <c r="N1145" s="24">
        <v>0</v>
      </c>
      <c r="O1145" s="24">
        <v>0</v>
      </c>
      <c r="P1145" s="24">
        <v>0</v>
      </c>
      <c r="Q1145" s="24">
        <v>1800</v>
      </c>
      <c r="R1145" s="24">
        <v>18000</v>
      </c>
      <c r="S1145" s="24">
        <v>18000</v>
      </c>
      <c r="T1145" s="24">
        <v>18000</v>
      </c>
      <c r="U1145" s="24">
        <v>18000</v>
      </c>
      <c r="V1145" s="24">
        <v>18000</v>
      </c>
      <c r="W1145" s="24">
        <v>18000</v>
      </c>
      <c r="X1145" s="24">
        <v>18000</v>
      </c>
      <c r="Y1145" s="24">
        <v>36000</v>
      </c>
      <c r="Z1145" s="24">
        <f t="shared" si="53"/>
        <v>163800</v>
      </c>
      <c r="AB1145" s="37">
        <v>730090</v>
      </c>
      <c r="AC1145" s="38">
        <v>730090</v>
      </c>
      <c r="AD1145" s="32">
        <v>0</v>
      </c>
      <c r="AE1145" s="27">
        <f>_xlfn.XLOOKUP(B1145,'Projects Cashflow'!$B:$B,'Projects Cashflow'!$AG:$AG,0)</f>
        <v>730090</v>
      </c>
      <c r="AF1145" s="28">
        <f t="shared" si="54"/>
        <v>0</v>
      </c>
    </row>
    <row r="1146" spans="2:32" x14ac:dyDescent="0.3">
      <c r="B1146" s="14" t="str">
        <f t="shared" si="52"/>
        <v>45153004511001397ManagementAdvice-N424521200104</v>
      </c>
      <c r="C1146" s="21" t="s">
        <v>211</v>
      </c>
      <c r="D1146" s="22">
        <v>4515300</v>
      </c>
      <c r="E1146" s="21" t="s">
        <v>3118</v>
      </c>
      <c r="F1146" s="22">
        <v>4511001397</v>
      </c>
      <c r="G1146" s="21" t="s">
        <v>1652</v>
      </c>
      <c r="H1146" s="21" t="s">
        <v>230</v>
      </c>
      <c r="I1146" s="22">
        <v>424521</v>
      </c>
      <c r="J1146" s="22">
        <v>200104</v>
      </c>
      <c r="K1146" s="22" t="s">
        <v>2959</v>
      </c>
      <c r="L1146" s="22">
        <v>70503</v>
      </c>
      <c r="M1146" s="23" t="s">
        <v>2969</v>
      </c>
      <c r="N1146" s="24">
        <v>0</v>
      </c>
      <c r="O1146" s="24">
        <v>0</v>
      </c>
      <c r="P1146" s="24">
        <v>0</v>
      </c>
      <c r="Q1146" s="24">
        <v>0</v>
      </c>
      <c r="R1146" s="24">
        <v>0</v>
      </c>
      <c r="S1146" s="24">
        <v>0</v>
      </c>
      <c r="T1146" s="24">
        <v>0</v>
      </c>
      <c r="U1146" s="24">
        <v>0</v>
      </c>
      <c r="V1146" s="24">
        <v>0</v>
      </c>
      <c r="W1146" s="24">
        <v>500000</v>
      </c>
      <c r="X1146" s="24">
        <v>0</v>
      </c>
      <c r="Y1146" s="24">
        <v>1500000</v>
      </c>
      <c r="Z1146" s="24">
        <f t="shared" si="53"/>
        <v>2000000</v>
      </c>
      <c r="AB1146" s="25">
        <v>1000000</v>
      </c>
      <c r="AC1146" s="26">
        <v>1000000</v>
      </c>
      <c r="AD1146" s="24">
        <v>0</v>
      </c>
      <c r="AE1146" s="27">
        <f>_xlfn.XLOOKUP(B1146,'Projects Cashflow'!$B:$B,'Projects Cashflow'!$AG:$AG,0)</f>
        <v>1000000</v>
      </c>
      <c r="AF1146" s="28">
        <f t="shared" si="54"/>
        <v>0</v>
      </c>
    </row>
    <row r="1147" spans="2:32" x14ac:dyDescent="0.3">
      <c r="B1147" s="14" t="str">
        <f t="shared" si="52"/>
        <v>45153004511001536System Develop-NC1493180300105</v>
      </c>
      <c r="C1147" s="21" t="s">
        <v>211</v>
      </c>
      <c r="D1147" s="22">
        <v>4515300</v>
      </c>
      <c r="E1147" s="21" t="s">
        <v>3118</v>
      </c>
      <c r="F1147" s="22">
        <v>4511001536</v>
      </c>
      <c r="G1147" s="21" t="s">
        <v>1952</v>
      </c>
      <c r="H1147" s="21" t="s">
        <v>1954</v>
      </c>
      <c r="I1147" s="22">
        <v>493180</v>
      </c>
      <c r="J1147" s="22">
        <v>300105</v>
      </c>
      <c r="K1147" s="22" t="s">
        <v>2972</v>
      </c>
      <c r="L1147" s="22">
        <v>70503</v>
      </c>
      <c r="M1147" s="23" t="s">
        <v>2961</v>
      </c>
      <c r="N1147" s="24">
        <v>0</v>
      </c>
      <c r="O1147" s="24">
        <v>0</v>
      </c>
      <c r="P1147" s="24">
        <v>0</v>
      </c>
      <c r="Q1147" s="24">
        <v>0</v>
      </c>
      <c r="R1147" s="24">
        <v>0</v>
      </c>
      <c r="S1147" s="24">
        <v>100000</v>
      </c>
      <c r="T1147" s="24">
        <v>0</v>
      </c>
      <c r="U1147" s="24">
        <v>180000</v>
      </c>
      <c r="V1147" s="24">
        <v>60000</v>
      </c>
      <c r="W1147" s="24">
        <v>60000</v>
      </c>
      <c r="X1147" s="24">
        <v>0</v>
      </c>
      <c r="Y1147" s="24">
        <v>50000</v>
      </c>
      <c r="Z1147" s="24">
        <f t="shared" si="53"/>
        <v>450000</v>
      </c>
      <c r="AB1147" s="25">
        <v>548000</v>
      </c>
      <c r="AC1147" s="26">
        <v>548000</v>
      </c>
      <c r="AD1147" s="24">
        <v>0</v>
      </c>
      <c r="AE1147" s="27">
        <f>_xlfn.XLOOKUP(B1147,'Projects Cashflow'!$B:$B,'Projects Cashflow'!$AG:$AG,0)</f>
        <v>548000</v>
      </c>
      <c r="AF1147" s="28">
        <f t="shared" si="54"/>
        <v>0</v>
      </c>
    </row>
    <row r="1148" spans="2:32" x14ac:dyDescent="0.3">
      <c r="B1148" s="14" t="str">
        <f t="shared" si="52"/>
        <v>45153004511001536Event Management-N422401200104</v>
      </c>
      <c r="C1148" s="21" t="s">
        <v>211</v>
      </c>
      <c r="D1148" s="22">
        <v>4515300</v>
      </c>
      <c r="E1148" s="21" t="s">
        <v>3118</v>
      </c>
      <c r="F1148" s="22">
        <v>4511001536</v>
      </c>
      <c r="G1148" s="21" t="s">
        <v>1952</v>
      </c>
      <c r="H1148" s="21" t="s">
        <v>162</v>
      </c>
      <c r="I1148" s="22">
        <v>422401</v>
      </c>
      <c r="J1148" s="22">
        <v>200104</v>
      </c>
      <c r="K1148" s="22" t="s">
        <v>2959</v>
      </c>
      <c r="L1148" s="22">
        <v>70503</v>
      </c>
      <c r="M1148" s="23" t="s">
        <v>2969</v>
      </c>
      <c r="N1148" s="24">
        <v>0</v>
      </c>
      <c r="O1148" s="24">
        <v>0</v>
      </c>
      <c r="P1148" s="24">
        <v>0</v>
      </c>
      <c r="Q1148" s="24">
        <v>0</v>
      </c>
      <c r="R1148" s="24">
        <v>0</v>
      </c>
      <c r="S1148" s="24">
        <v>0</v>
      </c>
      <c r="T1148" s="24">
        <v>0</v>
      </c>
      <c r="U1148" s="24">
        <v>1202000</v>
      </c>
      <c r="V1148" s="24">
        <v>0</v>
      </c>
      <c r="W1148" s="24">
        <v>0</v>
      </c>
      <c r="X1148" s="24">
        <v>1512670</v>
      </c>
      <c r="Y1148" s="24">
        <v>485330</v>
      </c>
      <c r="Z1148" s="24">
        <f t="shared" si="53"/>
        <v>3200000</v>
      </c>
      <c r="AB1148" s="25">
        <v>3200000</v>
      </c>
      <c r="AC1148" s="26">
        <v>3200000</v>
      </c>
      <c r="AD1148" s="24">
        <v>0</v>
      </c>
      <c r="AE1148" s="27">
        <f>_xlfn.XLOOKUP(B1148,'Projects Cashflow'!$B:$B,'Projects Cashflow'!$AG:$AG,0)</f>
        <v>3200000</v>
      </c>
      <c r="AF1148" s="28">
        <f t="shared" si="54"/>
        <v>0</v>
      </c>
    </row>
    <row r="1149" spans="2:32" x14ac:dyDescent="0.3">
      <c r="B1149" s="14" t="str">
        <f t="shared" si="52"/>
        <v>45153004511001536ManagementAdvice-N424521200104</v>
      </c>
      <c r="C1149" s="21" t="s">
        <v>211</v>
      </c>
      <c r="D1149" s="22">
        <v>4515300</v>
      </c>
      <c r="E1149" s="21" t="s">
        <v>3118</v>
      </c>
      <c r="F1149" s="22">
        <v>4511001536</v>
      </c>
      <c r="G1149" s="21" t="s">
        <v>1952</v>
      </c>
      <c r="H1149" s="21" t="s">
        <v>230</v>
      </c>
      <c r="I1149" s="22">
        <v>424521</v>
      </c>
      <c r="J1149" s="22">
        <v>200104</v>
      </c>
      <c r="K1149" s="22" t="s">
        <v>2959</v>
      </c>
      <c r="L1149" s="22">
        <v>70503</v>
      </c>
      <c r="M1149" s="23" t="s">
        <v>2969</v>
      </c>
      <c r="N1149" s="24">
        <v>0</v>
      </c>
      <c r="O1149" s="24">
        <v>0</v>
      </c>
      <c r="P1149" s="24">
        <v>0</v>
      </c>
      <c r="Q1149" s="24">
        <v>0</v>
      </c>
      <c r="R1149" s="24">
        <v>0</v>
      </c>
      <c r="S1149" s="24">
        <v>0</v>
      </c>
      <c r="T1149" s="24">
        <v>0</v>
      </c>
      <c r="U1149" s="24">
        <v>200000</v>
      </c>
      <c r="V1149" s="24">
        <v>0</v>
      </c>
      <c r="W1149" s="24">
        <v>200000</v>
      </c>
      <c r="X1149" s="24">
        <v>200000</v>
      </c>
      <c r="Y1149" s="24">
        <v>1026000</v>
      </c>
      <c r="Z1149" s="24">
        <f t="shared" si="53"/>
        <v>1626000</v>
      </c>
      <c r="AB1149" s="25">
        <v>826000</v>
      </c>
      <c r="AC1149" s="26">
        <v>826000</v>
      </c>
      <c r="AD1149" s="24">
        <v>0</v>
      </c>
      <c r="AE1149" s="27">
        <f>_xlfn.XLOOKUP(B1149,'Projects Cashflow'!$B:$B,'Projects Cashflow'!$AG:$AG,0)</f>
        <v>826000</v>
      </c>
      <c r="AF1149" s="28">
        <f t="shared" si="54"/>
        <v>0</v>
      </c>
    </row>
    <row r="1150" spans="2:32" x14ac:dyDescent="0.3">
      <c r="B1150" s="14" t="str">
        <f t="shared" si="52"/>
        <v>45153004511001537Design &amp; Build-NC491211300105</v>
      </c>
      <c r="C1150" s="34" t="s">
        <v>211</v>
      </c>
      <c r="D1150" s="35">
        <v>4515300</v>
      </c>
      <c r="E1150" s="34" t="s">
        <v>3118</v>
      </c>
      <c r="F1150" s="35">
        <v>4511001537</v>
      </c>
      <c r="G1150" s="34" t="s">
        <v>1958</v>
      </c>
      <c r="H1150" s="34" t="s">
        <v>1285</v>
      </c>
      <c r="I1150" s="35">
        <v>491211</v>
      </c>
      <c r="J1150" s="35">
        <v>300105</v>
      </c>
      <c r="K1150" s="35" t="s">
        <v>2972</v>
      </c>
      <c r="L1150" s="22">
        <v>70503</v>
      </c>
      <c r="M1150" s="36" t="s">
        <v>2969</v>
      </c>
      <c r="N1150" s="24">
        <v>0</v>
      </c>
      <c r="O1150" s="24">
        <v>0</v>
      </c>
      <c r="P1150" s="24">
        <v>0</v>
      </c>
      <c r="Q1150" s="24">
        <v>0</v>
      </c>
      <c r="R1150" s="24">
        <v>0</v>
      </c>
      <c r="S1150" s="24">
        <v>0</v>
      </c>
      <c r="T1150" s="24">
        <v>0</v>
      </c>
      <c r="U1150" s="24">
        <v>0</v>
      </c>
      <c r="V1150" s="24">
        <v>0</v>
      </c>
      <c r="W1150" s="24">
        <v>1472426</v>
      </c>
      <c r="X1150" s="24">
        <v>1472426</v>
      </c>
      <c r="Y1150" s="24">
        <v>4417282</v>
      </c>
      <c r="Z1150" s="24">
        <f t="shared" si="53"/>
        <v>7362134</v>
      </c>
      <c r="AB1150" s="37">
        <v>4749999.7</v>
      </c>
      <c r="AC1150" s="38">
        <v>4750000</v>
      </c>
      <c r="AD1150" s="48">
        <v>-0.29999999981373549</v>
      </c>
      <c r="AE1150" s="27">
        <f>_xlfn.XLOOKUP(B1150,'Projects Cashflow'!$B:$B,'Projects Cashflow'!$AG:$AG,0)</f>
        <v>4750000</v>
      </c>
      <c r="AF1150" s="28">
        <f t="shared" si="54"/>
        <v>0.29999999981373549</v>
      </c>
    </row>
    <row r="1151" spans="2:32" x14ac:dyDescent="0.3">
      <c r="B1151" s="14" t="str">
        <f t="shared" si="52"/>
        <v>45153004511001537ManagementAdvice-N424521200104</v>
      </c>
      <c r="C1151" s="21" t="s">
        <v>211</v>
      </c>
      <c r="D1151" s="22">
        <v>4515300</v>
      </c>
      <c r="E1151" s="21" t="s">
        <v>3118</v>
      </c>
      <c r="F1151" s="22">
        <v>4511001537</v>
      </c>
      <c r="G1151" s="21" t="s">
        <v>1958</v>
      </c>
      <c r="H1151" s="21" t="s">
        <v>230</v>
      </c>
      <c r="I1151" s="22">
        <v>424521</v>
      </c>
      <c r="J1151" s="22">
        <v>200104</v>
      </c>
      <c r="K1151" s="22" t="s">
        <v>2959</v>
      </c>
      <c r="L1151" s="22">
        <v>70503</v>
      </c>
      <c r="M1151" s="23" t="s">
        <v>2969</v>
      </c>
      <c r="N1151" s="24">
        <v>0</v>
      </c>
      <c r="O1151" s="24">
        <v>0</v>
      </c>
      <c r="P1151" s="24">
        <v>0</v>
      </c>
      <c r="Q1151" s="24">
        <v>0</v>
      </c>
      <c r="R1151" s="24">
        <v>0</v>
      </c>
      <c r="S1151" s="24">
        <v>0</v>
      </c>
      <c r="T1151" s="24">
        <v>0</v>
      </c>
      <c r="U1151" s="24">
        <v>0</v>
      </c>
      <c r="V1151" s="24">
        <v>0</v>
      </c>
      <c r="W1151" s="24">
        <v>1731470</v>
      </c>
      <c r="X1151" s="24">
        <v>2216470</v>
      </c>
      <c r="Y1151" s="24">
        <v>7134413</v>
      </c>
      <c r="Z1151" s="24">
        <f t="shared" si="53"/>
        <v>11082353</v>
      </c>
      <c r="AB1151" s="25">
        <v>2000000</v>
      </c>
      <c r="AC1151" s="26">
        <v>2000000</v>
      </c>
      <c r="AD1151" s="24">
        <v>0</v>
      </c>
      <c r="AE1151" s="27">
        <f>_xlfn.XLOOKUP(B1151,'Projects Cashflow'!$B:$B,'Projects Cashflow'!$AG:$AG,0)</f>
        <v>2000000</v>
      </c>
      <c r="AF1151" s="28">
        <f t="shared" si="54"/>
        <v>0</v>
      </c>
    </row>
    <row r="1152" spans="2:32" x14ac:dyDescent="0.3">
      <c r="B1152" s="14" t="str">
        <f t="shared" si="52"/>
        <v>45153004511001539ManagementAdvice-N424521200104</v>
      </c>
      <c r="C1152" s="21" t="s">
        <v>211</v>
      </c>
      <c r="D1152" s="22">
        <v>4515300</v>
      </c>
      <c r="E1152" s="21" t="s">
        <v>3118</v>
      </c>
      <c r="F1152" s="22">
        <v>4511001539</v>
      </c>
      <c r="G1152" s="21" t="s">
        <v>1963</v>
      </c>
      <c r="H1152" s="21" t="s">
        <v>230</v>
      </c>
      <c r="I1152" s="22">
        <v>424521</v>
      </c>
      <c r="J1152" s="22">
        <v>200104</v>
      </c>
      <c r="K1152" s="22" t="s">
        <v>2959</v>
      </c>
      <c r="L1152" s="22">
        <v>70503</v>
      </c>
      <c r="M1152" s="23" t="s">
        <v>2961</v>
      </c>
      <c r="N1152" s="24">
        <v>0</v>
      </c>
      <c r="O1152" s="24">
        <v>0</v>
      </c>
      <c r="P1152" s="24">
        <v>0</v>
      </c>
      <c r="Q1152" s="24">
        <v>0</v>
      </c>
      <c r="R1152" s="24">
        <v>0</v>
      </c>
      <c r="S1152" s="24">
        <v>0</v>
      </c>
      <c r="T1152" s="24">
        <v>0</v>
      </c>
      <c r="U1152" s="24">
        <v>1100000</v>
      </c>
      <c r="V1152" s="24">
        <v>1100000</v>
      </c>
      <c r="W1152" s="24">
        <v>1100000</v>
      </c>
      <c r="X1152" s="24">
        <v>1100000</v>
      </c>
      <c r="Y1152" s="24">
        <v>3310000</v>
      </c>
      <c r="Z1152" s="24">
        <f t="shared" si="53"/>
        <v>7710000</v>
      </c>
      <c r="AB1152" s="25">
        <v>6641736</v>
      </c>
      <c r="AC1152" s="26">
        <v>6641736</v>
      </c>
      <c r="AD1152" s="24">
        <v>0</v>
      </c>
      <c r="AE1152" s="27">
        <f>_xlfn.XLOOKUP(B1152,'Projects Cashflow'!$B:$B,'Projects Cashflow'!$AG:$AG,0)</f>
        <v>6641736</v>
      </c>
      <c r="AF1152" s="28">
        <f t="shared" si="54"/>
        <v>0</v>
      </c>
    </row>
    <row r="1153" spans="2:32" x14ac:dyDescent="0.3">
      <c r="B1153" s="14" t="str">
        <f t="shared" si="52"/>
        <v>45153004511001540ManagementAdvice-N424521200104</v>
      </c>
      <c r="C1153" s="21" t="s">
        <v>211</v>
      </c>
      <c r="D1153" s="22">
        <v>4515300</v>
      </c>
      <c r="E1153" s="21" t="s">
        <v>3118</v>
      </c>
      <c r="F1153" s="22">
        <v>4511001540</v>
      </c>
      <c r="G1153" s="21" t="s">
        <v>1965</v>
      </c>
      <c r="H1153" s="21" t="s">
        <v>230</v>
      </c>
      <c r="I1153" s="22">
        <v>424521</v>
      </c>
      <c r="J1153" s="22">
        <v>200104</v>
      </c>
      <c r="K1153" s="22" t="s">
        <v>2959</v>
      </c>
      <c r="L1153" s="22">
        <v>70503</v>
      </c>
      <c r="M1153" s="23" t="s">
        <v>2969</v>
      </c>
      <c r="N1153" s="24">
        <v>0</v>
      </c>
      <c r="O1153" s="24">
        <v>0</v>
      </c>
      <c r="P1153" s="24">
        <v>0</v>
      </c>
      <c r="Q1153" s="24">
        <v>0</v>
      </c>
      <c r="R1153" s="24">
        <v>0</v>
      </c>
      <c r="S1153" s="24">
        <v>0</v>
      </c>
      <c r="T1153" s="24">
        <v>0</v>
      </c>
      <c r="U1153" s="24">
        <v>0</v>
      </c>
      <c r="V1153" s="24">
        <v>855000</v>
      </c>
      <c r="W1153" s="24">
        <v>390000</v>
      </c>
      <c r="X1153" s="24">
        <v>590000</v>
      </c>
      <c r="Y1153" s="24">
        <v>3275000</v>
      </c>
      <c r="Z1153" s="24">
        <f t="shared" si="53"/>
        <v>5110000</v>
      </c>
      <c r="AB1153" s="25">
        <v>1440500</v>
      </c>
      <c r="AC1153" s="26">
        <v>1440500</v>
      </c>
      <c r="AD1153" s="24">
        <v>0</v>
      </c>
      <c r="AE1153" s="27">
        <f>_xlfn.XLOOKUP(B1153,'Projects Cashflow'!$B:$B,'Projects Cashflow'!$AG:$AG,0)</f>
        <v>1440500</v>
      </c>
      <c r="AF1153" s="28">
        <f t="shared" si="54"/>
        <v>0</v>
      </c>
    </row>
    <row r="1154" spans="2:32" x14ac:dyDescent="0.3">
      <c r="B1154" s="14" t="str">
        <f t="shared" si="52"/>
        <v>45153004511001541Market Research-N423411200104</v>
      </c>
      <c r="C1154" s="21" t="s">
        <v>211</v>
      </c>
      <c r="D1154" s="22">
        <v>4515300</v>
      </c>
      <c r="E1154" s="21" t="s">
        <v>3118</v>
      </c>
      <c r="F1154" s="22">
        <v>4511001541</v>
      </c>
      <c r="G1154" s="21" t="s">
        <v>1967</v>
      </c>
      <c r="H1154" s="21" t="s">
        <v>1968</v>
      </c>
      <c r="I1154" s="22">
        <v>423411</v>
      </c>
      <c r="J1154" s="22">
        <v>200104</v>
      </c>
      <c r="K1154" s="22" t="s">
        <v>2959</v>
      </c>
      <c r="L1154" s="22">
        <v>70503</v>
      </c>
      <c r="M1154" s="23" t="s">
        <v>2960</v>
      </c>
      <c r="N1154" s="24">
        <v>0</v>
      </c>
      <c r="O1154" s="24">
        <v>0</v>
      </c>
      <c r="P1154" s="24">
        <v>0</v>
      </c>
      <c r="Q1154" s="24">
        <v>0</v>
      </c>
      <c r="R1154" s="24">
        <v>0</v>
      </c>
      <c r="S1154" s="24">
        <v>225000</v>
      </c>
      <c r="T1154" s="24">
        <v>0</v>
      </c>
      <c r="U1154" s="24">
        <v>225000</v>
      </c>
      <c r="V1154" s="24">
        <v>0</v>
      </c>
      <c r="W1154" s="24">
        <v>0</v>
      </c>
      <c r="X1154" s="24">
        <v>225000</v>
      </c>
      <c r="Y1154" s="24">
        <v>173973</v>
      </c>
      <c r="Z1154" s="24">
        <f t="shared" si="53"/>
        <v>848973</v>
      </c>
      <c r="AB1154" s="25">
        <v>848973</v>
      </c>
      <c r="AC1154" s="26">
        <v>848973</v>
      </c>
      <c r="AD1154" s="24">
        <v>0</v>
      </c>
      <c r="AE1154" s="27">
        <f>_xlfn.XLOOKUP(B1154,'Projects Cashflow'!$B:$B,'Projects Cashflow'!$AG:$AG,0)</f>
        <v>848973</v>
      </c>
      <c r="AF1154" s="28">
        <f t="shared" si="54"/>
        <v>0</v>
      </c>
    </row>
    <row r="1155" spans="2:32" x14ac:dyDescent="0.3">
      <c r="B1155" s="14" t="str">
        <f t="shared" si="52"/>
        <v>45154004511000175Design &amp; Build-N424221200104</v>
      </c>
      <c r="C1155" s="21" t="s">
        <v>211</v>
      </c>
      <c r="D1155" s="22">
        <v>4515400</v>
      </c>
      <c r="E1155" s="21" t="s">
        <v>212</v>
      </c>
      <c r="F1155" s="22">
        <v>4511000175</v>
      </c>
      <c r="G1155" s="21" t="s">
        <v>3119</v>
      </c>
      <c r="H1155" s="21" t="s">
        <v>208</v>
      </c>
      <c r="I1155" s="22">
        <v>424221</v>
      </c>
      <c r="J1155" s="22">
        <v>200104</v>
      </c>
      <c r="K1155" s="22" t="s">
        <v>2959</v>
      </c>
      <c r="L1155" s="22">
        <v>70602</v>
      </c>
      <c r="M1155" s="23" t="s">
        <v>2961</v>
      </c>
      <c r="N1155" s="24">
        <v>0</v>
      </c>
      <c r="O1155" s="24">
        <v>0</v>
      </c>
      <c r="P1155" s="24">
        <v>0</v>
      </c>
      <c r="Q1155" s="24">
        <v>0</v>
      </c>
      <c r="R1155" s="24">
        <v>0</v>
      </c>
      <c r="S1155" s="24">
        <v>0</v>
      </c>
      <c r="T1155" s="24">
        <v>0</v>
      </c>
      <c r="U1155" s="24">
        <v>0</v>
      </c>
      <c r="V1155" s="24">
        <v>2600000</v>
      </c>
      <c r="W1155" s="24">
        <v>0</v>
      </c>
      <c r="X1155" s="24">
        <v>0</v>
      </c>
      <c r="Y1155" s="24">
        <v>0</v>
      </c>
      <c r="Z1155" s="24">
        <f t="shared" si="53"/>
        <v>2600000</v>
      </c>
      <c r="AB1155" s="25">
        <v>2600000</v>
      </c>
      <c r="AC1155" s="26">
        <v>2600000</v>
      </c>
      <c r="AD1155" s="24">
        <v>0</v>
      </c>
      <c r="AE1155" s="27">
        <f>_xlfn.XLOOKUP(B1155,'Projects Cashflow'!$B:$B,'Projects Cashflow'!$AG:$AG,0)</f>
        <v>2600000</v>
      </c>
      <c r="AF1155" s="28">
        <f t="shared" si="54"/>
        <v>0</v>
      </c>
    </row>
    <row r="1156" spans="2:32" x14ac:dyDescent="0.3">
      <c r="B1156" s="14" t="str">
        <f t="shared" si="52"/>
        <v>45154004511000175Venue&amp;Room Rent-N422401200104</v>
      </c>
      <c r="C1156" s="21" t="s">
        <v>211</v>
      </c>
      <c r="D1156" s="22">
        <v>4515400</v>
      </c>
      <c r="E1156" s="21" t="s">
        <v>212</v>
      </c>
      <c r="F1156" s="22">
        <v>4511000175</v>
      </c>
      <c r="G1156" s="21" t="s">
        <v>3119</v>
      </c>
      <c r="H1156" s="21" t="s">
        <v>218</v>
      </c>
      <c r="I1156" s="22">
        <v>422401</v>
      </c>
      <c r="J1156" s="22">
        <v>200104</v>
      </c>
      <c r="K1156" s="22" t="s">
        <v>2959</v>
      </c>
      <c r="L1156" s="22">
        <v>70602</v>
      </c>
      <c r="M1156" s="23" t="s">
        <v>2961</v>
      </c>
      <c r="N1156" s="24">
        <v>0</v>
      </c>
      <c r="O1156" s="24">
        <v>0</v>
      </c>
      <c r="P1156" s="24">
        <v>0</v>
      </c>
      <c r="Q1156" s="24">
        <v>1600000</v>
      </c>
      <c r="R1156" s="24">
        <v>0</v>
      </c>
      <c r="S1156" s="24">
        <v>0</v>
      </c>
      <c r="T1156" s="24">
        <v>0</v>
      </c>
      <c r="U1156" s="24">
        <v>0</v>
      </c>
      <c r="V1156" s="24">
        <v>0</v>
      </c>
      <c r="W1156" s="24">
        <v>0</v>
      </c>
      <c r="X1156" s="24">
        <v>0</v>
      </c>
      <c r="Y1156" s="24">
        <v>0</v>
      </c>
      <c r="Z1156" s="24">
        <f t="shared" si="53"/>
        <v>1600000</v>
      </c>
      <c r="AB1156" s="25">
        <v>1600000</v>
      </c>
      <c r="AC1156" s="26">
        <v>1600000</v>
      </c>
      <c r="AD1156" s="24">
        <v>0</v>
      </c>
      <c r="AE1156" s="27">
        <f>_xlfn.XLOOKUP(B1156,'Projects Cashflow'!$B:$B,'Projects Cashflow'!$AG:$AG,0)</f>
        <v>1600000</v>
      </c>
      <c r="AF1156" s="28">
        <f t="shared" si="54"/>
        <v>0</v>
      </c>
    </row>
    <row r="1157" spans="2:32" x14ac:dyDescent="0.3">
      <c r="B1157" s="14" t="str">
        <f t="shared" ref="B1157:B1220" si="55">D1157&amp;F1157&amp;H1157&amp;I1157&amp;J1157</f>
        <v>45154004511000175Other Expenses-N424991200104</v>
      </c>
      <c r="C1157" s="21" t="s">
        <v>211</v>
      </c>
      <c r="D1157" s="22">
        <v>4515400</v>
      </c>
      <c r="E1157" s="21" t="s">
        <v>212</v>
      </c>
      <c r="F1157" s="22">
        <v>4511000175</v>
      </c>
      <c r="G1157" s="21" t="s">
        <v>3119</v>
      </c>
      <c r="H1157" s="21" t="s">
        <v>57</v>
      </c>
      <c r="I1157" s="22">
        <v>424991</v>
      </c>
      <c r="J1157" s="22">
        <v>200104</v>
      </c>
      <c r="K1157" s="22" t="s">
        <v>2959</v>
      </c>
      <c r="L1157" s="22">
        <v>70602</v>
      </c>
      <c r="M1157" s="23" t="s">
        <v>2961</v>
      </c>
      <c r="N1157" s="24">
        <v>0</v>
      </c>
      <c r="O1157" s="24">
        <v>0</v>
      </c>
      <c r="P1157" s="24">
        <v>0</v>
      </c>
      <c r="Q1157" s="24">
        <v>0</v>
      </c>
      <c r="R1157" s="24">
        <v>0</v>
      </c>
      <c r="S1157" s="24">
        <v>0</v>
      </c>
      <c r="T1157" s="24">
        <v>280000</v>
      </c>
      <c r="U1157" s="24">
        <v>0</v>
      </c>
      <c r="V1157" s="24">
        <v>0</v>
      </c>
      <c r="W1157" s="24">
        <v>0</v>
      </c>
      <c r="X1157" s="24">
        <v>0</v>
      </c>
      <c r="Y1157" s="24">
        <v>0</v>
      </c>
      <c r="Z1157" s="24">
        <f t="shared" ref="Z1157:Z1220" si="56">SUM(N1157:Y1157)</f>
        <v>280000</v>
      </c>
      <c r="AB1157" s="25">
        <v>280000</v>
      </c>
      <c r="AC1157" s="26">
        <v>280000</v>
      </c>
      <c r="AD1157" s="24">
        <v>0</v>
      </c>
      <c r="AE1157" s="27">
        <f>_xlfn.XLOOKUP(B1157,'Projects Cashflow'!$B:$B,'Projects Cashflow'!$AG:$AG,0)</f>
        <v>280000</v>
      </c>
      <c r="AF1157" s="28">
        <f t="shared" ref="AF1157:AF1220" si="57">AE1157-AB1157</f>
        <v>0</v>
      </c>
    </row>
    <row r="1158" spans="2:32" x14ac:dyDescent="0.3">
      <c r="B1158" s="14" t="str">
        <f t="shared" si="55"/>
        <v>45154004511000175Mission &amp; Travel-N423821200104</v>
      </c>
      <c r="C1158" s="21" t="s">
        <v>211</v>
      </c>
      <c r="D1158" s="22">
        <v>4515400</v>
      </c>
      <c r="E1158" s="21" t="s">
        <v>212</v>
      </c>
      <c r="F1158" s="22">
        <v>4511000175</v>
      </c>
      <c r="G1158" s="21" t="s">
        <v>3119</v>
      </c>
      <c r="H1158" s="21" t="s">
        <v>54</v>
      </c>
      <c r="I1158" s="22">
        <v>423821</v>
      </c>
      <c r="J1158" s="22">
        <v>200104</v>
      </c>
      <c r="K1158" s="22" t="s">
        <v>2959</v>
      </c>
      <c r="L1158" s="22">
        <v>70602</v>
      </c>
      <c r="M1158" s="23" t="s">
        <v>2961</v>
      </c>
      <c r="N1158" s="24">
        <v>0</v>
      </c>
      <c r="O1158" s="24">
        <v>0</v>
      </c>
      <c r="P1158" s="24">
        <v>0</v>
      </c>
      <c r="Q1158" s="24">
        <v>0</v>
      </c>
      <c r="R1158" s="24">
        <v>0</v>
      </c>
      <c r="S1158" s="24">
        <v>0</v>
      </c>
      <c r="T1158" s="24">
        <v>190500</v>
      </c>
      <c r="U1158" s="24">
        <v>0</v>
      </c>
      <c r="V1158" s="24">
        <v>0</v>
      </c>
      <c r="W1158" s="24">
        <v>0</v>
      </c>
      <c r="X1158" s="24">
        <v>0</v>
      </c>
      <c r="Y1158" s="24">
        <v>0</v>
      </c>
      <c r="Z1158" s="24">
        <f t="shared" si="56"/>
        <v>190500</v>
      </c>
      <c r="AB1158" s="25">
        <v>190500</v>
      </c>
      <c r="AC1158" s="26">
        <v>190500</v>
      </c>
      <c r="AD1158" s="24">
        <v>0</v>
      </c>
      <c r="AE1158" s="27">
        <f>_xlfn.XLOOKUP(B1158,'Projects Cashflow'!$B:$B,'Projects Cashflow'!$AG:$AG,0)</f>
        <v>190500</v>
      </c>
      <c r="AF1158" s="28">
        <f t="shared" si="57"/>
        <v>0</v>
      </c>
    </row>
    <row r="1159" spans="2:32" x14ac:dyDescent="0.3">
      <c r="B1159" s="14" t="str">
        <f t="shared" si="55"/>
        <v>45154004511000175Hospitality-N424761200104</v>
      </c>
      <c r="C1159" s="21" t="s">
        <v>211</v>
      </c>
      <c r="D1159" s="22">
        <v>4515400</v>
      </c>
      <c r="E1159" s="21" t="s">
        <v>212</v>
      </c>
      <c r="F1159" s="22">
        <v>4511000175</v>
      </c>
      <c r="G1159" s="21" t="s">
        <v>3119</v>
      </c>
      <c r="H1159" s="21" t="s">
        <v>83</v>
      </c>
      <c r="I1159" s="22">
        <v>424761</v>
      </c>
      <c r="J1159" s="22">
        <v>200104</v>
      </c>
      <c r="K1159" s="22" t="s">
        <v>2959</v>
      </c>
      <c r="L1159" s="22">
        <v>70602</v>
      </c>
      <c r="M1159" s="23" t="s">
        <v>2961</v>
      </c>
      <c r="N1159" s="24">
        <v>0</v>
      </c>
      <c r="O1159" s="24">
        <v>0</v>
      </c>
      <c r="P1159" s="24">
        <v>0</v>
      </c>
      <c r="Q1159" s="24">
        <v>0</v>
      </c>
      <c r="R1159" s="24">
        <v>0</v>
      </c>
      <c r="S1159" s="24">
        <v>0</v>
      </c>
      <c r="T1159" s="24">
        <v>120000</v>
      </c>
      <c r="U1159" s="24">
        <v>0</v>
      </c>
      <c r="V1159" s="24">
        <v>0</v>
      </c>
      <c r="W1159" s="24">
        <v>0</v>
      </c>
      <c r="X1159" s="24">
        <v>0</v>
      </c>
      <c r="Y1159" s="24">
        <v>0</v>
      </c>
      <c r="Z1159" s="24">
        <f t="shared" si="56"/>
        <v>120000</v>
      </c>
      <c r="AB1159" s="25">
        <v>120000</v>
      </c>
      <c r="AC1159" s="26">
        <v>120000</v>
      </c>
      <c r="AD1159" s="24">
        <v>0</v>
      </c>
      <c r="AE1159" s="27">
        <f>_xlfn.XLOOKUP(B1159,'Projects Cashflow'!$B:$B,'Projects Cashflow'!$AG:$AG,0)</f>
        <v>120000</v>
      </c>
      <c r="AF1159" s="28">
        <f t="shared" si="57"/>
        <v>0</v>
      </c>
    </row>
    <row r="1160" spans="2:32" x14ac:dyDescent="0.3">
      <c r="B1160" s="14" t="str">
        <f t="shared" si="55"/>
        <v>45154004511000394Mission &amp; Travel-N423821200104</v>
      </c>
      <c r="C1160" s="21" t="s">
        <v>211</v>
      </c>
      <c r="D1160" s="22">
        <v>4515400</v>
      </c>
      <c r="E1160" s="21" t="s">
        <v>212</v>
      </c>
      <c r="F1160" s="22">
        <v>4511000394</v>
      </c>
      <c r="G1160" s="21" t="s">
        <v>3120</v>
      </c>
      <c r="H1160" s="21" t="s">
        <v>54</v>
      </c>
      <c r="I1160" s="22">
        <v>423821</v>
      </c>
      <c r="J1160" s="22">
        <v>200104</v>
      </c>
      <c r="K1160" s="22" t="s">
        <v>2959</v>
      </c>
      <c r="L1160" s="22">
        <v>70602</v>
      </c>
      <c r="M1160" s="23" t="s">
        <v>2961</v>
      </c>
      <c r="N1160" s="24">
        <v>0</v>
      </c>
      <c r="O1160" s="24">
        <v>0</v>
      </c>
      <c r="P1160" s="24">
        <v>0</v>
      </c>
      <c r="Q1160" s="24">
        <v>0</v>
      </c>
      <c r="R1160" s="24">
        <v>10000</v>
      </c>
      <c r="S1160" s="24">
        <v>0</v>
      </c>
      <c r="T1160" s="24">
        <v>0</v>
      </c>
      <c r="U1160" s="24">
        <v>15300</v>
      </c>
      <c r="V1160" s="24">
        <v>0</v>
      </c>
      <c r="W1160" s="24">
        <v>0</v>
      </c>
      <c r="X1160" s="24">
        <v>8700</v>
      </c>
      <c r="Y1160" s="24">
        <v>0</v>
      </c>
      <c r="Z1160" s="24">
        <f t="shared" si="56"/>
        <v>34000</v>
      </c>
      <c r="AB1160" s="25">
        <v>34000</v>
      </c>
      <c r="AC1160" s="26">
        <v>34000</v>
      </c>
      <c r="AD1160" s="24">
        <v>0</v>
      </c>
      <c r="AE1160" s="27">
        <f>_xlfn.XLOOKUP(B1160,'Projects Cashflow'!$B:$B,'Projects Cashflow'!$AG:$AG,0)</f>
        <v>34000</v>
      </c>
      <c r="AF1160" s="28">
        <f t="shared" si="57"/>
        <v>0</v>
      </c>
    </row>
    <row r="1161" spans="2:32" x14ac:dyDescent="0.3">
      <c r="B1161" s="14" t="str">
        <f t="shared" si="55"/>
        <v>45154004511000467Research&amp;Survey-N423411200104</v>
      </c>
      <c r="C1161" s="34" t="s">
        <v>211</v>
      </c>
      <c r="D1161" s="35">
        <v>4515400</v>
      </c>
      <c r="E1161" s="34" t="s">
        <v>212</v>
      </c>
      <c r="F1161" s="35">
        <v>4511000467</v>
      </c>
      <c r="G1161" s="34" t="s">
        <v>3121</v>
      </c>
      <c r="H1161" s="34" t="s">
        <v>381</v>
      </c>
      <c r="I1161" s="35">
        <v>423411</v>
      </c>
      <c r="J1161" s="35">
        <v>200104</v>
      </c>
      <c r="K1161" s="35" t="s">
        <v>2959</v>
      </c>
      <c r="L1161" s="22">
        <v>70602</v>
      </c>
      <c r="M1161" s="36" t="s">
        <v>2960</v>
      </c>
      <c r="N1161" s="24">
        <v>0</v>
      </c>
      <c r="O1161" s="24">
        <v>0</v>
      </c>
      <c r="P1161" s="24">
        <v>0</v>
      </c>
      <c r="Q1161" s="24">
        <v>39400.3145</v>
      </c>
      <c r="R1161" s="24">
        <v>27925</v>
      </c>
      <c r="S1161" s="24">
        <v>27925</v>
      </c>
      <c r="T1161" s="24">
        <v>27925</v>
      </c>
      <c r="U1161" s="24">
        <v>27925</v>
      </c>
      <c r="V1161" s="24">
        <v>0</v>
      </c>
      <c r="W1161" s="24">
        <v>0</v>
      </c>
      <c r="X1161" s="24">
        <v>0</v>
      </c>
      <c r="Y1161" s="24">
        <v>55850</v>
      </c>
      <c r="Z1161" s="24">
        <f t="shared" si="56"/>
        <v>206950.31450000001</v>
      </c>
      <c r="AB1161" s="37">
        <v>206950.31450000001</v>
      </c>
      <c r="AC1161" s="38">
        <v>206950</v>
      </c>
      <c r="AD1161" s="48">
        <v>0.31450000000768341</v>
      </c>
      <c r="AE1161" s="27">
        <f>_xlfn.XLOOKUP(B1161,'Projects Cashflow'!$B:$B,'Projects Cashflow'!$AG:$AG,0)</f>
        <v>206950</v>
      </c>
      <c r="AF1161" s="28">
        <f t="shared" si="57"/>
        <v>-0.31450000000768341</v>
      </c>
    </row>
    <row r="1162" spans="2:32" x14ac:dyDescent="0.3">
      <c r="B1162" s="14" t="str">
        <f t="shared" si="55"/>
        <v>45154004511000467PR&amp;MediaCoverage-L424781201931</v>
      </c>
      <c r="C1162" s="21" t="s">
        <v>211</v>
      </c>
      <c r="D1162" s="22">
        <v>4515400</v>
      </c>
      <c r="E1162" s="21" t="s">
        <v>212</v>
      </c>
      <c r="F1162" s="22">
        <v>4511000467</v>
      </c>
      <c r="G1162" s="21" t="s">
        <v>3121</v>
      </c>
      <c r="H1162" s="21" t="s">
        <v>577</v>
      </c>
      <c r="I1162" s="22">
        <v>424781</v>
      </c>
      <c r="J1162" s="22">
        <v>201931</v>
      </c>
      <c r="K1162" s="22" t="s">
        <v>2959</v>
      </c>
      <c r="L1162" s="22">
        <v>70602</v>
      </c>
      <c r="M1162" s="23" t="s">
        <v>2960</v>
      </c>
      <c r="N1162" s="24">
        <v>0</v>
      </c>
      <c r="O1162" s="24">
        <v>0</v>
      </c>
      <c r="P1162" s="24">
        <v>0</v>
      </c>
      <c r="Q1162" s="24">
        <v>25000</v>
      </c>
      <c r="R1162" s="24">
        <v>0</v>
      </c>
      <c r="S1162" s="24">
        <v>0</v>
      </c>
      <c r="T1162" s="24">
        <v>0</v>
      </c>
      <c r="U1162" s="24">
        <v>0</v>
      </c>
      <c r="V1162" s="24">
        <v>0</v>
      </c>
      <c r="W1162" s="24">
        <v>0</v>
      </c>
      <c r="X1162" s="24">
        <v>0</v>
      </c>
      <c r="Y1162" s="24">
        <v>0</v>
      </c>
      <c r="Z1162" s="24">
        <f t="shared" si="56"/>
        <v>25000</v>
      </c>
      <c r="AB1162" s="25">
        <v>25000</v>
      </c>
      <c r="AC1162" s="26">
        <v>25000</v>
      </c>
      <c r="AD1162" s="24">
        <v>0</v>
      </c>
      <c r="AE1162" s="27">
        <f>_xlfn.XLOOKUP(B1162,'Projects Cashflow'!$B:$B,'Projects Cashflow'!$AG:$AG,0)</f>
        <v>25000</v>
      </c>
      <c r="AF1162" s="28">
        <f t="shared" si="57"/>
        <v>0</v>
      </c>
    </row>
    <row r="1163" spans="2:32" x14ac:dyDescent="0.3">
      <c r="B1163" s="14" t="str">
        <f t="shared" si="55"/>
        <v>45154004511000798Partnership Fees-N422401200104</v>
      </c>
      <c r="C1163" s="34" t="s">
        <v>211</v>
      </c>
      <c r="D1163" s="35">
        <v>4515400</v>
      </c>
      <c r="E1163" s="34" t="s">
        <v>212</v>
      </c>
      <c r="F1163" s="35">
        <v>4511000798</v>
      </c>
      <c r="G1163" s="34" t="s">
        <v>3122</v>
      </c>
      <c r="H1163" s="34" t="s">
        <v>1087</v>
      </c>
      <c r="I1163" s="35">
        <v>422401</v>
      </c>
      <c r="J1163" s="35">
        <v>200104</v>
      </c>
      <c r="K1163" s="35" t="s">
        <v>2959</v>
      </c>
      <c r="L1163" s="22">
        <v>70602</v>
      </c>
      <c r="M1163" s="36" t="s">
        <v>2961</v>
      </c>
      <c r="N1163" s="24">
        <v>0</v>
      </c>
      <c r="O1163" s="24">
        <v>0</v>
      </c>
      <c r="P1163" s="26">
        <v>2319586.7999999998</v>
      </c>
      <c r="Q1163" s="24">
        <v>0</v>
      </c>
      <c r="R1163" s="24">
        <v>3670413</v>
      </c>
      <c r="S1163" s="24">
        <v>0</v>
      </c>
      <c r="T1163" s="24">
        <v>2497000</v>
      </c>
      <c r="U1163" s="24">
        <v>0</v>
      </c>
      <c r="V1163" s="24">
        <v>0</v>
      </c>
      <c r="W1163" s="24">
        <v>0</v>
      </c>
      <c r="X1163" s="24">
        <v>0</v>
      </c>
      <c r="Y1163" s="24">
        <v>277000</v>
      </c>
      <c r="Z1163" s="24">
        <f t="shared" si="56"/>
        <v>8763999.8000000007</v>
      </c>
      <c r="AB1163" s="37">
        <v>8763999.8000000007</v>
      </c>
      <c r="AC1163" s="38">
        <v>8764000</v>
      </c>
      <c r="AD1163" s="48">
        <v>-0.19999999925494194</v>
      </c>
      <c r="AE1163" s="27">
        <f>_xlfn.XLOOKUP(B1163,'Projects Cashflow'!$B:$B,'Projects Cashflow'!$AG:$AG,0)</f>
        <v>8764000</v>
      </c>
      <c r="AF1163" s="28">
        <f t="shared" si="57"/>
        <v>0.19999999925494194</v>
      </c>
    </row>
    <row r="1164" spans="2:32" x14ac:dyDescent="0.3">
      <c r="B1164" s="14" t="str">
        <f t="shared" si="55"/>
        <v>45154004511000798Mission &amp; Travel-L423821201931</v>
      </c>
      <c r="C1164" s="21" t="s">
        <v>211</v>
      </c>
      <c r="D1164" s="22">
        <v>4515400</v>
      </c>
      <c r="E1164" s="21" t="s">
        <v>212</v>
      </c>
      <c r="F1164" s="22">
        <v>4511000798</v>
      </c>
      <c r="G1164" s="21" t="s">
        <v>3122</v>
      </c>
      <c r="H1164" s="21" t="s">
        <v>1085</v>
      </c>
      <c r="I1164" s="22">
        <v>423821</v>
      </c>
      <c r="J1164" s="22">
        <v>201931</v>
      </c>
      <c r="K1164" s="22" t="s">
        <v>2959</v>
      </c>
      <c r="L1164" s="22">
        <v>70502</v>
      </c>
      <c r="M1164" s="23" t="s">
        <v>2961</v>
      </c>
      <c r="N1164" s="24">
        <v>0</v>
      </c>
      <c r="O1164" s="24">
        <v>0</v>
      </c>
      <c r="P1164" s="24">
        <v>0</v>
      </c>
      <c r="Q1164" s="24">
        <v>0</v>
      </c>
      <c r="R1164" s="24">
        <v>47000</v>
      </c>
      <c r="S1164" s="24">
        <v>94000</v>
      </c>
      <c r="T1164" s="24">
        <v>0</v>
      </c>
      <c r="U1164" s="24">
        <v>72690</v>
      </c>
      <c r="V1164" s="24">
        <v>22500</v>
      </c>
      <c r="W1164" s="24">
        <v>0</v>
      </c>
      <c r="X1164" s="24">
        <v>17000</v>
      </c>
      <c r="Y1164" s="24">
        <v>17500</v>
      </c>
      <c r="Z1164" s="24">
        <f t="shared" si="56"/>
        <v>270690</v>
      </c>
      <c r="AB1164" s="25">
        <v>270690</v>
      </c>
      <c r="AC1164" s="26">
        <v>270690</v>
      </c>
      <c r="AD1164" s="24">
        <v>0</v>
      </c>
      <c r="AE1164" s="27">
        <f>_xlfn.XLOOKUP(B1164,'Projects Cashflow'!$B:$B,'Projects Cashflow'!$AG:$AG,0)</f>
        <v>270690</v>
      </c>
      <c r="AF1164" s="28">
        <f t="shared" si="57"/>
        <v>0</v>
      </c>
    </row>
    <row r="1165" spans="2:32" x14ac:dyDescent="0.3">
      <c r="B1165" s="14" t="str">
        <f t="shared" si="55"/>
        <v>45154004511000943Partnership Fees-N422401200104</v>
      </c>
      <c r="C1165" s="34" t="s">
        <v>211</v>
      </c>
      <c r="D1165" s="35">
        <v>4515400</v>
      </c>
      <c r="E1165" s="34" t="s">
        <v>212</v>
      </c>
      <c r="F1165" s="35">
        <v>4511000943</v>
      </c>
      <c r="G1165" s="34" t="s">
        <v>1260</v>
      </c>
      <c r="H1165" s="34" t="s">
        <v>1087</v>
      </c>
      <c r="I1165" s="35">
        <v>422401</v>
      </c>
      <c r="J1165" s="35">
        <v>200104</v>
      </c>
      <c r="K1165" s="35" t="s">
        <v>2959</v>
      </c>
      <c r="L1165" s="22">
        <v>70602</v>
      </c>
      <c r="M1165" s="36" t="s">
        <v>2961</v>
      </c>
      <c r="N1165" s="24">
        <v>0</v>
      </c>
      <c r="O1165" s="24">
        <v>0</v>
      </c>
      <c r="P1165" s="24">
        <v>0</v>
      </c>
      <c r="Q1165" s="24">
        <v>197628.84</v>
      </c>
      <c r="R1165" s="24">
        <v>80000</v>
      </c>
      <c r="S1165" s="24">
        <v>0</v>
      </c>
      <c r="T1165" s="24">
        <v>385000</v>
      </c>
      <c r="U1165" s="24">
        <v>120000</v>
      </c>
      <c r="V1165" s="24">
        <v>20000</v>
      </c>
      <c r="W1165" s="24">
        <v>0</v>
      </c>
      <c r="X1165" s="24">
        <v>0</v>
      </c>
      <c r="Y1165" s="24">
        <v>0</v>
      </c>
      <c r="Z1165" s="24">
        <f t="shared" si="56"/>
        <v>802628.84</v>
      </c>
      <c r="AB1165" s="37">
        <v>802628.84</v>
      </c>
      <c r="AC1165" s="38">
        <v>802629</v>
      </c>
      <c r="AD1165" s="48">
        <v>-0.16000000003259629</v>
      </c>
      <c r="AE1165" s="27">
        <f>_xlfn.XLOOKUP(B1165,'Projects Cashflow'!$B:$B,'Projects Cashflow'!$AG:$AG,0)</f>
        <v>802629</v>
      </c>
      <c r="AF1165" s="28">
        <f t="shared" si="57"/>
        <v>0.16000000003259629</v>
      </c>
    </row>
    <row r="1166" spans="2:32" x14ac:dyDescent="0.3">
      <c r="B1166" s="14" t="str">
        <f t="shared" si="55"/>
        <v>45154004511000943Trade Promotion-N424251200104</v>
      </c>
      <c r="C1166" s="21" t="s">
        <v>211</v>
      </c>
      <c r="D1166" s="22">
        <v>4515400</v>
      </c>
      <c r="E1166" s="21" t="s">
        <v>212</v>
      </c>
      <c r="F1166" s="22">
        <v>4511000943</v>
      </c>
      <c r="G1166" s="21" t="s">
        <v>1260</v>
      </c>
      <c r="H1166" s="21" t="s">
        <v>748</v>
      </c>
      <c r="I1166" s="22">
        <v>424251</v>
      </c>
      <c r="J1166" s="22">
        <v>200104</v>
      </c>
      <c r="K1166" s="22" t="s">
        <v>2959</v>
      </c>
      <c r="L1166" s="22">
        <v>70602</v>
      </c>
      <c r="M1166" s="23" t="s">
        <v>2961</v>
      </c>
      <c r="N1166" s="24">
        <v>0</v>
      </c>
      <c r="O1166" s="24">
        <v>0</v>
      </c>
      <c r="P1166" s="24">
        <v>1154</v>
      </c>
      <c r="Q1166" s="24">
        <v>41507</v>
      </c>
      <c r="R1166" s="24">
        <v>20000</v>
      </c>
      <c r="S1166" s="24">
        <v>30000</v>
      </c>
      <c r="T1166" s="24">
        <v>0</v>
      </c>
      <c r="U1166" s="24">
        <v>20000</v>
      </c>
      <c r="V1166" s="24">
        <v>0</v>
      </c>
      <c r="W1166" s="24">
        <v>75000</v>
      </c>
      <c r="X1166" s="24">
        <v>25000</v>
      </c>
      <c r="Y1166" s="24">
        <v>100000</v>
      </c>
      <c r="Z1166" s="24">
        <f t="shared" si="56"/>
        <v>312661</v>
      </c>
      <c r="AB1166" s="25">
        <v>312661</v>
      </c>
      <c r="AC1166" s="26">
        <v>312661</v>
      </c>
      <c r="AD1166" s="24">
        <v>0</v>
      </c>
      <c r="AE1166" s="27">
        <f>_xlfn.XLOOKUP(B1166,'Projects Cashflow'!$B:$B,'Projects Cashflow'!$AG:$AG,0)</f>
        <v>312661</v>
      </c>
      <c r="AF1166" s="28">
        <f t="shared" si="57"/>
        <v>0</v>
      </c>
    </row>
    <row r="1167" spans="2:32" x14ac:dyDescent="0.3">
      <c r="B1167" s="14" t="str">
        <f t="shared" si="55"/>
        <v>45154004511000943Mission &amp; Travel-N423821200104</v>
      </c>
      <c r="C1167" s="34" t="s">
        <v>211</v>
      </c>
      <c r="D1167" s="35">
        <v>4515400</v>
      </c>
      <c r="E1167" s="34" t="s">
        <v>212</v>
      </c>
      <c r="F1167" s="35">
        <v>4511000943</v>
      </c>
      <c r="G1167" s="34" t="s">
        <v>1260</v>
      </c>
      <c r="H1167" s="34" t="s">
        <v>54</v>
      </c>
      <c r="I1167" s="35">
        <v>423821</v>
      </c>
      <c r="J1167" s="35">
        <v>200104</v>
      </c>
      <c r="K1167" s="35" t="s">
        <v>2959</v>
      </c>
      <c r="L1167" s="22">
        <v>70602</v>
      </c>
      <c r="M1167" s="36" t="s">
        <v>2961</v>
      </c>
      <c r="N1167" s="24">
        <v>0</v>
      </c>
      <c r="O1167" s="24">
        <v>0</v>
      </c>
      <c r="P1167" s="26">
        <v>14400</v>
      </c>
      <c r="Q1167" s="24">
        <v>0</v>
      </c>
      <c r="R1167" s="24">
        <v>55600</v>
      </c>
      <c r="S1167" s="24">
        <v>0</v>
      </c>
      <c r="T1167" s="24">
        <v>167807.77020217557</v>
      </c>
      <c r="U1167" s="24">
        <v>21000</v>
      </c>
      <c r="V1167" s="24">
        <v>0</v>
      </c>
      <c r="W1167" s="24">
        <v>0</v>
      </c>
      <c r="X1167" s="24">
        <v>0</v>
      </c>
      <c r="Y1167" s="24">
        <v>0</v>
      </c>
      <c r="Z1167" s="24">
        <f t="shared" si="56"/>
        <v>258807.77020217557</v>
      </c>
      <c r="AB1167" s="37">
        <v>258807.77020217557</v>
      </c>
      <c r="AC1167" s="38">
        <v>258808</v>
      </c>
      <c r="AD1167" s="48">
        <v>-0.22979782443144359</v>
      </c>
      <c r="AE1167" s="27">
        <f>_xlfn.XLOOKUP(B1167,'Projects Cashflow'!$B:$B,'Projects Cashflow'!$AG:$AG,0)</f>
        <v>258808</v>
      </c>
      <c r="AF1167" s="28">
        <f t="shared" si="57"/>
        <v>0.22979782443144359</v>
      </c>
    </row>
    <row r="1168" spans="2:32" x14ac:dyDescent="0.3">
      <c r="B1168" s="14" t="str">
        <f t="shared" si="55"/>
        <v>45112504511000708Cleaning Service-N422311200104</v>
      </c>
      <c r="C1168" s="21" t="s">
        <v>65</v>
      </c>
      <c r="D1168" s="22">
        <v>4511250</v>
      </c>
      <c r="E1168" s="21" t="s">
        <v>66</v>
      </c>
      <c r="F1168" s="22">
        <v>4511000708</v>
      </c>
      <c r="G1168" s="21" t="s">
        <v>3016</v>
      </c>
      <c r="H1168" s="21" t="s">
        <v>79</v>
      </c>
      <c r="I1168" s="22">
        <v>422311</v>
      </c>
      <c r="J1168" s="22">
        <v>200104</v>
      </c>
      <c r="K1168" s="22" t="s">
        <v>2959</v>
      </c>
      <c r="L1168" s="22">
        <v>70205</v>
      </c>
      <c r="M1168" s="23" t="s">
        <v>2961</v>
      </c>
      <c r="N1168" s="24">
        <v>0</v>
      </c>
      <c r="O1168" s="24">
        <v>0</v>
      </c>
      <c r="P1168" s="24">
        <v>0</v>
      </c>
      <c r="Q1168" s="24">
        <v>1883</v>
      </c>
      <c r="R1168" s="24">
        <v>1883</v>
      </c>
      <c r="S1168" s="24">
        <v>1883</v>
      </c>
      <c r="T1168" s="24">
        <v>1883</v>
      </c>
      <c r="U1168" s="24">
        <v>1883</v>
      </c>
      <c r="V1168" s="24">
        <v>1883</v>
      </c>
      <c r="W1168" s="24">
        <v>1883</v>
      </c>
      <c r="X1168" s="24">
        <v>1883</v>
      </c>
      <c r="Y1168" s="24">
        <v>7529</v>
      </c>
      <c r="Z1168" s="24">
        <f t="shared" si="56"/>
        <v>22593</v>
      </c>
      <c r="AB1168" s="25">
        <v>22593</v>
      </c>
      <c r="AC1168" s="26">
        <v>22592.7</v>
      </c>
      <c r="AD1168" s="24">
        <v>0.2999999999992724</v>
      </c>
      <c r="AE1168" s="27">
        <f>_xlfn.XLOOKUP(B1168,'Projects Cashflow'!$B:$B,'Projects Cashflow'!$AG:$AG,0)</f>
        <v>22592.7</v>
      </c>
      <c r="AF1168" s="28">
        <f t="shared" si="57"/>
        <v>-0.2999999999992724</v>
      </c>
    </row>
    <row r="1169" spans="2:32" x14ac:dyDescent="0.3">
      <c r="B1169" s="14" t="str">
        <f t="shared" si="55"/>
        <v>45154004511000981MICE-Trade Shows-N422401200104</v>
      </c>
      <c r="C1169" s="34" t="s">
        <v>211</v>
      </c>
      <c r="D1169" s="35">
        <v>4515400</v>
      </c>
      <c r="E1169" s="34" t="s">
        <v>212</v>
      </c>
      <c r="F1169" s="35">
        <v>4511000981</v>
      </c>
      <c r="G1169" s="34" t="s">
        <v>1291</v>
      </c>
      <c r="H1169" s="34" t="s">
        <v>1297</v>
      </c>
      <c r="I1169" s="35">
        <v>422401</v>
      </c>
      <c r="J1169" s="35">
        <v>200104</v>
      </c>
      <c r="K1169" s="35" t="s">
        <v>2959</v>
      </c>
      <c r="L1169" s="22">
        <v>70602</v>
      </c>
      <c r="M1169" s="36" t="s">
        <v>2960</v>
      </c>
      <c r="N1169" s="24">
        <v>0</v>
      </c>
      <c r="O1169" s="24">
        <v>0</v>
      </c>
      <c r="P1169" s="26">
        <v>7634626</v>
      </c>
      <c r="Q1169" s="24">
        <v>0</v>
      </c>
      <c r="R1169" s="24">
        <v>8623147</v>
      </c>
      <c r="S1169" s="24">
        <v>0</v>
      </c>
      <c r="T1169" s="24">
        <v>5539963.5700000003</v>
      </c>
      <c r="U1169" s="24">
        <v>2815000</v>
      </c>
      <c r="V1169" s="24">
        <v>1500000</v>
      </c>
      <c r="W1169" s="24">
        <v>0</v>
      </c>
      <c r="X1169" s="24">
        <v>0</v>
      </c>
      <c r="Y1169" s="24">
        <v>1319955.7886311561</v>
      </c>
      <c r="Z1169" s="24">
        <f t="shared" si="56"/>
        <v>27432692.358631156</v>
      </c>
      <c r="AB1169" s="37">
        <v>27235692.358631156</v>
      </c>
      <c r="AC1169" s="38">
        <v>27235692</v>
      </c>
      <c r="AD1169" s="48">
        <v>0.35863115638494492</v>
      </c>
      <c r="AE1169" s="27">
        <f>_xlfn.XLOOKUP(B1169,'Projects Cashflow'!$B:$B,'Projects Cashflow'!$AG:$AG,0)</f>
        <v>27235692</v>
      </c>
      <c r="AF1169" s="28">
        <f t="shared" si="57"/>
        <v>-0.35863115638494492</v>
      </c>
    </row>
    <row r="1170" spans="2:32" x14ac:dyDescent="0.3">
      <c r="B1170" s="14" t="str">
        <f t="shared" si="55"/>
        <v>45154004511000981MICE-Association-L461412201931</v>
      </c>
      <c r="C1170" s="21" t="s">
        <v>211</v>
      </c>
      <c r="D1170" s="22">
        <v>4515400</v>
      </c>
      <c r="E1170" s="21" t="s">
        <v>212</v>
      </c>
      <c r="F1170" s="22">
        <v>4511000981</v>
      </c>
      <c r="G1170" s="21" t="s">
        <v>1291</v>
      </c>
      <c r="H1170" s="21" t="s">
        <v>1292</v>
      </c>
      <c r="I1170" s="22">
        <v>461412</v>
      </c>
      <c r="J1170" s="22">
        <v>201931</v>
      </c>
      <c r="K1170" s="22" t="s">
        <v>2959</v>
      </c>
      <c r="L1170" s="22">
        <v>70502</v>
      </c>
      <c r="M1170" s="23" t="s">
        <v>2960</v>
      </c>
      <c r="N1170" s="24">
        <v>0</v>
      </c>
      <c r="O1170" s="24">
        <v>0</v>
      </c>
      <c r="P1170" s="24">
        <v>823864</v>
      </c>
      <c r="Q1170" s="24">
        <v>1012136</v>
      </c>
      <c r="R1170" s="24">
        <v>2142000</v>
      </c>
      <c r="S1170" s="24">
        <v>460000</v>
      </c>
      <c r="T1170" s="24">
        <v>2460000</v>
      </c>
      <c r="U1170" s="24">
        <v>2545000</v>
      </c>
      <c r="V1170" s="24">
        <v>200000</v>
      </c>
      <c r="W1170" s="24">
        <v>250000</v>
      </c>
      <c r="X1170" s="24">
        <v>0</v>
      </c>
      <c r="Y1170" s="24">
        <v>5410000</v>
      </c>
      <c r="Z1170" s="24">
        <f t="shared" si="56"/>
        <v>15303000</v>
      </c>
      <c r="AB1170" s="25">
        <v>15303000</v>
      </c>
      <c r="AC1170" s="26">
        <v>15303000</v>
      </c>
      <c r="AD1170" s="24">
        <v>0</v>
      </c>
      <c r="AE1170" s="27">
        <f>_xlfn.XLOOKUP(B1170,'Projects Cashflow'!$B:$B,'Projects Cashflow'!$AG:$AG,0)</f>
        <v>15303000</v>
      </c>
      <c r="AF1170" s="28">
        <f t="shared" si="57"/>
        <v>0</v>
      </c>
    </row>
    <row r="1171" spans="2:32" x14ac:dyDescent="0.3">
      <c r="B1171" s="14" t="str">
        <f t="shared" si="55"/>
        <v>45154004511000981MICE-M&amp;I-N461412200104</v>
      </c>
      <c r="C1171" s="21" t="s">
        <v>211</v>
      </c>
      <c r="D1171" s="22">
        <v>4515400</v>
      </c>
      <c r="E1171" s="21" t="s">
        <v>212</v>
      </c>
      <c r="F1171" s="22">
        <v>4511000981</v>
      </c>
      <c r="G1171" s="21" t="s">
        <v>1291</v>
      </c>
      <c r="H1171" s="21" t="s">
        <v>1294</v>
      </c>
      <c r="I1171" s="22">
        <v>461412</v>
      </c>
      <c r="J1171" s="22">
        <v>200104</v>
      </c>
      <c r="K1171" s="22" t="s">
        <v>2959</v>
      </c>
      <c r="L1171" s="22">
        <v>70602</v>
      </c>
      <c r="M1171" s="23" t="s">
        <v>2960</v>
      </c>
      <c r="N1171" s="24">
        <v>0</v>
      </c>
      <c r="O1171" s="24">
        <v>0</v>
      </c>
      <c r="P1171" s="24">
        <v>81450</v>
      </c>
      <c r="Q1171" s="24">
        <v>235000</v>
      </c>
      <c r="R1171" s="24">
        <v>2510950</v>
      </c>
      <c r="S1171" s="24">
        <v>581725</v>
      </c>
      <c r="T1171" s="24">
        <v>89000</v>
      </c>
      <c r="U1171" s="24">
        <v>575000</v>
      </c>
      <c r="V1171" s="24">
        <v>0</v>
      </c>
      <c r="W1171" s="24">
        <v>0</v>
      </c>
      <c r="X1171" s="24">
        <v>0</v>
      </c>
      <c r="Y1171" s="24">
        <v>0</v>
      </c>
      <c r="Z1171" s="24">
        <f t="shared" si="56"/>
        <v>4073125</v>
      </c>
      <c r="AB1171" s="25">
        <v>4073125</v>
      </c>
      <c r="AC1171" s="26">
        <v>4073125</v>
      </c>
      <c r="AD1171" s="24">
        <v>0</v>
      </c>
      <c r="AE1171" s="27">
        <f>_xlfn.XLOOKUP(B1171,'Projects Cashflow'!$B:$B,'Projects Cashflow'!$AG:$AG,0)</f>
        <v>4073125</v>
      </c>
      <c r="AF1171" s="28">
        <f t="shared" si="57"/>
        <v>0</v>
      </c>
    </row>
    <row r="1172" spans="2:32" x14ac:dyDescent="0.3">
      <c r="B1172" s="14" t="str">
        <f t="shared" si="55"/>
        <v>45154004511000981MICE-Trade Shows-L422401201931</v>
      </c>
      <c r="C1172" s="34" t="s">
        <v>211</v>
      </c>
      <c r="D1172" s="35">
        <v>4515400</v>
      </c>
      <c r="E1172" s="34" t="s">
        <v>212</v>
      </c>
      <c r="F1172" s="35">
        <v>4511000981</v>
      </c>
      <c r="G1172" s="34" t="s">
        <v>1291</v>
      </c>
      <c r="H1172" s="34" t="s">
        <v>1295</v>
      </c>
      <c r="I1172" s="35">
        <v>422401</v>
      </c>
      <c r="J1172" s="35">
        <v>201931</v>
      </c>
      <c r="K1172" s="35" t="s">
        <v>2959</v>
      </c>
      <c r="L1172" s="22">
        <v>70502</v>
      </c>
      <c r="M1172" s="36" t="s">
        <v>2960</v>
      </c>
      <c r="N1172" s="24">
        <v>0</v>
      </c>
      <c r="O1172" s="24">
        <v>0</v>
      </c>
      <c r="P1172" s="24">
        <v>0</v>
      </c>
      <c r="Q1172" s="24">
        <v>0</v>
      </c>
      <c r="R1172" s="24">
        <v>0</v>
      </c>
      <c r="S1172" s="24">
        <v>0</v>
      </c>
      <c r="T1172" s="24">
        <v>0</v>
      </c>
      <c r="U1172" s="24">
        <v>0</v>
      </c>
      <c r="V1172" s="24">
        <v>0</v>
      </c>
      <c r="W1172" s="24">
        <v>0</v>
      </c>
      <c r="X1172" s="24">
        <v>0</v>
      </c>
      <c r="Y1172" s="24">
        <v>1541160.21136884</v>
      </c>
      <c r="Z1172" s="24">
        <f t="shared" si="56"/>
        <v>1541160.21136884</v>
      </c>
      <c r="AB1172" s="37">
        <v>1541160.21136884</v>
      </c>
      <c r="AC1172" s="38">
        <v>1541160</v>
      </c>
      <c r="AD1172" s="48">
        <v>0.21136883995495737</v>
      </c>
      <c r="AE1172" s="27">
        <f>_xlfn.XLOOKUP(B1172,'Projects Cashflow'!$B:$B,'Projects Cashflow'!$AG:$AG,0)</f>
        <v>1541160</v>
      </c>
      <c r="AF1172" s="28">
        <f t="shared" si="57"/>
        <v>-0.21136883995495737</v>
      </c>
    </row>
    <row r="1173" spans="2:32" x14ac:dyDescent="0.3">
      <c r="B1173" s="14" t="str">
        <f t="shared" si="55"/>
        <v>45154004511001506ManagementAdvice-N1424521200104</v>
      </c>
      <c r="C1173" s="21" t="s">
        <v>211</v>
      </c>
      <c r="D1173" s="22">
        <v>4515400</v>
      </c>
      <c r="E1173" s="21" t="s">
        <v>212</v>
      </c>
      <c r="F1173" s="22">
        <v>4511001506</v>
      </c>
      <c r="G1173" s="21" t="s">
        <v>1886</v>
      </c>
      <c r="H1173" s="29" t="s">
        <v>725</v>
      </c>
      <c r="I1173" s="22">
        <v>424521</v>
      </c>
      <c r="J1173" s="22">
        <v>200104</v>
      </c>
      <c r="K1173" s="22" t="s">
        <v>2959</v>
      </c>
      <c r="L1173" s="22">
        <v>70602</v>
      </c>
      <c r="M1173" s="23" t="s">
        <v>2960</v>
      </c>
      <c r="N1173" s="24">
        <v>0</v>
      </c>
      <c r="O1173" s="24">
        <v>0</v>
      </c>
      <c r="P1173" s="24">
        <v>0</v>
      </c>
      <c r="Q1173" s="24">
        <v>2000000</v>
      </c>
      <c r="R1173" s="24">
        <v>1500000</v>
      </c>
      <c r="S1173" s="24">
        <v>1000000</v>
      </c>
      <c r="T1173" s="24">
        <v>1021140</v>
      </c>
      <c r="U1173" s="24">
        <v>0</v>
      </c>
      <c r="V1173" s="24">
        <v>0</v>
      </c>
      <c r="W1173" s="24">
        <v>0</v>
      </c>
      <c r="X1173" s="24">
        <v>0</v>
      </c>
      <c r="Y1173" s="24">
        <v>0</v>
      </c>
      <c r="Z1173" s="24">
        <f t="shared" si="56"/>
        <v>5521140</v>
      </c>
      <c r="AB1173" s="25">
        <v>5521140</v>
      </c>
      <c r="AC1173" s="26">
        <v>5521140</v>
      </c>
      <c r="AD1173" s="24">
        <v>0</v>
      </c>
      <c r="AE1173" s="27">
        <f>_xlfn.XLOOKUP(B1173,'Projects Cashflow'!$B:$B,'Projects Cashflow'!$AG:$AG,0)</f>
        <v>5521140</v>
      </c>
      <c r="AF1173" s="28">
        <f t="shared" si="57"/>
        <v>0</v>
      </c>
    </row>
    <row r="1174" spans="2:32" x14ac:dyDescent="0.3">
      <c r="B1174" s="14" t="str">
        <f t="shared" si="55"/>
        <v>45154004511001507GSA Retainer-N421125200104</v>
      </c>
      <c r="C1174" s="34" t="s">
        <v>211</v>
      </c>
      <c r="D1174" s="35">
        <v>4515400</v>
      </c>
      <c r="E1174" s="34" t="s">
        <v>212</v>
      </c>
      <c r="F1174" s="35">
        <v>4511001507</v>
      </c>
      <c r="G1174" s="34" t="s">
        <v>1889</v>
      </c>
      <c r="H1174" s="34" t="s">
        <v>1775</v>
      </c>
      <c r="I1174" s="35">
        <v>421125</v>
      </c>
      <c r="J1174" s="35">
        <v>200104</v>
      </c>
      <c r="K1174" s="35" t="s">
        <v>2959</v>
      </c>
      <c r="L1174" s="22">
        <v>70602</v>
      </c>
      <c r="M1174" s="36" t="s">
        <v>2961</v>
      </c>
      <c r="N1174" s="24">
        <v>0</v>
      </c>
      <c r="O1174" s="24">
        <v>0</v>
      </c>
      <c r="P1174" s="24">
        <v>0</v>
      </c>
      <c r="Q1174" s="24">
        <v>236723.08999999997</v>
      </c>
      <c r="R1174" s="24">
        <v>70225.544999999998</v>
      </c>
      <c r="S1174" s="24">
        <v>70225.544999999998</v>
      </c>
      <c r="T1174" s="24">
        <v>70225.544999999998</v>
      </c>
      <c r="U1174" s="24">
        <v>70225.544999999998</v>
      </c>
      <c r="V1174" s="24">
        <v>70225.544999999998</v>
      </c>
      <c r="W1174" s="24">
        <v>70225.544999999998</v>
      </c>
      <c r="X1174" s="24">
        <v>70225.544999999998</v>
      </c>
      <c r="Y1174" s="24">
        <v>70225.544999999998</v>
      </c>
      <c r="Z1174" s="24">
        <f t="shared" si="56"/>
        <v>798527.45000000007</v>
      </c>
      <c r="AB1174" s="37">
        <v>798527.45000000007</v>
      </c>
      <c r="AC1174" s="38">
        <v>798527</v>
      </c>
      <c r="AD1174" s="48">
        <v>0.45000000006984919</v>
      </c>
      <c r="AE1174" s="27">
        <f>_xlfn.XLOOKUP(B1174,'Projects Cashflow'!$B:$B,'Projects Cashflow'!$AG:$AG,0)</f>
        <v>798527</v>
      </c>
      <c r="AF1174" s="28">
        <f t="shared" si="57"/>
        <v>-0.45000000006984919</v>
      </c>
    </row>
    <row r="1175" spans="2:32" x14ac:dyDescent="0.3">
      <c r="B1175" s="14" t="str">
        <f t="shared" si="55"/>
        <v>45154004511001508GSA Retainer-N421125200104</v>
      </c>
      <c r="C1175" s="21" t="s">
        <v>211</v>
      </c>
      <c r="D1175" s="22">
        <v>4515400</v>
      </c>
      <c r="E1175" s="21" t="s">
        <v>212</v>
      </c>
      <c r="F1175" s="22">
        <v>4511001508</v>
      </c>
      <c r="G1175" s="21" t="s">
        <v>1892</v>
      </c>
      <c r="H1175" s="21" t="s">
        <v>1775</v>
      </c>
      <c r="I1175" s="22">
        <v>421125</v>
      </c>
      <c r="J1175" s="22">
        <v>200104</v>
      </c>
      <c r="K1175" s="22" t="s">
        <v>2959</v>
      </c>
      <c r="L1175" s="22">
        <v>70602</v>
      </c>
      <c r="M1175" s="23" t="s">
        <v>2961</v>
      </c>
      <c r="N1175" s="24">
        <v>0</v>
      </c>
      <c r="O1175" s="24">
        <v>0</v>
      </c>
      <c r="P1175" s="24">
        <v>0</v>
      </c>
      <c r="Q1175" s="24">
        <v>28704</v>
      </c>
      <c r="R1175" s="24">
        <v>6623.9999999999991</v>
      </c>
      <c r="S1175" s="24">
        <v>8832</v>
      </c>
      <c r="T1175" s="24">
        <v>6623.9999999999991</v>
      </c>
      <c r="U1175" s="24">
        <v>6623.9999999999991</v>
      </c>
      <c r="V1175" s="24">
        <v>8832</v>
      </c>
      <c r="W1175" s="24">
        <v>6623.9999999999991</v>
      </c>
      <c r="X1175" s="24">
        <v>6623.9999999999991</v>
      </c>
      <c r="Y1175" s="24">
        <v>8832</v>
      </c>
      <c r="Z1175" s="24">
        <f t="shared" si="56"/>
        <v>88320</v>
      </c>
      <c r="AB1175" s="25">
        <v>88320</v>
      </c>
      <c r="AC1175" s="26">
        <v>88320</v>
      </c>
      <c r="AD1175" s="24">
        <v>0</v>
      </c>
      <c r="AE1175" s="27">
        <f>_xlfn.XLOOKUP(B1175,'Projects Cashflow'!$B:$B,'Projects Cashflow'!$AG:$AG,0)</f>
        <v>88320</v>
      </c>
      <c r="AF1175" s="28">
        <f t="shared" si="57"/>
        <v>0</v>
      </c>
    </row>
    <row r="1176" spans="2:32" x14ac:dyDescent="0.3">
      <c r="B1176" s="14" t="str">
        <f t="shared" si="55"/>
        <v>45154004511001510GSA Retainer-N421125200104</v>
      </c>
      <c r="C1176" s="34" t="s">
        <v>211</v>
      </c>
      <c r="D1176" s="35">
        <v>4515400</v>
      </c>
      <c r="E1176" s="34" t="s">
        <v>212</v>
      </c>
      <c r="F1176" s="35">
        <v>4511001510</v>
      </c>
      <c r="G1176" s="34" t="s">
        <v>1894</v>
      </c>
      <c r="H1176" s="34" t="s">
        <v>1775</v>
      </c>
      <c r="I1176" s="35">
        <v>421125</v>
      </c>
      <c r="J1176" s="35">
        <v>200104</v>
      </c>
      <c r="K1176" s="35" t="s">
        <v>2959</v>
      </c>
      <c r="L1176" s="22">
        <v>70602</v>
      </c>
      <c r="M1176" s="36" t="s">
        <v>2961</v>
      </c>
      <c r="N1176" s="24">
        <v>0</v>
      </c>
      <c r="O1176" s="24">
        <v>0</v>
      </c>
      <c r="P1176" s="24">
        <v>0</v>
      </c>
      <c r="Q1176" s="24">
        <v>50272.852500000001</v>
      </c>
      <c r="R1176" s="24">
        <v>25136.42625</v>
      </c>
      <c r="S1176" s="24">
        <v>25136.42625</v>
      </c>
      <c r="T1176" s="24">
        <v>25136.42625</v>
      </c>
      <c r="U1176" s="24">
        <v>25136.42625</v>
      </c>
      <c r="V1176" s="24">
        <v>25136.42625</v>
      </c>
      <c r="W1176" s="24">
        <v>25136.42625</v>
      </c>
      <c r="X1176" s="24">
        <v>25136.42625</v>
      </c>
      <c r="Y1176" s="24">
        <v>25136.42625</v>
      </c>
      <c r="Z1176" s="24">
        <f t="shared" si="56"/>
        <v>251364.26249999995</v>
      </c>
      <c r="AB1176" s="37">
        <v>251364.26249999995</v>
      </c>
      <c r="AC1176" s="38">
        <v>251364</v>
      </c>
      <c r="AD1176" s="48">
        <v>0.26249999995343387</v>
      </c>
      <c r="AE1176" s="27">
        <f>_xlfn.XLOOKUP(B1176,'Projects Cashflow'!$B:$B,'Projects Cashflow'!$AG:$AG,0)</f>
        <v>251364</v>
      </c>
      <c r="AF1176" s="28">
        <f t="shared" si="57"/>
        <v>-0.26249999995343387</v>
      </c>
    </row>
    <row r="1177" spans="2:32" x14ac:dyDescent="0.3">
      <c r="B1177" s="14" t="str">
        <f t="shared" si="55"/>
        <v>45154004511001511GSA Retainer-N421125200104</v>
      </c>
      <c r="C1177" s="21" t="s">
        <v>211</v>
      </c>
      <c r="D1177" s="22">
        <v>4515400</v>
      </c>
      <c r="E1177" s="21" t="s">
        <v>212</v>
      </c>
      <c r="F1177" s="22">
        <v>4511001511</v>
      </c>
      <c r="G1177" s="21" t="s">
        <v>1896</v>
      </c>
      <c r="H1177" s="21" t="s">
        <v>1775</v>
      </c>
      <c r="I1177" s="22">
        <v>421125</v>
      </c>
      <c r="J1177" s="22">
        <v>200104</v>
      </c>
      <c r="K1177" s="22" t="s">
        <v>2959</v>
      </c>
      <c r="L1177" s="22">
        <v>70602</v>
      </c>
      <c r="M1177" s="23" t="s">
        <v>2961</v>
      </c>
      <c r="N1177" s="24">
        <v>0</v>
      </c>
      <c r="O1177" s="24">
        <v>0</v>
      </c>
      <c r="P1177" s="24">
        <v>0</v>
      </c>
      <c r="Q1177" s="24">
        <v>92484</v>
      </c>
      <c r="R1177" s="24">
        <v>23121</v>
      </c>
      <c r="S1177" s="24">
        <v>23121</v>
      </c>
      <c r="T1177" s="24">
        <v>23121</v>
      </c>
      <c r="U1177" s="24">
        <v>23121</v>
      </c>
      <c r="V1177" s="24">
        <v>23121</v>
      </c>
      <c r="W1177" s="24">
        <v>23121</v>
      </c>
      <c r="X1177" s="24">
        <v>23121</v>
      </c>
      <c r="Y1177" s="24">
        <v>23121</v>
      </c>
      <c r="Z1177" s="24">
        <f t="shared" si="56"/>
        <v>277452</v>
      </c>
      <c r="AB1177" s="25">
        <v>277452</v>
      </c>
      <c r="AC1177" s="26">
        <v>277452</v>
      </c>
      <c r="AD1177" s="24">
        <v>0</v>
      </c>
      <c r="AE1177" s="27">
        <f>_xlfn.XLOOKUP(B1177,'Projects Cashflow'!$B:$B,'Projects Cashflow'!$AG:$AG,0)</f>
        <v>277452</v>
      </c>
      <c r="AF1177" s="28">
        <f t="shared" si="57"/>
        <v>0</v>
      </c>
    </row>
    <row r="1178" spans="2:32" x14ac:dyDescent="0.3">
      <c r="B1178" s="14" t="str">
        <f t="shared" si="55"/>
        <v>45154004511001513GSA Retainer-N421125200104</v>
      </c>
      <c r="C1178" s="34" t="s">
        <v>211</v>
      </c>
      <c r="D1178" s="35">
        <v>4515400</v>
      </c>
      <c r="E1178" s="34" t="s">
        <v>212</v>
      </c>
      <c r="F1178" s="35">
        <v>4511001513</v>
      </c>
      <c r="G1178" s="34" t="s">
        <v>1901</v>
      </c>
      <c r="H1178" s="34" t="s">
        <v>1775</v>
      </c>
      <c r="I1178" s="35">
        <v>421125</v>
      </c>
      <c r="J1178" s="35">
        <v>200104</v>
      </c>
      <c r="K1178" s="35" t="s">
        <v>2959</v>
      </c>
      <c r="L1178" s="22">
        <v>70602</v>
      </c>
      <c r="M1178" s="36" t="s">
        <v>2961</v>
      </c>
      <c r="N1178" s="24">
        <v>0</v>
      </c>
      <c r="O1178" s="24">
        <v>0</v>
      </c>
      <c r="P1178" s="24">
        <v>0</v>
      </c>
      <c r="Q1178" s="24">
        <v>190602.75</v>
      </c>
      <c r="R1178" s="24">
        <v>47650.6875</v>
      </c>
      <c r="S1178" s="24">
        <v>47650.6875</v>
      </c>
      <c r="T1178" s="24">
        <v>47650.6875</v>
      </c>
      <c r="U1178" s="24">
        <v>47650.6875</v>
      </c>
      <c r="V1178" s="24">
        <v>47650.6875</v>
      </c>
      <c r="W1178" s="24">
        <v>47650.6875</v>
      </c>
      <c r="X1178" s="24">
        <v>47650.6875</v>
      </c>
      <c r="Y1178" s="24">
        <v>47650.6875</v>
      </c>
      <c r="Z1178" s="24">
        <f t="shared" si="56"/>
        <v>571808.25</v>
      </c>
      <c r="AB1178" s="37">
        <v>571808.25</v>
      </c>
      <c r="AC1178" s="38">
        <v>571808</v>
      </c>
      <c r="AD1178" s="48">
        <v>0.25</v>
      </c>
      <c r="AE1178" s="27">
        <f>_xlfn.XLOOKUP(B1178,'Projects Cashflow'!$B:$B,'Projects Cashflow'!$AG:$AG,0)</f>
        <v>571808</v>
      </c>
      <c r="AF1178" s="28">
        <f t="shared" si="57"/>
        <v>-0.25</v>
      </c>
    </row>
    <row r="1179" spans="2:32" x14ac:dyDescent="0.3">
      <c r="B1179" s="14" t="str">
        <f t="shared" si="55"/>
        <v>45154004511001514GSA Retainer-N421125200104</v>
      </c>
      <c r="C1179" s="34" t="s">
        <v>211</v>
      </c>
      <c r="D1179" s="35">
        <v>4515400</v>
      </c>
      <c r="E1179" s="34" t="s">
        <v>212</v>
      </c>
      <c r="F1179" s="35">
        <v>4511001514</v>
      </c>
      <c r="G1179" s="34" t="s">
        <v>1903</v>
      </c>
      <c r="H1179" s="34" t="s">
        <v>1775</v>
      </c>
      <c r="I1179" s="35">
        <v>421125</v>
      </c>
      <c r="J1179" s="35">
        <v>200104</v>
      </c>
      <c r="K1179" s="35" t="s">
        <v>2959</v>
      </c>
      <c r="L1179" s="22">
        <v>70602</v>
      </c>
      <c r="M1179" s="36" t="s">
        <v>2961</v>
      </c>
      <c r="N1179" s="24">
        <v>0</v>
      </c>
      <c r="O1179" s="24">
        <v>0</v>
      </c>
      <c r="P1179" s="24">
        <v>0</v>
      </c>
      <c r="Q1179" s="24">
        <v>151780.7525</v>
      </c>
      <c r="R1179" s="24">
        <v>37945.188125000001</v>
      </c>
      <c r="S1179" s="24">
        <v>37945.188125000001</v>
      </c>
      <c r="T1179" s="24">
        <v>37945.188125000001</v>
      </c>
      <c r="U1179" s="24">
        <v>37945.188125000001</v>
      </c>
      <c r="V1179" s="24">
        <v>37945.188125000001</v>
      </c>
      <c r="W1179" s="24">
        <v>37945.188125000001</v>
      </c>
      <c r="X1179" s="24">
        <v>37945.188125000001</v>
      </c>
      <c r="Y1179" s="24">
        <v>37945.188125000001</v>
      </c>
      <c r="Z1179" s="24">
        <f t="shared" si="56"/>
        <v>455342.25749999989</v>
      </c>
      <c r="AB1179" s="37">
        <v>455342.25749999989</v>
      </c>
      <c r="AC1179" s="38">
        <v>455342</v>
      </c>
      <c r="AD1179" s="48">
        <v>0.2574999998905696</v>
      </c>
      <c r="AE1179" s="27">
        <f>_xlfn.XLOOKUP(B1179,'Projects Cashflow'!$B:$B,'Projects Cashflow'!$AG:$AG,0)</f>
        <v>455342</v>
      </c>
      <c r="AF1179" s="28">
        <f t="shared" si="57"/>
        <v>-0.2574999998905696</v>
      </c>
    </row>
    <row r="1180" spans="2:32" x14ac:dyDescent="0.3">
      <c r="B1180" s="14" t="str">
        <f t="shared" si="55"/>
        <v>45154004511001515GSA Retainer-N421125200104</v>
      </c>
      <c r="C1180" s="34" t="s">
        <v>211</v>
      </c>
      <c r="D1180" s="35">
        <v>4515400</v>
      </c>
      <c r="E1180" s="34" t="s">
        <v>212</v>
      </c>
      <c r="F1180" s="35">
        <v>4511001515</v>
      </c>
      <c r="G1180" s="34" t="s">
        <v>1905</v>
      </c>
      <c r="H1180" s="34" t="s">
        <v>1775</v>
      </c>
      <c r="I1180" s="35">
        <v>421125</v>
      </c>
      <c r="J1180" s="35">
        <v>200104</v>
      </c>
      <c r="K1180" s="35" t="s">
        <v>2959</v>
      </c>
      <c r="L1180" s="22">
        <v>70602</v>
      </c>
      <c r="M1180" s="36" t="s">
        <v>2961</v>
      </c>
      <c r="N1180" s="24">
        <v>0</v>
      </c>
      <c r="O1180" s="24">
        <v>0</v>
      </c>
      <c r="P1180" s="24">
        <v>0</v>
      </c>
      <c r="Q1180" s="24">
        <v>136352.57999999999</v>
      </c>
      <c r="R1180" s="24">
        <v>34088.144999999997</v>
      </c>
      <c r="S1180" s="24">
        <v>34088.144999999997</v>
      </c>
      <c r="T1180" s="24">
        <v>34088.144999999997</v>
      </c>
      <c r="U1180" s="24">
        <v>34088.144999999997</v>
      </c>
      <c r="V1180" s="24">
        <v>34088.144999999997</v>
      </c>
      <c r="W1180" s="24">
        <v>34088.144999999997</v>
      </c>
      <c r="X1180" s="24">
        <v>34088.144999999997</v>
      </c>
      <c r="Y1180" s="24">
        <v>34088.144999999997</v>
      </c>
      <c r="Z1180" s="24">
        <f t="shared" si="56"/>
        <v>409057.74000000005</v>
      </c>
      <c r="AB1180" s="37">
        <v>409057.74000000005</v>
      </c>
      <c r="AC1180" s="38">
        <v>409058</v>
      </c>
      <c r="AD1180" s="48">
        <v>-0.25999999995110556</v>
      </c>
      <c r="AE1180" s="27">
        <f>_xlfn.XLOOKUP(B1180,'Projects Cashflow'!$B:$B,'Projects Cashflow'!$AG:$AG,0)</f>
        <v>409058</v>
      </c>
      <c r="AF1180" s="28">
        <f t="shared" si="57"/>
        <v>0.25999999995110556</v>
      </c>
    </row>
    <row r="1181" spans="2:32" x14ac:dyDescent="0.3">
      <c r="B1181" s="14" t="str">
        <f t="shared" si="55"/>
        <v>45154004511001516GSA Retainer-N421125200104</v>
      </c>
      <c r="C1181" s="21" t="s">
        <v>211</v>
      </c>
      <c r="D1181" s="22">
        <v>4515400</v>
      </c>
      <c r="E1181" s="21" t="s">
        <v>212</v>
      </c>
      <c r="F1181" s="22">
        <v>4511001516</v>
      </c>
      <c r="G1181" s="21" t="s">
        <v>1907</v>
      </c>
      <c r="H1181" s="21" t="s">
        <v>1775</v>
      </c>
      <c r="I1181" s="22">
        <v>421125</v>
      </c>
      <c r="J1181" s="22">
        <v>200104</v>
      </c>
      <c r="K1181" s="22" t="s">
        <v>2959</v>
      </c>
      <c r="L1181" s="22">
        <v>70602</v>
      </c>
      <c r="M1181" s="23" t="s">
        <v>2961</v>
      </c>
      <c r="N1181" s="24">
        <v>0</v>
      </c>
      <c r="O1181" s="24">
        <v>0</v>
      </c>
      <c r="P1181" s="24">
        <v>0</v>
      </c>
      <c r="Q1181" s="24">
        <v>120721.25</v>
      </c>
      <c r="R1181" s="24">
        <v>27858.749999999996</v>
      </c>
      <c r="S1181" s="24">
        <v>37145</v>
      </c>
      <c r="T1181" s="24">
        <v>27858.749999999996</v>
      </c>
      <c r="U1181" s="24">
        <v>27858.749999999996</v>
      </c>
      <c r="V1181" s="24">
        <v>37145</v>
      </c>
      <c r="W1181" s="24">
        <v>27858.749999999996</v>
      </c>
      <c r="X1181" s="24">
        <v>27858.749999999996</v>
      </c>
      <c r="Y1181" s="24">
        <v>37145</v>
      </c>
      <c r="Z1181" s="24">
        <f t="shared" si="56"/>
        <v>371450</v>
      </c>
      <c r="AB1181" s="25">
        <v>371450</v>
      </c>
      <c r="AC1181" s="26">
        <v>371450</v>
      </c>
      <c r="AD1181" s="24">
        <v>0</v>
      </c>
      <c r="AE1181" s="27">
        <f>_xlfn.XLOOKUP(B1181,'Projects Cashflow'!$B:$B,'Projects Cashflow'!$AG:$AG,0)</f>
        <v>371450</v>
      </c>
      <c r="AF1181" s="28">
        <f t="shared" si="57"/>
        <v>0</v>
      </c>
    </row>
    <row r="1182" spans="2:32" x14ac:dyDescent="0.3">
      <c r="B1182" s="14" t="str">
        <f t="shared" si="55"/>
        <v>45154004511001517GSA Retainer-N421125200104</v>
      </c>
      <c r="C1182" s="21" t="s">
        <v>211</v>
      </c>
      <c r="D1182" s="22">
        <v>4515400</v>
      </c>
      <c r="E1182" s="21" t="s">
        <v>212</v>
      </c>
      <c r="F1182" s="22">
        <v>4511001517</v>
      </c>
      <c r="G1182" s="21" t="s">
        <v>1909</v>
      </c>
      <c r="H1182" s="21" t="s">
        <v>1775</v>
      </c>
      <c r="I1182" s="22">
        <v>421125</v>
      </c>
      <c r="J1182" s="22">
        <v>200104</v>
      </c>
      <c r="K1182" s="22" t="s">
        <v>2959</v>
      </c>
      <c r="L1182" s="22">
        <v>70602</v>
      </c>
      <c r="M1182" s="23" t="s">
        <v>2961</v>
      </c>
      <c r="N1182" s="24">
        <v>0</v>
      </c>
      <c r="O1182" s="24">
        <v>0</v>
      </c>
      <c r="P1182" s="24">
        <v>0</v>
      </c>
      <c r="Q1182" s="24">
        <v>112000</v>
      </c>
      <c r="R1182" s="24">
        <v>28000</v>
      </c>
      <c r="S1182" s="24">
        <v>28000</v>
      </c>
      <c r="T1182" s="24">
        <v>28000</v>
      </c>
      <c r="U1182" s="24">
        <v>28000</v>
      </c>
      <c r="V1182" s="24">
        <v>28000</v>
      </c>
      <c r="W1182" s="24">
        <v>28000</v>
      </c>
      <c r="X1182" s="24">
        <v>28000</v>
      </c>
      <c r="Y1182" s="24">
        <v>28000</v>
      </c>
      <c r="Z1182" s="24">
        <f t="shared" si="56"/>
        <v>336000</v>
      </c>
      <c r="AB1182" s="25">
        <v>336000</v>
      </c>
      <c r="AC1182" s="26">
        <v>336000</v>
      </c>
      <c r="AD1182" s="24">
        <v>0</v>
      </c>
      <c r="AE1182" s="27">
        <f>_xlfn.XLOOKUP(B1182,'Projects Cashflow'!$B:$B,'Projects Cashflow'!$AG:$AG,0)</f>
        <v>336000</v>
      </c>
      <c r="AF1182" s="28">
        <f t="shared" si="57"/>
        <v>0</v>
      </c>
    </row>
    <row r="1183" spans="2:32" x14ac:dyDescent="0.3">
      <c r="B1183" s="14" t="str">
        <f t="shared" si="55"/>
        <v>45154004511001518GSA Retainer-N421125200104</v>
      </c>
      <c r="C1183" s="34" t="s">
        <v>211</v>
      </c>
      <c r="D1183" s="35">
        <v>4515400</v>
      </c>
      <c r="E1183" s="34" t="s">
        <v>212</v>
      </c>
      <c r="F1183" s="35">
        <v>4511001518</v>
      </c>
      <c r="G1183" s="34" t="s">
        <v>1911</v>
      </c>
      <c r="H1183" s="34" t="s">
        <v>1775</v>
      </c>
      <c r="I1183" s="35">
        <v>421125</v>
      </c>
      <c r="J1183" s="35">
        <v>200104</v>
      </c>
      <c r="K1183" s="35" t="s">
        <v>2959</v>
      </c>
      <c r="L1183" s="22">
        <v>70602</v>
      </c>
      <c r="M1183" s="36" t="s">
        <v>2961</v>
      </c>
      <c r="N1183" s="24">
        <v>0</v>
      </c>
      <c r="O1183" s="24">
        <v>0</v>
      </c>
      <c r="P1183" s="24">
        <v>0</v>
      </c>
      <c r="Q1183" s="24">
        <v>0</v>
      </c>
      <c r="R1183" s="24">
        <v>0</v>
      </c>
      <c r="S1183" s="24">
        <v>0</v>
      </c>
      <c r="T1183" s="24">
        <v>0</v>
      </c>
      <c r="U1183" s="24">
        <v>54194.543333334303</v>
      </c>
      <c r="V1183" s="24">
        <v>54194.543333334303</v>
      </c>
      <c r="W1183" s="24">
        <v>54194.543333334303</v>
      </c>
      <c r="X1183" s="24">
        <v>54194.543333334303</v>
      </c>
      <c r="Y1183" s="24">
        <v>108390.5433333343</v>
      </c>
      <c r="Z1183" s="24">
        <f t="shared" si="56"/>
        <v>325168.71666667151</v>
      </c>
      <c r="AB1183" s="37">
        <v>325168.71666667151</v>
      </c>
      <c r="AC1183" s="38">
        <v>325169</v>
      </c>
      <c r="AD1183" s="48">
        <v>-0.28333332849433646</v>
      </c>
      <c r="AE1183" s="27">
        <f>_xlfn.XLOOKUP(B1183,'Projects Cashflow'!$B:$B,'Projects Cashflow'!$AG:$AG,0)</f>
        <v>325169</v>
      </c>
      <c r="AF1183" s="28">
        <f t="shared" si="57"/>
        <v>0.28333332849433646</v>
      </c>
    </row>
    <row r="1184" spans="2:32" x14ac:dyDescent="0.3">
      <c r="B1184" s="14" t="str">
        <f t="shared" si="55"/>
        <v>45154004511001519GSA Retainer-N421125200104</v>
      </c>
      <c r="C1184" s="21" t="s">
        <v>211</v>
      </c>
      <c r="D1184" s="22">
        <v>4515400</v>
      </c>
      <c r="E1184" s="21" t="s">
        <v>212</v>
      </c>
      <c r="F1184" s="22">
        <v>4511001519</v>
      </c>
      <c r="G1184" s="21" t="s">
        <v>1913</v>
      </c>
      <c r="H1184" s="21" t="s">
        <v>1775</v>
      </c>
      <c r="I1184" s="22">
        <v>421125</v>
      </c>
      <c r="J1184" s="22">
        <v>200104</v>
      </c>
      <c r="K1184" s="22" t="s">
        <v>2959</v>
      </c>
      <c r="L1184" s="22">
        <v>70602</v>
      </c>
      <c r="M1184" s="23" t="s">
        <v>2961</v>
      </c>
      <c r="N1184" s="24">
        <v>0</v>
      </c>
      <c r="O1184" s="24">
        <v>0</v>
      </c>
      <c r="P1184" s="24">
        <v>0</v>
      </c>
      <c r="Q1184" s="24">
        <v>0</v>
      </c>
      <c r="R1184" s="24">
        <v>0</v>
      </c>
      <c r="S1184" s="24">
        <v>0</v>
      </c>
      <c r="T1184" s="24">
        <v>0</v>
      </c>
      <c r="U1184" s="24">
        <v>27195</v>
      </c>
      <c r="V1184" s="24">
        <v>27195</v>
      </c>
      <c r="W1184" s="24">
        <v>27195</v>
      </c>
      <c r="X1184" s="24">
        <v>27195</v>
      </c>
      <c r="Y1184" s="24">
        <v>54390</v>
      </c>
      <c r="Z1184" s="24">
        <f t="shared" si="56"/>
        <v>163170</v>
      </c>
      <c r="AB1184" s="25">
        <v>163170</v>
      </c>
      <c r="AC1184" s="26">
        <v>163170</v>
      </c>
      <c r="AD1184" s="24">
        <v>0</v>
      </c>
      <c r="AE1184" s="27">
        <f>_xlfn.XLOOKUP(B1184,'Projects Cashflow'!$B:$B,'Projects Cashflow'!$AG:$AG,0)</f>
        <v>163170</v>
      </c>
      <c r="AF1184" s="28">
        <f t="shared" si="57"/>
        <v>0</v>
      </c>
    </row>
    <row r="1185" spans="2:32" x14ac:dyDescent="0.3">
      <c r="B1185" s="14" t="str">
        <f t="shared" si="55"/>
        <v>45154004511001520GSA Retainer-N421125200104</v>
      </c>
      <c r="C1185" s="21" t="s">
        <v>211</v>
      </c>
      <c r="D1185" s="22">
        <v>4515400</v>
      </c>
      <c r="E1185" s="21" t="s">
        <v>212</v>
      </c>
      <c r="F1185" s="22">
        <v>4511001520</v>
      </c>
      <c r="G1185" s="21" t="s">
        <v>1915</v>
      </c>
      <c r="H1185" s="21" t="s">
        <v>1775</v>
      </c>
      <c r="I1185" s="22">
        <v>421125</v>
      </c>
      <c r="J1185" s="22">
        <v>200104</v>
      </c>
      <c r="K1185" s="22" t="s">
        <v>2959</v>
      </c>
      <c r="L1185" s="22">
        <v>70602</v>
      </c>
      <c r="M1185" s="23" t="s">
        <v>2961</v>
      </c>
      <c r="N1185" s="24">
        <v>0</v>
      </c>
      <c r="O1185" s="24">
        <v>0</v>
      </c>
      <c r="P1185" s="24">
        <v>0</v>
      </c>
      <c r="Q1185" s="24">
        <v>54000</v>
      </c>
      <c r="R1185" s="24">
        <v>13500</v>
      </c>
      <c r="S1185" s="24">
        <v>13500</v>
      </c>
      <c r="T1185" s="24">
        <v>13500</v>
      </c>
      <c r="U1185" s="24">
        <v>13500</v>
      </c>
      <c r="V1185" s="24">
        <v>13500</v>
      </c>
      <c r="W1185" s="24">
        <v>13500</v>
      </c>
      <c r="X1185" s="24">
        <v>13500</v>
      </c>
      <c r="Y1185" s="24">
        <v>13500</v>
      </c>
      <c r="Z1185" s="24">
        <f t="shared" si="56"/>
        <v>162000</v>
      </c>
      <c r="AB1185" s="25">
        <v>162000</v>
      </c>
      <c r="AC1185" s="26">
        <v>162000</v>
      </c>
      <c r="AD1185" s="24">
        <v>0</v>
      </c>
      <c r="AE1185" s="27">
        <f>_xlfn.XLOOKUP(B1185,'Projects Cashflow'!$B:$B,'Projects Cashflow'!$AG:$AG,0)</f>
        <v>162000</v>
      </c>
      <c r="AF1185" s="28">
        <f t="shared" si="57"/>
        <v>0</v>
      </c>
    </row>
    <row r="1186" spans="2:32" x14ac:dyDescent="0.3">
      <c r="B1186" s="14" t="str">
        <f t="shared" si="55"/>
        <v>45154004511001523Trade Promotion-L1424251201931</v>
      </c>
      <c r="C1186" s="21" t="s">
        <v>211</v>
      </c>
      <c r="D1186" s="22">
        <v>4515400</v>
      </c>
      <c r="E1186" s="21" t="s">
        <v>212</v>
      </c>
      <c r="F1186" s="22">
        <v>4511001523</v>
      </c>
      <c r="G1186" s="21" t="s">
        <v>1922</v>
      </c>
      <c r="H1186" s="21" t="s">
        <v>1923</v>
      </c>
      <c r="I1186" s="22">
        <v>424251</v>
      </c>
      <c r="J1186" s="22">
        <v>201931</v>
      </c>
      <c r="K1186" s="22" t="s">
        <v>2959</v>
      </c>
      <c r="L1186" s="22">
        <v>70602</v>
      </c>
      <c r="M1186" s="23" t="s">
        <v>2961</v>
      </c>
      <c r="N1186" s="24">
        <v>0</v>
      </c>
      <c r="O1186" s="24">
        <v>0</v>
      </c>
      <c r="P1186" s="24">
        <v>0</v>
      </c>
      <c r="Q1186" s="24">
        <v>206000</v>
      </c>
      <c r="R1186" s="24">
        <v>24000</v>
      </c>
      <c r="S1186" s="24">
        <v>9000</v>
      </c>
      <c r="T1186" s="24">
        <v>27000</v>
      </c>
      <c r="U1186" s="24">
        <v>44000</v>
      </c>
      <c r="V1186" s="24">
        <v>9000</v>
      </c>
      <c r="W1186" s="24">
        <v>114000</v>
      </c>
      <c r="X1186" s="24">
        <v>49000</v>
      </c>
      <c r="Y1186" s="24">
        <v>18000</v>
      </c>
      <c r="Z1186" s="24">
        <f t="shared" si="56"/>
        <v>500000</v>
      </c>
      <c r="AB1186" s="25">
        <v>500000</v>
      </c>
      <c r="AC1186" s="26">
        <v>500000</v>
      </c>
      <c r="AD1186" s="24">
        <v>0</v>
      </c>
      <c r="AE1186" s="27">
        <f>_xlfn.XLOOKUP(B1186,'Projects Cashflow'!$B:$B,'Projects Cashflow'!$AG:$AG,0)</f>
        <v>500000</v>
      </c>
      <c r="AF1186" s="28">
        <f t="shared" si="57"/>
        <v>0</v>
      </c>
    </row>
    <row r="1187" spans="2:32" x14ac:dyDescent="0.3">
      <c r="B1187" s="14" t="str">
        <f t="shared" si="55"/>
        <v>45154004511001524Trade Promotion-L1424251201931</v>
      </c>
      <c r="C1187" s="21" t="s">
        <v>211</v>
      </c>
      <c r="D1187" s="22">
        <v>4515400</v>
      </c>
      <c r="E1187" s="21" t="s">
        <v>212</v>
      </c>
      <c r="F1187" s="22">
        <v>4511001524</v>
      </c>
      <c r="G1187" s="21" t="s">
        <v>1926</v>
      </c>
      <c r="H1187" s="21" t="s">
        <v>1923</v>
      </c>
      <c r="I1187" s="22">
        <v>424251</v>
      </c>
      <c r="J1187" s="22">
        <v>201931</v>
      </c>
      <c r="K1187" s="22" t="s">
        <v>2959</v>
      </c>
      <c r="L1187" s="22">
        <v>70602</v>
      </c>
      <c r="M1187" s="23" t="s">
        <v>2961</v>
      </c>
      <c r="N1187" s="24">
        <v>0</v>
      </c>
      <c r="O1187" s="24">
        <v>0</v>
      </c>
      <c r="P1187" s="24">
        <v>0</v>
      </c>
      <c r="Q1187" s="24">
        <v>30000</v>
      </c>
      <c r="R1187" s="24">
        <v>43000</v>
      </c>
      <c r="S1187" s="24">
        <v>33000</v>
      </c>
      <c r="T1187" s="24">
        <v>21000</v>
      </c>
      <c r="U1187" s="24">
        <v>0</v>
      </c>
      <c r="V1187" s="24">
        <v>12000</v>
      </c>
      <c r="W1187" s="24">
        <v>90000</v>
      </c>
      <c r="X1187" s="24">
        <v>0</v>
      </c>
      <c r="Y1187" s="24">
        <v>171000</v>
      </c>
      <c r="Z1187" s="24">
        <f t="shared" si="56"/>
        <v>400000</v>
      </c>
      <c r="AB1187" s="25">
        <v>400000</v>
      </c>
      <c r="AC1187" s="26">
        <v>400000</v>
      </c>
      <c r="AD1187" s="24">
        <v>0</v>
      </c>
      <c r="AE1187" s="27">
        <f>_xlfn.XLOOKUP(B1187,'Projects Cashflow'!$B:$B,'Projects Cashflow'!$AG:$AG,0)</f>
        <v>400000</v>
      </c>
      <c r="AF1187" s="28">
        <f t="shared" si="57"/>
        <v>0</v>
      </c>
    </row>
    <row r="1188" spans="2:32" x14ac:dyDescent="0.3">
      <c r="B1188" s="14" t="str">
        <f t="shared" si="55"/>
        <v>45154004511001525Trade Promotion-L1424251201931</v>
      </c>
      <c r="C1188" s="34" t="s">
        <v>211</v>
      </c>
      <c r="D1188" s="35">
        <v>4515400</v>
      </c>
      <c r="E1188" s="34" t="s">
        <v>212</v>
      </c>
      <c r="F1188" s="35">
        <v>4511001525</v>
      </c>
      <c r="G1188" s="34" t="s">
        <v>1928</v>
      </c>
      <c r="H1188" s="34" t="s">
        <v>1923</v>
      </c>
      <c r="I1188" s="35">
        <v>424251</v>
      </c>
      <c r="J1188" s="35">
        <v>201931</v>
      </c>
      <c r="K1188" s="35" t="s">
        <v>2959</v>
      </c>
      <c r="L1188" s="22">
        <v>70602</v>
      </c>
      <c r="M1188" s="36" t="s">
        <v>2961</v>
      </c>
      <c r="N1188" s="24">
        <v>0</v>
      </c>
      <c r="O1188" s="24">
        <v>0</v>
      </c>
      <c r="P1188" s="24">
        <v>0</v>
      </c>
      <c r="Q1188" s="24">
        <v>57417</v>
      </c>
      <c r="R1188" s="24">
        <v>0</v>
      </c>
      <c r="S1188" s="24">
        <v>0</v>
      </c>
      <c r="T1188" s="24">
        <v>62500</v>
      </c>
      <c r="U1188" s="24">
        <v>118916.66666666667</v>
      </c>
      <c r="V1188" s="24">
        <v>25000</v>
      </c>
      <c r="W1188" s="24">
        <v>50750</v>
      </c>
      <c r="X1188" s="24">
        <v>0</v>
      </c>
      <c r="Y1188" s="24">
        <v>35416.666666666672</v>
      </c>
      <c r="Z1188" s="24">
        <f t="shared" si="56"/>
        <v>350000.33333333337</v>
      </c>
      <c r="AB1188" s="37">
        <v>350000.33333333337</v>
      </c>
      <c r="AC1188" s="38">
        <v>350000</v>
      </c>
      <c r="AD1188" s="48">
        <v>0.33333333337213844</v>
      </c>
      <c r="AE1188" s="27">
        <f>_xlfn.XLOOKUP(B1188,'Projects Cashflow'!$B:$B,'Projects Cashflow'!$AG:$AG,0)</f>
        <v>350000</v>
      </c>
      <c r="AF1188" s="28">
        <f t="shared" si="57"/>
        <v>-0.33333333337213844</v>
      </c>
    </row>
    <row r="1189" spans="2:32" x14ac:dyDescent="0.3">
      <c r="B1189" s="14" t="str">
        <f t="shared" si="55"/>
        <v>45154004511001526Trade Promotion-L1424251201931</v>
      </c>
      <c r="C1189" s="21" t="s">
        <v>211</v>
      </c>
      <c r="D1189" s="22">
        <v>4515400</v>
      </c>
      <c r="E1189" s="21" t="s">
        <v>212</v>
      </c>
      <c r="F1189" s="22">
        <v>4511001526</v>
      </c>
      <c r="G1189" s="21" t="s">
        <v>1930</v>
      </c>
      <c r="H1189" s="21" t="s">
        <v>1923</v>
      </c>
      <c r="I1189" s="22">
        <v>424251</v>
      </c>
      <c r="J1189" s="22">
        <v>201931</v>
      </c>
      <c r="K1189" s="22" t="s">
        <v>2959</v>
      </c>
      <c r="L1189" s="22">
        <v>70602</v>
      </c>
      <c r="M1189" s="23" t="s">
        <v>2961</v>
      </c>
      <c r="N1189" s="24">
        <v>0</v>
      </c>
      <c r="O1189" s="24">
        <v>0</v>
      </c>
      <c r="P1189" s="24">
        <v>0</v>
      </c>
      <c r="Q1189" s="24">
        <v>147000</v>
      </c>
      <c r="R1189" s="24">
        <v>55500</v>
      </c>
      <c r="S1189" s="24">
        <v>9500</v>
      </c>
      <c r="T1189" s="24">
        <v>0</v>
      </c>
      <c r="U1189" s="24">
        <v>500</v>
      </c>
      <c r="V1189" s="24">
        <v>0</v>
      </c>
      <c r="W1189" s="24">
        <v>0</v>
      </c>
      <c r="X1189" s="24">
        <v>27500</v>
      </c>
      <c r="Y1189" s="24">
        <v>95000</v>
      </c>
      <c r="Z1189" s="24">
        <f t="shared" si="56"/>
        <v>335000</v>
      </c>
      <c r="AB1189" s="25">
        <v>335000</v>
      </c>
      <c r="AC1189" s="26">
        <v>335000</v>
      </c>
      <c r="AD1189" s="24">
        <v>0</v>
      </c>
      <c r="AE1189" s="27">
        <f>_xlfn.XLOOKUP(B1189,'Projects Cashflow'!$B:$B,'Projects Cashflow'!$AG:$AG,0)</f>
        <v>335000</v>
      </c>
      <c r="AF1189" s="28">
        <f t="shared" si="57"/>
        <v>0</v>
      </c>
    </row>
    <row r="1190" spans="2:32" x14ac:dyDescent="0.3">
      <c r="B1190" s="14" t="str">
        <f t="shared" si="55"/>
        <v>45154004511001527Trade Promotion-L1424251201931</v>
      </c>
      <c r="C1190" s="21" t="s">
        <v>211</v>
      </c>
      <c r="D1190" s="22">
        <v>4515400</v>
      </c>
      <c r="E1190" s="21" t="s">
        <v>212</v>
      </c>
      <c r="F1190" s="22">
        <v>4511001527</v>
      </c>
      <c r="G1190" s="21" t="s">
        <v>1932</v>
      </c>
      <c r="H1190" s="21" t="s">
        <v>1923</v>
      </c>
      <c r="I1190" s="22">
        <v>424251</v>
      </c>
      <c r="J1190" s="22">
        <v>201931</v>
      </c>
      <c r="K1190" s="22" t="s">
        <v>2959</v>
      </c>
      <c r="L1190" s="22">
        <v>70602</v>
      </c>
      <c r="M1190" s="23" t="s">
        <v>2961</v>
      </c>
      <c r="N1190" s="24">
        <v>0</v>
      </c>
      <c r="O1190" s="24">
        <v>0</v>
      </c>
      <c r="P1190" s="24">
        <v>0</v>
      </c>
      <c r="Q1190" s="24">
        <v>78520</v>
      </c>
      <c r="R1190" s="24">
        <v>2560.0000000000005</v>
      </c>
      <c r="S1190" s="24">
        <v>10846.666666666668</v>
      </c>
      <c r="T1190" s="24">
        <v>10626.666666666668</v>
      </c>
      <c r="U1190" s="24">
        <v>3366.666666666667</v>
      </c>
      <c r="V1190" s="24">
        <v>2560.0000000000005</v>
      </c>
      <c r="W1190" s="24">
        <v>6446.6666666666679</v>
      </c>
      <c r="X1190" s="24">
        <v>163600</v>
      </c>
      <c r="Y1190" s="24">
        <v>21473.333333333336</v>
      </c>
      <c r="Z1190" s="24">
        <f t="shared" si="56"/>
        <v>300000</v>
      </c>
      <c r="AB1190" s="25">
        <v>300000</v>
      </c>
      <c r="AC1190" s="26">
        <v>300000</v>
      </c>
      <c r="AD1190" s="24">
        <v>0</v>
      </c>
      <c r="AE1190" s="27">
        <f>_xlfn.XLOOKUP(B1190,'Projects Cashflow'!$B:$B,'Projects Cashflow'!$AG:$AG,0)</f>
        <v>300000</v>
      </c>
      <c r="AF1190" s="28">
        <f t="shared" si="57"/>
        <v>0</v>
      </c>
    </row>
    <row r="1191" spans="2:32" x14ac:dyDescent="0.3">
      <c r="B1191" s="14" t="str">
        <f t="shared" si="55"/>
        <v>45154004511001528Trade Promotion-L1424251201931</v>
      </c>
      <c r="C1191" s="34" t="s">
        <v>211</v>
      </c>
      <c r="D1191" s="35">
        <v>4515400</v>
      </c>
      <c r="E1191" s="34" t="s">
        <v>212</v>
      </c>
      <c r="F1191" s="35">
        <v>4511001528</v>
      </c>
      <c r="G1191" s="34" t="s">
        <v>1934</v>
      </c>
      <c r="H1191" s="34" t="s">
        <v>1923</v>
      </c>
      <c r="I1191" s="35">
        <v>424251</v>
      </c>
      <c r="J1191" s="35">
        <v>201931</v>
      </c>
      <c r="K1191" s="35" t="s">
        <v>2959</v>
      </c>
      <c r="L1191" s="22">
        <v>70602</v>
      </c>
      <c r="M1191" s="36" t="s">
        <v>2961</v>
      </c>
      <c r="N1191" s="24">
        <v>0</v>
      </c>
      <c r="O1191" s="24">
        <v>0</v>
      </c>
      <c r="P1191" s="24">
        <v>0</v>
      </c>
      <c r="Q1191" s="24">
        <v>38922</v>
      </c>
      <c r="R1191" s="24">
        <v>44910</v>
      </c>
      <c r="S1191" s="24">
        <v>12475</v>
      </c>
      <c r="T1191" s="24">
        <v>42415</v>
      </c>
      <c r="U1191" s="24">
        <v>5489</v>
      </c>
      <c r="V1191" s="24">
        <v>16716.5</v>
      </c>
      <c r="W1191" s="24">
        <v>85828</v>
      </c>
      <c r="X1191" s="24">
        <v>3493</v>
      </c>
      <c r="Y1191" s="24">
        <v>22455</v>
      </c>
      <c r="Z1191" s="24">
        <f t="shared" si="56"/>
        <v>272703.5</v>
      </c>
      <c r="AB1191" s="37">
        <v>272703.5</v>
      </c>
      <c r="AC1191" s="38">
        <v>272704</v>
      </c>
      <c r="AD1191" s="48">
        <v>-0.5</v>
      </c>
      <c r="AE1191" s="27">
        <f>_xlfn.XLOOKUP(B1191,'Projects Cashflow'!$B:$B,'Projects Cashflow'!$AG:$AG,0)</f>
        <v>272704</v>
      </c>
      <c r="AF1191" s="28">
        <f t="shared" si="57"/>
        <v>0.5</v>
      </c>
    </row>
    <row r="1192" spans="2:32" x14ac:dyDescent="0.3">
      <c r="B1192" s="14" t="str">
        <f t="shared" si="55"/>
        <v>45154004511001529Trade Promotion-L1424251201931</v>
      </c>
      <c r="C1192" s="21" t="s">
        <v>211</v>
      </c>
      <c r="D1192" s="22">
        <v>4515400</v>
      </c>
      <c r="E1192" s="21" t="s">
        <v>212</v>
      </c>
      <c r="F1192" s="22">
        <v>4511001529</v>
      </c>
      <c r="G1192" s="21" t="s">
        <v>1936</v>
      </c>
      <c r="H1192" s="21" t="s">
        <v>1923</v>
      </c>
      <c r="I1192" s="22">
        <v>424251</v>
      </c>
      <c r="J1192" s="22">
        <v>201931</v>
      </c>
      <c r="K1192" s="22" t="s">
        <v>2959</v>
      </c>
      <c r="L1192" s="22">
        <v>70602</v>
      </c>
      <c r="M1192" s="23" t="s">
        <v>2961</v>
      </c>
      <c r="N1192" s="24">
        <v>0</v>
      </c>
      <c r="O1192" s="24">
        <v>0</v>
      </c>
      <c r="P1192" s="24">
        <v>0</v>
      </c>
      <c r="Q1192" s="24">
        <v>0</v>
      </c>
      <c r="R1192" s="24">
        <v>0</v>
      </c>
      <c r="S1192" s="24">
        <v>0</v>
      </c>
      <c r="T1192" s="24">
        <v>0</v>
      </c>
      <c r="U1192" s="24">
        <v>44657.666666666664</v>
      </c>
      <c r="V1192" s="24">
        <v>44657.666666666664</v>
      </c>
      <c r="W1192" s="24">
        <v>44657.666666666664</v>
      </c>
      <c r="X1192" s="24">
        <v>44657.666666666664</v>
      </c>
      <c r="Y1192" s="24">
        <v>89315.333333333328</v>
      </c>
      <c r="Z1192" s="24">
        <f t="shared" si="56"/>
        <v>267946</v>
      </c>
      <c r="AB1192" s="25">
        <v>267946</v>
      </c>
      <c r="AC1192" s="26">
        <v>267946</v>
      </c>
      <c r="AD1192" s="24">
        <v>0</v>
      </c>
      <c r="AE1192" s="27">
        <f>_xlfn.XLOOKUP(B1192,'Projects Cashflow'!$B:$B,'Projects Cashflow'!$AG:$AG,0)</f>
        <v>267946</v>
      </c>
      <c r="AF1192" s="28">
        <f t="shared" si="57"/>
        <v>0</v>
      </c>
    </row>
    <row r="1193" spans="2:32" x14ac:dyDescent="0.3">
      <c r="B1193" s="14" t="str">
        <f t="shared" si="55"/>
        <v>45154004511001530Trade Promotion-L424251201931</v>
      </c>
      <c r="C1193" s="21" t="s">
        <v>211</v>
      </c>
      <c r="D1193" s="22">
        <v>4515400</v>
      </c>
      <c r="E1193" s="21" t="s">
        <v>212</v>
      </c>
      <c r="F1193" s="22">
        <v>4511001530</v>
      </c>
      <c r="G1193" s="21" t="s">
        <v>1938</v>
      </c>
      <c r="H1193" s="21" t="s">
        <v>1939</v>
      </c>
      <c r="I1193" s="22">
        <v>424251</v>
      </c>
      <c r="J1193" s="22">
        <v>201931</v>
      </c>
      <c r="K1193" s="22" t="s">
        <v>2959</v>
      </c>
      <c r="L1193" s="22">
        <v>70602</v>
      </c>
      <c r="M1193" s="23" t="s">
        <v>2961</v>
      </c>
      <c r="N1193" s="24">
        <v>0</v>
      </c>
      <c r="O1193" s="24">
        <v>0</v>
      </c>
      <c r="P1193" s="24">
        <v>0</v>
      </c>
      <c r="Q1193" s="24">
        <v>5000</v>
      </c>
      <c r="R1193" s="24">
        <v>100000</v>
      </c>
      <c r="S1193" s="24">
        <v>2500</v>
      </c>
      <c r="T1193" s="24">
        <v>75000</v>
      </c>
      <c r="U1193" s="24">
        <v>10000</v>
      </c>
      <c r="V1193" s="24">
        <v>10000</v>
      </c>
      <c r="W1193" s="24">
        <v>10000</v>
      </c>
      <c r="X1193" s="24">
        <v>25000</v>
      </c>
      <c r="Y1193" s="24">
        <v>5000</v>
      </c>
      <c r="Z1193" s="24">
        <f t="shared" si="56"/>
        <v>242500</v>
      </c>
      <c r="AB1193" s="25">
        <v>242500</v>
      </c>
      <c r="AC1193" s="26">
        <v>242500</v>
      </c>
      <c r="AD1193" s="24">
        <v>0</v>
      </c>
      <c r="AE1193" s="27">
        <f>_xlfn.XLOOKUP(B1193,'Projects Cashflow'!$B:$B,'Projects Cashflow'!$AG:$AG,0)</f>
        <v>242500</v>
      </c>
      <c r="AF1193" s="28">
        <f t="shared" si="57"/>
        <v>0</v>
      </c>
    </row>
    <row r="1194" spans="2:32" x14ac:dyDescent="0.3">
      <c r="B1194" s="14" t="str">
        <f t="shared" si="55"/>
        <v>45154004511001531Trade Promotion-L424251201931</v>
      </c>
      <c r="C1194" s="21" t="s">
        <v>211</v>
      </c>
      <c r="D1194" s="22">
        <v>4515400</v>
      </c>
      <c r="E1194" s="21" t="s">
        <v>212</v>
      </c>
      <c r="F1194" s="22">
        <v>4511001531</v>
      </c>
      <c r="G1194" s="21" t="s">
        <v>1941</v>
      </c>
      <c r="H1194" s="21" t="s">
        <v>1939</v>
      </c>
      <c r="I1194" s="22">
        <v>424251</v>
      </c>
      <c r="J1194" s="22">
        <v>201931</v>
      </c>
      <c r="K1194" s="22" t="s">
        <v>2959</v>
      </c>
      <c r="L1194" s="22">
        <v>70602</v>
      </c>
      <c r="M1194" s="23" t="s">
        <v>2961</v>
      </c>
      <c r="N1194" s="24">
        <v>0</v>
      </c>
      <c r="O1194" s="24">
        <v>0</v>
      </c>
      <c r="P1194" s="24">
        <v>0</v>
      </c>
      <c r="Q1194" s="24">
        <v>80750</v>
      </c>
      <c r="R1194" s="24">
        <v>4750</v>
      </c>
      <c r="S1194" s="24">
        <v>30250</v>
      </c>
      <c r="T1194" s="24">
        <v>52750</v>
      </c>
      <c r="U1194" s="24">
        <v>45250</v>
      </c>
      <c r="V1194" s="24">
        <v>5250</v>
      </c>
      <c r="W1194" s="24">
        <v>250</v>
      </c>
      <c r="X1194" s="24">
        <v>5250</v>
      </c>
      <c r="Y1194" s="24">
        <v>5500</v>
      </c>
      <c r="Z1194" s="24">
        <f t="shared" si="56"/>
        <v>230000</v>
      </c>
      <c r="AB1194" s="25">
        <v>230000</v>
      </c>
      <c r="AC1194" s="26">
        <v>230000</v>
      </c>
      <c r="AD1194" s="24">
        <v>0</v>
      </c>
      <c r="AE1194" s="27">
        <f>_xlfn.XLOOKUP(B1194,'Projects Cashflow'!$B:$B,'Projects Cashflow'!$AG:$AG,0)</f>
        <v>230000</v>
      </c>
      <c r="AF1194" s="28">
        <f t="shared" si="57"/>
        <v>0</v>
      </c>
    </row>
    <row r="1195" spans="2:32" x14ac:dyDescent="0.3">
      <c r="B1195" s="14" t="str">
        <f t="shared" si="55"/>
        <v>45154004511001532Trade Promotion-L424251201931</v>
      </c>
      <c r="C1195" s="21" t="s">
        <v>211</v>
      </c>
      <c r="D1195" s="22">
        <v>4515400</v>
      </c>
      <c r="E1195" s="21" t="s">
        <v>212</v>
      </c>
      <c r="F1195" s="22">
        <v>4511001532</v>
      </c>
      <c r="G1195" s="21" t="s">
        <v>1943</v>
      </c>
      <c r="H1195" s="21" t="s">
        <v>1939</v>
      </c>
      <c r="I1195" s="22">
        <v>424251</v>
      </c>
      <c r="J1195" s="22">
        <v>201931</v>
      </c>
      <c r="K1195" s="22" t="s">
        <v>2959</v>
      </c>
      <c r="L1195" s="22">
        <v>70602</v>
      </c>
      <c r="M1195" s="23" t="s">
        <v>2961</v>
      </c>
      <c r="N1195" s="24">
        <v>0</v>
      </c>
      <c r="O1195" s="24">
        <v>0</v>
      </c>
      <c r="P1195" s="24">
        <v>0</v>
      </c>
      <c r="Q1195" s="24">
        <v>0</v>
      </c>
      <c r="R1195" s="24">
        <v>0</v>
      </c>
      <c r="S1195" s="24">
        <v>0</v>
      </c>
      <c r="T1195" s="24">
        <v>0</v>
      </c>
      <c r="U1195" s="24">
        <v>33333.333333333336</v>
      </c>
      <c r="V1195" s="24">
        <v>33333.333333333336</v>
      </c>
      <c r="W1195" s="24">
        <v>33333.333333333336</v>
      </c>
      <c r="X1195" s="24">
        <v>33333.333333333336</v>
      </c>
      <c r="Y1195" s="24">
        <v>66666.666666666672</v>
      </c>
      <c r="Z1195" s="24">
        <f t="shared" si="56"/>
        <v>200000</v>
      </c>
      <c r="AB1195" s="25">
        <v>200000</v>
      </c>
      <c r="AC1195" s="26">
        <v>200000</v>
      </c>
      <c r="AD1195" s="24">
        <v>0</v>
      </c>
      <c r="AE1195" s="27">
        <f>_xlfn.XLOOKUP(B1195,'Projects Cashflow'!$B:$B,'Projects Cashflow'!$AG:$AG,0)</f>
        <v>200000</v>
      </c>
      <c r="AF1195" s="28">
        <f t="shared" si="57"/>
        <v>0</v>
      </c>
    </row>
    <row r="1196" spans="2:32" x14ac:dyDescent="0.3">
      <c r="B1196" s="14" t="str">
        <f t="shared" si="55"/>
        <v>45154004511001533Trade Promotion-L424251201931</v>
      </c>
      <c r="C1196" s="21" t="s">
        <v>211</v>
      </c>
      <c r="D1196" s="22">
        <v>4515400</v>
      </c>
      <c r="E1196" s="21" t="s">
        <v>212</v>
      </c>
      <c r="F1196" s="22">
        <v>4511001533</v>
      </c>
      <c r="G1196" s="21" t="s">
        <v>1945</v>
      </c>
      <c r="H1196" s="21" t="s">
        <v>1939</v>
      </c>
      <c r="I1196" s="22">
        <v>424251</v>
      </c>
      <c r="J1196" s="22">
        <v>201931</v>
      </c>
      <c r="K1196" s="22" t="s">
        <v>2959</v>
      </c>
      <c r="L1196" s="22">
        <v>70602</v>
      </c>
      <c r="M1196" s="23" t="s">
        <v>2961</v>
      </c>
      <c r="N1196" s="24">
        <v>0</v>
      </c>
      <c r="O1196" s="24">
        <v>0</v>
      </c>
      <c r="P1196" s="24">
        <v>0</v>
      </c>
      <c r="Q1196" s="24">
        <v>10000</v>
      </c>
      <c r="R1196" s="24">
        <v>0</v>
      </c>
      <c r="S1196" s="24">
        <v>40000</v>
      </c>
      <c r="T1196" s="24">
        <v>0</v>
      </c>
      <c r="U1196" s="24">
        <v>50000</v>
      </c>
      <c r="V1196" s="24">
        <v>0</v>
      </c>
      <c r="W1196" s="24">
        <v>40000</v>
      </c>
      <c r="X1196" s="24">
        <v>30000</v>
      </c>
      <c r="Y1196" s="24">
        <v>0</v>
      </c>
      <c r="Z1196" s="24">
        <f t="shared" si="56"/>
        <v>170000</v>
      </c>
      <c r="AB1196" s="25">
        <v>170000</v>
      </c>
      <c r="AC1196" s="26">
        <v>170000</v>
      </c>
      <c r="AD1196" s="24">
        <v>0</v>
      </c>
      <c r="AE1196" s="27">
        <f>_xlfn.XLOOKUP(B1196,'Projects Cashflow'!$B:$B,'Projects Cashflow'!$AG:$AG,0)</f>
        <v>170000</v>
      </c>
      <c r="AF1196" s="28">
        <f t="shared" si="57"/>
        <v>0</v>
      </c>
    </row>
    <row r="1197" spans="2:32" ht="16.2" thickBot="1" x14ac:dyDescent="0.35">
      <c r="B1197" s="14" t="str">
        <f t="shared" si="55"/>
        <v>45154004511001534Trade Promotion-L424251201931</v>
      </c>
      <c r="C1197" s="21" t="s">
        <v>211</v>
      </c>
      <c r="D1197" s="22">
        <v>4515400</v>
      </c>
      <c r="E1197" s="21" t="s">
        <v>212</v>
      </c>
      <c r="F1197" s="22">
        <v>4511001534</v>
      </c>
      <c r="G1197" s="21" t="s">
        <v>1947</v>
      </c>
      <c r="H1197" s="21" t="s">
        <v>1939</v>
      </c>
      <c r="I1197" s="22">
        <v>424251</v>
      </c>
      <c r="J1197" s="22">
        <v>201931</v>
      </c>
      <c r="K1197" s="22" t="s">
        <v>2959</v>
      </c>
      <c r="L1197" s="22">
        <v>70602</v>
      </c>
      <c r="M1197" s="23" t="s">
        <v>2961</v>
      </c>
      <c r="N1197" s="24">
        <v>0</v>
      </c>
      <c r="O1197" s="24">
        <v>0</v>
      </c>
      <c r="P1197" s="24">
        <v>0</v>
      </c>
      <c r="Q1197" s="24">
        <v>70000</v>
      </c>
      <c r="R1197" s="24">
        <v>0</v>
      </c>
      <c r="S1197" s="24">
        <v>0</v>
      </c>
      <c r="T1197" s="24">
        <v>0</v>
      </c>
      <c r="U1197" s="24">
        <v>0</v>
      </c>
      <c r="V1197" s="24">
        <v>10000</v>
      </c>
      <c r="W1197" s="24">
        <v>10000</v>
      </c>
      <c r="X1197" s="24">
        <v>80000</v>
      </c>
      <c r="Y1197" s="24">
        <v>0</v>
      </c>
      <c r="Z1197" s="24">
        <f t="shared" si="56"/>
        <v>170000</v>
      </c>
      <c r="AB1197" s="25">
        <v>170000</v>
      </c>
      <c r="AC1197" s="26">
        <v>170000</v>
      </c>
      <c r="AD1197" s="24">
        <v>0</v>
      </c>
      <c r="AE1197" s="27">
        <f>_xlfn.XLOOKUP(B1197,'Projects Cashflow'!$B:$B,'Projects Cashflow'!$AG:$AG,0)</f>
        <v>170000</v>
      </c>
      <c r="AF1197" s="28">
        <f t="shared" si="57"/>
        <v>0</v>
      </c>
    </row>
    <row r="1198" spans="2:32" ht="16.8" thickTop="1" thickBot="1" x14ac:dyDescent="0.35">
      <c r="B1198" s="14" t="str">
        <f t="shared" si="55"/>
        <v>45155004511000386IP Events-L1422401050723</v>
      </c>
      <c r="C1198" s="34" t="s">
        <v>211</v>
      </c>
      <c r="D1198" s="35">
        <v>4515500</v>
      </c>
      <c r="E1198" s="34" t="s">
        <v>512</v>
      </c>
      <c r="F1198" s="35">
        <v>4511000386</v>
      </c>
      <c r="G1198" s="34" t="s">
        <v>3123</v>
      </c>
      <c r="H1198" s="34" t="s">
        <v>515</v>
      </c>
      <c r="I1198" s="35">
        <v>422401</v>
      </c>
      <c r="J1198" s="49" t="s">
        <v>2926</v>
      </c>
      <c r="K1198" s="35" t="s">
        <v>2959</v>
      </c>
      <c r="L1198" s="22">
        <v>70501</v>
      </c>
      <c r="M1198" s="36" t="s">
        <v>2969</v>
      </c>
      <c r="N1198" s="24">
        <v>0</v>
      </c>
      <c r="O1198" s="24">
        <v>0</v>
      </c>
      <c r="P1198" s="24">
        <v>0</v>
      </c>
      <c r="Q1198" s="24">
        <v>0</v>
      </c>
      <c r="R1198" s="24">
        <v>36730000</v>
      </c>
      <c r="S1198" s="24">
        <v>0</v>
      </c>
      <c r="T1198" s="24">
        <v>0</v>
      </c>
      <c r="U1198" s="24">
        <v>59289417</v>
      </c>
      <c r="V1198" s="24">
        <v>0</v>
      </c>
      <c r="W1198" s="24">
        <v>0</v>
      </c>
      <c r="X1198" s="24">
        <v>0</v>
      </c>
      <c r="Y1198" s="24">
        <v>0</v>
      </c>
      <c r="Z1198" s="24">
        <f t="shared" si="56"/>
        <v>96019417</v>
      </c>
      <c r="AB1198" s="37">
        <v>96019417</v>
      </c>
      <c r="AC1198" s="38">
        <v>96019416.799999997</v>
      </c>
      <c r="AD1198" s="48">
        <v>0.20000000298023224</v>
      </c>
      <c r="AE1198" s="27">
        <f>_xlfn.XLOOKUP(B1198,'Projects Cashflow'!$B:$B,'Projects Cashflow'!$AG:$AG,0)</f>
        <v>96019416.799999997</v>
      </c>
      <c r="AF1198" s="28">
        <f t="shared" si="57"/>
        <v>-0.20000000298023224</v>
      </c>
    </row>
    <row r="1199" spans="2:32" ht="16.2" thickTop="1" x14ac:dyDescent="0.3">
      <c r="B1199" s="14" t="str">
        <f t="shared" si="55"/>
        <v>45155004511000386Co-Invest Events-L422401050723</v>
      </c>
      <c r="C1199" s="34" t="s">
        <v>211</v>
      </c>
      <c r="D1199" s="35">
        <v>4515500</v>
      </c>
      <c r="E1199" s="34" t="s">
        <v>512</v>
      </c>
      <c r="F1199" s="35">
        <v>4511000386</v>
      </c>
      <c r="G1199" s="34" t="s">
        <v>3123</v>
      </c>
      <c r="H1199" s="34" t="s">
        <v>510</v>
      </c>
      <c r="I1199" s="35">
        <v>422401</v>
      </c>
      <c r="J1199" s="49" t="s">
        <v>2926</v>
      </c>
      <c r="K1199" s="35" t="s">
        <v>2959</v>
      </c>
      <c r="L1199" s="22">
        <v>70501</v>
      </c>
      <c r="M1199" s="36" t="s">
        <v>2969</v>
      </c>
      <c r="N1199" s="24">
        <v>0</v>
      </c>
      <c r="O1199" s="24">
        <v>0</v>
      </c>
      <c r="P1199" s="24">
        <v>0</v>
      </c>
      <c r="Q1199" s="24">
        <v>0</v>
      </c>
      <c r="R1199" s="24">
        <v>0</v>
      </c>
      <c r="S1199" s="24">
        <v>0</v>
      </c>
      <c r="T1199" s="24">
        <v>0</v>
      </c>
      <c r="U1199" s="24">
        <v>1349198</v>
      </c>
      <c r="V1199" s="24">
        <v>5174599</v>
      </c>
      <c r="W1199" s="24">
        <v>5174599</v>
      </c>
      <c r="X1199" s="24">
        <v>0</v>
      </c>
      <c r="Y1199" s="24">
        <v>0</v>
      </c>
      <c r="Z1199" s="24">
        <f t="shared" si="56"/>
        <v>11698396</v>
      </c>
      <c r="AB1199" s="37">
        <v>11698396</v>
      </c>
      <c r="AC1199" s="38">
        <v>11698396.199999999</v>
      </c>
      <c r="AD1199" s="48">
        <v>-0.19999999925494194</v>
      </c>
      <c r="AE1199" s="27">
        <f>_xlfn.XLOOKUP(B1199,'Projects Cashflow'!$B:$B,'Projects Cashflow'!$AG:$AG,0)</f>
        <v>11698396.199999999</v>
      </c>
      <c r="AF1199" s="28">
        <f t="shared" si="57"/>
        <v>0.19999999925494194</v>
      </c>
    </row>
    <row r="1200" spans="2:32" x14ac:dyDescent="0.3">
      <c r="B1200" s="14" t="str">
        <f t="shared" si="55"/>
        <v>45155004511000388Sponsorship Fees-N424811200104</v>
      </c>
      <c r="C1200" s="21" t="s">
        <v>211</v>
      </c>
      <c r="D1200" s="22">
        <v>4515500</v>
      </c>
      <c r="E1200" s="21" t="s">
        <v>512</v>
      </c>
      <c r="F1200" s="22">
        <v>4511000388</v>
      </c>
      <c r="G1200" s="21" t="s">
        <v>3124</v>
      </c>
      <c r="H1200" s="21" t="s">
        <v>506</v>
      </c>
      <c r="I1200" s="22">
        <v>424811</v>
      </c>
      <c r="J1200" s="22">
        <v>200104</v>
      </c>
      <c r="K1200" s="22" t="s">
        <v>2959</v>
      </c>
      <c r="L1200" s="22">
        <v>70501</v>
      </c>
      <c r="M1200" s="23" t="s">
        <v>2960</v>
      </c>
      <c r="N1200" s="24">
        <v>0</v>
      </c>
      <c r="O1200" s="24">
        <v>0</v>
      </c>
      <c r="P1200" s="24">
        <v>0</v>
      </c>
      <c r="Q1200" s="24">
        <v>0</v>
      </c>
      <c r="R1200" s="24">
        <v>2200000</v>
      </c>
      <c r="S1200" s="24">
        <v>0</v>
      </c>
      <c r="T1200" s="24">
        <v>0</v>
      </c>
      <c r="U1200" s="24">
        <v>0</v>
      </c>
      <c r="V1200" s="24">
        <v>0</v>
      </c>
      <c r="W1200" s="24">
        <v>2300000</v>
      </c>
      <c r="X1200" s="24">
        <v>0</v>
      </c>
      <c r="Y1200" s="24">
        <v>1000000</v>
      </c>
      <c r="Z1200" s="24">
        <f t="shared" si="56"/>
        <v>5500000</v>
      </c>
      <c r="AB1200" s="25">
        <v>5500000</v>
      </c>
      <c r="AC1200" s="26">
        <v>5500000</v>
      </c>
      <c r="AD1200" s="24">
        <v>0</v>
      </c>
      <c r="AE1200" s="27">
        <f>_xlfn.XLOOKUP(B1200,'Projects Cashflow'!$B:$B,'Projects Cashflow'!$AG:$AG,0)</f>
        <v>5500000</v>
      </c>
      <c r="AF1200" s="28">
        <f t="shared" si="57"/>
        <v>0</v>
      </c>
    </row>
    <row r="1201" spans="2:32" x14ac:dyDescent="0.3">
      <c r="B1201" s="14" t="str">
        <f t="shared" si="55"/>
        <v>45155004511000403Co-Invest Events-N422401200104</v>
      </c>
      <c r="C1201" s="21" t="s">
        <v>211</v>
      </c>
      <c r="D1201" s="22">
        <v>4515500</v>
      </c>
      <c r="E1201" s="21" t="s">
        <v>512</v>
      </c>
      <c r="F1201" s="22">
        <v>4511000403</v>
      </c>
      <c r="G1201" s="21" t="s">
        <v>3125</v>
      </c>
      <c r="H1201" s="21" t="s">
        <v>523</v>
      </c>
      <c r="I1201" s="22">
        <v>422401</v>
      </c>
      <c r="J1201" s="22">
        <v>200104</v>
      </c>
      <c r="K1201" s="22" t="s">
        <v>2959</v>
      </c>
      <c r="L1201" s="22">
        <v>70501</v>
      </c>
      <c r="M1201" s="23" t="s">
        <v>2969</v>
      </c>
      <c r="N1201" s="24">
        <v>0</v>
      </c>
      <c r="O1201" s="24">
        <v>0</v>
      </c>
      <c r="P1201" s="26">
        <v>40000000</v>
      </c>
      <c r="Q1201" s="24">
        <v>0</v>
      </c>
      <c r="R1201" s="24">
        <v>0</v>
      </c>
      <c r="S1201" s="24">
        <v>0</v>
      </c>
      <c r="T1201" s="24">
        <v>0</v>
      </c>
      <c r="U1201" s="24">
        <v>0</v>
      </c>
      <c r="V1201" s="24">
        <v>40000000</v>
      </c>
      <c r="W1201" s="24">
        <v>0</v>
      </c>
      <c r="X1201" s="24">
        <v>0</v>
      </c>
      <c r="Y1201" s="24">
        <v>0</v>
      </c>
      <c r="Z1201" s="24">
        <f t="shared" si="56"/>
        <v>80000000</v>
      </c>
      <c r="AB1201" s="25">
        <v>80000000</v>
      </c>
      <c r="AC1201" s="26">
        <v>80000000</v>
      </c>
      <c r="AD1201" s="24">
        <v>0</v>
      </c>
      <c r="AE1201" s="27">
        <f>_xlfn.XLOOKUP(B1201,'Projects Cashflow'!$B:$B,'Projects Cashflow'!$AG:$AG,0)</f>
        <v>80000000</v>
      </c>
      <c r="AF1201" s="28">
        <f t="shared" si="57"/>
        <v>0</v>
      </c>
    </row>
    <row r="1202" spans="2:32" x14ac:dyDescent="0.3">
      <c r="B1202" s="14" t="str">
        <f t="shared" si="55"/>
        <v>45155004511000403Talent Fees-N422511200104</v>
      </c>
      <c r="C1202" s="21" t="s">
        <v>211</v>
      </c>
      <c r="D1202" s="22">
        <v>4515500</v>
      </c>
      <c r="E1202" s="21" t="s">
        <v>512</v>
      </c>
      <c r="F1202" s="22">
        <v>4511000403</v>
      </c>
      <c r="G1202" s="21" t="s">
        <v>3125</v>
      </c>
      <c r="H1202" s="21" t="s">
        <v>262</v>
      </c>
      <c r="I1202" s="22">
        <v>422511</v>
      </c>
      <c r="J1202" s="22">
        <v>200104</v>
      </c>
      <c r="K1202" s="22" t="s">
        <v>2959</v>
      </c>
      <c r="L1202" s="22">
        <v>70501</v>
      </c>
      <c r="M1202" s="23" t="s">
        <v>2969</v>
      </c>
      <c r="N1202" s="24">
        <v>0</v>
      </c>
      <c r="O1202" s="24">
        <v>0</v>
      </c>
      <c r="P1202" s="26">
        <v>43040000</v>
      </c>
      <c r="Q1202" s="24">
        <v>0</v>
      </c>
      <c r="R1202" s="24">
        <v>0</v>
      </c>
      <c r="S1202" s="24">
        <v>3460000</v>
      </c>
      <c r="T1202" s="24">
        <v>0</v>
      </c>
      <c r="U1202" s="24">
        <v>0</v>
      </c>
      <c r="V1202" s="24">
        <v>0</v>
      </c>
      <c r="W1202" s="24">
        <v>0</v>
      </c>
      <c r="X1202" s="24">
        <v>0</v>
      </c>
      <c r="Y1202" s="24">
        <v>0</v>
      </c>
      <c r="Z1202" s="24">
        <f t="shared" si="56"/>
        <v>46500000</v>
      </c>
      <c r="AB1202" s="25">
        <v>46500000</v>
      </c>
      <c r="AC1202" s="26">
        <v>46500000</v>
      </c>
      <c r="AD1202" s="24">
        <v>0</v>
      </c>
      <c r="AE1202" s="27">
        <f>_xlfn.XLOOKUP(B1202,'Projects Cashflow'!$B:$B,'Projects Cashflow'!$AG:$AG,0)</f>
        <v>46500000</v>
      </c>
      <c r="AF1202" s="28">
        <f t="shared" si="57"/>
        <v>0</v>
      </c>
    </row>
    <row r="1203" spans="2:32" x14ac:dyDescent="0.3">
      <c r="B1203" s="14" t="str">
        <f t="shared" si="55"/>
        <v>45155004511000718Sponsorship Fees-L424811201096</v>
      </c>
      <c r="C1203" s="21" t="s">
        <v>211</v>
      </c>
      <c r="D1203" s="22">
        <v>4515500</v>
      </c>
      <c r="E1203" s="21" t="s">
        <v>512</v>
      </c>
      <c r="F1203" s="22">
        <v>4511000718</v>
      </c>
      <c r="G1203" s="21" t="s">
        <v>934</v>
      </c>
      <c r="H1203" s="21" t="s">
        <v>935</v>
      </c>
      <c r="I1203" s="22">
        <v>424811</v>
      </c>
      <c r="J1203" s="22">
        <v>201096</v>
      </c>
      <c r="K1203" s="22" t="s">
        <v>2959</v>
      </c>
      <c r="L1203" s="22">
        <v>70502</v>
      </c>
      <c r="M1203" s="23" t="s">
        <v>2960</v>
      </c>
      <c r="N1203" s="24">
        <v>0</v>
      </c>
      <c r="O1203" s="24">
        <v>0</v>
      </c>
      <c r="P1203" s="24">
        <v>0</v>
      </c>
      <c r="Q1203" s="24">
        <v>1224333</v>
      </c>
      <c r="R1203" s="24">
        <v>0</v>
      </c>
      <c r="S1203" s="24">
        <v>0</v>
      </c>
      <c r="T1203" s="24">
        <v>1224333</v>
      </c>
      <c r="U1203" s="24">
        <v>0</v>
      </c>
      <c r="V1203" s="24">
        <v>0</v>
      </c>
      <c r="W1203" s="24">
        <v>1224334</v>
      </c>
      <c r="X1203" s="24">
        <v>0</v>
      </c>
      <c r="Y1203" s="24">
        <v>0</v>
      </c>
      <c r="Z1203" s="24">
        <f t="shared" si="56"/>
        <v>3673000</v>
      </c>
      <c r="AB1203" s="25">
        <v>3673000</v>
      </c>
      <c r="AC1203" s="26">
        <v>3673000</v>
      </c>
      <c r="AD1203" s="24">
        <v>0</v>
      </c>
      <c r="AE1203" s="27">
        <f>_xlfn.XLOOKUP(B1203,'Projects Cashflow'!$B:$B,'Projects Cashflow'!$AG:$AG,0)</f>
        <v>3673000</v>
      </c>
      <c r="AF1203" s="28">
        <f t="shared" si="57"/>
        <v>0</v>
      </c>
    </row>
    <row r="1204" spans="2:32" x14ac:dyDescent="0.3">
      <c r="B1204" s="14" t="str">
        <f t="shared" si="55"/>
        <v>45155004511000723IP Events-N422401200104</v>
      </c>
      <c r="C1204" s="21" t="s">
        <v>211</v>
      </c>
      <c r="D1204" s="22">
        <v>4515500</v>
      </c>
      <c r="E1204" s="21" t="s">
        <v>512</v>
      </c>
      <c r="F1204" s="22">
        <v>4511000723</v>
      </c>
      <c r="G1204" s="21" t="s">
        <v>942</v>
      </c>
      <c r="H1204" s="21" t="s">
        <v>943</v>
      </c>
      <c r="I1204" s="22">
        <v>422401</v>
      </c>
      <c r="J1204" s="22">
        <v>200104</v>
      </c>
      <c r="K1204" s="22" t="s">
        <v>2959</v>
      </c>
      <c r="L1204" s="22">
        <v>70501</v>
      </c>
      <c r="M1204" s="23" t="s">
        <v>2969</v>
      </c>
      <c r="N1204" s="24">
        <v>0</v>
      </c>
      <c r="O1204" s="24">
        <v>0</v>
      </c>
      <c r="P1204" s="24">
        <v>0</v>
      </c>
      <c r="Q1204" s="24">
        <v>9119774</v>
      </c>
      <c r="R1204" s="24">
        <v>2707500</v>
      </c>
      <c r="S1204" s="24">
        <v>0</v>
      </c>
      <c r="T1204" s="24">
        <v>0</v>
      </c>
      <c r="U1204" s="24">
        <v>0</v>
      </c>
      <c r="V1204" s="24">
        <v>0</v>
      </c>
      <c r="W1204" s="24">
        <v>0</v>
      </c>
      <c r="X1204" s="24">
        <v>2612726</v>
      </c>
      <c r="Y1204" s="24">
        <v>0</v>
      </c>
      <c r="Z1204" s="24">
        <f t="shared" si="56"/>
        <v>14440000</v>
      </c>
      <c r="AB1204" s="25">
        <v>14440000</v>
      </c>
      <c r="AC1204" s="26">
        <v>14440000</v>
      </c>
      <c r="AD1204" s="24">
        <v>0</v>
      </c>
      <c r="AE1204" s="27">
        <f>_xlfn.XLOOKUP(B1204,'Projects Cashflow'!$B:$B,'Projects Cashflow'!$AG:$AG,0)</f>
        <v>14440000</v>
      </c>
      <c r="AF1204" s="28">
        <f t="shared" si="57"/>
        <v>0</v>
      </c>
    </row>
    <row r="1205" spans="2:32" ht="16.2" thickBot="1" x14ac:dyDescent="0.35">
      <c r="B1205" s="14" t="str">
        <f t="shared" si="55"/>
        <v>45155004511000723Talent Fees-N422511200104</v>
      </c>
      <c r="C1205" s="21" t="s">
        <v>211</v>
      </c>
      <c r="D1205" s="22">
        <v>4515500</v>
      </c>
      <c r="E1205" s="21" t="s">
        <v>512</v>
      </c>
      <c r="F1205" s="22">
        <v>4511000723</v>
      </c>
      <c r="G1205" s="21" t="s">
        <v>942</v>
      </c>
      <c r="H1205" s="21" t="s">
        <v>262</v>
      </c>
      <c r="I1205" s="22">
        <v>422511</v>
      </c>
      <c r="J1205" s="22">
        <v>200104</v>
      </c>
      <c r="K1205" s="22" t="s">
        <v>2959</v>
      </c>
      <c r="L1205" s="22">
        <v>70501</v>
      </c>
      <c r="M1205" s="23" t="s">
        <v>2969</v>
      </c>
      <c r="N1205" s="24">
        <v>0</v>
      </c>
      <c r="O1205" s="24">
        <v>0</v>
      </c>
      <c r="P1205" s="24">
        <v>0</v>
      </c>
      <c r="Q1205" s="24">
        <v>0</v>
      </c>
      <c r="R1205" s="24">
        <v>3610000</v>
      </c>
      <c r="S1205" s="24">
        <v>0</v>
      </c>
      <c r="T1205" s="24">
        <v>0</v>
      </c>
      <c r="U1205" s="24">
        <v>0</v>
      </c>
      <c r="V1205" s="24">
        <v>0</v>
      </c>
      <c r="W1205" s="24">
        <v>0</v>
      </c>
      <c r="X1205" s="24">
        <v>0</v>
      </c>
      <c r="Y1205" s="24">
        <v>0</v>
      </c>
      <c r="Z1205" s="24">
        <f t="shared" si="56"/>
        <v>3610000</v>
      </c>
      <c r="AB1205" s="25">
        <v>3610000</v>
      </c>
      <c r="AC1205" s="26">
        <v>3610000</v>
      </c>
      <c r="AD1205" s="24">
        <v>0</v>
      </c>
      <c r="AE1205" s="27">
        <f>_xlfn.XLOOKUP(B1205,'Projects Cashflow'!$B:$B,'Projects Cashflow'!$AG:$AG,0)</f>
        <v>3610000</v>
      </c>
      <c r="AF1205" s="28">
        <f t="shared" si="57"/>
        <v>0</v>
      </c>
    </row>
    <row r="1206" spans="2:32" ht="16.8" thickTop="1" thickBot="1" x14ac:dyDescent="0.35">
      <c r="B1206" s="14" t="str">
        <f t="shared" si="55"/>
        <v>45155004511000725IP Events-L1422401050729</v>
      </c>
      <c r="C1206" s="21" t="s">
        <v>211</v>
      </c>
      <c r="D1206" s="22">
        <v>4515500</v>
      </c>
      <c r="E1206" s="21" t="s">
        <v>512</v>
      </c>
      <c r="F1206" s="22">
        <v>4511000725</v>
      </c>
      <c r="G1206" s="21" t="s">
        <v>945</v>
      </c>
      <c r="H1206" s="21" t="s">
        <v>515</v>
      </c>
      <c r="I1206" s="22">
        <v>422401</v>
      </c>
      <c r="J1206" s="49" t="s">
        <v>2928</v>
      </c>
      <c r="K1206" s="22" t="s">
        <v>2959</v>
      </c>
      <c r="L1206" s="22">
        <v>70501</v>
      </c>
      <c r="M1206" s="23" t="s">
        <v>2969</v>
      </c>
      <c r="N1206" s="24">
        <v>0</v>
      </c>
      <c r="O1206" s="24">
        <v>0</v>
      </c>
      <c r="P1206" s="24">
        <v>0</v>
      </c>
      <c r="Q1206" s="24">
        <v>52891200</v>
      </c>
      <c r="R1206" s="24">
        <v>0</v>
      </c>
      <c r="S1206" s="24">
        <v>52872200</v>
      </c>
      <c r="T1206" s="24">
        <v>0</v>
      </c>
      <c r="U1206" s="24">
        <v>0</v>
      </c>
      <c r="V1206" s="24">
        <v>0</v>
      </c>
      <c r="W1206" s="24">
        <v>0</v>
      </c>
      <c r="X1206" s="24">
        <v>0</v>
      </c>
      <c r="Y1206" s="24">
        <v>0</v>
      </c>
      <c r="Z1206" s="24">
        <f t="shared" si="56"/>
        <v>105763400</v>
      </c>
      <c r="AB1206" s="25">
        <v>105763400</v>
      </c>
      <c r="AC1206" s="26">
        <v>105763400</v>
      </c>
      <c r="AD1206" s="24">
        <v>0</v>
      </c>
      <c r="AE1206" s="27">
        <f>_xlfn.XLOOKUP(B1206,'Projects Cashflow'!$B:$B,'Projects Cashflow'!$AG:$AG,0)</f>
        <v>105763400</v>
      </c>
      <c r="AF1206" s="28">
        <f t="shared" si="57"/>
        <v>0</v>
      </c>
    </row>
    <row r="1207" spans="2:32" ht="16.2" thickTop="1" x14ac:dyDescent="0.3">
      <c r="B1207" s="14" t="str">
        <f t="shared" si="55"/>
        <v>45155004511000725IP Rights-L423531050729</v>
      </c>
      <c r="C1207" s="21" t="s">
        <v>211</v>
      </c>
      <c r="D1207" s="22">
        <v>4515500</v>
      </c>
      <c r="E1207" s="21" t="s">
        <v>512</v>
      </c>
      <c r="F1207" s="22">
        <v>4511000725</v>
      </c>
      <c r="G1207" s="21" t="s">
        <v>945</v>
      </c>
      <c r="H1207" s="21" t="s">
        <v>949</v>
      </c>
      <c r="I1207" s="22">
        <v>423531</v>
      </c>
      <c r="J1207" s="49" t="s">
        <v>2928</v>
      </c>
      <c r="K1207" s="22" t="s">
        <v>2959</v>
      </c>
      <c r="L1207" s="22">
        <v>70501</v>
      </c>
      <c r="M1207" s="23" t="s">
        <v>2969</v>
      </c>
      <c r="N1207" s="24">
        <v>0</v>
      </c>
      <c r="O1207" s="24">
        <v>0</v>
      </c>
      <c r="P1207" s="24">
        <v>0</v>
      </c>
      <c r="Q1207" s="24">
        <v>16895800</v>
      </c>
      <c r="R1207" s="24">
        <v>0</v>
      </c>
      <c r="S1207" s="24">
        <v>16895800</v>
      </c>
      <c r="T1207" s="24">
        <v>0</v>
      </c>
      <c r="U1207" s="24">
        <v>0</v>
      </c>
      <c r="V1207" s="24">
        <v>0</v>
      </c>
      <c r="W1207" s="24">
        <v>0</v>
      </c>
      <c r="X1207" s="24">
        <v>0</v>
      </c>
      <c r="Y1207" s="24">
        <v>0</v>
      </c>
      <c r="Z1207" s="24">
        <f t="shared" si="56"/>
        <v>33791600</v>
      </c>
      <c r="AB1207" s="25">
        <v>33791600</v>
      </c>
      <c r="AC1207" s="26">
        <v>33791600</v>
      </c>
      <c r="AD1207" s="24">
        <v>0</v>
      </c>
      <c r="AE1207" s="27">
        <f>_xlfn.XLOOKUP(B1207,'Projects Cashflow'!$B:$B,'Projects Cashflow'!$AG:$AG,0)</f>
        <v>33791600</v>
      </c>
      <c r="AF1207" s="28">
        <f t="shared" si="57"/>
        <v>0</v>
      </c>
    </row>
    <row r="1208" spans="2:32" x14ac:dyDescent="0.3">
      <c r="B1208" s="14" t="str">
        <f t="shared" si="55"/>
        <v>45155004511000725Co-Invest Events-N1422401200104</v>
      </c>
      <c r="C1208" s="21" t="s">
        <v>211</v>
      </c>
      <c r="D1208" s="22">
        <v>4515500</v>
      </c>
      <c r="E1208" s="21" t="s">
        <v>512</v>
      </c>
      <c r="F1208" s="22">
        <v>4511000725</v>
      </c>
      <c r="G1208" s="21" t="s">
        <v>945</v>
      </c>
      <c r="H1208" s="21" t="s">
        <v>946</v>
      </c>
      <c r="I1208" s="22">
        <v>422401</v>
      </c>
      <c r="J1208" s="22">
        <v>200104</v>
      </c>
      <c r="K1208" s="22" t="s">
        <v>2959</v>
      </c>
      <c r="L1208" s="22">
        <v>70501</v>
      </c>
      <c r="M1208" s="23" t="s">
        <v>2969</v>
      </c>
      <c r="N1208" s="24">
        <v>0</v>
      </c>
      <c r="O1208" s="24">
        <v>0</v>
      </c>
      <c r="P1208" s="24">
        <v>0</v>
      </c>
      <c r="Q1208" s="24">
        <v>0</v>
      </c>
      <c r="R1208" s="24">
        <v>0</v>
      </c>
      <c r="S1208" s="24">
        <v>17100</v>
      </c>
      <c r="T1208" s="24">
        <v>0</v>
      </c>
      <c r="U1208" s="24">
        <v>0</v>
      </c>
      <c r="V1208" s="24">
        <v>0</v>
      </c>
      <c r="W1208" s="24">
        <v>0</v>
      </c>
      <c r="X1208" s="24">
        <v>8511698</v>
      </c>
      <c r="Y1208" s="24">
        <v>0</v>
      </c>
      <c r="Z1208" s="24">
        <f t="shared" si="56"/>
        <v>8528798</v>
      </c>
      <c r="AB1208" s="25">
        <v>8528798</v>
      </c>
      <c r="AC1208" s="26">
        <v>8528798</v>
      </c>
      <c r="AD1208" s="24">
        <v>0</v>
      </c>
      <c r="AE1208" s="27">
        <f>_xlfn.XLOOKUP(B1208,'Projects Cashflow'!$B:$B,'Projects Cashflow'!$AG:$AG,0)</f>
        <v>8528798</v>
      </c>
      <c r="AF1208" s="28">
        <f t="shared" si="57"/>
        <v>0</v>
      </c>
    </row>
    <row r="1209" spans="2:32" ht="16.2" thickBot="1" x14ac:dyDescent="0.35">
      <c r="B1209" s="14" t="str">
        <f t="shared" si="55"/>
        <v>45155004511000733Sponsorship Fees-N424811200104</v>
      </c>
      <c r="C1209" s="21" t="s">
        <v>211</v>
      </c>
      <c r="D1209" s="22">
        <v>4515500</v>
      </c>
      <c r="E1209" s="21" t="s">
        <v>512</v>
      </c>
      <c r="F1209" s="22">
        <v>4511000733</v>
      </c>
      <c r="G1209" s="21" t="s">
        <v>979</v>
      </c>
      <c r="H1209" s="21" t="s">
        <v>506</v>
      </c>
      <c r="I1209" s="22">
        <v>424811</v>
      </c>
      <c r="J1209" s="22">
        <v>200104</v>
      </c>
      <c r="K1209" s="22" t="s">
        <v>2959</v>
      </c>
      <c r="L1209" s="22">
        <v>70501</v>
      </c>
      <c r="M1209" s="23" t="s">
        <v>2960</v>
      </c>
      <c r="N1209" s="24">
        <v>0</v>
      </c>
      <c r="O1209" s="24">
        <v>0</v>
      </c>
      <c r="P1209" s="24">
        <v>0</v>
      </c>
      <c r="Q1209" s="24">
        <v>0</v>
      </c>
      <c r="R1209" s="24">
        <v>367300</v>
      </c>
      <c r="S1209" s="24">
        <v>275475</v>
      </c>
      <c r="T1209" s="24">
        <v>0</v>
      </c>
      <c r="U1209" s="24">
        <v>0</v>
      </c>
      <c r="V1209" s="24">
        <v>0</v>
      </c>
      <c r="W1209" s="24">
        <v>2387450</v>
      </c>
      <c r="X1209" s="24">
        <v>1836500</v>
      </c>
      <c r="Y1209" s="24">
        <v>2203800</v>
      </c>
      <c r="Z1209" s="24">
        <f t="shared" si="56"/>
        <v>7070525</v>
      </c>
      <c r="AB1209" s="25">
        <v>7070525</v>
      </c>
      <c r="AC1209" s="26">
        <v>7070525</v>
      </c>
      <c r="AD1209" s="24">
        <v>0</v>
      </c>
      <c r="AE1209" s="27">
        <f>_xlfn.XLOOKUP(B1209,'Projects Cashflow'!$B:$B,'Projects Cashflow'!$AG:$AG,0)</f>
        <v>7070525</v>
      </c>
      <c r="AF1209" s="28">
        <f t="shared" si="57"/>
        <v>0</v>
      </c>
    </row>
    <row r="1210" spans="2:32" ht="16.2" thickTop="1" x14ac:dyDescent="0.3">
      <c r="B1210" s="14" t="str">
        <f t="shared" si="55"/>
        <v>45155004511000735Co-Invest Events-L1422401050730</v>
      </c>
      <c r="C1210" s="21" t="s">
        <v>211</v>
      </c>
      <c r="D1210" s="22">
        <v>4515500</v>
      </c>
      <c r="E1210" s="21" t="s">
        <v>512</v>
      </c>
      <c r="F1210" s="22">
        <v>4511000735</v>
      </c>
      <c r="G1210" s="21" t="s">
        <v>981</v>
      </c>
      <c r="H1210" s="21" t="s">
        <v>982</v>
      </c>
      <c r="I1210" s="22">
        <v>422401</v>
      </c>
      <c r="J1210" s="49" t="s">
        <v>2929</v>
      </c>
      <c r="K1210" s="22" t="s">
        <v>2959</v>
      </c>
      <c r="L1210" s="22">
        <v>70501</v>
      </c>
      <c r="M1210" s="23" t="s">
        <v>2969</v>
      </c>
      <c r="N1210" s="24">
        <v>0</v>
      </c>
      <c r="O1210" s="24">
        <v>0</v>
      </c>
      <c r="P1210" s="24">
        <v>0</v>
      </c>
      <c r="Q1210" s="24">
        <v>0</v>
      </c>
      <c r="R1210" s="24">
        <v>0</v>
      </c>
      <c r="S1210" s="24">
        <v>0</v>
      </c>
      <c r="T1210" s="24">
        <v>6700000</v>
      </c>
      <c r="U1210" s="24">
        <v>0</v>
      </c>
      <c r="V1210" s="24">
        <v>30150000</v>
      </c>
      <c r="W1210" s="24">
        <v>0</v>
      </c>
      <c r="X1210" s="24">
        <v>30150000</v>
      </c>
      <c r="Y1210" s="24">
        <v>0</v>
      </c>
      <c r="Z1210" s="24">
        <f t="shared" si="56"/>
        <v>67000000</v>
      </c>
      <c r="AB1210" s="25">
        <v>67000000</v>
      </c>
      <c r="AC1210" s="26">
        <v>67000000</v>
      </c>
      <c r="AD1210" s="24">
        <v>0</v>
      </c>
      <c r="AE1210" s="27">
        <f>_xlfn.XLOOKUP(B1210,'Projects Cashflow'!$B:$B,'Projects Cashflow'!$AG:$AG,0)</f>
        <v>67000000</v>
      </c>
      <c r="AF1210" s="28">
        <f t="shared" si="57"/>
        <v>0</v>
      </c>
    </row>
    <row r="1211" spans="2:32" x14ac:dyDescent="0.3">
      <c r="B1211" s="14" t="str">
        <f t="shared" si="55"/>
        <v>45155004511000744Audit Services-N421125200104</v>
      </c>
      <c r="C1211" s="21" t="s">
        <v>211</v>
      </c>
      <c r="D1211" s="22">
        <v>4515500</v>
      </c>
      <c r="E1211" s="21" t="s">
        <v>512</v>
      </c>
      <c r="F1211" s="22">
        <v>4511000744</v>
      </c>
      <c r="G1211" s="21" t="s">
        <v>986</v>
      </c>
      <c r="H1211" s="21" t="s">
        <v>43</v>
      </c>
      <c r="I1211" s="22">
        <v>421125</v>
      </c>
      <c r="J1211" s="22">
        <v>200104</v>
      </c>
      <c r="K1211" s="22" t="s">
        <v>2959</v>
      </c>
      <c r="L1211" s="22">
        <v>70501</v>
      </c>
      <c r="M1211" s="23" t="s">
        <v>2960</v>
      </c>
      <c r="N1211" s="24">
        <v>0</v>
      </c>
      <c r="O1211" s="24">
        <v>0</v>
      </c>
      <c r="P1211" s="24">
        <v>0</v>
      </c>
      <c r="Q1211" s="24">
        <v>0</v>
      </c>
      <c r="R1211" s="24">
        <v>0</v>
      </c>
      <c r="S1211" s="24">
        <v>0</v>
      </c>
      <c r="T1211" s="24">
        <v>1050000</v>
      </c>
      <c r="U1211" s="24">
        <v>336000</v>
      </c>
      <c r="V1211" s="24">
        <v>0</v>
      </c>
      <c r="W1211" s="24">
        <v>514000</v>
      </c>
      <c r="X1211" s="24">
        <v>350000</v>
      </c>
      <c r="Y1211" s="24">
        <v>0</v>
      </c>
      <c r="Z1211" s="24">
        <f t="shared" si="56"/>
        <v>2250000</v>
      </c>
      <c r="AB1211" s="25">
        <v>2250000</v>
      </c>
      <c r="AC1211" s="26">
        <v>2250000</v>
      </c>
      <c r="AD1211" s="24">
        <v>0</v>
      </c>
      <c r="AE1211" s="27">
        <f>_xlfn.XLOOKUP(B1211,'Projects Cashflow'!$B:$B,'Projects Cashflow'!$AG:$AG,0)</f>
        <v>2250000</v>
      </c>
      <c r="AF1211" s="28">
        <f t="shared" si="57"/>
        <v>0</v>
      </c>
    </row>
    <row r="1212" spans="2:32" x14ac:dyDescent="0.3">
      <c r="B1212" s="14" t="str">
        <f t="shared" si="55"/>
        <v>45155004511000809Event Management-N422401200104</v>
      </c>
      <c r="C1212" s="34" t="s">
        <v>211</v>
      </c>
      <c r="D1212" s="35">
        <v>4515500</v>
      </c>
      <c r="E1212" s="34" t="s">
        <v>512</v>
      </c>
      <c r="F1212" s="35">
        <v>4511000809</v>
      </c>
      <c r="G1212" s="34" t="s">
        <v>1089</v>
      </c>
      <c r="H1212" s="34" t="s">
        <v>162</v>
      </c>
      <c r="I1212" s="35">
        <v>422401</v>
      </c>
      <c r="J1212" s="35">
        <v>200104</v>
      </c>
      <c r="K1212" s="35" t="s">
        <v>2959</v>
      </c>
      <c r="L1212" s="22">
        <v>70501</v>
      </c>
      <c r="M1212" s="36" t="s">
        <v>2969</v>
      </c>
      <c r="N1212" s="24">
        <v>0</v>
      </c>
      <c r="O1212" s="24">
        <v>0</v>
      </c>
      <c r="P1212" s="24">
        <v>35526630</v>
      </c>
      <c r="Q1212" s="24">
        <v>10201896.23</v>
      </c>
      <c r="R1212" s="24">
        <v>363602</v>
      </c>
      <c r="S1212" s="24">
        <v>0</v>
      </c>
      <c r="T1212" s="24">
        <v>0</v>
      </c>
      <c r="U1212" s="24">
        <v>0</v>
      </c>
      <c r="V1212" s="24">
        <v>0</v>
      </c>
      <c r="W1212" s="24">
        <v>11963410.75</v>
      </c>
      <c r="X1212" s="24">
        <v>0</v>
      </c>
      <c r="Y1212" s="24">
        <v>0</v>
      </c>
      <c r="Z1212" s="24">
        <f t="shared" si="56"/>
        <v>58055538.980000004</v>
      </c>
      <c r="AB1212" s="37">
        <v>58055538.980000004</v>
      </c>
      <c r="AC1212" s="38">
        <v>58055539</v>
      </c>
      <c r="AD1212" s="48">
        <v>-1.9999995827674866E-2</v>
      </c>
      <c r="AE1212" s="27">
        <f>_xlfn.XLOOKUP(B1212,'Projects Cashflow'!$B:$B,'Projects Cashflow'!$AG:$AG,0)</f>
        <v>58055539</v>
      </c>
      <c r="AF1212" s="28">
        <f t="shared" si="57"/>
        <v>1.9999995827674866E-2</v>
      </c>
    </row>
    <row r="1213" spans="2:32" x14ac:dyDescent="0.3">
      <c r="B1213" s="14" t="str">
        <f t="shared" si="55"/>
        <v>45151004511001472Trade Partners-L424251201931</v>
      </c>
      <c r="C1213" s="34" t="s">
        <v>211</v>
      </c>
      <c r="D1213" s="35">
        <v>4515100</v>
      </c>
      <c r="E1213" s="34" t="s">
        <v>3007</v>
      </c>
      <c r="F1213" s="35">
        <v>4511001472</v>
      </c>
      <c r="G1213" s="34" t="s">
        <v>1777</v>
      </c>
      <c r="H1213" s="34" t="s">
        <v>568</v>
      </c>
      <c r="I1213" s="35">
        <v>424251</v>
      </c>
      <c r="J1213" s="35">
        <v>201931</v>
      </c>
      <c r="K1213" s="35" t="s">
        <v>2959</v>
      </c>
      <c r="L1213" s="22">
        <v>70602</v>
      </c>
      <c r="M1213" s="36" t="s">
        <v>2961</v>
      </c>
      <c r="N1213" s="24">
        <v>0</v>
      </c>
      <c r="O1213" s="24">
        <v>0</v>
      </c>
      <c r="P1213" s="24">
        <v>433976.49249999999</v>
      </c>
      <c r="Q1213" s="24">
        <v>0</v>
      </c>
      <c r="R1213" s="24">
        <v>0</v>
      </c>
      <c r="S1213" s="24">
        <v>2762488</v>
      </c>
      <c r="T1213" s="24">
        <v>2409015</v>
      </c>
      <c r="U1213" s="24">
        <v>831000</v>
      </c>
      <c r="V1213" s="24">
        <v>380000</v>
      </c>
      <c r="W1213" s="24">
        <v>345000</v>
      </c>
      <c r="X1213" s="24">
        <v>0</v>
      </c>
      <c r="Y1213" s="24">
        <v>0</v>
      </c>
      <c r="Z1213" s="24">
        <f t="shared" si="56"/>
        <v>7161479.4924999997</v>
      </c>
      <c r="AB1213" s="37">
        <v>5061479</v>
      </c>
      <c r="AC1213" s="38">
        <v>5061479</v>
      </c>
      <c r="AD1213" s="24">
        <v>0</v>
      </c>
      <c r="AE1213" s="27">
        <f>_xlfn.XLOOKUP(B1213,'Projects Cashflow'!$B:$B,'Projects Cashflow'!$AG:$AG,0)</f>
        <v>5061479</v>
      </c>
      <c r="AF1213" s="28">
        <f t="shared" si="57"/>
        <v>0</v>
      </c>
    </row>
    <row r="1214" spans="2:32" x14ac:dyDescent="0.3">
      <c r="B1214" s="14" t="str">
        <f t="shared" si="55"/>
        <v>45155004511000810Mission &amp; Travel-N423821200104</v>
      </c>
      <c r="C1214" s="34" t="s">
        <v>211</v>
      </c>
      <c r="D1214" s="35">
        <v>4515500</v>
      </c>
      <c r="E1214" s="34" t="s">
        <v>512</v>
      </c>
      <c r="F1214" s="35">
        <v>4511000810</v>
      </c>
      <c r="G1214" s="34" t="s">
        <v>1096</v>
      </c>
      <c r="H1214" s="34" t="s">
        <v>54</v>
      </c>
      <c r="I1214" s="35">
        <v>423821</v>
      </c>
      <c r="J1214" s="35">
        <v>200104</v>
      </c>
      <c r="K1214" s="35" t="s">
        <v>2959</v>
      </c>
      <c r="L1214" s="22">
        <v>70501</v>
      </c>
      <c r="M1214" s="36" t="s">
        <v>2960</v>
      </c>
      <c r="N1214" s="24">
        <v>0</v>
      </c>
      <c r="O1214" s="24">
        <v>0</v>
      </c>
      <c r="P1214" s="26">
        <v>12500</v>
      </c>
      <c r="Q1214" s="24">
        <v>0</v>
      </c>
      <c r="R1214" s="24">
        <v>0</v>
      </c>
      <c r="S1214" s="24">
        <v>0</v>
      </c>
      <c r="T1214" s="24">
        <v>200000</v>
      </c>
      <c r="U1214" s="24">
        <v>100000</v>
      </c>
      <c r="V1214" s="24">
        <v>100000</v>
      </c>
      <c r="W1214" s="24">
        <v>300000</v>
      </c>
      <c r="X1214" s="24">
        <v>400000</v>
      </c>
      <c r="Y1214" s="24">
        <v>887500</v>
      </c>
      <c r="Z1214" s="24">
        <f t="shared" si="56"/>
        <v>2000000</v>
      </c>
      <c r="AB1214" s="37">
        <v>849645</v>
      </c>
      <c r="AC1214" s="38">
        <v>849645</v>
      </c>
      <c r="AD1214" s="48">
        <v>0</v>
      </c>
      <c r="AE1214" s="27">
        <f>_xlfn.XLOOKUP(B1214,'Projects Cashflow'!$B:$B,'Projects Cashflow'!$AG:$AG,0)</f>
        <v>849645</v>
      </c>
      <c r="AF1214" s="28">
        <f t="shared" si="57"/>
        <v>0</v>
      </c>
    </row>
    <row r="1215" spans="2:32" x14ac:dyDescent="0.3">
      <c r="B1215" s="14" t="str">
        <f t="shared" si="55"/>
        <v>45155004511000810Venue&amp;Room Rent-N422401200104</v>
      </c>
      <c r="C1215" s="21" t="s">
        <v>211</v>
      </c>
      <c r="D1215" s="22">
        <v>4515500</v>
      </c>
      <c r="E1215" s="21" t="s">
        <v>512</v>
      </c>
      <c r="F1215" s="22">
        <v>4511000810</v>
      </c>
      <c r="G1215" s="21" t="s">
        <v>1096</v>
      </c>
      <c r="H1215" s="21" t="s">
        <v>218</v>
      </c>
      <c r="I1215" s="22">
        <v>422401</v>
      </c>
      <c r="J1215" s="22">
        <v>200104</v>
      </c>
      <c r="K1215" s="22" t="s">
        <v>2959</v>
      </c>
      <c r="L1215" s="22">
        <v>70501</v>
      </c>
      <c r="M1215" s="23" t="s">
        <v>2960</v>
      </c>
      <c r="N1215" s="24">
        <v>0</v>
      </c>
      <c r="O1215" s="24">
        <v>0</v>
      </c>
      <c r="P1215" s="24">
        <v>0</v>
      </c>
      <c r="Q1215" s="24">
        <v>0</v>
      </c>
      <c r="R1215" s="24">
        <v>0</v>
      </c>
      <c r="S1215" s="24">
        <v>0</v>
      </c>
      <c r="T1215" s="24">
        <v>0</v>
      </c>
      <c r="U1215" s="24">
        <v>625000</v>
      </c>
      <c r="V1215" s="24">
        <v>0</v>
      </c>
      <c r="W1215" s="24">
        <v>625000</v>
      </c>
      <c r="X1215" s="24">
        <v>0</v>
      </c>
      <c r="Y1215" s="24">
        <v>0</v>
      </c>
      <c r="Z1215" s="24">
        <f t="shared" si="56"/>
        <v>1250000</v>
      </c>
      <c r="AB1215" s="25">
        <v>1250000</v>
      </c>
      <c r="AC1215" s="26">
        <v>1250000</v>
      </c>
      <c r="AD1215" s="24">
        <v>0</v>
      </c>
      <c r="AE1215" s="27">
        <f>_xlfn.XLOOKUP(B1215,'Projects Cashflow'!$B:$B,'Projects Cashflow'!$AG:$AG,0)</f>
        <v>1250000</v>
      </c>
      <c r="AF1215" s="28">
        <f t="shared" si="57"/>
        <v>0</v>
      </c>
    </row>
    <row r="1216" spans="2:32" x14ac:dyDescent="0.3">
      <c r="B1216" s="14" t="str">
        <f t="shared" si="55"/>
        <v>45150104511000809Event Management-ND422401200104</v>
      </c>
      <c r="C1216" s="21" t="s">
        <v>211</v>
      </c>
      <c r="D1216" s="22">
        <v>4515010</v>
      </c>
      <c r="E1216" s="21" t="s">
        <v>3114</v>
      </c>
      <c r="F1216" s="22">
        <v>4511000809</v>
      </c>
      <c r="G1216" s="21" t="s">
        <v>1089</v>
      </c>
      <c r="H1216" s="21" t="s">
        <v>1090</v>
      </c>
      <c r="I1216" s="22">
        <v>422401</v>
      </c>
      <c r="J1216" s="22">
        <v>200104</v>
      </c>
      <c r="K1216" s="22" t="s">
        <v>2959</v>
      </c>
      <c r="L1216" s="22">
        <v>70501</v>
      </c>
      <c r="M1216" s="23" t="s">
        <v>2969</v>
      </c>
      <c r="N1216" s="24">
        <v>0</v>
      </c>
      <c r="O1216" s="24">
        <v>0</v>
      </c>
      <c r="P1216" s="24">
        <v>0</v>
      </c>
      <c r="Q1216" s="24">
        <v>0</v>
      </c>
      <c r="R1216" s="24">
        <v>0</v>
      </c>
      <c r="S1216" s="24">
        <v>17600000</v>
      </c>
      <c r="T1216" s="24">
        <v>0</v>
      </c>
      <c r="U1216" s="24">
        <v>0</v>
      </c>
      <c r="V1216" s="24">
        <v>0</v>
      </c>
      <c r="W1216" s="24">
        <v>0</v>
      </c>
      <c r="X1216" s="24">
        <v>0</v>
      </c>
      <c r="Y1216" s="24">
        <v>80000000</v>
      </c>
      <c r="Z1216" s="24">
        <f t="shared" si="56"/>
        <v>97600000</v>
      </c>
      <c r="AB1216" s="25">
        <v>97600000</v>
      </c>
      <c r="AC1216" s="26">
        <v>97600000</v>
      </c>
      <c r="AD1216" s="24">
        <v>0</v>
      </c>
      <c r="AE1216" s="27">
        <f>_xlfn.XLOOKUP(B1216,'Projects Cashflow'!$B:$B,'Projects Cashflow'!$AG:$AG,0)</f>
        <v>97600000</v>
      </c>
      <c r="AF1216" s="28">
        <f t="shared" si="57"/>
        <v>0</v>
      </c>
    </row>
    <row r="1217" spans="2:32" x14ac:dyDescent="0.3">
      <c r="B1217" s="14" t="str">
        <f t="shared" si="55"/>
        <v>45150104511000826Hospitality-N424761200104</v>
      </c>
      <c r="C1217" s="21" t="s">
        <v>211</v>
      </c>
      <c r="D1217" s="22">
        <v>4515010</v>
      </c>
      <c r="E1217" s="21" t="s">
        <v>3114</v>
      </c>
      <c r="F1217" s="22">
        <v>4511000826</v>
      </c>
      <c r="G1217" s="21" t="s">
        <v>1118</v>
      </c>
      <c r="H1217" s="21" t="s">
        <v>83</v>
      </c>
      <c r="I1217" s="22">
        <v>424761</v>
      </c>
      <c r="J1217" s="22">
        <v>200104</v>
      </c>
      <c r="K1217" s="22" t="s">
        <v>2959</v>
      </c>
      <c r="L1217" s="22">
        <v>70501</v>
      </c>
      <c r="M1217" s="23" t="s">
        <v>2960</v>
      </c>
      <c r="N1217" s="24">
        <v>0</v>
      </c>
      <c r="O1217" s="24">
        <v>0</v>
      </c>
      <c r="P1217" s="24">
        <v>0</v>
      </c>
      <c r="Q1217" s="24">
        <v>5250</v>
      </c>
      <c r="R1217" s="24">
        <v>0</v>
      </c>
      <c r="S1217" s="24">
        <v>0</v>
      </c>
      <c r="T1217" s="24">
        <v>0</v>
      </c>
      <c r="U1217" s="24">
        <v>0</v>
      </c>
      <c r="V1217" s="24">
        <v>0</v>
      </c>
      <c r="W1217" s="24">
        <v>0</v>
      </c>
      <c r="X1217" s="24">
        <v>0</v>
      </c>
      <c r="Y1217" s="24">
        <v>294750</v>
      </c>
      <c r="Z1217" s="24">
        <f t="shared" si="56"/>
        <v>300000</v>
      </c>
      <c r="AB1217" s="25">
        <v>200000</v>
      </c>
      <c r="AC1217" s="26">
        <v>200000</v>
      </c>
      <c r="AD1217" s="24">
        <v>0</v>
      </c>
      <c r="AE1217" s="27">
        <f>_xlfn.XLOOKUP(B1217,'Projects Cashflow'!$B:$B,'Projects Cashflow'!$AG:$AG,0)</f>
        <v>200000</v>
      </c>
      <c r="AF1217" s="28">
        <f t="shared" si="57"/>
        <v>0</v>
      </c>
    </row>
    <row r="1218" spans="2:32" x14ac:dyDescent="0.3">
      <c r="B1218" s="14" t="str">
        <f t="shared" si="55"/>
        <v>45155004511000849Sponsorship Fees-N424811200104</v>
      </c>
      <c r="C1218" s="34" t="s">
        <v>211</v>
      </c>
      <c r="D1218" s="35">
        <v>4515500</v>
      </c>
      <c r="E1218" s="34" t="s">
        <v>512</v>
      </c>
      <c r="F1218" s="35">
        <v>4511000849</v>
      </c>
      <c r="G1218" s="34" t="s">
        <v>1128</v>
      </c>
      <c r="H1218" s="34" t="s">
        <v>506</v>
      </c>
      <c r="I1218" s="35">
        <v>424811</v>
      </c>
      <c r="J1218" s="35">
        <v>200104</v>
      </c>
      <c r="K1218" s="35" t="s">
        <v>2959</v>
      </c>
      <c r="L1218" s="22">
        <v>70501</v>
      </c>
      <c r="M1218" s="36" t="s">
        <v>2960</v>
      </c>
      <c r="N1218" s="24">
        <v>0</v>
      </c>
      <c r="O1218" s="24">
        <v>0</v>
      </c>
      <c r="P1218" s="24">
        <v>0</v>
      </c>
      <c r="Q1218" s="24">
        <v>0</v>
      </c>
      <c r="R1218" s="24">
        <v>0</v>
      </c>
      <c r="S1218" s="24">
        <v>0</v>
      </c>
      <c r="T1218" s="24">
        <v>0</v>
      </c>
      <c r="U1218" s="24">
        <v>0</v>
      </c>
      <c r="V1218" s="24">
        <v>0</v>
      </c>
      <c r="W1218" s="24">
        <v>0</v>
      </c>
      <c r="X1218" s="24">
        <v>5000000</v>
      </c>
      <c r="Y1218" s="24">
        <v>6500000</v>
      </c>
      <c r="Z1218" s="24">
        <f t="shared" si="56"/>
        <v>11500000</v>
      </c>
      <c r="AB1218" s="37">
        <v>11260000</v>
      </c>
      <c r="AC1218" s="38">
        <v>11260000</v>
      </c>
      <c r="AD1218" s="48">
        <v>0</v>
      </c>
      <c r="AE1218" s="27">
        <f>_xlfn.XLOOKUP(B1218,'Projects Cashflow'!$B:$B,'Projects Cashflow'!$AG:$AG,0)</f>
        <v>11260000</v>
      </c>
      <c r="AF1218" s="28">
        <f t="shared" si="57"/>
        <v>0</v>
      </c>
    </row>
    <row r="1219" spans="2:32" x14ac:dyDescent="0.3">
      <c r="B1219" s="14" t="str">
        <f t="shared" si="55"/>
        <v>45155004511000851Entertainment-N422401200104</v>
      </c>
      <c r="C1219" s="21" t="s">
        <v>211</v>
      </c>
      <c r="D1219" s="22">
        <v>4515500</v>
      </c>
      <c r="E1219" s="21" t="s">
        <v>512</v>
      </c>
      <c r="F1219" s="22">
        <v>4511000851</v>
      </c>
      <c r="G1219" s="21" t="s">
        <v>3126</v>
      </c>
      <c r="H1219" s="21" t="s">
        <v>1353</v>
      </c>
      <c r="I1219" s="22">
        <v>422401</v>
      </c>
      <c r="J1219" s="22">
        <v>200104</v>
      </c>
      <c r="K1219" s="22" t="s">
        <v>2959</v>
      </c>
      <c r="L1219" s="22">
        <v>70501</v>
      </c>
      <c r="M1219" s="23" t="s">
        <v>2960</v>
      </c>
      <c r="N1219" s="24">
        <v>0</v>
      </c>
      <c r="O1219" s="24">
        <v>0</v>
      </c>
      <c r="P1219" s="24">
        <v>0</v>
      </c>
      <c r="Q1219" s="24">
        <v>2478600</v>
      </c>
      <c r="R1219" s="24">
        <v>0</v>
      </c>
      <c r="S1219" s="24">
        <v>0</v>
      </c>
      <c r="T1219" s="24">
        <v>0</v>
      </c>
      <c r="U1219" s="24">
        <v>0</v>
      </c>
      <c r="V1219" s="24">
        <v>0</v>
      </c>
      <c r="W1219" s="24">
        <v>0</v>
      </c>
      <c r="X1219" s="24">
        <v>0</v>
      </c>
      <c r="Y1219" s="24">
        <v>0</v>
      </c>
      <c r="Z1219" s="24">
        <f t="shared" si="56"/>
        <v>2478600</v>
      </c>
      <c r="AB1219" s="25">
        <v>0</v>
      </c>
      <c r="AC1219" s="26">
        <v>0</v>
      </c>
      <c r="AD1219" s="24">
        <v>0</v>
      </c>
      <c r="AE1219" s="27">
        <f>_xlfn.XLOOKUP(B1219,'Projects Cashflow'!$B:$B,'Projects Cashflow'!$AG:$AG,0)</f>
        <v>0</v>
      </c>
      <c r="AF1219" s="28">
        <f t="shared" si="57"/>
        <v>0</v>
      </c>
    </row>
    <row r="1220" spans="2:32" x14ac:dyDescent="0.3">
      <c r="B1220" s="14" t="str">
        <f t="shared" si="55"/>
        <v>45155004511000854Co-Invest Events-N422401200104</v>
      </c>
      <c r="C1220" s="34" t="s">
        <v>211</v>
      </c>
      <c r="D1220" s="35">
        <v>4515500</v>
      </c>
      <c r="E1220" s="34" t="s">
        <v>512</v>
      </c>
      <c r="F1220" s="35">
        <v>4511000854</v>
      </c>
      <c r="G1220" s="34" t="s">
        <v>1131</v>
      </c>
      <c r="H1220" s="34" t="s">
        <v>523</v>
      </c>
      <c r="I1220" s="35">
        <v>422401</v>
      </c>
      <c r="J1220" s="35">
        <v>200104</v>
      </c>
      <c r="K1220" s="35" t="s">
        <v>2959</v>
      </c>
      <c r="L1220" s="22">
        <v>70501</v>
      </c>
      <c r="M1220" s="36" t="s">
        <v>2960</v>
      </c>
      <c r="N1220" s="24">
        <v>0</v>
      </c>
      <c r="O1220" s="24">
        <v>0</v>
      </c>
      <c r="P1220" s="24">
        <v>0</v>
      </c>
      <c r="Q1220" s="24">
        <v>0</v>
      </c>
      <c r="R1220" s="24">
        <v>0</v>
      </c>
      <c r="S1220" s="24">
        <v>0</v>
      </c>
      <c r="T1220" s="24">
        <v>0</v>
      </c>
      <c r="U1220" s="24">
        <v>0</v>
      </c>
      <c r="V1220" s="24">
        <v>0</v>
      </c>
      <c r="W1220" s="24">
        <v>1000000</v>
      </c>
      <c r="X1220" s="24">
        <v>0</v>
      </c>
      <c r="Y1220" s="24">
        <v>0</v>
      </c>
      <c r="Z1220" s="24">
        <f t="shared" si="56"/>
        <v>1000000</v>
      </c>
      <c r="AB1220" s="37">
        <v>11611000</v>
      </c>
      <c r="AC1220" s="38">
        <v>11611000</v>
      </c>
      <c r="AD1220" s="48">
        <v>0</v>
      </c>
      <c r="AE1220" s="27">
        <f>_xlfn.XLOOKUP(B1220,'Projects Cashflow'!$B:$B,'Projects Cashflow'!$AG:$AG,0)</f>
        <v>11611000</v>
      </c>
      <c r="AF1220" s="28">
        <f t="shared" si="57"/>
        <v>0</v>
      </c>
    </row>
    <row r="1221" spans="2:32" x14ac:dyDescent="0.3">
      <c r="B1221" s="14" t="str">
        <f t="shared" ref="B1221:B1284" si="58">D1221&amp;F1221&amp;H1221&amp;I1221&amp;J1221</f>
        <v>45155004511000859Event Management-N422401200104</v>
      </c>
      <c r="C1221" s="21" t="s">
        <v>211</v>
      </c>
      <c r="D1221" s="22">
        <v>4515500</v>
      </c>
      <c r="E1221" s="21" t="s">
        <v>512</v>
      </c>
      <c r="F1221" s="22">
        <v>4511000859</v>
      </c>
      <c r="G1221" s="21" t="s">
        <v>1133</v>
      </c>
      <c r="H1221" s="21" t="s">
        <v>162</v>
      </c>
      <c r="I1221" s="22">
        <v>422401</v>
      </c>
      <c r="J1221" s="22">
        <v>200104</v>
      </c>
      <c r="K1221" s="22" t="s">
        <v>2959</v>
      </c>
      <c r="L1221" s="22">
        <v>70501</v>
      </c>
      <c r="M1221" s="23" t="s">
        <v>2960</v>
      </c>
      <c r="N1221" s="24">
        <v>0</v>
      </c>
      <c r="O1221" s="24">
        <v>0</v>
      </c>
      <c r="P1221" s="24">
        <v>0</v>
      </c>
      <c r="Q1221" s="24">
        <v>755446.8</v>
      </c>
      <c r="R1221" s="24">
        <v>0</v>
      </c>
      <c r="S1221" s="24">
        <v>0</v>
      </c>
      <c r="T1221" s="24">
        <v>0</v>
      </c>
      <c r="U1221" s="24">
        <v>0</v>
      </c>
      <c r="V1221" s="24">
        <v>0</v>
      </c>
      <c r="W1221" s="24">
        <v>0</v>
      </c>
      <c r="X1221" s="24">
        <v>0</v>
      </c>
      <c r="Y1221" s="24">
        <v>0</v>
      </c>
      <c r="Z1221" s="24">
        <f t="shared" ref="Z1221:Z1284" si="59">SUM(N1221:Y1221)</f>
        <v>755446.8</v>
      </c>
      <c r="AB1221" s="25">
        <v>755446.8</v>
      </c>
      <c r="AC1221" s="26">
        <v>755446.8</v>
      </c>
      <c r="AD1221" s="24">
        <v>0</v>
      </c>
      <c r="AE1221" s="27">
        <f>_xlfn.XLOOKUP(B1221,'Projects Cashflow'!$B:$B,'Projects Cashflow'!$AG:$AG,0)</f>
        <v>755446.8</v>
      </c>
      <c r="AF1221" s="28">
        <f t="shared" ref="AF1221:AF1284" si="60">AE1221-AB1221</f>
        <v>0</v>
      </c>
    </row>
    <row r="1222" spans="2:32" x14ac:dyDescent="0.3">
      <c r="B1222" s="14" t="str">
        <f t="shared" si="58"/>
        <v>45155004511000926Co-Invest Events-N422401200104</v>
      </c>
      <c r="C1222" s="21" t="s">
        <v>211</v>
      </c>
      <c r="D1222" s="22">
        <v>4515500</v>
      </c>
      <c r="E1222" s="21" t="s">
        <v>512</v>
      </c>
      <c r="F1222" s="22">
        <v>4511000926</v>
      </c>
      <c r="G1222" s="21" t="s">
        <v>1243</v>
      </c>
      <c r="H1222" s="21" t="s">
        <v>523</v>
      </c>
      <c r="I1222" s="22">
        <v>422401</v>
      </c>
      <c r="J1222" s="22">
        <v>200104</v>
      </c>
      <c r="K1222" s="22" t="s">
        <v>2959</v>
      </c>
      <c r="L1222" s="22">
        <v>70501</v>
      </c>
      <c r="M1222" s="23" t="s">
        <v>2969</v>
      </c>
      <c r="N1222" s="24">
        <v>0</v>
      </c>
      <c r="O1222" s="24">
        <v>0</v>
      </c>
      <c r="P1222" s="24">
        <v>0</v>
      </c>
      <c r="Q1222" s="24">
        <v>9112500</v>
      </c>
      <c r="R1222" s="24">
        <v>6075000</v>
      </c>
      <c r="S1222" s="24">
        <v>3037500</v>
      </c>
      <c r="T1222" s="24">
        <v>0</v>
      </c>
      <c r="U1222" s="24">
        <v>0</v>
      </c>
      <c r="V1222" s="24">
        <v>0</v>
      </c>
      <c r="W1222" s="24">
        <v>0</v>
      </c>
      <c r="X1222" s="24">
        <v>6075000</v>
      </c>
      <c r="Y1222" s="24">
        <v>0</v>
      </c>
      <c r="Z1222" s="24">
        <f t="shared" si="59"/>
        <v>24300000</v>
      </c>
      <c r="AB1222" s="25">
        <v>16195975</v>
      </c>
      <c r="AC1222" s="26">
        <v>16195975</v>
      </c>
      <c r="AD1222" s="24">
        <v>0</v>
      </c>
      <c r="AE1222" s="27">
        <f>_xlfn.XLOOKUP(B1222,'Projects Cashflow'!$B:$B,'Projects Cashflow'!$AG:$AG,0)</f>
        <v>16195975</v>
      </c>
      <c r="AF1222" s="28">
        <f t="shared" si="60"/>
        <v>0</v>
      </c>
    </row>
    <row r="1223" spans="2:32" x14ac:dyDescent="0.3">
      <c r="B1223" s="14" t="str">
        <f t="shared" si="58"/>
        <v>45155004511000927IP Events-N422401200104</v>
      </c>
      <c r="C1223" s="21" t="s">
        <v>211</v>
      </c>
      <c r="D1223" s="22">
        <v>4515500</v>
      </c>
      <c r="E1223" s="21" t="s">
        <v>512</v>
      </c>
      <c r="F1223" s="22">
        <v>4511000927</v>
      </c>
      <c r="G1223" s="21" t="s">
        <v>1245</v>
      </c>
      <c r="H1223" s="21" t="s">
        <v>943</v>
      </c>
      <c r="I1223" s="22">
        <v>422401</v>
      </c>
      <c r="J1223" s="22">
        <v>200104</v>
      </c>
      <c r="K1223" s="22" t="s">
        <v>2959</v>
      </c>
      <c r="L1223" s="22">
        <v>70501</v>
      </c>
      <c r="M1223" s="23" t="s">
        <v>2960</v>
      </c>
      <c r="N1223" s="24">
        <v>0</v>
      </c>
      <c r="O1223" s="24">
        <v>0</v>
      </c>
      <c r="P1223" s="24">
        <v>0</v>
      </c>
      <c r="Q1223" s="24">
        <v>5500000</v>
      </c>
      <c r="R1223" s="24">
        <v>0</v>
      </c>
      <c r="S1223" s="24">
        <v>3000000</v>
      </c>
      <c r="T1223" s="24">
        <v>0</v>
      </c>
      <c r="U1223" s="24">
        <v>2500000</v>
      </c>
      <c r="V1223" s="24">
        <v>0</v>
      </c>
      <c r="W1223" s="24">
        <v>1000000</v>
      </c>
      <c r="X1223" s="24">
        <v>85000</v>
      </c>
      <c r="Y1223" s="24">
        <v>0</v>
      </c>
      <c r="Z1223" s="24">
        <f t="shared" si="59"/>
        <v>12085000</v>
      </c>
      <c r="AB1223" s="25">
        <v>12085000</v>
      </c>
      <c r="AC1223" s="26">
        <v>12085000</v>
      </c>
      <c r="AD1223" s="24">
        <v>0</v>
      </c>
      <c r="AE1223" s="27">
        <f>_xlfn.XLOOKUP(B1223,'Projects Cashflow'!$B:$B,'Projects Cashflow'!$AG:$AG,0)</f>
        <v>12085000</v>
      </c>
      <c r="AF1223" s="28">
        <f t="shared" si="60"/>
        <v>0</v>
      </c>
    </row>
    <row r="1224" spans="2:32" x14ac:dyDescent="0.3">
      <c r="B1224" s="14" t="str">
        <f t="shared" si="58"/>
        <v>45155004511001052Sponsorship Fees-N424811200104</v>
      </c>
      <c r="C1224" s="21" t="s">
        <v>211</v>
      </c>
      <c r="D1224" s="22">
        <v>4515500</v>
      </c>
      <c r="E1224" s="21" t="s">
        <v>512</v>
      </c>
      <c r="F1224" s="22">
        <v>4511001052</v>
      </c>
      <c r="G1224" s="21" t="s">
        <v>1330</v>
      </c>
      <c r="H1224" s="21" t="s">
        <v>506</v>
      </c>
      <c r="I1224" s="22">
        <v>424811</v>
      </c>
      <c r="J1224" s="22">
        <v>200104</v>
      </c>
      <c r="K1224" s="22" t="s">
        <v>2959</v>
      </c>
      <c r="L1224" s="22">
        <v>70501</v>
      </c>
      <c r="M1224" s="23" t="s">
        <v>2960</v>
      </c>
      <c r="N1224" s="24">
        <v>0</v>
      </c>
      <c r="O1224" s="24">
        <v>0</v>
      </c>
      <c r="P1224" s="24">
        <v>0</v>
      </c>
      <c r="Q1224" s="24">
        <v>4760208</v>
      </c>
      <c r="R1224" s="24">
        <v>0</v>
      </c>
      <c r="S1224" s="24">
        <v>0</v>
      </c>
      <c r="T1224" s="24">
        <v>0</v>
      </c>
      <c r="U1224" s="24">
        <v>0</v>
      </c>
      <c r="V1224" s="24">
        <v>0</v>
      </c>
      <c r="W1224" s="24">
        <v>5509500</v>
      </c>
      <c r="X1224" s="24">
        <v>0</v>
      </c>
      <c r="Y1224" s="24">
        <v>0</v>
      </c>
      <c r="Z1224" s="24">
        <f t="shared" si="59"/>
        <v>10269708</v>
      </c>
      <c r="AB1224" s="25">
        <v>10269708</v>
      </c>
      <c r="AC1224" s="26">
        <v>10269708</v>
      </c>
      <c r="AD1224" s="24">
        <v>0</v>
      </c>
      <c r="AE1224" s="27">
        <f>_xlfn.XLOOKUP(B1224,'Projects Cashflow'!$B:$B,'Projects Cashflow'!$AG:$AG,0)</f>
        <v>10269708</v>
      </c>
      <c r="AF1224" s="28">
        <f t="shared" si="60"/>
        <v>0</v>
      </c>
    </row>
    <row r="1225" spans="2:32" x14ac:dyDescent="0.3">
      <c r="B1225" s="14" t="str">
        <f t="shared" si="58"/>
        <v>45155004511001055IP Rights-L423531201760</v>
      </c>
      <c r="C1225" s="21" t="s">
        <v>211</v>
      </c>
      <c r="D1225" s="22">
        <v>4515500</v>
      </c>
      <c r="E1225" s="21" t="s">
        <v>512</v>
      </c>
      <c r="F1225" s="22">
        <v>4511001055</v>
      </c>
      <c r="G1225" s="21" t="s">
        <v>1332</v>
      </c>
      <c r="H1225" s="21" t="s">
        <v>949</v>
      </c>
      <c r="I1225" s="22">
        <v>423531</v>
      </c>
      <c r="J1225" s="22">
        <v>201760</v>
      </c>
      <c r="K1225" s="22" t="s">
        <v>2959</v>
      </c>
      <c r="L1225" s="22">
        <v>70501</v>
      </c>
      <c r="M1225" s="23" t="s">
        <v>2960</v>
      </c>
      <c r="N1225" s="24">
        <v>0</v>
      </c>
      <c r="O1225" s="24">
        <v>0</v>
      </c>
      <c r="P1225" s="24">
        <v>0</v>
      </c>
      <c r="Q1225" s="24">
        <v>18366000</v>
      </c>
      <c r="R1225" s="24">
        <v>0</v>
      </c>
      <c r="S1225" s="24">
        <v>0</v>
      </c>
      <c r="T1225" s="24">
        <v>18366000</v>
      </c>
      <c r="U1225" s="24">
        <v>0</v>
      </c>
      <c r="V1225" s="24">
        <v>0</v>
      </c>
      <c r="W1225" s="24">
        <v>0</v>
      </c>
      <c r="X1225" s="24">
        <v>0</v>
      </c>
      <c r="Y1225" s="24">
        <v>0</v>
      </c>
      <c r="Z1225" s="24">
        <f t="shared" si="59"/>
        <v>36732000</v>
      </c>
      <c r="AB1225" s="25">
        <v>36732000</v>
      </c>
      <c r="AC1225" s="26">
        <v>36732000</v>
      </c>
      <c r="AD1225" s="24">
        <v>0</v>
      </c>
      <c r="AE1225" s="27">
        <f>_xlfn.XLOOKUP(B1225,'Projects Cashflow'!$B:$B,'Projects Cashflow'!$AG:$AG,0)</f>
        <v>36732000</v>
      </c>
      <c r="AF1225" s="28">
        <f t="shared" si="60"/>
        <v>0</v>
      </c>
    </row>
    <row r="1226" spans="2:32" x14ac:dyDescent="0.3">
      <c r="B1226" s="14" t="str">
        <f t="shared" si="58"/>
        <v>45155004511001055Co-Invest Events-N1422401200104</v>
      </c>
      <c r="C1226" s="21" t="s">
        <v>211</v>
      </c>
      <c r="D1226" s="22">
        <v>4515500</v>
      </c>
      <c r="E1226" s="21" t="s">
        <v>512</v>
      </c>
      <c r="F1226" s="22">
        <v>4511001055</v>
      </c>
      <c r="G1226" s="21" t="s">
        <v>1332</v>
      </c>
      <c r="H1226" s="21" t="s">
        <v>946</v>
      </c>
      <c r="I1226" s="22">
        <v>422401</v>
      </c>
      <c r="J1226" s="22">
        <v>200104</v>
      </c>
      <c r="K1226" s="22" t="s">
        <v>2959</v>
      </c>
      <c r="L1226" s="22">
        <v>70501</v>
      </c>
      <c r="M1226" s="23" t="s">
        <v>2960</v>
      </c>
      <c r="N1226" s="24">
        <v>0</v>
      </c>
      <c r="O1226" s="24">
        <v>0</v>
      </c>
      <c r="P1226" s="24">
        <v>0</v>
      </c>
      <c r="Q1226" s="24">
        <v>0</v>
      </c>
      <c r="R1226" s="24">
        <v>3159034</v>
      </c>
      <c r="S1226" s="24">
        <v>0</v>
      </c>
      <c r="T1226" s="24">
        <v>0</v>
      </c>
      <c r="U1226" s="24">
        <v>0</v>
      </c>
      <c r="V1226" s="24">
        <v>0</v>
      </c>
      <c r="W1226" s="24">
        <v>1579517</v>
      </c>
      <c r="X1226" s="24">
        <v>0</v>
      </c>
      <c r="Y1226" s="24">
        <v>1579516</v>
      </c>
      <c r="Z1226" s="24">
        <f t="shared" si="59"/>
        <v>6318067</v>
      </c>
      <c r="AB1226" s="25">
        <v>6318067</v>
      </c>
      <c r="AC1226" s="26">
        <v>6318067</v>
      </c>
      <c r="AD1226" s="24">
        <v>0</v>
      </c>
      <c r="AE1226" s="27">
        <f>_xlfn.XLOOKUP(B1226,'Projects Cashflow'!$B:$B,'Projects Cashflow'!$AG:$AG,0)</f>
        <v>6318067</v>
      </c>
      <c r="AF1226" s="28">
        <f t="shared" si="60"/>
        <v>0</v>
      </c>
    </row>
    <row r="1227" spans="2:32" x14ac:dyDescent="0.3">
      <c r="B1227" s="14" t="str">
        <f t="shared" si="58"/>
        <v>45155004511001060Sponsorship Fees-N424811200104</v>
      </c>
      <c r="C1227" s="21" t="s">
        <v>211</v>
      </c>
      <c r="D1227" s="22">
        <v>4515500</v>
      </c>
      <c r="E1227" s="21" t="s">
        <v>512</v>
      </c>
      <c r="F1227" s="22">
        <v>4511001060</v>
      </c>
      <c r="G1227" s="21" t="s">
        <v>1336</v>
      </c>
      <c r="H1227" s="21" t="s">
        <v>506</v>
      </c>
      <c r="I1227" s="22">
        <v>424811</v>
      </c>
      <c r="J1227" s="22">
        <v>200104</v>
      </c>
      <c r="K1227" s="22" t="s">
        <v>2959</v>
      </c>
      <c r="L1227" s="22">
        <v>70501</v>
      </c>
      <c r="M1227" s="23" t="s">
        <v>2960</v>
      </c>
      <c r="N1227" s="24">
        <v>0</v>
      </c>
      <c r="O1227" s="24">
        <v>0</v>
      </c>
      <c r="P1227" s="24">
        <v>0</v>
      </c>
      <c r="Q1227" s="24">
        <v>0</v>
      </c>
      <c r="R1227" s="24">
        <v>0</v>
      </c>
      <c r="S1227" s="24">
        <v>0</v>
      </c>
      <c r="T1227" s="24">
        <v>0</v>
      </c>
      <c r="U1227" s="24">
        <v>0</v>
      </c>
      <c r="V1227" s="24">
        <v>0</v>
      </c>
      <c r="W1227" s="24">
        <v>3200000</v>
      </c>
      <c r="X1227" s="24">
        <v>0</v>
      </c>
      <c r="Y1227" s="24">
        <v>800000</v>
      </c>
      <c r="Z1227" s="24">
        <f t="shared" si="59"/>
        <v>4000000</v>
      </c>
      <c r="AB1227" s="25">
        <v>4000000</v>
      </c>
      <c r="AC1227" s="26">
        <v>4000000</v>
      </c>
      <c r="AD1227" s="24">
        <v>0</v>
      </c>
      <c r="AE1227" s="27">
        <f>_xlfn.XLOOKUP(B1227,'Projects Cashflow'!$B:$B,'Projects Cashflow'!$AG:$AG,0)</f>
        <v>4000000</v>
      </c>
      <c r="AF1227" s="28">
        <f t="shared" si="60"/>
        <v>0</v>
      </c>
    </row>
    <row r="1228" spans="2:32" x14ac:dyDescent="0.3">
      <c r="B1228" s="14" t="str">
        <f t="shared" si="58"/>
        <v>45155004511001062Sponsorship Fees-N424811200104</v>
      </c>
      <c r="C1228" s="21" t="s">
        <v>211</v>
      </c>
      <c r="D1228" s="22">
        <v>4515500</v>
      </c>
      <c r="E1228" s="21" t="s">
        <v>512</v>
      </c>
      <c r="F1228" s="22">
        <v>4511001062</v>
      </c>
      <c r="G1228" s="21" t="s">
        <v>1338</v>
      </c>
      <c r="H1228" s="21" t="s">
        <v>506</v>
      </c>
      <c r="I1228" s="22">
        <v>424811</v>
      </c>
      <c r="J1228" s="22">
        <v>200104</v>
      </c>
      <c r="K1228" s="22" t="s">
        <v>2959</v>
      </c>
      <c r="L1228" s="22">
        <v>70501</v>
      </c>
      <c r="M1228" s="23" t="s">
        <v>2960</v>
      </c>
      <c r="N1228" s="24">
        <v>0</v>
      </c>
      <c r="O1228" s="24">
        <v>0</v>
      </c>
      <c r="P1228" s="24">
        <v>0</v>
      </c>
      <c r="Q1228" s="24">
        <v>0</v>
      </c>
      <c r="R1228" s="24">
        <v>0</v>
      </c>
      <c r="S1228" s="24">
        <v>0</v>
      </c>
      <c r="T1228" s="24">
        <v>0</v>
      </c>
      <c r="U1228" s="24">
        <v>1430000</v>
      </c>
      <c r="V1228" s="24">
        <v>1072500</v>
      </c>
      <c r="W1228" s="24">
        <v>715000</v>
      </c>
      <c r="X1228" s="24">
        <v>357500</v>
      </c>
      <c r="Y1228" s="24">
        <v>0</v>
      </c>
      <c r="Z1228" s="24">
        <f t="shared" si="59"/>
        <v>3575000</v>
      </c>
      <c r="AB1228" s="25">
        <v>3575000</v>
      </c>
      <c r="AC1228" s="26">
        <v>3575000</v>
      </c>
      <c r="AD1228" s="24">
        <v>0</v>
      </c>
      <c r="AE1228" s="27">
        <f>_xlfn.XLOOKUP(B1228,'Projects Cashflow'!$B:$B,'Projects Cashflow'!$AG:$AG,0)</f>
        <v>3575000</v>
      </c>
      <c r="AF1228" s="28">
        <f t="shared" si="60"/>
        <v>0</v>
      </c>
    </row>
    <row r="1229" spans="2:32" x14ac:dyDescent="0.3">
      <c r="B1229" s="14" t="str">
        <f t="shared" si="58"/>
        <v>45150104511000826Other Expenses-N424991200104</v>
      </c>
      <c r="C1229" s="21" t="s">
        <v>211</v>
      </c>
      <c r="D1229" s="22">
        <v>4515010</v>
      </c>
      <c r="E1229" s="21" t="s">
        <v>3114</v>
      </c>
      <c r="F1229" s="22">
        <v>4511000826</v>
      </c>
      <c r="G1229" s="21" t="s">
        <v>1118</v>
      </c>
      <c r="H1229" s="21" t="s">
        <v>57</v>
      </c>
      <c r="I1229" s="22">
        <v>424991</v>
      </c>
      <c r="J1229" s="22">
        <v>200104</v>
      </c>
      <c r="K1229" s="22" t="s">
        <v>2959</v>
      </c>
      <c r="L1229" s="22">
        <v>70501</v>
      </c>
      <c r="M1229" s="23" t="s">
        <v>2960</v>
      </c>
      <c r="N1229" s="24">
        <v>0</v>
      </c>
      <c r="O1229" s="24">
        <v>0</v>
      </c>
      <c r="P1229" s="24">
        <v>0</v>
      </c>
      <c r="Q1229" s="24">
        <v>0</v>
      </c>
      <c r="R1229" s="24">
        <v>23793</v>
      </c>
      <c r="S1229" s="24">
        <v>23793</v>
      </c>
      <c r="T1229" s="24">
        <v>0</v>
      </c>
      <c r="U1229" s="24">
        <v>0</v>
      </c>
      <c r="V1229" s="24">
        <v>0</v>
      </c>
      <c r="W1229" s="24">
        <v>23793</v>
      </c>
      <c r="X1229" s="24">
        <v>47586</v>
      </c>
      <c r="Y1229" s="24">
        <v>131035</v>
      </c>
      <c r="Z1229" s="24">
        <f t="shared" si="59"/>
        <v>250000</v>
      </c>
      <c r="AB1229" s="25">
        <v>153200</v>
      </c>
      <c r="AC1229" s="26">
        <v>153200</v>
      </c>
      <c r="AD1229" s="24">
        <v>0</v>
      </c>
      <c r="AE1229" s="27">
        <f>_xlfn.XLOOKUP(B1229,'Projects Cashflow'!$B:$B,'Projects Cashflow'!$AG:$AG,0)</f>
        <v>153200</v>
      </c>
      <c r="AF1229" s="28">
        <f t="shared" si="60"/>
        <v>0</v>
      </c>
    </row>
    <row r="1230" spans="2:32" x14ac:dyDescent="0.3">
      <c r="B1230" s="14" t="str">
        <f t="shared" si="58"/>
        <v>45155004511001120Fireworks-N422401200104</v>
      </c>
      <c r="C1230" s="21" t="s">
        <v>211</v>
      </c>
      <c r="D1230" s="22">
        <v>4515500</v>
      </c>
      <c r="E1230" s="21" t="s">
        <v>512</v>
      </c>
      <c r="F1230" s="22">
        <v>4511001120</v>
      </c>
      <c r="G1230" s="21" t="s">
        <v>1365</v>
      </c>
      <c r="H1230" s="21" t="s">
        <v>1366</v>
      </c>
      <c r="I1230" s="22">
        <v>422401</v>
      </c>
      <c r="J1230" s="22">
        <v>200104</v>
      </c>
      <c r="K1230" s="22" t="s">
        <v>2959</v>
      </c>
      <c r="L1230" s="22">
        <v>70501</v>
      </c>
      <c r="M1230" s="23" t="s">
        <v>2960</v>
      </c>
      <c r="N1230" s="24">
        <v>0</v>
      </c>
      <c r="O1230" s="24">
        <v>0</v>
      </c>
      <c r="P1230" s="24">
        <v>0</v>
      </c>
      <c r="Q1230" s="24">
        <v>1850000</v>
      </c>
      <c r="R1230" s="24">
        <v>740000</v>
      </c>
      <c r="S1230" s="24">
        <v>740000</v>
      </c>
      <c r="T1230" s="24">
        <v>0</v>
      </c>
      <c r="U1230" s="24">
        <v>0</v>
      </c>
      <c r="V1230" s="24">
        <v>270000</v>
      </c>
      <c r="W1230" s="24">
        <v>0</v>
      </c>
      <c r="X1230" s="24">
        <v>3400000</v>
      </c>
      <c r="Y1230" s="24">
        <v>261500</v>
      </c>
      <c r="Z1230" s="24">
        <f t="shared" si="59"/>
        <v>7261500</v>
      </c>
      <c r="AB1230" s="25">
        <v>6274500</v>
      </c>
      <c r="AC1230" s="26">
        <v>6274500</v>
      </c>
      <c r="AD1230" s="24">
        <v>0</v>
      </c>
      <c r="AE1230" s="27">
        <f>_xlfn.XLOOKUP(B1230,'Projects Cashflow'!$B:$B,'Projects Cashflow'!$AG:$AG,0)</f>
        <v>6274500</v>
      </c>
      <c r="AF1230" s="28">
        <f t="shared" si="60"/>
        <v>0</v>
      </c>
    </row>
    <row r="1231" spans="2:32" x14ac:dyDescent="0.3">
      <c r="B1231" s="14" t="str">
        <f t="shared" si="58"/>
        <v>45150104511001067Talent Accom-N423831200104</v>
      </c>
      <c r="C1231" s="21" t="s">
        <v>211</v>
      </c>
      <c r="D1231" s="22">
        <v>4515010</v>
      </c>
      <c r="E1231" s="21" t="s">
        <v>3114</v>
      </c>
      <c r="F1231" s="22">
        <v>4511001067</v>
      </c>
      <c r="G1231" s="21" t="s">
        <v>1340</v>
      </c>
      <c r="H1231" s="21" t="s">
        <v>1341</v>
      </c>
      <c r="I1231" s="22">
        <v>423831</v>
      </c>
      <c r="J1231" s="22">
        <v>200104</v>
      </c>
      <c r="K1231" s="22" t="s">
        <v>2959</v>
      </c>
      <c r="L1231" s="22">
        <v>70501</v>
      </c>
      <c r="M1231" s="23" t="s">
        <v>2960</v>
      </c>
      <c r="N1231" s="24">
        <v>0</v>
      </c>
      <c r="O1231" s="24">
        <v>0</v>
      </c>
      <c r="P1231" s="24">
        <v>0</v>
      </c>
      <c r="Q1231" s="24">
        <v>0</v>
      </c>
      <c r="R1231" s="24">
        <v>0</v>
      </c>
      <c r="S1231" s="24">
        <v>0</v>
      </c>
      <c r="T1231" s="24">
        <v>0</v>
      </c>
      <c r="U1231" s="24">
        <v>0</v>
      </c>
      <c r="V1231" s="24">
        <v>0</v>
      </c>
      <c r="W1231" s="24">
        <v>0</v>
      </c>
      <c r="X1231" s="24">
        <v>0</v>
      </c>
      <c r="Y1231" s="24">
        <v>210740</v>
      </c>
      <c r="Z1231" s="24">
        <f t="shared" si="59"/>
        <v>210740</v>
      </c>
      <c r="AB1231" s="25">
        <v>98800</v>
      </c>
      <c r="AC1231" s="26">
        <v>98800</v>
      </c>
      <c r="AD1231" s="24">
        <v>0</v>
      </c>
      <c r="AE1231" s="27">
        <f>_xlfn.XLOOKUP(B1231,'Projects Cashflow'!$B:$B,'Projects Cashflow'!$AG:$AG,0)</f>
        <v>98800</v>
      </c>
      <c r="AF1231" s="28">
        <f t="shared" si="60"/>
        <v>0</v>
      </c>
    </row>
    <row r="1232" spans="2:32" x14ac:dyDescent="0.3">
      <c r="B1232" s="14" t="str">
        <f t="shared" si="58"/>
        <v>45155004511001161Activation&amp;Prog-N422401200104</v>
      </c>
      <c r="C1232" s="21" t="s">
        <v>211</v>
      </c>
      <c r="D1232" s="22">
        <v>4515500</v>
      </c>
      <c r="E1232" s="21" t="s">
        <v>512</v>
      </c>
      <c r="F1232" s="22">
        <v>4511001161</v>
      </c>
      <c r="G1232" s="21" t="s">
        <v>1417</v>
      </c>
      <c r="H1232" s="21" t="s">
        <v>62</v>
      </c>
      <c r="I1232" s="22">
        <v>422401</v>
      </c>
      <c r="J1232" s="22">
        <v>200104</v>
      </c>
      <c r="K1232" s="22" t="s">
        <v>2959</v>
      </c>
      <c r="L1232" s="22">
        <v>70501</v>
      </c>
      <c r="M1232" s="23" t="s">
        <v>2960</v>
      </c>
      <c r="N1232" s="24">
        <v>0</v>
      </c>
      <c r="O1232" s="24">
        <v>0</v>
      </c>
      <c r="P1232" s="24">
        <v>0</v>
      </c>
      <c r="Q1232" s="24">
        <v>0</v>
      </c>
      <c r="R1232" s="24">
        <v>0</v>
      </c>
      <c r="S1232" s="24">
        <v>0</v>
      </c>
      <c r="T1232" s="24">
        <v>4500000</v>
      </c>
      <c r="U1232" s="24">
        <v>2250000</v>
      </c>
      <c r="V1232" s="24">
        <v>0</v>
      </c>
      <c r="W1232" s="24">
        <v>0</v>
      </c>
      <c r="X1232" s="24">
        <v>2250000</v>
      </c>
      <c r="Y1232" s="24">
        <v>0</v>
      </c>
      <c r="Z1232" s="24">
        <f t="shared" si="59"/>
        <v>9000000</v>
      </c>
      <c r="AB1232" s="25">
        <v>9000000</v>
      </c>
      <c r="AC1232" s="26">
        <v>9000000</v>
      </c>
      <c r="AD1232" s="24">
        <v>0</v>
      </c>
      <c r="AE1232" s="27">
        <f>_xlfn.XLOOKUP(B1232,'Projects Cashflow'!$B:$B,'Projects Cashflow'!$AG:$AG,0)</f>
        <v>9000000</v>
      </c>
      <c r="AF1232" s="28">
        <f t="shared" si="60"/>
        <v>0</v>
      </c>
    </row>
    <row r="1233" spans="2:32" x14ac:dyDescent="0.3">
      <c r="B1233" s="14" t="str">
        <f t="shared" si="58"/>
        <v>45155004511001169Sponsorship Fees-N424811200104</v>
      </c>
      <c r="C1233" s="21" t="s">
        <v>211</v>
      </c>
      <c r="D1233" s="22">
        <v>4515500</v>
      </c>
      <c r="E1233" s="21" t="s">
        <v>512</v>
      </c>
      <c r="F1233" s="22">
        <v>4511001169</v>
      </c>
      <c r="G1233" s="21" t="s">
        <v>1419</v>
      </c>
      <c r="H1233" s="21" t="s">
        <v>506</v>
      </c>
      <c r="I1233" s="22">
        <v>424811</v>
      </c>
      <c r="J1233" s="22">
        <v>200104</v>
      </c>
      <c r="K1233" s="22" t="s">
        <v>2959</v>
      </c>
      <c r="L1233" s="22">
        <v>70501</v>
      </c>
      <c r="M1233" s="23" t="s">
        <v>2960</v>
      </c>
      <c r="N1233" s="24">
        <v>0</v>
      </c>
      <c r="O1233" s="24">
        <v>0</v>
      </c>
      <c r="P1233" s="24">
        <v>0</v>
      </c>
      <c r="Q1233" s="24">
        <v>0</v>
      </c>
      <c r="R1233" s="24">
        <v>0</v>
      </c>
      <c r="S1233" s="24">
        <v>0</v>
      </c>
      <c r="T1233" s="24">
        <v>0</v>
      </c>
      <c r="U1233" s="24">
        <v>0</v>
      </c>
      <c r="V1233" s="24">
        <v>0</v>
      </c>
      <c r="W1233" s="24">
        <v>0</v>
      </c>
      <c r="X1233" s="24">
        <v>3500000</v>
      </c>
      <c r="Y1233" s="24">
        <v>0</v>
      </c>
      <c r="Z1233" s="24">
        <f t="shared" si="59"/>
        <v>3500000</v>
      </c>
      <c r="AB1233" s="25">
        <v>3500000</v>
      </c>
      <c r="AC1233" s="26">
        <v>3500000</v>
      </c>
      <c r="AD1233" s="24">
        <v>0</v>
      </c>
      <c r="AE1233" s="27">
        <f>_xlfn.XLOOKUP(B1233,'Projects Cashflow'!$B:$B,'Projects Cashflow'!$AG:$AG,0)</f>
        <v>3500000</v>
      </c>
      <c r="AF1233" s="28">
        <f t="shared" si="60"/>
        <v>0</v>
      </c>
    </row>
    <row r="1234" spans="2:32" ht="16.2" thickBot="1" x14ac:dyDescent="0.35">
      <c r="B1234" s="14" t="str">
        <f t="shared" si="58"/>
        <v>45155004511001170Sponsorship Fees-N424811200104</v>
      </c>
      <c r="C1234" s="21" t="s">
        <v>211</v>
      </c>
      <c r="D1234" s="22">
        <v>4515500</v>
      </c>
      <c r="E1234" s="21" t="s">
        <v>512</v>
      </c>
      <c r="F1234" s="22">
        <v>4511001170</v>
      </c>
      <c r="G1234" s="21" t="s">
        <v>1421</v>
      </c>
      <c r="H1234" s="21" t="s">
        <v>506</v>
      </c>
      <c r="I1234" s="22">
        <v>424811</v>
      </c>
      <c r="J1234" s="22">
        <v>200104</v>
      </c>
      <c r="K1234" s="22" t="s">
        <v>2959</v>
      </c>
      <c r="L1234" s="22">
        <v>70501</v>
      </c>
      <c r="M1234" s="23" t="s">
        <v>2960</v>
      </c>
      <c r="N1234" s="24">
        <v>0</v>
      </c>
      <c r="O1234" s="24">
        <v>0</v>
      </c>
      <c r="P1234" s="24">
        <v>0</v>
      </c>
      <c r="Q1234" s="24">
        <v>0</v>
      </c>
      <c r="R1234" s="24">
        <v>0</v>
      </c>
      <c r="S1234" s="24">
        <v>0</v>
      </c>
      <c r="T1234" s="24">
        <v>0</v>
      </c>
      <c r="U1234" s="24">
        <v>5000000</v>
      </c>
      <c r="V1234" s="24">
        <v>0</v>
      </c>
      <c r="W1234" s="24">
        <v>0</v>
      </c>
      <c r="X1234" s="24">
        <v>0</v>
      </c>
      <c r="Y1234" s="24">
        <v>0</v>
      </c>
      <c r="Z1234" s="24">
        <f t="shared" si="59"/>
        <v>5000000</v>
      </c>
      <c r="AB1234" s="25">
        <v>5000000</v>
      </c>
      <c r="AC1234" s="26">
        <v>5000000</v>
      </c>
      <c r="AD1234" s="24">
        <v>0</v>
      </c>
      <c r="AE1234" s="27">
        <f>_xlfn.XLOOKUP(B1234,'Projects Cashflow'!$B:$B,'Projects Cashflow'!$AG:$AG,0)</f>
        <v>5000000</v>
      </c>
      <c r="AF1234" s="28">
        <f t="shared" si="60"/>
        <v>0</v>
      </c>
    </row>
    <row r="1235" spans="2:32" ht="16.8" thickTop="1" thickBot="1" x14ac:dyDescent="0.35">
      <c r="B1235" s="14" t="str">
        <f t="shared" si="58"/>
        <v>45155004511001221IP Events-L422401050723</v>
      </c>
      <c r="C1235" s="21" t="s">
        <v>211</v>
      </c>
      <c r="D1235" s="22">
        <v>4515500</v>
      </c>
      <c r="E1235" s="21" t="s">
        <v>512</v>
      </c>
      <c r="F1235" s="22">
        <v>4511001221</v>
      </c>
      <c r="G1235" s="21" t="s">
        <v>1483</v>
      </c>
      <c r="H1235" s="21" t="s">
        <v>1485</v>
      </c>
      <c r="I1235" s="22">
        <v>422401</v>
      </c>
      <c r="J1235" s="49" t="s">
        <v>2926</v>
      </c>
      <c r="K1235" s="22" t="s">
        <v>2959</v>
      </c>
      <c r="L1235" s="22">
        <v>70501</v>
      </c>
      <c r="M1235" s="23" t="s">
        <v>2960</v>
      </c>
      <c r="N1235" s="24">
        <v>0</v>
      </c>
      <c r="O1235" s="24">
        <v>0</v>
      </c>
      <c r="P1235" s="24">
        <v>0</v>
      </c>
      <c r="Q1235" s="24">
        <v>11010000</v>
      </c>
      <c r="R1235" s="24">
        <v>0</v>
      </c>
      <c r="S1235" s="24">
        <v>0</v>
      </c>
      <c r="T1235" s="24">
        <v>0</v>
      </c>
      <c r="U1235" s="24">
        <v>0</v>
      </c>
      <c r="V1235" s="24">
        <v>0</v>
      </c>
      <c r="W1235" s="24">
        <v>11010000</v>
      </c>
      <c r="X1235" s="24">
        <v>0</v>
      </c>
      <c r="Y1235" s="24">
        <v>0</v>
      </c>
      <c r="Z1235" s="24">
        <f t="shared" si="59"/>
        <v>22020000</v>
      </c>
      <c r="AB1235" s="25">
        <v>22020000</v>
      </c>
      <c r="AC1235" s="26">
        <v>22020000</v>
      </c>
      <c r="AD1235" s="24">
        <v>0</v>
      </c>
      <c r="AE1235" s="27">
        <f>_xlfn.XLOOKUP(B1235,'Projects Cashflow'!$B:$B,'Projects Cashflow'!$AG:$AG,0)</f>
        <v>22020000</v>
      </c>
      <c r="AF1235" s="28">
        <f t="shared" si="60"/>
        <v>0</v>
      </c>
    </row>
    <row r="1236" spans="2:32" ht="16.2" thickTop="1" x14ac:dyDescent="0.3">
      <c r="B1236" s="14" t="str">
        <f t="shared" si="58"/>
        <v>45155004511001221Event Management-L422401050723</v>
      </c>
      <c r="C1236" s="34" t="s">
        <v>211</v>
      </c>
      <c r="D1236" s="35">
        <v>4515500</v>
      </c>
      <c r="E1236" s="34" t="s">
        <v>512</v>
      </c>
      <c r="F1236" s="35">
        <v>4511001221</v>
      </c>
      <c r="G1236" s="34" t="s">
        <v>1483</v>
      </c>
      <c r="H1236" s="34" t="s">
        <v>1484</v>
      </c>
      <c r="I1236" s="35">
        <v>422401</v>
      </c>
      <c r="J1236" s="49" t="s">
        <v>2926</v>
      </c>
      <c r="K1236" s="35" t="s">
        <v>2959</v>
      </c>
      <c r="L1236" s="22">
        <v>70501</v>
      </c>
      <c r="M1236" s="36" t="s">
        <v>2960</v>
      </c>
      <c r="N1236" s="24">
        <v>0</v>
      </c>
      <c r="O1236" s="24">
        <v>0</v>
      </c>
      <c r="P1236" s="24">
        <v>0</v>
      </c>
      <c r="Q1236" s="40">
        <v>0</v>
      </c>
      <c r="R1236" s="24">
        <v>0</v>
      </c>
      <c r="S1236" s="24">
        <v>0</v>
      </c>
      <c r="T1236" s="24">
        <v>0</v>
      </c>
      <c r="U1236" s="24">
        <v>1818467</v>
      </c>
      <c r="V1236" s="24">
        <v>8443720</v>
      </c>
      <c r="W1236" s="24">
        <v>0</v>
      </c>
      <c r="X1236" s="24">
        <v>0</v>
      </c>
      <c r="Y1236" s="24">
        <v>0</v>
      </c>
      <c r="Z1236" s="24">
        <f t="shared" si="59"/>
        <v>10262187</v>
      </c>
      <c r="AB1236" s="37">
        <v>10262187</v>
      </c>
      <c r="AC1236" s="38">
        <v>10262189</v>
      </c>
      <c r="AD1236" s="48">
        <v>-2</v>
      </c>
      <c r="AE1236" s="27">
        <f>_xlfn.XLOOKUP(B1236,'Projects Cashflow'!$B:$B,'Projects Cashflow'!$AG:$AG,0)</f>
        <v>10262189</v>
      </c>
      <c r="AF1236" s="28">
        <f t="shared" si="60"/>
        <v>2</v>
      </c>
    </row>
    <row r="1237" spans="2:32" x14ac:dyDescent="0.3">
      <c r="B1237" s="14" t="str">
        <f t="shared" si="58"/>
        <v>45155004511001221Event Management-N1422401200104</v>
      </c>
      <c r="C1237" s="21" t="s">
        <v>211</v>
      </c>
      <c r="D1237" s="22">
        <v>4515500</v>
      </c>
      <c r="E1237" s="21" t="s">
        <v>512</v>
      </c>
      <c r="F1237" s="22">
        <v>4511001221</v>
      </c>
      <c r="G1237" s="21" t="s">
        <v>1483</v>
      </c>
      <c r="H1237" s="21" t="s">
        <v>122</v>
      </c>
      <c r="I1237" s="22">
        <v>422401</v>
      </c>
      <c r="J1237" s="22">
        <v>200104</v>
      </c>
      <c r="K1237" s="22" t="s">
        <v>2959</v>
      </c>
      <c r="L1237" s="22">
        <v>70501</v>
      </c>
      <c r="M1237" s="23" t="s">
        <v>2960</v>
      </c>
      <c r="N1237" s="24">
        <v>0</v>
      </c>
      <c r="O1237" s="24">
        <v>0</v>
      </c>
      <c r="P1237" s="24">
        <v>0</v>
      </c>
      <c r="Q1237" s="24">
        <v>0</v>
      </c>
      <c r="R1237" s="24">
        <v>0</v>
      </c>
      <c r="S1237" s="24">
        <v>0</v>
      </c>
      <c r="T1237" s="24">
        <v>0</v>
      </c>
      <c r="U1237" s="24">
        <v>1353985</v>
      </c>
      <c r="V1237" s="24">
        <v>0</v>
      </c>
      <c r="W1237" s="24">
        <v>0</v>
      </c>
      <c r="X1237" s="24">
        <v>0</v>
      </c>
      <c r="Y1237" s="24">
        <v>0</v>
      </c>
      <c r="Z1237" s="24">
        <f t="shared" si="59"/>
        <v>1353985</v>
      </c>
      <c r="AB1237" s="25">
        <v>1353985</v>
      </c>
      <c r="AC1237" s="26">
        <v>1353985</v>
      </c>
      <c r="AD1237" s="24">
        <v>0</v>
      </c>
      <c r="AE1237" s="27">
        <f>_xlfn.XLOOKUP(B1237,'Projects Cashflow'!$B:$B,'Projects Cashflow'!$AG:$AG,0)</f>
        <v>1353985</v>
      </c>
      <c r="AF1237" s="28">
        <f t="shared" si="60"/>
        <v>0</v>
      </c>
    </row>
    <row r="1238" spans="2:32" x14ac:dyDescent="0.3">
      <c r="B1238" s="14" t="str">
        <f t="shared" si="58"/>
        <v>45155004511001223Co-Invest Events-N422401200104</v>
      </c>
      <c r="C1238" s="21" t="s">
        <v>211</v>
      </c>
      <c r="D1238" s="22">
        <v>4515500</v>
      </c>
      <c r="E1238" s="21" t="s">
        <v>512</v>
      </c>
      <c r="F1238" s="22">
        <v>4511001223</v>
      </c>
      <c r="G1238" s="21" t="s">
        <v>1487</v>
      </c>
      <c r="H1238" s="21" t="s">
        <v>523</v>
      </c>
      <c r="I1238" s="22">
        <v>422401</v>
      </c>
      <c r="J1238" s="22">
        <v>200104</v>
      </c>
      <c r="K1238" s="22" t="s">
        <v>2959</v>
      </c>
      <c r="L1238" s="22">
        <v>70501</v>
      </c>
      <c r="M1238" s="23" t="s">
        <v>2960</v>
      </c>
      <c r="N1238" s="24">
        <v>0</v>
      </c>
      <c r="O1238" s="24">
        <v>0</v>
      </c>
      <c r="P1238" s="26">
        <v>7500000</v>
      </c>
      <c r="Q1238" s="24">
        <v>0</v>
      </c>
      <c r="R1238" s="24">
        <v>0</v>
      </c>
      <c r="S1238" s="24">
        <v>1500000</v>
      </c>
      <c r="T1238" s="24">
        <v>0</v>
      </c>
      <c r="U1238" s="24">
        <v>0</v>
      </c>
      <c r="V1238" s="24">
        <v>0</v>
      </c>
      <c r="W1238" s="24">
        <v>6000000</v>
      </c>
      <c r="X1238" s="24">
        <v>0</v>
      </c>
      <c r="Y1238" s="24">
        <v>0</v>
      </c>
      <c r="Z1238" s="24">
        <f t="shared" si="59"/>
        <v>15000000</v>
      </c>
      <c r="AB1238" s="25">
        <v>15000000</v>
      </c>
      <c r="AC1238" s="26">
        <v>15000000</v>
      </c>
      <c r="AD1238" s="24">
        <v>0</v>
      </c>
      <c r="AE1238" s="27">
        <f>_xlfn.XLOOKUP(B1238,'Projects Cashflow'!$B:$B,'Projects Cashflow'!$AG:$AG,0)</f>
        <v>15000000</v>
      </c>
      <c r="AF1238" s="28">
        <f t="shared" si="60"/>
        <v>0</v>
      </c>
    </row>
    <row r="1239" spans="2:32" x14ac:dyDescent="0.3">
      <c r="B1239" s="14" t="str">
        <f t="shared" si="58"/>
        <v>45150104511001134CampaignProductn-N422511200104</v>
      </c>
      <c r="C1239" s="21" t="s">
        <v>211</v>
      </c>
      <c r="D1239" s="22">
        <v>4515010</v>
      </c>
      <c r="E1239" s="21" t="s">
        <v>3114</v>
      </c>
      <c r="F1239" s="22">
        <v>4511001134</v>
      </c>
      <c r="G1239" s="21" t="s">
        <v>3115</v>
      </c>
      <c r="H1239" s="21" t="s">
        <v>1137</v>
      </c>
      <c r="I1239" s="22">
        <v>422511</v>
      </c>
      <c r="J1239" s="22">
        <v>200104</v>
      </c>
      <c r="K1239" s="22" t="s">
        <v>2959</v>
      </c>
      <c r="L1239" s="22">
        <v>70501</v>
      </c>
      <c r="M1239" s="23" t="s">
        <v>2969</v>
      </c>
      <c r="N1239" s="24">
        <v>0</v>
      </c>
      <c r="O1239" s="24">
        <v>0</v>
      </c>
      <c r="P1239" s="24">
        <v>0</v>
      </c>
      <c r="Q1239" s="24">
        <v>0</v>
      </c>
      <c r="R1239" s="24">
        <v>0</v>
      </c>
      <c r="S1239" s="24">
        <v>0</v>
      </c>
      <c r="T1239" s="24">
        <v>612500</v>
      </c>
      <c r="U1239" s="24">
        <v>567500</v>
      </c>
      <c r="V1239" s="24">
        <v>662500</v>
      </c>
      <c r="W1239" s="24">
        <v>612500</v>
      </c>
      <c r="X1239" s="24">
        <v>813333</v>
      </c>
      <c r="Y1239" s="24">
        <v>1631667</v>
      </c>
      <c r="Z1239" s="24">
        <f t="shared" si="59"/>
        <v>4900000</v>
      </c>
      <c r="AB1239" s="25">
        <v>1998600</v>
      </c>
      <c r="AC1239" s="26">
        <v>1998600</v>
      </c>
      <c r="AD1239" s="24">
        <v>0</v>
      </c>
      <c r="AE1239" s="27">
        <f>_xlfn.XLOOKUP(B1239,'Projects Cashflow'!$B:$B,'Projects Cashflow'!$AG:$AG,0)</f>
        <v>1998600</v>
      </c>
      <c r="AF1239" s="28">
        <f t="shared" si="60"/>
        <v>0</v>
      </c>
    </row>
    <row r="1240" spans="2:32" x14ac:dyDescent="0.3">
      <c r="B1240" s="14" t="str">
        <f t="shared" si="58"/>
        <v>45155004511001239Co-Invest Events-N422401200104</v>
      </c>
      <c r="C1240" s="21" t="s">
        <v>211</v>
      </c>
      <c r="D1240" s="22">
        <v>4515500</v>
      </c>
      <c r="E1240" s="21" t="s">
        <v>512</v>
      </c>
      <c r="F1240" s="22">
        <v>4511001239</v>
      </c>
      <c r="G1240" s="21" t="s">
        <v>1497</v>
      </c>
      <c r="H1240" s="21" t="s">
        <v>523</v>
      </c>
      <c r="I1240" s="22">
        <v>422401</v>
      </c>
      <c r="J1240" s="22">
        <v>200104</v>
      </c>
      <c r="K1240" s="22" t="s">
        <v>2959</v>
      </c>
      <c r="L1240" s="22">
        <v>70501</v>
      </c>
      <c r="M1240" s="23" t="s">
        <v>2960</v>
      </c>
      <c r="N1240" s="24">
        <v>0</v>
      </c>
      <c r="O1240" s="24">
        <v>0</v>
      </c>
      <c r="P1240" s="24">
        <v>0</v>
      </c>
      <c r="Q1240" s="24">
        <v>0</v>
      </c>
      <c r="R1240" s="24">
        <v>0</v>
      </c>
      <c r="S1240" s="24">
        <v>0</v>
      </c>
      <c r="T1240" s="24">
        <v>9180000</v>
      </c>
      <c r="U1240" s="24">
        <v>0</v>
      </c>
      <c r="V1240" s="24">
        <v>0</v>
      </c>
      <c r="W1240" s="24">
        <v>0</v>
      </c>
      <c r="X1240" s="24">
        <v>0</v>
      </c>
      <c r="Y1240" s="24">
        <v>0</v>
      </c>
      <c r="Z1240" s="24">
        <f t="shared" si="59"/>
        <v>9180000</v>
      </c>
      <c r="AB1240" s="25">
        <v>9180000</v>
      </c>
      <c r="AC1240" s="26">
        <v>9180000</v>
      </c>
      <c r="AD1240" s="24">
        <v>0</v>
      </c>
      <c r="AE1240" s="27">
        <f>_xlfn.XLOOKUP(B1240,'Projects Cashflow'!$B:$B,'Projects Cashflow'!$AG:$AG,0)</f>
        <v>9180000</v>
      </c>
      <c r="AF1240" s="28">
        <f t="shared" si="60"/>
        <v>0</v>
      </c>
    </row>
    <row r="1241" spans="2:32" x14ac:dyDescent="0.3">
      <c r="B1241" s="14" t="str">
        <f t="shared" si="58"/>
        <v>45155004511001245Event Management-N422401200104</v>
      </c>
      <c r="C1241" s="34" t="s">
        <v>211</v>
      </c>
      <c r="D1241" s="35">
        <v>4515500</v>
      </c>
      <c r="E1241" s="34" t="s">
        <v>512</v>
      </c>
      <c r="F1241" s="35">
        <v>4511001245</v>
      </c>
      <c r="G1241" s="34" t="s">
        <v>3127</v>
      </c>
      <c r="H1241" s="34" t="s">
        <v>162</v>
      </c>
      <c r="I1241" s="35">
        <v>422401</v>
      </c>
      <c r="J1241" s="35">
        <v>200104</v>
      </c>
      <c r="K1241" s="35" t="s">
        <v>2959</v>
      </c>
      <c r="L1241" s="22">
        <v>70501</v>
      </c>
      <c r="M1241" s="36" t="s">
        <v>2960</v>
      </c>
      <c r="N1241" s="24">
        <v>0</v>
      </c>
      <c r="O1241" s="24">
        <v>0</v>
      </c>
      <c r="P1241" s="24">
        <v>0</v>
      </c>
      <c r="Q1241" s="24">
        <v>0</v>
      </c>
      <c r="R1241" s="24">
        <v>1800000</v>
      </c>
      <c r="S1241" s="24">
        <v>0</v>
      </c>
      <c r="T1241" s="24">
        <v>0</v>
      </c>
      <c r="U1241" s="24">
        <v>1200000</v>
      </c>
      <c r="V1241" s="24">
        <v>0</v>
      </c>
      <c r="W1241" s="24">
        <v>0</v>
      </c>
      <c r="X1241" s="24">
        <v>0</v>
      </c>
      <c r="Y1241" s="24">
        <v>0</v>
      </c>
      <c r="Z1241" s="24">
        <f t="shared" si="59"/>
        <v>3000000</v>
      </c>
      <c r="AB1241" s="37">
        <v>0</v>
      </c>
      <c r="AC1241" s="38">
        <v>0</v>
      </c>
      <c r="AD1241" s="48">
        <v>0</v>
      </c>
      <c r="AE1241" s="27">
        <f>_xlfn.XLOOKUP(B1241,'Projects Cashflow'!$B:$B,'Projects Cashflow'!$AG:$AG,0)</f>
        <v>0</v>
      </c>
      <c r="AF1241" s="28">
        <f t="shared" si="60"/>
        <v>0</v>
      </c>
    </row>
    <row r="1242" spans="2:32" x14ac:dyDescent="0.3">
      <c r="B1242" s="14" t="str">
        <f t="shared" si="58"/>
        <v>45155004511001246Co-Invest Events-N422401200104</v>
      </c>
      <c r="C1242" s="21" t="s">
        <v>211</v>
      </c>
      <c r="D1242" s="22">
        <v>4515500</v>
      </c>
      <c r="E1242" s="21" t="s">
        <v>512</v>
      </c>
      <c r="F1242" s="22">
        <v>4511001246</v>
      </c>
      <c r="G1242" s="21" t="s">
        <v>1499</v>
      </c>
      <c r="H1242" s="21" t="s">
        <v>523</v>
      </c>
      <c r="I1242" s="22">
        <v>422401</v>
      </c>
      <c r="J1242" s="22">
        <v>200104</v>
      </c>
      <c r="K1242" s="22" t="s">
        <v>2959</v>
      </c>
      <c r="L1242" s="22">
        <v>70501</v>
      </c>
      <c r="M1242" s="23" t="s">
        <v>2960</v>
      </c>
      <c r="N1242" s="24">
        <v>0</v>
      </c>
      <c r="O1242" s="24">
        <v>0</v>
      </c>
      <c r="P1242" s="24">
        <v>0</v>
      </c>
      <c r="Q1242" s="24">
        <v>0</v>
      </c>
      <c r="R1242" s="24">
        <v>0</v>
      </c>
      <c r="S1242" s="24">
        <v>4220963</v>
      </c>
      <c r="T1242" s="24">
        <v>0</v>
      </c>
      <c r="U1242" s="24">
        <v>0</v>
      </c>
      <c r="V1242" s="24">
        <v>0</v>
      </c>
      <c r="W1242" s="24">
        <v>0</v>
      </c>
      <c r="X1242" s="24">
        <v>12000000</v>
      </c>
      <c r="Y1242" s="24">
        <v>0</v>
      </c>
      <c r="Z1242" s="24">
        <f t="shared" si="59"/>
        <v>16220963</v>
      </c>
      <c r="AB1242" s="25">
        <v>16220963</v>
      </c>
      <c r="AC1242" s="26">
        <v>16220963</v>
      </c>
      <c r="AD1242" s="24">
        <v>0</v>
      </c>
      <c r="AE1242" s="27">
        <f>_xlfn.XLOOKUP(B1242,'Projects Cashflow'!$B:$B,'Projects Cashflow'!$AG:$AG,0)</f>
        <v>16220963</v>
      </c>
      <c r="AF1242" s="28">
        <f t="shared" si="60"/>
        <v>0</v>
      </c>
    </row>
    <row r="1243" spans="2:32" x14ac:dyDescent="0.3">
      <c r="B1243" s="14" t="str">
        <f t="shared" si="58"/>
        <v>45155004511001248Activation&amp;Prog-N422401200104</v>
      </c>
      <c r="C1243" s="21" t="s">
        <v>211</v>
      </c>
      <c r="D1243" s="22">
        <v>4515500</v>
      </c>
      <c r="E1243" s="21" t="s">
        <v>512</v>
      </c>
      <c r="F1243" s="22">
        <v>4511001248</v>
      </c>
      <c r="G1243" s="21" t="s">
        <v>1501</v>
      </c>
      <c r="H1243" s="21" t="s">
        <v>62</v>
      </c>
      <c r="I1243" s="22">
        <v>422401</v>
      </c>
      <c r="J1243" s="22">
        <v>200104</v>
      </c>
      <c r="K1243" s="22" t="s">
        <v>2959</v>
      </c>
      <c r="L1243" s="22">
        <v>70501</v>
      </c>
      <c r="M1243" s="23" t="s">
        <v>2960</v>
      </c>
      <c r="N1243" s="24">
        <v>0</v>
      </c>
      <c r="O1243" s="24">
        <v>0</v>
      </c>
      <c r="P1243" s="24">
        <v>0</v>
      </c>
      <c r="Q1243" s="24">
        <v>0</v>
      </c>
      <c r="R1243" s="24">
        <v>0</v>
      </c>
      <c r="S1243" s="24">
        <v>0</v>
      </c>
      <c r="T1243" s="24">
        <v>0</v>
      </c>
      <c r="U1243" s="24">
        <v>0</v>
      </c>
      <c r="V1243" s="24">
        <v>0</v>
      </c>
      <c r="W1243" s="24">
        <v>0</v>
      </c>
      <c r="X1243" s="24">
        <v>3500000</v>
      </c>
      <c r="Y1243" s="24">
        <v>0</v>
      </c>
      <c r="Z1243" s="24">
        <f t="shared" si="59"/>
        <v>3500000</v>
      </c>
      <c r="AB1243" s="25">
        <v>3500000</v>
      </c>
      <c r="AC1243" s="26">
        <v>3500000</v>
      </c>
      <c r="AD1243" s="24">
        <v>0</v>
      </c>
      <c r="AE1243" s="27">
        <f>_xlfn.XLOOKUP(B1243,'Projects Cashflow'!$B:$B,'Projects Cashflow'!$AG:$AG,0)</f>
        <v>3500000</v>
      </c>
      <c r="AF1243" s="28">
        <f t="shared" si="60"/>
        <v>0</v>
      </c>
    </row>
    <row r="1244" spans="2:32" x14ac:dyDescent="0.3">
      <c r="B1244" s="14" t="str">
        <f t="shared" si="58"/>
        <v>45155004511001252Sponsorship Fees-N424811200104</v>
      </c>
      <c r="C1244" s="21" t="s">
        <v>211</v>
      </c>
      <c r="D1244" s="22">
        <v>4515500</v>
      </c>
      <c r="E1244" s="21" t="s">
        <v>512</v>
      </c>
      <c r="F1244" s="22">
        <v>4511001252</v>
      </c>
      <c r="G1244" s="21" t="s">
        <v>1506</v>
      </c>
      <c r="H1244" s="21" t="s">
        <v>506</v>
      </c>
      <c r="I1244" s="22">
        <v>424811</v>
      </c>
      <c r="J1244" s="22">
        <v>200104</v>
      </c>
      <c r="K1244" s="22" t="s">
        <v>2959</v>
      </c>
      <c r="L1244" s="22">
        <v>70501</v>
      </c>
      <c r="M1244" s="23" t="s">
        <v>2960</v>
      </c>
      <c r="N1244" s="24">
        <v>0</v>
      </c>
      <c r="O1244" s="24">
        <v>0</v>
      </c>
      <c r="P1244" s="24">
        <v>0</v>
      </c>
      <c r="Q1244" s="24">
        <v>1992005.1</v>
      </c>
      <c r="R1244" s="24">
        <v>0</v>
      </c>
      <c r="S1244" s="24">
        <v>0</v>
      </c>
      <c r="T1244" s="24">
        <v>0</v>
      </c>
      <c r="U1244" s="24">
        <v>0</v>
      </c>
      <c r="V1244" s="24">
        <v>0</v>
      </c>
      <c r="W1244" s="24">
        <v>0</v>
      </c>
      <c r="X1244" s="24">
        <v>221333.90000000002</v>
      </c>
      <c r="Y1244" s="24">
        <v>0</v>
      </c>
      <c r="Z1244" s="24">
        <f t="shared" si="59"/>
        <v>2213339</v>
      </c>
      <c r="AB1244" s="25">
        <v>2792364</v>
      </c>
      <c r="AC1244" s="26">
        <v>2792364</v>
      </c>
      <c r="AD1244" s="24">
        <v>0</v>
      </c>
      <c r="AE1244" s="27">
        <f>_xlfn.XLOOKUP(B1244,'Projects Cashflow'!$B:$B,'Projects Cashflow'!$AG:$AG,0)</f>
        <v>2792364</v>
      </c>
      <c r="AF1244" s="28">
        <f t="shared" si="60"/>
        <v>0</v>
      </c>
    </row>
    <row r="1245" spans="2:32" x14ac:dyDescent="0.3">
      <c r="B1245" s="14" t="str">
        <f t="shared" si="58"/>
        <v>45155004511001260General Retainer-N2421125200104</v>
      </c>
      <c r="C1245" s="21" t="s">
        <v>211</v>
      </c>
      <c r="D1245" s="22">
        <v>4515500</v>
      </c>
      <c r="E1245" s="21" t="s">
        <v>512</v>
      </c>
      <c r="F1245" s="22">
        <v>4511001260</v>
      </c>
      <c r="G1245" s="21" t="s">
        <v>1508</v>
      </c>
      <c r="H1245" s="21" t="s">
        <v>1509</v>
      </c>
      <c r="I1245" s="22">
        <v>421125</v>
      </c>
      <c r="J1245" s="22">
        <v>200104</v>
      </c>
      <c r="K1245" s="22" t="s">
        <v>2959</v>
      </c>
      <c r="L1245" s="22">
        <v>70501</v>
      </c>
      <c r="M1245" s="23" t="s">
        <v>2960</v>
      </c>
      <c r="N1245" s="24">
        <v>0</v>
      </c>
      <c r="O1245" s="24">
        <v>0</v>
      </c>
      <c r="P1245" s="24">
        <v>0</v>
      </c>
      <c r="Q1245" s="24">
        <v>1320000</v>
      </c>
      <c r="R1245" s="24">
        <v>330000</v>
      </c>
      <c r="S1245" s="24">
        <v>330000</v>
      </c>
      <c r="T1245" s="24">
        <v>330000</v>
      </c>
      <c r="U1245" s="24">
        <v>330000</v>
      </c>
      <c r="V1245" s="24">
        <v>330000</v>
      </c>
      <c r="W1245" s="24">
        <v>330000</v>
      </c>
      <c r="X1245" s="24">
        <v>330000</v>
      </c>
      <c r="Y1245" s="24">
        <v>1465000</v>
      </c>
      <c r="Z1245" s="24">
        <f t="shared" si="59"/>
        <v>5095000</v>
      </c>
      <c r="AB1245" s="25">
        <v>5095000</v>
      </c>
      <c r="AC1245" s="26">
        <v>5095000</v>
      </c>
      <c r="AD1245" s="24">
        <v>0</v>
      </c>
      <c r="AE1245" s="27">
        <f>_xlfn.XLOOKUP(B1245,'Projects Cashflow'!$B:$B,'Projects Cashflow'!$AG:$AG,0)</f>
        <v>5095000</v>
      </c>
      <c r="AF1245" s="28">
        <f t="shared" si="60"/>
        <v>0</v>
      </c>
    </row>
    <row r="1246" spans="2:32" x14ac:dyDescent="0.3">
      <c r="B1246" s="14" t="str">
        <f t="shared" si="58"/>
        <v>45155004511001260Licenses Fees-N2424131200104</v>
      </c>
      <c r="C1246" s="21" t="s">
        <v>211</v>
      </c>
      <c r="D1246" s="22">
        <v>4515500</v>
      </c>
      <c r="E1246" s="21" t="s">
        <v>512</v>
      </c>
      <c r="F1246" s="22">
        <v>4511001260</v>
      </c>
      <c r="G1246" s="21" t="s">
        <v>1508</v>
      </c>
      <c r="H1246" s="21" t="s">
        <v>865</v>
      </c>
      <c r="I1246" s="22">
        <v>424131</v>
      </c>
      <c r="J1246" s="22">
        <v>200104</v>
      </c>
      <c r="K1246" s="22" t="s">
        <v>2959</v>
      </c>
      <c r="L1246" s="22">
        <v>70501</v>
      </c>
      <c r="M1246" s="23" t="s">
        <v>2960</v>
      </c>
      <c r="N1246" s="24">
        <v>0</v>
      </c>
      <c r="O1246" s="24">
        <v>0</v>
      </c>
      <c r="P1246" s="24">
        <v>0</v>
      </c>
      <c r="Q1246" s="24">
        <v>0</v>
      </c>
      <c r="R1246" s="24">
        <v>0</v>
      </c>
      <c r="S1246" s="24">
        <v>0</v>
      </c>
      <c r="T1246" s="24">
        <v>0</v>
      </c>
      <c r="U1246" s="24">
        <v>0</v>
      </c>
      <c r="V1246" s="24">
        <v>0</v>
      </c>
      <c r="W1246" s="24">
        <v>0</v>
      </c>
      <c r="X1246" s="24">
        <v>350500</v>
      </c>
      <c r="Y1246" s="24">
        <v>0</v>
      </c>
      <c r="Z1246" s="24">
        <f t="shared" si="59"/>
        <v>350500</v>
      </c>
      <c r="AB1246" s="25">
        <v>350500</v>
      </c>
      <c r="AC1246" s="26">
        <v>350500</v>
      </c>
      <c r="AD1246" s="24">
        <v>0</v>
      </c>
      <c r="AE1246" s="27">
        <f>_xlfn.XLOOKUP(B1246,'Projects Cashflow'!$B:$B,'Projects Cashflow'!$AG:$AG,0)</f>
        <v>350500</v>
      </c>
      <c r="AF1246" s="28">
        <f t="shared" si="60"/>
        <v>0</v>
      </c>
    </row>
    <row r="1247" spans="2:32" x14ac:dyDescent="0.3">
      <c r="B1247" s="14" t="str">
        <f t="shared" si="58"/>
        <v>45155004511001260Mission &amp; Travel-N1423821200104</v>
      </c>
      <c r="C1247" s="21" t="s">
        <v>211</v>
      </c>
      <c r="D1247" s="22">
        <v>4515500</v>
      </c>
      <c r="E1247" s="21" t="s">
        <v>512</v>
      </c>
      <c r="F1247" s="22">
        <v>4511001260</v>
      </c>
      <c r="G1247" s="21" t="s">
        <v>1508</v>
      </c>
      <c r="H1247" s="21" t="s">
        <v>472</v>
      </c>
      <c r="I1247" s="22">
        <v>423821</v>
      </c>
      <c r="J1247" s="22">
        <v>200104</v>
      </c>
      <c r="K1247" s="22" t="s">
        <v>2959</v>
      </c>
      <c r="L1247" s="22">
        <v>70501</v>
      </c>
      <c r="M1247" s="23" t="s">
        <v>2960</v>
      </c>
      <c r="N1247" s="24">
        <v>0</v>
      </c>
      <c r="O1247" s="24">
        <v>0</v>
      </c>
      <c r="P1247" s="24">
        <v>0</v>
      </c>
      <c r="Q1247" s="24">
        <v>0</v>
      </c>
      <c r="R1247" s="24">
        <v>0</v>
      </c>
      <c r="S1247" s="24">
        <v>0</v>
      </c>
      <c r="T1247" s="24">
        <v>0</v>
      </c>
      <c r="U1247" s="24">
        <v>0</v>
      </c>
      <c r="V1247" s="24">
        <v>20000</v>
      </c>
      <c r="W1247" s="24">
        <v>0</v>
      </c>
      <c r="X1247" s="24">
        <v>31800</v>
      </c>
      <c r="Y1247" s="24">
        <v>20000</v>
      </c>
      <c r="Z1247" s="24">
        <f t="shared" si="59"/>
        <v>71800</v>
      </c>
      <c r="AB1247" s="25">
        <v>71800</v>
      </c>
      <c r="AC1247" s="26">
        <v>71800</v>
      </c>
      <c r="AD1247" s="24">
        <v>0</v>
      </c>
      <c r="AE1247" s="27">
        <f>_xlfn.XLOOKUP(B1247,'Projects Cashflow'!$B:$B,'Projects Cashflow'!$AG:$AG,0)</f>
        <v>71800</v>
      </c>
      <c r="AF1247" s="28">
        <f t="shared" si="60"/>
        <v>0</v>
      </c>
    </row>
    <row r="1248" spans="2:32" x14ac:dyDescent="0.3">
      <c r="B1248" s="14" t="str">
        <f t="shared" si="58"/>
        <v>45155004511001317Sponsorship Fees-N424811200104</v>
      </c>
      <c r="C1248" s="34" t="s">
        <v>211</v>
      </c>
      <c r="D1248" s="35">
        <v>4515500</v>
      </c>
      <c r="E1248" s="34" t="s">
        <v>512</v>
      </c>
      <c r="F1248" s="35">
        <v>4511001317</v>
      </c>
      <c r="G1248" s="34" t="s">
        <v>1557</v>
      </c>
      <c r="H1248" s="34" t="s">
        <v>506</v>
      </c>
      <c r="I1248" s="35">
        <v>424811</v>
      </c>
      <c r="J1248" s="35">
        <v>200104</v>
      </c>
      <c r="K1248" s="35" t="s">
        <v>2959</v>
      </c>
      <c r="L1248" s="22">
        <v>70501</v>
      </c>
      <c r="M1248" s="36" t="s">
        <v>2960</v>
      </c>
      <c r="N1248" s="24">
        <v>0</v>
      </c>
      <c r="O1248" s="24">
        <v>0</v>
      </c>
      <c r="P1248" s="24">
        <v>0</v>
      </c>
      <c r="Q1248" s="24">
        <v>300000</v>
      </c>
      <c r="R1248" s="24">
        <v>350000</v>
      </c>
      <c r="S1248" s="24">
        <v>448750</v>
      </c>
      <c r="T1248" s="24">
        <v>0</v>
      </c>
      <c r="U1248" s="24">
        <v>0</v>
      </c>
      <c r="V1248" s="24">
        <v>0</v>
      </c>
      <c r="W1248" s="24">
        <v>0</v>
      </c>
      <c r="X1248" s="24">
        <v>0</v>
      </c>
      <c r="Y1248" s="24">
        <v>0</v>
      </c>
      <c r="Z1248" s="24">
        <f t="shared" si="59"/>
        <v>1098750</v>
      </c>
      <c r="AB1248" s="37">
        <v>2665486</v>
      </c>
      <c r="AC1248" s="38">
        <v>2665485</v>
      </c>
      <c r="AD1248" s="48">
        <v>1</v>
      </c>
      <c r="AE1248" s="27">
        <f>_xlfn.XLOOKUP(B1248,'Projects Cashflow'!$B:$B,'Projects Cashflow'!$AG:$AG,0)</f>
        <v>2665485</v>
      </c>
      <c r="AF1248" s="28">
        <f t="shared" si="60"/>
        <v>-1</v>
      </c>
    </row>
    <row r="1249" spans="2:32" x14ac:dyDescent="0.3">
      <c r="B1249" s="14" t="str">
        <f t="shared" si="58"/>
        <v>45112504511000708Waste Mgmnt-N424591200104</v>
      </c>
      <c r="C1249" s="21" t="s">
        <v>65</v>
      </c>
      <c r="D1249" s="22">
        <v>4511250</v>
      </c>
      <c r="E1249" s="21" t="s">
        <v>66</v>
      </c>
      <c r="F1249" s="22">
        <v>4511000708</v>
      </c>
      <c r="G1249" s="21" t="s">
        <v>3016</v>
      </c>
      <c r="H1249" s="21" t="s">
        <v>382</v>
      </c>
      <c r="I1249" s="22">
        <v>424591</v>
      </c>
      <c r="J1249" s="22">
        <v>200104</v>
      </c>
      <c r="K1249" s="22" t="s">
        <v>2959</v>
      </c>
      <c r="L1249" s="22">
        <v>70205</v>
      </c>
      <c r="M1249" s="23" t="s">
        <v>2961</v>
      </c>
      <c r="N1249" s="24">
        <v>0</v>
      </c>
      <c r="O1249" s="24">
        <v>0</v>
      </c>
      <c r="P1249" s="24">
        <v>0</v>
      </c>
      <c r="Q1249" s="24">
        <v>2561</v>
      </c>
      <c r="R1249" s="24">
        <v>0</v>
      </c>
      <c r="S1249" s="24">
        <v>0</v>
      </c>
      <c r="T1249" s="24">
        <v>2561</v>
      </c>
      <c r="U1249" s="24">
        <v>0</v>
      </c>
      <c r="V1249" s="24">
        <v>0</v>
      </c>
      <c r="W1249" s="24">
        <v>0</v>
      </c>
      <c r="X1249" s="24">
        <v>2562</v>
      </c>
      <c r="Y1249" s="24">
        <v>0</v>
      </c>
      <c r="Z1249" s="24">
        <f t="shared" si="59"/>
        <v>7684</v>
      </c>
      <c r="AB1249" s="25">
        <v>7684</v>
      </c>
      <c r="AC1249" s="26">
        <v>7684.2</v>
      </c>
      <c r="AD1249" s="24">
        <v>-0.1999999999998181</v>
      </c>
      <c r="AE1249" s="27">
        <f>_xlfn.XLOOKUP(B1249,'Projects Cashflow'!$B:$B,'Projects Cashflow'!$AG:$AG,0)</f>
        <v>7684.2</v>
      </c>
      <c r="AF1249" s="28">
        <f t="shared" si="60"/>
        <v>0.1999999999998181</v>
      </c>
    </row>
    <row r="1250" spans="2:32" x14ac:dyDescent="0.3">
      <c r="B1250" s="14" t="str">
        <f t="shared" si="58"/>
        <v>45155004511001328Co-Invest Events-N422401200104</v>
      </c>
      <c r="C1250" s="34" t="s">
        <v>211</v>
      </c>
      <c r="D1250" s="35">
        <v>4515500</v>
      </c>
      <c r="E1250" s="34" t="s">
        <v>512</v>
      </c>
      <c r="F1250" s="35">
        <v>4511001328</v>
      </c>
      <c r="G1250" s="34" t="s">
        <v>1569</v>
      </c>
      <c r="H1250" s="34" t="s">
        <v>523</v>
      </c>
      <c r="I1250" s="35">
        <v>422401</v>
      </c>
      <c r="J1250" s="35">
        <v>200104</v>
      </c>
      <c r="K1250" s="35" t="s">
        <v>2959</v>
      </c>
      <c r="L1250" s="22">
        <v>70501</v>
      </c>
      <c r="M1250" s="36" t="s">
        <v>2969</v>
      </c>
      <c r="N1250" s="24">
        <v>0</v>
      </c>
      <c r="O1250" s="24">
        <v>0</v>
      </c>
      <c r="P1250" s="24">
        <v>0</v>
      </c>
      <c r="Q1250" s="24">
        <v>6000000</v>
      </c>
      <c r="R1250" s="24">
        <v>0</v>
      </c>
      <c r="S1250" s="24">
        <v>0</v>
      </c>
      <c r="T1250" s="24">
        <v>0</v>
      </c>
      <c r="U1250" s="24">
        <v>21000000</v>
      </c>
      <c r="V1250" s="24">
        <v>0</v>
      </c>
      <c r="W1250" s="24">
        <v>15750000</v>
      </c>
      <c r="X1250" s="24">
        <v>0</v>
      </c>
      <c r="Y1250" s="24">
        <v>5625000</v>
      </c>
      <c r="Z1250" s="24">
        <f t="shared" si="59"/>
        <v>48375000</v>
      </c>
      <c r="AB1250" s="37">
        <v>43384000</v>
      </c>
      <c r="AC1250" s="38">
        <v>43384000</v>
      </c>
      <c r="AD1250" s="48">
        <v>0</v>
      </c>
      <c r="AE1250" s="27">
        <f>_xlfn.XLOOKUP(B1250,'Projects Cashflow'!$B:$B,'Projects Cashflow'!$AG:$AG,0)</f>
        <v>43384000</v>
      </c>
      <c r="AF1250" s="28">
        <f t="shared" si="60"/>
        <v>0</v>
      </c>
    </row>
    <row r="1251" spans="2:32" x14ac:dyDescent="0.3">
      <c r="B1251" s="14" t="str">
        <f t="shared" si="58"/>
        <v>45155004511001328Facilities Rent-N425112200104</v>
      </c>
      <c r="C1251" s="34" t="s">
        <v>211</v>
      </c>
      <c r="D1251" s="35">
        <v>4515500</v>
      </c>
      <c r="E1251" s="34" t="s">
        <v>512</v>
      </c>
      <c r="F1251" s="35">
        <v>4511001328</v>
      </c>
      <c r="G1251" s="34" t="s">
        <v>1569</v>
      </c>
      <c r="H1251" s="34" t="s">
        <v>532</v>
      </c>
      <c r="I1251" s="35">
        <v>425112</v>
      </c>
      <c r="J1251" s="35">
        <v>200104</v>
      </c>
      <c r="K1251" s="35" t="s">
        <v>2959</v>
      </c>
      <c r="L1251" s="22">
        <v>70501</v>
      </c>
      <c r="M1251" s="36" t="s">
        <v>2969</v>
      </c>
      <c r="N1251" s="24">
        <v>0</v>
      </c>
      <c r="O1251" s="24">
        <v>0</v>
      </c>
      <c r="P1251" s="24">
        <v>0</v>
      </c>
      <c r="Q1251" s="24">
        <v>266075.05194805196</v>
      </c>
      <c r="R1251" s="24">
        <v>88691.683982683986</v>
      </c>
      <c r="S1251" s="24">
        <v>88691.683982683986</v>
      </c>
      <c r="T1251" s="24">
        <v>88691.683982683986</v>
      </c>
      <c r="U1251" s="24">
        <v>88691.683982683986</v>
      </c>
      <c r="V1251" s="24">
        <v>88691.683982683986</v>
      </c>
      <c r="W1251" s="24">
        <v>88691.683982683986</v>
      </c>
      <c r="X1251" s="24">
        <v>88691.683982683986</v>
      </c>
      <c r="Y1251" s="24">
        <v>88691.683982683986</v>
      </c>
      <c r="Z1251" s="24">
        <f t="shared" si="59"/>
        <v>975608.52380952402</v>
      </c>
      <c r="AB1251" s="37">
        <v>975608.52380952402</v>
      </c>
      <c r="AC1251" s="38">
        <v>975609</v>
      </c>
      <c r="AD1251" s="48">
        <v>-0.47619047597981989</v>
      </c>
      <c r="AE1251" s="27">
        <f>_xlfn.XLOOKUP(B1251,'Projects Cashflow'!$B:$B,'Projects Cashflow'!$AG:$AG,0)</f>
        <v>975609</v>
      </c>
      <c r="AF1251" s="28">
        <f t="shared" si="60"/>
        <v>0.47619047597981989</v>
      </c>
    </row>
    <row r="1252" spans="2:32" x14ac:dyDescent="0.3">
      <c r="B1252" s="14" t="str">
        <f t="shared" si="58"/>
        <v>45155004511001329Co-Invest Events-N422401200104</v>
      </c>
      <c r="C1252" s="21" t="s">
        <v>211</v>
      </c>
      <c r="D1252" s="22">
        <v>4515500</v>
      </c>
      <c r="E1252" s="21" t="s">
        <v>512</v>
      </c>
      <c r="F1252" s="22">
        <v>4511001329</v>
      </c>
      <c r="G1252" s="21" t="s">
        <v>1572</v>
      </c>
      <c r="H1252" s="21" t="s">
        <v>523</v>
      </c>
      <c r="I1252" s="22">
        <v>422401</v>
      </c>
      <c r="J1252" s="22">
        <v>200104</v>
      </c>
      <c r="K1252" s="22" t="s">
        <v>2959</v>
      </c>
      <c r="L1252" s="22">
        <v>70501</v>
      </c>
      <c r="M1252" s="23" t="s">
        <v>2969</v>
      </c>
      <c r="N1252" s="24">
        <v>0</v>
      </c>
      <c r="O1252" s="24">
        <v>0</v>
      </c>
      <c r="P1252" s="24">
        <v>0</v>
      </c>
      <c r="Q1252" s="24">
        <v>0</v>
      </c>
      <c r="R1252" s="24">
        <v>0</v>
      </c>
      <c r="S1252" s="24">
        <v>0</v>
      </c>
      <c r="T1252" s="24">
        <v>0</v>
      </c>
      <c r="U1252" s="24">
        <v>0</v>
      </c>
      <c r="V1252" s="24">
        <v>0</v>
      </c>
      <c r="W1252" s="24">
        <v>0</v>
      </c>
      <c r="X1252" s="24">
        <v>0</v>
      </c>
      <c r="Y1252" s="24">
        <v>1024000</v>
      </c>
      <c r="Z1252" s="24">
        <f t="shared" si="59"/>
        <v>1024000</v>
      </c>
      <c r="AB1252" s="25">
        <v>1024000</v>
      </c>
      <c r="AC1252" s="26">
        <v>1024000</v>
      </c>
      <c r="AD1252" s="24">
        <v>0</v>
      </c>
      <c r="AE1252" s="27">
        <f>_xlfn.XLOOKUP(B1252,'Projects Cashflow'!$B:$B,'Projects Cashflow'!$AG:$AG,0)</f>
        <v>1024000</v>
      </c>
      <c r="AF1252" s="28">
        <f t="shared" si="60"/>
        <v>0</v>
      </c>
    </row>
    <row r="1253" spans="2:32" x14ac:dyDescent="0.3">
      <c r="B1253" s="14" t="str">
        <f t="shared" si="58"/>
        <v>45150104511000809Manpower-N424521200104</v>
      </c>
      <c r="C1253" s="21" t="s">
        <v>211</v>
      </c>
      <c r="D1253" s="22">
        <v>4515010</v>
      </c>
      <c r="E1253" s="21" t="s">
        <v>3114</v>
      </c>
      <c r="F1253" s="50">
        <v>4511000809</v>
      </c>
      <c r="G1253" s="51" t="s">
        <v>1089</v>
      </c>
      <c r="H1253" s="51" t="s">
        <v>98</v>
      </c>
      <c r="I1253" s="43" t="s">
        <v>2804</v>
      </c>
      <c r="J1253" s="52" t="s">
        <v>2922</v>
      </c>
      <c r="K1253" s="22" t="s">
        <v>2959</v>
      </c>
      <c r="L1253" s="22">
        <v>70501</v>
      </c>
      <c r="M1253" s="23" t="s">
        <v>2960</v>
      </c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4">
        <f t="shared" si="59"/>
        <v>0</v>
      </c>
      <c r="AB1253" s="25">
        <v>1700000</v>
      </c>
      <c r="AC1253" s="26">
        <v>1700000</v>
      </c>
      <c r="AD1253" s="24">
        <v>0</v>
      </c>
      <c r="AE1253" s="27">
        <f>_xlfn.XLOOKUP(B1253,'Projects Cashflow'!$B:$B,'Projects Cashflow'!$AG:$AG,0)</f>
        <v>1700000</v>
      </c>
      <c r="AF1253" s="28">
        <f t="shared" si="60"/>
        <v>0</v>
      </c>
    </row>
    <row r="1254" spans="2:32" x14ac:dyDescent="0.3">
      <c r="B1254" s="14" t="str">
        <f t="shared" si="58"/>
        <v>45155004511001395Event Management-N422401200104</v>
      </c>
      <c r="C1254" s="21" t="s">
        <v>211</v>
      </c>
      <c r="D1254" s="22">
        <v>4515500</v>
      </c>
      <c r="E1254" s="21" t="s">
        <v>512</v>
      </c>
      <c r="F1254" s="22">
        <v>4511001395</v>
      </c>
      <c r="G1254" s="21" t="s">
        <v>1650</v>
      </c>
      <c r="H1254" s="21" t="s">
        <v>162</v>
      </c>
      <c r="I1254" s="22">
        <v>422401</v>
      </c>
      <c r="J1254" s="22">
        <v>200104</v>
      </c>
      <c r="K1254" s="22" t="s">
        <v>2959</v>
      </c>
      <c r="L1254" s="22">
        <v>70501</v>
      </c>
      <c r="M1254" s="23" t="s">
        <v>2960</v>
      </c>
      <c r="N1254" s="24">
        <v>0</v>
      </c>
      <c r="O1254" s="24">
        <v>0</v>
      </c>
      <c r="P1254" s="26">
        <v>9711155</v>
      </c>
      <c r="Q1254" s="24">
        <v>0</v>
      </c>
      <c r="R1254" s="24">
        <v>0</v>
      </c>
      <c r="S1254" s="24">
        <v>0</v>
      </c>
      <c r="T1254" s="24">
        <v>0</v>
      </c>
      <c r="U1254" s="24">
        <v>0</v>
      </c>
      <c r="V1254" s="24">
        <v>0</v>
      </c>
      <c r="W1254" s="24">
        <v>288845</v>
      </c>
      <c r="X1254" s="24">
        <v>0</v>
      </c>
      <c r="Y1254" s="24">
        <v>900000</v>
      </c>
      <c r="Z1254" s="24">
        <f t="shared" si="59"/>
        <v>10900000</v>
      </c>
      <c r="AB1254" s="25">
        <v>10900000</v>
      </c>
      <c r="AC1254" s="26">
        <v>10900000</v>
      </c>
      <c r="AD1254" s="24">
        <v>0</v>
      </c>
      <c r="AE1254" s="27">
        <f>_xlfn.XLOOKUP(B1254,'Projects Cashflow'!$B:$B,'Projects Cashflow'!$AG:$AG,0)</f>
        <v>10900000</v>
      </c>
      <c r="AF1254" s="28">
        <f t="shared" si="60"/>
        <v>0</v>
      </c>
    </row>
    <row r="1255" spans="2:32" x14ac:dyDescent="0.3">
      <c r="B1255" s="14" t="str">
        <f t="shared" si="58"/>
        <v>45155004511001398Activation&amp;Prog-N422401202061</v>
      </c>
      <c r="C1255" s="21" t="s">
        <v>211</v>
      </c>
      <c r="D1255" s="22">
        <v>4515500</v>
      </c>
      <c r="E1255" s="21" t="s">
        <v>512</v>
      </c>
      <c r="F1255" s="22">
        <v>4511001398</v>
      </c>
      <c r="G1255" s="21" t="s">
        <v>1654</v>
      </c>
      <c r="H1255" s="21" t="s">
        <v>62</v>
      </c>
      <c r="I1255" s="22">
        <v>422401</v>
      </c>
      <c r="J1255" s="22">
        <v>202061</v>
      </c>
      <c r="K1255" s="22" t="s">
        <v>2959</v>
      </c>
      <c r="L1255" s="22">
        <v>70501</v>
      </c>
      <c r="M1255" s="23" t="s">
        <v>2961</v>
      </c>
      <c r="N1255" s="24">
        <v>0</v>
      </c>
      <c r="O1255" s="24">
        <v>0</v>
      </c>
      <c r="P1255" s="24">
        <v>19005187.5</v>
      </c>
      <c r="Q1255" s="24">
        <v>2587.5</v>
      </c>
      <c r="R1255" s="24">
        <v>0</v>
      </c>
      <c r="S1255" s="24">
        <v>19007775</v>
      </c>
      <c r="T1255" s="24">
        <v>0</v>
      </c>
      <c r="U1255" s="24">
        <v>0</v>
      </c>
      <c r="V1255" s="24">
        <v>19007775</v>
      </c>
      <c r="W1255" s="24">
        <v>0</v>
      </c>
      <c r="X1255" s="24">
        <v>0</v>
      </c>
      <c r="Y1255" s="24">
        <v>19007675</v>
      </c>
      <c r="Z1255" s="24">
        <f t="shared" si="59"/>
        <v>76031000</v>
      </c>
      <c r="AB1255" s="25">
        <v>76031000</v>
      </c>
      <c r="AC1255" s="26">
        <v>76031000</v>
      </c>
      <c r="AD1255" s="24">
        <v>0</v>
      </c>
      <c r="AE1255" s="27">
        <f>_xlfn.XLOOKUP(B1255,'Projects Cashflow'!$B:$B,'Projects Cashflow'!$AG:$AG,0)</f>
        <v>76031000</v>
      </c>
      <c r="AF1255" s="28">
        <f t="shared" si="60"/>
        <v>0</v>
      </c>
    </row>
    <row r="1256" spans="2:32" x14ac:dyDescent="0.3">
      <c r="B1256" s="14" t="str">
        <f t="shared" si="58"/>
        <v>45155004511001400IP Events-N423531200104</v>
      </c>
      <c r="C1256" s="21" t="s">
        <v>211</v>
      </c>
      <c r="D1256" s="22">
        <v>4515500</v>
      </c>
      <c r="E1256" s="21" t="s">
        <v>512</v>
      </c>
      <c r="F1256" s="22">
        <v>4511001400</v>
      </c>
      <c r="G1256" s="21" t="s">
        <v>1660</v>
      </c>
      <c r="H1256" s="21" t="s">
        <v>943</v>
      </c>
      <c r="I1256" s="22">
        <v>423531</v>
      </c>
      <c r="J1256" s="22">
        <v>200104</v>
      </c>
      <c r="K1256" s="22" t="s">
        <v>2959</v>
      </c>
      <c r="L1256" s="22">
        <v>70501</v>
      </c>
      <c r="M1256" s="23" t="s">
        <v>2961</v>
      </c>
      <c r="N1256" s="24">
        <v>0</v>
      </c>
      <c r="O1256" s="24">
        <v>0</v>
      </c>
      <c r="P1256" s="24">
        <v>0</v>
      </c>
      <c r="Q1256" s="24">
        <v>5000000</v>
      </c>
      <c r="R1256" s="24">
        <v>0</v>
      </c>
      <c r="S1256" s="24">
        <v>0</v>
      </c>
      <c r="T1256" s="24">
        <v>0</v>
      </c>
      <c r="U1256" s="24">
        <v>0</v>
      </c>
      <c r="V1256" s="24">
        <v>0</v>
      </c>
      <c r="W1256" s="24">
        <v>0</v>
      </c>
      <c r="X1256" s="24">
        <v>0</v>
      </c>
      <c r="Y1256" s="24">
        <v>0</v>
      </c>
      <c r="Z1256" s="24">
        <f t="shared" si="59"/>
        <v>5000000</v>
      </c>
      <c r="AB1256" s="25">
        <v>5000000</v>
      </c>
      <c r="AC1256" s="26">
        <v>5000000</v>
      </c>
      <c r="AD1256" s="24">
        <v>0</v>
      </c>
      <c r="AE1256" s="27">
        <f>_xlfn.XLOOKUP(B1256,'Projects Cashflow'!$B:$B,'Projects Cashflow'!$AG:$AG,0)</f>
        <v>5000000</v>
      </c>
      <c r="AF1256" s="28">
        <f t="shared" si="60"/>
        <v>0</v>
      </c>
    </row>
    <row r="1257" spans="2:32" x14ac:dyDescent="0.3">
      <c r="B1257" s="14" t="str">
        <f t="shared" si="58"/>
        <v>45155004511001401Co-Invest Events-N422401200104</v>
      </c>
      <c r="C1257" s="21" t="s">
        <v>211</v>
      </c>
      <c r="D1257" s="22">
        <v>4515500</v>
      </c>
      <c r="E1257" s="21" t="s">
        <v>512</v>
      </c>
      <c r="F1257" s="22">
        <v>4511001401</v>
      </c>
      <c r="G1257" s="21" t="s">
        <v>1663</v>
      </c>
      <c r="H1257" s="21" t="s">
        <v>523</v>
      </c>
      <c r="I1257" s="22">
        <v>422401</v>
      </c>
      <c r="J1257" s="22">
        <v>200104</v>
      </c>
      <c r="K1257" s="22" t="s">
        <v>2959</v>
      </c>
      <c r="L1257" s="22">
        <v>70501</v>
      </c>
      <c r="M1257" s="23" t="s">
        <v>2960</v>
      </c>
      <c r="N1257" s="24">
        <v>0</v>
      </c>
      <c r="O1257" s="24">
        <v>0</v>
      </c>
      <c r="P1257" s="24">
        <v>0</v>
      </c>
      <c r="Q1257" s="24">
        <v>0</v>
      </c>
      <c r="R1257" s="24">
        <v>0</v>
      </c>
      <c r="S1257" s="24">
        <v>6606000</v>
      </c>
      <c r="T1257" s="24">
        <v>0</v>
      </c>
      <c r="U1257" s="24">
        <v>0</v>
      </c>
      <c r="V1257" s="24">
        <v>0</v>
      </c>
      <c r="W1257" s="24">
        <v>0</v>
      </c>
      <c r="X1257" s="24">
        <v>734000</v>
      </c>
      <c r="Y1257" s="24">
        <v>0</v>
      </c>
      <c r="Z1257" s="24">
        <f t="shared" si="59"/>
        <v>7340000</v>
      </c>
      <c r="AB1257" s="25">
        <v>7340000</v>
      </c>
      <c r="AC1257" s="26">
        <v>7340000</v>
      </c>
      <c r="AD1257" s="24">
        <v>0</v>
      </c>
      <c r="AE1257" s="27">
        <f>_xlfn.XLOOKUP(B1257,'Projects Cashflow'!$B:$B,'Projects Cashflow'!$AG:$AG,0)</f>
        <v>7340000</v>
      </c>
      <c r="AF1257" s="28">
        <f t="shared" si="60"/>
        <v>0</v>
      </c>
    </row>
    <row r="1258" spans="2:32" x14ac:dyDescent="0.3">
      <c r="B1258" s="14" t="str">
        <f t="shared" si="58"/>
        <v>45155004511001424Sponsorship Fees-N424811200104</v>
      </c>
      <c r="C1258" s="21" t="s">
        <v>211</v>
      </c>
      <c r="D1258" s="22">
        <v>4515500</v>
      </c>
      <c r="E1258" s="21" t="s">
        <v>512</v>
      </c>
      <c r="F1258" s="22">
        <v>4511001424</v>
      </c>
      <c r="G1258" s="21" t="s">
        <v>1703</v>
      </c>
      <c r="H1258" s="21" t="s">
        <v>506</v>
      </c>
      <c r="I1258" s="22">
        <v>424811</v>
      </c>
      <c r="J1258" s="22">
        <v>200104</v>
      </c>
      <c r="K1258" s="22" t="s">
        <v>2959</v>
      </c>
      <c r="L1258" s="22">
        <v>70501</v>
      </c>
      <c r="M1258" s="23" t="s">
        <v>2960</v>
      </c>
      <c r="N1258" s="24">
        <v>0</v>
      </c>
      <c r="O1258" s="24">
        <v>0</v>
      </c>
      <c r="P1258" s="26">
        <v>800000</v>
      </c>
      <c r="Q1258" s="24">
        <v>0</v>
      </c>
      <c r="R1258" s="24">
        <v>0</v>
      </c>
      <c r="S1258" s="24">
        <v>0</v>
      </c>
      <c r="T1258" s="24">
        <v>0</v>
      </c>
      <c r="U1258" s="24">
        <v>0</v>
      </c>
      <c r="V1258" s="24">
        <v>0</v>
      </c>
      <c r="W1258" s="24">
        <v>0</v>
      </c>
      <c r="X1258" s="24">
        <v>0</v>
      </c>
      <c r="Y1258" s="24">
        <v>0</v>
      </c>
      <c r="Z1258" s="24">
        <f t="shared" si="59"/>
        <v>800000</v>
      </c>
      <c r="AB1258" s="25">
        <v>800000</v>
      </c>
      <c r="AC1258" s="26">
        <v>800000</v>
      </c>
      <c r="AD1258" s="24">
        <v>0</v>
      </c>
      <c r="AE1258" s="27">
        <f>_xlfn.XLOOKUP(B1258,'Projects Cashflow'!$B:$B,'Projects Cashflow'!$AG:$AG,0)</f>
        <v>800000</v>
      </c>
      <c r="AF1258" s="28">
        <f t="shared" si="60"/>
        <v>0</v>
      </c>
    </row>
    <row r="1259" spans="2:32" x14ac:dyDescent="0.3">
      <c r="B1259" s="14" t="str">
        <f t="shared" si="58"/>
        <v>45155004511001469Event Management-N422401200104</v>
      </c>
      <c r="C1259" s="21" t="s">
        <v>211</v>
      </c>
      <c r="D1259" s="22">
        <v>4515500</v>
      </c>
      <c r="E1259" s="21" t="s">
        <v>512</v>
      </c>
      <c r="F1259" s="22">
        <v>4511001469</v>
      </c>
      <c r="G1259" s="21" t="s">
        <v>1772</v>
      </c>
      <c r="H1259" s="21" t="s">
        <v>162</v>
      </c>
      <c r="I1259" s="22">
        <v>422401</v>
      </c>
      <c r="J1259" s="22">
        <v>200104</v>
      </c>
      <c r="K1259" s="22" t="s">
        <v>2959</v>
      </c>
      <c r="L1259" s="22">
        <v>70501</v>
      </c>
      <c r="M1259" s="23" t="s">
        <v>2960</v>
      </c>
      <c r="N1259" s="24">
        <v>0</v>
      </c>
      <c r="O1259" s="24">
        <v>0</v>
      </c>
      <c r="P1259" s="24">
        <v>0</v>
      </c>
      <c r="Q1259" s="24">
        <v>854046</v>
      </c>
      <c r="R1259" s="24">
        <v>0</v>
      </c>
      <c r="S1259" s="24">
        <v>0</v>
      </c>
      <c r="T1259" s="24">
        <v>0</v>
      </c>
      <c r="U1259" s="24">
        <v>0</v>
      </c>
      <c r="V1259" s="24">
        <v>0</v>
      </c>
      <c r="W1259" s="24">
        <v>0</v>
      </c>
      <c r="X1259" s="24">
        <v>0</v>
      </c>
      <c r="Y1259" s="24">
        <v>0</v>
      </c>
      <c r="Z1259" s="24">
        <f t="shared" si="59"/>
        <v>854046</v>
      </c>
      <c r="AB1259" s="25">
        <v>854046</v>
      </c>
      <c r="AC1259" s="26">
        <v>854046</v>
      </c>
      <c r="AD1259" s="24">
        <v>0</v>
      </c>
      <c r="AE1259" s="27">
        <f>_xlfn.XLOOKUP(B1259,'Projects Cashflow'!$B:$B,'Projects Cashflow'!$AG:$AG,0)</f>
        <v>854046</v>
      </c>
      <c r="AF1259" s="28">
        <f t="shared" si="60"/>
        <v>0</v>
      </c>
    </row>
    <row r="1260" spans="2:32" x14ac:dyDescent="0.3">
      <c r="B1260" s="14" t="str">
        <f t="shared" si="58"/>
        <v>45155004511001481Sponsorship Fees-N424811200104</v>
      </c>
      <c r="C1260" s="21" t="s">
        <v>211</v>
      </c>
      <c r="D1260" s="22">
        <v>4515500</v>
      </c>
      <c r="E1260" s="21" t="s">
        <v>512</v>
      </c>
      <c r="F1260" s="22">
        <v>4511001481</v>
      </c>
      <c r="G1260" s="21" t="s">
        <v>1800</v>
      </c>
      <c r="H1260" s="21" t="s">
        <v>506</v>
      </c>
      <c r="I1260" s="22">
        <v>424811</v>
      </c>
      <c r="J1260" s="22">
        <v>200104</v>
      </c>
      <c r="K1260" s="22" t="s">
        <v>2959</v>
      </c>
      <c r="L1260" s="22">
        <v>70501</v>
      </c>
      <c r="M1260" s="23" t="s">
        <v>2960</v>
      </c>
      <c r="N1260" s="24">
        <v>0</v>
      </c>
      <c r="O1260" s="24">
        <v>0</v>
      </c>
      <c r="P1260" s="24">
        <v>0</v>
      </c>
      <c r="Q1260" s="24">
        <v>0</v>
      </c>
      <c r="R1260" s="24">
        <v>0</v>
      </c>
      <c r="S1260" s="24">
        <v>0</v>
      </c>
      <c r="T1260" s="24">
        <v>0</v>
      </c>
      <c r="U1260" s="24">
        <v>0</v>
      </c>
      <c r="V1260" s="24">
        <v>1200000</v>
      </c>
      <c r="W1260" s="24">
        <v>0</v>
      </c>
      <c r="X1260" s="24">
        <v>0</v>
      </c>
      <c r="Y1260" s="24">
        <v>0</v>
      </c>
      <c r="Z1260" s="24">
        <f t="shared" si="59"/>
        <v>1200000</v>
      </c>
      <c r="AB1260" s="25">
        <v>1200000</v>
      </c>
      <c r="AC1260" s="26">
        <v>1200000</v>
      </c>
      <c r="AD1260" s="24">
        <v>0</v>
      </c>
      <c r="AE1260" s="27">
        <f>_xlfn.XLOOKUP(B1260,'Projects Cashflow'!$B:$B,'Projects Cashflow'!$AG:$AG,0)</f>
        <v>1200000</v>
      </c>
      <c r="AF1260" s="28">
        <f t="shared" si="60"/>
        <v>0</v>
      </c>
    </row>
    <row r="1261" spans="2:32" x14ac:dyDescent="0.3">
      <c r="B1261" s="14" t="str">
        <f t="shared" si="58"/>
        <v>45155004511001498Event Management-N1422401200104</v>
      </c>
      <c r="C1261" s="21" t="s">
        <v>211</v>
      </c>
      <c r="D1261" s="22">
        <v>4515500</v>
      </c>
      <c r="E1261" s="21" t="s">
        <v>512</v>
      </c>
      <c r="F1261" s="22">
        <v>4511001498</v>
      </c>
      <c r="G1261" s="21" t="s">
        <v>1859</v>
      </c>
      <c r="H1261" s="21" t="s">
        <v>122</v>
      </c>
      <c r="I1261" s="22">
        <v>422401</v>
      </c>
      <c r="J1261" s="22">
        <v>200104</v>
      </c>
      <c r="K1261" s="22" t="s">
        <v>2959</v>
      </c>
      <c r="L1261" s="22">
        <v>70501</v>
      </c>
      <c r="M1261" s="23" t="s">
        <v>2961</v>
      </c>
      <c r="N1261" s="24">
        <v>0</v>
      </c>
      <c r="O1261" s="24">
        <v>0</v>
      </c>
      <c r="P1261" s="24">
        <v>22134000</v>
      </c>
      <c r="Q1261" s="24">
        <v>0</v>
      </c>
      <c r="R1261" s="24">
        <v>4596000</v>
      </c>
      <c r="S1261" s="24">
        <v>0</v>
      </c>
      <c r="T1261" s="24">
        <v>0</v>
      </c>
      <c r="U1261" s="24">
        <v>0</v>
      </c>
      <c r="V1261" s="24">
        <v>0</v>
      </c>
      <c r="W1261" s="24">
        <v>7747500</v>
      </c>
      <c r="X1261" s="24">
        <v>0</v>
      </c>
      <c r="Y1261" s="24">
        <v>0</v>
      </c>
      <c r="Z1261" s="24">
        <f t="shared" si="59"/>
        <v>34477500</v>
      </c>
      <c r="AB1261" s="25">
        <v>34477500</v>
      </c>
      <c r="AC1261" s="26">
        <v>34477500</v>
      </c>
      <c r="AD1261" s="24">
        <v>0</v>
      </c>
      <c r="AE1261" s="27">
        <f>_xlfn.XLOOKUP(B1261,'Projects Cashflow'!$B:$B,'Projects Cashflow'!$AG:$AG,0)</f>
        <v>34477500</v>
      </c>
      <c r="AF1261" s="28">
        <f t="shared" si="60"/>
        <v>0</v>
      </c>
    </row>
    <row r="1262" spans="2:32" x14ac:dyDescent="0.3">
      <c r="B1262" s="14" t="str">
        <f t="shared" si="58"/>
        <v>45155004511001535Event Management-N  422401200104</v>
      </c>
      <c r="C1262" s="21" t="s">
        <v>211</v>
      </c>
      <c r="D1262" s="22">
        <v>4515500</v>
      </c>
      <c r="E1262" s="21" t="s">
        <v>512</v>
      </c>
      <c r="F1262" s="22">
        <v>4511001535</v>
      </c>
      <c r="G1262" s="21" t="s">
        <v>1949</v>
      </c>
      <c r="H1262" s="31" t="s">
        <v>1950</v>
      </c>
      <c r="I1262" s="22">
        <v>422401</v>
      </c>
      <c r="J1262" s="22">
        <v>200104</v>
      </c>
      <c r="K1262" s="22" t="s">
        <v>2959</v>
      </c>
      <c r="L1262" s="22">
        <v>70501</v>
      </c>
      <c r="M1262" s="23" t="s">
        <v>2960</v>
      </c>
      <c r="N1262" s="24">
        <v>0</v>
      </c>
      <c r="O1262" s="24">
        <v>0</v>
      </c>
      <c r="P1262" s="26">
        <v>2480562</v>
      </c>
      <c r="Q1262" s="24">
        <v>512438</v>
      </c>
      <c r="R1262" s="24">
        <v>0</v>
      </c>
      <c r="S1262" s="24">
        <v>0</v>
      </c>
      <c r="T1262" s="24">
        <v>0</v>
      </c>
      <c r="U1262" s="24">
        <v>0</v>
      </c>
      <c r="V1262" s="24">
        <v>0</v>
      </c>
      <c r="W1262" s="24">
        <v>0</v>
      </c>
      <c r="X1262" s="24">
        <v>0</v>
      </c>
      <c r="Y1262" s="24">
        <v>0</v>
      </c>
      <c r="Z1262" s="24">
        <f t="shared" si="59"/>
        <v>2993000</v>
      </c>
      <c r="AB1262" s="25">
        <v>4073000</v>
      </c>
      <c r="AC1262" s="26">
        <v>4073000</v>
      </c>
      <c r="AD1262" s="24">
        <v>0</v>
      </c>
      <c r="AE1262" s="27">
        <f>_xlfn.XLOOKUP(B1262,'Projects Cashflow'!$B:$B,'Projects Cashflow'!$AG:$AG,0)</f>
        <v>4073000</v>
      </c>
      <c r="AF1262" s="28">
        <f t="shared" si="60"/>
        <v>0</v>
      </c>
    </row>
    <row r="1263" spans="2:32" x14ac:dyDescent="0.3">
      <c r="B1263" s="14" t="str">
        <f t="shared" si="58"/>
        <v>45155004511001535Hospitality-N424761200104</v>
      </c>
      <c r="C1263" s="21" t="s">
        <v>211</v>
      </c>
      <c r="D1263" s="22">
        <v>4515500</v>
      </c>
      <c r="E1263" s="21" t="s">
        <v>512</v>
      </c>
      <c r="F1263" s="22">
        <v>4511001535</v>
      </c>
      <c r="G1263" s="21" t="s">
        <v>1949</v>
      </c>
      <c r="H1263" s="21" t="s">
        <v>83</v>
      </c>
      <c r="I1263" s="22">
        <v>424761</v>
      </c>
      <c r="J1263" s="22">
        <v>200104</v>
      </c>
      <c r="K1263" s="22" t="s">
        <v>2959</v>
      </c>
      <c r="L1263" s="22">
        <v>70501</v>
      </c>
      <c r="M1263" s="23" t="s">
        <v>2960</v>
      </c>
      <c r="N1263" s="24">
        <v>0</v>
      </c>
      <c r="O1263" s="24">
        <v>0</v>
      </c>
      <c r="P1263" s="24">
        <v>0</v>
      </c>
      <c r="Q1263" s="24">
        <v>279104</v>
      </c>
      <c r="R1263" s="24">
        <v>200000</v>
      </c>
      <c r="S1263" s="24">
        <v>0</v>
      </c>
      <c r="T1263" s="24">
        <v>0</v>
      </c>
      <c r="U1263" s="24">
        <v>0</v>
      </c>
      <c r="V1263" s="24">
        <v>0</v>
      </c>
      <c r="W1263" s="24">
        <v>0</v>
      </c>
      <c r="X1263" s="24">
        <v>0</v>
      </c>
      <c r="Y1263" s="24">
        <v>0</v>
      </c>
      <c r="Z1263" s="24">
        <f t="shared" si="59"/>
        <v>479104</v>
      </c>
      <c r="AB1263" s="25">
        <v>393104</v>
      </c>
      <c r="AC1263" s="26">
        <v>393104</v>
      </c>
      <c r="AD1263" s="24">
        <v>0</v>
      </c>
      <c r="AE1263" s="27">
        <f>_xlfn.XLOOKUP(B1263,'Projects Cashflow'!$B:$B,'Projects Cashflow'!$AG:$AG,0)</f>
        <v>393104</v>
      </c>
      <c r="AF1263" s="28">
        <f t="shared" si="60"/>
        <v>0</v>
      </c>
    </row>
    <row r="1264" spans="2:32" x14ac:dyDescent="0.3">
      <c r="B1264" s="14" t="str">
        <f t="shared" si="58"/>
        <v>45155004511001623Activation&amp;Prog-N422401200104</v>
      </c>
      <c r="C1264" s="21" t="s">
        <v>211</v>
      </c>
      <c r="D1264" s="22">
        <v>4515500</v>
      </c>
      <c r="E1264" s="21" t="s">
        <v>512</v>
      </c>
      <c r="F1264" s="22">
        <v>4511001623</v>
      </c>
      <c r="G1264" s="21" t="s">
        <v>2138</v>
      </c>
      <c r="H1264" s="29" t="s">
        <v>62</v>
      </c>
      <c r="I1264" s="22">
        <v>422401</v>
      </c>
      <c r="J1264" s="22">
        <v>200104</v>
      </c>
      <c r="K1264" s="22" t="s">
        <v>2959</v>
      </c>
      <c r="L1264" s="22">
        <v>70501</v>
      </c>
      <c r="M1264" s="23" t="s">
        <v>2960</v>
      </c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4">
        <f t="shared" si="59"/>
        <v>0</v>
      </c>
      <c r="AB1264" s="25">
        <v>987000</v>
      </c>
      <c r="AC1264" s="26">
        <v>987000</v>
      </c>
      <c r="AD1264" s="24">
        <v>0</v>
      </c>
      <c r="AE1264" s="27">
        <f>_xlfn.XLOOKUP(B1264,'Projects Cashflow'!$B:$B,'Projects Cashflow'!$AG:$AG,0)</f>
        <v>987000</v>
      </c>
      <c r="AF1264" s="28">
        <f t="shared" si="60"/>
        <v>0</v>
      </c>
    </row>
    <row r="1265" spans="2:32" x14ac:dyDescent="0.3">
      <c r="B1265" s="14" t="str">
        <f t="shared" si="58"/>
        <v>45153004511000979Design &amp; Build-NC491211300105</v>
      </c>
      <c r="C1265" s="21" t="s">
        <v>211</v>
      </c>
      <c r="D1265" s="22">
        <v>4515300</v>
      </c>
      <c r="E1265" s="21" t="s">
        <v>3118</v>
      </c>
      <c r="F1265" s="22">
        <v>4511000979</v>
      </c>
      <c r="G1265" s="21" t="s">
        <v>1284</v>
      </c>
      <c r="H1265" s="21" t="s">
        <v>1285</v>
      </c>
      <c r="I1265" s="22">
        <v>491211</v>
      </c>
      <c r="J1265" s="22">
        <v>300105</v>
      </c>
      <c r="K1265" s="22" t="s">
        <v>2972</v>
      </c>
      <c r="L1265" s="22">
        <v>70501</v>
      </c>
      <c r="M1265" s="23" t="s">
        <v>2960</v>
      </c>
      <c r="N1265" s="24">
        <v>0</v>
      </c>
      <c r="O1265" s="24">
        <v>0</v>
      </c>
      <c r="P1265" s="24">
        <v>0</v>
      </c>
      <c r="Q1265" s="24">
        <v>0</v>
      </c>
      <c r="R1265" s="24">
        <v>0</v>
      </c>
      <c r="S1265" s="24">
        <v>0</v>
      </c>
      <c r="T1265" s="24">
        <v>0</v>
      </c>
      <c r="U1265" s="24">
        <v>0</v>
      </c>
      <c r="V1265" s="24">
        <v>650000</v>
      </c>
      <c r="W1265" s="24">
        <v>0</v>
      </c>
      <c r="X1265" s="24">
        <v>900000</v>
      </c>
      <c r="Y1265" s="24">
        <v>0</v>
      </c>
      <c r="Z1265" s="24">
        <f t="shared" si="59"/>
        <v>1550000</v>
      </c>
      <c r="AB1265" s="25">
        <v>42801</v>
      </c>
      <c r="AC1265" s="26">
        <v>42801</v>
      </c>
      <c r="AD1265" s="24">
        <v>0</v>
      </c>
      <c r="AE1265" s="27">
        <f>_xlfn.XLOOKUP(B1265,'Projects Cashflow'!$B:$B,'Projects Cashflow'!$AG:$AG,0)</f>
        <v>42801</v>
      </c>
      <c r="AF1265" s="28">
        <f t="shared" si="60"/>
        <v>0</v>
      </c>
    </row>
    <row r="1266" spans="2:32" x14ac:dyDescent="0.3">
      <c r="B1266" s="14" t="str">
        <f t="shared" si="58"/>
        <v>45157004511000245ManagementAdvice-N3424521200104</v>
      </c>
      <c r="C1266" s="34" t="s">
        <v>211</v>
      </c>
      <c r="D1266" s="35">
        <v>4515700</v>
      </c>
      <c r="E1266" s="34" t="s">
        <v>340</v>
      </c>
      <c r="F1266" s="35">
        <v>4511000245</v>
      </c>
      <c r="G1266" s="34" t="s">
        <v>3128</v>
      </c>
      <c r="H1266" s="34" t="s">
        <v>338</v>
      </c>
      <c r="I1266" s="35">
        <v>424521</v>
      </c>
      <c r="J1266" s="35">
        <v>200104</v>
      </c>
      <c r="K1266" s="35" t="s">
        <v>2959</v>
      </c>
      <c r="L1266" s="22">
        <v>70501</v>
      </c>
      <c r="M1266" s="36" t="s">
        <v>2960</v>
      </c>
      <c r="N1266" s="24">
        <v>0</v>
      </c>
      <c r="O1266" s="24">
        <v>0</v>
      </c>
      <c r="P1266" s="24">
        <v>0</v>
      </c>
      <c r="Q1266" s="24">
        <v>597699.4999999993</v>
      </c>
      <c r="R1266" s="24">
        <v>199233.16666666666</v>
      </c>
      <c r="S1266" s="24">
        <v>199233.16666666666</v>
      </c>
      <c r="T1266" s="24">
        <v>199233.16666666666</v>
      </c>
      <c r="U1266" s="24">
        <v>199233.16666666666</v>
      </c>
      <c r="V1266" s="24">
        <v>0</v>
      </c>
      <c r="W1266" s="24">
        <v>0</v>
      </c>
      <c r="X1266" s="24">
        <v>0</v>
      </c>
      <c r="Y1266" s="24">
        <v>0</v>
      </c>
      <c r="Z1266" s="24">
        <f t="shared" si="59"/>
        <v>1394632.166666666</v>
      </c>
      <c r="AB1266" s="37">
        <v>1849532</v>
      </c>
      <c r="AC1266" s="38">
        <v>1849532</v>
      </c>
      <c r="AD1266" s="48">
        <v>0</v>
      </c>
      <c r="AE1266" s="27">
        <f>_xlfn.XLOOKUP(B1266,'Projects Cashflow'!$B:$B,'Projects Cashflow'!$AG:$AG,0)</f>
        <v>1849532</v>
      </c>
      <c r="AF1266" s="28">
        <f t="shared" si="60"/>
        <v>0</v>
      </c>
    </row>
    <row r="1267" spans="2:32" x14ac:dyDescent="0.3">
      <c r="B1267" s="14" t="str">
        <f t="shared" si="58"/>
        <v>45157004511000860Freelancers-N424521200104</v>
      </c>
      <c r="C1267" s="21" t="s">
        <v>211</v>
      </c>
      <c r="D1267" s="22">
        <v>4515700</v>
      </c>
      <c r="E1267" s="21" t="s">
        <v>340</v>
      </c>
      <c r="F1267" s="22">
        <v>4511000860</v>
      </c>
      <c r="G1267" s="21" t="s">
        <v>1135</v>
      </c>
      <c r="H1267" s="21" t="s">
        <v>50</v>
      </c>
      <c r="I1267" s="22">
        <v>424521</v>
      </c>
      <c r="J1267" s="22">
        <v>200104</v>
      </c>
      <c r="K1267" s="22" t="s">
        <v>2959</v>
      </c>
      <c r="L1267" s="22">
        <v>70501</v>
      </c>
      <c r="M1267" s="23" t="s">
        <v>2960</v>
      </c>
      <c r="N1267" s="24">
        <v>0</v>
      </c>
      <c r="O1267" s="24">
        <v>0</v>
      </c>
      <c r="P1267" s="26">
        <v>54000</v>
      </c>
      <c r="Q1267" s="24">
        <v>0</v>
      </c>
      <c r="R1267" s="24">
        <v>0</v>
      </c>
      <c r="S1267" s="24">
        <v>0</v>
      </c>
      <c r="T1267" s="24">
        <v>0</v>
      </c>
      <c r="U1267" s="24">
        <v>0</v>
      </c>
      <c r="V1267" s="24">
        <v>0</v>
      </c>
      <c r="W1267" s="24">
        <v>0</v>
      </c>
      <c r="X1267" s="24">
        <v>0</v>
      </c>
      <c r="Y1267" s="24">
        <v>0</v>
      </c>
      <c r="Z1267" s="24">
        <f t="shared" si="59"/>
        <v>54000</v>
      </c>
      <c r="AB1267" s="25">
        <v>216000</v>
      </c>
      <c r="AC1267" s="26">
        <v>216000</v>
      </c>
      <c r="AD1267" s="24">
        <v>0</v>
      </c>
      <c r="AE1267" s="27">
        <f>_xlfn.XLOOKUP(B1267,'Projects Cashflow'!$B:$B,'Projects Cashflow'!$AG:$AG,0)</f>
        <v>216000</v>
      </c>
      <c r="AF1267" s="28">
        <f t="shared" si="60"/>
        <v>0</v>
      </c>
    </row>
    <row r="1268" spans="2:32" x14ac:dyDescent="0.3">
      <c r="B1268" s="14" t="str">
        <f t="shared" si="58"/>
        <v>45157004511000860Admin Expenses-N422191200104</v>
      </c>
      <c r="C1268" s="21" t="s">
        <v>211</v>
      </c>
      <c r="D1268" s="22">
        <v>4515700</v>
      </c>
      <c r="E1268" s="21" t="s">
        <v>340</v>
      </c>
      <c r="F1268" s="22">
        <v>4511000860</v>
      </c>
      <c r="G1268" s="21" t="s">
        <v>1135</v>
      </c>
      <c r="H1268" s="21" t="s">
        <v>130</v>
      </c>
      <c r="I1268" s="22">
        <v>422191</v>
      </c>
      <c r="J1268" s="22">
        <v>200104</v>
      </c>
      <c r="K1268" s="22" t="s">
        <v>2959</v>
      </c>
      <c r="L1268" s="22">
        <v>70501</v>
      </c>
      <c r="M1268" s="23" t="s">
        <v>2960</v>
      </c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4">
        <f t="shared" si="59"/>
        <v>0</v>
      </c>
      <c r="AB1268" s="25">
        <v>82182</v>
      </c>
      <c r="AC1268" s="26">
        <v>82182</v>
      </c>
      <c r="AD1268" s="24">
        <v>0</v>
      </c>
      <c r="AE1268" s="27">
        <f>_xlfn.XLOOKUP(B1268,'Projects Cashflow'!$B:$B,'Projects Cashflow'!$AG:$AG,0)</f>
        <v>82182</v>
      </c>
      <c r="AF1268" s="28">
        <f t="shared" si="60"/>
        <v>0</v>
      </c>
    </row>
    <row r="1269" spans="2:32" x14ac:dyDescent="0.3">
      <c r="B1269" s="14" t="str">
        <f t="shared" si="58"/>
        <v>45157004511000860CampaignProductn-N422511200104</v>
      </c>
      <c r="C1269" s="21" t="s">
        <v>211</v>
      </c>
      <c r="D1269" s="22">
        <v>4515700</v>
      </c>
      <c r="E1269" s="21" t="s">
        <v>340</v>
      </c>
      <c r="F1269" s="22">
        <v>4511000860</v>
      </c>
      <c r="G1269" s="21" t="s">
        <v>1135</v>
      </c>
      <c r="H1269" s="21" t="s">
        <v>1137</v>
      </c>
      <c r="I1269" s="22">
        <v>422511</v>
      </c>
      <c r="J1269" s="22">
        <v>200104</v>
      </c>
      <c r="K1269" s="22" t="s">
        <v>2959</v>
      </c>
      <c r="L1269" s="22">
        <v>70501</v>
      </c>
      <c r="M1269" s="23" t="s">
        <v>2960</v>
      </c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  <c r="X1269" s="21"/>
      <c r="Y1269" s="21"/>
      <c r="Z1269" s="24">
        <f t="shared" si="59"/>
        <v>0</v>
      </c>
      <c r="AB1269" s="25">
        <v>198000</v>
      </c>
      <c r="AC1269" s="26">
        <v>198000</v>
      </c>
      <c r="AD1269" s="24">
        <v>0</v>
      </c>
      <c r="AE1269" s="27">
        <f>_xlfn.XLOOKUP(B1269,'Projects Cashflow'!$B:$B,'Projects Cashflow'!$AG:$AG,0)</f>
        <v>198000</v>
      </c>
      <c r="AF1269" s="28">
        <f t="shared" si="60"/>
        <v>0</v>
      </c>
    </row>
    <row r="1270" spans="2:32" x14ac:dyDescent="0.3">
      <c r="B1270" s="14" t="str">
        <f t="shared" si="58"/>
        <v>45112504511000510Ad-hoc Repairs-N426427200104</v>
      </c>
      <c r="C1270" s="21" t="s">
        <v>65</v>
      </c>
      <c r="D1270" s="22">
        <v>4511250</v>
      </c>
      <c r="E1270" s="21" t="s">
        <v>66</v>
      </c>
      <c r="F1270" s="22">
        <v>4511000510</v>
      </c>
      <c r="G1270" s="21" t="s">
        <v>3006</v>
      </c>
      <c r="H1270" s="21" t="s">
        <v>70</v>
      </c>
      <c r="I1270" s="22">
        <v>426427</v>
      </c>
      <c r="J1270" s="22">
        <v>200104</v>
      </c>
      <c r="K1270" s="22" t="s">
        <v>2959</v>
      </c>
      <c r="L1270" s="22">
        <v>70205</v>
      </c>
      <c r="M1270" s="23" t="s">
        <v>2961</v>
      </c>
      <c r="N1270" s="24">
        <v>0</v>
      </c>
      <c r="O1270" s="24">
        <v>0</v>
      </c>
      <c r="P1270" s="24">
        <v>0</v>
      </c>
      <c r="Q1270" s="24">
        <v>11459</v>
      </c>
      <c r="R1270" s="24">
        <v>0</v>
      </c>
      <c r="S1270" s="24">
        <v>0</v>
      </c>
      <c r="T1270" s="24">
        <v>0</v>
      </c>
      <c r="U1270" s="24">
        <v>11459</v>
      </c>
      <c r="V1270" s="24">
        <v>0</v>
      </c>
      <c r="W1270" s="24">
        <v>0</v>
      </c>
      <c r="X1270" s="24">
        <v>0</v>
      </c>
      <c r="Y1270" s="24">
        <v>11459</v>
      </c>
      <c r="Z1270" s="24">
        <f t="shared" si="59"/>
        <v>34377</v>
      </c>
      <c r="AB1270" s="25">
        <v>34377</v>
      </c>
      <c r="AC1270" s="26">
        <v>34377</v>
      </c>
      <c r="AD1270" s="24">
        <v>0</v>
      </c>
      <c r="AE1270" s="27">
        <f>_xlfn.XLOOKUP(B1270,'Projects Cashflow'!$B:$B,'Projects Cashflow'!$AG:$AG,0)</f>
        <v>34377</v>
      </c>
      <c r="AF1270" s="28">
        <f t="shared" si="60"/>
        <v>0</v>
      </c>
    </row>
    <row r="1271" spans="2:32" x14ac:dyDescent="0.3">
      <c r="B1271" s="14" t="str">
        <f t="shared" si="58"/>
        <v>45157004511000860FM Mgmnt (E-E)-N426212200104</v>
      </c>
      <c r="C1271" s="21" t="s">
        <v>211</v>
      </c>
      <c r="D1271" s="22">
        <v>4515700</v>
      </c>
      <c r="E1271" s="21" t="s">
        <v>340</v>
      </c>
      <c r="F1271" s="22">
        <v>4511000860</v>
      </c>
      <c r="G1271" s="21" t="s">
        <v>1135</v>
      </c>
      <c r="H1271" s="21" t="s">
        <v>380</v>
      </c>
      <c r="I1271" s="22">
        <v>426212</v>
      </c>
      <c r="J1271" s="22">
        <v>200104</v>
      </c>
      <c r="K1271" s="22" t="s">
        <v>2959</v>
      </c>
      <c r="L1271" s="22">
        <v>70501</v>
      </c>
      <c r="M1271" s="23" t="s">
        <v>2960</v>
      </c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  <c r="X1271" s="21"/>
      <c r="Y1271" s="21"/>
      <c r="Z1271" s="24">
        <f t="shared" si="59"/>
        <v>0</v>
      </c>
      <c r="AB1271" s="25">
        <v>5745707</v>
      </c>
      <c r="AC1271" s="26">
        <v>5745707</v>
      </c>
      <c r="AD1271" s="24">
        <v>0</v>
      </c>
      <c r="AE1271" s="27">
        <f>_xlfn.XLOOKUP(B1271,'Projects Cashflow'!$B:$B,'Projects Cashflow'!$AG:$AG,0)</f>
        <v>5745707</v>
      </c>
      <c r="AF1271" s="28">
        <f t="shared" si="60"/>
        <v>0</v>
      </c>
    </row>
    <row r="1272" spans="2:32" x14ac:dyDescent="0.3">
      <c r="B1272" s="14" t="str">
        <f t="shared" si="58"/>
        <v>45157004511000860ManagementAdvice-N421119200104</v>
      </c>
      <c r="C1272" s="21" t="s">
        <v>211</v>
      </c>
      <c r="D1272" s="22">
        <v>4515700</v>
      </c>
      <c r="E1272" s="21" t="s">
        <v>340</v>
      </c>
      <c r="F1272" s="22">
        <v>4511000860</v>
      </c>
      <c r="G1272" s="21" t="s">
        <v>1135</v>
      </c>
      <c r="H1272" s="21" t="s">
        <v>230</v>
      </c>
      <c r="I1272" s="33">
        <v>421119</v>
      </c>
      <c r="J1272" s="22">
        <v>200104</v>
      </c>
      <c r="K1272" s="22" t="s">
        <v>2959</v>
      </c>
      <c r="L1272" s="22">
        <v>70501</v>
      </c>
      <c r="M1272" s="23" t="s">
        <v>2960</v>
      </c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  <c r="X1272" s="21"/>
      <c r="Y1272" s="21"/>
      <c r="Z1272" s="24">
        <f t="shared" si="59"/>
        <v>0</v>
      </c>
      <c r="AB1272" s="25">
        <v>2494331</v>
      </c>
      <c r="AC1272" s="26">
        <v>2494331</v>
      </c>
      <c r="AD1272" s="24">
        <v>0</v>
      </c>
      <c r="AE1272" s="27">
        <f>_xlfn.XLOOKUP(B1272,'Projects Cashflow'!$B:$B,'Projects Cashflow'!$AG:$AG,0)</f>
        <v>2494331</v>
      </c>
      <c r="AF1272" s="28">
        <f t="shared" si="60"/>
        <v>0</v>
      </c>
    </row>
    <row r="1273" spans="2:32" x14ac:dyDescent="0.3">
      <c r="B1273" s="14" t="str">
        <f t="shared" si="58"/>
        <v>45157004511000860Mission &amp; Travel-N423821200104</v>
      </c>
      <c r="C1273" s="21" t="s">
        <v>211</v>
      </c>
      <c r="D1273" s="22">
        <v>4515700</v>
      </c>
      <c r="E1273" s="21" t="s">
        <v>340</v>
      </c>
      <c r="F1273" s="22">
        <v>4511000860</v>
      </c>
      <c r="G1273" s="21" t="s">
        <v>1135</v>
      </c>
      <c r="H1273" s="21" t="s">
        <v>54</v>
      </c>
      <c r="I1273" s="22">
        <v>423821</v>
      </c>
      <c r="J1273" s="22">
        <v>200104</v>
      </c>
      <c r="K1273" s="22" t="s">
        <v>2959</v>
      </c>
      <c r="L1273" s="22">
        <v>70501</v>
      </c>
      <c r="M1273" s="23" t="s">
        <v>2960</v>
      </c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  <c r="X1273" s="21"/>
      <c r="Y1273" s="21"/>
      <c r="Z1273" s="24">
        <f t="shared" si="59"/>
        <v>0</v>
      </c>
      <c r="AB1273" s="25">
        <v>145500</v>
      </c>
      <c r="AC1273" s="26">
        <v>145500</v>
      </c>
      <c r="AD1273" s="24">
        <v>0</v>
      </c>
      <c r="AE1273" s="27">
        <f>_xlfn.XLOOKUP(B1273,'Projects Cashflow'!$B:$B,'Projects Cashflow'!$AG:$AG,0)</f>
        <v>145500</v>
      </c>
      <c r="AF1273" s="28">
        <f t="shared" si="60"/>
        <v>0</v>
      </c>
    </row>
    <row r="1274" spans="2:32" x14ac:dyDescent="0.3">
      <c r="B1274" s="14" t="str">
        <f t="shared" si="58"/>
        <v>45157004511000860Sponsorship Fees-N424811200104</v>
      </c>
      <c r="C1274" s="34" t="s">
        <v>211</v>
      </c>
      <c r="D1274" s="35">
        <v>4515700</v>
      </c>
      <c r="E1274" s="34" t="s">
        <v>340</v>
      </c>
      <c r="F1274" s="35">
        <v>4511000860</v>
      </c>
      <c r="G1274" s="34" t="s">
        <v>1135</v>
      </c>
      <c r="H1274" s="34" t="s">
        <v>506</v>
      </c>
      <c r="I1274" s="35">
        <v>424811</v>
      </c>
      <c r="J1274" s="35">
        <v>200104</v>
      </c>
      <c r="K1274" s="35" t="s">
        <v>2959</v>
      </c>
      <c r="L1274" s="22">
        <v>70501</v>
      </c>
      <c r="M1274" s="36" t="s">
        <v>2960</v>
      </c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  <c r="Y1274" s="21"/>
      <c r="Z1274" s="24">
        <f t="shared" si="59"/>
        <v>0</v>
      </c>
      <c r="AB1274" s="37">
        <v>6741000</v>
      </c>
      <c r="AC1274" s="38">
        <v>6741000</v>
      </c>
      <c r="AD1274" s="48">
        <v>0</v>
      </c>
      <c r="AE1274" s="27">
        <f>_xlfn.XLOOKUP(B1274,'Projects Cashflow'!$B:$B,'Projects Cashflow'!$AG:$AG,0)</f>
        <v>6741000</v>
      </c>
      <c r="AF1274" s="28">
        <f t="shared" si="60"/>
        <v>0</v>
      </c>
    </row>
    <row r="1275" spans="2:32" x14ac:dyDescent="0.3">
      <c r="B1275" s="14" t="str">
        <f t="shared" si="58"/>
        <v>45157004511000860Trade Partners-N424251200104</v>
      </c>
      <c r="C1275" s="21" t="s">
        <v>211</v>
      </c>
      <c r="D1275" s="22">
        <v>4515700</v>
      </c>
      <c r="E1275" s="21" t="s">
        <v>340</v>
      </c>
      <c r="F1275" s="22">
        <v>4511000860</v>
      </c>
      <c r="G1275" s="21" t="s">
        <v>1135</v>
      </c>
      <c r="H1275" s="21" t="s">
        <v>1144</v>
      </c>
      <c r="I1275" s="22">
        <v>424251</v>
      </c>
      <c r="J1275" s="22">
        <v>200104</v>
      </c>
      <c r="K1275" s="22" t="s">
        <v>2959</v>
      </c>
      <c r="L1275" s="22">
        <v>70501</v>
      </c>
      <c r="M1275" s="23" t="s">
        <v>2960</v>
      </c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  <c r="X1275" s="21"/>
      <c r="Y1275" s="21"/>
      <c r="Z1275" s="24">
        <f t="shared" si="59"/>
        <v>0</v>
      </c>
      <c r="AB1275" s="25">
        <v>1489491</v>
      </c>
      <c r="AC1275" s="26">
        <v>1489491</v>
      </c>
      <c r="AD1275" s="24">
        <v>0</v>
      </c>
      <c r="AE1275" s="27">
        <f>_xlfn.XLOOKUP(B1275,'Projects Cashflow'!$B:$B,'Projects Cashflow'!$AG:$AG,0)</f>
        <v>1489491</v>
      </c>
      <c r="AF1275" s="28">
        <f t="shared" si="60"/>
        <v>0</v>
      </c>
    </row>
    <row r="1276" spans="2:32" x14ac:dyDescent="0.3">
      <c r="B1276" s="14" t="str">
        <f t="shared" si="58"/>
        <v>45153004511000984Freelancers-N424521200104</v>
      </c>
      <c r="C1276" s="34" t="s">
        <v>211</v>
      </c>
      <c r="D1276" s="35">
        <v>4515300</v>
      </c>
      <c r="E1276" s="34" t="s">
        <v>3118</v>
      </c>
      <c r="F1276" s="35">
        <v>4511000984</v>
      </c>
      <c r="G1276" s="34" t="s">
        <v>1299</v>
      </c>
      <c r="H1276" s="34" t="s">
        <v>50</v>
      </c>
      <c r="I1276" s="35">
        <v>424521</v>
      </c>
      <c r="J1276" s="35">
        <v>200104</v>
      </c>
      <c r="K1276" s="35" t="s">
        <v>2959</v>
      </c>
      <c r="L1276" s="22">
        <v>70503</v>
      </c>
      <c r="M1276" s="36" t="s">
        <v>2960</v>
      </c>
      <c r="N1276" s="24">
        <v>0</v>
      </c>
      <c r="O1276" s="24">
        <v>37299.5</v>
      </c>
      <c r="P1276" s="24">
        <v>74130</v>
      </c>
      <c r="Q1276" s="24">
        <v>0</v>
      </c>
      <c r="R1276" s="24">
        <v>0</v>
      </c>
      <c r="S1276" s="24">
        <v>0</v>
      </c>
      <c r="T1276" s="24">
        <v>0</v>
      </c>
      <c r="U1276" s="24">
        <v>0</v>
      </c>
      <c r="V1276" s="24">
        <v>0</v>
      </c>
      <c r="W1276" s="24">
        <v>0</v>
      </c>
      <c r="X1276" s="24">
        <v>0</v>
      </c>
      <c r="Y1276" s="24">
        <v>0</v>
      </c>
      <c r="Z1276" s="24">
        <f t="shared" si="59"/>
        <v>111429.5</v>
      </c>
      <c r="AB1276" s="37">
        <v>187359.5</v>
      </c>
      <c r="AC1276" s="38">
        <v>187359.6</v>
      </c>
      <c r="AD1276" s="48">
        <v>-0.10000000000582077</v>
      </c>
      <c r="AE1276" s="27">
        <f>_xlfn.XLOOKUP(B1276,'Projects Cashflow'!$B:$B,'Projects Cashflow'!$AG:$AG,0)</f>
        <v>187359.6</v>
      </c>
      <c r="AF1276" s="28">
        <f t="shared" si="60"/>
        <v>0.10000000000582077</v>
      </c>
    </row>
    <row r="1277" spans="2:32" x14ac:dyDescent="0.3">
      <c r="B1277" s="14" t="str">
        <f t="shared" si="58"/>
        <v>45157004511000860Transportation-N424251200104</v>
      </c>
      <c r="C1277" s="21" t="s">
        <v>211</v>
      </c>
      <c r="D1277" s="22">
        <v>4515700</v>
      </c>
      <c r="E1277" s="21" t="s">
        <v>340</v>
      </c>
      <c r="F1277" s="22">
        <v>4511000860</v>
      </c>
      <c r="G1277" s="21" t="s">
        <v>1135</v>
      </c>
      <c r="H1277" s="21" t="s">
        <v>1146</v>
      </c>
      <c r="I1277" s="22">
        <v>424251</v>
      </c>
      <c r="J1277" s="22">
        <v>200104</v>
      </c>
      <c r="K1277" s="22" t="s">
        <v>2959</v>
      </c>
      <c r="L1277" s="22">
        <v>70501</v>
      </c>
      <c r="M1277" s="23" t="s">
        <v>2960</v>
      </c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4">
        <f t="shared" si="59"/>
        <v>0</v>
      </c>
      <c r="AB1277" s="25">
        <v>373040</v>
      </c>
      <c r="AC1277" s="26">
        <v>373040</v>
      </c>
      <c r="AD1277" s="24">
        <v>0</v>
      </c>
      <c r="AE1277" s="27">
        <f>_xlfn.XLOOKUP(B1277,'Projects Cashflow'!$B:$B,'Projects Cashflow'!$AG:$AG,0)</f>
        <v>373040</v>
      </c>
      <c r="AF1277" s="28">
        <f t="shared" si="60"/>
        <v>0</v>
      </c>
    </row>
    <row r="1278" spans="2:32" x14ac:dyDescent="0.3">
      <c r="B1278" s="14" t="str">
        <f t="shared" si="58"/>
        <v>45157004511001235Gen Logistics-N1424671200104</v>
      </c>
      <c r="C1278" s="34" t="s">
        <v>211</v>
      </c>
      <c r="D1278" s="35">
        <v>4515700</v>
      </c>
      <c r="E1278" s="34" t="s">
        <v>340</v>
      </c>
      <c r="F1278" s="35">
        <v>4511001235</v>
      </c>
      <c r="G1278" s="34" t="s">
        <v>1491</v>
      </c>
      <c r="H1278" s="34" t="s">
        <v>1492</v>
      </c>
      <c r="I1278" s="35">
        <v>424671</v>
      </c>
      <c r="J1278" s="35">
        <v>200104</v>
      </c>
      <c r="K1278" s="35" t="s">
        <v>2959</v>
      </c>
      <c r="L1278" s="22">
        <v>70501</v>
      </c>
      <c r="M1278" s="36" t="s">
        <v>2961</v>
      </c>
      <c r="N1278" s="24">
        <v>0</v>
      </c>
      <c r="O1278" s="24">
        <v>0</v>
      </c>
      <c r="P1278" s="24">
        <v>0</v>
      </c>
      <c r="Q1278" s="24">
        <v>659010</v>
      </c>
      <c r="R1278" s="24">
        <v>219670</v>
      </c>
      <c r="S1278" s="24">
        <v>219670</v>
      </c>
      <c r="T1278" s="24">
        <v>219670</v>
      </c>
      <c r="U1278" s="24">
        <v>219670</v>
      </c>
      <c r="V1278" s="24">
        <v>219670</v>
      </c>
      <c r="W1278" s="24">
        <v>219670</v>
      </c>
      <c r="X1278" s="24">
        <v>219670</v>
      </c>
      <c r="Y1278" s="24">
        <v>810032.83333333302</v>
      </c>
      <c r="Z1278" s="24">
        <f t="shared" si="59"/>
        <v>3006732.833333333</v>
      </c>
      <c r="AB1278" s="37">
        <v>2165832.9999999991</v>
      </c>
      <c r="AC1278" s="38">
        <v>2165833</v>
      </c>
      <c r="AD1278" s="48">
        <v>0</v>
      </c>
      <c r="AE1278" s="27">
        <f>_xlfn.XLOOKUP(B1278,'Projects Cashflow'!$B:$B,'Projects Cashflow'!$AG:$AG,0)</f>
        <v>2165833</v>
      </c>
      <c r="AF1278" s="28">
        <f t="shared" si="60"/>
        <v>0</v>
      </c>
    </row>
    <row r="1279" spans="2:32" x14ac:dyDescent="0.3">
      <c r="B1279" s="14" t="str">
        <f t="shared" si="58"/>
        <v>45157004511001332Event Management-N2422401200104</v>
      </c>
      <c r="C1279" s="21" t="s">
        <v>211</v>
      </c>
      <c r="D1279" s="22">
        <v>4515700</v>
      </c>
      <c r="E1279" s="21" t="s">
        <v>340</v>
      </c>
      <c r="F1279" s="22">
        <v>4511001332</v>
      </c>
      <c r="G1279" s="21" t="s">
        <v>1576</v>
      </c>
      <c r="H1279" s="21" t="s">
        <v>387</v>
      </c>
      <c r="I1279" s="22">
        <v>422401</v>
      </c>
      <c r="J1279" s="22">
        <v>200104</v>
      </c>
      <c r="K1279" s="22" t="s">
        <v>2959</v>
      </c>
      <c r="L1279" s="22">
        <v>70206</v>
      </c>
      <c r="M1279" s="23" t="s">
        <v>2961</v>
      </c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  <c r="Y1279" s="21"/>
      <c r="Z1279" s="24">
        <f t="shared" si="59"/>
        <v>0</v>
      </c>
      <c r="AB1279" s="25">
        <v>21008400</v>
      </c>
      <c r="AC1279" s="26">
        <v>21008400</v>
      </c>
      <c r="AD1279" s="24">
        <v>0</v>
      </c>
      <c r="AE1279" s="27">
        <f>_xlfn.XLOOKUP(B1279,'Projects Cashflow'!$B:$B,'Projects Cashflow'!$AG:$AG,0)</f>
        <v>21008400</v>
      </c>
      <c r="AF1279" s="28">
        <f t="shared" si="60"/>
        <v>0</v>
      </c>
    </row>
    <row r="1280" spans="2:32" x14ac:dyDescent="0.3">
      <c r="B1280" s="14" t="str">
        <f t="shared" si="58"/>
        <v>45159004511000663Trade Promotion-N1424251200104</v>
      </c>
      <c r="C1280" s="34" t="s">
        <v>211</v>
      </c>
      <c r="D1280" s="35">
        <v>4515900</v>
      </c>
      <c r="E1280" s="34" t="s">
        <v>826</v>
      </c>
      <c r="F1280" s="35">
        <v>4511000663</v>
      </c>
      <c r="G1280" s="34" t="s">
        <v>3129</v>
      </c>
      <c r="H1280" s="34" t="s">
        <v>829</v>
      </c>
      <c r="I1280" s="35">
        <v>424251</v>
      </c>
      <c r="J1280" s="35">
        <v>200104</v>
      </c>
      <c r="K1280" s="35" t="s">
        <v>2959</v>
      </c>
      <c r="L1280" s="22">
        <v>70602</v>
      </c>
      <c r="M1280" s="36" t="s">
        <v>2960</v>
      </c>
      <c r="N1280" s="24">
        <v>0</v>
      </c>
      <c r="O1280" s="24">
        <v>0</v>
      </c>
      <c r="P1280" s="24">
        <v>33052.5</v>
      </c>
      <c r="Q1280" s="24">
        <v>0</v>
      </c>
      <c r="R1280" s="24">
        <v>0</v>
      </c>
      <c r="S1280" s="24">
        <v>0</v>
      </c>
      <c r="T1280" s="24">
        <v>0</v>
      </c>
      <c r="U1280" s="24">
        <v>0</v>
      </c>
      <c r="V1280" s="24">
        <v>0</v>
      </c>
      <c r="W1280" s="24">
        <v>0</v>
      </c>
      <c r="X1280" s="24">
        <v>99382.25</v>
      </c>
      <c r="Y1280" s="24">
        <v>132435.25</v>
      </c>
      <c r="Z1280" s="24">
        <f t="shared" si="59"/>
        <v>264870</v>
      </c>
      <c r="AB1280" s="37">
        <v>254970</v>
      </c>
      <c r="AC1280" s="38">
        <v>254970.5</v>
      </c>
      <c r="AD1280" s="48">
        <v>-0.5</v>
      </c>
      <c r="AE1280" s="27">
        <f>_xlfn.XLOOKUP(B1280,'Projects Cashflow'!$B:$B,'Projects Cashflow'!$AG:$AG,0)</f>
        <v>254970.5</v>
      </c>
      <c r="AF1280" s="28">
        <f t="shared" si="60"/>
        <v>0.5</v>
      </c>
    </row>
    <row r="1281" spans="2:32" x14ac:dyDescent="0.3">
      <c r="B1281" s="14" t="str">
        <f t="shared" si="58"/>
        <v>45159004511000663Mission &amp; Travel-N1423821200104</v>
      </c>
      <c r="C1281" s="21" t="s">
        <v>211</v>
      </c>
      <c r="D1281" s="22">
        <v>4515900</v>
      </c>
      <c r="E1281" s="21" t="s">
        <v>826</v>
      </c>
      <c r="F1281" s="22">
        <v>4511000663</v>
      </c>
      <c r="G1281" s="21" t="s">
        <v>3129</v>
      </c>
      <c r="H1281" s="21" t="s">
        <v>472</v>
      </c>
      <c r="I1281" s="22">
        <v>423821</v>
      </c>
      <c r="J1281" s="22">
        <v>200104</v>
      </c>
      <c r="K1281" s="22" t="s">
        <v>2959</v>
      </c>
      <c r="L1281" s="22">
        <v>70602</v>
      </c>
      <c r="M1281" s="23" t="s">
        <v>2960</v>
      </c>
      <c r="N1281" s="24">
        <v>0</v>
      </c>
      <c r="O1281" s="24">
        <v>0</v>
      </c>
      <c r="P1281" s="24">
        <v>0</v>
      </c>
      <c r="Q1281" s="24">
        <v>0</v>
      </c>
      <c r="R1281" s="24">
        <v>0</v>
      </c>
      <c r="S1281" s="24">
        <v>0</v>
      </c>
      <c r="T1281" s="24">
        <v>0</v>
      </c>
      <c r="U1281" s="24">
        <v>26280</v>
      </c>
      <c r="V1281" s="24">
        <v>50000</v>
      </c>
      <c r="W1281" s="24">
        <v>5538</v>
      </c>
      <c r="X1281" s="24">
        <v>0</v>
      </c>
      <c r="Y1281" s="24">
        <v>50025</v>
      </c>
      <c r="Z1281" s="24">
        <f t="shared" si="59"/>
        <v>131843</v>
      </c>
      <c r="AB1281" s="25">
        <v>131843</v>
      </c>
      <c r="AC1281" s="26">
        <v>131843</v>
      </c>
      <c r="AD1281" s="24">
        <v>0</v>
      </c>
      <c r="AE1281" s="27">
        <f>_xlfn.XLOOKUP(B1281,'Projects Cashflow'!$B:$B,'Projects Cashflow'!$AG:$AG,0)</f>
        <v>131843</v>
      </c>
      <c r="AF1281" s="28">
        <f t="shared" si="60"/>
        <v>0</v>
      </c>
    </row>
    <row r="1282" spans="2:32" x14ac:dyDescent="0.3">
      <c r="B1282" s="14" t="str">
        <f t="shared" si="58"/>
        <v>45159004511000663Licenses Fees-N424131200104</v>
      </c>
      <c r="C1282" s="21" t="s">
        <v>211</v>
      </c>
      <c r="D1282" s="22">
        <v>4515900</v>
      </c>
      <c r="E1282" s="21" t="s">
        <v>826</v>
      </c>
      <c r="F1282" s="22">
        <v>4511000663</v>
      </c>
      <c r="G1282" s="21" t="s">
        <v>3129</v>
      </c>
      <c r="H1282" s="21" t="s">
        <v>365</v>
      </c>
      <c r="I1282" s="22">
        <v>424131</v>
      </c>
      <c r="J1282" s="22">
        <v>200104</v>
      </c>
      <c r="K1282" s="22" t="s">
        <v>2959</v>
      </c>
      <c r="L1282" s="22">
        <v>70602</v>
      </c>
      <c r="M1282" s="23" t="s">
        <v>2960</v>
      </c>
      <c r="N1282" s="24">
        <v>0</v>
      </c>
      <c r="O1282" s="24">
        <v>0</v>
      </c>
      <c r="P1282" s="24">
        <v>0</v>
      </c>
      <c r="Q1282" s="24">
        <v>24840</v>
      </c>
      <c r="R1282" s="24">
        <v>0</v>
      </c>
      <c r="S1282" s="24">
        <v>0</v>
      </c>
      <c r="T1282" s="24">
        <v>0</v>
      </c>
      <c r="U1282" s="24">
        <v>0</v>
      </c>
      <c r="V1282" s="24">
        <v>0</v>
      </c>
      <c r="W1282" s="24">
        <v>0</v>
      </c>
      <c r="X1282" s="24">
        <v>0</v>
      </c>
      <c r="Y1282" s="24">
        <v>0</v>
      </c>
      <c r="Z1282" s="24">
        <f t="shared" si="59"/>
        <v>24840</v>
      </c>
      <c r="AB1282" s="25">
        <v>34740</v>
      </c>
      <c r="AC1282" s="26">
        <v>34740</v>
      </c>
      <c r="AD1282" s="24">
        <v>0</v>
      </c>
      <c r="AE1282" s="27">
        <f>_xlfn.XLOOKUP(B1282,'Projects Cashflow'!$B:$B,'Projects Cashflow'!$AG:$AG,0)</f>
        <v>34740</v>
      </c>
      <c r="AF1282" s="28">
        <f t="shared" si="60"/>
        <v>0</v>
      </c>
    </row>
    <row r="1283" spans="2:32" x14ac:dyDescent="0.3">
      <c r="B1283" s="14" t="str">
        <f t="shared" si="58"/>
        <v>45159004511000935Trade Promotion-N1424251200104</v>
      </c>
      <c r="C1283" s="21" t="s">
        <v>211</v>
      </c>
      <c r="D1283" s="22">
        <v>4515900</v>
      </c>
      <c r="E1283" s="21" t="s">
        <v>826</v>
      </c>
      <c r="F1283" s="22">
        <v>4511000935</v>
      </c>
      <c r="G1283" s="21" t="s">
        <v>1247</v>
      </c>
      <c r="H1283" s="21" t="s">
        <v>829</v>
      </c>
      <c r="I1283" s="22">
        <v>424251</v>
      </c>
      <c r="J1283" s="22">
        <v>200104</v>
      </c>
      <c r="K1283" s="22" t="s">
        <v>2959</v>
      </c>
      <c r="L1283" s="22">
        <v>70602</v>
      </c>
      <c r="M1283" s="23" t="s">
        <v>2960</v>
      </c>
      <c r="N1283" s="24">
        <v>0</v>
      </c>
      <c r="O1283" s="24">
        <v>0</v>
      </c>
      <c r="P1283" s="24">
        <v>0</v>
      </c>
      <c r="Q1283" s="24">
        <v>0</v>
      </c>
      <c r="R1283" s="24">
        <v>0</v>
      </c>
      <c r="S1283" s="24">
        <v>260000</v>
      </c>
      <c r="T1283" s="24">
        <v>50000</v>
      </c>
      <c r="U1283" s="24">
        <v>0</v>
      </c>
      <c r="V1283" s="24">
        <v>24000</v>
      </c>
      <c r="W1283" s="24">
        <v>20000</v>
      </c>
      <c r="X1283" s="24">
        <v>0</v>
      </c>
      <c r="Y1283" s="24">
        <v>130000</v>
      </c>
      <c r="Z1283" s="24">
        <f t="shared" si="59"/>
        <v>484000</v>
      </c>
      <c r="AB1283" s="25">
        <v>484000</v>
      </c>
      <c r="AC1283" s="26">
        <v>484000</v>
      </c>
      <c r="AD1283" s="24">
        <v>0</v>
      </c>
      <c r="AE1283" s="27">
        <f>_xlfn.XLOOKUP(B1283,'Projects Cashflow'!$B:$B,'Projects Cashflow'!$AG:$AG,0)</f>
        <v>484000</v>
      </c>
      <c r="AF1283" s="28">
        <f t="shared" si="60"/>
        <v>0</v>
      </c>
    </row>
    <row r="1284" spans="2:32" x14ac:dyDescent="0.3">
      <c r="B1284" s="14" t="str">
        <f t="shared" si="58"/>
        <v>45159004511000935Mission &amp; Travel-N1423821200104</v>
      </c>
      <c r="C1284" s="21" t="s">
        <v>211</v>
      </c>
      <c r="D1284" s="22">
        <v>4515900</v>
      </c>
      <c r="E1284" s="21" t="s">
        <v>826</v>
      </c>
      <c r="F1284" s="22">
        <v>4511000935</v>
      </c>
      <c r="G1284" s="21" t="s">
        <v>1247</v>
      </c>
      <c r="H1284" s="21" t="s">
        <v>472</v>
      </c>
      <c r="I1284" s="22">
        <v>423821</v>
      </c>
      <c r="J1284" s="22">
        <v>200104</v>
      </c>
      <c r="K1284" s="22" t="s">
        <v>2959</v>
      </c>
      <c r="L1284" s="22">
        <v>70602</v>
      </c>
      <c r="M1284" s="23" t="s">
        <v>2960</v>
      </c>
      <c r="N1284" s="24">
        <v>0</v>
      </c>
      <c r="O1284" s="24">
        <v>0</v>
      </c>
      <c r="P1284" s="24">
        <v>0</v>
      </c>
      <c r="Q1284" s="24">
        <v>0</v>
      </c>
      <c r="R1284" s="24">
        <v>0</v>
      </c>
      <c r="S1284" s="24">
        <v>0</v>
      </c>
      <c r="T1284" s="24">
        <v>0</v>
      </c>
      <c r="U1284" s="24">
        <v>51167</v>
      </c>
      <c r="V1284" s="24">
        <v>132600</v>
      </c>
      <c r="W1284" s="24">
        <v>75250</v>
      </c>
      <c r="X1284" s="24">
        <v>0</v>
      </c>
      <c r="Y1284" s="24">
        <v>0</v>
      </c>
      <c r="Z1284" s="24">
        <f t="shared" si="59"/>
        <v>259017</v>
      </c>
      <c r="AB1284" s="25">
        <v>259017</v>
      </c>
      <c r="AC1284" s="26">
        <v>259017</v>
      </c>
      <c r="AD1284" s="24">
        <v>0</v>
      </c>
      <c r="AE1284" s="27">
        <f>_xlfn.XLOOKUP(B1284,'Projects Cashflow'!$B:$B,'Projects Cashflow'!$AG:$AG,0)</f>
        <v>259017</v>
      </c>
      <c r="AF1284" s="28">
        <f t="shared" si="60"/>
        <v>0</v>
      </c>
    </row>
    <row r="1285" spans="2:32" x14ac:dyDescent="0.3">
      <c r="B1285" s="14" t="str">
        <f t="shared" ref="B1285:B1348" si="61">D1285&amp;F1285&amp;H1285&amp;I1285&amp;J1285</f>
        <v>45159004511000935Trade Partners-N1424251200104</v>
      </c>
      <c r="C1285" s="21" t="s">
        <v>211</v>
      </c>
      <c r="D1285" s="22">
        <v>4515900</v>
      </c>
      <c r="E1285" s="21" t="s">
        <v>826</v>
      </c>
      <c r="F1285" s="22">
        <v>4511000935</v>
      </c>
      <c r="G1285" s="21" t="s">
        <v>1247</v>
      </c>
      <c r="H1285" s="21" t="s">
        <v>1249</v>
      </c>
      <c r="I1285" s="22">
        <v>424251</v>
      </c>
      <c r="J1285" s="22">
        <v>200104</v>
      </c>
      <c r="K1285" s="22" t="s">
        <v>2959</v>
      </c>
      <c r="L1285" s="22">
        <v>70602</v>
      </c>
      <c r="M1285" s="23" t="s">
        <v>2960</v>
      </c>
      <c r="N1285" s="24">
        <v>0</v>
      </c>
      <c r="O1285" s="24">
        <v>0</v>
      </c>
      <c r="P1285" s="24">
        <v>0</v>
      </c>
      <c r="Q1285" s="24">
        <v>0</v>
      </c>
      <c r="R1285" s="24">
        <v>0</v>
      </c>
      <c r="S1285" s="24">
        <v>57250</v>
      </c>
      <c r="T1285" s="24">
        <v>0</v>
      </c>
      <c r="U1285" s="24">
        <v>0</v>
      </c>
      <c r="V1285" s="24">
        <v>0</v>
      </c>
      <c r="W1285" s="24">
        <v>0</v>
      </c>
      <c r="X1285" s="24">
        <v>0</v>
      </c>
      <c r="Y1285" s="24">
        <v>0</v>
      </c>
      <c r="Z1285" s="24">
        <f t="shared" ref="Z1285:Z1348" si="62">SUM(N1285:Y1285)</f>
        <v>57250</v>
      </c>
      <c r="AB1285" s="25">
        <v>57250</v>
      </c>
      <c r="AC1285" s="26">
        <v>57250</v>
      </c>
      <c r="AD1285" s="24">
        <v>0</v>
      </c>
      <c r="AE1285" s="27">
        <f>_xlfn.XLOOKUP(B1285,'Projects Cashflow'!$B:$B,'Projects Cashflow'!$AG:$AG,0)</f>
        <v>57250</v>
      </c>
      <c r="AF1285" s="28">
        <f t="shared" ref="AF1285:AF1348" si="63">AE1285-AB1285</f>
        <v>0</v>
      </c>
    </row>
    <row r="1286" spans="2:32" x14ac:dyDescent="0.3">
      <c r="B1286" s="14" t="str">
        <f t="shared" si="61"/>
        <v>45159004511000935Admin Expenses-N1421125200104</v>
      </c>
      <c r="C1286" s="21" t="s">
        <v>211</v>
      </c>
      <c r="D1286" s="22">
        <v>4515900</v>
      </c>
      <c r="E1286" s="21" t="s">
        <v>826</v>
      </c>
      <c r="F1286" s="22">
        <v>4511000935</v>
      </c>
      <c r="G1286" s="21" t="s">
        <v>1247</v>
      </c>
      <c r="H1286" s="21" t="s">
        <v>73</v>
      </c>
      <c r="I1286" s="22">
        <v>421125</v>
      </c>
      <c r="J1286" s="22">
        <v>200104</v>
      </c>
      <c r="K1286" s="22" t="s">
        <v>2959</v>
      </c>
      <c r="L1286" s="22">
        <v>70602</v>
      </c>
      <c r="M1286" s="23" t="s">
        <v>2960</v>
      </c>
      <c r="N1286" s="24">
        <v>0</v>
      </c>
      <c r="O1286" s="24">
        <v>0</v>
      </c>
      <c r="P1286" s="24">
        <v>0</v>
      </c>
      <c r="Q1286" s="24">
        <v>5500</v>
      </c>
      <c r="R1286" s="24">
        <v>0</v>
      </c>
      <c r="S1286" s="24">
        <v>0</v>
      </c>
      <c r="T1286" s="24">
        <v>0</v>
      </c>
      <c r="U1286" s="24">
        <v>0</v>
      </c>
      <c r="V1286" s="24">
        <v>0</v>
      </c>
      <c r="W1286" s="24">
        <v>0</v>
      </c>
      <c r="X1286" s="24">
        <v>0</v>
      </c>
      <c r="Y1286" s="24">
        <v>0</v>
      </c>
      <c r="Z1286" s="24">
        <f t="shared" si="62"/>
        <v>5500</v>
      </c>
      <c r="AB1286" s="25">
        <v>5500</v>
      </c>
      <c r="AC1286" s="26">
        <v>5500</v>
      </c>
      <c r="AD1286" s="24">
        <v>0</v>
      </c>
      <c r="AE1286" s="27">
        <f>_xlfn.XLOOKUP(B1286,'Projects Cashflow'!$B:$B,'Projects Cashflow'!$AG:$AG,0)</f>
        <v>5500</v>
      </c>
      <c r="AF1286" s="28">
        <f t="shared" si="63"/>
        <v>0</v>
      </c>
    </row>
    <row r="1287" spans="2:32" x14ac:dyDescent="0.3">
      <c r="B1287" s="14" t="str">
        <f t="shared" si="61"/>
        <v>45159004511000942MICE-M&amp;I-N1461412200104</v>
      </c>
      <c r="C1287" s="34" t="s">
        <v>211</v>
      </c>
      <c r="D1287" s="35">
        <v>4515900</v>
      </c>
      <c r="E1287" s="34" t="s">
        <v>826</v>
      </c>
      <c r="F1287" s="35">
        <v>4511000942</v>
      </c>
      <c r="G1287" s="34" t="s">
        <v>1251</v>
      </c>
      <c r="H1287" s="34" t="s">
        <v>1254</v>
      </c>
      <c r="I1287" s="35">
        <v>461412</v>
      </c>
      <c r="J1287" s="35">
        <v>200104</v>
      </c>
      <c r="K1287" s="35" t="s">
        <v>2959</v>
      </c>
      <c r="L1287" s="22">
        <v>70602</v>
      </c>
      <c r="M1287" s="36" t="s">
        <v>2961</v>
      </c>
      <c r="N1287" s="24">
        <v>0</v>
      </c>
      <c r="O1287" s="24">
        <v>0</v>
      </c>
      <c r="P1287" s="24">
        <v>0</v>
      </c>
      <c r="Q1287" s="24">
        <v>2216039</v>
      </c>
      <c r="R1287" s="24">
        <v>400000</v>
      </c>
      <c r="S1287" s="24">
        <v>500000</v>
      </c>
      <c r="T1287" s="24">
        <v>383961</v>
      </c>
      <c r="U1287" s="24">
        <v>0</v>
      </c>
      <c r="V1287" s="24">
        <v>0</v>
      </c>
      <c r="W1287" s="24">
        <v>0</v>
      </c>
      <c r="X1287" s="24">
        <v>0</v>
      </c>
      <c r="Y1287" s="24">
        <v>500000</v>
      </c>
      <c r="Z1287" s="24">
        <f t="shared" si="62"/>
        <v>4000000</v>
      </c>
      <c r="AB1287" s="37">
        <v>3497737</v>
      </c>
      <c r="AC1287" s="38">
        <v>3497737</v>
      </c>
      <c r="AD1287" s="48">
        <v>0</v>
      </c>
      <c r="AE1287" s="27">
        <f>_xlfn.XLOOKUP(B1287,'Projects Cashflow'!$B:$B,'Projects Cashflow'!$AG:$AG,0)</f>
        <v>3497737</v>
      </c>
      <c r="AF1287" s="28">
        <f t="shared" si="63"/>
        <v>0</v>
      </c>
    </row>
    <row r="1288" spans="2:32" x14ac:dyDescent="0.3">
      <c r="B1288" s="14" t="str">
        <f t="shared" si="61"/>
        <v>45159004511000942Event Management-N1422401200104</v>
      </c>
      <c r="C1288" s="21" t="s">
        <v>211</v>
      </c>
      <c r="D1288" s="22">
        <v>4515900</v>
      </c>
      <c r="E1288" s="21" t="s">
        <v>826</v>
      </c>
      <c r="F1288" s="22">
        <v>4511000942</v>
      </c>
      <c r="G1288" s="21" t="s">
        <v>1251</v>
      </c>
      <c r="H1288" s="21" t="s">
        <v>122</v>
      </c>
      <c r="I1288" s="22">
        <v>422401</v>
      </c>
      <c r="J1288" s="22">
        <v>200104</v>
      </c>
      <c r="K1288" s="22" t="s">
        <v>2959</v>
      </c>
      <c r="L1288" s="22">
        <v>70602</v>
      </c>
      <c r="M1288" s="23" t="s">
        <v>2961</v>
      </c>
      <c r="N1288" s="24">
        <v>0</v>
      </c>
      <c r="O1288" s="24">
        <v>0</v>
      </c>
      <c r="P1288" s="24">
        <v>0</v>
      </c>
      <c r="Q1288" s="24">
        <v>0</v>
      </c>
      <c r="R1288" s="24">
        <v>0</v>
      </c>
      <c r="S1288" s="24">
        <v>0</v>
      </c>
      <c r="T1288" s="24">
        <v>1160000</v>
      </c>
      <c r="U1288" s="24">
        <v>0</v>
      </c>
      <c r="V1288" s="24">
        <v>0</v>
      </c>
      <c r="W1288" s="24">
        <v>0</v>
      </c>
      <c r="X1288" s="24">
        <v>1160000</v>
      </c>
      <c r="Y1288" s="24">
        <v>580000</v>
      </c>
      <c r="Z1288" s="24">
        <f t="shared" si="62"/>
        <v>2900000</v>
      </c>
      <c r="AB1288" s="25">
        <v>2900000</v>
      </c>
      <c r="AC1288" s="26">
        <v>2900000</v>
      </c>
      <c r="AD1288" s="24">
        <v>0</v>
      </c>
      <c r="AE1288" s="27">
        <f>_xlfn.XLOOKUP(B1288,'Projects Cashflow'!$B:$B,'Projects Cashflow'!$AG:$AG,0)</f>
        <v>2900000</v>
      </c>
      <c r="AF1288" s="28">
        <f t="shared" si="63"/>
        <v>0</v>
      </c>
    </row>
    <row r="1289" spans="2:32" x14ac:dyDescent="0.3">
      <c r="B1289" s="14" t="str">
        <f t="shared" si="61"/>
        <v>45159004511000942PR&amp;MediaCoverage-N1424781200104</v>
      </c>
      <c r="C1289" s="34" t="s">
        <v>211</v>
      </c>
      <c r="D1289" s="35">
        <v>4515900</v>
      </c>
      <c r="E1289" s="34" t="s">
        <v>826</v>
      </c>
      <c r="F1289" s="35">
        <v>4511000942</v>
      </c>
      <c r="G1289" s="34" t="s">
        <v>1251</v>
      </c>
      <c r="H1289" s="34" t="s">
        <v>906</v>
      </c>
      <c r="I1289" s="35">
        <v>424781</v>
      </c>
      <c r="J1289" s="35">
        <v>200104</v>
      </c>
      <c r="K1289" s="35" t="s">
        <v>2959</v>
      </c>
      <c r="L1289" s="22">
        <v>70602</v>
      </c>
      <c r="M1289" s="36" t="s">
        <v>2961</v>
      </c>
      <c r="N1289" s="24">
        <v>0</v>
      </c>
      <c r="O1289" s="24">
        <v>0</v>
      </c>
      <c r="P1289" s="24">
        <v>0</v>
      </c>
      <c r="Q1289" s="24">
        <v>0</v>
      </c>
      <c r="R1289" s="24">
        <v>0</v>
      </c>
      <c r="S1289" s="24">
        <v>0</v>
      </c>
      <c r="T1289" s="24">
        <v>0</v>
      </c>
      <c r="U1289" s="24">
        <v>0</v>
      </c>
      <c r="V1289" s="24">
        <v>0</v>
      </c>
      <c r="W1289" s="24">
        <v>803875</v>
      </c>
      <c r="X1289" s="24">
        <v>0</v>
      </c>
      <c r="Y1289" s="24">
        <v>0</v>
      </c>
      <c r="Z1289" s="24">
        <f t="shared" si="62"/>
        <v>803875</v>
      </c>
      <c r="AB1289" s="37">
        <v>977875</v>
      </c>
      <c r="AC1289" s="38">
        <v>977875</v>
      </c>
      <c r="AD1289" s="48">
        <v>0</v>
      </c>
      <c r="AE1289" s="27">
        <f>_xlfn.XLOOKUP(B1289,'Projects Cashflow'!$B:$B,'Projects Cashflow'!$AG:$AG,0)</f>
        <v>977875</v>
      </c>
      <c r="AF1289" s="28">
        <f t="shared" si="63"/>
        <v>0</v>
      </c>
    </row>
    <row r="1290" spans="2:32" x14ac:dyDescent="0.3">
      <c r="B1290" s="14" t="str">
        <f t="shared" si="61"/>
        <v>45159004511000942Partnership Fees-N1422401200104</v>
      </c>
      <c r="C1290" s="34" t="s">
        <v>211</v>
      </c>
      <c r="D1290" s="35">
        <v>4515900</v>
      </c>
      <c r="E1290" s="34" t="s">
        <v>826</v>
      </c>
      <c r="F1290" s="35">
        <v>4511000942</v>
      </c>
      <c r="G1290" s="34" t="s">
        <v>1251</v>
      </c>
      <c r="H1290" s="34" t="s">
        <v>1258</v>
      </c>
      <c r="I1290" s="35">
        <v>422401</v>
      </c>
      <c r="J1290" s="35">
        <v>200104</v>
      </c>
      <c r="K1290" s="35" t="s">
        <v>2959</v>
      </c>
      <c r="L1290" s="22">
        <v>70602</v>
      </c>
      <c r="M1290" s="36" t="s">
        <v>2961</v>
      </c>
      <c r="N1290" s="24">
        <v>0</v>
      </c>
      <c r="O1290" s="24">
        <v>0</v>
      </c>
      <c r="P1290" s="24">
        <v>0</v>
      </c>
      <c r="Q1290" s="24">
        <v>0</v>
      </c>
      <c r="R1290" s="24">
        <v>542000</v>
      </c>
      <c r="S1290" s="24">
        <v>0</v>
      </c>
      <c r="T1290" s="24">
        <v>0</v>
      </c>
      <c r="U1290" s="24">
        <v>0</v>
      </c>
      <c r="V1290" s="24">
        <v>0</v>
      </c>
      <c r="W1290" s="24">
        <v>0</v>
      </c>
      <c r="X1290" s="24">
        <v>0</v>
      </c>
      <c r="Y1290" s="24">
        <v>0</v>
      </c>
      <c r="Z1290" s="24">
        <f t="shared" si="62"/>
        <v>542000</v>
      </c>
      <c r="AB1290" s="37">
        <v>529000</v>
      </c>
      <c r="AC1290" s="38">
        <v>529000</v>
      </c>
      <c r="AD1290" s="48">
        <v>0</v>
      </c>
      <c r="AE1290" s="27">
        <f>_xlfn.XLOOKUP(B1290,'Projects Cashflow'!$B:$B,'Projects Cashflow'!$AG:$AG,0)</f>
        <v>529000</v>
      </c>
      <c r="AF1290" s="28">
        <f t="shared" si="63"/>
        <v>0</v>
      </c>
    </row>
    <row r="1291" spans="2:32" x14ac:dyDescent="0.3">
      <c r="B1291" s="14" t="str">
        <f t="shared" si="61"/>
        <v>45159004511000942GSA Retainer-N1421125200104</v>
      </c>
      <c r="C1291" s="34" t="s">
        <v>211</v>
      </c>
      <c r="D1291" s="35">
        <v>4515900</v>
      </c>
      <c r="E1291" s="34" t="s">
        <v>826</v>
      </c>
      <c r="F1291" s="35">
        <v>4511000942</v>
      </c>
      <c r="G1291" s="34" t="s">
        <v>1251</v>
      </c>
      <c r="H1291" s="34" t="s">
        <v>1253</v>
      </c>
      <c r="I1291" s="35">
        <v>421125</v>
      </c>
      <c r="J1291" s="35">
        <v>200104</v>
      </c>
      <c r="K1291" s="35" t="s">
        <v>2959</v>
      </c>
      <c r="L1291" s="22">
        <v>70602</v>
      </c>
      <c r="M1291" s="36" t="s">
        <v>2961</v>
      </c>
      <c r="N1291" s="24">
        <v>0</v>
      </c>
      <c r="O1291" s="24">
        <v>0</v>
      </c>
      <c r="P1291" s="24">
        <v>0</v>
      </c>
      <c r="Q1291" s="24">
        <v>91178.993749999994</v>
      </c>
      <c r="R1291" s="24">
        <v>29655.4375</v>
      </c>
      <c r="S1291" s="24">
        <v>29655.4375</v>
      </c>
      <c r="T1291" s="24">
        <v>29655.4375</v>
      </c>
      <c r="U1291" s="24">
        <v>29655.4375</v>
      </c>
      <c r="V1291" s="24">
        <v>29655.4375</v>
      </c>
      <c r="W1291" s="24">
        <v>29655.4375</v>
      </c>
      <c r="X1291" s="24">
        <v>29655.4375</v>
      </c>
      <c r="Y1291" s="24">
        <v>29655.4375</v>
      </c>
      <c r="Z1291" s="24">
        <f t="shared" si="62"/>
        <v>328422.49375000002</v>
      </c>
      <c r="AB1291" s="37">
        <v>304422.49375000002</v>
      </c>
      <c r="AC1291" s="38">
        <v>304422</v>
      </c>
      <c r="AD1291" s="48">
        <v>0.49375000002328306</v>
      </c>
      <c r="AE1291" s="27">
        <f>_xlfn.XLOOKUP(B1291,'Projects Cashflow'!$B:$B,'Projects Cashflow'!$AG:$AG,0)</f>
        <v>304422</v>
      </c>
      <c r="AF1291" s="28">
        <f t="shared" si="63"/>
        <v>-0.49375000002328306</v>
      </c>
    </row>
    <row r="1292" spans="2:32" x14ac:dyDescent="0.3">
      <c r="B1292" s="14" t="str">
        <f t="shared" si="61"/>
        <v>45159004511000942Trade Promotion-N1424251200104</v>
      </c>
      <c r="C1292" s="21" t="s">
        <v>211</v>
      </c>
      <c r="D1292" s="22">
        <v>4515900</v>
      </c>
      <c r="E1292" s="21" t="s">
        <v>826</v>
      </c>
      <c r="F1292" s="22">
        <v>4511000942</v>
      </c>
      <c r="G1292" s="21" t="s">
        <v>1251</v>
      </c>
      <c r="H1292" s="21" t="s">
        <v>829</v>
      </c>
      <c r="I1292" s="22">
        <v>424251</v>
      </c>
      <c r="J1292" s="22">
        <v>200104</v>
      </c>
      <c r="K1292" s="22" t="s">
        <v>2959</v>
      </c>
      <c r="L1292" s="22">
        <v>70602</v>
      </c>
      <c r="M1292" s="23" t="s">
        <v>2961</v>
      </c>
      <c r="N1292" s="24">
        <v>0</v>
      </c>
      <c r="O1292" s="24">
        <v>0</v>
      </c>
      <c r="P1292" s="24">
        <v>0</v>
      </c>
      <c r="Q1292" s="24">
        <v>10850</v>
      </c>
      <c r="R1292" s="24">
        <v>0</v>
      </c>
      <c r="S1292" s="24">
        <v>20000</v>
      </c>
      <c r="T1292" s="24">
        <v>54681</v>
      </c>
      <c r="U1292" s="24">
        <v>0</v>
      </c>
      <c r="V1292" s="24">
        <v>50979</v>
      </c>
      <c r="W1292" s="24">
        <v>40000</v>
      </c>
      <c r="X1292" s="24">
        <v>53490</v>
      </c>
      <c r="Y1292" s="24">
        <v>20000</v>
      </c>
      <c r="Z1292" s="24">
        <f t="shared" si="62"/>
        <v>250000</v>
      </c>
      <c r="AB1292" s="25">
        <v>250000</v>
      </c>
      <c r="AC1292" s="26">
        <v>250000</v>
      </c>
      <c r="AD1292" s="24">
        <v>0</v>
      </c>
      <c r="AE1292" s="27">
        <f>_xlfn.XLOOKUP(B1292,'Projects Cashflow'!$B:$B,'Projects Cashflow'!$AG:$AG,0)</f>
        <v>250000</v>
      </c>
      <c r="AF1292" s="28">
        <f t="shared" si="63"/>
        <v>0</v>
      </c>
    </row>
    <row r="1293" spans="2:32" x14ac:dyDescent="0.3">
      <c r="B1293" s="14" t="str">
        <f t="shared" si="61"/>
        <v>45159004511000942Mission &amp; Travel-N423821200104</v>
      </c>
      <c r="C1293" s="34" t="s">
        <v>211</v>
      </c>
      <c r="D1293" s="35">
        <v>4515900</v>
      </c>
      <c r="E1293" s="34" t="s">
        <v>826</v>
      </c>
      <c r="F1293" s="35">
        <v>4511000942</v>
      </c>
      <c r="G1293" s="34" t="s">
        <v>1251</v>
      </c>
      <c r="H1293" s="34" t="s">
        <v>54</v>
      </c>
      <c r="I1293" s="35">
        <v>423821</v>
      </c>
      <c r="J1293" s="35">
        <v>200104</v>
      </c>
      <c r="K1293" s="35" t="s">
        <v>2959</v>
      </c>
      <c r="L1293" s="22">
        <v>70602</v>
      </c>
      <c r="M1293" s="36" t="s">
        <v>2961</v>
      </c>
      <c r="N1293" s="24">
        <v>0</v>
      </c>
      <c r="O1293" s="24">
        <v>0</v>
      </c>
      <c r="P1293" s="24">
        <v>0</v>
      </c>
      <c r="Q1293" s="24">
        <v>0</v>
      </c>
      <c r="R1293" s="24">
        <v>0</v>
      </c>
      <c r="S1293" s="24">
        <v>18000</v>
      </c>
      <c r="T1293" s="24">
        <v>18000</v>
      </c>
      <c r="U1293" s="24">
        <v>44578</v>
      </c>
      <c r="V1293" s="24">
        <v>0</v>
      </c>
      <c r="W1293" s="24">
        <v>23000</v>
      </c>
      <c r="X1293" s="24">
        <v>0</v>
      </c>
      <c r="Y1293" s="24">
        <v>18000</v>
      </c>
      <c r="Z1293" s="24">
        <f t="shared" si="62"/>
        <v>121578</v>
      </c>
      <c r="AB1293" s="37">
        <v>71578</v>
      </c>
      <c r="AC1293" s="38">
        <v>71578</v>
      </c>
      <c r="AD1293" s="48">
        <v>0</v>
      </c>
      <c r="AE1293" s="27">
        <f>_xlfn.XLOOKUP(B1293,'Projects Cashflow'!$B:$B,'Projects Cashflow'!$AG:$AG,0)</f>
        <v>71578</v>
      </c>
      <c r="AF1293" s="28">
        <f t="shared" si="63"/>
        <v>0</v>
      </c>
    </row>
    <row r="1294" spans="2:32" x14ac:dyDescent="0.3">
      <c r="B1294" s="14" t="str">
        <f t="shared" si="61"/>
        <v>45159004511001128Freelancers-N1424521200104</v>
      </c>
      <c r="C1294" s="34" t="s">
        <v>211</v>
      </c>
      <c r="D1294" s="35">
        <v>4515900</v>
      </c>
      <c r="E1294" s="34" t="s">
        <v>826</v>
      </c>
      <c r="F1294" s="35">
        <v>4511001128</v>
      </c>
      <c r="G1294" s="34" t="s">
        <v>3130</v>
      </c>
      <c r="H1294" s="34" t="s">
        <v>303</v>
      </c>
      <c r="I1294" s="35">
        <v>424521</v>
      </c>
      <c r="J1294" s="35">
        <v>200104</v>
      </c>
      <c r="K1294" s="35" t="s">
        <v>2959</v>
      </c>
      <c r="L1294" s="22">
        <v>70602</v>
      </c>
      <c r="M1294" s="36" t="s">
        <v>2961</v>
      </c>
      <c r="N1294" s="24">
        <v>114000</v>
      </c>
      <c r="O1294" s="24">
        <v>45000</v>
      </c>
      <c r="P1294" s="24">
        <v>0</v>
      </c>
      <c r="Q1294" s="24">
        <v>102786</v>
      </c>
      <c r="R1294" s="24">
        <v>65000</v>
      </c>
      <c r="S1294" s="24">
        <v>65000</v>
      </c>
      <c r="T1294" s="24">
        <v>65000</v>
      </c>
      <c r="U1294" s="24">
        <v>65000</v>
      </c>
      <c r="V1294" s="24">
        <v>65000</v>
      </c>
      <c r="W1294" s="24">
        <v>65000</v>
      </c>
      <c r="X1294" s="24">
        <v>65000</v>
      </c>
      <c r="Y1294" s="24">
        <v>40322.580645161288</v>
      </c>
      <c r="Z1294" s="24">
        <f t="shared" si="62"/>
        <v>757108.58064516133</v>
      </c>
      <c r="AB1294" s="37">
        <v>617108.58064516133</v>
      </c>
      <c r="AC1294" s="38">
        <v>617109</v>
      </c>
      <c r="AD1294" s="48">
        <v>-0.41935483866836876</v>
      </c>
      <c r="AE1294" s="27">
        <f>_xlfn.XLOOKUP(B1294,'Projects Cashflow'!$B:$B,'Projects Cashflow'!$AG:$AG,0)</f>
        <v>617109</v>
      </c>
      <c r="AF1294" s="28">
        <f t="shared" si="63"/>
        <v>0.41935483866836876</v>
      </c>
    </row>
    <row r="1295" spans="2:32" x14ac:dyDescent="0.3">
      <c r="B1295" s="14" t="str">
        <f t="shared" si="61"/>
        <v>45159004511001128Strategy Advice-N2421123200104</v>
      </c>
      <c r="C1295" s="34" t="s">
        <v>211</v>
      </c>
      <c r="D1295" s="35">
        <v>4515900</v>
      </c>
      <c r="E1295" s="34" t="s">
        <v>826</v>
      </c>
      <c r="F1295" s="35">
        <v>4511001128</v>
      </c>
      <c r="G1295" s="34" t="s">
        <v>3130</v>
      </c>
      <c r="H1295" s="34" t="s">
        <v>921</v>
      </c>
      <c r="I1295" s="35">
        <v>421123</v>
      </c>
      <c r="J1295" s="35">
        <v>200104</v>
      </c>
      <c r="K1295" s="35" t="s">
        <v>2959</v>
      </c>
      <c r="L1295" s="22">
        <v>70602</v>
      </c>
      <c r="M1295" s="36" t="s">
        <v>2969</v>
      </c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4">
        <f t="shared" si="62"/>
        <v>0</v>
      </c>
      <c r="AB1295" s="37">
        <v>555000</v>
      </c>
      <c r="AC1295" s="38">
        <v>555000</v>
      </c>
      <c r="AD1295" s="48">
        <v>0</v>
      </c>
      <c r="AE1295" s="27">
        <f>_xlfn.XLOOKUP(B1295,'Projects Cashflow'!$B:$B,'Projects Cashflow'!$AG:$AG,0)</f>
        <v>555000</v>
      </c>
      <c r="AF1295" s="28">
        <f t="shared" si="63"/>
        <v>0</v>
      </c>
    </row>
    <row r="1296" spans="2:32" x14ac:dyDescent="0.3">
      <c r="B1296" s="14" t="str">
        <f t="shared" si="61"/>
        <v>45159004511001208Venue&amp;Room Rent-N1422401200104</v>
      </c>
      <c r="C1296" s="21" t="s">
        <v>211</v>
      </c>
      <c r="D1296" s="22">
        <v>4515900</v>
      </c>
      <c r="E1296" s="21" t="s">
        <v>826</v>
      </c>
      <c r="F1296" s="22">
        <v>4511001208</v>
      </c>
      <c r="G1296" s="21" t="s">
        <v>3131</v>
      </c>
      <c r="H1296" s="21" t="s">
        <v>1464</v>
      </c>
      <c r="I1296" s="22">
        <v>422401</v>
      </c>
      <c r="J1296" s="22">
        <v>200104</v>
      </c>
      <c r="K1296" s="22" t="s">
        <v>2959</v>
      </c>
      <c r="L1296" s="22">
        <v>70602</v>
      </c>
      <c r="M1296" s="23" t="s">
        <v>2960</v>
      </c>
      <c r="N1296" s="24">
        <v>0</v>
      </c>
      <c r="O1296" s="24">
        <v>0</v>
      </c>
      <c r="P1296" s="24">
        <v>0</v>
      </c>
      <c r="Q1296" s="24">
        <v>0</v>
      </c>
      <c r="R1296" s="24">
        <v>1159775</v>
      </c>
      <c r="S1296" s="24">
        <v>0</v>
      </c>
      <c r="T1296" s="24">
        <v>0</v>
      </c>
      <c r="U1296" s="24">
        <v>0</v>
      </c>
      <c r="V1296" s="24">
        <v>0</v>
      </c>
      <c r="W1296" s="24">
        <v>0</v>
      </c>
      <c r="X1296" s="24">
        <v>0</v>
      </c>
      <c r="Y1296" s="24">
        <v>0</v>
      </c>
      <c r="Z1296" s="24">
        <f t="shared" si="62"/>
        <v>1159775</v>
      </c>
      <c r="AB1296" s="25">
        <v>1197775</v>
      </c>
      <c r="AC1296" s="26">
        <v>1197775</v>
      </c>
      <c r="AD1296" s="24">
        <v>0</v>
      </c>
      <c r="AE1296" s="27">
        <f>_xlfn.XLOOKUP(B1296,'Projects Cashflow'!$B:$B,'Projects Cashflow'!$AG:$AG,0)</f>
        <v>1197775</v>
      </c>
      <c r="AF1296" s="28">
        <f t="shared" si="63"/>
        <v>0</v>
      </c>
    </row>
    <row r="1297" spans="2:32" x14ac:dyDescent="0.3">
      <c r="B1297" s="14" t="str">
        <f t="shared" si="61"/>
        <v>45159004511001208Design &amp; Build-N1424221200104</v>
      </c>
      <c r="C1297" s="21" t="s">
        <v>211</v>
      </c>
      <c r="D1297" s="22">
        <v>4515900</v>
      </c>
      <c r="E1297" s="21" t="s">
        <v>826</v>
      </c>
      <c r="F1297" s="22">
        <v>4511001208</v>
      </c>
      <c r="G1297" s="21" t="s">
        <v>3131</v>
      </c>
      <c r="H1297" s="21" t="s">
        <v>1321</v>
      </c>
      <c r="I1297" s="22">
        <v>424221</v>
      </c>
      <c r="J1297" s="22">
        <v>200104</v>
      </c>
      <c r="K1297" s="22" t="s">
        <v>2959</v>
      </c>
      <c r="L1297" s="22">
        <v>70602</v>
      </c>
      <c r="M1297" s="23" t="s">
        <v>2960</v>
      </c>
      <c r="N1297" s="24">
        <v>0</v>
      </c>
      <c r="O1297" s="24">
        <v>0</v>
      </c>
      <c r="P1297" s="24">
        <v>0</v>
      </c>
      <c r="Q1297" s="24">
        <v>0</v>
      </c>
      <c r="R1297" s="24">
        <v>0</v>
      </c>
      <c r="S1297" s="24">
        <v>0</v>
      </c>
      <c r="T1297" s="24">
        <v>0</v>
      </c>
      <c r="U1297" s="24">
        <v>0</v>
      </c>
      <c r="V1297" s="24">
        <v>0</v>
      </c>
      <c r="W1297" s="24">
        <v>0</v>
      </c>
      <c r="X1297" s="24">
        <v>0</v>
      </c>
      <c r="Y1297" s="24">
        <v>247500</v>
      </c>
      <c r="Z1297" s="24">
        <f t="shared" si="62"/>
        <v>247500</v>
      </c>
      <c r="AB1297" s="25">
        <v>209500</v>
      </c>
      <c r="AC1297" s="26">
        <v>209500</v>
      </c>
      <c r="AD1297" s="24">
        <v>0</v>
      </c>
      <c r="AE1297" s="27">
        <f>_xlfn.XLOOKUP(B1297,'Projects Cashflow'!$B:$B,'Projects Cashflow'!$AG:$AG,0)</f>
        <v>209500</v>
      </c>
      <c r="AF1297" s="28">
        <f t="shared" si="63"/>
        <v>0</v>
      </c>
    </row>
    <row r="1298" spans="2:32" x14ac:dyDescent="0.3">
      <c r="B1298" s="14" t="str">
        <f t="shared" si="61"/>
        <v>45159004511001208Hospitality-N1424761200104</v>
      </c>
      <c r="C1298" s="21" t="s">
        <v>211</v>
      </c>
      <c r="D1298" s="22">
        <v>4515900</v>
      </c>
      <c r="E1298" s="21" t="s">
        <v>826</v>
      </c>
      <c r="F1298" s="22">
        <v>4511001208</v>
      </c>
      <c r="G1298" s="21" t="s">
        <v>3131</v>
      </c>
      <c r="H1298" s="21" t="s">
        <v>399</v>
      </c>
      <c r="I1298" s="22">
        <v>424761</v>
      </c>
      <c r="J1298" s="22">
        <v>200104</v>
      </c>
      <c r="K1298" s="22" t="s">
        <v>2959</v>
      </c>
      <c r="L1298" s="22">
        <v>70602</v>
      </c>
      <c r="M1298" s="23" t="s">
        <v>2960</v>
      </c>
      <c r="N1298" s="24">
        <v>0</v>
      </c>
      <c r="O1298" s="24">
        <v>0</v>
      </c>
      <c r="P1298" s="24">
        <v>0</v>
      </c>
      <c r="Q1298" s="24">
        <v>0</v>
      </c>
      <c r="R1298" s="24">
        <v>0</v>
      </c>
      <c r="S1298" s="24">
        <v>0</v>
      </c>
      <c r="T1298" s="24">
        <v>0</v>
      </c>
      <c r="U1298" s="24">
        <v>0</v>
      </c>
      <c r="V1298" s="24">
        <v>0</v>
      </c>
      <c r="W1298" s="24">
        <v>0</v>
      </c>
      <c r="X1298" s="24">
        <v>0</v>
      </c>
      <c r="Y1298" s="24">
        <v>72000</v>
      </c>
      <c r="Z1298" s="24">
        <f t="shared" si="62"/>
        <v>72000</v>
      </c>
      <c r="AB1298" s="25">
        <v>72000</v>
      </c>
      <c r="AC1298" s="26">
        <v>72000</v>
      </c>
      <c r="AD1298" s="24">
        <v>0</v>
      </c>
      <c r="AE1298" s="27">
        <f>_xlfn.XLOOKUP(B1298,'Projects Cashflow'!$B:$B,'Projects Cashflow'!$AG:$AG,0)</f>
        <v>72000</v>
      </c>
      <c r="AF1298" s="28">
        <f t="shared" si="63"/>
        <v>0</v>
      </c>
    </row>
    <row r="1299" spans="2:32" x14ac:dyDescent="0.3">
      <c r="B1299" s="14" t="str">
        <f t="shared" si="61"/>
        <v>45159004511001209Design &amp; Build-N1424221200104</v>
      </c>
      <c r="C1299" s="21" t="s">
        <v>211</v>
      </c>
      <c r="D1299" s="22">
        <v>4515900</v>
      </c>
      <c r="E1299" s="21" t="s">
        <v>826</v>
      </c>
      <c r="F1299" s="22">
        <v>4511001209</v>
      </c>
      <c r="G1299" s="21" t="s">
        <v>3132</v>
      </c>
      <c r="H1299" s="21" t="s">
        <v>1321</v>
      </c>
      <c r="I1299" s="22">
        <v>424221</v>
      </c>
      <c r="J1299" s="22">
        <v>200104</v>
      </c>
      <c r="K1299" s="22" t="s">
        <v>2959</v>
      </c>
      <c r="L1299" s="22">
        <v>70602</v>
      </c>
      <c r="M1299" s="23" t="s">
        <v>2960</v>
      </c>
      <c r="N1299" s="24">
        <v>0</v>
      </c>
      <c r="O1299" s="24">
        <v>0</v>
      </c>
      <c r="P1299" s="24">
        <v>0</v>
      </c>
      <c r="Q1299" s="24">
        <v>0</v>
      </c>
      <c r="R1299" s="24">
        <v>0</v>
      </c>
      <c r="S1299" s="24">
        <v>0</v>
      </c>
      <c r="T1299" s="24">
        <v>0</v>
      </c>
      <c r="U1299" s="24">
        <v>0</v>
      </c>
      <c r="V1299" s="24">
        <v>367290</v>
      </c>
      <c r="W1299" s="24">
        <v>0</v>
      </c>
      <c r="X1299" s="24">
        <v>0</v>
      </c>
      <c r="Y1299" s="24">
        <v>0</v>
      </c>
      <c r="Z1299" s="24">
        <f t="shared" si="62"/>
        <v>367290</v>
      </c>
      <c r="AB1299" s="25">
        <v>367290</v>
      </c>
      <c r="AC1299" s="26">
        <v>367290</v>
      </c>
      <c r="AD1299" s="24">
        <v>0</v>
      </c>
      <c r="AE1299" s="27">
        <f>_xlfn.XLOOKUP(B1299,'Projects Cashflow'!$B:$B,'Projects Cashflow'!$AG:$AG,0)</f>
        <v>367290</v>
      </c>
      <c r="AF1299" s="28">
        <f t="shared" si="63"/>
        <v>0</v>
      </c>
    </row>
    <row r="1300" spans="2:32" x14ac:dyDescent="0.3">
      <c r="B1300" s="14" t="str">
        <f t="shared" si="61"/>
        <v>45159004511001209Venue&amp;Room Rent-N1422401200104</v>
      </c>
      <c r="C1300" s="21" t="s">
        <v>211</v>
      </c>
      <c r="D1300" s="22">
        <v>4515900</v>
      </c>
      <c r="E1300" s="21" t="s">
        <v>826</v>
      </c>
      <c r="F1300" s="22">
        <v>4511001209</v>
      </c>
      <c r="G1300" s="21" t="s">
        <v>3132</v>
      </c>
      <c r="H1300" s="21" t="s">
        <v>1464</v>
      </c>
      <c r="I1300" s="22">
        <v>422401</v>
      </c>
      <c r="J1300" s="22">
        <v>200104</v>
      </c>
      <c r="K1300" s="22" t="s">
        <v>2959</v>
      </c>
      <c r="L1300" s="22">
        <v>70602</v>
      </c>
      <c r="M1300" s="23" t="s">
        <v>2960</v>
      </c>
      <c r="N1300" s="24">
        <v>0</v>
      </c>
      <c r="O1300" s="24">
        <v>0</v>
      </c>
      <c r="P1300" s="24">
        <v>206339.41250000001</v>
      </c>
      <c r="Q1300" s="24">
        <v>21935.587499999994</v>
      </c>
      <c r="R1300" s="24">
        <v>0</v>
      </c>
      <c r="S1300" s="24">
        <v>0</v>
      </c>
      <c r="T1300" s="24">
        <v>0</v>
      </c>
      <c r="U1300" s="24">
        <v>0</v>
      </c>
      <c r="V1300" s="24">
        <v>0</v>
      </c>
      <c r="W1300" s="24">
        <v>0</v>
      </c>
      <c r="X1300" s="24">
        <v>0</v>
      </c>
      <c r="Y1300" s="24">
        <v>0</v>
      </c>
      <c r="Z1300" s="24">
        <f t="shared" si="62"/>
        <v>228275</v>
      </c>
      <c r="AB1300" s="25">
        <v>228275</v>
      </c>
      <c r="AC1300" s="26">
        <v>228275</v>
      </c>
      <c r="AD1300" s="24">
        <v>0</v>
      </c>
      <c r="AE1300" s="27">
        <f>_xlfn.XLOOKUP(B1300,'Projects Cashflow'!$B:$B,'Projects Cashflow'!$AG:$AG,0)</f>
        <v>228275</v>
      </c>
      <c r="AF1300" s="28">
        <f t="shared" si="63"/>
        <v>0</v>
      </c>
    </row>
    <row r="1301" spans="2:32" x14ac:dyDescent="0.3">
      <c r="B1301" s="14" t="str">
        <f t="shared" si="61"/>
        <v>45159004511001209Hospitality-N1424761200104</v>
      </c>
      <c r="C1301" s="34" t="s">
        <v>211</v>
      </c>
      <c r="D1301" s="35">
        <v>4515900</v>
      </c>
      <c r="E1301" s="34" t="s">
        <v>826</v>
      </c>
      <c r="F1301" s="35">
        <v>4511001209</v>
      </c>
      <c r="G1301" s="34" t="s">
        <v>3132</v>
      </c>
      <c r="H1301" s="34" t="s">
        <v>399</v>
      </c>
      <c r="I1301" s="35">
        <v>424761</v>
      </c>
      <c r="J1301" s="35">
        <v>200104</v>
      </c>
      <c r="K1301" s="35" t="s">
        <v>2959</v>
      </c>
      <c r="L1301" s="22">
        <v>70602</v>
      </c>
      <c r="M1301" s="36" t="s">
        <v>2960</v>
      </c>
      <c r="N1301" s="24">
        <v>0</v>
      </c>
      <c r="O1301" s="24">
        <v>0</v>
      </c>
      <c r="P1301" s="24">
        <v>0</v>
      </c>
      <c r="Q1301" s="24">
        <v>0</v>
      </c>
      <c r="R1301" s="24">
        <v>0</v>
      </c>
      <c r="S1301" s="24">
        <v>0</v>
      </c>
      <c r="T1301" s="24">
        <v>0</v>
      </c>
      <c r="U1301" s="24">
        <v>0</v>
      </c>
      <c r="V1301" s="24">
        <v>72000</v>
      </c>
      <c r="W1301" s="24">
        <v>0</v>
      </c>
      <c r="X1301" s="24">
        <v>0</v>
      </c>
      <c r="Y1301" s="24">
        <v>0</v>
      </c>
      <c r="Z1301" s="24">
        <f t="shared" si="62"/>
        <v>72000</v>
      </c>
      <c r="AB1301" s="37">
        <v>82000</v>
      </c>
      <c r="AC1301" s="38">
        <v>82000</v>
      </c>
      <c r="AD1301" s="48">
        <v>0</v>
      </c>
      <c r="AE1301" s="27">
        <f>_xlfn.XLOOKUP(B1301,'Projects Cashflow'!$B:$B,'Projects Cashflow'!$AG:$AG,0)</f>
        <v>82000</v>
      </c>
      <c r="AF1301" s="28">
        <f t="shared" si="63"/>
        <v>0</v>
      </c>
    </row>
    <row r="1302" spans="2:32" x14ac:dyDescent="0.3">
      <c r="B1302" s="14" t="str">
        <f t="shared" si="61"/>
        <v>45159004511001210Design &amp; Build-N1424221200104</v>
      </c>
      <c r="C1302" s="34" t="s">
        <v>211</v>
      </c>
      <c r="D1302" s="35">
        <v>4515900</v>
      </c>
      <c r="E1302" s="34" t="s">
        <v>826</v>
      </c>
      <c r="F1302" s="35">
        <v>4511001210</v>
      </c>
      <c r="G1302" s="34" t="s">
        <v>3133</v>
      </c>
      <c r="H1302" s="34" t="s">
        <v>1321</v>
      </c>
      <c r="I1302" s="35">
        <v>424221</v>
      </c>
      <c r="J1302" s="35">
        <v>200104</v>
      </c>
      <c r="K1302" s="35" t="s">
        <v>2959</v>
      </c>
      <c r="L1302" s="22">
        <v>70602</v>
      </c>
      <c r="M1302" s="36" t="s">
        <v>2960</v>
      </c>
      <c r="N1302" s="24">
        <v>0</v>
      </c>
      <c r="O1302" s="24">
        <v>0</v>
      </c>
      <c r="P1302" s="24">
        <v>0</v>
      </c>
      <c r="Q1302" s="24">
        <v>0</v>
      </c>
      <c r="R1302" s="24">
        <v>0</v>
      </c>
      <c r="S1302" s="24">
        <v>0</v>
      </c>
      <c r="T1302" s="24">
        <v>0</v>
      </c>
      <c r="U1302" s="24">
        <v>0</v>
      </c>
      <c r="V1302" s="24">
        <v>0</v>
      </c>
      <c r="W1302" s="24">
        <v>0</v>
      </c>
      <c r="X1302" s="24">
        <v>0</v>
      </c>
      <c r="Y1302" s="24">
        <v>247995</v>
      </c>
      <c r="Z1302" s="24">
        <f t="shared" si="62"/>
        <v>247995</v>
      </c>
      <c r="AB1302" s="37">
        <v>287995</v>
      </c>
      <c r="AC1302" s="38">
        <v>287995</v>
      </c>
      <c r="AD1302" s="48">
        <v>0</v>
      </c>
      <c r="AE1302" s="27">
        <f>_xlfn.XLOOKUP(B1302,'Projects Cashflow'!$B:$B,'Projects Cashflow'!$AG:$AG,0)</f>
        <v>287995</v>
      </c>
      <c r="AF1302" s="28">
        <f t="shared" si="63"/>
        <v>0</v>
      </c>
    </row>
    <row r="1303" spans="2:32" x14ac:dyDescent="0.3">
      <c r="B1303" s="14" t="str">
        <f t="shared" si="61"/>
        <v>45159004511001210Venue&amp;Room Rent-N1422401200104</v>
      </c>
      <c r="C1303" s="34" t="s">
        <v>211</v>
      </c>
      <c r="D1303" s="35">
        <v>4515900</v>
      </c>
      <c r="E1303" s="34" t="s">
        <v>826</v>
      </c>
      <c r="F1303" s="35">
        <v>4511001210</v>
      </c>
      <c r="G1303" s="34" t="s">
        <v>3133</v>
      </c>
      <c r="H1303" s="34" t="s">
        <v>1464</v>
      </c>
      <c r="I1303" s="35">
        <v>422401</v>
      </c>
      <c r="J1303" s="35">
        <v>200104</v>
      </c>
      <c r="K1303" s="35" t="s">
        <v>2959</v>
      </c>
      <c r="L1303" s="22">
        <v>70602</v>
      </c>
      <c r="M1303" s="36" t="s">
        <v>2960</v>
      </c>
      <c r="N1303" s="24">
        <v>0</v>
      </c>
      <c r="O1303" s="24">
        <v>0</v>
      </c>
      <c r="P1303" s="24">
        <v>0</v>
      </c>
      <c r="Q1303" s="24">
        <v>0</v>
      </c>
      <c r="R1303" s="24">
        <v>0</v>
      </c>
      <c r="S1303" s="24">
        <v>0</v>
      </c>
      <c r="T1303" s="24">
        <v>0</v>
      </c>
      <c r="U1303" s="24">
        <v>0</v>
      </c>
      <c r="V1303" s="24">
        <v>0</v>
      </c>
      <c r="W1303" s="24">
        <v>0</v>
      </c>
      <c r="X1303" s="24">
        <v>0</v>
      </c>
      <c r="Y1303" s="24">
        <v>122475</v>
      </c>
      <c r="Z1303" s="24">
        <f t="shared" si="62"/>
        <v>122475</v>
      </c>
      <c r="AB1303" s="37">
        <v>82475</v>
      </c>
      <c r="AC1303" s="38">
        <v>82475</v>
      </c>
      <c r="AD1303" s="48">
        <v>0</v>
      </c>
      <c r="AE1303" s="27">
        <f>_xlfn.XLOOKUP(B1303,'Projects Cashflow'!$B:$B,'Projects Cashflow'!$AG:$AG,0)</f>
        <v>82475</v>
      </c>
      <c r="AF1303" s="28">
        <f t="shared" si="63"/>
        <v>0</v>
      </c>
    </row>
    <row r="1304" spans="2:32" x14ac:dyDescent="0.3">
      <c r="B1304" s="14" t="str">
        <f t="shared" si="61"/>
        <v>45159004511001210Hospitality-N1424761200104</v>
      </c>
      <c r="C1304" s="34" t="s">
        <v>211</v>
      </c>
      <c r="D1304" s="35">
        <v>4515900</v>
      </c>
      <c r="E1304" s="34" t="s">
        <v>826</v>
      </c>
      <c r="F1304" s="35">
        <v>4511001210</v>
      </c>
      <c r="G1304" s="34" t="s">
        <v>3133</v>
      </c>
      <c r="H1304" s="34" t="s">
        <v>399</v>
      </c>
      <c r="I1304" s="35">
        <v>424761</v>
      </c>
      <c r="J1304" s="35">
        <v>200104</v>
      </c>
      <c r="K1304" s="35" t="s">
        <v>2959</v>
      </c>
      <c r="L1304" s="22">
        <v>70602</v>
      </c>
      <c r="M1304" s="36" t="s">
        <v>2960</v>
      </c>
      <c r="N1304" s="24">
        <v>0</v>
      </c>
      <c r="O1304" s="24">
        <v>0</v>
      </c>
      <c r="P1304" s="24">
        <v>0</v>
      </c>
      <c r="Q1304" s="24">
        <v>0</v>
      </c>
      <c r="R1304" s="24">
        <v>0</v>
      </c>
      <c r="S1304" s="24">
        <v>0</v>
      </c>
      <c r="T1304" s="24">
        <v>0</v>
      </c>
      <c r="U1304" s="24">
        <v>0</v>
      </c>
      <c r="V1304" s="24">
        <v>0</v>
      </c>
      <c r="W1304" s="24">
        <v>0</v>
      </c>
      <c r="X1304" s="24">
        <v>0</v>
      </c>
      <c r="Y1304" s="24">
        <v>52200</v>
      </c>
      <c r="Z1304" s="24">
        <f t="shared" si="62"/>
        <v>52200</v>
      </c>
      <c r="AB1304" s="37">
        <v>42200</v>
      </c>
      <c r="AC1304" s="38">
        <v>42200</v>
      </c>
      <c r="AD1304" s="48">
        <v>0</v>
      </c>
      <c r="AE1304" s="27">
        <f>_xlfn.XLOOKUP(B1304,'Projects Cashflow'!$B:$B,'Projects Cashflow'!$AG:$AG,0)</f>
        <v>42200</v>
      </c>
      <c r="AF1304" s="28">
        <f t="shared" si="63"/>
        <v>0</v>
      </c>
    </row>
    <row r="1305" spans="2:32" x14ac:dyDescent="0.3">
      <c r="B1305" s="14" t="str">
        <f t="shared" si="61"/>
        <v>45159004511001490Mission &amp; Travel-N423821200104</v>
      </c>
      <c r="C1305" s="21" t="s">
        <v>211</v>
      </c>
      <c r="D1305" s="22">
        <v>4515900</v>
      </c>
      <c r="E1305" s="21" t="s">
        <v>826</v>
      </c>
      <c r="F1305" s="22">
        <v>4511001490</v>
      </c>
      <c r="G1305" s="21" t="s">
        <v>1833</v>
      </c>
      <c r="H1305" s="21" t="s">
        <v>54</v>
      </c>
      <c r="I1305" s="22">
        <v>423821</v>
      </c>
      <c r="J1305" s="22">
        <v>200104</v>
      </c>
      <c r="K1305" s="22" t="s">
        <v>2959</v>
      </c>
      <c r="L1305" s="22">
        <v>70602</v>
      </c>
      <c r="M1305" s="23" t="s">
        <v>2960</v>
      </c>
      <c r="N1305" s="24">
        <v>0</v>
      </c>
      <c r="O1305" s="24">
        <v>0</v>
      </c>
      <c r="P1305" s="24">
        <v>0</v>
      </c>
      <c r="Q1305" s="24">
        <v>0</v>
      </c>
      <c r="R1305" s="24">
        <v>0</v>
      </c>
      <c r="S1305" s="24">
        <v>51000</v>
      </c>
      <c r="T1305" s="24">
        <v>133000</v>
      </c>
      <c r="U1305" s="24">
        <v>22000</v>
      </c>
      <c r="V1305" s="24">
        <v>0</v>
      </c>
      <c r="W1305" s="24">
        <v>35000</v>
      </c>
      <c r="X1305" s="24">
        <v>26818</v>
      </c>
      <c r="Y1305" s="24">
        <v>24500</v>
      </c>
      <c r="Z1305" s="24">
        <f t="shared" si="62"/>
        <v>292318</v>
      </c>
      <c r="AB1305" s="25">
        <v>292318</v>
      </c>
      <c r="AC1305" s="26">
        <v>292318</v>
      </c>
      <c r="AD1305" s="24">
        <v>0</v>
      </c>
      <c r="AE1305" s="27">
        <f>_xlfn.XLOOKUP(B1305,'Projects Cashflow'!$B:$B,'Projects Cashflow'!$AG:$AG,0)</f>
        <v>292318</v>
      </c>
      <c r="AF1305" s="28">
        <f t="shared" si="63"/>
        <v>0</v>
      </c>
    </row>
    <row r="1306" spans="2:32" x14ac:dyDescent="0.3">
      <c r="B1306" s="14" t="str">
        <f t="shared" si="61"/>
        <v>45159004511001490CampaignProductn-N422511200104</v>
      </c>
      <c r="C1306" s="34" t="s">
        <v>211</v>
      </c>
      <c r="D1306" s="35">
        <v>4515900</v>
      </c>
      <c r="E1306" s="34" t="s">
        <v>826</v>
      </c>
      <c r="F1306" s="35">
        <v>4511001490</v>
      </c>
      <c r="G1306" s="34" t="s">
        <v>1833</v>
      </c>
      <c r="H1306" s="34" t="s">
        <v>1137</v>
      </c>
      <c r="I1306" s="35">
        <v>422511</v>
      </c>
      <c r="J1306" s="35">
        <v>200104</v>
      </c>
      <c r="K1306" s="35" t="s">
        <v>2959</v>
      </c>
      <c r="L1306" s="22">
        <v>70501</v>
      </c>
      <c r="M1306" s="36" t="s">
        <v>2960</v>
      </c>
      <c r="N1306" s="24">
        <v>0</v>
      </c>
      <c r="O1306" s="24">
        <v>0</v>
      </c>
      <c r="P1306" s="24">
        <v>0</v>
      </c>
      <c r="Q1306" s="24">
        <v>0</v>
      </c>
      <c r="R1306" s="24">
        <v>0</v>
      </c>
      <c r="S1306" s="24">
        <v>0</v>
      </c>
      <c r="T1306" s="24">
        <v>76461</v>
      </c>
      <c r="U1306" s="24">
        <v>0</v>
      </c>
      <c r="V1306" s="24">
        <v>0</v>
      </c>
      <c r="W1306" s="24">
        <v>0</v>
      </c>
      <c r="X1306" s="24">
        <v>68182</v>
      </c>
      <c r="Y1306" s="24">
        <v>78638</v>
      </c>
      <c r="Z1306" s="24">
        <f t="shared" si="62"/>
        <v>223281</v>
      </c>
      <c r="AB1306" s="37">
        <v>58281</v>
      </c>
      <c r="AC1306" s="38">
        <v>58281</v>
      </c>
      <c r="AD1306" s="48">
        <v>0</v>
      </c>
      <c r="AE1306" s="27">
        <f>_xlfn.XLOOKUP(B1306,'Projects Cashflow'!$B:$B,'Projects Cashflow'!$AG:$AG,0)</f>
        <v>58281</v>
      </c>
      <c r="AF1306" s="28">
        <f t="shared" si="63"/>
        <v>0</v>
      </c>
    </row>
    <row r="1307" spans="2:32" x14ac:dyDescent="0.3">
      <c r="B1307" s="14" t="str">
        <f t="shared" si="61"/>
        <v>45159004511001490Admin Expenses-N421125200104</v>
      </c>
      <c r="C1307" s="21" t="s">
        <v>211</v>
      </c>
      <c r="D1307" s="22">
        <v>4515900</v>
      </c>
      <c r="E1307" s="21" t="s">
        <v>826</v>
      </c>
      <c r="F1307" s="22">
        <v>4511001490</v>
      </c>
      <c r="G1307" s="21" t="s">
        <v>1833</v>
      </c>
      <c r="H1307" s="21" t="s">
        <v>130</v>
      </c>
      <c r="I1307" s="22">
        <v>421125</v>
      </c>
      <c r="J1307" s="22">
        <v>200104</v>
      </c>
      <c r="K1307" s="22" t="s">
        <v>2959</v>
      </c>
      <c r="L1307" s="22">
        <v>70501</v>
      </c>
      <c r="M1307" s="23" t="s">
        <v>2960</v>
      </c>
      <c r="N1307" s="24">
        <v>0</v>
      </c>
      <c r="O1307" s="24">
        <v>0</v>
      </c>
      <c r="P1307" s="24">
        <v>0</v>
      </c>
      <c r="Q1307" s="24">
        <v>0</v>
      </c>
      <c r="R1307" s="24">
        <v>0</v>
      </c>
      <c r="S1307" s="24">
        <v>0</v>
      </c>
      <c r="T1307" s="24">
        <v>50000</v>
      </c>
      <c r="U1307" s="24">
        <v>0</v>
      </c>
      <c r="V1307" s="24">
        <v>0</v>
      </c>
      <c r="W1307" s="24">
        <v>0</v>
      </c>
      <c r="X1307" s="24">
        <v>0</v>
      </c>
      <c r="Y1307" s="24">
        <v>50000</v>
      </c>
      <c r="Z1307" s="24">
        <f t="shared" si="62"/>
        <v>100000</v>
      </c>
      <c r="AB1307" s="25">
        <v>100000</v>
      </c>
      <c r="AC1307" s="26">
        <v>100000</v>
      </c>
      <c r="AD1307" s="24">
        <v>0</v>
      </c>
      <c r="AE1307" s="27">
        <f>_xlfn.XLOOKUP(B1307,'Projects Cashflow'!$B:$B,'Projects Cashflow'!$AG:$AG,0)</f>
        <v>100000</v>
      </c>
      <c r="AF1307" s="28">
        <f t="shared" si="63"/>
        <v>0</v>
      </c>
    </row>
    <row r="1308" spans="2:32" x14ac:dyDescent="0.3">
      <c r="B1308" s="14" t="str">
        <f t="shared" si="61"/>
        <v>45159004511001490Hospitality-N424761200104</v>
      </c>
      <c r="C1308" s="21" t="s">
        <v>211</v>
      </c>
      <c r="D1308" s="22">
        <v>4515900</v>
      </c>
      <c r="E1308" s="21" t="s">
        <v>826</v>
      </c>
      <c r="F1308" s="22">
        <v>4511001490</v>
      </c>
      <c r="G1308" s="21" t="s">
        <v>1833</v>
      </c>
      <c r="H1308" s="21" t="s">
        <v>83</v>
      </c>
      <c r="I1308" s="22">
        <v>424761</v>
      </c>
      <c r="J1308" s="22">
        <v>200104</v>
      </c>
      <c r="K1308" s="22" t="s">
        <v>2959</v>
      </c>
      <c r="L1308" s="22">
        <v>70501</v>
      </c>
      <c r="M1308" s="23" t="s">
        <v>2960</v>
      </c>
      <c r="N1308" s="24">
        <v>0</v>
      </c>
      <c r="O1308" s="24">
        <v>0</v>
      </c>
      <c r="P1308" s="24">
        <v>0</v>
      </c>
      <c r="Q1308" s="24">
        <v>27500</v>
      </c>
      <c r="R1308" s="24">
        <v>0</v>
      </c>
      <c r="S1308" s="24">
        <v>0</v>
      </c>
      <c r="T1308" s="24">
        <v>0</v>
      </c>
      <c r="U1308" s="24">
        <v>0</v>
      </c>
      <c r="V1308" s="24">
        <v>0</v>
      </c>
      <c r="W1308" s="24">
        <v>10000</v>
      </c>
      <c r="X1308" s="24">
        <v>0</v>
      </c>
      <c r="Y1308" s="24">
        <v>17500</v>
      </c>
      <c r="Z1308" s="24">
        <f t="shared" si="62"/>
        <v>55000</v>
      </c>
      <c r="AB1308" s="25">
        <v>55000</v>
      </c>
      <c r="AC1308" s="26">
        <v>55000</v>
      </c>
      <c r="AD1308" s="24">
        <v>0</v>
      </c>
      <c r="AE1308" s="27">
        <f>_xlfn.XLOOKUP(B1308,'Projects Cashflow'!$B:$B,'Projects Cashflow'!$AG:$AG,0)</f>
        <v>55000</v>
      </c>
      <c r="AF1308" s="28">
        <f t="shared" si="63"/>
        <v>0</v>
      </c>
    </row>
    <row r="1309" spans="2:32" x14ac:dyDescent="0.3">
      <c r="B1309" s="14" t="str">
        <f t="shared" si="61"/>
        <v>45159004511001491Trade Promotion-N424251200104</v>
      </c>
      <c r="C1309" s="21" t="s">
        <v>211</v>
      </c>
      <c r="D1309" s="22">
        <v>4515900</v>
      </c>
      <c r="E1309" s="21" t="s">
        <v>826</v>
      </c>
      <c r="F1309" s="22">
        <v>4511001491</v>
      </c>
      <c r="G1309" s="21" t="s">
        <v>1838</v>
      </c>
      <c r="H1309" s="21" t="s">
        <v>748</v>
      </c>
      <c r="I1309" s="22">
        <v>424251</v>
      </c>
      <c r="J1309" s="22">
        <v>200104</v>
      </c>
      <c r="K1309" s="22" t="s">
        <v>2959</v>
      </c>
      <c r="L1309" s="22">
        <v>70501</v>
      </c>
      <c r="M1309" s="23" t="s">
        <v>2960</v>
      </c>
      <c r="N1309" s="24">
        <v>0</v>
      </c>
      <c r="O1309" s="24">
        <v>0</v>
      </c>
      <c r="P1309" s="24">
        <v>0</v>
      </c>
      <c r="Q1309" s="24">
        <v>0</v>
      </c>
      <c r="R1309" s="24">
        <v>0</v>
      </c>
      <c r="S1309" s="24">
        <v>0</v>
      </c>
      <c r="T1309" s="24">
        <v>0</v>
      </c>
      <c r="U1309" s="24">
        <v>100000</v>
      </c>
      <c r="V1309" s="24">
        <v>0</v>
      </c>
      <c r="W1309" s="24">
        <v>114000</v>
      </c>
      <c r="X1309" s="24">
        <v>0</v>
      </c>
      <c r="Y1309" s="24">
        <v>0</v>
      </c>
      <c r="Z1309" s="24">
        <f t="shared" si="62"/>
        <v>214000</v>
      </c>
      <c r="AB1309" s="25">
        <v>214000</v>
      </c>
      <c r="AC1309" s="26">
        <v>214000</v>
      </c>
      <c r="AD1309" s="24">
        <v>0</v>
      </c>
      <c r="AE1309" s="27">
        <f>_xlfn.XLOOKUP(B1309,'Projects Cashflow'!$B:$B,'Projects Cashflow'!$AG:$AG,0)</f>
        <v>214000</v>
      </c>
      <c r="AF1309" s="28">
        <f t="shared" si="63"/>
        <v>0</v>
      </c>
    </row>
    <row r="1310" spans="2:32" x14ac:dyDescent="0.3">
      <c r="B1310" s="14" t="str">
        <f t="shared" si="61"/>
        <v>45159004511001491Mission &amp; Travel-N423821200104</v>
      </c>
      <c r="C1310" s="21" t="s">
        <v>211</v>
      </c>
      <c r="D1310" s="22">
        <v>4515900</v>
      </c>
      <c r="E1310" s="21" t="s">
        <v>826</v>
      </c>
      <c r="F1310" s="22">
        <v>4511001491</v>
      </c>
      <c r="G1310" s="21" t="s">
        <v>1838</v>
      </c>
      <c r="H1310" s="21" t="s">
        <v>54</v>
      </c>
      <c r="I1310" s="22">
        <v>423821</v>
      </c>
      <c r="J1310" s="22">
        <v>200104</v>
      </c>
      <c r="K1310" s="22" t="s">
        <v>2959</v>
      </c>
      <c r="L1310" s="22">
        <v>70602</v>
      </c>
      <c r="M1310" s="23" t="s">
        <v>2960</v>
      </c>
      <c r="N1310" s="24">
        <v>0</v>
      </c>
      <c r="O1310" s="24">
        <v>0</v>
      </c>
      <c r="P1310" s="24">
        <v>1600</v>
      </c>
      <c r="Q1310" s="24">
        <v>0</v>
      </c>
      <c r="R1310" s="24">
        <v>0</v>
      </c>
      <c r="S1310" s="24">
        <v>16400</v>
      </c>
      <c r="T1310" s="24">
        <v>0</v>
      </c>
      <c r="U1310" s="24">
        <v>0</v>
      </c>
      <c r="V1310" s="24">
        <v>0</v>
      </c>
      <c r="W1310" s="24">
        <v>44000</v>
      </c>
      <c r="X1310" s="24">
        <v>50000</v>
      </c>
      <c r="Y1310" s="24">
        <v>10000</v>
      </c>
      <c r="Z1310" s="24">
        <f t="shared" si="62"/>
        <v>122000</v>
      </c>
      <c r="AB1310" s="25">
        <v>122000</v>
      </c>
      <c r="AC1310" s="26">
        <v>122000</v>
      </c>
      <c r="AD1310" s="24">
        <v>0</v>
      </c>
      <c r="AE1310" s="27">
        <f>_xlfn.XLOOKUP(B1310,'Projects Cashflow'!$B:$B,'Projects Cashflow'!$AG:$AG,0)</f>
        <v>122000</v>
      </c>
      <c r="AF1310" s="28">
        <f t="shared" si="63"/>
        <v>0</v>
      </c>
    </row>
    <row r="1311" spans="2:32" x14ac:dyDescent="0.3">
      <c r="B1311" s="14" t="str">
        <f t="shared" si="61"/>
        <v>45159004511001491Admin Expenses-N421125200104</v>
      </c>
      <c r="C1311" s="21" t="s">
        <v>211</v>
      </c>
      <c r="D1311" s="22">
        <v>4515900</v>
      </c>
      <c r="E1311" s="21" t="s">
        <v>826</v>
      </c>
      <c r="F1311" s="22">
        <v>4511001491</v>
      </c>
      <c r="G1311" s="21" t="s">
        <v>1838</v>
      </c>
      <c r="H1311" s="21" t="s">
        <v>130</v>
      </c>
      <c r="I1311" s="22">
        <v>421125</v>
      </c>
      <c r="J1311" s="22">
        <v>200104</v>
      </c>
      <c r="K1311" s="22" t="s">
        <v>2959</v>
      </c>
      <c r="L1311" s="22">
        <v>70501</v>
      </c>
      <c r="M1311" s="23" t="s">
        <v>2960</v>
      </c>
      <c r="N1311" s="24">
        <v>0</v>
      </c>
      <c r="O1311" s="24">
        <v>0</v>
      </c>
      <c r="P1311" s="24">
        <v>0</v>
      </c>
      <c r="Q1311" s="24">
        <v>0</v>
      </c>
      <c r="R1311" s="24">
        <v>0</v>
      </c>
      <c r="S1311" s="24">
        <v>0</v>
      </c>
      <c r="T1311" s="24">
        <v>0</v>
      </c>
      <c r="U1311" s="24">
        <v>0</v>
      </c>
      <c r="V1311" s="24">
        <v>0</v>
      </c>
      <c r="W1311" s="24">
        <v>0</v>
      </c>
      <c r="X1311" s="24">
        <v>0</v>
      </c>
      <c r="Y1311" s="24">
        <v>20000</v>
      </c>
      <c r="Z1311" s="24">
        <f t="shared" si="62"/>
        <v>20000</v>
      </c>
      <c r="AB1311" s="25">
        <v>20000</v>
      </c>
      <c r="AC1311" s="26">
        <v>20000</v>
      </c>
      <c r="AD1311" s="24">
        <v>0</v>
      </c>
      <c r="AE1311" s="27">
        <f>_xlfn.XLOOKUP(B1311,'Projects Cashflow'!$B:$B,'Projects Cashflow'!$AG:$AG,0)</f>
        <v>20000</v>
      </c>
      <c r="AF1311" s="28">
        <f t="shared" si="63"/>
        <v>0</v>
      </c>
    </row>
    <row r="1312" spans="2:32" x14ac:dyDescent="0.3">
      <c r="B1312" s="14" t="str">
        <f t="shared" si="61"/>
        <v>45159004511001492Trade Promotion-N424251200104</v>
      </c>
      <c r="C1312" s="21" t="s">
        <v>211</v>
      </c>
      <c r="D1312" s="22">
        <v>4515900</v>
      </c>
      <c r="E1312" s="21" t="s">
        <v>826</v>
      </c>
      <c r="F1312" s="22">
        <v>4511001492</v>
      </c>
      <c r="G1312" s="21" t="s">
        <v>1841</v>
      </c>
      <c r="H1312" s="21" t="s">
        <v>748</v>
      </c>
      <c r="I1312" s="22">
        <v>424251</v>
      </c>
      <c r="J1312" s="22">
        <v>200104</v>
      </c>
      <c r="K1312" s="22" t="s">
        <v>2959</v>
      </c>
      <c r="L1312" s="22">
        <v>70501</v>
      </c>
      <c r="M1312" s="23" t="s">
        <v>2960</v>
      </c>
      <c r="N1312" s="24">
        <v>0</v>
      </c>
      <c r="O1312" s="24">
        <v>0</v>
      </c>
      <c r="P1312" s="24">
        <v>0</v>
      </c>
      <c r="Q1312" s="24">
        <v>0</v>
      </c>
      <c r="R1312" s="24">
        <v>0</v>
      </c>
      <c r="S1312" s="24">
        <v>0</v>
      </c>
      <c r="T1312" s="24">
        <v>0</v>
      </c>
      <c r="U1312" s="24">
        <v>40000</v>
      </c>
      <c r="V1312" s="24">
        <v>0</v>
      </c>
      <c r="W1312" s="24">
        <v>0</v>
      </c>
      <c r="X1312" s="24">
        <v>0</v>
      </c>
      <c r="Y1312" s="24">
        <v>100000</v>
      </c>
      <c r="Z1312" s="24">
        <f t="shared" si="62"/>
        <v>140000</v>
      </c>
      <c r="AB1312" s="25">
        <v>140000</v>
      </c>
      <c r="AC1312" s="26">
        <v>140000</v>
      </c>
      <c r="AD1312" s="24">
        <v>0</v>
      </c>
      <c r="AE1312" s="27">
        <f>_xlfn.XLOOKUP(B1312,'Projects Cashflow'!$B:$B,'Projects Cashflow'!$AG:$AG,0)</f>
        <v>140000</v>
      </c>
      <c r="AF1312" s="28">
        <f t="shared" si="63"/>
        <v>0</v>
      </c>
    </row>
    <row r="1313" spans="2:32" x14ac:dyDescent="0.3">
      <c r="B1313" s="14" t="str">
        <f t="shared" si="61"/>
        <v>45159004511001492Admin Expenses-N421125200104</v>
      </c>
      <c r="C1313" s="21" t="s">
        <v>211</v>
      </c>
      <c r="D1313" s="22">
        <v>4515900</v>
      </c>
      <c r="E1313" s="21" t="s">
        <v>826</v>
      </c>
      <c r="F1313" s="22">
        <v>4511001492</v>
      </c>
      <c r="G1313" s="21" t="s">
        <v>1841</v>
      </c>
      <c r="H1313" s="21" t="s">
        <v>130</v>
      </c>
      <c r="I1313" s="22">
        <v>421125</v>
      </c>
      <c r="J1313" s="22">
        <v>200104</v>
      </c>
      <c r="K1313" s="22" t="s">
        <v>2959</v>
      </c>
      <c r="L1313" s="22">
        <v>70501</v>
      </c>
      <c r="M1313" s="23" t="s">
        <v>2960</v>
      </c>
      <c r="N1313" s="24">
        <v>0</v>
      </c>
      <c r="O1313" s="24">
        <v>0</v>
      </c>
      <c r="P1313" s="24">
        <v>0</v>
      </c>
      <c r="Q1313" s="24">
        <v>0</v>
      </c>
      <c r="R1313" s="24">
        <v>0</v>
      </c>
      <c r="S1313" s="24">
        <v>0</v>
      </c>
      <c r="T1313" s="24">
        <v>50000</v>
      </c>
      <c r="U1313" s="24">
        <v>0</v>
      </c>
      <c r="V1313" s="24">
        <v>0</v>
      </c>
      <c r="W1313" s="24">
        <v>0</v>
      </c>
      <c r="X1313" s="24">
        <v>0</v>
      </c>
      <c r="Y1313" s="24">
        <v>0</v>
      </c>
      <c r="Z1313" s="24">
        <f t="shared" si="62"/>
        <v>50000</v>
      </c>
      <c r="AB1313" s="25">
        <v>50000</v>
      </c>
      <c r="AC1313" s="26">
        <v>50000</v>
      </c>
      <c r="AD1313" s="24">
        <v>0</v>
      </c>
      <c r="AE1313" s="27">
        <f>_xlfn.XLOOKUP(B1313,'Projects Cashflow'!$B:$B,'Projects Cashflow'!$AG:$AG,0)</f>
        <v>50000</v>
      </c>
      <c r="AF1313" s="28">
        <f t="shared" si="63"/>
        <v>0</v>
      </c>
    </row>
    <row r="1314" spans="2:32" x14ac:dyDescent="0.3">
      <c r="B1314" s="14" t="str">
        <f t="shared" si="61"/>
        <v>45159004511001492Mission &amp; Travel-N423821200104</v>
      </c>
      <c r="C1314" s="21" t="s">
        <v>211</v>
      </c>
      <c r="D1314" s="22">
        <v>4515900</v>
      </c>
      <c r="E1314" s="21" t="s">
        <v>826</v>
      </c>
      <c r="F1314" s="22">
        <v>4511001492</v>
      </c>
      <c r="G1314" s="21" t="s">
        <v>1841</v>
      </c>
      <c r="H1314" s="21" t="s">
        <v>54</v>
      </c>
      <c r="I1314" s="22">
        <v>423821</v>
      </c>
      <c r="J1314" s="22">
        <v>200104</v>
      </c>
      <c r="K1314" s="22" t="s">
        <v>2959</v>
      </c>
      <c r="L1314" s="22">
        <v>70602</v>
      </c>
      <c r="M1314" s="23" t="s">
        <v>2960</v>
      </c>
      <c r="N1314" s="24">
        <v>0</v>
      </c>
      <c r="O1314" s="24">
        <v>0</v>
      </c>
      <c r="P1314" s="24">
        <v>0</v>
      </c>
      <c r="Q1314" s="24">
        <v>0</v>
      </c>
      <c r="R1314" s="24">
        <v>0</v>
      </c>
      <c r="S1314" s="24">
        <v>0</v>
      </c>
      <c r="T1314" s="24">
        <v>7500</v>
      </c>
      <c r="U1314" s="24">
        <v>2500</v>
      </c>
      <c r="V1314" s="24">
        <v>0</v>
      </c>
      <c r="W1314" s="24">
        <v>3000</v>
      </c>
      <c r="X1314" s="24">
        <v>0</v>
      </c>
      <c r="Y1314" s="24">
        <v>35000</v>
      </c>
      <c r="Z1314" s="24">
        <f t="shared" si="62"/>
        <v>48000</v>
      </c>
      <c r="AB1314" s="25">
        <v>48000</v>
      </c>
      <c r="AC1314" s="26">
        <v>48000</v>
      </c>
      <c r="AD1314" s="24">
        <v>0</v>
      </c>
      <c r="AE1314" s="27">
        <f>_xlfn.XLOOKUP(B1314,'Projects Cashflow'!$B:$B,'Projects Cashflow'!$AG:$AG,0)</f>
        <v>48000</v>
      </c>
      <c r="AF1314" s="28">
        <f t="shared" si="63"/>
        <v>0</v>
      </c>
    </row>
    <row r="1315" spans="2:32" x14ac:dyDescent="0.3">
      <c r="B1315" s="14" t="str">
        <f t="shared" si="61"/>
        <v>45159004511001521Trade Promotion-N1424251200104</v>
      </c>
      <c r="C1315" s="21" t="s">
        <v>211</v>
      </c>
      <c r="D1315" s="22">
        <v>4515900</v>
      </c>
      <c r="E1315" s="21" t="s">
        <v>826</v>
      </c>
      <c r="F1315" s="22">
        <v>4511001521</v>
      </c>
      <c r="G1315" s="21" t="s">
        <v>1917</v>
      </c>
      <c r="H1315" s="29" t="s">
        <v>829</v>
      </c>
      <c r="I1315" s="22">
        <v>424251</v>
      </c>
      <c r="J1315" s="22">
        <v>200104</v>
      </c>
      <c r="K1315" s="22" t="s">
        <v>2959</v>
      </c>
      <c r="L1315" s="22">
        <v>70501</v>
      </c>
      <c r="M1315" s="23" t="s">
        <v>2961</v>
      </c>
      <c r="N1315" s="24">
        <v>0</v>
      </c>
      <c r="O1315" s="24">
        <v>0</v>
      </c>
      <c r="P1315" s="24">
        <v>0</v>
      </c>
      <c r="Q1315" s="24">
        <v>90000</v>
      </c>
      <c r="R1315" s="24">
        <v>0</v>
      </c>
      <c r="S1315" s="24">
        <v>0</v>
      </c>
      <c r="T1315" s="24">
        <v>0</v>
      </c>
      <c r="U1315" s="24">
        <v>0</v>
      </c>
      <c r="V1315" s="24">
        <v>83250</v>
      </c>
      <c r="W1315" s="24">
        <v>0</v>
      </c>
      <c r="X1315" s="24">
        <v>83250</v>
      </c>
      <c r="Y1315" s="24">
        <v>0</v>
      </c>
      <c r="Z1315" s="24">
        <f t="shared" si="62"/>
        <v>256500</v>
      </c>
      <c r="AB1315" s="25">
        <v>256500</v>
      </c>
      <c r="AC1315" s="26">
        <v>256500</v>
      </c>
      <c r="AD1315" s="24">
        <v>0</v>
      </c>
      <c r="AE1315" s="27">
        <f>_xlfn.XLOOKUP(B1315,'Projects Cashflow'!$B:$B,'Projects Cashflow'!$AG:$AG,0)</f>
        <v>256500</v>
      </c>
      <c r="AF1315" s="28">
        <f t="shared" si="63"/>
        <v>0</v>
      </c>
    </row>
    <row r="1316" spans="2:32" x14ac:dyDescent="0.3">
      <c r="B1316" s="14" t="str">
        <f t="shared" si="61"/>
        <v>45159004511001521Admin Expenses-N1421125200104</v>
      </c>
      <c r="C1316" s="21" t="s">
        <v>211</v>
      </c>
      <c r="D1316" s="22">
        <v>4515900</v>
      </c>
      <c r="E1316" s="21" t="s">
        <v>826</v>
      </c>
      <c r="F1316" s="22">
        <v>4511001521</v>
      </c>
      <c r="G1316" s="21" t="s">
        <v>1917</v>
      </c>
      <c r="H1316" s="29" t="s">
        <v>73</v>
      </c>
      <c r="I1316" s="22">
        <v>421125</v>
      </c>
      <c r="J1316" s="22">
        <v>200104</v>
      </c>
      <c r="K1316" s="22" t="s">
        <v>2959</v>
      </c>
      <c r="L1316" s="22">
        <v>70501</v>
      </c>
      <c r="M1316" s="23" t="s">
        <v>2960</v>
      </c>
      <c r="N1316" s="24">
        <v>0</v>
      </c>
      <c r="O1316" s="24">
        <v>0</v>
      </c>
      <c r="P1316" s="24">
        <v>0</v>
      </c>
      <c r="Q1316" s="24">
        <v>0</v>
      </c>
      <c r="R1316" s="24">
        <v>0</v>
      </c>
      <c r="S1316" s="24">
        <v>0</v>
      </c>
      <c r="T1316" s="24">
        <v>70000</v>
      </c>
      <c r="U1316" s="24">
        <v>0</v>
      </c>
      <c r="V1316" s="24">
        <v>0</v>
      </c>
      <c r="W1316" s="24">
        <v>40000</v>
      </c>
      <c r="X1316" s="24">
        <v>0</v>
      </c>
      <c r="Y1316" s="24">
        <v>0</v>
      </c>
      <c r="Z1316" s="24">
        <f t="shared" si="62"/>
        <v>110000</v>
      </c>
      <c r="AB1316" s="25">
        <v>110000</v>
      </c>
      <c r="AC1316" s="26">
        <v>110000</v>
      </c>
      <c r="AD1316" s="24">
        <v>0</v>
      </c>
      <c r="AE1316" s="27">
        <f>_xlfn.XLOOKUP(B1316,'Projects Cashflow'!$B:$B,'Projects Cashflow'!$AG:$AG,0)</f>
        <v>110000</v>
      </c>
      <c r="AF1316" s="28">
        <f t="shared" si="63"/>
        <v>0</v>
      </c>
    </row>
    <row r="1317" spans="2:32" x14ac:dyDescent="0.3">
      <c r="B1317" s="14" t="str">
        <f t="shared" si="61"/>
        <v>45153004511000977Awards &amp; Prizes-N424231200104</v>
      </c>
      <c r="C1317" s="21" t="s">
        <v>211</v>
      </c>
      <c r="D1317" s="22">
        <v>4515300</v>
      </c>
      <c r="E1317" s="21" t="s">
        <v>3118</v>
      </c>
      <c r="F1317" s="22">
        <v>4511000977</v>
      </c>
      <c r="G1317" s="21" t="s">
        <v>1277</v>
      </c>
      <c r="H1317" s="29" t="s">
        <v>590</v>
      </c>
      <c r="I1317" s="22" t="s">
        <v>2832</v>
      </c>
      <c r="J1317" s="22" t="s">
        <v>2922</v>
      </c>
      <c r="K1317" s="22" t="s">
        <v>2959</v>
      </c>
      <c r="L1317" s="22">
        <v>70503</v>
      </c>
      <c r="M1317" s="23" t="s">
        <v>2960</v>
      </c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4">
        <f t="shared" si="62"/>
        <v>0</v>
      </c>
      <c r="AB1317" s="25">
        <v>6475</v>
      </c>
      <c r="AC1317" s="26">
        <v>6475</v>
      </c>
      <c r="AD1317" s="24">
        <v>0</v>
      </c>
      <c r="AE1317" s="27">
        <f>_xlfn.XLOOKUP(B1317,'Projects Cashflow'!$B:$B,'Projects Cashflow'!$AG:$AG,0)</f>
        <v>6475</v>
      </c>
      <c r="AF1317" s="28">
        <f t="shared" si="63"/>
        <v>0</v>
      </c>
    </row>
    <row r="1318" spans="2:32" x14ac:dyDescent="0.3">
      <c r="B1318" s="14" t="str">
        <f t="shared" si="61"/>
        <v>45102104511000346Tagging Material-N431812200104</v>
      </c>
      <c r="C1318" s="21" t="s">
        <v>2984</v>
      </c>
      <c r="D1318" s="22">
        <v>4510210</v>
      </c>
      <c r="E1318" s="21" t="s">
        <v>447</v>
      </c>
      <c r="F1318" s="22">
        <v>4511000346</v>
      </c>
      <c r="G1318" s="21" t="s">
        <v>445</v>
      </c>
      <c r="H1318" s="29" t="s">
        <v>458</v>
      </c>
      <c r="I1318" s="22" t="s">
        <v>2843</v>
      </c>
      <c r="J1318" s="22" t="s">
        <v>2922</v>
      </c>
      <c r="K1318" s="22" t="s">
        <v>2959</v>
      </c>
      <c r="L1318" s="22">
        <v>70102</v>
      </c>
      <c r="M1318" s="23" t="s">
        <v>2960</v>
      </c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4">
        <f t="shared" si="62"/>
        <v>0</v>
      </c>
      <c r="AB1318" s="25">
        <v>70000</v>
      </c>
      <c r="AC1318" s="26">
        <v>70000</v>
      </c>
      <c r="AD1318" s="24">
        <v>0</v>
      </c>
      <c r="AE1318" s="27">
        <f>_xlfn.XLOOKUP(B1318,'Projects Cashflow'!$B:$B,'Projects Cashflow'!$AG:$AG,0)</f>
        <v>70000</v>
      </c>
      <c r="AF1318" s="28">
        <f t="shared" si="63"/>
        <v>0</v>
      </c>
    </row>
    <row r="1319" spans="2:32" x14ac:dyDescent="0.3">
      <c r="B1319" s="14" t="str">
        <f t="shared" si="61"/>
        <v>45102104511000346ManagementAdvice-N424521200104</v>
      </c>
      <c r="C1319" s="21" t="s">
        <v>2984</v>
      </c>
      <c r="D1319" s="22">
        <v>4510210</v>
      </c>
      <c r="E1319" s="21" t="s">
        <v>447</v>
      </c>
      <c r="F1319" s="22">
        <v>4511000346</v>
      </c>
      <c r="G1319" s="21" t="s">
        <v>445</v>
      </c>
      <c r="H1319" s="29" t="s">
        <v>230</v>
      </c>
      <c r="I1319" s="22" t="s">
        <v>2804</v>
      </c>
      <c r="J1319" s="22" t="s">
        <v>2922</v>
      </c>
      <c r="K1319" s="22" t="s">
        <v>2959</v>
      </c>
      <c r="L1319" s="22">
        <v>70102</v>
      </c>
      <c r="M1319" s="23" t="s">
        <v>2960</v>
      </c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4">
        <f t="shared" si="62"/>
        <v>0</v>
      </c>
      <c r="AB1319" s="25">
        <v>100000</v>
      </c>
      <c r="AC1319" s="26">
        <v>100000</v>
      </c>
      <c r="AD1319" s="24">
        <v>0</v>
      </c>
      <c r="AE1319" s="27">
        <f>_xlfn.XLOOKUP(B1319,'Projects Cashflow'!$B:$B,'Projects Cashflow'!$AG:$AG,0)</f>
        <v>100000</v>
      </c>
      <c r="AF1319" s="28">
        <f t="shared" si="63"/>
        <v>0</v>
      </c>
    </row>
    <row r="1320" spans="2:32" x14ac:dyDescent="0.3">
      <c r="B1320" s="14" t="str">
        <f t="shared" si="61"/>
        <v>45110204511000306Freelancers-N424521200104</v>
      </c>
      <c r="C1320" s="21" t="s">
        <v>65</v>
      </c>
      <c r="D1320" s="22">
        <v>4511020</v>
      </c>
      <c r="E1320" s="21" t="s">
        <v>301</v>
      </c>
      <c r="F1320" s="22">
        <v>4511000306</v>
      </c>
      <c r="G1320" s="21" t="s">
        <v>410</v>
      </c>
      <c r="H1320" s="29" t="s">
        <v>50</v>
      </c>
      <c r="I1320" s="22" t="s">
        <v>2804</v>
      </c>
      <c r="J1320" s="22" t="s">
        <v>2922</v>
      </c>
      <c r="K1320" s="22" t="s">
        <v>2959</v>
      </c>
      <c r="L1320" s="22">
        <v>70203</v>
      </c>
      <c r="M1320" s="23" t="s">
        <v>2960</v>
      </c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4">
        <f t="shared" si="62"/>
        <v>0</v>
      </c>
      <c r="AB1320" s="25">
        <v>120000</v>
      </c>
      <c r="AC1320" s="26">
        <v>120000</v>
      </c>
      <c r="AD1320" s="24">
        <v>0</v>
      </c>
      <c r="AE1320" s="27">
        <f>_xlfn.XLOOKUP(B1320,'Projects Cashflow'!$B:$B,'Projects Cashflow'!$AG:$AG,0)</f>
        <v>120000</v>
      </c>
      <c r="AF1320" s="28">
        <f t="shared" si="63"/>
        <v>0</v>
      </c>
    </row>
    <row r="1321" spans="2:32" x14ac:dyDescent="0.3">
      <c r="B1321" s="14" t="str">
        <f t="shared" si="61"/>
        <v>45110204511000231Freelancers-N424521200104</v>
      </c>
      <c r="C1321" s="21" t="s">
        <v>65</v>
      </c>
      <c r="D1321" s="22">
        <v>4511020</v>
      </c>
      <c r="E1321" s="21" t="s">
        <v>301</v>
      </c>
      <c r="F1321" s="22">
        <v>4511000231</v>
      </c>
      <c r="G1321" s="21" t="s">
        <v>295</v>
      </c>
      <c r="H1321" s="29" t="s">
        <v>50</v>
      </c>
      <c r="I1321" s="22" t="s">
        <v>2804</v>
      </c>
      <c r="J1321" s="22" t="s">
        <v>2922</v>
      </c>
      <c r="K1321" s="22" t="s">
        <v>2959</v>
      </c>
      <c r="L1321" s="22">
        <v>70303</v>
      </c>
      <c r="M1321" s="23" t="s">
        <v>2960</v>
      </c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4">
        <f t="shared" si="62"/>
        <v>0</v>
      </c>
      <c r="AB1321" s="25">
        <v>0</v>
      </c>
      <c r="AC1321" s="26">
        <v>160000</v>
      </c>
      <c r="AD1321" s="32">
        <v>-160000</v>
      </c>
      <c r="AE1321" s="27">
        <f>_xlfn.XLOOKUP(B1321,'Projects Cashflow'!$B:$B,'Projects Cashflow'!$AG:$AG,0)</f>
        <v>160000</v>
      </c>
      <c r="AF1321" s="28">
        <f t="shared" si="63"/>
        <v>160000</v>
      </c>
    </row>
    <row r="1322" spans="2:32" x14ac:dyDescent="0.3">
      <c r="B1322" s="14" t="str">
        <f t="shared" si="61"/>
        <v>45101404511000016Freelancers-N424521200104</v>
      </c>
      <c r="C1322" s="21" t="s">
        <v>33</v>
      </c>
      <c r="D1322" s="22">
        <v>4510140</v>
      </c>
      <c r="E1322" s="21" t="s">
        <v>3065</v>
      </c>
      <c r="F1322" s="22">
        <v>4511000016</v>
      </c>
      <c r="G1322" s="21" t="s">
        <v>42</v>
      </c>
      <c r="H1322" s="29" t="s">
        <v>50</v>
      </c>
      <c r="I1322" s="22" t="s">
        <v>2804</v>
      </c>
      <c r="J1322" s="22" t="s">
        <v>2922</v>
      </c>
      <c r="K1322" s="22" t="s">
        <v>2959</v>
      </c>
      <c r="L1322" s="22">
        <v>70109</v>
      </c>
      <c r="M1322" s="23" t="s">
        <v>2960</v>
      </c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4">
        <f t="shared" si="62"/>
        <v>0</v>
      </c>
      <c r="AB1322" s="25">
        <v>430333</v>
      </c>
      <c r="AC1322" s="26">
        <v>430333</v>
      </c>
      <c r="AD1322" s="24">
        <v>0</v>
      </c>
      <c r="AE1322" s="27">
        <f>_xlfn.XLOOKUP(B1322,'Projects Cashflow'!$B:$B,'Projects Cashflow'!$AG:$AG,0)</f>
        <v>430333</v>
      </c>
      <c r="AF1322" s="28">
        <f t="shared" si="63"/>
        <v>0</v>
      </c>
    </row>
    <row r="1323" spans="2:32" x14ac:dyDescent="0.3">
      <c r="B1323" s="14" t="str">
        <f t="shared" si="61"/>
        <v>45192014511001410Content Partner-N1424781200104</v>
      </c>
      <c r="C1323" s="21" t="s">
        <v>2957</v>
      </c>
      <c r="D1323" s="22">
        <v>4519201</v>
      </c>
      <c r="E1323" s="21" t="s">
        <v>875</v>
      </c>
      <c r="F1323" s="22">
        <v>4511001410</v>
      </c>
      <c r="G1323" s="21" t="s">
        <v>1690</v>
      </c>
      <c r="H1323" s="29" t="s">
        <v>1691</v>
      </c>
      <c r="I1323" s="22" t="s">
        <v>2815</v>
      </c>
      <c r="J1323" s="22" t="s">
        <v>2922</v>
      </c>
      <c r="K1323" s="22" t="s">
        <v>2959</v>
      </c>
      <c r="L1323" s="22">
        <v>70703</v>
      </c>
      <c r="M1323" s="23" t="s">
        <v>2960</v>
      </c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/>
      <c r="Y1323" s="24"/>
      <c r="Z1323" s="24">
        <f t="shared" si="62"/>
        <v>0</v>
      </c>
      <c r="AB1323" s="25">
        <v>450000</v>
      </c>
      <c r="AC1323" s="26">
        <v>450000</v>
      </c>
      <c r="AD1323" s="24">
        <v>0</v>
      </c>
      <c r="AE1323" s="27">
        <f>_xlfn.XLOOKUP(B1323,'Projects Cashflow'!$B:$B,'Projects Cashflow'!$AG:$AG,0)</f>
        <v>450000</v>
      </c>
      <c r="AF1323" s="28">
        <f t="shared" si="63"/>
        <v>0</v>
      </c>
    </row>
    <row r="1324" spans="2:32" x14ac:dyDescent="0.3">
      <c r="B1324" s="14" t="str">
        <f t="shared" si="61"/>
        <v>45192004511000729Licenses Fees-N424131200104</v>
      </c>
      <c r="C1324" s="21" t="s">
        <v>2957</v>
      </c>
      <c r="D1324" s="22">
        <v>4519200</v>
      </c>
      <c r="E1324" s="21" t="s">
        <v>961</v>
      </c>
      <c r="F1324" s="22">
        <v>4511000729</v>
      </c>
      <c r="G1324" s="21" t="s">
        <v>959</v>
      </c>
      <c r="H1324" s="29" t="s">
        <v>365</v>
      </c>
      <c r="I1324" s="22" t="s">
        <v>2835</v>
      </c>
      <c r="J1324" s="22" t="s">
        <v>2922</v>
      </c>
      <c r="K1324" s="22" t="s">
        <v>2959</v>
      </c>
      <c r="L1324" s="22">
        <v>70703</v>
      </c>
      <c r="M1324" s="23" t="s">
        <v>2960</v>
      </c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4">
        <f t="shared" si="62"/>
        <v>0</v>
      </c>
      <c r="AB1324" s="25">
        <v>633161</v>
      </c>
      <c r="AC1324" s="26">
        <v>633161</v>
      </c>
      <c r="AD1324" s="24">
        <v>0</v>
      </c>
      <c r="AE1324" s="27">
        <f>_xlfn.XLOOKUP(B1324,'Projects Cashflow'!$B:$B,'Projects Cashflow'!$AG:$AG,0)</f>
        <v>633161</v>
      </c>
      <c r="AF1324" s="28">
        <f t="shared" si="63"/>
        <v>0</v>
      </c>
    </row>
    <row r="1325" spans="2:32" x14ac:dyDescent="0.3">
      <c r="B1325" s="14" t="str">
        <f t="shared" si="61"/>
        <v>45102504511001409Systems Develop-NC493140300105</v>
      </c>
      <c r="C1325" s="21" t="s">
        <v>2984</v>
      </c>
      <c r="D1325" s="22">
        <v>4510250</v>
      </c>
      <c r="E1325" s="21" t="s">
        <v>3017</v>
      </c>
      <c r="F1325" s="22">
        <v>4511001409</v>
      </c>
      <c r="G1325" s="21" t="s">
        <v>1688</v>
      </c>
      <c r="H1325" s="29" t="s">
        <v>184</v>
      </c>
      <c r="I1325" s="22" t="s">
        <v>2822</v>
      </c>
      <c r="J1325" s="22" t="s">
        <v>2923</v>
      </c>
      <c r="K1325" s="22" t="s">
        <v>2972</v>
      </c>
      <c r="L1325" s="22">
        <v>70106</v>
      </c>
      <c r="M1325" s="23" t="s">
        <v>2960</v>
      </c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4">
        <f t="shared" si="62"/>
        <v>0</v>
      </c>
      <c r="AB1325" s="25">
        <v>775115</v>
      </c>
      <c r="AC1325" s="26">
        <v>827115</v>
      </c>
      <c r="AD1325" s="24">
        <v>-52000</v>
      </c>
      <c r="AE1325" s="27">
        <f>_xlfn.XLOOKUP(B1325,'Projects Cashflow'!$B:$B,'Projects Cashflow'!$AG:$AG,0)</f>
        <v>775115</v>
      </c>
      <c r="AF1325" s="28">
        <f t="shared" si="63"/>
        <v>0</v>
      </c>
    </row>
    <row r="1326" spans="2:32" x14ac:dyDescent="0.3">
      <c r="B1326" s="14" t="str">
        <f t="shared" si="61"/>
        <v>45102504511000760Manpower-N424521200104</v>
      </c>
      <c r="C1326" s="21" t="s">
        <v>2984</v>
      </c>
      <c r="D1326" s="22">
        <v>4510250</v>
      </c>
      <c r="E1326" s="21" t="s">
        <v>3017</v>
      </c>
      <c r="F1326" s="22">
        <v>4511000760</v>
      </c>
      <c r="G1326" s="21" t="s">
        <v>1013</v>
      </c>
      <c r="H1326" s="29" t="s">
        <v>98</v>
      </c>
      <c r="I1326" s="22" t="s">
        <v>2804</v>
      </c>
      <c r="J1326" s="22" t="s">
        <v>2922</v>
      </c>
      <c r="K1326" s="22" t="s">
        <v>2959</v>
      </c>
      <c r="L1326" s="22">
        <v>70106</v>
      </c>
      <c r="M1326" s="23" t="s">
        <v>2960</v>
      </c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Y1326" s="21"/>
      <c r="Z1326" s="24">
        <f t="shared" si="62"/>
        <v>0</v>
      </c>
      <c r="AB1326" s="25">
        <v>1000000</v>
      </c>
      <c r="AC1326" s="26">
        <v>1000000</v>
      </c>
      <c r="AD1326" s="24">
        <v>0</v>
      </c>
      <c r="AE1326" s="27">
        <f>_xlfn.XLOOKUP(B1326,'Projects Cashflow'!$B:$B,'Projects Cashflow'!$AG:$AG,0)</f>
        <v>1000000</v>
      </c>
      <c r="AF1326" s="28">
        <f t="shared" si="63"/>
        <v>0</v>
      </c>
    </row>
    <row r="1327" spans="2:32" x14ac:dyDescent="0.3">
      <c r="B1327" s="14" t="str">
        <f t="shared" si="61"/>
        <v>45113004511001467FeasibilityStudy-N421119200104</v>
      </c>
      <c r="C1327" s="21" t="s">
        <v>65</v>
      </c>
      <c r="D1327" s="22">
        <v>4511300</v>
      </c>
      <c r="E1327" s="21" t="s">
        <v>287</v>
      </c>
      <c r="F1327" s="22">
        <v>4511001467</v>
      </c>
      <c r="G1327" s="21" t="s">
        <v>1770</v>
      </c>
      <c r="H1327" s="29" t="s">
        <v>792</v>
      </c>
      <c r="I1327" s="22" t="s">
        <v>2857</v>
      </c>
      <c r="J1327" s="22" t="s">
        <v>2922</v>
      </c>
      <c r="K1327" s="22" t="s">
        <v>2959</v>
      </c>
      <c r="L1327" s="22">
        <v>70201</v>
      </c>
      <c r="M1327" s="23" t="s">
        <v>2960</v>
      </c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4">
        <f t="shared" si="62"/>
        <v>0</v>
      </c>
      <c r="AB1327" s="25">
        <v>1360000</v>
      </c>
      <c r="AC1327" s="26">
        <v>1360000</v>
      </c>
      <c r="AD1327" s="24">
        <v>0</v>
      </c>
      <c r="AE1327" s="27">
        <f>_xlfn.XLOOKUP(B1327,'Projects Cashflow'!$B:$B,'Projects Cashflow'!$AG:$AG,0)</f>
        <v>1360000</v>
      </c>
      <c r="AF1327" s="28">
        <f t="shared" si="63"/>
        <v>0</v>
      </c>
    </row>
    <row r="1328" spans="2:32" x14ac:dyDescent="0.3">
      <c r="B1328" s="14" t="str">
        <f t="shared" si="61"/>
        <v>45113004511001467Research&amp;Survey-N423411200104</v>
      </c>
      <c r="C1328" s="21" t="s">
        <v>65</v>
      </c>
      <c r="D1328" s="22">
        <v>4511300</v>
      </c>
      <c r="E1328" s="21" t="s">
        <v>287</v>
      </c>
      <c r="F1328" s="22">
        <v>4511001467</v>
      </c>
      <c r="G1328" s="21" t="s">
        <v>1770</v>
      </c>
      <c r="H1328" s="29" t="s">
        <v>381</v>
      </c>
      <c r="I1328" s="22" t="s">
        <v>2833</v>
      </c>
      <c r="J1328" s="22" t="s">
        <v>2922</v>
      </c>
      <c r="K1328" s="22" t="s">
        <v>2959</v>
      </c>
      <c r="L1328" s="22">
        <v>70201</v>
      </c>
      <c r="M1328" s="23" t="s">
        <v>2960</v>
      </c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4">
        <f t="shared" si="62"/>
        <v>0</v>
      </c>
      <c r="AB1328" s="25">
        <v>643201</v>
      </c>
      <c r="AC1328" s="26">
        <v>643201</v>
      </c>
      <c r="AD1328" s="24">
        <v>0</v>
      </c>
      <c r="AE1328" s="27">
        <f>_xlfn.XLOOKUP(B1328,'Projects Cashflow'!$B:$B,'Projects Cashflow'!$AG:$AG,0)</f>
        <v>643201</v>
      </c>
      <c r="AF1328" s="28">
        <f t="shared" si="63"/>
        <v>0</v>
      </c>
    </row>
    <row r="1329" spans="2:32" x14ac:dyDescent="0.3">
      <c r="B1329" s="14" t="str">
        <f t="shared" si="61"/>
        <v>45110204511000231Print Runs-N424791200104</v>
      </c>
      <c r="C1329" s="21" t="s">
        <v>65</v>
      </c>
      <c r="D1329" s="22">
        <v>4511020</v>
      </c>
      <c r="E1329" s="21" t="s">
        <v>301</v>
      </c>
      <c r="F1329" s="22">
        <v>4511000231</v>
      </c>
      <c r="G1329" s="21" t="s">
        <v>295</v>
      </c>
      <c r="H1329" s="29" t="s">
        <v>304</v>
      </c>
      <c r="I1329" s="22" t="s">
        <v>2830</v>
      </c>
      <c r="J1329" s="22" t="s">
        <v>2922</v>
      </c>
      <c r="K1329" s="22" t="s">
        <v>2959</v>
      </c>
      <c r="L1329" s="22">
        <v>70303</v>
      </c>
      <c r="M1329" s="23" t="s">
        <v>2960</v>
      </c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4">
        <f t="shared" si="62"/>
        <v>0</v>
      </c>
      <c r="AB1329" s="25">
        <v>0</v>
      </c>
      <c r="AC1329" s="26">
        <v>1200000</v>
      </c>
      <c r="AD1329" s="32">
        <v>-1200000</v>
      </c>
      <c r="AE1329" s="27">
        <f>_xlfn.XLOOKUP(B1329,'Projects Cashflow'!$B:$B,'Projects Cashflow'!$AG:$AG,0)</f>
        <v>1200000</v>
      </c>
      <c r="AF1329" s="28">
        <f t="shared" si="63"/>
        <v>1200000</v>
      </c>
    </row>
    <row r="1330" spans="2:32" x14ac:dyDescent="0.3">
      <c r="B1330" s="14" t="str">
        <f t="shared" si="61"/>
        <v>45113004511000639FeasibilityStudy-N421119200104</v>
      </c>
      <c r="C1330" s="21" t="s">
        <v>65</v>
      </c>
      <c r="D1330" s="22">
        <v>4511300</v>
      </c>
      <c r="E1330" s="21" t="s">
        <v>287</v>
      </c>
      <c r="F1330" s="22">
        <v>4511000639</v>
      </c>
      <c r="G1330" s="21" t="s">
        <v>789</v>
      </c>
      <c r="H1330" s="29" t="s">
        <v>792</v>
      </c>
      <c r="I1330" s="22" t="s">
        <v>2857</v>
      </c>
      <c r="J1330" s="22" t="s">
        <v>2922</v>
      </c>
      <c r="K1330" s="22" t="s">
        <v>2959</v>
      </c>
      <c r="L1330" s="22">
        <v>70201</v>
      </c>
      <c r="M1330" s="23" t="s">
        <v>2960</v>
      </c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4">
        <f t="shared" si="62"/>
        <v>0</v>
      </c>
      <c r="AB1330" s="25">
        <v>1350000</v>
      </c>
      <c r="AC1330" s="26">
        <v>1350000</v>
      </c>
      <c r="AD1330" s="24">
        <v>0</v>
      </c>
      <c r="AE1330" s="27">
        <f>_xlfn.XLOOKUP(B1330,'Projects Cashflow'!$B:$B,'Projects Cashflow'!$AG:$AG,0)</f>
        <v>1350000</v>
      </c>
      <c r="AF1330" s="28">
        <f t="shared" si="63"/>
        <v>0</v>
      </c>
    </row>
    <row r="1331" spans="2:32" x14ac:dyDescent="0.3">
      <c r="B1331" s="14" t="str">
        <f t="shared" si="61"/>
        <v>45157004511000860Trade Promotion-N424251200104</v>
      </c>
      <c r="C1331" s="34" t="s">
        <v>211</v>
      </c>
      <c r="D1331" s="35">
        <v>4515700</v>
      </c>
      <c r="E1331" s="34" t="s">
        <v>340</v>
      </c>
      <c r="F1331" s="35">
        <v>4511000860</v>
      </c>
      <c r="G1331" s="34" t="s">
        <v>1135</v>
      </c>
      <c r="H1331" s="53" t="s">
        <v>748</v>
      </c>
      <c r="I1331" s="35">
        <v>424251</v>
      </c>
      <c r="J1331" s="35">
        <v>200104</v>
      </c>
      <c r="K1331" s="35" t="s">
        <v>2959</v>
      </c>
      <c r="L1331" s="22">
        <v>70501</v>
      </c>
      <c r="M1331" s="36" t="s">
        <v>2960</v>
      </c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4">
        <f t="shared" si="62"/>
        <v>0</v>
      </c>
      <c r="AB1331" s="37">
        <v>874000</v>
      </c>
      <c r="AC1331" s="38">
        <v>874000</v>
      </c>
      <c r="AD1331" s="24">
        <v>0</v>
      </c>
      <c r="AE1331" s="27">
        <f>_xlfn.XLOOKUP(B1331,'Projects Cashflow'!$B:$B,'Projects Cashflow'!$AG:$AG,0)</f>
        <v>874000</v>
      </c>
      <c r="AF1331" s="28">
        <f t="shared" si="63"/>
        <v>0</v>
      </c>
    </row>
    <row r="1332" spans="2:32" x14ac:dyDescent="0.3">
      <c r="B1332" s="14" t="str">
        <f t="shared" si="61"/>
        <v>45131104511001635SM Mgmnt Rtnr-N421125200104</v>
      </c>
      <c r="C1332" s="21" t="s">
        <v>319</v>
      </c>
      <c r="D1332" s="22">
        <v>4513110</v>
      </c>
      <c r="E1332" s="21" t="s">
        <v>3074</v>
      </c>
      <c r="F1332" s="22">
        <v>4511001635</v>
      </c>
      <c r="G1332" s="21" t="s">
        <v>2142</v>
      </c>
      <c r="H1332" s="29" t="s">
        <v>502</v>
      </c>
      <c r="I1332" s="22" t="s">
        <v>2803</v>
      </c>
      <c r="J1332" s="22" t="s">
        <v>2922</v>
      </c>
      <c r="K1332" s="22" t="s">
        <v>2959</v>
      </c>
      <c r="L1332" s="22">
        <v>70601</v>
      </c>
      <c r="M1332" s="23" t="s">
        <v>2960</v>
      </c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4">
        <f t="shared" si="62"/>
        <v>0</v>
      </c>
      <c r="AB1332" s="25">
        <v>2028690</v>
      </c>
      <c r="AC1332" s="26">
        <v>2028690</v>
      </c>
      <c r="AD1332" s="24">
        <v>0</v>
      </c>
      <c r="AE1332" s="27">
        <f>_xlfn.XLOOKUP(B1332,'Projects Cashflow'!$B:$B,'Projects Cashflow'!$AG:$AG,0)</f>
        <v>2028690</v>
      </c>
      <c r="AF1332" s="28">
        <f t="shared" si="63"/>
        <v>0</v>
      </c>
    </row>
    <row r="1333" spans="2:32" x14ac:dyDescent="0.3">
      <c r="B1333" s="14" t="str">
        <f t="shared" si="61"/>
        <v>45131304511001631Sponsorship Fees-N424811200104</v>
      </c>
      <c r="C1333" s="21" t="s">
        <v>319</v>
      </c>
      <c r="D1333" s="22">
        <v>4513130</v>
      </c>
      <c r="E1333" s="21" t="s">
        <v>320</v>
      </c>
      <c r="F1333" s="22">
        <v>4511001631</v>
      </c>
      <c r="G1333" s="21" t="s">
        <v>2140</v>
      </c>
      <c r="H1333" s="29" t="s">
        <v>506</v>
      </c>
      <c r="I1333" s="22" t="s">
        <v>2802</v>
      </c>
      <c r="J1333" s="22" t="s">
        <v>2922</v>
      </c>
      <c r="K1333" s="22" t="s">
        <v>2959</v>
      </c>
      <c r="L1333" s="22">
        <v>70601</v>
      </c>
      <c r="M1333" s="23" t="s">
        <v>2960</v>
      </c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4">
        <f t="shared" si="62"/>
        <v>0</v>
      </c>
      <c r="AB1333" s="25">
        <v>4000000</v>
      </c>
      <c r="AC1333" s="26">
        <v>4000000</v>
      </c>
      <c r="AD1333" s="24">
        <v>0</v>
      </c>
      <c r="AE1333" s="27">
        <f>_xlfn.XLOOKUP(B1333,'Projects Cashflow'!$B:$B,'Projects Cashflow'!$AG:$AG,0)</f>
        <v>4000000</v>
      </c>
      <c r="AF1333" s="28">
        <f t="shared" si="63"/>
        <v>0</v>
      </c>
    </row>
    <row r="1334" spans="2:32" x14ac:dyDescent="0.3">
      <c r="B1334" s="14" t="str">
        <f t="shared" si="61"/>
        <v>45101104511000181Strategy Advice-N421123200104</v>
      </c>
      <c r="C1334" s="21" t="s">
        <v>33</v>
      </c>
      <c r="D1334" s="22">
        <v>4510110</v>
      </c>
      <c r="E1334" s="21" t="s">
        <v>223</v>
      </c>
      <c r="F1334" s="22">
        <v>4511000181</v>
      </c>
      <c r="G1334" s="21" t="s">
        <v>221</v>
      </c>
      <c r="H1334" s="29" t="s">
        <v>236</v>
      </c>
      <c r="I1334" s="22" t="s">
        <v>2827</v>
      </c>
      <c r="J1334" s="22" t="s">
        <v>2922</v>
      </c>
      <c r="K1334" s="22" t="s">
        <v>2959</v>
      </c>
      <c r="L1334" s="22">
        <v>70101</v>
      </c>
      <c r="M1334" s="23" t="s">
        <v>2960</v>
      </c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4">
        <f t="shared" si="62"/>
        <v>0</v>
      </c>
      <c r="AB1334" s="25">
        <v>4987500</v>
      </c>
      <c r="AC1334" s="26">
        <v>4987500</v>
      </c>
      <c r="AD1334" s="24">
        <v>0</v>
      </c>
      <c r="AE1334" s="27">
        <f>_xlfn.XLOOKUP(B1334,'Projects Cashflow'!$B:$B,'Projects Cashflow'!$AG:$AG,0)</f>
        <v>4987500</v>
      </c>
      <c r="AF1334" s="28">
        <f t="shared" si="63"/>
        <v>0</v>
      </c>
    </row>
    <row r="1335" spans="2:32" x14ac:dyDescent="0.3">
      <c r="B1335" s="14" t="str">
        <f t="shared" si="61"/>
        <v>45113004511000637Manpower-N424521200104</v>
      </c>
      <c r="C1335" s="21" t="s">
        <v>65</v>
      </c>
      <c r="D1335" s="22">
        <v>4511300</v>
      </c>
      <c r="E1335" s="21" t="s">
        <v>287</v>
      </c>
      <c r="F1335" s="22">
        <v>4511000637</v>
      </c>
      <c r="G1335" s="21" t="s">
        <v>781</v>
      </c>
      <c r="H1335" s="29" t="s">
        <v>98</v>
      </c>
      <c r="I1335" s="22" t="s">
        <v>2804</v>
      </c>
      <c r="J1335" s="22" t="s">
        <v>2922</v>
      </c>
      <c r="K1335" s="22" t="s">
        <v>2959</v>
      </c>
      <c r="L1335" s="22">
        <v>70201</v>
      </c>
      <c r="M1335" s="23" t="s">
        <v>2960</v>
      </c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4">
        <f t="shared" si="62"/>
        <v>0</v>
      </c>
      <c r="AB1335" s="25">
        <v>5234857</v>
      </c>
      <c r="AC1335" s="26">
        <v>5234857</v>
      </c>
      <c r="AD1335" s="24">
        <v>0</v>
      </c>
      <c r="AE1335" s="27">
        <f>_xlfn.XLOOKUP(B1335,'Projects Cashflow'!$B:$B,'Projects Cashflow'!$AG:$AG,0)</f>
        <v>5234857</v>
      </c>
      <c r="AF1335" s="28">
        <f t="shared" si="63"/>
        <v>0</v>
      </c>
    </row>
    <row r="1336" spans="2:32" x14ac:dyDescent="0.3">
      <c r="B1336" s="14" t="str">
        <f t="shared" si="61"/>
        <v>45155004511001691Activation&amp;Prog-N422401200104</v>
      </c>
      <c r="C1336" s="21" t="s">
        <v>211</v>
      </c>
      <c r="D1336" s="22">
        <v>4515500</v>
      </c>
      <c r="E1336" s="21" t="s">
        <v>512</v>
      </c>
      <c r="F1336" s="22">
        <v>4511001691</v>
      </c>
      <c r="G1336" s="21" t="s">
        <v>2146</v>
      </c>
      <c r="H1336" s="29" t="s">
        <v>62</v>
      </c>
      <c r="I1336" s="22" t="s">
        <v>2807</v>
      </c>
      <c r="J1336" s="22" t="s">
        <v>2922</v>
      </c>
      <c r="K1336" s="22" t="s">
        <v>2959</v>
      </c>
      <c r="L1336" s="22">
        <v>70501</v>
      </c>
      <c r="M1336" s="23" t="s">
        <v>2960</v>
      </c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4">
        <f t="shared" si="62"/>
        <v>0</v>
      </c>
      <c r="AB1336" s="25">
        <v>5806674</v>
      </c>
      <c r="AC1336" s="26">
        <v>5806674</v>
      </c>
      <c r="AD1336" s="24">
        <v>0</v>
      </c>
      <c r="AE1336" s="27">
        <f>_xlfn.XLOOKUP(B1336,'Projects Cashflow'!$B:$B,'Projects Cashflow'!$AG:$AG,0)</f>
        <v>5806674</v>
      </c>
      <c r="AF1336" s="28">
        <f t="shared" si="63"/>
        <v>0</v>
      </c>
    </row>
    <row r="1337" spans="2:32" x14ac:dyDescent="0.3">
      <c r="B1337" s="14" t="str">
        <f t="shared" si="61"/>
        <v>45131104511001636SM Mgmnt Rtnr-N421125200104</v>
      </c>
      <c r="C1337" s="21" t="s">
        <v>319</v>
      </c>
      <c r="D1337" s="22">
        <v>4513110</v>
      </c>
      <c r="E1337" s="21" t="s">
        <v>3074</v>
      </c>
      <c r="F1337" s="22">
        <v>4511001636</v>
      </c>
      <c r="G1337" s="21" t="s">
        <v>2144</v>
      </c>
      <c r="H1337" s="29" t="s">
        <v>502</v>
      </c>
      <c r="I1337" s="22" t="s">
        <v>2803</v>
      </c>
      <c r="J1337" s="22" t="s">
        <v>2922</v>
      </c>
      <c r="K1337" s="22" t="s">
        <v>2959</v>
      </c>
      <c r="L1337" s="22">
        <v>70601</v>
      </c>
      <c r="M1337" s="23" t="s">
        <v>2960</v>
      </c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4">
        <f t="shared" si="62"/>
        <v>0</v>
      </c>
      <c r="AB1337" s="25">
        <v>8133603</v>
      </c>
      <c r="AC1337" s="26">
        <v>8133603</v>
      </c>
      <c r="AD1337" s="24">
        <v>0</v>
      </c>
      <c r="AE1337" s="27">
        <f>_xlfn.XLOOKUP(B1337,'Projects Cashflow'!$B:$B,'Projects Cashflow'!$AG:$AG,0)</f>
        <v>8133603</v>
      </c>
      <c r="AF1337" s="28">
        <f t="shared" si="63"/>
        <v>0</v>
      </c>
    </row>
    <row r="1338" spans="2:32" x14ac:dyDescent="0.3">
      <c r="B1338" s="14" t="str">
        <f t="shared" si="61"/>
        <v>45121004511000549ManagementAdvice-N421119200104</v>
      </c>
      <c r="C1338" s="21" t="s">
        <v>721</v>
      </c>
      <c r="D1338" s="22">
        <v>4512100</v>
      </c>
      <c r="E1338" s="21" t="s">
        <v>737</v>
      </c>
      <c r="F1338" s="22">
        <v>4511000549</v>
      </c>
      <c r="G1338" s="21" t="s">
        <v>735</v>
      </c>
      <c r="H1338" s="29" t="s">
        <v>230</v>
      </c>
      <c r="I1338" s="22" t="s">
        <v>2857</v>
      </c>
      <c r="J1338" s="22" t="s">
        <v>2922</v>
      </c>
      <c r="K1338" s="22" t="s">
        <v>2959</v>
      </c>
      <c r="L1338" s="22">
        <v>70101</v>
      </c>
      <c r="M1338" s="23" t="s">
        <v>2960</v>
      </c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4">
        <f t="shared" si="62"/>
        <v>0</v>
      </c>
      <c r="AB1338" s="25">
        <v>12190000</v>
      </c>
      <c r="AC1338" s="26">
        <v>12190000</v>
      </c>
      <c r="AD1338" s="24">
        <v>0</v>
      </c>
      <c r="AE1338" s="27">
        <f>_xlfn.XLOOKUP(B1338,'Projects Cashflow'!$B:$B,'Projects Cashflow'!$AG:$AG,0)</f>
        <v>12190000</v>
      </c>
      <c r="AF1338" s="28">
        <f t="shared" si="63"/>
        <v>0</v>
      </c>
    </row>
    <row r="1339" spans="2:32" x14ac:dyDescent="0.3">
      <c r="B1339" s="14" t="str">
        <f t="shared" si="61"/>
        <v>45110104511001394Event Management-N422401200104</v>
      </c>
      <c r="C1339" s="21" t="s">
        <v>65</v>
      </c>
      <c r="D1339" s="22">
        <v>4511010</v>
      </c>
      <c r="E1339" s="21" t="s">
        <v>267</v>
      </c>
      <c r="F1339" s="22">
        <v>4511001394</v>
      </c>
      <c r="G1339" s="21" t="s">
        <v>1647</v>
      </c>
      <c r="H1339" s="29" t="s">
        <v>162</v>
      </c>
      <c r="I1339" s="22">
        <v>422401</v>
      </c>
      <c r="J1339" s="22">
        <v>200104</v>
      </c>
      <c r="K1339" s="22" t="s">
        <v>2959</v>
      </c>
      <c r="L1339" s="22">
        <v>70206</v>
      </c>
      <c r="M1339" s="23" t="s">
        <v>2960</v>
      </c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4">
        <f t="shared" si="62"/>
        <v>0</v>
      </c>
      <c r="AB1339" s="25">
        <v>3847698</v>
      </c>
      <c r="AC1339" s="26">
        <v>3847698</v>
      </c>
      <c r="AD1339" s="24">
        <v>0</v>
      </c>
      <c r="AE1339" s="27">
        <f>_xlfn.XLOOKUP(B1339,'Projects Cashflow'!$B:$B,'Projects Cashflow'!$AG:$AG,0)</f>
        <v>3847698</v>
      </c>
      <c r="AF1339" s="28">
        <f t="shared" si="63"/>
        <v>0</v>
      </c>
    </row>
    <row r="1340" spans="2:32" x14ac:dyDescent="0.3">
      <c r="B1340" s="14" t="str">
        <f t="shared" si="61"/>
        <v>45110104511001394Admin Expenses-N1421125200104</v>
      </c>
      <c r="C1340" s="21" t="s">
        <v>65</v>
      </c>
      <c r="D1340" s="22">
        <v>4511010</v>
      </c>
      <c r="E1340" s="21" t="s">
        <v>267</v>
      </c>
      <c r="F1340" s="22">
        <v>4511001394</v>
      </c>
      <c r="G1340" s="21" t="s">
        <v>1647</v>
      </c>
      <c r="H1340" s="29" t="s">
        <v>73</v>
      </c>
      <c r="I1340" s="22">
        <v>421125</v>
      </c>
      <c r="J1340" s="22">
        <v>200104</v>
      </c>
      <c r="K1340" s="22" t="s">
        <v>2959</v>
      </c>
      <c r="L1340" s="22">
        <v>70206</v>
      </c>
      <c r="M1340" s="23" t="s">
        <v>2960</v>
      </c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4">
        <f t="shared" si="62"/>
        <v>0</v>
      </c>
      <c r="AB1340" s="25">
        <v>300000</v>
      </c>
      <c r="AC1340" s="26">
        <v>300000</v>
      </c>
      <c r="AD1340" s="24">
        <v>0</v>
      </c>
      <c r="AE1340" s="27">
        <f>_xlfn.XLOOKUP(B1340,'Projects Cashflow'!$B:$B,'Projects Cashflow'!$AG:$AG,0)</f>
        <v>300000</v>
      </c>
      <c r="AF1340" s="28">
        <f t="shared" si="63"/>
        <v>0</v>
      </c>
    </row>
    <row r="1341" spans="2:32" x14ac:dyDescent="0.3">
      <c r="B1341" s="14" t="str">
        <f t="shared" si="61"/>
        <v>45113004511000227Hospitality-N424761200104</v>
      </c>
      <c r="C1341" s="21" t="s">
        <v>65</v>
      </c>
      <c r="D1341" s="22">
        <v>4511300</v>
      </c>
      <c r="E1341" s="21" t="s">
        <v>287</v>
      </c>
      <c r="F1341" s="22">
        <v>4511000227</v>
      </c>
      <c r="G1341" s="21" t="s">
        <v>3020</v>
      </c>
      <c r="H1341" s="29" t="s">
        <v>83</v>
      </c>
      <c r="I1341" s="22">
        <v>424761</v>
      </c>
      <c r="J1341" s="22">
        <v>200104</v>
      </c>
      <c r="K1341" s="22" t="s">
        <v>2959</v>
      </c>
      <c r="L1341" s="22">
        <v>70201</v>
      </c>
      <c r="M1341" s="23" t="s">
        <v>2961</v>
      </c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4">
        <f t="shared" si="62"/>
        <v>0</v>
      </c>
      <c r="AB1341" s="25">
        <v>500000</v>
      </c>
      <c r="AC1341" s="26">
        <v>500000</v>
      </c>
      <c r="AD1341" s="24">
        <v>0</v>
      </c>
      <c r="AE1341" s="27">
        <f>_xlfn.XLOOKUP(B1341,'Projects Cashflow'!$B:$B,'Projects Cashflow'!$AG:$AG,0)</f>
        <v>500000</v>
      </c>
      <c r="AF1341" s="28">
        <f t="shared" si="63"/>
        <v>0</v>
      </c>
    </row>
    <row r="1342" spans="2:32" x14ac:dyDescent="0.3">
      <c r="B1342" s="14" t="str">
        <f t="shared" si="61"/>
        <v>45100114511001322ManagementAdvice-N424521200104</v>
      </c>
      <c r="C1342" s="21" t="s">
        <v>33</v>
      </c>
      <c r="D1342" s="22" t="s">
        <v>35</v>
      </c>
      <c r="E1342" s="21" t="s">
        <v>34</v>
      </c>
      <c r="F1342" s="22">
        <v>4511001322</v>
      </c>
      <c r="G1342" s="21" t="s">
        <v>1559</v>
      </c>
      <c r="H1342" s="29" t="s">
        <v>230</v>
      </c>
      <c r="I1342" s="22" t="s">
        <v>2804</v>
      </c>
      <c r="J1342" s="22">
        <v>200104</v>
      </c>
      <c r="K1342" s="22" t="s">
        <v>2959</v>
      </c>
      <c r="L1342" s="22">
        <v>70101</v>
      </c>
      <c r="M1342" s="23" t="s">
        <v>2961</v>
      </c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4">
        <f t="shared" si="62"/>
        <v>0</v>
      </c>
      <c r="AB1342" s="25">
        <v>4900000</v>
      </c>
      <c r="AC1342" s="26">
        <v>4900000</v>
      </c>
      <c r="AD1342" s="24">
        <v>0</v>
      </c>
      <c r="AE1342" s="27">
        <f>_xlfn.XLOOKUP(B1342,'Projects Cashflow'!$B:$B,'Projects Cashflow'!$AG:$AG,0)</f>
        <v>4900000</v>
      </c>
      <c r="AF1342" s="28">
        <f t="shared" si="63"/>
        <v>0</v>
      </c>
    </row>
    <row r="1343" spans="2:32" x14ac:dyDescent="0.3">
      <c r="B1343" s="14" t="str">
        <f t="shared" si="61"/>
        <v>45157004511000860Manpower-N424521200104</v>
      </c>
      <c r="C1343" s="21" t="s">
        <v>211</v>
      </c>
      <c r="D1343" s="22" t="s">
        <v>341</v>
      </c>
      <c r="E1343" s="21" t="s">
        <v>340</v>
      </c>
      <c r="F1343" s="22">
        <v>4511000860</v>
      </c>
      <c r="G1343" s="21" t="s">
        <v>1135</v>
      </c>
      <c r="H1343" s="29" t="s">
        <v>98</v>
      </c>
      <c r="I1343" s="22" t="s">
        <v>2804</v>
      </c>
      <c r="J1343" s="22">
        <v>200104</v>
      </c>
      <c r="K1343" s="22" t="s">
        <v>2959</v>
      </c>
      <c r="L1343" s="22">
        <v>70501</v>
      </c>
      <c r="M1343" s="23" t="s">
        <v>2960</v>
      </c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4">
        <f t="shared" si="62"/>
        <v>0</v>
      </c>
      <c r="AB1343" s="25">
        <v>1640230</v>
      </c>
      <c r="AC1343" s="26">
        <v>1640230</v>
      </c>
      <c r="AD1343" s="24">
        <v>0</v>
      </c>
      <c r="AE1343" s="27">
        <f>_xlfn.XLOOKUP(B1343,'Projects Cashflow'!$B:$B,'Projects Cashflow'!$AG:$AG,0)</f>
        <v>1640230</v>
      </c>
      <c r="AF1343" s="28">
        <f t="shared" si="63"/>
        <v>0</v>
      </c>
    </row>
    <row r="1344" spans="2:32" x14ac:dyDescent="0.3">
      <c r="B1344" s="14" t="str">
        <f t="shared" si="61"/>
        <v>45123004511001184Manpower-N424521200104</v>
      </c>
      <c r="C1344" s="21" t="s">
        <v>721</v>
      </c>
      <c r="D1344" s="22" t="s">
        <v>723</v>
      </c>
      <c r="E1344" s="21" t="s">
        <v>3071</v>
      </c>
      <c r="F1344" s="22">
        <v>4511001184</v>
      </c>
      <c r="G1344" s="21" t="s">
        <v>1445</v>
      </c>
      <c r="H1344" s="29" t="s">
        <v>98</v>
      </c>
      <c r="I1344" s="22" t="s">
        <v>2804</v>
      </c>
      <c r="J1344" s="22">
        <v>200104</v>
      </c>
      <c r="K1344" s="22" t="s">
        <v>2959</v>
      </c>
      <c r="L1344" s="22">
        <v>70110</v>
      </c>
      <c r="M1344" s="23" t="s">
        <v>2960</v>
      </c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4">
        <f t="shared" si="62"/>
        <v>0</v>
      </c>
      <c r="AB1344" s="25">
        <v>3400000</v>
      </c>
      <c r="AC1344" s="26">
        <v>3400000</v>
      </c>
      <c r="AD1344" s="24">
        <v>0</v>
      </c>
      <c r="AE1344" s="27">
        <f>_xlfn.XLOOKUP(B1344,'Projects Cashflow'!$B:$B,'Projects Cashflow'!$AG:$AG,0)</f>
        <v>3400000</v>
      </c>
      <c r="AF1344" s="28">
        <f t="shared" si="63"/>
        <v>0</v>
      </c>
    </row>
    <row r="1345" spans="2:32" x14ac:dyDescent="0.3">
      <c r="B1345" s="14" t="str">
        <f t="shared" si="61"/>
        <v>45101704511001713Licenses Fees-N424131200104</v>
      </c>
      <c r="C1345" s="21" t="s">
        <v>2984</v>
      </c>
      <c r="D1345" s="22">
        <v>4510170</v>
      </c>
      <c r="E1345" s="21" t="s">
        <v>141</v>
      </c>
      <c r="F1345" s="22">
        <v>4511001713</v>
      </c>
      <c r="G1345" s="21" t="s">
        <v>2160</v>
      </c>
      <c r="H1345" s="29" t="s">
        <v>365</v>
      </c>
      <c r="I1345" s="22">
        <v>424131</v>
      </c>
      <c r="J1345" s="22">
        <v>200104</v>
      </c>
      <c r="K1345" s="22" t="s">
        <v>2959</v>
      </c>
      <c r="L1345" s="22">
        <v>70206</v>
      </c>
      <c r="M1345" s="23" t="s">
        <v>2960</v>
      </c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4">
        <f t="shared" si="62"/>
        <v>0</v>
      </c>
      <c r="AB1345" s="25">
        <v>832653</v>
      </c>
      <c r="AC1345" s="26">
        <v>832653</v>
      </c>
      <c r="AD1345" s="24">
        <v>0</v>
      </c>
      <c r="AE1345" s="27">
        <f>_xlfn.XLOOKUP(B1345,'Projects Cashflow'!$B:$B,'Projects Cashflow'!$AG:$AG,0)</f>
        <v>832653</v>
      </c>
      <c r="AF1345" s="28">
        <f t="shared" si="63"/>
        <v>0</v>
      </c>
    </row>
    <row r="1346" spans="2:32" x14ac:dyDescent="0.3">
      <c r="B1346" s="14" t="str">
        <f t="shared" si="61"/>
        <v>45101704511001713Peripherals-N422212200104</v>
      </c>
      <c r="C1346" s="21" t="s">
        <v>2984</v>
      </c>
      <c r="D1346" s="22">
        <v>4510170</v>
      </c>
      <c r="E1346" s="21" t="s">
        <v>141</v>
      </c>
      <c r="F1346" s="22">
        <v>4511001713</v>
      </c>
      <c r="G1346" s="21" t="s">
        <v>2160</v>
      </c>
      <c r="H1346" s="29" t="s">
        <v>2162</v>
      </c>
      <c r="I1346" s="22">
        <v>422212</v>
      </c>
      <c r="J1346" s="22">
        <v>200104</v>
      </c>
      <c r="K1346" s="22" t="s">
        <v>2959</v>
      </c>
      <c r="L1346" s="22">
        <v>70206</v>
      </c>
      <c r="M1346" s="23" t="s">
        <v>2960</v>
      </c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  <c r="Y1346" s="21"/>
      <c r="Z1346" s="24">
        <f t="shared" si="62"/>
        <v>0</v>
      </c>
      <c r="AB1346" s="25">
        <v>3040000</v>
      </c>
      <c r="AC1346" s="26">
        <v>3040000</v>
      </c>
      <c r="AD1346" s="24">
        <v>0</v>
      </c>
      <c r="AE1346" s="27">
        <f>_xlfn.XLOOKUP(B1346,'Projects Cashflow'!$B:$B,'Projects Cashflow'!$AG:$AG,0)</f>
        <v>3040000</v>
      </c>
      <c r="AF1346" s="28">
        <f t="shared" si="63"/>
        <v>0</v>
      </c>
    </row>
    <row r="1347" spans="2:32" x14ac:dyDescent="0.3">
      <c r="B1347" s="14" t="str">
        <f t="shared" si="61"/>
        <v>45102504511001407Awards &amp; Prizes-N424231200104</v>
      </c>
      <c r="C1347" s="21" t="s">
        <v>2984</v>
      </c>
      <c r="D1347" s="22" t="s">
        <v>480</v>
      </c>
      <c r="E1347" s="21" t="s">
        <v>3017</v>
      </c>
      <c r="F1347" s="22">
        <v>4511001407</v>
      </c>
      <c r="G1347" s="21" t="s">
        <v>1678</v>
      </c>
      <c r="H1347" s="29" t="s">
        <v>590</v>
      </c>
      <c r="I1347" s="22" t="s">
        <v>2832</v>
      </c>
      <c r="J1347" s="22">
        <v>200104</v>
      </c>
      <c r="K1347" s="22" t="s">
        <v>2959</v>
      </c>
      <c r="L1347" s="22">
        <v>70111</v>
      </c>
      <c r="M1347" s="23" t="s">
        <v>2960</v>
      </c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  <c r="Y1347" s="21"/>
      <c r="Z1347" s="24">
        <f t="shared" si="62"/>
        <v>0</v>
      </c>
      <c r="AB1347" s="25">
        <v>72000</v>
      </c>
      <c r="AC1347" s="26">
        <v>72000</v>
      </c>
      <c r="AD1347" s="24">
        <v>0</v>
      </c>
      <c r="AE1347" s="27">
        <f>_xlfn.XLOOKUP(B1347,'Projects Cashflow'!$B:$B,'Projects Cashflow'!$AG:$AG,0)</f>
        <v>72000</v>
      </c>
      <c r="AF1347" s="28">
        <f t="shared" si="63"/>
        <v>0</v>
      </c>
    </row>
    <row r="1348" spans="2:32" x14ac:dyDescent="0.3">
      <c r="B1348" s="14" t="str">
        <f t="shared" si="61"/>
        <v>45110104511000208Manpower-N424521200104</v>
      </c>
      <c r="C1348" s="21" t="s">
        <v>65</v>
      </c>
      <c r="D1348" s="22">
        <v>4511010</v>
      </c>
      <c r="E1348" s="21" t="s">
        <v>267</v>
      </c>
      <c r="F1348" s="22">
        <v>4511000208</v>
      </c>
      <c r="G1348" s="21" t="s">
        <v>265</v>
      </c>
      <c r="H1348" s="29" t="s">
        <v>98</v>
      </c>
      <c r="I1348" s="22" t="s">
        <v>2804</v>
      </c>
      <c r="J1348" s="22" t="s">
        <v>2922</v>
      </c>
      <c r="K1348" s="22" t="s">
        <v>2959</v>
      </c>
      <c r="L1348" s="22">
        <v>70303</v>
      </c>
      <c r="M1348" s="23" t="s">
        <v>2960</v>
      </c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Y1348" s="21"/>
      <c r="Z1348" s="24">
        <f t="shared" si="62"/>
        <v>0</v>
      </c>
      <c r="AB1348" s="25">
        <v>156083</v>
      </c>
      <c r="AC1348" s="26">
        <v>156083</v>
      </c>
      <c r="AD1348" s="24">
        <v>0</v>
      </c>
      <c r="AE1348" s="27">
        <f>_xlfn.XLOOKUP(B1348,'Projects Cashflow'!$B:$B,'Projects Cashflow'!$AG:$AG,0)</f>
        <v>156083</v>
      </c>
      <c r="AF1348" s="28">
        <f t="shared" si="63"/>
        <v>0</v>
      </c>
    </row>
    <row r="1349" spans="2:32" x14ac:dyDescent="0.3">
      <c r="B1349" s="14" t="str">
        <f t="shared" ref="B1349:B1366" si="64">D1349&amp;F1349&amp;H1349&amp;I1349&amp;J1349</f>
        <v>45120104511000761Freelancers-N424521200104</v>
      </c>
      <c r="C1349" s="21" t="s">
        <v>721</v>
      </c>
      <c r="D1349" s="22">
        <v>4512010</v>
      </c>
      <c r="E1349" s="21" t="s">
        <v>1017</v>
      </c>
      <c r="F1349" s="22">
        <v>4511000761</v>
      </c>
      <c r="G1349" s="21" t="s">
        <v>33</v>
      </c>
      <c r="H1349" s="29" t="s">
        <v>50</v>
      </c>
      <c r="I1349" s="22" t="s">
        <v>2804</v>
      </c>
      <c r="J1349" s="22" t="s">
        <v>2922</v>
      </c>
      <c r="K1349" s="22" t="s">
        <v>2959</v>
      </c>
      <c r="L1349" s="22">
        <v>70101</v>
      </c>
      <c r="M1349" s="23" t="s">
        <v>2960</v>
      </c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Y1349" s="21"/>
      <c r="Z1349" s="24">
        <f t="shared" ref="Z1349:Z1366" si="65">SUM(N1349:Y1349)</f>
        <v>0</v>
      </c>
      <c r="AB1349" s="25">
        <v>819000</v>
      </c>
      <c r="AC1349" s="26">
        <v>819000</v>
      </c>
      <c r="AD1349" s="24">
        <v>0</v>
      </c>
      <c r="AE1349" s="27">
        <f>_xlfn.XLOOKUP(B1349,'Projects Cashflow'!$B:$B,'Projects Cashflow'!$AG:$AG,0)</f>
        <v>819000</v>
      </c>
      <c r="AF1349" s="28">
        <f t="shared" ref="AF1349:AF1366" si="66">AE1349-AB1349</f>
        <v>0</v>
      </c>
    </row>
    <row r="1350" spans="2:32" x14ac:dyDescent="0.3">
      <c r="B1350" s="14" t="str">
        <f t="shared" si="64"/>
        <v>45112504511000820Mission &amp; Travel-N423821200104</v>
      </c>
      <c r="C1350" s="21" t="s">
        <v>65</v>
      </c>
      <c r="D1350" s="22">
        <v>4511250</v>
      </c>
      <c r="E1350" s="21" t="s">
        <v>66</v>
      </c>
      <c r="F1350" s="22">
        <v>4511000820</v>
      </c>
      <c r="G1350" s="21" t="s">
        <v>1114</v>
      </c>
      <c r="H1350" s="29" t="s">
        <v>54</v>
      </c>
      <c r="I1350" s="22" t="s">
        <v>2805</v>
      </c>
      <c r="J1350" s="22" t="s">
        <v>2922</v>
      </c>
      <c r="K1350" s="22" t="s">
        <v>2959</v>
      </c>
      <c r="L1350" s="22">
        <v>70205</v>
      </c>
      <c r="M1350" s="23" t="s">
        <v>2960</v>
      </c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Y1350" s="21"/>
      <c r="Z1350" s="24">
        <f t="shared" si="65"/>
        <v>0</v>
      </c>
      <c r="AB1350" s="25">
        <v>290000</v>
      </c>
      <c r="AC1350" s="26">
        <v>290000</v>
      </c>
      <c r="AD1350" s="24">
        <v>0</v>
      </c>
      <c r="AE1350" s="27">
        <f>_xlfn.XLOOKUP(B1350,'Projects Cashflow'!$B:$B,'Projects Cashflow'!$AG:$AG,0)</f>
        <v>290000</v>
      </c>
      <c r="AF1350" s="28">
        <f t="shared" si="66"/>
        <v>0</v>
      </c>
    </row>
    <row r="1351" spans="2:32" x14ac:dyDescent="0.3">
      <c r="B1351" s="14" t="str">
        <f t="shared" si="64"/>
        <v>45155004511000849Hospitality-N424761200104</v>
      </c>
      <c r="C1351" s="21" t="s">
        <v>211</v>
      </c>
      <c r="D1351" s="22">
        <v>4515500</v>
      </c>
      <c r="E1351" s="21" t="s">
        <v>512</v>
      </c>
      <c r="F1351" s="22">
        <v>4511000849</v>
      </c>
      <c r="G1351" s="21" t="s">
        <v>1128</v>
      </c>
      <c r="H1351" s="29" t="s">
        <v>83</v>
      </c>
      <c r="I1351" s="22" t="s">
        <v>2811</v>
      </c>
      <c r="J1351" s="22" t="s">
        <v>2922</v>
      </c>
      <c r="K1351" s="22" t="s">
        <v>2959</v>
      </c>
      <c r="L1351" s="22">
        <v>70501</v>
      </c>
      <c r="M1351" s="23" t="s">
        <v>2960</v>
      </c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4">
        <f t="shared" si="65"/>
        <v>0</v>
      </c>
      <c r="AB1351" s="25">
        <v>240000</v>
      </c>
      <c r="AC1351" s="26">
        <v>240000</v>
      </c>
      <c r="AD1351" s="24">
        <v>0</v>
      </c>
      <c r="AE1351" s="27">
        <f>_xlfn.XLOOKUP(B1351,'Projects Cashflow'!$B:$B,'Projects Cashflow'!$AG:$AG,0)</f>
        <v>240000</v>
      </c>
      <c r="AF1351" s="28">
        <f t="shared" si="66"/>
        <v>0</v>
      </c>
    </row>
    <row r="1352" spans="2:32" x14ac:dyDescent="0.3">
      <c r="B1352" s="14" t="str">
        <f t="shared" si="64"/>
        <v>45181134511001144System Licenses-N425252200104</v>
      </c>
      <c r="C1352" s="21" t="s">
        <v>721</v>
      </c>
      <c r="D1352" s="22">
        <v>4518113</v>
      </c>
      <c r="E1352" s="21" t="s">
        <v>1381</v>
      </c>
      <c r="F1352" s="22">
        <v>4511001144</v>
      </c>
      <c r="G1352" s="21" t="s">
        <v>1392</v>
      </c>
      <c r="H1352" s="29" t="s">
        <v>180</v>
      </c>
      <c r="I1352" s="22" t="s">
        <v>2821</v>
      </c>
      <c r="J1352" s="22" t="s">
        <v>2922</v>
      </c>
      <c r="K1352" s="22" t="s">
        <v>2959</v>
      </c>
      <c r="L1352" s="22">
        <v>70303</v>
      </c>
      <c r="M1352" s="23" t="s">
        <v>2960</v>
      </c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4">
        <f t="shared" si="65"/>
        <v>0</v>
      </c>
      <c r="AB1352" s="25">
        <v>537302</v>
      </c>
      <c r="AC1352" s="26">
        <v>537302</v>
      </c>
      <c r="AD1352" s="24">
        <v>0</v>
      </c>
      <c r="AE1352" s="27">
        <f>_xlfn.XLOOKUP(B1352,'Projects Cashflow'!$B:$B,'Projects Cashflow'!$AG:$AG,0)</f>
        <v>537302</v>
      </c>
      <c r="AF1352" s="28">
        <f t="shared" si="66"/>
        <v>0</v>
      </c>
    </row>
    <row r="1353" spans="2:32" x14ac:dyDescent="0.3">
      <c r="B1353" s="14" t="str">
        <f t="shared" si="64"/>
        <v>45153004511001710ManagementAdvice-N424521200104</v>
      </c>
      <c r="C1353" s="21" t="s">
        <v>211</v>
      </c>
      <c r="D1353" s="22">
        <v>4515300</v>
      </c>
      <c r="E1353" s="21" t="s">
        <v>3118</v>
      </c>
      <c r="F1353" s="22">
        <v>4511001710</v>
      </c>
      <c r="G1353" s="21" t="s">
        <v>2158</v>
      </c>
      <c r="H1353" s="29" t="s">
        <v>230</v>
      </c>
      <c r="I1353" s="22" t="s">
        <v>2804</v>
      </c>
      <c r="J1353" s="22" t="s">
        <v>2922</v>
      </c>
      <c r="K1353" s="22" t="s">
        <v>2959</v>
      </c>
      <c r="L1353" s="22">
        <v>70503</v>
      </c>
      <c r="M1353" s="23" t="s">
        <v>2960</v>
      </c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4">
        <f t="shared" si="65"/>
        <v>0</v>
      </c>
      <c r="AB1353" s="25">
        <v>6000000</v>
      </c>
      <c r="AC1353" s="26">
        <v>6000000</v>
      </c>
      <c r="AD1353" s="24">
        <v>0</v>
      </c>
      <c r="AE1353" s="27">
        <f>_xlfn.XLOOKUP(B1353,'Projects Cashflow'!$B:$B,'Projects Cashflow'!$AG:$AG,0)</f>
        <v>6000000</v>
      </c>
      <c r="AF1353" s="28">
        <f t="shared" si="66"/>
        <v>0</v>
      </c>
    </row>
    <row r="1354" spans="2:32" x14ac:dyDescent="0.3">
      <c r="B1354" s="14" t="str">
        <f t="shared" si="64"/>
        <v>45111504511000306Design &amp; Build-N491211300105</v>
      </c>
      <c r="C1354" s="21" t="s">
        <v>65</v>
      </c>
      <c r="D1354" s="22">
        <v>4511150</v>
      </c>
      <c r="E1354" s="21" t="s">
        <v>2979</v>
      </c>
      <c r="F1354" s="22">
        <v>4511000306</v>
      </c>
      <c r="G1354" s="21" t="s">
        <v>410</v>
      </c>
      <c r="H1354" s="29" t="s">
        <v>208</v>
      </c>
      <c r="I1354" s="22" t="s">
        <v>2839</v>
      </c>
      <c r="J1354" s="22" t="s">
        <v>2923</v>
      </c>
      <c r="K1354" s="22" t="s">
        <v>3134</v>
      </c>
      <c r="L1354" s="22">
        <v>70203</v>
      </c>
      <c r="M1354" s="23" t="s">
        <v>2960</v>
      </c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Y1354" s="21"/>
      <c r="Z1354" s="24">
        <f t="shared" si="65"/>
        <v>0</v>
      </c>
      <c r="AB1354" s="25">
        <v>350000</v>
      </c>
      <c r="AC1354" s="26">
        <v>350000</v>
      </c>
      <c r="AD1354" s="24">
        <v>0</v>
      </c>
      <c r="AE1354" s="27">
        <f>_xlfn.XLOOKUP(B1354,'Projects Cashflow'!$B:$B,'Projects Cashflow'!$AG:$AG,0)</f>
        <v>350000</v>
      </c>
      <c r="AF1354" s="28">
        <f t="shared" si="66"/>
        <v>0</v>
      </c>
    </row>
    <row r="1355" spans="2:32" x14ac:dyDescent="0.3">
      <c r="B1355" s="14" t="str">
        <f t="shared" si="64"/>
        <v>45161004511000494Design &amp; Build-N491211300105</v>
      </c>
      <c r="C1355" s="21" t="s">
        <v>65</v>
      </c>
      <c r="D1355" s="22">
        <v>4516100</v>
      </c>
      <c r="E1355" s="21" t="s">
        <v>583</v>
      </c>
      <c r="F1355" s="22">
        <v>4511000494</v>
      </c>
      <c r="G1355" s="21" t="s">
        <v>602</v>
      </c>
      <c r="H1355" s="29" t="s">
        <v>208</v>
      </c>
      <c r="I1355" s="22" t="s">
        <v>2839</v>
      </c>
      <c r="J1355" s="22" t="s">
        <v>2923</v>
      </c>
      <c r="K1355" s="22" t="s">
        <v>3134</v>
      </c>
      <c r="L1355" s="22">
        <v>70203</v>
      </c>
      <c r="M1355" s="23" t="s">
        <v>2960</v>
      </c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4">
        <f t="shared" si="65"/>
        <v>0</v>
      </c>
      <c r="AB1355" s="25">
        <v>1065000</v>
      </c>
      <c r="AC1355" s="26">
        <v>1065000</v>
      </c>
      <c r="AD1355" s="24">
        <v>0</v>
      </c>
      <c r="AE1355" s="27">
        <f>_xlfn.XLOOKUP(B1355,'Projects Cashflow'!$B:$B,'Projects Cashflow'!$AG:$AG,0)</f>
        <v>1065000</v>
      </c>
      <c r="AF1355" s="28">
        <f t="shared" si="66"/>
        <v>0</v>
      </c>
    </row>
    <row r="1356" spans="2:32" x14ac:dyDescent="0.3">
      <c r="B1356" s="14" t="str">
        <f t="shared" si="64"/>
        <v>45112504511000903Lease Improve-N490600300105</v>
      </c>
      <c r="C1356" s="21" t="s">
        <v>65</v>
      </c>
      <c r="D1356" s="22">
        <v>4511250</v>
      </c>
      <c r="E1356" s="21" t="s">
        <v>66</v>
      </c>
      <c r="F1356" s="22">
        <v>4511000903</v>
      </c>
      <c r="G1356" s="21" t="s">
        <v>1229</v>
      </c>
      <c r="H1356" s="29" t="s">
        <v>89</v>
      </c>
      <c r="I1356" s="22" t="s">
        <v>2813</v>
      </c>
      <c r="J1356" s="22" t="s">
        <v>2923</v>
      </c>
      <c r="K1356" s="22" t="s">
        <v>3134</v>
      </c>
      <c r="L1356" s="22">
        <v>70205</v>
      </c>
      <c r="M1356" s="23" t="s">
        <v>2960</v>
      </c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Y1356" s="21"/>
      <c r="Z1356" s="24">
        <f t="shared" si="65"/>
        <v>0</v>
      </c>
      <c r="AB1356" s="25">
        <v>1000000</v>
      </c>
      <c r="AC1356" s="26">
        <v>1000000</v>
      </c>
      <c r="AD1356" s="24">
        <v>0</v>
      </c>
      <c r="AE1356" s="27">
        <f>_xlfn.XLOOKUP(B1356,'Projects Cashflow'!$B:$B,'Projects Cashflow'!$AG:$AG,0)</f>
        <v>1000000</v>
      </c>
      <c r="AF1356" s="28">
        <f t="shared" si="66"/>
        <v>0</v>
      </c>
    </row>
    <row r="1357" spans="2:32" x14ac:dyDescent="0.3">
      <c r="B1357" s="14" t="str">
        <f t="shared" si="64"/>
        <v>45112504511000277Manpower-N424521200104</v>
      </c>
      <c r="C1357" s="21" t="s">
        <v>65</v>
      </c>
      <c r="D1357" s="22">
        <v>4511250</v>
      </c>
      <c r="E1357" s="21" t="s">
        <v>66</v>
      </c>
      <c r="F1357" s="22">
        <v>4511000277</v>
      </c>
      <c r="G1357" s="21" t="s">
        <v>375</v>
      </c>
      <c r="H1357" s="29" t="s">
        <v>98</v>
      </c>
      <c r="I1357" s="22" t="s">
        <v>2804</v>
      </c>
      <c r="J1357" s="22" t="s">
        <v>2922</v>
      </c>
      <c r="K1357" s="22" t="s">
        <v>2959</v>
      </c>
      <c r="L1357" s="22">
        <v>70202</v>
      </c>
      <c r="M1357" s="23" t="s">
        <v>2960</v>
      </c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Y1357" s="21"/>
      <c r="Z1357" s="24">
        <f t="shared" si="65"/>
        <v>0</v>
      </c>
      <c r="AB1357" s="25">
        <v>440000</v>
      </c>
      <c r="AC1357" s="26">
        <v>440000</v>
      </c>
      <c r="AD1357" s="24">
        <v>0</v>
      </c>
      <c r="AE1357" s="27">
        <f>_xlfn.XLOOKUP(B1357,'Projects Cashflow'!$B:$B,'Projects Cashflow'!$AG:$AG,0)</f>
        <v>440000</v>
      </c>
      <c r="AF1357" s="28">
        <f t="shared" si="66"/>
        <v>0</v>
      </c>
    </row>
    <row r="1358" spans="2:32" x14ac:dyDescent="0.3">
      <c r="B1358" s="14" t="str">
        <f t="shared" si="64"/>
        <v>45110104511001300FM Mgmnt (E-E)-N426212200104</v>
      </c>
      <c r="C1358" s="21" t="s">
        <v>65</v>
      </c>
      <c r="D1358" s="22">
        <v>4511010</v>
      </c>
      <c r="E1358" s="21" t="s">
        <v>267</v>
      </c>
      <c r="F1358" s="22">
        <v>4511001300</v>
      </c>
      <c r="G1358" s="21" t="s">
        <v>1537</v>
      </c>
      <c r="H1358" s="29" t="s">
        <v>380</v>
      </c>
      <c r="I1358" s="22" t="s">
        <v>2814</v>
      </c>
      <c r="J1358" s="22" t="s">
        <v>2922</v>
      </c>
      <c r="K1358" s="22" t="s">
        <v>2959</v>
      </c>
      <c r="L1358" s="22">
        <v>70205</v>
      </c>
      <c r="M1358" s="23" t="s">
        <v>2960</v>
      </c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  <c r="Y1358" s="21"/>
      <c r="Z1358" s="24">
        <f t="shared" si="65"/>
        <v>0</v>
      </c>
      <c r="AB1358" s="25">
        <v>458467</v>
      </c>
      <c r="AC1358" s="26">
        <v>458467</v>
      </c>
      <c r="AD1358" s="24">
        <v>0</v>
      </c>
      <c r="AE1358" s="27">
        <f>_xlfn.XLOOKUP(B1358,'Projects Cashflow'!$B:$B,'Projects Cashflow'!$AG:$AG,0)</f>
        <v>458467</v>
      </c>
      <c r="AF1358" s="28">
        <f t="shared" si="66"/>
        <v>0</v>
      </c>
    </row>
    <row r="1359" spans="2:32" x14ac:dyDescent="0.3">
      <c r="B1359" s="14" t="str">
        <f t="shared" si="64"/>
        <v>45111504511001487Hospitality-N424761200104</v>
      </c>
      <c r="C1359" s="21" t="s">
        <v>65</v>
      </c>
      <c r="D1359" s="22">
        <v>4511150</v>
      </c>
      <c r="E1359" s="21" t="s">
        <v>2979</v>
      </c>
      <c r="F1359" s="22">
        <v>4511001487</v>
      </c>
      <c r="G1359" s="21" t="s">
        <v>1809</v>
      </c>
      <c r="H1359" s="29" t="s">
        <v>83</v>
      </c>
      <c r="I1359" s="22" t="s">
        <v>2811</v>
      </c>
      <c r="J1359" s="22" t="s">
        <v>2922</v>
      </c>
      <c r="K1359" s="22" t="s">
        <v>2959</v>
      </c>
      <c r="L1359" s="22">
        <v>70203</v>
      </c>
      <c r="M1359" s="23" t="s">
        <v>2960</v>
      </c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Y1359" s="21"/>
      <c r="Z1359" s="24">
        <f t="shared" si="65"/>
        <v>0</v>
      </c>
      <c r="AB1359" s="25">
        <v>100000</v>
      </c>
      <c r="AC1359" s="26">
        <v>100000</v>
      </c>
      <c r="AD1359" s="24">
        <v>0</v>
      </c>
      <c r="AE1359" s="27">
        <f>_xlfn.XLOOKUP(B1359,'Projects Cashflow'!$B:$B,'Projects Cashflow'!$AG:$AG,0)</f>
        <v>100000</v>
      </c>
      <c r="AF1359" s="28">
        <f t="shared" si="66"/>
        <v>0</v>
      </c>
    </row>
    <row r="1360" spans="2:32" x14ac:dyDescent="0.3">
      <c r="B1360" s="14" t="str">
        <f t="shared" si="64"/>
        <v>45131404511001465PR Mgmnt E-E-L1424781201931</v>
      </c>
      <c r="C1360" s="21" t="s">
        <v>319</v>
      </c>
      <c r="D1360" s="22">
        <v>4513140</v>
      </c>
      <c r="E1360" s="21" t="s">
        <v>334</v>
      </c>
      <c r="F1360" s="22">
        <v>4511001465</v>
      </c>
      <c r="G1360" s="21" t="s">
        <v>1762</v>
      </c>
      <c r="H1360" s="29" t="s">
        <v>1765</v>
      </c>
      <c r="I1360" s="22" t="s">
        <v>2815</v>
      </c>
      <c r="J1360" s="22" t="s">
        <v>2925</v>
      </c>
      <c r="K1360" s="22" t="s">
        <v>2959</v>
      </c>
      <c r="L1360" s="22">
        <v>70601</v>
      </c>
      <c r="M1360" s="23" t="s">
        <v>2960</v>
      </c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  <c r="X1360" s="21"/>
      <c r="Y1360" s="21"/>
      <c r="Z1360" s="24">
        <f t="shared" si="65"/>
        <v>0</v>
      </c>
      <c r="AB1360" s="25">
        <v>1130352</v>
      </c>
      <c r="AC1360" s="26">
        <v>1130352</v>
      </c>
      <c r="AD1360" s="24">
        <v>0</v>
      </c>
      <c r="AE1360" s="27">
        <f>_xlfn.XLOOKUP(B1360,'Projects Cashflow'!$B:$B,'Projects Cashflow'!$AG:$AG,0)</f>
        <v>1130352</v>
      </c>
      <c r="AF1360" s="28">
        <f t="shared" si="66"/>
        <v>0</v>
      </c>
    </row>
    <row r="1361" spans="2:32" x14ac:dyDescent="0.3">
      <c r="B1361" s="14" t="str">
        <f t="shared" si="64"/>
        <v>45181134511001619Edu &amp; Outreach-N422401200104</v>
      </c>
      <c r="C1361" s="21" t="s">
        <v>721</v>
      </c>
      <c r="D1361" s="22">
        <v>4518113</v>
      </c>
      <c r="E1361" s="21" t="s">
        <v>1381</v>
      </c>
      <c r="F1361" s="22">
        <v>4511001619</v>
      </c>
      <c r="G1361" s="21" t="s">
        <v>2136</v>
      </c>
      <c r="H1361" s="29" t="s">
        <v>155</v>
      </c>
      <c r="I1361" s="22" t="s">
        <v>2807</v>
      </c>
      <c r="J1361" s="22" t="s">
        <v>2922</v>
      </c>
      <c r="K1361" s="22" t="s">
        <v>2959</v>
      </c>
      <c r="L1361" s="22">
        <v>70303</v>
      </c>
      <c r="M1361" s="23" t="s">
        <v>2960</v>
      </c>
      <c r="N1361" s="54">
        <v>0</v>
      </c>
      <c r="O1361" s="54">
        <v>0</v>
      </c>
      <c r="P1361" s="54">
        <v>0</v>
      </c>
      <c r="Q1361" s="54">
        <v>3750</v>
      </c>
      <c r="R1361" s="54">
        <v>40000</v>
      </c>
      <c r="S1361" s="54">
        <v>43750</v>
      </c>
      <c r="T1361" s="54">
        <v>40000</v>
      </c>
      <c r="U1361" s="54">
        <v>40000</v>
      </c>
      <c r="V1361" s="54">
        <v>3750</v>
      </c>
      <c r="W1361" s="54">
        <v>0</v>
      </c>
      <c r="X1361" s="54">
        <v>3750</v>
      </c>
      <c r="Y1361" s="54">
        <v>0</v>
      </c>
      <c r="Z1361" s="24">
        <f t="shared" si="65"/>
        <v>175000</v>
      </c>
      <c r="AB1361" s="25">
        <v>175000</v>
      </c>
      <c r="AC1361" s="26">
        <v>175000.4</v>
      </c>
      <c r="AD1361" s="24">
        <v>-0.39999999999417923</v>
      </c>
      <c r="AE1361" s="27">
        <f>_xlfn.XLOOKUP(B1361,'Projects Cashflow'!$B:$B,'Projects Cashflow'!$AG:$AG,0)</f>
        <v>175000.4</v>
      </c>
      <c r="AF1361" s="28">
        <f t="shared" si="66"/>
        <v>0.39999999999417923</v>
      </c>
    </row>
    <row r="1362" spans="2:32" x14ac:dyDescent="0.3">
      <c r="B1362" s="14" t="str">
        <f t="shared" si="64"/>
        <v>45117004511001706Event Management-N422401200104</v>
      </c>
      <c r="C1362" s="21" t="s">
        <v>65</v>
      </c>
      <c r="D1362" s="22">
        <v>4511700</v>
      </c>
      <c r="E1362" s="21" t="s">
        <v>3045</v>
      </c>
      <c r="F1362" s="22">
        <v>4511001706</v>
      </c>
      <c r="G1362" s="21" t="s">
        <v>2148</v>
      </c>
      <c r="H1362" s="29" t="s">
        <v>162</v>
      </c>
      <c r="I1362" s="22" t="s">
        <v>2807</v>
      </c>
      <c r="J1362" s="22" t="s">
        <v>2922</v>
      </c>
      <c r="K1362" s="22" t="s">
        <v>2959</v>
      </c>
      <c r="L1362" s="22">
        <v>70206</v>
      </c>
      <c r="M1362" s="23" t="s">
        <v>2960</v>
      </c>
      <c r="N1362" s="21"/>
      <c r="O1362" s="21"/>
      <c r="P1362" s="21"/>
      <c r="Q1362" s="21"/>
      <c r="R1362" s="21"/>
      <c r="S1362" s="21"/>
      <c r="T1362" s="21"/>
      <c r="U1362" s="21"/>
      <c r="V1362" s="21"/>
      <c r="W1362" s="21"/>
      <c r="X1362" s="21"/>
      <c r="Y1362" s="21"/>
      <c r="Z1362" s="24">
        <f t="shared" si="65"/>
        <v>0</v>
      </c>
      <c r="AB1362" s="25">
        <v>9000000</v>
      </c>
      <c r="AC1362" s="26">
        <v>9000000</v>
      </c>
      <c r="AD1362" s="24">
        <v>0</v>
      </c>
      <c r="AE1362" s="27">
        <f>_xlfn.XLOOKUP(B1362,'Projects Cashflow'!$B:$B,'Projects Cashflow'!$AG:$AG,0)</f>
        <v>9000000</v>
      </c>
      <c r="AF1362" s="28">
        <f t="shared" si="66"/>
        <v>0</v>
      </c>
    </row>
    <row r="1363" spans="2:32" x14ac:dyDescent="0.3">
      <c r="B1363" s="14" t="str">
        <f t="shared" si="64"/>
        <v>45110104511001706Event Management-N1422401202185</v>
      </c>
      <c r="C1363" s="21" t="s">
        <v>65</v>
      </c>
      <c r="D1363" s="22">
        <v>4511010</v>
      </c>
      <c r="E1363" s="21" t="s">
        <v>267</v>
      </c>
      <c r="F1363" s="22">
        <v>4511001706</v>
      </c>
      <c r="G1363" s="21" t="s">
        <v>2148</v>
      </c>
      <c r="H1363" s="29" t="s">
        <v>122</v>
      </c>
      <c r="I1363" s="22" t="s">
        <v>2807</v>
      </c>
      <c r="J1363" s="22" t="s">
        <v>2938</v>
      </c>
      <c r="K1363" s="22" t="s">
        <v>2959</v>
      </c>
      <c r="L1363" s="22">
        <v>70206</v>
      </c>
      <c r="M1363" s="23" t="s">
        <v>2960</v>
      </c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  <c r="Y1363" s="21"/>
      <c r="Z1363" s="24">
        <f t="shared" si="65"/>
        <v>0</v>
      </c>
      <c r="AB1363" s="25">
        <v>5508750</v>
      </c>
      <c r="AC1363" s="26">
        <v>5508750</v>
      </c>
      <c r="AD1363" s="24">
        <v>0</v>
      </c>
      <c r="AE1363" s="27">
        <f>_xlfn.XLOOKUP(B1363,'Projects Cashflow'!$B:$B,'Projects Cashflow'!$AG:$AG,0)</f>
        <v>5508750</v>
      </c>
      <c r="AF1363" s="28">
        <f t="shared" si="66"/>
        <v>0</v>
      </c>
    </row>
    <row r="1364" spans="2:32" x14ac:dyDescent="0.3">
      <c r="B1364" s="14" t="str">
        <f t="shared" si="64"/>
        <v>45110104511001706Licenses Fees-N424131202185</v>
      </c>
      <c r="C1364" s="21" t="s">
        <v>65</v>
      </c>
      <c r="D1364" s="22">
        <v>4511010</v>
      </c>
      <c r="E1364" s="21" t="s">
        <v>267</v>
      </c>
      <c r="F1364" s="22">
        <v>4511001706</v>
      </c>
      <c r="G1364" s="21" t="s">
        <v>2148</v>
      </c>
      <c r="H1364" s="29" t="s">
        <v>365</v>
      </c>
      <c r="I1364" s="22" t="s">
        <v>2835</v>
      </c>
      <c r="J1364" s="22" t="s">
        <v>2938</v>
      </c>
      <c r="K1364" s="22" t="s">
        <v>2959</v>
      </c>
      <c r="L1364" s="22">
        <v>70206</v>
      </c>
      <c r="M1364" s="23" t="s">
        <v>2960</v>
      </c>
      <c r="N1364" s="21"/>
      <c r="O1364" s="21"/>
      <c r="P1364" s="21"/>
      <c r="Q1364" s="21"/>
      <c r="R1364" s="21"/>
      <c r="S1364" s="21"/>
      <c r="T1364" s="21"/>
      <c r="U1364" s="21"/>
      <c r="V1364" s="21"/>
      <c r="W1364" s="21"/>
      <c r="X1364" s="21"/>
      <c r="Y1364" s="21"/>
      <c r="Z1364" s="24">
        <f t="shared" si="65"/>
        <v>0</v>
      </c>
      <c r="AB1364" s="25">
        <v>12853750</v>
      </c>
      <c r="AC1364" s="26">
        <v>12853750</v>
      </c>
      <c r="AD1364" s="24">
        <v>0</v>
      </c>
      <c r="AE1364" s="27">
        <f>_xlfn.XLOOKUP(B1364,'Projects Cashflow'!$B:$B,'Projects Cashflow'!$AG:$AG,0)</f>
        <v>12853750</v>
      </c>
      <c r="AF1364" s="28">
        <f t="shared" si="66"/>
        <v>0</v>
      </c>
    </row>
    <row r="1365" spans="2:32" x14ac:dyDescent="0.3">
      <c r="B1365" s="14" t="str">
        <f t="shared" si="64"/>
        <v>45115504511000540Admin Expenses-N421125200104</v>
      </c>
      <c r="C1365" s="21" t="s">
        <v>65</v>
      </c>
      <c r="D1365" s="22" t="s">
        <v>154</v>
      </c>
      <c r="E1365" s="21" t="s">
        <v>3027</v>
      </c>
      <c r="F1365" s="22">
        <v>4511000540</v>
      </c>
      <c r="G1365" s="21" t="s">
        <v>706</v>
      </c>
      <c r="H1365" s="29" t="s">
        <v>130</v>
      </c>
      <c r="I1365" s="22" t="s">
        <v>2803</v>
      </c>
      <c r="J1365" s="22" t="s">
        <v>2922</v>
      </c>
      <c r="K1365" s="22" t="s">
        <v>2959</v>
      </c>
      <c r="L1365" s="22">
        <v>70603</v>
      </c>
      <c r="M1365" s="23" t="s">
        <v>2960</v>
      </c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4">
        <f t="shared" si="65"/>
        <v>0</v>
      </c>
      <c r="AB1365" s="25">
        <v>25000</v>
      </c>
      <c r="AC1365" s="26">
        <v>25000</v>
      </c>
      <c r="AD1365" s="24">
        <v>0</v>
      </c>
      <c r="AE1365" s="27">
        <f>_xlfn.XLOOKUP(B1365,'Projects Cashflow'!$B:$B,'Projects Cashflow'!$AG:$AG,0)</f>
        <v>25000</v>
      </c>
      <c r="AF1365" s="28">
        <f t="shared" si="66"/>
        <v>0</v>
      </c>
    </row>
    <row r="1366" spans="2:32" x14ac:dyDescent="0.3">
      <c r="B1366" s="14" t="str">
        <f t="shared" si="64"/>
        <v>45115504511000540Hospitality -N424761200104</v>
      </c>
      <c r="C1366" s="21" t="s">
        <v>65</v>
      </c>
      <c r="D1366" s="22" t="s">
        <v>154</v>
      </c>
      <c r="E1366" s="21" t="s">
        <v>3027</v>
      </c>
      <c r="F1366" s="22">
        <v>4511000540</v>
      </c>
      <c r="G1366" s="21" t="s">
        <v>706</v>
      </c>
      <c r="H1366" s="29" t="s">
        <v>712</v>
      </c>
      <c r="I1366" s="22" t="s">
        <v>2811</v>
      </c>
      <c r="J1366" s="22" t="s">
        <v>2922</v>
      </c>
      <c r="K1366" s="22" t="s">
        <v>2959</v>
      </c>
      <c r="L1366" s="22">
        <v>70603</v>
      </c>
      <c r="M1366" s="23" t="s">
        <v>2960</v>
      </c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  <c r="Y1366" s="21"/>
      <c r="Z1366" s="24">
        <f t="shared" si="65"/>
        <v>0</v>
      </c>
      <c r="AB1366" s="25">
        <v>25000</v>
      </c>
      <c r="AC1366" s="26">
        <v>25000</v>
      </c>
      <c r="AD1366" s="24">
        <v>0</v>
      </c>
      <c r="AE1366" s="27">
        <f>_xlfn.XLOOKUP(B1366,'Projects Cashflow'!$B:$B,'Projects Cashflow'!$AG:$AG,0)</f>
        <v>25000</v>
      </c>
      <c r="AF1366" s="28">
        <f t="shared" si="66"/>
        <v>0</v>
      </c>
    </row>
  </sheetData>
  <protectedRanges>
    <protectedRange sqref="H1305" name="EndUser Input_3"/>
    <protectedRange sqref="H1305" name="New_1"/>
    <protectedRange sqref="H1028" name="EndUser Input"/>
  </protectedRanges>
  <autoFilter ref="C3:AI1366" xr:uid="{5F5B5CCC-00CD-49BD-805A-54DC1259B2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832D173F5BF440BAB7138E9B592CF2" ma:contentTypeVersion="18" ma:contentTypeDescription="Create a new document." ma:contentTypeScope="" ma:versionID="08f09712208b25414deab569d8ff2baf">
  <xsd:schema xmlns:xsd="http://www.w3.org/2001/XMLSchema" xmlns:xs="http://www.w3.org/2001/XMLSchema" xmlns:p="http://schemas.microsoft.com/office/2006/metadata/properties" xmlns:ns1="http://schemas.microsoft.com/sharepoint/v3" xmlns:ns2="7fa28d77-0313-4fab-88c5-b7e62a63de1f" xmlns:ns3="04391abf-e394-4d2d-af4a-680d1cb90f05" targetNamespace="http://schemas.microsoft.com/office/2006/metadata/properties" ma:root="true" ma:fieldsID="67bc9efd5f6f96517e36ce18ef3e5f33" ns1:_="" ns2:_="" ns3:_="">
    <xsd:import namespace="http://schemas.microsoft.com/sharepoint/v3"/>
    <xsd:import namespace="7fa28d77-0313-4fab-88c5-b7e62a63de1f"/>
    <xsd:import namespace="04391abf-e394-4d2d-af4a-680d1cb90f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28d77-0313-4fab-88c5-b7e62a63de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6eecfcf-0331-4043-8a88-26d66d5d7c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91abf-e394-4d2d-af4a-680d1cb90f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32d6970-c005-43a8-bc31-34706ceb1abd}" ma:internalName="TaxCatchAll" ma:showField="CatchAllData" ma:web="04391abf-e394-4d2d-af4a-680d1cb90f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fa28d77-0313-4fab-88c5-b7e62a63de1f">
      <Terms xmlns="http://schemas.microsoft.com/office/infopath/2007/PartnerControls"/>
    </lcf76f155ced4ddcb4097134ff3c332f>
    <_ip_UnifiedCompliancePolicyProperties xmlns="http://schemas.microsoft.com/sharepoint/v3" xsi:nil="true"/>
    <TaxCatchAll xmlns="04391abf-e394-4d2d-af4a-680d1cb90f05" xsi:nil="true"/>
  </documentManagement>
</p:properties>
</file>

<file path=customXml/itemProps1.xml><?xml version="1.0" encoding="utf-8"?>
<ds:datastoreItem xmlns:ds="http://schemas.openxmlformats.org/officeDocument/2006/customXml" ds:itemID="{85364638-A577-4241-8BE9-F7E74F54F859}"/>
</file>

<file path=customXml/itemProps2.xml><?xml version="1.0" encoding="utf-8"?>
<ds:datastoreItem xmlns:ds="http://schemas.openxmlformats.org/officeDocument/2006/customXml" ds:itemID="{C3BF46A6-5927-471B-89E9-6CC2B4FD51A9}"/>
</file>

<file path=customXml/itemProps3.xml><?xml version="1.0" encoding="utf-8"?>
<ds:datastoreItem xmlns:ds="http://schemas.openxmlformats.org/officeDocument/2006/customXml" ds:itemID="{DA54A007-DE20-452C-98BD-4EF1823C525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 Cashflow</vt:lpstr>
      <vt:lpstr>How to use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Mohamd Elgayar</dc:creator>
  <cp:lastModifiedBy>Mohamd Elgayar</cp:lastModifiedBy>
  <dcterms:created xsi:type="dcterms:W3CDTF">2026-08-20T05:41:16Z</dcterms:created>
  <dcterms:modified xsi:type="dcterms:W3CDTF">2026-08-20T05:41:17Z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0x01010066832D173F5BF440BAB7138E9B592CF2</vt:lpwstr>
  </property>
</Properties>
</file>